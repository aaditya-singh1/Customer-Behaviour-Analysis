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ustomer" sheetId="2" state="visible" r:id="rId4"/>
    <sheet name="Transaction" sheetId="3" state="visible" r:id="rId5"/>
    <sheet name="Product" sheetId="4" state="visible" r:id="rId6"/>
  </sheets>
  <definedNames>
    <definedName function="false" hidden="true" localSheetId="1" name="_xlnm._FilterDatabase" vbProcedure="false">Customer!$A$1:$O$2501</definedName>
    <definedName function="false" hidden="true" localSheetId="3" name="_xlnm._FilterDatabase" vbProcedure="false">Product!$A$1:$F$101</definedName>
    <definedName function="false" hidden="true" localSheetId="2" name="_xlnm._FilterDatabase" vbProcedure="false">Transaction!$A$1:$I$8421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<sst xmlns="http://schemas.openxmlformats.org/spreadsheetml/2006/main" count="60194" uniqueCount="13884">
  <si>
    <t xml:space="preserve">E-commerce Customer Analytics – Summary</t>
  </si>
  <si>
    <t xml:space="preserve">Synthetic dataset built to reconcile with the presentation. All values below are live formulas over the Customer / Transaction sheets.</t>
  </si>
  <si>
    <t xml:space="preserve">Snapshot date (for Recency)</t>
  </si>
  <si>
    <t xml:space="preserve">Metric</t>
  </si>
  <si>
    <t xml:space="preserve">Dataset</t>
  </si>
  <si>
    <t xml:space="preserve">PPT Target</t>
  </si>
  <si>
    <t xml:space="preserve">Match</t>
  </si>
  <si>
    <t xml:space="preserve">Total customers</t>
  </si>
  <si>
    <t xml:space="preserve">Total orders</t>
  </si>
  <si>
    <t xml:space="preserve">Total revenue (₹)</t>
  </si>
  <si>
    <t xml:space="preserve">Average order value (₹)</t>
  </si>
  <si>
    <t xml:space="preserve">Repeat customer rate</t>
  </si>
  <si>
    <t xml:space="preserve">Revenue by Category</t>
  </si>
  <si>
    <t xml:space="preserve">Category</t>
  </si>
  <si>
    <t xml:space="preserve">Revenue (₹)</t>
  </si>
  <si>
    <t xml:space="preserve">Share of Revenue</t>
  </si>
  <si>
    <t xml:space="preserve">Orders</t>
  </si>
  <si>
    <t xml:space="preserve">AOV (₹)</t>
  </si>
  <si>
    <t xml:space="preserve">PPT Target (₹M)</t>
  </si>
  <si>
    <t xml:space="preserve">Match (₹M, 1 dp)</t>
  </si>
  <si>
    <t xml:space="preserve">Electronics</t>
  </si>
  <si>
    <t xml:space="preserve">Home</t>
  </si>
  <si>
    <t xml:space="preserve">Fashion</t>
  </si>
  <si>
    <t xml:space="preserve">Grocery</t>
  </si>
  <si>
    <t xml:space="preserve">Beauty</t>
  </si>
  <si>
    <t xml:space="preserve">Total</t>
  </si>
  <si>
    <t xml:space="preserve">Monthly Revenue Trend (Jan – Aug 2026)</t>
  </si>
  <si>
    <t xml:space="preserve">Month</t>
  </si>
  <si>
    <t xml:space="preserve">Month Start</t>
  </si>
  <si>
    <t xml:space="preserve">MoM Growth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</si>
  <si>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</si>
  <si>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</si>
  <si>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</si>
  <si>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</si>
  <si>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</si>
  <si>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</si>
  <si>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</si>
  <si>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</si>
  <si>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RFM Segments</t>
  </si>
  <si>
    <t xml:space="preserve">Segment</t>
  </si>
  <si>
    <t xml:space="preserve">Customers</t>
  </si>
  <si>
    <t xml:space="preserve">Share</t>
  </si>
  <si>
    <t xml:space="preserve">Avg Recency (days)</t>
  </si>
  <si>
    <t xml:space="preserve">Avg Frequency</t>
  </si>
  <si>
    <t xml:space="preserve">Avg Monetary (₹)</t>
  </si>
  <si>
    <t xml:space="preserve">Champions</t>
  </si>
  <si>
    <t xml:space="preserve">Loyal Customers</t>
  </si>
  <si>
    <t xml:space="preserve">Potential Loyalists</t>
  </si>
  <si>
    <t xml:space="preserve">At Risk</t>
  </si>
  <si>
    <t xml:space="preserve">Hibernating</t>
  </si>
  <si>
    <t xml:space="preserve">Notes &amp; assumptions</t>
  </si>
  <si>
    <t xml:space="preserve">• Synthetic data generated to reconcile with the deck (blue cells = targets taken from the deck; yellow = editable snapshot date).</t>
  </si>
  <si>
    <t xml:space="preserve">• Each Transaction row is one order containing one product line (8,420 orders = 8,420 rows). Order Value = Quantity × Unit Price.</t>
  </si>
  <si>
    <t xml:space="preserve">• Unit Price is the price paid; it can sit 0–10% below the Product sheet List Price (promotions), so category revenue reconciles exactly.</t>
  </si>
  <si>
    <t xml:space="preserve">• Total revenue is ₹18,608,200 (rounds to ₹18.6M) so that AOV = exactly ₹2,210 on 8,420 orders.</t>
  </si>
  <si>
    <t xml:space="preserve">• Repeat rate 41.8% = 1,045 customers with 2+ orders. Champions + Loyal = 1,050, so 5 Loyal customers have a single big-ticket order.</t>
  </si>
  <si>
    <t xml:space="preserve">• RFM Segment labels are assigned to match the deck's split; Champions = most recent &amp; most frequent, Hibernating = oldest last order.</t>
  </si>
  <si>
    <t xml:space="preserve">• Dates: 1 Jan – 31 Aug 2026. Recency = snapshot date minus last order date. Names, cities and products are fictional/illustrative.</t>
  </si>
  <si>
    <t xml:space="preserve">Customer ID</t>
  </si>
  <si>
    <t xml:space="preserve">Customer Name</t>
  </si>
  <si>
    <t xml:space="preserve">Gender</t>
  </si>
  <si>
    <t xml:space="preserve">Age</t>
  </si>
  <si>
    <t xml:space="preserve">City</t>
  </si>
  <si>
    <t xml:space="preserve">State</t>
  </si>
  <si>
    <t xml:space="preserve">Signup Date</t>
  </si>
  <si>
    <t xml:space="preserve">Acquisition Channel</t>
  </si>
  <si>
    <t xml:space="preserve">First Order Date</t>
  </si>
  <si>
    <t xml:space="preserve">Last Order Date</t>
  </si>
  <si>
    <t xml:space="preserve">Frequency (Orders)</t>
  </si>
  <si>
    <t xml:space="preserve">Monetary (₹)</t>
  </si>
  <si>
    <t xml:space="preserve">Recency (Days)</t>
  </si>
  <si>
    <t xml:space="preserve">Repeat Customer</t>
  </si>
  <si>
    <t xml:space="preserve">RFM Segment</t>
  </si>
  <si>
    <t xml:space="preserve">C0001</t>
  </si>
  <si>
    <t xml:space="preserve">Aarav Naidu</t>
  </si>
  <si>
    <t xml:space="preserve">Male</t>
  </si>
  <si>
    <t xml:space="preserve">Mumbai</t>
  </si>
  <si>
    <t xml:space="preserve">Maharashtra</t>
  </si>
  <si>
    <t xml:space="preserve">Organic Search</t>
  </si>
  <si>
    <t xml:space="preserve">C0002</t>
  </si>
  <si>
    <t xml:space="preserve">Manish Shetty</t>
  </si>
  <si>
    <t xml:space="preserve">Bengaluru</t>
  </si>
  <si>
    <t xml:space="preserve">Karnataka</t>
  </si>
  <si>
    <t xml:space="preserve">C0003</t>
  </si>
  <si>
    <t xml:space="preserve">Komal Tiwari</t>
  </si>
  <si>
    <t xml:space="preserve">Female</t>
  </si>
  <si>
    <t xml:space="preserve">Chennai</t>
  </si>
  <si>
    <t xml:space="preserve">Tamil Nadu</t>
  </si>
  <si>
    <t xml:space="preserve">Marketplace</t>
  </si>
  <si>
    <t xml:space="preserve">C0004</t>
  </si>
  <si>
    <t xml:space="preserve">Rajesh Joshi</t>
  </si>
  <si>
    <t xml:space="preserve">Pune</t>
  </si>
  <si>
    <t xml:space="preserve">Direct</t>
  </si>
  <si>
    <t xml:space="preserve">C0005</t>
  </si>
  <si>
    <t xml:space="preserve">Naman Reddy</t>
  </si>
  <si>
    <t xml:space="preserve">Delhi</t>
  </si>
  <si>
    <t xml:space="preserve">C0006</t>
  </si>
  <si>
    <t xml:space="preserve">Hema Mukherjee</t>
  </si>
  <si>
    <t xml:space="preserve">Indore</t>
  </si>
  <si>
    <t xml:space="preserve">Madhya Pradesh</t>
  </si>
  <si>
    <t xml:space="preserve">C0007</t>
  </si>
  <si>
    <t xml:space="preserve">Uma Singh</t>
  </si>
  <si>
    <t xml:space="preserve">Referral</t>
  </si>
  <si>
    <t xml:space="preserve">C0008</t>
  </si>
  <si>
    <t xml:space="preserve">Tanvi Kulkarni</t>
  </si>
  <si>
    <t xml:space="preserve">Ahmedabad</t>
  </si>
  <si>
    <t xml:space="preserve">Gujarat</t>
  </si>
  <si>
    <t xml:space="preserve">C0009</t>
  </si>
  <si>
    <t xml:space="preserve">Swati Chauhan</t>
  </si>
  <si>
    <t xml:space="preserve">C0010</t>
  </si>
  <si>
    <t xml:space="preserve">Sunita Mukherjee</t>
  </si>
  <si>
    <t xml:space="preserve">C0011</t>
  </si>
  <si>
    <t xml:space="preserve">Aishwarya Gupta</t>
  </si>
  <si>
    <t xml:space="preserve">C0012</t>
  </si>
  <si>
    <t xml:space="preserve">Pankaj Ahmed</t>
  </si>
  <si>
    <t xml:space="preserve">Paid Social</t>
  </si>
  <si>
    <t xml:space="preserve">C0013</t>
  </si>
  <si>
    <t xml:space="preserve">Riya Sinha</t>
  </si>
  <si>
    <t xml:space="preserve">Nagpur</t>
  </si>
  <si>
    <t xml:space="preserve">C0014</t>
  </si>
  <si>
    <t xml:space="preserve">Rajesh Desai</t>
  </si>
  <si>
    <t xml:space="preserve">Kolkata</t>
  </si>
  <si>
    <t xml:space="preserve">West Bengal</t>
  </si>
  <si>
    <t xml:space="preserve">Email Campaign</t>
  </si>
  <si>
    <t xml:space="preserve">C0015</t>
  </si>
  <si>
    <t xml:space="preserve">Rahul Mishra</t>
  </si>
  <si>
    <t xml:space="preserve">Patna</t>
  </si>
  <si>
    <t xml:space="preserve">Bihar</t>
  </si>
  <si>
    <t xml:space="preserve">C0016</t>
  </si>
  <si>
    <t xml:space="preserve">Dev Mehta</t>
  </si>
  <si>
    <t xml:space="preserve">C0017</t>
  </si>
  <si>
    <t xml:space="preserve">Suresh Pandey</t>
  </si>
  <si>
    <t xml:space="preserve">C0018</t>
  </si>
  <si>
    <t xml:space="preserve">Siddharth Patel</t>
  </si>
  <si>
    <t xml:space="preserve">Hyderabad</t>
  </si>
  <si>
    <t xml:space="preserve">Telangana</t>
  </si>
  <si>
    <t xml:space="preserve">C0019</t>
  </si>
  <si>
    <t xml:space="preserve">Vidya Jain</t>
  </si>
  <si>
    <t xml:space="preserve">C0020</t>
  </si>
  <si>
    <t xml:space="preserve">Naman Agarwal</t>
  </si>
  <si>
    <t xml:space="preserve">Visakhapatnam</t>
  </si>
  <si>
    <t xml:space="preserve">Andhra Pradesh</t>
  </si>
  <si>
    <t xml:space="preserve">C0021</t>
  </si>
  <si>
    <t xml:space="preserve">Sakshi Bose</t>
  </si>
  <si>
    <t xml:space="preserve">C0022</t>
  </si>
  <si>
    <t xml:space="preserve">Tara Shetty</t>
  </si>
  <si>
    <t xml:space="preserve">Lucknow</t>
  </si>
  <si>
    <t xml:space="preserve">Uttar Pradesh</t>
  </si>
  <si>
    <t xml:space="preserve">C0023</t>
  </si>
  <si>
    <t xml:space="preserve">Yash Chauhan</t>
  </si>
  <si>
    <t xml:space="preserve">C0024</t>
  </si>
  <si>
    <t xml:space="preserve">Dev Das</t>
  </si>
  <si>
    <t xml:space="preserve">C0025</t>
  </si>
  <si>
    <t xml:space="preserve">Lavanya Bose</t>
  </si>
  <si>
    <t xml:space="preserve">C0026</t>
  </si>
  <si>
    <t xml:space="preserve">Isha Mehta</t>
  </si>
  <si>
    <t xml:space="preserve">C0027</t>
  </si>
  <si>
    <t xml:space="preserve">Prakash Fernandes</t>
  </si>
  <si>
    <t xml:space="preserve">C0028</t>
  </si>
  <si>
    <t xml:space="preserve">Chitra Bose</t>
  </si>
  <si>
    <t xml:space="preserve">C0029</t>
  </si>
  <si>
    <t xml:space="preserve">Nandini Mukherjee</t>
  </si>
  <si>
    <t xml:space="preserve">C0030</t>
  </si>
  <si>
    <t xml:space="preserve">Garima Menon</t>
  </si>
  <si>
    <t xml:space="preserve">C0031</t>
  </si>
  <si>
    <t xml:space="preserve">Vidya Bhatt</t>
  </si>
  <si>
    <t xml:space="preserve">C0032</t>
  </si>
  <si>
    <t xml:space="preserve">Kritika Patel</t>
  </si>
  <si>
    <t xml:space="preserve">C0033</t>
  </si>
  <si>
    <t xml:space="preserve">Tanvi Roy</t>
  </si>
  <si>
    <t xml:space="preserve">C0034</t>
  </si>
  <si>
    <t xml:space="preserve">Komal Sharma</t>
  </si>
  <si>
    <t xml:space="preserve">C0035</t>
  </si>
  <si>
    <t xml:space="preserve">Swati Reddy</t>
  </si>
  <si>
    <t xml:space="preserve">C0036</t>
  </si>
  <si>
    <t xml:space="preserve">Pranav Malhotra</t>
  </si>
  <si>
    <t xml:space="preserve">Jaipur</t>
  </si>
  <si>
    <t xml:space="preserve">Rajasthan</t>
  </si>
  <si>
    <t xml:space="preserve">C0037</t>
  </si>
  <si>
    <t xml:space="preserve">Rajesh Sinha</t>
  </si>
  <si>
    <t xml:space="preserve">Kochi</t>
  </si>
  <si>
    <t xml:space="preserve">Kerala</t>
  </si>
  <si>
    <t xml:space="preserve">C0038</t>
  </si>
  <si>
    <t xml:space="preserve">Aditya Rathore</t>
  </si>
  <si>
    <t xml:space="preserve">C0039</t>
  </si>
  <si>
    <t xml:space="preserve">Madhavi Sharma</t>
  </si>
  <si>
    <t xml:space="preserve">C0040</t>
  </si>
  <si>
    <t xml:space="preserve">Ekta Saxena</t>
  </si>
  <si>
    <t xml:space="preserve">C0041</t>
  </si>
  <si>
    <t xml:space="preserve">Pallavi Patel</t>
  </si>
  <si>
    <t xml:space="preserve">C0042</t>
  </si>
  <si>
    <t xml:space="preserve">Aditya Chatterjee</t>
  </si>
  <si>
    <t xml:space="preserve">C0043</t>
  </si>
  <si>
    <t xml:space="preserve">Pooja Fernandes</t>
  </si>
  <si>
    <t xml:space="preserve">C0044</t>
  </si>
  <si>
    <t xml:space="preserve">Ananya Yadav</t>
  </si>
  <si>
    <t xml:space="preserve">C0045</t>
  </si>
  <si>
    <t xml:space="preserve">Divya Bose</t>
  </si>
  <si>
    <t xml:space="preserve">C0046</t>
  </si>
  <si>
    <t xml:space="preserve">Siddharth Mishra</t>
  </si>
  <si>
    <t xml:space="preserve">C0047</t>
  </si>
  <si>
    <t xml:space="preserve">Kunal Saxena</t>
  </si>
  <si>
    <t xml:space="preserve">C0048</t>
  </si>
  <si>
    <t xml:space="preserve">Dev Khan</t>
  </si>
  <si>
    <t xml:space="preserve">C0049</t>
  </si>
  <si>
    <t xml:space="preserve">Jyoti Patil</t>
  </si>
  <si>
    <t xml:space="preserve">Vadodara</t>
  </si>
  <si>
    <t xml:space="preserve">C0050</t>
  </si>
  <si>
    <t xml:space="preserve">Amit Kulkarni</t>
  </si>
  <si>
    <t xml:space="preserve">C0051</t>
  </si>
  <si>
    <t xml:space="preserve">Kunal Fernandes</t>
  </si>
  <si>
    <t xml:space="preserve">C0052</t>
  </si>
  <si>
    <t xml:space="preserve">Pranav Chatterjee</t>
  </si>
  <si>
    <t xml:space="preserve">C0053</t>
  </si>
  <si>
    <t xml:space="preserve">Priya Reddy</t>
  </si>
  <si>
    <t xml:space="preserve">C0054</t>
  </si>
  <si>
    <t xml:space="preserve">Meera Pandey</t>
  </si>
  <si>
    <t xml:space="preserve">C0055</t>
  </si>
  <si>
    <t xml:space="preserve">Ashish Verma</t>
  </si>
  <si>
    <t xml:space="preserve">C0056</t>
  </si>
  <si>
    <t xml:space="preserve">Dev Reddy</t>
  </si>
  <si>
    <t xml:space="preserve">C0057</t>
  </si>
  <si>
    <t xml:space="preserve">Abhishek Banerjee</t>
  </si>
  <si>
    <t xml:space="preserve">C0058</t>
  </si>
  <si>
    <t xml:space="preserve">Jyoti Mukherjee</t>
  </si>
  <si>
    <t xml:space="preserve">C0059</t>
  </si>
  <si>
    <t xml:space="preserve">Vishal Bhatt</t>
  </si>
  <si>
    <t xml:space="preserve">C0060</t>
  </si>
  <si>
    <t xml:space="preserve">Vivaan Kulkarni</t>
  </si>
  <si>
    <t xml:space="preserve">C0061</t>
  </si>
  <si>
    <t xml:space="preserve">Rashmi Mukherjee</t>
  </si>
  <si>
    <t xml:space="preserve">C0062</t>
  </si>
  <si>
    <t xml:space="preserve">Vikram Sinha</t>
  </si>
  <si>
    <t xml:space="preserve">C0063</t>
  </si>
  <si>
    <t xml:space="preserve">Rahul Kaur</t>
  </si>
  <si>
    <t xml:space="preserve">C0064</t>
  </si>
  <si>
    <t xml:space="preserve">Siddharth Menon</t>
  </si>
  <si>
    <t xml:space="preserve">Coimbatore</t>
  </si>
  <si>
    <t xml:space="preserve">C0065</t>
  </si>
  <si>
    <t xml:space="preserve">Shreya Agarwal</t>
  </si>
  <si>
    <t xml:space="preserve">C0066</t>
  </si>
  <si>
    <t xml:space="preserve">Diya Banerjee</t>
  </si>
  <si>
    <t xml:space="preserve">C0067</t>
  </si>
  <si>
    <t xml:space="preserve">Vikram Ahmed</t>
  </si>
  <si>
    <t xml:space="preserve">C0068</t>
  </si>
  <si>
    <t xml:space="preserve">Sunita Kulkarni</t>
  </si>
  <si>
    <t xml:space="preserve">C0069</t>
  </si>
  <si>
    <t xml:space="preserve">Vishal Agarwal</t>
  </si>
  <si>
    <t xml:space="preserve">C0070</t>
  </si>
  <si>
    <t xml:space="preserve">Sameer Bose</t>
  </si>
  <si>
    <t xml:space="preserve">C0071</t>
  </si>
  <si>
    <t xml:space="preserve">Rohan Jain</t>
  </si>
  <si>
    <t xml:space="preserve">C0072</t>
  </si>
  <si>
    <t xml:space="preserve">Manish Banerjee</t>
  </si>
  <si>
    <t xml:space="preserve">C0073</t>
  </si>
  <si>
    <t xml:space="preserve">Priya Rao</t>
  </si>
  <si>
    <t xml:space="preserve">C0074</t>
  </si>
  <si>
    <t xml:space="preserve">Shreya Bhatt</t>
  </si>
  <si>
    <t xml:space="preserve">C0075</t>
  </si>
  <si>
    <t xml:space="preserve">Pooja Nair</t>
  </si>
  <si>
    <t xml:space="preserve">C0076</t>
  </si>
  <si>
    <t xml:space="preserve">Varun Patil</t>
  </si>
  <si>
    <t xml:space="preserve">C0077</t>
  </si>
  <si>
    <t xml:space="preserve">Hema Shekhawat</t>
  </si>
  <si>
    <t xml:space="preserve">Surat</t>
  </si>
  <si>
    <t xml:space="preserve">C0078</t>
  </si>
  <si>
    <t xml:space="preserve">Kavya Pillai</t>
  </si>
  <si>
    <t xml:space="preserve">C0079</t>
  </si>
  <si>
    <t xml:space="preserve">Harsh Bose</t>
  </si>
  <si>
    <t xml:space="preserve">C0080</t>
  </si>
  <si>
    <t xml:space="preserve">Vivaan Chopra</t>
  </si>
  <si>
    <t xml:space="preserve">C0081</t>
  </si>
  <si>
    <t xml:space="preserve">Sameer Chatterjee</t>
  </si>
  <si>
    <t xml:space="preserve">C0082</t>
  </si>
  <si>
    <t xml:space="preserve">Simran Mishra</t>
  </si>
  <si>
    <t xml:space="preserve">C0083</t>
  </si>
  <si>
    <t xml:space="preserve">Prakash Tiwari</t>
  </si>
  <si>
    <t xml:space="preserve">C0084</t>
  </si>
  <si>
    <t xml:space="preserve">Gaurav Shetty</t>
  </si>
  <si>
    <t xml:space="preserve">C0085</t>
  </si>
  <si>
    <t xml:space="preserve">Rashmi Shetty</t>
  </si>
  <si>
    <t xml:space="preserve">C0086</t>
  </si>
  <si>
    <t xml:space="preserve">Jyoti Yadav</t>
  </si>
  <si>
    <t xml:space="preserve">C0087</t>
  </si>
  <si>
    <t xml:space="preserve">Vishal Patel</t>
  </si>
  <si>
    <t xml:space="preserve">C0088</t>
  </si>
  <si>
    <t xml:space="preserve">Vivaan Pillai</t>
  </si>
  <si>
    <t xml:space="preserve">C0089</t>
  </si>
  <si>
    <t xml:space="preserve">Karan Bhatt</t>
  </si>
  <si>
    <t xml:space="preserve">C0090</t>
  </si>
  <si>
    <t xml:space="preserve">Mohit Desai</t>
  </si>
  <si>
    <t xml:space="preserve">C0091</t>
  </si>
  <si>
    <t xml:space="preserve">Yash Pandey</t>
  </si>
  <si>
    <t xml:space="preserve">C0092</t>
  </si>
  <si>
    <t xml:space="preserve">Suresh Mukherjee</t>
  </si>
  <si>
    <t xml:space="preserve">C0093</t>
  </si>
  <si>
    <t xml:space="preserve">Sunita Bansal</t>
  </si>
  <si>
    <t xml:space="preserve">C0094</t>
  </si>
  <si>
    <t xml:space="preserve">Aditi Ghosh</t>
  </si>
  <si>
    <t xml:space="preserve">C0095</t>
  </si>
  <si>
    <t xml:space="preserve">Pooja Yadav</t>
  </si>
  <si>
    <t xml:space="preserve">C0096</t>
  </si>
  <si>
    <t xml:space="preserve">Divya Naidu</t>
  </si>
  <si>
    <t xml:space="preserve">C0097</t>
  </si>
  <si>
    <t xml:space="preserve">Isha Mishra</t>
  </si>
  <si>
    <t xml:space="preserve">C0098</t>
  </si>
  <si>
    <t xml:space="preserve">Pallavi Desai</t>
  </si>
  <si>
    <t xml:space="preserve">C0099</t>
  </si>
  <si>
    <t xml:space="preserve">Ananya Bansal</t>
  </si>
  <si>
    <t xml:space="preserve">C0100</t>
  </si>
  <si>
    <t xml:space="preserve">Jatin Mehta</t>
  </si>
  <si>
    <t xml:space="preserve">C0101</t>
  </si>
  <si>
    <t xml:space="preserve">Amit Kaur</t>
  </si>
  <si>
    <t xml:space="preserve">C0102</t>
  </si>
  <si>
    <t xml:space="preserve">Shreya Fernandes</t>
  </si>
  <si>
    <t xml:space="preserve">C0103</t>
  </si>
  <si>
    <t xml:space="preserve">Divya Pandey</t>
  </si>
  <si>
    <t xml:space="preserve">C0104</t>
  </si>
  <si>
    <t xml:space="preserve">Mohit Ghosh</t>
  </si>
  <si>
    <t xml:space="preserve">C0105</t>
  </si>
  <si>
    <t xml:space="preserve">Dev Pillai</t>
  </si>
  <si>
    <t xml:space="preserve">Chandigarh</t>
  </si>
  <si>
    <t xml:space="preserve">C0106</t>
  </si>
  <si>
    <t xml:space="preserve">Pankaj Rathore</t>
  </si>
  <si>
    <t xml:space="preserve">C0107</t>
  </si>
  <si>
    <t xml:space="preserve">Chitra Joshi</t>
  </si>
  <si>
    <t xml:space="preserve">C0108</t>
  </si>
  <si>
    <t xml:space="preserve">Ekta Pillai</t>
  </si>
  <si>
    <t xml:space="preserve">C0109</t>
  </si>
  <si>
    <t xml:space="preserve">Aditya Kapoor</t>
  </si>
  <si>
    <t xml:space="preserve">C0110</t>
  </si>
  <si>
    <t xml:space="preserve">Akash Bhatt</t>
  </si>
  <si>
    <t xml:space="preserve">C0111</t>
  </si>
  <si>
    <t xml:space="preserve">Lavanya Ahmed</t>
  </si>
  <si>
    <t xml:space="preserve">C0112</t>
  </si>
  <si>
    <t xml:space="preserve">Rajesh Das</t>
  </si>
  <si>
    <t xml:space="preserve">C0113</t>
  </si>
  <si>
    <t xml:space="preserve">Nisha Agarwal</t>
  </si>
  <si>
    <t xml:space="preserve">C0114</t>
  </si>
  <si>
    <t xml:space="preserve">Gaurav Rathore</t>
  </si>
  <si>
    <t xml:space="preserve">C0115</t>
  </si>
  <si>
    <t xml:space="preserve">Deepika Kulkarni</t>
  </si>
  <si>
    <t xml:space="preserve">C0116</t>
  </si>
  <si>
    <t xml:space="preserve">Kunal Chauhan</t>
  </si>
  <si>
    <t xml:space="preserve">C0117</t>
  </si>
  <si>
    <t xml:space="preserve">Nisha Chauhan</t>
  </si>
  <si>
    <t xml:space="preserve">C0118</t>
  </si>
  <si>
    <t xml:space="preserve">Bhavna Nair</t>
  </si>
  <si>
    <t xml:space="preserve">C0119</t>
  </si>
  <si>
    <t xml:space="preserve">Vishal Roy</t>
  </si>
  <si>
    <t xml:space="preserve">C0120</t>
  </si>
  <si>
    <t xml:space="preserve">Riya Malhotra</t>
  </si>
  <si>
    <t xml:space="preserve">C0121</t>
  </si>
  <si>
    <t xml:space="preserve">Radhika Gupta</t>
  </si>
  <si>
    <t xml:space="preserve">C0122</t>
  </si>
  <si>
    <t xml:space="preserve">Bhavna Patel</t>
  </si>
  <si>
    <t xml:space="preserve">C0123</t>
  </si>
  <si>
    <t xml:space="preserve">Jyoti Kaur</t>
  </si>
  <si>
    <t xml:space="preserve">C0124</t>
  </si>
  <si>
    <t xml:space="preserve">Komal Rathore</t>
  </si>
  <si>
    <t xml:space="preserve">C0125</t>
  </si>
  <si>
    <t xml:space="preserve">Vishal Khan</t>
  </si>
  <si>
    <t xml:space="preserve">C0126</t>
  </si>
  <si>
    <t xml:space="preserve">Riya Iyer</t>
  </si>
  <si>
    <t xml:space="preserve">C0127</t>
  </si>
  <si>
    <t xml:space="preserve">Siddharth Agarwal</t>
  </si>
  <si>
    <t xml:space="preserve">C0128</t>
  </si>
  <si>
    <t xml:space="preserve">Ananya Agarwal</t>
  </si>
  <si>
    <t xml:space="preserve">C0129</t>
  </si>
  <si>
    <t xml:space="preserve">Uma Chauhan</t>
  </si>
  <si>
    <t xml:space="preserve">C0130</t>
  </si>
  <si>
    <t xml:space="preserve">Naveen Pillai</t>
  </si>
  <si>
    <t xml:space="preserve">C0131</t>
  </si>
  <si>
    <t xml:space="preserve">Vikram Rao</t>
  </si>
  <si>
    <t xml:space="preserve">C0132</t>
  </si>
  <si>
    <t xml:space="preserve">Kritika Rathore</t>
  </si>
  <si>
    <t xml:space="preserve">C0133</t>
  </si>
  <si>
    <t xml:space="preserve">Pankaj Ghosh</t>
  </si>
  <si>
    <t xml:space="preserve">C0134</t>
  </si>
  <si>
    <t xml:space="preserve">Uma Shekhawat</t>
  </si>
  <si>
    <t xml:space="preserve">C0135</t>
  </si>
  <si>
    <t xml:space="preserve">Sunita Bhatt</t>
  </si>
  <si>
    <t xml:space="preserve">C0136</t>
  </si>
  <si>
    <t xml:space="preserve">Sneha Bose</t>
  </si>
  <si>
    <t xml:space="preserve">C0137</t>
  </si>
  <si>
    <t xml:space="preserve">Varun Kulkarni</t>
  </si>
  <si>
    <t xml:space="preserve">C0138</t>
  </si>
  <si>
    <t xml:space="preserve">Tara Pandey</t>
  </si>
  <si>
    <t xml:space="preserve">C0139</t>
  </si>
  <si>
    <t xml:space="preserve">Amit Joshi</t>
  </si>
  <si>
    <t xml:space="preserve">C0140</t>
  </si>
  <si>
    <t xml:space="preserve">Neha Gupta</t>
  </si>
  <si>
    <t xml:space="preserve">C0141</t>
  </si>
  <si>
    <t xml:space="preserve">Ekta Sinha</t>
  </si>
  <si>
    <t xml:space="preserve">C0142</t>
  </si>
  <si>
    <t xml:space="preserve">Prakash Das</t>
  </si>
  <si>
    <t xml:space="preserve">C0143</t>
  </si>
  <si>
    <t xml:space="preserve">Sneha Roy</t>
  </si>
  <si>
    <t xml:space="preserve">C0144</t>
  </si>
  <si>
    <t xml:space="preserve">Jyoti Singh</t>
  </si>
  <si>
    <t xml:space="preserve">C0145</t>
  </si>
  <si>
    <t xml:space="preserve">Aditya Shekhawat</t>
  </si>
  <si>
    <t xml:space="preserve">C0146</t>
  </si>
  <si>
    <t xml:space="preserve">Abhishek Fernandes</t>
  </si>
  <si>
    <t xml:space="preserve">C0147</t>
  </si>
  <si>
    <t xml:space="preserve">Pallavi Joshi</t>
  </si>
  <si>
    <t xml:space="preserve">C0148</t>
  </si>
  <si>
    <t xml:space="preserve">Suresh Banerjee</t>
  </si>
  <si>
    <t xml:space="preserve">C0149</t>
  </si>
  <si>
    <t xml:space="preserve">Akash Mukherjee</t>
  </si>
  <si>
    <t xml:space="preserve">C0150</t>
  </si>
  <si>
    <t xml:space="preserve">Karan Naidu</t>
  </si>
  <si>
    <t xml:space="preserve">C0151</t>
  </si>
  <si>
    <t xml:space="preserve">Vivaan Bose</t>
  </si>
  <si>
    <t xml:space="preserve">C0152</t>
  </si>
  <si>
    <t xml:space="preserve">Uma Agarwal</t>
  </si>
  <si>
    <t xml:space="preserve">C0153</t>
  </si>
  <si>
    <t xml:space="preserve">Aarav Reddy</t>
  </si>
  <si>
    <t xml:space="preserve">C0154</t>
  </si>
  <si>
    <t xml:space="preserve">Vidya Nair</t>
  </si>
  <si>
    <t xml:space="preserve">C0155</t>
  </si>
  <si>
    <t xml:space="preserve">Manish Rao</t>
  </si>
  <si>
    <t xml:space="preserve">C0156</t>
  </si>
  <si>
    <t xml:space="preserve">Hema Saxena</t>
  </si>
  <si>
    <t xml:space="preserve">C0157</t>
  </si>
  <si>
    <t xml:space="preserve">Ashish Patel</t>
  </si>
  <si>
    <t xml:space="preserve">C0158</t>
  </si>
  <si>
    <t xml:space="preserve">Dev Menon</t>
  </si>
  <si>
    <t xml:space="preserve">C0159</t>
  </si>
  <si>
    <t xml:space="preserve">Varun Tiwari</t>
  </si>
  <si>
    <t xml:space="preserve">Bhopal</t>
  </si>
  <si>
    <t xml:space="preserve">C0160</t>
  </si>
  <si>
    <t xml:space="preserve">Ananya Verma</t>
  </si>
  <si>
    <t xml:space="preserve">C0161</t>
  </si>
  <si>
    <t xml:space="preserve">Karan Pandey</t>
  </si>
  <si>
    <t xml:space="preserve">C0162</t>
  </si>
  <si>
    <t xml:space="preserve">Rashmi Joshi</t>
  </si>
  <si>
    <t xml:space="preserve">C0163</t>
  </si>
  <si>
    <t xml:space="preserve">Rahul Pandey</t>
  </si>
  <si>
    <t xml:space="preserve">C0164</t>
  </si>
  <si>
    <t xml:space="preserve">Dev Naidu</t>
  </si>
  <si>
    <t xml:space="preserve">C0165</t>
  </si>
  <si>
    <t xml:space="preserve">Lokesh Shetty</t>
  </si>
  <si>
    <t xml:space="preserve">C0166</t>
  </si>
  <si>
    <t xml:space="preserve">Simran Reddy</t>
  </si>
  <si>
    <t xml:space="preserve">C0167</t>
  </si>
  <si>
    <t xml:space="preserve">Kritika Shekhawat</t>
  </si>
  <si>
    <t xml:space="preserve">C0168</t>
  </si>
  <si>
    <t xml:space="preserve">Sameer Ghosh</t>
  </si>
  <si>
    <t xml:space="preserve">C0169</t>
  </si>
  <si>
    <t xml:space="preserve">Mayank Ghosh</t>
  </si>
  <si>
    <t xml:space="preserve">C0170</t>
  </si>
  <si>
    <t xml:space="preserve">Diya Rathore</t>
  </si>
  <si>
    <t xml:space="preserve">C0171</t>
  </si>
  <si>
    <t xml:space="preserve">Dev Agarwal</t>
  </si>
  <si>
    <t xml:space="preserve">C0172</t>
  </si>
  <si>
    <t xml:space="preserve">Ishaan Rathore</t>
  </si>
  <si>
    <t xml:space="preserve">C0173</t>
  </si>
  <si>
    <t xml:space="preserve">Pooja Joshi</t>
  </si>
  <si>
    <t xml:space="preserve">C0174</t>
  </si>
  <si>
    <t xml:space="preserve">Diya Ahmed</t>
  </si>
  <si>
    <t xml:space="preserve">C0175</t>
  </si>
  <si>
    <t xml:space="preserve">Rohan Bansal</t>
  </si>
  <si>
    <t xml:space="preserve">C0176</t>
  </si>
  <si>
    <t xml:space="preserve">Akash Rathore</t>
  </si>
  <si>
    <t xml:space="preserve">C0177</t>
  </si>
  <si>
    <t xml:space="preserve">Chitra Verma</t>
  </si>
  <si>
    <t xml:space="preserve">C0178</t>
  </si>
  <si>
    <t xml:space="preserve">Tara Bose</t>
  </si>
  <si>
    <t xml:space="preserve">C0179</t>
  </si>
  <si>
    <t xml:space="preserve">Ananya Tiwari</t>
  </si>
  <si>
    <t xml:space="preserve">C0180</t>
  </si>
  <si>
    <t xml:space="preserve">Tanvi Bansal</t>
  </si>
  <si>
    <t xml:space="preserve">C0181</t>
  </si>
  <si>
    <t xml:space="preserve">Diya Singh</t>
  </si>
  <si>
    <t xml:space="preserve">C0182</t>
  </si>
  <si>
    <t xml:space="preserve">Sanjay Pillai</t>
  </si>
  <si>
    <t xml:space="preserve">C0183</t>
  </si>
  <si>
    <t xml:space="preserve">Tanvi Gupta</t>
  </si>
  <si>
    <t xml:space="preserve">C0184</t>
  </si>
  <si>
    <t xml:space="preserve">Vishal Mehta</t>
  </si>
  <si>
    <t xml:space="preserve">C0185</t>
  </si>
  <si>
    <t xml:space="preserve">Bhavna Rao</t>
  </si>
  <si>
    <t xml:space="preserve">C0186</t>
  </si>
  <si>
    <t xml:space="preserve">Rahul Rao</t>
  </si>
  <si>
    <t xml:space="preserve">C0187</t>
  </si>
  <si>
    <t xml:space="preserve">Riya Saxena</t>
  </si>
  <si>
    <t xml:space="preserve">C0188</t>
  </si>
  <si>
    <t xml:space="preserve">Jyoti Bansal</t>
  </si>
  <si>
    <t xml:space="preserve">C0189</t>
  </si>
  <si>
    <t xml:space="preserve">Manish Saxena</t>
  </si>
  <si>
    <t xml:space="preserve">C0190</t>
  </si>
  <si>
    <t xml:space="preserve">Aditya Shetty</t>
  </si>
  <si>
    <t xml:space="preserve">C0191</t>
  </si>
  <si>
    <t xml:space="preserve">Suresh Mishra</t>
  </si>
  <si>
    <t xml:space="preserve">C0192</t>
  </si>
  <si>
    <t xml:space="preserve">Nikhil Singh</t>
  </si>
  <si>
    <t xml:space="preserve">C0193</t>
  </si>
  <si>
    <t xml:space="preserve">Prakash Kulkarni</t>
  </si>
  <si>
    <t xml:space="preserve">C0194</t>
  </si>
  <si>
    <t xml:space="preserve">Naveen Mehta</t>
  </si>
  <si>
    <t xml:space="preserve">C0195</t>
  </si>
  <si>
    <t xml:space="preserve">Yash Ghosh</t>
  </si>
  <si>
    <t xml:space="preserve">C0196</t>
  </si>
  <si>
    <t xml:space="preserve">Amit Das</t>
  </si>
  <si>
    <t xml:space="preserve">C0197</t>
  </si>
  <si>
    <t xml:space="preserve">Kritika Reddy</t>
  </si>
  <si>
    <t xml:space="preserve">C0198</t>
  </si>
  <si>
    <t xml:space="preserve">Akash Nair</t>
  </si>
  <si>
    <t xml:space="preserve">C0199</t>
  </si>
  <si>
    <t xml:space="preserve">Radhika Patel</t>
  </si>
  <si>
    <t xml:space="preserve">C0200</t>
  </si>
  <si>
    <t xml:space="preserve">Uma Malhotra</t>
  </si>
  <si>
    <t xml:space="preserve">C0201</t>
  </si>
  <si>
    <t xml:space="preserve">Nandini Saxena</t>
  </si>
  <si>
    <t xml:space="preserve">C0202</t>
  </si>
  <si>
    <t xml:space="preserve">Akash Pillai</t>
  </si>
  <si>
    <t xml:space="preserve">C0203</t>
  </si>
  <si>
    <t xml:space="preserve">Anil Khan</t>
  </si>
  <si>
    <t xml:space="preserve">C0204</t>
  </si>
  <si>
    <t xml:space="preserve">Tarun Mehta</t>
  </si>
  <si>
    <t xml:space="preserve">C0205</t>
  </si>
  <si>
    <t xml:space="preserve">Sanjay Bansal</t>
  </si>
  <si>
    <t xml:space="preserve">C0206</t>
  </si>
  <si>
    <t xml:space="preserve">Jatin Rao</t>
  </si>
  <si>
    <t xml:space="preserve">C0207</t>
  </si>
  <si>
    <t xml:space="preserve">Lokesh Sharma</t>
  </si>
  <si>
    <t xml:space="preserve">C0208</t>
  </si>
  <si>
    <t xml:space="preserve">Amit Shetty</t>
  </si>
  <si>
    <t xml:space="preserve">C0209</t>
  </si>
  <si>
    <t xml:space="preserve">Ankit Nair</t>
  </si>
  <si>
    <t xml:space="preserve">C0210</t>
  </si>
  <si>
    <t xml:space="preserve">Rohan Sinha</t>
  </si>
  <si>
    <t xml:space="preserve">C0211</t>
  </si>
  <si>
    <t xml:space="preserve">Anil Sinha</t>
  </si>
  <si>
    <t xml:space="preserve">C0212</t>
  </si>
  <si>
    <t xml:space="preserve">Hema Fernandes</t>
  </si>
  <si>
    <t xml:space="preserve">C0213</t>
  </si>
  <si>
    <t xml:space="preserve">Ritu Mukherjee</t>
  </si>
  <si>
    <t xml:space="preserve">C0214</t>
  </si>
  <si>
    <t xml:space="preserve">Dev Kulkarni</t>
  </si>
  <si>
    <t xml:space="preserve">C0215</t>
  </si>
  <si>
    <t xml:space="preserve">Lavanya Pillai</t>
  </si>
  <si>
    <t xml:space="preserve">C0216</t>
  </si>
  <si>
    <t xml:space="preserve">Ashish Kaur</t>
  </si>
  <si>
    <t xml:space="preserve">C0217</t>
  </si>
  <si>
    <t xml:space="preserve">Mohit Shekhawat</t>
  </si>
  <si>
    <t xml:space="preserve">C0218</t>
  </si>
  <si>
    <t xml:space="preserve">Ritu Rathore</t>
  </si>
  <si>
    <t xml:space="preserve">C0219</t>
  </si>
  <si>
    <t xml:space="preserve">Vidya Roy</t>
  </si>
  <si>
    <t xml:space="preserve">C0220</t>
  </si>
  <si>
    <t xml:space="preserve">Lokesh Iyer</t>
  </si>
  <si>
    <t xml:space="preserve">C0221</t>
  </si>
  <si>
    <t xml:space="preserve">Sameer Chauhan</t>
  </si>
  <si>
    <t xml:space="preserve">C0222</t>
  </si>
  <si>
    <t xml:space="preserve">Rajesh Banerjee</t>
  </si>
  <si>
    <t xml:space="preserve">C0223</t>
  </si>
  <si>
    <t xml:space="preserve">Tara Saxena</t>
  </si>
  <si>
    <t xml:space="preserve">C0224</t>
  </si>
  <si>
    <t xml:space="preserve">Hema Agarwal</t>
  </si>
  <si>
    <t xml:space="preserve">C0225</t>
  </si>
  <si>
    <t xml:space="preserve">Neha Rathore</t>
  </si>
  <si>
    <t xml:space="preserve">C0226</t>
  </si>
  <si>
    <t xml:space="preserve">Pooja Pillai</t>
  </si>
  <si>
    <t xml:space="preserve">C0227</t>
  </si>
  <si>
    <t xml:space="preserve">Mayank Chatterjee</t>
  </si>
  <si>
    <t xml:space="preserve">C0228</t>
  </si>
  <si>
    <t xml:space="preserve">Ankit Bose</t>
  </si>
  <si>
    <t xml:space="preserve">C0229</t>
  </si>
  <si>
    <t xml:space="preserve">Vikram Sharma</t>
  </si>
  <si>
    <t xml:space="preserve">C0230</t>
  </si>
  <si>
    <t xml:space="preserve">Anil Shetty</t>
  </si>
  <si>
    <t xml:space="preserve">C0231</t>
  </si>
  <si>
    <t xml:space="preserve">Naveen Fernandes</t>
  </si>
  <si>
    <t xml:space="preserve">C0232</t>
  </si>
  <si>
    <t xml:space="preserve">Deepak Rao</t>
  </si>
  <si>
    <t xml:space="preserve">C0233</t>
  </si>
  <si>
    <t xml:space="preserve">Vishal Tiwari</t>
  </si>
  <si>
    <t xml:space="preserve">C0234</t>
  </si>
  <si>
    <t xml:space="preserve">Ishaan Reddy</t>
  </si>
  <si>
    <t xml:space="preserve">C0235</t>
  </si>
  <si>
    <t xml:space="preserve">Abhishek Pillai</t>
  </si>
  <si>
    <t xml:space="preserve">C0236</t>
  </si>
  <si>
    <t xml:space="preserve">Priya Das</t>
  </si>
  <si>
    <t xml:space="preserve">C0237</t>
  </si>
  <si>
    <t xml:space="preserve">Ritu Kapoor</t>
  </si>
  <si>
    <t xml:space="preserve">C0238</t>
  </si>
  <si>
    <t xml:space="preserve">Komal Jain</t>
  </si>
  <si>
    <t xml:space="preserve">C0239</t>
  </si>
  <si>
    <t xml:space="preserve">Arjun Shekhawat</t>
  </si>
  <si>
    <t xml:space="preserve">C0240</t>
  </si>
  <si>
    <t xml:space="preserve">Shreya Mishra</t>
  </si>
  <si>
    <t xml:space="preserve">C0241</t>
  </si>
  <si>
    <t xml:space="preserve">Hema Pandey</t>
  </si>
  <si>
    <t xml:space="preserve">C0242</t>
  </si>
  <si>
    <t xml:space="preserve">Vidya Pillai</t>
  </si>
  <si>
    <t xml:space="preserve">C0243</t>
  </si>
  <si>
    <t xml:space="preserve">Kritika Chauhan</t>
  </si>
  <si>
    <t xml:space="preserve">C0244</t>
  </si>
  <si>
    <t xml:space="preserve">Akash Sinha</t>
  </si>
  <si>
    <t xml:space="preserve">C0245</t>
  </si>
  <si>
    <t xml:space="preserve">Mohit Bose</t>
  </si>
  <si>
    <t xml:space="preserve">C0246</t>
  </si>
  <si>
    <t xml:space="preserve">Mayank Patil</t>
  </si>
  <si>
    <t xml:space="preserve">C0247</t>
  </si>
  <si>
    <t xml:space="preserve">Naveen Kulkarni</t>
  </si>
  <si>
    <t xml:space="preserve">C0248</t>
  </si>
  <si>
    <t xml:space="preserve">Nikhil Saxena</t>
  </si>
  <si>
    <t xml:space="preserve">C0249</t>
  </si>
  <si>
    <t xml:space="preserve">Prakash Pandey</t>
  </si>
  <si>
    <t xml:space="preserve">C0250</t>
  </si>
  <si>
    <t xml:space="preserve">Shreya Khan</t>
  </si>
  <si>
    <t xml:space="preserve">C0251</t>
  </si>
  <si>
    <t xml:space="preserve">Yash Chatterjee</t>
  </si>
  <si>
    <t xml:space="preserve">C0252</t>
  </si>
  <si>
    <t xml:space="preserve">Aditya Gupta</t>
  </si>
  <si>
    <t xml:space="preserve">C0253</t>
  </si>
  <si>
    <t xml:space="preserve">Ritu Bhatt</t>
  </si>
  <si>
    <t xml:space="preserve">C0254</t>
  </si>
  <si>
    <t xml:space="preserve">Gaurav Agarwal</t>
  </si>
  <si>
    <t xml:space="preserve">C0255</t>
  </si>
  <si>
    <t xml:space="preserve">Suresh Iyer</t>
  </si>
  <si>
    <t xml:space="preserve">C0256</t>
  </si>
  <si>
    <t xml:space="preserve">Sunita Sinha</t>
  </si>
  <si>
    <t xml:space="preserve">C0257</t>
  </si>
  <si>
    <t xml:space="preserve">Deepika Banerjee</t>
  </si>
  <si>
    <t xml:space="preserve">C0258</t>
  </si>
  <si>
    <t xml:space="preserve">Simran Bansal</t>
  </si>
  <si>
    <t xml:space="preserve">C0259</t>
  </si>
  <si>
    <t xml:space="preserve">Pallavi Reddy</t>
  </si>
  <si>
    <t xml:space="preserve">C0260</t>
  </si>
  <si>
    <t xml:space="preserve">Arjun Khan</t>
  </si>
  <si>
    <t xml:space="preserve">C0261</t>
  </si>
  <si>
    <t xml:space="preserve">Nikhil Patel</t>
  </si>
  <si>
    <t xml:space="preserve">C0262</t>
  </si>
  <si>
    <t xml:space="preserve">Priya Kulkarni</t>
  </si>
  <si>
    <t xml:space="preserve">C0263</t>
  </si>
  <si>
    <t xml:space="preserve">Chitra Mehta</t>
  </si>
  <si>
    <t xml:space="preserve">C0264</t>
  </si>
  <si>
    <t xml:space="preserve">Rashmi Bansal</t>
  </si>
  <si>
    <t xml:space="preserve">C0265</t>
  </si>
  <si>
    <t xml:space="preserve">Kritika Mishra</t>
  </si>
  <si>
    <t xml:space="preserve">C0266</t>
  </si>
  <si>
    <t xml:space="preserve">Nisha Pandey</t>
  </si>
  <si>
    <t xml:space="preserve">C0267</t>
  </si>
  <si>
    <t xml:space="preserve">Karan Malhotra</t>
  </si>
  <si>
    <t xml:space="preserve">C0268</t>
  </si>
  <si>
    <t xml:space="preserve">Sameer Malhotra</t>
  </si>
  <si>
    <t xml:space="preserve">C0269</t>
  </si>
  <si>
    <t xml:space="preserve">Gaurav Bansal</t>
  </si>
  <si>
    <t xml:space="preserve">C0270</t>
  </si>
  <si>
    <t xml:space="preserve">Gaurav Chatterjee</t>
  </si>
  <si>
    <t xml:space="preserve">C0271</t>
  </si>
  <si>
    <t xml:space="preserve">Vikram Menon</t>
  </si>
  <si>
    <t xml:space="preserve">C0272</t>
  </si>
  <si>
    <t xml:space="preserve">Ankit Saxena</t>
  </si>
  <si>
    <t xml:space="preserve">C0273</t>
  </si>
  <si>
    <t xml:space="preserve">Naman Patel</t>
  </si>
  <si>
    <t xml:space="preserve">C0274</t>
  </si>
  <si>
    <t xml:space="preserve">Harsh Shetty</t>
  </si>
  <si>
    <t xml:space="preserve">C0275</t>
  </si>
  <si>
    <t xml:space="preserve">Riya Mehta</t>
  </si>
  <si>
    <t xml:space="preserve">C0276</t>
  </si>
  <si>
    <t xml:space="preserve">Simran Kapoor</t>
  </si>
  <si>
    <t xml:space="preserve">C0277</t>
  </si>
  <si>
    <t xml:space="preserve">Prakash Verma</t>
  </si>
  <si>
    <t xml:space="preserve">C0278</t>
  </si>
  <si>
    <t xml:space="preserve">Aishwarya Verma</t>
  </si>
  <si>
    <t xml:space="preserve">C0279</t>
  </si>
  <si>
    <t xml:space="preserve">Siddharth Banerjee</t>
  </si>
  <si>
    <t xml:space="preserve">C0280</t>
  </si>
  <si>
    <t xml:space="preserve">Aditya Joshi</t>
  </si>
  <si>
    <t xml:space="preserve">C0281</t>
  </si>
  <si>
    <t xml:space="preserve">Jyoti Bhatt</t>
  </si>
  <si>
    <t xml:space="preserve">C0282</t>
  </si>
  <si>
    <t xml:space="preserve">Tara Khan</t>
  </si>
  <si>
    <t xml:space="preserve">C0283</t>
  </si>
  <si>
    <t xml:space="preserve">Tarun Kulkarni</t>
  </si>
  <si>
    <t xml:space="preserve">C0284</t>
  </si>
  <si>
    <t xml:space="preserve">Aditya Fernandes</t>
  </si>
  <si>
    <t xml:space="preserve">C0285</t>
  </si>
  <si>
    <t xml:space="preserve">Riya Rao</t>
  </si>
  <si>
    <t xml:space="preserve">C0286</t>
  </si>
  <si>
    <t xml:space="preserve">Mohit Verma</t>
  </si>
  <si>
    <t xml:space="preserve">C0287</t>
  </si>
  <si>
    <t xml:space="preserve">Aditi Agarwal</t>
  </si>
  <si>
    <t xml:space="preserve">C0288</t>
  </si>
  <si>
    <t xml:space="preserve">Karan Kapoor</t>
  </si>
  <si>
    <t xml:space="preserve">C0289</t>
  </si>
  <si>
    <t xml:space="preserve">Nikhil Gupta</t>
  </si>
  <si>
    <t xml:space="preserve">C0290</t>
  </si>
  <si>
    <t xml:space="preserve">Sanjay Das</t>
  </si>
  <si>
    <t xml:space="preserve">C0291</t>
  </si>
  <si>
    <t xml:space="preserve">Nikhil Shekhawat</t>
  </si>
  <si>
    <t xml:space="preserve">C0292</t>
  </si>
  <si>
    <t xml:space="preserve">Rajesh Ghosh</t>
  </si>
  <si>
    <t xml:space="preserve">C0293</t>
  </si>
  <si>
    <t xml:space="preserve">Isha Pandey</t>
  </si>
  <si>
    <t xml:space="preserve">C0294</t>
  </si>
  <si>
    <t xml:space="preserve">Yash Jain</t>
  </si>
  <si>
    <t xml:space="preserve">C0295</t>
  </si>
  <si>
    <t xml:space="preserve">Priya Menon</t>
  </si>
  <si>
    <t xml:space="preserve">C0296</t>
  </si>
  <si>
    <t xml:space="preserve">Anjali Mukherjee</t>
  </si>
  <si>
    <t xml:space="preserve">C0297</t>
  </si>
  <si>
    <t xml:space="preserve">Jyoti Chopra</t>
  </si>
  <si>
    <t xml:space="preserve">C0298</t>
  </si>
  <si>
    <t xml:space="preserve">Arjun Pandey</t>
  </si>
  <si>
    <t xml:space="preserve">C0299</t>
  </si>
  <si>
    <t xml:space="preserve">Ishaan Agarwal</t>
  </si>
  <si>
    <t xml:space="preserve">C0300</t>
  </si>
  <si>
    <t xml:space="preserve">Nandini Verma</t>
  </si>
  <si>
    <t xml:space="preserve">C0301</t>
  </si>
  <si>
    <t xml:space="preserve">Siddharth Shetty</t>
  </si>
  <si>
    <t xml:space="preserve">C0302</t>
  </si>
  <si>
    <t xml:space="preserve">Pallavi Bhatt</t>
  </si>
  <si>
    <t xml:space="preserve">C0303</t>
  </si>
  <si>
    <t xml:space="preserve">Aarav Saxena</t>
  </si>
  <si>
    <t xml:space="preserve">C0304</t>
  </si>
  <si>
    <t xml:space="preserve">Mohit Das</t>
  </si>
  <si>
    <t xml:space="preserve">C0305</t>
  </si>
  <si>
    <t xml:space="preserve">Bhavna Rathore</t>
  </si>
  <si>
    <t xml:space="preserve">C0306</t>
  </si>
  <si>
    <t xml:space="preserve">Aarav Rathore</t>
  </si>
  <si>
    <t xml:space="preserve">C0307</t>
  </si>
  <si>
    <t xml:space="preserve">Bhavna Bose</t>
  </si>
  <si>
    <t xml:space="preserve">C0308</t>
  </si>
  <si>
    <t xml:space="preserve">Ankit Fernandes</t>
  </si>
  <si>
    <t xml:space="preserve">C0309</t>
  </si>
  <si>
    <t xml:space="preserve">Aarav Mehta</t>
  </si>
  <si>
    <t xml:space="preserve">C0310</t>
  </si>
  <si>
    <t xml:space="preserve">Dev Saxena</t>
  </si>
  <si>
    <t xml:space="preserve">C0311</t>
  </si>
  <si>
    <t xml:space="preserve">Ananya Iyer</t>
  </si>
  <si>
    <t xml:space="preserve">C0312</t>
  </si>
  <si>
    <t xml:space="preserve">Akash Malhotra</t>
  </si>
  <si>
    <t xml:space="preserve">C0313</t>
  </si>
  <si>
    <t xml:space="preserve">Naveen Naidu</t>
  </si>
  <si>
    <t xml:space="preserve">C0314</t>
  </si>
  <si>
    <t xml:space="preserve">Harsh Bhatt</t>
  </si>
  <si>
    <t xml:space="preserve">C0315</t>
  </si>
  <si>
    <t xml:space="preserve">Vidya Patel</t>
  </si>
  <si>
    <t xml:space="preserve">C0316</t>
  </si>
  <si>
    <t xml:space="preserve">Pranav Shetty</t>
  </si>
  <si>
    <t xml:space="preserve">C0317</t>
  </si>
  <si>
    <t xml:space="preserve">Karan Shetty</t>
  </si>
  <si>
    <t xml:space="preserve">C0318</t>
  </si>
  <si>
    <t xml:space="preserve">Aarav Bose</t>
  </si>
  <si>
    <t xml:space="preserve">C0319</t>
  </si>
  <si>
    <t xml:space="preserve">Anil Rao</t>
  </si>
  <si>
    <t xml:space="preserve">C0320</t>
  </si>
  <si>
    <t xml:space="preserve">Manish Kulkarni</t>
  </si>
  <si>
    <t xml:space="preserve">C0321</t>
  </si>
  <si>
    <t xml:space="preserve">Aditi Sinha</t>
  </si>
  <si>
    <t xml:space="preserve">C0322</t>
  </si>
  <si>
    <t xml:space="preserve">Komal Banerjee</t>
  </si>
  <si>
    <t xml:space="preserve">C0323</t>
  </si>
  <si>
    <t xml:space="preserve">Ankit Chopra</t>
  </si>
  <si>
    <t xml:space="preserve">C0324</t>
  </si>
  <si>
    <t xml:space="preserve">Kunal Malhotra</t>
  </si>
  <si>
    <t xml:space="preserve">C0325</t>
  </si>
  <si>
    <t xml:space="preserve">Chitra Singh</t>
  </si>
  <si>
    <t xml:space="preserve">C0326</t>
  </si>
  <si>
    <t xml:space="preserve">Bhavna Pandey</t>
  </si>
  <si>
    <t xml:space="preserve">C0327</t>
  </si>
  <si>
    <t xml:space="preserve">Simran Chopra</t>
  </si>
  <si>
    <t xml:space="preserve">C0328</t>
  </si>
  <si>
    <t xml:space="preserve">Mohit Pillai</t>
  </si>
  <si>
    <t xml:space="preserve">C0329</t>
  </si>
  <si>
    <t xml:space="preserve">Arjun Kulkarni</t>
  </si>
  <si>
    <t xml:space="preserve">C0330</t>
  </si>
  <si>
    <t xml:space="preserve">Manish Chopra</t>
  </si>
  <si>
    <t xml:space="preserve">C0331</t>
  </si>
  <si>
    <t xml:space="preserve">Ashish Menon</t>
  </si>
  <si>
    <t xml:space="preserve">C0332</t>
  </si>
  <si>
    <t xml:space="preserve">Chitra Roy</t>
  </si>
  <si>
    <t xml:space="preserve">C0333</t>
  </si>
  <si>
    <t xml:space="preserve">Sunita Joshi</t>
  </si>
  <si>
    <t xml:space="preserve">C0334</t>
  </si>
  <si>
    <t xml:space="preserve">Madhavi Malhotra</t>
  </si>
  <si>
    <t xml:space="preserve">C0335</t>
  </si>
  <si>
    <t xml:space="preserve">Madhavi Chauhan</t>
  </si>
  <si>
    <t xml:space="preserve">C0336</t>
  </si>
  <si>
    <t xml:space="preserve">Ananya Pillai</t>
  </si>
  <si>
    <t xml:space="preserve">C0337</t>
  </si>
  <si>
    <t xml:space="preserve">Yash Banerjee</t>
  </si>
  <si>
    <t xml:space="preserve">C0338</t>
  </si>
  <si>
    <t xml:space="preserve">Shreya Patel</t>
  </si>
  <si>
    <t xml:space="preserve">C0339</t>
  </si>
  <si>
    <t xml:space="preserve">Akash Fernandes</t>
  </si>
  <si>
    <t xml:space="preserve">C0340</t>
  </si>
  <si>
    <t xml:space="preserve">Simran Shetty</t>
  </si>
  <si>
    <t xml:space="preserve">C0341</t>
  </si>
  <si>
    <t xml:space="preserve">Chitra Reddy</t>
  </si>
  <si>
    <t xml:space="preserve">C0342</t>
  </si>
  <si>
    <t xml:space="preserve">Vidya Patil</t>
  </si>
  <si>
    <t xml:space="preserve">C0343</t>
  </si>
  <si>
    <t xml:space="preserve">Deepika Verma</t>
  </si>
  <si>
    <t xml:space="preserve">C0344</t>
  </si>
  <si>
    <t xml:space="preserve">Nandini Rao</t>
  </si>
  <si>
    <t xml:space="preserve">C0345</t>
  </si>
  <si>
    <t xml:space="preserve">Deepika Fernandes</t>
  </si>
  <si>
    <t xml:space="preserve">C0346</t>
  </si>
  <si>
    <t xml:space="preserve">Sneha Rathore</t>
  </si>
  <si>
    <t xml:space="preserve">C0347</t>
  </si>
  <si>
    <t xml:space="preserve">Aditi Chopra</t>
  </si>
  <si>
    <t xml:space="preserve">C0348</t>
  </si>
  <si>
    <t xml:space="preserve">Sameer Sinha</t>
  </si>
  <si>
    <t xml:space="preserve">C0349</t>
  </si>
  <si>
    <t xml:space="preserve">Hema Tiwari</t>
  </si>
  <si>
    <t xml:space="preserve">C0350</t>
  </si>
  <si>
    <t xml:space="preserve">Bhavna Bhatt</t>
  </si>
  <si>
    <t xml:space="preserve">C0351</t>
  </si>
  <si>
    <t xml:space="preserve">Chitra Das</t>
  </si>
  <si>
    <t xml:space="preserve">C0352</t>
  </si>
  <si>
    <t xml:space="preserve">Arjun Naidu</t>
  </si>
  <si>
    <t xml:space="preserve">C0353</t>
  </si>
  <si>
    <t xml:space="preserve">Ishaan Joshi</t>
  </si>
  <si>
    <t xml:space="preserve">C0354</t>
  </si>
  <si>
    <t xml:space="preserve">Swati Mishra</t>
  </si>
  <si>
    <t xml:space="preserve">C0355</t>
  </si>
  <si>
    <t xml:space="preserve">Gaurav Yadav</t>
  </si>
  <si>
    <t xml:space="preserve">C0356</t>
  </si>
  <si>
    <t xml:space="preserve">Pallavi Khan</t>
  </si>
  <si>
    <t xml:space="preserve">C0357</t>
  </si>
  <si>
    <t xml:space="preserve">Pranav Patil</t>
  </si>
  <si>
    <t xml:space="preserve">C0358</t>
  </si>
  <si>
    <t xml:space="preserve">Aishwarya Nair</t>
  </si>
  <si>
    <t xml:space="preserve">C0359</t>
  </si>
  <si>
    <t xml:space="preserve">Jyoti Patel</t>
  </si>
  <si>
    <t xml:space="preserve">C0360</t>
  </si>
  <si>
    <t xml:space="preserve">Ritu Ghosh</t>
  </si>
  <si>
    <t xml:space="preserve">C0361</t>
  </si>
  <si>
    <t xml:space="preserve">Sameer Kulkarni</t>
  </si>
  <si>
    <t xml:space="preserve">C0362</t>
  </si>
  <si>
    <t xml:space="preserve">Vidya Kapoor</t>
  </si>
  <si>
    <t xml:space="preserve">C0363</t>
  </si>
  <si>
    <t xml:space="preserve">Isha Patil</t>
  </si>
  <si>
    <t xml:space="preserve">C0364</t>
  </si>
  <si>
    <t xml:space="preserve">Siddharth Pillai</t>
  </si>
  <si>
    <t xml:space="preserve">C0365</t>
  </si>
  <si>
    <t xml:space="preserve">Ashish Rao</t>
  </si>
  <si>
    <t xml:space="preserve">C0366</t>
  </si>
  <si>
    <t xml:space="preserve">Rajesh Naidu</t>
  </si>
  <si>
    <t xml:space="preserve">C0367</t>
  </si>
  <si>
    <t xml:space="preserve">Rahul Rathore</t>
  </si>
  <si>
    <t xml:space="preserve">C0368</t>
  </si>
  <si>
    <t xml:space="preserve">Pranav Bhatt</t>
  </si>
  <si>
    <t xml:space="preserve">C0369</t>
  </si>
  <si>
    <t xml:space="preserve">Radhika Singh</t>
  </si>
  <si>
    <t xml:space="preserve">C0370</t>
  </si>
  <si>
    <t xml:space="preserve">Sanjay Shekhawat</t>
  </si>
  <si>
    <t xml:space="preserve">C0371</t>
  </si>
  <si>
    <t xml:space="preserve">Tarun Bhatt</t>
  </si>
  <si>
    <t xml:space="preserve">C0372</t>
  </si>
  <si>
    <t xml:space="preserve">Vivaan Malhotra</t>
  </si>
  <si>
    <t xml:space="preserve">C0373</t>
  </si>
  <si>
    <t xml:space="preserve">Tanvi Singh</t>
  </si>
  <si>
    <t xml:space="preserve">C0374</t>
  </si>
  <si>
    <t xml:space="preserve">Ananya Joshi</t>
  </si>
  <si>
    <t xml:space="preserve">C0375</t>
  </si>
  <si>
    <t xml:space="preserve">Jyoti Fernandes</t>
  </si>
  <si>
    <t xml:space="preserve">C0376</t>
  </si>
  <si>
    <t xml:space="preserve">Diya Shetty</t>
  </si>
  <si>
    <t xml:space="preserve">C0377</t>
  </si>
  <si>
    <t xml:space="preserve">Anil Chatterjee</t>
  </si>
  <si>
    <t xml:space="preserve">C0378</t>
  </si>
  <si>
    <t xml:space="preserve">Simran Joshi</t>
  </si>
  <si>
    <t xml:space="preserve">C0379</t>
  </si>
  <si>
    <t xml:space="preserve">Ashish Singh</t>
  </si>
  <si>
    <t xml:space="preserve">C0380</t>
  </si>
  <si>
    <t xml:space="preserve">Anil Verma</t>
  </si>
  <si>
    <t xml:space="preserve">C0381</t>
  </si>
  <si>
    <t xml:space="preserve">Aditi Jain</t>
  </si>
  <si>
    <t xml:space="preserve">C0382</t>
  </si>
  <si>
    <t xml:space="preserve">Arjun Bose</t>
  </si>
  <si>
    <t xml:space="preserve">C0383</t>
  </si>
  <si>
    <t xml:space="preserve">Ekta Agarwal</t>
  </si>
  <si>
    <t xml:space="preserve">C0384</t>
  </si>
  <si>
    <t xml:space="preserve">Pooja Bose</t>
  </si>
  <si>
    <t xml:space="preserve">C0385</t>
  </si>
  <si>
    <t xml:space="preserve">Abhishek Mehta</t>
  </si>
  <si>
    <t xml:space="preserve">C0386</t>
  </si>
  <si>
    <t xml:space="preserve">Lokesh Patil</t>
  </si>
  <si>
    <t xml:space="preserve">C0387</t>
  </si>
  <si>
    <t xml:space="preserve">Riya Fernandes</t>
  </si>
  <si>
    <t xml:space="preserve">C0388</t>
  </si>
  <si>
    <t xml:space="preserve">Nisha Pillai</t>
  </si>
  <si>
    <t xml:space="preserve">C0389</t>
  </si>
  <si>
    <t xml:space="preserve">Lokesh Chopra</t>
  </si>
  <si>
    <t xml:space="preserve">C0390</t>
  </si>
  <si>
    <t xml:space="preserve">Manish Mishra</t>
  </si>
  <si>
    <t xml:space="preserve">C0391</t>
  </si>
  <si>
    <t xml:space="preserve">Karan Ahmed</t>
  </si>
  <si>
    <t xml:space="preserve">C0392</t>
  </si>
  <si>
    <t xml:space="preserve">Neha Saxena</t>
  </si>
  <si>
    <t xml:space="preserve">C0393</t>
  </si>
  <si>
    <t xml:space="preserve">Diya Chopra</t>
  </si>
  <si>
    <t xml:space="preserve">C0394</t>
  </si>
  <si>
    <t xml:space="preserve">Bhavna Joshi</t>
  </si>
  <si>
    <t xml:space="preserve">C0395</t>
  </si>
  <si>
    <t xml:space="preserve">Rahul Patil</t>
  </si>
  <si>
    <t xml:space="preserve">C0396</t>
  </si>
  <si>
    <t xml:space="preserve">Mohit Khan</t>
  </si>
  <si>
    <t xml:space="preserve">C0397</t>
  </si>
  <si>
    <t xml:space="preserve">Arjun Chopra</t>
  </si>
  <si>
    <t xml:space="preserve">C0398</t>
  </si>
  <si>
    <t xml:space="preserve">Lavanya Das</t>
  </si>
  <si>
    <t xml:space="preserve">C0399</t>
  </si>
  <si>
    <t xml:space="preserve">Sameer Roy</t>
  </si>
  <si>
    <t xml:space="preserve">C0400</t>
  </si>
  <si>
    <t xml:space="preserve">Pallavi Kapoor</t>
  </si>
  <si>
    <t xml:space="preserve">C0401</t>
  </si>
  <si>
    <t xml:space="preserve">Gaurav Shekhawat</t>
  </si>
  <si>
    <t xml:space="preserve">C0402</t>
  </si>
  <si>
    <t xml:space="preserve">Naman Naidu</t>
  </si>
  <si>
    <t xml:space="preserve">C0403</t>
  </si>
  <si>
    <t xml:space="preserve">Isha Tiwari</t>
  </si>
  <si>
    <t xml:space="preserve">C0404</t>
  </si>
  <si>
    <t xml:space="preserve">Amit Rao</t>
  </si>
  <si>
    <t xml:space="preserve">C0405</t>
  </si>
  <si>
    <t xml:space="preserve">Hema Jain</t>
  </si>
  <si>
    <t xml:space="preserve">C0406</t>
  </si>
  <si>
    <t xml:space="preserve">Varun Kaur</t>
  </si>
  <si>
    <t xml:space="preserve">C0407</t>
  </si>
  <si>
    <t xml:space="preserve">Mayank Yadav</t>
  </si>
  <si>
    <t xml:space="preserve">C0408</t>
  </si>
  <si>
    <t xml:space="preserve">Gaurav Patil</t>
  </si>
  <si>
    <t xml:space="preserve">C0409</t>
  </si>
  <si>
    <t xml:space="preserve">Kavya Pandey</t>
  </si>
  <si>
    <t xml:space="preserve">C0410</t>
  </si>
  <si>
    <t xml:space="preserve">Anjali Das</t>
  </si>
  <si>
    <t xml:space="preserve">C0411</t>
  </si>
  <si>
    <t xml:space="preserve">Ekta Ahmed</t>
  </si>
  <si>
    <t xml:space="preserve">C0412</t>
  </si>
  <si>
    <t xml:space="preserve">Karan Joshi</t>
  </si>
  <si>
    <t xml:space="preserve">C0413</t>
  </si>
  <si>
    <t xml:space="preserve">Prakash Menon</t>
  </si>
  <si>
    <t xml:space="preserve">C0414</t>
  </si>
  <si>
    <t xml:space="preserve">Uma Ahmed</t>
  </si>
  <si>
    <t xml:space="preserve">C0415</t>
  </si>
  <si>
    <t xml:space="preserve">Garima Patel</t>
  </si>
  <si>
    <t xml:space="preserve">C0416</t>
  </si>
  <si>
    <t xml:space="preserve">Kavya Joshi</t>
  </si>
  <si>
    <t xml:space="preserve">C0417</t>
  </si>
  <si>
    <t xml:space="preserve">Vidya Das</t>
  </si>
  <si>
    <t xml:space="preserve">C0418</t>
  </si>
  <si>
    <t xml:space="preserve">Naveen Khan</t>
  </si>
  <si>
    <t xml:space="preserve">C0419</t>
  </si>
  <si>
    <t xml:space="preserve">Neha Ghosh</t>
  </si>
  <si>
    <t xml:space="preserve">C0420</t>
  </si>
  <si>
    <t xml:space="preserve">Aditya Das</t>
  </si>
  <si>
    <t xml:space="preserve">C0421</t>
  </si>
  <si>
    <t xml:space="preserve">Anjali Patel</t>
  </si>
  <si>
    <t xml:space="preserve">C0422</t>
  </si>
  <si>
    <t xml:space="preserve">Sneha Kaur</t>
  </si>
  <si>
    <t xml:space="preserve">C0423</t>
  </si>
  <si>
    <t xml:space="preserve">Amit Tiwari</t>
  </si>
  <si>
    <t xml:space="preserve">C0424</t>
  </si>
  <si>
    <t xml:space="preserve">Meera Naidu</t>
  </si>
  <si>
    <t xml:space="preserve">C0425</t>
  </si>
  <si>
    <t xml:space="preserve">Anjali Kulkarni</t>
  </si>
  <si>
    <t xml:space="preserve">C0426</t>
  </si>
  <si>
    <t xml:space="preserve">Isha Shetty</t>
  </si>
  <si>
    <t xml:space="preserve">C0427</t>
  </si>
  <si>
    <t xml:space="preserve">Mayank Chauhan</t>
  </si>
  <si>
    <t xml:space="preserve">C0428</t>
  </si>
  <si>
    <t xml:space="preserve">Hema Das</t>
  </si>
  <si>
    <t xml:space="preserve">C0429</t>
  </si>
  <si>
    <t xml:space="preserve">Vivaan Ahmed</t>
  </si>
  <si>
    <t xml:space="preserve">C0430</t>
  </si>
  <si>
    <t xml:space="preserve">Pooja Malhotra</t>
  </si>
  <si>
    <t xml:space="preserve">C0431</t>
  </si>
  <si>
    <t xml:space="preserve">Sneha Joshi</t>
  </si>
  <si>
    <t xml:space="preserve">C0432</t>
  </si>
  <si>
    <t xml:space="preserve">Vivaan Rathore</t>
  </si>
  <si>
    <t xml:space="preserve">C0433</t>
  </si>
  <si>
    <t xml:space="preserve">Varun Fernandes</t>
  </si>
  <si>
    <t xml:space="preserve">C0434</t>
  </si>
  <si>
    <t xml:space="preserve">Naman Bansal</t>
  </si>
  <si>
    <t xml:space="preserve">C0435</t>
  </si>
  <si>
    <t xml:space="preserve">Garima Nair</t>
  </si>
  <si>
    <t xml:space="preserve">C0436</t>
  </si>
  <si>
    <t xml:space="preserve">Aditi Chauhan</t>
  </si>
  <si>
    <t xml:space="preserve">C0437</t>
  </si>
  <si>
    <t xml:space="preserve">Ishaan Yadav</t>
  </si>
  <si>
    <t xml:space="preserve">C0438</t>
  </si>
  <si>
    <t xml:space="preserve">Vikram Rathore</t>
  </si>
  <si>
    <t xml:space="preserve">C0439</t>
  </si>
  <si>
    <t xml:space="preserve">Akash Verma</t>
  </si>
  <si>
    <t xml:space="preserve">C0440</t>
  </si>
  <si>
    <t xml:space="preserve">Vikram Pandey</t>
  </si>
  <si>
    <t xml:space="preserve">C0441</t>
  </si>
  <si>
    <t xml:space="preserve">Tarun Ghosh</t>
  </si>
  <si>
    <t xml:space="preserve">C0442</t>
  </si>
  <si>
    <t xml:space="preserve">Meera Saxena</t>
  </si>
  <si>
    <t xml:space="preserve">C0443</t>
  </si>
  <si>
    <t xml:space="preserve">Ishaan Jain</t>
  </si>
  <si>
    <t xml:space="preserve">C0444</t>
  </si>
  <si>
    <t xml:space="preserve">Naman Iyer</t>
  </si>
  <si>
    <t xml:space="preserve">C0445</t>
  </si>
  <si>
    <t xml:space="preserve">Pallavi Malhotra</t>
  </si>
  <si>
    <t xml:space="preserve">C0446</t>
  </si>
  <si>
    <t xml:space="preserve">Sneha Das</t>
  </si>
  <si>
    <t xml:space="preserve">C0447</t>
  </si>
  <si>
    <t xml:space="preserve">Amit Desai</t>
  </si>
  <si>
    <t xml:space="preserve">C0448</t>
  </si>
  <si>
    <t xml:space="preserve">Ananya Das</t>
  </si>
  <si>
    <t xml:space="preserve">C0449</t>
  </si>
  <si>
    <t xml:space="preserve">Kritika Patil</t>
  </si>
  <si>
    <t xml:space="preserve">C0450</t>
  </si>
  <si>
    <t xml:space="preserve">Sameer Agarwal</t>
  </si>
  <si>
    <t xml:space="preserve">C0451</t>
  </si>
  <si>
    <t xml:space="preserve">Amit Singh</t>
  </si>
  <si>
    <t xml:space="preserve">C0452</t>
  </si>
  <si>
    <t xml:space="preserve">Anil Shekhawat</t>
  </si>
  <si>
    <t xml:space="preserve">C0453</t>
  </si>
  <si>
    <t xml:space="preserve">Kritika Gupta</t>
  </si>
  <si>
    <t xml:space="preserve">C0454</t>
  </si>
  <si>
    <t xml:space="preserve">Vivaan Sinha</t>
  </si>
  <si>
    <t xml:space="preserve">C0455</t>
  </si>
  <si>
    <t xml:space="preserve">Pankaj Bansal</t>
  </si>
  <si>
    <t xml:space="preserve">C0456</t>
  </si>
  <si>
    <t xml:space="preserve">Rahul Gupta</t>
  </si>
  <si>
    <t xml:space="preserve">C0457</t>
  </si>
  <si>
    <t xml:space="preserve">Sneha Saxena</t>
  </si>
  <si>
    <t xml:space="preserve">C0458</t>
  </si>
  <si>
    <t xml:space="preserve">Pankaj Kulkarni</t>
  </si>
  <si>
    <t xml:space="preserve">C0459</t>
  </si>
  <si>
    <t xml:space="preserve">Sanjay Iyer</t>
  </si>
  <si>
    <t xml:space="preserve">C0460</t>
  </si>
  <si>
    <t xml:space="preserve">Vishal Nair</t>
  </si>
  <si>
    <t xml:space="preserve">C0461</t>
  </si>
  <si>
    <t xml:space="preserve">Anjali Jain</t>
  </si>
  <si>
    <t xml:space="preserve">C0462</t>
  </si>
  <si>
    <t xml:space="preserve">Jatin Ahmed</t>
  </si>
  <si>
    <t xml:space="preserve">C0463</t>
  </si>
  <si>
    <t xml:space="preserve">Manish Desai</t>
  </si>
  <si>
    <t xml:space="preserve">C0464</t>
  </si>
  <si>
    <t xml:space="preserve">Nandini Pandey</t>
  </si>
  <si>
    <t xml:space="preserve">C0465</t>
  </si>
  <si>
    <t xml:space="preserve">Nandini Chatterjee</t>
  </si>
  <si>
    <t xml:space="preserve">C0466</t>
  </si>
  <si>
    <t xml:space="preserve">Anil Singh</t>
  </si>
  <si>
    <t xml:space="preserve">C0467</t>
  </si>
  <si>
    <t xml:space="preserve">Anil Sharma</t>
  </si>
  <si>
    <t xml:space="preserve">C0468</t>
  </si>
  <si>
    <t xml:space="preserve">Sameer Pandey</t>
  </si>
  <si>
    <t xml:space="preserve">C0469</t>
  </si>
  <si>
    <t xml:space="preserve">Pallavi Chauhan</t>
  </si>
  <si>
    <t xml:space="preserve">C0470</t>
  </si>
  <si>
    <t xml:space="preserve">Rohan Menon</t>
  </si>
  <si>
    <t xml:space="preserve">C0471</t>
  </si>
  <si>
    <t xml:space="preserve">Abhishek Roy</t>
  </si>
  <si>
    <t xml:space="preserve">C0472</t>
  </si>
  <si>
    <t xml:space="preserve">Pankaj Joshi</t>
  </si>
  <si>
    <t xml:space="preserve">C0473</t>
  </si>
  <si>
    <t xml:space="preserve">Chitra Shetty</t>
  </si>
  <si>
    <t xml:space="preserve">C0474</t>
  </si>
  <si>
    <t xml:space="preserve">Ekta Ghosh</t>
  </si>
  <si>
    <t xml:space="preserve">C0475</t>
  </si>
  <si>
    <t xml:space="preserve">Ankit Iyer</t>
  </si>
  <si>
    <t xml:space="preserve">C0476</t>
  </si>
  <si>
    <t xml:space="preserve">Yash Fernandes</t>
  </si>
  <si>
    <t xml:space="preserve">C0477</t>
  </si>
  <si>
    <t xml:space="preserve">Sakshi Naidu</t>
  </si>
  <si>
    <t xml:space="preserve">C0478</t>
  </si>
  <si>
    <t xml:space="preserve">Sakshi Verma</t>
  </si>
  <si>
    <t xml:space="preserve">C0479</t>
  </si>
  <si>
    <t xml:space="preserve">Vikram Kaur</t>
  </si>
  <si>
    <t xml:space="preserve">C0480</t>
  </si>
  <si>
    <t xml:space="preserve">Uma Mukherjee</t>
  </si>
  <si>
    <t xml:space="preserve">C0481</t>
  </si>
  <si>
    <t xml:space="preserve">Priya Roy</t>
  </si>
  <si>
    <t xml:space="preserve">C0482</t>
  </si>
  <si>
    <t xml:space="preserve">Ekta Roy</t>
  </si>
  <si>
    <t xml:space="preserve">C0483</t>
  </si>
  <si>
    <t xml:space="preserve">Garima Joshi</t>
  </si>
  <si>
    <t xml:space="preserve">C0484</t>
  </si>
  <si>
    <t xml:space="preserve">Vivaan Roy</t>
  </si>
  <si>
    <t xml:space="preserve">C0485</t>
  </si>
  <si>
    <t xml:space="preserve">Anil Chopra</t>
  </si>
  <si>
    <t xml:space="preserve">C0486</t>
  </si>
  <si>
    <t xml:space="preserve">Lavanya Shetty</t>
  </si>
  <si>
    <t xml:space="preserve">C0487</t>
  </si>
  <si>
    <t xml:space="preserve">Meera Shetty</t>
  </si>
  <si>
    <t xml:space="preserve">C0488</t>
  </si>
  <si>
    <t xml:space="preserve">Prakash Roy</t>
  </si>
  <si>
    <t xml:space="preserve">C0489</t>
  </si>
  <si>
    <t xml:space="preserve">Prakash Chatterjee</t>
  </si>
  <si>
    <t xml:space="preserve">C0490</t>
  </si>
  <si>
    <t xml:space="preserve">Amit Chatterjee</t>
  </si>
  <si>
    <t xml:space="preserve">C0491</t>
  </si>
  <si>
    <t xml:space="preserve">Arjun Das</t>
  </si>
  <si>
    <t xml:space="preserve">C0492</t>
  </si>
  <si>
    <t xml:space="preserve">Aditya Pandey</t>
  </si>
  <si>
    <t xml:space="preserve">C0493</t>
  </si>
  <si>
    <t xml:space="preserve">Sneha Pillai</t>
  </si>
  <si>
    <t xml:space="preserve">C0494</t>
  </si>
  <si>
    <t xml:space="preserve">Lokesh Sinha</t>
  </si>
  <si>
    <t xml:space="preserve">C0495</t>
  </si>
  <si>
    <t xml:space="preserve">Jatin Saxena</t>
  </si>
  <si>
    <t xml:space="preserve">C0496</t>
  </si>
  <si>
    <t xml:space="preserve">Vikram Patil</t>
  </si>
  <si>
    <t xml:space="preserve">C0497</t>
  </si>
  <si>
    <t xml:space="preserve">Nisha Patil</t>
  </si>
  <si>
    <t xml:space="preserve">C0498</t>
  </si>
  <si>
    <t xml:space="preserve">Lavanya Ghosh</t>
  </si>
  <si>
    <t xml:space="preserve">C0499</t>
  </si>
  <si>
    <t xml:space="preserve">Komal Yadav</t>
  </si>
  <si>
    <t xml:space="preserve">C0500</t>
  </si>
  <si>
    <t xml:space="preserve">Aishwarya Khan</t>
  </si>
  <si>
    <t xml:space="preserve">C0501</t>
  </si>
  <si>
    <t xml:space="preserve">Pallavi Chopra</t>
  </si>
  <si>
    <t xml:space="preserve">C0502</t>
  </si>
  <si>
    <t xml:space="preserve">Jatin Sharma</t>
  </si>
  <si>
    <t xml:space="preserve">C0503</t>
  </si>
  <si>
    <t xml:space="preserve">Diya Iyer</t>
  </si>
  <si>
    <t xml:space="preserve">C0504</t>
  </si>
  <si>
    <t xml:space="preserve">Rajesh Fernandes</t>
  </si>
  <si>
    <t xml:space="preserve">C0505</t>
  </si>
  <si>
    <t xml:space="preserve">Karan Nair</t>
  </si>
  <si>
    <t xml:space="preserve">C0506</t>
  </si>
  <si>
    <t xml:space="preserve">Vikram Agarwal</t>
  </si>
  <si>
    <t xml:space="preserve">C0507</t>
  </si>
  <si>
    <t xml:space="preserve">Uma Shetty</t>
  </si>
  <si>
    <t xml:space="preserve">C0508</t>
  </si>
  <si>
    <t xml:space="preserve">Jyoti Reddy</t>
  </si>
  <si>
    <t xml:space="preserve">C0509</t>
  </si>
  <si>
    <t xml:space="preserve">Garima Chatterjee</t>
  </si>
  <si>
    <t xml:space="preserve">C0510</t>
  </si>
  <si>
    <t xml:space="preserve">Sameer Shekhawat</t>
  </si>
  <si>
    <t xml:space="preserve">C0511</t>
  </si>
  <si>
    <t xml:space="preserve">Naveen Iyer</t>
  </si>
  <si>
    <t xml:space="preserve">C0512</t>
  </si>
  <si>
    <t xml:space="preserve">Divya Sharma</t>
  </si>
  <si>
    <t xml:space="preserve">C0513</t>
  </si>
  <si>
    <t xml:space="preserve">Abhishek Patil</t>
  </si>
  <si>
    <t xml:space="preserve">C0514</t>
  </si>
  <si>
    <t xml:space="preserve">Ekta Verma</t>
  </si>
  <si>
    <t xml:space="preserve">C0515</t>
  </si>
  <si>
    <t xml:space="preserve">Varun Jain</t>
  </si>
  <si>
    <t xml:space="preserve">C0516</t>
  </si>
  <si>
    <t xml:space="preserve">Mayank Shetty</t>
  </si>
  <si>
    <t xml:space="preserve">C0517</t>
  </si>
  <si>
    <t xml:space="preserve">Suresh Gupta</t>
  </si>
  <si>
    <t xml:space="preserve">C0518</t>
  </si>
  <si>
    <t xml:space="preserve">Akash Jain</t>
  </si>
  <si>
    <t xml:space="preserve">C0519</t>
  </si>
  <si>
    <t xml:space="preserve">Siddharth Saxena</t>
  </si>
  <si>
    <t xml:space="preserve">C0520</t>
  </si>
  <si>
    <t xml:space="preserve">Swati Chatterjee</t>
  </si>
  <si>
    <t xml:space="preserve">C0521</t>
  </si>
  <si>
    <t xml:space="preserve">Anjali Bhatt</t>
  </si>
  <si>
    <t xml:space="preserve">C0522</t>
  </si>
  <si>
    <t xml:space="preserve">Deepika Yadav</t>
  </si>
  <si>
    <t xml:space="preserve">C0523</t>
  </si>
  <si>
    <t xml:space="preserve">Priya Gupta</t>
  </si>
  <si>
    <t xml:space="preserve">C0524</t>
  </si>
  <si>
    <t xml:space="preserve">Riya Yadav</t>
  </si>
  <si>
    <t xml:space="preserve">C0525</t>
  </si>
  <si>
    <t xml:space="preserve">Nandini Menon</t>
  </si>
  <si>
    <t xml:space="preserve">C0526</t>
  </si>
  <si>
    <t xml:space="preserve">Abhishek Malhotra</t>
  </si>
  <si>
    <t xml:space="preserve">C0527</t>
  </si>
  <si>
    <t xml:space="preserve">Aditya Banerjee</t>
  </si>
  <si>
    <t xml:space="preserve">C0528</t>
  </si>
  <si>
    <t xml:space="preserve">Mayank Pandey</t>
  </si>
  <si>
    <t xml:space="preserve">C0529</t>
  </si>
  <si>
    <t xml:space="preserve">Rajesh Pillai</t>
  </si>
  <si>
    <t xml:space="preserve">C0530</t>
  </si>
  <si>
    <t xml:space="preserve">Divya Jain</t>
  </si>
  <si>
    <t xml:space="preserve">C0531</t>
  </si>
  <si>
    <t xml:space="preserve">Pranav Khan</t>
  </si>
  <si>
    <t xml:space="preserve">C0532</t>
  </si>
  <si>
    <t xml:space="preserve">Harsh Nair</t>
  </si>
  <si>
    <t xml:space="preserve">C0533</t>
  </si>
  <si>
    <t xml:space="preserve">Tanvi Rao</t>
  </si>
  <si>
    <t xml:space="preserve">C0534</t>
  </si>
  <si>
    <t xml:space="preserve">Sakshi Ghosh</t>
  </si>
  <si>
    <t xml:space="preserve">C0535</t>
  </si>
  <si>
    <t xml:space="preserve">Ankit Das</t>
  </si>
  <si>
    <t xml:space="preserve">C0536</t>
  </si>
  <si>
    <t xml:space="preserve">Divya Verma</t>
  </si>
  <si>
    <t xml:space="preserve">C0537</t>
  </si>
  <si>
    <t xml:space="preserve">Ankit Reddy</t>
  </si>
  <si>
    <t xml:space="preserve">C0538</t>
  </si>
  <si>
    <t xml:space="preserve">Priya Chauhan</t>
  </si>
  <si>
    <t xml:space="preserve">C0539</t>
  </si>
  <si>
    <t xml:space="preserve">Gaurav Bose</t>
  </si>
  <si>
    <t xml:space="preserve">C0540</t>
  </si>
  <si>
    <t xml:space="preserve">Anil Ghosh</t>
  </si>
  <si>
    <t xml:space="preserve">C0541</t>
  </si>
  <si>
    <t xml:space="preserve">Pranav Bansal</t>
  </si>
  <si>
    <t xml:space="preserve">C0542</t>
  </si>
  <si>
    <t xml:space="preserve">Sanjay Verma</t>
  </si>
  <si>
    <t xml:space="preserve">C0543</t>
  </si>
  <si>
    <t xml:space="preserve">Anjali Malhotra</t>
  </si>
  <si>
    <t xml:space="preserve">C0544</t>
  </si>
  <si>
    <t xml:space="preserve">Sneha Sharma</t>
  </si>
  <si>
    <t xml:space="preserve">C0545</t>
  </si>
  <si>
    <t xml:space="preserve">Nisha Roy</t>
  </si>
  <si>
    <t xml:space="preserve">C0546</t>
  </si>
  <si>
    <t xml:space="preserve">Siddharth Bansal</t>
  </si>
  <si>
    <t xml:space="preserve">C0547</t>
  </si>
  <si>
    <t xml:space="preserve">Akash Banerjee</t>
  </si>
  <si>
    <t xml:space="preserve">C0548</t>
  </si>
  <si>
    <t xml:space="preserve">Mohit Iyer</t>
  </si>
  <si>
    <t xml:space="preserve">C0549</t>
  </si>
  <si>
    <t xml:space="preserve">Vishal Chatterjee</t>
  </si>
  <si>
    <t xml:space="preserve">C0550</t>
  </si>
  <si>
    <t xml:space="preserve">Simran Kulkarni</t>
  </si>
  <si>
    <t xml:space="preserve">C0551</t>
  </si>
  <si>
    <t xml:space="preserve">Garima Desai</t>
  </si>
  <si>
    <t xml:space="preserve">C0552</t>
  </si>
  <si>
    <t xml:space="preserve">Kavya Malhotra</t>
  </si>
  <si>
    <t xml:space="preserve">C0553</t>
  </si>
  <si>
    <t xml:space="preserve">Swati Jain</t>
  </si>
  <si>
    <t xml:space="preserve">C0554</t>
  </si>
  <si>
    <t xml:space="preserve">Naveen Yadav</t>
  </si>
  <si>
    <t xml:space="preserve">C0555</t>
  </si>
  <si>
    <t xml:space="preserve">Rajesh Chauhan</t>
  </si>
  <si>
    <t xml:space="preserve">C0556</t>
  </si>
  <si>
    <t xml:space="preserve">Isha Bhatt</t>
  </si>
  <si>
    <t xml:space="preserve">C0557</t>
  </si>
  <si>
    <t xml:space="preserve">Kunal Bose</t>
  </si>
  <si>
    <t xml:space="preserve">C0558</t>
  </si>
  <si>
    <t xml:space="preserve">Dev Kaur</t>
  </si>
  <si>
    <t xml:space="preserve">C0559</t>
  </si>
  <si>
    <t xml:space="preserve">Akash Menon</t>
  </si>
  <si>
    <t xml:space="preserve">C0560</t>
  </si>
  <si>
    <t xml:space="preserve">Deepika Roy</t>
  </si>
  <si>
    <t xml:space="preserve">C0561</t>
  </si>
  <si>
    <t xml:space="preserve">Simran Bose</t>
  </si>
  <si>
    <t xml:space="preserve">C0562</t>
  </si>
  <si>
    <t xml:space="preserve">Deepak Verma</t>
  </si>
  <si>
    <t xml:space="preserve">C0563</t>
  </si>
  <si>
    <t xml:space="preserve">Vikram Bhatt</t>
  </si>
  <si>
    <t xml:space="preserve">C0564</t>
  </si>
  <si>
    <t xml:space="preserve">Ashish Reddy</t>
  </si>
  <si>
    <t xml:space="preserve">C0565</t>
  </si>
  <si>
    <t xml:space="preserve">Rahul Patel</t>
  </si>
  <si>
    <t xml:space="preserve">C0566</t>
  </si>
  <si>
    <t xml:space="preserve">Meera Chauhan</t>
  </si>
  <si>
    <t xml:space="preserve">C0567</t>
  </si>
  <si>
    <t xml:space="preserve">Siddharth Ghosh</t>
  </si>
  <si>
    <t xml:space="preserve">C0568</t>
  </si>
  <si>
    <t xml:space="preserve">Aishwarya Rao</t>
  </si>
  <si>
    <t xml:space="preserve">C0569</t>
  </si>
  <si>
    <t xml:space="preserve">Abhishek Pandey</t>
  </si>
  <si>
    <t xml:space="preserve">C0570</t>
  </si>
  <si>
    <t xml:space="preserve">Deepak Ahmed</t>
  </si>
  <si>
    <t xml:space="preserve">C0571</t>
  </si>
  <si>
    <t xml:space="preserve">Deepika Saxena</t>
  </si>
  <si>
    <t xml:space="preserve">C0572</t>
  </si>
  <si>
    <t xml:space="preserve">Rohan Ahmed</t>
  </si>
  <si>
    <t xml:space="preserve">C0573</t>
  </si>
  <si>
    <t xml:space="preserve">Ashish Chatterjee</t>
  </si>
  <si>
    <t xml:space="preserve">C0574</t>
  </si>
  <si>
    <t xml:space="preserve">Lokesh Singh</t>
  </si>
  <si>
    <t xml:space="preserve">C0575</t>
  </si>
  <si>
    <t xml:space="preserve">Tarun Kaur</t>
  </si>
  <si>
    <t xml:space="preserve">C0576</t>
  </si>
  <si>
    <t xml:space="preserve">Tanvi Sinha</t>
  </si>
  <si>
    <t xml:space="preserve">C0577</t>
  </si>
  <si>
    <t xml:space="preserve">Aarav Patel</t>
  </si>
  <si>
    <t xml:space="preserve">C0578</t>
  </si>
  <si>
    <t xml:space="preserve">Sanjay Mehta</t>
  </si>
  <si>
    <t xml:space="preserve">C0579</t>
  </si>
  <si>
    <t xml:space="preserve">Anil Patel</t>
  </si>
  <si>
    <t xml:space="preserve">C0580</t>
  </si>
  <si>
    <t xml:space="preserve">Komal Roy</t>
  </si>
  <si>
    <t xml:space="preserve">C0581</t>
  </si>
  <si>
    <t xml:space="preserve">Gaurav Reddy</t>
  </si>
  <si>
    <t xml:space="preserve">C0582</t>
  </si>
  <si>
    <t xml:space="preserve">Vishal Rathore</t>
  </si>
  <si>
    <t xml:space="preserve">C0583</t>
  </si>
  <si>
    <t xml:space="preserve">Sunita Fernandes</t>
  </si>
  <si>
    <t xml:space="preserve">C0584</t>
  </si>
  <si>
    <t xml:space="preserve">Swati Kulkarni</t>
  </si>
  <si>
    <t xml:space="preserve">C0585</t>
  </si>
  <si>
    <t xml:space="preserve">Mayank Menon</t>
  </si>
  <si>
    <t xml:space="preserve">C0586</t>
  </si>
  <si>
    <t xml:space="preserve">Varun Sinha</t>
  </si>
  <si>
    <t xml:space="preserve">C0587</t>
  </si>
  <si>
    <t xml:space="preserve">Abhishek Rathore</t>
  </si>
  <si>
    <t xml:space="preserve">C0588</t>
  </si>
  <si>
    <t xml:space="preserve">Ritu Sharma</t>
  </si>
  <si>
    <t xml:space="preserve">C0589</t>
  </si>
  <si>
    <t xml:space="preserve">Isha Banerjee</t>
  </si>
  <si>
    <t xml:space="preserve">C0590</t>
  </si>
  <si>
    <t xml:space="preserve">Divya Kulkarni</t>
  </si>
  <si>
    <t xml:space="preserve">C0591</t>
  </si>
  <si>
    <t xml:space="preserve">Madhavi Mehta</t>
  </si>
  <si>
    <t xml:space="preserve">C0592</t>
  </si>
  <si>
    <t xml:space="preserve">Harsh Kulkarni</t>
  </si>
  <si>
    <t xml:space="preserve">C0593</t>
  </si>
  <si>
    <t xml:space="preserve">Prakash Sharma</t>
  </si>
  <si>
    <t xml:space="preserve">C0594</t>
  </si>
  <si>
    <t xml:space="preserve">Rajesh Chatterjee</t>
  </si>
  <si>
    <t xml:space="preserve">C0595</t>
  </si>
  <si>
    <t xml:space="preserve">Meera Ghosh</t>
  </si>
  <si>
    <t xml:space="preserve">C0596</t>
  </si>
  <si>
    <t xml:space="preserve">Gaurav Kulkarni</t>
  </si>
  <si>
    <t xml:space="preserve">C0597</t>
  </si>
  <si>
    <t xml:space="preserve">Neha Ahmed</t>
  </si>
  <si>
    <t xml:space="preserve">C0598</t>
  </si>
  <si>
    <t xml:space="preserve">Sameer Saxena</t>
  </si>
  <si>
    <t xml:space="preserve">C0599</t>
  </si>
  <si>
    <t xml:space="preserve">Dev Mishra</t>
  </si>
  <si>
    <t xml:space="preserve">C0600</t>
  </si>
  <si>
    <t xml:space="preserve">Ritu Bansal</t>
  </si>
  <si>
    <t xml:space="preserve">C0601</t>
  </si>
  <si>
    <t xml:space="preserve">Uma Naidu</t>
  </si>
  <si>
    <t xml:space="preserve">C0602</t>
  </si>
  <si>
    <t xml:space="preserve">Vivaan Tiwari</t>
  </si>
  <si>
    <t xml:space="preserve">C0603</t>
  </si>
  <si>
    <t xml:space="preserve">Deepak Reddy</t>
  </si>
  <si>
    <t xml:space="preserve">C0604</t>
  </si>
  <si>
    <t xml:space="preserve">Isha Saxena</t>
  </si>
  <si>
    <t xml:space="preserve">C0605</t>
  </si>
  <si>
    <t xml:space="preserve">Priya Bhatt</t>
  </si>
  <si>
    <t xml:space="preserve">C0606</t>
  </si>
  <si>
    <t xml:space="preserve">Meera Roy</t>
  </si>
  <si>
    <t xml:space="preserve">C0607</t>
  </si>
  <si>
    <t xml:space="preserve">Siddharth Jain</t>
  </si>
  <si>
    <t xml:space="preserve">C0608</t>
  </si>
  <si>
    <t xml:space="preserve">Tara Mehta</t>
  </si>
  <si>
    <t xml:space="preserve">C0609</t>
  </si>
  <si>
    <t xml:space="preserve">Ankit Agarwal</t>
  </si>
  <si>
    <t xml:space="preserve">C0610</t>
  </si>
  <si>
    <t xml:space="preserve">Karan Chauhan</t>
  </si>
  <si>
    <t xml:space="preserve">C0611</t>
  </si>
  <si>
    <t xml:space="preserve">Abhishek Agarwal</t>
  </si>
  <si>
    <t xml:space="preserve">C0612</t>
  </si>
  <si>
    <t xml:space="preserve">Anil Das</t>
  </si>
  <si>
    <t xml:space="preserve">C0613</t>
  </si>
  <si>
    <t xml:space="preserve">Lokesh Reddy</t>
  </si>
  <si>
    <t xml:space="preserve">C0614</t>
  </si>
  <si>
    <t xml:space="preserve">Ananya Chatterjee</t>
  </si>
  <si>
    <t xml:space="preserve">C0615</t>
  </si>
  <si>
    <t xml:space="preserve">Kavya Naidu</t>
  </si>
  <si>
    <t xml:space="preserve">C0616</t>
  </si>
  <si>
    <t xml:space="preserve">Dev Chopra</t>
  </si>
  <si>
    <t xml:space="preserve">C0617</t>
  </si>
  <si>
    <t xml:space="preserve">Pallavi Bose</t>
  </si>
  <si>
    <t xml:space="preserve">C0618</t>
  </si>
  <si>
    <t xml:space="preserve">Uma Reddy</t>
  </si>
  <si>
    <t xml:space="preserve">C0619</t>
  </si>
  <si>
    <t xml:space="preserve">Tarun Mukherjee</t>
  </si>
  <si>
    <t xml:space="preserve">C0620</t>
  </si>
  <si>
    <t xml:space="preserve">Radhika Nair</t>
  </si>
  <si>
    <t xml:space="preserve">C0621</t>
  </si>
  <si>
    <t xml:space="preserve">Kunal Naidu</t>
  </si>
  <si>
    <t xml:space="preserve">C0622</t>
  </si>
  <si>
    <t xml:space="preserve">Pankaj Tiwari</t>
  </si>
  <si>
    <t xml:space="preserve">C0623</t>
  </si>
  <si>
    <t xml:space="preserve">Pallavi Yadav</t>
  </si>
  <si>
    <t xml:space="preserve">C0624</t>
  </si>
  <si>
    <t xml:space="preserve">Deepika Reddy</t>
  </si>
  <si>
    <t xml:space="preserve">C0625</t>
  </si>
  <si>
    <t xml:space="preserve">Yash Roy</t>
  </si>
  <si>
    <t xml:space="preserve">C0626</t>
  </si>
  <si>
    <t xml:space="preserve">Mayank Saxena</t>
  </si>
  <si>
    <t xml:space="preserve">C0627</t>
  </si>
  <si>
    <t xml:space="preserve">Arjun Menon</t>
  </si>
  <si>
    <t xml:space="preserve">C0628</t>
  </si>
  <si>
    <t xml:space="preserve">Hema Banerjee</t>
  </si>
  <si>
    <t xml:space="preserve">C0629</t>
  </si>
  <si>
    <t xml:space="preserve">Divya Khan</t>
  </si>
  <si>
    <t xml:space="preserve">C0630</t>
  </si>
  <si>
    <t xml:space="preserve">Vikram Mishra</t>
  </si>
  <si>
    <t xml:space="preserve">C0631</t>
  </si>
  <si>
    <t xml:space="preserve">Tarun Iyer</t>
  </si>
  <si>
    <t xml:space="preserve">C0632</t>
  </si>
  <si>
    <t xml:space="preserve">Prakash Iyer</t>
  </si>
  <si>
    <t xml:space="preserve">C0633</t>
  </si>
  <si>
    <t xml:space="preserve">Suresh Patil</t>
  </si>
  <si>
    <t xml:space="preserve">C0634</t>
  </si>
  <si>
    <t xml:space="preserve">Ritu Gupta</t>
  </si>
  <si>
    <t xml:space="preserve">C0635</t>
  </si>
  <si>
    <t xml:space="preserve">Sakshi Rao</t>
  </si>
  <si>
    <t xml:space="preserve">C0636</t>
  </si>
  <si>
    <t xml:space="preserve">Tara Rao</t>
  </si>
  <si>
    <t xml:space="preserve">C0637</t>
  </si>
  <si>
    <t xml:space="preserve">Chitra Bansal</t>
  </si>
  <si>
    <t xml:space="preserve">C0638</t>
  </si>
  <si>
    <t xml:space="preserve">Bhavna Iyer</t>
  </si>
  <si>
    <t xml:space="preserve">C0639</t>
  </si>
  <si>
    <t xml:space="preserve">Priya Ghosh</t>
  </si>
  <si>
    <t xml:space="preserve">C0640</t>
  </si>
  <si>
    <t xml:space="preserve">Aditya Naidu</t>
  </si>
  <si>
    <t xml:space="preserve">C0641</t>
  </si>
  <si>
    <t xml:space="preserve">Jyoti Iyer</t>
  </si>
  <si>
    <t xml:space="preserve">C0642</t>
  </si>
  <si>
    <t xml:space="preserve">Rashmi Patel</t>
  </si>
  <si>
    <t xml:space="preserve">C0643</t>
  </si>
  <si>
    <t xml:space="preserve">Mayank Das</t>
  </si>
  <si>
    <t xml:space="preserve">C0644</t>
  </si>
  <si>
    <t xml:space="preserve">Sneha Naidu</t>
  </si>
  <si>
    <t xml:space="preserve">C0645</t>
  </si>
  <si>
    <t xml:space="preserve">Naveen Ahmed</t>
  </si>
  <si>
    <t xml:space="preserve">C0646</t>
  </si>
  <si>
    <t xml:space="preserve">Deepika Ahmed</t>
  </si>
  <si>
    <t xml:space="preserve">C0647</t>
  </si>
  <si>
    <t xml:space="preserve">Kavya Singh</t>
  </si>
  <si>
    <t xml:space="preserve">C0648</t>
  </si>
  <si>
    <t xml:space="preserve">Kavya Yadav</t>
  </si>
  <si>
    <t xml:space="preserve">C0649</t>
  </si>
  <si>
    <t xml:space="preserve">Jatin Nair</t>
  </si>
  <si>
    <t xml:space="preserve">C0650</t>
  </si>
  <si>
    <t xml:space="preserve">Lavanya Fernandes</t>
  </si>
  <si>
    <t xml:space="preserve">C0651</t>
  </si>
  <si>
    <t xml:space="preserve">Uma Saxena</t>
  </si>
  <si>
    <t xml:space="preserve">C0652</t>
  </si>
  <si>
    <t xml:space="preserve">Rashmi Ghosh</t>
  </si>
  <si>
    <t xml:space="preserve">C0653</t>
  </si>
  <si>
    <t xml:space="preserve">Ashish Mishra</t>
  </si>
  <si>
    <t xml:space="preserve">C0654</t>
  </si>
  <si>
    <t xml:space="preserve">Harsh Rao</t>
  </si>
  <si>
    <t xml:space="preserve">C0655</t>
  </si>
  <si>
    <t xml:space="preserve">Akash Ahmed</t>
  </si>
  <si>
    <t xml:space="preserve">C0656</t>
  </si>
  <si>
    <t xml:space="preserve">Vivaan Chauhan</t>
  </si>
  <si>
    <t xml:space="preserve">C0657</t>
  </si>
  <si>
    <t xml:space="preserve">Jatin Tiwari</t>
  </si>
  <si>
    <t xml:space="preserve">C0658</t>
  </si>
  <si>
    <t xml:space="preserve">Garima Kulkarni</t>
  </si>
  <si>
    <t xml:space="preserve">C0659</t>
  </si>
  <si>
    <t xml:space="preserve">Sakshi Sharma</t>
  </si>
  <si>
    <t xml:space="preserve">C0660</t>
  </si>
  <si>
    <t xml:space="preserve">Pooja Mehta</t>
  </si>
  <si>
    <t xml:space="preserve">C0661</t>
  </si>
  <si>
    <t xml:space="preserve">Naveen Roy</t>
  </si>
  <si>
    <t xml:space="preserve">C0662</t>
  </si>
  <si>
    <t xml:space="preserve">Kunal Joshi</t>
  </si>
  <si>
    <t xml:space="preserve">C0663</t>
  </si>
  <si>
    <t xml:space="preserve">Vivaan Desai</t>
  </si>
  <si>
    <t xml:space="preserve">C0664</t>
  </si>
  <si>
    <t xml:space="preserve">Hema Patel</t>
  </si>
  <si>
    <t xml:space="preserve">C0665</t>
  </si>
  <si>
    <t xml:space="preserve">Deepak Mukherjee</t>
  </si>
  <si>
    <t xml:space="preserve">C0666</t>
  </si>
  <si>
    <t xml:space="preserve">Madhavi Saxena</t>
  </si>
  <si>
    <t xml:space="preserve">C0667</t>
  </si>
  <si>
    <t xml:space="preserve">Radhika Iyer</t>
  </si>
  <si>
    <t xml:space="preserve">C0668</t>
  </si>
  <si>
    <t xml:space="preserve">Ekta Reddy</t>
  </si>
  <si>
    <t xml:space="preserve">C0669</t>
  </si>
  <si>
    <t xml:space="preserve">Ankit Khan</t>
  </si>
  <si>
    <t xml:space="preserve">C0670</t>
  </si>
  <si>
    <t xml:space="preserve">Rahul Jain</t>
  </si>
  <si>
    <t xml:space="preserve">C0671</t>
  </si>
  <si>
    <t xml:space="preserve">Ekta Shekhawat</t>
  </si>
  <si>
    <t xml:space="preserve">C0672</t>
  </si>
  <si>
    <t xml:space="preserve">Mayank Iyer</t>
  </si>
  <si>
    <t xml:space="preserve">C0673</t>
  </si>
  <si>
    <t xml:space="preserve">Arjun Bansal</t>
  </si>
  <si>
    <t xml:space="preserve">C0674</t>
  </si>
  <si>
    <t xml:space="preserve">Bhavna Mishra</t>
  </si>
  <si>
    <t xml:space="preserve">C0675</t>
  </si>
  <si>
    <t xml:space="preserve">Priya Agarwal</t>
  </si>
  <si>
    <t xml:space="preserve">C0676</t>
  </si>
  <si>
    <t xml:space="preserve">Pranav Desai</t>
  </si>
  <si>
    <t xml:space="preserve">C0677</t>
  </si>
  <si>
    <t xml:space="preserve">Deepika Nair</t>
  </si>
  <si>
    <t xml:space="preserve">C0678</t>
  </si>
  <si>
    <t xml:space="preserve">Nisha Sinha</t>
  </si>
  <si>
    <t xml:space="preserve">C0679</t>
  </si>
  <si>
    <t xml:space="preserve">Lokesh Naidu</t>
  </si>
  <si>
    <t xml:space="preserve">C0680</t>
  </si>
  <si>
    <t xml:space="preserve">Sanjay Khan</t>
  </si>
  <si>
    <t xml:space="preserve">C0681</t>
  </si>
  <si>
    <t xml:space="preserve">Sunita Naidu</t>
  </si>
  <si>
    <t xml:space="preserve">C0682</t>
  </si>
  <si>
    <t xml:space="preserve">Ishaan Nair</t>
  </si>
  <si>
    <t xml:space="preserve">C0683</t>
  </si>
  <si>
    <t xml:space="preserve">Pankaj Mishra</t>
  </si>
  <si>
    <t xml:space="preserve">C0684</t>
  </si>
  <si>
    <t xml:space="preserve">Kavya Rathore</t>
  </si>
  <si>
    <t xml:space="preserve">C0685</t>
  </si>
  <si>
    <t xml:space="preserve">Sneha Patil</t>
  </si>
  <si>
    <t xml:space="preserve">C0686</t>
  </si>
  <si>
    <t xml:space="preserve">Aishwarya Kaur</t>
  </si>
  <si>
    <t xml:space="preserve">C0687</t>
  </si>
  <si>
    <t xml:space="preserve">Deepika Gupta</t>
  </si>
  <si>
    <t xml:space="preserve">C0688</t>
  </si>
  <si>
    <t xml:space="preserve">Vidya Fernandes</t>
  </si>
  <si>
    <t xml:space="preserve">C0689</t>
  </si>
  <si>
    <t xml:space="preserve">Shreya Chatterjee</t>
  </si>
  <si>
    <t xml:space="preserve">C0690</t>
  </si>
  <si>
    <t xml:space="preserve">Manish Naidu</t>
  </si>
  <si>
    <t xml:space="preserve">C0691</t>
  </si>
  <si>
    <t xml:space="preserve">Dev Chauhan</t>
  </si>
  <si>
    <t xml:space="preserve">C0692</t>
  </si>
  <si>
    <t xml:space="preserve">Tarun Ahmed</t>
  </si>
  <si>
    <t xml:space="preserve">C0693</t>
  </si>
  <si>
    <t xml:space="preserve">Ananya Sinha</t>
  </si>
  <si>
    <t xml:space="preserve">C0694</t>
  </si>
  <si>
    <t xml:space="preserve">Komal Shetty</t>
  </si>
  <si>
    <t xml:space="preserve">C0695</t>
  </si>
  <si>
    <t xml:space="preserve">Priya Iyer</t>
  </si>
  <si>
    <t xml:space="preserve">C0696</t>
  </si>
  <si>
    <t xml:space="preserve">Tarun Singh</t>
  </si>
  <si>
    <t xml:space="preserve">C0697</t>
  </si>
  <si>
    <t xml:space="preserve">Uma Kulkarni</t>
  </si>
  <si>
    <t xml:space="preserve">C0698</t>
  </si>
  <si>
    <t xml:space="preserve">Kritika Jain</t>
  </si>
  <si>
    <t xml:space="preserve">C0699</t>
  </si>
  <si>
    <t xml:space="preserve">Isha Rao</t>
  </si>
  <si>
    <t xml:space="preserve">C0700</t>
  </si>
  <si>
    <t xml:space="preserve">Ekta Khan</t>
  </si>
  <si>
    <t xml:space="preserve">C0701</t>
  </si>
  <si>
    <t xml:space="preserve">Hema Roy</t>
  </si>
  <si>
    <t xml:space="preserve">C0702</t>
  </si>
  <si>
    <t xml:space="preserve">Mohit Tiwari</t>
  </si>
  <si>
    <t xml:space="preserve">C0703</t>
  </si>
  <si>
    <t xml:space="preserve">Shreya Ahmed</t>
  </si>
  <si>
    <t xml:space="preserve">C0704</t>
  </si>
  <si>
    <t xml:space="preserve">Nikhil Yadav</t>
  </si>
  <si>
    <t xml:space="preserve">C0705</t>
  </si>
  <si>
    <t xml:space="preserve">Ashish Chopra</t>
  </si>
  <si>
    <t xml:space="preserve">C0706</t>
  </si>
  <si>
    <t xml:space="preserve">Isha Sinha</t>
  </si>
  <si>
    <t xml:space="preserve">C0707</t>
  </si>
  <si>
    <t xml:space="preserve">Garima Bose</t>
  </si>
  <si>
    <t xml:space="preserve">C0708</t>
  </si>
  <si>
    <t xml:space="preserve">Diya Verma</t>
  </si>
  <si>
    <t xml:space="preserve">C0709</t>
  </si>
  <si>
    <t xml:space="preserve">Rahul Das</t>
  </si>
  <si>
    <t xml:space="preserve">C0710</t>
  </si>
  <si>
    <t xml:space="preserve">Prakash Bose</t>
  </si>
  <si>
    <t xml:space="preserve">C0711</t>
  </si>
  <si>
    <t xml:space="preserve">Ishaan Menon</t>
  </si>
  <si>
    <t xml:space="preserve">C0712</t>
  </si>
  <si>
    <t xml:space="preserve">Chitra Fernandes</t>
  </si>
  <si>
    <t xml:space="preserve">C0713</t>
  </si>
  <si>
    <t xml:space="preserve">Sunita Mehta</t>
  </si>
  <si>
    <t xml:space="preserve">C0714</t>
  </si>
  <si>
    <t xml:space="preserve">Divya Shetty</t>
  </si>
  <si>
    <t xml:space="preserve">C0715</t>
  </si>
  <si>
    <t xml:space="preserve">Prakash Rao</t>
  </si>
  <si>
    <t xml:space="preserve">C0716</t>
  </si>
  <si>
    <t xml:space="preserve">Naman Sharma</t>
  </si>
  <si>
    <t xml:space="preserve">C0717</t>
  </si>
  <si>
    <t xml:space="preserve">Sakshi Pandey</t>
  </si>
  <si>
    <t xml:space="preserve">C0718</t>
  </si>
  <si>
    <t xml:space="preserve">Anil Patil</t>
  </si>
  <si>
    <t xml:space="preserve">C0719</t>
  </si>
  <si>
    <t xml:space="preserve">Deepak Pandey</t>
  </si>
  <si>
    <t xml:space="preserve">C0720</t>
  </si>
  <si>
    <t xml:space="preserve">Sameer Das</t>
  </si>
  <si>
    <t xml:space="preserve">C0721</t>
  </si>
  <si>
    <t xml:space="preserve">Naveen Kapoor</t>
  </si>
  <si>
    <t xml:space="preserve">C0722</t>
  </si>
  <si>
    <t xml:space="preserve">Gaurav Desai</t>
  </si>
  <si>
    <t xml:space="preserve">C0723</t>
  </si>
  <si>
    <t xml:space="preserve">Vikram Saxena</t>
  </si>
  <si>
    <t xml:space="preserve">C0724</t>
  </si>
  <si>
    <t xml:space="preserve">Neha Bose</t>
  </si>
  <si>
    <t xml:space="preserve">C0725</t>
  </si>
  <si>
    <t xml:space="preserve">Naveen Patil</t>
  </si>
  <si>
    <t xml:space="preserve">C0726</t>
  </si>
  <si>
    <t xml:space="preserve">Lokesh Tiwari</t>
  </si>
  <si>
    <t xml:space="preserve">C0727</t>
  </si>
  <si>
    <t xml:space="preserve">Anil Mukherjee</t>
  </si>
  <si>
    <t xml:space="preserve">C0728</t>
  </si>
  <si>
    <t xml:space="preserve">Radhika Chauhan</t>
  </si>
  <si>
    <t xml:space="preserve">C0729</t>
  </si>
  <si>
    <t xml:space="preserve">Aarav Bansal</t>
  </si>
  <si>
    <t xml:space="preserve">C0730</t>
  </si>
  <si>
    <t xml:space="preserve">Karan Banerjee</t>
  </si>
  <si>
    <t xml:space="preserve">C0731</t>
  </si>
  <si>
    <t xml:space="preserve">Hema Rao</t>
  </si>
  <si>
    <t xml:space="preserve">C0732</t>
  </si>
  <si>
    <t xml:space="preserve">Varun Gupta</t>
  </si>
  <si>
    <t xml:space="preserve">C0733</t>
  </si>
  <si>
    <t xml:space="preserve">Tanvi Chopra</t>
  </si>
  <si>
    <t xml:space="preserve">C0734</t>
  </si>
  <si>
    <t xml:space="preserve">Shreya Rathore</t>
  </si>
  <si>
    <t xml:space="preserve">C0735</t>
  </si>
  <si>
    <t xml:space="preserve">Mayank Mukherjee</t>
  </si>
  <si>
    <t xml:space="preserve">C0736</t>
  </si>
  <si>
    <t xml:space="preserve">Tanvi Saxena</t>
  </si>
  <si>
    <t xml:space="preserve">C0737</t>
  </si>
  <si>
    <t xml:space="preserve">Ankit Joshi</t>
  </si>
  <si>
    <t xml:space="preserve">C0738</t>
  </si>
  <si>
    <t xml:space="preserve">Neha Bhatt</t>
  </si>
  <si>
    <t xml:space="preserve">C0739</t>
  </si>
  <si>
    <t xml:space="preserve">Divya Rathore</t>
  </si>
  <si>
    <t xml:space="preserve">C0740</t>
  </si>
  <si>
    <t xml:space="preserve">Pooja Rao</t>
  </si>
  <si>
    <t xml:space="preserve">C0741</t>
  </si>
  <si>
    <t xml:space="preserve">Hema Ahmed</t>
  </si>
  <si>
    <t xml:space="preserve">C0742</t>
  </si>
  <si>
    <t xml:space="preserve">Uma Tiwari</t>
  </si>
  <si>
    <t xml:space="preserve">C0743</t>
  </si>
  <si>
    <t xml:space="preserve">Vivaan Pandey</t>
  </si>
  <si>
    <t xml:space="preserve">C0744</t>
  </si>
  <si>
    <t xml:space="preserve">Jatin Chatterjee</t>
  </si>
  <si>
    <t xml:space="preserve">C0745</t>
  </si>
  <si>
    <t xml:space="preserve">Vikram Shetty</t>
  </si>
  <si>
    <t xml:space="preserve">C0746</t>
  </si>
  <si>
    <t xml:space="preserve">Riya Das</t>
  </si>
  <si>
    <t xml:space="preserve">C0747</t>
  </si>
  <si>
    <t xml:space="preserve">Radhika Banerjee</t>
  </si>
  <si>
    <t xml:space="preserve">C0748</t>
  </si>
  <si>
    <t xml:space="preserve">Radhika Roy</t>
  </si>
  <si>
    <t xml:space="preserve">C0749</t>
  </si>
  <si>
    <t xml:space="preserve">Neha Kapoor</t>
  </si>
  <si>
    <t xml:space="preserve">C0750</t>
  </si>
  <si>
    <t xml:space="preserve">Rahul Verma</t>
  </si>
  <si>
    <t xml:space="preserve">C0751</t>
  </si>
  <si>
    <t xml:space="preserve">Naman Pillai</t>
  </si>
  <si>
    <t xml:space="preserve">C0752</t>
  </si>
  <si>
    <t xml:space="preserve">Pankaj Yadav</t>
  </si>
  <si>
    <t xml:space="preserve">C0753</t>
  </si>
  <si>
    <t xml:space="preserve">Naveen Rao</t>
  </si>
  <si>
    <t xml:space="preserve">C0754</t>
  </si>
  <si>
    <t xml:space="preserve">Riya Joshi</t>
  </si>
  <si>
    <t xml:space="preserve">C0755</t>
  </si>
  <si>
    <t xml:space="preserve">Anjali Mehta</t>
  </si>
  <si>
    <t xml:space="preserve">C0756</t>
  </si>
  <si>
    <t xml:space="preserve">Dev Shekhawat</t>
  </si>
  <si>
    <t xml:space="preserve">C0757</t>
  </si>
  <si>
    <t xml:space="preserve">Jatin Pillai</t>
  </si>
  <si>
    <t xml:space="preserve">C0758</t>
  </si>
  <si>
    <t xml:space="preserve">Simran Verma</t>
  </si>
  <si>
    <t xml:space="preserve">C0759</t>
  </si>
  <si>
    <t xml:space="preserve">Prakash Desai</t>
  </si>
  <si>
    <t xml:space="preserve">C0760</t>
  </si>
  <si>
    <t xml:space="preserve">Neha Bansal</t>
  </si>
  <si>
    <t xml:space="preserve">C0761</t>
  </si>
  <si>
    <t xml:space="preserve">Tarun Pandey</t>
  </si>
  <si>
    <t xml:space="preserve">C0762</t>
  </si>
  <si>
    <t xml:space="preserve">Akash Mishra</t>
  </si>
  <si>
    <t xml:space="preserve">C0763</t>
  </si>
  <si>
    <t xml:space="preserve">Komal Patel</t>
  </si>
  <si>
    <t xml:space="preserve">C0764</t>
  </si>
  <si>
    <t xml:space="preserve">Vikram Naidu</t>
  </si>
  <si>
    <t xml:space="preserve">C0765</t>
  </si>
  <si>
    <t xml:space="preserve">Manish Patil</t>
  </si>
  <si>
    <t xml:space="preserve">C0766</t>
  </si>
  <si>
    <t xml:space="preserve">Rahul Ahmed</t>
  </si>
  <si>
    <t xml:space="preserve">C0767</t>
  </si>
  <si>
    <t xml:space="preserve">Hema Menon</t>
  </si>
  <si>
    <t xml:space="preserve">C0768</t>
  </si>
  <si>
    <t xml:space="preserve">Isha Chopra</t>
  </si>
  <si>
    <t xml:space="preserve">C0769</t>
  </si>
  <si>
    <t xml:space="preserve">Suresh Chopra</t>
  </si>
  <si>
    <t xml:space="preserve">C0770</t>
  </si>
  <si>
    <t xml:space="preserve">Sneha Singh</t>
  </si>
  <si>
    <t xml:space="preserve">C0771</t>
  </si>
  <si>
    <t xml:space="preserve">Abhishek Bansal</t>
  </si>
  <si>
    <t xml:space="preserve">C0772</t>
  </si>
  <si>
    <t xml:space="preserve">Sanjay Mishra</t>
  </si>
  <si>
    <t xml:space="preserve">C0773</t>
  </si>
  <si>
    <t xml:space="preserve">Jatin Rathore</t>
  </si>
  <si>
    <t xml:space="preserve">C0774</t>
  </si>
  <si>
    <t xml:space="preserve">Sameer Khan</t>
  </si>
  <si>
    <t xml:space="preserve">C0775</t>
  </si>
  <si>
    <t xml:space="preserve">Ishaan Chopra</t>
  </si>
  <si>
    <t xml:space="preserve">C0776</t>
  </si>
  <si>
    <t xml:space="preserve">Radhika Mukherjee</t>
  </si>
  <si>
    <t xml:space="preserve">C0777</t>
  </si>
  <si>
    <t xml:space="preserve">Radhika Mehta</t>
  </si>
  <si>
    <t xml:space="preserve">C0778</t>
  </si>
  <si>
    <t xml:space="preserve">Deepak Bhatt</t>
  </si>
  <si>
    <t xml:space="preserve">C0779</t>
  </si>
  <si>
    <t xml:space="preserve">Deepika Patil</t>
  </si>
  <si>
    <t xml:space="preserve">C0780</t>
  </si>
  <si>
    <t xml:space="preserve">Tarun Rathore</t>
  </si>
  <si>
    <t xml:space="preserve">C0781</t>
  </si>
  <si>
    <t xml:space="preserve">Swati Ahmed</t>
  </si>
  <si>
    <t xml:space="preserve">C0782</t>
  </si>
  <si>
    <t xml:space="preserve">Rashmi Das</t>
  </si>
  <si>
    <t xml:space="preserve">C0783</t>
  </si>
  <si>
    <t xml:space="preserve">Priya Pillai</t>
  </si>
  <si>
    <t xml:space="preserve">C0784</t>
  </si>
  <si>
    <t xml:space="preserve">Kritika Mukherjee</t>
  </si>
  <si>
    <t xml:space="preserve">C0785</t>
  </si>
  <si>
    <t xml:space="preserve">Deepika Sinha</t>
  </si>
  <si>
    <t xml:space="preserve">C0786</t>
  </si>
  <si>
    <t xml:space="preserve">Aditi Patil</t>
  </si>
  <si>
    <t xml:space="preserve">C0787</t>
  </si>
  <si>
    <t xml:space="preserve">Pankaj Nair</t>
  </si>
  <si>
    <t xml:space="preserve">C0788</t>
  </si>
  <si>
    <t xml:space="preserve">Sameer Naidu</t>
  </si>
  <si>
    <t xml:space="preserve">C0789</t>
  </si>
  <si>
    <t xml:space="preserve">Sakshi Patel</t>
  </si>
  <si>
    <t xml:space="preserve">C0790</t>
  </si>
  <si>
    <t xml:space="preserve">Priya Malhotra</t>
  </si>
  <si>
    <t xml:space="preserve">C0791</t>
  </si>
  <si>
    <t xml:space="preserve">Manish Rathore</t>
  </si>
  <si>
    <t xml:space="preserve">C0792</t>
  </si>
  <si>
    <t xml:space="preserve">Bhavna Kulkarni</t>
  </si>
  <si>
    <t xml:space="preserve">C0793</t>
  </si>
  <si>
    <t xml:space="preserve">Jatin Shekhawat</t>
  </si>
  <si>
    <t xml:space="preserve">C0794</t>
  </si>
  <si>
    <t xml:space="preserve">Akash Reddy</t>
  </si>
  <si>
    <t xml:space="preserve">C0795</t>
  </si>
  <si>
    <t xml:space="preserve">Anil Ahmed</t>
  </si>
  <si>
    <t xml:space="preserve">C0796</t>
  </si>
  <si>
    <t xml:space="preserve">Garima Mukherjee</t>
  </si>
  <si>
    <t xml:space="preserve">C0797</t>
  </si>
  <si>
    <t xml:space="preserve">Naveen Bansal</t>
  </si>
  <si>
    <t xml:space="preserve">C0798</t>
  </si>
  <si>
    <t xml:space="preserve">Simran Patel</t>
  </si>
  <si>
    <t xml:space="preserve">C0799</t>
  </si>
  <si>
    <t xml:space="preserve">Pallavi Verma</t>
  </si>
  <si>
    <t xml:space="preserve">C0800</t>
  </si>
  <si>
    <t xml:space="preserve">Siddharth Kapoor</t>
  </si>
  <si>
    <t xml:space="preserve">C0801</t>
  </si>
  <si>
    <t xml:space="preserve">Neha Yadav</t>
  </si>
  <si>
    <t xml:space="preserve">C0802</t>
  </si>
  <si>
    <t xml:space="preserve">Deepika Shetty</t>
  </si>
  <si>
    <t xml:space="preserve">C0803</t>
  </si>
  <si>
    <t xml:space="preserve">Radhika Shekhawat</t>
  </si>
  <si>
    <t xml:space="preserve">C0804</t>
  </si>
  <si>
    <t xml:space="preserve">Gaurav Kaur</t>
  </si>
  <si>
    <t xml:space="preserve">C0805</t>
  </si>
  <si>
    <t xml:space="preserve">Manish Chatterjee</t>
  </si>
  <si>
    <t xml:space="preserve">C0806</t>
  </si>
  <si>
    <t xml:space="preserve">Jatin Yadav</t>
  </si>
  <si>
    <t xml:space="preserve">C0807</t>
  </si>
  <si>
    <t xml:space="preserve">Arjun Reddy</t>
  </si>
  <si>
    <t xml:space="preserve">C0808</t>
  </si>
  <si>
    <t xml:space="preserve">Kavya Roy</t>
  </si>
  <si>
    <t xml:space="preserve">C0809</t>
  </si>
  <si>
    <t xml:space="preserve">Kavya Patel</t>
  </si>
  <si>
    <t xml:space="preserve">C0810</t>
  </si>
  <si>
    <t xml:space="preserve">Abhishek Mukherjee</t>
  </si>
  <si>
    <t xml:space="preserve">C0811</t>
  </si>
  <si>
    <t xml:space="preserve">Garima Sharma</t>
  </si>
  <si>
    <t xml:space="preserve">C0812</t>
  </si>
  <si>
    <t xml:space="preserve">Aishwarya Das</t>
  </si>
  <si>
    <t xml:space="preserve">C0813</t>
  </si>
  <si>
    <t xml:space="preserve">Uma Sharma</t>
  </si>
  <si>
    <t xml:space="preserve">C0814</t>
  </si>
  <si>
    <t xml:space="preserve">Kunal Yadav</t>
  </si>
  <si>
    <t xml:space="preserve">C0815</t>
  </si>
  <si>
    <t xml:space="preserve">Arjun Mehta</t>
  </si>
  <si>
    <t xml:space="preserve">C0816</t>
  </si>
  <si>
    <t xml:space="preserve">Ashish Kapoor</t>
  </si>
  <si>
    <t xml:space="preserve">C0817</t>
  </si>
  <si>
    <t xml:space="preserve">Yash Shekhawat</t>
  </si>
  <si>
    <t xml:space="preserve">C0818</t>
  </si>
  <si>
    <t xml:space="preserve">Kunal Bansal</t>
  </si>
  <si>
    <t xml:space="preserve">C0819</t>
  </si>
  <si>
    <t xml:space="preserve">Rashmi Naidu</t>
  </si>
  <si>
    <t xml:space="preserve">C0820</t>
  </si>
  <si>
    <t xml:space="preserve">Ritu Tiwari</t>
  </si>
  <si>
    <t xml:space="preserve">C0821</t>
  </si>
  <si>
    <t xml:space="preserve">Karan Verma</t>
  </si>
  <si>
    <t xml:space="preserve">C0822</t>
  </si>
  <si>
    <t xml:space="preserve">Prakash Khan</t>
  </si>
  <si>
    <t xml:space="preserve">C0823</t>
  </si>
  <si>
    <t xml:space="preserve">Anil Mehta</t>
  </si>
  <si>
    <t xml:space="preserve">C0824</t>
  </si>
  <si>
    <t xml:space="preserve">Uma Chatterjee</t>
  </si>
  <si>
    <t xml:space="preserve">C0825</t>
  </si>
  <si>
    <t xml:space="preserve">Aarav Gupta</t>
  </si>
  <si>
    <t xml:space="preserve">C0826</t>
  </si>
  <si>
    <t xml:space="preserve">Radhika Mishra</t>
  </si>
  <si>
    <t xml:space="preserve">C0827</t>
  </si>
  <si>
    <t xml:space="preserve">Nikhil Rathore</t>
  </si>
  <si>
    <t xml:space="preserve">C0828</t>
  </si>
  <si>
    <t xml:space="preserve">Nandini Kapoor</t>
  </si>
  <si>
    <t xml:space="preserve">C0829</t>
  </si>
  <si>
    <t xml:space="preserve">Aarav Patil</t>
  </si>
  <si>
    <t xml:space="preserve">C0830</t>
  </si>
  <si>
    <t xml:space="preserve">Anil Kulkarni</t>
  </si>
  <si>
    <t xml:space="preserve">C0831</t>
  </si>
  <si>
    <t xml:space="preserve">Swati Sinha</t>
  </si>
  <si>
    <t xml:space="preserve">C0832</t>
  </si>
  <si>
    <t xml:space="preserve">Komal Mehta</t>
  </si>
  <si>
    <t xml:space="preserve">C0833</t>
  </si>
  <si>
    <t xml:space="preserve">Abhishek Iyer</t>
  </si>
  <si>
    <t xml:space="preserve">C0834</t>
  </si>
  <si>
    <t xml:space="preserve">Diya Sharma</t>
  </si>
  <si>
    <t xml:space="preserve">C0835</t>
  </si>
  <si>
    <t xml:space="preserve">Shreya Menon</t>
  </si>
  <si>
    <t xml:space="preserve">C0836</t>
  </si>
  <si>
    <t xml:space="preserve">Amit Rathore</t>
  </si>
  <si>
    <t xml:space="preserve">C0837</t>
  </si>
  <si>
    <t xml:space="preserve">Nandini Chauhan</t>
  </si>
  <si>
    <t xml:space="preserve">C0838</t>
  </si>
  <si>
    <t xml:space="preserve">Aditya Agarwal</t>
  </si>
  <si>
    <t xml:space="preserve">C0839</t>
  </si>
  <si>
    <t xml:space="preserve">Neha Roy</t>
  </si>
  <si>
    <t xml:space="preserve">C0840</t>
  </si>
  <si>
    <t xml:space="preserve">Radhika Rathore</t>
  </si>
  <si>
    <t xml:space="preserve">C0841</t>
  </si>
  <si>
    <t xml:space="preserve">Lokesh Das</t>
  </si>
  <si>
    <t xml:space="preserve">C0842</t>
  </si>
  <si>
    <t xml:space="preserve">Deepak Banerjee</t>
  </si>
  <si>
    <t xml:space="preserve">C0843</t>
  </si>
  <si>
    <t xml:space="preserve">Naman Sinha</t>
  </si>
  <si>
    <t xml:space="preserve">C0844</t>
  </si>
  <si>
    <t xml:space="preserve">Radhika Shetty</t>
  </si>
  <si>
    <t xml:space="preserve">C0845</t>
  </si>
  <si>
    <t xml:space="preserve">Sakshi Mishra</t>
  </si>
  <si>
    <t xml:space="preserve">C0846</t>
  </si>
  <si>
    <t xml:space="preserve">Ishaan Khan</t>
  </si>
  <si>
    <t xml:space="preserve">C0847</t>
  </si>
  <si>
    <t xml:space="preserve">Karan Agarwal</t>
  </si>
  <si>
    <t xml:space="preserve">C0848</t>
  </si>
  <si>
    <t xml:space="preserve">Jatin Singh</t>
  </si>
  <si>
    <t xml:space="preserve">C0849</t>
  </si>
  <si>
    <t xml:space="preserve">Komal Shekhawat</t>
  </si>
  <si>
    <t xml:space="preserve">C0850</t>
  </si>
  <si>
    <t xml:space="preserve">Vishal Kulkarni</t>
  </si>
  <si>
    <t xml:space="preserve">C0851</t>
  </si>
  <si>
    <t xml:space="preserve">Madhavi Fernandes</t>
  </si>
  <si>
    <t xml:space="preserve">C0852</t>
  </si>
  <si>
    <t xml:space="preserve">Dev Banerjee</t>
  </si>
  <si>
    <t xml:space="preserve">C0853</t>
  </si>
  <si>
    <t xml:space="preserve">Ishaan Kapoor</t>
  </si>
  <si>
    <t xml:space="preserve">C0854</t>
  </si>
  <si>
    <t xml:space="preserve">Harsh Chauhan</t>
  </si>
  <si>
    <t xml:space="preserve">C0855</t>
  </si>
  <si>
    <t xml:space="preserve">Varun Das</t>
  </si>
  <si>
    <t xml:space="preserve">C0856</t>
  </si>
  <si>
    <t xml:space="preserve">Sneha Verma</t>
  </si>
  <si>
    <t xml:space="preserve">C0857</t>
  </si>
  <si>
    <t xml:space="preserve">Pranav Kulkarni</t>
  </si>
  <si>
    <t xml:space="preserve">C0858</t>
  </si>
  <si>
    <t xml:space="preserve">Lavanya Tiwari</t>
  </si>
  <si>
    <t xml:space="preserve">C0859</t>
  </si>
  <si>
    <t xml:space="preserve">Aditi Rao</t>
  </si>
  <si>
    <t xml:space="preserve">C0860</t>
  </si>
  <si>
    <t xml:space="preserve">Gaurav Pandey</t>
  </si>
  <si>
    <t xml:space="preserve">C0861</t>
  </si>
  <si>
    <t xml:space="preserve">Divya Iyer</t>
  </si>
  <si>
    <t xml:space="preserve">C0862</t>
  </si>
  <si>
    <t xml:space="preserve">Bhavna Mehta</t>
  </si>
  <si>
    <t xml:space="preserve">C0863</t>
  </si>
  <si>
    <t xml:space="preserve">Yash Patel</t>
  </si>
  <si>
    <t xml:space="preserve">C0864</t>
  </si>
  <si>
    <t xml:space="preserve">Dev Verma</t>
  </si>
  <si>
    <t xml:space="preserve">C0865</t>
  </si>
  <si>
    <t xml:space="preserve">Mayank Rathore</t>
  </si>
  <si>
    <t xml:space="preserve">C0866</t>
  </si>
  <si>
    <t xml:space="preserve">Vikram Iyer</t>
  </si>
  <si>
    <t xml:space="preserve">C0867</t>
  </si>
  <si>
    <t xml:space="preserve">Jyoti Sharma</t>
  </si>
  <si>
    <t xml:space="preserve">C0868</t>
  </si>
  <si>
    <t xml:space="preserve">Naveen Chauhan</t>
  </si>
  <si>
    <t xml:space="preserve">C0869</t>
  </si>
  <si>
    <t xml:space="preserve">Mayank Chopra</t>
  </si>
  <si>
    <t xml:space="preserve">C0870</t>
  </si>
  <si>
    <t xml:space="preserve">Aditi Patel</t>
  </si>
  <si>
    <t xml:space="preserve">C0871</t>
  </si>
  <si>
    <t xml:space="preserve">Aditya Jain</t>
  </si>
  <si>
    <t xml:space="preserve">C0872</t>
  </si>
  <si>
    <t xml:space="preserve">Tara Kulkarni</t>
  </si>
  <si>
    <t xml:space="preserve">C0873</t>
  </si>
  <si>
    <t xml:space="preserve">Kavya Ghosh</t>
  </si>
  <si>
    <t xml:space="preserve">C0874</t>
  </si>
  <si>
    <t xml:space="preserve">Pooja Singh</t>
  </si>
  <si>
    <t xml:space="preserve">C0875</t>
  </si>
  <si>
    <t xml:space="preserve">Madhavi Chopra</t>
  </si>
  <si>
    <t xml:space="preserve">C0876</t>
  </si>
  <si>
    <t xml:space="preserve">Pallavi Jain</t>
  </si>
  <si>
    <t xml:space="preserve">C0877</t>
  </si>
  <si>
    <t xml:space="preserve">Sneha Shetty</t>
  </si>
  <si>
    <t xml:space="preserve">C0878</t>
  </si>
  <si>
    <t xml:space="preserve">Isha Kapoor</t>
  </si>
  <si>
    <t xml:space="preserve">C0879</t>
  </si>
  <si>
    <t xml:space="preserve">Madhavi Desai</t>
  </si>
  <si>
    <t xml:space="preserve">C0880</t>
  </si>
  <si>
    <t xml:space="preserve">Kavya Jain</t>
  </si>
  <si>
    <t xml:space="preserve">C0881</t>
  </si>
  <si>
    <t xml:space="preserve">Aditya Yadav</t>
  </si>
  <si>
    <t xml:space="preserve">C0882</t>
  </si>
  <si>
    <t xml:space="preserve">Karan Das</t>
  </si>
  <si>
    <t xml:space="preserve">C0883</t>
  </si>
  <si>
    <t xml:space="preserve">Priya Shekhawat</t>
  </si>
  <si>
    <t xml:space="preserve">C0884</t>
  </si>
  <si>
    <t xml:space="preserve">Lavanya Chauhan</t>
  </si>
  <si>
    <t xml:space="preserve">C0885</t>
  </si>
  <si>
    <t xml:space="preserve">Nandini Kaur</t>
  </si>
  <si>
    <t xml:space="preserve">C0886</t>
  </si>
  <si>
    <t xml:space="preserve">Isha Singh</t>
  </si>
  <si>
    <t xml:space="preserve">C0887</t>
  </si>
  <si>
    <t xml:space="preserve">Garima Chopra</t>
  </si>
  <si>
    <t xml:space="preserve">C0888</t>
  </si>
  <si>
    <t xml:space="preserve">Rahul Kulkarni</t>
  </si>
  <si>
    <t xml:space="preserve">C0889</t>
  </si>
  <si>
    <t xml:space="preserve">Deepak Kulkarni</t>
  </si>
  <si>
    <t xml:space="preserve">C0890</t>
  </si>
  <si>
    <t xml:space="preserve">Akash Patel</t>
  </si>
  <si>
    <t xml:space="preserve">C0891</t>
  </si>
  <si>
    <t xml:space="preserve">Nandini Ghosh</t>
  </si>
  <si>
    <t xml:space="preserve">C0892</t>
  </si>
  <si>
    <t xml:space="preserve">Hema Iyer</t>
  </si>
  <si>
    <t xml:space="preserve">C0893</t>
  </si>
  <si>
    <t xml:space="preserve">Mohit Patel</t>
  </si>
  <si>
    <t xml:space="preserve">C0894</t>
  </si>
  <si>
    <t xml:space="preserve">Ishaan Naidu</t>
  </si>
  <si>
    <t xml:space="preserve">C0895</t>
  </si>
  <si>
    <t xml:space="preserve">Jyoti Agarwal</t>
  </si>
  <si>
    <t xml:space="preserve">C0896</t>
  </si>
  <si>
    <t xml:space="preserve">Gaurav Malhotra</t>
  </si>
  <si>
    <t xml:space="preserve">C0897</t>
  </si>
  <si>
    <t xml:space="preserve">Naveen Ghosh</t>
  </si>
  <si>
    <t xml:space="preserve">C0898</t>
  </si>
  <si>
    <t xml:space="preserve">Simran Chatterjee</t>
  </si>
  <si>
    <t xml:space="preserve">C0899</t>
  </si>
  <si>
    <t xml:space="preserve">Amit Patil</t>
  </si>
  <si>
    <t xml:space="preserve">C0900</t>
  </si>
  <si>
    <t xml:space="preserve">Harsh Kapoor</t>
  </si>
  <si>
    <t xml:space="preserve">C0901</t>
  </si>
  <si>
    <t xml:space="preserve">Tara Agarwal</t>
  </si>
  <si>
    <t xml:space="preserve">C0902</t>
  </si>
  <si>
    <t xml:space="preserve">Aishwarya Bhatt</t>
  </si>
  <si>
    <t xml:space="preserve">C0903</t>
  </si>
  <si>
    <t xml:space="preserve">Varun Shetty</t>
  </si>
  <si>
    <t xml:space="preserve">C0904</t>
  </si>
  <si>
    <t xml:space="preserve">Vivaan Iyer</t>
  </si>
  <si>
    <t xml:space="preserve">C0905</t>
  </si>
  <si>
    <t xml:space="preserve">Karan Chatterjee</t>
  </si>
  <si>
    <t xml:space="preserve">C0906</t>
  </si>
  <si>
    <t xml:space="preserve">Yash Chopra</t>
  </si>
  <si>
    <t xml:space="preserve">C0907</t>
  </si>
  <si>
    <t xml:space="preserve">Radhika Pandey</t>
  </si>
  <si>
    <t xml:space="preserve">C0908</t>
  </si>
  <si>
    <t xml:space="preserve">Riya Verma</t>
  </si>
  <si>
    <t xml:space="preserve">C0909</t>
  </si>
  <si>
    <t xml:space="preserve">Nikhil Chauhan</t>
  </si>
  <si>
    <t xml:space="preserve">C0910</t>
  </si>
  <si>
    <t xml:space="preserve">Ananya Malhotra</t>
  </si>
  <si>
    <t xml:space="preserve">C0911</t>
  </si>
  <si>
    <t xml:space="preserve">Pranav Das</t>
  </si>
  <si>
    <t xml:space="preserve">C0912</t>
  </si>
  <si>
    <t xml:space="preserve">Naveen Mishra</t>
  </si>
  <si>
    <t xml:space="preserve">C0913</t>
  </si>
  <si>
    <t xml:space="preserve">Aditi Chatterjee</t>
  </si>
  <si>
    <t xml:space="preserve">C0914</t>
  </si>
  <si>
    <t xml:space="preserve">Vivaan Ghosh</t>
  </si>
  <si>
    <t xml:space="preserve">C0915</t>
  </si>
  <si>
    <t xml:space="preserve">Swati Pandey</t>
  </si>
  <si>
    <t xml:space="preserve">C0916</t>
  </si>
  <si>
    <t xml:space="preserve">Lavanya Saxena</t>
  </si>
  <si>
    <t xml:space="preserve">C0917</t>
  </si>
  <si>
    <t xml:space="preserve">Dev Roy</t>
  </si>
  <si>
    <t xml:space="preserve">C0918</t>
  </si>
  <si>
    <t xml:space="preserve">Sunita Mishra</t>
  </si>
  <si>
    <t xml:space="preserve">C0919</t>
  </si>
  <si>
    <t xml:space="preserve">Meera Agarwal</t>
  </si>
  <si>
    <t xml:space="preserve">C0920</t>
  </si>
  <si>
    <t xml:space="preserve">Chitra Sharma</t>
  </si>
  <si>
    <t xml:space="preserve">C0921</t>
  </si>
  <si>
    <t xml:space="preserve">Ankit Patil</t>
  </si>
  <si>
    <t xml:space="preserve">C0922</t>
  </si>
  <si>
    <t xml:space="preserve">Tara Patil</t>
  </si>
  <si>
    <t xml:space="preserve">C0923</t>
  </si>
  <si>
    <t xml:space="preserve">Aishwarya Pandey</t>
  </si>
  <si>
    <t xml:space="preserve">C0924</t>
  </si>
  <si>
    <t xml:space="preserve">Kavya Mehta</t>
  </si>
  <si>
    <t xml:space="preserve">C0925</t>
  </si>
  <si>
    <t xml:space="preserve">Amit Iyer</t>
  </si>
  <si>
    <t xml:space="preserve">C0926</t>
  </si>
  <si>
    <t xml:space="preserve">Kavya Mukherjee</t>
  </si>
  <si>
    <t xml:space="preserve">C0927</t>
  </si>
  <si>
    <t xml:space="preserve">Madhavi Pillai</t>
  </si>
  <si>
    <t xml:space="preserve">C0928</t>
  </si>
  <si>
    <t xml:space="preserve">Vivaan Mukherjee</t>
  </si>
  <si>
    <t xml:space="preserve">C0929</t>
  </si>
  <si>
    <t xml:space="preserve">Prakash Joshi</t>
  </si>
  <si>
    <t xml:space="preserve">C0930</t>
  </si>
  <si>
    <t xml:space="preserve">Gaurav Bhatt</t>
  </si>
  <si>
    <t xml:space="preserve">C0931</t>
  </si>
  <si>
    <t xml:space="preserve">Aarav Shekhawat</t>
  </si>
  <si>
    <t xml:space="preserve">C0932</t>
  </si>
  <si>
    <t xml:space="preserve">Hema Bansal</t>
  </si>
  <si>
    <t xml:space="preserve">C0933</t>
  </si>
  <si>
    <t xml:space="preserve">Anjali Pandey</t>
  </si>
  <si>
    <t xml:space="preserve">C0934</t>
  </si>
  <si>
    <t xml:space="preserve">Rohan Roy</t>
  </si>
  <si>
    <t xml:space="preserve">C0935</t>
  </si>
  <si>
    <t xml:space="preserve">Ankit Verma</t>
  </si>
  <si>
    <t xml:space="preserve">C0936</t>
  </si>
  <si>
    <t xml:space="preserve">Isha Naidu</t>
  </si>
  <si>
    <t xml:space="preserve">C0937</t>
  </si>
  <si>
    <t xml:space="preserve">Aishwarya Jain</t>
  </si>
  <si>
    <t xml:space="preserve">C0938</t>
  </si>
  <si>
    <t xml:space="preserve">Aditya Chopra</t>
  </si>
  <si>
    <t xml:space="preserve">C0939</t>
  </si>
  <si>
    <t xml:space="preserve">Dev Jain</t>
  </si>
  <si>
    <t xml:space="preserve">C0940</t>
  </si>
  <si>
    <t xml:space="preserve">Nisha Kapoor</t>
  </si>
  <si>
    <t xml:space="preserve">C0941</t>
  </si>
  <si>
    <t xml:space="preserve">Siddharth Patil</t>
  </si>
  <si>
    <t xml:space="preserve">C0942</t>
  </si>
  <si>
    <t xml:space="preserve">Madhavi Das</t>
  </si>
  <si>
    <t xml:space="preserve">C0943</t>
  </si>
  <si>
    <t xml:space="preserve">Priya Chatterjee</t>
  </si>
  <si>
    <t xml:space="preserve">C0944</t>
  </si>
  <si>
    <t xml:space="preserve">Tarun Verma</t>
  </si>
  <si>
    <t xml:space="preserve">C0945</t>
  </si>
  <si>
    <t xml:space="preserve">Kunal Banerjee</t>
  </si>
  <si>
    <t xml:space="preserve">C0946</t>
  </si>
  <si>
    <t xml:space="preserve">Tarun Kapoor</t>
  </si>
  <si>
    <t xml:space="preserve">C0947</t>
  </si>
  <si>
    <t xml:space="preserve">Mohit Sharma</t>
  </si>
  <si>
    <t xml:space="preserve">C0948</t>
  </si>
  <si>
    <t xml:space="preserve">Yash Bose</t>
  </si>
  <si>
    <t xml:space="preserve">C0949</t>
  </si>
  <si>
    <t xml:space="preserve">Prakash Bansal</t>
  </si>
  <si>
    <t xml:space="preserve">C0950</t>
  </si>
  <si>
    <t xml:space="preserve">Harsh Patel</t>
  </si>
  <si>
    <t xml:space="preserve">C0951</t>
  </si>
  <si>
    <t xml:space="preserve">Sakshi Das</t>
  </si>
  <si>
    <t xml:space="preserve">C0952</t>
  </si>
  <si>
    <t xml:space="preserve">Ankit Singh</t>
  </si>
  <si>
    <t xml:space="preserve">C0953</t>
  </si>
  <si>
    <t xml:space="preserve">Vikram Ghosh</t>
  </si>
  <si>
    <t xml:space="preserve">C0954</t>
  </si>
  <si>
    <t xml:space="preserve">Ashish Roy</t>
  </si>
  <si>
    <t xml:space="preserve">C0955</t>
  </si>
  <si>
    <t xml:space="preserve">Kritika Malhotra</t>
  </si>
  <si>
    <t xml:space="preserve">C0956</t>
  </si>
  <si>
    <t xml:space="preserve">Bhavna Chatterjee</t>
  </si>
  <si>
    <t xml:space="preserve">C0957</t>
  </si>
  <si>
    <t xml:space="preserve">Nikhil Tiwari</t>
  </si>
  <si>
    <t xml:space="preserve">C0958</t>
  </si>
  <si>
    <t xml:space="preserve">Ankit Chatterjee</t>
  </si>
  <si>
    <t xml:space="preserve">C0959</t>
  </si>
  <si>
    <t xml:space="preserve">Nandini Jain</t>
  </si>
  <si>
    <t xml:space="preserve">C0960</t>
  </si>
  <si>
    <t xml:space="preserve">Madhavi Banerjee</t>
  </si>
  <si>
    <t xml:space="preserve">C0961</t>
  </si>
  <si>
    <t xml:space="preserve">Vikram Bansal</t>
  </si>
  <si>
    <t xml:space="preserve">C0962</t>
  </si>
  <si>
    <t xml:space="preserve">Prakash Chopra</t>
  </si>
  <si>
    <t xml:space="preserve">C0963</t>
  </si>
  <si>
    <t xml:space="preserve">Ritu Naidu</t>
  </si>
  <si>
    <t xml:space="preserve">C0964</t>
  </si>
  <si>
    <t xml:space="preserve">Meera Sinha</t>
  </si>
  <si>
    <t xml:space="preserve">C0965</t>
  </si>
  <si>
    <t xml:space="preserve">Gaurav Joshi</t>
  </si>
  <si>
    <t xml:space="preserve">C0966</t>
  </si>
  <si>
    <t xml:space="preserve">Ananya Naidu</t>
  </si>
  <si>
    <t xml:space="preserve">C0967</t>
  </si>
  <si>
    <t xml:space="preserve">Chitra Mishra</t>
  </si>
  <si>
    <t xml:space="preserve">C0968</t>
  </si>
  <si>
    <t xml:space="preserve">Arjun Patil</t>
  </si>
  <si>
    <t xml:space="preserve">C0969</t>
  </si>
  <si>
    <t xml:space="preserve">Kunal Das</t>
  </si>
  <si>
    <t xml:space="preserve">C0970</t>
  </si>
  <si>
    <t xml:space="preserve">Meera Rao</t>
  </si>
  <si>
    <t xml:space="preserve">C0971</t>
  </si>
  <si>
    <t xml:space="preserve">Radhika Bhatt</t>
  </si>
  <si>
    <t xml:space="preserve">C0972</t>
  </si>
  <si>
    <t xml:space="preserve">Vivaan Yadav</t>
  </si>
  <si>
    <t xml:space="preserve">C0973</t>
  </si>
  <si>
    <t xml:space="preserve">Pankaj Malhotra</t>
  </si>
  <si>
    <t xml:space="preserve">C0974</t>
  </si>
  <si>
    <t xml:space="preserve">Sameer Ahmed</t>
  </si>
  <si>
    <t xml:space="preserve">C0975</t>
  </si>
  <si>
    <t xml:space="preserve">Simran Shekhawat</t>
  </si>
  <si>
    <t xml:space="preserve">C0976</t>
  </si>
  <si>
    <t xml:space="preserve">Sanjay Gupta</t>
  </si>
  <si>
    <t xml:space="preserve">C0977</t>
  </si>
  <si>
    <t xml:space="preserve">Yash Ahmed</t>
  </si>
  <si>
    <t xml:space="preserve">C0978</t>
  </si>
  <si>
    <t xml:space="preserve">Ritu Roy</t>
  </si>
  <si>
    <t xml:space="preserve">C0979</t>
  </si>
  <si>
    <t xml:space="preserve">Pranav Gupta</t>
  </si>
  <si>
    <t xml:space="preserve">C0980</t>
  </si>
  <si>
    <t xml:space="preserve">Lavanya Mehta</t>
  </si>
  <si>
    <t xml:space="preserve">C0981</t>
  </si>
  <si>
    <t xml:space="preserve">Suresh Nair</t>
  </si>
  <si>
    <t xml:space="preserve">C0982</t>
  </si>
  <si>
    <t xml:space="preserve">Neha Iyer</t>
  </si>
  <si>
    <t xml:space="preserve">C0983</t>
  </si>
  <si>
    <t xml:space="preserve">Rajesh Rathore</t>
  </si>
  <si>
    <t xml:space="preserve">C0984</t>
  </si>
  <si>
    <t xml:space="preserve">Riya Nair</t>
  </si>
  <si>
    <t xml:space="preserve">C0985</t>
  </si>
  <si>
    <t xml:space="preserve">Anil Chauhan</t>
  </si>
  <si>
    <t xml:space="preserve">C0986</t>
  </si>
  <si>
    <t xml:space="preserve">Sakshi Iyer</t>
  </si>
  <si>
    <t xml:space="preserve">C0987</t>
  </si>
  <si>
    <t xml:space="preserve">Tanvi Chauhan</t>
  </si>
  <si>
    <t xml:space="preserve">C0988</t>
  </si>
  <si>
    <t xml:space="preserve">Mayank Mehta</t>
  </si>
  <si>
    <t xml:space="preserve">C0989</t>
  </si>
  <si>
    <t xml:space="preserve">Kritika Singh</t>
  </si>
  <si>
    <t xml:space="preserve">C0990</t>
  </si>
  <si>
    <t xml:space="preserve">Siddharth Kaur</t>
  </si>
  <si>
    <t xml:space="preserve">C0991</t>
  </si>
  <si>
    <t xml:space="preserve">Riya Mukherjee</t>
  </si>
  <si>
    <t xml:space="preserve">C0992</t>
  </si>
  <si>
    <t xml:space="preserve">Manish Tiwari</t>
  </si>
  <si>
    <t xml:space="preserve">C0993</t>
  </si>
  <si>
    <t xml:space="preserve">Akash Joshi</t>
  </si>
  <si>
    <t xml:space="preserve">C0994</t>
  </si>
  <si>
    <t xml:space="preserve">Ankit Rao</t>
  </si>
  <si>
    <t xml:space="preserve">C0995</t>
  </si>
  <si>
    <t xml:space="preserve">Deepika Kaur</t>
  </si>
  <si>
    <t xml:space="preserve">C0996</t>
  </si>
  <si>
    <t xml:space="preserve">Lokesh Desai</t>
  </si>
  <si>
    <t xml:space="preserve">C0997</t>
  </si>
  <si>
    <t xml:space="preserve">Gaurav Patel</t>
  </si>
  <si>
    <t xml:space="preserve">C0998</t>
  </si>
  <si>
    <t xml:space="preserve">Varun Bhatt</t>
  </si>
  <si>
    <t xml:space="preserve">C0999</t>
  </si>
  <si>
    <t xml:space="preserve">Riya Shetty</t>
  </si>
  <si>
    <t xml:space="preserve">C1000</t>
  </si>
  <si>
    <t xml:space="preserve">Isha Patel</t>
  </si>
  <si>
    <t xml:space="preserve">C1001</t>
  </si>
  <si>
    <t xml:space="preserve">Shreya Pandey</t>
  </si>
  <si>
    <t xml:space="preserve">C1002</t>
  </si>
  <si>
    <t xml:space="preserve">Karan Bansal</t>
  </si>
  <si>
    <t xml:space="preserve">C1003</t>
  </si>
  <si>
    <t xml:space="preserve">Tarun Chopra</t>
  </si>
  <si>
    <t xml:space="preserve">C1004</t>
  </si>
  <si>
    <t xml:space="preserve">Simran Menon</t>
  </si>
  <si>
    <t xml:space="preserve">C1005</t>
  </si>
  <si>
    <t xml:space="preserve">Sameer Bansal</t>
  </si>
  <si>
    <t xml:space="preserve">C1006</t>
  </si>
  <si>
    <t xml:space="preserve">Meera Tiwari</t>
  </si>
  <si>
    <t xml:space="preserve">C1007</t>
  </si>
  <si>
    <t xml:space="preserve">Nikhil Sharma</t>
  </si>
  <si>
    <t xml:space="preserve">C1008</t>
  </si>
  <si>
    <t xml:space="preserve">Rajesh Mehta</t>
  </si>
  <si>
    <t xml:space="preserve">C1009</t>
  </si>
  <si>
    <t xml:space="preserve">Mohit Sinha</t>
  </si>
  <si>
    <t xml:space="preserve">C1010</t>
  </si>
  <si>
    <t xml:space="preserve">Ashish Yadav</t>
  </si>
  <si>
    <t xml:space="preserve">C1011</t>
  </si>
  <si>
    <t xml:space="preserve">Diya Rao</t>
  </si>
  <si>
    <t xml:space="preserve">C1012</t>
  </si>
  <si>
    <t xml:space="preserve">Pallavi Ahmed</t>
  </si>
  <si>
    <t xml:space="preserve">C1013</t>
  </si>
  <si>
    <t xml:space="preserve">Jyoti Roy</t>
  </si>
  <si>
    <t xml:space="preserve">C1014</t>
  </si>
  <si>
    <t xml:space="preserve">Dev Patel</t>
  </si>
  <si>
    <t xml:space="preserve">C1015</t>
  </si>
  <si>
    <t xml:space="preserve">Aditi Iyer</t>
  </si>
  <si>
    <t xml:space="preserve">C1016</t>
  </si>
  <si>
    <t xml:space="preserve">Vivaan Bansal</t>
  </si>
  <si>
    <t xml:space="preserve">C1017</t>
  </si>
  <si>
    <t xml:space="preserve">Swati Bansal</t>
  </si>
  <si>
    <t xml:space="preserve">C1018</t>
  </si>
  <si>
    <t xml:space="preserve">Naveen Chopra</t>
  </si>
  <si>
    <t xml:space="preserve">C1019</t>
  </si>
  <si>
    <t xml:space="preserve">Pranav Shekhawat</t>
  </si>
  <si>
    <t xml:space="preserve">C1020</t>
  </si>
  <si>
    <t xml:space="preserve">Ananya Kaur</t>
  </si>
  <si>
    <t xml:space="preserve">C1021</t>
  </si>
  <si>
    <t xml:space="preserve">Deepika Mishra</t>
  </si>
  <si>
    <t xml:space="preserve">C1022</t>
  </si>
  <si>
    <t xml:space="preserve">Rohan Reddy</t>
  </si>
  <si>
    <t xml:space="preserve">C1023</t>
  </si>
  <si>
    <t xml:space="preserve">Jyoti Rao</t>
  </si>
  <si>
    <t xml:space="preserve">C1024</t>
  </si>
  <si>
    <t xml:space="preserve">Karan Khan</t>
  </si>
  <si>
    <t xml:space="preserve">C1025</t>
  </si>
  <si>
    <t xml:space="preserve">Meera Rathore</t>
  </si>
  <si>
    <t xml:space="preserve">C1026</t>
  </si>
  <si>
    <t xml:space="preserve">Riya Ghosh</t>
  </si>
  <si>
    <t xml:space="preserve">C1027</t>
  </si>
  <si>
    <t xml:space="preserve">Nandini Bhatt</t>
  </si>
  <si>
    <t xml:space="preserve">C1028</t>
  </si>
  <si>
    <t xml:space="preserve">Bhavna Reddy</t>
  </si>
  <si>
    <t xml:space="preserve">C1029</t>
  </si>
  <si>
    <t xml:space="preserve">Kunal Ahmed</t>
  </si>
  <si>
    <t xml:space="preserve">C1030</t>
  </si>
  <si>
    <t xml:space="preserve">Mohit Yadav</t>
  </si>
  <si>
    <t xml:space="preserve">C1031</t>
  </si>
  <si>
    <t xml:space="preserve">Rohan Chatterjee</t>
  </si>
  <si>
    <t xml:space="preserve">C1032</t>
  </si>
  <si>
    <t xml:space="preserve">Rohan Naidu</t>
  </si>
  <si>
    <t xml:space="preserve">C1033</t>
  </si>
  <si>
    <t xml:space="preserve">Nikhil Patil</t>
  </si>
  <si>
    <t xml:space="preserve">C1034</t>
  </si>
  <si>
    <t xml:space="preserve">Anil Mishra</t>
  </si>
  <si>
    <t xml:space="preserve">C1035</t>
  </si>
  <si>
    <t xml:space="preserve">Aditi Joshi</t>
  </si>
  <si>
    <t xml:space="preserve">C1036</t>
  </si>
  <si>
    <t xml:space="preserve">Rahul Bose</t>
  </si>
  <si>
    <t xml:space="preserve">C1037</t>
  </si>
  <si>
    <t xml:space="preserve">Jatin Jain</t>
  </si>
  <si>
    <t xml:space="preserve">C1038</t>
  </si>
  <si>
    <t xml:space="preserve">Anjali Desai</t>
  </si>
  <si>
    <t xml:space="preserve">C1039</t>
  </si>
  <si>
    <t xml:space="preserve">Pankaj Shekhawat</t>
  </si>
  <si>
    <t xml:space="preserve">C1040</t>
  </si>
  <si>
    <t xml:space="preserve">Sanjay Chatterjee</t>
  </si>
  <si>
    <t xml:space="preserve">C1041</t>
  </si>
  <si>
    <t xml:space="preserve">Tara Verma</t>
  </si>
  <si>
    <t xml:space="preserve">C1042</t>
  </si>
  <si>
    <t xml:space="preserve">Pranav Yadav</t>
  </si>
  <si>
    <t xml:space="preserve">C1043</t>
  </si>
  <si>
    <t xml:space="preserve">Gaurav Mukherjee</t>
  </si>
  <si>
    <t xml:space="preserve">C1044</t>
  </si>
  <si>
    <t xml:space="preserve">Ritu Nair</t>
  </si>
  <si>
    <t xml:space="preserve">C1045</t>
  </si>
  <si>
    <t xml:space="preserve">Ritu Mehta</t>
  </si>
  <si>
    <t xml:space="preserve">C1046</t>
  </si>
  <si>
    <t xml:space="preserve">Harsh Jain</t>
  </si>
  <si>
    <t xml:space="preserve">C1047</t>
  </si>
  <si>
    <t xml:space="preserve">Lokesh Kapoor</t>
  </si>
  <si>
    <t xml:space="preserve">C1048</t>
  </si>
  <si>
    <t xml:space="preserve">Ashish Khan</t>
  </si>
  <si>
    <t xml:space="preserve">C1049</t>
  </si>
  <si>
    <t xml:space="preserve">Manish Bansal</t>
  </si>
  <si>
    <t xml:space="preserve">C1050</t>
  </si>
  <si>
    <t xml:space="preserve">Karan Yadav</t>
  </si>
  <si>
    <t xml:space="preserve">C1051</t>
  </si>
  <si>
    <t xml:space="preserve">Ritu Patil</t>
  </si>
  <si>
    <t xml:space="preserve">C1052</t>
  </si>
  <si>
    <t xml:space="preserve">Rashmi Pillai</t>
  </si>
  <si>
    <t xml:space="preserve">C1053</t>
  </si>
  <si>
    <t xml:space="preserve">Mayank Bansal</t>
  </si>
  <si>
    <t xml:space="preserve">C1054</t>
  </si>
  <si>
    <t xml:space="preserve">Jyoti Khan</t>
  </si>
  <si>
    <t xml:space="preserve">C1055</t>
  </si>
  <si>
    <t xml:space="preserve">Ekta Mukherjee</t>
  </si>
  <si>
    <t xml:space="preserve">C1056</t>
  </si>
  <si>
    <t xml:space="preserve">Nikhil Kaur</t>
  </si>
  <si>
    <t xml:space="preserve">C1057</t>
  </si>
  <si>
    <t xml:space="preserve">Anil Agarwal</t>
  </si>
  <si>
    <t xml:space="preserve">C1058</t>
  </si>
  <si>
    <t xml:space="preserve">Hema Verma</t>
  </si>
  <si>
    <t xml:space="preserve">C1059</t>
  </si>
  <si>
    <t xml:space="preserve">Swati Saxena</t>
  </si>
  <si>
    <t xml:space="preserve">C1060</t>
  </si>
  <si>
    <t xml:space="preserve">Karan Chopra</t>
  </si>
  <si>
    <t xml:space="preserve">C1061</t>
  </si>
  <si>
    <t xml:space="preserve">Arjun Chatterjee</t>
  </si>
  <si>
    <t xml:space="preserve">C1062</t>
  </si>
  <si>
    <t xml:space="preserve">Deepak Bose</t>
  </si>
  <si>
    <t xml:space="preserve">C1063</t>
  </si>
  <si>
    <t xml:space="preserve">Nisha Yadav</t>
  </si>
  <si>
    <t xml:space="preserve">C1064</t>
  </si>
  <si>
    <t xml:space="preserve">Rajesh Kaur</t>
  </si>
  <si>
    <t xml:space="preserve">C1065</t>
  </si>
  <si>
    <t xml:space="preserve">Tara Patel</t>
  </si>
  <si>
    <t xml:space="preserve">C1066</t>
  </si>
  <si>
    <t xml:space="preserve">Mayank Kapoor</t>
  </si>
  <si>
    <t xml:space="preserve">C1067</t>
  </si>
  <si>
    <t xml:space="preserve">Sanjay Jain</t>
  </si>
  <si>
    <t xml:space="preserve">C1068</t>
  </si>
  <si>
    <t xml:space="preserve">Sameer Pillai</t>
  </si>
  <si>
    <t xml:space="preserve">C1069</t>
  </si>
  <si>
    <t xml:space="preserve">Varun Chopra</t>
  </si>
  <si>
    <t xml:space="preserve">C1070</t>
  </si>
  <si>
    <t xml:space="preserve">Ritu Saxena</t>
  </si>
  <si>
    <t xml:space="preserve">C1071</t>
  </si>
  <si>
    <t xml:space="preserve">Isha Jain</t>
  </si>
  <si>
    <t xml:space="preserve">C1072</t>
  </si>
  <si>
    <t xml:space="preserve">Riya Patil</t>
  </si>
  <si>
    <t xml:space="preserve">C1073</t>
  </si>
  <si>
    <t xml:space="preserve">Akash Bansal</t>
  </si>
  <si>
    <t xml:space="preserve">C1074</t>
  </si>
  <si>
    <t xml:space="preserve">Pallavi Shetty</t>
  </si>
  <si>
    <t xml:space="preserve">C1075</t>
  </si>
  <si>
    <t xml:space="preserve">Karan Patil</t>
  </si>
  <si>
    <t xml:space="preserve">C1076</t>
  </si>
  <si>
    <t xml:space="preserve">Lavanya Khan</t>
  </si>
  <si>
    <t xml:space="preserve">C1077</t>
  </si>
  <si>
    <t xml:space="preserve">Pankaj Mehta</t>
  </si>
  <si>
    <t xml:space="preserve">C1078</t>
  </si>
  <si>
    <t xml:space="preserve">Rashmi Saxena</t>
  </si>
  <si>
    <t xml:space="preserve">C1079</t>
  </si>
  <si>
    <t xml:space="preserve">Anjali Agarwal</t>
  </si>
  <si>
    <t xml:space="preserve">C1080</t>
  </si>
  <si>
    <t xml:space="preserve">Meera Das</t>
  </si>
  <si>
    <t xml:space="preserve">C1081</t>
  </si>
  <si>
    <t xml:space="preserve">Diya Desai</t>
  </si>
  <si>
    <t xml:space="preserve">C1082</t>
  </si>
  <si>
    <t xml:space="preserve">Deepak Sinha</t>
  </si>
  <si>
    <t xml:space="preserve">C1083</t>
  </si>
  <si>
    <t xml:space="preserve">Aditi Bansal</t>
  </si>
  <si>
    <t xml:space="preserve">C1084</t>
  </si>
  <si>
    <t xml:space="preserve">Kunal Ghosh</t>
  </si>
  <si>
    <t xml:space="preserve">C1085</t>
  </si>
  <si>
    <t xml:space="preserve">Kavya Agarwal</t>
  </si>
  <si>
    <t xml:space="preserve">C1086</t>
  </si>
  <si>
    <t xml:space="preserve">Vidya Kulkarni</t>
  </si>
  <si>
    <t xml:space="preserve">C1087</t>
  </si>
  <si>
    <t xml:space="preserve">Divya Ahmed</t>
  </si>
  <si>
    <t xml:space="preserve">C1088</t>
  </si>
  <si>
    <t xml:space="preserve">Varun Shekhawat</t>
  </si>
  <si>
    <t xml:space="preserve">C1089</t>
  </si>
  <si>
    <t xml:space="preserve">Sanjay Nair</t>
  </si>
  <si>
    <t xml:space="preserve">C1090</t>
  </si>
  <si>
    <t xml:space="preserve">Pranav Banerjee</t>
  </si>
  <si>
    <t xml:space="preserve">C1091</t>
  </si>
  <si>
    <t xml:space="preserve">Dev Kapoor</t>
  </si>
  <si>
    <t xml:space="preserve">C1092</t>
  </si>
  <si>
    <t xml:space="preserve">Naman Pandey</t>
  </si>
  <si>
    <t xml:space="preserve">C1093</t>
  </si>
  <si>
    <t xml:space="preserve">Deepika Bansal</t>
  </si>
  <si>
    <t xml:space="preserve">C1094</t>
  </si>
  <si>
    <t xml:space="preserve">Nisha Joshi</t>
  </si>
  <si>
    <t xml:space="preserve">C1095</t>
  </si>
  <si>
    <t xml:space="preserve">Riya Roy</t>
  </si>
  <si>
    <t xml:space="preserve">C1096</t>
  </si>
  <si>
    <t xml:space="preserve">Bhavna Yadav</t>
  </si>
  <si>
    <t xml:space="preserve">C1097</t>
  </si>
  <si>
    <t xml:space="preserve">Naveen Singh</t>
  </si>
  <si>
    <t xml:space="preserve">C1098</t>
  </si>
  <si>
    <t xml:space="preserve">Siddharth Desai</t>
  </si>
  <si>
    <t xml:space="preserve">C1099</t>
  </si>
  <si>
    <t xml:space="preserve">Hema Sinha</t>
  </si>
  <si>
    <t xml:space="preserve">C1100</t>
  </si>
  <si>
    <t xml:space="preserve">Naman Yadav</t>
  </si>
  <si>
    <t xml:space="preserve">C1101</t>
  </si>
  <si>
    <t xml:space="preserve">Jyoti Menon</t>
  </si>
  <si>
    <t xml:space="preserve">C1102</t>
  </si>
  <si>
    <t xml:space="preserve">Vivaan Khan</t>
  </si>
  <si>
    <t xml:space="preserve">C1103</t>
  </si>
  <si>
    <t xml:space="preserve">Aishwarya Pillai</t>
  </si>
  <si>
    <t xml:space="preserve">C1104</t>
  </si>
  <si>
    <t xml:space="preserve">Rohan Mehta</t>
  </si>
  <si>
    <t xml:space="preserve">C1105</t>
  </si>
  <si>
    <t xml:space="preserve">Aarav Bhatt</t>
  </si>
  <si>
    <t xml:space="preserve">C1106</t>
  </si>
  <si>
    <t xml:space="preserve">Mayank Banerjee</t>
  </si>
  <si>
    <t xml:space="preserve">C1107</t>
  </si>
  <si>
    <t xml:space="preserve">Ankit Kulkarni</t>
  </si>
  <si>
    <t xml:space="preserve">C1108</t>
  </si>
  <si>
    <t xml:space="preserve">Diya Agarwal</t>
  </si>
  <si>
    <t xml:space="preserve">C1109</t>
  </si>
  <si>
    <t xml:space="preserve">Naman Rathore</t>
  </si>
  <si>
    <t xml:space="preserve">C1110</t>
  </si>
  <si>
    <t xml:space="preserve">Lavanya Naidu</t>
  </si>
  <si>
    <t xml:space="preserve">C1111</t>
  </si>
  <si>
    <t xml:space="preserve">Vivaan Kaur</t>
  </si>
  <si>
    <t xml:space="preserve">C1112</t>
  </si>
  <si>
    <t xml:space="preserve">Anjali Roy</t>
  </si>
  <si>
    <t xml:space="preserve">C1113</t>
  </si>
  <si>
    <t xml:space="preserve">Arjun Pillai</t>
  </si>
  <si>
    <t xml:space="preserve">C1114</t>
  </si>
  <si>
    <t xml:space="preserve">Jyoti Malhotra</t>
  </si>
  <si>
    <t xml:space="preserve">C1115</t>
  </si>
  <si>
    <t xml:space="preserve">Gaurav Sharma</t>
  </si>
  <si>
    <t xml:space="preserve">C1116</t>
  </si>
  <si>
    <t xml:space="preserve">Uma Joshi</t>
  </si>
  <si>
    <t xml:space="preserve">C1117</t>
  </si>
  <si>
    <t xml:space="preserve">Rashmi Banerjee</t>
  </si>
  <si>
    <t xml:space="preserve">C1118</t>
  </si>
  <si>
    <t xml:space="preserve">Manish Iyer</t>
  </si>
  <si>
    <t xml:space="preserve">C1119</t>
  </si>
  <si>
    <t xml:space="preserve">Nandini Banerjee</t>
  </si>
  <si>
    <t xml:space="preserve">C1120</t>
  </si>
  <si>
    <t xml:space="preserve">Pooja Chauhan</t>
  </si>
  <si>
    <t xml:space="preserve">C1121</t>
  </si>
  <si>
    <t xml:space="preserve">Ishaan Ahmed</t>
  </si>
  <si>
    <t xml:space="preserve">C1122</t>
  </si>
  <si>
    <t xml:space="preserve">Rahul Shekhawat</t>
  </si>
  <si>
    <t xml:space="preserve">C1123</t>
  </si>
  <si>
    <t xml:space="preserve">Lokesh Menon</t>
  </si>
  <si>
    <t xml:space="preserve">C1124</t>
  </si>
  <si>
    <t xml:space="preserve">Jatin Mishra</t>
  </si>
  <si>
    <t xml:space="preserve">C1125</t>
  </si>
  <si>
    <t xml:space="preserve">Vikram Joshi</t>
  </si>
  <si>
    <t xml:space="preserve">C1126</t>
  </si>
  <si>
    <t xml:space="preserve">Abhishek Shetty</t>
  </si>
  <si>
    <t xml:space="preserve">C1127</t>
  </si>
  <si>
    <t xml:space="preserve">Pranav Ghosh</t>
  </si>
  <si>
    <t xml:space="preserve">C1128</t>
  </si>
  <si>
    <t xml:space="preserve">Shreya Malhotra</t>
  </si>
  <si>
    <t xml:space="preserve">C1129</t>
  </si>
  <si>
    <t xml:space="preserve">Komal Mishra</t>
  </si>
  <si>
    <t xml:space="preserve">C1130</t>
  </si>
  <si>
    <t xml:space="preserve">Gaurav Banerjee</t>
  </si>
  <si>
    <t xml:space="preserve">C1131</t>
  </si>
  <si>
    <t xml:space="preserve">Vidya Bose</t>
  </si>
  <si>
    <t xml:space="preserve">C1132</t>
  </si>
  <si>
    <t xml:space="preserve">Shreya Kapoor</t>
  </si>
  <si>
    <t xml:space="preserve">C1133</t>
  </si>
  <si>
    <t xml:space="preserve">Priya Mukherjee</t>
  </si>
  <si>
    <t xml:space="preserve">C1134</t>
  </si>
  <si>
    <t xml:space="preserve">Jyoti Kulkarni</t>
  </si>
  <si>
    <t xml:space="preserve">C1135</t>
  </si>
  <si>
    <t xml:space="preserve">Garima Shekhawat</t>
  </si>
  <si>
    <t xml:space="preserve">C1136</t>
  </si>
  <si>
    <t xml:space="preserve">Rashmi Rathore</t>
  </si>
  <si>
    <t xml:space="preserve">C1137</t>
  </si>
  <si>
    <t xml:space="preserve">Kunal Reddy</t>
  </si>
  <si>
    <t xml:space="preserve">C1138</t>
  </si>
  <si>
    <t xml:space="preserve">Ishaan Pillai</t>
  </si>
  <si>
    <t xml:space="preserve">C1139</t>
  </si>
  <si>
    <t xml:space="preserve">Lokesh Patel</t>
  </si>
  <si>
    <t xml:space="preserve">C1140</t>
  </si>
  <si>
    <t xml:space="preserve">Sameer Nair</t>
  </si>
  <si>
    <t xml:space="preserve">C1141</t>
  </si>
  <si>
    <t xml:space="preserve">Aarav Pandey</t>
  </si>
  <si>
    <t xml:space="preserve">C1142</t>
  </si>
  <si>
    <t xml:space="preserve">Nikhil Ahmed</t>
  </si>
  <si>
    <t xml:space="preserve">C1143</t>
  </si>
  <si>
    <t xml:space="preserve">Lokesh Nair</t>
  </si>
  <si>
    <t xml:space="preserve">C1144</t>
  </si>
  <si>
    <t xml:space="preserve">Anjali Ghosh</t>
  </si>
  <si>
    <t xml:space="preserve">C1145</t>
  </si>
  <si>
    <t xml:space="preserve">Varun Iyer</t>
  </si>
  <si>
    <t xml:space="preserve">C1146</t>
  </si>
  <si>
    <t xml:space="preserve">Divya Singh</t>
  </si>
  <si>
    <t xml:space="preserve">C1147</t>
  </si>
  <si>
    <t xml:space="preserve">Vivaan Joshi</t>
  </si>
  <si>
    <t xml:space="preserve">C1148</t>
  </si>
  <si>
    <t xml:space="preserve">Arjun Verma</t>
  </si>
  <si>
    <t xml:space="preserve">C1149</t>
  </si>
  <si>
    <t xml:space="preserve">Divya Joshi</t>
  </si>
  <si>
    <t xml:space="preserve">C1150</t>
  </si>
  <si>
    <t xml:space="preserve">Kritika Menon</t>
  </si>
  <si>
    <t xml:space="preserve">C1151</t>
  </si>
  <si>
    <t xml:space="preserve">Prakash Mukherjee</t>
  </si>
  <si>
    <t xml:space="preserve">C1152</t>
  </si>
  <si>
    <t xml:space="preserve">Rashmi Verma</t>
  </si>
  <si>
    <t xml:space="preserve">C1153</t>
  </si>
  <si>
    <t xml:space="preserve">Rahul Iyer</t>
  </si>
  <si>
    <t xml:space="preserve">C1154</t>
  </si>
  <si>
    <t xml:space="preserve">Vishal Verma</t>
  </si>
  <si>
    <t xml:space="preserve">C1155</t>
  </si>
  <si>
    <t xml:space="preserve">Anil Jain</t>
  </si>
  <si>
    <t xml:space="preserve">C1156</t>
  </si>
  <si>
    <t xml:space="preserve">Simran Chauhan</t>
  </si>
  <si>
    <t xml:space="preserve">C1157</t>
  </si>
  <si>
    <t xml:space="preserve">Manish Ghosh</t>
  </si>
  <si>
    <t xml:space="preserve">C1158</t>
  </si>
  <si>
    <t xml:space="preserve">Rajesh Patil</t>
  </si>
  <si>
    <t xml:space="preserve">C1159</t>
  </si>
  <si>
    <t xml:space="preserve">Rajesh Pandey</t>
  </si>
  <si>
    <t xml:space="preserve">C1160</t>
  </si>
  <si>
    <t xml:space="preserve">Neha Menon</t>
  </si>
  <si>
    <t xml:space="preserve">C1161</t>
  </si>
  <si>
    <t xml:space="preserve">Ashish Desai</t>
  </si>
  <si>
    <t xml:space="preserve">C1162</t>
  </si>
  <si>
    <t xml:space="preserve">Harsh Singh</t>
  </si>
  <si>
    <t xml:space="preserve">C1163</t>
  </si>
  <si>
    <t xml:space="preserve">Riya Gupta</t>
  </si>
  <si>
    <t xml:space="preserve">C1164</t>
  </si>
  <si>
    <t xml:space="preserve">Isha Rathore</t>
  </si>
  <si>
    <t xml:space="preserve">C1165</t>
  </si>
  <si>
    <t xml:space="preserve">Swati Malhotra</t>
  </si>
  <si>
    <t xml:space="preserve">C1166</t>
  </si>
  <si>
    <t xml:space="preserve">Uma Desai</t>
  </si>
  <si>
    <t xml:space="preserve">C1167</t>
  </si>
  <si>
    <t xml:space="preserve">Nandini Kulkarni</t>
  </si>
  <si>
    <t xml:space="preserve">C1168</t>
  </si>
  <si>
    <t xml:space="preserve">Varun Khan</t>
  </si>
  <si>
    <t xml:space="preserve">C1169</t>
  </si>
  <si>
    <t xml:space="preserve">Vidya Chopra</t>
  </si>
  <si>
    <t xml:space="preserve">C1170</t>
  </si>
  <si>
    <t xml:space="preserve">Aditya Menon</t>
  </si>
  <si>
    <t xml:space="preserve">C1171</t>
  </si>
  <si>
    <t xml:space="preserve">Uma Pandey</t>
  </si>
  <si>
    <t xml:space="preserve">C1172</t>
  </si>
  <si>
    <t xml:space="preserve">Tanvi Nair</t>
  </si>
  <si>
    <t xml:space="preserve">C1173</t>
  </si>
  <si>
    <t xml:space="preserve">Meera Ahmed</t>
  </si>
  <si>
    <t xml:space="preserve">C1174</t>
  </si>
  <si>
    <t xml:space="preserve">Manish Reddy</t>
  </si>
  <si>
    <t xml:space="preserve">C1175</t>
  </si>
  <si>
    <t xml:space="preserve">Ankit Bansal</t>
  </si>
  <si>
    <t xml:space="preserve">C1176</t>
  </si>
  <si>
    <t xml:space="preserve">Tarun Desai</t>
  </si>
  <si>
    <t xml:space="preserve">C1177</t>
  </si>
  <si>
    <t xml:space="preserve">Bhavna Ahmed</t>
  </si>
  <si>
    <t xml:space="preserve">C1178</t>
  </si>
  <si>
    <t xml:space="preserve">Rajesh Chopra</t>
  </si>
  <si>
    <t xml:space="preserve">C1179</t>
  </si>
  <si>
    <t xml:space="preserve">Nandini Agarwal</t>
  </si>
  <si>
    <t xml:space="preserve">C1180</t>
  </si>
  <si>
    <t xml:space="preserve">Yash Patil</t>
  </si>
  <si>
    <t xml:space="preserve">C1181</t>
  </si>
  <si>
    <t xml:space="preserve">Nisha Gupta</t>
  </si>
  <si>
    <t xml:space="preserve">C1182</t>
  </si>
  <si>
    <t xml:space="preserve">Rahul Desai</t>
  </si>
  <si>
    <t xml:space="preserve">C1183</t>
  </si>
  <si>
    <t xml:space="preserve">Bhavna Khan</t>
  </si>
  <si>
    <t xml:space="preserve">C1184</t>
  </si>
  <si>
    <t xml:space="preserve">Ekta Kaur</t>
  </si>
  <si>
    <t xml:space="preserve">C1185</t>
  </si>
  <si>
    <t xml:space="preserve">Deepak Chopra</t>
  </si>
  <si>
    <t xml:space="preserve">C1186</t>
  </si>
  <si>
    <t xml:space="preserve">Yash Naidu</t>
  </si>
  <si>
    <t xml:space="preserve">C1187</t>
  </si>
  <si>
    <t xml:space="preserve">Aishwarya Bansal</t>
  </si>
  <si>
    <t xml:space="preserve">C1188</t>
  </si>
  <si>
    <t xml:space="preserve">Pooja Gupta</t>
  </si>
  <si>
    <t xml:space="preserve">C1189</t>
  </si>
  <si>
    <t xml:space="preserve">Neha Patel</t>
  </si>
  <si>
    <t xml:space="preserve">C1190</t>
  </si>
  <si>
    <t xml:space="preserve">Abhishek Patel</t>
  </si>
  <si>
    <t xml:space="preserve">C1191</t>
  </si>
  <si>
    <t xml:space="preserve">Pooja Shekhawat</t>
  </si>
  <si>
    <t xml:space="preserve">C1192</t>
  </si>
  <si>
    <t xml:space="preserve">Lokesh Khan</t>
  </si>
  <si>
    <t xml:space="preserve">C1193</t>
  </si>
  <si>
    <t xml:space="preserve">Lokesh Chatterjee</t>
  </si>
  <si>
    <t xml:space="preserve">C1194</t>
  </si>
  <si>
    <t xml:space="preserve">Suresh Chatterjee</t>
  </si>
  <si>
    <t xml:space="preserve">C1195</t>
  </si>
  <si>
    <t xml:space="preserve">Riya Jain</t>
  </si>
  <si>
    <t xml:space="preserve">C1196</t>
  </si>
  <si>
    <t xml:space="preserve">Mayank Malhotra</t>
  </si>
  <si>
    <t xml:space="preserve">C1197</t>
  </si>
  <si>
    <t xml:space="preserve">Mohit Agarwal</t>
  </si>
  <si>
    <t xml:space="preserve">C1198</t>
  </si>
  <si>
    <t xml:space="preserve">Swati Sharma</t>
  </si>
  <si>
    <t xml:space="preserve">C1199</t>
  </si>
  <si>
    <t xml:space="preserve">Riya Pillai</t>
  </si>
  <si>
    <t xml:space="preserve">C1200</t>
  </si>
  <si>
    <t xml:space="preserve">Kritika Bansal</t>
  </si>
  <si>
    <t xml:space="preserve">C1201</t>
  </si>
  <si>
    <t xml:space="preserve">Sakshi Chauhan</t>
  </si>
  <si>
    <t xml:space="preserve">C1202</t>
  </si>
  <si>
    <t xml:space="preserve">Siddharth Yadav</t>
  </si>
  <si>
    <t xml:space="preserve">C1203</t>
  </si>
  <si>
    <t xml:space="preserve">Swati Ghosh</t>
  </si>
  <si>
    <t xml:space="preserve">C1204</t>
  </si>
  <si>
    <t xml:space="preserve">Abhishek Chauhan</t>
  </si>
  <si>
    <t xml:space="preserve">C1205</t>
  </si>
  <si>
    <t xml:space="preserve">Sanjay Joshi</t>
  </si>
  <si>
    <t xml:space="preserve">C1206</t>
  </si>
  <si>
    <t xml:space="preserve">Kavya Rao</t>
  </si>
  <si>
    <t xml:space="preserve">C1207</t>
  </si>
  <si>
    <t xml:space="preserve">Anil Roy</t>
  </si>
  <si>
    <t xml:space="preserve">C1208</t>
  </si>
  <si>
    <t xml:space="preserve">Naman Saxena</t>
  </si>
  <si>
    <t xml:space="preserve">C1209</t>
  </si>
  <si>
    <t xml:space="preserve">Varun Mishra</t>
  </si>
  <si>
    <t xml:space="preserve">C1210</t>
  </si>
  <si>
    <t xml:space="preserve">Ishaan Saxena</t>
  </si>
  <si>
    <t xml:space="preserve">C1211</t>
  </si>
  <si>
    <t xml:space="preserve">Rashmi Shekhawat</t>
  </si>
  <si>
    <t xml:space="preserve">C1212</t>
  </si>
  <si>
    <t xml:space="preserve">Pankaj Chatterjee</t>
  </si>
  <si>
    <t xml:space="preserve">C1213</t>
  </si>
  <si>
    <t xml:space="preserve">Tanvi Agarwal</t>
  </si>
  <si>
    <t xml:space="preserve">C1214</t>
  </si>
  <si>
    <t xml:space="preserve">Swati Singh</t>
  </si>
  <si>
    <t xml:space="preserve">C1215</t>
  </si>
  <si>
    <t xml:space="preserve">Pankaj Banerjee</t>
  </si>
  <si>
    <t xml:space="preserve">C1216</t>
  </si>
  <si>
    <t xml:space="preserve">Tanvi Patel</t>
  </si>
  <si>
    <t xml:space="preserve">C1217</t>
  </si>
  <si>
    <t xml:space="preserve">Arjun Mishra</t>
  </si>
  <si>
    <t xml:space="preserve">C1218</t>
  </si>
  <si>
    <t xml:space="preserve">Yash Mehta</t>
  </si>
  <si>
    <t xml:space="preserve">C1219</t>
  </si>
  <si>
    <t xml:space="preserve">Mohit Malhotra</t>
  </si>
  <si>
    <t xml:space="preserve">C1220</t>
  </si>
  <si>
    <t xml:space="preserve">Ishaan Patil</t>
  </si>
  <si>
    <t xml:space="preserve">C1221</t>
  </si>
  <si>
    <t xml:space="preserve">Sameer Tiwari</t>
  </si>
  <si>
    <t xml:space="preserve">C1222</t>
  </si>
  <si>
    <t xml:space="preserve">Vishal Shekhawat</t>
  </si>
  <si>
    <t xml:space="preserve">C1223</t>
  </si>
  <si>
    <t xml:space="preserve">Abhishek Gupta</t>
  </si>
  <si>
    <t xml:space="preserve">C1224</t>
  </si>
  <si>
    <t xml:space="preserve">Pankaj Kapoor</t>
  </si>
  <si>
    <t xml:space="preserve">C1225</t>
  </si>
  <si>
    <t xml:space="preserve">Harsh Gupta</t>
  </si>
  <si>
    <t xml:space="preserve">C1226</t>
  </si>
  <si>
    <t xml:space="preserve">Simran Mehta</t>
  </si>
  <si>
    <t xml:space="preserve">C1227</t>
  </si>
  <si>
    <t xml:space="preserve">Suresh Ahmed</t>
  </si>
  <si>
    <t xml:space="preserve">C1228</t>
  </si>
  <si>
    <t xml:space="preserve">Deepika Naidu</t>
  </si>
  <si>
    <t xml:space="preserve">C1229</t>
  </si>
  <si>
    <t xml:space="preserve">Pankaj Singh</t>
  </si>
  <si>
    <t xml:space="preserve">C1230</t>
  </si>
  <si>
    <t xml:space="preserve">Divya Das</t>
  </si>
  <si>
    <t xml:space="preserve">C1231</t>
  </si>
  <si>
    <t xml:space="preserve">Ashish Nair</t>
  </si>
  <si>
    <t xml:space="preserve">C1232</t>
  </si>
  <si>
    <t xml:space="preserve">Aarav Ahmed</t>
  </si>
  <si>
    <t xml:space="preserve">C1233</t>
  </si>
  <si>
    <t xml:space="preserve">Priya Shetty</t>
  </si>
  <si>
    <t xml:space="preserve">C1234</t>
  </si>
  <si>
    <t xml:space="preserve">Jatin Joshi</t>
  </si>
  <si>
    <t xml:space="preserve">C1235</t>
  </si>
  <si>
    <t xml:space="preserve">Tanvi Patil</t>
  </si>
  <si>
    <t xml:space="preserve">C1236</t>
  </si>
  <si>
    <t xml:space="preserve">Shreya Banerjee</t>
  </si>
  <si>
    <t xml:space="preserve">C1237</t>
  </si>
  <si>
    <t xml:space="preserve">Yash Verma</t>
  </si>
  <si>
    <t xml:space="preserve">C1238</t>
  </si>
  <si>
    <t xml:space="preserve">Gaurav Menon</t>
  </si>
  <si>
    <t xml:space="preserve">C1239</t>
  </si>
  <si>
    <t xml:space="preserve">Sameer Kaur</t>
  </si>
  <si>
    <t xml:space="preserve">C1240</t>
  </si>
  <si>
    <t xml:space="preserve">Komal Desai</t>
  </si>
  <si>
    <t xml:space="preserve">C1241</t>
  </si>
  <si>
    <t xml:space="preserve">Nisha Shekhawat</t>
  </si>
  <si>
    <t xml:space="preserve">C1242</t>
  </si>
  <si>
    <t xml:space="preserve">Ishaan Pandey</t>
  </si>
  <si>
    <t xml:space="preserve">C1243</t>
  </si>
  <si>
    <t xml:space="preserve">Vivaan Fernandes</t>
  </si>
  <si>
    <t xml:space="preserve">C1244</t>
  </si>
  <si>
    <t xml:space="preserve">Sunita Rao</t>
  </si>
  <si>
    <t xml:space="preserve">C1245</t>
  </si>
  <si>
    <t xml:space="preserve">Jatin Khan</t>
  </si>
  <si>
    <t xml:space="preserve">C1246</t>
  </si>
  <si>
    <t xml:space="preserve">Isha Menon</t>
  </si>
  <si>
    <t xml:space="preserve">C1247</t>
  </si>
  <si>
    <t xml:space="preserve">Diya Kulkarni</t>
  </si>
  <si>
    <t xml:space="preserve">C1248</t>
  </si>
  <si>
    <t xml:space="preserve">Amit Bose</t>
  </si>
  <si>
    <t xml:space="preserve">C1249</t>
  </si>
  <si>
    <t xml:space="preserve">Tarun Menon</t>
  </si>
  <si>
    <t xml:space="preserve">C1250</t>
  </si>
  <si>
    <t xml:space="preserve">Neha Pillai</t>
  </si>
  <si>
    <t xml:space="preserve">C1251</t>
  </si>
  <si>
    <t xml:space="preserve">Rohan Agarwal</t>
  </si>
  <si>
    <t xml:space="preserve">C1252</t>
  </si>
  <si>
    <t xml:space="preserve">Swati Chopra</t>
  </si>
  <si>
    <t xml:space="preserve">C1253</t>
  </si>
  <si>
    <t xml:space="preserve">Harsh Shekhawat</t>
  </si>
  <si>
    <t xml:space="preserve">C1254</t>
  </si>
  <si>
    <t xml:space="preserve">Naman Chauhan</t>
  </si>
  <si>
    <t xml:space="preserve">C1255</t>
  </si>
  <si>
    <t xml:space="preserve">Mohit Jain</t>
  </si>
  <si>
    <t xml:space="preserve">C1256</t>
  </si>
  <si>
    <t xml:space="preserve">Diya Naidu</t>
  </si>
  <si>
    <t xml:space="preserve">C1257</t>
  </si>
  <si>
    <t xml:space="preserve">Diya Pandey</t>
  </si>
  <si>
    <t xml:space="preserve">C1258</t>
  </si>
  <si>
    <t xml:space="preserve">Madhavi Mishra</t>
  </si>
  <si>
    <t xml:space="preserve">C1259</t>
  </si>
  <si>
    <t xml:space="preserve">Shreya Pillai</t>
  </si>
  <si>
    <t xml:space="preserve">C1260</t>
  </si>
  <si>
    <t xml:space="preserve">Anjali Chopra</t>
  </si>
  <si>
    <t xml:space="preserve">C1261</t>
  </si>
  <si>
    <t xml:space="preserve">Manish Fernandes</t>
  </si>
  <si>
    <t xml:space="preserve">C1262</t>
  </si>
  <si>
    <t xml:space="preserve">Priya Patil</t>
  </si>
  <si>
    <t xml:space="preserve">C1263</t>
  </si>
  <si>
    <t xml:space="preserve">Ritu Malhotra</t>
  </si>
  <si>
    <t xml:space="preserve">C1264</t>
  </si>
  <si>
    <t xml:space="preserve">Sunita Kaur</t>
  </si>
  <si>
    <t xml:space="preserve">C1265</t>
  </si>
  <si>
    <t xml:space="preserve">Nikhil Menon</t>
  </si>
  <si>
    <t xml:space="preserve">C1266</t>
  </si>
  <si>
    <t xml:space="preserve">Dev Bhatt</t>
  </si>
  <si>
    <t xml:space="preserve">C1267</t>
  </si>
  <si>
    <t xml:space="preserve">Divya Ghosh</t>
  </si>
  <si>
    <t xml:space="preserve">C1268</t>
  </si>
  <si>
    <t xml:space="preserve">Jyoti Verma</t>
  </si>
  <si>
    <t xml:space="preserve">C1269</t>
  </si>
  <si>
    <t xml:space="preserve">Rahul Malhotra</t>
  </si>
  <si>
    <t xml:space="preserve">C1270</t>
  </si>
  <si>
    <t xml:space="preserve">Prakash Pillai</t>
  </si>
  <si>
    <t xml:space="preserve">C1271</t>
  </si>
  <si>
    <t xml:space="preserve">Gaurav Ahmed</t>
  </si>
  <si>
    <t xml:space="preserve">C1272</t>
  </si>
  <si>
    <t xml:space="preserve">Ankit Kapoor</t>
  </si>
  <si>
    <t xml:space="preserve">C1273</t>
  </si>
  <si>
    <t xml:space="preserve">Hema Pillai</t>
  </si>
  <si>
    <t xml:space="preserve">C1274</t>
  </si>
  <si>
    <t xml:space="preserve">Ankit Pillai</t>
  </si>
  <si>
    <t xml:space="preserve">C1275</t>
  </si>
  <si>
    <t xml:space="preserve">Suresh Pillai</t>
  </si>
  <si>
    <t xml:space="preserve">C1276</t>
  </si>
  <si>
    <t xml:space="preserve">Vidya Naidu</t>
  </si>
  <si>
    <t xml:space="preserve">C1277</t>
  </si>
  <si>
    <t xml:space="preserve">Ashish Mukherjee</t>
  </si>
  <si>
    <t xml:space="preserve">C1278</t>
  </si>
  <si>
    <t xml:space="preserve">Mayank Sinha</t>
  </si>
  <si>
    <t xml:space="preserve">C1279</t>
  </si>
  <si>
    <t xml:space="preserve">Chitra Ahmed</t>
  </si>
  <si>
    <t xml:space="preserve">C1280</t>
  </si>
  <si>
    <t xml:space="preserve">Deepak Desai</t>
  </si>
  <si>
    <t xml:space="preserve">C1281</t>
  </si>
  <si>
    <t xml:space="preserve">Naveen Bose</t>
  </si>
  <si>
    <t xml:space="preserve">C1282</t>
  </si>
  <si>
    <t xml:space="preserve">Neha Mishra</t>
  </si>
  <si>
    <t xml:space="preserve">C1283</t>
  </si>
  <si>
    <t xml:space="preserve">Ishaan Mukherjee</t>
  </si>
  <si>
    <t xml:space="preserve">C1284</t>
  </si>
  <si>
    <t xml:space="preserve">Sunita Agarwal</t>
  </si>
  <si>
    <t xml:space="preserve">C1285</t>
  </si>
  <si>
    <t xml:space="preserve">Tara Naidu</t>
  </si>
  <si>
    <t xml:space="preserve">C1286</t>
  </si>
  <si>
    <t xml:space="preserve">Meera Mishra</t>
  </si>
  <si>
    <t xml:space="preserve">C1287</t>
  </si>
  <si>
    <t xml:space="preserve">Chitra Tiwari</t>
  </si>
  <si>
    <t xml:space="preserve">C1288</t>
  </si>
  <si>
    <t xml:space="preserve">Pranav Rathore</t>
  </si>
  <si>
    <t xml:space="preserve">C1289</t>
  </si>
  <si>
    <t xml:space="preserve">Simran Bhatt</t>
  </si>
  <si>
    <t xml:space="preserve">C1290</t>
  </si>
  <si>
    <t xml:space="preserve">Ananya Kapoor</t>
  </si>
  <si>
    <t xml:space="preserve">C1291</t>
  </si>
  <si>
    <t xml:space="preserve">Tanvi Pillai</t>
  </si>
  <si>
    <t xml:space="preserve">C1292</t>
  </si>
  <si>
    <t xml:space="preserve">Rahul Mukherjee</t>
  </si>
  <si>
    <t xml:space="preserve">C1293</t>
  </si>
  <si>
    <t xml:space="preserve">Vivaan Jain</t>
  </si>
  <si>
    <t xml:space="preserve">C1294</t>
  </si>
  <si>
    <t xml:space="preserve">Amit Roy</t>
  </si>
  <si>
    <t xml:space="preserve">C1295</t>
  </si>
  <si>
    <t xml:space="preserve">Anjali Saxena</t>
  </si>
  <si>
    <t xml:space="preserve">C1296</t>
  </si>
  <si>
    <t xml:space="preserve">Harsh Roy</t>
  </si>
  <si>
    <t xml:space="preserve">C1297</t>
  </si>
  <si>
    <t xml:space="preserve">Vishal Desai</t>
  </si>
  <si>
    <t xml:space="preserve">C1298</t>
  </si>
  <si>
    <t xml:space="preserve">Diya Bose</t>
  </si>
  <si>
    <t xml:space="preserve">C1299</t>
  </si>
  <si>
    <t xml:space="preserve">Tanvi Mukherjee</t>
  </si>
  <si>
    <t xml:space="preserve">C1300</t>
  </si>
  <si>
    <t xml:space="preserve">Gaurav Roy</t>
  </si>
  <si>
    <t xml:space="preserve">C1301</t>
  </si>
  <si>
    <t xml:space="preserve">Kavya Bose</t>
  </si>
  <si>
    <t xml:space="preserve">C1302</t>
  </si>
  <si>
    <t xml:space="preserve">Prakash Singh</t>
  </si>
  <si>
    <t xml:space="preserve">C1303</t>
  </si>
  <si>
    <t xml:space="preserve">Gaurav Jain</t>
  </si>
  <si>
    <t xml:space="preserve">C1304</t>
  </si>
  <si>
    <t xml:space="preserve">Jatin Chopra</t>
  </si>
  <si>
    <t xml:space="preserve">C1305</t>
  </si>
  <si>
    <t xml:space="preserve">Aishwarya Ahmed</t>
  </si>
  <si>
    <t xml:space="preserve">C1306</t>
  </si>
  <si>
    <t xml:space="preserve">Riya Khan</t>
  </si>
  <si>
    <t xml:space="preserve">C1307</t>
  </si>
  <si>
    <t xml:space="preserve">Tanvi Bhatt</t>
  </si>
  <si>
    <t xml:space="preserve">C1308</t>
  </si>
  <si>
    <t xml:space="preserve">Neha Fernandes</t>
  </si>
  <si>
    <t xml:space="preserve">C1309</t>
  </si>
  <si>
    <t xml:space="preserve">Pooja Verma</t>
  </si>
  <si>
    <t xml:space="preserve">C1310</t>
  </si>
  <si>
    <t xml:space="preserve">Rashmi Nair</t>
  </si>
  <si>
    <t xml:space="preserve">C1311</t>
  </si>
  <si>
    <t xml:space="preserve">Nisha Bose</t>
  </si>
  <si>
    <t xml:space="preserve">C1312</t>
  </si>
  <si>
    <t xml:space="preserve">Ritu Agarwal</t>
  </si>
  <si>
    <t xml:space="preserve">C1313</t>
  </si>
  <si>
    <t xml:space="preserve">Vidya Sharma</t>
  </si>
  <si>
    <t xml:space="preserve">C1314</t>
  </si>
  <si>
    <t xml:space="preserve">Pankaj Rao</t>
  </si>
  <si>
    <t xml:space="preserve">C1315</t>
  </si>
  <si>
    <t xml:space="preserve">Hema Mishra</t>
  </si>
  <si>
    <t xml:space="preserve">C1316</t>
  </si>
  <si>
    <t xml:space="preserve">Riya Chauhan</t>
  </si>
  <si>
    <t xml:space="preserve">C1317</t>
  </si>
  <si>
    <t xml:space="preserve">Komal Fernandes</t>
  </si>
  <si>
    <t xml:space="preserve">C1318</t>
  </si>
  <si>
    <t xml:space="preserve">Chitra Jain</t>
  </si>
  <si>
    <t xml:space="preserve">C1319</t>
  </si>
  <si>
    <t xml:space="preserve">Deepika Das</t>
  </si>
  <si>
    <t xml:space="preserve">C1320</t>
  </si>
  <si>
    <t xml:space="preserve">Rahul Sharma</t>
  </si>
  <si>
    <t xml:space="preserve">C1321</t>
  </si>
  <si>
    <t xml:space="preserve">Aditi Pillai</t>
  </si>
  <si>
    <t xml:space="preserve">C1322</t>
  </si>
  <si>
    <t xml:space="preserve">Kritika Agarwal</t>
  </si>
  <si>
    <t xml:space="preserve">C1323</t>
  </si>
  <si>
    <t xml:space="preserve">Sunita Pandey</t>
  </si>
  <si>
    <t xml:space="preserve">C1324</t>
  </si>
  <si>
    <t xml:space="preserve">Amit Shekhawat</t>
  </si>
  <si>
    <t xml:space="preserve">C1325</t>
  </si>
  <si>
    <t xml:space="preserve">Manish Patel</t>
  </si>
  <si>
    <t xml:space="preserve">C1326</t>
  </si>
  <si>
    <t xml:space="preserve">Amit Naidu</t>
  </si>
  <si>
    <t xml:space="preserve">C1327</t>
  </si>
  <si>
    <t xml:space="preserve">Aishwarya Chatterjee</t>
  </si>
  <si>
    <t xml:space="preserve">C1328</t>
  </si>
  <si>
    <t xml:space="preserve">Sameer Rao</t>
  </si>
  <si>
    <t xml:space="preserve">C1329</t>
  </si>
  <si>
    <t xml:space="preserve">Radhika Malhotra</t>
  </si>
  <si>
    <t xml:space="preserve">C1330</t>
  </si>
  <si>
    <t xml:space="preserve">Jyoti Banerjee</t>
  </si>
  <si>
    <t xml:space="preserve">C1331</t>
  </si>
  <si>
    <t xml:space="preserve">Siddharth Mehta</t>
  </si>
  <si>
    <t xml:space="preserve">C1332</t>
  </si>
  <si>
    <t xml:space="preserve">Rahul Bhatt</t>
  </si>
  <si>
    <t xml:space="preserve">C1333</t>
  </si>
  <si>
    <t xml:space="preserve">Sanjay Tiwari</t>
  </si>
  <si>
    <t xml:space="preserve">C1334</t>
  </si>
  <si>
    <t xml:space="preserve">Pranav Chauhan</t>
  </si>
  <si>
    <t xml:space="preserve">C1335</t>
  </si>
  <si>
    <t xml:space="preserve">Rajesh Bose</t>
  </si>
  <si>
    <t xml:space="preserve">C1336</t>
  </si>
  <si>
    <t xml:space="preserve">Divya Sinha</t>
  </si>
  <si>
    <t xml:space="preserve">C1337</t>
  </si>
  <si>
    <t xml:space="preserve">Jyoti Mishra</t>
  </si>
  <si>
    <t xml:space="preserve">C1338</t>
  </si>
  <si>
    <t xml:space="preserve">Kritika Fernandes</t>
  </si>
  <si>
    <t xml:space="preserve">C1339</t>
  </si>
  <si>
    <t xml:space="preserve">Riya Desai</t>
  </si>
  <si>
    <t xml:space="preserve">C1340</t>
  </si>
  <si>
    <t xml:space="preserve">Aditi Kapoor</t>
  </si>
  <si>
    <t xml:space="preserve">C1341</t>
  </si>
  <si>
    <t xml:space="preserve">Jatin Bansal</t>
  </si>
  <si>
    <t xml:space="preserve">C1342</t>
  </si>
  <si>
    <t xml:space="preserve">Sneha Nair</t>
  </si>
  <si>
    <t xml:space="preserve">C1343</t>
  </si>
  <si>
    <t xml:space="preserve">Pranav Pandey</t>
  </si>
  <si>
    <t xml:space="preserve">C1344</t>
  </si>
  <si>
    <t xml:space="preserve">Nikhil Das</t>
  </si>
  <si>
    <t xml:space="preserve">C1345</t>
  </si>
  <si>
    <t xml:space="preserve">Naman Chopra</t>
  </si>
  <si>
    <t xml:space="preserve">C1346</t>
  </si>
  <si>
    <t xml:space="preserve">Yash Kulkarni</t>
  </si>
  <si>
    <t xml:space="preserve">C1347</t>
  </si>
  <si>
    <t xml:space="preserve">Karan Bose</t>
  </si>
  <si>
    <t xml:space="preserve">C1348</t>
  </si>
  <si>
    <t xml:space="preserve">Kunal Jain</t>
  </si>
  <si>
    <t xml:space="preserve">C1349</t>
  </si>
  <si>
    <t xml:space="preserve">Prakash Mehta</t>
  </si>
  <si>
    <t xml:space="preserve">C1350</t>
  </si>
  <si>
    <t xml:space="preserve">Lavanya Malhotra</t>
  </si>
  <si>
    <t xml:space="preserve">C1351</t>
  </si>
  <si>
    <t xml:space="preserve">Isha Reddy</t>
  </si>
  <si>
    <t xml:space="preserve">C1352</t>
  </si>
  <si>
    <t xml:space="preserve">Nandini Chopra</t>
  </si>
  <si>
    <t xml:space="preserve">C1353</t>
  </si>
  <si>
    <t xml:space="preserve">Arjun Kaur</t>
  </si>
  <si>
    <t xml:space="preserve">C1354</t>
  </si>
  <si>
    <t xml:space="preserve">Manish Das</t>
  </si>
  <si>
    <t xml:space="preserve">C1355</t>
  </si>
  <si>
    <t xml:space="preserve">Dev Yadav</t>
  </si>
  <si>
    <t xml:space="preserve">C1356</t>
  </si>
  <si>
    <t xml:space="preserve">Diya Khan</t>
  </si>
  <si>
    <t xml:space="preserve">C1357</t>
  </si>
  <si>
    <t xml:space="preserve">Varun Mukherjee</t>
  </si>
  <si>
    <t xml:space="preserve">C1358</t>
  </si>
  <si>
    <t xml:space="preserve">Isha Ahmed</t>
  </si>
  <si>
    <t xml:space="preserve">C1359</t>
  </si>
  <si>
    <t xml:space="preserve">Simran Das</t>
  </si>
  <si>
    <t xml:space="preserve">C1360</t>
  </si>
  <si>
    <t xml:space="preserve">Tanvi Malhotra</t>
  </si>
  <si>
    <t xml:space="preserve">C1361</t>
  </si>
  <si>
    <t xml:space="preserve">Neha Singh</t>
  </si>
  <si>
    <t xml:space="preserve">C1362</t>
  </si>
  <si>
    <t xml:space="preserve">Vidya Menon</t>
  </si>
  <si>
    <t xml:space="preserve">C1363</t>
  </si>
  <si>
    <t xml:space="preserve">Varun Yadav</t>
  </si>
  <si>
    <t xml:space="preserve">C1364</t>
  </si>
  <si>
    <t xml:space="preserve">Chitra Rathore</t>
  </si>
  <si>
    <t xml:space="preserve">C1365</t>
  </si>
  <si>
    <t xml:space="preserve">Lavanya Shekhawat</t>
  </si>
  <si>
    <t xml:space="preserve">C1366</t>
  </si>
  <si>
    <t xml:space="preserve">Deepika Chauhan</t>
  </si>
  <si>
    <t xml:space="preserve">C1367</t>
  </si>
  <si>
    <t xml:space="preserve">Swati Khan</t>
  </si>
  <si>
    <t xml:space="preserve">C1368</t>
  </si>
  <si>
    <t xml:space="preserve">Ekta Banerjee</t>
  </si>
  <si>
    <t xml:space="preserve">C1369</t>
  </si>
  <si>
    <t xml:space="preserve">Prakash Malhotra</t>
  </si>
  <si>
    <t xml:space="preserve">C1370</t>
  </si>
  <si>
    <t xml:space="preserve">Varun Patel</t>
  </si>
  <si>
    <t xml:space="preserve">C1371</t>
  </si>
  <si>
    <t xml:space="preserve">Ekta Shetty</t>
  </si>
  <si>
    <t xml:space="preserve">C1372</t>
  </si>
  <si>
    <t xml:space="preserve">Ankit Chauhan</t>
  </si>
  <si>
    <t xml:space="preserve">C1373</t>
  </si>
  <si>
    <t xml:space="preserve">Nisha Bhatt</t>
  </si>
  <si>
    <t xml:space="preserve">C1374</t>
  </si>
  <si>
    <t xml:space="preserve">Rahul Reddy</t>
  </si>
  <si>
    <t xml:space="preserve">C1375</t>
  </si>
  <si>
    <t xml:space="preserve">Abhishek Bose</t>
  </si>
  <si>
    <t xml:space="preserve">C1376</t>
  </si>
  <si>
    <t xml:space="preserve">Ritu Kaur</t>
  </si>
  <si>
    <t xml:space="preserve">C1377</t>
  </si>
  <si>
    <t xml:space="preserve">Madhavi Kaur</t>
  </si>
  <si>
    <t xml:space="preserve">C1378</t>
  </si>
  <si>
    <t xml:space="preserve">Anil Bose</t>
  </si>
  <si>
    <t xml:space="preserve">C1379</t>
  </si>
  <si>
    <t xml:space="preserve">Ekta Pandey</t>
  </si>
  <si>
    <t xml:space="preserve">C1380</t>
  </si>
  <si>
    <t xml:space="preserve">Madhavi Agarwal</t>
  </si>
  <si>
    <t xml:space="preserve">C1381</t>
  </si>
  <si>
    <t xml:space="preserve">Divya Bhatt</t>
  </si>
  <si>
    <t xml:space="preserve">C1382</t>
  </si>
  <si>
    <t xml:space="preserve">Aditi Sharma</t>
  </si>
  <si>
    <t xml:space="preserve">C1383</t>
  </si>
  <si>
    <t xml:space="preserve">Arjun Sinha</t>
  </si>
  <si>
    <t xml:space="preserve">C1384</t>
  </si>
  <si>
    <t xml:space="preserve">Vivaan Nair</t>
  </si>
  <si>
    <t xml:space="preserve">C1385</t>
  </si>
  <si>
    <t xml:space="preserve">Meera Verma</t>
  </si>
  <si>
    <t xml:space="preserve">C1386</t>
  </si>
  <si>
    <t xml:space="preserve">Aditya Ahmed</t>
  </si>
  <si>
    <t xml:space="preserve">C1387</t>
  </si>
  <si>
    <t xml:space="preserve">Ashish Rathore</t>
  </si>
  <si>
    <t xml:space="preserve">C1388</t>
  </si>
  <si>
    <t xml:space="preserve">Anil Iyer</t>
  </si>
  <si>
    <t xml:space="preserve">C1389</t>
  </si>
  <si>
    <t xml:space="preserve">Nisha Bansal</t>
  </si>
  <si>
    <t xml:space="preserve">C1390</t>
  </si>
  <si>
    <t xml:space="preserve">Jatin Ghosh</t>
  </si>
  <si>
    <t xml:space="preserve">C1391</t>
  </si>
  <si>
    <t xml:space="preserve">Kunal Kaur</t>
  </si>
  <si>
    <t xml:space="preserve">C1392</t>
  </si>
  <si>
    <t xml:space="preserve">Ashish Ahmed</t>
  </si>
  <si>
    <t xml:space="preserve">C1393</t>
  </si>
  <si>
    <t xml:space="preserve">Abhishek Khan</t>
  </si>
  <si>
    <t xml:space="preserve">C1394</t>
  </si>
  <si>
    <t xml:space="preserve">Naman Kulkarni</t>
  </si>
  <si>
    <t xml:space="preserve">C1395</t>
  </si>
  <si>
    <t xml:space="preserve">Pankaj Jain</t>
  </si>
  <si>
    <t xml:space="preserve">C1396</t>
  </si>
  <si>
    <t xml:space="preserve">Diya Joshi</t>
  </si>
  <si>
    <t xml:space="preserve">C1397</t>
  </si>
  <si>
    <t xml:space="preserve">Yash Pillai</t>
  </si>
  <si>
    <t xml:space="preserve">C1398</t>
  </si>
  <si>
    <t xml:space="preserve">Yash Sinha</t>
  </si>
  <si>
    <t xml:space="preserve">C1399</t>
  </si>
  <si>
    <t xml:space="preserve">Pranav Tiwari</t>
  </si>
  <si>
    <t xml:space="preserve">C1400</t>
  </si>
  <si>
    <t xml:space="preserve">Ekta Malhotra</t>
  </si>
  <si>
    <t xml:space="preserve">C1401</t>
  </si>
  <si>
    <t xml:space="preserve">Sanjay Sharma</t>
  </si>
  <si>
    <t xml:space="preserve">C1402</t>
  </si>
  <si>
    <t xml:space="preserve">Aditya Reddy</t>
  </si>
  <si>
    <t xml:space="preserve">C1403</t>
  </si>
  <si>
    <t xml:space="preserve">Arjun Gupta</t>
  </si>
  <si>
    <t xml:space="preserve">C1404</t>
  </si>
  <si>
    <t xml:space="preserve">Rashmi Sharma</t>
  </si>
  <si>
    <t xml:space="preserve">C1405</t>
  </si>
  <si>
    <t xml:space="preserve">Komal Agarwal</t>
  </si>
  <si>
    <t xml:space="preserve">C1406</t>
  </si>
  <si>
    <t xml:space="preserve">Ritu Verma</t>
  </si>
  <si>
    <t xml:space="preserve">C1407</t>
  </si>
  <si>
    <t xml:space="preserve">Jyoti Ghosh</t>
  </si>
  <si>
    <t xml:space="preserve">C1408</t>
  </si>
  <si>
    <t xml:space="preserve">Jatin Pandey</t>
  </si>
  <si>
    <t xml:space="preserve">C1409</t>
  </si>
  <si>
    <t xml:space="preserve">Rahul Shetty</t>
  </si>
  <si>
    <t xml:space="preserve">C1410</t>
  </si>
  <si>
    <t xml:space="preserve">Deepika Mehta</t>
  </si>
  <si>
    <t xml:space="preserve">C1411</t>
  </si>
  <si>
    <t xml:space="preserve">Sanjay Kaur</t>
  </si>
  <si>
    <t xml:space="preserve">C1412</t>
  </si>
  <si>
    <t xml:space="preserve">Naman Singh</t>
  </si>
  <si>
    <t xml:space="preserve">C1413</t>
  </si>
  <si>
    <t xml:space="preserve">Komal Patil</t>
  </si>
  <si>
    <t xml:space="preserve">C1414</t>
  </si>
  <si>
    <t xml:space="preserve">Aditi Ahmed</t>
  </si>
  <si>
    <t xml:space="preserve">C1415</t>
  </si>
  <si>
    <t xml:space="preserve">Radhika Chopra</t>
  </si>
  <si>
    <t xml:space="preserve">C1416</t>
  </si>
  <si>
    <t xml:space="preserve">Jyoti Nair</t>
  </si>
  <si>
    <t xml:space="preserve">C1417</t>
  </si>
  <si>
    <t xml:space="preserve">Vikram Shekhawat</t>
  </si>
  <si>
    <t xml:space="preserve">C1418</t>
  </si>
  <si>
    <t xml:space="preserve">Arjun Tiwari</t>
  </si>
  <si>
    <t xml:space="preserve">C1419</t>
  </si>
  <si>
    <t xml:space="preserve">Lavanya Jain</t>
  </si>
  <si>
    <t xml:space="preserve">C1420</t>
  </si>
  <si>
    <t xml:space="preserve">Kritika Khan</t>
  </si>
  <si>
    <t xml:space="preserve">C1421</t>
  </si>
  <si>
    <t xml:space="preserve">Rajesh Bhatt</t>
  </si>
  <si>
    <t xml:space="preserve">C1422</t>
  </si>
  <si>
    <t xml:space="preserve">Abhishek Verma</t>
  </si>
  <si>
    <t xml:space="preserve">C1423</t>
  </si>
  <si>
    <t xml:space="preserve">Amit Khan</t>
  </si>
  <si>
    <t xml:space="preserve">C1424</t>
  </si>
  <si>
    <t xml:space="preserve">Rohan Kulkarni</t>
  </si>
  <si>
    <t xml:space="preserve">C1425</t>
  </si>
  <si>
    <t xml:space="preserve">Meera Patel</t>
  </si>
  <si>
    <t xml:space="preserve">C1426</t>
  </si>
  <si>
    <t xml:space="preserve">Abhishek Singh</t>
  </si>
  <si>
    <t xml:space="preserve">C1427</t>
  </si>
  <si>
    <t xml:space="preserve">Ananya Saxena</t>
  </si>
  <si>
    <t xml:space="preserve">C1428</t>
  </si>
  <si>
    <t xml:space="preserve">Vidya Verma</t>
  </si>
  <si>
    <t xml:space="preserve">C1429</t>
  </si>
  <si>
    <t xml:space="preserve">Nisha Ghosh</t>
  </si>
  <si>
    <t xml:space="preserve">C1430</t>
  </si>
  <si>
    <t xml:space="preserve">Sanjay Kapoor</t>
  </si>
  <si>
    <t xml:space="preserve">C1431</t>
  </si>
  <si>
    <t xml:space="preserve">Arjun Nair</t>
  </si>
  <si>
    <t xml:space="preserve">C1432</t>
  </si>
  <si>
    <t xml:space="preserve">Pallavi Pandey</t>
  </si>
  <si>
    <t xml:space="preserve">C1433</t>
  </si>
  <si>
    <t xml:space="preserve">Anil Bhatt</t>
  </si>
  <si>
    <t xml:space="preserve">C1434</t>
  </si>
  <si>
    <t xml:space="preserve">Riya Kapoor</t>
  </si>
  <si>
    <t xml:space="preserve">C1435</t>
  </si>
  <si>
    <t xml:space="preserve">Ananya Shekhawat</t>
  </si>
  <si>
    <t xml:space="preserve">C1436</t>
  </si>
  <si>
    <t xml:space="preserve">Yash Yadav</t>
  </si>
  <si>
    <t xml:space="preserve">C1437</t>
  </si>
  <si>
    <t xml:space="preserve">Deepak Mehta</t>
  </si>
  <si>
    <t xml:space="preserve">C1438</t>
  </si>
  <si>
    <t xml:space="preserve">Aditi Naidu</t>
  </si>
  <si>
    <t xml:space="preserve">C1439</t>
  </si>
  <si>
    <t xml:space="preserve">Sanjay Singh</t>
  </si>
  <si>
    <t xml:space="preserve">C1440</t>
  </si>
  <si>
    <t xml:space="preserve">Madhavi Rao</t>
  </si>
  <si>
    <t xml:space="preserve">C1441</t>
  </si>
  <si>
    <t xml:space="preserve">Aarav Kulkarni</t>
  </si>
  <si>
    <t xml:space="preserve">C1442</t>
  </si>
  <si>
    <t xml:space="preserve">Pallavi Sharma</t>
  </si>
  <si>
    <t xml:space="preserve">C1443</t>
  </si>
  <si>
    <t xml:space="preserve">Rashmi Sinha</t>
  </si>
  <si>
    <t xml:space="preserve">C1444</t>
  </si>
  <si>
    <t xml:space="preserve">Amit Pandey</t>
  </si>
  <si>
    <t xml:space="preserve">C1445</t>
  </si>
  <si>
    <t xml:space="preserve">Vikram Banerjee</t>
  </si>
  <si>
    <t xml:space="preserve">C1446</t>
  </si>
  <si>
    <t xml:space="preserve">Sanjay Agarwal</t>
  </si>
  <si>
    <t xml:space="preserve">C1447</t>
  </si>
  <si>
    <t xml:space="preserve">Pallavi Naidu</t>
  </si>
  <si>
    <t xml:space="preserve">C1448</t>
  </si>
  <si>
    <t xml:space="preserve">Chitra Menon</t>
  </si>
  <si>
    <t xml:space="preserve">C1449</t>
  </si>
  <si>
    <t xml:space="preserve">Jatin Patel</t>
  </si>
  <si>
    <t xml:space="preserve">C1450</t>
  </si>
  <si>
    <t xml:space="preserve">Pallavi Sinha</t>
  </si>
  <si>
    <t xml:space="preserve">C1451</t>
  </si>
  <si>
    <t xml:space="preserve">Kritika Pillai</t>
  </si>
  <si>
    <t xml:space="preserve">C1452</t>
  </si>
  <si>
    <t xml:space="preserve">Karan Jain</t>
  </si>
  <si>
    <t xml:space="preserve">C1453</t>
  </si>
  <si>
    <t xml:space="preserve">Hema Nair</t>
  </si>
  <si>
    <t xml:space="preserve">C1454</t>
  </si>
  <si>
    <t xml:space="preserve">Neha Naidu</t>
  </si>
  <si>
    <t xml:space="preserve">C1455</t>
  </si>
  <si>
    <t xml:space="preserve">Jatin Mukherjee</t>
  </si>
  <si>
    <t xml:space="preserve">C1456</t>
  </si>
  <si>
    <t xml:space="preserve">Akash Mehta</t>
  </si>
  <si>
    <t xml:space="preserve">C1457</t>
  </si>
  <si>
    <t xml:space="preserve">Sneha Desai</t>
  </si>
  <si>
    <t xml:space="preserve">C1458</t>
  </si>
  <si>
    <t xml:space="preserve">Abhishek Ahmed</t>
  </si>
  <si>
    <t xml:space="preserve">C1459</t>
  </si>
  <si>
    <t xml:space="preserve">Hema Desai</t>
  </si>
  <si>
    <t xml:space="preserve">C1460</t>
  </si>
  <si>
    <t xml:space="preserve">Lokesh Rao</t>
  </si>
  <si>
    <t xml:space="preserve">C1461</t>
  </si>
  <si>
    <t xml:space="preserve">Ashish Iyer</t>
  </si>
  <si>
    <t xml:space="preserve">C1462</t>
  </si>
  <si>
    <t xml:space="preserve">Swati Shetty</t>
  </si>
  <si>
    <t xml:space="preserve">C1463</t>
  </si>
  <si>
    <t xml:space="preserve">Sakshi Kaur</t>
  </si>
  <si>
    <t xml:space="preserve">C1464</t>
  </si>
  <si>
    <t xml:space="preserve">Aishwarya Patel</t>
  </si>
  <si>
    <t xml:space="preserve">C1465</t>
  </si>
  <si>
    <t xml:space="preserve">Siddharth Joshi</t>
  </si>
  <si>
    <t xml:space="preserve">C1466</t>
  </si>
  <si>
    <t xml:space="preserve">Garima Sinha</t>
  </si>
  <si>
    <t xml:space="preserve">C1467</t>
  </si>
  <si>
    <t xml:space="preserve">Deepak Fernandes</t>
  </si>
  <si>
    <t xml:space="preserve">C1468</t>
  </si>
  <si>
    <t xml:space="preserve">Nisha Reddy</t>
  </si>
  <si>
    <t xml:space="preserve">C1469</t>
  </si>
  <si>
    <t xml:space="preserve">Jatin Sinha</t>
  </si>
  <si>
    <t xml:space="preserve">C1470</t>
  </si>
  <si>
    <t xml:space="preserve">Ashish Shekhawat</t>
  </si>
  <si>
    <t xml:space="preserve">C1471</t>
  </si>
  <si>
    <t xml:space="preserve">Vidya Shekhawat</t>
  </si>
  <si>
    <t xml:space="preserve">C1472</t>
  </si>
  <si>
    <t xml:space="preserve">Uma Chopra</t>
  </si>
  <si>
    <t xml:space="preserve">C1473</t>
  </si>
  <si>
    <t xml:space="preserve">Suresh Saxena</t>
  </si>
  <si>
    <t xml:space="preserve">C1474</t>
  </si>
  <si>
    <t xml:space="preserve">Nisha Kulkarni</t>
  </si>
  <si>
    <t xml:space="preserve">C1475</t>
  </si>
  <si>
    <t xml:space="preserve">Varun Rao</t>
  </si>
  <si>
    <t xml:space="preserve">C1476</t>
  </si>
  <si>
    <t xml:space="preserve">Deepak Yadav</t>
  </si>
  <si>
    <t xml:space="preserve">C1477</t>
  </si>
  <si>
    <t xml:space="preserve">Tara Sinha</t>
  </si>
  <si>
    <t xml:space="preserve">C1478</t>
  </si>
  <si>
    <t xml:space="preserve">Deepika Ghosh</t>
  </si>
  <si>
    <t xml:space="preserve">C1479</t>
  </si>
  <si>
    <t xml:space="preserve">Radhika Tiwari</t>
  </si>
  <si>
    <t xml:space="preserve">C1480</t>
  </si>
  <si>
    <t xml:space="preserve">Vishal Banerjee</t>
  </si>
  <si>
    <t xml:space="preserve">C1481</t>
  </si>
  <si>
    <t xml:space="preserve">Pooja Mukherjee</t>
  </si>
  <si>
    <t xml:space="preserve">C1482</t>
  </si>
  <si>
    <t xml:space="preserve">Nikhil Nair</t>
  </si>
  <si>
    <t xml:space="preserve">C1483</t>
  </si>
  <si>
    <t xml:space="preserve">Arjun Jain</t>
  </si>
  <si>
    <t xml:space="preserve">C1484</t>
  </si>
  <si>
    <t xml:space="preserve">Ankit Banerjee</t>
  </si>
  <si>
    <t xml:space="preserve">C1485</t>
  </si>
  <si>
    <t xml:space="preserve">Lavanya Kapoor</t>
  </si>
  <si>
    <t xml:space="preserve">C1486</t>
  </si>
  <si>
    <t xml:space="preserve">Rohan Chauhan</t>
  </si>
  <si>
    <t xml:space="preserve">C1487</t>
  </si>
  <si>
    <t xml:space="preserve">Rajesh Roy</t>
  </si>
  <si>
    <t xml:space="preserve">C1488</t>
  </si>
  <si>
    <t xml:space="preserve">Swati Patil</t>
  </si>
  <si>
    <t xml:space="preserve">C1489</t>
  </si>
  <si>
    <t xml:space="preserve">Varun Nair</t>
  </si>
  <si>
    <t xml:space="preserve">C1490</t>
  </si>
  <si>
    <t xml:space="preserve">Jatin Chauhan</t>
  </si>
  <si>
    <t xml:space="preserve">C1491</t>
  </si>
  <si>
    <t xml:space="preserve">Rajesh Yadav</t>
  </si>
  <si>
    <t xml:space="preserve">C1492</t>
  </si>
  <si>
    <t xml:space="preserve">Komal Saxena</t>
  </si>
  <si>
    <t xml:space="preserve">C1493</t>
  </si>
  <si>
    <t xml:space="preserve">Tarun Patil</t>
  </si>
  <si>
    <t xml:space="preserve">C1494</t>
  </si>
  <si>
    <t xml:space="preserve">Pankaj Patel</t>
  </si>
  <si>
    <t xml:space="preserve">C1495</t>
  </si>
  <si>
    <t xml:space="preserve">Jatin Desai</t>
  </si>
  <si>
    <t xml:space="preserve">C1496</t>
  </si>
  <si>
    <t xml:space="preserve">Uma Ghosh</t>
  </si>
  <si>
    <t xml:space="preserve">C1497</t>
  </si>
  <si>
    <t xml:space="preserve">Kritika Kapoor</t>
  </si>
  <si>
    <t xml:space="preserve">C1498</t>
  </si>
  <si>
    <t xml:space="preserve">Aarav Shetty</t>
  </si>
  <si>
    <t xml:space="preserve">C1499</t>
  </si>
  <si>
    <t xml:space="preserve">Ankit Sharma</t>
  </si>
  <si>
    <t xml:space="preserve">C1500</t>
  </si>
  <si>
    <t xml:space="preserve">Arjun Banerjee</t>
  </si>
  <si>
    <t xml:space="preserve">C1501</t>
  </si>
  <si>
    <t xml:space="preserve">Naveen Bhatt</t>
  </si>
  <si>
    <t xml:space="preserve">C1502</t>
  </si>
  <si>
    <t xml:space="preserve">Harsh Sharma</t>
  </si>
  <si>
    <t xml:space="preserve">C1503</t>
  </si>
  <si>
    <t xml:space="preserve">Jatin Shetty</t>
  </si>
  <si>
    <t xml:space="preserve">C1504</t>
  </si>
  <si>
    <t xml:space="preserve">Tara Mishra</t>
  </si>
  <si>
    <t xml:space="preserve">C1505</t>
  </si>
  <si>
    <t xml:space="preserve">Isha Fernandes</t>
  </si>
  <si>
    <t xml:space="preserve">C1506</t>
  </si>
  <si>
    <t xml:space="preserve">Vishal Saxena</t>
  </si>
  <si>
    <t xml:space="preserve">C1507</t>
  </si>
  <si>
    <t xml:space="preserve">Karan Desai</t>
  </si>
  <si>
    <t xml:space="preserve">C1508</t>
  </si>
  <si>
    <t xml:space="preserve">Neha Agarwal</t>
  </si>
  <si>
    <t xml:space="preserve">C1509</t>
  </si>
  <si>
    <t xml:space="preserve">Nikhil Shetty</t>
  </si>
  <si>
    <t xml:space="preserve">C1510</t>
  </si>
  <si>
    <t xml:space="preserve">Diya Fernandes</t>
  </si>
  <si>
    <t xml:space="preserve">C1511</t>
  </si>
  <si>
    <t xml:space="preserve">Diya Shekhawat</t>
  </si>
  <si>
    <t xml:space="preserve">C1512</t>
  </si>
  <si>
    <t xml:space="preserve">Jatin Menon</t>
  </si>
  <si>
    <t xml:space="preserve">C1513</t>
  </si>
  <si>
    <t xml:space="preserve">Vishal Mukherjee</t>
  </si>
  <si>
    <t xml:space="preserve">C1514</t>
  </si>
  <si>
    <t xml:space="preserve">Ritu Shetty</t>
  </si>
  <si>
    <t xml:space="preserve">C1515</t>
  </si>
  <si>
    <t xml:space="preserve">Shreya Mehta</t>
  </si>
  <si>
    <t xml:space="preserve">C1516</t>
  </si>
  <si>
    <t xml:space="preserve">Manish Sinha</t>
  </si>
  <si>
    <t xml:space="preserve">C1517</t>
  </si>
  <si>
    <t xml:space="preserve">Gaurav Gupta</t>
  </si>
  <si>
    <t xml:space="preserve">C1518</t>
  </si>
  <si>
    <t xml:space="preserve">Aditi Malhotra</t>
  </si>
  <si>
    <t xml:space="preserve">C1519</t>
  </si>
  <si>
    <t xml:space="preserve">Naman Bose</t>
  </si>
  <si>
    <t xml:space="preserve">C1520</t>
  </si>
  <si>
    <t xml:space="preserve">Tarun Nair</t>
  </si>
  <si>
    <t xml:space="preserve">C1521</t>
  </si>
  <si>
    <t xml:space="preserve">Mayank Singh</t>
  </si>
  <si>
    <t xml:space="preserve">C1522</t>
  </si>
  <si>
    <t xml:space="preserve">Sneha Agarwal</t>
  </si>
  <si>
    <t xml:space="preserve">C1523</t>
  </si>
  <si>
    <t xml:space="preserve">Tara Nair</t>
  </si>
  <si>
    <t xml:space="preserve">C1524</t>
  </si>
  <si>
    <t xml:space="preserve">Shreya Sharma</t>
  </si>
  <si>
    <t xml:space="preserve">C1525</t>
  </si>
  <si>
    <t xml:space="preserve">Ananya Roy</t>
  </si>
  <si>
    <t xml:space="preserve">C1526</t>
  </si>
  <si>
    <t xml:space="preserve">Naman Roy</t>
  </si>
  <si>
    <t xml:space="preserve">C1527</t>
  </si>
  <si>
    <t xml:space="preserve">Kritika Bhatt</t>
  </si>
  <si>
    <t xml:space="preserve">C1528</t>
  </si>
  <si>
    <t xml:space="preserve">Lavanya Sharma</t>
  </si>
  <si>
    <t xml:space="preserve">C1529</t>
  </si>
  <si>
    <t xml:space="preserve">Nandini Mehta</t>
  </si>
  <si>
    <t xml:space="preserve">C1530</t>
  </si>
  <si>
    <t xml:space="preserve">Priya Fernandes</t>
  </si>
  <si>
    <t xml:space="preserve">C1531</t>
  </si>
  <si>
    <t xml:space="preserve">Shreya Desai</t>
  </si>
  <si>
    <t xml:space="preserve">C1532</t>
  </si>
  <si>
    <t xml:space="preserve">Ekta Patel</t>
  </si>
  <si>
    <t xml:space="preserve">C1533</t>
  </si>
  <si>
    <t xml:space="preserve">Kunal Sinha</t>
  </si>
  <si>
    <t xml:space="preserve">C1534</t>
  </si>
  <si>
    <t xml:space="preserve">Pallavi Mehta</t>
  </si>
  <si>
    <t xml:space="preserve">C1535</t>
  </si>
  <si>
    <t xml:space="preserve">Ekta Chatterjee</t>
  </si>
  <si>
    <t xml:space="preserve">C1536</t>
  </si>
  <si>
    <t xml:space="preserve">Sameer Iyer</t>
  </si>
  <si>
    <t xml:space="preserve">C1537</t>
  </si>
  <si>
    <t xml:space="preserve">Shreya Sinha</t>
  </si>
  <si>
    <t xml:space="preserve">C1538</t>
  </si>
  <si>
    <t xml:space="preserve">Riya Kaur</t>
  </si>
  <si>
    <t xml:space="preserve">C1539</t>
  </si>
  <si>
    <t xml:space="preserve">Sanjay Malhotra</t>
  </si>
  <si>
    <t xml:space="preserve">C1540</t>
  </si>
  <si>
    <t xml:space="preserve">Divya Bansal</t>
  </si>
  <si>
    <t xml:space="preserve">C1541</t>
  </si>
  <si>
    <t xml:space="preserve">Kritika Shetty</t>
  </si>
  <si>
    <t xml:space="preserve">C1542</t>
  </si>
  <si>
    <t xml:space="preserve">Gaurav Khan</t>
  </si>
  <si>
    <t xml:space="preserve">C1543</t>
  </si>
  <si>
    <t xml:space="preserve">Kunal Kapoor</t>
  </si>
  <si>
    <t xml:space="preserve">C1544</t>
  </si>
  <si>
    <t xml:space="preserve">Riya Banerjee</t>
  </si>
  <si>
    <t xml:space="preserve">C1545</t>
  </si>
  <si>
    <t xml:space="preserve">Vidya Kaur</t>
  </si>
  <si>
    <t xml:space="preserve">C1546</t>
  </si>
  <si>
    <t xml:space="preserve">Aditya Bansal</t>
  </si>
  <si>
    <t xml:space="preserve">C1547</t>
  </si>
  <si>
    <t xml:space="preserve">Tanvi Shekhawat</t>
  </si>
  <si>
    <t xml:space="preserve">C1548</t>
  </si>
  <si>
    <t xml:space="preserve">Isha Yadav</t>
  </si>
  <si>
    <t xml:space="preserve">C1549</t>
  </si>
  <si>
    <t xml:space="preserve">Naveen Das</t>
  </si>
  <si>
    <t xml:space="preserve">C1550</t>
  </si>
  <si>
    <t xml:space="preserve">Sanjay Reddy</t>
  </si>
  <si>
    <t xml:space="preserve">C1551</t>
  </si>
  <si>
    <t xml:space="preserve">Vishal Pandey</t>
  </si>
  <si>
    <t xml:space="preserve">C1552</t>
  </si>
  <si>
    <t xml:space="preserve">Naman Bhatt</t>
  </si>
  <si>
    <t xml:space="preserve">C1553</t>
  </si>
  <si>
    <t xml:space="preserve">Pankaj Khan</t>
  </si>
  <si>
    <t xml:space="preserve">C1554</t>
  </si>
  <si>
    <t xml:space="preserve">Harsh Ghosh</t>
  </si>
  <si>
    <t xml:space="preserve">C1555</t>
  </si>
  <si>
    <t xml:space="preserve">Naveen Saxena</t>
  </si>
  <si>
    <t xml:space="preserve">C1556</t>
  </si>
  <si>
    <t xml:space="preserve">Priya Rathore</t>
  </si>
  <si>
    <t xml:space="preserve">C1557</t>
  </si>
  <si>
    <t xml:space="preserve">Naman Joshi</t>
  </si>
  <si>
    <t xml:space="preserve">C1558</t>
  </si>
  <si>
    <t xml:space="preserve">Aditya Pillai</t>
  </si>
  <si>
    <t xml:space="preserve">C1559</t>
  </si>
  <si>
    <t xml:space="preserve">Pooja Chatterjee</t>
  </si>
  <si>
    <t xml:space="preserve">C1560</t>
  </si>
  <si>
    <t xml:space="preserve">Pranav Menon</t>
  </si>
  <si>
    <t xml:space="preserve">C1561</t>
  </si>
  <si>
    <t xml:space="preserve">Suresh Roy</t>
  </si>
  <si>
    <t xml:space="preserve">C1562</t>
  </si>
  <si>
    <t xml:space="preserve">Rohan Gupta</t>
  </si>
  <si>
    <t xml:space="preserve">C1563</t>
  </si>
  <si>
    <t xml:space="preserve">Sakshi Shekhawat</t>
  </si>
  <si>
    <t xml:space="preserve">C1564</t>
  </si>
  <si>
    <t xml:space="preserve">Deepak Roy</t>
  </si>
  <si>
    <t xml:space="preserve">C1565</t>
  </si>
  <si>
    <t xml:space="preserve">Swati Pillai</t>
  </si>
  <si>
    <t xml:space="preserve">C1566</t>
  </si>
  <si>
    <t xml:space="preserve">Komal Malhotra</t>
  </si>
  <si>
    <t xml:space="preserve">C1567</t>
  </si>
  <si>
    <t xml:space="preserve">Tara Chauhan</t>
  </si>
  <si>
    <t xml:space="preserve">C1568</t>
  </si>
  <si>
    <t xml:space="preserve">Shreya Tiwari</t>
  </si>
  <si>
    <t xml:space="preserve">C1569</t>
  </si>
  <si>
    <t xml:space="preserve">Karan Iyer</t>
  </si>
  <si>
    <t xml:space="preserve">C1570</t>
  </si>
  <si>
    <t xml:space="preserve">Suresh Jain</t>
  </si>
  <si>
    <t xml:space="preserve">C1571</t>
  </si>
  <si>
    <t xml:space="preserve">Ritu Mishra</t>
  </si>
  <si>
    <t xml:space="preserve">C1572</t>
  </si>
  <si>
    <t xml:space="preserve">Aditi Rathore</t>
  </si>
  <si>
    <t xml:space="preserve">C1573</t>
  </si>
  <si>
    <t xml:space="preserve">Sanjay Yadav</t>
  </si>
  <si>
    <t xml:space="preserve">C1574</t>
  </si>
  <si>
    <t xml:space="preserve">Vivaan Banerjee</t>
  </si>
  <si>
    <t xml:space="preserve">C1575</t>
  </si>
  <si>
    <t xml:space="preserve">Gaurav Mishra</t>
  </si>
  <si>
    <t xml:space="preserve">C1576</t>
  </si>
  <si>
    <t xml:space="preserve">Karan Menon</t>
  </si>
  <si>
    <t xml:space="preserve">C1577</t>
  </si>
  <si>
    <t xml:space="preserve">Siddharth Iyer</t>
  </si>
  <si>
    <t xml:space="preserve">C1578</t>
  </si>
  <si>
    <t xml:space="preserve">Lokesh Bose</t>
  </si>
  <si>
    <t xml:space="preserve">C1579</t>
  </si>
  <si>
    <t xml:space="preserve">Ashish Mehta</t>
  </si>
  <si>
    <t xml:space="preserve">C1580</t>
  </si>
  <si>
    <t xml:space="preserve">Aditya Nair</t>
  </si>
  <si>
    <t xml:space="preserve">C1581</t>
  </si>
  <si>
    <t xml:space="preserve">Lavanya Chatterjee</t>
  </si>
  <si>
    <t xml:space="preserve">C1582</t>
  </si>
  <si>
    <t xml:space="preserve">Arjun Roy</t>
  </si>
  <si>
    <t xml:space="preserve">C1583</t>
  </si>
  <si>
    <t xml:space="preserve">Vidya Ahmed</t>
  </si>
  <si>
    <t xml:space="preserve">C1584</t>
  </si>
  <si>
    <t xml:space="preserve">Garima Chauhan</t>
  </si>
  <si>
    <t xml:space="preserve">C1585</t>
  </si>
  <si>
    <t xml:space="preserve">Sanjay Bose</t>
  </si>
  <si>
    <t xml:space="preserve">C1586</t>
  </si>
  <si>
    <t xml:space="preserve">Rashmi Ahmed</t>
  </si>
  <si>
    <t xml:space="preserve">C1587</t>
  </si>
  <si>
    <t xml:space="preserve">Jatin Agarwal</t>
  </si>
  <si>
    <t xml:space="preserve">C1588</t>
  </si>
  <si>
    <t xml:space="preserve">Pankaj Bhatt</t>
  </si>
  <si>
    <t xml:space="preserve">C1589</t>
  </si>
  <si>
    <t xml:space="preserve">Sameer Rathore</t>
  </si>
  <si>
    <t xml:space="preserve">C1590</t>
  </si>
  <si>
    <t xml:space="preserve">Suresh Menon</t>
  </si>
  <si>
    <t xml:space="preserve">C1591</t>
  </si>
  <si>
    <t xml:space="preserve">Radhika Verma</t>
  </si>
  <si>
    <t xml:space="preserve">C1592</t>
  </si>
  <si>
    <t xml:space="preserve">Sunita Patil</t>
  </si>
  <si>
    <t xml:space="preserve">C1593</t>
  </si>
  <si>
    <t xml:space="preserve">Aditya Kulkarni</t>
  </si>
  <si>
    <t xml:space="preserve">C1594</t>
  </si>
  <si>
    <t xml:space="preserve">Rajesh Nair</t>
  </si>
  <si>
    <t xml:space="preserve">C1595</t>
  </si>
  <si>
    <t xml:space="preserve">Aditya Singh</t>
  </si>
  <si>
    <t xml:space="preserve">C1596</t>
  </si>
  <si>
    <t xml:space="preserve">Aishwarya Ghosh</t>
  </si>
  <si>
    <t xml:space="preserve">C1597</t>
  </si>
  <si>
    <t xml:space="preserve">Sakshi Desai</t>
  </si>
  <si>
    <t xml:space="preserve">C1598</t>
  </si>
  <si>
    <t xml:space="preserve">Pooja Menon</t>
  </si>
  <si>
    <t xml:space="preserve">C1599</t>
  </si>
  <si>
    <t xml:space="preserve">Naveen Chatterjee</t>
  </si>
  <si>
    <t xml:space="preserve">C1600</t>
  </si>
  <si>
    <t xml:space="preserve">Radhika Ghosh</t>
  </si>
  <si>
    <t xml:space="preserve">C1601</t>
  </si>
  <si>
    <t xml:space="preserve">Lokesh Bansal</t>
  </si>
  <si>
    <t xml:space="preserve">C1602</t>
  </si>
  <si>
    <t xml:space="preserve">Suresh Bhatt</t>
  </si>
  <si>
    <t xml:space="preserve">C1603</t>
  </si>
  <si>
    <t xml:space="preserve">Aditya Patel</t>
  </si>
  <si>
    <t xml:space="preserve">C1604</t>
  </si>
  <si>
    <t xml:space="preserve">Vidya Bansal</t>
  </si>
  <si>
    <t xml:space="preserve">C1605</t>
  </si>
  <si>
    <t xml:space="preserve">Pranav Reddy</t>
  </si>
  <si>
    <t xml:space="preserve">C1606</t>
  </si>
  <si>
    <t xml:space="preserve">Deepak Khan</t>
  </si>
  <si>
    <t xml:space="preserve">C1607</t>
  </si>
  <si>
    <t xml:space="preserve">Tanvi Tiwari</t>
  </si>
  <si>
    <t xml:space="preserve">C1608</t>
  </si>
  <si>
    <t xml:space="preserve">Manish Roy</t>
  </si>
  <si>
    <t xml:space="preserve">C1609</t>
  </si>
  <si>
    <t xml:space="preserve">Garima Banerjee</t>
  </si>
  <si>
    <t xml:space="preserve">C1610</t>
  </si>
  <si>
    <t xml:space="preserve">Sakshi Chatterjee</t>
  </si>
  <si>
    <t xml:space="preserve">C1611</t>
  </si>
  <si>
    <t xml:space="preserve">Rahul Nair</t>
  </si>
  <si>
    <t xml:space="preserve">C1612</t>
  </si>
  <si>
    <t xml:space="preserve">Amit Jain</t>
  </si>
  <si>
    <t xml:space="preserve">C1613</t>
  </si>
  <si>
    <t xml:space="preserve">Hema Rathore</t>
  </si>
  <si>
    <t xml:space="preserve">C1614</t>
  </si>
  <si>
    <t xml:space="preserve">Sameer Shetty</t>
  </si>
  <si>
    <t xml:space="preserve">C1615</t>
  </si>
  <si>
    <t xml:space="preserve">Pranav Iyer</t>
  </si>
  <si>
    <t xml:space="preserve">C1616</t>
  </si>
  <si>
    <t xml:space="preserve">Ankit Naidu</t>
  </si>
  <si>
    <t xml:space="preserve">C1617</t>
  </si>
  <si>
    <t xml:space="preserve">Amit Verma</t>
  </si>
  <si>
    <t xml:space="preserve">C1618</t>
  </si>
  <si>
    <t xml:space="preserve">Isha Desai</t>
  </si>
  <si>
    <t xml:space="preserve">C1619</t>
  </si>
  <si>
    <t xml:space="preserve">Kavya Bhatt</t>
  </si>
  <si>
    <t xml:space="preserve">C1620</t>
  </si>
  <si>
    <t xml:space="preserve">Naveen Tiwari</t>
  </si>
  <si>
    <t xml:space="preserve">C1621</t>
  </si>
  <si>
    <t xml:space="preserve">Isha Chauhan</t>
  </si>
  <si>
    <t xml:space="preserve">C1622</t>
  </si>
  <si>
    <t xml:space="preserve">Nisha Desai</t>
  </si>
  <si>
    <t xml:space="preserve">C1623</t>
  </si>
  <si>
    <t xml:space="preserve">Ankit Shekhawat</t>
  </si>
  <si>
    <t xml:space="preserve">C1624</t>
  </si>
  <si>
    <t xml:space="preserve">Vishal Das</t>
  </si>
  <si>
    <t xml:space="preserve">C1625</t>
  </si>
  <si>
    <t xml:space="preserve">Lavanya Bhatt</t>
  </si>
  <si>
    <t xml:space="preserve">C1626</t>
  </si>
  <si>
    <t xml:space="preserve">Sneha Reddy</t>
  </si>
  <si>
    <t xml:space="preserve">C1627</t>
  </si>
  <si>
    <t xml:space="preserve">Rahul Fernandes</t>
  </si>
  <si>
    <t xml:space="preserve">C1628</t>
  </si>
  <si>
    <t xml:space="preserve">Sameer Singh</t>
  </si>
  <si>
    <t xml:space="preserve">C1629</t>
  </si>
  <si>
    <t xml:space="preserve">Manish Khan</t>
  </si>
  <si>
    <t xml:space="preserve">C1630</t>
  </si>
  <si>
    <t xml:space="preserve">Karan Patel</t>
  </si>
  <si>
    <t xml:space="preserve">C1631</t>
  </si>
  <si>
    <t xml:space="preserve">Sameer Gupta</t>
  </si>
  <si>
    <t xml:space="preserve">C1632</t>
  </si>
  <si>
    <t xml:space="preserve">Nikhil Fernandes</t>
  </si>
  <si>
    <t xml:space="preserve">C1633</t>
  </si>
  <si>
    <t xml:space="preserve">Akash Iyer</t>
  </si>
  <si>
    <t xml:space="preserve">C1634</t>
  </si>
  <si>
    <t xml:space="preserve">Deepika Mukherjee</t>
  </si>
  <si>
    <t xml:space="preserve">C1635</t>
  </si>
  <si>
    <t xml:space="preserve">Radhika Menon</t>
  </si>
  <si>
    <t xml:space="preserve">C1636</t>
  </si>
  <si>
    <t xml:space="preserve">Riya Agarwal</t>
  </si>
  <si>
    <t xml:space="preserve">C1637</t>
  </si>
  <si>
    <t xml:space="preserve">Siddharth Reddy</t>
  </si>
  <si>
    <t xml:space="preserve">C1638</t>
  </si>
  <si>
    <t xml:space="preserve">Amit Menon</t>
  </si>
  <si>
    <t xml:space="preserve">C1639</t>
  </si>
  <si>
    <t xml:space="preserve">Jatin Gupta</t>
  </si>
  <si>
    <t xml:space="preserve">C1640</t>
  </si>
  <si>
    <t xml:space="preserve">Chitra Naidu</t>
  </si>
  <si>
    <t xml:space="preserve">C1641</t>
  </si>
  <si>
    <t xml:space="preserve">Dev Sinha</t>
  </si>
  <si>
    <t xml:space="preserve">C1642</t>
  </si>
  <si>
    <t xml:space="preserve">Rajesh Patel</t>
  </si>
  <si>
    <t xml:space="preserve">C1643</t>
  </si>
  <si>
    <t xml:space="preserve">Radhika Bose</t>
  </si>
  <si>
    <t xml:space="preserve">C1644</t>
  </si>
  <si>
    <t xml:space="preserve">Mayank Nair</t>
  </si>
  <si>
    <t xml:space="preserve">C1645</t>
  </si>
  <si>
    <t xml:space="preserve">Ashish Fernandes</t>
  </si>
  <si>
    <t xml:space="preserve">C1646</t>
  </si>
  <si>
    <t xml:space="preserve">Abhishek Kulkarni</t>
  </si>
  <si>
    <t xml:space="preserve">C1647</t>
  </si>
  <si>
    <t xml:space="preserve">Aarav Kapoor</t>
  </si>
  <si>
    <t xml:space="preserve">C1648</t>
  </si>
  <si>
    <t xml:space="preserve">Tara Kapoor</t>
  </si>
  <si>
    <t xml:space="preserve">C1649</t>
  </si>
  <si>
    <t xml:space="preserve">Dev Desai</t>
  </si>
  <si>
    <t xml:space="preserve">C1650</t>
  </si>
  <si>
    <t xml:space="preserve">Kunal Mehta</t>
  </si>
  <si>
    <t xml:space="preserve">C1651</t>
  </si>
  <si>
    <t xml:space="preserve">Vikram Verma</t>
  </si>
  <si>
    <t xml:space="preserve">C1652</t>
  </si>
  <si>
    <t xml:space="preserve">Aishwarya Patil</t>
  </si>
  <si>
    <t xml:space="preserve">C1653</t>
  </si>
  <si>
    <t xml:space="preserve">Ishaan Kulkarni</t>
  </si>
  <si>
    <t xml:space="preserve">C1654</t>
  </si>
  <si>
    <t xml:space="preserve">Komal Kapoor</t>
  </si>
  <si>
    <t xml:space="preserve">C1655</t>
  </si>
  <si>
    <t xml:space="preserve">Jyoti Kapoor</t>
  </si>
  <si>
    <t xml:space="preserve">C1656</t>
  </si>
  <si>
    <t xml:space="preserve">Manish Kapoor</t>
  </si>
  <si>
    <t xml:space="preserve">C1657</t>
  </si>
  <si>
    <t xml:space="preserve">Suresh Verma</t>
  </si>
  <si>
    <t xml:space="preserve">C1658</t>
  </si>
  <si>
    <t xml:space="preserve">Pooja Ahmed</t>
  </si>
  <si>
    <t xml:space="preserve">C1659</t>
  </si>
  <si>
    <t xml:space="preserve">Madhavi Reddy</t>
  </si>
  <si>
    <t xml:space="preserve">C1660</t>
  </si>
  <si>
    <t xml:space="preserve">Arjun Rao</t>
  </si>
  <si>
    <t xml:space="preserve">C1661</t>
  </si>
  <si>
    <t xml:space="preserve">Radhika Yadav</t>
  </si>
  <si>
    <t xml:space="preserve">C1662</t>
  </si>
  <si>
    <t xml:space="preserve">Neha Tiwari</t>
  </si>
  <si>
    <t xml:space="preserve">C1663</t>
  </si>
  <si>
    <t xml:space="preserve">Ananya Reddy</t>
  </si>
  <si>
    <t xml:space="preserve">C1664</t>
  </si>
  <si>
    <t xml:space="preserve">Arjun Patel</t>
  </si>
  <si>
    <t xml:space="preserve">C1665</t>
  </si>
  <si>
    <t xml:space="preserve">Nikhil Mukherjee</t>
  </si>
  <si>
    <t xml:space="preserve">C1666</t>
  </si>
  <si>
    <t xml:space="preserve">Manish Kaur</t>
  </si>
  <si>
    <t xml:space="preserve">C1667</t>
  </si>
  <si>
    <t xml:space="preserve">Deepak Mishra</t>
  </si>
  <si>
    <t xml:space="preserve">C1668</t>
  </si>
  <si>
    <t xml:space="preserve">Kavya Kapoor</t>
  </si>
  <si>
    <t xml:space="preserve">C1669</t>
  </si>
  <si>
    <t xml:space="preserve">Aarav Yadav</t>
  </si>
  <si>
    <t xml:space="preserve">C1670</t>
  </si>
  <si>
    <t xml:space="preserve">Siddharth Kulkarni</t>
  </si>
  <si>
    <t xml:space="preserve">C1671</t>
  </si>
  <si>
    <t xml:space="preserve">Naveen Shetty</t>
  </si>
  <si>
    <t xml:space="preserve">C1672</t>
  </si>
  <si>
    <t xml:space="preserve">Sameer Banerjee</t>
  </si>
  <si>
    <t xml:space="preserve">C1673</t>
  </si>
  <si>
    <t xml:space="preserve">Bhavna Banerjee</t>
  </si>
  <si>
    <t xml:space="preserve">C1674</t>
  </si>
  <si>
    <t xml:space="preserve">Karan Fernandes</t>
  </si>
  <si>
    <t xml:space="preserve">C1675</t>
  </si>
  <si>
    <t xml:space="preserve">Uma Iyer</t>
  </si>
  <si>
    <t xml:space="preserve">C1676</t>
  </si>
  <si>
    <t xml:space="preserve">Ishaan Malhotra</t>
  </si>
  <si>
    <t xml:space="preserve">C1677</t>
  </si>
  <si>
    <t xml:space="preserve">Prakash Patel</t>
  </si>
  <si>
    <t xml:space="preserve">C1678</t>
  </si>
  <si>
    <t xml:space="preserve">Neha Shekhawat</t>
  </si>
  <si>
    <t xml:space="preserve">C1679</t>
  </si>
  <si>
    <t xml:space="preserve">Tarun Pillai</t>
  </si>
  <si>
    <t xml:space="preserve">C1680</t>
  </si>
  <si>
    <t xml:space="preserve">Akash Sharma</t>
  </si>
  <si>
    <t xml:space="preserve">C1681</t>
  </si>
  <si>
    <t xml:space="preserve">Hema Kaur</t>
  </si>
  <si>
    <t xml:space="preserve">C1682</t>
  </si>
  <si>
    <t xml:space="preserve">Arjun Sharma</t>
  </si>
  <si>
    <t xml:space="preserve">C1683</t>
  </si>
  <si>
    <t xml:space="preserve">Riya Sharma</t>
  </si>
  <si>
    <t xml:space="preserve">C1684</t>
  </si>
  <si>
    <t xml:space="preserve">Aishwarya Banerjee</t>
  </si>
  <si>
    <t xml:space="preserve">C1685</t>
  </si>
  <si>
    <t xml:space="preserve">Bhavna Roy</t>
  </si>
  <si>
    <t xml:space="preserve">C1686</t>
  </si>
  <si>
    <t xml:space="preserve">Lokesh Pandey</t>
  </si>
  <si>
    <t xml:space="preserve">C1687</t>
  </si>
  <si>
    <t xml:space="preserve">Varun Bansal</t>
  </si>
  <si>
    <t xml:space="preserve">C1688</t>
  </si>
  <si>
    <t xml:space="preserve">Bhavna Agarwal</t>
  </si>
  <si>
    <t xml:space="preserve">C1689</t>
  </si>
  <si>
    <t xml:space="preserve">Ashish Pandey</t>
  </si>
  <si>
    <t xml:space="preserve">C1690</t>
  </si>
  <si>
    <t xml:space="preserve">Lokesh Mishra</t>
  </si>
  <si>
    <t xml:space="preserve">C1691</t>
  </si>
  <si>
    <t xml:space="preserve">Divya Tiwari</t>
  </si>
  <si>
    <t xml:space="preserve">C1692</t>
  </si>
  <si>
    <t xml:space="preserve">Anil Pillai</t>
  </si>
  <si>
    <t xml:space="preserve">C1693</t>
  </si>
  <si>
    <t xml:space="preserve">Yash Rao</t>
  </si>
  <si>
    <t xml:space="preserve">C1694</t>
  </si>
  <si>
    <t xml:space="preserve">Divya Desai</t>
  </si>
  <si>
    <t xml:space="preserve">C1695</t>
  </si>
  <si>
    <t xml:space="preserve">Neha Chopra</t>
  </si>
  <si>
    <t xml:space="preserve">C1696</t>
  </si>
  <si>
    <t xml:space="preserve">Radhika Sharma</t>
  </si>
  <si>
    <t xml:space="preserve">C1697</t>
  </si>
  <si>
    <t xml:space="preserve">Nikhil Bose</t>
  </si>
  <si>
    <t xml:space="preserve">C1698</t>
  </si>
  <si>
    <t xml:space="preserve">Rajesh Singh</t>
  </si>
  <si>
    <t xml:space="preserve">C1699</t>
  </si>
  <si>
    <t xml:space="preserve">Komal Joshi</t>
  </si>
  <si>
    <t xml:space="preserve">C1700</t>
  </si>
  <si>
    <t xml:space="preserve">Sanjay Patel</t>
  </si>
  <si>
    <t xml:space="preserve">C1701</t>
  </si>
  <si>
    <t xml:space="preserve">Jyoti Desai</t>
  </si>
  <si>
    <t xml:space="preserve">C1702</t>
  </si>
  <si>
    <t xml:space="preserve">Naman Kaur</t>
  </si>
  <si>
    <t xml:space="preserve">C1703</t>
  </si>
  <si>
    <t xml:space="preserve">Chitra Rao</t>
  </si>
  <si>
    <t xml:space="preserve">C1704</t>
  </si>
  <si>
    <t xml:space="preserve">Harsh Agarwal</t>
  </si>
  <si>
    <t xml:space="preserve">C1705</t>
  </si>
  <si>
    <t xml:space="preserve">Vidya Chauhan</t>
  </si>
  <si>
    <t xml:space="preserve">C1706</t>
  </si>
  <si>
    <t xml:space="preserve">Pooja Tiwari</t>
  </si>
  <si>
    <t xml:space="preserve">C1707</t>
  </si>
  <si>
    <t xml:space="preserve">Ankit Menon</t>
  </si>
  <si>
    <t xml:space="preserve">C1708</t>
  </si>
  <si>
    <t xml:space="preserve">Suresh Kulkarni</t>
  </si>
  <si>
    <t xml:space="preserve">C1709</t>
  </si>
  <si>
    <t xml:space="preserve">Sameer Bhatt</t>
  </si>
  <si>
    <t xml:space="preserve">C1710</t>
  </si>
  <si>
    <t xml:space="preserve">Isha Shekhawat</t>
  </si>
  <si>
    <t xml:space="preserve">C1711</t>
  </si>
  <si>
    <t xml:space="preserve">Ananya Shetty</t>
  </si>
  <si>
    <t xml:space="preserve">C1712</t>
  </si>
  <si>
    <t xml:space="preserve">Bhavna Naidu</t>
  </si>
  <si>
    <t xml:space="preserve">C1713</t>
  </si>
  <si>
    <t xml:space="preserve">Rahul Ghosh</t>
  </si>
  <si>
    <t xml:space="preserve">C1714</t>
  </si>
  <si>
    <t xml:space="preserve">Shreya Patil</t>
  </si>
  <si>
    <t xml:space="preserve">C1715</t>
  </si>
  <si>
    <t xml:space="preserve">Sunita Gupta</t>
  </si>
  <si>
    <t xml:space="preserve">C1716</t>
  </si>
  <si>
    <t xml:space="preserve">Sanjay Ghosh</t>
  </si>
  <si>
    <t xml:space="preserve">C1717</t>
  </si>
  <si>
    <t xml:space="preserve">Ananya Mehta</t>
  </si>
  <si>
    <t xml:space="preserve">C1718</t>
  </si>
  <si>
    <t xml:space="preserve">Prakash Reddy</t>
  </si>
  <si>
    <t xml:space="preserve">C1719</t>
  </si>
  <si>
    <t xml:space="preserve">Garima Yadav</t>
  </si>
  <si>
    <t xml:space="preserve">C1720</t>
  </si>
  <si>
    <t xml:space="preserve">Aishwarya Naidu</t>
  </si>
  <si>
    <t xml:space="preserve">C1721</t>
  </si>
  <si>
    <t xml:space="preserve">Sameer Chopra</t>
  </si>
  <si>
    <t xml:space="preserve">C1722</t>
  </si>
  <si>
    <t xml:space="preserve">Bhavna Verma</t>
  </si>
  <si>
    <t xml:space="preserve">C1723</t>
  </si>
  <si>
    <t xml:space="preserve">Aishwarya Kapoor</t>
  </si>
  <si>
    <t xml:space="preserve">C1724</t>
  </si>
  <si>
    <t xml:space="preserve">Vidya Sinha</t>
  </si>
  <si>
    <t xml:space="preserve">C1725</t>
  </si>
  <si>
    <t xml:space="preserve">Lokesh Mukherjee</t>
  </si>
  <si>
    <t xml:space="preserve">C1726</t>
  </si>
  <si>
    <t xml:space="preserve">Anjali Naidu</t>
  </si>
  <si>
    <t xml:space="preserve">C1727</t>
  </si>
  <si>
    <t xml:space="preserve">Lokesh Chauhan</t>
  </si>
  <si>
    <t xml:space="preserve">C1728</t>
  </si>
  <si>
    <t xml:space="preserve">Jyoti Bose</t>
  </si>
  <si>
    <t xml:space="preserve">C1729</t>
  </si>
  <si>
    <t xml:space="preserve">Manish Verma</t>
  </si>
  <si>
    <t xml:space="preserve">C1730</t>
  </si>
  <si>
    <t xml:space="preserve">Simran Naidu</t>
  </si>
  <si>
    <t xml:space="preserve">C1731</t>
  </si>
  <si>
    <t xml:space="preserve">Nandini Patil</t>
  </si>
  <si>
    <t xml:space="preserve">C1732</t>
  </si>
  <si>
    <t xml:space="preserve">Divya Pillai</t>
  </si>
  <si>
    <t xml:space="preserve">C1733</t>
  </si>
  <si>
    <t xml:space="preserve">Harsh Menon</t>
  </si>
  <si>
    <t xml:space="preserve">C1734</t>
  </si>
  <si>
    <t xml:space="preserve">Jyoti Tiwari</t>
  </si>
  <si>
    <t xml:space="preserve">C1735</t>
  </si>
  <si>
    <t xml:space="preserve">Vivaan Rao</t>
  </si>
  <si>
    <t xml:space="preserve">C1736</t>
  </si>
  <si>
    <t xml:space="preserve">Rahul Tiwari</t>
  </si>
  <si>
    <t xml:space="preserve">C1737</t>
  </si>
  <si>
    <t xml:space="preserve">Diya Chatterjee</t>
  </si>
  <si>
    <t xml:space="preserve">C1738</t>
  </si>
  <si>
    <t xml:space="preserve">Jatin Malhotra</t>
  </si>
  <si>
    <t xml:space="preserve">C1739</t>
  </si>
  <si>
    <t xml:space="preserve">Aarav Singh</t>
  </si>
  <si>
    <t xml:space="preserve">C1740</t>
  </si>
  <si>
    <t xml:space="preserve">Varun Reddy</t>
  </si>
  <si>
    <t xml:space="preserve">C1741</t>
  </si>
  <si>
    <t xml:space="preserve">Nandini Khan</t>
  </si>
  <si>
    <t xml:space="preserve">C1742</t>
  </si>
  <si>
    <t xml:space="preserve">Uma Verma</t>
  </si>
  <si>
    <t xml:space="preserve">C1743</t>
  </si>
  <si>
    <t xml:space="preserve">Amit Gupta</t>
  </si>
  <si>
    <t xml:space="preserve">C1744</t>
  </si>
  <si>
    <t xml:space="preserve">Deepak Chauhan</t>
  </si>
  <si>
    <t xml:space="preserve">C1745</t>
  </si>
  <si>
    <t xml:space="preserve">Vishal Iyer</t>
  </si>
  <si>
    <t xml:space="preserve">C1746</t>
  </si>
  <si>
    <t xml:space="preserve">Amit Saxena</t>
  </si>
  <si>
    <t xml:space="preserve">C1747</t>
  </si>
  <si>
    <t xml:space="preserve">Ekta Chauhan</t>
  </si>
  <si>
    <t xml:space="preserve">C1748</t>
  </si>
  <si>
    <t xml:space="preserve">Nandini Rathore</t>
  </si>
  <si>
    <t xml:space="preserve">C1749</t>
  </si>
  <si>
    <t xml:space="preserve">Arjun Saxena</t>
  </si>
  <si>
    <t xml:space="preserve">C1750</t>
  </si>
  <si>
    <t xml:space="preserve">Madhavi Ahmed</t>
  </si>
  <si>
    <t xml:space="preserve">C1751</t>
  </si>
  <si>
    <t xml:space="preserve">Siddharth Sharma</t>
  </si>
  <si>
    <t xml:space="preserve">C1752</t>
  </si>
  <si>
    <t xml:space="preserve">Komal Kulkarni</t>
  </si>
  <si>
    <t xml:space="preserve">C1753</t>
  </si>
  <si>
    <t xml:space="preserve">Sakshi Joshi</t>
  </si>
  <si>
    <t xml:space="preserve">C1754</t>
  </si>
  <si>
    <t xml:space="preserve">Aishwarya Mishra</t>
  </si>
  <si>
    <t xml:space="preserve">C1755</t>
  </si>
  <si>
    <t xml:space="preserve">Naman Malhotra</t>
  </si>
  <si>
    <t xml:space="preserve">C1756</t>
  </si>
  <si>
    <t xml:space="preserve">Tarun Sinha</t>
  </si>
  <si>
    <t xml:space="preserve">C1757</t>
  </si>
  <si>
    <t xml:space="preserve">Vishal Bansal</t>
  </si>
  <si>
    <t xml:space="preserve">C1758</t>
  </si>
  <si>
    <t xml:space="preserve">Rahul Agarwal</t>
  </si>
  <si>
    <t xml:space="preserve">C1759</t>
  </si>
  <si>
    <t xml:space="preserve">Naveen Reddy</t>
  </si>
  <si>
    <t xml:space="preserve">C1760</t>
  </si>
  <si>
    <t xml:space="preserve">Pooja Das</t>
  </si>
  <si>
    <t xml:space="preserve">C1761</t>
  </si>
  <si>
    <t xml:space="preserve">Komal Pandey</t>
  </si>
  <si>
    <t xml:space="preserve">C1762</t>
  </si>
  <si>
    <t xml:space="preserve">Nikhil Reddy</t>
  </si>
  <si>
    <t xml:space="preserve">C1763</t>
  </si>
  <si>
    <t xml:space="preserve">Vikram Khan</t>
  </si>
  <si>
    <t xml:space="preserve">C1764</t>
  </si>
  <si>
    <t xml:space="preserve">Jyoti Pandey</t>
  </si>
  <si>
    <t xml:space="preserve">C1765</t>
  </si>
  <si>
    <t xml:space="preserve">Simran Patil</t>
  </si>
  <si>
    <t xml:space="preserve">C1766</t>
  </si>
  <si>
    <t xml:space="preserve">Simran Pandey</t>
  </si>
  <si>
    <t xml:space="preserve">C1767</t>
  </si>
  <si>
    <t xml:space="preserve">Sameer Reddy</t>
  </si>
  <si>
    <t xml:space="preserve">C1768</t>
  </si>
  <si>
    <t xml:space="preserve">Komal Menon</t>
  </si>
  <si>
    <t xml:space="preserve">C1769</t>
  </si>
  <si>
    <t xml:space="preserve">Meera Mukherjee</t>
  </si>
  <si>
    <t xml:space="preserve">C1770</t>
  </si>
  <si>
    <t xml:space="preserve">Sunita Kapoor</t>
  </si>
  <si>
    <t xml:space="preserve">C1771</t>
  </si>
  <si>
    <t xml:space="preserve">Lavanya Joshi</t>
  </si>
  <si>
    <t xml:space="preserve">C1772</t>
  </si>
  <si>
    <t xml:space="preserve">Ritu Das</t>
  </si>
  <si>
    <t xml:space="preserve">C1773</t>
  </si>
  <si>
    <t xml:space="preserve">Jatin Patil</t>
  </si>
  <si>
    <t xml:space="preserve">C1774</t>
  </si>
  <si>
    <t xml:space="preserve">Prakash Shetty</t>
  </si>
  <si>
    <t xml:space="preserve">C1775</t>
  </si>
  <si>
    <t xml:space="preserve">Pankaj Mukherjee</t>
  </si>
  <si>
    <t xml:space="preserve">C1776</t>
  </si>
  <si>
    <t xml:space="preserve">Garima Patil</t>
  </si>
  <si>
    <t xml:space="preserve">C1777</t>
  </si>
  <si>
    <t xml:space="preserve">Pankaj Roy</t>
  </si>
  <si>
    <t xml:space="preserve">C1778</t>
  </si>
  <si>
    <t xml:space="preserve">Chitra Banerjee</t>
  </si>
  <si>
    <t xml:space="preserve">C1779</t>
  </si>
  <si>
    <t xml:space="preserve">Tanvi Mishra</t>
  </si>
  <si>
    <t xml:space="preserve">C1780</t>
  </si>
  <si>
    <t xml:space="preserve">Lavanya Rao</t>
  </si>
  <si>
    <t xml:space="preserve">C1781</t>
  </si>
  <si>
    <t xml:space="preserve">Siddharth Mukherjee</t>
  </si>
  <si>
    <t xml:space="preserve">C1782</t>
  </si>
  <si>
    <t xml:space="preserve">Anil Joshi</t>
  </si>
  <si>
    <t xml:space="preserve">C1783</t>
  </si>
  <si>
    <t xml:space="preserve">Priya Mishra</t>
  </si>
  <si>
    <t xml:space="preserve">C1784</t>
  </si>
  <si>
    <t xml:space="preserve">Vidya Rathore</t>
  </si>
  <si>
    <t xml:space="preserve">C1785</t>
  </si>
  <si>
    <t xml:space="preserve">Madhavi Kapoor</t>
  </si>
  <si>
    <t xml:space="preserve">C1786</t>
  </si>
  <si>
    <t xml:space="preserve">Simran Yadav</t>
  </si>
  <si>
    <t xml:space="preserve">C1787</t>
  </si>
  <si>
    <t xml:space="preserve">Ananya Fernandes</t>
  </si>
  <si>
    <t xml:space="preserve">C1788</t>
  </si>
  <si>
    <t xml:space="preserve">Aishwarya Yadav</t>
  </si>
  <si>
    <t xml:space="preserve">C1789</t>
  </si>
  <si>
    <t xml:space="preserve">Dev Fernandes</t>
  </si>
  <si>
    <t xml:space="preserve">C1790</t>
  </si>
  <si>
    <t xml:space="preserve">Rohan Kapoor</t>
  </si>
  <si>
    <t xml:space="preserve">C1791</t>
  </si>
  <si>
    <t xml:space="preserve">Amit Sinha</t>
  </si>
  <si>
    <t xml:space="preserve">C1792</t>
  </si>
  <si>
    <t xml:space="preserve">Ishaan Tiwari</t>
  </si>
  <si>
    <t xml:space="preserve">C1793</t>
  </si>
  <si>
    <t xml:space="preserve">Hema Kulkarni</t>
  </si>
  <si>
    <t xml:space="preserve">C1794</t>
  </si>
  <si>
    <t xml:space="preserve">Kritika Saxena</t>
  </si>
  <si>
    <t xml:space="preserve">C1795</t>
  </si>
  <si>
    <t xml:space="preserve">Ritu Desai</t>
  </si>
  <si>
    <t xml:space="preserve">C1796</t>
  </si>
  <si>
    <t xml:space="preserve">Manish Shekhawat</t>
  </si>
  <si>
    <t xml:space="preserve">C1797</t>
  </si>
  <si>
    <t xml:space="preserve">Sakshi Banerjee</t>
  </si>
  <si>
    <t xml:space="preserve">C1798</t>
  </si>
  <si>
    <t xml:space="preserve">Aishwarya Sinha</t>
  </si>
  <si>
    <t xml:space="preserve">C1799</t>
  </si>
  <si>
    <t xml:space="preserve">Sunita Shekhawat</t>
  </si>
  <si>
    <t xml:space="preserve">C1800</t>
  </si>
  <si>
    <t xml:space="preserve">Jyoti Pillai</t>
  </si>
  <si>
    <t xml:space="preserve">C1801</t>
  </si>
  <si>
    <t xml:space="preserve">Siddharth Nair</t>
  </si>
  <si>
    <t xml:space="preserve">C1802</t>
  </si>
  <si>
    <t xml:space="preserve">Komal Rao</t>
  </si>
  <si>
    <t xml:space="preserve">C1803</t>
  </si>
  <si>
    <t xml:space="preserve">Akash Shekhawat</t>
  </si>
  <si>
    <t xml:space="preserve">C1804</t>
  </si>
  <si>
    <t xml:space="preserve">Priya Nair</t>
  </si>
  <si>
    <t xml:space="preserve">C1805</t>
  </si>
  <si>
    <t xml:space="preserve">Radhika Kapoor</t>
  </si>
  <si>
    <t xml:space="preserve">C1806</t>
  </si>
  <si>
    <t xml:space="preserve">Aditya Khan</t>
  </si>
  <si>
    <t xml:space="preserve">C1807</t>
  </si>
  <si>
    <t xml:space="preserve">Vishal Yadav</t>
  </si>
  <si>
    <t xml:space="preserve">C1808</t>
  </si>
  <si>
    <t xml:space="preserve">Akash Patil</t>
  </si>
  <si>
    <t xml:space="preserve">C1809</t>
  </si>
  <si>
    <t xml:space="preserve">Ekta Jain</t>
  </si>
  <si>
    <t xml:space="preserve">C1810</t>
  </si>
  <si>
    <t xml:space="preserve">Aarav Chopra</t>
  </si>
  <si>
    <t xml:space="preserve">C1811</t>
  </si>
  <si>
    <t xml:space="preserve">Ekta Rao</t>
  </si>
  <si>
    <t xml:space="preserve">C1812</t>
  </si>
  <si>
    <t xml:space="preserve">Anil Gupta</t>
  </si>
  <si>
    <t xml:space="preserve">C1813</t>
  </si>
  <si>
    <t xml:space="preserve">Pankaj Pillai</t>
  </si>
  <si>
    <t xml:space="preserve">C1814</t>
  </si>
  <si>
    <t xml:space="preserve">Vidya Joshi</t>
  </si>
  <si>
    <t xml:space="preserve">C1815</t>
  </si>
  <si>
    <t xml:space="preserve">Amit Nair</t>
  </si>
  <si>
    <t xml:space="preserve">C1816</t>
  </si>
  <si>
    <t xml:space="preserve">Nandini Joshi</t>
  </si>
  <si>
    <t xml:space="preserve">C1817</t>
  </si>
  <si>
    <t xml:space="preserve">Neha Reddy</t>
  </si>
  <si>
    <t xml:space="preserve">C1818</t>
  </si>
  <si>
    <t xml:space="preserve">Ishaan Shekhawat</t>
  </si>
  <si>
    <t xml:space="preserve">C1819</t>
  </si>
  <si>
    <t xml:space="preserve">Diya Mukherjee</t>
  </si>
  <si>
    <t xml:space="preserve">C1820</t>
  </si>
  <si>
    <t xml:space="preserve">Radhika Rao</t>
  </si>
  <si>
    <t xml:space="preserve">C1821</t>
  </si>
  <si>
    <t xml:space="preserve">Isha Gupta</t>
  </si>
  <si>
    <t xml:space="preserve">C1822</t>
  </si>
  <si>
    <t xml:space="preserve">Neha Sharma</t>
  </si>
  <si>
    <t xml:space="preserve">C1823</t>
  </si>
  <si>
    <t xml:space="preserve">Varun Pandey</t>
  </si>
  <si>
    <t xml:space="preserve">C1824</t>
  </si>
  <si>
    <t xml:space="preserve">Vishal Jain</t>
  </si>
  <si>
    <t xml:space="preserve">C1825</t>
  </si>
  <si>
    <t xml:space="preserve">Rashmi Kapoor</t>
  </si>
  <si>
    <t xml:space="preserve">C1826</t>
  </si>
  <si>
    <t xml:space="preserve">Garima Rao</t>
  </si>
  <si>
    <t xml:space="preserve">C1827</t>
  </si>
  <si>
    <t xml:space="preserve">Nandini Gupta</t>
  </si>
  <si>
    <t xml:space="preserve">C1828</t>
  </si>
  <si>
    <t xml:space="preserve">Nandini Bansal</t>
  </si>
  <si>
    <t xml:space="preserve">C1829</t>
  </si>
  <si>
    <t xml:space="preserve">Komal Kaur</t>
  </si>
  <si>
    <t xml:space="preserve">C1830</t>
  </si>
  <si>
    <t xml:space="preserve">Sameer Joshi</t>
  </si>
  <si>
    <t xml:space="preserve">C1831</t>
  </si>
  <si>
    <t xml:space="preserve">Rohan Verma</t>
  </si>
  <si>
    <t xml:space="preserve">C1832</t>
  </si>
  <si>
    <t xml:space="preserve">Pankaj Bose</t>
  </si>
  <si>
    <t xml:space="preserve">C1833</t>
  </si>
  <si>
    <t xml:space="preserve">Uma Patel</t>
  </si>
  <si>
    <t xml:space="preserve">C1834</t>
  </si>
  <si>
    <t xml:space="preserve">Yash Joshi</t>
  </si>
  <si>
    <t xml:space="preserve">C1835</t>
  </si>
  <si>
    <t xml:space="preserve">Karan Mehta</t>
  </si>
  <si>
    <t xml:space="preserve">C1836</t>
  </si>
  <si>
    <t xml:space="preserve">Madhavi Khan</t>
  </si>
  <si>
    <t xml:space="preserve">C1837</t>
  </si>
  <si>
    <t xml:space="preserve">Swati Bhatt</t>
  </si>
  <si>
    <t xml:space="preserve">C1838</t>
  </si>
  <si>
    <t xml:space="preserve">Shreya Verma</t>
  </si>
  <si>
    <t xml:space="preserve">C1839</t>
  </si>
  <si>
    <t xml:space="preserve">Lokesh Shekhawat</t>
  </si>
  <si>
    <t xml:space="preserve">C1840</t>
  </si>
  <si>
    <t xml:space="preserve">Manish Yadav</t>
  </si>
  <si>
    <t xml:space="preserve">C1841</t>
  </si>
  <si>
    <t xml:space="preserve">Harsh Verma</t>
  </si>
  <si>
    <t xml:space="preserve">C1842</t>
  </si>
  <si>
    <t xml:space="preserve">Madhavi Shetty</t>
  </si>
  <si>
    <t xml:space="preserve">C1843</t>
  </si>
  <si>
    <t xml:space="preserve">Chitra Khan</t>
  </si>
  <si>
    <t xml:space="preserve">C1844</t>
  </si>
  <si>
    <t xml:space="preserve">Nikhil Banerjee</t>
  </si>
  <si>
    <t xml:space="preserve">C1845</t>
  </si>
  <si>
    <t xml:space="preserve">Ashish Bose</t>
  </si>
  <si>
    <t xml:space="preserve">C1846</t>
  </si>
  <si>
    <t xml:space="preserve">Prakash Ghosh</t>
  </si>
  <si>
    <t xml:space="preserve">C1847</t>
  </si>
  <si>
    <t xml:space="preserve">Swati Banerjee</t>
  </si>
  <si>
    <t xml:space="preserve">C1848</t>
  </si>
  <si>
    <t xml:space="preserve">Yash Bhatt</t>
  </si>
  <si>
    <t xml:space="preserve">C1849</t>
  </si>
  <si>
    <t xml:space="preserve">Deepak Ghosh</t>
  </si>
  <si>
    <t xml:space="preserve">C1850</t>
  </si>
  <si>
    <t xml:space="preserve">Neha Kulkarni</t>
  </si>
  <si>
    <t xml:space="preserve">C1851</t>
  </si>
  <si>
    <t xml:space="preserve">Tarun Chauhan</t>
  </si>
  <si>
    <t xml:space="preserve">C1852</t>
  </si>
  <si>
    <t xml:space="preserve">Manish Singh</t>
  </si>
  <si>
    <t xml:space="preserve">C1853</t>
  </si>
  <si>
    <t xml:space="preserve">Rahul Menon</t>
  </si>
  <si>
    <t xml:space="preserve">C1854</t>
  </si>
  <si>
    <t xml:space="preserve">Nandini Naidu</t>
  </si>
  <si>
    <t xml:space="preserve">C1855</t>
  </si>
  <si>
    <t xml:space="preserve">Tarun Fernandes</t>
  </si>
  <si>
    <t xml:space="preserve">C1856</t>
  </si>
  <si>
    <t xml:space="preserve">Siddharth Malhotra</t>
  </si>
  <si>
    <t xml:space="preserve">C1857</t>
  </si>
  <si>
    <t xml:space="preserve">Garima Pillai</t>
  </si>
  <si>
    <t xml:space="preserve">C1858</t>
  </si>
  <si>
    <t xml:space="preserve">Manish Chauhan</t>
  </si>
  <si>
    <t xml:space="preserve">C1859</t>
  </si>
  <si>
    <t xml:space="preserve">Mayank Patel</t>
  </si>
  <si>
    <t xml:space="preserve">C1860</t>
  </si>
  <si>
    <t xml:space="preserve">Shreya Reddy</t>
  </si>
  <si>
    <t xml:space="preserve">C1861</t>
  </si>
  <si>
    <t xml:space="preserve">Nisha Mukherjee</t>
  </si>
  <si>
    <t xml:space="preserve">C1862</t>
  </si>
  <si>
    <t xml:space="preserve">Pranav Verma</t>
  </si>
  <si>
    <t xml:space="preserve">C1863</t>
  </si>
  <si>
    <t xml:space="preserve">Isha Bansal</t>
  </si>
  <si>
    <t xml:space="preserve">C1864</t>
  </si>
  <si>
    <t xml:space="preserve">Nisha Singh</t>
  </si>
  <si>
    <t xml:space="preserve">C1865</t>
  </si>
  <si>
    <t xml:space="preserve">Radhika Pillai</t>
  </si>
  <si>
    <t xml:space="preserve">C1866</t>
  </si>
  <si>
    <t xml:space="preserve">Isha Roy</t>
  </si>
  <si>
    <t xml:space="preserve">C1867</t>
  </si>
  <si>
    <t xml:space="preserve">Kunal Gupta</t>
  </si>
  <si>
    <t xml:space="preserve">C1868</t>
  </si>
  <si>
    <t xml:space="preserve">Pooja Kulkarni</t>
  </si>
  <si>
    <t xml:space="preserve">C1869</t>
  </si>
  <si>
    <t xml:space="preserve">Sameer Mehta</t>
  </si>
  <si>
    <t xml:space="preserve">C1870</t>
  </si>
  <si>
    <t xml:space="preserve">Akash Desai</t>
  </si>
  <si>
    <t xml:space="preserve">C1871</t>
  </si>
  <si>
    <t xml:space="preserve">Divya Fernandes</t>
  </si>
  <si>
    <t xml:space="preserve">C1872</t>
  </si>
  <si>
    <t xml:space="preserve">Meera Singh</t>
  </si>
  <si>
    <t xml:space="preserve">C1873</t>
  </si>
  <si>
    <t xml:space="preserve">Uma Banerjee</t>
  </si>
  <si>
    <t xml:space="preserve">C1874</t>
  </si>
  <si>
    <t xml:space="preserve">Akash Naidu</t>
  </si>
  <si>
    <t xml:space="preserve">C1875</t>
  </si>
  <si>
    <t xml:space="preserve">Chitra Nair</t>
  </si>
  <si>
    <t xml:space="preserve">C1876</t>
  </si>
  <si>
    <t xml:space="preserve">Suresh Bansal</t>
  </si>
  <si>
    <t xml:space="preserve">C1877</t>
  </si>
  <si>
    <t xml:space="preserve">Prakash Gupta</t>
  </si>
  <si>
    <t xml:space="preserve">C1878</t>
  </si>
  <si>
    <t xml:space="preserve">Vikram Roy</t>
  </si>
  <si>
    <t xml:space="preserve">C1879</t>
  </si>
  <si>
    <t xml:space="preserve">Bhavna Bansal</t>
  </si>
  <si>
    <t xml:space="preserve">C1880</t>
  </si>
  <si>
    <t xml:space="preserve">Madhavi Roy</t>
  </si>
  <si>
    <t xml:space="preserve">C1881</t>
  </si>
  <si>
    <t xml:space="preserve">Aishwarya Reddy</t>
  </si>
  <si>
    <t xml:space="preserve">C1882</t>
  </si>
  <si>
    <t xml:space="preserve">Ananya Jain</t>
  </si>
  <si>
    <t xml:space="preserve">C1883</t>
  </si>
  <si>
    <t xml:space="preserve">Deepak Iyer</t>
  </si>
  <si>
    <t xml:space="preserve">C1884</t>
  </si>
  <si>
    <t xml:space="preserve">Harsh Fernandes</t>
  </si>
  <si>
    <t xml:space="preserve">C1885</t>
  </si>
  <si>
    <t xml:space="preserve">Prakash Saxena</t>
  </si>
  <si>
    <t xml:space="preserve">C1886</t>
  </si>
  <si>
    <t xml:space="preserve">Radhika Das</t>
  </si>
  <si>
    <t xml:space="preserve">C1887</t>
  </si>
  <si>
    <t xml:space="preserve">Kritika Tiwari</t>
  </si>
  <si>
    <t xml:space="preserve">C1888</t>
  </si>
  <si>
    <t xml:space="preserve">Rohan Iyer</t>
  </si>
  <si>
    <t xml:space="preserve">C1889</t>
  </si>
  <si>
    <t xml:space="preserve">Aarav Jain</t>
  </si>
  <si>
    <t xml:space="preserve">C1890</t>
  </si>
  <si>
    <t xml:space="preserve">Tanvi Naidu</t>
  </si>
  <si>
    <t xml:space="preserve">C1891</t>
  </si>
  <si>
    <t xml:space="preserve">Garima Bansal</t>
  </si>
  <si>
    <t xml:space="preserve">C1892</t>
  </si>
  <si>
    <t xml:space="preserve">Chitra Saxena</t>
  </si>
  <si>
    <t xml:space="preserve">C1893</t>
  </si>
  <si>
    <t xml:space="preserve">Bhavna Pillai</t>
  </si>
  <si>
    <t xml:space="preserve">C1894</t>
  </si>
  <si>
    <t xml:space="preserve">Siddharth Singh</t>
  </si>
  <si>
    <t xml:space="preserve">C1895</t>
  </si>
  <si>
    <t xml:space="preserve">Rajesh Reddy</t>
  </si>
  <si>
    <t xml:space="preserve">C1896</t>
  </si>
  <si>
    <t xml:space="preserve">Dev Nair</t>
  </si>
  <si>
    <t xml:space="preserve">C1897</t>
  </si>
  <si>
    <t xml:space="preserve">Diya Patil</t>
  </si>
  <si>
    <t xml:space="preserve">C1898</t>
  </si>
  <si>
    <t xml:space="preserve">Vikram Chauhan</t>
  </si>
  <si>
    <t xml:space="preserve">C1899</t>
  </si>
  <si>
    <t xml:space="preserve">Lokesh Saxena</t>
  </si>
  <si>
    <t xml:space="preserve">C1900</t>
  </si>
  <si>
    <t xml:space="preserve">Aishwarya Malhotra</t>
  </si>
  <si>
    <t xml:space="preserve">C1901</t>
  </si>
  <si>
    <t xml:space="preserve">Ananya Menon</t>
  </si>
  <si>
    <t xml:space="preserve">C1902</t>
  </si>
  <si>
    <t xml:space="preserve">Arjun Mukherjee</t>
  </si>
  <si>
    <t xml:space="preserve">C1903</t>
  </si>
  <si>
    <t xml:space="preserve">Tara Shekhawat</t>
  </si>
  <si>
    <t xml:space="preserve">C1904</t>
  </si>
  <si>
    <t xml:space="preserve">Riya Bansal</t>
  </si>
  <si>
    <t xml:space="preserve">C1905</t>
  </si>
  <si>
    <t xml:space="preserve">Rohan Shetty</t>
  </si>
  <si>
    <t xml:space="preserve">C1906</t>
  </si>
  <si>
    <t xml:space="preserve">Neha Mehta</t>
  </si>
  <si>
    <t xml:space="preserve">C1907</t>
  </si>
  <si>
    <t xml:space="preserve">Hema Khan</t>
  </si>
  <si>
    <t xml:space="preserve">C1908</t>
  </si>
  <si>
    <t xml:space="preserve">Tara Mukherjee</t>
  </si>
  <si>
    <t xml:space="preserve">C1909</t>
  </si>
  <si>
    <t xml:space="preserve">Ananya Ahmed</t>
  </si>
  <si>
    <t xml:space="preserve">C1910</t>
  </si>
  <si>
    <t xml:space="preserve">Rajesh Malhotra</t>
  </si>
  <si>
    <t xml:space="preserve">C1911</t>
  </si>
  <si>
    <t xml:space="preserve">Deepak Menon</t>
  </si>
  <si>
    <t xml:space="preserve">C1912</t>
  </si>
  <si>
    <t xml:space="preserve">Deepika Jain</t>
  </si>
  <si>
    <t xml:space="preserve">C1913</t>
  </si>
  <si>
    <t xml:space="preserve">Meera Reddy</t>
  </si>
  <si>
    <t xml:space="preserve">C1914</t>
  </si>
  <si>
    <t xml:space="preserve">Jatin Kulkarni</t>
  </si>
  <si>
    <t xml:space="preserve">C1915</t>
  </si>
  <si>
    <t xml:space="preserve">Mayank Sharma</t>
  </si>
  <si>
    <t xml:space="preserve">C1916</t>
  </si>
  <si>
    <t xml:space="preserve">Bhavna Shetty</t>
  </si>
  <si>
    <t xml:space="preserve">C1917</t>
  </si>
  <si>
    <t xml:space="preserve">Harsh Iyer</t>
  </si>
  <si>
    <t xml:space="preserve">C1918</t>
  </si>
  <si>
    <t xml:space="preserve">Mayank Agarwal</t>
  </si>
  <si>
    <t xml:space="preserve">C1919</t>
  </si>
  <si>
    <t xml:space="preserve">Siddharth Bose</t>
  </si>
  <si>
    <t xml:space="preserve">C1920</t>
  </si>
  <si>
    <t xml:space="preserve">Siddharth Roy</t>
  </si>
  <si>
    <t xml:space="preserve">C1921</t>
  </si>
  <si>
    <t xml:space="preserve">Meera Pillai</t>
  </si>
  <si>
    <t xml:space="preserve">C1922</t>
  </si>
  <si>
    <t xml:space="preserve">Vidya Saxena</t>
  </si>
  <si>
    <t xml:space="preserve">C1923</t>
  </si>
  <si>
    <t xml:space="preserve">Ritu Iyer</t>
  </si>
  <si>
    <t xml:space="preserve">C1924</t>
  </si>
  <si>
    <t xml:space="preserve">Rajesh Iyer</t>
  </si>
  <si>
    <t xml:space="preserve">C1925</t>
  </si>
  <si>
    <t xml:space="preserve">Aditya Rao</t>
  </si>
  <si>
    <t xml:space="preserve">C1926</t>
  </si>
  <si>
    <t xml:space="preserve">Ritu Reddy</t>
  </si>
  <si>
    <t xml:space="preserve">C1927</t>
  </si>
  <si>
    <t xml:space="preserve">Priya Pandey</t>
  </si>
  <si>
    <t xml:space="preserve">C1928</t>
  </si>
  <si>
    <t xml:space="preserve">Nikhil Joshi</t>
  </si>
  <si>
    <t xml:space="preserve">C1929</t>
  </si>
  <si>
    <t xml:space="preserve">Gaurav Iyer</t>
  </si>
  <si>
    <t xml:space="preserve">C1930</t>
  </si>
  <si>
    <t xml:space="preserve">Akash Bose</t>
  </si>
  <si>
    <t xml:space="preserve">C1931</t>
  </si>
  <si>
    <t xml:space="preserve">Rohan Joshi</t>
  </si>
  <si>
    <t xml:space="preserve">C1932</t>
  </si>
  <si>
    <t xml:space="preserve">Aarav Rao</t>
  </si>
  <si>
    <t xml:space="preserve">C1933</t>
  </si>
  <si>
    <t xml:space="preserve">Nisha Mishra</t>
  </si>
  <si>
    <t xml:space="preserve">C1934</t>
  </si>
  <si>
    <t xml:space="preserve">Ananya Patel</t>
  </si>
  <si>
    <t xml:space="preserve">C1935</t>
  </si>
  <si>
    <t xml:space="preserve">Komal Singh</t>
  </si>
  <si>
    <t xml:space="preserve">C1936</t>
  </si>
  <si>
    <t xml:space="preserve">Akash Rao</t>
  </si>
  <si>
    <t xml:space="preserve">C1937</t>
  </si>
  <si>
    <t xml:space="preserve">Swati Gupta</t>
  </si>
  <si>
    <t xml:space="preserve">C1938</t>
  </si>
  <si>
    <t xml:space="preserve">Ishaan Gupta</t>
  </si>
  <si>
    <t xml:space="preserve">C1939</t>
  </si>
  <si>
    <t xml:space="preserve">Deepak Saxena</t>
  </si>
  <si>
    <t xml:space="preserve">C1940</t>
  </si>
  <si>
    <t xml:space="preserve">Abhishek Chopra</t>
  </si>
  <si>
    <t xml:space="preserve">C1941</t>
  </si>
  <si>
    <t xml:space="preserve">Vishal Sharma</t>
  </si>
  <si>
    <t xml:space="preserve">C1942</t>
  </si>
  <si>
    <t xml:space="preserve">Diya Pillai</t>
  </si>
  <si>
    <t xml:space="preserve">C1943</t>
  </si>
  <si>
    <t xml:space="preserve">Rohan Malhotra</t>
  </si>
  <si>
    <t xml:space="preserve">C1944</t>
  </si>
  <si>
    <t xml:space="preserve">Rashmi Agarwal</t>
  </si>
  <si>
    <t xml:space="preserve">C1945</t>
  </si>
  <si>
    <t xml:space="preserve">Mayank Verma</t>
  </si>
  <si>
    <t xml:space="preserve">C1946</t>
  </si>
  <si>
    <t xml:space="preserve">Chitra Ghosh</t>
  </si>
  <si>
    <t xml:space="preserve">C1947</t>
  </si>
  <si>
    <t xml:space="preserve">Nandini Fernandes</t>
  </si>
  <si>
    <t xml:space="preserve">C1948</t>
  </si>
  <si>
    <t xml:space="preserve">Anil Reddy</t>
  </si>
  <si>
    <t xml:space="preserve">C1949</t>
  </si>
  <si>
    <t xml:space="preserve">Uma Khan</t>
  </si>
  <si>
    <t xml:space="preserve">C1950</t>
  </si>
  <si>
    <t xml:space="preserve">Deepika Shekhawat</t>
  </si>
  <si>
    <t xml:space="preserve">C1951</t>
  </si>
  <si>
    <t xml:space="preserve">Vikram Fernandes</t>
  </si>
  <si>
    <t xml:space="preserve">C1952</t>
  </si>
  <si>
    <t xml:space="preserve">Sanjay Chopra</t>
  </si>
  <si>
    <t xml:space="preserve">C1953</t>
  </si>
  <si>
    <t xml:space="preserve">Sakshi Nair</t>
  </si>
  <si>
    <t xml:space="preserve">C1954</t>
  </si>
  <si>
    <t xml:space="preserve">Vivaan Chatterjee</t>
  </si>
  <si>
    <t xml:space="preserve">C1955</t>
  </si>
  <si>
    <t xml:space="preserve">Akash Saxena</t>
  </si>
  <si>
    <t xml:space="preserve">C1956</t>
  </si>
  <si>
    <t xml:space="preserve">Uma Sinha</t>
  </si>
  <si>
    <t xml:space="preserve">C1957</t>
  </si>
  <si>
    <t xml:space="preserve">Prakash Chauhan</t>
  </si>
  <si>
    <t xml:space="preserve">C1958</t>
  </si>
  <si>
    <t xml:space="preserve">Aditi Fernandes</t>
  </si>
  <si>
    <t xml:space="preserve">C1959</t>
  </si>
  <si>
    <t xml:space="preserve">Meera Jain</t>
  </si>
  <si>
    <t xml:space="preserve">C1960</t>
  </si>
  <si>
    <t xml:space="preserve">Sunita Malhotra</t>
  </si>
  <si>
    <t xml:space="preserve">C1961</t>
  </si>
  <si>
    <t xml:space="preserve">Ritu Bose</t>
  </si>
  <si>
    <t xml:space="preserve">C1962</t>
  </si>
  <si>
    <t xml:space="preserve">Vidya Iyer</t>
  </si>
  <si>
    <t xml:space="preserve">C1963</t>
  </si>
  <si>
    <t xml:space="preserve">Priya Khan</t>
  </si>
  <si>
    <t xml:space="preserve">C1964</t>
  </si>
  <si>
    <t xml:space="preserve">Mohit Bansal</t>
  </si>
  <si>
    <t xml:space="preserve">C1965</t>
  </si>
  <si>
    <t xml:space="preserve">Sakshi Menon</t>
  </si>
  <si>
    <t xml:space="preserve">C1966</t>
  </si>
  <si>
    <t xml:space="preserve">Deepak Tiwari</t>
  </si>
  <si>
    <t xml:space="preserve">C1967</t>
  </si>
  <si>
    <t xml:space="preserve">Nisha Rathore</t>
  </si>
  <si>
    <t xml:space="preserve">C1968</t>
  </si>
  <si>
    <t xml:space="preserve">Dev Gupta</t>
  </si>
  <si>
    <t xml:space="preserve">C1969</t>
  </si>
  <si>
    <t xml:space="preserve">Rajesh Menon</t>
  </si>
  <si>
    <t xml:space="preserve">C1970</t>
  </si>
  <si>
    <t xml:space="preserve">Aishwarya Bose</t>
  </si>
  <si>
    <t xml:space="preserve">C1971</t>
  </si>
  <si>
    <t xml:space="preserve">Jatin Roy</t>
  </si>
  <si>
    <t xml:space="preserve">C1972</t>
  </si>
  <si>
    <t xml:space="preserve">Vivaan Kapoor</t>
  </si>
  <si>
    <t xml:space="preserve">C1973</t>
  </si>
  <si>
    <t xml:space="preserve">Shreya Iyer</t>
  </si>
  <si>
    <t xml:space="preserve">C1974</t>
  </si>
  <si>
    <t xml:space="preserve">Aditya Patil</t>
  </si>
  <si>
    <t xml:space="preserve">C1975</t>
  </si>
  <si>
    <t xml:space="preserve">Pankaj Kaur</t>
  </si>
  <si>
    <t xml:space="preserve">C1976</t>
  </si>
  <si>
    <t xml:space="preserve">Pallavi Singh</t>
  </si>
  <si>
    <t xml:space="preserve">C1977</t>
  </si>
  <si>
    <t xml:space="preserve">Ankit Gupta</t>
  </si>
  <si>
    <t xml:space="preserve">C1978</t>
  </si>
  <si>
    <t xml:space="preserve">Pallavi Roy</t>
  </si>
  <si>
    <t xml:space="preserve">C1979</t>
  </si>
  <si>
    <t xml:space="preserve">Nikhil Sinha</t>
  </si>
  <si>
    <t xml:space="preserve">C1980</t>
  </si>
  <si>
    <t xml:space="preserve">Tara Chopra</t>
  </si>
  <si>
    <t xml:space="preserve">C1981</t>
  </si>
  <si>
    <t xml:space="preserve">Garima Singh</t>
  </si>
  <si>
    <t xml:space="preserve">C1982</t>
  </si>
  <si>
    <t xml:space="preserve">Uma Jain</t>
  </si>
  <si>
    <t xml:space="preserve">C1983</t>
  </si>
  <si>
    <t xml:space="preserve">Pallavi Nair</t>
  </si>
  <si>
    <t xml:space="preserve">C1984</t>
  </si>
  <si>
    <t xml:space="preserve">Deepika Kapoor</t>
  </si>
  <si>
    <t xml:space="preserve">C1985</t>
  </si>
  <si>
    <t xml:space="preserve">Abhishek Kapoor</t>
  </si>
  <si>
    <t xml:space="preserve">C1986</t>
  </si>
  <si>
    <t xml:space="preserve">Divya Patel</t>
  </si>
  <si>
    <t xml:space="preserve">C1987</t>
  </si>
  <si>
    <t xml:space="preserve">Sakshi Patil</t>
  </si>
  <si>
    <t xml:space="preserve">C1988</t>
  </si>
  <si>
    <t xml:space="preserve">Sameer Mishra</t>
  </si>
  <si>
    <t xml:space="preserve">C1989</t>
  </si>
  <si>
    <t xml:space="preserve">Dev Chatterjee</t>
  </si>
  <si>
    <t xml:space="preserve">C1990</t>
  </si>
  <si>
    <t xml:space="preserve">Vishal Naidu</t>
  </si>
  <si>
    <t xml:space="preserve">C1991</t>
  </si>
  <si>
    <t xml:space="preserve">Shreya Yadav</t>
  </si>
  <si>
    <t xml:space="preserve">C1992</t>
  </si>
  <si>
    <t xml:space="preserve">Uma Yadav</t>
  </si>
  <si>
    <t xml:space="preserve">C1993</t>
  </si>
  <si>
    <t xml:space="preserve">Mohit Shetty</t>
  </si>
  <si>
    <t xml:space="preserve">C1994</t>
  </si>
  <si>
    <t xml:space="preserve">Prakash Sinha</t>
  </si>
  <si>
    <t xml:space="preserve">C1995</t>
  </si>
  <si>
    <t xml:space="preserve">Shreya Singh</t>
  </si>
  <si>
    <t xml:space="preserve">C1996</t>
  </si>
  <si>
    <t xml:space="preserve">Rohan Banerjee</t>
  </si>
  <si>
    <t xml:space="preserve">C1997</t>
  </si>
  <si>
    <t xml:space="preserve">Vivaan Singh</t>
  </si>
  <si>
    <t xml:space="preserve">C1998</t>
  </si>
  <si>
    <t xml:space="preserve">Chitra Patil</t>
  </si>
  <si>
    <t xml:space="preserve">C1999</t>
  </si>
  <si>
    <t xml:space="preserve">Tanvi Jain</t>
  </si>
  <si>
    <t xml:space="preserve">C2000</t>
  </si>
  <si>
    <t xml:space="preserve">Riya Patel</t>
  </si>
  <si>
    <t xml:space="preserve">C2001</t>
  </si>
  <si>
    <t xml:space="preserve">Mayank Tiwari</t>
  </si>
  <si>
    <t xml:space="preserve">C2002</t>
  </si>
  <si>
    <t xml:space="preserve">Dev Mukherjee</t>
  </si>
  <si>
    <t xml:space="preserve">C2003</t>
  </si>
  <si>
    <t xml:space="preserve">Shreya Ghosh</t>
  </si>
  <si>
    <t xml:space="preserve">C2004</t>
  </si>
  <si>
    <t xml:space="preserve">Aditi Gupta</t>
  </si>
  <si>
    <t xml:space="preserve">C2005</t>
  </si>
  <si>
    <t xml:space="preserve">Hema Patil</t>
  </si>
  <si>
    <t xml:space="preserve">C2006</t>
  </si>
  <si>
    <t xml:space="preserve">Diya Nair</t>
  </si>
  <si>
    <t xml:space="preserve">C2007</t>
  </si>
  <si>
    <t xml:space="preserve">Abhishek Shekhawat</t>
  </si>
  <si>
    <t xml:space="preserve">C2008</t>
  </si>
  <si>
    <t xml:space="preserve">Swati Yadav</t>
  </si>
  <si>
    <t xml:space="preserve">C2009</t>
  </si>
  <si>
    <t xml:space="preserve">Deepak Das</t>
  </si>
  <si>
    <t xml:space="preserve">C2010</t>
  </si>
  <si>
    <t xml:space="preserve">Tarun Saxena</t>
  </si>
  <si>
    <t xml:space="preserve">C2011</t>
  </si>
  <si>
    <t xml:space="preserve">Manish Malhotra</t>
  </si>
  <si>
    <t xml:space="preserve">C2012</t>
  </si>
  <si>
    <t xml:space="preserve">Ananya Nair</t>
  </si>
  <si>
    <t xml:space="preserve">C2013</t>
  </si>
  <si>
    <t xml:space="preserve">Kritika Roy</t>
  </si>
  <si>
    <t xml:space="preserve">C2014</t>
  </si>
  <si>
    <t xml:space="preserve">Ishaan Bose</t>
  </si>
  <si>
    <t xml:space="preserve">C2015</t>
  </si>
  <si>
    <t xml:space="preserve">Deepika Khan</t>
  </si>
  <si>
    <t xml:space="preserve">C2016</t>
  </si>
  <si>
    <t xml:space="preserve">Ananya Rao</t>
  </si>
  <si>
    <t xml:space="preserve">C2017</t>
  </si>
  <si>
    <t xml:space="preserve">Akash Chauhan</t>
  </si>
  <si>
    <t xml:space="preserve">C2018</t>
  </si>
  <si>
    <t xml:space="preserve">Yash Singh</t>
  </si>
  <si>
    <t xml:space="preserve">C2019</t>
  </si>
  <si>
    <t xml:space="preserve">Bhavna Fernandes</t>
  </si>
  <si>
    <t xml:space="preserve">C2020</t>
  </si>
  <si>
    <t xml:space="preserve">Sunita Banerjee</t>
  </si>
  <si>
    <t xml:space="preserve">C2021</t>
  </si>
  <si>
    <t xml:space="preserve">Aarav Sinha</t>
  </si>
  <si>
    <t xml:space="preserve">C2022</t>
  </si>
  <si>
    <t xml:space="preserve">Nisha Rao</t>
  </si>
  <si>
    <t xml:space="preserve">C2023</t>
  </si>
  <si>
    <t xml:space="preserve">Suresh Khan</t>
  </si>
  <si>
    <t xml:space="preserve">C2024</t>
  </si>
  <si>
    <t xml:space="preserve">Rajesh Verma</t>
  </si>
  <si>
    <t xml:space="preserve">C2025</t>
  </si>
  <si>
    <t xml:space="preserve">Tara Desai</t>
  </si>
  <si>
    <t xml:space="preserve">C2026</t>
  </si>
  <si>
    <t xml:space="preserve">Madhavi Nair</t>
  </si>
  <si>
    <t xml:space="preserve">C2027</t>
  </si>
  <si>
    <t xml:space="preserve">Sunita Roy</t>
  </si>
  <si>
    <t xml:space="preserve">C2028</t>
  </si>
  <si>
    <t xml:space="preserve">Siddharth Gupta</t>
  </si>
  <si>
    <t xml:space="preserve">C2029</t>
  </si>
  <si>
    <t xml:space="preserve">Gaurav Nair</t>
  </si>
  <si>
    <t xml:space="preserve">C2030</t>
  </si>
  <si>
    <t xml:space="preserve">Vivaan Mehta</t>
  </si>
  <si>
    <t xml:space="preserve">C2031</t>
  </si>
  <si>
    <t xml:space="preserve">Vivaan Gupta</t>
  </si>
  <si>
    <t xml:space="preserve">C2032</t>
  </si>
  <si>
    <t xml:space="preserve">Varun Ghosh</t>
  </si>
  <si>
    <t xml:space="preserve">C2033</t>
  </si>
  <si>
    <t xml:space="preserve">Tara Pillai</t>
  </si>
  <si>
    <t xml:space="preserve">C2034</t>
  </si>
  <si>
    <t xml:space="preserve">Nisha Patel</t>
  </si>
  <si>
    <t xml:space="preserve">C2035</t>
  </si>
  <si>
    <t xml:space="preserve">Rohan Pillai</t>
  </si>
  <si>
    <t xml:space="preserve">C2036</t>
  </si>
  <si>
    <t xml:space="preserve">Divya Shekhawat</t>
  </si>
  <si>
    <t xml:space="preserve">C2037</t>
  </si>
  <si>
    <t xml:space="preserve">Ishaan Sinha</t>
  </si>
  <si>
    <t xml:space="preserve">C2038</t>
  </si>
  <si>
    <t xml:space="preserve">Gaurav Chopra</t>
  </si>
  <si>
    <t xml:space="preserve">C2039</t>
  </si>
  <si>
    <t xml:space="preserve">Yash Nair</t>
  </si>
  <si>
    <t xml:space="preserve">C2040</t>
  </si>
  <si>
    <t xml:space="preserve">Vidya Mukherjee</t>
  </si>
  <si>
    <t xml:space="preserve">C2041</t>
  </si>
  <si>
    <t xml:space="preserve">Madhavi Yadav</t>
  </si>
  <si>
    <t xml:space="preserve">C2042</t>
  </si>
  <si>
    <t xml:space="preserve">Pankaj Reddy</t>
  </si>
  <si>
    <t xml:space="preserve">C2043</t>
  </si>
  <si>
    <t xml:space="preserve">Jyoti Chauhan</t>
  </si>
  <si>
    <t xml:space="preserve">C2044</t>
  </si>
  <si>
    <t xml:space="preserve">Aarav Tiwari</t>
  </si>
  <si>
    <t xml:space="preserve">C2045</t>
  </si>
  <si>
    <t xml:space="preserve">Tarun Mishra</t>
  </si>
  <si>
    <t xml:space="preserve">C2046</t>
  </si>
  <si>
    <t xml:space="preserve">Mohit Mishra</t>
  </si>
  <si>
    <t xml:space="preserve">C2047</t>
  </si>
  <si>
    <t xml:space="preserve">Vikram Malhotra</t>
  </si>
  <si>
    <t xml:space="preserve">C2048</t>
  </si>
  <si>
    <t xml:space="preserve">Rohan Kaur</t>
  </si>
  <si>
    <t xml:space="preserve">C2049</t>
  </si>
  <si>
    <t xml:space="preserve">Ekta Kulkarni</t>
  </si>
  <si>
    <t xml:space="preserve">C2050</t>
  </si>
  <si>
    <t xml:space="preserve">Jyoti Saxena</t>
  </si>
  <si>
    <t xml:space="preserve">C2051</t>
  </si>
  <si>
    <t xml:space="preserve">Tanvi Ahmed</t>
  </si>
  <si>
    <t xml:space="preserve">C2052</t>
  </si>
  <si>
    <t xml:space="preserve">Deepak Nair</t>
  </si>
  <si>
    <t xml:space="preserve">C2053</t>
  </si>
  <si>
    <t xml:space="preserve">Chitra Kulkarni</t>
  </si>
  <si>
    <t xml:space="preserve">C2054</t>
  </si>
  <si>
    <t xml:space="preserve">Ankit Pandey</t>
  </si>
  <si>
    <t xml:space="preserve">C2055</t>
  </si>
  <si>
    <t xml:space="preserve">Deepak Singh</t>
  </si>
  <si>
    <t xml:space="preserve">C2056</t>
  </si>
  <si>
    <t xml:space="preserve">Shreya Roy</t>
  </si>
  <si>
    <t xml:space="preserve">C2057</t>
  </si>
  <si>
    <t xml:space="preserve">Mohit Nair</t>
  </si>
  <si>
    <t xml:space="preserve">C2058</t>
  </si>
  <si>
    <t xml:space="preserve">Pooja Rathore</t>
  </si>
  <si>
    <t xml:space="preserve">C2059</t>
  </si>
  <si>
    <t xml:space="preserve">Pankaj Naidu</t>
  </si>
  <si>
    <t xml:space="preserve">C2060</t>
  </si>
  <si>
    <t xml:space="preserve">Harsh Banerjee</t>
  </si>
  <si>
    <t xml:space="preserve">C2061</t>
  </si>
  <si>
    <t xml:space="preserve">Meera Yadav</t>
  </si>
  <si>
    <t xml:space="preserve">C2062</t>
  </si>
  <si>
    <t xml:space="preserve">Rahul Sinha</t>
  </si>
  <si>
    <t xml:space="preserve">C2063</t>
  </si>
  <si>
    <t xml:space="preserve">Uma Bansal</t>
  </si>
  <si>
    <t xml:space="preserve">C2064</t>
  </si>
  <si>
    <t xml:space="preserve">Siddharth Bhatt</t>
  </si>
  <si>
    <t xml:space="preserve">C2065</t>
  </si>
  <si>
    <t xml:space="preserve">Bhavna Jain</t>
  </si>
  <si>
    <t xml:space="preserve">C2066</t>
  </si>
  <si>
    <t xml:space="preserve">Arjun Iyer</t>
  </si>
  <si>
    <t xml:space="preserve">C2067</t>
  </si>
  <si>
    <t xml:space="preserve">Simran Jain</t>
  </si>
  <si>
    <t xml:space="preserve">C2068</t>
  </si>
  <si>
    <t xml:space="preserve">Radhika Kaur</t>
  </si>
  <si>
    <t xml:space="preserve">C2069</t>
  </si>
  <si>
    <t xml:space="preserve">Pranav Agarwal</t>
  </si>
  <si>
    <t xml:space="preserve">C2070</t>
  </si>
  <si>
    <t xml:space="preserve">Yash Shetty</t>
  </si>
  <si>
    <t xml:space="preserve">C2071</t>
  </si>
  <si>
    <t xml:space="preserve">Hema Chatterjee</t>
  </si>
  <si>
    <t xml:space="preserve">C2072</t>
  </si>
  <si>
    <t xml:space="preserve">Garima Agarwal</t>
  </si>
  <si>
    <t xml:space="preserve">C2073</t>
  </si>
  <si>
    <t xml:space="preserve">Nikhil Khan</t>
  </si>
  <si>
    <t xml:space="preserve">C2074</t>
  </si>
  <si>
    <t xml:space="preserve">Vikram Mukherjee</t>
  </si>
  <si>
    <t xml:space="preserve">C2075</t>
  </si>
  <si>
    <t xml:space="preserve">Tarun Khan</t>
  </si>
  <si>
    <t xml:space="preserve">C2076</t>
  </si>
  <si>
    <t xml:space="preserve">Aishwarya Shetty</t>
  </si>
  <si>
    <t xml:space="preserve">C2077</t>
  </si>
  <si>
    <t xml:space="preserve">Naveen Rathore</t>
  </si>
  <si>
    <t xml:space="preserve">C2078</t>
  </si>
  <si>
    <t xml:space="preserve">Naman Das</t>
  </si>
  <si>
    <t xml:space="preserve">C2079</t>
  </si>
  <si>
    <t xml:space="preserve">Harsh Chopra</t>
  </si>
  <si>
    <t xml:space="preserve">C2080</t>
  </si>
  <si>
    <t xml:space="preserve">Varun Rathore</t>
  </si>
  <si>
    <t xml:space="preserve">C2081</t>
  </si>
  <si>
    <t xml:space="preserve">Pankaj Pandey</t>
  </si>
  <si>
    <t xml:space="preserve">C2082</t>
  </si>
  <si>
    <t xml:space="preserve">Naman Rao</t>
  </si>
  <si>
    <t xml:space="preserve">C2083</t>
  </si>
  <si>
    <t xml:space="preserve">Nikhil Verma</t>
  </si>
  <si>
    <t xml:space="preserve">C2084</t>
  </si>
  <si>
    <t xml:space="preserve">Nisha Banerjee</t>
  </si>
  <si>
    <t xml:space="preserve">C2085</t>
  </si>
  <si>
    <t xml:space="preserve">Kunal Bhatt</t>
  </si>
  <si>
    <t xml:space="preserve">C2086</t>
  </si>
  <si>
    <t xml:space="preserve">Bhavna Saxena</t>
  </si>
  <si>
    <t xml:space="preserve">C2087</t>
  </si>
  <si>
    <t xml:space="preserve">Harsh Mehta</t>
  </si>
  <si>
    <t xml:space="preserve">C2088</t>
  </si>
  <si>
    <t xml:space="preserve">Yash Mukherjee</t>
  </si>
  <si>
    <t xml:space="preserve">C2089</t>
  </si>
  <si>
    <t xml:space="preserve">Riya Bhatt</t>
  </si>
  <si>
    <t xml:space="preserve">C2090</t>
  </si>
  <si>
    <t xml:space="preserve">Vivaan Menon</t>
  </si>
  <si>
    <t xml:space="preserve">C2091</t>
  </si>
  <si>
    <t xml:space="preserve">Mohit Roy</t>
  </si>
  <si>
    <t xml:space="preserve">C2092</t>
  </si>
  <si>
    <t xml:space="preserve">Lokesh Yadav</t>
  </si>
  <si>
    <t xml:space="preserve">C2093</t>
  </si>
  <si>
    <t xml:space="preserve">Siddharth Rathore</t>
  </si>
  <si>
    <t xml:space="preserve">C2094</t>
  </si>
  <si>
    <t xml:space="preserve">Rajesh Mishra</t>
  </si>
  <si>
    <t xml:space="preserve">C2095</t>
  </si>
  <si>
    <t xml:space="preserve">Sunita Iyer</t>
  </si>
  <si>
    <t xml:space="preserve">C2096</t>
  </si>
  <si>
    <t xml:space="preserve">Sakshi Yadav</t>
  </si>
  <si>
    <t xml:space="preserve">C2097</t>
  </si>
  <si>
    <t xml:space="preserve">Neha Das</t>
  </si>
  <si>
    <t xml:space="preserve">C2098</t>
  </si>
  <si>
    <t xml:space="preserve">Abhishek Chatterjee</t>
  </si>
  <si>
    <t xml:space="preserve">C2099</t>
  </si>
  <si>
    <t xml:space="preserve">Ritu Pandey</t>
  </si>
  <si>
    <t xml:space="preserve">C2100</t>
  </si>
  <si>
    <t xml:space="preserve">Simran Fernandes</t>
  </si>
  <si>
    <t xml:space="preserve">C2101</t>
  </si>
  <si>
    <t xml:space="preserve">Radhika Naidu</t>
  </si>
  <si>
    <t xml:space="preserve">C2102</t>
  </si>
  <si>
    <t xml:space="preserve">Anjali Reddy</t>
  </si>
  <si>
    <t xml:space="preserve">C2103</t>
  </si>
  <si>
    <t xml:space="preserve">Ananya Banerjee</t>
  </si>
  <si>
    <t xml:space="preserve">C2104</t>
  </si>
  <si>
    <t xml:space="preserve">Kavya Chopra</t>
  </si>
  <si>
    <t xml:space="preserve">C2105</t>
  </si>
  <si>
    <t xml:space="preserve">Sameer Jain</t>
  </si>
  <si>
    <t xml:space="preserve">C2106</t>
  </si>
  <si>
    <t xml:space="preserve">Swati Das</t>
  </si>
  <si>
    <t xml:space="preserve">C2107</t>
  </si>
  <si>
    <t xml:space="preserve">Pankaj Desai</t>
  </si>
  <si>
    <t xml:space="preserve">C2108</t>
  </si>
  <si>
    <t xml:space="preserve">Jyoti Das</t>
  </si>
  <si>
    <t xml:space="preserve">C2109</t>
  </si>
  <si>
    <t xml:space="preserve">Tarun Sharma</t>
  </si>
  <si>
    <t xml:space="preserve">C2110</t>
  </si>
  <si>
    <t xml:space="preserve">Sanjay Ahmed</t>
  </si>
  <si>
    <t xml:space="preserve">C2111</t>
  </si>
  <si>
    <t xml:space="preserve">Kavya Gupta</t>
  </si>
  <si>
    <t xml:space="preserve">C2112</t>
  </si>
  <si>
    <t xml:space="preserve">Neha Patil</t>
  </si>
  <si>
    <t xml:space="preserve">C2113</t>
  </si>
  <si>
    <t xml:space="preserve">Rajesh Khan</t>
  </si>
  <si>
    <t xml:space="preserve">C2114</t>
  </si>
  <si>
    <t xml:space="preserve">Sunita Ahmed</t>
  </si>
  <si>
    <t xml:space="preserve">C2115</t>
  </si>
  <si>
    <t xml:space="preserve">Aditya Mehta</t>
  </si>
  <si>
    <t xml:space="preserve">C2116</t>
  </si>
  <si>
    <t xml:space="preserve">Amit Bansal</t>
  </si>
  <si>
    <t xml:space="preserve">C2117</t>
  </si>
  <si>
    <t xml:space="preserve">Neha Chatterjee</t>
  </si>
  <si>
    <t xml:space="preserve">C2118</t>
  </si>
  <si>
    <t xml:space="preserve">Garima Mishra</t>
  </si>
  <si>
    <t xml:space="preserve">C2119</t>
  </si>
  <si>
    <t xml:space="preserve">Nikhil Mehta</t>
  </si>
  <si>
    <t xml:space="preserve">C2120</t>
  </si>
  <si>
    <t xml:space="preserve">Simran Kaur</t>
  </si>
  <si>
    <t xml:space="preserve">C2121</t>
  </si>
  <si>
    <t xml:space="preserve">Ekta Menon</t>
  </si>
  <si>
    <t xml:space="preserve">C2122</t>
  </si>
  <si>
    <t xml:space="preserve">Hema Bhatt</t>
  </si>
  <si>
    <t xml:space="preserve">C2123</t>
  </si>
  <si>
    <t xml:space="preserve">Aditya Saxena</t>
  </si>
  <si>
    <t xml:space="preserve">C2124</t>
  </si>
  <si>
    <t xml:space="preserve">Sakshi Khan</t>
  </si>
  <si>
    <t xml:space="preserve">C2125</t>
  </si>
  <si>
    <t xml:space="preserve">Jyoti Ahmed</t>
  </si>
  <si>
    <t xml:space="preserve">C2126</t>
  </si>
  <si>
    <t xml:space="preserve">Tara Sharma</t>
  </si>
  <si>
    <t xml:space="preserve">C2127</t>
  </si>
  <si>
    <t xml:space="preserve">Abhishek Ghosh</t>
  </si>
  <si>
    <t xml:space="preserve">C2128</t>
  </si>
  <si>
    <t xml:space="preserve">Prakash Jain</t>
  </si>
  <si>
    <t xml:space="preserve">C2129</t>
  </si>
  <si>
    <t xml:space="preserve">Ritu Ahmed</t>
  </si>
  <si>
    <t xml:space="preserve">C2130</t>
  </si>
  <si>
    <t xml:space="preserve">Vishal Pillai</t>
  </si>
  <si>
    <t xml:space="preserve">C2131</t>
  </si>
  <si>
    <t xml:space="preserve">Yash Das</t>
  </si>
  <si>
    <t xml:space="preserve">C2132</t>
  </si>
  <si>
    <t xml:space="preserve">Anjali Gupta</t>
  </si>
  <si>
    <t xml:space="preserve">C2133</t>
  </si>
  <si>
    <t xml:space="preserve">Karan Mishra</t>
  </si>
  <si>
    <t xml:space="preserve">C2134</t>
  </si>
  <si>
    <t xml:space="preserve">Anjali Chatterjee</t>
  </si>
  <si>
    <t xml:space="preserve">C2135</t>
  </si>
  <si>
    <t xml:space="preserve">Anjali Shetty</t>
  </si>
  <si>
    <t xml:space="preserve">C2136</t>
  </si>
  <si>
    <t xml:space="preserve">Aditya Chauhan</t>
  </si>
  <si>
    <t xml:space="preserve">C2137</t>
  </si>
  <si>
    <t xml:space="preserve">Deepak Patel</t>
  </si>
  <si>
    <t xml:space="preserve">C2138</t>
  </si>
  <si>
    <t xml:space="preserve">Arjun Bhatt</t>
  </si>
  <si>
    <t xml:space="preserve">C2139</t>
  </si>
  <si>
    <t xml:space="preserve">Meera Mehta</t>
  </si>
  <si>
    <t xml:space="preserve">C2140</t>
  </si>
  <si>
    <t xml:space="preserve">Vishal Ahmed</t>
  </si>
  <si>
    <t xml:space="preserve">C2141</t>
  </si>
  <si>
    <t xml:space="preserve">Suresh Chauhan</t>
  </si>
  <si>
    <t xml:space="preserve">C2142</t>
  </si>
  <si>
    <t xml:space="preserve">Riya Ahmed</t>
  </si>
  <si>
    <t xml:space="preserve">C2143</t>
  </si>
  <si>
    <t xml:space="preserve">Akash Chatterjee</t>
  </si>
  <si>
    <t xml:space="preserve">C2144</t>
  </si>
  <si>
    <t xml:space="preserve">Lokesh Pillai</t>
  </si>
  <si>
    <t xml:space="preserve">C2145</t>
  </si>
  <si>
    <t xml:space="preserve">Lavanya Yadav</t>
  </si>
  <si>
    <t xml:space="preserve">C2146</t>
  </si>
  <si>
    <t xml:space="preserve">Ishaan Sharma</t>
  </si>
  <si>
    <t xml:space="preserve">C2147</t>
  </si>
  <si>
    <t xml:space="preserve">Sanjay Menon</t>
  </si>
  <si>
    <t xml:space="preserve">C2148</t>
  </si>
  <si>
    <t xml:space="preserve">Riya Chopra</t>
  </si>
  <si>
    <t xml:space="preserve">C2149</t>
  </si>
  <si>
    <t xml:space="preserve">Lokesh Mehta</t>
  </si>
  <si>
    <t xml:space="preserve">C2150</t>
  </si>
  <si>
    <t xml:space="preserve">Ankit Tiwari</t>
  </si>
  <si>
    <t xml:space="preserve">C2151</t>
  </si>
  <si>
    <t xml:space="preserve">Tara Ahmed</t>
  </si>
  <si>
    <t xml:space="preserve">C2152</t>
  </si>
  <si>
    <t xml:space="preserve">Lokesh Ahmed</t>
  </si>
  <si>
    <t xml:space="preserve">C2153</t>
  </si>
  <si>
    <t xml:space="preserve">Varun Verma</t>
  </si>
  <si>
    <t xml:space="preserve">C2154</t>
  </si>
  <si>
    <t xml:space="preserve">Swati Mukherjee</t>
  </si>
  <si>
    <t xml:space="preserve">C2155</t>
  </si>
  <si>
    <t xml:space="preserve">Lavanya Roy</t>
  </si>
  <si>
    <t xml:space="preserve">C2156</t>
  </si>
  <si>
    <t xml:space="preserve">Naman Mehta</t>
  </si>
  <si>
    <t xml:space="preserve">C2157</t>
  </si>
  <si>
    <t xml:space="preserve">Manish Agarwal</t>
  </si>
  <si>
    <t xml:space="preserve">C2158</t>
  </si>
  <si>
    <t xml:space="preserve">Ritu Chauhan</t>
  </si>
  <si>
    <t xml:space="preserve">C2159</t>
  </si>
  <si>
    <t xml:space="preserve">Rashmi Mishra</t>
  </si>
  <si>
    <t xml:space="preserve">C2160</t>
  </si>
  <si>
    <t xml:space="preserve">Uma Roy</t>
  </si>
  <si>
    <t xml:space="preserve">C2161</t>
  </si>
  <si>
    <t xml:space="preserve">Tara Bhatt</t>
  </si>
  <si>
    <t xml:space="preserve">C2162</t>
  </si>
  <si>
    <t xml:space="preserve">Aditya Desai</t>
  </si>
  <si>
    <t xml:space="preserve">C2163</t>
  </si>
  <si>
    <t xml:space="preserve">Kavya Menon</t>
  </si>
  <si>
    <t xml:space="preserve">C2164</t>
  </si>
  <si>
    <t xml:space="preserve">Nandini Pillai</t>
  </si>
  <si>
    <t xml:space="preserve">C2165</t>
  </si>
  <si>
    <t xml:space="preserve">Lavanya Singh</t>
  </si>
  <si>
    <t xml:space="preserve">C2166</t>
  </si>
  <si>
    <t xml:space="preserve">Aditi Reddy</t>
  </si>
  <si>
    <t xml:space="preserve">C2167</t>
  </si>
  <si>
    <t xml:space="preserve">Aishwarya Sharma</t>
  </si>
  <si>
    <t xml:space="preserve">C2168</t>
  </si>
  <si>
    <t xml:space="preserve">Priya Jain</t>
  </si>
  <si>
    <t xml:space="preserve">C2169</t>
  </si>
  <si>
    <t xml:space="preserve">Rashmi Iyer</t>
  </si>
  <si>
    <t xml:space="preserve">C2170</t>
  </si>
  <si>
    <t xml:space="preserve">Pranav Saxena</t>
  </si>
  <si>
    <t xml:space="preserve">C2171</t>
  </si>
  <si>
    <t xml:space="preserve">Mohit Kapoor</t>
  </si>
  <si>
    <t xml:space="preserve">C2172</t>
  </si>
  <si>
    <t xml:space="preserve">Mohit Reddy</t>
  </si>
  <si>
    <t xml:space="preserve">C2173</t>
  </si>
  <si>
    <t xml:space="preserve">Chitra Iyer</t>
  </si>
  <si>
    <t xml:space="preserve">C2174</t>
  </si>
  <si>
    <t xml:space="preserve">Garima Das</t>
  </si>
  <si>
    <t xml:space="preserve">C2175</t>
  </si>
  <si>
    <t xml:space="preserve">Riya Shekhawat</t>
  </si>
  <si>
    <t xml:space="preserve">C2176</t>
  </si>
  <si>
    <t xml:space="preserve">Rohan Desai</t>
  </si>
  <si>
    <t xml:space="preserve">C2177</t>
  </si>
  <si>
    <t xml:space="preserve">Deepika Joshi</t>
  </si>
  <si>
    <t xml:space="preserve">C2178</t>
  </si>
  <si>
    <t xml:space="preserve">Amit Yadav</t>
  </si>
  <si>
    <t xml:space="preserve">C2179</t>
  </si>
  <si>
    <t xml:space="preserve">Mohit Ahmed</t>
  </si>
  <si>
    <t xml:space="preserve">C2180</t>
  </si>
  <si>
    <t xml:space="preserve">Pankaj Menon</t>
  </si>
  <si>
    <t xml:space="preserve">C2181</t>
  </si>
  <si>
    <t xml:space="preserve">Naveen Verma</t>
  </si>
  <si>
    <t xml:space="preserve">C2182</t>
  </si>
  <si>
    <t xml:space="preserve">Aarav Mukherjee</t>
  </si>
  <si>
    <t xml:space="preserve">C2183</t>
  </si>
  <si>
    <t xml:space="preserve">Aditya Bhatt</t>
  </si>
  <si>
    <t xml:space="preserve">C2184</t>
  </si>
  <si>
    <t xml:space="preserve">Pranav Nair</t>
  </si>
  <si>
    <t xml:space="preserve">C2185</t>
  </si>
  <si>
    <t xml:space="preserve">Meera Khan</t>
  </si>
  <si>
    <t xml:space="preserve">C2186</t>
  </si>
  <si>
    <t xml:space="preserve">Lokesh Ghosh</t>
  </si>
  <si>
    <t xml:space="preserve">C2187</t>
  </si>
  <si>
    <t xml:space="preserve">Kunal Menon</t>
  </si>
  <si>
    <t xml:space="preserve">C2188</t>
  </si>
  <si>
    <t xml:space="preserve">Amit Mehta</t>
  </si>
  <si>
    <t xml:space="preserve">C2189</t>
  </si>
  <si>
    <t xml:space="preserve">Lavanya Verma</t>
  </si>
  <si>
    <t xml:space="preserve">C2190</t>
  </si>
  <si>
    <t xml:space="preserve">Pankaj Fernandes</t>
  </si>
  <si>
    <t xml:space="preserve">C2191</t>
  </si>
  <si>
    <t xml:space="preserve">Tanvi Reddy</t>
  </si>
  <si>
    <t xml:space="preserve">C2192</t>
  </si>
  <si>
    <t xml:space="preserve">Rashmi Reddy</t>
  </si>
  <si>
    <t xml:space="preserve">C2193</t>
  </si>
  <si>
    <t xml:space="preserve">Madhavi Mukherjee</t>
  </si>
  <si>
    <t xml:space="preserve">C2194</t>
  </si>
  <si>
    <t xml:space="preserve">Bhavna Kaur</t>
  </si>
  <si>
    <t xml:space="preserve">C2195</t>
  </si>
  <si>
    <t xml:space="preserve">Priya Mehta</t>
  </si>
  <si>
    <t xml:space="preserve">C2196</t>
  </si>
  <si>
    <t xml:space="preserve">Nikhil Pillai</t>
  </si>
  <si>
    <t xml:space="preserve">C2197</t>
  </si>
  <si>
    <t xml:space="preserve">Diya Menon</t>
  </si>
  <si>
    <t xml:space="preserve">C2198</t>
  </si>
  <si>
    <t xml:space="preserve">Nisha Chatterjee</t>
  </si>
  <si>
    <t xml:space="preserve">C2199</t>
  </si>
  <si>
    <t xml:space="preserve">Chitra Pandey</t>
  </si>
  <si>
    <t xml:space="preserve">C2200</t>
  </si>
  <si>
    <t xml:space="preserve">Pankaj Verma</t>
  </si>
  <si>
    <t xml:space="preserve">C2201</t>
  </si>
  <si>
    <t xml:space="preserve">Ekta Mishra</t>
  </si>
  <si>
    <t xml:space="preserve">C2202</t>
  </si>
  <si>
    <t xml:space="preserve">Yash Kaur</t>
  </si>
  <si>
    <t xml:space="preserve">C2203</t>
  </si>
  <si>
    <t xml:space="preserve">Isha Verma</t>
  </si>
  <si>
    <t xml:space="preserve">C2204</t>
  </si>
  <si>
    <t xml:space="preserve">Anjali Shekhawat</t>
  </si>
  <si>
    <t xml:space="preserve">C2205</t>
  </si>
  <si>
    <t xml:space="preserve">Suresh Agarwal</t>
  </si>
  <si>
    <t xml:space="preserve">C2206</t>
  </si>
  <si>
    <t xml:space="preserve">Pooja Bansal</t>
  </si>
  <si>
    <t xml:space="preserve">C2207</t>
  </si>
  <si>
    <t xml:space="preserve">Isha Nair</t>
  </si>
  <si>
    <t xml:space="preserve">C2208</t>
  </si>
  <si>
    <t xml:space="preserve">Mohit Saxena</t>
  </si>
  <si>
    <t xml:space="preserve">C2209</t>
  </si>
  <si>
    <t xml:space="preserve">Aarav Nair</t>
  </si>
  <si>
    <t xml:space="preserve">C2210</t>
  </si>
  <si>
    <t xml:space="preserve">Mayank Shekhawat</t>
  </si>
  <si>
    <t xml:space="preserve">C2211</t>
  </si>
  <si>
    <t xml:space="preserve">Riya Chatterjee</t>
  </si>
  <si>
    <t xml:space="preserve">C2212</t>
  </si>
  <si>
    <t xml:space="preserve">Ananya Bhatt</t>
  </si>
  <si>
    <t xml:space="preserve">C2213</t>
  </si>
  <si>
    <t xml:space="preserve">Pallavi Rao</t>
  </si>
  <si>
    <t xml:space="preserve">C2214</t>
  </si>
  <si>
    <t xml:space="preserve">Dev Singh</t>
  </si>
  <si>
    <t xml:space="preserve">C2215</t>
  </si>
  <si>
    <t xml:space="preserve">Vishal Shetty</t>
  </si>
  <si>
    <t xml:space="preserve">C2216</t>
  </si>
  <si>
    <t xml:space="preserve">Harsh Yadav</t>
  </si>
  <si>
    <t xml:space="preserve">C2217</t>
  </si>
  <si>
    <t xml:space="preserve">Pooja Naidu</t>
  </si>
  <si>
    <t xml:space="preserve">C2218</t>
  </si>
  <si>
    <t xml:space="preserve">Naman Shekhawat</t>
  </si>
  <si>
    <t xml:space="preserve">C2219</t>
  </si>
  <si>
    <t xml:space="preserve">Sameer Patel</t>
  </si>
  <si>
    <t xml:space="preserve">C2220</t>
  </si>
  <si>
    <t xml:space="preserve">Naman Fernandes</t>
  </si>
  <si>
    <t xml:space="preserve">C2221</t>
  </si>
  <si>
    <t xml:space="preserve">Harsh Mukherjee</t>
  </si>
  <si>
    <t xml:space="preserve">C2222</t>
  </si>
  <si>
    <t xml:space="preserve">Anil Pandey</t>
  </si>
  <si>
    <t xml:space="preserve">C2223</t>
  </si>
  <si>
    <t xml:space="preserve">Naveen Sinha</t>
  </si>
  <si>
    <t xml:space="preserve">C2224</t>
  </si>
  <si>
    <t xml:space="preserve">Nikhil Desai</t>
  </si>
  <si>
    <t xml:space="preserve">C2225</t>
  </si>
  <si>
    <t xml:space="preserve">Arjun Chauhan</t>
  </si>
  <si>
    <t xml:space="preserve">C2226</t>
  </si>
  <si>
    <t xml:space="preserve">Yash Iyer</t>
  </si>
  <si>
    <t xml:space="preserve">C2227</t>
  </si>
  <si>
    <t xml:space="preserve">Ashish Sharma</t>
  </si>
  <si>
    <t xml:space="preserve">C2228</t>
  </si>
  <si>
    <t xml:space="preserve">Lavanya Menon</t>
  </si>
  <si>
    <t xml:space="preserve">C2229</t>
  </si>
  <si>
    <t xml:space="preserve">Isha Iyer</t>
  </si>
  <si>
    <t xml:space="preserve">C2230</t>
  </si>
  <si>
    <t xml:space="preserve">Rashmi Mehta</t>
  </si>
  <si>
    <t xml:space="preserve">C2231</t>
  </si>
  <si>
    <t xml:space="preserve">Amit Ahmed</t>
  </si>
  <si>
    <t xml:space="preserve">C2232</t>
  </si>
  <si>
    <t xml:space="preserve">Ritu Singh</t>
  </si>
  <si>
    <t xml:space="preserve">C2233</t>
  </si>
  <si>
    <t xml:space="preserve">Ankit Mukherjee</t>
  </si>
  <si>
    <t xml:space="preserve">C2234</t>
  </si>
  <si>
    <t xml:space="preserve">Aditi Banerjee</t>
  </si>
  <si>
    <t xml:space="preserve">C2235</t>
  </si>
  <si>
    <t xml:space="preserve">Sunita Chopra</t>
  </si>
  <si>
    <t xml:space="preserve">C2236</t>
  </si>
  <si>
    <t xml:space="preserve">Yash Mishra</t>
  </si>
  <si>
    <t xml:space="preserve">C2237</t>
  </si>
  <si>
    <t xml:space="preserve">Kunal Mishra</t>
  </si>
  <si>
    <t xml:space="preserve">C2238</t>
  </si>
  <si>
    <t xml:space="preserve">Amit Patel</t>
  </si>
  <si>
    <t xml:space="preserve">C2239</t>
  </si>
  <si>
    <t xml:space="preserve">Deepak Sharma</t>
  </si>
  <si>
    <t xml:space="preserve">C2240</t>
  </si>
  <si>
    <t xml:space="preserve">Anil Menon</t>
  </si>
  <si>
    <t xml:space="preserve">C2241</t>
  </si>
  <si>
    <t xml:space="preserve">Rashmi Khan</t>
  </si>
  <si>
    <t xml:space="preserve">C2242</t>
  </si>
  <si>
    <t xml:space="preserve">Akash Kapoor</t>
  </si>
  <si>
    <t xml:space="preserve">C2243</t>
  </si>
  <si>
    <t xml:space="preserve">Meera Chatterjee</t>
  </si>
  <si>
    <t xml:space="preserve">C2244</t>
  </si>
  <si>
    <t xml:space="preserve">Vivaan Verma</t>
  </si>
  <si>
    <t xml:space="preserve">C2245</t>
  </si>
  <si>
    <t xml:space="preserve">Pallavi Agarwal</t>
  </si>
  <si>
    <t xml:space="preserve">C2246</t>
  </si>
  <si>
    <t xml:space="preserve">Priya Ahmed</t>
  </si>
  <si>
    <t xml:space="preserve">C2247</t>
  </si>
  <si>
    <t xml:space="preserve">Ishaan Rao</t>
  </si>
  <si>
    <t xml:space="preserve">C2248</t>
  </si>
  <si>
    <t xml:space="preserve">Dev Ahmed</t>
  </si>
  <si>
    <t xml:space="preserve">C2249</t>
  </si>
  <si>
    <t xml:space="preserve">Garima Kapoor</t>
  </si>
  <si>
    <t xml:space="preserve">C2250</t>
  </si>
  <si>
    <t xml:space="preserve">Rohan Ghosh</t>
  </si>
  <si>
    <t xml:space="preserve">C2251</t>
  </si>
  <si>
    <t xml:space="preserve">Sneha Shekhawat</t>
  </si>
  <si>
    <t xml:space="preserve">C2252</t>
  </si>
  <si>
    <t xml:space="preserve">Ekta Chopra</t>
  </si>
  <si>
    <t xml:space="preserve">C2253</t>
  </si>
  <si>
    <t xml:space="preserve">Hema Naidu</t>
  </si>
  <si>
    <t xml:space="preserve">C2254</t>
  </si>
  <si>
    <t xml:space="preserve">Gaurav Rao</t>
  </si>
  <si>
    <t xml:space="preserve">C2255</t>
  </si>
  <si>
    <t xml:space="preserve">Pooja Bhatt</t>
  </si>
  <si>
    <t xml:space="preserve">C2256</t>
  </si>
  <si>
    <t xml:space="preserve">Sunita Rathore</t>
  </si>
  <si>
    <t xml:space="preserve">C2257</t>
  </si>
  <si>
    <t xml:space="preserve">Yash Sharma</t>
  </si>
  <si>
    <t xml:space="preserve">C2258</t>
  </si>
  <si>
    <t xml:space="preserve">Simran Rao</t>
  </si>
  <si>
    <t xml:space="preserve">C2259</t>
  </si>
  <si>
    <t xml:space="preserve">Divya Mishra</t>
  </si>
  <si>
    <t xml:space="preserve">C2260</t>
  </si>
  <si>
    <t xml:space="preserve">Siddharth Rao</t>
  </si>
  <si>
    <t xml:space="preserve">C2261</t>
  </si>
  <si>
    <t xml:space="preserve">Deepak Shekhawat</t>
  </si>
  <si>
    <t xml:space="preserve">C2262</t>
  </si>
  <si>
    <t xml:space="preserve">Anjali Fernandes</t>
  </si>
  <si>
    <t xml:space="preserve">C2263</t>
  </si>
  <si>
    <t xml:space="preserve">Tarun Shekhawat</t>
  </si>
  <si>
    <t xml:space="preserve">C2264</t>
  </si>
  <si>
    <t xml:space="preserve">Pranav Naidu</t>
  </si>
  <si>
    <t xml:space="preserve">C2265</t>
  </si>
  <si>
    <t xml:space="preserve">Nisha Kaur</t>
  </si>
  <si>
    <t xml:space="preserve">C2266</t>
  </si>
  <si>
    <t xml:space="preserve">Ishaan Singh</t>
  </si>
  <si>
    <t xml:space="preserve">C2267</t>
  </si>
  <si>
    <t xml:space="preserve">Ekta Sharma</t>
  </si>
  <si>
    <t xml:space="preserve">C2268</t>
  </si>
  <si>
    <t xml:space="preserve">Nikhil Pandey</t>
  </si>
  <si>
    <t xml:space="preserve">C2269</t>
  </si>
  <si>
    <t xml:space="preserve">Kavya Patil</t>
  </si>
  <si>
    <t xml:space="preserve">C2270</t>
  </si>
  <si>
    <t xml:space="preserve">Divya Banerjee</t>
  </si>
  <si>
    <t xml:space="preserve">C2271</t>
  </si>
  <si>
    <t xml:space="preserve">Ekta Yadav</t>
  </si>
  <si>
    <t xml:space="preserve">C2272</t>
  </si>
  <si>
    <t xml:space="preserve">Aditi Yadav</t>
  </si>
  <si>
    <t xml:space="preserve">C2273</t>
  </si>
  <si>
    <t xml:space="preserve">Varun Joshi</t>
  </si>
  <si>
    <t xml:space="preserve">C2274</t>
  </si>
  <si>
    <t xml:space="preserve">Kritika Naidu</t>
  </si>
  <si>
    <t xml:space="preserve">C2275</t>
  </si>
  <si>
    <t xml:space="preserve">Rajesh Rao</t>
  </si>
  <si>
    <t xml:space="preserve">C2276</t>
  </si>
  <si>
    <t xml:space="preserve">Naman Tiwari</t>
  </si>
  <si>
    <t xml:space="preserve">C2277</t>
  </si>
  <si>
    <t xml:space="preserve">Amit Bhatt</t>
  </si>
  <si>
    <t xml:space="preserve">C2278</t>
  </si>
  <si>
    <t xml:space="preserve">Rajesh Kulkarni</t>
  </si>
  <si>
    <t xml:space="preserve">C2279</t>
  </si>
  <si>
    <t xml:space="preserve">Tara Menon</t>
  </si>
  <si>
    <t xml:space="preserve">C2280</t>
  </si>
  <si>
    <t xml:space="preserve">Ananya Bose</t>
  </si>
  <si>
    <t xml:space="preserve">C2281</t>
  </si>
  <si>
    <t xml:space="preserve">Mayank Mishra</t>
  </si>
  <si>
    <t xml:space="preserve">C2282</t>
  </si>
  <si>
    <t xml:space="preserve">Manish Joshi</t>
  </si>
  <si>
    <t xml:space="preserve">C2283</t>
  </si>
  <si>
    <t xml:space="preserve">Vivaan Naidu</t>
  </si>
  <si>
    <t xml:space="preserve">C2284</t>
  </si>
  <si>
    <t xml:space="preserve">Ekta Desai</t>
  </si>
  <si>
    <t xml:space="preserve">C2285</t>
  </si>
  <si>
    <t xml:space="preserve">Akash Shetty</t>
  </si>
  <si>
    <t xml:space="preserve">C2286</t>
  </si>
  <si>
    <t xml:space="preserve">Akash Gupta</t>
  </si>
  <si>
    <t xml:space="preserve">C2287</t>
  </si>
  <si>
    <t xml:space="preserve">Ashish Kulkarni</t>
  </si>
  <si>
    <t xml:space="preserve">C2288</t>
  </si>
  <si>
    <t xml:space="preserve">Aarav Menon</t>
  </si>
  <si>
    <t xml:space="preserve">C2289</t>
  </si>
  <si>
    <t xml:space="preserve">Aditi Singh</t>
  </si>
  <si>
    <t xml:space="preserve">C2290</t>
  </si>
  <si>
    <t xml:space="preserve">Priya Sharma</t>
  </si>
  <si>
    <t xml:space="preserve">C2291</t>
  </si>
  <si>
    <t xml:space="preserve">Kritika Nair</t>
  </si>
  <si>
    <t xml:space="preserve">C2292</t>
  </si>
  <si>
    <t xml:space="preserve">Vikram Gupta</t>
  </si>
  <si>
    <t xml:space="preserve">C2293</t>
  </si>
  <si>
    <t xml:space="preserve">Mayank Naidu</t>
  </si>
  <si>
    <t xml:space="preserve">C2294</t>
  </si>
  <si>
    <t xml:space="preserve">Naman Ahmed</t>
  </si>
  <si>
    <t xml:space="preserve">C2295</t>
  </si>
  <si>
    <t xml:space="preserve">Diya Roy</t>
  </si>
  <si>
    <t xml:space="preserve">C2296</t>
  </si>
  <si>
    <t xml:space="preserve">Sanjay Mukherjee</t>
  </si>
  <si>
    <t xml:space="preserve">C2297</t>
  </si>
  <si>
    <t xml:space="preserve">Divya Chopra</t>
  </si>
  <si>
    <t xml:space="preserve">C2298</t>
  </si>
  <si>
    <t xml:space="preserve">Swati Joshi</t>
  </si>
  <si>
    <t xml:space="preserve">C2299</t>
  </si>
  <si>
    <t xml:space="preserve">Vishal Bose</t>
  </si>
  <si>
    <t xml:space="preserve">C2300</t>
  </si>
  <si>
    <t xml:space="preserve">Sunita Sharma</t>
  </si>
  <si>
    <t xml:space="preserve">C2301</t>
  </si>
  <si>
    <t xml:space="preserve">Meera Bhatt</t>
  </si>
  <si>
    <t xml:space="preserve">C2302</t>
  </si>
  <si>
    <t xml:space="preserve">Sneha Mishra</t>
  </si>
  <si>
    <t xml:space="preserve">C2303</t>
  </si>
  <si>
    <t xml:space="preserve">Rohan Bose</t>
  </si>
  <si>
    <t xml:space="preserve">C2304</t>
  </si>
  <si>
    <t xml:space="preserve">Sunita Pillai</t>
  </si>
  <si>
    <t xml:space="preserve">C2305</t>
  </si>
  <si>
    <t xml:space="preserve">Jyoti Chatterjee</t>
  </si>
  <si>
    <t xml:space="preserve">C2306</t>
  </si>
  <si>
    <t xml:space="preserve">Tara Fernandes</t>
  </si>
  <si>
    <t xml:space="preserve">C2307</t>
  </si>
  <si>
    <t xml:space="preserve">Rajesh Ahmed</t>
  </si>
  <si>
    <t xml:space="preserve">C2308</t>
  </si>
  <si>
    <t xml:space="preserve">Pranav Joshi</t>
  </si>
  <si>
    <t xml:space="preserve">C2309</t>
  </si>
  <si>
    <t xml:space="preserve">Nandini Bose</t>
  </si>
  <si>
    <t xml:space="preserve">C2310</t>
  </si>
  <si>
    <t xml:space="preserve">Pallavi Shekhawat</t>
  </si>
  <si>
    <t xml:space="preserve">C2311</t>
  </si>
  <si>
    <t xml:space="preserve">Kunal Kulkarni</t>
  </si>
  <si>
    <t xml:space="preserve">C2312</t>
  </si>
  <si>
    <t xml:space="preserve">Ritu Yadav</t>
  </si>
  <si>
    <t xml:space="preserve">C2313</t>
  </si>
  <si>
    <t xml:space="preserve">Aarav Das</t>
  </si>
  <si>
    <t xml:space="preserve">C2314</t>
  </si>
  <si>
    <t xml:space="preserve">Tanvi Ghosh</t>
  </si>
  <si>
    <t xml:space="preserve">C2315</t>
  </si>
  <si>
    <t xml:space="preserve">Priya Kaur</t>
  </si>
  <si>
    <t xml:space="preserve">C2316</t>
  </si>
  <si>
    <t xml:space="preserve">Chitra Chopra</t>
  </si>
  <si>
    <t xml:space="preserve">C2317</t>
  </si>
  <si>
    <t xml:space="preserve">Rohan Bhatt</t>
  </si>
  <si>
    <t xml:space="preserve">C2318</t>
  </si>
  <si>
    <t xml:space="preserve">Pallavi Menon</t>
  </si>
  <si>
    <t xml:space="preserve">C2319</t>
  </si>
  <si>
    <t xml:space="preserve">Gaurav Das</t>
  </si>
  <si>
    <t xml:space="preserve">C2320</t>
  </si>
  <si>
    <t xml:space="preserve">Ishaan Mehta</t>
  </si>
  <si>
    <t xml:space="preserve">C2321</t>
  </si>
  <si>
    <t xml:space="preserve">Lokesh Agarwal</t>
  </si>
  <si>
    <t xml:space="preserve">C2322</t>
  </si>
  <si>
    <t xml:space="preserve">Vivaan Shekhawat</t>
  </si>
  <si>
    <t xml:space="preserve">C2323</t>
  </si>
  <si>
    <t xml:space="preserve">Ankit Roy</t>
  </si>
  <si>
    <t xml:space="preserve">C2324</t>
  </si>
  <si>
    <t xml:space="preserve">Siddharth Sinha</t>
  </si>
  <si>
    <t xml:space="preserve">C2325</t>
  </si>
  <si>
    <t xml:space="preserve">Shreya Jain</t>
  </si>
  <si>
    <t xml:space="preserve">C2326</t>
  </si>
  <si>
    <t xml:space="preserve">Madhavi Chatterjee</t>
  </si>
  <si>
    <t xml:space="preserve">C2327</t>
  </si>
  <si>
    <t xml:space="preserve">Isha Malhotra</t>
  </si>
  <si>
    <t xml:space="preserve">C2328</t>
  </si>
  <si>
    <t xml:space="preserve">Vikram Yadav</t>
  </si>
  <si>
    <t xml:space="preserve">C2329</t>
  </si>
  <si>
    <t xml:space="preserve">Arjun Agarwal</t>
  </si>
  <si>
    <t xml:space="preserve">C2330</t>
  </si>
  <si>
    <t xml:space="preserve">Komal Nair</t>
  </si>
  <si>
    <t xml:space="preserve">C2331</t>
  </si>
  <si>
    <t xml:space="preserve">Sakshi Kapoor</t>
  </si>
  <si>
    <t xml:space="preserve">C2332</t>
  </si>
  <si>
    <t xml:space="preserve">Divya Saxena</t>
  </si>
  <si>
    <t xml:space="preserve">C2333</t>
  </si>
  <si>
    <t xml:space="preserve">Ananya Singh</t>
  </si>
  <si>
    <t xml:space="preserve">C2334</t>
  </si>
  <si>
    <t xml:space="preserve">Ritu Patel</t>
  </si>
  <si>
    <t xml:space="preserve">C2335</t>
  </si>
  <si>
    <t xml:space="preserve">Simran Desai</t>
  </si>
  <si>
    <t xml:space="preserve">C2336</t>
  </si>
  <si>
    <t xml:space="preserve">Dev Rao</t>
  </si>
  <si>
    <t xml:space="preserve">C2337</t>
  </si>
  <si>
    <t xml:space="preserve">Ishaan Bhatt</t>
  </si>
  <si>
    <t xml:space="preserve">C2338</t>
  </si>
  <si>
    <t xml:space="preserve">Garima Bhatt</t>
  </si>
  <si>
    <t xml:space="preserve">C2339</t>
  </si>
  <si>
    <t xml:space="preserve">Pankaj Chauhan</t>
  </si>
  <si>
    <t xml:space="preserve">C2340</t>
  </si>
  <si>
    <t xml:space="preserve">Amit Malhotra</t>
  </si>
  <si>
    <t xml:space="preserve">C2341</t>
  </si>
  <si>
    <t xml:space="preserve">Madhavi Patel</t>
  </si>
  <si>
    <t xml:space="preserve">C2342</t>
  </si>
  <si>
    <t xml:space="preserve">Pooja Sharma</t>
  </si>
  <si>
    <t xml:space="preserve">C2343</t>
  </si>
  <si>
    <t xml:space="preserve">Pallavi Rathore</t>
  </si>
  <si>
    <t xml:space="preserve">C2344</t>
  </si>
  <si>
    <t xml:space="preserve">Tara Kaur</t>
  </si>
  <si>
    <t xml:space="preserve">C2345</t>
  </si>
  <si>
    <t xml:space="preserve">Harsh Khan</t>
  </si>
  <si>
    <t xml:space="preserve">C2346</t>
  </si>
  <si>
    <t xml:space="preserve">Yash Agarwal</t>
  </si>
  <si>
    <t xml:space="preserve">C2347</t>
  </si>
  <si>
    <t xml:space="preserve">Riya Naidu</t>
  </si>
  <si>
    <t xml:space="preserve">C2348</t>
  </si>
  <si>
    <t xml:space="preserve">Nandini Mishra</t>
  </si>
  <si>
    <t xml:space="preserve">C2349</t>
  </si>
  <si>
    <t xml:space="preserve">Sunita Desai</t>
  </si>
  <si>
    <t xml:space="preserve">C2350</t>
  </si>
  <si>
    <t xml:space="preserve">Harsh Ahmed</t>
  </si>
  <si>
    <t xml:space="preserve">C2351</t>
  </si>
  <si>
    <t xml:space="preserve">Ananya Rathore</t>
  </si>
  <si>
    <t xml:space="preserve">C2352</t>
  </si>
  <si>
    <t xml:space="preserve">Komal Iyer</t>
  </si>
  <si>
    <t xml:space="preserve">C2353</t>
  </si>
  <si>
    <t xml:space="preserve">Sunita Verma</t>
  </si>
  <si>
    <t xml:space="preserve">C2354</t>
  </si>
  <si>
    <t xml:space="preserve">Meera Shekhawat</t>
  </si>
  <si>
    <t xml:space="preserve">C2355</t>
  </si>
  <si>
    <t xml:space="preserve">Ashish Bansal</t>
  </si>
  <si>
    <t xml:space="preserve">C2356</t>
  </si>
  <si>
    <t xml:space="preserve">Vishal Rao</t>
  </si>
  <si>
    <t xml:space="preserve">C2357</t>
  </si>
  <si>
    <t xml:space="preserve">Ankit Malhotra</t>
  </si>
  <si>
    <t xml:space="preserve">C2358</t>
  </si>
  <si>
    <t xml:space="preserve">Gaurav Mehta</t>
  </si>
  <si>
    <t xml:space="preserve">C2359</t>
  </si>
  <si>
    <t xml:space="preserve">Ashish Naidu</t>
  </si>
  <si>
    <t xml:space="preserve">C2360</t>
  </si>
  <si>
    <t xml:space="preserve">Ishaan Mishra</t>
  </si>
  <si>
    <t xml:space="preserve">C2361</t>
  </si>
  <si>
    <t xml:space="preserve">Jatin Bhatt</t>
  </si>
  <si>
    <t xml:space="preserve">C2362</t>
  </si>
  <si>
    <t xml:space="preserve">Uma Kaur</t>
  </si>
  <si>
    <t xml:space="preserve">C2363</t>
  </si>
  <si>
    <t xml:space="preserve">Kritika Yadav</t>
  </si>
  <si>
    <t xml:space="preserve">C2364</t>
  </si>
  <si>
    <t xml:space="preserve">Kunal Agarwal</t>
  </si>
  <si>
    <t xml:space="preserve">C2365</t>
  </si>
  <si>
    <t xml:space="preserve">Ashish Saxena</t>
  </si>
  <si>
    <t xml:space="preserve">C2366</t>
  </si>
  <si>
    <t xml:space="preserve">Suresh Desai</t>
  </si>
  <si>
    <t xml:space="preserve">C2367</t>
  </si>
  <si>
    <t xml:space="preserve">Pallavi Ghosh</t>
  </si>
  <si>
    <t xml:space="preserve">C2368</t>
  </si>
  <si>
    <t xml:space="preserve">Swati Kapoor</t>
  </si>
  <si>
    <t xml:space="preserve">C2369</t>
  </si>
  <si>
    <t xml:space="preserve">Meera Sharma</t>
  </si>
  <si>
    <t xml:space="preserve">C2370</t>
  </si>
  <si>
    <t xml:space="preserve">Swati Verma</t>
  </si>
  <si>
    <t xml:space="preserve">C2371</t>
  </si>
  <si>
    <t xml:space="preserve">Aditi Mishra</t>
  </si>
  <si>
    <t xml:space="preserve">C2372</t>
  </si>
  <si>
    <t xml:space="preserve">Pranav Ahmed</t>
  </si>
  <si>
    <t xml:space="preserve">C2373</t>
  </si>
  <si>
    <t xml:space="preserve">Sunita Patel</t>
  </si>
  <si>
    <t xml:space="preserve">C2374</t>
  </si>
  <si>
    <t xml:space="preserve">Siddharth Verma</t>
  </si>
  <si>
    <t xml:space="preserve">C2375</t>
  </si>
  <si>
    <t xml:space="preserve">Ashish Agarwal</t>
  </si>
  <si>
    <t xml:space="preserve">C2376</t>
  </si>
  <si>
    <t xml:space="preserve">Rahul Naidu</t>
  </si>
  <si>
    <t xml:space="preserve">C2377</t>
  </si>
  <si>
    <t xml:space="preserve">Deepika Pillai</t>
  </si>
  <si>
    <t xml:space="preserve">C2378</t>
  </si>
  <si>
    <t xml:space="preserve">Nikhil Chopra</t>
  </si>
  <si>
    <t xml:space="preserve">C2379</t>
  </si>
  <si>
    <t xml:space="preserve">Sneha Ahmed</t>
  </si>
  <si>
    <t xml:space="preserve">C2380</t>
  </si>
  <si>
    <t xml:space="preserve">Arjun Kapoor</t>
  </si>
  <si>
    <t xml:space="preserve">C2381</t>
  </si>
  <si>
    <t xml:space="preserve">Nandini Malhotra</t>
  </si>
  <si>
    <t xml:space="preserve">C2382</t>
  </si>
  <si>
    <t xml:space="preserve">Lokesh Gupta</t>
  </si>
  <si>
    <t xml:space="preserve">C2383</t>
  </si>
  <si>
    <t xml:space="preserve">Radhika Joshi</t>
  </si>
  <si>
    <t xml:space="preserve">C2384</t>
  </si>
  <si>
    <t xml:space="preserve">Ekta Tiwari</t>
  </si>
  <si>
    <t xml:space="preserve">C2385</t>
  </si>
  <si>
    <t xml:space="preserve">Pooja Sinha</t>
  </si>
  <si>
    <t xml:space="preserve">C2386</t>
  </si>
  <si>
    <t xml:space="preserve">Rohan Yadav</t>
  </si>
  <si>
    <t xml:space="preserve">C2387</t>
  </si>
  <si>
    <t xml:space="preserve">Suresh Mehta</t>
  </si>
  <si>
    <t xml:space="preserve">C2388</t>
  </si>
  <si>
    <t xml:space="preserve">Aarav Roy</t>
  </si>
  <si>
    <t xml:space="preserve">C2389</t>
  </si>
  <si>
    <t xml:space="preserve">Anil Kapoor</t>
  </si>
  <si>
    <t xml:space="preserve">C2390</t>
  </si>
  <si>
    <t xml:space="preserve">Kritika Kaur</t>
  </si>
  <si>
    <t xml:space="preserve">C2391</t>
  </si>
  <si>
    <t xml:space="preserve">Bhavna Desai</t>
  </si>
  <si>
    <t xml:space="preserve">C2392</t>
  </si>
  <si>
    <t xml:space="preserve">Akash Kulkarni</t>
  </si>
  <si>
    <t xml:space="preserve">C2393</t>
  </si>
  <si>
    <t xml:space="preserve">Manish Bhatt</t>
  </si>
  <si>
    <t xml:space="preserve">C2394</t>
  </si>
  <si>
    <t xml:space="preserve">Rohan Saxena</t>
  </si>
  <si>
    <t xml:space="preserve">C2395</t>
  </si>
  <si>
    <t xml:space="preserve">Swati Shekhawat</t>
  </si>
  <si>
    <t xml:space="preserve">C2396</t>
  </si>
  <si>
    <t xml:space="preserve">Swati Rao</t>
  </si>
  <si>
    <t xml:space="preserve">C2397</t>
  </si>
  <si>
    <t xml:space="preserve">Ritu Sinha</t>
  </si>
  <si>
    <t xml:space="preserve">C2398</t>
  </si>
  <si>
    <t xml:space="preserve">Suresh Patel</t>
  </si>
  <si>
    <t xml:space="preserve">C2399</t>
  </si>
  <si>
    <t xml:space="preserve">Ishaan Das</t>
  </si>
  <si>
    <t xml:space="preserve">C2400</t>
  </si>
  <si>
    <t xml:space="preserve">Simran Nair</t>
  </si>
  <si>
    <t xml:space="preserve">C2401</t>
  </si>
  <si>
    <t xml:space="preserve">Naman Ghosh</t>
  </si>
  <si>
    <t xml:space="preserve">C2402</t>
  </si>
  <si>
    <t xml:space="preserve">Gaurav Chauhan</t>
  </si>
  <si>
    <t xml:space="preserve">C2403</t>
  </si>
  <si>
    <t xml:space="preserve">Sanjay Saxena</t>
  </si>
  <si>
    <t xml:space="preserve">C2404</t>
  </si>
  <si>
    <t xml:space="preserve">Mohit Kaur</t>
  </si>
  <si>
    <t xml:space="preserve">C2405</t>
  </si>
  <si>
    <t xml:space="preserve">Anil Banerjee</t>
  </si>
  <si>
    <t xml:space="preserve">C2406</t>
  </si>
  <si>
    <t xml:space="preserve">Harsh Patil</t>
  </si>
  <si>
    <t xml:space="preserve">C2407</t>
  </si>
  <si>
    <t xml:space="preserve">Kunal Khan</t>
  </si>
  <si>
    <t xml:space="preserve">C2408</t>
  </si>
  <si>
    <t xml:space="preserve">Deepak Kaur</t>
  </si>
  <si>
    <t xml:space="preserve">C2409</t>
  </si>
  <si>
    <t xml:space="preserve">Harsh Tiwari</t>
  </si>
  <si>
    <t xml:space="preserve">C2410</t>
  </si>
  <si>
    <t xml:space="preserve">Lavanya Bansal</t>
  </si>
  <si>
    <t xml:space="preserve">C2411</t>
  </si>
  <si>
    <t xml:space="preserve">Ishaan Patel</t>
  </si>
  <si>
    <t xml:space="preserve">C2412</t>
  </si>
  <si>
    <t xml:space="preserve">Shreya Gupta</t>
  </si>
  <si>
    <t xml:space="preserve">C2413</t>
  </si>
  <si>
    <t xml:space="preserve">Isha Das</t>
  </si>
  <si>
    <t xml:space="preserve">C2414</t>
  </si>
  <si>
    <t xml:space="preserve">Kunal Nair</t>
  </si>
  <si>
    <t xml:space="preserve">C2415</t>
  </si>
  <si>
    <t xml:space="preserve">Shreya Kulkarni</t>
  </si>
  <si>
    <t xml:space="preserve">C2416</t>
  </si>
  <si>
    <t xml:space="preserve">Aarav Pillai</t>
  </si>
  <si>
    <t xml:space="preserve">C2417</t>
  </si>
  <si>
    <t xml:space="preserve">Arjun Joshi</t>
  </si>
  <si>
    <t xml:space="preserve">C2418</t>
  </si>
  <si>
    <t xml:space="preserve">Varun Agarwal</t>
  </si>
  <si>
    <t xml:space="preserve">C2419</t>
  </si>
  <si>
    <t xml:space="preserve">Karan Ghosh</t>
  </si>
  <si>
    <t xml:space="preserve">C2420</t>
  </si>
  <si>
    <t xml:space="preserve">Aarav Kaur</t>
  </si>
  <si>
    <t xml:space="preserve">C2421</t>
  </si>
  <si>
    <t xml:space="preserve">Priya Bansal</t>
  </si>
  <si>
    <t xml:space="preserve">C2422</t>
  </si>
  <si>
    <t xml:space="preserve">Anil Yadav</t>
  </si>
  <si>
    <t xml:space="preserve">C2423</t>
  </si>
  <si>
    <t xml:space="preserve">Naman Patil</t>
  </si>
  <si>
    <t xml:space="preserve">C2424</t>
  </si>
  <si>
    <t xml:space="preserve">Madhavi Sinha</t>
  </si>
  <si>
    <t xml:space="preserve">C2425</t>
  </si>
  <si>
    <t xml:space="preserve">Kavya Mishra</t>
  </si>
  <si>
    <t xml:space="preserve">C2426</t>
  </si>
  <si>
    <t xml:space="preserve">Chitra Chauhan</t>
  </si>
  <si>
    <t xml:space="preserve">C2427</t>
  </si>
  <si>
    <t xml:space="preserve">Ritu Menon</t>
  </si>
  <si>
    <t xml:space="preserve">C2428</t>
  </si>
  <si>
    <t xml:space="preserve">Lavanya Sinha</t>
  </si>
  <si>
    <t xml:space="preserve">C2429</t>
  </si>
  <si>
    <t xml:space="preserve">Jatin Kapoor</t>
  </si>
  <si>
    <t xml:space="preserve">C2430</t>
  </si>
  <si>
    <t xml:space="preserve">Vikram Chopra</t>
  </si>
  <si>
    <t xml:space="preserve">C2431</t>
  </si>
  <si>
    <t xml:space="preserve">Vivaan Bhatt</t>
  </si>
  <si>
    <t xml:space="preserve">C2432</t>
  </si>
  <si>
    <t xml:space="preserve">Sneha Bansal</t>
  </si>
  <si>
    <t xml:space="preserve">C2433</t>
  </si>
  <si>
    <t xml:space="preserve">Anil Fernandes</t>
  </si>
  <si>
    <t xml:space="preserve">C2434</t>
  </si>
  <si>
    <t xml:space="preserve">Pooja Kaur</t>
  </si>
  <si>
    <t xml:space="preserve">C2435</t>
  </si>
  <si>
    <t xml:space="preserve">Dev Sharma</t>
  </si>
  <si>
    <t xml:space="preserve">C2436</t>
  </si>
  <si>
    <t xml:space="preserve">Harsh Malhotra</t>
  </si>
  <si>
    <t xml:space="preserve">C2437</t>
  </si>
  <si>
    <t xml:space="preserve">Gaurav Pillai</t>
  </si>
  <si>
    <t xml:space="preserve">C2438</t>
  </si>
  <si>
    <t xml:space="preserve">Sneha Pandey</t>
  </si>
  <si>
    <t xml:space="preserve">C2439</t>
  </si>
  <si>
    <t xml:space="preserve">Lokesh Jain</t>
  </si>
  <si>
    <t xml:space="preserve">C2440</t>
  </si>
  <si>
    <t xml:space="preserve">Prakash Ahmed</t>
  </si>
  <si>
    <t xml:space="preserve">C2441</t>
  </si>
  <si>
    <t xml:space="preserve">Garima Gupta</t>
  </si>
  <si>
    <t xml:space="preserve">C2442</t>
  </si>
  <si>
    <t xml:space="preserve">Mohit Banerjee</t>
  </si>
  <si>
    <t xml:space="preserve">C2443</t>
  </si>
  <si>
    <t xml:space="preserve">Kritika Ghosh</t>
  </si>
  <si>
    <t xml:space="preserve">C2444</t>
  </si>
  <si>
    <t xml:space="preserve">Simran Roy</t>
  </si>
  <si>
    <t xml:space="preserve">C2445</t>
  </si>
  <si>
    <t xml:space="preserve">Amit Banerjee</t>
  </si>
  <si>
    <t xml:space="preserve">C2446</t>
  </si>
  <si>
    <t xml:space="preserve">Pallavi Saxena</t>
  </si>
  <si>
    <t xml:space="preserve">C2447</t>
  </si>
  <si>
    <t xml:space="preserve">Kavya Reddy</t>
  </si>
  <si>
    <t xml:space="preserve">C2448</t>
  </si>
  <si>
    <t xml:space="preserve">Varun Mehta</t>
  </si>
  <si>
    <t xml:space="preserve">C2449</t>
  </si>
  <si>
    <t xml:space="preserve">Amit Mukherjee</t>
  </si>
  <si>
    <t xml:space="preserve">C2450</t>
  </si>
  <si>
    <t xml:space="preserve">Uma Das</t>
  </si>
  <si>
    <t xml:space="preserve">C2451</t>
  </si>
  <si>
    <t xml:space="preserve">Kunal Shetty</t>
  </si>
  <si>
    <t xml:space="preserve">C2452</t>
  </si>
  <si>
    <t xml:space="preserve">Vidya Shetty</t>
  </si>
  <si>
    <t xml:space="preserve">C2453</t>
  </si>
  <si>
    <t xml:space="preserve">Divya Yadav</t>
  </si>
  <si>
    <t xml:space="preserve">C2454</t>
  </si>
  <si>
    <t xml:space="preserve">Vikram Singh</t>
  </si>
  <si>
    <t xml:space="preserve">C2455</t>
  </si>
  <si>
    <t xml:space="preserve">Karan Roy</t>
  </si>
  <si>
    <t xml:space="preserve">C2456</t>
  </si>
  <si>
    <t xml:space="preserve">Siddharth Das</t>
  </si>
  <si>
    <t xml:space="preserve">C2457</t>
  </si>
  <si>
    <t xml:space="preserve">Manish Pandey</t>
  </si>
  <si>
    <t xml:space="preserve">C2458</t>
  </si>
  <si>
    <t xml:space="preserve">Nikhil Mishra</t>
  </si>
  <si>
    <t xml:space="preserve">C2459</t>
  </si>
  <si>
    <t xml:space="preserve">Nandini Reddy</t>
  </si>
  <si>
    <t xml:space="preserve">C2460</t>
  </si>
  <si>
    <t xml:space="preserve">Simran Banerjee</t>
  </si>
  <si>
    <t xml:space="preserve">C2461</t>
  </si>
  <si>
    <t xml:space="preserve">Komal Ahmed</t>
  </si>
  <si>
    <t xml:space="preserve">C2462</t>
  </si>
  <si>
    <t xml:space="preserve">Ashish Joshi</t>
  </si>
  <si>
    <t xml:space="preserve">C2463</t>
  </si>
  <si>
    <t xml:space="preserve">Komal Chatterjee</t>
  </si>
  <si>
    <t xml:space="preserve">C2464</t>
  </si>
  <si>
    <t xml:space="preserve">Vivaan Patel</t>
  </si>
  <si>
    <t xml:space="preserve">C2465</t>
  </si>
  <si>
    <t xml:space="preserve">Aditya Verma</t>
  </si>
  <si>
    <t xml:space="preserve">C2466</t>
  </si>
  <si>
    <t xml:space="preserve">Pooja Agarwal</t>
  </si>
  <si>
    <t xml:space="preserve">C2467</t>
  </si>
  <si>
    <t xml:space="preserve">Gaurav Singh</t>
  </si>
  <si>
    <t xml:space="preserve">C2468</t>
  </si>
  <si>
    <t xml:space="preserve">Anjali Ahmed</t>
  </si>
  <si>
    <t xml:space="preserve">C2469</t>
  </si>
  <si>
    <t xml:space="preserve">Pranav Mukherjee</t>
  </si>
  <si>
    <t xml:space="preserve">C2470</t>
  </si>
  <si>
    <t xml:space="preserve">Ankit Shetty</t>
  </si>
  <si>
    <t xml:space="preserve">C2471</t>
  </si>
  <si>
    <t xml:space="preserve">Karan Reddy</t>
  </si>
  <si>
    <t xml:space="preserve">C2472</t>
  </si>
  <si>
    <t xml:space="preserve">Prakash Shekhawat</t>
  </si>
  <si>
    <t xml:space="preserve">C2473</t>
  </si>
  <si>
    <t xml:space="preserve">Tarun Tiwari</t>
  </si>
  <si>
    <t xml:space="preserve">C2474</t>
  </si>
  <si>
    <t xml:space="preserve">Chitra Sinha</t>
  </si>
  <si>
    <t xml:space="preserve">C2475</t>
  </si>
  <si>
    <t xml:space="preserve">Divya Menon</t>
  </si>
  <si>
    <t xml:space="preserve">C2476</t>
  </si>
  <si>
    <t xml:space="preserve">Varun Bose</t>
  </si>
  <si>
    <t xml:space="preserve">C2477</t>
  </si>
  <si>
    <t xml:space="preserve">Radhika Desai</t>
  </si>
  <si>
    <t xml:space="preserve">C2478</t>
  </si>
  <si>
    <t xml:space="preserve">Varun Roy</t>
  </si>
  <si>
    <t xml:space="preserve">C2479</t>
  </si>
  <si>
    <t xml:space="preserve">Deepika Iyer</t>
  </si>
  <si>
    <t xml:space="preserve">C2480</t>
  </si>
  <si>
    <t xml:space="preserve">Naveen Desai</t>
  </si>
  <si>
    <t xml:space="preserve">C2481</t>
  </si>
  <si>
    <t xml:space="preserve">Mohit Rao</t>
  </si>
  <si>
    <t xml:space="preserve">C2482</t>
  </si>
  <si>
    <t xml:space="preserve">Naveen Kaur</t>
  </si>
  <si>
    <t xml:space="preserve">C2483</t>
  </si>
  <si>
    <t xml:space="preserve">Rajesh Saxena</t>
  </si>
  <si>
    <t xml:space="preserve">C2484</t>
  </si>
  <si>
    <t xml:space="preserve">Anjali Joshi</t>
  </si>
  <si>
    <t xml:space="preserve">C2485</t>
  </si>
  <si>
    <t xml:space="preserve">Harsh Rathore</t>
  </si>
  <si>
    <t xml:space="preserve">C2486</t>
  </si>
  <si>
    <t xml:space="preserve">Mayank Reddy</t>
  </si>
  <si>
    <t xml:space="preserve">C2487</t>
  </si>
  <si>
    <t xml:space="preserve">Kavya Desai</t>
  </si>
  <si>
    <t xml:space="preserve">C2488</t>
  </si>
  <si>
    <t xml:space="preserve">Sakshi Mehta</t>
  </si>
  <si>
    <t xml:space="preserve">C2489</t>
  </si>
  <si>
    <t xml:space="preserve">Lavanya Desai</t>
  </si>
  <si>
    <t xml:space="preserve">C2490</t>
  </si>
  <si>
    <t xml:space="preserve">Neha Verma</t>
  </si>
  <si>
    <t xml:space="preserve">C2491</t>
  </si>
  <si>
    <t xml:space="preserve">Radhika Saxena</t>
  </si>
  <si>
    <t xml:space="preserve">C2492</t>
  </si>
  <si>
    <t xml:space="preserve">Rashmi Roy</t>
  </si>
  <si>
    <t xml:space="preserve">C2493</t>
  </si>
  <si>
    <t xml:space="preserve">Mayank Fernandes</t>
  </si>
  <si>
    <t xml:space="preserve">C2494</t>
  </si>
  <si>
    <t xml:space="preserve">Naman Mukherjee</t>
  </si>
  <si>
    <t xml:space="preserve">C2495</t>
  </si>
  <si>
    <t xml:space="preserve">Pranav Roy</t>
  </si>
  <si>
    <t xml:space="preserve">C2496</t>
  </si>
  <si>
    <t xml:space="preserve">Naman Gupta</t>
  </si>
  <si>
    <t xml:space="preserve">C2497</t>
  </si>
  <si>
    <t xml:space="preserve">Chitra Chatterjee</t>
  </si>
  <si>
    <t xml:space="preserve">C2498</t>
  </si>
  <si>
    <t xml:space="preserve">Deepika Rao</t>
  </si>
  <si>
    <t xml:space="preserve">C2499</t>
  </si>
  <si>
    <t xml:space="preserve">Abhishek Saxena</t>
  </si>
  <si>
    <t xml:space="preserve">C2500</t>
  </si>
  <si>
    <t xml:space="preserve">Rajesh Bansal</t>
  </si>
  <si>
    <t xml:space="preserve">Order ID</t>
  </si>
  <si>
    <t xml:space="preserve">Order Date</t>
  </si>
  <si>
    <t xml:space="preserve">Product ID</t>
  </si>
  <si>
    <t xml:space="preserve">Quantity</t>
  </si>
  <si>
    <t xml:space="preserve">Unit Price (₹)</t>
  </si>
  <si>
    <t xml:space="preserve">Order Value (₹)</t>
  </si>
  <si>
    <t xml:space="preserve">Payment Method</t>
  </si>
  <si>
    <t xml:space="preserve">ORD-100001</t>
  </si>
  <si>
    <t xml:space="preserve">P051</t>
  </si>
  <si>
    <t xml:space="preserve">UPI</t>
  </si>
  <si>
    <t xml:space="preserve">ORD-100002</t>
  </si>
  <si>
    <t xml:space="preserve">P039</t>
  </si>
  <si>
    <t xml:space="preserve">Cash on Delivery</t>
  </si>
  <si>
    <t xml:space="preserve">ORD-100003</t>
  </si>
  <si>
    <t xml:space="preserve">P023</t>
  </si>
  <si>
    <t xml:space="preserve">ORD-100004</t>
  </si>
  <si>
    <t xml:space="preserve">P027</t>
  </si>
  <si>
    <t xml:space="preserve">Debit Card</t>
  </si>
  <si>
    <t xml:space="preserve">ORD-100005</t>
  </si>
  <si>
    <t xml:space="preserve">P077</t>
  </si>
  <si>
    <t xml:space="preserve">Net Banking</t>
  </si>
  <si>
    <t xml:space="preserve">ORD-100006</t>
  </si>
  <si>
    <t xml:space="preserve">P079</t>
  </si>
  <si>
    <t xml:space="preserve">ORD-100007</t>
  </si>
  <si>
    <t xml:space="preserve">P030</t>
  </si>
  <si>
    <t xml:space="preserve">ORD-100008</t>
  </si>
  <si>
    <t xml:space="preserve">P065</t>
  </si>
  <si>
    <t xml:space="preserve">ORD-100009</t>
  </si>
  <si>
    <t xml:space="preserve">P006</t>
  </si>
  <si>
    <t xml:space="preserve">ORD-100010</t>
  </si>
  <si>
    <t xml:space="preserve">P038</t>
  </si>
  <si>
    <t xml:space="preserve">ORD-100011</t>
  </si>
  <si>
    <t xml:space="preserve">P029</t>
  </si>
  <si>
    <t xml:space="preserve">ORD-100012</t>
  </si>
  <si>
    <t xml:space="preserve">P087</t>
  </si>
  <si>
    <t xml:space="preserve">Credit Card</t>
  </si>
  <si>
    <t xml:space="preserve">ORD-100013</t>
  </si>
  <si>
    <t xml:space="preserve">P082</t>
  </si>
  <si>
    <t xml:space="preserve">ORD-100014</t>
  </si>
  <si>
    <t xml:space="preserve">P055</t>
  </si>
  <si>
    <t xml:space="preserve">ORD-100015</t>
  </si>
  <si>
    <t xml:space="preserve">P036</t>
  </si>
  <si>
    <t xml:space="preserve">ORD-100016</t>
  </si>
  <si>
    <t xml:space="preserve">P025</t>
  </si>
  <si>
    <t xml:space="preserve">ORD-100017</t>
  </si>
  <si>
    <t xml:space="preserve">P100</t>
  </si>
  <si>
    <t xml:space="preserve">ORD-100018</t>
  </si>
  <si>
    <t xml:space="preserve">P021</t>
  </si>
  <si>
    <t xml:space="preserve">ORD-100019</t>
  </si>
  <si>
    <t xml:space="preserve">ORD-100020</t>
  </si>
  <si>
    <t xml:space="preserve">P062</t>
  </si>
  <si>
    <t xml:space="preserve">ORD-100021</t>
  </si>
  <si>
    <t xml:space="preserve">P044</t>
  </si>
  <si>
    <t xml:space="preserve">ORD-100022</t>
  </si>
  <si>
    <t xml:space="preserve">P057</t>
  </si>
  <si>
    <t xml:space="preserve">ORD-100023</t>
  </si>
  <si>
    <t xml:space="preserve">P002</t>
  </si>
  <si>
    <t xml:space="preserve">ORD-100024</t>
  </si>
  <si>
    <t xml:space="preserve">P066</t>
  </si>
  <si>
    <t xml:space="preserve">ORD-100025</t>
  </si>
  <si>
    <t xml:space="preserve">Wallet</t>
  </si>
  <si>
    <t xml:space="preserve">ORD-100026</t>
  </si>
  <si>
    <t xml:space="preserve">P085</t>
  </si>
  <si>
    <t xml:space="preserve">ORD-100027</t>
  </si>
  <si>
    <t xml:space="preserve">ORD-100028</t>
  </si>
  <si>
    <t xml:space="preserve">ORD-100029</t>
  </si>
  <si>
    <t xml:space="preserve">ORD-100030</t>
  </si>
  <si>
    <t xml:space="preserve">P092</t>
  </si>
  <si>
    <t xml:space="preserve">ORD-100031</t>
  </si>
  <si>
    <t xml:space="preserve">P072</t>
  </si>
  <si>
    <t xml:space="preserve">ORD-100032</t>
  </si>
  <si>
    <t xml:space="preserve">ORD-100033</t>
  </si>
  <si>
    <t xml:space="preserve">P099</t>
  </si>
  <si>
    <t xml:space="preserve">ORD-100034</t>
  </si>
  <si>
    <t xml:space="preserve">ORD-100035</t>
  </si>
  <si>
    <t xml:space="preserve">P098</t>
  </si>
  <si>
    <t xml:space="preserve">ORD-100036</t>
  </si>
  <si>
    <t xml:space="preserve">P089</t>
  </si>
  <si>
    <t xml:space="preserve">ORD-100037</t>
  </si>
  <si>
    <t xml:space="preserve">P003</t>
  </si>
  <si>
    <t xml:space="preserve">ORD-100038</t>
  </si>
  <si>
    <t xml:space="preserve">P041</t>
  </si>
  <si>
    <t xml:space="preserve">ORD-100039</t>
  </si>
  <si>
    <t xml:space="preserve">ORD-100040</t>
  </si>
  <si>
    <t xml:space="preserve">P024</t>
  </si>
  <si>
    <t xml:space="preserve">ORD-100041</t>
  </si>
  <si>
    <t xml:space="preserve">ORD-100042</t>
  </si>
  <si>
    <t xml:space="preserve">P096</t>
  </si>
  <si>
    <t xml:space="preserve">ORD-100043</t>
  </si>
  <si>
    <t xml:space="preserve">P071</t>
  </si>
  <si>
    <t xml:space="preserve">ORD-100044</t>
  </si>
  <si>
    <t xml:space="preserve">ORD-100045</t>
  </si>
  <si>
    <t xml:space="preserve">ORD-100046</t>
  </si>
  <si>
    <t xml:space="preserve">ORD-100047</t>
  </si>
  <si>
    <t xml:space="preserve">P009</t>
  </si>
  <si>
    <t xml:space="preserve">ORD-100048</t>
  </si>
  <si>
    <t xml:space="preserve">ORD-100049</t>
  </si>
  <si>
    <t xml:space="preserve">ORD-100050</t>
  </si>
  <si>
    <t xml:space="preserve">ORD-100051</t>
  </si>
  <si>
    <t xml:space="preserve">ORD-100052</t>
  </si>
  <si>
    <t xml:space="preserve">ORD-100053</t>
  </si>
  <si>
    <t xml:space="preserve">P005</t>
  </si>
  <si>
    <t xml:space="preserve">ORD-100054</t>
  </si>
  <si>
    <t xml:space="preserve">P064</t>
  </si>
  <si>
    <t xml:space="preserve">ORD-100055</t>
  </si>
  <si>
    <t xml:space="preserve">P069</t>
  </si>
  <si>
    <t xml:space="preserve">ORD-100056</t>
  </si>
  <si>
    <t xml:space="preserve">P086</t>
  </si>
  <si>
    <t xml:space="preserve">ORD-100057</t>
  </si>
  <si>
    <t xml:space="preserve">ORD-100058</t>
  </si>
  <si>
    <t xml:space="preserve">ORD-100059</t>
  </si>
  <si>
    <t xml:space="preserve">P080</t>
  </si>
  <si>
    <t xml:space="preserve">ORD-100060</t>
  </si>
  <si>
    <t xml:space="preserve">P095</t>
  </si>
  <si>
    <t xml:space="preserve">ORD-100061</t>
  </si>
  <si>
    <t xml:space="preserve">ORD-100062</t>
  </si>
  <si>
    <t xml:space="preserve">ORD-100063</t>
  </si>
  <si>
    <t xml:space="preserve">ORD-100064</t>
  </si>
  <si>
    <t xml:space="preserve">ORD-100065</t>
  </si>
  <si>
    <t xml:space="preserve">P068</t>
  </si>
  <si>
    <t xml:space="preserve">ORD-100066</t>
  </si>
  <si>
    <t xml:space="preserve">ORD-100067</t>
  </si>
  <si>
    <t xml:space="preserve">P031</t>
  </si>
  <si>
    <t xml:space="preserve">ORD-100068</t>
  </si>
  <si>
    <t xml:space="preserve">P093</t>
  </si>
  <si>
    <t xml:space="preserve">ORD-100069</t>
  </si>
  <si>
    <t xml:space="preserve">ORD-100070</t>
  </si>
  <si>
    <t xml:space="preserve">P019</t>
  </si>
  <si>
    <t xml:space="preserve">ORD-100071</t>
  </si>
  <si>
    <t xml:space="preserve">P078</t>
  </si>
  <si>
    <t xml:space="preserve">ORD-100072</t>
  </si>
  <si>
    <t xml:space="preserve">ORD-100073</t>
  </si>
  <si>
    <t xml:space="preserve">P032</t>
  </si>
  <si>
    <t xml:space="preserve">ORD-100074</t>
  </si>
  <si>
    <t xml:space="preserve">ORD-100075</t>
  </si>
  <si>
    <t xml:space="preserve">ORD-100076</t>
  </si>
  <si>
    <t xml:space="preserve">ORD-100077</t>
  </si>
  <si>
    <t xml:space="preserve">ORD-100078</t>
  </si>
  <si>
    <t xml:space="preserve">ORD-100079</t>
  </si>
  <si>
    <t xml:space="preserve">ORD-100080</t>
  </si>
  <si>
    <t xml:space="preserve">ORD-100081</t>
  </si>
  <si>
    <t xml:space="preserve">ORD-100082</t>
  </si>
  <si>
    <t xml:space="preserve">ORD-100083</t>
  </si>
  <si>
    <t xml:space="preserve">ORD-100084</t>
  </si>
  <si>
    <t xml:space="preserve">P045</t>
  </si>
  <si>
    <t xml:space="preserve">ORD-100085</t>
  </si>
  <si>
    <t xml:space="preserve">P049</t>
  </si>
  <si>
    <t xml:space="preserve">ORD-100086</t>
  </si>
  <si>
    <t xml:space="preserve">P067</t>
  </si>
  <si>
    <t xml:space="preserve">ORD-100087</t>
  </si>
  <si>
    <t xml:space="preserve">ORD-100088</t>
  </si>
  <si>
    <t xml:space="preserve">ORD-100089</t>
  </si>
  <si>
    <t xml:space="preserve">ORD-100090</t>
  </si>
  <si>
    <t xml:space="preserve">ORD-100091</t>
  </si>
  <si>
    <t xml:space="preserve">ORD-100092</t>
  </si>
  <si>
    <t xml:space="preserve">ORD-100093</t>
  </si>
  <si>
    <t xml:space="preserve">P054</t>
  </si>
  <si>
    <t xml:space="preserve">ORD-100094</t>
  </si>
  <si>
    <t xml:space="preserve">ORD-100095</t>
  </si>
  <si>
    <t xml:space="preserve">ORD-100096</t>
  </si>
  <si>
    <t xml:space="preserve">P076</t>
  </si>
  <si>
    <t xml:space="preserve">ORD-100097</t>
  </si>
  <si>
    <t xml:space="preserve">ORD-100098</t>
  </si>
  <si>
    <t xml:space="preserve">ORD-100099</t>
  </si>
  <si>
    <t xml:space="preserve">P050</t>
  </si>
  <si>
    <t xml:space="preserve">ORD-100100</t>
  </si>
  <si>
    <t xml:space="preserve">ORD-100101</t>
  </si>
  <si>
    <t xml:space="preserve">ORD-100102</t>
  </si>
  <si>
    <t xml:space="preserve">P083</t>
  </si>
  <si>
    <t xml:space="preserve">ORD-100103</t>
  </si>
  <si>
    <t xml:space="preserve">ORD-100104</t>
  </si>
  <si>
    <t xml:space="preserve">ORD-100105</t>
  </si>
  <si>
    <t xml:space="preserve">ORD-100106</t>
  </si>
  <si>
    <t xml:space="preserve">ORD-100107</t>
  </si>
  <si>
    <t xml:space="preserve">ORD-100108</t>
  </si>
  <si>
    <t xml:space="preserve">ORD-100109</t>
  </si>
  <si>
    <t xml:space="preserve">ORD-100110</t>
  </si>
  <si>
    <t xml:space="preserve">P070</t>
  </si>
  <si>
    <t xml:space="preserve">ORD-100111</t>
  </si>
  <si>
    <t xml:space="preserve">P033</t>
  </si>
  <si>
    <t xml:space="preserve">ORD-100112</t>
  </si>
  <si>
    <t xml:space="preserve">ORD-100113</t>
  </si>
  <si>
    <t xml:space="preserve">ORD-100114</t>
  </si>
  <si>
    <t xml:space="preserve">ORD-100115</t>
  </si>
  <si>
    <t xml:space="preserve">ORD-100116</t>
  </si>
  <si>
    <t xml:space="preserve">P063</t>
  </si>
  <si>
    <t xml:space="preserve">ORD-100117</t>
  </si>
  <si>
    <t xml:space="preserve">ORD-100118</t>
  </si>
  <si>
    <t xml:space="preserve">ORD-100119</t>
  </si>
  <si>
    <t xml:space="preserve">ORD-100120</t>
  </si>
  <si>
    <t xml:space="preserve">P056</t>
  </si>
  <si>
    <t xml:space="preserve">ORD-100121</t>
  </si>
  <si>
    <t xml:space="preserve">P011</t>
  </si>
  <si>
    <t xml:space="preserve">ORD-100122</t>
  </si>
  <si>
    <t xml:space="preserve">ORD-100123</t>
  </si>
  <si>
    <t xml:space="preserve">ORD-100124</t>
  </si>
  <si>
    <t xml:space="preserve">ORD-100125</t>
  </si>
  <si>
    <t xml:space="preserve">ORD-100126</t>
  </si>
  <si>
    <t xml:space="preserve">ORD-100127</t>
  </si>
  <si>
    <t xml:space="preserve">ORD-100128</t>
  </si>
  <si>
    <t xml:space="preserve">P043</t>
  </si>
  <si>
    <t xml:space="preserve">ORD-100129</t>
  </si>
  <si>
    <t xml:space="preserve">ORD-100130</t>
  </si>
  <si>
    <t xml:space="preserve">P073</t>
  </si>
  <si>
    <t xml:space="preserve">ORD-100131</t>
  </si>
  <si>
    <t xml:space="preserve">P001</t>
  </si>
  <si>
    <t xml:space="preserve">ORD-100132</t>
  </si>
  <si>
    <t xml:space="preserve">ORD-100133</t>
  </si>
  <si>
    <t xml:space="preserve">ORD-100134</t>
  </si>
  <si>
    <t xml:space="preserve">ORD-100135</t>
  </si>
  <si>
    <t xml:space="preserve">ORD-100136</t>
  </si>
  <si>
    <t xml:space="preserve">ORD-100137</t>
  </si>
  <si>
    <t xml:space="preserve">ORD-100138</t>
  </si>
  <si>
    <t xml:space="preserve">P042</t>
  </si>
  <si>
    <t xml:space="preserve">ORD-100139</t>
  </si>
  <si>
    <t xml:space="preserve">ORD-100140</t>
  </si>
  <si>
    <t xml:space="preserve">ORD-100141</t>
  </si>
  <si>
    <t xml:space="preserve">ORD-100142</t>
  </si>
  <si>
    <t xml:space="preserve">ORD-100143</t>
  </si>
  <si>
    <t xml:space="preserve">ORD-100144</t>
  </si>
  <si>
    <t xml:space="preserve">ORD-100145</t>
  </si>
  <si>
    <t xml:space="preserve">ORD-100146</t>
  </si>
  <si>
    <t xml:space="preserve">ORD-100147</t>
  </si>
  <si>
    <t xml:space="preserve">ORD-100148</t>
  </si>
  <si>
    <t xml:space="preserve">ORD-100149</t>
  </si>
  <si>
    <t xml:space="preserve">ORD-100150</t>
  </si>
  <si>
    <t xml:space="preserve">P090</t>
  </si>
  <si>
    <t xml:space="preserve">ORD-100151</t>
  </si>
  <si>
    <t xml:space="preserve">ORD-100152</t>
  </si>
  <si>
    <t xml:space="preserve">ORD-100153</t>
  </si>
  <si>
    <t xml:space="preserve">ORD-100154</t>
  </si>
  <si>
    <t xml:space="preserve">ORD-100155</t>
  </si>
  <si>
    <t xml:space="preserve">P075</t>
  </si>
  <si>
    <t xml:space="preserve">ORD-100156</t>
  </si>
  <si>
    <t xml:space="preserve">ORD-100157</t>
  </si>
  <si>
    <t xml:space="preserve">ORD-100158</t>
  </si>
  <si>
    <t xml:space="preserve">ORD-100159</t>
  </si>
  <si>
    <t xml:space="preserve">ORD-100160</t>
  </si>
  <si>
    <t xml:space="preserve">ORD-100161</t>
  </si>
  <si>
    <t xml:space="preserve">ORD-100162</t>
  </si>
  <si>
    <t xml:space="preserve">P094</t>
  </si>
  <si>
    <t xml:space="preserve">ORD-100163</t>
  </si>
  <si>
    <t xml:space="preserve">ORD-100164</t>
  </si>
  <si>
    <t xml:space="preserve">ORD-100165</t>
  </si>
  <si>
    <t xml:space="preserve">P074</t>
  </si>
  <si>
    <t xml:space="preserve">ORD-100166</t>
  </si>
  <si>
    <t xml:space="preserve">ORD-100167</t>
  </si>
  <si>
    <t xml:space="preserve">ORD-100168</t>
  </si>
  <si>
    <t xml:space="preserve">ORD-100169</t>
  </si>
  <si>
    <t xml:space="preserve">ORD-100170</t>
  </si>
  <si>
    <t xml:space="preserve">ORD-100171</t>
  </si>
  <si>
    <t xml:space="preserve">ORD-100172</t>
  </si>
  <si>
    <t xml:space="preserve">ORD-100173</t>
  </si>
  <si>
    <t xml:space="preserve">ORD-100174</t>
  </si>
  <si>
    <t xml:space="preserve">ORD-100175</t>
  </si>
  <si>
    <t xml:space="preserve">ORD-100176</t>
  </si>
  <si>
    <t xml:space="preserve">ORD-100177</t>
  </si>
  <si>
    <t xml:space="preserve">ORD-100178</t>
  </si>
  <si>
    <t xml:space="preserve">ORD-100179</t>
  </si>
  <si>
    <t xml:space="preserve">ORD-100180</t>
  </si>
  <si>
    <t xml:space="preserve">ORD-100181</t>
  </si>
  <si>
    <t xml:space="preserve">ORD-100182</t>
  </si>
  <si>
    <t xml:space="preserve">ORD-100183</t>
  </si>
  <si>
    <t xml:space="preserve">ORD-100184</t>
  </si>
  <si>
    <t xml:space="preserve">ORD-100185</t>
  </si>
  <si>
    <t xml:space="preserve">ORD-100186</t>
  </si>
  <si>
    <t xml:space="preserve">ORD-100187</t>
  </si>
  <si>
    <t xml:space="preserve">ORD-100188</t>
  </si>
  <si>
    <t xml:space="preserve">ORD-100189</t>
  </si>
  <si>
    <t xml:space="preserve">ORD-100190</t>
  </si>
  <si>
    <t xml:space="preserve">P010</t>
  </si>
  <si>
    <t xml:space="preserve">ORD-100191</t>
  </si>
  <si>
    <t xml:space="preserve">ORD-100192</t>
  </si>
  <si>
    <t xml:space="preserve">ORD-100193</t>
  </si>
  <si>
    <t xml:space="preserve">ORD-100194</t>
  </si>
  <si>
    <t xml:space="preserve">ORD-100195</t>
  </si>
  <si>
    <t xml:space="preserve">ORD-100196</t>
  </si>
  <si>
    <t xml:space="preserve">ORD-100197</t>
  </si>
  <si>
    <t xml:space="preserve">ORD-100198</t>
  </si>
  <si>
    <t xml:space="preserve">ORD-100199</t>
  </si>
  <si>
    <t xml:space="preserve">ORD-100200</t>
  </si>
  <si>
    <t xml:space="preserve">ORD-100201</t>
  </si>
  <si>
    <t xml:space="preserve">ORD-100202</t>
  </si>
  <si>
    <t xml:space="preserve">ORD-100203</t>
  </si>
  <si>
    <t xml:space="preserve">ORD-100204</t>
  </si>
  <si>
    <t xml:space="preserve">P084</t>
  </si>
  <si>
    <t xml:space="preserve">ORD-100205</t>
  </si>
  <si>
    <t xml:space="preserve">ORD-100206</t>
  </si>
  <si>
    <t xml:space="preserve">ORD-100207</t>
  </si>
  <si>
    <t xml:space="preserve">ORD-100208</t>
  </si>
  <si>
    <t xml:space="preserve">ORD-100209</t>
  </si>
  <si>
    <t xml:space="preserve">ORD-100210</t>
  </si>
  <si>
    <t xml:space="preserve">ORD-100211</t>
  </si>
  <si>
    <t xml:space="preserve">ORD-100212</t>
  </si>
  <si>
    <t xml:space="preserve">ORD-100213</t>
  </si>
  <si>
    <t xml:space="preserve">ORD-100214</t>
  </si>
  <si>
    <t xml:space="preserve">ORD-100215</t>
  </si>
  <si>
    <t xml:space="preserve">P004</t>
  </si>
  <si>
    <t xml:space="preserve">ORD-100216</t>
  </si>
  <si>
    <t xml:space="preserve">ORD-100217</t>
  </si>
  <si>
    <t xml:space="preserve">ORD-100218</t>
  </si>
  <si>
    <t xml:space="preserve">ORD-100219</t>
  </si>
  <si>
    <t xml:space="preserve">ORD-100220</t>
  </si>
  <si>
    <t xml:space="preserve">ORD-100221</t>
  </si>
  <si>
    <t xml:space="preserve">ORD-100222</t>
  </si>
  <si>
    <t xml:space="preserve">ORD-100223</t>
  </si>
  <si>
    <t xml:space="preserve">ORD-100224</t>
  </si>
  <si>
    <t xml:space="preserve">ORD-100225</t>
  </si>
  <si>
    <t xml:space="preserve">ORD-100226</t>
  </si>
  <si>
    <t xml:space="preserve">ORD-100227</t>
  </si>
  <si>
    <t xml:space="preserve">P026</t>
  </si>
  <si>
    <t xml:space="preserve">ORD-100228</t>
  </si>
  <si>
    <t xml:space="preserve">ORD-100229</t>
  </si>
  <si>
    <t xml:space="preserve">ORD-100230</t>
  </si>
  <si>
    <t xml:space="preserve">ORD-100231</t>
  </si>
  <si>
    <t xml:space="preserve">ORD-100232</t>
  </si>
  <si>
    <t xml:space="preserve">ORD-100233</t>
  </si>
  <si>
    <t xml:space="preserve">ORD-100234</t>
  </si>
  <si>
    <t xml:space="preserve">ORD-100235</t>
  </si>
  <si>
    <t xml:space="preserve">ORD-100236</t>
  </si>
  <si>
    <t xml:space="preserve">ORD-100237</t>
  </si>
  <si>
    <t xml:space="preserve">ORD-100238</t>
  </si>
  <si>
    <t xml:space="preserve">ORD-100239</t>
  </si>
  <si>
    <t xml:space="preserve">ORD-100240</t>
  </si>
  <si>
    <t xml:space="preserve">ORD-100241</t>
  </si>
  <si>
    <t xml:space="preserve">ORD-100242</t>
  </si>
  <si>
    <t xml:space="preserve">ORD-100243</t>
  </si>
  <si>
    <t xml:space="preserve">ORD-100244</t>
  </si>
  <si>
    <t xml:space="preserve">ORD-100245</t>
  </si>
  <si>
    <t xml:space="preserve">ORD-100246</t>
  </si>
  <si>
    <t xml:space="preserve">ORD-100247</t>
  </si>
  <si>
    <t xml:space="preserve">ORD-100248</t>
  </si>
  <si>
    <t xml:space="preserve">ORD-100249</t>
  </si>
  <si>
    <t xml:space="preserve">ORD-100250</t>
  </si>
  <si>
    <t xml:space="preserve">ORD-100251</t>
  </si>
  <si>
    <t xml:space="preserve">ORD-100252</t>
  </si>
  <si>
    <t xml:space="preserve">ORD-100253</t>
  </si>
  <si>
    <t xml:space="preserve">ORD-100254</t>
  </si>
  <si>
    <t xml:space="preserve">ORD-100255</t>
  </si>
  <si>
    <t xml:space="preserve">ORD-100256</t>
  </si>
  <si>
    <t xml:space="preserve">ORD-100257</t>
  </si>
  <si>
    <t xml:space="preserve">ORD-100258</t>
  </si>
  <si>
    <t xml:space="preserve">ORD-100259</t>
  </si>
  <si>
    <t xml:space="preserve">P091</t>
  </si>
  <si>
    <t xml:space="preserve">ORD-100260</t>
  </si>
  <si>
    <t xml:space="preserve">P097</t>
  </si>
  <si>
    <t xml:space="preserve">ORD-100261</t>
  </si>
  <si>
    <t xml:space="preserve">P088</t>
  </si>
  <si>
    <t xml:space="preserve">ORD-100262</t>
  </si>
  <si>
    <t xml:space="preserve">ORD-100263</t>
  </si>
  <si>
    <t xml:space="preserve">ORD-100264</t>
  </si>
  <si>
    <t xml:space="preserve">ORD-100265</t>
  </si>
  <si>
    <t xml:space="preserve">ORD-100266</t>
  </si>
  <si>
    <t xml:space="preserve">P022</t>
  </si>
  <si>
    <t xml:space="preserve">ORD-100267</t>
  </si>
  <si>
    <t xml:space="preserve">ORD-100268</t>
  </si>
  <si>
    <t xml:space="preserve">ORD-100269</t>
  </si>
  <si>
    <t xml:space="preserve">ORD-100270</t>
  </si>
  <si>
    <t xml:space="preserve">ORD-100271</t>
  </si>
  <si>
    <t xml:space="preserve">ORD-100272</t>
  </si>
  <si>
    <t xml:space="preserve">ORD-100273</t>
  </si>
  <si>
    <t xml:space="preserve">ORD-100274</t>
  </si>
  <si>
    <t xml:space="preserve">ORD-100275</t>
  </si>
  <si>
    <t xml:space="preserve">ORD-100276</t>
  </si>
  <si>
    <t xml:space="preserve">ORD-100277</t>
  </si>
  <si>
    <t xml:space="preserve">ORD-100278</t>
  </si>
  <si>
    <t xml:space="preserve">ORD-100279</t>
  </si>
  <si>
    <t xml:space="preserve">ORD-100280</t>
  </si>
  <si>
    <t xml:space="preserve">ORD-100281</t>
  </si>
  <si>
    <t xml:space="preserve">P061</t>
  </si>
  <si>
    <t xml:space="preserve">ORD-100282</t>
  </si>
  <si>
    <t xml:space="preserve">ORD-100283</t>
  </si>
  <si>
    <t xml:space="preserve">ORD-100284</t>
  </si>
  <si>
    <t xml:space="preserve">ORD-100285</t>
  </si>
  <si>
    <t xml:space="preserve">ORD-100286</t>
  </si>
  <si>
    <t xml:space="preserve">P081</t>
  </si>
  <si>
    <t xml:space="preserve">ORD-100287</t>
  </si>
  <si>
    <t xml:space="preserve">ORD-100288</t>
  </si>
  <si>
    <t xml:space="preserve">ORD-100289</t>
  </si>
  <si>
    <t xml:space="preserve">ORD-100290</t>
  </si>
  <si>
    <t xml:space="preserve">ORD-100291</t>
  </si>
  <si>
    <t xml:space="preserve">ORD-100292</t>
  </si>
  <si>
    <t xml:space="preserve">ORD-100293</t>
  </si>
  <si>
    <t xml:space="preserve">ORD-100294</t>
  </si>
  <si>
    <t xml:space="preserve">ORD-100295</t>
  </si>
  <si>
    <t xml:space="preserve">ORD-100296</t>
  </si>
  <si>
    <t xml:space="preserve">ORD-100297</t>
  </si>
  <si>
    <t xml:space="preserve">ORD-100298</t>
  </si>
  <si>
    <t xml:space="preserve">ORD-100299</t>
  </si>
  <si>
    <t xml:space="preserve">ORD-100300</t>
  </si>
  <si>
    <t xml:space="preserve">ORD-100301</t>
  </si>
  <si>
    <t xml:space="preserve">ORD-100302</t>
  </si>
  <si>
    <t xml:space="preserve">ORD-100303</t>
  </si>
  <si>
    <t xml:space="preserve">ORD-100304</t>
  </si>
  <si>
    <t xml:space="preserve">ORD-100305</t>
  </si>
  <si>
    <t xml:space="preserve">ORD-100306</t>
  </si>
  <si>
    <t xml:space="preserve">ORD-100307</t>
  </si>
  <si>
    <t xml:space="preserve">ORD-100308</t>
  </si>
  <si>
    <t xml:space="preserve">ORD-100309</t>
  </si>
  <si>
    <t xml:space="preserve">ORD-100310</t>
  </si>
  <si>
    <t xml:space="preserve">ORD-100311</t>
  </si>
  <si>
    <t xml:space="preserve">ORD-100312</t>
  </si>
  <si>
    <t xml:space="preserve">ORD-100313</t>
  </si>
  <si>
    <t xml:space="preserve">ORD-100314</t>
  </si>
  <si>
    <t xml:space="preserve">ORD-100315</t>
  </si>
  <si>
    <t xml:space="preserve">ORD-100316</t>
  </si>
  <si>
    <t xml:space="preserve">ORD-100317</t>
  </si>
  <si>
    <t xml:space="preserve">ORD-100318</t>
  </si>
  <si>
    <t xml:space="preserve">ORD-100319</t>
  </si>
  <si>
    <t xml:space="preserve">P037</t>
  </si>
  <si>
    <t xml:space="preserve">ORD-100320</t>
  </si>
  <si>
    <t xml:space="preserve">ORD-100321</t>
  </si>
  <si>
    <t xml:space="preserve">ORD-100322</t>
  </si>
  <si>
    <t xml:space="preserve">ORD-100323</t>
  </si>
  <si>
    <t xml:space="preserve">ORD-100324</t>
  </si>
  <si>
    <t xml:space="preserve">ORD-100325</t>
  </si>
  <si>
    <t xml:space="preserve">ORD-100326</t>
  </si>
  <si>
    <t xml:space="preserve">ORD-100327</t>
  </si>
  <si>
    <t xml:space="preserve">ORD-100328</t>
  </si>
  <si>
    <t xml:space="preserve">ORD-100329</t>
  </si>
  <si>
    <t xml:space="preserve">ORD-100330</t>
  </si>
  <si>
    <t xml:space="preserve">ORD-100331</t>
  </si>
  <si>
    <t xml:space="preserve">ORD-100332</t>
  </si>
  <si>
    <t xml:space="preserve">ORD-100333</t>
  </si>
  <si>
    <t xml:space="preserve">ORD-100334</t>
  </si>
  <si>
    <t xml:space="preserve">P034</t>
  </si>
  <si>
    <t xml:space="preserve">ORD-100335</t>
  </si>
  <si>
    <t xml:space="preserve">ORD-100336</t>
  </si>
  <si>
    <t xml:space="preserve">ORD-100337</t>
  </si>
  <si>
    <t xml:space="preserve">ORD-100338</t>
  </si>
  <si>
    <t xml:space="preserve">ORD-100339</t>
  </si>
  <si>
    <t xml:space="preserve">ORD-100340</t>
  </si>
  <si>
    <t xml:space="preserve">ORD-100341</t>
  </si>
  <si>
    <t xml:space="preserve">ORD-100342</t>
  </si>
  <si>
    <t xml:space="preserve">ORD-100343</t>
  </si>
  <si>
    <t xml:space="preserve">ORD-100344</t>
  </si>
  <si>
    <t xml:space="preserve">ORD-100345</t>
  </si>
  <si>
    <t xml:space="preserve">ORD-100346</t>
  </si>
  <si>
    <t xml:space="preserve">ORD-100347</t>
  </si>
  <si>
    <t xml:space="preserve">ORD-100348</t>
  </si>
  <si>
    <t xml:space="preserve">ORD-100349</t>
  </si>
  <si>
    <t xml:space="preserve">ORD-100350</t>
  </si>
  <si>
    <t xml:space="preserve">ORD-100351</t>
  </si>
  <si>
    <t xml:space="preserve">ORD-100352</t>
  </si>
  <si>
    <t xml:space="preserve">ORD-100353</t>
  </si>
  <si>
    <t xml:space="preserve">ORD-100354</t>
  </si>
  <si>
    <t xml:space="preserve">ORD-100355</t>
  </si>
  <si>
    <t xml:space="preserve">ORD-100356</t>
  </si>
  <si>
    <t xml:space="preserve">P008</t>
  </si>
  <si>
    <t xml:space="preserve">ORD-100357</t>
  </si>
  <si>
    <t xml:space="preserve">ORD-100358</t>
  </si>
  <si>
    <t xml:space="preserve">ORD-100359</t>
  </si>
  <si>
    <t xml:space="preserve">ORD-100360</t>
  </si>
  <si>
    <t xml:space="preserve">ORD-100361</t>
  </si>
  <si>
    <t xml:space="preserve">ORD-100362</t>
  </si>
  <si>
    <t xml:space="preserve">ORD-100363</t>
  </si>
  <si>
    <t xml:space="preserve">ORD-100364</t>
  </si>
  <si>
    <t xml:space="preserve">ORD-100365</t>
  </si>
  <si>
    <t xml:space="preserve">ORD-100366</t>
  </si>
  <si>
    <t xml:space="preserve">ORD-100367</t>
  </si>
  <si>
    <t xml:space="preserve">ORD-100368</t>
  </si>
  <si>
    <t xml:space="preserve">ORD-100369</t>
  </si>
  <si>
    <t xml:space="preserve">ORD-100370</t>
  </si>
  <si>
    <t xml:space="preserve">ORD-100371</t>
  </si>
  <si>
    <t xml:space="preserve">ORD-100372</t>
  </si>
  <si>
    <t xml:space="preserve">ORD-100373</t>
  </si>
  <si>
    <t xml:space="preserve">ORD-100374</t>
  </si>
  <si>
    <t xml:space="preserve">ORD-100375</t>
  </si>
  <si>
    <t xml:space="preserve">ORD-100376</t>
  </si>
  <si>
    <t xml:space="preserve">ORD-100377</t>
  </si>
  <si>
    <t xml:space="preserve">ORD-100378</t>
  </si>
  <si>
    <t xml:space="preserve">ORD-100379</t>
  </si>
  <si>
    <t xml:space="preserve">ORD-100380</t>
  </si>
  <si>
    <t xml:space="preserve">ORD-100381</t>
  </si>
  <si>
    <t xml:space="preserve">ORD-100382</t>
  </si>
  <si>
    <t xml:space="preserve">P028</t>
  </si>
  <si>
    <t xml:space="preserve">ORD-100383</t>
  </si>
  <si>
    <t xml:space="preserve">ORD-100384</t>
  </si>
  <si>
    <t xml:space="preserve">ORD-100385</t>
  </si>
  <si>
    <t xml:space="preserve">ORD-100386</t>
  </si>
  <si>
    <t xml:space="preserve">ORD-100387</t>
  </si>
  <si>
    <t xml:space="preserve">ORD-100388</t>
  </si>
  <si>
    <t xml:space="preserve">ORD-100389</t>
  </si>
  <si>
    <t xml:space="preserve">ORD-100390</t>
  </si>
  <si>
    <t xml:space="preserve">ORD-100391</t>
  </si>
  <si>
    <t xml:space="preserve">ORD-100392</t>
  </si>
  <si>
    <t xml:space="preserve">ORD-100393</t>
  </si>
  <si>
    <t xml:space="preserve">ORD-100394</t>
  </si>
  <si>
    <t xml:space="preserve">ORD-100395</t>
  </si>
  <si>
    <t xml:space="preserve">ORD-100396</t>
  </si>
  <si>
    <t xml:space="preserve">ORD-100397</t>
  </si>
  <si>
    <t xml:space="preserve">ORD-100398</t>
  </si>
  <si>
    <t xml:space="preserve">ORD-100399</t>
  </si>
  <si>
    <t xml:space="preserve">ORD-100400</t>
  </si>
  <si>
    <t xml:space="preserve">ORD-100401</t>
  </si>
  <si>
    <t xml:space="preserve">ORD-100402</t>
  </si>
  <si>
    <t xml:space="preserve">ORD-100403</t>
  </si>
  <si>
    <t xml:space="preserve">ORD-100404</t>
  </si>
  <si>
    <t xml:space="preserve">ORD-100405</t>
  </si>
  <si>
    <t xml:space="preserve">ORD-100406</t>
  </si>
  <si>
    <t xml:space="preserve">ORD-100407</t>
  </si>
  <si>
    <t xml:space="preserve">ORD-100408</t>
  </si>
  <si>
    <t xml:space="preserve">ORD-100409</t>
  </si>
  <si>
    <t xml:space="preserve">ORD-100410</t>
  </si>
  <si>
    <t xml:space="preserve">ORD-100411</t>
  </si>
  <si>
    <t xml:space="preserve">ORD-100412</t>
  </si>
  <si>
    <t xml:space="preserve">ORD-100413</t>
  </si>
  <si>
    <t xml:space="preserve">ORD-100414</t>
  </si>
  <si>
    <t xml:space="preserve">ORD-100415</t>
  </si>
  <si>
    <t xml:space="preserve">ORD-100416</t>
  </si>
  <si>
    <t xml:space="preserve">ORD-100417</t>
  </si>
  <si>
    <t xml:space="preserve">ORD-100418</t>
  </si>
  <si>
    <t xml:space="preserve">ORD-100419</t>
  </si>
  <si>
    <t xml:space="preserve">ORD-100420</t>
  </si>
  <si>
    <t xml:space="preserve">ORD-100421</t>
  </si>
  <si>
    <t xml:space="preserve">ORD-100422</t>
  </si>
  <si>
    <t xml:space="preserve">ORD-100423</t>
  </si>
  <si>
    <t xml:space="preserve">ORD-100424</t>
  </si>
  <si>
    <t xml:space="preserve">ORD-100425</t>
  </si>
  <si>
    <t xml:space="preserve">ORD-100426</t>
  </si>
  <si>
    <t xml:space="preserve">ORD-100427</t>
  </si>
  <si>
    <t xml:space="preserve">ORD-100428</t>
  </si>
  <si>
    <t xml:space="preserve">ORD-100429</t>
  </si>
  <si>
    <t xml:space="preserve">ORD-100430</t>
  </si>
  <si>
    <t xml:space="preserve">ORD-100431</t>
  </si>
  <si>
    <t xml:space="preserve">ORD-100432</t>
  </si>
  <si>
    <t xml:space="preserve">ORD-100433</t>
  </si>
  <si>
    <t xml:space="preserve">ORD-100434</t>
  </si>
  <si>
    <t xml:space="preserve">P058</t>
  </si>
  <si>
    <t xml:space="preserve">ORD-100435</t>
  </si>
  <si>
    <t xml:space="preserve">ORD-100436</t>
  </si>
  <si>
    <t xml:space="preserve">ORD-100437</t>
  </si>
  <si>
    <t xml:space="preserve">ORD-100438</t>
  </si>
  <si>
    <t xml:space="preserve">ORD-100439</t>
  </si>
  <si>
    <t xml:space="preserve">ORD-100440</t>
  </si>
  <si>
    <t xml:space="preserve">ORD-100441</t>
  </si>
  <si>
    <t xml:space="preserve">ORD-100442</t>
  </si>
  <si>
    <t xml:space="preserve">ORD-100443</t>
  </si>
  <si>
    <t xml:space="preserve">ORD-100444</t>
  </si>
  <si>
    <t xml:space="preserve">ORD-100445</t>
  </si>
  <si>
    <t xml:space="preserve">ORD-100446</t>
  </si>
  <si>
    <t xml:space="preserve">ORD-100447</t>
  </si>
  <si>
    <t xml:space="preserve">ORD-100448</t>
  </si>
  <si>
    <t xml:space="preserve">ORD-100449</t>
  </si>
  <si>
    <t xml:space="preserve">ORD-100450</t>
  </si>
  <si>
    <t xml:space="preserve">ORD-100451</t>
  </si>
  <si>
    <t xml:space="preserve">ORD-100452</t>
  </si>
  <si>
    <t xml:space="preserve">ORD-100453</t>
  </si>
  <si>
    <t xml:space="preserve">ORD-100454</t>
  </si>
  <si>
    <t xml:space="preserve">ORD-100455</t>
  </si>
  <si>
    <t xml:space="preserve">ORD-100456</t>
  </si>
  <si>
    <t xml:space="preserve">ORD-100457</t>
  </si>
  <si>
    <t xml:space="preserve">ORD-100458</t>
  </si>
  <si>
    <t xml:space="preserve">ORD-100459</t>
  </si>
  <si>
    <t xml:space="preserve">ORD-100460</t>
  </si>
  <si>
    <t xml:space="preserve">ORD-100461</t>
  </si>
  <si>
    <t xml:space="preserve">ORD-100462</t>
  </si>
  <si>
    <t xml:space="preserve">ORD-100463</t>
  </si>
  <si>
    <t xml:space="preserve">ORD-100464</t>
  </si>
  <si>
    <t xml:space="preserve">ORD-100465</t>
  </si>
  <si>
    <t xml:space="preserve">ORD-100466</t>
  </si>
  <si>
    <t xml:space="preserve">ORD-100467</t>
  </si>
  <si>
    <t xml:space="preserve">ORD-100468</t>
  </si>
  <si>
    <t xml:space="preserve">ORD-100469</t>
  </si>
  <si>
    <t xml:space="preserve">ORD-100470</t>
  </si>
  <si>
    <t xml:space="preserve">ORD-100471</t>
  </si>
  <si>
    <t xml:space="preserve">ORD-100472</t>
  </si>
  <si>
    <t xml:space="preserve">ORD-100473</t>
  </si>
  <si>
    <t xml:space="preserve">ORD-100474</t>
  </si>
  <si>
    <t xml:space="preserve">ORD-100475</t>
  </si>
  <si>
    <t xml:space="preserve">P046</t>
  </si>
  <si>
    <t xml:space="preserve">ORD-100476</t>
  </si>
  <si>
    <t xml:space="preserve">ORD-100477</t>
  </si>
  <si>
    <t xml:space="preserve">ORD-100478</t>
  </si>
  <si>
    <t xml:space="preserve">P007</t>
  </si>
  <si>
    <t xml:space="preserve">ORD-100479</t>
  </si>
  <si>
    <t xml:space="preserve">ORD-100480</t>
  </si>
  <si>
    <t xml:space="preserve">ORD-100481</t>
  </si>
  <si>
    <t xml:space="preserve">P040</t>
  </si>
  <si>
    <t xml:space="preserve">ORD-100482</t>
  </si>
  <si>
    <t xml:space="preserve">ORD-100483</t>
  </si>
  <si>
    <t xml:space="preserve">ORD-100484</t>
  </si>
  <si>
    <t xml:space="preserve">ORD-100485</t>
  </si>
  <si>
    <t xml:space="preserve">ORD-100486</t>
  </si>
  <si>
    <t xml:space="preserve">ORD-100487</t>
  </si>
  <si>
    <t xml:space="preserve">ORD-100488</t>
  </si>
  <si>
    <t xml:space="preserve">ORD-100489</t>
  </si>
  <si>
    <t xml:space="preserve">ORD-100490</t>
  </si>
  <si>
    <t xml:space="preserve">ORD-100491</t>
  </si>
  <si>
    <t xml:space="preserve">ORD-100492</t>
  </si>
  <si>
    <t xml:space="preserve">ORD-100493</t>
  </si>
  <si>
    <t xml:space="preserve">ORD-100494</t>
  </si>
  <si>
    <t xml:space="preserve">ORD-100495</t>
  </si>
  <si>
    <t xml:space="preserve">ORD-100496</t>
  </si>
  <si>
    <t xml:space="preserve">P047</t>
  </si>
  <si>
    <t xml:space="preserve">ORD-100497</t>
  </si>
  <si>
    <t xml:space="preserve">ORD-100498</t>
  </si>
  <si>
    <t xml:space="preserve">ORD-100499</t>
  </si>
  <si>
    <t xml:space="preserve">ORD-100500</t>
  </si>
  <si>
    <t xml:space="preserve">ORD-100501</t>
  </si>
  <si>
    <t xml:space="preserve">ORD-100502</t>
  </si>
  <si>
    <t xml:space="preserve">ORD-100503</t>
  </si>
  <si>
    <t xml:space="preserve">ORD-100504</t>
  </si>
  <si>
    <t xml:space="preserve">ORD-100505</t>
  </si>
  <si>
    <t xml:space="preserve">ORD-100506</t>
  </si>
  <si>
    <t xml:space="preserve">ORD-100507</t>
  </si>
  <si>
    <t xml:space="preserve">ORD-100508</t>
  </si>
  <si>
    <t xml:space="preserve">ORD-100509</t>
  </si>
  <si>
    <t xml:space="preserve">ORD-100510</t>
  </si>
  <si>
    <t xml:space="preserve">ORD-100511</t>
  </si>
  <si>
    <t xml:space="preserve">ORD-100512</t>
  </si>
  <si>
    <t xml:space="preserve">ORD-100513</t>
  </si>
  <si>
    <t xml:space="preserve">ORD-100514</t>
  </si>
  <si>
    <t xml:space="preserve">ORD-100515</t>
  </si>
  <si>
    <t xml:space="preserve">ORD-100516</t>
  </si>
  <si>
    <t xml:space="preserve">ORD-100517</t>
  </si>
  <si>
    <t xml:space="preserve">ORD-100518</t>
  </si>
  <si>
    <t xml:space="preserve">ORD-100519</t>
  </si>
  <si>
    <t xml:space="preserve">ORD-100520</t>
  </si>
  <si>
    <t xml:space="preserve">ORD-100521</t>
  </si>
  <si>
    <t xml:space="preserve">ORD-100522</t>
  </si>
  <si>
    <t xml:space="preserve">ORD-100523</t>
  </si>
  <si>
    <t xml:space="preserve">ORD-100524</t>
  </si>
  <si>
    <t xml:space="preserve">ORD-100525</t>
  </si>
  <si>
    <t xml:space="preserve">ORD-100526</t>
  </si>
  <si>
    <t xml:space="preserve">ORD-100527</t>
  </si>
  <si>
    <t xml:space="preserve">ORD-100528</t>
  </si>
  <si>
    <t xml:space="preserve">ORD-100529</t>
  </si>
  <si>
    <t xml:space="preserve">ORD-100530</t>
  </si>
  <si>
    <t xml:space="preserve">ORD-100531</t>
  </si>
  <si>
    <t xml:space="preserve">ORD-100532</t>
  </si>
  <si>
    <t xml:space="preserve">ORD-100533</t>
  </si>
  <si>
    <t xml:space="preserve">ORD-100534</t>
  </si>
  <si>
    <t xml:space="preserve">ORD-100535</t>
  </si>
  <si>
    <t xml:space="preserve">ORD-100536</t>
  </si>
  <si>
    <t xml:space="preserve">ORD-100537</t>
  </si>
  <si>
    <t xml:space="preserve">P012</t>
  </si>
  <si>
    <t xml:space="preserve">ORD-100538</t>
  </si>
  <si>
    <t xml:space="preserve">ORD-100539</t>
  </si>
  <si>
    <t xml:space="preserve">ORD-100540</t>
  </si>
  <si>
    <t xml:space="preserve">ORD-100541</t>
  </si>
  <si>
    <t xml:space="preserve">ORD-100542</t>
  </si>
  <si>
    <t xml:space="preserve">ORD-100543</t>
  </si>
  <si>
    <t xml:space="preserve">ORD-100544</t>
  </si>
  <si>
    <t xml:space="preserve">ORD-100545</t>
  </si>
  <si>
    <t xml:space="preserve">ORD-100546</t>
  </si>
  <si>
    <t xml:space="preserve">ORD-100547</t>
  </si>
  <si>
    <t xml:space="preserve">ORD-100548</t>
  </si>
  <si>
    <t xml:space="preserve">ORD-100549</t>
  </si>
  <si>
    <t xml:space="preserve">P052</t>
  </si>
  <si>
    <t xml:space="preserve">ORD-100550</t>
  </si>
  <si>
    <t xml:space="preserve">ORD-100551</t>
  </si>
  <si>
    <t xml:space="preserve">ORD-100552</t>
  </si>
  <si>
    <t xml:space="preserve">ORD-100553</t>
  </si>
  <si>
    <t xml:space="preserve">ORD-100554</t>
  </si>
  <si>
    <t xml:space="preserve">ORD-100555</t>
  </si>
  <si>
    <t xml:space="preserve">ORD-100556</t>
  </si>
  <si>
    <t xml:space="preserve">ORD-100557</t>
  </si>
  <si>
    <t xml:space="preserve">ORD-100558</t>
  </si>
  <si>
    <t xml:space="preserve">ORD-100559</t>
  </si>
  <si>
    <t xml:space="preserve">ORD-100560</t>
  </si>
  <si>
    <t xml:space="preserve">ORD-100561</t>
  </si>
  <si>
    <t xml:space="preserve">ORD-100562</t>
  </si>
  <si>
    <t xml:space="preserve">ORD-100563</t>
  </si>
  <si>
    <t xml:space="preserve">ORD-100564</t>
  </si>
  <si>
    <t xml:space="preserve">ORD-100565</t>
  </si>
  <si>
    <t xml:space="preserve">ORD-100566</t>
  </si>
  <si>
    <t xml:space="preserve">ORD-100567</t>
  </si>
  <si>
    <t xml:space="preserve">ORD-100568</t>
  </si>
  <si>
    <t xml:space="preserve">ORD-100569</t>
  </si>
  <si>
    <t xml:space="preserve">ORD-100570</t>
  </si>
  <si>
    <t xml:space="preserve">ORD-100571</t>
  </si>
  <si>
    <t xml:space="preserve">ORD-100572</t>
  </si>
  <si>
    <t xml:space="preserve">ORD-100573</t>
  </si>
  <si>
    <t xml:space="preserve">ORD-100574</t>
  </si>
  <si>
    <t xml:space="preserve">ORD-100575</t>
  </si>
  <si>
    <t xml:space="preserve">ORD-100576</t>
  </si>
  <si>
    <t xml:space="preserve">ORD-100577</t>
  </si>
  <si>
    <t xml:space="preserve">ORD-100578</t>
  </si>
  <si>
    <t xml:space="preserve">ORD-100579</t>
  </si>
  <si>
    <t xml:space="preserve">ORD-100580</t>
  </si>
  <si>
    <t xml:space="preserve">ORD-100581</t>
  </si>
  <si>
    <t xml:space="preserve">ORD-100582</t>
  </si>
  <si>
    <t xml:space="preserve">ORD-100583</t>
  </si>
  <si>
    <t xml:space="preserve">ORD-100584</t>
  </si>
  <si>
    <t xml:space="preserve">ORD-100585</t>
  </si>
  <si>
    <t xml:space="preserve">ORD-100586</t>
  </si>
  <si>
    <t xml:space="preserve">ORD-100587</t>
  </si>
  <si>
    <t xml:space="preserve">ORD-100588</t>
  </si>
  <si>
    <t xml:space="preserve">ORD-100589</t>
  </si>
  <si>
    <t xml:space="preserve">ORD-100590</t>
  </si>
  <si>
    <t xml:space="preserve">ORD-100591</t>
  </si>
  <si>
    <t xml:space="preserve">ORD-100592</t>
  </si>
  <si>
    <t xml:space="preserve">ORD-100593</t>
  </si>
  <si>
    <t xml:space="preserve">P014</t>
  </si>
  <si>
    <t xml:space="preserve">ORD-100594</t>
  </si>
  <si>
    <t xml:space="preserve">ORD-100595</t>
  </si>
  <si>
    <t xml:space="preserve">ORD-100596</t>
  </si>
  <si>
    <t xml:space="preserve">ORD-100597</t>
  </si>
  <si>
    <t xml:space="preserve">ORD-100598</t>
  </si>
  <si>
    <t xml:space="preserve">ORD-100599</t>
  </si>
  <si>
    <t xml:space="preserve">ORD-100600</t>
  </si>
  <si>
    <t xml:space="preserve">ORD-100601</t>
  </si>
  <si>
    <t xml:space="preserve">ORD-100602</t>
  </si>
  <si>
    <t xml:space="preserve">ORD-100603</t>
  </si>
  <si>
    <t xml:space="preserve">ORD-100604</t>
  </si>
  <si>
    <t xml:space="preserve">ORD-100605</t>
  </si>
  <si>
    <t xml:space="preserve">ORD-100606</t>
  </si>
  <si>
    <t xml:space="preserve">ORD-100607</t>
  </si>
  <si>
    <t xml:space="preserve">ORD-100608</t>
  </si>
  <si>
    <t xml:space="preserve">ORD-100609</t>
  </si>
  <si>
    <t xml:space="preserve">ORD-100610</t>
  </si>
  <si>
    <t xml:space="preserve">ORD-100611</t>
  </si>
  <si>
    <t xml:space="preserve">ORD-100612</t>
  </si>
  <si>
    <t xml:space="preserve">ORD-100613</t>
  </si>
  <si>
    <t xml:space="preserve">ORD-100614</t>
  </si>
  <si>
    <t xml:space="preserve">ORD-100615</t>
  </si>
  <si>
    <t xml:space="preserve">ORD-100616</t>
  </si>
  <si>
    <t xml:space="preserve">ORD-100617</t>
  </si>
  <si>
    <t xml:space="preserve">ORD-100618</t>
  </si>
  <si>
    <t xml:space="preserve">ORD-100619</t>
  </si>
  <si>
    <t xml:space="preserve">ORD-100620</t>
  </si>
  <si>
    <t xml:space="preserve">ORD-100621</t>
  </si>
  <si>
    <t xml:space="preserve">ORD-100622</t>
  </si>
  <si>
    <t xml:space="preserve">P035</t>
  </si>
  <si>
    <t xml:space="preserve">ORD-100623</t>
  </si>
  <si>
    <t xml:space="preserve">ORD-100624</t>
  </si>
  <si>
    <t xml:space="preserve">ORD-100625</t>
  </si>
  <si>
    <t xml:space="preserve">ORD-100626</t>
  </si>
  <si>
    <t xml:space="preserve">ORD-100627</t>
  </si>
  <si>
    <t xml:space="preserve">ORD-100628</t>
  </si>
  <si>
    <t xml:space="preserve">ORD-100629</t>
  </si>
  <si>
    <t xml:space="preserve">ORD-100630</t>
  </si>
  <si>
    <t xml:space="preserve">ORD-100631</t>
  </si>
  <si>
    <t xml:space="preserve">ORD-100632</t>
  </si>
  <si>
    <t xml:space="preserve">ORD-100633</t>
  </si>
  <si>
    <t xml:space="preserve">ORD-100634</t>
  </si>
  <si>
    <t xml:space="preserve">ORD-100635</t>
  </si>
  <si>
    <t xml:space="preserve">ORD-100636</t>
  </si>
  <si>
    <t xml:space="preserve">ORD-100637</t>
  </si>
  <si>
    <t xml:space="preserve">ORD-100638</t>
  </si>
  <si>
    <t xml:space="preserve">ORD-100639</t>
  </si>
  <si>
    <t xml:space="preserve">ORD-100640</t>
  </si>
  <si>
    <t xml:space="preserve">ORD-100641</t>
  </si>
  <si>
    <t xml:space="preserve">ORD-100642</t>
  </si>
  <si>
    <t xml:space="preserve">ORD-100643</t>
  </si>
  <si>
    <t xml:space="preserve">ORD-100644</t>
  </si>
  <si>
    <t xml:space="preserve">ORD-100645</t>
  </si>
  <si>
    <t xml:space="preserve">ORD-100646</t>
  </si>
  <si>
    <t xml:space="preserve">ORD-100647</t>
  </si>
  <si>
    <t xml:space="preserve">P015</t>
  </si>
  <si>
    <t xml:space="preserve">ORD-100648</t>
  </si>
  <si>
    <t xml:space="preserve">ORD-100649</t>
  </si>
  <si>
    <t xml:space="preserve">ORD-100650</t>
  </si>
  <si>
    <t xml:space="preserve">ORD-100651</t>
  </si>
  <si>
    <t xml:space="preserve">ORD-100652</t>
  </si>
  <si>
    <t xml:space="preserve">ORD-100653</t>
  </si>
  <si>
    <t xml:space="preserve">ORD-100654</t>
  </si>
  <si>
    <t xml:space="preserve">ORD-100655</t>
  </si>
  <si>
    <t xml:space="preserve">ORD-100656</t>
  </si>
  <si>
    <t xml:space="preserve">ORD-100657</t>
  </si>
  <si>
    <t xml:space="preserve">ORD-100658</t>
  </si>
  <si>
    <t xml:space="preserve">ORD-100659</t>
  </si>
  <si>
    <t xml:space="preserve">ORD-100660</t>
  </si>
  <si>
    <t xml:space="preserve">ORD-100661</t>
  </si>
  <si>
    <t xml:space="preserve">ORD-100662</t>
  </si>
  <si>
    <t xml:space="preserve">ORD-100663</t>
  </si>
  <si>
    <t xml:space="preserve">ORD-100664</t>
  </si>
  <si>
    <t xml:space="preserve">ORD-100665</t>
  </si>
  <si>
    <t xml:space="preserve">ORD-100666</t>
  </si>
  <si>
    <t xml:space="preserve">ORD-100667</t>
  </si>
  <si>
    <t xml:space="preserve">ORD-100668</t>
  </si>
  <si>
    <t xml:space="preserve">ORD-100669</t>
  </si>
  <si>
    <t xml:space="preserve">ORD-100670</t>
  </si>
  <si>
    <t xml:space="preserve">ORD-100671</t>
  </si>
  <si>
    <t xml:space="preserve">ORD-100672</t>
  </si>
  <si>
    <t xml:space="preserve">ORD-100673</t>
  </si>
  <si>
    <t xml:space="preserve">ORD-100674</t>
  </si>
  <si>
    <t xml:space="preserve">ORD-100675</t>
  </si>
  <si>
    <t xml:space="preserve">ORD-100676</t>
  </si>
  <si>
    <t xml:space="preserve">ORD-100677</t>
  </si>
  <si>
    <t xml:space="preserve">ORD-100678</t>
  </si>
  <si>
    <t xml:space="preserve">ORD-100679</t>
  </si>
  <si>
    <t xml:space="preserve">ORD-100680</t>
  </si>
  <si>
    <t xml:space="preserve">ORD-100681</t>
  </si>
  <si>
    <t xml:space="preserve">ORD-100682</t>
  </si>
  <si>
    <t xml:space="preserve">ORD-100683</t>
  </si>
  <si>
    <t xml:space="preserve">ORD-100684</t>
  </si>
  <si>
    <t xml:space="preserve">ORD-100685</t>
  </si>
  <si>
    <t xml:space="preserve">ORD-100686</t>
  </si>
  <si>
    <t xml:space="preserve">ORD-100687</t>
  </si>
  <si>
    <t xml:space="preserve">ORD-100688</t>
  </si>
  <si>
    <t xml:space="preserve">ORD-100689</t>
  </si>
  <si>
    <t xml:space="preserve">P018</t>
  </si>
  <si>
    <t xml:space="preserve">ORD-100690</t>
  </si>
  <si>
    <t xml:space="preserve">ORD-100691</t>
  </si>
  <si>
    <t xml:space="preserve">ORD-100692</t>
  </si>
  <si>
    <t xml:space="preserve">ORD-100693</t>
  </si>
  <si>
    <t xml:space="preserve">ORD-100694</t>
  </si>
  <si>
    <t xml:space="preserve">ORD-100695</t>
  </si>
  <si>
    <t xml:space="preserve">ORD-100696</t>
  </si>
  <si>
    <t xml:space="preserve">ORD-100697</t>
  </si>
  <si>
    <t xml:space="preserve">ORD-100698</t>
  </si>
  <si>
    <t xml:space="preserve">ORD-100699</t>
  </si>
  <si>
    <t xml:space="preserve">ORD-100700</t>
  </si>
  <si>
    <t xml:space="preserve">ORD-100701</t>
  </si>
  <si>
    <t xml:space="preserve">ORD-100702</t>
  </si>
  <si>
    <t xml:space="preserve">ORD-100703</t>
  </si>
  <si>
    <t xml:space="preserve">ORD-100704</t>
  </si>
  <si>
    <t xml:space="preserve">ORD-100705</t>
  </si>
  <si>
    <t xml:space="preserve">ORD-100706</t>
  </si>
  <si>
    <t xml:space="preserve">ORD-100707</t>
  </si>
  <si>
    <t xml:space="preserve">ORD-100708</t>
  </si>
  <si>
    <t xml:space="preserve">ORD-100709</t>
  </si>
  <si>
    <t xml:space="preserve">ORD-100710</t>
  </si>
  <si>
    <t xml:space="preserve">ORD-100711</t>
  </si>
  <si>
    <t xml:space="preserve">ORD-100712</t>
  </si>
  <si>
    <t xml:space="preserve">ORD-100713</t>
  </si>
  <si>
    <t xml:space="preserve">ORD-100714</t>
  </si>
  <si>
    <t xml:space="preserve">ORD-100715</t>
  </si>
  <si>
    <t xml:space="preserve">ORD-100716</t>
  </si>
  <si>
    <t xml:space="preserve">ORD-100717</t>
  </si>
  <si>
    <t xml:space="preserve">ORD-100718</t>
  </si>
  <si>
    <t xml:space="preserve">ORD-100719</t>
  </si>
  <si>
    <t xml:space="preserve">ORD-100720</t>
  </si>
  <si>
    <t xml:space="preserve">ORD-100721</t>
  </si>
  <si>
    <t xml:space="preserve">ORD-100722</t>
  </si>
  <si>
    <t xml:space="preserve">ORD-100723</t>
  </si>
  <si>
    <t xml:space="preserve">ORD-100724</t>
  </si>
  <si>
    <t xml:space="preserve">ORD-100725</t>
  </si>
  <si>
    <t xml:space="preserve">ORD-100726</t>
  </si>
  <si>
    <t xml:space="preserve">ORD-100727</t>
  </si>
  <si>
    <t xml:space="preserve">ORD-100728</t>
  </si>
  <si>
    <t xml:space="preserve">ORD-100729</t>
  </si>
  <si>
    <t xml:space="preserve">ORD-100730</t>
  </si>
  <si>
    <t xml:space="preserve">ORD-100731</t>
  </si>
  <si>
    <t xml:space="preserve">ORD-100732</t>
  </si>
  <si>
    <t xml:space="preserve">ORD-100733</t>
  </si>
  <si>
    <t xml:space="preserve">ORD-100734</t>
  </si>
  <si>
    <t xml:space="preserve">ORD-100735</t>
  </si>
  <si>
    <t xml:space="preserve">ORD-100736</t>
  </si>
  <si>
    <t xml:space="preserve">ORD-100737</t>
  </si>
  <si>
    <t xml:space="preserve">ORD-100738</t>
  </si>
  <si>
    <t xml:space="preserve">ORD-100739</t>
  </si>
  <si>
    <t xml:space="preserve">ORD-100740</t>
  </si>
  <si>
    <t xml:space="preserve">ORD-100741</t>
  </si>
  <si>
    <t xml:space="preserve">ORD-100742</t>
  </si>
  <si>
    <t xml:space="preserve">ORD-100743</t>
  </si>
  <si>
    <t xml:space="preserve">ORD-100744</t>
  </si>
  <si>
    <t xml:space="preserve">ORD-100745</t>
  </si>
  <si>
    <t xml:space="preserve">ORD-100746</t>
  </si>
  <si>
    <t xml:space="preserve">ORD-100747</t>
  </si>
  <si>
    <t xml:space="preserve">ORD-100748</t>
  </si>
  <si>
    <t xml:space="preserve">ORD-100749</t>
  </si>
  <si>
    <t xml:space="preserve">ORD-100750</t>
  </si>
  <si>
    <t xml:space="preserve">ORD-100751</t>
  </si>
  <si>
    <t xml:space="preserve">ORD-100752</t>
  </si>
  <si>
    <t xml:space="preserve">ORD-100753</t>
  </si>
  <si>
    <t xml:space="preserve">ORD-100754</t>
  </si>
  <si>
    <t xml:space="preserve">ORD-100755</t>
  </si>
  <si>
    <t xml:space="preserve">ORD-100756</t>
  </si>
  <si>
    <t xml:space="preserve">ORD-100757</t>
  </si>
  <si>
    <t xml:space="preserve">ORD-100758</t>
  </si>
  <si>
    <t xml:space="preserve">ORD-100759</t>
  </si>
  <si>
    <t xml:space="preserve">ORD-100760</t>
  </si>
  <si>
    <t xml:space="preserve">ORD-100761</t>
  </si>
  <si>
    <t xml:space="preserve">ORD-100762</t>
  </si>
  <si>
    <t xml:space="preserve">ORD-100763</t>
  </si>
  <si>
    <t xml:space="preserve">ORD-100764</t>
  </si>
  <si>
    <t xml:space="preserve">ORD-100765</t>
  </si>
  <si>
    <t xml:space="preserve">ORD-100766</t>
  </si>
  <si>
    <t xml:space="preserve">ORD-100767</t>
  </si>
  <si>
    <t xml:space="preserve">ORD-100768</t>
  </si>
  <si>
    <t xml:space="preserve">ORD-100769</t>
  </si>
  <si>
    <t xml:space="preserve">ORD-100770</t>
  </si>
  <si>
    <t xml:space="preserve">ORD-100771</t>
  </si>
  <si>
    <t xml:space="preserve">ORD-100772</t>
  </si>
  <si>
    <t xml:space="preserve">ORD-100773</t>
  </si>
  <si>
    <t xml:space="preserve">ORD-100774</t>
  </si>
  <si>
    <t xml:space="preserve">ORD-100775</t>
  </si>
  <si>
    <t xml:space="preserve">ORD-100776</t>
  </si>
  <si>
    <t xml:space="preserve">ORD-100777</t>
  </si>
  <si>
    <t xml:space="preserve">ORD-100778</t>
  </si>
  <si>
    <t xml:space="preserve">ORD-100779</t>
  </si>
  <si>
    <t xml:space="preserve">ORD-100780</t>
  </si>
  <si>
    <t xml:space="preserve">ORD-100781</t>
  </si>
  <si>
    <t xml:space="preserve">ORD-100782</t>
  </si>
  <si>
    <t xml:space="preserve">ORD-100783</t>
  </si>
  <si>
    <t xml:space="preserve">ORD-100784</t>
  </si>
  <si>
    <t xml:space="preserve">ORD-100785</t>
  </si>
  <si>
    <t xml:space="preserve">ORD-100786</t>
  </si>
  <si>
    <t xml:space="preserve">ORD-100787</t>
  </si>
  <si>
    <t xml:space="preserve">ORD-100788</t>
  </si>
  <si>
    <t xml:space="preserve">ORD-100789</t>
  </si>
  <si>
    <t xml:space="preserve">ORD-100790</t>
  </si>
  <si>
    <t xml:space="preserve">ORD-100791</t>
  </si>
  <si>
    <t xml:space="preserve">ORD-100792</t>
  </si>
  <si>
    <t xml:space="preserve">ORD-100793</t>
  </si>
  <si>
    <t xml:space="preserve">ORD-100794</t>
  </si>
  <si>
    <t xml:space="preserve">ORD-100795</t>
  </si>
  <si>
    <t xml:space="preserve">ORD-100796</t>
  </si>
  <si>
    <t xml:space="preserve">ORD-100797</t>
  </si>
  <si>
    <t xml:space="preserve">ORD-100798</t>
  </si>
  <si>
    <t xml:space="preserve">ORD-100799</t>
  </si>
  <si>
    <t xml:space="preserve">ORD-100800</t>
  </si>
  <si>
    <t xml:space="preserve">ORD-100801</t>
  </si>
  <si>
    <t xml:space="preserve">ORD-100802</t>
  </si>
  <si>
    <t xml:space="preserve">ORD-100803</t>
  </si>
  <si>
    <t xml:space="preserve">ORD-100804</t>
  </si>
  <si>
    <t xml:space="preserve">ORD-100805</t>
  </si>
  <si>
    <t xml:space="preserve">ORD-100806</t>
  </si>
  <si>
    <t xml:space="preserve">ORD-100807</t>
  </si>
  <si>
    <t xml:space="preserve">ORD-100808</t>
  </si>
  <si>
    <t xml:space="preserve">ORD-100809</t>
  </si>
  <si>
    <t xml:space="preserve">ORD-100810</t>
  </si>
  <si>
    <t xml:space="preserve">ORD-100811</t>
  </si>
  <si>
    <t xml:space="preserve">ORD-100812</t>
  </si>
  <si>
    <t xml:space="preserve">ORD-100813</t>
  </si>
  <si>
    <t xml:space="preserve">ORD-100814</t>
  </si>
  <si>
    <t xml:space="preserve">ORD-100815</t>
  </si>
  <si>
    <t xml:space="preserve">ORD-100816</t>
  </si>
  <si>
    <t xml:space="preserve">ORD-100817</t>
  </si>
  <si>
    <t xml:space="preserve">ORD-100818</t>
  </si>
  <si>
    <t xml:space="preserve">ORD-100819</t>
  </si>
  <si>
    <t xml:space="preserve">ORD-100820</t>
  </si>
  <si>
    <t xml:space="preserve">ORD-100821</t>
  </si>
  <si>
    <t xml:space="preserve">ORD-100822</t>
  </si>
  <si>
    <t xml:space="preserve">ORD-100823</t>
  </si>
  <si>
    <t xml:space="preserve">ORD-100824</t>
  </si>
  <si>
    <t xml:space="preserve">ORD-100825</t>
  </si>
  <si>
    <t xml:space="preserve">ORD-100826</t>
  </si>
  <si>
    <t xml:space="preserve">ORD-100827</t>
  </si>
  <si>
    <t xml:space="preserve">ORD-100828</t>
  </si>
  <si>
    <t xml:space="preserve">P048</t>
  </si>
  <si>
    <t xml:space="preserve">ORD-100829</t>
  </si>
  <si>
    <t xml:space="preserve">ORD-100830</t>
  </si>
  <si>
    <t xml:space="preserve">ORD-100831</t>
  </si>
  <si>
    <t xml:space="preserve">ORD-100832</t>
  </si>
  <si>
    <t xml:space="preserve">ORD-100833</t>
  </si>
  <si>
    <t xml:space="preserve">ORD-100834</t>
  </si>
  <si>
    <t xml:space="preserve">ORD-100835</t>
  </si>
  <si>
    <t xml:space="preserve">ORD-100836</t>
  </si>
  <si>
    <t xml:space="preserve">ORD-100837</t>
  </si>
  <si>
    <t xml:space="preserve">ORD-100838</t>
  </si>
  <si>
    <t xml:space="preserve">ORD-100839</t>
  </si>
  <si>
    <t xml:space="preserve">ORD-100840</t>
  </si>
  <si>
    <t xml:space="preserve">ORD-100841</t>
  </si>
  <si>
    <t xml:space="preserve">ORD-100842</t>
  </si>
  <si>
    <t xml:space="preserve">ORD-100843</t>
  </si>
  <si>
    <t xml:space="preserve">ORD-100844</t>
  </si>
  <si>
    <t xml:space="preserve">ORD-100845</t>
  </si>
  <si>
    <t xml:space="preserve">ORD-100846</t>
  </si>
  <si>
    <t xml:space="preserve">ORD-100847</t>
  </si>
  <si>
    <t xml:space="preserve">ORD-100848</t>
  </si>
  <si>
    <t xml:space="preserve">ORD-100849</t>
  </si>
  <si>
    <t xml:space="preserve">ORD-100850</t>
  </si>
  <si>
    <t xml:space="preserve">ORD-100851</t>
  </si>
  <si>
    <t xml:space="preserve">ORD-100852</t>
  </si>
  <si>
    <t xml:space="preserve">ORD-100853</t>
  </si>
  <si>
    <t xml:space="preserve">ORD-100854</t>
  </si>
  <si>
    <t xml:space="preserve">ORD-100855</t>
  </si>
  <si>
    <t xml:space="preserve">ORD-100856</t>
  </si>
  <si>
    <t xml:space="preserve">ORD-100857</t>
  </si>
  <si>
    <t xml:space="preserve">ORD-100858</t>
  </si>
  <si>
    <t xml:space="preserve">ORD-100859</t>
  </si>
  <si>
    <t xml:space="preserve">ORD-100860</t>
  </si>
  <si>
    <t xml:space="preserve">ORD-100861</t>
  </si>
  <si>
    <t xml:space="preserve">ORD-100862</t>
  </si>
  <si>
    <t xml:space="preserve">ORD-100863</t>
  </si>
  <si>
    <t xml:space="preserve">ORD-100864</t>
  </si>
  <si>
    <t xml:space="preserve">ORD-100865</t>
  </si>
  <si>
    <t xml:space="preserve">ORD-100866</t>
  </si>
  <si>
    <t xml:space="preserve">ORD-100867</t>
  </si>
  <si>
    <t xml:space="preserve">ORD-100868</t>
  </si>
  <si>
    <t xml:space="preserve">ORD-100869</t>
  </si>
  <si>
    <t xml:space="preserve">ORD-100870</t>
  </si>
  <si>
    <t xml:space="preserve">ORD-100871</t>
  </si>
  <si>
    <t xml:space="preserve">ORD-100872</t>
  </si>
  <si>
    <t xml:space="preserve">ORD-100873</t>
  </si>
  <si>
    <t xml:space="preserve">ORD-100874</t>
  </si>
  <si>
    <t xml:space="preserve">ORD-100875</t>
  </si>
  <si>
    <t xml:space="preserve">ORD-100876</t>
  </si>
  <si>
    <t xml:space="preserve">ORD-100877</t>
  </si>
  <si>
    <t xml:space="preserve">ORD-100878</t>
  </si>
  <si>
    <t xml:space="preserve">ORD-100879</t>
  </si>
  <si>
    <t xml:space="preserve">ORD-100880</t>
  </si>
  <si>
    <t xml:space="preserve">ORD-100881</t>
  </si>
  <si>
    <t xml:space="preserve">ORD-100882</t>
  </si>
  <si>
    <t xml:space="preserve">P016</t>
  </si>
  <si>
    <t xml:space="preserve">ORD-100883</t>
  </si>
  <si>
    <t xml:space="preserve">ORD-100884</t>
  </si>
  <si>
    <t xml:space="preserve">ORD-100885</t>
  </si>
  <si>
    <t xml:space="preserve">ORD-100886</t>
  </si>
  <si>
    <t xml:space="preserve">ORD-100887</t>
  </si>
  <si>
    <t xml:space="preserve">ORD-100888</t>
  </si>
  <si>
    <t xml:space="preserve">ORD-100889</t>
  </si>
  <si>
    <t xml:space="preserve">P017</t>
  </si>
  <si>
    <t xml:space="preserve">ORD-100890</t>
  </si>
  <si>
    <t xml:space="preserve">ORD-100891</t>
  </si>
  <si>
    <t xml:space="preserve">ORD-100892</t>
  </si>
  <si>
    <t xml:space="preserve">ORD-100893</t>
  </si>
  <si>
    <t xml:space="preserve">P013</t>
  </si>
  <si>
    <t xml:space="preserve">ORD-100894</t>
  </si>
  <si>
    <t xml:space="preserve">ORD-100895</t>
  </si>
  <si>
    <t xml:space="preserve">ORD-100896</t>
  </si>
  <si>
    <t xml:space="preserve">ORD-100897</t>
  </si>
  <si>
    <t xml:space="preserve">ORD-100898</t>
  </si>
  <si>
    <t xml:space="preserve">ORD-100899</t>
  </si>
  <si>
    <t xml:space="preserve">ORD-100900</t>
  </si>
  <si>
    <t xml:space="preserve">ORD-100901</t>
  </si>
  <si>
    <t xml:space="preserve">ORD-100902</t>
  </si>
  <si>
    <t xml:space="preserve">ORD-100903</t>
  </si>
  <si>
    <t xml:space="preserve">ORD-100904</t>
  </si>
  <si>
    <t xml:space="preserve">ORD-100905</t>
  </si>
  <si>
    <t xml:space="preserve">ORD-100906</t>
  </si>
  <si>
    <t xml:space="preserve">ORD-100907</t>
  </si>
  <si>
    <t xml:space="preserve">ORD-100908</t>
  </si>
  <si>
    <t xml:space="preserve">ORD-100909</t>
  </si>
  <si>
    <t xml:space="preserve">ORD-100910</t>
  </si>
  <si>
    <t xml:space="preserve">ORD-100911</t>
  </si>
  <si>
    <t xml:space="preserve">ORD-100912</t>
  </si>
  <si>
    <t xml:space="preserve">ORD-100913</t>
  </si>
  <si>
    <t xml:space="preserve">ORD-100914</t>
  </si>
  <si>
    <t xml:space="preserve">ORD-100915</t>
  </si>
  <si>
    <t xml:space="preserve">ORD-100916</t>
  </si>
  <si>
    <t xml:space="preserve">ORD-100917</t>
  </si>
  <si>
    <t xml:space="preserve">ORD-100918</t>
  </si>
  <si>
    <t xml:space="preserve">ORD-100919</t>
  </si>
  <si>
    <t xml:space="preserve">ORD-100920</t>
  </si>
  <si>
    <t xml:space="preserve">ORD-100921</t>
  </si>
  <si>
    <t xml:space="preserve">ORD-100922</t>
  </si>
  <si>
    <t xml:space="preserve">ORD-100923</t>
  </si>
  <si>
    <t xml:space="preserve">ORD-100924</t>
  </si>
  <si>
    <t xml:space="preserve">ORD-100925</t>
  </si>
  <si>
    <t xml:space="preserve">ORD-100926</t>
  </si>
  <si>
    <t xml:space="preserve">ORD-100927</t>
  </si>
  <si>
    <t xml:space="preserve">P020</t>
  </si>
  <si>
    <t xml:space="preserve">ORD-100928</t>
  </si>
  <si>
    <t xml:space="preserve">ORD-100929</t>
  </si>
  <si>
    <t xml:space="preserve">ORD-100930</t>
  </si>
  <si>
    <t xml:space="preserve">ORD-100931</t>
  </si>
  <si>
    <t xml:space="preserve">ORD-100932</t>
  </si>
  <si>
    <t xml:space="preserve">ORD-100933</t>
  </si>
  <si>
    <t xml:space="preserve">ORD-100934</t>
  </si>
  <si>
    <t xml:space="preserve">ORD-100935</t>
  </si>
  <si>
    <t xml:space="preserve">ORD-100936</t>
  </si>
  <si>
    <t xml:space="preserve">ORD-100937</t>
  </si>
  <si>
    <t xml:space="preserve">ORD-100938</t>
  </si>
  <si>
    <t xml:space="preserve">ORD-100939</t>
  </si>
  <si>
    <t xml:space="preserve">ORD-100940</t>
  </si>
  <si>
    <t xml:space="preserve">ORD-100941</t>
  </si>
  <si>
    <t xml:space="preserve">ORD-100942</t>
  </si>
  <si>
    <t xml:space="preserve">ORD-100943</t>
  </si>
  <si>
    <t xml:space="preserve">ORD-100944</t>
  </si>
  <si>
    <t xml:space="preserve">ORD-100945</t>
  </si>
  <si>
    <t xml:space="preserve">ORD-100946</t>
  </si>
  <si>
    <t xml:space="preserve">ORD-100947</t>
  </si>
  <si>
    <t xml:space="preserve">ORD-100948</t>
  </si>
  <si>
    <t xml:space="preserve">ORD-100949</t>
  </si>
  <si>
    <t xml:space="preserve">ORD-100950</t>
  </si>
  <si>
    <t xml:space="preserve">ORD-100951</t>
  </si>
  <si>
    <t xml:space="preserve">ORD-100952</t>
  </si>
  <si>
    <t xml:space="preserve">ORD-100953</t>
  </si>
  <si>
    <t xml:space="preserve">ORD-100954</t>
  </si>
  <si>
    <t xml:space="preserve">ORD-100955</t>
  </si>
  <si>
    <t xml:space="preserve">ORD-100956</t>
  </si>
  <si>
    <t xml:space="preserve">ORD-100957</t>
  </si>
  <si>
    <t xml:space="preserve">ORD-100958</t>
  </si>
  <si>
    <t xml:space="preserve">ORD-100959</t>
  </si>
  <si>
    <t xml:space="preserve">ORD-100960</t>
  </si>
  <si>
    <t xml:space="preserve">ORD-100961</t>
  </si>
  <si>
    <t xml:space="preserve">ORD-100962</t>
  </si>
  <si>
    <t xml:space="preserve">ORD-100963</t>
  </si>
  <si>
    <t xml:space="preserve">ORD-100964</t>
  </si>
  <si>
    <t xml:space="preserve">ORD-100965</t>
  </si>
  <si>
    <t xml:space="preserve">ORD-100966</t>
  </si>
  <si>
    <t xml:space="preserve">ORD-100967</t>
  </si>
  <si>
    <t xml:space="preserve">ORD-100968</t>
  </si>
  <si>
    <t xml:space="preserve">ORD-100969</t>
  </si>
  <si>
    <t xml:space="preserve">ORD-100970</t>
  </si>
  <si>
    <t xml:space="preserve">ORD-100971</t>
  </si>
  <si>
    <t xml:space="preserve">ORD-100972</t>
  </si>
  <si>
    <t xml:space="preserve">ORD-100973</t>
  </si>
  <si>
    <t xml:space="preserve">ORD-100974</t>
  </si>
  <si>
    <t xml:space="preserve">ORD-100975</t>
  </si>
  <si>
    <t xml:space="preserve">ORD-100976</t>
  </si>
  <si>
    <t xml:space="preserve">ORD-100977</t>
  </si>
  <si>
    <t xml:space="preserve">ORD-100978</t>
  </si>
  <si>
    <t xml:space="preserve">ORD-100979</t>
  </si>
  <si>
    <t xml:space="preserve">ORD-100980</t>
  </si>
  <si>
    <t xml:space="preserve">ORD-100981</t>
  </si>
  <si>
    <t xml:space="preserve">ORD-100982</t>
  </si>
  <si>
    <t xml:space="preserve">ORD-100983</t>
  </si>
  <si>
    <t xml:space="preserve">ORD-100984</t>
  </si>
  <si>
    <t xml:space="preserve">ORD-100985</t>
  </si>
  <si>
    <t xml:space="preserve">ORD-100986</t>
  </si>
  <si>
    <t xml:space="preserve">ORD-100987</t>
  </si>
  <si>
    <t xml:space="preserve">ORD-100988</t>
  </si>
  <si>
    <t xml:space="preserve">ORD-100989</t>
  </si>
  <si>
    <t xml:space="preserve">ORD-100990</t>
  </si>
  <si>
    <t xml:space="preserve">ORD-100991</t>
  </si>
  <si>
    <t xml:space="preserve">ORD-100992</t>
  </si>
  <si>
    <t xml:space="preserve">ORD-100993</t>
  </si>
  <si>
    <t xml:space="preserve">ORD-100994</t>
  </si>
  <si>
    <t xml:space="preserve">ORD-100995</t>
  </si>
  <si>
    <t xml:space="preserve">ORD-100996</t>
  </si>
  <si>
    <t xml:space="preserve">ORD-100997</t>
  </si>
  <si>
    <t xml:space="preserve">ORD-100998</t>
  </si>
  <si>
    <t xml:space="preserve">ORD-100999</t>
  </si>
  <si>
    <t xml:space="preserve">ORD-101000</t>
  </si>
  <si>
    <t xml:space="preserve">ORD-101001</t>
  </si>
  <si>
    <t xml:space="preserve">ORD-101002</t>
  </si>
  <si>
    <t xml:space="preserve">ORD-101003</t>
  </si>
  <si>
    <t xml:space="preserve">ORD-101004</t>
  </si>
  <si>
    <t xml:space="preserve">ORD-101005</t>
  </si>
  <si>
    <t xml:space="preserve">ORD-101006</t>
  </si>
  <si>
    <t xml:space="preserve">ORD-101007</t>
  </si>
  <si>
    <t xml:space="preserve">ORD-101008</t>
  </si>
  <si>
    <t xml:space="preserve">ORD-101009</t>
  </si>
  <si>
    <t xml:space="preserve">ORD-101010</t>
  </si>
  <si>
    <t xml:space="preserve">ORD-101011</t>
  </si>
  <si>
    <t xml:space="preserve">ORD-101012</t>
  </si>
  <si>
    <t xml:space="preserve">ORD-101013</t>
  </si>
  <si>
    <t xml:space="preserve">ORD-101014</t>
  </si>
  <si>
    <t xml:space="preserve">ORD-101015</t>
  </si>
  <si>
    <t xml:space="preserve">ORD-101016</t>
  </si>
  <si>
    <t xml:space="preserve">ORD-101017</t>
  </si>
  <si>
    <t xml:space="preserve">ORD-101018</t>
  </si>
  <si>
    <t xml:space="preserve">ORD-101019</t>
  </si>
  <si>
    <t xml:space="preserve">ORD-101020</t>
  </si>
  <si>
    <t xml:space="preserve">ORD-101021</t>
  </si>
  <si>
    <t xml:space="preserve">ORD-101022</t>
  </si>
  <si>
    <t xml:space="preserve">ORD-101023</t>
  </si>
  <si>
    <t xml:space="preserve">ORD-101024</t>
  </si>
  <si>
    <t xml:space="preserve">ORD-101025</t>
  </si>
  <si>
    <t xml:space="preserve">ORD-101026</t>
  </si>
  <si>
    <t xml:space="preserve">ORD-101027</t>
  </si>
  <si>
    <t xml:space="preserve">ORD-101028</t>
  </si>
  <si>
    <t xml:space="preserve">ORD-101029</t>
  </si>
  <si>
    <t xml:space="preserve">ORD-101030</t>
  </si>
  <si>
    <t xml:space="preserve">ORD-101031</t>
  </si>
  <si>
    <t xml:space="preserve">ORD-101032</t>
  </si>
  <si>
    <t xml:space="preserve">ORD-101033</t>
  </si>
  <si>
    <t xml:space="preserve">ORD-101034</t>
  </si>
  <si>
    <t xml:space="preserve">ORD-101035</t>
  </si>
  <si>
    <t xml:space="preserve">ORD-101036</t>
  </si>
  <si>
    <t xml:space="preserve">ORD-101037</t>
  </si>
  <si>
    <t xml:space="preserve">ORD-101038</t>
  </si>
  <si>
    <t xml:space="preserve">ORD-101039</t>
  </si>
  <si>
    <t xml:space="preserve">ORD-101040</t>
  </si>
  <si>
    <t xml:space="preserve">ORD-101041</t>
  </si>
  <si>
    <t xml:space="preserve">ORD-101042</t>
  </si>
  <si>
    <t xml:space="preserve">ORD-101043</t>
  </si>
  <si>
    <t xml:space="preserve">ORD-101044</t>
  </si>
  <si>
    <t xml:space="preserve">ORD-101045</t>
  </si>
  <si>
    <t xml:space="preserve">ORD-101046</t>
  </si>
  <si>
    <t xml:space="preserve">ORD-101047</t>
  </si>
  <si>
    <t xml:space="preserve">ORD-101048</t>
  </si>
  <si>
    <t xml:space="preserve">ORD-101049</t>
  </si>
  <si>
    <t xml:space="preserve">ORD-101050</t>
  </si>
  <si>
    <t xml:space="preserve">ORD-101051</t>
  </si>
  <si>
    <t xml:space="preserve">ORD-101052</t>
  </si>
  <si>
    <t xml:space="preserve">ORD-101053</t>
  </si>
  <si>
    <t xml:space="preserve">ORD-101054</t>
  </si>
  <si>
    <t xml:space="preserve">ORD-101055</t>
  </si>
  <si>
    <t xml:space="preserve">ORD-101056</t>
  </si>
  <si>
    <t xml:space="preserve">ORD-101057</t>
  </si>
  <si>
    <t xml:space="preserve">ORD-101058</t>
  </si>
  <si>
    <t xml:space="preserve">ORD-101059</t>
  </si>
  <si>
    <t xml:space="preserve">ORD-101060</t>
  </si>
  <si>
    <t xml:space="preserve">ORD-101061</t>
  </si>
  <si>
    <t xml:space="preserve">ORD-101062</t>
  </si>
  <si>
    <t xml:space="preserve">ORD-101063</t>
  </si>
  <si>
    <t xml:space="preserve">ORD-101064</t>
  </si>
  <si>
    <t xml:space="preserve">ORD-101065</t>
  </si>
  <si>
    <t xml:space="preserve">ORD-101066</t>
  </si>
  <si>
    <t xml:space="preserve">ORD-101067</t>
  </si>
  <si>
    <t xml:space="preserve">ORD-101068</t>
  </si>
  <si>
    <t xml:space="preserve">ORD-101069</t>
  </si>
  <si>
    <t xml:space="preserve">ORD-101070</t>
  </si>
  <si>
    <t xml:space="preserve">ORD-101071</t>
  </si>
  <si>
    <t xml:space="preserve">ORD-101072</t>
  </si>
  <si>
    <t xml:space="preserve">ORD-101073</t>
  </si>
  <si>
    <t xml:space="preserve">ORD-101074</t>
  </si>
  <si>
    <t xml:space="preserve">ORD-101075</t>
  </si>
  <si>
    <t xml:space="preserve">ORD-101076</t>
  </si>
  <si>
    <t xml:space="preserve">ORD-101077</t>
  </si>
  <si>
    <t xml:space="preserve">ORD-101078</t>
  </si>
  <si>
    <t xml:space="preserve">ORD-101079</t>
  </si>
  <si>
    <t xml:space="preserve">ORD-101080</t>
  </si>
  <si>
    <t xml:space="preserve">ORD-101081</t>
  </si>
  <si>
    <t xml:space="preserve">ORD-101082</t>
  </si>
  <si>
    <t xml:space="preserve">ORD-101083</t>
  </si>
  <si>
    <t xml:space="preserve">ORD-101084</t>
  </si>
  <si>
    <t xml:space="preserve">ORD-101085</t>
  </si>
  <si>
    <t xml:space="preserve">ORD-101086</t>
  </si>
  <si>
    <t xml:space="preserve">ORD-101087</t>
  </si>
  <si>
    <t xml:space="preserve">ORD-101088</t>
  </si>
  <si>
    <t xml:space="preserve">ORD-101089</t>
  </si>
  <si>
    <t xml:space="preserve">ORD-101090</t>
  </si>
  <si>
    <t xml:space="preserve">ORD-101091</t>
  </si>
  <si>
    <t xml:space="preserve">ORD-101092</t>
  </si>
  <si>
    <t xml:space="preserve">ORD-101093</t>
  </si>
  <si>
    <t xml:space="preserve">ORD-101094</t>
  </si>
  <si>
    <t xml:space="preserve">ORD-101095</t>
  </si>
  <si>
    <t xml:space="preserve">ORD-101096</t>
  </si>
  <si>
    <t xml:space="preserve">ORD-101097</t>
  </si>
  <si>
    <t xml:space="preserve">ORD-101098</t>
  </si>
  <si>
    <t xml:space="preserve">ORD-101099</t>
  </si>
  <si>
    <t xml:space="preserve">ORD-101100</t>
  </si>
  <si>
    <t xml:space="preserve">ORD-101101</t>
  </si>
  <si>
    <t xml:space="preserve">ORD-101102</t>
  </si>
  <si>
    <t xml:space="preserve">ORD-101103</t>
  </si>
  <si>
    <t xml:space="preserve">ORD-101104</t>
  </si>
  <si>
    <t xml:space="preserve">ORD-101105</t>
  </si>
  <si>
    <t xml:space="preserve">ORD-101106</t>
  </si>
  <si>
    <t xml:space="preserve">ORD-101107</t>
  </si>
  <si>
    <t xml:space="preserve">ORD-101108</t>
  </si>
  <si>
    <t xml:space="preserve">ORD-101109</t>
  </si>
  <si>
    <t xml:space="preserve">ORD-101110</t>
  </si>
  <si>
    <t xml:space="preserve">ORD-101111</t>
  </si>
  <si>
    <t xml:space="preserve">ORD-101112</t>
  </si>
  <si>
    <t xml:space="preserve">ORD-101113</t>
  </si>
  <si>
    <t xml:space="preserve">ORD-101114</t>
  </si>
  <si>
    <t xml:space="preserve">ORD-101115</t>
  </si>
  <si>
    <t xml:space="preserve">ORD-101116</t>
  </si>
  <si>
    <t xml:space="preserve">ORD-101117</t>
  </si>
  <si>
    <t xml:space="preserve">ORD-101118</t>
  </si>
  <si>
    <t xml:space="preserve">ORD-101119</t>
  </si>
  <si>
    <t xml:space="preserve">ORD-101120</t>
  </si>
  <si>
    <t xml:space="preserve">ORD-101121</t>
  </si>
  <si>
    <t xml:space="preserve">ORD-101122</t>
  </si>
  <si>
    <t xml:space="preserve">ORD-101123</t>
  </si>
  <si>
    <t xml:space="preserve">ORD-101124</t>
  </si>
  <si>
    <t xml:space="preserve">ORD-101125</t>
  </si>
  <si>
    <t xml:space="preserve">ORD-101126</t>
  </si>
  <si>
    <t xml:space="preserve">ORD-101127</t>
  </si>
  <si>
    <t xml:space="preserve">ORD-101128</t>
  </si>
  <si>
    <t xml:space="preserve">ORD-101129</t>
  </si>
  <si>
    <t xml:space="preserve">ORD-101130</t>
  </si>
  <si>
    <t xml:space="preserve">ORD-101131</t>
  </si>
  <si>
    <t xml:space="preserve">ORD-101132</t>
  </si>
  <si>
    <t xml:space="preserve">ORD-101133</t>
  </si>
  <si>
    <t xml:space="preserve">ORD-101134</t>
  </si>
  <si>
    <t xml:space="preserve">ORD-101135</t>
  </si>
  <si>
    <t xml:space="preserve">ORD-101136</t>
  </si>
  <si>
    <t xml:space="preserve">ORD-101137</t>
  </si>
  <si>
    <t xml:space="preserve">ORD-101138</t>
  </si>
  <si>
    <t xml:space="preserve">ORD-101139</t>
  </si>
  <si>
    <t xml:space="preserve">ORD-101140</t>
  </si>
  <si>
    <t xml:space="preserve">ORD-101141</t>
  </si>
  <si>
    <t xml:space="preserve">ORD-101142</t>
  </si>
  <si>
    <t xml:space="preserve">ORD-101143</t>
  </si>
  <si>
    <t xml:space="preserve">ORD-101144</t>
  </si>
  <si>
    <t xml:space="preserve">ORD-101145</t>
  </si>
  <si>
    <t xml:space="preserve">ORD-101146</t>
  </si>
  <si>
    <t xml:space="preserve">ORD-101147</t>
  </si>
  <si>
    <t xml:space="preserve">ORD-101148</t>
  </si>
  <si>
    <t xml:space="preserve">ORD-101149</t>
  </si>
  <si>
    <t xml:space="preserve">ORD-101150</t>
  </si>
  <si>
    <t xml:space="preserve">ORD-101151</t>
  </si>
  <si>
    <t xml:space="preserve">ORD-101152</t>
  </si>
  <si>
    <t xml:space="preserve">ORD-101153</t>
  </si>
  <si>
    <t xml:space="preserve">ORD-101154</t>
  </si>
  <si>
    <t xml:space="preserve">ORD-101155</t>
  </si>
  <si>
    <t xml:space="preserve">ORD-101156</t>
  </si>
  <si>
    <t xml:space="preserve">ORD-101157</t>
  </si>
  <si>
    <t xml:space="preserve">ORD-101158</t>
  </si>
  <si>
    <t xml:space="preserve">ORD-101159</t>
  </si>
  <si>
    <t xml:space="preserve">ORD-101160</t>
  </si>
  <si>
    <t xml:space="preserve">ORD-101161</t>
  </si>
  <si>
    <t xml:space="preserve">ORD-101162</t>
  </si>
  <si>
    <t xml:space="preserve">ORD-101163</t>
  </si>
  <si>
    <t xml:space="preserve">ORD-101164</t>
  </si>
  <si>
    <t xml:space="preserve">ORD-101165</t>
  </si>
  <si>
    <t xml:space="preserve">ORD-101166</t>
  </si>
  <si>
    <t xml:space="preserve">ORD-101167</t>
  </si>
  <si>
    <t xml:space="preserve">ORD-101168</t>
  </si>
  <si>
    <t xml:space="preserve">ORD-101169</t>
  </si>
  <si>
    <t xml:space="preserve">ORD-101170</t>
  </si>
  <si>
    <t xml:space="preserve">ORD-101171</t>
  </si>
  <si>
    <t xml:space="preserve">ORD-101172</t>
  </si>
  <si>
    <t xml:space="preserve">ORD-101173</t>
  </si>
  <si>
    <t xml:space="preserve">ORD-101174</t>
  </si>
  <si>
    <t xml:space="preserve">ORD-101175</t>
  </si>
  <si>
    <t xml:space="preserve">ORD-101176</t>
  </si>
  <si>
    <t xml:space="preserve">ORD-101177</t>
  </si>
  <si>
    <t xml:space="preserve">ORD-101178</t>
  </si>
  <si>
    <t xml:space="preserve">ORD-101179</t>
  </si>
  <si>
    <t xml:space="preserve">ORD-101180</t>
  </si>
  <si>
    <t xml:space="preserve">ORD-101181</t>
  </si>
  <si>
    <t xml:space="preserve">ORD-101182</t>
  </si>
  <si>
    <t xml:space="preserve">ORD-101183</t>
  </si>
  <si>
    <t xml:space="preserve">ORD-101184</t>
  </si>
  <si>
    <t xml:space="preserve">ORD-101185</t>
  </si>
  <si>
    <t xml:space="preserve">ORD-101186</t>
  </si>
  <si>
    <t xml:space="preserve">ORD-101187</t>
  </si>
  <si>
    <t xml:space="preserve">ORD-101188</t>
  </si>
  <si>
    <t xml:space="preserve">ORD-101189</t>
  </si>
  <si>
    <t xml:space="preserve">ORD-101190</t>
  </si>
  <si>
    <t xml:space="preserve">ORD-101191</t>
  </si>
  <si>
    <t xml:space="preserve">ORD-101192</t>
  </si>
  <si>
    <t xml:space="preserve">ORD-101193</t>
  </si>
  <si>
    <t xml:space="preserve">ORD-101194</t>
  </si>
  <si>
    <t xml:space="preserve">ORD-101195</t>
  </si>
  <si>
    <t xml:space="preserve">ORD-101196</t>
  </si>
  <si>
    <t xml:space="preserve">ORD-101197</t>
  </si>
  <si>
    <t xml:space="preserve">ORD-101198</t>
  </si>
  <si>
    <t xml:space="preserve">ORD-101199</t>
  </si>
  <si>
    <t xml:space="preserve">ORD-101200</t>
  </si>
  <si>
    <t xml:space="preserve">ORD-101201</t>
  </si>
  <si>
    <t xml:space="preserve">ORD-101202</t>
  </si>
  <si>
    <t xml:space="preserve">ORD-101203</t>
  </si>
  <si>
    <t xml:space="preserve">ORD-101204</t>
  </si>
  <si>
    <t xml:space="preserve">ORD-101205</t>
  </si>
  <si>
    <t xml:space="preserve">ORD-101206</t>
  </si>
  <si>
    <t xml:space="preserve">ORD-101207</t>
  </si>
  <si>
    <t xml:space="preserve">ORD-101208</t>
  </si>
  <si>
    <t xml:space="preserve">ORD-101209</t>
  </si>
  <si>
    <t xml:space="preserve">ORD-101210</t>
  </si>
  <si>
    <t xml:space="preserve">ORD-101211</t>
  </si>
  <si>
    <t xml:space="preserve">ORD-101212</t>
  </si>
  <si>
    <t xml:space="preserve">ORD-101213</t>
  </si>
  <si>
    <t xml:space="preserve">ORD-101214</t>
  </si>
  <si>
    <t xml:space="preserve">ORD-101215</t>
  </si>
  <si>
    <t xml:space="preserve">ORD-101216</t>
  </si>
  <si>
    <t xml:space="preserve">ORD-101217</t>
  </si>
  <si>
    <t xml:space="preserve">ORD-101218</t>
  </si>
  <si>
    <t xml:space="preserve">ORD-101219</t>
  </si>
  <si>
    <t xml:space="preserve">ORD-101220</t>
  </si>
  <si>
    <t xml:space="preserve">ORD-101221</t>
  </si>
  <si>
    <t xml:space="preserve">ORD-101222</t>
  </si>
  <si>
    <t xml:space="preserve">ORD-101223</t>
  </si>
  <si>
    <t xml:space="preserve">ORD-101224</t>
  </si>
  <si>
    <t xml:space="preserve">ORD-101225</t>
  </si>
  <si>
    <t xml:space="preserve">ORD-101226</t>
  </si>
  <si>
    <t xml:space="preserve">ORD-101227</t>
  </si>
  <si>
    <t xml:space="preserve">ORD-101228</t>
  </si>
  <si>
    <t xml:space="preserve">ORD-101229</t>
  </si>
  <si>
    <t xml:space="preserve">ORD-101230</t>
  </si>
  <si>
    <t xml:space="preserve">ORD-101231</t>
  </si>
  <si>
    <t xml:space="preserve">ORD-101232</t>
  </si>
  <si>
    <t xml:space="preserve">ORD-101233</t>
  </si>
  <si>
    <t xml:space="preserve">ORD-101234</t>
  </si>
  <si>
    <t xml:space="preserve">ORD-101235</t>
  </si>
  <si>
    <t xml:space="preserve">ORD-101236</t>
  </si>
  <si>
    <t xml:space="preserve">ORD-101237</t>
  </si>
  <si>
    <t xml:space="preserve">ORD-101238</t>
  </si>
  <si>
    <t xml:space="preserve">ORD-101239</t>
  </si>
  <si>
    <t xml:space="preserve">ORD-101240</t>
  </si>
  <si>
    <t xml:space="preserve">ORD-101241</t>
  </si>
  <si>
    <t xml:space="preserve">ORD-101242</t>
  </si>
  <si>
    <t xml:space="preserve">ORD-101243</t>
  </si>
  <si>
    <t xml:space="preserve">ORD-101244</t>
  </si>
  <si>
    <t xml:space="preserve">ORD-101245</t>
  </si>
  <si>
    <t xml:space="preserve">ORD-101246</t>
  </si>
  <si>
    <t xml:space="preserve">ORD-101247</t>
  </si>
  <si>
    <t xml:space="preserve">ORD-101248</t>
  </si>
  <si>
    <t xml:space="preserve">ORD-101249</t>
  </si>
  <si>
    <t xml:space="preserve">ORD-101250</t>
  </si>
  <si>
    <t xml:space="preserve">ORD-101251</t>
  </si>
  <si>
    <t xml:space="preserve">ORD-101252</t>
  </si>
  <si>
    <t xml:space="preserve">ORD-101253</t>
  </si>
  <si>
    <t xml:space="preserve">ORD-101254</t>
  </si>
  <si>
    <t xml:space="preserve">ORD-101255</t>
  </si>
  <si>
    <t xml:space="preserve">ORD-101256</t>
  </si>
  <si>
    <t xml:space="preserve">ORD-101257</t>
  </si>
  <si>
    <t xml:space="preserve">ORD-101258</t>
  </si>
  <si>
    <t xml:space="preserve">ORD-101259</t>
  </si>
  <si>
    <t xml:space="preserve">ORD-101260</t>
  </si>
  <si>
    <t xml:space="preserve">ORD-101261</t>
  </si>
  <si>
    <t xml:space="preserve">ORD-101262</t>
  </si>
  <si>
    <t xml:space="preserve">ORD-101263</t>
  </si>
  <si>
    <t xml:space="preserve">ORD-101264</t>
  </si>
  <si>
    <t xml:space="preserve">ORD-101265</t>
  </si>
  <si>
    <t xml:space="preserve">ORD-101266</t>
  </si>
  <si>
    <t xml:space="preserve">ORD-101267</t>
  </si>
  <si>
    <t xml:space="preserve">ORD-101268</t>
  </si>
  <si>
    <t xml:space="preserve">ORD-101269</t>
  </si>
  <si>
    <t xml:space="preserve">ORD-101270</t>
  </si>
  <si>
    <t xml:space="preserve">ORD-101271</t>
  </si>
  <si>
    <t xml:space="preserve">ORD-101272</t>
  </si>
  <si>
    <t xml:space="preserve">ORD-101273</t>
  </si>
  <si>
    <t xml:space="preserve">ORD-101274</t>
  </si>
  <si>
    <t xml:space="preserve">ORD-101275</t>
  </si>
  <si>
    <t xml:space="preserve">ORD-101276</t>
  </si>
  <si>
    <t xml:space="preserve">ORD-101277</t>
  </si>
  <si>
    <t xml:space="preserve">ORD-101278</t>
  </si>
  <si>
    <t xml:space="preserve">ORD-101279</t>
  </si>
  <si>
    <t xml:space="preserve">ORD-101280</t>
  </si>
  <si>
    <t xml:space="preserve">ORD-101281</t>
  </si>
  <si>
    <t xml:space="preserve">ORD-101282</t>
  </si>
  <si>
    <t xml:space="preserve">ORD-101283</t>
  </si>
  <si>
    <t xml:space="preserve">ORD-101284</t>
  </si>
  <si>
    <t xml:space="preserve">ORD-101285</t>
  </si>
  <si>
    <t xml:space="preserve">ORD-101286</t>
  </si>
  <si>
    <t xml:space="preserve">ORD-101287</t>
  </si>
  <si>
    <t xml:space="preserve">ORD-101288</t>
  </si>
  <si>
    <t xml:space="preserve">ORD-101289</t>
  </si>
  <si>
    <t xml:space="preserve">ORD-101290</t>
  </si>
  <si>
    <t xml:space="preserve">ORD-101291</t>
  </si>
  <si>
    <t xml:space="preserve">ORD-101292</t>
  </si>
  <si>
    <t xml:space="preserve">ORD-101293</t>
  </si>
  <si>
    <t xml:space="preserve">ORD-101294</t>
  </si>
  <si>
    <t xml:space="preserve">ORD-101295</t>
  </si>
  <si>
    <t xml:space="preserve">ORD-101296</t>
  </si>
  <si>
    <t xml:space="preserve">ORD-101297</t>
  </si>
  <si>
    <t xml:space="preserve">ORD-101298</t>
  </si>
  <si>
    <t xml:space="preserve">ORD-101299</t>
  </si>
  <si>
    <t xml:space="preserve">ORD-101300</t>
  </si>
  <si>
    <t xml:space="preserve">ORD-101301</t>
  </si>
  <si>
    <t xml:space="preserve">ORD-101302</t>
  </si>
  <si>
    <t xml:space="preserve">ORD-101303</t>
  </si>
  <si>
    <t xml:space="preserve">ORD-101304</t>
  </si>
  <si>
    <t xml:space="preserve">ORD-101305</t>
  </si>
  <si>
    <t xml:space="preserve">ORD-101306</t>
  </si>
  <si>
    <t xml:space="preserve">ORD-101307</t>
  </si>
  <si>
    <t xml:space="preserve">ORD-101308</t>
  </si>
  <si>
    <t xml:space="preserve">ORD-101309</t>
  </si>
  <si>
    <t xml:space="preserve">ORD-101310</t>
  </si>
  <si>
    <t xml:space="preserve">ORD-101311</t>
  </si>
  <si>
    <t xml:space="preserve">ORD-101312</t>
  </si>
  <si>
    <t xml:space="preserve">ORD-101313</t>
  </si>
  <si>
    <t xml:space="preserve">ORD-101314</t>
  </si>
  <si>
    <t xml:space="preserve">ORD-101315</t>
  </si>
  <si>
    <t xml:space="preserve">ORD-101316</t>
  </si>
  <si>
    <t xml:space="preserve">ORD-101317</t>
  </si>
  <si>
    <t xml:space="preserve">ORD-101318</t>
  </si>
  <si>
    <t xml:space="preserve">ORD-101319</t>
  </si>
  <si>
    <t xml:space="preserve">ORD-101320</t>
  </si>
  <si>
    <t xml:space="preserve">ORD-101321</t>
  </si>
  <si>
    <t xml:space="preserve">ORD-101322</t>
  </si>
  <si>
    <t xml:space="preserve">ORD-101323</t>
  </si>
  <si>
    <t xml:space="preserve">ORD-101324</t>
  </si>
  <si>
    <t xml:space="preserve">ORD-101325</t>
  </si>
  <si>
    <t xml:space="preserve">ORD-101326</t>
  </si>
  <si>
    <t xml:space="preserve">ORD-101327</t>
  </si>
  <si>
    <t xml:space="preserve">ORD-101328</t>
  </si>
  <si>
    <t xml:space="preserve">ORD-101329</t>
  </si>
  <si>
    <t xml:space="preserve">ORD-101330</t>
  </si>
  <si>
    <t xml:space="preserve">ORD-101331</t>
  </si>
  <si>
    <t xml:space="preserve">ORD-101332</t>
  </si>
  <si>
    <t xml:space="preserve">ORD-101333</t>
  </si>
  <si>
    <t xml:space="preserve">ORD-101334</t>
  </si>
  <si>
    <t xml:space="preserve">P059</t>
  </si>
  <si>
    <t xml:space="preserve">ORD-101335</t>
  </si>
  <si>
    <t xml:space="preserve">ORD-101336</t>
  </si>
  <si>
    <t xml:space="preserve">ORD-101337</t>
  </si>
  <si>
    <t xml:space="preserve">ORD-101338</t>
  </si>
  <si>
    <t xml:space="preserve">ORD-101339</t>
  </si>
  <si>
    <t xml:space="preserve">ORD-101340</t>
  </si>
  <si>
    <t xml:space="preserve">ORD-101341</t>
  </si>
  <si>
    <t xml:space="preserve">ORD-101342</t>
  </si>
  <si>
    <t xml:space="preserve">ORD-101343</t>
  </si>
  <si>
    <t xml:space="preserve">ORD-101344</t>
  </si>
  <si>
    <t xml:space="preserve">ORD-101345</t>
  </si>
  <si>
    <t xml:space="preserve">ORD-101346</t>
  </si>
  <si>
    <t xml:space="preserve">ORD-101347</t>
  </si>
  <si>
    <t xml:space="preserve">ORD-101348</t>
  </si>
  <si>
    <t xml:space="preserve">ORD-101349</t>
  </si>
  <si>
    <t xml:space="preserve">ORD-101350</t>
  </si>
  <si>
    <t xml:space="preserve">ORD-101351</t>
  </si>
  <si>
    <t xml:space="preserve">ORD-101352</t>
  </si>
  <si>
    <t xml:space="preserve">ORD-101353</t>
  </si>
  <si>
    <t xml:space="preserve">ORD-101354</t>
  </si>
  <si>
    <t xml:space="preserve">ORD-101355</t>
  </si>
  <si>
    <t xml:space="preserve">ORD-101356</t>
  </si>
  <si>
    <t xml:space="preserve">ORD-101357</t>
  </si>
  <si>
    <t xml:space="preserve">ORD-101358</t>
  </si>
  <si>
    <t xml:space="preserve">ORD-101359</t>
  </si>
  <si>
    <t xml:space="preserve">ORD-101360</t>
  </si>
  <si>
    <t xml:space="preserve">ORD-101361</t>
  </si>
  <si>
    <t xml:space="preserve">ORD-101362</t>
  </si>
  <si>
    <t xml:space="preserve">ORD-101363</t>
  </si>
  <si>
    <t xml:space="preserve">ORD-101364</t>
  </si>
  <si>
    <t xml:space="preserve">ORD-101365</t>
  </si>
  <si>
    <t xml:space="preserve">ORD-101366</t>
  </si>
  <si>
    <t xml:space="preserve">ORD-101367</t>
  </si>
  <si>
    <t xml:space="preserve">ORD-101368</t>
  </si>
  <si>
    <t xml:space="preserve">ORD-101369</t>
  </si>
  <si>
    <t xml:space="preserve">ORD-101370</t>
  </si>
  <si>
    <t xml:space="preserve">ORD-101371</t>
  </si>
  <si>
    <t xml:space="preserve">ORD-101372</t>
  </si>
  <si>
    <t xml:space="preserve">ORD-101373</t>
  </si>
  <si>
    <t xml:space="preserve">ORD-101374</t>
  </si>
  <si>
    <t xml:space="preserve">ORD-101375</t>
  </si>
  <si>
    <t xml:space="preserve">ORD-101376</t>
  </si>
  <si>
    <t xml:space="preserve">ORD-101377</t>
  </si>
  <si>
    <t xml:space="preserve">ORD-101378</t>
  </si>
  <si>
    <t xml:space="preserve">ORD-101379</t>
  </si>
  <si>
    <t xml:space="preserve">ORD-101380</t>
  </si>
  <si>
    <t xml:space="preserve">ORD-101381</t>
  </si>
  <si>
    <t xml:space="preserve">ORD-101382</t>
  </si>
  <si>
    <t xml:space="preserve">ORD-101383</t>
  </si>
  <si>
    <t xml:space="preserve">ORD-101384</t>
  </si>
  <si>
    <t xml:space="preserve">ORD-101385</t>
  </si>
  <si>
    <t xml:space="preserve">ORD-101386</t>
  </si>
  <si>
    <t xml:space="preserve">ORD-101387</t>
  </si>
  <si>
    <t xml:space="preserve">ORD-101388</t>
  </si>
  <si>
    <t xml:space="preserve">ORD-101389</t>
  </si>
  <si>
    <t xml:space="preserve">ORD-101390</t>
  </si>
  <si>
    <t xml:space="preserve">ORD-101391</t>
  </si>
  <si>
    <t xml:space="preserve">ORD-101392</t>
  </si>
  <si>
    <t xml:space="preserve">ORD-101393</t>
  </si>
  <si>
    <t xml:space="preserve">ORD-101394</t>
  </si>
  <si>
    <t xml:space="preserve">ORD-101395</t>
  </si>
  <si>
    <t xml:space="preserve">ORD-101396</t>
  </si>
  <si>
    <t xml:space="preserve">ORD-101397</t>
  </si>
  <si>
    <t xml:space="preserve">ORD-101398</t>
  </si>
  <si>
    <t xml:space="preserve">ORD-101399</t>
  </si>
  <si>
    <t xml:space="preserve">ORD-101400</t>
  </si>
  <si>
    <t xml:space="preserve">ORD-101401</t>
  </si>
  <si>
    <t xml:space="preserve">ORD-101402</t>
  </si>
  <si>
    <t xml:space="preserve">ORD-101403</t>
  </si>
  <si>
    <t xml:space="preserve">ORD-101404</t>
  </si>
  <si>
    <t xml:space="preserve">ORD-101405</t>
  </si>
  <si>
    <t xml:space="preserve">ORD-101406</t>
  </si>
  <si>
    <t xml:space="preserve">ORD-101407</t>
  </si>
  <si>
    <t xml:space="preserve">ORD-101408</t>
  </si>
  <si>
    <t xml:space="preserve">ORD-101409</t>
  </si>
  <si>
    <t xml:space="preserve">ORD-101410</t>
  </si>
  <si>
    <t xml:space="preserve">ORD-101411</t>
  </si>
  <si>
    <t xml:space="preserve">ORD-101412</t>
  </si>
  <si>
    <t xml:space="preserve">ORD-101413</t>
  </si>
  <si>
    <t xml:space="preserve">ORD-101414</t>
  </si>
  <si>
    <t xml:space="preserve">ORD-101415</t>
  </si>
  <si>
    <t xml:space="preserve">ORD-101416</t>
  </si>
  <si>
    <t xml:space="preserve">ORD-101417</t>
  </si>
  <si>
    <t xml:space="preserve">ORD-101418</t>
  </si>
  <si>
    <t xml:space="preserve">ORD-101419</t>
  </si>
  <si>
    <t xml:space="preserve">ORD-101420</t>
  </si>
  <si>
    <t xml:space="preserve">ORD-101421</t>
  </si>
  <si>
    <t xml:space="preserve">ORD-101422</t>
  </si>
  <si>
    <t xml:space="preserve">ORD-101423</t>
  </si>
  <si>
    <t xml:space="preserve">ORD-101424</t>
  </si>
  <si>
    <t xml:space="preserve">ORD-101425</t>
  </si>
  <si>
    <t xml:space="preserve">ORD-101426</t>
  </si>
  <si>
    <t xml:space="preserve">ORD-101427</t>
  </si>
  <si>
    <t xml:space="preserve">ORD-101428</t>
  </si>
  <si>
    <t xml:space="preserve">ORD-101429</t>
  </si>
  <si>
    <t xml:space="preserve">ORD-101430</t>
  </si>
  <si>
    <t xml:space="preserve">ORD-101431</t>
  </si>
  <si>
    <t xml:space="preserve">ORD-101432</t>
  </si>
  <si>
    <t xml:space="preserve">ORD-101433</t>
  </si>
  <si>
    <t xml:space="preserve">ORD-101434</t>
  </si>
  <si>
    <t xml:space="preserve">ORD-101435</t>
  </si>
  <si>
    <t xml:space="preserve">ORD-101436</t>
  </si>
  <si>
    <t xml:space="preserve">ORD-101437</t>
  </si>
  <si>
    <t xml:space="preserve">ORD-101438</t>
  </si>
  <si>
    <t xml:space="preserve">ORD-101439</t>
  </si>
  <si>
    <t xml:space="preserve">ORD-101440</t>
  </si>
  <si>
    <t xml:space="preserve">ORD-101441</t>
  </si>
  <si>
    <t xml:space="preserve">ORD-101442</t>
  </si>
  <si>
    <t xml:space="preserve">ORD-101443</t>
  </si>
  <si>
    <t xml:space="preserve">ORD-101444</t>
  </si>
  <si>
    <t xml:space="preserve">ORD-101445</t>
  </si>
  <si>
    <t xml:space="preserve">ORD-101446</t>
  </si>
  <si>
    <t xml:space="preserve">ORD-101447</t>
  </si>
  <si>
    <t xml:space="preserve">ORD-101448</t>
  </si>
  <si>
    <t xml:space="preserve">ORD-101449</t>
  </si>
  <si>
    <t xml:space="preserve">ORD-101450</t>
  </si>
  <si>
    <t xml:space="preserve">ORD-101451</t>
  </si>
  <si>
    <t xml:space="preserve">ORD-101452</t>
  </si>
  <si>
    <t xml:space="preserve">ORD-101453</t>
  </si>
  <si>
    <t xml:space="preserve">ORD-101454</t>
  </si>
  <si>
    <t xml:space="preserve">ORD-101455</t>
  </si>
  <si>
    <t xml:space="preserve">ORD-101456</t>
  </si>
  <si>
    <t xml:space="preserve">ORD-101457</t>
  </si>
  <si>
    <t xml:space="preserve">ORD-101458</t>
  </si>
  <si>
    <t xml:space="preserve">ORD-101459</t>
  </si>
  <si>
    <t xml:space="preserve">ORD-101460</t>
  </si>
  <si>
    <t xml:space="preserve">ORD-101461</t>
  </si>
  <si>
    <t xml:space="preserve">ORD-101462</t>
  </si>
  <si>
    <t xml:space="preserve">ORD-101463</t>
  </si>
  <si>
    <t xml:space="preserve">ORD-101464</t>
  </si>
  <si>
    <t xml:space="preserve">ORD-101465</t>
  </si>
  <si>
    <t xml:space="preserve">ORD-101466</t>
  </si>
  <si>
    <t xml:space="preserve">ORD-101467</t>
  </si>
  <si>
    <t xml:space="preserve">ORD-101468</t>
  </si>
  <si>
    <t xml:space="preserve">ORD-101469</t>
  </si>
  <si>
    <t xml:space="preserve">ORD-101470</t>
  </si>
  <si>
    <t xml:space="preserve">ORD-101471</t>
  </si>
  <si>
    <t xml:space="preserve">ORD-101472</t>
  </si>
  <si>
    <t xml:space="preserve">ORD-101473</t>
  </si>
  <si>
    <t xml:space="preserve">ORD-101474</t>
  </si>
  <si>
    <t xml:space="preserve">ORD-101475</t>
  </si>
  <si>
    <t xml:space="preserve">ORD-101476</t>
  </si>
  <si>
    <t xml:space="preserve">ORD-101477</t>
  </si>
  <si>
    <t xml:space="preserve">ORD-101478</t>
  </si>
  <si>
    <t xml:space="preserve">ORD-101479</t>
  </si>
  <si>
    <t xml:space="preserve">ORD-101480</t>
  </si>
  <si>
    <t xml:space="preserve">ORD-101481</t>
  </si>
  <si>
    <t xml:space="preserve">ORD-101482</t>
  </si>
  <si>
    <t xml:space="preserve">ORD-101483</t>
  </si>
  <si>
    <t xml:space="preserve">ORD-101484</t>
  </si>
  <si>
    <t xml:space="preserve">ORD-101485</t>
  </si>
  <si>
    <t xml:space="preserve">ORD-101486</t>
  </si>
  <si>
    <t xml:space="preserve">ORD-101487</t>
  </si>
  <si>
    <t xml:space="preserve">ORD-101488</t>
  </si>
  <si>
    <t xml:space="preserve">ORD-101489</t>
  </si>
  <si>
    <t xml:space="preserve">ORD-101490</t>
  </si>
  <si>
    <t xml:space="preserve">ORD-101491</t>
  </si>
  <si>
    <t xml:space="preserve">ORD-101492</t>
  </si>
  <si>
    <t xml:space="preserve">ORD-101493</t>
  </si>
  <si>
    <t xml:space="preserve">ORD-101494</t>
  </si>
  <si>
    <t xml:space="preserve">ORD-101495</t>
  </si>
  <si>
    <t xml:space="preserve">ORD-101496</t>
  </si>
  <si>
    <t xml:space="preserve">ORD-101497</t>
  </si>
  <si>
    <t xml:space="preserve">ORD-101498</t>
  </si>
  <si>
    <t xml:space="preserve">ORD-101499</t>
  </si>
  <si>
    <t xml:space="preserve">ORD-101500</t>
  </si>
  <si>
    <t xml:space="preserve">ORD-101501</t>
  </si>
  <si>
    <t xml:space="preserve">ORD-101502</t>
  </si>
  <si>
    <t xml:space="preserve">ORD-101503</t>
  </si>
  <si>
    <t xml:space="preserve">ORD-101504</t>
  </si>
  <si>
    <t xml:space="preserve">ORD-101505</t>
  </si>
  <si>
    <t xml:space="preserve">ORD-101506</t>
  </si>
  <si>
    <t xml:space="preserve">ORD-101507</t>
  </si>
  <si>
    <t xml:space="preserve">ORD-101508</t>
  </si>
  <si>
    <t xml:space="preserve">ORD-101509</t>
  </si>
  <si>
    <t xml:space="preserve">ORD-101510</t>
  </si>
  <si>
    <t xml:space="preserve">ORD-101511</t>
  </si>
  <si>
    <t xml:space="preserve">ORD-101512</t>
  </si>
  <si>
    <t xml:space="preserve">ORD-101513</t>
  </si>
  <si>
    <t xml:space="preserve">ORD-101514</t>
  </si>
  <si>
    <t xml:space="preserve">ORD-101515</t>
  </si>
  <si>
    <t xml:space="preserve">ORD-101516</t>
  </si>
  <si>
    <t xml:space="preserve">ORD-101517</t>
  </si>
  <si>
    <t xml:space="preserve">ORD-101518</t>
  </si>
  <si>
    <t xml:space="preserve">ORD-101519</t>
  </si>
  <si>
    <t xml:space="preserve">ORD-101520</t>
  </si>
  <si>
    <t xml:space="preserve">ORD-101521</t>
  </si>
  <si>
    <t xml:space="preserve">ORD-101522</t>
  </si>
  <si>
    <t xml:space="preserve">ORD-101523</t>
  </si>
  <si>
    <t xml:space="preserve">ORD-101524</t>
  </si>
  <si>
    <t xml:space="preserve">ORD-101525</t>
  </si>
  <si>
    <t xml:space="preserve">ORD-101526</t>
  </si>
  <si>
    <t xml:space="preserve">ORD-101527</t>
  </si>
  <si>
    <t xml:space="preserve">ORD-101528</t>
  </si>
  <si>
    <t xml:space="preserve">ORD-101529</t>
  </si>
  <si>
    <t xml:space="preserve">ORD-101530</t>
  </si>
  <si>
    <t xml:space="preserve">ORD-101531</t>
  </si>
  <si>
    <t xml:space="preserve">ORD-101532</t>
  </si>
  <si>
    <t xml:space="preserve">ORD-101533</t>
  </si>
  <si>
    <t xml:space="preserve">ORD-101534</t>
  </si>
  <si>
    <t xml:space="preserve">ORD-101535</t>
  </si>
  <si>
    <t xml:space="preserve">ORD-101536</t>
  </si>
  <si>
    <t xml:space="preserve">ORD-101537</t>
  </si>
  <si>
    <t xml:space="preserve">ORD-101538</t>
  </si>
  <si>
    <t xml:space="preserve">ORD-101539</t>
  </si>
  <si>
    <t xml:space="preserve">ORD-101540</t>
  </si>
  <si>
    <t xml:space="preserve">ORD-101541</t>
  </si>
  <si>
    <t xml:space="preserve">ORD-101542</t>
  </si>
  <si>
    <t xml:space="preserve">ORD-101543</t>
  </si>
  <si>
    <t xml:space="preserve">ORD-101544</t>
  </si>
  <si>
    <t xml:space="preserve">ORD-101545</t>
  </si>
  <si>
    <t xml:space="preserve">ORD-101546</t>
  </si>
  <si>
    <t xml:space="preserve">ORD-101547</t>
  </si>
  <si>
    <t xml:space="preserve">ORD-101548</t>
  </si>
  <si>
    <t xml:space="preserve">ORD-101549</t>
  </si>
  <si>
    <t xml:space="preserve">ORD-101550</t>
  </si>
  <si>
    <t xml:space="preserve">ORD-101551</t>
  </si>
  <si>
    <t xml:space="preserve">ORD-101552</t>
  </si>
  <si>
    <t xml:space="preserve">ORD-101553</t>
  </si>
  <si>
    <t xml:space="preserve">ORD-101554</t>
  </si>
  <si>
    <t xml:space="preserve">ORD-101555</t>
  </si>
  <si>
    <t xml:space="preserve">ORD-101556</t>
  </si>
  <si>
    <t xml:space="preserve">ORD-101557</t>
  </si>
  <si>
    <t xml:space="preserve">ORD-101558</t>
  </si>
  <si>
    <t xml:space="preserve">ORD-101559</t>
  </si>
  <si>
    <t xml:space="preserve">ORD-101560</t>
  </si>
  <si>
    <t xml:space="preserve">ORD-101561</t>
  </si>
  <si>
    <t xml:space="preserve">ORD-101562</t>
  </si>
  <si>
    <t xml:space="preserve">ORD-101563</t>
  </si>
  <si>
    <t xml:space="preserve">ORD-101564</t>
  </si>
  <si>
    <t xml:space="preserve">ORD-101565</t>
  </si>
  <si>
    <t xml:space="preserve">ORD-101566</t>
  </si>
  <si>
    <t xml:space="preserve">ORD-101567</t>
  </si>
  <si>
    <t xml:space="preserve">ORD-101568</t>
  </si>
  <si>
    <t xml:space="preserve">ORD-101569</t>
  </si>
  <si>
    <t xml:space="preserve">ORD-101570</t>
  </si>
  <si>
    <t xml:space="preserve">ORD-101571</t>
  </si>
  <si>
    <t xml:space="preserve">ORD-101572</t>
  </si>
  <si>
    <t xml:space="preserve">ORD-101573</t>
  </si>
  <si>
    <t xml:space="preserve">ORD-101574</t>
  </si>
  <si>
    <t xml:space="preserve">ORD-101575</t>
  </si>
  <si>
    <t xml:space="preserve">ORD-101576</t>
  </si>
  <si>
    <t xml:space="preserve">ORD-101577</t>
  </si>
  <si>
    <t xml:space="preserve">ORD-101578</t>
  </si>
  <si>
    <t xml:space="preserve">ORD-101579</t>
  </si>
  <si>
    <t xml:space="preserve">ORD-101580</t>
  </si>
  <si>
    <t xml:space="preserve">ORD-101581</t>
  </si>
  <si>
    <t xml:space="preserve">ORD-101582</t>
  </si>
  <si>
    <t xml:space="preserve">ORD-101583</t>
  </si>
  <si>
    <t xml:space="preserve">ORD-101584</t>
  </si>
  <si>
    <t xml:space="preserve">ORD-101585</t>
  </si>
  <si>
    <t xml:space="preserve">ORD-101586</t>
  </si>
  <si>
    <t xml:space="preserve">ORD-101587</t>
  </si>
  <si>
    <t xml:space="preserve">ORD-101588</t>
  </si>
  <si>
    <t xml:space="preserve">ORD-101589</t>
  </si>
  <si>
    <t xml:space="preserve">ORD-101590</t>
  </si>
  <si>
    <t xml:space="preserve">ORD-101591</t>
  </si>
  <si>
    <t xml:space="preserve">ORD-101592</t>
  </si>
  <si>
    <t xml:space="preserve">ORD-101593</t>
  </si>
  <si>
    <t xml:space="preserve">ORD-101594</t>
  </si>
  <si>
    <t xml:space="preserve">ORD-101595</t>
  </si>
  <si>
    <t xml:space="preserve">ORD-101596</t>
  </si>
  <si>
    <t xml:space="preserve">ORD-101597</t>
  </si>
  <si>
    <t xml:space="preserve">ORD-101598</t>
  </si>
  <si>
    <t xml:space="preserve">ORD-101599</t>
  </si>
  <si>
    <t xml:space="preserve">ORD-101600</t>
  </si>
  <si>
    <t xml:space="preserve">ORD-101601</t>
  </si>
  <si>
    <t xml:space="preserve">ORD-101602</t>
  </si>
  <si>
    <t xml:space="preserve">ORD-101603</t>
  </si>
  <si>
    <t xml:space="preserve">ORD-101604</t>
  </si>
  <si>
    <t xml:space="preserve">ORD-101605</t>
  </si>
  <si>
    <t xml:space="preserve">ORD-101606</t>
  </si>
  <si>
    <t xml:space="preserve">ORD-101607</t>
  </si>
  <si>
    <t xml:space="preserve">ORD-101608</t>
  </si>
  <si>
    <t xml:space="preserve">ORD-101609</t>
  </si>
  <si>
    <t xml:space="preserve">ORD-101610</t>
  </si>
  <si>
    <t xml:space="preserve">ORD-101611</t>
  </si>
  <si>
    <t xml:space="preserve">ORD-101612</t>
  </si>
  <si>
    <t xml:space="preserve">ORD-101613</t>
  </si>
  <si>
    <t xml:space="preserve">ORD-101614</t>
  </si>
  <si>
    <t xml:space="preserve">ORD-101615</t>
  </si>
  <si>
    <t xml:space="preserve">ORD-101616</t>
  </si>
  <si>
    <t xml:space="preserve">ORD-101617</t>
  </si>
  <si>
    <t xml:space="preserve">ORD-101618</t>
  </si>
  <si>
    <t xml:space="preserve">ORD-101619</t>
  </si>
  <si>
    <t xml:space="preserve">ORD-101620</t>
  </si>
  <si>
    <t xml:space="preserve">ORD-101621</t>
  </si>
  <si>
    <t xml:space="preserve">ORD-101622</t>
  </si>
  <si>
    <t xml:space="preserve">ORD-101623</t>
  </si>
  <si>
    <t xml:space="preserve">ORD-101624</t>
  </si>
  <si>
    <t xml:space="preserve">ORD-101625</t>
  </si>
  <si>
    <t xml:space="preserve">ORD-101626</t>
  </si>
  <si>
    <t xml:space="preserve">ORD-101627</t>
  </si>
  <si>
    <t xml:space="preserve">ORD-101628</t>
  </si>
  <si>
    <t xml:space="preserve">ORD-101629</t>
  </si>
  <si>
    <t xml:space="preserve">ORD-101630</t>
  </si>
  <si>
    <t xml:space="preserve">ORD-101631</t>
  </si>
  <si>
    <t xml:space="preserve">ORD-101632</t>
  </si>
  <si>
    <t xml:space="preserve">ORD-101633</t>
  </si>
  <si>
    <t xml:space="preserve">ORD-101634</t>
  </si>
  <si>
    <t xml:space="preserve">ORD-101635</t>
  </si>
  <si>
    <t xml:space="preserve">ORD-101636</t>
  </si>
  <si>
    <t xml:space="preserve">ORD-101637</t>
  </si>
  <si>
    <t xml:space="preserve">ORD-101638</t>
  </si>
  <si>
    <t xml:space="preserve">ORD-101639</t>
  </si>
  <si>
    <t xml:space="preserve">ORD-101640</t>
  </si>
  <si>
    <t xml:space="preserve">ORD-101641</t>
  </si>
  <si>
    <t xml:space="preserve">ORD-101642</t>
  </si>
  <si>
    <t xml:space="preserve">ORD-101643</t>
  </si>
  <si>
    <t xml:space="preserve">ORD-101644</t>
  </si>
  <si>
    <t xml:space="preserve">ORD-101645</t>
  </si>
  <si>
    <t xml:space="preserve">ORD-101646</t>
  </si>
  <si>
    <t xml:space="preserve">ORD-101647</t>
  </si>
  <si>
    <t xml:space="preserve">ORD-101648</t>
  </si>
  <si>
    <t xml:space="preserve">ORD-101649</t>
  </si>
  <si>
    <t xml:space="preserve">ORD-101650</t>
  </si>
  <si>
    <t xml:space="preserve">ORD-101651</t>
  </si>
  <si>
    <t xml:space="preserve">ORD-101652</t>
  </si>
  <si>
    <t xml:space="preserve">ORD-101653</t>
  </si>
  <si>
    <t xml:space="preserve">ORD-101654</t>
  </si>
  <si>
    <t xml:space="preserve">ORD-101655</t>
  </si>
  <si>
    <t xml:space="preserve">ORD-101656</t>
  </si>
  <si>
    <t xml:space="preserve">ORD-101657</t>
  </si>
  <si>
    <t xml:space="preserve">ORD-101658</t>
  </si>
  <si>
    <t xml:space="preserve">ORD-101659</t>
  </si>
  <si>
    <t xml:space="preserve">ORD-101660</t>
  </si>
  <si>
    <t xml:space="preserve">ORD-101661</t>
  </si>
  <si>
    <t xml:space="preserve">ORD-101662</t>
  </si>
  <si>
    <t xml:space="preserve">ORD-101663</t>
  </si>
  <si>
    <t xml:space="preserve">ORD-101664</t>
  </si>
  <si>
    <t xml:space="preserve">ORD-101665</t>
  </si>
  <si>
    <t xml:space="preserve">ORD-101666</t>
  </si>
  <si>
    <t xml:space="preserve">ORD-101667</t>
  </si>
  <si>
    <t xml:space="preserve">ORD-101668</t>
  </si>
  <si>
    <t xml:space="preserve">ORD-101669</t>
  </si>
  <si>
    <t xml:space="preserve">ORD-101670</t>
  </si>
  <si>
    <t xml:space="preserve">ORD-101671</t>
  </si>
  <si>
    <t xml:space="preserve">ORD-101672</t>
  </si>
  <si>
    <t xml:space="preserve">ORD-101673</t>
  </si>
  <si>
    <t xml:space="preserve">ORD-101674</t>
  </si>
  <si>
    <t xml:space="preserve">ORD-101675</t>
  </si>
  <si>
    <t xml:space="preserve">ORD-101676</t>
  </si>
  <si>
    <t xml:space="preserve">ORD-101677</t>
  </si>
  <si>
    <t xml:space="preserve">ORD-101678</t>
  </si>
  <si>
    <t xml:space="preserve">ORD-101679</t>
  </si>
  <si>
    <t xml:space="preserve">ORD-101680</t>
  </si>
  <si>
    <t xml:space="preserve">ORD-101681</t>
  </si>
  <si>
    <t xml:space="preserve">ORD-101682</t>
  </si>
  <si>
    <t xml:space="preserve">ORD-101683</t>
  </si>
  <si>
    <t xml:space="preserve">ORD-101684</t>
  </si>
  <si>
    <t xml:space="preserve">ORD-101685</t>
  </si>
  <si>
    <t xml:space="preserve">ORD-101686</t>
  </si>
  <si>
    <t xml:space="preserve">ORD-101687</t>
  </si>
  <si>
    <t xml:space="preserve">ORD-101688</t>
  </si>
  <si>
    <t xml:space="preserve">ORD-101689</t>
  </si>
  <si>
    <t xml:space="preserve">ORD-101690</t>
  </si>
  <si>
    <t xml:space="preserve">ORD-101691</t>
  </si>
  <si>
    <t xml:space="preserve">ORD-101692</t>
  </si>
  <si>
    <t xml:space="preserve">ORD-101693</t>
  </si>
  <si>
    <t xml:space="preserve">ORD-101694</t>
  </si>
  <si>
    <t xml:space="preserve">ORD-101695</t>
  </si>
  <si>
    <t xml:space="preserve">ORD-101696</t>
  </si>
  <si>
    <t xml:space="preserve">ORD-101697</t>
  </si>
  <si>
    <t xml:space="preserve">ORD-101698</t>
  </si>
  <si>
    <t xml:space="preserve">ORD-101699</t>
  </si>
  <si>
    <t xml:space="preserve">ORD-101700</t>
  </si>
  <si>
    <t xml:space="preserve">ORD-101701</t>
  </si>
  <si>
    <t xml:space="preserve">ORD-101702</t>
  </si>
  <si>
    <t xml:space="preserve">ORD-101703</t>
  </si>
  <si>
    <t xml:space="preserve">ORD-101704</t>
  </si>
  <si>
    <t xml:space="preserve">ORD-101705</t>
  </si>
  <si>
    <t xml:space="preserve">ORD-101706</t>
  </si>
  <si>
    <t xml:space="preserve">ORD-101707</t>
  </si>
  <si>
    <t xml:space="preserve">ORD-101708</t>
  </si>
  <si>
    <t xml:space="preserve">ORD-101709</t>
  </si>
  <si>
    <t xml:space="preserve">ORD-101710</t>
  </si>
  <si>
    <t xml:space="preserve">ORD-101711</t>
  </si>
  <si>
    <t xml:space="preserve">ORD-101712</t>
  </si>
  <si>
    <t xml:space="preserve">ORD-101713</t>
  </si>
  <si>
    <t xml:space="preserve">ORD-101714</t>
  </si>
  <si>
    <t xml:space="preserve">ORD-101715</t>
  </si>
  <si>
    <t xml:space="preserve">ORD-101716</t>
  </si>
  <si>
    <t xml:space="preserve">ORD-101717</t>
  </si>
  <si>
    <t xml:space="preserve">ORD-101718</t>
  </si>
  <si>
    <t xml:space="preserve">ORD-101719</t>
  </si>
  <si>
    <t xml:space="preserve">ORD-101720</t>
  </si>
  <si>
    <t xml:space="preserve">ORD-101721</t>
  </si>
  <si>
    <t xml:space="preserve">ORD-101722</t>
  </si>
  <si>
    <t xml:space="preserve">ORD-101723</t>
  </si>
  <si>
    <t xml:space="preserve">ORD-101724</t>
  </si>
  <si>
    <t xml:space="preserve">ORD-101725</t>
  </si>
  <si>
    <t xml:space="preserve">ORD-101726</t>
  </si>
  <si>
    <t xml:space="preserve">ORD-101727</t>
  </si>
  <si>
    <t xml:space="preserve">ORD-101728</t>
  </si>
  <si>
    <t xml:space="preserve">ORD-101729</t>
  </si>
  <si>
    <t xml:space="preserve">ORD-101730</t>
  </si>
  <si>
    <t xml:space="preserve">ORD-101731</t>
  </si>
  <si>
    <t xml:space="preserve">ORD-101732</t>
  </si>
  <si>
    <t xml:space="preserve">ORD-101733</t>
  </si>
  <si>
    <t xml:space="preserve">ORD-101734</t>
  </si>
  <si>
    <t xml:space="preserve">ORD-101735</t>
  </si>
  <si>
    <t xml:space="preserve">ORD-101736</t>
  </si>
  <si>
    <t xml:space="preserve">ORD-101737</t>
  </si>
  <si>
    <t xml:space="preserve">ORD-101738</t>
  </si>
  <si>
    <t xml:space="preserve">ORD-101739</t>
  </si>
  <si>
    <t xml:space="preserve">ORD-101740</t>
  </si>
  <si>
    <t xml:space="preserve">ORD-101741</t>
  </si>
  <si>
    <t xml:space="preserve">ORD-101742</t>
  </si>
  <si>
    <t xml:space="preserve">ORD-101743</t>
  </si>
  <si>
    <t xml:space="preserve">ORD-101744</t>
  </si>
  <si>
    <t xml:space="preserve">ORD-101745</t>
  </si>
  <si>
    <t xml:space="preserve">ORD-101746</t>
  </si>
  <si>
    <t xml:space="preserve">ORD-101747</t>
  </si>
  <si>
    <t xml:space="preserve">ORD-101748</t>
  </si>
  <si>
    <t xml:space="preserve">ORD-101749</t>
  </si>
  <si>
    <t xml:space="preserve">ORD-101750</t>
  </si>
  <si>
    <t xml:space="preserve">ORD-101751</t>
  </si>
  <si>
    <t xml:space="preserve">ORD-101752</t>
  </si>
  <si>
    <t xml:space="preserve">ORD-101753</t>
  </si>
  <si>
    <t xml:space="preserve">ORD-101754</t>
  </si>
  <si>
    <t xml:space="preserve">ORD-101755</t>
  </si>
  <si>
    <t xml:space="preserve">ORD-101756</t>
  </si>
  <si>
    <t xml:space="preserve">ORD-101757</t>
  </si>
  <si>
    <t xml:space="preserve">ORD-101758</t>
  </si>
  <si>
    <t xml:space="preserve">ORD-101759</t>
  </si>
  <si>
    <t xml:space="preserve">ORD-101760</t>
  </si>
  <si>
    <t xml:space="preserve">ORD-101761</t>
  </si>
  <si>
    <t xml:space="preserve">ORD-101762</t>
  </si>
  <si>
    <t xml:space="preserve">ORD-101763</t>
  </si>
  <si>
    <t xml:space="preserve">ORD-101764</t>
  </si>
  <si>
    <t xml:space="preserve">ORD-101765</t>
  </si>
  <si>
    <t xml:space="preserve">ORD-101766</t>
  </si>
  <si>
    <t xml:space="preserve">ORD-101767</t>
  </si>
  <si>
    <t xml:space="preserve">ORD-101768</t>
  </si>
  <si>
    <t xml:space="preserve">ORD-101769</t>
  </si>
  <si>
    <t xml:space="preserve">ORD-101770</t>
  </si>
  <si>
    <t xml:space="preserve">ORD-101771</t>
  </si>
  <si>
    <t xml:space="preserve">ORD-101772</t>
  </si>
  <si>
    <t xml:space="preserve">ORD-101773</t>
  </si>
  <si>
    <t xml:space="preserve">ORD-101774</t>
  </si>
  <si>
    <t xml:space="preserve">ORD-101775</t>
  </si>
  <si>
    <t xml:space="preserve">ORD-101776</t>
  </si>
  <si>
    <t xml:space="preserve">ORD-101777</t>
  </si>
  <si>
    <t xml:space="preserve">ORD-101778</t>
  </si>
  <si>
    <t xml:space="preserve">ORD-101779</t>
  </si>
  <si>
    <t xml:space="preserve">ORD-101780</t>
  </si>
  <si>
    <t xml:space="preserve">ORD-101781</t>
  </si>
  <si>
    <t xml:space="preserve">ORD-101782</t>
  </si>
  <si>
    <t xml:space="preserve">ORD-101783</t>
  </si>
  <si>
    <t xml:space="preserve">ORD-101784</t>
  </si>
  <si>
    <t xml:space="preserve">ORD-101785</t>
  </si>
  <si>
    <t xml:space="preserve">ORD-101786</t>
  </si>
  <si>
    <t xml:space="preserve">ORD-101787</t>
  </si>
  <si>
    <t xml:space="preserve">ORD-101788</t>
  </si>
  <si>
    <t xml:space="preserve">ORD-101789</t>
  </si>
  <si>
    <t xml:space="preserve">ORD-101790</t>
  </si>
  <si>
    <t xml:space="preserve">ORD-101791</t>
  </si>
  <si>
    <t xml:space="preserve">ORD-101792</t>
  </si>
  <si>
    <t xml:space="preserve">ORD-101793</t>
  </si>
  <si>
    <t xml:space="preserve">ORD-101794</t>
  </si>
  <si>
    <t xml:space="preserve">ORD-101795</t>
  </si>
  <si>
    <t xml:space="preserve">ORD-101796</t>
  </si>
  <si>
    <t xml:space="preserve">ORD-101797</t>
  </si>
  <si>
    <t xml:space="preserve">ORD-101798</t>
  </si>
  <si>
    <t xml:space="preserve">ORD-101799</t>
  </si>
  <si>
    <t xml:space="preserve">ORD-101800</t>
  </si>
  <si>
    <t xml:space="preserve">ORD-101801</t>
  </si>
  <si>
    <t xml:space="preserve">ORD-101802</t>
  </si>
  <si>
    <t xml:space="preserve">ORD-101803</t>
  </si>
  <si>
    <t xml:space="preserve">ORD-101804</t>
  </si>
  <si>
    <t xml:space="preserve">ORD-101805</t>
  </si>
  <si>
    <t xml:space="preserve">ORD-101806</t>
  </si>
  <si>
    <t xml:space="preserve">ORD-101807</t>
  </si>
  <si>
    <t xml:space="preserve">ORD-101808</t>
  </si>
  <si>
    <t xml:space="preserve">ORD-101809</t>
  </si>
  <si>
    <t xml:space="preserve">ORD-101810</t>
  </si>
  <si>
    <t xml:space="preserve">ORD-101811</t>
  </si>
  <si>
    <t xml:space="preserve">ORD-101812</t>
  </si>
  <si>
    <t xml:space="preserve">ORD-101813</t>
  </si>
  <si>
    <t xml:space="preserve">ORD-101814</t>
  </si>
  <si>
    <t xml:space="preserve">ORD-101815</t>
  </si>
  <si>
    <t xml:space="preserve">ORD-101816</t>
  </si>
  <si>
    <t xml:space="preserve">ORD-101817</t>
  </si>
  <si>
    <t xml:space="preserve">ORD-101818</t>
  </si>
  <si>
    <t xml:space="preserve">ORD-101819</t>
  </si>
  <si>
    <t xml:space="preserve">ORD-101820</t>
  </si>
  <si>
    <t xml:space="preserve">ORD-101821</t>
  </si>
  <si>
    <t xml:space="preserve">ORD-101822</t>
  </si>
  <si>
    <t xml:space="preserve">ORD-101823</t>
  </si>
  <si>
    <t xml:space="preserve">ORD-101824</t>
  </si>
  <si>
    <t xml:space="preserve">ORD-101825</t>
  </si>
  <si>
    <t xml:space="preserve">ORD-101826</t>
  </si>
  <si>
    <t xml:space="preserve">ORD-101827</t>
  </si>
  <si>
    <t xml:space="preserve">ORD-101828</t>
  </si>
  <si>
    <t xml:space="preserve">ORD-101829</t>
  </si>
  <si>
    <t xml:space="preserve">ORD-101830</t>
  </si>
  <si>
    <t xml:space="preserve">ORD-101831</t>
  </si>
  <si>
    <t xml:space="preserve">ORD-101832</t>
  </si>
  <si>
    <t xml:space="preserve">ORD-101833</t>
  </si>
  <si>
    <t xml:space="preserve">ORD-101834</t>
  </si>
  <si>
    <t xml:space="preserve">ORD-101835</t>
  </si>
  <si>
    <t xml:space="preserve">ORD-101836</t>
  </si>
  <si>
    <t xml:space="preserve">ORD-101837</t>
  </si>
  <si>
    <t xml:space="preserve">ORD-101838</t>
  </si>
  <si>
    <t xml:space="preserve">ORD-101839</t>
  </si>
  <si>
    <t xml:space="preserve">ORD-101840</t>
  </si>
  <si>
    <t xml:space="preserve">ORD-101841</t>
  </si>
  <si>
    <t xml:space="preserve">ORD-101842</t>
  </si>
  <si>
    <t xml:space="preserve">ORD-101843</t>
  </si>
  <si>
    <t xml:space="preserve">ORD-101844</t>
  </si>
  <si>
    <t xml:space="preserve">ORD-101845</t>
  </si>
  <si>
    <t xml:space="preserve">ORD-101846</t>
  </si>
  <si>
    <t xml:space="preserve">ORD-101847</t>
  </si>
  <si>
    <t xml:space="preserve">ORD-101848</t>
  </si>
  <si>
    <t xml:space="preserve">ORD-101849</t>
  </si>
  <si>
    <t xml:space="preserve">ORD-101850</t>
  </si>
  <si>
    <t xml:space="preserve">ORD-101851</t>
  </si>
  <si>
    <t xml:space="preserve">ORD-101852</t>
  </si>
  <si>
    <t xml:space="preserve">ORD-101853</t>
  </si>
  <si>
    <t xml:space="preserve">ORD-101854</t>
  </si>
  <si>
    <t xml:space="preserve">ORD-101855</t>
  </si>
  <si>
    <t xml:space="preserve">ORD-101856</t>
  </si>
  <si>
    <t xml:space="preserve">ORD-101857</t>
  </si>
  <si>
    <t xml:space="preserve">ORD-101858</t>
  </si>
  <si>
    <t xml:space="preserve">ORD-101859</t>
  </si>
  <si>
    <t xml:space="preserve">ORD-101860</t>
  </si>
  <si>
    <t xml:space="preserve">ORD-101861</t>
  </si>
  <si>
    <t xml:space="preserve">ORD-101862</t>
  </si>
  <si>
    <t xml:space="preserve">ORD-101863</t>
  </si>
  <si>
    <t xml:space="preserve">ORD-101864</t>
  </si>
  <si>
    <t xml:space="preserve">ORD-101865</t>
  </si>
  <si>
    <t xml:space="preserve">ORD-101866</t>
  </si>
  <si>
    <t xml:space="preserve">ORD-101867</t>
  </si>
  <si>
    <t xml:space="preserve">ORD-101868</t>
  </si>
  <si>
    <t xml:space="preserve">ORD-101869</t>
  </si>
  <si>
    <t xml:space="preserve">ORD-101870</t>
  </si>
  <si>
    <t xml:space="preserve">ORD-101871</t>
  </si>
  <si>
    <t xml:space="preserve">ORD-101872</t>
  </si>
  <si>
    <t xml:space="preserve">ORD-101873</t>
  </si>
  <si>
    <t xml:space="preserve">ORD-101874</t>
  </si>
  <si>
    <t xml:space="preserve">ORD-101875</t>
  </si>
  <si>
    <t xml:space="preserve">ORD-101876</t>
  </si>
  <si>
    <t xml:space="preserve">ORD-101877</t>
  </si>
  <si>
    <t xml:space="preserve">ORD-101878</t>
  </si>
  <si>
    <t xml:space="preserve">ORD-101879</t>
  </si>
  <si>
    <t xml:space="preserve">ORD-101880</t>
  </si>
  <si>
    <t xml:space="preserve">ORD-101881</t>
  </si>
  <si>
    <t xml:space="preserve">ORD-101882</t>
  </si>
  <si>
    <t xml:space="preserve">ORD-101883</t>
  </si>
  <si>
    <t xml:space="preserve">ORD-101884</t>
  </si>
  <si>
    <t xml:space="preserve">ORD-101885</t>
  </si>
  <si>
    <t xml:space="preserve">ORD-101886</t>
  </si>
  <si>
    <t xml:space="preserve">ORD-101887</t>
  </si>
  <si>
    <t xml:space="preserve">ORD-101888</t>
  </si>
  <si>
    <t xml:space="preserve">ORD-101889</t>
  </si>
  <si>
    <t xml:space="preserve">ORD-101890</t>
  </si>
  <si>
    <t xml:space="preserve">ORD-101891</t>
  </si>
  <si>
    <t xml:space="preserve">ORD-101892</t>
  </si>
  <si>
    <t xml:space="preserve">ORD-101893</t>
  </si>
  <si>
    <t xml:space="preserve">ORD-101894</t>
  </si>
  <si>
    <t xml:space="preserve">ORD-101895</t>
  </si>
  <si>
    <t xml:space="preserve">ORD-101896</t>
  </si>
  <si>
    <t xml:space="preserve">ORD-101897</t>
  </si>
  <si>
    <t xml:space="preserve">ORD-101898</t>
  </si>
  <si>
    <t xml:space="preserve">ORD-101899</t>
  </si>
  <si>
    <t xml:space="preserve">ORD-101900</t>
  </si>
  <si>
    <t xml:space="preserve">ORD-101901</t>
  </si>
  <si>
    <t xml:space="preserve">ORD-101902</t>
  </si>
  <si>
    <t xml:space="preserve">ORD-101903</t>
  </si>
  <si>
    <t xml:space="preserve">ORD-101904</t>
  </si>
  <si>
    <t xml:space="preserve">ORD-101905</t>
  </si>
  <si>
    <t xml:space="preserve">ORD-101906</t>
  </si>
  <si>
    <t xml:space="preserve">ORD-101907</t>
  </si>
  <si>
    <t xml:space="preserve">ORD-101908</t>
  </si>
  <si>
    <t xml:space="preserve">ORD-101909</t>
  </si>
  <si>
    <t xml:space="preserve">ORD-101910</t>
  </si>
  <si>
    <t xml:space="preserve">ORD-101911</t>
  </si>
  <si>
    <t xml:space="preserve">ORD-101912</t>
  </si>
  <si>
    <t xml:space="preserve">ORD-101913</t>
  </si>
  <si>
    <t xml:space="preserve">ORD-101914</t>
  </si>
  <si>
    <t xml:space="preserve">ORD-101915</t>
  </si>
  <si>
    <t xml:space="preserve">ORD-101916</t>
  </si>
  <si>
    <t xml:space="preserve">ORD-101917</t>
  </si>
  <si>
    <t xml:space="preserve">ORD-101918</t>
  </si>
  <si>
    <t xml:space="preserve">ORD-101919</t>
  </si>
  <si>
    <t xml:space="preserve">ORD-101920</t>
  </si>
  <si>
    <t xml:space="preserve">ORD-101921</t>
  </si>
  <si>
    <t xml:space="preserve">ORD-101922</t>
  </si>
  <si>
    <t xml:space="preserve">ORD-101923</t>
  </si>
  <si>
    <t xml:space="preserve">ORD-101924</t>
  </si>
  <si>
    <t xml:space="preserve">ORD-101925</t>
  </si>
  <si>
    <t xml:space="preserve">ORD-101926</t>
  </si>
  <si>
    <t xml:space="preserve">ORD-101927</t>
  </si>
  <si>
    <t xml:space="preserve">ORD-101928</t>
  </si>
  <si>
    <t xml:space="preserve">ORD-101929</t>
  </si>
  <si>
    <t xml:space="preserve">ORD-101930</t>
  </si>
  <si>
    <t xml:space="preserve">ORD-101931</t>
  </si>
  <si>
    <t xml:space="preserve">ORD-101932</t>
  </si>
  <si>
    <t xml:space="preserve">ORD-101933</t>
  </si>
  <si>
    <t xml:space="preserve">ORD-101934</t>
  </si>
  <si>
    <t xml:space="preserve">ORD-101935</t>
  </si>
  <si>
    <t xml:space="preserve">ORD-101936</t>
  </si>
  <si>
    <t xml:space="preserve">ORD-101937</t>
  </si>
  <si>
    <t xml:space="preserve">ORD-101938</t>
  </si>
  <si>
    <t xml:space="preserve">ORD-101939</t>
  </si>
  <si>
    <t xml:space="preserve">ORD-101940</t>
  </si>
  <si>
    <t xml:space="preserve">ORD-101941</t>
  </si>
  <si>
    <t xml:space="preserve">ORD-101942</t>
  </si>
  <si>
    <t xml:space="preserve">ORD-101943</t>
  </si>
  <si>
    <t xml:space="preserve">ORD-101944</t>
  </si>
  <si>
    <t xml:space="preserve">ORD-101945</t>
  </si>
  <si>
    <t xml:space="preserve">ORD-101946</t>
  </si>
  <si>
    <t xml:space="preserve">ORD-101947</t>
  </si>
  <si>
    <t xml:space="preserve">ORD-101948</t>
  </si>
  <si>
    <t xml:space="preserve">ORD-101949</t>
  </si>
  <si>
    <t xml:space="preserve">ORD-101950</t>
  </si>
  <si>
    <t xml:space="preserve">ORD-101951</t>
  </si>
  <si>
    <t xml:space="preserve">ORD-101952</t>
  </si>
  <si>
    <t xml:space="preserve">ORD-101953</t>
  </si>
  <si>
    <t xml:space="preserve">ORD-101954</t>
  </si>
  <si>
    <t xml:space="preserve">ORD-101955</t>
  </si>
  <si>
    <t xml:space="preserve">ORD-101956</t>
  </si>
  <si>
    <t xml:space="preserve">ORD-101957</t>
  </si>
  <si>
    <t xml:space="preserve">ORD-101958</t>
  </si>
  <si>
    <t xml:space="preserve">ORD-101959</t>
  </si>
  <si>
    <t xml:space="preserve">ORD-101960</t>
  </si>
  <si>
    <t xml:space="preserve">ORD-101961</t>
  </si>
  <si>
    <t xml:space="preserve">P060</t>
  </si>
  <si>
    <t xml:space="preserve">ORD-101962</t>
  </si>
  <si>
    <t xml:space="preserve">ORD-101963</t>
  </si>
  <si>
    <t xml:space="preserve">ORD-101964</t>
  </si>
  <si>
    <t xml:space="preserve">ORD-101965</t>
  </si>
  <si>
    <t xml:space="preserve">ORD-101966</t>
  </si>
  <si>
    <t xml:space="preserve">ORD-101967</t>
  </si>
  <si>
    <t xml:space="preserve">ORD-101968</t>
  </si>
  <si>
    <t xml:space="preserve">ORD-101969</t>
  </si>
  <si>
    <t xml:space="preserve">ORD-101970</t>
  </si>
  <si>
    <t xml:space="preserve">ORD-101971</t>
  </si>
  <si>
    <t xml:space="preserve">ORD-101972</t>
  </si>
  <si>
    <t xml:space="preserve">ORD-101973</t>
  </si>
  <si>
    <t xml:space="preserve">ORD-101974</t>
  </si>
  <si>
    <t xml:space="preserve">ORD-101975</t>
  </si>
  <si>
    <t xml:space="preserve">ORD-101976</t>
  </si>
  <si>
    <t xml:space="preserve">ORD-101977</t>
  </si>
  <si>
    <t xml:space="preserve">ORD-101978</t>
  </si>
  <si>
    <t xml:space="preserve">ORD-101979</t>
  </si>
  <si>
    <t xml:space="preserve">ORD-101980</t>
  </si>
  <si>
    <t xml:space="preserve">ORD-101981</t>
  </si>
  <si>
    <t xml:space="preserve">ORD-101982</t>
  </si>
  <si>
    <t xml:space="preserve">ORD-101983</t>
  </si>
  <si>
    <t xml:space="preserve">ORD-101984</t>
  </si>
  <si>
    <t xml:space="preserve">ORD-101985</t>
  </si>
  <si>
    <t xml:space="preserve">ORD-101986</t>
  </si>
  <si>
    <t xml:space="preserve">ORD-101987</t>
  </si>
  <si>
    <t xml:space="preserve">ORD-101988</t>
  </si>
  <si>
    <t xml:space="preserve">ORD-101989</t>
  </si>
  <si>
    <t xml:space="preserve">ORD-101990</t>
  </si>
  <si>
    <t xml:space="preserve">ORD-101991</t>
  </si>
  <si>
    <t xml:space="preserve">ORD-101992</t>
  </si>
  <si>
    <t xml:space="preserve">ORD-101993</t>
  </si>
  <si>
    <t xml:space="preserve">ORD-101994</t>
  </si>
  <si>
    <t xml:space="preserve">ORD-101995</t>
  </si>
  <si>
    <t xml:space="preserve">ORD-101996</t>
  </si>
  <si>
    <t xml:space="preserve">ORD-101997</t>
  </si>
  <si>
    <t xml:space="preserve">ORD-101998</t>
  </si>
  <si>
    <t xml:space="preserve">ORD-101999</t>
  </si>
  <si>
    <t xml:space="preserve">ORD-102000</t>
  </si>
  <si>
    <t xml:space="preserve">ORD-102001</t>
  </si>
  <si>
    <t xml:space="preserve">ORD-102002</t>
  </si>
  <si>
    <t xml:space="preserve">ORD-102003</t>
  </si>
  <si>
    <t xml:space="preserve">ORD-102004</t>
  </si>
  <si>
    <t xml:space="preserve">ORD-102005</t>
  </si>
  <si>
    <t xml:space="preserve">ORD-102006</t>
  </si>
  <si>
    <t xml:space="preserve">ORD-102007</t>
  </si>
  <si>
    <t xml:space="preserve">ORD-102008</t>
  </si>
  <si>
    <t xml:space="preserve">ORD-102009</t>
  </si>
  <si>
    <t xml:space="preserve">ORD-102010</t>
  </si>
  <si>
    <t xml:space="preserve">ORD-102011</t>
  </si>
  <si>
    <t xml:space="preserve">ORD-102012</t>
  </si>
  <si>
    <t xml:space="preserve">ORD-102013</t>
  </si>
  <si>
    <t xml:space="preserve">ORD-102014</t>
  </si>
  <si>
    <t xml:space="preserve">ORD-102015</t>
  </si>
  <si>
    <t xml:space="preserve">ORD-102016</t>
  </si>
  <si>
    <t xml:space="preserve">ORD-102017</t>
  </si>
  <si>
    <t xml:space="preserve">ORD-102018</t>
  </si>
  <si>
    <t xml:space="preserve">ORD-102019</t>
  </si>
  <si>
    <t xml:space="preserve">ORD-102020</t>
  </si>
  <si>
    <t xml:space="preserve">ORD-102021</t>
  </si>
  <si>
    <t xml:space="preserve">ORD-102022</t>
  </si>
  <si>
    <t xml:space="preserve">ORD-102023</t>
  </si>
  <si>
    <t xml:space="preserve">ORD-102024</t>
  </si>
  <si>
    <t xml:space="preserve">ORD-102025</t>
  </si>
  <si>
    <t xml:space="preserve">ORD-102026</t>
  </si>
  <si>
    <t xml:space="preserve">ORD-102027</t>
  </si>
  <si>
    <t xml:space="preserve">ORD-102028</t>
  </si>
  <si>
    <t xml:space="preserve">ORD-102029</t>
  </si>
  <si>
    <t xml:space="preserve">ORD-102030</t>
  </si>
  <si>
    <t xml:space="preserve">ORD-102031</t>
  </si>
  <si>
    <t xml:space="preserve">ORD-102032</t>
  </si>
  <si>
    <t xml:space="preserve">ORD-102033</t>
  </si>
  <si>
    <t xml:space="preserve">ORD-102034</t>
  </si>
  <si>
    <t xml:space="preserve">ORD-102035</t>
  </si>
  <si>
    <t xml:space="preserve">ORD-102036</t>
  </si>
  <si>
    <t xml:space="preserve">ORD-102037</t>
  </si>
  <si>
    <t xml:space="preserve">ORD-102038</t>
  </si>
  <si>
    <t xml:space="preserve">ORD-102039</t>
  </si>
  <si>
    <t xml:space="preserve">ORD-102040</t>
  </si>
  <si>
    <t xml:space="preserve">ORD-102041</t>
  </si>
  <si>
    <t xml:space="preserve">ORD-102042</t>
  </si>
  <si>
    <t xml:space="preserve">ORD-102043</t>
  </si>
  <si>
    <t xml:space="preserve">ORD-102044</t>
  </si>
  <si>
    <t xml:space="preserve">ORD-102045</t>
  </si>
  <si>
    <t xml:space="preserve">ORD-102046</t>
  </si>
  <si>
    <t xml:space="preserve">ORD-102047</t>
  </si>
  <si>
    <t xml:space="preserve">ORD-102048</t>
  </si>
  <si>
    <t xml:space="preserve">ORD-102049</t>
  </si>
  <si>
    <t xml:space="preserve">ORD-102050</t>
  </si>
  <si>
    <t xml:space="preserve">ORD-102051</t>
  </si>
  <si>
    <t xml:space="preserve">ORD-102052</t>
  </si>
  <si>
    <t xml:space="preserve">ORD-102053</t>
  </si>
  <si>
    <t xml:space="preserve">ORD-102054</t>
  </si>
  <si>
    <t xml:space="preserve">ORD-102055</t>
  </si>
  <si>
    <t xml:space="preserve">ORD-102056</t>
  </si>
  <si>
    <t xml:space="preserve">ORD-102057</t>
  </si>
  <si>
    <t xml:space="preserve">ORD-102058</t>
  </si>
  <si>
    <t xml:space="preserve">ORD-102059</t>
  </si>
  <si>
    <t xml:space="preserve">ORD-102060</t>
  </si>
  <si>
    <t xml:space="preserve">ORD-102061</t>
  </si>
  <si>
    <t xml:space="preserve">ORD-102062</t>
  </si>
  <si>
    <t xml:space="preserve">ORD-102063</t>
  </si>
  <si>
    <t xml:space="preserve">ORD-102064</t>
  </si>
  <si>
    <t xml:space="preserve">ORD-102065</t>
  </si>
  <si>
    <t xml:space="preserve">ORD-102066</t>
  </si>
  <si>
    <t xml:space="preserve">ORD-102067</t>
  </si>
  <si>
    <t xml:space="preserve">ORD-102068</t>
  </si>
  <si>
    <t xml:space="preserve">ORD-102069</t>
  </si>
  <si>
    <t xml:space="preserve">ORD-102070</t>
  </si>
  <si>
    <t xml:space="preserve">ORD-102071</t>
  </si>
  <si>
    <t xml:space="preserve">ORD-102072</t>
  </si>
  <si>
    <t xml:space="preserve">ORD-102073</t>
  </si>
  <si>
    <t xml:space="preserve">ORD-102074</t>
  </si>
  <si>
    <t xml:space="preserve">ORD-102075</t>
  </si>
  <si>
    <t xml:space="preserve">ORD-102076</t>
  </si>
  <si>
    <t xml:space="preserve">ORD-102077</t>
  </si>
  <si>
    <t xml:space="preserve">ORD-102078</t>
  </si>
  <si>
    <t xml:space="preserve">ORD-102079</t>
  </si>
  <si>
    <t xml:space="preserve">ORD-102080</t>
  </si>
  <si>
    <t xml:space="preserve">ORD-102081</t>
  </si>
  <si>
    <t xml:space="preserve">ORD-102082</t>
  </si>
  <si>
    <t xml:space="preserve">ORD-102083</t>
  </si>
  <si>
    <t xml:space="preserve">ORD-102084</t>
  </si>
  <si>
    <t xml:space="preserve">ORD-102085</t>
  </si>
  <si>
    <t xml:space="preserve">ORD-102086</t>
  </si>
  <si>
    <t xml:space="preserve">ORD-102087</t>
  </si>
  <si>
    <t xml:space="preserve">ORD-102088</t>
  </si>
  <si>
    <t xml:space="preserve">ORD-102089</t>
  </si>
  <si>
    <t xml:space="preserve">ORD-102090</t>
  </si>
  <si>
    <t xml:space="preserve">ORD-102091</t>
  </si>
  <si>
    <t xml:space="preserve">ORD-102092</t>
  </si>
  <si>
    <t xml:space="preserve">ORD-102093</t>
  </si>
  <si>
    <t xml:space="preserve">ORD-102094</t>
  </si>
  <si>
    <t xml:space="preserve">ORD-102095</t>
  </si>
  <si>
    <t xml:space="preserve">ORD-102096</t>
  </si>
  <si>
    <t xml:space="preserve">ORD-102097</t>
  </si>
  <si>
    <t xml:space="preserve">ORD-102098</t>
  </si>
  <si>
    <t xml:space="preserve">ORD-102099</t>
  </si>
  <si>
    <t xml:space="preserve">ORD-102100</t>
  </si>
  <si>
    <t xml:space="preserve">ORD-102101</t>
  </si>
  <si>
    <t xml:space="preserve">ORD-102102</t>
  </si>
  <si>
    <t xml:space="preserve">ORD-102103</t>
  </si>
  <si>
    <t xml:space="preserve">ORD-102104</t>
  </si>
  <si>
    <t xml:space="preserve">ORD-102105</t>
  </si>
  <si>
    <t xml:space="preserve">ORD-102106</t>
  </si>
  <si>
    <t xml:space="preserve">ORD-102107</t>
  </si>
  <si>
    <t xml:space="preserve">ORD-102108</t>
  </si>
  <si>
    <t xml:space="preserve">ORD-102109</t>
  </si>
  <si>
    <t xml:space="preserve">ORD-102110</t>
  </si>
  <si>
    <t xml:space="preserve">ORD-102111</t>
  </si>
  <si>
    <t xml:space="preserve">ORD-102112</t>
  </si>
  <si>
    <t xml:space="preserve">ORD-102113</t>
  </si>
  <si>
    <t xml:space="preserve">ORD-102114</t>
  </si>
  <si>
    <t xml:space="preserve">ORD-102115</t>
  </si>
  <si>
    <t xml:space="preserve">ORD-102116</t>
  </si>
  <si>
    <t xml:space="preserve">ORD-102117</t>
  </si>
  <si>
    <t xml:space="preserve">ORD-102118</t>
  </si>
  <si>
    <t xml:space="preserve">ORD-102119</t>
  </si>
  <si>
    <t xml:space="preserve">ORD-102120</t>
  </si>
  <si>
    <t xml:space="preserve">ORD-102121</t>
  </si>
  <si>
    <t xml:space="preserve">ORD-102122</t>
  </si>
  <si>
    <t xml:space="preserve">ORD-102123</t>
  </si>
  <si>
    <t xml:space="preserve">ORD-102124</t>
  </si>
  <si>
    <t xml:space="preserve">ORD-102125</t>
  </si>
  <si>
    <t xml:space="preserve">ORD-102126</t>
  </si>
  <si>
    <t xml:space="preserve">ORD-102127</t>
  </si>
  <si>
    <t xml:space="preserve">ORD-102128</t>
  </si>
  <si>
    <t xml:space="preserve">ORD-102129</t>
  </si>
  <si>
    <t xml:space="preserve">ORD-102130</t>
  </si>
  <si>
    <t xml:space="preserve">ORD-102131</t>
  </si>
  <si>
    <t xml:space="preserve">ORD-102132</t>
  </si>
  <si>
    <t xml:space="preserve">ORD-102133</t>
  </si>
  <si>
    <t xml:space="preserve">ORD-102134</t>
  </si>
  <si>
    <t xml:space="preserve">ORD-102135</t>
  </si>
  <si>
    <t xml:space="preserve">ORD-102136</t>
  </si>
  <si>
    <t xml:space="preserve">ORD-102137</t>
  </si>
  <si>
    <t xml:space="preserve">ORD-102138</t>
  </si>
  <si>
    <t xml:space="preserve">ORD-102139</t>
  </si>
  <si>
    <t xml:space="preserve">ORD-102140</t>
  </si>
  <si>
    <t xml:space="preserve">ORD-102141</t>
  </si>
  <si>
    <t xml:space="preserve">ORD-102142</t>
  </si>
  <si>
    <t xml:space="preserve">ORD-102143</t>
  </si>
  <si>
    <t xml:space="preserve">ORD-102144</t>
  </si>
  <si>
    <t xml:space="preserve">ORD-102145</t>
  </si>
  <si>
    <t xml:space="preserve">ORD-102146</t>
  </si>
  <si>
    <t xml:space="preserve">ORD-102147</t>
  </si>
  <si>
    <t xml:space="preserve">ORD-102148</t>
  </si>
  <si>
    <t xml:space="preserve">ORD-102149</t>
  </si>
  <si>
    <t xml:space="preserve">ORD-102150</t>
  </si>
  <si>
    <t xml:space="preserve">ORD-102151</t>
  </si>
  <si>
    <t xml:space="preserve">ORD-102152</t>
  </si>
  <si>
    <t xml:space="preserve">ORD-102153</t>
  </si>
  <si>
    <t xml:space="preserve">ORD-102154</t>
  </si>
  <si>
    <t xml:space="preserve">ORD-102155</t>
  </si>
  <si>
    <t xml:space="preserve">ORD-102156</t>
  </si>
  <si>
    <t xml:space="preserve">ORD-102157</t>
  </si>
  <si>
    <t xml:space="preserve">ORD-102158</t>
  </si>
  <si>
    <t xml:space="preserve">ORD-102159</t>
  </si>
  <si>
    <t xml:space="preserve">ORD-102160</t>
  </si>
  <si>
    <t xml:space="preserve">ORD-102161</t>
  </si>
  <si>
    <t xml:space="preserve">ORD-102162</t>
  </si>
  <si>
    <t xml:space="preserve">ORD-102163</t>
  </si>
  <si>
    <t xml:space="preserve">ORD-102164</t>
  </si>
  <si>
    <t xml:space="preserve">ORD-102165</t>
  </si>
  <si>
    <t xml:space="preserve">ORD-102166</t>
  </si>
  <si>
    <t xml:space="preserve">ORD-102167</t>
  </si>
  <si>
    <t xml:space="preserve">ORD-102168</t>
  </si>
  <si>
    <t xml:space="preserve">ORD-102169</t>
  </si>
  <si>
    <t xml:space="preserve">ORD-102170</t>
  </si>
  <si>
    <t xml:space="preserve">ORD-102171</t>
  </si>
  <si>
    <t xml:space="preserve">ORD-102172</t>
  </si>
  <si>
    <t xml:space="preserve">ORD-102173</t>
  </si>
  <si>
    <t xml:space="preserve">ORD-102174</t>
  </si>
  <si>
    <t xml:space="preserve">ORD-102175</t>
  </si>
  <si>
    <t xml:space="preserve">ORD-102176</t>
  </si>
  <si>
    <t xml:space="preserve">ORD-102177</t>
  </si>
  <si>
    <t xml:space="preserve">ORD-102178</t>
  </si>
  <si>
    <t xml:space="preserve">ORD-102179</t>
  </si>
  <si>
    <t xml:space="preserve">ORD-102180</t>
  </si>
  <si>
    <t xml:space="preserve">ORD-102181</t>
  </si>
  <si>
    <t xml:space="preserve">ORD-102182</t>
  </si>
  <si>
    <t xml:space="preserve">ORD-102183</t>
  </si>
  <si>
    <t xml:space="preserve">ORD-102184</t>
  </si>
  <si>
    <t xml:space="preserve">ORD-102185</t>
  </si>
  <si>
    <t xml:space="preserve">ORD-102186</t>
  </si>
  <si>
    <t xml:space="preserve">ORD-102187</t>
  </si>
  <si>
    <t xml:space="preserve">ORD-102188</t>
  </si>
  <si>
    <t xml:space="preserve">ORD-102189</t>
  </si>
  <si>
    <t xml:space="preserve">ORD-102190</t>
  </si>
  <si>
    <t xml:space="preserve">ORD-102191</t>
  </si>
  <si>
    <t xml:space="preserve">ORD-102192</t>
  </si>
  <si>
    <t xml:space="preserve">ORD-102193</t>
  </si>
  <si>
    <t xml:space="preserve">ORD-102194</t>
  </si>
  <si>
    <t xml:space="preserve">ORD-102195</t>
  </si>
  <si>
    <t xml:space="preserve">ORD-102196</t>
  </si>
  <si>
    <t xml:space="preserve">ORD-102197</t>
  </si>
  <si>
    <t xml:space="preserve">ORD-102198</t>
  </si>
  <si>
    <t xml:space="preserve">ORD-102199</t>
  </si>
  <si>
    <t xml:space="preserve">ORD-102200</t>
  </si>
  <si>
    <t xml:space="preserve">ORD-102201</t>
  </si>
  <si>
    <t xml:space="preserve">ORD-102202</t>
  </si>
  <si>
    <t xml:space="preserve">ORD-102203</t>
  </si>
  <si>
    <t xml:space="preserve">ORD-102204</t>
  </si>
  <si>
    <t xml:space="preserve">ORD-102205</t>
  </si>
  <si>
    <t xml:space="preserve">ORD-102206</t>
  </si>
  <si>
    <t xml:space="preserve">ORD-102207</t>
  </si>
  <si>
    <t xml:space="preserve">ORD-102208</t>
  </si>
  <si>
    <t xml:space="preserve">ORD-102209</t>
  </si>
  <si>
    <t xml:space="preserve">ORD-102210</t>
  </si>
  <si>
    <t xml:space="preserve">ORD-102211</t>
  </si>
  <si>
    <t xml:space="preserve">ORD-102212</t>
  </si>
  <si>
    <t xml:space="preserve">ORD-102213</t>
  </si>
  <si>
    <t xml:space="preserve">ORD-102214</t>
  </si>
  <si>
    <t xml:space="preserve">ORD-102215</t>
  </si>
  <si>
    <t xml:space="preserve">ORD-102216</t>
  </si>
  <si>
    <t xml:space="preserve">ORD-102217</t>
  </si>
  <si>
    <t xml:space="preserve">ORD-102218</t>
  </si>
  <si>
    <t xml:space="preserve">ORD-102219</t>
  </si>
  <si>
    <t xml:space="preserve">ORD-102220</t>
  </si>
  <si>
    <t xml:space="preserve">ORD-102221</t>
  </si>
  <si>
    <t xml:space="preserve">ORD-102222</t>
  </si>
  <si>
    <t xml:space="preserve">ORD-102223</t>
  </si>
  <si>
    <t xml:space="preserve">ORD-102224</t>
  </si>
  <si>
    <t xml:space="preserve">ORD-102225</t>
  </si>
  <si>
    <t xml:space="preserve">ORD-102226</t>
  </si>
  <si>
    <t xml:space="preserve">ORD-102227</t>
  </si>
  <si>
    <t xml:space="preserve">ORD-102228</t>
  </si>
  <si>
    <t xml:space="preserve">ORD-102229</t>
  </si>
  <si>
    <t xml:space="preserve">ORD-102230</t>
  </si>
  <si>
    <t xml:space="preserve">ORD-102231</t>
  </si>
  <si>
    <t xml:space="preserve">ORD-102232</t>
  </si>
  <si>
    <t xml:space="preserve">ORD-102233</t>
  </si>
  <si>
    <t xml:space="preserve">ORD-102234</t>
  </si>
  <si>
    <t xml:space="preserve">ORD-102235</t>
  </si>
  <si>
    <t xml:space="preserve">ORD-102236</t>
  </si>
  <si>
    <t xml:space="preserve">ORD-102237</t>
  </si>
  <si>
    <t xml:space="preserve">ORD-102238</t>
  </si>
  <si>
    <t xml:space="preserve">ORD-102239</t>
  </si>
  <si>
    <t xml:space="preserve">ORD-102240</t>
  </si>
  <si>
    <t xml:space="preserve">ORD-102241</t>
  </si>
  <si>
    <t xml:space="preserve">ORD-102242</t>
  </si>
  <si>
    <t xml:space="preserve">ORD-102243</t>
  </si>
  <si>
    <t xml:space="preserve">ORD-102244</t>
  </si>
  <si>
    <t xml:space="preserve">ORD-102245</t>
  </si>
  <si>
    <t xml:space="preserve">ORD-102246</t>
  </si>
  <si>
    <t xml:space="preserve">ORD-102247</t>
  </si>
  <si>
    <t xml:space="preserve">ORD-102248</t>
  </si>
  <si>
    <t xml:space="preserve">ORD-102249</t>
  </si>
  <si>
    <t xml:space="preserve">ORD-102250</t>
  </si>
  <si>
    <t xml:space="preserve">ORD-102251</t>
  </si>
  <si>
    <t xml:space="preserve">ORD-102252</t>
  </si>
  <si>
    <t xml:space="preserve">ORD-102253</t>
  </si>
  <si>
    <t xml:space="preserve">ORD-102254</t>
  </si>
  <si>
    <t xml:space="preserve">ORD-102255</t>
  </si>
  <si>
    <t xml:space="preserve">ORD-102256</t>
  </si>
  <si>
    <t xml:space="preserve">ORD-102257</t>
  </si>
  <si>
    <t xml:space="preserve">ORD-102258</t>
  </si>
  <si>
    <t xml:space="preserve">ORD-102259</t>
  </si>
  <si>
    <t xml:space="preserve">ORD-102260</t>
  </si>
  <si>
    <t xml:space="preserve">ORD-102261</t>
  </si>
  <si>
    <t xml:space="preserve">ORD-102262</t>
  </si>
  <si>
    <t xml:space="preserve">ORD-102263</t>
  </si>
  <si>
    <t xml:space="preserve">ORD-102264</t>
  </si>
  <si>
    <t xml:space="preserve">ORD-102265</t>
  </si>
  <si>
    <t xml:space="preserve">ORD-102266</t>
  </si>
  <si>
    <t xml:space="preserve">ORD-102267</t>
  </si>
  <si>
    <t xml:space="preserve">ORD-102268</t>
  </si>
  <si>
    <t xml:space="preserve">ORD-102269</t>
  </si>
  <si>
    <t xml:space="preserve">ORD-102270</t>
  </si>
  <si>
    <t xml:space="preserve">ORD-102271</t>
  </si>
  <si>
    <t xml:space="preserve">ORD-102272</t>
  </si>
  <si>
    <t xml:space="preserve">ORD-102273</t>
  </si>
  <si>
    <t xml:space="preserve">ORD-102274</t>
  </si>
  <si>
    <t xml:space="preserve">ORD-102275</t>
  </si>
  <si>
    <t xml:space="preserve">ORD-102276</t>
  </si>
  <si>
    <t xml:space="preserve">ORD-102277</t>
  </si>
  <si>
    <t xml:space="preserve">ORD-102278</t>
  </si>
  <si>
    <t xml:space="preserve">ORD-102279</t>
  </si>
  <si>
    <t xml:space="preserve">ORD-102280</t>
  </si>
  <si>
    <t xml:space="preserve">ORD-102281</t>
  </si>
  <si>
    <t xml:space="preserve">ORD-102282</t>
  </si>
  <si>
    <t xml:space="preserve">ORD-102283</t>
  </si>
  <si>
    <t xml:space="preserve">ORD-102284</t>
  </si>
  <si>
    <t xml:space="preserve">ORD-102285</t>
  </si>
  <si>
    <t xml:space="preserve">ORD-102286</t>
  </si>
  <si>
    <t xml:space="preserve">ORD-102287</t>
  </si>
  <si>
    <t xml:space="preserve">ORD-102288</t>
  </si>
  <si>
    <t xml:space="preserve">ORD-102289</t>
  </si>
  <si>
    <t xml:space="preserve">ORD-102290</t>
  </si>
  <si>
    <t xml:space="preserve">ORD-102291</t>
  </si>
  <si>
    <t xml:space="preserve">ORD-102292</t>
  </si>
  <si>
    <t xml:space="preserve">ORD-102293</t>
  </si>
  <si>
    <t xml:space="preserve">ORD-102294</t>
  </si>
  <si>
    <t xml:space="preserve">ORD-102295</t>
  </si>
  <si>
    <t xml:space="preserve">ORD-102296</t>
  </si>
  <si>
    <t xml:space="preserve">ORD-102297</t>
  </si>
  <si>
    <t xml:space="preserve">ORD-102298</t>
  </si>
  <si>
    <t xml:space="preserve">ORD-102299</t>
  </si>
  <si>
    <t xml:space="preserve">ORD-102300</t>
  </si>
  <si>
    <t xml:space="preserve">ORD-102301</t>
  </si>
  <si>
    <t xml:space="preserve">ORD-102302</t>
  </si>
  <si>
    <t xml:space="preserve">ORD-102303</t>
  </si>
  <si>
    <t xml:space="preserve">ORD-102304</t>
  </si>
  <si>
    <t xml:space="preserve">ORD-102305</t>
  </si>
  <si>
    <t xml:space="preserve">ORD-102306</t>
  </si>
  <si>
    <t xml:space="preserve">ORD-102307</t>
  </si>
  <si>
    <t xml:space="preserve">ORD-102308</t>
  </si>
  <si>
    <t xml:space="preserve">ORD-102309</t>
  </si>
  <si>
    <t xml:space="preserve">ORD-102310</t>
  </si>
  <si>
    <t xml:space="preserve">ORD-102311</t>
  </si>
  <si>
    <t xml:space="preserve">ORD-102312</t>
  </si>
  <si>
    <t xml:space="preserve">ORD-102313</t>
  </si>
  <si>
    <t xml:space="preserve">ORD-102314</t>
  </si>
  <si>
    <t xml:space="preserve">ORD-102315</t>
  </si>
  <si>
    <t xml:space="preserve">ORD-102316</t>
  </si>
  <si>
    <t xml:space="preserve">ORD-102317</t>
  </si>
  <si>
    <t xml:space="preserve">ORD-102318</t>
  </si>
  <si>
    <t xml:space="preserve">ORD-102319</t>
  </si>
  <si>
    <t xml:space="preserve">ORD-102320</t>
  </si>
  <si>
    <t xml:space="preserve">ORD-102321</t>
  </si>
  <si>
    <t xml:space="preserve">ORD-102322</t>
  </si>
  <si>
    <t xml:space="preserve">ORD-102323</t>
  </si>
  <si>
    <t xml:space="preserve">ORD-102324</t>
  </si>
  <si>
    <t xml:space="preserve">ORD-102325</t>
  </si>
  <si>
    <t xml:space="preserve">ORD-102326</t>
  </si>
  <si>
    <t xml:space="preserve">ORD-102327</t>
  </si>
  <si>
    <t xml:space="preserve">ORD-102328</t>
  </si>
  <si>
    <t xml:space="preserve">ORD-102329</t>
  </si>
  <si>
    <t xml:space="preserve">ORD-102330</t>
  </si>
  <si>
    <t xml:space="preserve">ORD-102331</t>
  </si>
  <si>
    <t xml:space="preserve">ORD-102332</t>
  </si>
  <si>
    <t xml:space="preserve">ORD-102333</t>
  </si>
  <si>
    <t xml:space="preserve">ORD-102334</t>
  </si>
  <si>
    <t xml:space="preserve">ORD-102335</t>
  </si>
  <si>
    <t xml:space="preserve">ORD-102336</t>
  </si>
  <si>
    <t xml:space="preserve">ORD-102337</t>
  </si>
  <si>
    <t xml:space="preserve">ORD-102338</t>
  </si>
  <si>
    <t xml:space="preserve">ORD-102339</t>
  </si>
  <si>
    <t xml:space="preserve">ORD-102340</t>
  </si>
  <si>
    <t xml:space="preserve">ORD-102341</t>
  </si>
  <si>
    <t xml:space="preserve">ORD-102342</t>
  </si>
  <si>
    <t xml:space="preserve">ORD-102343</t>
  </si>
  <si>
    <t xml:space="preserve">ORD-102344</t>
  </si>
  <si>
    <t xml:space="preserve">ORD-102345</t>
  </si>
  <si>
    <t xml:space="preserve">ORD-102346</t>
  </si>
  <si>
    <t xml:space="preserve">ORD-102347</t>
  </si>
  <si>
    <t xml:space="preserve">ORD-102348</t>
  </si>
  <si>
    <t xml:space="preserve">ORD-102349</t>
  </si>
  <si>
    <t xml:space="preserve">ORD-102350</t>
  </si>
  <si>
    <t xml:space="preserve">ORD-102351</t>
  </si>
  <si>
    <t xml:space="preserve">ORD-102352</t>
  </si>
  <si>
    <t xml:space="preserve">ORD-102353</t>
  </si>
  <si>
    <t xml:space="preserve">ORD-102354</t>
  </si>
  <si>
    <t xml:space="preserve">ORD-102355</t>
  </si>
  <si>
    <t xml:space="preserve">ORD-102356</t>
  </si>
  <si>
    <t xml:space="preserve">ORD-102357</t>
  </si>
  <si>
    <t xml:space="preserve">ORD-102358</t>
  </si>
  <si>
    <t xml:space="preserve">ORD-102359</t>
  </si>
  <si>
    <t xml:space="preserve">ORD-102360</t>
  </si>
  <si>
    <t xml:space="preserve">ORD-102361</t>
  </si>
  <si>
    <t xml:space="preserve">ORD-102362</t>
  </si>
  <si>
    <t xml:space="preserve">ORD-102363</t>
  </si>
  <si>
    <t xml:space="preserve">ORD-102364</t>
  </si>
  <si>
    <t xml:space="preserve">ORD-102365</t>
  </si>
  <si>
    <t xml:space="preserve">ORD-102366</t>
  </si>
  <si>
    <t xml:space="preserve">ORD-102367</t>
  </si>
  <si>
    <t xml:space="preserve">ORD-102368</t>
  </si>
  <si>
    <t xml:space="preserve">ORD-102369</t>
  </si>
  <si>
    <t xml:space="preserve">ORD-102370</t>
  </si>
  <si>
    <t xml:space="preserve">ORD-102371</t>
  </si>
  <si>
    <t xml:space="preserve">ORD-102372</t>
  </si>
  <si>
    <t xml:space="preserve">ORD-102373</t>
  </si>
  <si>
    <t xml:space="preserve">ORD-102374</t>
  </si>
  <si>
    <t xml:space="preserve">ORD-102375</t>
  </si>
  <si>
    <t xml:space="preserve">ORD-102376</t>
  </si>
  <si>
    <t xml:space="preserve">ORD-102377</t>
  </si>
  <si>
    <t xml:space="preserve">ORD-102378</t>
  </si>
  <si>
    <t xml:space="preserve">ORD-102379</t>
  </si>
  <si>
    <t xml:space="preserve">ORD-102380</t>
  </si>
  <si>
    <t xml:space="preserve">ORD-102381</t>
  </si>
  <si>
    <t xml:space="preserve">ORD-102382</t>
  </si>
  <si>
    <t xml:space="preserve">ORD-102383</t>
  </si>
  <si>
    <t xml:space="preserve">ORD-102384</t>
  </si>
  <si>
    <t xml:space="preserve">ORD-102385</t>
  </si>
  <si>
    <t xml:space="preserve">ORD-102386</t>
  </si>
  <si>
    <t xml:space="preserve">ORD-102387</t>
  </si>
  <si>
    <t xml:space="preserve">ORD-102388</t>
  </si>
  <si>
    <t xml:space="preserve">ORD-102389</t>
  </si>
  <si>
    <t xml:space="preserve">ORD-102390</t>
  </si>
  <si>
    <t xml:space="preserve">ORD-102391</t>
  </si>
  <si>
    <t xml:space="preserve">ORD-102392</t>
  </si>
  <si>
    <t xml:space="preserve">ORD-102393</t>
  </si>
  <si>
    <t xml:space="preserve">ORD-102394</t>
  </si>
  <si>
    <t xml:space="preserve">ORD-102395</t>
  </si>
  <si>
    <t xml:space="preserve">ORD-102396</t>
  </si>
  <si>
    <t xml:space="preserve">ORD-102397</t>
  </si>
  <si>
    <t xml:space="preserve">ORD-102398</t>
  </si>
  <si>
    <t xml:space="preserve">ORD-102399</t>
  </si>
  <si>
    <t xml:space="preserve">ORD-102400</t>
  </si>
  <si>
    <t xml:space="preserve">ORD-102401</t>
  </si>
  <si>
    <t xml:space="preserve">ORD-102402</t>
  </si>
  <si>
    <t xml:space="preserve">ORD-102403</t>
  </si>
  <si>
    <t xml:space="preserve">ORD-102404</t>
  </si>
  <si>
    <t xml:space="preserve">ORD-102405</t>
  </si>
  <si>
    <t xml:space="preserve">ORD-102406</t>
  </si>
  <si>
    <t xml:space="preserve">ORD-102407</t>
  </si>
  <si>
    <t xml:space="preserve">ORD-102408</t>
  </si>
  <si>
    <t xml:space="preserve">ORD-102409</t>
  </si>
  <si>
    <t xml:space="preserve">ORD-102410</t>
  </si>
  <si>
    <t xml:space="preserve">ORD-102411</t>
  </si>
  <si>
    <t xml:space="preserve">ORD-102412</t>
  </si>
  <si>
    <t xml:space="preserve">ORD-102413</t>
  </si>
  <si>
    <t xml:space="preserve">ORD-102414</t>
  </si>
  <si>
    <t xml:space="preserve">ORD-102415</t>
  </si>
  <si>
    <t xml:space="preserve">ORD-102416</t>
  </si>
  <si>
    <t xml:space="preserve">ORD-102417</t>
  </si>
  <si>
    <t xml:space="preserve">ORD-102418</t>
  </si>
  <si>
    <t xml:space="preserve">ORD-102419</t>
  </si>
  <si>
    <t xml:space="preserve">ORD-102420</t>
  </si>
  <si>
    <t xml:space="preserve">ORD-102421</t>
  </si>
  <si>
    <t xml:space="preserve">ORD-102422</t>
  </si>
  <si>
    <t xml:space="preserve">ORD-102423</t>
  </si>
  <si>
    <t xml:space="preserve">ORD-102424</t>
  </si>
  <si>
    <t xml:space="preserve">ORD-102425</t>
  </si>
  <si>
    <t xml:space="preserve">ORD-102426</t>
  </si>
  <si>
    <t xml:space="preserve">ORD-102427</t>
  </si>
  <si>
    <t xml:space="preserve">ORD-102428</t>
  </si>
  <si>
    <t xml:space="preserve">ORD-102429</t>
  </si>
  <si>
    <t xml:space="preserve">ORD-102430</t>
  </si>
  <si>
    <t xml:space="preserve">ORD-102431</t>
  </si>
  <si>
    <t xml:space="preserve">ORD-102432</t>
  </si>
  <si>
    <t xml:space="preserve">ORD-102433</t>
  </si>
  <si>
    <t xml:space="preserve">ORD-102434</t>
  </si>
  <si>
    <t xml:space="preserve">ORD-102435</t>
  </si>
  <si>
    <t xml:space="preserve">ORD-102436</t>
  </si>
  <si>
    <t xml:space="preserve">ORD-102437</t>
  </si>
  <si>
    <t xml:space="preserve">ORD-102438</t>
  </si>
  <si>
    <t xml:space="preserve">ORD-102439</t>
  </si>
  <si>
    <t xml:space="preserve">ORD-102440</t>
  </si>
  <si>
    <t xml:space="preserve">ORD-102441</t>
  </si>
  <si>
    <t xml:space="preserve">ORD-102442</t>
  </si>
  <si>
    <t xml:space="preserve">ORD-102443</t>
  </si>
  <si>
    <t xml:space="preserve">ORD-102444</t>
  </si>
  <si>
    <t xml:space="preserve">ORD-102445</t>
  </si>
  <si>
    <t xml:space="preserve">ORD-102446</t>
  </si>
  <si>
    <t xml:space="preserve">ORD-102447</t>
  </si>
  <si>
    <t xml:space="preserve">ORD-102448</t>
  </si>
  <si>
    <t xml:space="preserve">ORD-102449</t>
  </si>
  <si>
    <t xml:space="preserve">ORD-102450</t>
  </si>
  <si>
    <t xml:space="preserve">ORD-102451</t>
  </si>
  <si>
    <t xml:space="preserve">ORD-102452</t>
  </si>
  <si>
    <t xml:space="preserve">ORD-102453</t>
  </si>
  <si>
    <t xml:space="preserve">ORD-102454</t>
  </si>
  <si>
    <t xml:space="preserve">ORD-102455</t>
  </si>
  <si>
    <t xml:space="preserve">ORD-102456</t>
  </si>
  <si>
    <t xml:space="preserve">ORD-102457</t>
  </si>
  <si>
    <t xml:space="preserve">ORD-102458</t>
  </si>
  <si>
    <t xml:space="preserve">ORD-102459</t>
  </si>
  <si>
    <t xml:space="preserve">ORD-102460</t>
  </si>
  <si>
    <t xml:space="preserve">ORD-102461</t>
  </si>
  <si>
    <t xml:space="preserve">ORD-102462</t>
  </si>
  <si>
    <t xml:space="preserve">ORD-102463</t>
  </si>
  <si>
    <t xml:space="preserve">ORD-102464</t>
  </si>
  <si>
    <t xml:space="preserve">ORD-102465</t>
  </si>
  <si>
    <t xml:space="preserve">ORD-102466</t>
  </si>
  <si>
    <t xml:space="preserve">ORD-102467</t>
  </si>
  <si>
    <t xml:space="preserve">ORD-102468</t>
  </si>
  <si>
    <t xml:space="preserve">ORD-102469</t>
  </si>
  <si>
    <t xml:space="preserve">ORD-102470</t>
  </si>
  <si>
    <t xml:space="preserve">ORD-102471</t>
  </si>
  <si>
    <t xml:space="preserve">ORD-102472</t>
  </si>
  <si>
    <t xml:space="preserve">ORD-102473</t>
  </si>
  <si>
    <t xml:space="preserve">ORD-102474</t>
  </si>
  <si>
    <t xml:space="preserve">ORD-102475</t>
  </si>
  <si>
    <t xml:space="preserve">ORD-102476</t>
  </si>
  <si>
    <t xml:space="preserve">ORD-102477</t>
  </si>
  <si>
    <t xml:space="preserve">ORD-102478</t>
  </si>
  <si>
    <t xml:space="preserve">ORD-102479</t>
  </si>
  <si>
    <t xml:space="preserve">ORD-102480</t>
  </si>
  <si>
    <t xml:space="preserve">ORD-102481</t>
  </si>
  <si>
    <t xml:space="preserve">ORD-102482</t>
  </si>
  <si>
    <t xml:space="preserve">ORD-102483</t>
  </si>
  <si>
    <t xml:space="preserve">ORD-102484</t>
  </si>
  <si>
    <t xml:space="preserve">ORD-102485</t>
  </si>
  <si>
    <t xml:space="preserve">ORD-102486</t>
  </si>
  <si>
    <t xml:space="preserve">ORD-102487</t>
  </si>
  <si>
    <t xml:space="preserve">ORD-102488</t>
  </si>
  <si>
    <t xml:space="preserve">ORD-102489</t>
  </si>
  <si>
    <t xml:space="preserve">ORD-102490</t>
  </si>
  <si>
    <t xml:space="preserve">ORD-102491</t>
  </si>
  <si>
    <t xml:space="preserve">ORD-102492</t>
  </si>
  <si>
    <t xml:space="preserve">ORD-102493</t>
  </si>
  <si>
    <t xml:space="preserve">ORD-102494</t>
  </si>
  <si>
    <t xml:space="preserve">ORD-102495</t>
  </si>
  <si>
    <t xml:space="preserve">ORD-102496</t>
  </si>
  <si>
    <t xml:space="preserve">ORD-102497</t>
  </si>
  <si>
    <t xml:space="preserve">ORD-102498</t>
  </si>
  <si>
    <t xml:space="preserve">ORD-102499</t>
  </si>
  <si>
    <t xml:space="preserve">ORD-102500</t>
  </si>
  <si>
    <t xml:space="preserve">ORD-102501</t>
  </si>
  <si>
    <t xml:space="preserve">ORD-102502</t>
  </si>
  <si>
    <t xml:space="preserve">ORD-102503</t>
  </si>
  <si>
    <t xml:space="preserve">ORD-102504</t>
  </si>
  <si>
    <t xml:space="preserve">ORD-102505</t>
  </si>
  <si>
    <t xml:space="preserve">ORD-102506</t>
  </si>
  <si>
    <t xml:space="preserve">ORD-102507</t>
  </si>
  <si>
    <t xml:space="preserve">ORD-102508</t>
  </si>
  <si>
    <t xml:space="preserve">ORD-102509</t>
  </si>
  <si>
    <t xml:space="preserve">ORD-102510</t>
  </si>
  <si>
    <t xml:space="preserve">ORD-102511</t>
  </si>
  <si>
    <t xml:space="preserve">ORD-102512</t>
  </si>
  <si>
    <t xml:space="preserve">ORD-102513</t>
  </si>
  <si>
    <t xml:space="preserve">ORD-102514</t>
  </si>
  <si>
    <t xml:space="preserve">ORD-102515</t>
  </si>
  <si>
    <t xml:space="preserve">ORD-102516</t>
  </si>
  <si>
    <t xml:space="preserve">ORD-102517</t>
  </si>
  <si>
    <t xml:space="preserve">ORD-102518</t>
  </si>
  <si>
    <t xml:space="preserve">ORD-102519</t>
  </si>
  <si>
    <t xml:space="preserve">ORD-102520</t>
  </si>
  <si>
    <t xml:space="preserve">ORD-102521</t>
  </si>
  <si>
    <t xml:space="preserve">ORD-102522</t>
  </si>
  <si>
    <t xml:space="preserve">ORD-102523</t>
  </si>
  <si>
    <t xml:space="preserve">ORD-102524</t>
  </si>
  <si>
    <t xml:space="preserve">ORD-102525</t>
  </si>
  <si>
    <t xml:space="preserve">ORD-102526</t>
  </si>
  <si>
    <t xml:space="preserve">ORD-102527</t>
  </si>
  <si>
    <t xml:space="preserve">ORD-102528</t>
  </si>
  <si>
    <t xml:space="preserve">ORD-102529</t>
  </si>
  <si>
    <t xml:space="preserve">ORD-102530</t>
  </si>
  <si>
    <t xml:space="preserve">ORD-102531</t>
  </si>
  <si>
    <t xml:space="preserve">ORD-102532</t>
  </si>
  <si>
    <t xml:space="preserve">ORD-102533</t>
  </si>
  <si>
    <t xml:space="preserve">ORD-102534</t>
  </si>
  <si>
    <t xml:space="preserve">ORD-102535</t>
  </si>
  <si>
    <t xml:space="preserve">ORD-102536</t>
  </si>
  <si>
    <t xml:space="preserve">ORD-102537</t>
  </si>
  <si>
    <t xml:space="preserve">ORD-102538</t>
  </si>
  <si>
    <t xml:space="preserve">ORD-102539</t>
  </si>
  <si>
    <t xml:space="preserve">ORD-102540</t>
  </si>
  <si>
    <t xml:space="preserve">ORD-102541</t>
  </si>
  <si>
    <t xml:space="preserve">ORD-102542</t>
  </si>
  <si>
    <t xml:space="preserve">ORD-102543</t>
  </si>
  <si>
    <t xml:space="preserve">ORD-102544</t>
  </si>
  <si>
    <t xml:space="preserve">ORD-102545</t>
  </si>
  <si>
    <t xml:space="preserve">ORD-102546</t>
  </si>
  <si>
    <t xml:space="preserve">ORD-102547</t>
  </si>
  <si>
    <t xml:space="preserve">ORD-102548</t>
  </si>
  <si>
    <t xml:space="preserve">ORD-102549</t>
  </si>
  <si>
    <t xml:space="preserve">ORD-102550</t>
  </si>
  <si>
    <t xml:space="preserve">ORD-102551</t>
  </si>
  <si>
    <t xml:space="preserve">ORD-102552</t>
  </si>
  <si>
    <t xml:space="preserve">ORD-102553</t>
  </si>
  <si>
    <t xml:space="preserve">ORD-102554</t>
  </si>
  <si>
    <t xml:space="preserve">ORD-102555</t>
  </si>
  <si>
    <t xml:space="preserve">ORD-102556</t>
  </si>
  <si>
    <t xml:space="preserve">ORD-102557</t>
  </si>
  <si>
    <t xml:space="preserve">ORD-102558</t>
  </si>
  <si>
    <t xml:space="preserve">ORD-102559</t>
  </si>
  <si>
    <t xml:space="preserve">ORD-102560</t>
  </si>
  <si>
    <t xml:space="preserve">ORD-102561</t>
  </si>
  <si>
    <t xml:space="preserve">ORD-102562</t>
  </si>
  <si>
    <t xml:space="preserve">ORD-102563</t>
  </si>
  <si>
    <t xml:space="preserve">ORD-102564</t>
  </si>
  <si>
    <t xml:space="preserve">ORD-102565</t>
  </si>
  <si>
    <t xml:space="preserve">ORD-102566</t>
  </si>
  <si>
    <t xml:space="preserve">ORD-102567</t>
  </si>
  <si>
    <t xml:space="preserve">ORD-102568</t>
  </si>
  <si>
    <t xml:space="preserve">ORD-102569</t>
  </si>
  <si>
    <t xml:space="preserve">ORD-102570</t>
  </si>
  <si>
    <t xml:space="preserve">ORD-102571</t>
  </si>
  <si>
    <t xml:space="preserve">ORD-102572</t>
  </si>
  <si>
    <t xml:space="preserve">ORD-102573</t>
  </si>
  <si>
    <t xml:space="preserve">ORD-102574</t>
  </si>
  <si>
    <t xml:space="preserve">ORD-102575</t>
  </si>
  <si>
    <t xml:space="preserve">ORD-102576</t>
  </si>
  <si>
    <t xml:space="preserve">ORD-102577</t>
  </si>
  <si>
    <t xml:space="preserve">ORD-102578</t>
  </si>
  <si>
    <t xml:space="preserve">ORD-102579</t>
  </si>
  <si>
    <t xml:space="preserve">ORD-102580</t>
  </si>
  <si>
    <t xml:space="preserve">ORD-102581</t>
  </si>
  <si>
    <t xml:space="preserve">ORD-102582</t>
  </si>
  <si>
    <t xml:space="preserve">ORD-102583</t>
  </si>
  <si>
    <t xml:space="preserve">ORD-102584</t>
  </si>
  <si>
    <t xml:space="preserve">ORD-102585</t>
  </si>
  <si>
    <t xml:space="preserve">ORD-102586</t>
  </si>
  <si>
    <t xml:space="preserve">ORD-102587</t>
  </si>
  <si>
    <t xml:space="preserve">ORD-102588</t>
  </si>
  <si>
    <t xml:space="preserve">ORD-102589</t>
  </si>
  <si>
    <t xml:space="preserve">ORD-102590</t>
  </si>
  <si>
    <t xml:space="preserve">ORD-102591</t>
  </si>
  <si>
    <t xml:space="preserve">ORD-102592</t>
  </si>
  <si>
    <t xml:space="preserve">ORD-102593</t>
  </si>
  <si>
    <t xml:space="preserve">ORD-102594</t>
  </si>
  <si>
    <t xml:space="preserve">ORD-102595</t>
  </si>
  <si>
    <t xml:space="preserve">ORD-102596</t>
  </si>
  <si>
    <t xml:space="preserve">ORD-102597</t>
  </si>
  <si>
    <t xml:space="preserve">ORD-102598</t>
  </si>
  <si>
    <t xml:space="preserve">ORD-102599</t>
  </si>
  <si>
    <t xml:space="preserve">ORD-102600</t>
  </si>
  <si>
    <t xml:space="preserve">ORD-102601</t>
  </si>
  <si>
    <t xml:space="preserve">ORD-102602</t>
  </si>
  <si>
    <t xml:space="preserve">ORD-102603</t>
  </si>
  <si>
    <t xml:space="preserve">ORD-102604</t>
  </si>
  <si>
    <t xml:space="preserve">ORD-102605</t>
  </si>
  <si>
    <t xml:space="preserve">ORD-102606</t>
  </si>
  <si>
    <t xml:space="preserve">ORD-102607</t>
  </si>
  <si>
    <t xml:space="preserve">ORD-102608</t>
  </si>
  <si>
    <t xml:space="preserve">ORD-102609</t>
  </si>
  <si>
    <t xml:space="preserve">ORD-102610</t>
  </si>
  <si>
    <t xml:space="preserve">ORD-102611</t>
  </si>
  <si>
    <t xml:space="preserve">ORD-102612</t>
  </si>
  <si>
    <t xml:space="preserve">ORD-102613</t>
  </si>
  <si>
    <t xml:space="preserve">ORD-102614</t>
  </si>
  <si>
    <t xml:space="preserve">ORD-102615</t>
  </si>
  <si>
    <t xml:space="preserve">ORD-102616</t>
  </si>
  <si>
    <t xml:space="preserve">ORD-102617</t>
  </si>
  <si>
    <t xml:space="preserve">ORD-102618</t>
  </si>
  <si>
    <t xml:space="preserve">ORD-102619</t>
  </si>
  <si>
    <t xml:space="preserve">ORD-102620</t>
  </si>
  <si>
    <t xml:space="preserve">ORD-102621</t>
  </si>
  <si>
    <t xml:space="preserve">ORD-102622</t>
  </si>
  <si>
    <t xml:space="preserve">ORD-102623</t>
  </si>
  <si>
    <t xml:space="preserve">ORD-102624</t>
  </si>
  <si>
    <t xml:space="preserve">ORD-102625</t>
  </si>
  <si>
    <t xml:space="preserve">ORD-102626</t>
  </si>
  <si>
    <t xml:space="preserve">ORD-102627</t>
  </si>
  <si>
    <t xml:space="preserve">ORD-102628</t>
  </si>
  <si>
    <t xml:space="preserve">ORD-102629</t>
  </si>
  <si>
    <t xml:space="preserve">ORD-102630</t>
  </si>
  <si>
    <t xml:space="preserve">ORD-102631</t>
  </si>
  <si>
    <t xml:space="preserve">ORD-102632</t>
  </si>
  <si>
    <t xml:space="preserve">ORD-102633</t>
  </si>
  <si>
    <t xml:space="preserve">ORD-102634</t>
  </si>
  <si>
    <t xml:space="preserve">ORD-102635</t>
  </si>
  <si>
    <t xml:space="preserve">ORD-102636</t>
  </si>
  <si>
    <t xml:space="preserve">ORD-102637</t>
  </si>
  <si>
    <t xml:space="preserve">ORD-102638</t>
  </si>
  <si>
    <t xml:space="preserve">ORD-102639</t>
  </si>
  <si>
    <t xml:space="preserve">ORD-102640</t>
  </si>
  <si>
    <t xml:space="preserve">ORD-102641</t>
  </si>
  <si>
    <t xml:space="preserve">ORD-102642</t>
  </si>
  <si>
    <t xml:space="preserve">ORD-102643</t>
  </si>
  <si>
    <t xml:space="preserve">ORD-102644</t>
  </si>
  <si>
    <t xml:space="preserve">ORD-102645</t>
  </si>
  <si>
    <t xml:space="preserve">ORD-102646</t>
  </si>
  <si>
    <t xml:space="preserve">ORD-102647</t>
  </si>
  <si>
    <t xml:space="preserve">ORD-102648</t>
  </si>
  <si>
    <t xml:space="preserve">ORD-102649</t>
  </si>
  <si>
    <t xml:space="preserve">ORD-102650</t>
  </si>
  <si>
    <t xml:space="preserve">ORD-102651</t>
  </si>
  <si>
    <t xml:space="preserve">ORD-102652</t>
  </si>
  <si>
    <t xml:space="preserve">ORD-102653</t>
  </si>
  <si>
    <t xml:space="preserve">ORD-102654</t>
  </si>
  <si>
    <t xml:space="preserve">ORD-102655</t>
  </si>
  <si>
    <t xml:space="preserve">ORD-102656</t>
  </si>
  <si>
    <t xml:space="preserve">ORD-102657</t>
  </si>
  <si>
    <t xml:space="preserve">ORD-102658</t>
  </si>
  <si>
    <t xml:space="preserve">ORD-102659</t>
  </si>
  <si>
    <t xml:space="preserve">ORD-102660</t>
  </si>
  <si>
    <t xml:space="preserve">ORD-102661</t>
  </si>
  <si>
    <t xml:space="preserve">ORD-102662</t>
  </si>
  <si>
    <t xml:space="preserve">ORD-102663</t>
  </si>
  <si>
    <t xml:space="preserve">ORD-102664</t>
  </si>
  <si>
    <t xml:space="preserve">ORD-102665</t>
  </si>
  <si>
    <t xml:space="preserve">ORD-102666</t>
  </si>
  <si>
    <t xml:space="preserve">ORD-102667</t>
  </si>
  <si>
    <t xml:space="preserve">ORD-102668</t>
  </si>
  <si>
    <t xml:space="preserve">ORD-102669</t>
  </si>
  <si>
    <t xml:space="preserve">ORD-102670</t>
  </si>
  <si>
    <t xml:space="preserve">ORD-102671</t>
  </si>
  <si>
    <t xml:space="preserve">ORD-102672</t>
  </si>
  <si>
    <t xml:space="preserve">ORD-102673</t>
  </si>
  <si>
    <t xml:space="preserve">ORD-102674</t>
  </si>
  <si>
    <t xml:space="preserve">ORD-102675</t>
  </si>
  <si>
    <t xml:space="preserve">ORD-102676</t>
  </si>
  <si>
    <t xml:space="preserve">ORD-102677</t>
  </si>
  <si>
    <t xml:space="preserve">ORD-102678</t>
  </si>
  <si>
    <t xml:space="preserve">ORD-102679</t>
  </si>
  <si>
    <t xml:space="preserve">ORD-102680</t>
  </si>
  <si>
    <t xml:space="preserve">ORD-102681</t>
  </si>
  <si>
    <t xml:space="preserve">ORD-102682</t>
  </si>
  <si>
    <t xml:space="preserve">ORD-102683</t>
  </si>
  <si>
    <t xml:space="preserve">ORD-102684</t>
  </si>
  <si>
    <t xml:space="preserve">ORD-102685</t>
  </si>
  <si>
    <t xml:space="preserve">ORD-102686</t>
  </si>
  <si>
    <t xml:space="preserve">ORD-102687</t>
  </si>
  <si>
    <t xml:space="preserve">ORD-102688</t>
  </si>
  <si>
    <t xml:space="preserve">ORD-102689</t>
  </si>
  <si>
    <t xml:space="preserve">ORD-102690</t>
  </si>
  <si>
    <t xml:space="preserve">ORD-102691</t>
  </si>
  <si>
    <t xml:space="preserve">ORD-102692</t>
  </si>
  <si>
    <t xml:space="preserve">ORD-102693</t>
  </si>
  <si>
    <t xml:space="preserve">ORD-102694</t>
  </si>
  <si>
    <t xml:space="preserve">ORD-102695</t>
  </si>
  <si>
    <t xml:space="preserve">ORD-102696</t>
  </si>
  <si>
    <t xml:space="preserve">ORD-102697</t>
  </si>
  <si>
    <t xml:space="preserve">ORD-102698</t>
  </si>
  <si>
    <t xml:space="preserve">ORD-102699</t>
  </si>
  <si>
    <t xml:space="preserve">ORD-102700</t>
  </si>
  <si>
    <t xml:space="preserve">ORD-102701</t>
  </si>
  <si>
    <t xml:space="preserve">ORD-102702</t>
  </si>
  <si>
    <t xml:space="preserve">ORD-102703</t>
  </si>
  <si>
    <t xml:space="preserve">ORD-102704</t>
  </si>
  <si>
    <t xml:space="preserve">ORD-102705</t>
  </si>
  <si>
    <t xml:space="preserve">ORD-102706</t>
  </si>
  <si>
    <t xml:space="preserve">ORD-102707</t>
  </si>
  <si>
    <t xml:space="preserve">ORD-102708</t>
  </si>
  <si>
    <t xml:space="preserve">ORD-102709</t>
  </si>
  <si>
    <t xml:space="preserve">ORD-102710</t>
  </si>
  <si>
    <t xml:space="preserve">ORD-102711</t>
  </si>
  <si>
    <t xml:space="preserve">ORD-102712</t>
  </si>
  <si>
    <t xml:space="preserve">ORD-102713</t>
  </si>
  <si>
    <t xml:space="preserve">ORD-102714</t>
  </si>
  <si>
    <t xml:space="preserve">ORD-102715</t>
  </si>
  <si>
    <t xml:space="preserve">ORD-102716</t>
  </si>
  <si>
    <t xml:space="preserve">ORD-102717</t>
  </si>
  <si>
    <t xml:space="preserve">ORD-102718</t>
  </si>
  <si>
    <t xml:space="preserve">ORD-102719</t>
  </si>
  <si>
    <t xml:space="preserve">ORD-102720</t>
  </si>
  <si>
    <t xml:space="preserve">ORD-102721</t>
  </si>
  <si>
    <t xml:space="preserve">ORD-102722</t>
  </si>
  <si>
    <t xml:space="preserve">ORD-102723</t>
  </si>
  <si>
    <t xml:space="preserve">ORD-102724</t>
  </si>
  <si>
    <t xml:space="preserve">ORD-102725</t>
  </si>
  <si>
    <t xml:space="preserve">ORD-102726</t>
  </si>
  <si>
    <t xml:space="preserve">ORD-102727</t>
  </si>
  <si>
    <t xml:space="preserve">ORD-102728</t>
  </si>
  <si>
    <t xml:space="preserve">ORD-102729</t>
  </si>
  <si>
    <t xml:space="preserve">ORD-102730</t>
  </si>
  <si>
    <t xml:space="preserve">ORD-102731</t>
  </si>
  <si>
    <t xml:space="preserve">ORD-102732</t>
  </si>
  <si>
    <t xml:space="preserve">ORD-102733</t>
  </si>
  <si>
    <t xml:space="preserve">ORD-102734</t>
  </si>
  <si>
    <t xml:space="preserve">ORD-102735</t>
  </si>
  <si>
    <t xml:space="preserve">ORD-102736</t>
  </si>
  <si>
    <t xml:space="preserve">ORD-102737</t>
  </si>
  <si>
    <t xml:space="preserve">ORD-102738</t>
  </si>
  <si>
    <t xml:space="preserve">ORD-102739</t>
  </si>
  <si>
    <t xml:space="preserve">ORD-102740</t>
  </si>
  <si>
    <t xml:space="preserve">ORD-102741</t>
  </si>
  <si>
    <t xml:space="preserve">ORD-102742</t>
  </si>
  <si>
    <t xml:space="preserve">ORD-102743</t>
  </si>
  <si>
    <t xml:space="preserve">ORD-102744</t>
  </si>
  <si>
    <t xml:space="preserve">ORD-102745</t>
  </si>
  <si>
    <t xml:space="preserve">ORD-102746</t>
  </si>
  <si>
    <t xml:space="preserve">ORD-102747</t>
  </si>
  <si>
    <t xml:space="preserve">ORD-102748</t>
  </si>
  <si>
    <t xml:space="preserve">ORD-102749</t>
  </si>
  <si>
    <t xml:space="preserve">ORD-102750</t>
  </si>
  <si>
    <t xml:space="preserve">ORD-102751</t>
  </si>
  <si>
    <t xml:space="preserve">ORD-102752</t>
  </si>
  <si>
    <t xml:space="preserve">ORD-102753</t>
  </si>
  <si>
    <t xml:space="preserve">ORD-102754</t>
  </si>
  <si>
    <t xml:space="preserve">ORD-102755</t>
  </si>
  <si>
    <t xml:space="preserve">ORD-102756</t>
  </si>
  <si>
    <t xml:space="preserve">ORD-102757</t>
  </si>
  <si>
    <t xml:space="preserve">ORD-102758</t>
  </si>
  <si>
    <t xml:space="preserve">ORD-102759</t>
  </si>
  <si>
    <t xml:space="preserve">ORD-102760</t>
  </si>
  <si>
    <t xml:space="preserve">ORD-102761</t>
  </si>
  <si>
    <t xml:space="preserve">ORD-102762</t>
  </si>
  <si>
    <t xml:space="preserve">ORD-102763</t>
  </si>
  <si>
    <t xml:space="preserve">ORD-102764</t>
  </si>
  <si>
    <t xml:space="preserve">ORD-102765</t>
  </si>
  <si>
    <t xml:space="preserve">ORD-102766</t>
  </si>
  <si>
    <t xml:space="preserve">ORD-102767</t>
  </si>
  <si>
    <t xml:space="preserve">ORD-102768</t>
  </si>
  <si>
    <t xml:space="preserve">ORD-102769</t>
  </si>
  <si>
    <t xml:space="preserve">ORD-102770</t>
  </si>
  <si>
    <t xml:space="preserve">ORD-102771</t>
  </si>
  <si>
    <t xml:space="preserve">ORD-102772</t>
  </si>
  <si>
    <t xml:space="preserve">ORD-102773</t>
  </si>
  <si>
    <t xml:space="preserve">ORD-102774</t>
  </si>
  <si>
    <t xml:space="preserve">ORD-102775</t>
  </si>
  <si>
    <t xml:space="preserve">ORD-102776</t>
  </si>
  <si>
    <t xml:space="preserve">ORD-102777</t>
  </si>
  <si>
    <t xml:space="preserve">ORD-102778</t>
  </si>
  <si>
    <t xml:space="preserve">ORD-102779</t>
  </si>
  <si>
    <t xml:space="preserve">ORD-102780</t>
  </si>
  <si>
    <t xml:space="preserve">ORD-102781</t>
  </si>
  <si>
    <t xml:space="preserve">ORD-102782</t>
  </si>
  <si>
    <t xml:space="preserve">ORD-102783</t>
  </si>
  <si>
    <t xml:space="preserve">ORD-102784</t>
  </si>
  <si>
    <t xml:space="preserve">ORD-102785</t>
  </si>
  <si>
    <t xml:space="preserve">ORD-102786</t>
  </si>
  <si>
    <t xml:space="preserve">ORD-102787</t>
  </si>
  <si>
    <t xml:space="preserve">ORD-102788</t>
  </si>
  <si>
    <t xml:space="preserve">ORD-102789</t>
  </si>
  <si>
    <t xml:space="preserve">ORD-102790</t>
  </si>
  <si>
    <t xml:space="preserve">ORD-102791</t>
  </si>
  <si>
    <t xml:space="preserve">ORD-102792</t>
  </si>
  <si>
    <t xml:space="preserve">ORD-102793</t>
  </si>
  <si>
    <t xml:space="preserve">ORD-102794</t>
  </si>
  <si>
    <t xml:space="preserve">ORD-102795</t>
  </si>
  <si>
    <t xml:space="preserve">ORD-102796</t>
  </si>
  <si>
    <t xml:space="preserve">ORD-102797</t>
  </si>
  <si>
    <t xml:space="preserve">ORD-102798</t>
  </si>
  <si>
    <t xml:space="preserve">ORD-102799</t>
  </si>
  <si>
    <t xml:space="preserve">ORD-102800</t>
  </si>
  <si>
    <t xml:space="preserve">ORD-102801</t>
  </si>
  <si>
    <t xml:space="preserve">ORD-102802</t>
  </si>
  <si>
    <t xml:space="preserve">ORD-102803</t>
  </si>
  <si>
    <t xml:space="preserve">ORD-102804</t>
  </si>
  <si>
    <t xml:space="preserve">ORD-102805</t>
  </si>
  <si>
    <t xml:space="preserve">ORD-102806</t>
  </si>
  <si>
    <t xml:space="preserve">ORD-102807</t>
  </si>
  <si>
    <t xml:space="preserve">ORD-102808</t>
  </si>
  <si>
    <t xml:space="preserve">ORD-102809</t>
  </si>
  <si>
    <t xml:space="preserve">ORD-102810</t>
  </si>
  <si>
    <t xml:space="preserve">ORD-102811</t>
  </si>
  <si>
    <t xml:space="preserve">ORD-102812</t>
  </si>
  <si>
    <t xml:space="preserve">ORD-102813</t>
  </si>
  <si>
    <t xml:space="preserve">ORD-102814</t>
  </si>
  <si>
    <t xml:space="preserve">ORD-102815</t>
  </si>
  <si>
    <t xml:space="preserve">ORD-102816</t>
  </si>
  <si>
    <t xml:space="preserve">ORD-102817</t>
  </si>
  <si>
    <t xml:space="preserve">ORD-102818</t>
  </si>
  <si>
    <t xml:space="preserve">ORD-102819</t>
  </si>
  <si>
    <t xml:space="preserve">ORD-102820</t>
  </si>
  <si>
    <t xml:space="preserve">ORD-102821</t>
  </si>
  <si>
    <t xml:space="preserve">ORD-102822</t>
  </si>
  <si>
    <t xml:space="preserve">ORD-102823</t>
  </si>
  <si>
    <t xml:space="preserve">ORD-102824</t>
  </si>
  <si>
    <t xml:space="preserve">ORD-102825</t>
  </si>
  <si>
    <t xml:space="preserve">ORD-102826</t>
  </si>
  <si>
    <t xml:space="preserve">ORD-102827</t>
  </si>
  <si>
    <t xml:space="preserve">ORD-102828</t>
  </si>
  <si>
    <t xml:space="preserve">ORD-102829</t>
  </si>
  <si>
    <t xml:space="preserve">ORD-102830</t>
  </si>
  <si>
    <t xml:space="preserve">ORD-102831</t>
  </si>
  <si>
    <t xml:space="preserve">ORD-102832</t>
  </si>
  <si>
    <t xml:space="preserve">ORD-102833</t>
  </si>
  <si>
    <t xml:space="preserve">ORD-102834</t>
  </si>
  <si>
    <t xml:space="preserve">ORD-102835</t>
  </si>
  <si>
    <t xml:space="preserve">ORD-102836</t>
  </si>
  <si>
    <t xml:space="preserve">ORD-102837</t>
  </si>
  <si>
    <t xml:space="preserve">ORD-102838</t>
  </si>
  <si>
    <t xml:space="preserve">ORD-102839</t>
  </si>
  <si>
    <t xml:space="preserve">ORD-102840</t>
  </si>
  <si>
    <t xml:space="preserve">ORD-102841</t>
  </si>
  <si>
    <t xml:space="preserve">ORD-102842</t>
  </si>
  <si>
    <t xml:space="preserve">ORD-102843</t>
  </si>
  <si>
    <t xml:space="preserve">ORD-102844</t>
  </si>
  <si>
    <t xml:space="preserve">ORD-102845</t>
  </si>
  <si>
    <t xml:space="preserve">ORD-102846</t>
  </si>
  <si>
    <t xml:space="preserve">ORD-102847</t>
  </si>
  <si>
    <t xml:space="preserve">ORD-102848</t>
  </si>
  <si>
    <t xml:space="preserve">ORD-102849</t>
  </si>
  <si>
    <t xml:space="preserve">ORD-102850</t>
  </si>
  <si>
    <t xml:space="preserve">ORD-102851</t>
  </si>
  <si>
    <t xml:space="preserve">ORD-102852</t>
  </si>
  <si>
    <t xml:space="preserve">ORD-102853</t>
  </si>
  <si>
    <t xml:space="preserve">ORD-102854</t>
  </si>
  <si>
    <t xml:space="preserve">ORD-102855</t>
  </si>
  <si>
    <t xml:space="preserve">ORD-102856</t>
  </si>
  <si>
    <t xml:space="preserve">ORD-102857</t>
  </si>
  <si>
    <t xml:space="preserve">ORD-102858</t>
  </si>
  <si>
    <t xml:space="preserve">ORD-102859</t>
  </si>
  <si>
    <t xml:space="preserve">ORD-102860</t>
  </si>
  <si>
    <t xml:space="preserve">ORD-102861</t>
  </si>
  <si>
    <t xml:space="preserve">ORD-102862</t>
  </si>
  <si>
    <t xml:space="preserve">ORD-102863</t>
  </si>
  <si>
    <t xml:space="preserve">ORD-102864</t>
  </si>
  <si>
    <t xml:space="preserve">ORD-102865</t>
  </si>
  <si>
    <t xml:space="preserve">ORD-102866</t>
  </si>
  <si>
    <t xml:space="preserve">ORD-102867</t>
  </si>
  <si>
    <t xml:space="preserve">ORD-102868</t>
  </si>
  <si>
    <t xml:space="preserve">ORD-102869</t>
  </si>
  <si>
    <t xml:space="preserve">ORD-102870</t>
  </si>
  <si>
    <t xml:space="preserve">ORD-102871</t>
  </si>
  <si>
    <t xml:space="preserve">ORD-102872</t>
  </si>
  <si>
    <t xml:space="preserve">ORD-102873</t>
  </si>
  <si>
    <t xml:space="preserve">ORD-102874</t>
  </si>
  <si>
    <t xml:space="preserve">ORD-102875</t>
  </si>
  <si>
    <t xml:space="preserve">ORD-102876</t>
  </si>
  <si>
    <t xml:space="preserve">ORD-102877</t>
  </si>
  <si>
    <t xml:space="preserve">ORD-102878</t>
  </si>
  <si>
    <t xml:space="preserve">ORD-102879</t>
  </si>
  <si>
    <t xml:space="preserve">ORD-102880</t>
  </si>
  <si>
    <t xml:space="preserve">ORD-102881</t>
  </si>
  <si>
    <t xml:space="preserve">ORD-102882</t>
  </si>
  <si>
    <t xml:space="preserve">ORD-102883</t>
  </si>
  <si>
    <t xml:space="preserve">ORD-102884</t>
  </si>
  <si>
    <t xml:space="preserve">ORD-102885</t>
  </si>
  <si>
    <t xml:space="preserve">ORD-102886</t>
  </si>
  <si>
    <t xml:space="preserve">ORD-102887</t>
  </si>
  <si>
    <t xml:space="preserve">ORD-102888</t>
  </si>
  <si>
    <t xml:space="preserve">ORD-102889</t>
  </si>
  <si>
    <t xml:space="preserve">ORD-102890</t>
  </si>
  <si>
    <t xml:space="preserve">ORD-102891</t>
  </si>
  <si>
    <t xml:space="preserve">ORD-102892</t>
  </si>
  <si>
    <t xml:space="preserve">ORD-102893</t>
  </si>
  <si>
    <t xml:space="preserve">ORD-102894</t>
  </si>
  <si>
    <t xml:space="preserve">ORD-102895</t>
  </si>
  <si>
    <t xml:space="preserve">ORD-102896</t>
  </si>
  <si>
    <t xml:space="preserve">ORD-102897</t>
  </si>
  <si>
    <t xml:space="preserve">ORD-102898</t>
  </si>
  <si>
    <t xml:space="preserve">ORD-102899</t>
  </si>
  <si>
    <t xml:space="preserve">ORD-102900</t>
  </si>
  <si>
    <t xml:space="preserve">ORD-102901</t>
  </si>
  <si>
    <t xml:space="preserve">ORD-102902</t>
  </si>
  <si>
    <t xml:space="preserve">ORD-102903</t>
  </si>
  <si>
    <t xml:space="preserve">ORD-102904</t>
  </si>
  <si>
    <t xml:space="preserve">ORD-102905</t>
  </si>
  <si>
    <t xml:space="preserve">ORD-102906</t>
  </si>
  <si>
    <t xml:space="preserve">ORD-102907</t>
  </si>
  <si>
    <t xml:space="preserve">ORD-102908</t>
  </si>
  <si>
    <t xml:space="preserve">ORD-102909</t>
  </si>
  <si>
    <t xml:space="preserve">ORD-102910</t>
  </si>
  <si>
    <t xml:space="preserve">ORD-102911</t>
  </si>
  <si>
    <t xml:space="preserve">ORD-102912</t>
  </si>
  <si>
    <t xml:space="preserve">ORD-102913</t>
  </si>
  <si>
    <t xml:space="preserve">ORD-102914</t>
  </si>
  <si>
    <t xml:space="preserve">ORD-102915</t>
  </si>
  <si>
    <t xml:space="preserve">ORD-102916</t>
  </si>
  <si>
    <t xml:space="preserve">ORD-102917</t>
  </si>
  <si>
    <t xml:space="preserve">ORD-102918</t>
  </si>
  <si>
    <t xml:space="preserve">ORD-102919</t>
  </si>
  <si>
    <t xml:space="preserve">ORD-102920</t>
  </si>
  <si>
    <t xml:space="preserve">ORD-102921</t>
  </si>
  <si>
    <t xml:space="preserve">ORD-102922</t>
  </si>
  <si>
    <t xml:space="preserve">ORD-102923</t>
  </si>
  <si>
    <t xml:space="preserve">ORD-102924</t>
  </si>
  <si>
    <t xml:space="preserve">ORD-102925</t>
  </si>
  <si>
    <t xml:space="preserve">ORD-102926</t>
  </si>
  <si>
    <t xml:space="preserve">ORD-102927</t>
  </si>
  <si>
    <t xml:space="preserve">ORD-102928</t>
  </si>
  <si>
    <t xml:space="preserve">ORD-102929</t>
  </si>
  <si>
    <t xml:space="preserve">ORD-102930</t>
  </si>
  <si>
    <t xml:space="preserve">ORD-102931</t>
  </si>
  <si>
    <t xml:space="preserve">ORD-102932</t>
  </si>
  <si>
    <t xml:space="preserve">ORD-102933</t>
  </si>
  <si>
    <t xml:space="preserve">ORD-102934</t>
  </si>
  <si>
    <t xml:space="preserve">ORD-102935</t>
  </si>
  <si>
    <t xml:space="preserve">ORD-102936</t>
  </si>
  <si>
    <t xml:space="preserve">ORD-102937</t>
  </si>
  <si>
    <t xml:space="preserve">ORD-102938</t>
  </si>
  <si>
    <t xml:space="preserve">ORD-102939</t>
  </si>
  <si>
    <t xml:space="preserve">ORD-102940</t>
  </si>
  <si>
    <t xml:space="preserve">ORD-102941</t>
  </si>
  <si>
    <t xml:space="preserve">ORD-102942</t>
  </si>
  <si>
    <t xml:space="preserve">ORD-102943</t>
  </si>
  <si>
    <t xml:space="preserve">ORD-102944</t>
  </si>
  <si>
    <t xml:space="preserve">ORD-102945</t>
  </si>
  <si>
    <t xml:space="preserve">ORD-102946</t>
  </si>
  <si>
    <t xml:space="preserve">ORD-102947</t>
  </si>
  <si>
    <t xml:space="preserve">ORD-102948</t>
  </si>
  <si>
    <t xml:space="preserve">ORD-102949</t>
  </si>
  <si>
    <t xml:space="preserve">ORD-102950</t>
  </si>
  <si>
    <t xml:space="preserve">ORD-102951</t>
  </si>
  <si>
    <t xml:space="preserve">ORD-102952</t>
  </si>
  <si>
    <t xml:space="preserve">ORD-102953</t>
  </si>
  <si>
    <t xml:space="preserve">ORD-102954</t>
  </si>
  <si>
    <t xml:space="preserve">ORD-102955</t>
  </si>
  <si>
    <t xml:space="preserve">ORD-102956</t>
  </si>
  <si>
    <t xml:space="preserve">ORD-102957</t>
  </si>
  <si>
    <t xml:space="preserve">ORD-102958</t>
  </si>
  <si>
    <t xml:space="preserve">ORD-102959</t>
  </si>
  <si>
    <t xml:space="preserve">ORD-102960</t>
  </si>
  <si>
    <t xml:space="preserve">ORD-102961</t>
  </si>
  <si>
    <t xml:space="preserve">ORD-102962</t>
  </si>
  <si>
    <t xml:space="preserve">ORD-102963</t>
  </si>
  <si>
    <t xml:space="preserve">ORD-102964</t>
  </si>
  <si>
    <t xml:space="preserve">ORD-102965</t>
  </si>
  <si>
    <t xml:space="preserve">ORD-102966</t>
  </si>
  <si>
    <t xml:space="preserve">ORD-102967</t>
  </si>
  <si>
    <t xml:space="preserve">ORD-102968</t>
  </si>
  <si>
    <t xml:space="preserve">ORD-102969</t>
  </si>
  <si>
    <t xml:space="preserve">ORD-102970</t>
  </si>
  <si>
    <t xml:space="preserve">ORD-102971</t>
  </si>
  <si>
    <t xml:space="preserve">ORD-102972</t>
  </si>
  <si>
    <t xml:space="preserve">ORD-102973</t>
  </si>
  <si>
    <t xml:space="preserve">ORD-102974</t>
  </si>
  <si>
    <t xml:space="preserve">ORD-102975</t>
  </si>
  <si>
    <t xml:space="preserve">ORD-102976</t>
  </si>
  <si>
    <t xml:space="preserve">ORD-102977</t>
  </si>
  <si>
    <t xml:space="preserve">ORD-102978</t>
  </si>
  <si>
    <t xml:space="preserve">ORD-102979</t>
  </si>
  <si>
    <t xml:space="preserve">ORD-102980</t>
  </si>
  <si>
    <t xml:space="preserve">ORD-102981</t>
  </si>
  <si>
    <t xml:space="preserve">ORD-102982</t>
  </si>
  <si>
    <t xml:space="preserve">ORD-102983</t>
  </si>
  <si>
    <t xml:space="preserve">ORD-102984</t>
  </si>
  <si>
    <t xml:space="preserve">ORD-102985</t>
  </si>
  <si>
    <t xml:space="preserve">ORD-102986</t>
  </si>
  <si>
    <t xml:space="preserve">ORD-102987</t>
  </si>
  <si>
    <t xml:space="preserve">ORD-102988</t>
  </si>
  <si>
    <t xml:space="preserve">ORD-102989</t>
  </si>
  <si>
    <t xml:space="preserve">ORD-102990</t>
  </si>
  <si>
    <t xml:space="preserve">ORD-102991</t>
  </si>
  <si>
    <t xml:space="preserve">ORD-102992</t>
  </si>
  <si>
    <t xml:space="preserve">ORD-102993</t>
  </si>
  <si>
    <t xml:space="preserve">ORD-102994</t>
  </si>
  <si>
    <t xml:space="preserve">ORD-102995</t>
  </si>
  <si>
    <t xml:space="preserve">ORD-102996</t>
  </si>
  <si>
    <t xml:space="preserve">ORD-102997</t>
  </si>
  <si>
    <t xml:space="preserve">ORD-102998</t>
  </si>
  <si>
    <t xml:space="preserve">ORD-102999</t>
  </si>
  <si>
    <t xml:space="preserve">ORD-103000</t>
  </si>
  <si>
    <t xml:space="preserve">ORD-103001</t>
  </si>
  <si>
    <t xml:space="preserve">ORD-103002</t>
  </si>
  <si>
    <t xml:space="preserve">ORD-103003</t>
  </si>
  <si>
    <t xml:space="preserve">ORD-103004</t>
  </si>
  <si>
    <t xml:space="preserve">ORD-103005</t>
  </si>
  <si>
    <t xml:space="preserve">ORD-103006</t>
  </si>
  <si>
    <t xml:space="preserve">ORD-103007</t>
  </si>
  <si>
    <t xml:space="preserve">ORD-103008</t>
  </si>
  <si>
    <t xml:space="preserve">ORD-103009</t>
  </si>
  <si>
    <t xml:space="preserve">ORD-103010</t>
  </si>
  <si>
    <t xml:space="preserve">ORD-103011</t>
  </si>
  <si>
    <t xml:space="preserve">ORD-103012</t>
  </si>
  <si>
    <t xml:space="preserve">ORD-103013</t>
  </si>
  <si>
    <t xml:space="preserve">ORD-103014</t>
  </si>
  <si>
    <t xml:space="preserve">ORD-103015</t>
  </si>
  <si>
    <t xml:space="preserve">ORD-103016</t>
  </si>
  <si>
    <t xml:space="preserve">ORD-103017</t>
  </si>
  <si>
    <t xml:space="preserve">ORD-103018</t>
  </si>
  <si>
    <t xml:space="preserve">ORD-103019</t>
  </si>
  <si>
    <t xml:space="preserve">ORD-103020</t>
  </si>
  <si>
    <t xml:space="preserve">ORD-103021</t>
  </si>
  <si>
    <t xml:space="preserve">ORD-103022</t>
  </si>
  <si>
    <t xml:space="preserve">ORD-103023</t>
  </si>
  <si>
    <t xml:space="preserve">ORD-103024</t>
  </si>
  <si>
    <t xml:space="preserve">ORD-103025</t>
  </si>
  <si>
    <t xml:space="preserve">ORD-103026</t>
  </si>
  <si>
    <t xml:space="preserve">ORD-103027</t>
  </si>
  <si>
    <t xml:space="preserve">ORD-103028</t>
  </si>
  <si>
    <t xml:space="preserve">ORD-103029</t>
  </si>
  <si>
    <t xml:space="preserve">ORD-103030</t>
  </si>
  <si>
    <t xml:space="preserve">ORD-103031</t>
  </si>
  <si>
    <t xml:space="preserve">ORD-103032</t>
  </si>
  <si>
    <t xml:space="preserve">ORD-103033</t>
  </si>
  <si>
    <t xml:space="preserve">ORD-103034</t>
  </si>
  <si>
    <t xml:space="preserve">ORD-103035</t>
  </si>
  <si>
    <t xml:space="preserve">ORD-103036</t>
  </si>
  <si>
    <t xml:space="preserve">ORD-103037</t>
  </si>
  <si>
    <t xml:space="preserve">ORD-103038</t>
  </si>
  <si>
    <t xml:space="preserve">ORD-103039</t>
  </si>
  <si>
    <t xml:space="preserve">ORD-103040</t>
  </si>
  <si>
    <t xml:space="preserve">ORD-103041</t>
  </si>
  <si>
    <t xml:space="preserve">ORD-103042</t>
  </si>
  <si>
    <t xml:space="preserve">ORD-103043</t>
  </si>
  <si>
    <t xml:space="preserve">ORD-103044</t>
  </si>
  <si>
    <t xml:space="preserve">ORD-103045</t>
  </si>
  <si>
    <t xml:space="preserve">ORD-103046</t>
  </si>
  <si>
    <t xml:space="preserve">ORD-103047</t>
  </si>
  <si>
    <t xml:space="preserve">ORD-103048</t>
  </si>
  <si>
    <t xml:space="preserve">ORD-103049</t>
  </si>
  <si>
    <t xml:space="preserve">ORD-103050</t>
  </si>
  <si>
    <t xml:space="preserve">ORD-103051</t>
  </si>
  <si>
    <t xml:space="preserve">ORD-103052</t>
  </si>
  <si>
    <t xml:space="preserve">ORD-103053</t>
  </si>
  <si>
    <t xml:space="preserve">ORD-103054</t>
  </si>
  <si>
    <t xml:space="preserve">ORD-103055</t>
  </si>
  <si>
    <t xml:space="preserve">ORD-103056</t>
  </si>
  <si>
    <t xml:space="preserve">ORD-103057</t>
  </si>
  <si>
    <t xml:space="preserve">ORD-103058</t>
  </si>
  <si>
    <t xml:space="preserve">ORD-103059</t>
  </si>
  <si>
    <t xml:space="preserve">ORD-103060</t>
  </si>
  <si>
    <t xml:space="preserve">ORD-103061</t>
  </si>
  <si>
    <t xml:space="preserve">ORD-103062</t>
  </si>
  <si>
    <t xml:space="preserve">ORD-103063</t>
  </si>
  <si>
    <t xml:space="preserve">ORD-103064</t>
  </si>
  <si>
    <t xml:space="preserve">ORD-103065</t>
  </si>
  <si>
    <t xml:space="preserve">ORD-103066</t>
  </si>
  <si>
    <t xml:space="preserve">ORD-103067</t>
  </si>
  <si>
    <t xml:space="preserve">ORD-103068</t>
  </si>
  <si>
    <t xml:space="preserve">ORD-103069</t>
  </si>
  <si>
    <t xml:space="preserve">ORD-103070</t>
  </si>
  <si>
    <t xml:space="preserve">ORD-103071</t>
  </si>
  <si>
    <t xml:space="preserve">ORD-103072</t>
  </si>
  <si>
    <t xml:space="preserve">ORD-103073</t>
  </si>
  <si>
    <t xml:space="preserve">ORD-103074</t>
  </si>
  <si>
    <t xml:space="preserve">ORD-103075</t>
  </si>
  <si>
    <t xml:space="preserve">ORD-103076</t>
  </si>
  <si>
    <t xml:space="preserve">ORD-103077</t>
  </si>
  <si>
    <t xml:space="preserve">ORD-103078</t>
  </si>
  <si>
    <t xml:space="preserve">ORD-103079</t>
  </si>
  <si>
    <t xml:space="preserve">ORD-103080</t>
  </si>
  <si>
    <t xml:space="preserve">ORD-103081</t>
  </si>
  <si>
    <t xml:space="preserve">ORD-103082</t>
  </si>
  <si>
    <t xml:space="preserve">ORD-103083</t>
  </si>
  <si>
    <t xml:space="preserve">ORD-103084</t>
  </si>
  <si>
    <t xml:space="preserve">ORD-103085</t>
  </si>
  <si>
    <t xml:space="preserve">ORD-103086</t>
  </si>
  <si>
    <t xml:space="preserve">ORD-103087</t>
  </si>
  <si>
    <t xml:space="preserve">ORD-103088</t>
  </si>
  <si>
    <t xml:space="preserve">ORD-103089</t>
  </si>
  <si>
    <t xml:space="preserve">ORD-103090</t>
  </si>
  <si>
    <t xml:space="preserve">ORD-103091</t>
  </si>
  <si>
    <t xml:space="preserve">ORD-103092</t>
  </si>
  <si>
    <t xml:space="preserve">ORD-103093</t>
  </si>
  <si>
    <t xml:space="preserve">ORD-103094</t>
  </si>
  <si>
    <t xml:space="preserve">ORD-103095</t>
  </si>
  <si>
    <t xml:space="preserve">ORD-103096</t>
  </si>
  <si>
    <t xml:space="preserve">ORD-103097</t>
  </si>
  <si>
    <t xml:space="preserve">ORD-103098</t>
  </si>
  <si>
    <t xml:space="preserve">ORD-103099</t>
  </si>
  <si>
    <t xml:space="preserve">ORD-103100</t>
  </si>
  <si>
    <t xml:space="preserve">ORD-103101</t>
  </si>
  <si>
    <t xml:space="preserve">ORD-103102</t>
  </si>
  <si>
    <t xml:space="preserve">ORD-103103</t>
  </si>
  <si>
    <t xml:space="preserve">ORD-103104</t>
  </si>
  <si>
    <t xml:space="preserve">ORD-103105</t>
  </si>
  <si>
    <t xml:space="preserve">ORD-103106</t>
  </si>
  <si>
    <t xml:space="preserve">ORD-103107</t>
  </si>
  <si>
    <t xml:space="preserve">ORD-103108</t>
  </si>
  <si>
    <t xml:space="preserve">ORD-103109</t>
  </si>
  <si>
    <t xml:space="preserve">ORD-103110</t>
  </si>
  <si>
    <t xml:space="preserve">ORD-103111</t>
  </si>
  <si>
    <t xml:space="preserve">ORD-103112</t>
  </si>
  <si>
    <t xml:space="preserve">ORD-103113</t>
  </si>
  <si>
    <t xml:space="preserve">ORD-103114</t>
  </si>
  <si>
    <t xml:space="preserve">ORD-103115</t>
  </si>
  <si>
    <t xml:space="preserve">ORD-103116</t>
  </si>
  <si>
    <t xml:space="preserve">ORD-103117</t>
  </si>
  <si>
    <t xml:space="preserve">ORD-103118</t>
  </si>
  <si>
    <t xml:space="preserve">ORD-103119</t>
  </si>
  <si>
    <t xml:space="preserve">ORD-103120</t>
  </si>
  <si>
    <t xml:space="preserve">ORD-103121</t>
  </si>
  <si>
    <t xml:space="preserve">ORD-103122</t>
  </si>
  <si>
    <t xml:space="preserve">ORD-103123</t>
  </si>
  <si>
    <t xml:space="preserve">ORD-103124</t>
  </si>
  <si>
    <t xml:space="preserve">ORD-103125</t>
  </si>
  <si>
    <t xml:space="preserve">ORD-103126</t>
  </si>
  <si>
    <t xml:space="preserve">ORD-103127</t>
  </si>
  <si>
    <t xml:space="preserve">ORD-103128</t>
  </si>
  <si>
    <t xml:space="preserve">ORD-103129</t>
  </si>
  <si>
    <t xml:space="preserve">ORD-103130</t>
  </si>
  <si>
    <t xml:space="preserve">ORD-103131</t>
  </si>
  <si>
    <t xml:space="preserve">ORD-103132</t>
  </si>
  <si>
    <t xml:space="preserve">ORD-103133</t>
  </si>
  <si>
    <t xml:space="preserve">ORD-103134</t>
  </si>
  <si>
    <t xml:space="preserve">ORD-103135</t>
  </si>
  <si>
    <t xml:space="preserve">ORD-103136</t>
  </si>
  <si>
    <t xml:space="preserve">ORD-103137</t>
  </si>
  <si>
    <t xml:space="preserve">ORD-103138</t>
  </si>
  <si>
    <t xml:space="preserve">ORD-103139</t>
  </si>
  <si>
    <t xml:space="preserve">ORD-103140</t>
  </si>
  <si>
    <t xml:space="preserve">ORD-103141</t>
  </si>
  <si>
    <t xml:space="preserve">ORD-103142</t>
  </si>
  <si>
    <t xml:space="preserve">ORD-103143</t>
  </si>
  <si>
    <t xml:space="preserve">ORD-103144</t>
  </si>
  <si>
    <t xml:space="preserve">ORD-103145</t>
  </si>
  <si>
    <t xml:space="preserve">ORD-103146</t>
  </si>
  <si>
    <t xml:space="preserve">ORD-103147</t>
  </si>
  <si>
    <t xml:space="preserve">ORD-103148</t>
  </si>
  <si>
    <t xml:space="preserve">ORD-103149</t>
  </si>
  <si>
    <t xml:space="preserve">ORD-103150</t>
  </si>
  <si>
    <t xml:space="preserve">ORD-103151</t>
  </si>
  <si>
    <t xml:space="preserve">ORD-103152</t>
  </si>
  <si>
    <t xml:space="preserve">ORD-103153</t>
  </si>
  <si>
    <t xml:space="preserve">ORD-103154</t>
  </si>
  <si>
    <t xml:space="preserve">ORD-103155</t>
  </si>
  <si>
    <t xml:space="preserve">ORD-103156</t>
  </si>
  <si>
    <t xml:space="preserve">ORD-103157</t>
  </si>
  <si>
    <t xml:space="preserve">ORD-103158</t>
  </si>
  <si>
    <t xml:space="preserve">ORD-103159</t>
  </si>
  <si>
    <t xml:space="preserve">ORD-103160</t>
  </si>
  <si>
    <t xml:space="preserve">ORD-103161</t>
  </si>
  <si>
    <t xml:space="preserve">ORD-103162</t>
  </si>
  <si>
    <t xml:space="preserve">ORD-103163</t>
  </si>
  <si>
    <t xml:space="preserve">ORD-103164</t>
  </si>
  <si>
    <t xml:space="preserve">ORD-103165</t>
  </si>
  <si>
    <t xml:space="preserve">ORD-103166</t>
  </si>
  <si>
    <t xml:space="preserve">ORD-103167</t>
  </si>
  <si>
    <t xml:space="preserve">ORD-103168</t>
  </si>
  <si>
    <t xml:space="preserve">ORD-103169</t>
  </si>
  <si>
    <t xml:space="preserve">ORD-103170</t>
  </si>
  <si>
    <t xml:space="preserve">ORD-103171</t>
  </si>
  <si>
    <t xml:space="preserve">ORD-103172</t>
  </si>
  <si>
    <t xml:space="preserve">ORD-103173</t>
  </si>
  <si>
    <t xml:space="preserve">ORD-103174</t>
  </si>
  <si>
    <t xml:space="preserve">ORD-103175</t>
  </si>
  <si>
    <t xml:space="preserve">ORD-103176</t>
  </si>
  <si>
    <t xml:space="preserve">ORD-103177</t>
  </si>
  <si>
    <t xml:space="preserve">ORD-103178</t>
  </si>
  <si>
    <t xml:space="preserve">ORD-103179</t>
  </si>
  <si>
    <t xml:space="preserve">ORD-103180</t>
  </si>
  <si>
    <t xml:space="preserve">ORD-103181</t>
  </si>
  <si>
    <t xml:space="preserve">ORD-103182</t>
  </si>
  <si>
    <t xml:space="preserve">ORD-103183</t>
  </si>
  <si>
    <t xml:space="preserve">ORD-103184</t>
  </si>
  <si>
    <t xml:space="preserve">ORD-103185</t>
  </si>
  <si>
    <t xml:space="preserve">ORD-103186</t>
  </si>
  <si>
    <t xml:space="preserve">ORD-103187</t>
  </si>
  <si>
    <t xml:space="preserve">ORD-103188</t>
  </si>
  <si>
    <t xml:space="preserve">ORD-103189</t>
  </si>
  <si>
    <t xml:space="preserve">ORD-103190</t>
  </si>
  <si>
    <t xml:space="preserve">ORD-103191</t>
  </si>
  <si>
    <t xml:space="preserve">ORD-103192</t>
  </si>
  <si>
    <t xml:space="preserve">ORD-103193</t>
  </si>
  <si>
    <t xml:space="preserve">ORD-103194</t>
  </si>
  <si>
    <t xml:space="preserve">ORD-103195</t>
  </si>
  <si>
    <t xml:space="preserve">ORD-103196</t>
  </si>
  <si>
    <t xml:space="preserve">ORD-103197</t>
  </si>
  <si>
    <t xml:space="preserve">ORD-103198</t>
  </si>
  <si>
    <t xml:space="preserve">ORD-103199</t>
  </si>
  <si>
    <t xml:space="preserve">ORD-103200</t>
  </si>
  <si>
    <t xml:space="preserve">ORD-103201</t>
  </si>
  <si>
    <t xml:space="preserve">ORD-103202</t>
  </si>
  <si>
    <t xml:space="preserve">ORD-103203</t>
  </si>
  <si>
    <t xml:space="preserve">ORD-103204</t>
  </si>
  <si>
    <t xml:space="preserve">ORD-103205</t>
  </si>
  <si>
    <t xml:space="preserve">ORD-103206</t>
  </si>
  <si>
    <t xml:space="preserve">ORD-103207</t>
  </si>
  <si>
    <t xml:space="preserve">ORD-103208</t>
  </si>
  <si>
    <t xml:space="preserve">ORD-103209</t>
  </si>
  <si>
    <t xml:space="preserve">ORD-103210</t>
  </si>
  <si>
    <t xml:space="preserve">ORD-103211</t>
  </si>
  <si>
    <t xml:space="preserve">ORD-103212</t>
  </si>
  <si>
    <t xml:space="preserve">ORD-103213</t>
  </si>
  <si>
    <t xml:space="preserve">ORD-103214</t>
  </si>
  <si>
    <t xml:space="preserve">ORD-103215</t>
  </si>
  <si>
    <t xml:space="preserve">ORD-103216</t>
  </si>
  <si>
    <t xml:space="preserve">ORD-103217</t>
  </si>
  <si>
    <t xml:space="preserve">ORD-103218</t>
  </si>
  <si>
    <t xml:space="preserve">ORD-103219</t>
  </si>
  <si>
    <t xml:space="preserve">ORD-103220</t>
  </si>
  <si>
    <t xml:space="preserve">ORD-103221</t>
  </si>
  <si>
    <t xml:space="preserve">ORD-103222</t>
  </si>
  <si>
    <t xml:space="preserve">ORD-103223</t>
  </si>
  <si>
    <t xml:space="preserve">ORD-103224</t>
  </si>
  <si>
    <t xml:space="preserve">ORD-103225</t>
  </si>
  <si>
    <t xml:space="preserve">ORD-103226</t>
  </si>
  <si>
    <t xml:space="preserve">ORD-103227</t>
  </si>
  <si>
    <t xml:space="preserve">ORD-103228</t>
  </si>
  <si>
    <t xml:space="preserve">ORD-103229</t>
  </si>
  <si>
    <t xml:space="preserve">ORD-103230</t>
  </si>
  <si>
    <t xml:space="preserve">ORD-103231</t>
  </si>
  <si>
    <t xml:space="preserve">ORD-103232</t>
  </si>
  <si>
    <t xml:space="preserve">ORD-103233</t>
  </si>
  <si>
    <t xml:space="preserve">ORD-103234</t>
  </si>
  <si>
    <t xml:space="preserve">ORD-103235</t>
  </si>
  <si>
    <t xml:space="preserve">ORD-103236</t>
  </si>
  <si>
    <t xml:space="preserve">ORD-103237</t>
  </si>
  <si>
    <t xml:space="preserve">ORD-103238</t>
  </si>
  <si>
    <t xml:space="preserve">ORD-103239</t>
  </si>
  <si>
    <t xml:space="preserve">ORD-103240</t>
  </si>
  <si>
    <t xml:space="preserve">ORD-103241</t>
  </si>
  <si>
    <t xml:space="preserve">ORD-103242</t>
  </si>
  <si>
    <t xml:space="preserve">ORD-103243</t>
  </si>
  <si>
    <t xml:space="preserve">ORD-103244</t>
  </si>
  <si>
    <t xml:space="preserve">ORD-103245</t>
  </si>
  <si>
    <t xml:space="preserve">ORD-103246</t>
  </si>
  <si>
    <t xml:space="preserve">ORD-103247</t>
  </si>
  <si>
    <t xml:space="preserve">ORD-103248</t>
  </si>
  <si>
    <t xml:space="preserve">ORD-103249</t>
  </si>
  <si>
    <t xml:space="preserve">ORD-103250</t>
  </si>
  <si>
    <t xml:space="preserve">ORD-103251</t>
  </si>
  <si>
    <t xml:space="preserve">ORD-103252</t>
  </si>
  <si>
    <t xml:space="preserve">ORD-103253</t>
  </si>
  <si>
    <t xml:space="preserve">ORD-103254</t>
  </si>
  <si>
    <t xml:space="preserve">ORD-103255</t>
  </si>
  <si>
    <t xml:space="preserve">ORD-103256</t>
  </si>
  <si>
    <t xml:space="preserve">ORD-103257</t>
  </si>
  <si>
    <t xml:space="preserve">ORD-103258</t>
  </si>
  <si>
    <t xml:space="preserve">ORD-103259</t>
  </si>
  <si>
    <t xml:space="preserve">ORD-103260</t>
  </si>
  <si>
    <t xml:space="preserve">ORD-103261</t>
  </si>
  <si>
    <t xml:space="preserve">ORD-103262</t>
  </si>
  <si>
    <t xml:space="preserve">ORD-103263</t>
  </si>
  <si>
    <t xml:space="preserve">ORD-103264</t>
  </si>
  <si>
    <t xml:space="preserve">ORD-103265</t>
  </si>
  <si>
    <t xml:space="preserve">ORD-103266</t>
  </si>
  <si>
    <t xml:space="preserve">ORD-103267</t>
  </si>
  <si>
    <t xml:space="preserve">ORD-103268</t>
  </si>
  <si>
    <t xml:space="preserve">ORD-103269</t>
  </si>
  <si>
    <t xml:space="preserve">ORD-103270</t>
  </si>
  <si>
    <t xml:space="preserve">ORD-103271</t>
  </si>
  <si>
    <t xml:space="preserve">ORD-103272</t>
  </si>
  <si>
    <t xml:space="preserve">ORD-103273</t>
  </si>
  <si>
    <t xml:space="preserve">ORD-103274</t>
  </si>
  <si>
    <t xml:space="preserve">ORD-103275</t>
  </si>
  <si>
    <t xml:space="preserve">ORD-103276</t>
  </si>
  <si>
    <t xml:space="preserve">ORD-103277</t>
  </si>
  <si>
    <t xml:space="preserve">ORD-103278</t>
  </si>
  <si>
    <t xml:space="preserve">ORD-103279</t>
  </si>
  <si>
    <t xml:space="preserve">ORD-103280</t>
  </si>
  <si>
    <t xml:space="preserve">ORD-103281</t>
  </si>
  <si>
    <t xml:space="preserve">ORD-103282</t>
  </si>
  <si>
    <t xml:space="preserve">ORD-103283</t>
  </si>
  <si>
    <t xml:space="preserve">ORD-103284</t>
  </si>
  <si>
    <t xml:space="preserve">ORD-103285</t>
  </si>
  <si>
    <t xml:space="preserve">ORD-103286</t>
  </si>
  <si>
    <t xml:space="preserve">ORD-103287</t>
  </si>
  <si>
    <t xml:space="preserve">ORD-103288</t>
  </si>
  <si>
    <t xml:space="preserve">ORD-103289</t>
  </si>
  <si>
    <t xml:space="preserve">ORD-103290</t>
  </si>
  <si>
    <t xml:space="preserve">ORD-103291</t>
  </si>
  <si>
    <t xml:space="preserve">ORD-103292</t>
  </si>
  <si>
    <t xml:space="preserve">ORD-103293</t>
  </si>
  <si>
    <t xml:space="preserve">ORD-103294</t>
  </si>
  <si>
    <t xml:space="preserve">ORD-103295</t>
  </si>
  <si>
    <t xml:space="preserve">ORD-103296</t>
  </si>
  <si>
    <t xml:space="preserve">ORD-103297</t>
  </si>
  <si>
    <t xml:space="preserve">ORD-103298</t>
  </si>
  <si>
    <t xml:space="preserve">ORD-103299</t>
  </si>
  <si>
    <t xml:space="preserve">ORD-103300</t>
  </si>
  <si>
    <t xml:space="preserve">ORD-103301</t>
  </si>
  <si>
    <t xml:space="preserve">ORD-103302</t>
  </si>
  <si>
    <t xml:space="preserve">ORD-103303</t>
  </si>
  <si>
    <t xml:space="preserve">ORD-103304</t>
  </si>
  <si>
    <t xml:space="preserve">ORD-103305</t>
  </si>
  <si>
    <t xml:space="preserve">ORD-103306</t>
  </si>
  <si>
    <t xml:space="preserve">ORD-103307</t>
  </si>
  <si>
    <t xml:space="preserve">ORD-103308</t>
  </si>
  <si>
    <t xml:space="preserve">ORD-103309</t>
  </si>
  <si>
    <t xml:space="preserve">ORD-103310</t>
  </si>
  <si>
    <t xml:space="preserve">ORD-103311</t>
  </si>
  <si>
    <t xml:space="preserve">ORD-103312</t>
  </si>
  <si>
    <t xml:space="preserve">ORD-103313</t>
  </si>
  <si>
    <t xml:space="preserve">ORD-103314</t>
  </si>
  <si>
    <t xml:space="preserve">ORD-103315</t>
  </si>
  <si>
    <t xml:space="preserve">ORD-103316</t>
  </si>
  <si>
    <t xml:space="preserve">ORD-103317</t>
  </si>
  <si>
    <t xml:space="preserve">ORD-103318</t>
  </si>
  <si>
    <t xml:space="preserve">ORD-103319</t>
  </si>
  <si>
    <t xml:space="preserve">ORD-103320</t>
  </si>
  <si>
    <t xml:space="preserve">ORD-103321</t>
  </si>
  <si>
    <t xml:space="preserve">ORD-103322</t>
  </si>
  <si>
    <t xml:space="preserve">ORD-103323</t>
  </si>
  <si>
    <t xml:space="preserve">ORD-103324</t>
  </si>
  <si>
    <t xml:space="preserve">ORD-103325</t>
  </si>
  <si>
    <t xml:space="preserve">ORD-103326</t>
  </si>
  <si>
    <t xml:space="preserve">ORD-103327</t>
  </si>
  <si>
    <t xml:space="preserve">ORD-103328</t>
  </si>
  <si>
    <t xml:space="preserve">ORD-103329</t>
  </si>
  <si>
    <t xml:space="preserve">ORD-103330</t>
  </si>
  <si>
    <t xml:space="preserve">ORD-103331</t>
  </si>
  <si>
    <t xml:space="preserve">ORD-103332</t>
  </si>
  <si>
    <t xml:space="preserve">ORD-103333</t>
  </si>
  <si>
    <t xml:space="preserve">ORD-103334</t>
  </si>
  <si>
    <t xml:space="preserve">ORD-103335</t>
  </si>
  <si>
    <t xml:space="preserve">ORD-103336</t>
  </si>
  <si>
    <t xml:space="preserve">ORD-103337</t>
  </si>
  <si>
    <t xml:space="preserve">ORD-103338</t>
  </si>
  <si>
    <t xml:space="preserve">ORD-103339</t>
  </si>
  <si>
    <t xml:space="preserve">ORD-103340</t>
  </si>
  <si>
    <t xml:space="preserve">ORD-103341</t>
  </si>
  <si>
    <t xml:space="preserve">ORD-103342</t>
  </si>
  <si>
    <t xml:space="preserve">ORD-103343</t>
  </si>
  <si>
    <t xml:space="preserve">ORD-103344</t>
  </si>
  <si>
    <t xml:space="preserve">ORD-103345</t>
  </si>
  <si>
    <t xml:space="preserve">ORD-103346</t>
  </si>
  <si>
    <t xml:space="preserve">ORD-103347</t>
  </si>
  <si>
    <t xml:space="preserve">ORD-103348</t>
  </si>
  <si>
    <t xml:space="preserve">ORD-103349</t>
  </si>
  <si>
    <t xml:space="preserve">ORD-103350</t>
  </si>
  <si>
    <t xml:space="preserve">ORD-103351</t>
  </si>
  <si>
    <t xml:space="preserve">ORD-103352</t>
  </si>
  <si>
    <t xml:space="preserve">ORD-103353</t>
  </si>
  <si>
    <t xml:space="preserve">ORD-103354</t>
  </si>
  <si>
    <t xml:space="preserve">ORD-103355</t>
  </si>
  <si>
    <t xml:space="preserve">ORD-103356</t>
  </si>
  <si>
    <t xml:space="preserve">ORD-103357</t>
  </si>
  <si>
    <t xml:space="preserve">ORD-103358</t>
  </si>
  <si>
    <t xml:space="preserve">ORD-103359</t>
  </si>
  <si>
    <t xml:space="preserve">ORD-103360</t>
  </si>
  <si>
    <t xml:space="preserve">ORD-103361</t>
  </si>
  <si>
    <t xml:space="preserve">ORD-103362</t>
  </si>
  <si>
    <t xml:space="preserve">ORD-103363</t>
  </si>
  <si>
    <t xml:space="preserve">ORD-103364</t>
  </si>
  <si>
    <t xml:space="preserve">ORD-103365</t>
  </si>
  <si>
    <t xml:space="preserve">ORD-103366</t>
  </si>
  <si>
    <t xml:space="preserve">ORD-103367</t>
  </si>
  <si>
    <t xml:space="preserve">ORD-103368</t>
  </si>
  <si>
    <t xml:space="preserve">ORD-103369</t>
  </si>
  <si>
    <t xml:space="preserve">ORD-103370</t>
  </si>
  <si>
    <t xml:space="preserve">ORD-103371</t>
  </si>
  <si>
    <t xml:space="preserve">ORD-103372</t>
  </si>
  <si>
    <t xml:space="preserve">ORD-103373</t>
  </si>
  <si>
    <t xml:space="preserve">ORD-103374</t>
  </si>
  <si>
    <t xml:space="preserve">ORD-103375</t>
  </si>
  <si>
    <t xml:space="preserve">ORD-103376</t>
  </si>
  <si>
    <t xml:space="preserve">ORD-103377</t>
  </si>
  <si>
    <t xml:space="preserve">ORD-103378</t>
  </si>
  <si>
    <t xml:space="preserve">ORD-103379</t>
  </si>
  <si>
    <t xml:space="preserve">ORD-103380</t>
  </si>
  <si>
    <t xml:space="preserve">ORD-103381</t>
  </si>
  <si>
    <t xml:space="preserve">ORD-103382</t>
  </si>
  <si>
    <t xml:space="preserve">ORD-103383</t>
  </si>
  <si>
    <t xml:space="preserve">ORD-103384</t>
  </si>
  <si>
    <t xml:space="preserve">ORD-103385</t>
  </si>
  <si>
    <t xml:space="preserve">ORD-103386</t>
  </si>
  <si>
    <t xml:space="preserve">ORD-103387</t>
  </si>
  <si>
    <t xml:space="preserve">ORD-103388</t>
  </si>
  <si>
    <t xml:space="preserve">ORD-103389</t>
  </si>
  <si>
    <t xml:space="preserve">ORD-103390</t>
  </si>
  <si>
    <t xml:space="preserve">ORD-103391</t>
  </si>
  <si>
    <t xml:space="preserve">ORD-103392</t>
  </si>
  <si>
    <t xml:space="preserve">ORD-103393</t>
  </si>
  <si>
    <t xml:space="preserve">ORD-103394</t>
  </si>
  <si>
    <t xml:space="preserve">ORD-103395</t>
  </si>
  <si>
    <t xml:space="preserve">ORD-103396</t>
  </si>
  <si>
    <t xml:space="preserve">ORD-103397</t>
  </si>
  <si>
    <t xml:space="preserve">ORD-103398</t>
  </si>
  <si>
    <t xml:space="preserve">ORD-103399</t>
  </si>
  <si>
    <t xml:space="preserve">ORD-103400</t>
  </si>
  <si>
    <t xml:space="preserve">ORD-103401</t>
  </si>
  <si>
    <t xml:space="preserve">ORD-103402</t>
  </si>
  <si>
    <t xml:space="preserve">ORD-103403</t>
  </si>
  <si>
    <t xml:space="preserve">ORD-103404</t>
  </si>
  <si>
    <t xml:space="preserve">ORD-103405</t>
  </si>
  <si>
    <t xml:space="preserve">ORD-103406</t>
  </si>
  <si>
    <t xml:space="preserve">ORD-103407</t>
  </si>
  <si>
    <t xml:space="preserve">ORD-103408</t>
  </si>
  <si>
    <t xml:space="preserve">ORD-103409</t>
  </si>
  <si>
    <t xml:space="preserve">ORD-103410</t>
  </si>
  <si>
    <t xml:space="preserve">ORD-103411</t>
  </si>
  <si>
    <t xml:space="preserve">ORD-103412</t>
  </si>
  <si>
    <t xml:space="preserve">ORD-103413</t>
  </si>
  <si>
    <t xml:space="preserve">ORD-103414</t>
  </si>
  <si>
    <t xml:space="preserve">ORD-103415</t>
  </si>
  <si>
    <t xml:space="preserve">ORD-103416</t>
  </si>
  <si>
    <t xml:space="preserve">ORD-103417</t>
  </si>
  <si>
    <t xml:space="preserve">ORD-103418</t>
  </si>
  <si>
    <t xml:space="preserve">ORD-103419</t>
  </si>
  <si>
    <t xml:space="preserve">ORD-103420</t>
  </si>
  <si>
    <t xml:space="preserve">ORD-103421</t>
  </si>
  <si>
    <t xml:space="preserve">ORD-103422</t>
  </si>
  <si>
    <t xml:space="preserve">ORD-103423</t>
  </si>
  <si>
    <t xml:space="preserve">ORD-103424</t>
  </si>
  <si>
    <t xml:space="preserve">ORD-103425</t>
  </si>
  <si>
    <t xml:space="preserve">ORD-103426</t>
  </si>
  <si>
    <t xml:space="preserve">ORD-103427</t>
  </si>
  <si>
    <t xml:space="preserve">ORD-103428</t>
  </si>
  <si>
    <t xml:space="preserve">ORD-103429</t>
  </si>
  <si>
    <t xml:space="preserve">ORD-103430</t>
  </si>
  <si>
    <t xml:space="preserve">ORD-103431</t>
  </si>
  <si>
    <t xml:space="preserve">ORD-103432</t>
  </si>
  <si>
    <t xml:space="preserve">ORD-103433</t>
  </si>
  <si>
    <t xml:space="preserve">ORD-103434</t>
  </si>
  <si>
    <t xml:space="preserve">ORD-103435</t>
  </si>
  <si>
    <t xml:space="preserve">ORD-103436</t>
  </si>
  <si>
    <t xml:space="preserve">ORD-103437</t>
  </si>
  <si>
    <t xml:space="preserve">ORD-103438</t>
  </si>
  <si>
    <t xml:space="preserve">ORD-103439</t>
  </si>
  <si>
    <t xml:space="preserve">ORD-103440</t>
  </si>
  <si>
    <t xml:space="preserve">ORD-103441</t>
  </si>
  <si>
    <t xml:space="preserve">ORD-103442</t>
  </si>
  <si>
    <t xml:space="preserve">ORD-103443</t>
  </si>
  <si>
    <t xml:space="preserve">ORD-103444</t>
  </si>
  <si>
    <t xml:space="preserve">ORD-103445</t>
  </si>
  <si>
    <t xml:space="preserve">ORD-103446</t>
  </si>
  <si>
    <t xml:space="preserve">ORD-103447</t>
  </si>
  <si>
    <t xml:space="preserve">ORD-103448</t>
  </si>
  <si>
    <t xml:space="preserve">ORD-103449</t>
  </si>
  <si>
    <t xml:space="preserve">ORD-103450</t>
  </si>
  <si>
    <t xml:space="preserve">ORD-103451</t>
  </si>
  <si>
    <t xml:space="preserve">ORD-103452</t>
  </si>
  <si>
    <t xml:space="preserve">ORD-103453</t>
  </si>
  <si>
    <t xml:space="preserve">ORD-103454</t>
  </si>
  <si>
    <t xml:space="preserve">ORD-103455</t>
  </si>
  <si>
    <t xml:space="preserve">ORD-103456</t>
  </si>
  <si>
    <t xml:space="preserve">ORD-103457</t>
  </si>
  <si>
    <t xml:space="preserve">ORD-103458</t>
  </si>
  <si>
    <t xml:space="preserve">ORD-103459</t>
  </si>
  <si>
    <t xml:space="preserve">ORD-103460</t>
  </si>
  <si>
    <t xml:space="preserve">ORD-103461</t>
  </si>
  <si>
    <t xml:space="preserve">ORD-103462</t>
  </si>
  <si>
    <t xml:space="preserve">ORD-103463</t>
  </si>
  <si>
    <t xml:space="preserve">ORD-103464</t>
  </si>
  <si>
    <t xml:space="preserve">ORD-103465</t>
  </si>
  <si>
    <t xml:space="preserve">ORD-103466</t>
  </si>
  <si>
    <t xml:space="preserve">ORD-103467</t>
  </si>
  <si>
    <t xml:space="preserve">ORD-103468</t>
  </si>
  <si>
    <t xml:space="preserve">ORD-103469</t>
  </si>
  <si>
    <t xml:space="preserve">ORD-103470</t>
  </si>
  <si>
    <t xml:space="preserve">ORD-103471</t>
  </si>
  <si>
    <t xml:space="preserve">ORD-103472</t>
  </si>
  <si>
    <t xml:space="preserve">ORD-103473</t>
  </si>
  <si>
    <t xml:space="preserve">ORD-103474</t>
  </si>
  <si>
    <t xml:space="preserve">ORD-103475</t>
  </si>
  <si>
    <t xml:space="preserve">ORD-103476</t>
  </si>
  <si>
    <t xml:space="preserve">ORD-103477</t>
  </si>
  <si>
    <t xml:space="preserve">ORD-103478</t>
  </si>
  <si>
    <t xml:space="preserve">ORD-103479</t>
  </si>
  <si>
    <t xml:space="preserve">ORD-103480</t>
  </si>
  <si>
    <t xml:space="preserve">ORD-103481</t>
  </si>
  <si>
    <t xml:space="preserve">ORD-103482</t>
  </si>
  <si>
    <t xml:space="preserve">ORD-103483</t>
  </si>
  <si>
    <t xml:space="preserve">ORD-103484</t>
  </si>
  <si>
    <t xml:space="preserve">ORD-103485</t>
  </si>
  <si>
    <t xml:space="preserve">ORD-103486</t>
  </si>
  <si>
    <t xml:space="preserve">ORD-103487</t>
  </si>
  <si>
    <t xml:space="preserve">ORD-103488</t>
  </si>
  <si>
    <t xml:space="preserve">ORD-103489</t>
  </si>
  <si>
    <t xml:space="preserve">ORD-103490</t>
  </si>
  <si>
    <t xml:space="preserve">ORD-103491</t>
  </si>
  <si>
    <t xml:space="preserve">ORD-103492</t>
  </si>
  <si>
    <t xml:space="preserve">ORD-103493</t>
  </si>
  <si>
    <t xml:space="preserve">ORD-103494</t>
  </si>
  <si>
    <t xml:space="preserve">ORD-103495</t>
  </si>
  <si>
    <t xml:space="preserve">ORD-103496</t>
  </si>
  <si>
    <t xml:space="preserve">ORD-103497</t>
  </si>
  <si>
    <t xml:space="preserve">ORD-103498</t>
  </si>
  <si>
    <t xml:space="preserve">ORD-103499</t>
  </si>
  <si>
    <t xml:space="preserve">ORD-103500</t>
  </si>
  <si>
    <t xml:space="preserve">ORD-103501</t>
  </si>
  <si>
    <t xml:space="preserve">ORD-103502</t>
  </si>
  <si>
    <t xml:space="preserve">ORD-103503</t>
  </si>
  <si>
    <t xml:space="preserve">ORD-103504</t>
  </si>
  <si>
    <t xml:space="preserve">ORD-103505</t>
  </si>
  <si>
    <t xml:space="preserve">ORD-103506</t>
  </si>
  <si>
    <t xml:space="preserve">ORD-103507</t>
  </si>
  <si>
    <t xml:space="preserve">ORD-103508</t>
  </si>
  <si>
    <t xml:space="preserve">ORD-103509</t>
  </si>
  <si>
    <t xml:space="preserve">ORD-103510</t>
  </si>
  <si>
    <t xml:space="preserve">ORD-103511</t>
  </si>
  <si>
    <t xml:space="preserve">ORD-103512</t>
  </si>
  <si>
    <t xml:space="preserve">ORD-103513</t>
  </si>
  <si>
    <t xml:space="preserve">ORD-103514</t>
  </si>
  <si>
    <t xml:space="preserve">ORD-103515</t>
  </si>
  <si>
    <t xml:space="preserve">ORD-103516</t>
  </si>
  <si>
    <t xml:space="preserve">ORD-103517</t>
  </si>
  <si>
    <t xml:space="preserve">ORD-103518</t>
  </si>
  <si>
    <t xml:space="preserve">ORD-103519</t>
  </si>
  <si>
    <t xml:space="preserve">ORD-103520</t>
  </si>
  <si>
    <t xml:space="preserve">ORD-103521</t>
  </si>
  <si>
    <t xml:space="preserve">ORD-103522</t>
  </si>
  <si>
    <t xml:space="preserve">ORD-103523</t>
  </si>
  <si>
    <t xml:space="preserve">ORD-103524</t>
  </si>
  <si>
    <t xml:space="preserve">ORD-103525</t>
  </si>
  <si>
    <t xml:space="preserve">ORD-103526</t>
  </si>
  <si>
    <t xml:space="preserve">ORD-103527</t>
  </si>
  <si>
    <t xml:space="preserve">ORD-103528</t>
  </si>
  <si>
    <t xml:space="preserve">ORD-103529</t>
  </si>
  <si>
    <t xml:space="preserve">ORD-103530</t>
  </si>
  <si>
    <t xml:space="preserve">ORD-103531</t>
  </si>
  <si>
    <t xml:space="preserve">ORD-103532</t>
  </si>
  <si>
    <t xml:space="preserve">ORD-103533</t>
  </si>
  <si>
    <t xml:space="preserve">ORD-103534</t>
  </si>
  <si>
    <t xml:space="preserve">ORD-103535</t>
  </si>
  <si>
    <t xml:space="preserve">ORD-103536</t>
  </si>
  <si>
    <t xml:space="preserve">ORD-103537</t>
  </si>
  <si>
    <t xml:space="preserve">ORD-103538</t>
  </si>
  <si>
    <t xml:space="preserve">ORD-103539</t>
  </si>
  <si>
    <t xml:space="preserve">ORD-103540</t>
  </si>
  <si>
    <t xml:space="preserve">ORD-103541</t>
  </si>
  <si>
    <t xml:space="preserve">ORD-103542</t>
  </si>
  <si>
    <t xml:space="preserve">ORD-103543</t>
  </si>
  <si>
    <t xml:space="preserve">ORD-103544</t>
  </si>
  <si>
    <t xml:space="preserve">ORD-103545</t>
  </si>
  <si>
    <t xml:space="preserve">ORD-103546</t>
  </si>
  <si>
    <t xml:space="preserve">ORD-103547</t>
  </si>
  <si>
    <t xml:space="preserve">ORD-103548</t>
  </si>
  <si>
    <t xml:space="preserve">ORD-103549</t>
  </si>
  <si>
    <t xml:space="preserve">ORD-103550</t>
  </si>
  <si>
    <t xml:space="preserve">ORD-103551</t>
  </si>
  <si>
    <t xml:space="preserve">ORD-103552</t>
  </si>
  <si>
    <t xml:space="preserve">ORD-103553</t>
  </si>
  <si>
    <t xml:space="preserve">ORD-103554</t>
  </si>
  <si>
    <t xml:space="preserve">ORD-103555</t>
  </si>
  <si>
    <t xml:space="preserve">ORD-103556</t>
  </si>
  <si>
    <t xml:space="preserve">ORD-103557</t>
  </si>
  <si>
    <t xml:space="preserve">ORD-103558</t>
  </si>
  <si>
    <t xml:space="preserve">ORD-103559</t>
  </si>
  <si>
    <t xml:space="preserve">ORD-103560</t>
  </si>
  <si>
    <t xml:space="preserve">ORD-103561</t>
  </si>
  <si>
    <t xml:space="preserve">ORD-103562</t>
  </si>
  <si>
    <t xml:space="preserve">ORD-103563</t>
  </si>
  <si>
    <t xml:space="preserve">ORD-103564</t>
  </si>
  <si>
    <t xml:space="preserve">ORD-103565</t>
  </si>
  <si>
    <t xml:space="preserve">ORD-103566</t>
  </si>
  <si>
    <t xml:space="preserve">ORD-103567</t>
  </si>
  <si>
    <t xml:space="preserve">ORD-103568</t>
  </si>
  <si>
    <t xml:space="preserve">ORD-103569</t>
  </si>
  <si>
    <t xml:space="preserve">ORD-103570</t>
  </si>
  <si>
    <t xml:space="preserve">ORD-103571</t>
  </si>
  <si>
    <t xml:space="preserve">ORD-103572</t>
  </si>
  <si>
    <t xml:space="preserve">ORD-103573</t>
  </si>
  <si>
    <t xml:space="preserve">ORD-103574</t>
  </si>
  <si>
    <t xml:space="preserve">ORD-103575</t>
  </si>
  <si>
    <t xml:space="preserve">ORD-103576</t>
  </si>
  <si>
    <t xml:space="preserve">ORD-103577</t>
  </si>
  <si>
    <t xml:space="preserve">ORD-103578</t>
  </si>
  <si>
    <t xml:space="preserve">ORD-103579</t>
  </si>
  <si>
    <t xml:space="preserve">ORD-103580</t>
  </si>
  <si>
    <t xml:space="preserve">ORD-103581</t>
  </si>
  <si>
    <t xml:space="preserve">ORD-103582</t>
  </si>
  <si>
    <t xml:space="preserve">ORD-103583</t>
  </si>
  <si>
    <t xml:space="preserve">ORD-103584</t>
  </si>
  <si>
    <t xml:space="preserve">ORD-103585</t>
  </si>
  <si>
    <t xml:space="preserve">ORD-103586</t>
  </si>
  <si>
    <t xml:space="preserve">ORD-103587</t>
  </si>
  <si>
    <t xml:space="preserve">ORD-103588</t>
  </si>
  <si>
    <t xml:space="preserve">ORD-103589</t>
  </si>
  <si>
    <t xml:space="preserve">ORD-103590</t>
  </si>
  <si>
    <t xml:space="preserve">ORD-103591</t>
  </si>
  <si>
    <t xml:space="preserve">ORD-103592</t>
  </si>
  <si>
    <t xml:space="preserve">ORD-103593</t>
  </si>
  <si>
    <t xml:space="preserve">ORD-103594</t>
  </si>
  <si>
    <t xml:space="preserve">ORD-103595</t>
  </si>
  <si>
    <t xml:space="preserve">ORD-103596</t>
  </si>
  <si>
    <t xml:space="preserve">ORD-103597</t>
  </si>
  <si>
    <t xml:space="preserve">ORD-103598</t>
  </si>
  <si>
    <t xml:space="preserve">ORD-103599</t>
  </si>
  <si>
    <t xml:space="preserve">ORD-103600</t>
  </si>
  <si>
    <t xml:space="preserve">ORD-103601</t>
  </si>
  <si>
    <t xml:space="preserve">ORD-103602</t>
  </si>
  <si>
    <t xml:space="preserve">ORD-103603</t>
  </si>
  <si>
    <t xml:space="preserve">ORD-103604</t>
  </si>
  <si>
    <t xml:space="preserve">ORD-103605</t>
  </si>
  <si>
    <t xml:space="preserve">ORD-103606</t>
  </si>
  <si>
    <t xml:space="preserve">ORD-103607</t>
  </si>
  <si>
    <t xml:space="preserve">ORD-103608</t>
  </si>
  <si>
    <t xml:space="preserve">ORD-103609</t>
  </si>
  <si>
    <t xml:space="preserve">ORD-103610</t>
  </si>
  <si>
    <t xml:space="preserve">ORD-103611</t>
  </si>
  <si>
    <t xml:space="preserve">ORD-103612</t>
  </si>
  <si>
    <t xml:space="preserve">ORD-103613</t>
  </si>
  <si>
    <t xml:space="preserve">ORD-103614</t>
  </si>
  <si>
    <t xml:space="preserve">ORD-103615</t>
  </si>
  <si>
    <t xml:space="preserve">ORD-103616</t>
  </si>
  <si>
    <t xml:space="preserve">ORD-103617</t>
  </si>
  <si>
    <t xml:space="preserve">ORD-103618</t>
  </si>
  <si>
    <t xml:space="preserve">ORD-103619</t>
  </si>
  <si>
    <t xml:space="preserve">ORD-103620</t>
  </si>
  <si>
    <t xml:space="preserve">ORD-103621</t>
  </si>
  <si>
    <t xml:space="preserve">ORD-103622</t>
  </si>
  <si>
    <t xml:space="preserve">ORD-103623</t>
  </si>
  <si>
    <t xml:space="preserve">ORD-103624</t>
  </si>
  <si>
    <t xml:space="preserve">ORD-103625</t>
  </si>
  <si>
    <t xml:space="preserve">ORD-103626</t>
  </si>
  <si>
    <t xml:space="preserve">ORD-103627</t>
  </si>
  <si>
    <t xml:space="preserve">ORD-103628</t>
  </si>
  <si>
    <t xml:space="preserve">ORD-103629</t>
  </si>
  <si>
    <t xml:space="preserve">ORD-103630</t>
  </si>
  <si>
    <t xml:space="preserve">ORD-103631</t>
  </si>
  <si>
    <t xml:space="preserve">ORD-103632</t>
  </si>
  <si>
    <t xml:space="preserve">ORD-103633</t>
  </si>
  <si>
    <t xml:space="preserve">ORD-103634</t>
  </si>
  <si>
    <t xml:space="preserve">ORD-103635</t>
  </si>
  <si>
    <t xml:space="preserve">ORD-103636</t>
  </si>
  <si>
    <t xml:space="preserve">ORD-103637</t>
  </si>
  <si>
    <t xml:space="preserve">ORD-103638</t>
  </si>
  <si>
    <t xml:space="preserve">ORD-103639</t>
  </si>
  <si>
    <t xml:space="preserve">ORD-103640</t>
  </si>
  <si>
    <t xml:space="preserve">ORD-103641</t>
  </si>
  <si>
    <t xml:space="preserve">ORD-103642</t>
  </si>
  <si>
    <t xml:space="preserve">ORD-103643</t>
  </si>
  <si>
    <t xml:space="preserve">ORD-103644</t>
  </si>
  <si>
    <t xml:space="preserve">ORD-103645</t>
  </si>
  <si>
    <t xml:space="preserve">ORD-103646</t>
  </si>
  <si>
    <t xml:space="preserve">ORD-103647</t>
  </si>
  <si>
    <t xml:space="preserve">ORD-103648</t>
  </si>
  <si>
    <t xml:space="preserve">ORD-103649</t>
  </si>
  <si>
    <t xml:space="preserve">ORD-103650</t>
  </si>
  <si>
    <t xml:space="preserve">ORD-103651</t>
  </si>
  <si>
    <t xml:space="preserve">ORD-103652</t>
  </si>
  <si>
    <t xml:space="preserve">ORD-103653</t>
  </si>
  <si>
    <t xml:space="preserve">ORD-103654</t>
  </si>
  <si>
    <t xml:space="preserve">ORD-103655</t>
  </si>
  <si>
    <t xml:space="preserve">ORD-103656</t>
  </si>
  <si>
    <t xml:space="preserve">ORD-103657</t>
  </si>
  <si>
    <t xml:space="preserve">ORD-103658</t>
  </si>
  <si>
    <t xml:space="preserve">ORD-103659</t>
  </si>
  <si>
    <t xml:space="preserve">ORD-103660</t>
  </si>
  <si>
    <t xml:space="preserve">ORD-103661</t>
  </si>
  <si>
    <t xml:space="preserve">ORD-103662</t>
  </si>
  <si>
    <t xml:space="preserve">ORD-103663</t>
  </si>
  <si>
    <t xml:space="preserve">ORD-103664</t>
  </si>
  <si>
    <t xml:space="preserve">ORD-103665</t>
  </si>
  <si>
    <t xml:space="preserve">ORD-103666</t>
  </si>
  <si>
    <t xml:space="preserve">ORD-103667</t>
  </si>
  <si>
    <t xml:space="preserve">ORD-103668</t>
  </si>
  <si>
    <t xml:space="preserve">ORD-103669</t>
  </si>
  <si>
    <t xml:space="preserve">ORD-103670</t>
  </si>
  <si>
    <t xml:space="preserve">ORD-103671</t>
  </si>
  <si>
    <t xml:space="preserve">ORD-103672</t>
  </si>
  <si>
    <t xml:space="preserve">ORD-103673</t>
  </si>
  <si>
    <t xml:space="preserve">ORD-103674</t>
  </si>
  <si>
    <t xml:space="preserve">ORD-103675</t>
  </si>
  <si>
    <t xml:space="preserve">ORD-103676</t>
  </si>
  <si>
    <t xml:space="preserve">ORD-103677</t>
  </si>
  <si>
    <t xml:space="preserve">ORD-103678</t>
  </si>
  <si>
    <t xml:space="preserve">ORD-103679</t>
  </si>
  <si>
    <t xml:space="preserve">ORD-103680</t>
  </si>
  <si>
    <t xml:space="preserve">ORD-103681</t>
  </si>
  <si>
    <t xml:space="preserve">ORD-103682</t>
  </si>
  <si>
    <t xml:space="preserve">ORD-103683</t>
  </si>
  <si>
    <t xml:space="preserve">ORD-103684</t>
  </si>
  <si>
    <t xml:space="preserve">ORD-103685</t>
  </si>
  <si>
    <t xml:space="preserve">ORD-103686</t>
  </si>
  <si>
    <t xml:space="preserve">ORD-103687</t>
  </si>
  <si>
    <t xml:space="preserve">ORD-103688</t>
  </si>
  <si>
    <t xml:space="preserve">ORD-103689</t>
  </si>
  <si>
    <t xml:space="preserve">ORD-103690</t>
  </si>
  <si>
    <t xml:space="preserve">ORD-103691</t>
  </si>
  <si>
    <t xml:space="preserve">ORD-103692</t>
  </si>
  <si>
    <t xml:space="preserve">ORD-103693</t>
  </si>
  <si>
    <t xml:space="preserve">ORD-103694</t>
  </si>
  <si>
    <t xml:space="preserve">ORD-103695</t>
  </si>
  <si>
    <t xml:space="preserve">ORD-103696</t>
  </si>
  <si>
    <t xml:space="preserve">ORD-103697</t>
  </si>
  <si>
    <t xml:space="preserve">ORD-103698</t>
  </si>
  <si>
    <t xml:space="preserve">ORD-103699</t>
  </si>
  <si>
    <t xml:space="preserve">ORD-103700</t>
  </si>
  <si>
    <t xml:space="preserve">ORD-103701</t>
  </si>
  <si>
    <t xml:space="preserve">ORD-103702</t>
  </si>
  <si>
    <t xml:space="preserve">ORD-103703</t>
  </si>
  <si>
    <t xml:space="preserve">ORD-103704</t>
  </si>
  <si>
    <t xml:space="preserve">ORD-103705</t>
  </si>
  <si>
    <t xml:space="preserve">ORD-103706</t>
  </si>
  <si>
    <t xml:space="preserve">ORD-103707</t>
  </si>
  <si>
    <t xml:space="preserve">ORD-103708</t>
  </si>
  <si>
    <t xml:space="preserve">ORD-103709</t>
  </si>
  <si>
    <t xml:space="preserve">ORD-103710</t>
  </si>
  <si>
    <t xml:space="preserve">ORD-103711</t>
  </si>
  <si>
    <t xml:space="preserve">ORD-103712</t>
  </si>
  <si>
    <t xml:space="preserve">ORD-103713</t>
  </si>
  <si>
    <t xml:space="preserve">ORD-103714</t>
  </si>
  <si>
    <t xml:space="preserve">ORD-103715</t>
  </si>
  <si>
    <t xml:space="preserve">ORD-103716</t>
  </si>
  <si>
    <t xml:space="preserve">ORD-103717</t>
  </si>
  <si>
    <t xml:space="preserve">ORD-103718</t>
  </si>
  <si>
    <t xml:space="preserve">ORD-103719</t>
  </si>
  <si>
    <t xml:space="preserve">ORD-103720</t>
  </si>
  <si>
    <t xml:space="preserve">ORD-103721</t>
  </si>
  <si>
    <t xml:space="preserve">ORD-103722</t>
  </si>
  <si>
    <t xml:space="preserve">ORD-103723</t>
  </si>
  <si>
    <t xml:space="preserve">ORD-103724</t>
  </si>
  <si>
    <t xml:space="preserve">ORD-103725</t>
  </si>
  <si>
    <t xml:space="preserve">ORD-103726</t>
  </si>
  <si>
    <t xml:space="preserve">ORD-103727</t>
  </si>
  <si>
    <t xml:space="preserve">ORD-103728</t>
  </si>
  <si>
    <t xml:space="preserve">ORD-103729</t>
  </si>
  <si>
    <t xml:space="preserve">ORD-103730</t>
  </si>
  <si>
    <t xml:space="preserve">ORD-103731</t>
  </si>
  <si>
    <t xml:space="preserve">ORD-103732</t>
  </si>
  <si>
    <t xml:space="preserve">ORD-103733</t>
  </si>
  <si>
    <t xml:space="preserve">ORD-103734</t>
  </si>
  <si>
    <t xml:space="preserve">ORD-103735</t>
  </si>
  <si>
    <t xml:space="preserve">ORD-103736</t>
  </si>
  <si>
    <t xml:space="preserve">ORD-103737</t>
  </si>
  <si>
    <t xml:space="preserve">ORD-103738</t>
  </si>
  <si>
    <t xml:space="preserve">ORD-103739</t>
  </si>
  <si>
    <t xml:space="preserve">ORD-103740</t>
  </si>
  <si>
    <t xml:space="preserve">ORD-103741</t>
  </si>
  <si>
    <t xml:space="preserve">ORD-103742</t>
  </si>
  <si>
    <t xml:space="preserve">ORD-103743</t>
  </si>
  <si>
    <t xml:space="preserve">ORD-103744</t>
  </si>
  <si>
    <t xml:space="preserve">ORD-103745</t>
  </si>
  <si>
    <t xml:space="preserve">ORD-103746</t>
  </si>
  <si>
    <t xml:space="preserve">ORD-103747</t>
  </si>
  <si>
    <t xml:space="preserve">ORD-103748</t>
  </si>
  <si>
    <t xml:space="preserve">ORD-103749</t>
  </si>
  <si>
    <t xml:space="preserve">ORD-103750</t>
  </si>
  <si>
    <t xml:space="preserve">ORD-103751</t>
  </si>
  <si>
    <t xml:space="preserve">ORD-103752</t>
  </si>
  <si>
    <t xml:space="preserve">ORD-103753</t>
  </si>
  <si>
    <t xml:space="preserve">ORD-103754</t>
  </si>
  <si>
    <t xml:space="preserve">ORD-103755</t>
  </si>
  <si>
    <t xml:space="preserve">ORD-103756</t>
  </si>
  <si>
    <t xml:space="preserve">ORD-103757</t>
  </si>
  <si>
    <t xml:space="preserve">ORD-103758</t>
  </si>
  <si>
    <t xml:space="preserve">ORD-103759</t>
  </si>
  <si>
    <t xml:space="preserve">ORD-103760</t>
  </si>
  <si>
    <t xml:space="preserve">ORD-103761</t>
  </si>
  <si>
    <t xml:space="preserve">ORD-103762</t>
  </si>
  <si>
    <t xml:space="preserve">ORD-103763</t>
  </si>
  <si>
    <t xml:space="preserve">ORD-103764</t>
  </si>
  <si>
    <t xml:space="preserve">ORD-103765</t>
  </si>
  <si>
    <t xml:space="preserve">ORD-103766</t>
  </si>
  <si>
    <t xml:space="preserve">ORD-103767</t>
  </si>
  <si>
    <t xml:space="preserve">ORD-103768</t>
  </si>
  <si>
    <t xml:space="preserve">ORD-103769</t>
  </si>
  <si>
    <t xml:space="preserve">ORD-103770</t>
  </si>
  <si>
    <t xml:space="preserve">ORD-103771</t>
  </si>
  <si>
    <t xml:space="preserve">ORD-103772</t>
  </si>
  <si>
    <t xml:space="preserve">ORD-103773</t>
  </si>
  <si>
    <t xml:space="preserve">ORD-103774</t>
  </si>
  <si>
    <t xml:space="preserve">ORD-103775</t>
  </si>
  <si>
    <t xml:space="preserve">ORD-103776</t>
  </si>
  <si>
    <t xml:space="preserve">ORD-103777</t>
  </si>
  <si>
    <t xml:space="preserve">ORD-103778</t>
  </si>
  <si>
    <t xml:space="preserve">ORD-103779</t>
  </si>
  <si>
    <t xml:space="preserve">ORD-103780</t>
  </si>
  <si>
    <t xml:space="preserve">ORD-103781</t>
  </si>
  <si>
    <t xml:space="preserve">ORD-103782</t>
  </si>
  <si>
    <t xml:space="preserve">ORD-103783</t>
  </si>
  <si>
    <t xml:space="preserve">ORD-103784</t>
  </si>
  <si>
    <t xml:space="preserve">ORD-103785</t>
  </si>
  <si>
    <t xml:space="preserve">ORD-103786</t>
  </si>
  <si>
    <t xml:space="preserve">ORD-103787</t>
  </si>
  <si>
    <t xml:space="preserve">ORD-103788</t>
  </si>
  <si>
    <t xml:space="preserve">ORD-103789</t>
  </si>
  <si>
    <t xml:space="preserve">ORD-103790</t>
  </si>
  <si>
    <t xml:space="preserve">ORD-103791</t>
  </si>
  <si>
    <t xml:space="preserve">ORD-103792</t>
  </si>
  <si>
    <t xml:space="preserve">ORD-103793</t>
  </si>
  <si>
    <t xml:space="preserve">ORD-103794</t>
  </si>
  <si>
    <t xml:space="preserve">ORD-103795</t>
  </si>
  <si>
    <t xml:space="preserve">ORD-103796</t>
  </si>
  <si>
    <t xml:space="preserve">ORD-103797</t>
  </si>
  <si>
    <t xml:space="preserve">ORD-103798</t>
  </si>
  <si>
    <t xml:space="preserve">ORD-103799</t>
  </si>
  <si>
    <t xml:space="preserve">ORD-103800</t>
  </si>
  <si>
    <t xml:space="preserve">ORD-103801</t>
  </si>
  <si>
    <t xml:space="preserve">ORD-103802</t>
  </si>
  <si>
    <t xml:space="preserve">ORD-103803</t>
  </si>
  <si>
    <t xml:space="preserve">ORD-103804</t>
  </si>
  <si>
    <t xml:space="preserve">ORD-103805</t>
  </si>
  <si>
    <t xml:space="preserve">ORD-103806</t>
  </si>
  <si>
    <t xml:space="preserve">ORD-103807</t>
  </si>
  <si>
    <t xml:space="preserve">ORD-103808</t>
  </si>
  <si>
    <t xml:space="preserve">ORD-103809</t>
  </si>
  <si>
    <t xml:space="preserve">ORD-103810</t>
  </si>
  <si>
    <t xml:space="preserve">ORD-103811</t>
  </si>
  <si>
    <t xml:space="preserve">ORD-103812</t>
  </si>
  <si>
    <t xml:space="preserve">ORD-103813</t>
  </si>
  <si>
    <t xml:space="preserve">ORD-103814</t>
  </si>
  <si>
    <t xml:space="preserve">ORD-103815</t>
  </si>
  <si>
    <t xml:space="preserve">ORD-103816</t>
  </si>
  <si>
    <t xml:space="preserve">ORD-103817</t>
  </si>
  <si>
    <t xml:space="preserve">ORD-103818</t>
  </si>
  <si>
    <t xml:space="preserve">ORD-103819</t>
  </si>
  <si>
    <t xml:space="preserve">ORD-103820</t>
  </si>
  <si>
    <t xml:space="preserve">ORD-103821</t>
  </si>
  <si>
    <t xml:space="preserve">ORD-103822</t>
  </si>
  <si>
    <t xml:space="preserve">ORD-103823</t>
  </si>
  <si>
    <t xml:space="preserve">ORD-103824</t>
  </si>
  <si>
    <t xml:space="preserve">ORD-103825</t>
  </si>
  <si>
    <t xml:space="preserve">ORD-103826</t>
  </si>
  <si>
    <t xml:space="preserve">ORD-103827</t>
  </si>
  <si>
    <t xml:space="preserve">ORD-103828</t>
  </si>
  <si>
    <t xml:space="preserve">ORD-103829</t>
  </si>
  <si>
    <t xml:space="preserve">ORD-103830</t>
  </si>
  <si>
    <t xml:space="preserve">ORD-103831</t>
  </si>
  <si>
    <t xml:space="preserve">ORD-103832</t>
  </si>
  <si>
    <t xml:space="preserve">ORD-103833</t>
  </si>
  <si>
    <t xml:space="preserve">ORD-103834</t>
  </si>
  <si>
    <t xml:space="preserve">ORD-103835</t>
  </si>
  <si>
    <t xml:space="preserve">ORD-103836</t>
  </si>
  <si>
    <t xml:space="preserve">ORD-103837</t>
  </si>
  <si>
    <t xml:space="preserve">ORD-103838</t>
  </si>
  <si>
    <t xml:space="preserve">ORD-103839</t>
  </si>
  <si>
    <t xml:space="preserve">ORD-103840</t>
  </si>
  <si>
    <t xml:space="preserve">ORD-103841</t>
  </si>
  <si>
    <t xml:space="preserve">ORD-103842</t>
  </si>
  <si>
    <t xml:space="preserve">ORD-103843</t>
  </si>
  <si>
    <t xml:space="preserve">ORD-103844</t>
  </si>
  <si>
    <t xml:space="preserve">ORD-103845</t>
  </si>
  <si>
    <t xml:space="preserve">ORD-103846</t>
  </si>
  <si>
    <t xml:space="preserve">ORD-103847</t>
  </si>
  <si>
    <t xml:space="preserve">ORD-103848</t>
  </si>
  <si>
    <t xml:space="preserve">ORD-103849</t>
  </si>
  <si>
    <t xml:space="preserve">ORD-103850</t>
  </si>
  <si>
    <t xml:space="preserve">ORD-103851</t>
  </si>
  <si>
    <t xml:space="preserve">ORD-103852</t>
  </si>
  <si>
    <t xml:space="preserve">ORD-103853</t>
  </si>
  <si>
    <t xml:space="preserve">ORD-103854</t>
  </si>
  <si>
    <t xml:space="preserve">ORD-103855</t>
  </si>
  <si>
    <t xml:space="preserve">ORD-103856</t>
  </si>
  <si>
    <t xml:space="preserve">ORD-103857</t>
  </si>
  <si>
    <t xml:space="preserve">ORD-103858</t>
  </si>
  <si>
    <t xml:space="preserve">ORD-103859</t>
  </si>
  <si>
    <t xml:space="preserve">ORD-103860</t>
  </si>
  <si>
    <t xml:space="preserve">ORD-103861</t>
  </si>
  <si>
    <t xml:space="preserve">ORD-103862</t>
  </si>
  <si>
    <t xml:space="preserve">ORD-103863</t>
  </si>
  <si>
    <t xml:space="preserve">ORD-103864</t>
  </si>
  <si>
    <t xml:space="preserve">ORD-103865</t>
  </si>
  <si>
    <t xml:space="preserve">ORD-103866</t>
  </si>
  <si>
    <t xml:space="preserve">ORD-103867</t>
  </si>
  <si>
    <t xml:space="preserve">ORD-103868</t>
  </si>
  <si>
    <t xml:space="preserve">ORD-103869</t>
  </si>
  <si>
    <t xml:space="preserve">ORD-103870</t>
  </si>
  <si>
    <t xml:space="preserve">ORD-103871</t>
  </si>
  <si>
    <t xml:space="preserve">ORD-103872</t>
  </si>
  <si>
    <t xml:space="preserve">ORD-103873</t>
  </si>
  <si>
    <t xml:space="preserve">ORD-103874</t>
  </si>
  <si>
    <t xml:space="preserve">ORD-103875</t>
  </si>
  <si>
    <t xml:space="preserve">ORD-103876</t>
  </si>
  <si>
    <t xml:space="preserve">ORD-103877</t>
  </si>
  <si>
    <t xml:space="preserve">ORD-103878</t>
  </si>
  <si>
    <t xml:space="preserve">ORD-103879</t>
  </si>
  <si>
    <t xml:space="preserve">ORD-103880</t>
  </si>
  <si>
    <t xml:space="preserve">ORD-103881</t>
  </si>
  <si>
    <t xml:space="preserve">ORD-103882</t>
  </si>
  <si>
    <t xml:space="preserve">ORD-103883</t>
  </si>
  <si>
    <t xml:space="preserve">ORD-103884</t>
  </si>
  <si>
    <t xml:space="preserve">ORD-103885</t>
  </si>
  <si>
    <t xml:space="preserve">ORD-103886</t>
  </si>
  <si>
    <t xml:space="preserve">ORD-103887</t>
  </si>
  <si>
    <t xml:space="preserve">ORD-103888</t>
  </si>
  <si>
    <t xml:space="preserve">ORD-103889</t>
  </si>
  <si>
    <t xml:space="preserve">ORD-103890</t>
  </si>
  <si>
    <t xml:space="preserve">ORD-103891</t>
  </si>
  <si>
    <t xml:space="preserve">ORD-103892</t>
  </si>
  <si>
    <t xml:space="preserve">ORD-103893</t>
  </si>
  <si>
    <t xml:space="preserve">ORD-103894</t>
  </si>
  <si>
    <t xml:space="preserve">ORD-103895</t>
  </si>
  <si>
    <t xml:space="preserve">ORD-103896</t>
  </si>
  <si>
    <t xml:space="preserve">ORD-103897</t>
  </si>
  <si>
    <t xml:space="preserve">ORD-103898</t>
  </si>
  <si>
    <t xml:space="preserve">ORD-103899</t>
  </si>
  <si>
    <t xml:space="preserve">ORD-103900</t>
  </si>
  <si>
    <t xml:space="preserve">ORD-103901</t>
  </si>
  <si>
    <t xml:space="preserve">ORD-103902</t>
  </si>
  <si>
    <t xml:space="preserve">ORD-103903</t>
  </si>
  <si>
    <t xml:space="preserve">ORD-103904</t>
  </si>
  <si>
    <t xml:space="preserve">ORD-103905</t>
  </si>
  <si>
    <t xml:space="preserve">ORD-103906</t>
  </si>
  <si>
    <t xml:space="preserve">ORD-103907</t>
  </si>
  <si>
    <t xml:space="preserve">ORD-103908</t>
  </si>
  <si>
    <t xml:space="preserve">ORD-103909</t>
  </si>
  <si>
    <t xml:space="preserve">ORD-103910</t>
  </si>
  <si>
    <t xml:space="preserve">ORD-103911</t>
  </si>
  <si>
    <t xml:space="preserve">ORD-103912</t>
  </si>
  <si>
    <t xml:space="preserve">ORD-103913</t>
  </si>
  <si>
    <t xml:space="preserve">ORD-103914</t>
  </si>
  <si>
    <t xml:space="preserve">ORD-103915</t>
  </si>
  <si>
    <t xml:space="preserve">ORD-103916</t>
  </si>
  <si>
    <t xml:space="preserve">ORD-103917</t>
  </si>
  <si>
    <t xml:space="preserve">ORD-103918</t>
  </si>
  <si>
    <t xml:space="preserve">ORD-103919</t>
  </si>
  <si>
    <t xml:space="preserve">ORD-103920</t>
  </si>
  <si>
    <t xml:space="preserve">ORD-103921</t>
  </si>
  <si>
    <t xml:space="preserve">ORD-103922</t>
  </si>
  <si>
    <t xml:space="preserve">ORD-103923</t>
  </si>
  <si>
    <t xml:space="preserve">ORD-103924</t>
  </si>
  <si>
    <t xml:space="preserve">ORD-103925</t>
  </si>
  <si>
    <t xml:space="preserve">ORD-103926</t>
  </si>
  <si>
    <t xml:space="preserve">ORD-103927</t>
  </si>
  <si>
    <t xml:space="preserve">ORD-103928</t>
  </si>
  <si>
    <t xml:space="preserve">ORD-103929</t>
  </si>
  <si>
    <t xml:space="preserve">ORD-103930</t>
  </si>
  <si>
    <t xml:space="preserve">ORD-103931</t>
  </si>
  <si>
    <t xml:space="preserve">ORD-103932</t>
  </si>
  <si>
    <t xml:space="preserve">ORD-103933</t>
  </si>
  <si>
    <t xml:space="preserve">ORD-103934</t>
  </si>
  <si>
    <t xml:space="preserve">ORD-103935</t>
  </si>
  <si>
    <t xml:space="preserve">ORD-103936</t>
  </si>
  <si>
    <t xml:space="preserve">ORD-103937</t>
  </si>
  <si>
    <t xml:space="preserve">ORD-103938</t>
  </si>
  <si>
    <t xml:space="preserve">ORD-103939</t>
  </si>
  <si>
    <t xml:space="preserve">ORD-103940</t>
  </si>
  <si>
    <t xml:space="preserve">ORD-103941</t>
  </si>
  <si>
    <t xml:space="preserve">ORD-103942</t>
  </si>
  <si>
    <t xml:space="preserve">ORD-103943</t>
  </si>
  <si>
    <t xml:space="preserve">ORD-103944</t>
  </si>
  <si>
    <t xml:space="preserve">ORD-103945</t>
  </si>
  <si>
    <t xml:space="preserve">ORD-103946</t>
  </si>
  <si>
    <t xml:space="preserve">ORD-103947</t>
  </si>
  <si>
    <t xml:space="preserve">ORD-103948</t>
  </si>
  <si>
    <t xml:space="preserve">ORD-103949</t>
  </si>
  <si>
    <t xml:space="preserve">ORD-103950</t>
  </si>
  <si>
    <t xml:space="preserve">ORD-103951</t>
  </si>
  <si>
    <t xml:space="preserve">ORD-103952</t>
  </si>
  <si>
    <t xml:space="preserve">ORD-103953</t>
  </si>
  <si>
    <t xml:space="preserve">ORD-103954</t>
  </si>
  <si>
    <t xml:space="preserve">ORD-103955</t>
  </si>
  <si>
    <t xml:space="preserve">ORD-103956</t>
  </si>
  <si>
    <t xml:space="preserve">ORD-103957</t>
  </si>
  <si>
    <t xml:space="preserve">ORD-103958</t>
  </si>
  <si>
    <t xml:space="preserve">ORD-103959</t>
  </si>
  <si>
    <t xml:space="preserve">ORD-103960</t>
  </si>
  <si>
    <t xml:space="preserve">ORD-103961</t>
  </si>
  <si>
    <t xml:space="preserve">ORD-103962</t>
  </si>
  <si>
    <t xml:space="preserve">ORD-103963</t>
  </si>
  <si>
    <t xml:space="preserve">ORD-103964</t>
  </si>
  <si>
    <t xml:space="preserve">ORD-103965</t>
  </si>
  <si>
    <t xml:space="preserve">ORD-103966</t>
  </si>
  <si>
    <t xml:space="preserve">ORD-103967</t>
  </si>
  <si>
    <t xml:space="preserve">ORD-103968</t>
  </si>
  <si>
    <t xml:space="preserve">ORD-103969</t>
  </si>
  <si>
    <t xml:space="preserve">ORD-103970</t>
  </si>
  <si>
    <t xml:space="preserve">ORD-103971</t>
  </si>
  <si>
    <t xml:space="preserve">ORD-103972</t>
  </si>
  <si>
    <t xml:space="preserve">ORD-103973</t>
  </si>
  <si>
    <t xml:space="preserve">ORD-103974</t>
  </si>
  <si>
    <t xml:space="preserve">ORD-103975</t>
  </si>
  <si>
    <t xml:space="preserve">ORD-103976</t>
  </si>
  <si>
    <t xml:space="preserve">ORD-103977</t>
  </si>
  <si>
    <t xml:space="preserve">ORD-103978</t>
  </si>
  <si>
    <t xml:space="preserve">ORD-103979</t>
  </si>
  <si>
    <t xml:space="preserve">ORD-103980</t>
  </si>
  <si>
    <t xml:space="preserve">ORD-103981</t>
  </si>
  <si>
    <t xml:space="preserve">ORD-103982</t>
  </si>
  <si>
    <t xml:space="preserve">ORD-103983</t>
  </si>
  <si>
    <t xml:space="preserve">ORD-103984</t>
  </si>
  <si>
    <t xml:space="preserve">ORD-103985</t>
  </si>
  <si>
    <t xml:space="preserve">ORD-103986</t>
  </si>
  <si>
    <t xml:space="preserve">ORD-103987</t>
  </si>
  <si>
    <t xml:space="preserve">ORD-103988</t>
  </si>
  <si>
    <t xml:space="preserve">ORD-103989</t>
  </si>
  <si>
    <t xml:space="preserve">ORD-103990</t>
  </si>
  <si>
    <t xml:space="preserve">ORD-103991</t>
  </si>
  <si>
    <t xml:space="preserve">ORD-103992</t>
  </si>
  <si>
    <t xml:space="preserve">ORD-103993</t>
  </si>
  <si>
    <t xml:space="preserve">ORD-103994</t>
  </si>
  <si>
    <t xml:space="preserve">ORD-103995</t>
  </si>
  <si>
    <t xml:space="preserve">ORD-103996</t>
  </si>
  <si>
    <t xml:space="preserve">ORD-103997</t>
  </si>
  <si>
    <t xml:space="preserve">ORD-103998</t>
  </si>
  <si>
    <t xml:space="preserve">ORD-103999</t>
  </si>
  <si>
    <t xml:space="preserve">ORD-104000</t>
  </si>
  <si>
    <t xml:space="preserve">ORD-104001</t>
  </si>
  <si>
    <t xml:space="preserve">ORD-104002</t>
  </si>
  <si>
    <t xml:space="preserve">ORD-104003</t>
  </si>
  <si>
    <t xml:space="preserve">ORD-104004</t>
  </si>
  <si>
    <t xml:space="preserve">ORD-104005</t>
  </si>
  <si>
    <t xml:space="preserve">ORD-104006</t>
  </si>
  <si>
    <t xml:space="preserve">ORD-104007</t>
  </si>
  <si>
    <t xml:space="preserve">ORD-104008</t>
  </si>
  <si>
    <t xml:space="preserve">ORD-104009</t>
  </si>
  <si>
    <t xml:space="preserve">ORD-104010</t>
  </si>
  <si>
    <t xml:space="preserve">ORD-104011</t>
  </si>
  <si>
    <t xml:space="preserve">ORD-104012</t>
  </si>
  <si>
    <t xml:space="preserve">ORD-104013</t>
  </si>
  <si>
    <t xml:space="preserve">ORD-104014</t>
  </si>
  <si>
    <t xml:space="preserve">ORD-104015</t>
  </si>
  <si>
    <t xml:space="preserve">ORD-104016</t>
  </si>
  <si>
    <t xml:space="preserve">ORD-104017</t>
  </si>
  <si>
    <t xml:space="preserve">ORD-104018</t>
  </si>
  <si>
    <t xml:space="preserve">ORD-104019</t>
  </si>
  <si>
    <t xml:space="preserve">ORD-104020</t>
  </si>
  <si>
    <t xml:space="preserve">ORD-104021</t>
  </si>
  <si>
    <t xml:space="preserve">ORD-104022</t>
  </si>
  <si>
    <t xml:space="preserve">ORD-104023</t>
  </si>
  <si>
    <t xml:space="preserve">ORD-104024</t>
  </si>
  <si>
    <t xml:space="preserve">ORD-104025</t>
  </si>
  <si>
    <t xml:space="preserve">ORD-104026</t>
  </si>
  <si>
    <t xml:space="preserve">ORD-104027</t>
  </si>
  <si>
    <t xml:space="preserve">ORD-104028</t>
  </si>
  <si>
    <t xml:space="preserve">ORD-104029</t>
  </si>
  <si>
    <t xml:space="preserve">ORD-104030</t>
  </si>
  <si>
    <t xml:space="preserve">ORD-104031</t>
  </si>
  <si>
    <t xml:space="preserve">ORD-104032</t>
  </si>
  <si>
    <t xml:space="preserve">ORD-104033</t>
  </si>
  <si>
    <t xml:space="preserve">ORD-104034</t>
  </si>
  <si>
    <t xml:space="preserve">ORD-104035</t>
  </si>
  <si>
    <t xml:space="preserve">ORD-104036</t>
  </si>
  <si>
    <t xml:space="preserve">ORD-104037</t>
  </si>
  <si>
    <t xml:space="preserve">ORD-104038</t>
  </si>
  <si>
    <t xml:space="preserve">ORD-104039</t>
  </si>
  <si>
    <t xml:space="preserve">ORD-104040</t>
  </si>
  <si>
    <t xml:space="preserve">ORD-104041</t>
  </si>
  <si>
    <t xml:space="preserve">ORD-104042</t>
  </si>
  <si>
    <t xml:space="preserve">ORD-104043</t>
  </si>
  <si>
    <t xml:space="preserve">ORD-104044</t>
  </si>
  <si>
    <t xml:space="preserve">ORD-104045</t>
  </si>
  <si>
    <t xml:space="preserve">ORD-104046</t>
  </si>
  <si>
    <t xml:space="preserve">ORD-104047</t>
  </si>
  <si>
    <t xml:space="preserve">ORD-104048</t>
  </si>
  <si>
    <t xml:space="preserve">ORD-104049</t>
  </si>
  <si>
    <t xml:space="preserve">ORD-104050</t>
  </si>
  <si>
    <t xml:space="preserve">ORD-104051</t>
  </si>
  <si>
    <t xml:space="preserve">ORD-104052</t>
  </si>
  <si>
    <t xml:space="preserve">ORD-104053</t>
  </si>
  <si>
    <t xml:space="preserve">ORD-104054</t>
  </si>
  <si>
    <t xml:space="preserve">ORD-104055</t>
  </si>
  <si>
    <t xml:space="preserve">ORD-104056</t>
  </si>
  <si>
    <t xml:space="preserve">ORD-104057</t>
  </si>
  <si>
    <t xml:space="preserve">ORD-104058</t>
  </si>
  <si>
    <t xml:space="preserve">ORD-104059</t>
  </si>
  <si>
    <t xml:space="preserve">ORD-104060</t>
  </si>
  <si>
    <t xml:space="preserve">ORD-104061</t>
  </si>
  <si>
    <t xml:space="preserve">ORD-104062</t>
  </si>
  <si>
    <t xml:space="preserve">ORD-104063</t>
  </si>
  <si>
    <t xml:space="preserve">ORD-104064</t>
  </si>
  <si>
    <t xml:space="preserve">ORD-104065</t>
  </si>
  <si>
    <t xml:space="preserve">ORD-104066</t>
  </si>
  <si>
    <t xml:space="preserve">ORD-104067</t>
  </si>
  <si>
    <t xml:space="preserve">ORD-104068</t>
  </si>
  <si>
    <t xml:space="preserve">ORD-104069</t>
  </si>
  <si>
    <t xml:space="preserve">ORD-104070</t>
  </si>
  <si>
    <t xml:space="preserve">ORD-104071</t>
  </si>
  <si>
    <t xml:space="preserve">ORD-104072</t>
  </si>
  <si>
    <t xml:space="preserve">ORD-104073</t>
  </si>
  <si>
    <t xml:space="preserve">ORD-104074</t>
  </si>
  <si>
    <t xml:space="preserve">ORD-104075</t>
  </si>
  <si>
    <t xml:space="preserve">ORD-104076</t>
  </si>
  <si>
    <t xml:space="preserve">ORD-104077</t>
  </si>
  <si>
    <t xml:space="preserve">ORD-104078</t>
  </si>
  <si>
    <t xml:space="preserve">ORD-104079</t>
  </si>
  <si>
    <t xml:space="preserve">ORD-104080</t>
  </si>
  <si>
    <t xml:space="preserve">ORD-104081</t>
  </si>
  <si>
    <t xml:space="preserve">ORD-104082</t>
  </si>
  <si>
    <t xml:space="preserve">ORD-104083</t>
  </si>
  <si>
    <t xml:space="preserve">ORD-104084</t>
  </si>
  <si>
    <t xml:space="preserve">ORD-104085</t>
  </si>
  <si>
    <t xml:space="preserve">ORD-104086</t>
  </si>
  <si>
    <t xml:space="preserve">ORD-104087</t>
  </si>
  <si>
    <t xml:space="preserve">ORD-104088</t>
  </si>
  <si>
    <t xml:space="preserve">ORD-104089</t>
  </si>
  <si>
    <t xml:space="preserve">ORD-104090</t>
  </si>
  <si>
    <t xml:space="preserve">ORD-104091</t>
  </si>
  <si>
    <t xml:space="preserve">ORD-104092</t>
  </si>
  <si>
    <t xml:space="preserve">ORD-104093</t>
  </si>
  <si>
    <t xml:space="preserve">ORD-104094</t>
  </si>
  <si>
    <t xml:space="preserve">ORD-104095</t>
  </si>
  <si>
    <t xml:space="preserve">ORD-104096</t>
  </si>
  <si>
    <t xml:space="preserve">ORD-104097</t>
  </si>
  <si>
    <t xml:space="preserve">ORD-104098</t>
  </si>
  <si>
    <t xml:space="preserve">ORD-104099</t>
  </si>
  <si>
    <t xml:space="preserve">ORD-104100</t>
  </si>
  <si>
    <t xml:space="preserve">ORD-104101</t>
  </si>
  <si>
    <t xml:space="preserve">ORD-104102</t>
  </si>
  <si>
    <t xml:space="preserve">ORD-104103</t>
  </si>
  <si>
    <t xml:space="preserve">ORD-104104</t>
  </si>
  <si>
    <t xml:space="preserve">ORD-104105</t>
  </si>
  <si>
    <t xml:space="preserve">ORD-104106</t>
  </si>
  <si>
    <t xml:space="preserve">ORD-104107</t>
  </si>
  <si>
    <t xml:space="preserve">ORD-104108</t>
  </si>
  <si>
    <t xml:space="preserve">ORD-104109</t>
  </si>
  <si>
    <t xml:space="preserve">ORD-104110</t>
  </si>
  <si>
    <t xml:space="preserve">ORD-104111</t>
  </si>
  <si>
    <t xml:space="preserve">ORD-104112</t>
  </si>
  <si>
    <t xml:space="preserve">ORD-104113</t>
  </si>
  <si>
    <t xml:space="preserve">ORD-104114</t>
  </si>
  <si>
    <t xml:space="preserve">ORD-104115</t>
  </si>
  <si>
    <t xml:space="preserve">ORD-104116</t>
  </si>
  <si>
    <t xml:space="preserve">ORD-104117</t>
  </si>
  <si>
    <t xml:space="preserve">ORD-104118</t>
  </si>
  <si>
    <t xml:space="preserve">ORD-104119</t>
  </si>
  <si>
    <t xml:space="preserve">ORD-104120</t>
  </si>
  <si>
    <t xml:space="preserve">ORD-104121</t>
  </si>
  <si>
    <t xml:space="preserve">ORD-104122</t>
  </si>
  <si>
    <t xml:space="preserve">ORD-104123</t>
  </si>
  <si>
    <t xml:space="preserve">ORD-104124</t>
  </si>
  <si>
    <t xml:space="preserve">ORD-104125</t>
  </si>
  <si>
    <t xml:space="preserve">ORD-104126</t>
  </si>
  <si>
    <t xml:space="preserve">ORD-104127</t>
  </si>
  <si>
    <t xml:space="preserve">ORD-104128</t>
  </si>
  <si>
    <t xml:space="preserve">ORD-104129</t>
  </si>
  <si>
    <t xml:space="preserve">ORD-104130</t>
  </si>
  <si>
    <t xml:space="preserve">ORD-104131</t>
  </si>
  <si>
    <t xml:space="preserve">ORD-104132</t>
  </si>
  <si>
    <t xml:space="preserve">ORD-104133</t>
  </si>
  <si>
    <t xml:space="preserve">ORD-104134</t>
  </si>
  <si>
    <t xml:space="preserve">ORD-104135</t>
  </si>
  <si>
    <t xml:space="preserve">ORD-104136</t>
  </si>
  <si>
    <t xml:space="preserve">ORD-104137</t>
  </si>
  <si>
    <t xml:space="preserve">ORD-104138</t>
  </si>
  <si>
    <t xml:space="preserve">ORD-104139</t>
  </si>
  <si>
    <t xml:space="preserve">ORD-104140</t>
  </si>
  <si>
    <t xml:space="preserve">ORD-104141</t>
  </si>
  <si>
    <t xml:space="preserve">ORD-104142</t>
  </si>
  <si>
    <t xml:space="preserve">ORD-104143</t>
  </si>
  <si>
    <t xml:space="preserve">ORD-104144</t>
  </si>
  <si>
    <t xml:space="preserve">ORD-104145</t>
  </si>
  <si>
    <t xml:space="preserve">ORD-104146</t>
  </si>
  <si>
    <t xml:space="preserve">ORD-104147</t>
  </si>
  <si>
    <t xml:space="preserve">ORD-104148</t>
  </si>
  <si>
    <t xml:space="preserve">ORD-104149</t>
  </si>
  <si>
    <t xml:space="preserve">ORD-104150</t>
  </si>
  <si>
    <t xml:space="preserve">ORD-104151</t>
  </si>
  <si>
    <t xml:space="preserve">ORD-104152</t>
  </si>
  <si>
    <t xml:space="preserve">ORD-104153</t>
  </si>
  <si>
    <t xml:space="preserve">ORD-104154</t>
  </si>
  <si>
    <t xml:space="preserve">ORD-104155</t>
  </si>
  <si>
    <t xml:space="preserve">ORD-104156</t>
  </si>
  <si>
    <t xml:space="preserve">ORD-104157</t>
  </si>
  <si>
    <t xml:space="preserve">ORD-104158</t>
  </si>
  <si>
    <t xml:space="preserve">ORD-104159</t>
  </si>
  <si>
    <t xml:space="preserve">ORD-104160</t>
  </si>
  <si>
    <t xml:space="preserve">ORD-104161</t>
  </si>
  <si>
    <t xml:space="preserve">ORD-104162</t>
  </si>
  <si>
    <t xml:space="preserve">ORD-104163</t>
  </si>
  <si>
    <t xml:space="preserve">ORD-104164</t>
  </si>
  <si>
    <t xml:space="preserve">ORD-104165</t>
  </si>
  <si>
    <t xml:space="preserve">ORD-104166</t>
  </si>
  <si>
    <t xml:space="preserve">ORD-104167</t>
  </si>
  <si>
    <t xml:space="preserve">ORD-104168</t>
  </si>
  <si>
    <t xml:space="preserve">ORD-104169</t>
  </si>
  <si>
    <t xml:space="preserve">ORD-104170</t>
  </si>
  <si>
    <t xml:space="preserve">ORD-104171</t>
  </si>
  <si>
    <t xml:space="preserve">ORD-104172</t>
  </si>
  <si>
    <t xml:space="preserve">ORD-104173</t>
  </si>
  <si>
    <t xml:space="preserve">ORD-104174</t>
  </si>
  <si>
    <t xml:space="preserve">ORD-104175</t>
  </si>
  <si>
    <t xml:space="preserve">ORD-104176</t>
  </si>
  <si>
    <t xml:space="preserve">ORD-104177</t>
  </si>
  <si>
    <t xml:space="preserve">ORD-104178</t>
  </si>
  <si>
    <t xml:space="preserve">ORD-104179</t>
  </si>
  <si>
    <t xml:space="preserve">ORD-104180</t>
  </si>
  <si>
    <t xml:space="preserve">ORD-104181</t>
  </si>
  <si>
    <t xml:space="preserve">ORD-104182</t>
  </si>
  <si>
    <t xml:space="preserve">ORD-104183</t>
  </si>
  <si>
    <t xml:space="preserve">ORD-104184</t>
  </si>
  <si>
    <t xml:space="preserve">ORD-104185</t>
  </si>
  <si>
    <t xml:space="preserve">ORD-104186</t>
  </si>
  <si>
    <t xml:space="preserve">ORD-104187</t>
  </si>
  <si>
    <t xml:space="preserve">ORD-104188</t>
  </si>
  <si>
    <t xml:space="preserve">ORD-104189</t>
  </si>
  <si>
    <t xml:space="preserve">ORD-104190</t>
  </si>
  <si>
    <t xml:space="preserve">ORD-104191</t>
  </si>
  <si>
    <t xml:space="preserve">ORD-104192</t>
  </si>
  <si>
    <t xml:space="preserve">ORD-104193</t>
  </si>
  <si>
    <t xml:space="preserve">ORD-104194</t>
  </si>
  <si>
    <t xml:space="preserve">ORD-104195</t>
  </si>
  <si>
    <t xml:space="preserve">ORD-104196</t>
  </si>
  <si>
    <t xml:space="preserve">ORD-104197</t>
  </si>
  <si>
    <t xml:space="preserve">ORD-104198</t>
  </si>
  <si>
    <t xml:space="preserve">ORD-104199</t>
  </si>
  <si>
    <t xml:space="preserve">ORD-104200</t>
  </si>
  <si>
    <t xml:space="preserve">ORD-104201</t>
  </si>
  <si>
    <t xml:space="preserve">ORD-104202</t>
  </si>
  <si>
    <t xml:space="preserve">ORD-104203</t>
  </si>
  <si>
    <t xml:space="preserve">ORD-104204</t>
  </si>
  <si>
    <t xml:space="preserve">ORD-104205</t>
  </si>
  <si>
    <t xml:space="preserve">ORD-104206</t>
  </si>
  <si>
    <t xml:space="preserve">ORD-104207</t>
  </si>
  <si>
    <t xml:space="preserve">ORD-104208</t>
  </si>
  <si>
    <t xml:space="preserve">ORD-104209</t>
  </si>
  <si>
    <t xml:space="preserve">ORD-104210</t>
  </si>
  <si>
    <t xml:space="preserve">ORD-104211</t>
  </si>
  <si>
    <t xml:space="preserve">ORD-104212</t>
  </si>
  <si>
    <t xml:space="preserve">ORD-104213</t>
  </si>
  <si>
    <t xml:space="preserve">ORD-104214</t>
  </si>
  <si>
    <t xml:space="preserve">ORD-104215</t>
  </si>
  <si>
    <t xml:space="preserve">ORD-104216</t>
  </si>
  <si>
    <t xml:space="preserve">ORD-104217</t>
  </si>
  <si>
    <t xml:space="preserve">ORD-104218</t>
  </si>
  <si>
    <t xml:space="preserve">ORD-104219</t>
  </si>
  <si>
    <t xml:space="preserve">ORD-104220</t>
  </si>
  <si>
    <t xml:space="preserve">ORD-104221</t>
  </si>
  <si>
    <t xml:space="preserve">ORD-104222</t>
  </si>
  <si>
    <t xml:space="preserve">ORD-104223</t>
  </si>
  <si>
    <t xml:space="preserve">ORD-104224</t>
  </si>
  <si>
    <t xml:space="preserve">ORD-104225</t>
  </si>
  <si>
    <t xml:space="preserve">ORD-104226</t>
  </si>
  <si>
    <t xml:space="preserve">ORD-104227</t>
  </si>
  <si>
    <t xml:space="preserve">ORD-104228</t>
  </si>
  <si>
    <t xml:space="preserve">ORD-104229</t>
  </si>
  <si>
    <t xml:space="preserve">ORD-104230</t>
  </si>
  <si>
    <t xml:space="preserve">ORD-104231</t>
  </si>
  <si>
    <t xml:space="preserve">ORD-104232</t>
  </si>
  <si>
    <t xml:space="preserve">ORD-104233</t>
  </si>
  <si>
    <t xml:space="preserve">ORD-104234</t>
  </si>
  <si>
    <t xml:space="preserve">ORD-104235</t>
  </si>
  <si>
    <t xml:space="preserve">ORD-104236</t>
  </si>
  <si>
    <t xml:space="preserve">ORD-104237</t>
  </si>
  <si>
    <t xml:space="preserve">ORD-104238</t>
  </si>
  <si>
    <t xml:space="preserve">ORD-104239</t>
  </si>
  <si>
    <t xml:space="preserve">ORD-104240</t>
  </si>
  <si>
    <t xml:space="preserve">ORD-104241</t>
  </si>
  <si>
    <t xml:space="preserve">ORD-104242</t>
  </si>
  <si>
    <t xml:space="preserve">ORD-104243</t>
  </si>
  <si>
    <t xml:space="preserve">ORD-104244</t>
  </si>
  <si>
    <t xml:space="preserve">ORD-104245</t>
  </si>
  <si>
    <t xml:space="preserve">ORD-104246</t>
  </si>
  <si>
    <t xml:space="preserve">ORD-104247</t>
  </si>
  <si>
    <t xml:space="preserve">ORD-104248</t>
  </si>
  <si>
    <t xml:space="preserve">ORD-104249</t>
  </si>
  <si>
    <t xml:space="preserve">ORD-104250</t>
  </si>
  <si>
    <t xml:space="preserve">ORD-104251</t>
  </si>
  <si>
    <t xml:space="preserve">ORD-104252</t>
  </si>
  <si>
    <t xml:space="preserve">ORD-104253</t>
  </si>
  <si>
    <t xml:space="preserve">ORD-104254</t>
  </si>
  <si>
    <t xml:space="preserve">ORD-104255</t>
  </si>
  <si>
    <t xml:space="preserve">ORD-104256</t>
  </si>
  <si>
    <t xml:space="preserve">ORD-104257</t>
  </si>
  <si>
    <t xml:space="preserve">ORD-104258</t>
  </si>
  <si>
    <t xml:space="preserve">ORD-104259</t>
  </si>
  <si>
    <t xml:space="preserve">ORD-104260</t>
  </si>
  <si>
    <t xml:space="preserve">ORD-104261</t>
  </si>
  <si>
    <t xml:space="preserve">ORD-104262</t>
  </si>
  <si>
    <t xml:space="preserve">ORD-104263</t>
  </si>
  <si>
    <t xml:space="preserve">ORD-104264</t>
  </si>
  <si>
    <t xml:space="preserve">ORD-104265</t>
  </si>
  <si>
    <t xml:space="preserve">ORD-104266</t>
  </si>
  <si>
    <t xml:space="preserve">ORD-104267</t>
  </si>
  <si>
    <t xml:space="preserve">ORD-104268</t>
  </si>
  <si>
    <t xml:space="preserve">ORD-104269</t>
  </si>
  <si>
    <t xml:space="preserve">ORD-104270</t>
  </si>
  <si>
    <t xml:space="preserve">ORD-104271</t>
  </si>
  <si>
    <t xml:space="preserve">ORD-104272</t>
  </si>
  <si>
    <t xml:space="preserve">ORD-104273</t>
  </si>
  <si>
    <t xml:space="preserve">ORD-104274</t>
  </si>
  <si>
    <t xml:space="preserve">ORD-104275</t>
  </si>
  <si>
    <t xml:space="preserve">ORD-104276</t>
  </si>
  <si>
    <t xml:space="preserve">ORD-104277</t>
  </si>
  <si>
    <t xml:space="preserve">ORD-104278</t>
  </si>
  <si>
    <t xml:space="preserve">ORD-104279</t>
  </si>
  <si>
    <t xml:space="preserve">ORD-104280</t>
  </si>
  <si>
    <t xml:space="preserve">ORD-104281</t>
  </si>
  <si>
    <t xml:space="preserve">ORD-104282</t>
  </si>
  <si>
    <t xml:space="preserve">ORD-104283</t>
  </si>
  <si>
    <t xml:space="preserve">ORD-104284</t>
  </si>
  <si>
    <t xml:space="preserve">ORD-104285</t>
  </si>
  <si>
    <t xml:space="preserve">ORD-104286</t>
  </si>
  <si>
    <t xml:space="preserve">ORD-104287</t>
  </si>
  <si>
    <t xml:space="preserve">ORD-104288</t>
  </si>
  <si>
    <t xml:space="preserve">ORD-104289</t>
  </si>
  <si>
    <t xml:space="preserve">ORD-104290</t>
  </si>
  <si>
    <t xml:space="preserve">ORD-104291</t>
  </si>
  <si>
    <t xml:space="preserve">ORD-104292</t>
  </si>
  <si>
    <t xml:space="preserve">ORD-104293</t>
  </si>
  <si>
    <t xml:space="preserve">ORD-104294</t>
  </si>
  <si>
    <t xml:space="preserve">ORD-104295</t>
  </si>
  <si>
    <t xml:space="preserve">ORD-104296</t>
  </si>
  <si>
    <t xml:space="preserve">ORD-104297</t>
  </si>
  <si>
    <t xml:space="preserve">ORD-104298</t>
  </si>
  <si>
    <t xml:space="preserve">ORD-104299</t>
  </si>
  <si>
    <t xml:space="preserve">ORD-104300</t>
  </si>
  <si>
    <t xml:space="preserve">ORD-104301</t>
  </si>
  <si>
    <t xml:space="preserve">ORD-104302</t>
  </si>
  <si>
    <t xml:space="preserve">ORD-104303</t>
  </si>
  <si>
    <t xml:space="preserve">ORD-104304</t>
  </si>
  <si>
    <t xml:space="preserve">ORD-104305</t>
  </si>
  <si>
    <t xml:space="preserve">ORD-104306</t>
  </si>
  <si>
    <t xml:space="preserve">ORD-104307</t>
  </si>
  <si>
    <t xml:space="preserve">ORD-104308</t>
  </si>
  <si>
    <t xml:space="preserve">ORD-104309</t>
  </si>
  <si>
    <t xml:space="preserve">ORD-104310</t>
  </si>
  <si>
    <t xml:space="preserve">ORD-104311</t>
  </si>
  <si>
    <t xml:space="preserve">ORD-104312</t>
  </si>
  <si>
    <t xml:space="preserve">ORD-104313</t>
  </si>
  <si>
    <t xml:space="preserve">ORD-104314</t>
  </si>
  <si>
    <t xml:space="preserve">ORD-104315</t>
  </si>
  <si>
    <t xml:space="preserve">ORD-104316</t>
  </si>
  <si>
    <t xml:space="preserve">ORD-104317</t>
  </si>
  <si>
    <t xml:space="preserve">ORD-104318</t>
  </si>
  <si>
    <t xml:space="preserve">ORD-104319</t>
  </si>
  <si>
    <t xml:space="preserve">ORD-104320</t>
  </si>
  <si>
    <t xml:space="preserve">ORD-104321</t>
  </si>
  <si>
    <t xml:space="preserve">ORD-104322</t>
  </si>
  <si>
    <t xml:space="preserve">ORD-104323</t>
  </si>
  <si>
    <t xml:space="preserve">ORD-104324</t>
  </si>
  <si>
    <t xml:space="preserve">ORD-104325</t>
  </si>
  <si>
    <t xml:space="preserve">ORD-104326</t>
  </si>
  <si>
    <t xml:space="preserve">ORD-104327</t>
  </si>
  <si>
    <t xml:space="preserve">ORD-104328</t>
  </si>
  <si>
    <t xml:space="preserve">ORD-104329</t>
  </si>
  <si>
    <t xml:space="preserve">ORD-104330</t>
  </si>
  <si>
    <t xml:space="preserve">ORD-104331</t>
  </si>
  <si>
    <t xml:space="preserve">ORD-104332</t>
  </si>
  <si>
    <t xml:space="preserve">ORD-104333</t>
  </si>
  <si>
    <t xml:space="preserve">ORD-104334</t>
  </si>
  <si>
    <t xml:space="preserve">ORD-104335</t>
  </si>
  <si>
    <t xml:space="preserve">ORD-104336</t>
  </si>
  <si>
    <t xml:space="preserve">ORD-104337</t>
  </si>
  <si>
    <t xml:space="preserve">ORD-104338</t>
  </si>
  <si>
    <t xml:space="preserve">ORD-104339</t>
  </si>
  <si>
    <t xml:space="preserve">ORD-104340</t>
  </si>
  <si>
    <t xml:space="preserve">ORD-104341</t>
  </si>
  <si>
    <t xml:space="preserve">ORD-104342</t>
  </si>
  <si>
    <t xml:space="preserve">ORD-104343</t>
  </si>
  <si>
    <t xml:space="preserve">ORD-104344</t>
  </si>
  <si>
    <t xml:space="preserve">ORD-104345</t>
  </si>
  <si>
    <t xml:space="preserve">ORD-104346</t>
  </si>
  <si>
    <t xml:space="preserve">ORD-104347</t>
  </si>
  <si>
    <t xml:space="preserve">ORD-104348</t>
  </si>
  <si>
    <t xml:space="preserve">ORD-104349</t>
  </si>
  <si>
    <t xml:space="preserve">ORD-104350</t>
  </si>
  <si>
    <t xml:space="preserve">ORD-104351</t>
  </si>
  <si>
    <t xml:space="preserve">ORD-104352</t>
  </si>
  <si>
    <t xml:space="preserve">ORD-104353</t>
  </si>
  <si>
    <t xml:space="preserve">ORD-104354</t>
  </si>
  <si>
    <t xml:space="preserve">ORD-104355</t>
  </si>
  <si>
    <t xml:space="preserve">ORD-104356</t>
  </si>
  <si>
    <t xml:space="preserve">ORD-104357</t>
  </si>
  <si>
    <t xml:space="preserve">ORD-104358</t>
  </si>
  <si>
    <t xml:space="preserve">ORD-104359</t>
  </si>
  <si>
    <t xml:space="preserve">ORD-104360</t>
  </si>
  <si>
    <t xml:space="preserve">ORD-104361</t>
  </si>
  <si>
    <t xml:space="preserve">ORD-104362</t>
  </si>
  <si>
    <t xml:space="preserve">ORD-104363</t>
  </si>
  <si>
    <t xml:space="preserve">ORD-104364</t>
  </si>
  <si>
    <t xml:space="preserve">ORD-104365</t>
  </si>
  <si>
    <t xml:space="preserve">ORD-104366</t>
  </si>
  <si>
    <t xml:space="preserve">ORD-104367</t>
  </si>
  <si>
    <t xml:space="preserve">ORD-104368</t>
  </si>
  <si>
    <t xml:space="preserve">ORD-104369</t>
  </si>
  <si>
    <t xml:space="preserve">ORD-104370</t>
  </si>
  <si>
    <t xml:space="preserve">ORD-104371</t>
  </si>
  <si>
    <t xml:space="preserve">ORD-104372</t>
  </si>
  <si>
    <t xml:space="preserve">ORD-104373</t>
  </si>
  <si>
    <t xml:space="preserve">ORD-104374</t>
  </si>
  <si>
    <t xml:space="preserve">ORD-104375</t>
  </si>
  <si>
    <t xml:space="preserve">ORD-104376</t>
  </si>
  <si>
    <t xml:space="preserve">ORD-104377</t>
  </si>
  <si>
    <t xml:space="preserve">ORD-104378</t>
  </si>
  <si>
    <t xml:space="preserve">ORD-104379</t>
  </si>
  <si>
    <t xml:space="preserve">ORD-104380</t>
  </si>
  <si>
    <t xml:space="preserve">ORD-104381</t>
  </si>
  <si>
    <t xml:space="preserve">ORD-104382</t>
  </si>
  <si>
    <t xml:space="preserve">ORD-104383</t>
  </si>
  <si>
    <t xml:space="preserve">ORD-104384</t>
  </si>
  <si>
    <t xml:space="preserve">ORD-104385</t>
  </si>
  <si>
    <t xml:space="preserve">ORD-104386</t>
  </si>
  <si>
    <t xml:space="preserve">ORD-104387</t>
  </si>
  <si>
    <t xml:space="preserve">ORD-104388</t>
  </si>
  <si>
    <t xml:space="preserve">ORD-104389</t>
  </si>
  <si>
    <t xml:space="preserve">ORD-104390</t>
  </si>
  <si>
    <t xml:space="preserve">ORD-104391</t>
  </si>
  <si>
    <t xml:space="preserve">ORD-104392</t>
  </si>
  <si>
    <t xml:space="preserve">ORD-104393</t>
  </si>
  <si>
    <t xml:space="preserve">ORD-104394</t>
  </si>
  <si>
    <t xml:space="preserve">ORD-104395</t>
  </si>
  <si>
    <t xml:space="preserve">ORD-104396</t>
  </si>
  <si>
    <t xml:space="preserve">ORD-104397</t>
  </si>
  <si>
    <t xml:space="preserve">ORD-104398</t>
  </si>
  <si>
    <t xml:space="preserve">ORD-104399</t>
  </si>
  <si>
    <t xml:space="preserve">ORD-104400</t>
  </si>
  <si>
    <t xml:space="preserve">ORD-104401</t>
  </si>
  <si>
    <t xml:space="preserve">ORD-104402</t>
  </si>
  <si>
    <t xml:space="preserve">ORD-104403</t>
  </si>
  <si>
    <t xml:space="preserve">ORD-104404</t>
  </si>
  <si>
    <t xml:space="preserve">ORD-104405</t>
  </si>
  <si>
    <t xml:space="preserve">ORD-104406</t>
  </si>
  <si>
    <t xml:space="preserve">ORD-104407</t>
  </si>
  <si>
    <t xml:space="preserve">ORD-104408</t>
  </si>
  <si>
    <t xml:space="preserve">ORD-104409</t>
  </si>
  <si>
    <t xml:space="preserve">ORD-104410</t>
  </si>
  <si>
    <t xml:space="preserve">ORD-104411</t>
  </si>
  <si>
    <t xml:space="preserve">ORD-104412</t>
  </si>
  <si>
    <t xml:space="preserve">ORD-104413</t>
  </si>
  <si>
    <t xml:space="preserve">ORD-104414</t>
  </si>
  <si>
    <t xml:space="preserve">ORD-104415</t>
  </si>
  <si>
    <t xml:space="preserve">ORD-104416</t>
  </si>
  <si>
    <t xml:space="preserve">ORD-104417</t>
  </si>
  <si>
    <t xml:space="preserve">ORD-104418</t>
  </si>
  <si>
    <t xml:space="preserve">ORD-104419</t>
  </si>
  <si>
    <t xml:space="preserve">ORD-104420</t>
  </si>
  <si>
    <t xml:space="preserve">ORD-104421</t>
  </si>
  <si>
    <t xml:space="preserve">ORD-104422</t>
  </si>
  <si>
    <t xml:space="preserve">ORD-104423</t>
  </si>
  <si>
    <t xml:space="preserve">ORD-104424</t>
  </si>
  <si>
    <t xml:space="preserve">ORD-104425</t>
  </si>
  <si>
    <t xml:space="preserve">ORD-104426</t>
  </si>
  <si>
    <t xml:space="preserve">ORD-104427</t>
  </si>
  <si>
    <t xml:space="preserve">ORD-104428</t>
  </si>
  <si>
    <t xml:space="preserve">ORD-104429</t>
  </si>
  <si>
    <t xml:space="preserve">ORD-104430</t>
  </si>
  <si>
    <t xml:space="preserve">ORD-104431</t>
  </si>
  <si>
    <t xml:space="preserve">ORD-104432</t>
  </si>
  <si>
    <t xml:space="preserve">ORD-104433</t>
  </si>
  <si>
    <t xml:space="preserve">ORD-104434</t>
  </si>
  <si>
    <t xml:space="preserve">ORD-104435</t>
  </si>
  <si>
    <t xml:space="preserve">ORD-104436</t>
  </si>
  <si>
    <t xml:space="preserve">ORD-104437</t>
  </si>
  <si>
    <t xml:space="preserve">ORD-104438</t>
  </si>
  <si>
    <t xml:space="preserve">ORD-104439</t>
  </si>
  <si>
    <t xml:space="preserve">ORD-104440</t>
  </si>
  <si>
    <t xml:space="preserve">ORD-104441</t>
  </si>
  <si>
    <t xml:space="preserve">ORD-104442</t>
  </si>
  <si>
    <t xml:space="preserve">ORD-104443</t>
  </si>
  <si>
    <t xml:space="preserve">ORD-104444</t>
  </si>
  <si>
    <t xml:space="preserve">ORD-104445</t>
  </si>
  <si>
    <t xml:space="preserve">ORD-104446</t>
  </si>
  <si>
    <t xml:space="preserve">ORD-104447</t>
  </si>
  <si>
    <t xml:space="preserve">ORD-104448</t>
  </si>
  <si>
    <t xml:space="preserve">ORD-104449</t>
  </si>
  <si>
    <t xml:space="preserve">ORD-104450</t>
  </si>
  <si>
    <t xml:space="preserve">ORD-104451</t>
  </si>
  <si>
    <t xml:space="preserve">ORD-104452</t>
  </si>
  <si>
    <t xml:space="preserve">ORD-104453</t>
  </si>
  <si>
    <t xml:space="preserve">ORD-104454</t>
  </si>
  <si>
    <t xml:space="preserve">ORD-104455</t>
  </si>
  <si>
    <t xml:space="preserve">ORD-104456</t>
  </si>
  <si>
    <t xml:space="preserve">ORD-104457</t>
  </si>
  <si>
    <t xml:space="preserve">ORD-104458</t>
  </si>
  <si>
    <t xml:space="preserve">ORD-104459</t>
  </si>
  <si>
    <t xml:space="preserve">ORD-104460</t>
  </si>
  <si>
    <t xml:space="preserve">ORD-104461</t>
  </si>
  <si>
    <t xml:space="preserve">ORD-104462</t>
  </si>
  <si>
    <t xml:space="preserve">ORD-104463</t>
  </si>
  <si>
    <t xml:space="preserve">ORD-104464</t>
  </si>
  <si>
    <t xml:space="preserve">ORD-104465</t>
  </si>
  <si>
    <t xml:space="preserve">ORD-104466</t>
  </si>
  <si>
    <t xml:space="preserve">ORD-104467</t>
  </si>
  <si>
    <t xml:space="preserve">ORD-104468</t>
  </si>
  <si>
    <t xml:space="preserve">ORD-104469</t>
  </si>
  <si>
    <t xml:space="preserve">ORD-104470</t>
  </si>
  <si>
    <t xml:space="preserve">ORD-104471</t>
  </si>
  <si>
    <t xml:space="preserve">ORD-104472</t>
  </si>
  <si>
    <t xml:space="preserve">ORD-104473</t>
  </si>
  <si>
    <t xml:space="preserve">ORD-104474</t>
  </si>
  <si>
    <t xml:space="preserve">ORD-104475</t>
  </si>
  <si>
    <t xml:space="preserve">ORD-104476</t>
  </si>
  <si>
    <t xml:space="preserve">ORD-104477</t>
  </si>
  <si>
    <t xml:space="preserve">ORD-104478</t>
  </si>
  <si>
    <t xml:space="preserve">ORD-104479</t>
  </si>
  <si>
    <t xml:space="preserve">ORD-104480</t>
  </si>
  <si>
    <t xml:space="preserve">ORD-104481</t>
  </si>
  <si>
    <t xml:space="preserve">P053</t>
  </si>
  <si>
    <t xml:space="preserve">ORD-104482</t>
  </si>
  <si>
    <t xml:space="preserve">ORD-104483</t>
  </si>
  <si>
    <t xml:space="preserve">ORD-104484</t>
  </si>
  <si>
    <t xml:space="preserve">ORD-104485</t>
  </si>
  <si>
    <t xml:space="preserve">ORD-104486</t>
  </si>
  <si>
    <t xml:space="preserve">ORD-104487</t>
  </si>
  <si>
    <t xml:space="preserve">ORD-104488</t>
  </si>
  <si>
    <t xml:space="preserve">ORD-104489</t>
  </si>
  <si>
    <t xml:space="preserve">ORD-104490</t>
  </si>
  <si>
    <t xml:space="preserve">ORD-104491</t>
  </si>
  <si>
    <t xml:space="preserve">ORD-104492</t>
  </si>
  <si>
    <t xml:space="preserve">ORD-104493</t>
  </si>
  <si>
    <t xml:space="preserve">ORD-104494</t>
  </si>
  <si>
    <t xml:space="preserve">ORD-104495</t>
  </si>
  <si>
    <t xml:space="preserve">ORD-104496</t>
  </si>
  <si>
    <t xml:space="preserve">ORD-104497</t>
  </si>
  <si>
    <t xml:space="preserve">ORD-104498</t>
  </si>
  <si>
    <t xml:space="preserve">ORD-104499</t>
  </si>
  <si>
    <t xml:space="preserve">ORD-104500</t>
  </si>
  <si>
    <t xml:space="preserve">ORD-104501</t>
  </si>
  <si>
    <t xml:space="preserve">ORD-104502</t>
  </si>
  <si>
    <t xml:space="preserve">ORD-104503</t>
  </si>
  <si>
    <t xml:space="preserve">ORD-104504</t>
  </si>
  <si>
    <t xml:space="preserve">ORD-104505</t>
  </si>
  <si>
    <t xml:space="preserve">ORD-104506</t>
  </si>
  <si>
    <t xml:space="preserve">ORD-104507</t>
  </si>
  <si>
    <t xml:space="preserve">ORD-104508</t>
  </si>
  <si>
    <t xml:space="preserve">ORD-104509</t>
  </si>
  <si>
    <t xml:space="preserve">ORD-104510</t>
  </si>
  <si>
    <t xml:space="preserve">ORD-104511</t>
  </si>
  <si>
    <t xml:space="preserve">ORD-104512</t>
  </si>
  <si>
    <t xml:space="preserve">ORD-104513</t>
  </si>
  <si>
    <t xml:space="preserve">ORD-104514</t>
  </si>
  <si>
    <t xml:space="preserve">ORD-104515</t>
  </si>
  <si>
    <t xml:space="preserve">ORD-104516</t>
  </si>
  <si>
    <t xml:space="preserve">ORD-104517</t>
  </si>
  <si>
    <t xml:space="preserve">ORD-104518</t>
  </si>
  <si>
    <t xml:space="preserve">ORD-104519</t>
  </si>
  <si>
    <t xml:space="preserve">ORD-104520</t>
  </si>
  <si>
    <t xml:space="preserve">ORD-104521</t>
  </si>
  <si>
    <t xml:space="preserve">ORD-104522</t>
  </si>
  <si>
    <t xml:space="preserve">ORD-104523</t>
  </si>
  <si>
    <t xml:space="preserve">ORD-104524</t>
  </si>
  <si>
    <t xml:space="preserve">ORD-104525</t>
  </si>
  <si>
    <t xml:space="preserve">ORD-104526</t>
  </si>
  <si>
    <t xml:space="preserve">ORD-104527</t>
  </si>
  <si>
    <t xml:space="preserve">ORD-104528</t>
  </si>
  <si>
    <t xml:space="preserve">ORD-104529</t>
  </si>
  <si>
    <t xml:space="preserve">ORD-104530</t>
  </si>
  <si>
    <t xml:space="preserve">ORD-104531</t>
  </si>
  <si>
    <t xml:space="preserve">ORD-104532</t>
  </si>
  <si>
    <t xml:space="preserve">ORD-104533</t>
  </si>
  <si>
    <t xml:space="preserve">ORD-104534</t>
  </si>
  <si>
    <t xml:space="preserve">ORD-104535</t>
  </si>
  <si>
    <t xml:space="preserve">ORD-104536</t>
  </si>
  <si>
    <t xml:space="preserve">ORD-104537</t>
  </si>
  <si>
    <t xml:space="preserve">ORD-104538</t>
  </si>
  <si>
    <t xml:space="preserve">ORD-104539</t>
  </si>
  <si>
    <t xml:space="preserve">ORD-104540</t>
  </si>
  <si>
    <t xml:space="preserve">ORD-104541</t>
  </si>
  <si>
    <t xml:space="preserve">ORD-104542</t>
  </si>
  <si>
    <t xml:space="preserve">ORD-104543</t>
  </si>
  <si>
    <t xml:space="preserve">ORD-104544</t>
  </si>
  <si>
    <t xml:space="preserve">ORD-104545</t>
  </si>
  <si>
    <t xml:space="preserve">ORD-104546</t>
  </si>
  <si>
    <t xml:space="preserve">ORD-104547</t>
  </si>
  <si>
    <t xml:space="preserve">ORD-104548</t>
  </si>
  <si>
    <t xml:space="preserve">ORD-104549</t>
  </si>
  <si>
    <t xml:space="preserve">ORD-104550</t>
  </si>
  <si>
    <t xml:space="preserve">ORD-104551</t>
  </si>
  <si>
    <t xml:space="preserve">ORD-104552</t>
  </si>
  <si>
    <t xml:space="preserve">ORD-104553</t>
  </si>
  <si>
    <t xml:space="preserve">ORD-104554</t>
  </si>
  <si>
    <t xml:space="preserve">ORD-104555</t>
  </si>
  <si>
    <t xml:space="preserve">ORD-104556</t>
  </si>
  <si>
    <t xml:space="preserve">ORD-104557</t>
  </si>
  <si>
    <t xml:space="preserve">ORD-104558</t>
  </si>
  <si>
    <t xml:space="preserve">ORD-104559</t>
  </si>
  <si>
    <t xml:space="preserve">ORD-104560</t>
  </si>
  <si>
    <t xml:space="preserve">ORD-104561</t>
  </si>
  <si>
    <t xml:space="preserve">ORD-104562</t>
  </si>
  <si>
    <t xml:space="preserve">ORD-104563</t>
  </si>
  <si>
    <t xml:space="preserve">ORD-104564</t>
  </si>
  <si>
    <t xml:space="preserve">ORD-104565</t>
  </si>
  <si>
    <t xml:space="preserve">ORD-104566</t>
  </si>
  <si>
    <t xml:space="preserve">ORD-104567</t>
  </si>
  <si>
    <t xml:space="preserve">ORD-104568</t>
  </si>
  <si>
    <t xml:space="preserve">ORD-104569</t>
  </si>
  <si>
    <t xml:space="preserve">ORD-104570</t>
  </si>
  <si>
    <t xml:space="preserve">ORD-104571</t>
  </si>
  <si>
    <t xml:space="preserve">ORD-104572</t>
  </si>
  <si>
    <t xml:space="preserve">ORD-104573</t>
  </si>
  <si>
    <t xml:space="preserve">ORD-104574</t>
  </si>
  <si>
    <t xml:space="preserve">ORD-104575</t>
  </si>
  <si>
    <t xml:space="preserve">ORD-104576</t>
  </si>
  <si>
    <t xml:space="preserve">ORD-104577</t>
  </si>
  <si>
    <t xml:space="preserve">ORD-104578</t>
  </si>
  <si>
    <t xml:space="preserve">ORD-104579</t>
  </si>
  <si>
    <t xml:space="preserve">ORD-104580</t>
  </si>
  <si>
    <t xml:space="preserve">ORD-104581</t>
  </si>
  <si>
    <t xml:space="preserve">ORD-104582</t>
  </si>
  <si>
    <t xml:space="preserve">ORD-104583</t>
  </si>
  <si>
    <t xml:space="preserve">ORD-104584</t>
  </si>
  <si>
    <t xml:space="preserve">ORD-104585</t>
  </si>
  <si>
    <t xml:space="preserve">ORD-104586</t>
  </si>
  <si>
    <t xml:space="preserve">ORD-104587</t>
  </si>
  <si>
    <t xml:space="preserve">ORD-104588</t>
  </si>
  <si>
    <t xml:space="preserve">ORD-104589</t>
  </si>
  <si>
    <t xml:space="preserve">ORD-104590</t>
  </si>
  <si>
    <t xml:space="preserve">ORD-104591</t>
  </si>
  <si>
    <t xml:space="preserve">ORD-104592</t>
  </si>
  <si>
    <t xml:space="preserve">ORD-104593</t>
  </si>
  <si>
    <t xml:space="preserve">ORD-104594</t>
  </si>
  <si>
    <t xml:space="preserve">ORD-104595</t>
  </si>
  <si>
    <t xml:space="preserve">ORD-104596</t>
  </si>
  <si>
    <t xml:space="preserve">ORD-104597</t>
  </si>
  <si>
    <t xml:space="preserve">ORD-104598</t>
  </si>
  <si>
    <t xml:space="preserve">ORD-104599</t>
  </si>
  <si>
    <t xml:space="preserve">ORD-104600</t>
  </si>
  <si>
    <t xml:space="preserve">ORD-104601</t>
  </si>
  <si>
    <t xml:space="preserve">ORD-104602</t>
  </si>
  <si>
    <t xml:space="preserve">ORD-104603</t>
  </si>
  <si>
    <t xml:space="preserve">ORD-104604</t>
  </si>
  <si>
    <t xml:space="preserve">ORD-104605</t>
  </si>
  <si>
    <t xml:space="preserve">ORD-104606</t>
  </si>
  <si>
    <t xml:space="preserve">ORD-104607</t>
  </si>
  <si>
    <t xml:space="preserve">ORD-104608</t>
  </si>
  <si>
    <t xml:space="preserve">ORD-104609</t>
  </si>
  <si>
    <t xml:space="preserve">ORD-104610</t>
  </si>
  <si>
    <t xml:space="preserve">ORD-104611</t>
  </si>
  <si>
    <t xml:space="preserve">ORD-104612</t>
  </si>
  <si>
    <t xml:space="preserve">ORD-104613</t>
  </si>
  <si>
    <t xml:space="preserve">ORD-104614</t>
  </si>
  <si>
    <t xml:space="preserve">ORD-104615</t>
  </si>
  <si>
    <t xml:space="preserve">ORD-104616</t>
  </si>
  <si>
    <t xml:space="preserve">ORD-104617</t>
  </si>
  <si>
    <t xml:space="preserve">ORD-104618</t>
  </si>
  <si>
    <t xml:space="preserve">ORD-104619</t>
  </si>
  <si>
    <t xml:space="preserve">ORD-104620</t>
  </si>
  <si>
    <t xml:space="preserve">ORD-104621</t>
  </si>
  <si>
    <t xml:space="preserve">ORD-104622</t>
  </si>
  <si>
    <t xml:space="preserve">ORD-104623</t>
  </si>
  <si>
    <t xml:space="preserve">ORD-104624</t>
  </si>
  <si>
    <t xml:space="preserve">ORD-104625</t>
  </si>
  <si>
    <t xml:space="preserve">ORD-104626</t>
  </si>
  <si>
    <t xml:space="preserve">ORD-104627</t>
  </si>
  <si>
    <t xml:space="preserve">ORD-104628</t>
  </si>
  <si>
    <t xml:space="preserve">ORD-104629</t>
  </si>
  <si>
    <t xml:space="preserve">ORD-104630</t>
  </si>
  <si>
    <t xml:space="preserve">ORD-104631</t>
  </si>
  <si>
    <t xml:space="preserve">ORD-104632</t>
  </si>
  <si>
    <t xml:space="preserve">ORD-104633</t>
  </si>
  <si>
    <t xml:space="preserve">ORD-104634</t>
  </si>
  <si>
    <t xml:space="preserve">ORD-104635</t>
  </si>
  <si>
    <t xml:space="preserve">ORD-104636</t>
  </si>
  <si>
    <t xml:space="preserve">ORD-104637</t>
  </si>
  <si>
    <t xml:space="preserve">ORD-104638</t>
  </si>
  <si>
    <t xml:space="preserve">ORD-104639</t>
  </si>
  <si>
    <t xml:space="preserve">ORD-104640</t>
  </si>
  <si>
    <t xml:space="preserve">ORD-104641</t>
  </si>
  <si>
    <t xml:space="preserve">ORD-104642</t>
  </si>
  <si>
    <t xml:space="preserve">ORD-104643</t>
  </si>
  <si>
    <t xml:space="preserve">ORD-104644</t>
  </si>
  <si>
    <t xml:space="preserve">ORD-104645</t>
  </si>
  <si>
    <t xml:space="preserve">ORD-104646</t>
  </si>
  <si>
    <t xml:space="preserve">ORD-104647</t>
  </si>
  <si>
    <t xml:space="preserve">ORD-104648</t>
  </si>
  <si>
    <t xml:space="preserve">ORD-104649</t>
  </si>
  <si>
    <t xml:space="preserve">ORD-104650</t>
  </si>
  <si>
    <t xml:space="preserve">ORD-104651</t>
  </si>
  <si>
    <t xml:space="preserve">ORD-104652</t>
  </si>
  <si>
    <t xml:space="preserve">ORD-104653</t>
  </si>
  <si>
    <t xml:space="preserve">ORD-104654</t>
  </si>
  <si>
    <t xml:space="preserve">ORD-104655</t>
  </si>
  <si>
    <t xml:space="preserve">ORD-104656</t>
  </si>
  <si>
    <t xml:space="preserve">ORD-104657</t>
  </si>
  <si>
    <t xml:space="preserve">ORD-104658</t>
  </si>
  <si>
    <t xml:space="preserve">ORD-104659</t>
  </si>
  <si>
    <t xml:space="preserve">ORD-104660</t>
  </si>
  <si>
    <t xml:space="preserve">ORD-104661</t>
  </si>
  <si>
    <t xml:space="preserve">ORD-104662</t>
  </si>
  <si>
    <t xml:space="preserve">ORD-104663</t>
  </si>
  <si>
    <t xml:space="preserve">ORD-104664</t>
  </si>
  <si>
    <t xml:space="preserve">ORD-104665</t>
  </si>
  <si>
    <t xml:space="preserve">ORD-104666</t>
  </si>
  <si>
    <t xml:space="preserve">ORD-104667</t>
  </si>
  <si>
    <t xml:space="preserve">ORD-104668</t>
  </si>
  <si>
    <t xml:space="preserve">ORD-104669</t>
  </si>
  <si>
    <t xml:space="preserve">ORD-104670</t>
  </si>
  <si>
    <t xml:space="preserve">ORD-104671</t>
  </si>
  <si>
    <t xml:space="preserve">ORD-104672</t>
  </si>
  <si>
    <t xml:space="preserve">ORD-104673</t>
  </si>
  <si>
    <t xml:space="preserve">ORD-104674</t>
  </si>
  <si>
    <t xml:space="preserve">ORD-104675</t>
  </si>
  <si>
    <t xml:space="preserve">ORD-104676</t>
  </si>
  <si>
    <t xml:space="preserve">ORD-104677</t>
  </si>
  <si>
    <t xml:space="preserve">ORD-104678</t>
  </si>
  <si>
    <t xml:space="preserve">ORD-104679</t>
  </si>
  <si>
    <t xml:space="preserve">ORD-104680</t>
  </si>
  <si>
    <t xml:space="preserve">ORD-104681</t>
  </si>
  <si>
    <t xml:space="preserve">ORD-104682</t>
  </si>
  <si>
    <t xml:space="preserve">ORD-104683</t>
  </si>
  <si>
    <t xml:space="preserve">ORD-104684</t>
  </si>
  <si>
    <t xml:space="preserve">ORD-104685</t>
  </si>
  <si>
    <t xml:space="preserve">ORD-104686</t>
  </si>
  <si>
    <t xml:space="preserve">ORD-104687</t>
  </si>
  <si>
    <t xml:space="preserve">ORD-104688</t>
  </si>
  <si>
    <t xml:space="preserve">ORD-104689</t>
  </si>
  <si>
    <t xml:space="preserve">ORD-104690</t>
  </si>
  <si>
    <t xml:space="preserve">ORD-104691</t>
  </si>
  <si>
    <t xml:space="preserve">ORD-104692</t>
  </si>
  <si>
    <t xml:space="preserve">ORD-104693</t>
  </si>
  <si>
    <t xml:space="preserve">ORD-104694</t>
  </si>
  <si>
    <t xml:space="preserve">ORD-104695</t>
  </si>
  <si>
    <t xml:space="preserve">ORD-104696</t>
  </si>
  <si>
    <t xml:space="preserve">ORD-104697</t>
  </si>
  <si>
    <t xml:space="preserve">ORD-104698</t>
  </si>
  <si>
    <t xml:space="preserve">ORD-104699</t>
  </si>
  <si>
    <t xml:space="preserve">ORD-104700</t>
  </si>
  <si>
    <t xml:space="preserve">ORD-104701</t>
  </si>
  <si>
    <t xml:space="preserve">ORD-104702</t>
  </si>
  <si>
    <t xml:space="preserve">ORD-104703</t>
  </si>
  <si>
    <t xml:space="preserve">ORD-104704</t>
  </si>
  <si>
    <t xml:space="preserve">ORD-104705</t>
  </si>
  <si>
    <t xml:space="preserve">ORD-104706</t>
  </si>
  <si>
    <t xml:space="preserve">ORD-104707</t>
  </si>
  <si>
    <t xml:space="preserve">ORD-104708</t>
  </si>
  <si>
    <t xml:space="preserve">ORD-104709</t>
  </si>
  <si>
    <t xml:space="preserve">ORD-104710</t>
  </si>
  <si>
    <t xml:space="preserve">ORD-104711</t>
  </si>
  <si>
    <t xml:space="preserve">ORD-104712</t>
  </si>
  <si>
    <t xml:space="preserve">ORD-104713</t>
  </si>
  <si>
    <t xml:space="preserve">ORD-104714</t>
  </si>
  <si>
    <t xml:space="preserve">ORD-104715</t>
  </si>
  <si>
    <t xml:space="preserve">ORD-104716</t>
  </si>
  <si>
    <t xml:space="preserve">ORD-104717</t>
  </si>
  <si>
    <t xml:space="preserve">ORD-104718</t>
  </si>
  <si>
    <t xml:space="preserve">ORD-104719</t>
  </si>
  <si>
    <t xml:space="preserve">ORD-104720</t>
  </si>
  <si>
    <t xml:space="preserve">ORD-104721</t>
  </si>
  <si>
    <t xml:space="preserve">ORD-104722</t>
  </si>
  <si>
    <t xml:space="preserve">ORD-104723</t>
  </si>
  <si>
    <t xml:space="preserve">ORD-104724</t>
  </si>
  <si>
    <t xml:space="preserve">ORD-104725</t>
  </si>
  <si>
    <t xml:space="preserve">ORD-104726</t>
  </si>
  <si>
    <t xml:space="preserve">ORD-104727</t>
  </si>
  <si>
    <t xml:space="preserve">ORD-104728</t>
  </si>
  <si>
    <t xml:space="preserve">ORD-104729</t>
  </si>
  <si>
    <t xml:space="preserve">ORD-104730</t>
  </si>
  <si>
    <t xml:space="preserve">ORD-104731</t>
  </si>
  <si>
    <t xml:space="preserve">ORD-104732</t>
  </si>
  <si>
    <t xml:space="preserve">ORD-104733</t>
  </si>
  <si>
    <t xml:space="preserve">ORD-104734</t>
  </si>
  <si>
    <t xml:space="preserve">ORD-104735</t>
  </si>
  <si>
    <t xml:space="preserve">ORD-104736</t>
  </si>
  <si>
    <t xml:space="preserve">ORD-104737</t>
  </si>
  <si>
    <t xml:space="preserve">ORD-104738</t>
  </si>
  <si>
    <t xml:space="preserve">ORD-104739</t>
  </si>
  <si>
    <t xml:space="preserve">ORD-104740</t>
  </si>
  <si>
    <t xml:space="preserve">ORD-104741</t>
  </si>
  <si>
    <t xml:space="preserve">ORD-104742</t>
  </si>
  <si>
    <t xml:space="preserve">ORD-104743</t>
  </si>
  <si>
    <t xml:space="preserve">ORD-104744</t>
  </si>
  <si>
    <t xml:space="preserve">ORD-104745</t>
  </si>
  <si>
    <t xml:space="preserve">ORD-104746</t>
  </si>
  <si>
    <t xml:space="preserve">ORD-104747</t>
  </si>
  <si>
    <t xml:space="preserve">ORD-104748</t>
  </si>
  <si>
    <t xml:space="preserve">ORD-104749</t>
  </si>
  <si>
    <t xml:space="preserve">ORD-104750</t>
  </si>
  <si>
    <t xml:space="preserve">ORD-104751</t>
  </si>
  <si>
    <t xml:space="preserve">ORD-104752</t>
  </si>
  <si>
    <t xml:space="preserve">ORD-104753</t>
  </si>
  <si>
    <t xml:space="preserve">ORD-104754</t>
  </si>
  <si>
    <t xml:space="preserve">ORD-104755</t>
  </si>
  <si>
    <t xml:space="preserve">ORD-104756</t>
  </si>
  <si>
    <t xml:space="preserve">ORD-104757</t>
  </si>
  <si>
    <t xml:space="preserve">ORD-104758</t>
  </si>
  <si>
    <t xml:space="preserve">ORD-104759</t>
  </si>
  <si>
    <t xml:space="preserve">ORD-104760</t>
  </si>
  <si>
    <t xml:space="preserve">ORD-104761</t>
  </si>
  <si>
    <t xml:space="preserve">ORD-104762</t>
  </si>
  <si>
    <t xml:space="preserve">ORD-104763</t>
  </si>
  <si>
    <t xml:space="preserve">ORD-104764</t>
  </si>
  <si>
    <t xml:space="preserve">ORD-104765</t>
  </si>
  <si>
    <t xml:space="preserve">ORD-104766</t>
  </si>
  <si>
    <t xml:space="preserve">ORD-104767</t>
  </si>
  <si>
    <t xml:space="preserve">ORD-104768</t>
  </si>
  <si>
    <t xml:space="preserve">ORD-104769</t>
  </si>
  <si>
    <t xml:space="preserve">ORD-104770</t>
  </si>
  <si>
    <t xml:space="preserve">ORD-104771</t>
  </si>
  <si>
    <t xml:space="preserve">ORD-104772</t>
  </si>
  <si>
    <t xml:space="preserve">ORD-104773</t>
  </si>
  <si>
    <t xml:space="preserve">ORD-104774</t>
  </si>
  <si>
    <t xml:space="preserve">ORD-104775</t>
  </si>
  <si>
    <t xml:space="preserve">ORD-104776</t>
  </si>
  <si>
    <t xml:space="preserve">ORD-104777</t>
  </si>
  <si>
    <t xml:space="preserve">ORD-104778</t>
  </si>
  <si>
    <t xml:space="preserve">ORD-104779</t>
  </si>
  <si>
    <t xml:space="preserve">ORD-104780</t>
  </si>
  <si>
    <t xml:space="preserve">ORD-104781</t>
  </si>
  <si>
    <t xml:space="preserve">ORD-104782</t>
  </si>
  <si>
    <t xml:space="preserve">ORD-104783</t>
  </si>
  <si>
    <t xml:space="preserve">ORD-104784</t>
  </si>
  <si>
    <t xml:space="preserve">ORD-104785</t>
  </si>
  <si>
    <t xml:space="preserve">ORD-104786</t>
  </si>
  <si>
    <t xml:space="preserve">ORD-104787</t>
  </si>
  <si>
    <t xml:space="preserve">ORD-104788</t>
  </si>
  <si>
    <t xml:space="preserve">ORD-104789</t>
  </si>
  <si>
    <t xml:space="preserve">ORD-104790</t>
  </si>
  <si>
    <t xml:space="preserve">ORD-104791</t>
  </si>
  <si>
    <t xml:space="preserve">ORD-104792</t>
  </si>
  <si>
    <t xml:space="preserve">ORD-104793</t>
  </si>
  <si>
    <t xml:space="preserve">ORD-104794</t>
  </si>
  <si>
    <t xml:space="preserve">ORD-104795</t>
  </si>
  <si>
    <t xml:space="preserve">ORD-104796</t>
  </si>
  <si>
    <t xml:space="preserve">ORD-104797</t>
  </si>
  <si>
    <t xml:space="preserve">ORD-104798</t>
  </si>
  <si>
    <t xml:space="preserve">ORD-104799</t>
  </si>
  <si>
    <t xml:space="preserve">ORD-104800</t>
  </si>
  <si>
    <t xml:space="preserve">ORD-104801</t>
  </si>
  <si>
    <t xml:space="preserve">ORD-104802</t>
  </si>
  <si>
    <t xml:space="preserve">ORD-104803</t>
  </si>
  <si>
    <t xml:space="preserve">ORD-104804</t>
  </si>
  <si>
    <t xml:space="preserve">ORD-104805</t>
  </si>
  <si>
    <t xml:space="preserve">ORD-104806</t>
  </si>
  <si>
    <t xml:space="preserve">ORD-104807</t>
  </si>
  <si>
    <t xml:space="preserve">ORD-104808</t>
  </si>
  <si>
    <t xml:space="preserve">ORD-104809</t>
  </si>
  <si>
    <t xml:space="preserve">ORD-104810</t>
  </si>
  <si>
    <t xml:space="preserve">ORD-104811</t>
  </si>
  <si>
    <t xml:space="preserve">ORD-104812</t>
  </si>
  <si>
    <t xml:space="preserve">ORD-104813</t>
  </si>
  <si>
    <t xml:space="preserve">ORD-104814</t>
  </si>
  <si>
    <t xml:space="preserve">ORD-104815</t>
  </si>
  <si>
    <t xml:space="preserve">ORD-104816</t>
  </si>
  <si>
    <t xml:space="preserve">ORD-104817</t>
  </si>
  <si>
    <t xml:space="preserve">ORD-104818</t>
  </si>
  <si>
    <t xml:space="preserve">ORD-104819</t>
  </si>
  <si>
    <t xml:space="preserve">ORD-104820</t>
  </si>
  <si>
    <t xml:space="preserve">ORD-104821</t>
  </si>
  <si>
    <t xml:space="preserve">ORD-104822</t>
  </si>
  <si>
    <t xml:space="preserve">ORD-104823</t>
  </si>
  <si>
    <t xml:space="preserve">ORD-104824</t>
  </si>
  <si>
    <t xml:space="preserve">ORD-104825</t>
  </si>
  <si>
    <t xml:space="preserve">ORD-104826</t>
  </si>
  <si>
    <t xml:space="preserve">ORD-104827</t>
  </si>
  <si>
    <t xml:space="preserve">ORD-104828</t>
  </si>
  <si>
    <t xml:space="preserve">ORD-104829</t>
  </si>
  <si>
    <t xml:space="preserve">ORD-104830</t>
  </si>
  <si>
    <t xml:space="preserve">ORD-104831</t>
  </si>
  <si>
    <t xml:space="preserve">ORD-104832</t>
  </si>
  <si>
    <t xml:space="preserve">ORD-104833</t>
  </si>
  <si>
    <t xml:space="preserve">ORD-104834</t>
  </si>
  <si>
    <t xml:space="preserve">ORD-104835</t>
  </si>
  <si>
    <t xml:space="preserve">ORD-104836</t>
  </si>
  <si>
    <t xml:space="preserve">ORD-104837</t>
  </si>
  <si>
    <t xml:space="preserve">ORD-104838</t>
  </si>
  <si>
    <t xml:space="preserve">ORD-104839</t>
  </si>
  <si>
    <t xml:space="preserve">ORD-104840</t>
  </si>
  <si>
    <t xml:space="preserve">ORD-104841</t>
  </si>
  <si>
    <t xml:space="preserve">ORD-104842</t>
  </si>
  <si>
    <t xml:space="preserve">ORD-104843</t>
  </si>
  <si>
    <t xml:space="preserve">ORD-104844</t>
  </si>
  <si>
    <t xml:space="preserve">ORD-104845</t>
  </si>
  <si>
    <t xml:space="preserve">ORD-104846</t>
  </si>
  <si>
    <t xml:space="preserve">ORD-104847</t>
  </si>
  <si>
    <t xml:space="preserve">ORD-104848</t>
  </si>
  <si>
    <t xml:space="preserve">ORD-104849</t>
  </si>
  <si>
    <t xml:space="preserve">ORD-104850</t>
  </si>
  <si>
    <t xml:space="preserve">ORD-104851</t>
  </si>
  <si>
    <t xml:space="preserve">ORD-104852</t>
  </si>
  <si>
    <t xml:space="preserve">ORD-104853</t>
  </si>
  <si>
    <t xml:space="preserve">ORD-104854</t>
  </si>
  <si>
    <t xml:space="preserve">ORD-104855</t>
  </si>
  <si>
    <t xml:space="preserve">ORD-104856</t>
  </si>
  <si>
    <t xml:space="preserve">ORD-104857</t>
  </si>
  <si>
    <t xml:space="preserve">ORD-104858</t>
  </si>
  <si>
    <t xml:space="preserve">ORD-104859</t>
  </si>
  <si>
    <t xml:space="preserve">ORD-104860</t>
  </si>
  <si>
    <t xml:space="preserve">ORD-104861</t>
  </si>
  <si>
    <t xml:space="preserve">ORD-104862</t>
  </si>
  <si>
    <t xml:space="preserve">ORD-104863</t>
  </si>
  <si>
    <t xml:space="preserve">ORD-104864</t>
  </si>
  <si>
    <t xml:space="preserve">ORD-104865</t>
  </si>
  <si>
    <t xml:space="preserve">ORD-104866</t>
  </si>
  <si>
    <t xml:space="preserve">ORD-104867</t>
  </si>
  <si>
    <t xml:space="preserve">ORD-104868</t>
  </si>
  <si>
    <t xml:space="preserve">ORD-104869</t>
  </si>
  <si>
    <t xml:space="preserve">ORD-104870</t>
  </si>
  <si>
    <t xml:space="preserve">ORD-104871</t>
  </si>
  <si>
    <t xml:space="preserve">ORD-104872</t>
  </si>
  <si>
    <t xml:space="preserve">ORD-104873</t>
  </si>
  <si>
    <t xml:space="preserve">ORD-104874</t>
  </si>
  <si>
    <t xml:space="preserve">ORD-104875</t>
  </si>
  <si>
    <t xml:space="preserve">ORD-104876</t>
  </si>
  <si>
    <t xml:space="preserve">ORD-104877</t>
  </si>
  <si>
    <t xml:space="preserve">ORD-104878</t>
  </si>
  <si>
    <t xml:space="preserve">ORD-104879</t>
  </si>
  <si>
    <t xml:space="preserve">ORD-104880</t>
  </si>
  <si>
    <t xml:space="preserve">ORD-104881</t>
  </si>
  <si>
    <t xml:space="preserve">ORD-104882</t>
  </si>
  <si>
    <t xml:space="preserve">ORD-104883</t>
  </si>
  <si>
    <t xml:space="preserve">ORD-104884</t>
  </si>
  <si>
    <t xml:space="preserve">ORD-104885</t>
  </si>
  <si>
    <t xml:space="preserve">ORD-104886</t>
  </si>
  <si>
    <t xml:space="preserve">ORD-104887</t>
  </si>
  <si>
    <t xml:space="preserve">ORD-104888</t>
  </si>
  <si>
    <t xml:space="preserve">ORD-104889</t>
  </si>
  <si>
    <t xml:space="preserve">ORD-104890</t>
  </si>
  <si>
    <t xml:space="preserve">ORD-104891</t>
  </si>
  <si>
    <t xml:space="preserve">ORD-104892</t>
  </si>
  <si>
    <t xml:space="preserve">ORD-104893</t>
  </si>
  <si>
    <t xml:space="preserve">ORD-104894</t>
  </si>
  <si>
    <t xml:space="preserve">ORD-104895</t>
  </si>
  <si>
    <t xml:space="preserve">ORD-104896</t>
  </si>
  <si>
    <t xml:space="preserve">ORD-104897</t>
  </si>
  <si>
    <t xml:space="preserve">ORD-104898</t>
  </si>
  <si>
    <t xml:space="preserve">ORD-104899</t>
  </si>
  <si>
    <t xml:space="preserve">ORD-104900</t>
  </si>
  <si>
    <t xml:space="preserve">ORD-104901</t>
  </si>
  <si>
    <t xml:space="preserve">ORD-104902</t>
  </si>
  <si>
    <t xml:space="preserve">ORD-104903</t>
  </si>
  <si>
    <t xml:space="preserve">ORD-104904</t>
  </si>
  <si>
    <t xml:space="preserve">ORD-104905</t>
  </si>
  <si>
    <t xml:space="preserve">ORD-104906</t>
  </si>
  <si>
    <t xml:space="preserve">ORD-104907</t>
  </si>
  <si>
    <t xml:space="preserve">ORD-104908</t>
  </si>
  <si>
    <t xml:space="preserve">ORD-104909</t>
  </si>
  <si>
    <t xml:space="preserve">ORD-104910</t>
  </si>
  <si>
    <t xml:space="preserve">ORD-104911</t>
  </si>
  <si>
    <t xml:space="preserve">ORD-104912</t>
  </si>
  <si>
    <t xml:space="preserve">ORD-104913</t>
  </si>
  <si>
    <t xml:space="preserve">ORD-104914</t>
  </si>
  <si>
    <t xml:space="preserve">ORD-104915</t>
  </si>
  <si>
    <t xml:space="preserve">ORD-104916</t>
  </si>
  <si>
    <t xml:space="preserve">ORD-104917</t>
  </si>
  <si>
    <t xml:space="preserve">ORD-104918</t>
  </si>
  <si>
    <t xml:space="preserve">ORD-104919</t>
  </si>
  <si>
    <t xml:space="preserve">ORD-104920</t>
  </si>
  <si>
    <t xml:space="preserve">ORD-104921</t>
  </si>
  <si>
    <t xml:space="preserve">ORD-104922</t>
  </si>
  <si>
    <t xml:space="preserve">ORD-104923</t>
  </si>
  <si>
    <t xml:space="preserve">ORD-104924</t>
  </si>
  <si>
    <t xml:space="preserve">ORD-104925</t>
  </si>
  <si>
    <t xml:space="preserve">ORD-104926</t>
  </si>
  <si>
    <t xml:space="preserve">ORD-104927</t>
  </si>
  <si>
    <t xml:space="preserve">ORD-104928</t>
  </si>
  <si>
    <t xml:space="preserve">ORD-104929</t>
  </si>
  <si>
    <t xml:space="preserve">ORD-104930</t>
  </si>
  <si>
    <t xml:space="preserve">ORD-104931</t>
  </si>
  <si>
    <t xml:space="preserve">ORD-104932</t>
  </si>
  <si>
    <t xml:space="preserve">ORD-104933</t>
  </si>
  <si>
    <t xml:space="preserve">ORD-104934</t>
  </si>
  <si>
    <t xml:space="preserve">ORD-104935</t>
  </si>
  <si>
    <t xml:space="preserve">ORD-104936</t>
  </si>
  <si>
    <t xml:space="preserve">ORD-104937</t>
  </si>
  <si>
    <t xml:space="preserve">ORD-104938</t>
  </si>
  <si>
    <t xml:space="preserve">ORD-104939</t>
  </si>
  <si>
    <t xml:space="preserve">ORD-104940</t>
  </si>
  <si>
    <t xml:space="preserve">ORD-104941</t>
  </si>
  <si>
    <t xml:space="preserve">ORD-104942</t>
  </si>
  <si>
    <t xml:space="preserve">ORD-104943</t>
  </si>
  <si>
    <t xml:space="preserve">ORD-104944</t>
  </si>
  <si>
    <t xml:space="preserve">ORD-104945</t>
  </si>
  <si>
    <t xml:space="preserve">ORD-104946</t>
  </si>
  <si>
    <t xml:space="preserve">ORD-104947</t>
  </si>
  <si>
    <t xml:space="preserve">ORD-104948</t>
  </si>
  <si>
    <t xml:space="preserve">ORD-104949</t>
  </si>
  <si>
    <t xml:space="preserve">ORD-104950</t>
  </si>
  <si>
    <t xml:space="preserve">ORD-104951</t>
  </si>
  <si>
    <t xml:space="preserve">ORD-104952</t>
  </si>
  <si>
    <t xml:space="preserve">ORD-104953</t>
  </si>
  <si>
    <t xml:space="preserve">ORD-104954</t>
  </si>
  <si>
    <t xml:space="preserve">ORD-104955</t>
  </si>
  <si>
    <t xml:space="preserve">ORD-104956</t>
  </si>
  <si>
    <t xml:space="preserve">ORD-104957</t>
  </si>
  <si>
    <t xml:space="preserve">ORD-104958</t>
  </si>
  <si>
    <t xml:space="preserve">ORD-104959</t>
  </si>
  <si>
    <t xml:space="preserve">ORD-104960</t>
  </si>
  <si>
    <t xml:space="preserve">ORD-104961</t>
  </si>
  <si>
    <t xml:space="preserve">ORD-104962</t>
  </si>
  <si>
    <t xml:space="preserve">ORD-104963</t>
  </si>
  <si>
    <t xml:space="preserve">ORD-104964</t>
  </si>
  <si>
    <t xml:space="preserve">ORD-104965</t>
  </si>
  <si>
    <t xml:space="preserve">ORD-104966</t>
  </si>
  <si>
    <t xml:space="preserve">ORD-104967</t>
  </si>
  <si>
    <t xml:space="preserve">ORD-104968</t>
  </si>
  <si>
    <t xml:space="preserve">ORD-104969</t>
  </si>
  <si>
    <t xml:space="preserve">ORD-104970</t>
  </si>
  <si>
    <t xml:space="preserve">ORD-104971</t>
  </si>
  <si>
    <t xml:space="preserve">ORD-104972</t>
  </si>
  <si>
    <t xml:space="preserve">ORD-104973</t>
  </si>
  <si>
    <t xml:space="preserve">ORD-104974</t>
  </si>
  <si>
    <t xml:space="preserve">ORD-104975</t>
  </si>
  <si>
    <t xml:space="preserve">ORD-104976</t>
  </si>
  <si>
    <t xml:space="preserve">ORD-104977</t>
  </si>
  <si>
    <t xml:space="preserve">ORD-104978</t>
  </si>
  <si>
    <t xml:space="preserve">ORD-104979</t>
  </si>
  <si>
    <t xml:space="preserve">ORD-104980</t>
  </si>
  <si>
    <t xml:space="preserve">ORD-104981</t>
  </si>
  <si>
    <t xml:space="preserve">ORD-104982</t>
  </si>
  <si>
    <t xml:space="preserve">ORD-104983</t>
  </si>
  <si>
    <t xml:space="preserve">ORD-104984</t>
  </si>
  <si>
    <t xml:space="preserve">ORD-104985</t>
  </si>
  <si>
    <t xml:space="preserve">ORD-104986</t>
  </si>
  <si>
    <t xml:space="preserve">ORD-104987</t>
  </si>
  <si>
    <t xml:space="preserve">ORD-104988</t>
  </si>
  <si>
    <t xml:space="preserve">ORD-104989</t>
  </si>
  <si>
    <t xml:space="preserve">ORD-104990</t>
  </si>
  <si>
    <t xml:space="preserve">ORD-104991</t>
  </si>
  <si>
    <t xml:space="preserve">ORD-104992</t>
  </si>
  <si>
    <t xml:space="preserve">ORD-104993</t>
  </si>
  <si>
    <t xml:space="preserve">ORD-104994</t>
  </si>
  <si>
    <t xml:space="preserve">ORD-104995</t>
  </si>
  <si>
    <t xml:space="preserve">ORD-104996</t>
  </si>
  <si>
    <t xml:space="preserve">ORD-104997</t>
  </si>
  <si>
    <t xml:space="preserve">ORD-104998</t>
  </si>
  <si>
    <t xml:space="preserve">ORD-104999</t>
  </si>
  <si>
    <t xml:space="preserve">ORD-105000</t>
  </si>
  <si>
    <t xml:space="preserve">ORD-105001</t>
  </si>
  <si>
    <t xml:space="preserve">ORD-105002</t>
  </si>
  <si>
    <t xml:space="preserve">ORD-105003</t>
  </si>
  <si>
    <t xml:space="preserve">ORD-105004</t>
  </si>
  <si>
    <t xml:space="preserve">ORD-105005</t>
  </si>
  <si>
    <t xml:space="preserve">ORD-105006</t>
  </si>
  <si>
    <t xml:space="preserve">ORD-105007</t>
  </si>
  <si>
    <t xml:space="preserve">ORD-105008</t>
  </si>
  <si>
    <t xml:space="preserve">ORD-105009</t>
  </si>
  <si>
    <t xml:space="preserve">ORD-105010</t>
  </si>
  <si>
    <t xml:space="preserve">ORD-105011</t>
  </si>
  <si>
    <t xml:space="preserve">ORD-105012</t>
  </si>
  <si>
    <t xml:space="preserve">ORD-105013</t>
  </si>
  <si>
    <t xml:space="preserve">ORD-105014</t>
  </si>
  <si>
    <t xml:space="preserve">ORD-105015</t>
  </si>
  <si>
    <t xml:space="preserve">ORD-105016</t>
  </si>
  <si>
    <t xml:space="preserve">ORD-105017</t>
  </si>
  <si>
    <t xml:space="preserve">ORD-105018</t>
  </si>
  <si>
    <t xml:space="preserve">ORD-105019</t>
  </si>
  <si>
    <t xml:space="preserve">ORD-105020</t>
  </si>
  <si>
    <t xml:space="preserve">ORD-105021</t>
  </si>
  <si>
    <t xml:space="preserve">ORD-105022</t>
  </si>
  <si>
    <t xml:space="preserve">ORD-105023</t>
  </si>
  <si>
    <t xml:space="preserve">ORD-105024</t>
  </si>
  <si>
    <t xml:space="preserve">ORD-105025</t>
  </si>
  <si>
    <t xml:space="preserve">ORD-105026</t>
  </si>
  <si>
    <t xml:space="preserve">ORD-105027</t>
  </si>
  <si>
    <t xml:space="preserve">ORD-105028</t>
  </si>
  <si>
    <t xml:space="preserve">ORD-105029</t>
  </si>
  <si>
    <t xml:space="preserve">ORD-105030</t>
  </si>
  <si>
    <t xml:space="preserve">ORD-105031</t>
  </si>
  <si>
    <t xml:space="preserve">ORD-105032</t>
  </si>
  <si>
    <t xml:space="preserve">ORD-105033</t>
  </si>
  <si>
    <t xml:space="preserve">ORD-105034</t>
  </si>
  <si>
    <t xml:space="preserve">ORD-105035</t>
  </si>
  <si>
    <t xml:space="preserve">ORD-105036</t>
  </si>
  <si>
    <t xml:space="preserve">ORD-105037</t>
  </si>
  <si>
    <t xml:space="preserve">ORD-105038</t>
  </si>
  <si>
    <t xml:space="preserve">ORD-105039</t>
  </si>
  <si>
    <t xml:space="preserve">ORD-105040</t>
  </si>
  <si>
    <t xml:space="preserve">ORD-105041</t>
  </si>
  <si>
    <t xml:space="preserve">ORD-105042</t>
  </si>
  <si>
    <t xml:space="preserve">ORD-105043</t>
  </si>
  <si>
    <t xml:space="preserve">ORD-105044</t>
  </si>
  <si>
    <t xml:space="preserve">ORD-105045</t>
  </si>
  <si>
    <t xml:space="preserve">ORD-105046</t>
  </si>
  <si>
    <t xml:space="preserve">ORD-105047</t>
  </si>
  <si>
    <t xml:space="preserve">ORD-105048</t>
  </si>
  <si>
    <t xml:space="preserve">ORD-105049</t>
  </si>
  <si>
    <t xml:space="preserve">ORD-105050</t>
  </si>
  <si>
    <t xml:space="preserve">ORD-105051</t>
  </si>
  <si>
    <t xml:space="preserve">ORD-105052</t>
  </si>
  <si>
    <t xml:space="preserve">ORD-105053</t>
  </si>
  <si>
    <t xml:space="preserve">ORD-105054</t>
  </si>
  <si>
    <t xml:space="preserve">ORD-105055</t>
  </si>
  <si>
    <t xml:space="preserve">ORD-105056</t>
  </si>
  <si>
    <t xml:space="preserve">ORD-105057</t>
  </si>
  <si>
    <t xml:space="preserve">ORD-105058</t>
  </si>
  <si>
    <t xml:space="preserve">ORD-105059</t>
  </si>
  <si>
    <t xml:space="preserve">ORD-105060</t>
  </si>
  <si>
    <t xml:space="preserve">ORD-105061</t>
  </si>
  <si>
    <t xml:space="preserve">ORD-105062</t>
  </si>
  <si>
    <t xml:space="preserve">ORD-105063</t>
  </si>
  <si>
    <t xml:space="preserve">ORD-105064</t>
  </si>
  <si>
    <t xml:space="preserve">ORD-105065</t>
  </si>
  <si>
    <t xml:space="preserve">ORD-105066</t>
  </si>
  <si>
    <t xml:space="preserve">ORD-105067</t>
  </si>
  <si>
    <t xml:space="preserve">ORD-105068</t>
  </si>
  <si>
    <t xml:space="preserve">ORD-105069</t>
  </si>
  <si>
    <t xml:space="preserve">ORD-105070</t>
  </si>
  <si>
    <t xml:space="preserve">ORD-105071</t>
  </si>
  <si>
    <t xml:space="preserve">ORD-105072</t>
  </si>
  <si>
    <t xml:space="preserve">ORD-105073</t>
  </si>
  <si>
    <t xml:space="preserve">ORD-105074</t>
  </si>
  <si>
    <t xml:space="preserve">ORD-105075</t>
  </si>
  <si>
    <t xml:space="preserve">ORD-105076</t>
  </si>
  <si>
    <t xml:space="preserve">ORD-105077</t>
  </si>
  <si>
    <t xml:space="preserve">ORD-105078</t>
  </si>
  <si>
    <t xml:space="preserve">ORD-105079</t>
  </si>
  <si>
    <t xml:space="preserve">ORD-105080</t>
  </si>
  <si>
    <t xml:space="preserve">ORD-105081</t>
  </si>
  <si>
    <t xml:space="preserve">ORD-105082</t>
  </si>
  <si>
    <t xml:space="preserve">ORD-105083</t>
  </si>
  <si>
    <t xml:space="preserve">ORD-105084</t>
  </si>
  <si>
    <t xml:space="preserve">ORD-105085</t>
  </si>
  <si>
    <t xml:space="preserve">ORD-105086</t>
  </si>
  <si>
    <t xml:space="preserve">ORD-105087</t>
  </si>
  <si>
    <t xml:space="preserve">ORD-105088</t>
  </si>
  <si>
    <t xml:space="preserve">ORD-105089</t>
  </si>
  <si>
    <t xml:space="preserve">ORD-105090</t>
  </si>
  <si>
    <t xml:space="preserve">ORD-105091</t>
  </si>
  <si>
    <t xml:space="preserve">ORD-105092</t>
  </si>
  <si>
    <t xml:space="preserve">ORD-105093</t>
  </si>
  <si>
    <t xml:space="preserve">ORD-105094</t>
  </si>
  <si>
    <t xml:space="preserve">ORD-105095</t>
  </si>
  <si>
    <t xml:space="preserve">ORD-105096</t>
  </si>
  <si>
    <t xml:space="preserve">ORD-105097</t>
  </si>
  <si>
    <t xml:space="preserve">ORD-105098</t>
  </si>
  <si>
    <t xml:space="preserve">ORD-105099</t>
  </si>
  <si>
    <t xml:space="preserve">ORD-105100</t>
  </si>
  <si>
    <t xml:space="preserve">ORD-105101</t>
  </si>
  <si>
    <t xml:space="preserve">ORD-105102</t>
  </si>
  <si>
    <t xml:space="preserve">ORD-105103</t>
  </si>
  <si>
    <t xml:space="preserve">ORD-105104</t>
  </si>
  <si>
    <t xml:space="preserve">ORD-105105</t>
  </si>
  <si>
    <t xml:space="preserve">ORD-105106</t>
  </si>
  <si>
    <t xml:space="preserve">ORD-105107</t>
  </si>
  <si>
    <t xml:space="preserve">ORD-105108</t>
  </si>
  <si>
    <t xml:space="preserve">ORD-105109</t>
  </si>
  <si>
    <t xml:space="preserve">ORD-105110</t>
  </si>
  <si>
    <t xml:space="preserve">ORD-105111</t>
  </si>
  <si>
    <t xml:space="preserve">ORD-105112</t>
  </si>
  <si>
    <t xml:space="preserve">ORD-105113</t>
  </si>
  <si>
    <t xml:space="preserve">ORD-105114</t>
  </si>
  <si>
    <t xml:space="preserve">ORD-105115</t>
  </si>
  <si>
    <t xml:space="preserve">ORD-105116</t>
  </si>
  <si>
    <t xml:space="preserve">ORD-105117</t>
  </si>
  <si>
    <t xml:space="preserve">ORD-105118</t>
  </si>
  <si>
    <t xml:space="preserve">ORD-105119</t>
  </si>
  <si>
    <t xml:space="preserve">ORD-105120</t>
  </si>
  <si>
    <t xml:space="preserve">ORD-105121</t>
  </si>
  <si>
    <t xml:space="preserve">ORD-105122</t>
  </si>
  <si>
    <t xml:space="preserve">ORD-105123</t>
  </si>
  <si>
    <t xml:space="preserve">ORD-105124</t>
  </si>
  <si>
    <t xml:space="preserve">ORD-105125</t>
  </si>
  <si>
    <t xml:space="preserve">ORD-105126</t>
  </si>
  <si>
    <t xml:space="preserve">ORD-105127</t>
  </si>
  <si>
    <t xml:space="preserve">ORD-105128</t>
  </si>
  <si>
    <t xml:space="preserve">ORD-105129</t>
  </si>
  <si>
    <t xml:space="preserve">ORD-105130</t>
  </si>
  <si>
    <t xml:space="preserve">ORD-105131</t>
  </si>
  <si>
    <t xml:space="preserve">ORD-105132</t>
  </si>
  <si>
    <t xml:space="preserve">ORD-105133</t>
  </si>
  <si>
    <t xml:space="preserve">ORD-105134</t>
  </si>
  <si>
    <t xml:space="preserve">ORD-105135</t>
  </si>
  <si>
    <t xml:space="preserve">ORD-105136</t>
  </si>
  <si>
    <t xml:space="preserve">ORD-105137</t>
  </si>
  <si>
    <t xml:space="preserve">ORD-105138</t>
  </si>
  <si>
    <t xml:space="preserve">ORD-105139</t>
  </si>
  <si>
    <t xml:space="preserve">ORD-105140</t>
  </si>
  <si>
    <t xml:space="preserve">ORD-105141</t>
  </si>
  <si>
    <t xml:space="preserve">ORD-105142</t>
  </si>
  <si>
    <t xml:space="preserve">ORD-105143</t>
  </si>
  <si>
    <t xml:space="preserve">ORD-105144</t>
  </si>
  <si>
    <t xml:space="preserve">ORD-105145</t>
  </si>
  <si>
    <t xml:space="preserve">ORD-105146</t>
  </si>
  <si>
    <t xml:space="preserve">ORD-105147</t>
  </si>
  <si>
    <t xml:space="preserve">ORD-105148</t>
  </si>
  <si>
    <t xml:space="preserve">ORD-105149</t>
  </si>
  <si>
    <t xml:space="preserve">ORD-105150</t>
  </si>
  <si>
    <t xml:space="preserve">ORD-105151</t>
  </si>
  <si>
    <t xml:space="preserve">ORD-105152</t>
  </si>
  <si>
    <t xml:space="preserve">ORD-105153</t>
  </si>
  <si>
    <t xml:space="preserve">ORD-105154</t>
  </si>
  <si>
    <t xml:space="preserve">ORD-105155</t>
  </si>
  <si>
    <t xml:space="preserve">ORD-105156</t>
  </si>
  <si>
    <t xml:space="preserve">ORD-105157</t>
  </si>
  <si>
    <t xml:space="preserve">ORD-105158</t>
  </si>
  <si>
    <t xml:space="preserve">ORD-105159</t>
  </si>
  <si>
    <t xml:space="preserve">ORD-105160</t>
  </si>
  <si>
    <t xml:space="preserve">ORD-105161</t>
  </si>
  <si>
    <t xml:space="preserve">ORD-105162</t>
  </si>
  <si>
    <t xml:space="preserve">ORD-105163</t>
  </si>
  <si>
    <t xml:space="preserve">ORD-105164</t>
  </si>
  <si>
    <t xml:space="preserve">ORD-105165</t>
  </si>
  <si>
    <t xml:space="preserve">ORD-105166</t>
  </si>
  <si>
    <t xml:space="preserve">ORD-105167</t>
  </si>
  <si>
    <t xml:space="preserve">ORD-105168</t>
  </si>
  <si>
    <t xml:space="preserve">ORD-105169</t>
  </si>
  <si>
    <t xml:space="preserve">ORD-105170</t>
  </si>
  <si>
    <t xml:space="preserve">ORD-105171</t>
  </si>
  <si>
    <t xml:space="preserve">ORD-105172</t>
  </si>
  <si>
    <t xml:space="preserve">ORD-105173</t>
  </si>
  <si>
    <t xml:space="preserve">ORD-105174</t>
  </si>
  <si>
    <t xml:space="preserve">ORD-105175</t>
  </si>
  <si>
    <t xml:space="preserve">ORD-105176</t>
  </si>
  <si>
    <t xml:space="preserve">ORD-105177</t>
  </si>
  <si>
    <t xml:space="preserve">ORD-105178</t>
  </si>
  <si>
    <t xml:space="preserve">ORD-105179</t>
  </si>
  <si>
    <t xml:space="preserve">ORD-105180</t>
  </si>
  <si>
    <t xml:space="preserve">ORD-105181</t>
  </si>
  <si>
    <t xml:space="preserve">ORD-105182</t>
  </si>
  <si>
    <t xml:space="preserve">ORD-105183</t>
  </si>
  <si>
    <t xml:space="preserve">ORD-105184</t>
  </si>
  <si>
    <t xml:space="preserve">ORD-105185</t>
  </si>
  <si>
    <t xml:space="preserve">ORD-105186</t>
  </si>
  <si>
    <t xml:space="preserve">ORD-105187</t>
  </si>
  <si>
    <t xml:space="preserve">ORD-105188</t>
  </si>
  <si>
    <t xml:space="preserve">ORD-105189</t>
  </si>
  <si>
    <t xml:space="preserve">ORD-105190</t>
  </si>
  <si>
    <t xml:space="preserve">ORD-105191</t>
  </si>
  <si>
    <t xml:space="preserve">ORD-105192</t>
  </si>
  <si>
    <t xml:space="preserve">ORD-105193</t>
  </si>
  <si>
    <t xml:space="preserve">ORD-105194</t>
  </si>
  <si>
    <t xml:space="preserve">ORD-105195</t>
  </si>
  <si>
    <t xml:space="preserve">ORD-105196</t>
  </si>
  <si>
    <t xml:space="preserve">ORD-105197</t>
  </si>
  <si>
    <t xml:space="preserve">ORD-105198</t>
  </si>
  <si>
    <t xml:space="preserve">ORD-105199</t>
  </si>
  <si>
    <t xml:space="preserve">ORD-105200</t>
  </si>
  <si>
    <t xml:space="preserve">ORD-105201</t>
  </si>
  <si>
    <t xml:space="preserve">ORD-105202</t>
  </si>
  <si>
    <t xml:space="preserve">ORD-105203</t>
  </si>
  <si>
    <t xml:space="preserve">ORD-105204</t>
  </si>
  <si>
    <t xml:space="preserve">ORD-105205</t>
  </si>
  <si>
    <t xml:space="preserve">ORD-105206</t>
  </si>
  <si>
    <t xml:space="preserve">ORD-105207</t>
  </si>
  <si>
    <t xml:space="preserve">ORD-105208</t>
  </si>
  <si>
    <t xml:space="preserve">ORD-105209</t>
  </si>
  <si>
    <t xml:space="preserve">ORD-105210</t>
  </si>
  <si>
    <t xml:space="preserve">ORD-105211</t>
  </si>
  <si>
    <t xml:space="preserve">ORD-105212</t>
  </si>
  <si>
    <t xml:space="preserve">ORD-105213</t>
  </si>
  <si>
    <t xml:space="preserve">ORD-105214</t>
  </si>
  <si>
    <t xml:space="preserve">ORD-105215</t>
  </si>
  <si>
    <t xml:space="preserve">ORD-105216</t>
  </si>
  <si>
    <t xml:space="preserve">ORD-105217</t>
  </si>
  <si>
    <t xml:space="preserve">ORD-105218</t>
  </si>
  <si>
    <t xml:space="preserve">ORD-105219</t>
  </si>
  <si>
    <t xml:space="preserve">ORD-105220</t>
  </si>
  <si>
    <t xml:space="preserve">ORD-105221</t>
  </si>
  <si>
    <t xml:space="preserve">ORD-105222</t>
  </si>
  <si>
    <t xml:space="preserve">ORD-105223</t>
  </si>
  <si>
    <t xml:space="preserve">ORD-105224</t>
  </si>
  <si>
    <t xml:space="preserve">ORD-105225</t>
  </si>
  <si>
    <t xml:space="preserve">ORD-105226</t>
  </si>
  <si>
    <t xml:space="preserve">ORD-105227</t>
  </si>
  <si>
    <t xml:space="preserve">ORD-105228</t>
  </si>
  <si>
    <t xml:space="preserve">ORD-105229</t>
  </si>
  <si>
    <t xml:space="preserve">ORD-105230</t>
  </si>
  <si>
    <t xml:space="preserve">ORD-105231</t>
  </si>
  <si>
    <t xml:space="preserve">ORD-105232</t>
  </si>
  <si>
    <t xml:space="preserve">ORD-105233</t>
  </si>
  <si>
    <t xml:space="preserve">ORD-105234</t>
  </si>
  <si>
    <t xml:space="preserve">ORD-105235</t>
  </si>
  <si>
    <t xml:space="preserve">ORD-105236</t>
  </si>
  <si>
    <t xml:space="preserve">ORD-105237</t>
  </si>
  <si>
    <t xml:space="preserve">ORD-105238</t>
  </si>
  <si>
    <t xml:space="preserve">ORD-105239</t>
  </si>
  <si>
    <t xml:space="preserve">ORD-105240</t>
  </si>
  <si>
    <t xml:space="preserve">ORD-105241</t>
  </si>
  <si>
    <t xml:space="preserve">ORD-105242</t>
  </si>
  <si>
    <t xml:space="preserve">ORD-105243</t>
  </si>
  <si>
    <t xml:space="preserve">ORD-105244</t>
  </si>
  <si>
    <t xml:space="preserve">ORD-105245</t>
  </si>
  <si>
    <t xml:space="preserve">ORD-105246</t>
  </si>
  <si>
    <t xml:space="preserve">ORD-105247</t>
  </si>
  <si>
    <t xml:space="preserve">ORD-105248</t>
  </si>
  <si>
    <t xml:space="preserve">ORD-105249</t>
  </si>
  <si>
    <t xml:space="preserve">ORD-105250</t>
  </si>
  <si>
    <t xml:space="preserve">ORD-105251</t>
  </si>
  <si>
    <t xml:space="preserve">ORD-105252</t>
  </si>
  <si>
    <t xml:space="preserve">ORD-105253</t>
  </si>
  <si>
    <t xml:space="preserve">ORD-105254</t>
  </si>
  <si>
    <t xml:space="preserve">ORD-105255</t>
  </si>
  <si>
    <t xml:space="preserve">ORD-105256</t>
  </si>
  <si>
    <t xml:space="preserve">ORD-105257</t>
  </si>
  <si>
    <t xml:space="preserve">ORD-105258</t>
  </si>
  <si>
    <t xml:space="preserve">ORD-105259</t>
  </si>
  <si>
    <t xml:space="preserve">ORD-105260</t>
  </si>
  <si>
    <t xml:space="preserve">ORD-105261</t>
  </si>
  <si>
    <t xml:space="preserve">ORD-105262</t>
  </si>
  <si>
    <t xml:space="preserve">ORD-105263</t>
  </si>
  <si>
    <t xml:space="preserve">ORD-105264</t>
  </si>
  <si>
    <t xml:space="preserve">ORD-105265</t>
  </si>
  <si>
    <t xml:space="preserve">ORD-105266</t>
  </si>
  <si>
    <t xml:space="preserve">ORD-105267</t>
  </si>
  <si>
    <t xml:space="preserve">ORD-105268</t>
  </si>
  <si>
    <t xml:space="preserve">ORD-105269</t>
  </si>
  <si>
    <t xml:space="preserve">ORD-105270</t>
  </si>
  <si>
    <t xml:space="preserve">ORD-105271</t>
  </si>
  <si>
    <t xml:space="preserve">ORD-105272</t>
  </si>
  <si>
    <t xml:space="preserve">ORD-105273</t>
  </si>
  <si>
    <t xml:space="preserve">ORD-105274</t>
  </si>
  <si>
    <t xml:space="preserve">ORD-105275</t>
  </si>
  <si>
    <t xml:space="preserve">ORD-105276</t>
  </si>
  <si>
    <t xml:space="preserve">ORD-105277</t>
  </si>
  <si>
    <t xml:space="preserve">ORD-105278</t>
  </si>
  <si>
    <t xml:space="preserve">ORD-105279</t>
  </si>
  <si>
    <t xml:space="preserve">ORD-105280</t>
  </si>
  <si>
    <t xml:space="preserve">ORD-105281</t>
  </si>
  <si>
    <t xml:space="preserve">ORD-105282</t>
  </si>
  <si>
    <t xml:space="preserve">ORD-105283</t>
  </si>
  <si>
    <t xml:space="preserve">ORD-105284</t>
  </si>
  <si>
    <t xml:space="preserve">ORD-105285</t>
  </si>
  <si>
    <t xml:space="preserve">ORD-105286</t>
  </si>
  <si>
    <t xml:space="preserve">ORD-105287</t>
  </si>
  <si>
    <t xml:space="preserve">ORD-105288</t>
  </si>
  <si>
    <t xml:space="preserve">ORD-105289</t>
  </si>
  <si>
    <t xml:space="preserve">ORD-105290</t>
  </si>
  <si>
    <t xml:space="preserve">ORD-105291</t>
  </si>
  <si>
    <t xml:space="preserve">ORD-105292</t>
  </si>
  <si>
    <t xml:space="preserve">ORD-105293</t>
  </si>
  <si>
    <t xml:space="preserve">ORD-105294</t>
  </si>
  <si>
    <t xml:space="preserve">ORD-105295</t>
  </si>
  <si>
    <t xml:space="preserve">ORD-105296</t>
  </si>
  <si>
    <t xml:space="preserve">ORD-105297</t>
  </si>
  <si>
    <t xml:space="preserve">ORD-105298</t>
  </si>
  <si>
    <t xml:space="preserve">ORD-105299</t>
  </si>
  <si>
    <t xml:space="preserve">ORD-105300</t>
  </si>
  <si>
    <t xml:space="preserve">ORD-105301</t>
  </si>
  <si>
    <t xml:space="preserve">ORD-105302</t>
  </si>
  <si>
    <t xml:space="preserve">ORD-105303</t>
  </si>
  <si>
    <t xml:space="preserve">ORD-105304</t>
  </si>
  <si>
    <t xml:space="preserve">ORD-105305</t>
  </si>
  <si>
    <t xml:space="preserve">ORD-105306</t>
  </si>
  <si>
    <t xml:space="preserve">ORD-105307</t>
  </si>
  <si>
    <t xml:space="preserve">ORD-105308</t>
  </si>
  <si>
    <t xml:space="preserve">ORD-105309</t>
  </si>
  <si>
    <t xml:space="preserve">ORD-105310</t>
  </si>
  <si>
    <t xml:space="preserve">ORD-105311</t>
  </si>
  <si>
    <t xml:space="preserve">ORD-105312</t>
  </si>
  <si>
    <t xml:space="preserve">ORD-105313</t>
  </si>
  <si>
    <t xml:space="preserve">ORD-105314</t>
  </si>
  <si>
    <t xml:space="preserve">ORD-105315</t>
  </si>
  <si>
    <t xml:space="preserve">ORD-105316</t>
  </si>
  <si>
    <t xml:space="preserve">ORD-105317</t>
  </si>
  <si>
    <t xml:space="preserve">ORD-105318</t>
  </si>
  <si>
    <t xml:space="preserve">ORD-105319</t>
  </si>
  <si>
    <t xml:space="preserve">ORD-105320</t>
  </si>
  <si>
    <t xml:space="preserve">ORD-105321</t>
  </si>
  <si>
    <t xml:space="preserve">ORD-105322</t>
  </si>
  <si>
    <t xml:space="preserve">ORD-105323</t>
  </si>
  <si>
    <t xml:space="preserve">ORD-105324</t>
  </si>
  <si>
    <t xml:space="preserve">ORD-105325</t>
  </si>
  <si>
    <t xml:space="preserve">ORD-105326</t>
  </si>
  <si>
    <t xml:space="preserve">ORD-105327</t>
  </si>
  <si>
    <t xml:space="preserve">ORD-105328</t>
  </si>
  <si>
    <t xml:space="preserve">ORD-105329</t>
  </si>
  <si>
    <t xml:space="preserve">ORD-105330</t>
  </si>
  <si>
    <t xml:space="preserve">ORD-105331</t>
  </si>
  <si>
    <t xml:space="preserve">ORD-105332</t>
  </si>
  <si>
    <t xml:space="preserve">ORD-105333</t>
  </si>
  <si>
    <t xml:space="preserve">ORD-105334</t>
  </si>
  <si>
    <t xml:space="preserve">ORD-105335</t>
  </si>
  <si>
    <t xml:space="preserve">ORD-105336</t>
  </si>
  <si>
    <t xml:space="preserve">ORD-105337</t>
  </si>
  <si>
    <t xml:space="preserve">ORD-105338</t>
  </si>
  <si>
    <t xml:space="preserve">ORD-105339</t>
  </si>
  <si>
    <t xml:space="preserve">ORD-105340</t>
  </si>
  <si>
    <t xml:space="preserve">ORD-105341</t>
  </si>
  <si>
    <t xml:space="preserve">ORD-105342</t>
  </si>
  <si>
    <t xml:space="preserve">ORD-105343</t>
  </si>
  <si>
    <t xml:space="preserve">ORD-105344</t>
  </si>
  <si>
    <t xml:space="preserve">ORD-105345</t>
  </si>
  <si>
    <t xml:space="preserve">ORD-105346</t>
  </si>
  <si>
    <t xml:space="preserve">ORD-105347</t>
  </si>
  <si>
    <t xml:space="preserve">ORD-105348</t>
  </si>
  <si>
    <t xml:space="preserve">ORD-105349</t>
  </si>
  <si>
    <t xml:space="preserve">ORD-105350</t>
  </si>
  <si>
    <t xml:space="preserve">ORD-105351</t>
  </si>
  <si>
    <t xml:space="preserve">ORD-105352</t>
  </si>
  <si>
    <t xml:space="preserve">ORD-105353</t>
  </si>
  <si>
    <t xml:space="preserve">ORD-105354</t>
  </si>
  <si>
    <t xml:space="preserve">ORD-105355</t>
  </si>
  <si>
    <t xml:space="preserve">ORD-105356</t>
  </si>
  <si>
    <t xml:space="preserve">ORD-105357</t>
  </si>
  <si>
    <t xml:space="preserve">ORD-105358</t>
  </si>
  <si>
    <t xml:space="preserve">ORD-105359</t>
  </si>
  <si>
    <t xml:space="preserve">ORD-105360</t>
  </si>
  <si>
    <t xml:space="preserve">ORD-105361</t>
  </si>
  <si>
    <t xml:space="preserve">ORD-105362</t>
  </si>
  <si>
    <t xml:space="preserve">ORD-105363</t>
  </si>
  <si>
    <t xml:space="preserve">ORD-105364</t>
  </si>
  <si>
    <t xml:space="preserve">ORD-105365</t>
  </si>
  <si>
    <t xml:space="preserve">ORD-105366</t>
  </si>
  <si>
    <t xml:space="preserve">ORD-105367</t>
  </si>
  <si>
    <t xml:space="preserve">ORD-105368</t>
  </si>
  <si>
    <t xml:space="preserve">ORD-105369</t>
  </si>
  <si>
    <t xml:space="preserve">ORD-105370</t>
  </si>
  <si>
    <t xml:space="preserve">ORD-105371</t>
  </si>
  <si>
    <t xml:space="preserve">ORD-105372</t>
  </si>
  <si>
    <t xml:space="preserve">ORD-105373</t>
  </si>
  <si>
    <t xml:space="preserve">ORD-105374</t>
  </si>
  <si>
    <t xml:space="preserve">ORD-105375</t>
  </si>
  <si>
    <t xml:space="preserve">ORD-105376</t>
  </si>
  <si>
    <t xml:space="preserve">ORD-105377</t>
  </si>
  <si>
    <t xml:space="preserve">ORD-105378</t>
  </si>
  <si>
    <t xml:space="preserve">ORD-105379</t>
  </si>
  <si>
    <t xml:space="preserve">ORD-105380</t>
  </si>
  <si>
    <t xml:space="preserve">ORD-105381</t>
  </si>
  <si>
    <t xml:space="preserve">ORD-105382</t>
  </si>
  <si>
    <t xml:space="preserve">ORD-105383</t>
  </si>
  <si>
    <t xml:space="preserve">ORD-105384</t>
  </si>
  <si>
    <t xml:space="preserve">ORD-105385</t>
  </si>
  <si>
    <t xml:space="preserve">ORD-105386</t>
  </si>
  <si>
    <t xml:space="preserve">ORD-105387</t>
  </si>
  <si>
    <t xml:space="preserve">ORD-105388</t>
  </si>
  <si>
    <t xml:space="preserve">ORD-105389</t>
  </si>
  <si>
    <t xml:space="preserve">ORD-105390</t>
  </si>
  <si>
    <t xml:space="preserve">ORD-105391</t>
  </si>
  <si>
    <t xml:space="preserve">ORD-105392</t>
  </si>
  <si>
    <t xml:space="preserve">ORD-105393</t>
  </si>
  <si>
    <t xml:space="preserve">ORD-105394</t>
  </si>
  <si>
    <t xml:space="preserve">ORD-105395</t>
  </si>
  <si>
    <t xml:space="preserve">ORD-105396</t>
  </si>
  <si>
    <t xml:space="preserve">ORD-105397</t>
  </si>
  <si>
    <t xml:space="preserve">ORD-105398</t>
  </si>
  <si>
    <t xml:space="preserve">ORD-105399</t>
  </si>
  <si>
    <t xml:space="preserve">ORD-105400</t>
  </si>
  <si>
    <t xml:space="preserve">ORD-105401</t>
  </si>
  <si>
    <t xml:space="preserve">ORD-105402</t>
  </si>
  <si>
    <t xml:space="preserve">ORD-105403</t>
  </si>
  <si>
    <t xml:space="preserve">ORD-105404</t>
  </si>
  <si>
    <t xml:space="preserve">ORD-105405</t>
  </si>
  <si>
    <t xml:space="preserve">ORD-105406</t>
  </si>
  <si>
    <t xml:space="preserve">ORD-105407</t>
  </si>
  <si>
    <t xml:space="preserve">ORD-105408</t>
  </si>
  <si>
    <t xml:space="preserve">ORD-105409</t>
  </si>
  <si>
    <t xml:space="preserve">ORD-105410</t>
  </si>
  <si>
    <t xml:space="preserve">ORD-105411</t>
  </si>
  <si>
    <t xml:space="preserve">ORD-105412</t>
  </si>
  <si>
    <t xml:space="preserve">ORD-105413</t>
  </si>
  <si>
    <t xml:space="preserve">ORD-105414</t>
  </si>
  <si>
    <t xml:space="preserve">ORD-105415</t>
  </si>
  <si>
    <t xml:space="preserve">ORD-105416</t>
  </si>
  <si>
    <t xml:space="preserve">ORD-105417</t>
  </si>
  <si>
    <t xml:space="preserve">ORD-105418</t>
  </si>
  <si>
    <t xml:space="preserve">ORD-105419</t>
  </si>
  <si>
    <t xml:space="preserve">ORD-105420</t>
  </si>
  <si>
    <t xml:space="preserve">ORD-105421</t>
  </si>
  <si>
    <t xml:space="preserve">ORD-105422</t>
  </si>
  <si>
    <t xml:space="preserve">ORD-105423</t>
  </si>
  <si>
    <t xml:space="preserve">ORD-105424</t>
  </si>
  <si>
    <t xml:space="preserve">ORD-105425</t>
  </si>
  <si>
    <t xml:space="preserve">ORD-105426</t>
  </si>
  <si>
    <t xml:space="preserve">ORD-105427</t>
  </si>
  <si>
    <t xml:space="preserve">ORD-105428</t>
  </si>
  <si>
    <t xml:space="preserve">ORD-105429</t>
  </si>
  <si>
    <t xml:space="preserve">ORD-105430</t>
  </si>
  <si>
    <t xml:space="preserve">ORD-105431</t>
  </si>
  <si>
    <t xml:space="preserve">ORD-105432</t>
  </si>
  <si>
    <t xml:space="preserve">ORD-105433</t>
  </si>
  <si>
    <t xml:space="preserve">ORD-105434</t>
  </si>
  <si>
    <t xml:space="preserve">ORD-105435</t>
  </si>
  <si>
    <t xml:space="preserve">ORD-105436</t>
  </si>
  <si>
    <t xml:space="preserve">ORD-105437</t>
  </si>
  <si>
    <t xml:space="preserve">ORD-105438</t>
  </si>
  <si>
    <t xml:space="preserve">ORD-105439</t>
  </si>
  <si>
    <t xml:space="preserve">ORD-105440</t>
  </si>
  <si>
    <t xml:space="preserve">ORD-105441</t>
  </si>
  <si>
    <t xml:space="preserve">ORD-105442</t>
  </si>
  <si>
    <t xml:space="preserve">ORD-105443</t>
  </si>
  <si>
    <t xml:space="preserve">ORD-105444</t>
  </si>
  <si>
    <t xml:space="preserve">ORD-105445</t>
  </si>
  <si>
    <t xml:space="preserve">ORD-105446</t>
  </si>
  <si>
    <t xml:space="preserve">ORD-105447</t>
  </si>
  <si>
    <t xml:space="preserve">ORD-105448</t>
  </si>
  <si>
    <t xml:space="preserve">ORD-105449</t>
  </si>
  <si>
    <t xml:space="preserve">ORD-105450</t>
  </si>
  <si>
    <t xml:space="preserve">ORD-105451</t>
  </si>
  <si>
    <t xml:space="preserve">ORD-105452</t>
  </si>
  <si>
    <t xml:space="preserve">ORD-105453</t>
  </si>
  <si>
    <t xml:space="preserve">ORD-105454</t>
  </si>
  <si>
    <t xml:space="preserve">ORD-105455</t>
  </si>
  <si>
    <t xml:space="preserve">ORD-105456</t>
  </si>
  <si>
    <t xml:space="preserve">ORD-105457</t>
  </si>
  <si>
    <t xml:space="preserve">ORD-105458</t>
  </si>
  <si>
    <t xml:space="preserve">ORD-105459</t>
  </si>
  <si>
    <t xml:space="preserve">ORD-105460</t>
  </si>
  <si>
    <t xml:space="preserve">ORD-105461</t>
  </si>
  <si>
    <t xml:space="preserve">ORD-105462</t>
  </si>
  <si>
    <t xml:space="preserve">ORD-105463</t>
  </si>
  <si>
    <t xml:space="preserve">ORD-105464</t>
  </si>
  <si>
    <t xml:space="preserve">ORD-105465</t>
  </si>
  <si>
    <t xml:space="preserve">ORD-105466</t>
  </si>
  <si>
    <t xml:space="preserve">ORD-105467</t>
  </si>
  <si>
    <t xml:space="preserve">ORD-105468</t>
  </si>
  <si>
    <t xml:space="preserve">ORD-105469</t>
  </si>
  <si>
    <t xml:space="preserve">ORD-105470</t>
  </si>
  <si>
    <t xml:space="preserve">ORD-105471</t>
  </si>
  <si>
    <t xml:space="preserve">ORD-105472</t>
  </si>
  <si>
    <t xml:space="preserve">ORD-105473</t>
  </si>
  <si>
    <t xml:space="preserve">ORD-105474</t>
  </si>
  <si>
    <t xml:space="preserve">ORD-105475</t>
  </si>
  <si>
    <t xml:space="preserve">ORD-105476</t>
  </si>
  <si>
    <t xml:space="preserve">ORD-105477</t>
  </si>
  <si>
    <t xml:space="preserve">ORD-105478</t>
  </si>
  <si>
    <t xml:space="preserve">ORD-105479</t>
  </si>
  <si>
    <t xml:space="preserve">ORD-105480</t>
  </si>
  <si>
    <t xml:space="preserve">ORD-105481</t>
  </si>
  <si>
    <t xml:space="preserve">ORD-105482</t>
  </si>
  <si>
    <t xml:space="preserve">ORD-105483</t>
  </si>
  <si>
    <t xml:space="preserve">ORD-105484</t>
  </si>
  <si>
    <t xml:space="preserve">ORD-105485</t>
  </si>
  <si>
    <t xml:space="preserve">ORD-105486</t>
  </si>
  <si>
    <t xml:space="preserve">ORD-105487</t>
  </si>
  <si>
    <t xml:space="preserve">ORD-105488</t>
  </si>
  <si>
    <t xml:space="preserve">ORD-105489</t>
  </si>
  <si>
    <t xml:space="preserve">ORD-105490</t>
  </si>
  <si>
    <t xml:space="preserve">ORD-105491</t>
  </si>
  <si>
    <t xml:space="preserve">ORD-105492</t>
  </si>
  <si>
    <t xml:space="preserve">ORD-105493</t>
  </si>
  <si>
    <t xml:space="preserve">ORD-105494</t>
  </si>
  <si>
    <t xml:space="preserve">ORD-105495</t>
  </si>
  <si>
    <t xml:space="preserve">ORD-105496</t>
  </si>
  <si>
    <t xml:space="preserve">ORD-105497</t>
  </si>
  <si>
    <t xml:space="preserve">ORD-105498</t>
  </si>
  <si>
    <t xml:space="preserve">ORD-105499</t>
  </si>
  <si>
    <t xml:space="preserve">ORD-105500</t>
  </si>
  <si>
    <t xml:space="preserve">ORD-105501</t>
  </si>
  <si>
    <t xml:space="preserve">ORD-105502</t>
  </si>
  <si>
    <t xml:space="preserve">ORD-105503</t>
  </si>
  <si>
    <t xml:space="preserve">ORD-105504</t>
  </si>
  <si>
    <t xml:space="preserve">ORD-105505</t>
  </si>
  <si>
    <t xml:space="preserve">ORD-105506</t>
  </si>
  <si>
    <t xml:space="preserve">ORD-105507</t>
  </si>
  <si>
    <t xml:space="preserve">ORD-105508</t>
  </si>
  <si>
    <t xml:space="preserve">ORD-105509</t>
  </si>
  <si>
    <t xml:space="preserve">ORD-105510</t>
  </si>
  <si>
    <t xml:space="preserve">ORD-105511</t>
  </si>
  <si>
    <t xml:space="preserve">ORD-105512</t>
  </si>
  <si>
    <t xml:space="preserve">ORD-105513</t>
  </si>
  <si>
    <t xml:space="preserve">ORD-105514</t>
  </si>
  <si>
    <t xml:space="preserve">ORD-105515</t>
  </si>
  <si>
    <t xml:space="preserve">ORD-105516</t>
  </si>
  <si>
    <t xml:space="preserve">ORD-105517</t>
  </si>
  <si>
    <t xml:space="preserve">ORD-105518</t>
  </si>
  <si>
    <t xml:space="preserve">ORD-105519</t>
  </si>
  <si>
    <t xml:space="preserve">ORD-105520</t>
  </si>
  <si>
    <t xml:space="preserve">ORD-105521</t>
  </si>
  <si>
    <t xml:space="preserve">ORD-105522</t>
  </si>
  <si>
    <t xml:space="preserve">ORD-105523</t>
  </si>
  <si>
    <t xml:space="preserve">ORD-105524</t>
  </si>
  <si>
    <t xml:space="preserve">ORD-105525</t>
  </si>
  <si>
    <t xml:space="preserve">ORD-105526</t>
  </si>
  <si>
    <t xml:space="preserve">ORD-105527</t>
  </si>
  <si>
    <t xml:space="preserve">ORD-105528</t>
  </si>
  <si>
    <t xml:space="preserve">ORD-105529</t>
  </si>
  <si>
    <t xml:space="preserve">ORD-105530</t>
  </si>
  <si>
    <t xml:space="preserve">ORD-105531</t>
  </si>
  <si>
    <t xml:space="preserve">ORD-105532</t>
  </si>
  <si>
    <t xml:space="preserve">ORD-105533</t>
  </si>
  <si>
    <t xml:space="preserve">ORD-105534</t>
  </si>
  <si>
    <t xml:space="preserve">ORD-105535</t>
  </si>
  <si>
    <t xml:space="preserve">ORD-105536</t>
  </si>
  <si>
    <t xml:space="preserve">ORD-105537</t>
  </si>
  <si>
    <t xml:space="preserve">ORD-105538</t>
  </si>
  <si>
    <t xml:space="preserve">ORD-105539</t>
  </si>
  <si>
    <t xml:space="preserve">ORD-105540</t>
  </si>
  <si>
    <t xml:space="preserve">ORD-105541</t>
  </si>
  <si>
    <t xml:space="preserve">ORD-105542</t>
  </si>
  <si>
    <t xml:space="preserve">ORD-105543</t>
  </si>
  <si>
    <t xml:space="preserve">ORD-105544</t>
  </si>
  <si>
    <t xml:space="preserve">ORD-105545</t>
  </si>
  <si>
    <t xml:space="preserve">ORD-105546</t>
  </si>
  <si>
    <t xml:space="preserve">ORD-105547</t>
  </si>
  <si>
    <t xml:space="preserve">ORD-105548</t>
  </si>
  <si>
    <t xml:space="preserve">ORD-105549</t>
  </si>
  <si>
    <t xml:space="preserve">ORD-105550</t>
  </si>
  <si>
    <t xml:space="preserve">ORD-105551</t>
  </si>
  <si>
    <t xml:space="preserve">ORD-105552</t>
  </si>
  <si>
    <t xml:space="preserve">ORD-105553</t>
  </si>
  <si>
    <t xml:space="preserve">ORD-105554</t>
  </si>
  <si>
    <t xml:space="preserve">ORD-105555</t>
  </si>
  <si>
    <t xml:space="preserve">ORD-105556</t>
  </si>
  <si>
    <t xml:space="preserve">ORD-105557</t>
  </si>
  <si>
    <t xml:space="preserve">ORD-105558</t>
  </si>
  <si>
    <t xml:space="preserve">ORD-105559</t>
  </si>
  <si>
    <t xml:space="preserve">ORD-105560</t>
  </si>
  <si>
    <t xml:space="preserve">ORD-105561</t>
  </si>
  <si>
    <t xml:space="preserve">ORD-105562</t>
  </si>
  <si>
    <t xml:space="preserve">ORD-105563</t>
  </si>
  <si>
    <t xml:space="preserve">ORD-105564</t>
  </si>
  <si>
    <t xml:space="preserve">ORD-105565</t>
  </si>
  <si>
    <t xml:space="preserve">ORD-105566</t>
  </si>
  <si>
    <t xml:space="preserve">ORD-105567</t>
  </si>
  <si>
    <t xml:space="preserve">ORD-105568</t>
  </si>
  <si>
    <t xml:space="preserve">ORD-105569</t>
  </si>
  <si>
    <t xml:space="preserve">ORD-105570</t>
  </si>
  <si>
    <t xml:space="preserve">ORD-105571</t>
  </si>
  <si>
    <t xml:space="preserve">ORD-105572</t>
  </si>
  <si>
    <t xml:space="preserve">ORD-105573</t>
  </si>
  <si>
    <t xml:space="preserve">ORD-105574</t>
  </si>
  <si>
    <t xml:space="preserve">ORD-105575</t>
  </si>
  <si>
    <t xml:space="preserve">ORD-105576</t>
  </si>
  <si>
    <t xml:space="preserve">ORD-105577</t>
  </si>
  <si>
    <t xml:space="preserve">ORD-105578</t>
  </si>
  <si>
    <t xml:space="preserve">ORD-105579</t>
  </si>
  <si>
    <t xml:space="preserve">ORD-105580</t>
  </si>
  <si>
    <t xml:space="preserve">ORD-105581</t>
  </si>
  <si>
    <t xml:space="preserve">ORD-105582</t>
  </si>
  <si>
    <t xml:space="preserve">ORD-105583</t>
  </si>
  <si>
    <t xml:space="preserve">ORD-105584</t>
  </si>
  <si>
    <t xml:space="preserve">ORD-105585</t>
  </si>
  <si>
    <t xml:space="preserve">ORD-105586</t>
  </si>
  <si>
    <t xml:space="preserve">ORD-105587</t>
  </si>
  <si>
    <t xml:space="preserve">ORD-105588</t>
  </si>
  <si>
    <t xml:space="preserve">ORD-105589</t>
  </si>
  <si>
    <t xml:space="preserve">ORD-105590</t>
  </si>
  <si>
    <t xml:space="preserve">ORD-105591</t>
  </si>
  <si>
    <t xml:space="preserve">ORD-105592</t>
  </si>
  <si>
    <t xml:space="preserve">ORD-105593</t>
  </si>
  <si>
    <t xml:space="preserve">ORD-105594</t>
  </si>
  <si>
    <t xml:space="preserve">ORD-105595</t>
  </si>
  <si>
    <t xml:space="preserve">ORD-105596</t>
  </si>
  <si>
    <t xml:space="preserve">ORD-105597</t>
  </si>
  <si>
    <t xml:space="preserve">ORD-105598</t>
  </si>
  <si>
    <t xml:space="preserve">ORD-105599</t>
  </si>
  <si>
    <t xml:space="preserve">ORD-105600</t>
  </si>
  <si>
    <t xml:space="preserve">ORD-105601</t>
  </si>
  <si>
    <t xml:space="preserve">ORD-105602</t>
  </si>
  <si>
    <t xml:space="preserve">ORD-105603</t>
  </si>
  <si>
    <t xml:space="preserve">ORD-105604</t>
  </si>
  <si>
    <t xml:space="preserve">ORD-105605</t>
  </si>
  <si>
    <t xml:space="preserve">ORD-105606</t>
  </si>
  <si>
    <t xml:space="preserve">ORD-105607</t>
  </si>
  <si>
    <t xml:space="preserve">ORD-105608</t>
  </si>
  <si>
    <t xml:space="preserve">ORD-105609</t>
  </si>
  <si>
    <t xml:space="preserve">ORD-105610</t>
  </si>
  <si>
    <t xml:space="preserve">ORD-105611</t>
  </si>
  <si>
    <t xml:space="preserve">ORD-105612</t>
  </si>
  <si>
    <t xml:space="preserve">ORD-105613</t>
  </si>
  <si>
    <t xml:space="preserve">ORD-105614</t>
  </si>
  <si>
    <t xml:space="preserve">ORD-105615</t>
  </si>
  <si>
    <t xml:space="preserve">ORD-105616</t>
  </si>
  <si>
    <t xml:space="preserve">ORD-105617</t>
  </si>
  <si>
    <t xml:space="preserve">ORD-105618</t>
  </si>
  <si>
    <t xml:space="preserve">ORD-105619</t>
  </si>
  <si>
    <t xml:space="preserve">ORD-105620</t>
  </si>
  <si>
    <t xml:space="preserve">ORD-105621</t>
  </si>
  <si>
    <t xml:space="preserve">ORD-105622</t>
  </si>
  <si>
    <t xml:space="preserve">ORD-105623</t>
  </si>
  <si>
    <t xml:space="preserve">ORD-105624</t>
  </si>
  <si>
    <t xml:space="preserve">ORD-105625</t>
  </si>
  <si>
    <t xml:space="preserve">ORD-105626</t>
  </si>
  <si>
    <t xml:space="preserve">ORD-105627</t>
  </si>
  <si>
    <t xml:space="preserve">ORD-105628</t>
  </si>
  <si>
    <t xml:space="preserve">ORD-105629</t>
  </si>
  <si>
    <t xml:space="preserve">ORD-105630</t>
  </si>
  <si>
    <t xml:space="preserve">ORD-105631</t>
  </si>
  <si>
    <t xml:space="preserve">ORD-105632</t>
  </si>
  <si>
    <t xml:space="preserve">ORD-105633</t>
  </si>
  <si>
    <t xml:space="preserve">ORD-105634</t>
  </si>
  <si>
    <t xml:space="preserve">ORD-105635</t>
  </si>
  <si>
    <t xml:space="preserve">ORD-105636</t>
  </si>
  <si>
    <t xml:space="preserve">ORD-105637</t>
  </si>
  <si>
    <t xml:space="preserve">ORD-105638</t>
  </si>
  <si>
    <t xml:space="preserve">ORD-105639</t>
  </si>
  <si>
    <t xml:space="preserve">ORD-105640</t>
  </si>
  <si>
    <t xml:space="preserve">ORD-105641</t>
  </si>
  <si>
    <t xml:space="preserve">ORD-105642</t>
  </si>
  <si>
    <t xml:space="preserve">ORD-105643</t>
  </si>
  <si>
    <t xml:space="preserve">ORD-105644</t>
  </si>
  <si>
    <t xml:space="preserve">ORD-105645</t>
  </si>
  <si>
    <t xml:space="preserve">ORD-105646</t>
  </si>
  <si>
    <t xml:space="preserve">ORD-105647</t>
  </si>
  <si>
    <t xml:space="preserve">ORD-105648</t>
  </si>
  <si>
    <t xml:space="preserve">ORD-105649</t>
  </si>
  <si>
    <t xml:space="preserve">ORD-105650</t>
  </si>
  <si>
    <t xml:space="preserve">ORD-105651</t>
  </si>
  <si>
    <t xml:space="preserve">ORD-105652</t>
  </si>
  <si>
    <t xml:space="preserve">ORD-105653</t>
  </si>
  <si>
    <t xml:space="preserve">ORD-105654</t>
  </si>
  <si>
    <t xml:space="preserve">ORD-105655</t>
  </si>
  <si>
    <t xml:space="preserve">ORD-105656</t>
  </si>
  <si>
    <t xml:space="preserve">ORD-105657</t>
  </si>
  <si>
    <t xml:space="preserve">ORD-105658</t>
  </si>
  <si>
    <t xml:space="preserve">ORD-105659</t>
  </si>
  <si>
    <t xml:space="preserve">ORD-105660</t>
  </si>
  <si>
    <t xml:space="preserve">ORD-105661</t>
  </si>
  <si>
    <t xml:space="preserve">ORD-105662</t>
  </si>
  <si>
    <t xml:space="preserve">ORD-105663</t>
  </si>
  <si>
    <t xml:space="preserve">ORD-105664</t>
  </si>
  <si>
    <t xml:space="preserve">ORD-105665</t>
  </si>
  <si>
    <t xml:space="preserve">ORD-105666</t>
  </si>
  <si>
    <t xml:space="preserve">ORD-105667</t>
  </si>
  <si>
    <t xml:space="preserve">ORD-105668</t>
  </si>
  <si>
    <t xml:space="preserve">ORD-105669</t>
  </si>
  <si>
    <t xml:space="preserve">ORD-105670</t>
  </si>
  <si>
    <t xml:space="preserve">ORD-105671</t>
  </si>
  <si>
    <t xml:space="preserve">ORD-105672</t>
  </si>
  <si>
    <t xml:space="preserve">ORD-105673</t>
  </si>
  <si>
    <t xml:space="preserve">ORD-105674</t>
  </si>
  <si>
    <t xml:space="preserve">ORD-105675</t>
  </si>
  <si>
    <t xml:space="preserve">ORD-105676</t>
  </si>
  <si>
    <t xml:space="preserve">ORD-105677</t>
  </si>
  <si>
    <t xml:space="preserve">ORD-105678</t>
  </si>
  <si>
    <t xml:space="preserve">ORD-105679</t>
  </si>
  <si>
    <t xml:space="preserve">ORD-105680</t>
  </si>
  <si>
    <t xml:space="preserve">ORD-105681</t>
  </si>
  <si>
    <t xml:space="preserve">ORD-105682</t>
  </si>
  <si>
    <t xml:space="preserve">ORD-105683</t>
  </si>
  <si>
    <t xml:space="preserve">ORD-105684</t>
  </si>
  <si>
    <t xml:space="preserve">ORD-105685</t>
  </si>
  <si>
    <t xml:space="preserve">ORD-105686</t>
  </si>
  <si>
    <t xml:space="preserve">ORD-105687</t>
  </si>
  <si>
    <t xml:space="preserve">ORD-105688</t>
  </si>
  <si>
    <t xml:space="preserve">ORD-105689</t>
  </si>
  <si>
    <t xml:space="preserve">ORD-105690</t>
  </si>
  <si>
    <t xml:space="preserve">ORD-105691</t>
  </si>
  <si>
    <t xml:space="preserve">ORD-105692</t>
  </si>
  <si>
    <t xml:space="preserve">ORD-105693</t>
  </si>
  <si>
    <t xml:space="preserve">ORD-105694</t>
  </si>
  <si>
    <t xml:space="preserve">ORD-105695</t>
  </si>
  <si>
    <t xml:space="preserve">ORD-105696</t>
  </si>
  <si>
    <t xml:space="preserve">ORD-105697</t>
  </si>
  <si>
    <t xml:space="preserve">ORD-105698</t>
  </si>
  <si>
    <t xml:space="preserve">ORD-105699</t>
  </si>
  <si>
    <t xml:space="preserve">ORD-105700</t>
  </si>
  <si>
    <t xml:space="preserve">ORD-105701</t>
  </si>
  <si>
    <t xml:space="preserve">ORD-105702</t>
  </si>
  <si>
    <t xml:space="preserve">ORD-105703</t>
  </si>
  <si>
    <t xml:space="preserve">ORD-105704</t>
  </si>
  <si>
    <t xml:space="preserve">ORD-105705</t>
  </si>
  <si>
    <t xml:space="preserve">ORD-105706</t>
  </si>
  <si>
    <t xml:space="preserve">ORD-105707</t>
  </si>
  <si>
    <t xml:space="preserve">ORD-105708</t>
  </si>
  <si>
    <t xml:space="preserve">ORD-105709</t>
  </si>
  <si>
    <t xml:space="preserve">ORD-105710</t>
  </si>
  <si>
    <t xml:space="preserve">ORD-105711</t>
  </si>
  <si>
    <t xml:space="preserve">ORD-105712</t>
  </si>
  <si>
    <t xml:space="preserve">ORD-105713</t>
  </si>
  <si>
    <t xml:space="preserve">ORD-105714</t>
  </si>
  <si>
    <t xml:space="preserve">ORD-105715</t>
  </si>
  <si>
    <t xml:space="preserve">ORD-105716</t>
  </si>
  <si>
    <t xml:space="preserve">ORD-105717</t>
  </si>
  <si>
    <t xml:space="preserve">ORD-105718</t>
  </si>
  <si>
    <t xml:space="preserve">ORD-105719</t>
  </si>
  <si>
    <t xml:space="preserve">ORD-105720</t>
  </si>
  <si>
    <t xml:space="preserve">ORD-105721</t>
  </si>
  <si>
    <t xml:space="preserve">ORD-105722</t>
  </si>
  <si>
    <t xml:space="preserve">ORD-105723</t>
  </si>
  <si>
    <t xml:space="preserve">ORD-105724</t>
  </si>
  <si>
    <t xml:space="preserve">ORD-105725</t>
  </si>
  <si>
    <t xml:space="preserve">ORD-105726</t>
  </si>
  <si>
    <t xml:space="preserve">ORD-105727</t>
  </si>
  <si>
    <t xml:space="preserve">ORD-105728</t>
  </si>
  <si>
    <t xml:space="preserve">ORD-105729</t>
  </si>
  <si>
    <t xml:space="preserve">ORD-105730</t>
  </si>
  <si>
    <t xml:space="preserve">ORD-105731</t>
  </si>
  <si>
    <t xml:space="preserve">ORD-105732</t>
  </si>
  <si>
    <t xml:space="preserve">ORD-105733</t>
  </si>
  <si>
    <t xml:space="preserve">ORD-105734</t>
  </si>
  <si>
    <t xml:space="preserve">ORD-105735</t>
  </si>
  <si>
    <t xml:space="preserve">ORD-105736</t>
  </si>
  <si>
    <t xml:space="preserve">ORD-105737</t>
  </si>
  <si>
    <t xml:space="preserve">ORD-105738</t>
  </si>
  <si>
    <t xml:space="preserve">ORD-105739</t>
  </si>
  <si>
    <t xml:space="preserve">ORD-105740</t>
  </si>
  <si>
    <t xml:space="preserve">ORD-105741</t>
  </si>
  <si>
    <t xml:space="preserve">ORD-105742</t>
  </si>
  <si>
    <t xml:space="preserve">ORD-105743</t>
  </si>
  <si>
    <t xml:space="preserve">ORD-105744</t>
  </si>
  <si>
    <t xml:space="preserve">ORD-105745</t>
  </si>
  <si>
    <t xml:space="preserve">ORD-105746</t>
  </si>
  <si>
    <t xml:space="preserve">ORD-105747</t>
  </si>
  <si>
    <t xml:space="preserve">ORD-105748</t>
  </si>
  <si>
    <t xml:space="preserve">ORD-105749</t>
  </si>
  <si>
    <t xml:space="preserve">ORD-105750</t>
  </si>
  <si>
    <t xml:space="preserve">ORD-105751</t>
  </si>
  <si>
    <t xml:space="preserve">ORD-105752</t>
  </si>
  <si>
    <t xml:space="preserve">ORD-105753</t>
  </si>
  <si>
    <t xml:space="preserve">ORD-105754</t>
  </si>
  <si>
    <t xml:space="preserve">ORD-105755</t>
  </si>
  <si>
    <t xml:space="preserve">ORD-105756</t>
  </si>
  <si>
    <t xml:space="preserve">ORD-105757</t>
  </si>
  <si>
    <t xml:space="preserve">ORD-105758</t>
  </si>
  <si>
    <t xml:space="preserve">ORD-105759</t>
  </si>
  <si>
    <t xml:space="preserve">ORD-105760</t>
  </si>
  <si>
    <t xml:space="preserve">ORD-105761</t>
  </si>
  <si>
    <t xml:space="preserve">ORD-105762</t>
  </si>
  <si>
    <t xml:space="preserve">ORD-105763</t>
  </si>
  <si>
    <t xml:space="preserve">ORD-105764</t>
  </si>
  <si>
    <t xml:space="preserve">ORD-105765</t>
  </si>
  <si>
    <t xml:space="preserve">ORD-105766</t>
  </si>
  <si>
    <t xml:space="preserve">ORD-105767</t>
  </si>
  <si>
    <t xml:space="preserve">ORD-105768</t>
  </si>
  <si>
    <t xml:space="preserve">ORD-105769</t>
  </si>
  <si>
    <t xml:space="preserve">ORD-105770</t>
  </si>
  <si>
    <t xml:space="preserve">ORD-105771</t>
  </si>
  <si>
    <t xml:space="preserve">ORD-105772</t>
  </si>
  <si>
    <t xml:space="preserve">ORD-105773</t>
  </si>
  <si>
    <t xml:space="preserve">ORD-105774</t>
  </si>
  <si>
    <t xml:space="preserve">ORD-105775</t>
  </si>
  <si>
    <t xml:space="preserve">ORD-105776</t>
  </si>
  <si>
    <t xml:space="preserve">ORD-105777</t>
  </si>
  <si>
    <t xml:space="preserve">ORD-105778</t>
  </si>
  <si>
    <t xml:space="preserve">ORD-105779</t>
  </si>
  <si>
    <t xml:space="preserve">ORD-105780</t>
  </si>
  <si>
    <t xml:space="preserve">ORD-105781</t>
  </si>
  <si>
    <t xml:space="preserve">ORD-105782</t>
  </si>
  <si>
    <t xml:space="preserve">ORD-105783</t>
  </si>
  <si>
    <t xml:space="preserve">ORD-105784</t>
  </si>
  <si>
    <t xml:space="preserve">ORD-105785</t>
  </si>
  <si>
    <t xml:space="preserve">ORD-105786</t>
  </si>
  <si>
    <t xml:space="preserve">ORD-105787</t>
  </si>
  <si>
    <t xml:space="preserve">ORD-105788</t>
  </si>
  <si>
    <t xml:space="preserve">ORD-105789</t>
  </si>
  <si>
    <t xml:space="preserve">ORD-105790</t>
  </si>
  <si>
    <t xml:space="preserve">ORD-105791</t>
  </si>
  <si>
    <t xml:space="preserve">ORD-105792</t>
  </si>
  <si>
    <t xml:space="preserve">ORD-105793</t>
  </si>
  <si>
    <t xml:space="preserve">ORD-105794</t>
  </si>
  <si>
    <t xml:space="preserve">ORD-105795</t>
  </si>
  <si>
    <t xml:space="preserve">ORD-105796</t>
  </si>
  <si>
    <t xml:space="preserve">ORD-105797</t>
  </si>
  <si>
    <t xml:space="preserve">ORD-105798</t>
  </si>
  <si>
    <t xml:space="preserve">ORD-105799</t>
  </si>
  <si>
    <t xml:space="preserve">ORD-105800</t>
  </si>
  <si>
    <t xml:space="preserve">ORD-105801</t>
  </si>
  <si>
    <t xml:space="preserve">ORD-105802</t>
  </si>
  <si>
    <t xml:space="preserve">ORD-105803</t>
  </si>
  <si>
    <t xml:space="preserve">ORD-105804</t>
  </si>
  <si>
    <t xml:space="preserve">ORD-105805</t>
  </si>
  <si>
    <t xml:space="preserve">ORD-105806</t>
  </si>
  <si>
    <t xml:space="preserve">ORD-105807</t>
  </si>
  <si>
    <t xml:space="preserve">ORD-105808</t>
  </si>
  <si>
    <t xml:space="preserve">ORD-105809</t>
  </si>
  <si>
    <t xml:space="preserve">ORD-105810</t>
  </si>
  <si>
    <t xml:space="preserve">ORD-105811</t>
  </si>
  <si>
    <t xml:space="preserve">ORD-105812</t>
  </si>
  <si>
    <t xml:space="preserve">ORD-105813</t>
  </si>
  <si>
    <t xml:space="preserve">ORD-105814</t>
  </si>
  <si>
    <t xml:space="preserve">ORD-105815</t>
  </si>
  <si>
    <t xml:space="preserve">ORD-105816</t>
  </si>
  <si>
    <t xml:space="preserve">ORD-105817</t>
  </si>
  <si>
    <t xml:space="preserve">ORD-105818</t>
  </si>
  <si>
    <t xml:space="preserve">ORD-105819</t>
  </si>
  <si>
    <t xml:space="preserve">ORD-105820</t>
  </si>
  <si>
    <t xml:space="preserve">ORD-105821</t>
  </si>
  <si>
    <t xml:space="preserve">ORD-105822</t>
  </si>
  <si>
    <t xml:space="preserve">ORD-105823</t>
  </si>
  <si>
    <t xml:space="preserve">ORD-105824</t>
  </si>
  <si>
    <t xml:space="preserve">ORD-105825</t>
  </si>
  <si>
    <t xml:space="preserve">ORD-105826</t>
  </si>
  <si>
    <t xml:space="preserve">ORD-105827</t>
  </si>
  <si>
    <t xml:space="preserve">ORD-105828</t>
  </si>
  <si>
    <t xml:space="preserve">ORD-105829</t>
  </si>
  <si>
    <t xml:space="preserve">ORD-105830</t>
  </si>
  <si>
    <t xml:space="preserve">ORD-105831</t>
  </si>
  <si>
    <t xml:space="preserve">ORD-105832</t>
  </si>
  <si>
    <t xml:space="preserve">ORD-105833</t>
  </si>
  <si>
    <t xml:space="preserve">ORD-105834</t>
  </si>
  <si>
    <t xml:space="preserve">ORD-105835</t>
  </si>
  <si>
    <t xml:space="preserve">ORD-105836</t>
  </si>
  <si>
    <t xml:space="preserve">ORD-105837</t>
  </si>
  <si>
    <t xml:space="preserve">ORD-105838</t>
  </si>
  <si>
    <t xml:space="preserve">ORD-105839</t>
  </si>
  <si>
    <t xml:space="preserve">ORD-105840</t>
  </si>
  <si>
    <t xml:space="preserve">ORD-105841</t>
  </si>
  <si>
    <t xml:space="preserve">ORD-105842</t>
  </si>
  <si>
    <t xml:space="preserve">ORD-105843</t>
  </si>
  <si>
    <t xml:space="preserve">ORD-105844</t>
  </si>
  <si>
    <t xml:space="preserve">ORD-105845</t>
  </si>
  <si>
    <t xml:space="preserve">ORD-105846</t>
  </si>
  <si>
    <t xml:space="preserve">ORD-105847</t>
  </si>
  <si>
    <t xml:space="preserve">ORD-105848</t>
  </si>
  <si>
    <t xml:space="preserve">ORD-105849</t>
  </si>
  <si>
    <t xml:space="preserve">ORD-105850</t>
  </si>
  <si>
    <t xml:space="preserve">ORD-105851</t>
  </si>
  <si>
    <t xml:space="preserve">ORD-105852</t>
  </si>
  <si>
    <t xml:space="preserve">ORD-105853</t>
  </si>
  <si>
    <t xml:space="preserve">ORD-105854</t>
  </si>
  <si>
    <t xml:space="preserve">ORD-105855</t>
  </si>
  <si>
    <t xml:space="preserve">ORD-105856</t>
  </si>
  <si>
    <t xml:space="preserve">ORD-105857</t>
  </si>
  <si>
    <t xml:space="preserve">ORD-105858</t>
  </si>
  <si>
    <t xml:space="preserve">ORD-105859</t>
  </si>
  <si>
    <t xml:space="preserve">ORD-105860</t>
  </si>
  <si>
    <t xml:space="preserve">ORD-105861</t>
  </si>
  <si>
    <t xml:space="preserve">ORD-105862</t>
  </si>
  <si>
    <t xml:space="preserve">ORD-105863</t>
  </si>
  <si>
    <t xml:space="preserve">ORD-105864</t>
  </si>
  <si>
    <t xml:space="preserve">ORD-105865</t>
  </si>
  <si>
    <t xml:space="preserve">ORD-105866</t>
  </si>
  <si>
    <t xml:space="preserve">ORD-105867</t>
  </si>
  <si>
    <t xml:space="preserve">ORD-105868</t>
  </si>
  <si>
    <t xml:space="preserve">ORD-105869</t>
  </si>
  <si>
    <t xml:space="preserve">ORD-105870</t>
  </si>
  <si>
    <t xml:space="preserve">ORD-105871</t>
  </si>
  <si>
    <t xml:space="preserve">ORD-105872</t>
  </si>
  <si>
    <t xml:space="preserve">ORD-105873</t>
  </si>
  <si>
    <t xml:space="preserve">ORD-105874</t>
  </si>
  <si>
    <t xml:space="preserve">ORD-105875</t>
  </si>
  <si>
    <t xml:space="preserve">ORD-105876</t>
  </si>
  <si>
    <t xml:space="preserve">ORD-105877</t>
  </si>
  <si>
    <t xml:space="preserve">ORD-105878</t>
  </si>
  <si>
    <t xml:space="preserve">ORD-105879</t>
  </si>
  <si>
    <t xml:space="preserve">ORD-105880</t>
  </si>
  <si>
    <t xml:space="preserve">ORD-105881</t>
  </si>
  <si>
    <t xml:space="preserve">ORD-105882</t>
  </si>
  <si>
    <t xml:space="preserve">ORD-105883</t>
  </si>
  <si>
    <t xml:space="preserve">ORD-105884</t>
  </si>
  <si>
    <t xml:space="preserve">ORD-105885</t>
  </si>
  <si>
    <t xml:space="preserve">ORD-105886</t>
  </si>
  <si>
    <t xml:space="preserve">ORD-105887</t>
  </si>
  <si>
    <t xml:space="preserve">ORD-105888</t>
  </si>
  <si>
    <t xml:space="preserve">ORD-105889</t>
  </si>
  <si>
    <t xml:space="preserve">ORD-105890</t>
  </si>
  <si>
    <t xml:space="preserve">ORD-105891</t>
  </si>
  <si>
    <t xml:space="preserve">ORD-105892</t>
  </si>
  <si>
    <t xml:space="preserve">ORD-105893</t>
  </si>
  <si>
    <t xml:space="preserve">ORD-105894</t>
  </si>
  <si>
    <t xml:space="preserve">ORD-105895</t>
  </si>
  <si>
    <t xml:space="preserve">ORD-105896</t>
  </si>
  <si>
    <t xml:space="preserve">ORD-105897</t>
  </si>
  <si>
    <t xml:space="preserve">ORD-105898</t>
  </si>
  <si>
    <t xml:space="preserve">ORD-105899</t>
  </si>
  <si>
    <t xml:space="preserve">ORD-105900</t>
  </si>
  <si>
    <t xml:space="preserve">ORD-105901</t>
  </si>
  <si>
    <t xml:space="preserve">ORD-105902</t>
  </si>
  <si>
    <t xml:space="preserve">ORD-105903</t>
  </si>
  <si>
    <t xml:space="preserve">ORD-105904</t>
  </si>
  <si>
    <t xml:space="preserve">ORD-105905</t>
  </si>
  <si>
    <t xml:space="preserve">ORD-105906</t>
  </si>
  <si>
    <t xml:space="preserve">ORD-105907</t>
  </si>
  <si>
    <t xml:space="preserve">ORD-105908</t>
  </si>
  <si>
    <t xml:space="preserve">ORD-105909</t>
  </si>
  <si>
    <t xml:space="preserve">ORD-105910</t>
  </si>
  <si>
    <t xml:space="preserve">ORD-105911</t>
  </si>
  <si>
    <t xml:space="preserve">ORD-105912</t>
  </si>
  <si>
    <t xml:space="preserve">ORD-105913</t>
  </si>
  <si>
    <t xml:space="preserve">ORD-105914</t>
  </si>
  <si>
    <t xml:space="preserve">ORD-105915</t>
  </si>
  <si>
    <t xml:space="preserve">ORD-105916</t>
  </si>
  <si>
    <t xml:space="preserve">ORD-105917</t>
  </si>
  <si>
    <t xml:space="preserve">ORD-105918</t>
  </si>
  <si>
    <t xml:space="preserve">ORD-105919</t>
  </si>
  <si>
    <t xml:space="preserve">ORD-105920</t>
  </si>
  <si>
    <t xml:space="preserve">ORD-105921</t>
  </si>
  <si>
    <t xml:space="preserve">ORD-105922</t>
  </si>
  <si>
    <t xml:space="preserve">ORD-105923</t>
  </si>
  <si>
    <t xml:space="preserve">ORD-105924</t>
  </si>
  <si>
    <t xml:space="preserve">ORD-105925</t>
  </si>
  <si>
    <t xml:space="preserve">ORD-105926</t>
  </si>
  <si>
    <t xml:space="preserve">ORD-105927</t>
  </si>
  <si>
    <t xml:space="preserve">ORD-105928</t>
  </si>
  <si>
    <t xml:space="preserve">ORD-105929</t>
  </si>
  <si>
    <t xml:space="preserve">ORD-105930</t>
  </si>
  <si>
    <t xml:space="preserve">ORD-105931</t>
  </si>
  <si>
    <t xml:space="preserve">ORD-105932</t>
  </si>
  <si>
    <t xml:space="preserve">ORD-105933</t>
  </si>
  <si>
    <t xml:space="preserve">ORD-105934</t>
  </si>
  <si>
    <t xml:space="preserve">ORD-105935</t>
  </si>
  <si>
    <t xml:space="preserve">ORD-105936</t>
  </si>
  <si>
    <t xml:space="preserve">ORD-105937</t>
  </si>
  <si>
    <t xml:space="preserve">ORD-105938</t>
  </si>
  <si>
    <t xml:space="preserve">ORD-105939</t>
  </si>
  <si>
    <t xml:space="preserve">ORD-105940</t>
  </si>
  <si>
    <t xml:space="preserve">ORD-105941</t>
  </si>
  <si>
    <t xml:space="preserve">ORD-105942</t>
  </si>
  <si>
    <t xml:space="preserve">ORD-105943</t>
  </si>
  <si>
    <t xml:space="preserve">ORD-105944</t>
  </si>
  <si>
    <t xml:space="preserve">ORD-105945</t>
  </si>
  <si>
    <t xml:space="preserve">ORD-105946</t>
  </si>
  <si>
    <t xml:space="preserve">ORD-105947</t>
  </si>
  <si>
    <t xml:space="preserve">ORD-105948</t>
  </si>
  <si>
    <t xml:space="preserve">ORD-105949</t>
  </si>
  <si>
    <t xml:space="preserve">ORD-105950</t>
  </si>
  <si>
    <t xml:space="preserve">ORD-105951</t>
  </si>
  <si>
    <t xml:space="preserve">ORD-105952</t>
  </si>
  <si>
    <t xml:space="preserve">ORD-105953</t>
  </si>
  <si>
    <t xml:space="preserve">ORD-105954</t>
  </si>
  <si>
    <t xml:space="preserve">ORD-105955</t>
  </si>
  <si>
    <t xml:space="preserve">ORD-105956</t>
  </si>
  <si>
    <t xml:space="preserve">ORD-105957</t>
  </si>
  <si>
    <t xml:space="preserve">ORD-105958</t>
  </si>
  <si>
    <t xml:space="preserve">ORD-105959</t>
  </si>
  <si>
    <t xml:space="preserve">ORD-105960</t>
  </si>
  <si>
    <t xml:space="preserve">ORD-105961</t>
  </si>
  <si>
    <t xml:space="preserve">ORD-105962</t>
  </si>
  <si>
    <t xml:space="preserve">ORD-105963</t>
  </si>
  <si>
    <t xml:space="preserve">ORD-105964</t>
  </si>
  <si>
    <t xml:space="preserve">ORD-105965</t>
  </si>
  <si>
    <t xml:space="preserve">ORD-105966</t>
  </si>
  <si>
    <t xml:space="preserve">ORD-105967</t>
  </si>
  <si>
    <t xml:space="preserve">ORD-105968</t>
  </si>
  <si>
    <t xml:space="preserve">ORD-105969</t>
  </si>
  <si>
    <t xml:space="preserve">ORD-105970</t>
  </si>
  <si>
    <t xml:space="preserve">ORD-105971</t>
  </si>
  <si>
    <t xml:space="preserve">ORD-105972</t>
  </si>
  <si>
    <t xml:space="preserve">ORD-105973</t>
  </si>
  <si>
    <t xml:space="preserve">ORD-105974</t>
  </si>
  <si>
    <t xml:space="preserve">ORD-105975</t>
  </si>
  <si>
    <t xml:space="preserve">ORD-105976</t>
  </si>
  <si>
    <t xml:space="preserve">ORD-105977</t>
  </si>
  <si>
    <t xml:space="preserve">ORD-105978</t>
  </si>
  <si>
    <t xml:space="preserve">ORD-105979</t>
  </si>
  <si>
    <t xml:space="preserve">ORD-105980</t>
  </si>
  <si>
    <t xml:space="preserve">ORD-105981</t>
  </si>
  <si>
    <t xml:space="preserve">ORD-105982</t>
  </si>
  <si>
    <t xml:space="preserve">ORD-105983</t>
  </si>
  <si>
    <t xml:space="preserve">ORD-105984</t>
  </si>
  <si>
    <t xml:space="preserve">ORD-105985</t>
  </si>
  <si>
    <t xml:space="preserve">ORD-105986</t>
  </si>
  <si>
    <t xml:space="preserve">ORD-105987</t>
  </si>
  <si>
    <t xml:space="preserve">ORD-105988</t>
  </si>
  <si>
    <t xml:space="preserve">ORD-105989</t>
  </si>
  <si>
    <t xml:space="preserve">ORD-105990</t>
  </si>
  <si>
    <t xml:space="preserve">ORD-105991</t>
  </si>
  <si>
    <t xml:space="preserve">ORD-105992</t>
  </si>
  <si>
    <t xml:space="preserve">ORD-105993</t>
  </si>
  <si>
    <t xml:space="preserve">ORD-105994</t>
  </si>
  <si>
    <t xml:space="preserve">ORD-105995</t>
  </si>
  <si>
    <t xml:space="preserve">ORD-105996</t>
  </si>
  <si>
    <t xml:space="preserve">ORD-105997</t>
  </si>
  <si>
    <t xml:space="preserve">ORD-105998</t>
  </si>
  <si>
    <t xml:space="preserve">ORD-105999</t>
  </si>
  <si>
    <t xml:space="preserve">ORD-106000</t>
  </si>
  <si>
    <t xml:space="preserve">ORD-106001</t>
  </si>
  <si>
    <t xml:space="preserve">ORD-106002</t>
  </si>
  <si>
    <t xml:space="preserve">ORD-106003</t>
  </si>
  <si>
    <t xml:space="preserve">ORD-106004</t>
  </si>
  <si>
    <t xml:space="preserve">ORD-106005</t>
  </si>
  <si>
    <t xml:space="preserve">ORD-106006</t>
  </si>
  <si>
    <t xml:space="preserve">ORD-106007</t>
  </si>
  <si>
    <t xml:space="preserve">ORD-106008</t>
  </si>
  <si>
    <t xml:space="preserve">ORD-106009</t>
  </si>
  <si>
    <t xml:space="preserve">ORD-106010</t>
  </si>
  <si>
    <t xml:space="preserve">ORD-106011</t>
  </si>
  <si>
    <t xml:space="preserve">ORD-106012</t>
  </si>
  <si>
    <t xml:space="preserve">ORD-106013</t>
  </si>
  <si>
    <t xml:space="preserve">ORD-106014</t>
  </si>
  <si>
    <t xml:space="preserve">ORD-106015</t>
  </si>
  <si>
    <t xml:space="preserve">ORD-106016</t>
  </si>
  <si>
    <t xml:space="preserve">ORD-106017</t>
  </si>
  <si>
    <t xml:space="preserve">ORD-106018</t>
  </si>
  <si>
    <t xml:space="preserve">ORD-106019</t>
  </si>
  <si>
    <t xml:space="preserve">ORD-106020</t>
  </si>
  <si>
    <t xml:space="preserve">ORD-106021</t>
  </si>
  <si>
    <t xml:space="preserve">ORD-106022</t>
  </si>
  <si>
    <t xml:space="preserve">ORD-106023</t>
  </si>
  <si>
    <t xml:space="preserve">ORD-106024</t>
  </si>
  <si>
    <t xml:space="preserve">ORD-106025</t>
  </si>
  <si>
    <t xml:space="preserve">ORD-106026</t>
  </si>
  <si>
    <t xml:space="preserve">ORD-106027</t>
  </si>
  <si>
    <t xml:space="preserve">ORD-106028</t>
  </si>
  <si>
    <t xml:space="preserve">ORD-106029</t>
  </si>
  <si>
    <t xml:space="preserve">ORD-106030</t>
  </si>
  <si>
    <t xml:space="preserve">ORD-106031</t>
  </si>
  <si>
    <t xml:space="preserve">ORD-106032</t>
  </si>
  <si>
    <t xml:space="preserve">ORD-106033</t>
  </si>
  <si>
    <t xml:space="preserve">ORD-106034</t>
  </si>
  <si>
    <t xml:space="preserve">ORD-106035</t>
  </si>
  <si>
    <t xml:space="preserve">ORD-106036</t>
  </si>
  <si>
    <t xml:space="preserve">ORD-106037</t>
  </si>
  <si>
    <t xml:space="preserve">ORD-106038</t>
  </si>
  <si>
    <t xml:space="preserve">ORD-106039</t>
  </si>
  <si>
    <t xml:space="preserve">ORD-106040</t>
  </si>
  <si>
    <t xml:space="preserve">ORD-106041</t>
  </si>
  <si>
    <t xml:space="preserve">ORD-106042</t>
  </si>
  <si>
    <t xml:space="preserve">ORD-106043</t>
  </si>
  <si>
    <t xml:space="preserve">ORD-106044</t>
  </si>
  <si>
    <t xml:space="preserve">ORD-106045</t>
  </si>
  <si>
    <t xml:space="preserve">ORD-106046</t>
  </si>
  <si>
    <t xml:space="preserve">ORD-106047</t>
  </si>
  <si>
    <t xml:space="preserve">ORD-106048</t>
  </si>
  <si>
    <t xml:space="preserve">ORD-106049</t>
  </si>
  <si>
    <t xml:space="preserve">ORD-106050</t>
  </si>
  <si>
    <t xml:space="preserve">ORD-106051</t>
  </si>
  <si>
    <t xml:space="preserve">ORD-106052</t>
  </si>
  <si>
    <t xml:space="preserve">ORD-106053</t>
  </si>
  <si>
    <t xml:space="preserve">ORD-106054</t>
  </si>
  <si>
    <t xml:space="preserve">ORD-106055</t>
  </si>
  <si>
    <t xml:space="preserve">ORD-106056</t>
  </si>
  <si>
    <t xml:space="preserve">ORD-106057</t>
  </si>
  <si>
    <t xml:space="preserve">ORD-106058</t>
  </si>
  <si>
    <t xml:space="preserve">ORD-106059</t>
  </si>
  <si>
    <t xml:space="preserve">ORD-106060</t>
  </si>
  <si>
    <t xml:space="preserve">ORD-106061</t>
  </si>
  <si>
    <t xml:space="preserve">ORD-106062</t>
  </si>
  <si>
    <t xml:space="preserve">ORD-106063</t>
  </si>
  <si>
    <t xml:space="preserve">ORD-106064</t>
  </si>
  <si>
    <t xml:space="preserve">ORD-106065</t>
  </si>
  <si>
    <t xml:space="preserve">ORD-106066</t>
  </si>
  <si>
    <t xml:space="preserve">ORD-106067</t>
  </si>
  <si>
    <t xml:space="preserve">ORD-106068</t>
  </si>
  <si>
    <t xml:space="preserve">ORD-106069</t>
  </si>
  <si>
    <t xml:space="preserve">ORD-106070</t>
  </si>
  <si>
    <t xml:space="preserve">ORD-106071</t>
  </si>
  <si>
    <t xml:space="preserve">ORD-106072</t>
  </si>
  <si>
    <t xml:space="preserve">ORD-106073</t>
  </si>
  <si>
    <t xml:space="preserve">ORD-106074</t>
  </si>
  <si>
    <t xml:space="preserve">ORD-106075</t>
  </si>
  <si>
    <t xml:space="preserve">ORD-106076</t>
  </si>
  <si>
    <t xml:space="preserve">ORD-106077</t>
  </si>
  <si>
    <t xml:space="preserve">ORD-106078</t>
  </si>
  <si>
    <t xml:space="preserve">ORD-106079</t>
  </si>
  <si>
    <t xml:space="preserve">ORD-106080</t>
  </si>
  <si>
    <t xml:space="preserve">ORD-106081</t>
  </si>
  <si>
    <t xml:space="preserve">ORD-106082</t>
  </si>
  <si>
    <t xml:space="preserve">ORD-106083</t>
  </si>
  <si>
    <t xml:space="preserve">ORD-106084</t>
  </si>
  <si>
    <t xml:space="preserve">ORD-106085</t>
  </si>
  <si>
    <t xml:space="preserve">ORD-106086</t>
  </si>
  <si>
    <t xml:space="preserve">ORD-106087</t>
  </si>
  <si>
    <t xml:space="preserve">ORD-106088</t>
  </si>
  <si>
    <t xml:space="preserve">ORD-106089</t>
  </si>
  <si>
    <t xml:space="preserve">ORD-106090</t>
  </si>
  <si>
    <t xml:space="preserve">ORD-106091</t>
  </si>
  <si>
    <t xml:space="preserve">ORD-106092</t>
  </si>
  <si>
    <t xml:space="preserve">ORD-106093</t>
  </si>
  <si>
    <t xml:space="preserve">ORD-106094</t>
  </si>
  <si>
    <t xml:space="preserve">ORD-106095</t>
  </si>
  <si>
    <t xml:space="preserve">ORD-106096</t>
  </si>
  <si>
    <t xml:space="preserve">ORD-106097</t>
  </si>
  <si>
    <t xml:space="preserve">ORD-106098</t>
  </si>
  <si>
    <t xml:space="preserve">ORD-106099</t>
  </si>
  <si>
    <t xml:space="preserve">ORD-106100</t>
  </si>
  <si>
    <t xml:space="preserve">ORD-106101</t>
  </si>
  <si>
    <t xml:space="preserve">ORD-106102</t>
  </si>
  <si>
    <t xml:space="preserve">ORD-106103</t>
  </si>
  <si>
    <t xml:space="preserve">ORD-106104</t>
  </si>
  <si>
    <t xml:space="preserve">ORD-106105</t>
  </si>
  <si>
    <t xml:space="preserve">ORD-106106</t>
  </si>
  <si>
    <t xml:space="preserve">ORD-106107</t>
  </si>
  <si>
    <t xml:space="preserve">ORD-106108</t>
  </si>
  <si>
    <t xml:space="preserve">ORD-106109</t>
  </si>
  <si>
    <t xml:space="preserve">ORD-106110</t>
  </si>
  <si>
    <t xml:space="preserve">ORD-106111</t>
  </si>
  <si>
    <t xml:space="preserve">ORD-106112</t>
  </si>
  <si>
    <t xml:space="preserve">ORD-106113</t>
  </si>
  <si>
    <t xml:space="preserve">ORD-106114</t>
  </si>
  <si>
    <t xml:space="preserve">ORD-106115</t>
  </si>
  <si>
    <t xml:space="preserve">ORD-106116</t>
  </si>
  <si>
    <t xml:space="preserve">ORD-106117</t>
  </si>
  <si>
    <t xml:space="preserve">ORD-106118</t>
  </si>
  <si>
    <t xml:space="preserve">ORD-106119</t>
  </si>
  <si>
    <t xml:space="preserve">ORD-106120</t>
  </si>
  <si>
    <t xml:space="preserve">ORD-106121</t>
  </si>
  <si>
    <t xml:space="preserve">ORD-106122</t>
  </si>
  <si>
    <t xml:space="preserve">ORD-106123</t>
  </si>
  <si>
    <t xml:space="preserve">ORD-106124</t>
  </si>
  <si>
    <t xml:space="preserve">ORD-106125</t>
  </si>
  <si>
    <t xml:space="preserve">ORD-106126</t>
  </si>
  <si>
    <t xml:space="preserve">ORD-106127</t>
  </si>
  <si>
    <t xml:space="preserve">ORD-106128</t>
  </si>
  <si>
    <t xml:space="preserve">ORD-106129</t>
  </si>
  <si>
    <t xml:space="preserve">ORD-106130</t>
  </si>
  <si>
    <t xml:space="preserve">ORD-106131</t>
  </si>
  <si>
    <t xml:space="preserve">ORD-106132</t>
  </si>
  <si>
    <t xml:space="preserve">ORD-106133</t>
  </si>
  <si>
    <t xml:space="preserve">ORD-106134</t>
  </si>
  <si>
    <t xml:space="preserve">ORD-106135</t>
  </si>
  <si>
    <t xml:space="preserve">ORD-106136</t>
  </si>
  <si>
    <t xml:space="preserve">ORD-106137</t>
  </si>
  <si>
    <t xml:space="preserve">ORD-106138</t>
  </si>
  <si>
    <t xml:space="preserve">ORD-106139</t>
  </si>
  <si>
    <t xml:space="preserve">ORD-106140</t>
  </si>
  <si>
    <t xml:space="preserve">ORD-106141</t>
  </si>
  <si>
    <t xml:space="preserve">ORD-106142</t>
  </si>
  <si>
    <t xml:space="preserve">ORD-106143</t>
  </si>
  <si>
    <t xml:space="preserve">ORD-106144</t>
  </si>
  <si>
    <t xml:space="preserve">ORD-106145</t>
  </si>
  <si>
    <t xml:space="preserve">ORD-106146</t>
  </si>
  <si>
    <t xml:space="preserve">ORD-106147</t>
  </si>
  <si>
    <t xml:space="preserve">ORD-106148</t>
  </si>
  <si>
    <t xml:space="preserve">ORD-106149</t>
  </si>
  <si>
    <t xml:space="preserve">ORD-106150</t>
  </si>
  <si>
    <t xml:space="preserve">ORD-106151</t>
  </si>
  <si>
    <t xml:space="preserve">ORD-106152</t>
  </si>
  <si>
    <t xml:space="preserve">ORD-106153</t>
  </si>
  <si>
    <t xml:space="preserve">ORD-106154</t>
  </si>
  <si>
    <t xml:space="preserve">ORD-106155</t>
  </si>
  <si>
    <t xml:space="preserve">ORD-106156</t>
  </si>
  <si>
    <t xml:space="preserve">ORD-106157</t>
  </si>
  <si>
    <t xml:space="preserve">ORD-106158</t>
  </si>
  <si>
    <t xml:space="preserve">ORD-106159</t>
  </si>
  <si>
    <t xml:space="preserve">ORD-106160</t>
  </si>
  <si>
    <t xml:space="preserve">ORD-106161</t>
  </si>
  <si>
    <t xml:space="preserve">ORD-106162</t>
  </si>
  <si>
    <t xml:space="preserve">ORD-106163</t>
  </si>
  <si>
    <t xml:space="preserve">ORD-106164</t>
  </si>
  <si>
    <t xml:space="preserve">ORD-106165</t>
  </si>
  <si>
    <t xml:space="preserve">ORD-106166</t>
  </si>
  <si>
    <t xml:space="preserve">ORD-106167</t>
  </si>
  <si>
    <t xml:space="preserve">ORD-106168</t>
  </si>
  <si>
    <t xml:space="preserve">ORD-106169</t>
  </si>
  <si>
    <t xml:space="preserve">ORD-106170</t>
  </si>
  <si>
    <t xml:space="preserve">ORD-106171</t>
  </si>
  <si>
    <t xml:space="preserve">ORD-106172</t>
  </si>
  <si>
    <t xml:space="preserve">ORD-106173</t>
  </si>
  <si>
    <t xml:space="preserve">ORD-106174</t>
  </si>
  <si>
    <t xml:space="preserve">ORD-106175</t>
  </si>
  <si>
    <t xml:space="preserve">ORD-106176</t>
  </si>
  <si>
    <t xml:space="preserve">ORD-106177</t>
  </si>
  <si>
    <t xml:space="preserve">ORD-106178</t>
  </si>
  <si>
    <t xml:space="preserve">ORD-106179</t>
  </si>
  <si>
    <t xml:space="preserve">ORD-106180</t>
  </si>
  <si>
    <t xml:space="preserve">ORD-106181</t>
  </si>
  <si>
    <t xml:space="preserve">ORD-106182</t>
  </si>
  <si>
    <t xml:space="preserve">ORD-106183</t>
  </si>
  <si>
    <t xml:space="preserve">ORD-106184</t>
  </si>
  <si>
    <t xml:space="preserve">ORD-106185</t>
  </si>
  <si>
    <t xml:space="preserve">ORD-106186</t>
  </si>
  <si>
    <t xml:space="preserve">ORD-106187</t>
  </si>
  <si>
    <t xml:space="preserve">ORD-106188</t>
  </si>
  <si>
    <t xml:space="preserve">ORD-106189</t>
  </si>
  <si>
    <t xml:space="preserve">ORD-106190</t>
  </si>
  <si>
    <t xml:space="preserve">ORD-106191</t>
  </si>
  <si>
    <t xml:space="preserve">ORD-106192</t>
  </si>
  <si>
    <t xml:space="preserve">ORD-106193</t>
  </si>
  <si>
    <t xml:space="preserve">ORD-106194</t>
  </si>
  <si>
    <t xml:space="preserve">ORD-106195</t>
  </si>
  <si>
    <t xml:space="preserve">ORD-106196</t>
  </si>
  <si>
    <t xml:space="preserve">ORD-106197</t>
  </si>
  <si>
    <t xml:space="preserve">ORD-106198</t>
  </si>
  <si>
    <t xml:space="preserve">ORD-106199</t>
  </si>
  <si>
    <t xml:space="preserve">ORD-106200</t>
  </si>
  <si>
    <t xml:space="preserve">ORD-106201</t>
  </si>
  <si>
    <t xml:space="preserve">ORD-106202</t>
  </si>
  <si>
    <t xml:space="preserve">ORD-106203</t>
  </si>
  <si>
    <t xml:space="preserve">ORD-106204</t>
  </si>
  <si>
    <t xml:space="preserve">ORD-106205</t>
  </si>
  <si>
    <t xml:space="preserve">ORD-106206</t>
  </si>
  <si>
    <t xml:space="preserve">ORD-106207</t>
  </si>
  <si>
    <t xml:space="preserve">ORD-106208</t>
  </si>
  <si>
    <t xml:space="preserve">ORD-106209</t>
  </si>
  <si>
    <t xml:space="preserve">ORD-106210</t>
  </si>
  <si>
    <t xml:space="preserve">ORD-106211</t>
  </si>
  <si>
    <t xml:space="preserve">ORD-106212</t>
  </si>
  <si>
    <t xml:space="preserve">ORD-106213</t>
  </si>
  <si>
    <t xml:space="preserve">ORD-106214</t>
  </si>
  <si>
    <t xml:space="preserve">ORD-106215</t>
  </si>
  <si>
    <t xml:space="preserve">ORD-106216</t>
  </si>
  <si>
    <t xml:space="preserve">ORD-106217</t>
  </si>
  <si>
    <t xml:space="preserve">ORD-106218</t>
  </si>
  <si>
    <t xml:space="preserve">ORD-106219</t>
  </si>
  <si>
    <t xml:space="preserve">ORD-106220</t>
  </si>
  <si>
    <t xml:space="preserve">ORD-106221</t>
  </si>
  <si>
    <t xml:space="preserve">ORD-106222</t>
  </si>
  <si>
    <t xml:space="preserve">ORD-106223</t>
  </si>
  <si>
    <t xml:space="preserve">ORD-106224</t>
  </si>
  <si>
    <t xml:space="preserve">ORD-106225</t>
  </si>
  <si>
    <t xml:space="preserve">ORD-106226</t>
  </si>
  <si>
    <t xml:space="preserve">ORD-106227</t>
  </si>
  <si>
    <t xml:space="preserve">ORD-106228</t>
  </si>
  <si>
    <t xml:space="preserve">ORD-106229</t>
  </si>
  <si>
    <t xml:space="preserve">ORD-106230</t>
  </si>
  <si>
    <t xml:space="preserve">ORD-106231</t>
  </si>
  <si>
    <t xml:space="preserve">ORD-106232</t>
  </si>
  <si>
    <t xml:space="preserve">ORD-106233</t>
  </si>
  <si>
    <t xml:space="preserve">ORD-106234</t>
  </si>
  <si>
    <t xml:space="preserve">ORD-106235</t>
  </si>
  <si>
    <t xml:space="preserve">ORD-106236</t>
  </si>
  <si>
    <t xml:space="preserve">ORD-106237</t>
  </si>
  <si>
    <t xml:space="preserve">ORD-106238</t>
  </si>
  <si>
    <t xml:space="preserve">ORD-106239</t>
  </si>
  <si>
    <t xml:space="preserve">ORD-106240</t>
  </si>
  <si>
    <t xml:space="preserve">ORD-106241</t>
  </si>
  <si>
    <t xml:space="preserve">ORD-106242</t>
  </si>
  <si>
    <t xml:space="preserve">ORD-106243</t>
  </si>
  <si>
    <t xml:space="preserve">ORD-106244</t>
  </si>
  <si>
    <t xml:space="preserve">ORD-106245</t>
  </si>
  <si>
    <t xml:space="preserve">ORD-106246</t>
  </si>
  <si>
    <t xml:space="preserve">ORD-106247</t>
  </si>
  <si>
    <t xml:space="preserve">ORD-106248</t>
  </si>
  <si>
    <t xml:space="preserve">ORD-106249</t>
  </si>
  <si>
    <t xml:space="preserve">ORD-106250</t>
  </si>
  <si>
    <t xml:space="preserve">ORD-106251</t>
  </si>
  <si>
    <t xml:space="preserve">ORD-106252</t>
  </si>
  <si>
    <t xml:space="preserve">ORD-106253</t>
  </si>
  <si>
    <t xml:space="preserve">ORD-106254</t>
  </si>
  <si>
    <t xml:space="preserve">ORD-106255</t>
  </si>
  <si>
    <t xml:space="preserve">ORD-106256</t>
  </si>
  <si>
    <t xml:space="preserve">ORD-106257</t>
  </si>
  <si>
    <t xml:space="preserve">ORD-106258</t>
  </si>
  <si>
    <t xml:space="preserve">ORD-106259</t>
  </si>
  <si>
    <t xml:space="preserve">ORD-106260</t>
  </si>
  <si>
    <t xml:space="preserve">ORD-106261</t>
  </si>
  <si>
    <t xml:space="preserve">ORD-106262</t>
  </si>
  <si>
    <t xml:space="preserve">ORD-106263</t>
  </si>
  <si>
    <t xml:space="preserve">ORD-106264</t>
  </si>
  <si>
    <t xml:space="preserve">ORD-106265</t>
  </si>
  <si>
    <t xml:space="preserve">ORD-106266</t>
  </si>
  <si>
    <t xml:space="preserve">ORD-106267</t>
  </si>
  <si>
    <t xml:space="preserve">ORD-106268</t>
  </si>
  <si>
    <t xml:space="preserve">ORD-106269</t>
  </si>
  <si>
    <t xml:space="preserve">ORD-106270</t>
  </si>
  <si>
    <t xml:space="preserve">ORD-106271</t>
  </si>
  <si>
    <t xml:space="preserve">ORD-106272</t>
  </si>
  <si>
    <t xml:space="preserve">ORD-106273</t>
  </si>
  <si>
    <t xml:space="preserve">ORD-106274</t>
  </si>
  <si>
    <t xml:space="preserve">ORD-106275</t>
  </si>
  <si>
    <t xml:space="preserve">ORD-106276</t>
  </si>
  <si>
    <t xml:space="preserve">ORD-106277</t>
  </si>
  <si>
    <t xml:space="preserve">ORD-106278</t>
  </si>
  <si>
    <t xml:space="preserve">ORD-106279</t>
  </si>
  <si>
    <t xml:space="preserve">ORD-106280</t>
  </si>
  <si>
    <t xml:space="preserve">ORD-106281</t>
  </si>
  <si>
    <t xml:space="preserve">ORD-106282</t>
  </si>
  <si>
    <t xml:space="preserve">ORD-106283</t>
  </si>
  <si>
    <t xml:space="preserve">ORD-106284</t>
  </si>
  <si>
    <t xml:space="preserve">ORD-106285</t>
  </si>
  <si>
    <t xml:space="preserve">ORD-106286</t>
  </si>
  <si>
    <t xml:space="preserve">ORD-106287</t>
  </si>
  <si>
    <t xml:space="preserve">ORD-106288</t>
  </si>
  <si>
    <t xml:space="preserve">ORD-106289</t>
  </si>
  <si>
    <t xml:space="preserve">ORD-106290</t>
  </si>
  <si>
    <t xml:space="preserve">ORD-106291</t>
  </si>
  <si>
    <t xml:space="preserve">ORD-106292</t>
  </si>
  <si>
    <t xml:space="preserve">ORD-106293</t>
  </si>
  <si>
    <t xml:space="preserve">ORD-106294</t>
  </si>
  <si>
    <t xml:space="preserve">ORD-106295</t>
  </si>
  <si>
    <t xml:space="preserve">ORD-106296</t>
  </si>
  <si>
    <t xml:space="preserve">ORD-106297</t>
  </si>
  <si>
    <t xml:space="preserve">ORD-106298</t>
  </si>
  <si>
    <t xml:space="preserve">ORD-106299</t>
  </si>
  <si>
    <t xml:space="preserve">ORD-106300</t>
  </si>
  <si>
    <t xml:space="preserve">ORD-106301</t>
  </si>
  <si>
    <t xml:space="preserve">ORD-106302</t>
  </si>
  <si>
    <t xml:space="preserve">ORD-106303</t>
  </si>
  <si>
    <t xml:space="preserve">ORD-106304</t>
  </si>
  <si>
    <t xml:space="preserve">ORD-106305</t>
  </si>
  <si>
    <t xml:space="preserve">ORD-106306</t>
  </si>
  <si>
    <t xml:space="preserve">ORD-106307</t>
  </si>
  <si>
    <t xml:space="preserve">ORD-106308</t>
  </si>
  <si>
    <t xml:space="preserve">ORD-106309</t>
  </si>
  <si>
    <t xml:space="preserve">ORD-106310</t>
  </si>
  <si>
    <t xml:space="preserve">ORD-106311</t>
  </si>
  <si>
    <t xml:space="preserve">ORD-106312</t>
  </si>
  <si>
    <t xml:space="preserve">ORD-106313</t>
  </si>
  <si>
    <t xml:space="preserve">ORD-106314</t>
  </si>
  <si>
    <t xml:space="preserve">ORD-106315</t>
  </si>
  <si>
    <t xml:space="preserve">ORD-106316</t>
  </si>
  <si>
    <t xml:space="preserve">ORD-106317</t>
  </si>
  <si>
    <t xml:space="preserve">ORD-106318</t>
  </si>
  <si>
    <t xml:space="preserve">ORD-106319</t>
  </si>
  <si>
    <t xml:space="preserve">ORD-106320</t>
  </si>
  <si>
    <t xml:space="preserve">ORD-106321</t>
  </si>
  <si>
    <t xml:space="preserve">ORD-106322</t>
  </si>
  <si>
    <t xml:space="preserve">ORD-106323</t>
  </si>
  <si>
    <t xml:space="preserve">ORD-106324</t>
  </si>
  <si>
    <t xml:space="preserve">ORD-106325</t>
  </si>
  <si>
    <t xml:space="preserve">ORD-106326</t>
  </si>
  <si>
    <t xml:space="preserve">ORD-106327</t>
  </si>
  <si>
    <t xml:space="preserve">ORD-106328</t>
  </si>
  <si>
    <t xml:space="preserve">ORD-106329</t>
  </si>
  <si>
    <t xml:space="preserve">ORD-106330</t>
  </si>
  <si>
    <t xml:space="preserve">ORD-106331</t>
  </si>
  <si>
    <t xml:space="preserve">ORD-106332</t>
  </si>
  <si>
    <t xml:space="preserve">ORD-106333</t>
  </si>
  <si>
    <t xml:space="preserve">ORD-106334</t>
  </si>
  <si>
    <t xml:space="preserve">ORD-106335</t>
  </si>
  <si>
    <t xml:space="preserve">ORD-106336</t>
  </si>
  <si>
    <t xml:space="preserve">ORD-106337</t>
  </si>
  <si>
    <t xml:space="preserve">ORD-106338</t>
  </si>
  <si>
    <t xml:space="preserve">ORD-106339</t>
  </si>
  <si>
    <t xml:space="preserve">ORD-106340</t>
  </si>
  <si>
    <t xml:space="preserve">ORD-106341</t>
  </si>
  <si>
    <t xml:space="preserve">ORD-106342</t>
  </si>
  <si>
    <t xml:space="preserve">ORD-106343</t>
  </si>
  <si>
    <t xml:space="preserve">ORD-106344</t>
  </si>
  <si>
    <t xml:space="preserve">ORD-106345</t>
  </si>
  <si>
    <t xml:space="preserve">ORD-106346</t>
  </si>
  <si>
    <t xml:space="preserve">ORD-106347</t>
  </si>
  <si>
    <t xml:space="preserve">ORD-106348</t>
  </si>
  <si>
    <t xml:space="preserve">ORD-106349</t>
  </si>
  <si>
    <t xml:space="preserve">ORD-106350</t>
  </si>
  <si>
    <t xml:space="preserve">ORD-106351</t>
  </si>
  <si>
    <t xml:space="preserve">ORD-106352</t>
  </si>
  <si>
    <t xml:space="preserve">ORD-106353</t>
  </si>
  <si>
    <t xml:space="preserve">ORD-106354</t>
  </si>
  <si>
    <t xml:space="preserve">ORD-106355</t>
  </si>
  <si>
    <t xml:space="preserve">ORD-106356</t>
  </si>
  <si>
    <t xml:space="preserve">ORD-106357</t>
  </si>
  <si>
    <t xml:space="preserve">ORD-106358</t>
  </si>
  <si>
    <t xml:space="preserve">ORD-106359</t>
  </si>
  <si>
    <t xml:space="preserve">ORD-106360</t>
  </si>
  <si>
    <t xml:space="preserve">ORD-106361</t>
  </si>
  <si>
    <t xml:space="preserve">ORD-106362</t>
  </si>
  <si>
    <t xml:space="preserve">ORD-106363</t>
  </si>
  <si>
    <t xml:space="preserve">ORD-106364</t>
  </si>
  <si>
    <t xml:space="preserve">ORD-106365</t>
  </si>
  <si>
    <t xml:space="preserve">ORD-106366</t>
  </si>
  <si>
    <t xml:space="preserve">ORD-106367</t>
  </si>
  <si>
    <t xml:space="preserve">ORD-106368</t>
  </si>
  <si>
    <t xml:space="preserve">ORD-106369</t>
  </si>
  <si>
    <t xml:space="preserve">ORD-106370</t>
  </si>
  <si>
    <t xml:space="preserve">ORD-106371</t>
  </si>
  <si>
    <t xml:space="preserve">ORD-106372</t>
  </si>
  <si>
    <t xml:space="preserve">ORD-106373</t>
  </si>
  <si>
    <t xml:space="preserve">ORD-106374</t>
  </si>
  <si>
    <t xml:space="preserve">ORD-106375</t>
  </si>
  <si>
    <t xml:space="preserve">ORD-106376</t>
  </si>
  <si>
    <t xml:space="preserve">ORD-106377</t>
  </si>
  <si>
    <t xml:space="preserve">ORD-106378</t>
  </si>
  <si>
    <t xml:space="preserve">ORD-106379</t>
  </si>
  <si>
    <t xml:space="preserve">ORD-106380</t>
  </si>
  <si>
    <t xml:space="preserve">ORD-106381</t>
  </si>
  <si>
    <t xml:space="preserve">ORD-106382</t>
  </si>
  <si>
    <t xml:space="preserve">ORD-106383</t>
  </si>
  <si>
    <t xml:space="preserve">ORD-106384</t>
  </si>
  <si>
    <t xml:space="preserve">ORD-106385</t>
  </si>
  <si>
    <t xml:space="preserve">ORD-106386</t>
  </si>
  <si>
    <t xml:space="preserve">ORD-106387</t>
  </si>
  <si>
    <t xml:space="preserve">ORD-106388</t>
  </si>
  <si>
    <t xml:space="preserve">ORD-106389</t>
  </si>
  <si>
    <t xml:space="preserve">ORD-106390</t>
  </si>
  <si>
    <t xml:space="preserve">ORD-106391</t>
  </si>
  <si>
    <t xml:space="preserve">ORD-106392</t>
  </si>
  <si>
    <t xml:space="preserve">ORD-106393</t>
  </si>
  <si>
    <t xml:space="preserve">ORD-106394</t>
  </si>
  <si>
    <t xml:space="preserve">ORD-106395</t>
  </si>
  <si>
    <t xml:space="preserve">ORD-106396</t>
  </si>
  <si>
    <t xml:space="preserve">ORD-106397</t>
  </si>
  <si>
    <t xml:space="preserve">ORD-106398</t>
  </si>
  <si>
    <t xml:space="preserve">ORD-106399</t>
  </si>
  <si>
    <t xml:space="preserve">ORD-106400</t>
  </si>
  <si>
    <t xml:space="preserve">ORD-106401</t>
  </si>
  <si>
    <t xml:space="preserve">ORD-106402</t>
  </si>
  <si>
    <t xml:space="preserve">ORD-106403</t>
  </si>
  <si>
    <t xml:space="preserve">ORD-106404</t>
  </si>
  <si>
    <t xml:space="preserve">ORD-106405</t>
  </si>
  <si>
    <t xml:space="preserve">ORD-106406</t>
  </si>
  <si>
    <t xml:space="preserve">ORD-106407</t>
  </si>
  <si>
    <t xml:space="preserve">ORD-106408</t>
  </si>
  <si>
    <t xml:space="preserve">ORD-106409</t>
  </si>
  <si>
    <t xml:space="preserve">ORD-106410</t>
  </si>
  <si>
    <t xml:space="preserve">ORD-106411</t>
  </si>
  <si>
    <t xml:space="preserve">ORD-106412</t>
  </si>
  <si>
    <t xml:space="preserve">ORD-106413</t>
  </si>
  <si>
    <t xml:space="preserve">ORD-106414</t>
  </si>
  <si>
    <t xml:space="preserve">ORD-106415</t>
  </si>
  <si>
    <t xml:space="preserve">ORD-106416</t>
  </si>
  <si>
    <t xml:space="preserve">ORD-106417</t>
  </si>
  <si>
    <t xml:space="preserve">ORD-106418</t>
  </si>
  <si>
    <t xml:space="preserve">ORD-106419</t>
  </si>
  <si>
    <t xml:space="preserve">ORD-106420</t>
  </si>
  <si>
    <t xml:space="preserve">ORD-106421</t>
  </si>
  <si>
    <t xml:space="preserve">ORD-106422</t>
  </si>
  <si>
    <t xml:space="preserve">ORD-106423</t>
  </si>
  <si>
    <t xml:space="preserve">ORD-106424</t>
  </si>
  <si>
    <t xml:space="preserve">ORD-106425</t>
  </si>
  <si>
    <t xml:space="preserve">ORD-106426</t>
  </si>
  <si>
    <t xml:space="preserve">ORD-106427</t>
  </si>
  <si>
    <t xml:space="preserve">ORD-106428</t>
  </si>
  <si>
    <t xml:space="preserve">ORD-106429</t>
  </si>
  <si>
    <t xml:space="preserve">ORD-106430</t>
  </si>
  <si>
    <t xml:space="preserve">ORD-106431</t>
  </si>
  <si>
    <t xml:space="preserve">ORD-106432</t>
  </si>
  <si>
    <t xml:space="preserve">ORD-106433</t>
  </si>
  <si>
    <t xml:space="preserve">ORD-106434</t>
  </si>
  <si>
    <t xml:space="preserve">ORD-106435</t>
  </si>
  <si>
    <t xml:space="preserve">ORD-106436</t>
  </si>
  <si>
    <t xml:space="preserve">ORD-106437</t>
  </si>
  <si>
    <t xml:space="preserve">ORD-106438</t>
  </si>
  <si>
    <t xml:space="preserve">ORD-106439</t>
  </si>
  <si>
    <t xml:space="preserve">ORD-106440</t>
  </si>
  <si>
    <t xml:space="preserve">ORD-106441</t>
  </si>
  <si>
    <t xml:space="preserve">ORD-106442</t>
  </si>
  <si>
    <t xml:space="preserve">ORD-106443</t>
  </si>
  <si>
    <t xml:space="preserve">ORD-106444</t>
  </si>
  <si>
    <t xml:space="preserve">ORD-106445</t>
  </si>
  <si>
    <t xml:space="preserve">ORD-106446</t>
  </si>
  <si>
    <t xml:space="preserve">ORD-106447</t>
  </si>
  <si>
    <t xml:space="preserve">ORD-106448</t>
  </si>
  <si>
    <t xml:space="preserve">ORD-106449</t>
  </si>
  <si>
    <t xml:space="preserve">ORD-106450</t>
  </si>
  <si>
    <t xml:space="preserve">ORD-106451</t>
  </si>
  <si>
    <t xml:space="preserve">ORD-106452</t>
  </si>
  <si>
    <t xml:space="preserve">ORD-106453</t>
  </si>
  <si>
    <t xml:space="preserve">ORD-106454</t>
  </si>
  <si>
    <t xml:space="preserve">ORD-106455</t>
  </si>
  <si>
    <t xml:space="preserve">ORD-106456</t>
  </si>
  <si>
    <t xml:space="preserve">ORD-106457</t>
  </si>
  <si>
    <t xml:space="preserve">ORD-106458</t>
  </si>
  <si>
    <t xml:space="preserve">ORD-106459</t>
  </si>
  <si>
    <t xml:space="preserve">ORD-106460</t>
  </si>
  <si>
    <t xml:space="preserve">ORD-106461</t>
  </si>
  <si>
    <t xml:space="preserve">ORD-106462</t>
  </si>
  <si>
    <t xml:space="preserve">ORD-106463</t>
  </si>
  <si>
    <t xml:space="preserve">ORD-106464</t>
  </si>
  <si>
    <t xml:space="preserve">ORD-106465</t>
  </si>
  <si>
    <t xml:space="preserve">ORD-106466</t>
  </si>
  <si>
    <t xml:space="preserve">ORD-106467</t>
  </si>
  <si>
    <t xml:space="preserve">ORD-106468</t>
  </si>
  <si>
    <t xml:space="preserve">ORD-106469</t>
  </si>
  <si>
    <t xml:space="preserve">ORD-106470</t>
  </si>
  <si>
    <t xml:space="preserve">ORD-106471</t>
  </si>
  <si>
    <t xml:space="preserve">ORD-106472</t>
  </si>
  <si>
    <t xml:space="preserve">ORD-106473</t>
  </si>
  <si>
    <t xml:space="preserve">ORD-106474</t>
  </si>
  <si>
    <t xml:space="preserve">ORD-106475</t>
  </si>
  <si>
    <t xml:space="preserve">ORD-106476</t>
  </si>
  <si>
    <t xml:space="preserve">ORD-106477</t>
  </si>
  <si>
    <t xml:space="preserve">ORD-106478</t>
  </si>
  <si>
    <t xml:space="preserve">ORD-106479</t>
  </si>
  <si>
    <t xml:space="preserve">ORD-106480</t>
  </si>
  <si>
    <t xml:space="preserve">ORD-106481</t>
  </si>
  <si>
    <t xml:space="preserve">ORD-106482</t>
  </si>
  <si>
    <t xml:space="preserve">ORD-106483</t>
  </si>
  <si>
    <t xml:space="preserve">ORD-106484</t>
  </si>
  <si>
    <t xml:space="preserve">ORD-106485</t>
  </si>
  <si>
    <t xml:space="preserve">ORD-106486</t>
  </si>
  <si>
    <t xml:space="preserve">ORD-106487</t>
  </si>
  <si>
    <t xml:space="preserve">ORD-106488</t>
  </si>
  <si>
    <t xml:space="preserve">ORD-106489</t>
  </si>
  <si>
    <t xml:space="preserve">ORD-106490</t>
  </si>
  <si>
    <t xml:space="preserve">ORD-106491</t>
  </si>
  <si>
    <t xml:space="preserve">ORD-106492</t>
  </si>
  <si>
    <t xml:space="preserve">ORD-106493</t>
  </si>
  <si>
    <t xml:space="preserve">ORD-106494</t>
  </si>
  <si>
    <t xml:space="preserve">ORD-106495</t>
  </si>
  <si>
    <t xml:space="preserve">ORD-106496</t>
  </si>
  <si>
    <t xml:space="preserve">ORD-106497</t>
  </si>
  <si>
    <t xml:space="preserve">ORD-106498</t>
  </si>
  <si>
    <t xml:space="preserve">ORD-106499</t>
  </si>
  <si>
    <t xml:space="preserve">ORD-106500</t>
  </si>
  <si>
    <t xml:space="preserve">ORD-106501</t>
  </si>
  <si>
    <t xml:space="preserve">ORD-106502</t>
  </si>
  <si>
    <t xml:space="preserve">ORD-106503</t>
  </si>
  <si>
    <t xml:space="preserve">ORD-106504</t>
  </si>
  <si>
    <t xml:space="preserve">ORD-106505</t>
  </si>
  <si>
    <t xml:space="preserve">ORD-106506</t>
  </si>
  <si>
    <t xml:space="preserve">ORD-106507</t>
  </si>
  <si>
    <t xml:space="preserve">ORD-106508</t>
  </si>
  <si>
    <t xml:space="preserve">ORD-106509</t>
  </si>
  <si>
    <t xml:space="preserve">ORD-106510</t>
  </si>
  <si>
    <t xml:space="preserve">ORD-106511</t>
  </si>
  <si>
    <t xml:space="preserve">ORD-106512</t>
  </si>
  <si>
    <t xml:space="preserve">ORD-106513</t>
  </si>
  <si>
    <t xml:space="preserve">ORD-106514</t>
  </si>
  <si>
    <t xml:space="preserve">ORD-106515</t>
  </si>
  <si>
    <t xml:space="preserve">ORD-106516</t>
  </si>
  <si>
    <t xml:space="preserve">ORD-106517</t>
  </si>
  <si>
    <t xml:space="preserve">ORD-106518</t>
  </si>
  <si>
    <t xml:space="preserve">ORD-106519</t>
  </si>
  <si>
    <t xml:space="preserve">ORD-106520</t>
  </si>
  <si>
    <t xml:space="preserve">ORD-106521</t>
  </si>
  <si>
    <t xml:space="preserve">ORD-106522</t>
  </si>
  <si>
    <t xml:space="preserve">ORD-106523</t>
  </si>
  <si>
    <t xml:space="preserve">ORD-106524</t>
  </si>
  <si>
    <t xml:space="preserve">ORD-106525</t>
  </si>
  <si>
    <t xml:space="preserve">ORD-106526</t>
  </si>
  <si>
    <t xml:space="preserve">ORD-106527</t>
  </si>
  <si>
    <t xml:space="preserve">ORD-106528</t>
  </si>
  <si>
    <t xml:space="preserve">ORD-106529</t>
  </si>
  <si>
    <t xml:space="preserve">ORD-106530</t>
  </si>
  <si>
    <t xml:space="preserve">ORD-106531</t>
  </si>
  <si>
    <t xml:space="preserve">ORD-106532</t>
  </si>
  <si>
    <t xml:space="preserve">ORD-106533</t>
  </si>
  <si>
    <t xml:space="preserve">ORD-106534</t>
  </si>
  <si>
    <t xml:space="preserve">ORD-106535</t>
  </si>
  <si>
    <t xml:space="preserve">ORD-106536</t>
  </si>
  <si>
    <t xml:space="preserve">ORD-106537</t>
  </si>
  <si>
    <t xml:space="preserve">ORD-106538</t>
  </si>
  <si>
    <t xml:space="preserve">ORD-106539</t>
  </si>
  <si>
    <t xml:space="preserve">ORD-106540</t>
  </si>
  <si>
    <t xml:space="preserve">ORD-106541</t>
  </si>
  <si>
    <t xml:space="preserve">ORD-106542</t>
  </si>
  <si>
    <t xml:space="preserve">ORD-106543</t>
  </si>
  <si>
    <t xml:space="preserve">ORD-106544</t>
  </si>
  <si>
    <t xml:space="preserve">ORD-106545</t>
  </si>
  <si>
    <t xml:space="preserve">ORD-106546</t>
  </si>
  <si>
    <t xml:space="preserve">ORD-106547</t>
  </si>
  <si>
    <t xml:space="preserve">ORD-106548</t>
  </si>
  <si>
    <t xml:space="preserve">ORD-106549</t>
  </si>
  <si>
    <t xml:space="preserve">ORD-106550</t>
  </si>
  <si>
    <t xml:space="preserve">ORD-106551</t>
  </si>
  <si>
    <t xml:space="preserve">ORD-106552</t>
  </si>
  <si>
    <t xml:space="preserve">ORD-106553</t>
  </si>
  <si>
    <t xml:space="preserve">ORD-106554</t>
  </si>
  <si>
    <t xml:space="preserve">ORD-106555</t>
  </si>
  <si>
    <t xml:space="preserve">ORD-106556</t>
  </si>
  <si>
    <t xml:space="preserve">ORD-106557</t>
  </si>
  <si>
    <t xml:space="preserve">ORD-106558</t>
  </si>
  <si>
    <t xml:space="preserve">ORD-106559</t>
  </si>
  <si>
    <t xml:space="preserve">ORD-106560</t>
  </si>
  <si>
    <t xml:space="preserve">ORD-106561</t>
  </si>
  <si>
    <t xml:space="preserve">ORD-106562</t>
  </si>
  <si>
    <t xml:space="preserve">ORD-106563</t>
  </si>
  <si>
    <t xml:space="preserve">ORD-106564</t>
  </si>
  <si>
    <t xml:space="preserve">ORD-106565</t>
  </si>
  <si>
    <t xml:space="preserve">ORD-106566</t>
  </si>
  <si>
    <t xml:space="preserve">ORD-106567</t>
  </si>
  <si>
    <t xml:space="preserve">ORD-106568</t>
  </si>
  <si>
    <t xml:space="preserve">ORD-106569</t>
  </si>
  <si>
    <t xml:space="preserve">ORD-106570</t>
  </si>
  <si>
    <t xml:space="preserve">ORD-106571</t>
  </si>
  <si>
    <t xml:space="preserve">ORD-106572</t>
  </si>
  <si>
    <t xml:space="preserve">ORD-106573</t>
  </si>
  <si>
    <t xml:space="preserve">ORD-106574</t>
  </si>
  <si>
    <t xml:space="preserve">ORD-106575</t>
  </si>
  <si>
    <t xml:space="preserve">ORD-106576</t>
  </si>
  <si>
    <t xml:space="preserve">ORD-106577</t>
  </si>
  <si>
    <t xml:space="preserve">ORD-106578</t>
  </si>
  <si>
    <t xml:space="preserve">ORD-106579</t>
  </si>
  <si>
    <t xml:space="preserve">ORD-106580</t>
  </si>
  <si>
    <t xml:space="preserve">ORD-106581</t>
  </si>
  <si>
    <t xml:space="preserve">ORD-106582</t>
  </si>
  <si>
    <t xml:space="preserve">ORD-106583</t>
  </si>
  <si>
    <t xml:space="preserve">ORD-106584</t>
  </si>
  <si>
    <t xml:space="preserve">ORD-106585</t>
  </si>
  <si>
    <t xml:space="preserve">ORD-106586</t>
  </si>
  <si>
    <t xml:space="preserve">ORD-106587</t>
  </si>
  <si>
    <t xml:space="preserve">ORD-106588</t>
  </si>
  <si>
    <t xml:space="preserve">ORD-106589</t>
  </si>
  <si>
    <t xml:space="preserve">ORD-106590</t>
  </si>
  <si>
    <t xml:space="preserve">ORD-106591</t>
  </si>
  <si>
    <t xml:space="preserve">ORD-106592</t>
  </si>
  <si>
    <t xml:space="preserve">ORD-106593</t>
  </si>
  <si>
    <t xml:space="preserve">ORD-106594</t>
  </si>
  <si>
    <t xml:space="preserve">ORD-106595</t>
  </si>
  <si>
    <t xml:space="preserve">ORD-106596</t>
  </si>
  <si>
    <t xml:space="preserve">ORD-106597</t>
  </si>
  <si>
    <t xml:space="preserve">ORD-106598</t>
  </si>
  <si>
    <t xml:space="preserve">ORD-106599</t>
  </si>
  <si>
    <t xml:space="preserve">ORD-106600</t>
  </si>
  <si>
    <t xml:space="preserve">ORD-106601</t>
  </si>
  <si>
    <t xml:space="preserve">ORD-106602</t>
  </si>
  <si>
    <t xml:space="preserve">ORD-106603</t>
  </si>
  <si>
    <t xml:space="preserve">ORD-106604</t>
  </si>
  <si>
    <t xml:space="preserve">ORD-106605</t>
  </si>
  <si>
    <t xml:space="preserve">ORD-106606</t>
  </si>
  <si>
    <t xml:space="preserve">ORD-106607</t>
  </si>
  <si>
    <t xml:space="preserve">ORD-106608</t>
  </si>
  <si>
    <t xml:space="preserve">ORD-106609</t>
  </si>
  <si>
    <t xml:space="preserve">ORD-106610</t>
  </si>
  <si>
    <t xml:space="preserve">ORD-106611</t>
  </si>
  <si>
    <t xml:space="preserve">ORD-106612</t>
  </si>
  <si>
    <t xml:space="preserve">ORD-106613</t>
  </si>
  <si>
    <t xml:space="preserve">ORD-106614</t>
  </si>
  <si>
    <t xml:space="preserve">ORD-106615</t>
  </si>
  <si>
    <t xml:space="preserve">ORD-106616</t>
  </si>
  <si>
    <t xml:space="preserve">ORD-106617</t>
  </si>
  <si>
    <t xml:space="preserve">ORD-106618</t>
  </si>
  <si>
    <t xml:space="preserve">ORD-106619</t>
  </si>
  <si>
    <t xml:space="preserve">ORD-106620</t>
  </si>
  <si>
    <t xml:space="preserve">ORD-106621</t>
  </si>
  <si>
    <t xml:space="preserve">ORD-106622</t>
  </si>
  <si>
    <t xml:space="preserve">ORD-106623</t>
  </si>
  <si>
    <t xml:space="preserve">ORD-106624</t>
  </si>
  <si>
    <t xml:space="preserve">ORD-106625</t>
  </si>
  <si>
    <t xml:space="preserve">ORD-106626</t>
  </si>
  <si>
    <t xml:space="preserve">ORD-106627</t>
  </si>
  <si>
    <t xml:space="preserve">ORD-106628</t>
  </si>
  <si>
    <t xml:space="preserve">ORD-106629</t>
  </si>
  <si>
    <t xml:space="preserve">ORD-106630</t>
  </si>
  <si>
    <t xml:space="preserve">ORD-106631</t>
  </si>
  <si>
    <t xml:space="preserve">ORD-106632</t>
  </si>
  <si>
    <t xml:space="preserve">ORD-106633</t>
  </si>
  <si>
    <t xml:space="preserve">ORD-106634</t>
  </si>
  <si>
    <t xml:space="preserve">ORD-106635</t>
  </si>
  <si>
    <t xml:space="preserve">ORD-106636</t>
  </si>
  <si>
    <t xml:space="preserve">ORD-106637</t>
  </si>
  <si>
    <t xml:space="preserve">ORD-106638</t>
  </si>
  <si>
    <t xml:space="preserve">ORD-106639</t>
  </si>
  <si>
    <t xml:space="preserve">ORD-106640</t>
  </si>
  <si>
    <t xml:space="preserve">ORD-106641</t>
  </si>
  <si>
    <t xml:space="preserve">ORD-106642</t>
  </si>
  <si>
    <t xml:space="preserve">ORD-106643</t>
  </si>
  <si>
    <t xml:space="preserve">ORD-106644</t>
  </si>
  <si>
    <t xml:space="preserve">ORD-106645</t>
  </si>
  <si>
    <t xml:space="preserve">ORD-106646</t>
  </si>
  <si>
    <t xml:space="preserve">ORD-106647</t>
  </si>
  <si>
    <t xml:space="preserve">ORD-106648</t>
  </si>
  <si>
    <t xml:space="preserve">ORD-106649</t>
  </si>
  <si>
    <t xml:space="preserve">ORD-106650</t>
  </si>
  <si>
    <t xml:space="preserve">ORD-106651</t>
  </si>
  <si>
    <t xml:space="preserve">ORD-106652</t>
  </si>
  <si>
    <t xml:space="preserve">ORD-106653</t>
  </si>
  <si>
    <t xml:space="preserve">ORD-106654</t>
  </si>
  <si>
    <t xml:space="preserve">ORD-106655</t>
  </si>
  <si>
    <t xml:space="preserve">ORD-106656</t>
  </si>
  <si>
    <t xml:space="preserve">ORD-106657</t>
  </si>
  <si>
    <t xml:space="preserve">ORD-106658</t>
  </si>
  <si>
    <t xml:space="preserve">ORD-106659</t>
  </si>
  <si>
    <t xml:space="preserve">ORD-106660</t>
  </si>
  <si>
    <t xml:space="preserve">ORD-106661</t>
  </si>
  <si>
    <t xml:space="preserve">ORD-106662</t>
  </si>
  <si>
    <t xml:space="preserve">ORD-106663</t>
  </si>
  <si>
    <t xml:space="preserve">ORD-106664</t>
  </si>
  <si>
    <t xml:space="preserve">ORD-106665</t>
  </si>
  <si>
    <t xml:space="preserve">ORD-106666</t>
  </si>
  <si>
    <t xml:space="preserve">ORD-106667</t>
  </si>
  <si>
    <t xml:space="preserve">ORD-106668</t>
  </si>
  <si>
    <t xml:space="preserve">ORD-106669</t>
  </si>
  <si>
    <t xml:space="preserve">ORD-106670</t>
  </si>
  <si>
    <t xml:space="preserve">ORD-106671</t>
  </si>
  <si>
    <t xml:space="preserve">ORD-106672</t>
  </si>
  <si>
    <t xml:space="preserve">ORD-106673</t>
  </si>
  <si>
    <t xml:space="preserve">ORD-106674</t>
  </si>
  <si>
    <t xml:space="preserve">ORD-106675</t>
  </si>
  <si>
    <t xml:space="preserve">ORD-106676</t>
  </si>
  <si>
    <t xml:space="preserve">ORD-106677</t>
  </si>
  <si>
    <t xml:space="preserve">ORD-106678</t>
  </si>
  <si>
    <t xml:space="preserve">ORD-106679</t>
  </si>
  <si>
    <t xml:space="preserve">ORD-106680</t>
  </si>
  <si>
    <t xml:space="preserve">ORD-106681</t>
  </si>
  <si>
    <t xml:space="preserve">ORD-106682</t>
  </si>
  <si>
    <t xml:space="preserve">ORD-106683</t>
  </si>
  <si>
    <t xml:space="preserve">ORD-106684</t>
  </si>
  <si>
    <t xml:space="preserve">ORD-106685</t>
  </si>
  <si>
    <t xml:space="preserve">ORD-106686</t>
  </si>
  <si>
    <t xml:space="preserve">ORD-106687</t>
  </si>
  <si>
    <t xml:space="preserve">ORD-106688</t>
  </si>
  <si>
    <t xml:space="preserve">ORD-106689</t>
  </si>
  <si>
    <t xml:space="preserve">ORD-106690</t>
  </si>
  <si>
    <t xml:space="preserve">ORD-106691</t>
  </si>
  <si>
    <t xml:space="preserve">ORD-106692</t>
  </si>
  <si>
    <t xml:space="preserve">ORD-106693</t>
  </si>
  <si>
    <t xml:space="preserve">ORD-106694</t>
  </si>
  <si>
    <t xml:space="preserve">ORD-106695</t>
  </si>
  <si>
    <t xml:space="preserve">ORD-106696</t>
  </si>
  <si>
    <t xml:space="preserve">ORD-106697</t>
  </si>
  <si>
    <t xml:space="preserve">ORD-106698</t>
  </si>
  <si>
    <t xml:space="preserve">ORD-106699</t>
  </si>
  <si>
    <t xml:space="preserve">ORD-106700</t>
  </si>
  <si>
    <t xml:space="preserve">ORD-106701</t>
  </si>
  <si>
    <t xml:space="preserve">ORD-106702</t>
  </si>
  <si>
    <t xml:space="preserve">ORD-106703</t>
  </si>
  <si>
    <t xml:space="preserve">ORD-106704</t>
  </si>
  <si>
    <t xml:space="preserve">ORD-106705</t>
  </si>
  <si>
    <t xml:space="preserve">ORD-106706</t>
  </si>
  <si>
    <t xml:space="preserve">ORD-106707</t>
  </si>
  <si>
    <t xml:space="preserve">ORD-106708</t>
  </si>
  <si>
    <t xml:space="preserve">ORD-106709</t>
  </si>
  <si>
    <t xml:space="preserve">ORD-106710</t>
  </si>
  <si>
    <t xml:space="preserve">ORD-106711</t>
  </si>
  <si>
    <t xml:space="preserve">ORD-106712</t>
  </si>
  <si>
    <t xml:space="preserve">ORD-106713</t>
  </si>
  <si>
    <t xml:space="preserve">ORD-106714</t>
  </si>
  <si>
    <t xml:space="preserve">ORD-106715</t>
  </si>
  <si>
    <t xml:space="preserve">ORD-106716</t>
  </si>
  <si>
    <t xml:space="preserve">ORD-106717</t>
  </si>
  <si>
    <t xml:space="preserve">ORD-106718</t>
  </si>
  <si>
    <t xml:space="preserve">ORD-106719</t>
  </si>
  <si>
    <t xml:space="preserve">ORD-106720</t>
  </si>
  <si>
    <t xml:space="preserve">ORD-106721</t>
  </si>
  <si>
    <t xml:space="preserve">ORD-106722</t>
  </si>
  <si>
    <t xml:space="preserve">ORD-106723</t>
  </si>
  <si>
    <t xml:space="preserve">ORD-106724</t>
  </si>
  <si>
    <t xml:space="preserve">ORD-106725</t>
  </si>
  <si>
    <t xml:space="preserve">ORD-106726</t>
  </si>
  <si>
    <t xml:space="preserve">ORD-106727</t>
  </si>
  <si>
    <t xml:space="preserve">ORD-106728</t>
  </si>
  <si>
    <t xml:space="preserve">ORD-106729</t>
  </si>
  <si>
    <t xml:space="preserve">ORD-106730</t>
  </si>
  <si>
    <t xml:space="preserve">ORD-106731</t>
  </si>
  <si>
    <t xml:space="preserve">ORD-106732</t>
  </si>
  <si>
    <t xml:space="preserve">ORD-106733</t>
  </si>
  <si>
    <t xml:space="preserve">ORD-106734</t>
  </si>
  <si>
    <t xml:space="preserve">ORD-106735</t>
  </si>
  <si>
    <t xml:space="preserve">ORD-106736</t>
  </si>
  <si>
    <t xml:space="preserve">ORD-106737</t>
  </si>
  <si>
    <t xml:space="preserve">ORD-106738</t>
  </si>
  <si>
    <t xml:space="preserve">ORD-106739</t>
  </si>
  <si>
    <t xml:space="preserve">ORD-106740</t>
  </si>
  <si>
    <t xml:space="preserve">ORD-106741</t>
  </si>
  <si>
    <t xml:space="preserve">ORD-106742</t>
  </si>
  <si>
    <t xml:space="preserve">ORD-106743</t>
  </si>
  <si>
    <t xml:space="preserve">ORD-106744</t>
  </si>
  <si>
    <t xml:space="preserve">ORD-106745</t>
  </si>
  <si>
    <t xml:space="preserve">ORD-106746</t>
  </si>
  <si>
    <t xml:space="preserve">ORD-106747</t>
  </si>
  <si>
    <t xml:space="preserve">ORD-106748</t>
  </si>
  <si>
    <t xml:space="preserve">ORD-106749</t>
  </si>
  <si>
    <t xml:space="preserve">ORD-106750</t>
  </si>
  <si>
    <t xml:space="preserve">ORD-106751</t>
  </si>
  <si>
    <t xml:space="preserve">ORD-106752</t>
  </si>
  <si>
    <t xml:space="preserve">ORD-106753</t>
  </si>
  <si>
    <t xml:space="preserve">ORD-106754</t>
  </si>
  <si>
    <t xml:space="preserve">ORD-106755</t>
  </si>
  <si>
    <t xml:space="preserve">ORD-106756</t>
  </si>
  <si>
    <t xml:space="preserve">ORD-106757</t>
  </si>
  <si>
    <t xml:space="preserve">ORD-106758</t>
  </si>
  <si>
    <t xml:space="preserve">ORD-106759</t>
  </si>
  <si>
    <t xml:space="preserve">ORD-106760</t>
  </si>
  <si>
    <t xml:space="preserve">ORD-106761</t>
  </si>
  <si>
    <t xml:space="preserve">ORD-106762</t>
  </si>
  <si>
    <t xml:space="preserve">ORD-106763</t>
  </si>
  <si>
    <t xml:space="preserve">ORD-106764</t>
  </si>
  <si>
    <t xml:space="preserve">ORD-106765</t>
  </si>
  <si>
    <t xml:space="preserve">ORD-106766</t>
  </si>
  <si>
    <t xml:space="preserve">ORD-106767</t>
  </si>
  <si>
    <t xml:space="preserve">ORD-106768</t>
  </si>
  <si>
    <t xml:space="preserve">ORD-106769</t>
  </si>
  <si>
    <t xml:space="preserve">ORD-106770</t>
  </si>
  <si>
    <t xml:space="preserve">ORD-106771</t>
  </si>
  <si>
    <t xml:space="preserve">ORD-106772</t>
  </si>
  <si>
    <t xml:space="preserve">ORD-106773</t>
  </si>
  <si>
    <t xml:space="preserve">ORD-106774</t>
  </si>
  <si>
    <t xml:space="preserve">ORD-106775</t>
  </si>
  <si>
    <t xml:space="preserve">ORD-106776</t>
  </si>
  <si>
    <t xml:space="preserve">ORD-106777</t>
  </si>
  <si>
    <t xml:space="preserve">ORD-106778</t>
  </si>
  <si>
    <t xml:space="preserve">ORD-106779</t>
  </si>
  <si>
    <t xml:space="preserve">ORD-106780</t>
  </si>
  <si>
    <t xml:space="preserve">ORD-106781</t>
  </si>
  <si>
    <t xml:space="preserve">ORD-106782</t>
  </si>
  <si>
    <t xml:space="preserve">ORD-106783</t>
  </si>
  <si>
    <t xml:space="preserve">ORD-106784</t>
  </si>
  <si>
    <t xml:space="preserve">ORD-106785</t>
  </si>
  <si>
    <t xml:space="preserve">ORD-106786</t>
  </si>
  <si>
    <t xml:space="preserve">ORD-106787</t>
  </si>
  <si>
    <t xml:space="preserve">ORD-106788</t>
  </si>
  <si>
    <t xml:space="preserve">ORD-106789</t>
  </si>
  <si>
    <t xml:space="preserve">ORD-106790</t>
  </si>
  <si>
    <t xml:space="preserve">ORD-106791</t>
  </si>
  <si>
    <t xml:space="preserve">ORD-106792</t>
  </si>
  <si>
    <t xml:space="preserve">ORD-106793</t>
  </si>
  <si>
    <t xml:space="preserve">ORD-106794</t>
  </si>
  <si>
    <t xml:space="preserve">ORD-106795</t>
  </si>
  <si>
    <t xml:space="preserve">ORD-106796</t>
  </si>
  <si>
    <t xml:space="preserve">ORD-106797</t>
  </si>
  <si>
    <t xml:space="preserve">ORD-106798</t>
  </si>
  <si>
    <t xml:space="preserve">ORD-106799</t>
  </si>
  <si>
    <t xml:space="preserve">ORD-106800</t>
  </si>
  <si>
    <t xml:space="preserve">ORD-106801</t>
  </si>
  <si>
    <t xml:space="preserve">ORD-106802</t>
  </si>
  <si>
    <t xml:space="preserve">ORD-106803</t>
  </si>
  <si>
    <t xml:space="preserve">ORD-106804</t>
  </si>
  <si>
    <t xml:space="preserve">ORD-106805</t>
  </si>
  <si>
    <t xml:space="preserve">ORD-106806</t>
  </si>
  <si>
    <t xml:space="preserve">ORD-106807</t>
  </si>
  <si>
    <t xml:space="preserve">ORD-106808</t>
  </si>
  <si>
    <t xml:space="preserve">ORD-106809</t>
  </si>
  <si>
    <t xml:space="preserve">ORD-106810</t>
  </si>
  <si>
    <t xml:space="preserve">ORD-106811</t>
  </si>
  <si>
    <t xml:space="preserve">ORD-106812</t>
  </si>
  <si>
    <t xml:space="preserve">ORD-106813</t>
  </si>
  <si>
    <t xml:space="preserve">ORD-106814</t>
  </si>
  <si>
    <t xml:space="preserve">ORD-106815</t>
  </si>
  <si>
    <t xml:space="preserve">ORD-106816</t>
  </si>
  <si>
    <t xml:space="preserve">ORD-106817</t>
  </si>
  <si>
    <t xml:space="preserve">ORD-106818</t>
  </si>
  <si>
    <t xml:space="preserve">ORD-106819</t>
  </si>
  <si>
    <t xml:space="preserve">ORD-106820</t>
  </si>
  <si>
    <t xml:space="preserve">ORD-106821</t>
  </si>
  <si>
    <t xml:space="preserve">ORD-106822</t>
  </si>
  <si>
    <t xml:space="preserve">ORD-106823</t>
  </si>
  <si>
    <t xml:space="preserve">ORD-106824</t>
  </si>
  <si>
    <t xml:space="preserve">ORD-106825</t>
  </si>
  <si>
    <t xml:space="preserve">ORD-106826</t>
  </si>
  <si>
    <t xml:space="preserve">ORD-106827</t>
  </si>
  <si>
    <t xml:space="preserve">ORD-106828</t>
  </si>
  <si>
    <t xml:space="preserve">ORD-106829</t>
  </si>
  <si>
    <t xml:space="preserve">ORD-106830</t>
  </si>
  <si>
    <t xml:space="preserve">ORD-106831</t>
  </si>
  <si>
    <t xml:space="preserve">ORD-106832</t>
  </si>
  <si>
    <t xml:space="preserve">ORD-106833</t>
  </si>
  <si>
    <t xml:space="preserve">ORD-106834</t>
  </si>
  <si>
    <t xml:space="preserve">ORD-106835</t>
  </si>
  <si>
    <t xml:space="preserve">ORD-106836</t>
  </si>
  <si>
    <t xml:space="preserve">ORD-106837</t>
  </si>
  <si>
    <t xml:space="preserve">ORD-106838</t>
  </si>
  <si>
    <t xml:space="preserve">ORD-106839</t>
  </si>
  <si>
    <t xml:space="preserve">ORD-106840</t>
  </si>
  <si>
    <t xml:space="preserve">ORD-106841</t>
  </si>
  <si>
    <t xml:space="preserve">ORD-106842</t>
  </si>
  <si>
    <t xml:space="preserve">ORD-106843</t>
  </si>
  <si>
    <t xml:space="preserve">ORD-106844</t>
  </si>
  <si>
    <t xml:space="preserve">ORD-106845</t>
  </si>
  <si>
    <t xml:space="preserve">ORD-106846</t>
  </si>
  <si>
    <t xml:space="preserve">ORD-106847</t>
  </si>
  <si>
    <t xml:space="preserve">ORD-106848</t>
  </si>
  <si>
    <t xml:space="preserve">ORD-106849</t>
  </si>
  <si>
    <t xml:space="preserve">ORD-106850</t>
  </si>
  <si>
    <t xml:space="preserve">ORD-106851</t>
  </si>
  <si>
    <t xml:space="preserve">ORD-106852</t>
  </si>
  <si>
    <t xml:space="preserve">ORD-106853</t>
  </si>
  <si>
    <t xml:space="preserve">ORD-106854</t>
  </si>
  <si>
    <t xml:space="preserve">ORD-106855</t>
  </si>
  <si>
    <t xml:space="preserve">ORD-106856</t>
  </si>
  <si>
    <t xml:space="preserve">ORD-106857</t>
  </si>
  <si>
    <t xml:space="preserve">ORD-106858</t>
  </si>
  <si>
    <t xml:space="preserve">ORD-106859</t>
  </si>
  <si>
    <t xml:space="preserve">ORD-106860</t>
  </si>
  <si>
    <t xml:space="preserve">ORD-106861</t>
  </si>
  <si>
    <t xml:space="preserve">ORD-106862</t>
  </si>
  <si>
    <t xml:space="preserve">ORD-106863</t>
  </si>
  <si>
    <t xml:space="preserve">ORD-106864</t>
  </si>
  <si>
    <t xml:space="preserve">ORD-106865</t>
  </si>
  <si>
    <t xml:space="preserve">ORD-106866</t>
  </si>
  <si>
    <t xml:space="preserve">ORD-106867</t>
  </si>
  <si>
    <t xml:space="preserve">ORD-106868</t>
  </si>
  <si>
    <t xml:space="preserve">ORD-106869</t>
  </si>
  <si>
    <t xml:space="preserve">ORD-106870</t>
  </si>
  <si>
    <t xml:space="preserve">ORD-106871</t>
  </si>
  <si>
    <t xml:space="preserve">ORD-106872</t>
  </si>
  <si>
    <t xml:space="preserve">ORD-106873</t>
  </si>
  <si>
    <t xml:space="preserve">ORD-106874</t>
  </si>
  <si>
    <t xml:space="preserve">ORD-106875</t>
  </si>
  <si>
    <t xml:space="preserve">ORD-106876</t>
  </si>
  <si>
    <t xml:space="preserve">ORD-106877</t>
  </si>
  <si>
    <t xml:space="preserve">ORD-106878</t>
  </si>
  <si>
    <t xml:space="preserve">ORD-106879</t>
  </si>
  <si>
    <t xml:space="preserve">ORD-106880</t>
  </si>
  <si>
    <t xml:space="preserve">ORD-106881</t>
  </si>
  <si>
    <t xml:space="preserve">ORD-106882</t>
  </si>
  <si>
    <t xml:space="preserve">ORD-106883</t>
  </si>
  <si>
    <t xml:space="preserve">ORD-106884</t>
  </si>
  <si>
    <t xml:space="preserve">ORD-106885</t>
  </si>
  <si>
    <t xml:space="preserve">ORD-106886</t>
  </si>
  <si>
    <t xml:space="preserve">ORD-106887</t>
  </si>
  <si>
    <t xml:space="preserve">ORD-106888</t>
  </si>
  <si>
    <t xml:space="preserve">ORD-106889</t>
  </si>
  <si>
    <t xml:space="preserve">ORD-106890</t>
  </si>
  <si>
    <t xml:space="preserve">ORD-106891</t>
  </si>
  <si>
    <t xml:space="preserve">ORD-106892</t>
  </si>
  <si>
    <t xml:space="preserve">ORD-106893</t>
  </si>
  <si>
    <t xml:space="preserve">ORD-106894</t>
  </si>
  <si>
    <t xml:space="preserve">ORD-106895</t>
  </si>
  <si>
    <t xml:space="preserve">ORD-106896</t>
  </si>
  <si>
    <t xml:space="preserve">ORD-106897</t>
  </si>
  <si>
    <t xml:space="preserve">ORD-106898</t>
  </si>
  <si>
    <t xml:space="preserve">ORD-106899</t>
  </si>
  <si>
    <t xml:space="preserve">ORD-106900</t>
  </si>
  <si>
    <t xml:space="preserve">ORD-106901</t>
  </si>
  <si>
    <t xml:space="preserve">ORD-106902</t>
  </si>
  <si>
    <t xml:space="preserve">ORD-106903</t>
  </si>
  <si>
    <t xml:space="preserve">ORD-106904</t>
  </si>
  <si>
    <t xml:space="preserve">ORD-106905</t>
  </si>
  <si>
    <t xml:space="preserve">ORD-106906</t>
  </si>
  <si>
    <t xml:space="preserve">ORD-106907</t>
  </si>
  <si>
    <t xml:space="preserve">ORD-106908</t>
  </si>
  <si>
    <t xml:space="preserve">ORD-106909</t>
  </si>
  <si>
    <t xml:space="preserve">ORD-106910</t>
  </si>
  <si>
    <t xml:space="preserve">ORD-106911</t>
  </si>
  <si>
    <t xml:space="preserve">ORD-106912</t>
  </si>
  <si>
    <t xml:space="preserve">ORD-106913</t>
  </si>
  <si>
    <t xml:space="preserve">ORD-106914</t>
  </si>
  <si>
    <t xml:space="preserve">ORD-106915</t>
  </si>
  <si>
    <t xml:space="preserve">ORD-106916</t>
  </si>
  <si>
    <t xml:space="preserve">ORD-106917</t>
  </si>
  <si>
    <t xml:space="preserve">ORD-106918</t>
  </si>
  <si>
    <t xml:space="preserve">ORD-106919</t>
  </si>
  <si>
    <t xml:space="preserve">ORD-106920</t>
  </si>
  <si>
    <t xml:space="preserve">ORD-106921</t>
  </si>
  <si>
    <t xml:space="preserve">ORD-106922</t>
  </si>
  <si>
    <t xml:space="preserve">ORD-106923</t>
  </si>
  <si>
    <t xml:space="preserve">ORD-106924</t>
  </si>
  <si>
    <t xml:space="preserve">ORD-106925</t>
  </si>
  <si>
    <t xml:space="preserve">ORD-106926</t>
  </si>
  <si>
    <t xml:space="preserve">ORD-106927</t>
  </si>
  <si>
    <t xml:space="preserve">ORD-106928</t>
  </si>
  <si>
    <t xml:space="preserve">ORD-106929</t>
  </si>
  <si>
    <t xml:space="preserve">ORD-106930</t>
  </si>
  <si>
    <t xml:space="preserve">ORD-106931</t>
  </si>
  <si>
    <t xml:space="preserve">ORD-106932</t>
  </si>
  <si>
    <t xml:space="preserve">ORD-106933</t>
  </si>
  <si>
    <t xml:space="preserve">ORD-106934</t>
  </si>
  <si>
    <t xml:space="preserve">ORD-106935</t>
  </si>
  <si>
    <t xml:space="preserve">ORD-106936</t>
  </si>
  <si>
    <t xml:space="preserve">ORD-106937</t>
  </si>
  <si>
    <t xml:space="preserve">ORD-106938</t>
  </si>
  <si>
    <t xml:space="preserve">ORD-106939</t>
  </si>
  <si>
    <t xml:space="preserve">ORD-106940</t>
  </si>
  <si>
    <t xml:space="preserve">ORD-106941</t>
  </si>
  <si>
    <t xml:space="preserve">ORD-106942</t>
  </si>
  <si>
    <t xml:space="preserve">ORD-106943</t>
  </si>
  <si>
    <t xml:space="preserve">ORD-106944</t>
  </si>
  <si>
    <t xml:space="preserve">ORD-106945</t>
  </si>
  <si>
    <t xml:space="preserve">ORD-106946</t>
  </si>
  <si>
    <t xml:space="preserve">ORD-106947</t>
  </si>
  <si>
    <t xml:space="preserve">ORD-106948</t>
  </si>
  <si>
    <t xml:space="preserve">ORD-106949</t>
  </si>
  <si>
    <t xml:space="preserve">ORD-106950</t>
  </si>
  <si>
    <t xml:space="preserve">ORD-106951</t>
  </si>
  <si>
    <t xml:space="preserve">ORD-106952</t>
  </si>
  <si>
    <t xml:space="preserve">ORD-106953</t>
  </si>
  <si>
    <t xml:space="preserve">ORD-106954</t>
  </si>
  <si>
    <t xml:space="preserve">ORD-106955</t>
  </si>
  <si>
    <t xml:space="preserve">ORD-106956</t>
  </si>
  <si>
    <t xml:space="preserve">ORD-106957</t>
  </si>
  <si>
    <t xml:space="preserve">ORD-106958</t>
  </si>
  <si>
    <t xml:space="preserve">ORD-106959</t>
  </si>
  <si>
    <t xml:space="preserve">ORD-106960</t>
  </si>
  <si>
    <t xml:space="preserve">ORD-106961</t>
  </si>
  <si>
    <t xml:space="preserve">ORD-106962</t>
  </si>
  <si>
    <t xml:space="preserve">ORD-106963</t>
  </si>
  <si>
    <t xml:space="preserve">ORD-106964</t>
  </si>
  <si>
    <t xml:space="preserve">ORD-106965</t>
  </si>
  <si>
    <t xml:space="preserve">ORD-106966</t>
  </si>
  <si>
    <t xml:space="preserve">ORD-106967</t>
  </si>
  <si>
    <t xml:space="preserve">ORD-106968</t>
  </si>
  <si>
    <t xml:space="preserve">ORD-106969</t>
  </si>
  <si>
    <t xml:space="preserve">ORD-106970</t>
  </si>
  <si>
    <t xml:space="preserve">ORD-106971</t>
  </si>
  <si>
    <t xml:space="preserve">ORD-106972</t>
  </si>
  <si>
    <t xml:space="preserve">ORD-106973</t>
  </si>
  <si>
    <t xml:space="preserve">ORD-106974</t>
  </si>
  <si>
    <t xml:space="preserve">ORD-106975</t>
  </si>
  <si>
    <t xml:space="preserve">ORD-106976</t>
  </si>
  <si>
    <t xml:space="preserve">ORD-106977</t>
  </si>
  <si>
    <t xml:space="preserve">ORD-106978</t>
  </si>
  <si>
    <t xml:space="preserve">ORD-106979</t>
  </si>
  <si>
    <t xml:space="preserve">ORD-106980</t>
  </si>
  <si>
    <t xml:space="preserve">ORD-106981</t>
  </si>
  <si>
    <t xml:space="preserve">ORD-106982</t>
  </si>
  <si>
    <t xml:space="preserve">ORD-106983</t>
  </si>
  <si>
    <t xml:space="preserve">ORD-106984</t>
  </si>
  <si>
    <t xml:space="preserve">ORD-106985</t>
  </si>
  <si>
    <t xml:space="preserve">ORD-106986</t>
  </si>
  <si>
    <t xml:space="preserve">ORD-106987</t>
  </si>
  <si>
    <t xml:space="preserve">ORD-106988</t>
  </si>
  <si>
    <t xml:space="preserve">ORD-106989</t>
  </si>
  <si>
    <t xml:space="preserve">ORD-106990</t>
  </si>
  <si>
    <t xml:space="preserve">ORD-106991</t>
  </si>
  <si>
    <t xml:space="preserve">ORD-106992</t>
  </si>
  <si>
    <t xml:space="preserve">ORD-106993</t>
  </si>
  <si>
    <t xml:space="preserve">ORD-106994</t>
  </si>
  <si>
    <t xml:space="preserve">ORD-106995</t>
  </si>
  <si>
    <t xml:space="preserve">ORD-106996</t>
  </si>
  <si>
    <t xml:space="preserve">ORD-106997</t>
  </si>
  <si>
    <t xml:space="preserve">ORD-106998</t>
  </si>
  <si>
    <t xml:space="preserve">ORD-106999</t>
  </si>
  <si>
    <t xml:space="preserve">ORD-107000</t>
  </si>
  <si>
    <t xml:space="preserve">ORD-107001</t>
  </si>
  <si>
    <t xml:space="preserve">ORD-107002</t>
  </si>
  <si>
    <t xml:space="preserve">ORD-107003</t>
  </si>
  <si>
    <t xml:space="preserve">ORD-107004</t>
  </si>
  <si>
    <t xml:space="preserve">ORD-107005</t>
  </si>
  <si>
    <t xml:space="preserve">ORD-107006</t>
  </si>
  <si>
    <t xml:space="preserve">ORD-107007</t>
  </si>
  <si>
    <t xml:space="preserve">ORD-107008</t>
  </si>
  <si>
    <t xml:space="preserve">ORD-107009</t>
  </si>
  <si>
    <t xml:space="preserve">ORD-107010</t>
  </si>
  <si>
    <t xml:space="preserve">ORD-107011</t>
  </si>
  <si>
    <t xml:space="preserve">ORD-107012</t>
  </si>
  <si>
    <t xml:space="preserve">ORD-107013</t>
  </si>
  <si>
    <t xml:space="preserve">ORD-107014</t>
  </si>
  <si>
    <t xml:space="preserve">ORD-107015</t>
  </si>
  <si>
    <t xml:space="preserve">ORD-107016</t>
  </si>
  <si>
    <t xml:space="preserve">ORD-107017</t>
  </si>
  <si>
    <t xml:space="preserve">ORD-107018</t>
  </si>
  <si>
    <t xml:space="preserve">ORD-107019</t>
  </si>
  <si>
    <t xml:space="preserve">ORD-107020</t>
  </si>
  <si>
    <t xml:space="preserve">ORD-107021</t>
  </si>
  <si>
    <t xml:space="preserve">ORD-107022</t>
  </si>
  <si>
    <t xml:space="preserve">ORD-107023</t>
  </si>
  <si>
    <t xml:space="preserve">ORD-107024</t>
  </si>
  <si>
    <t xml:space="preserve">ORD-107025</t>
  </si>
  <si>
    <t xml:space="preserve">ORD-107026</t>
  </si>
  <si>
    <t xml:space="preserve">ORD-107027</t>
  </si>
  <si>
    <t xml:space="preserve">ORD-107028</t>
  </si>
  <si>
    <t xml:space="preserve">ORD-107029</t>
  </si>
  <si>
    <t xml:space="preserve">ORD-107030</t>
  </si>
  <si>
    <t xml:space="preserve">ORD-107031</t>
  </si>
  <si>
    <t xml:space="preserve">ORD-107032</t>
  </si>
  <si>
    <t xml:space="preserve">ORD-107033</t>
  </si>
  <si>
    <t xml:space="preserve">ORD-107034</t>
  </si>
  <si>
    <t xml:space="preserve">ORD-107035</t>
  </si>
  <si>
    <t xml:space="preserve">ORD-107036</t>
  </si>
  <si>
    <t xml:space="preserve">ORD-107037</t>
  </si>
  <si>
    <t xml:space="preserve">ORD-107038</t>
  </si>
  <si>
    <t xml:space="preserve">ORD-107039</t>
  </si>
  <si>
    <t xml:space="preserve">ORD-107040</t>
  </si>
  <si>
    <t xml:space="preserve">ORD-107041</t>
  </si>
  <si>
    <t xml:space="preserve">ORD-107042</t>
  </si>
  <si>
    <t xml:space="preserve">ORD-107043</t>
  </si>
  <si>
    <t xml:space="preserve">ORD-107044</t>
  </si>
  <si>
    <t xml:space="preserve">ORD-107045</t>
  </si>
  <si>
    <t xml:space="preserve">ORD-107046</t>
  </si>
  <si>
    <t xml:space="preserve">ORD-107047</t>
  </si>
  <si>
    <t xml:space="preserve">ORD-107048</t>
  </si>
  <si>
    <t xml:space="preserve">ORD-107049</t>
  </si>
  <si>
    <t xml:space="preserve">ORD-107050</t>
  </si>
  <si>
    <t xml:space="preserve">ORD-107051</t>
  </si>
  <si>
    <t xml:space="preserve">ORD-107052</t>
  </si>
  <si>
    <t xml:space="preserve">ORD-107053</t>
  </si>
  <si>
    <t xml:space="preserve">ORD-107054</t>
  </si>
  <si>
    <t xml:space="preserve">ORD-107055</t>
  </si>
  <si>
    <t xml:space="preserve">ORD-107056</t>
  </si>
  <si>
    <t xml:space="preserve">ORD-107057</t>
  </si>
  <si>
    <t xml:space="preserve">ORD-107058</t>
  </si>
  <si>
    <t xml:space="preserve">ORD-107059</t>
  </si>
  <si>
    <t xml:space="preserve">ORD-107060</t>
  </si>
  <si>
    <t xml:space="preserve">ORD-107061</t>
  </si>
  <si>
    <t xml:space="preserve">ORD-107062</t>
  </si>
  <si>
    <t xml:space="preserve">ORD-107063</t>
  </si>
  <si>
    <t xml:space="preserve">ORD-107064</t>
  </si>
  <si>
    <t xml:space="preserve">ORD-107065</t>
  </si>
  <si>
    <t xml:space="preserve">ORD-107066</t>
  </si>
  <si>
    <t xml:space="preserve">ORD-107067</t>
  </si>
  <si>
    <t xml:space="preserve">ORD-107068</t>
  </si>
  <si>
    <t xml:space="preserve">ORD-107069</t>
  </si>
  <si>
    <t xml:space="preserve">ORD-107070</t>
  </si>
  <si>
    <t xml:space="preserve">ORD-107071</t>
  </si>
  <si>
    <t xml:space="preserve">ORD-107072</t>
  </si>
  <si>
    <t xml:space="preserve">ORD-107073</t>
  </si>
  <si>
    <t xml:space="preserve">ORD-107074</t>
  </si>
  <si>
    <t xml:space="preserve">ORD-107075</t>
  </si>
  <si>
    <t xml:space="preserve">ORD-107076</t>
  </si>
  <si>
    <t xml:space="preserve">ORD-107077</t>
  </si>
  <si>
    <t xml:space="preserve">ORD-107078</t>
  </si>
  <si>
    <t xml:space="preserve">ORD-107079</t>
  </si>
  <si>
    <t xml:space="preserve">ORD-107080</t>
  </si>
  <si>
    <t xml:space="preserve">ORD-107081</t>
  </si>
  <si>
    <t xml:space="preserve">ORD-107082</t>
  </si>
  <si>
    <t xml:space="preserve">ORD-107083</t>
  </si>
  <si>
    <t xml:space="preserve">ORD-107084</t>
  </si>
  <si>
    <t xml:space="preserve">ORD-107085</t>
  </si>
  <si>
    <t xml:space="preserve">ORD-107086</t>
  </si>
  <si>
    <t xml:space="preserve">ORD-107087</t>
  </si>
  <si>
    <t xml:space="preserve">ORD-107088</t>
  </si>
  <si>
    <t xml:space="preserve">ORD-107089</t>
  </si>
  <si>
    <t xml:space="preserve">ORD-107090</t>
  </si>
  <si>
    <t xml:space="preserve">ORD-107091</t>
  </si>
  <si>
    <t xml:space="preserve">ORD-107092</t>
  </si>
  <si>
    <t xml:space="preserve">ORD-107093</t>
  </si>
  <si>
    <t xml:space="preserve">ORD-107094</t>
  </si>
  <si>
    <t xml:space="preserve">ORD-107095</t>
  </si>
  <si>
    <t xml:space="preserve">ORD-107096</t>
  </si>
  <si>
    <t xml:space="preserve">ORD-107097</t>
  </si>
  <si>
    <t xml:space="preserve">ORD-107098</t>
  </si>
  <si>
    <t xml:space="preserve">ORD-107099</t>
  </si>
  <si>
    <t xml:space="preserve">ORD-107100</t>
  </si>
  <si>
    <t xml:space="preserve">ORD-107101</t>
  </si>
  <si>
    <t xml:space="preserve">ORD-107102</t>
  </si>
  <si>
    <t xml:space="preserve">ORD-107103</t>
  </si>
  <si>
    <t xml:space="preserve">ORD-107104</t>
  </si>
  <si>
    <t xml:space="preserve">ORD-107105</t>
  </si>
  <si>
    <t xml:space="preserve">ORD-107106</t>
  </si>
  <si>
    <t xml:space="preserve">ORD-107107</t>
  </si>
  <si>
    <t xml:space="preserve">ORD-107108</t>
  </si>
  <si>
    <t xml:space="preserve">ORD-107109</t>
  </si>
  <si>
    <t xml:space="preserve">ORD-107110</t>
  </si>
  <si>
    <t xml:space="preserve">ORD-107111</t>
  </si>
  <si>
    <t xml:space="preserve">ORD-107112</t>
  </si>
  <si>
    <t xml:space="preserve">ORD-107113</t>
  </si>
  <si>
    <t xml:space="preserve">ORD-107114</t>
  </si>
  <si>
    <t xml:space="preserve">ORD-107115</t>
  </si>
  <si>
    <t xml:space="preserve">ORD-107116</t>
  </si>
  <si>
    <t xml:space="preserve">ORD-107117</t>
  </si>
  <si>
    <t xml:space="preserve">ORD-107118</t>
  </si>
  <si>
    <t xml:space="preserve">ORD-107119</t>
  </si>
  <si>
    <t xml:space="preserve">ORD-107120</t>
  </si>
  <si>
    <t xml:space="preserve">ORD-107121</t>
  </si>
  <si>
    <t xml:space="preserve">ORD-107122</t>
  </si>
  <si>
    <t xml:space="preserve">ORD-107123</t>
  </si>
  <si>
    <t xml:space="preserve">ORD-107124</t>
  </si>
  <si>
    <t xml:space="preserve">ORD-107125</t>
  </si>
  <si>
    <t xml:space="preserve">ORD-107126</t>
  </si>
  <si>
    <t xml:space="preserve">ORD-107127</t>
  </si>
  <si>
    <t xml:space="preserve">ORD-107128</t>
  </si>
  <si>
    <t xml:space="preserve">ORD-107129</t>
  </si>
  <si>
    <t xml:space="preserve">ORD-107130</t>
  </si>
  <si>
    <t xml:space="preserve">ORD-107131</t>
  </si>
  <si>
    <t xml:space="preserve">ORD-107132</t>
  </si>
  <si>
    <t xml:space="preserve">ORD-107133</t>
  </si>
  <si>
    <t xml:space="preserve">ORD-107134</t>
  </si>
  <si>
    <t xml:space="preserve">ORD-107135</t>
  </si>
  <si>
    <t xml:space="preserve">ORD-107136</t>
  </si>
  <si>
    <t xml:space="preserve">ORD-107137</t>
  </si>
  <si>
    <t xml:space="preserve">ORD-107138</t>
  </si>
  <si>
    <t xml:space="preserve">ORD-107139</t>
  </si>
  <si>
    <t xml:space="preserve">ORD-107140</t>
  </si>
  <si>
    <t xml:space="preserve">ORD-107141</t>
  </si>
  <si>
    <t xml:space="preserve">ORD-107142</t>
  </si>
  <si>
    <t xml:space="preserve">ORD-107143</t>
  </si>
  <si>
    <t xml:space="preserve">ORD-107144</t>
  </si>
  <si>
    <t xml:space="preserve">ORD-107145</t>
  </si>
  <si>
    <t xml:space="preserve">ORD-107146</t>
  </si>
  <si>
    <t xml:space="preserve">ORD-107147</t>
  </si>
  <si>
    <t xml:space="preserve">ORD-107148</t>
  </si>
  <si>
    <t xml:space="preserve">ORD-107149</t>
  </si>
  <si>
    <t xml:space="preserve">ORD-107150</t>
  </si>
  <si>
    <t xml:space="preserve">ORD-107151</t>
  </si>
  <si>
    <t xml:space="preserve">ORD-107152</t>
  </si>
  <si>
    <t xml:space="preserve">ORD-107153</t>
  </si>
  <si>
    <t xml:space="preserve">ORD-107154</t>
  </si>
  <si>
    <t xml:space="preserve">ORD-107155</t>
  </si>
  <si>
    <t xml:space="preserve">ORD-107156</t>
  </si>
  <si>
    <t xml:space="preserve">ORD-107157</t>
  </si>
  <si>
    <t xml:space="preserve">ORD-107158</t>
  </si>
  <si>
    <t xml:space="preserve">ORD-107159</t>
  </si>
  <si>
    <t xml:space="preserve">ORD-107160</t>
  </si>
  <si>
    <t xml:space="preserve">ORD-107161</t>
  </si>
  <si>
    <t xml:space="preserve">ORD-107162</t>
  </si>
  <si>
    <t xml:space="preserve">ORD-107163</t>
  </si>
  <si>
    <t xml:space="preserve">ORD-107164</t>
  </si>
  <si>
    <t xml:space="preserve">ORD-107165</t>
  </si>
  <si>
    <t xml:space="preserve">ORD-107166</t>
  </si>
  <si>
    <t xml:space="preserve">ORD-107167</t>
  </si>
  <si>
    <t xml:space="preserve">ORD-107168</t>
  </si>
  <si>
    <t xml:space="preserve">ORD-107169</t>
  </si>
  <si>
    <t xml:space="preserve">ORD-107170</t>
  </si>
  <si>
    <t xml:space="preserve">ORD-107171</t>
  </si>
  <si>
    <t xml:space="preserve">ORD-107172</t>
  </si>
  <si>
    <t xml:space="preserve">ORD-107173</t>
  </si>
  <si>
    <t xml:space="preserve">ORD-107174</t>
  </si>
  <si>
    <t xml:space="preserve">ORD-107175</t>
  </si>
  <si>
    <t xml:space="preserve">ORD-107176</t>
  </si>
  <si>
    <t xml:space="preserve">ORD-107177</t>
  </si>
  <si>
    <t xml:space="preserve">ORD-107178</t>
  </si>
  <si>
    <t xml:space="preserve">ORD-107179</t>
  </si>
  <si>
    <t xml:space="preserve">ORD-107180</t>
  </si>
  <si>
    <t xml:space="preserve">ORD-107181</t>
  </si>
  <si>
    <t xml:space="preserve">ORD-107182</t>
  </si>
  <si>
    <t xml:space="preserve">ORD-107183</t>
  </si>
  <si>
    <t xml:space="preserve">ORD-107184</t>
  </si>
  <si>
    <t xml:space="preserve">ORD-107185</t>
  </si>
  <si>
    <t xml:space="preserve">ORD-107186</t>
  </si>
  <si>
    <t xml:space="preserve">ORD-107187</t>
  </si>
  <si>
    <t xml:space="preserve">ORD-107188</t>
  </si>
  <si>
    <t xml:space="preserve">ORD-107189</t>
  </si>
  <si>
    <t xml:space="preserve">ORD-107190</t>
  </si>
  <si>
    <t xml:space="preserve">ORD-107191</t>
  </si>
  <si>
    <t xml:space="preserve">ORD-107192</t>
  </si>
  <si>
    <t xml:space="preserve">ORD-107193</t>
  </si>
  <si>
    <t xml:space="preserve">ORD-107194</t>
  </si>
  <si>
    <t xml:space="preserve">ORD-107195</t>
  </si>
  <si>
    <t xml:space="preserve">ORD-107196</t>
  </si>
  <si>
    <t xml:space="preserve">ORD-107197</t>
  </si>
  <si>
    <t xml:space="preserve">ORD-107198</t>
  </si>
  <si>
    <t xml:space="preserve">ORD-107199</t>
  </si>
  <si>
    <t xml:space="preserve">ORD-107200</t>
  </si>
  <si>
    <t xml:space="preserve">ORD-107201</t>
  </si>
  <si>
    <t xml:space="preserve">ORD-107202</t>
  </si>
  <si>
    <t xml:space="preserve">ORD-107203</t>
  </si>
  <si>
    <t xml:space="preserve">ORD-107204</t>
  </si>
  <si>
    <t xml:space="preserve">ORD-107205</t>
  </si>
  <si>
    <t xml:space="preserve">ORD-107206</t>
  </si>
  <si>
    <t xml:space="preserve">ORD-107207</t>
  </si>
  <si>
    <t xml:space="preserve">ORD-107208</t>
  </si>
  <si>
    <t xml:space="preserve">ORD-107209</t>
  </si>
  <si>
    <t xml:space="preserve">ORD-107210</t>
  </si>
  <si>
    <t xml:space="preserve">ORD-107211</t>
  </si>
  <si>
    <t xml:space="preserve">ORD-107212</t>
  </si>
  <si>
    <t xml:space="preserve">ORD-107213</t>
  </si>
  <si>
    <t xml:space="preserve">ORD-107214</t>
  </si>
  <si>
    <t xml:space="preserve">ORD-107215</t>
  </si>
  <si>
    <t xml:space="preserve">ORD-107216</t>
  </si>
  <si>
    <t xml:space="preserve">ORD-107217</t>
  </si>
  <si>
    <t xml:space="preserve">ORD-107218</t>
  </si>
  <si>
    <t xml:space="preserve">ORD-107219</t>
  </si>
  <si>
    <t xml:space="preserve">ORD-107220</t>
  </si>
  <si>
    <t xml:space="preserve">ORD-107221</t>
  </si>
  <si>
    <t xml:space="preserve">ORD-107222</t>
  </si>
  <si>
    <t xml:space="preserve">ORD-107223</t>
  </si>
  <si>
    <t xml:space="preserve">ORD-107224</t>
  </si>
  <si>
    <t xml:space="preserve">ORD-107225</t>
  </si>
  <si>
    <t xml:space="preserve">ORD-107226</t>
  </si>
  <si>
    <t xml:space="preserve">ORD-107227</t>
  </si>
  <si>
    <t xml:space="preserve">ORD-107228</t>
  </si>
  <si>
    <t xml:space="preserve">ORD-107229</t>
  </si>
  <si>
    <t xml:space="preserve">ORD-107230</t>
  </si>
  <si>
    <t xml:space="preserve">ORD-107231</t>
  </si>
  <si>
    <t xml:space="preserve">ORD-107232</t>
  </si>
  <si>
    <t xml:space="preserve">ORD-107233</t>
  </si>
  <si>
    <t xml:space="preserve">ORD-107234</t>
  </si>
  <si>
    <t xml:space="preserve">ORD-107235</t>
  </si>
  <si>
    <t xml:space="preserve">ORD-107236</t>
  </si>
  <si>
    <t xml:space="preserve">ORD-107237</t>
  </si>
  <si>
    <t xml:space="preserve">ORD-107238</t>
  </si>
  <si>
    <t xml:space="preserve">ORD-107239</t>
  </si>
  <si>
    <t xml:space="preserve">ORD-107240</t>
  </si>
  <si>
    <t xml:space="preserve">ORD-107241</t>
  </si>
  <si>
    <t xml:space="preserve">ORD-107242</t>
  </si>
  <si>
    <t xml:space="preserve">ORD-107243</t>
  </si>
  <si>
    <t xml:space="preserve">ORD-107244</t>
  </si>
  <si>
    <t xml:space="preserve">ORD-107245</t>
  </si>
  <si>
    <t xml:space="preserve">ORD-107246</t>
  </si>
  <si>
    <t xml:space="preserve">ORD-107247</t>
  </si>
  <si>
    <t xml:space="preserve">ORD-107248</t>
  </si>
  <si>
    <t xml:space="preserve">ORD-107249</t>
  </si>
  <si>
    <t xml:space="preserve">ORD-107250</t>
  </si>
  <si>
    <t xml:space="preserve">ORD-107251</t>
  </si>
  <si>
    <t xml:space="preserve">ORD-107252</t>
  </si>
  <si>
    <t xml:space="preserve">ORD-107253</t>
  </si>
  <si>
    <t xml:space="preserve">ORD-107254</t>
  </si>
  <si>
    <t xml:space="preserve">ORD-107255</t>
  </si>
  <si>
    <t xml:space="preserve">ORD-107256</t>
  </si>
  <si>
    <t xml:space="preserve">ORD-107257</t>
  </si>
  <si>
    <t xml:space="preserve">ORD-107258</t>
  </si>
  <si>
    <t xml:space="preserve">ORD-107259</t>
  </si>
  <si>
    <t xml:space="preserve">ORD-107260</t>
  </si>
  <si>
    <t xml:space="preserve">ORD-107261</t>
  </si>
  <si>
    <t xml:space="preserve">ORD-107262</t>
  </si>
  <si>
    <t xml:space="preserve">ORD-107263</t>
  </si>
  <si>
    <t xml:space="preserve">ORD-107264</t>
  </si>
  <si>
    <t xml:space="preserve">ORD-107265</t>
  </si>
  <si>
    <t xml:space="preserve">ORD-107266</t>
  </si>
  <si>
    <t xml:space="preserve">ORD-107267</t>
  </si>
  <si>
    <t xml:space="preserve">ORD-107268</t>
  </si>
  <si>
    <t xml:space="preserve">ORD-107269</t>
  </si>
  <si>
    <t xml:space="preserve">ORD-107270</t>
  </si>
  <si>
    <t xml:space="preserve">ORD-107271</t>
  </si>
  <si>
    <t xml:space="preserve">ORD-107272</t>
  </si>
  <si>
    <t xml:space="preserve">ORD-107273</t>
  </si>
  <si>
    <t xml:space="preserve">ORD-107274</t>
  </si>
  <si>
    <t xml:space="preserve">ORD-107275</t>
  </si>
  <si>
    <t xml:space="preserve">ORD-107276</t>
  </si>
  <si>
    <t xml:space="preserve">ORD-107277</t>
  </si>
  <si>
    <t xml:space="preserve">ORD-107278</t>
  </si>
  <si>
    <t xml:space="preserve">ORD-107279</t>
  </si>
  <si>
    <t xml:space="preserve">ORD-107280</t>
  </si>
  <si>
    <t xml:space="preserve">ORD-107281</t>
  </si>
  <si>
    <t xml:space="preserve">ORD-107282</t>
  </si>
  <si>
    <t xml:space="preserve">ORD-107283</t>
  </si>
  <si>
    <t xml:space="preserve">ORD-107284</t>
  </si>
  <si>
    <t xml:space="preserve">ORD-107285</t>
  </si>
  <si>
    <t xml:space="preserve">ORD-107286</t>
  </si>
  <si>
    <t xml:space="preserve">ORD-107287</t>
  </si>
  <si>
    <t xml:space="preserve">ORD-107288</t>
  </si>
  <si>
    <t xml:space="preserve">ORD-107289</t>
  </si>
  <si>
    <t xml:space="preserve">ORD-107290</t>
  </si>
  <si>
    <t xml:space="preserve">ORD-107291</t>
  </si>
  <si>
    <t xml:space="preserve">ORD-107292</t>
  </si>
  <si>
    <t xml:space="preserve">ORD-107293</t>
  </si>
  <si>
    <t xml:space="preserve">ORD-107294</t>
  </si>
  <si>
    <t xml:space="preserve">ORD-107295</t>
  </si>
  <si>
    <t xml:space="preserve">ORD-107296</t>
  </si>
  <si>
    <t xml:space="preserve">ORD-107297</t>
  </si>
  <si>
    <t xml:space="preserve">ORD-107298</t>
  </si>
  <si>
    <t xml:space="preserve">ORD-107299</t>
  </si>
  <si>
    <t xml:space="preserve">ORD-107300</t>
  </si>
  <si>
    <t xml:space="preserve">ORD-107301</t>
  </si>
  <si>
    <t xml:space="preserve">ORD-107302</t>
  </si>
  <si>
    <t xml:space="preserve">ORD-107303</t>
  </si>
  <si>
    <t xml:space="preserve">ORD-107304</t>
  </si>
  <si>
    <t xml:space="preserve">ORD-107305</t>
  </si>
  <si>
    <t xml:space="preserve">ORD-107306</t>
  </si>
  <si>
    <t xml:space="preserve">ORD-107307</t>
  </si>
  <si>
    <t xml:space="preserve">ORD-107308</t>
  </si>
  <si>
    <t xml:space="preserve">ORD-107309</t>
  </si>
  <si>
    <t xml:space="preserve">ORD-107310</t>
  </si>
  <si>
    <t xml:space="preserve">ORD-107311</t>
  </si>
  <si>
    <t xml:space="preserve">ORD-107312</t>
  </si>
  <si>
    <t xml:space="preserve">ORD-107313</t>
  </si>
  <si>
    <t xml:space="preserve">ORD-107314</t>
  </si>
  <si>
    <t xml:space="preserve">ORD-107315</t>
  </si>
  <si>
    <t xml:space="preserve">ORD-107316</t>
  </si>
  <si>
    <t xml:space="preserve">ORD-107317</t>
  </si>
  <si>
    <t xml:space="preserve">ORD-107318</t>
  </si>
  <si>
    <t xml:space="preserve">ORD-107319</t>
  </si>
  <si>
    <t xml:space="preserve">ORD-107320</t>
  </si>
  <si>
    <t xml:space="preserve">ORD-107321</t>
  </si>
  <si>
    <t xml:space="preserve">ORD-107322</t>
  </si>
  <si>
    <t xml:space="preserve">ORD-107323</t>
  </si>
  <si>
    <t xml:space="preserve">ORD-107324</t>
  </si>
  <si>
    <t xml:space="preserve">ORD-107325</t>
  </si>
  <si>
    <t xml:space="preserve">ORD-107326</t>
  </si>
  <si>
    <t xml:space="preserve">ORD-107327</t>
  </si>
  <si>
    <t xml:space="preserve">ORD-107328</t>
  </si>
  <si>
    <t xml:space="preserve">ORD-107329</t>
  </si>
  <si>
    <t xml:space="preserve">ORD-107330</t>
  </si>
  <si>
    <t xml:space="preserve">ORD-107331</t>
  </si>
  <si>
    <t xml:space="preserve">ORD-107332</t>
  </si>
  <si>
    <t xml:space="preserve">ORD-107333</t>
  </si>
  <si>
    <t xml:space="preserve">ORD-107334</t>
  </si>
  <si>
    <t xml:space="preserve">ORD-107335</t>
  </si>
  <si>
    <t xml:space="preserve">ORD-107336</t>
  </si>
  <si>
    <t xml:space="preserve">ORD-107337</t>
  </si>
  <si>
    <t xml:space="preserve">ORD-107338</t>
  </si>
  <si>
    <t xml:space="preserve">ORD-107339</t>
  </si>
  <si>
    <t xml:space="preserve">ORD-107340</t>
  </si>
  <si>
    <t xml:space="preserve">ORD-107341</t>
  </si>
  <si>
    <t xml:space="preserve">ORD-107342</t>
  </si>
  <si>
    <t xml:space="preserve">ORD-107343</t>
  </si>
  <si>
    <t xml:space="preserve">ORD-107344</t>
  </si>
  <si>
    <t xml:space="preserve">ORD-107345</t>
  </si>
  <si>
    <t xml:space="preserve">ORD-107346</t>
  </si>
  <si>
    <t xml:space="preserve">ORD-107347</t>
  </si>
  <si>
    <t xml:space="preserve">ORD-107348</t>
  </si>
  <si>
    <t xml:space="preserve">ORD-107349</t>
  </si>
  <si>
    <t xml:space="preserve">ORD-107350</t>
  </si>
  <si>
    <t xml:space="preserve">ORD-107351</t>
  </si>
  <si>
    <t xml:space="preserve">ORD-107352</t>
  </si>
  <si>
    <t xml:space="preserve">ORD-107353</t>
  </si>
  <si>
    <t xml:space="preserve">ORD-107354</t>
  </si>
  <si>
    <t xml:space="preserve">ORD-107355</t>
  </si>
  <si>
    <t xml:space="preserve">ORD-107356</t>
  </si>
  <si>
    <t xml:space="preserve">ORD-107357</t>
  </si>
  <si>
    <t xml:space="preserve">ORD-107358</t>
  </si>
  <si>
    <t xml:space="preserve">ORD-107359</t>
  </si>
  <si>
    <t xml:space="preserve">ORD-107360</t>
  </si>
  <si>
    <t xml:space="preserve">ORD-107361</t>
  </si>
  <si>
    <t xml:space="preserve">ORD-107362</t>
  </si>
  <si>
    <t xml:space="preserve">ORD-107363</t>
  </si>
  <si>
    <t xml:space="preserve">ORD-107364</t>
  </si>
  <si>
    <t xml:space="preserve">ORD-107365</t>
  </si>
  <si>
    <t xml:space="preserve">ORD-107366</t>
  </si>
  <si>
    <t xml:space="preserve">ORD-107367</t>
  </si>
  <si>
    <t xml:space="preserve">ORD-107368</t>
  </si>
  <si>
    <t xml:space="preserve">ORD-107369</t>
  </si>
  <si>
    <t xml:space="preserve">ORD-107370</t>
  </si>
  <si>
    <t xml:space="preserve">ORD-107371</t>
  </si>
  <si>
    <t xml:space="preserve">ORD-107372</t>
  </si>
  <si>
    <t xml:space="preserve">ORD-107373</t>
  </si>
  <si>
    <t xml:space="preserve">ORD-107374</t>
  </si>
  <si>
    <t xml:space="preserve">ORD-107375</t>
  </si>
  <si>
    <t xml:space="preserve">ORD-107376</t>
  </si>
  <si>
    <t xml:space="preserve">ORD-107377</t>
  </si>
  <si>
    <t xml:space="preserve">ORD-107378</t>
  </si>
  <si>
    <t xml:space="preserve">ORD-107379</t>
  </si>
  <si>
    <t xml:space="preserve">ORD-107380</t>
  </si>
  <si>
    <t xml:space="preserve">ORD-107381</t>
  </si>
  <si>
    <t xml:space="preserve">ORD-107382</t>
  </si>
  <si>
    <t xml:space="preserve">ORD-107383</t>
  </si>
  <si>
    <t xml:space="preserve">ORD-107384</t>
  </si>
  <si>
    <t xml:space="preserve">ORD-107385</t>
  </si>
  <si>
    <t xml:space="preserve">ORD-107386</t>
  </si>
  <si>
    <t xml:space="preserve">ORD-107387</t>
  </si>
  <si>
    <t xml:space="preserve">ORD-107388</t>
  </si>
  <si>
    <t xml:space="preserve">ORD-107389</t>
  </si>
  <si>
    <t xml:space="preserve">ORD-107390</t>
  </si>
  <si>
    <t xml:space="preserve">ORD-107391</t>
  </si>
  <si>
    <t xml:space="preserve">ORD-107392</t>
  </si>
  <si>
    <t xml:space="preserve">ORD-107393</t>
  </si>
  <si>
    <t xml:space="preserve">ORD-107394</t>
  </si>
  <si>
    <t xml:space="preserve">ORD-107395</t>
  </si>
  <si>
    <t xml:space="preserve">ORD-107396</t>
  </si>
  <si>
    <t xml:space="preserve">ORD-107397</t>
  </si>
  <si>
    <t xml:space="preserve">ORD-107398</t>
  </si>
  <si>
    <t xml:space="preserve">ORD-107399</t>
  </si>
  <si>
    <t xml:space="preserve">ORD-107400</t>
  </si>
  <si>
    <t xml:space="preserve">ORD-107401</t>
  </si>
  <si>
    <t xml:space="preserve">ORD-107402</t>
  </si>
  <si>
    <t xml:space="preserve">ORD-107403</t>
  </si>
  <si>
    <t xml:space="preserve">ORD-107404</t>
  </si>
  <si>
    <t xml:space="preserve">ORD-107405</t>
  </si>
  <si>
    <t xml:space="preserve">ORD-107406</t>
  </si>
  <si>
    <t xml:space="preserve">ORD-107407</t>
  </si>
  <si>
    <t xml:space="preserve">ORD-107408</t>
  </si>
  <si>
    <t xml:space="preserve">ORD-107409</t>
  </si>
  <si>
    <t xml:space="preserve">ORD-107410</t>
  </si>
  <si>
    <t xml:space="preserve">ORD-107411</t>
  </si>
  <si>
    <t xml:space="preserve">ORD-107412</t>
  </si>
  <si>
    <t xml:space="preserve">ORD-107413</t>
  </si>
  <si>
    <t xml:space="preserve">ORD-107414</t>
  </si>
  <si>
    <t xml:space="preserve">ORD-107415</t>
  </si>
  <si>
    <t xml:space="preserve">ORD-107416</t>
  </si>
  <si>
    <t xml:space="preserve">ORD-107417</t>
  </si>
  <si>
    <t xml:space="preserve">ORD-107418</t>
  </si>
  <si>
    <t xml:space="preserve">ORD-107419</t>
  </si>
  <si>
    <t xml:space="preserve">ORD-107420</t>
  </si>
  <si>
    <t xml:space="preserve">ORD-107421</t>
  </si>
  <si>
    <t xml:space="preserve">ORD-107422</t>
  </si>
  <si>
    <t xml:space="preserve">ORD-107423</t>
  </si>
  <si>
    <t xml:space="preserve">ORD-107424</t>
  </si>
  <si>
    <t xml:space="preserve">ORD-107425</t>
  </si>
  <si>
    <t xml:space="preserve">ORD-107426</t>
  </si>
  <si>
    <t xml:space="preserve">ORD-107427</t>
  </si>
  <si>
    <t xml:space="preserve">ORD-107428</t>
  </si>
  <si>
    <t xml:space="preserve">ORD-107429</t>
  </si>
  <si>
    <t xml:space="preserve">ORD-107430</t>
  </si>
  <si>
    <t xml:space="preserve">ORD-107431</t>
  </si>
  <si>
    <t xml:space="preserve">ORD-107432</t>
  </si>
  <si>
    <t xml:space="preserve">ORD-107433</t>
  </si>
  <si>
    <t xml:space="preserve">ORD-107434</t>
  </si>
  <si>
    <t xml:space="preserve">ORD-107435</t>
  </si>
  <si>
    <t xml:space="preserve">ORD-107436</t>
  </si>
  <si>
    <t xml:space="preserve">ORD-107437</t>
  </si>
  <si>
    <t xml:space="preserve">ORD-107438</t>
  </si>
  <si>
    <t xml:space="preserve">ORD-107439</t>
  </si>
  <si>
    <t xml:space="preserve">ORD-107440</t>
  </si>
  <si>
    <t xml:space="preserve">ORD-107441</t>
  </si>
  <si>
    <t xml:space="preserve">ORD-107442</t>
  </si>
  <si>
    <t xml:space="preserve">ORD-107443</t>
  </si>
  <si>
    <t xml:space="preserve">ORD-107444</t>
  </si>
  <si>
    <t xml:space="preserve">ORD-107445</t>
  </si>
  <si>
    <t xml:space="preserve">ORD-107446</t>
  </si>
  <si>
    <t xml:space="preserve">ORD-107447</t>
  </si>
  <si>
    <t xml:space="preserve">ORD-107448</t>
  </si>
  <si>
    <t xml:space="preserve">ORD-107449</t>
  </si>
  <si>
    <t xml:space="preserve">ORD-107450</t>
  </si>
  <si>
    <t xml:space="preserve">ORD-107451</t>
  </si>
  <si>
    <t xml:space="preserve">ORD-107452</t>
  </si>
  <si>
    <t xml:space="preserve">ORD-107453</t>
  </si>
  <si>
    <t xml:space="preserve">ORD-107454</t>
  </si>
  <si>
    <t xml:space="preserve">ORD-107455</t>
  </si>
  <si>
    <t xml:space="preserve">ORD-107456</t>
  </si>
  <si>
    <t xml:space="preserve">ORD-107457</t>
  </si>
  <si>
    <t xml:space="preserve">ORD-107458</t>
  </si>
  <si>
    <t xml:space="preserve">ORD-107459</t>
  </si>
  <si>
    <t xml:space="preserve">ORD-107460</t>
  </si>
  <si>
    <t xml:space="preserve">ORD-107461</t>
  </si>
  <si>
    <t xml:space="preserve">ORD-107462</t>
  </si>
  <si>
    <t xml:space="preserve">ORD-107463</t>
  </si>
  <si>
    <t xml:space="preserve">ORD-107464</t>
  </si>
  <si>
    <t xml:space="preserve">ORD-107465</t>
  </si>
  <si>
    <t xml:space="preserve">ORD-107466</t>
  </si>
  <si>
    <t xml:space="preserve">ORD-107467</t>
  </si>
  <si>
    <t xml:space="preserve">ORD-107468</t>
  </si>
  <si>
    <t xml:space="preserve">ORD-107469</t>
  </si>
  <si>
    <t xml:space="preserve">ORD-107470</t>
  </si>
  <si>
    <t xml:space="preserve">ORD-107471</t>
  </si>
  <si>
    <t xml:space="preserve">ORD-107472</t>
  </si>
  <si>
    <t xml:space="preserve">ORD-107473</t>
  </si>
  <si>
    <t xml:space="preserve">ORD-107474</t>
  </si>
  <si>
    <t xml:space="preserve">ORD-107475</t>
  </si>
  <si>
    <t xml:space="preserve">ORD-107476</t>
  </si>
  <si>
    <t xml:space="preserve">ORD-107477</t>
  </si>
  <si>
    <t xml:space="preserve">ORD-107478</t>
  </si>
  <si>
    <t xml:space="preserve">ORD-107479</t>
  </si>
  <si>
    <t xml:space="preserve">ORD-107480</t>
  </si>
  <si>
    <t xml:space="preserve">ORD-107481</t>
  </si>
  <si>
    <t xml:space="preserve">ORD-107482</t>
  </si>
  <si>
    <t xml:space="preserve">ORD-107483</t>
  </si>
  <si>
    <t xml:space="preserve">ORD-107484</t>
  </si>
  <si>
    <t xml:space="preserve">ORD-107485</t>
  </si>
  <si>
    <t xml:space="preserve">ORD-107486</t>
  </si>
  <si>
    <t xml:space="preserve">ORD-107487</t>
  </si>
  <si>
    <t xml:space="preserve">ORD-107488</t>
  </si>
  <si>
    <t xml:space="preserve">ORD-107489</t>
  </si>
  <si>
    <t xml:space="preserve">ORD-107490</t>
  </si>
  <si>
    <t xml:space="preserve">ORD-107491</t>
  </si>
  <si>
    <t xml:space="preserve">ORD-107492</t>
  </si>
  <si>
    <t xml:space="preserve">ORD-107493</t>
  </si>
  <si>
    <t xml:space="preserve">ORD-107494</t>
  </si>
  <si>
    <t xml:space="preserve">ORD-107495</t>
  </si>
  <si>
    <t xml:space="preserve">ORD-107496</t>
  </si>
  <si>
    <t xml:space="preserve">ORD-107497</t>
  </si>
  <si>
    <t xml:space="preserve">ORD-107498</t>
  </si>
  <si>
    <t xml:space="preserve">ORD-107499</t>
  </si>
  <si>
    <t xml:space="preserve">ORD-107500</t>
  </si>
  <si>
    <t xml:space="preserve">ORD-107501</t>
  </si>
  <si>
    <t xml:space="preserve">ORD-107502</t>
  </si>
  <si>
    <t xml:space="preserve">ORD-107503</t>
  </si>
  <si>
    <t xml:space="preserve">ORD-107504</t>
  </si>
  <si>
    <t xml:space="preserve">ORD-107505</t>
  </si>
  <si>
    <t xml:space="preserve">ORD-107506</t>
  </si>
  <si>
    <t xml:space="preserve">ORD-107507</t>
  </si>
  <si>
    <t xml:space="preserve">ORD-107508</t>
  </si>
  <si>
    <t xml:space="preserve">ORD-107509</t>
  </si>
  <si>
    <t xml:space="preserve">ORD-107510</t>
  </si>
  <si>
    <t xml:space="preserve">ORD-107511</t>
  </si>
  <si>
    <t xml:space="preserve">ORD-107512</t>
  </si>
  <si>
    <t xml:space="preserve">ORD-107513</t>
  </si>
  <si>
    <t xml:space="preserve">ORD-107514</t>
  </si>
  <si>
    <t xml:space="preserve">ORD-107515</t>
  </si>
  <si>
    <t xml:space="preserve">ORD-107516</t>
  </si>
  <si>
    <t xml:space="preserve">ORD-107517</t>
  </si>
  <si>
    <t xml:space="preserve">ORD-107518</t>
  </si>
  <si>
    <t xml:space="preserve">ORD-107519</t>
  </si>
  <si>
    <t xml:space="preserve">ORD-107520</t>
  </si>
  <si>
    <t xml:space="preserve">ORD-107521</t>
  </si>
  <si>
    <t xml:space="preserve">ORD-107522</t>
  </si>
  <si>
    <t xml:space="preserve">ORD-107523</t>
  </si>
  <si>
    <t xml:space="preserve">ORD-107524</t>
  </si>
  <si>
    <t xml:space="preserve">ORD-107525</t>
  </si>
  <si>
    <t xml:space="preserve">ORD-107526</t>
  </si>
  <si>
    <t xml:space="preserve">ORD-107527</t>
  </si>
  <si>
    <t xml:space="preserve">ORD-107528</t>
  </si>
  <si>
    <t xml:space="preserve">ORD-107529</t>
  </si>
  <si>
    <t xml:space="preserve">ORD-107530</t>
  </si>
  <si>
    <t xml:space="preserve">ORD-107531</t>
  </si>
  <si>
    <t xml:space="preserve">ORD-107532</t>
  </si>
  <si>
    <t xml:space="preserve">ORD-107533</t>
  </si>
  <si>
    <t xml:space="preserve">ORD-107534</t>
  </si>
  <si>
    <t xml:space="preserve">ORD-107535</t>
  </si>
  <si>
    <t xml:space="preserve">ORD-107536</t>
  </si>
  <si>
    <t xml:space="preserve">ORD-107537</t>
  </si>
  <si>
    <t xml:space="preserve">ORD-107538</t>
  </si>
  <si>
    <t xml:space="preserve">ORD-107539</t>
  </si>
  <si>
    <t xml:space="preserve">ORD-107540</t>
  </si>
  <si>
    <t xml:space="preserve">ORD-107541</t>
  </si>
  <si>
    <t xml:space="preserve">ORD-107542</t>
  </si>
  <si>
    <t xml:space="preserve">ORD-107543</t>
  </si>
  <si>
    <t xml:space="preserve">ORD-107544</t>
  </si>
  <si>
    <t xml:space="preserve">ORD-107545</t>
  </si>
  <si>
    <t xml:space="preserve">ORD-107546</t>
  </si>
  <si>
    <t xml:space="preserve">ORD-107547</t>
  </si>
  <si>
    <t xml:space="preserve">ORD-107548</t>
  </si>
  <si>
    <t xml:space="preserve">ORD-107549</t>
  </si>
  <si>
    <t xml:space="preserve">ORD-107550</t>
  </si>
  <si>
    <t xml:space="preserve">ORD-107551</t>
  </si>
  <si>
    <t xml:space="preserve">ORD-107552</t>
  </si>
  <si>
    <t xml:space="preserve">ORD-107553</t>
  </si>
  <si>
    <t xml:space="preserve">ORD-107554</t>
  </si>
  <si>
    <t xml:space="preserve">ORD-107555</t>
  </si>
  <si>
    <t xml:space="preserve">ORD-107556</t>
  </si>
  <si>
    <t xml:space="preserve">ORD-107557</t>
  </si>
  <si>
    <t xml:space="preserve">ORD-107558</t>
  </si>
  <si>
    <t xml:space="preserve">ORD-107559</t>
  </si>
  <si>
    <t xml:space="preserve">ORD-107560</t>
  </si>
  <si>
    <t xml:space="preserve">ORD-107561</t>
  </si>
  <si>
    <t xml:space="preserve">ORD-107562</t>
  </si>
  <si>
    <t xml:space="preserve">ORD-107563</t>
  </si>
  <si>
    <t xml:space="preserve">ORD-107564</t>
  </si>
  <si>
    <t xml:space="preserve">ORD-107565</t>
  </si>
  <si>
    <t xml:space="preserve">ORD-107566</t>
  </si>
  <si>
    <t xml:space="preserve">ORD-107567</t>
  </si>
  <si>
    <t xml:space="preserve">ORD-107568</t>
  </si>
  <si>
    <t xml:space="preserve">ORD-107569</t>
  </si>
  <si>
    <t xml:space="preserve">ORD-107570</t>
  </si>
  <si>
    <t xml:space="preserve">ORD-107571</t>
  </si>
  <si>
    <t xml:space="preserve">ORD-107572</t>
  </si>
  <si>
    <t xml:space="preserve">ORD-107573</t>
  </si>
  <si>
    <t xml:space="preserve">ORD-107574</t>
  </si>
  <si>
    <t xml:space="preserve">ORD-107575</t>
  </si>
  <si>
    <t xml:space="preserve">ORD-107576</t>
  </si>
  <si>
    <t xml:space="preserve">ORD-107577</t>
  </si>
  <si>
    <t xml:space="preserve">ORD-107578</t>
  </si>
  <si>
    <t xml:space="preserve">ORD-107579</t>
  </si>
  <si>
    <t xml:space="preserve">ORD-107580</t>
  </si>
  <si>
    <t xml:space="preserve">ORD-107581</t>
  </si>
  <si>
    <t xml:space="preserve">ORD-107582</t>
  </si>
  <si>
    <t xml:space="preserve">ORD-107583</t>
  </si>
  <si>
    <t xml:space="preserve">ORD-107584</t>
  </si>
  <si>
    <t xml:space="preserve">ORD-107585</t>
  </si>
  <si>
    <t xml:space="preserve">ORD-107586</t>
  </si>
  <si>
    <t xml:space="preserve">ORD-107587</t>
  </si>
  <si>
    <t xml:space="preserve">ORD-107588</t>
  </si>
  <si>
    <t xml:space="preserve">ORD-107589</t>
  </si>
  <si>
    <t xml:space="preserve">ORD-107590</t>
  </si>
  <si>
    <t xml:space="preserve">ORD-107591</t>
  </si>
  <si>
    <t xml:space="preserve">ORD-107592</t>
  </si>
  <si>
    <t xml:space="preserve">ORD-107593</t>
  </si>
  <si>
    <t xml:space="preserve">ORD-107594</t>
  </si>
  <si>
    <t xml:space="preserve">ORD-107595</t>
  </si>
  <si>
    <t xml:space="preserve">ORD-107596</t>
  </si>
  <si>
    <t xml:space="preserve">ORD-107597</t>
  </si>
  <si>
    <t xml:space="preserve">ORD-107598</t>
  </si>
  <si>
    <t xml:space="preserve">ORD-107599</t>
  </si>
  <si>
    <t xml:space="preserve">ORD-107600</t>
  </si>
  <si>
    <t xml:space="preserve">ORD-107601</t>
  </si>
  <si>
    <t xml:space="preserve">ORD-107602</t>
  </si>
  <si>
    <t xml:space="preserve">ORD-107603</t>
  </si>
  <si>
    <t xml:space="preserve">ORD-107604</t>
  </si>
  <si>
    <t xml:space="preserve">ORD-107605</t>
  </si>
  <si>
    <t xml:space="preserve">ORD-107606</t>
  </si>
  <si>
    <t xml:space="preserve">ORD-107607</t>
  </si>
  <si>
    <t xml:space="preserve">ORD-107608</t>
  </si>
  <si>
    <t xml:space="preserve">ORD-107609</t>
  </si>
  <si>
    <t xml:space="preserve">ORD-107610</t>
  </si>
  <si>
    <t xml:space="preserve">ORD-107611</t>
  </si>
  <si>
    <t xml:space="preserve">ORD-107612</t>
  </si>
  <si>
    <t xml:space="preserve">ORD-107613</t>
  </si>
  <si>
    <t xml:space="preserve">ORD-107614</t>
  </si>
  <si>
    <t xml:space="preserve">ORD-107615</t>
  </si>
  <si>
    <t xml:space="preserve">ORD-107616</t>
  </si>
  <si>
    <t xml:space="preserve">ORD-107617</t>
  </si>
  <si>
    <t xml:space="preserve">ORD-107618</t>
  </si>
  <si>
    <t xml:space="preserve">ORD-107619</t>
  </si>
  <si>
    <t xml:space="preserve">ORD-107620</t>
  </si>
  <si>
    <t xml:space="preserve">ORD-107621</t>
  </si>
  <si>
    <t xml:space="preserve">ORD-107622</t>
  </si>
  <si>
    <t xml:space="preserve">ORD-107623</t>
  </si>
  <si>
    <t xml:space="preserve">ORD-107624</t>
  </si>
  <si>
    <t xml:space="preserve">ORD-107625</t>
  </si>
  <si>
    <t xml:space="preserve">ORD-107626</t>
  </si>
  <si>
    <t xml:space="preserve">ORD-107627</t>
  </si>
  <si>
    <t xml:space="preserve">ORD-107628</t>
  </si>
  <si>
    <t xml:space="preserve">ORD-107629</t>
  </si>
  <si>
    <t xml:space="preserve">ORD-107630</t>
  </si>
  <si>
    <t xml:space="preserve">ORD-107631</t>
  </si>
  <si>
    <t xml:space="preserve">ORD-107632</t>
  </si>
  <si>
    <t xml:space="preserve">ORD-107633</t>
  </si>
  <si>
    <t xml:space="preserve">ORD-107634</t>
  </si>
  <si>
    <t xml:space="preserve">ORD-107635</t>
  </si>
  <si>
    <t xml:space="preserve">ORD-107636</t>
  </si>
  <si>
    <t xml:space="preserve">ORD-107637</t>
  </si>
  <si>
    <t xml:space="preserve">ORD-107638</t>
  </si>
  <si>
    <t xml:space="preserve">ORD-107639</t>
  </si>
  <si>
    <t xml:space="preserve">ORD-107640</t>
  </si>
  <si>
    <t xml:space="preserve">ORD-107641</t>
  </si>
  <si>
    <t xml:space="preserve">ORD-107642</t>
  </si>
  <si>
    <t xml:space="preserve">ORD-107643</t>
  </si>
  <si>
    <t xml:space="preserve">ORD-107644</t>
  </si>
  <si>
    <t xml:space="preserve">ORD-107645</t>
  </si>
  <si>
    <t xml:space="preserve">ORD-107646</t>
  </si>
  <si>
    <t xml:space="preserve">ORD-107647</t>
  </si>
  <si>
    <t xml:space="preserve">ORD-107648</t>
  </si>
  <si>
    <t xml:space="preserve">ORD-107649</t>
  </si>
  <si>
    <t xml:space="preserve">ORD-107650</t>
  </si>
  <si>
    <t xml:space="preserve">ORD-107651</t>
  </si>
  <si>
    <t xml:space="preserve">ORD-107652</t>
  </si>
  <si>
    <t xml:space="preserve">ORD-107653</t>
  </si>
  <si>
    <t xml:space="preserve">ORD-107654</t>
  </si>
  <si>
    <t xml:space="preserve">ORD-107655</t>
  </si>
  <si>
    <t xml:space="preserve">ORD-107656</t>
  </si>
  <si>
    <t xml:space="preserve">ORD-107657</t>
  </si>
  <si>
    <t xml:space="preserve">ORD-107658</t>
  </si>
  <si>
    <t xml:space="preserve">ORD-107659</t>
  </si>
  <si>
    <t xml:space="preserve">ORD-107660</t>
  </si>
  <si>
    <t xml:space="preserve">ORD-107661</t>
  </si>
  <si>
    <t xml:space="preserve">ORD-107662</t>
  </si>
  <si>
    <t xml:space="preserve">ORD-107663</t>
  </si>
  <si>
    <t xml:space="preserve">ORD-107664</t>
  </si>
  <si>
    <t xml:space="preserve">ORD-107665</t>
  </si>
  <si>
    <t xml:space="preserve">ORD-107666</t>
  </si>
  <si>
    <t xml:space="preserve">ORD-107667</t>
  </si>
  <si>
    <t xml:space="preserve">ORD-107668</t>
  </si>
  <si>
    <t xml:space="preserve">ORD-107669</t>
  </si>
  <si>
    <t xml:space="preserve">ORD-107670</t>
  </si>
  <si>
    <t xml:space="preserve">ORD-107671</t>
  </si>
  <si>
    <t xml:space="preserve">ORD-107672</t>
  </si>
  <si>
    <t xml:space="preserve">ORD-107673</t>
  </si>
  <si>
    <t xml:space="preserve">ORD-107674</t>
  </si>
  <si>
    <t xml:space="preserve">ORD-107675</t>
  </si>
  <si>
    <t xml:space="preserve">ORD-107676</t>
  </si>
  <si>
    <t xml:space="preserve">ORD-107677</t>
  </si>
  <si>
    <t xml:space="preserve">ORD-107678</t>
  </si>
  <si>
    <t xml:space="preserve">ORD-107679</t>
  </si>
  <si>
    <t xml:space="preserve">ORD-107680</t>
  </si>
  <si>
    <t xml:space="preserve">ORD-107681</t>
  </si>
  <si>
    <t xml:space="preserve">ORD-107682</t>
  </si>
  <si>
    <t xml:space="preserve">ORD-107683</t>
  </si>
  <si>
    <t xml:space="preserve">ORD-107684</t>
  </si>
  <si>
    <t xml:space="preserve">ORD-107685</t>
  </si>
  <si>
    <t xml:space="preserve">ORD-107686</t>
  </si>
  <si>
    <t xml:space="preserve">ORD-107687</t>
  </si>
  <si>
    <t xml:space="preserve">ORD-107688</t>
  </si>
  <si>
    <t xml:space="preserve">ORD-107689</t>
  </si>
  <si>
    <t xml:space="preserve">ORD-107690</t>
  </si>
  <si>
    <t xml:space="preserve">ORD-107691</t>
  </si>
  <si>
    <t xml:space="preserve">ORD-107692</t>
  </si>
  <si>
    <t xml:space="preserve">ORD-107693</t>
  </si>
  <si>
    <t xml:space="preserve">ORD-107694</t>
  </si>
  <si>
    <t xml:space="preserve">ORD-107695</t>
  </si>
  <si>
    <t xml:space="preserve">ORD-107696</t>
  </si>
  <si>
    <t xml:space="preserve">ORD-107697</t>
  </si>
  <si>
    <t xml:space="preserve">ORD-107698</t>
  </si>
  <si>
    <t xml:space="preserve">ORD-107699</t>
  </si>
  <si>
    <t xml:space="preserve">ORD-107700</t>
  </si>
  <si>
    <t xml:space="preserve">ORD-107701</t>
  </si>
  <si>
    <t xml:space="preserve">ORD-107702</t>
  </si>
  <si>
    <t xml:space="preserve">ORD-107703</t>
  </si>
  <si>
    <t xml:space="preserve">ORD-107704</t>
  </si>
  <si>
    <t xml:space="preserve">ORD-107705</t>
  </si>
  <si>
    <t xml:space="preserve">ORD-107706</t>
  </si>
  <si>
    <t xml:space="preserve">ORD-107707</t>
  </si>
  <si>
    <t xml:space="preserve">ORD-107708</t>
  </si>
  <si>
    <t xml:space="preserve">ORD-107709</t>
  </si>
  <si>
    <t xml:space="preserve">ORD-107710</t>
  </si>
  <si>
    <t xml:space="preserve">ORD-107711</t>
  </si>
  <si>
    <t xml:space="preserve">ORD-107712</t>
  </si>
  <si>
    <t xml:space="preserve">ORD-107713</t>
  </si>
  <si>
    <t xml:space="preserve">ORD-107714</t>
  </si>
  <si>
    <t xml:space="preserve">ORD-107715</t>
  </si>
  <si>
    <t xml:space="preserve">ORD-107716</t>
  </si>
  <si>
    <t xml:space="preserve">ORD-107717</t>
  </si>
  <si>
    <t xml:space="preserve">ORD-107718</t>
  </si>
  <si>
    <t xml:space="preserve">ORD-107719</t>
  </si>
  <si>
    <t xml:space="preserve">ORD-107720</t>
  </si>
  <si>
    <t xml:space="preserve">ORD-107721</t>
  </si>
  <si>
    <t xml:space="preserve">ORD-107722</t>
  </si>
  <si>
    <t xml:space="preserve">ORD-107723</t>
  </si>
  <si>
    <t xml:space="preserve">ORD-107724</t>
  </si>
  <si>
    <t xml:space="preserve">ORD-107725</t>
  </si>
  <si>
    <t xml:space="preserve">ORD-107726</t>
  </si>
  <si>
    <t xml:space="preserve">ORD-107727</t>
  </si>
  <si>
    <t xml:space="preserve">ORD-107728</t>
  </si>
  <si>
    <t xml:space="preserve">ORD-107729</t>
  </si>
  <si>
    <t xml:space="preserve">ORD-107730</t>
  </si>
  <si>
    <t xml:space="preserve">ORD-107731</t>
  </si>
  <si>
    <t xml:space="preserve">ORD-107732</t>
  </si>
  <si>
    <t xml:space="preserve">ORD-107733</t>
  </si>
  <si>
    <t xml:space="preserve">ORD-107734</t>
  </si>
  <si>
    <t xml:space="preserve">ORD-107735</t>
  </si>
  <si>
    <t xml:space="preserve">ORD-107736</t>
  </si>
  <si>
    <t xml:space="preserve">ORD-107737</t>
  </si>
  <si>
    <t xml:space="preserve">ORD-107738</t>
  </si>
  <si>
    <t xml:space="preserve">ORD-107739</t>
  </si>
  <si>
    <t xml:space="preserve">ORD-107740</t>
  </si>
  <si>
    <t xml:space="preserve">ORD-107741</t>
  </si>
  <si>
    <t xml:space="preserve">ORD-107742</t>
  </si>
  <si>
    <t xml:space="preserve">ORD-107743</t>
  </si>
  <si>
    <t xml:space="preserve">ORD-107744</t>
  </si>
  <si>
    <t xml:space="preserve">ORD-107745</t>
  </si>
  <si>
    <t xml:space="preserve">ORD-107746</t>
  </si>
  <si>
    <t xml:space="preserve">ORD-107747</t>
  </si>
  <si>
    <t xml:space="preserve">ORD-107748</t>
  </si>
  <si>
    <t xml:space="preserve">ORD-107749</t>
  </si>
  <si>
    <t xml:space="preserve">ORD-107750</t>
  </si>
  <si>
    <t xml:space="preserve">ORD-107751</t>
  </si>
  <si>
    <t xml:space="preserve">ORD-107752</t>
  </si>
  <si>
    <t xml:space="preserve">ORD-107753</t>
  </si>
  <si>
    <t xml:space="preserve">ORD-107754</t>
  </si>
  <si>
    <t xml:space="preserve">ORD-107755</t>
  </si>
  <si>
    <t xml:space="preserve">ORD-107756</t>
  </si>
  <si>
    <t xml:space="preserve">ORD-107757</t>
  </si>
  <si>
    <t xml:space="preserve">ORD-107758</t>
  </si>
  <si>
    <t xml:space="preserve">ORD-107759</t>
  </si>
  <si>
    <t xml:space="preserve">ORD-107760</t>
  </si>
  <si>
    <t xml:space="preserve">ORD-107761</t>
  </si>
  <si>
    <t xml:space="preserve">ORD-107762</t>
  </si>
  <si>
    <t xml:space="preserve">ORD-107763</t>
  </si>
  <si>
    <t xml:space="preserve">ORD-107764</t>
  </si>
  <si>
    <t xml:space="preserve">ORD-107765</t>
  </si>
  <si>
    <t xml:space="preserve">ORD-107766</t>
  </si>
  <si>
    <t xml:space="preserve">ORD-107767</t>
  </si>
  <si>
    <t xml:space="preserve">ORD-107768</t>
  </si>
  <si>
    <t xml:space="preserve">ORD-107769</t>
  </si>
  <si>
    <t xml:space="preserve">ORD-107770</t>
  </si>
  <si>
    <t xml:space="preserve">ORD-107771</t>
  </si>
  <si>
    <t xml:space="preserve">ORD-107772</t>
  </si>
  <si>
    <t xml:space="preserve">ORD-107773</t>
  </si>
  <si>
    <t xml:space="preserve">ORD-107774</t>
  </si>
  <si>
    <t xml:space="preserve">ORD-107775</t>
  </si>
  <si>
    <t xml:space="preserve">ORD-107776</t>
  </si>
  <si>
    <t xml:space="preserve">ORD-107777</t>
  </si>
  <si>
    <t xml:space="preserve">ORD-107778</t>
  </si>
  <si>
    <t xml:space="preserve">ORD-107779</t>
  </si>
  <si>
    <t xml:space="preserve">ORD-107780</t>
  </si>
  <si>
    <t xml:space="preserve">ORD-107781</t>
  </si>
  <si>
    <t xml:space="preserve">ORD-107782</t>
  </si>
  <si>
    <t xml:space="preserve">ORD-107783</t>
  </si>
  <si>
    <t xml:space="preserve">ORD-107784</t>
  </si>
  <si>
    <t xml:space="preserve">ORD-107785</t>
  </si>
  <si>
    <t xml:space="preserve">ORD-107786</t>
  </si>
  <si>
    <t xml:space="preserve">ORD-107787</t>
  </si>
  <si>
    <t xml:space="preserve">ORD-107788</t>
  </si>
  <si>
    <t xml:space="preserve">ORD-107789</t>
  </si>
  <si>
    <t xml:space="preserve">ORD-107790</t>
  </si>
  <si>
    <t xml:space="preserve">ORD-107791</t>
  </si>
  <si>
    <t xml:space="preserve">ORD-107792</t>
  </si>
  <si>
    <t xml:space="preserve">ORD-107793</t>
  </si>
  <si>
    <t xml:space="preserve">ORD-107794</t>
  </si>
  <si>
    <t xml:space="preserve">ORD-107795</t>
  </si>
  <si>
    <t xml:space="preserve">ORD-107796</t>
  </si>
  <si>
    <t xml:space="preserve">ORD-107797</t>
  </si>
  <si>
    <t xml:space="preserve">ORD-107798</t>
  </si>
  <si>
    <t xml:space="preserve">ORD-107799</t>
  </si>
  <si>
    <t xml:space="preserve">ORD-107800</t>
  </si>
  <si>
    <t xml:space="preserve">ORD-107801</t>
  </si>
  <si>
    <t xml:space="preserve">ORD-107802</t>
  </si>
  <si>
    <t xml:space="preserve">ORD-107803</t>
  </si>
  <si>
    <t xml:space="preserve">ORD-107804</t>
  </si>
  <si>
    <t xml:space="preserve">ORD-107805</t>
  </si>
  <si>
    <t xml:space="preserve">ORD-107806</t>
  </si>
  <si>
    <t xml:space="preserve">ORD-107807</t>
  </si>
  <si>
    <t xml:space="preserve">ORD-107808</t>
  </si>
  <si>
    <t xml:space="preserve">ORD-107809</t>
  </si>
  <si>
    <t xml:space="preserve">ORD-107810</t>
  </si>
  <si>
    <t xml:space="preserve">ORD-107811</t>
  </si>
  <si>
    <t xml:space="preserve">ORD-107812</t>
  </si>
  <si>
    <t xml:space="preserve">ORD-107813</t>
  </si>
  <si>
    <t xml:space="preserve">ORD-107814</t>
  </si>
  <si>
    <t xml:space="preserve">ORD-107815</t>
  </si>
  <si>
    <t xml:space="preserve">ORD-107816</t>
  </si>
  <si>
    <t xml:space="preserve">ORD-107817</t>
  </si>
  <si>
    <t xml:space="preserve">ORD-107818</t>
  </si>
  <si>
    <t xml:space="preserve">ORD-107819</t>
  </si>
  <si>
    <t xml:space="preserve">ORD-107820</t>
  </si>
  <si>
    <t xml:space="preserve">ORD-107821</t>
  </si>
  <si>
    <t xml:space="preserve">ORD-107822</t>
  </si>
  <si>
    <t xml:space="preserve">ORD-107823</t>
  </si>
  <si>
    <t xml:space="preserve">ORD-107824</t>
  </si>
  <si>
    <t xml:space="preserve">ORD-107825</t>
  </si>
  <si>
    <t xml:space="preserve">ORD-107826</t>
  </si>
  <si>
    <t xml:space="preserve">ORD-107827</t>
  </si>
  <si>
    <t xml:space="preserve">ORD-107828</t>
  </si>
  <si>
    <t xml:space="preserve">ORD-107829</t>
  </si>
  <si>
    <t xml:space="preserve">ORD-107830</t>
  </si>
  <si>
    <t xml:space="preserve">ORD-107831</t>
  </si>
  <si>
    <t xml:space="preserve">ORD-107832</t>
  </si>
  <si>
    <t xml:space="preserve">ORD-107833</t>
  </si>
  <si>
    <t xml:space="preserve">ORD-107834</t>
  </si>
  <si>
    <t xml:space="preserve">ORD-107835</t>
  </si>
  <si>
    <t xml:space="preserve">ORD-107836</t>
  </si>
  <si>
    <t xml:space="preserve">ORD-107837</t>
  </si>
  <si>
    <t xml:space="preserve">ORD-107838</t>
  </si>
  <si>
    <t xml:space="preserve">ORD-107839</t>
  </si>
  <si>
    <t xml:space="preserve">ORD-107840</t>
  </si>
  <si>
    <t xml:space="preserve">ORD-107841</t>
  </si>
  <si>
    <t xml:space="preserve">ORD-107842</t>
  </si>
  <si>
    <t xml:space="preserve">ORD-107843</t>
  </si>
  <si>
    <t xml:space="preserve">ORD-107844</t>
  </si>
  <si>
    <t xml:space="preserve">ORD-107845</t>
  </si>
  <si>
    <t xml:space="preserve">ORD-107846</t>
  </si>
  <si>
    <t xml:space="preserve">ORD-107847</t>
  </si>
  <si>
    <t xml:space="preserve">ORD-107848</t>
  </si>
  <si>
    <t xml:space="preserve">ORD-107849</t>
  </si>
  <si>
    <t xml:space="preserve">ORD-107850</t>
  </si>
  <si>
    <t xml:space="preserve">ORD-107851</t>
  </si>
  <si>
    <t xml:space="preserve">ORD-107852</t>
  </si>
  <si>
    <t xml:space="preserve">ORD-107853</t>
  </si>
  <si>
    <t xml:space="preserve">ORD-107854</t>
  </si>
  <si>
    <t xml:space="preserve">ORD-107855</t>
  </si>
  <si>
    <t xml:space="preserve">ORD-107856</t>
  </si>
  <si>
    <t xml:space="preserve">ORD-107857</t>
  </si>
  <si>
    <t xml:space="preserve">ORD-107858</t>
  </si>
  <si>
    <t xml:space="preserve">ORD-107859</t>
  </si>
  <si>
    <t xml:space="preserve">ORD-107860</t>
  </si>
  <si>
    <t xml:space="preserve">ORD-107861</t>
  </si>
  <si>
    <t xml:space="preserve">ORD-107862</t>
  </si>
  <si>
    <t xml:space="preserve">ORD-107863</t>
  </si>
  <si>
    <t xml:space="preserve">ORD-107864</t>
  </si>
  <si>
    <t xml:space="preserve">ORD-107865</t>
  </si>
  <si>
    <t xml:space="preserve">ORD-107866</t>
  </si>
  <si>
    <t xml:space="preserve">ORD-107867</t>
  </si>
  <si>
    <t xml:space="preserve">ORD-107868</t>
  </si>
  <si>
    <t xml:space="preserve">ORD-107869</t>
  </si>
  <si>
    <t xml:space="preserve">ORD-107870</t>
  </si>
  <si>
    <t xml:space="preserve">ORD-107871</t>
  </si>
  <si>
    <t xml:space="preserve">ORD-107872</t>
  </si>
  <si>
    <t xml:space="preserve">ORD-107873</t>
  </si>
  <si>
    <t xml:space="preserve">ORD-107874</t>
  </si>
  <si>
    <t xml:space="preserve">ORD-107875</t>
  </si>
  <si>
    <t xml:space="preserve">ORD-107876</t>
  </si>
  <si>
    <t xml:space="preserve">ORD-107877</t>
  </si>
  <si>
    <t xml:space="preserve">ORD-107878</t>
  </si>
  <si>
    <t xml:space="preserve">ORD-107879</t>
  </si>
  <si>
    <t xml:space="preserve">ORD-107880</t>
  </si>
  <si>
    <t xml:space="preserve">ORD-107881</t>
  </si>
  <si>
    <t xml:space="preserve">ORD-107882</t>
  </si>
  <si>
    <t xml:space="preserve">ORD-107883</t>
  </si>
  <si>
    <t xml:space="preserve">ORD-107884</t>
  </si>
  <si>
    <t xml:space="preserve">ORD-107885</t>
  </si>
  <si>
    <t xml:space="preserve">ORD-107886</t>
  </si>
  <si>
    <t xml:space="preserve">ORD-107887</t>
  </si>
  <si>
    <t xml:space="preserve">ORD-107888</t>
  </si>
  <si>
    <t xml:space="preserve">ORD-107889</t>
  </si>
  <si>
    <t xml:space="preserve">ORD-107890</t>
  </si>
  <si>
    <t xml:space="preserve">ORD-107891</t>
  </si>
  <si>
    <t xml:space="preserve">ORD-107892</t>
  </si>
  <si>
    <t xml:space="preserve">ORD-107893</t>
  </si>
  <si>
    <t xml:space="preserve">ORD-107894</t>
  </si>
  <si>
    <t xml:space="preserve">ORD-107895</t>
  </si>
  <si>
    <t xml:space="preserve">ORD-107896</t>
  </si>
  <si>
    <t xml:space="preserve">ORD-107897</t>
  </si>
  <si>
    <t xml:space="preserve">ORD-107898</t>
  </si>
  <si>
    <t xml:space="preserve">ORD-107899</t>
  </si>
  <si>
    <t xml:space="preserve">ORD-107900</t>
  </si>
  <si>
    <t xml:space="preserve">ORD-107901</t>
  </si>
  <si>
    <t xml:space="preserve">ORD-107902</t>
  </si>
  <si>
    <t xml:space="preserve">ORD-107903</t>
  </si>
  <si>
    <t xml:space="preserve">ORD-107904</t>
  </si>
  <si>
    <t xml:space="preserve">ORD-107905</t>
  </si>
  <si>
    <t xml:space="preserve">ORD-107906</t>
  </si>
  <si>
    <t xml:space="preserve">ORD-107907</t>
  </si>
  <si>
    <t xml:space="preserve">ORD-107908</t>
  </si>
  <si>
    <t xml:space="preserve">ORD-107909</t>
  </si>
  <si>
    <t xml:space="preserve">ORD-107910</t>
  </si>
  <si>
    <t xml:space="preserve">ORD-107911</t>
  </si>
  <si>
    <t xml:space="preserve">ORD-107912</t>
  </si>
  <si>
    <t xml:space="preserve">ORD-107913</t>
  </si>
  <si>
    <t xml:space="preserve">ORD-107914</t>
  </si>
  <si>
    <t xml:space="preserve">ORD-107915</t>
  </si>
  <si>
    <t xml:space="preserve">ORD-107916</t>
  </si>
  <si>
    <t xml:space="preserve">ORD-107917</t>
  </si>
  <si>
    <t xml:space="preserve">ORD-107918</t>
  </si>
  <si>
    <t xml:space="preserve">ORD-107919</t>
  </si>
  <si>
    <t xml:space="preserve">ORD-107920</t>
  </si>
  <si>
    <t xml:space="preserve">ORD-107921</t>
  </si>
  <si>
    <t xml:space="preserve">ORD-107922</t>
  </si>
  <si>
    <t xml:space="preserve">ORD-107923</t>
  </si>
  <si>
    <t xml:space="preserve">ORD-107924</t>
  </si>
  <si>
    <t xml:space="preserve">ORD-107925</t>
  </si>
  <si>
    <t xml:space="preserve">ORD-107926</t>
  </si>
  <si>
    <t xml:space="preserve">ORD-107927</t>
  </si>
  <si>
    <t xml:space="preserve">ORD-107928</t>
  </si>
  <si>
    <t xml:space="preserve">ORD-107929</t>
  </si>
  <si>
    <t xml:space="preserve">ORD-107930</t>
  </si>
  <si>
    <t xml:space="preserve">ORD-107931</t>
  </si>
  <si>
    <t xml:space="preserve">ORD-107932</t>
  </si>
  <si>
    <t xml:space="preserve">ORD-107933</t>
  </si>
  <si>
    <t xml:space="preserve">ORD-107934</t>
  </si>
  <si>
    <t xml:space="preserve">ORD-107935</t>
  </si>
  <si>
    <t xml:space="preserve">ORD-107936</t>
  </si>
  <si>
    <t xml:space="preserve">ORD-107937</t>
  </si>
  <si>
    <t xml:space="preserve">ORD-107938</t>
  </si>
  <si>
    <t xml:space="preserve">ORD-107939</t>
  </si>
  <si>
    <t xml:space="preserve">ORD-107940</t>
  </si>
  <si>
    <t xml:space="preserve">ORD-107941</t>
  </si>
  <si>
    <t xml:space="preserve">ORD-107942</t>
  </si>
  <si>
    <t xml:space="preserve">ORD-107943</t>
  </si>
  <si>
    <t xml:space="preserve">ORD-107944</t>
  </si>
  <si>
    <t xml:space="preserve">ORD-107945</t>
  </si>
  <si>
    <t xml:space="preserve">ORD-107946</t>
  </si>
  <si>
    <t xml:space="preserve">ORD-107947</t>
  </si>
  <si>
    <t xml:space="preserve">ORD-107948</t>
  </si>
  <si>
    <t xml:space="preserve">ORD-107949</t>
  </si>
  <si>
    <t xml:space="preserve">ORD-107950</t>
  </si>
  <si>
    <t xml:space="preserve">ORD-107951</t>
  </si>
  <si>
    <t xml:space="preserve">ORD-107952</t>
  </si>
  <si>
    <t xml:space="preserve">ORD-107953</t>
  </si>
  <si>
    <t xml:space="preserve">ORD-107954</t>
  </si>
  <si>
    <t xml:space="preserve">ORD-107955</t>
  </si>
  <si>
    <t xml:space="preserve">ORD-107956</t>
  </si>
  <si>
    <t xml:space="preserve">ORD-107957</t>
  </si>
  <si>
    <t xml:space="preserve">ORD-107958</t>
  </si>
  <si>
    <t xml:space="preserve">ORD-107959</t>
  </si>
  <si>
    <t xml:space="preserve">ORD-107960</t>
  </si>
  <si>
    <t xml:space="preserve">ORD-107961</t>
  </si>
  <si>
    <t xml:space="preserve">ORD-107962</t>
  </si>
  <si>
    <t xml:space="preserve">ORD-107963</t>
  </si>
  <si>
    <t xml:space="preserve">ORD-107964</t>
  </si>
  <si>
    <t xml:space="preserve">ORD-107965</t>
  </si>
  <si>
    <t xml:space="preserve">ORD-107966</t>
  </si>
  <si>
    <t xml:space="preserve">ORD-107967</t>
  </si>
  <si>
    <t xml:space="preserve">ORD-107968</t>
  </si>
  <si>
    <t xml:space="preserve">ORD-107969</t>
  </si>
  <si>
    <t xml:space="preserve">ORD-107970</t>
  </si>
  <si>
    <t xml:space="preserve">ORD-107971</t>
  </si>
  <si>
    <t xml:space="preserve">ORD-107972</t>
  </si>
  <si>
    <t xml:space="preserve">ORD-107973</t>
  </si>
  <si>
    <t xml:space="preserve">ORD-107974</t>
  </si>
  <si>
    <t xml:space="preserve">ORD-107975</t>
  </si>
  <si>
    <t xml:space="preserve">ORD-107976</t>
  </si>
  <si>
    <t xml:space="preserve">ORD-107977</t>
  </si>
  <si>
    <t xml:space="preserve">ORD-107978</t>
  </si>
  <si>
    <t xml:space="preserve">ORD-107979</t>
  </si>
  <si>
    <t xml:space="preserve">ORD-107980</t>
  </si>
  <si>
    <t xml:space="preserve">ORD-107981</t>
  </si>
  <si>
    <t xml:space="preserve">ORD-107982</t>
  </si>
  <si>
    <t xml:space="preserve">ORD-107983</t>
  </si>
  <si>
    <t xml:space="preserve">ORD-107984</t>
  </si>
  <si>
    <t xml:space="preserve">ORD-107985</t>
  </si>
  <si>
    <t xml:space="preserve">ORD-107986</t>
  </si>
  <si>
    <t xml:space="preserve">ORD-107987</t>
  </si>
  <si>
    <t xml:space="preserve">ORD-107988</t>
  </si>
  <si>
    <t xml:space="preserve">ORD-107989</t>
  </si>
  <si>
    <t xml:space="preserve">ORD-107990</t>
  </si>
  <si>
    <t xml:space="preserve">ORD-107991</t>
  </si>
  <si>
    <t xml:space="preserve">ORD-107992</t>
  </si>
  <si>
    <t xml:space="preserve">ORD-107993</t>
  </si>
  <si>
    <t xml:space="preserve">ORD-107994</t>
  </si>
  <si>
    <t xml:space="preserve">ORD-107995</t>
  </si>
  <si>
    <t xml:space="preserve">ORD-107996</t>
  </si>
  <si>
    <t xml:space="preserve">ORD-107997</t>
  </si>
  <si>
    <t xml:space="preserve">ORD-107998</t>
  </si>
  <si>
    <t xml:space="preserve">ORD-107999</t>
  </si>
  <si>
    <t xml:space="preserve">ORD-108000</t>
  </si>
  <si>
    <t xml:space="preserve">ORD-108001</t>
  </si>
  <si>
    <t xml:space="preserve">ORD-108002</t>
  </si>
  <si>
    <t xml:space="preserve">ORD-108003</t>
  </si>
  <si>
    <t xml:space="preserve">ORD-108004</t>
  </si>
  <si>
    <t xml:space="preserve">ORD-108005</t>
  </si>
  <si>
    <t xml:space="preserve">ORD-108006</t>
  </si>
  <si>
    <t xml:space="preserve">ORD-108007</t>
  </si>
  <si>
    <t xml:space="preserve">ORD-108008</t>
  </si>
  <si>
    <t xml:space="preserve">ORD-108009</t>
  </si>
  <si>
    <t xml:space="preserve">ORD-108010</t>
  </si>
  <si>
    <t xml:space="preserve">ORD-108011</t>
  </si>
  <si>
    <t xml:space="preserve">ORD-108012</t>
  </si>
  <si>
    <t xml:space="preserve">ORD-108013</t>
  </si>
  <si>
    <t xml:space="preserve">ORD-108014</t>
  </si>
  <si>
    <t xml:space="preserve">ORD-108015</t>
  </si>
  <si>
    <t xml:space="preserve">ORD-108016</t>
  </si>
  <si>
    <t xml:space="preserve">ORD-108017</t>
  </si>
  <si>
    <t xml:space="preserve">ORD-108018</t>
  </si>
  <si>
    <t xml:space="preserve">ORD-108019</t>
  </si>
  <si>
    <t xml:space="preserve">ORD-108020</t>
  </si>
  <si>
    <t xml:space="preserve">ORD-108021</t>
  </si>
  <si>
    <t xml:space="preserve">ORD-108022</t>
  </si>
  <si>
    <t xml:space="preserve">ORD-108023</t>
  </si>
  <si>
    <t xml:space="preserve">ORD-108024</t>
  </si>
  <si>
    <t xml:space="preserve">ORD-108025</t>
  </si>
  <si>
    <t xml:space="preserve">ORD-108026</t>
  </si>
  <si>
    <t xml:space="preserve">ORD-108027</t>
  </si>
  <si>
    <t xml:space="preserve">ORD-108028</t>
  </si>
  <si>
    <t xml:space="preserve">ORD-108029</t>
  </si>
  <si>
    <t xml:space="preserve">ORD-108030</t>
  </si>
  <si>
    <t xml:space="preserve">ORD-108031</t>
  </si>
  <si>
    <t xml:space="preserve">ORD-108032</t>
  </si>
  <si>
    <t xml:space="preserve">ORD-108033</t>
  </si>
  <si>
    <t xml:space="preserve">ORD-108034</t>
  </si>
  <si>
    <t xml:space="preserve">ORD-108035</t>
  </si>
  <si>
    <t xml:space="preserve">ORD-108036</t>
  </si>
  <si>
    <t xml:space="preserve">ORD-108037</t>
  </si>
  <si>
    <t xml:space="preserve">ORD-108038</t>
  </si>
  <si>
    <t xml:space="preserve">ORD-108039</t>
  </si>
  <si>
    <t xml:space="preserve">ORD-108040</t>
  </si>
  <si>
    <t xml:space="preserve">ORD-108041</t>
  </si>
  <si>
    <t xml:space="preserve">ORD-108042</t>
  </si>
  <si>
    <t xml:space="preserve">ORD-108043</t>
  </si>
  <si>
    <t xml:space="preserve">ORD-108044</t>
  </si>
  <si>
    <t xml:space="preserve">ORD-108045</t>
  </si>
  <si>
    <t xml:space="preserve">ORD-108046</t>
  </si>
  <si>
    <t xml:space="preserve">ORD-108047</t>
  </si>
  <si>
    <t xml:space="preserve">ORD-108048</t>
  </si>
  <si>
    <t xml:space="preserve">ORD-108049</t>
  </si>
  <si>
    <t xml:space="preserve">ORD-108050</t>
  </si>
  <si>
    <t xml:space="preserve">ORD-108051</t>
  </si>
  <si>
    <t xml:space="preserve">ORD-108052</t>
  </si>
  <si>
    <t xml:space="preserve">ORD-108053</t>
  </si>
  <si>
    <t xml:space="preserve">ORD-108054</t>
  </si>
  <si>
    <t xml:space="preserve">ORD-108055</t>
  </si>
  <si>
    <t xml:space="preserve">ORD-108056</t>
  </si>
  <si>
    <t xml:space="preserve">ORD-108057</t>
  </si>
  <si>
    <t xml:space="preserve">ORD-108058</t>
  </si>
  <si>
    <t xml:space="preserve">ORD-108059</t>
  </si>
  <si>
    <t xml:space="preserve">ORD-108060</t>
  </si>
  <si>
    <t xml:space="preserve">ORD-108061</t>
  </si>
  <si>
    <t xml:space="preserve">ORD-108062</t>
  </si>
  <si>
    <t xml:space="preserve">ORD-108063</t>
  </si>
  <si>
    <t xml:space="preserve">ORD-108064</t>
  </si>
  <si>
    <t xml:space="preserve">ORD-108065</t>
  </si>
  <si>
    <t xml:space="preserve">ORD-108066</t>
  </si>
  <si>
    <t xml:space="preserve">ORD-108067</t>
  </si>
  <si>
    <t xml:space="preserve">ORD-108068</t>
  </si>
  <si>
    <t xml:space="preserve">ORD-108069</t>
  </si>
  <si>
    <t xml:space="preserve">ORD-108070</t>
  </si>
  <si>
    <t xml:space="preserve">ORD-108071</t>
  </si>
  <si>
    <t xml:space="preserve">ORD-108072</t>
  </si>
  <si>
    <t xml:space="preserve">ORD-108073</t>
  </si>
  <si>
    <t xml:space="preserve">ORD-108074</t>
  </si>
  <si>
    <t xml:space="preserve">ORD-108075</t>
  </si>
  <si>
    <t xml:space="preserve">ORD-108076</t>
  </si>
  <si>
    <t xml:space="preserve">ORD-108077</t>
  </si>
  <si>
    <t xml:space="preserve">ORD-108078</t>
  </si>
  <si>
    <t xml:space="preserve">ORD-108079</t>
  </si>
  <si>
    <t xml:space="preserve">ORD-108080</t>
  </si>
  <si>
    <t xml:space="preserve">ORD-108081</t>
  </si>
  <si>
    <t xml:space="preserve">ORD-108082</t>
  </si>
  <si>
    <t xml:space="preserve">ORD-108083</t>
  </si>
  <si>
    <t xml:space="preserve">ORD-108084</t>
  </si>
  <si>
    <t xml:space="preserve">ORD-108085</t>
  </si>
  <si>
    <t xml:space="preserve">ORD-108086</t>
  </si>
  <si>
    <t xml:space="preserve">ORD-108087</t>
  </si>
  <si>
    <t xml:space="preserve">ORD-108088</t>
  </si>
  <si>
    <t xml:space="preserve">ORD-108089</t>
  </si>
  <si>
    <t xml:space="preserve">ORD-108090</t>
  </si>
  <si>
    <t xml:space="preserve">ORD-108091</t>
  </si>
  <si>
    <t xml:space="preserve">ORD-108092</t>
  </si>
  <si>
    <t xml:space="preserve">ORD-108093</t>
  </si>
  <si>
    <t xml:space="preserve">ORD-108094</t>
  </si>
  <si>
    <t xml:space="preserve">ORD-108095</t>
  </si>
  <si>
    <t xml:space="preserve">ORD-108096</t>
  </si>
  <si>
    <t xml:space="preserve">ORD-108097</t>
  </si>
  <si>
    <t xml:space="preserve">ORD-108098</t>
  </si>
  <si>
    <t xml:space="preserve">ORD-108099</t>
  </si>
  <si>
    <t xml:space="preserve">ORD-108100</t>
  </si>
  <si>
    <t xml:space="preserve">ORD-108101</t>
  </si>
  <si>
    <t xml:space="preserve">ORD-108102</t>
  </si>
  <si>
    <t xml:space="preserve">ORD-108103</t>
  </si>
  <si>
    <t xml:space="preserve">ORD-108104</t>
  </si>
  <si>
    <t xml:space="preserve">ORD-108105</t>
  </si>
  <si>
    <t xml:space="preserve">ORD-108106</t>
  </si>
  <si>
    <t xml:space="preserve">ORD-108107</t>
  </si>
  <si>
    <t xml:space="preserve">ORD-108108</t>
  </si>
  <si>
    <t xml:space="preserve">ORD-108109</t>
  </si>
  <si>
    <t xml:space="preserve">ORD-108110</t>
  </si>
  <si>
    <t xml:space="preserve">ORD-108111</t>
  </si>
  <si>
    <t xml:space="preserve">ORD-108112</t>
  </si>
  <si>
    <t xml:space="preserve">ORD-108113</t>
  </si>
  <si>
    <t xml:space="preserve">ORD-108114</t>
  </si>
  <si>
    <t xml:space="preserve">ORD-108115</t>
  </si>
  <si>
    <t xml:space="preserve">ORD-108116</t>
  </si>
  <si>
    <t xml:space="preserve">ORD-108117</t>
  </si>
  <si>
    <t xml:space="preserve">ORD-108118</t>
  </si>
  <si>
    <t xml:space="preserve">ORD-108119</t>
  </si>
  <si>
    <t xml:space="preserve">ORD-108120</t>
  </si>
  <si>
    <t xml:space="preserve">ORD-108121</t>
  </si>
  <si>
    <t xml:space="preserve">ORD-108122</t>
  </si>
  <si>
    <t xml:space="preserve">ORD-108123</t>
  </si>
  <si>
    <t xml:space="preserve">ORD-108124</t>
  </si>
  <si>
    <t xml:space="preserve">ORD-108125</t>
  </si>
  <si>
    <t xml:space="preserve">ORD-108126</t>
  </si>
  <si>
    <t xml:space="preserve">ORD-108127</t>
  </si>
  <si>
    <t xml:space="preserve">ORD-108128</t>
  </si>
  <si>
    <t xml:space="preserve">ORD-108129</t>
  </si>
  <si>
    <t xml:space="preserve">ORD-108130</t>
  </si>
  <si>
    <t xml:space="preserve">ORD-108131</t>
  </si>
  <si>
    <t xml:space="preserve">ORD-108132</t>
  </si>
  <si>
    <t xml:space="preserve">ORD-108133</t>
  </si>
  <si>
    <t xml:space="preserve">ORD-108134</t>
  </si>
  <si>
    <t xml:space="preserve">ORD-108135</t>
  </si>
  <si>
    <t xml:space="preserve">ORD-108136</t>
  </si>
  <si>
    <t xml:space="preserve">ORD-108137</t>
  </si>
  <si>
    <t xml:space="preserve">ORD-108138</t>
  </si>
  <si>
    <t xml:space="preserve">ORD-108139</t>
  </si>
  <si>
    <t xml:space="preserve">ORD-108140</t>
  </si>
  <si>
    <t xml:space="preserve">ORD-108141</t>
  </si>
  <si>
    <t xml:space="preserve">ORD-108142</t>
  </si>
  <si>
    <t xml:space="preserve">ORD-108143</t>
  </si>
  <si>
    <t xml:space="preserve">ORD-108144</t>
  </si>
  <si>
    <t xml:space="preserve">ORD-108145</t>
  </si>
  <si>
    <t xml:space="preserve">ORD-108146</t>
  </si>
  <si>
    <t xml:space="preserve">ORD-108147</t>
  </si>
  <si>
    <t xml:space="preserve">ORD-108148</t>
  </si>
  <si>
    <t xml:space="preserve">ORD-108149</t>
  </si>
  <si>
    <t xml:space="preserve">ORD-108150</t>
  </si>
  <si>
    <t xml:space="preserve">ORD-108151</t>
  </si>
  <si>
    <t xml:space="preserve">ORD-108152</t>
  </si>
  <si>
    <t xml:space="preserve">ORD-108153</t>
  </si>
  <si>
    <t xml:space="preserve">ORD-108154</t>
  </si>
  <si>
    <t xml:space="preserve">ORD-108155</t>
  </si>
  <si>
    <t xml:space="preserve">ORD-108156</t>
  </si>
  <si>
    <t xml:space="preserve">ORD-108157</t>
  </si>
  <si>
    <t xml:space="preserve">ORD-108158</t>
  </si>
  <si>
    <t xml:space="preserve">ORD-108159</t>
  </si>
  <si>
    <t xml:space="preserve">ORD-108160</t>
  </si>
  <si>
    <t xml:space="preserve">ORD-108161</t>
  </si>
  <si>
    <t xml:space="preserve">ORD-108162</t>
  </si>
  <si>
    <t xml:space="preserve">ORD-108163</t>
  </si>
  <si>
    <t xml:space="preserve">ORD-108164</t>
  </si>
  <si>
    <t xml:space="preserve">ORD-108165</t>
  </si>
  <si>
    <t xml:space="preserve">ORD-108166</t>
  </si>
  <si>
    <t xml:space="preserve">ORD-108167</t>
  </si>
  <si>
    <t xml:space="preserve">ORD-108168</t>
  </si>
  <si>
    <t xml:space="preserve">ORD-108169</t>
  </si>
  <si>
    <t xml:space="preserve">ORD-108170</t>
  </si>
  <si>
    <t xml:space="preserve">ORD-108171</t>
  </si>
  <si>
    <t xml:space="preserve">ORD-108172</t>
  </si>
  <si>
    <t xml:space="preserve">ORD-108173</t>
  </si>
  <si>
    <t xml:space="preserve">ORD-108174</t>
  </si>
  <si>
    <t xml:space="preserve">ORD-108175</t>
  </si>
  <si>
    <t xml:space="preserve">ORD-108176</t>
  </si>
  <si>
    <t xml:space="preserve">ORD-108177</t>
  </si>
  <si>
    <t xml:space="preserve">ORD-108178</t>
  </si>
  <si>
    <t xml:space="preserve">ORD-108179</t>
  </si>
  <si>
    <t xml:space="preserve">ORD-108180</t>
  </si>
  <si>
    <t xml:space="preserve">ORD-108181</t>
  </si>
  <si>
    <t xml:space="preserve">ORD-108182</t>
  </si>
  <si>
    <t xml:space="preserve">ORD-108183</t>
  </si>
  <si>
    <t xml:space="preserve">ORD-108184</t>
  </si>
  <si>
    <t xml:space="preserve">ORD-108185</t>
  </si>
  <si>
    <t xml:space="preserve">ORD-108186</t>
  </si>
  <si>
    <t xml:space="preserve">ORD-108187</t>
  </si>
  <si>
    <t xml:space="preserve">ORD-108188</t>
  </si>
  <si>
    <t xml:space="preserve">ORD-108189</t>
  </si>
  <si>
    <t xml:space="preserve">ORD-108190</t>
  </si>
  <si>
    <t xml:space="preserve">ORD-108191</t>
  </si>
  <si>
    <t xml:space="preserve">ORD-108192</t>
  </si>
  <si>
    <t xml:space="preserve">ORD-108193</t>
  </si>
  <si>
    <t xml:space="preserve">ORD-108194</t>
  </si>
  <si>
    <t xml:space="preserve">ORD-108195</t>
  </si>
  <si>
    <t xml:space="preserve">ORD-108196</t>
  </si>
  <si>
    <t xml:space="preserve">ORD-108197</t>
  </si>
  <si>
    <t xml:space="preserve">ORD-108198</t>
  </si>
  <si>
    <t xml:space="preserve">ORD-108199</t>
  </si>
  <si>
    <t xml:space="preserve">ORD-108200</t>
  </si>
  <si>
    <t xml:space="preserve">ORD-108201</t>
  </si>
  <si>
    <t xml:space="preserve">ORD-108202</t>
  </si>
  <si>
    <t xml:space="preserve">ORD-108203</t>
  </si>
  <si>
    <t xml:space="preserve">ORD-108204</t>
  </si>
  <si>
    <t xml:space="preserve">ORD-108205</t>
  </si>
  <si>
    <t xml:space="preserve">ORD-108206</t>
  </si>
  <si>
    <t xml:space="preserve">ORD-108207</t>
  </si>
  <si>
    <t xml:space="preserve">ORD-108208</t>
  </si>
  <si>
    <t xml:space="preserve">ORD-108209</t>
  </si>
  <si>
    <t xml:space="preserve">ORD-108210</t>
  </si>
  <si>
    <t xml:space="preserve">ORD-108211</t>
  </si>
  <si>
    <t xml:space="preserve">ORD-108212</t>
  </si>
  <si>
    <t xml:space="preserve">ORD-108213</t>
  </si>
  <si>
    <t xml:space="preserve">ORD-108214</t>
  </si>
  <si>
    <t xml:space="preserve">ORD-108215</t>
  </si>
  <si>
    <t xml:space="preserve">ORD-108216</t>
  </si>
  <si>
    <t xml:space="preserve">ORD-108217</t>
  </si>
  <si>
    <t xml:space="preserve">ORD-108218</t>
  </si>
  <si>
    <t xml:space="preserve">ORD-108219</t>
  </si>
  <si>
    <t xml:space="preserve">ORD-108220</t>
  </si>
  <si>
    <t xml:space="preserve">ORD-108221</t>
  </si>
  <si>
    <t xml:space="preserve">ORD-108222</t>
  </si>
  <si>
    <t xml:space="preserve">ORD-108223</t>
  </si>
  <si>
    <t xml:space="preserve">ORD-108224</t>
  </si>
  <si>
    <t xml:space="preserve">ORD-108225</t>
  </si>
  <si>
    <t xml:space="preserve">ORD-108226</t>
  </si>
  <si>
    <t xml:space="preserve">ORD-108227</t>
  </si>
  <si>
    <t xml:space="preserve">ORD-108228</t>
  </si>
  <si>
    <t xml:space="preserve">ORD-108229</t>
  </si>
  <si>
    <t xml:space="preserve">ORD-108230</t>
  </si>
  <si>
    <t xml:space="preserve">ORD-108231</t>
  </si>
  <si>
    <t xml:space="preserve">ORD-108232</t>
  </si>
  <si>
    <t xml:space="preserve">ORD-108233</t>
  </si>
  <si>
    <t xml:space="preserve">ORD-108234</t>
  </si>
  <si>
    <t xml:space="preserve">ORD-108235</t>
  </si>
  <si>
    <t xml:space="preserve">ORD-108236</t>
  </si>
  <si>
    <t xml:space="preserve">ORD-108237</t>
  </si>
  <si>
    <t xml:space="preserve">ORD-108238</t>
  </si>
  <si>
    <t xml:space="preserve">ORD-108239</t>
  </si>
  <si>
    <t xml:space="preserve">ORD-108240</t>
  </si>
  <si>
    <t xml:space="preserve">ORD-108241</t>
  </si>
  <si>
    <t xml:space="preserve">ORD-108242</t>
  </si>
  <si>
    <t xml:space="preserve">ORD-108243</t>
  </si>
  <si>
    <t xml:space="preserve">ORD-108244</t>
  </si>
  <si>
    <t xml:space="preserve">ORD-108245</t>
  </si>
  <si>
    <t xml:space="preserve">ORD-108246</t>
  </si>
  <si>
    <t xml:space="preserve">ORD-108247</t>
  </si>
  <si>
    <t xml:space="preserve">ORD-108248</t>
  </si>
  <si>
    <t xml:space="preserve">ORD-108249</t>
  </si>
  <si>
    <t xml:space="preserve">ORD-108250</t>
  </si>
  <si>
    <t xml:space="preserve">ORD-108251</t>
  </si>
  <si>
    <t xml:space="preserve">ORD-108252</t>
  </si>
  <si>
    <t xml:space="preserve">ORD-108253</t>
  </si>
  <si>
    <t xml:space="preserve">ORD-108254</t>
  </si>
  <si>
    <t xml:space="preserve">ORD-108255</t>
  </si>
  <si>
    <t xml:space="preserve">ORD-108256</t>
  </si>
  <si>
    <t xml:space="preserve">ORD-108257</t>
  </si>
  <si>
    <t xml:space="preserve">ORD-108258</t>
  </si>
  <si>
    <t xml:space="preserve">ORD-108259</t>
  </si>
  <si>
    <t xml:space="preserve">ORD-108260</t>
  </si>
  <si>
    <t xml:space="preserve">ORD-108261</t>
  </si>
  <si>
    <t xml:space="preserve">ORD-108262</t>
  </si>
  <si>
    <t xml:space="preserve">ORD-108263</t>
  </si>
  <si>
    <t xml:space="preserve">ORD-108264</t>
  </si>
  <si>
    <t xml:space="preserve">ORD-108265</t>
  </si>
  <si>
    <t xml:space="preserve">ORD-108266</t>
  </si>
  <si>
    <t xml:space="preserve">ORD-108267</t>
  </si>
  <si>
    <t xml:space="preserve">ORD-108268</t>
  </si>
  <si>
    <t xml:space="preserve">ORD-108269</t>
  </si>
  <si>
    <t xml:space="preserve">ORD-108270</t>
  </si>
  <si>
    <t xml:space="preserve">ORD-108271</t>
  </si>
  <si>
    <t xml:space="preserve">ORD-108272</t>
  </si>
  <si>
    <t xml:space="preserve">ORD-108273</t>
  </si>
  <si>
    <t xml:space="preserve">ORD-108274</t>
  </si>
  <si>
    <t xml:space="preserve">ORD-108275</t>
  </si>
  <si>
    <t xml:space="preserve">ORD-108276</t>
  </si>
  <si>
    <t xml:space="preserve">ORD-108277</t>
  </si>
  <si>
    <t xml:space="preserve">ORD-108278</t>
  </si>
  <si>
    <t xml:space="preserve">ORD-108279</t>
  </si>
  <si>
    <t xml:space="preserve">ORD-108280</t>
  </si>
  <si>
    <t xml:space="preserve">ORD-108281</t>
  </si>
  <si>
    <t xml:space="preserve">ORD-108282</t>
  </si>
  <si>
    <t xml:space="preserve">ORD-108283</t>
  </si>
  <si>
    <t xml:space="preserve">ORD-108284</t>
  </si>
  <si>
    <t xml:space="preserve">ORD-108285</t>
  </si>
  <si>
    <t xml:space="preserve">ORD-108286</t>
  </si>
  <si>
    <t xml:space="preserve">ORD-108287</t>
  </si>
  <si>
    <t xml:space="preserve">ORD-108288</t>
  </si>
  <si>
    <t xml:space="preserve">ORD-108289</t>
  </si>
  <si>
    <t xml:space="preserve">ORD-108290</t>
  </si>
  <si>
    <t xml:space="preserve">ORD-108291</t>
  </si>
  <si>
    <t xml:space="preserve">ORD-108292</t>
  </si>
  <si>
    <t xml:space="preserve">ORD-108293</t>
  </si>
  <si>
    <t xml:space="preserve">ORD-108294</t>
  </si>
  <si>
    <t xml:space="preserve">ORD-108295</t>
  </si>
  <si>
    <t xml:space="preserve">ORD-108296</t>
  </si>
  <si>
    <t xml:space="preserve">ORD-108297</t>
  </si>
  <si>
    <t xml:space="preserve">ORD-108298</t>
  </si>
  <si>
    <t xml:space="preserve">ORD-108299</t>
  </si>
  <si>
    <t xml:space="preserve">ORD-108300</t>
  </si>
  <si>
    <t xml:space="preserve">ORD-108301</t>
  </si>
  <si>
    <t xml:space="preserve">ORD-108302</t>
  </si>
  <si>
    <t xml:space="preserve">ORD-108303</t>
  </si>
  <si>
    <t xml:space="preserve">ORD-108304</t>
  </si>
  <si>
    <t xml:space="preserve">ORD-108305</t>
  </si>
  <si>
    <t xml:space="preserve">ORD-108306</t>
  </si>
  <si>
    <t xml:space="preserve">ORD-108307</t>
  </si>
  <si>
    <t xml:space="preserve">ORD-108308</t>
  </si>
  <si>
    <t xml:space="preserve">ORD-108309</t>
  </si>
  <si>
    <t xml:space="preserve">ORD-108310</t>
  </si>
  <si>
    <t xml:space="preserve">ORD-108311</t>
  </si>
  <si>
    <t xml:space="preserve">ORD-108312</t>
  </si>
  <si>
    <t xml:space="preserve">ORD-108313</t>
  </si>
  <si>
    <t xml:space="preserve">ORD-108314</t>
  </si>
  <si>
    <t xml:space="preserve">ORD-108315</t>
  </si>
  <si>
    <t xml:space="preserve">ORD-108316</t>
  </si>
  <si>
    <t xml:space="preserve">ORD-108317</t>
  </si>
  <si>
    <t xml:space="preserve">ORD-108318</t>
  </si>
  <si>
    <t xml:space="preserve">ORD-108319</t>
  </si>
  <si>
    <t xml:space="preserve">ORD-108320</t>
  </si>
  <si>
    <t xml:space="preserve">ORD-108321</t>
  </si>
  <si>
    <t xml:space="preserve">ORD-108322</t>
  </si>
  <si>
    <t xml:space="preserve">ORD-108323</t>
  </si>
  <si>
    <t xml:space="preserve">ORD-108324</t>
  </si>
  <si>
    <t xml:space="preserve">ORD-108325</t>
  </si>
  <si>
    <t xml:space="preserve">ORD-108326</t>
  </si>
  <si>
    <t xml:space="preserve">ORD-108327</t>
  </si>
  <si>
    <t xml:space="preserve">ORD-108328</t>
  </si>
  <si>
    <t xml:space="preserve">ORD-108329</t>
  </si>
  <si>
    <t xml:space="preserve">ORD-108330</t>
  </si>
  <si>
    <t xml:space="preserve">ORD-108331</t>
  </si>
  <si>
    <t xml:space="preserve">ORD-108332</t>
  </si>
  <si>
    <t xml:space="preserve">ORD-108333</t>
  </si>
  <si>
    <t xml:space="preserve">ORD-108334</t>
  </si>
  <si>
    <t xml:space="preserve">ORD-108335</t>
  </si>
  <si>
    <t xml:space="preserve">ORD-108336</t>
  </si>
  <si>
    <t xml:space="preserve">ORD-108337</t>
  </si>
  <si>
    <t xml:space="preserve">ORD-108338</t>
  </si>
  <si>
    <t xml:space="preserve">ORD-108339</t>
  </si>
  <si>
    <t xml:space="preserve">ORD-108340</t>
  </si>
  <si>
    <t xml:space="preserve">ORD-108341</t>
  </si>
  <si>
    <t xml:space="preserve">ORD-108342</t>
  </si>
  <si>
    <t xml:space="preserve">ORD-108343</t>
  </si>
  <si>
    <t xml:space="preserve">ORD-108344</t>
  </si>
  <si>
    <t xml:space="preserve">ORD-108345</t>
  </si>
  <si>
    <t xml:space="preserve">ORD-108346</t>
  </si>
  <si>
    <t xml:space="preserve">ORD-108347</t>
  </si>
  <si>
    <t xml:space="preserve">ORD-108348</t>
  </si>
  <si>
    <t xml:space="preserve">ORD-108349</t>
  </si>
  <si>
    <t xml:space="preserve">ORD-108350</t>
  </si>
  <si>
    <t xml:space="preserve">ORD-108351</t>
  </si>
  <si>
    <t xml:space="preserve">ORD-108352</t>
  </si>
  <si>
    <t xml:space="preserve">ORD-108353</t>
  </si>
  <si>
    <t xml:space="preserve">ORD-108354</t>
  </si>
  <si>
    <t xml:space="preserve">ORD-108355</t>
  </si>
  <si>
    <t xml:space="preserve">ORD-108356</t>
  </si>
  <si>
    <t xml:space="preserve">ORD-108357</t>
  </si>
  <si>
    <t xml:space="preserve">ORD-108358</t>
  </si>
  <si>
    <t xml:space="preserve">ORD-108359</t>
  </si>
  <si>
    <t xml:space="preserve">ORD-108360</t>
  </si>
  <si>
    <t xml:space="preserve">ORD-108361</t>
  </si>
  <si>
    <t xml:space="preserve">ORD-108362</t>
  </si>
  <si>
    <t xml:space="preserve">ORD-108363</t>
  </si>
  <si>
    <t xml:space="preserve">ORD-108364</t>
  </si>
  <si>
    <t xml:space="preserve">ORD-108365</t>
  </si>
  <si>
    <t xml:space="preserve">ORD-108366</t>
  </si>
  <si>
    <t xml:space="preserve">ORD-108367</t>
  </si>
  <si>
    <t xml:space="preserve">ORD-108368</t>
  </si>
  <si>
    <t xml:space="preserve">ORD-108369</t>
  </si>
  <si>
    <t xml:space="preserve">ORD-108370</t>
  </si>
  <si>
    <t xml:space="preserve">ORD-108371</t>
  </si>
  <si>
    <t xml:space="preserve">ORD-108372</t>
  </si>
  <si>
    <t xml:space="preserve">ORD-108373</t>
  </si>
  <si>
    <t xml:space="preserve">ORD-108374</t>
  </si>
  <si>
    <t xml:space="preserve">ORD-108375</t>
  </si>
  <si>
    <t xml:space="preserve">ORD-108376</t>
  </si>
  <si>
    <t xml:space="preserve">ORD-108377</t>
  </si>
  <si>
    <t xml:space="preserve">ORD-108378</t>
  </si>
  <si>
    <t xml:space="preserve">ORD-108379</t>
  </si>
  <si>
    <t xml:space="preserve">ORD-108380</t>
  </si>
  <si>
    <t xml:space="preserve">ORD-108381</t>
  </si>
  <si>
    <t xml:space="preserve">ORD-108382</t>
  </si>
  <si>
    <t xml:space="preserve">ORD-108383</t>
  </si>
  <si>
    <t xml:space="preserve">ORD-108384</t>
  </si>
  <si>
    <t xml:space="preserve">ORD-108385</t>
  </si>
  <si>
    <t xml:space="preserve">ORD-108386</t>
  </si>
  <si>
    <t xml:space="preserve">ORD-108387</t>
  </si>
  <si>
    <t xml:space="preserve">ORD-108388</t>
  </si>
  <si>
    <t xml:space="preserve">ORD-108389</t>
  </si>
  <si>
    <t xml:space="preserve">ORD-108390</t>
  </si>
  <si>
    <t xml:space="preserve">ORD-108391</t>
  </si>
  <si>
    <t xml:space="preserve">ORD-108392</t>
  </si>
  <si>
    <t xml:space="preserve">ORD-108393</t>
  </si>
  <si>
    <t xml:space="preserve">ORD-108394</t>
  </si>
  <si>
    <t xml:space="preserve">ORD-108395</t>
  </si>
  <si>
    <t xml:space="preserve">ORD-108396</t>
  </si>
  <si>
    <t xml:space="preserve">ORD-108397</t>
  </si>
  <si>
    <t xml:space="preserve">ORD-108398</t>
  </si>
  <si>
    <t xml:space="preserve">ORD-108399</t>
  </si>
  <si>
    <t xml:space="preserve">ORD-108400</t>
  </si>
  <si>
    <t xml:space="preserve">ORD-108401</t>
  </si>
  <si>
    <t xml:space="preserve">ORD-108402</t>
  </si>
  <si>
    <t xml:space="preserve">ORD-108403</t>
  </si>
  <si>
    <t xml:space="preserve">ORD-108404</t>
  </si>
  <si>
    <t xml:space="preserve">ORD-108405</t>
  </si>
  <si>
    <t xml:space="preserve">ORD-108406</t>
  </si>
  <si>
    <t xml:space="preserve">ORD-108407</t>
  </si>
  <si>
    <t xml:space="preserve">ORD-108408</t>
  </si>
  <si>
    <t xml:space="preserve">ORD-108409</t>
  </si>
  <si>
    <t xml:space="preserve">ORD-108410</t>
  </si>
  <si>
    <t xml:space="preserve">ORD-108411</t>
  </si>
  <si>
    <t xml:space="preserve">ORD-108412</t>
  </si>
  <si>
    <t xml:space="preserve">ORD-108413</t>
  </si>
  <si>
    <t xml:space="preserve">ORD-108414</t>
  </si>
  <si>
    <t xml:space="preserve">ORD-108415</t>
  </si>
  <si>
    <t xml:space="preserve">ORD-108416</t>
  </si>
  <si>
    <t xml:space="preserve">ORD-108417</t>
  </si>
  <si>
    <t xml:space="preserve">ORD-108418</t>
  </si>
  <si>
    <t xml:space="preserve">ORD-108419</t>
  </si>
  <si>
    <t xml:space="preserve">ORD-108420</t>
  </si>
  <si>
    <t xml:space="preserve">Product Name</t>
  </si>
  <si>
    <t xml:space="preserve">Sub-Category</t>
  </si>
  <si>
    <t xml:space="preserve">Brand</t>
  </si>
  <si>
    <t xml:space="preserve">List Price (₹)</t>
  </si>
  <si>
    <t xml:space="preserve">boAt Airdopes 141 TWS Earbuds</t>
  </si>
  <si>
    <t xml:space="preserve">Audio</t>
  </si>
  <si>
    <t xml:space="preserve">boAt</t>
  </si>
  <si>
    <t xml:space="preserve">JBL Tune 230NC TWS Earbuds</t>
  </si>
  <si>
    <t xml:space="preserve">JBL</t>
  </si>
  <si>
    <t xml:space="preserve">Sony WH-CH520 Wireless Headphones</t>
  </si>
  <si>
    <t xml:space="preserve">Sony</t>
  </si>
  <si>
    <t xml:space="preserve">Noise ColorFit Pulse 3 Smartwatch</t>
  </si>
  <si>
    <t xml:space="preserve">Wearables</t>
  </si>
  <si>
    <t xml:space="preserve">Noise</t>
  </si>
  <si>
    <t xml:space="preserve">Fire-Boltt Ninja Call Pro Smartwatch</t>
  </si>
  <si>
    <t xml:space="preserve">Fire-Boltt</t>
  </si>
  <si>
    <t xml:space="preserve">Redmi Buds 5 Earbuds</t>
  </si>
  <si>
    <t xml:space="preserve">Redmi</t>
  </si>
  <si>
    <t xml:space="preserve">Mi 20000mAh Power Bank</t>
  </si>
  <si>
    <t xml:space="preserve">Mobile Accessories</t>
  </si>
  <si>
    <t xml:space="preserve">Mi</t>
  </si>
  <si>
    <t xml:space="preserve">Anker 65W GaN Wall Charger</t>
  </si>
  <si>
    <t xml:space="preserve">Anker</t>
  </si>
  <si>
    <t xml:space="preserve">Samsung 25W USB-C Charger</t>
  </si>
  <si>
    <t xml:space="preserve">Samsung</t>
  </si>
  <si>
    <t xml:space="preserve">Logitech M331 Silent Wireless Mouse</t>
  </si>
  <si>
    <t xml:space="preserve">Computer Accessories</t>
  </si>
  <si>
    <t xml:space="preserve">Logitech</t>
  </si>
  <si>
    <t xml:space="preserve">HP K300 Backlit Gaming Keyboard</t>
  </si>
  <si>
    <t xml:space="preserve">HP</t>
  </si>
  <si>
    <t xml:space="preserve">SanDisk Ultra 128GB Pen Drive</t>
  </si>
  <si>
    <t xml:space="preserve">SanDisk</t>
  </si>
  <si>
    <t xml:space="preserve">Realme Narzo 60x 5G Smartphone</t>
  </si>
  <si>
    <t xml:space="preserve">Smartphones</t>
  </si>
  <si>
    <t xml:space="preserve">Realme</t>
  </si>
  <si>
    <t xml:space="preserve">Redmi 13 5G Smartphone</t>
  </si>
  <si>
    <t xml:space="preserve">Samsung Galaxy M35 5G Smartphone</t>
  </si>
  <si>
    <t xml:space="preserve">iQOO Z9 5G Smartphone</t>
  </si>
  <si>
    <t xml:space="preserve">iQOO</t>
  </si>
  <si>
    <t xml:space="preserve">Lenovo IdeaPad Slim 3 Laptop</t>
  </si>
  <si>
    <t xml:space="preserve">Laptops</t>
  </si>
  <si>
    <t xml:space="preserve">Lenovo</t>
  </si>
  <si>
    <t xml:space="preserve">HP Pavilion 14 Laptop</t>
  </si>
  <si>
    <t xml:space="preserve">Amazon Echo Dot (5th Gen)</t>
  </si>
  <si>
    <t xml:space="preserve">Smart Home</t>
  </si>
  <si>
    <t xml:space="preserve">Amazon</t>
  </si>
  <si>
    <t xml:space="preserve">TCL 43-inch 4K Smart TV</t>
  </si>
  <si>
    <t xml:space="preserve">Televisions</t>
  </si>
  <si>
    <t xml:space="preserve">TCL</t>
  </si>
  <si>
    <t xml:space="preserve">Prestige Induction Cooktop</t>
  </si>
  <si>
    <t xml:space="preserve">Kitchen Appliances</t>
  </si>
  <si>
    <t xml:space="preserve">Prestige</t>
  </si>
  <si>
    <t xml:space="preserve">Pigeon Non-Stick Cookware Set</t>
  </si>
  <si>
    <t xml:space="preserve">Cookware</t>
  </si>
  <si>
    <t xml:space="preserve">Pigeon</t>
  </si>
  <si>
    <t xml:space="preserve">Milton Thermosteel Flask 1L</t>
  </si>
  <si>
    <t xml:space="preserve">Kitchen Storage</t>
  </si>
  <si>
    <t xml:space="preserve">Milton</t>
  </si>
  <si>
    <t xml:space="preserve">Borosil Glass Storage Set</t>
  </si>
  <si>
    <t xml:space="preserve">Borosil</t>
  </si>
  <si>
    <t xml:space="preserve">Bajaj Room Heater</t>
  </si>
  <si>
    <t xml:space="preserve">Appliances</t>
  </si>
  <si>
    <t xml:space="preserve">Bajaj</t>
  </si>
  <si>
    <t xml:space="preserve">Havells Ceiling Fan</t>
  </si>
  <si>
    <t xml:space="preserve">Havells</t>
  </si>
  <si>
    <t xml:space="preserve">Philips LED Bulb Pack of 4</t>
  </si>
  <si>
    <t xml:space="preserve">Lighting</t>
  </si>
  <si>
    <t xml:space="preserve">Philips</t>
  </si>
  <si>
    <t xml:space="preserve">Wakefit Memory Foam Mattress</t>
  </si>
  <si>
    <t xml:space="preserve">Bedding</t>
  </si>
  <si>
    <t xml:space="preserve">Wakefit</t>
  </si>
  <si>
    <t xml:space="preserve">Sleepwell Fibre Pillow Pair</t>
  </si>
  <si>
    <t xml:space="preserve">Sleepwell</t>
  </si>
  <si>
    <t xml:space="preserve">Bombay Dyeing Cotton Bedsheet Set</t>
  </si>
  <si>
    <t xml:space="preserve">Bombay Dyeing</t>
  </si>
  <si>
    <t xml:space="preserve">Story@Home Blackout Curtains</t>
  </si>
  <si>
    <t xml:space="preserve">Furnishings</t>
  </si>
  <si>
    <t xml:space="preserve">Story@Home</t>
  </si>
  <si>
    <t xml:space="preserve">Nilkamal Plastic Chair Set of 2</t>
  </si>
  <si>
    <t xml:space="preserve">Furniture</t>
  </si>
  <si>
    <t xml:space="preserve">Nilkamal</t>
  </si>
  <si>
    <t xml:space="preserve">Godrej Interio Study Table</t>
  </si>
  <si>
    <t xml:space="preserve">Godrej Interio</t>
  </si>
  <si>
    <t xml:space="preserve">Eureka Forbes Vacuum Cleaner</t>
  </si>
  <si>
    <t xml:space="preserve">Cleaning</t>
  </si>
  <si>
    <t xml:space="preserve">Eureka Forbes</t>
  </si>
  <si>
    <t xml:space="preserve">Cello Dinner Set 24 Pieces</t>
  </si>
  <si>
    <t xml:space="preserve">Dining</t>
  </si>
  <si>
    <t xml:space="preserve">Cello</t>
  </si>
  <si>
    <t xml:space="preserve">Ajanta Wall Clock</t>
  </si>
  <si>
    <t xml:space="preserve">Decor</t>
  </si>
  <si>
    <t xml:space="preserve">Ajanta</t>
  </si>
  <si>
    <t xml:space="preserve">Kent RO Water Purifier</t>
  </si>
  <si>
    <t xml:space="preserve">Kent</t>
  </si>
  <si>
    <t xml:space="preserve">Usha Steam Iron</t>
  </si>
  <si>
    <t xml:space="preserve">Usha</t>
  </si>
  <si>
    <t xml:space="preserve">Morphy Richards Mixer Grinder</t>
  </si>
  <si>
    <t xml:space="preserve">Morphy Richards</t>
  </si>
  <si>
    <t xml:space="preserve">Wonderchef Air Fryer</t>
  </si>
  <si>
    <t xml:space="preserve">Wonderchef</t>
  </si>
  <si>
    <t xml:space="preserve">Levi's 511 Slim Fit Jeans</t>
  </si>
  <si>
    <t xml:space="preserve">Menswear</t>
  </si>
  <si>
    <t xml:space="preserve">Levi's</t>
  </si>
  <si>
    <t xml:space="preserve">Allen Solly Formal Shirt</t>
  </si>
  <si>
    <t xml:space="preserve">Allen Solly</t>
  </si>
  <si>
    <t xml:space="preserve">Peter England Cotton Chinos</t>
  </si>
  <si>
    <t xml:space="preserve">Peter England</t>
  </si>
  <si>
    <t xml:space="preserve">Puma Dry-Fit Running T-Shirt</t>
  </si>
  <si>
    <t xml:space="preserve">Activewear</t>
  </si>
  <si>
    <t xml:space="preserve">Puma</t>
  </si>
  <si>
    <t xml:space="preserve">Adidas Track Pants</t>
  </si>
  <si>
    <t xml:space="preserve">Adidas</t>
  </si>
  <si>
    <t xml:space="preserve">Campus Sports Shoes</t>
  </si>
  <si>
    <t xml:space="preserve">Footwear</t>
  </si>
  <si>
    <t xml:space="preserve">Campus</t>
  </si>
  <si>
    <t xml:space="preserve">Bata Formal Leather Shoes</t>
  </si>
  <si>
    <t xml:space="preserve">Bata</t>
  </si>
  <si>
    <t xml:space="preserve">Woodland Trekking Shoes</t>
  </si>
  <si>
    <t xml:space="preserve">Woodland</t>
  </si>
  <si>
    <t xml:space="preserve">W Straight Kurta Set</t>
  </si>
  <si>
    <t xml:space="preserve">Womenswear</t>
  </si>
  <si>
    <t xml:space="preserve">W</t>
  </si>
  <si>
    <t xml:space="preserve">Biba Anarkali Suit</t>
  </si>
  <si>
    <t xml:space="preserve">Biba</t>
  </si>
  <si>
    <t xml:space="preserve">Libas Cotton Kurti</t>
  </si>
  <si>
    <t xml:space="preserve">Libas</t>
  </si>
  <si>
    <t xml:space="preserve">Fabindia Cotton Saree</t>
  </si>
  <si>
    <t xml:space="preserve">Fabindia</t>
  </si>
  <si>
    <t xml:space="preserve">Titan Analog Wrist Watch</t>
  </si>
  <si>
    <t xml:space="preserve">Accessories</t>
  </si>
  <si>
    <t xml:space="preserve">Titan</t>
  </si>
  <si>
    <t xml:space="preserve">Fastrack UV-Protected Sunglasses</t>
  </si>
  <si>
    <t xml:space="preserve">Fastrack</t>
  </si>
  <si>
    <t xml:space="preserve">Wildcraft Laptop Backpack</t>
  </si>
  <si>
    <t xml:space="preserve">Bags</t>
  </si>
  <si>
    <t xml:space="preserve">Wildcraft</t>
  </si>
  <si>
    <t xml:space="preserve">Lavie Women's Handbag</t>
  </si>
  <si>
    <t xml:space="preserve">Lavie</t>
  </si>
  <si>
    <t xml:space="preserve">Jockey Innerwear Pack of 3</t>
  </si>
  <si>
    <t xml:space="preserve">Innerwear</t>
  </si>
  <si>
    <t xml:space="preserve">Jockey</t>
  </si>
  <si>
    <t xml:space="preserve">Roadster Denim Jacket</t>
  </si>
  <si>
    <t xml:space="preserve">Roadster</t>
  </si>
  <si>
    <t xml:space="preserve">Van Heusen Slim Fit Blazer</t>
  </si>
  <si>
    <t xml:space="preserve">Van Heusen</t>
  </si>
  <si>
    <t xml:space="preserve">Crocs Classic Clogs</t>
  </si>
  <si>
    <t xml:space="preserve">Crocs</t>
  </si>
  <si>
    <t xml:space="preserve">Aashirvaad Whole Wheat Atta 5kg</t>
  </si>
  <si>
    <t xml:space="preserve">Staples</t>
  </si>
  <si>
    <t xml:space="preserve">Aashirvaad</t>
  </si>
  <si>
    <t xml:space="preserve">Fortune Sunflower Oil 5L</t>
  </si>
  <si>
    <t xml:space="preserve">Fortune</t>
  </si>
  <si>
    <t xml:space="preserve">Tata Tea Gold 500g</t>
  </si>
  <si>
    <t xml:space="preserve">Beverages</t>
  </si>
  <si>
    <t xml:space="preserve">Tata Tea</t>
  </si>
  <si>
    <t xml:space="preserve">Nescafé Classic Coffee 200g</t>
  </si>
  <si>
    <t xml:space="preserve">Nescafé</t>
  </si>
  <si>
    <t xml:space="preserve">Amul Butter 500g</t>
  </si>
  <si>
    <t xml:space="preserve">Dairy</t>
  </si>
  <si>
    <t xml:space="preserve">Amul</t>
  </si>
  <si>
    <t xml:space="preserve">India Gate Basmati Rice 5kg</t>
  </si>
  <si>
    <t xml:space="preserve">India Gate</t>
  </si>
  <si>
    <t xml:space="preserve">Tata Sampann Toor Dal 1kg</t>
  </si>
  <si>
    <t xml:space="preserve">Tata Sampann</t>
  </si>
  <si>
    <t xml:space="preserve">Saffola Gold Oil 1L</t>
  </si>
  <si>
    <t xml:space="preserve">Saffola</t>
  </si>
  <si>
    <t xml:space="preserve">Maggi Noodles Family Pack</t>
  </si>
  <si>
    <t xml:space="preserve">Instant Food</t>
  </si>
  <si>
    <t xml:space="preserve">Maggi</t>
  </si>
  <si>
    <t xml:space="preserve">Britannia Good Day Cookies Pack</t>
  </si>
  <si>
    <t xml:space="preserve">Snacks</t>
  </si>
  <si>
    <t xml:space="preserve">Britannia</t>
  </si>
  <si>
    <t xml:space="preserve">Cadbury Dairy Milk Family Pack</t>
  </si>
  <si>
    <t xml:space="preserve">Cadbury</t>
  </si>
  <si>
    <t xml:space="preserve">Kellogg's Corn Flakes 875g</t>
  </si>
  <si>
    <t xml:space="preserve">Breakfast</t>
  </si>
  <si>
    <t xml:space="preserve">Kellogg's</t>
  </si>
  <si>
    <t xml:space="preserve">Dabur Honey 500g</t>
  </si>
  <si>
    <t xml:space="preserve">Spreads</t>
  </si>
  <si>
    <t xml:space="preserve">Dabur</t>
  </si>
  <si>
    <t xml:space="preserve">Brooke Bond Red Label Tea 1kg</t>
  </si>
  <si>
    <t xml:space="preserve">Brooke Bond</t>
  </si>
  <si>
    <t xml:space="preserve">Cadbury Bournvita 1kg</t>
  </si>
  <si>
    <t xml:space="preserve">Kissan Mixed Fruit Jam 700g</t>
  </si>
  <si>
    <t xml:space="preserve">Kissan</t>
  </si>
  <si>
    <t xml:space="preserve">MDH Masala Combo Pack</t>
  </si>
  <si>
    <t xml:space="preserve">Spices</t>
  </si>
  <si>
    <t xml:space="preserve">MDH</t>
  </si>
  <si>
    <t xml:space="preserve">Real Fruit Juice Pack of 4</t>
  </si>
  <si>
    <t xml:space="preserve">Real</t>
  </si>
  <si>
    <t xml:space="preserve">Haldiram's Assorted Namkeen Box</t>
  </si>
  <si>
    <t xml:space="preserve">Haldiram's</t>
  </si>
  <si>
    <t xml:space="preserve">Parle-G Value Pack</t>
  </si>
  <si>
    <t xml:space="preserve">Parle</t>
  </si>
  <si>
    <t xml:space="preserve">Lakmé Absolute Foundation</t>
  </si>
  <si>
    <t xml:space="preserve">Makeup</t>
  </si>
  <si>
    <t xml:space="preserve">Lakmé</t>
  </si>
  <si>
    <t xml:space="preserve">Maybelline Fit Me Compact</t>
  </si>
  <si>
    <t xml:space="preserve">Maybelline</t>
  </si>
  <si>
    <t xml:space="preserve">Nykaa Matte Lipstick Set</t>
  </si>
  <si>
    <t xml:space="preserve">Nykaa</t>
  </si>
  <si>
    <t xml:space="preserve">Mamaearth Vitamin C Face Serum</t>
  </si>
  <si>
    <t xml:space="preserve">Skincare</t>
  </si>
  <si>
    <t xml:space="preserve">Mamaearth</t>
  </si>
  <si>
    <t xml:space="preserve">Minimalist 10% Niacinamide Serum</t>
  </si>
  <si>
    <t xml:space="preserve">Minimalist</t>
  </si>
  <si>
    <t xml:space="preserve">Cetaphil Gentle Skin Cleanser 500ml</t>
  </si>
  <si>
    <t xml:space="preserve">Cetaphil</t>
  </si>
  <si>
    <t xml:space="preserve">L'Oréal Paris Hair Serum</t>
  </si>
  <si>
    <t xml:space="preserve">Haircare</t>
  </si>
  <si>
    <t xml:space="preserve">L'Oréal Paris</t>
  </si>
  <si>
    <t xml:space="preserve">Dove Intense Repair Shampoo</t>
  </si>
  <si>
    <t xml:space="preserve">Dove</t>
  </si>
  <si>
    <t xml:space="preserve">WOW Apple Cider Vinegar Shampoo</t>
  </si>
  <si>
    <t xml:space="preserve">WOW</t>
  </si>
  <si>
    <t xml:space="preserve">Biotique Bio Almond Oil</t>
  </si>
  <si>
    <t xml:space="preserve">Biotique</t>
  </si>
  <si>
    <t xml:space="preserve">The Body Shop Tea Tree Face Wash</t>
  </si>
  <si>
    <t xml:space="preserve">The Body Shop</t>
  </si>
  <si>
    <t xml:space="preserve">Forest Essentials Body Cream</t>
  </si>
  <si>
    <t xml:space="preserve">Bath &amp; Body</t>
  </si>
  <si>
    <t xml:space="preserve">Forest Essentials</t>
  </si>
  <si>
    <t xml:space="preserve">Philips Beard Trimmer</t>
  </si>
  <si>
    <t xml:space="preserve">Grooming</t>
  </si>
  <si>
    <t xml:space="preserve">Philips Hair Dryer</t>
  </si>
  <si>
    <t xml:space="preserve">Nivea Body Lotion 400ml</t>
  </si>
  <si>
    <t xml:space="preserve">Nivea</t>
  </si>
  <si>
    <t xml:space="preserve">Neutrogena Sunscreen SPF 50</t>
  </si>
  <si>
    <t xml:space="preserve">Neutrogena</t>
  </si>
  <si>
    <t xml:space="preserve">Fogg Deodorant Combo</t>
  </si>
  <si>
    <t xml:space="preserve">Fragrance</t>
  </si>
  <si>
    <t xml:space="preserve">Fogg</t>
  </si>
  <si>
    <t xml:space="preserve">Bella Vita Luxury Perfume Gift Set</t>
  </si>
  <si>
    <t xml:space="preserve">Bella Vita</t>
  </si>
  <si>
    <t xml:space="preserve">Kama Ayurveda Kumkumadi Face Oil</t>
  </si>
  <si>
    <t xml:space="preserve">Kama Ayurveda</t>
  </si>
  <si>
    <t xml:space="preserve">Plum Green Tea Face Mask</t>
  </si>
  <si>
    <t xml:space="preserve">Plum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</si>
</sst>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\-mmm\-yyyy"/>
    <numFmt numFmtId="166" formatCode="#,##0"/>
    <numFmt numFmtId="167" formatCode="\₹#,##0"/>
    <numFmt numFmtId="168" formatCode="0.0%"/>
    <numFmt numFmtId="169" formatCode="0.0"/>
    <numFmt numFmtId="170" formatCode="0%"/>
    <numFmt numFmtId="171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8"/>
    <col collapsed="false" customWidth="true" hidden="false" outlineLevel="0" max="5" min="4" style="0" width="16"/>
    <col collapsed="false" customWidth="true" hidden="false" outlineLevel="0" max="7" min="6" style="0" width="20"/>
    <col collapsed="false" customWidth="true" hidden="false" outlineLevel="0" max="8" min="8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 t="n">
        <v>46266</v>
      </c>
    </row>
    <row r="5" customFormat="false" ht="15" hidden="false" customHeight="false" outlineLevel="0" collapsed="false">
      <c r="A5" s="5" t="s">
        <v>3</v>
      </c>
      <c r="B5" s="5" t="s">
        <v>4</v>
      </c>
      <c r="C5" s="5" t="s">
        <v>5</v>
      </c>
      <c r="D5" s="5" t="s">
        <v>6</v>
      </c>
    </row>
    <row r="6" customFormat="false" ht="15" hidden="false" customHeight="false" outlineLevel="0" collapsed="false">
      <c r="A6" s="6" t="s">
        <v>7</v>
      </c>
      <c r="B6" s="7" t="n">
        <f aca="false">COUNTA(Customer!$A$2:$A$2501)</f>
        <v>2500</v>
      </c>
      <c r="C6" s="8" t="n">
        <v>2500</v>
      </c>
      <c r="D6" s="9" t="str">
        <f aca="false">IF(B6=C6,"✓","✗")</f>
        <v>✓</v>
      </c>
    </row>
    <row r="7" customFormat="false" ht="15" hidden="false" customHeight="false" outlineLevel="0" collapsed="false">
      <c r="A7" s="6" t="s">
        <v>8</v>
      </c>
      <c r="B7" s="7" t="n">
        <f aca="false">COUNTA(Transaction!$A$2:$A$8421)</f>
        <v>8420</v>
      </c>
      <c r="C7" s="8" t="n">
        <v>8420</v>
      </c>
      <c r="D7" s="9" t="str">
        <f aca="false">IF(B7=C7,"✓","✗")</f>
        <v>✓</v>
      </c>
    </row>
    <row r="8" customFormat="false" ht="15" hidden="false" customHeight="false" outlineLevel="0" collapsed="false">
      <c r="A8" s="6" t="s">
        <v>9</v>
      </c>
      <c r="B8" s="10" t="n">
        <f aca="false">SUM(Transaction!$H$2:$H$8421)</f>
        <v>18608200</v>
      </c>
      <c r="C8" s="11" t="n">
        <v>18600000</v>
      </c>
      <c r="D8" s="9" t="str">
        <f aca="false">IF(ROUND(B8/1000000,1)=ROUND(C8/1000000,1),"✓","✗")</f>
        <v>✓</v>
      </c>
    </row>
    <row r="9" customFormat="false" ht="15" hidden="false" customHeight="false" outlineLevel="0" collapsed="false">
      <c r="A9" s="6" t="s">
        <v>10</v>
      </c>
      <c r="B9" s="10" t="n">
        <f aca="false">B8/B7</f>
        <v>2210</v>
      </c>
      <c r="C9" s="11" t="n">
        <v>2210</v>
      </c>
      <c r="D9" s="9" t="str">
        <f aca="false">IF(ROUND(B9,0)=C9,"✓","✗")</f>
        <v>✓</v>
      </c>
    </row>
    <row r="10" customFormat="false" ht="15" hidden="false" customHeight="false" outlineLevel="0" collapsed="false">
      <c r="A10" s="6" t="s">
        <v>11</v>
      </c>
      <c r="B10" s="12" t="n">
        <f aca="false">COUNTIF(Customer!$N$2:$N$2501,"Yes")/B6</f>
        <v>0.418</v>
      </c>
      <c r="C10" s="13" t="n">
        <v>0.418</v>
      </c>
      <c r="D10" s="9" t="str">
        <f aca="false">IF(ROUND(B10,3)=C10,"✓","✗")</f>
        <v>✓</v>
      </c>
    </row>
    <row r="12" customFormat="false" ht="15" hidden="false" customHeight="false" outlineLevel="0" collapsed="false">
      <c r="A12" s="14" t="s">
        <v>12</v>
      </c>
    </row>
    <row r="13" customFormat="false" ht="15" hidden="false" customHeight="false" outlineLevel="0" collapsed="false">
      <c r="A13" s="5" t="s">
        <v>13</v>
      </c>
      <c r="B13" s="5" t="s">
        <v>14</v>
      </c>
      <c r="C13" s="5" t="s">
        <v>15</v>
      </c>
      <c r="D13" s="5" t="s">
        <v>16</v>
      </c>
      <c r="E13" s="5" t="s">
        <v>17</v>
      </c>
      <c r="F13" s="5" t="s">
        <v>18</v>
      </c>
      <c r="G13" s="5" t="s">
        <v>19</v>
      </c>
    </row>
    <row r="14" customFormat="false" ht="15" hidden="false" customHeight="false" outlineLevel="0" collapsed="false">
      <c r="A14" s="6" t="s">
        <v>20</v>
      </c>
      <c r="B14" s="10" t="n">
        <f aca="false">SUMIF(Transaction!$E$2:$E$8421,A14,Transaction!$H$2:$H$8421)</f>
        <v>5104200</v>
      </c>
      <c r="C14" s="12" t="n">
        <f aca="false">B14/$B$19</f>
        <v>0.27429842757494</v>
      </c>
      <c r="D14" s="7" t="n">
        <f aca="false">COUNTIF(Transaction!$E$2:$E$8421,A14)</f>
        <v>1000</v>
      </c>
      <c r="E14" s="10" t="n">
        <f aca="false">B14/D14</f>
        <v>5104.2</v>
      </c>
      <c r="F14" s="15" t="n">
        <v>5.1</v>
      </c>
      <c r="G14" s="9" t="str">
        <f aca="false">IF(ROUND(B14/1000000,1)=F14,"✓","✗")</f>
        <v>✓</v>
      </c>
    </row>
    <row r="15" customFormat="false" ht="15" hidden="false" customHeight="false" outlineLevel="0" collapsed="false">
      <c r="A15" s="6" t="s">
        <v>21</v>
      </c>
      <c r="B15" s="10" t="n">
        <f aca="false">SUMIF(Transaction!$E$2:$E$8421,A15,Transaction!$H$2:$H$8421)</f>
        <v>4203100</v>
      </c>
      <c r="C15" s="12" t="n">
        <f aca="false">B15/$B$19</f>
        <v>0.225873539622317</v>
      </c>
      <c r="D15" s="7" t="n">
        <f aca="false">COUNTIF(Transaction!$E$2:$E$8421,A15)</f>
        <v>1600</v>
      </c>
      <c r="E15" s="10" t="n">
        <f aca="false">B15/D15</f>
        <v>2626.9375</v>
      </c>
      <c r="F15" s="15" t="n">
        <v>4.2</v>
      </c>
      <c r="G15" s="9" t="str">
        <f aca="false">IF(ROUND(B15/1000000,1)=F15,"✓","✗")</f>
        <v>✓</v>
      </c>
    </row>
    <row r="16" customFormat="false" ht="15" hidden="false" customHeight="false" outlineLevel="0" collapsed="false">
      <c r="A16" s="6" t="s">
        <v>22</v>
      </c>
      <c r="B16" s="10" t="n">
        <f aca="false">SUMIF(Transaction!$E$2:$E$8421,A16,Transaction!$H$2:$H$8421)</f>
        <v>3801900</v>
      </c>
      <c r="C16" s="12" t="n">
        <f aca="false">B16/$B$19</f>
        <v>0.204313152266205</v>
      </c>
      <c r="D16" s="7" t="n">
        <f aca="false">COUNTIF(Transaction!$E$2:$E$8421,A16)</f>
        <v>2100</v>
      </c>
      <c r="E16" s="10" t="n">
        <f aca="false">B16/D16</f>
        <v>1810.42857142857</v>
      </c>
      <c r="F16" s="15" t="n">
        <v>3.8</v>
      </c>
      <c r="G16" s="9" t="str">
        <f aca="false">IF(ROUND(B16/1000000,1)=F16,"✓","✗")</f>
        <v>✓</v>
      </c>
    </row>
    <row r="17" customFormat="false" ht="15" hidden="false" customHeight="false" outlineLevel="0" collapsed="false">
      <c r="A17" s="6" t="s">
        <v>23</v>
      </c>
      <c r="B17" s="10" t="n">
        <f aca="false">SUMIF(Transaction!$E$2:$E$8421,A17,Transaction!$H$2:$H$8421)</f>
        <v>3098300</v>
      </c>
      <c r="C17" s="12" t="n">
        <f aca="false">B17/$B$19</f>
        <v>0.166501864769295</v>
      </c>
      <c r="D17" s="7" t="n">
        <f aca="false">COUNTIF(Transaction!$E$2:$E$8421,A17)</f>
        <v>2300</v>
      </c>
      <c r="E17" s="10" t="n">
        <f aca="false">B17/D17</f>
        <v>1347.08695652174</v>
      </c>
      <c r="F17" s="15" t="n">
        <v>3.1</v>
      </c>
      <c r="G17" s="9" t="str">
        <f aca="false">IF(ROUND(B17/1000000,1)=F17,"✓","✗")</f>
        <v>✓</v>
      </c>
    </row>
    <row r="18" customFormat="false" ht="15" hidden="false" customHeight="false" outlineLevel="0" collapsed="false">
      <c r="A18" s="6" t="s">
        <v>24</v>
      </c>
      <c r="B18" s="10" t="n">
        <f aca="false">SUMIF(Transaction!$E$2:$E$8421,A18,Transaction!$H$2:$H$8421)</f>
        <v>2400700</v>
      </c>
      <c r="C18" s="12" t="n">
        <f aca="false">B18/$B$19</f>
        <v>0.129013015767242</v>
      </c>
      <c r="D18" s="7" t="n">
        <f aca="false">COUNTIF(Transaction!$E$2:$E$8421,A18)</f>
        <v>1420</v>
      </c>
      <c r="E18" s="10" t="n">
        <f aca="false">B18/D18</f>
        <v>1690.6338028169</v>
      </c>
      <c r="F18" s="15" t="n">
        <v>2.4</v>
      </c>
      <c r="G18" s="9" t="str">
        <f aca="false">IF(ROUND(B18/1000000,1)=F18,"✓","✗")</f>
        <v>✓</v>
      </c>
    </row>
    <row r="19" customFormat="false" ht="15" hidden="false" customHeight="false" outlineLevel="0" collapsed="false">
      <c r="A19" s="3" t="s">
        <v>25</v>
      </c>
      <c r="B19" s="16" t="n">
        <f aca="false">SUM(B14:B18)</f>
        <v>18608200</v>
      </c>
      <c r="C19" s="17" t="n">
        <f aca="false">SUM(C14:C18)</f>
        <v>1</v>
      </c>
      <c r="D19" s="18" t="n">
        <f aca="false">SUM(D14:D18)</f>
        <v>8420</v>
      </c>
      <c r="E19" s="16" t="n">
        <f aca="false">B19/D19</f>
        <v>2210</v>
      </c>
      <c r="F19" s="19" t="n">
        <f aca="false">SUM(F14:F18)</f>
        <v>18.6</v>
      </c>
    </row>
    <row r="21" customFormat="false" ht="15" hidden="false" customHeight="false" outlineLevel="0" collapsed="false">
      <c r="A21" s="14" t="s">
        <v>26</v>
      </c>
    </row>
    <row r="22" customFormat="false" ht="15" hidden="false" customHeight="false" outlineLevel="0" collapsed="false">
      <c r="A22" s="5" t="s">
        <v>27</v>
      </c>
      <c r="B22" s="5" t="s">
        <v>28</v>
      </c>
      <c r="C22" s="5" t="s">
        <v>14</v>
      </c>
      <c r="D22" s="5" t="s">
        <v>16</v>
      </c>
      <c r="E22" s="5" t="s">
        <v>29</v>
      </c>
    </row>
    <row r="23" customFormat="false" ht="15" hidden="false" customHeight="false" outlineLevel="0" collapsed="false">
      <c r="A23" s="6" t="s">
        <v>30</v>
      </c>
      <c r="B23" s="20" t="n">
        <v>46023</v>
      </c>
      <c r="C23" s="10" t="n">
        <f aca="false">SUMIFS(Transaction!$H$2:$H$8421,Transaction!$C$2:$C$8421,"&gt;="&amp;B23,Transaction!$C$2:$C$8421,"&lt;"&amp;EDATE(B23,1))</f>
        <v>1700752</v>
      </c>
      <c r="D23" s="7" t="n">
        <f aca="false">COUNTIFS(Transaction!$C$2:$C$8421,"&gt;="&amp;B23,Transaction!$C$2:$C$8421,"&lt;"&amp;EDATE(B23,1))</f>
        <v>846</v>
      </c>
      <c r="E23" s="6"/>
    </row>
    <row r="24" customFormat="false" ht="15" hidden="false" customHeight="false" outlineLevel="0" collapsed="false">
      <c r="A24" s="6" t="s">
        <v>31</v>
      </c>
      <c r="B24" s="20" t="n">
        <v>46054</v>
      </c>
      <c r="C24" s="10" t="n">
        <f aca="false">SUMIFS(Transaction!$H$2:$H$8421,Transaction!$C$2:$C$8421,"&gt;="&amp;B24,Transaction!$C$2:$C$8421,"&lt;"&amp;EDATE(B24,1))</f>
        <v>1850748</v>
      </c>
      <c r="D24" s="7" t="n">
        <f aca="false">COUNTIFS(Transaction!$C$2:$C$8421,"&gt;="&amp;B24,Transaction!$C$2:$C$8421,"&lt;"&amp;EDATE(B24,1))</f>
        <v>787</v>
      </c>
      <c r="E24" s="12" t="n">
        <f aca="false">C24/C23-1</f>
        <v>0.0881939283328785</v>
      </c>
    </row>
    <row r="25" customFormat="false" ht="15" hidden="false" customHeight="false" outlineLevel="0" collapsed="false">
      <c r="A25" s="6" t="s">
        <v>32</v>
      </c>
      <c r="B25" s="20" t="n">
        <v>46082</v>
      </c>
      <c r="C25" s="10" t="n">
        <f aca="false">SUMIFS(Transaction!$H$2:$H$8421,Transaction!$C$2:$C$8421,"&gt;="&amp;B25,Transaction!$C$2:$C$8421,"&lt;"&amp;EDATE(B25,1))</f>
        <v>2047526</v>
      </c>
      <c r="D25" s="7" t="n">
        <f aca="false">COUNTIFS(Transaction!$C$2:$C$8421,"&gt;="&amp;B25,Transaction!$C$2:$C$8421,"&lt;"&amp;EDATE(B25,1))</f>
        <v>904</v>
      </c>
      <c r="E25" s="12" t="n">
        <f aca="false">C25/C24-1</f>
        <v>0.106323497310277</v>
      </c>
    </row>
    <row r="26" customFormat="false" ht="15" hidden="false" customHeight="false" outlineLevel="0" collapsed="false">
      <c r="A26" s="6" t="s">
        <v>33</v>
      </c>
      <c r="B26" s="20" t="n">
        <v>46113</v>
      </c>
      <c r="C26" s="10" t="n">
        <f aca="false">SUMIFS(Transaction!$H$2:$H$8421,Transaction!$C$2:$C$8421,"&gt;="&amp;B26,Transaction!$C$2:$C$8421,"&lt;"&amp;EDATE(B26,1))</f>
        <v>2151060</v>
      </c>
      <c r="D26" s="7" t="n">
        <f aca="false">COUNTIFS(Transaction!$C$2:$C$8421,"&gt;="&amp;B26,Transaction!$C$2:$C$8421,"&lt;"&amp;EDATE(B26,1))</f>
        <v>961</v>
      </c>
      <c r="E26" s="12" t="n">
        <f aca="false">C26/C25-1</f>
        <v>0.05056541406556</v>
      </c>
    </row>
    <row r="27" customFormat="false" ht="15" hidden="false" customHeight="false" outlineLevel="0" collapsed="false">
      <c r="A27" s="6" t="s">
        <v>34</v>
      </c>
      <c r="B27" s="20" t="n">
        <v>46143</v>
      </c>
      <c r="C27" s="10" t="n">
        <f aca="false">SUMIFS(Transaction!$H$2:$H$8421,Transaction!$C$2:$C$8421,"&gt;="&amp;B27,Transaction!$C$2:$C$8421,"&lt;"&amp;EDATE(B27,1))</f>
        <v>2300988</v>
      </c>
      <c r="D27" s="7" t="n">
        <f aca="false">COUNTIFS(Transaction!$C$2:$C$8421,"&gt;="&amp;B27,Transaction!$C$2:$C$8421,"&lt;"&amp;EDATE(B27,1))</f>
        <v>1100</v>
      </c>
      <c r="E27" s="12" t="n">
        <f aca="false">C27/C26-1</f>
        <v>0.0696995899695965</v>
      </c>
    </row>
    <row r="28" customFormat="false" ht="15" hidden="false" customHeight="false" outlineLevel="0" collapsed="false">
      <c r="A28" s="6" t="s">
        <v>35</v>
      </c>
      <c r="B28" s="20" t="n">
        <v>46174</v>
      </c>
      <c r="C28" s="10" t="n">
        <f aca="false">SUMIFS(Transaction!$H$2:$H$8421,Transaction!$C$2:$C$8421,"&gt;="&amp;B28,Transaction!$C$2:$C$8421,"&lt;"&amp;EDATE(B28,1))</f>
        <v>2504338</v>
      </c>
      <c r="D28" s="7" t="n">
        <f aca="false">COUNTIFS(Transaction!$C$2:$C$8421,"&gt;="&amp;B28,Transaction!$C$2:$C$8421,"&lt;"&amp;EDATE(B28,1))</f>
        <v>1293</v>
      </c>
      <c r="E28" s="12" t="n">
        <f aca="false">C28/C27-1</f>
        <v>0.0883750806175434</v>
      </c>
    </row>
    <row r="29" customFormat="false" ht="15" hidden="false" customHeight="false" outlineLevel="0" collapsed="false">
      <c r="A29" s="6" t="s">
        <v>36</v>
      </c>
      <c r="B29" s="20" t="n">
        <v>46204</v>
      </c>
      <c r="C29" s="10" t="n">
        <f aca="false">SUMIFS(Transaction!$H$2:$H$8421,Transaction!$C$2:$C$8421,"&gt;="&amp;B29,Transaction!$C$2:$C$8421,"&lt;"&amp;EDATE(B29,1))</f>
        <v>2752879</v>
      </c>
      <c r="D29" s="7" t="n">
        <f aca="false">COUNTIFS(Transaction!$C$2:$C$8421,"&gt;="&amp;B29,Transaction!$C$2:$C$8421,"&lt;"&amp;EDATE(B29,1))</f>
        <v>1199</v>
      </c>
      <c r="E29" s="12" t="n">
        <f aca="false">C29/C28-1</f>
        <v>0.0992441914789457</v>
      </c>
    </row>
    <row r="30" customFormat="false" ht="15" hidden="false" customHeight="false" outlineLevel="0" collapsed="false">
      <c r="A30" s="6" t="s">
        <v>37</v>
      </c>
      <c r="B30" s="20" t="n">
        <v>46235</v>
      </c>
      <c r="C30" s="10" t="n">
        <f aca="false">SUMIFS(Transaction!$H$2:$H$8421,Transaction!$C$2:$C$8421,"&gt;="&amp;B30,Transaction!$C$2:$C$8421,"&lt;"&amp;EDATE(B30,1))</f>
        <v>3299909</v>
      </c>
      <c r="D30" s="7" t="n">
        <f aca="false">COUNTIFS(Transaction!$C$2:$C$8421,"&gt;="&amp;B30,Transaction!$C$2:$C$8421,"&lt;"&amp;EDATE(B30,1))</f>
        <v>1330</v>
      </c>
      <c r="E30" s="12" t="n">
        <f aca="false">C30/C29-1</f>
        <v>0.198711966635657</v>
      </c>
    </row>
    <row r="31" customFormat="false" ht="15" hidden="false" customHeight="false" outlineLevel="0" collapsed="false">
      <c r="A31" s="3" t="s">
        <v>25</v>
      </c>
      <c r="C31" s="16" t="n">
        <f aca="false">SUM(C23:C30)</f>
        <v>18608200</v>
      </c>
      <c r="D31" s="18" t="n">
        <f aca="false">SUM(D23:D30)</f>
        <v>8420</v>
      </c>
    </row>
    <row r="33" customFormat="false" ht="15" hidden="false" customHeight="false" outlineLevel="0" collapsed="false">
      <c r="A33" s="14" t="s">
        <v>38</v>
      </c>
    </row>
    <row r="34" customFormat="false" ht="15" hidden="false" customHeight="false" outlineLevel="0" collapsed="false">
      <c r="A34" s="5" t="s">
        <v>39</v>
      </c>
      <c r="B34" s="5" t="s">
        <v>40</v>
      </c>
      <c r="C34" s="5" t="s">
        <v>41</v>
      </c>
      <c r="D34" s="5" t="s">
        <v>5</v>
      </c>
      <c r="E34" s="5" t="s">
        <v>6</v>
      </c>
      <c r="F34" s="5" t="s">
        <v>42</v>
      </c>
      <c r="G34" s="5" t="s">
        <v>43</v>
      </c>
      <c r="H34" s="5" t="s">
        <v>44</v>
      </c>
    </row>
    <row r="35" customFormat="false" ht="15" hidden="false" customHeight="false" outlineLevel="0" collapsed="false">
      <c r="A35" s="6" t="s">
        <v>45</v>
      </c>
      <c r="B35" s="7" t="n">
        <f aca="false">COUNTIF(Customer!$O$2:$O$2501,A35)</f>
        <v>450</v>
      </c>
      <c r="C35" s="12" t="n">
        <f aca="false">B35/$B$6</f>
        <v>0.18</v>
      </c>
      <c r="D35" s="21" t="n">
        <v>0.18</v>
      </c>
      <c r="E35" s="9" t="str">
        <f aca="false">IF(ROUND(C35,2)=D35,"✓","✗")</f>
        <v>✓</v>
      </c>
      <c r="F35" s="22" t="n">
        <f aca="false">AVERAGEIF(Customer!$O$2:$O$2501,A35,Customer!$M$2:$M$2501)</f>
        <v>12.2066666666667</v>
      </c>
      <c r="G35" s="23" t="n">
        <f aca="false">AVERAGEIF(Customer!$O$2:$O$2501,A35,Customer!$K$2:$K$2501)</f>
        <v>9.33333333333333</v>
      </c>
      <c r="H35" s="10" t="n">
        <f aca="false">AVERAGEIF(Customer!$O$2:$O$2501,A35,Customer!$L$2:$L$2501)</f>
        <v>20563.1066666667</v>
      </c>
    </row>
    <row r="36" customFormat="false" ht="15" hidden="false" customHeight="false" outlineLevel="0" collapsed="false">
      <c r="A36" s="6" t="s">
        <v>46</v>
      </c>
      <c r="B36" s="7" t="n">
        <f aca="false">COUNTIF(Customer!$O$2:$O$2501,A36)</f>
        <v>600</v>
      </c>
      <c r="C36" s="12" t="n">
        <f aca="false">B36/$B$6</f>
        <v>0.24</v>
      </c>
      <c r="D36" s="21" t="n">
        <v>0.24</v>
      </c>
      <c r="E36" s="9" t="str">
        <f aca="false">IF(ROUND(C36,2)=D36,"✓","✗")</f>
        <v>✓</v>
      </c>
      <c r="F36" s="22" t="n">
        <f aca="false">AVERAGEIF(Customer!$O$2:$O$2501,A36,Customer!$M$2:$M$2501)</f>
        <v>50.3916666666667</v>
      </c>
      <c r="G36" s="23" t="n">
        <f aca="false">AVERAGEIF(Customer!$O$2:$O$2501,A36,Customer!$K$2:$K$2501)</f>
        <v>4.61666666666667</v>
      </c>
      <c r="H36" s="10" t="n">
        <f aca="false">AVERAGEIF(Customer!$O$2:$O$2501,A36,Customer!$L$2:$L$2501)</f>
        <v>10284.5516666667</v>
      </c>
    </row>
    <row r="37" customFormat="false" ht="15" hidden="false" customHeight="false" outlineLevel="0" collapsed="false">
      <c r="A37" s="6" t="s">
        <v>47</v>
      </c>
      <c r="B37" s="7" t="n">
        <f aca="false">COUNTIF(Customer!$O$2:$O$2501,A37)</f>
        <v>675</v>
      </c>
      <c r="C37" s="12" t="n">
        <f aca="false">B37/$B$6</f>
        <v>0.27</v>
      </c>
      <c r="D37" s="21" t="n">
        <v>0.27</v>
      </c>
      <c r="E37" s="9" t="str">
        <f aca="false">IF(ROUND(C37,2)=D37,"✓","✗")</f>
        <v>✓</v>
      </c>
      <c r="F37" s="22" t="n">
        <f aca="false">AVERAGEIF(Customer!$O$2:$O$2501,A37,Customer!$M$2:$M$2501)</f>
        <v>45.0044444444444</v>
      </c>
      <c r="G37" s="23" t="n">
        <f aca="false">AVERAGEIF(Customer!$O$2:$O$2501,A37,Customer!$K$2:$K$2501)</f>
        <v>1</v>
      </c>
      <c r="H37" s="10" t="n">
        <f aca="false">AVERAGEIF(Customer!$O$2:$O$2501,A37,Customer!$L$2:$L$2501)</f>
        <v>2139.22666666667</v>
      </c>
    </row>
    <row r="38" customFormat="false" ht="15" hidden="false" customHeight="false" outlineLevel="0" collapsed="false">
      <c r="A38" s="6" t="s">
        <v>48</v>
      </c>
      <c r="B38" s="7" t="n">
        <f aca="false">COUNTIF(Customer!$O$2:$O$2501,A38)</f>
        <v>425</v>
      </c>
      <c r="C38" s="12" t="n">
        <f aca="false">B38/$B$6</f>
        <v>0.17</v>
      </c>
      <c r="D38" s="21" t="n">
        <v>0.17</v>
      </c>
      <c r="E38" s="9" t="str">
        <f aca="false">IF(ROUND(C38,2)=D38,"✓","✗")</f>
        <v>✓</v>
      </c>
      <c r="F38" s="22" t="n">
        <f aca="false">AVERAGEIF(Customer!$O$2:$O$2501,A38,Customer!$M$2:$M$2501)</f>
        <v>122.543529411765</v>
      </c>
      <c r="G38" s="23" t="n">
        <f aca="false">AVERAGEIF(Customer!$O$2:$O$2501,A38,Customer!$K$2:$K$2501)</f>
        <v>1</v>
      </c>
      <c r="H38" s="10" t="n">
        <f aca="false">AVERAGEIF(Customer!$O$2:$O$2501,A38,Customer!$L$2:$L$2501)</f>
        <v>1952.66117647059</v>
      </c>
    </row>
    <row r="39" customFormat="false" ht="15" hidden="false" customHeight="false" outlineLevel="0" collapsed="false">
      <c r="A39" s="6" t="s">
        <v>49</v>
      </c>
      <c r="B39" s="7" t="n">
        <f aca="false">COUNTIF(Customer!$O$2:$O$2501,A39)</f>
        <v>350</v>
      </c>
      <c r="C39" s="12" t="n">
        <f aca="false">B39/$B$6</f>
        <v>0.14</v>
      </c>
      <c r="D39" s="21" t="n">
        <v>0.14</v>
      </c>
      <c r="E39" s="9" t="str">
        <f aca="false">IF(ROUND(C39,2)=D39,"✓","✗")</f>
        <v>✓</v>
      </c>
      <c r="F39" s="22" t="n">
        <f aca="false">AVERAGEIF(Customer!$O$2:$O$2501,A39,Customer!$M$2:$M$2501)</f>
        <v>196.808571428571</v>
      </c>
      <c r="G39" s="23" t="n">
        <f aca="false">AVERAGEIF(Customer!$O$2:$O$2501,A39,Customer!$K$2:$K$2501)</f>
        <v>1</v>
      </c>
      <c r="H39" s="10" t="n">
        <f aca="false">AVERAGEIF(Customer!$O$2:$O$2501,A39,Customer!$L$2:$L$2501)</f>
        <v>2600.60571428571</v>
      </c>
    </row>
    <row r="40" customFormat="false" ht="15" hidden="false" customHeight="false" outlineLevel="0" collapsed="false">
      <c r="A40" s="3" t="s">
        <v>25</v>
      </c>
      <c r="B40" s="18" t="n">
        <f aca="false">SUM(B35:B39)</f>
        <v>2500</v>
      </c>
      <c r="C40" s="17" t="n">
        <f aca="false">SUM(C35:C39)</f>
        <v>1</v>
      </c>
      <c r="D40" s="24" t="n">
        <f aca="false">SUM(D35:D39)</f>
        <v>1</v>
      </c>
    </row>
    <row r="42" customFormat="false" ht="15" hidden="false" customHeight="false" outlineLevel="0" collapsed="false">
      <c r="A42" s="14" t="s">
        <v>50</v>
      </c>
    </row>
    <row r="43" customFormat="false" ht="15" hidden="false" customHeight="false" outlineLevel="0" collapsed="false">
      <c r="A43" s="6" t="s">
        <v>51</v>
      </c>
    </row>
    <row r="44" customFormat="false" ht="15" hidden="false" customHeight="false" outlineLevel="0" collapsed="false">
      <c r="A44" s="6" t="s">
        <v>52</v>
      </c>
    </row>
    <row r="45" customFormat="false" ht="15" hidden="false" customHeight="false" outlineLevel="0" collapsed="false">
      <c r="A45" s="6" t="s">
        <v>53</v>
      </c>
    </row>
    <row r="46" customFormat="false" ht="15" hidden="false" customHeight="false" outlineLevel="0" collapsed="false">
      <c r="A46" s="6" t="s">
        <v>54</v>
      </c>
    </row>
    <row r="47" customFormat="false" ht="15" hidden="false" customHeight="false" outlineLevel="0" collapsed="false">
      <c r="A47" s="6" t="s">
        <v>55</v>
      </c>
    </row>
    <row r="48" customFormat="false" ht="15" hidden="false" customHeight="false" outlineLevel="0" collapsed="false">
      <c r="A48" s="6" t="s">
        <v>56</v>
      </c>
    </row>
    <row r="49" customFormat="false" ht="15" hidden="false" customHeight="false" outlineLevel="0" collapsed="false">
      <c r="A49" s="6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7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3"/>
    <col collapsed="false" customWidth="true" hidden="false" outlineLevel="0" max="8" min="8" style="0" width="19"/>
    <col collapsed="false" customWidth="true" hidden="false" outlineLevel="0" max="10" min="9" style="0" width="14"/>
    <col collapsed="false" customWidth="true" hidden="false" outlineLevel="0" max="11" min="11" style="0" width="13"/>
    <col collapsed="false" customWidth="true" hidden="false" outlineLevel="0" max="12" min="12" style="0" width="14"/>
    <col collapsed="false" customWidth="true" hidden="false" outlineLevel="0" max="14" min="13" style="0" width="12"/>
    <col collapsed="false" customWidth="true" hidden="false" outlineLevel="0" max="15" min="15" style="0" width="20"/>
  </cols>
  <sheetData>
    <row r="1" customFormat="false" ht="30" hidden="false" customHeight="true" outlineLevel="0" collapsed="false">
      <c r="A1" s="25" t="s">
        <v>58</v>
      </c>
      <c r="B1" s="25" t="s">
        <v>59</v>
      </c>
      <c r="C1" s="25" t="s">
        <v>60</v>
      </c>
      <c r="D1" s="25" t="s">
        <v>61</v>
      </c>
      <c r="E1" s="25" t="s">
        <v>62</v>
      </c>
      <c r="F1" s="25" t="s">
        <v>63</v>
      </c>
      <c r="G1" s="25" t="s">
        <v>64</v>
      </c>
      <c r="H1" s="25" t="s">
        <v>65</v>
      </c>
      <c r="I1" s="25" t="s">
        <v>66</v>
      </c>
      <c r="J1" s="25" t="s">
        <v>67</v>
      </c>
      <c r="K1" s="25" t="s">
        <v>68</v>
      </c>
      <c r="L1" s="25" t="s">
        <v>69</v>
      </c>
      <c r="M1" s="25" t="s">
        <v>70</v>
      </c>
      <c r="N1" s="25" t="s">
        <v>71</v>
      </c>
      <c r="O1" s="25" t="s">
        <v>72</v>
      </c>
    </row>
    <row r="2" customFormat="false" ht="15" hidden="false" customHeight="false" outlineLevel="0" collapsed="false">
      <c r="A2" s="6" t="s">
        <v>73</v>
      </c>
      <c r="B2" s="6" t="s">
        <v>74</v>
      </c>
      <c r="C2" s="6" t="s">
        <v>75</v>
      </c>
      <c r="D2" s="6" t="n">
        <v>32</v>
      </c>
      <c r="E2" s="6" t="s">
        <v>76</v>
      </c>
      <c r="F2" s="6" t="s">
        <v>77</v>
      </c>
      <c r="G2" s="26" t="n">
        <v>46128</v>
      </c>
      <c r="H2" s="6" t="s">
        <v>78</v>
      </c>
      <c r="I2" s="26" t="n">
        <f aca="false">_xlfn.MINIFS(Transaction!$C$2:$C$8421,Transaction!$B$2:$B$8421,A2)</f>
        <v>46131</v>
      </c>
      <c r="J2" s="26" t="n">
        <f aca="false">_xlfn.MAXIFS(Transaction!$C$2:$C$8421,Transaction!$B$2:$B$8421,A2)</f>
        <v>46131</v>
      </c>
      <c r="K2" s="6" t="n">
        <f aca="false">COUNTIF(Transaction!$B$2:$B$8421,A2)</f>
        <v>1</v>
      </c>
      <c r="L2" s="10" t="n">
        <f aca="false">SUMIF(Transaction!$B$2:$B$8421,A2,Transaction!$H$2:$H$8421)</f>
        <v>2820</v>
      </c>
      <c r="M2" s="6" t="n">
        <f aca="false">Summary!$B$3-J2</f>
        <v>135</v>
      </c>
      <c r="N2" s="6" t="str">
        <f aca="false">IF(K2&gt;1,"Yes","No")</f>
        <v>No</v>
      </c>
      <c r="O2" s="6" t="s">
        <v>48</v>
      </c>
    </row>
    <row r="3" customFormat="false" ht="15" hidden="false" customHeight="false" outlineLevel="0" collapsed="false">
      <c r="A3" s="6" t="s">
        <v>79</v>
      </c>
      <c r="B3" s="6" t="s">
        <v>80</v>
      </c>
      <c r="C3" s="6" t="s">
        <v>75</v>
      </c>
      <c r="D3" s="6" t="n">
        <v>30</v>
      </c>
      <c r="E3" s="6" t="s">
        <v>81</v>
      </c>
      <c r="F3" s="6" t="s">
        <v>82</v>
      </c>
      <c r="G3" s="26" t="n">
        <v>46203</v>
      </c>
      <c r="H3" s="6" t="s">
        <v>78</v>
      </c>
      <c r="I3" s="26" t="n">
        <f aca="false">_xlfn.MINIFS(Transaction!$C$2:$C$8421,Transaction!$B$2:$B$8421,A3)</f>
        <v>46219</v>
      </c>
      <c r="J3" s="26" t="n">
        <f aca="false">_xlfn.MAXIFS(Transaction!$C$2:$C$8421,Transaction!$B$2:$B$8421,A3)</f>
        <v>46219</v>
      </c>
      <c r="K3" s="6" t="n">
        <f aca="false">COUNTIF(Transaction!$B$2:$B$8421,A3)</f>
        <v>1</v>
      </c>
      <c r="L3" s="10" t="n">
        <f aca="false">SUMIF(Transaction!$B$2:$B$8421,A3,Transaction!$H$2:$H$8421)</f>
        <v>54999</v>
      </c>
      <c r="M3" s="6" t="n">
        <f aca="false">Summary!$B$3-J3</f>
        <v>47</v>
      </c>
      <c r="N3" s="6" t="str">
        <f aca="false">IF(K3&gt;1,"Yes","No")</f>
        <v>No</v>
      </c>
      <c r="O3" s="6" t="s">
        <v>46</v>
      </c>
    </row>
    <row r="4" customFormat="false" ht="15" hidden="false" customHeight="false" outlineLevel="0" collapsed="false">
      <c r="A4" s="6" t="s">
        <v>83</v>
      </c>
      <c r="B4" s="6" t="s">
        <v>84</v>
      </c>
      <c r="C4" s="6" t="s">
        <v>85</v>
      </c>
      <c r="D4" s="6" t="n">
        <v>37</v>
      </c>
      <c r="E4" s="6" t="s">
        <v>86</v>
      </c>
      <c r="F4" s="6" t="s">
        <v>87</v>
      </c>
      <c r="G4" s="26" t="n">
        <v>46096</v>
      </c>
      <c r="H4" s="6" t="s">
        <v>88</v>
      </c>
      <c r="I4" s="26" t="n">
        <f aca="false">_xlfn.MINIFS(Transaction!$C$2:$C$8421,Transaction!$B$2:$B$8421,A4)</f>
        <v>46131</v>
      </c>
      <c r="J4" s="26" t="n">
        <f aca="false">_xlfn.MAXIFS(Transaction!$C$2:$C$8421,Transaction!$B$2:$B$8421,A4)</f>
        <v>46131</v>
      </c>
      <c r="K4" s="6" t="n">
        <f aca="false">COUNTIF(Transaction!$B$2:$B$8421,A4)</f>
        <v>1</v>
      </c>
      <c r="L4" s="10" t="n">
        <f aca="false">SUMIF(Transaction!$B$2:$B$8421,A4,Transaction!$H$2:$H$8421)</f>
        <v>782</v>
      </c>
      <c r="M4" s="6" t="n">
        <f aca="false">Summary!$B$3-J4</f>
        <v>135</v>
      </c>
      <c r="N4" s="6" t="str">
        <f aca="false">IF(K4&gt;1,"Yes","No")</f>
        <v>No</v>
      </c>
      <c r="O4" s="6" t="s">
        <v>48</v>
      </c>
    </row>
    <row r="5" customFormat="false" ht="15" hidden="false" customHeight="false" outlineLevel="0" collapsed="false">
      <c r="A5" s="6" t="s">
        <v>89</v>
      </c>
      <c r="B5" s="6" t="s">
        <v>90</v>
      </c>
      <c r="C5" s="6" t="s">
        <v>75</v>
      </c>
      <c r="D5" s="6" t="n">
        <v>30</v>
      </c>
      <c r="E5" s="6" t="s">
        <v>91</v>
      </c>
      <c r="F5" s="6" t="s">
        <v>77</v>
      </c>
      <c r="G5" s="26" t="n">
        <v>46193</v>
      </c>
      <c r="H5" s="6" t="s">
        <v>92</v>
      </c>
      <c r="I5" s="26" t="n">
        <f aca="false">_xlfn.MINIFS(Transaction!$C$2:$C$8421,Transaction!$B$2:$B$8421,A5)</f>
        <v>46193</v>
      </c>
      <c r="J5" s="26" t="n">
        <f aca="false">_xlfn.MAXIFS(Transaction!$C$2:$C$8421,Transaction!$B$2:$B$8421,A5)</f>
        <v>46193</v>
      </c>
      <c r="K5" s="6" t="n">
        <f aca="false">COUNTIF(Transaction!$B$2:$B$8421,A5)</f>
        <v>1</v>
      </c>
      <c r="L5" s="10" t="n">
        <f aca="false">SUMIF(Transaction!$B$2:$B$8421,A5,Transaction!$H$2:$H$8421)</f>
        <v>27999</v>
      </c>
      <c r="M5" s="6" t="n">
        <f aca="false">Summary!$B$3-J5</f>
        <v>73</v>
      </c>
      <c r="N5" s="6" t="str">
        <f aca="false">IF(K5&gt;1,"Yes","No")</f>
        <v>No</v>
      </c>
      <c r="O5" s="6" t="s">
        <v>46</v>
      </c>
    </row>
    <row r="6" customFormat="false" ht="15" hidden="false" customHeight="false" outlineLevel="0" collapsed="false">
      <c r="A6" s="6" t="s">
        <v>93</v>
      </c>
      <c r="B6" s="6" t="s">
        <v>94</v>
      </c>
      <c r="C6" s="6" t="s">
        <v>75</v>
      </c>
      <c r="D6" s="6" t="n">
        <v>25</v>
      </c>
      <c r="E6" s="6" t="s">
        <v>95</v>
      </c>
      <c r="F6" s="6" t="s">
        <v>95</v>
      </c>
      <c r="G6" s="26" t="n">
        <v>46152</v>
      </c>
      <c r="H6" s="6" t="s">
        <v>88</v>
      </c>
      <c r="I6" s="26" t="n">
        <f aca="false">_xlfn.MINIFS(Transaction!$C$2:$C$8421,Transaction!$B$2:$B$8421,A6)</f>
        <v>46190</v>
      </c>
      <c r="J6" s="26" t="n">
        <f aca="false">_xlfn.MAXIFS(Transaction!$C$2:$C$8421,Transaction!$B$2:$B$8421,A6)</f>
        <v>46190</v>
      </c>
      <c r="K6" s="6" t="n">
        <f aca="false">COUNTIF(Transaction!$B$2:$B$8421,A6)</f>
        <v>1</v>
      </c>
      <c r="L6" s="10" t="n">
        <f aca="false">SUMIF(Transaction!$B$2:$B$8421,A6,Transaction!$H$2:$H$8421)</f>
        <v>7335</v>
      </c>
      <c r="M6" s="6" t="n">
        <f aca="false">Summary!$B$3-J6</f>
        <v>76</v>
      </c>
      <c r="N6" s="6" t="str">
        <f aca="false">IF(K6&gt;1,"Yes","No")</f>
        <v>No</v>
      </c>
      <c r="O6" s="6" t="s">
        <v>47</v>
      </c>
    </row>
    <row r="7" customFormat="false" ht="15" hidden="false" customHeight="false" outlineLevel="0" collapsed="false">
      <c r="A7" s="6" t="s">
        <v>96</v>
      </c>
      <c r="B7" s="6" t="s">
        <v>97</v>
      </c>
      <c r="C7" s="6" t="s">
        <v>85</v>
      </c>
      <c r="D7" s="6" t="n">
        <v>40</v>
      </c>
      <c r="E7" s="6" t="s">
        <v>98</v>
      </c>
      <c r="F7" s="6" t="s">
        <v>99</v>
      </c>
      <c r="G7" s="26" t="n">
        <v>46127</v>
      </c>
      <c r="H7" s="6" t="s">
        <v>92</v>
      </c>
      <c r="I7" s="26" t="n">
        <f aca="false">_xlfn.MINIFS(Transaction!$C$2:$C$8421,Transaction!$B$2:$B$8421,A7)</f>
        <v>46209</v>
      </c>
      <c r="J7" s="26" t="n">
        <f aca="false">_xlfn.MAXIFS(Transaction!$C$2:$C$8421,Transaction!$B$2:$B$8421,A7)</f>
        <v>46209</v>
      </c>
      <c r="K7" s="6" t="n">
        <f aca="false">COUNTIF(Transaction!$B$2:$B$8421,A7)</f>
        <v>1</v>
      </c>
      <c r="L7" s="10" t="n">
        <f aca="false">SUMIF(Transaction!$B$2:$B$8421,A7,Transaction!$H$2:$H$8421)</f>
        <v>19999</v>
      </c>
      <c r="M7" s="6" t="n">
        <f aca="false">Summary!$B$3-J7</f>
        <v>57</v>
      </c>
      <c r="N7" s="6" t="str">
        <f aca="false">IF(K7&gt;1,"Yes","No")</f>
        <v>No</v>
      </c>
      <c r="O7" s="6" t="s">
        <v>46</v>
      </c>
    </row>
    <row r="8" customFormat="false" ht="15" hidden="false" customHeight="false" outlineLevel="0" collapsed="false">
      <c r="A8" s="6" t="s">
        <v>100</v>
      </c>
      <c r="B8" s="6" t="s">
        <v>101</v>
      </c>
      <c r="C8" s="6" t="s">
        <v>85</v>
      </c>
      <c r="D8" s="6" t="n">
        <v>47</v>
      </c>
      <c r="E8" s="6" t="s">
        <v>81</v>
      </c>
      <c r="F8" s="6" t="s">
        <v>82</v>
      </c>
      <c r="G8" s="26" t="n">
        <v>46192</v>
      </c>
      <c r="H8" s="6" t="s">
        <v>102</v>
      </c>
      <c r="I8" s="26" t="n">
        <f aca="false">_xlfn.MINIFS(Transaction!$C$2:$C$8421,Transaction!$B$2:$B$8421,A8)</f>
        <v>46228</v>
      </c>
      <c r="J8" s="26" t="n">
        <f aca="false">_xlfn.MAXIFS(Transaction!$C$2:$C$8421,Transaction!$B$2:$B$8421,A8)</f>
        <v>46228</v>
      </c>
      <c r="K8" s="6" t="n">
        <f aca="false">COUNTIF(Transaction!$B$2:$B$8421,A8)</f>
        <v>1</v>
      </c>
      <c r="L8" s="10" t="n">
        <f aca="false">SUMIF(Transaction!$B$2:$B$8421,A8,Transaction!$H$2:$H$8421)</f>
        <v>1277</v>
      </c>
      <c r="M8" s="6" t="n">
        <f aca="false">Summary!$B$3-J8</f>
        <v>38</v>
      </c>
      <c r="N8" s="6" t="str">
        <f aca="false">IF(K8&gt;1,"Yes","No")</f>
        <v>No</v>
      </c>
      <c r="O8" s="6" t="s">
        <v>47</v>
      </c>
    </row>
    <row r="9" customFormat="false" ht="15" hidden="false" customHeight="false" outlineLevel="0" collapsed="false">
      <c r="A9" s="6" t="s">
        <v>103</v>
      </c>
      <c r="B9" s="6" t="s">
        <v>104</v>
      </c>
      <c r="C9" s="6" t="s">
        <v>85</v>
      </c>
      <c r="D9" s="6" t="n">
        <v>36</v>
      </c>
      <c r="E9" s="6" t="s">
        <v>105</v>
      </c>
      <c r="F9" s="6" t="s">
        <v>106</v>
      </c>
      <c r="G9" s="26" t="n">
        <v>46204</v>
      </c>
      <c r="H9" s="6" t="s">
        <v>78</v>
      </c>
      <c r="I9" s="26" t="n">
        <f aca="false">_xlfn.MINIFS(Transaction!$C$2:$C$8421,Transaction!$B$2:$B$8421,A9)</f>
        <v>46238</v>
      </c>
      <c r="J9" s="26" t="n">
        <f aca="false">_xlfn.MAXIFS(Transaction!$C$2:$C$8421,Transaction!$B$2:$B$8421,A9)</f>
        <v>46238</v>
      </c>
      <c r="K9" s="6" t="n">
        <f aca="false">COUNTIF(Transaction!$B$2:$B$8421,A9)</f>
        <v>1</v>
      </c>
      <c r="L9" s="10" t="n">
        <f aca="false">SUMIF(Transaction!$B$2:$B$8421,A9,Transaction!$H$2:$H$8421)</f>
        <v>9686</v>
      </c>
      <c r="M9" s="6" t="n">
        <f aca="false">Summary!$B$3-J9</f>
        <v>28</v>
      </c>
      <c r="N9" s="6" t="str">
        <f aca="false">IF(K9&gt;1,"Yes","No")</f>
        <v>No</v>
      </c>
      <c r="O9" s="6" t="s">
        <v>47</v>
      </c>
    </row>
    <row r="10" customFormat="false" ht="15" hidden="false" customHeight="false" outlineLevel="0" collapsed="false">
      <c r="A10" s="6" t="s">
        <v>107</v>
      </c>
      <c r="B10" s="6" t="s">
        <v>108</v>
      </c>
      <c r="C10" s="6" t="s">
        <v>85</v>
      </c>
      <c r="D10" s="6" t="n">
        <v>29</v>
      </c>
      <c r="E10" s="6" t="s">
        <v>95</v>
      </c>
      <c r="F10" s="6" t="s">
        <v>95</v>
      </c>
      <c r="G10" s="26" t="n">
        <v>46201</v>
      </c>
      <c r="H10" s="6" t="s">
        <v>102</v>
      </c>
      <c r="I10" s="26" t="n">
        <f aca="false">_xlfn.MINIFS(Transaction!$C$2:$C$8421,Transaction!$B$2:$B$8421,A10)</f>
        <v>46210</v>
      </c>
      <c r="J10" s="26" t="n">
        <f aca="false">_xlfn.MAXIFS(Transaction!$C$2:$C$8421,Transaction!$B$2:$B$8421,A10)</f>
        <v>46210</v>
      </c>
      <c r="K10" s="6" t="n">
        <f aca="false">COUNTIF(Transaction!$B$2:$B$8421,A10)</f>
        <v>1</v>
      </c>
      <c r="L10" s="10" t="n">
        <f aca="false">SUMIF(Transaction!$B$2:$B$8421,A10,Transaction!$H$2:$H$8421)</f>
        <v>1179</v>
      </c>
      <c r="M10" s="6" t="n">
        <f aca="false">Summary!$B$3-J10</f>
        <v>56</v>
      </c>
      <c r="N10" s="6" t="str">
        <f aca="false">IF(K10&gt;1,"Yes","No")</f>
        <v>No</v>
      </c>
      <c r="O10" s="6" t="s">
        <v>47</v>
      </c>
    </row>
    <row r="11" customFormat="false" ht="15" hidden="false" customHeight="false" outlineLevel="0" collapsed="false">
      <c r="A11" s="6" t="s">
        <v>109</v>
      </c>
      <c r="B11" s="6" t="s">
        <v>110</v>
      </c>
      <c r="C11" s="6" t="s">
        <v>85</v>
      </c>
      <c r="D11" s="6" t="n">
        <v>28</v>
      </c>
      <c r="E11" s="6" t="s">
        <v>95</v>
      </c>
      <c r="F11" s="6" t="s">
        <v>95</v>
      </c>
      <c r="G11" s="26" t="n">
        <v>46121</v>
      </c>
      <c r="H11" s="6" t="s">
        <v>92</v>
      </c>
      <c r="I11" s="26" t="n">
        <f aca="false">_xlfn.MINIFS(Transaction!$C$2:$C$8421,Transaction!$B$2:$B$8421,A11)</f>
        <v>46207</v>
      </c>
      <c r="J11" s="26" t="n">
        <f aca="false">_xlfn.MAXIFS(Transaction!$C$2:$C$8421,Transaction!$B$2:$B$8421,A11)</f>
        <v>46207</v>
      </c>
      <c r="K11" s="6" t="n">
        <f aca="false">COUNTIF(Transaction!$B$2:$B$8421,A11)</f>
        <v>1</v>
      </c>
      <c r="L11" s="10" t="n">
        <f aca="false">SUMIF(Transaction!$B$2:$B$8421,A11,Transaction!$H$2:$H$8421)</f>
        <v>3132</v>
      </c>
      <c r="M11" s="6" t="n">
        <f aca="false">Summary!$B$3-J11</f>
        <v>59</v>
      </c>
      <c r="N11" s="6" t="str">
        <f aca="false">IF(K11&gt;1,"Yes","No")</f>
        <v>No</v>
      </c>
      <c r="O11" s="6" t="s">
        <v>47</v>
      </c>
    </row>
    <row r="12" customFormat="false" ht="15" hidden="false" customHeight="false" outlineLevel="0" collapsed="false">
      <c r="A12" s="6" t="s">
        <v>111</v>
      </c>
      <c r="B12" s="6" t="s">
        <v>112</v>
      </c>
      <c r="C12" s="6" t="s">
        <v>85</v>
      </c>
      <c r="D12" s="6" t="n">
        <v>33</v>
      </c>
      <c r="E12" s="6" t="s">
        <v>81</v>
      </c>
      <c r="F12" s="6" t="s">
        <v>82</v>
      </c>
      <c r="G12" s="26" t="n">
        <v>46220</v>
      </c>
      <c r="H12" s="6" t="s">
        <v>88</v>
      </c>
      <c r="I12" s="26" t="n">
        <f aca="false">_xlfn.MINIFS(Transaction!$C$2:$C$8421,Transaction!$B$2:$B$8421,A12)</f>
        <v>46262</v>
      </c>
      <c r="J12" s="26" t="n">
        <f aca="false">_xlfn.MAXIFS(Transaction!$C$2:$C$8421,Transaction!$B$2:$B$8421,A12)</f>
        <v>46262</v>
      </c>
      <c r="K12" s="6" t="n">
        <f aca="false">COUNTIF(Transaction!$B$2:$B$8421,A12)</f>
        <v>1</v>
      </c>
      <c r="L12" s="10" t="n">
        <f aca="false">SUMIF(Transaction!$B$2:$B$8421,A12,Transaction!$H$2:$H$8421)</f>
        <v>3128</v>
      </c>
      <c r="M12" s="6" t="n">
        <f aca="false">Summary!$B$3-J12</f>
        <v>4</v>
      </c>
      <c r="N12" s="6" t="str">
        <f aca="false">IF(K12&gt;1,"Yes","No")</f>
        <v>No</v>
      </c>
      <c r="O12" s="6" t="s">
        <v>47</v>
      </c>
    </row>
    <row r="13" customFormat="false" ht="15" hidden="false" customHeight="false" outlineLevel="0" collapsed="false">
      <c r="A13" s="6" t="s">
        <v>113</v>
      </c>
      <c r="B13" s="6" t="s">
        <v>114</v>
      </c>
      <c r="C13" s="6" t="s">
        <v>75</v>
      </c>
      <c r="D13" s="6" t="n">
        <v>38</v>
      </c>
      <c r="E13" s="6" t="s">
        <v>95</v>
      </c>
      <c r="F13" s="6" t="s">
        <v>95</v>
      </c>
      <c r="G13" s="26" t="n">
        <v>46176</v>
      </c>
      <c r="H13" s="6" t="s">
        <v>115</v>
      </c>
      <c r="I13" s="26" t="n">
        <f aca="false">_xlfn.MINIFS(Transaction!$C$2:$C$8421,Transaction!$B$2:$B$8421,A13)</f>
        <v>46199</v>
      </c>
      <c r="J13" s="26" t="n">
        <f aca="false">_xlfn.MAXIFS(Transaction!$C$2:$C$8421,Transaction!$B$2:$B$8421,A13)</f>
        <v>46199</v>
      </c>
      <c r="K13" s="6" t="n">
        <f aca="false">COUNTIF(Transaction!$B$2:$B$8421,A13)</f>
        <v>1</v>
      </c>
      <c r="L13" s="10" t="n">
        <f aca="false">SUMIF(Transaction!$B$2:$B$8421,A13,Transaction!$H$2:$H$8421)</f>
        <v>27999</v>
      </c>
      <c r="M13" s="6" t="n">
        <f aca="false">Summary!$B$3-J13</f>
        <v>67</v>
      </c>
      <c r="N13" s="6" t="str">
        <f aca="false">IF(K13&gt;1,"Yes","No")</f>
        <v>No</v>
      </c>
      <c r="O13" s="6" t="s">
        <v>46</v>
      </c>
    </row>
    <row r="14" customFormat="false" ht="15" hidden="false" customHeight="false" outlineLevel="0" collapsed="false">
      <c r="A14" s="6" t="s">
        <v>116</v>
      </c>
      <c r="B14" s="6" t="s">
        <v>117</v>
      </c>
      <c r="C14" s="6" t="s">
        <v>85</v>
      </c>
      <c r="D14" s="6" t="n">
        <v>24</v>
      </c>
      <c r="E14" s="6" t="s">
        <v>118</v>
      </c>
      <c r="F14" s="6" t="s">
        <v>77</v>
      </c>
      <c r="G14" s="26" t="n">
        <v>46082</v>
      </c>
      <c r="H14" s="6" t="s">
        <v>78</v>
      </c>
      <c r="I14" s="26" t="n">
        <f aca="false">_xlfn.MINIFS(Transaction!$C$2:$C$8421,Transaction!$B$2:$B$8421,A14)</f>
        <v>46165</v>
      </c>
      <c r="J14" s="26" t="n">
        <f aca="false">_xlfn.MAXIFS(Transaction!$C$2:$C$8421,Transaction!$B$2:$B$8421,A14)</f>
        <v>46165</v>
      </c>
      <c r="K14" s="6" t="n">
        <f aca="false">COUNTIF(Transaction!$B$2:$B$8421,A14)</f>
        <v>1</v>
      </c>
      <c r="L14" s="10" t="n">
        <f aca="false">SUMIF(Transaction!$B$2:$B$8421,A14,Transaction!$H$2:$H$8421)</f>
        <v>1564</v>
      </c>
      <c r="M14" s="6" t="n">
        <f aca="false">Summary!$B$3-J14</f>
        <v>101</v>
      </c>
      <c r="N14" s="6" t="str">
        <f aca="false">IF(K14&gt;1,"Yes","No")</f>
        <v>No</v>
      </c>
      <c r="O14" s="6" t="s">
        <v>48</v>
      </c>
    </row>
    <row r="15" customFormat="false" ht="15" hidden="false" customHeight="false" outlineLevel="0" collapsed="false">
      <c r="A15" s="6" t="s">
        <v>119</v>
      </c>
      <c r="B15" s="6" t="s">
        <v>120</v>
      </c>
      <c r="C15" s="6" t="s">
        <v>75</v>
      </c>
      <c r="D15" s="6" t="n">
        <v>31</v>
      </c>
      <c r="E15" s="6" t="s">
        <v>121</v>
      </c>
      <c r="F15" s="6" t="s">
        <v>122</v>
      </c>
      <c r="G15" s="26" t="n">
        <v>46086</v>
      </c>
      <c r="H15" s="6" t="s">
        <v>123</v>
      </c>
      <c r="I15" s="26" t="n">
        <f aca="false">_xlfn.MINIFS(Transaction!$C$2:$C$8421,Transaction!$B$2:$B$8421,A15)</f>
        <v>46166</v>
      </c>
      <c r="J15" s="26" t="n">
        <f aca="false">_xlfn.MAXIFS(Transaction!$C$2:$C$8421,Transaction!$B$2:$B$8421,A15)</f>
        <v>46166</v>
      </c>
      <c r="K15" s="6" t="n">
        <f aca="false">COUNTIF(Transaction!$B$2:$B$8421,A15)</f>
        <v>1</v>
      </c>
      <c r="L15" s="10" t="n">
        <f aca="false">SUMIF(Transaction!$B$2:$B$8421,A15,Transaction!$H$2:$H$8421)</f>
        <v>977</v>
      </c>
      <c r="M15" s="6" t="n">
        <f aca="false">Summary!$B$3-J15</f>
        <v>100</v>
      </c>
      <c r="N15" s="6" t="str">
        <f aca="false">IF(K15&gt;1,"Yes","No")</f>
        <v>No</v>
      </c>
      <c r="O15" s="6" t="s">
        <v>48</v>
      </c>
    </row>
    <row r="16" customFormat="false" ht="15" hidden="false" customHeight="false" outlineLevel="0" collapsed="false">
      <c r="A16" s="6" t="s">
        <v>124</v>
      </c>
      <c r="B16" s="6" t="s">
        <v>125</v>
      </c>
      <c r="C16" s="6" t="s">
        <v>75</v>
      </c>
      <c r="D16" s="6" t="n">
        <v>35</v>
      </c>
      <c r="E16" s="6" t="s">
        <v>126</v>
      </c>
      <c r="F16" s="6" t="s">
        <v>127</v>
      </c>
      <c r="G16" s="26" t="n">
        <v>46163</v>
      </c>
      <c r="H16" s="6" t="s">
        <v>102</v>
      </c>
      <c r="I16" s="26" t="n">
        <f aca="false">_xlfn.MINIFS(Transaction!$C$2:$C$8421,Transaction!$B$2:$B$8421,A16)</f>
        <v>46206</v>
      </c>
      <c r="J16" s="26" t="n">
        <f aca="false">_xlfn.MAXIFS(Transaction!$C$2:$C$8421,Transaction!$B$2:$B$8421,A16)</f>
        <v>46206</v>
      </c>
      <c r="K16" s="6" t="n">
        <f aca="false">COUNTIF(Transaction!$B$2:$B$8421,A16)</f>
        <v>1</v>
      </c>
      <c r="L16" s="10" t="n">
        <f aca="false">SUMIF(Transaction!$B$2:$B$8421,A16,Transaction!$H$2:$H$8421)</f>
        <v>42999</v>
      </c>
      <c r="M16" s="6" t="n">
        <f aca="false">Summary!$B$3-J16</f>
        <v>60</v>
      </c>
      <c r="N16" s="6" t="str">
        <f aca="false">IF(K16&gt;1,"Yes","No")</f>
        <v>No</v>
      </c>
      <c r="O16" s="6" t="s">
        <v>46</v>
      </c>
    </row>
    <row r="17" customFormat="false" ht="15" hidden="false" customHeight="false" outlineLevel="0" collapsed="false">
      <c r="A17" s="6" t="s">
        <v>128</v>
      </c>
      <c r="B17" s="6" t="s">
        <v>129</v>
      </c>
      <c r="C17" s="6" t="s">
        <v>75</v>
      </c>
      <c r="D17" s="6" t="n">
        <v>35</v>
      </c>
      <c r="E17" s="6" t="s">
        <v>105</v>
      </c>
      <c r="F17" s="6" t="s">
        <v>106</v>
      </c>
      <c r="G17" s="26" t="n">
        <v>45976</v>
      </c>
      <c r="H17" s="6" t="s">
        <v>78</v>
      </c>
      <c r="I17" s="26" t="n">
        <f aca="false">_xlfn.MINIFS(Transaction!$C$2:$C$8421,Transaction!$B$2:$B$8421,A17)</f>
        <v>46048</v>
      </c>
      <c r="J17" s="26" t="n">
        <f aca="false">_xlfn.MAXIFS(Transaction!$C$2:$C$8421,Transaction!$B$2:$B$8421,A17)</f>
        <v>46247</v>
      </c>
      <c r="K17" s="6" t="n">
        <f aca="false">COUNTIF(Transaction!$B$2:$B$8421,A17)</f>
        <v>9</v>
      </c>
      <c r="L17" s="10" t="n">
        <f aca="false">SUMIF(Transaction!$B$2:$B$8421,A17,Transaction!$H$2:$H$8421)</f>
        <v>15642</v>
      </c>
      <c r="M17" s="6" t="n">
        <f aca="false">Summary!$B$3-J17</f>
        <v>19</v>
      </c>
      <c r="N17" s="6" t="str">
        <f aca="false">IF(K17&gt;1,"Yes","No")</f>
        <v>Yes</v>
      </c>
      <c r="O17" s="6" t="s">
        <v>45</v>
      </c>
    </row>
    <row r="18" customFormat="false" ht="15" hidden="false" customHeight="false" outlineLevel="0" collapsed="false">
      <c r="A18" s="6" t="s">
        <v>130</v>
      </c>
      <c r="B18" s="6" t="s">
        <v>131</v>
      </c>
      <c r="C18" s="6" t="s">
        <v>75</v>
      </c>
      <c r="D18" s="6" t="n">
        <v>30</v>
      </c>
      <c r="E18" s="6" t="s">
        <v>81</v>
      </c>
      <c r="F18" s="6" t="s">
        <v>82</v>
      </c>
      <c r="G18" s="26" t="n">
        <v>46011</v>
      </c>
      <c r="H18" s="6" t="s">
        <v>115</v>
      </c>
      <c r="I18" s="26" t="n">
        <f aca="false">_xlfn.MINIFS(Transaction!$C$2:$C$8421,Transaction!$B$2:$B$8421,A18)</f>
        <v>46099</v>
      </c>
      <c r="J18" s="26" t="n">
        <f aca="false">_xlfn.MAXIFS(Transaction!$C$2:$C$8421,Transaction!$B$2:$B$8421,A18)</f>
        <v>46259</v>
      </c>
      <c r="K18" s="6" t="n">
        <f aca="false">COUNTIF(Transaction!$B$2:$B$8421,A18)</f>
        <v>8</v>
      </c>
      <c r="L18" s="10" t="n">
        <f aca="false">SUMIF(Transaction!$B$2:$B$8421,A18,Transaction!$H$2:$H$8421)</f>
        <v>26642</v>
      </c>
      <c r="M18" s="6" t="n">
        <f aca="false">Summary!$B$3-J18</f>
        <v>7</v>
      </c>
      <c r="N18" s="6" t="str">
        <f aca="false">IF(K18&gt;1,"Yes","No")</f>
        <v>Yes</v>
      </c>
      <c r="O18" s="6" t="s">
        <v>45</v>
      </c>
    </row>
    <row r="19" customFormat="false" ht="15" hidden="false" customHeight="false" outlineLevel="0" collapsed="false">
      <c r="A19" s="6" t="s">
        <v>132</v>
      </c>
      <c r="B19" s="6" t="s">
        <v>133</v>
      </c>
      <c r="C19" s="6" t="s">
        <v>75</v>
      </c>
      <c r="D19" s="6" t="n">
        <v>36</v>
      </c>
      <c r="E19" s="6" t="s">
        <v>134</v>
      </c>
      <c r="F19" s="6" t="s">
        <v>135</v>
      </c>
      <c r="G19" s="26" t="n">
        <v>46120</v>
      </c>
      <c r="H19" s="6" t="s">
        <v>92</v>
      </c>
      <c r="I19" s="26" t="n">
        <f aca="false">_xlfn.MINIFS(Transaction!$C$2:$C$8421,Transaction!$B$2:$B$8421,A19)</f>
        <v>46201</v>
      </c>
      <c r="J19" s="26" t="n">
        <f aca="false">_xlfn.MAXIFS(Transaction!$C$2:$C$8421,Transaction!$B$2:$B$8421,A19)</f>
        <v>46201</v>
      </c>
      <c r="K19" s="6" t="n">
        <f aca="false">COUNTIF(Transaction!$B$2:$B$8421,A19)</f>
        <v>1</v>
      </c>
      <c r="L19" s="10" t="n">
        <f aca="false">SUMIF(Transaction!$B$2:$B$8421,A19,Transaction!$H$2:$H$8421)</f>
        <v>1466</v>
      </c>
      <c r="M19" s="6" t="n">
        <f aca="false">Summary!$B$3-J19</f>
        <v>65</v>
      </c>
      <c r="N19" s="6" t="str">
        <f aca="false">IF(K19&gt;1,"Yes","No")</f>
        <v>No</v>
      </c>
      <c r="O19" s="6" t="s">
        <v>47</v>
      </c>
    </row>
    <row r="20" customFormat="false" ht="15" hidden="false" customHeight="false" outlineLevel="0" collapsed="false">
      <c r="A20" s="6" t="s">
        <v>136</v>
      </c>
      <c r="B20" s="6" t="s">
        <v>137</v>
      </c>
      <c r="C20" s="6" t="s">
        <v>85</v>
      </c>
      <c r="D20" s="6" t="n">
        <v>32</v>
      </c>
      <c r="E20" s="6" t="s">
        <v>86</v>
      </c>
      <c r="F20" s="6" t="s">
        <v>87</v>
      </c>
      <c r="G20" s="26" t="n">
        <v>46011</v>
      </c>
      <c r="H20" s="6" t="s">
        <v>88</v>
      </c>
      <c r="I20" s="26" t="n">
        <f aca="false">_xlfn.MINIFS(Transaction!$C$2:$C$8421,Transaction!$B$2:$B$8421,A20)</f>
        <v>46053</v>
      </c>
      <c r="J20" s="26" t="n">
        <f aca="false">_xlfn.MAXIFS(Transaction!$C$2:$C$8421,Transaction!$B$2:$B$8421,A20)</f>
        <v>46181</v>
      </c>
      <c r="K20" s="6" t="n">
        <f aca="false">COUNTIF(Transaction!$B$2:$B$8421,A20)</f>
        <v>4</v>
      </c>
      <c r="L20" s="10" t="n">
        <f aca="false">SUMIF(Transaction!$B$2:$B$8421,A20,Transaction!$H$2:$H$8421)</f>
        <v>4135</v>
      </c>
      <c r="M20" s="6" t="n">
        <f aca="false">Summary!$B$3-J20</f>
        <v>85</v>
      </c>
      <c r="N20" s="6" t="str">
        <f aca="false">IF(K20&gt;1,"Yes","No")</f>
        <v>Yes</v>
      </c>
      <c r="O20" s="6" t="s">
        <v>46</v>
      </c>
    </row>
    <row r="21" customFormat="false" ht="15" hidden="false" customHeight="false" outlineLevel="0" collapsed="false">
      <c r="A21" s="6" t="s">
        <v>138</v>
      </c>
      <c r="B21" s="6" t="s">
        <v>139</v>
      </c>
      <c r="C21" s="6" t="s">
        <v>75</v>
      </c>
      <c r="D21" s="6" t="n">
        <v>23</v>
      </c>
      <c r="E21" s="6" t="s">
        <v>140</v>
      </c>
      <c r="F21" s="6" t="s">
        <v>141</v>
      </c>
      <c r="G21" s="26" t="n">
        <v>46041</v>
      </c>
      <c r="H21" s="6" t="s">
        <v>102</v>
      </c>
      <c r="I21" s="26" t="n">
        <f aca="false">_xlfn.MINIFS(Transaction!$C$2:$C$8421,Transaction!$B$2:$B$8421,A21)</f>
        <v>46058</v>
      </c>
      <c r="J21" s="26" t="n">
        <f aca="false">_xlfn.MAXIFS(Transaction!$C$2:$C$8421,Transaction!$B$2:$B$8421,A21)</f>
        <v>46257</v>
      </c>
      <c r="K21" s="6" t="n">
        <f aca="false">COUNTIF(Transaction!$B$2:$B$8421,A21)</f>
        <v>9</v>
      </c>
      <c r="L21" s="10" t="n">
        <f aca="false">SUMIF(Transaction!$B$2:$B$8421,A21,Transaction!$H$2:$H$8421)</f>
        <v>11214</v>
      </c>
      <c r="M21" s="6" t="n">
        <f aca="false">Summary!$B$3-J21</f>
        <v>9</v>
      </c>
      <c r="N21" s="6" t="str">
        <f aca="false">IF(K21&gt;1,"Yes","No")</f>
        <v>Yes</v>
      </c>
      <c r="O21" s="6" t="s">
        <v>45</v>
      </c>
    </row>
    <row r="22" customFormat="false" ht="15" hidden="false" customHeight="false" outlineLevel="0" collapsed="false">
      <c r="A22" s="6" t="s">
        <v>142</v>
      </c>
      <c r="B22" s="6" t="s">
        <v>143</v>
      </c>
      <c r="C22" s="6" t="s">
        <v>85</v>
      </c>
      <c r="D22" s="6" t="n">
        <v>38</v>
      </c>
      <c r="E22" s="6" t="s">
        <v>91</v>
      </c>
      <c r="F22" s="6" t="s">
        <v>77</v>
      </c>
      <c r="G22" s="26" t="n">
        <v>46085</v>
      </c>
      <c r="H22" s="6" t="s">
        <v>115</v>
      </c>
      <c r="I22" s="26" t="n">
        <f aca="false">_xlfn.MINIFS(Transaction!$C$2:$C$8421,Transaction!$B$2:$B$8421,A22)</f>
        <v>46150</v>
      </c>
      <c r="J22" s="26" t="n">
        <f aca="false">_xlfn.MAXIFS(Transaction!$C$2:$C$8421,Transaction!$B$2:$B$8421,A22)</f>
        <v>46150</v>
      </c>
      <c r="K22" s="6" t="n">
        <f aca="false">COUNTIF(Transaction!$B$2:$B$8421,A22)</f>
        <v>1</v>
      </c>
      <c r="L22" s="10" t="n">
        <f aca="false">SUMIF(Transaction!$B$2:$B$8421,A22,Transaction!$H$2:$H$8421)</f>
        <v>1213</v>
      </c>
      <c r="M22" s="6" t="n">
        <f aca="false">Summary!$B$3-J22</f>
        <v>116</v>
      </c>
      <c r="N22" s="6" t="str">
        <f aca="false">IF(K22&gt;1,"Yes","No")</f>
        <v>No</v>
      </c>
      <c r="O22" s="6" t="s">
        <v>48</v>
      </c>
    </row>
    <row r="23" customFormat="false" ht="15" hidden="false" customHeight="false" outlineLevel="0" collapsed="false">
      <c r="A23" s="6" t="s">
        <v>144</v>
      </c>
      <c r="B23" s="6" t="s">
        <v>145</v>
      </c>
      <c r="C23" s="6" t="s">
        <v>85</v>
      </c>
      <c r="D23" s="6" t="n">
        <v>40</v>
      </c>
      <c r="E23" s="6" t="s">
        <v>146</v>
      </c>
      <c r="F23" s="6" t="s">
        <v>147</v>
      </c>
      <c r="G23" s="26" t="n">
        <v>46119</v>
      </c>
      <c r="H23" s="6" t="s">
        <v>123</v>
      </c>
      <c r="I23" s="26" t="n">
        <f aca="false">_xlfn.MINIFS(Transaction!$C$2:$C$8421,Transaction!$B$2:$B$8421,A23)</f>
        <v>46186</v>
      </c>
      <c r="J23" s="26" t="n">
        <f aca="false">_xlfn.MAXIFS(Transaction!$C$2:$C$8421,Transaction!$B$2:$B$8421,A23)</f>
        <v>46186</v>
      </c>
      <c r="K23" s="6" t="n">
        <f aca="false">COUNTIF(Transaction!$B$2:$B$8421,A23)</f>
        <v>1</v>
      </c>
      <c r="L23" s="10" t="n">
        <f aca="false">SUMIF(Transaction!$B$2:$B$8421,A23,Transaction!$H$2:$H$8421)</f>
        <v>3196</v>
      </c>
      <c r="M23" s="6" t="n">
        <f aca="false">Summary!$B$3-J23</f>
        <v>80</v>
      </c>
      <c r="N23" s="6" t="str">
        <f aca="false">IF(K23&gt;1,"Yes","No")</f>
        <v>No</v>
      </c>
      <c r="O23" s="6" t="s">
        <v>47</v>
      </c>
    </row>
    <row r="24" customFormat="false" ht="15" hidden="false" customHeight="false" outlineLevel="0" collapsed="false">
      <c r="A24" s="6" t="s">
        <v>148</v>
      </c>
      <c r="B24" s="6" t="s">
        <v>149</v>
      </c>
      <c r="C24" s="6" t="s">
        <v>75</v>
      </c>
      <c r="D24" s="6" t="n">
        <v>41</v>
      </c>
      <c r="E24" s="6" t="s">
        <v>81</v>
      </c>
      <c r="F24" s="6" t="s">
        <v>82</v>
      </c>
      <c r="G24" s="26" t="n">
        <v>46198</v>
      </c>
      <c r="H24" s="6" t="s">
        <v>115</v>
      </c>
      <c r="I24" s="26" t="n">
        <f aca="false">_xlfn.MINIFS(Transaction!$C$2:$C$8421,Transaction!$B$2:$B$8421,A24)</f>
        <v>46258</v>
      </c>
      <c r="J24" s="26" t="n">
        <f aca="false">_xlfn.MAXIFS(Transaction!$C$2:$C$8421,Transaction!$B$2:$B$8421,A24)</f>
        <v>46258</v>
      </c>
      <c r="K24" s="6" t="n">
        <f aca="false">COUNTIF(Transaction!$B$2:$B$8421,A24)</f>
        <v>1</v>
      </c>
      <c r="L24" s="10" t="n">
        <f aca="false">SUMIF(Transaction!$B$2:$B$8421,A24,Transaction!$H$2:$H$8421)</f>
        <v>2931</v>
      </c>
      <c r="M24" s="6" t="n">
        <f aca="false">Summary!$B$3-J24</f>
        <v>8</v>
      </c>
      <c r="N24" s="6" t="str">
        <f aca="false">IF(K24&gt;1,"Yes","No")</f>
        <v>No</v>
      </c>
      <c r="O24" s="6" t="s">
        <v>47</v>
      </c>
    </row>
    <row r="25" customFormat="false" ht="15" hidden="false" customHeight="false" outlineLevel="0" collapsed="false">
      <c r="A25" s="6" t="s">
        <v>150</v>
      </c>
      <c r="B25" s="6" t="s">
        <v>151</v>
      </c>
      <c r="C25" s="6" t="s">
        <v>75</v>
      </c>
      <c r="D25" s="6" t="n">
        <v>42</v>
      </c>
      <c r="E25" s="6" t="s">
        <v>91</v>
      </c>
      <c r="F25" s="6" t="s">
        <v>77</v>
      </c>
      <c r="G25" s="26" t="n">
        <v>46231</v>
      </c>
      <c r="H25" s="6" t="s">
        <v>115</v>
      </c>
      <c r="I25" s="26" t="n">
        <f aca="false">_xlfn.MINIFS(Transaction!$C$2:$C$8421,Transaction!$B$2:$B$8421,A25)</f>
        <v>46244</v>
      </c>
      <c r="J25" s="26" t="n">
        <f aca="false">_xlfn.MAXIFS(Transaction!$C$2:$C$8421,Transaction!$B$2:$B$8421,A25)</f>
        <v>46244</v>
      </c>
      <c r="K25" s="6" t="n">
        <f aca="false">COUNTIF(Transaction!$B$2:$B$8421,A25)</f>
        <v>1</v>
      </c>
      <c r="L25" s="10" t="n">
        <f aca="false">SUMIF(Transaction!$B$2:$B$8421,A25,Transaction!$H$2:$H$8421)</f>
        <v>1026</v>
      </c>
      <c r="M25" s="6" t="n">
        <f aca="false">Summary!$B$3-J25</f>
        <v>22</v>
      </c>
      <c r="N25" s="6" t="str">
        <f aca="false">IF(K25&gt;1,"Yes","No")</f>
        <v>No</v>
      </c>
      <c r="O25" s="6" t="s">
        <v>47</v>
      </c>
    </row>
    <row r="26" customFormat="false" ht="15" hidden="false" customHeight="false" outlineLevel="0" collapsed="false">
      <c r="A26" s="6" t="s">
        <v>152</v>
      </c>
      <c r="B26" s="6" t="s">
        <v>153</v>
      </c>
      <c r="C26" s="6" t="s">
        <v>85</v>
      </c>
      <c r="D26" s="6" t="n">
        <v>37</v>
      </c>
      <c r="E26" s="6" t="s">
        <v>95</v>
      </c>
      <c r="F26" s="6" t="s">
        <v>95</v>
      </c>
      <c r="G26" s="26" t="n">
        <v>46147</v>
      </c>
      <c r="H26" s="6" t="s">
        <v>88</v>
      </c>
      <c r="I26" s="26" t="n">
        <f aca="false">_xlfn.MINIFS(Transaction!$C$2:$C$8421,Transaction!$B$2:$B$8421,A26)</f>
        <v>46214</v>
      </c>
      <c r="J26" s="26" t="n">
        <f aca="false">_xlfn.MAXIFS(Transaction!$C$2:$C$8421,Transaction!$B$2:$B$8421,A26)</f>
        <v>46214</v>
      </c>
      <c r="K26" s="6" t="n">
        <f aca="false">COUNTIF(Transaction!$B$2:$B$8421,A26)</f>
        <v>1</v>
      </c>
      <c r="L26" s="10" t="n">
        <f aca="false">SUMIF(Transaction!$B$2:$B$8421,A26,Transaction!$H$2:$H$8421)</f>
        <v>411</v>
      </c>
      <c r="M26" s="6" t="n">
        <f aca="false">Summary!$B$3-J26</f>
        <v>52</v>
      </c>
      <c r="N26" s="6" t="str">
        <f aca="false">IF(K26&gt;1,"Yes","No")</f>
        <v>No</v>
      </c>
      <c r="O26" s="6" t="s">
        <v>47</v>
      </c>
    </row>
    <row r="27" customFormat="false" ht="15" hidden="false" customHeight="false" outlineLevel="0" collapsed="false">
      <c r="A27" s="6" t="s">
        <v>154</v>
      </c>
      <c r="B27" s="6" t="s">
        <v>155</v>
      </c>
      <c r="C27" s="6" t="s">
        <v>85</v>
      </c>
      <c r="D27" s="6" t="n">
        <v>29</v>
      </c>
      <c r="E27" s="6" t="s">
        <v>134</v>
      </c>
      <c r="F27" s="6" t="s">
        <v>135</v>
      </c>
      <c r="G27" s="26" t="n">
        <v>46059</v>
      </c>
      <c r="H27" s="6" t="s">
        <v>78</v>
      </c>
      <c r="I27" s="26" t="n">
        <f aca="false">_xlfn.MINIFS(Transaction!$C$2:$C$8421,Transaction!$B$2:$B$8421,A27)</f>
        <v>46078</v>
      </c>
      <c r="J27" s="26" t="n">
        <f aca="false">_xlfn.MAXIFS(Transaction!$C$2:$C$8421,Transaction!$B$2:$B$8421,A27)</f>
        <v>46262</v>
      </c>
      <c r="K27" s="6" t="n">
        <f aca="false">COUNTIF(Transaction!$B$2:$B$8421,A27)</f>
        <v>10</v>
      </c>
      <c r="L27" s="10" t="n">
        <f aca="false">SUMIF(Transaction!$B$2:$B$8421,A27,Transaction!$H$2:$H$8421)</f>
        <v>20258</v>
      </c>
      <c r="M27" s="6" t="n">
        <f aca="false">Summary!$B$3-J27</f>
        <v>4</v>
      </c>
      <c r="N27" s="6" t="str">
        <f aca="false">IF(K27&gt;1,"Yes","No")</f>
        <v>Yes</v>
      </c>
      <c r="O27" s="6" t="s">
        <v>45</v>
      </c>
    </row>
    <row r="28" customFormat="false" ht="15" hidden="false" customHeight="false" outlineLevel="0" collapsed="false">
      <c r="A28" s="6" t="s">
        <v>156</v>
      </c>
      <c r="B28" s="6" t="s">
        <v>157</v>
      </c>
      <c r="C28" s="6" t="s">
        <v>75</v>
      </c>
      <c r="D28" s="6" t="n">
        <v>33</v>
      </c>
      <c r="E28" s="6" t="s">
        <v>95</v>
      </c>
      <c r="F28" s="6" t="s">
        <v>95</v>
      </c>
      <c r="G28" s="26" t="n">
        <v>46027</v>
      </c>
      <c r="H28" s="6" t="s">
        <v>92</v>
      </c>
      <c r="I28" s="26" t="n">
        <f aca="false">_xlfn.MINIFS(Transaction!$C$2:$C$8421,Transaction!$B$2:$B$8421,A28)</f>
        <v>46090</v>
      </c>
      <c r="J28" s="26" t="n">
        <f aca="false">_xlfn.MAXIFS(Transaction!$C$2:$C$8421,Transaction!$B$2:$B$8421,A28)</f>
        <v>46257</v>
      </c>
      <c r="K28" s="6" t="n">
        <f aca="false">COUNTIF(Transaction!$B$2:$B$8421,A28)</f>
        <v>6</v>
      </c>
      <c r="L28" s="10" t="n">
        <f aca="false">SUMIF(Transaction!$B$2:$B$8421,A28,Transaction!$H$2:$H$8421)</f>
        <v>18627</v>
      </c>
      <c r="M28" s="6" t="n">
        <f aca="false">Summary!$B$3-J28</f>
        <v>9</v>
      </c>
      <c r="N28" s="6" t="str">
        <f aca="false">IF(K28&gt;1,"Yes","No")</f>
        <v>Yes</v>
      </c>
      <c r="O28" s="6" t="s">
        <v>46</v>
      </c>
    </row>
    <row r="29" customFormat="false" ht="15" hidden="false" customHeight="false" outlineLevel="0" collapsed="false">
      <c r="A29" s="6" t="s">
        <v>158</v>
      </c>
      <c r="B29" s="6" t="s">
        <v>159</v>
      </c>
      <c r="C29" s="6" t="s">
        <v>85</v>
      </c>
      <c r="D29" s="6" t="n">
        <v>35</v>
      </c>
      <c r="E29" s="6" t="s">
        <v>81</v>
      </c>
      <c r="F29" s="6" t="s">
        <v>82</v>
      </c>
      <c r="G29" s="26" t="n">
        <v>46141</v>
      </c>
      <c r="H29" s="6" t="s">
        <v>123</v>
      </c>
      <c r="I29" s="26" t="n">
        <f aca="false">_xlfn.MINIFS(Transaction!$C$2:$C$8421,Transaction!$B$2:$B$8421,A29)</f>
        <v>46180</v>
      </c>
      <c r="J29" s="26" t="n">
        <f aca="false">_xlfn.MAXIFS(Transaction!$C$2:$C$8421,Transaction!$B$2:$B$8421,A29)</f>
        <v>46180</v>
      </c>
      <c r="K29" s="6" t="n">
        <f aca="false">COUNTIF(Transaction!$B$2:$B$8421,A29)</f>
        <v>1</v>
      </c>
      <c r="L29" s="10" t="n">
        <f aca="false">SUMIF(Transaction!$B$2:$B$8421,A29,Transaction!$H$2:$H$8421)</f>
        <v>1080</v>
      </c>
      <c r="M29" s="6" t="n">
        <f aca="false">Summary!$B$3-J29</f>
        <v>86</v>
      </c>
      <c r="N29" s="6" t="str">
        <f aca="false">IF(K29&gt;1,"Yes","No")</f>
        <v>No</v>
      </c>
      <c r="O29" s="6" t="s">
        <v>47</v>
      </c>
    </row>
    <row r="30" customFormat="false" ht="15" hidden="false" customHeight="false" outlineLevel="0" collapsed="false">
      <c r="A30" s="6" t="s">
        <v>160</v>
      </c>
      <c r="B30" s="6" t="s">
        <v>161</v>
      </c>
      <c r="C30" s="6" t="s">
        <v>85</v>
      </c>
      <c r="D30" s="6" t="n">
        <v>32</v>
      </c>
      <c r="E30" s="6" t="s">
        <v>81</v>
      </c>
      <c r="F30" s="6" t="s">
        <v>82</v>
      </c>
      <c r="G30" s="26" t="n">
        <v>46136</v>
      </c>
      <c r="H30" s="6" t="s">
        <v>102</v>
      </c>
      <c r="I30" s="26" t="n">
        <f aca="false">_xlfn.MINIFS(Transaction!$C$2:$C$8421,Transaction!$B$2:$B$8421,A30)</f>
        <v>46182</v>
      </c>
      <c r="J30" s="26" t="n">
        <f aca="false">_xlfn.MAXIFS(Transaction!$C$2:$C$8421,Transaction!$B$2:$B$8421,A30)</f>
        <v>46182</v>
      </c>
      <c r="K30" s="6" t="n">
        <f aca="false">COUNTIF(Transaction!$B$2:$B$8421,A30)</f>
        <v>1</v>
      </c>
      <c r="L30" s="10" t="n">
        <f aca="false">SUMIF(Transaction!$B$2:$B$8421,A30,Transaction!$H$2:$H$8421)</f>
        <v>1954</v>
      </c>
      <c r="M30" s="6" t="n">
        <f aca="false">Summary!$B$3-J30</f>
        <v>84</v>
      </c>
      <c r="N30" s="6" t="str">
        <f aca="false">IF(K30&gt;1,"Yes","No")</f>
        <v>No</v>
      </c>
      <c r="O30" s="6" t="s">
        <v>47</v>
      </c>
    </row>
    <row r="31" customFormat="false" ht="15" hidden="false" customHeight="false" outlineLevel="0" collapsed="false">
      <c r="A31" s="6" t="s">
        <v>162</v>
      </c>
      <c r="B31" s="6" t="s">
        <v>163</v>
      </c>
      <c r="C31" s="6" t="s">
        <v>85</v>
      </c>
      <c r="D31" s="6" t="n">
        <v>40</v>
      </c>
      <c r="E31" s="6" t="s">
        <v>81</v>
      </c>
      <c r="F31" s="6" t="s">
        <v>82</v>
      </c>
      <c r="G31" s="26" t="n">
        <v>46078</v>
      </c>
      <c r="H31" s="6" t="s">
        <v>102</v>
      </c>
      <c r="I31" s="26" t="n">
        <f aca="false">_xlfn.MINIFS(Transaction!$C$2:$C$8421,Transaction!$B$2:$B$8421,A31)</f>
        <v>46103</v>
      </c>
      <c r="J31" s="26" t="n">
        <f aca="false">_xlfn.MAXIFS(Transaction!$C$2:$C$8421,Transaction!$B$2:$B$8421,A31)</f>
        <v>46103</v>
      </c>
      <c r="K31" s="6" t="n">
        <f aca="false">COUNTIF(Transaction!$B$2:$B$8421,A31)</f>
        <v>1</v>
      </c>
      <c r="L31" s="10" t="n">
        <f aca="false">SUMIF(Transaction!$B$2:$B$8421,A31,Transaction!$H$2:$H$8421)</f>
        <v>3485</v>
      </c>
      <c r="M31" s="6" t="n">
        <f aca="false">Summary!$B$3-J31</f>
        <v>163</v>
      </c>
      <c r="N31" s="6" t="str">
        <f aca="false">IF(K31&gt;1,"Yes","No")</f>
        <v>No</v>
      </c>
      <c r="O31" s="6" t="s">
        <v>49</v>
      </c>
    </row>
    <row r="32" customFormat="false" ht="15" hidden="false" customHeight="false" outlineLevel="0" collapsed="false">
      <c r="A32" s="6" t="s">
        <v>164</v>
      </c>
      <c r="B32" s="6" t="s">
        <v>165</v>
      </c>
      <c r="C32" s="6" t="s">
        <v>85</v>
      </c>
      <c r="D32" s="6" t="n">
        <v>23</v>
      </c>
      <c r="E32" s="6" t="s">
        <v>76</v>
      </c>
      <c r="F32" s="6" t="s">
        <v>77</v>
      </c>
      <c r="G32" s="26" t="n">
        <v>46146</v>
      </c>
      <c r="H32" s="6" t="s">
        <v>102</v>
      </c>
      <c r="I32" s="26" t="n">
        <f aca="false">_xlfn.MINIFS(Transaction!$C$2:$C$8421,Transaction!$B$2:$B$8421,A32)</f>
        <v>46221</v>
      </c>
      <c r="J32" s="26" t="n">
        <f aca="false">_xlfn.MAXIFS(Transaction!$C$2:$C$8421,Transaction!$B$2:$B$8421,A32)</f>
        <v>46221</v>
      </c>
      <c r="K32" s="6" t="n">
        <f aca="false">COUNTIF(Transaction!$B$2:$B$8421,A32)</f>
        <v>1</v>
      </c>
      <c r="L32" s="10" t="n">
        <f aca="false">SUMIF(Transaction!$B$2:$B$8421,A32,Transaction!$H$2:$H$8421)</f>
        <v>3006</v>
      </c>
      <c r="M32" s="6" t="n">
        <f aca="false">Summary!$B$3-J32</f>
        <v>45</v>
      </c>
      <c r="N32" s="6" t="str">
        <f aca="false">IF(K32&gt;1,"Yes","No")</f>
        <v>No</v>
      </c>
      <c r="O32" s="6" t="s">
        <v>47</v>
      </c>
    </row>
    <row r="33" customFormat="false" ht="15" hidden="false" customHeight="false" outlineLevel="0" collapsed="false">
      <c r="A33" s="6" t="s">
        <v>166</v>
      </c>
      <c r="B33" s="6" t="s">
        <v>167</v>
      </c>
      <c r="C33" s="6" t="s">
        <v>85</v>
      </c>
      <c r="D33" s="6" t="n">
        <v>40</v>
      </c>
      <c r="E33" s="6" t="s">
        <v>121</v>
      </c>
      <c r="F33" s="6" t="s">
        <v>122</v>
      </c>
      <c r="G33" s="26" t="n">
        <v>46080</v>
      </c>
      <c r="H33" s="6" t="s">
        <v>78</v>
      </c>
      <c r="I33" s="26" t="n">
        <f aca="false">_xlfn.MINIFS(Transaction!$C$2:$C$8421,Transaction!$B$2:$B$8421,A33)</f>
        <v>46170</v>
      </c>
      <c r="J33" s="26" t="n">
        <f aca="false">_xlfn.MAXIFS(Transaction!$C$2:$C$8421,Transaction!$B$2:$B$8421,A33)</f>
        <v>46170</v>
      </c>
      <c r="K33" s="6" t="n">
        <f aca="false">COUNTIF(Transaction!$B$2:$B$8421,A33)</f>
        <v>1</v>
      </c>
      <c r="L33" s="10" t="n">
        <f aca="false">SUMIF(Transaction!$B$2:$B$8421,A33,Transaction!$H$2:$H$8421)</f>
        <v>734</v>
      </c>
      <c r="M33" s="6" t="n">
        <f aca="false">Summary!$B$3-J33</f>
        <v>96</v>
      </c>
      <c r="N33" s="6" t="str">
        <f aca="false">IF(K33&gt;1,"Yes","No")</f>
        <v>No</v>
      </c>
      <c r="O33" s="6" t="s">
        <v>48</v>
      </c>
    </row>
    <row r="34" customFormat="false" ht="15" hidden="false" customHeight="false" outlineLevel="0" collapsed="false">
      <c r="A34" s="6" t="s">
        <v>168</v>
      </c>
      <c r="B34" s="6" t="s">
        <v>169</v>
      </c>
      <c r="C34" s="6" t="s">
        <v>85</v>
      </c>
      <c r="D34" s="6" t="n">
        <v>34</v>
      </c>
      <c r="E34" s="6" t="s">
        <v>121</v>
      </c>
      <c r="F34" s="6" t="s">
        <v>122</v>
      </c>
      <c r="G34" s="26" t="n">
        <v>46124</v>
      </c>
      <c r="H34" s="6" t="s">
        <v>88</v>
      </c>
      <c r="I34" s="26" t="n">
        <f aca="false">_xlfn.MINIFS(Transaction!$C$2:$C$8421,Transaction!$B$2:$B$8421,A34)</f>
        <v>46188</v>
      </c>
      <c r="J34" s="26" t="n">
        <f aca="false">_xlfn.MAXIFS(Transaction!$C$2:$C$8421,Transaction!$B$2:$B$8421,A34)</f>
        <v>46188</v>
      </c>
      <c r="K34" s="6" t="n">
        <f aca="false">COUNTIF(Transaction!$B$2:$B$8421,A34)</f>
        <v>1</v>
      </c>
      <c r="L34" s="10" t="n">
        <f aca="false">SUMIF(Transaction!$B$2:$B$8421,A34,Transaction!$H$2:$H$8421)</f>
        <v>240</v>
      </c>
      <c r="M34" s="6" t="n">
        <f aca="false">Summary!$B$3-J34</f>
        <v>78</v>
      </c>
      <c r="N34" s="6" t="str">
        <f aca="false">IF(K34&gt;1,"Yes","No")</f>
        <v>No</v>
      </c>
      <c r="O34" s="6" t="s">
        <v>47</v>
      </c>
    </row>
    <row r="35" customFormat="false" ht="15" hidden="false" customHeight="false" outlineLevel="0" collapsed="false">
      <c r="A35" s="6" t="s">
        <v>170</v>
      </c>
      <c r="B35" s="6" t="s">
        <v>171</v>
      </c>
      <c r="C35" s="6" t="s">
        <v>85</v>
      </c>
      <c r="D35" s="6" t="n">
        <v>31</v>
      </c>
      <c r="E35" s="6" t="s">
        <v>146</v>
      </c>
      <c r="F35" s="6" t="s">
        <v>147</v>
      </c>
      <c r="G35" s="26" t="n">
        <v>45997</v>
      </c>
      <c r="H35" s="6" t="s">
        <v>123</v>
      </c>
      <c r="I35" s="26" t="n">
        <f aca="false">_xlfn.MINIFS(Transaction!$C$2:$C$8421,Transaction!$B$2:$B$8421,A35)</f>
        <v>46049</v>
      </c>
      <c r="J35" s="26" t="n">
        <f aca="false">_xlfn.MAXIFS(Transaction!$C$2:$C$8421,Transaction!$B$2:$B$8421,A35)</f>
        <v>46259</v>
      </c>
      <c r="K35" s="6" t="n">
        <f aca="false">COUNTIF(Transaction!$B$2:$B$8421,A35)</f>
        <v>10</v>
      </c>
      <c r="L35" s="10" t="n">
        <f aca="false">SUMIF(Transaction!$B$2:$B$8421,A35,Transaction!$H$2:$H$8421)</f>
        <v>56407</v>
      </c>
      <c r="M35" s="6" t="n">
        <f aca="false">Summary!$B$3-J35</f>
        <v>7</v>
      </c>
      <c r="N35" s="6" t="str">
        <f aca="false">IF(K35&gt;1,"Yes","No")</f>
        <v>Yes</v>
      </c>
      <c r="O35" s="6" t="s">
        <v>45</v>
      </c>
    </row>
    <row r="36" customFormat="false" ht="15" hidden="false" customHeight="false" outlineLevel="0" collapsed="false">
      <c r="A36" s="6" t="s">
        <v>172</v>
      </c>
      <c r="B36" s="6" t="s">
        <v>173</v>
      </c>
      <c r="C36" s="6" t="s">
        <v>85</v>
      </c>
      <c r="D36" s="6" t="n">
        <v>28</v>
      </c>
      <c r="E36" s="6" t="s">
        <v>121</v>
      </c>
      <c r="F36" s="6" t="s">
        <v>122</v>
      </c>
      <c r="G36" s="26" t="n">
        <v>46142</v>
      </c>
      <c r="H36" s="6" t="s">
        <v>78</v>
      </c>
      <c r="I36" s="26" t="n">
        <f aca="false">_xlfn.MINIFS(Transaction!$C$2:$C$8421,Transaction!$B$2:$B$8421,A36)</f>
        <v>46210</v>
      </c>
      <c r="J36" s="26" t="n">
        <f aca="false">_xlfn.MAXIFS(Transaction!$C$2:$C$8421,Transaction!$B$2:$B$8421,A36)</f>
        <v>46210</v>
      </c>
      <c r="K36" s="6" t="n">
        <f aca="false">COUNTIF(Transaction!$B$2:$B$8421,A36)</f>
        <v>1</v>
      </c>
      <c r="L36" s="10" t="n">
        <f aca="false">SUMIF(Transaction!$B$2:$B$8421,A36,Transaction!$H$2:$H$8421)</f>
        <v>1232</v>
      </c>
      <c r="M36" s="6" t="n">
        <f aca="false">Summary!$B$3-J36</f>
        <v>56</v>
      </c>
      <c r="N36" s="6" t="str">
        <f aca="false">IF(K36&gt;1,"Yes","No")</f>
        <v>No</v>
      </c>
      <c r="O36" s="6" t="s">
        <v>47</v>
      </c>
    </row>
    <row r="37" customFormat="false" ht="15" hidden="false" customHeight="false" outlineLevel="0" collapsed="false">
      <c r="A37" s="6" t="s">
        <v>174</v>
      </c>
      <c r="B37" s="6" t="s">
        <v>175</v>
      </c>
      <c r="C37" s="6" t="s">
        <v>75</v>
      </c>
      <c r="D37" s="6" t="n">
        <v>21</v>
      </c>
      <c r="E37" s="6" t="s">
        <v>176</v>
      </c>
      <c r="F37" s="6" t="s">
        <v>177</v>
      </c>
      <c r="G37" s="26" t="n">
        <v>46030</v>
      </c>
      <c r="H37" s="6" t="s">
        <v>78</v>
      </c>
      <c r="I37" s="26" t="n">
        <f aca="false">_xlfn.MINIFS(Transaction!$C$2:$C$8421,Transaction!$B$2:$B$8421,A37)</f>
        <v>46048</v>
      </c>
      <c r="J37" s="26" t="n">
        <f aca="false">_xlfn.MAXIFS(Transaction!$C$2:$C$8421,Transaction!$B$2:$B$8421,A37)</f>
        <v>46249</v>
      </c>
      <c r="K37" s="6" t="n">
        <f aca="false">COUNTIF(Transaction!$B$2:$B$8421,A37)</f>
        <v>10</v>
      </c>
      <c r="L37" s="10" t="n">
        <f aca="false">SUMIF(Transaction!$B$2:$B$8421,A37,Transaction!$H$2:$H$8421)</f>
        <v>27258</v>
      </c>
      <c r="M37" s="6" t="n">
        <f aca="false">Summary!$B$3-J37</f>
        <v>17</v>
      </c>
      <c r="N37" s="6" t="str">
        <f aca="false">IF(K37&gt;1,"Yes","No")</f>
        <v>Yes</v>
      </c>
      <c r="O37" s="6" t="s">
        <v>45</v>
      </c>
    </row>
    <row r="38" customFormat="false" ht="15" hidden="false" customHeight="false" outlineLevel="0" collapsed="false">
      <c r="A38" s="6" t="s">
        <v>178</v>
      </c>
      <c r="B38" s="6" t="s">
        <v>179</v>
      </c>
      <c r="C38" s="6" t="s">
        <v>75</v>
      </c>
      <c r="D38" s="6" t="n">
        <v>29</v>
      </c>
      <c r="E38" s="6" t="s">
        <v>180</v>
      </c>
      <c r="F38" s="6" t="s">
        <v>181</v>
      </c>
      <c r="G38" s="26" t="n">
        <v>46087</v>
      </c>
      <c r="H38" s="6" t="s">
        <v>123</v>
      </c>
      <c r="I38" s="26" t="n">
        <f aca="false">_xlfn.MINIFS(Transaction!$C$2:$C$8421,Transaction!$B$2:$B$8421,A38)</f>
        <v>46104</v>
      </c>
      <c r="J38" s="26" t="n">
        <f aca="false">_xlfn.MAXIFS(Transaction!$C$2:$C$8421,Transaction!$B$2:$B$8421,A38)</f>
        <v>46104</v>
      </c>
      <c r="K38" s="6" t="n">
        <f aca="false">COUNTIF(Transaction!$B$2:$B$8421,A38)</f>
        <v>1</v>
      </c>
      <c r="L38" s="10" t="n">
        <f aca="false">SUMIF(Transaction!$B$2:$B$8421,A38,Transaction!$H$2:$H$8421)</f>
        <v>1144</v>
      </c>
      <c r="M38" s="6" t="n">
        <f aca="false">Summary!$B$3-J38</f>
        <v>162</v>
      </c>
      <c r="N38" s="6" t="str">
        <f aca="false">IF(K38&gt;1,"Yes","No")</f>
        <v>No</v>
      </c>
      <c r="O38" s="6" t="s">
        <v>49</v>
      </c>
    </row>
    <row r="39" customFormat="false" ht="15" hidden="false" customHeight="false" outlineLevel="0" collapsed="false">
      <c r="A39" s="6" t="s">
        <v>182</v>
      </c>
      <c r="B39" s="6" t="s">
        <v>183</v>
      </c>
      <c r="C39" s="6" t="s">
        <v>75</v>
      </c>
      <c r="D39" s="6" t="n">
        <v>34</v>
      </c>
      <c r="E39" s="6" t="s">
        <v>95</v>
      </c>
      <c r="F39" s="6" t="s">
        <v>95</v>
      </c>
      <c r="G39" s="26" t="n">
        <v>46041</v>
      </c>
      <c r="H39" s="6" t="s">
        <v>78</v>
      </c>
      <c r="I39" s="26" t="n">
        <f aca="false">_xlfn.MINIFS(Transaction!$C$2:$C$8421,Transaction!$B$2:$B$8421,A39)</f>
        <v>46059</v>
      </c>
      <c r="J39" s="26" t="n">
        <f aca="false">_xlfn.MAXIFS(Transaction!$C$2:$C$8421,Transaction!$B$2:$B$8421,A39)</f>
        <v>46229</v>
      </c>
      <c r="K39" s="6" t="n">
        <f aca="false">COUNTIF(Transaction!$B$2:$B$8421,A39)</f>
        <v>4</v>
      </c>
      <c r="L39" s="10" t="n">
        <f aca="false">SUMIF(Transaction!$B$2:$B$8421,A39,Transaction!$H$2:$H$8421)</f>
        <v>4019</v>
      </c>
      <c r="M39" s="6" t="n">
        <f aca="false">Summary!$B$3-J39</f>
        <v>37</v>
      </c>
      <c r="N39" s="6" t="str">
        <f aca="false">IF(K39&gt;1,"Yes","No")</f>
        <v>Yes</v>
      </c>
      <c r="O39" s="6" t="s">
        <v>46</v>
      </c>
    </row>
    <row r="40" customFormat="false" ht="15" hidden="false" customHeight="false" outlineLevel="0" collapsed="false">
      <c r="A40" s="6" t="s">
        <v>184</v>
      </c>
      <c r="B40" s="6" t="s">
        <v>185</v>
      </c>
      <c r="C40" s="6" t="s">
        <v>85</v>
      </c>
      <c r="D40" s="6" t="n">
        <v>42</v>
      </c>
      <c r="E40" s="6" t="s">
        <v>105</v>
      </c>
      <c r="F40" s="6" t="s">
        <v>106</v>
      </c>
      <c r="G40" s="26" t="n">
        <v>46068</v>
      </c>
      <c r="H40" s="6" t="s">
        <v>115</v>
      </c>
      <c r="I40" s="26" t="n">
        <f aca="false">_xlfn.MINIFS(Transaction!$C$2:$C$8421,Transaction!$B$2:$B$8421,A40)</f>
        <v>46068</v>
      </c>
      <c r="J40" s="26" t="n">
        <f aca="false">_xlfn.MAXIFS(Transaction!$C$2:$C$8421,Transaction!$B$2:$B$8421,A40)</f>
        <v>46261</v>
      </c>
      <c r="K40" s="6" t="n">
        <f aca="false">COUNTIF(Transaction!$B$2:$B$8421,A40)</f>
        <v>9</v>
      </c>
      <c r="L40" s="10" t="n">
        <f aca="false">SUMIF(Transaction!$B$2:$B$8421,A40,Transaction!$H$2:$H$8421)</f>
        <v>14055</v>
      </c>
      <c r="M40" s="6" t="n">
        <f aca="false">Summary!$B$3-J40</f>
        <v>5</v>
      </c>
      <c r="N40" s="6" t="str">
        <f aca="false">IF(K40&gt;1,"Yes","No")</f>
        <v>Yes</v>
      </c>
      <c r="O40" s="6" t="s">
        <v>45</v>
      </c>
    </row>
    <row r="41" customFormat="false" ht="15" hidden="false" customHeight="false" outlineLevel="0" collapsed="false">
      <c r="A41" s="6" t="s">
        <v>186</v>
      </c>
      <c r="B41" s="6" t="s">
        <v>187</v>
      </c>
      <c r="C41" s="6" t="s">
        <v>85</v>
      </c>
      <c r="D41" s="6" t="n">
        <v>28</v>
      </c>
      <c r="E41" s="6" t="s">
        <v>86</v>
      </c>
      <c r="F41" s="6" t="s">
        <v>87</v>
      </c>
      <c r="G41" s="26" t="n">
        <v>46069</v>
      </c>
      <c r="H41" s="6" t="s">
        <v>123</v>
      </c>
      <c r="I41" s="26" t="n">
        <f aca="false">_xlfn.MINIFS(Transaction!$C$2:$C$8421,Transaction!$B$2:$B$8421,A41)</f>
        <v>46089</v>
      </c>
      <c r="J41" s="26" t="n">
        <f aca="false">_xlfn.MAXIFS(Transaction!$C$2:$C$8421,Transaction!$B$2:$B$8421,A41)</f>
        <v>46237</v>
      </c>
      <c r="K41" s="6" t="n">
        <f aca="false">COUNTIF(Transaction!$B$2:$B$8421,A41)</f>
        <v>5</v>
      </c>
      <c r="L41" s="10" t="n">
        <f aca="false">SUMIF(Transaction!$B$2:$B$8421,A41,Transaction!$H$2:$H$8421)</f>
        <v>6000</v>
      </c>
      <c r="M41" s="6" t="n">
        <f aca="false">Summary!$B$3-J41</f>
        <v>29</v>
      </c>
      <c r="N41" s="6" t="str">
        <f aca="false">IF(K41&gt;1,"Yes","No")</f>
        <v>Yes</v>
      </c>
      <c r="O41" s="6" t="s">
        <v>46</v>
      </c>
    </row>
    <row r="42" customFormat="false" ht="15" hidden="false" customHeight="false" outlineLevel="0" collapsed="false">
      <c r="A42" s="6" t="s">
        <v>188</v>
      </c>
      <c r="B42" s="6" t="s">
        <v>189</v>
      </c>
      <c r="C42" s="6" t="s">
        <v>85</v>
      </c>
      <c r="D42" s="6" t="n">
        <v>51</v>
      </c>
      <c r="E42" s="6" t="s">
        <v>105</v>
      </c>
      <c r="F42" s="6" t="s">
        <v>106</v>
      </c>
      <c r="G42" s="26" t="n">
        <v>46090</v>
      </c>
      <c r="H42" s="6" t="s">
        <v>115</v>
      </c>
      <c r="I42" s="26" t="n">
        <f aca="false">_xlfn.MINIFS(Transaction!$C$2:$C$8421,Transaction!$B$2:$B$8421,A42)</f>
        <v>46111</v>
      </c>
      <c r="J42" s="26" t="n">
        <f aca="false">_xlfn.MAXIFS(Transaction!$C$2:$C$8421,Transaction!$B$2:$B$8421,A42)</f>
        <v>46111</v>
      </c>
      <c r="K42" s="6" t="n">
        <f aca="false">COUNTIF(Transaction!$B$2:$B$8421,A42)</f>
        <v>1</v>
      </c>
      <c r="L42" s="10" t="n">
        <f aca="false">SUMIF(Transaction!$B$2:$B$8421,A42,Transaction!$H$2:$H$8421)</f>
        <v>743</v>
      </c>
      <c r="M42" s="6" t="n">
        <f aca="false">Summary!$B$3-J42</f>
        <v>155</v>
      </c>
      <c r="N42" s="6" t="str">
        <f aca="false">IF(K42&gt;1,"Yes","No")</f>
        <v>No</v>
      </c>
      <c r="O42" s="6" t="s">
        <v>49</v>
      </c>
    </row>
    <row r="43" customFormat="false" ht="15" hidden="false" customHeight="false" outlineLevel="0" collapsed="false">
      <c r="A43" s="6" t="s">
        <v>190</v>
      </c>
      <c r="B43" s="6" t="s">
        <v>191</v>
      </c>
      <c r="C43" s="6" t="s">
        <v>75</v>
      </c>
      <c r="D43" s="6" t="n">
        <v>30</v>
      </c>
      <c r="E43" s="6" t="s">
        <v>134</v>
      </c>
      <c r="F43" s="6" t="s">
        <v>135</v>
      </c>
      <c r="G43" s="26" t="n">
        <v>46029</v>
      </c>
      <c r="H43" s="6" t="s">
        <v>78</v>
      </c>
      <c r="I43" s="26" t="n">
        <f aca="false">_xlfn.MINIFS(Transaction!$C$2:$C$8421,Transaction!$B$2:$B$8421,A43)</f>
        <v>46043</v>
      </c>
      <c r="J43" s="26" t="n">
        <f aca="false">_xlfn.MAXIFS(Transaction!$C$2:$C$8421,Transaction!$B$2:$B$8421,A43)</f>
        <v>46212</v>
      </c>
      <c r="K43" s="6" t="n">
        <f aca="false">COUNTIF(Transaction!$B$2:$B$8421,A43)</f>
        <v>3</v>
      </c>
      <c r="L43" s="10" t="n">
        <f aca="false">SUMIF(Transaction!$B$2:$B$8421,A43,Transaction!$H$2:$H$8421)</f>
        <v>5240</v>
      </c>
      <c r="M43" s="6" t="n">
        <f aca="false">Summary!$B$3-J43</f>
        <v>54</v>
      </c>
      <c r="N43" s="6" t="str">
        <f aca="false">IF(K43&gt;1,"Yes","No")</f>
        <v>Yes</v>
      </c>
      <c r="O43" s="6" t="s">
        <v>46</v>
      </c>
    </row>
    <row r="44" customFormat="false" ht="15" hidden="false" customHeight="false" outlineLevel="0" collapsed="false">
      <c r="A44" s="6" t="s">
        <v>192</v>
      </c>
      <c r="B44" s="6" t="s">
        <v>193</v>
      </c>
      <c r="C44" s="6" t="s">
        <v>85</v>
      </c>
      <c r="D44" s="6" t="n">
        <v>26</v>
      </c>
      <c r="E44" s="6" t="s">
        <v>76</v>
      </c>
      <c r="F44" s="6" t="s">
        <v>77</v>
      </c>
      <c r="G44" s="26" t="n">
        <v>45997</v>
      </c>
      <c r="H44" s="6" t="s">
        <v>78</v>
      </c>
      <c r="I44" s="26" t="n">
        <f aca="false">_xlfn.MINIFS(Transaction!$C$2:$C$8421,Transaction!$B$2:$B$8421,A44)</f>
        <v>46023</v>
      </c>
      <c r="J44" s="26" t="n">
        <f aca="false">_xlfn.MAXIFS(Transaction!$C$2:$C$8421,Transaction!$B$2:$B$8421,A44)</f>
        <v>46261</v>
      </c>
      <c r="K44" s="6" t="n">
        <f aca="false">COUNTIF(Transaction!$B$2:$B$8421,A44)</f>
        <v>9</v>
      </c>
      <c r="L44" s="10" t="n">
        <f aca="false">SUMIF(Transaction!$B$2:$B$8421,A44,Transaction!$H$2:$H$8421)</f>
        <v>26220</v>
      </c>
      <c r="M44" s="6" t="n">
        <f aca="false">Summary!$B$3-J44</f>
        <v>5</v>
      </c>
      <c r="N44" s="6" t="str">
        <f aca="false">IF(K44&gt;1,"Yes","No")</f>
        <v>Yes</v>
      </c>
      <c r="O44" s="6" t="s">
        <v>45</v>
      </c>
    </row>
    <row r="45" customFormat="false" ht="15" hidden="false" customHeight="false" outlineLevel="0" collapsed="false">
      <c r="A45" s="6" t="s">
        <v>194</v>
      </c>
      <c r="B45" s="6" t="s">
        <v>195</v>
      </c>
      <c r="C45" s="6" t="s">
        <v>85</v>
      </c>
      <c r="D45" s="6" t="n">
        <v>25</v>
      </c>
      <c r="E45" s="6" t="s">
        <v>134</v>
      </c>
      <c r="F45" s="6" t="s">
        <v>135</v>
      </c>
      <c r="G45" s="26" t="n">
        <v>46166</v>
      </c>
      <c r="H45" s="6" t="s">
        <v>78</v>
      </c>
      <c r="I45" s="26" t="n">
        <f aca="false">_xlfn.MINIFS(Transaction!$C$2:$C$8421,Transaction!$B$2:$B$8421,A45)</f>
        <v>46256</v>
      </c>
      <c r="J45" s="26" t="n">
        <f aca="false">_xlfn.MAXIFS(Transaction!$C$2:$C$8421,Transaction!$B$2:$B$8421,A45)</f>
        <v>46256</v>
      </c>
      <c r="K45" s="6" t="n">
        <f aca="false">COUNTIF(Transaction!$B$2:$B$8421,A45)</f>
        <v>1</v>
      </c>
      <c r="L45" s="10" t="n">
        <f aca="false">SUMIF(Transaction!$B$2:$B$8421,A45,Transaction!$H$2:$H$8421)</f>
        <v>2141</v>
      </c>
      <c r="M45" s="6" t="n">
        <f aca="false">Summary!$B$3-J45</f>
        <v>10</v>
      </c>
      <c r="N45" s="6" t="str">
        <f aca="false">IF(K45&gt;1,"Yes","No")</f>
        <v>No</v>
      </c>
      <c r="O45" s="6" t="s">
        <v>47</v>
      </c>
    </row>
    <row r="46" customFormat="false" ht="15" hidden="false" customHeight="false" outlineLevel="0" collapsed="false">
      <c r="A46" s="6" t="s">
        <v>196</v>
      </c>
      <c r="B46" s="6" t="s">
        <v>197</v>
      </c>
      <c r="C46" s="6" t="s">
        <v>85</v>
      </c>
      <c r="D46" s="6" t="n">
        <v>22</v>
      </c>
      <c r="E46" s="6" t="s">
        <v>81</v>
      </c>
      <c r="F46" s="6" t="s">
        <v>82</v>
      </c>
      <c r="G46" s="26" t="n">
        <v>46028</v>
      </c>
      <c r="H46" s="6" t="s">
        <v>78</v>
      </c>
      <c r="I46" s="26" t="n">
        <f aca="false">_xlfn.MINIFS(Transaction!$C$2:$C$8421,Transaction!$B$2:$B$8421,A46)</f>
        <v>46082</v>
      </c>
      <c r="J46" s="26" t="n">
        <f aca="false">_xlfn.MAXIFS(Transaction!$C$2:$C$8421,Transaction!$B$2:$B$8421,A46)</f>
        <v>46249</v>
      </c>
      <c r="K46" s="6" t="n">
        <f aca="false">COUNTIF(Transaction!$B$2:$B$8421,A46)</f>
        <v>8</v>
      </c>
      <c r="L46" s="10" t="n">
        <f aca="false">SUMIF(Transaction!$B$2:$B$8421,A46,Transaction!$H$2:$H$8421)</f>
        <v>8568</v>
      </c>
      <c r="M46" s="6" t="n">
        <f aca="false">Summary!$B$3-J46</f>
        <v>17</v>
      </c>
      <c r="N46" s="6" t="str">
        <f aca="false">IF(K46&gt;1,"Yes","No")</f>
        <v>Yes</v>
      </c>
      <c r="O46" s="6" t="s">
        <v>45</v>
      </c>
    </row>
    <row r="47" customFormat="false" ht="15" hidden="false" customHeight="false" outlineLevel="0" collapsed="false">
      <c r="A47" s="6" t="s">
        <v>198</v>
      </c>
      <c r="B47" s="6" t="s">
        <v>199</v>
      </c>
      <c r="C47" s="6" t="s">
        <v>75</v>
      </c>
      <c r="D47" s="6" t="n">
        <v>34</v>
      </c>
      <c r="E47" s="6" t="s">
        <v>95</v>
      </c>
      <c r="F47" s="6" t="s">
        <v>95</v>
      </c>
      <c r="G47" s="26" t="n">
        <v>46056</v>
      </c>
      <c r="H47" s="6" t="s">
        <v>78</v>
      </c>
      <c r="I47" s="26" t="n">
        <f aca="false">_xlfn.MINIFS(Transaction!$C$2:$C$8421,Transaction!$B$2:$B$8421,A47)</f>
        <v>46099</v>
      </c>
      <c r="J47" s="26" t="n">
        <f aca="false">_xlfn.MAXIFS(Transaction!$C$2:$C$8421,Transaction!$B$2:$B$8421,A47)</f>
        <v>46099</v>
      </c>
      <c r="K47" s="6" t="n">
        <f aca="false">COUNTIF(Transaction!$B$2:$B$8421,A47)</f>
        <v>1</v>
      </c>
      <c r="L47" s="10" t="n">
        <f aca="false">SUMIF(Transaction!$B$2:$B$8421,A47,Transaction!$H$2:$H$8421)</f>
        <v>1937</v>
      </c>
      <c r="M47" s="6" t="n">
        <f aca="false">Summary!$B$3-J47</f>
        <v>167</v>
      </c>
      <c r="N47" s="6" t="str">
        <f aca="false">IF(K47&gt;1,"Yes","No")</f>
        <v>No</v>
      </c>
      <c r="O47" s="6" t="s">
        <v>49</v>
      </c>
    </row>
    <row r="48" customFormat="false" ht="15" hidden="false" customHeight="false" outlineLevel="0" collapsed="false">
      <c r="A48" s="6" t="s">
        <v>200</v>
      </c>
      <c r="B48" s="6" t="s">
        <v>201</v>
      </c>
      <c r="C48" s="6" t="s">
        <v>75</v>
      </c>
      <c r="D48" s="6" t="n">
        <v>31</v>
      </c>
      <c r="E48" s="6" t="s">
        <v>76</v>
      </c>
      <c r="F48" s="6" t="s">
        <v>77</v>
      </c>
      <c r="G48" s="26" t="n">
        <v>45974</v>
      </c>
      <c r="H48" s="6" t="s">
        <v>88</v>
      </c>
      <c r="I48" s="26" t="n">
        <f aca="false">_xlfn.MINIFS(Transaction!$C$2:$C$8421,Transaction!$B$2:$B$8421,A48)</f>
        <v>46054</v>
      </c>
      <c r="J48" s="26" t="n">
        <f aca="false">_xlfn.MAXIFS(Transaction!$C$2:$C$8421,Transaction!$B$2:$B$8421,A48)</f>
        <v>46229</v>
      </c>
      <c r="K48" s="6" t="n">
        <f aca="false">COUNTIF(Transaction!$B$2:$B$8421,A48)</f>
        <v>3</v>
      </c>
      <c r="L48" s="10" t="n">
        <f aca="false">SUMIF(Transaction!$B$2:$B$8421,A48,Transaction!$H$2:$H$8421)</f>
        <v>11975</v>
      </c>
      <c r="M48" s="6" t="n">
        <f aca="false">Summary!$B$3-J48</f>
        <v>37</v>
      </c>
      <c r="N48" s="6" t="str">
        <f aca="false">IF(K48&gt;1,"Yes","No")</f>
        <v>Yes</v>
      </c>
      <c r="O48" s="6" t="s">
        <v>46</v>
      </c>
    </row>
    <row r="49" customFormat="false" ht="15" hidden="false" customHeight="false" outlineLevel="0" collapsed="false">
      <c r="A49" s="6" t="s">
        <v>202</v>
      </c>
      <c r="B49" s="6" t="s">
        <v>203</v>
      </c>
      <c r="C49" s="6" t="s">
        <v>75</v>
      </c>
      <c r="D49" s="6" t="n">
        <v>40</v>
      </c>
      <c r="E49" s="6" t="s">
        <v>95</v>
      </c>
      <c r="F49" s="6" t="s">
        <v>95</v>
      </c>
      <c r="G49" s="26" t="n">
        <v>46001</v>
      </c>
      <c r="H49" s="6" t="s">
        <v>115</v>
      </c>
      <c r="I49" s="26" t="n">
        <f aca="false">_xlfn.MINIFS(Transaction!$C$2:$C$8421,Transaction!$B$2:$B$8421,A49)</f>
        <v>46087</v>
      </c>
      <c r="J49" s="26" t="n">
        <f aca="false">_xlfn.MAXIFS(Transaction!$C$2:$C$8421,Transaction!$B$2:$B$8421,A49)</f>
        <v>46243</v>
      </c>
      <c r="K49" s="6" t="n">
        <f aca="false">COUNTIF(Transaction!$B$2:$B$8421,A49)</f>
        <v>8</v>
      </c>
      <c r="L49" s="10" t="n">
        <f aca="false">SUMIF(Transaction!$B$2:$B$8421,A49,Transaction!$H$2:$H$8421)</f>
        <v>15536</v>
      </c>
      <c r="M49" s="6" t="n">
        <f aca="false">Summary!$B$3-J49</f>
        <v>23</v>
      </c>
      <c r="N49" s="6" t="str">
        <f aca="false">IF(K49&gt;1,"Yes","No")</f>
        <v>Yes</v>
      </c>
      <c r="O49" s="6" t="s">
        <v>45</v>
      </c>
    </row>
    <row r="50" customFormat="false" ht="15" hidden="false" customHeight="false" outlineLevel="0" collapsed="false">
      <c r="A50" s="6" t="s">
        <v>204</v>
      </c>
      <c r="B50" s="6" t="s">
        <v>205</v>
      </c>
      <c r="C50" s="6" t="s">
        <v>85</v>
      </c>
      <c r="D50" s="6" t="n">
        <v>35</v>
      </c>
      <c r="E50" s="6" t="s">
        <v>206</v>
      </c>
      <c r="F50" s="6" t="s">
        <v>106</v>
      </c>
      <c r="G50" s="26" t="n">
        <v>46198</v>
      </c>
      <c r="H50" s="6" t="s">
        <v>102</v>
      </c>
      <c r="I50" s="26" t="n">
        <f aca="false">_xlfn.MINIFS(Transaction!$C$2:$C$8421,Transaction!$B$2:$B$8421,A50)</f>
        <v>46219</v>
      </c>
      <c r="J50" s="26" t="n">
        <f aca="false">_xlfn.MAXIFS(Transaction!$C$2:$C$8421,Transaction!$B$2:$B$8421,A50)</f>
        <v>46219</v>
      </c>
      <c r="K50" s="6" t="n">
        <f aca="false">COUNTIF(Transaction!$B$2:$B$8421,A50)</f>
        <v>1</v>
      </c>
      <c r="L50" s="10" t="n">
        <f aca="false">SUMIF(Transaction!$B$2:$B$8421,A50,Transaction!$H$2:$H$8421)</f>
        <v>1937</v>
      </c>
      <c r="M50" s="6" t="n">
        <f aca="false">Summary!$B$3-J50</f>
        <v>47</v>
      </c>
      <c r="N50" s="6" t="str">
        <f aca="false">IF(K50&gt;1,"Yes","No")</f>
        <v>No</v>
      </c>
      <c r="O50" s="6" t="s">
        <v>47</v>
      </c>
    </row>
    <row r="51" customFormat="false" ht="15" hidden="false" customHeight="false" outlineLevel="0" collapsed="false">
      <c r="A51" s="6" t="s">
        <v>207</v>
      </c>
      <c r="B51" s="6" t="s">
        <v>208</v>
      </c>
      <c r="C51" s="6" t="s">
        <v>75</v>
      </c>
      <c r="D51" s="6" t="n">
        <v>35</v>
      </c>
      <c r="E51" s="6" t="s">
        <v>95</v>
      </c>
      <c r="F51" s="6" t="s">
        <v>95</v>
      </c>
      <c r="G51" s="26" t="n">
        <v>46097</v>
      </c>
      <c r="H51" s="6" t="s">
        <v>115</v>
      </c>
      <c r="I51" s="26" t="n">
        <f aca="false">_xlfn.MINIFS(Transaction!$C$2:$C$8421,Transaction!$B$2:$B$8421,A51)</f>
        <v>46162</v>
      </c>
      <c r="J51" s="26" t="n">
        <f aca="false">_xlfn.MAXIFS(Transaction!$C$2:$C$8421,Transaction!$B$2:$B$8421,A51)</f>
        <v>46162</v>
      </c>
      <c r="K51" s="6" t="n">
        <f aca="false">COUNTIF(Transaction!$B$2:$B$8421,A51)</f>
        <v>1</v>
      </c>
      <c r="L51" s="10" t="n">
        <f aca="false">SUMIF(Transaction!$B$2:$B$8421,A51,Transaction!$H$2:$H$8421)</f>
        <v>3536</v>
      </c>
      <c r="M51" s="6" t="n">
        <f aca="false">Summary!$B$3-J51</f>
        <v>104</v>
      </c>
      <c r="N51" s="6" t="str">
        <f aca="false">IF(K51&gt;1,"Yes","No")</f>
        <v>No</v>
      </c>
      <c r="O51" s="6" t="s">
        <v>48</v>
      </c>
    </row>
    <row r="52" customFormat="false" ht="15" hidden="false" customHeight="false" outlineLevel="0" collapsed="false">
      <c r="A52" s="6" t="s">
        <v>209</v>
      </c>
      <c r="B52" s="6" t="s">
        <v>210</v>
      </c>
      <c r="C52" s="6" t="s">
        <v>75</v>
      </c>
      <c r="D52" s="6" t="n">
        <v>33</v>
      </c>
      <c r="E52" s="6" t="s">
        <v>134</v>
      </c>
      <c r="F52" s="6" t="s">
        <v>135</v>
      </c>
      <c r="G52" s="26" t="n">
        <v>46164</v>
      </c>
      <c r="H52" s="6" t="s">
        <v>78</v>
      </c>
      <c r="I52" s="26" t="n">
        <f aca="false">_xlfn.MINIFS(Transaction!$C$2:$C$8421,Transaction!$B$2:$B$8421,A52)</f>
        <v>46181</v>
      </c>
      <c r="J52" s="26" t="n">
        <f aca="false">_xlfn.MAXIFS(Transaction!$C$2:$C$8421,Transaction!$B$2:$B$8421,A52)</f>
        <v>46181</v>
      </c>
      <c r="K52" s="6" t="n">
        <f aca="false">COUNTIF(Transaction!$B$2:$B$8421,A52)</f>
        <v>1</v>
      </c>
      <c r="L52" s="10" t="n">
        <f aca="false">SUMIF(Transaction!$B$2:$B$8421,A52,Transaction!$H$2:$H$8421)</f>
        <v>962</v>
      </c>
      <c r="M52" s="6" t="n">
        <f aca="false">Summary!$B$3-J52</f>
        <v>85</v>
      </c>
      <c r="N52" s="6" t="str">
        <f aca="false">IF(K52&gt;1,"Yes","No")</f>
        <v>No</v>
      </c>
      <c r="O52" s="6" t="s">
        <v>47</v>
      </c>
    </row>
    <row r="53" customFormat="false" ht="15" hidden="false" customHeight="false" outlineLevel="0" collapsed="false">
      <c r="A53" s="6" t="s">
        <v>211</v>
      </c>
      <c r="B53" s="6" t="s">
        <v>212</v>
      </c>
      <c r="C53" s="6" t="s">
        <v>75</v>
      </c>
      <c r="D53" s="6" t="n">
        <v>30</v>
      </c>
      <c r="E53" s="6" t="s">
        <v>81</v>
      </c>
      <c r="F53" s="6" t="s">
        <v>82</v>
      </c>
      <c r="G53" s="26" t="n">
        <v>46125</v>
      </c>
      <c r="H53" s="6" t="s">
        <v>78</v>
      </c>
      <c r="I53" s="26" t="n">
        <f aca="false">_xlfn.MINIFS(Transaction!$C$2:$C$8421,Transaction!$B$2:$B$8421,A53)</f>
        <v>46182</v>
      </c>
      <c r="J53" s="26" t="n">
        <f aca="false">_xlfn.MAXIFS(Transaction!$C$2:$C$8421,Transaction!$B$2:$B$8421,A53)</f>
        <v>46207</v>
      </c>
      <c r="K53" s="6" t="n">
        <f aca="false">COUNTIF(Transaction!$B$2:$B$8421,A53)</f>
        <v>3</v>
      </c>
      <c r="L53" s="10" t="n">
        <f aca="false">SUMIF(Transaction!$B$2:$B$8421,A53,Transaction!$H$2:$H$8421)</f>
        <v>3934</v>
      </c>
      <c r="M53" s="6" t="n">
        <f aca="false">Summary!$B$3-J53</f>
        <v>59</v>
      </c>
      <c r="N53" s="6" t="str">
        <f aca="false">IF(K53&gt;1,"Yes","No")</f>
        <v>Yes</v>
      </c>
      <c r="O53" s="6" t="s">
        <v>46</v>
      </c>
    </row>
    <row r="54" customFormat="false" ht="15" hidden="false" customHeight="false" outlineLevel="0" collapsed="false">
      <c r="A54" s="6" t="s">
        <v>213</v>
      </c>
      <c r="B54" s="6" t="s">
        <v>214</v>
      </c>
      <c r="C54" s="6" t="s">
        <v>85</v>
      </c>
      <c r="D54" s="6" t="n">
        <v>48</v>
      </c>
      <c r="E54" s="6" t="s">
        <v>86</v>
      </c>
      <c r="F54" s="6" t="s">
        <v>87</v>
      </c>
      <c r="G54" s="26" t="n">
        <v>46008</v>
      </c>
      <c r="H54" s="6" t="s">
        <v>92</v>
      </c>
      <c r="I54" s="26" t="n">
        <f aca="false">_xlfn.MINIFS(Transaction!$C$2:$C$8421,Transaction!$B$2:$B$8421,A54)</f>
        <v>46047</v>
      </c>
      <c r="J54" s="26" t="n">
        <f aca="false">_xlfn.MAXIFS(Transaction!$C$2:$C$8421,Transaction!$B$2:$B$8421,A54)</f>
        <v>46047</v>
      </c>
      <c r="K54" s="6" t="n">
        <f aca="false">COUNTIF(Transaction!$B$2:$B$8421,A54)</f>
        <v>1</v>
      </c>
      <c r="L54" s="10" t="n">
        <f aca="false">SUMIF(Transaction!$B$2:$B$8421,A54,Transaction!$H$2:$H$8421)</f>
        <v>1828</v>
      </c>
      <c r="M54" s="6" t="n">
        <f aca="false">Summary!$B$3-J54</f>
        <v>219</v>
      </c>
      <c r="N54" s="6" t="str">
        <f aca="false">IF(K54&gt;1,"Yes","No")</f>
        <v>No</v>
      </c>
      <c r="O54" s="6" t="s">
        <v>49</v>
      </c>
    </row>
    <row r="55" customFormat="false" ht="15" hidden="false" customHeight="false" outlineLevel="0" collapsed="false">
      <c r="A55" s="6" t="s">
        <v>215</v>
      </c>
      <c r="B55" s="6" t="s">
        <v>216</v>
      </c>
      <c r="C55" s="6" t="s">
        <v>85</v>
      </c>
      <c r="D55" s="6" t="n">
        <v>38</v>
      </c>
      <c r="E55" s="6" t="s">
        <v>86</v>
      </c>
      <c r="F55" s="6" t="s">
        <v>87</v>
      </c>
      <c r="G55" s="26" t="n">
        <v>46191</v>
      </c>
      <c r="H55" s="6" t="s">
        <v>92</v>
      </c>
      <c r="I55" s="26" t="n">
        <f aca="false">_xlfn.MINIFS(Transaction!$C$2:$C$8421,Transaction!$B$2:$B$8421,A55)</f>
        <v>46221</v>
      </c>
      <c r="J55" s="26" t="n">
        <f aca="false">_xlfn.MAXIFS(Transaction!$C$2:$C$8421,Transaction!$B$2:$B$8421,A55)</f>
        <v>46221</v>
      </c>
      <c r="K55" s="6" t="n">
        <f aca="false">COUNTIF(Transaction!$B$2:$B$8421,A55)</f>
        <v>1</v>
      </c>
      <c r="L55" s="10" t="n">
        <f aca="false">SUMIF(Transaction!$B$2:$B$8421,A55,Transaction!$H$2:$H$8421)</f>
        <v>928</v>
      </c>
      <c r="M55" s="6" t="n">
        <f aca="false">Summary!$B$3-J55</f>
        <v>45</v>
      </c>
      <c r="N55" s="6" t="str">
        <f aca="false">IF(K55&gt;1,"Yes","No")</f>
        <v>No</v>
      </c>
      <c r="O55" s="6" t="s">
        <v>47</v>
      </c>
    </row>
    <row r="56" customFormat="false" ht="15" hidden="false" customHeight="false" outlineLevel="0" collapsed="false">
      <c r="A56" s="6" t="s">
        <v>217</v>
      </c>
      <c r="B56" s="6" t="s">
        <v>218</v>
      </c>
      <c r="C56" s="6" t="s">
        <v>75</v>
      </c>
      <c r="D56" s="6" t="n">
        <v>31</v>
      </c>
      <c r="E56" s="6" t="s">
        <v>134</v>
      </c>
      <c r="F56" s="6" t="s">
        <v>135</v>
      </c>
      <c r="G56" s="26" t="n">
        <v>46044</v>
      </c>
      <c r="H56" s="6" t="s">
        <v>102</v>
      </c>
      <c r="I56" s="26" t="n">
        <f aca="false">_xlfn.MINIFS(Transaction!$C$2:$C$8421,Transaction!$B$2:$B$8421,A56)</f>
        <v>46058</v>
      </c>
      <c r="J56" s="26" t="n">
        <f aca="false">_xlfn.MAXIFS(Transaction!$C$2:$C$8421,Transaction!$B$2:$B$8421,A56)</f>
        <v>46058</v>
      </c>
      <c r="K56" s="6" t="n">
        <f aca="false">COUNTIF(Transaction!$B$2:$B$8421,A56)</f>
        <v>1</v>
      </c>
      <c r="L56" s="10" t="n">
        <f aca="false">SUMIF(Transaction!$B$2:$B$8421,A56,Transaction!$H$2:$H$8421)</f>
        <v>2972</v>
      </c>
      <c r="M56" s="6" t="n">
        <f aca="false">Summary!$B$3-J56</f>
        <v>208</v>
      </c>
      <c r="N56" s="6" t="str">
        <f aca="false">IF(K56&gt;1,"Yes","No")</f>
        <v>No</v>
      </c>
      <c r="O56" s="6" t="s">
        <v>49</v>
      </c>
    </row>
    <row r="57" customFormat="false" ht="15" hidden="false" customHeight="false" outlineLevel="0" collapsed="false">
      <c r="A57" s="6" t="s">
        <v>219</v>
      </c>
      <c r="B57" s="6" t="s">
        <v>220</v>
      </c>
      <c r="C57" s="6" t="s">
        <v>75</v>
      </c>
      <c r="D57" s="6" t="n">
        <v>36</v>
      </c>
      <c r="E57" s="6" t="s">
        <v>95</v>
      </c>
      <c r="F57" s="6" t="s">
        <v>95</v>
      </c>
      <c r="G57" s="26" t="n">
        <v>46095</v>
      </c>
      <c r="H57" s="6" t="s">
        <v>92</v>
      </c>
      <c r="I57" s="26" t="n">
        <f aca="false">_xlfn.MINIFS(Transaction!$C$2:$C$8421,Transaction!$B$2:$B$8421,A57)</f>
        <v>46164</v>
      </c>
      <c r="J57" s="26" t="n">
        <f aca="false">_xlfn.MAXIFS(Transaction!$C$2:$C$8421,Transaction!$B$2:$B$8421,A57)</f>
        <v>46164</v>
      </c>
      <c r="K57" s="6" t="n">
        <f aca="false">COUNTIF(Transaction!$B$2:$B$8421,A57)</f>
        <v>1</v>
      </c>
      <c r="L57" s="10" t="n">
        <f aca="false">SUMIF(Transaction!$B$2:$B$8421,A57,Transaction!$H$2:$H$8421)</f>
        <v>1277</v>
      </c>
      <c r="M57" s="6" t="n">
        <f aca="false">Summary!$B$3-J57</f>
        <v>102</v>
      </c>
      <c r="N57" s="6" t="str">
        <f aca="false">IF(K57&gt;1,"Yes","No")</f>
        <v>No</v>
      </c>
      <c r="O57" s="6" t="s">
        <v>48</v>
      </c>
    </row>
    <row r="58" customFormat="false" ht="15" hidden="false" customHeight="false" outlineLevel="0" collapsed="false">
      <c r="A58" s="6" t="s">
        <v>221</v>
      </c>
      <c r="B58" s="6" t="s">
        <v>222</v>
      </c>
      <c r="C58" s="6" t="s">
        <v>75</v>
      </c>
      <c r="D58" s="6" t="n">
        <v>25</v>
      </c>
      <c r="E58" s="6" t="s">
        <v>76</v>
      </c>
      <c r="F58" s="6" t="s">
        <v>77</v>
      </c>
      <c r="G58" s="26" t="n">
        <v>45974</v>
      </c>
      <c r="H58" s="6" t="s">
        <v>123</v>
      </c>
      <c r="I58" s="26" t="n">
        <f aca="false">_xlfn.MINIFS(Transaction!$C$2:$C$8421,Transaction!$B$2:$B$8421,A58)</f>
        <v>46041</v>
      </c>
      <c r="J58" s="26" t="n">
        <f aca="false">_xlfn.MAXIFS(Transaction!$C$2:$C$8421,Transaction!$B$2:$B$8421,A58)</f>
        <v>46218</v>
      </c>
      <c r="K58" s="6" t="n">
        <f aca="false">COUNTIF(Transaction!$B$2:$B$8421,A58)</f>
        <v>7</v>
      </c>
      <c r="L58" s="10" t="n">
        <f aca="false">SUMIF(Transaction!$B$2:$B$8421,A58,Transaction!$H$2:$H$8421)</f>
        <v>8228</v>
      </c>
      <c r="M58" s="6" t="n">
        <f aca="false">Summary!$B$3-J58</f>
        <v>48</v>
      </c>
      <c r="N58" s="6" t="str">
        <f aca="false">IF(K58&gt;1,"Yes","No")</f>
        <v>Yes</v>
      </c>
      <c r="O58" s="6" t="s">
        <v>46</v>
      </c>
    </row>
    <row r="59" customFormat="false" ht="15" hidden="false" customHeight="false" outlineLevel="0" collapsed="false">
      <c r="A59" s="6" t="s">
        <v>223</v>
      </c>
      <c r="B59" s="6" t="s">
        <v>224</v>
      </c>
      <c r="C59" s="6" t="s">
        <v>85</v>
      </c>
      <c r="D59" s="6" t="n">
        <v>42</v>
      </c>
      <c r="E59" s="6" t="s">
        <v>105</v>
      </c>
      <c r="F59" s="6" t="s">
        <v>106</v>
      </c>
      <c r="G59" s="26" t="n">
        <v>46118</v>
      </c>
      <c r="H59" s="6" t="s">
        <v>92</v>
      </c>
      <c r="I59" s="26" t="n">
        <f aca="false">_xlfn.MINIFS(Transaction!$C$2:$C$8421,Transaction!$B$2:$B$8421,A59)</f>
        <v>46132</v>
      </c>
      <c r="J59" s="26" t="n">
        <f aca="false">_xlfn.MAXIFS(Transaction!$C$2:$C$8421,Transaction!$B$2:$B$8421,A59)</f>
        <v>46132</v>
      </c>
      <c r="K59" s="6" t="n">
        <f aca="false">COUNTIF(Transaction!$B$2:$B$8421,A59)</f>
        <v>1</v>
      </c>
      <c r="L59" s="10" t="n">
        <f aca="false">SUMIF(Transaction!$B$2:$B$8421,A59,Transaction!$H$2:$H$8421)</f>
        <v>2653</v>
      </c>
      <c r="M59" s="6" t="n">
        <f aca="false">Summary!$B$3-J59</f>
        <v>134</v>
      </c>
      <c r="N59" s="6" t="str">
        <f aca="false">IF(K59&gt;1,"Yes","No")</f>
        <v>No</v>
      </c>
      <c r="O59" s="6" t="s">
        <v>48</v>
      </c>
    </row>
    <row r="60" customFormat="false" ht="15" hidden="false" customHeight="false" outlineLevel="0" collapsed="false">
      <c r="A60" s="6" t="s">
        <v>225</v>
      </c>
      <c r="B60" s="6" t="s">
        <v>226</v>
      </c>
      <c r="C60" s="6" t="s">
        <v>75</v>
      </c>
      <c r="D60" s="6" t="n">
        <v>18</v>
      </c>
      <c r="E60" s="6" t="s">
        <v>95</v>
      </c>
      <c r="F60" s="6" t="s">
        <v>95</v>
      </c>
      <c r="G60" s="26" t="n">
        <v>46219</v>
      </c>
      <c r="H60" s="6" t="s">
        <v>102</v>
      </c>
      <c r="I60" s="26" t="n">
        <f aca="false">_xlfn.MINIFS(Transaction!$C$2:$C$8421,Transaction!$B$2:$B$8421,A60)</f>
        <v>46244</v>
      </c>
      <c r="J60" s="26" t="n">
        <f aca="false">_xlfn.MAXIFS(Transaction!$C$2:$C$8421,Transaction!$B$2:$B$8421,A60)</f>
        <v>46244</v>
      </c>
      <c r="K60" s="6" t="n">
        <f aca="false">COUNTIF(Transaction!$B$2:$B$8421,A60)</f>
        <v>1</v>
      </c>
      <c r="L60" s="10" t="n">
        <f aca="false">SUMIF(Transaction!$B$2:$B$8421,A60,Transaction!$H$2:$H$8421)</f>
        <v>4078</v>
      </c>
      <c r="M60" s="6" t="n">
        <f aca="false">Summary!$B$3-J60</f>
        <v>22</v>
      </c>
      <c r="N60" s="6" t="str">
        <f aca="false">IF(K60&gt;1,"Yes","No")</f>
        <v>No</v>
      </c>
      <c r="O60" s="6" t="s">
        <v>47</v>
      </c>
    </row>
    <row r="61" customFormat="false" ht="15" hidden="false" customHeight="false" outlineLevel="0" collapsed="false">
      <c r="A61" s="6" t="s">
        <v>227</v>
      </c>
      <c r="B61" s="6" t="s">
        <v>228</v>
      </c>
      <c r="C61" s="6" t="s">
        <v>75</v>
      </c>
      <c r="D61" s="6" t="n">
        <v>40</v>
      </c>
      <c r="E61" s="6" t="s">
        <v>91</v>
      </c>
      <c r="F61" s="6" t="s">
        <v>77</v>
      </c>
      <c r="G61" s="26" t="n">
        <v>46037</v>
      </c>
      <c r="H61" s="6" t="s">
        <v>115</v>
      </c>
      <c r="I61" s="26" t="n">
        <f aca="false">_xlfn.MINIFS(Transaction!$C$2:$C$8421,Transaction!$B$2:$B$8421,A61)</f>
        <v>46088</v>
      </c>
      <c r="J61" s="26" t="n">
        <f aca="false">_xlfn.MAXIFS(Transaction!$C$2:$C$8421,Transaction!$B$2:$B$8421,A61)</f>
        <v>46249</v>
      </c>
      <c r="K61" s="6" t="n">
        <f aca="false">COUNTIF(Transaction!$B$2:$B$8421,A61)</f>
        <v>8</v>
      </c>
      <c r="L61" s="10" t="n">
        <f aca="false">SUMIF(Transaction!$B$2:$B$8421,A61,Transaction!$H$2:$H$8421)</f>
        <v>17832</v>
      </c>
      <c r="M61" s="6" t="n">
        <f aca="false">Summary!$B$3-J61</f>
        <v>17</v>
      </c>
      <c r="N61" s="6" t="str">
        <f aca="false">IF(K61&gt;1,"Yes","No")</f>
        <v>Yes</v>
      </c>
      <c r="O61" s="6" t="s">
        <v>45</v>
      </c>
    </row>
    <row r="62" customFormat="false" ht="15" hidden="false" customHeight="false" outlineLevel="0" collapsed="false">
      <c r="A62" s="6" t="s">
        <v>229</v>
      </c>
      <c r="B62" s="6" t="s">
        <v>230</v>
      </c>
      <c r="C62" s="6" t="s">
        <v>85</v>
      </c>
      <c r="D62" s="6" t="n">
        <v>31</v>
      </c>
      <c r="E62" s="6" t="s">
        <v>76</v>
      </c>
      <c r="F62" s="6" t="s">
        <v>77</v>
      </c>
      <c r="G62" s="26" t="n">
        <v>46195</v>
      </c>
      <c r="H62" s="6" t="s">
        <v>123</v>
      </c>
      <c r="I62" s="26" t="n">
        <f aca="false">_xlfn.MINIFS(Transaction!$C$2:$C$8421,Transaction!$B$2:$B$8421,A62)</f>
        <v>46248</v>
      </c>
      <c r="J62" s="26" t="n">
        <f aca="false">_xlfn.MAXIFS(Transaction!$C$2:$C$8421,Transaction!$B$2:$B$8421,A62)</f>
        <v>46248</v>
      </c>
      <c r="K62" s="6" t="n">
        <f aca="false">COUNTIF(Transaction!$B$2:$B$8421,A62)</f>
        <v>1</v>
      </c>
      <c r="L62" s="10" t="n">
        <f aca="false">SUMIF(Transaction!$B$2:$B$8421,A62,Transaction!$H$2:$H$8421)</f>
        <v>913</v>
      </c>
      <c r="M62" s="6" t="n">
        <f aca="false">Summary!$B$3-J62</f>
        <v>18</v>
      </c>
      <c r="N62" s="6" t="str">
        <f aca="false">IF(K62&gt;1,"Yes","No")</f>
        <v>No</v>
      </c>
      <c r="O62" s="6" t="s">
        <v>47</v>
      </c>
    </row>
    <row r="63" customFormat="false" ht="15" hidden="false" customHeight="false" outlineLevel="0" collapsed="false">
      <c r="A63" s="6" t="s">
        <v>231</v>
      </c>
      <c r="B63" s="6" t="s">
        <v>232</v>
      </c>
      <c r="C63" s="6" t="s">
        <v>75</v>
      </c>
      <c r="D63" s="6" t="n">
        <v>47</v>
      </c>
      <c r="E63" s="6" t="s">
        <v>134</v>
      </c>
      <c r="F63" s="6" t="s">
        <v>135</v>
      </c>
      <c r="G63" s="26" t="n">
        <v>46168</v>
      </c>
      <c r="H63" s="6" t="s">
        <v>78</v>
      </c>
      <c r="I63" s="26" t="n">
        <f aca="false">_xlfn.MINIFS(Transaction!$C$2:$C$8421,Transaction!$B$2:$B$8421,A63)</f>
        <v>46242</v>
      </c>
      <c r="J63" s="26" t="n">
        <f aca="false">_xlfn.MAXIFS(Transaction!$C$2:$C$8421,Transaction!$B$2:$B$8421,A63)</f>
        <v>46242</v>
      </c>
      <c r="K63" s="6" t="n">
        <f aca="false">COUNTIF(Transaction!$B$2:$B$8421,A63)</f>
        <v>1</v>
      </c>
      <c r="L63" s="10" t="n">
        <f aca="false">SUMIF(Transaction!$B$2:$B$8421,A63,Transaction!$H$2:$H$8421)</f>
        <v>916</v>
      </c>
      <c r="M63" s="6" t="n">
        <f aca="false">Summary!$B$3-J63</f>
        <v>24</v>
      </c>
      <c r="N63" s="6" t="str">
        <f aca="false">IF(K63&gt;1,"Yes","No")</f>
        <v>No</v>
      </c>
      <c r="O63" s="6" t="s">
        <v>47</v>
      </c>
    </row>
    <row r="64" customFormat="false" ht="15" hidden="false" customHeight="false" outlineLevel="0" collapsed="false">
      <c r="A64" s="6" t="s">
        <v>233</v>
      </c>
      <c r="B64" s="6" t="s">
        <v>234</v>
      </c>
      <c r="C64" s="6" t="s">
        <v>75</v>
      </c>
      <c r="D64" s="6" t="n">
        <v>37</v>
      </c>
      <c r="E64" s="6" t="s">
        <v>81</v>
      </c>
      <c r="F64" s="6" t="s">
        <v>82</v>
      </c>
      <c r="G64" s="26" t="n">
        <v>45961</v>
      </c>
      <c r="H64" s="6" t="s">
        <v>78</v>
      </c>
      <c r="I64" s="26" t="n">
        <f aca="false">_xlfn.MINIFS(Transaction!$C$2:$C$8421,Transaction!$B$2:$B$8421,A64)</f>
        <v>46025</v>
      </c>
      <c r="J64" s="26" t="n">
        <f aca="false">_xlfn.MAXIFS(Transaction!$C$2:$C$8421,Transaction!$B$2:$B$8421,A64)</f>
        <v>46025</v>
      </c>
      <c r="K64" s="6" t="n">
        <f aca="false">COUNTIF(Transaction!$B$2:$B$8421,A64)</f>
        <v>1</v>
      </c>
      <c r="L64" s="10" t="n">
        <f aca="false">SUMIF(Transaction!$B$2:$B$8421,A64,Transaction!$H$2:$H$8421)</f>
        <v>884</v>
      </c>
      <c r="M64" s="6" t="n">
        <f aca="false">Summary!$B$3-J64</f>
        <v>241</v>
      </c>
      <c r="N64" s="6" t="str">
        <f aca="false">IF(K64&gt;1,"Yes","No")</f>
        <v>No</v>
      </c>
      <c r="O64" s="6" t="s">
        <v>49</v>
      </c>
    </row>
    <row r="65" customFormat="false" ht="15" hidden="false" customHeight="false" outlineLevel="0" collapsed="false">
      <c r="A65" s="6" t="s">
        <v>235</v>
      </c>
      <c r="B65" s="6" t="s">
        <v>236</v>
      </c>
      <c r="C65" s="6" t="s">
        <v>75</v>
      </c>
      <c r="D65" s="6" t="n">
        <v>40</v>
      </c>
      <c r="E65" s="6" t="s">
        <v>237</v>
      </c>
      <c r="F65" s="6" t="s">
        <v>87</v>
      </c>
      <c r="G65" s="26" t="n">
        <v>46054</v>
      </c>
      <c r="H65" s="6" t="s">
        <v>78</v>
      </c>
      <c r="I65" s="26" t="n">
        <f aca="false">_xlfn.MINIFS(Transaction!$C$2:$C$8421,Transaction!$B$2:$B$8421,A65)</f>
        <v>46055</v>
      </c>
      <c r="J65" s="26" t="n">
        <f aca="false">_xlfn.MAXIFS(Transaction!$C$2:$C$8421,Transaction!$B$2:$B$8421,A65)</f>
        <v>46182</v>
      </c>
      <c r="K65" s="6" t="n">
        <f aca="false">COUNTIF(Transaction!$B$2:$B$8421,A65)</f>
        <v>4</v>
      </c>
      <c r="L65" s="10" t="n">
        <f aca="false">SUMIF(Transaction!$B$2:$B$8421,A65,Transaction!$H$2:$H$8421)</f>
        <v>28299</v>
      </c>
      <c r="M65" s="6" t="n">
        <f aca="false">Summary!$B$3-J65</f>
        <v>84</v>
      </c>
      <c r="N65" s="6" t="str">
        <f aca="false">IF(K65&gt;1,"Yes","No")</f>
        <v>Yes</v>
      </c>
      <c r="O65" s="6" t="s">
        <v>46</v>
      </c>
    </row>
    <row r="66" customFormat="false" ht="15" hidden="false" customHeight="false" outlineLevel="0" collapsed="false">
      <c r="A66" s="6" t="s">
        <v>238</v>
      </c>
      <c r="B66" s="6" t="s">
        <v>239</v>
      </c>
      <c r="C66" s="6" t="s">
        <v>85</v>
      </c>
      <c r="D66" s="6" t="n">
        <v>22</v>
      </c>
      <c r="E66" s="6" t="s">
        <v>146</v>
      </c>
      <c r="F66" s="6" t="s">
        <v>147</v>
      </c>
      <c r="G66" s="26" t="n">
        <v>46131</v>
      </c>
      <c r="H66" s="6" t="s">
        <v>102</v>
      </c>
      <c r="I66" s="26" t="n">
        <f aca="false">_xlfn.MINIFS(Transaction!$C$2:$C$8421,Transaction!$B$2:$B$8421,A66)</f>
        <v>46160</v>
      </c>
      <c r="J66" s="26" t="n">
        <f aca="false">_xlfn.MAXIFS(Transaction!$C$2:$C$8421,Transaction!$B$2:$B$8421,A66)</f>
        <v>46160</v>
      </c>
      <c r="K66" s="6" t="n">
        <f aca="false">COUNTIF(Transaction!$B$2:$B$8421,A66)</f>
        <v>1</v>
      </c>
      <c r="L66" s="10" t="n">
        <f aca="false">SUMIF(Transaction!$B$2:$B$8421,A66,Transaction!$H$2:$H$8421)</f>
        <v>1258</v>
      </c>
      <c r="M66" s="6" t="n">
        <f aca="false">Summary!$B$3-J66</f>
        <v>106</v>
      </c>
      <c r="N66" s="6" t="str">
        <f aca="false">IF(K66&gt;1,"Yes","No")</f>
        <v>No</v>
      </c>
      <c r="O66" s="6" t="s">
        <v>48</v>
      </c>
    </row>
    <row r="67" customFormat="false" ht="15" hidden="false" customHeight="false" outlineLevel="0" collapsed="false">
      <c r="A67" s="6" t="s">
        <v>240</v>
      </c>
      <c r="B67" s="6" t="s">
        <v>241</v>
      </c>
      <c r="C67" s="6" t="s">
        <v>85</v>
      </c>
      <c r="D67" s="6" t="n">
        <v>28</v>
      </c>
      <c r="E67" s="6" t="s">
        <v>95</v>
      </c>
      <c r="F67" s="6" t="s">
        <v>95</v>
      </c>
      <c r="G67" s="26" t="n">
        <v>46093</v>
      </c>
      <c r="H67" s="6" t="s">
        <v>115</v>
      </c>
      <c r="I67" s="26" t="n">
        <f aca="false">_xlfn.MINIFS(Transaction!$C$2:$C$8421,Transaction!$B$2:$B$8421,A67)</f>
        <v>46157</v>
      </c>
      <c r="J67" s="26" t="n">
        <f aca="false">_xlfn.MAXIFS(Transaction!$C$2:$C$8421,Transaction!$B$2:$B$8421,A67)</f>
        <v>46157</v>
      </c>
      <c r="K67" s="6" t="n">
        <f aca="false">COUNTIF(Transaction!$B$2:$B$8421,A67)</f>
        <v>1</v>
      </c>
      <c r="L67" s="10" t="n">
        <f aca="false">SUMIF(Transaction!$B$2:$B$8421,A67,Transaction!$H$2:$H$8421)</f>
        <v>746</v>
      </c>
      <c r="M67" s="6" t="n">
        <f aca="false">Summary!$B$3-J67</f>
        <v>109</v>
      </c>
      <c r="N67" s="6" t="str">
        <f aca="false">IF(K67&gt;1,"Yes","No")</f>
        <v>No</v>
      </c>
      <c r="O67" s="6" t="s">
        <v>48</v>
      </c>
    </row>
    <row r="68" customFormat="false" ht="15" hidden="false" customHeight="false" outlineLevel="0" collapsed="false">
      <c r="A68" s="6" t="s">
        <v>242</v>
      </c>
      <c r="B68" s="6" t="s">
        <v>243</v>
      </c>
      <c r="C68" s="6" t="s">
        <v>75</v>
      </c>
      <c r="D68" s="6" t="n">
        <v>38</v>
      </c>
      <c r="E68" s="6" t="s">
        <v>91</v>
      </c>
      <c r="F68" s="6" t="s">
        <v>77</v>
      </c>
      <c r="G68" s="26" t="n">
        <v>46205</v>
      </c>
      <c r="H68" s="6" t="s">
        <v>115</v>
      </c>
      <c r="I68" s="26" t="n">
        <f aca="false">_xlfn.MINIFS(Transaction!$C$2:$C$8421,Transaction!$B$2:$B$8421,A68)</f>
        <v>46254</v>
      </c>
      <c r="J68" s="26" t="n">
        <f aca="false">_xlfn.MAXIFS(Transaction!$C$2:$C$8421,Transaction!$B$2:$B$8421,A68)</f>
        <v>46254</v>
      </c>
      <c r="K68" s="6" t="n">
        <f aca="false">COUNTIF(Transaction!$B$2:$B$8421,A68)</f>
        <v>1</v>
      </c>
      <c r="L68" s="10" t="n">
        <f aca="false">SUMIF(Transaction!$B$2:$B$8421,A68,Transaction!$H$2:$H$8421)</f>
        <v>1670</v>
      </c>
      <c r="M68" s="6" t="n">
        <f aca="false">Summary!$B$3-J68</f>
        <v>12</v>
      </c>
      <c r="N68" s="6" t="str">
        <f aca="false">IF(K68&gt;1,"Yes","No")</f>
        <v>No</v>
      </c>
      <c r="O68" s="6" t="s">
        <v>47</v>
      </c>
    </row>
    <row r="69" customFormat="false" ht="15" hidden="false" customHeight="false" outlineLevel="0" collapsed="false">
      <c r="A69" s="6" t="s">
        <v>244</v>
      </c>
      <c r="B69" s="6" t="s">
        <v>245</v>
      </c>
      <c r="C69" s="6" t="s">
        <v>85</v>
      </c>
      <c r="D69" s="6" t="n">
        <v>30</v>
      </c>
      <c r="E69" s="6" t="s">
        <v>95</v>
      </c>
      <c r="F69" s="6" t="s">
        <v>95</v>
      </c>
      <c r="G69" s="26" t="n">
        <v>46101</v>
      </c>
      <c r="H69" s="6" t="s">
        <v>102</v>
      </c>
      <c r="I69" s="26" t="n">
        <f aca="false">_xlfn.MINIFS(Transaction!$C$2:$C$8421,Transaction!$B$2:$B$8421,A69)</f>
        <v>46148</v>
      </c>
      <c r="J69" s="26" t="n">
        <f aca="false">_xlfn.MAXIFS(Transaction!$C$2:$C$8421,Transaction!$B$2:$B$8421,A69)</f>
        <v>46148</v>
      </c>
      <c r="K69" s="6" t="n">
        <f aca="false">COUNTIF(Transaction!$B$2:$B$8421,A69)</f>
        <v>1</v>
      </c>
      <c r="L69" s="10" t="n">
        <f aca="false">SUMIF(Transaction!$B$2:$B$8421,A69,Transaction!$H$2:$H$8421)</f>
        <v>977</v>
      </c>
      <c r="M69" s="6" t="n">
        <f aca="false">Summary!$B$3-J69</f>
        <v>118</v>
      </c>
      <c r="N69" s="6" t="str">
        <f aca="false">IF(K69&gt;1,"Yes","No")</f>
        <v>No</v>
      </c>
      <c r="O69" s="6" t="s">
        <v>48</v>
      </c>
    </row>
    <row r="70" customFormat="false" ht="15" hidden="false" customHeight="false" outlineLevel="0" collapsed="false">
      <c r="A70" s="6" t="s">
        <v>246</v>
      </c>
      <c r="B70" s="6" t="s">
        <v>247</v>
      </c>
      <c r="C70" s="6" t="s">
        <v>75</v>
      </c>
      <c r="D70" s="6" t="n">
        <v>33</v>
      </c>
      <c r="E70" s="6" t="s">
        <v>134</v>
      </c>
      <c r="F70" s="6" t="s">
        <v>135</v>
      </c>
      <c r="G70" s="26" t="n">
        <v>45967</v>
      </c>
      <c r="H70" s="6" t="s">
        <v>115</v>
      </c>
      <c r="I70" s="26" t="n">
        <f aca="false">_xlfn.MINIFS(Transaction!$C$2:$C$8421,Transaction!$B$2:$B$8421,A70)</f>
        <v>46036</v>
      </c>
      <c r="J70" s="26" t="n">
        <f aca="false">_xlfn.MAXIFS(Transaction!$C$2:$C$8421,Transaction!$B$2:$B$8421,A70)</f>
        <v>46174</v>
      </c>
      <c r="K70" s="6" t="n">
        <f aca="false">COUNTIF(Transaction!$B$2:$B$8421,A70)</f>
        <v>3</v>
      </c>
      <c r="L70" s="10" t="n">
        <f aca="false">SUMIF(Transaction!$B$2:$B$8421,A70,Transaction!$H$2:$H$8421)</f>
        <v>6779</v>
      </c>
      <c r="M70" s="6" t="n">
        <f aca="false">Summary!$B$3-J70</f>
        <v>92</v>
      </c>
      <c r="N70" s="6" t="str">
        <f aca="false">IF(K70&gt;1,"Yes","No")</f>
        <v>Yes</v>
      </c>
      <c r="O70" s="6" t="s">
        <v>46</v>
      </c>
    </row>
    <row r="71" customFormat="false" ht="15" hidden="false" customHeight="false" outlineLevel="0" collapsed="false">
      <c r="A71" s="6" t="s">
        <v>248</v>
      </c>
      <c r="B71" s="6" t="s">
        <v>249</v>
      </c>
      <c r="C71" s="6" t="s">
        <v>75</v>
      </c>
      <c r="D71" s="6" t="n">
        <v>55</v>
      </c>
      <c r="E71" s="6" t="s">
        <v>95</v>
      </c>
      <c r="F71" s="6" t="s">
        <v>95</v>
      </c>
      <c r="G71" s="26" t="n">
        <v>46232</v>
      </c>
      <c r="H71" s="6" t="s">
        <v>92</v>
      </c>
      <c r="I71" s="26" t="n">
        <f aca="false">_xlfn.MINIFS(Transaction!$C$2:$C$8421,Transaction!$B$2:$B$8421,A71)</f>
        <v>46241</v>
      </c>
      <c r="J71" s="26" t="n">
        <f aca="false">_xlfn.MAXIFS(Transaction!$C$2:$C$8421,Transaction!$B$2:$B$8421,A71)</f>
        <v>46241</v>
      </c>
      <c r="K71" s="6" t="n">
        <f aca="false">COUNTIF(Transaction!$B$2:$B$8421,A71)</f>
        <v>1</v>
      </c>
      <c r="L71" s="10" t="n">
        <f aca="false">SUMIF(Transaction!$B$2:$B$8421,A71,Transaction!$H$2:$H$8421)</f>
        <v>782</v>
      </c>
      <c r="M71" s="6" t="n">
        <f aca="false">Summary!$B$3-J71</f>
        <v>25</v>
      </c>
      <c r="N71" s="6" t="str">
        <f aca="false">IF(K71&gt;1,"Yes","No")</f>
        <v>No</v>
      </c>
      <c r="O71" s="6" t="s">
        <v>47</v>
      </c>
    </row>
    <row r="72" customFormat="false" ht="15" hidden="false" customHeight="false" outlineLevel="0" collapsed="false">
      <c r="A72" s="6" t="s">
        <v>250</v>
      </c>
      <c r="B72" s="6" t="s">
        <v>251</v>
      </c>
      <c r="C72" s="6" t="s">
        <v>75</v>
      </c>
      <c r="D72" s="6" t="n">
        <v>23</v>
      </c>
      <c r="E72" s="6" t="s">
        <v>134</v>
      </c>
      <c r="F72" s="6" t="s">
        <v>135</v>
      </c>
      <c r="G72" s="26" t="n">
        <v>45998</v>
      </c>
      <c r="H72" s="6" t="s">
        <v>88</v>
      </c>
      <c r="I72" s="26" t="n">
        <f aca="false">_xlfn.MINIFS(Transaction!$C$2:$C$8421,Transaction!$B$2:$B$8421,A72)</f>
        <v>46023</v>
      </c>
      <c r="J72" s="26" t="n">
        <f aca="false">_xlfn.MAXIFS(Transaction!$C$2:$C$8421,Transaction!$B$2:$B$8421,A72)</f>
        <v>46205</v>
      </c>
      <c r="K72" s="6" t="n">
        <f aca="false">COUNTIF(Transaction!$B$2:$B$8421,A72)</f>
        <v>6</v>
      </c>
      <c r="L72" s="10" t="n">
        <f aca="false">SUMIF(Transaction!$B$2:$B$8421,A72,Transaction!$H$2:$H$8421)</f>
        <v>8258</v>
      </c>
      <c r="M72" s="6" t="n">
        <f aca="false">Summary!$B$3-J72</f>
        <v>61</v>
      </c>
      <c r="N72" s="6" t="str">
        <f aca="false">IF(K72&gt;1,"Yes","No")</f>
        <v>Yes</v>
      </c>
      <c r="O72" s="6" t="s">
        <v>46</v>
      </c>
    </row>
    <row r="73" customFormat="false" ht="15" hidden="false" customHeight="false" outlineLevel="0" collapsed="false">
      <c r="A73" s="6" t="s">
        <v>252</v>
      </c>
      <c r="B73" s="6" t="s">
        <v>253</v>
      </c>
      <c r="C73" s="6" t="s">
        <v>75</v>
      </c>
      <c r="D73" s="6" t="n">
        <v>25</v>
      </c>
      <c r="E73" s="6" t="s">
        <v>76</v>
      </c>
      <c r="F73" s="6" t="s">
        <v>77</v>
      </c>
      <c r="G73" s="26" t="n">
        <v>46224</v>
      </c>
      <c r="H73" s="6" t="s">
        <v>115</v>
      </c>
      <c r="I73" s="26" t="n">
        <f aca="false">_xlfn.MINIFS(Transaction!$C$2:$C$8421,Transaction!$B$2:$B$8421,A73)</f>
        <v>46242</v>
      </c>
      <c r="J73" s="26" t="n">
        <f aca="false">_xlfn.MAXIFS(Transaction!$C$2:$C$8421,Transaction!$B$2:$B$8421,A73)</f>
        <v>46242</v>
      </c>
      <c r="K73" s="6" t="n">
        <f aca="false">COUNTIF(Transaction!$B$2:$B$8421,A73)</f>
        <v>1</v>
      </c>
      <c r="L73" s="10" t="n">
        <f aca="false">SUMIF(Transaction!$B$2:$B$8421,A73,Transaction!$H$2:$H$8421)</f>
        <v>4302</v>
      </c>
      <c r="M73" s="6" t="n">
        <f aca="false">Summary!$B$3-J73</f>
        <v>24</v>
      </c>
      <c r="N73" s="6" t="str">
        <f aca="false">IF(K73&gt;1,"Yes","No")</f>
        <v>No</v>
      </c>
      <c r="O73" s="6" t="s">
        <v>47</v>
      </c>
    </row>
    <row r="74" customFormat="false" ht="15" hidden="false" customHeight="false" outlineLevel="0" collapsed="false">
      <c r="A74" s="6" t="s">
        <v>254</v>
      </c>
      <c r="B74" s="6" t="s">
        <v>255</v>
      </c>
      <c r="C74" s="6" t="s">
        <v>85</v>
      </c>
      <c r="D74" s="6" t="n">
        <v>28</v>
      </c>
      <c r="E74" s="6" t="s">
        <v>76</v>
      </c>
      <c r="F74" s="6" t="s">
        <v>77</v>
      </c>
      <c r="G74" s="26" t="n">
        <v>46044</v>
      </c>
      <c r="H74" s="6" t="s">
        <v>92</v>
      </c>
      <c r="I74" s="26" t="n">
        <f aca="false">_xlfn.MINIFS(Transaction!$C$2:$C$8421,Transaction!$B$2:$B$8421,A74)</f>
        <v>46073</v>
      </c>
      <c r="J74" s="26" t="n">
        <f aca="false">_xlfn.MAXIFS(Transaction!$C$2:$C$8421,Transaction!$B$2:$B$8421,A74)</f>
        <v>46073</v>
      </c>
      <c r="K74" s="6" t="n">
        <f aca="false">COUNTIF(Transaction!$B$2:$B$8421,A74)</f>
        <v>1</v>
      </c>
      <c r="L74" s="10" t="n">
        <f aca="false">SUMIF(Transaction!$B$2:$B$8421,A74,Transaction!$H$2:$H$8421)</f>
        <v>1120</v>
      </c>
      <c r="M74" s="6" t="n">
        <f aca="false">Summary!$B$3-J74</f>
        <v>193</v>
      </c>
      <c r="N74" s="6" t="str">
        <f aca="false">IF(K74&gt;1,"Yes","No")</f>
        <v>No</v>
      </c>
      <c r="O74" s="6" t="s">
        <v>49</v>
      </c>
    </row>
    <row r="75" customFormat="false" ht="15" hidden="false" customHeight="false" outlineLevel="0" collapsed="false">
      <c r="A75" s="6" t="s">
        <v>256</v>
      </c>
      <c r="B75" s="6" t="s">
        <v>257</v>
      </c>
      <c r="C75" s="6" t="s">
        <v>85</v>
      </c>
      <c r="D75" s="6" t="n">
        <v>29</v>
      </c>
      <c r="E75" s="6" t="s">
        <v>121</v>
      </c>
      <c r="F75" s="6" t="s">
        <v>122</v>
      </c>
      <c r="G75" s="26" t="n">
        <v>46181</v>
      </c>
      <c r="H75" s="6" t="s">
        <v>92</v>
      </c>
      <c r="I75" s="26" t="n">
        <f aca="false">_xlfn.MINIFS(Transaction!$C$2:$C$8421,Transaction!$B$2:$B$8421,A75)</f>
        <v>46187</v>
      </c>
      <c r="J75" s="26" t="n">
        <f aca="false">_xlfn.MAXIFS(Transaction!$C$2:$C$8421,Transaction!$B$2:$B$8421,A75)</f>
        <v>46245</v>
      </c>
      <c r="K75" s="6" t="n">
        <f aca="false">COUNTIF(Transaction!$B$2:$B$8421,A75)</f>
        <v>3</v>
      </c>
      <c r="L75" s="10" t="n">
        <f aca="false">SUMIF(Transaction!$B$2:$B$8421,A75,Transaction!$H$2:$H$8421)</f>
        <v>5457</v>
      </c>
      <c r="M75" s="6" t="n">
        <f aca="false">Summary!$B$3-J75</f>
        <v>21</v>
      </c>
      <c r="N75" s="6" t="str">
        <f aca="false">IF(K75&gt;1,"Yes","No")</f>
        <v>Yes</v>
      </c>
      <c r="O75" s="6" t="s">
        <v>46</v>
      </c>
    </row>
    <row r="76" customFormat="false" ht="15" hidden="false" customHeight="false" outlineLevel="0" collapsed="false">
      <c r="A76" s="6" t="s">
        <v>258</v>
      </c>
      <c r="B76" s="6" t="s">
        <v>259</v>
      </c>
      <c r="C76" s="6" t="s">
        <v>85</v>
      </c>
      <c r="D76" s="6" t="n">
        <v>35</v>
      </c>
      <c r="E76" s="6" t="s">
        <v>134</v>
      </c>
      <c r="F76" s="6" t="s">
        <v>135</v>
      </c>
      <c r="G76" s="26" t="n">
        <v>45996</v>
      </c>
      <c r="H76" s="6" t="s">
        <v>115</v>
      </c>
      <c r="I76" s="26" t="n">
        <f aca="false">_xlfn.MINIFS(Transaction!$C$2:$C$8421,Transaction!$B$2:$B$8421,A76)</f>
        <v>46057</v>
      </c>
      <c r="J76" s="26" t="n">
        <f aca="false">_xlfn.MAXIFS(Transaction!$C$2:$C$8421,Transaction!$B$2:$B$8421,A76)</f>
        <v>46234</v>
      </c>
      <c r="K76" s="6" t="n">
        <f aca="false">COUNTIF(Transaction!$B$2:$B$8421,A76)</f>
        <v>4</v>
      </c>
      <c r="L76" s="10" t="n">
        <f aca="false">SUMIF(Transaction!$B$2:$B$8421,A76,Transaction!$H$2:$H$8421)</f>
        <v>4011</v>
      </c>
      <c r="M76" s="6" t="n">
        <f aca="false">Summary!$B$3-J76</f>
        <v>32</v>
      </c>
      <c r="N76" s="6" t="str">
        <f aca="false">IF(K76&gt;1,"Yes","No")</f>
        <v>Yes</v>
      </c>
      <c r="O76" s="6" t="s">
        <v>46</v>
      </c>
    </row>
    <row r="77" customFormat="false" ht="15" hidden="false" customHeight="false" outlineLevel="0" collapsed="false">
      <c r="A77" s="6" t="s">
        <v>260</v>
      </c>
      <c r="B77" s="6" t="s">
        <v>261</v>
      </c>
      <c r="C77" s="6" t="s">
        <v>75</v>
      </c>
      <c r="D77" s="6" t="n">
        <v>28</v>
      </c>
      <c r="E77" s="6" t="s">
        <v>121</v>
      </c>
      <c r="F77" s="6" t="s">
        <v>122</v>
      </c>
      <c r="G77" s="26" t="n">
        <v>46029</v>
      </c>
      <c r="H77" s="6" t="s">
        <v>115</v>
      </c>
      <c r="I77" s="26" t="n">
        <f aca="false">_xlfn.MINIFS(Transaction!$C$2:$C$8421,Transaction!$B$2:$B$8421,A77)</f>
        <v>46060</v>
      </c>
      <c r="J77" s="26" t="n">
        <f aca="false">_xlfn.MAXIFS(Transaction!$C$2:$C$8421,Transaction!$B$2:$B$8421,A77)</f>
        <v>46264</v>
      </c>
      <c r="K77" s="6" t="n">
        <f aca="false">COUNTIF(Transaction!$B$2:$B$8421,A77)</f>
        <v>13</v>
      </c>
      <c r="L77" s="10" t="n">
        <f aca="false">SUMIF(Transaction!$B$2:$B$8421,A77,Transaction!$H$2:$H$8421)</f>
        <v>43138</v>
      </c>
      <c r="M77" s="6" t="n">
        <f aca="false">Summary!$B$3-J77</f>
        <v>2</v>
      </c>
      <c r="N77" s="6" t="str">
        <f aca="false">IF(K77&gt;1,"Yes","No")</f>
        <v>Yes</v>
      </c>
      <c r="O77" s="6" t="s">
        <v>45</v>
      </c>
    </row>
    <row r="78" customFormat="false" ht="15" hidden="false" customHeight="false" outlineLevel="0" collapsed="false">
      <c r="A78" s="6" t="s">
        <v>262</v>
      </c>
      <c r="B78" s="6" t="s">
        <v>263</v>
      </c>
      <c r="C78" s="6" t="s">
        <v>85</v>
      </c>
      <c r="D78" s="6" t="n">
        <v>33</v>
      </c>
      <c r="E78" s="6" t="s">
        <v>264</v>
      </c>
      <c r="F78" s="6" t="s">
        <v>106</v>
      </c>
      <c r="G78" s="26" t="n">
        <v>46026</v>
      </c>
      <c r="H78" s="6" t="s">
        <v>78</v>
      </c>
      <c r="I78" s="26" t="n">
        <f aca="false">_xlfn.MINIFS(Transaction!$C$2:$C$8421,Transaction!$B$2:$B$8421,A78)</f>
        <v>46048</v>
      </c>
      <c r="J78" s="26" t="n">
        <f aca="false">_xlfn.MAXIFS(Transaction!$C$2:$C$8421,Transaction!$B$2:$B$8421,A78)</f>
        <v>46247</v>
      </c>
      <c r="K78" s="6" t="n">
        <f aca="false">COUNTIF(Transaction!$B$2:$B$8421,A78)</f>
        <v>10</v>
      </c>
      <c r="L78" s="10" t="n">
        <f aca="false">SUMIF(Transaction!$B$2:$B$8421,A78,Transaction!$H$2:$H$8421)</f>
        <v>12995</v>
      </c>
      <c r="M78" s="6" t="n">
        <f aca="false">Summary!$B$3-J78</f>
        <v>19</v>
      </c>
      <c r="N78" s="6" t="str">
        <f aca="false">IF(K78&gt;1,"Yes","No")</f>
        <v>Yes</v>
      </c>
      <c r="O78" s="6" t="s">
        <v>45</v>
      </c>
    </row>
    <row r="79" customFormat="false" ht="15" hidden="false" customHeight="false" outlineLevel="0" collapsed="false">
      <c r="A79" s="6" t="s">
        <v>265</v>
      </c>
      <c r="B79" s="6" t="s">
        <v>266</v>
      </c>
      <c r="C79" s="6" t="s">
        <v>85</v>
      </c>
      <c r="D79" s="6" t="n">
        <v>27</v>
      </c>
      <c r="E79" s="6" t="s">
        <v>81</v>
      </c>
      <c r="F79" s="6" t="s">
        <v>82</v>
      </c>
      <c r="G79" s="26" t="n">
        <v>45977</v>
      </c>
      <c r="H79" s="6" t="s">
        <v>88</v>
      </c>
      <c r="I79" s="26" t="n">
        <f aca="false">_xlfn.MINIFS(Transaction!$C$2:$C$8421,Transaction!$B$2:$B$8421,A79)</f>
        <v>46062</v>
      </c>
      <c r="J79" s="26" t="n">
        <f aca="false">_xlfn.MAXIFS(Transaction!$C$2:$C$8421,Transaction!$B$2:$B$8421,A79)</f>
        <v>46249</v>
      </c>
      <c r="K79" s="6" t="n">
        <f aca="false">COUNTIF(Transaction!$B$2:$B$8421,A79)</f>
        <v>8</v>
      </c>
      <c r="L79" s="10" t="n">
        <f aca="false">SUMIF(Transaction!$B$2:$B$8421,A79,Transaction!$H$2:$H$8421)</f>
        <v>14621</v>
      </c>
      <c r="M79" s="6" t="n">
        <f aca="false">Summary!$B$3-J79</f>
        <v>17</v>
      </c>
      <c r="N79" s="6" t="str">
        <f aca="false">IF(K79&gt;1,"Yes","No")</f>
        <v>Yes</v>
      </c>
      <c r="O79" s="6" t="s">
        <v>45</v>
      </c>
    </row>
    <row r="80" customFormat="false" ht="15" hidden="false" customHeight="false" outlineLevel="0" collapsed="false">
      <c r="A80" s="6" t="s">
        <v>267</v>
      </c>
      <c r="B80" s="6" t="s">
        <v>268</v>
      </c>
      <c r="C80" s="6" t="s">
        <v>75</v>
      </c>
      <c r="D80" s="6" t="n">
        <v>31</v>
      </c>
      <c r="E80" s="6" t="s">
        <v>76</v>
      </c>
      <c r="F80" s="6" t="s">
        <v>77</v>
      </c>
      <c r="G80" s="26" t="n">
        <v>46083</v>
      </c>
      <c r="H80" s="6" t="s">
        <v>123</v>
      </c>
      <c r="I80" s="26" t="n">
        <f aca="false">_xlfn.MINIFS(Transaction!$C$2:$C$8421,Transaction!$B$2:$B$8421,A80)</f>
        <v>46156</v>
      </c>
      <c r="J80" s="26" t="n">
        <f aca="false">_xlfn.MAXIFS(Transaction!$C$2:$C$8421,Transaction!$B$2:$B$8421,A80)</f>
        <v>46156</v>
      </c>
      <c r="K80" s="6" t="n">
        <f aca="false">COUNTIF(Transaction!$B$2:$B$8421,A80)</f>
        <v>1</v>
      </c>
      <c r="L80" s="10" t="n">
        <f aca="false">SUMIF(Transaction!$B$2:$B$8421,A80,Transaction!$H$2:$H$8421)</f>
        <v>912</v>
      </c>
      <c r="M80" s="6" t="n">
        <f aca="false">Summary!$B$3-J80</f>
        <v>110</v>
      </c>
      <c r="N80" s="6" t="str">
        <f aca="false">IF(K80&gt;1,"Yes","No")</f>
        <v>No</v>
      </c>
      <c r="O80" s="6" t="s">
        <v>48</v>
      </c>
    </row>
    <row r="81" customFormat="false" ht="15" hidden="false" customHeight="false" outlineLevel="0" collapsed="false">
      <c r="A81" s="6" t="s">
        <v>269</v>
      </c>
      <c r="B81" s="6" t="s">
        <v>270</v>
      </c>
      <c r="C81" s="6" t="s">
        <v>75</v>
      </c>
      <c r="D81" s="6" t="n">
        <v>42</v>
      </c>
      <c r="E81" s="6" t="s">
        <v>81</v>
      </c>
      <c r="F81" s="6" t="s">
        <v>82</v>
      </c>
      <c r="G81" s="26" t="n">
        <v>46170</v>
      </c>
      <c r="H81" s="6" t="s">
        <v>78</v>
      </c>
      <c r="I81" s="26" t="n">
        <f aca="false">_xlfn.MINIFS(Transaction!$C$2:$C$8421,Transaction!$B$2:$B$8421,A81)</f>
        <v>46238</v>
      </c>
      <c r="J81" s="26" t="n">
        <f aca="false">_xlfn.MAXIFS(Transaction!$C$2:$C$8421,Transaction!$B$2:$B$8421,A81)</f>
        <v>46238</v>
      </c>
      <c r="K81" s="6" t="n">
        <f aca="false">COUNTIF(Transaction!$B$2:$B$8421,A81)</f>
        <v>1</v>
      </c>
      <c r="L81" s="10" t="n">
        <f aca="false">SUMIF(Transaction!$B$2:$B$8421,A81,Transaction!$H$2:$H$8421)</f>
        <v>1016</v>
      </c>
      <c r="M81" s="6" t="n">
        <f aca="false">Summary!$B$3-J81</f>
        <v>28</v>
      </c>
      <c r="N81" s="6" t="str">
        <f aca="false">IF(K81&gt;1,"Yes","No")</f>
        <v>No</v>
      </c>
      <c r="O81" s="6" t="s">
        <v>47</v>
      </c>
    </row>
    <row r="82" customFormat="false" ht="15" hidden="false" customHeight="false" outlineLevel="0" collapsed="false">
      <c r="A82" s="6" t="s">
        <v>271</v>
      </c>
      <c r="B82" s="6" t="s">
        <v>272</v>
      </c>
      <c r="C82" s="6" t="s">
        <v>75</v>
      </c>
      <c r="D82" s="6" t="n">
        <v>30</v>
      </c>
      <c r="E82" s="6" t="s">
        <v>81</v>
      </c>
      <c r="F82" s="6" t="s">
        <v>82</v>
      </c>
      <c r="G82" s="26" t="n">
        <v>46085</v>
      </c>
      <c r="H82" s="6" t="s">
        <v>115</v>
      </c>
      <c r="I82" s="26" t="n">
        <f aca="false">_xlfn.MINIFS(Transaction!$C$2:$C$8421,Transaction!$B$2:$B$8421,A82)</f>
        <v>46124</v>
      </c>
      <c r="J82" s="26" t="n">
        <f aca="false">_xlfn.MAXIFS(Transaction!$C$2:$C$8421,Transaction!$B$2:$B$8421,A82)</f>
        <v>46124</v>
      </c>
      <c r="K82" s="6" t="n">
        <f aca="false">COUNTIF(Transaction!$B$2:$B$8421,A82)</f>
        <v>1</v>
      </c>
      <c r="L82" s="10" t="n">
        <f aca="false">SUMIF(Transaction!$B$2:$B$8421,A82,Transaction!$H$2:$H$8421)</f>
        <v>702</v>
      </c>
      <c r="M82" s="6" t="n">
        <f aca="false">Summary!$B$3-J82</f>
        <v>142</v>
      </c>
      <c r="N82" s="6" t="str">
        <f aca="false">IF(K82&gt;1,"Yes","No")</f>
        <v>No</v>
      </c>
      <c r="O82" s="6" t="s">
        <v>48</v>
      </c>
    </row>
    <row r="83" customFormat="false" ht="15" hidden="false" customHeight="false" outlineLevel="0" collapsed="false">
      <c r="A83" s="6" t="s">
        <v>273</v>
      </c>
      <c r="B83" s="6" t="s">
        <v>274</v>
      </c>
      <c r="C83" s="6" t="s">
        <v>85</v>
      </c>
      <c r="D83" s="6" t="n">
        <v>25</v>
      </c>
      <c r="E83" s="6" t="s">
        <v>134</v>
      </c>
      <c r="F83" s="6" t="s">
        <v>135</v>
      </c>
      <c r="G83" s="26" t="n">
        <v>46184</v>
      </c>
      <c r="H83" s="6" t="s">
        <v>102</v>
      </c>
      <c r="I83" s="26" t="n">
        <f aca="false">_xlfn.MINIFS(Transaction!$C$2:$C$8421,Transaction!$B$2:$B$8421,A83)</f>
        <v>46224</v>
      </c>
      <c r="J83" s="26" t="n">
        <f aca="false">_xlfn.MAXIFS(Transaction!$C$2:$C$8421,Transaction!$B$2:$B$8421,A83)</f>
        <v>46224</v>
      </c>
      <c r="K83" s="6" t="n">
        <f aca="false">COUNTIF(Transaction!$B$2:$B$8421,A83)</f>
        <v>1</v>
      </c>
      <c r="L83" s="10" t="n">
        <f aca="false">SUMIF(Transaction!$B$2:$B$8421,A83,Transaction!$H$2:$H$8421)</f>
        <v>1486</v>
      </c>
      <c r="M83" s="6" t="n">
        <f aca="false">Summary!$B$3-J83</f>
        <v>42</v>
      </c>
      <c r="N83" s="6" t="str">
        <f aca="false">IF(K83&gt;1,"Yes","No")</f>
        <v>No</v>
      </c>
      <c r="O83" s="6" t="s">
        <v>47</v>
      </c>
    </row>
    <row r="84" customFormat="false" ht="15" hidden="false" customHeight="false" outlineLevel="0" collapsed="false">
      <c r="A84" s="6" t="s">
        <v>275</v>
      </c>
      <c r="B84" s="6" t="s">
        <v>276</v>
      </c>
      <c r="C84" s="6" t="s">
        <v>75</v>
      </c>
      <c r="D84" s="6" t="n">
        <v>41</v>
      </c>
      <c r="E84" s="6" t="s">
        <v>76</v>
      </c>
      <c r="F84" s="6" t="s">
        <v>77</v>
      </c>
      <c r="G84" s="26" t="n">
        <v>46011</v>
      </c>
      <c r="H84" s="6" t="s">
        <v>88</v>
      </c>
      <c r="I84" s="26" t="n">
        <f aca="false">_xlfn.MINIFS(Transaction!$C$2:$C$8421,Transaction!$B$2:$B$8421,A84)</f>
        <v>46060</v>
      </c>
      <c r="J84" s="26" t="n">
        <f aca="false">_xlfn.MAXIFS(Transaction!$C$2:$C$8421,Transaction!$B$2:$B$8421,A84)</f>
        <v>46060</v>
      </c>
      <c r="K84" s="6" t="n">
        <f aca="false">COUNTIF(Transaction!$B$2:$B$8421,A84)</f>
        <v>1</v>
      </c>
      <c r="L84" s="10" t="n">
        <f aca="false">SUMIF(Transaction!$B$2:$B$8421,A84,Transaction!$H$2:$H$8421)</f>
        <v>1540</v>
      </c>
      <c r="M84" s="6" t="n">
        <f aca="false">Summary!$B$3-J84</f>
        <v>206</v>
      </c>
      <c r="N84" s="6" t="str">
        <f aca="false">IF(K84&gt;1,"Yes","No")</f>
        <v>No</v>
      </c>
      <c r="O84" s="6" t="s">
        <v>49</v>
      </c>
    </row>
    <row r="85" customFormat="false" ht="15" hidden="false" customHeight="false" outlineLevel="0" collapsed="false">
      <c r="A85" s="6" t="s">
        <v>277</v>
      </c>
      <c r="B85" s="6" t="s">
        <v>278</v>
      </c>
      <c r="C85" s="6" t="s">
        <v>75</v>
      </c>
      <c r="D85" s="6" t="n">
        <v>31</v>
      </c>
      <c r="E85" s="6" t="s">
        <v>176</v>
      </c>
      <c r="F85" s="6" t="s">
        <v>177</v>
      </c>
      <c r="G85" s="26" t="n">
        <v>45939</v>
      </c>
      <c r="H85" s="6" t="s">
        <v>102</v>
      </c>
      <c r="I85" s="26" t="n">
        <f aca="false">_xlfn.MINIFS(Transaction!$C$2:$C$8421,Transaction!$B$2:$B$8421,A85)</f>
        <v>46026</v>
      </c>
      <c r="J85" s="26" t="n">
        <f aca="false">_xlfn.MAXIFS(Transaction!$C$2:$C$8421,Transaction!$B$2:$B$8421,A85)</f>
        <v>46233</v>
      </c>
      <c r="K85" s="6" t="n">
        <f aca="false">COUNTIF(Transaction!$B$2:$B$8421,A85)</f>
        <v>5</v>
      </c>
      <c r="L85" s="10" t="n">
        <f aca="false">SUMIF(Transaction!$B$2:$B$8421,A85,Transaction!$H$2:$H$8421)</f>
        <v>8192</v>
      </c>
      <c r="M85" s="6" t="n">
        <f aca="false">Summary!$B$3-J85</f>
        <v>33</v>
      </c>
      <c r="N85" s="6" t="str">
        <f aca="false">IF(K85&gt;1,"Yes","No")</f>
        <v>Yes</v>
      </c>
      <c r="O85" s="6" t="s">
        <v>46</v>
      </c>
    </row>
    <row r="86" customFormat="false" ht="15" hidden="false" customHeight="false" outlineLevel="0" collapsed="false">
      <c r="A86" s="6" t="s">
        <v>279</v>
      </c>
      <c r="B86" s="6" t="s">
        <v>280</v>
      </c>
      <c r="C86" s="6" t="s">
        <v>85</v>
      </c>
      <c r="D86" s="6" t="n">
        <v>36</v>
      </c>
      <c r="E86" s="6" t="s">
        <v>95</v>
      </c>
      <c r="F86" s="6" t="s">
        <v>95</v>
      </c>
      <c r="G86" s="26" t="n">
        <v>46164</v>
      </c>
      <c r="H86" s="6" t="s">
        <v>115</v>
      </c>
      <c r="I86" s="26" t="n">
        <f aca="false">_xlfn.MINIFS(Transaction!$C$2:$C$8421,Transaction!$B$2:$B$8421,A86)</f>
        <v>46236</v>
      </c>
      <c r="J86" s="26" t="n">
        <f aca="false">_xlfn.MAXIFS(Transaction!$C$2:$C$8421,Transaction!$B$2:$B$8421,A86)</f>
        <v>46236</v>
      </c>
      <c r="K86" s="6" t="n">
        <f aca="false">COUNTIF(Transaction!$B$2:$B$8421,A86)</f>
        <v>1</v>
      </c>
      <c r="L86" s="10" t="n">
        <f aca="false">SUMIF(Transaction!$B$2:$B$8421,A86,Transaction!$H$2:$H$8421)</f>
        <v>1191</v>
      </c>
      <c r="M86" s="6" t="n">
        <f aca="false">Summary!$B$3-J86</f>
        <v>30</v>
      </c>
      <c r="N86" s="6" t="str">
        <f aca="false">IF(K86&gt;1,"Yes","No")</f>
        <v>No</v>
      </c>
      <c r="O86" s="6" t="s">
        <v>47</v>
      </c>
    </row>
    <row r="87" customFormat="false" ht="15" hidden="false" customHeight="false" outlineLevel="0" collapsed="false">
      <c r="A87" s="6" t="s">
        <v>281</v>
      </c>
      <c r="B87" s="6" t="s">
        <v>282</v>
      </c>
      <c r="C87" s="6" t="s">
        <v>85</v>
      </c>
      <c r="D87" s="6" t="n">
        <v>32</v>
      </c>
      <c r="E87" s="6" t="s">
        <v>81</v>
      </c>
      <c r="F87" s="6" t="s">
        <v>82</v>
      </c>
      <c r="G87" s="26" t="n">
        <v>46124</v>
      </c>
      <c r="H87" s="6" t="s">
        <v>102</v>
      </c>
      <c r="I87" s="26" t="n">
        <f aca="false">_xlfn.MINIFS(Transaction!$C$2:$C$8421,Transaction!$B$2:$B$8421,A87)</f>
        <v>46146</v>
      </c>
      <c r="J87" s="26" t="n">
        <f aca="false">_xlfn.MAXIFS(Transaction!$C$2:$C$8421,Transaction!$B$2:$B$8421,A87)</f>
        <v>46239</v>
      </c>
      <c r="K87" s="6" t="n">
        <f aca="false">COUNTIF(Transaction!$B$2:$B$8421,A87)</f>
        <v>4</v>
      </c>
      <c r="L87" s="10" t="n">
        <f aca="false">SUMIF(Transaction!$B$2:$B$8421,A87,Transaction!$H$2:$H$8421)</f>
        <v>5854</v>
      </c>
      <c r="M87" s="6" t="n">
        <f aca="false">Summary!$B$3-J87</f>
        <v>27</v>
      </c>
      <c r="N87" s="6" t="str">
        <f aca="false">IF(K87&gt;1,"Yes","No")</f>
        <v>Yes</v>
      </c>
      <c r="O87" s="6" t="s">
        <v>46</v>
      </c>
    </row>
    <row r="88" customFormat="false" ht="15" hidden="false" customHeight="false" outlineLevel="0" collapsed="false">
      <c r="A88" s="6" t="s">
        <v>283</v>
      </c>
      <c r="B88" s="6" t="s">
        <v>284</v>
      </c>
      <c r="C88" s="6" t="s">
        <v>75</v>
      </c>
      <c r="D88" s="6" t="n">
        <v>35</v>
      </c>
      <c r="E88" s="6" t="s">
        <v>76</v>
      </c>
      <c r="F88" s="6" t="s">
        <v>77</v>
      </c>
      <c r="G88" s="26" t="n">
        <v>46111</v>
      </c>
      <c r="H88" s="6" t="s">
        <v>123</v>
      </c>
      <c r="I88" s="26" t="n">
        <f aca="false">_xlfn.MINIFS(Transaction!$C$2:$C$8421,Transaction!$B$2:$B$8421,A88)</f>
        <v>46192</v>
      </c>
      <c r="J88" s="26" t="n">
        <f aca="false">_xlfn.MAXIFS(Transaction!$C$2:$C$8421,Transaction!$B$2:$B$8421,A88)</f>
        <v>46192</v>
      </c>
      <c r="K88" s="6" t="n">
        <f aca="false">COUNTIF(Transaction!$B$2:$B$8421,A88)</f>
        <v>1</v>
      </c>
      <c r="L88" s="10" t="n">
        <f aca="false">SUMIF(Transaction!$B$2:$B$8421,A88,Transaction!$H$2:$H$8421)</f>
        <v>5280</v>
      </c>
      <c r="M88" s="6" t="n">
        <f aca="false">Summary!$B$3-J88</f>
        <v>74</v>
      </c>
      <c r="N88" s="6" t="str">
        <f aca="false">IF(K88&gt;1,"Yes","No")</f>
        <v>No</v>
      </c>
      <c r="O88" s="6" t="s">
        <v>47</v>
      </c>
    </row>
    <row r="89" customFormat="false" ht="15" hidden="false" customHeight="false" outlineLevel="0" collapsed="false">
      <c r="A89" s="6" t="s">
        <v>285</v>
      </c>
      <c r="B89" s="6" t="s">
        <v>286</v>
      </c>
      <c r="C89" s="6" t="s">
        <v>75</v>
      </c>
      <c r="D89" s="6" t="n">
        <v>31</v>
      </c>
      <c r="E89" s="6" t="s">
        <v>91</v>
      </c>
      <c r="F89" s="6" t="s">
        <v>77</v>
      </c>
      <c r="G89" s="26" t="n">
        <v>46150</v>
      </c>
      <c r="H89" s="6" t="s">
        <v>92</v>
      </c>
      <c r="I89" s="26" t="n">
        <f aca="false">_xlfn.MINIFS(Transaction!$C$2:$C$8421,Transaction!$B$2:$B$8421,A89)</f>
        <v>46172</v>
      </c>
      <c r="J89" s="26" t="n">
        <f aca="false">_xlfn.MAXIFS(Transaction!$C$2:$C$8421,Transaction!$B$2:$B$8421,A89)</f>
        <v>46172</v>
      </c>
      <c r="K89" s="6" t="n">
        <f aca="false">COUNTIF(Transaction!$B$2:$B$8421,A89)</f>
        <v>1</v>
      </c>
      <c r="L89" s="10" t="n">
        <f aca="false">SUMIF(Transaction!$B$2:$B$8421,A89,Transaction!$H$2:$H$8421)</f>
        <v>1954</v>
      </c>
      <c r="M89" s="6" t="n">
        <f aca="false">Summary!$B$3-J89</f>
        <v>94</v>
      </c>
      <c r="N89" s="6" t="str">
        <f aca="false">IF(K89&gt;1,"Yes","No")</f>
        <v>No</v>
      </c>
      <c r="O89" s="6" t="s">
        <v>48</v>
      </c>
    </row>
    <row r="90" customFormat="false" ht="15" hidden="false" customHeight="false" outlineLevel="0" collapsed="false">
      <c r="A90" s="6" t="s">
        <v>287</v>
      </c>
      <c r="B90" s="6" t="s">
        <v>288</v>
      </c>
      <c r="C90" s="6" t="s">
        <v>75</v>
      </c>
      <c r="D90" s="6" t="n">
        <v>33</v>
      </c>
      <c r="E90" s="6" t="s">
        <v>146</v>
      </c>
      <c r="F90" s="6" t="s">
        <v>147</v>
      </c>
      <c r="G90" s="26" t="n">
        <v>46037</v>
      </c>
      <c r="H90" s="6" t="s">
        <v>78</v>
      </c>
      <c r="I90" s="26" t="n">
        <f aca="false">_xlfn.MINIFS(Transaction!$C$2:$C$8421,Transaction!$B$2:$B$8421,A90)</f>
        <v>46125</v>
      </c>
      <c r="J90" s="26" t="n">
        <f aca="false">_xlfn.MAXIFS(Transaction!$C$2:$C$8421,Transaction!$B$2:$B$8421,A90)</f>
        <v>46242</v>
      </c>
      <c r="K90" s="6" t="n">
        <f aca="false">COUNTIF(Transaction!$B$2:$B$8421,A90)</f>
        <v>8</v>
      </c>
      <c r="L90" s="10" t="n">
        <f aca="false">SUMIF(Transaction!$B$2:$B$8421,A90,Transaction!$H$2:$H$8421)</f>
        <v>14803</v>
      </c>
      <c r="M90" s="6" t="n">
        <f aca="false">Summary!$B$3-J90</f>
        <v>24</v>
      </c>
      <c r="N90" s="6" t="str">
        <f aca="false">IF(K90&gt;1,"Yes","No")</f>
        <v>Yes</v>
      </c>
      <c r="O90" s="6" t="s">
        <v>45</v>
      </c>
    </row>
    <row r="91" customFormat="false" ht="15" hidden="false" customHeight="false" outlineLevel="0" collapsed="false">
      <c r="A91" s="6" t="s">
        <v>289</v>
      </c>
      <c r="B91" s="6" t="s">
        <v>290</v>
      </c>
      <c r="C91" s="6" t="s">
        <v>75</v>
      </c>
      <c r="D91" s="6" t="n">
        <v>35</v>
      </c>
      <c r="E91" s="6" t="s">
        <v>91</v>
      </c>
      <c r="F91" s="6" t="s">
        <v>77</v>
      </c>
      <c r="G91" s="26" t="n">
        <v>46101</v>
      </c>
      <c r="H91" s="6" t="s">
        <v>78</v>
      </c>
      <c r="I91" s="26" t="n">
        <f aca="false">_xlfn.MINIFS(Transaction!$C$2:$C$8421,Transaction!$B$2:$B$8421,A91)</f>
        <v>46179</v>
      </c>
      <c r="J91" s="26" t="n">
        <f aca="false">_xlfn.MAXIFS(Transaction!$C$2:$C$8421,Transaction!$B$2:$B$8421,A91)</f>
        <v>46179</v>
      </c>
      <c r="K91" s="6" t="n">
        <f aca="false">COUNTIF(Transaction!$B$2:$B$8421,A91)</f>
        <v>1</v>
      </c>
      <c r="L91" s="10" t="n">
        <f aca="false">SUMIF(Transaction!$B$2:$B$8421,A91,Transaction!$H$2:$H$8421)</f>
        <v>2931</v>
      </c>
      <c r="M91" s="6" t="n">
        <f aca="false">Summary!$B$3-J91</f>
        <v>87</v>
      </c>
      <c r="N91" s="6" t="str">
        <f aca="false">IF(K91&gt;1,"Yes","No")</f>
        <v>No</v>
      </c>
      <c r="O91" s="6" t="s">
        <v>47</v>
      </c>
    </row>
    <row r="92" customFormat="false" ht="15" hidden="false" customHeight="false" outlineLevel="0" collapsed="false">
      <c r="A92" s="6" t="s">
        <v>291</v>
      </c>
      <c r="B92" s="6" t="s">
        <v>292</v>
      </c>
      <c r="C92" s="6" t="s">
        <v>75</v>
      </c>
      <c r="D92" s="6" t="n">
        <v>27</v>
      </c>
      <c r="E92" s="6" t="s">
        <v>95</v>
      </c>
      <c r="F92" s="6" t="s">
        <v>95</v>
      </c>
      <c r="G92" s="26" t="n">
        <v>46017</v>
      </c>
      <c r="H92" s="6" t="s">
        <v>123</v>
      </c>
      <c r="I92" s="26" t="n">
        <f aca="false">_xlfn.MINIFS(Transaction!$C$2:$C$8421,Transaction!$B$2:$B$8421,A92)</f>
        <v>46077</v>
      </c>
      <c r="J92" s="26" t="n">
        <f aca="false">_xlfn.MAXIFS(Transaction!$C$2:$C$8421,Transaction!$B$2:$B$8421,A92)</f>
        <v>46077</v>
      </c>
      <c r="K92" s="6" t="n">
        <f aca="false">COUNTIF(Transaction!$B$2:$B$8421,A92)</f>
        <v>1</v>
      </c>
      <c r="L92" s="10" t="n">
        <f aca="false">SUMIF(Transaction!$B$2:$B$8421,A92,Transaction!$H$2:$H$8421)</f>
        <v>2548</v>
      </c>
      <c r="M92" s="6" t="n">
        <f aca="false">Summary!$B$3-J92</f>
        <v>189</v>
      </c>
      <c r="N92" s="6" t="str">
        <f aca="false">IF(K92&gt;1,"Yes","No")</f>
        <v>No</v>
      </c>
      <c r="O92" s="6" t="s">
        <v>49</v>
      </c>
    </row>
    <row r="93" customFormat="false" ht="15" hidden="false" customHeight="false" outlineLevel="0" collapsed="false">
      <c r="A93" s="6" t="s">
        <v>293</v>
      </c>
      <c r="B93" s="6" t="s">
        <v>294</v>
      </c>
      <c r="C93" s="6" t="s">
        <v>75</v>
      </c>
      <c r="D93" s="6" t="n">
        <v>55</v>
      </c>
      <c r="E93" s="6" t="s">
        <v>76</v>
      </c>
      <c r="F93" s="6" t="s">
        <v>77</v>
      </c>
      <c r="G93" s="26" t="n">
        <v>45974</v>
      </c>
      <c r="H93" s="6" t="s">
        <v>92</v>
      </c>
      <c r="I93" s="26" t="n">
        <f aca="false">_xlfn.MINIFS(Transaction!$C$2:$C$8421,Transaction!$B$2:$B$8421,A93)</f>
        <v>46054</v>
      </c>
      <c r="J93" s="26" t="n">
        <f aca="false">_xlfn.MAXIFS(Transaction!$C$2:$C$8421,Transaction!$B$2:$B$8421,A93)</f>
        <v>46054</v>
      </c>
      <c r="K93" s="6" t="n">
        <f aca="false">COUNTIF(Transaction!$B$2:$B$8421,A93)</f>
        <v>1</v>
      </c>
      <c r="L93" s="10" t="n">
        <f aca="false">SUMIF(Transaction!$B$2:$B$8421,A93,Transaction!$H$2:$H$8421)</f>
        <v>1529</v>
      </c>
      <c r="M93" s="6" t="n">
        <f aca="false">Summary!$B$3-J93</f>
        <v>212</v>
      </c>
      <c r="N93" s="6" t="str">
        <f aca="false">IF(K93&gt;1,"Yes","No")</f>
        <v>No</v>
      </c>
      <c r="O93" s="6" t="s">
        <v>49</v>
      </c>
    </row>
    <row r="94" customFormat="false" ht="15" hidden="false" customHeight="false" outlineLevel="0" collapsed="false">
      <c r="A94" s="6" t="s">
        <v>295</v>
      </c>
      <c r="B94" s="6" t="s">
        <v>296</v>
      </c>
      <c r="C94" s="6" t="s">
        <v>85</v>
      </c>
      <c r="D94" s="6" t="n">
        <v>26</v>
      </c>
      <c r="E94" s="6" t="s">
        <v>95</v>
      </c>
      <c r="F94" s="6" t="s">
        <v>95</v>
      </c>
      <c r="G94" s="26" t="n">
        <v>45962</v>
      </c>
      <c r="H94" s="6" t="s">
        <v>115</v>
      </c>
      <c r="I94" s="26" t="n">
        <f aca="false">_xlfn.MINIFS(Transaction!$C$2:$C$8421,Transaction!$B$2:$B$8421,A94)</f>
        <v>46043</v>
      </c>
      <c r="J94" s="26" t="n">
        <f aca="false">_xlfn.MAXIFS(Transaction!$C$2:$C$8421,Transaction!$B$2:$B$8421,A94)</f>
        <v>46235</v>
      </c>
      <c r="K94" s="6" t="n">
        <f aca="false">COUNTIF(Transaction!$B$2:$B$8421,A94)</f>
        <v>4</v>
      </c>
      <c r="L94" s="10" t="n">
        <f aca="false">SUMIF(Transaction!$B$2:$B$8421,A94,Transaction!$H$2:$H$8421)</f>
        <v>6839</v>
      </c>
      <c r="M94" s="6" t="n">
        <f aca="false">Summary!$B$3-J94</f>
        <v>31</v>
      </c>
      <c r="N94" s="6" t="str">
        <f aca="false">IF(K94&gt;1,"Yes","No")</f>
        <v>Yes</v>
      </c>
      <c r="O94" s="6" t="s">
        <v>46</v>
      </c>
    </row>
    <row r="95" customFormat="false" ht="15" hidden="false" customHeight="false" outlineLevel="0" collapsed="false">
      <c r="A95" s="6" t="s">
        <v>297</v>
      </c>
      <c r="B95" s="6" t="s">
        <v>298</v>
      </c>
      <c r="C95" s="6" t="s">
        <v>85</v>
      </c>
      <c r="D95" s="6" t="n">
        <v>39</v>
      </c>
      <c r="E95" s="6" t="s">
        <v>76</v>
      </c>
      <c r="F95" s="6" t="s">
        <v>77</v>
      </c>
      <c r="G95" s="26" t="n">
        <v>45999</v>
      </c>
      <c r="H95" s="6" t="s">
        <v>92</v>
      </c>
      <c r="I95" s="26" t="n">
        <f aca="false">_xlfn.MINIFS(Transaction!$C$2:$C$8421,Transaction!$B$2:$B$8421,A95)</f>
        <v>46029</v>
      </c>
      <c r="J95" s="26" t="n">
        <f aca="false">_xlfn.MAXIFS(Transaction!$C$2:$C$8421,Transaction!$B$2:$B$8421,A95)</f>
        <v>46257</v>
      </c>
      <c r="K95" s="6" t="n">
        <f aca="false">COUNTIF(Transaction!$B$2:$B$8421,A95)</f>
        <v>9</v>
      </c>
      <c r="L95" s="10" t="n">
        <f aca="false">SUMIF(Transaction!$B$2:$B$8421,A95,Transaction!$H$2:$H$8421)</f>
        <v>19449</v>
      </c>
      <c r="M95" s="6" t="n">
        <f aca="false">Summary!$B$3-J95</f>
        <v>9</v>
      </c>
      <c r="N95" s="6" t="str">
        <f aca="false">IF(K95&gt;1,"Yes","No")</f>
        <v>Yes</v>
      </c>
      <c r="O95" s="6" t="s">
        <v>45</v>
      </c>
    </row>
    <row r="96" customFormat="false" ht="15" hidden="false" customHeight="false" outlineLevel="0" collapsed="false">
      <c r="A96" s="6" t="s">
        <v>299</v>
      </c>
      <c r="B96" s="6" t="s">
        <v>300</v>
      </c>
      <c r="C96" s="6" t="s">
        <v>85</v>
      </c>
      <c r="D96" s="6" t="n">
        <v>35</v>
      </c>
      <c r="E96" s="6" t="s">
        <v>95</v>
      </c>
      <c r="F96" s="6" t="s">
        <v>95</v>
      </c>
      <c r="G96" s="26" t="n">
        <v>46157</v>
      </c>
      <c r="H96" s="6" t="s">
        <v>115</v>
      </c>
      <c r="I96" s="26" t="n">
        <f aca="false">_xlfn.MINIFS(Transaction!$C$2:$C$8421,Transaction!$B$2:$B$8421,A96)</f>
        <v>46217</v>
      </c>
      <c r="J96" s="26" t="n">
        <f aca="false">_xlfn.MAXIFS(Transaction!$C$2:$C$8421,Transaction!$B$2:$B$8421,A96)</f>
        <v>46217</v>
      </c>
      <c r="K96" s="6" t="n">
        <f aca="false">COUNTIF(Transaction!$B$2:$B$8421,A96)</f>
        <v>1</v>
      </c>
      <c r="L96" s="10" t="n">
        <f aca="false">SUMIF(Transaction!$B$2:$B$8421,A96,Transaction!$H$2:$H$8421)</f>
        <v>977</v>
      </c>
      <c r="M96" s="6" t="n">
        <f aca="false">Summary!$B$3-J96</f>
        <v>49</v>
      </c>
      <c r="N96" s="6" t="str">
        <f aca="false">IF(K96&gt;1,"Yes","No")</f>
        <v>No</v>
      </c>
      <c r="O96" s="6" t="s">
        <v>47</v>
      </c>
    </row>
    <row r="97" customFormat="false" ht="15" hidden="false" customHeight="false" outlineLevel="0" collapsed="false">
      <c r="A97" s="6" t="s">
        <v>301</v>
      </c>
      <c r="B97" s="6" t="s">
        <v>302</v>
      </c>
      <c r="C97" s="6" t="s">
        <v>85</v>
      </c>
      <c r="D97" s="6" t="n">
        <v>31</v>
      </c>
      <c r="E97" s="6" t="s">
        <v>146</v>
      </c>
      <c r="F97" s="6" t="s">
        <v>147</v>
      </c>
      <c r="G97" s="26" t="n">
        <v>46041</v>
      </c>
      <c r="H97" s="6" t="s">
        <v>115</v>
      </c>
      <c r="I97" s="26" t="n">
        <f aca="false">_xlfn.MINIFS(Transaction!$C$2:$C$8421,Transaction!$B$2:$B$8421,A97)</f>
        <v>46058</v>
      </c>
      <c r="J97" s="26" t="n">
        <f aca="false">_xlfn.MAXIFS(Transaction!$C$2:$C$8421,Transaction!$B$2:$B$8421,A97)</f>
        <v>46174</v>
      </c>
      <c r="K97" s="6" t="n">
        <f aca="false">COUNTIF(Transaction!$B$2:$B$8421,A97)</f>
        <v>4</v>
      </c>
      <c r="L97" s="10" t="n">
        <f aca="false">SUMIF(Transaction!$B$2:$B$8421,A97,Transaction!$H$2:$H$8421)</f>
        <v>11524</v>
      </c>
      <c r="M97" s="6" t="n">
        <f aca="false">Summary!$B$3-J97</f>
        <v>92</v>
      </c>
      <c r="N97" s="6" t="str">
        <f aca="false">IF(K97&gt;1,"Yes","No")</f>
        <v>Yes</v>
      </c>
      <c r="O97" s="6" t="s">
        <v>46</v>
      </c>
    </row>
    <row r="98" customFormat="false" ht="15" hidden="false" customHeight="false" outlineLevel="0" collapsed="false">
      <c r="A98" s="6" t="s">
        <v>303</v>
      </c>
      <c r="B98" s="6" t="s">
        <v>304</v>
      </c>
      <c r="C98" s="6" t="s">
        <v>85</v>
      </c>
      <c r="D98" s="6" t="n">
        <v>31</v>
      </c>
      <c r="E98" s="6" t="s">
        <v>134</v>
      </c>
      <c r="F98" s="6" t="s">
        <v>135</v>
      </c>
      <c r="G98" s="26" t="n">
        <v>46111</v>
      </c>
      <c r="H98" s="6" t="s">
        <v>102</v>
      </c>
      <c r="I98" s="26" t="n">
        <f aca="false">_xlfn.MINIFS(Transaction!$C$2:$C$8421,Transaction!$B$2:$B$8421,A98)</f>
        <v>46141</v>
      </c>
      <c r="J98" s="26" t="n">
        <f aca="false">_xlfn.MAXIFS(Transaction!$C$2:$C$8421,Transaction!$B$2:$B$8421,A98)</f>
        <v>46141</v>
      </c>
      <c r="K98" s="6" t="n">
        <f aca="false">COUNTIF(Transaction!$B$2:$B$8421,A98)</f>
        <v>1</v>
      </c>
      <c r="L98" s="10" t="n">
        <f aca="false">SUMIF(Transaction!$B$2:$B$8421,A98,Transaction!$H$2:$H$8421)</f>
        <v>628</v>
      </c>
      <c r="M98" s="6" t="n">
        <f aca="false">Summary!$B$3-J98</f>
        <v>125</v>
      </c>
      <c r="N98" s="6" t="str">
        <f aca="false">IF(K98&gt;1,"Yes","No")</f>
        <v>No</v>
      </c>
      <c r="O98" s="6" t="s">
        <v>48</v>
      </c>
    </row>
    <row r="99" customFormat="false" ht="15" hidden="false" customHeight="false" outlineLevel="0" collapsed="false">
      <c r="A99" s="6" t="s">
        <v>305</v>
      </c>
      <c r="B99" s="6" t="s">
        <v>306</v>
      </c>
      <c r="C99" s="6" t="s">
        <v>85</v>
      </c>
      <c r="D99" s="6" t="n">
        <v>41</v>
      </c>
      <c r="E99" s="6" t="s">
        <v>76</v>
      </c>
      <c r="F99" s="6" t="s">
        <v>77</v>
      </c>
      <c r="G99" s="26" t="n">
        <v>46087</v>
      </c>
      <c r="H99" s="6" t="s">
        <v>78</v>
      </c>
      <c r="I99" s="26" t="n">
        <f aca="false">_xlfn.MINIFS(Transaction!$C$2:$C$8421,Transaction!$B$2:$B$8421,A99)</f>
        <v>46144</v>
      </c>
      <c r="J99" s="26" t="n">
        <f aca="false">_xlfn.MAXIFS(Transaction!$C$2:$C$8421,Transaction!$B$2:$B$8421,A99)</f>
        <v>46144</v>
      </c>
      <c r="K99" s="6" t="n">
        <f aca="false">COUNTIF(Transaction!$B$2:$B$8421,A99)</f>
        <v>1</v>
      </c>
      <c r="L99" s="10" t="n">
        <f aca="false">SUMIF(Transaction!$B$2:$B$8421,A99,Transaction!$H$2:$H$8421)</f>
        <v>815</v>
      </c>
      <c r="M99" s="6" t="n">
        <f aca="false">Summary!$B$3-J99</f>
        <v>122</v>
      </c>
      <c r="N99" s="6" t="str">
        <f aca="false">IF(K99&gt;1,"Yes","No")</f>
        <v>No</v>
      </c>
      <c r="O99" s="6" t="s">
        <v>48</v>
      </c>
    </row>
    <row r="100" customFormat="false" ht="15" hidden="false" customHeight="false" outlineLevel="0" collapsed="false">
      <c r="A100" s="6" t="s">
        <v>307</v>
      </c>
      <c r="B100" s="6" t="s">
        <v>308</v>
      </c>
      <c r="C100" s="6" t="s">
        <v>85</v>
      </c>
      <c r="D100" s="6" t="n">
        <v>47</v>
      </c>
      <c r="E100" s="6" t="s">
        <v>76</v>
      </c>
      <c r="F100" s="6" t="s">
        <v>77</v>
      </c>
      <c r="G100" s="26" t="n">
        <v>46033</v>
      </c>
      <c r="H100" s="6" t="s">
        <v>78</v>
      </c>
      <c r="I100" s="26" t="n">
        <f aca="false">_xlfn.MINIFS(Transaction!$C$2:$C$8421,Transaction!$B$2:$B$8421,A100)</f>
        <v>46058</v>
      </c>
      <c r="J100" s="26" t="n">
        <f aca="false">_xlfn.MAXIFS(Transaction!$C$2:$C$8421,Transaction!$B$2:$B$8421,A100)</f>
        <v>46058</v>
      </c>
      <c r="K100" s="6" t="n">
        <f aca="false">COUNTIF(Transaction!$B$2:$B$8421,A100)</f>
        <v>1</v>
      </c>
      <c r="L100" s="10" t="n">
        <f aca="false">SUMIF(Transaction!$B$2:$B$8421,A100,Transaction!$H$2:$H$8421)</f>
        <v>782</v>
      </c>
      <c r="M100" s="6" t="n">
        <f aca="false">Summary!$B$3-J100</f>
        <v>208</v>
      </c>
      <c r="N100" s="6" t="str">
        <f aca="false">IF(K100&gt;1,"Yes","No")</f>
        <v>No</v>
      </c>
      <c r="O100" s="6" t="s">
        <v>49</v>
      </c>
    </row>
    <row r="101" customFormat="false" ht="15" hidden="false" customHeight="false" outlineLevel="0" collapsed="false">
      <c r="A101" s="6" t="s">
        <v>309</v>
      </c>
      <c r="B101" s="6" t="s">
        <v>310</v>
      </c>
      <c r="C101" s="6" t="s">
        <v>75</v>
      </c>
      <c r="D101" s="6" t="n">
        <v>21</v>
      </c>
      <c r="E101" s="6" t="s">
        <v>86</v>
      </c>
      <c r="F101" s="6" t="s">
        <v>87</v>
      </c>
      <c r="G101" s="26" t="n">
        <v>46174</v>
      </c>
      <c r="H101" s="6" t="s">
        <v>92</v>
      </c>
      <c r="I101" s="26" t="n">
        <f aca="false">_xlfn.MINIFS(Transaction!$C$2:$C$8421,Transaction!$B$2:$B$8421,A101)</f>
        <v>46207</v>
      </c>
      <c r="J101" s="26" t="n">
        <f aca="false">_xlfn.MAXIFS(Transaction!$C$2:$C$8421,Transaction!$B$2:$B$8421,A101)</f>
        <v>46207</v>
      </c>
      <c r="K101" s="6" t="n">
        <f aca="false">COUNTIF(Transaction!$B$2:$B$8421,A101)</f>
        <v>1</v>
      </c>
      <c r="L101" s="10" t="n">
        <f aca="false">SUMIF(Transaction!$B$2:$B$8421,A101,Transaction!$H$2:$H$8421)</f>
        <v>1503</v>
      </c>
      <c r="M101" s="6" t="n">
        <f aca="false">Summary!$B$3-J101</f>
        <v>59</v>
      </c>
      <c r="N101" s="6" t="str">
        <f aca="false">IF(K101&gt;1,"Yes","No")</f>
        <v>No</v>
      </c>
      <c r="O101" s="6" t="s">
        <v>47</v>
      </c>
    </row>
    <row r="102" customFormat="false" ht="15" hidden="false" customHeight="false" outlineLevel="0" collapsed="false">
      <c r="A102" s="6" t="s">
        <v>311</v>
      </c>
      <c r="B102" s="6" t="s">
        <v>312</v>
      </c>
      <c r="C102" s="6" t="s">
        <v>75</v>
      </c>
      <c r="D102" s="6" t="n">
        <v>54</v>
      </c>
      <c r="E102" s="6" t="s">
        <v>206</v>
      </c>
      <c r="F102" s="6" t="s">
        <v>106</v>
      </c>
      <c r="G102" s="26" t="n">
        <v>46052</v>
      </c>
      <c r="H102" s="6" t="s">
        <v>102</v>
      </c>
      <c r="I102" s="26" t="n">
        <f aca="false">_xlfn.MINIFS(Transaction!$C$2:$C$8421,Transaction!$B$2:$B$8421,A102)</f>
        <v>46141</v>
      </c>
      <c r="J102" s="26" t="n">
        <f aca="false">_xlfn.MAXIFS(Transaction!$C$2:$C$8421,Transaction!$B$2:$B$8421,A102)</f>
        <v>46141</v>
      </c>
      <c r="K102" s="6" t="n">
        <f aca="false">COUNTIF(Transaction!$B$2:$B$8421,A102)</f>
        <v>1</v>
      </c>
      <c r="L102" s="10" t="n">
        <f aca="false">SUMIF(Transaction!$B$2:$B$8421,A102,Transaction!$H$2:$H$8421)</f>
        <v>1743</v>
      </c>
      <c r="M102" s="6" t="n">
        <f aca="false">Summary!$B$3-J102</f>
        <v>125</v>
      </c>
      <c r="N102" s="6" t="str">
        <f aca="false">IF(K102&gt;1,"Yes","No")</f>
        <v>No</v>
      </c>
      <c r="O102" s="6" t="s">
        <v>48</v>
      </c>
    </row>
    <row r="103" customFormat="false" ht="15" hidden="false" customHeight="false" outlineLevel="0" collapsed="false">
      <c r="A103" s="6" t="s">
        <v>313</v>
      </c>
      <c r="B103" s="6" t="s">
        <v>314</v>
      </c>
      <c r="C103" s="6" t="s">
        <v>85</v>
      </c>
      <c r="D103" s="6" t="n">
        <v>38</v>
      </c>
      <c r="E103" s="6" t="s">
        <v>98</v>
      </c>
      <c r="F103" s="6" t="s">
        <v>99</v>
      </c>
      <c r="G103" s="26" t="n">
        <v>46076</v>
      </c>
      <c r="H103" s="6" t="s">
        <v>115</v>
      </c>
      <c r="I103" s="26" t="n">
        <f aca="false">_xlfn.MINIFS(Transaction!$C$2:$C$8421,Transaction!$B$2:$B$8421,A103)</f>
        <v>46113</v>
      </c>
      <c r="J103" s="26" t="n">
        <f aca="false">_xlfn.MAXIFS(Transaction!$C$2:$C$8421,Transaction!$B$2:$B$8421,A103)</f>
        <v>46193</v>
      </c>
      <c r="K103" s="6" t="n">
        <f aca="false">COUNTIF(Transaction!$B$2:$B$8421,A103)</f>
        <v>4</v>
      </c>
      <c r="L103" s="10" t="n">
        <f aca="false">SUMIF(Transaction!$B$2:$B$8421,A103,Transaction!$H$2:$H$8421)</f>
        <v>4240</v>
      </c>
      <c r="M103" s="6" t="n">
        <f aca="false">Summary!$B$3-J103</f>
        <v>73</v>
      </c>
      <c r="N103" s="6" t="str">
        <f aca="false">IF(K103&gt;1,"Yes","No")</f>
        <v>Yes</v>
      </c>
      <c r="O103" s="6" t="s">
        <v>46</v>
      </c>
    </row>
    <row r="104" customFormat="false" ht="15" hidden="false" customHeight="false" outlineLevel="0" collapsed="false">
      <c r="A104" s="6" t="s">
        <v>315</v>
      </c>
      <c r="B104" s="6" t="s">
        <v>316</v>
      </c>
      <c r="C104" s="6" t="s">
        <v>85</v>
      </c>
      <c r="D104" s="6" t="n">
        <v>26</v>
      </c>
      <c r="E104" s="6" t="s">
        <v>76</v>
      </c>
      <c r="F104" s="6" t="s">
        <v>77</v>
      </c>
      <c r="G104" s="26" t="n">
        <v>46030</v>
      </c>
      <c r="H104" s="6" t="s">
        <v>78</v>
      </c>
      <c r="I104" s="26" t="n">
        <f aca="false">_xlfn.MINIFS(Transaction!$C$2:$C$8421,Transaction!$B$2:$B$8421,A104)</f>
        <v>46034</v>
      </c>
      <c r="J104" s="26" t="n">
        <f aca="false">_xlfn.MAXIFS(Transaction!$C$2:$C$8421,Transaction!$B$2:$B$8421,A104)</f>
        <v>46034</v>
      </c>
      <c r="K104" s="6" t="n">
        <f aca="false">COUNTIF(Transaction!$B$2:$B$8421,A104)</f>
        <v>1</v>
      </c>
      <c r="L104" s="10" t="n">
        <f aca="false">SUMIF(Transaction!$B$2:$B$8421,A104,Transaction!$H$2:$H$8421)</f>
        <v>1024</v>
      </c>
      <c r="M104" s="6" t="n">
        <f aca="false">Summary!$B$3-J104</f>
        <v>232</v>
      </c>
      <c r="N104" s="6" t="str">
        <f aca="false">IF(K104&gt;1,"Yes","No")</f>
        <v>No</v>
      </c>
      <c r="O104" s="6" t="s">
        <v>49</v>
      </c>
    </row>
    <row r="105" customFormat="false" ht="15" hidden="false" customHeight="false" outlineLevel="0" collapsed="false">
      <c r="A105" s="6" t="s">
        <v>317</v>
      </c>
      <c r="B105" s="6" t="s">
        <v>318</v>
      </c>
      <c r="C105" s="6" t="s">
        <v>75</v>
      </c>
      <c r="D105" s="6" t="n">
        <v>46</v>
      </c>
      <c r="E105" s="6" t="s">
        <v>91</v>
      </c>
      <c r="F105" s="6" t="s">
        <v>77</v>
      </c>
      <c r="G105" s="26" t="n">
        <v>46055</v>
      </c>
      <c r="H105" s="6" t="s">
        <v>102</v>
      </c>
      <c r="I105" s="26" t="n">
        <f aca="false">_xlfn.MINIFS(Transaction!$C$2:$C$8421,Transaction!$B$2:$B$8421,A105)</f>
        <v>46095</v>
      </c>
      <c r="J105" s="26" t="n">
        <f aca="false">_xlfn.MAXIFS(Transaction!$C$2:$C$8421,Transaction!$B$2:$B$8421,A105)</f>
        <v>46264</v>
      </c>
      <c r="K105" s="6" t="n">
        <f aca="false">COUNTIF(Transaction!$B$2:$B$8421,A105)</f>
        <v>10</v>
      </c>
      <c r="L105" s="10" t="n">
        <f aca="false">SUMIF(Transaction!$B$2:$B$8421,A105,Transaction!$H$2:$H$8421)</f>
        <v>18917</v>
      </c>
      <c r="M105" s="6" t="n">
        <f aca="false">Summary!$B$3-J105</f>
        <v>2</v>
      </c>
      <c r="N105" s="6" t="str">
        <f aca="false">IF(K105&gt;1,"Yes","No")</f>
        <v>Yes</v>
      </c>
      <c r="O105" s="6" t="s">
        <v>45</v>
      </c>
    </row>
    <row r="106" customFormat="false" ht="15" hidden="false" customHeight="false" outlineLevel="0" collapsed="false">
      <c r="A106" s="6" t="s">
        <v>319</v>
      </c>
      <c r="B106" s="6" t="s">
        <v>320</v>
      </c>
      <c r="C106" s="6" t="s">
        <v>75</v>
      </c>
      <c r="D106" s="6" t="n">
        <v>41</v>
      </c>
      <c r="E106" s="6" t="s">
        <v>321</v>
      </c>
      <c r="F106" s="6" t="s">
        <v>321</v>
      </c>
      <c r="G106" s="26" t="n">
        <v>46035</v>
      </c>
      <c r="H106" s="6" t="s">
        <v>102</v>
      </c>
      <c r="I106" s="26" t="n">
        <f aca="false">_xlfn.MINIFS(Transaction!$C$2:$C$8421,Transaction!$B$2:$B$8421,A106)</f>
        <v>46071</v>
      </c>
      <c r="J106" s="26" t="n">
        <f aca="false">_xlfn.MAXIFS(Transaction!$C$2:$C$8421,Transaction!$B$2:$B$8421,A106)</f>
        <v>46183</v>
      </c>
      <c r="K106" s="6" t="n">
        <f aca="false">COUNTIF(Transaction!$B$2:$B$8421,A106)</f>
        <v>4</v>
      </c>
      <c r="L106" s="10" t="n">
        <f aca="false">SUMIF(Transaction!$B$2:$B$8421,A106,Transaction!$H$2:$H$8421)</f>
        <v>7491</v>
      </c>
      <c r="M106" s="6" t="n">
        <f aca="false">Summary!$B$3-J106</f>
        <v>83</v>
      </c>
      <c r="N106" s="6" t="str">
        <f aca="false">IF(K106&gt;1,"Yes","No")</f>
        <v>Yes</v>
      </c>
      <c r="O106" s="6" t="s">
        <v>46</v>
      </c>
    </row>
    <row r="107" customFormat="false" ht="15" hidden="false" customHeight="false" outlineLevel="0" collapsed="false">
      <c r="A107" s="6" t="s">
        <v>322</v>
      </c>
      <c r="B107" s="6" t="s">
        <v>323</v>
      </c>
      <c r="C107" s="6" t="s">
        <v>75</v>
      </c>
      <c r="D107" s="6" t="n">
        <v>29</v>
      </c>
      <c r="E107" s="6" t="s">
        <v>176</v>
      </c>
      <c r="F107" s="6" t="s">
        <v>177</v>
      </c>
      <c r="G107" s="26" t="n">
        <v>46188</v>
      </c>
      <c r="H107" s="6" t="s">
        <v>115</v>
      </c>
      <c r="I107" s="26" t="n">
        <f aca="false">_xlfn.MINIFS(Transaction!$C$2:$C$8421,Transaction!$B$2:$B$8421,A107)</f>
        <v>46198</v>
      </c>
      <c r="J107" s="26" t="n">
        <f aca="false">_xlfn.MAXIFS(Transaction!$C$2:$C$8421,Transaction!$B$2:$B$8421,A107)</f>
        <v>46198</v>
      </c>
      <c r="K107" s="6" t="n">
        <f aca="false">COUNTIF(Transaction!$B$2:$B$8421,A107)</f>
        <v>1</v>
      </c>
      <c r="L107" s="10" t="n">
        <f aca="false">SUMIF(Transaction!$B$2:$B$8421,A107,Transaction!$H$2:$H$8421)</f>
        <v>1325</v>
      </c>
      <c r="M107" s="6" t="n">
        <f aca="false">Summary!$B$3-J107</f>
        <v>68</v>
      </c>
      <c r="N107" s="6" t="str">
        <f aca="false">IF(K107&gt;1,"Yes","No")</f>
        <v>No</v>
      </c>
      <c r="O107" s="6" t="s">
        <v>47</v>
      </c>
    </row>
    <row r="108" customFormat="false" ht="15" hidden="false" customHeight="false" outlineLevel="0" collapsed="false">
      <c r="A108" s="6" t="s">
        <v>324</v>
      </c>
      <c r="B108" s="6" t="s">
        <v>325</v>
      </c>
      <c r="C108" s="6" t="s">
        <v>85</v>
      </c>
      <c r="D108" s="6" t="n">
        <v>55</v>
      </c>
      <c r="E108" s="6" t="s">
        <v>81</v>
      </c>
      <c r="F108" s="6" t="s">
        <v>82</v>
      </c>
      <c r="G108" s="26" t="n">
        <v>46029</v>
      </c>
      <c r="H108" s="6" t="s">
        <v>102</v>
      </c>
      <c r="I108" s="26" t="n">
        <f aca="false">_xlfn.MINIFS(Transaction!$C$2:$C$8421,Transaction!$B$2:$B$8421,A108)</f>
        <v>46055</v>
      </c>
      <c r="J108" s="26" t="n">
        <f aca="false">_xlfn.MAXIFS(Transaction!$C$2:$C$8421,Transaction!$B$2:$B$8421,A108)</f>
        <v>46231</v>
      </c>
      <c r="K108" s="6" t="n">
        <f aca="false">COUNTIF(Transaction!$B$2:$B$8421,A108)</f>
        <v>7</v>
      </c>
      <c r="L108" s="10" t="n">
        <f aca="false">SUMIF(Transaction!$B$2:$B$8421,A108,Transaction!$H$2:$H$8421)</f>
        <v>13854</v>
      </c>
      <c r="M108" s="6" t="n">
        <f aca="false">Summary!$B$3-J108</f>
        <v>35</v>
      </c>
      <c r="N108" s="6" t="str">
        <f aca="false">IF(K108&gt;1,"Yes","No")</f>
        <v>Yes</v>
      </c>
      <c r="O108" s="6" t="s">
        <v>46</v>
      </c>
    </row>
    <row r="109" customFormat="false" ht="15" hidden="false" customHeight="false" outlineLevel="0" collapsed="false">
      <c r="A109" s="6" t="s">
        <v>326</v>
      </c>
      <c r="B109" s="6" t="s">
        <v>327</v>
      </c>
      <c r="C109" s="6" t="s">
        <v>85</v>
      </c>
      <c r="D109" s="6" t="n">
        <v>33</v>
      </c>
      <c r="E109" s="6" t="s">
        <v>140</v>
      </c>
      <c r="F109" s="6" t="s">
        <v>141</v>
      </c>
      <c r="G109" s="26" t="n">
        <v>46046</v>
      </c>
      <c r="H109" s="6" t="s">
        <v>78</v>
      </c>
      <c r="I109" s="26" t="n">
        <f aca="false">_xlfn.MINIFS(Transaction!$C$2:$C$8421,Transaction!$B$2:$B$8421,A109)</f>
        <v>46088</v>
      </c>
      <c r="J109" s="26" t="n">
        <f aca="false">_xlfn.MAXIFS(Transaction!$C$2:$C$8421,Transaction!$B$2:$B$8421,A109)</f>
        <v>46248</v>
      </c>
      <c r="K109" s="6" t="n">
        <f aca="false">COUNTIF(Transaction!$B$2:$B$8421,A109)</f>
        <v>8</v>
      </c>
      <c r="L109" s="10" t="n">
        <f aca="false">SUMIF(Transaction!$B$2:$B$8421,A109,Transaction!$H$2:$H$8421)</f>
        <v>9228</v>
      </c>
      <c r="M109" s="6" t="n">
        <f aca="false">Summary!$B$3-J109</f>
        <v>18</v>
      </c>
      <c r="N109" s="6" t="str">
        <f aca="false">IF(K109&gt;1,"Yes","No")</f>
        <v>Yes</v>
      </c>
      <c r="O109" s="6" t="s">
        <v>45</v>
      </c>
    </row>
    <row r="110" customFormat="false" ht="15" hidden="false" customHeight="false" outlineLevel="0" collapsed="false">
      <c r="A110" s="6" t="s">
        <v>328</v>
      </c>
      <c r="B110" s="6" t="s">
        <v>329</v>
      </c>
      <c r="C110" s="6" t="s">
        <v>75</v>
      </c>
      <c r="D110" s="6" t="n">
        <v>41</v>
      </c>
      <c r="E110" s="6" t="s">
        <v>81</v>
      </c>
      <c r="F110" s="6" t="s">
        <v>82</v>
      </c>
      <c r="G110" s="26" t="n">
        <v>46134</v>
      </c>
      <c r="H110" s="6" t="s">
        <v>123</v>
      </c>
      <c r="I110" s="26" t="n">
        <f aca="false">_xlfn.MINIFS(Transaction!$C$2:$C$8421,Transaction!$B$2:$B$8421,A110)</f>
        <v>46179</v>
      </c>
      <c r="J110" s="26" t="n">
        <f aca="false">_xlfn.MAXIFS(Transaction!$C$2:$C$8421,Transaction!$B$2:$B$8421,A110)</f>
        <v>46179</v>
      </c>
      <c r="K110" s="6" t="n">
        <f aca="false">COUNTIF(Transaction!$B$2:$B$8421,A110)</f>
        <v>1</v>
      </c>
      <c r="L110" s="10" t="n">
        <f aca="false">SUMIF(Transaction!$B$2:$B$8421,A110,Transaction!$H$2:$H$8421)</f>
        <v>1548</v>
      </c>
      <c r="M110" s="6" t="n">
        <f aca="false">Summary!$B$3-J110</f>
        <v>87</v>
      </c>
      <c r="N110" s="6" t="str">
        <f aca="false">IF(K110&gt;1,"Yes","No")</f>
        <v>No</v>
      </c>
      <c r="O110" s="6" t="s">
        <v>47</v>
      </c>
    </row>
    <row r="111" customFormat="false" ht="15" hidden="false" customHeight="false" outlineLevel="0" collapsed="false">
      <c r="A111" s="6" t="s">
        <v>330</v>
      </c>
      <c r="B111" s="6" t="s">
        <v>331</v>
      </c>
      <c r="C111" s="6" t="s">
        <v>75</v>
      </c>
      <c r="D111" s="6" t="n">
        <v>31</v>
      </c>
      <c r="E111" s="6" t="s">
        <v>237</v>
      </c>
      <c r="F111" s="6" t="s">
        <v>87</v>
      </c>
      <c r="G111" s="26" t="n">
        <v>46079</v>
      </c>
      <c r="H111" s="6" t="s">
        <v>115</v>
      </c>
      <c r="I111" s="26" t="n">
        <f aca="false">_xlfn.MINIFS(Transaction!$C$2:$C$8421,Transaction!$B$2:$B$8421,A111)</f>
        <v>46083</v>
      </c>
      <c r="J111" s="26" t="n">
        <f aca="false">_xlfn.MAXIFS(Transaction!$C$2:$C$8421,Transaction!$B$2:$B$8421,A111)</f>
        <v>46176</v>
      </c>
      <c r="K111" s="6" t="n">
        <f aca="false">COUNTIF(Transaction!$B$2:$B$8421,A111)</f>
        <v>3</v>
      </c>
      <c r="L111" s="10" t="n">
        <f aca="false">SUMIF(Transaction!$B$2:$B$8421,A111,Transaction!$H$2:$H$8421)</f>
        <v>3901</v>
      </c>
      <c r="M111" s="6" t="n">
        <f aca="false">Summary!$B$3-J111</f>
        <v>90</v>
      </c>
      <c r="N111" s="6" t="str">
        <f aca="false">IF(K111&gt;1,"Yes","No")</f>
        <v>Yes</v>
      </c>
      <c r="O111" s="6" t="s">
        <v>46</v>
      </c>
    </row>
    <row r="112" customFormat="false" ht="15" hidden="false" customHeight="false" outlineLevel="0" collapsed="false">
      <c r="A112" s="6" t="s">
        <v>332</v>
      </c>
      <c r="B112" s="6" t="s">
        <v>333</v>
      </c>
      <c r="C112" s="6" t="s">
        <v>85</v>
      </c>
      <c r="D112" s="6" t="n">
        <v>26</v>
      </c>
      <c r="E112" s="6" t="s">
        <v>134</v>
      </c>
      <c r="F112" s="6" t="s">
        <v>135</v>
      </c>
      <c r="G112" s="26" t="n">
        <v>45974</v>
      </c>
      <c r="H112" s="6" t="s">
        <v>102</v>
      </c>
      <c r="I112" s="26" t="n">
        <f aca="false">_xlfn.MINIFS(Transaction!$C$2:$C$8421,Transaction!$B$2:$B$8421,A112)</f>
        <v>46061</v>
      </c>
      <c r="J112" s="26" t="n">
        <f aca="false">_xlfn.MAXIFS(Transaction!$C$2:$C$8421,Transaction!$B$2:$B$8421,A112)</f>
        <v>46250</v>
      </c>
      <c r="K112" s="6" t="n">
        <f aca="false">COUNTIF(Transaction!$B$2:$B$8421,A112)</f>
        <v>7</v>
      </c>
      <c r="L112" s="10" t="n">
        <f aca="false">SUMIF(Transaction!$B$2:$B$8421,A112,Transaction!$H$2:$H$8421)</f>
        <v>12225</v>
      </c>
      <c r="M112" s="6" t="n">
        <f aca="false">Summary!$B$3-J112</f>
        <v>16</v>
      </c>
      <c r="N112" s="6" t="str">
        <f aca="false">IF(K112&gt;1,"Yes","No")</f>
        <v>Yes</v>
      </c>
      <c r="O112" s="6" t="s">
        <v>45</v>
      </c>
    </row>
    <row r="113" customFormat="false" ht="15" hidden="false" customHeight="false" outlineLevel="0" collapsed="false">
      <c r="A113" s="6" t="s">
        <v>334</v>
      </c>
      <c r="B113" s="6" t="s">
        <v>335</v>
      </c>
      <c r="C113" s="6" t="s">
        <v>75</v>
      </c>
      <c r="D113" s="6" t="n">
        <v>43</v>
      </c>
      <c r="E113" s="6" t="s">
        <v>134</v>
      </c>
      <c r="F113" s="6" t="s">
        <v>135</v>
      </c>
      <c r="G113" s="26" t="n">
        <v>46054</v>
      </c>
      <c r="H113" s="6" t="s">
        <v>115</v>
      </c>
      <c r="I113" s="26" t="n">
        <f aca="false">_xlfn.MINIFS(Transaction!$C$2:$C$8421,Transaction!$B$2:$B$8421,A113)</f>
        <v>46134</v>
      </c>
      <c r="J113" s="26" t="n">
        <f aca="false">_xlfn.MAXIFS(Transaction!$C$2:$C$8421,Transaction!$B$2:$B$8421,A113)</f>
        <v>46134</v>
      </c>
      <c r="K113" s="6" t="n">
        <f aca="false">COUNTIF(Transaction!$B$2:$B$8421,A113)</f>
        <v>1</v>
      </c>
      <c r="L113" s="10" t="n">
        <f aca="false">SUMIF(Transaction!$B$2:$B$8421,A113,Transaction!$H$2:$H$8421)</f>
        <v>2931</v>
      </c>
      <c r="M113" s="6" t="n">
        <f aca="false">Summary!$B$3-J113</f>
        <v>132</v>
      </c>
      <c r="N113" s="6" t="str">
        <f aca="false">IF(K113&gt;1,"Yes","No")</f>
        <v>No</v>
      </c>
      <c r="O113" s="6" t="s">
        <v>48</v>
      </c>
    </row>
    <row r="114" customFormat="false" ht="15" hidden="false" customHeight="false" outlineLevel="0" collapsed="false">
      <c r="A114" s="6" t="s">
        <v>336</v>
      </c>
      <c r="B114" s="6" t="s">
        <v>337</v>
      </c>
      <c r="C114" s="6" t="s">
        <v>85</v>
      </c>
      <c r="D114" s="6" t="n">
        <v>39</v>
      </c>
      <c r="E114" s="6" t="s">
        <v>176</v>
      </c>
      <c r="F114" s="6" t="s">
        <v>177</v>
      </c>
      <c r="G114" s="26" t="n">
        <v>46184</v>
      </c>
      <c r="H114" s="6" t="s">
        <v>78</v>
      </c>
      <c r="I114" s="26" t="n">
        <f aca="false">_xlfn.MINIFS(Transaction!$C$2:$C$8421,Transaction!$B$2:$B$8421,A114)</f>
        <v>46258</v>
      </c>
      <c r="J114" s="26" t="n">
        <f aca="false">_xlfn.MAXIFS(Transaction!$C$2:$C$8421,Transaction!$B$2:$B$8421,A114)</f>
        <v>46258</v>
      </c>
      <c r="K114" s="6" t="n">
        <f aca="false">COUNTIF(Transaction!$B$2:$B$8421,A114)</f>
        <v>1</v>
      </c>
      <c r="L114" s="10" t="n">
        <f aca="false">SUMIF(Transaction!$B$2:$B$8421,A114,Transaction!$H$2:$H$8421)</f>
        <v>884</v>
      </c>
      <c r="M114" s="6" t="n">
        <f aca="false">Summary!$B$3-J114</f>
        <v>8</v>
      </c>
      <c r="N114" s="6" t="str">
        <f aca="false">IF(K114&gt;1,"Yes","No")</f>
        <v>No</v>
      </c>
      <c r="O114" s="6" t="s">
        <v>47</v>
      </c>
    </row>
    <row r="115" customFormat="false" ht="15" hidden="false" customHeight="false" outlineLevel="0" collapsed="false">
      <c r="A115" s="6" t="s">
        <v>338</v>
      </c>
      <c r="B115" s="6" t="s">
        <v>339</v>
      </c>
      <c r="C115" s="6" t="s">
        <v>75</v>
      </c>
      <c r="D115" s="6" t="n">
        <v>58</v>
      </c>
      <c r="E115" s="6" t="s">
        <v>91</v>
      </c>
      <c r="F115" s="6" t="s">
        <v>77</v>
      </c>
      <c r="G115" s="26" t="n">
        <v>46119</v>
      </c>
      <c r="H115" s="6" t="s">
        <v>78</v>
      </c>
      <c r="I115" s="26" t="n">
        <f aca="false">_xlfn.MINIFS(Transaction!$C$2:$C$8421,Transaction!$B$2:$B$8421,A115)</f>
        <v>46190</v>
      </c>
      <c r="J115" s="26" t="n">
        <f aca="false">_xlfn.MAXIFS(Transaction!$C$2:$C$8421,Transaction!$B$2:$B$8421,A115)</f>
        <v>46237</v>
      </c>
      <c r="K115" s="6" t="n">
        <f aca="false">COUNTIF(Transaction!$B$2:$B$8421,A115)</f>
        <v>4</v>
      </c>
      <c r="L115" s="10" t="n">
        <f aca="false">SUMIF(Transaction!$B$2:$B$8421,A115,Transaction!$H$2:$H$8421)</f>
        <v>6095</v>
      </c>
      <c r="M115" s="6" t="n">
        <f aca="false">Summary!$B$3-J115</f>
        <v>29</v>
      </c>
      <c r="N115" s="6" t="str">
        <f aca="false">IF(K115&gt;1,"Yes","No")</f>
        <v>Yes</v>
      </c>
      <c r="O115" s="6" t="s">
        <v>46</v>
      </c>
    </row>
    <row r="116" customFormat="false" ht="15" hidden="false" customHeight="false" outlineLevel="0" collapsed="false">
      <c r="A116" s="6" t="s">
        <v>340</v>
      </c>
      <c r="B116" s="6" t="s">
        <v>341</v>
      </c>
      <c r="C116" s="6" t="s">
        <v>85</v>
      </c>
      <c r="D116" s="6" t="n">
        <v>48</v>
      </c>
      <c r="E116" s="6" t="s">
        <v>98</v>
      </c>
      <c r="F116" s="6" t="s">
        <v>99</v>
      </c>
      <c r="G116" s="26" t="n">
        <v>45997</v>
      </c>
      <c r="H116" s="6" t="s">
        <v>115</v>
      </c>
      <c r="I116" s="26" t="n">
        <f aca="false">_xlfn.MINIFS(Transaction!$C$2:$C$8421,Transaction!$B$2:$B$8421,A116)</f>
        <v>46032</v>
      </c>
      <c r="J116" s="26" t="n">
        <f aca="false">_xlfn.MAXIFS(Transaction!$C$2:$C$8421,Transaction!$B$2:$B$8421,A116)</f>
        <v>46253</v>
      </c>
      <c r="K116" s="6" t="n">
        <f aca="false">COUNTIF(Transaction!$B$2:$B$8421,A116)</f>
        <v>10</v>
      </c>
      <c r="L116" s="10" t="n">
        <f aca="false">SUMIF(Transaction!$B$2:$B$8421,A116,Transaction!$H$2:$H$8421)</f>
        <v>34049</v>
      </c>
      <c r="M116" s="6" t="n">
        <f aca="false">Summary!$B$3-J116</f>
        <v>13</v>
      </c>
      <c r="N116" s="6" t="str">
        <f aca="false">IF(K116&gt;1,"Yes","No")</f>
        <v>Yes</v>
      </c>
      <c r="O116" s="6" t="s">
        <v>45</v>
      </c>
    </row>
    <row r="117" customFormat="false" ht="15" hidden="false" customHeight="false" outlineLevel="0" collapsed="false">
      <c r="A117" s="6" t="s">
        <v>342</v>
      </c>
      <c r="B117" s="6" t="s">
        <v>343</v>
      </c>
      <c r="C117" s="6" t="s">
        <v>75</v>
      </c>
      <c r="D117" s="6" t="n">
        <v>38</v>
      </c>
      <c r="E117" s="6" t="s">
        <v>264</v>
      </c>
      <c r="F117" s="6" t="s">
        <v>106</v>
      </c>
      <c r="G117" s="26" t="n">
        <v>45981</v>
      </c>
      <c r="H117" s="6" t="s">
        <v>88</v>
      </c>
      <c r="I117" s="26" t="n">
        <f aca="false">_xlfn.MINIFS(Transaction!$C$2:$C$8421,Transaction!$B$2:$B$8421,A117)</f>
        <v>46029</v>
      </c>
      <c r="J117" s="26" t="n">
        <f aca="false">_xlfn.MAXIFS(Transaction!$C$2:$C$8421,Transaction!$B$2:$B$8421,A117)</f>
        <v>46233</v>
      </c>
      <c r="K117" s="6" t="n">
        <f aca="false">COUNTIF(Transaction!$B$2:$B$8421,A117)</f>
        <v>5</v>
      </c>
      <c r="L117" s="10" t="n">
        <f aca="false">SUMIF(Transaction!$B$2:$B$8421,A117,Transaction!$H$2:$H$8421)</f>
        <v>9230</v>
      </c>
      <c r="M117" s="6" t="n">
        <f aca="false">Summary!$B$3-J117</f>
        <v>33</v>
      </c>
      <c r="N117" s="6" t="str">
        <f aca="false">IF(K117&gt;1,"Yes","No")</f>
        <v>Yes</v>
      </c>
      <c r="O117" s="6" t="s">
        <v>46</v>
      </c>
    </row>
    <row r="118" customFormat="false" ht="15" hidden="false" customHeight="false" outlineLevel="0" collapsed="false">
      <c r="A118" s="6" t="s">
        <v>344</v>
      </c>
      <c r="B118" s="6" t="s">
        <v>345</v>
      </c>
      <c r="C118" s="6" t="s">
        <v>85</v>
      </c>
      <c r="D118" s="6" t="n">
        <v>43</v>
      </c>
      <c r="E118" s="6" t="s">
        <v>81</v>
      </c>
      <c r="F118" s="6" t="s">
        <v>82</v>
      </c>
      <c r="G118" s="26" t="n">
        <v>46108</v>
      </c>
      <c r="H118" s="6" t="s">
        <v>88</v>
      </c>
      <c r="I118" s="26" t="n">
        <f aca="false">_xlfn.MINIFS(Transaction!$C$2:$C$8421,Transaction!$B$2:$B$8421,A118)</f>
        <v>46151</v>
      </c>
      <c r="J118" s="26" t="n">
        <f aca="false">_xlfn.MAXIFS(Transaction!$C$2:$C$8421,Transaction!$B$2:$B$8421,A118)</f>
        <v>46151</v>
      </c>
      <c r="K118" s="6" t="n">
        <f aca="false">COUNTIF(Transaction!$B$2:$B$8421,A118)</f>
        <v>1</v>
      </c>
      <c r="L118" s="10" t="n">
        <f aca="false">SUMIF(Transaction!$B$2:$B$8421,A118,Transaction!$H$2:$H$8421)</f>
        <v>1529</v>
      </c>
      <c r="M118" s="6" t="n">
        <f aca="false">Summary!$B$3-J118</f>
        <v>115</v>
      </c>
      <c r="N118" s="6" t="str">
        <f aca="false">IF(K118&gt;1,"Yes","No")</f>
        <v>No</v>
      </c>
      <c r="O118" s="6" t="s">
        <v>48</v>
      </c>
    </row>
    <row r="119" customFormat="false" ht="15" hidden="false" customHeight="false" outlineLevel="0" collapsed="false">
      <c r="A119" s="6" t="s">
        <v>346</v>
      </c>
      <c r="B119" s="6" t="s">
        <v>347</v>
      </c>
      <c r="C119" s="6" t="s">
        <v>85</v>
      </c>
      <c r="D119" s="6" t="n">
        <v>46</v>
      </c>
      <c r="E119" s="6" t="s">
        <v>95</v>
      </c>
      <c r="F119" s="6" t="s">
        <v>95</v>
      </c>
      <c r="G119" s="26" t="n">
        <v>45969</v>
      </c>
      <c r="H119" s="6" t="s">
        <v>102</v>
      </c>
      <c r="I119" s="26" t="n">
        <f aca="false">_xlfn.MINIFS(Transaction!$C$2:$C$8421,Transaction!$B$2:$B$8421,A119)</f>
        <v>46048</v>
      </c>
      <c r="J119" s="26" t="n">
        <f aca="false">_xlfn.MAXIFS(Transaction!$C$2:$C$8421,Transaction!$B$2:$B$8421,A119)</f>
        <v>46211</v>
      </c>
      <c r="K119" s="6" t="n">
        <f aca="false">COUNTIF(Transaction!$B$2:$B$8421,A119)</f>
        <v>5</v>
      </c>
      <c r="L119" s="10" t="n">
        <f aca="false">SUMIF(Transaction!$B$2:$B$8421,A119,Transaction!$H$2:$H$8421)</f>
        <v>24569</v>
      </c>
      <c r="M119" s="6" t="n">
        <f aca="false">Summary!$B$3-J119</f>
        <v>55</v>
      </c>
      <c r="N119" s="6" t="str">
        <f aca="false">IF(K119&gt;1,"Yes","No")</f>
        <v>Yes</v>
      </c>
      <c r="O119" s="6" t="s">
        <v>46</v>
      </c>
    </row>
    <row r="120" customFormat="false" ht="15" hidden="false" customHeight="false" outlineLevel="0" collapsed="false">
      <c r="A120" s="6" t="s">
        <v>348</v>
      </c>
      <c r="B120" s="6" t="s">
        <v>349</v>
      </c>
      <c r="C120" s="6" t="s">
        <v>75</v>
      </c>
      <c r="D120" s="6" t="n">
        <v>38</v>
      </c>
      <c r="E120" s="6" t="s">
        <v>321</v>
      </c>
      <c r="F120" s="6" t="s">
        <v>321</v>
      </c>
      <c r="G120" s="26" t="n">
        <v>46061</v>
      </c>
      <c r="H120" s="6" t="s">
        <v>78</v>
      </c>
      <c r="I120" s="26" t="n">
        <f aca="false">_xlfn.MINIFS(Transaction!$C$2:$C$8421,Transaction!$B$2:$B$8421,A120)</f>
        <v>46116</v>
      </c>
      <c r="J120" s="26" t="n">
        <f aca="false">_xlfn.MAXIFS(Transaction!$C$2:$C$8421,Transaction!$B$2:$B$8421,A120)</f>
        <v>46116</v>
      </c>
      <c r="K120" s="6" t="n">
        <f aca="false">COUNTIF(Transaction!$B$2:$B$8421,A120)</f>
        <v>1</v>
      </c>
      <c r="L120" s="10" t="n">
        <f aca="false">SUMIF(Transaction!$B$2:$B$8421,A120,Transaction!$H$2:$H$8421)</f>
        <v>586</v>
      </c>
      <c r="M120" s="6" t="n">
        <f aca="false">Summary!$B$3-J120</f>
        <v>150</v>
      </c>
      <c r="N120" s="6" t="str">
        <f aca="false">IF(K120&gt;1,"Yes","No")</f>
        <v>No</v>
      </c>
      <c r="O120" s="6" t="s">
        <v>48</v>
      </c>
    </row>
    <row r="121" customFormat="false" ht="15" hidden="false" customHeight="false" outlineLevel="0" collapsed="false">
      <c r="A121" s="6" t="s">
        <v>350</v>
      </c>
      <c r="B121" s="6" t="s">
        <v>351</v>
      </c>
      <c r="C121" s="6" t="s">
        <v>85</v>
      </c>
      <c r="D121" s="6" t="n">
        <v>39</v>
      </c>
      <c r="E121" s="6" t="s">
        <v>95</v>
      </c>
      <c r="F121" s="6" t="s">
        <v>95</v>
      </c>
      <c r="G121" s="26" t="n">
        <v>46129</v>
      </c>
      <c r="H121" s="6" t="s">
        <v>102</v>
      </c>
      <c r="I121" s="26" t="n">
        <f aca="false">_xlfn.MINIFS(Transaction!$C$2:$C$8421,Transaction!$B$2:$B$8421,A121)</f>
        <v>46175</v>
      </c>
      <c r="J121" s="26" t="n">
        <f aca="false">_xlfn.MAXIFS(Transaction!$C$2:$C$8421,Transaction!$B$2:$B$8421,A121)</f>
        <v>46175</v>
      </c>
      <c r="K121" s="6" t="n">
        <f aca="false">COUNTIF(Transaction!$B$2:$B$8421,A121)</f>
        <v>1</v>
      </c>
      <c r="L121" s="10" t="n">
        <f aca="false">SUMIF(Transaction!$B$2:$B$8421,A121,Transaction!$H$2:$H$8421)</f>
        <v>968</v>
      </c>
      <c r="M121" s="6" t="n">
        <f aca="false">Summary!$B$3-J121</f>
        <v>91</v>
      </c>
      <c r="N121" s="6" t="str">
        <f aca="false">IF(K121&gt;1,"Yes","No")</f>
        <v>No</v>
      </c>
      <c r="O121" s="6" t="s">
        <v>47</v>
      </c>
    </row>
    <row r="122" customFormat="false" ht="15" hidden="false" customHeight="false" outlineLevel="0" collapsed="false">
      <c r="A122" s="6" t="s">
        <v>352</v>
      </c>
      <c r="B122" s="6" t="s">
        <v>353</v>
      </c>
      <c r="C122" s="6" t="s">
        <v>85</v>
      </c>
      <c r="D122" s="6" t="n">
        <v>25</v>
      </c>
      <c r="E122" s="6" t="s">
        <v>81</v>
      </c>
      <c r="F122" s="6" t="s">
        <v>82</v>
      </c>
      <c r="G122" s="26" t="n">
        <v>46223</v>
      </c>
      <c r="H122" s="6" t="s">
        <v>78</v>
      </c>
      <c r="I122" s="26" t="n">
        <f aca="false">_xlfn.MINIFS(Transaction!$C$2:$C$8421,Transaction!$B$2:$B$8421,A122)</f>
        <v>46244</v>
      </c>
      <c r="J122" s="26" t="n">
        <f aca="false">_xlfn.MAXIFS(Transaction!$C$2:$C$8421,Transaction!$B$2:$B$8421,A122)</f>
        <v>46244</v>
      </c>
      <c r="K122" s="6" t="n">
        <f aca="false">COUNTIF(Transaction!$B$2:$B$8421,A122)</f>
        <v>1</v>
      </c>
      <c r="L122" s="10" t="n">
        <f aca="false">SUMIF(Transaction!$B$2:$B$8421,A122,Transaction!$H$2:$H$8421)</f>
        <v>436</v>
      </c>
      <c r="M122" s="6" t="n">
        <f aca="false">Summary!$B$3-J122</f>
        <v>22</v>
      </c>
      <c r="N122" s="6" t="str">
        <f aca="false">IF(K122&gt;1,"Yes","No")</f>
        <v>No</v>
      </c>
      <c r="O122" s="6" t="s">
        <v>47</v>
      </c>
    </row>
    <row r="123" customFormat="false" ht="15" hidden="false" customHeight="false" outlineLevel="0" collapsed="false">
      <c r="A123" s="6" t="s">
        <v>354</v>
      </c>
      <c r="B123" s="6" t="s">
        <v>355</v>
      </c>
      <c r="C123" s="6" t="s">
        <v>85</v>
      </c>
      <c r="D123" s="6" t="n">
        <v>30</v>
      </c>
      <c r="E123" s="6" t="s">
        <v>146</v>
      </c>
      <c r="F123" s="6" t="s">
        <v>147</v>
      </c>
      <c r="G123" s="26" t="n">
        <v>46041</v>
      </c>
      <c r="H123" s="6" t="s">
        <v>92</v>
      </c>
      <c r="I123" s="26" t="n">
        <f aca="false">_xlfn.MINIFS(Transaction!$C$2:$C$8421,Transaction!$B$2:$B$8421,A123)</f>
        <v>46049</v>
      </c>
      <c r="J123" s="26" t="n">
        <f aca="false">_xlfn.MAXIFS(Transaction!$C$2:$C$8421,Transaction!$B$2:$B$8421,A123)</f>
        <v>46176</v>
      </c>
      <c r="K123" s="6" t="n">
        <f aca="false">COUNTIF(Transaction!$B$2:$B$8421,A123)</f>
        <v>7</v>
      </c>
      <c r="L123" s="10" t="n">
        <f aca="false">SUMIF(Transaction!$B$2:$B$8421,A123,Transaction!$H$2:$H$8421)</f>
        <v>9149</v>
      </c>
      <c r="M123" s="6" t="n">
        <f aca="false">Summary!$B$3-J123</f>
        <v>90</v>
      </c>
      <c r="N123" s="6" t="str">
        <f aca="false">IF(K123&gt;1,"Yes","No")</f>
        <v>Yes</v>
      </c>
      <c r="O123" s="6" t="s">
        <v>46</v>
      </c>
    </row>
    <row r="124" customFormat="false" ht="15" hidden="false" customHeight="false" outlineLevel="0" collapsed="false">
      <c r="A124" s="6" t="s">
        <v>356</v>
      </c>
      <c r="B124" s="6" t="s">
        <v>357</v>
      </c>
      <c r="C124" s="6" t="s">
        <v>85</v>
      </c>
      <c r="D124" s="6" t="n">
        <v>29</v>
      </c>
      <c r="E124" s="6" t="s">
        <v>98</v>
      </c>
      <c r="F124" s="6" t="s">
        <v>99</v>
      </c>
      <c r="G124" s="26" t="n">
        <v>46051</v>
      </c>
      <c r="H124" s="6" t="s">
        <v>78</v>
      </c>
      <c r="I124" s="26" t="n">
        <f aca="false">_xlfn.MINIFS(Transaction!$C$2:$C$8421,Transaction!$B$2:$B$8421,A124)</f>
        <v>46075</v>
      </c>
      <c r="J124" s="26" t="n">
        <f aca="false">_xlfn.MAXIFS(Transaction!$C$2:$C$8421,Transaction!$B$2:$B$8421,A124)</f>
        <v>46244</v>
      </c>
      <c r="K124" s="6" t="n">
        <f aca="false">COUNTIF(Transaction!$B$2:$B$8421,A124)</f>
        <v>9</v>
      </c>
      <c r="L124" s="10" t="n">
        <f aca="false">SUMIF(Transaction!$B$2:$B$8421,A124,Transaction!$H$2:$H$8421)</f>
        <v>15540</v>
      </c>
      <c r="M124" s="6" t="n">
        <f aca="false">Summary!$B$3-J124</f>
        <v>22</v>
      </c>
      <c r="N124" s="6" t="str">
        <f aca="false">IF(K124&gt;1,"Yes","No")</f>
        <v>Yes</v>
      </c>
      <c r="O124" s="6" t="s">
        <v>45</v>
      </c>
    </row>
    <row r="125" customFormat="false" ht="15" hidden="false" customHeight="false" outlineLevel="0" collapsed="false">
      <c r="A125" s="6" t="s">
        <v>358</v>
      </c>
      <c r="B125" s="6" t="s">
        <v>359</v>
      </c>
      <c r="C125" s="6" t="s">
        <v>85</v>
      </c>
      <c r="D125" s="6" t="n">
        <v>40</v>
      </c>
      <c r="E125" s="6" t="s">
        <v>95</v>
      </c>
      <c r="F125" s="6" t="s">
        <v>95</v>
      </c>
      <c r="G125" s="26" t="n">
        <v>46016</v>
      </c>
      <c r="H125" s="6" t="s">
        <v>115</v>
      </c>
      <c r="I125" s="26" t="n">
        <f aca="false">_xlfn.MINIFS(Transaction!$C$2:$C$8421,Transaction!$B$2:$B$8421,A125)</f>
        <v>46046</v>
      </c>
      <c r="J125" s="26" t="n">
        <f aca="false">_xlfn.MAXIFS(Transaction!$C$2:$C$8421,Transaction!$B$2:$B$8421,A125)</f>
        <v>46263</v>
      </c>
      <c r="K125" s="6" t="n">
        <f aca="false">COUNTIF(Transaction!$B$2:$B$8421,A125)</f>
        <v>11</v>
      </c>
      <c r="L125" s="10" t="n">
        <f aca="false">SUMIF(Transaction!$B$2:$B$8421,A125,Transaction!$H$2:$H$8421)</f>
        <v>19977</v>
      </c>
      <c r="M125" s="6" t="n">
        <f aca="false">Summary!$B$3-J125</f>
        <v>3</v>
      </c>
      <c r="N125" s="6" t="str">
        <f aca="false">IF(K125&gt;1,"Yes","No")</f>
        <v>Yes</v>
      </c>
      <c r="O125" s="6" t="s">
        <v>45</v>
      </c>
    </row>
    <row r="126" customFormat="false" ht="15" hidden="false" customHeight="false" outlineLevel="0" collapsed="false">
      <c r="A126" s="6" t="s">
        <v>360</v>
      </c>
      <c r="B126" s="6" t="s">
        <v>361</v>
      </c>
      <c r="C126" s="6" t="s">
        <v>75</v>
      </c>
      <c r="D126" s="6" t="n">
        <v>25</v>
      </c>
      <c r="E126" s="6" t="s">
        <v>146</v>
      </c>
      <c r="F126" s="6" t="s">
        <v>147</v>
      </c>
      <c r="G126" s="26" t="n">
        <v>46243</v>
      </c>
      <c r="H126" s="6" t="s">
        <v>78</v>
      </c>
      <c r="I126" s="26" t="n">
        <f aca="false">_xlfn.MINIFS(Transaction!$C$2:$C$8421,Transaction!$B$2:$B$8421,A126)</f>
        <v>46245</v>
      </c>
      <c r="J126" s="26" t="n">
        <f aca="false">_xlfn.MAXIFS(Transaction!$C$2:$C$8421,Transaction!$B$2:$B$8421,A126)</f>
        <v>46245</v>
      </c>
      <c r="K126" s="6" t="n">
        <f aca="false">COUNTIF(Transaction!$B$2:$B$8421,A126)</f>
        <v>1</v>
      </c>
      <c r="L126" s="10" t="n">
        <f aca="false">SUMIF(Transaction!$B$2:$B$8421,A126,Transaction!$H$2:$H$8421)</f>
        <v>1586</v>
      </c>
      <c r="M126" s="6" t="n">
        <f aca="false">Summary!$B$3-J126</f>
        <v>21</v>
      </c>
      <c r="N126" s="6" t="str">
        <f aca="false">IF(K126&gt;1,"Yes","No")</f>
        <v>No</v>
      </c>
      <c r="O126" s="6" t="s">
        <v>47</v>
      </c>
    </row>
    <row r="127" customFormat="false" ht="15" hidden="false" customHeight="false" outlineLevel="0" collapsed="false">
      <c r="A127" s="6" t="s">
        <v>362</v>
      </c>
      <c r="B127" s="6" t="s">
        <v>363</v>
      </c>
      <c r="C127" s="6" t="s">
        <v>85</v>
      </c>
      <c r="D127" s="6" t="n">
        <v>27</v>
      </c>
      <c r="E127" s="6" t="s">
        <v>121</v>
      </c>
      <c r="F127" s="6" t="s">
        <v>122</v>
      </c>
      <c r="G127" s="26" t="n">
        <v>46005</v>
      </c>
      <c r="H127" s="6" t="s">
        <v>78</v>
      </c>
      <c r="I127" s="26" t="n">
        <f aca="false">_xlfn.MINIFS(Transaction!$C$2:$C$8421,Transaction!$B$2:$B$8421,A127)</f>
        <v>46049</v>
      </c>
      <c r="J127" s="26" t="n">
        <f aca="false">_xlfn.MAXIFS(Transaction!$C$2:$C$8421,Transaction!$B$2:$B$8421,A127)</f>
        <v>46247</v>
      </c>
      <c r="K127" s="6" t="n">
        <f aca="false">COUNTIF(Transaction!$B$2:$B$8421,A127)</f>
        <v>9</v>
      </c>
      <c r="L127" s="10" t="n">
        <f aca="false">SUMIF(Transaction!$B$2:$B$8421,A127,Transaction!$H$2:$H$8421)</f>
        <v>33185</v>
      </c>
      <c r="M127" s="6" t="n">
        <f aca="false">Summary!$B$3-J127</f>
        <v>19</v>
      </c>
      <c r="N127" s="6" t="str">
        <f aca="false">IF(K127&gt;1,"Yes","No")</f>
        <v>Yes</v>
      </c>
      <c r="O127" s="6" t="s">
        <v>45</v>
      </c>
    </row>
    <row r="128" customFormat="false" ht="15" hidden="false" customHeight="false" outlineLevel="0" collapsed="false">
      <c r="A128" s="6" t="s">
        <v>364</v>
      </c>
      <c r="B128" s="6" t="s">
        <v>365</v>
      </c>
      <c r="C128" s="6" t="s">
        <v>75</v>
      </c>
      <c r="D128" s="6" t="n">
        <v>42</v>
      </c>
      <c r="E128" s="6" t="s">
        <v>321</v>
      </c>
      <c r="F128" s="6" t="s">
        <v>321</v>
      </c>
      <c r="G128" s="26" t="n">
        <v>46104</v>
      </c>
      <c r="H128" s="6" t="s">
        <v>88</v>
      </c>
      <c r="I128" s="26" t="n">
        <f aca="false">_xlfn.MINIFS(Transaction!$C$2:$C$8421,Transaction!$B$2:$B$8421,A128)</f>
        <v>46157</v>
      </c>
      <c r="J128" s="26" t="n">
        <f aca="false">_xlfn.MAXIFS(Transaction!$C$2:$C$8421,Transaction!$B$2:$B$8421,A128)</f>
        <v>46157</v>
      </c>
      <c r="K128" s="6" t="n">
        <f aca="false">COUNTIF(Transaction!$B$2:$B$8421,A128)</f>
        <v>1</v>
      </c>
      <c r="L128" s="10" t="n">
        <f aca="false">SUMIF(Transaction!$B$2:$B$8421,A128,Transaction!$H$2:$H$8421)</f>
        <v>559</v>
      </c>
      <c r="M128" s="6" t="n">
        <f aca="false">Summary!$B$3-J128</f>
        <v>109</v>
      </c>
      <c r="N128" s="6" t="str">
        <f aca="false">IF(K128&gt;1,"Yes","No")</f>
        <v>No</v>
      </c>
      <c r="O128" s="6" t="s">
        <v>48</v>
      </c>
    </row>
    <row r="129" customFormat="false" ht="15" hidden="false" customHeight="false" outlineLevel="0" collapsed="false">
      <c r="A129" s="6" t="s">
        <v>366</v>
      </c>
      <c r="B129" s="6" t="s">
        <v>367</v>
      </c>
      <c r="C129" s="6" t="s">
        <v>85</v>
      </c>
      <c r="D129" s="6" t="n">
        <v>48</v>
      </c>
      <c r="E129" s="6" t="s">
        <v>95</v>
      </c>
      <c r="F129" s="6" t="s">
        <v>95</v>
      </c>
      <c r="G129" s="26" t="n">
        <v>46003</v>
      </c>
      <c r="H129" s="6" t="s">
        <v>78</v>
      </c>
      <c r="I129" s="26" t="n">
        <f aca="false">_xlfn.MINIFS(Transaction!$C$2:$C$8421,Transaction!$B$2:$B$8421,A129)</f>
        <v>46034</v>
      </c>
      <c r="J129" s="26" t="n">
        <f aca="false">_xlfn.MAXIFS(Transaction!$C$2:$C$8421,Transaction!$B$2:$B$8421,A129)</f>
        <v>46261</v>
      </c>
      <c r="K129" s="6" t="n">
        <f aca="false">COUNTIF(Transaction!$B$2:$B$8421,A129)</f>
        <v>12</v>
      </c>
      <c r="L129" s="10" t="n">
        <f aca="false">SUMIF(Transaction!$B$2:$B$8421,A129,Transaction!$H$2:$H$8421)</f>
        <v>24949</v>
      </c>
      <c r="M129" s="6" t="n">
        <f aca="false">Summary!$B$3-J129</f>
        <v>5</v>
      </c>
      <c r="N129" s="6" t="str">
        <f aca="false">IF(K129&gt;1,"Yes","No")</f>
        <v>Yes</v>
      </c>
      <c r="O129" s="6" t="s">
        <v>45</v>
      </c>
    </row>
    <row r="130" customFormat="false" ht="15" hidden="false" customHeight="false" outlineLevel="0" collapsed="false">
      <c r="A130" s="6" t="s">
        <v>368</v>
      </c>
      <c r="B130" s="6" t="s">
        <v>369</v>
      </c>
      <c r="C130" s="6" t="s">
        <v>85</v>
      </c>
      <c r="D130" s="6" t="n">
        <v>28</v>
      </c>
      <c r="E130" s="6" t="s">
        <v>76</v>
      </c>
      <c r="F130" s="6" t="s">
        <v>77</v>
      </c>
      <c r="G130" s="26" t="n">
        <v>46025</v>
      </c>
      <c r="H130" s="6" t="s">
        <v>115</v>
      </c>
      <c r="I130" s="26" t="n">
        <f aca="false">_xlfn.MINIFS(Transaction!$C$2:$C$8421,Transaction!$B$2:$B$8421,A130)</f>
        <v>46049</v>
      </c>
      <c r="J130" s="26" t="n">
        <f aca="false">_xlfn.MAXIFS(Transaction!$C$2:$C$8421,Transaction!$B$2:$B$8421,A130)</f>
        <v>46262</v>
      </c>
      <c r="K130" s="6" t="n">
        <f aca="false">COUNTIF(Transaction!$B$2:$B$8421,A130)</f>
        <v>8</v>
      </c>
      <c r="L130" s="10" t="n">
        <f aca="false">SUMIF(Transaction!$B$2:$B$8421,A130,Transaction!$H$2:$H$8421)</f>
        <v>14961</v>
      </c>
      <c r="M130" s="6" t="n">
        <f aca="false">Summary!$B$3-J130</f>
        <v>4</v>
      </c>
      <c r="N130" s="6" t="str">
        <f aca="false">IF(K130&gt;1,"Yes","No")</f>
        <v>Yes</v>
      </c>
      <c r="O130" s="6" t="s">
        <v>45</v>
      </c>
    </row>
    <row r="131" customFormat="false" ht="15" hidden="false" customHeight="false" outlineLevel="0" collapsed="false">
      <c r="A131" s="6" t="s">
        <v>370</v>
      </c>
      <c r="B131" s="6" t="s">
        <v>371</v>
      </c>
      <c r="C131" s="6" t="s">
        <v>75</v>
      </c>
      <c r="D131" s="6" t="n">
        <v>33</v>
      </c>
      <c r="E131" s="6" t="s">
        <v>180</v>
      </c>
      <c r="F131" s="6" t="s">
        <v>181</v>
      </c>
      <c r="G131" s="26" t="n">
        <v>46065</v>
      </c>
      <c r="H131" s="6" t="s">
        <v>102</v>
      </c>
      <c r="I131" s="26" t="n">
        <f aca="false">_xlfn.MINIFS(Transaction!$C$2:$C$8421,Transaction!$B$2:$B$8421,A131)</f>
        <v>46081</v>
      </c>
      <c r="J131" s="26" t="n">
        <f aca="false">_xlfn.MAXIFS(Transaction!$C$2:$C$8421,Transaction!$B$2:$B$8421,A131)</f>
        <v>46256</v>
      </c>
      <c r="K131" s="6" t="n">
        <f aca="false">COUNTIF(Transaction!$B$2:$B$8421,A131)</f>
        <v>4</v>
      </c>
      <c r="L131" s="10" t="n">
        <f aca="false">SUMIF(Transaction!$B$2:$B$8421,A131,Transaction!$H$2:$H$8421)</f>
        <v>4406</v>
      </c>
      <c r="M131" s="6" t="n">
        <f aca="false">Summary!$B$3-J131</f>
        <v>10</v>
      </c>
      <c r="N131" s="6" t="str">
        <f aca="false">IF(K131&gt;1,"Yes","No")</f>
        <v>Yes</v>
      </c>
      <c r="O131" s="6" t="s">
        <v>46</v>
      </c>
    </row>
    <row r="132" customFormat="false" ht="15" hidden="false" customHeight="false" outlineLevel="0" collapsed="false">
      <c r="A132" s="6" t="s">
        <v>372</v>
      </c>
      <c r="B132" s="6" t="s">
        <v>373</v>
      </c>
      <c r="C132" s="6" t="s">
        <v>75</v>
      </c>
      <c r="D132" s="6" t="n">
        <v>39</v>
      </c>
      <c r="E132" s="6" t="s">
        <v>134</v>
      </c>
      <c r="F132" s="6" t="s">
        <v>135</v>
      </c>
      <c r="G132" s="26" t="n">
        <v>46171</v>
      </c>
      <c r="H132" s="6" t="s">
        <v>123</v>
      </c>
      <c r="I132" s="26" t="n">
        <f aca="false">_xlfn.MINIFS(Transaction!$C$2:$C$8421,Transaction!$B$2:$B$8421,A132)</f>
        <v>46240</v>
      </c>
      <c r="J132" s="26" t="n">
        <f aca="false">_xlfn.MAXIFS(Transaction!$C$2:$C$8421,Transaction!$B$2:$B$8421,A132)</f>
        <v>46240</v>
      </c>
      <c r="K132" s="6" t="n">
        <f aca="false">COUNTIF(Transaction!$B$2:$B$8421,A132)</f>
        <v>1</v>
      </c>
      <c r="L132" s="10" t="n">
        <f aca="false">SUMIF(Transaction!$B$2:$B$8421,A132,Transaction!$H$2:$H$8421)</f>
        <v>1760</v>
      </c>
      <c r="M132" s="6" t="n">
        <f aca="false">Summary!$B$3-J132</f>
        <v>26</v>
      </c>
      <c r="N132" s="6" t="str">
        <f aca="false">IF(K132&gt;1,"Yes","No")</f>
        <v>No</v>
      </c>
      <c r="O132" s="6" t="s">
        <v>47</v>
      </c>
    </row>
    <row r="133" customFormat="false" ht="15" hidden="false" customHeight="false" outlineLevel="0" collapsed="false">
      <c r="A133" s="6" t="s">
        <v>374</v>
      </c>
      <c r="B133" s="6" t="s">
        <v>375</v>
      </c>
      <c r="C133" s="6" t="s">
        <v>85</v>
      </c>
      <c r="D133" s="6" t="n">
        <v>35</v>
      </c>
      <c r="E133" s="6" t="s">
        <v>95</v>
      </c>
      <c r="F133" s="6" t="s">
        <v>95</v>
      </c>
      <c r="G133" s="26" t="n">
        <v>46010</v>
      </c>
      <c r="H133" s="6" t="s">
        <v>78</v>
      </c>
      <c r="I133" s="26" t="n">
        <f aca="false">_xlfn.MINIFS(Transaction!$C$2:$C$8421,Transaction!$B$2:$B$8421,A133)</f>
        <v>46039</v>
      </c>
      <c r="J133" s="26" t="n">
        <f aca="false">_xlfn.MAXIFS(Transaction!$C$2:$C$8421,Transaction!$B$2:$B$8421,A133)</f>
        <v>46253</v>
      </c>
      <c r="K133" s="6" t="n">
        <f aca="false">COUNTIF(Transaction!$B$2:$B$8421,A133)</f>
        <v>9</v>
      </c>
      <c r="L133" s="10" t="n">
        <f aca="false">SUMIF(Transaction!$B$2:$B$8421,A133,Transaction!$H$2:$H$8421)</f>
        <v>11169</v>
      </c>
      <c r="M133" s="6" t="n">
        <f aca="false">Summary!$B$3-J133</f>
        <v>13</v>
      </c>
      <c r="N133" s="6" t="str">
        <f aca="false">IF(K133&gt;1,"Yes","No")</f>
        <v>Yes</v>
      </c>
      <c r="O133" s="6" t="s">
        <v>45</v>
      </c>
    </row>
    <row r="134" customFormat="false" ht="15" hidden="false" customHeight="false" outlineLevel="0" collapsed="false">
      <c r="A134" s="6" t="s">
        <v>376</v>
      </c>
      <c r="B134" s="6" t="s">
        <v>377</v>
      </c>
      <c r="C134" s="6" t="s">
        <v>75</v>
      </c>
      <c r="D134" s="6" t="n">
        <v>42</v>
      </c>
      <c r="E134" s="6" t="s">
        <v>176</v>
      </c>
      <c r="F134" s="6" t="s">
        <v>177</v>
      </c>
      <c r="G134" s="26" t="n">
        <v>46119</v>
      </c>
      <c r="H134" s="6" t="s">
        <v>92</v>
      </c>
      <c r="I134" s="26" t="n">
        <f aca="false">_xlfn.MINIFS(Transaction!$C$2:$C$8421,Transaction!$B$2:$B$8421,A134)</f>
        <v>46200</v>
      </c>
      <c r="J134" s="26" t="n">
        <f aca="false">_xlfn.MAXIFS(Transaction!$C$2:$C$8421,Transaction!$B$2:$B$8421,A134)</f>
        <v>46200</v>
      </c>
      <c r="K134" s="6" t="n">
        <f aca="false">COUNTIF(Transaction!$B$2:$B$8421,A134)</f>
        <v>1</v>
      </c>
      <c r="L134" s="10" t="n">
        <f aca="false">SUMIF(Transaction!$B$2:$B$8421,A134,Transaction!$H$2:$H$8421)</f>
        <v>1564</v>
      </c>
      <c r="M134" s="6" t="n">
        <f aca="false">Summary!$B$3-J134</f>
        <v>66</v>
      </c>
      <c r="N134" s="6" t="str">
        <f aca="false">IF(K134&gt;1,"Yes","No")</f>
        <v>No</v>
      </c>
      <c r="O134" s="6" t="s">
        <v>47</v>
      </c>
    </row>
    <row r="135" customFormat="false" ht="15" hidden="false" customHeight="false" outlineLevel="0" collapsed="false">
      <c r="A135" s="6" t="s">
        <v>378</v>
      </c>
      <c r="B135" s="6" t="s">
        <v>379</v>
      </c>
      <c r="C135" s="6" t="s">
        <v>85</v>
      </c>
      <c r="D135" s="6" t="n">
        <v>42</v>
      </c>
      <c r="E135" s="6" t="s">
        <v>118</v>
      </c>
      <c r="F135" s="6" t="s">
        <v>77</v>
      </c>
      <c r="G135" s="26" t="n">
        <v>46201</v>
      </c>
      <c r="H135" s="6" t="s">
        <v>78</v>
      </c>
      <c r="I135" s="26" t="n">
        <f aca="false">_xlfn.MINIFS(Transaction!$C$2:$C$8421,Transaction!$B$2:$B$8421,A135)</f>
        <v>46256</v>
      </c>
      <c r="J135" s="26" t="n">
        <f aca="false">_xlfn.MAXIFS(Transaction!$C$2:$C$8421,Transaction!$B$2:$B$8421,A135)</f>
        <v>46256</v>
      </c>
      <c r="K135" s="6" t="n">
        <f aca="false">COUNTIF(Transaction!$B$2:$B$8421,A135)</f>
        <v>1</v>
      </c>
      <c r="L135" s="10" t="n">
        <f aca="false">SUMIF(Transaction!$B$2:$B$8421,A135,Transaction!$H$2:$H$8421)</f>
        <v>1954</v>
      </c>
      <c r="M135" s="6" t="n">
        <f aca="false">Summary!$B$3-J135</f>
        <v>10</v>
      </c>
      <c r="N135" s="6" t="str">
        <f aca="false">IF(K135&gt;1,"Yes","No")</f>
        <v>No</v>
      </c>
      <c r="O135" s="6" t="s">
        <v>47</v>
      </c>
    </row>
    <row r="136" customFormat="false" ht="15" hidden="false" customHeight="false" outlineLevel="0" collapsed="false">
      <c r="A136" s="6" t="s">
        <v>380</v>
      </c>
      <c r="B136" s="6" t="s">
        <v>381</v>
      </c>
      <c r="C136" s="6" t="s">
        <v>85</v>
      </c>
      <c r="D136" s="6" t="n">
        <v>22</v>
      </c>
      <c r="E136" s="6" t="s">
        <v>176</v>
      </c>
      <c r="F136" s="6" t="s">
        <v>177</v>
      </c>
      <c r="G136" s="26" t="n">
        <v>45990</v>
      </c>
      <c r="H136" s="6" t="s">
        <v>92</v>
      </c>
      <c r="I136" s="26" t="n">
        <f aca="false">_xlfn.MINIFS(Transaction!$C$2:$C$8421,Transaction!$B$2:$B$8421,A136)</f>
        <v>46031</v>
      </c>
      <c r="J136" s="26" t="n">
        <f aca="false">_xlfn.MAXIFS(Transaction!$C$2:$C$8421,Transaction!$B$2:$B$8421,A136)</f>
        <v>46252</v>
      </c>
      <c r="K136" s="6" t="n">
        <f aca="false">COUNTIF(Transaction!$B$2:$B$8421,A136)</f>
        <v>3</v>
      </c>
      <c r="L136" s="10" t="n">
        <f aca="false">SUMIF(Transaction!$B$2:$B$8421,A136,Transaction!$H$2:$H$8421)</f>
        <v>7770</v>
      </c>
      <c r="M136" s="6" t="n">
        <f aca="false">Summary!$B$3-J136</f>
        <v>14</v>
      </c>
      <c r="N136" s="6" t="str">
        <f aca="false">IF(K136&gt;1,"Yes","No")</f>
        <v>Yes</v>
      </c>
      <c r="O136" s="6" t="s">
        <v>46</v>
      </c>
    </row>
    <row r="137" customFormat="false" ht="15" hidden="false" customHeight="false" outlineLevel="0" collapsed="false">
      <c r="A137" s="6" t="s">
        <v>382</v>
      </c>
      <c r="B137" s="6" t="s">
        <v>383</v>
      </c>
      <c r="C137" s="6" t="s">
        <v>85</v>
      </c>
      <c r="D137" s="6" t="n">
        <v>22</v>
      </c>
      <c r="E137" s="6" t="s">
        <v>76</v>
      </c>
      <c r="F137" s="6" t="s">
        <v>77</v>
      </c>
      <c r="G137" s="26" t="n">
        <v>45974</v>
      </c>
      <c r="H137" s="6" t="s">
        <v>78</v>
      </c>
      <c r="I137" s="26" t="n">
        <f aca="false">_xlfn.MINIFS(Transaction!$C$2:$C$8421,Transaction!$B$2:$B$8421,A137)</f>
        <v>46042</v>
      </c>
      <c r="J137" s="26" t="n">
        <f aca="false">_xlfn.MAXIFS(Transaction!$C$2:$C$8421,Transaction!$B$2:$B$8421,A137)</f>
        <v>46042</v>
      </c>
      <c r="K137" s="6" t="n">
        <f aca="false">COUNTIF(Transaction!$B$2:$B$8421,A137)</f>
        <v>1</v>
      </c>
      <c r="L137" s="10" t="n">
        <f aca="false">SUMIF(Transaction!$B$2:$B$8421,A137,Transaction!$H$2:$H$8421)</f>
        <v>976</v>
      </c>
      <c r="M137" s="6" t="n">
        <f aca="false">Summary!$B$3-J137</f>
        <v>224</v>
      </c>
      <c r="N137" s="6" t="str">
        <f aca="false">IF(K137&gt;1,"Yes","No")</f>
        <v>No</v>
      </c>
      <c r="O137" s="6" t="s">
        <v>49</v>
      </c>
    </row>
    <row r="138" customFormat="false" ht="15" hidden="false" customHeight="false" outlineLevel="0" collapsed="false">
      <c r="A138" s="6" t="s">
        <v>384</v>
      </c>
      <c r="B138" s="6" t="s">
        <v>385</v>
      </c>
      <c r="C138" s="6" t="s">
        <v>75</v>
      </c>
      <c r="D138" s="6" t="n">
        <v>39</v>
      </c>
      <c r="E138" s="6" t="s">
        <v>121</v>
      </c>
      <c r="F138" s="6" t="s">
        <v>122</v>
      </c>
      <c r="G138" s="26" t="n">
        <v>46073</v>
      </c>
      <c r="H138" s="6" t="s">
        <v>115</v>
      </c>
      <c r="I138" s="26" t="n">
        <f aca="false">_xlfn.MINIFS(Transaction!$C$2:$C$8421,Transaction!$B$2:$B$8421,A138)</f>
        <v>46137</v>
      </c>
      <c r="J138" s="26" t="n">
        <f aca="false">_xlfn.MAXIFS(Transaction!$C$2:$C$8421,Transaction!$B$2:$B$8421,A138)</f>
        <v>46137</v>
      </c>
      <c r="K138" s="6" t="n">
        <f aca="false">COUNTIF(Transaction!$B$2:$B$8421,A138)</f>
        <v>1</v>
      </c>
      <c r="L138" s="10" t="n">
        <f aca="false">SUMIF(Transaction!$B$2:$B$8421,A138,Transaction!$H$2:$H$8421)</f>
        <v>367</v>
      </c>
      <c r="M138" s="6" t="n">
        <f aca="false">Summary!$B$3-J138</f>
        <v>129</v>
      </c>
      <c r="N138" s="6" t="str">
        <f aca="false">IF(K138&gt;1,"Yes","No")</f>
        <v>No</v>
      </c>
      <c r="O138" s="6" t="s">
        <v>48</v>
      </c>
    </row>
    <row r="139" customFormat="false" ht="15" hidden="false" customHeight="false" outlineLevel="0" collapsed="false">
      <c r="A139" s="6" t="s">
        <v>386</v>
      </c>
      <c r="B139" s="6" t="s">
        <v>387</v>
      </c>
      <c r="C139" s="6" t="s">
        <v>85</v>
      </c>
      <c r="D139" s="6" t="n">
        <v>50</v>
      </c>
      <c r="E139" s="6" t="s">
        <v>105</v>
      </c>
      <c r="F139" s="6" t="s">
        <v>106</v>
      </c>
      <c r="G139" s="26" t="n">
        <v>46038</v>
      </c>
      <c r="H139" s="6" t="s">
        <v>102</v>
      </c>
      <c r="I139" s="26" t="n">
        <f aca="false">_xlfn.MINIFS(Transaction!$C$2:$C$8421,Transaction!$B$2:$B$8421,A139)</f>
        <v>46118</v>
      </c>
      <c r="J139" s="26" t="n">
        <f aca="false">_xlfn.MAXIFS(Transaction!$C$2:$C$8421,Transaction!$B$2:$B$8421,A139)</f>
        <v>46118</v>
      </c>
      <c r="K139" s="6" t="n">
        <f aca="false">COUNTIF(Transaction!$B$2:$B$8421,A139)</f>
        <v>1</v>
      </c>
      <c r="L139" s="10" t="n">
        <f aca="false">SUMIF(Transaction!$B$2:$B$8421,A139,Transaction!$H$2:$H$8421)</f>
        <v>872</v>
      </c>
      <c r="M139" s="6" t="n">
        <f aca="false">Summary!$B$3-J139</f>
        <v>148</v>
      </c>
      <c r="N139" s="6" t="str">
        <f aca="false">IF(K139&gt;1,"Yes","No")</f>
        <v>No</v>
      </c>
      <c r="O139" s="6" t="s">
        <v>48</v>
      </c>
    </row>
    <row r="140" customFormat="false" ht="15" hidden="false" customHeight="false" outlineLevel="0" collapsed="false">
      <c r="A140" s="6" t="s">
        <v>388</v>
      </c>
      <c r="B140" s="6" t="s">
        <v>389</v>
      </c>
      <c r="C140" s="6" t="s">
        <v>75</v>
      </c>
      <c r="D140" s="6" t="n">
        <v>37</v>
      </c>
      <c r="E140" s="6" t="s">
        <v>76</v>
      </c>
      <c r="F140" s="6" t="s">
        <v>77</v>
      </c>
      <c r="G140" s="26" t="n">
        <v>46226</v>
      </c>
      <c r="H140" s="6" t="s">
        <v>88</v>
      </c>
      <c r="I140" s="26" t="n">
        <f aca="false">_xlfn.MINIFS(Transaction!$C$2:$C$8421,Transaction!$B$2:$B$8421,A140)</f>
        <v>46245</v>
      </c>
      <c r="J140" s="26" t="n">
        <f aca="false">_xlfn.MAXIFS(Transaction!$C$2:$C$8421,Transaction!$B$2:$B$8421,A140)</f>
        <v>46245</v>
      </c>
      <c r="K140" s="6" t="n">
        <f aca="false">COUNTIF(Transaction!$B$2:$B$8421,A140)</f>
        <v>1</v>
      </c>
      <c r="L140" s="10" t="n">
        <f aca="false">SUMIF(Transaction!$B$2:$B$8421,A140,Transaction!$H$2:$H$8421)</f>
        <v>773</v>
      </c>
      <c r="M140" s="6" t="n">
        <f aca="false">Summary!$B$3-J140</f>
        <v>21</v>
      </c>
      <c r="N140" s="6" t="str">
        <f aca="false">IF(K140&gt;1,"Yes","No")</f>
        <v>No</v>
      </c>
      <c r="O140" s="6" t="s">
        <v>47</v>
      </c>
    </row>
    <row r="141" customFormat="false" ht="15" hidden="false" customHeight="false" outlineLevel="0" collapsed="false">
      <c r="A141" s="6" t="s">
        <v>390</v>
      </c>
      <c r="B141" s="6" t="s">
        <v>391</v>
      </c>
      <c r="C141" s="6" t="s">
        <v>85</v>
      </c>
      <c r="D141" s="6" t="n">
        <v>21</v>
      </c>
      <c r="E141" s="6" t="s">
        <v>237</v>
      </c>
      <c r="F141" s="6" t="s">
        <v>87</v>
      </c>
      <c r="G141" s="26" t="n">
        <v>46049</v>
      </c>
      <c r="H141" s="6" t="s">
        <v>115</v>
      </c>
      <c r="I141" s="26" t="n">
        <f aca="false">_xlfn.MINIFS(Transaction!$C$2:$C$8421,Transaction!$B$2:$B$8421,A141)</f>
        <v>46052</v>
      </c>
      <c r="J141" s="26" t="n">
        <f aca="false">_xlfn.MAXIFS(Transaction!$C$2:$C$8421,Transaction!$B$2:$B$8421,A141)</f>
        <v>46219</v>
      </c>
      <c r="K141" s="6" t="n">
        <f aca="false">COUNTIF(Transaction!$B$2:$B$8421,A141)</f>
        <v>7</v>
      </c>
      <c r="L141" s="10" t="n">
        <f aca="false">SUMIF(Transaction!$B$2:$B$8421,A141,Transaction!$H$2:$H$8421)</f>
        <v>11068</v>
      </c>
      <c r="M141" s="6" t="n">
        <f aca="false">Summary!$B$3-J141</f>
        <v>47</v>
      </c>
      <c r="N141" s="6" t="str">
        <f aca="false">IF(K141&gt;1,"Yes","No")</f>
        <v>Yes</v>
      </c>
      <c r="O141" s="6" t="s">
        <v>46</v>
      </c>
    </row>
    <row r="142" customFormat="false" ht="15" hidden="false" customHeight="false" outlineLevel="0" collapsed="false">
      <c r="A142" s="6" t="s">
        <v>392</v>
      </c>
      <c r="B142" s="6" t="s">
        <v>393</v>
      </c>
      <c r="C142" s="6" t="s">
        <v>85</v>
      </c>
      <c r="D142" s="6" t="n">
        <v>25</v>
      </c>
      <c r="E142" s="6" t="s">
        <v>95</v>
      </c>
      <c r="F142" s="6" t="s">
        <v>95</v>
      </c>
      <c r="G142" s="26" t="n">
        <v>46053</v>
      </c>
      <c r="H142" s="6" t="s">
        <v>92</v>
      </c>
      <c r="I142" s="26" t="n">
        <f aca="false">_xlfn.MINIFS(Transaction!$C$2:$C$8421,Transaction!$B$2:$B$8421,A142)</f>
        <v>46091</v>
      </c>
      <c r="J142" s="26" t="n">
        <f aca="false">_xlfn.MAXIFS(Transaction!$C$2:$C$8421,Transaction!$B$2:$B$8421,A142)</f>
        <v>46091</v>
      </c>
      <c r="K142" s="6" t="n">
        <f aca="false">COUNTIF(Transaction!$B$2:$B$8421,A142)</f>
        <v>1</v>
      </c>
      <c r="L142" s="10" t="n">
        <f aca="false">SUMIF(Transaction!$B$2:$B$8421,A142,Transaction!$H$2:$H$8421)</f>
        <v>2161</v>
      </c>
      <c r="M142" s="6" t="n">
        <f aca="false">Summary!$B$3-J142</f>
        <v>175</v>
      </c>
      <c r="N142" s="6" t="str">
        <f aca="false">IF(K142&gt;1,"Yes","No")</f>
        <v>No</v>
      </c>
      <c r="O142" s="6" t="s">
        <v>49</v>
      </c>
    </row>
    <row r="143" customFormat="false" ht="15" hidden="false" customHeight="false" outlineLevel="0" collapsed="false">
      <c r="A143" s="6" t="s">
        <v>394</v>
      </c>
      <c r="B143" s="6" t="s">
        <v>395</v>
      </c>
      <c r="C143" s="6" t="s">
        <v>75</v>
      </c>
      <c r="D143" s="6" t="n">
        <v>34</v>
      </c>
      <c r="E143" s="6" t="s">
        <v>91</v>
      </c>
      <c r="F143" s="6" t="s">
        <v>77</v>
      </c>
      <c r="G143" s="26" t="n">
        <v>46171</v>
      </c>
      <c r="H143" s="6" t="s">
        <v>102</v>
      </c>
      <c r="I143" s="26" t="n">
        <f aca="false">_xlfn.MINIFS(Transaction!$C$2:$C$8421,Transaction!$B$2:$B$8421,A143)</f>
        <v>46210</v>
      </c>
      <c r="J143" s="26" t="n">
        <f aca="false">_xlfn.MAXIFS(Transaction!$C$2:$C$8421,Transaction!$B$2:$B$8421,A143)</f>
        <v>46210</v>
      </c>
      <c r="K143" s="6" t="n">
        <f aca="false">COUNTIF(Transaction!$B$2:$B$8421,A143)</f>
        <v>1</v>
      </c>
      <c r="L143" s="10" t="n">
        <f aca="false">SUMIF(Transaction!$B$2:$B$8421,A143,Transaction!$H$2:$H$8421)</f>
        <v>872</v>
      </c>
      <c r="M143" s="6" t="n">
        <f aca="false">Summary!$B$3-J143</f>
        <v>56</v>
      </c>
      <c r="N143" s="6" t="str">
        <f aca="false">IF(K143&gt;1,"Yes","No")</f>
        <v>No</v>
      </c>
      <c r="O143" s="6" t="s">
        <v>47</v>
      </c>
    </row>
    <row r="144" customFormat="false" ht="15" hidden="false" customHeight="false" outlineLevel="0" collapsed="false">
      <c r="A144" s="6" t="s">
        <v>396</v>
      </c>
      <c r="B144" s="6" t="s">
        <v>397</v>
      </c>
      <c r="C144" s="6" t="s">
        <v>85</v>
      </c>
      <c r="D144" s="6" t="n">
        <v>37</v>
      </c>
      <c r="E144" s="6" t="s">
        <v>81</v>
      </c>
      <c r="F144" s="6" t="s">
        <v>82</v>
      </c>
      <c r="G144" s="26" t="n">
        <v>46028</v>
      </c>
      <c r="H144" s="6" t="s">
        <v>102</v>
      </c>
      <c r="I144" s="26" t="n">
        <f aca="false">_xlfn.MINIFS(Transaction!$C$2:$C$8421,Transaction!$B$2:$B$8421,A144)</f>
        <v>46029</v>
      </c>
      <c r="J144" s="26" t="n">
        <f aca="false">_xlfn.MAXIFS(Transaction!$C$2:$C$8421,Transaction!$B$2:$B$8421,A144)</f>
        <v>46259</v>
      </c>
      <c r="K144" s="6" t="n">
        <f aca="false">COUNTIF(Transaction!$B$2:$B$8421,A144)</f>
        <v>11</v>
      </c>
      <c r="L144" s="10" t="n">
        <f aca="false">SUMIF(Transaction!$B$2:$B$8421,A144,Transaction!$H$2:$H$8421)</f>
        <v>13433</v>
      </c>
      <c r="M144" s="6" t="n">
        <f aca="false">Summary!$B$3-J144</f>
        <v>7</v>
      </c>
      <c r="N144" s="6" t="str">
        <f aca="false">IF(K144&gt;1,"Yes","No")</f>
        <v>Yes</v>
      </c>
      <c r="O144" s="6" t="s">
        <v>45</v>
      </c>
    </row>
    <row r="145" customFormat="false" ht="15" hidden="false" customHeight="false" outlineLevel="0" collapsed="false">
      <c r="A145" s="6" t="s">
        <v>398</v>
      </c>
      <c r="B145" s="6" t="s">
        <v>399</v>
      </c>
      <c r="C145" s="6" t="s">
        <v>85</v>
      </c>
      <c r="D145" s="6" t="n">
        <v>35</v>
      </c>
      <c r="E145" s="6" t="s">
        <v>237</v>
      </c>
      <c r="F145" s="6" t="s">
        <v>87</v>
      </c>
      <c r="G145" s="26" t="n">
        <v>46043</v>
      </c>
      <c r="H145" s="6" t="s">
        <v>88</v>
      </c>
      <c r="I145" s="26" t="n">
        <f aca="false">_xlfn.MINIFS(Transaction!$C$2:$C$8421,Transaction!$B$2:$B$8421,A145)</f>
        <v>46069</v>
      </c>
      <c r="J145" s="26" t="n">
        <f aca="false">_xlfn.MAXIFS(Transaction!$C$2:$C$8421,Transaction!$B$2:$B$8421,A145)</f>
        <v>46258</v>
      </c>
      <c r="K145" s="6" t="n">
        <f aca="false">COUNTIF(Transaction!$B$2:$B$8421,A145)</f>
        <v>4</v>
      </c>
      <c r="L145" s="10" t="n">
        <f aca="false">SUMIF(Transaction!$B$2:$B$8421,A145,Transaction!$H$2:$H$8421)</f>
        <v>6421</v>
      </c>
      <c r="M145" s="6" t="n">
        <f aca="false">Summary!$B$3-J145</f>
        <v>8</v>
      </c>
      <c r="N145" s="6" t="str">
        <f aca="false">IF(K145&gt;1,"Yes","No")</f>
        <v>Yes</v>
      </c>
      <c r="O145" s="6" t="s">
        <v>46</v>
      </c>
    </row>
    <row r="146" customFormat="false" ht="15" hidden="false" customHeight="false" outlineLevel="0" collapsed="false">
      <c r="A146" s="6" t="s">
        <v>400</v>
      </c>
      <c r="B146" s="6" t="s">
        <v>401</v>
      </c>
      <c r="C146" s="6" t="s">
        <v>75</v>
      </c>
      <c r="D146" s="6" t="n">
        <v>44</v>
      </c>
      <c r="E146" s="6" t="s">
        <v>86</v>
      </c>
      <c r="F146" s="6" t="s">
        <v>87</v>
      </c>
      <c r="G146" s="26" t="n">
        <v>46222</v>
      </c>
      <c r="H146" s="6" t="s">
        <v>123</v>
      </c>
      <c r="I146" s="26" t="n">
        <f aca="false">_xlfn.MINIFS(Transaction!$C$2:$C$8421,Transaction!$B$2:$B$8421,A146)</f>
        <v>46251</v>
      </c>
      <c r="J146" s="26" t="n">
        <f aca="false">_xlfn.MAXIFS(Transaction!$C$2:$C$8421,Transaction!$B$2:$B$8421,A146)</f>
        <v>46251</v>
      </c>
      <c r="K146" s="6" t="n">
        <f aca="false">COUNTIF(Transaction!$B$2:$B$8421,A146)</f>
        <v>1</v>
      </c>
      <c r="L146" s="10" t="n">
        <f aca="false">SUMIF(Transaction!$B$2:$B$8421,A146,Transaction!$H$2:$H$8421)</f>
        <v>2232</v>
      </c>
      <c r="M146" s="6" t="n">
        <f aca="false">Summary!$B$3-J146</f>
        <v>15</v>
      </c>
      <c r="N146" s="6" t="str">
        <f aca="false">IF(K146&gt;1,"Yes","No")</f>
        <v>No</v>
      </c>
      <c r="O146" s="6" t="s">
        <v>47</v>
      </c>
    </row>
    <row r="147" customFormat="false" ht="15" hidden="false" customHeight="false" outlineLevel="0" collapsed="false">
      <c r="A147" s="6" t="s">
        <v>402</v>
      </c>
      <c r="B147" s="6" t="s">
        <v>403</v>
      </c>
      <c r="C147" s="6" t="s">
        <v>75</v>
      </c>
      <c r="D147" s="6" t="n">
        <v>35</v>
      </c>
      <c r="E147" s="6" t="s">
        <v>321</v>
      </c>
      <c r="F147" s="6" t="s">
        <v>321</v>
      </c>
      <c r="G147" s="26" t="n">
        <v>46138</v>
      </c>
      <c r="H147" s="6" t="s">
        <v>78</v>
      </c>
      <c r="I147" s="26" t="n">
        <f aca="false">_xlfn.MINIFS(Transaction!$C$2:$C$8421,Transaction!$B$2:$B$8421,A147)</f>
        <v>46206</v>
      </c>
      <c r="J147" s="26" t="n">
        <f aca="false">_xlfn.MAXIFS(Transaction!$C$2:$C$8421,Transaction!$B$2:$B$8421,A147)</f>
        <v>46206</v>
      </c>
      <c r="K147" s="6" t="n">
        <f aca="false">COUNTIF(Transaction!$B$2:$B$8421,A147)</f>
        <v>1</v>
      </c>
      <c r="L147" s="10" t="n">
        <f aca="false">SUMIF(Transaction!$B$2:$B$8421,A147,Transaction!$H$2:$H$8421)</f>
        <v>1257</v>
      </c>
      <c r="M147" s="6" t="n">
        <f aca="false">Summary!$B$3-J147</f>
        <v>60</v>
      </c>
      <c r="N147" s="6" t="str">
        <f aca="false">IF(K147&gt;1,"Yes","No")</f>
        <v>No</v>
      </c>
      <c r="O147" s="6" t="s">
        <v>47</v>
      </c>
    </row>
    <row r="148" customFormat="false" ht="15" hidden="false" customHeight="false" outlineLevel="0" collapsed="false">
      <c r="A148" s="6" t="s">
        <v>404</v>
      </c>
      <c r="B148" s="6" t="s">
        <v>405</v>
      </c>
      <c r="C148" s="6" t="s">
        <v>85</v>
      </c>
      <c r="D148" s="6" t="n">
        <v>23</v>
      </c>
      <c r="E148" s="6" t="s">
        <v>76</v>
      </c>
      <c r="F148" s="6" t="s">
        <v>77</v>
      </c>
      <c r="G148" s="26" t="n">
        <v>46034</v>
      </c>
      <c r="H148" s="6" t="s">
        <v>123</v>
      </c>
      <c r="I148" s="26" t="n">
        <f aca="false">_xlfn.MINIFS(Transaction!$C$2:$C$8421,Transaction!$B$2:$B$8421,A148)</f>
        <v>46074</v>
      </c>
      <c r="J148" s="26" t="n">
        <f aca="false">_xlfn.MAXIFS(Transaction!$C$2:$C$8421,Transaction!$B$2:$B$8421,A148)</f>
        <v>46235</v>
      </c>
      <c r="K148" s="6" t="n">
        <f aca="false">COUNTIF(Transaction!$B$2:$B$8421,A148)</f>
        <v>3</v>
      </c>
      <c r="L148" s="10" t="n">
        <f aca="false">SUMIF(Transaction!$B$2:$B$8421,A148,Transaction!$H$2:$H$8421)</f>
        <v>7792</v>
      </c>
      <c r="M148" s="6" t="n">
        <f aca="false">Summary!$B$3-J148</f>
        <v>31</v>
      </c>
      <c r="N148" s="6" t="str">
        <f aca="false">IF(K148&gt;1,"Yes","No")</f>
        <v>Yes</v>
      </c>
      <c r="O148" s="6" t="s">
        <v>46</v>
      </c>
    </row>
    <row r="149" customFormat="false" ht="15" hidden="false" customHeight="false" outlineLevel="0" collapsed="false">
      <c r="A149" s="6" t="s">
        <v>406</v>
      </c>
      <c r="B149" s="6" t="s">
        <v>407</v>
      </c>
      <c r="C149" s="6" t="s">
        <v>75</v>
      </c>
      <c r="D149" s="6" t="n">
        <v>39</v>
      </c>
      <c r="E149" s="6" t="s">
        <v>121</v>
      </c>
      <c r="F149" s="6" t="s">
        <v>122</v>
      </c>
      <c r="G149" s="26" t="n">
        <v>46090</v>
      </c>
      <c r="H149" s="6" t="s">
        <v>102</v>
      </c>
      <c r="I149" s="26" t="n">
        <f aca="false">_xlfn.MINIFS(Transaction!$C$2:$C$8421,Transaction!$B$2:$B$8421,A149)</f>
        <v>46117</v>
      </c>
      <c r="J149" s="26" t="n">
        <f aca="false">_xlfn.MAXIFS(Transaction!$C$2:$C$8421,Transaction!$B$2:$B$8421,A149)</f>
        <v>46117</v>
      </c>
      <c r="K149" s="6" t="n">
        <f aca="false">COUNTIF(Transaction!$B$2:$B$8421,A149)</f>
        <v>1</v>
      </c>
      <c r="L149" s="10" t="n">
        <f aca="false">SUMIF(Transaction!$B$2:$B$8421,A149,Transaction!$H$2:$H$8421)</f>
        <v>589</v>
      </c>
      <c r="M149" s="6" t="n">
        <f aca="false">Summary!$B$3-J149</f>
        <v>149</v>
      </c>
      <c r="N149" s="6" t="str">
        <f aca="false">IF(K149&gt;1,"Yes","No")</f>
        <v>No</v>
      </c>
      <c r="O149" s="6" t="s">
        <v>48</v>
      </c>
    </row>
    <row r="150" customFormat="false" ht="15" hidden="false" customHeight="false" outlineLevel="0" collapsed="false">
      <c r="A150" s="6" t="s">
        <v>408</v>
      </c>
      <c r="B150" s="6" t="s">
        <v>409</v>
      </c>
      <c r="C150" s="6" t="s">
        <v>75</v>
      </c>
      <c r="D150" s="6" t="n">
        <v>18</v>
      </c>
      <c r="E150" s="6" t="s">
        <v>81</v>
      </c>
      <c r="F150" s="6" t="s">
        <v>82</v>
      </c>
      <c r="G150" s="26" t="n">
        <v>46045</v>
      </c>
      <c r="H150" s="6" t="s">
        <v>102</v>
      </c>
      <c r="I150" s="26" t="n">
        <f aca="false">_xlfn.MINIFS(Transaction!$C$2:$C$8421,Transaction!$B$2:$B$8421,A150)</f>
        <v>46078</v>
      </c>
      <c r="J150" s="26" t="n">
        <f aca="false">_xlfn.MAXIFS(Transaction!$C$2:$C$8421,Transaction!$B$2:$B$8421,A150)</f>
        <v>46217</v>
      </c>
      <c r="K150" s="6" t="n">
        <f aca="false">COUNTIF(Transaction!$B$2:$B$8421,A150)</f>
        <v>4</v>
      </c>
      <c r="L150" s="10" t="n">
        <f aca="false">SUMIF(Transaction!$B$2:$B$8421,A150,Transaction!$H$2:$H$8421)</f>
        <v>6099</v>
      </c>
      <c r="M150" s="6" t="n">
        <f aca="false">Summary!$B$3-J150</f>
        <v>49</v>
      </c>
      <c r="N150" s="6" t="str">
        <f aca="false">IF(K150&gt;1,"Yes","No")</f>
        <v>Yes</v>
      </c>
      <c r="O150" s="6" t="s">
        <v>46</v>
      </c>
    </row>
    <row r="151" customFormat="false" ht="15" hidden="false" customHeight="false" outlineLevel="0" collapsed="false">
      <c r="A151" s="6" t="s">
        <v>410</v>
      </c>
      <c r="B151" s="6" t="s">
        <v>411</v>
      </c>
      <c r="C151" s="6" t="s">
        <v>75</v>
      </c>
      <c r="D151" s="6" t="n">
        <v>22</v>
      </c>
      <c r="E151" s="6" t="s">
        <v>91</v>
      </c>
      <c r="F151" s="6" t="s">
        <v>77</v>
      </c>
      <c r="G151" s="26" t="n">
        <v>46052</v>
      </c>
      <c r="H151" s="6" t="s">
        <v>88</v>
      </c>
      <c r="I151" s="26" t="n">
        <f aca="false">_xlfn.MINIFS(Transaction!$C$2:$C$8421,Transaction!$B$2:$B$8421,A151)</f>
        <v>46080</v>
      </c>
      <c r="J151" s="26" t="n">
        <f aca="false">_xlfn.MAXIFS(Transaction!$C$2:$C$8421,Transaction!$B$2:$B$8421,A151)</f>
        <v>46221</v>
      </c>
      <c r="K151" s="6" t="n">
        <f aca="false">COUNTIF(Transaction!$B$2:$B$8421,A151)</f>
        <v>5</v>
      </c>
      <c r="L151" s="10" t="n">
        <f aca="false">SUMIF(Transaction!$B$2:$B$8421,A151,Transaction!$H$2:$H$8421)</f>
        <v>5763</v>
      </c>
      <c r="M151" s="6" t="n">
        <f aca="false">Summary!$B$3-J151</f>
        <v>45</v>
      </c>
      <c r="N151" s="6" t="str">
        <f aca="false">IF(K151&gt;1,"Yes","No")</f>
        <v>Yes</v>
      </c>
      <c r="O151" s="6" t="s">
        <v>46</v>
      </c>
    </row>
    <row r="152" customFormat="false" ht="15" hidden="false" customHeight="false" outlineLevel="0" collapsed="false">
      <c r="A152" s="6" t="s">
        <v>412</v>
      </c>
      <c r="B152" s="6" t="s">
        <v>413</v>
      </c>
      <c r="C152" s="6" t="s">
        <v>75</v>
      </c>
      <c r="D152" s="6" t="n">
        <v>18</v>
      </c>
      <c r="E152" s="6" t="s">
        <v>134</v>
      </c>
      <c r="F152" s="6" t="s">
        <v>135</v>
      </c>
      <c r="G152" s="26" t="n">
        <v>46053</v>
      </c>
      <c r="H152" s="6" t="s">
        <v>115</v>
      </c>
      <c r="I152" s="26" t="n">
        <f aca="false">_xlfn.MINIFS(Transaction!$C$2:$C$8421,Transaction!$B$2:$B$8421,A152)</f>
        <v>46124</v>
      </c>
      <c r="J152" s="26" t="n">
        <f aca="false">_xlfn.MAXIFS(Transaction!$C$2:$C$8421,Transaction!$B$2:$B$8421,A152)</f>
        <v>46124</v>
      </c>
      <c r="K152" s="6" t="n">
        <f aca="false">COUNTIF(Transaction!$B$2:$B$8421,A152)</f>
        <v>1</v>
      </c>
      <c r="L152" s="10" t="n">
        <f aca="false">SUMIF(Transaction!$B$2:$B$8421,A152,Transaction!$H$2:$H$8421)</f>
        <v>528</v>
      </c>
      <c r="M152" s="6" t="n">
        <f aca="false">Summary!$B$3-J152</f>
        <v>142</v>
      </c>
      <c r="N152" s="6" t="str">
        <f aca="false">IF(K152&gt;1,"Yes","No")</f>
        <v>No</v>
      </c>
      <c r="O152" s="6" t="s">
        <v>48</v>
      </c>
    </row>
    <row r="153" customFormat="false" ht="15" hidden="false" customHeight="false" outlineLevel="0" collapsed="false">
      <c r="A153" s="6" t="s">
        <v>414</v>
      </c>
      <c r="B153" s="6" t="s">
        <v>415</v>
      </c>
      <c r="C153" s="6" t="s">
        <v>85</v>
      </c>
      <c r="D153" s="6" t="n">
        <v>19</v>
      </c>
      <c r="E153" s="6" t="s">
        <v>81</v>
      </c>
      <c r="F153" s="6" t="s">
        <v>82</v>
      </c>
      <c r="G153" s="26" t="n">
        <v>46017</v>
      </c>
      <c r="H153" s="6" t="s">
        <v>123</v>
      </c>
      <c r="I153" s="26" t="n">
        <f aca="false">_xlfn.MINIFS(Transaction!$C$2:$C$8421,Transaction!$B$2:$B$8421,A153)</f>
        <v>46107</v>
      </c>
      <c r="J153" s="26" t="n">
        <f aca="false">_xlfn.MAXIFS(Transaction!$C$2:$C$8421,Transaction!$B$2:$B$8421,A153)</f>
        <v>46107</v>
      </c>
      <c r="K153" s="6" t="n">
        <f aca="false">COUNTIF(Transaction!$B$2:$B$8421,A153)</f>
        <v>1</v>
      </c>
      <c r="L153" s="10" t="n">
        <f aca="false">SUMIF(Transaction!$B$2:$B$8421,A153,Transaction!$H$2:$H$8421)</f>
        <v>15296</v>
      </c>
      <c r="M153" s="6" t="n">
        <f aca="false">Summary!$B$3-J153</f>
        <v>159</v>
      </c>
      <c r="N153" s="6" t="str">
        <f aca="false">IF(K153&gt;1,"Yes","No")</f>
        <v>No</v>
      </c>
      <c r="O153" s="6" t="s">
        <v>49</v>
      </c>
    </row>
    <row r="154" customFormat="false" ht="15" hidden="false" customHeight="false" outlineLevel="0" collapsed="false">
      <c r="A154" s="6" t="s">
        <v>416</v>
      </c>
      <c r="B154" s="6" t="s">
        <v>417</v>
      </c>
      <c r="C154" s="6" t="s">
        <v>75</v>
      </c>
      <c r="D154" s="6" t="n">
        <v>58</v>
      </c>
      <c r="E154" s="6" t="s">
        <v>134</v>
      </c>
      <c r="F154" s="6" t="s">
        <v>135</v>
      </c>
      <c r="G154" s="26" t="n">
        <v>46015</v>
      </c>
      <c r="H154" s="6" t="s">
        <v>115</v>
      </c>
      <c r="I154" s="26" t="n">
        <f aca="false">_xlfn.MINIFS(Transaction!$C$2:$C$8421,Transaction!$B$2:$B$8421,A154)</f>
        <v>46044</v>
      </c>
      <c r="J154" s="26" t="n">
        <f aca="false">_xlfn.MAXIFS(Transaction!$C$2:$C$8421,Transaction!$B$2:$B$8421,A154)</f>
        <v>46044</v>
      </c>
      <c r="K154" s="6" t="n">
        <f aca="false">COUNTIF(Transaction!$B$2:$B$8421,A154)</f>
        <v>1</v>
      </c>
      <c r="L154" s="10" t="n">
        <f aca="false">SUMIF(Transaction!$B$2:$B$8421,A154,Transaction!$H$2:$H$8421)</f>
        <v>882</v>
      </c>
      <c r="M154" s="6" t="n">
        <f aca="false">Summary!$B$3-J154</f>
        <v>222</v>
      </c>
      <c r="N154" s="6" t="str">
        <f aca="false">IF(K154&gt;1,"Yes","No")</f>
        <v>No</v>
      </c>
      <c r="O154" s="6" t="s">
        <v>49</v>
      </c>
    </row>
    <row r="155" customFormat="false" ht="15" hidden="false" customHeight="false" outlineLevel="0" collapsed="false">
      <c r="A155" s="6" t="s">
        <v>418</v>
      </c>
      <c r="B155" s="6" t="s">
        <v>419</v>
      </c>
      <c r="C155" s="6" t="s">
        <v>85</v>
      </c>
      <c r="D155" s="6" t="n">
        <v>35</v>
      </c>
      <c r="E155" s="6" t="s">
        <v>86</v>
      </c>
      <c r="F155" s="6" t="s">
        <v>87</v>
      </c>
      <c r="G155" s="26" t="n">
        <v>46229</v>
      </c>
      <c r="H155" s="6" t="s">
        <v>78</v>
      </c>
      <c r="I155" s="26" t="n">
        <f aca="false">_xlfn.MINIFS(Transaction!$C$2:$C$8421,Transaction!$B$2:$B$8421,A155)</f>
        <v>46256</v>
      </c>
      <c r="J155" s="26" t="n">
        <f aca="false">_xlfn.MAXIFS(Transaction!$C$2:$C$8421,Transaction!$B$2:$B$8421,A155)</f>
        <v>46256</v>
      </c>
      <c r="K155" s="6" t="n">
        <f aca="false">COUNTIF(Transaction!$B$2:$B$8421,A155)</f>
        <v>1</v>
      </c>
      <c r="L155" s="10" t="n">
        <f aca="false">SUMIF(Transaction!$B$2:$B$8421,A155,Transaction!$H$2:$H$8421)</f>
        <v>2931</v>
      </c>
      <c r="M155" s="6" t="n">
        <f aca="false">Summary!$B$3-J155</f>
        <v>10</v>
      </c>
      <c r="N155" s="6" t="str">
        <f aca="false">IF(K155&gt;1,"Yes","No")</f>
        <v>No</v>
      </c>
      <c r="O155" s="6" t="s">
        <v>47</v>
      </c>
    </row>
    <row r="156" customFormat="false" ht="15" hidden="false" customHeight="false" outlineLevel="0" collapsed="false">
      <c r="A156" s="6" t="s">
        <v>420</v>
      </c>
      <c r="B156" s="6" t="s">
        <v>421</v>
      </c>
      <c r="C156" s="6" t="s">
        <v>75</v>
      </c>
      <c r="D156" s="6" t="n">
        <v>18</v>
      </c>
      <c r="E156" s="6" t="s">
        <v>176</v>
      </c>
      <c r="F156" s="6" t="s">
        <v>177</v>
      </c>
      <c r="G156" s="26" t="n">
        <v>46052</v>
      </c>
      <c r="H156" s="6" t="s">
        <v>115</v>
      </c>
      <c r="I156" s="26" t="n">
        <f aca="false">_xlfn.MINIFS(Transaction!$C$2:$C$8421,Transaction!$B$2:$B$8421,A156)</f>
        <v>46113</v>
      </c>
      <c r="J156" s="26" t="n">
        <f aca="false">_xlfn.MAXIFS(Transaction!$C$2:$C$8421,Transaction!$B$2:$B$8421,A156)</f>
        <v>46113</v>
      </c>
      <c r="K156" s="6" t="n">
        <f aca="false">COUNTIF(Transaction!$B$2:$B$8421,A156)</f>
        <v>1</v>
      </c>
      <c r="L156" s="10" t="n">
        <f aca="false">SUMIF(Transaction!$B$2:$B$8421,A156,Transaction!$H$2:$H$8421)</f>
        <v>743</v>
      </c>
      <c r="M156" s="6" t="n">
        <f aca="false">Summary!$B$3-J156</f>
        <v>153</v>
      </c>
      <c r="N156" s="6" t="str">
        <f aca="false">IF(K156&gt;1,"Yes","No")</f>
        <v>No</v>
      </c>
      <c r="O156" s="6" t="s">
        <v>48</v>
      </c>
    </row>
    <row r="157" customFormat="false" ht="15" hidden="false" customHeight="false" outlineLevel="0" collapsed="false">
      <c r="A157" s="6" t="s">
        <v>422</v>
      </c>
      <c r="B157" s="6" t="s">
        <v>423</v>
      </c>
      <c r="C157" s="6" t="s">
        <v>85</v>
      </c>
      <c r="D157" s="6" t="n">
        <v>43</v>
      </c>
      <c r="E157" s="6" t="s">
        <v>176</v>
      </c>
      <c r="F157" s="6" t="s">
        <v>177</v>
      </c>
      <c r="G157" s="26" t="n">
        <v>46021</v>
      </c>
      <c r="H157" s="6" t="s">
        <v>115</v>
      </c>
      <c r="I157" s="26" t="n">
        <f aca="false">_xlfn.MINIFS(Transaction!$C$2:$C$8421,Transaction!$B$2:$B$8421,A157)</f>
        <v>46045</v>
      </c>
      <c r="J157" s="26" t="n">
        <f aca="false">_xlfn.MAXIFS(Transaction!$C$2:$C$8421,Transaction!$B$2:$B$8421,A157)</f>
        <v>46045</v>
      </c>
      <c r="K157" s="6" t="n">
        <f aca="false">COUNTIF(Transaction!$B$2:$B$8421,A157)</f>
        <v>1</v>
      </c>
      <c r="L157" s="10" t="n">
        <f aca="false">SUMIF(Transaction!$B$2:$B$8421,A157,Transaction!$H$2:$H$8421)</f>
        <v>1191</v>
      </c>
      <c r="M157" s="6" t="n">
        <f aca="false">Summary!$B$3-J157</f>
        <v>221</v>
      </c>
      <c r="N157" s="6" t="str">
        <f aca="false">IF(K157&gt;1,"Yes","No")</f>
        <v>No</v>
      </c>
      <c r="O157" s="6" t="s">
        <v>49</v>
      </c>
    </row>
    <row r="158" customFormat="false" ht="15" hidden="false" customHeight="false" outlineLevel="0" collapsed="false">
      <c r="A158" s="6" t="s">
        <v>424</v>
      </c>
      <c r="B158" s="6" t="s">
        <v>425</v>
      </c>
      <c r="C158" s="6" t="s">
        <v>75</v>
      </c>
      <c r="D158" s="6" t="n">
        <v>32</v>
      </c>
      <c r="E158" s="6" t="s">
        <v>95</v>
      </c>
      <c r="F158" s="6" t="s">
        <v>95</v>
      </c>
      <c r="G158" s="26" t="n">
        <v>45987</v>
      </c>
      <c r="H158" s="6" t="s">
        <v>78</v>
      </c>
      <c r="I158" s="26" t="n">
        <f aca="false">_xlfn.MINIFS(Transaction!$C$2:$C$8421,Transaction!$B$2:$B$8421,A158)</f>
        <v>46048</v>
      </c>
      <c r="J158" s="26" t="n">
        <f aca="false">_xlfn.MAXIFS(Transaction!$C$2:$C$8421,Transaction!$B$2:$B$8421,A158)</f>
        <v>46200</v>
      </c>
      <c r="K158" s="6" t="n">
        <f aca="false">COUNTIF(Transaction!$B$2:$B$8421,A158)</f>
        <v>3</v>
      </c>
      <c r="L158" s="10" t="n">
        <f aca="false">SUMIF(Transaction!$B$2:$B$8421,A158,Transaction!$H$2:$H$8421)</f>
        <v>3758</v>
      </c>
      <c r="M158" s="6" t="n">
        <f aca="false">Summary!$B$3-J158</f>
        <v>66</v>
      </c>
      <c r="N158" s="6" t="str">
        <f aca="false">IF(K158&gt;1,"Yes","No")</f>
        <v>Yes</v>
      </c>
      <c r="O158" s="6" t="s">
        <v>46</v>
      </c>
    </row>
    <row r="159" customFormat="false" ht="15" hidden="false" customHeight="false" outlineLevel="0" collapsed="false">
      <c r="A159" s="6" t="s">
        <v>426</v>
      </c>
      <c r="B159" s="6" t="s">
        <v>427</v>
      </c>
      <c r="C159" s="6" t="s">
        <v>75</v>
      </c>
      <c r="D159" s="6" t="n">
        <v>34</v>
      </c>
      <c r="E159" s="6" t="s">
        <v>264</v>
      </c>
      <c r="F159" s="6" t="s">
        <v>106</v>
      </c>
      <c r="G159" s="26" t="n">
        <v>46009</v>
      </c>
      <c r="H159" s="6" t="s">
        <v>123</v>
      </c>
      <c r="I159" s="26" t="n">
        <f aca="false">_xlfn.MINIFS(Transaction!$C$2:$C$8421,Transaction!$B$2:$B$8421,A159)</f>
        <v>46074</v>
      </c>
      <c r="J159" s="26" t="n">
        <f aca="false">_xlfn.MAXIFS(Transaction!$C$2:$C$8421,Transaction!$B$2:$B$8421,A159)</f>
        <v>46074</v>
      </c>
      <c r="K159" s="6" t="n">
        <f aca="false">COUNTIF(Transaction!$B$2:$B$8421,A159)</f>
        <v>1</v>
      </c>
      <c r="L159" s="10" t="n">
        <f aca="false">SUMIF(Transaction!$B$2:$B$8421,A159,Transaction!$H$2:$H$8421)</f>
        <v>1026</v>
      </c>
      <c r="M159" s="6" t="n">
        <f aca="false">Summary!$B$3-J159</f>
        <v>192</v>
      </c>
      <c r="N159" s="6" t="str">
        <f aca="false">IF(K159&gt;1,"Yes","No")</f>
        <v>No</v>
      </c>
      <c r="O159" s="6" t="s">
        <v>49</v>
      </c>
    </row>
    <row r="160" customFormat="false" ht="15" hidden="false" customHeight="false" outlineLevel="0" collapsed="false">
      <c r="A160" s="6" t="s">
        <v>428</v>
      </c>
      <c r="B160" s="6" t="s">
        <v>429</v>
      </c>
      <c r="C160" s="6" t="s">
        <v>75</v>
      </c>
      <c r="D160" s="6" t="n">
        <v>44</v>
      </c>
      <c r="E160" s="6" t="s">
        <v>430</v>
      </c>
      <c r="F160" s="6" t="s">
        <v>99</v>
      </c>
      <c r="G160" s="26" t="n">
        <v>45996</v>
      </c>
      <c r="H160" s="6" t="s">
        <v>123</v>
      </c>
      <c r="I160" s="26" t="n">
        <f aca="false">_xlfn.MINIFS(Transaction!$C$2:$C$8421,Transaction!$B$2:$B$8421,A160)</f>
        <v>46056</v>
      </c>
      <c r="J160" s="26" t="n">
        <f aca="false">_xlfn.MAXIFS(Transaction!$C$2:$C$8421,Transaction!$B$2:$B$8421,A160)</f>
        <v>46056</v>
      </c>
      <c r="K160" s="6" t="n">
        <f aca="false">COUNTIF(Transaction!$B$2:$B$8421,A160)</f>
        <v>1</v>
      </c>
      <c r="L160" s="10" t="n">
        <f aca="false">SUMIF(Transaction!$B$2:$B$8421,A160,Transaction!$H$2:$H$8421)</f>
        <v>1492</v>
      </c>
      <c r="M160" s="6" t="n">
        <f aca="false">Summary!$B$3-J160</f>
        <v>210</v>
      </c>
      <c r="N160" s="6" t="str">
        <f aca="false">IF(K160&gt;1,"Yes","No")</f>
        <v>No</v>
      </c>
      <c r="O160" s="6" t="s">
        <v>49</v>
      </c>
    </row>
    <row r="161" customFormat="false" ht="15" hidden="false" customHeight="false" outlineLevel="0" collapsed="false">
      <c r="A161" s="6" t="s">
        <v>431</v>
      </c>
      <c r="B161" s="6" t="s">
        <v>432</v>
      </c>
      <c r="C161" s="6" t="s">
        <v>85</v>
      </c>
      <c r="D161" s="6" t="n">
        <v>25</v>
      </c>
      <c r="E161" s="6" t="s">
        <v>91</v>
      </c>
      <c r="F161" s="6" t="s">
        <v>77</v>
      </c>
      <c r="G161" s="26" t="n">
        <v>45961</v>
      </c>
      <c r="H161" s="6" t="s">
        <v>78</v>
      </c>
      <c r="I161" s="26" t="n">
        <f aca="false">_xlfn.MINIFS(Transaction!$C$2:$C$8421,Transaction!$B$2:$B$8421,A161)</f>
        <v>46027</v>
      </c>
      <c r="J161" s="26" t="n">
        <f aca="false">_xlfn.MAXIFS(Transaction!$C$2:$C$8421,Transaction!$B$2:$B$8421,A161)</f>
        <v>46260</v>
      </c>
      <c r="K161" s="6" t="n">
        <f aca="false">COUNTIF(Transaction!$B$2:$B$8421,A161)</f>
        <v>11</v>
      </c>
      <c r="L161" s="10" t="n">
        <f aca="false">SUMIF(Transaction!$B$2:$B$8421,A161,Transaction!$H$2:$H$8421)</f>
        <v>14210</v>
      </c>
      <c r="M161" s="6" t="n">
        <f aca="false">Summary!$B$3-J161</f>
        <v>6</v>
      </c>
      <c r="N161" s="6" t="str">
        <f aca="false">IF(K161&gt;1,"Yes","No")</f>
        <v>Yes</v>
      </c>
      <c r="O161" s="6" t="s">
        <v>45</v>
      </c>
    </row>
    <row r="162" customFormat="false" ht="15" hidden="false" customHeight="false" outlineLevel="0" collapsed="false">
      <c r="A162" s="6" t="s">
        <v>433</v>
      </c>
      <c r="B162" s="6" t="s">
        <v>434</v>
      </c>
      <c r="C162" s="6" t="s">
        <v>75</v>
      </c>
      <c r="D162" s="6" t="n">
        <v>33</v>
      </c>
      <c r="E162" s="6" t="s">
        <v>140</v>
      </c>
      <c r="F162" s="6" t="s">
        <v>141</v>
      </c>
      <c r="G162" s="26" t="n">
        <v>46016</v>
      </c>
      <c r="H162" s="6" t="s">
        <v>123</v>
      </c>
      <c r="I162" s="26" t="n">
        <f aca="false">_xlfn.MINIFS(Transaction!$C$2:$C$8421,Transaction!$B$2:$B$8421,A162)</f>
        <v>46030</v>
      </c>
      <c r="J162" s="26" t="n">
        <f aca="false">_xlfn.MAXIFS(Transaction!$C$2:$C$8421,Transaction!$B$2:$B$8421,A162)</f>
        <v>46264</v>
      </c>
      <c r="K162" s="6" t="n">
        <f aca="false">COUNTIF(Transaction!$B$2:$B$8421,A162)</f>
        <v>7</v>
      </c>
      <c r="L162" s="10" t="n">
        <f aca="false">SUMIF(Transaction!$B$2:$B$8421,A162,Transaction!$H$2:$H$8421)</f>
        <v>13151</v>
      </c>
      <c r="M162" s="6" t="n">
        <f aca="false">Summary!$B$3-J162</f>
        <v>2</v>
      </c>
      <c r="N162" s="6" t="str">
        <f aca="false">IF(K162&gt;1,"Yes","No")</f>
        <v>Yes</v>
      </c>
      <c r="O162" s="6" t="s">
        <v>45</v>
      </c>
    </row>
    <row r="163" customFormat="false" ht="15" hidden="false" customHeight="false" outlineLevel="0" collapsed="false">
      <c r="A163" s="6" t="s">
        <v>435</v>
      </c>
      <c r="B163" s="6" t="s">
        <v>436</v>
      </c>
      <c r="C163" s="6" t="s">
        <v>85</v>
      </c>
      <c r="D163" s="6" t="n">
        <v>25</v>
      </c>
      <c r="E163" s="6" t="s">
        <v>95</v>
      </c>
      <c r="F163" s="6" t="s">
        <v>95</v>
      </c>
      <c r="G163" s="26" t="n">
        <v>46008</v>
      </c>
      <c r="H163" s="6" t="s">
        <v>115</v>
      </c>
      <c r="I163" s="26" t="n">
        <f aca="false">_xlfn.MINIFS(Transaction!$C$2:$C$8421,Transaction!$B$2:$B$8421,A163)</f>
        <v>46028</v>
      </c>
      <c r="J163" s="26" t="n">
        <f aca="false">_xlfn.MAXIFS(Transaction!$C$2:$C$8421,Transaction!$B$2:$B$8421,A163)</f>
        <v>46187</v>
      </c>
      <c r="K163" s="6" t="n">
        <f aca="false">COUNTIF(Transaction!$B$2:$B$8421,A163)</f>
        <v>5</v>
      </c>
      <c r="L163" s="10" t="n">
        <f aca="false">SUMIF(Transaction!$B$2:$B$8421,A163,Transaction!$H$2:$H$8421)</f>
        <v>4879</v>
      </c>
      <c r="M163" s="6" t="n">
        <f aca="false">Summary!$B$3-J163</f>
        <v>79</v>
      </c>
      <c r="N163" s="6" t="str">
        <f aca="false">IF(K163&gt;1,"Yes","No")</f>
        <v>Yes</v>
      </c>
      <c r="O163" s="6" t="s">
        <v>46</v>
      </c>
    </row>
    <row r="164" customFormat="false" ht="15" hidden="false" customHeight="false" outlineLevel="0" collapsed="false">
      <c r="A164" s="6" t="s">
        <v>437</v>
      </c>
      <c r="B164" s="6" t="s">
        <v>438</v>
      </c>
      <c r="C164" s="6" t="s">
        <v>75</v>
      </c>
      <c r="D164" s="6" t="n">
        <v>32</v>
      </c>
      <c r="E164" s="6" t="s">
        <v>237</v>
      </c>
      <c r="F164" s="6" t="s">
        <v>87</v>
      </c>
      <c r="G164" s="26" t="n">
        <v>46108</v>
      </c>
      <c r="H164" s="6" t="s">
        <v>102</v>
      </c>
      <c r="I164" s="26" t="n">
        <f aca="false">_xlfn.MINIFS(Transaction!$C$2:$C$8421,Transaction!$B$2:$B$8421,A164)</f>
        <v>46163</v>
      </c>
      <c r="J164" s="26" t="n">
        <f aca="false">_xlfn.MAXIFS(Transaction!$C$2:$C$8421,Transaction!$B$2:$B$8421,A164)</f>
        <v>46163</v>
      </c>
      <c r="K164" s="6" t="n">
        <f aca="false">COUNTIF(Transaction!$B$2:$B$8421,A164)</f>
        <v>1</v>
      </c>
      <c r="L164" s="10" t="n">
        <f aca="false">SUMIF(Transaction!$B$2:$B$8421,A164,Transaction!$H$2:$H$8421)</f>
        <v>589</v>
      </c>
      <c r="M164" s="6" t="n">
        <f aca="false">Summary!$B$3-J164</f>
        <v>103</v>
      </c>
      <c r="N164" s="6" t="str">
        <f aca="false">IF(K164&gt;1,"Yes","No")</f>
        <v>No</v>
      </c>
      <c r="O164" s="6" t="s">
        <v>48</v>
      </c>
    </row>
    <row r="165" customFormat="false" ht="15" hidden="false" customHeight="false" outlineLevel="0" collapsed="false">
      <c r="A165" s="6" t="s">
        <v>439</v>
      </c>
      <c r="B165" s="6" t="s">
        <v>440</v>
      </c>
      <c r="C165" s="6" t="s">
        <v>75</v>
      </c>
      <c r="D165" s="6" t="n">
        <v>37</v>
      </c>
      <c r="E165" s="6" t="s">
        <v>134</v>
      </c>
      <c r="F165" s="6" t="s">
        <v>135</v>
      </c>
      <c r="G165" s="26" t="n">
        <v>46033</v>
      </c>
      <c r="H165" s="6" t="s">
        <v>115</v>
      </c>
      <c r="I165" s="26" t="n">
        <f aca="false">_xlfn.MINIFS(Transaction!$C$2:$C$8421,Transaction!$B$2:$B$8421,A165)</f>
        <v>46058</v>
      </c>
      <c r="J165" s="26" t="n">
        <f aca="false">_xlfn.MAXIFS(Transaction!$C$2:$C$8421,Transaction!$B$2:$B$8421,A165)</f>
        <v>46058</v>
      </c>
      <c r="K165" s="6" t="n">
        <f aca="false">COUNTIF(Transaction!$B$2:$B$8421,A165)</f>
        <v>1</v>
      </c>
      <c r="L165" s="10" t="n">
        <f aca="false">SUMIF(Transaction!$B$2:$B$8421,A165,Transaction!$H$2:$H$8421)</f>
        <v>3960</v>
      </c>
      <c r="M165" s="6" t="n">
        <f aca="false">Summary!$B$3-J165</f>
        <v>208</v>
      </c>
      <c r="N165" s="6" t="str">
        <f aca="false">IF(K165&gt;1,"Yes","No")</f>
        <v>No</v>
      </c>
      <c r="O165" s="6" t="s">
        <v>49</v>
      </c>
    </row>
    <row r="166" customFormat="false" ht="15" hidden="false" customHeight="false" outlineLevel="0" collapsed="false">
      <c r="A166" s="6" t="s">
        <v>441</v>
      </c>
      <c r="B166" s="6" t="s">
        <v>442</v>
      </c>
      <c r="C166" s="6" t="s">
        <v>75</v>
      </c>
      <c r="D166" s="6" t="n">
        <v>32</v>
      </c>
      <c r="E166" s="6" t="s">
        <v>76</v>
      </c>
      <c r="F166" s="6" t="s">
        <v>77</v>
      </c>
      <c r="G166" s="26" t="n">
        <v>46178</v>
      </c>
      <c r="H166" s="6" t="s">
        <v>88</v>
      </c>
      <c r="I166" s="26" t="n">
        <f aca="false">_xlfn.MINIFS(Transaction!$C$2:$C$8421,Transaction!$B$2:$B$8421,A166)</f>
        <v>46219</v>
      </c>
      <c r="J166" s="26" t="n">
        <f aca="false">_xlfn.MAXIFS(Transaction!$C$2:$C$8421,Transaction!$B$2:$B$8421,A166)</f>
        <v>46219</v>
      </c>
      <c r="K166" s="6" t="n">
        <f aca="false">COUNTIF(Transaction!$B$2:$B$8421,A166)</f>
        <v>1</v>
      </c>
      <c r="L166" s="10" t="n">
        <f aca="false">SUMIF(Transaction!$B$2:$B$8421,A166,Transaction!$H$2:$H$8421)</f>
        <v>2820</v>
      </c>
      <c r="M166" s="6" t="n">
        <f aca="false">Summary!$B$3-J166</f>
        <v>47</v>
      </c>
      <c r="N166" s="6" t="str">
        <f aca="false">IF(K166&gt;1,"Yes","No")</f>
        <v>No</v>
      </c>
      <c r="O166" s="6" t="s">
        <v>47</v>
      </c>
    </row>
    <row r="167" customFormat="false" ht="15" hidden="false" customHeight="false" outlineLevel="0" collapsed="false">
      <c r="A167" s="6" t="s">
        <v>443</v>
      </c>
      <c r="B167" s="6" t="s">
        <v>444</v>
      </c>
      <c r="C167" s="6" t="s">
        <v>85</v>
      </c>
      <c r="D167" s="6" t="n">
        <v>32</v>
      </c>
      <c r="E167" s="6" t="s">
        <v>134</v>
      </c>
      <c r="F167" s="6" t="s">
        <v>135</v>
      </c>
      <c r="G167" s="26" t="n">
        <v>46167</v>
      </c>
      <c r="H167" s="6" t="s">
        <v>78</v>
      </c>
      <c r="I167" s="26" t="n">
        <f aca="false">_xlfn.MINIFS(Transaction!$C$2:$C$8421,Transaction!$B$2:$B$8421,A167)</f>
        <v>46206</v>
      </c>
      <c r="J167" s="26" t="n">
        <f aca="false">_xlfn.MAXIFS(Transaction!$C$2:$C$8421,Transaction!$B$2:$B$8421,A167)</f>
        <v>46206</v>
      </c>
      <c r="K167" s="6" t="n">
        <f aca="false">COUNTIF(Transaction!$B$2:$B$8421,A167)</f>
        <v>1</v>
      </c>
      <c r="L167" s="10" t="n">
        <f aca="false">SUMIF(Transaction!$B$2:$B$8421,A167,Transaction!$H$2:$H$8421)</f>
        <v>1564</v>
      </c>
      <c r="M167" s="6" t="n">
        <f aca="false">Summary!$B$3-J167</f>
        <v>60</v>
      </c>
      <c r="N167" s="6" t="str">
        <f aca="false">IF(K167&gt;1,"Yes","No")</f>
        <v>No</v>
      </c>
      <c r="O167" s="6" t="s">
        <v>47</v>
      </c>
    </row>
    <row r="168" customFormat="false" ht="15" hidden="false" customHeight="false" outlineLevel="0" collapsed="false">
      <c r="A168" s="6" t="s">
        <v>445</v>
      </c>
      <c r="B168" s="6" t="s">
        <v>446</v>
      </c>
      <c r="C168" s="6" t="s">
        <v>85</v>
      </c>
      <c r="D168" s="6" t="n">
        <v>32</v>
      </c>
      <c r="E168" s="6" t="s">
        <v>146</v>
      </c>
      <c r="F168" s="6" t="s">
        <v>147</v>
      </c>
      <c r="G168" s="26" t="n">
        <v>46242</v>
      </c>
      <c r="H168" s="6" t="s">
        <v>123</v>
      </c>
      <c r="I168" s="26" t="n">
        <f aca="false">_xlfn.MINIFS(Transaction!$C$2:$C$8421,Transaction!$B$2:$B$8421,A168)</f>
        <v>46254</v>
      </c>
      <c r="J168" s="26" t="n">
        <f aca="false">_xlfn.MAXIFS(Transaction!$C$2:$C$8421,Transaction!$B$2:$B$8421,A168)</f>
        <v>46254</v>
      </c>
      <c r="K168" s="6" t="n">
        <f aca="false">COUNTIF(Transaction!$B$2:$B$8421,A168)</f>
        <v>1</v>
      </c>
      <c r="L168" s="10" t="n">
        <f aca="false">SUMIF(Transaction!$B$2:$B$8421,A168,Transaction!$H$2:$H$8421)</f>
        <v>580</v>
      </c>
      <c r="M168" s="6" t="n">
        <f aca="false">Summary!$B$3-J168</f>
        <v>12</v>
      </c>
      <c r="N168" s="6" t="str">
        <f aca="false">IF(K168&gt;1,"Yes","No")</f>
        <v>No</v>
      </c>
      <c r="O168" s="6" t="s">
        <v>47</v>
      </c>
    </row>
    <row r="169" customFormat="false" ht="15" hidden="false" customHeight="false" outlineLevel="0" collapsed="false">
      <c r="A169" s="6" t="s">
        <v>447</v>
      </c>
      <c r="B169" s="6" t="s">
        <v>448</v>
      </c>
      <c r="C169" s="6" t="s">
        <v>75</v>
      </c>
      <c r="D169" s="6" t="n">
        <v>27</v>
      </c>
      <c r="E169" s="6" t="s">
        <v>121</v>
      </c>
      <c r="F169" s="6" t="s">
        <v>122</v>
      </c>
      <c r="G169" s="26" t="n">
        <v>46109</v>
      </c>
      <c r="H169" s="6" t="s">
        <v>115</v>
      </c>
      <c r="I169" s="26" t="n">
        <f aca="false">_xlfn.MINIFS(Transaction!$C$2:$C$8421,Transaction!$B$2:$B$8421,A169)</f>
        <v>46145</v>
      </c>
      <c r="J169" s="26" t="n">
        <f aca="false">_xlfn.MAXIFS(Transaction!$C$2:$C$8421,Transaction!$B$2:$B$8421,A169)</f>
        <v>46248</v>
      </c>
      <c r="K169" s="6" t="n">
        <f aca="false">COUNTIF(Transaction!$B$2:$B$8421,A169)</f>
        <v>4</v>
      </c>
      <c r="L169" s="10" t="n">
        <f aca="false">SUMIF(Transaction!$B$2:$B$8421,A169,Transaction!$H$2:$H$8421)</f>
        <v>9948</v>
      </c>
      <c r="M169" s="6" t="n">
        <f aca="false">Summary!$B$3-J169</f>
        <v>18</v>
      </c>
      <c r="N169" s="6" t="str">
        <f aca="false">IF(K169&gt;1,"Yes","No")</f>
        <v>Yes</v>
      </c>
      <c r="O169" s="6" t="s">
        <v>46</v>
      </c>
    </row>
    <row r="170" customFormat="false" ht="15" hidden="false" customHeight="false" outlineLevel="0" collapsed="false">
      <c r="A170" s="6" t="s">
        <v>449</v>
      </c>
      <c r="B170" s="6" t="s">
        <v>450</v>
      </c>
      <c r="C170" s="6" t="s">
        <v>75</v>
      </c>
      <c r="D170" s="6" t="n">
        <v>29</v>
      </c>
      <c r="E170" s="6" t="s">
        <v>126</v>
      </c>
      <c r="F170" s="6" t="s">
        <v>127</v>
      </c>
      <c r="G170" s="26" t="n">
        <v>46026</v>
      </c>
      <c r="H170" s="6" t="s">
        <v>115</v>
      </c>
      <c r="I170" s="26" t="n">
        <f aca="false">_xlfn.MINIFS(Transaction!$C$2:$C$8421,Transaction!$B$2:$B$8421,A170)</f>
        <v>46097</v>
      </c>
      <c r="J170" s="26" t="n">
        <f aca="false">_xlfn.MAXIFS(Transaction!$C$2:$C$8421,Transaction!$B$2:$B$8421,A170)</f>
        <v>46243</v>
      </c>
      <c r="K170" s="6" t="n">
        <f aca="false">COUNTIF(Transaction!$B$2:$B$8421,A170)</f>
        <v>5</v>
      </c>
      <c r="L170" s="10" t="n">
        <f aca="false">SUMIF(Transaction!$B$2:$B$8421,A170,Transaction!$H$2:$H$8421)</f>
        <v>8359</v>
      </c>
      <c r="M170" s="6" t="n">
        <f aca="false">Summary!$B$3-J170</f>
        <v>23</v>
      </c>
      <c r="N170" s="6" t="str">
        <f aca="false">IF(K170&gt;1,"Yes","No")</f>
        <v>Yes</v>
      </c>
      <c r="O170" s="6" t="s">
        <v>46</v>
      </c>
    </row>
    <row r="171" customFormat="false" ht="15" hidden="false" customHeight="false" outlineLevel="0" collapsed="false">
      <c r="A171" s="6" t="s">
        <v>451</v>
      </c>
      <c r="B171" s="6" t="s">
        <v>452</v>
      </c>
      <c r="C171" s="6" t="s">
        <v>85</v>
      </c>
      <c r="D171" s="6" t="n">
        <v>32</v>
      </c>
      <c r="E171" s="6" t="s">
        <v>121</v>
      </c>
      <c r="F171" s="6" t="s">
        <v>122</v>
      </c>
      <c r="G171" s="26" t="n">
        <v>45985</v>
      </c>
      <c r="H171" s="6" t="s">
        <v>78</v>
      </c>
      <c r="I171" s="26" t="n">
        <f aca="false">_xlfn.MINIFS(Transaction!$C$2:$C$8421,Transaction!$B$2:$B$8421,A171)</f>
        <v>46041</v>
      </c>
      <c r="J171" s="26" t="n">
        <f aca="false">_xlfn.MAXIFS(Transaction!$C$2:$C$8421,Transaction!$B$2:$B$8421,A171)</f>
        <v>46264</v>
      </c>
      <c r="K171" s="6" t="n">
        <f aca="false">COUNTIF(Transaction!$B$2:$B$8421,A171)</f>
        <v>10</v>
      </c>
      <c r="L171" s="10" t="n">
        <f aca="false">SUMIF(Transaction!$B$2:$B$8421,A171,Transaction!$H$2:$H$8421)</f>
        <v>15130</v>
      </c>
      <c r="M171" s="6" t="n">
        <f aca="false">Summary!$B$3-J171</f>
        <v>2</v>
      </c>
      <c r="N171" s="6" t="str">
        <f aca="false">IF(K171&gt;1,"Yes","No")</f>
        <v>Yes</v>
      </c>
      <c r="O171" s="6" t="s">
        <v>45</v>
      </c>
    </row>
    <row r="172" customFormat="false" ht="15" hidden="false" customHeight="false" outlineLevel="0" collapsed="false">
      <c r="A172" s="6" t="s">
        <v>453</v>
      </c>
      <c r="B172" s="6" t="s">
        <v>454</v>
      </c>
      <c r="C172" s="6" t="s">
        <v>75</v>
      </c>
      <c r="D172" s="6" t="n">
        <v>29</v>
      </c>
      <c r="E172" s="6" t="s">
        <v>105</v>
      </c>
      <c r="F172" s="6" t="s">
        <v>106</v>
      </c>
      <c r="G172" s="26" t="n">
        <v>46030</v>
      </c>
      <c r="H172" s="6" t="s">
        <v>92</v>
      </c>
      <c r="I172" s="26" t="n">
        <f aca="false">_xlfn.MINIFS(Transaction!$C$2:$C$8421,Transaction!$B$2:$B$8421,A172)</f>
        <v>46037</v>
      </c>
      <c r="J172" s="26" t="n">
        <f aca="false">_xlfn.MAXIFS(Transaction!$C$2:$C$8421,Transaction!$B$2:$B$8421,A172)</f>
        <v>46037</v>
      </c>
      <c r="K172" s="6" t="n">
        <f aca="false">COUNTIF(Transaction!$B$2:$B$8421,A172)</f>
        <v>1</v>
      </c>
      <c r="L172" s="10" t="n">
        <f aca="false">SUMIF(Transaction!$B$2:$B$8421,A172,Transaction!$H$2:$H$8421)</f>
        <v>1788</v>
      </c>
      <c r="M172" s="6" t="n">
        <f aca="false">Summary!$B$3-J172</f>
        <v>229</v>
      </c>
      <c r="N172" s="6" t="str">
        <f aca="false">IF(K172&gt;1,"Yes","No")</f>
        <v>No</v>
      </c>
      <c r="O172" s="6" t="s">
        <v>49</v>
      </c>
    </row>
    <row r="173" customFormat="false" ht="15" hidden="false" customHeight="false" outlineLevel="0" collapsed="false">
      <c r="A173" s="6" t="s">
        <v>455</v>
      </c>
      <c r="B173" s="6" t="s">
        <v>456</v>
      </c>
      <c r="C173" s="6" t="s">
        <v>75</v>
      </c>
      <c r="D173" s="6" t="n">
        <v>30</v>
      </c>
      <c r="E173" s="6" t="s">
        <v>321</v>
      </c>
      <c r="F173" s="6" t="s">
        <v>321</v>
      </c>
      <c r="G173" s="26" t="n">
        <v>46180</v>
      </c>
      <c r="H173" s="6" t="s">
        <v>92</v>
      </c>
      <c r="I173" s="26" t="n">
        <f aca="false">_xlfn.MINIFS(Transaction!$C$2:$C$8421,Transaction!$B$2:$B$8421,A173)</f>
        <v>46223</v>
      </c>
      <c r="J173" s="26" t="n">
        <f aca="false">_xlfn.MAXIFS(Transaction!$C$2:$C$8421,Transaction!$B$2:$B$8421,A173)</f>
        <v>46223</v>
      </c>
      <c r="K173" s="6" t="n">
        <f aca="false">COUNTIF(Transaction!$B$2:$B$8421,A173)</f>
        <v>1</v>
      </c>
      <c r="L173" s="10" t="n">
        <f aca="false">SUMIF(Transaction!$B$2:$B$8421,A173,Transaction!$H$2:$H$8421)</f>
        <v>5098</v>
      </c>
      <c r="M173" s="6" t="n">
        <f aca="false">Summary!$B$3-J173</f>
        <v>43</v>
      </c>
      <c r="N173" s="6" t="str">
        <f aca="false">IF(K173&gt;1,"Yes","No")</f>
        <v>No</v>
      </c>
      <c r="O173" s="6" t="s">
        <v>47</v>
      </c>
    </row>
    <row r="174" customFormat="false" ht="15" hidden="false" customHeight="false" outlineLevel="0" collapsed="false">
      <c r="A174" s="6" t="s">
        <v>457</v>
      </c>
      <c r="B174" s="6" t="s">
        <v>458</v>
      </c>
      <c r="C174" s="6" t="s">
        <v>85</v>
      </c>
      <c r="D174" s="6" t="n">
        <v>29</v>
      </c>
      <c r="E174" s="6" t="s">
        <v>105</v>
      </c>
      <c r="F174" s="6" t="s">
        <v>106</v>
      </c>
      <c r="G174" s="26" t="n">
        <v>45965</v>
      </c>
      <c r="H174" s="6" t="s">
        <v>88</v>
      </c>
      <c r="I174" s="26" t="n">
        <f aca="false">_xlfn.MINIFS(Transaction!$C$2:$C$8421,Transaction!$B$2:$B$8421,A174)</f>
        <v>46027</v>
      </c>
      <c r="J174" s="26" t="n">
        <f aca="false">_xlfn.MAXIFS(Transaction!$C$2:$C$8421,Transaction!$B$2:$B$8421,A174)</f>
        <v>46263</v>
      </c>
      <c r="K174" s="6" t="n">
        <f aca="false">COUNTIF(Transaction!$B$2:$B$8421,A174)</f>
        <v>9</v>
      </c>
      <c r="L174" s="10" t="n">
        <f aca="false">SUMIF(Transaction!$B$2:$B$8421,A174,Transaction!$H$2:$H$8421)</f>
        <v>11916</v>
      </c>
      <c r="M174" s="6" t="n">
        <f aca="false">Summary!$B$3-J174</f>
        <v>3</v>
      </c>
      <c r="N174" s="6" t="str">
        <f aca="false">IF(K174&gt;1,"Yes","No")</f>
        <v>Yes</v>
      </c>
      <c r="O174" s="6" t="s">
        <v>45</v>
      </c>
    </row>
    <row r="175" customFormat="false" ht="15" hidden="false" customHeight="false" outlineLevel="0" collapsed="false">
      <c r="A175" s="6" t="s">
        <v>459</v>
      </c>
      <c r="B175" s="6" t="s">
        <v>460</v>
      </c>
      <c r="C175" s="6" t="s">
        <v>85</v>
      </c>
      <c r="D175" s="6" t="n">
        <v>41</v>
      </c>
      <c r="E175" s="6" t="s">
        <v>81</v>
      </c>
      <c r="F175" s="6" t="s">
        <v>82</v>
      </c>
      <c r="G175" s="26" t="n">
        <v>46023</v>
      </c>
      <c r="H175" s="6" t="s">
        <v>115</v>
      </c>
      <c r="I175" s="26" t="n">
        <f aca="false">_xlfn.MINIFS(Transaction!$C$2:$C$8421,Transaction!$B$2:$B$8421,A175)</f>
        <v>46044</v>
      </c>
      <c r="J175" s="26" t="n">
        <f aca="false">_xlfn.MAXIFS(Transaction!$C$2:$C$8421,Transaction!$B$2:$B$8421,A175)</f>
        <v>46192</v>
      </c>
      <c r="K175" s="6" t="n">
        <f aca="false">COUNTIF(Transaction!$B$2:$B$8421,A175)</f>
        <v>7</v>
      </c>
      <c r="L175" s="10" t="n">
        <f aca="false">SUMIF(Transaction!$B$2:$B$8421,A175,Transaction!$H$2:$H$8421)</f>
        <v>17008</v>
      </c>
      <c r="M175" s="6" t="n">
        <f aca="false">Summary!$B$3-J175</f>
        <v>74</v>
      </c>
      <c r="N175" s="6" t="str">
        <f aca="false">IF(K175&gt;1,"Yes","No")</f>
        <v>Yes</v>
      </c>
      <c r="O175" s="6" t="s">
        <v>46</v>
      </c>
    </row>
    <row r="176" customFormat="false" ht="15" hidden="false" customHeight="false" outlineLevel="0" collapsed="false">
      <c r="A176" s="6" t="s">
        <v>461</v>
      </c>
      <c r="B176" s="6" t="s">
        <v>462</v>
      </c>
      <c r="C176" s="6" t="s">
        <v>75</v>
      </c>
      <c r="D176" s="6" t="n">
        <v>39</v>
      </c>
      <c r="E176" s="6" t="s">
        <v>121</v>
      </c>
      <c r="F176" s="6" t="s">
        <v>122</v>
      </c>
      <c r="G176" s="26" t="n">
        <v>46004</v>
      </c>
      <c r="H176" s="6" t="s">
        <v>92</v>
      </c>
      <c r="I176" s="26" t="n">
        <f aca="false">_xlfn.MINIFS(Transaction!$C$2:$C$8421,Transaction!$B$2:$B$8421,A176)</f>
        <v>46050</v>
      </c>
      <c r="J176" s="26" t="n">
        <f aca="false">_xlfn.MAXIFS(Transaction!$C$2:$C$8421,Transaction!$B$2:$B$8421,A176)</f>
        <v>46216</v>
      </c>
      <c r="K176" s="6" t="n">
        <f aca="false">COUNTIF(Transaction!$B$2:$B$8421,A176)</f>
        <v>4</v>
      </c>
      <c r="L176" s="10" t="n">
        <f aca="false">SUMIF(Transaction!$B$2:$B$8421,A176,Transaction!$H$2:$H$8421)</f>
        <v>17085</v>
      </c>
      <c r="M176" s="6" t="n">
        <f aca="false">Summary!$B$3-J176</f>
        <v>50</v>
      </c>
      <c r="N176" s="6" t="str">
        <f aca="false">IF(K176&gt;1,"Yes","No")</f>
        <v>Yes</v>
      </c>
      <c r="O176" s="6" t="s">
        <v>46</v>
      </c>
    </row>
    <row r="177" customFormat="false" ht="15" hidden="false" customHeight="false" outlineLevel="0" collapsed="false">
      <c r="A177" s="6" t="s">
        <v>463</v>
      </c>
      <c r="B177" s="6" t="s">
        <v>464</v>
      </c>
      <c r="C177" s="6" t="s">
        <v>75</v>
      </c>
      <c r="D177" s="6" t="n">
        <v>27</v>
      </c>
      <c r="E177" s="6" t="s">
        <v>264</v>
      </c>
      <c r="F177" s="6" t="s">
        <v>106</v>
      </c>
      <c r="G177" s="26" t="n">
        <v>45995</v>
      </c>
      <c r="H177" s="6" t="s">
        <v>115</v>
      </c>
      <c r="I177" s="26" t="n">
        <f aca="false">_xlfn.MINIFS(Transaction!$C$2:$C$8421,Transaction!$B$2:$B$8421,A177)</f>
        <v>46042</v>
      </c>
      <c r="J177" s="26" t="n">
        <f aca="false">_xlfn.MAXIFS(Transaction!$C$2:$C$8421,Transaction!$B$2:$B$8421,A177)</f>
        <v>46229</v>
      </c>
      <c r="K177" s="6" t="n">
        <f aca="false">COUNTIF(Transaction!$B$2:$B$8421,A177)</f>
        <v>5</v>
      </c>
      <c r="L177" s="10" t="n">
        <f aca="false">SUMIF(Transaction!$B$2:$B$8421,A177,Transaction!$H$2:$H$8421)</f>
        <v>6948</v>
      </c>
      <c r="M177" s="6" t="n">
        <f aca="false">Summary!$B$3-J177</f>
        <v>37</v>
      </c>
      <c r="N177" s="6" t="str">
        <f aca="false">IF(K177&gt;1,"Yes","No")</f>
        <v>Yes</v>
      </c>
      <c r="O177" s="6" t="s">
        <v>46</v>
      </c>
    </row>
    <row r="178" customFormat="false" ht="15" hidden="false" customHeight="false" outlineLevel="0" collapsed="false">
      <c r="A178" s="6" t="s">
        <v>465</v>
      </c>
      <c r="B178" s="6" t="s">
        <v>466</v>
      </c>
      <c r="C178" s="6" t="s">
        <v>85</v>
      </c>
      <c r="D178" s="6" t="n">
        <v>41</v>
      </c>
      <c r="E178" s="6" t="s">
        <v>81</v>
      </c>
      <c r="F178" s="6" t="s">
        <v>82</v>
      </c>
      <c r="G178" s="26" t="n">
        <v>46124</v>
      </c>
      <c r="H178" s="6" t="s">
        <v>115</v>
      </c>
      <c r="I178" s="26" t="n">
        <f aca="false">_xlfn.MINIFS(Transaction!$C$2:$C$8421,Transaction!$B$2:$B$8421,A178)</f>
        <v>46153</v>
      </c>
      <c r="J178" s="26" t="n">
        <f aca="false">_xlfn.MAXIFS(Transaction!$C$2:$C$8421,Transaction!$B$2:$B$8421,A178)</f>
        <v>46153</v>
      </c>
      <c r="K178" s="6" t="n">
        <f aca="false">COUNTIF(Transaction!$B$2:$B$8421,A178)</f>
        <v>1</v>
      </c>
      <c r="L178" s="10" t="n">
        <f aca="false">SUMIF(Transaction!$B$2:$B$8421,A178,Transaction!$H$2:$H$8421)</f>
        <v>928</v>
      </c>
      <c r="M178" s="6" t="n">
        <f aca="false">Summary!$B$3-J178</f>
        <v>113</v>
      </c>
      <c r="N178" s="6" t="str">
        <f aca="false">IF(K178&gt;1,"Yes","No")</f>
        <v>No</v>
      </c>
      <c r="O178" s="6" t="s">
        <v>48</v>
      </c>
    </row>
    <row r="179" customFormat="false" ht="15" hidden="false" customHeight="false" outlineLevel="0" collapsed="false">
      <c r="A179" s="6" t="s">
        <v>467</v>
      </c>
      <c r="B179" s="6" t="s">
        <v>468</v>
      </c>
      <c r="C179" s="6" t="s">
        <v>85</v>
      </c>
      <c r="D179" s="6" t="n">
        <v>42</v>
      </c>
      <c r="E179" s="6" t="s">
        <v>81</v>
      </c>
      <c r="F179" s="6" t="s">
        <v>82</v>
      </c>
      <c r="G179" s="26" t="n">
        <v>46205</v>
      </c>
      <c r="H179" s="6" t="s">
        <v>102</v>
      </c>
      <c r="I179" s="26" t="n">
        <f aca="false">_xlfn.MINIFS(Transaction!$C$2:$C$8421,Transaction!$B$2:$B$8421,A179)</f>
        <v>46257</v>
      </c>
      <c r="J179" s="26" t="n">
        <f aca="false">_xlfn.MAXIFS(Transaction!$C$2:$C$8421,Transaction!$B$2:$B$8421,A179)</f>
        <v>46257</v>
      </c>
      <c r="K179" s="6" t="n">
        <f aca="false">COUNTIF(Transaction!$B$2:$B$8421,A179)</f>
        <v>1</v>
      </c>
      <c r="L179" s="10" t="n">
        <f aca="false">SUMIF(Transaction!$B$2:$B$8421,A179,Transaction!$H$2:$H$8421)</f>
        <v>508</v>
      </c>
      <c r="M179" s="6" t="n">
        <f aca="false">Summary!$B$3-J179</f>
        <v>9</v>
      </c>
      <c r="N179" s="6" t="str">
        <f aca="false">IF(K179&gt;1,"Yes","No")</f>
        <v>No</v>
      </c>
      <c r="O179" s="6" t="s">
        <v>47</v>
      </c>
    </row>
    <row r="180" customFormat="false" ht="15" hidden="false" customHeight="false" outlineLevel="0" collapsed="false">
      <c r="A180" s="6" t="s">
        <v>469</v>
      </c>
      <c r="B180" s="6" t="s">
        <v>470</v>
      </c>
      <c r="C180" s="6" t="s">
        <v>85</v>
      </c>
      <c r="D180" s="6" t="n">
        <v>34</v>
      </c>
      <c r="E180" s="6" t="s">
        <v>76</v>
      </c>
      <c r="F180" s="6" t="s">
        <v>77</v>
      </c>
      <c r="G180" s="26" t="n">
        <v>46154</v>
      </c>
      <c r="H180" s="6" t="s">
        <v>123</v>
      </c>
      <c r="I180" s="26" t="n">
        <f aca="false">_xlfn.MINIFS(Transaction!$C$2:$C$8421,Transaction!$B$2:$B$8421,A180)</f>
        <v>46233</v>
      </c>
      <c r="J180" s="26" t="n">
        <f aca="false">_xlfn.MAXIFS(Transaction!$C$2:$C$8421,Transaction!$B$2:$B$8421,A180)</f>
        <v>46233</v>
      </c>
      <c r="K180" s="6" t="n">
        <f aca="false">COUNTIF(Transaction!$B$2:$B$8421,A180)</f>
        <v>1</v>
      </c>
      <c r="L180" s="10" t="n">
        <f aca="false">SUMIF(Transaction!$B$2:$B$8421,A180,Transaction!$H$2:$H$8421)</f>
        <v>879</v>
      </c>
      <c r="M180" s="6" t="n">
        <f aca="false">Summary!$B$3-J180</f>
        <v>33</v>
      </c>
      <c r="N180" s="6" t="str">
        <f aca="false">IF(K180&gt;1,"Yes","No")</f>
        <v>No</v>
      </c>
      <c r="O180" s="6" t="s">
        <v>47</v>
      </c>
    </row>
    <row r="181" customFormat="false" ht="15" hidden="false" customHeight="false" outlineLevel="0" collapsed="false">
      <c r="A181" s="6" t="s">
        <v>471</v>
      </c>
      <c r="B181" s="6" t="s">
        <v>472</v>
      </c>
      <c r="C181" s="6" t="s">
        <v>85</v>
      </c>
      <c r="D181" s="6" t="n">
        <v>39</v>
      </c>
      <c r="E181" s="6" t="s">
        <v>76</v>
      </c>
      <c r="F181" s="6" t="s">
        <v>77</v>
      </c>
      <c r="G181" s="26" t="n">
        <v>46080</v>
      </c>
      <c r="H181" s="6" t="s">
        <v>92</v>
      </c>
      <c r="I181" s="26" t="n">
        <f aca="false">_xlfn.MINIFS(Transaction!$C$2:$C$8421,Transaction!$B$2:$B$8421,A181)</f>
        <v>46163</v>
      </c>
      <c r="J181" s="26" t="n">
        <f aca="false">_xlfn.MAXIFS(Transaction!$C$2:$C$8421,Transaction!$B$2:$B$8421,A181)</f>
        <v>46163</v>
      </c>
      <c r="K181" s="6" t="n">
        <f aca="false">COUNTIF(Transaction!$B$2:$B$8421,A181)</f>
        <v>1</v>
      </c>
      <c r="L181" s="10" t="n">
        <f aca="false">SUMIF(Transaction!$B$2:$B$8421,A181,Transaction!$H$2:$H$8421)</f>
        <v>967</v>
      </c>
      <c r="M181" s="6" t="n">
        <f aca="false">Summary!$B$3-J181</f>
        <v>103</v>
      </c>
      <c r="N181" s="6" t="str">
        <f aca="false">IF(K181&gt;1,"Yes","No")</f>
        <v>No</v>
      </c>
      <c r="O181" s="6" t="s">
        <v>48</v>
      </c>
    </row>
    <row r="182" customFormat="false" ht="15" hidden="false" customHeight="false" outlineLevel="0" collapsed="false">
      <c r="A182" s="6" t="s">
        <v>473</v>
      </c>
      <c r="B182" s="6" t="s">
        <v>474</v>
      </c>
      <c r="C182" s="6" t="s">
        <v>85</v>
      </c>
      <c r="D182" s="6" t="n">
        <v>23</v>
      </c>
      <c r="E182" s="6" t="s">
        <v>95</v>
      </c>
      <c r="F182" s="6" t="s">
        <v>95</v>
      </c>
      <c r="G182" s="26" t="n">
        <v>45962</v>
      </c>
      <c r="H182" s="6" t="s">
        <v>123</v>
      </c>
      <c r="I182" s="26" t="n">
        <f aca="false">_xlfn.MINIFS(Transaction!$C$2:$C$8421,Transaction!$B$2:$B$8421,A182)</f>
        <v>46046</v>
      </c>
      <c r="J182" s="26" t="n">
        <f aca="false">_xlfn.MAXIFS(Transaction!$C$2:$C$8421,Transaction!$B$2:$B$8421,A182)</f>
        <v>46186</v>
      </c>
      <c r="K182" s="6" t="n">
        <f aca="false">COUNTIF(Transaction!$B$2:$B$8421,A182)</f>
        <v>3</v>
      </c>
      <c r="L182" s="10" t="n">
        <f aca="false">SUMIF(Transaction!$B$2:$B$8421,A182,Transaction!$H$2:$H$8421)</f>
        <v>4872</v>
      </c>
      <c r="M182" s="6" t="n">
        <f aca="false">Summary!$B$3-J182</f>
        <v>80</v>
      </c>
      <c r="N182" s="6" t="str">
        <f aca="false">IF(K182&gt;1,"Yes","No")</f>
        <v>Yes</v>
      </c>
      <c r="O182" s="6" t="s">
        <v>46</v>
      </c>
    </row>
    <row r="183" customFormat="false" ht="15" hidden="false" customHeight="false" outlineLevel="0" collapsed="false">
      <c r="A183" s="6" t="s">
        <v>475</v>
      </c>
      <c r="B183" s="6" t="s">
        <v>476</v>
      </c>
      <c r="C183" s="6" t="s">
        <v>75</v>
      </c>
      <c r="D183" s="6" t="n">
        <v>19</v>
      </c>
      <c r="E183" s="6" t="s">
        <v>76</v>
      </c>
      <c r="F183" s="6" t="s">
        <v>77</v>
      </c>
      <c r="G183" s="26" t="n">
        <v>46020</v>
      </c>
      <c r="H183" s="6" t="s">
        <v>102</v>
      </c>
      <c r="I183" s="26" t="n">
        <f aca="false">_xlfn.MINIFS(Transaction!$C$2:$C$8421,Transaction!$B$2:$B$8421,A183)</f>
        <v>46024</v>
      </c>
      <c r="J183" s="26" t="n">
        <f aca="false">_xlfn.MAXIFS(Transaction!$C$2:$C$8421,Transaction!$B$2:$B$8421,A183)</f>
        <v>46260</v>
      </c>
      <c r="K183" s="6" t="n">
        <f aca="false">COUNTIF(Transaction!$B$2:$B$8421,A183)</f>
        <v>6</v>
      </c>
      <c r="L183" s="10" t="n">
        <f aca="false">SUMIF(Transaction!$B$2:$B$8421,A183,Transaction!$H$2:$H$8421)</f>
        <v>11977</v>
      </c>
      <c r="M183" s="6" t="n">
        <f aca="false">Summary!$B$3-J183</f>
        <v>6</v>
      </c>
      <c r="N183" s="6" t="str">
        <f aca="false">IF(K183&gt;1,"Yes","No")</f>
        <v>Yes</v>
      </c>
      <c r="O183" s="6" t="s">
        <v>45</v>
      </c>
    </row>
    <row r="184" customFormat="false" ht="15" hidden="false" customHeight="false" outlineLevel="0" collapsed="false">
      <c r="A184" s="6" t="s">
        <v>477</v>
      </c>
      <c r="B184" s="6" t="s">
        <v>478</v>
      </c>
      <c r="C184" s="6" t="s">
        <v>85</v>
      </c>
      <c r="D184" s="6" t="n">
        <v>32</v>
      </c>
      <c r="E184" s="6" t="s">
        <v>86</v>
      </c>
      <c r="F184" s="6" t="s">
        <v>87</v>
      </c>
      <c r="G184" s="26" t="n">
        <v>46212</v>
      </c>
      <c r="H184" s="6" t="s">
        <v>88</v>
      </c>
      <c r="I184" s="26" t="n">
        <f aca="false">_xlfn.MINIFS(Transaction!$C$2:$C$8421,Transaction!$B$2:$B$8421,A184)</f>
        <v>46236</v>
      </c>
      <c r="J184" s="26" t="n">
        <f aca="false">_xlfn.MAXIFS(Transaction!$C$2:$C$8421,Transaction!$B$2:$B$8421,A184)</f>
        <v>46236</v>
      </c>
      <c r="K184" s="6" t="n">
        <f aca="false">COUNTIF(Transaction!$B$2:$B$8421,A184)</f>
        <v>1</v>
      </c>
      <c r="L184" s="10" t="n">
        <f aca="false">SUMIF(Transaction!$B$2:$B$8421,A184,Transaction!$H$2:$H$8421)</f>
        <v>1179</v>
      </c>
      <c r="M184" s="6" t="n">
        <f aca="false">Summary!$B$3-J184</f>
        <v>30</v>
      </c>
      <c r="N184" s="6" t="str">
        <f aca="false">IF(K184&gt;1,"Yes","No")</f>
        <v>No</v>
      </c>
      <c r="O184" s="6" t="s">
        <v>47</v>
      </c>
    </row>
    <row r="185" customFormat="false" ht="15" hidden="false" customHeight="false" outlineLevel="0" collapsed="false">
      <c r="A185" s="6" t="s">
        <v>479</v>
      </c>
      <c r="B185" s="6" t="s">
        <v>480</v>
      </c>
      <c r="C185" s="6" t="s">
        <v>75</v>
      </c>
      <c r="D185" s="6" t="n">
        <v>41</v>
      </c>
      <c r="E185" s="6" t="s">
        <v>91</v>
      </c>
      <c r="F185" s="6" t="s">
        <v>77</v>
      </c>
      <c r="G185" s="26" t="n">
        <v>45974</v>
      </c>
      <c r="H185" s="6" t="s">
        <v>78</v>
      </c>
      <c r="I185" s="26" t="n">
        <f aca="false">_xlfn.MINIFS(Transaction!$C$2:$C$8421,Transaction!$B$2:$B$8421,A185)</f>
        <v>46053</v>
      </c>
      <c r="J185" s="26" t="n">
        <f aca="false">_xlfn.MAXIFS(Transaction!$C$2:$C$8421,Transaction!$B$2:$B$8421,A185)</f>
        <v>46236</v>
      </c>
      <c r="K185" s="6" t="n">
        <f aca="false">COUNTIF(Transaction!$B$2:$B$8421,A185)</f>
        <v>2</v>
      </c>
      <c r="L185" s="10" t="n">
        <f aca="false">SUMIF(Transaction!$B$2:$B$8421,A185,Transaction!$H$2:$H$8421)</f>
        <v>1552</v>
      </c>
      <c r="M185" s="6" t="n">
        <f aca="false">Summary!$B$3-J185</f>
        <v>30</v>
      </c>
      <c r="N185" s="6" t="str">
        <f aca="false">IF(K185&gt;1,"Yes","No")</f>
        <v>Yes</v>
      </c>
      <c r="O185" s="6" t="s">
        <v>46</v>
      </c>
    </row>
    <row r="186" customFormat="false" ht="15" hidden="false" customHeight="false" outlineLevel="0" collapsed="false">
      <c r="A186" s="6" t="s">
        <v>481</v>
      </c>
      <c r="B186" s="6" t="s">
        <v>482</v>
      </c>
      <c r="C186" s="6" t="s">
        <v>85</v>
      </c>
      <c r="D186" s="6" t="n">
        <v>46</v>
      </c>
      <c r="E186" s="6" t="s">
        <v>134</v>
      </c>
      <c r="F186" s="6" t="s">
        <v>135</v>
      </c>
      <c r="G186" s="26" t="n">
        <v>46109</v>
      </c>
      <c r="H186" s="6" t="s">
        <v>78</v>
      </c>
      <c r="I186" s="26" t="n">
        <f aca="false">_xlfn.MINIFS(Transaction!$C$2:$C$8421,Transaction!$B$2:$B$8421,A186)</f>
        <v>46175</v>
      </c>
      <c r="J186" s="26" t="n">
        <f aca="false">_xlfn.MAXIFS(Transaction!$C$2:$C$8421,Transaction!$B$2:$B$8421,A186)</f>
        <v>46175</v>
      </c>
      <c r="K186" s="6" t="n">
        <f aca="false">COUNTIF(Transaction!$B$2:$B$8421,A186)</f>
        <v>1</v>
      </c>
      <c r="L186" s="10" t="n">
        <f aca="false">SUMIF(Transaction!$B$2:$B$8421,A186,Transaction!$H$2:$H$8421)</f>
        <v>1144</v>
      </c>
      <c r="M186" s="6" t="n">
        <f aca="false">Summary!$B$3-J186</f>
        <v>91</v>
      </c>
      <c r="N186" s="6" t="str">
        <f aca="false">IF(K186&gt;1,"Yes","No")</f>
        <v>No</v>
      </c>
      <c r="O186" s="6" t="s">
        <v>47</v>
      </c>
    </row>
    <row r="187" customFormat="false" ht="15" hidden="false" customHeight="false" outlineLevel="0" collapsed="false">
      <c r="A187" s="6" t="s">
        <v>483</v>
      </c>
      <c r="B187" s="6" t="s">
        <v>484</v>
      </c>
      <c r="C187" s="6" t="s">
        <v>75</v>
      </c>
      <c r="D187" s="6" t="n">
        <v>37</v>
      </c>
      <c r="E187" s="6" t="s">
        <v>105</v>
      </c>
      <c r="F187" s="6" t="s">
        <v>106</v>
      </c>
      <c r="G187" s="26" t="n">
        <v>46072</v>
      </c>
      <c r="H187" s="6" t="s">
        <v>78</v>
      </c>
      <c r="I187" s="26" t="n">
        <f aca="false">_xlfn.MINIFS(Transaction!$C$2:$C$8421,Transaction!$B$2:$B$8421,A187)</f>
        <v>46137</v>
      </c>
      <c r="J187" s="26" t="n">
        <f aca="false">_xlfn.MAXIFS(Transaction!$C$2:$C$8421,Transaction!$B$2:$B$8421,A187)</f>
        <v>46137</v>
      </c>
      <c r="K187" s="6" t="n">
        <f aca="false">COUNTIF(Transaction!$B$2:$B$8421,A187)</f>
        <v>1</v>
      </c>
      <c r="L187" s="10" t="n">
        <f aca="false">SUMIF(Transaction!$B$2:$B$8421,A187,Transaction!$H$2:$H$8421)</f>
        <v>2039</v>
      </c>
      <c r="M187" s="6" t="n">
        <f aca="false">Summary!$B$3-J187</f>
        <v>129</v>
      </c>
      <c r="N187" s="6" t="str">
        <f aca="false">IF(K187&gt;1,"Yes","No")</f>
        <v>No</v>
      </c>
      <c r="O187" s="6" t="s">
        <v>48</v>
      </c>
    </row>
    <row r="188" customFormat="false" ht="15" hidden="false" customHeight="false" outlineLevel="0" collapsed="false">
      <c r="A188" s="6" t="s">
        <v>485</v>
      </c>
      <c r="B188" s="6" t="s">
        <v>486</v>
      </c>
      <c r="C188" s="6" t="s">
        <v>85</v>
      </c>
      <c r="D188" s="6" t="n">
        <v>27</v>
      </c>
      <c r="E188" s="6" t="s">
        <v>146</v>
      </c>
      <c r="F188" s="6" t="s">
        <v>147</v>
      </c>
      <c r="G188" s="26" t="n">
        <v>46012</v>
      </c>
      <c r="H188" s="6" t="s">
        <v>123</v>
      </c>
      <c r="I188" s="26" t="n">
        <f aca="false">_xlfn.MINIFS(Transaction!$C$2:$C$8421,Transaction!$B$2:$B$8421,A188)</f>
        <v>46055</v>
      </c>
      <c r="J188" s="26" t="n">
        <f aca="false">_xlfn.MAXIFS(Transaction!$C$2:$C$8421,Transaction!$B$2:$B$8421,A188)</f>
        <v>46242</v>
      </c>
      <c r="K188" s="6" t="n">
        <f aca="false">COUNTIF(Transaction!$B$2:$B$8421,A188)</f>
        <v>7</v>
      </c>
      <c r="L188" s="10" t="n">
        <f aca="false">SUMIF(Transaction!$B$2:$B$8421,A188,Transaction!$H$2:$H$8421)</f>
        <v>15671</v>
      </c>
      <c r="M188" s="6" t="n">
        <f aca="false">Summary!$B$3-J188</f>
        <v>24</v>
      </c>
      <c r="N188" s="6" t="str">
        <f aca="false">IF(K188&gt;1,"Yes","No")</f>
        <v>Yes</v>
      </c>
      <c r="O188" s="6" t="s">
        <v>45</v>
      </c>
    </row>
    <row r="189" customFormat="false" ht="15" hidden="false" customHeight="false" outlineLevel="0" collapsed="false">
      <c r="A189" s="6" t="s">
        <v>487</v>
      </c>
      <c r="B189" s="6" t="s">
        <v>488</v>
      </c>
      <c r="C189" s="6" t="s">
        <v>85</v>
      </c>
      <c r="D189" s="6" t="n">
        <v>21</v>
      </c>
      <c r="E189" s="6" t="s">
        <v>95</v>
      </c>
      <c r="F189" s="6" t="s">
        <v>95</v>
      </c>
      <c r="G189" s="26" t="n">
        <v>46221</v>
      </c>
      <c r="H189" s="6" t="s">
        <v>115</v>
      </c>
      <c r="I189" s="26" t="n">
        <f aca="false">_xlfn.MINIFS(Transaction!$C$2:$C$8421,Transaction!$B$2:$B$8421,A189)</f>
        <v>46253</v>
      </c>
      <c r="J189" s="26" t="n">
        <f aca="false">_xlfn.MAXIFS(Transaction!$C$2:$C$8421,Transaction!$B$2:$B$8421,A189)</f>
        <v>46253</v>
      </c>
      <c r="K189" s="6" t="n">
        <f aca="false">COUNTIF(Transaction!$B$2:$B$8421,A189)</f>
        <v>1</v>
      </c>
      <c r="L189" s="10" t="n">
        <f aca="false">SUMIF(Transaction!$B$2:$B$8421,A189,Transaction!$H$2:$H$8421)</f>
        <v>1521</v>
      </c>
      <c r="M189" s="6" t="n">
        <f aca="false">Summary!$B$3-J189</f>
        <v>13</v>
      </c>
      <c r="N189" s="6" t="str">
        <f aca="false">IF(K189&gt;1,"Yes","No")</f>
        <v>No</v>
      </c>
      <c r="O189" s="6" t="s">
        <v>47</v>
      </c>
    </row>
    <row r="190" customFormat="false" ht="15" hidden="false" customHeight="false" outlineLevel="0" collapsed="false">
      <c r="A190" s="6" t="s">
        <v>489</v>
      </c>
      <c r="B190" s="6" t="s">
        <v>490</v>
      </c>
      <c r="C190" s="6" t="s">
        <v>75</v>
      </c>
      <c r="D190" s="6" t="n">
        <v>38</v>
      </c>
      <c r="E190" s="6" t="s">
        <v>91</v>
      </c>
      <c r="F190" s="6" t="s">
        <v>77</v>
      </c>
      <c r="G190" s="26" t="n">
        <v>46021</v>
      </c>
      <c r="H190" s="6" t="s">
        <v>78</v>
      </c>
      <c r="I190" s="26" t="n">
        <f aca="false">_xlfn.MINIFS(Transaction!$C$2:$C$8421,Transaction!$B$2:$B$8421,A190)</f>
        <v>46043</v>
      </c>
      <c r="J190" s="26" t="n">
        <f aca="false">_xlfn.MAXIFS(Transaction!$C$2:$C$8421,Transaction!$B$2:$B$8421,A190)</f>
        <v>46192</v>
      </c>
      <c r="K190" s="6" t="n">
        <f aca="false">COUNTIF(Transaction!$B$2:$B$8421,A190)</f>
        <v>3</v>
      </c>
      <c r="L190" s="10" t="n">
        <f aca="false">SUMIF(Transaction!$B$2:$B$8421,A190,Transaction!$H$2:$H$8421)</f>
        <v>4214</v>
      </c>
      <c r="M190" s="6" t="n">
        <f aca="false">Summary!$B$3-J190</f>
        <v>74</v>
      </c>
      <c r="N190" s="6" t="str">
        <f aca="false">IF(K190&gt;1,"Yes","No")</f>
        <v>Yes</v>
      </c>
      <c r="O190" s="6" t="s">
        <v>46</v>
      </c>
    </row>
    <row r="191" customFormat="false" ht="15" hidden="false" customHeight="false" outlineLevel="0" collapsed="false">
      <c r="A191" s="6" t="s">
        <v>491</v>
      </c>
      <c r="B191" s="6" t="s">
        <v>492</v>
      </c>
      <c r="C191" s="6" t="s">
        <v>75</v>
      </c>
      <c r="D191" s="6" t="n">
        <v>32</v>
      </c>
      <c r="E191" s="6" t="s">
        <v>76</v>
      </c>
      <c r="F191" s="6" t="s">
        <v>77</v>
      </c>
      <c r="G191" s="26" t="n">
        <v>45961</v>
      </c>
      <c r="H191" s="6" t="s">
        <v>92</v>
      </c>
      <c r="I191" s="26" t="n">
        <f aca="false">_xlfn.MINIFS(Transaction!$C$2:$C$8421,Transaction!$B$2:$B$8421,A191)</f>
        <v>46043</v>
      </c>
      <c r="J191" s="26" t="n">
        <f aca="false">_xlfn.MAXIFS(Transaction!$C$2:$C$8421,Transaction!$B$2:$B$8421,A191)</f>
        <v>46189</v>
      </c>
      <c r="K191" s="6" t="n">
        <f aca="false">COUNTIF(Transaction!$B$2:$B$8421,A191)</f>
        <v>4</v>
      </c>
      <c r="L191" s="10" t="n">
        <f aca="false">SUMIF(Transaction!$B$2:$B$8421,A191,Transaction!$H$2:$H$8421)</f>
        <v>6263</v>
      </c>
      <c r="M191" s="6" t="n">
        <f aca="false">Summary!$B$3-J191</f>
        <v>77</v>
      </c>
      <c r="N191" s="6" t="str">
        <f aca="false">IF(K191&gt;1,"Yes","No")</f>
        <v>Yes</v>
      </c>
      <c r="O191" s="6" t="s">
        <v>46</v>
      </c>
    </row>
    <row r="192" customFormat="false" ht="15" hidden="false" customHeight="false" outlineLevel="0" collapsed="false">
      <c r="A192" s="6" t="s">
        <v>493</v>
      </c>
      <c r="B192" s="6" t="s">
        <v>494</v>
      </c>
      <c r="C192" s="6" t="s">
        <v>75</v>
      </c>
      <c r="D192" s="6" t="n">
        <v>38</v>
      </c>
      <c r="E192" s="6" t="s">
        <v>134</v>
      </c>
      <c r="F192" s="6" t="s">
        <v>135</v>
      </c>
      <c r="G192" s="26" t="n">
        <v>46230</v>
      </c>
      <c r="H192" s="6" t="s">
        <v>115</v>
      </c>
      <c r="I192" s="26" t="n">
        <f aca="false">_xlfn.MINIFS(Transaction!$C$2:$C$8421,Transaction!$B$2:$B$8421,A192)</f>
        <v>46260</v>
      </c>
      <c r="J192" s="26" t="n">
        <f aca="false">_xlfn.MAXIFS(Transaction!$C$2:$C$8421,Transaction!$B$2:$B$8421,A192)</f>
        <v>46260</v>
      </c>
      <c r="K192" s="6" t="n">
        <f aca="false">COUNTIF(Transaction!$B$2:$B$8421,A192)</f>
        <v>1</v>
      </c>
      <c r="L192" s="10" t="n">
        <f aca="false">SUMIF(Transaction!$B$2:$B$8421,A192,Transaction!$H$2:$H$8421)</f>
        <v>782</v>
      </c>
      <c r="M192" s="6" t="n">
        <f aca="false">Summary!$B$3-J192</f>
        <v>6</v>
      </c>
      <c r="N192" s="6" t="str">
        <f aca="false">IF(K192&gt;1,"Yes","No")</f>
        <v>No</v>
      </c>
      <c r="O192" s="6" t="s">
        <v>47</v>
      </c>
    </row>
    <row r="193" customFormat="false" ht="15" hidden="false" customHeight="false" outlineLevel="0" collapsed="false">
      <c r="A193" s="6" t="s">
        <v>495</v>
      </c>
      <c r="B193" s="6" t="s">
        <v>496</v>
      </c>
      <c r="C193" s="6" t="s">
        <v>75</v>
      </c>
      <c r="D193" s="6" t="n">
        <v>34</v>
      </c>
      <c r="E193" s="6" t="s">
        <v>176</v>
      </c>
      <c r="F193" s="6" t="s">
        <v>177</v>
      </c>
      <c r="G193" s="26" t="n">
        <v>46126</v>
      </c>
      <c r="H193" s="6" t="s">
        <v>78</v>
      </c>
      <c r="I193" s="26" t="n">
        <f aca="false">_xlfn.MINIFS(Transaction!$C$2:$C$8421,Transaction!$B$2:$B$8421,A193)</f>
        <v>46170</v>
      </c>
      <c r="J193" s="26" t="n">
        <f aca="false">_xlfn.MAXIFS(Transaction!$C$2:$C$8421,Transaction!$B$2:$B$8421,A193)</f>
        <v>46170</v>
      </c>
      <c r="K193" s="6" t="n">
        <f aca="false">COUNTIF(Transaction!$B$2:$B$8421,A193)</f>
        <v>1</v>
      </c>
      <c r="L193" s="10" t="n">
        <f aca="false">SUMIF(Transaction!$B$2:$B$8421,A193,Transaction!$H$2:$H$8421)</f>
        <v>1630</v>
      </c>
      <c r="M193" s="6" t="n">
        <f aca="false">Summary!$B$3-J193</f>
        <v>96</v>
      </c>
      <c r="N193" s="6" t="str">
        <f aca="false">IF(K193&gt;1,"Yes","No")</f>
        <v>No</v>
      </c>
      <c r="O193" s="6" t="s">
        <v>48</v>
      </c>
    </row>
    <row r="194" customFormat="false" ht="15" hidden="false" customHeight="false" outlineLevel="0" collapsed="false">
      <c r="A194" s="6" t="s">
        <v>497</v>
      </c>
      <c r="B194" s="6" t="s">
        <v>498</v>
      </c>
      <c r="C194" s="6" t="s">
        <v>75</v>
      </c>
      <c r="D194" s="6" t="n">
        <v>29</v>
      </c>
      <c r="E194" s="6" t="s">
        <v>81</v>
      </c>
      <c r="F194" s="6" t="s">
        <v>82</v>
      </c>
      <c r="G194" s="26" t="n">
        <v>46005</v>
      </c>
      <c r="H194" s="6" t="s">
        <v>102</v>
      </c>
      <c r="I194" s="26" t="n">
        <f aca="false">_xlfn.MINIFS(Transaction!$C$2:$C$8421,Transaction!$B$2:$B$8421,A194)</f>
        <v>46028</v>
      </c>
      <c r="J194" s="26" t="n">
        <f aca="false">_xlfn.MAXIFS(Transaction!$C$2:$C$8421,Transaction!$B$2:$B$8421,A194)</f>
        <v>46028</v>
      </c>
      <c r="K194" s="6" t="n">
        <f aca="false">COUNTIF(Transaction!$B$2:$B$8421,A194)</f>
        <v>1</v>
      </c>
      <c r="L194" s="10" t="n">
        <f aca="false">SUMIF(Transaction!$B$2:$B$8421,A194,Transaction!$H$2:$H$8421)</f>
        <v>2936</v>
      </c>
      <c r="M194" s="6" t="n">
        <f aca="false">Summary!$B$3-J194</f>
        <v>238</v>
      </c>
      <c r="N194" s="6" t="str">
        <f aca="false">IF(K194&gt;1,"Yes","No")</f>
        <v>No</v>
      </c>
      <c r="O194" s="6" t="s">
        <v>49</v>
      </c>
    </row>
    <row r="195" customFormat="false" ht="15" hidden="false" customHeight="false" outlineLevel="0" collapsed="false">
      <c r="A195" s="6" t="s">
        <v>499</v>
      </c>
      <c r="B195" s="6" t="s">
        <v>500</v>
      </c>
      <c r="C195" s="6" t="s">
        <v>75</v>
      </c>
      <c r="D195" s="6" t="n">
        <v>18</v>
      </c>
      <c r="E195" s="6" t="s">
        <v>81</v>
      </c>
      <c r="F195" s="6" t="s">
        <v>82</v>
      </c>
      <c r="G195" s="26" t="n">
        <v>46130</v>
      </c>
      <c r="H195" s="6" t="s">
        <v>78</v>
      </c>
      <c r="I195" s="26" t="n">
        <f aca="false">_xlfn.MINIFS(Transaction!$C$2:$C$8421,Transaction!$B$2:$B$8421,A195)</f>
        <v>46183</v>
      </c>
      <c r="J195" s="26" t="n">
        <f aca="false">_xlfn.MAXIFS(Transaction!$C$2:$C$8421,Transaction!$B$2:$B$8421,A195)</f>
        <v>46183</v>
      </c>
      <c r="K195" s="6" t="n">
        <f aca="false">COUNTIF(Transaction!$B$2:$B$8421,A195)</f>
        <v>1</v>
      </c>
      <c r="L195" s="10" t="n">
        <f aca="false">SUMIF(Transaction!$B$2:$B$8421,A195,Transaction!$H$2:$H$8421)</f>
        <v>1768</v>
      </c>
      <c r="M195" s="6" t="n">
        <f aca="false">Summary!$B$3-J195</f>
        <v>83</v>
      </c>
      <c r="N195" s="6" t="str">
        <f aca="false">IF(K195&gt;1,"Yes","No")</f>
        <v>No</v>
      </c>
      <c r="O195" s="6" t="s">
        <v>47</v>
      </c>
    </row>
    <row r="196" customFormat="false" ht="15" hidden="false" customHeight="false" outlineLevel="0" collapsed="false">
      <c r="A196" s="6" t="s">
        <v>501</v>
      </c>
      <c r="B196" s="6" t="s">
        <v>502</v>
      </c>
      <c r="C196" s="6" t="s">
        <v>75</v>
      </c>
      <c r="D196" s="6" t="n">
        <v>18</v>
      </c>
      <c r="E196" s="6" t="s">
        <v>81</v>
      </c>
      <c r="F196" s="6" t="s">
        <v>82</v>
      </c>
      <c r="G196" s="26" t="n">
        <v>46075</v>
      </c>
      <c r="H196" s="6" t="s">
        <v>78</v>
      </c>
      <c r="I196" s="26" t="n">
        <f aca="false">_xlfn.MINIFS(Transaction!$C$2:$C$8421,Transaction!$B$2:$B$8421,A196)</f>
        <v>46111</v>
      </c>
      <c r="J196" s="26" t="n">
        <f aca="false">_xlfn.MAXIFS(Transaction!$C$2:$C$8421,Transaction!$B$2:$B$8421,A196)</f>
        <v>46111</v>
      </c>
      <c r="K196" s="6" t="n">
        <f aca="false">COUNTIF(Transaction!$B$2:$B$8421,A196)</f>
        <v>1</v>
      </c>
      <c r="L196" s="10" t="n">
        <f aca="false">SUMIF(Transaction!$B$2:$B$8421,A196,Transaction!$H$2:$H$8421)</f>
        <v>2358</v>
      </c>
      <c r="M196" s="6" t="n">
        <f aca="false">Summary!$B$3-J196</f>
        <v>155</v>
      </c>
      <c r="N196" s="6" t="str">
        <f aca="false">IF(K196&gt;1,"Yes","No")</f>
        <v>No</v>
      </c>
      <c r="O196" s="6" t="s">
        <v>49</v>
      </c>
    </row>
    <row r="197" customFormat="false" ht="15" hidden="false" customHeight="false" outlineLevel="0" collapsed="false">
      <c r="A197" s="6" t="s">
        <v>503</v>
      </c>
      <c r="B197" s="6" t="s">
        <v>504</v>
      </c>
      <c r="C197" s="6" t="s">
        <v>75</v>
      </c>
      <c r="D197" s="6" t="n">
        <v>31</v>
      </c>
      <c r="E197" s="6" t="s">
        <v>430</v>
      </c>
      <c r="F197" s="6" t="s">
        <v>99</v>
      </c>
      <c r="G197" s="26" t="n">
        <v>46166</v>
      </c>
      <c r="H197" s="6" t="s">
        <v>123</v>
      </c>
      <c r="I197" s="26" t="n">
        <f aca="false">_xlfn.MINIFS(Transaction!$C$2:$C$8421,Transaction!$B$2:$B$8421,A197)</f>
        <v>46238</v>
      </c>
      <c r="J197" s="26" t="n">
        <f aca="false">_xlfn.MAXIFS(Transaction!$C$2:$C$8421,Transaction!$B$2:$B$8421,A197)</f>
        <v>46238</v>
      </c>
      <c r="K197" s="6" t="n">
        <f aca="false">COUNTIF(Transaction!$B$2:$B$8421,A197)</f>
        <v>1</v>
      </c>
      <c r="L197" s="10" t="n">
        <f aca="false">SUMIF(Transaction!$B$2:$B$8421,A197,Transaction!$H$2:$H$8421)</f>
        <v>3813</v>
      </c>
      <c r="M197" s="6" t="n">
        <f aca="false">Summary!$B$3-J197</f>
        <v>28</v>
      </c>
      <c r="N197" s="6" t="str">
        <f aca="false">IF(K197&gt;1,"Yes","No")</f>
        <v>No</v>
      </c>
      <c r="O197" s="6" t="s">
        <v>47</v>
      </c>
    </row>
    <row r="198" customFormat="false" ht="15" hidden="false" customHeight="false" outlineLevel="0" collapsed="false">
      <c r="A198" s="6" t="s">
        <v>505</v>
      </c>
      <c r="B198" s="6" t="s">
        <v>506</v>
      </c>
      <c r="C198" s="6" t="s">
        <v>85</v>
      </c>
      <c r="D198" s="6" t="n">
        <v>24</v>
      </c>
      <c r="E198" s="6" t="s">
        <v>91</v>
      </c>
      <c r="F198" s="6" t="s">
        <v>77</v>
      </c>
      <c r="G198" s="26" t="n">
        <v>46013</v>
      </c>
      <c r="H198" s="6" t="s">
        <v>88</v>
      </c>
      <c r="I198" s="26" t="n">
        <f aca="false">_xlfn.MINIFS(Transaction!$C$2:$C$8421,Transaction!$B$2:$B$8421,A198)</f>
        <v>46033</v>
      </c>
      <c r="J198" s="26" t="n">
        <f aca="false">_xlfn.MAXIFS(Transaction!$C$2:$C$8421,Transaction!$B$2:$B$8421,A198)</f>
        <v>46033</v>
      </c>
      <c r="K198" s="6" t="n">
        <f aca="false">COUNTIF(Transaction!$B$2:$B$8421,A198)</f>
        <v>1</v>
      </c>
      <c r="L198" s="10" t="n">
        <f aca="false">SUMIF(Transaction!$B$2:$B$8421,A198,Transaction!$H$2:$H$8421)</f>
        <v>779</v>
      </c>
      <c r="M198" s="6" t="n">
        <f aca="false">Summary!$B$3-J198</f>
        <v>233</v>
      </c>
      <c r="N198" s="6" t="str">
        <f aca="false">IF(K198&gt;1,"Yes","No")</f>
        <v>No</v>
      </c>
      <c r="O198" s="6" t="s">
        <v>49</v>
      </c>
    </row>
    <row r="199" customFormat="false" ht="15" hidden="false" customHeight="false" outlineLevel="0" collapsed="false">
      <c r="A199" s="6" t="s">
        <v>507</v>
      </c>
      <c r="B199" s="6" t="s">
        <v>508</v>
      </c>
      <c r="C199" s="6" t="s">
        <v>75</v>
      </c>
      <c r="D199" s="6" t="n">
        <v>31</v>
      </c>
      <c r="E199" s="6" t="s">
        <v>91</v>
      </c>
      <c r="F199" s="6" t="s">
        <v>77</v>
      </c>
      <c r="G199" s="26" t="n">
        <v>46100</v>
      </c>
      <c r="H199" s="6" t="s">
        <v>115</v>
      </c>
      <c r="I199" s="26" t="n">
        <f aca="false">_xlfn.MINIFS(Transaction!$C$2:$C$8421,Transaction!$B$2:$B$8421,A199)</f>
        <v>46179</v>
      </c>
      <c r="J199" s="26" t="n">
        <f aca="false">_xlfn.MAXIFS(Transaction!$C$2:$C$8421,Transaction!$B$2:$B$8421,A199)</f>
        <v>46179</v>
      </c>
      <c r="K199" s="6" t="n">
        <f aca="false">COUNTIF(Transaction!$B$2:$B$8421,A199)</f>
        <v>1</v>
      </c>
      <c r="L199" s="10" t="n">
        <f aca="false">SUMIF(Transaction!$B$2:$B$8421,A199,Transaction!$H$2:$H$8421)</f>
        <v>2752</v>
      </c>
      <c r="M199" s="6" t="n">
        <f aca="false">Summary!$B$3-J199</f>
        <v>87</v>
      </c>
      <c r="N199" s="6" t="str">
        <f aca="false">IF(K199&gt;1,"Yes","No")</f>
        <v>No</v>
      </c>
      <c r="O199" s="6" t="s">
        <v>47</v>
      </c>
    </row>
    <row r="200" customFormat="false" ht="15" hidden="false" customHeight="false" outlineLevel="0" collapsed="false">
      <c r="A200" s="6" t="s">
        <v>509</v>
      </c>
      <c r="B200" s="6" t="s">
        <v>510</v>
      </c>
      <c r="C200" s="6" t="s">
        <v>85</v>
      </c>
      <c r="D200" s="6" t="n">
        <v>36</v>
      </c>
      <c r="E200" s="6" t="s">
        <v>146</v>
      </c>
      <c r="F200" s="6" t="s">
        <v>147</v>
      </c>
      <c r="G200" s="26" t="n">
        <v>46152</v>
      </c>
      <c r="H200" s="6" t="s">
        <v>78</v>
      </c>
      <c r="I200" s="26" t="n">
        <f aca="false">_xlfn.MINIFS(Transaction!$C$2:$C$8421,Transaction!$B$2:$B$8421,A200)</f>
        <v>46168</v>
      </c>
      <c r="J200" s="26" t="n">
        <f aca="false">_xlfn.MAXIFS(Transaction!$C$2:$C$8421,Transaction!$B$2:$B$8421,A200)</f>
        <v>46168</v>
      </c>
      <c r="K200" s="6" t="n">
        <f aca="false">COUNTIF(Transaction!$B$2:$B$8421,A200)</f>
        <v>1</v>
      </c>
      <c r="L200" s="10" t="n">
        <f aca="false">SUMIF(Transaction!$B$2:$B$8421,A200,Transaction!$H$2:$H$8421)</f>
        <v>6516</v>
      </c>
      <c r="M200" s="6" t="n">
        <f aca="false">Summary!$B$3-J200</f>
        <v>98</v>
      </c>
      <c r="N200" s="6" t="str">
        <f aca="false">IF(K200&gt;1,"Yes","No")</f>
        <v>No</v>
      </c>
      <c r="O200" s="6" t="s">
        <v>48</v>
      </c>
    </row>
    <row r="201" customFormat="false" ht="15" hidden="false" customHeight="false" outlineLevel="0" collapsed="false">
      <c r="A201" s="6" t="s">
        <v>511</v>
      </c>
      <c r="B201" s="6" t="s">
        <v>512</v>
      </c>
      <c r="C201" s="6" t="s">
        <v>85</v>
      </c>
      <c r="D201" s="6" t="n">
        <v>38</v>
      </c>
      <c r="E201" s="6" t="s">
        <v>176</v>
      </c>
      <c r="F201" s="6" t="s">
        <v>177</v>
      </c>
      <c r="G201" s="26" t="n">
        <v>46134</v>
      </c>
      <c r="H201" s="6" t="s">
        <v>78</v>
      </c>
      <c r="I201" s="26" t="n">
        <f aca="false">_xlfn.MINIFS(Transaction!$C$2:$C$8421,Transaction!$B$2:$B$8421,A201)</f>
        <v>46143</v>
      </c>
      <c r="J201" s="26" t="n">
        <f aca="false">_xlfn.MAXIFS(Transaction!$C$2:$C$8421,Transaction!$B$2:$B$8421,A201)</f>
        <v>46143</v>
      </c>
      <c r="K201" s="6" t="n">
        <f aca="false">COUNTIF(Transaction!$B$2:$B$8421,A201)</f>
        <v>1</v>
      </c>
      <c r="L201" s="10" t="n">
        <f aca="false">SUMIF(Transaction!$B$2:$B$8421,A201,Transaction!$H$2:$H$8421)</f>
        <v>11794</v>
      </c>
      <c r="M201" s="6" t="n">
        <f aca="false">Summary!$B$3-J201</f>
        <v>123</v>
      </c>
      <c r="N201" s="6" t="str">
        <f aca="false">IF(K201&gt;1,"Yes","No")</f>
        <v>No</v>
      </c>
      <c r="O201" s="6" t="s">
        <v>48</v>
      </c>
    </row>
    <row r="202" customFormat="false" ht="15" hidden="false" customHeight="false" outlineLevel="0" collapsed="false">
      <c r="A202" s="6" t="s">
        <v>513</v>
      </c>
      <c r="B202" s="6" t="s">
        <v>514</v>
      </c>
      <c r="C202" s="6" t="s">
        <v>85</v>
      </c>
      <c r="D202" s="6" t="n">
        <v>18</v>
      </c>
      <c r="E202" s="6" t="s">
        <v>105</v>
      </c>
      <c r="F202" s="6" t="s">
        <v>106</v>
      </c>
      <c r="G202" s="26" t="n">
        <v>45997</v>
      </c>
      <c r="H202" s="6" t="s">
        <v>123</v>
      </c>
      <c r="I202" s="26" t="n">
        <f aca="false">_xlfn.MINIFS(Transaction!$C$2:$C$8421,Transaction!$B$2:$B$8421,A202)</f>
        <v>46024</v>
      </c>
      <c r="J202" s="26" t="n">
        <f aca="false">_xlfn.MAXIFS(Transaction!$C$2:$C$8421,Transaction!$B$2:$B$8421,A202)</f>
        <v>46263</v>
      </c>
      <c r="K202" s="6" t="n">
        <f aca="false">COUNTIF(Transaction!$B$2:$B$8421,A202)</f>
        <v>10</v>
      </c>
      <c r="L202" s="10" t="n">
        <f aca="false">SUMIF(Transaction!$B$2:$B$8421,A202,Transaction!$H$2:$H$8421)</f>
        <v>10764</v>
      </c>
      <c r="M202" s="6" t="n">
        <f aca="false">Summary!$B$3-J202</f>
        <v>3</v>
      </c>
      <c r="N202" s="6" t="str">
        <f aca="false">IF(K202&gt;1,"Yes","No")</f>
        <v>Yes</v>
      </c>
      <c r="O202" s="6" t="s">
        <v>45</v>
      </c>
    </row>
    <row r="203" customFormat="false" ht="15" hidden="false" customHeight="false" outlineLevel="0" collapsed="false">
      <c r="A203" s="6" t="s">
        <v>515</v>
      </c>
      <c r="B203" s="6" t="s">
        <v>516</v>
      </c>
      <c r="C203" s="6" t="s">
        <v>75</v>
      </c>
      <c r="D203" s="6" t="n">
        <v>30</v>
      </c>
      <c r="E203" s="6" t="s">
        <v>91</v>
      </c>
      <c r="F203" s="6" t="s">
        <v>77</v>
      </c>
      <c r="G203" s="26" t="n">
        <v>46030</v>
      </c>
      <c r="H203" s="6" t="s">
        <v>88</v>
      </c>
      <c r="I203" s="26" t="n">
        <f aca="false">_xlfn.MINIFS(Transaction!$C$2:$C$8421,Transaction!$B$2:$B$8421,A203)</f>
        <v>46116</v>
      </c>
      <c r="J203" s="26" t="n">
        <f aca="false">_xlfn.MAXIFS(Transaction!$C$2:$C$8421,Transaction!$B$2:$B$8421,A203)</f>
        <v>46116</v>
      </c>
      <c r="K203" s="6" t="n">
        <f aca="false">COUNTIF(Transaction!$B$2:$B$8421,A203)</f>
        <v>1</v>
      </c>
      <c r="L203" s="10" t="n">
        <f aca="false">SUMIF(Transaction!$B$2:$B$8421,A203,Transaction!$H$2:$H$8421)</f>
        <v>3520</v>
      </c>
      <c r="M203" s="6" t="n">
        <f aca="false">Summary!$B$3-J203</f>
        <v>150</v>
      </c>
      <c r="N203" s="6" t="str">
        <f aca="false">IF(K203&gt;1,"Yes","No")</f>
        <v>No</v>
      </c>
      <c r="O203" s="6" t="s">
        <v>48</v>
      </c>
    </row>
    <row r="204" customFormat="false" ht="15" hidden="false" customHeight="false" outlineLevel="0" collapsed="false">
      <c r="A204" s="6" t="s">
        <v>517</v>
      </c>
      <c r="B204" s="6" t="s">
        <v>518</v>
      </c>
      <c r="C204" s="6" t="s">
        <v>75</v>
      </c>
      <c r="D204" s="6" t="n">
        <v>34</v>
      </c>
      <c r="E204" s="6" t="s">
        <v>95</v>
      </c>
      <c r="F204" s="6" t="s">
        <v>95</v>
      </c>
      <c r="G204" s="26" t="n">
        <v>46056</v>
      </c>
      <c r="H204" s="6" t="s">
        <v>115</v>
      </c>
      <c r="I204" s="26" t="n">
        <f aca="false">_xlfn.MINIFS(Transaction!$C$2:$C$8421,Transaction!$B$2:$B$8421,A204)</f>
        <v>46106</v>
      </c>
      <c r="J204" s="26" t="n">
        <f aca="false">_xlfn.MAXIFS(Transaction!$C$2:$C$8421,Transaction!$B$2:$B$8421,A204)</f>
        <v>46243</v>
      </c>
      <c r="K204" s="6" t="n">
        <f aca="false">COUNTIF(Transaction!$B$2:$B$8421,A204)</f>
        <v>8</v>
      </c>
      <c r="L204" s="10" t="n">
        <f aca="false">SUMIF(Transaction!$B$2:$B$8421,A204,Transaction!$H$2:$H$8421)</f>
        <v>41470</v>
      </c>
      <c r="M204" s="6" t="n">
        <f aca="false">Summary!$B$3-J204</f>
        <v>23</v>
      </c>
      <c r="N204" s="6" t="str">
        <f aca="false">IF(K204&gt;1,"Yes","No")</f>
        <v>Yes</v>
      </c>
      <c r="O204" s="6" t="s">
        <v>45</v>
      </c>
    </row>
    <row r="205" customFormat="false" ht="15" hidden="false" customHeight="false" outlineLevel="0" collapsed="false">
      <c r="A205" s="6" t="s">
        <v>519</v>
      </c>
      <c r="B205" s="6" t="s">
        <v>520</v>
      </c>
      <c r="C205" s="6" t="s">
        <v>75</v>
      </c>
      <c r="D205" s="6" t="n">
        <v>49</v>
      </c>
      <c r="E205" s="6" t="s">
        <v>180</v>
      </c>
      <c r="F205" s="6" t="s">
        <v>181</v>
      </c>
      <c r="G205" s="26" t="n">
        <v>46014</v>
      </c>
      <c r="H205" s="6" t="s">
        <v>78</v>
      </c>
      <c r="I205" s="26" t="n">
        <f aca="false">_xlfn.MINIFS(Transaction!$C$2:$C$8421,Transaction!$B$2:$B$8421,A205)</f>
        <v>46029</v>
      </c>
      <c r="J205" s="26" t="n">
        <f aca="false">_xlfn.MAXIFS(Transaction!$C$2:$C$8421,Transaction!$B$2:$B$8421,A205)</f>
        <v>46220</v>
      </c>
      <c r="K205" s="6" t="n">
        <f aca="false">COUNTIF(Transaction!$B$2:$B$8421,A205)</f>
        <v>8</v>
      </c>
      <c r="L205" s="10" t="n">
        <f aca="false">SUMIF(Transaction!$B$2:$B$8421,A205,Transaction!$H$2:$H$8421)</f>
        <v>15317</v>
      </c>
      <c r="M205" s="6" t="n">
        <f aca="false">Summary!$B$3-J205</f>
        <v>46</v>
      </c>
      <c r="N205" s="6" t="str">
        <f aca="false">IF(K205&gt;1,"Yes","No")</f>
        <v>Yes</v>
      </c>
      <c r="O205" s="6" t="s">
        <v>46</v>
      </c>
    </row>
    <row r="206" customFormat="false" ht="15" hidden="false" customHeight="false" outlineLevel="0" collapsed="false">
      <c r="A206" s="6" t="s">
        <v>521</v>
      </c>
      <c r="B206" s="6" t="s">
        <v>522</v>
      </c>
      <c r="C206" s="6" t="s">
        <v>75</v>
      </c>
      <c r="D206" s="6" t="n">
        <v>30</v>
      </c>
      <c r="E206" s="6" t="s">
        <v>76</v>
      </c>
      <c r="F206" s="6" t="s">
        <v>77</v>
      </c>
      <c r="G206" s="26" t="n">
        <v>46175</v>
      </c>
      <c r="H206" s="6" t="s">
        <v>78</v>
      </c>
      <c r="I206" s="26" t="n">
        <f aca="false">_xlfn.MINIFS(Transaction!$C$2:$C$8421,Transaction!$B$2:$B$8421,A206)</f>
        <v>46259</v>
      </c>
      <c r="J206" s="26" t="n">
        <f aca="false">_xlfn.MAXIFS(Transaction!$C$2:$C$8421,Transaction!$B$2:$B$8421,A206)</f>
        <v>46259</v>
      </c>
      <c r="K206" s="6" t="n">
        <f aca="false">COUNTIF(Transaction!$B$2:$B$8421,A206)</f>
        <v>1</v>
      </c>
      <c r="L206" s="10" t="n">
        <f aca="false">SUMIF(Transaction!$B$2:$B$8421,A206,Transaction!$H$2:$H$8421)</f>
        <v>1062</v>
      </c>
      <c r="M206" s="6" t="n">
        <f aca="false">Summary!$B$3-J206</f>
        <v>7</v>
      </c>
      <c r="N206" s="6" t="str">
        <f aca="false">IF(K206&gt;1,"Yes","No")</f>
        <v>No</v>
      </c>
      <c r="O206" s="6" t="s">
        <v>47</v>
      </c>
    </row>
    <row r="207" customFormat="false" ht="15" hidden="false" customHeight="false" outlineLevel="0" collapsed="false">
      <c r="A207" s="6" t="s">
        <v>523</v>
      </c>
      <c r="B207" s="6" t="s">
        <v>524</v>
      </c>
      <c r="C207" s="6" t="s">
        <v>75</v>
      </c>
      <c r="D207" s="6" t="n">
        <v>18</v>
      </c>
      <c r="E207" s="6" t="s">
        <v>146</v>
      </c>
      <c r="F207" s="6" t="s">
        <v>147</v>
      </c>
      <c r="G207" s="26" t="n">
        <v>46011</v>
      </c>
      <c r="H207" s="6" t="s">
        <v>115</v>
      </c>
      <c r="I207" s="26" t="n">
        <f aca="false">_xlfn.MINIFS(Transaction!$C$2:$C$8421,Transaction!$B$2:$B$8421,A207)</f>
        <v>46028</v>
      </c>
      <c r="J207" s="26" t="n">
        <f aca="false">_xlfn.MAXIFS(Transaction!$C$2:$C$8421,Transaction!$B$2:$B$8421,A207)</f>
        <v>46242</v>
      </c>
      <c r="K207" s="6" t="n">
        <f aca="false">COUNTIF(Transaction!$B$2:$B$8421,A207)</f>
        <v>4</v>
      </c>
      <c r="L207" s="10" t="n">
        <f aca="false">SUMIF(Transaction!$B$2:$B$8421,A207,Transaction!$H$2:$H$8421)</f>
        <v>7385</v>
      </c>
      <c r="M207" s="6" t="n">
        <f aca="false">Summary!$B$3-J207</f>
        <v>24</v>
      </c>
      <c r="N207" s="6" t="str">
        <f aca="false">IF(K207&gt;1,"Yes","No")</f>
        <v>Yes</v>
      </c>
      <c r="O207" s="6" t="s">
        <v>46</v>
      </c>
    </row>
    <row r="208" customFormat="false" ht="15" hidden="false" customHeight="false" outlineLevel="0" collapsed="false">
      <c r="A208" s="6" t="s">
        <v>525</v>
      </c>
      <c r="B208" s="6" t="s">
        <v>526</v>
      </c>
      <c r="C208" s="6" t="s">
        <v>75</v>
      </c>
      <c r="D208" s="6" t="n">
        <v>19</v>
      </c>
      <c r="E208" s="6" t="s">
        <v>95</v>
      </c>
      <c r="F208" s="6" t="s">
        <v>95</v>
      </c>
      <c r="G208" s="26" t="n">
        <v>45982</v>
      </c>
      <c r="H208" s="6" t="s">
        <v>115</v>
      </c>
      <c r="I208" s="26" t="n">
        <f aca="false">_xlfn.MINIFS(Transaction!$C$2:$C$8421,Transaction!$B$2:$B$8421,A208)</f>
        <v>46064</v>
      </c>
      <c r="J208" s="26" t="n">
        <f aca="false">_xlfn.MAXIFS(Transaction!$C$2:$C$8421,Transaction!$B$2:$B$8421,A208)</f>
        <v>46246</v>
      </c>
      <c r="K208" s="6" t="n">
        <f aca="false">COUNTIF(Transaction!$B$2:$B$8421,A208)</f>
        <v>7</v>
      </c>
      <c r="L208" s="10" t="n">
        <f aca="false">SUMIF(Transaction!$B$2:$B$8421,A208,Transaction!$H$2:$H$8421)</f>
        <v>11717</v>
      </c>
      <c r="M208" s="6" t="n">
        <f aca="false">Summary!$B$3-J208</f>
        <v>20</v>
      </c>
      <c r="N208" s="6" t="str">
        <f aca="false">IF(K208&gt;1,"Yes","No")</f>
        <v>Yes</v>
      </c>
      <c r="O208" s="6" t="s">
        <v>46</v>
      </c>
    </row>
    <row r="209" customFormat="false" ht="15" hidden="false" customHeight="false" outlineLevel="0" collapsed="false">
      <c r="A209" s="6" t="s">
        <v>527</v>
      </c>
      <c r="B209" s="6" t="s">
        <v>528</v>
      </c>
      <c r="C209" s="6" t="s">
        <v>75</v>
      </c>
      <c r="D209" s="6" t="n">
        <v>45</v>
      </c>
      <c r="E209" s="6" t="s">
        <v>134</v>
      </c>
      <c r="F209" s="6" t="s">
        <v>135</v>
      </c>
      <c r="G209" s="26" t="n">
        <v>46005</v>
      </c>
      <c r="H209" s="6" t="s">
        <v>115</v>
      </c>
      <c r="I209" s="26" t="n">
        <f aca="false">_xlfn.MINIFS(Transaction!$C$2:$C$8421,Transaction!$B$2:$B$8421,A209)</f>
        <v>46064</v>
      </c>
      <c r="J209" s="26" t="n">
        <f aca="false">_xlfn.MAXIFS(Transaction!$C$2:$C$8421,Transaction!$B$2:$B$8421,A209)</f>
        <v>46257</v>
      </c>
      <c r="K209" s="6" t="n">
        <f aca="false">COUNTIF(Transaction!$B$2:$B$8421,A209)</f>
        <v>5</v>
      </c>
      <c r="L209" s="10" t="n">
        <f aca="false">SUMIF(Transaction!$B$2:$B$8421,A209,Transaction!$H$2:$H$8421)</f>
        <v>8383</v>
      </c>
      <c r="M209" s="6" t="n">
        <f aca="false">Summary!$B$3-J209</f>
        <v>9</v>
      </c>
      <c r="N209" s="6" t="str">
        <f aca="false">IF(K209&gt;1,"Yes","No")</f>
        <v>Yes</v>
      </c>
      <c r="O209" s="6" t="s">
        <v>46</v>
      </c>
    </row>
    <row r="210" customFormat="false" ht="15" hidden="false" customHeight="false" outlineLevel="0" collapsed="false">
      <c r="A210" s="6" t="s">
        <v>529</v>
      </c>
      <c r="B210" s="6" t="s">
        <v>530</v>
      </c>
      <c r="C210" s="6" t="s">
        <v>75</v>
      </c>
      <c r="D210" s="6" t="n">
        <v>20</v>
      </c>
      <c r="E210" s="6" t="s">
        <v>95</v>
      </c>
      <c r="F210" s="6" t="s">
        <v>95</v>
      </c>
      <c r="G210" s="26" t="n">
        <v>45983</v>
      </c>
      <c r="H210" s="6" t="s">
        <v>78</v>
      </c>
      <c r="I210" s="26" t="n">
        <f aca="false">_xlfn.MINIFS(Transaction!$C$2:$C$8421,Transaction!$B$2:$B$8421,A210)</f>
        <v>46053</v>
      </c>
      <c r="J210" s="26" t="n">
        <f aca="false">_xlfn.MAXIFS(Transaction!$C$2:$C$8421,Transaction!$B$2:$B$8421,A210)</f>
        <v>46234</v>
      </c>
      <c r="K210" s="6" t="n">
        <f aca="false">COUNTIF(Transaction!$B$2:$B$8421,A210)</f>
        <v>5</v>
      </c>
      <c r="L210" s="10" t="n">
        <f aca="false">SUMIF(Transaction!$B$2:$B$8421,A210,Transaction!$H$2:$H$8421)</f>
        <v>4442</v>
      </c>
      <c r="M210" s="6" t="n">
        <f aca="false">Summary!$B$3-J210</f>
        <v>32</v>
      </c>
      <c r="N210" s="6" t="str">
        <f aca="false">IF(K210&gt;1,"Yes","No")</f>
        <v>Yes</v>
      </c>
      <c r="O210" s="6" t="s">
        <v>46</v>
      </c>
    </row>
    <row r="211" customFormat="false" ht="15" hidden="false" customHeight="false" outlineLevel="0" collapsed="false">
      <c r="A211" s="6" t="s">
        <v>531</v>
      </c>
      <c r="B211" s="6" t="s">
        <v>532</v>
      </c>
      <c r="C211" s="6" t="s">
        <v>75</v>
      </c>
      <c r="D211" s="6" t="n">
        <v>36</v>
      </c>
      <c r="E211" s="6" t="s">
        <v>176</v>
      </c>
      <c r="F211" s="6" t="s">
        <v>177</v>
      </c>
      <c r="G211" s="26" t="n">
        <v>46027</v>
      </c>
      <c r="H211" s="6" t="s">
        <v>123</v>
      </c>
      <c r="I211" s="26" t="n">
        <f aca="false">_xlfn.MINIFS(Transaction!$C$2:$C$8421,Transaction!$B$2:$B$8421,A211)</f>
        <v>46091</v>
      </c>
      <c r="J211" s="26" t="n">
        <f aca="false">_xlfn.MAXIFS(Transaction!$C$2:$C$8421,Transaction!$B$2:$B$8421,A211)</f>
        <v>46091</v>
      </c>
      <c r="K211" s="6" t="n">
        <f aca="false">COUNTIF(Transaction!$B$2:$B$8421,A211)</f>
        <v>1</v>
      </c>
      <c r="L211" s="10" t="n">
        <f aca="false">SUMIF(Transaction!$B$2:$B$8421,A211,Transaction!$H$2:$H$8421)</f>
        <v>782</v>
      </c>
      <c r="M211" s="6" t="n">
        <f aca="false">Summary!$B$3-J211</f>
        <v>175</v>
      </c>
      <c r="N211" s="6" t="str">
        <f aca="false">IF(K211&gt;1,"Yes","No")</f>
        <v>No</v>
      </c>
      <c r="O211" s="6" t="s">
        <v>49</v>
      </c>
    </row>
    <row r="212" customFormat="false" ht="15" hidden="false" customHeight="false" outlineLevel="0" collapsed="false">
      <c r="A212" s="6" t="s">
        <v>533</v>
      </c>
      <c r="B212" s="6" t="s">
        <v>534</v>
      </c>
      <c r="C212" s="6" t="s">
        <v>75</v>
      </c>
      <c r="D212" s="6" t="n">
        <v>29</v>
      </c>
      <c r="E212" s="6" t="s">
        <v>91</v>
      </c>
      <c r="F212" s="6" t="s">
        <v>77</v>
      </c>
      <c r="G212" s="26" t="n">
        <v>45977</v>
      </c>
      <c r="H212" s="6" t="s">
        <v>78</v>
      </c>
      <c r="I212" s="26" t="n">
        <f aca="false">_xlfn.MINIFS(Transaction!$C$2:$C$8421,Transaction!$B$2:$B$8421,A212)</f>
        <v>46023</v>
      </c>
      <c r="J212" s="26" t="n">
        <f aca="false">_xlfn.MAXIFS(Transaction!$C$2:$C$8421,Transaction!$B$2:$B$8421,A212)</f>
        <v>46263</v>
      </c>
      <c r="K212" s="6" t="n">
        <f aca="false">COUNTIF(Transaction!$B$2:$B$8421,A212)</f>
        <v>12</v>
      </c>
      <c r="L212" s="10" t="n">
        <f aca="false">SUMIF(Transaction!$B$2:$B$8421,A212,Transaction!$H$2:$H$8421)</f>
        <v>29340</v>
      </c>
      <c r="M212" s="6" t="n">
        <f aca="false">Summary!$B$3-J212</f>
        <v>3</v>
      </c>
      <c r="N212" s="6" t="str">
        <f aca="false">IF(K212&gt;1,"Yes","No")</f>
        <v>Yes</v>
      </c>
      <c r="O212" s="6" t="s">
        <v>45</v>
      </c>
    </row>
    <row r="213" customFormat="false" ht="15" hidden="false" customHeight="false" outlineLevel="0" collapsed="false">
      <c r="A213" s="6" t="s">
        <v>535</v>
      </c>
      <c r="B213" s="6" t="s">
        <v>536</v>
      </c>
      <c r="C213" s="6" t="s">
        <v>85</v>
      </c>
      <c r="D213" s="6" t="n">
        <v>25</v>
      </c>
      <c r="E213" s="6" t="s">
        <v>118</v>
      </c>
      <c r="F213" s="6" t="s">
        <v>77</v>
      </c>
      <c r="G213" s="26" t="n">
        <v>46041</v>
      </c>
      <c r="H213" s="6" t="s">
        <v>123</v>
      </c>
      <c r="I213" s="26" t="n">
        <f aca="false">_xlfn.MINIFS(Transaction!$C$2:$C$8421,Transaction!$B$2:$B$8421,A213)</f>
        <v>46119</v>
      </c>
      <c r="J213" s="26" t="n">
        <f aca="false">_xlfn.MAXIFS(Transaction!$C$2:$C$8421,Transaction!$B$2:$B$8421,A213)</f>
        <v>46119</v>
      </c>
      <c r="K213" s="6" t="n">
        <f aca="false">COUNTIF(Transaction!$B$2:$B$8421,A213)</f>
        <v>1</v>
      </c>
      <c r="L213" s="10" t="n">
        <f aca="false">SUMIF(Transaction!$B$2:$B$8421,A213,Transaction!$H$2:$H$8421)</f>
        <v>3262</v>
      </c>
      <c r="M213" s="6" t="n">
        <f aca="false">Summary!$B$3-J213</f>
        <v>147</v>
      </c>
      <c r="N213" s="6" t="str">
        <f aca="false">IF(K213&gt;1,"Yes","No")</f>
        <v>No</v>
      </c>
      <c r="O213" s="6" t="s">
        <v>48</v>
      </c>
    </row>
    <row r="214" customFormat="false" ht="15" hidden="false" customHeight="false" outlineLevel="0" collapsed="false">
      <c r="A214" s="6" t="s">
        <v>537</v>
      </c>
      <c r="B214" s="6" t="s">
        <v>538</v>
      </c>
      <c r="C214" s="6" t="s">
        <v>85</v>
      </c>
      <c r="D214" s="6" t="n">
        <v>25</v>
      </c>
      <c r="E214" s="6" t="s">
        <v>81</v>
      </c>
      <c r="F214" s="6" t="s">
        <v>82</v>
      </c>
      <c r="G214" s="26" t="n">
        <v>46140</v>
      </c>
      <c r="H214" s="6" t="s">
        <v>78</v>
      </c>
      <c r="I214" s="26" t="n">
        <f aca="false">_xlfn.MINIFS(Transaction!$C$2:$C$8421,Transaction!$B$2:$B$8421,A214)</f>
        <v>46182</v>
      </c>
      <c r="J214" s="26" t="n">
        <f aca="false">_xlfn.MAXIFS(Transaction!$C$2:$C$8421,Transaction!$B$2:$B$8421,A214)</f>
        <v>46182</v>
      </c>
      <c r="K214" s="6" t="n">
        <f aca="false">COUNTIF(Transaction!$B$2:$B$8421,A214)</f>
        <v>1</v>
      </c>
      <c r="L214" s="10" t="n">
        <f aca="false">SUMIF(Transaction!$B$2:$B$8421,A214,Transaction!$H$2:$H$8421)</f>
        <v>1143</v>
      </c>
      <c r="M214" s="6" t="n">
        <f aca="false">Summary!$B$3-J214</f>
        <v>84</v>
      </c>
      <c r="N214" s="6" t="str">
        <f aca="false">IF(K214&gt;1,"Yes","No")</f>
        <v>No</v>
      </c>
      <c r="O214" s="6" t="s">
        <v>47</v>
      </c>
    </row>
    <row r="215" customFormat="false" ht="15" hidden="false" customHeight="false" outlineLevel="0" collapsed="false">
      <c r="A215" s="6" t="s">
        <v>539</v>
      </c>
      <c r="B215" s="6" t="s">
        <v>540</v>
      </c>
      <c r="C215" s="6" t="s">
        <v>75</v>
      </c>
      <c r="D215" s="6" t="n">
        <v>41</v>
      </c>
      <c r="E215" s="6" t="s">
        <v>121</v>
      </c>
      <c r="F215" s="6" t="s">
        <v>122</v>
      </c>
      <c r="G215" s="26" t="n">
        <v>45984</v>
      </c>
      <c r="H215" s="6" t="s">
        <v>78</v>
      </c>
      <c r="I215" s="26" t="n">
        <f aca="false">_xlfn.MINIFS(Transaction!$C$2:$C$8421,Transaction!$B$2:$B$8421,A215)</f>
        <v>46028</v>
      </c>
      <c r="J215" s="26" t="n">
        <f aca="false">_xlfn.MAXIFS(Transaction!$C$2:$C$8421,Transaction!$B$2:$B$8421,A215)</f>
        <v>46028</v>
      </c>
      <c r="K215" s="6" t="n">
        <f aca="false">COUNTIF(Transaction!$B$2:$B$8421,A215)</f>
        <v>1</v>
      </c>
      <c r="L215" s="10" t="n">
        <f aca="false">SUMIF(Transaction!$B$2:$B$8421,A215,Transaction!$H$2:$H$8421)</f>
        <v>763</v>
      </c>
      <c r="M215" s="6" t="n">
        <f aca="false">Summary!$B$3-J215</f>
        <v>238</v>
      </c>
      <c r="N215" s="6" t="str">
        <f aca="false">IF(K215&gt;1,"Yes","No")</f>
        <v>No</v>
      </c>
      <c r="O215" s="6" t="s">
        <v>49</v>
      </c>
    </row>
    <row r="216" customFormat="false" ht="15" hidden="false" customHeight="false" outlineLevel="0" collapsed="false">
      <c r="A216" s="6" t="s">
        <v>541</v>
      </c>
      <c r="B216" s="6" t="s">
        <v>542</v>
      </c>
      <c r="C216" s="6" t="s">
        <v>85</v>
      </c>
      <c r="D216" s="6" t="n">
        <v>22</v>
      </c>
      <c r="E216" s="6" t="s">
        <v>95</v>
      </c>
      <c r="F216" s="6" t="s">
        <v>95</v>
      </c>
      <c r="G216" s="26" t="n">
        <v>45988</v>
      </c>
      <c r="H216" s="6" t="s">
        <v>78</v>
      </c>
      <c r="I216" s="26" t="n">
        <f aca="false">_xlfn.MINIFS(Transaction!$C$2:$C$8421,Transaction!$B$2:$B$8421,A216)</f>
        <v>46046</v>
      </c>
      <c r="J216" s="26" t="n">
        <f aca="false">_xlfn.MAXIFS(Transaction!$C$2:$C$8421,Transaction!$B$2:$B$8421,A216)</f>
        <v>46265</v>
      </c>
      <c r="K216" s="6" t="n">
        <f aca="false">COUNTIF(Transaction!$B$2:$B$8421,A216)</f>
        <v>10</v>
      </c>
      <c r="L216" s="10" t="n">
        <f aca="false">SUMIF(Transaction!$B$2:$B$8421,A216,Transaction!$H$2:$H$8421)</f>
        <v>26030</v>
      </c>
      <c r="M216" s="6" t="n">
        <f aca="false">Summary!$B$3-J216</f>
        <v>1</v>
      </c>
      <c r="N216" s="6" t="str">
        <f aca="false">IF(K216&gt;1,"Yes","No")</f>
        <v>Yes</v>
      </c>
      <c r="O216" s="6" t="s">
        <v>45</v>
      </c>
    </row>
    <row r="217" customFormat="false" ht="15" hidden="false" customHeight="false" outlineLevel="0" collapsed="false">
      <c r="A217" s="6" t="s">
        <v>543</v>
      </c>
      <c r="B217" s="6" t="s">
        <v>544</v>
      </c>
      <c r="C217" s="6" t="s">
        <v>75</v>
      </c>
      <c r="D217" s="6" t="n">
        <v>51</v>
      </c>
      <c r="E217" s="6" t="s">
        <v>134</v>
      </c>
      <c r="F217" s="6" t="s">
        <v>135</v>
      </c>
      <c r="G217" s="26" t="n">
        <v>45980</v>
      </c>
      <c r="H217" s="6" t="s">
        <v>115</v>
      </c>
      <c r="I217" s="26" t="n">
        <f aca="false">_xlfn.MINIFS(Transaction!$C$2:$C$8421,Transaction!$B$2:$B$8421,A217)</f>
        <v>46034</v>
      </c>
      <c r="J217" s="26" t="n">
        <f aca="false">_xlfn.MAXIFS(Transaction!$C$2:$C$8421,Transaction!$B$2:$B$8421,A217)</f>
        <v>46256</v>
      </c>
      <c r="K217" s="6" t="n">
        <f aca="false">COUNTIF(Transaction!$B$2:$B$8421,A217)</f>
        <v>10</v>
      </c>
      <c r="L217" s="10" t="n">
        <f aca="false">SUMIF(Transaction!$B$2:$B$8421,A217,Transaction!$H$2:$H$8421)</f>
        <v>12919</v>
      </c>
      <c r="M217" s="6" t="n">
        <f aca="false">Summary!$B$3-J217</f>
        <v>10</v>
      </c>
      <c r="N217" s="6" t="str">
        <f aca="false">IF(K217&gt;1,"Yes","No")</f>
        <v>Yes</v>
      </c>
      <c r="O217" s="6" t="s">
        <v>45</v>
      </c>
    </row>
    <row r="218" customFormat="false" ht="15" hidden="false" customHeight="false" outlineLevel="0" collapsed="false">
      <c r="A218" s="6" t="s">
        <v>545</v>
      </c>
      <c r="B218" s="6" t="s">
        <v>546</v>
      </c>
      <c r="C218" s="6" t="s">
        <v>75</v>
      </c>
      <c r="D218" s="6" t="n">
        <v>19</v>
      </c>
      <c r="E218" s="6" t="s">
        <v>121</v>
      </c>
      <c r="F218" s="6" t="s">
        <v>122</v>
      </c>
      <c r="G218" s="26" t="n">
        <v>46070</v>
      </c>
      <c r="H218" s="6" t="s">
        <v>115</v>
      </c>
      <c r="I218" s="26" t="n">
        <f aca="false">_xlfn.MINIFS(Transaction!$C$2:$C$8421,Transaction!$B$2:$B$8421,A218)</f>
        <v>46146</v>
      </c>
      <c r="J218" s="26" t="n">
        <f aca="false">_xlfn.MAXIFS(Transaction!$C$2:$C$8421,Transaction!$B$2:$B$8421,A218)</f>
        <v>46146</v>
      </c>
      <c r="K218" s="6" t="n">
        <f aca="false">COUNTIF(Transaction!$B$2:$B$8421,A218)</f>
        <v>1</v>
      </c>
      <c r="L218" s="10" t="n">
        <f aca="false">SUMIF(Transaction!$B$2:$B$8421,A218,Transaction!$H$2:$H$8421)</f>
        <v>1954</v>
      </c>
      <c r="M218" s="6" t="n">
        <f aca="false">Summary!$B$3-J218</f>
        <v>120</v>
      </c>
      <c r="N218" s="6" t="str">
        <f aca="false">IF(K218&gt;1,"Yes","No")</f>
        <v>No</v>
      </c>
      <c r="O218" s="6" t="s">
        <v>48</v>
      </c>
    </row>
    <row r="219" customFormat="false" ht="15" hidden="false" customHeight="false" outlineLevel="0" collapsed="false">
      <c r="A219" s="6" t="s">
        <v>547</v>
      </c>
      <c r="B219" s="6" t="s">
        <v>548</v>
      </c>
      <c r="C219" s="6" t="s">
        <v>85</v>
      </c>
      <c r="D219" s="6" t="n">
        <v>37</v>
      </c>
      <c r="E219" s="6" t="s">
        <v>237</v>
      </c>
      <c r="F219" s="6" t="s">
        <v>87</v>
      </c>
      <c r="G219" s="26" t="n">
        <v>46018</v>
      </c>
      <c r="H219" s="6" t="s">
        <v>123</v>
      </c>
      <c r="I219" s="26" t="n">
        <f aca="false">_xlfn.MINIFS(Transaction!$C$2:$C$8421,Transaction!$B$2:$B$8421,A219)</f>
        <v>46032</v>
      </c>
      <c r="J219" s="26" t="n">
        <f aca="false">_xlfn.MAXIFS(Transaction!$C$2:$C$8421,Transaction!$B$2:$B$8421,A219)</f>
        <v>46032</v>
      </c>
      <c r="K219" s="6" t="n">
        <f aca="false">COUNTIF(Transaction!$B$2:$B$8421,A219)</f>
        <v>1</v>
      </c>
      <c r="L219" s="10" t="n">
        <f aca="false">SUMIF(Transaction!$B$2:$B$8421,A219,Transaction!$H$2:$H$8421)</f>
        <v>2349</v>
      </c>
      <c r="M219" s="6" t="n">
        <f aca="false">Summary!$B$3-J219</f>
        <v>234</v>
      </c>
      <c r="N219" s="6" t="str">
        <f aca="false">IF(K219&gt;1,"Yes","No")</f>
        <v>No</v>
      </c>
      <c r="O219" s="6" t="s">
        <v>49</v>
      </c>
    </row>
    <row r="220" customFormat="false" ht="15" hidden="false" customHeight="false" outlineLevel="0" collapsed="false">
      <c r="A220" s="6" t="s">
        <v>549</v>
      </c>
      <c r="B220" s="6" t="s">
        <v>550</v>
      </c>
      <c r="C220" s="6" t="s">
        <v>85</v>
      </c>
      <c r="D220" s="6" t="n">
        <v>37</v>
      </c>
      <c r="E220" s="6" t="s">
        <v>76</v>
      </c>
      <c r="F220" s="6" t="s">
        <v>77</v>
      </c>
      <c r="G220" s="26" t="n">
        <v>46026</v>
      </c>
      <c r="H220" s="6" t="s">
        <v>78</v>
      </c>
      <c r="I220" s="26" t="n">
        <f aca="false">_xlfn.MINIFS(Transaction!$C$2:$C$8421,Transaction!$B$2:$B$8421,A220)</f>
        <v>46050</v>
      </c>
      <c r="J220" s="26" t="n">
        <f aca="false">_xlfn.MAXIFS(Transaction!$C$2:$C$8421,Transaction!$B$2:$B$8421,A220)</f>
        <v>46261</v>
      </c>
      <c r="K220" s="6" t="n">
        <f aca="false">COUNTIF(Transaction!$B$2:$B$8421,A220)</f>
        <v>8</v>
      </c>
      <c r="L220" s="10" t="n">
        <f aca="false">SUMIF(Transaction!$B$2:$B$8421,A220,Transaction!$H$2:$H$8421)</f>
        <v>19868</v>
      </c>
      <c r="M220" s="6" t="n">
        <f aca="false">Summary!$B$3-J220</f>
        <v>5</v>
      </c>
      <c r="N220" s="6" t="str">
        <f aca="false">IF(K220&gt;1,"Yes","No")</f>
        <v>Yes</v>
      </c>
      <c r="O220" s="6" t="s">
        <v>45</v>
      </c>
    </row>
    <row r="221" customFormat="false" ht="15" hidden="false" customHeight="false" outlineLevel="0" collapsed="false">
      <c r="A221" s="6" t="s">
        <v>551</v>
      </c>
      <c r="B221" s="6" t="s">
        <v>552</v>
      </c>
      <c r="C221" s="6" t="s">
        <v>75</v>
      </c>
      <c r="D221" s="6" t="n">
        <v>28</v>
      </c>
      <c r="E221" s="6" t="s">
        <v>81</v>
      </c>
      <c r="F221" s="6" t="s">
        <v>82</v>
      </c>
      <c r="G221" s="26" t="n">
        <v>46052</v>
      </c>
      <c r="H221" s="6" t="s">
        <v>88</v>
      </c>
      <c r="I221" s="26" t="n">
        <f aca="false">_xlfn.MINIFS(Transaction!$C$2:$C$8421,Transaction!$B$2:$B$8421,A221)</f>
        <v>46136</v>
      </c>
      <c r="J221" s="26" t="n">
        <f aca="false">_xlfn.MAXIFS(Transaction!$C$2:$C$8421,Transaction!$B$2:$B$8421,A221)</f>
        <v>46248</v>
      </c>
      <c r="K221" s="6" t="n">
        <f aca="false">COUNTIF(Transaction!$B$2:$B$8421,A221)</f>
        <v>3</v>
      </c>
      <c r="L221" s="10" t="n">
        <f aca="false">SUMIF(Transaction!$B$2:$B$8421,A221,Transaction!$H$2:$H$8421)</f>
        <v>3704</v>
      </c>
      <c r="M221" s="6" t="n">
        <f aca="false">Summary!$B$3-J221</f>
        <v>18</v>
      </c>
      <c r="N221" s="6" t="str">
        <f aca="false">IF(K221&gt;1,"Yes","No")</f>
        <v>Yes</v>
      </c>
      <c r="O221" s="6" t="s">
        <v>46</v>
      </c>
    </row>
    <row r="222" customFormat="false" ht="15" hidden="false" customHeight="false" outlineLevel="0" collapsed="false">
      <c r="A222" s="6" t="s">
        <v>553</v>
      </c>
      <c r="B222" s="6" t="s">
        <v>554</v>
      </c>
      <c r="C222" s="6" t="s">
        <v>75</v>
      </c>
      <c r="D222" s="6" t="n">
        <v>21</v>
      </c>
      <c r="E222" s="6" t="s">
        <v>76</v>
      </c>
      <c r="F222" s="6" t="s">
        <v>77</v>
      </c>
      <c r="G222" s="26" t="n">
        <v>46028</v>
      </c>
      <c r="H222" s="6" t="s">
        <v>115</v>
      </c>
      <c r="I222" s="26" t="n">
        <f aca="false">_xlfn.MINIFS(Transaction!$C$2:$C$8421,Transaction!$B$2:$B$8421,A222)</f>
        <v>46043</v>
      </c>
      <c r="J222" s="26" t="n">
        <f aca="false">_xlfn.MAXIFS(Transaction!$C$2:$C$8421,Transaction!$B$2:$B$8421,A222)</f>
        <v>46043</v>
      </c>
      <c r="K222" s="6" t="n">
        <f aca="false">COUNTIF(Transaction!$B$2:$B$8421,A222)</f>
        <v>1</v>
      </c>
      <c r="L222" s="10" t="n">
        <f aca="false">SUMIF(Transaction!$B$2:$B$8421,A222,Transaction!$H$2:$H$8421)</f>
        <v>1392</v>
      </c>
      <c r="M222" s="6" t="n">
        <f aca="false">Summary!$B$3-J222</f>
        <v>223</v>
      </c>
      <c r="N222" s="6" t="str">
        <f aca="false">IF(K222&gt;1,"Yes","No")</f>
        <v>No</v>
      </c>
      <c r="O222" s="6" t="s">
        <v>49</v>
      </c>
    </row>
    <row r="223" customFormat="false" ht="15" hidden="false" customHeight="false" outlineLevel="0" collapsed="false">
      <c r="A223" s="6" t="s">
        <v>555</v>
      </c>
      <c r="B223" s="6" t="s">
        <v>556</v>
      </c>
      <c r="C223" s="6" t="s">
        <v>75</v>
      </c>
      <c r="D223" s="6" t="n">
        <v>44</v>
      </c>
      <c r="E223" s="6" t="s">
        <v>81</v>
      </c>
      <c r="F223" s="6" t="s">
        <v>82</v>
      </c>
      <c r="G223" s="26" t="n">
        <v>46048</v>
      </c>
      <c r="H223" s="6" t="s">
        <v>123</v>
      </c>
      <c r="I223" s="26" t="n">
        <f aca="false">_xlfn.MINIFS(Transaction!$C$2:$C$8421,Transaction!$B$2:$B$8421,A223)</f>
        <v>46127</v>
      </c>
      <c r="J223" s="26" t="n">
        <f aca="false">_xlfn.MAXIFS(Transaction!$C$2:$C$8421,Transaction!$B$2:$B$8421,A223)</f>
        <v>46127</v>
      </c>
      <c r="K223" s="6" t="n">
        <f aca="false">COUNTIF(Transaction!$B$2:$B$8421,A223)</f>
        <v>1</v>
      </c>
      <c r="L223" s="10" t="n">
        <f aca="false">SUMIF(Transaction!$B$2:$B$8421,A223,Transaction!$H$2:$H$8421)</f>
        <v>782</v>
      </c>
      <c r="M223" s="6" t="n">
        <f aca="false">Summary!$B$3-J223</f>
        <v>139</v>
      </c>
      <c r="N223" s="6" t="str">
        <f aca="false">IF(K223&gt;1,"Yes","No")</f>
        <v>No</v>
      </c>
      <c r="O223" s="6" t="s">
        <v>48</v>
      </c>
    </row>
    <row r="224" customFormat="false" ht="15" hidden="false" customHeight="false" outlineLevel="0" collapsed="false">
      <c r="A224" s="6" t="s">
        <v>557</v>
      </c>
      <c r="B224" s="6" t="s">
        <v>558</v>
      </c>
      <c r="C224" s="6" t="s">
        <v>85</v>
      </c>
      <c r="D224" s="6" t="n">
        <v>33</v>
      </c>
      <c r="E224" s="6" t="s">
        <v>76</v>
      </c>
      <c r="F224" s="6" t="s">
        <v>77</v>
      </c>
      <c r="G224" s="26" t="n">
        <v>46202</v>
      </c>
      <c r="H224" s="6" t="s">
        <v>78</v>
      </c>
      <c r="I224" s="26" t="n">
        <f aca="false">_xlfn.MINIFS(Transaction!$C$2:$C$8421,Transaction!$B$2:$B$8421,A224)</f>
        <v>46216</v>
      </c>
      <c r="J224" s="26" t="n">
        <f aca="false">_xlfn.MAXIFS(Transaction!$C$2:$C$8421,Transaction!$B$2:$B$8421,A224)</f>
        <v>46216</v>
      </c>
      <c r="K224" s="6" t="n">
        <f aca="false">COUNTIF(Transaction!$B$2:$B$8421,A224)</f>
        <v>1</v>
      </c>
      <c r="L224" s="10" t="n">
        <f aca="false">SUMIF(Transaction!$B$2:$B$8421,A224,Transaction!$H$2:$H$8421)</f>
        <v>1116</v>
      </c>
      <c r="M224" s="6" t="n">
        <f aca="false">Summary!$B$3-J224</f>
        <v>50</v>
      </c>
      <c r="N224" s="6" t="str">
        <f aca="false">IF(K224&gt;1,"Yes","No")</f>
        <v>No</v>
      </c>
      <c r="O224" s="6" t="s">
        <v>47</v>
      </c>
    </row>
    <row r="225" customFormat="false" ht="15" hidden="false" customHeight="false" outlineLevel="0" collapsed="false">
      <c r="A225" s="6" t="s">
        <v>559</v>
      </c>
      <c r="B225" s="6" t="s">
        <v>560</v>
      </c>
      <c r="C225" s="6" t="s">
        <v>85</v>
      </c>
      <c r="D225" s="6" t="n">
        <v>23</v>
      </c>
      <c r="E225" s="6" t="s">
        <v>95</v>
      </c>
      <c r="F225" s="6" t="s">
        <v>95</v>
      </c>
      <c r="G225" s="26" t="n">
        <v>46199</v>
      </c>
      <c r="H225" s="6" t="s">
        <v>102</v>
      </c>
      <c r="I225" s="26" t="n">
        <f aca="false">_xlfn.MINIFS(Transaction!$C$2:$C$8421,Transaction!$B$2:$B$8421,A225)</f>
        <v>46249</v>
      </c>
      <c r="J225" s="26" t="n">
        <f aca="false">_xlfn.MAXIFS(Transaction!$C$2:$C$8421,Transaction!$B$2:$B$8421,A225)</f>
        <v>46249</v>
      </c>
      <c r="K225" s="6" t="n">
        <f aca="false">COUNTIF(Transaction!$B$2:$B$8421,A225)</f>
        <v>1</v>
      </c>
      <c r="L225" s="10" t="n">
        <f aca="false">SUMIF(Transaction!$B$2:$B$8421,A225,Transaction!$H$2:$H$8421)</f>
        <v>495</v>
      </c>
      <c r="M225" s="6" t="n">
        <f aca="false">Summary!$B$3-J225</f>
        <v>17</v>
      </c>
      <c r="N225" s="6" t="str">
        <f aca="false">IF(K225&gt;1,"Yes","No")</f>
        <v>No</v>
      </c>
      <c r="O225" s="6" t="s">
        <v>47</v>
      </c>
    </row>
    <row r="226" customFormat="false" ht="15" hidden="false" customHeight="false" outlineLevel="0" collapsed="false">
      <c r="A226" s="6" t="s">
        <v>561</v>
      </c>
      <c r="B226" s="6" t="s">
        <v>562</v>
      </c>
      <c r="C226" s="6" t="s">
        <v>85</v>
      </c>
      <c r="D226" s="6" t="n">
        <v>41</v>
      </c>
      <c r="E226" s="6" t="s">
        <v>126</v>
      </c>
      <c r="F226" s="6" t="s">
        <v>127</v>
      </c>
      <c r="G226" s="26" t="n">
        <v>46174</v>
      </c>
      <c r="H226" s="6" t="s">
        <v>115</v>
      </c>
      <c r="I226" s="26" t="n">
        <f aca="false">_xlfn.MINIFS(Transaction!$C$2:$C$8421,Transaction!$B$2:$B$8421,A226)</f>
        <v>46210</v>
      </c>
      <c r="J226" s="26" t="n">
        <f aca="false">_xlfn.MAXIFS(Transaction!$C$2:$C$8421,Transaction!$B$2:$B$8421,A226)</f>
        <v>46210</v>
      </c>
      <c r="K226" s="6" t="n">
        <f aca="false">COUNTIF(Transaction!$B$2:$B$8421,A226)</f>
        <v>1</v>
      </c>
      <c r="L226" s="10" t="n">
        <f aca="false">SUMIF(Transaction!$B$2:$B$8421,A226,Transaction!$H$2:$H$8421)</f>
        <v>1888</v>
      </c>
      <c r="M226" s="6" t="n">
        <f aca="false">Summary!$B$3-J226</f>
        <v>56</v>
      </c>
      <c r="N226" s="6" t="str">
        <f aca="false">IF(K226&gt;1,"Yes","No")</f>
        <v>No</v>
      </c>
      <c r="O226" s="6" t="s">
        <v>47</v>
      </c>
    </row>
    <row r="227" customFormat="false" ht="15" hidden="false" customHeight="false" outlineLevel="0" collapsed="false">
      <c r="A227" s="6" t="s">
        <v>563</v>
      </c>
      <c r="B227" s="6" t="s">
        <v>564</v>
      </c>
      <c r="C227" s="6" t="s">
        <v>85</v>
      </c>
      <c r="D227" s="6" t="n">
        <v>25</v>
      </c>
      <c r="E227" s="6" t="s">
        <v>76</v>
      </c>
      <c r="F227" s="6" t="s">
        <v>77</v>
      </c>
      <c r="G227" s="26" t="n">
        <v>45972</v>
      </c>
      <c r="H227" s="6" t="s">
        <v>102</v>
      </c>
      <c r="I227" s="26" t="n">
        <f aca="false">_xlfn.MINIFS(Transaction!$C$2:$C$8421,Transaction!$B$2:$B$8421,A227)</f>
        <v>46023</v>
      </c>
      <c r="J227" s="26" t="n">
        <f aca="false">_xlfn.MAXIFS(Transaction!$C$2:$C$8421,Transaction!$B$2:$B$8421,A227)</f>
        <v>46255</v>
      </c>
      <c r="K227" s="6" t="n">
        <f aca="false">COUNTIF(Transaction!$B$2:$B$8421,A227)</f>
        <v>10</v>
      </c>
      <c r="L227" s="10" t="n">
        <f aca="false">SUMIF(Transaction!$B$2:$B$8421,A227,Transaction!$H$2:$H$8421)</f>
        <v>28123</v>
      </c>
      <c r="M227" s="6" t="n">
        <f aca="false">Summary!$B$3-J227</f>
        <v>11</v>
      </c>
      <c r="N227" s="6" t="str">
        <f aca="false">IF(K227&gt;1,"Yes","No")</f>
        <v>Yes</v>
      </c>
      <c r="O227" s="6" t="s">
        <v>45</v>
      </c>
    </row>
    <row r="228" customFormat="false" ht="15" hidden="false" customHeight="false" outlineLevel="0" collapsed="false">
      <c r="A228" s="6" t="s">
        <v>565</v>
      </c>
      <c r="B228" s="6" t="s">
        <v>566</v>
      </c>
      <c r="C228" s="6" t="s">
        <v>75</v>
      </c>
      <c r="D228" s="6" t="n">
        <v>34</v>
      </c>
      <c r="E228" s="6" t="s">
        <v>76</v>
      </c>
      <c r="F228" s="6" t="s">
        <v>77</v>
      </c>
      <c r="G228" s="26" t="n">
        <v>45960</v>
      </c>
      <c r="H228" s="6" t="s">
        <v>115</v>
      </c>
      <c r="I228" s="26" t="n">
        <f aca="false">_xlfn.MINIFS(Transaction!$C$2:$C$8421,Transaction!$B$2:$B$8421,A228)</f>
        <v>46028</v>
      </c>
      <c r="J228" s="26" t="n">
        <f aca="false">_xlfn.MAXIFS(Transaction!$C$2:$C$8421,Transaction!$B$2:$B$8421,A228)</f>
        <v>46261</v>
      </c>
      <c r="K228" s="6" t="n">
        <f aca="false">COUNTIF(Transaction!$B$2:$B$8421,A228)</f>
        <v>8</v>
      </c>
      <c r="L228" s="10" t="n">
        <f aca="false">SUMIF(Transaction!$B$2:$B$8421,A228,Transaction!$H$2:$H$8421)</f>
        <v>12434</v>
      </c>
      <c r="M228" s="6" t="n">
        <f aca="false">Summary!$B$3-J228</f>
        <v>5</v>
      </c>
      <c r="N228" s="6" t="str">
        <f aca="false">IF(K228&gt;1,"Yes","No")</f>
        <v>Yes</v>
      </c>
      <c r="O228" s="6" t="s">
        <v>45</v>
      </c>
    </row>
    <row r="229" customFormat="false" ht="15" hidden="false" customHeight="false" outlineLevel="0" collapsed="false">
      <c r="A229" s="6" t="s">
        <v>567</v>
      </c>
      <c r="B229" s="6" t="s">
        <v>568</v>
      </c>
      <c r="C229" s="6" t="s">
        <v>75</v>
      </c>
      <c r="D229" s="6" t="n">
        <v>23</v>
      </c>
      <c r="E229" s="6" t="s">
        <v>86</v>
      </c>
      <c r="F229" s="6" t="s">
        <v>87</v>
      </c>
      <c r="G229" s="26" t="n">
        <v>46007</v>
      </c>
      <c r="H229" s="6" t="s">
        <v>88</v>
      </c>
      <c r="I229" s="26" t="n">
        <f aca="false">_xlfn.MINIFS(Transaction!$C$2:$C$8421,Transaction!$B$2:$B$8421,A229)</f>
        <v>46077</v>
      </c>
      <c r="J229" s="26" t="n">
        <f aca="false">_xlfn.MAXIFS(Transaction!$C$2:$C$8421,Transaction!$B$2:$B$8421,A229)</f>
        <v>46258</v>
      </c>
      <c r="K229" s="6" t="n">
        <f aca="false">COUNTIF(Transaction!$B$2:$B$8421,A229)</f>
        <v>8</v>
      </c>
      <c r="L229" s="10" t="n">
        <f aca="false">SUMIF(Transaction!$B$2:$B$8421,A229,Transaction!$H$2:$H$8421)</f>
        <v>23110</v>
      </c>
      <c r="M229" s="6" t="n">
        <f aca="false">Summary!$B$3-J229</f>
        <v>8</v>
      </c>
      <c r="N229" s="6" t="str">
        <f aca="false">IF(K229&gt;1,"Yes","No")</f>
        <v>Yes</v>
      </c>
      <c r="O229" s="6" t="s">
        <v>45</v>
      </c>
    </row>
    <row r="230" customFormat="false" ht="15" hidden="false" customHeight="false" outlineLevel="0" collapsed="false">
      <c r="A230" s="6" t="s">
        <v>569</v>
      </c>
      <c r="B230" s="6" t="s">
        <v>570</v>
      </c>
      <c r="C230" s="6" t="s">
        <v>75</v>
      </c>
      <c r="D230" s="6" t="n">
        <v>47</v>
      </c>
      <c r="E230" s="6" t="s">
        <v>118</v>
      </c>
      <c r="F230" s="6" t="s">
        <v>77</v>
      </c>
      <c r="G230" s="26" t="n">
        <v>46120</v>
      </c>
      <c r="H230" s="6" t="s">
        <v>78</v>
      </c>
      <c r="I230" s="26" t="n">
        <f aca="false">_xlfn.MINIFS(Transaction!$C$2:$C$8421,Transaction!$B$2:$B$8421,A230)</f>
        <v>46123</v>
      </c>
      <c r="J230" s="26" t="n">
        <f aca="false">_xlfn.MAXIFS(Transaction!$C$2:$C$8421,Transaction!$B$2:$B$8421,A230)</f>
        <v>46263</v>
      </c>
      <c r="K230" s="6" t="n">
        <f aca="false">COUNTIF(Transaction!$B$2:$B$8421,A230)</f>
        <v>8</v>
      </c>
      <c r="L230" s="10" t="n">
        <f aca="false">SUMIF(Transaction!$B$2:$B$8421,A230,Transaction!$H$2:$H$8421)</f>
        <v>13114</v>
      </c>
      <c r="M230" s="6" t="n">
        <f aca="false">Summary!$B$3-J230</f>
        <v>3</v>
      </c>
      <c r="N230" s="6" t="str">
        <f aca="false">IF(K230&gt;1,"Yes","No")</f>
        <v>Yes</v>
      </c>
      <c r="O230" s="6" t="s">
        <v>45</v>
      </c>
    </row>
    <row r="231" customFormat="false" ht="15" hidden="false" customHeight="false" outlineLevel="0" collapsed="false">
      <c r="A231" s="6" t="s">
        <v>571</v>
      </c>
      <c r="B231" s="6" t="s">
        <v>572</v>
      </c>
      <c r="C231" s="6" t="s">
        <v>75</v>
      </c>
      <c r="D231" s="6" t="n">
        <v>26</v>
      </c>
      <c r="E231" s="6" t="s">
        <v>134</v>
      </c>
      <c r="F231" s="6" t="s">
        <v>135</v>
      </c>
      <c r="G231" s="26" t="n">
        <v>46065</v>
      </c>
      <c r="H231" s="6" t="s">
        <v>92</v>
      </c>
      <c r="I231" s="26" t="n">
        <f aca="false">_xlfn.MINIFS(Transaction!$C$2:$C$8421,Transaction!$B$2:$B$8421,A231)</f>
        <v>46076</v>
      </c>
      <c r="J231" s="26" t="n">
        <f aca="false">_xlfn.MAXIFS(Transaction!$C$2:$C$8421,Transaction!$B$2:$B$8421,A231)</f>
        <v>46181</v>
      </c>
      <c r="K231" s="6" t="n">
        <f aca="false">COUNTIF(Transaction!$B$2:$B$8421,A231)</f>
        <v>5</v>
      </c>
      <c r="L231" s="10" t="n">
        <f aca="false">SUMIF(Transaction!$B$2:$B$8421,A231,Transaction!$H$2:$H$8421)</f>
        <v>22509</v>
      </c>
      <c r="M231" s="6" t="n">
        <f aca="false">Summary!$B$3-J231</f>
        <v>85</v>
      </c>
      <c r="N231" s="6" t="str">
        <f aca="false">IF(K231&gt;1,"Yes","No")</f>
        <v>Yes</v>
      </c>
      <c r="O231" s="6" t="s">
        <v>46</v>
      </c>
    </row>
    <row r="232" customFormat="false" ht="15" hidden="false" customHeight="false" outlineLevel="0" collapsed="false">
      <c r="A232" s="6" t="s">
        <v>573</v>
      </c>
      <c r="B232" s="6" t="s">
        <v>574</v>
      </c>
      <c r="C232" s="6" t="s">
        <v>75</v>
      </c>
      <c r="D232" s="6" t="n">
        <v>51</v>
      </c>
      <c r="E232" s="6" t="s">
        <v>118</v>
      </c>
      <c r="F232" s="6" t="s">
        <v>77</v>
      </c>
      <c r="G232" s="26" t="n">
        <v>46102</v>
      </c>
      <c r="H232" s="6" t="s">
        <v>78</v>
      </c>
      <c r="I232" s="26" t="n">
        <f aca="false">_xlfn.MINIFS(Transaction!$C$2:$C$8421,Transaction!$B$2:$B$8421,A232)</f>
        <v>46117</v>
      </c>
      <c r="J232" s="26" t="n">
        <f aca="false">_xlfn.MAXIFS(Transaction!$C$2:$C$8421,Transaction!$B$2:$B$8421,A232)</f>
        <v>46217</v>
      </c>
      <c r="K232" s="6" t="n">
        <f aca="false">COUNTIF(Transaction!$B$2:$B$8421,A232)</f>
        <v>5</v>
      </c>
      <c r="L232" s="10" t="n">
        <f aca="false">SUMIF(Transaction!$B$2:$B$8421,A232,Transaction!$H$2:$H$8421)</f>
        <v>10360</v>
      </c>
      <c r="M232" s="6" t="n">
        <f aca="false">Summary!$B$3-J232</f>
        <v>49</v>
      </c>
      <c r="N232" s="6" t="str">
        <f aca="false">IF(K232&gt;1,"Yes","No")</f>
        <v>Yes</v>
      </c>
      <c r="O232" s="6" t="s">
        <v>46</v>
      </c>
    </row>
    <row r="233" customFormat="false" ht="15" hidden="false" customHeight="false" outlineLevel="0" collapsed="false">
      <c r="A233" s="6" t="s">
        <v>575</v>
      </c>
      <c r="B233" s="6" t="s">
        <v>576</v>
      </c>
      <c r="C233" s="6" t="s">
        <v>75</v>
      </c>
      <c r="D233" s="6" t="n">
        <v>32</v>
      </c>
      <c r="E233" s="6" t="s">
        <v>86</v>
      </c>
      <c r="F233" s="6" t="s">
        <v>87</v>
      </c>
      <c r="G233" s="26" t="n">
        <v>46131</v>
      </c>
      <c r="H233" s="6" t="s">
        <v>78</v>
      </c>
      <c r="I233" s="26" t="n">
        <f aca="false">_xlfn.MINIFS(Transaction!$C$2:$C$8421,Transaction!$B$2:$B$8421,A233)</f>
        <v>46179</v>
      </c>
      <c r="J233" s="26" t="n">
        <f aca="false">_xlfn.MAXIFS(Transaction!$C$2:$C$8421,Transaction!$B$2:$B$8421,A233)</f>
        <v>46179</v>
      </c>
      <c r="K233" s="6" t="n">
        <f aca="false">COUNTIF(Transaction!$B$2:$B$8421,A233)</f>
        <v>1</v>
      </c>
      <c r="L233" s="10" t="n">
        <f aca="false">SUMIF(Transaction!$B$2:$B$8421,A233,Transaction!$H$2:$H$8421)</f>
        <v>1954</v>
      </c>
      <c r="M233" s="6" t="n">
        <f aca="false">Summary!$B$3-J233</f>
        <v>87</v>
      </c>
      <c r="N233" s="6" t="str">
        <f aca="false">IF(K233&gt;1,"Yes","No")</f>
        <v>No</v>
      </c>
      <c r="O233" s="6" t="s">
        <v>47</v>
      </c>
    </row>
    <row r="234" customFormat="false" ht="15" hidden="false" customHeight="false" outlineLevel="0" collapsed="false">
      <c r="A234" s="6" t="s">
        <v>577</v>
      </c>
      <c r="B234" s="6" t="s">
        <v>578</v>
      </c>
      <c r="C234" s="6" t="s">
        <v>75</v>
      </c>
      <c r="D234" s="6" t="n">
        <v>27</v>
      </c>
      <c r="E234" s="6" t="s">
        <v>81</v>
      </c>
      <c r="F234" s="6" t="s">
        <v>82</v>
      </c>
      <c r="G234" s="26" t="n">
        <v>46171</v>
      </c>
      <c r="H234" s="6" t="s">
        <v>78</v>
      </c>
      <c r="I234" s="26" t="n">
        <f aca="false">_xlfn.MINIFS(Transaction!$C$2:$C$8421,Transaction!$B$2:$B$8421,A234)</f>
        <v>46240</v>
      </c>
      <c r="J234" s="26" t="n">
        <f aca="false">_xlfn.MAXIFS(Transaction!$C$2:$C$8421,Transaction!$B$2:$B$8421,A234)</f>
        <v>46240</v>
      </c>
      <c r="K234" s="6" t="n">
        <f aca="false">COUNTIF(Transaction!$B$2:$B$8421,A234)</f>
        <v>1</v>
      </c>
      <c r="L234" s="10" t="n">
        <f aca="false">SUMIF(Transaction!$B$2:$B$8421,A234,Transaction!$H$2:$H$8421)</f>
        <v>1176</v>
      </c>
      <c r="M234" s="6" t="n">
        <f aca="false">Summary!$B$3-J234</f>
        <v>26</v>
      </c>
      <c r="N234" s="6" t="str">
        <f aca="false">IF(K234&gt;1,"Yes","No")</f>
        <v>No</v>
      </c>
      <c r="O234" s="6" t="s">
        <v>47</v>
      </c>
    </row>
    <row r="235" customFormat="false" ht="15" hidden="false" customHeight="false" outlineLevel="0" collapsed="false">
      <c r="A235" s="6" t="s">
        <v>579</v>
      </c>
      <c r="B235" s="6" t="s">
        <v>580</v>
      </c>
      <c r="C235" s="6" t="s">
        <v>75</v>
      </c>
      <c r="D235" s="6" t="n">
        <v>19</v>
      </c>
      <c r="E235" s="6" t="s">
        <v>146</v>
      </c>
      <c r="F235" s="6" t="s">
        <v>147</v>
      </c>
      <c r="G235" s="26" t="n">
        <v>46128</v>
      </c>
      <c r="H235" s="6" t="s">
        <v>115</v>
      </c>
      <c r="I235" s="26" t="n">
        <f aca="false">_xlfn.MINIFS(Transaction!$C$2:$C$8421,Transaction!$B$2:$B$8421,A235)</f>
        <v>46187</v>
      </c>
      <c r="J235" s="26" t="n">
        <f aca="false">_xlfn.MAXIFS(Transaction!$C$2:$C$8421,Transaction!$B$2:$B$8421,A235)</f>
        <v>46187</v>
      </c>
      <c r="K235" s="6" t="n">
        <f aca="false">COUNTIF(Transaction!$B$2:$B$8421,A235)</f>
        <v>1</v>
      </c>
      <c r="L235" s="10" t="n">
        <f aca="false">SUMIF(Transaction!$B$2:$B$8421,A235,Transaction!$H$2:$H$8421)</f>
        <v>458</v>
      </c>
      <c r="M235" s="6" t="n">
        <f aca="false">Summary!$B$3-J235</f>
        <v>79</v>
      </c>
      <c r="N235" s="6" t="str">
        <f aca="false">IF(K235&gt;1,"Yes","No")</f>
        <v>No</v>
      </c>
      <c r="O235" s="6" t="s">
        <v>47</v>
      </c>
    </row>
    <row r="236" customFormat="false" ht="15" hidden="false" customHeight="false" outlineLevel="0" collapsed="false">
      <c r="A236" s="6" t="s">
        <v>581</v>
      </c>
      <c r="B236" s="6" t="s">
        <v>582</v>
      </c>
      <c r="C236" s="6" t="s">
        <v>75</v>
      </c>
      <c r="D236" s="6" t="n">
        <v>37</v>
      </c>
      <c r="E236" s="6" t="s">
        <v>81</v>
      </c>
      <c r="F236" s="6" t="s">
        <v>82</v>
      </c>
      <c r="G236" s="26" t="n">
        <v>46033</v>
      </c>
      <c r="H236" s="6" t="s">
        <v>78</v>
      </c>
      <c r="I236" s="26" t="n">
        <f aca="false">_xlfn.MINIFS(Transaction!$C$2:$C$8421,Transaction!$B$2:$B$8421,A236)</f>
        <v>46037</v>
      </c>
      <c r="J236" s="26" t="n">
        <f aca="false">_xlfn.MAXIFS(Transaction!$C$2:$C$8421,Transaction!$B$2:$B$8421,A236)</f>
        <v>46037</v>
      </c>
      <c r="K236" s="6" t="n">
        <f aca="false">COUNTIF(Transaction!$B$2:$B$8421,A236)</f>
        <v>1</v>
      </c>
      <c r="L236" s="10" t="n">
        <f aca="false">SUMIF(Transaction!$B$2:$B$8421,A236,Transaction!$H$2:$H$8421)</f>
        <v>1271</v>
      </c>
      <c r="M236" s="6" t="n">
        <f aca="false">Summary!$B$3-J236</f>
        <v>229</v>
      </c>
      <c r="N236" s="6" t="str">
        <f aca="false">IF(K236&gt;1,"Yes","No")</f>
        <v>No</v>
      </c>
      <c r="O236" s="6" t="s">
        <v>49</v>
      </c>
    </row>
    <row r="237" customFormat="false" ht="15" hidden="false" customHeight="false" outlineLevel="0" collapsed="false">
      <c r="A237" s="6" t="s">
        <v>583</v>
      </c>
      <c r="B237" s="6" t="s">
        <v>584</v>
      </c>
      <c r="C237" s="6" t="s">
        <v>85</v>
      </c>
      <c r="D237" s="6" t="n">
        <v>36</v>
      </c>
      <c r="E237" s="6" t="s">
        <v>76</v>
      </c>
      <c r="F237" s="6" t="s">
        <v>77</v>
      </c>
      <c r="G237" s="26" t="n">
        <v>46053</v>
      </c>
      <c r="H237" s="6" t="s">
        <v>88</v>
      </c>
      <c r="I237" s="26" t="n">
        <f aca="false">_xlfn.MINIFS(Transaction!$C$2:$C$8421,Transaction!$B$2:$B$8421,A237)</f>
        <v>46082</v>
      </c>
      <c r="J237" s="26" t="n">
        <f aca="false">_xlfn.MAXIFS(Transaction!$C$2:$C$8421,Transaction!$B$2:$B$8421,A237)</f>
        <v>46082</v>
      </c>
      <c r="K237" s="6" t="n">
        <f aca="false">COUNTIF(Transaction!$B$2:$B$8421,A237)</f>
        <v>1</v>
      </c>
      <c r="L237" s="10" t="n">
        <f aca="false">SUMIF(Transaction!$B$2:$B$8421,A237,Transaction!$H$2:$H$8421)</f>
        <v>1768</v>
      </c>
      <c r="M237" s="6" t="n">
        <f aca="false">Summary!$B$3-J237</f>
        <v>184</v>
      </c>
      <c r="N237" s="6" t="str">
        <f aca="false">IF(K237&gt;1,"Yes","No")</f>
        <v>No</v>
      </c>
      <c r="O237" s="6" t="s">
        <v>49</v>
      </c>
    </row>
    <row r="238" customFormat="false" ht="15" hidden="false" customHeight="false" outlineLevel="0" collapsed="false">
      <c r="A238" s="6" t="s">
        <v>585</v>
      </c>
      <c r="B238" s="6" t="s">
        <v>586</v>
      </c>
      <c r="C238" s="6" t="s">
        <v>85</v>
      </c>
      <c r="D238" s="6" t="n">
        <v>39</v>
      </c>
      <c r="E238" s="6" t="s">
        <v>134</v>
      </c>
      <c r="F238" s="6" t="s">
        <v>135</v>
      </c>
      <c r="G238" s="26" t="n">
        <v>46076</v>
      </c>
      <c r="H238" s="6" t="s">
        <v>88</v>
      </c>
      <c r="I238" s="26" t="n">
        <f aca="false">_xlfn.MINIFS(Transaction!$C$2:$C$8421,Transaction!$B$2:$B$8421,A238)</f>
        <v>46115</v>
      </c>
      <c r="J238" s="26" t="n">
        <f aca="false">_xlfn.MAXIFS(Transaction!$C$2:$C$8421,Transaction!$B$2:$B$8421,A238)</f>
        <v>46115</v>
      </c>
      <c r="K238" s="6" t="n">
        <f aca="false">COUNTIF(Transaction!$B$2:$B$8421,A238)</f>
        <v>1</v>
      </c>
      <c r="L238" s="10" t="n">
        <f aca="false">SUMIF(Transaction!$B$2:$B$8421,A238,Transaction!$H$2:$H$8421)</f>
        <v>3670</v>
      </c>
      <c r="M238" s="6" t="n">
        <f aca="false">Summary!$B$3-J238</f>
        <v>151</v>
      </c>
      <c r="N238" s="6" t="str">
        <f aca="false">IF(K238&gt;1,"Yes","No")</f>
        <v>No</v>
      </c>
      <c r="O238" s="6" t="s">
        <v>48</v>
      </c>
    </row>
    <row r="239" customFormat="false" ht="15" hidden="false" customHeight="false" outlineLevel="0" collapsed="false">
      <c r="A239" s="6" t="s">
        <v>587</v>
      </c>
      <c r="B239" s="6" t="s">
        <v>588</v>
      </c>
      <c r="C239" s="6" t="s">
        <v>85</v>
      </c>
      <c r="D239" s="6" t="n">
        <v>35</v>
      </c>
      <c r="E239" s="6" t="s">
        <v>95</v>
      </c>
      <c r="F239" s="6" t="s">
        <v>95</v>
      </c>
      <c r="G239" s="26" t="n">
        <v>45982</v>
      </c>
      <c r="H239" s="6" t="s">
        <v>123</v>
      </c>
      <c r="I239" s="26" t="n">
        <f aca="false">_xlfn.MINIFS(Transaction!$C$2:$C$8421,Transaction!$B$2:$B$8421,A239)</f>
        <v>46042</v>
      </c>
      <c r="J239" s="26" t="n">
        <f aca="false">_xlfn.MAXIFS(Transaction!$C$2:$C$8421,Transaction!$B$2:$B$8421,A239)</f>
        <v>46187</v>
      </c>
      <c r="K239" s="6" t="n">
        <f aca="false">COUNTIF(Transaction!$B$2:$B$8421,A239)</f>
        <v>3</v>
      </c>
      <c r="L239" s="10" t="n">
        <f aca="false">SUMIF(Transaction!$B$2:$B$8421,A239,Transaction!$H$2:$H$8421)</f>
        <v>6409</v>
      </c>
      <c r="M239" s="6" t="n">
        <f aca="false">Summary!$B$3-J239</f>
        <v>79</v>
      </c>
      <c r="N239" s="6" t="str">
        <f aca="false">IF(K239&gt;1,"Yes","No")</f>
        <v>Yes</v>
      </c>
      <c r="O239" s="6" t="s">
        <v>46</v>
      </c>
    </row>
    <row r="240" customFormat="false" ht="15" hidden="false" customHeight="false" outlineLevel="0" collapsed="false">
      <c r="A240" s="6" t="s">
        <v>589</v>
      </c>
      <c r="B240" s="6" t="s">
        <v>590</v>
      </c>
      <c r="C240" s="6" t="s">
        <v>75</v>
      </c>
      <c r="D240" s="6" t="n">
        <v>32</v>
      </c>
      <c r="E240" s="6" t="s">
        <v>76</v>
      </c>
      <c r="F240" s="6" t="s">
        <v>77</v>
      </c>
      <c r="G240" s="26" t="n">
        <v>46014</v>
      </c>
      <c r="H240" s="6" t="s">
        <v>115</v>
      </c>
      <c r="I240" s="26" t="n">
        <f aca="false">_xlfn.MINIFS(Transaction!$C$2:$C$8421,Transaction!$B$2:$B$8421,A240)</f>
        <v>46049</v>
      </c>
      <c r="J240" s="26" t="n">
        <f aca="false">_xlfn.MAXIFS(Transaction!$C$2:$C$8421,Transaction!$B$2:$B$8421,A240)</f>
        <v>46232</v>
      </c>
      <c r="K240" s="6" t="n">
        <f aca="false">COUNTIF(Transaction!$B$2:$B$8421,A240)</f>
        <v>2</v>
      </c>
      <c r="L240" s="10" t="n">
        <f aca="false">SUMIF(Transaction!$B$2:$B$8421,A240,Transaction!$H$2:$H$8421)</f>
        <v>2947</v>
      </c>
      <c r="M240" s="6" t="n">
        <f aca="false">Summary!$B$3-J240</f>
        <v>34</v>
      </c>
      <c r="N240" s="6" t="str">
        <f aca="false">IF(K240&gt;1,"Yes","No")</f>
        <v>Yes</v>
      </c>
      <c r="O240" s="6" t="s">
        <v>46</v>
      </c>
    </row>
    <row r="241" customFormat="false" ht="15" hidden="false" customHeight="false" outlineLevel="0" collapsed="false">
      <c r="A241" s="6" t="s">
        <v>591</v>
      </c>
      <c r="B241" s="6" t="s">
        <v>592</v>
      </c>
      <c r="C241" s="6" t="s">
        <v>85</v>
      </c>
      <c r="D241" s="6" t="n">
        <v>18</v>
      </c>
      <c r="E241" s="6" t="s">
        <v>95</v>
      </c>
      <c r="F241" s="6" t="s">
        <v>95</v>
      </c>
      <c r="G241" s="26" t="n">
        <v>46022</v>
      </c>
      <c r="H241" s="6" t="s">
        <v>78</v>
      </c>
      <c r="I241" s="26" t="n">
        <f aca="false">_xlfn.MINIFS(Transaction!$C$2:$C$8421,Transaction!$B$2:$B$8421,A241)</f>
        <v>46059</v>
      </c>
      <c r="J241" s="26" t="n">
        <f aca="false">_xlfn.MAXIFS(Transaction!$C$2:$C$8421,Transaction!$B$2:$B$8421,A241)</f>
        <v>46059</v>
      </c>
      <c r="K241" s="6" t="n">
        <f aca="false">COUNTIF(Transaction!$B$2:$B$8421,A241)</f>
        <v>1</v>
      </c>
      <c r="L241" s="10" t="n">
        <f aca="false">SUMIF(Transaction!$B$2:$B$8421,A241,Transaction!$H$2:$H$8421)</f>
        <v>1393</v>
      </c>
      <c r="M241" s="6" t="n">
        <f aca="false">Summary!$B$3-J241</f>
        <v>207</v>
      </c>
      <c r="N241" s="6" t="str">
        <f aca="false">IF(K241&gt;1,"Yes","No")</f>
        <v>No</v>
      </c>
      <c r="O241" s="6" t="s">
        <v>49</v>
      </c>
    </row>
    <row r="242" customFormat="false" ht="15" hidden="false" customHeight="false" outlineLevel="0" collapsed="false">
      <c r="A242" s="6" t="s">
        <v>593</v>
      </c>
      <c r="B242" s="6" t="s">
        <v>594</v>
      </c>
      <c r="C242" s="6" t="s">
        <v>85</v>
      </c>
      <c r="D242" s="6" t="n">
        <v>30</v>
      </c>
      <c r="E242" s="6" t="s">
        <v>76</v>
      </c>
      <c r="F242" s="6" t="s">
        <v>77</v>
      </c>
      <c r="G242" s="26" t="n">
        <v>46019</v>
      </c>
      <c r="H242" s="6" t="s">
        <v>88</v>
      </c>
      <c r="I242" s="26" t="n">
        <f aca="false">_xlfn.MINIFS(Transaction!$C$2:$C$8421,Transaction!$B$2:$B$8421,A242)</f>
        <v>46027</v>
      </c>
      <c r="J242" s="26" t="n">
        <f aca="false">_xlfn.MAXIFS(Transaction!$C$2:$C$8421,Transaction!$B$2:$B$8421,A242)</f>
        <v>46181</v>
      </c>
      <c r="K242" s="6" t="n">
        <f aca="false">COUNTIF(Transaction!$B$2:$B$8421,A242)</f>
        <v>6</v>
      </c>
      <c r="L242" s="10" t="n">
        <f aca="false">SUMIF(Transaction!$B$2:$B$8421,A242,Transaction!$H$2:$H$8421)</f>
        <v>28114</v>
      </c>
      <c r="M242" s="6" t="n">
        <f aca="false">Summary!$B$3-J242</f>
        <v>85</v>
      </c>
      <c r="N242" s="6" t="str">
        <f aca="false">IF(K242&gt;1,"Yes","No")</f>
        <v>Yes</v>
      </c>
      <c r="O242" s="6" t="s">
        <v>46</v>
      </c>
    </row>
    <row r="243" customFormat="false" ht="15" hidden="false" customHeight="false" outlineLevel="0" collapsed="false">
      <c r="A243" s="6" t="s">
        <v>595</v>
      </c>
      <c r="B243" s="6" t="s">
        <v>596</v>
      </c>
      <c r="C243" s="6" t="s">
        <v>85</v>
      </c>
      <c r="D243" s="6" t="n">
        <v>40</v>
      </c>
      <c r="E243" s="6" t="s">
        <v>95</v>
      </c>
      <c r="F243" s="6" t="s">
        <v>95</v>
      </c>
      <c r="G243" s="26" t="n">
        <v>46132</v>
      </c>
      <c r="H243" s="6" t="s">
        <v>78</v>
      </c>
      <c r="I243" s="26" t="n">
        <f aca="false">_xlfn.MINIFS(Transaction!$C$2:$C$8421,Transaction!$B$2:$B$8421,A243)</f>
        <v>46197</v>
      </c>
      <c r="J243" s="26" t="n">
        <f aca="false">_xlfn.MAXIFS(Transaction!$C$2:$C$8421,Transaction!$B$2:$B$8421,A243)</f>
        <v>46197</v>
      </c>
      <c r="K243" s="6" t="n">
        <f aca="false">COUNTIF(Transaction!$B$2:$B$8421,A243)</f>
        <v>1</v>
      </c>
      <c r="L243" s="10" t="n">
        <f aca="false">SUMIF(Transaction!$B$2:$B$8421,A243,Transaction!$H$2:$H$8421)</f>
        <v>350</v>
      </c>
      <c r="M243" s="6" t="n">
        <f aca="false">Summary!$B$3-J243</f>
        <v>69</v>
      </c>
      <c r="N243" s="6" t="str">
        <f aca="false">IF(K243&gt;1,"Yes","No")</f>
        <v>No</v>
      </c>
      <c r="O243" s="6" t="s">
        <v>47</v>
      </c>
    </row>
    <row r="244" customFormat="false" ht="15" hidden="false" customHeight="false" outlineLevel="0" collapsed="false">
      <c r="A244" s="6" t="s">
        <v>597</v>
      </c>
      <c r="B244" s="6" t="s">
        <v>598</v>
      </c>
      <c r="C244" s="6" t="s">
        <v>85</v>
      </c>
      <c r="D244" s="6" t="n">
        <v>48</v>
      </c>
      <c r="E244" s="6" t="s">
        <v>121</v>
      </c>
      <c r="F244" s="6" t="s">
        <v>122</v>
      </c>
      <c r="G244" s="26" t="n">
        <v>45985</v>
      </c>
      <c r="H244" s="6" t="s">
        <v>88</v>
      </c>
      <c r="I244" s="26" t="n">
        <f aca="false">_xlfn.MINIFS(Transaction!$C$2:$C$8421,Transaction!$B$2:$B$8421,A244)</f>
        <v>46046</v>
      </c>
      <c r="J244" s="26" t="n">
        <f aca="false">_xlfn.MAXIFS(Transaction!$C$2:$C$8421,Transaction!$B$2:$B$8421,A244)</f>
        <v>46206</v>
      </c>
      <c r="K244" s="6" t="n">
        <f aca="false">COUNTIF(Transaction!$B$2:$B$8421,A244)</f>
        <v>4</v>
      </c>
      <c r="L244" s="10" t="n">
        <f aca="false">SUMIF(Transaction!$B$2:$B$8421,A244,Transaction!$H$2:$H$8421)</f>
        <v>6486</v>
      </c>
      <c r="M244" s="6" t="n">
        <f aca="false">Summary!$B$3-J244</f>
        <v>60</v>
      </c>
      <c r="N244" s="6" t="str">
        <f aca="false">IF(K244&gt;1,"Yes","No")</f>
        <v>Yes</v>
      </c>
      <c r="O244" s="6" t="s">
        <v>46</v>
      </c>
    </row>
    <row r="245" customFormat="false" ht="15" hidden="false" customHeight="false" outlineLevel="0" collapsed="false">
      <c r="A245" s="6" t="s">
        <v>599</v>
      </c>
      <c r="B245" s="6" t="s">
        <v>600</v>
      </c>
      <c r="C245" s="6" t="s">
        <v>75</v>
      </c>
      <c r="D245" s="6" t="n">
        <v>40</v>
      </c>
      <c r="E245" s="6" t="s">
        <v>91</v>
      </c>
      <c r="F245" s="6" t="s">
        <v>77</v>
      </c>
      <c r="G245" s="26" t="n">
        <v>45954</v>
      </c>
      <c r="H245" s="6" t="s">
        <v>88</v>
      </c>
      <c r="I245" s="26" t="n">
        <f aca="false">_xlfn.MINIFS(Transaction!$C$2:$C$8421,Transaction!$B$2:$B$8421,A245)</f>
        <v>46025</v>
      </c>
      <c r="J245" s="26" t="n">
        <f aca="false">_xlfn.MAXIFS(Transaction!$C$2:$C$8421,Transaction!$B$2:$B$8421,A245)</f>
        <v>46252</v>
      </c>
      <c r="K245" s="6" t="n">
        <f aca="false">COUNTIF(Transaction!$B$2:$B$8421,A245)</f>
        <v>12</v>
      </c>
      <c r="L245" s="10" t="n">
        <f aca="false">SUMIF(Transaction!$B$2:$B$8421,A245,Transaction!$H$2:$H$8421)</f>
        <v>14916</v>
      </c>
      <c r="M245" s="6" t="n">
        <f aca="false">Summary!$B$3-J245</f>
        <v>14</v>
      </c>
      <c r="N245" s="6" t="str">
        <f aca="false">IF(K245&gt;1,"Yes","No")</f>
        <v>Yes</v>
      </c>
      <c r="O245" s="6" t="s">
        <v>45</v>
      </c>
    </row>
    <row r="246" customFormat="false" ht="15" hidden="false" customHeight="false" outlineLevel="0" collapsed="false">
      <c r="A246" s="6" t="s">
        <v>601</v>
      </c>
      <c r="B246" s="6" t="s">
        <v>602</v>
      </c>
      <c r="C246" s="6" t="s">
        <v>75</v>
      </c>
      <c r="D246" s="6" t="n">
        <v>38</v>
      </c>
      <c r="E246" s="6" t="s">
        <v>118</v>
      </c>
      <c r="F246" s="6" t="s">
        <v>77</v>
      </c>
      <c r="G246" s="26" t="n">
        <v>45986</v>
      </c>
      <c r="H246" s="6" t="s">
        <v>115</v>
      </c>
      <c r="I246" s="26" t="n">
        <f aca="false">_xlfn.MINIFS(Transaction!$C$2:$C$8421,Transaction!$B$2:$B$8421,A246)</f>
        <v>46046</v>
      </c>
      <c r="J246" s="26" t="n">
        <f aca="false">_xlfn.MAXIFS(Transaction!$C$2:$C$8421,Transaction!$B$2:$B$8421,A246)</f>
        <v>46046</v>
      </c>
      <c r="K246" s="6" t="n">
        <f aca="false">COUNTIF(Transaction!$B$2:$B$8421,A246)</f>
        <v>1</v>
      </c>
      <c r="L246" s="10" t="n">
        <f aca="false">SUMIF(Transaction!$B$2:$B$8421,A246,Transaction!$H$2:$H$8421)</f>
        <v>1018</v>
      </c>
      <c r="M246" s="6" t="n">
        <f aca="false">Summary!$B$3-J246</f>
        <v>220</v>
      </c>
      <c r="N246" s="6" t="str">
        <f aca="false">IF(K246&gt;1,"Yes","No")</f>
        <v>No</v>
      </c>
      <c r="O246" s="6" t="s">
        <v>49</v>
      </c>
    </row>
    <row r="247" customFormat="false" ht="15" hidden="false" customHeight="false" outlineLevel="0" collapsed="false">
      <c r="A247" s="6" t="s">
        <v>603</v>
      </c>
      <c r="B247" s="6" t="s">
        <v>604</v>
      </c>
      <c r="C247" s="6" t="s">
        <v>75</v>
      </c>
      <c r="D247" s="6" t="n">
        <v>32</v>
      </c>
      <c r="E247" s="6" t="s">
        <v>76</v>
      </c>
      <c r="F247" s="6" t="s">
        <v>77</v>
      </c>
      <c r="G247" s="26" t="n">
        <v>46147</v>
      </c>
      <c r="H247" s="6" t="s">
        <v>88</v>
      </c>
      <c r="I247" s="26" t="n">
        <f aca="false">_xlfn.MINIFS(Transaction!$C$2:$C$8421,Transaction!$B$2:$B$8421,A247)</f>
        <v>46236</v>
      </c>
      <c r="J247" s="26" t="n">
        <f aca="false">_xlfn.MAXIFS(Transaction!$C$2:$C$8421,Transaction!$B$2:$B$8421,A247)</f>
        <v>46236</v>
      </c>
      <c r="K247" s="6" t="n">
        <f aca="false">COUNTIF(Transaction!$B$2:$B$8421,A247)</f>
        <v>1</v>
      </c>
      <c r="L247" s="10" t="n">
        <f aca="false">SUMIF(Transaction!$B$2:$B$8421,A247,Transaction!$H$2:$H$8421)</f>
        <v>2936</v>
      </c>
      <c r="M247" s="6" t="n">
        <f aca="false">Summary!$B$3-J247</f>
        <v>30</v>
      </c>
      <c r="N247" s="6" t="str">
        <f aca="false">IF(K247&gt;1,"Yes","No")</f>
        <v>No</v>
      </c>
      <c r="O247" s="6" t="s">
        <v>47</v>
      </c>
    </row>
    <row r="248" customFormat="false" ht="15" hidden="false" customHeight="false" outlineLevel="0" collapsed="false">
      <c r="A248" s="6" t="s">
        <v>605</v>
      </c>
      <c r="B248" s="6" t="s">
        <v>606</v>
      </c>
      <c r="C248" s="6" t="s">
        <v>75</v>
      </c>
      <c r="D248" s="6" t="n">
        <v>29</v>
      </c>
      <c r="E248" s="6" t="s">
        <v>95</v>
      </c>
      <c r="F248" s="6" t="s">
        <v>95</v>
      </c>
      <c r="G248" s="26" t="n">
        <v>46218</v>
      </c>
      <c r="H248" s="6" t="s">
        <v>102</v>
      </c>
      <c r="I248" s="26" t="n">
        <f aca="false">_xlfn.MINIFS(Transaction!$C$2:$C$8421,Transaction!$B$2:$B$8421,A248)</f>
        <v>46237</v>
      </c>
      <c r="J248" s="26" t="n">
        <f aca="false">_xlfn.MAXIFS(Transaction!$C$2:$C$8421,Transaction!$B$2:$B$8421,A248)</f>
        <v>46237</v>
      </c>
      <c r="K248" s="6" t="n">
        <f aca="false">COUNTIF(Transaction!$B$2:$B$8421,A248)</f>
        <v>1</v>
      </c>
      <c r="L248" s="10" t="n">
        <f aca="false">SUMIF(Transaction!$B$2:$B$8421,A248,Transaction!$H$2:$H$8421)</f>
        <v>1277</v>
      </c>
      <c r="M248" s="6" t="n">
        <f aca="false">Summary!$B$3-J248</f>
        <v>29</v>
      </c>
      <c r="N248" s="6" t="str">
        <f aca="false">IF(K248&gt;1,"Yes","No")</f>
        <v>No</v>
      </c>
      <c r="O248" s="6" t="s">
        <v>47</v>
      </c>
    </row>
    <row r="249" customFormat="false" ht="15" hidden="false" customHeight="false" outlineLevel="0" collapsed="false">
      <c r="A249" s="6" t="s">
        <v>607</v>
      </c>
      <c r="B249" s="6" t="s">
        <v>608</v>
      </c>
      <c r="C249" s="6" t="s">
        <v>75</v>
      </c>
      <c r="D249" s="6" t="n">
        <v>18</v>
      </c>
      <c r="E249" s="6" t="s">
        <v>134</v>
      </c>
      <c r="F249" s="6" t="s">
        <v>135</v>
      </c>
      <c r="G249" s="26" t="n">
        <v>46107</v>
      </c>
      <c r="H249" s="6" t="s">
        <v>78</v>
      </c>
      <c r="I249" s="26" t="n">
        <f aca="false">_xlfn.MINIFS(Transaction!$C$2:$C$8421,Transaction!$B$2:$B$8421,A249)</f>
        <v>46156</v>
      </c>
      <c r="J249" s="26" t="n">
        <f aca="false">_xlfn.MAXIFS(Transaction!$C$2:$C$8421,Transaction!$B$2:$B$8421,A249)</f>
        <v>46156</v>
      </c>
      <c r="K249" s="6" t="n">
        <f aca="false">COUNTIF(Transaction!$B$2:$B$8421,A249)</f>
        <v>1</v>
      </c>
      <c r="L249" s="10" t="n">
        <f aca="false">SUMIF(Transaction!$B$2:$B$8421,A249,Transaction!$H$2:$H$8421)</f>
        <v>977</v>
      </c>
      <c r="M249" s="6" t="n">
        <f aca="false">Summary!$B$3-J249</f>
        <v>110</v>
      </c>
      <c r="N249" s="6" t="str">
        <f aca="false">IF(K249&gt;1,"Yes","No")</f>
        <v>No</v>
      </c>
      <c r="O249" s="6" t="s">
        <v>48</v>
      </c>
    </row>
    <row r="250" customFormat="false" ht="15" hidden="false" customHeight="false" outlineLevel="0" collapsed="false">
      <c r="A250" s="6" t="s">
        <v>609</v>
      </c>
      <c r="B250" s="6" t="s">
        <v>610</v>
      </c>
      <c r="C250" s="6" t="s">
        <v>75</v>
      </c>
      <c r="D250" s="6" t="n">
        <v>41</v>
      </c>
      <c r="E250" s="6" t="s">
        <v>264</v>
      </c>
      <c r="F250" s="6" t="s">
        <v>106</v>
      </c>
      <c r="G250" s="26" t="n">
        <v>46116</v>
      </c>
      <c r="H250" s="6" t="s">
        <v>78</v>
      </c>
      <c r="I250" s="26" t="n">
        <f aca="false">_xlfn.MINIFS(Transaction!$C$2:$C$8421,Transaction!$B$2:$B$8421,A250)</f>
        <v>46159</v>
      </c>
      <c r="J250" s="26" t="n">
        <f aca="false">_xlfn.MAXIFS(Transaction!$C$2:$C$8421,Transaction!$B$2:$B$8421,A250)</f>
        <v>46159</v>
      </c>
      <c r="K250" s="6" t="n">
        <f aca="false">COUNTIF(Transaction!$B$2:$B$8421,A250)</f>
        <v>1</v>
      </c>
      <c r="L250" s="10" t="n">
        <f aca="false">SUMIF(Transaction!$B$2:$B$8421,A250,Transaction!$H$2:$H$8421)</f>
        <v>1760</v>
      </c>
      <c r="M250" s="6" t="n">
        <f aca="false">Summary!$B$3-J250</f>
        <v>107</v>
      </c>
      <c r="N250" s="6" t="str">
        <f aca="false">IF(K250&gt;1,"Yes","No")</f>
        <v>No</v>
      </c>
      <c r="O250" s="6" t="s">
        <v>48</v>
      </c>
    </row>
    <row r="251" customFormat="false" ht="15" hidden="false" customHeight="false" outlineLevel="0" collapsed="false">
      <c r="A251" s="6" t="s">
        <v>611</v>
      </c>
      <c r="B251" s="6" t="s">
        <v>612</v>
      </c>
      <c r="C251" s="6" t="s">
        <v>85</v>
      </c>
      <c r="D251" s="6" t="n">
        <v>38</v>
      </c>
      <c r="E251" s="6" t="s">
        <v>81</v>
      </c>
      <c r="F251" s="6" t="s">
        <v>82</v>
      </c>
      <c r="G251" s="26" t="n">
        <v>46167</v>
      </c>
      <c r="H251" s="6" t="s">
        <v>123</v>
      </c>
      <c r="I251" s="26" t="n">
        <f aca="false">_xlfn.MINIFS(Transaction!$C$2:$C$8421,Transaction!$B$2:$B$8421,A251)</f>
        <v>46251</v>
      </c>
      <c r="J251" s="26" t="n">
        <f aca="false">_xlfn.MAXIFS(Transaction!$C$2:$C$8421,Transaction!$B$2:$B$8421,A251)</f>
        <v>46251</v>
      </c>
      <c r="K251" s="6" t="n">
        <f aca="false">COUNTIF(Transaction!$B$2:$B$8421,A251)</f>
        <v>1</v>
      </c>
      <c r="L251" s="10" t="n">
        <f aca="false">SUMIF(Transaction!$B$2:$B$8421,A251,Transaction!$H$2:$H$8421)</f>
        <v>977</v>
      </c>
      <c r="M251" s="6" t="n">
        <f aca="false">Summary!$B$3-J251</f>
        <v>15</v>
      </c>
      <c r="N251" s="6" t="str">
        <f aca="false">IF(K251&gt;1,"Yes","No")</f>
        <v>No</v>
      </c>
      <c r="O251" s="6" t="s">
        <v>47</v>
      </c>
    </row>
    <row r="252" customFormat="false" ht="15" hidden="false" customHeight="false" outlineLevel="0" collapsed="false">
      <c r="A252" s="6" t="s">
        <v>613</v>
      </c>
      <c r="B252" s="6" t="s">
        <v>614</v>
      </c>
      <c r="C252" s="6" t="s">
        <v>75</v>
      </c>
      <c r="D252" s="6" t="n">
        <v>35</v>
      </c>
      <c r="E252" s="6" t="s">
        <v>86</v>
      </c>
      <c r="F252" s="6" t="s">
        <v>87</v>
      </c>
      <c r="G252" s="26" t="n">
        <v>45984</v>
      </c>
      <c r="H252" s="6" t="s">
        <v>123</v>
      </c>
      <c r="I252" s="26" t="n">
        <f aca="false">_xlfn.MINIFS(Transaction!$C$2:$C$8421,Transaction!$B$2:$B$8421,A252)</f>
        <v>46072</v>
      </c>
      <c r="J252" s="26" t="n">
        <f aca="false">_xlfn.MAXIFS(Transaction!$C$2:$C$8421,Transaction!$B$2:$B$8421,A252)</f>
        <v>46244</v>
      </c>
      <c r="K252" s="6" t="n">
        <f aca="false">COUNTIF(Transaction!$B$2:$B$8421,A252)</f>
        <v>10</v>
      </c>
      <c r="L252" s="10" t="n">
        <f aca="false">SUMIF(Transaction!$B$2:$B$8421,A252,Transaction!$H$2:$H$8421)</f>
        <v>15287</v>
      </c>
      <c r="M252" s="6" t="n">
        <f aca="false">Summary!$B$3-J252</f>
        <v>22</v>
      </c>
      <c r="N252" s="6" t="str">
        <f aca="false">IF(K252&gt;1,"Yes","No")</f>
        <v>Yes</v>
      </c>
      <c r="O252" s="6" t="s">
        <v>45</v>
      </c>
    </row>
    <row r="253" customFormat="false" ht="15" hidden="false" customHeight="false" outlineLevel="0" collapsed="false">
      <c r="A253" s="6" t="s">
        <v>615</v>
      </c>
      <c r="B253" s="6" t="s">
        <v>616</v>
      </c>
      <c r="C253" s="6" t="s">
        <v>75</v>
      </c>
      <c r="D253" s="6" t="n">
        <v>30</v>
      </c>
      <c r="E253" s="6" t="s">
        <v>95</v>
      </c>
      <c r="F253" s="6" t="s">
        <v>95</v>
      </c>
      <c r="G253" s="26" t="n">
        <v>46074</v>
      </c>
      <c r="H253" s="6" t="s">
        <v>102</v>
      </c>
      <c r="I253" s="26" t="n">
        <f aca="false">_xlfn.MINIFS(Transaction!$C$2:$C$8421,Transaction!$B$2:$B$8421,A253)</f>
        <v>46097</v>
      </c>
      <c r="J253" s="26" t="n">
        <f aca="false">_xlfn.MAXIFS(Transaction!$C$2:$C$8421,Transaction!$B$2:$B$8421,A253)</f>
        <v>46097</v>
      </c>
      <c r="K253" s="6" t="n">
        <f aca="false">COUNTIF(Transaction!$B$2:$B$8421,A253)</f>
        <v>1</v>
      </c>
      <c r="L253" s="10" t="n">
        <f aca="false">SUMIF(Transaction!$B$2:$B$8421,A253,Transaction!$H$2:$H$8421)</f>
        <v>744</v>
      </c>
      <c r="M253" s="6" t="n">
        <f aca="false">Summary!$B$3-J253</f>
        <v>169</v>
      </c>
      <c r="N253" s="6" t="str">
        <f aca="false">IF(K253&gt;1,"Yes","No")</f>
        <v>No</v>
      </c>
      <c r="O253" s="6" t="s">
        <v>49</v>
      </c>
    </row>
    <row r="254" customFormat="false" ht="15" hidden="false" customHeight="false" outlineLevel="0" collapsed="false">
      <c r="A254" s="6" t="s">
        <v>617</v>
      </c>
      <c r="B254" s="6" t="s">
        <v>618</v>
      </c>
      <c r="C254" s="6" t="s">
        <v>85</v>
      </c>
      <c r="D254" s="6" t="n">
        <v>40</v>
      </c>
      <c r="E254" s="6" t="s">
        <v>206</v>
      </c>
      <c r="F254" s="6" t="s">
        <v>106</v>
      </c>
      <c r="G254" s="26" t="n">
        <v>45998</v>
      </c>
      <c r="H254" s="6" t="s">
        <v>115</v>
      </c>
      <c r="I254" s="26" t="n">
        <f aca="false">_xlfn.MINIFS(Transaction!$C$2:$C$8421,Transaction!$B$2:$B$8421,A254)</f>
        <v>46068</v>
      </c>
      <c r="J254" s="26" t="n">
        <f aca="false">_xlfn.MAXIFS(Transaction!$C$2:$C$8421,Transaction!$B$2:$B$8421,A254)</f>
        <v>46183</v>
      </c>
      <c r="K254" s="6" t="n">
        <f aca="false">COUNTIF(Transaction!$B$2:$B$8421,A254)</f>
        <v>4</v>
      </c>
      <c r="L254" s="10" t="n">
        <f aca="false">SUMIF(Transaction!$B$2:$B$8421,A254,Transaction!$H$2:$H$8421)</f>
        <v>4763</v>
      </c>
      <c r="M254" s="6" t="n">
        <f aca="false">Summary!$B$3-J254</f>
        <v>83</v>
      </c>
      <c r="N254" s="6" t="str">
        <f aca="false">IF(K254&gt;1,"Yes","No")</f>
        <v>Yes</v>
      </c>
      <c r="O254" s="6" t="s">
        <v>46</v>
      </c>
    </row>
    <row r="255" customFormat="false" ht="15" hidden="false" customHeight="false" outlineLevel="0" collapsed="false">
      <c r="A255" s="6" t="s">
        <v>619</v>
      </c>
      <c r="B255" s="6" t="s">
        <v>620</v>
      </c>
      <c r="C255" s="6" t="s">
        <v>75</v>
      </c>
      <c r="D255" s="6" t="n">
        <v>36</v>
      </c>
      <c r="E255" s="6" t="s">
        <v>91</v>
      </c>
      <c r="F255" s="6" t="s">
        <v>77</v>
      </c>
      <c r="G255" s="26" t="n">
        <v>45971</v>
      </c>
      <c r="H255" s="6" t="s">
        <v>92</v>
      </c>
      <c r="I255" s="26" t="n">
        <f aca="false">_xlfn.MINIFS(Transaction!$C$2:$C$8421,Transaction!$B$2:$B$8421,A255)</f>
        <v>46036</v>
      </c>
      <c r="J255" s="26" t="n">
        <f aca="false">_xlfn.MAXIFS(Transaction!$C$2:$C$8421,Transaction!$B$2:$B$8421,A255)</f>
        <v>46036</v>
      </c>
      <c r="K255" s="6" t="n">
        <f aca="false">COUNTIF(Transaction!$B$2:$B$8421,A255)</f>
        <v>1</v>
      </c>
      <c r="L255" s="10" t="n">
        <f aca="false">SUMIF(Transaction!$B$2:$B$8421,A255,Transaction!$H$2:$H$8421)</f>
        <v>884</v>
      </c>
      <c r="M255" s="6" t="n">
        <f aca="false">Summary!$B$3-J255</f>
        <v>230</v>
      </c>
      <c r="N255" s="6" t="str">
        <f aca="false">IF(K255&gt;1,"Yes","No")</f>
        <v>No</v>
      </c>
      <c r="O255" s="6" t="s">
        <v>49</v>
      </c>
    </row>
    <row r="256" customFormat="false" ht="15" hidden="false" customHeight="false" outlineLevel="0" collapsed="false">
      <c r="A256" s="6" t="s">
        <v>621</v>
      </c>
      <c r="B256" s="6" t="s">
        <v>622</v>
      </c>
      <c r="C256" s="6" t="s">
        <v>75</v>
      </c>
      <c r="D256" s="6" t="n">
        <v>27</v>
      </c>
      <c r="E256" s="6" t="s">
        <v>86</v>
      </c>
      <c r="F256" s="6" t="s">
        <v>87</v>
      </c>
      <c r="G256" s="26" t="n">
        <v>45968</v>
      </c>
      <c r="H256" s="6" t="s">
        <v>78</v>
      </c>
      <c r="I256" s="26" t="n">
        <f aca="false">_xlfn.MINIFS(Transaction!$C$2:$C$8421,Transaction!$B$2:$B$8421,A256)</f>
        <v>46026</v>
      </c>
      <c r="J256" s="26" t="n">
        <f aca="false">_xlfn.MAXIFS(Transaction!$C$2:$C$8421,Transaction!$B$2:$B$8421,A256)</f>
        <v>46026</v>
      </c>
      <c r="K256" s="6" t="n">
        <f aca="false">COUNTIF(Transaction!$B$2:$B$8421,A256)</f>
        <v>1</v>
      </c>
      <c r="L256" s="10" t="n">
        <f aca="false">SUMIF(Transaction!$B$2:$B$8421,A256,Transaction!$H$2:$H$8421)</f>
        <v>1299</v>
      </c>
      <c r="M256" s="6" t="n">
        <f aca="false">Summary!$B$3-J256</f>
        <v>240</v>
      </c>
      <c r="N256" s="6" t="str">
        <f aca="false">IF(K256&gt;1,"Yes","No")</f>
        <v>No</v>
      </c>
      <c r="O256" s="6" t="s">
        <v>49</v>
      </c>
    </row>
    <row r="257" customFormat="false" ht="15" hidden="false" customHeight="false" outlineLevel="0" collapsed="false">
      <c r="A257" s="6" t="s">
        <v>623</v>
      </c>
      <c r="B257" s="6" t="s">
        <v>624</v>
      </c>
      <c r="C257" s="6" t="s">
        <v>85</v>
      </c>
      <c r="D257" s="6" t="n">
        <v>30</v>
      </c>
      <c r="E257" s="6" t="s">
        <v>134</v>
      </c>
      <c r="F257" s="6" t="s">
        <v>135</v>
      </c>
      <c r="G257" s="26" t="n">
        <v>46143</v>
      </c>
      <c r="H257" s="6" t="s">
        <v>78</v>
      </c>
      <c r="I257" s="26" t="n">
        <f aca="false">_xlfn.MINIFS(Transaction!$C$2:$C$8421,Transaction!$B$2:$B$8421,A257)</f>
        <v>46156</v>
      </c>
      <c r="J257" s="26" t="n">
        <f aca="false">_xlfn.MAXIFS(Transaction!$C$2:$C$8421,Transaction!$B$2:$B$8421,A257)</f>
        <v>46156</v>
      </c>
      <c r="K257" s="6" t="n">
        <f aca="false">COUNTIF(Transaction!$B$2:$B$8421,A257)</f>
        <v>1</v>
      </c>
      <c r="L257" s="10" t="n">
        <f aca="false">SUMIF(Transaction!$B$2:$B$8421,A257,Transaction!$H$2:$H$8421)</f>
        <v>733</v>
      </c>
      <c r="M257" s="6" t="n">
        <f aca="false">Summary!$B$3-J257</f>
        <v>110</v>
      </c>
      <c r="N257" s="6" t="str">
        <f aca="false">IF(K257&gt;1,"Yes","No")</f>
        <v>No</v>
      </c>
      <c r="O257" s="6" t="s">
        <v>48</v>
      </c>
    </row>
    <row r="258" customFormat="false" ht="15" hidden="false" customHeight="false" outlineLevel="0" collapsed="false">
      <c r="A258" s="6" t="s">
        <v>625</v>
      </c>
      <c r="B258" s="6" t="s">
        <v>626</v>
      </c>
      <c r="C258" s="6" t="s">
        <v>85</v>
      </c>
      <c r="D258" s="6" t="n">
        <v>32</v>
      </c>
      <c r="E258" s="6" t="s">
        <v>118</v>
      </c>
      <c r="F258" s="6" t="s">
        <v>77</v>
      </c>
      <c r="G258" s="26" t="n">
        <v>46065</v>
      </c>
      <c r="H258" s="6" t="s">
        <v>92</v>
      </c>
      <c r="I258" s="26" t="n">
        <f aca="false">_xlfn.MINIFS(Transaction!$C$2:$C$8421,Transaction!$B$2:$B$8421,A258)</f>
        <v>46068</v>
      </c>
      <c r="J258" s="26" t="n">
        <f aca="false">_xlfn.MAXIFS(Transaction!$C$2:$C$8421,Transaction!$B$2:$B$8421,A258)</f>
        <v>46187</v>
      </c>
      <c r="K258" s="6" t="n">
        <f aca="false">COUNTIF(Transaction!$B$2:$B$8421,A258)</f>
        <v>3</v>
      </c>
      <c r="L258" s="10" t="n">
        <f aca="false">SUMIF(Transaction!$B$2:$B$8421,A258,Transaction!$H$2:$H$8421)</f>
        <v>2050</v>
      </c>
      <c r="M258" s="6" t="n">
        <f aca="false">Summary!$B$3-J258</f>
        <v>79</v>
      </c>
      <c r="N258" s="6" t="str">
        <f aca="false">IF(K258&gt;1,"Yes","No")</f>
        <v>Yes</v>
      </c>
      <c r="O258" s="6" t="s">
        <v>46</v>
      </c>
    </row>
    <row r="259" customFormat="false" ht="15" hidden="false" customHeight="false" outlineLevel="0" collapsed="false">
      <c r="A259" s="6" t="s">
        <v>627</v>
      </c>
      <c r="B259" s="6" t="s">
        <v>628</v>
      </c>
      <c r="C259" s="6" t="s">
        <v>85</v>
      </c>
      <c r="D259" s="6" t="n">
        <v>32</v>
      </c>
      <c r="E259" s="6" t="s">
        <v>140</v>
      </c>
      <c r="F259" s="6" t="s">
        <v>141</v>
      </c>
      <c r="G259" s="26" t="n">
        <v>46058</v>
      </c>
      <c r="H259" s="6" t="s">
        <v>88</v>
      </c>
      <c r="I259" s="26" t="n">
        <f aca="false">_xlfn.MINIFS(Transaction!$C$2:$C$8421,Transaction!$B$2:$B$8421,A259)</f>
        <v>46070</v>
      </c>
      <c r="J259" s="26" t="n">
        <f aca="false">_xlfn.MAXIFS(Transaction!$C$2:$C$8421,Transaction!$B$2:$B$8421,A259)</f>
        <v>46197</v>
      </c>
      <c r="K259" s="6" t="n">
        <f aca="false">COUNTIF(Transaction!$B$2:$B$8421,A259)</f>
        <v>4</v>
      </c>
      <c r="L259" s="10" t="n">
        <f aca="false">SUMIF(Transaction!$B$2:$B$8421,A259,Transaction!$H$2:$H$8421)</f>
        <v>6316</v>
      </c>
      <c r="M259" s="6" t="n">
        <f aca="false">Summary!$B$3-J259</f>
        <v>69</v>
      </c>
      <c r="N259" s="6" t="str">
        <f aca="false">IF(K259&gt;1,"Yes","No")</f>
        <v>Yes</v>
      </c>
      <c r="O259" s="6" t="s">
        <v>46</v>
      </c>
    </row>
    <row r="260" customFormat="false" ht="15" hidden="false" customHeight="false" outlineLevel="0" collapsed="false">
      <c r="A260" s="6" t="s">
        <v>629</v>
      </c>
      <c r="B260" s="6" t="s">
        <v>630</v>
      </c>
      <c r="C260" s="6" t="s">
        <v>85</v>
      </c>
      <c r="D260" s="6" t="n">
        <v>18</v>
      </c>
      <c r="E260" s="6" t="s">
        <v>176</v>
      </c>
      <c r="F260" s="6" t="s">
        <v>177</v>
      </c>
      <c r="G260" s="26" t="n">
        <v>46241</v>
      </c>
      <c r="H260" s="6" t="s">
        <v>102</v>
      </c>
      <c r="I260" s="26" t="n">
        <f aca="false">_xlfn.MINIFS(Transaction!$C$2:$C$8421,Transaction!$B$2:$B$8421,A260)</f>
        <v>46254</v>
      </c>
      <c r="J260" s="26" t="n">
        <f aca="false">_xlfn.MAXIFS(Transaction!$C$2:$C$8421,Transaction!$B$2:$B$8421,A260)</f>
        <v>46254</v>
      </c>
      <c r="K260" s="6" t="n">
        <f aca="false">COUNTIF(Transaction!$B$2:$B$8421,A260)</f>
        <v>1</v>
      </c>
      <c r="L260" s="10" t="n">
        <f aca="false">SUMIF(Transaction!$B$2:$B$8421,A260,Transaction!$H$2:$H$8421)</f>
        <v>1016</v>
      </c>
      <c r="M260" s="6" t="n">
        <f aca="false">Summary!$B$3-J260</f>
        <v>12</v>
      </c>
      <c r="N260" s="6" t="str">
        <f aca="false">IF(K260&gt;1,"Yes","No")</f>
        <v>No</v>
      </c>
      <c r="O260" s="6" t="s">
        <v>47</v>
      </c>
    </row>
    <row r="261" customFormat="false" ht="15" hidden="false" customHeight="false" outlineLevel="0" collapsed="false">
      <c r="A261" s="6" t="s">
        <v>631</v>
      </c>
      <c r="B261" s="6" t="s">
        <v>632</v>
      </c>
      <c r="C261" s="6" t="s">
        <v>75</v>
      </c>
      <c r="D261" s="6" t="n">
        <v>35</v>
      </c>
      <c r="E261" s="6" t="s">
        <v>121</v>
      </c>
      <c r="F261" s="6" t="s">
        <v>122</v>
      </c>
      <c r="G261" s="26" t="n">
        <v>45974</v>
      </c>
      <c r="H261" s="6" t="s">
        <v>115</v>
      </c>
      <c r="I261" s="26" t="n">
        <f aca="false">_xlfn.MINIFS(Transaction!$C$2:$C$8421,Transaction!$B$2:$B$8421,A261)</f>
        <v>46061</v>
      </c>
      <c r="J261" s="26" t="n">
        <f aca="false">_xlfn.MAXIFS(Transaction!$C$2:$C$8421,Transaction!$B$2:$B$8421,A261)</f>
        <v>46214</v>
      </c>
      <c r="K261" s="6" t="n">
        <f aca="false">COUNTIF(Transaction!$B$2:$B$8421,A261)</f>
        <v>6</v>
      </c>
      <c r="L261" s="10" t="n">
        <f aca="false">SUMIF(Transaction!$B$2:$B$8421,A261,Transaction!$H$2:$H$8421)</f>
        <v>19374</v>
      </c>
      <c r="M261" s="6" t="n">
        <f aca="false">Summary!$B$3-J261</f>
        <v>52</v>
      </c>
      <c r="N261" s="6" t="str">
        <f aca="false">IF(K261&gt;1,"Yes","No")</f>
        <v>Yes</v>
      </c>
      <c r="O261" s="6" t="s">
        <v>46</v>
      </c>
    </row>
    <row r="262" customFormat="false" ht="15" hidden="false" customHeight="false" outlineLevel="0" collapsed="false">
      <c r="A262" s="6" t="s">
        <v>633</v>
      </c>
      <c r="B262" s="6" t="s">
        <v>634</v>
      </c>
      <c r="C262" s="6" t="s">
        <v>75</v>
      </c>
      <c r="D262" s="6" t="n">
        <v>29</v>
      </c>
      <c r="E262" s="6" t="s">
        <v>430</v>
      </c>
      <c r="F262" s="6" t="s">
        <v>99</v>
      </c>
      <c r="G262" s="26" t="n">
        <v>46210</v>
      </c>
      <c r="H262" s="6" t="s">
        <v>78</v>
      </c>
      <c r="I262" s="26" t="n">
        <f aca="false">_xlfn.MINIFS(Transaction!$C$2:$C$8421,Transaction!$B$2:$B$8421,A262)</f>
        <v>46225</v>
      </c>
      <c r="J262" s="26" t="n">
        <f aca="false">_xlfn.MAXIFS(Transaction!$C$2:$C$8421,Transaction!$B$2:$B$8421,A262)</f>
        <v>46225</v>
      </c>
      <c r="K262" s="6" t="n">
        <f aca="false">COUNTIF(Transaction!$B$2:$B$8421,A262)</f>
        <v>1</v>
      </c>
      <c r="L262" s="10" t="n">
        <f aca="false">SUMIF(Transaction!$B$2:$B$8421,A262,Transaction!$H$2:$H$8421)</f>
        <v>3915</v>
      </c>
      <c r="M262" s="6" t="n">
        <f aca="false">Summary!$B$3-J262</f>
        <v>41</v>
      </c>
      <c r="N262" s="6" t="str">
        <f aca="false">IF(K262&gt;1,"Yes","No")</f>
        <v>No</v>
      </c>
      <c r="O262" s="6" t="s">
        <v>47</v>
      </c>
    </row>
    <row r="263" customFormat="false" ht="15" hidden="false" customHeight="false" outlineLevel="0" collapsed="false">
      <c r="A263" s="6" t="s">
        <v>635</v>
      </c>
      <c r="B263" s="6" t="s">
        <v>636</v>
      </c>
      <c r="C263" s="6" t="s">
        <v>85</v>
      </c>
      <c r="D263" s="6" t="n">
        <v>42</v>
      </c>
      <c r="E263" s="6" t="s">
        <v>206</v>
      </c>
      <c r="F263" s="6" t="s">
        <v>106</v>
      </c>
      <c r="G263" s="26" t="n">
        <v>46037</v>
      </c>
      <c r="H263" s="6" t="s">
        <v>115</v>
      </c>
      <c r="I263" s="26" t="n">
        <f aca="false">_xlfn.MINIFS(Transaction!$C$2:$C$8421,Transaction!$B$2:$B$8421,A263)</f>
        <v>46095</v>
      </c>
      <c r="J263" s="26" t="n">
        <f aca="false">_xlfn.MAXIFS(Transaction!$C$2:$C$8421,Transaction!$B$2:$B$8421,A263)</f>
        <v>46252</v>
      </c>
      <c r="K263" s="6" t="n">
        <f aca="false">COUNTIF(Transaction!$B$2:$B$8421,A263)</f>
        <v>9</v>
      </c>
      <c r="L263" s="10" t="n">
        <f aca="false">SUMIF(Transaction!$B$2:$B$8421,A263,Transaction!$H$2:$H$8421)</f>
        <v>16196</v>
      </c>
      <c r="M263" s="6" t="n">
        <f aca="false">Summary!$B$3-J263</f>
        <v>14</v>
      </c>
      <c r="N263" s="6" t="str">
        <f aca="false">IF(K263&gt;1,"Yes","No")</f>
        <v>Yes</v>
      </c>
      <c r="O263" s="6" t="s">
        <v>45</v>
      </c>
    </row>
    <row r="264" customFormat="false" ht="15" hidden="false" customHeight="false" outlineLevel="0" collapsed="false">
      <c r="A264" s="6" t="s">
        <v>637</v>
      </c>
      <c r="B264" s="6" t="s">
        <v>638</v>
      </c>
      <c r="C264" s="6" t="s">
        <v>85</v>
      </c>
      <c r="D264" s="6" t="n">
        <v>53</v>
      </c>
      <c r="E264" s="6" t="s">
        <v>76</v>
      </c>
      <c r="F264" s="6" t="s">
        <v>77</v>
      </c>
      <c r="G264" s="26" t="n">
        <v>45964</v>
      </c>
      <c r="H264" s="6" t="s">
        <v>92</v>
      </c>
      <c r="I264" s="26" t="n">
        <f aca="false">_xlfn.MINIFS(Transaction!$C$2:$C$8421,Transaction!$B$2:$B$8421,A264)</f>
        <v>46049</v>
      </c>
      <c r="J264" s="26" t="n">
        <f aca="false">_xlfn.MAXIFS(Transaction!$C$2:$C$8421,Transaction!$B$2:$B$8421,A264)</f>
        <v>46252</v>
      </c>
      <c r="K264" s="6" t="n">
        <f aca="false">COUNTIF(Transaction!$B$2:$B$8421,A264)</f>
        <v>8</v>
      </c>
      <c r="L264" s="10" t="n">
        <f aca="false">SUMIF(Transaction!$B$2:$B$8421,A264,Transaction!$H$2:$H$8421)</f>
        <v>20828</v>
      </c>
      <c r="M264" s="6" t="n">
        <f aca="false">Summary!$B$3-J264</f>
        <v>14</v>
      </c>
      <c r="N264" s="6" t="str">
        <f aca="false">IF(K264&gt;1,"Yes","No")</f>
        <v>Yes</v>
      </c>
      <c r="O264" s="6" t="s">
        <v>45</v>
      </c>
    </row>
    <row r="265" customFormat="false" ht="15" hidden="false" customHeight="false" outlineLevel="0" collapsed="false">
      <c r="A265" s="6" t="s">
        <v>639</v>
      </c>
      <c r="B265" s="6" t="s">
        <v>640</v>
      </c>
      <c r="C265" s="6" t="s">
        <v>85</v>
      </c>
      <c r="D265" s="6" t="n">
        <v>18</v>
      </c>
      <c r="E265" s="6" t="s">
        <v>98</v>
      </c>
      <c r="F265" s="6" t="s">
        <v>99</v>
      </c>
      <c r="G265" s="26" t="n">
        <v>46138</v>
      </c>
      <c r="H265" s="6" t="s">
        <v>102</v>
      </c>
      <c r="I265" s="26" t="n">
        <f aca="false">_xlfn.MINIFS(Transaction!$C$2:$C$8421,Transaction!$B$2:$B$8421,A265)</f>
        <v>46177</v>
      </c>
      <c r="J265" s="26" t="n">
        <f aca="false">_xlfn.MAXIFS(Transaction!$C$2:$C$8421,Transaction!$B$2:$B$8421,A265)</f>
        <v>46233</v>
      </c>
      <c r="K265" s="6" t="n">
        <f aca="false">COUNTIF(Transaction!$B$2:$B$8421,A265)</f>
        <v>3</v>
      </c>
      <c r="L265" s="10" t="n">
        <f aca="false">SUMIF(Transaction!$B$2:$B$8421,A265,Transaction!$H$2:$H$8421)</f>
        <v>4833</v>
      </c>
      <c r="M265" s="6" t="n">
        <f aca="false">Summary!$B$3-J265</f>
        <v>33</v>
      </c>
      <c r="N265" s="6" t="str">
        <f aca="false">IF(K265&gt;1,"Yes","No")</f>
        <v>Yes</v>
      </c>
      <c r="O265" s="6" t="s">
        <v>46</v>
      </c>
    </row>
    <row r="266" customFormat="false" ht="15" hidden="false" customHeight="false" outlineLevel="0" collapsed="false">
      <c r="A266" s="6" t="s">
        <v>641</v>
      </c>
      <c r="B266" s="6" t="s">
        <v>642</v>
      </c>
      <c r="C266" s="6" t="s">
        <v>85</v>
      </c>
      <c r="D266" s="6" t="n">
        <v>42</v>
      </c>
      <c r="E266" s="6" t="s">
        <v>176</v>
      </c>
      <c r="F266" s="6" t="s">
        <v>177</v>
      </c>
      <c r="G266" s="26" t="n">
        <v>46051</v>
      </c>
      <c r="H266" s="6" t="s">
        <v>88</v>
      </c>
      <c r="I266" s="26" t="n">
        <f aca="false">_xlfn.MINIFS(Transaction!$C$2:$C$8421,Transaction!$B$2:$B$8421,A266)</f>
        <v>46108</v>
      </c>
      <c r="J266" s="26" t="n">
        <f aca="false">_xlfn.MAXIFS(Transaction!$C$2:$C$8421,Transaction!$B$2:$B$8421,A266)</f>
        <v>46256</v>
      </c>
      <c r="K266" s="6" t="n">
        <f aca="false">COUNTIF(Transaction!$B$2:$B$8421,A266)</f>
        <v>7</v>
      </c>
      <c r="L266" s="10" t="n">
        <f aca="false">SUMIF(Transaction!$B$2:$B$8421,A266,Transaction!$H$2:$H$8421)</f>
        <v>19662</v>
      </c>
      <c r="M266" s="6" t="n">
        <f aca="false">Summary!$B$3-J266</f>
        <v>10</v>
      </c>
      <c r="N266" s="6" t="str">
        <f aca="false">IF(K266&gt;1,"Yes","No")</f>
        <v>Yes</v>
      </c>
      <c r="O266" s="6" t="s">
        <v>45</v>
      </c>
    </row>
    <row r="267" customFormat="false" ht="15" hidden="false" customHeight="false" outlineLevel="0" collapsed="false">
      <c r="A267" s="6" t="s">
        <v>643</v>
      </c>
      <c r="B267" s="6" t="s">
        <v>644</v>
      </c>
      <c r="C267" s="6" t="s">
        <v>85</v>
      </c>
      <c r="D267" s="6" t="n">
        <v>28</v>
      </c>
      <c r="E267" s="6" t="s">
        <v>146</v>
      </c>
      <c r="F267" s="6" t="s">
        <v>147</v>
      </c>
      <c r="G267" s="26" t="n">
        <v>46221</v>
      </c>
      <c r="H267" s="6" t="s">
        <v>123</v>
      </c>
      <c r="I267" s="26" t="n">
        <f aca="false">_xlfn.MINIFS(Transaction!$C$2:$C$8421,Transaction!$B$2:$B$8421,A267)</f>
        <v>46264</v>
      </c>
      <c r="J267" s="26" t="n">
        <f aca="false">_xlfn.MAXIFS(Transaction!$C$2:$C$8421,Transaction!$B$2:$B$8421,A267)</f>
        <v>46264</v>
      </c>
      <c r="K267" s="6" t="n">
        <f aca="false">COUNTIF(Transaction!$B$2:$B$8421,A267)</f>
        <v>1</v>
      </c>
      <c r="L267" s="10" t="n">
        <f aca="false">SUMIF(Transaction!$B$2:$B$8421,A267,Transaction!$H$2:$H$8421)</f>
        <v>980</v>
      </c>
      <c r="M267" s="6" t="n">
        <f aca="false">Summary!$B$3-J267</f>
        <v>2</v>
      </c>
      <c r="N267" s="6" t="str">
        <f aca="false">IF(K267&gt;1,"Yes","No")</f>
        <v>No</v>
      </c>
      <c r="O267" s="6" t="s">
        <v>47</v>
      </c>
    </row>
    <row r="268" customFormat="false" ht="15" hidden="false" customHeight="false" outlineLevel="0" collapsed="false">
      <c r="A268" s="6" t="s">
        <v>645</v>
      </c>
      <c r="B268" s="6" t="s">
        <v>646</v>
      </c>
      <c r="C268" s="6" t="s">
        <v>75</v>
      </c>
      <c r="D268" s="6" t="n">
        <v>26</v>
      </c>
      <c r="E268" s="6" t="s">
        <v>121</v>
      </c>
      <c r="F268" s="6" t="s">
        <v>122</v>
      </c>
      <c r="G268" s="26" t="n">
        <v>46023</v>
      </c>
      <c r="H268" s="6" t="s">
        <v>78</v>
      </c>
      <c r="I268" s="26" t="n">
        <f aca="false">_xlfn.MINIFS(Transaction!$C$2:$C$8421,Transaction!$B$2:$B$8421,A268)</f>
        <v>46095</v>
      </c>
      <c r="J268" s="26" t="n">
        <f aca="false">_xlfn.MAXIFS(Transaction!$C$2:$C$8421,Transaction!$B$2:$B$8421,A268)</f>
        <v>46095</v>
      </c>
      <c r="K268" s="6" t="n">
        <f aca="false">COUNTIF(Transaction!$B$2:$B$8421,A268)</f>
        <v>1</v>
      </c>
      <c r="L268" s="10" t="n">
        <f aca="false">SUMIF(Transaction!$B$2:$B$8421,A268,Transaction!$H$2:$H$8421)</f>
        <v>2229</v>
      </c>
      <c r="M268" s="6" t="n">
        <f aca="false">Summary!$B$3-J268</f>
        <v>171</v>
      </c>
      <c r="N268" s="6" t="str">
        <f aca="false">IF(K268&gt;1,"Yes","No")</f>
        <v>No</v>
      </c>
      <c r="O268" s="6" t="s">
        <v>49</v>
      </c>
    </row>
    <row r="269" customFormat="false" ht="15" hidden="false" customHeight="false" outlineLevel="0" collapsed="false">
      <c r="A269" s="6" t="s">
        <v>647</v>
      </c>
      <c r="B269" s="6" t="s">
        <v>648</v>
      </c>
      <c r="C269" s="6" t="s">
        <v>75</v>
      </c>
      <c r="D269" s="6" t="n">
        <v>26</v>
      </c>
      <c r="E269" s="6" t="s">
        <v>237</v>
      </c>
      <c r="F269" s="6" t="s">
        <v>87</v>
      </c>
      <c r="G269" s="26" t="n">
        <v>46104</v>
      </c>
      <c r="H269" s="6" t="s">
        <v>78</v>
      </c>
      <c r="I269" s="26" t="n">
        <f aca="false">_xlfn.MINIFS(Transaction!$C$2:$C$8421,Transaction!$B$2:$B$8421,A269)</f>
        <v>46105</v>
      </c>
      <c r="J269" s="26" t="n">
        <f aca="false">_xlfn.MAXIFS(Transaction!$C$2:$C$8421,Transaction!$B$2:$B$8421,A269)</f>
        <v>46105</v>
      </c>
      <c r="K269" s="6" t="n">
        <f aca="false">COUNTIF(Transaction!$B$2:$B$8421,A269)</f>
        <v>1</v>
      </c>
      <c r="L269" s="10" t="n">
        <f aca="false">SUMIF(Transaction!$B$2:$B$8421,A269,Transaction!$H$2:$H$8421)</f>
        <v>1271</v>
      </c>
      <c r="M269" s="6" t="n">
        <f aca="false">Summary!$B$3-J269</f>
        <v>161</v>
      </c>
      <c r="N269" s="6" t="str">
        <f aca="false">IF(K269&gt;1,"Yes","No")</f>
        <v>No</v>
      </c>
      <c r="O269" s="6" t="s">
        <v>49</v>
      </c>
    </row>
    <row r="270" customFormat="false" ht="15" hidden="false" customHeight="false" outlineLevel="0" collapsed="false">
      <c r="A270" s="6" t="s">
        <v>649</v>
      </c>
      <c r="B270" s="6" t="s">
        <v>650</v>
      </c>
      <c r="C270" s="6" t="s">
        <v>75</v>
      </c>
      <c r="D270" s="6" t="n">
        <v>35</v>
      </c>
      <c r="E270" s="6" t="s">
        <v>91</v>
      </c>
      <c r="F270" s="6" t="s">
        <v>77</v>
      </c>
      <c r="G270" s="26" t="n">
        <v>46208</v>
      </c>
      <c r="H270" s="6" t="s">
        <v>88</v>
      </c>
      <c r="I270" s="26" t="n">
        <f aca="false">_xlfn.MINIFS(Transaction!$C$2:$C$8421,Transaction!$B$2:$B$8421,A270)</f>
        <v>46224</v>
      </c>
      <c r="J270" s="26" t="n">
        <f aca="false">_xlfn.MAXIFS(Transaction!$C$2:$C$8421,Transaction!$B$2:$B$8421,A270)</f>
        <v>46224</v>
      </c>
      <c r="K270" s="6" t="n">
        <f aca="false">COUNTIF(Transaction!$B$2:$B$8421,A270)</f>
        <v>1</v>
      </c>
      <c r="L270" s="10" t="n">
        <f aca="false">SUMIF(Transaction!$B$2:$B$8421,A270,Transaction!$H$2:$H$8421)</f>
        <v>744</v>
      </c>
      <c r="M270" s="6" t="n">
        <f aca="false">Summary!$B$3-J270</f>
        <v>42</v>
      </c>
      <c r="N270" s="6" t="str">
        <f aca="false">IF(K270&gt;1,"Yes","No")</f>
        <v>No</v>
      </c>
      <c r="O270" s="6" t="s">
        <v>47</v>
      </c>
    </row>
    <row r="271" customFormat="false" ht="15" hidden="false" customHeight="false" outlineLevel="0" collapsed="false">
      <c r="A271" s="6" t="s">
        <v>651</v>
      </c>
      <c r="B271" s="6" t="s">
        <v>652</v>
      </c>
      <c r="C271" s="6" t="s">
        <v>75</v>
      </c>
      <c r="D271" s="6" t="n">
        <v>37</v>
      </c>
      <c r="E271" s="6" t="s">
        <v>121</v>
      </c>
      <c r="F271" s="6" t="s">
        <v>122</v>
      </c>
      <c r="G271" s="26" t="n">
        <v>46208</v>
      </c>
      <c r="H271" s="6" t="s">
        <v>92</v>
      </c>
      <c r="I271" s="26" t="n">
        <f aca="false">_xlfn.MINIFS(Transaction!$C$2:$C$8421,Transaction!$B$2:$B$8421,A271)</f>
        <v>46237</v>
      </c>
      <c r="J271" s="26" t="n">
        <f aca="false">_xlfn.MAXIFS(Transaction!$C$2:$C$8421,Transaction!$B$2:$B$8421,A271)</f>
        <v>46237</v>
      </c>
      <c r="K271" s="6" t="n">
        <f aca="false">COUNTIF(Transaction!$B$2:$B$8421,A271)</f>
        <v>1</v>
      </c>
      <c r="L271" s="10" t="n">
        <f aca="false">SUMIF(Transaction!$B$2:$B$8421,A271,Transaction!$H$2:$H$8421)</f>
        <v>1529</v>
      </c>
      <c r="M271" s="6" t="n">
        <f aca="false">Summary!$B$3-J271</f>
        <v>29</v>
      </c>
      <c r="N271" s="6" t="str">
        <f aca="false">IF(K271&gt;1,"Yes","No")</f>
        <v>No</v>
      </c>
      <c r="O271" s="6" t="s">
        <v>47</v>
      </c>
    </row>
    <row r="272" customFormat="false" ht="15" hidden="false" customHeight="false" outlineLevel="0" collapsed="false">
      <c r="A272" s="6" t="s">
        <v>653</v>
      </c>
      <c r="B272" s="6" t="s">
        <v>654</v>
      </c>
      <c r="C272" s="6" t="s">
        <v>75</v>
      </c>
      <c r="D272" s="6" t="n">
        <v>56</v>
      </c>
      <c r="E272" s="6" t="s">
        <v>321</v>
      </c>
      <c r="F272" s="6" t="s">
        <v>321</v>
      </c>
      <c r="G272" s="26" t="n">
        <v>46072</v>
      </c>
      <c r="H272" s="6" t="s">
        <v>78</v>
      </c>
      <c r="I272" s="26" t="n">
        <f aca="false">_xlfn.MINIFS(Transaction!$C$2:$C$8421,Transaction!$B$2:$B$8421,A272)</f>
        <v>46088</v>
      </c>
      <c r="J272" s="26" t="n">
        <f aca="false">_xlfn.MAXIFS(Transaction!$C$2:$C$8421,Transaction!$B$2:$B$8421,A272)</f>
        <v>46088</v>
      </c>
      <c r="K272" s="6" t="n">
        <f aca="false">COUNTIF(Transaction!$B$2:$B$8421,A272)</f>
        <v>1</v>
      </c>
      <c r="L272" s="10" t="n">
        <f aca="false">SUMIF(Transaction!$B$2:$B$8421,A272,Transaction!$H$2:$H$8421)</f>
        <v>2358</v>
      </c>
      <c r="M272" s="6" t="n">
        <f aca="false">Summary!$B$3-J272</f>
        <v>178</v>
      </c>
      <c r="N272" s="6" t="str">
        <f aca="false">IF(K272&gt;1,"Yes","No")</f>
        <v>No</v>
      </c>
      <c r="O272" s="6" t="s">
        <v>49</v>
      </c>
    </row>
    <row r="273" customFormat="false" ht="15" hidden="false" customHeight="false" outlineLevel="0" collapsed="false">
      <c r="A273" s="6" t="s">
        <v>655</v>
      </c>
      <c r="B273" s="6" t="s">
        <v>656</v>
      </c>
      <c r="C273" s="6" t="s">
        <v>75</v>
      </c>
      <c r="D273" s="6" t="n">
        <v>28</v>
      </c>
      <c r="E273" s="6" t="s">
        <v>76</v>
      </c>
      <c r="F273" s="6" t="s">
        <v>77</v>
      </c>
      <c r="G273" s="26" t="n">
        <v>46058</v>
      </c>
      <c r="H273" s="6" t="s">
        <v>102</v>
      </c>
      <c r="I273" s="26" t="n">
        <f aca="false">_xlfn.MINIFS(Transaction!$C$2:$C$8421,Transaction!$B$2:$B$8421,A273)</f>
        <v>46147</v>
      </c>
      <c r="J273" s="26" t="n">
        <f aca="false">_xlfn.MAXIFS(Transaction!$C$2:$C$8421,Transaction!$B$2:$B$8421,A273)</f>
        <v>46252</v>
      </c>
      <c r="K273" s="6" t="n">
        <f aca="false">COUNTIF(Transaction!$B$2:$B$8421,A273)</f>
        <v>6</v>
      </c>
      <c r="L273" s="10" t="n">
        <f aca="false">SUMIF(Transaction!$B$2:$B$8421,A273,Transaction!$H$2:$H$8421)</f>
        <v>5494</v>
      </c>
      <c r="M273" s="6" t="n">
        <f aca="false">Summary!$B$3-J273</f>
        <v>14</v>
      </c>
      <c r="N273" s="6" t="str">
        <f aca="false">IF(K273&gt;1,"Yes","No")</f>
        <v>Yes</v>
      </c>
      <c r="O273" s="6" t="s">
        <v>46</v>
      </c>
    </row>
    <row r="274" customFormat="false" ht="15" hidden="false" customHeight="false" outlineLevel="0" collapsed="false">
      <c r="A274" s="6" t="s">
        <v>657</v>
      </c>
      <c r="B274" s="6" t="s">
        <v>658</v>
      </c>
      <c r="C274" s="6" t="s">
        <v>75</v>
      </c>
      <c r="D274" s="6" t="n">
        <v>24</v>
      </c>
      <c r="E274" s="6" t="s">
        <v>81</v>
      </c>
      <c r="F274" s="6" t="s">
        <v>82</v>
      </c>
      <c r="G274" s="26" t="n">
        <v>45971</v>
      </c>
      <c r="H274" s="6" t="s">
        <v>78</v>
      </c>
      <c r="I274" s="26" t="n">
        <f aca="false">_xlfn.MINIFS(Transaction!$C$2:$C$8421,Transaction!$B$2:$B$8421,A274)</f>
        <v>46059</v>
      </c>
      <c r="J274" s="26" t="n">
        <f aca="false">_xlfn.MAXIFS(Transaction!$C$2:$C$8421,Transaction!$B$2:$B$8421,A274)</f>
        <v>46059</v>
      </c>
      <c r="K274" s="6" t="n">
        <f aca="false">COUNTIF(Transaction!$B$2:$B$8421,A274)</f>
        <v>1</v>
      </c>
      <c r="L274" s="10" t="n">
        <f aca="false">SUMIF(Transaction!$B$2:$B$8421,A274,Transaction!$H$2:$H$8421)</f>
        <v>1014</v>
      </c>
      <c r="M274" s="6" t="n">
        <f aca="false">Summary!$B$3-J274</f>
        <v>207</v>
      </c>
      <c r="N274" s="6" t="str">
        <f aca="false">IF(K274&gt;1,"Yes","No")</f>
        <v>No</v>
      </c>
      <c r="O274" s="6" t="s">
        <v>49</v>
      </c>
    </row>
    <row r="275" customFormat="false" ht="15" hidden="false" customHeight="false" outlineLevel="0" collapsed="false">
      <c r="A275" s="6" t="s">
        <v>659</v>
      </c>
      <c r="B275" s="6" t="s">
        <v>660</v>
      </c>
      <c r="C275" s="6" t="s">
        <v>75</v>
      </c>
      <c r="D275" s="6" t="n">
        <v>18</v>
      </c>
      <c r="E275" s="6" t="s">
        <v>176</v>
      </c>
      <c r="F275" s="6" t="s">
        <v>177</v>
      </c>
      <c r="G275" s="26" t="n">
        <v>45977</v>
      </c>
      <c r="H275" s="6" t="s">
        <v>88</v>
      </c>
      <c r="I275" s="26" t="n">
        <f aca="false">_xlfn.MINIFS(Transaction!$C$2:$C$8421,Transaction!$B$2:$B$8421,A275)</f>
        <v>46025</v>
      </c>
      <c r="J275" s="26" t="n">
        <f aca="false">_xlfn.MAXIFS(Transaction!$C$2:$C$8421,Transaction!$B$2:$B$8421,A275)</f>
        <v>46253</v>
      </c>
      <c r="K275" s="6" t="n">
        <f aca="false">COUNTIF(Transaction!$B$2:$B$8421,A275)</f>
        <v>7</v>
      </c>
      <c r="L275" s="10" t="n">
        <f aca="false">SUMIF(Transaction!$B$2:$B$8421,A275,Transaction!$H$2:$H$8421)</f>
        <v>8726</v>
      </c>
      <c r="M275" s="6" t="n">
        <f aca="false">Summary!$B$3-J275</f>
        <v>13</v>
      </c>
      <c r="N275" s="6" t="str">
        <f aca="false">IF(K275&gt;1,"Yes","No")</f>
        <v>Yes</v>
      </c>
      <c r="O275" s="6" t="s">
        <v>45</v>
      </c>
    </row>
    <row r="276" customFormat="false" ht="15" hidden="false" customHeight="false" outlineLevel="0" collapsed="false">
      <c r="A276" s="6" t="s">
        <v>661</v>
      </c>
      <c r="B276" s="6" t="s">
        <v>662</v>
      </c>
      <c r="C276" s="6" t="s">
        <v>85</v>
      </c>
      <c r="D276" s="6" t="n">
        <v>25</v>
      </c>
      <c r="E276" s="6" t="s">
        <v>76</v>
      </c>
      <c r="F276" s="6" t="s">
        <v>77</v>
      </c>
      <c r="G276" s="26" t="n">
        <v>46141</v>
      </c>
      <c r="H276" s="6" t="s">
        <v>78</v>
      </c>
      <c r="I276" s="26" t="n">
        <f aca="false">_xlfn.MINIFS(Transaction!$C$2:$C$8421,Transaction!$B$2:$B$8421,A276)</f>
        <v>46168</v>
      </c>
      <c r="J276" s="26" t="n">
        <f aca="false">_xlfn.MAXIFS(Transaction!$C$2:$C$8421,Transaction!$B$2:$B$8421,A276)</f>
        <v>46168</v>
      </c>
      <c r="K276" s="6" t="n">
        <f aca="false">COUNTIF(Transaction!$B$2:$B$8421,A276)</f>
        <v>1</v>
      </c>
      <c r="L276" s="10" t="n">
        <f aca="false">SUMIF(Transaction!$B$2:$B$8421,A276,Transaction!$H$2:$H$8421)</f>
        <v>2091</v>
      </c>
      <c r="M276" s="6" t="n">
        <f aca="false">Summary!$B$3-J276</f>
        <v>98</v>
      </c>
      <c r="N276" s="6" t="str">
        <f aca="false">IF(K276&gt;1,"Yes","No")</f>
        <v>No</v>
      </c>
      <c r="O276" s="6" t="s">
        <v>48</v>
      </c>
    </row>
    <row r="277" customFormat="false" ht="15" hidden="false" customHeight="false" outlineLevel="0" collapsed="false">
      <c r="A277" s="6" t="s">
        <v>663</v>
      </c>
      <c r="B277" s="6" t="s">
        <v>664</v>
      </c>
      <c r="C277" s="6" t="s">
        <v>85</v>
      </c>
      <c r="D277" s="6" t="n">
        <v>34</v>
      </c>
      <c r="E277" s="6" t="s">
        <v>81</v>
      </c>
      <c r="F277" s="6" t="s">
        <v>82</v>
      </c>
      <c r="G277" s="26" t="n">
        <v>46114</v>
      </c>
      <c r="H277" s="6" t="s">
        <v>78</v>
      </c>
      <c r="I277" s="26" t="n">
        <f aca="false">_xlfn.MINIFS(Transaction!$C$2:$C$8421,Transaction!$B$2:$B$8421,A277)</f>
        <v>46166</v>
      </c>
      <c r="J277" s="26" t="n">
        <f aca="false">_xlfn.MAXIFS(Transaction!$C$2:$C$8421,Transaction!$B$2:$B$8421,A277)</f>
        <v>46166</v>
      </c>
      <c r="K277" s="6" t="n">
        <f aca="false">COUNTIF(Transaction!$B$2:$B$8421,A277)</f>
        <v>1</v>
      </c>
      <c r="L277" s="10" t="n">
        <f aca="false">SUMIF(Transaction!$B$2:$B$8421,A277,Transaction!$H$2:$H$8421)</f>
        <v>3915</v>
      </c>
      <c r="M277" s="6" t="n">
        <f aca="false">Summary!$B$3-J277</f>
        <v>100</v>
      </c>
      <c r="N277" s="6" t="str">
        <f aca="false">IF(K277&gt;1,"Yes","No")</f>
        <v>No</v>
      </c>
      <c r="O277" s="6" t="s">
        <v>48</v>
      </c>
    </row>
    <row r="278" customFormat="false" ht="15" hidden="false" customHeight="false" outlineLevel="0" collapsed="false">
      <c r="A278" s="6" t="s">
        <v>665</v>
      </c>
      <c r="B278" s="6" t="s">
        <v>666</v>
      </c>
      <c r="C278" s="6" t="s">
        <v>75</v>
      </c>
      <c r="D278" s="6" t="n">
        <v>18</v>
      </c>
      <c r="E278" s="6" t="s">
        <v>86</v>
      </c>
      <c r="F278" s="6" t="s">
        <v>87</v>
      </c>
      <c r="G278" s="26" t="n">
        <v>46059</v>
      </c>
      <c r="H278" s="6" t="s">
        <v>115</v>
      </c>
      <c r="I278" s="26" t="n">
        <f aca="false">_xlfn.MINIFS(Transaction!$C$2:$C$8421,Transaction!$B$2:$B$8421,A278)</f>
        <v>46061</v>
      </c>
      <c r="J278" s="26" t="n">
        <f aca="false">_xlfn.MAXIFS(Transaction!$C$2:$C$8421,Transaction!$B$2:$B$8421,A278)</f>
        <v>46248</v>
      </c>
      <c r="K278" s="6" t="n">
        <f aca="false">COUNTIF(Transaction!$B$2:$B$8421,A278)</f>
        <v>10</v>
      </c>
      <c r="L278" s="10" t="n">
        <f aca="false">SUMIF(Transaction!$B$2:$B$8421,A278,Transaction!$H$2:$H$8421)</f>
        <v>32508</v>
      </c>
      <c r="M278" s="6" t="n">
        <f aca="false">Summary!$B$3-J278</f>
        <v>18</v>
      </c>
      <c r="N278" s="6" t="str">
        <f aca="false">IF(K278&gt;1,"Yes","No")</f>
        <v>Yes</v>
      </c>
      <c r="O278" s="6" t="s">
        <v>45</v>
      </c>
    </row>
    <row r="279" customFormat="false" ht="15" hidden="false" customHeight="false" outlineLevel="0" collapsed="false">
      <c r="A279" s="6" t="s">
        <v>667</v>
      </c>
      <c r="B279" s="6" t="s">
        <v>668</v>
      </c>
      <c r="C279" s="6" t="s">
        <v>85</v>
      </c>
      <c r="D279" s="6" t="n">
        <v>23</v>
      </c>
      <c r="E279" s="6" t="s">
        <v>176</v>
      </c>
      <c r="F279" s="6" t="s">
        <v>177</v>
      </c>
      <c r="G279" s="26" t="n">
        <v>46052</v>
      </c>
      <c r="H279" s="6" t="s">
        <v>123</v>
      </c>
      <c r="I279" s="26" t="n">
        <f aca="false">_xlfn.MINIFS(Transaction!$C$2:$C$8421,Transaction!$B$2:$B$8421,A279)</f>
        <v>46105</v>
      </c>
      <c r="J279" s="26" t="n">
        <f aca="false">_xlfn.MAXIFS(Transaction!$C$2:$C$8421,Transaction!$B$2:$B$8421,A279)</f>
        <v>46105</v>
      </c>
      <c r="K279" s="6" t="n">
        <f aca="false">COUNTIF(Transaction!$B$2:$B$8421,A279)</f>
        <v>1</v>
      </c>
      <c r="L279" s="10" t="n">
        <f aca="false">SUMIF(Transaction!$B$2:$B$8421,A279,Transaction!$H$2:$H$8421)</f>
        <v>2385</v>
      </c>
      <c r="M279" s="6" t="n">
        <f aca="false">Summary!$B$3-J279</f>
        <v>161</v>
      </c>
      <c r="N279" s="6" t="str">
        <f aca="false">IF(K279&gt;1,"Yes","No")</f>
        <v>No</v>
      </c>
      <c r="O279" s="6" t="s">
        <v>49</v>
      </c>
    </row>
    <row r="280" customFormat="false" ht="15" hidden="false" customHeight="false" outlineLevel="0" collapsed="false">
      <c r="A280" s="6" t="s">
        <v>669</v>
      </c>
      <c r="B280" s="6" t="s">
        <v>670</v>
      </c>
      <c r="C280" s="6" t="s">
        <v>75</v>
      </c>
      <c r="D280" s="6" t="n">
        <v>31</v>
      </c>
      <c r="E280" s="6" t="s">
        <v>91</v>
      </c>
      <c r="F280" s="6" t="s">
        <v>77</v>
      </c>
      <c r="G280" s="26" t="n">
        <v>46049</v>
      </c>
      <c r="H280" s="6" t="s">
        <v>88</v>
      </c>
      <c r="I280" s="26" t="n">
        <f aca="false">_xlfn.MINIFS(Transaction!$C$2:$C$8421,Transaction!$B$2:$B$8421,A280)</f>
        <v>46092</v>
      </c>
      <c r="J280" s="26" t="n">
        <f aca="false">_xlfn.MAXIFS(Transaction!$C$2:$C$8421,Transaction!$B$2:$B$8421,A280)</f>
        <v>46249</v>
      </c>
      <c r="K280" s="6" t="n">
        <f aca="false">COUNTIF(Transaction!$B$2:$B$8421,A280)</f>
        <v>6</v>
      </c>
      <c r="L280" s="10" t="n">
        <f aca="false">SUMIF(Transaction!$B$2:$B$8421,A280,Transaction!$H$2:$H$8421)</f>
        <v>12460</v>
      </c>
      <c r="M280" s="6" t="n">
        <f aca="false">Summary!$B$3-J280</f>
        <v>17</v>
      </c>
      <c r="N280" s="6" t="str">
        <f aca="false">IF(K280&gt;1,"Yes","No")</f>
        <v>Yes</v>
      </c>
      <c r="O280" s="6" t="s">
        <v>45</v>
      </c>
    </row>
    <row r="281" customFormat="false" ht="15" hidden="false" customHeight="false" outlineLevel="0" collapsed="false">
      <c r="A281" s="6" t="s">
        <v>671</v>
      </c>
      <c r="B281" s="6" t="s">
        <v>672</v>
      </c>
      <c r="C281" s="6" t="s">
        <v>75</v>
      </c>
      <c r="D281" s="6" t="n">
        <v>23</v>
      </c>
      <c r="E281" s="6" t="s">
        <v>146</v>
      </c>
      <c r="F281" s="6" t="s">
        <v>147</v>
      </c>
      <c r="G281" s="26" t="n">
        <v>46034</v>
      </c>
      <c r="H281" s="6" t="s">
        <v>78</v>
      </c>
      <c r="I281" s="26" t="n">
        <f aca="false">_xlfn.MINIFS(Transaction!$C$2:$C$8421,Transaction!$B$2:$B$8421,A281)</f>
        <v>46094</v>
      </c>
      <c r="J281" s="26" t="n">
        <f aca="false">_xlfn.MAXIFS(Transaction!$C$2:$C$8421,Transaction!$B$2:$B$8421,A281)</f>
        <v>46094</v>
      </c>
      <c r="K281" s="6" t="n">
        <f aca="false">COUNTIF(Transaction!$B$2:$B$8421,A281)</f>
        <v>1</v>
      </c>
      <c r="L281" s="10" t="n">
        <f aca="false">SUMIF(Transaction!$B$2:$B$8421,A281,Transaction!$H$2:$H$8421)</f>
        <v>2232</v>
      </c>
      <c r="M281" s="6" t="n">
        <f aca="false">Summary!$B$3-J281</f>
        <v>172</v>
      </c>
      <c r="N281" s="6" t="str">
        <f aca="false">IF(K281&gt;1,"Yes","No")</f>
        <v>No</v>
      </c>
      <c r="O281" s="6" t="s">
        <v>49</v>
      </c>
    </row>
    <row r="282" customFormat="false" ht="15" hidden="false" customHeight="false" outlineLevel="0" collapsed="false">
      <c r="A282" s="6" t="s">
        <v>673</v>
      </c>
      <c r="B282" s="6" t="s">
        <v>674</v>
      </c>
      <c r="C282" s="6" t="s">
        <v>85</v>
      </c>
      <c r="D282" s="6" t="n">
        <v>42</v>
      </c>
      <c r="E282" s="6" t="s">
        <v>126</v>
      </c>
      <c r="F282" s="6" t="s">
        <v>127</v>
      </c>
      <c r="G282" s="26" t="n">
        <v>45958</v>
      </c>
      <c r="H282" s="6" t="s">
        <v>78</v>
      </c>
      <c r="I282" s="26" t="n">
        <f aca="false">_xlfn.MINIFS(Transaction!$C$2:$C$8421,Transaction!$B$2:$B$8421,A282)</f>
        <v>46031</v>
      </c>
      <c r="J282" s="26" t="n">
        <f aca="false">_xlfn.MAXIFS(Transaction!$C$2:$C$8421,Transaction!$B$2:$B$8421,A282)</f>
        <v>46259</v>
      </c>
      <c r="K282" s="6" t="n">
        <f aca="false">COUNTIF(Transaction!$B$2:$B$8421,A282)</f>
        <v>8</v>
      </c>
      <c r="L282" s="10" t="n">
        <f aca="false">SUMIF(Transaction!$B$2:$B$8421,A282,Transaction!$H$2:$H$8421)</f>
        <v>19483</v>
      </c>
      <c r="M282" s="6" t="n">
        <f aca="false">Summary!$B$3-J282</f>
        <v>7</v>
      </c>
      <c r="N282" s="6" t="str">
        <f aca="false">IF(K282&gt;1,"Yes","No")</f>
        <v>Yes</v>
      </c>
      <c r="O282" s="6" t="s">
        <v>45</v>
      </c>
    </row>
    <row r="283" customFormat="false" ht="15" hidden="false" customHeight="false" outlineLevel="0" collapsed="false">
      <c r="A283" s="6" t="s">
        <v>675</v>
      </c>
      <c r="B283" s="6" t="s">
        <v>676</v>
      </c>
      <c r="C283" s="6" t="s">
        <v>85</v>
      </c>
      <c r="D283" s="6" t="n">
        <v>32</v>
      </c>
      <c r="E283" s="6" t="s">
        <v>91</v>
      </c>
      <c r="F283" s="6" t="s">
        <v>77</v>
      </c>
      <c r="G283" s="26" t="n">
        <v>46025</v>
      </c>
      <c r="H283" s="6" t="s">
        <v>102</v>
      </c>
      <c r="I283" s="26" t="n">
        <f aca="false">_xlfn.MINIFS(Transaction!$C$2:$C$8421,Transaction!$B$2:$B$8421,A283)</f>
        <v>46083</v>
      </c>
      <c r="J283" s="26" t="n">
        <f aca="false">_xlfn.MAXIFS(Transaction!$C$2:$C$8421,Transaction!$B$2:$B$8421,A283)</f>
        <v>46227</v>
      </c>
      <c r="K283" s="6" t="n">
        <f aca="false">COUNTIF(Transaction!$B$2:$B$8421,A283)</f>
        <v>4</v>
      </c>
      <c r="L283" s="10" t="n">
        <f aca="false">SUMIF(Transaction!$B$2:$B$8421,A283,Transaction!$H$2:$H$8421)</f>
        <v>6236</v>
      </c>
      <c r="M283" s="6" t="n">
        <f aca="false">Summary!$B$3-J283</f>
        <v>39</v>
      </c>
      <c r="N283" s="6" t="str">
        <f aca="false">IF(K283&gt;1,"Yes","No")</f>
        <v>Yes</v>
      </c>
      <c r="O283" s="6" t="s">
        <v>46</v>
      </c>
    </row>
    <row r="284" customFormat="false" ht="15" hidden="false" customHeight="false" outlineLevel="0" collapsed="false">
      <c r="A284" s="6" t="s">
        <v>677</v>
      </c>
      <c r="B284" s="6" t="s">
        <v>678</v>
      </c>
      <c r="C284" s="6" t="s">
        <v>75</v>
      </c>
      <c r="D284" s="6" t="n">
        <v>33</v>
      </c>
      <c r="E284" s="6" t="s">
        <v>91</v>
      </c>
      <c r="F284" s="6" t="s">
        <v>77</v>
      </c>
      <c r="G284" s="26" t="n">
        <v>46014</v>
      </c>
      <c r="H284" s="6" t="s">
        <v>102</v>
      </c>
      <c r="I284" s="26" t="n">
        <f aca="false">_xlfn.MINIFS(Transaction!$C$2:$C$8421,Transaction!$B$2:$B$8421,A284)</f>
        <v>46046</v>
      </c>
      <c r="J284" s="26" t="n">
        <f aca="false">_xlfn.MAXIFS(Transaction!$C$2:$C$8421,Transaction!$B$2:$B$8421,A284)</f>
        <v>46192</v>
      </c>
      <c r="K284" s="6" t="n">
        <f aca="false">COUNTIF(Transaction!$B$2:$B$8421,A284)</f>
        <v>5</v>
      </c>
      <c r="L284" s="10" t="n">
        <f aca="false">SUMIF(Transaction!$B$2:$B$8421,A284,Transaction!$H$2:$H$8421)</f>
        <v>10798</v>
      </c>
      <c r="M284" s="6" t="n">
        <f aca="false">Summary!$B$3-J284</f>
        <v>74</v>
      </c>
      <c r="N284" s="6" t="str">
        <f aca="false">IF(K284&gt;1,"Yes","No")</f>
        <v>Yes</v>
      </c>
      <c r="O284" s="6" t="s">
        <v>46</v>
      </c>
    </row>
    <row r="285" customFormat="false" ht="15" hidden="false" customHeight="false" outlineLevel="0" collapsed="false">
      <c r="A285" s="6" t="s">
        <v>679</v>
      </c>
      <c r="B285" s="6" t="s">
        <v>680</v>
      </c>
      <c r="C285" s="6" t="s">
        <v>75</v>
      </c>
      <c r="D285" s="6" t="n">
        <v>27</v>
      </c>
      <c r="E285" s="6" t="s">
        <v>95</v>
      </c>
      <c r="F285" s="6" t="s">
        <v>95</v>
      </c>
      <c r="G285" s="26" t="n">
        <v>45992</v>
      </c>
      <c r="H285" s="6" t="s">
        <v>123</v>
      </c>
      <c r="I285" s="26" t="n">
        <f aca="false">_xlfn.MINIFS(Transaction!$C$2:$C$8421,Transaction!$B$2:$B$8421,A285)</f>
        <v>46040</v>
      </c>
      <c r="J285" s="26" t="n">
        <f aca="false">_xlfn.MAXIFS(Transaction!$C$2:$C$8421,Transaction!$B$2:$B$8421,A285)</f>
        <v>46040</v>
      </c>
      <c r="K285" s="6" t="n">
        <f aca="false">COUNTIF(Transaction!$B$2:$B$8421,A285)</f>
        <v>1</v>
      </c>
      <c r="L285" s="10" t="n">
        <f aca="false">SUMIF(Transaction!$B$2:$B$8421,A285,Transaction!$H$2:$H$8421)</f>
        <v>1987</v>
      </c>
      <c r="M285" s="6" t="n">
        <f aca="false">Summary!$B$3-J285</f>
        <v>226</v>
      </c>
      <c r="N285" s="6" t="str">
        <f aca="false">IF(K285&gt;1,"Yes","No")</f>
        <v>No</v>
      </c>
      <c r="O285" s="6" t="s">
        <v>49</v>
      </c>
    </row>
    <row r="286" customFormat="false" ht="15" hidden="false" customHeight="false" outlineLevel="0" collapsed="false">
      <c r="A286" s="6" t="s">
        <v>681</v>
      </c>
      <c r="B286" s="6" t="s">
        <v>682</v>
      </c>
      <c r="C286" s="6" t="s">
        <v>85</v>
      </c>
      <c r="D286" s="6" t="n">
        <v>25</v>
      </c>
      <c r="E286" s="6" t="s">
        <v>180</v>
      </c>
      <c r="F286" s="6" t="s">
        <v>181</v>
      </c>
      <c r="G286" s="26" t="n">
        <v>46149</v>
      </c>
      <c r="H286" s="6" t="s">
        <v>88</v>
      </c>
      <c r="I286" s="26" t="n">
        <f aca="false">_xlfn.MINIFS(Transaction!$C$2:$C$8421,Transaction!$B$2:$B$8421,A286)</f>
        <v>46225</v>
      </c>
      <c r="J286" s="26" t="n">
        <f aca="false">_xlfn.MAXIFS(Transaction!$C$2:$C$8421,Transaction!$B$2:$B$8421,A286)</f>
        <v>46225</v>
      </c>
      <c r="K286" s="6" t="n">
        <f aca="false">COUNTIF(Transaction!$B$2:$B$8421,A286)</f>
        <v>1</v>
      </c>
      <c r="L286" s="10" t="n">
        <f aca="false">SUMIF(Transaction!$B$2:$B$8421,A286,Transaction!$H$2:$H$8421)</f>
        <v>1988</v>
      </c>
      <c r="M286" s="6" t="n">
        <f aca="false">Summary!$B$3-J286</f>
        <v>41</v>
      </c>
      <c r="N286" s="6" t="str">
        <f aca="false">IF(K286&gt;1,"Yes","No")</f>
        <v>No</v>
      </c>
      <c r="O286" s="6" t="s">
        <v>47</v>
      </c>
    </row>
    <row r="287" customFormat="false" ht="15" hidden="false" customHeight="false" outlineLevel="0" collapsed="false">
      <c r="A287" s="6" t="s">
        <v>683</v>
      </c>
      <c r="B287" s="6" t="s">
        <v>684</v>
      </c>
      <c r="C287" s="6" t="s">
        <v>75</v>
      </c>
      <c r="D287" s="6" t="n">
        <v>46</v>
      </c>
      <c r="E287" s="6" t="s">
        <v>76</v>
      </c>
      <c r="F287" s="6" t="s">
        <v>77</v>
      </c>
      <c r="G287" s="26" t="n">
        <v>46036</v>
      </c>
      <c r="H287" s="6" t="s">
        <v>115</v>
      </c>
      <c r="I287" s="26" t="n">
        <f aca="false">_xlfn.MINIFS(Transaction!$C$2:$C$8421,Transaction!$B$2:$B$8421,A287)</f>
        <v>46086</v>
      </c>
      <c r="J287" s="26" t="n">
        <f aca="false">_xlfn.MAXIFS(Transaction!$C$2:$C$8421,Transaction!$B$2:$B$8421,A287)</f>
        <v>46232</v>
      </c>
      <c r="K287" s="6" t="n">
        <f aca="false">COUNTIF(Transaction!$B$2:$B$8421,A287)</f>
        <v>3</v>
      </c>
      <c r="L287" s="10" t="n">
        <f aca="false">SUMIF(Transaction!$B$2:$B$8421,A287,Transaction!$H$2:$H$8421)</f>
        <v>19597</v>
      </c>
      <c r="M287" s="6" t="n">
        <f aca="false">Summary!$B$3-J287</f>
        <v>34</v>
      </c>
      <c r="N287" s="6" t="str">
        <f aca="false">IF(K287&gt;1,"Yes","No")</f>
        <v>Yes</v>
      </c>
      <c r="O287" s="6" t="s">
        <v>46</v>
      </c>
    </row>
    <row r="288" customFormat="false" ht="15" hidden="false" customHeight="false" outlineLevel="0" collapsed="false">
      <c r="A288" s="6" t="s">
        <v>685</v>
      </c>
      <c r="B288" s="6" t="s">
        <v>686</v>
      </c>
      <c r="C288" s="6" t="s">
        <v>85</v>
      </c>
      <c r="D288" s="6" t="n">
        <v>30</v>
      </c>
      <c r="E288" s="6" t="s">
        <v>91</v>
      </c>
      <c r="F288" s="6" t="s">
        <v>77</v>
      </c>
      <c r="G288" s="26" t="n">
        <v>46127</v>
      </c>
      <c r="H288" s="6" t="s">
        <v>115</v>
      </c>
      <c r="I288" s="26" t="n">
        <f aca="false">_xlfn.MINIFS(Transaction!$C$2:$C$8421,Transaction!$B$2:$B$8421,A288)</f>
        <v>46197</v>
      </c>
      <c r="J288" s="26" t="n">
        <f aca="false">_xlfn.MAXIFS(Transaction!$C$2:$C$8421,Transaction!$B$2:$B$8421,A288)</f>
        <v>46197</v>
      </c>
      <c r="K288" s="6" t="n">
        <f aca="false">COUNTIF(Transaction!$B$2:$B$8421,A288)</f>
        <v>1</v>
      </c>
      <c r="L288" s="10" t="n">
        <f aca="false">SUMIF(Transaction!$B$2:$B$8421,A288,Transaction!$H$2:$H$8421)</f>
        <v>733</v>
      </c>
      <c r="M288" s="6" t="n">
        <f aca="false">Summary!$B$3-J288</f>
        <v>69</v>
      </c>
      <c r="N288" s="6" t="str">
        <f aca="false">IF(K288&gt;1,"Yes","No")</f>
        <v>No</v>
      </c>
      <c r="O288" s="6" t="s">
        <v>47</v>
      </c>
    </row>
    <row r="289" customFormat="false" ht="15" hidden="false" customHeight="false" outlineLevel="0" collapsed="false">
      <c r="A289" s="6" t="s">
        <v>687</v>
      </c>
      <c r="B289" s="6" t="s">
        <v>688</v>
      </c>
      <c r="C289" s="6" t="s">
        <v>75</v>
      </c>
      <c r="D289" s="6" t="n">
        <v>20</v>
      </c>
      <c r="E289" s="6" t="s">
        <v>76</v>
      </c>
      <c r="F289" s="6" t="s">
        <v>77</v>
      </c>
      <c r="G289" s="26" t="n">
        <v>46180</v>
      </c>
      <c r="H289" s="6" t="s">
        <v>78</v>
      </c>
      <c r="I289" s="26" t="n">
        <f aca="false">_xlfn.MINIFS(Transaction!$C$2:$C$8421,Transaction!$B$2:$B$8421,A289)</f>
        <v>46193</v>
      </c>
      <c r="J289" s="26" t="n">
        <f aca="false">_xlfn.MAXIFS(Transaction!$C$2:$C$8421,Transaction!$B$2:$B$8421,A289)</f>
        <v>46193</v>
      </c>
      <c r="K289" s="6" t="n">
        <f aca="false">COUNTIF(Transaction!$B$2:$B$8421,A289)</f>
        <v>1</v>
      </c>
      <c r="L289" s="10" t="n">
        <f aca="false">SUMIF(Transaction!$B$2:$B$8421,A289,Transaction!$H$2:$H$8421)</f>
        <v>2931</v>
      </c>
      <c r="M289" s="6" t="n">
        <f aca="false">Summary!$B$3-J289</f>
        <v>73</v>
      </c>
      <c r="N289" s="6" t="str">
        <f aca="false">IF(K289&gt;1,"Yes","No")</f>
        <v>No</v>
      </c>
      <c r="O289" s="6" t="s">
        <v>47</v>
      </c>
    </row>
    <row r="290" customFormat="false" ht="15" hidden="false" customHeight="false" outlineLevel="0" collapsed="false">
      <c r="A290" s="6" t="s">
        <v>689</v>
      </c>
      <c r="B290" s="6" t="s">
        <v>690</v>
      </c>
      <c r="C290" s="6" t="s">
        <v>75</v>
      </c>
      <c r="D290" s="6" t="n">
        <v>31</v>
      </c>
      <c r="E290" s="6" t="s">
        <v>121</v>
      </c>
      <c r="F290" s="6" t="s">
        <v>122</v>
      </c>
      <c r="G290" s="26" t="n">
        <v>45987</v>
      </c>
      <c r="H290" s="6" t="s">
        <v>78</v>
      </c>
      <c r="I290" s="26" t="n">
        <f aca="false">_xlfn.MINIFS(Transaction!$C$2:$C$8421,Transaction!$B$2:$B$8421,A290)</f>
        <v>46026</v>
      </c>
      <c r="J290" s="26" t="n">
        <f aca="false">_xlfn.MAXIFS(Transaction!$C$2:$C$8421,Transaction!$B$2:$B$8421,A290)</f>
        <v>46254</v>
      </c>
      <c r="K290" s="6" t="n">
        <f aca="false">COUNTIF(Transaction!$B$2:$B$8421,A290)</f>
        <v>9</v>
      </c>
      <c r="L290" s="10" t="n">
        <f aca="false">SUMIF(Transaction!$B$2:$B$8421,A290,Transaction!$H$2:$H$8421)</f>
        <v>10679</v>
      </c>
      <c r="M290" s="6" t="n">
        <f aca="false">Summary!$B$3-J290</f>
        <v>12</v>
      </c>
      <c r="N290" s="6" t="str">
        <f aca="false">IF(K290&gt;1,"Yes","No")</f>
        <v>Yes</v>
      </c>
      <c r="O290" s="6" t="s">
        <v>45</v>
      </c>
    </row>
    <row r="291" customFormat="false" ht="15" hidden="false" customHeight="false" outlineLevel="0" collapsed="false">
      <c r="A291" s="6" t="s">
        <v>691</v>
      </c>
      <c r="B291" s="6" t="s">
        <v>692</v>
      </c>
      <c r="C291" s="6" t="s">
        <v>75</v>
      </c>
      <c r="D291" s="6" t="n">
        <v>36</v>
      </c>
      <c r="E291" s="6" t="s">
        <v>321</v>
      </c>
      <c r="F291" s="6" t="s">
        <v>321</v>
      </c>
      <c r="G291" s="26" t="n">
        <v>46042</v>
      </c>
      <c r="H291" s="6" t="s">
        <v>78</v>
      </c>
      <c r="I291" s="26" t="n">
        <f aca="false">_xlfn.MINIFS(Transaction!$C$2:$C$8421,Transaction!$B$2:$B$8421,A291)</f>
        <v>46043</v>
      </c>
      <c r="J291" s="26" t="n">
        <f aca="false">_xlfn.MAXIFS(Transaction!$C$2:$C$8421,Transaction!$B$2:$B$8421,A291)</f>
        <v>46253</v>
      </c>
      <c r="K291" s="6" t="n">
        <f aca="false">COUNTIF(Transaction!$B$2:$B$8421,A291)</f>
        <v>7</v>
      </c>
      <c r="L291" s="10" t="n">
        <f aca="false">SUMIF(Transaction!$B$2:$B$8421,A291,Transaction!$H$2:$H$8421)</f>
        <v>10060</v>
      </c>
      <c r="M291" s="6" t="n">
        <f aca="false">Summary!$B$3-J291</f>
        <v>13</v>
      </c>
      <c r="N291" s="6" t="str">
        <f aca="false">IF(K291&gt;1,"Yes","No")</f>
        <v>Yes</v>
      </c>
      <c r="O291" s="6" t="s">
        <v>45</v>
      </c>
    </row>
    <row r="292" customFormat="false" ht="15" hidden="false" customHeight="false" outlineLevel="0" collapsed="false">
      <c r="A292" s="6" t="s">
        <v>693</v>
      </c>
      <c r="B292" s="6" t="s">
        <v>694</v>
      </c>
      <c r="C292" s="6" t="s">
        <v>75</v>
      </c>
      <c r="D292" s="6" t="n">
        <v>44</v>
      </c>
      <c r="E292" s="6" t="s">
        <v>237</v>
      </c>
      <c r="F292" s="6" t="s">
        <v>87</v>
      </c>
      <c r="G292" s="26" t="n">
        <v>46029</v>
      </c>
      <c r="H292" s="6" t="s">
        <v>78</v>
      </c>
      <c r="I292" s="26" t="n">
        <f aca="false">_xlfn.MINIFS(Transaction!$C$2:$C$8421,Transaction!$B$2:$B$8421,A292)</f>
        <v>46030</v>
      </c>
      <c r="J292" s="26" t="n">
        <f aca="false">_xlfn.MAXIFS(Transaction!$C$2:$C$8421,Transaction!$B$2:$B$8421,A292)</f>
        <v>46030</v>
      </c>
      <c r="K292" s="6" t="n">
        <f aca="false">COUNTIF(Transaction!$B$2:$B$8421,A292)</f>
        <v>1</v>
      </c>
      <c r="L292" s="10" t="n">
        <f aca="false">SUMIF(Transaction!$B$2:$B$8421,A292,Transaction!$H$2:$H$8421)</f>
        <v>2476</v>
      </c>
      <c r="M292" s="6" t="n">
        <f aca="false">Summary!$B$3-J292</f>
        <v>236</v>
      </c>
      <c r="N292" s="6" t="str">
        <f aca="false">IF(K292&gt;1,"Yes","No")</f>
        <v>No</v>
      </c>
      <c r="O292" s="6" t="s">
        <v>49</v>
      </c>
    </row>
    <row r="293" customFormat="false" ht="15" hidden="false" customHeight="false" outlineLevel="0" collapsed="false">
      <c r="A293" s="6" t="s">
        <v>695</v>
      </c>
      <c r="B293" s="6" t="s">
        <v>696</v>
      </c>
      <c r="C293" s="6" t="s">
        <v>75</v>
      </c>
      <c r="D293" s="6" t="n">
        <v>45</v>
      </c>
      <c r="E293" s="6" t="s">
        <v>81</v>
      </c>
      <c r="F293" s="6" t="s">
        <v>82</v>
      </c>
      <c r="G293" s="26" t="n">
        <v>45953</v>
      </c>
      <c r="H293" s="6" t="s">
        <v>123</v>
      </c>
      <c r="I293" s="26" t="n">
        <f aca="false">_xlfn.MINIFS(Transaction!$C$2:$C$8421,Transaction!$B$2:$B$8421,A293)</f>
        <v>46027</v>
      </c>
      <c r="J293" s="26" t="n">
        <f aca="false">_xlfn.MAXIFS(Transaction!$C$2:$C$8421,Transaction!$B$2:$B$8421,A293)</f>
        <v>46252</v>
      </c>
      <c r="K293" s="6" t="n">
        <f aca="false">COUNTIF(Transaction!$B$2:$B$8421,A293)</f>
        <v>8</v>
      </c>
      <c r="L293" s="10" t="n">
        <f aca="false">SUMIF(Transaction!$B$2:$B$8421,A293,Transaction!$H$2:$H$8421)</f>
        <v>15043</v>
      </c>
      <c r="M293" s="6" t="n">
        <f aca="false">Summary!$B$3-J293</f>
        <v>14</v>
      </c>
      <c r="N293" s="6" t="str">
        <f aca="false">IF(K293&gt;1,"Yes","No")</f>
        <v>Yes</v>
      </c>
      <c r="O293" s="6" t="s">
        <v>45</v>
      </c>
    </row>
    <row r="294" customFormat="false" ht="15" hidden="false" customHeight="false" outlineLevel="0" collapsed="false">
      <c r="A294" s="6" t="s">
        <v>697</v>
      </c>
      <c r="B294" s="6" t="s">
        <v>698</v>
      </c>
      <c r="C294" s="6" t="s">
        <v>85</v>
      </c>
      <c r="D294" s="6" t="n">
        <v>42</v>
      </c>
      <c r="E294" s="6" t="s">
        <v>176</v>
      </c>
      <c r="F294" s="6" t="s">
        <v>177</v>
      </c>
      <c r="G294" s="26" t="n">
        <v>46061</v>
      </c>
      <c r="H294" s="6" t="s">
        <v>78</v>
      </c>
      <c r="I294" s="26" t="n">
        <f aca="false">_xlfn.MINIFS(Transaction!$C$2:$C$8421,Transaction!$B$2:$B$8421,A294)</f>
        <v>46065</v>
      </c>
      <c r="J294" s="26" t="n">
        <f aca="false">_xlfn.MAXIFS(Transaction!$C$2:$C$8421,Transaction!$B$2:$B$8421,A294)</f>
        <v>46244</v>
      </c>
      <c r="K294" s="6" t="n">
        <f aca="false">COUNTIF(Transaction!$B$2:$B$8421,A294)</f>
        <v>4</v>
      </c>
      <c r="L294" s="10" t="n">
        <f aca="false">SUMIF(Transaction!$B$2:$B$8421,A294,Transaction!$H$2:$H$8421)</f>
        <v>12438</v>
      </c>
      <c r="M294" s="6" t="n">
        <f aca="false">Summary!$B$3-J294</f>
        <v>22</v>
      </c>
      <c r="N294" s="6" t="str">
        <f aca="false">IF(K294&gt;1,"Yes","No")</f>
        <v>Yes</v>
      </c>
      <c r="O294" s="6" t="s">
        <v>46</v>
      </c>
    </row>
    <row r="295" customFormat="false" ht="15" hidden="false" customHeight="false" outlineLevel="0" collapsed="false">
      <c r="A295" s="6" t="s">
        <v>699</v>
      </c>
      <c r="B295" s="6" t="s">
        <v>700</v>
      </c>
      <c r="C295" s="6" t="s">
        <v>75</v>
      </c>
      <c r="D295" s="6" t="n">
        <v>37</v>
      </c>
      <c r="E295" s="6" t="s">
        <v>76</v>
      </c>
      <c r="F295" s="6" t="s">
        <v>77</v>
      </c>
      <c r="G295" s="26" t="n">
        <v>46202</v>
      </c>
      <c r="H295" s="6" t="s">
        <v>92</v>
      </c>
      <c r="I295" s="26" t="n">
        <f aca="false">_xlfn.MINIFS(Transaction!$C$2:$C$8421,Transaction!$B$2:$B$8421,A295)</f>
        <v>46239</v>
      </c>
      <c r="J295" s="26" t="n">
        <f aca="false">_xlfn.MAXIFS(Transaction!$C$2:$C$8421,Transaction!$B$2:$B$8421,A295)</f>
        <v>46239</v>
      </c>
      <c r="K295" s="6" t="n">
        <f aca="false">COUNTIF(Transaction!$B$2:$B$8421,A295)</f>
        <v>1</v>
      </c>
      <c r="L295" s="10" t="n">
        <f aca="false">SUMIF(Transaction!$B$2:$B$8421,A295,Transaction!$H$2:$H$8421)</f>
        <v>1393</v>
      </c>
      <c r="M295" s="6" t="n">
        <f aca="false">Summary!$B$3-J295</f>
        <v>27</v>
      </c>
      <c r="N295" s="6" t="str">
        <f aca="false">IF(K295&gt;1,"Yes","No")</f>
        <v>No</v>
      </c>
      <c r="O295" s="6" t="s">
        <v>47</v>
      </c>
    </row>
    <row r="296" customFormat="false" ht="15" hidden="false" customHeight="false" outlineLevel="0" collapsed="false">
      <c r="A296" s="6" t="s">
        <v>701</v>
      </c>
      <c r="B296" s="6" t="s">
        <v>702</v>
      </c>
      <c r="C296" s="6" t="s">
        <v>85</v>
      </c>
      <c r="D296" s="6" t="n">
        <v>32</v>
      </c>
      <c r="E296" s="6" t="s">
        <v>180</v>
      </c>
      <c r="F296" s="6" t="s">
        <v>181</v>
      </c>
      <c r="G296" s="26" t="n">
        <v>46145</v>
      </c>
      <c r="H296" s="6" t="s">
        <v>88</v>
      </c>
      <c r="I296" s="26" t="n">
        <f aca="false">_xlfn.MINIFS(Transaction!$C$2:$C$8421,Transaction!$B$2:$B$8421,A296)</f>
        <v>46196</v>
      </c>
      <c r="J296" s="26" t="n">
        <f aca="false">_xlfn.MAXIFS(Transaction!$C$2:$C$8421,Transaction!$B$2:$B$8421,A296)</f>
        <v>46196</v>
      </c>
      <c r="K296" s="6" t="n">
        <f aca="false">COUNTIF(Transaction!$B$2:$B$8421,A296)</f>
        <v>1</v>
      </c>
      <c r="L296" s="10" t="n">
        <f aca="false">SUMIF(Transaction!$B$2:$B$8421,A296,Transaction!$H$2:$H$8421)</f>
        <v>1856</v>
      </c>
      <c r="M296" s="6" t="n">
        <f aca="false">Summary!$B$3-J296</f>
        <v>70</v>
      </c>
      <c r="N296" s="6" t="str">
        <f aca="false">IF(K296&gt;1,"Yes","No")</f>
        <v>No</v>
      </c>
      <c r="O296" s="6" t="s">
        <v>47</v>
      </c>
    </row>
    <row r="297" customFormat="false" ht="15" hidden="false" customHeight="false" outlineLevel="0" collapsed="false">
      <c r="A297" s="6" t="s">
        <v>703</v>
      </c>
      <c r="B297" s="6" t="s">
        <v>704</v>
      </c>
      <c r="C297" s="6" t="s">
        <v>85</v>
      </c>
      <c r="D297" s="6" t="n">
        <v>26</v>
      </c>
      <c r="E297" s="6" t="s">
        <v>430</v>
      </c>
      <c r="F297" s="6" t="s">
        <v>99</v>
      </c>
      <c r="G297" s="26" t="n">
        <v>46025</v>
      </c>
      <c r="H297" s="6" t="s">
        <v>115</v>
      </c>
      <c r="I297" s="26" t="n">
        <f aca="false">_xlfn.MINIFS(Transaction!$C$2:$C$8421,Transaction!$B$2:$B$8421,A297)</f>
        <v>46046</v>
      </c>
      <c r="J297" s="26" t="n">
        <f aca="false">_xlfn.MAXIFS(Transaction!$C$2:$C$8421,Transaction!$B$2:$B$8421,A297)</f>
        <v>46248</v>
      </c>
      <c r="K297" s="6" t="n">
        <f aca="false">COUNTIF(Transaction!$B$2:$B$8421,A297)</f>
        <v>10</v>
      </c>
      <c r="L297" s="10" t="n">
        <f aca="false">SUMIF(Transaction!$B$2:$B$8421,A297,Transaction!$H$2:$H$8421)</f>
        <v>11412</v>
      </c>
      <c r="M297" s="6" t="n">
        <f aca="false">Summary!$B$3-J297</f>
        <v>18</v>
      </c>
      <c r="N297" s="6" t="str">
        <f aca="false">IF(K297&gt;1,"Yes","No")</f>
        <v>Yes</v>
      </c>
      <c r="O297" s="6" t="s">
        <v>45</v>
      </c>
    </row>
    <row r="298" customFormat="false" ht="15" hidden="false" customHeight="false" outlineLevel="0" collapsed="false">
      <c r="A298" s="6" t="s">
        <v>705</v>
      </c>
      <c r="B298" s="6" t="s">
        <v>706</v>
      </c>
      <c r="C298" s="6" t="s">
        <v>85</v>
      </c>
      <c r="D298" s="6" t="n">
        <v>48</v>
      </c>
      <c r="E298" s="6" t="s">
        <v>98</v>
      </c>
      <c r="F298" s="6" t="s">
        <v>99</v>
      </c>
      <c r="G298" s="26" t="n">
        <v>46028</v>
      </c>
      <c r="H298" s="6" t="s">
        <v>102</v>
      </c>
      <c r="I298" s="26" t="n">
        <f aca="false">_xlfn.MINIFS(Transaction!$C$2:$C$8421,Transaction!$B$2:$B$8421,A298)</f>
        <v>46058</v>
      </c>
      <c r="J298" s="26" t="n">
        <f aca="false">_xlfn.MAXIFS(Transaction!$C$2:$C$8421,Transaction!$B$2:$B$8421,A298)</f>
        <v>46237</v>
      </c>
      <c r="K298" s="6" t="n">
        <f aca="false">COUNTIF(Transaction!$B$2:$B$8421,A298)</f>
        <v>7</v>
      </c>
      <c r="L298" s="10" t="n">
        <f aca="false">SUMIF(Transaction!$B$2:$B$8421,A298,Transaction!$H$2:$H$8421)</f>
        <v>9654</v>
      </c>
      <c r="M298" s="6" t="n">
        <f aca="false">Summary!$B$3-J298</f>
        <v>29</v>
      </c>
      <c r="N298" s="6" t="str">
        <f aca="false">IF(K298&gt;1,"Yes","No")</f>
        <v>Yes</v>
      </c>
      <c r="O298" s="6" t="s">
        <v>46</v>
      </c>
    </row>
    <row r="299" customFormat="false" ht="15" hidden="false" customHeight="false" outlineLevel="0" collapsed="false">
      <c r="A299" s="6" t="s">
        <v>707</v>
      </c>
      <c r="B299" s="6" t="s">
        <v>708</v>
      </c>
      <c r="C299" s="6" t="s">
        <v>75</v>
      </c>
      <c r="D299" s="6" t="n">
        <v>31</v>
      </c>
      <c r="E299" s="6" t="s">
        <v>105</v>
      </c>
      <c r="F299" s="6" t="s">
        <v>106</v>
      </c>
      <c r="G299" s="26" t="n">
        <v>46155</v>
      </c>
      <c r="H299" s="6" t="s">
        <v>78</v>
      </c>
      <c r="I299" s="26" t="n">
        <f aca="false">_xlfn.MINIFS(Transaction!$C$2:$C$8421,Transaction!$B$2:$B$8421,A299)</f>
        <v>46218</v>
      </c>
      <c r="J299" s="26" t="n">
        <f aca="false">_xlfn.MAXIFS(Transaction!$C$2:$C$8421,Transaction!$B$2:$B$8421,A299)</f>
        <v>46218</v>
      </c>
      <c r="K299" s="6" t="n">
        <f aca="false">COUNTIF(Transaction!$B$2:$B$8421,A299)</f>
        <v>1</v>
      </c>
      <c r="L299" s="10" t="n">
        <f aca="false">SUMIF(Transaction!$B$2:$B$8421,A299,Transaction!$H$2:$H$8421)</f>
        <v>1732</v>
      </c>
      <c r="M299" s="6" t="n">
        <f aca="false">Summary!$B$3-J299</f>
        <v>48</v>
      </c>
      <c r="N299" s="6" t="str">
        <f aca="false">IF(K299&gt;1,"Yes","No")</f>
        <v>No</v>
      </c>
      <c r="O299" s="6" t="s">
        <v>47</v>
      </c>
    </row>
    <row r="300" customFormat="false" ht="15" hidden="false" customHeight="false" outlineLevel="0" collapsed="false">
      <c r="A300" s="6" t="s">
        <v>709</v>
      </c>
      <c r="B300" s="6" t="s">
        <v>710</v>
      </c>
      <c r="C300" s="6" t="s">
        <v>75</v>
      </c>
      <c r="D300" s="6" t="n">
        <v>41</v>
      </c>
      <c r="E300" s="6" t="s">
        <v>86</v>
      </c>
      <c r="F300" s="6" t="s">
        <v>87</v>
      </c>
      <c r="G300" s="26" t="n">
        <v>45994</v>
      </c>
      <c r="H300" s="6" t="s">
        <v>88</v>
      </c>
      <c r="I300" s="26" t="n">
        <f aca="false">_xlfn.MINIFS(Transaction!$C$2:$C$8421,Transaction!$B$2:$B$8421,A300)</f>
        <v>46040</v>
      </c>
      <c r="J300" s="26" t="n">
        <f aca="false">_xlfn.MAXIFS(Transaction!$C$2:$C$8421,Transaction!$B$2:$B$8421,A300)</f>
        <v>46205</v>
      </c>
      <c r="K300" s="6" t="n">
        <f aca="false">COUNTIF(Transaction!$B$2:$B$8421,A300)</f>
        <v>5</v>
      </c>
      <c r="L300" s="10" t="n">
        <f aca="false">SUMIF(Transaction!$B$2:$B$8421,A300,Transaction!$H$2:$H$8421)</f>
        <v>8677</v>
      </c>
      <c r="M300" s="6" t="n">
        <f aca="false">Summary!$B$3-J300</f>
        <v>61</v>
      </c>
      <c r="N300" s="6" t="str">
        <f aca="false">IF(K300&gt;1,"Yes","No")</f>
        <v>Yes</v>
      </c>
      <c r="O300" s="6" t="s">
        <v>46</v>
      </c>
    </row>
    <row r="301" customFormat="false" ht="15" hidden="false" customHeight="false" outlineLevel="0" collapsed="false">
      <c r="A301" s="6" t="s">
        <v>711</v>
      </c>
      <c r="B301" s="6" t="s">
        <v>712</v>
      </c>
      <c r="C301" s="6" t="s">
        <v>85</v>
      </c>
      <c r="D301" s="6" t="n">
        <v>42</v>
      </c>
      <c r="E301" s="6" t="s">
        <v>81</v>
      </c>
      <c r="F301" s="6" t="s">
        <v>82</v>
      </c>
      <c r="G301" s="26" t="n">
        <v>46090</v>
      </c>
      <c r="H301" s="6" t="s">
        <v>78</v>
      </c>
      <c r="I301" s="26" t="n">
        <f aca="false">_xlfn.MINIFS(Transaction!$C$2:$C$8421,Transaction!$B$2:$B$8421,A301)</f>
        <v>46130</v>
      </c>
      <c r="J301" s="26" t="n">
        <f aca="false">_xlfn.MAXIFS(Transaction!$C$2:$C$8421,Transaction!$B$2:$B$8421,A301)</f>
        <v>46222</v>
      </c>
      <c r="K301" s="6" t="n">
        <f aca="false">COUNTIF(Transaction!$B$2:$B$8421,A301)</f>
        <v>3</v>
      </c>
      <c r="L301" s="10" t="n">
        <f aca="false">SUMIF(Transaction!$B$2:$B$8421,A301,Transaction!$H$2:$H$8421)</f>
        <v>8615</v>
      </c>
      <c r="M301" s="6" t="n">
        <f aca="false">Summary!$B$3-J301</f>
        <v>44</v>
      </c>
      <c r="N301" s="6" t="str">
        <f aca="false">IF(K301&gt;1,"Yes","No")</f>
        <v>Yes</v>
      </c>
      <c r="O301" s="6" t="s">
        <v>46</v>
      </c>
    </row>
    <row r="302" customFormat="false" ht="15" hidden="false" customHeight="false" outlineLevel="0" collapsed="false">
      <c r="A302" s="6" t="s">
        <v>713</v>
      </c>
      <c r="B302" s="6" t="s">
        <v>714</v>
      </c>
      <c r="C302" s="6" t="s">
        <v>75</v>
      </c>
      <c r="D302" s="6" t="n">
        <v>21</v>
      </c>
      <c r="E302" s="6" t="s">
        <v>95</v>
      </c>
      <c r="F302" s="6" t="s">
        <v>95</v>
      </c>
      <c r="G302" s="26" t="n">
        <v>46109</v>
      </c>
      <c r="H302" s="6" t="s">
        <v>115</v>
      </c>
      <c r="I302" s="26" t="n">
        <f aca="false">_xlfn.MINIFS(Transaction!$C$2:$C$8421,Transaction!$B$2:$B$8421,A302)</f>
        <v>46121</v>
      </c>
      <c r="J302" s="26" t="n">
        <f aca="false">_xlfn.MAXIFS(Transaction!$C$2:$C$8421,Transaction!$B$2:$B$8421,A302)</f>
        <v>46121</v>
      </c>
      <c r="K302" s="6" t="n">
        <f aca="false">COUNTIF(Transaction!$B$2:$B$8421,A302)</f>
        <v>1</v>
      </c>
      <c r="L302" s="10" t="n">
        <f aca="false">SUMIF(Transaction!$B$2:$B$8421,A302,Transaction!$H$2:$H$8421)</f>
        <v>3305</v>
      </c>
      <c r="M302" s="6" t="n">
        <f aca="false">Summary!$B$3-J302</f>
        <v>145</v>
      </c>
      <c r="N302" s="6" t="str">
        <f aca="false">IF(K302&gt;1,"Yes","No")</f>
        <v>No</v>
      </c>
      <c r="O302" s="6" t="s">
        <v>48</v>
      </c>
    </row>
    <row r="303" customFormat="false" ht="15" hidden="false" customHeight="false" outlineLevel="0" collapsed="false">
      <c r="A303" s="6" t="s">
        <v>715</v>
      </c>
      <c r="B303" s="6" t="s">
        <v>716</v>
      </c>
      <c r="C303" s="6" t="s">
        <v>85</v>
      </c>
      <c r="D303" s="6" t="n">
        <v>37</v>
      </c>
      <c r="E303" s="6" t="s">
        <v>95</v>
      </c>
      <c r="F303" s="6" t="s">
        <v>95</v>
      </c>
      <c r="G303" s="26" t="n">
        <v>46045</v>
      </c>
      <c r="H303" s="6" t="s">
        <v>102</v>
      </c>
      <c r="I303" s="26" t="n">
        <f aca="false">_xlfn.MINIFS(Transaction!$C$2:$C$8421,Transaction!$B$2:$B$8421,A303)</f>
        <v>46080</v>
      </c>
      <c r="J303" s="26" t="n">
        <f aca="false">_xlfn.MAXIFS(Transaction!$C$2:$C$8421,Transaction!$B$2:$B$8421,A303)</f>
        <v>46080</v>
      </c>
      <c r="K303" s="6" t="n">
        <f aca="false">COUNTIF(Transaction!$B$2:$B$8421,A303)</f>
        <v>1</v>
      </c>
      <c r="L303" s="10" t="n">
        <f aca="false">SUMIF(Transaction!$B$2:$B$8421,A303,Transaction!$H$2:$H$8421)</f>
        <v>3363</v>
      </c>
      <c r="M303" s="6" t="n">
        <f aca="false">Summary!$B$3-J303</f>
        <v>186</v>
      </c>
      <c r="N303" s="6" t="str">
        <f aca="false">IF(K303&gt;1,"Yes","No")</f>
        <v>No</v>
      </c>
      <c r="O303" s="6" t="s">
        <v>49</v>
      </c>
    </row>
    <row r="304" customFormat="false" ht="15" hidden="false" customHeight="false" outlineLevel="0" collapsed="false">
      <c r="A304" s="6" t="s">
        <v>717</v>
      </c>
      <c r="B304" s="6" t="s">
        <v>718</v>
      </c>
      <c r="C304" s="6" t="s">
        <v>75</v>
      </c>
      <c r="D304" s="6" t="n">
        <v>27</v>
      </c>
      <c r="E304" s="6" t="s">
        <v>81</v>
      </c>
      <c r="F304" s="6" t="s">
        <v>82</v>
      </c>
      <c r="G304" s="26" t="n">
        <v>46050</v>
      </c>
      <c r="H304" s="6" t="s">
        <v>102</v>
      </c>
      <c r="I304" s="26" t="n">
        <f aca="false">_xlfn.MINIFS(Transaction!$C$2:$C$8421,Transaction!$B$2:$B$8421,A304)</f>
        <v>46072</v>
      </c>
      <c r="J304" s="26" t="n">
        <f aca="false">_xlfn.MAXIFS(Transaction!$C$2:$C$8421,Transaction!$B$2:$B$8421,A304)</f>
        <v>46245</v>
      </c>
      <c r="K304" s="6" t="n">
        <f aca="false">COUNTIF(Transaction!$B$2:$B$8421,A304)</f>
        <v>7</v>
      </c>
      <c r="L304" s="10" t="n">
        <f aca="false">SUMIF(Transaction!$B$2:$B$8421,A304,Transaction!$H$2:$H$8421)</f>
        <v>15712</v>
      </c>
      <c r="M304" s="6" t="n">
        <f aca="false">Summary!$B$3-J304</f>
        <v>21</v>
      </c>
      <c r="N304" s="6" t="str">
        <f aca="false">IF(K304&gt;1,"Yes","No")</f>
        <v>Yes</v>
      </c>
      <c r="O304" s="6" t="s">
        <v>45</v>
      </c>
    </row>
    <row r="305" customFormat="false" ht="15" hidden="false" customHeight="false" outlineLevel="0" collapsed="false">
      <c r="A305" s="6" t="s">
        <v>719</v>
      </c>
      <c r="B305" s="6" t="s">
        <v>720</v>
      </c>
      <c r="C305" s="6" t="s">
        <v>75</v>
      </c>
      <c r="D305" s="6" t="n">
        <v>20</v>
      </c>
      <c r="E305" s="6" t="s">
        <v>86</v>
      </c>
      <c r="F305" s="6" t="s">
        <v>87</v>
      </c>
      <c r="G305" s="26" t="n">
        <v>46100</v>
      </c>
      <c r="H305" s="6" t="s">
        <v>78</v>
      </c>
      <c r="I305" s="26" t="n">
        <f aca="false">_xlfn.MINIFS(Transaction!$C$2:$C$8421,Transaction!$B$2:$B$8421,A305)</f>
        <v>46128</v>
      </c>
      <c r="J305" s="26" t="n">
        <f aca="false">_xlfn.MAXIFS(Transaction!$C$2:$C$8421,Transaction!$B$2:$B$8421,A305)</f>
        <v>46128</v>
      </c>
      <c r="K305" s="6" t="n">
        <f aca="false">COUNTIF(Transaction!$B$2:$B$8421,A305)</f>
        <v>1</v>
      </c>
      <c r="L305" s="10" t="n">
        <f aca="false">SUMIF(Transaction!$B$2:$B$8421,A305,Transaction!$H$2:$H$8421)</f>
        <v>1068</v>
      </c>
      <c r="M305" s="6" t="n">
        <f aca="false">Summary!$B$3-J305</f>
        <v>138</v>
      </c>
      <c r="N305" s="6" t="str">
        <f aca="false">IF(K305&gt;1,"Yes","No")</f>
        <v>No</v>
      </c>
      <c r="O305" s="6" t="s">
        <v>48</v>
      </c>
    </row>
    <row r="306" customFormat="false" ht="15" hidden="false" customHeight="false" outlineLevel="0" collapsed="false">
      <c r="A306" s="6" t="s">
        <v>721</v>
      </c>
      <c r="B306" s="6" t="s">
        <v>722</v>
      </c>
      <c r="C306" s="6" t="s">
        <v>85</v>
      </c>
      <c r="D306" s="6" t="n">
        <v>25</v>
      </c>
      <c r="E306" s="6" t="s">
        <v>176</v>
      </c>
      <c r="F306" s="6" t="s">
        <v>177</v>
      </c>
      <c r="G306" s="26" t="n">
        <v>46020</v>
      </c>
      <c r="H306" s="6" t="s">
        <v>78</v>
      </c>
      <c r="I306" s="26" t="n">
        <f aca="false">_xlfn.MINIFS(Transaction!$C$2:$C$8421,Transaction!$B$2:$B$8421,A306)</f>
        <v>46054</v>
      </c>
      <c r="J306" s="26" t="n">
        <f aca="false">_xlfn.MAXIFS(Transaction!$C$2:$C$8421,Transaction!$B$2:$B$8421,A306)</f>
        <v>46246</v>
      </c>
      <c r="K306" s="6" t="n">
        <f aca="false">COUNTIF(Transaction!$B$2:$B$8421,A306)</f>
        <v>8</v>
      </c>
      <c r="L306" s="10" t="n">
        <f aca="false">SUMIF(Transaction!$B$2:$B$8421,A306,Transaction!$H$2:$H$8421)</f>
        <v>17258</v>
      </c>
      <c r="M306" s="6" t="n">
        <f aca="false">Summary!$B$3-J306</f>
        <v>20</v>
      </c>
      <c r="N306" s="6" t="str">
        <f aca="false">IF(K306&gt;1,"Yes","No")</f>
        <v>Yes</v>
      </c>
      <c r="O306" s="6" t="s">
        <v>45</v>
      </c>
    </row>
    <row r="307" customFormat="false" ht="15" hidden="false" customHeight="false" outlineLevel="0" collapsed="false">
      <c r="A307" s="6" t="s">
        <v>723</v>
      </c>
      <c r="B307" s="6" t="s">
        <v>724</v>
      </c>
      <c r="C307" s="6" t="s">
        <v>75</v>
      </c>
      <c r="D307" s="6" t="n">
        <v>35</v>
      </c>
      <c r="E307" s="6" t="s">
        <v>176</v>
      </c>
      <c r="F307" s="6" t="s">
        <v>177</v>
      </c>
      <c r="G307" s="26" t="n">
        <v>45984</v>
      </c>
      <c r="H307" s="6" t="s">
        <v>92</v>
      </c>
      <c r="I307" s="26" t="n">
        <f aca="false">_xlfn.MINIFS(Transaction!$C$2:$C$8421,Transaction!$B$2:$B$8421,A307)</f>
        <v>46025</v>
      </c>
      <c r="J307" s="26" t="n">
        <f aca="false">_xlfn.MAXIFS(Transaction!$C$2:$C$8421,Transaction!$B$2:$B$8421,A307)</f>
        <v>46264</v>
      </c>
      <c r="K307" s="6" t="n">
        <f aca="false">COUNTIF(Transaction!$B$2:$B$8421,A307)</f>
        <v>11</v>
      </c>
      <c r="L307" s="10" t="n">
        <f aca="false">SUMIF(Transaction!$B$2:$B$8421,A307,Transaction!$H$2:$H$8421)</f>
        <v>22347</v>
      </c>
      <c r="M307" s="6" t="n">
        <f aca="false">Summary!$B$3-J307</f>
        <v>2</v>
      </c>
      <c r="N307" s="6" t="str">
        <f aca="false">IF(K307&gt;1,"Yes","No")</f>
        <v>Yes</v>
      </c>
      <c r="O307" s="6" t="s">
        <v>45</v>
      </c>
    </row>
    <row r="308" customFormat="false" ht="15" hidden="false" customHeight="false" outlineLevel="0" collapsed="false">
      <c r="A308" s="6" t="s">
        <v>725</v>
      </c>
      <c r="B308" s="6" t="s">
        <v>726</v>
      </c>
      <c r="C308" s="6" t="s">
        <v>85</v>
      </c>
      <c r="D308" s="6" t="n">
        <v>47</v>
      </c>
      <c r="E308" s="6" t="s">
        <v>146</v>
      </c>
      <c r="F308" s="6" t="s">
        <v>147</v>
      </c>
      <c r="G308" s="26" t="n">
        <v>46013</v>
      </c>
      <c r="H308" s="6" t="s">
        <v>92</v>
      </c>
      <c r="I308" s="26" t="n">
        <f aca="false">_xlfn.MINIFS(Transaction!$C$2:$C$8421,Transaction!$B$2:$B$8421,A308)</f>
        <v>46028</v>
      </c>
      <c r="J308" s="26" t="n">
        <f aca="false">_xlfn.MAXIFS(Transaction!$C$2:$C$8421,Transaction!$B$2:$B$8421,A308)</f>
        <v>46249</v>
      </c>
      <c r="K308" s="6" t="n">
        <f aca="false">COUNTIF(Transaction!$B$2:$B$8421,A308)</f>
        <v>11</v>
      </c>
      <c r="L308" s="10" t="n">
        <f aca="false">SUMIF(Transaction!$B$2:$B$8421,A308,Transaction!$H$2:$H$8421)</f>
        <v>19145</v>
      </c>
      <c r="M308" s="6" t="n">
        <f aca="false">Summary!$B$3-J308</f>
        <v>17</v>
      </c>
      <c r="N308" s="6" t="str">
        <f aca="false">IF(K308&gt;1,"Yes","No")</f>
        <v>Yes</v>
      </c>
      <c r="O308" s="6" t="s">
        <v>45</v>
      </c>
    </row>
    <row r="309" customFormat="false" ht="15" hidden="false" customHeight="false" outlineLevel="0" collapsed="false">
      <c r="A309" s="6" t="s">
        <v>727</v>
      </c>
      <c r="B309" s="6" t="s">
        <v>728</v>
      </c>
      <c r="C309" s="6" t="s">
        <v>75</v>
      </c>
      <c r="D309" s="6" t="n">
        <v>37</v>
      </c>
      <c r="E309" s="6" t="s">
        <v>91</v>
      </c>
      <c r="F309" s="6" t="s">
        <v>77</v>
      </c>
      <c r="G309" s="26" t="n">
        <v>46021</v>
      </c>
      <c r="H309" s="6" t="s">
        <v>123</v>
      </c>
      <c r="I309" s="26" t="n">
        <f aca="false">_xlfn.MINIFS(Transaction!$C$2:$C$8421,Transaction!$B$2:$B$8421,A309)</f>
        <v>46087</v>
      </c>
      <c r="J309" s="26" t="n">
        <f aca="false">_xlfn.MAXIFS(Transaction!$C$2:$C$8421,Transaction!$B$2:$B$8421,A309)</f>
        <v>46087</v>
      </c>
      <c r="K309" s="6" t="n">
        <f aca="false">COUNTIF(Transaction!$B$2:$B$8421,A309)</f>
        <v>1</v>
      </c>
      <c r="L309" s="10" t="n">
        <f aca="false">SUMIF(Transaction!$B$2:$B$8421,A309,Transaction!$H$2:$H$8421)</f>
        <v>1466</v>
      </c>
      <c r="M309" s="6" t="n">
        <f aca="false">Summary!$B$3-J309</f>
        <v>179</v>
      </c>
      <c r="N309" s="6" t="str">
        <f aca="false">IF(K309&gt;1,"Yes","No")</f>
        <v>No</v>
      </c>
      <c r="O309" s="6" t="s">
        <v>49</v>
      </c>
    </row>
    <row r="310" customFormat="false" ht="15" hidden="false" customHeight="false" outlineLevel="0" collapsed="false">
      <c r="A310" s="6" t="s">
        <v>729</v>
      </c>
      <c r="B310" s="6" t="s">
        <v>730</v>
      </c>
      <c r="C310" s="6" t="s">
        <v>75</v>
      </c>
      <c r="D310" s="6" t="n">
        <v>40</v>
      </c>
      <c r="E310" s="6" t="s">
        <v>176</v>
      </c>
      <c r="F310" s="6" t="s">
        <v>177</v>
      </c>
      <c r="G310" s="26" t="n">
        <v>46111</v>
      </c>
      <c r="H310" s="6" t="s">
        <v>123</v>
      </c>
      <c r="I310" s="26" t="n">
        <f aca="false">_xlfn.MINIFS(Transaction!$C$2:$C$8421,Transaction!$B$2:$B$8421,A310)</f>
        <v>46149</v>
      </c>
      <c r="J310" s="26" t="n">
        <f aca="false">_xlfn.MAXIFS(Transaction!$C$2:$C$8421,Transaction!$B$2:$B$8421,A310)</f>
        <v>46237</v>
      </c>
      <c r="K310" s="6" t="n">
        <f aca="false">COUNTIF(Transaction!$B$2:$B$8421,A310)</f>
        <v>4</v>
      </c>
      <c r="L310" s="10" t="n">
        <f aca="false">SUMIF(Transaction!$B$2:$B$8421,A310,Transaction!$H$2:$H$8421)</f>
        <v>7647</v>
      </c>
      <c r="M310" s="6" t="n">
        <f aca="false">Summary!$B$3-J310</f>
        <v>29</v>
      </c>
      <c r="N310" s="6" t="str">
        <f aca="false">IF(K310&gt;1,"Yes","No")</f>
        <v>Yes</v>
      </c>
      <c r="O310" s="6" t="s">
        <v>46</v>
      </c>
    </row>
    <row r="311" customFormat="false" ht="15" hidden="false" customHeight="false" outlineLevel="0" collapsed="false">
      <c r="A311" s="6" t="s">
        <v>731</v>
      </c>
      <c r="B311" s="6" t="s">
        <v>732</v>
      </c>
      <c r="C311" s="6" t="s">
        <v>75</v>
      </c>
      <c r="D311" s="6" t="n">
        <v>31</v>
      </c>
      <c r="E311" s="6" t="s">
        <v>121</v>
      </c>
      <c r="F311" s="6" t="s">
        <v>122</v>
      </c>
      <c r="G311" s="26" t="n">
        <v>46073</v>
      </c>
      <c r="H311" s="6" t="s">
        <v>92</v>
      </c>
      <c r="I311" s="26" t="n">
        <f aca="false">_xlfn.MINIFS(Transaction!$C$2:$C$8421,Transaction!$B$2:$B$8421,A311)</f>
        <v>46141</v>
      </c>
      <c r="J311" s="26" t="n">
        <f aca="false">_xlfn.MAXIFS(Transaction!$C$2:$C$8421,Transaction!$B$2:$B$8421,A311)</f>
        <v>46141</v>
      </c>
      <c r="K311" s="6" t="n">
        <f aca="false">COUNTIF(Transaction!$B$2:$B$8421,A311)</f>
        <v>1</v>
      </c>
      <c r="L311" s="10" t="n">
        <f aca="false">SUMIF(Transaction!$B$2:$B$8421,A311,Transaction!$H$2:$H$8421)</f>
        <v>872</v>
      </c>
      <c r="M311" s="6" t="n">
        <f aca="false">Summary!$B$3-J311</f>
        <v>125</v>
      </c>
      <c r="N311" s="6" t="str">
        <f aca="false">IF(K311&gt;1,"Yes","No")</f>
        <v>No</v>
      </c>
      <c r="O311" s="6" t="s">
        <v>48</v>
      </c>
    </row>
    <row r="312" customFormat="false" ht="15" hidden="false" customHeight="false" outlineLevel="0" collapsed="false">
      <c r="A312" s="6" t="s">
        <v>733</v>
      </c>
      <c r="B312" s="6" t="s">
        <v>734</v>
      </c>
      <c r="C312" s="6" t="s">
        <v>85</v>
      </c>
      <c r="D312" s="6" t="n">
        <v>30</v>
      </c>
      <c r="E312" s="6" t="s">
        <v>81</v>
      </c>
      <c r="F312" s="6" t="s">
        <v>82</v>
      </c>
      <c r="G312" s="26" t="n">
        <v>46018</v>
      </c>
      <c r="H312" s="6" t="s">
        <v>78</v>
      </c>
      <c r="I312" s="26" t="n">
        <f aca="false">_xlfn.MINIFS(Transaction!$C$2:$C$8421,Transaction!$B$2:$B$8421,A312)</f>
        <v>46024</v>
      </c>
      <c r="J312" s="26" t="n">
        <f aca="false">_xlfn.MAXIFS(Transaction!$C$2:$C$8421,Transaction!$B$2:$B$8421,A312)</f>
        <v>46262</v>
      </c>
      <c r="K312" s="6" t="n">
        <f aca="false">COUNTIF(Transaction!$B$2:$B$8421,A312)</f>
        <v>12</v>
      </c>
      <c r="L312" s="10" t="n">
        <f aca="false">SUMIF(Transaction!$B$2:$B$8421,A312,Transaction!$H$2:$H$8421)</f>
        <v>14948</v>
      </c>
      <c r="M312" s="6" t="n">
        <f aca="false">Summary!$B$3-J312</f>
        <v>4</v>
      </c>
      <c r="N312" s="6" t="str">
        <f aca="false">IF(K312&gt;1,"Yes","No")</f>
        <v>Yes</v>
      </c>
      <c r="O312" s="6" t="s">
        <v>45</v>
      </c>
    </row>
    <row r="313" customFormat="false" ht="15" hidden="false" customHeight="false" outlineLevel="0" collapsed="false">
      <c r="A313" s="6" t="s">
        <v>735</v>
      </c>
      <c r="B313" s="6" t="s">
        <v>736</v>
      </c>
      <c r="C313" s="6" t="s">
        <v>75</v>
      </c>
      <c r="D313" s="6" t="n">
        <v>23</v>
      </c>
      <c r="E313" s="6" t="s">
        <v>105</v>
      </c>
      <c r="F313" s="6" t="s">
        <v>106</v>
      </c>
      <c r="G313" s="26" t="n">
        <v>46010</v>
      </c>
      <c r="H313" s="6" t="s">
        <v>92</v>
      </c>
      <c r="I313" s="26" t="n">
        <f aca="false">_xlfn.MINIFS(Transaction!$C$2:$C$8421,Transaction!$B$2:$B$8421,A313)</f>
        <v>46060</v>
      </c>
      <c r="J313" s="26" t="n">
        <f aca="false">_xlfn.MAXIFS(Transaction!$C$2:$C$8421,Transaction!$B$2:$B$8421,A313)</f>
        <v>46223</v>
      </c>
      <c r="K313" s="6" t="n">
        <f aca="false">COUNTIF(Transaction!$B$2:$B$8421,A313)</f>
        <v>6</v>
      </c>
      <c r="L313" s="10" t="n">
        <f aca="false">SUMIF(Transaction!$B$2:$B$8421,A313,Transaction!$H$2:$H$8421)</f>
        <v>13445</v>
      </c>
      <c r="M313" s="6" t="n">
        <f aca="false">Summary!$B$3-J313</f>
        <v>43</v>
      </c>
      <c r="N313" s="6" t="str">
        <f aca="false">IF(K313&gt;1,"Yes","No")</f>
        <v>Yes</v>
      </c>
      <c r="O313" s="6" t="s">
        <v>46</v>
      </c>
    </row>
    <row r="314" customFormat="false" ht="15" hidden="false" customHeight="false" outlineLevel="0" collapsed="false">
      <c r="A314" s="6" t="s">
        <v>737</v>
      </c>
      <c r="B314" s="6" t="s">
        <v>738</v>
      </c>
      <c r="C314" s="6" t="s">
        <v>75</v>
      </c>
      <c r="D314" s="6" t="n">
        <v>23</v>
      </c>
      <c r="E314" s="6" t="s">
        <v>126</v>
      </c>
      <c r="F314" s="6" t="s">
        <v>127</v>
      </c>
      <c r="G314" s="26" t="n">
        <v>46045</v>
      </c>
      <c r="H314" s="6" t="s">
        <v>78</v>
      </c>
      <c r="I314" s="26" t="n">
        <f aca="false">_xlfn.MINIFS(Transaction!$C$2:$C$8421,Transaction!$B$2:$B$8421,A314)</f>
        <v>46116</v>
      </c>
      <c r="J314" s="26" t="n">
        <f aca="false">_xlfn.MAXIFS(Transaction!$C$2:$C$8421,Transaction!$B$2:$B$8421,A314)</f>
        <v>46116</v>
      </c>
      <c r="K314" s="6" t="n">
        <f aca="false">COUNTIF(Transaction!$B$2:$B$8421,A314)</f>
        <v>1</v>
      </c>
      <c r="L314" s="10" t="n">
        <f aca="false">SUMIF(Transaction!$B$2:$B$8421,A314,Transaction!$H$2:$H$8421)</f>
        <v>1466</v>
      </c>
      <c r="M314" s="6" t="n">
        <f aca="false">Summary!$B$3-J314</f>
        <v>150</v>
      </c>
      <c r="N314" s="6" t="str">
        <f aca="false">IF(K314&gt;1,"Yes","No")</f>
        <v>No</v>
      </c>
      <c r="O314" s="6" t="s">
        <v>48</v>
      </c>
    </row>
    <row r="315" customFormat="false" ht="15" hidden="false" customHeight="false" outlineLevel="0" collapsed="false">
      <c r="A315" s="6" t="s">
        <v>739</v>
      </c>
      <c r="B315" s="6" t="s">
        <v>740</v>
      </c>
      <c r="C315" s="6" t="s">
        <v>75</v>
      </c>
      <c r="D315" s="6" t="n">
        <v>29</v>
      </c>
      <c r="E315" s="6" t="s">
        <v>98</v>
      </c>
      <c r="F315" s="6" t="s">
        <v>99</v>
      </c>
      <c r="G315" s="26" t="n">
        <v>45979</v>
      </c>
      <c r="H315" s="6" t="s">
        <v>88</v>
      </c>
      <c r="I315" s="26" t="n">
        <f aca="false">_xlfn.MINIFS(Transaction!$C$2:$C$8421,Transaction!$B$2:$B$8421,A315)</f>
        <v>46046</v>
      </c>
      <c r="J315" s="26" t="n">
        <f aca="false">_xlfn.MAXIFS(Transaction!$C$2:$C$8421,Transaction!$B$2:$B$8421,A315)</f>
        <v>46046</v>
      </c>
      <c r="K315" s="6" t="n">
        <f aca="false">COUNTIF(Transaction!$B$2:$B$8421,A315)</f>
        <v>1</v>
      </c>
      <c r="L315" s="10" t="n">
        <f aca="false">SUMIF(Transaction!$B$2:$B$8421,A315,Transaction!$H$2:$H$8421)</f>
        <v>1492</v>
      </c>
      <c r="M315" s="6" t="n">
        <f aca="false">Summary!$B$3-J315</f>
        <v>220</v>
      </c>
      <c r="N315" s="6" t="str">
        <f aca="false">IF(K315&gt;1,"Yes","No")</f>
        <v>No</v>
      </c>
      <c r="O315" s="6" t="s">
        <v>49</v>
      </c>
    </row>
    <row r="316" customFormat="false" ht="15" hidden="false" customHeight="false" outlineLevel="0" collapsed="false">
      <c r="A316" s="6" t="s">
        <v>741</v>
      </c>
      <c r="B316" s="6" t="s">
        <v>742</v>
      </c>
      <c r="C316" s="6" t="s">
        <v>85</v>
      </c>
      <c r="D316" s="6" t="n">
        <v>31</v>
      </c>
      <c r="E316" s="6" t="s">
        <v>81</v>
      </c>
      <c r="F316" s="6" t="s">
        <v>82</v>
      </c>
      <c r="G316" s="26" t="n">
        <v>46061</v>
      </c>
      <c r="H316" s="6" t="s">
        <v>123</v>
      </c>
      <c r="I316" s="26" t="n">
        <f aca="false">_xlfn.MINIFS(Transaction!$C$2:$C$8421,Transaction!$B$2:$B$8421,A316)</f>
        <v>46129</v>
      </c>
      <c r="J316" s="26" t="n">
        <f aca="false">_xlfn.MAXIFS(Transaction!$C$2:$C$8421,Transaction!$B$2:$B$8421,A316)</f>
        <v>46129</v>
      </c>
      <c r="K316" s="6" t="n">
        <f aca="false">COUNTIF(Transaction!$B$2:$B$8421,A316)</f>
        <v>1</v>
      </c>
      <c r="L316" s="10" t="n">
        <f aca="false">SUMIF(Transaction!$B$2:$B$8421,A316,Transaction!$H$2:$H$8421)</f>
        <v>528</v>
      </c>
      <c r="M316" s="6" t="n">
        <f aca="false">Summary!$B$3-J316</f>
        <v>137</v>
      </c>
      <c r="N316" s="6" t="str">
        <f aca="false">IF(K316&gt;1,"Yes","No")</f>
        <v>No</v>
      </c>
      <c r="O316" s="6" t="s">
        <v>48</v>
      </c>
    </row>
    <row r="317" customFormat="false" ht="15" hidden="false" customHeight="false" outlineLevel="0" collapsed="false">
      <c r="A317" s="6" t="s">
        <v>743</v>
      </c>
      <c r="B317" s="6" t="s">
        <v>744</v>
      </c>
      <c r="C317" s="6" t="s">
        <v>75</v>
      </c>
      <c r="D317" s="6" t="n">
        <v>18</v>
      </c>
      <c r="E317" s="6" t="s">
        <v>91</v>
      </c>
      <c r="F317" s="6" t="s">
        <v>77</v>
      </c>
      <c r="G317" s="26" t="n">
        <v>45992</v>
      </c>
      <c r="H317" s="6" t="s">
        <v>92</v>
      </c>
      <c r="I317" s="26" t="n">
        <f aca="false">_xlfn.MINIFS(Transaction!$C$2:$C$8421,Transaction!$B$2:$B$8421,A317)</f>
        <v>46029</v>
      </c>
      <c r="J317" s="26" t="n">
        <f aca="false">_xlfn.MAXIFS(Transaction!$C$2:$C$8421,Transaction!$B$2:$B$8421,A317)</f>
        <v>46206</v>
      </c>
      <c r="K317" s="6" t="n">
        <f aca="false">COUNTIF(Transaction!$B$2:$B$8421,A317)</f>
        <v>7</v>
      </c>
      <c r="L317" s="10" t="n">
        <f aca="false">SUMIF(Transaction!$B$2:$B$8421,A317,Transaction!$H$2:$H$8421)</f>
        <v>12062</v>
      </c>
      <c r="M317" s="6" t="n">
        <f aca="false">Summary!$B$3-J317</f>
        <v>60</v>
      </c>
      <c r="N317" s="6" t="str">
        <f aca="false">IF(K317&gt;1,"Yes","No")</f>
        <v>Yes</v>
      </c>
      <c r="O317" s="6" t="s">
        <v>46</v>
      </c>
    </row>
    <row r="318" customFormat="false" ht="15" hidden="false" customHeight="false" outlineLevel="0" collapsed="false">
      <c r="A318" s="6" t="s">
        <v>745</v>
      </c>
      <c r="B318" s="6" t="s">
        <v>746</v>
      </c>
      <c r="C318" s="6" t="s">
        <v>75</v>
      </c>
      <c r="D318" s="6" t="n">
        <v>25</v>
      </c>
      <c r="E318" s="6" t="s">
        <v>95</v>
      </c>
      <c r="F318" s="6" t="s">
        <v>95</v>
      </c>
      <c r="G318" s="26" t="n">
        <v>46118</v>
      </c>
      <c r="H318" s="6" t="s">
        <v>78</v>
      </c>
      <c r="I318" s="26" t="n">
        <f aca="false">_xlfn.MINIFS(Transaction!$C$2:$C$8421,Transaction!$B$2:$B$8421,A318)</f>
        <v>46158</v>
      </c>
      <c r="J318" s="26" t="n">
        <f aca="false">_xlfn.MAXIFS(Transaction!$C$2:$C$8421,Transaction!$B$2:$B$8421,A318)</f>
        <v>46158</v>
      </c>
      <c r="K318" s="6" t="n">
        <f aca="false">COUNTIF(Transaction!$B$2:$B$8421,A318)</f>
        <v>1</v>
      </c>
      <c r="L318" s="10" t="n">
        <f aca="false">SUMIF(Transaction!$B$2:$B$8421,A318,Transaction!$H$2:$H$8421)</f>
        <v>1080</v>
      </c>
      <c r="M318" s="6" t="n">
        <f aca="false">Summary!$B$3-J318</f>
        <v>108</v>
      </c>
      <c r="N318" s="6" t="str">
        <f aca="false">IF(K318&gt;1,"Yes","No")</f>
        <v>No</v>
      </c>
      <c r="O318" s="6" t="s">
        <v>48</v>
      </c>
    </row>
    <row r="319" customFormat="false" ht="15" hidden="false" customHeight="false" outlineLevel="0" collapsed="false">
      <c r="A319" s="6" t="s">
        <v>747</v>
      </c>
      <c r="B319" s="6" t="s">
        <v>748</v>
      </c>
      <c r="C319" s="6" t="s">
        <v>75</v>
      </c>
      <c r="D319" s="6" t="n">
        <v>22</v>
      </c>
      <c r="E319" s="6" t="s">
        <v>81</v>
      </c>
      <c r="F319" s="6" t="s">
        <v>82</v>
      </c>
      <c r="G319" s="26" t="n">
        <v>46057</v>
      </c>
      <c r="H319" s="6" t="s">
        <v>92</v>
      </c>
      <c r="I319" s="26" t="n">
        <f aca="false">_xlfn.MINIFS(Transaction!$C$2:$C$8421,Transaction!$B$2:$B$8421,A319)</f>
        <v>46073</v>
      </c>
      <c r="J319" s="26" t="n">
        <f aca="false">_xlfn.MAXIFS(Transaction!$C$2:$C$8421,Transaction!$B$2:$B$8421,A319)</f>
        <v>46251</v>
      </c>
      <c r="K319" s="6" t="n">
        <f aca="false">COUNTIF(Transaction!$B$2:$B$8421,A319)</f>
        <v>8</v>
      </c>
      <c r="L319" s="10" t="n">
        <f aca="false">SUMIF(Transaction!$B$2:$B$8421,A319,Transaction!$H$2:$H$8421)</f>
        <v>15005</v>
      </c>
      <c r="M319" s="6" t="n">
        <f aca="false">Summary!$B$3-J319</f>
        <v>15</v>
      </c>
      <c r="N319" s="6" t="str">
        <f aca="false">IF(K319&gt;1,"Yes","No")</f>
        <v>Yes</v>
      </c>
      <c r="O319" s="6" t="s">
        <v>46</v>
      </c>
    </row>
    <row r="320" customFormat="false" ht="15" hidden="false" customHeight="false" outlineLevel="0" collapsed="false">
      <c r="A320" s="6" t="s">
        <v>749</v>
      </c>
      <c r="B320" s="6" t="s">
        <v>750</v>
      </c>
      <c r="C320" s="6" t="s">
        <v>75</v>
      </c>
      <c r="D320" s="6" t="n">
        <v>45</v>
      </c>
      <c r="E320" s="6" t="s">
        <v>121</v>
      </c>
      <c r="F320" s="6" t="s">
        <v>122</v>
      </c>
      <c r="G320" s="26" t="n">
        <v>46026</v>
      </c>
      <c r="H320" s="6" t="s">
        <v>78</v>
      </c>
      <c r="I320" s="26" t="n">
        <f aca="false">_xlfn.MINIFS(Transaction!$C$2:$C$8421,Transaction!$B$2:$B$8421,A320)</f>
        <v>46026</v>
      </c>
      <c r="J320" s="26" t="n">
        <f aca="false">_xlfn.MAXIFS(Transaction!$C$2:$C$8421,Transaction!$B$2:$B$8421,A320)</f>
        <v>46026</v>
      </c>
      <c r="K320" s="6" t="n">
        <f aca="false">COUNTIF(Transaction!$B$2:$B$8421,A320)</f>
        <v>1</v>
      </c>
      <c r="L320" s="10" t="n">
        <f aca="false">SUMIF(Transaction!$B$2:$B$8421,A320,Transaction!$H$2:$H$8421)</f>
        <v>6420</v>
      </c>
      <c r="M320" s="6" t="n">
        <f aca="false">Summary!$B$3-J320</f>
        <v>240</v>
      </c>
      <c r="N320" s="6" t="str">
        <f aca="false">IF(K320&gt;1,"Yes","No")</f>
        <v>No</v>
      </c>
      <c r="O320" s="6" t="s">
        <v>49</v>
      </c>
    </row>
    <row r="321" customFormat="false" ht="15" hidden="false" customHeight="false" outlineLevel="0" collapsed="false">
      <c r="A321" s="6" t="s">
        <v>751</v>
      </c>
      <c r="B321" s="6" t="s">
        <v>752</v>
      </c>
      <c r="C321" s="6" t="s">
        <v>75</v>
      </c>
      <c r="D321" s="6" t="n">
        <v>31</v>
      </c>
      <c r="E321" s="6" t="s">
        <v>140</v>
      </c>
      <c r="F321" s="6" t="s">
        <v>141</v>
      </c>
      <c r="G321" s="26" t="n">
        <v>46006</v>
      </c>
      <c r="H321" s="6" t="s">
        <v>78</v>
      </c>
      <c r="I321" s="26" t="n">
        <f aca="false">_xlfn.MINIFS(Transaction!$C$2:$C$8421,Transaction!$B$2:$B$8421,A321)</f>
        <v>46078</v>
      </c>
      <c r="J321" s="26" t="n">
        <f aca="false">_xlfn.MAXIFS(Transaction!$C$2:$C$8421,Transaction!$B$2:$B$8421,A321)</f>
        <v>46225</v>
      </c>
      <c r="K321" s="6" t="n">
        <f aca="false">COUNTIF(Transaction!$B$2:$B$8421,A321)</f>
        <v>6</v>
      </c>
      <c r="L321" s="10" t="n">
        <f aca="false">SUMIF(Transaction!$B$2:$B$8421,A321,Transaction!$H$2:$H$8421)</f>
        <v>9754</v>
      </c>
      <c r="M321" s="6" t="n">
        <f aca="false">Summary!$B$3-J321</f>
        <v>41</v>
      </c>
      <c r="N321" s="6" t="str">
        <f aca="false">IF(K321&gt;1,"Yes","No")</f>
        <v>Yes</v>
      </c>
      <c r="O321" s="6" t="s">
        <v>46</v>
      </c>
    </row>
    <row r="322" customFormat="false" ht="15" hidden="false" customHeight="false" outlineLevel="0" collapsed="false">
      <c r="A322" s="6" t="s">
        <v>753</v>
      </c>
      <c r="B322" s="6" t="s">
        <v>754</v>
      </c>
      <c r="C322" s="6" t="s">
        <v>85</v>
      </c>
      <c r="D322" s="6" t="n">
        <v>43</v>
      </c>
      <c r="E322" s="6" t="s">
        <v>430</v>
      </c>
      <c r="F322" s="6" t="s">
        <v>99</v>
      </c>
      <c r="G322" s="26" t="n">
        <v>46086</v>
      </c>
      <c r="H322" s="6" t="s">
        <v>115</v>
      </c>
      <c r="I322" s="26" t="n">
        <f aca="false">_xlfn.MINIFS(Transaction!$C$2:$C$8421,Transaction!$B$2:$B$8421,A322)</f>
        <v>46128</v>
      </c>
      <c r="J322" s="26" t="n">
        <f aca="false">_xlfn.MAXIFS(Transaction!$C$2:$C$8421,Transaction!$B$2:$B$8421,A322)</f>
        <v>46128</v>
      </c>
      <c r="K322" s="6" t="n">
        <f aca="false">COUNTIF(Transaction!$B$2:$B$8421,A322)</f>
        <v>1</v>
      </c>
      <c r="L322" s="10" t="n">
        <f aca="false">SUMIF(Transaction!$B$2:$B$8421,A322,Transaction!$H$2:$H$8421)</f>
        <v>4077</v>
      </c>
      <c r="M322" s="6" t="n">
        <f aca="false">Summary!$B$3-J322</f>
        <v>138</v>
      </c>
      <c r="N322" s="6" t="str">
        <f aca="false">IF(K322&gt;1,"Yes","No")</f>
        <v>No</v>
      </c>
      <c r="O322" s="6" t="s">
        <v>48</v>
      </c>
    </row>
    <row r="323" customFormat="false" ht="15" hidden="false" customHeight="false" outlineLevel="0" collapsed="false">
      <c r="A323" s="6" t="s">
        <v>755</v>
      </c>
      <c r="B323" s="6" t="s">
        <v>756</v>
      </c>
      <c r="C323" s="6" t="s">
        <v>85</v>
      </c>
      <c r="D323" s="6" t="n">
        <v>34</v>
      </c>
      <c r="E323" s="6" t="s">
        <v>76</v>
      </c>
      <c r="F323" s="6" t="s">
        <v>77</v>
      </c>
      <c r="G323" s="26" t="n">
        <v>46028</v>
      </c>
      <c r="H323" s="6" t="s">
        <v>78</v>
      </c>
      <c r="I323" s="26" t="n">
        <f aca="false">_xlfn.MINIFS(Transaction!$C$2:$C$8421,Transaction!$B$2:$B$8421,A323)</f>
        <v>46050</v>
      </c>
      <c r="J323" s="26" t="n">
        <f aca="false">_xlfn.MAXIFS(Transaction!$C$2:$C$8421,Transaction!$B$2:$B$8421,A323)</f>
        <v>46244</v>
      </c>
      <c r="K323" s="6" t="n">
        <f aca="false">COUNTIF(Transaction!$B$2:$B$8421,A323)</f>
        <v>8</v>
      </c>
      <c r="L323" s="10" t="n">
        <f aca="false">SUMIF(Transaction!$B$2:$B$8421,A323,Transaction!$H$2:$H$8421)</f>
        <v>15838</v>
      </c>
      <c r="M323" s="6" t="n">
        <f aca="false">Summary!$B$3-J323</f>
        <v>22</v>
      </c>
      <c r="N323" s="6" t="str">
        <f aca="false">IF(K323&gt;1,"Yes","No")</f>
        <v>Yes</v>
      </c>
      <c r="O323" s="6" t="s">
        <v>45</v>
      </c>
    </row>
    <row r="324" customFormat="false" ht="15" hidden="false" customHeight="false" outlineLevel="0" collapsed="false">
      <c r="A324" s="6" t="s">
        <v>757</v>
      </c>
      <c r="B324" s="6" t="s">
        <v>758</v>
      </c>
      <c r="C324" s="6" t="s">
        <v>75</v>
      </c>
      <c r="D324" s="6" t="n">
        <v>23</v>
      </c>
      <c r="E324" s="6" t="s">
        <v>98</v>
      </c>
      <c r="F324" s="6" t="s">
        <v>99</v>
      </c>
      <c r="G324" s="26" t="n">
        <v>46099</v>
      </c>
      <c r="H324" s="6" t="s">
        <v>78</v>
      </c>
      <c r="I324" s="26" t="n">
        <f aca="false">_xlfn.MINIFS(Transaction!$C$2:$C$8421,Transaction!$B$2:$B$8421,A324)</f>
        <v>46122</v>
      </c>
      <c r="J324" s="26" t="n">
        <f aca="false">_xlfn.MAXIFS(Transaction!$C$2:$C$8421,Transaction!$B$2:$B$8421,A324)</f>
        <v>46122</v>
      </c>
      <c r="K324" s="6" t="n">
        <f aca="false">COUNTIF(Transaction!$B$2:$B$8421,A324)</f>
        <v>1</v>
      </c>
      <c r="L324" s="10" t="n">
        <f aca="false">SUMIF(Transaction!$B$2:$B$8421,A324,Transaction!$H$2:$H$8421)</f>
        <v>549</v>
      </c>
      <c r="M324" s="6" t="n">
        <f aca="false">Summary!$B$3-J324</f>
        <v>144</v>
      </c>
      <c r="N324" s="6" t="str">
        <f aca="false">IF(K324&gt;1,"Yes","No")</f>
        <v>No</v>
      </c>
      <c r="O324" s="6" t="s">
        <v>48</v>
      </c>
    </row>
    <row r="325" customFormat="false" ht="15" hidden="false" customHeight="false" outlineLevel="0" collapsed="false">
      <c r="A325" s="6" t="s">
        <v>759</v>
      </c>
      <c r="B325" s="6" t="s">
        <v>760</v>
      </c>
      <c r="C325" s="6" t="s">
        <v>75</v>
      </c>
      <c r="D325" s="6" t="n">
        <v>41</v>
      </c>
      <c r="E325" s="6" t="s">
        <v>237</v>
      </c>
      <c r="F325" s="6" t="s">
        <v>87</v>
      </c>
      <c r="G325" s="26" t="n">
        <v>46202</v>
      </c>
      <c r="H325" s="6" t="s">
        <v>123</v>
      </c>
      <c r="I325" s="26" t="n">
        <f aca="false">_xlfn.MINIFS(Transaction!$C$2:$C$8421,Transaction!$B$2:$B$8421,A325)</f>
        <v>46212</v>
      </c>
      <c r="J325" s="26" t="n">
        <f aca="false">_xlfn.MAXIFS(Transaction!$C$2:$C$8421,Transaction!$B$2:$B$8421,A325)</f>
        <v>46212</v>
      </c>
      <c r="K325" s="6" t="n">
        <f aca="false">COUNTIF(Transaction!$B$2:$B$8421,A325)</f>
        <v>1</v>
      </c>
      <c r="L325" s="10" t="n">
        <f aca="false">SUMIF(Transaction!$B$2:$B$8421,A325,Transaction!$H$2:$H$8421)</f>
        <v>747</v>
      </c>
      <c r="M325" s="6" t="n">
        <f aca="false">Summary!$B$3-J325</f>
        <v>54</v>
      </c>
      <c r="N325" s="6" t="str">
        <f aca="false">IF(K325&gt;1,"Yes","No")</f>
        <v>No</v>
      </c>
      <c r="O325" s="6" t="s">
        <v>47</v>
      </c>
    </row>
    <row r="326" customFormat="false" ht="15" hidden="false" customHeight="false" outlineLevel="0" collapsed="false">
      <c r="A326" s="6" t="s">
        <v>761</v>
      </c>
      <c r="B326" s="6" t="s">
        <v>762</v>
      </c>
      <c r="C326" s="6" t="s">
        <v>85</v>
      </c>
      <c r="D326" s="6" t="n">
        <v>18</v>
      </c>
      <c r="E326" s="6" t="s">
        <v>146</v>
      </c>
      <c r="F326" s="6" t="s">
        <v>147</v>
      </c>
      <c r="G326" s="26" t="n">
        <v>45969</v>
      </c>
      <c r="H326" s="6" t="s">
        <v>78</v>
      </c>
      <c r="I326" s="26" t="n">
        <f aca="false">_xlfn.MINIFS(Transaction!$C$2:$C$8421,Transaction!$B$2:$B$8421,A326)</f>
        <v>46029</v>
      </c>
      <c r="J326" s="26" t="n">
        <f aca="false">_xlfn.MAXIFS(Transaction!$C$2:$C$8421,Transaction!$B$2:$B$8421,A326)</f>
        <v>46255</v>
      </c>
      <c r="K326" s="6" t="n">
        <f aca="false">COUNTIF(Transaction!$B$2:$B$8421,A326)</f>
        <v>8</v>
      </c>
      <c r="L326" s="10" t="n">
        <f aca="false">SUMIF(Transaction!$B$2:$B$8421,A326,Transaction!$H$2:$H$8421)</f>
        <v>12875</v>
      </c>
      <c r="M326" s="6" t="n">
        <f aca="false">Summary!$B$3-J326</f>
        <v>11</v>
      </c>
      <c r="N326" s="6" t="str">
        <f aca="false">IF(K326&gt;1,"Yes","No")</f>
        <v>Yes</v>
      </c>
      <c r="O326" s="6" t="s">
        <v>45</v>
      </c>
    </row>
    <row r="327" customFormat="false" ht="15" hidden="false" customHeight="false" outlineLevel="0" collapsed="false">
      <c r="A327" s="6" t="s">
        <v>763</v>
      </c>
      <c r="B327" s="6" t="s">
        <v>764</v>
      </c>
      <c r="C327" s="6" t="s">
        <v>85</v>
      </c>
      <c r="D327" s="6" t="n">
        <v>37</v>
      </c>
      <c r="E327" s="6" t="s">
        <v>81</v>
      </c>
      <c r="F327" s="6" t="s">
        <v>82</v>
      </c>
      <c r="G327" s="26" t="n">
        <v>46042</v>
      </c>
      <c r="H327" s="6" t="s">
        <v>92</v>
      </c>
      <c r="I327" s="26" t="n">
        <f aca="false">_xlfn.MINIFS(Transaction!$C$2:$C$8421,Transaction!$B$2:$B$8421,A327)</f>
        <v>46117</v>
      </c>
      <c r="J327" s="26" t="n">
        <f aca="false">_xlfn.MAXIFS(Transaction!$C$2:$C$8421,Transaction!$B$2:$B$8421,A327)</f>
        <v>46117</v>
      </c>
      <c r="K327" s="6" t="n">
        <f aca="false">COUNTIF(Transaction!$B$2:$B$8421,A327)</f>
        <v>1</v>
      </c>
      <c r="L327" s="10" t="n">
        <f aca="false">SUMIF(Transaction!$B$2:$B$8421,A327,Transaction!$H$2:$H$8421)</f>
        <v>1564</v>
      </c>
      <c r="M327" s="6" t="n">
        <f aca="false">Summary!$B$3-J327</f>
        <v>149</v>
      </c>
      <c r="N327" s="6" t="str">
        <f aca="false">IF(K327&gt;1,"Yes","No")</f>
        <v>No</v>
      </c>
      <c r="O327" s="6" t="s">
        <v>48</v>
      </c>
    </row>
    <row r="328" customFormat="false" ht="15" hidden="false" customHeight="false" outlineLevel="0" collapsed="false">
      <c r="A328" s="6" t="s">
        <v>765</v>
      </c>
      <c r="B328" s="6" t="s">
        <v>766</v>
      </c>
      <c r="C328" s="6" t="s">
        <v>85</v>
      </c>
      <c r="D328" s="6" t="n">
        <v>34</v>
      </c>
      <c r="E328" s="6" t="s">
        <v>121</v>
      </c>
      <c r="F328" s="6" t="s">
        <v>122</v>
      </c>
      <c r="G328" s="26" t="n">
        <v>45965</v>
      </c>
      <c r="H328" s="6" t="s">
        <v>78</v>
      </c>
      <c r="I328" s="26" t="n">
        <f aca="false">_xlfn.MINIFS(Transaction!$C$2:$C$8421,Transaction!$B$2:$B$8421,A328)</f>
        <v>46040</v>
      </c>
      <c r="J328" s="26" t="n">
        <f aca="false">_xlfn.MAXIFS(Transaction!$C$2:$C$8421,Transaction!$B$2:$B$8421,A328)</f>
        <v>46250</v>
      </c>
      <c r="K328" s="6" t="n">
        <f aca="false">COUNTIF(Transaction!$B$2:$B$8421,A328)</f>
        <v>11</v>
      </c>
      <c r="L328" s="10" t="n">
        <f aca="false">SUMIF(Transaction!$B$2:$B$8421,A328,Transaction!$H$2:$H$8421)</f>
        <v>21597</v>
      </c>
      <c r="M328" s="6" t="n">
        <f aca="false">Summary!$B$3-J328</f>
        <v>16</v>
      </c>
      <c r="N328" s="6" t="str">
        <f aca="false">IF(K328&gt;1,"Yes","No")</f>
        <v>Yes</v>
      </c>
      <c r="O328" s="6" t="s">
        <v>45</v>
      </c>
    </row>
    <row r="329" customFormat="false" ht="15" hidden="false" customHeight="false" outlineLevel="0" collapsed="false">
      <c r="A329" s="6" t="s">
        <v>767</v>
      </c>
      <c r="B329" s="6" t="s">
        <v>768</v>
      </c>
      <c r="C329" s="6" t="s">
        <v>75</v>
      </c>
      <c r="D329" s="6" t="n">
        <v>44</v>
      </c>
      <c r="E329" s="6" t="s">
        <v>91</v>
      </c>
      <c r="F329" s="6" t="s">
        <v>77</v>
      </c>
      <c r="G329" s="26" t="n">
        <v>46064</v>
      </c>
      <c r="H329" s="6" t="s">
        <v>123</v>
      </c>
      <c r="I329" s="26" t="n">
        <f aca="false">_xlfn.MINIFS(Transaction!$C$2:$C$8421,Transaction!$B$2:$B$8421,A329)</f>
        <v>46149</v>
      </c>
      <c r="J329" s="26" t="n">
        <f aca="false">_xlfn.MAXIFS(Transaction!$C$2:$C$8421,Transaction!$B$2:$B$8421,A329)</f>
        <v>46149</v>
      </c>
      <c r="K329" s="6" t="n">
        <f aca="false">COUNTIF(Transaction!$B$2:$B$8421,A329)</f>
        <v>1</v>
      </c>
      <c r="L329" s="10" t="n">
        <f aca="false">SUMIF(Transaction!$B$2:$B$8421,A329,Transaction!$H$2:$H$8421)</f>
        <v>2349</v>
      </c>
      <c r="M329" s="6" t="n">
        <f aca="false">Summary!$B$3-J329</f>
        <v>117</v>
      </c>
      <c r="N329" s="6" t="str">
        <f aca="false">IF(K329&gt;1,"Yes","No")</f>
        <v>No</v>
      </c>
      <c r="O329" s="6" t="s">
        <v>48</v>
      </c>
    </row>
    <row r="330" customFormat="false" ht="15" hidden="false" customHeight="false" outlineLevel="0" collapsed="false">
      <c r="A330" s="6" t="s">
        <v>769</v>
      </c>
      <c r="B330" s="6" t="s">
        <v>770</v>
      </c>
      <c r="C330" s="6" t="s">
        <v>75</v>
      </c>
      <c r="D330" s="6" t="n">
        <v>45</v>
      </c>
      <c r="E330" s="6" t="s">
        <v>121</v>
      </c>
      <c r="F330" s="6" t="s">
        <v>122</v>
      </c>
      <c r="G330" s="26" t="n">
        <v>46165</v>
      </c>
      <c r="H330" s="6" t="s">
        <v>78</v>
      </c>
      <c r="I330" s="26" t="n">
        <f aca="false">_xlfn.MINIFS(Transaction!$C$2:$C$8421,Transaction!$B$2:$B$8421,A330)</f>
        <v>46231</v>
      </c>
      <c r="J330" s="26" t="n">
        <f aca="false">_xlfn.MAXIFS(Transaction!$C$2:$C$8421,Transaction!$B$2:$B$8421,A330)</f>
        <v>46231</v>
      </c>
      <c r="K330" s="6" t="n">
        <f aca="false">COUNTIF(Transaction!$B$2:$B$8421,A330)</f>
        <v>1</v>
      </c>
      <c r="L330" s="10" t="n">
        <f aca="false">SUMIF(Transaction!$B$2:$B$8421,A330,Transaction!$H$2:$H$8421)</f>
        <v>3258</v>
      </c>
      <c r="M330" s="6" t="n">
        <f aca="false">Summary!$B$3-J330</f>
        <v>35</v>
      </c>
      <c r="N330" s="6" t="str">
        <f aca="false">IF(K330&gt;1,"Yes","No")</f>
        <v>No</v>
      </c>
      <c r="O330" s="6" t="s">
        <v>47</v>
      </c>
    </row>
    <row r="331" customFormat="false" ht="15" hidden="false" customHeight="false" outlineLevel="0" collapsed="false">
      <c r="A331" s="6" t="s">
        <v>771</v>
      </c>
      <c r="B331" s="6" t="s">
        <v>772</v>
      </c>
      <c r="C331" s="6" t="s">
        <v>75</v>
      </c>
      <c r="D331" s="6" t="n">
        <v>19</v>
      </c>
      <c r="E331" s="6" t="s">
        <v>95</v>
      </c>
      <c r="F331" s="6" t="s">
        <v>95</v>
      </c>
      <c r="G331" s="26" t="n">
        <v>46123</v>
      </c>
      <c r="H331" s="6" t="s">
        <v>92</v>
      </c>
      <c r="I331" s="26" t="n">
        <f aca="false">_xlfn.MINIFS(Transaction!$C$2:$C$8421,Transaction!$B$2:$B$8421,A331)</f>
        <v>46172</v>
      </c>
      <c r="J331" s="26" t="n">
        <f aca="false">_xlfn.MAXIFS(Transaction!$C$2:$C$8421,Transaction!$B$2:$B$8421,A331)</f>
        <v>46172</v>
      </c>
      <c r="K331" s="6" t="n">
        <f aca="false">COUNTIF(Transaction!$B$2:$B$8421,A331)</f>
        <v>1</v>
      </c>
      <c r="L331" s="10" t="n">
        <f aca="false">SUMIF(Transaction!$B$2:$B$8421,A331,Transaction!$H$2:$H$8421)</f>
        <v>549</v>
      </c>
      <c r="M331" s="6" t="n">
        <f aca="false">Summary!$B$3-J331</f>
        <v>94</v>
      </c>
      <c r="N331" s="6" t="str">
        <f aca="false">IF(K331&gt;1,"Yes","No")</f>
        <v>No</v>
      </c>
      <c r="O331" s="6" t="s">
        <v>48</v>
      </c>
    </row>
    <row r="332" customFormat="false" ht="15" hidden="false" customHeight="false" outlineLevel="0" collapsed="false">
      <c r="A332" s="6" t="s">
        <v>773</v>
      </c>
      <c r="B332" s="6" t="s">
        <v>774</v>
      </c>
      <c r="C332" s="6" t="s">
        <v>75</v>
      </c>
      <c r="D332" s="6" t="n">
        <v>21</v>
      </c>
      <c r="E332" s="6" t="s">
        <v>81</v>
      </c>
      <c r="F332" s="6" t="s">
        <v>82</v>
      </c>
      <c r="G332" s="26" t="n">
        <v>46035</v>
      </c>
      <c r="H332" s="6" t="s">
        <v>115</v>
      </c>
      <c r="I332" s="26" t="n">
        <f aca="false">_xlfn.MINIFS(Transaction!$C$2:$C$8421,Transaction!$B$2:$B$8421,A332)</f>
        <v>46047</v>
      </c>
      <c r="J332" s="26" t="n">
        <f aca="false">_xlfn.MAXIFS(Transaction!$C$2:$C$8421,Transaction!$B$2:$B$8421,A332)</f>
        <v>46047</v>
      </c>
      <c r="K332" s="6" t="n">
        <f aca="false">COUNTIF(Transaction!$B$2:$B$8421,A332)</f>
        <v>1</v>
      </c>
      <c r="L332" s="10" t="n">
        <f aca="false">SUMIF(Transaction!$B$2:$B$8421,A332,Transaction!$H$2:$H$8421)</f>
        <v>1213</v>
      </c>
      <c r="M332" s="6" t="n">
        <f aca="false">Summary!$B$3-J332</f>
        <v>219</v>
      </c>
      <c r="N332" s="6" t="str">
        <f aca="false">IF(K332&gt;1,"Yes","No")</f>
        <v>No</v>
      </c>
      <c r="O332" s="6" t="s">
        <v>49</v>
      </c>
    </row>
    <row r="333" customFormat="false" ht="15" hidden="false" customHeight="false" outlineLevel="0" collapsed="false">
      <c r="A333" s="6" t="s">
        <v>775</v>
      </c>
      <c r="B333" s="6" t="s">
        <v>776</v>
      </c>
      <c r="C333" s="6" t="s">
        <v>85</v>
      </c>
      <c r="D333" s="6" t="n">
        <v>19</v>
      </c>
      <c r="E333" s="6" t="s">
        <v>321</v>
      </c>
      <c r="F333" s="6" t="s">
        <v>321</v>
      </c>
      <c r="G333" s="26" t="n">
        <v>46011</v>
      </c>
      <c r="H333" s="6" t="s">
        <v>78</v>
      </c>
      <c r="I333" s="26" t="n">
        <f aca="false">_xlfn.MINIFS(Transaction!$C$2:$C$8421,Transaction!$B$2:$B$8421,A333)</f>
        <v>46030</v>
      </c>
      <c r="J333" s="26" t="n">
        <f aca="false">_xlfn.MAXIFS(Transaction!$C$2:$C$8421,Transaction!$B$2:$B$8421,A333)</f>
        <v>46030</v>
      </c>
      <c r="K333" s="6" t="n">
        <f aca="false">COUNTIF(Transaction!$B$2:$B$8421,A333)</f>
        <v>1</v>
      </c>
      <c r="L333" s="10" t="n">
        <f aca="false">SUMIF(Transaction!$B$2:$B$8421,A333,Transaction!$H$2:$H$8421)</f>
        <v>7340</v>
      </c>
      <c r="M333" s="6" t="n">
        <f aca="false">Summary!$B$3-J333</f>
        <v>236</v>
      </c>
      <c r="N333" s="6" t="str">
        <f aca="false">IF(K333&gt;1,"Yes","No")</f>
        <v>No</v>
      </c>
      <c r="O333" s="6" t="s">
        <v>49</v>
      </c>
    </row>
    <row r="334" customFormat="false" ht="15" hidden="false" customHeight="false" outlineLevel="0" collapsed="false">
      <c r="A334" s="6" t="s">
        <v>777</v>
      </c>
      <c r="B334" s="6" t="s">
        <v>778</v>
      </c>
      <c r="C334" s="6" t="s">
        <v>85</v>
      </c>
      <c r="D334" s="6" t="n">
        <v>29</v>
      </c>
      <c r="E334" s="6" t="s">
        <v>81</v>
      </c>
      <c r="F334" s="6" t="s">
        <v>82</v>
      </c>
      <c r="G334" s="26" t="n">
        <v>46149</v>
      </c>
      <c r="H334" s="6" t="s">
        <v>123</v>
      </c>
      <c r="I334" s="26" t="n">
        <f aca="false">_xlfn.MINIFS(Transaction!$C$2:$C$8421,Transaction!$B$2:$B$8421,A334)</f>
        <v>46232</v>
      </c>
      <c r="J334" s="26" t="n">
        <f aca="false">_xlfn.MAXIFS(Transaction!$C$2:$C$8421,Transaction!$B$2:$B$8421,A334)</f>
        <v>46236</v>
      </c>
      <c r="K334" s="6" t="n">
        <f aca="false">COUNTIF(Transaction!$B$2:$B$8421,A334)</f>
        <v>2</v>
      </c>
      <c r="L334" s="10" t="n">
        <f aca="false">SUMIF(Transaction!$B$2:$B$8421,A334,Transaction!$H$2:$H$8421)</f>
        <v>2452</v>
      </c>
      <c r="M334" s="6" t="n">
        <f aca="false">Summary!$B$3-J334</f>
        <v>30</v>
      </c>
      <c r="N334" s="6" t="str">
        <f aca="false">IF(K334&gt;1,"Yes","No")</f>
        <v>Yes</v>
      </c>
      <c r="O334" s="6" t="s">
        <v>46</v>
      </c>
    </row>
    <row r="335" customFormat="false" ht="15" hidden="false" customHeight="false" outlineLevel="0" collapsed="false">
      <c r="A335" s="6" t="s">
        <v>779</v>
      </c>
      <c r="B335" s="6" t="s">
        <v>780</v>
      </c>
      <c r="C335" s="6" t="s">
        <v>85</v>
      </c>
      <c r="D335" s="6" t="n">
        <v>28</v>
      </c>
      <c r="E335" s="6" t="s">
        <v>95</v>
      </c>
      <c r="F335" s="6" t="s">
        <v>95</v>
      </c>
      <c r="G335" s="26" t="n">
        <v>46020</v>
      </c>
      <c r="H335" s="6" t="s">
        <v>102</v>
      </c>
      <c r="I335" s="26" t="n">
        <f aca="false">_xlfn.MINIFS(Transaction!$C$2:$C$8421,Transaction!$B$2:$B$8421,A335)</f>
        <v>46047</v>
      </c>
      <c r="J335" s="26" t="n">
        <f aca="false">_xlfn.MAXIFS(Transaction!$C$2:$C$8421,Transaction!$B$2:$B$8421,A335)</f>
        <v>46236</v>
      </c>
      <c r="K335" s="6" t="n">
        <f aca="false">COUNTIF(Transaction!$B$2:$B$8421,A335)</f>
        <v>8</v>
      </c>
      <c r="L335" s="10" t="n">
        <f aca="false">SUMIF(Transaction!$B$2:$B$8421,A335,Transaction!$H$2:$H$8421)</f>
        <v>14048</v>
      </c>
      <c r="M335" s="6" t="n">
        <f aca="false">Summary!$B$3-J335</f>
        <v>30</v>
      </c>
      <c r="N335" s="6" t="str">
        <f aca="false">IF(K335&gt;1,"Yes","No")</f>
        <v>Yes</v>
      </c>
      <c r="O335" s="6" t="s">
        <v>46</v>
      </c>
    </row>
    <row r="336" customFormat="false" ht="15" hidden="false" customHeight="false" outlineLevel="0" collapsed="false">
      <c r="A336" s="6" t="s">
        <v>781</v>
      </c>
      <c r="B336" s="6" t="s">
        <v>782</v>
      </c>
      <c r="C336" s="6" t="s">
        <v>85</v>
      </c>
      <c r="D336" s="6" t="n">
        <v>33</v>
      </c>
      <c r="E336" s="6" t="s">
        <v>95</v>
      </c>
      <c r="F336" s="6" t="s">
        <v>95</v>
      </c>
      <c r="G336" s="26" t="n">
        <v>45952</v>
      </c>
      <c r="H336" s="6" t="s">
        <v>92</v>
      </c>
      <c r="I336" s="26" t="n">
        <f aca="false">_xlfn.MINIFS(Transaction!$C$2:$C$8421,Transaction!$B$2:$B$8421,A336)</f>
        <v>46041</v>
      </c>
      <c r="J336" s="26" t="n">
        <f aca="false">_xlfn.MAXIFS(Transaction!$C$2:$C$8421,Transaction!$B$2:$B$8421,A336)</f>
        <v>46195</v>
      </c>
      <c r="K336" s="6" t="n">
        <f aca="false">COUNTIF(Transaction!$B$2:$B$8421,A336)</f>
        <v>5</v>
      </c>
      <c r="L336" s="10" t="n">
        <f aca="false">SUMIF(Transaction!$B$2:$B$8421,A336,Transaction!$H$2:$H$8421)</f>
        <v>19759</v>
      </c>
      <c r="M336" s="6" t="n">
        <f aca="false">Summary!$B$3-J336</f>
        <v>71</v>
      </c>
      <c r="N336" s="6" t="str">
        <f aca="false">IF(K336&gt;1,"Yes","No")</f>
        <v>Yes</v>
      </c>
      <c r="O336" s="6" t="s">
        <v>46</v>
      </c>
    </row>
    <row r="337" customFormat="false" ht="15" hidden="false" customHeight="false" outlineLevel="0" collapsed="false">
      <c r="A337" s="6" t="s">
        <v>783</v>
      </c>
      <c r="B337" s="6" t="s">
        <v>784</v>
      </c>
      <c r="C337" s="6" t="s">
        <v>85</v>
      </c>
      <c r="D337" s="6" t="n">
        <v>42</v>
      </c>
      <c r="E337" s="6" t="s">
        <v>105</v>
      </c>
      <c r="F337" s="6" t="s">
        <v>106</v>
      </c>
      <c r="G337" s="26" t="n">
        <v>46191</v>
      </c>
      <c r="H337" s="6" t="s">
        <v>102</v>
      </c>
      <c r="I337" s="26" t="n">
        <f aca="false">_xlfn.MINIFS(Transaction!$C$2:$C$8421,Transaction!$B$2:$B$8421,A337)</f>
        <v>46193</v>
      </c>
      <c r="J337" s="26" t="n">
        <f aca="false">_xlfn.MAXIFS(Transaction!$C$2:$C$8421,Transaction!$B$2:$B$8421,A337)</f>
        <v>46193</v>
      </c>
      <c r="K337" s="6" t="n">
        <f aca="false">COUNTIF(Transaction!$B$2:$B$8421,A337)</f>
        <v>1</v>
      </c>
      <c r="L337" s="10" t="n">
        <f aca="false">SUMIF(Transaction!$B$2:$B$8421,A337,Transaction!$H$2:$H$8421)</f>
        <v>866</v>
      </c>
      <c r="M337" s="6" t="n">
        <f aca="false">Summary!$B$3-J337</f>
        <v>73</v>
      </c>
      <c r="N337" s="6" t="str">
        <f aca="false">IF(K337&gt;1,"Yes","No")</f>
        <v>No</v>
      </c>
      <c r="O337" s="6" t="s">
        <v>47</v>
      </c>
    </row>
    <row r="338" customFormat="false" ht="15" hidden="false" customHeight="false" outlineLevel="0" collapsed="false">
      <c r="A338" s="6" t="s">
        <v>785</v>
      </c>
      <c r="B338" s="6" t="s">
        <v>786</v>
      </c>
      <c r="C338" s="6" t="s">
        <v>75</v>
      </c>
      <c r="D338" s="6" t="n">
        <v>30</v>
      </c>
      <c r="E338" s="6" t="s">
        <v>237</v>
      </c>
      <c r="F338" s="6" t="s">
        <v>87</v>
      </c>
      <c r="G338" s="26" t="n">
        <v>46049</v>
      </c>
      <c r="H338" s="6" t="s">
        <v>115</v>
      </c>
      <c r="I338" s="26" t="n">
        <f aca="false">_xlfn.MINIFS(Transaction!$C$2:$C$8421,Transaction!$B$2:$B$8421,A338)</f>
        <v>46060</v>
      </c>
      <c r="J338" s="26" t="n">
        <f aca="false">_xlfn.MAXIFS(Transaction!$C$2:$C$8421,Transaction!$B$2:$B$8421,A338)</f>
        <v>46187</v>
      </c>
      <c r="K338" s="6" t="n">
        <f aca="false">COUNTIF(Transaction!$B$2:$B$8421,A338)</f>
        <v>4</v>
      </c>
      <c r="L338" s="10" t="n">
        <f aca="false">SUMIF(Transaction!$B$2:$B$8421,A338,Transaction!$H$2:$H$8421)</f>
        <v>12570</v>
      </c>
      <c r="M338" s="6" t="n">
        <f aca="false">Summary!$B$3-J338</f>
        <v>79</v>
      </c>
      <c r="N338" s="6" t="str">
        <f aca="false">IF(K338&gt;1,"Yes","No")</f>
        <v>Yes</v>
      </c>
      <c r="O338" s="6" t="s">
        <v>46</v>
      </c>
    </row>
    <row r="339" customFormat="false" ht="15" hidden="false" customHeight="false" outlineLevel="0" collapsed="false">
      <c r="A339" s="6" t="s">
        <v>787</v>
      </c>
      <c r="B339" s="6" t="s">
        <v>788</v>
      </c>
      <c r="C339" s="6" t="s">
        <v>85</v>
      </c>
      <c r="D339" s="6" t="n">
        <v>32</v>
      </c>
      <c r="E339" s="6" t="s">
        <v>95</v>
      </c>
      <c r="F339" s="6" t="s">
        <v>95</v>
      </c>
      <c r="G339" s="26" t="n">
        <v>46103</v>
      </c>
      <c r="H339" s="6" t="s">
        <v>78</v>
      </c>
      <c r="I339" s="26" t="n">
        <f aca="false">_xlfn.MINIFS(Transaction!$C$2:$C$8421,Transaction!$B$2:$B$8421,A339)</f>
        <v>46178</v>
      </c>
      <c r="J339" s="26" t="n">
        <f aca="false">_xlfn.MAXIFS(Transaction!$C$2:$C$8421,Transaction!$B$2:$B$8421,A339)</f>
        <v>46178</v>
      </c>
      <c r="K339" s="6" t="n">
        <f aca="false">COUNTIF(Transaction!$B$2:$B$8421,A339)</f>
        <v>1</v>
      </c>
      <c r="L339" s="10" t="n">
        <f aca="false">SUMIF(Transaction!$B$2:$B$8421,A339,Transaction!$H$2:$H$8421)</f>
        <v>1965</v>
      </c>
      <c r="M339" s="6" t="n">
        <f aca="false">Summary!$B$3-J339</f>
        <v>88</v>
      </c>
      <c r="N339" s="6" t="str">
        <f aca="false">IF(K339&gt;1,"Yes","No")</f>
        <v>No</v>
      </c>
      <c r="O339" s="6" t="s">
        <v>47</v>
      </c>
    </row>
    <row r="340" customFormat="false" ht="15" hidden="false" customHeight="false" outlineLevel="0" collapsed="false">
      <c r="A340" s="6" t="s">
        <v>789</v>
      </c>
      <c r="B340" s="6" t="s">
        <v>790</v>
      </c>
      <c r="C340" s="6" t="s">
        <v>75</v>
      </c>
      <c r="D340" s="6" t="n">
        <v>18</v>
      </c>
      <c r="E340" s="6" t="s">
        <v>134</v>
      </c>
      <c r="F340" s="6" t="s">
        <v>135</v>
      </c>
      <c r="G340" s="26" t="n">
        <v>46260</v>
      </c>
      <c r="H340" s="6" t="s">
        <v>115</v>
      </c>
      <c r="I340" s="26" t="n">
        <f aca="false">_xlfn.MINIFS(Transaction!$C$2:$C$8421,Transaction!$B$2:$B$8421,A340)</f>
        <v>46261</v>
      </c>
      <c r="J340" s="26" t="n">
        <f aca="false">_xlfn.MAXIFS(Transaction!$C$2:$C$8421,Transaction!$B$2:$B$8421,A340)</f>
        <v>46261</v>
      </c>
      <c r="K340" s="6" t="n">
        <f aca="false">COUNTIF(Transaction!$B$2:$B$8421,A340)</f>
        <v>1</v>
      </c>
      <c r="L340" s="10" t="n">
        <f aca="false">SUMIF(Transaction!$B$2:$B$8421,A340,Transaction!$H$2:$H$8421)</f>
        <v>774</v>
      </c>
      <c r="M340" s="6" t="n">
        <f aca="false">Summary!$B$3-J340</f>
        <v>5</v>
      </c>
      <c r="N340" s="6" t="str">
        <f aca="false">IF(K340&gt;1,"Yes","No")</f>
        <v>No</v>
      </c>
      <c r="O340" s="6" t="s">
        <v>47</v>
      </c>
    </row>
    <row r="341" customFormat="false" ht="15" hidden="false" customHeight="false" outlineLevel="0" collapsed="false">
      <c r="A341" s="6" t="s">
        <v>791</v>
      </c>
      <c r="B341" s="6" t="s">
        <v>792</v>
      </c>
      <c r="C341" s="6" t="s">
        <v>85</v>
      </c>
      <c r="D341" s="6" t="n">
        <v>42</v>
      </c>
      <c r="E341" s="6" t="s">
        <v>81</v>
      </c>
      <c r="F341" s="6" t="s">
        <v>82</v>
      </c>
      <c r="G341" s="26" t="n">
        <v>45967</v>
      </c>
      <c r="H341" s="6" t="s">
        <v>92</v>
      </c>
      <c r="I341" s="26" t="n">
        <f aca="false">_xlfn.MINIFS(Transaction!$C$2:$C$8421,Transaction!$B$2:$B$8421,A341)</f>
        <v>46035</v>
      </c>
      <c r="J341" s="26" t="n">
        <f aca="false">_xlfn.MAXIFS(Transaction!$C$2:$C$8421,Transaction!$B$2:$B$8421,A341)</f>
        <v>46247</v>
      </c>
      <c r="K341" s="6" t="n">
        <f aca="false">COUNTIF(Transaction!$B$2:$B$8421,A341)</f>
        <v>10</v>
      </c>
      <c r="L341" s="10" t="n">
        <f aca="false">SUMIF(Transaction!$B$2:$B$8421,A341,Transaction!$H$2:$H$8421)</f>
        <v>43147</v>
      </c>
      <c r="M341" s="6" t="n">
        <f aca="false">Summary!$B$3-J341</f>
        <v>19</v>
      </c>
      <c r="N341" s="6" t="str">
        <f aca="false">IF(K341&gt;1,"Yes","No")</f>
        <v>Yes</v>
      </c>
      <c r="O341" s="6" t="s">
        <v>45</v>
      </c>
    </row>
    <row r="342" customFormat="false" ht="15" hidden="false" customHeight="false" outlineLevel="0" collapsed="false">
      <c r="A342" s="6" t="s">
        <v>793</v>
      </c>
      <c r="B342" s="6" t="s">
        <v>794</v>
      </c>
      <c r="C342" s="6" t="s">
        <v>85</v>
      </c>
      <c r="D342" s="6" t="n">
        <v>34</v>
      </c>
      <c r="E342" s="6" t="s">
        <v>95</v>
      </c>
      <c r="F342" s="6" t="s">
        <v>95</v>
      </c>
      <c r="G342" s="26" t="n">
        <v>46014</v>
      </c>
      <c r="H342" s="6" t="s">
        <v>92</v>
      </c>
      <c r="I342" s="26" t="n">
        <f aca="false">_xlfn.MINIFS(Transaction!$C$2:$C$8421,Transaction!$B$2:$B$8421,A342)</f>
        <v>46047</v>
      </c>
      <c r="J342" s="26" t="n">
        <f aca="false">_xlfn.MAXIFS(Transaction!$C$2:$C$8421,Transaction!$B$2:$B$8421,A342)</f>
        <v>46206</v>
      </c>
      <c r="K342" s="6" t="n">
        <f aca="false">COUNTIF(Transaction!$B$2:$B$8421,A342)</f>
        <v>4</v>
      </c>
      <c r="L342" s="10" t="n">
        <f aca="false">SUMIF(Transaction!$B$2:$B$8421,A342,Transaction!$H$2:$H$8421)</f>
        <v>8631</v>
      </c>
      <c r="M342" s="6" t="n">
        <f aca="false">Summary!$B$3-J342</f>
        <v>60</v>
      </c>
      <c r="N342" s="6" t="str">
        <f aca="false">IF(K342&gt;1,"Yes","No")</f>
        <v>Yes</v>
      </c>
      <c r="O342" s="6" t="s">
        <v>46</v>
      </c>
    </row>
    <row r="343" customFormat="false" ht="15" hidden="false" customHeight="false" outlineLevel="0" collapsed="false">
      <c r="A343" s="6" t="s">
        <v>795</v>
      </c>
      <c r="B343" s="6" t="s">
        <v>796</v>
      </c>
      <c r="C343" s="6" t="s">
        <v>85</v>
      </c>
      <c r="D343" s="6" t="n">
        <v>33</v>
      </c>
      <c r="E343" s="6" t="s">
        <v>76</v>
      </c>
      <c r="F343" s="6" t="s">
        <v>77</v>
      </c>
      <c r="G343" s="26" t="n">
        <v>46056</v>
      </c>
      <c r="H343" s="6" t="s">
        <v>123</v>
      </c>
      <c r="I343" s="26" t="n">
        <f aca="false">_xlfn.MINIFS(Transaction!$C$2:$C$8421,Transaction!$B$2:$B$8421,A343)</f>
        <v>46136</v>
      </c>
      <c r="J343" s="26" t="n">
        <f aca="false">_xlfn.MAXIFS(Transaction!$C$2:$C$8421,Transaction!$B$2:$B$8421,A343)</f>
        <v>46136</v>
      </c>
      <c r="K343" s="6" t="n">
        <f aca="false">COUNTIF(Transaction!$B$2:$B$8421,A343)</f>
        <v>1</v>
      </c>
      <c r="L343" s="10" t="n">
        <f aca="false">SUMIF(Transaction!$B$2:$B$8421,A343,Transaction!$H$2:$H$8421)</f>
        <v>1016</v>
      </c>
      <c r="M343" s="6" t="n">
        <f aca="false">Summary!$B$3-J343</f>
        <v>130</v>
      </c>
      <c r="N343" s="6" t="str">
        <f aca="false">IF(K343&gt;1,"Yes","No")</f>
        <v>No</v>
      </c>
      <c r="O343" s="6" t="s">
        <v>48</v>
      </c>
    </row>
    <row r="344" customFormat="false" ht="15" hidden="false" customHeight="false" outlineLevel="0" collapsed="false">
      <c r="A344" s="6" t="s">
        <v>797</v>
      </c>
      <c r="B344" s="6" t="s">
        <v>798</v>
      </c>
      <c r="C344" s="6" t="s">
        <v>85</v>
      </c>
      <c r="D344" s="6" t="n">
        <v>41</v>
      </c>
      <c r="E344" s="6" t="s">
        <v>118</v>
      </c>
      <c r="F344" s="6" t="s">
        <v>77</v>
      </c>
      <c r="G344" s="26" t="n">
        <v>46124</v>
      </c>
      <c r="H344" s="6" t="s">
        <v>102</v>
      </c>
      <c r="I344" s="26" t="n">
        <f aca="false">_xlfn.MINIFS(Transaction!$C$2:$C$8421,Transaction!$B$2:$B$8421,A344)</f>
        <v>46190</v>
      </c>
      <c r="J344" s="26" t="n">
        <f aca="false">_xlfn.MAXIFS(Transaction!$C$2:$C$8421,Transaction!$B$2:$B$8421,A344)</f>
        <v>46197</v>
      </c>
      <c r="K344" s="6" t="n">
        <f aca="false">COUNTIF(Transaction!$B$2:$B$8421,A344)</f>
        <v>2</v>
      </c>
      <c r="L344" s="10" t="n">
        <f aca="false">SUMIF(Transaction!$B$2:$B$8421,A344,Transaction!$H$2:$H$8421)</f>
        <v>3715</v>
      </c>
      <c r="M344" s="6" t="n">
        <f aca="false">Summary!$B$3-J344</f>
        <v>69</v>
      </c>
      <c r="N344" s="6" t="str">
        <f aca="false">IF(K344&gt;1,"Yes","No")</f>
        <v>Yes</v>
      </c>
      <c r="O344" s="6" t="s">
        <v>46</v>
      </c>
    </row>
    <row r="345" customFormat="false" ht="15" hidden="false" customHeight="false" outlineLevel="0" collapsed="false">
      <c r="A345" s="6" t="s">
        <v>799</v>
      </c>
      <c r="B345" s="6" t="s">
        <v>800</v>
      </c>
      <c r="C345" s="6" t="s">
        <v>85</v>
      </c>
      <c r="D345" s="6" t="n">
        <v>32</v>
      </c>
      <c r="E345" s="6" t="s">
        <v>81</v>
      </c>
      <c r="F345" s="6" t="s">
        <v>82</v>
      </c>
      <c r="G345" s="26" t="n">
        <v>46164</v>
      </c>
      <c r="H345" s="6" t="s">
        <v>102</v>
      </c>
      <c r="I345" s="26" t="n">
        <f aca="false">_xlfn.MINIFS(Transaction!$C$2:$C$8421,Transaction!$B$2:$B$8421,A345)</f>
        <v>46167</v>
      </c>
      <c r="J345" s="26" t="n">
        <f aca="false">_xlfn.MAXIFS(Transaction!$C$2:$C$8421,Transaction!$B$2:$B$8421,A345)</f>
        <v>46167</v>
      </c>
      <c r="K345" s="6" t="n">
        <f aca="false">COUNTIF(Transaction!$B$2:$B$8421,A345)</f>
        <v>1</v>
      </c>
      <c r="L345" s="10" t="n">
        <f aca="false">SUMIF(Transaction!$B$2:$B$8421,A345,Transaction!$H$2:$H$8421)</f>
        <v>2349</v>
      </c>
      <c r="M345" s="6" t="n">
        <f aca="false">Summary!$B$3-J345</f>
        <v>99</v>
      </c>
      <c r="N345" s="6" t="str">
        <f aca="false">IF(K345&gt;1,"Yes","No")</f>
        <v>No</v>
      </c>
      <c r="O345" s="6" t="s">
        <v>48</v>
      </c>
    </row>
    <row r="346" customFormat="false" ht="15" hidden="false" customHeight="false" outlineLevel="0" collapsed="false">
      <c r="A346" s="6" t="s">
        <v>801</v>
      </c>
      <c r="B346" s="6" t="s">
        <v>802</v>
      </c>
      <c r="C346" s="6" t="s">
        <v>85</v>
      </c>
      <c r="D346" s="6" t="n">
        <v>41</v>
      </c>
      <c r="E346" s="6" t="s">
        <v>105</v>
      </c>
      <c r="F346" s="6" t="s">
        <v>106</v>
      </c>
      <c r="G346" s="26" t="n">
        <v>46008</v>
      </c>
      <c r="H346" s="6" t="s">
        <v>78</v>
      </c>
      <c r="I346" s="26" t="n">
        <f aca="false">_xlfn.MINIFS(Transaction!$C$2:$C$8421,Transaction!$B$2:$B$8421,A346)</f>
        <v>46048</v>
      </c>
      <c r="J346" s="26" t="n">
        <f aca="false">_xlfn.MAXIFS(Transaction!$C$2:$C$8421,Transaction!$B$2:$B$8421,A346)</f>
        <v>46263</v>
      </c>
      <c r="K346" s="6" t="n">
        <f aca="false">COUNTIF(Transaction!$B$2:$B$8421,A346)</f>
        <v>8</v>
      </c>
      <c r="L346" s="10" t="n">
        <f aca="false">SUMIF(Transaction!$B$2:$B$8421,A346,Transaction!$H$2:$H$8421)</f>
        <v>13822</v>
      </c>
      <c r="M346" s="6" t="n">
        <f aca="false">Summary!$B$3-J346</f>
        <v>3</v>
      </c>
      <c r="N346" s="6" t="str">
        <f aca="false">IF(K346&gt;1,"Yes","No")</f>
        <v>Yes</v>
      </c>
      <c r="O346" s="6" t="s">
        <v>45</v>
      </c>
    </row>
    <row r="347" customFormat="false" ht="15" hidden="false" customHeight="false" outlineLevel="0" collapsed="false">
      <c r="A347" s="6" t="s">
        <v>803</v>
      </c>
      <c r="B347" s="6" t="s">
        <v>804</v>
      </c>
      <c r="C347" s="6" t="s">
        <v>85</v>
      </c>
      <c r="D347" s="6" t="n">
        <v>34</v>
      </c>
      <c r="E347" s="6" t="s">
        <v>264</v>
      </c>
      <c r="F347" s="6" t="s">
        <v>106</v>
      </c>
      <c r="G347" s="26" t="n">
        <v>46021</v>
      </c>
      <c r="H347" s="6" t="s">
        <v>115</v>
      </c>
      <c r="I347" s="26" t="n">
        <f aca="false">_xlfn.MINIFS(Transaction!$C$2:$C$8421,Transaction!$B$2:$B$8421,A347)</f>
        <v>46038</v>
      </c>
      <c r="J347" s="26" t="n">
        <f aca="false">_xlfn.MAXIFS(Transaction!$C$2:$C$8421,Transaction!$B$2:$B$8421,A347)</f>
        <v>46247</v>
      </c>
      <c r="K347" s="6" t="n">
        <f aca="false">COUNTIF(Transaction!$B$2:$B$8421,A347)</f>
        <v>11</v>
      </c>
      <c r="L347" s="10" t="n">
        <f aca="false">SUMIF(Transaction!$B$2:$B$8421,A347,Transaction!$H$2:$H$8421)</f>
        <v>38313</v>
      </c>
      <c r="M347" s="6" t="n">
        <f aca="false">Summary!$B$3-J347</f>
        <v>19</v>
      </c>
      <c r="N347" s="6" t="str">
        <f aca="false">IF(K347&gt;1,"Yes","No")</f>
        <v>Yes</v>
      </c>
      <c r="O347" s="6" t="s">
        <v>45</v>
      </c>
    </row>
    <row r="348" customFormat="false" ht="15" hidden="false" customHeight="false" outlineLevel="0" collapsed="false">
      <c r="A348" s="6" t="s">
        <v>805</v>
      </c>
      <c r="B348" s="6" t="s">
        <v>806</v>
      </c>
      <c r="C348" s="6" t="s">
        <v>85</v>
      </c>
      <c r="D348" s="6" t="n">
        <v>46</v>
      </c>
      <c r="E348" s="6" t="s">
        <v>134</v>
      </c>
      <c r="F348" s="6" t="s">
        <v>135</v>
      </c>
      <c r="G348" s="26" t="n">
        <v>46180</v>
      </c>
      <c r="H348" s="6" t="s">
        <v>102</v>
      </c>
      <c r="I348" s="26" t="n">
        <f aca="false">_xlfn.MINIFS(Transaction!$C$2:$C$8421,Transaction!$B$2:$B$8421,A348)</f>
        <v>46249</v>
      </c>
      <c r="J348" s="26" t="n">
        <f aca="false">_xlfn.MAXIFS(Transaction!$C$2:$C$8421,Transaction!$B$2:$B$8421,A348)</f>
        <v>46249</v>
      </c>
      <c r="K348" s="6" t="n">
        <f aca="false">COUNTIF(Transaction!$B$2:$B$8421,A348)</f>
        <v>1</v>
      </c>
      <c r="L348" s="10" t="n">
        <f aca="false">SUMIF(Transaction!$B$2:$B$8421,A348,Transaction!$H$2:$H$8421)</f>
        <v>12777</v>
      </c>
      <c r="M348" s="6" t="n">
        <f aca="false">Summary!$B$3-J348</f>
        <v>17</v>
      </c>
      <c r="N348" s="6" t="str">
        <f aca="false">IF(K348&gt;1,"Yes","No")</f>
        <v>No</v>
      </c>
      <c r="O348" s="6" t="s">
        <v>47</v>
      </c>
    </row>
    <row r="349" customFormat="false" ht="15" hidden="false" customHeight="false" outlineLevel="0" collapsed="false">
      <c r="A349" s="6" t="s">
        <v>807</v>
      </c>
      <c r="B349" s="6" t="s">
        <v>808</v>
      </c>
      <c r="C349" s="6" t="s">
        <v>75</v>
      </c>
      <c r="D349" s="6" t="n">
        <v>24</v>
      </c>
      <c r="E349" s="6" t="s">
        <v>76</v>
      </c>
      <c r="F349" s="6" t="s">
        <v>77</v>
      </c>
      <c r="G349" s="26" t="n">
        <v>46140</v>
      </c>
      <c r="H349" s="6" t="s">
        <v>123</v>
      </c>
      <c r="I349" s="26" t="n">
        <f aca="false">_xlfn.MINIFS(Transaction!$C$2:$C$8421,Transaction!$B$2:$B$8421,A349)</f>
        <v>46186</v>
      </c>
      <c r="J349" s="26" t="n">
        <f aca="false">_xlfn.MAXIFS(Transaction!$C$2:$C$8421,Transaction!$B$2:$B$8421,A349)</f>
        <v>46186</v>
      </c>
      <c r="K349" s="6" t="n">
        <f aca="false">COUNTIF(Transaction!$B$2:$B$8421,A349)</f>
        <v>1</v>
      </c>
      <c r="L349" s="10" t="n">
        <f aca="false">SUMIF(Transaction!$B$2:$B$8421,A349,Transaction!$H$2:$H$8421)</f>
        <v>1586</v>
      </c>
      <c r="M349" s="6" t="n">
        <f aca="false">Summary!$B$3-J349</f>
        <v>80</v>
      </c>
      <c r="N349" s="6" t="str">
        <f aca="false">IF(K349&gt;1,"Yes","No")</f>
        <v>No</v>
      </c>
      <c r="O349" s="6" t="s">
        <v>47</v>
      </c>
    </row>
    <row r="350" customFormat="false" ht="15" hidden="false" customHeight="false" outlineLevel="0" collapsed="false">
      <c r="A350" s="6" t="s">
        <v>809</v>
      </c>
      <c r="B350" s="6" t="s">
        <v>810</v>
      </c>
      <c r="C350" s="6" t="s">
        <v>85</v>
      </c>
      <c r="D350" s="6" t="n">
        <v>39</v>
      </c>
      <c r="E350" s="6" t="s">
        <v>237</v>
      </c>
      <c r="F350" s="6" t="s">
        <v>87</v>
      </c>
      <c r="G350" s="26" t="n">
        <v>46079</v>
      </c>
      <c r="H350" s="6" t="s">
        <v>115</v>
      </c>
      <c r="I350" s="26" t="n">
        <f aca="false">_xlfn.MINIFS(Transaction!$C$2:$C$8421,Transaction!$B$2:$B$8421,A350)</f>
        <v>46156</v>
      </c>
      <c r="J350" s="26" t="n">
        <f aca="false">_xlfn.MAXIFS(Transaction!$C$2:$C$8421,Transaction!$B$2:$B$8421,A350)</f>
        <v>46234</v>
      </c>
      <c r="K350" s="6" t="n">
        <f aca="false">COUNTIF(Transaction!$B$2:$B$8421,A350)</f>
        <v>3</v>
      </c>
      <c r="L350" s="10" t="n">
        <f aca="false">SUMIF(Transaction!$B$2:$B$8421,A350,Transaction!$H$2:$H$8421)</f>
        <v>3062</v>
      </c>
      <c r="M350" s="6" t="n">
        <f aca="false">Summary!$B$3-J350</f>
        <v>32</v>
      </c>
      <c r="N350" s="6" t="str">
        <f aca="false">IF(K350&gt;1,"Yes","No")</f>
        <v>Yes</v>
      </c>
      <c r="O350" s="6" t="s">
        <v>46</v>
      </c>
    </row>
    <row r="351" customFormat="false" ht="15" hidden="false" customHeight="false" outlineLevel="0" collapsed="false">
      <c r="A351" s="6" t="s">
        <v>811</v>
      </c>
      <c r="B351" s="6" t="s">
        <v>812</v>
      </c>
      <c r="C351" s="6" t="s">
        <v>85</v>
      </c>
      <c r="D351" s="6" t="n">
        <v>24</v>
      </c>
      <c r="E351" s="6" t="s">
        <v>264</v>
      </c>
      <c r="F351" s="6" t="s">
        <v>106</v>
      </c>
      <c r="G351" s="26" t="n">
        <v>46076</v>
      </c>
      <c r="H351" s="6" t="s">
        <v>102</v>
      </c>
      <c r="I351" s="26" t="n">
        <f aca="false">_xlfn.MINIFS(Transaction!$C$2:$C$8421,Transaction!$B$2:$B$8421,A351)</f>
        <v>46114</v>
      </c>
      <c r="J351" s="26" t="n">
        <f aca="false">_xlfn.MAXIFS(Transaction!$C$2:$C$8421,Transaction!$B$2:$B$8421,A351)</f>
        <v>46114</v>
      </c>
      <c r="K351" s="6" t="n">
        <f aca="false">COUNTIF(Transaction!$B$2:$B$8421,A351)</f>
        <v>1</v>
      </c>
      <c r="L351" s="10" t="n">
        <f aca="false">SUMIF(Transaction!$B$2:$B$8421,A351,Transaction!$H$2:$H$8421)</f>
        <v>704</v>
      </c>
      <c r="M351" s="6" t="n">
        <f aca="false">Summary!$B$3-J351</f>
        <v>152</v>
      </c>
      <c r="N351" s="6" t="str">
        <f aca="false">IF(K351&gt;1,"Yes","No")</f>
        <v>No</v>
      </c>
      <c r="O351" s="6" t="s">
        <v>48</v>
      </c>
    </row>
    <row r="352" customFormat="false" ht="15" hidden="false" customHeight="false" outlineLevel="0" collapsed="false">
      <c r="A352" s="6" t="s">
        <v>813</v>
      </c>
      <c r="B352" s="6" t="s">
        <v>814</v>
      </c>
      <c r="C352" s="6" t="s">
        <v>85</v>
      </c>
      <c r="D352" s="6" t="n">
        <v>34</v>
      </c>
      <c r="E352" s="6" t="s">
        <v>76</v>
      </c>
      <c r="F352" s="6" t="s">
        <v>77</v>
      </c>
      <c r="G352" s="26" t="n">
        <v>46029</v>
      </c>
      <c r="H352" s="6" t="s">
        <v>102</v>
      </c>
      <c r="I352" s="26" t="n">
        <f aca="false">_xlfn.MINIFS(Transaction!$C$2:$C$8421,Transaction!$B$2:$B$8421,A352)</f>
        <v>46107</v>
      </c>
      <c r="J352" s="26" t="n">
        <f aca="false">_xlfn.MAXIFS(Transaction!$C$2:$C$8421,Transaction!$B$2:$B$8421,A352)</f>
        <v>46107</v>
      </c>
      <c r="K352" s="6" t="n">
        <f aca="false">COUNTIF(Transaction!$B$2:$B$8421,A352)</f>
        <v>1</v>
      </c>
      <c r="L352" s="10" t="n">
        <f aca="false">SUMIF(Transaction!$B$2:$B$8421,A352,Transaction!$H$2:$H$8421)</f>
        <v>3520</v>
      </c>
      <c r="M352" s="6" t="n">
        <f aca="false">Summary!$B$3-J352</f>
        <v>159</v>
      </c>
      <c r="N352" s="6" t="str">
        <f aca="false">IF(K352&gt;1,"Yes","No")</f>
        <v>No</v>
      </c>
      <c r="O352" s="6" t="s">
        <v>49</v>
      </c>
    </row>
    <row r="353" customFormat="false" ht="15" hidden="false" customHeight="false" outlineLevel="0" collapsed="false">
      <c r="A353" s="6" t="s">
        <v>815</v>
      </c>
      <c r="B353" s="6" t="s">
        <v>816</v>
      </c>
      <c r="C353" s="6" t="s">
        <v>75</v>
      </c>
      <c r="D353" s="6" t="n">
        <v>28</v>
      </c>
      <c r="E353" s="6" t="s">
        <v>81</v>
      </c>
      <c r="F353" s="6" t="s">
        <v>82</v>
      </c>
      <c r="G353" s="26" t="n">
        <v>46060</v>
      </c>
      <c r="H353" s="6" t="s">
        <v>88</v>
      </c>
      <c r="I353" s="26" t="n">
        <f aca="false">_xlfn.MINIFS(Transaction!$C$2:$C$8421,Transaction!$B$2:$B$8421,A353)</f>
        <v>46148</v>
      </c>
      <c r="J353" s="26" t="n">
        <f aca="false">_xlfn.MAXIFS(Transaction!$C$2:$C$8421,Transaction!$B$2:$B$8421,A353)</f>
        <v>46148</v>
      </c>
      <c r="K353" s="6" t="n">
        <f aca="false">COUNTIF(Transaction!$B$2:$B$8421,A353)</f>
        <v>1</v>
      </c>
      <c r="L353" s="10" t="n">
        <f aca="false">SUMIF(Transaction!$B$2:$B$8421,A353,Transaction!$H$2:$H$8421)</f>
        <v>807</v>
      </c>
      <c r="M353" s="6" t="n">
        <f aca="false">Summary!$B$3-J353</f>
        <v>118</v>
      </c>
      <c r="N353" s="6" t="str">
        <f aca="false">IF(K353&gt;1,"Yes","No")</f>
        <v>No</v>
      </c>
      <c r="O353" s="6" t="s">
        <v>48</v>
      </c>
    </row>
    <row r="354" customFormat="false" ht="15" hidden="false" customHeight="false" outlineLevel="0" collapsed="false">
      <c r="A354" s="6" t="s">
        <v>817</v>
      </c>
      <c r="B354" s="6" t="s">
        <v>818</v>
      </c>
      <c r="C354" s="6" t="s">
        <v>75</v>
      </c>
      <c r="D354" s="6" t="n">
        <v>32</v>
      </c>
      <c r="E354" s="6" t="s">
        <v>321</v>
      </c>
      <c r="F354" s="6" t="s">
        <v>321</v>
      </c>
      <c r="G354" s="26" t="n">
        <v>46099</v>
      </c>
      <c r="H354" s="6" t="s">
        <v>78</v>
      </c>
      <c r="I354" s="26" t="n">
        <f aca="false">_xlfn.MINIFS(Transaction!$C$2:$C$8421,Transaction!$B$2:$B$8421,A354)</f>
        <v>46149</v>
      </c>
      <c r="J354" s="26" t="n">
        <f aca="false">_xlfn.MAXIFS(Transaction!$C$2:$C$8421,Transaction!$B$2:$B$8421,A354)</f>
        <v>46149</v>
      </c>
      <c r="K354" s="6" t="n">
        <f aca="false">COUNTIF(Transaction!$B$2:$B$8421,A354)</f>
        <v>1</v>
      </c>
      <c r="L354" s="10" t="n">
        <f aca="false">SUMIF(Transaction!$B$2:$B$8421,A354,Transaction!$H$2:$H$8421)</f>
        <v>872</v>
      </c>
      <c r="M354" s="6" t="n">
        <f aca="false">Summary!$B$3-J354</f>
        <v>117</v>
      </c>
      <c r="N354" s="6" t="str">
        <f aca="false">IF(K354&gt;1,"Yes","No")</f>
        <v>No</v>
      </c>
      <c r="O354" s="6" t="s">
        <v>48</v>
      </c>
    </row>
    <row r="355" customFormat="false" ht="15" hidden="false" customHeight="false" outlineLevel="0" collapsed="false">
      <c r="A355" s="6" t="s">
        <v>819</v>
      </c>
      <c r="B355" s="6" t="s">
        <v>820</v>
      </c>
      <c r="C355" s="6" t="s">
        <v>85</v>
      </c>
      <c r="D355" s="6" t="n">
        <v>29</v>
      </c>
      <c r="E355" s="6" t="s">
        <v>95</v>
      </c>
      <c r="F355" s="6" t="s">
        <v>95</v>
      </c>
      <c r="G355" s="26" t="n">
        <v>46051</v>
      </c>
      <c r="H355" s="6" t="s">
        <v>102</v>
      </c>
      <c r="I355" s="26" t="n">
        <f aca="false">_xlfn.MINIFS(Transaction!$C$2:$C$8421,Transaction!$B$2:$B$8421,A355)</f>
        <v>46098</v>
      </c>
      <c r="J355" s="26" t="n">
        <f aca="false">_xlfn.MAXIFS(Transaction!$C$2:$C$8421,Transaction!$B$2:$B$8421,A355)</f>
        <v>46255</v>
      </c>
      <c r="K355" s="6" t="n">
        <f aca="false">COUNTIF(Transaction!$B$2:$B$8421,A355)</f>
        <v>6</v>
      </c>
      <c r="L355" s="10" t="n">
        <f aca="false">SUMIF(Transaction!$B$2:$B$8421,A355,Transaction!$H$2:$H$8421)</f>
        <v>11236</v>
      </c>
      <c r="M355" s="6" t="n">
        <f aca="false">Summary!$B$3-J355</f>
        <v>11</v>
      </c>
      <c r="N355" s="6" t="str">
        <f aca="false">IF(K355&gt;1,"Yes","No")</f>
        <v>Yes</v>
      </c>
      <c r="O355" s="6" t="s">
        <v>46</v>
      </c>
    </row>
    <row r="356" customFormat="false" ht="15" hidden="false" customHeight="false" outlineLevel="0" collapsed="false">
      <c r="A356" s="6" t="s">
        <v>821</v>
      </c>
      <c r="B356" s="6" t="s">
        <v>822</v>
      </c>
      <c r="C356" s="6" t="s">
        <v>75</v>
      </c>
      <c r="D356" s="6" t="n">
        <v>39</v>
      </c>
      <c r="E356" s="6" t="s">
        <v>86</v>
      </c>
      <c r="F356" s="6" t="s">
        <v>87</v>
      </c>
      <c r="G356" s="26" t="n">
        <v>46156</v>
      </c>
      <c r="H356" s="6" t="s">
        <v>88</v>
      </c>
      <c r="I356" s="26" t="n">
        <f aca="false">_xlfn.MINIFS(Transaction!$C$2:$C$8421,Transaction!$B$2:$B$8421,A356)</f>
        <v>46218</v>
      </c>
      <c r="J356" s="26" t="n">
        <f aca="false">_xlfn.MAXIFS(Transaction!$C$2:$C$8421,Transaction!$B$2:$B$8421,A356)</f>
        <v>46218</v>
      </c>
      <c r="K356" s="6" t="n">
        <f aca="false">COUNTIF(Transaction!$B$2:$B$8421,A356)</f>
        <v>1</v>
      </c>
      <c r="L356" s="10" t="n">
        <f aca="false">SUMIF(Transaction!$B$2:$B$8421,A356,Transaction!$H$2:$H$8421)</f>
        <v>4072</v>
      </c>
      <c r="M356" s="6" t="n">
        <f aca="false">Summary!$B$3-J356</f>
        <v>48</v>
      </c>
      <c r="N356" s="6" t="str">
        <f aca="false">IF(K356&gt;1,"Yes","No")</f>
        <v>No</v>
      </c>
      <c r="O356" s="6" t="s">
        <v>47</v>
      </c>
    </row>
    <row r="357" customFormat="false" ht="15" hidden="false" customHeight="false" outlineLevel="0" collapsed="false">
      <c r="A357" s="6" t="s">
        <v>823</v>
      </c>
      <c r="B357" s="6" t="s">
        <v>824</v>
      </c>
      <c r="C357" s="6" t="s">
        <v>85</v>
      </c>
      <c r="D357" s="6" t="n">
        <v>44</v>
      </c>
      <c r="E357" s="6" t="s">
        <v>121</v>
      </c>
      <c r="F357" s="6" t="s">
        <v>122</v>
      </c>
      <c r="G357" s="26" t="n">
        <v>46078</v>
      </c>
      <c r="H357" s="6" t="s">
        <v>115</v>
      </c>
      <c r="I357" s="26" t="n">
        <f aca="false">_xlfn.MINIFS(Transaction!$C$2:$C$8421,Transaction!$B$2:$B$8421,A357)</f>
        <v>46126</v>
      </c>
      <c r="J357" s="26" t="n">
        <f aca="false">_xlfn.MAXIFS(Transaction!$C$2:$C$8421,Transaction!$B$2:$B$8421,A357)</f>
        <v>46126</v>
      </c>
      <c r="K357" s="6" t="n">
        <f aca="false">COUNTIF(Transaction!$B$2:$B$8421,A357)</f>
        <v>1</v>
      </c>
      <c r="L357" s="10" t="n">
        <f aca="false">SUMIF(Transaction!$B$2:$B$8421,A357,Transaction!$H$2:$H$8421)</f>
        <v>1308</v>
      </c>
      <c r="M357" s="6" t="n">
        <f aca="false">Summary!$B$3-J357</f>
        <v>140</v>
      </c>
      <c r="N357" s="6" t="str">
        <f aca="false">IF(K357&gt;1,"Yes","No")</f>
        <v>No</v>
      </c>
      <c r="O357" s="6" t="s">
        <v>48</v>
      </c>
    </row>
    <row r="358" customFormat="false" ht="15" hidden="false" customHeight="false" outlineLevel="0" collapsed="false">
      <c r="A358" s="6" t="s">
        <v>825</v>
      </c>
      <c r="B358" s="6" t="s">
        <v>826</v>
      </c>
      <c r="C358" s="6" t="s">
        <v>75</v>
      </c>
      <c r="D358" s="6" t="n">
        <v>44</v>
      </c>
      <c r="E358" s="6" t="s">
        <v>81</v>
      </c>
      <c r="F358" s="6" t="s">
        <v>82</v>
      </c>
      <c r="G358" s="26" t="n">
        <v>46106</v>
      </c>
      <c r="H358" s="6" t="s">
        <v>115</v>
      </c>
      <c r="I358" s="26" t="n">
        <f aca="false">_xlfn.MINIFS(Transaction!$C$2:$C$8421,Transaction!$B$2:$B$8421,A358)</f>
        <v>46147</v>
      </c>
      <c r="J358" s="26" t="n">
        <f aca="false">_xlfn.MAXIFS(Transaction!$C$2:$C$8421,Transaction!$B$2:$B$8421,A358)</f>
        <v>46147</v>
      </c>
      <c r="K358" s="6" t="n">
        <f aca="false">COUNTIF(Transaction!$B$2:$B$8421,A358)</f>
        <v>1</v>
      </c>
      <c r="L358" s="10" t="n">
        <f aca="false">SUMIF(Transaction!$B$2:$B$8421,A358,Transaction!$H$2:$H$8421)</f>
        <v>977</v>
      </c>
      <c r="M358" s="6" t="n">
        <f aca="false">Summary!$B$3-J358</f>
        <v>119</v>
      </c>
      <c r="N358" s="6" t="str">
        <f aca="false">IF(K358&gt;1,"Yes","No")</f>
        <v>No</v>
      </c>
      <c r="O358" s="6" t="s">
        <v>48</v>
      </c>
    </row>
    <row r="359" customFormat="false" ht="15" hidden="false" customHeight="false" outlineLevel="0" collapsed="false">
      <c r="A359" s="6" t="s">
        <v>827</v>
      </c>
      <c r="B359" s="6" t="s">
        <v>828</v>
      </c>
      <c r="C359" s="6" t="s">
        <v>85</v>
      </c>
      <c r="D359" s="6" t="n">
        <v>45</v>
      </c>
      <c r="E359" s="6" t="s">
        <v>321</v>
      </c>
      <c r="F359" s="6" t="s">
        <v>321</v>
      </c>
      <c r="G359" s="26" t="n">
        <v>46022</v>
      </c>
      <c r="H359" s="6" t="s">
        <v>115</v>
      </c>
      <c r="I359" s="26" t="n">
        <f aca="false">_xlfn.MINIFS(Transaction!$C$2:$C$8421,Transaction!$B$2:$B$8421,A359)</f>
        <v>46107</v>
      </c>
      <c r="J359" s="26" t="n">
        <f aca="false">_xlfn.MAXIFS(Transaction!$C$2:$C$8421,Transaction!$B$2:$B$8421,A359)</f>
        <v>46107</v>
      </c>
      <c r="K359" s="6" t="n">
        <f aca="false">COUNTIF(Transaction!$B$2:$B$8421,A359)</f>
        <v>1</v>
      </c>
      <c r="L359" s="10" t="n">
        <f aca="false">SUMIF(Transaction!$B$2:$B$8421,A359,Transaction!$H$2:$H$8421)</f>
        <v>435</v>
      </c>
      <c r="M359" s="6" t="n">
        <f aca="false">Summary!$B$3-J359</f>
        <v>159</v>
      </c>
      <c r="N359" s="6" t="str">
        <f aca="false">IF(K359&gt;1,"Yes","No")</f>
        <v>No</v>
      </c>
      <c r="O359" s="6" t="s">
        <v>49</v>
      </c>
    </row>
    <row r="360" customFormat="false" ht="15" hidden="false" customHeight="false" outlineLevel="0" collapsed="false">
      <c r="A360" s="6" t="s">
        <v>829</v>
      </c>
      <c r="B360" s="6" t="s">
        <v>830</v>
      </c>
      <c r="C360" s="6" t="s">
        <v>85</v>
      </c>
      <c r="D360" s="6" t="n">
        <v>27</v>
      </c>
      <c r="E360" s="6" t="s">
        <v>121</v>
      </c>
      <c r="F360" s="6" t="s">
        <v>122</v>
      </c>
      <c r="G360" s="26" t="n">
        <v>46159</v>
      </c>
      <c r="H360" s="6" t="s">
        <v>102</v>
      </c>
      <c r="I360" s="26" t="n">
        <f aca="false">_xlfn.MINIFS(Transaction!$C$2:$C$8421,Transaction!$B$2:$B$8421,A360)</f>
        <v>46218</v>
      </c>
      <c r="J360" s="26" t="n">
        <f aca="false">_xlfn.MAXIFS(Transaction!$C$2:$C$8421,Transaction!$B$2:$B$8421,A360)</f>
        <v>46245</v>
      </c>
      <c r="K360" s="6" t="n">
        <f aca="false">COUNTIF(Transaction!$B$2:$B$8421,A360)</f>
        <v>2</v>
      </c>
      <c r="L360" s="10" t="n">
        <f aca="false">SUMIF(Transaction!$B$2:$B$8421,A360,Transaction!$H$2:$H$8421)</f>
        <v>3118</v>
      </c>
      <c r="M360" s="6" t="n">
        <f aca="false">Summary!$B$3-J360</f>
        <v>21</v>
      </c>
      <c r="N360" s="6" t="str">
        <f aca="false">IF(K360&gt;1,"Yes","No")</f>
        <v>Yes</v>
      </c>
      <c r="O360" s="6" t="s">
        <v>46</v>
      </c>
    </row>
    <row r="361" customFormat="false" ht="15" hidden="false" customHeight="false" outlineLevel="0" collapsed="false">
      <c r="A361" s="6" t="s">
        <v>831</v>
      </c>
      <c r="B361" s="6" t="s">
        <v>832</v>
      </c>
      <c r="C361" s="6" t="s">
        <v>85</v>
      </c>
      <c r="D361" s="6" t="n">
        <v>33</v>
      </c>
      <c r="E361" s="6" t="s">
        <v>180</v>
      </c>
      <c r="F361" s="6" t="s">
        <v>181</v>
      </c>
      <c r="G361" s="26" t="n">
        <v>46101</v>
      </c>
      <c r="H361" s="6" t="s">
        <v>92</v>
      </c>
      <c r="I361" s="26" t="n">
        <f aca="false">_xlfn.MINIFS(Transaction!$C$2:$C$8421,Transaction!$B$2:$B$8421,A361)</f>
        <v>46171</v>
      </c>
      <c r="J361" s="26" t="n">
        <f aca="false">_xlfn.MAXIFS(Transaction!$C$2:$C$8421,Transaction!$B$2:$B$8421,A361)</f>
        <v>46171</v>
      </c>
      <c r="K361" s="6" t="n">
        <f aca="false">COUNTIF(Transaction!$B$2:$B$8421,A361)</f>
        <v>1</v>
      </c>
      <c r="L361" s="10" t="n">
        <f aca="false">SUMIF(Transaction!$B$2:$B$8421,A361,Transaction!$H$2:$H$8421)</f>
        <v>785</v>
      </c>
      <c r="M361" s="6" t="n">
        <f aca="false">Summary!$B$3-J361</f>
        <v>95</v>
      </c>
      <c r="N361" s="6" t="str">
        <f aca="false">IF(K361&gt;1,"Yes","No")</f>
        <v>No</v>
      </c>
      <c r="O361" s="6" t="s">
        <v>48</v>
      </c>
    </row>
    <row r="362" customFormat="false" ht="15" hidden="false" customHeight="false" outlineLevel="0" collapsed="false">
      <c r="A362" s="6" t="s">
        <v>833</v>
      </c>
      <c r="B362" s="6" t="s">
        <v>834</v>
      </c>
      <c r="C362" s="6" t="s">
        <v>75</v>
      </c>
      <c r="D362" s="6" t="n">
        <v>19</v>
      </c>
      <c r="E362" s="6" t="s">
        <v>105</v>
      </c>
      <c r="F362" s="6" t="s">
        <v>106</v>
      </c>
      <c r="G362" s="26" t="n">
        <v>45999</v>
      </c>
      <c r="H362" s="6" t="s">
        <v>92</v>
      </c>
      <c r="I362" s="26" t="n">
        <f aca="false">_xlfn.MINIFS(Transaction!$C$2:$C$8421,Transaction!$B$2:$B$8421,A362)</f>
        <v>46074</v>
      </c>
      <c r="J362" s="26" t="n">
        <f aca="false">_xlfn.MAXIFS(Transaction!$C$2:$C$8421,Transaction!$B$2:$B$8421,A362)</f>
        <v>46252</v>
      </c>
      <c r="K362" s="6" t="n">
        <f aca="false">COUNTIF(Transaction!$B$2:$B$8421,A362)</f>
        <v>9</v>
      </c>
      <c r="L362" s="10" t="n">
        <f aca="false">SUMIF(Transaction!$B$2:$B$8421,A362,Transaction!$H$2:$H$8421)</f>
        <v>23674</v>
      </c>
      <c r="M362" s="6" t="n">
        <f aca="false">Summary!$B$3-J362</f>
        <v>14</v>
      </c>
      <c r="N362" s="6" t="str">
        <f aca="false">IF(K362&gt;1,"Yes","No")</f>
        <v>Yes</v>
      </c>
      <c r="O362" s="6" t="s">
        <v>45</v>
      </c>
    </row>
    <row r="363" customFormat="false" ht="15" hidden="false" customHeight="false" outlineLevel="0" collapsed="false">
      <c r="A363" s="6" t="s">
        <v>835</v>
      </c>
      <c r="B363" s="6" t="s">
        <v>836</v>
      </c>
      <c r="C363" s="6" t="s">
        <v>85</v>
      </c>
      <c r="D363" s="6" t="n">
        <v>30</v>
      </c>
      <c r="E363" s="6" t="s">
        <v>134</v>
      </c>
      <c r="F363" s="6" t="s">
        <v>135</v>
      </c>
      <c r="G363" s="26" t="n">
        <v>46180</v>
      </c>
      <c r="H363" s="6" t="s">
        <v>78</v>
      </c>
      <c r="I363" s="26" t="n">
        <f aca="false">_xlfn.MINIFS(Transaction!$C$2:$C$8421,Transaction!$B$2:$B$8421,A363)</f>
        <v>46237</v>
      </c>
      <c r="J363" s="26" t="n">
        <f aca="false">_xlfn.MAXIFS(Transaction!$C$2:$C$8421,Transaction!$B$2:$B$8421,A363)</f>
        <v>46237</v>
      </c>
      <c r="K363" s="6" t="n">
        <f aca="false">COUNTIF(Transaction!$B$2:$B$8421,A363)</f>
        <v>1</v>
      </c>
      <c r="L363" s="10" t="n">
        <f aca="false">SUMIF(Transaction!$B$2:$B$8421,A363,Transaction!$H$2:$H$8421)</f>
        <v>1200</v>
      </c>
      <c r="M363" s="6" t="n">
        <f aca="false">Summary!$B$3-J363</f>
        <v>29</v>
      </c>
      <c r="N363" s="6" t="str">
        <f aca="false">IF(K363&gt;1,"Yes","No")</f>
        <v>No</v>
      </c>
      <c r="O363" s="6" t="s">
        <v>47</v>
      </c>
    </row>
    <row r="364" customFormat="false" ht="15" hidden="false" customHeight="false" outlineLevel="0" collapsed="false">
      <c r="A364" s="6" t="s">
        <v>837</v>
      </c>
      <c r="B364" s="6" t="s">
        <v>838</v>
      </c>
      <c r="C364" s="6" t="s">
        <v>85</v>
      </c>
      <c r="D364" s="6" t="n">
        <v>20</v>
      </c>
      <c r="E364" s="6" t="s">
        <v>95</v>
      </c>
      <c r="F364" s="6" t="s">
        <v>95</v>
      </c>
      <c r="G364" s="26" t="n">
        <v>46016</v>
      </c>
      <c r="H364" s="6" t="s">
        <v>92</v>
      </c>
      <c r="I364" s="26" t="n">
        <f aca="false">_xlfn.MINIFS(Transaction!$C$2:$C$8421,Transaction!$B$2:$B$8421,A364)</f>
        <v>46048</v>
      </c>
      <c r="J364" s="26" t="n">
        <f aca="false">_xlfn.MAXIFS(Transaction!$C$2:$C$8421,Transaction!$B$2:$B$8421,A364)</f>
        <v>46242</v>
      </c>
      <c r="K364" s="6" t="n">
        <f aca="false">COUNTIF(Transaction!$B$2:$B$8421,A364)</f>
        <v>11</v>
      </c>
      <c r="L364" s="10" t="n">
        <f aca="false">SUMIF(Transaction!$B$2:$B$8421,A364,Transaction!$H$2:$H$8421)</f>
        <v>36409</v>
      </c>
      <c r="M364" s="6" t="n">
        <f aca="false">Summary!$B$3-J364</f>
        <v>24</v>
      </c>
      <c r="N364" s="6" t="str">
        <f aca="false">IF(K364&gt;1,"Yes","No")</f>
        <v>Yes</v>
      </c>
      <c r="O364" s="6" t="s">
        <v>45</v>
      </c>
    </row>
    <row r="365" customFormat="false" ht="15" hidden="false" customHeight="false" outlineLevel="0" collapsed="false">
      <c r="A365" s="6" t="s">
        <v>839</v>
      </c>
      <c r="B365" s="6" t="s">
        <v>840</v>
      </c>
      <c r="C365" s="6" t="s">
        <v>75</v>
      </c>
      <c r="D365" s="6" t="n">
        <v>34</v>
      </c>
      <c r="E365" s="6" t="s">
        <v>91</v>
      </c>
      <c r="F365" s="6" t="s">
        <v>77</v>
      </c>
      <c r="G365" s="26" t="n">
        <v>46119</v>
      </c>
      <c r="H365" s="6" t="s">
        <v>78</v>
      </c>
      <c r="I365" s="26" t="n">
        <f aca="false">_xlfn.MINIFS(Transaction!$C$2:$C$8421,Transaction!$B$2:$B$8421,A365)</f>
        <v>46153</v>
      </c>
      <c r="J365" s="26" t="n">
        <f aca="false">_xlfn.MAXIFS(Transaction!$C$2:$C$8421,Transaction!$B$2:$B$8421,A365)</f>
        <v>46153</v>
      </c>
      <c r="K365" s="6" t="n">
        <f aca="false">COUNTIF(Transaction!$B$2:$B$8421,A365)</f>
        <v>1</v>
      </c>
      <c r="L365" s="10" t="n">
        <f aca="false">SUMIF(Transaction!$B$2:$B$8421,A365,Transaction!$H$2:$H$8421)</f>
        <v>928</v>
      </c>
      <c r="M365" s="6" t="n">
        <f aca="false">Summary!$B$3-J365</f>
        <v>113</v>
      </c>
      <c r="N365" s="6" t="str">
        <f aca="false">IF(K365&gt;1,"Yes","No")</f>
        <v>No</v>
      </c>
      <c r="O365" s="6" t="s">
        <v>48</v>
      </c>
    </row>
    <row r="366" customFormat="false" ht="15" hidden="false" customHeight="false" outlineLevel="0" collapsed="false">
      <c r="A366" s="6" t="s">
        <v>841</v>
      </c>
      <c r="B366" s="6" t="s">
        <v>842</v>
      </c>
      <c r="C366" s="6" t="s">
        <v>75</v>
      </c>
      <c r="D366" s="6" t="n">
        <v>35</v>
      </c>
      <c r="E366" s="6" t="s">
        <v>81</v>
      </c>
      <c r="F366" s="6" t="s">
        <v>82</v>
      </c>
      <c r="G366" s="26" t="n">
        <v>46041</v>
      </c>
      <c r="H366" s="6" t="s">
        <v>88</v>
      </c>
      <c r="I366" s="26" t="n">
        <f aca="false">_xlfn.MINIFS(Transaction!$C$2:$C$8421,Transaction!$B$2:$B$8421,A366)</f>
        <v>46109</v>
      </c>
      <c r="J366" s="26" t="n">
        <f aca="false">_xlfn.MAXIFS(Transaction!$C$2:$C$8421,Transaction!$B$2:$B$8421,A366)</f>
        <v>46109</v>
      </c>
      <c r="K366" s="6" t="n">
        <f aca="false">COUNTIF(Transaction!$B$2:$B$8421,A366)</f>
        <v>1</v>
      </c>
      <c r="L366" s="10" t="n">
        <f aca="false">SUMIF(Transaction!$B$2:$B$8421,A366,Transaction!$H$2:$H$8421)</f>
        <v>4078</v>
      </c>
      <c r="M366" s="6" t="n">
        <f aca="false">Summary!$B$3-J366</f>
        <v>157</v>
      </c>
      <c r="N366" s="6" t="str">
        <f aca="false">IF(K366&gt;1,"Yes","No")</f>
        <v>No</v>
      </c>
      <c r="O366" s="6" t="s">
        <v>49</v>
      </c>
    </row>
    <row r="367" customFormat="false" ht="15" hidden="false" customHeight="false" outlineLevel="0" collapsed="false">
      <c r="A367" s="6" t="s">
        <v>843</v>
      </c>
      <c r="B367" s="6" t="s">
        <v>844</v>
      </c>
      <c r="C367" s="6" t="s">
        <v>75</v>
      </c>
      <c r="D367" s="6" t="n">
        <v>30</v>
      </c>
      <c r="E367" s="6" t="s">
        <v>86</v>
      </c>
      <c r="F367" s="6" t="s">
        <v>87</v>
      </c>
      <c r="G367" s="26" t="n">
        <v>46018</v>
      </c>
      <c r="H367" s="6" t="s">
        <v>92</v>
      </c>
      <c r="I367" s="26" t="n">
        <f aca="false">_xlfn.MINIFS(Transaction!$C$2:$C$8421,Transaction!$B$2:$B$8421,A367)</f>
        <v>46029</v>
      </c>
      <c r="J367" s="26" t="n">
        <f aca="false">_xlfn.MAXIFS(Transaction!$C$2:$C$8421,Transaction!$B$2:$B$8421,A367)</f>
        <v>46230</v>
      </c>
      <c r="K367" s="6" t="n">
        <f aca="false">COUNTIF(Transaction!$B$2:$B$8421,A367)</f>
        <v>4</v>
      </c>
      <c r="L367" s="10" t="n">
        <f aca="false">SUMIF(Transaction!$B$2:$B$8421,A367,Transaction!$H$2:$H$8421)</f>
        <v>5736</v>
      </c>
      <c r="M367" s="6" t="n">
        <f aca="false">Summary!$B$3-J367</f>
        <v>36</v>
      </c>
      <c r="N367" s="6" t="str">
        <f aca="false">IF(K367&gt;1,"Yes","No")</f>
        <v>Yes</v>
      </c>
      <c r="O367" s="6" t="s">
        <v>46</v>
      </c>
    </row>
    <row r="368" customFormat="false" ht="15" hidden="false" customHeight="false" outlineLevel="0" collapsed="false">
      <c r="A368" s="6" t="s">
        <v>845</v>
      </c>
      <c r="B368" s="6" t="s">
        <v>846</v>
      </c>
      <c r="C368" s="6" t="s">
        <v>75</v>
      </c>
      <c r="D368" s="6" t="n">
        <v>37</v>
      </c>
      <c r="E368" s="6" t="s">
        <v>76</v>
      </c>
      <c r="F368" s="6" t="s">
        <v>77</v>
      </c>
      <c r="G368" s="26" t="n">
        <v>45966</v>
      </c>
      <c r="H368" s="6" t="s">
        <v>92</v>
      </c>
      <c r="I368" s="26" t="n">
        <f aca="false">_xlfn.MINIFS(Transaction!$C$2:$C$8421,Transaction!$B$2:$B$8421,A368)</f>
        <v>46041</v>
      </c>
      <c r="J368" s="26" t="n">
        <f aca="false">_xlfn.MAXIFS(Transaction!$C$2:$C$8421,Transaction!$B$2:$B$8421,A368)</f>
        <v>46041</v>
      </c>
      <c r="K368" s="6" t="n">
        <f aca="false">COUNTIF(Transaction!$B$2:$B$8421,A368)</f>
        <v>1</v>
      </c>
      <c r="L368" s="10" t="n">
        <f aca="false">SUMIF(Transaction!$B$2:$B$8421,A368,Transaction!$H$2:$H$8421)</f>
        <v>2445</v>
      </c>
      <c r="M368" s="6" t="n">
        <f aca="false">Summary!$B$3-J368</f>
        <v>225</v>
      </c>
      <c r="N368" s="6" t="str">
        <f aca="false">IF(K368&gt;1,"Yes","No")</f>
        <v>No</v>
      </c>
      <c r="O368" s="6" t="s">
        <v>49</v>
      </c>
    </row>
    <row r="369" customFormat="false" ht="15" hidden="false" customHeight="false" outlineLevel="0" collapsed="false">
      <c r="A369" s="6" t="s">
        <v>847</v>
      </c>
      <c r="B369" s="6" t="s">
        <v>848</v>
      </c>
      <c r="C369" s="6" t="s">
        <v>75</v>
      </c>
      <c r="D369" s="6" t="n">
        <v>34</v>
      </c>
      <c r="E369" s="6" t="s">
        <v>146</v>
      </c>
      <c r="F369" s="6" t="s">
        <v>147</v>
      </c>
      <c r="G369" s="26" t="n">
        <v>45997</v>
      </c>
      <c r="H369" s="6" t="s">
        <v>102</v>
      </c>
      <c r="I369" s="26" t="n">
        <f aca="false">_xlfn.MINIFS(Transaction!$C$2:$C$8421,Transaction!$B$2:$B$8421,A369)</f>
        <v>46051</v>
      </c>
      <c r="J369" s="26" t="n">
        <f aca="false">_xlfn.MAXIFS(Transaction!$C$2:$C$8421,Transaction!$B$2:$B$8421,A369)</f>
        <v>46187</v>
      </c>
      <c r="K369" s="6" t="n">
        <f aca="false">COUNTIF(Transaction!$B$2:$B$8421,A369)</f>
        <v>4</v>
      </c>
      <c r="L369" s="10" t="n">
        <f aca="false">SUMIF(Transaction!$B$2:$B$8421,A369,Transaction!$H$2:$H$8421)</f>
        <v>10491</v>
      </c>
      <c r="M369" s="6" t="n">
        <f aca="false">Summary!$B$3-J369</f>
        <v>79</v>
      </c>
      <c r="N369" s="6" t="str">
        <f aca="false">IF(K369&gt;1,"Yes","No")</f>
        <v>Yes</v>
      </c>
      <c r="O369" s="6" t="s">
        <v>46</v>
      </c>
    </row>
    <row r="370" customFormat="false" ht="15" hidden="false" customHeight="false" outlineLevel="0" collapsed="false">
      <c r="A370" s="6" t="s">
        <v>849</v>
      </c>
      <c r="B370" s="6" t="s">
        <v>850</v>
      </c>
      <c r="C370" s="6" t="s">
        <v>85</v>
      </c>
      <c r="D370" s="6" t="n">
        <v>29</v>
      </c>
      <c r="E370" s="6" t="s">
        <v>321</v>
      </c>
      <c r="F370" s="6" t="s">
        <v>321</v>
      </c>
      <c r="G370" s="26" t="n">
        <v>46065</v>
      </c>
      <c r="H370" s="6" t="s">
        <v>92</v>
      </c>
      <c r="I370" s="26" t="n">
        <f aca="false">_xlfn.MINIFS(Transaction!$C$2:$C$8421,Transaction!$B$2:$B$8421,A370)</f>
        <v>46085</v>
      </c>
      <c r="J370" s="26" t="n">
        <f aca="false">_xlfn.MAXIFS(Transaction!$C$2:$C$8421,Transaction!$B$2:$B$8421,A370)</f>
        <v>46228</v>
      </c>
      <c r="K370" s="6" t="n">
        <f aca="false">COUNTIF(Transaction!$B$2:$B$8421,A370)</f>
        <v>5</v>
      </c>
      <c r="L370" s="10" t="n">
        <f aca="false">SUMIF(Transaction!$B$2:$B$8421,A370,Transaction!$H$2:$H$8421)</f>
        <v>20870</v>
      </c>
      <c r="M370" s="6" t="n">
        <f aca="false">Summary!$B$3-J370</f>
        <v>38</v>
      </c>
      <c r="N370" s="6" t="str">
        <f aca="false">IF(K370&gt;1,"Yes","No")</f>
        <v>Yes</v>
      </c>
      <c r="O370" s="6" t="s">
        <v>46</v>
      </c>
    </row>
    <row r="371" customFormat="false" ht="15" hidden="false" customHeight="false" outlineLevel="0" collapsed="false">
      <c r="A371" s="6" t="s">
        <v>851</v>
      </c>
      <c r="B371" s="6" t="s">
        <v>852</v>
      </c>
      <c r="C371" s="6" t="s">
        <v>75</v>
      </c>
      <c r="D371" s="6" t="n">
        <v>18</v>
      </c>
      <c r="E371" s="6" t="s">
        <v>206</v>
      </c>
      <c r="F371" s="6" t="s">
        <v>106</v>
      </c>
      <c r="G371" s="26" t="n">
        <v>46101</v>
      </c>
      <c r="H371" s="6" t="s">
        <v>78</v>
      </c>
      <c r="I371" s="26" t="n">
        <f aca="false">_xlfn.MINIFS(Transaction!$C$2:$C$8421,Transaction!$B$2:$B$8421,A371)</f>
        <v>46102</v>
      </c>
      <c r="J371" s="26" t="n">
        <f aca="false">_xlfn.MAXIFS(Transaction!$C$2:$C$8421,Transaction!$B$2:$B$8421,A371)</f>
        <v>46102</v>
      </c>
      <c r="K371" s="6" t="n">
        <f aca="false">COUNTIF(Transaction!$B$2:$B$8421,A371)</f>
        <v>1</v>
      </c>
      <c r="L371" s="10" t="n">
        <f aca="false">SUMIF(Transaction!$B$2:$B$8421,A371,Transaction!$H$2:$H$8421)</f>
        <v>1564</v>
      </c>
      <c r="M371" s="6" t="n">
        <f aca="false">Summary!$B$3-J371</f>
        <v>164</v>
      </c>
      <c r="N371" s="6" t="str">
        <f aca="false">IF(K371&gt;1,"Yes","No")</f>
        <v>No</v>
      </c>
      <c r="O371" s="6" t="s">
        <v>49</v>
      </c>
    </row>
    <row r="372" customFormat="false" ht="15" hidden="false" customHeight="false" outlineLevel="0" collapsed="false">
      <c r="A372" s="6" t="s">
        <v>853</v>
      </c>
      <c r="B372" s="6" t="s">
        <v>854</v>
      </c>
      <c r="C372" s="6" t="s">
        <v>75</v>
      </c>
      <c r="D372" s="6" t="n">
        <v>33</v>
      </c>
      <c r="E372" s="6" t="s">
        <v>91</v>
      </c>
      <c r="F372" s="6" t="s">
        <v>77</v>
      </c>
      <c r="G372" s="26" t="n">
        <v>45952</v>
      </c>
      <c r="H372" s="6" t="s">
        <v>88</v>
      </c>
      <c r="I372" s="26" t="n">
        <f aca="false">_xlfn.MINIFS(Transaction!$C$2:$C$8421,Transaction!$B$2:$B$8421,A372)</f>
        <v>46042</v>
      </c>
      <c r="J372" s="26" t="n">
        <f aca="false">_xlfn.MAXIFS(Transaction!$C$2:$C$8421,Transaction!$B$2:$B$8421,A372)</f>
        <v>46255</v>
      </c>
      <c r="K372" s="6" t="n">
        <f aca="false">COUNTIF(Transaction!$B$2:$B$8421,A372)</f>
        <v>9</v>
      </c>
      <c r="L372" s="10" t="n">
        <f aca="false">SUMIF(Transaction!$B$2:$B$8421,A372,Transaction!$H$2:$H$8421)</f>
        <v>14600</v>
      </c>
      <c r="M372" s="6" t="n">
        <f aca="false">Summary!$B$3-J372</f>
        <v>11</v>
      </c>
      <c r="N372" s="6" t="str">
        <f aca="false">IF(K372&gt;1,"Yes","No")</f>
        <v>Yes</v>
      </c>
      <c r="O372" s="6" t="s">
        <v>45</v>
      </c>
    </row>
    <row r="373" customFormat="false" ht="15" hidden="false" customHeight="false" outlineLevel="0" collapsed="false">
      <c r="A373" s="6" t="s">
        <v>855</v>
      </c>
      <c r="B373" s="6" t="s">
        <v>856</v>
      </c>
      <c r="C373" s="6" t="s">
        <v>75</v>
      </c>
      <c r="D373" s="6" t="n">
        <v>37</v>
      </c>
      <c r="E373" s="6" t="s">
        <v>95</v>
      </c>
      <c r="F373" s="6" t="s">
        <v>95</v>
      </c>
      <c r="G373" s="26" t="n">
        <v>46136</v>
      </c>
      <c r="H373" s="6" t="s">
        <v>88</v>
      </c>
      <c r="I373" s="26" t="n">
        <f aca="false">_xlfn.MINIFS(Transaction!$C$2:$C$8421,Transaction!$B$2:$B$8421,A373)</f>
        <v>46207</v>
      </c>
      <c r="J373" s="26" t="n">
        <f aca="false">_xlfn.MAXIFS(Transaction!$C$2:$C$8421,Transaction!$B$2:$B$8421,A373)</f>
        <v>46207</v>
      </c>
      <c r="K373" s="6" t="n">
        <f aca="false">COUNTIF(Transaction!$B$2:$B$8421,A373)</f>
        <v>1</v>
      </c>
      <c r="L373" s="10" t="n">
        <f aca="false">SUMIF(Transaction!$B$2:$B$8421,A373,Transaction!$H$2:$H$8421)</f>
        <v>2196</v>
      </c>
      <c r="M373" s="6" t="n">
        <f aca="false">Summary!$B$3-J373</f>
        <v>59</v>
      </c>
      <c r="N373" s="6" t="str">
        <f aca="false">IF(K373&gt;1,"Yes","No")</f>
        <v>No</v>
      </c>
      <c r="O373" s="6" t="s">
        <v>47</v>
      </c>
    </row>
    <row r="374" customFormat="false" ht="15" hidden="false" customHeight="false" outlineLevel="0" collapsed="false">
      <c r="A374" s="6" t="s">
        <v>857</v>
      </c>
      <c r="B374" s="6" t="s">
        <v>858</v>
      </c>
      <c r="C374" s="6" t="s">
        <v>85</v>
      </c>
      <c r="D374" s="6" t="n">
        <v>27</v>
      </c>
      <c r="E374" s="6" t="s">
        <v>264</v>
      </c>
      <c r="F374" s="6" t="s">
        <v>106</v>
      </c>
      <c r="G374" s="26" t="n">
        <v>46098</v>
      </c>
      <c r="H374" s="6" t="s">
        <v>115</v>
      </c>
      <c r="I374" s="26" t="n">
        <f aca="false">_xlfn.MINIFS(Transaction!$C$2:$C$8421,Transaction!$B$2:$B$8421,A374)</f>
        <v>46101</v>
      </c>
      <c r="J374" s="26" t="n">
        <f aca="false">_xlfn.MAXIFS(Transaction!$C$2:$C$8421,Transaction!$B$2:$B$8421,A374)</f>
        <v>46188</v>
      </c>
      <c r="K374" s="6" t="n">
        <f aca="false">COUNTIF(Transaction!$B$2:$B$8421,A374)</f>
        <v>3</v>
      </c>
      <c r="L374" s="10" t="n">
        <f aca="false">SUMIF(Transaction!$B$2:$B$8421,A374,Transaction!$H$2:$H$8421)</f>
        <v>6851</v>
      </c>
      <c r="M374" s="6" t="n">
        <f aca="false">Summary!$B$3-J374</f>
        <v>78</v>
      </c>
      <c r="N374" s="6" t="str">
        <f aca="false">IF(K374&gt;1,"Yes","No")</f>
        <v>Yes</v>
      </c>
      <c r="O374" s="6" t="s">
        <v>46</v>
      </c>
    </row>
    <row r="375" customFormat="false" ht="15" hidden="false" customHeight="false" outlineLevel="0" collapsed="false">
      <c r="A375" s="6" t="s">
        <v>859</v>
      </c>
      <c r="B375" s="6" t="s">
        <v>860</v>
      </c>
      <c r="C375" s="6" t="s">
        <v>85</v>
      </c>
      <c r="D375" s="6" t="n">
        <v>42</v>
      </c>
      <c r="E375" s="6" t="s">
        <v>76</v>
      </c>
      <c r="F375" s="6" t="s">
        <v>77</v>
      </c>
      <c r="G375" s="26" t="n">
        <v>46137</v>
      </c>
      <c r="H375" s="6" t="s">
        <v>123</v>
      </c>
      <c r="I375" s="26" t="n">
        <f aca="false">_xlfn.MINIFS(Transaction!$C$2:$C$8421,Transaction!$B$2:$B$8421,A375)</f>
        <v>46145</v>
      </c>
      <c r="J375" s="26" t="n">
        <f aca="false">_xlfn.MAXIFS(Transaction!$C$2:$C$8421,Transaction!$B$2:$B$8421,A375)</f>
        <v>46145</v>
      </c>
      <c r="K375" s="6" t="n">
        <f aca="false">COUNTIF(Transaction!$B$2:$B$8421,A375)</f>
        <v>1</v>
      </c>
      <c r="L375" s="10" t="n">
        <f aca="false">SUMIF(Transaction!$B$2:$B$8421,A375,Transaction!$H$2:$H$8421)</f>
        <v>782</v>
      </c>
      <c r="M375" s="6" t="n">
        <f aca="false">Summary!$B$3-J375</f>
        <v>121</v>
      </c>
      <c r="N375" s="6" t="str">
        <f aca="false">IF(K375&gt;1,"Yes","No")</f>
        <v>No</v>
      </c>
      <c r="O375" s="6" t="s">
        <v>48</v>
      </c>
    </row>
    <row r="376" customFormat="false" ht="15" hidden="false" customHeight="false" outlineLevel="0" collapsed="false">
      <c r="A376" s="6" t="s">
        <v>861</v>
      </c>
      <c r="B376" s="6" t="s">
        <v>862</v>
      </c>
      <c r="C376" s="6" t="s">
        <v>85</v>
      </c>
      <c r="D376" s="6" t="n">
        <v>20</v>
      </c>
      <c r="E376" s="6" t="s">
        <v>134</v>
      </c>
      <c r="F376" s="6" t="s">
        <v>135</v>
      </c>
      <c r="G376" s="26" t="n">
        <v>45959</v>
      </c>
      <c r="H376" s="6" t="s">
        <v>78</v>
      </c>
      <c r="I376" s="26" t="n">
        <f aca="false">_xlfn.MINIFS(Transaction!$C$2:$C$8421,Transaction!$B$2:$B$8421,A376)</f>
        <v>46047</v>
      </c>
      <c r="J376" s="26" t="n">
        <f aca="false">_xlfn.MAXIFS(Transaction!$C$2:$C$8421,Transaction!$B$2:$B$8421,A376)</f>
        <v>46188</v>
      </c>
      <c r="K376" s="6" t="n">
        <f aca="false">COUNTIF(Transaction!$B$2:$B$8421,A376)</f>
        <v>3</v>
      </c>
      <c r="L376" s="10" t="n">
        <f aca="false">SUMIF(Transaction!$B$2:$B$8421,A376,Transaction!$H$2:$H$8421)</f>
        <v>5397</v>
      </c>
      <c r="M376" s="6" t="n">
        <f aca="false">Summary!$B$3-J376</f>
        <v>78</v>
      </c>
      <c r="N376" s="6" t="str">
        <f aca="false">IF(K376&gt;1,"Yes","No")</f>
        <v>Yes</v>
      </c>
      <c r="O376" s="6" t="s">
        <v>46</v>
      </c>
    </row>
    <row r="377" customFormat="false" ht="15" hidden="false" customHeight="false" outlineLevel="0" collapsed="false">
      <c r="A377" s="6" t="s">
        <v>863</v>
      </c>
      <c r="B377" s="6" t="s">
        <v>864</v>
      </c>
      <c r="C377" s="6" t="s">
        <v>85</v>
      </c>
      <c r="D377" s="6" t="n">
        <v>38</v>
      </c>
      <c r="E377" s="6" t="s">
        <v>81</v>
      </c>
      <c r="F377" s="6" t="s">
        <v>82</v>
      </c>
      <c r="G377" s="26" t="n">
        <v>45974</v>
      </c>
      <c r="H377" s="6" t="s">
        <v>92</v>
      </c>
      <c r="I377" s="26" t="n">
        <f aca="false">_xlfn.MINIFS(Transaction!$C$2:$C$8421,Transaction!$B$2:$B$8421,A377)</f>
        <v>46043</v>
      </c>
      <c r="J377" s="26" t="n">
        <f aca="false">_xlfn.MAXIFS(Transaction!$C$2:$C$8421,Transaction!$B$2:$B$8421,A377)</f>
        <v>46191</v>
      </c>
      <c r="K377" s="6" t="n">
        <f aca="false">COUNTIF(Transaction!$B$2:$B$8421,A377)</f>
        <v>4</v>
      </c>
      <c r="L377" s="10" t="n">
        <f aca="false">SUMIF(Transaction!$B$2:$B$8421,A377,Transaction!$H$2:$H$8421)</f>
        <v>13017</v>
      </c>
      <c r="M377" s="6" t="n">
        <f aca="false">Summary!$B$3-J377</f>
        <v>75</v>
      </c>
      <c r="N377" s="6" t="str">
        <f aca="false">IF(K377&gt;1,"Yes","No")</f>
        <v>Yes</v>
      </c>
      <c r="O377" s="6" t="s">
        <v>46</v>
      </c>
    </row>
    <row r="378" customFormat="false" ht="15" hidden="false" customHeight="false" outlineLevel="0" collapsed="false">
      <c r="A378" s="6" t="s">
        <v>865</v>
      </c>
      <c r="B378" s="6" t="s">
        <v>866</v>
      </c>
      <c r="C378" s="6" t="s">
        <v>75</v>
      </c>
      <c r="D378" s="6" t="n">
        <v>36</v>
      </c>
      <c r="E378" s="6" t="s">
        <v>121</v>
      </c>
      <c r="F378" s="6" t="s">
        <v>122</v>
      </c>
      <c r="G378" s="26" t="n">
        <v>46087</v>
      </c>
      <c r="H378" s="6" t="s">
        <v>78</v>
      </c>
      <c r="I378" s="26" t="n">
        <f aca="false">_xlfn.MINIFS(Transaction!$C$2:$C$8421,Transaction!$B$2:$B$8421,A378)</f>
        <v>46089</v>
      </c>
      <c r="J378" s="26" t="n">
        <f aca="false">_xlfn.MAXIFS(Transaction!$C$2:$C$8421,Transaction!$B$2:$B$8421,A378)</f>
        <v>46179</v>
      </c>
      <c r="K378" s="6" t="n">
        <f aca="false">COUNTIF(Transaction!$B$2:$B$8421,A378)</f>
        <v>4</v>
      </c>
      <c r="L378" s="10" t="n">
        <f aca="false">SUMIF(Transaction!$B$2:$B$8421,A378,Transaction!$H$2:$H$8421)</f>
        <v>10563</v>
      </c>
      <c r="M378" s="6" t="n">
        <f aca="false">Summary!$B$3-J378</f>
        <v>87</v>
      </c>
      <c r="N378" s="6" t="str">
        <f aca="false">IF(K378&gt;1,"Yes","No")</f>
        <v>Yes</v>
      </c>
      <c r="O378" s="6" t="s">
        <v>46</v>
      </c>
    </row>
    <row r="379" customFormat="false" ht="15" hidden="false" customHeight="false" outlineLevel="0" collapsed="false">
      <c r="A379" s="6" t="s">
        <v>867</v>
      </c>
      <c r="B379" s="6" t="s">
        <v>868</v>
      </c>
      <c r="C379" s="6" t="s">
        <v>85</v>
      </c>
      <c r="D379" s="6" t="n">
        <v>22</v>
      </c>
      <c r="E379" s="6" t="s">
        <v>81</v>
      </c>
      <c r="F379" s="6" t="s">
        <v>82</v>
      </c>
      <c r="G379" s="26" t="n">
        <v>46024</v>
      </c>
      <c r="H379" s="6" t="s">
        <v>88</v>
      </c>
      <c r="I379" s="26" t="n">
        <f aca="false">_xlfn.MINIFS(Transaction!$C$2:$C$8421,Transaction!$B$2:$B$8421,A379)</f>
        <v>46087</v>
      </c>
      <c r="J379" s="26" t="n">
        <f aca="false">_xlfn.MAXIFS(Transaction!$C$2:$C$8421,Transaction!$B$2:$B$8421,A379)</f>
        <v>46186</v>
      </c>
      <c r="K379" s="6" t="n">
        <f aca="false">COUNTIF(Transaction!$B$2:$B$8421,A379)</f>
        <v>3</v>
      </c>
      <c r="L379" s="10" t="n">
        <f aca="false">SUMIF(Transaction!$B$2:$B$8421,A379,Transaction!$H$2:$H$8421)</f>
        <v>4599</v>
      </c>
      <c r="M379" s="6" t="n">
        <f aca="false">Summary!$B$3-J379</f>
        <v>80</v>
      </c>
      <c r="N379" s="6" t="str">
        <f aca="false">IF(K379&gt;1,"Yes","No")</f>
        <v>Yes</v>
      </c>
      <c r="O379" s="6" t="s">
        <v>46</v>
      </c>
    </row>
    <row r="380" customFormat="false" ht="15" hidden="false" customHeight="false" outlineLevel="0" collapsed="false">
      <c r="A380" s="6" t="s">
        <v>869</v>
      </c>
      <c r="B380" s="6" t="s">
        <v>870</v>
      </c>
      <c r="C380" s="6" t="s">
        <v>75</v>
      </c>
      <c r="D380" s="6" t="n">
        <v>40</v>
      </c>
      <c r="E380" s="6" t="s">
        <v>134</v>
      </c>
      <c r="F380" s="6" t="s">
        <v>135</v>
      </c>
      <c r="G380" s="26" t="n">
        <v>46051</v>
      </c>
      <c r="H380" s="6" t="s">
        <v>115</v>
      </c>
      <c r="I380" s="26" t="n">
        <f aca="false">_xlfn.MINIFS(Transaction!$C$2:$C$8421,Transaction!$B$2:$B$8421,A380)</f>
        <v>46127</v>
      </c>
      <c r="J380" s="26" t="n">
        <f aca="false">_xlfn.MAXIFS(Transaction!$C$2:$C$8421,Transaction!$B$2:$B$8421,A380)</f>
        <v>46127</v>
      </c>
      <c r="K380" s="6" t="n">
        <f aca="false">COUNTIF(Transaction!$B$2:$B$8421,A380)</f>
        <v>1</v>
      </c>
      <c r="L380" s="10" t="n">
        <f aca="false">SUMIF(Transaction!$B$2:$B$8421,A380,Transaction!$H$2:$H$8421)</f>
        <v>977</v>
      </c>
      <c r="M380" s="6" t="n">
        <f aca="false">Summary!$B$3-J380</f>
        <v>139</v>
      </c>
      <c r="N380" s="6" t="str">
        <f aca="false">IF(K380&gt;1,"Yes","No")</f>
        <v>No</v>
      </c>
      <c r="O380" s="6" t="s">
        <v>48</v>
      </c>
    </row>
    <row r="381" customFormat="false" ht="15" hidden="false" customHeight="false" outlineLevel="0" collapsed="false">
      <c r="A381" s="6" t="s">
        <v>871</v>
      </c>
      <c r="B381" s="6" t="s">
        <v>872</v>
      </c>
      <c r="C381" s="6" t="s">
        <v>75</v>
      </c>
      <c r="D381" s="6" t="n">
        <v>44</v>
      </c>
      <c r="E381" s="6" t="s">
        <v>91</v>
      </c>
      <c r="F381" s="6" t="s">
        <v>77</v>
      </c>
      <c r="G381" s="26" t="n">
        <v>46073</v>
      </c>
      <c r="H381" s="6" t="s">
        <v>102</v>
      </c>
      <c r="I381" s="26" t="n">
        <f aca="false">_xlfn.MINIFS(Transaction!$C$2:$C$8421,Transaction!$B$2:$B$8421,A381)</f>
        <v>46088</v>
      </c>
      <c r="J381" s="26" t="n">
        <f aca="false">_xlfn.MAXIFS(Transaction!$C$2:$C$8421,Transaction!$B$2:$B$8421,A381)</f>
        <v>46088</v>
      </c>
      <c r="K381" s="6" t="n">
        <f aca="false">COUNTIF(Transaction!$B$2:$B$8421,A381)</f>
        <v>1</v>
      </c>
      <c r="L381" s="10" t="n">
        <f aca="false">SUMIF(Transaction!$B$2:$B$8421,A381,Transaction!$H$2:$H$8421)</f>
        <v>782</v>
      </c>
      <c r="M381" s="6" t="n">
        <f aca="false">Summary!$B$3-J381</f>
        <v>178</v>
      </c>
      <c r="N381" s="6" t="str">
        <f aca="false">IF(K381&gt;1,"Yes","No")</f>
        <v>No</v>
      </c>
      <c r="O381" s="6" t="s">
        <v>49</v>
      </c>
    </row>
    <row r="382" customFormat="false" ht="15" hidden="false" customHeight="false" outlineLevel="0" collapsed="false">
      <c r="A382" s="6" t="s">
        <v>873</v>
      </c>
      <c r="B382" s="6" t="s">
        <v>874</v>
      </c>
      <c r="C382" s="6" t="s">
        <v>85</v>
      </c>
      <c r="D382" s="6" t="n">
        <v>53</v>
      </c>
      <c r="E382" s="6" t="s">
        <v>86</v>
      </c>
      <c r="F382" s="6" t="s">
        <v>87</v>
      </c>
      <c r="G382" s="26" t="n">
        <v>46218</v>
      </c>
      <c r="H382" s="6" t="s">
        <v>102</v>
      </c>
      <c r="I382" s="26" t="n">
        <f aca="false">_xlfn.MINIFS(Transaction!$C$2:$C$8421,Transaction!$B$2:$B$8421,A382)</f>
        <v>46257</v>
      </c>
      <c r="J382" s="26" t="n">
        <f aca="false">_xlfn.MAXIFS(Transaction!$C$2:$C$8421,Transaction!$B$2:$B$8421,A382)</f>
        <v>46257</v>
      </c>
      <c r="K382" s="6" t="n">
        <f aca="false">COUNTIF(Transaction!$B$2:$B$8421,A382)</f>
        <v>1</v>
      </c>
      <c r="L382" s="10" t="n">
        <f aca="false">SUMIF(Transaction!$B$2:$B$8421,A382,Transaction!$H$2:$H$8421)</f>
        <v>1824</v>
      </c>
      <c r="M382" s="6" t="n">
        <f aca="false">Summary!$B$3-J382</f>
        <v>9</v>
      </c>
      <c r="N382" s="6" t="str">
        <f aca="false">IF(K382&gt;1,"Yes","No")</f>
        <v>No</v>
      </c>
      <c r="O382" s="6" t="s">
        <v>47</v>
      </c>
    </row>
    <row r="383" customFormat="false" ht="15" hidden="false" customHeight="false" outlineLevel="0" collapsed="false">
      <c r="A383" s="6" t="s">
        <v>875</v>
      </c>
      <c r="B383" s="6" t="s">
        <v>876</v>
      </c>
      <c r="C383" s="6" t="s">
        <v>75</v>
      </c>
      <c r="D383" s="6" t="n">
        <v>32</v>
      </c>
      <c r="E383" s="6" t="s">
        <v>76</v>
      </c>
      <c r="F383" s="6" t="s">
        <v>77</v>
      </c>
      <c r="G383" s="26" t="n">
        <v>46191</v>
      </c>
      <c r="H383" s="6" t="s">
        <v>102</v>
      </c>
      <c r="I383" s="26" t="n">
        <f aca="false">_xlfn.MINIFS(Transaction!$C$2:$C$8421,Transaction!$B$2:$B$8421,A383)</f>
        <v>46257</v>
      </c>
      <c r="J383" s="26" t="n">
        <f aca="false">_xlfn.MAXIFS(Transaction!$C$2:$C$8421,Transaction!$B$2:$B$8421,A383)</f>
        <v>46257</v>
      </c>
      <c r="K383" s="6" t="n">
        <f aca="false">COUNTIF(Transaction!$B$2:$B$8421,A383)</f>
        <v>1</v>
      </c>
      <c r="L383" s="10" t="n">
        <f aca="false">SUMIF(Transaction!$B$2:$B$8421,A383,Transaction!$H$2:$H$8421)</f>
        <v>782</v>
      </c>
      <c r="M383" s="6" t="n">
        <f aca="false">Summary!$B$3-J383</f>
        <v>9</v>
      </c>
      <c r="N383" s="6" t="str">
        <f aca="false">IF(K383&gt;1,"Yes","No")</f>
        <v>No</v>
      </c>
      <c r="O383" s="6" t="s">
        <v>47</v>
      </c>
    </row>
    <row r="384" customFormat="false" ht="15" hidden="false" customHeight="false" outlineLevel="0" collapsed="false">
      <c r="A384" s="6" t="s">
        <v>877</v>
      </c>
      <c r="B384" s="6" t="s">
        <v>878</v>
      </c>
      <c r="C384" s="6" t="s">
        <v>85</v>
      </c>
      <c r="D384" s="6" t="n">
        <v>34</v>
      </c>
      <c r="E384" s="6" t="s">
        <v>95</v>
      </c>
      <c r="F384" s="6" t="s">
        <v>95</v>
      </c>
      <c r="G384" s="26" t="n">
        <v>46162</v>
      </c>
      <c r="H384" s="6" t="s">
        <v>123</v>
      </c>
      <c r="I384" s="26" t="n">
        <f aca="false">_xlfn.MINIFS(Transaction!$C$2:$C$8421,Transaction!$B$2:$B$8421,A384)</f>
        <v>46202</v>
      </c>
      <c r="J384" s="26" t="n">
        <f aca="false">_xlfn.MAXIFS(Transaction!$C$2:$C$8421,Transaction!$B$2:$B$8421,A384)</f>
        <v>46202</v>
      </c>
      <c r="K384" s="6" t="n">
        <f aca="false">COUNTIF(Transaction!$B$2:$B$8421,A384)</f>
        <v>1</v>
      </c>
      <c r="L384" s="10" t="n">
        <f aca="false">SUMIF(Transaction!$B$2:$B$8421,A384,Transaction!$H$2:$H$8421)</f>
        <v>1529</v>
      </c>
      <c r="M384" s="6" t="n">
        <f aca="false">Summary!$B$3-J384</f>
        <v>64</v>
      </c>
      <c r="N384" s="6" t="str">
        <f aca="false">IF(K384&gt;1,"Yes","No")</f>
        <v>No</v>
      </c>
      <c r="O384" s="6" t="s">
        <v>47</v>
      </c>
    </row>
    <row r="385" customFormat="false" ht="15" hidden="false" customHeight="false" outlineLevel="0" collapsed="false">
      <c r="A385" s="6" t="s">
        <v>879</v>
      </c>
      <c r="B385" s="6" t="s">
        <v>880</v>
      </c>
      <c r="C385" s="6" t="s">
        <v>85</v>
      </c>
      <c r="D385" s="6" t="n">
        <v>20</v>
      </c>
      <c r="E385" s="6" t="s">
        <v>76</v>
      </c>
      <c r="F385" s="6" t="s">
        <v>77</v>
      </c>
      <c r="G385" s="26" t="n">
        <v>46001</v>
      </c>
      <c r="H385" s="6" t="s">
        <v>115</v>
      </c>
      <c r="I385" s="26" t="n">
        <f aca="false">_xlfn.MINIFS(Transaction!$C$2:$C$8421,Transaction!$B$2:$B$8421,A385)</f>
        <v>46038</v>
      </c>
      <c r="J385" s="26" t="n">
        <f aca="false">_xlfn.MAXIFS(Transaction!$C$2:$C$8421,Transaction!$B$2:$B$8421,A385)</f>
        <v>46262</v>
      </c>
      <c r="K385" s="6" t="n">
        <f aca="false">COUNTIF(Transaction!$B$2:$B$8421,A385)</f>
        <v>12</v>
      </c>
      <c r="L385" s="10" t="n">
        <f aca="false">SUMIF(Transaction!$B$2:$B$8421,A385,Transaction!$H$2:$H$8421)</f>
        <v>21955</v>
      </c>
      <c r="M385" s="6" t="n">
        <f aca="false">Summary!$B$3-J385</f>
        <v>4</v>
      </c>
      <c r="N385" s="6" t="str">
        <f aca="false">IF(K385&gt;1,"Yes","No")</f>
        <v>Yes</v>
      </c>
      <c r="O385" s="6" t="s">
        <v>45</v>
      </c>
    </row>
    <row r="386" customFormat="false" ht="15" hidden="false" customHeight="false" outlineLevel="0" collapsed="false">
      <c r="A386" s="6" t="s">
        <v>881</v>
      </c>
      <c r="B386" s="6" t="s">
        <v>882</v>
      </c>
      <c r="C386" s="6" t="s">
        <v>75</v>
      </c>
      <c r="D386" s="6" t="n">
        <v>30</v>
      </c>
      <c r="E386" s="6" t="s">
        <v>237</v>
      </c>
      <c r="F386" s="6" t="s">
        <v>87</v>
      </c>
      <c r="G386" s="26" t="n">
        <v>45955</v>
      </c>
      <c r="H386" s="6" t="s">
        <v>92</v>
      </c>
      <c r="I386" s="26" t="n">
        <f aca="false">_xlfn.MINIFS(Transaction!$C$2:$C$8421,Transaction!$B$2:$B$8421,A386)</f>
        <v>46025</v>
      </c>
      <c r="J386" s="26" t="n">
        <f aca="false">_xlfn.MAXIFS(Transaction!$C$2:$C$8421,Transaction!$B$2:$B$8421,A386)</f>
        <v>46231</v>
      </c>
      <c r="K386" s="6" t="n">
        <f aca="false">COUNTIF(Transaction!$B$2:$B$8421,A386)</f>
        <v>3</v>
      </c>
      <c r="L386" s="10" t="n">
        <f aca="false">SUMIF(Transaction!$B$2:$B$8421,A386,Transaction!$H$2:$H$8421)</f>
        <v>7274</v>
      </c>
      <c r="M386" s="6" t="n">
        <f aca="false">Summary!$B$3-J386</f>
        <v>35</v>
      </c>
      <c r="N386" s="6" t="str">
        <f aca="false">IF(K386&gt;1,"Yes","No")</f>
        <v>Yes</v>
      </c>
      <c r="O386" s="6" t="s">
        <v>46</v>
      </c>
    </row>
    <row r="387" customFormat="false" ht="15" hidden="false" customHeight="false" outlineLevel="0" collapsed="false">
      <c r="A387" s="6" t="s">
        <v>883</v>
      </c>
      <c r="B387" s="6" t="s">
        <v>884</v>
      </c>
      <c r="C387" s="6" t="s">
        <v>75</v>
      </c>
      <c r="D387" s="6" t="n">
        <v>37</v>
      </c>
      <c r="E387" s="6" t="s">
        <v>81</v>
      </c>
      <c r="F387" s="6" t="s">
        <v>82</v>
      </c>
      <c r="G387" s="26" t="n">
        <v>46094</v>
      </c>
      <c r="H387" s="6" t="s">
        <v>78</v>
      </c>
      <c r="I387" s="26" t="n">
        <f aca="false">_xlfn.MINIFS(Transaction!$C$2:$C$8421,Transaction!$B$2:$B$8421,A387)</f>
        <v>46107</v>
      </c>
      <c r="J387" s="26" t="n">
        <f aca="false">_xlfn.MAXIFS(Transaction!$C$2:$C$8421,Transaction!$B$2:$B$8421,A387)</f>
        <v>46221</v>
      </c>
      <c r="K387" s="6" t="n">
        <f aca="false">COUNTIF(Transaction!$B$2:$B$8421,A387)</f>
        <v>6</v>
      </c>
      <c r="L387" s="10" t="n">
        <f aca="false">SUMIF(Transaction!$B$2:$B$8421,A387,Transaction!$H$2:$H$8421)</f>
        <v>12835</v>
      </c>
      <c r="M387" s="6" t="n">
        <f aca="false">Summary!$B$3-J387</f>
        <v>45</v>
      </c>
      <c r="N387" s="6" t="str">
        <f aca="false">IF(K387&gt;1,"Yes","No")</f>
        <v>Yes</v>
      </c>
      <c r="O387" s="6" t="s">
        <v>46</v>
      </c>
    </row>
    <row r="388" customFormat="false" ht="15" hidden="false" customHeight="false" outlineLevel="0" collapsed="false">
      <c r="A388" s="6" t="s">
        <v>885</v>
      </c>
      <c r="B388" s="6" t="s">
        <v>886</v>
      </c>
      <c r="C388" s="6" t="s">
        <v>85</v>
      </c>
      <c r="D388" s="6" t="n">
        <v>37</v>
      </c>
      <c r="E388" s="6" t="s">
        <v>98</v>
      </c>
      <c r="F388" s="6" t="s">
        <v>99</v>
      </c>
      <c r="G388" s="26" t="n">
        <v>46179</v>
      </c>
      <c r="H388" s="6" t="s">
        <v>78</v>
      </c>
      <c r="I388" s="26" t="n">
        <f aca="false">_xlfn.MINIFS(Transaction!$C$2:$C$8421,Transaction!$B$2:$B$8421,A388)</f>
        <v>46196</v>
      </c>
      <c r="J388" s="26" t="n">
        <f aca="false">_xlfn.MAXIFS(Transaction!$C$2:$C$8421,Transaction!$B$2:$B$8421,A388)</f>
        <v>46197</v>
      </c>
      <c r="K388" s="6" t="n">
        <f aca="false">COUNTIF(Transaction!$B$2:$B$8421,A388)</f>
        <v>2</v>
      </c>
      <c r="L388" s="10" t="n">
        <f aca="false">SUMIF(Transaction!$B$2:$B$8421,A388,Transaction!$H$2:$H$8421)</f>
        <v>6231</v>
      </c>
      <c r="M388" s="6" t="n">
        <f aca="false">Summary!$B$3-J388</f>
        <v>69</v>
      </c>
      <c r="N388" s="6" t="str">
        <f aca="false">IF(K388&gt;1,"Yes","No")</f>
        <v>Yes</v>
      </c>
      <c r="O388" s="6" t="s">
        <v>46</v>
      </c>
    </row>
    <row r="389" customFormat="false" ht="15" hidden="false" customHeight="false" outlineLevel="0" collapsed="false">
      <c r="A389" s="6" t="s">
        <v>887</v>
      </c>
      <c r="B389" s="6" t="s">
        <v>888</v>
      </c>
      <c r="C389" s="6" t="s">
        <v>85</v>
      </c>
      <c r="D389" s="6" t="n">
        <v>18</v>
      </c>
      <c r="E389" s="6" t="s">
        <v>86</v>
      </c>
      <c r="F389" s="6" t="s">
        <v>87</v>
      </c>
      <c r="G389" s="26" t="n">
        <v>46050</v>
      </c>
      <c r="H389" s="6" t="s">
        <v>102</v>
      </c>
      <c r="I389" s="26" t="n">
        <f aca="false">_xlfn.MINIFS(Transaction!$C$2:$C$8421,Transaction!$B$2:$B$8421,A389)</f>
        <v>46072</v>
      </c>
      <c r="J389" s="26" t="n">
        <f aca="false">_xlfn.MAXIFS(Transaction!$C$2:$C$8421,Transaction!$B$2:$B$8421,A389)</f>
        <v>46072</v>
      </c>
      <c r="K389" s="6" t="n">
        <f aca="false">COUNTIF(Transaction!$B$2:$B$8421,A389)</f>
        <v>1</v>
      </c>
      <c r="L389" s="10" t="n">
        <f aca="false">SUMIF(Transaction!$B$2:$B$8421,A389,Transaction!$H$2:$H$8421)</f>
        <v>1121</v>
      </c>
      <c r="M389" s="6" t="n">
        <f aca="false">Summary!$B$3-J389</f>
        <v>194</v>
      </c>
      <c r="N389" s="6" t="str">
        <f aca="false">IF(K389&gt;1,"Yes","No")</f>
        <v>No</v>
      </c>
      <c r="O389" s="6" t="s">
        <v>49</v>
      </c>
    </row>
    <row r="390" customFormat="false" ht="15" hidden="false" customHeight="false" outlineLevel="0" collapsed="false">
      <c r="A390" s="6" t="s">
        <v>889</v>
      </c>
      <c r="B390" s="6" t="s">
        <v>890</v>
      </c>
      <c r="C390" s="6" t="s">
        <v>75</v>
      </c>
      <c r="D390" s="6" t="n">
        <v>18</v>
      </c>
      <c r="E390" s="6" t="s">
        <v>121</v>
      </c>
      <c r="F390" s="6" t="s">
        <v>122</v>
      </c>
      <c r="G390" s="26" t="n">
        <v>46114</v>
      </c>
      <c r="H390" s="6" t="s">
        <v>115</v>
      </c>
      <c r="I390" s="26" t="n">
        <f aca="false">_xlfn.MINIFS(Transaction!$C$2:$C$8421,Transaction!$B$2:$B$8421,A390)</f>
        <v>46134</v>
      </c>
      <c r="J390" s="26" t="n">
        <f aca="false">_xlfn.MAXIFS(Transaction!$C$2:$C$8421,Transaction!$B$2:$B$8421,A390)</f>
        <v>46134</v>
      </c>
      <c r="K390" s="6" t="n">
        <f aca="false">COUNTIF(Transaction!$B$2:$B$8421,A390)</f>
        <v>1</v>
      </c>
      <c r="L390" s="10" t="n">
        <f aca="false">SUMIF(Transaction!$B$2:$B$8421,A390,Transaction!$H$2:$H$8421)</f>
        <v>1833</v>
      </c>
      <c r="M390" s="6" t="n">
        <f aca="false">Summary!$B$3-J390</f>
        <v>132</v>
      </c>
      <c r="N390" s="6" t="str">
        <f aca="false">IF(K390&gt;1,"Yes","No")</f>
        <v>No</v>
      </c>
      <c r="O390" s="6" t="s">
        <v>48</v>
      </c>
    </row>
    <row r="391" customFormat="false" ht="15" hidden="false" customHeight="false" outlineLevel="0" collapsed="false">
      <c r="A391" s="6" t="s">
        <v>891</v>
      </c>
      <c r="B391" s="6" t="s">
        <v>892</v>
      </c>
      <c r="C391" s="6" t="s">
        <v>75</v>
      </c>
      <c r="D391" s="6" t="n">
        <v>55</v>
      </c>
      <c r="E391" s="6" t="s">
        <v>95</v>
      </c>
      <c r="F391" s="6" t="s">
        <v>95</v>
      </c>
      <c r="G391" s="26" t="n">
        <v>45979</v>
      </c>
      <c r="H391" s="6" t="s">
        <v>102</v>
      </c>
      <c r="I391" s="26" t="n">
        <f aca="false">_xlfn.MINIFS(Transaction!$C$2:$C$8421,Transaction!$B$2:$B$8421,A391)</f>
        <v>46046</v>
      </c>
      <c r="J391" s="26" t="n">
        <f aca="false">_xlfn.MAXIFS(Transaction!$C$2:$C$8421,Transaction!$B$2:$B$8421,A391)</f>
        <v>46259</v>
      </c>
      <c r="K391" s="6" t="n">
        <f aca="false">COUNTIF(Transaction!$B$2:$B$8421,A391)</f>
        <v>11</v>
      </c>
      <c r="L391" s="10" t="n">
        <f aca="false">SUMIF(Transaction!$B$2:$B$8421,A391,Transaction!$H$2:$H$8421)</f>
        <v>23240</v>
      </c>
      <c r="M391" s="6" t="n">
        <f aca="false">Summary!$B$3-J391</f>
        <v>7</v>
      </c>
      <c r="N391" s="6" t="str">
        <f aca="false">IF(K391&gt;1,"Yes","No")</f>
        <v>Yes</v>
      </c>
      <c r="O391" s="6" t="s">
        <v>45</v>
      </c>
    </row>
    <row r="392" customFormat="false" ht="15" hidden="false" customHeight="false" outlineLevel="0" collapsed="false">
      <c r="A392" s="6" t="s">
        <v>893</v>
      </c>
      <c r="B392" s="6" t="s">
        <v>894</v>
      </c>
      <c r="C392" s="6" t="s">
        <v>75</v>
      </c>
      <c r="D392" s="6" t="n">
        <v>42</v>
      </c>
      <c r="E392" s="6" t="s">
        <v>76</v>
      </c>
      <c r="F392" s="6" t="s">
        <v>77</v>
      </c>
      <c r="G392" s="26" t="n">
        <v>46126</v>
      </c>
      <c r="H392" s="6" t="s">
        <v>78</v>
      </c>
      <c r="I392" s="26" t="n">
        <f aca="false">_xlfn.MINIFS(Transaction!$C$2:$C$8421,Transaction!$B$2:$B$8421,A392)</f>
        <v>46146</v>
      </c>
      <c r="J392" s="26" t="n">
        <f aca="false">_xlfn.MAXIFS(Transaction!$C$2:$C$8421,Transaction!$B$2:$B$8421,A392)</f>
        <v>46146</v>
      </c>
      <c r="K392" s="6" t="n">
        <f aca="false">COUNTIF(Transaction!$B$2:$B$8421,A392)</f>
        <v>1</v>
      </c>
      <c r="L392" s="10" t="n">
        <f aca="false">SUMIF(Transaction!$B$2:$B$8421,A392,Transaction!$H$2:$H$8421)</f>
        <v>480</v>
      </c>
      <c r="M392" s="6" t="n">
        <f aca="false">Summary!$B$3-J392</f>
        <v>120</v>
      </c>
      <c r="N392" s="6" t="str">
        <f aca="false">IF(K392&gt;1,"Yes","No")</f>
        <v>No</v>
      </c>
      <c r="O392" s="6" t="s">
        <v>48</v>
      </c>
    </row>
    <row r="393" customFormat="false" ht="15" hidden="false" customHeight="false" outlineLevel="0" collapsed="false">
      <c r="A393" s="6" t="s">
        <v>895</v>
      </c>
      <c r="B393" s="6" t="s">
        <v>896</v>
      </c>
      <c r="C393" s="6" t="s">
        <v>85</v>
      </c>
      <c r="D393" s="6" t="n">
        <v>35</v>
      </c>
      <c r="E393" s="6" t="s">
        <v>86</v>
      </c>
      <c r="F393" s="6" t="s">
        <v>87</v>
      </c>
      <c r="G393" s="26" t="n">
        <v>46028</v>
      </c>
      <c r="H393" s="6" t="s">
        <v>123</v>
      </c>
      <c r="I393" s="26" t="n">
        <f aca="false">_xlfn.MINIFS(Transaction!$C$2:$C$8421,Transaction!$B$2:$B$8421,A393)</f>
        <v>46051</v>
      </c>
      <c r="J393" s="26" t="n">
        <f aca="false">_xlfn.MAXIFS(Transaction!$C$2:$C$8421,Transaction!$B$2:$B$8421,A393)</f>
        <v>46051</v>
      </c>
      <c r="K393" s="6" t="n">
        <f aca="false">COUNTIF(Transaction!$B$2:$B$8421,A393)</f>
        <v>1</v>
      </c>
      <c r="L393" s="10" t="n">
        <f aca="false">SUMIF(Transaction!$B$2:$B$8421,A393,Transaction!$H$2:$H$8421)</f>
        <v>1768</v>
      </c>
      <c r="M393" s="6" t="n">
        <f aca="false">Summary!$B$3-J393</f>
        <v>215</v>
      </c>
      <c r="N393" s="6" t="str">
        <f aca="false">IF(K393&gt;1,"Yes","No")</f>
        <v>No</v>
      </c>
      <c r="O393" s="6" t="s">
        <v>49</v>
      </c>
    </row>
    <row r="394" customFormat="false" ht="15" hidden="false" customHeight="false" outlineLevel="0" collapsed="false">
      <c r="A394" s="6" t="s">
        <v>897</v>
      </c>
      <c r="B394" s="6" t="s">
        <v>898</v>
      </c>
      <c r="C394" s="6" t="s">
        <v>85</v>
      </c>
      <c r="D394" s="6" t="n">
        <v>37</v>
      </c>
      <c r="E394" s="6" t="s">
        <v>95</v>
      </c>
      <c r="F394" s="6" t="s">
        <v>95</v>
      </c>
      <c r="G394" s="26" t="n">
        <v>46196</v>
      </c>
      <c r="H394" s="6" t="s">
        <v>88</v>
      </c>
      <c r="I394" s="26" t="n">
        <f aca="false">_xlfn.MINIFS(Transaction!$C$2:$C$8421,Transaction!$B$2:$B$8421,A394)</f>
        <v>46257</v>
      </c>
      <c r="J394" s="26" t="n">
        <f aca="false">_xlfn.MAXIFS(Transaction!$C$2:$C$8421,Transaction!$B$2:$B$8421,A394)</f>
        <v>46257</v>
      </c>
      <c r="K394" s="6" t="n">
        <f aca="false">COUNTIF(Transaction!$B$2:$B$8421,A394)</f>
        <v>1</v>
      </c>
      <c r="L394" s="10" t="n">
        <f aca="false">SUMIF(Transaction!$B$2:$B$8421,A394,Transaction!$H$2:$H$8421)</f>
        <v>589</v>
      </c>
      <c r="M394" s="6" t="n">
        <f aca="false">Summary!$B$3-J394</f>
        <v>9</v>
      </c>
      <c r="N394" s="6" t="str">
        <f aca="false">IF(K394&gt;1,"Yes","No")</f>
        <v>No</v>
      </c>
      <c r="O394" s="6" t="s">
        <v>47</v>
      </c>
    </row>
    <row r="395" customFormat="false" ht="15" hidden="false" customHeight="false" outlineLevel="0" collapsed="false">
      <c r="A395" s="6" t="s">
        <v>899</v>
      </c>
      <c r="B395" s="6" t="s">
        <v>900</v>
      </c>
      <c r="C395" s="6" t="s">
        <v>85</v>
      </c>
      <c r="D395" s="6" t="n">
        <v>25</v>
      </c>
      <c r="E395" s="6" t="s">
        <v>206</v>
      </c>
      <c r="F395" s="6" t="s">
        <v>106</v>
      </c>
      <c r="G395" s="26" t="n">
        <v>46147</v>
      </c>
      <c r="H395" s="6" t="s">
        <v>78</v>
      </c>
      <c r="I395" s="26" t="n">
        <f aca="false">_xlfn.MINIFS(Transaction!$C$2:$C$8421,Transaction!$B$2:$B$8421,A395)</f>
        <v>46196</v>
      </c>
      <c r="J395" s="26" t="n">
        <f aca="false">_xlfn.MAXIFS(Transaction!$C$2:$C$8421,Transaction!$B$2:$B$8421,A395)</f>
        <v>46196</v>
      </c>
      <c r="K395" s="6" t="n">
        <f aca="false">COUNTIF(Transaction!$B$2:$B$8421,A395)</f>
        <v>1</v>
      </c>
      <c r="L395" s="10" t="n">
        <f aca="false">SUMIF(Transaction!$B$2:$B$8421,A395,Transaction!$H$2:$H$8421)</f>
        <v>2936</v>
      </c>
      <c r="M395" s="6" t="n">
        <f aca="false">Summary!$B$3-J395</f>
        <v>70</v>
      </c>
      <c r="N395" s="6" t="str">
        <f aca="false">IF(K395&gt;1,"Yes","No")</f>
        <v>No</v>
      </c>
      <c r="O395" s="6" t="s">
        <v>47</v>
      </c>
    </row>
    <row r="396" customFormat="false" ht="15" hidden="false" customHeight="false" outlineLevel="0" collapsed="false">
      <c r="A396" s="6" t="s">
        <v>901</v>
      </c>
      <c r="B396" s="6" t="s">
        <v>902</v>
      </c>
      <c r="C396" s="6" t="s">
        <v>75</v>
      </c>
      <c r="D396" s="6" t="n">
        <v>37</v>
      </c>
      <c r="E396" s="6" t="s">
        <v>176</v>
      </c>
      <c r="F396" s="6" t="s">
        <v>177</v>
      </c>
      <c r="G396" s="26" t="n">
        <v>46058</v>
      </c>
      <c r="H396" s="6" t="s">
        <v>78</v>
      </c>
      <c r="I396" s="26" t="n">
        <f aca="false">_xlfn.MINIFS(Transaction!$C$2:$C$8421,Transaction!$B$2:$B$8421,A396)</f>
        <v>46059</v>
      </c>
      <c r="J396" s="26" t="n">
        <f aca="false">_xlfn.MAXIFS(Transaction!$C$2:$C$8421,Transaction!$B$2:$B$8421,A396)</f>
        <v>46247</v>
      </c>
      <c r="K396" s="6" t="n">
        <f aca="false">COUNTIF(Transaction!$B$2:$B$8421,A396)</f>
        <v>10</v>
      </c>
      <c r="L396" s="10" t="n">
        <f aca="false">SUMIF(Transaction!$B$2:$B$8421,A396,Transaction!$H$2:$H$8421)</f>
        <v>17468</v>
      </c>
      <c r="M396" s="6" t="n">
        <f aca="false">Summary!$B$3-J396</f>
        <v>19</v>
      </c>
      <c r="N396" s="6" t="str">
        <f aca="false">IF(K396&gt;1,"Yes","No")</f>
        <v>Yes</v>
      </c>
      <c r="O396" s="6" t="s">
        <v>45</v>
      </c>
    </row>
    <row r="397" customFormat="false" ht="15" hidden="false" customHeight="false" outlineLevel="0" collapsed="false">
      <c r="A397" s="6" t="s">
        <v>903</v>
      </c>
      <c r="B397" s="6" t="s">
        <v>904</v>
      </c>
      <c r="C397" s="6" t="s">
        <v>75</v>
      </c>
      <c r="D397" s="6" t="n">
        <v>19</v>
      </c>
      <c r="E397" s="6" t="s">
        <v>76</v>
      </c>
      <c r="F397" s="6" t="s">
        <v>77</v>
      </c>
      <c r="G397" s="26" t="n">
        <v>46123</v>
      </c>
      <c r="H397" s="6" t="s">
        <v>115</v>
      </c>
      <c r="I397" s="26" t="n">
        <f aca="false">_xlfn.MINIFS(Transaction!$C$2:$C$8421,Transaction!$B$2:$B$8421,A397)</f>
        <v>46129</v>
      </c>
      <c r="J397" s="26" t="n">
        <f aca="false">_xlfn.MAXIFS(Transaction!$C$2:$C$8421,Transaction!$B$2:$B$8421,A397)</f>
        <v>46129</v>
      </c>
      <c r="K397" s="6" t="n">
        <f aca="false">COUNTIF(Transaction!$B$2:$B$8421,A397)</f>
        <v>1</v>
      </c>
      <c r="L397" s="10" t="n">
        <f aca="false">SUMIF(Transaction!$B$2:$B$8421,A397,Transaction!$H$2:$H$8421)</f>
        <v>1468</v>
      </c>
      <c r="M397" s="6" t="n">
        <f aca="false">Summary!$B$3-J397</f>
        <v>137</v>
      </c>
      <c r="N397" s="6" t="str">
        <f aca="false">IF(K397&gt;1,"Yes","No")</f>
        <v>No</v>
      </c>
      <c r="O397" s="6" t="s">
        <v>48</v>
      </c>
    </row>
    <row r="398" customFormat="false" ht="15" hidden="false" customHeight="false" outlineLevel="0" collapsed="false">
      <c r="A398" s="6" t="s">
        <v>905</v>
      </c>
      <c r="B398" s="6" t="s">
        <v>906</v>
      </c>
      <c r="C398" s="6" t="s">
        <v>75</v>
      </c>
      <c r="D398" s="6" t="n">
        <v>23</v>
      </c>
      <c r="E398" s="6" t="s">
        <v>81</v>
      </c>
      <c r="F398" s="6" t="s">
        <v>82</v>
      </c>
      <c r="G398" s="26" t="n">
        <v>45978</v>
      </c>
      <c r="H398" s="6" t="s">
        <v>115</v>
      </c>
      <c r="I398" s="26" t="n">
        <f aca="false">_xlfn.MINIFS(Transaction!$C$2:$C$8421,Transaction!$B$2:$B$8421,A398)</f>
        <v>46028</v>
      </c>
      <c r="J398" s="26" t="n">
        <f aca="false">_xlfn.MAXIFS(Transaction!$C$2:$C$8421,Transaction!$B$2:$B$8421,A398)</f>
        <v>46242</v>
      </c>
      <c r="K398" s="6" t="n">
        <f aca="false">COUNTIF(Transaction!$B$2:$B$8421,A398)</f>
        <v>7</v>
      </c>
      <c r="L398" s="10" t="n">
        <f aca="false">SUMIF(Transaction!$B$2:$B$8421,A398,Transaction!$H$2:$H$8421)</f>
        <v>33850</v>
      </c>
      <c r="M398" s="6" t="n">
        <f aca="false">Summary!$B$3-J398</f>
        <v>24</v>
      </c>
      <c r="N398" s="6" t="str">
        <f aca="false">IF(K398&gt;1,"Yes","No")</f>
        <v>Yes</v>
      </c>
      <c r="O398" s="6" t="s">
        <v>45</v>
      </c>
    </row>
    <row r="399" customFormat="false" ht="15" hidden="false" customHeight="false" outlineLevel="0" collapsed="false">
      <c r="A399" s="6" t="s">
        <v>907</v>
      </c>
      <c r="B399" s="6" t="s">
        <v>908</v>
      </c>
      <c r="C399" s="6" t="s">
        <v>85</v>
      </c>
      <c r="D399" s="6" t="n">
        <v>40</v>
      </c>
      <c r="E399" s="6" t="s">
        <v>105</v>
      </c>
      <c r="F399" s="6" t="s">
        <v>106</v>
      </c>
      <c r="G399" s="26" t="n">
        <v>46008</v>
      </c>
      <c r="H399" s="6" t="s">
        <v>123</v>
      </c>
      <c r="I399" s="26" t="n">
        <f aca="false">_xlfn.MINIFS(Transaction!$C$2:$C$8421,Transaction!$B$2:$B$8421,A399)</f>
        <v>46085</v>
      </c>
      <c r="J399" s="26" t="n">
        <f aca="false">_xlfn.MAXIFS(Transaction!$C$2:$C$8421,Transaction!$B$2:$B$8421,A399)</f>
        <v>46236</v>
      </c>
      <c r="K399" s="6" t="n">
        <f aca="false">COUNTIF(Transaction!$B$2:$B$8421,A399)</f>
        <v>6</v>
      </c>
      <c r="L399" s="10" t="n">
        <f aca="false">SUMIF(Transaction!$B$2:$B$8421,A399,Transaction!$H$2:$H$8421)</f>
        <v>12256</v>
      </c>
      <c r="M399" s="6" t="n">
        <f aca="false">Summary!$B$3-J399</f>
        <v>30</v>
      </c>
      <c r="N399" s="6" t="str">
        <f aca="false">IF(K399&gt;1,"Yes","No")</f>
        <v>Yes</v>
      </c>
      <c r="O399" s="6" t="s">
        <v>46</v>
      </c>
    </row>
    <row r="400" customFormat="false" ht="15" hidden="false" customHeight="false" outlineLevel="0" collapsed="false">
      <c r="A400" s="6" t="s">
        <v>909</v>
      </c>
      <c r="B400" s="6" t="s">
        <v>910</v>
      </c>
      <c r="C400" s="6" t="s">
        <v>75</v>
      </c>
      <c r="D400" s="6" t="n">
        <v>29</v>
      </c>
      <c r="E400" s="6" t="s">
        <v>105</v>
      </c>
      <c r="F400" s="6" t="s">
        <v>106</v>
      </c>
      <c r="G400" s="26" t="n">
        <v>46127</v>
      </c>
      <c r="H400" s="6" t="s">
        <v>92</v>
      </c>
      <c r="I400" s="26" t="n">
        <f aca="false">_xlfn.MINIFS(Transaction!$C$2:$C$8421,Transaction!$B$2:$B$8421,A400)</f>
        <v>46209</v>
      </c>
      <c r="J400" s="26" t="n">
        <f aca="false">_xlfn.MAXIFS(Transaction!$C$2:$C$8421,Transaction!$B$2:$B$8421,A400)</f>
        <v>46209</v>
      </c>
      <c r="K400" s="6" t="n">
        <f aca="false">COUNTIF(Transaction!$B$2:$B$8421,A400)</f>
        <v>1</v>
      </c>
      <c r="L400" s="10" t="n">
        <f aca="false">SUMIF(Transaction!$B$2:$B$8421,A400,Transaction!$H$2:$H$8421)</f>
        <v>782</v>
      </c>
      <c r="M400" s="6" t="n">
        <f aca="false">Summary!$B$3-J400</f>
        <v>57</v>
      </c>
      <c r="N400" s="6" t="str">
        <f aca="false">IF(K400&gt;1,"Yes","No")</f>
        <v>No</v>
      </c>
      <c r="O400" s="6" t="s">
        <v>47</v>
      </c>
    </row>
    <row r="401" customFormat="false" ht="15" hidden="false" customHeight="false" outlineLevel="0" collapsed="false">
      <c r="A401" s="6" t="s">
        <v>911</v>
      </c>
      <c r="B401" s="6" t="s">
        <v>912</v>
      </c>
      <c r="C401" s="6" t="s">
        <v>85</v>
      </c>
      <c r="D401" s="6" t="n">
        <v>47</v>
      </c>
      <c r="E401" s="6" t="s">
        <v>91</v>
      </c>
      <c r="F401" s="6" t="s">
        <v>77</v>
      </c>
      <c r="G401" s="26" t="n">
        <v>46049</v>
      </c>
      <c r="H401" s="6" t="s">
        <v>115</v>
      </c>
      <c r="I401" s="26" t="n">
        <f aca="false">_xlfn.MINIFS(Transaction!$C$2:$C$8421,Transaction!$B$2:$B$8421,A401)</f>
        <v>46092</v>
      </c>
      <c r="J401" s="26" t="n">
        <f aca="false">_xlfn.MAXIFS(Transaction!$C$2:$C$8421,Transaction!$B$2:$B$8421,A401)</f>
        <v>46092</v>
      </c>
      <c r="K401" s="6" t="n">
        <f aca="false">COUNTIF(Transaction!$B$2:$B$8421,A401)</f>
        <v>1</v>
      </c>
      <c r="L401" s="10" t="n">
        <f aca="false">SUMIF(Transaction!$B$2:$B$8421,A401,Transaction!$H$2:$H$8421)</f>
        <v>2024</v>
      </c>
      <c r="M401" s="6" t="n">
        <f aca="false">Summary!$B$3-J401</f>
        <v>174</v>
      </c>
      <c r="N401" s="6" t="str">
        <f aca="false">IF(K401&gt;1,"Yes","No")</f>
        <v>No</v>
      </c>
      <c r="O401" s="6" t="s">
        <v>49</v>
      </c>
    </row>
    <row r="402" customFormat="false" ht="15" hidden="false" customHeight="false" outlineLevel="0" collapsed="false">
      <c r="A402" s="6" t="s">
        <v>913</v>
      </c>
      <c r="B402" s="6" t="s">
        <v>914</v>
      </c>
      <c r="C402" s="6" t="s">
        <v>75</v>
      </c>
      <c r="D402" s="6" t="n">
        <v>21</v>
      </c>
      <c r="E402" s="6" t="s">
        <v>430</v>
      </c>
      <c r="F402" s="6" t="s">
        <v>99</v>
      </c>
      <c r="G402" s="26" t="n">
        <v>46032</v>
      </c>
      <c r="H402" s="6" t="s">
        <v>92</v>
      </c>
      <c r="I402" s="26" t="n">
        <f aca="false">_xlfn.MINIFS(Transaction!$C$2:$C$8421,Transaction!$B$2:$B$8421,A402)</f>
        <v>46049</v>
      </c>
      <c r="J402" s="26" t="n">
        <f aca="false">_xlfn.MAXIFS(Transaction!$C$2:$C$8421,Transaction!$B$2:$B$8421,A402)</f>
        <v>46049</v>
      </c>
      <c r="K402" s="6" t="n">
        <f aca="false">COUNTIF(Transaction!$B$2:$B$8421,A402)</f>
        <v>1</v>
      </c>
      <c r="L402" s="10" t="n">
        <f aca="false">SUMIF(Transaction!$B$2:$B$8421,A402,Transaction!$H$2:$H$8421)</f>
        <v>1564</v>
      </c>
      <c r="M402" s="6" t="n">
        <f aca="false">Summary!$B$3-J402</f>
        <v>217</v>
      </c>
      <c r="N402" s="6" t="str">
        <f aca="false">IF(K402&gt;1,"Yes","No")</f>
        <v>No</v>
      </c>
      <c r="O402" s="6" t="s">
        <v>49</v>
      </c>
    </row>
    <row r="403" customFormat="false" ht="15" hidden="false" customHeight="false" outlineLevel="0" collapsed="false">
      <c r="A403" s="6" t="s">
        <v>915</v>
      </c>
      <c r="B403" s="6" t="s">
        <v>916</v>
      </c>
      <c r="C403" s="6" t="s">
        <v>75</v>
      </c>
      <c r="D403" s="6" t="n">
        <v>29</v>
      </c>
      <c r="E403" s="6" t="s">
        <v>76</v>
      </c>
      <c r="F403" s="6" t="s">
        <v>77</v>
      </c>
      <c r="G403" s="26" t="n">
        <v>46124</v>
      </c>
      <c r="H403" s="6" t="s">
        <v>92</v>
      </c>
      <c r="I403" s="26" t="n">
        <f aca="false">_xlfn.MINIFS(Transaction!$C$2:$C$8421,Transaction!$B$2:$B$8421,A403)</f>
        <v>46195</v>
      </c>
      <c r="J403" s="26" t="n">
        <f aca="false">_xlfn.MAXIFS(Transaction!$C$2:$C$8421,Transaction!$B$2:$B$8421,A403)</f>
        <v>46195</v>
      </c>
      <c r="K403" s="6" t="n">
        <f aca="false">COUNTIF(Transaction!$B$2:$B$8421,A403)</f>
        <v>1</v>
      </c>
      <c r="L403" s="10" t="n">
        <f aca="false">SUMIF(Transaction!$B$2:$B$8421,A403,Transaction!$H$2:$H$8421)</f>
        <v>325</v>
      </c>
      <c r="M403" s="6" t="n">
        <f aca="false">Summary!$B$3-J403</f>
        <v>71</v>
      </c>
      <c r="N403" s="6" t="str">
        <f aca="false">IF(K403&gt;1,"Yes","No")</f>
        <v>No</v>
      </c>
      <c r="O403" s="6" t="s">
        <v>47</v>
      </c>
    </row>
    <row r="404" customFormat="false" ht="15" hidden="false" customHeight="false" outlineLevel="0" collapsed="false">
      <c r="A404" s="6" t="s">
        <v>917</v>
      </c>
      <c r="B404" s="6" t="s">
        <v>918</v>
      </c>
      <c r="C404" s="6" t="s">
        <v>85</v>
      </c>
      <c r="D404" s="6" t="n">
        <v>21</v>
      </c>
      <c r="E404" s="6" t="s">
        <v>98</v>
      </c>
      <c r="F404" s="6" t="s">
        <v>99</v>
      </c>
      <c r="G404" s="26" t="n">
        <v>46052</v>
      </c>
      <c r="H404" s="6" t="s">
        <v>123</v>
      </c>
      <c r="I404" s="26" t="n">
        <f aca="false">_xlfn.MINIFS(Transaction!$C$2:$C$8421,Transaction!$B$2:$B$8421,A404)</f>
        <v>46061</v>
      </c>
      <c r="J404" s="26" t="n">
        <f aca="false">_xlfn.MAXIFS(Transaction!$C$2:$C$8421,Transaction!$B$2:$B$8421,A404)</f>
        <v>46239</v>
      </c>
      <c r="K404" s="6" t="n">
        <f aca="false">COUNTIF(Transaction!$B$2:$B$8421,A404)</f>
        <v>3</v>
      </c>
      <c r="L404" s="10" t="n">
        <f aca="false">SUMIF(Transaction!$B$2:$B$8421,A404,Transaction!$H$2:$H$8421)</f>
        <v>5825</v>
      </c>
      <c r="M404" s="6" t="n">
        <f aca="false">Summary!$B$3-J404</f>
        <v>27</v>
      </c>
      <c r="N404" s="6" t="str">
        <f aca="false">IF(K404&gt;1,"Yes","No")</f>
        <v>Yes</v>
      </c>
      <c r="O404" s="6" t="s">
        <v>46</v>
      </c>
    </row>
    <row r="405" customFormat="false" ht="15" hidden="false" customHeight="false" outlineLevel="0" collapsed="false">
      <c r="A405" s="6" t="s">
        <v>919</v>
      </c>
      <c r="B405" s="6" t="s">
        <v>920</v>
      </c>
      <c r="C405" s="6" t="s">
        <v>75</v>
      </c>
      <c r="D405" s="6" t="n">
        <v>44</v>
      </c>
      <c r="E405" s="6" t="s">
        <v>121</v>
      </c>
      <c r="F405" s="6" t="s">
        <v>122</v>
      </c>
      <c r="G405" s="26" t="n">
        <v>46145</v>
      </c>
      <c r="H405" s="6" t="s">
        <v>88</v>
      </c>
      <c r="I405" s="26" t="n">
        <f aca="false">_xlfn.MINIFS(Transaction!$C$2:$C$8421,Transaction!$B$2:$B$8421,A405)</f>
        <v>46173</v>
      </c>
      <c r="J405" s="26" t="n">
        <f aca="false">_xlfn.MAXIFS(Transaction!$C$2:$C$8421,Transaction!$B$2:$B$8421,A405)</f>
        <v>46173</v>
      </c>
      <c r="K405" s="6" t="n">
        <f aca="false">COUNTIF(Transaction!$B$2:$B$8421,A405)</f>
        <v>1</v>
      </c>
      <c r="L405" s="10" t="n">
        <f aca="false">SUMIF(Transaction!$B$2:$B$8421,A405,Transaction!$H$2:$H$8421)</f>
        <v>610</v>
      </c>
      <c r="M405" s="6" t="n">
        <f aca="false">Summary!$B$3-J405</f>
        <v>93</v>
      </c>
      <c r="N405" s="6" t="str">
        <f aca="false">IF(K405&gt;1,"Yes","No")</f>
        <v>No</v>
      </c>
      <c r="O405" s="6" t="s">
        <v>48</v>
      </c>
    </row>
    <row r="406" customFormat="false" ht="15" hidden="false" customHeight="false" outlineLevel="0" collapsed="false">
      <c r="A406" s="6" t="s">
        <v>921</v>
      </c>
      <c r="B406" s="6" t="s">
        <v>922</v>
      </c>
      <c r="C406" s="6" t="s">
        <v>85</v>
      </c>
      <c r="D406" s="6" t="n">
        <v>37</v>
      </c>
      <c r="E406" s="6" t="s">
        <v>321</v>
      </c>
      <c r="F406" s="6" t="s">
        <v>321</v>
      </c>
      <c r="G406" s="26" t="n">
        <v>46003</v>
      </c>
      <c r="H406" s="6" t="s">
        <v>78</v>
      </c>
      <c r="I406" s="26" t="n">
        <f aca="false">_xlfn.MINIFS(Transaction!$C$2:$C$8421,Transaction!$B$2:$B$8421,A406)</f>
        <v>46040</v>
      </c>
      <c r="J406" s="26" t="n">
        <f aca="false">_xlfn.MAXIFS(Transaction!$C$2:$C$8421,Transaction!$B$2:$B$8421,A406)</f>
        <v>46040</v>
      </c>
      <c r="K406" s="6" t="n">
        <f aca="false">COUNTIF(Transaction!$B$2:$B$8421,A406)</f>
        <v>1</v>
      </c>
      <c r="L406" s="10" t="n">
        <f aca="false">SUMIF(Transaction!$B$2:$B$8421,A406,Transaction!$H$2:$H$8421)</f>
        <v>2033</v>
      </c>
      <c r="M406" s="6" t="n">
        <f aca="false">Summary!$B$3-J406</f>
        <v>226</v>
      </c>
      <c r="N406" s="6" t="str">
        <f aca="false">IF(K406&gt;1,"Yes","No")</f>
        <v>No</v>
      </c>
      <c r="O406" s="6" t="s">
        <v>49</v>
      </c>
    </row>
    <row r="407" customFormat="false" ht="15" hidden="false" customHeight="false" outlineLevel="0" collapsed="false">
      <c r="A407" s="6" t="s">
        <v>923</v>
      </c>
      <c r="B407" s="6" t="s">
        <v>924</v>
      </c>
      <c r="C407" s="6" t="s">
        <v>75</v>
      </c>
      <c r="D407" s="6" t="n">
        <v>46</v>
      </c>
      <c r="E407" s="6" t="s">
        <v>76</v>
      </c>
      <c r="F407" s="6" t="s">
        <v>77</v>
      </c>
      <c r="G407" s="26" t="n">
        <v>46013</v>
      </c>
      <c r="H407" s="6" t="s">
        <v>78</v>
      </c>
      <c r="I407" s="26" t="n">
        <f aca="false">_xlfn.MINIFS(Transaction!$C$2:$C$8421,Transaction!$B$2:$B$8421,A407)</f>
        <v>46070</v>
      </c>
      <c r="J407" s="26" t="n">
        <f aca="false">_xlfn.MAXIFS(Transaction!$C$2:$C$8421,Transaction!$B$2:$B$8421,A407)</f>
        <v>46255</v>
      </c>
      <c r="K407" s="6" t="n">
        <f aca="false">COUNTIF(Transaction!$B$2:$B$8421,A407)</f>
        <v>8</v>
      </c>
      <c r="L407" s="10" t="n">
        <f aca="false">SUMIF(Transaction!$B$2:$B$8421,A407,Transaction!$H$2:$H$8421)</f>
        <v>11424</v>
      </c>
      <c r="M407" s="6" t="n">
        <f aca="false">Summary!$B$3-J407</f>
        <v>11</v>
      </c>
      <c r="N407" s="6" t="str">
        <f aca="false">IF(K407&gt;1,"Yes","No")</f>
        <v>Yes</v>
      </c>
      <c r="O407" s="6" t="s">
        <v>45</v>
      </c>
    </row>
    <row r="408" customFormat="false" ht="15" hidden="false" customHeight="false" outlineLevel="0" collapsed="false">
      <c r="A408" s="6" t="s">
        <v>925</v>
      </c>
      <c r="B408" s="6" t="s">
        <v>926</v>
      </c>
      <c r="C408" s="6" t="s">
        <v>75</v>
      </c>
      <c r="D408" s="6" t="n">
        <v>18</v>
      </c>
      <c r="E408" s="6" t="s">
        <v>76</v>
      </c>
      <c r="F408" s="6" t="s">
        <v>77</v>
      </c>
      <c r="G408" s="26" t="n">
        <v>46031</v>
      </c>
      <c r="H408" s="6" t="s">
        <v>123</v>
      </c>
      <c r="I408" s="26" t="n">
        <f aca="false">_xlfn.MINIFS(Transaction!$C$2:$C$8421,Transaction!$B$2:$B$8421,A408)</f>
        <v>46082</v>
      </c>
      <c r="J408" s="26" t="n">
        <f aca="false">_xlfn.MAXIFS(Transaction!$C$2:$C$8421,Transaction!$B$2:$B$8421,A408)</f>
        <v>46229</v>
      </c>
      <c r="K408" s="6" t="n">
        <f aca="false">COUNTIF(Transaction!$B$2:$B$8421,A408)</f>
        <v>5</v>
      </c>
      <c r="L408" s="10" t="n">
        <f aca="false">SUMIF(Transaction!$B$2:$B$8421,A408,Transaction!$H$2:$H$8421)</f>
        <v>7493</v>
      </c>
      <c r="M408" s="6" t="n">
        <f aca="false">Summary!$B$3-J408</f>
        <v>37</v>
      </c>
      <c r="N408" s="6" t="str">
        <f aca="false">IF(K408&gt;1,"Yes","No")</f>
        <v>Yes</v>
      </c>
      <c r="O408" s="6" t="s">
        <v>46</v>
      </c>
    </row>
    <row r="409" customFormat="false" ht="15" hidden="false" customHeight="false" outlineLevel="0" collapsed="false">
      <c r="A409" s="6" t="s">
        <v>927</v>
      </c>
      <c r="B409" s="6" t="s">
        <v>928</v>
      </c>
      <c r="C409" s="6" t="s">
        <v>75</v>
      </c>
      <c r="D409" s="6" t="n">
        <v>34</v>
      </c>
      <c r="E409" s="6" t="s">
        <v>321</v>
      </c>
      <c r="F409" s="6" t="s">
        <v>321</v>
      </c>
      <c r="G409" s="26" t="n">
        <v>46164</v>
      </c>
      <c r="H409" s="6" t="s">
        <v>78</v>
      </c>
      <c r="I409" s="26" t="n">
        <f aca="false">_xlfn.MINIFS(Transaction!$C$2:$C$8421,Transaction!$B$2:$B$8421,A409)</f>
        <v>46227</v>
      </c>
      <c r="J409" s="26" t="n">
        <f aca="false">_xlfn.MAXIFS(Transaction!$C$2:$C$8421,Transaction!$B$2:$B$8421,A409)</f>
        <v>46227</v>
      </c>
      <c r="K409" s="6" t="n">
        <f aca="false">COUNTIF(Transaction!$B$2:$B$8421,A409)</f>
        <v>1</v>
      </c>
      <c r="L409" s="10" t="n">
        <f aca="false">SUMIF(Transaction!$B$2:$B$8421,A409,Transaction!$H$2:$H$8421)</f>
        <v>782</v>
      </c>
      <c r="M409" s="6" t="n">
        <f aca="false">Summary!$B$3-J409</f>
        <v>39</v>
      </c>
      <c r="N409" s="6" t="str">
        <f aca="false">IF(K409&gt;1,"Yes","No")</f>
        <v>No</v>
      </c>
      <c r="O409" s="6" t="s">
        <v>47</v>
      </c>
    </row>
    <row r="410" customFormat="false" ht="15" hidden="false" customHeight="false" outlineLevel="0" collapsed="false">
      <c r="A410" s="6" t="s">
        <v>929</v>
      </c>
      <c r="B410" s="6" t="s">
        <v>930</v>
      </c>
      <c r="C410" s="6" t="s">
        <v>85</v>
      </c>
      <c r="D410" s="6" t="n">
        <v>29</v>
      </c>
      <c r="E410" s="6" t="s">
        <v>105</v>
      </c>
      <c r="F410" s="6" t="s">
        <v>106</v>
      </c>
      <c r="G410" s="26" t="n">
        <v>46179</v>
      </c>
      <c r="H410" s="6" t="s">
        <v>123</v>
      </c>
      <c r="I410" s="26" t="n">
        <f aca="false">_xlfn.MINIFS(Transaction!$C$2:$C$8421,Transaction!$B$2:$B$8421,A410)</f>
        <v>46216</v>
      </c>
      <c r="J410" s="26" t="n">
        <f aca="false">_xlfn.MAXIFS(Transaction!$C$2:$C$8421,Transaction!$B$2:$B$8421,A410)</f>
        <v>46216</v>
      </c>
      <c r="K410" s="6" t="n">
        <f aca="false">COUNTIF(Transaction!$B$2:$B$8421,A410)</f>
        <v>1</v>
      </c>
      <c r="L410" s="10" t="n">
        <f aca="false">SUMIF(Transaction!$B$2:$B$8421,A410,Transaction!$H$2:$H$8421)</f>
        <v>2036</v>
      </c>
      <c r="M410" s="6" t="n">
        <f aca="false">Summary!$B$3-J410</f>
        <v>50</v>
      </c>
      <c r="N410" s="6" t="str">
        <f aca="false">IF(K410&gt;1,"Yes","No")</f>
        <v>No</v>
      </c>
      <c r="O410" s="6" t="s">
        <v>47</v>
      </c>
    </row>
    <row r="411" customFormat="false" ht="15" hidden="false" customHeight="false" outlineLevel="0" collapsed="false">
      <c r="A411" s="6" t="s">
        <v>931</v>
      </c>
      <c r="B411" s="6" t="s">
        <v>932</v>
      </c>
      <c r="C411" s="6" t="s">
        <v>85</v>
      </c>
      <c r="D411" s="6" t="n">
        <v>28</v>
      </c>
      <c r="E411" s="6" t="s">
        <v>81</v>
      </c>
      <c r="F411" s="6" t="s">
        <v>82</v>
      </c>
      <c r="G411" s="26" t="n">
        <v>46012</v>
      </c>
      <c r="H411" s="6" t="s">
        <v>88</v>
      </c>
      <c r="I411" s="26" t="n">
        <f aca="false">_xlfn.MINIFS(Transaction!$C$2:$C$8421,Transaction!$B$2:$B$8421,A411)</f>
        <v>46080</v>
      </c>
      <c r="J411" s="26" t="n">
        <f aca="false">_xlfn.MAXIFS(Transaction!$C$2:$C$8421,Transaction!$B$2:$B$8421,A411)</f>
        <v>46250</v>
      </c>
      <c r="K411" s="6" t="n">
        <f aca="false">COUNTIF(Transaction!$B$2:$B$8421,A411)</f>
        <v>8</v>
      </c>
      <c r="L411" s="10" t="n">
        <f aca="false">SUMIF(Transaction!$B$2:$B$8421,A411,Transaction!$H$2:$H$8421)</f>
        <v>13687</v>
      </c>
      <c r="M411" s="6" t="n">
        <f aca="false">Summary!$B$3-J411</f>
        <v>16</v>
      </c>
      <c r="N411" s="6" t="str">
        <f aca="false">IF(K411&gt;1,"Yes","No")</f>
        <v>Yes</v>
      </c>
      <c r="O411" s="6" t="s">
        <v>46</v>
      </c>
    </row>
    <row r="412" customFormat="false" ht="15" hidden="false" customHeight="false" outlineLevel="0" collapsed="false">
      <c r="A412" s="6" t="s">
        <v>933</v>
      </c>
      <c r="B412" s="6" t="s">
        <v>934</v>
      </c>
      <c r="C412" s="6" t="s">
        <v>85</v>
      </c>
      <c r="D412" s="6" t="n">
        <v>42</v>
      </c>
      <c r="E412" s="6" t="s">
        <v>134</v>
      </c>
      <c r="F412" s="6" t="s">
        <v>135</v>
      </c>
      <c r="G412" s="26" t="n">
        <v>46203</v>
      </c>
      <c r="H412" s="6" t="s">
        <v>78</v>
      </c>
      <c r="I412" s="26" t="n">
        <f aca="false">_xlfn.MINIFS(Transaction!$C$2:$C$8421,Transaction!$B$2:$B$8421,A412)</f>
        <v>46229</v>
      </c>
      <c r="J412" s="26" t="n">
        <f aca="false">_xlfn.MAXIFS(Transaction!$C$2:$C$8421,Transaction!$B$2:$B$8421,A412)</f>
        <v>46229</v>
      </c>
      <c r="K412" s="6" t="n">
        <f aca="false">COUNTIF(Transaction!$B$2:$B$8421,A412)</f>
        <v>1</v>
      </c>
      <c r="L412" s="10" t="n">
        <f aca="false">SUMIF(Transaction!$B$2:$B$8421,A412,Transaction!$H$2:$H$8421)</f>
        <v>795</v>
      </c>
      <c r="M412" s="6" t="n">
        <f aca="false">Summary!$B$3-J412</f>
        <v>37</v>
      </c>
      <c r="N412" s="6" t="str">
        <f aca="false">IF(K412&gt;1,"Yes","No")</f>
        <v>No</v>
      </c>
      <c r="O412" s="6" t="s">
        <v>47</v>
      </c>
    </row>
    <row r="413" customFormat="false" ht="15" hidden="false" customHeight="false" outlineLevel="0" collapsed="false">
      <c r="A413" s="6" t="s">
        <v>935</v>
      </c>
      <c r="B413" s="6" t="s">
        <v>936</v>
      </c>
      <c r="C413" s="6" t="s">
        <v>75</v>
      </c>
      <c r="D413" s="6" t="n">
        <v>27</v>
      </c>
      <c r="E413" s="6" t="s">
        <v>176</v>
      </c>
      <c r="F413" s="6" t="s">
        <v>177</v>
      </c>
      <c r="G413" s="26" t="n">
        <v>46100</v>
      </c>
      <c r="H413" s="6" t="s">
        <v>115</v>
      </c>
      <c r="I413" s="26" t="n">
        <f aca="false">_xlfn.MINIFS(Transaction!$C$2:$C$8421,Transaction!$B$2:$B$8421,A413)</f>
        <v>46106</v>
      </c>
      <c r="J413" s="26" t="n">
        <f aca="false">_xlfn.MAXIFS(Transaction!$C$2:$C$8421,Transaction!$B$2:$B$8421,A413)</f>
        <v>46106</v>
      </c>
      <c r="K413" s="6" t="n">
        <f aca="false">COUNTIF(Transaction!$B$2:$B$8421,A413)</f>
        <v>1</v>
      </c>
      <c r="L413" s="10" t="n">
        <f aca="false">SUMIF(Transaction!$B$2:$B$8421,A413,Transaction!$H$2:$H$8421)</f>
        <v>916</v>
      </c>
      <c r="M413" s="6" t="n">
        <f aca="false">Summary!$B$3-J413</f>
        <v>160</v>
      </c>
      <c r="N413" s="6" t="str">
        <f aca="false">IF(K413&gt;1,"Yes","No")</f>
        <v>No</v>
      </c>
      <c r="O413" s="6" t="s">
        <v>49</v>
      </c>
    </row>
    <row r="414" customFormat="false" ht="15" hidden="false" customHeight="false" outlineLevel="0" collapsed="false">
      <c r="A414" s="6" t="s">
        <v>937</v>
      </c>
      <c r="B414" s="6" t="s">
        <v>938</v>
      </c>
      <c r="C414" s="6" t="s">
        <v>75</v>
      </c>
      <c r="D414" s="6" t="n">
        <v>37</v>
      </c>
      <c r="E414" s="6" t="s">
        <v>176</v>
      </c>
      <c r="F414" s="6" t="s">
        <v>177</v>
      </c>
      <c r="G414" s="26" t="n">
        <v>46014</v>
      </c>
      <c r="H414" s="6" t="s">
        <v>123</v>
      </c>
      <c r="I414" s="26" t="n">
        <f aca="false">_xlfn.MINIFS(Transaction!$C$2:$C$8421,Transaction!$B$2:$B$8421,A414)</f>
        <v>46042</v>
      </c>
      <c r="J414" s="26" t="n">
        <f aca="false">_xlfn.MAXIFS(Transaction!$C$2:$C$8421,Transaction!$B$2:$B$8421,A414)</f>
        <v>46042</v>
      </c>
      <c r="K414" s="6" t="n">
        <f aca="false">COUNTIF(Transaction!$B$2:$B$8421,A414)</f>
        <v>1</v>
      </c>
      <c r="L414" s="10" t="n">
        <f aca="false">SUMIF(Transaction!$B$2:$B$8421,A414,Transaction!$H$2:$H$8421)</f>
        <v>1468</v>
      </c>
      <c r="M414" s="6" t="n">
        <f aca="false">Summary!$B$3-J414</f>
        <v>224</v>
      </c>
      <c r="N414" s="6" t="str">
        <f aca="false">IF(K414&gt;1,"Yes","No")</f>
        <v>No</v>
      </c>
      <c r="O414" s="6" t="s">
        <v>49</v>
      </c>
    </row>
    <row r="415" customFormat="false" ht="15" hidden="false" customHeight="false" outlineLevel="0" collapsed="false">
      <c r="A415" s="6" t="s">
        <v>939</v>
      </c>
      <c r="B415" s="6" t="s">
        <v>940</v>
      </c>
      <c r="C415" s="6" t="s">
        <v>85</v>
      </c>
      <c r="D415" s="6" t="n">
        <v>40</v>
      </c>
      <c r="E415" s="6" t="s">
        <v>176</v>
      </c>
      <c r="F415" s="6" t="s">
        <v>177</v>
      </c>
      <c r="G415" s="26" t="n">
        <v>46033</v>
      </c>
      <c r="H415" s="6" t="s">
        <v>115</v>
      </c>
      <c r="I415" s="26" t="n">
        <f aca="false">_xlfn.MINIFS(Transaction!$C$2:$C$8421,Transaction!$B$2:$B$8421,A415)</f>
        <v>46121</v>
      </c>
      <c r="J415" s="26" t="n">
        <f aca="false">_xlfn.MAXIFS(Transaction!$C$2:$C$8421,Transaction!$B$2:$B$8421,A415)</f>
        <v>46121</v>
      </c>
      <c r="K415" s="6" t="n">
        <f aca="false">COUNTIF(Transaction!$B$2:$B$8421,A415)</f>
        <v>1</v>
      </c>
      <c r="L415" s="10" t="n">
        <f aca="false">SUMIF(Transaction!$B$2:$B$8421,A415,Transaction!$H$2:$H$8421)</f>
        <v>1206</v>
      </c>
      <c r="M415" s="6" t="n">
        <f aca="false">Summary!$B$3-J415</f>
        <v>145</v>
      </c>
      <c r="N415" s="6" t="str">
        <f aca="false">IF(K415&gt;1,"Yes","No")</f>
        <v>No</v>
      </c>
      <c r="O415" s="6" t="s">
        <v>48</v>
      </c>
    </row>
    <row r="416" customFormat="false" ht="15" hidden="false" customHeight="false" outlineLevel="0" collapsed="false">
      <c r="A416" s="6" t="s">
        <v>941</v>
      </c>
      <c r="B416" s="6" t="s">
        <v>942</v>
      </c>
      <c r="C416" s="6" t="s">
        <v>85</v>
      </c>
      <c r="D416" s="6" t="n">
        <v>45</v>
      </c>
      <c r="E416" s="6" t="s">
        <v>237</v>
      </c>
      <c r="F416" s="6" t="s">
        <v>87</v>
      </c>
      <c r="G416" s="26" t="n">
        <v>45986</v>
      </c>
      <c r="H416" s="6" t="s">
        <v>102</v>
      </c>
      <c r="I416" s="26" t="n">
        <f aca="false">_xlfn.MINIFS(Transaction!$C$2:$C$8421,Transaction!$B$2:$B$8421,A416)</f>
        <v>46045</v>
      </c>
      <c r="J416" s="26" t="n">
        <f aca="false">_xlfn.MAXIFS(Transaction!$C$2:$C$8421,Transaction!$B$2:$B$8421,A416)</f>
        <v>46262</v>
      </c>
      <c r="K416" s="6" t="n">
        <f aca="false">COUNTIF(Transaction!$B$2:$B$8421,A416)</f>
        <v>8</v>
      </c>
      <c r="L416" s="10" t="n">
        <f aca="false">SUMIF(Transaction!$B$2:$B$8421,A416,Transaction!$H$2:$H$8421)</f>
        <v>32557</v>
      </c>
      <c r="M416" s="6" t="n">
        <f aca="false">Summary!$B$3-J416</f>
        <v>4</v>
      </c>
      <c r="N416" s="6" t="str">
        <f aca="false">IF(K416&gt;1,"Yes","No")</f>
        <v>Yes</v>
      </c>
      <c r="O416" s="6" t="s">
        <v>45</v>
      </c>
    </row>
    <row r="417" customFormat="false" ht="15" hidden="false" customHeight="false" outlineLevel="0" collapsed="false">
      <c r="A417" s="6" t="s">
        <v>943</v>
      </c>
      <c r="B417" s="6" t="s">
        <v>944</v>
      </c>
      <c r="C417" s="6" t="s">
        <v>85</v>
      </c>
      <c r="D417" s="6" t="n">
        <v>18</v>
      </c>
      <c r="E417" s="6" t="s">
        <v>98</v>
      </c>
      <c r="F417" s="6" t="s">
        <v>99</v>
      </c>
      <c r="G417" s="26" t="n">
        <v>46043</v>
      </c>
      <c r="H417" s="6" t="s">
        <v>78</v>
      </c>
      <c r="I417" s="26" t="n">
        <f aca="false">_xlfn.MINIFS(Transaction!$C$2:$C$8421,Transaction!$B$2:$B$8421,A417)</f>
        <v>46123</v>
      </c>
      <c r="J417" s="26" t="n">
        <f aca="false">_xlfn.MAXIFS(Transaction!$C$2:$C$8421,Transaction!$B$2:$B$8421,A417)</f>
        <v>46123</v>
      </c>
      <c r="K417" s="6" t="n">
        <f aca="false">COUNTIF(Transaction!$B$2:$B$8421,A417)</f>
        <v>1</v>
      </c>
      <c r="L417" s="10" t="n">
        <f aca="false">SUMIF(Transaction!$B$2:$B$8421,A417,Transaction!$H$2:$H$8421)</f>
        <v>1564</v>
      </c>
      <c r="M417" s="6" t="n">
        <f aca="false">Summary!$B$3-J417</f>
        <v>143</v>
      </c>
      <c r="N417" s="6" t="str">
        <f aca="false">IF(K417&gt;1,"Yes","No")</f>
        <v>No</v>
      </c>
      <c r="O417" s="6" t="s">
        <v>48</v>
      </c>
    </row>
    <row r="418" customFormat="false" ht="15" hidden="false" customHeight="false" outlineLevel="0" collapsed="false">
      <c r="A418" s="6" t="s">
        <v>945</v>
      </c>
      <c r="B418" s="6" t="s">
        <v>946</v>
      </c>
      <c r="C418" s="6" t="s">
        <v>85</v>
      </c>
      <c r="D418" s="6" t="n">
        <v>28</v>
      </c>
      <c r="E418" s="6" t="s">
        <v>121</v>
      </c>
      <c r="F418" s="6" t="s">
        <v>122</v>
      </c>
      <c r="G418" s="26" t="n">
        <v>46091</v>
      </c>
      <c r="H418" s="6" t="s">
        <v>78</v>
      </c>
      <c r="I418" s="26" t="n">
        <f aca="false">_xlfn.MINIFS(Transaction!$C$2:$C$8421,Transaction!$B$2:$B$8421,A418)</f>
        <v>46133</v>
      </c>
      <c r="J418" s="26" t="n">
        <f aca="false">_xlfn.MAXIFS(Transaction!$C$2:$C$8421,Transaction!$B$2:$B$8421,A418)</f>
        <v>46133</v>
      </c>
      <c r="K418" s="6" t="n">
        <f aca="false">COUNTIF(Transaction!$B$2:$B$8421,A418)</f>
        <v>1</v>
      </c>
      <c r="L418" s="10" t="n">
        <f aca="false">SUMIF(Transaction!$B$2:$B$8421,A418,Transaction!$H$2:$H$8421)</f>
        <v>1174</v>
      </c>
      <c r="M418" s="6" t="n">
        <f aca="false">Summary!$B$3-J418</f>
        <v>133</v>
      </c>
      <c r="N418" s="6" t="str">
        <f aca="false">IF(K418&gt;1,"Yes","No")</f>
        <v>No</v>
      </c>
      <c r="O418" s="6" t="s">
        <v>48</v>
      </c>
    </row>
    <row r="419" customFormat="false" ht="15" hidden="false" customHeight="false" outlineLevel="0" collapsed="false">
      <c r="A419" s="6" t="s">
        <v>947</v>
      </c>
      <c r="B419" s="6" t="s">
        <v>948</v>
      </c>
      <c r="C419" s="6" t="s">
        <v>75</v>
      </c>
      <c r="D419" s="6" t="n">
        <v>28</v>
      </c>
      <c r="E419" s="6" t="s">
        <v>321</v>
      </c>
      <c r="F419" s="6" t="s">
        <v>321</v>
      </c>
      <c r="G419" s="26" t="n">
        <v>46224</v>
      </c>
      <c r="H419" s="6" t="s">
        <v>115</v>
      </c>
      <c r="I419" s="26" t="n">
        <f aca="false">_xlfn.MINIFS(Transaction!$C$2:$C$8421,Transaction!$B$2:$B$8421,A419)</f>
        <v>46259</v>
      </c>
      <c r="J419" s="26" t="n">
        <f aca="false">_xlfn.MAXIFS(Transaction!$C$2:$C$8421,Transaction!$B$2:$B$8421,A419)</f>
        <v>46259</v>
      </c>
      <c r="K419" s="6" t="n">
        <f aca="false">COUNTIF(Transaction!$B$2:$B$8421,A419)</f>
        <v>1</v>
      </c>
      <c r="L419" s="10" t="n">
        <f aca="false">SUMIF(Transaction!$B$2:$B$8421,A419,Transaction!$H$2:$H$8421)</f>
        <v>744</v>
      </c>
      <c r="M419" s="6" t="n">
        <f aca="false">Summary!$B$3-J419</f>
        <v>7</v>
      </c>
      <c r="N419" s="6" t="str">
        <f aca="false">IF(K419&gt;1,"Yes","No")</f>
        <v>No</v>
      </c>
      <c r="O419" s="6" t="s">
        <v>47</v>
      </c>
    </row>
    <row r="420" customFormat="false" ht="15" hidden="false" customHeight="false" outlineLevel="0" collapsed="false">
      <c r="A420" s="6" t="s">
        <v>949</v>
      </c>
      <c r="B420" s="6" t="s">
        <v>950</v>
      </c>
      <c r="C420" s="6" t="s">
        <v>85</v>
      </c>
      <c r="D420" s="6" t="n">
        <v>31</v>
      </c>
      <c r="E420" s="6" t="s">
        <v>176</v>
      </c>
      <c r="F420" s="6" t="s">
        <v>177</v>
      </c>
      <c r="G420" s="26" t="n">
        <v>46028</v>
      </c>
      <c r="H420" s="6" t="s">
        <v>115</v>
      </c>
      <c r="I420" s="26" t="n">
        <f aca="false">_xlfn.MINIFS(Transaction!$C$2:$C$8421,Transaction!$B$2:$B$8421,A420)</f>
        <v>46111</v>
      </c>
      <c r="J420" s="26" t="n">
        <f aca="false">_xlfn.MAXIFS(Transaction!$C$2:$C$8421,Transaction!$B$2:$B$8421,A420)</f>
        <v>46111</v>
      </c>
      <c r="K420" s="6" t="n">
        <f aca="false">COUNTIF(Transaction!$B$2:$B$8421,A420)</f>
        <v>1</v>
      </c>
      <c r="L420" s="10" t="n">
        <f aca="false">SUMIF(Transaction!$B$2:$B$8421,A420,Transaction!$H$2:$H$8421)</f>
        <v>1325</v>
      </c>
      <c r="M420" s="6" t="n">
        <f aca="false">Summary!$B$3-J420</f>
        <v>155</v>
      </c>
      <c r="N420" s="6" t="str">
        <f aca="false">IF(K420&gt;1,"Yes","No")</f>
        <v>No</v>
      </c>
      <c r="O420" s="6" t="s">
        <v>49</v>
      </c>
    </row>
    <row r="421" customFormat="false" ht="15" hidden="false" customHeight="false" outlineLevel="0" collapsed="false">
      <c r="A421" s="6" t="s">
        <v>951</v>
      </c>
      <c r="B421" s="6" t="s">
        <v>952</v>
      </c>
      <c r="C421" s="6" t="s">
        <v>75</v>
      </c>
      <c r="D421" s="6" t="n">
        <v>36</v>
      </c>
      <c r="E421" s="6" t="s">
        <v>121</v>
      </c>
      <c r="F421" s="6" t="s">
        <v>122</v>
      </c>
      <c r="G421" s="26" t="n">
        <v>45959</v>
      </c>
      <c r="H421" s="6" t="s">
        <v>115</v>
      </c>
      <c r="I421" s="26" t="n">
        <f aca="false">_xlfn.MINIFS(Transaction!$C$2:$C$8421,Transaction!$B$2:$B$8421,A421)</f>
        <v>46038</v>
      </c>
      <c r="J421" s="26" t="n">
        <f aca="false">_xlfn.MAXIFS(Transaction!$C$2:$C$8421,Transaction!$B$2:$B$8421,A421)</f>
        <v>46219</v>
      </c>
      <c r="K421" s="6" t="n">
        <f aca="false">COUNTIF(Transaction!$B$2:$B$8421,A421)</f>
        <v>3</v>
      </c>
      <c r="L421" s="10" t="n">
        <f aca="false">SUMIF(Transaction!$B$2:$B$8421,A421,Transaction!$H$2:$H$8421)</f>
        <v>18371</v>
      </c>
      <c r="M421" s="6" t="n">
        <f aca="false">Summary!$B$3-J421</f>
        <v>47</v>
      </c>
      <c r="N421" s="6" t="str">
        <f aca="false">IF(K421&gt;1,"Yes","No")</f>
        <v>Yes</v>
      </c>
      <c r="O421" s="6" t="s">
        <v>46</v>
      </c>
    </row>
    <row r="422" customFormat="false" ht="15" hidden="false" customHeight="false" outlineLevel="0" collapsed="false">
      <c r="A422" s="6" t="s">
        <v>953</v>
      </c>
      <c r="B422" s="6" t="s">
        <v>954</v>
      </c>
      <c r="C422" s="6" t="s">
        <v>85</v>
      </c>
      <c r="D422" s="6" t="n">
        <v>31</v>
      </c>
      <c r="E422" s="6" t="s">
        <v>95</v>
      </c>
      <c r="F422" s="6" t="s">
        <v>95</v>
      </c>
      <c r="G422" s="26" t="n">
        <v>46005</v>
      </c>
      <c r="H422" s="6" t="s">
        <v>78</v>
      </c>
      <c r="I422" s="26" t="n">
        <f aca="false">_xlfn.MINIFS(Transaction!$C$2:$C$8421,Transaction!$B$2:$B$8421,A422)</f>
        <v>46050</v>
      </c>
      <c r="J422" s="26" t="n">
        <f aca="false">_xlfn.MAXIFS(Transaction!$C$2:$C$8421,Transaction!$B$2:$B$8421,A422)</f>
        <v>46263</v>
      </c>
      <c r="K422" s="6" t="n">
        <f aca="false">COUNTIF(Transaction!$B$2:$B$8421,A422)</f>
        <v>9</v>
      </c>
      <c r="L422" s="10" t="n">
        <f aca="false">SUMIF(Transaction!$B$2:$B$8421,A422,Transaction!$H$2:$H$8421)</f>
        <v>9234</v>
      </c>
      <c r="M422" s="6" t="n">
        <f aca="false">Summary!$B$3-J422</f>
        <v>3</v>
      </c>
      <c r="N422" s="6" t="str">
        <f aca="false">IF(K422&gt;1,"Yes","No")</f>
        <v>Yes</v>
      </c>
      <c r="O422" s="6" t="s">
        <v>45</v>
      </c>
    </row>
    <row r="423" customFormat="false" ht="15" hidden="false" customHeight="false" outlineLevel="0" collapsed="false">
      <c r="A423" s="6" t="s">
        <v>955</v>
      </c>
      <c r="B423" s="6" t="s">
        <v>956</v>
      </c>
      <c r="C423" s="6" t="s">
        <v>85</v>
      </c>
      <c r="D423" s="6" t="n">
        <v>42</v>
      </c>
      <c r="E423" s="6" t="s">
        <v>91</v>
      </c>
      <c r="F423" s="6" t="s">
        <v>77</v>
      </c>
      <c r="G423" s="26" t="n">
        <v>46060</v>
      </c>
      <c r="H423" s="6" t="s">
        <v>78</v>
      </c>
      <c r="I423" s="26" t="n">
        <f aca="false">_xlfn.MINIFS(Transaction!$C$2:$C$8421,Transaction!$B$2:$B$8421,A423)</f>
        <v>46101</v>
      </c>
      <c r="J423" s="26" t="n">
        <f aca="false">_xlfn.MAXIFS(Transaction!$C$2:$C$8421,Transaction!$B$2:$B$8421,A423)</f>
        <v>46101</v>
      </c>
      <c r="K423" s="6" t="n">
        <f aca="false">COUNTIF(Transaction!$B$2:$B$8421,A423)</f>
        <v>1</v>
      </c>
      <c r="L423" s="10" t="n">
        <f aca="false">SUMIF(Transaction!$B$2:$B$8421,A423,Transaction!$H$2:$H$8421)</f>
        <v>1098</v>
      </c>
      <c r="M423" s="6" t="n">
        <f aca="false">Summary!$B$3-J423</f>
        <v>165</v>
      </c>
      <c r="N423" s="6" t="str">
        <f aca="false">IF(K423&gt;1,"Yes","No")</f>
        <v>No</v>
      </c>
      <c r="O423" s="6" t="s">
        <v>49</v>
      </c>
    </row>
    <row r="424" customFormat="false" ht="15" hidden="false" customHeight="false" outlineLevel="0" collapsed="false">
      <c r="A424" s="6" t="s">
        <v>957</v>
      </c>
      <c r="B424" s="6" t="s">
        <v>958</v>
      </c>
      <c r="C424" s="6" t="s">
        <v>75</v>
      </c>
      <c r="D424" s="6" t="n">
        <v>44</v>
      </c>
      <c r="E424" s="6" t="s">
        <v>91</v>
      </c>
      <c r="F424" s="6" t="s">
        <v>77</v>
      </c>
      <c r="G424" s="26" t="n">
        <v>46095</v>
      </c>
      <c r="H424" s="6" t="s">
        <v>115</v>
      </c>
      <c r="I424" s="26" t="n">
        <f aca="false">_xlfn.MINIFS(Transaction!$C$2:$C$8421,Transaction!$B$2:$B$8421,A424)</f>
        <v>46120</v>
      </c>
      <c r="J424" s="26" t="n">
        <f aca="false">_xlfn.MAXIFS(Transaction!$C$2:$C$8421,Transaction!$B$2:$B$8421,A424)</f>
        <v>46120</v>
      </c>
      <c r="K424" s="6" t="n">
        <f aca="false">COUNTIF(Transaction!$B$2:$B$8421,A424)</f>
        <v>1</v>
      </c>
      <c r="L424" s="10" t="n">
        <f aca="false">SUMIF(Transaction!$B$2:$B$8421,A424,Transaction!$H$2:$H$8421)</f>
        <v>2932</v>
      </c>
      <c r="M424" s="6" t="n">
        <f aca="false">Summary!$B$3-J424</f>
        <v>146</v>
      </c>
      <c r="N424" s="6" t="str">
        <f aca="false">IF(K424&gt;1,"Yes","No")</f>
        <v>No</v>
      </c>
      <c r="O424" s="6" t="s">
        <v>48</v>
      </c>
    </row>
    <row r="425" customFormat="false" ht="15" hidden="false" customHeight="false" outlineLevel="0" collapsed="false">
      <c r="A425" s="6" t="s">
        <v>959</v>
      </c>
      <c r="B425" s="6" t="s">
        <v>960</v>
      </c>
      <c r="C425" s="6" t="s">
        <v>85</v>
      </c>
      <c r="D425" s="6" t="n">
        <v>23</v>
      </c>
      <c r="E425" s="6" t="s">
        <v>95</v>
      </c>
      <c r="F425" s="6" t="s">
        <v>95</v>
      </c>
      <c r="G425" s="26" t="n">
        <v>46128</v>
      </c>
      <c r="H425" s="6" t="s">
        <v>123</v>
      </c>
      <c r="I425" s="26" t="n">
        <f aca="false">_xlfn.MINIFS(Transaction!$C$2:$C$8421,Transaction!$B$2:$B$8421,A425)</f>
        <v>46191</v>
      </c>
      <c r="J425" s="26" t="n">
        <f aca="false">_xlfn.MAXIFS(Transaction!$C$2:$C$8421,Transaction!$B$2:$B$8421,A425)</f>
        <v>46191</v>
      </c>
      <c r="K425" s="6" t="n">
        <f aca="false">COUNTIF(Transaction!$B$2:$B$8421,A425)</f>
        <v>1</v>
      </c>
      <c r="L425" s="10" t="n">
        <f aca="false">SUMIF(Transaction!$B$2:$B$8421,A425,Transaction!$H$2:$H$8421)</f>
        <v>1564</v>
      </c>
      <c r="M425" s="6" t="n">
        <f aca="false">Summary!$B$3-J425</f>
        <v>75</v>
      </c>
      <c r="N425" s="6" t="str">
        <f aca="false">IF(K425&gt;1,"Yes","No")</f>
        <v>No</v>
      </c>
      <c r="O425" s="6" t="s">
        <v>47</v>
      </c>
    </row>
    <row r="426" customFormat="false" ht="15" hidden="false" customHeight="false" outlineLevel="0" collapsed="false">
      <c r="A426" s="6" t="s">
        <v>961</v>
      </c>
      <c r="B426" s="6" t="s">
        <v>962</v>
      </c>
      <c r="C426" s="6" t="s">
        <v>85</v>
      </c>
      <c r="D426" s="6" t="n">
        <v>34</v>
      </c>
      <c r="E426" s="6" t="s">
        <v>146</v>
      </c>
      <c r="F426" s="6" t="s">
        <v>147</v>
      </c>
      <c r="G426" s="26" t="n">
        <v>46040</v>
      </c>
      <c r="H426" s="6" t="s">
        <v>92</v>
      </c>
      <c r="I426" s="26" t="n">
        <f aca="false">_xlfn.MINIFS(Transaction!$C$2:$C$8421,Transaction!$B$2:$B$8421,A426)</f>
        <v>46097</v>
      </c>
      <c r="J426" s="26" t="n">
        <f aca="false">_xlfn.MAXIFS(Transaction!$C$2:$C$8421,Transaction!$B$2:$B$8421,A426)</f>
        <v>46097</v>
      </c>
      <c r="K426" s="6" t="n">
        <f aca="false">COUNTIF(Transaction!$B$2:$B$8421,A426)</f>
        <v>1</v>
      </c>
      <c r="L426" s="10" t="n">
        <f aca="false">SUMIF(Transaction!$B$2:$B$8421,A426,Transaction!$H$2:$H$8421)</f>
        <v>2349</v>
      </c>
      <c r="M426" s="6" t="n">
        <f aca="false">Summary!$B$3-J426</f>
        <v>169</v>
      </c>
      <c r="N426" s="6" t="str">
        <f aca="false">IF(K426&gt;1,"Yes","No")</f>
        <v>No</v>
      </c>
      <c r="O426" s="6" t="s">
        <v>49</v>
      </c>
    </row>
    <row r="427" customFormat="false" ht="15" hidden="false" customHeight="false" outlineLevel="0" collapsed="false">
      <c r="A427" s="6" t="s">
        <v>963</v>
      </c>
      <c r="B427" s="6" t="s">
        <v>964</v>
      </c>
      <c r="C427" s="6" t="s">
        <v>85</v>
      </c>
      <c r="D427" s="6" t="n">
        <v>46</v>
      </c>
      <c r="E427" s="6" t="s">
        <v>146</v>
      </c>
      <c r="F427" s="6" t="s">
        <v>147</v>
      </c>
      <c r="G427" s="26" t="n">
        <v>46235</v>
      </c>
      <c r="H427" s="6" t="s">
        <v>88</v>
      </c>
      <c r="I427" s="26" t="n">
        <f aca="false">_xlfn.MINIFS(Transaction!$C$2:$C$8421,Transaction!$B$2:$B$8421,A427)</f>
        <v>46245</v>
      </c>
      <c r="J427" s="26" t="n">
        <f aca="false">_xlfn.MAXIFS(Transaction!$C$2:$C$8421,Transaction!$B$2:$B$8421,A427)</f>
        <v>46245</v>
      </c>
      <c r="K427" s="6" t="n">
        <f aca="false">COUNTIF(Transaction!$B$2:$B$8421,A427)</f>
        <v>1</v>
      </c>
      <c r="L427" s="10" t="n">
        <f aca="false">SUMIF(Transaction!$B$2:$B$8421,A427,Transaction!$H$2:$H$8421)</f>
        <v>264</v>
      </c>
      <c r="M427" s="6" t="n">
        <f aca="false">Summary!$B$3-J427</f>
        <v>21</v>
      </c>
      <c r="N427" s="6" t="str">
        <f aca="false">IF(K427&gt;1,"Yes","No")</f>
        <v>No</v>
      </c>
      <c r="O427" s="6" t="s">
        <v>47</v>
      </c>
    </row>
    <row r="428" customFormat="false" ht="15" hidden="false" customHeight="false" outlineLevel="0" collapsed="false">
      <c r="A428" s="6" t="s">
        <v>965</v>
      </c>
      <c r="B428" s="6" t="s">
        <v>966</v>
      </c>
      <c r="C428" s="6" t="s">
        <v>75</v>
      </c>
      <c r="D428" s="6" t="n">
        <v>18</v>
      </c>
      <c r="E428" s="6" t="s">
        <v>321</v>
      </c>
      <c r="F428" s="6" t="s">
        <v>321</v>
      </c>
      <c r="G428" s="26" t="n">
        <v>45988</v>
      </c>
      <c r="H428" s="6" t="s">
        <v>115</v>
      </c>
      <c r="I428" s="26" t="n">
        <f aca="false">_xlfn.MINIFS(Transaction!$C$2:$C$8421,Transaction!$B$2:$B$8421,A428)</f>
        <v>46027</v>
      </c>
      <c r="J428" s="26" t="n">
        <f aca="false">_xlfn.MAXIFS(Transaction!$C$2:$C$8421,Transaction!$B$2:$B$8421,A428)</f>
        <v>46219</v>
      </c>
      <c r="K428" s="6" t="n">
        <f aca="false">COUNTIF(Transaction!$B$2:$B$8421,A428)</f>
        <v>5</v>
      </c>
      <c r="L428" s="10" t="n">
        <f aca="false">SUMIF(Transaction!$B$2:$B$8421,A428,Transaction!$H$2:$H$8421)</f>
        <v>7283</v>
      </c>
      <c r="M428" s="6" t="n">
        <f aca="false">Summary!$B$3-J428</f>
        <v>47</v>
      </c>
      <c r="N428" s="6" t="str">
        <f aca="false">IF(K428&gt;1,"Yes","No")</f>
        <v>Yes</v>
      </c>
      <c r="O428" s="6" t="s">
        <v>46</v>
      </c>
    </row>
    <row r="429" customFormat="false" ht="15" hidden="false" customHeight="false" outlineLevel="0" collapsed="false">
      <c r="A429" s="6" t="s">
        <v>967</v>
      </c>
      <c r="B429" s="6" t="s">
        <v>968</v>
      </c>
      <c r="C429" s="6" t="s">
        <v>85</v>
      </c>
      <c r="D429" s="6" t="n">
        <v>18</v>
      </c>
      <c r="E429" s="6" t="s">
        <v>121</v>
      </c>
      <c r="F429" s="6" t="s">
        <v>122</v>
      </c>
      <c r="G429" s="26" t="n">
        <v>46072</v>
      </c>
      <c r="H429" s="6" t="s">
        <v>78</v>
      </c>
      <c r="I429" s="26" t="n">
        <f aca="false">_xlfn.MINIFS(Transaction!$C$2:$C$8421,Transaction!$B$2:$B$8421,A429)</f>
        <v>46116</v>
      </c>
      <c r="J429" s="26" t="n">
        <f aca="false">_xlfn.MAXIFS(Transaction!$C$2:$C$8421,Transaction!$B$2:$B$8421,A429)</f>
        <v>46116</v>
      </c>
      <c r="K429" s="6" t="n">
        <f aca="false">COUNTIF(Transaction!$B$2:$B$8421,A429)</f>
        <v>1</v>
      </c>
      <c r="L429" s="10" t="n">
        <f aca="false">SUMIF(Transaction!$B$2:$B$8421,A429,Transaction!$H$2:$H$8421)</f>
        <v>1760</v>
      </c>
      <c r="M429" s="6" t="n">
        <f aca="false">Summary!$B$3-J429</f>
        <v>150</v>
      </c>
      <c r="N429" s="6" t="str">
        <f aca="false">IF(K429&gt;1,"Yes","No")</f>
        <v>No</v>
      </c>
      <c r="O429" s="6" t="s">
        <v>48</v>
      </c>
    </row>
    <row r="430" customFormat="false" ht="15" hidden="false" customHeight="false" outlineLevel="0" collapsed="false">
      <c r="A430" s="6" t="s">
        <v>969</v>
      </c>
      <c r="B430" s="6" t="s">
        <v>970</v>
      </c>
      <c r="C430" s="6" t="s">
        <v>75</v>
      </c>
      <c r="D430" s="6" t="n">
        <v>22</v>
      </c>
      <c r="E430" s="6" t="s">
        <v>237</v>
      </c>
      <c r="F430" s="6" t="s">
        <v>87</v>
      </c>
      <c r="G430" s="26" t="n">
        <v>45953</v>
      </c>
      <c r="H430" s="6" t="s">
        <v>88</v>
      </c>
      <c r="I430" s="26" t="n">
        <f aca="false">_xlfn.MINIFS(Transaction!$C$2:$C$8421,Transaction!$B$2:$B$8421,A430)</f>
        <v>46029</v>
      </c>
      <c r="J430" s="26" t="n">
        <f aca="false">_xlfn.MAXIFS(Transaction!$C$2:$C$8421,Transaction!$B$2:$B$8421,A430)</f>
        <v>46246</v>
      </c>
      <c r="K430" s="6" t="n">
        <f aca="false">COUNTIF(Transaction!$B$2:$B$8421,A430)</f>
        <v>12</v>
      </c>
      <c r="L430" s="10" t="n">
        <f aca="false">SUMIF(Transaction!$B$2:$B$8421,A430,Transaction!$H$2:$H$8421)</f>
        <v>16431</v>
      </c>
      <c r="M430" s="6" t="n">
        <f aca="false">Summary!$B$3-J430</f>
        <v>20</v>
      </c>
      <c r="N430" s="6" t="str">
        <f aca="false">IF(K430&gt;1,"Yes","No")</f>
        <v>Yes</v>
      </c>
      <c r="O430" s="6" t="s">
        <v>45</v>
      </c>
    </row>
    <row r="431" customFormat="false" ht="15" hidden="false" customHeight="false" outlineLevel="0" collapsed="false">
      <c r="A431" s="6" t="s">
        <v>971</v>
      </c>
      <c r="B431" s="6" t="s">
        <v>972</v>
      </c>
      <c r="C431" s="6" t="s">
        <v>85</v>
      </c>
      <c r="D431" s="6" t="n">
        <v>33</v>
      </c>
      <c r="E431" s="6" t="s">
        <v>95</v>
      </c>
      <c r="F431" s="6" t="s">
        <v>95</v>
      </c>
      <c r="G431" s="26" t="n">
        <v>46231</v>
      </c>
      <c r="H431" s="6" t="s">
        <v>92</v>
      </c>
      <c r="I431" s="26" t="n">
        <f aca="false">_xlfn.MINIFS(Transaction!$C$2:$C$8421,Transaction!$B$2:$B$8421,A431)</f>
        <v>46264</v>
      </c>
      <c r="J431" s="26" t="n">
        <f aca="false">_xlfn.MAXIFS(Transaction!$C$2:$C$8421,Transaction!$B$2:$B$8421,A431)</f>
        <v>46264</v>
      </c>
      <c r="K431" s="6" t="n">
        <f aca="false">COUNTIF(Transaction!$B$2:$B$8421,A431)</f>
        <v>1</v>
      </c>
      <c r="L431" s="10" t="n">
        <f aca="false">SUMIF(Transaction!$B$2:$B$8421,A431,Transaction!$H$2:$H$8421)</f>
        <v>5405</v>
      </c>
      <c r="M431" s="6" t="n">
        <f aca="false">Summary!$B$3-J431</f>
        <v>2</v>
      </c>
      <c r="N431" s="6" t="str">
        <f aca="false">IF(K431&gt;1,"Yes","No")</f>
        <v>No</v>
      </c>
      <c r="O431" s="6" t="s">
        <v>47</v>
      </c>
    </row>
    <row r="432" customFormat="false" ht="15" hidden="false" customHeight="false" outlineLevel="0" collapsed="false">
      <c r="A432" s="6" t="s">
        <v>973</v>
      </c>
      <c r="B432" s="6" t="s">
        <v>974</v>
      </c>
      <c r="C432" s="6" t="s">
        <v>85</v>
      </c>
      <c r="D432" s="6" t="n">
        <v>18</v>
      </c>
      <c r="E432" s="6" t="s">
        <v>264</v>
      </c>
      <c r="F432" s="6" t="s">
        <v>106</v>
      </c>
      <c r="G432" s="26" t="n">
        <v>45942</v>
      </c>
      <c r="H432" s="6" t="s">
        <v>115</v>
      </c>
      <c r="I432" s="26" t="n">
        <f aca="false">_xlfn.MINIFS(Transaction!$C$2:$C$8421,Transaction!$B$2:$B$8421,A432)</f>
        <v>46032</v>
      </c>
      <c r="J432" s="26" t="n">
        <f aca="false">_xlfn.MAXIFS(Transaction!$C$2:$C$8421,Transaction!$B$2:$B$8421,A432)</f>
        <v>46256</v>
      </c>
      <c r="K432" s="6" t="n">
        <f aca="false">COUNTIF(Transaction!$B$2:$B$8421,A432)</f>
        <v>12</v>
      </c>
      <c r="L432" s="10" t="n">
        <f aca="false">SUMIF(Transaction!$B$2:$B$8421,A432,Transaction!$H$2:$H$8421)</f>
        <v>24817</v>
      </c>
      <c r="M432" s="6" t="n">
        <f aca="false">Summary!$B$3-J432</f>
        <v>10</v>
      </c>
      <c r="N432" s="6" t="str">
        <f aca="false">IF(K432&gt;1,"Yes","No")</f>
        <v>Yes</v>
      </c>
      <c r="O432" s="6" t="s">
        <v>45</v>
      </c>
    </row>
    <row r="433" customFormat="false" ht="15" hidden="false" customHeight="false" outlineLevel="0" collapsed="false">
      <c r="A433" s="6" t="s">
        <v>975</v>
      </c>
      <c r="B433" s="6" t="s">
        <v>976</v>
      </c>
      <c r="C433" s="6" t="s">
        <v>75</v>
      </c>
      <c r="D433" s="6" t="n">
        <v>25</v>
      </c>
      <c r="E433" s="6" t="s">
        <v>95</v>
      </c>
      <c r="F433" s="6" t="s">
        <v>95</v>
      </c>
      <c r="G433" s="26" t="n">
        <v>45973</v>
      </c>
      <c r="H433" s="6" t="s">
        <v>78</v>
      </c>
      <c r="I433" s="26" t="n">
        <f aca="false">_xlfn.MINIFS(Transaction!$C$2:$C$8421,Transaction!$B$2:$B$8421,A433)</f>
        <v>46032</v>
      </c>
      <c r="J433" s="26" t="n">
        <f aca="false">_xlfn.MAXIFS(Transaction!$C$2:$C$8421,Transaction!$B$2:$B$8421,A433)</f>
        <v>46032</v>
      </c>
      <c r="K433" s="6" t="n">
        <f aca="false">COUNTIF(Transaction!$B$2:$B$8421,A433)</f>
        <v>1</v>
      </c>
      <c r="L433" s="10" t="n">
        <f aca="false">SUMIF(Transaction!$B$2:$B$8421,A433,Transaction!$H$2:$H$8421)</f>
        <v>1835</v>
      </c>
      <c r="M433" s="6" t="n">
        <f aca="false">Summary!$B$3-J433</f>
        <v>234</v>
      </c>
      <c r="N433" s="6" t="str">
        <f aca="false">IF(K433&gt;1,"Yes","No")</f>
        <v>No</v>
      </c>
      <c r="O433" s="6" t="s">
        <v>49</v>
      </c>
    </row>
    <row r="434" customFormat="false" ht="15" hidden="false" customHeight="false" outlineLevel="0" collapsed="false">
      <c r="A434" s="6" t="s">
        <v>977</v>
      </c>
      <c r="B434" s="6" t="s">
        <v>978</v>
      </c>
      <c r="C434" s="6" t="s">
        <v>75</v>
      </c>
      <c r="D434" s="6" t="n">
        <v>39</v>
      </c>
      <c r="E434" s="6" t="s">
        <v>81</v>
      </c>
      <c r="F434" s="6" t="s">
        <v>82</v>
      </c>
      <c r="G434" s="26" t="n">
        <v>46014</v>
      </c>
      <c r="H434" s="6" t="s">
        <v>115</v>
      </c>
      <c r="I434" s="26" t="n">
        <f aca="false">_xlfn.MINIFS(Transaction!$C$2:$C$8421,Transaction!$B$2:$B$8421,A434)</f>
        <v>46103</v>
      </c>
      <c r="J434" s="26" t="n">
        <f aca="false">_xlfn.MAXIFS(Transaction!$C$2:$C$8421,Transaction!$B$2:$B$8421,A434)</f>
        <v>46244</v>
      </c>
      <c r="K434" s="6" t="n">
        <f aca="false">COUNTIF(Transaction!$B$2:$B$8421,A434)</f>
        <v>10</v>
      </c>
      <c r="L434" s="10" t="n">
        <f aca="false">SUMIF(Transaction!$B$2:$B$8421,A434,Transaction!$H$2:$H$8421)</f>
        <v>21572</v>
      </c>
      <c r="M434" s="6" t="n">
        <f aca="false">Summary!$B$3-J434</f>
        <v>22</v>
      </c>
      <c r="N434" s="6" t="str">
        <f aca="false">IF(K434&gt;1,"Yes","No")</f>
        <v>Yes</v>
      </c>
      <c r="O434" s="6" t="s">
        <v>45</v>
      </c>
    </row>
    <row r="435" customFormat="false" ht="15" hidden="false" customHeight="false" outlineLevel="0" collapsed="false">
      <c r="A435" s="6" t="s">
        <v>979</v>
      </c>
      <c r="B435" s="6" t="s">
        <v>980</v>
      </c>
      <c r="C435" s="6" t="s">
        <v>75</v>
      </c>
      <c r="D435" s="6" t="n">
        <v>30</v>
      </c>
      <c r="E435" s="6" t="s">
        <v>76</v>
      </c>
      <c r="F435" s="6" t="s">
        <v>77</v>
      </c>
      <c r="G435" s="26" t="n">
        <v>46077</v>
      </c>
      <c r="H435" s="6" t="s">
        <v>123</v>
      </c>
      <c r="I435" s="26" t="n">
        <f aca="false">_xlfn.MINIFS(Transaction!$C$2:$C$8421,Transaction!$B$2:$B$8421,A435)</f>
        <v>46138</v>
      </c>
      <c r="J435" s="26" t="n">
        <f aca="false">_xlfn.MAXIFS(Transaction!$C$2:$C$8421,Transaction!$B$2:$B$8421,A435)</f>
        <v>46138</v>
      </c>
      <c r="K435" s="6" t="n">
        <f aca="false">COUNTIF(Transaction!$B$2:$B$8421,A435)</f>
        <v>1</v>
      </c>
      <c r="L435" s="10" t="n">
        <f aca="false">SUMIF(Transaction!$B$2:$B$8421,A435,Transaction!$H$2:$H$8421)</f>
        <v>3196</v>
      </c>
      <c r="M435" s="6" t="n">
        <f aca="false">Summary!$B$3-J435</f>
        <v>128</v>
      </c>
      <c r="N435" s="6" t="str">
        <f aca="false">IF(K435&gt;1,"Yes","No")</f>
        <v>No</v>
      </c>
      <c r="O435" s="6" t="s">
        <v>48</v>
      </c>
    </row>
    <row r="436" customFormat="false" ht="15" hidden="false" customHeight="false" outlineLevel="0" collapsed="false">
      <c r="A436" s="6" t="s">
        <v>981</v>
      </c>
      <c r="B436" s="6" t="s">
        <v>982</v>
      </c>
      <c r="C436" s="6" t="s">
        <v>85</v>
      </c>
      <c r="D436" s="6" t="n">
        <v>27</v>
      </c>
      <c r="E436" s="6" t="s">
        <v>81</v>
      </c>
      <c r="F436" s="6" t="s">
        <v>82</v>
      </c>
      <c r="G436" s="26" t="n">
        <v>46010</v>
      </c>
      <c r="H436" s="6" t="s">
        <v>78</v>
      </c>
      <c r="I436" s="26" t="n">
        <f aca="false">_xlfn.MINIFS(Transaction!$C$2:$C$8421,Transaction!$B$2:$B$8421,A436)</f>
        <v>46083</v>
      </c>
      <c r="J436" s="26" t="n">
        <f aca="false">_xlfn.MAXIFS(Transaction!$C$2:$C$8421,Transaction!$B$2:$B$8421,A436)</f>
        <v>46083</v>
      </c>
      <c r="K436" s="6" t="n">
        <f aca="false">COUNTIF(Transaction!$B$2:$B$8421,A436)</f>
        <v>1</v>
      </c>
      <c r="L436" s="10" t="n">
        <f aca="false">SUMIF(Transaction!$B$2:$B$8421,A436,Transaction!$H$2:$H$8421)</f>
        <v>1277</v>
      </c>
      <c r="M436" s="6" t="n">
        <f aca="false">Summary!$B$3-J436</f>
        <v>183</v>
      </c>
      <c r="N436" s="6" t="str">
        <f aca="false">IF(K436&gt;1,"Yes","No")</f>
        <v>No</v>
      </c>
      <c r="O436" s="6" t="s">
        <v>49</v>
      </c>
    </row>
    <row r="437" customFormat="false" ht="15" hidden="false" customHeight="false" outlineLevel="0" collapsed="false">
      <c r="A437" s="6" t="s">
        <v>983</v>
      </c>
      <c r="B437" s="6" t="s">
        <v>984</v>
      </c>
      <c r="C437" s="6" t="s">
        <v>85</v>
      </c>
      <c r="D437" s="6" t="n">
        <v>42</v>
      </c>
      <c r="E437" s="6" t="s">
        <v>76</v>
      </c>
      <c r="F437" s="6" t="s">
        <v>77</v>
      </c>
      <c r="G437" s="26" t="n">
        <v>46079</v>
      </c>
      <c r="H437" s="6" t="s">
        <v>115</v>
      </c>
      <c r="I437" s="26" t="n">
        <f aca="false">_xlfn.MINIFS(Transaction!$C$2:$C$8421,Transaction!$B$2:$B$8421,A437)</f>
        <v>46135</v>
      </c>
      <c r="J437" s="26" t="n">
        <f aca="false">_xlfn.MAXIFS(Transaction!$C$2:$C$8421,Transaction!$B$2:$B$8421,A437)</f>
        <v>46194</v>
      </c>
      <c r="K437" s="6" t="n">
        <f aca="false">COUNTIF(Transaction!$B$2:$B$8421,A437)</f>
        <v>4</v>
      </c>
      <c r="L437" s="10" t="n">
        <f aca="false">SUMIF(Transaction!$B$2:$B$8421,A437,Transaction!$H$2:$H$8421)</f>
        <v>8076</v>
      </c>
      <c r="M437" s="6" t="n">
        <f aca="false">Summary!$B$3-J437</f>
        <v>72</v>
      </c>
      <c r="N437" s="6" t="str">
        <f aca="false">IF(K437&gt;1,"Yes","No")</f>
        <v>Yes</v>
      </c>
      <c r="O437" s="6" t="s">
        <v>46</v>
      </c>
    </row>
    <row r="438" customFormat="false" ht="15" hidden="false" customHeight="false" outlineLevel="0" collapsed="false">
      <c r="A438" s="6" t="s">
        <v>985</v>
      </c>
      <c r="B438" s="6" t="s">
        <v>986</v>
      </c>
      <c r="C438" s="6" t="s">
        <v>75</v>
      </c>
      <c r="D438" s="6" t="n">
        <v>19</v>
      </c>
      <c r="E438" s="6" t="s">
        <v>121</v>
      </c>
      <c r="F438" s="6" t="s">
        <v>122</v>
      </c>
      <c r="G438" s="26" t="n">
        <v>46114</v>
      </c>
      <c r="H438" s="6" t="s">
        <v>92</v>
      </c>
      <c r="I438" s="26" t="n">
        <f aca="false">_xlfn.MINIFS(Transaction!$C$2:$C$8421,Transaction!$B$2:$B$8421,A438)</f>
        <v>46114</v>
      </c>
      <c r="J438" s="26" t="n">
        <f aca="false">_xlfn.MAXIFS(Transaction!$C$2:$C$8421,Transaction!$B$2:$B$8421,A438)</f>
        <v>46114</v>
      </c>
      <c r="K438" s="6" t="n">
        <f aca="false">COUNTIF(Transaction!$B$2:$B$8421,A438)</f>
        <v>1</v>
      </c>
      <c r="L438" s="10" t="n">
        <f aca="false">SUMIF(Transaction!$B$2:$B$8421,A438,Transaction!$H$2:$H$8421)</f>
        <v>1486</v>
      </c>
      <c r="M438" s="6" t="n">
        <f aca="false">Summary!$B$3-J438</f>
        <v>152</v>
      </c>
      <c r="N438" s="6" t="str">
        <f aca="false">IF(K438&gt;1,"Yes","No")</f>
        <v>No</v>
      </c>
      <c r="O438" s="6" t="s">
        <v>48</v>
      </c>
    </row>
    <row r="439" customFormat="false" ht="15" hidden="false" customHeight="false" outlineLevel="0" collapsed="false">
      <c r="A439" s="6" t="s">
        <v>987</v>
      </c>
      <c r="B439" s="6" t="s">
        <v>988</v>
      </c>
      <c r="C439" s="6" t="s">
        <v>75</v>
      </c>
      <c r="D439" s="6" t="n">
        <v>30</v>
      </c>
      <c r="E439" s="6" t="s">
        <v>134</v>
      </c>
      <c r="F439" s="6" t="s">
        <v>135</v>
      </c>
      <c r="G439" s="26" t="n">
        <v>46026</v>
      </c>
      <c r="H439" s="6" t="s">
        <v>115</v>
      </c>
      <c r="I439" s="26" t="n">
        <f aca="false">_xlfn.MINIFS(Transaction!$C$2:$C$8421,Transaction!$B$2:$B$8421,A439)</f>
        <v>46105</v>
      </c>
      <c r="J439" s="26" t="n">
        <f aca="false">_xlfn.MAXIFS(Transaction!$C$2:$C$8421,Transaction!$B$2:$B$8421,A439)</f>
        <v>46105</v>
      </c>
      <c r="K439" s="6" t="n">
        <f aca="false">COUNTIF(Transaction!$B$2:$B$8421,A439)</f>
        <v>1</v>
      </c>
      <c r="L439" s="10" t="n">
        <f aca="false">SUMIF(Transaction!$B$2:$B$8421,A439,Transaction!$H$2:$H$8421)</f>
        <v>1149</v>
      </c>
      <c r="M439" s="6" t="n">
        <f aca="false">Summary!$B$3-J439</f>
        <v>161</v>
      </c>
      <c r="N439" s="6" t="str">
        <f aca="false">IF(K439&gt;1,"Yes","No")</f>
        <v>No</v>
      </c>
      <c r="O439" s="6" t="s">
        <v>49</v>
      </c>
    </row>
    <row r="440" customFormat="false" ht="15" hidden="false" customHeight="false" outlineLevel="0" collapsed="false">
      <c r="A440" s="6" t="s">
        <v>989</v>
      </c>
      <c r="B440" s="6" t="s">
        <v>990</v>
      </c>
      <c r="C440" s="6" t="s">
        <v>75</v>
      </c>
      <c r="D440" s="6" t="n">
        <v>41</v>
      </c>
      <c r="E440" s="6" t="s">
        <v>121</v>
      </c>
      <c r="F440" s="6" t="s">
        <v>122</v>
      </c>
      <c r="G440" s="26" t="n">
        <v>46014</v>
      </c>
      <c r="H440" s="6" t="s">
        <v>123</v>
      </c>
      <c r="I440" s="26" t="n">
        <f aca="false">_xlfn.MINIFS(Transaction!$C$2:$C$8421,Transaction!$B$2:$B$8421,A440)</f>
        <v>46032</v>
      </c>
      <c r="J440" s="26" t="n">
        <f aca="false">_xlfn.MAXIFS(Transaction!$C$2:$C$8421,Transaction!$B$2:$B$8421,A440)</f>
        <v>46259</v>
      </c>
      <c r="K440" s="6" t="n">
        <f aca="false">COUNTIF(Transaction!$B$2:$B$8421,A440)</f>
        <v>4</v>
      </c>
      <c r="L440" s="10" t="n">
        <f aca="false">SUMIF(Transaction!$B$2:$B$8421,A440,Transaction!$H$2:$H$8421)</f>
        <v>5392</v>
      </c>
      <c r="M440" s="6" t="n">
        <f aca="false">Summary!$B$3-J440</f>
        <v>7</v>
      </c>
      <c r="N440" s="6" t="str">
        <f aca="false">IF(K440&gt;1,"Yes","No")</f>
        <v>Yes</v>
      </c>
      <c r="O440" s="6" t="s">
        <v>46</v>
      </c>
    </row>
    <row r="441" customFormat="false" ht="15" hidden="false" customHeight="false" outlineLevel="0" collapsed="false">
      <c r="A441" s="6" t="s">
        <v>991</v>
      </c>
      <c r="B441" s="6" t="s">
        <v>992</v>
      </c>
      <c r="C441" s="6" t="s">
        <v>75</v>
      </c>
      <c r="D441" s="6" t="n">
        <v>26</v>
      </c>
      <c r="E441" s="6" t="s">
        <v>176</v>
      </c>
      <c r="F441" s="6" t="s">
        <v>177</v>
      </c>
      <c r="G441" s="26" t="n">
        <v>46025</v>
      </c>
      <c r="H441" s="6" t="s">
        <v>123</v>
      </c>
      <c r="I441" s="26" t="n">
        <f aca="false">_xlfn.MINIFS(Transaction!$C$2:$C$8421,Transaction!$B$2:$B$8421,A441)</f>
        <v>46111</v>
      </c>
      <c r="J441" s="26" t="n">
        <f aca="false">_xlfn.MAXIFS(Transaction!$C$2:$C$8421,Transaction!$B$2:$B$8421,A441)</f>
        <v>46242</v>
      </c>
      <c r="K441" s="6" t="n">
        <f aca="false">COUNTIF(Transaction!$B$2:$B$8421,A441)</f>
        <v>4</v>
      </c>
      <c r="L441" s="10" t="n">
        <f aca="false">SUMIF(Transaction!$B$2:$B$8421,A441,Transaction!$H$2:$H$8421)</f>
        <v>13522</v>
      </c>
      <c r="M441" s="6" t="n">
        <f aca="false">Summary!$B$3-J441</f>
        <v>24</v>
      </c>
      <c r="N441" s="6" t="str">
        <f aca="false">IF(K441&gt;1,"Yes","No")</f>
        <v>Yes</v>
      </c>
      <c r="O441" s="6" t="s">
        <v>46</v>
      </c>
    </row>
    <row r="442" customFormat="false" ht="15" hidden="false" customHeight="false" outlineLevel="0" collapsed="false">
      <c r="A442" s="6" t="s">
        <v>993</v>
      </c>
      <c r="B442" s="6" t="s">
        <v>994</v>
      </c>
      <c r="C442" s="6" t="s">
        <v>75</v>
      </c>
      <c r="D442" s="6" t="n">
        <v>44</v>
      </c>
      <c r="E442" s="6" t="s">
        <v>95</v>
      </c>
      <c r="F442" s="6" t="s">
        <v>95</v>
      </c>
      <c r="G442" s="26" t="n">
        <v>45990</v>
      </c>
      <c r="H442" s="6" t="s">
        <v>123</v>
      </c>
      <c r="I442" s="26" t="n">
        <f aca="false">_xlfn.MINIFS(Transaction!$C$2:$C$8421,Transaction!$B$2:$B$8421,A442)</f>
        <v>46065</v>
      </c>
      <c r="J442" s="26" t="n">
        <f aca="false">_xlfn.MAXIFS(Transaction!$C$2:$C$8421,Transaction!$B$2:$B$8421,A442)</f>
        <v>46239</v>
      </c>
      <c r="K442" s="6" t="n">
        <f aca="false">COUNTIF(Transaction!$B$2:$B$8421,A442)</f>
        <v>5</v>
      </c>
      <c r="L442" s="10" t="n">
        <f aca="false">SUMIF(Transaction!$B$2:$B$8421,A442,Transaction!$H$2:$H$8421)</f>
        <v>7223</v>
      </c>
      <c r="M442" s="6" t="n">
        <f aca="false">Summary!$B$3-J442</f>
        <v>27</v>
      </c>
      <c r="N442" s="6" t="str">
        <f aca="false">IF(K442&gt;1,"Yes","No")</f>
        <v>Yes</v>
      </c>
      <c r="O442" s="6" t="s">
        <v>46</v>
      </c>
    </row>
    <row r="443" customFormat="false" ht="15" hidden="false" customHeight="false" outlineLevel="0" collapsed="false">
      <c r="A443" s="6" t="s">
        <v>995</v>
      </c>
      <c r="B443" s="6" t="s">
        <v>996</v>
      </c>
      <c r="C443" s="6" t="s">
        <v>85</v>
      </c>
      <c r="D443" s="6" t="n">
        <v>18</v>
      </c>
      <c r="E443" s="6" t="s">
        <v>264</v>
      </c>
      <c r="F443" s="6" t="s">
        <v>106</v>
      </c>
      <c r="G443" s="26" t="n">
        <v>45979</v>
      </c>
      <c r="H443" s="6" t="s">
        <v>78</v>
      </c>
      <c r="I443" s="26" t="n">
        <f aca="false">_xlfn.MINIFS(Transaction!$C$2:$C$8421,Transaction!$B$2:$B$8421,A443)</f>
        <v>46063</v>
      </c>
      <c r="J443" s="26" t="n">
        <f aca="false">_xlfn.MAXIFS(Transaction!$C$2:$C$8421,Transaction!$B$2:$B$8421,A443)</f>
        <v>46202</v>
      </c>
      <c r="K443" s="6" t="n">
        <f aca="false">COUNTIF(Transaction!$B$2:$B$8421,A443)</f>
        <v>5</v>
      </c>
      <c r="L443" s="10" t="n">
        <f aca="false">SUMIF(Transaction!$B$2:$B$8421,A443,Transaction!$H$2:$H$8421)</f>
        <v>7086</v>
      </c>
      <c r="M443" s="6" t="n">
        <f aca="false">Summary!$B$3-J443</f>
        <v>64</v>
      </c>
      <c r="N443" s="6" t="str">
        <f aca="false">IF(K443&gt;1,"Yes","No")</f>
        <v>Yes</v>
      </c>
      <c r="O443" s="6" t="s">
        <v>46</v>
      </c>
    </row>
    <row r="444" customFormat="false" ht="15" hidden="false" customHeight="false" outlineLevel="0" collapsed="false">
      <c r="A444" s="6" t="s">
        <v>997</v>
      </c>
      <c r="B444" s="6" t="s">
        <v>998</v>
      </c>
      <c r="C444" s="6" t="s">
        <v>75</v>
      </c>
      <c r="D444" s="6" t="n">
        <v>41</v>
      </c>
      <c r="E444" s="6" t="s">
        <v>95</v>
      </c>
      <c r="F444" s="6" t="s">
        <v>95</v>
      </c>
      <c r="G444" s="26" t="n">
        <v>45954</v>
      </c>
      <c r="H444" s="6" t="s">
        <v>115</v>
      </c>
      <c r="I444" s="26" t="n">
        <f aca="false">_xlfn.MINIFS(Transaction!$C$2:$C$8421,Transaction!$B$2:$B$8421,A444)</f>
        <v>46027</v>
      </c>
      <c r="J444" s="26" t="n">
        <f aca="false">_xlfn.MAXIFS(Transaction!$C$2:$C$8421,Transaction!$B$2:$B$8421,A444)</f>
        <v>46255</v>
      </c>
      <c r="K444" s="6" t="n">
        <f aca="false">COUNTIF(Transaction!$B$2:$B$8421,A444)</f>
        <v>8</v>
      </c>
      <c r="L444" s="10" t="n">
        <f aca="false">SUMIF(Transaction!$B$2:$B$8421,A444,Transaction!$H$2:$H$8421)</f>
        <v>52890</v>
      </c>
      <c r="M444" s="6" t="n">
        <f aca="false">Summary!$B$3-J444</f>
        <v>11</v>
      </c>
      <c r="N444" s="6" t="str">
        <f aca="false">IF(K444&gt;1,"Yes","No")</f>
        <v>Yes</v>
      </c>
      <c r="O444" s="6" t="s">
        <v>45</v>
      </c>
    </row>
    <row r="445" customFormat="false" ht="15" hidden="false" customHeight="false" outlineLevel="0" collapsed="false">
      <c r="A445" s="6" t="s">
        <v>999</v>
      </c>
      <c r="B445" s="6" t="s">
        <v>1000</v>
      </c>
      <c r="C445" s="6" t="s">
        <v>75</v>
      </c>
      <c r="D445" s="6" t="n">
        <v>26</v>
      </c>
      <c r="E445" s="6" t="s">
        <v>121</v>
      </c>
      <c r="F445" s="6" t="s">
        <v>122</v>
      </c>
      <c r="G445" s="26" t="n">
        <v>46194</v>
      </c>
      <c r="H445" s="6" t="s">
        <v>92</v>
      </c>
      <c r="I445" s="26" t="n">
        <f aca="false">_xlfn.MINIFS(Transaction!$C$2:$C$8421,Transaction!$B$2:$B$8421,A445)</f>
        <v>46218</v>
      </c>
      <c r="J445" s="26" t="n">
        <f aca="false">_xlfn.MAXIFS(Transaction!$C$2:$C$8421,Transaction!$B$2:$B$8421,A445)</f>
        <v>46218</v>
      </c>
      <c r="K445" s="6" t="n">
        <f aca="false">COUNTIF(Transaction!$B$2:$B$8421,A445)</f>
        <v>1</v>
      </c>
      <c r="L445" s="10" t="n">
        <f aca="false">SUMIF(Transaction!$B$2:$B$8421,A445,Transaction!$H$2:$H$8421)</f>
        <v>650</v>
      </c>
      <c r="M445" s="6" t="n">
        <f aca="false">Summary!$B$3-J445</f>
        <v>48</v>
      </c>
      <c r="N445" s="6" t="str">
        <f aca="false">IF(K445&gt;1,"Yes","No")</f>
        <v>No</v>
      </c>
      <c r="O445" s="6" t="s">
        <v>47</v>
      </c>
    </row>
    <row r="446" customFormat="false" ht="15" hidden="false" customHeight="false" outlineLevel="0" collapsed="false">
      <c r="A446" s="6" t="s">
        <v>1001</v>
      </c>
      <c r="B446" s="6" t="s">
        <v>1002</v>
      </c>
      <c r="C446" s="6" t="s">
        <v>85</v>
      </c>
      <c r="D446" s="6" t="n">
        <v>35</v>
      </c>
      <c r="E446" s="6" t="s">
        <v>237</v>
      </c>
      <c r="F446" s="6" t="s">
        <v>87</v>
      </c>
      <c r="G446" s="26" t="n">
        <v>46046</v>
      </c>
      <c r="H446" s="6" t="s">
        <v>78</v>
      </c>
      <c r="I446" s="26" t="n">
        <f aca="false">_xlfn.MINIFS(Transaction!$C$2:$C$8421,Transaction!$B$2:$B$8421,A446)</f>
        <v>46092</v>
      </c>
      <c r="J446" s="26" t="n">
        <f aca="false">_xlfn.MAXIFS(Transaction!$C$2:$C$8421,Transaction!$B$2:$B$8421,A446)</f>
        <v>46245</v>
      </c>
      <c r="K446" s="6" t="n">
        <f aca="false">COUNTIF(Transaction!$B$2:$B$8421,A446)</f>
        <v>11</v>
      </c>
      <c r="L446" s="10" t="n">
        <f aca="false">SUMIF(Transaction!$B$2:$B$8421,A446,Transaction!$H$2:$H$8421)</f>
        <v>19961</v>
      </c>
      <c r="M446" s="6" t="n">
        <f aca="false">Summary!$B$3-J446</f>
        <v>21</v>
      </c>
      <c r="N446" s="6" t="str">
        <f aca="false">IF(K446&gt;1,"Yes","No")</f>
        <v>Yes</v>
      </c>
      <c r="O446" s="6" t="s">
        <v>45</v>
      </c>
    </row>
    <row r="447" customFormat="false" ht="15" hidden="false" customHeight="false" outlineLevel="0" collapsed="false">
      <c r="A447" s="6" t="s">
        <v>1003</v>
      </c>
      <c r="B447" s="6" t="s">
        <v>1004</v>
      </c>
      <c r="C447" s="6" t="s">
        <v>85</v>
      </c>
      <c r="D447" s="6" t="n">
        <v>44</v>
      </c>
      <c r="E447" s="6" t="s">
        <v>81</v>
      </c>
      <c r="F447" s="6" t="s">
        <v>82</v>
      </c>
      <c r="G447" s="26" t="n">
        <v>46209</v>
      </c>
      <c r="H447" s="6" t="s">
        <v>115</v>
      </c>
      <c r="I447" s="26" t="n">
        <f aca="false">_xlfn.MINIFS(Transaction!$C$2:$C$8421,Transaction!$B$2:$B$8421,A447)</f>
        <v>46218</v>
      </c>
      <c r="J447" s="26" t="n">
        <f aca="false">_xlfn.MAXIFS(Transaction!$C$2:$C$8421,Transaction!$B$2:$B$8421,A447)</f>
        <v>46218</v>
      </c>
      <c r="K447" s="6" t="n">
        <f aca="false">COUNTIF(Transaction!$B$2:$B$8421,A447)</f>
        <v>1</v>
      </c>
      <c r="L447" s="10" t="n">
        <f aca="false">SUMIF(Transaction!$B$2:$B$8421,A447,Transaction!$H$2:$H$8421)</f>
        <v>782</v>
      </c>
      <c r="M447" s="6" t="n">
        <f aca="false">Summary!$B$3-J447</f>
        <v>48</v>
      </c>
      <c r="N447" s="6" t="str">
        <f aca="false">IF(K447&gt;1,"Yes","No")</f>
        <v>No</v>
      </c>
      <c r="O447" s="6" t="s">
        <v>47</v>
      </c>
    </row>
    <row r="448" customFormat="false" ht="15" hidden="false" customHeight="false" outlineLevel="0" collapsed="false">
      <c r="A448" s="6" t="s">
        <v>1005</v>
      </c>
      <c r="B448" s="6" t="s">
        <v>1006</v>
      </c>
      <c r="C448" s="6" t="s">
        <v>75</v>
      </c>
      <c r="D448" s="6" t="n">
        <v>42</v>
      </c>
      <c r="E448" s="6" t="s">
        <v>180</v>
      </c>
      <c r="F448" s="6" t="s">
        <v>181</v>
      </c>
      <c r="G448" s="26" t="n">
        <v>45964</v>
      </c>
      <c r="H448" s="6" t="s">
        <v>78</v>
      </c>
      <c r="I448" s="26" t="n">
        <f aca="false">_xlfn.MINIFS(Transaction!$C$2:$C$8421,Transaction!$B$2:$B$8421,A448)</f>
        <v>46029</v>
      </c>
      <c r="J448" s="26" t="n">
        <f aca="false">_xlfn.MAXIFS(Transaction!$C$2:$C$8421,Transaction!$B$2:$B$8421,A448)</f>
        <v>46244</v>
      </c>
      <c r="K448" s="6" t="n">
        <f aca="false">COUNTIF(Transaction!$B$2:$B$8421,A448)</f>
        <v>2</v>
      </c>
      <c r="L448" s="10" t="n">
        <f aca="false">SUMIF(Transaction!$B$2:$B$8421,A448,Transaction!$H$2:$H$8421)</f>
        <v>1567</v>
      </c>
      <c r="M448" s="6" t="n">
        <f aca="false">Summary!$B$3-J448</f>
        <v>22</v>
      </c>
      <c r="N448" s="6" t="str">
        <f aca="false">IF(K448&gt;1,"Yes","No")</f>
        <v>Yes</v>
      </c>
      <c r="O448" s="6" t="s">
        <v>46</v>
      </c>
    </row>
    <row r="449" customFormat="false" ht="15" hidden="false" customHeight="false" outlineLevel="0" collapsed="false">
      <c r="A449" s="6" t="s">
        <v>1007</v>
      </c>
      <c r="B449" s="6" t="s">
        <v>1008</v>
      </c>
      <c r="C449" s="6" t="s">
        <v>85</v>
      </c>
      <c r="D449" s="6" t="n">
        <v>30</v>
      </c>
      <c r="E449" s="6" t="s">
        <v>206</v>
      </c>
      <c r="F449" s="6" t="s">
        <v>106</v>
      </c>
      <c r="G449" s="26" t="n">
        <v>46138</v>
      </c>
      <c r="H449" s="6" t="s">
        <v>123</v>
      </c>
      <c r="I449" s="26" t="n">
        <f aca="false">_xlfn.MINIFS(Transaction!$C$2:$C$8421,Transaction!$B$2:$B$8421,A449)</f>
        <v>46175</v>
      </c>
      <c r="J449" s="26" t="n">
        <f aca="false">_xlfn.MAXIFS(Transaction!$C$2:$C$8421,Transaction!$B$2:$B$8421,A449)</f>
        <v>46175</v>
      </c>
      <c r="K449" s="6" t="n">
        <f aca="false">COUNTIF(Transaction!$B$2:$B$8421,A449)</f>
        <v>1</v>
      </c>
      <c r="L449" s="10" t="n">
        <f aca="false">SUMIF(Transaction!$B$2:$B$8421,A449,Transaction!$H$2:$H$8421)</f>
        <v>707</v>
      </c>
      <c r="M449" s="6" t="n">
        <f aca="false">Summary!$B$3-J449</f>
        <v>91</v>
      </c>
      <c r="N449" s="6" t="str">
        <f aca="false">IF(K449&gt;1,"Yes","No")</f>
        <v>No</v>
      </c>
      <c r="O449" s="6" t="s">
        <v>47</v>
      </c>
    </row>
    <row r="450" customFormat="false" ht="15" hidden="false" customHeight="false" outlineLevel="0" collapsed="false">
      <c r="A450" s="6" t="s">
        <v>1009</v>
      </c>
      <c r="B450" s="6" t="s">
        <v>1010</v>
      </c>
      <c r="C450" s="6" t="s">
        <v>85</v>
      </c>
      <c r="D450" s="6" t="n">
        <v>35</v>
      </c>
      <c r="E450" s="6" t="s">
        <v>146</v>
      </c>
      <c r="F450" s="6" t="s">
        <v>147</v>
      </c>
      <c r="G450" s="26" t="n">
        <v>46195</v>
      </c>
      <c r="H450" s="6" t="s">
        <v>115</v>
      </c>
      <c r="I450" s="26" t="n">
        <f aca="false">_xlfn.MINIFS(Transaction!$C$2:$C$8421,Transaction!$B$2:$B$8421,A450)</f>
        <v>46241</v>
      </c>
      <c r="J450" s="26" t="n">
        <f aca="false">_xlfn.MAXIFS(Transaction!$C$2:$C$8421,Transaction!$B$2:$B$8421,A450)</f>
        <v>46241</v>
      </c>
      <c r="K450" s="6" t="n">
        <f aca="false">COUNTIF(Transaction!$B$2:$B$8421,A450)</f>
        <v>1</v>
      </c>
      <c r="L450" s="10" t="n">
        <f aca="false">SUMIF(Transaction!$B$2:$B$8421,A450,Transaction!$H$2:$H$8421)</f>
        <v>22434</v>
      </c>
      <c r="M450" s="6" t="n">
        <f aca="false">Summary!$B$3-J450</f>
        <v>25</v>
      </c>
      <c r="N450" s="6" t="str">
        <f aca="false">IF(K450&gt;1,"Yes","No")</f>
        <v>No</v>
      </c>
      <c r="O450" s="6" t="s">
        <v>47</v>
      </c>
    </row>
    <row r="451" customFormat="false" ht="15" hidden="false" customHeight="false" outlineLevel="0" collapsed="false">
      <c r="A451" s="6" t="s">
        <v>1011</v>
      </c>
      <c r="B451" s="6" t="s">
        <v>1012</v>
      </c>
      <c r="C451" s="6" t="s">
        <v>75</v>
      </c>
      <c r="D451" s="6" t="n">
        <v>33</v>
      </c>
      <c r="E451" s="6" t="s">
        <v>264</v>
      </c>
      <c r="F451" s="6" t="s">
        <v>106</v>
      </c>
      <c r="G451" s="26" t="n">
        <v>46158</v>
      </c>
      <c r="H451" s="6" t="s">
        <v>123</v>
      </c>
      <c r="I451" s="26" t="n">
        <f aca="false">_xlfn.MINIFS(Transaction!$C$2:$C$8421,Transaction!$B$2:$B$8421,A451)</f>
        <v>46172</v>
      </c>
      <c r="J451" s="26" t="n">
        <f aca="false">_xlfn.MAXIFS(Transaction!$C$2:$C$8421,Transaction!$B$2:$B$8421,A451)</f>
        <v>46253</v>
      </c>
      <c r="K451" s="6" t="n">
        <f aca="false">COUNTIF(Transaction!$B$2:$B$8421,A451)</f>
        <v>8</v>
      </c>
      <c r="L451" s="10" t="n">
        <f aca="false">SUMIF(Transaction!$B$2:$B$8421,A451,Transaction!$H$2:$H$8421)</f>
        <v>11876</v>
      </c>
      <c r="M451" s="6" t="n">
        <f aca="false">Summary!$B$3-J451</f>
        <v>13</v>
      </c>
      <c r="N451" s="6" t="str">
        <f aca="false">IF(K451&gt;1,"Yes","No")</f>
        <v>Yes</v>
      </c>
      <c r="O451" s="6" t="s">
        <v>45</v>
      </c>
    </row>
    <row r="452" customFormat="false" ht="15" hidden="false" customHeight="false" outlineLevel="0" collapsed="false">
      <c r="A452" s="6" t="s">
        <v>1013</v>
      </c>
      <c r="B452" s="6" t="s">
        <v>1014</v>
      </c>
      <c r="C452" s="6" t="s">
        <v>75</v>
      </c>
      <c r="D452" s="6" t="n">
        <v>22</v>
      </c>
      <c r="E452" s="6" t="s">
        <v>126</v>
      </c>
      <c r="F452" s="6" t="s">
        <v>127</v>
      </c>
      <c r="G452" s="26" t="n">
        <v>45997</v>
      </c>
      <c r="H452" s="6" t="s">
        <v>102</v>
      </c>
      <c r="I452" s="26" t="n">
        <f aca="false">_xlfn.MINIFS(Transaction!$C$2:$C$8421,Transaction!$B$2:$B$8421,A452)</f>
        <v>46072</v>
      </c>
      <c r="J452" s="26" t="n">
        <f aca="false">_xlfn.MAXIFS(Transaction!$C$2:$C$8421,Transaction!$B$2:$B$8421,A452)</f>
        <v>46222</v>
      </c>
      <c r="K452" s="6" t="n">
        <f aca="false">COUNTIF(Transaction!$B$2:$B$8421,A452)</f>
        <v>7</v>
      </c>
      <c r="L452" s="10" t="n">
        <f aca="false">SUMIF(Transaction!$B$2:$B$8421,A452,Transaction!$H$2:$H$8421)</f>
        <v>11813</v>
      </c>
      <c r="M452" s="6" t="n">
        <f aca="false">Summary!$B$3-J452</f>
        <v>44</v>
      </c>
      <c r="N452" s="6" t="str">
        <f aca="false">IF(K452&gt;1,"Yes","No")</f>
        <v>Yes</v>
      </c>
      <c r="O452" s="6" t="s">
        <v>46</v>
      </c>
    </row>
    <row r="453" customFormat="false" ht="15" hidden="false" customHeight="false" outlineLevel="0" collapsed="false">
      <c r="A453" s="6" t="s">
        <v>1015</v>
      </c>
      <c r="B453" s="6" t="s">
        <v>1016</v>
      </c>
      <c r="C453" s="6" t="s">
        <v>75</v>
      </c>
      <c r="D453" s="6" t="n">
        <v>47</v>
      </c>
      <c r="E453" s="6" t="s">
        <v>95</v>
      </c>
      <c r="F453" s="6" t="s">
        <v>95</v>
      </c>
      <c r="G453" s="26" t="n">
        <v>46013</v>
      </c>
      <c r="H453" s="6" t="s">
        <v>102</v>
      </c>
      <c r="I453" s="26" t="n">
        <f aca="false">_xlfn.MINIFS(Transaction!$C$2:$C$8421,Transaction!$B$2:$B$8421,A453)</f>
        <v>46027</v>
      </c>
      <c r="J453" s="26" t="n">
        <f aca="false">_xlfn.MAXIFS(Transaction!$C$2:$C$8421,Transaction!$B$2:$B$8421,A453)</f>
        <v>46254</v>
      </c>
      <c r="K453" s="6" t="n">
        <f aca="false">COUNTIF(Transaction!$B$2:$B$8421,A453)</f>
        <v>10</v>
      </c>
      <c r="L453" s="10" t="n">
        <f aca="false">SUMIF(Transaction!$B$2:$B$8421,A453,Transaction!$H$2:$H$8421)</f>
        <v>10856</v>
      </c>
      <c r="M453" s="6" t="n">
        <f aca="false">Summary!$B$3-J453</f>
        <v>12</v>
      </c>
      <c r="N453" s="6" t="str">
        <f aca="false">IF(K453&gt;1,"Yes","No")</f>
        <v>Yes</v>
      </c>
      <c r="O453" s="6" t="s">
        <v>45</v>
      </c>
    </row>
    <row r="454" customFormat="false" ht="15" hidden="false" customHeight="false" outlineLevel="0" collapsed="false">
      <c r="A454" s="6" t="s">
        <v>1017</v>
      </c>
      <c r="B454" s="6" t="s">
        <v>1018</v>
      </c>
      <c r="C454" s="6" t="s">
        <v>85</v>
      </c>
      <c r="D454" s="6" t="n">
        <v>18</v>
      </c>
      <c r="E454" s="6" t="s">
        <v>321</v>
      </c>
      <c r="F454" s="6" t="s">
        <v>321</v>
      </c>
      <c r="G454" s="26" t="n">
        <v>45991</v>
      </c>
      <c r="H454" s="6" t="s">
        <v>78</v>
      </c>
      <c r="I454" s="26" t="n">
        <f aca="false">_xlfn.MINIFS(Transaction!$C$2:$C$8421,Transaction!$B$2:$B$8421,A454)</f>
        <v>46044</v>
      </c>
      <c r="J454" s="26" t="n">
        <f aca="false">_xlfn.MAXIFS(Transaction!$C$2:$C$8421,Transaction!$B$2:$B$8421,A454)</f>
        <v>46260</v>
      </c>
      <c r="K454" s="6" t="n">
        <f aca="false">COUNTIF(Transaction!$B$2:$B$8421,A454)</f>
        <v>10</v>
      </c>
      <c r="L454" s="10" t="n">
        <f aca="false">SUMIF(Transaction!$B$2:$B$8421,A454,Transaction!$H$2:$H$8421)</f>
        <v>18152</v>
      </c>
      <c r="M454" s="6" t="n">
        <f aca="false">Summary!$B$3-J454</f>
        <v>6</v>
      </c>
      <c r="N454" s="6" t="str">
        <f aca="false">IF(K454&gt;1,"Yes","No")</f>
        <v>Yes</v>
      </c>
      <c r="O454" s="6" t="s">
        <v>45</v>
      </c>
    </row>
    <row r="455" customFormat="false" ht="15" hidden="false" customHeight="false" outlineLevel="0" collapsed="false">
      <c r="A455" s="6" t="s">
        <v>1019</v>
      </c>
      <c r="B455" s="6" t="s">
        <v>1020</v>
      </c>
      <c r="C455" s="6" t="s">
        <v>75</v>
      </c>
      <c r="D455" s="6" t="n">
        <v>32</v>
      </c>
      <c r="E455" s="6" t="s">
        <v>76</v>
      </c>
      <c r="F455" s="6" t="s">
        <v>77</v>
      </c>
      <c r="G455" s="26" t="n">
        <v>46060</v>
      </c>
      <c r="H455" s="6" t="s">
        <v>78</v>
      </c>
      <c r="I455" s="26" t="n">
        <f aca="false">_xlfn.MINIFS(Transaction!$C$2:$C$8421,Transaction!$B$2:$B$8421,A455)</f>
        <v>46109</v>
      </c>
      <c r="J455" s="26" t="n">
        <f aca="false">_xlfn.MAXIFS(Transaction!$C$2:$C$8421,Transaction!$B$2:$B$8421,A455)</f>
        <v>46109</v>
      </c>
      <c r="K455" s="6" t="n">
        <f aca="false">COUNTIF(Transaction!$B$2:$B$8421,A455)</f>
        <v>1</v>
      </c>
      <c r="L455" s="10" t="n">
        <f aca="false">SUMIF(Transaction!$B$2:$B$8421,A455,Transaction!$H$2:$H$8421)</f>
        <v>457</v>
      </c>
      <c r="M455" s="6" t="n">
        <f aca="false">Summary!$B$3-J455</f>
        <v>157</v>
      </c>
      <c r="N455" s="6" t="str">
        <f aca="false">IF(K455&gt;1,"Yes","No")</f>
        <v>No</v>
      </c>
      <c r="O455" s="6" t="s">
        <v>49</v>
      </c>
    </row>
    <row r="456" customFormat="false" ht="15" hidden="false" customHeight="false" outlineLevel="0" collapsed="false">
      <c r="A456" s="6" t="s">
        <v>1021</v>
      </c>
      <c r="B456" s="6" t="s">
        <v>1022</v>
      </c>
      <c r="C456" s="6" t="s">
        <v>75</v>
      </c>
      <c r="D456" s="6" t="n">
        <v>40</v>
      </c>
      <c r="E456" s="6" t="s">
        <v>95</v>
      </c>
      <c r="F456" s="6" t="s">
        <v>95</v>
      </c>
      <c r="G456" s="26" t="n">
        <v>46022</v>
      </c>
      <c r="H456" s="6" t="s">
        <v>123</v>
      </c>
      <c r="I456" s="26" t="n">
        <f aca="false">_xlfn.MINIFS(Transaction!$C$2:$C$8421,Transaction!$B$2:$B$8421,A456)</f>
        <v>46024</v>
      </c>
      <c r="J456" s="26" t="n">
        <f aca="false">_xlfn.MAXIFS(Transaction!$C$2:$C$8421,Transaction!$B$2:$B$8421,A456)</f>
        <v>46024</v>
      </c>
      <c r="K456" s="6" t="n">
        <f aca="false">COUNTIF(Transaction!$B$2:$B$8421,A456)</f>
        <v>1</v>
      </c>
      <c r="L456" s="10" t="n">
        <f aca="false">SUMIF(Transaction!$B$2:$B$8421,A456,Transaction!$H$2:$H$8421)</f>
        <v>349</v>
      </c>
      <c r="M456" s="6" t="n">
        <f aca="false">Summary!$B$3-J456</f>
        <v>242</v>
      </c>
      <c r="N456" s="6" t="str">
        <f aca="false">IF(K456&gt;1,"Yes","No")</f>
        <v>No</v>
      </c>
      <c r="O456" s="6" t="s">
        <v>49</v>
      </c>
    </row>
    <row r="457" customFormat="false" ht="15" hidden="false" customHeight="false" outlineLevel="0" collapsed="false">
      <c r="A457" s="6" t="s">
        <v>1023</v>
      </c>
      <c r="B457" s="6" t="s">
        <v>1024</v>
      </c>
      <c r="C457" s="6" t="s">
        <v>75</v>
      </c>
      <c r="D457" s="6" t="n">
        <v>26</v>
      </c>
      <c r="E457" s="6" t="s">
        <v>76</v>
      </c>
      <c r="F457" s="6" t="s">
        <v>77</v>
      </c>
      <c r="G457" s="26" t="n">
        <v>45962</v>
      </c>
      <c r="H457" s="6" t="s">
        <v>115</v>
      </c>
      <c r="I457" s="26" t="n">
        <f aca="false">_xlfn.MINIFS(Transaction!$C$2:$C$8421,Transaction!$B$2:$B$8421,A457)</f>
        <v>46047</v>
      </c>
      <c r="J457" s="26" t="n">
        <f aca="false">_xlfn.MAXIFS(Transaction!$C$2:$C$8421,Transaction!$B$2:$B$8421,A457)</f>
        <v>46183</v>
      </c>
      <c r="K457" s="6" t="n">
        <f aca="false">COUNTIF(Transaction!$B$2:$B$8421,A457)</f>
        <v>2</v>
      </c>
      <c r="L457" s="10" t="n">
        <f aca="false">SUMIF(Transaction!$B$2:$B$8421,A457,Transaction!$H$2:$H$8421)</f>
        <v>14245</v>
      </c>
      <c r="M457" s="6" t="n">
        <f aca="false">Summary!$B$3-J457</f>
        <v>83</v>
      </c>
      <c r="N457" s="6" t="str">
        <f aca="false">IF(K457&gt;1,"Yes","No")</f>
        <v>Yes</v>
      </c>
      <c r="O457" s="6" t="s">
        <v>46</v>
      </c>
    </row>
    <row r="458" customFormat="false" ht="15" hidden="false" customHeight="false" outlineLevel="0" collapsed="false">
      <c r="A458" s="6" t="s">
        <v>1025</v>
      </c>
      <c r="B458" s="6" t="s">
        <v>1026</v>
      </c>
      <c r="C458" s="6" t="s">
        <v>85</v>
      </c>
      <c r="D458" s="6" t="n">
        <v>35</v>
      </c>
      <c r="E458" s="6" t="s">
        <v>146</v>
      </c>
      <c r="F458" s="6" t="s">
        <v>147</v>
      </c>
      <c r="G458" s="26" t="n">
        <v>46092</v>
      </c>
      <c r="H458" s="6" t="s">
        <v>92</v>
      </c>
      <c r="I458" s="26" t="n">
        <f aca="false">_xlfn.MINIFS(Transaction!$C$2:$C$8421,Transaction!$B$2:$B$8421,A458)</f>
        <v>46135</v>
      </c>
      <c r="J458" s="26" t="n">
        <f aca="false">_xlfn.MAXIFS(Transaction!$C$2:$C$8421,Transaction!$B$2:$B$8421,A458)</f>
        <v>46135</v>
      </c>
      <c r="K458" s="6" t="n">
        <f aca="false">COUNTIF(Transaction!$B$2:$B$8421,A458)</f>
        <v>1</v>
      </c>
      <c r="L458" s="10" t="n">
        <f aca="false">SUMIF(Transaction!$B$2:$B$8421,A458,Transaction!$H$2:$H$8421)</f>
        <v>2440</v>
      </c>
      <c r="M458" s="6" t="n">
        <f aca="false">Summary!$B$3-J458</f>
        <v>131</v>
      </c>
      <c r="N458" s="6" t="str">
        <f aca="false">IF(K458&gt;1,"Yes","No")</f>
        <v>No</v>
      </c>
      <c r="O458" s="6" t="s">
        <v>48</v>
      </c>
    </row>
    <row r="459" customFormat="false" ht="15" hidden="false" customHeight="false" outlineLevel="0" collapsed="false">
      <c r="A459" s="6" t="s">
        <v>1027</v>
      </c>
      <c r="B459" s="6" t="s">
        <v>1028</v>
      </c>
      <c r="C459" s="6" t="s">
        <v>75</v>
      </c>
      <c r="D459" s="6" t="n">
        <v>29</v>
      </c>
      <c r="E459" s="6" t="s">
        <v>95</v>
      </c>
      <c r="F459" s="6" t="s">
        <v>95</v>
      </c>
      <c r="G459" s="26" t="n">
        <v>46059</v>
      </c>
      <c r="H459" s="6" t="s">
        <v>102</v>
      </c>
      <c r="I459" s="26" t="n">
        <f aca="false">_xlfn.MINIFS(Transaction!$C$2:$C$8421,Transaction!$B$2:$B$8421,A459)</f>
        <v>46085</v>
      </c>
      <c r="J459" s="26" t="n">
        <f aca="false">_xlfn.MAXIFS(Transaction!$C$2:$C$8421,Transaction!$B$2:$B$8421,A459)</f>
        <v>46253</v>
      </c>
      <c r="K459" s="6" t="n">
        <f aca="false">COUNTIF(Transaction!$B$2:$B$8421,A459)</f>
        <v>7</v>
      </c>
      <c r="L459" s="10" t="n">
        <f aca="false">SUMIF(Transaction!$B$2:$B$8421,A459,Transaction!$H$2:$H$8421)</f>
        <v>9502</v>
      </c>
      <c r="M459" s="6" t="n">
        <f aca="false">Summary!$B$3-J459</f>
        <v>13</v>
      </c>
      <c r="N459" s="6" t="str">
        <f aca="false">IF(K459&gt;1,"Yes","No")</f>
        <v>Yes</v>
      </c>
      <c r="O459" s="6" t="s">
        <v>45</v>
      </c>
    </row>
    <row r="460" customFormat="false" ht="15" hidden="false" customHeight="false" outlineLevel="0" collapsed="false">
      <c r="A460" s="6" t="s">
        <v>1029</v>
      </c>
      <c r="B460" s="6" t="s">
        <v>1030</v>
      </c>
      <c r="C460" s="6" t="s">
        <v>75</v>
      </c>
      <c r="D460" s="6" t="n">
        <v>32</v>
      </c>
      <c r="E460" s="6" t="s">
        <v>81</v>
      </c>
      <c r="F460" s="6" t="s">
        <v>82</v>
      </c>
      <c r="G460" s="26" t="n">
        <v>46146</v>
      </c>
      <c r="H460" s="6" t="s">
        <v>92</v>
      </c>
      <c r="I460" s="26" t="n">
        <f aca="false">_xlfn.MINIFS(Transaction!$C$2:$C$8421,Transaction!$B$2:$B$8421,A460)</f>
        <v>46186</v>
      </c>
      <c r="J460" s="26" t="n">
        <f aca="false">_xlfn.MAXIFS(Transaction!$C$2:$C$8421,Transaction!$B$2:$B$8421,A460)</f>
        <v>46256</v>
      </c>
      <c r="K460" s="6" t="n">
        <f aca="false">COUNTIF(Transaction!$B$2:$B$8421,A460)</f>
        <v>2</v>
      </c>
      <c r="L460" s="10" t="n">
        <f aca="false">SUMIF(Transaction!$B$2:$B$8421,A460,Transaction!$H$2:$H$8421)</f>
        <v>2447</v>
      </c>
      <c r="M460" s="6" t="n">
        <f aca="false">Summary!$B$3-J460</f>
        <v>10</v>
      </c>
      <c r="N460" s="6" t="str">
        <f aca="false">IF(K460&gt;1,"Yes","No")</f>
        <v>Yes</v>
      </c>
      <c r="O460" s="6" t="s">
        <v>46</v>
      </c>
    </row>
    <row r="461" customFormat="false" ht="15" hidden="false" customHeight="false" outlineLevel="0" collapsed="false">
      <c r="A461" s="6" t="s">
        <v>1031</v>
      </c>
      <c r="B461" s="6" t="s">
        <v>1032</v>
      </c>
      <c r="C461" s="6" t="s">
        <v>75</v>
      </c>
      <c r="D461" s="6" t="n">
        <v>34</v>
      </c>
      <c r="E461" s="6" t="s">
        <v>76</v>
      </c>
      <c r="F461" s="6" t="s">
        <v>77</v>
      </c>
      <c r="G461" s="26" t="n">
        <v>45944</v>
      </c>
      <c r="H461" s="6" t="s">
        <v>78</v>
      </c>
      <c r="I461" s="26" t="n">
        <f aca="false">_xlfn.MINIFS(Transaction!$C$2:$C$8421,Transaction!$B$2:$B$8421,A461)</f>
        <v>46030</v>
      </c>
      <c r="J461" s="26" t="n">
        <f aca="false">_xlfn.MAXIFS(Transaction!$C$2:$C$8421,Transaction!$B$2:$B$8421,A461)</f>
        <v>46260</v>
      </c>
      <c r="K461" s="6" t="n">
        <f aca="false">COUNTIF(Transaction!$B$2:$B$8421,A461)</f>
        <v>8</v>
      </c>
      <c r="L461" s="10" t="n">
        <f aca="false">SUMIF(Transaction!$B$2:$B$8421,A461,Transaction!$H$2:$H$8421)</f>
        <v>15701</v>
      </c>
      <c r="M461" s="6" t="n">
        <f aca="false">Summary!$B$3-J461</f>
        <v>6</v>
      </c>
      <c r="N461" s="6" t="str">
        <f aca="false">IF(K461&gt;1,"Yes","No")</f>
        <v>Yes</v>
      </c>
      <c r="O461" s="6" t="s">
        <v>45</v>
      </c>
    </row>
    <row r="462" customFormat="false" ht="15" hidden="false" customHeight="false" outlineLevel="0" collapsed="false">
      <c r="A462" s="6" t="s">
        <v>1033</v>
      </c>
      <c r="B462" s="6" t="s">
        <v>1034</v>
      </c>
      <c r="C462" s="6" t="s">
        <v>85</v>
      </c>
      <c r="D462" s="6" t="n">
        <v>42</v>
      </c>
      <c r="E462" s="6" t="s">
        <v>91</v>
      </c>
      <c r="F462" s="6" t="s">
        <v>77</v>
      </c>
      <c r="G462" s="26" t="n">
        <v>46121</v>
      </c>
      <c r="H462" s="6" t="s">
        <v>102</v>
      </c>
      <c r="I462" s="26" t="n">
        <f aca="false">_xlfn.MINIFS(Transaction!$C$2:$C$8421,Transaction!$B$2:$B$8421,A462)</f>
        <v>46150</v>
      </c>
      <c r="J462" s="26" t="n">
        <f aca="false">_xlfn.MAXIFS(Transaction!$C$2:$C$8421,Transaction!$B$2:$B$8421,A462)</f>
        <v>46150</v>
      </c>
      <c r="K462" s="6" t="n">
        <f aca="false">COUNTIF(Transaction!$B$2:$B$8421,A462)</f>
        <v>1</v>
      </c>
      <c r="L462" s="10" t="n">
        <f aca="false">SUMIF(Transaction!$B$2:$B$8421,A462,Transaction!$H$2:$H$8421)</f>
        <v>490</v>
      </c>
      <c r="M462" s="6" t="n">
        <f aca="false">Summary!$B$3-J462</f>
        <v>116</v>
      </c>
      <c r="N462" s="6" t="str">
        <f aca="false">IF(K462&gt;1,"Yes","No")</f>
        <v>No</v>
      </c>
      <c r="O462" s="6" t="s">
        <v>48</v>
      </c>
    </row>
    <row r="463" customFormat="false" ht="15" hidden="false" customHeight="false" outlineLevel="0" collapsed="false">
      <c r="A463" s="6" t="s">
        <v>1035</v>
      </c>
      <c r="B463" s="6" t="s">
        <v>1036</v>
      </c>
      <c r="C463" s="6" t="s">
        <v>75</v>
      </c>
      <c r="D463" s="6" t="n">
        <v>50</v>
      </c>
      <c r="E463" s="6" t="s">
        <v>121</v>
      </c>
      <c r="F463" s="6" t="s">
        <v>122</v>
      </c>
      <c r="G463" s="26" t="n">
        <v>46177</v>
      </c>
      <c r="H463" s="6" t="s">
        <v>102</v>
      </c>
      <c r="I463" s="26" t="n">
        <f aca="false">_xlfn.MINIFS(Transaction!$C$2:$C$8421,Transaction!$B$2:$B$8421,A463)</f>
        <v>46189</v>
      </c>
      <c r="J463" s="26" t="n">
        <f aca="false">_xlfn.MAXIFS(Transaction!$C$2:$C$8421,Transaction!$B$2:$B$8421,A463)</f>
        <v>46189</v>
      </c>
      <c r="K463" s="6" t="n">
        <f aca="false">COUNTIF(Transaction!$B$2:$B$8421,A463)</f>
        <v>1</v>
      </c>
      <c r="L463" s="10" t="n">
        <f aca="false">SUMIF(Transaction!$B$2:$B$8421,A463,Transaction!$H$2:$H$8421)</f>
        <v>391</v>
      </c>
      <c r="M463" s="6" t="n">
        <f aca="false">Summary!$B$3-J463</f>
        <v>77</v>
      </c>
      <c r="N463" s="6" t="str">
        <f aca="false">IF(K463&gt;1,"Yes","No")</f>
        <v>No</v>
      </c>
      <c r="O463" s="6" t="s">
        <v>47</v>
      </c>
    </row>
    <row r="464" customFormat="false" ht="15" hidden="false" customHeight="false" outlineLevel="0" collapsed="false">
      <c r="A464" s="6" t="s">
        <v>1037</v>
      </c>
      <c r="B464" s="6" t="s">
        <v>1038</v>
      </c>
      <c r="C464" s="6" t="s">
        <v>75</v>
      </c>
      <c r="D464" s="6" t="n">
        <v>21</v>
      </c>
      <c r="E464" s="6" t="s">
        <v>105</v>
      </c>
      <c r="F464" s="6" t="s">
        <v>106</v>
      </c>
      <c r="G464" s="26" t="n">
        <v>46218</v>
      </c>
      <c r="H464" s="6" t="s">
        <v>88</v>
      </c>
      <c r="I464" s="26" t="n">
        <f aca="false">_xlfn.MINIFS(Transaction!$C$2:$C$8421,Transaction!$B$2:$B$8421,A464)</f>
        <v>46250</v>
      </c>
      <c r="J464" s="26" t="n">
        <f aca="false">_xlfn.MAXIFS(Transaction!$C$2:$C$8421,Transaction!$B$2:$B$8421,A464)</f>
        <v>46250</v>
      </c>
      <c r="K464" s="6" t="n">
        <f aca="false">COUNTIF(Transaction!$B$2:$B$8421,A464)</f>
        <v>1</v>
      </c>
      <c r="L464" s="10" t="n">
        <f aca="false">SUMIF(Transaction!$B$2:$B$8421,A464,Transaction!$H$2:$H$8421)</f>
        <v>6162</v>
      </c>
      <c r="M464" s="6" t="n">
        <f aca="false">Summary!$B$3-J464</f>
        <v>16</v>
      </c>
      <c r="N464" s="6" t="str">
        <f aca="false">IF(K464&gt;1,"Yes","No")</f>
        <v>No</v>
      </c>
      <c r="O464" s="6" t="s">
        <v>47</v>
      </c>
    </row>
    <row r="465" customFormat="false" ht="15" hidden="false" customHeight="false" outlineLevel="0" collapsed="false">
      <c r="A465" s="6" t="s">
        <v>1039</v>
      </c>
      <c r="B465" s="6" t="s">
        <v>1040</v>
      </c>
      <c r="C465" s="6" t="s">
        <v>85</v>
      </c>
      <c r="D465" s="6" t="n">
        <v>36</v>
      </c>
      <c r="E465" s="6" t="s">
        <v>105</v>
      </c>
      <c r="F465" s="6" t="s">
        <v>106</v>
      </c>
      <c r="G465" s="26" t="n">
        <v>46083</v>
      </c>
      <c r="H465" s="6" t="s">
        <v>115</v>
      </c>
      <c r="I465" s="26" t="n">
        <f aca="false">_xlfn.MINIFS(Transaction!$C$2:$C$8421,Transaction!$B$2:$B$8421,A465)</f>
        <v>46113</v>
      </c>
      <c r="J465" s="26" t="n">
        <f aca="false">_xlfn.MAXIFS(Transaction!$C$2:$C$8421,Transaction!$B$2:$B$8421,A465)</f>
        <v>46199</v>
      </c>
      <c r="K465" s="6" t="n">
        <f aca="false">COUNTIF(Transaction!$B$2:$B$8421,A465)</f>
        <v>8</v>
      </c>
      <c r="L465" s="10" t="n">
        <f aca="false">SUMIF(Transaction!$B$2:$B$8421,A465,Transaction!$H$2:$H$8421)</f>
        <v>15759</v>
      </c>
      <c r="M465" s="6" t="n">
        <f aca="false">Summary!$B$3-J465</f>
        <v>67</v>
      </c>
      <c r="N465" s="6" t="str">
        <f aca="false">IF(K465&gt;1,"Yes","No")</f>
        <v>Yes</v>
      </c>
      <c r="O465" s="6" t="s">
        <v>46</v>
      </c>
    </row>
    <row r="466" customFormat="false" ht="15" hidden="false" customHeight="false" outlineLevel="0" collapsed="false">
      <c r="A466" s="6" t="s">
        <v>1041</v>
      </c>
      <c r="B466" s="6" t="s">
        <v>1042</v>
      </c>
      <c r="C466" s="6" t="s">
        <v>85</v>
      </c>
      <c r="D466" s="6" t="n">
        <v>43</v>
      </c>
      <c r="E466" s="6" t="s">
        <v>76</v>
      </c>
      <c r="F466" s="6" t="s">
        <v>77</v>
      </c>
      <c r="G466" s="26" t="n">
        <v>45962</v>
      </c>
      <c r="H466" s="6" t="s">
        <v>115</v>
      </c>
      <c r="I466" s="26" t="n">
        <f aca="false">_xlfn.MINIFS(Transaction!$C$2:$C$8421,Transaction!$B$2:$B$8421,A466)</f>
        <v>46025</v>
      </c>
      <c r="J466" s="26" t="n">
        <f aca="false">_xlfn.MAXIFS(Transaction!$C$2:$C$8421,Transaction!$B$2:$B$8421,A466)</f>
        <v>46264</v>
      </c>
      <c r="K466" s="6" t="n">
        <f aca="false">COUNTIF(Transaction!$B$2:$B$8421,A466)</f>
        <v>9</v>
      </c>
      <c r="L466" s="10" t="n">
        <f aca="false">SUMIF(Transaction!$B$2:$B$8421,A466,Transaction!$H$2:$H$8421)</f>
        <v>17211</v>
      </c>
      <c r="M466" s="6" t="n">
        <f aca="false">Summary!$B$3-J466</f>
        <v>2</v>
      </c>
      <c r="N466" s="6" t="str">
        <f aca="false">IF(K466&gt;1,"Yes","No")</f>
        <v>Yes</v>
      </c>
      <c r="O466" s="6" t="s">
        <v>45</v>
      </c>
    </row>
    <row r="467" customFormat="false" ht="15" hidden="false" customHeight="false" outlineLevel="0" collapsed="false">
      <c r="A467" s="6" t="s">
        <v>1043</v>
      </c>
      <c r="B467" s="6" t="s">
        <v>1044</v>
      </c>
      <c r="C467" s="6" t="s">
        <v>75</v>
      </c>
      <c r="D467" s="6" t="n">
        <v>28</v>
      </c>
      <c r="E467" s="6" t="s">
        <v>86</v>
      </c>
      <c r="F467" s="6" t="s">
        <v>87</v>
      </c>
      <c r="G467" s="26" t="n">
        <v>45995</v>
      </c>
      <c r="H467" s="6" t="s">
        <v>102</v>
      </c>
      <c r="I467" s="26" t="n">
        <f aca="false">_xlfn.MINIFS(Transaction!$C$2:$C$8421,Transaction!$B$2:$B$8421,A467)</f>
        <v>46048</v>
      </c>
      <c r="J467" s="26" t="n">
        <f aca="false">_xlfn.MAXIFS(Transaction!$C$2:$C$8421,Transaction!$B$2:$B$8421,A467)</f>
        <v>46249</v>
      </c>
      <c r="K467" s="6" t="n">
        <f aca="false">COUNTIF(Transaction!$B$2:$B$8421,A467)</f>
        <v>14</v>
      </c>
      <c r="L467" s="10" t="n">
        <f aca="false">SUMIF(Transaction!$B$2:$B$8421,A467,Transaction!$H$2:$H$8421)</f>
        <v>37253</v>
      </c>
      <c r="M467" s="6" t="n">
        <f aca="false">Summary!$B$3-J467</f>
        <v>17</v>
      </c>
      <c r="N467" s="6" t="str">
        <f aca="false">IF(K467&gt;1,"Yes","No")</f>
        <v>Yes</v>
      </c>
      <c r="O467" s="6" t="s">
        <v>45</v>
      </c>
    </row>
    <row r="468" customFormat="false" ht="15" hidden="false" customHeight="false" outlineLevel="0" collapsed="false">
      <c r="A468" s="6" t="s">
        <v>1045</v>
      </c>
      <c r="B468" s="6" t="s">
        <v>1046</v>
      </c>
      <c r="C468" s="6" t="s">
        <v>75</v>
      </c>
      <c r="D468" s="6" t="n">
        <v>44</v>
      </c>
      <c r="E468" s="6" t="s">
        <v>146</v>
      </c>
      <c r="F468" s="6" t="s">
        <v>147</v>
      </c>
      <c r="G468" s="26" t="n">
        <v>46038</v>
      </c>
      <c r="H468" s="6" t="s">
        <v>78</v>
      </c>
      <c r="I468" s="26" t="n">
        <f aca="false">_xlfn.MINIFS(Transaction!$C$2:$C$8421,Transaction!$B$2:$B$8421,A468)</f>
        <v>46084</v>
      </c>
      <c r="J468" s="26" t="n">
        <f aca="false">_xlfn.MAXIFS(Transaction!$C$2:$C$8421,Transaction!$B$2:$B$8421,A468)</f>
        <v>46235</v>
      </c>
      <c r="K468" s="6" t="n">
        <f aca="false">COUNTIF(Transaction!$B$2:$B$8421,A468)</f>
        <v>3</v>
      </c>
      <c r="L468" s="10" t="n">
        <f aca="false">SUMIF(Transaction!$B$2:$B$8421,A468,Transaction!$H$2:$H$8421)</f>
        <v>7540</v>
      </c>
      <c r="M468" s="6" t="n">
        <f aca="false">Summary!$B$3-J468</f>
        <v>31</v>
      </c>
      <c r="N468" s="6" t="str">
        <f aca="false">IF(K468&gt;1,"Yes","No")</f>
        <v>Yes</v>
      </c>
      <c r="O468" s="6" t="s">
        <v>46</v>
      </c>
    </row>
    <row r="469" customFormat="false" ht="15" hidden="false" customHeight="false" outlineLevel="0" collapsed="false">
      <c r="A469" s="6" t="s">
        <v>1047</v>
      </c>
      <c r="B469" s="6" t="s">
        <v>1048</v>
      </c>
      <c r="C469" s="6" t="s">
        <v>75</v>
      </c>
      <c r="D469" s="6" t="n">
        <v>18</v>
      </c>
      <c r="E469" s="6" t="s">
        <v>146</v>
      </c>
      <c r="F469" s="6" t="s">
        <v>147</v>
      </c>
      <c r="G469" s="26" t="n">
        <v>45963</v>
      </c>
      <c r="H469" s="6" t="s">
        <v>78</v>
      </c>
      <c r="I469" s="26" t="n">
        <f aca="false">_xlfn.MINIFS(Transaction!$C$2:$C$8421,Transaction!$B$2:$B$8421,A469)</f>
        <v>46042</v>
      </c>
      <c r="J469" s="26" t="n">
        <f aca="false">_xlfn.MAXIFS(Transaction!$C$2:$C$8421,Transaction!$B$2:$B$8421,A469)</f>
        <v>46214</v>
      </c>
      <c r="K469" s="6" t="n">
        <f aca="false">COUNTIF(Transaction!$B$2:$B$8421,A469)</f>
        <v>6</v>
      </c>
      <c r="L469" s="10" t="n">
        <f aca="false">SUMIF(Transaction!$B$2:$B$8421,A469,Transaction!$H$2:$H$8421)</f>
        <v>7766</v>
      </c>
      <c r="M469" s="6" t="n">
        <f aca="false">Summary!$B$3-J469</f>
        <v>52</v>
      </c>
      <c r="N469" s="6" t="str">
        <f aca="false">IF(K469&gt;1,"Yes","No")</f>
        <v>Yes</v>
      </c>
      <c r="O469" s="6" t="s">
        <v>46</v>
      </c>
    </row>
    <row r="470" customFormat="false" ht="15" hidden="false" customHeight="false" outlineLevel="0" collapsed="false">
      <c r="A470" s="6" t="s">
        <v>1049</v>
      </c>
      <c r="B470" s="6" t="s">
        <v>1050</v>
      </c>
      <c r="C470" s="6" t="s">
        <v>85</v>
      </c>
      <c r="D470" s="6" t="n">
        <v>43</v>
      </c>
      <c r="E470" s="6" t="s">
        <v>105</v>
      </c>
      <c r="F470" s="6" t="s">
        <v>106</v>
      </c>
      <c r="G470" s="26" t="n">
        <v>46175</v>
      </c>
      <c r="H470" s="6" t="s">
        <v>115</v>
      </c>
      <c r="I470" s="26" t="n">
        <f aca="false">_xlfn.MINIFS(Transaction!$C$2:$C$8421,Transaction!$B$2:$B$8421,A470)</f>
        <v>46260</v>
      </c>
      <c r="J470" s="26" t="n">
        <f aca="false">_xlfn.MAXIFS(Transaction!$C$2:$C$8421,Transaction!$B$2:$B$8421,A470)</f>
        <v>46260</v>
      </c>
      <c r="K470" s="6" t="n">
        <f aca="false">COUNTIF(Transaction!$B$2:$B$8421,A470)</f>
        <v>1</v>
      </c>
      <c r="L470" s="10" t="n">
        <f aca="false">SUMIF(Transaction!$B$2:$B$8421,A470,Transaction!$H$2:$H$8421)</f>
        <v>1232</v>
      </c>
      <c r="M470" s="6" t="n">
        <f aca="false">Summary!$B$3-J470</f>
        <v>6</v>
      </c>
      <c r="N470" s="6" t="str">
        <f aca="false">IF(K470&gt;1,"Yes","No")</f>
        <v>No</v>
      </c>
      <c r="O470" s="6" t="s">
        <v>47</v>
      </c>
    </row>
    <row r="471" customFormat="false" ht="15" hidden="false" customHeight="false" outlineLevel="0" collapsed="false">
      <c r="A471" s="6" t="s">
        <v>1051</v>
      </c>
      <c r="B471" s="6" t="s">
        <v>1052</v>
      </c>
      <c r="C471" s="6" t="s">
        <v>75</v>
      </c>
      <c r="D471" s="6" t="n">
        <v>32</v>
      </c>
      <c r="E471" s="6" t="s">
        <v>237</v>
      </c>
      <c r="F471" s="6" t="s">
        <v>87</v>
      </c>
      <c r="G471" s="26" t="n">
        <v>45958</v>
      </c>
      <c r="H471" s="6" t="s">
        <v>102</v>
      </c>
      <c r="I471" s="26" t="n">
        <f aca="false">_xlfn.MINIFS(Transaction!$C$2:$C$8421,Transaction!$B$2:$B$8421,A471)</f>
        <v>46033</v>
      </c>
      <c r="J471" s="26" t="n">
        <f aca="false">_xlfn.MAXIFS(Transaction!$C$2:$C$8421,Transaction!$B$2:$B$8421,A471)</f>
        <v>46033</v>
      </c>
      <c r="K471" s="6" t="n">
        <f aca="false">COUNTIF(Transaction!$B$2:$B$8421,A471)</f>
        <v>1</v>
      </c>
      <c r="L471" s="10" t="n">
        <f aca="false">SUMIF(Transaction!$B$2:$B$8421,A471,Transaction!$H$2:$H$8421)</f>
        <v>457</v>
      </c>
      <c r="M471" s="6" t="n">
        <f aca="false">Summary!$B$3-J471</f>
        <v>233</v>
      </c>
      <c r="N471" s="6" t="str">
        <f aca="false">IF(K471&gt;1,"Yes","No")</f>
        <v>No</v>
      </c>
      <c r="O471" s="6" t="s">
        <v>49</v>
      </c>
    </row>
    <row r="472" customFormat="false" ht="15" hidden="false" customHeight="false" outlineLevel="0" collapsed="false">
      <c r="A472" s="6" t="s">
        <v>1053</v>
      </c>
      <c r="B472" s="6" t="s">
        <v>1054</v>
      </c>
      <c r="C472" s="6" t="s">
        <v>75</v>
      </c>
      <c r="D472" s="6" t="n">
        <v>30</v>
      </c>
      <c r="E472" s="6" t="s">
        <v>91</v>
      </c>
      <c r="F472" s="6" t="s">
        <v>77</v>
      </c>
      <c r="G472" s="26" t="n">
        <v>46051</v>
      </c>
      <c r="H472" s="6" t="s">
        <v>92</v>
      </c>
      <c r="I472" s="26" t="n">
        <f aca="false">_xlfn.MINIFS(Transaction!$C$2:$C$8421,Transaction!$B$2:$B$8421,A472)</f>
        <v>46085</v>
      </c>
      <c r="J472" s="26" t="n">
        <f aca="false">_xlfn.MAXIFS(Transaction!$C$2:$C$8421,Transaction!$B$2:$B$8421,A472)</f>
        <v>46217</v>
      </c>
      <c r="K472" s="6" t="n">
        <f aca="false">COUNTIF(Transaction!$B$2:$B$8421,A472)</f>
        <v>4</v>
      </c>
      <c r="L472" s="10" t="n">
        <f aca="false">SUMIF(Transaction!$B$2:$B$8421,A472,Transaction!$H$2:$H$8421)</f>
        <v>7084</v>
      </c>
      <c r="M472" s="6" t="n">
        <f aca="false">Summary!$B$3-J472</f>
        <v>49</v>
      </c>
      <c r="N472" s="6" t="str">
        <f aca="false">IF(K472&gt;1,"Yes","No")</f>
        <v>Yes</v>
      </c>
      <c r="O472" s="6" t="s">
        <v>46</v>
      </c>
    </row>
    <row r="473" customFormat="false" ht="15" hidden="false" customHeight="false" outlineLevel="0" collapsed="false">
      <c r="A473" s="6" t="s">
        <v>1055</v>
      </c>
      <c r="B473" s="6" t="s">
        <v>1056</v>
      </c>
      <c r="C473" s="6" t="s">
        <v>75</v>
      </c>
      <c r="D473" s="6" t="n">
        <v>32</v>
      </c>
      <c r="E473" s="6" t="s">
        <v>146</v>
      </c>
      <c r="F473" s="6" t="s">
        <v>147</v>
      </c>
      <c r="G473" s="26" t="n">
        <v>46168</v>
      </c>
      <c r="H473" s="6" t="s">
        <v>123</v>
      </c>
      <c r="I473" s="26" t="n">
        <f aca="false">_xlfn.MINIFS(Transaction!$C$2:$C$8421,Transaction!$B$2:$B$8421,A473)</f>
        <v>46174</v>
      </c>
      <c r="J473" s="26" t="n">
        <f aca="false">_xlfn.MAXIFS(Transaction!$C$2:$C$8421,Transaction!$B$2:$B$8421,A473)</f>
        <v>46174</v>
      </c>
      <c r="K473" s="6" t="n">
        <f aca="false">COUNTIF(Transaction!$B$2:$B$8421,A473)</f>
        <v>1</v>
      </c>
      <c r="L473" s="10" t="n">
        <f aca="false">SUMIF(Transaction!$B$2:$B$8421,A473,Transaction!$H$2:$H$8421)</f>
        <v>1987</v>
      </c>
      <c r="M473" s="6" t="n">
        <f aca="false">Summary!$B$3-J473</f>
        <v>92</v>
      </c>
      <c r="N473" s="6" t="str">
        <f aca="false">IF(K473&gt;1,"Yes","No")</f>
        <v>No</v>
      </c>
      <c r="O473" s="6" t="s">
        <v>47</v>
      </c>
    </row>
    <row r="474" customFormat="false" ht="15" hidden="false" customHeight="false" outlineLevel="0" collapsed="false">
      <c r="A474" s="6" t="s">
        <v>1057</v>
      </c>
      <c r="B474" s="6" t="s">
        <v>1058</v>
      </c>
      <c r="C474" s="6" t="s">
        <v>85</v>
      </c>
      <c r="D474" s="6" t="n">
        <v>44</v>
      </c>
      <c r="E474" s="6" t="s">
        <v>134</v>
      </c>
      <c r="F474" s="6" t="s">
        <v>135</v>
      </c>
      <c r="G474" s="26" t="n">
        <v>45944</v>
      </c>
      <c r="H474" s="6" t="s">
        <v>78</v>
      </c>
      <c r="I474" s="26" t="n">
        <f aca="false">_xlfn.MINIFS(Transaction!$C$2:$C$8421,Transaction!$B$2:$B$8421,A474)</f>
        <v>46027</v>
      </c>
      <c r="J474" s="26" t="n">
        <f aca="false">_xlfn.MAXIFS(Transaction!$C$2:$C$8421,Transaction!$B$2:$B$8421,A474)</f>
        <v>46195</v>
      </c>
      <c r="K474" s="6" t="n">
        <f aca="false">COUNTIF(Transaction!$B$2:$B$8421,A474)</f>
        <v>6</v>
      </c>
      <c r="L474" s="10" t="n">
        <f aca="false">SUMIF(Transaction!$B$2:$B$8421,A474,Transaction!$H$2:$H$8421)</f>
        <v>10841</v>
      </c>
      <c r="M474" s="6" t="n">
        <f aca="false">Summary!$B$3-J474</f>
        <v>71</v>
      </c>
      <c r="N474" s="6" t="str">
        <f aca="false">IF(K474&gt;1,"Yes","No")</f>
        <v>Yes</v>
      </c>
      <c r="O474" s="6" t="s">
        <v>46</v>
      </c>
    </row>
    <row r="475" customFormat="false" ht="15" hidden="false" customHeight="false" outlineLevel="0" collapsed="false">
      <c r="A475" s="6" t="s">
        <v>1059</v>
      </c>
      <c r="B475" s="6" t="s">
        <v>1060</v>
      </c>
      <c r="C475" s="6" t="s">
        <v>85</v>
      </c>
      <c r="D475" s="6" t="n">
        <v>29</v>
      </c>
      <c r="E475" s="6" t="s">
        <v>86</v>
      </c>
      <c r="F475" s="6" t="s">
        <v>87</v>
      </c>
      <c r="G475" s="26" t="n">
        <v>45960</v>
      </c>
      <c r="H475" s="6" t="s">
        <v>102</v>
      </c>
      <c r="I475" s="26" t="n">
        <f aca="false">_xlfn.MINIFS(Transaction!$C$2:$C$8421,Transaction!$B$2:$B$8421,A475)</f>
        <v>46038</v>
      </c>
      <c r="J475" s="26" t="n">
        <f aca="false">_xlfn.MAXIFS(Transaction!$C$2:$C$8421,Transaction!$B$2:$B$8421,A475)</f>
        <v>46177</v>
      </c>
      <c r="K475" s="6" t="n">
        <f aca="false">COUNTIF(Transaction!$B$2:$B$8421,A475)</f>
        <v>6</v>
      </c>
      <c r="L475" s="10" t="n">
        <f aca="false">SUMIF(Transaction!$B$2:$B$8421,A475,Transaction!$H$2:$H$8421)</f>
        <v>15590</v>
      </c>
      <c r="M475" s="6" t="n">
        <f aca="false">Summary!$B$3-J475</f>
        <v>89</v>
      </c>
      <c r="N475" s="6" t="str">
        <f aca="false">IF(K475&gt;1,"Yes","No")</f>
        <v>Yes</v>
      </c>
      <c r="O475" s="6" t="s">
        <v>46</v>
      </c>
    </row>
    <row r="476" customFormat="false" ht="15" hidden="false" customHeight="false" outlineLevel="0" collapsed="false">
      <c r="A476" s="6" t="s">
        <v>1061</v>
      </c>
      <c r="B476" s="6" t="s">
        <v>1062</v>
      </c>
      <c r="C476" s="6" t="s">
        <v>75</v>
      </c>
      <c r="D476" s="6" t="n">
        <v>21</v>
      </c>
      <c r="E476" s="6" t="s">
        <v>76</v>
      </c>
      <c r="F476" s="6" t="s">
        <v>77</v>
      </c>
      <c r="G476" s="26" t="n">
        <v>45997</v>
      </c>
      <c r="H476" s="6" t="s">
        <v>88</v>
      </c>
      <c r="I476" s="26" t="n">
        <f aca="false">_xlfn.MINIFS(Transaction!$C$2:$C$8421,Transaction!$B$2:$B$8421,A476)</f>
        <v>46029</v>
      </c>
      <c r="J476" s="26" t="n">
        <f aca="false">_xlfn.MAXIFS(Transaction!$C$2:$C$8421,Transaction!$B$2:$B$8421,A476)</f>
        <v>46257</v>
      </c>
      <c r="K476" s="6" t="n">
        <f aca="false">COUNTIF(Transaction!$B$2:$B$8421,A476)</f>
        <v>5</v>
      </c>
      <c r="L476" s="10" t="n">
        <f aca="false">SUMIF(Transaction!$B$2:$B$8421,A476,Transaction!$H$2:$H$8421)</f>
        <v>46121</v>
      </c>
      <c r="M476" s="6" t="n">
        <f aca="false">Summary!$B$3-J476</f>
        <v>9</v>
      </c>
      <c r="N476" s="6" t="str">
        <f aca="false">IF(K476&gt;1,"Yes","No")</f>
        <v>Yes</v>
      </c>
      <c r="O476" s="6" t="s">
        <v>46</v>
      </c>
    </row>
    <row r="477" customFormat="false" ht="15" hidden="false" customHeight="false" outlineLevel="0" collapsed="false">
      <c r="A477" s="6" t="s">
        <v>1063</v>
      </c>
      <c r="B477" s="6" t="s">
        <v>1064</v>
      </c>
      <c r="C477" s="6" t="s">
        <v>75</v>
      </c>
      <c r="D477" s="6" t="n">
        <v>18</v>
      </c>
      <c r="E477" s="6" t="s">
        <v>134</v>
      </c>
      <c r="F477" s="6" t="s">
        <v>135</v>
      </c>
      <c r="G477" s="26" t="n">
        <v>46000</v>
      </c>
      <c r="H477" s="6" t="s">
        <v>102</v>
      </c>
      <c r="I477" s="26" t="n">
        <f aca="false">_xlfn.MINIFS(Transaction!$C$2:$C$8421,Transaction!$B$2:$B$8421,A477)</f>
        <v>46084</v>
      </c>
      <c r="J477" s="26" t="n">
        <f aca="false">_xlfn.MAXIFS(Transaction!$C$2:$C$8421,Transaction!$B$2:$B$8421,A477)</f>
        <v>46181</v>
      </c>
      <c r="K477" s="6" t="n">
        <f aca="false">COUNTIF(Transaction!$B$2:$B$8421,A477)</f>
        <v>8</v>
      </c>
      <c r="L477" s="10" t="n">
        <f aca="false">SUMIF(Transaction!$B$2:$B$8421,A477,Transaction!$H$2:$H$8421)</f>
        <v>12054</v>
      </c>
      <c r="M477" s="6" t="n">
        <f aca="false">Summary!$B$3-J477</f>
        <v>85</v>
      </c>
      <c r="N477" s="6" t="str">
        <f aca="false">IF(K477&gt;1,"Yes","No")</f>
        <v>Yes</v>
      </c>
      <c r="O477" s="6" t="s">
        <v>46</v>
      </c>
    </row>
    <row r="478" customFormat="false" ht="15" hidden="false" customHeight="false" outlineLevel="0" collapsed="false">
      <c r="A478" s="6" t="s">
        <v>1065</v>
      </c>
      <c r="B478" s="6" t="s">
        <v>1066</v>
      </c>
      <c r="C478" s="6" t="s">
        <v>85</v>
      </c>
      <c r="D478" s="6" t="n">
        <v>26</v>
      </c>
      <c r="E478" s="6" t="s">
        <v>76</v>
      </c>
      <c r="F478" s="6" t="s">
        <v>77</v>
      </c>
      <c r="G478" s="26" t="n">
        <v>46053</v>
      </c>
      <c r="H478" s="6" t="s">
        <v>102</v>
      </c>
      <c r="I478" s="26" t="n">
        <f aca="false">_xlfn.MINIFS(Transaction!$C$2:$C$8421,Transaction!$B$2:$B$8421,A478)</f>
        <v>46058</v>
      </c>
      <c r="J478" s="26" t="n">
        <f aca="false">_xlfn.MAXIFS(Transaction!$C$2:$C$8421,Transaction!$B$2:$B$8421,A478)</f>
        <v>46058</v>
      </c>
      <c r="K478" s="6" t="n">
        <f aca="false">COUNTIF(Transaction!$B$2:$B$8421,A478)</f>
        <v>1</v>
      </c>
      <c r="L478" s="10" t="n">
        <f aca="false">SUMIF(Transaction!$B$2:$B$8421,A478,Transaction!$H$2:$H$8421)</f>
        <v>785</v>
      </c>
      <c r="M478" s="6" t="n">
        <f aca="false">Summary!$B$3-J478</f>
        <v>208</v>
      </c>
      <c r="N478" s="6" t="str">
        <f aca="false">IF(K478&gt;1,"Yes","No")</f>
        <v>No</v>
      </c>
      <c r="O478" s="6" t="s">
        <v>49</v>
      </c>
    </row>
    <row r="479" customFormat="false" ht="15" hidden="false" customHeight="false" outlineLevel="0" collapsed="false">
      <c r="A479" s="6" t="s">
        <v>1067</v>
      </c>
      <c r="B479" s="6" t="s">
        <v>1068</v>
      </c>
      <c r="C479" s="6" t="s">
        <v>85</v>
      </c>
      <c r="D479" s="6" t="n">
        <v>29</v>
      </c>
      <c r="E479" s="6" t="s">
        <v>86</v>
      </c>
      <c r="F479" s="6" t="s">
        <v>87</v>
      </c>
      <c r="G479" s="26" t="n">
        <v>46029</v>
      </c>
      <c r="H479" s="6" t="s">
        <v>102</v>
      </c>
      <c r="I479" s="26" t="n">
        <f aca="false">_xlfn.MINIFS(Transaction!$C$2:$C$8421,Transaction!$B$2:$B$8421,A479)</f>
        <v>46047</v>
      </c>
      <c r="J479" s="26" t="n">
        <f aca="false">_xlfn.MAXIFS(Transaction!$C$2:$C$8421,Transaction!$B$2:$B$8421,A479)</f>
        <v>46255</v>
      </c>
      <c r="K479" s="6" t="n">
        <f aca="false">COUNTIF(Transaction!$B$2:$B$8421,A479)</f>
        <v>9</v>
      </c>
      <c r="L479" s="10" t="n">
        <f aca="false">SUMIF(Transaction!$B$2:$B$8421,A479,Transaction!$H$2:$H$8421)</f>
        <v>15004</v>
      </c>
      <c r="M479" s="6" t="n">
        <f aca="false">Summary!$B$3-J479</f>
        <v>11</v>
      </c>
      <c r="N479" s="6" t="str">
        <f aca="false">IF(K479&gt;1,"Yes","No")</f>
        <v>Yes</v>
      </c>
      <c r="O479" s="6" t="s">
        <v>45</v>
      </c>
    </row>
    <row r="480" customFormat="false" ht="15" hidden="false" customHeight="false" outlineLevel="0" collapsed="false">
      <c r="A480" s="6" t="s">
        <v>1069</v>
      </c>
      <c r="B480" s="6" t="s">
        <v>1070</v>
      </c>
      <c r="C480" s="6" t="s">
        <v>75</v>
      </c>
      <c r="D480" s="6" t="n">
        <v>23</v>
      </c>
      <c r="E480" s="6" t="s">
        <v>95</v>
      </c>
      <c r="F480" s="6" t="s">
        <v>95</v>
      </c>
      <c r="G480" s="26" t="n">
        <v>46018</v>
      </c>
      <c r="H480" s="6" t="s">
        <v>92</v>
      </c>
      <c r="I480" s="26" t="n">
        <f aca="false">_xlfn.MINIFS(Transaction!$C$2:$C$8421,Transaction!$B$2:$B$8421,A480)</f>
        <v>46048</v>
      </c>
      <c r="J480" s="26" t="n">
        <f aca="false">_xlfn.MAXIFS(Transaction!$C$2:$C$8421,Transaction!$B$2:$B$8421,A480)</f>
        <v>46257</v>
      </c>
      <c r="K480" s="6" t="n">
        <f aca="false">COUNTIF(Transaction!$B$2:$B$8421,A480)</f>
        <v>13</v>
      </c>
      <c r="L480" s="10" t="n">
        <f aca="false">SUMIF(Transaction!$B$2:$B$8421,A480,Transaction!$H$2:$H$8421)</f>
        <v>15249</v>
      </c>
      <c r="M480" s="6" t="n">
        <f aca="false">Summary!$B$3-J480</f>
        <v>9</v>
      </c>
      <c r="N480" s="6" t="str">
        <f aca="false">IF(K480&gt;1,"Yes","No")</f>
        <v>Yes</v>
      </c>
      <c r="O480" s="6" t="s">
        <v>45</v>
      </c>
    </row>
    <row r="481" customFormat="false" ht="15" hidden="false" customHeight="false" outlineLevel="0" collapsed="false">
      <c r="A481" s="6" t="s">
        <v>1071</v>
      </c>
      <c r="B481" s="6" t="s">
        <v>1072</v>
      </c>
      <c r="C481" s="6" t="s">
        <v>85</v>
      </c>
      <c r="D481" s="6" t="n">
        <v>37</v>
      </c>
      <c r="E481" s="6" t="s">
        <v>76</v>
      </c>
      <c r="F481" s="6" t="s">
        <v>77</v>
      </c>
      <c r="G481" s="26" t="n">
        <v>45972</v>
      </c>
      <c r="H481" s="6" t="s">
        <v>115</v>
      </c>
      <c r="I481" s="26" t="n">
        <f aca="false">_xlfn.MINIFS(Transaction!$C$2:$C$8421,Transaction!$B$2:$B$8421,A481)</f>
        <v>46034</v>
      </c>
      <c r="J481" s="26" t="n">
        <f aca="false">_xlfn.MAXIFS(Transaction!$C$2:$C$8421,Transaction!$B$2:$B$8421,A481)</f>
        <v>46259</v>
      </c>
      <c r="K481" s="6" t="n">
        <f aca="false">COUNTIF(Transaction!$B$2:$B$8421,A481)</f>
        <v>5</v>
      </c>
      <c r="L481" s="10" t="n">
        <f aca="false">SUMIF(Transaction!$B$2:$B$8421,A481,Transaction!$H$2:$H$8421)</f>
        <v>8577</v>
      </c>
      <c r="M481" s="6" t="n">
        <f aca="false">Summary!$B$3-J481</f>
        <v>7</v>
      </c>
      <c r="N481" s="6" t="str">
        <f aca="false">IF(K481&gt;1,"Yes","No")</f>
        <v>Yes</v>
      </c>
      <c r="O481" s="6" t="s">
        <v>46</v>
      </c>
    </row>
    <row r="482" customFormat="false" ht="15" hidden="false" customHeight="false" outlineLevel="0" collapsed="false">
      <c r="A482" s="6" t="s">
        <v>1073</v>
      </c>
      <c r="B482" s="6" t="s">
        <v>1074</v>
      </c>
      <c r="C482" s="6" t="s">
        <v>85</v>
      </c>
      <c r="D482" s="6" t="n">
        <v>26</v>
      </c>
      <c r="E482" s="6" t="s">
        <v>86</v>
      </c>
      <c r="F482" s="6" t="s">
        <v>87</v>
      </c>
      <c r="G482" s="26" t="n">
        <v>46226</v>
      </c>
      <c r="H482" s="6" t="s">
        <v>115</v>
      </c>
      <c r="I482" s="26" t="n">
        <f aca="false">_xlfn.MINIFS(Transaction!$C$2:$C$8421,Transaction!$B$2:$B$8421,A482)</f>
        <v>46230</v>
      </c>
      <c r="J482" s="26" t="n">
        <f aca="false">_xlfn.MAXIFS(Transaction!$C$2:$C$8421,Transaction!$B$2:$B$8421,A482)</f>
        <v>46230</v>
      </c>
      <c r="K482" s="6" t="n">
        <f aca="false">COUNTIF(Transaction!$B$2:$B$8421,A482)</f>
        <v>1</v>
      </c>
      <c r="L482" s="10" t="n">
        <f aca="false">SUMIF(Transaction!$B$2:$B$8421,A482,Transaction!$H$2:$H$8421)</f>
        <v>781</v>
      </c>
      <c r="M482" s="6" t="n">
        <f aca="false">Summary!$B$3-J482</f>
        <v>36</v>
      </c>
      <c r="N482" s="6" t="str">
        <f aca="false">IF(K482&gt;1,"Yes","No")</f>
        <v>No</v>
      </c>
      <c r="O482" s="6" t="s">
        <v>47</v>
      </c>
    </row>
    <row r="483" customFormat="false" ht="15" hidden="false" customHeight="false" outlineLevel="0" collapsed="false">
      <c r="A483" s="6" t="s">
        <v>1075</v>
      </c>
      <c r="B483" s="6" t="s">
        <v>1076</v>
      </c>
      <c r="C483" s="6" t="s">
        <v>85</v>
      </c>
      <c r="D483" s="6" t="n">
        <v>34</v>
      </c>
      <c r="E483" s="6" t="s">
        <v>121</v>
      </c>
      <c r="F483" s="6" t="s">
        <v>122</v>
      </c>
      <c r="G483" s="26" t="n">
        <v>46142</v>
      </c>
      <c r="H483" s="6" t="s">
        <v>78</v>
      </c>
      <c r="I483" s="26" t="n">
        <f aca="false">_xlfn.MINIFS(Transaction!$C$2:$C$8421,Transaction!$B$2:$B$8421,A483)</f>
        <v>46181</v>
      </c>
      <c r="J483" s="26" t="n">
        <f aca="false">_xlfn.MAXIFS(Transaction!$C$2:$C$8421,Transaction!$B$2:$B$8421,A483)</f>
        <v>46181</v>
      </c>
      <c r="K483" s="6" t="n">
        <f aca="false">COUNTIF(Transaction!$B$2:$B$8421,A483)</f>
        <v>1</v>
      </c>
      <c r="L483" s="10" t="n">
        <f aca="false">SUMIF(Transaction!$B$2:$B$8421,A483,Transaction!$H$2:$H$8421)</f>
        <v>1174</v>
      </c>
      <c r="M483" s="6" t="n">
        <f aca="false">Summary!$B$3-J483</f>
        <v>85</v>
      </c>
      <c r="N483" s="6" t="str">
        <f aca="false">IF(K483&gt;1,"Yes","No")</f>
        <v>No</v>
      </c>
      <c r="O483" s="6" t="s">
        <v>47</v>
      </c>
    </row>
    <row r="484" customFormat="false" ht="15" hidden="false" customHeight="false" outlineLevel="0" collapsed="false">
      <c r="A484" s="6" t="s">
        <v>1077</v>
      </c>
      <c r="B484" s="6" t="s">
        <v>1078</v>
      </c>
      <c r="C484" s="6" t="s">
        <v>85</v>
      </c>
      <c r="D484" s="6" t="n">
        <v>26</v>
      </c>
      <c r="E484" s="6" t="s">
        <v>140</v>
      </c>
      <c r="F484" s="6" t="s">
        <v>141</v>
      </c>
      <c r="G484" s="26" t="n">
        <v>45961</v>
      </c>
      <c r="H484" s="6" t="s">
        <v>92</v>
      </c>
      <c r="I484" s="26" t="n">
        <f aca="false">_xlfn.MINIFS(Transaction!$C$2:$C$8421,Transaction!$B$2:$B$8421,A484)</f>
        <v>46048</v>
      </c>
      <c r="J484" s="26" t="n">
        <f aca="false">_xlfn.MAXIFS(Transaction!$C$2:$C$8421,Transaction!$B$2:$B$8421,A484)</f>
        <v>46232</v>
      </c>
      <c r="K484" s="6" t="n">
        <f aca="false">COUNTIF(Transaction!$B$2:$B$8421,A484)</f>
        <v>7</v>
      </c>
      <c r="L484" s="10" t="n">
        <f aca="false">SUMIF(Transaction!$B$2:$B$8421,A484,Transaction!$H$2:$H$8421)</f>
        <v>14627</v>
      </c>
      <c r="M484" s="6" t="n">
        <f aca="false">Summary!$B$3-J484</f>
        <v>34</v>
      </c>
      <c r="N484" s="6" t="str">
        <f aca="false">IF(K484&gt;1,"Yes","No")</f>
        <v>Yes</v>
      </c>
      <c r="O484" s="6" t="s">
        <v>46</v>
      </c>
    </row>
    <row r="485" customFormat="false" ht="15" hidden="false" customHeight="false" outlineLevel="0" collapsed="false">
      <c r="A485" s="6" t="s">
        <v>1079</v>
      </c>
      <c r="B485" s="6" t="s">
        <v>1080</v>
      </c>
      <c r="C485" s="6" t="s">
        <v>75</v>
      </c>
      <c r="D485" s="6" t="n">
        <v>32</v>
      </c>
      <c r="E485" s="6" t="s">
        <v>237</v>
      </c>
      <c r="F485" s="6" t="s">
        <v>87</v>
      </c>
      <c r="G485" s="26" t="n">
        <v>45953</v>
      </c>
      <c r="H485" s="6" t="s">
        <v>102</v>
      </c>
      <c r="I485" s="26" t="n">
        <f aca="false">_xlfn.MINIFS(Transaction!$C$2:$C$8421,Transaction!$B$2:$B$8421,A485)</f>
        <v>46029</v>
      </c>
      <c r="J485" s="26" t="n">
        <f aca="false">_xlfn.MAXIFS(Transaction!$C$2:$C$8421,Transaction!$B$2:$B$8421,A485)</f>
        <v>46248</v>
      </c>
      <c r="K485" s="6" t="n">
        <f aca="false">COUNTIF(Transaction!$B$2:$B$8421,A485)</f>
        <v>14</v>
      </c>
      <c r="L485" s="10" t="n">
        <f aca="false">SUMIF(Transaction!$B$2:$B$8421,A485,Transaction!$H$2:$H$8421)</f>
        <v>33108</v>
      </c>
      <c r="M485" s="6" t="n">
        <f aca="false">Summary!$B$3-J485</f>
        <v>18</v>
      </c>
      <c r="N485" s="6" t="str">
        <f aca="false">IF(K485&gt;1,"Yes","No")</f>
        <v>Yes</v>
      </c>
      <c r="O485" s="6" t="s">
        <v>45</v>
      </c>
    </row>
    <row r="486" customFormat="false" ht="15" hidden="false" customHeight="false" outlineLevel="0" collapsed="false">
      <c r="A486" s="6" t="s">
        <v>1081</v>
      </c>
      <c r="B486" s="6" t="s">
        <v>1082</v>
      </c>
      <c r="C486" s="6" t="s">
        <v>75</v>
      </c>
      <c r="D486" s="6" t="n">
        <v>29</v>
      </c>
      <c r="E486" s="6" t="s">
        <v>121</v>
      </c>
      <c r="F486" s="6" t="s">
        <v>122</v>
      </c>
      <c r="G486" s="26" t="n">
        <v>45994</v>
      </c>
      <c r="H486" s="6" t="s">
        <v>78</v>
      </c>
      <c r="I486" s="26" t="n">
        <f aca="false">_xlfn.MINIFS(Transaction!$C$2:$C$8421,Transaction!$B$2:$B$8421,A486)</f>
        <v>46025</v>
      </c>
      <c r="J486" s="26" t="n">
        <f aca="false">_xlfn.MAXIFS(Transaction!$C$2:$C$8421,Transaction!$B$2:$B$8421,A486)</f>
        <v>46251</v>
      </c>
      <c r="K486" s="6" t="n">
        <f aca="false">COUNTIF(Transaction!$B$2:$B$8421,A486)</f>
        <v>13</v>
      </c>
      <c r="L486" s="10" t="n">
        <f aca="false">SUMIF(Transaction!$B$2:$B$8421,A486,Transaction!$H$2:$H$8421)</f>
        <v>20884</v>
      </c>
      <c r="M486" s="6" t="n">
        <f aca="false">Summary!$B$3-J486</f>
        <v>15</v>
      </c>
      <c r="N486" s="6" t="str">
        <f aca="false">IF(K486&gt;1,"Yes","No")</f>
        <v>Yes</v>
      </c>
      <c r="O486" s="6" t="s">
        <v>45</v>
      </c>
    </row>
    <row r="487" customFormat="false" ht="15" hidden="false" customHeight="false" outlineLevel="0" collapsed="false">
      <c r="A487" s="6" t="s">
        <v>1083</v>
      </c>
      <c r="B487" s="6" t="s">
        <v>1084</v>
      </c>
      <c r="C487" s="6" t="s">
        <v>85</v>
      </c>
      <c r="D487" s="6" t="n">
        <v>34</v>
      </c>
      <c r="E487" s="6" t="s">
        <v>91</v>
      </c>
      <c r="F487" s="6" t="s">
        <v>77</v>
      </c>
      <c r="G487" s="26" t="n">
        <v>46022</v>
      </c>
      <c r="H487" s="6" t="s">
        <v>78</v>
      </c>
      <c r="I487" s="26" t="n">
        <f aca="false">_xlfn.MINIFS(Transaction!$C$2:$C$8421,Transaction!$B$2:$B$8421,A487)</f>
        <v>46039</v>
      </c>
      <c r="J487" s="26" t="n">
        <f aca="false">_xlfn.MAXIFS(Transaction!$C$2:$C$8421,Transaction!$B$2:$B$8421,A487)</f>
        <v>46255</v>
      </c>
      <c r="K487" s="6" t="n">
        <f aca="false">COUNTIF(Transaction!$B$2:$B$8421,A487)</f>
        <v>6</v>
      </c>
      <c r="L487" s="10" t="n">
        <f aca="false">SUMIF(Transaction!$B$2:$B$8421,A487,Transaction!$H$2:$H$8421)</f>
        <v>16734</v>
      </c>
      <c r="M487" s="6" t="n">
        <f aca="false">Summary!$B$3-J487</f>
        <v>11</v>
      </c>
      <c r="N487" s="6" t="str">
        <f aca="false">IF(K487&gt;1,"Yes","No")</f>
        <v>Yes</v>
      </c>
      <c r="O487" s="6" t="s">
        <v>46</v>
      </c>
    </row>
    <row r="488" customFormat="false" ht="15" hidden="false" customHeight="false" outlineLevel="0" collapsed="false">
      <c r="A488" s="6" t="s">
        <v>1085</v>
      </c>
      <c r="B488" s="6" t="s">
        <v>1086</v>
      </c>
      <c r="C488" s="6" t="s">
        <v>85</v>
      </c>
      <c r="D488" s="6" t="n">
        <v>33</v>
      </c>
      <c r="E488" s="6" t="s">
        <v>321</v>
      </c>
      <c r="F488" s="6" t="s">
        <v>321</v>
      </c>
      <c r="G488" s="26" t="n">
        <v>45988</v>
      </c>
      <c r="H488" s="6" t="s">
        <v>88</v>
      </c>
      <c r="I488" s="26" t="n">
        <f aca="false">_xlfn.MINIFS(Transaction!$C$2:$C$8421,Transaction!$B$2:$B$8421,A488)</f>
        <v>46032</v>
      </c>
      <c r="J488" s="26" t="n">
        <f aca="false">_xlfn.MAXIFS(Transaction!$C$2:$C$8421,Transaction!$B$2:$B$8421,A488)</f>
        <v>46190</v>
      </c>
      <c r="K488" s="6" t="n">
        <f aca="false">COUNTIF(Transaction!$B$2:$B$8421,A488)</f>
        <v>5</v>
      </c>
      <c r="L488" s="10" t="n">
        <f aca="false">SUMIF(Transaction!$B$2:$B$8421,A488,Transaction!$H$2:$H$8421)</f>
        <v>16376</v>
      </c>
      <c r="M488" s="6" t="n">
        <f aca="false">Summary!$B$3-J488</f>
        <v>76</v>
      </c>
      <c r="N488" s="6" t="str">
        <f aca="false">IF(K488&gt;1,"Yes","No")</f>
        <v>Yes</v>
      </c>
      <c r="O488" s="6" t="s">
        <v>46</v>
      </c>
    </row>
    <row r="489" customFormat="false" ht="15" hidden="false" customHeight="false" outlineLevel="0" collapsed="false">
      <c r="A489" s="6" t="s">
        <v>1087</v>
      </c>
      <c r="B489" s="6" t="s">
        <v>1088</v>
      </c>
      <c r="C489" s="6" t="s">
        <v>75</v>
      </c>
      <c r="D489" s="6" t="n">
        <v>41</v>
      </c>
      <c r="E489" s="6" t="s">
        <v>91</v>
      </c>
      <c r="F489" s="6" t="s">
        <v>77</v>
      </c>
      <c r="G489" s="26" t="n">
        <v>46154</v>
      </c>
      <c r="H489" s="6" t="s">
        <v>123</v>
      </c>
      <c r="I489" s="26" t="n">
        <f aca="false">_xlfn.MINIFS(Transaction!$C$2:$C$8421,Transaction!$B$2:$B$8421,A489)</f>
        <v>46170</v>
      </c>
      <c r="J489" s="26" t="n">
        <f aca="false">_xlfn.MAXIFS(Transaction!$C$2:$C$8421,Transaction!$B$2:$B$8421,A489)</f>
        <v>46170</v>
      </c>
      <c r="K489" s="6" t="n">
        <f aca="false">COUNTIF(Transaction!$B$2:$B$8421,A489)</f>
        <v>1</v>
      </c>
      <c r="L489" s="10" t="n">
        <f aca="false">SUMIF(Transaction!$B$2:$B$8421,A489,Transaction!$H$2:$H$8421)</f>
        <v>3128</v>
      </c>
      <c r="M489" s="6" t="n">
        <f aca="false">Summary!$B$3-J489</f>
        <v>96</v>
      </c>
      <c r="N489" s="6" t="str">
        <f aca="false">IF(K489&gt;1,"Yes","No")</f>
        <v>No</v>
      </c>
      <c r="O489" s="6" t="s">
        <v>48</v>
      </c>
    </row>
    <row r="490" customFormat="false" ht="15" hidden="false" customHeight="false" outlineLevel="0" collapsed="false">
      <c r="A490" s="6" t="s">
        <v>1089</v>
      </c>
      <c r="B490" s="6" t="s">
        <v>1090</v>
      </c>
      <c r="C490" s="6" t="s">
        <v>75</v>
      </c>
      <c r="D490" s="6" t="n">
        <v>30</v>
      </c>
      <c r="E490" s="6" t="s">
        <v>76</v>
      </c>
      <c r="F490" s="6" t="s">
        <v>77</v>
      </c>
      <c r="G490" s="26" t="n">
        <v>46018</v>
      </c>
      <c r="H490" s="6" t="s">
        <v>102</v>
      </c>
      <c r="I490" s="26" t="n">
        <f aca="false">_xlfn.MINIFS(Transaction!$C$2:$C$8421,Transaction!$B$2:$B$8421,A490)</f>
        <v>46026</v>
      </c>
      <c r="J490" s="26" t="n">
        <f aca="false">_xlfn.MAXIFS(Transaction!$C$2:$C$8421,Transaction!$B$2:$B$8421,A490)</f>
        <v>46259</v>
      </c>
      <c r="K490" s="6" t="n">
        <f aca="false">COUNTIF(Transaction!$B$2:$B$8421,A490)</f>
        <v>9</v>
      </c>
      <c r="L490" s="10" t="n">
        <f aca="false">SUMIF(Transaction!$B$2:$B$8421,A490,Transaction!$H$2:$H$8421)</f>
        <v>15280</v>
      </c>
      <c r="M490" s="6" t="n">
        <f aca="false">Summary!$B$3-J490</f>
        <v>7</v>
      </c>
      <c r="N490" s="6" t="str">
        <f aca="false">IF(K490&gt;1,"Yes","No")</f>
        <v>Yes</v>
      </c>
      <c r="O490" s="6" t="s">
        <v>45</v>
      </c>
    </row>
    <row r="491" customFormat="false" ht="15" hidden="false" customHeight="false" outlineLevel="0" collapsed="false">
      <c r="A491" s="6" t="s">
        <v>1091</v>
      </c>
      <c r="B491" s="6" t="s">
        <v>1092</v>
      </c>
      <c r="C491" s="6" t="s">
        <v>75</v>
      </c>
      <c r="D491" s="6" t="n">
        <v>37</v>
      </c>
      <c r="E491" s="6" t="s">
        <v>86</v>
      </c>
      <c r="F491" s="6" t="s">
        <v>87</v>
      </c>
      <c r="G491" s="26" t="n">
        <v>46143</v>
      </c>
      <c r="H491" s="6" t="s">
        <v>115</v>
      </c>
      <c r="I491" s="26" t="n">
        <f aca="false">_xlfn.MINIFS(Transaction!$C$2:$C$8421,Transaction!$B$2:$B$8421,A491)</f>
        <v>46216</v>
      </c>
      <c r="J491" s="26" t="n">
        <f aca="false">_xlfn.MAXIFS(Transaction!$C$2:$C$8421,Transaction!$B$2:$B$8421,A491)</f>
        <v>46216</v>
      </c>
      <c r="K491" s="6" t="n">
        <f aca="false">COUNTIF(Transaction!$B$2:$B$8421,A491)</f>
        <v>1</v>
      </c>
      <c r="L491" s="10" t="n">
        <f aca="false">SUMIF(Transaction!$B$2:$B$8421,A491,Transaction!$H$2:$H$8421)</f>
        <v>1299</v>
      </c>
      <c r="M491" s="6" t="n">
        <f aca="false">Summary!$B$3-J491</f>
        <v>50</v>
      </c>
      <c r="N491" s="6" t="str">
        <f aca="false">IF(K491&gt;1,"Yes","No")</f>
        <v>No</v>
      </c>
      <c r="O491" s="6" t="s">
        <v>47</v>
      </c>
    </row>
    <row r="492" customFormat="false" ht="15" hidden="false" customHeight="false" outlineLevel="0" collapsed="false">
      <c r="A492" s="6" t="s">
        <v>1093</v>
      </c>
      <c r="B492" s="6" t="s">
        <v>1094</v>
      </c>
      <c r="C492" s="6" t="s">
        <v>75</v>
      </c>
      <c r="D492" s="6" t="n">
        <v>33</v>
      </c>
      <c r="E492" s="6" t="s">
        <v>105</v>
      </c>
      <c r="F492" s="6" t="s">
        <v>106</v>
      </c>
      <c r="G492" s="26" t="n">
        <v>46075</v>
      </c>
      <c r="H492" s="6" t="s">
        <v>78</v>
      </c>
      <c r="I492" s="26" t="n">
        <f aca="false">_xlfn.MINIFS(Transaction!$C$2:$C$8421,Transaction!$B$2:$B$8421,A492)</f>
        <v>46091</v>
      </c>
      <c r="J492" s="26" t="n">
        <f aca="false">_xlfn.MAXIFS(Transaction!$C$2:$C$8421,Transaction!$B$2:$B$8421,A492)</f>
        <v>46242</v>
      </c>
      <c r="K492" s="6" t="n">
        <f aca="false">COUNTIF(Transaction!$B$2:$B$8421,A492)</f>
        <v>7</v>
      </c>
      <c r="L492" s="10" t="n">
        <f aca="false">SUMIF(Transaction!$B$2:$B$8421,A492,Transaction!$H$2:$H$8421)</f>
        <v>8984</v>
      </c>
      <c r="M492" s="6" t="n">
        <f aca="false">Summary!$B$3-J492</f>
        <v>24</v>
      </c>
      <c r="N492" s="6" t="str">
        <f aca="false">IF(K492&gt;1,"Yes","No")</f>
        <v>Yes</v>
      </c>
      <c r="O492" s="6" t="s">
        <v>45</v>
      </c>
    </row>
    <row r="493" customFormat="false" ht="15" hidden="false" customHeight="false" outlineLevel="0" collapsed="false">
      <c r="A493" s="6" t="s">
        <v>1095</v>
      </c>
      <c r="B493" s="6" t="s">
        <v>1096</v>
      </c>
      <c r="C493" s="6" t="s">
        <v>75</v>
      </c>
      <c r="D493" s="6" t="n">
        <v>39</v>
      </c>
      <c r="E493" s="6" t="s">
        <v>86</v>
      </c>
      <c r="F493" s="6" t="s">
        <v>87</v>
      </c>
      <c r="G493" s="26" t="n">
        <v>46213</v>
      </c>
      <c r="H493" s="6" t="s">
        <v>115</v>
      </c>
      <c r="I493" s="26" t="n">
        <f aca="false">_xlfn.MINIFS(Transaction!$C$2:$C$8421,Transaction!$B$2:$B$8421,A493)</f>
        <v>46230</v>
      </c>
      <c r="J493" s="26" t="n">
        <f aca="false">_xlfn.MAXIFS(Transaction!$C$2:$C$8421,Transaction!$B$2:$B$8421,A493)</f>
        <v>46230</v>
      </c>
      <c r="K493" s="6" t="n">
        <f aca="false">COUNTIF(Transaction!$B$2:$B$8421,A493)</f>
        <v>1</v>
      </c>
      <c r="L493" s="10" t="n">
        <f aca="false">SUMIF(Transaction!$B$2:$B$8421,A493,Transaction!$H$2:$H$8421)</f>
        <v>1856</v>
      </c>
      <c r="M493" s="6" t="n">
        <f aca="false">Summary!$B$3-J493</f>
        <v>36</v>
      </c>
      <c r="N493" s="6" t="str">
        <f aca="false">IF(K493&gt;1,"Yes","No")</f>
        <v>No</v>
      </c>
      <c r="O493" s="6" t="s">
        <v>47</v>
      </c>
    </row>
    <row r="494" customFormat="false" ht="15" hidden="false" customHeight="false" outlineLevel="0" collapsed="false">
      <c r="A494" s="6" t="s">
        <v>1097</v>
      </c>
      <c r="B494" s="6" t="s">
        <v>1098</v>
      </c>
      <c r="C494" s="6" t="s">
        <v>85</v>
      </c>
      <c r="D494" s="6" t="n">
        <v>40</v>
      </c>
      <c r="E494" s="6" t="s">
        <v>121</v>
      </c>
      <c r="F494" s="6" t="s">
        <v>122</v>
      </c>
      <c r="G494" s="26" t="n">
        <v>46014</v>
      </c>
      <c r="H494" s="6" t="s">
        <v>78</v>
      </c>
      <c r="I494" s="26" t="n">
        <f aca="false">_xlfn.MINIFS(Transaction!$C$2:$C$8421,Transaction!$B$2:$B$8421,A494)</f>
        <v>46057</v>
      </c>
      <c r="J494" s="26" t="n">
        <f aca="false">_xlfn.MAXIFS(Transaction!$C$2:$C$8421,Transaction!$B$2:$B$8421,A494)</f>
        <v>46258</v>
      </c>
      <c r="K494" s="6" t="n">
        <f aca="false">COUNTIF(Transaction!$B$2:$B$8421,A494)</f>
        <v>10</v>
      </c>
      <c r="L494" s="10" t="n">
        <f aca="false">SUMIF(Transaction!$B$2:$B$8421,A494,Transaction!$H$2:$H$8421)</f>
        <v>24124</v>
      </c>
      <c r="M494" s="6" t="n">
        <f aca="false">Summary!$B$3-J494</f>
        <v>8</v>
      </c>
      <c r="N494" s="6" t="str">
        <f aca="false">IF(K494&gt;1,"Yes","No")</f>
        <v>Yes</v>
      </c>
      <c r="O494" s="6" t="s">
        <v>45</v>
      </c>
    </row>
    <row r="495" customFormat="false" ht="15" hidden="false" customHeight="false" outlineLevel="0" collapsed="false">
      <c r="A495" s="6" t="s">
        <v>1099</v>
      </c>
      <c r="B495" s="6" t="s">
        <v>1100</v>
      </c>
      <c r="C495" s="6" t="s">
        <v>75</v>
      </c>
      <c r="D495" s="6" t="n">
        <v>48</v>
      </c>
      <c r="E495" s="6" t="s">
        <v>126</v>
      </c>
      <c r="F495" s="6" t="s">
        <v>127</v>
      </c>
      <c r="G495" s="26" t="n">
        <v>46152</v>
      </c>
      <c r="H495" s="6" t="s">
        <v>78</v>
      </c>
      <c r="I495" s="26" t="n">
        <f aca="false">_xlfn.MINIFS(Transaction!$C$2:$C$8421,Transaction!$B$2:$B$8421,A495)</f>
        <v>46183</v>
      </c>
      <c r="J495" s="26" t="n">
        <f aca="false">_xlfn.MAXIFS(Transaction!$C$2:$C$8421,Transaction!$B$2:$B$8421,A495)</f>
        <v>46183</v>
      </c>
      <c r="K495" s="6" t="n">
        <f aca="false">COUNTIF(Transaction!$B$2:$B$8421,A495)</f>
        <v>1</v>
      </c>
      <c r="L495" s="10" t="n">
        <f aca="false">SUMIF(Transaction!$B$2:$B$8421,A495,Transaction!$H$2:$H$8421)</f>
        <v>1466</v>
      </c>
      <c r="M495" s="6" t="n">
        <f aca="false">Summary!$B$3-J495</f>
        <v>83</v>
      </c>
      <c r="N495" s="6" t="str">
        <f aca="false">IF(K495&gt;1,"Yes","No")</f>
        <v>No</v>
      </c>
      <c r="O495" s="6" t="s">
        <v>47</v>
      </c>
    </row>
    <row r="496" customFormat="false" ht="15" hidden="false" customHeight="false" outlineLevel="0" collapsed="false">
      <c r="A496" s="6" t="s">
        <v>1101</v>
      </c>
      <c r="B496" s="6" t="s">
        <v>1102</v>
      </c>
      <c r="C496" s="6" t="s">
        <v>75</v>
      </c>
      <c r="D496" s="6" t="n">
        <v>33</v>
      </c>
      <c r="E496" s="6" t="s">
        <v>81</v>
      </c>
      <c r="F496" s="6" t="s">
        <v>82</v>
      </c>
      <c r="G496" s="26" t="n">
        <v>45971</v>
      </c>
      <c r="H496" s="6" t="s">
        <v>123</v>
      </c>
      <c r="I496" s="26" t="n">
        <f aca="false">_xlfn.MINIFS(Transaction!$C$2:$C$8421,Transaction!$B$2:$B$8421,A496)</f>
        <v>46025</v>
      </c>
      <c r="J496" s="26" t="n">
        <f aca="false">_xlfn.MAXIFS(Transaction!$C$2:$C$8421,Transaction!$B$2:$B$8421,A496)</f>
        <v>46025</v>
      </c>
      <c r="K496" s="6" t="n">
        <f aca="false">COUNTIF(Transaction!$B$2:$B$8421,A496)</f>
        <v>1</v>
      </c>
      <c r="L496" s="10" t="n">
        <f aca="false">SUMIF(Transaction!$B$2:$B$8421,A496,Transaction!$H$2:$H$8421)</f>
        <v>2211</v>
      </c>
      <c r="M496" s="6" t="n">
        <f aca="false">Summary!$B$3-J496</f>
        <v>241</v>
      </c>
      <c r="N496" s="6" t="str">
        <f aca="false">IF(K496&gt;1,"Yes","No")</f>
        <v>No</v>
      </c>
      <c r="O496" s="6" t="s">
        <v>49</v>
      </c>
    </row>
    <row r="497" customFormat="false" ht="15" hidden="false" customHeight="false" outlineLevel="0" collapsed="false">
      <c r="A497" s="6" t="s">
        <v>1103</v>
      </c>
      <c r="B497" s="6" t="s">
        <v>1104</v>
      </c>
      <c r="C497" s="6" t="s">
        <v>75</v>
      </c>
      <c r="D497" s="6" t="n">
        <v>39</v>
      </c>
      <c r="E497" s="6" t="s">
        <v>76</v>
      </c>
      <c r="F497" s="6" t="s">
        <v>77</v>
      </c>
      <c r="G497" s="26" t="n">
        <v>46175</v>
      </c>
      <c r="H497" s="6" t="s">
        <v>115</v>
      </c>
      <c r="I497" s="26" t="n">
        <f aca="false">_xlfn.MINIFS(Transaction!$C$2:$C$8421,Transaction!$B$2:$B$8421,A497)</f>
        <v>46228</v>
      </c>
      <c r="J497" s="26" t="n">
        <f aca="false">_xlfn.MAXIFS(Transaction!$C$2:$C$8421,Transaction!$B$2:$B$8421,A497)</f>
        <v>46228</v>
      </c>
      <c r="K497" s="6" t="n">
        <f aca="false">COUNTIF(Transaction!$B$2:$B$8421,A497)</f>
        <v>1</v>
      </c>
      <c r="L497" s="10" t="n">
        <f aca="false">SUMIF(Transaction!$B$2:$B$8421,A497,Transaction!$H$2:$H$8421)</f>
        <v>1570</v>
      </c>
      <c r="M497" s="6" t="n">
        <f aca="false">Summary!$B$3-J497</f>
        <v>38</v>
      </c>
      <c r="N497" s="6" t="str">
        <f aca="false">IF(K497&gt;1,"Yes","No")</f>
        <v>No</v>
      </c>
      <c r="O497" s="6" t="s">
        <v>47</v>
      </c>
    </row>
    <row r="498" customFormat="false" ht="15" hidden="false" customHeight="false" outlineLevel="0" collapsed="false">
      <c r="A498" s="6" t="s">
        <v>1105</v>
      </c>
      <c r="B498" s="6" t="s">
        <v>1106</v>
      </c>
      <c r="C498" s="6" t="s">
        <v>85</v>
      </c>
      <c r="D498" s="6" t="n">
        <v>29</v>
      </c>
      <c r="E498" s="6" t="s">
        <v>81</v>
      </c>
      <c r="F498" s="6" t="s">
        <v>82</v>
      </c>
      <c r="G498" s="26" t="n">
        <v>46081</v>
      </c>
      <c r="H498" s="6" t="s">
        <v>78</v>
      </c>
      <c r="I498" s="26" t="n">
        <f aca="false">_xlfn.MINIFS(Transaction!$C$2:$C$8421,Transaction!$B$2:$B$8421,A498)</f>
        <v>46119</v>
      </c>
      <c r="J498" s="26" t="n">
        <f aca="false">_xlfn.MAXIFS(Transaction!$C$2:$C$8421,Transaction!$B$2:$B$8421,A498)</f>
        <v>46119</v>
      </c>
      <c r="K498" s="6" t="n">
        <f aca="false">COUNTIF(Transaction!$B$2:$B$8421,A498)</f>
        <v>1</v>
      </c>
      <c r="L498" s="10" t="n">
        <f aca="false">SUMIF(Transaction!$B$2:$B$8421,A498,Transaction!$H$2:$H$8421)</f>
        <v>507</v>
      </c>
      <c r="M498" s="6" t="n">
        <f aca="false">Summary!$B$3-J498</f>
        <v>147</v>
      </c>
      <c r="N498" s="6" t="str">
        <f aca="false">IF(K498&gt;1,"Yes","No")</f>
        <v>No</v>
      </c>
      <c r="O498" s="6" t="s">
        <v>48</v>
      </c>
    </row>
    <row r="499" customFormat="false" ht="15" hidden="false" customHeight="false" outlineLevel="0" collapsed="false">
      <c r="A499" s="6" t="s">
        <v>1107</v>
      </c>
      <c r="B499" s="6" t="s">
        <v>1108</v>
      </c>
      <c r="C499" s="6" t="s">
        <v>85</v>
      </c>
      <c r="D499" s="6" t="n">
        <v>21</v>
      </c>
      <c r="E499" s="6" t="s">
        <v>76</v>
      </c>
      <c r="F499" s="6" t="s">
        <v>77</v>
      </c>
      <c r="G499" s="26" t="n">
        <v>46050</v>
      </c>
      <c r="H499" s="6" t="s">
        <v>78</v>
      </c>
      <c r="I499" s="26" t="n">
        <f aca="false">_xlfn.MINIFS(Transaction!$C$2:$C$8421,Transaction!$B$2:$B$8421,A499)</f>
        <v>46072</v>
      </c>
      <c r="J499" s="26" t="n">
        <f aca="false">_xlfn.MAXIFS(Transaction!$C$2:$C$8421,Transaction!$B$2:$B$8421,A499)</f>
        <v>46072</v>
      </c>
      <c r="K499" s="6" t="n">
        <f aca="false">COUNTIF(Transaction!$B$2:$B$8421,A499)</f>
        <v>1</v>
      </c>
      <c r="L499" s="10" t="n">
        <f aca="false">SUMIF(Transaction!$B$2:$B$8421,A499,Transaction!$H$2:$H$8421)</f>
        <v>1680</v>
      </c>
      <c r="M499" s="6" t="n">
        <f aca="false">Summary!$B$3-J499</f>
        <v>194</v>
      </c>
      <c r="N499" s="6" t="str">
        <f aca="false">IF(K499&gt;1,"Yes","No")</f>
        <v>No</v>
      </c>
      <c r="O499" s="6" t="s">
        <v>49</v>
      </c>
    </row>
    <row r="500" customFormat="false" ht="15" hidden="false" customHeight="false" outlineLevel="0" collapsed="false">
      <c r="A500" s="6" t="s">
        <v>1109</v>
      </c>
      <c r="B500" s="6" t="s">
        <v>1110</v>
      </c>
      <c r="C500" s="6" t="s">
        <v>85</v>
      </c>
      <c r="D500" s="6" t="n">
        <v>33</v>
      </c>
      <c r="E500" s="6" t="s">
        <v>95</v>
      </c>
      <c r="F500" s="6" t="s">
        <v>95</v>
      </c>
      <c r="G500" s="26" t="n">
        <v>45992</v>
      </c>
      <c r="H500" s="6" t="s">
        <v>78</v>
      </c>
      <c r="I500" s="26" t="n">
        <f aca="false">_xlfn.MINIFS(Transaction!$C$2:$C$8421,Transaction!$B$2:$B$8421,A500)</f>
        <v>46033</v>
      </c>
      <c r="J500" s="26" t="n">
        <f aca="false">_xlfn.MAXIFS(Transaction!$C$2:$C$8421,Transaction!$B$2:$B$8421,A500)</f>
        <v>46231</v>
      </c>
      <c r="K500" s="6" t="n">
        <f aca="false">COUNTIF(Transaction!$B$2:$B$8421,A500)</f>
        <v>5</v>
      </c>
      <c r="L500" s="10" t="n">
        <f aca="false">SUMIF(Transaction!$B$2:$B$8421,A500,Transaction!$H$2:$H$8421)</f>
        <v>7673</v>
      </c>
      <c r="M500" s="6" t="n">
        <f aca="false">Summary!$B$3-J500</f>
        <v>35</v>
      </c>
      <c r="N500" s="6" t="str">
        <f aca="false">IF(K500&gt;1,"Yes","No")</f>
        <v>Yes</v>
      </c>
      <c r="O500" s="6" t="s">
        <v>46</v>
      </c>
    </row>
    <row r="501" customFormat="false" ht="15" hidden="false" customHeight="false" outlineLevel="0" collapsed="false">
      <c r="A501" s="6" t="s">
        <v>1111</v>
      </c>
      <c r="B501" s="6" t="s">
        <v>1112</v>
      </c>
      <c r="C501" s="6" t="s">
        <v>85</v>
      </c>
      <c r="D501" s="6" t="n">
        <v>38</v>
      </c>
      <c r="E501" s="6" t="s">
        <v>176</v>
      </c>
      <c r="F501" s="6" t="s">
        <v>177</v>
      </c>
      <c r="G501" s="26" t="n">
        <v>45961</v>
      </c>
      <c r="H501" s="6" t="s">
        <v>92</v>
      </c>
      <c r="I501" s="26" t="n">
        <f aca="false">_xlfn.MINIFS(Transaction!$C$2:$C$8421,Transaction!$B$2:$B$8421,A501)</f>
        <v>46024</v>
      </c>
      <c r="J501" s="26" t="n">
        <f aca="false">_xlfn.MAXIFS(Transaction!$C$2:$C$8421,Transaction!$B$2:$B$8421,A501)</f>
        <v>46024</v>
      </c>
      <c r="K501" s="6" t="n">
        <f aca="false">COUNTIF(Transaction!$B$2:$B$8421,A501)</f>
        <v>1</v>
      </c>
      <c r="L501" s="10" t="n">
        <f aca="false">SUMIF(Transaction!$B$2:$B$8421,A501,Transaction!$H$2:$H$8421)</f>
        <v>1760</v>
      </c>
      <c r="M501" s="6" t="n">
        <f aca="false">Summary!$B$3-J501</f>
        <v>242</v>
      </c>
      <c r="N501" s="6" t="str">
        <f aca="false">IF(K501&gt;1,"Yes","No")</f>
        <v>No</v>
      </c>
      <c r="O501" s="6" t="s">
        <v>49</v>
      </c>
    </row>
    <row r="502" customFormat="false" ht="15" hidden="false" customHeight="false" outlineLevel="0" collapsed="false">
      <c r="A502" s="6" t="s">
        <v>1113</v>
      </c>
      <c r="B502" s="6" t="s">
        <v>1114</v>
      </c>
      <c r="C502" s="6" t="s">
        <v>85</v>
      </c>
      <c r="D502" s="6" t="n">
        <v>45</v>
      </c>
      <c r="E502" s="6" t="s">
        <v>105</v>
      </c>
      <c r="F502" s="6" t="s">
        <v>106</v>
      </c>
      <c r="G502" s="26" t="n">
        <v>45946</v>
      </c>
      <c r="H502" s="6" t="s">
        <v>115</v>
      </c>
      <c r="I502" s="26" t="n">
        <f aca="false">_xlfn.MINIFS(Transaction!$C$2:$C$8421,Transaction!$B$2:$B$8421,A502)</f>
        <v>46029</v>
      </c>
      <c r="J502" s="26" t="n">
        <f aca="false">_xlfn.MAXIFS(Transaction!$C$2:$C$8421,Transaction!$B$2:$B$8421,A502)</f>
        <v>46255</v>
      </c>
      <c r="K502" s="6" t="n">
        <f aca="false">COUNTIF(Transaction!$B$2:$B$8421,A502)</f>
        <v>11</v>
      </c>
      <c r="L502" s="10" t="n">
        <f aca="false">SUMIF(Transaction!$B$2:$B$8421,A502,Transaction!$H$2:$H$8421)</f>
        <v>22208</v>
      </c>
      <c r="M502" s="6" t="n">
        <f aca="false">Summary!$B$3-J502</f>
        <v>11</v>
      </c>
      <c r="N502" s="6" t="str">
        <f aca="false">IF(K502&gt;1,"Yes","No")</f>
        <v>Yes</v>
      </c>
      <c r="O502" s="6" t="s">
        <v>45</v>
      </c>
    </row>
    <row r="503" customFormat="false" ht="15" hidden="false" customHeight="false" outlineLevel="0" collapsed="false">
      <c r="A503" s="6" t="s">
        <v>1115</v>
      </c>
      <c r="B503" s="6" t="s">
        <v>1116</v>
      </c>
      <c r="C503" s="6" t="s">
        <v>75</v>
      </c>
      <c r="D503" s="6" t="n">
        <v>34</v>
      </c>
      <c r="E503" s="6" t="s">
        <v>81</v>
      </c>
      <c r="F503" s="6" t="s">
        <v>82</v>
      </c>
      <c r="G503" s="26" t="n">
        <v>46178</v>
      </c>
      <c r="H503" s="6" t="s">
        <v>115</v>
      </c>
      <c r="I503" s="26" t="n">
        <f aca="false">_xlfn.MINIFS(Transaction!$C$2:$C$8421,Transaction!$B$2:$B$8421,A503)</f>
        <v>46239</v>
      </c>
      <c r="J503" s="26" t="n">
        <f aca="false">_xlfn.MAXIFS(Transaction!$C$2:$C$8421,Transaction!$B$2:$B$8421,A503)</f>
        <v>46239</v>
      </c>
      <c r="K503" s="6" t="n">
        <f aca="false">COUNTIF(Transaction!$B$2:$B$8421,A503)</f>
        <v>1</v>
      </c>
      <c r="L503" s="10" t="n">
        <f aca="false">SUMIF(Transaction!$B$2:$B$8421,A503,Transaction!$H$2:$H$8421)</f>
        <v>794</v>
      </c>
      <c r="M503" s="6" t="n">
        <f aca="false">Summary!$B$3-J503</f>
        <v>27</v>
      </c>
      <c r="N503" s="6" t="str">
        <f aca="false">IF(K503&gt;1,"Yes","No")</f>
        <v>No</v>
      </c>
      <c r="O503" s="6" t="s">
        <v>47</v>
      </c>
    </row>
    <row r="504" customFormat="false" ht="15" hidden="false" customHeight="false" outlineLevel="0" collapsed="false">
      <c r="A504" s="6" t="s">
        <v>1117</v>
      </c>
      <c r="B504" s="6" t="s">
        <v>1118</v>
      </c>
      <c r="C504" s="6" t="s">
        <v>85</v>
      </c>
      <c r="D504" s="6" t="n">
        <v>35</v>
      </c>
      <c r="E504" s="6" t="s">
        <v>176</v>
      </c>
      <c r="F504" s="6" t="s">
        <v>177</v>
      </c>
      <c r="G504" s="26" t="n">
        <v>46011</v>
      </c>
      <c r="H504" s="6" t="s">
        <v>115</v>
      </c>
      <c r="I504" s="26" t="n">
        <f aca="false">_xlfn.MINIFS(Transaction!$C$2:$C$8421,Transaction!$B$2:$B$8421,A504)</f>
        <v>46065</v>
      </c>
      <c r="J504" s="26" t="n">
        <f aca="false">_xlfn.MAXIFS(Transaction!$C$2:$C$8421,Transaction!$B$2:$B$8421,A504)</f>
        <v>46214</v>
      </c>
      <c r="K504" s="6" t="n">
        <f aca="false">COUNTIF(Transaction!$B$2:$B$8421,A504)</f>
        <v>4</v>
      </c>
      <c r="L504" s="10" t="n">
        <f aca="false">SUMIF(Transaction!$B$2:$B$8421,A504,Transaction!$H$2:$H$8421)</f>
        <v>5652</v>
      </c>
      <c r="M504" s="6" t="n">
        <f aca="false">Summary!$B$3-J504</f>
        <v>52</v>
      </c>
      <c r="N504" s="6" t="str">
        <f aca="false">IF(K504&gt;1,"Yes","No")</f>
        <v>Yes</v>
      </c>
      <c r="O504" s="6" t="s">
        <v>46</v>
      </c>
    </row>
    <row r="505" customFormat="false" ht="15" hidden="false" customHeight="false" outlineLevel="0" collapsed="false">
      <c r="A505" s="6" t="s">
        <v>1119</v>
      </c>
      <c r="B505" s="6" t="s">
        <v>1120</v>
      </c>
      <c r="C505" s="6" t="s">
        <v>75</v>
      </c>
      <c r="D505" s="6" t="n">
        <v>25</v>
      </c>
      <c r="E505" s="6" t="s">
        <v>140</v>
      </c>
      <c r="F505" s="6" t="s">
        <v>141</v>
      </c>
      <c r="G505" s="26" t="n">
        <v>46114</v>
      </c>
      <c r="H505" s="6" t="s">
        <v>115</v>
      </c>
      <c r="I505" s="26" t="n">
        <f aca="false">_xlfn.MINIFS(Transaction!$C$2:$C$8421,Transaction!$B$2:$B$8421,A505)</f>
        <v>46168</v>
      </c>
      <c r="J505" s="26" t="n">
        <f aca="false">_xlfn.MAXIFS(Transaction!$C$2:$C$8421,Transaction!$B$2:$B$8421,A505)</f>
        <v>46168</v>
      </c>
      <c r="K505" s="6" t="n">
        <f aca="false">COUNTIF(Transaction!$B$2:$B$8421,A505)</f>
        <v>1</v>
      </c>
      <c r="L505" s="10" t="n">
        <f aca="false">SUMIF(Transaction!$B$2:$B$8421,A505,Transaction!$H$2:$H$8421)</f>
        <v>2554</v>
      </c>
      <c r="M505" s="6" t="n">
        <f aca="false">Summary!$B$3-J505</f>
        <v>98</v>
      </c>
      <c r="N505" s="6" t="str">
        <f aca="false">IF(K505&gt;1,"Yes","No")</f>
        <v>No</v>
      </c>
      <c r="O505" s="6" t="s">
        <v>48</v>
      </c>
    </row>
    <row r="506" customFormat="false" ht="15" hidden="false" customHeight="false" outlineLevel="0" collapsed="false">
      <c r="A506" s="6" t="s">
        <v>1121</v>
      </c>
      <c r="B506" s="6" t="s">
        <v>1122</v>
      </c>
      <c r="C506" s="6" t="s">
        <v>75</v>
      </c>
      <c r="D506" s="6" t="n">
        <v>49</v>
      </c>
      <c r="E506" s="6" t="s">
        <v>237</v>
      </c>
      <c r="F506" s="6" t="s">
        <v>87</v>
      </c>
      <c r="G506" s="26" t="n">
        <v>46047</v>
      </c>
      <c r="H506" s="6" t="s">
        <v>102</v>
      </c>
      <c r="I506" s="26" t="n">
        <f aca="false">_xlfn.MINIFS(Transaction!$C$2:$C$8421,Transaction!$B$2:$B$8421,A506)</f>
        <v>46113</v>
      </c>
      <c r="J506" s="26" t="n">
        <f aca="false">_xlfn.MAXIFS(Transaction!$C$2:$C$8421,Transaction!$B$2:$B$8421,A506)</f>
        <v>46251</v>
      </c>
      <c r="K506" s="6" t="n">
        <f aca="false">COUNTIF(Transaction!$B$2:$B$8421,A506)</f>
        <v>8</v>
      </c>
      <c r="L506" s="10" t="n">
        <f aca="false">SUMIF(Transaction!$B$2:$B$8421,A506,Transaction!$H$2:$H$8421)</f>
        <v>13829</v>
      </c>
      <c r="M506" s="6" t="n">
        <f aca="false">Summary!$B$3-J506</f>
        <v>15</v>
      </c>
      <c r="N506" s="6" t="str">
        <f aca="false">IF(K506&gt;1,"Yes","No")</f>
        <v>Yes</v>
      </c>
      <c r="O506" s="6" t="s">
        <v>45</v>
      </c>
    </row>
    <row r="507" customFormat="false" ht="15" hidden="false" customHeight="false" outlineLevel="0" collapsed="false">
      <c r="A507" s="6" t="s">
        <v>1123</v>
      </c>
      <c r="B507" s="6" t="s">
        <v>1124</v>
      </c>
      <c r="C507" s="6" t="s">
        <v>75</v>
      </c>
      <c r="D507" s="6" t="n">
        <v>24</v>
      </c>
      <c r="E507" s="6" t="s">
        <v>121</v>
      </c>
      <c r="F507" s="6" t="s">
        <v>122</v>
      </c>
      <c r="G507" s="26" t="n">
        <v>45975</v>
      </c>
      <c r="H507" s="6" t="s">
        <v>123</v>
      </c>
      <c r="I507" s="26" t="n">
        <f aca="false">_xlfn.MINIFS(Transaction!$C$2:$C$8421,Transaction!$B$2:$B$8421,A507)</f>
        <v>46034</v>
      </c>
      <c r="J507" s="26" t="n">
        <f aca="false">_xlfn.MAXIFS(Transaction!$C$2:$C$8421,Transaction!$B$2:$B$8421,A507)</f>
        <v>46244</v>
      </c>
      <c r="K507" s="6" t="n">
        <f aca="false">COUNTIF(Transaction!$B$2:$B$8421,A507)</f>
        <v>7</v>
      </c>
      <c r="L507" s="10" t="n">
        <f aca="false">SUMIF(Transaction!$B$2:$B$8421,A507,Transaction!$H$2:$H$8421)</f>
        <v>16008</v>
      </c>
      <c r="M507" s="6" t="n">
        <f aca="false">Summary!$B$3-J507</f>
        <v>22</v>
      </c>
      <c r="N507" s="6" t="str">
        <f aca="false">IF(K507&gt;1,"Yes","No")</f>
        <v>Yes</v>
      </c>
      <c r="O507" s="6" t="s">
        <v>45</v>
      </c>
    </row>
    <row r="508" customFormat="false" ht="15" hidden="false" customHeight="false" outlineLevel="0" collapsed="false">
      <c r="A508" s="6" t="s">
        <v>1125</v>
      </c>
      <c r="B508" s="6" t="s">
        <v>1126</v>
      </c>
      <c r="C508" s="6" t="s">
        <v>85</v>
      </c>
      <c r="D508" s="6" t="n">
        <v>33</v>
      </c>
      <c r="E508" s="6" t="s">
        <v>134</v>
      </c>
      <c r="F508" s="6" t="s">
        <v>135</v>
      </c>
      <c r="G508" s="26" t="n">
        <v>46193</v>
      </c>
      <c r="H508" s="6" t="s">
        <v>78</v>
      </c>
      <c r="I508" s="26" t="n">
        <f aca="false">_xlfn.MINIFS(Transaction!$C$2:$C$8421,Transaction!$B$2:$B$8421,A508)</f>
        <v>46229</v>
      </c>
      <c r="J508" s="26" t="n">
        <f aca="false">_xlfn.MAXIFS(Transaction!$C$2:$C$8421,Transaction!$B$2:$B$8421,A508)</f>
        <v>46229</v>
      </c>
      <c r="K508" s="6" t="n">
        <f aca="false">COUNTIF(Transaction!$B$2:$B$8421,A508)</f>
        <v>1</v>
      </c>
      <c r="L508" s="10" t="n">
        <f aca="false">SUMIF(Transaction!$B$2:$B$8421,A508,Transaction!$H$2:$H$8421)</f>
        <v>3525</v>
      </c>
      <c r="M508" s="6" t="n">
        <f aca="false">Summary!$B$3-J508</f>
        <v>37</v>
      </c>
      <c r="N508" s="6" t="str">
        <f aca="false">IF(K508&gt;1,"Yes","No")</f>
        <v>No</v>
      </c>
      <c r="O508" s="6" t="s">
        <v>47</v>
      </c>
    </row>
    <row r="509" customFormat="false" ht="15" hidden="false" customHeight="false" outlineLevel="0" collapsed="false">
      <c r="A509" s="6" t="s">
        <v>1127</v>
      </c>
      <c r="B509" s="6" t="s">
        <v>1128</v>
      </c>
      <c r="C509" s="6" t="s">
        <v>85</v>
      </c>
      <c r="D509" s="6" t="n">
        <v>40</v>
      </c>
      <c r="E509" s="6" t="s">
        <v>121</v>
      </c>
      <c r="F509" s="6" t="s">
        <v>122</v>
      </c>
      <c r="G509" s="26" t="n">
        <v>46090</v>
      </c>
      <c r="H509" s="6" t="s">
        <v>78</v>
      </c>
      <c r="I509" s="26" t="n">
        <f aca="false">_xlfn.MINIFS(Transaction!$C$2:$C$8421,Transaction!$B$2:$B$8421,A509)</f>
        <v>46098</v>
      </c>
      <c r="J509" s="26" t="n">
        <f aca="false">_xlfn.MAXIFS(Transaction!$C$2:$C$8421,Transaction!$B$2:$B$8421,A509)</f>
        <v>46175</v>
      </c>
      <c r="K509" s="6" t="n">
        <f aca="false">COUNTIF(Transaction!$B$2:$B$8421,A509)</f>
        <v>3</v>
      </c>
      <c r="L509" s="10" t="n">
        <f aca="false">SUMIF(Transaction!$B$2:$B$8421,A509,Transaction!$H$2:$H$8421)</f>
        <v>4916</v>
      </c>
      <c r="M509" s="6" t="n">
        <f aca="false">Summary!$B$3-J509</f>
        <v>91</v>
      </c>
      <c r="N509" s="6" t="str">
        <f aca="false">IF(K509&gt;1,"Yes","No")</f>
        <v>Yes</v>
      </c>
      <c r="O509" s="6" t="s">
        <v>46</v>
      </c>
    </row>
    <row r="510" customFormat="false" ht="15" hidden="false" customHeight="false" outlineLevel="0" collapsed="false">
      <c r="A510" s="6" t="s">
        <v>1129</v>
      </c>
      <c r="B510" s="6" t="s">
        <v>1130</v>
      </c>
      <c r="C510" s="6" t="s">
        <v>85</v>
      </c>
      <c r="D510" s="6" t="n">
        <v>29</v>
      </c>
      <c r="E510" s="6" t="s">
        <v>121</v>
      </c>
      <c r="F510" s="6" t="s">
        <v>122</v>
      </c>
      <c r="G510" s="26" t="n">
        <v>46017</v>
      </c>
      <c r="H510" s="6" t="s">
        <v>78</v>
      </c>
      <c r="I510" s="26" t="n">
        <f aca="false">_xlfn.MINIFS(Transaction!$C$2:$C$8421,Transaction!$B$2:$B$8421,A510)</f>
        <v>46069</v>
      </c>
      <c r="J510" s="26" t="n">
        <f aca="false">_xlfn.MAXIFS(Transaction!$C$2:$C$8421,Transaction!$B$2:$B$8421,A510)</f>
        <v>46069</v>
      </c>
      <c r="K510" s="6" t="n">
        <f aca="false">COUNTIF(Transaction!$B$2:$B$8421,A510)</f>
        <v>1</v>
      </c>
      <c r="L510" s="10" t="n">
        <f aca="false">SUMIF(Transaction!$B$2:$B$8421,A510,Transaction!$H$2:$H$8421)</f>
        <v>1277</v>
      </c>
      <c r="M510" s="6" t="n">
        <f aca="false">Summary!$B$3-J510</f>
        <v>197</v>
      </c>
      <c r="N510" s="6" t="str">
        <f aca="false">IF(K510&gt;1,"Yes","No")</f>
        <v>No</v>
      </c>
      <c r="O510" s="6" t="s">
        <v>49</v>
      </c>
    </row>
    <row r="511" customFormat="false" ht="15" hidden="false" customHeight="false" outlineLevel="0" collapsed="false">
      <c r="A511" s="6" t="s">
        <v>1131</v>
      </c>
      <c r="B511" s="6" t="s">
        <v>1132</v>
      </c>
      <c r="C511" s="6" t="s">
        <v>75</v>
      </c>
      <c r="D511" s="6" t="n">
        <v>38</v>
      </c>
      <c r="E511" s="6" t="s">
        <v>81</v>
      </c>
      <c r="F511" s="6" t="s">
        <v>82</v>
      </c>
      <c r="G511" s="26" t="n">
        <v>46032</v>
      </c>
      <c r="H511" s="6" t="s">
        <v>115</v>
      </c>
      <c r="I511" s="26" t="n">
        <f aca="false">_xlfn.MINIFS(Transaction!$C$2:$C$8421,Transaction!$B$2:$B$8421,A511)</f>
        <v>46117</v>
      </c>
      <c r="J511" s="26" t="n">
        <f aca="false">_xlfn.MAXIFS(Transaction!$C$2:$C$8421,Transaction!$B$2:$B$8421,A511)</f>
        <v>46117</v>
      </c>
      <c r="K511" s="6" t="n">
        <f aca="false">COUNTIF(Transaction!$B$2:$B$8421,A511)</f>
        <v>1</v>
      </c>
      <c r="L511" s="10" t="n">
        <f aca="false">SUMIF(Transaction!$B$2:$B$8421,A511,Transaction!$H$2:$H$8421)</f>
        <v>866</v>
      </c>
      <c r="M511" s="6" t="n">
        <f aca="false">Summary!$B$3-J511</f>
        <v>149</v>
      </c>
      <c r="N511" s="6" t="str">
        <f aca="false">IF(K511&gt;1,"Yes","No")</f>
        <v>No</v>
      </c>
      <c r="O511" s="6" t="s">
        <v>48</v>
      </c>
    </row>
    <row r="512" customFormat="false" ht="15" hidden="false" customHeight="false" outlineLevel="0" collapsed="false">
      <c r="A512" s="6" t="s">
        <v>1133</v>
      </c>
      <c r="B512" s="6" t="s">
        <v>1134</v>
      </c>
      <c r="C512" s="6" t="s">
        <v>75</v>
      </c>
      <c r="D512" s="6" t="n">
        <v>18</v>
      </c>
      <c r="E512" s="6" t="s">
        <v>176</v>
      </c>
      <c r="F512" s="6" t="s">
        <v>177</v>
      </c>
      <c r="G512" s="26" t="n">
        <v>45971</v>
      </c>
      <c r="H512" s="6" t="s">
        <v>102</v>
      </c>
      <c r="I512" s="26" t="n">
        <f aca="false">_xlfn.MINIFS(Transaction!$C$2:$C$8421,Transaction!$B$2:$B$8421,A512)</f>
        <v>46038</v>
      </c>
      <c r="J512" s="26" t="n">
        <f aca="false">_xlfn.MAXIFS(Transaction!$C$2:$C$8421,Transaction!$B$2:$B$8421,A512)</f>
        <v>46224</v>
      </c>
      <c r="K512" s="6" t="n">
        <f aca="false">COUNTIF(Transaction!$B$2:$B$8421,A512)</f>
        <v>6</v>
      </c>
      <c r="L512" s="10" t="n">
        <f aca="false">SUMIF(Transaction!$B$2:$B$8421,A512,Transaction!$H$2:$H$8421)</f>
        <v>14642</v>
      </c>
      <c r="M512" s="6" t="n">
        <f aca="false">Summary!$B$3-J512</f>
        <v>42</v>
      </c>
      <c r="N512" s="6" t="str">
        <f aca="false">IF(K512&gt;1,"Yes","No")</f>
        <v>Yes</v>
      </c>
      <c r="O512" s="6" t="s">
        <v>46</v>
      </c>
    </row>
    <row r="513" customFormat="false" ht="15" hidden="false" customHeight="false" outlineLevel="0" collapsed="false">
      <c r="A513" s="6" t="s">
        <v>1135</v>
      </c>
      <c r="B513" s="6" t="s">
        <v>1136</v>
      </c>
      <c r="C513" s="6" t="s">
        <v>85</v>
      </c>
      <c r="D513" s="6" t="n">
        <v>30</v>
      </c>
      <c r="E513" s="6" t="s">
        <v>146</v>
      </c>
      <c r="F513" s="6" t="s">
        <v>147</v>
      </c>
      <c r="G513" s="26" t="n">
        <v>46181</v>
      </c>
      <c r="H513" s="6" t="s">
        <v>115</v>
      </c>
      <c r="I513" s="26" t="n">
        <f aca="false">_xlfn.MINIFS(Transaction!$C$2:$C$8421,Transaction!$B$2:$B$8421,A513)</f>
        <v>46240</v>
      </c>
      <c r="J513" s="26" t="n">
        <f aca="false">_xlfn.MAXIFS(Transaction!$C$2:$C$8421,Transaction!$B$2:$B$8421,A513)</f>
        <v>46240</v>
      </c>
      <c r="K513" s="6" t="n">
        <f aca="false">COUNTIF(Transaction!$B$2:$B$8421,A513)</f>
        <v>1</v>
      </c>
      <c r="L513" s="10" t="n">
        <f aca="false">SUMIF(Transaction!$B$2:$B$8421,A513,Transaction!$H$2:$H$8421)</f>
        <v>1323</v>
      </c>
      <c r="M513" s="6" t="n">
        <f aca="false">Summary!$B$3-J513</f>
        <v>26</v>
      </c>
      <c r="N513" s="6" t="str">
        <f aca="false">IF(K513&gt;1,"Yes","No")</f>
        <v>No</v>
      </c>
      <c r="O513" s="6" t="s">
        <v>47</v>
      </c>
    </row>
    <row r="514" customFormat="false" ht="15" hidden="false" customHeight="false" outlineLevel="0" collapsed="false">
      <c r="A514" s="6" t="s">
        <v>1137</v>
      </c>
      <c r="B514" s="6" t="s">
        <v>1138</v>
      </c>
      <c r="C514" s="6" t="s">
        <v>75</v>
      </c>
      <c r="D514" s="6" t="n">
        <v>39</v>
      </c>
      <c r="E514" s="6" t="s">
        <v>121</v>
      </c>
      <c r="F514" s="6" t="s">
        <v>122</v>
      </c>
      <c r="G514" s="26" t="n">
        <v>45995</v>
      </c>
      <c r="H514" s="6" t="s">
        <v>123</v>
      </c>
      <c r="I514" s="26" t="n">
        <f aca="false">_xlfn.MINIFS(Transaction!$C$2:$C$8421,Transaction!$B$2:$B$8421,A514)</f>
        <v>46026</v>
      </c>
      <c r="J514" s="26" t="n">
        <f aca="false">_xlfn.MAXIFS(Transaction!$C$2:$C$8421,Transaction!$B$2:$B$8421,A514)</f>
        <v>46249</v>
      </c>
      <c r="K514" s="6" t="n">
        <f aca="false">COUNTIF(Transaction!$B$2:$B$8421,A514)</f>
        <v>12</v>
      </c>
      <c r="L514" s="10" t="n">
        <f aca="false">SUMIF(Transaction!$B$2:$B$8421,A514,Transaction!$H$2:$H$8421)</f>
        <v>16705</v>
      </c>
      <c r="M514" s="6" t="n">
        <f aca="false">Summary!$B$3-J514</f>
        <v>17</v>
      </c>
      <c r="N514" s="6" t="str">
        <f aca="false">IF(K514&gt;1,"Yes","No")</f>
        <v>Yes</v>
      </c>
      <c r="O514" s="6" t="s">
        <v>45</v>
      </c>
    </row>
    <row r="515" customFormat="false" ht="15" hidden="false" customHeight="false" outlineLevel="0" collapsed="false">
      <c r="A515" s="6" t="s">
        <v>1139</v>
      </c>
      <c r="B515" s="6" t="s">
        <v>1140</v>
      </c>
      <c r="C515" s="6" t="s">
        <v>85</v>
      </c>
      <c r="D515" s="6" t="n">
        <v>18</v>
      </c>
      <c r="E515" s="6" t="s">
        <v>121</v>
      </c>
      <c r="F515" s="6" t="s">
        <v>122</v>
      </c>
      <c r="G515" s="26" t="n">
        <v>46159</v>
      </c>
      <c r="H515" s="6" t="s">
        <v>115</v>
      </c>
      <c r="I515" s="26" t="n">
        <f aca="false">_xlfn.MINIFS(Transaction!$C$2:$C$8421,Transaction!$B$2:$B$8421,A515)</f>
        <v>46249</v>
      </c>
      <c r="J515" s="26" t="n">
        <f aca="false">_xlfn.MAXIFS(Transaction!$C$2:$C$8421,Transaction!$B$2:$B$8421,A515)</f>
        <v>46249</v>
      </c>
      <c r="K515" s="6" t="n">
        <f aca="false">COUNTIF(Transaction!$B$2:$B$8421,A515)</f>
        <v>1</v>
      </c>
      <c r="L515" s="10" t="n">
        <f aca="false">SUMIF(Transaction!$B$2:$B$8421,A515,Transaction!$H$2:$H$8421)</f>
        <v>1486</v>
      </c>
      <c r="M515" s="6" t="n">
        <f aca="false">Summary!$B$3-J515</f>
        <v>17</v>
      </c>
      <c r="N515" s="6" t="str">
        <f aca="false">IF(K515&gt;1,"Yes","No")</f>
        <v>No</v>
      </c>
      <c r="O515" s="6" t="s">
        <v>47</v>
      </c>
    </row>
    <row r="516" customFormat="false" ht="15" hidden="false" customHeight="false" outlineLevel="0" collapsed="false">
      <c r="A516" s="6" t="s">
        <v>1141</v>
      </c>
      <c r="B516" s="6" t="s">
        <v>1142</v>
      </c>
      <c r="C516" s="6" t="s">
        <v>75</v>
      </c>
      <c r="D516" s="6" t="n">
        <v>18</v>
      </c>
      <c r="E516" s="6" t="s">
        <v>180</v>
      </c>
      <c r="F516" s="6" t="s">
        <v>181</v>
      </c>
      <c r="G516" s="26" t="n">
        <v>46158</v>
      </c>
      <c r="H516" s="6" t="s">
        <v>102</v>
      </c>
      <c r="I516" s="26" t="n">
        <f aca="false">_xlfn.MINIFS(Transaction!$C$2:$C$8421,Transaction!$B$2:$B$8421,A516)</f>
        <v>46238</v>
      </c>
      <c r="J516" s="26" t="n">
        <f aca="false">_xlfn.MAXIFS(Transaction!$C$2:$C$8421,Transaction!$B$2:$B$8421,A516)</f>
        <v>46238</v>
      </c>
      <c r="K516" s="6" t="n">
        <f aca="false">COUNTIF(Transaction!$B$2:$B$8421,A516)</f>
        <v>1</v>
      </c>
      <c r="L516" s="10" t="n">
        <f aca="false">SUMIF(Transaction!$B$2:$B$8421,A516,Transaction!$H$2:$H$8421)</f>
        <v>1026</v>
      </c>
      <c r="M516" s="6" t="n">
        <f aca="false">Summary!$B$3-J516</f>
        <v>28</v>
      </c>
      <c r="N516" s="6" t="str">
        <f aca="false">IF(K516&gt;1,"Yes","No")</f>
        <v>No</v>
      </c>
      <c r="O516" s="6" t="s">
        <v>47</v>
      </c>
    </row>
    <row r="517" customFormat="false" ht="15" hidden="false" customHeight="false" outlineLevel="0" collapsed="false">
      <c r="A517" s="6" t="s">
        <v>1143</v>
      </c>
      <c r="B517" s="6" t="s">
        <v>1144</v>
      </c>
      <c r="C517" s="6" t="s">
        <v>75</v>
      </c>
      <c r="D517" s="6" t="n">
        <v>36</v>
      </c>
      <c r="E517" s="6" t="s">
        <v>76</v>
      </c>
      <c r="F517" s="6" t="s">
        <v>77</v>
      </c>
      <c r="G517" s="26" t="n">
        <v>45962</v>
      </c>
      <c r="H517" s="6" t="s">
        <v>92</v>
      </c>
      <c r="I517" s="26" t="n">
        <f aca="false">_xlfn.MINIFS(Transaction!$C$2:$C$8421,Transaction!$B$2:$B$8421,A517)</f>
        <v>46032</v>
      </c>
      <c r="J517" s="26" t="n">
        <f aca="false">_xlfn.MAXIFS(Transaction!$C$2:$C$8421,Transaction!$B$2:$B$8421,A517)</f>
        <v>46243</v>
      </c>
      <c r="K517" s="6" t="n">
        <f aca="false">COUNTIF(Transaction!$B$2:$B$8421,A517)</f>
        <v>11</v>
      </c>
      <c r="L517" s="10" t="n">
        <f aca="false">SUMIF(Transaction!$B$2:$B$8421,A517,Transaction!$H$2:$H$8421)</f>
        <v>16363</v>
      </c>
      <c r="M517" s="6" t="n">
        <f aca="false">Summary!$B$3-J517</f>
        <v>23</v>
      </c>
      <c r="N517" s="6" t="str">
        <f aca="false">IF(K517&gt;1,"Yes","No")</f>
        <v>Yes</v>
      </c>
      <c r="O517" s="6" t="s">
        <v>45</v>
      </c>
    </row>
    <row r="518" customFormat="false" ht="15" hidden="false" customHeight="false" outlineLevel="0" collapsed="false">
      <c r="A518" s="6" t="s">
        <v>1145</v>
      </c>
      <c r="B518" s="6" t="s">
        <v>1146</v>
      </c>
      <c r="C518" s="6" t="s">
        <v>75</v>
      </c>
      <c r="D518" s="6" t="n">
        <v>18</v>
      </c>
      <c r="E518" s="6" t="s">
        <v>95</v>
      </c>
      <c r="F518" s="6" t="s">
        <v>95</v>
      </c>
      <c r="G518" s="26" t="n">
        <v>45984</v>
      </c>
      <c r="H518" s="6" t="s">
        <v>102</v>
      </c>
      <c r="I518" s="26" t="n">
        <f aca="false">_xlfn.MINIFS(Transaction!$C$2:$C$8421,Transaction!$B$2:$B$8421,A518)</f>
        <v>46061</v>
      </c>
      <c r="J518" s="26" t="n">
        <f aca="false">_xlfn.MAXIFS(Transaction!$C$2:$C$8421,Transaction!$B$2:$B$8421,A518)</f>
        <v>46189</v>
      </c>
      <c r="K518" s="6" t="n">
        <f aca="false">COUNTIF(Transaction!$B$2:$B$8421,A518)</f>
        <v>5</v>
      </c>
      <c r="L518" s="10" t="n">
        <f aca="false">SUMIF(Transaction!$B$2:$B$8421,A518,Transaction!$H$2:$H$8421)</f>
        <v>5490</v>
      </c>
      <c r="M518" s="6" t="n">
        <f aca="false">Summary!$B$3-J518</f>
        <v>77</v>
      </c>
      <c r="N518" s="6" t="str">
        <f aca="false">IF(K518&gt;1,"Yes","No")</f>
        <v>Yes</v>
      </c>
      <c r="O518" s="6" t="s">
        <v>46</v>
      </c>
    </row>
    <row r="519" customFormat="false" ht="15" hidden="false" customHeight="false" outlineLevel="0" collapsed="false">
      <c r="A519" s="6" t="s">
        <v>1147</v>
      </c>
      <c r="B519" s="6" t="s">
        <v>1148</v>
      </c>
      <c r="C519" s="6" t="s">
        <v>75</v>
      </c>
      <c r="D519" s="6" t="n">
        <v>26</v>
      </c>
      <c r="E519" s="6" t="s">
        <v>134</v>
      </c>
      <c r="F519" s="6" t="s">
        <v>135</v>
      </c>
      <c r="G519" s="26" t="n">
        <v>46205</v>
      </c>
      <c r="H519" s="6" t="s">
        <v>78</v>
      </c>
      <c r="I519" s="26" t="n">
        <f aca="false">_xlfn.MINIFS(Transaction!$C$2:$C$8421,Transaction!$B$2:$B$8421,A519)</f>
        <v>46244</v>
      </c>
      <c r="J519" s="26" t="n">
        <f aca="false">_xlfn.MAXIFS(Transaction!$C$2:$C$8421,Transaction!$B$2:$B$8421,A519)</f>
        <v>46244</v>
      </c>
      <c r="K519" s="6" t="n">
        <f aca="false">COUNTIF(Transaction!$B$2:$B$8421,A519)</f>
        <v>1</v>
      </c>
      <c r="L519" s="10" t="n">
        <f aca="false">SUMIF(Transaction!$B$2:$B$8421,A519,Transaction!$H$2:$H$8421)</f>
        <v>1486</v>
      </c>
      <c r="M519" s="6" t="n">
        <f aca="false">Summary!$B$3-J519</f>
        <v>22</v>
      </c>
      <c r="N519" s="6" t="str">
        <f aca="false">IF(K519&gt;1,"Yes","No")</f>
        <v>No</v>
      </c>
      <c r="O519" s="6" t="s">
        <v>47</v>
      </c>
    </row>
    <row r="520" customFormat="false" ht="15" hidden="false" customHeight="false" outlineLevel="0" collapsed="false">
      <c r="A520" s="6" t="s">
        <v>1149</v>
      </c>
      <c r="B520" s="6" t="s">
        <v>1150</v>
      </c>
      <c r="C520" s="6" t="s">
        <v>75</v>
      </c>
      <c r="D520" s="6" t="n">
        <v>43</v>
      </c>
      <c r="E520" s="6" t="s">
        <v>91</v>
      </c>
      <c r="F520" s="6" t="s">
        <v>77</v>
      </c>
      <c r="G520" s="26" t="n">
        <v>46126</v>
      </c>
      <c r="H520" s="6" t="s">
        <v>78</v>
      </c>
      <c r="I520" s="26" t="n">
        <f aca="false">_xlfn.MINIFS(Transaction!$C$2:$C$8421,Transaction!$B$2:$B$8421,A520)</f>
        <v>46187</v>
      </c>
      <c r="J520" s="26" t="n">
        <f aca="false">_xlfn.MAXIFS(Transaction!$C$2:$C$8421,Transaction!$B$2:$B$8421,A520)</f>
        <v>46187</v>
      </c>
      <c r="K520" s="6" t="n">
        <f aca="false">COUNTIF(Transaction!$B$2:$B$8421,A520)</f>
        <v>1</v>
      </c>
      <c r="L520" s="10" t="n">
        <f aca="false">SUMIF(Transaction!$B$2:$B$8421,A520,Transaction!$H$2:$H$8421)</f>
        <v>1761</v>
      </c>
      <c r="M520" s="6" t="n">
        <f aca="false">Summary!$B$3-J520</f>
        <v>79</v>
      </c>
      <c r="N520" s="6" t="str">
        <f aca="false">IF(K520&gt;1,"Yes","No")</f>
        <v>No</v>
      </c>
      <c r="O520" s="6" t="s">
        <v>47</v>
      </c>
    </row>
    <row r="521" customFormat="false" ht="15" hidden="false" customHeight="false" outlineLevel="0" collapsed="false">
      <c r="A521" s="6" t="s">
        <v>1151</v>
      </c>
      <c r="B521" s="6" t="s">
        <v>1152</v>
      </c>
      <c r="C521" s="6" t="s">
        <v>85</v>
      </c>
      <c r="D521" s="6" t="n">
        <v>18</v>
      </c>
      <c r="E521" s="6" t="s">
        <v>430</v>
      </c>
      <c r="F521" s="6" t="s">
        <v>99</v>
      </c>
      <c r="G521" s="26" t="n">
        <v>45987</v>
      </c>
      <c r="H521" s="6" t="s">
        <v>78</v>
      </c>
      <c r="I521" s="26" t="n">
        <f aca="false">_xlfn.MINIFS(Transaction!$C$2:$C$8421,Transaction!$B$2:$B$8421,A521)</f>
        <v>46062</v>
      </c>
      <c r="J521" s="26" t="n">
        <f aca="false">_xlfn.MAXIFS(Transaction!$C$2:$C$8421,Transaction!$B$2:$B$8421,A521)</f>
        <v>46062</v>
      </c>
      <c r="K521" s="6" t="n">
        <f aca="false">COUNTIF(Transaction!$B$2:$B$8421,A521)</f>
        <v>1</v>
      </c>
      <c r="L521" s="10" t="n">
        <f aca="false">SUMIF(Transaction!$B$2:$B$8421,A521,Transaction!$H$2:$H$8421)</f>
        <v>1835</v>
      </c>
      <c r="M521" s="6" t="n">
        <f aca="false">Summary!$B$3-J521</f>
        <v>204</v>
      </c>
      <c r="N521" s="6" t="str">
        <f aca="false">IF(K521&gt;1,"Yes","No")</f>
        <v>No</v>
      </c>
      <c r="O521" s="6" t="s">
        <v>49</v>
      </c>
    </row>
    <row r="522" customFormat="false" ht="15" hidden="false" customHeight="false" outlineLevel="0" collapsed="false">
      <c r="A522" s="6" t="s">
        <v>1153</v>
      </c>
      <c r="B522" s="6" t="s">
        <v>1154</v>
      </c>
      <c r="C522" s="6" t="s">
        <v>85</v>
      </c>
      <c r="D522" s="6" t="n">
        <v>42</v>
      </c>
      <c r="E522" s="6" t="s">
        <v>105</v>
      </c>
      <c r="F522" s="6" t="s">
        <v>106</v>
      </c>
      <c r="G522" s="26" t="n">
        <v>46094</v>
      </c>
      <c r="H522" s="6" t="s">
        <v>78</v>
      </c>
      <c r="I522" s="26" t="n">
        <f aca="false">_xlfn.MINIFS(Transaction!$C$2:$C$8421,Transaction!$B$2:$B$8421,A522)</f>
        <v>46108</v>
      </c>
      <c r="J522" s="26" t="n">
        <f aca="false">_xlfn.MAXIFS(Transaction!$C$2:$C$8421,Transaction!$B$2:$B$8421,A522)</f>
        <v>46211</v>
      </c>
      <c r="K522" s="6" t="n">
        <f aca="false">COUNTIF(Transaction!$B$2:$B$8421,A522)</f>
        <v>5</v>
      </c>
      <c r="L522" s="10" t="n">
        <f aca="false">SUMIF(Transaction!$B$2:$B$8421,A522,Transaction!$H$2:$H$8421)</f>
        <v>9129</v>
      </c>
      <c r="M522" s="6" t="n">
        <f aca="false">Summary!$B$3-J522</f>
        <v>55</v>
      </c>
      <c r="N522" s="6" t="str">
        <f aca="false">IF(K522&gt;1,"Yes","No")</f>
        <v>Yes</v>
      </c>
      <c r="O522" s="6" t="s">
        <v>46</v>
      </c>
    </row>
    <row r="523" customFormat="false" ht="15" hidden="false" customHeight="false" outlineLevel="0" collapsed="false">
      <c r="A523" s="6" t="s">
        <v>1155</v>
      </c>
      <c r="B523" s="6" t="s">
        <v>1156</v>
      </c>
      <c r="C523" s="6" t="s">
        <v>85</v>
      </c>
      <c r="D523" s="6" t="n">
        <v>34</v>
      </c>
      <c r="E523" s="6" t="s">
        <v>134</v>
      </c>
      <c r="F523" s="6" t="s">
        <v>135</v>
      </c>
      <c r="G523" s="26" t="n">
        <v>45973</v>
      </c>
      <c r="H523" s="6" t="s">
        <v>123</v>
      </c>
      <c r="I523" s="26" t="n">
        <f aca="false">_xlfn.MINIFS(Transaction!$C$2:$C$8421,Transaction!$B$2:$B$8421,A523)</f>
        <v>46044</v>
      </c>
      <c r="J523" s="26" t="n">
        <f aca="false">_xlfn.MAXIFS(Transaction!$C$2:$C$8421,Transaction!$B$2:$B$8421,A523)</f>
        <v>46251</v>
      </c>
      <c r="K523" s="6" t="n">
        <f aca="false">COUNTIF(Transaction!$B$2:$B$8421,A523)</f>
        <v>11</v>
      </c>
      <c r="L523" s="10" t="n">
        <f aca="false">SUMIF(Transaction!$B$2:$B$8421,A523,Transaction!$H$2:$H$8421)</f>
        <v>41286</v>
      </c>
      <c r="M523" s="6" t="n">
        <f aca="false">Summary!$B$3-J523</f>
        <v>15</v>
      </c>
      <c r="N523" s="6" t="str">
        <f aca="false">IF(K523&gt;1,"Yes","No")</f>
        <v>Yes</v>
      </c>
      <c r="O523" s="6" t="s">
        <v>45</v>
      </c>
    </row>
    <row r="524" customFormat="false" ht="15" hidden="false" customHeight="false" outlineLevel="0" collapsed="false">
      <c r="A524" s="6" t="s">
        <v>1157</v>
      </c>
      <c r="B524" s="6" t="s">
        <v>1158</v>
      </c>
      <c r="C524" s="6" t="s">
        <v>85</v>
      </c>
      <c r="D524" s="6" t="n">
        <v>32</v>
      </c>
      <c r="E524" s="6" t="s">
        <v>76</v>
      </c>
      <c r="F524" s="6" t="s">
        <v>77</v>
      </c>
      <c r="G524" s="26" t="n">
        <v>46038</v>
      </c>
      <c r="H524" s="6" t="s">
        <v>78</v>
      </c>
      <c r="I524" s="26" t="n">
        <f aca="false">_xlfn.MINIFS(Transaction!$C$2:$C$8421,Transaction!$B$2:$B$8421,A524)</f>
        <v>46082</v>
      </c>
      <c r="J524" s="26" t="n">
        <f aca="false">_xlfn.MAXIFS(Transaction!$C$2:$C$8421,Transaction!$B$2:$B$8421,A524)</f>
        <v>46253</v>
      </c>
      <c r="K524" s="6" t="n">
        <f aca="false">COUNTIF(Transaction!$B$2:$B$8421,A524)</f>
        <v>7</v>
      </c>
      <c r="L524" s="10" t="n">
        <f aca="false">SUMIF(Transaction!$B$2:$B$8421,A524,Transaction!$H$2:$H$8421)</f>
        <v>10070</v>
      </c>
      <c r="M524" s="6" t="n">
        <f aca="false">Summary!$B$3-J524</f>
        <v>13</v>
      </c>
      <c r="N524" s="6" t="str">
        <f aca="false">IF(K524&gt;1,"Yes","No")</f>
        <v>Yes</v>
      </c>
      <c r="O524" s="6" t="s">
        <v>46</v>
      </c>
    </row>
    <row r="525" customFormat="false" ht="15" hidden="false" customHeight="false" outlineLevel="0" collapsed="false">
      <c r="A525" s="6" t="s">
        <v>1159</v>
      </c>
      <c r="B525" s="6" t="s">
        <v>1160</v>
      </c>
      <c r="C525" s="6" t="s">
        <v>85</v>
      </c>
      <c r="D525" s="6" t="n">
        <v>18</v>
      </c>
      <c r="E525" s="6" t="s">
        <v>95</v>
      </c>
      <c r="F525" s="6" t="s">
        <v>95</v>
      </c>
      <c r="G525" s="26" t="n">
        <v>46074</v>
      </c>
      <c r="H525" s="6" t="s">
        <v>115</v>
      </c>
      <c r="I525" s="26" t="n">
        <f aca="false">_xlfn.MINIFS(Transaction!$C$2:$C$8421,Transaction!$B$2:$B$8421,A525)</f>
        <v>46083</v>
      </c>
      <c r="J525" s="26" t="n">
        <f aca="false">_xlfn.MAXIFS(Transaction!$C$2:$C$8421,Transaction!$B$2:$B$8421,A525)</f>
        <v>46083</v>
      </c>
      <c r="K525" s="6" t="n">
        <f aca="false">COUNTIF(Transaction!$B$2:$B$8421,A525)</f>
        <v>1</v>
      </c>
      <c r="L525" s="10" t="n">
        <f aca="false">SUMIF(Transaction!$B$2:$B$8421,A525,Transaction!$H$2:$H$8421)</f>
        <v>3172</v>
      </c>
      <c r="M525" s="6" t="n">
        <f aca="false">Summary!$B$3-J525</f>
        <v>183</v>
      </c>
      <c r="N525" s="6" t="str">
        <f aca="false">IF(K525&gt;1,"Yes","No")</f>
        <v>No</v>
      </c>
      <c r="O525" s="6" t="s">
        <v>49</v>
      </c>
    </row>
    <row r="526" customFormat="false" ht="15" hidden="false" customHeight="false" outlineLevel="0" collapsed="false">
      <c r="A526" s="6" t="s">
        <v>1161</v>
      </c>
      <c r="B526" s="6" t="s">
        <v>1162</v>
      </c>
      <c r="C526" s="6" t="s">
        <v>85</v>
      </c>
      <c r="D526" s="6" t="n">
        <v>38</v>
      </c>
      <c r="E526" s="6" t="s">
        <v>81</v>
      </c>
      <c r="F526" s="6" t="s">
        <v>82</v>
      </c>
      <c r="G526" s="26" t="n">
        <v>46147</v>
      </c>
      <c r="H526" s="6" t="s">
        <v>115</v>
      </c>
      <c r="I526" s="26" t="n">
        <f aca="false">_xlfn.MINIFS(Transaction!$C$2:$C$8421,Transaction!$B$2:$B$8421,A526)</f>
        <v>46197</v>
      </c>
      <c r="J526" s="26" t="n">
        <f aca="false">_xlfn.MAXIFS(Transaction!$C$2:$C$8421,Transaction!$B$2:$B$8421,A526)</f>
        <v>46197</v>
      </c>
      <c r="K526" s="6" t="n">
        <f aca="false">COUNTIF(Transaction!$B$2:$B$8421,A526)</f>
        <v>1</v>
      </c>
      <c r="L526" s="10" t="n">
        <f aca="false">SUMIF(Transaction!$B$2:$B$8421,A526,Transaction!$H$2:$H$8421)</f>
        <v>4422</v>
      </c>
      <c r="M526" s="6" t="n">
        <f aca="false">Summary!$B$3-J526</f>
        <v>69</v>
      </c>
      <c r="N526" s="6" t="str">
        <f aca="false">IF(K526&gt;1,"Yes","No")</f>
        <v>No</v>
      </c>
      <c r="O526" s="6" t="s">
        <v>47</v>
      </c>
    </row>
    <row r="527" customFormat="false" ht="15" hidden="false" customHeight="false" outlineLevel="0" collapsed="false">
      <c r="A527" s="6" t="s">
        <v>1163</v>
      </c>
      <c r="B527" s="6" t="s">
        <v>1164</v>
      </c>
      <c r="C527" s="6" t="s">
        <v>75</v>
      </c>
      <c r="D527" s="6" t="n">
        <v>19</v>
      </c>
      <c r="E527" s="6" t="s">
        <v>206</v>
      </c>
      <c r="F527" s="6" t="s">
        <v>106</v>
      </c>
      <c r="G527" s="26" t="n">
        <v>45953</v>
      </c>
      <c r="H527" s="6" t="s">
        <v>115</v>
      </c>
      <c r="I527" s="26" t="n">
        <f aca="false">_xlfn.MINIFS(Transaction!$C$2:$C$8421,Transaction!$B$2:$B$8421,A527)</f>
        <v>46040</v>
      </c>
      <c r="J527" s="26" t="n">
        <f aca="false">_xlfn.MAXIFS(Transaction!$C$2:$C$8421,Transaction!$B$2:$B$8421,A527)</f>
        <v>46254</v>
      </c>
      <c r="K527" s="6" t="n">
        <f aca="false">COUNTIF(Transaction!$B$2:$B$8421,A527)</f>
        <v>11</v>
      </c>
      <c r="L527" s="10" t="n">
        <f aca="false">SUMIF(Transaction!$B$2:$B$8421,A527,Transaction!$H$2:$H$8421)</f>
        <v>22165</v>
      </c>
      <c r="M527" s="6" t="n">
        <f aca="false">Summary!$B$3-J527</f>
        <v>12</v>
      </c>
      <c r="N527" s="6" t="str">
        <f aca="false">IF(K527&gt;1,"Yes","No")</f>
        <v>Yes</v>
      </c>
      <c r="O527" s="6" t="s">
        <v>45</v>
      </c>
    </row>
    <row r="528" customFormat="false" ht="15" hidden="false" customHeight="false" outlineLevel="0" collapsed="false">
      <c r="A528" s="6" t="s">
        <v>1165</v>
      </c>
      <c r="B528" s="6" t="s">
        <v>1166</v>
      </c>
      <c r="C528" s="6" t="s">
        <v>75</v>
      </c>
      <c r="D528" s="6" t="n">
        <v>28</v>
      </c>
      <c r="E528" s="6" t="s">
        <v>264</v>
      </c>
      <c r="F528" s="6" t="s">
        <v>106</v>
      </c>
      <c r="G528" s="26" t="n">
        <v>46047</v>
      </c>
      <c r="H528" s="6" t="s">
        <v>102</v>
      </c>
      <c r="I528" s="26" t="n">
        <f aca="false">_xlfn.MINIFS(Transaction!$C$2:$C$8421,Transaction!$B$2:$B$8421,A528)</f>
        <v>46113</v>
      </c>
      <c r="J528" s="26" t="n">
        <f aca="false">_xlfn.MAXIFS(Transaction!$C$2:$C$8421,Transaction!$B$2:$B$8421,A528)</f>
        <v>46113</v>
      </c>
      <c r="K528" s="6" t="n">
        <f aca="false">COUNTIF(Transaction!$B$2:$B$8421,A528)</f>
        <v>1</v>
      </c>
      <c r="L528" s="10" t="n">
        <f aca="false">SUMIF(Transaction!$B$2:$B$8421,A528,Transaction!$H$2:$H$8421)</f>
        <v>1672</v>
      </c>
      <c r="M528" s="6" t="n">
        <f aca="false">Summary!$B$3-J528</f>
        <v>153</v>
      </c>
      <c r="N528" s="6" t="str">
        <f aca="false">IF(K528&gt;1,"Yes","No")</f>
        <v>No</v>
      </c>
      <c r="O528" s="6" t="s">
        <v>48</v>
      </c>
    </row>
    <row r="529" customFormat="false" ht="15" hidden="false" customHeight="false" outlineLevel="0" collapsed="false">
      <c r="A529" s="6" t="s">
        <v>1167</v>
      </c>
      <c r="B529" s="6" t="s">
        <v>1168</v>
      </c>
      <c r="C529" s="6" t="s">
        <v>75</v>
      </c>
      <c r="D529" s="6" t="n">
        <v>46</v>
      </c>
      <c r="E529" s="6" t="s">
        <v>91</v>
      </c>
      <c r="F529" s="6" t="s">
        <v>77</v>
      </c>
      <c r="G529" s="26" t="n">
        <v>46167</v>
      </c>
      <c r="H529" s="6" t="s">
        <v>102</v>
      </c>
      <c r="I529" s="26" t="n">
        <f aca="false">_xlfn.MINIFS(Transaction!$C$2:$C$8421,Transaction!$B$2:$B$8421,A529)</f>
        <v>46246</v>
      </c>
      <c r="J529" s="26" t="n">
        <f aca="false">_xlfn.MAXIFS(Transaction!$C$2:$C$8421,Transaction!$B$2:$B$8421,A529)</f>
        <v>46246</v>
      </c>
      <c r="K529" s="6" t="n">
        <f aca="false">COUNTIF(Transaction!$B$2:$B$8421,A529)</f>
        <v>1</v>
      </c>
      <c r="L529" s="10" t="n">
        <f aca="false">SUMIF(Transaction!$B$2:$B$8421,A529,Transaction!$H$2:$H$8421)</f>
        <v>2202</v>
      </c>
      <c r="M529" s="6" t="n">
        <f aca="false">Summary!$B$3-J529</f>
        <v>20</v>
      </c>
      <c r="N529" s="6" t="str">
        <f aca="false">IF(K529&gt;1,"Yes","No")</f>
        <v>No</v>
      </c>
      <c r="O529" s="6" t="s">
        <v>47</v>
      </c>
    </row>
    <row r="530" customFormat="false" ht="15" hidden="false" customHeight="false" outlineLevel="0" collapsed="false">
      <c r="A530" s="6" t="s">
        <v>1169</v>
      </c>
      <c r="B530" s="6" t="s">
        <v>1170</v>
      </c>
      <c r="C530" s="6" t="s">
        <v>75</v>
      </c>
      <c r="D530" s="6" t="n">
        <v>21</v>
      </c>
      <c r="E530" s="6" t="s">
        <v>98</v>
      </c>
      <c r="F530" s="6" t="s">
        <v>99</v>
      </c>
      <c r="G530" s="26" t="n">
        <v>46155</v>
      </c>
      <c r="H530" s="6" t="s">
        <v>78</v>
      </c>
      <c r="I530" s="26" t="n">
        <f aca="false">_xlfn.MINIFS(Transaction!$C$2:$C$8421,Transaction!$B$2:$B$8421,A530)</f>
        <v>46170</v>
      </c>
      <c r="J530" s="26" t="n">
        <f aca="false">_xlfn.MAXIFS(Transaction!$C$2:$C$8421,Transaction!$B$2:$B$8421,A530)</f>
        <v>46170</v>
      </c>
      <c r="K530" s="6" t="n">
        <f aca="false">COUNTIF(Transaction!$B$2:$B$8421,A530)</f>
        <v>1</v>
      </c>
      <c r="L530" s="10" t="n">
        <f aca="false">SUMIF(Transaction!$B$2:$B$8421,A530,Transaction!$H$2:$H$8421)</f>
        <v>1120</v>
      </c>
      <c r="M530" s="6" t="n">
        <f aca="false">Summary!$B$3-J530</f>
        <v>96</v>
      </c>
      <c r="N530" s="6" t="str">
        <f aca="false">IF(K530&gt;1,"Yes","No")</f>
        <v>No</v>
      </c>
      <c r="O530" s="6" t="s">
        <v>48</v>
      </c>
    </row>
    <row r="531" customFormat="false" ht="15" hidden="false" customHeight="false" outlineLevel="0" collapsed="false">
      <c r="A531" s="6" t="s">
        <v>1171</v>
      </c>
      <c r="B531" s="6" t="s">
        <v>1172</v>
      </c>
      <c r="C531" s="6" t="s">
        <v>85</v>
      </c>
      <c r="D531" s="6" t="n">
        <v>26</v>
      </c>
      <c r="E531" s="6" t="s">
        <v>237</v>
      </c>
      <c r="F531" s="6" t="s">
        <v>87</v>
      </c>
      <c r="G531" s="26" t="n">
        <v>46076</v>
      </c>
      <c r="H531" s="6" t="s">
        <v>92</v>
      </c>
      <c r="I531" s="26" t="n">
        <f aca="false">_xlfn.MINIFS(Transaction!$C$2:$C$8421,Transaction!$B$2:$B$8421,A531)</f>
        <v>46143</v>
      </c>
      <c r="J531" s="26" t="n">
        <f aca="false">_xlfn.MAXIFS(Transaction!$C$2:$C$8421,Transaction!$B$2:$B$8421,A531)</f>
        <v>46256</v>
      </c>
      <c r="K531" s="6" t="n">
        <f aca="false">COUNTIF(Transaction!$B$2:$B$8421,A531)</f>
        <v>5</v>
      </c>
      <c r="L531" s="10" t="n">
        <f aca="false">SUMIF(Transaction!$B$2:$B$8421,A531,Transaction!$H$2:$H$8421)</f>
        <v>8960</v>
      </c>
      <c r="M531" s="6" t="n">
        <f aca="false">Summary!$B$3-J531</f>
        <v>10</v>
      </c>
      <c r="N531" s="6" t="str">
        <f aca="false">IF(K531&gt;1,"Yes","No")</f>
        <v>Yes</v>
      </c>
      <c r="O531" s="6" t="s">
        <v>46</v>
      </c>
    </row>
    <row r="532" customFormat="false" ht="15" hidden="false" customHeight="false" outlineLevel="0" collapsed="false">
      <c r="A532" s="6" t="s">
        <v>1173</v>
      </c>
      <c r="B532" s="6" t="s">
        <v>1174</v>
      </c>
      <c r="C532" s="6" t="s">
        <v>75</v>
      </c>
      <c r="D532" s="6" t="n">
        <v>18</v>
      </c>
      <c r="E532" s="6" t="s">
        <v>146</v>
      </c>
      <c r="F532" s="6" t="s">
        <v>147</v>
      </c>
      <c r="G532" s="26" t="n">
        <v>46178</v>
      </c>
      <c r="H532" s="6" t="s">
        <v>102</v>
      </c>
      <c r="I532" s="26" t="n">
        <f aca="false">_xlfn.MINIFS(Transaction!$C$2:$C$8421,Transaction!$B$2:$B$8421,A532)</f>
        <v>46216</v>
      </c>
      <c r="J532" s="26" t="n">
        <f aca="false">_xlfn.MAXIFS(Transaction!$C$2:$C$8421,Transaction!$B$2:$B$8421,A532)</f>
        <v>46216</v>
      </c>
      <c r="K532" s="6" t="n">
        <f aca="false">COUNTIF(Transaction!$B$2:$B$8421,A532)</f>
        <v>1</v>
      </c>
      <c r="L532" s="10" t="n">
        <f aca="false">SUMIF(Transaction!$B$2:$B$8421,A532,Transaction!$H$2:$H$8421)</f>
        <v>4280</v>
      </c>
      <c r="M532" s="6" t="n">
        <f aca="false">Summary!$B$3-J532</f>
        <v>50</v>
      </c>
      <c r="N532" s="6" t="str">
        <f aca="false">IF(K532&gt;1,"Yes","No")</f>
        <v>No</v>
      </c>
      <c r="O532" s="6" t="s">
        <v>47</v>
      </c>
    </row>
    <row r="533" customFormat="false" ht="15" hidden="false" customHeight="false" outlineLevel="0" collapsed="false">
      <c r="A533" s="6" t="s">
        <v>1175</v>
      </c>
      <c r="B533" s="6" t="s">
        <v>1176</v>
      </c>
      <c r="C533" s="6" t="s">
        <v>75</v>
      </c>
      <c r="D533" s="6" t="n">
        <v>18</v>
      </c>
      <c r="E533" s="6" t="s">
        <v>121</v>
      </c>
      <c r="F533" s="6" t="s">
        <v>122</v>
      </c>
      <c r="G533" s="26" t="n">
        <v>46201</v>
      </c>
      <c r="H533" s="6" t="s">
        <v>115</v>
      </c>
      <c r="I533" s="26" t="n">
        <f aca="false">_xlfn.MINIFS(Transaction!$C$2:$C$8421,Transaction!$B$2:$B$8421,A533)</f>
        <v>46232</v>
      </c>
      <c r="J533" s="26" t="n">
        <f aca="false">_xlfn.MAXIFS(Transaction!$C$2:$C$8421,Transaction!$B$2:$B$8421,A533)</f>
        <v>46232</v>
      </c>
      <c r="K533" s="6" t="n">
        <f aca="false">COUNTIF(Transaction!$B$2:$B$8421,A533)</f>
        <v>1</v>
      </c>
      <c r="L533" s="10" t="n">
        <f aca="false">SUMIF(Transaction!$B$2:$B$8421,A533,Transaction!$H$2:$H$8421)</f>
        <v>13256</v>
      </c>
      <c r="M533" s="6" t="n">
        <f aca="false">Summary!$B$3-J533</f>
        <v>34</v>
      </c>
      <c r="N533" s="6" t="str">
        <f aca="false">IF(K533&gt;1,"Yes","No")</f>
        <v>No</v>
      </c>
      <c r="O533" s="6" t="s">
        <v>47</v>
      </c>
    </row>
    <row r="534" customFormat="false" ht="15" hidden="false" customHeight="false" outlineLevel="0" collapsed="false">
      <c r="A534" s="6" t="s">
        <v>1177</v>
      </c>
      <c r="B534" s="6" t="s">
        <v>1178</v>
      </c>
      <c r="C534" s="6" t="s">
        <v>85</v>
      </c>
      <c r="D534" s="6" t="n">
        <v>31</v>
      </c>
      <c r="E534" s="6" t="s">
        <v>118</v>
      </c>
      <c r="F534" s="6" t="s">
        <v>77</v>
      </c>
      <c r="G534" s="26" t="n">
        <v>46027</v>
      </c>
      <c r="H534" s="6" t="s">
        <v>115</v>
      </c>
      <c r="I534" s="26" t="n">
        <f aca="false">_xlfn.MINIFS(Transaction!$C$2:$C$8421,Transaction!$B$2:$B$8421,A534)</f>
        <v>46084</v>
      </c>
      <c r="J534" s="26" t="n">
        <f aca="false">_xlfn.MAXIFS(Transaction!$C$2:$C$8421,Transaction!$B$2:$B$8421,A534)</f>
        <v>46084</v>
      </c>
      <c r="K534" s="6" t="n">
        <f aca="false">COUNTIF(Transaction!$B$2:$B$8421,A534)</f>
        <v>1</v>
      </c>
      <c r="L534" s="10" t="n">
        <f aca="false">SUMIF(Transaction!$B$2:$B$8421,A534,Transaction!$H$2:$H$8421)</f>
        <v>4887</v>
      </c>
      <c r="M534" s="6" t="n">
        <f aca="false">Summary!$B$3-J534</f>
        <v>182</v>
      </c>
      <c r="N534" s="6" t="str">
        <f aca="false">IF(K534&gt;1,"Yes","No")</f>
        <v>No</v>
      </c>
      <c r="O534" s="6" t="s">
        <v>49</v>
      </c>
    </row>
    <row r="535" customFormat="false" ht="15" hidden="false" customHeight="false" outlineLevel="0" collapsed="false">
      <c r="A535" s="6" t="s">
        <v>1179</v>
      </c>
      <c r="B535" s="6" t="s">
        <v>1180</v>
      </c>
      <c r="C535" s="6" t="s">
        <v>85</v>
      </c>
      <c r="D535" s="6" t="n">
        <v>38</v>
      </c>
      <c r="E535" s="6" t="s">
        <v>86</v>
      </c>
      <c r="F535" s="6" t="s">
        <v>87</v>
      </c>
      <c r="G535" s="26" t="n">
        <v>46059</v>
      </c>
      <c r="H535" s="6" t="s">
        <v>92</v>
      </c>
      <c r="I535" s="26" t="n">
        <f aca="false">_xlfn.MINIFS(Transaction!$C$2:$C$8421,Transaction!$B$2:$B$8421,A535)</f>
        <v>46094</v>
      </c>
      <c r="J535" s="26" t="n">
        <f aca="false">_xlfn.MAXIFS(Transaction!$C$2:$C$8421,Transaction!$B$2:$B$8421,A535)</f>
        <v>46234</v>
      </c>
      <c r="K535" s="6" t="n">
        <f aca="false">COUNTIF(Transaction!$B$2:$B$8421,A535)</f>
        <v>4</v>
      </c>
      <c r="L535" s="10" t="n">
        <f aca="false">SUMIF(Transaction!$B$2:$B$8421,A535,Transaction!$H$2:$H$8421)</f>
        <v>11161</v>
      </c>
      <c r="M535" s="6" t="n">
        <f aca="false">Summary!$B$3-J535</f>
        <v>32</v>
      </c>
      <c r="N535" s="6" t="str">
        <f aca="false">IF(K535&gt;1,"Yes","No")</f>
        <v>Yes</v>
      </c>
      <c r="O535" s="6" t="s">
        <v>46</v>
      </c>
    </row>
    <row r="536" customFormat="false" ht="15" hidden="false" customHeight="false" outlineLevel="0" collapsed="false">
      <c r="A536" s="6" t="s">
        <v>1181</v>
      </c>
      <c r="B536" s="6" t="s">
        <v>1182</v>
      </c>
      <c r="C536" s="6" t="s">
        <v>75</v>
      </c>
      <c r="D536" s="6" t="n">
        <v>30</v>
      </c>
      <c r="E536" s="6" t="s">
        <v>76</v>
      </c>
      <c r="F536" s="6" t="s">
        <v>77</v>
      </c>
      <c r="G536" s="26" t="n">
        <v>46083</v>
      </c>
      <c r="H536" s="6" t="s">
        <v>88</v>
      </c>
      <c r="I536" s="26" t="n">
        <f aca="false">_xlfn.MINIFS(Transaction!$C$2:$C$8421,Transaction!$B$2:$B$8421,A536)</f>
        <v>46100</v>
      </c>
      <c r="J536" s="26" t="n">
        <f aca="false">_xlfn.MAXIFS(Transaction!$C$2:$C$8421,Transaction!$B$2:$B$8421,A536)</f>
        <v>46201</v>
      </c>
      <c r="K536" s="6" t="n">
        <f aca="false">COUNTIF(Transaction!$B$2:$B$8421,A536)</f>
        <v>2</v>
      </c>
      <c r="L536" s="10" t="n">
        <f aca="false">SUMIF(Transaction!$B$2:$B$8421,A536,Transaction!$H$2:$H$8421)</f>
        <v>2475</v>
      </c>
      <c r="M536" s="6" t="n">
        <f aca="false">Summary!$B$3-J536</f>
        <v>65</v>
      </c>
      <c r="N536" s="6" t="str">
        <f aca="false">IF(K536&gt;1,"Yes","No")</f>
        <v>Yes</v>
      </c>
      <c r="O536" s="6" t="s">
        <v>46</v>
      </c>
    </row>
    <row r="537" customFormat="false" ht="15" hidden="false" customHeight="false" outlineLevel="0" collapsed="false">
      <c r="A537" s="6" t="s">
        <v>1183</v>
      </c>
      <c r="B537" s="6" t="s">
        <v>1184</v>
      </c>
      <c r="C537" s="6" t="s">
        <v>85</v>
      </c>
      <c r="D537" s="6" t="n">
        <v>28</v>
      </c>
      <c r="E537" s="6" t="s">
        <v>86</v>
      </c>
      <c r="F537" s="6" t="s">
        <v>87</v>
      </c>
      <c r="G537" s="26" t="n">
        <v>46142</v>
      </c>
      <c r="H537" s="6" t="s">
        <v>102</v>
      </c>
      <c r="I537" s="26" t="n">
        <f aca="false">_xlfn.MINIFS(Transaction!$C$2:$C$8421,Transaction!$B$2:$B$8421,A537)</f>
        <v>46171</v>
      </c>
      <c r="J537" s="26" t="n">
        <f aca="false">_xlfn.MAXIFS(Transaction!$C$2:$C$8421,Transaction!$B$2:$B$8421,A537)</f>
        <v>46171</v>
      </c>
      <c r="K537" s="6" t="n">
        <f aca="false">COUNTIF(Transaction!$B$2:$B$8421,A537)</f>
        <v>1</v>
      </c>
      <c r="L537" s="10" t="n">
        <f aca="false">SUMIF(Transaction!$B$2:$B$8421,A537,Transaction!$H$2:$H$8421)</f>
        <v>528</v>
      </c>
      <c r="M537" s="6" t="n">
        <f aca="false">Summary!$B$3-J537</f>
        <v>95</v>
      </c>
      <c r="N537" s="6" t="str">
        <f aca="false">IF(K537&gt;1,"Yes","No")</f>
        <v>No</v>
      </c>
      <c r="O537" s="6" t="s">
        <v>48</v>
      </c>
    </row>
    <row r="538" customFormat="false" ht="15" hidden="false" customHeight="false" outlineLevel="0" collapsed="false">
      <c r="A538" s="6" t="s">
        <v>1185</v>
      </c>
      <c r="B538" s="6" t="s">
        <v>1186</v>
      </c>
      <c r="C538" s="6" t="s">
        <v>75</v>
      </c>
      <c r="D538" s="6" t="n">
        <v>33</v>
      </c>
      <c r="E538" s="6" t="s">
        <v>146</v>
      </c>
      <c r="F538" s="6" t="s">
        <v>147</v>
      </c>
      <c r="G538" s="26" t="n">
        <v>46163</v>
      </c>
      <c r="H538" s="6" t="s">
        <v>88</v>
      </c>
      <c r="I538" s="26" t="n">
        <f aca="false">_xlfn.MINIFS(Transaction!$C$2:$C$8421,Transaction!$B$2:$B$8421,A538)</f>
        <v>46175</v>
      </c>
      <c r="J538" s="26" t="n">
        <f aca="false">_xlfn.MAXIFS(Transaction!$C$2:$C$8421,Transaction!$B$2:$B$8421,A538)</f>
        <v>46175</v>
      </c>
      <c r="K538" s="6" t="n">
        <f aca="false">COUNTIF(Transaction!$B$2:$B$8421,A538)</f>
        <v>1</v>
      </c>
      <c r="L538" s="10" t="n">
        <f aca="false">SUMIF(Transaction!$B$2:$B$8421,A538,Transaction!$H$2:$H$8421)</f>
        <v>264</v>
      </c>
      <c r="M538" s="6" t="n">
        <f aca="false">Summary!$B$3-J538</f>
        <v>91</v>
      </c>
      <c r="N538" s="6" t="str">
        <f aca="false">IF(K538&gt;1,"Yes","No")</f>
        <v>No</v>
      </c>
      <c r="O538" s="6" t="s">
        <v>47</v>
      </c>
    </row>
    <row r="539" customFormat="false" ht="15" hidden="false" customHeight="false" outlineLevel="0" collapsed="false">
      <c r="A539" s="6" t="s">
        <v>1187</v>
      </c>
      <c r="B539" s="6" t="s">
        <v>1188</v>
      </c>
      <c r="C539" s="6" t="s">
        <v>85</v>
      </c>
      <c r="D539" s="6" t="n">
        <v>41</v>
      </c>
      <c r="E539" s="6" t="s">
        <v>121</v>
      </c>
      <c r="F539" s="6" t="s">
        <v>122</v>
      </c>
      <c r="G539" s="26" t="n">
        <v>46055</v>
      </c>
      <c r="H539" s="6" t="s">
        <v>123</v>
      </c>
      <c r="I539" s="26" t="n">
        <f aca="false">_xlfn.MINIFS(Transaction!$C$2:$C$8421,Transaction!$B$2:$B$8421,A539)</f>
        <v>46078</v>
      </c>
      <c r="J539" s="26" t="n">
        <f aca="false">_xlfn.MAXIFS(Transaction!$C$2:$C$8421,Transaction!$B$2:$B$8421,A539)</f>
        <v>46078</v>
      </c>
      <c r="K539" s="6" t="n">
        <f aca="false">COUNTIF(Transaction!$B$2:$B$8421,A539)</f>
        <v>1</v>
      </c>
      <c r="L539" s="10" t="n">
        <f aca="false">SUMIF(Transaction!$B$2:$B$8421,A539,Transaction!$H$2:$H$8421)</f>
        <v>1987</v>
      </c>
      <c r="M539" s="6" t="n">
        <f aca="false">Summary!$B$3-J539</f>
        <v>188</v>
      </c>
      <c r="N539" s="6" t="str">
        <f aca="false">IF(K539&gt;1,"Yes","No")</f>
        <v>No</v>
      </c>
      <c r="O539" s="6" t="s">
        <v>49</v>
      </c>
    </row>
    <row r="540" customFormat="false" ht="15" hidden="false" customHeight="false" outlineLevel="0" collapsed="false">
      <c r="A540" s="6" t="s">
        <v>1189</v>
      </c>
      <c r="B540" s="6" t="s">
        <v>1190</v>
      </c>
      <c r="C540" s="6" t="s">
        <v>75</v>
      </c>
      <c r="D540" s="6" t="n">
        <v>23</v>
      </c>
      <c r="E540" s="6" t="s">
        <v>105</v>
      </c>
      <c r="F540" s="6" t="s">
        <v>106</v>
      </c>
      <c r="G540" s="26" t="n">
        <v>45950</v>
      </c>
      <c r="H540" s="6" t="s">
        <v>115</v>
      </c>
      <c r="I540" s="26" t="n">
        <f aca="false">_xlfn.MINIFS(Transaction!$C$2:$C$8421,Transaction!$B$2:$B$8421,A540)</f>
        <v>46027</v>
      </c>
      <c r="J540" s="26" t="n">
        <f aca="false">_xlfn.MAXIFS(Transaction!$C$2:$C$8421,Transaction!$B$2:$B$8421,A540)</f>
        <v>46260</v>
      </c>
      <c r="K540" s="6" t="n">
        <f aca="false">COUNTIF(Transaction!$B$2:$B$8421,A540)</f>
        <v>12</v>
      </c>
      <c r="L540" s="10" t="n">
        <f aca="false">SUMIF(Transaction!$B$2:$B$8421,A540,Transaction!$H$2:$H$8421)</f>
        <v>21023</v>
      </c>
      <c r="M540" s="6" t="n">
        <f aca="false">Summary!$B$3-J540</f>
        <v>6</v>
      </c>
      <c r="N540" s="6" t="str">
        <f aca="false">IF(K540&gt;1,"Yes","No")</f>
        <v>Yes</v>
      </c>
      <c r="O540" s="6" t="s">
        <v>45</v>
      </c>
    </row>
    <row r="541" customFormat="false" ht="15" hidden="false" customHeight="false" outlineLevel="0" collapsed="false">
      <c r="A541" s="6" t="s">
        <v>1191</v>
      </c>
      <c r="B541" s="6" t="s">
        <v>1192</v>
      </c>
      <c r="C541" s="6" t="s">
        <v>75</v>
      </c>
      <c r="D541" s="6" t="n">
        <v>44</v>
      </c>
      <c r="E541" s="6" t="s">
        <v>118</v>
      </c>
      <c r="F541" s="6" t="s">
        <v>77</v>
      </c>
      <c r="G541" s="26" t="n">
        <v>46130</v>
      </c>
      <c r="H541" s="6" t="s">
        <v>115</v>
      </c>
      <c r="I541" s="26" t="n">
        <f aca="false">_xlfn.MINIFS(Transaction!$C$2:$C$8421,Transaction!$B$2:$B$8421,A541)</f>
        <v>46201</v>
      </c>
      <c r="J541" s="26" t="n">
        <f aca="false">_xlfn.MAXIFS(Transaction!$C$2:$C$8421,Transaction!$B$2:$B$8421,A541)</f>
        <v>46201</v>
      </c>
      <c r="K541" s="6" t="n">
        <f aca="false">COUNTIF(Transaction!$B$2:$B$8421,A541)</f>
        <v>1</v>
      </c>
      <c r="L541" s="10" t="n">
        <f aca="false">SUMIF(Transaction!$B$2:$B$8421,A541,Transaction!$H$2:$H$8421)</f>
        <v>1018</v>
      </c>
      <c r="M541" s="6" t="n">
        <f aca="false">Summary!$B$3-J541</f>
        <v>65</v>
      </c>
      <c r="N541" s="6" t="str">
        <f aca="false">IF(K541&gt;1,"Yes","No")</f>
        <v>No</v>
      </c>
      <c r="O541" s="6" t="s">
        <v>47</v>
      </c>
    </row>
    <row r="542" customFormat="false" ht="15" hidden="false" customHeight="false" outlineLevel="0" collapsed="false">
      <c r="A542" s="6" t="s">
        <v>1193</v>
      </c>
      <c r="B542" s="6" t="s">
        <v>1194</v>
      </c>
      <c r="C542" s="6" t="s">
        <v>75</v>
      </c>
      <c r="D542" s="6" t="n">
        <v>22</v>
      </c>
      <c r="E542" s="6" t="s">
        <v>76</v>
      </c>
      <c r="F542" s="6" t="s">
        <v>77</v>
      </c>
      <c r="G542" s="26" t="n">
        <v>46102</v>
      </c>
      <c r="H542" s="6" t="s">
        <v>115</v>
      </c>
      <c r="I542" s="26" t="n">
        <f aca="false">_xlfn.MINIFS(Transaction!$C$2:$C$8421,Transaction!$B$2:$B$8421,A542)</f>
        <v>46137</v>
      </c>
      <c r="J542" s="26" t="n">
        <f aca="false">_xlfn.MAXIFS(Transaction!$C$2:$C$8421,Transaction!$B$2:$B$8421,A542)</f>
        <v>46137</v>
      </c>
      <c r="K542" s="6" t="n">
        <f aca="false">COUNTIF(Transaction!$B$2:$B$8421,A542)</f>
        <v>1</v>
      </c>
      <c r="L542" s="10" t="n">
        <f aca="false">SUMIF(Transaction!$B$2:$B$8421,A542,Transaction!$H$2:$H$8421)</f>
        <v>783</v>
      </c>
      <c r="M542" s="6" t="n">
        <f aca="false">Summary!$B$3-J542</f>
        <v>129</v>
      </c>
      <c r="N542" s="6" t="str">
        <f aca="false">IF(K542&gt;1,"Yes","No")</f>
        <v>No</v>
      </c>
      <c r="O542" s="6" t="s">
        <v>48</v>
      </c>
    </row>
    <row r="543" customFormat="false" ht="15" hidden="false" customHeight="false" outlineLevel="0" collapsed="false">
      <c r="A543" s="6" t="s">
        <v>1195</v>
      </c>
      <c r="B543" s="6" t="s">
        <v>1196</v>
      </c>
      <c r="C543" s="6" t="s">
        <v>75</v>
      </c>
      <c r="D543" s="6" t="n">
        <v>26</v>
      </c>
      <c r="E543" s="6" t="s">
        <v>76</v>
      </c>
      <c r="F543" s="6" t="s">
        <v>77</v>
      </c>
      <c r="G543" s="26" t="n">
        <v>46040</v>
      </c>
      <c r="H543" s="6" t="s">
        <v>102</v>
      </c>
      <c r="I543" s="26" t="n">
        <f aca="false">_xlfn.MINIFS(Transaction!$C$2:$C$8421,Transaction!$B$2:$B$8421,A543)</f>
        <v>46117</v>
      </c>
      <c r="J543" s="26" t="n">
        <f aca="false">_xlfn.MAXIFS(Transaction!$C$2:$C$8421,Transaction!$B$2:$B$8421,A543)</f>
        <v>46117</v>
      </c>
      <c r="K543" s="6" t="n">
        <f aca="false">COUNTIF(Transaction!$B$2:$B$8421,A543)</f>
        <v>1</v>
      </c>
      <c r="L543" s="10" t="n">
        <f aca="false">SUMIF(Transaction!$B$2:$B$8421,A543,Transaction!$H$2:$H$8421)</f>
        <v>782</v>
      </c>
      <c r="M543" s="6" t="n">
        <f aca="false">Summary!$B$3-J543</f>
        <v>149</v>
      </c>
      <c r="N543" s="6" t="str">
        <f aca="false">IF(K543&gt;1,"Yes","No")</f>
        <v>No</v>
      </c>
      <c r="O543" s="6" t="s">
        <v>48</v>
      </c>
    </row>
    <row r="544" customFormat="false" ht="15" hidden="false" customHeight="false" outlineLevel="0" collapsed="false">
      <c r="A544" s="6" t="s">
        <v>1197</v>
      </c>
      <c r="B544" s="6" t="s">
        <v>1198</v>
      </c>
      <c r="C544" s="6" t="s">
        <v>85</v>
      </c>
      <c r="D544" s="6" t="n">
        <v>42</v>
      </c>
      <c r="E544" s="6" t="s">
        <v>121</v>
      </c>
      <c r="F544" s="6" t="s">
        <v>122</v>
      </c>
      <c r="G544" s="26" t="n">
        <v>46099</v>
      </c>
      <c r="H544" s="6" t="s">
        <v>102</v>
      </c>
      <c r="I544" s="26" t="n">
        <f aca="false">_xlfn.MINIFS(Transaction!$C$2:$C$8421,Transaction!$B$2:$B$8421,A544)</f>
        <v>46175</v>
      </c>
      <c r="J544" s="26" t="n">
        <f aca="false">_xlfn.MAXIFS(Transaction!$C$2:$C$8421,Transaction!$B$2:$B$8421,A544)</f>
        <v>46175</v>
      </c>
      <c r="K544" s="6" t="n">
        <f aca="false">COUNTIF(Transaction!$B$2:$B$8421,A544)</f>
        <v>1</v>
      </c>
      <c r="L544" s="10" t="n">
        <f aca="false">SUMIF(Transaction!$B$2:$B$8421,A544,Transaction!$H$2:$H$8421)</f>
        <v>866</v>
      </c>
      <c r="M544" s="6" t="n">
        <f aca="false">Summary!$B$3-J544</f>
        <v>91</v>
      </c>
      <c r="N544" s="6" t="str">
        <f aca="false">IF(K544&gt;1,"Yes","No")</f>
        <v>No</v>
      </c>
      <c r="O544" s="6" t="s">
        <v>47</v>
      </c>
    </row>
    <row r="545" customFormat="false" ht="15" hidden="false" customHeight="false" outlineLevel="0" collapsed="false">
      <c r="A545" s="6" t="s">
        <v>1199</v>
      </c>
      <c r="B545" s="6" t="s">
        <v>1200</v>
      </c>
      <c r="C545" s="6" t="s">
        <v>85</v>
      </c>
      <c r="D545" s="6" t="n">
        <v>33</v>
      </c>
      <c r="E545" s="6" t="s">
        <v>134</v>
      </c>
      <c r="F545" s="6" t="s">
        <v>135</v>
      </c>
      <c r="G545" s="26" t="n">
        <v>46020</v>
      </c>
      <c r="H545" s="6" t="s">
        <v>88</v>
      </c>
      <c r="I545" s="26" t="n">
        <f aca="false">_xlfn.MINIFS(Transaction!$C$2:$C$8421,Transaction!$B$2:$B$8421,A545)</f>
        <v>46104</v>
      </c>
      <c r="J545" s="26" t="n">
        <f aca="false">_xlfn.MAXIFS(Transaction!$C$2:$C$8421,Transaction!$B$2:$B$8421,A545)</f>
        <v>46223</v>
      </c>
      <c r="K545" s="6" t="n">
        <f aca="false">COUNTIF(Transaction!$B$2:$B$8421,A545)</f>
        <v>4</v>
      </c>
      <c r="L545" s="10" t="n">
        <f aca="false">SUMIF(Transaction!$B$2:$B$8421,A545,Transaction!$H$2:$H$8421)</f>
        <v>9738</v>
      </c>
      <c r="M545" s="6" t="n">
        <f aca="false">Summary!$B$3-J545</f>
        <v>43</v>
      </c>
      <c r="N545" s="6" t="str">
        <f aca="false">IF(K545&gt;1,"Yes","No")</f>
        <v>Yes</v>
      </c>
      <c r="O545" s="6" t="s">
        <v>46</v>
      </c>
    </row>
    <row r="546" customFormat="false" ht="15" hidden="false" customHeight="false" outlineLevel="0" collapsed="false">
      <c r="A546" s="6" t="s">
        <v>1201</v>
      </c>
      <c r="B546" s="6" t="s">
        <v>1202</v>
      </c>
      <c r="C546" s="6" t="s">
        <v>85</v>
      </c>
      <c r="D546" s="6" t="n">
        <v>34</v>
      </c>
      <c r="E546" s="6" t="s">
        <v>81</v>
      </c>
      <c r="F546" s="6" t="s">
        <v>82</v>
      </c>
      <c r="G546" s="26" t="n">
        <v>46159</v>
      </c>
      <c r="H546" s="6" t="s">
        <v>92</v>
      </c>
      <c r="I546" s="26" t="n">
        <f aca="false">_xlfn.MINIFS(Transaction!$C$2:$C$8421,Transaction!$B$2:$B$8421,A546)</f>
        <v>46160</v>
      </c>
      <c r="J546" s="26" t="n">
        <f aca="false">_xlfn.MAXIFS(Transaction!$C$2:$C$8421,Transaction!$B$2:$B$8421,A546)</f>
        <v>46236</v>
      </c>
      <c r="K546" s="6" t="n">
        <f aca="false">COUNTIF(Transaction!$B$2:$B$8421,A546)</f>
        <v>5</v>
      </c>
      <c r="L546" s="10" t="n">
        <f aca="false">SUMIF(Transaction!$B$2:$B$8421,A546,Transaction!$H$2:$H$8421)</f>
        <v>11998</v>
      </c>
      <c r="M546" s="6" t="n">
        <f aca="false">Summary!$B$3-J546</f>
        <v>30</v>
      </c>
      <c r="N546" s="6" t="str">
        <f aca="false">IF(K546&gt;1,"Yes","No")</f>
        <v>Yes</v>
      </c>
      <c r="O546" s="6" t="s">
        <v>46</v>
      </c>
    </row>
    <row r="547" customFormat="false" ht="15" hidden="false" customHeight="false" outlineLevel="0" collapsed="false">
      <c r="A547" s="6" t="s">
        <v>1203</v>
      </c>
      <c r="B547" s="6" t="s">
        <v>1204</v>
      </c>
      <c r="C547" s="6" t="s">
        <v>75</v>
      </c>
      <c r="D547" s="6" t="n">
        <v>20</v>
      </c>
      <c r="E547" s="6" t="s">
        <v>95</v>
      </c>
      <c r="F547" s="6" t="s">
        <v>95</v>
      </c>
      <c r="G547" s="26" t="n">
        <v>46097</v>
      </c>
      <c r="H547" s="6" t="s">
        <v>78</v>
      </c>
      <c r="I547" s="26" t="n">
        <f aca="false">_xlfn.MINIFS(Transaction!$C$2:$C$8421,Transaction!$B$2:$B$8421,A547)</f>
        <v>46164</v>
      </c>
      <c r="J547" s="26" t="n">
        <f aca="false">_xlfn.MAXIFS(Transaction!$C$2:$C$8421,Transaction!$B$2:$B$8421,A547)</f>
        <v>46218</v>
      </c>
      <c r="K547" s="6" t="n">
        <f aca="false">COUNTIF(Transaction!$B$2:$B$8421,A547)</f>
        <v>4</v>
      </c>
      <c r="L547" s="10" t="n">
        <f aca="false">SUMIF(Transaction!$B$2:$B$8421,A547,Transaction!$H$2:$H$8421)</f>
        <v>5359</v>
      </c>
      <c r="M547" s="6" t="n">
        <f aca="false">Summary!$B$3-J547</f>
        <v>48</v>
      </c>
      <c r="N547" s="6" t="str">
        <f aca="false">IF(K547&gt;1,"Yes","No")</f>
        <v>Yes</v>
      </c>
      <c r="O547" s="6" t="s">
        <v>46</v>
      </c>
    </row>
    <row r="548" customFormat="false" ht="15" hidden="false" customHeight="false" outlineLevel="0" collapsed="false">
      <c r="A548" s="6" t="s">
        <v>1205</v>
      </c>
      <c r="B548" s="6" t="s">
        <v>1206</v>
      </c>
      <c r="C548" s="6" t="s">
        <v>75</v>
      </c>
      <c r="D548" s="6" t="n">
        <v>38</v>
      </c>
      <c r="E548" s="6" t="s">
        <v>98</v>
      </c>
      <c r="F548" s="6" t="s">
        <v>99</v>
      </c>
      <c r="G548" s="26" t="n">
        <v>46079</v>
      </c>
      <c r="H548" s="6" t="s">
        <v>78</v>
      </c>
      <c r="I548" s="26" t="n">
        <f aca="false">_xlfn.MINIFS(Transaction!$C$2:$C$8421,Transaction!$B$2:$B$8421,A548)</f>
        <v>46089</v>
      </c>
      <c r="J548" s="26" t="n">
        <f aca="false">_xlfn.MAXIFS(Transaction!$C$2:$C$8421,Transaction!$B$2:$B$8421,A548)</f>
        <v>46089</v>
      </c>
      <c r="K548" s="6" t="n">
        <f aca="false">COUNTIF(Transaction!$B$2:$B$8421,A548)</f>
        <v>1</v>
      </c>
      <c r="L548" s="10" t="n">
        <f aca="false">SUMIF(Transaction!$B$2:$B$8421,A548,Transaction!$H$2:$H$8421)</f>
        <v>549</v>
      </c>
      <c r="M548" s="6" t="n">
        <f aca="false">Summary!$B$3-J548</f>
        <v>177</v>
      </c>
      <c r="N548" s="6" t="str">
        <f aca="false">IF(K548&gt;1,"Yes","No")</f>
        <v>No</v>
      </c>
      <c r="O548" s="6" t="s">
        <v>49</v>
      </c>
    </row>
    <row r="549" customFormat="false" ht="15" hidden="false" customHeight="false" outlineLevel="0" collapsed="false">
      <c r="A549" s="6" t="s">
        <v>1207</v>
      </c>
      <c r="B549" s="6" t="s">
        <v>1208</v>
      </c>
      <c r="C549" s="6" t="s">
        <v>75</v>
      </c>
      <c r="D549" s="6" t="n">
        <v>43</v>
      </c>
      <c r="E549" s="6" t="s">
        <v>237</v>
      </c>
      <c r="F549" s="6" t="s">
        <v>87</v>
      </c>
      <c r="G549" s="26" t="n">
        <v>46181</v>
      </c>
      <c r="H549" s="6" t="s">
        <v>123</v>
      </c>
      <c r="I549" s="26" t="n">
        <f aca="false">_xlfn.MINIFS(Transaction!$C$2:$C$8421,Transaction!$B$2:$B$8421,A549)</f>
        <v>46186</v>
      </c>
      <c r="J549" s="26" t="n">
        <f aca="false">_xlfn.MAXIFS(Transaction!$C$2:$C$8421,Transaction!$B$2:$B$8421,A549)</f>
        <v>46186</v>
      </c>
      <c r="K549" s="6" t="n">
        <f aca="false">COUNTIF(Transaction!$B$2:$B$8421,A549)</f>
        <v>1</v>
      </c>
      <c r="L549" s="10" t="n">
        <f aca="false">SUMIF(Transaction!$B$2:$B$8421,A549,Transaction!$H$2:$H$8421)</f>
        <v>1271</v>
      </c>
      <c r="M549" s="6" t="n">
        <f aca="false">Summary!$B$3-J549</f>
        <v>80</v>
      </c>
      <c r="N549" s="6" t="str">
        <f aca="false">IF(K549&gt;1,"Yes","No")</f>
        <v>No</v>
      </c>
      <c r="O549" s="6" t="s">
        <v>47</v>
      </c>
    </row>
    <row r="550" customFormat="false" ht="15" hidden="false" customHeight="false" outlineLevel="0" collapsed="false">
      <c r="A550" s="6" t="s">
        <v>1209</v>
      </c>
      <c r="B550" s="6" t="s">
        <v>1210</v>
      </c>
      <c r="C550" s="6" t="s">
        <v>75</v>
      </c>
      <c r="D550" s="6" t="n">
        <v>31</v>
      </c>
      <c r="E550" s="6" t="s">
        <v>134</v>
      </c>
      <c r="F550" s="6" t="s">
        <v>135</v>
      </c>
      <c r="G550" s="26" t="n">
        <v>46181</v>
      </c>
      <c r="H550" s="6" t="s">
        <v>123</v>
      </c>
      <c r="I550" s="26" t="n">
        <f aca="false">_xlfn.MINIFS(Transaction!$C$2:$C$8421,Transaction!$B$2:$B$8421,A550)</f>
        <v>46204</v>
      </c>
      <c r="J550" s="26" t="n">
        <f aca="false">_xlfn.MAXIFS(Transaction!$C$2:$C$8421,Transaction!$B$2:$B$8421,A550)</f>
        <v>46204</v>
      </c>
      <c r="K550" s="6" t="n">
        <f aca="false">COUNTIF(Transaction!$B$2:$B$8421,A550)</f>
        <v>1</v>
      </c>
      <c r="L550" s="10" t="n">
        <f aca="false">SUMIF(Transaction!$B$2:$B$8421,A550,Transaction!$H$2:$H$8421)</f>
        <v>882</v>
      </c>
      <c r="M550" s="6" t="n">
        <f aca="false">Summary!$B$3-J550</f>
        <v>62</v>
      </c>
      <c r="N550" s="6" t="str">
        <f aca="false">IF(K550&gt;1,"Yes","No")</f>
        <v>No</v>
      </c>
      <c r="O550" s="6" t="s">
        <v>47</v>
      </c>
    </row>
    <row r="551" customFormat="false" ht="15" hidden="false" customHeight="false" outlineLevel="0" collapsed="false">
      <c r="A551" s="6" t="s">
        <v>1211</v>
      </c>
      <c r="B551" s="6" t="s">
        <v>1212</v>
      </c>
      <c r="C551" s="6" t="s">
        <v>85</v>
      </c>
      <c r="D551" s="6" t="n">
        <v>42</v>
      </c>
      <c r="E551" s="6" t="s">
        <v>86</v>
      </c>
      <c r="F551" s="6" t="s">
        <v>87</v>
      </c>
      <c r="G551" s="26" t="n">
        <v>46017</v>
      </c>
      <c r="H551" s="6" t="s">
        <v>78</v>
      </c>
      <c r="I551" s="26" t="n">
        <f aca="false">_xlfn.MINIFS(Transaction!$C$2:$C$8421,Transaction!$B$2:$B$8421,A551)</f>
        <v>46047</v>
      </c>
      <c r="J551" s="26" t="n">
        <f aca="false">_xlfn.MAXIFS(Transaction!$C$2:$C$8421,Transaction!$B$2:$B$8421,A551)</f>
        <v>46249</v>
      </c>
      <c r="K551" s="6" t="n">
        <f aca="false">COUNTIF(Transaction!$B$2:$B$8421,A551)</f>
        <v>4</v>
      </c>
      <c r="L551" s="10" t="n">
        <f aca="false">SUMIF(Transaction!$B$2:$B$8421,A551,Transaction!$H$2:$H$8421)</f>
        <v>9316</v>
      </c>
      <c r="M551" s="6" t="n">
        <f aca="false">Summary!$B$3-J551</f>
        <v>17</v>
      </c>
      <c r="N551" s="6" t="str">
        <f aca="false">IF(K551&gt;1,"Yes","No")</f>
        <v>Yes</v>
      </c>
      <c r="O551" s="6" t="s">
        <v>46</v>
      </c>
    </row>
    <row r="552" customFormat="false" ht="15" hidden="false" customHeight="false" outlineLevel="0" collapsed="false">
      <c r="A552" s="6" t="s">
        <v>1213</v>
      </c>
      <c r="B552" s="6" t="s">
        <v>1214</v>
      </c>
      <c r="C552" s="6" t="s">
        <v>85</v>
      </c>
      <c r="D552" s="6" t="n">
        <v>32</v>
      </c>
      <c r="E552" s="6" t="s">
        <v>81</v>
      </c>
      <c r="F552" s="6" t="s">
        <v>82</v>
      </c>
      <c r="G552" s="26" t="n">
        <v>46113</v>
      </c>
      <c r="H552" s="6" t="s">
        <v>78</v>
      </c>
      <c r="I552" s="26" t="n">
        <f aca="false">_xlfn.MINIFS(Transaction!$C$2:$C$8421,Transaction!$B$2:$B$8421,A552)</f>
        <v>46201</v>
      </c>
      <c r="J552" s="26" t="n">
        <f aca="false">_xlfn.MAXIFS(Transaction!$C$2:$C$8421,Transaction!$B$2:$B$8421,A552)</f>
        <v>46201</v>
      </c>
      <c r="K552" s="6" t="n">
        <f aca="false">COUNTIF(Transaction!$B$2:$B$8421,A552)</f>
        <v>1</v>
      </c>
      <c r="L552" s="10" t="n">
        <f aca="false">SUMIF(Transaction!$B$2:$B$8421,A552,Transaction!$H$2:$H$8421)</f>
        <v>2346</v>
      </c>
      <c r="M552" s="6" t="n">
        <f aca="false">Summary!$B$3-J552</f>
        <v>65</v>
      </c>
      <c r="N552" s="6" t="str">
        <f aca="false">IF(K552&gt;1,"Yes","No")</f>
        <v>No</v>
      </c>
      <c r="O552" s="6" t="s">
        <v>47</v>
      </c>
    </row>
    <row r="553" customFormat="false" ht="15" hidden="false" customHeight="false" outlineLevel="0" collapsed="false">
      <c r="A553" s="6" t="s">
        <v>1215</v>
      </c>
      <c r="B553" s="6" t="s">
        <v>1216</v>
      </c>
      <c r="C553" s="6" t="s">
        <v>85</v>
      </c>
      <c r="D553" s="6" t="n">
        <v>18</v>
      </c>
      <c r="E553" s="6" t="s">
        <v>76</v>
      </c>
      <c r="F553" s="6" t="s">
        <v>77</v>
      </c>
      <c r="G553" s="26" t="n">
        <v>46218</v>
      </c>
      <c r="H553" s="6" t="s">
        <v>92</v>
      </c>
      <c r="I553" s="26" t="n">
        <f aca="false">_xlfn.MINIFS(Transaction!$C$2:$C$8421,Transaction!$B$2:$B$8421,A553)</f>
        <v>46218</v>
      </c>
      <c r="J553" s="26" t="n">
        <f aca="false">_xlfn.MAXIFS(Transaction!$C$2:$C$8421,Transaction!$B$2:$B$8421,A553)</f>
        <v>46218</v>
      </c>
      <c r="K553" s="6" t="n">
        <f aca="false">COUNTIF(Transaction!$B$2:$B$8421,A553)</f>
        <v>1</v>
      </c>
      <c r="L553" s="10" t="n">
        <f aca="false">SUMIF(Transaction!$B$2:$B$8421,A553,Transaction!$H$2:$H$8421)</f>
        <v>441</v>
      </c>
      <c r="M553" s="6" t="n">
        <f aca="false">Summary!$B$3-J553</f>
        <v>48</v>
      </c>
      <c r="N553" s="6" t="str">
        <f aca="false">IF(K553&gt;1,"Yes","No")</f>
        <v>No</v>
      </c>
      <c r="O553" s="6" t="s">
        <v>47</v>
      </c>
    </row>
    <row r="554" customFormat="false" ht="15" hidden="false" customHeight="false" outlineLevel="0" collapsed="false">
      <c r="A554" s="6" t="s">
        <v>1217</v>
      </c>
      <c r="B554" s="6" t="s">
        <v>1218</v>
      </c>
      <c r="C554" s="6" t="s">
        <v>85</v>
      </c>
      <c r="D554" s="6" t="n">
        <v>32</v>
      </c>
      <c r="E554" s="6" t="s">
        <v>121</v>
      </c>
      <c r="F554" s="6" t="s">
        <v>122</v>
      </c>
      <c r="G554" s="26" t="n">
        <v>45965</v>
      </c>
      <c r="H554" s="6" t="s">
        <v>102</v>
      </c>
      <c r="I554" s="26" t="n">
        <f aca="false">_xlfn.MINIFS(Transaction!$C$2:$C$8421,Transaction!$B$2:$B$8421,A554)</f>
        <v>46038</v>
      </c>
      <c r="J554" s="26" t="n">
        <f aca="false">_xlfn.MAXIFS(Transaction!$C$2:$C$8421,Transaction!$B$2:$B$8421,A554)</f>
        <v>46262</v>
      </c>
      <c r="K554" s="6" t="n">
        <f aca="false">COUNTIF(Transaction!$B$2:$B$8421,A554)</f>
        <v>6</v>
      </c>
      <c r="L554" s="10" t="n">
        <f aca="false">SUMIF(Transaction!$B$2:$B$8421,A554,Transaction!$H$2:$H$8421)</f>
        <v>16710</v>
      </c>
      <c r="M554" s="6" t="n">
        <f aca="false">Summary!$B$3-J554</f>
        <v>4</v>
      </c>
      <c r="N554" s="6" t="str">
        <f aca="false">IF(K554&gt;1,"Yes","No")</f>
        <v>Yes</v>
      </c>
      <c r="O554" s="6" t="s">
        <v>45</v>
      </c>
    </row>
    <row r="555" customFormat="false" ht="15" hidden="false" customHeight="false" outlineLevel="0" collapsed="false">
      <c r="A555" s="6" t="s">
        <v>1219</v>
      </c>
      <c r="B555" s="6" t="s">
        <v>1220</v>
      </c>
      <c r="C555" s="6" t="s">
        <v>75</v>
      </c>
      <c r="D555" s="6" t="n">
        <v>37</v>
      </c>
      <c r="E555" s="6" t="s">
        <v>134</v>
      </c>
      <c r="F555" s="6" t="s">
        <v>135</v>
      </c>
      <c r="G555" s="26" t="n">
        <v>46223</v>
      </c>
      <c r="H555" s="6" t="s">
        <v>88</v>
      </c>
      <c r="I555" s="26" t="n">
        <f aca="false">_xlfn.MINIFS(Transaction!$C$2:$C$8421,Transaction!$B$2:$B$8421,A555)</f>
        <v>46223</v>
      </c>
      <c r="J555" s="26" t="n">
        <f aca="false">_xlfn.MAXIFS(Transaction!$C$2:$C$8421,Transaction!$B$2:$B$8421,A555)</f>
        <v>46223</v>
      </c>
      <c r="K555" s="6" t="n">
        <f aca="false">COUNTIF(Transaction!$B$2:$B$8421,A555)</f>
        <v>1</v>
      </c>
      <c r="L555" s="10" t="n">
        <f aca="false">SUMIF(Transaction!$B$2:$B$8421,A555,Transaction!$H$2:$H$8421)</f>
        <v>457</v>
      </c>
      <c r="M555" s="6" t="n">
        <f aca="false">Summary!$B$3-J555</f>
        <v>43</v>
      </c>
      <c r="N555" s="6" t="str">
        <f aca="false">IF(K555&gt;1,"Yes","No")</f>
        <v>No</v>
      </c>
      <c r="O555" s="6" t="s">
        <v>47</v>
      </c>
    </row>
    <row r="556" customFormat="false" ht="15" hidden="false" customHeight="false" outlineLevel="0" collapsed="false">
      <c r="A556" s="6" t="s">
        <v>1221</v>
      </c>
      <c r="B556" s="6" t="s">
        <v>1222</v>
      </c>
      <c r="C556" s="6" t="s">
        <v>75</v>
      </c>
      <c r="D556" s="6" t="n">
        <v>37</v>
      </c>
      <c r="E556" s="6" t="s">
        <v>98</v>
      </c>
      <c r="F556" s="6" t="s">
        <v>99</v>
      </c>
      <c r="G556" s="26" t="n">
        <v>46125</v>
      </c>
      <c r="H556" s="6" t="s">
        <v>102</v>
      </c>
      <c r="I556" s="26" t="n">
        <f aca="false">_xlfn.MINIFS(Transaction!$C$2:$C$8421,Transaction!$B$2:$B$8421,A556)</f>
        <v>46155</v>
      </c>
      <c r="J556" s="26" t="n">
        <f aca="false">_xlfn.MAXIFS(Transaction!$C$2:$C$8421,Transaction!$B$2:$B$8421,A556)</f>
        <v>46155</v>
      </c>
      <c r="K556" s="6" t="n">
        <f aca="false">COUNTIF(Transaction!$B$2:$B$8421,A556)</f>
        <v>1</v>
      </c>
      <c r="L556" s="10" t="n">
        <f aca="false">SUMIF(Transaction!$B$2:$B$8421,A556,Transaction!$H$2:$H$8421)</f>
        <v>3243</v>
      </c>
      <c r="M556" s="6" t="n">
        <f aca="false">Summary!$B$3-J556</f>
        <v>111</v>
      </c>
      <c r="N556" s="6" t="str">
        <f aca="false">IF(K556&gt;1,"Yes","No")</f>
        <v>No</v>
      </c>
      <c r="O556" s="6" t="s">
        <v>48</v>
      </c>
    </row>
    <row r="557" customFormat="false" ht="15" hidden="false" customHeight="false" outlineLevel="0" collapsed="false">
      <c r="A557" s="6" t="s">
        <v>1223</v>
      </c>
      <c r="B557" s="6" t="s">
        <v>1224</v>
      </c>
      <c r="C557" s="6" t="s">
        <v>85</v>
      </c>
      <c r="D557" s="6" t="n">
        <v>33</v>
      </c>
      <c r="E557" s="6" t="s">
        <v>76</v>
      </c>
      <c r="F557" s="6" t="s">
        <v>77</v>
      </c>
      <c r="G557" s="26" t="n">
        <v>46069</v>
      </c>
      <c r="H557" s="6" t="s">
        <v>78</v>
      </c>
      <c r="I557" s="26" t="n">
        <f aca="false">_xlfn.MINIFS(Transaction!$C$2:$C$8421,Transaction!$B$2:$B$8421,A557)</f>
        <v>46129</v>
      </c>
      <c r="J557" s="26" t="n">
        <f aca="false">_xlfn.MAXIFS(Transaction!$C$2:$C$8421,Transaction!$B$2:$B$8421,A557)</f>
        <v>46129</v>
      </c>
      <c r="K557" s="6" t="n">
        <f aca="false">COUNTIF(Transaction!$B$2:$B$8421,A557)</f>
        <v>1</v>
      </c>
      <c r="L557" s="10" t="n">
        <f aca="false">SUMIF(Transaction!$B$2:$B$8421,A557,Transaction!$H$2:$H$8421)</f>
        <v>1835</v>
      </c>
      <c r="M557" s="6" t="n">
        <f aca="false">Summary!$B$3-J557</f>
        <v>137</v>
      </c>
      <c r="N557" s="6" t="str">
        <f aca="false">IF(K557&gt;1,"Yes","No")</f>
        <v>No</v>
      </c>
      <c r="O557" s="6" t="s">
        <v>48</v>
      </c>
    </row>
    <row r="558" customFormat="false" ht="15" hidden="false" customHeight="false" outlineLevel="0" collapsed="false">
      <c r="A558" s="6" t="s">
        <v>1225</v>
      </c>
      <c r="B558" s="6" t="s">
        <v>1226</v>
      </c>
      <c r="C558" s="6" t="s">
        <v>75</v>
      </c>
      <c r="D558" s="6" t="n">
        <v>32</v>
      </c>
      <c r="E558" s="6" t="s">
        <v>91</v>
      </c>
      <c r="F558" s="6" t="s">
        <v>77</v>
      </c>
      <c r="G558" s="26" t="n">
        <v>45960</v>
      </c>
      <c r="H558" s="6" t="s">
        <v>102</v>
      </c>
      <c r="I558" s="26" t="n">
        <f aca="false">_xlfn.MINIFS(Transaction!$C$2:$C$8421,Transaction!$B$2:$B$8421,A558)</f>
        <v>46036</v>
      </c>
      <c r="J558" s="26" t="n">
        <f aca="false">_xlfn.MAXIFS(Transaction!$C$2:$C$8421,Transaction!$B$2:$B$8421,A558)</f>
        <v>46230</v>
      </c>
      <c r="K558" s="6" t="n">
        <f aca="false">COUNTIF(Transaction!$B$2:$B$8421,A558)</f>
        <v>7</v>
      </c>
      <c r="L558" s="10" t="n">
        <f aca="false">SUMIF(Transaction!$B$2:$B$8421,A558,Transaction!$H$2:$H$8421)</f>
        <v>23998</v>
      </c>
      <c r="M558" s="6" t="n">
        <f aca="false">Summary!$B$3-J558</f>
        <v>36</v>
      </c>
      <c r="N558" s="6" t="str">
        <f aca="false">IF(K558&gt;1,"Yes","No")</f>
        <v>Yes</v>
      </c>
      <c r="O558" s="6" t="s">
        <v>46</v>
      </c>
    </row>
    <row r="559" customFormat="false" ht="15" hidden="false" customHeight="false" outlineLevel="0" collapsed="false">
      <c r="A559" s="6" t="s">
        <v>1227</v>
      </c>
      <c r="B559" s="6" t="s">
        <v>1228</v>
      </c>
      <c r="C559" s="6" t="s">
        <v>75</v>
      </c>
      <c r="D559" s="6" t="n">
        <v>43</v>
      </c>
      <c r="E559" s="6" t="s">
        <v>76</v>
      </c>
      <c r="F559" s="6" t="s">
        <v>77</v>
      </c>
      <c r="G559" s="26" t="n">
        <v>46206</v>
      </c>
      <c r="H559" s="6" t="s">
        <v>115</v>
      </c>
      <c r="I559" s="26" t="n">
        <f aca="false">_xlfn.MINIFS(Transaction!$C$2:$C$8421,Transaction!$B$2:$B$8421,A559)</f>
        <v>46232</v>
      </c>
      <c r="J559" s="26" t="n">
        <f aca="false">_xlfn.MAXIFS(Transaction!$C$2:$C$8421,Transaction!$B$2:$B$8421,A559)</f>
        <v>46232</v>
      </c>
      <c r="K559" s="6" t="n">
        <f aca="false">COUNTIF(Transaction!$B$2:$B$8421,A559)</f>
        <v>1</v>
      </c>
      <c r="L559" s="10" t="n">
        <f aca="false">SUMIF(Transaction!$B$2:$B$8421,A559,Transaction!$H$2:$H$8421)</f>
        <v>1670</v>
      </c>
      <c r="M559" s="6" t="n">
        <f aca="false">Summary!$B$3-J559</f>
        <v>34</v>
      </c>
      <c r="N559" s="6" t="str">
        <f aca="false">IF(K559&gt;1,"Yes","No")</f>
        <v>No</v>
      </c>
      <c r="O559" s="6" t="s">
        <v>47</v>
      </c>
    </row>
    <row r="560" customFormat="false" ht="15" hidden="false" customHeight="false" outlineLevel="0" collapsed="false">
      <c r="A560" s="6" t="s">
        <v>1229</v>
      </c>
      <c r="B560" s="6" t="s">
        <v>1230</v>
      </c>
      <c r="C560" s="6" t="s">
        <v>75</v>
      </c>
      <c r="D560" s="6" t="n">
        <v>41</v>
      </c>
      <c r="E560" s="6" t="s">
        <v>91</v>
      </c>
      <c r="F560" s="6" t="s">
        <v>77</v>
      </c>
      <c r="G560" s="26" t="n">
        <v>46102</v>
      </c>
      <c r="H560" s="6" t="s">
        <v>78</v>
      </c>
      <c r="I560" s="26" t="n">
        <f aca="false">_xlfn.MINIFS(Transaction!$C$2:$C$8421,Transaction!$B$2:$B$8421,A560)</f>
        <v>46148</v>
      </c>
      <c r="J560" s="26" t="n">
        <f aca="false">_xlfn.MAXIFS(Transaction!$C$2:$C$8421,Transaction!$B$2:$B$8421,A560)</f>
        <v>46148</v>
      </c>
      <c r="K560" s="6" t="n">
        <f aca="false">COUNTIF(Transaction!$B$2:$B$8421,A560)</f>
        <v>1</v>
      </c>
      <c r="L560" s="10" t="n">
        <f aca="false">SUMIF(Transaction!$B$2:$B$8421,A560,Transaction!$H$2:$H$8421)</f>
        <v>3058</v>
      </c>
      <c r="M560" s="6" t="n">
        <f aca="false">Summary!$B$3-J560</f>
        <v>118</v>
      </c>
      <c r="N560" s="6" t="str">
        <f aca="false">IF(K560&gt;1,"Yes","No")</f>
        <v>No</v>
      </c>
      <c r="O560" s="6" t="s">
        <v>48</v>
      </c>
    </row>
    <row r="561" customFormat="false" ht="15" hidden="false" customHeight="false" outlineLevel="0" collapsed="false">
      <c r="A561" s="6" t="s">
        <v>1231</v>
      </c>
      <c r="B561" s="6" t="s">
        <v>1232</v>
      </c>
      <c r="C561" s="6" t="s">
        <v>85</v>
      </c>
      <c r="D561" s="6" t="n">
        <v>24</v>
      </c>
      <c r="E561" s="6" t="s">
        <v>91</v>
      </c>
      <c r="F561" s="6" t="s">
        <v>77</v>
      </c>
      <c r="G561" s="26" t="n">
        <v>46006</v>
      </c>
      <c r="H561" s="6" t="s">
        <v>78</v>
      </c>
      <c r="I561" s="26" t="n">
        <f aca="false">_xlfn.MINIFS(Transaction!$C$2:$C$8421,Transaction!$B$2:$B$8421,A561)</f>
        <v>46029</v>
      </c>
      <c r="J561" s="26" t="n">
        <f aca="false">_xlfn.MAXIFS(Transaction!$C$2:$C$8421,Transaction!$B$2:$B$8421,A561)</f>
        <v>46192</v>
      </c>
      <c r="K561" s="6" t="n">
        <f aca="false">COUNTIF(Transaction!$B$2:$B$8421,A561)</f>
        <v>8</v>
      </c>
      <c r="L561" s="10" t="n">
        <f aca="false">SUMIF(Transaction!$B$2:$B$8421,A561,Transaction!$H$2:$H$8421)</f>
        <v>14026</v>
      </c>
      <c r="M561" s="6" t="n">
        <f aca="false">Summary!$B$3-J561</f>
        <v>74</v>
      </c>
      <c r="N561" s="6" t="str">
        <f aca="false">IF(K561&gt;1,"Yes","No")</f>
        <v>Yes</v>
      </c>
      <c r="O561" s="6" t="s">
        <v>46</v>
      </c>
    </row>
    <row r="562" customFormat="false" ht="15" hidden="false" customHeight="false" outlineLevel="0" collapsed="false">
      <c r="A562" s="6" t="s">
        <v>1233</v>
      </c>
      <c r="B562" s="6" t="s">
        <v>1234</v>
      </c>
      <c r="C562" s="6" t="s">
        <v>85</v>
      </c>
      <c r="D562" s="6" t="n">
        <v>25</v>
      </c>
      <c r="E562" s="6" t="s">
        <v>81</v>
      </c>
      <c r="F562" s="6" t="s">
        <v>82</v>
      </c>
      <c r="G562" s="26" t="n">
        <v>46069</v>
      </c>
      <c r="H562" s="6" t="s">
        <v>102</v>
      </c>
      <c r="I562" s="26" t="n">
        <f aca="false">_xlfn.MINIFS(Transaction!$C$2:$C$8421,Transaction!$B$2:$B$8421,A562)</f>
        <v>46108</v>
      </c>
      <c r="J562" s="26" t="n">
        <f aca="false">_xlfn.MAXIFS(Transaction!$C$2:$C$8421,Transaction!$B$2:$B$8421,A562)</f>
        <v>46108</v>
      </c>
      <c r="K562" s="6" t="n">
        <f aca="false">COUNTIF(Transaction!$B$2:$B$8421,A562)</f>
        <v>1</v>
      </c>
      <c r="L562" s="10" t="n">
        <f aca="false">SUMIF(Transaction!$B$2:$B$8421,A562,Transaction!$H$2:$H$8421)</f>
        <v>1867</v>
      </c>
      <c r="M562" s="6" t="n">
        <f aca="false">Summary!$B$3-J562</f>
        <v>158</v>
      </c>
      <c r="N562" s="6" t="str">
        <f aca="false">IF(K562&gt;1,"Yes","No")</f>
        <v>No</v>
      </c>
      <c r="O562" s="6" t="s">
        <v>49</v>
      </c>
    </row>
    <row r="563" customFormat="false" ht="15" hidden="false" customHeight="false" outlineLevel="0" collapsed="false">
      <c r="A563" s="6" t="s">
        <v>1235</v>
      </c>
      <c r="B563" s="6" t="s">
        <v>1236</v>
      </c>
      <c r="C563" s="6" t="s">
        <v>75</v>
      </c>
      <c r="D563" s="6" t="n">
        <v>38</v>
      </c>
      <c r="E563" s="6" t="s">
        <v>95</v>
      </c>
      <c r="F563" s="6" t="s">
        <v>95</v>
      </c>
      <c r="G563" s="26" t="n">
        <v>46034</v>
      </c>
      <c r="H563" s="6" t="s">
        <v>78</v>
      </c>
      <c r="I563" s="26" t="n">
        <f aca="false">_xlfn.MINIFS(Transaction!$C$2:$C$8421,Transaction!$B$2:$B$8421,A563)</f>
        <v>46092</v>
      </c>
      <c r="J563" s="26" t="n">
        <f aca="false">_xlfn.MAXIFS(Transaction!$C$2:$C$8421,Transaction!$B$2:$B$8421,A563)</f>
        <v>46092</v>
      </c>
      <c r="K563" s="6" t="n">
        <f aca="false">COUNTIF(Transaction!$B$2:$B$8421,A563)</f>
        <v>1</v>
      </c>
      <c r="L563" s="10" t="n">
        <f aca="false">SUMIF(Transaction!$B$2:$B$8421,A563,Transaction!$H$2:$H$8421)</f>
        <v>1220</v>
      </c>
      <c r="M563" s="6" t="n">
        <f aca="false">Summary!$B$3-J563</f>
        <v>174</v>
      </c>
      <c r="N563" s="6" t="str">
        <f aca="false">IF(K563&gt;1,"Yes","No")</f>
        <v>No</v>
      </c>
      <c r="O563" s="6" t="s">
        <v>49</v>
      </c>
    </row>
    <row r="564" customFormat="false" ht="15" hidden="false" customHeight="false" outlineLevel="0" collapsed="false">
      <c r="A564" s="6" t="s">
        <v>1237</v>
      </c>
      <c r="B564" s="6" t="s">
        <v>1238</v>
      </c>
      <c r="C564" s="6" t="s">
        <v>75</v>
      </c>
      <c r="D564" s="6" t="n">
        <v>19</v>
      </c>
      <c r="E564" s="6" t="s">
        <v>81</v>
      </c>
      <c r="F564" s="6" t="s">
        <v>82</v>
      </c>
      <c r="G564" s="26" t="n">
        <v>46144</v>
      </c>
      <c r="H564" s="6" t="s">
        <v>78</v>
      </c>
      <c r="I564" s="26" t="n">
        <f aca="false">_xlfn.MINIFS(Transaction!$C$2:$C$8421,Transaction!$B$2:$B$8421,A564)</f>
        <v>46156</v>
      </c>
      <c r="J564" s="26" t="n">
        <f aca="false">_xlfn.MAXIFS(Transaction!$C$2:$C$8421,Transaction!$B$2:$B$8421,A564)</f>
        <v>46156</v>
      </c>
      <c r="K564" s="6" t="n">
        <f aca="false">COUNTIF(Transaction!$B$2:$B$8421,A564)</f>
        <v>1</v>
      </c>
      <c r="L564" s="10" t="n">
        <f aca="false">SUMIF(Transaction!$B$2:$B$8421,A564,Transaction!$H$2:$H$8421)</f>
        <v>697</v>
      </c>
      <c r="M564" s="6" t="n">
        <f aca="false">Summary!$B$3-J564</f>
        <v>110</v>
      </c>
      <c r="N564" s="6" t="str">
        <f aca="false">IF(K564&gt;1,"Yes","No")</f>
        <v>No</v>
      </c>
      <c r="O564" s="6" t="s">
        <v>48</v>
      </c>
    </row>
    <row r="565" customFormat="false" ht="15" hidden="false" customHeight="false" outlineLevel="0" collapsed="false">
      <c r="A565" s="6" t="s">
        <v>1239</v>
      </c>
      <c r="B565" s="6" t="s">
        <v>1240</v>
      </c>
      <c r="C565" s="6" t="s">
        <v>75</v>
      </c>
      <c r="D565" s="6" t="n">
        <v>29</v>
      </c>
      <c r="E565" s="6" t="s">
        <v>81</v>
      </c>
      <c r="F565" s="6" t="s">
        <v>82</v>
      </c>
      <c r="G565" s="26" t="n">
        <v>46033</v>
      </c>
      <c r="H565" s="6" t="s">
        <v>115</v>
      </c>
      <c r="I565" s="26" t="n">
        <f aca="false">_xlfn.MINIFS(Transaction!$C$2:$C$8421,Transaction!$B$2:$B$8421,A565)</f>
        <v>46123</v>
      </c>
      <c r="J565" s="26" t="n">
        <f aca="false">_xlfn.MAXIFS(Transaction!$C$2:$C$8421,Transaction!$B$2:$B$8421,A565)</f>
        <v>46123</v>
      </c>
      <c r="K565" s="6" t="n">
        <f aca="false">COUNTIF(Transaction!$B$2:$B$8421,A565)</f>
        <v>1</v>
      </c>
      <c r="L565" s="10" t="n">
        <f aca="false">SUMIF(Transaction!$B$2:$B$8421,A565,Transaction!$H$2:$H$8421)</f>
        <v>589</v>
      </c>
      <c r="M565" s="6" t="n">
        <f aca="false">Summary!$B$3-J565</f>
        <v>143</v>
      </c>
      <c r="N565" s="6" t="str">
        <f aca="false">IF(K565&gt;1,"Yes","No")</f>
        <v>No</v>
      </c>
      <c r="O565" s="6" t="s">
        <v>48</v>
      </c>
    </row>
    <row r="566" customFormat="false" ht="15" hidden="false" customHeight="false" outlineLevel="0" collapsed="false">
      <c r="A566" s="6" t="s">
        <v>1241</v>
      </c>
      <c r="B566" s="6" t="s">
        <v>1242</v>
      </c>
      <c r="C566" s="6" t="s">
        <v>75</v>
      </c>
      <c r="D566" s="6" t="n">
        <v>29</v>
      </c>
      <c r="E566" s="6" t="s">
        <v>180</v>
      </c>
      <c r="F566" s="6" t="s">
        <v>181</v>
      </c>
      <c r="G566" s="26" t="n">
        <v>46054</v>
      </c>
      <c r="H566" s="6" t="s">
        <v>78</v>
      </c>
      <c r="I566" s="26" t="n">
        <f aca="false">_xlfn.MINIFS(Transaction!$C$2:$C$8421,Transaction!$B$2:$B$8421,A566)</f>
        <v>46061</v>
      </c>
      <c r="J566" s="26" t="n">
        <f aca="false">_xlfn.MAXIFS(Transaction!$C$2:$C$8421,Transaction!$B$2:$B$8421,A566)</f>
        <v>46061</v>
      </c>
      <c r="K566" s="6" t="n">
        <f aca="false">COUNTIF(Transaction!$B$2:$B$8421,A566)</f>
        <v>1</v>
      </c>
      <c r="L566" s="10" t="n">
        <f aca="false">SUMIF(Transaction!$B$2:$B$8421,A566,Transaction!$H$2:$H$8421)</f>
        <v>1760</v>
      </c>
      <c r="M566" s="6" t="n">
        <f aca="false">Summary!$B$3-J566</f>
        <v>205</v>
      </c>
      <c r="N566" s="6" t="str">
        <f aca="false">IF(K566&gt;1,"Yes","No")</f>
        <v>No</v>
      </c>
      <c r="O566" s="6" t="s">
        <v>49</v>
      </c>
    </row>
    <row r="567" customFormat="false" ht="15" hidden="false" customHeight="false" outlineLevel="0" collapsed="false">
      <c r="A567" s="6" t="s">
        <v>1243</v>
      </c>
      <c r="B567" s="6" t="s">
        <v>1244</v>
      </c>
      <c r="C567" s="6" t="s">
        <v>85</v>
      </c>
      <c r="D567" s="6" t="n">
        <v>24</v>
      </c>
      <c r="E567" s="6" t="s">
        <v>95</v>
      </c>
      <c r="F567" s="6" t="s">
        <v>95</v>
      </c>
      <c r="G567" s="26" t="n">
        <v>46059</v>
      </c>
      <c r="H567" s="6" t="s">
        <v>102</v>
      </c>
      <c r="I567" s="26" t="n">
        <f aca="false">_xlfn.MINIFS(Transaction!$C$2:$C$8421,Transaction!$B$2:$B$8421,A567)</f>
        <v>46117</v>
      </c>
      <c r="J567" s="26" t="n">
        <f aca="false">_xlfn.MAXIFS(Transaction!$C$2:$C$8421,Transaction!$B$2:$B$8421,A567)</f>
        <v>46251</v>
      </c>
      <c r="K567" s="6" t="n">
        <f aca="false">COUNTIF(Transaction!$B$2:$B$8421,A567)</f>
        <v>4</v>
      </c>
      <c r="L567" s="10" t="n">
        <f aca="false">SUMIF(Transaction!$B$2:$B$8421,A567,Transaction!$H$2:$H$8421)</f>
        <v>7174</v>
      </c>
      <c r="M567" s="6" t="n">
        <f aca="false">Summary!$B$3-J567</f>
        <v>15</v>
      </c>
      <c r="N567" s="6" t="str">
        <f aca="false">IF(K567&gt;1,"Yes","No")</f>
        <v>Yes</v>
      </c>
      <c r="O567" s="6" t="s">
        <v>46</v>
      </c>
    </row>
    <row r="568" customFormat="false" ht="15" hidden="false" customHeight="false" outlineLevel="0" collapsed="false">
      <c r="A568" s="6" t="s">
        <v>1245</v>
      </c>
      <c r="B568" s="6" t="s">
        <v>1246</v>
      </c>
      <c r="C568" s="6" t="s">
        <v>75</v>
      </c>
      <c r="D568" s="6" t="n">
        <v>48</v>
      </c>
      <c r="E568" s="6" t="s">
        <v>86</v>
      </c>
      <c r="F568" s="6" t="s">
        <v>87</v>
      </c>
      <c r="G568" s="26" t="n">
        <v>45991</v>
      </c>
      <c r="H568" s="6" t="s">
        <v>102</v>
      </c>
      <c r="I568" s="26" t="n">
        <f aca="false">_xlfn.MINIFS(Transaction!$C$2:$C$8421,Transaction!$B$2:$B$8421,A568)</f>
        <v>46055</v>
      </c>
      <c r="J568" s="26" t="n">
        <f aca="false">_xlfn.MAXIFS(Transaction!$C$2:$C$8421,Transaction!$B$2:$B$8421,A568)</f>
        <v>46221</v>
      </c>
      <c r="K568" s="6" t="n">
        <f aca="false">COUNTIF(Transaction!$B$2:$B$8421,A568)</f>
        <v>8</v>
      </c>
      <c r="L568" s="10" t="n">
        <f aca="false">SUMIF(Transaction!$B$2:$B$8421,A568,Transaction!$H$2:$H$8421)</f>
        <v>22659</v>
      </c>
      <c r="M568" s="6" t="n">
        <f aca="false">Summary!$B$3-J568</f>
        <v>45</v>
      </c>
      <c r="N568" s="6" t="str">
        <f aca="false">IF(K568&gt;1,"Yes","No")</f>
        <v>Yes</v>
      </c>
      <c r="O568" s="6" t="s">
        <v>46</v>
      </c>
    </row>
    <row r="569" customFormat="false" ht="15" hidden="false" customHeight="false" outlineLevel="0" collapsed="false">
      <c r="A569" s="6" t="s">
        <v>1247</v>
      </c>
      <c r="B569" s="6" t="s">
        <v>1248</v>
      </c>
      <c r="C569" s="6" t="s">
        <v>85</v>
      </c>
      <c r="D569" s="6" t="n">
        <v>35</v>
      </c>
      <c r="E569" s="6" t="s">
        <v>237</v>
      </c>
      <c r="F569" s="6" t="s">
        <v>87</v>
      </c>
      <c r="G569" s="26" t="n">
        <v>46158</v>
      </c>
      <c r="H569" s="6" t="s">
        <v>78</v>
      </c>
      <c r="I569" s="26" t="n">
        <f aca="false">_xlfn.MINIFS(Transaction!$C$2:$C$8421,Transaction!$B$2:$B$8421,A569)</f>
        <v>46164</v>
      </c>
      <c r="J569" s="26" t="n">
        <f aca="false">_xlfn.MAXIFS(Transaction!$C$2:$C$8421,Transaction!$B$2:$B$8421,A569)</f>
        <v>46164</v>
      </c>
      <c r="K569" s="6" t="n">
        <f aca="false">COUNTIF(Transaction!$B$2:$B$8421,A569)</f>
        <v>1</v>
      </c>
      <c r="L569" s="10" t="n">
        <f aca="false">SUMIF(Transaction!$B$2:$B$8421,A569,Transaction!$H$2:$H$8421)</f>
        <v>1965</v>
      </c>
      <c r="M569" s="6" t="n">
        <f aca="false">Summary!$B$3-J569</f>
        <v>102</v>
      </c>
      <c r="N569" s="6" t="str">
        <f aca="false">IF(K569&gt;1,"Yes","No")</f>
        <v>No</v>
      </c>
      <c r="O569" s="6" t="s">
        <v>48</v>
      </c>
    </row>
    <row r="570" customFormat="false" ht="15" hidden="false" customHeight="false" outlineLevel="0" collapsed="false">
      <c r="A570" s="6" t="s">
        <v>1249</v>
      </c>
      <c r="B570" s="6" t="s">
        <v>1250</v>
      </c>
      <c r="C570" s="6" t="s">
        <v>75</v>
      </c>
      <c r="D570" s="6" t="n">
        <v>25</v>
      </c>
      <c r="E570" s="6" t="s">
        <v>91</v>
      </c>
      <c r="F570" s="6" t="s">
        <v>77</v>
      </c>
      <c r="G570" s="26" t="n">
        <v>46024</v>
      </c>
      <c r="H570" s="6" t="s">
        <v>102</v>
      </c>
      <c r="I570" s="26" t="n">
        <f aca="false">_xlfn.MINIFS(Transaction!$C$2:$C$8421,Transaction!$B$2:$B$8421,A570)</f>
        <v>46057</v>
      </c>
      <c r="J570" s="26" t="n">
        <f aca="false">_xlfn.MAXIFS(Transaction!$C$2:$C$8421,Transaction!$B$2:$B$8421,A570)</f>
        <v>46234</v>
      </c>
      <c r="K570" s="6" t="n">
        <f aca="false">COUNTIF(Transaction!$B$2:$B$8421,A570)</f>
        <v>5</v>
      </c>
      <c r="L570" s="10" t="n">
        <f aca="false">SUMIF(Transaction!$B$2:$B$8421,A570,Transaction!$H$2:$H$8421)</f>
        <v>6080</v>
      </c>
      <c r="M570" s="6" t="n">
        <f aca="false">Summary!$B$3-J570</f>
        <v>32</v>
      </c>
      <c r="N570" s="6" t="str">
        <f aca="false">IF(K570&gt;1,"Yes","No")</f>
        <v>Yes</v>
      </c>
      <c r="O570" s="6" t="s">
        <v>46</v>
      </c>
    </row>
    <row r="571" customFormat="false" ht="15" hidden="false" customHeight="false" outlineLevel="0" collapsed="false">
      <c r="A571" s="6" t="s">
        <v>1251</v>
      </c>
      <c r="B571" s="6" t="s">
        <v>1252</v>
      </c>
      <c r="C571" s="6" t="s">
        <v>75</v>
      </c>
      <c r="D571" s="6" t="n">
        <v>18</v>
      </c>
      <c r="E571" s="6" t="s">
        <v>146</v>
      </c>
      <c r="F571" s="6" t="s">
        <v>147</v>
      </c>
      <c r="G571" s="26" t="n">
        <v>46036</v>
      </c>
      <c r="H571" s="6" t="s">
        <v>78</v>
      </c>
      <c r="I571" s="26" t="n">
        <f aca="false">_xlfn.MINIFS(Transaction!$C$2:$C$8421,Transaction!$B$2:$B$8421,A571)</f>
        <v>46103</v>
      </c>
      <c r="J571" s="26" t="n">
        <f aca="false">_xlfn.MAXIFS(Transaction!$C$2:$C$8421,Transaction!$B$2:$B$8421,A571)</f>
        <v>46103</v>
      </c>
      <c r="K571" s="6" t="n">
        <f aca="false">COUNTIF(Transaction!$B$2:$B$8421,A571)</f>
        <v>1</v>
      </c>
      <c r="L571" s="10" t="n">
        <f aca="false">SUMIF(Transaction!$B$2:$B$8421,A571,Transaction!$H$2:$H$8421)</f>
        <v>2294</v>
      </c>
      <c r="M571" s="6" t="n">
        <f aca="false">Summary!$B$3-J571</f>
        <v>163</v>
      </c>
      <c r="N571" s="6" t="str">
        <f aca="false">IF(K571&gt;1,"Yes","No")</f>
        <v>No</v>
      </c>
      <c r="O571" s="6" t="s">
        <v>49</v>
      </c>
    </row>
    <row r="572" customFormat="false" ht="15" hidden="false" customHeight="false" outlineLevel="0" collapsed="false">
      <c r="A572" s="6" t="s">
        <v>1253</v>
      </c>
      <c r="B572" s="6" t="s">
        <v>1254</v>
      </c>
      <c r="C572" s="6" t="s">
        <v>85</v>
      </c>
      <c r="D572" s="6" t="n">
        <v>24</v>
      </c>
      <c r="E572" s="6" t="s">
        <v>76</v>
      </c>
      <c r="F572" s="6" t="s">
        <v>77</v>
      </c>
      <c r="G572" s="26" t="n">
        <v>46127</v>
      </c>
      <c r="H572" s="6" t="s">
        <v>88</v>
      </c>
      <c r="I572" s="26" t="n">
        <f aca="false">_xlfn.MINIFS(Transaction!$C$2:$C$8421,Transaction!$B$2:$B$8421,A572)</f>
        <v>46184</v>
      </c>
      <c r="J572" s="26" t="n">
        <f aca="false">_xlfn.MAXIFS(Transaction!$C$2:$C$8421,Transaction!$B$2:$B$8421,A572)</f>
        <v>46184</v>
      </c>
      <c r="K572" s="6" t="n">
        <f aca="false">COUNTIF(Transaction!$B$2:$B$8421,A572)</f>
        <v>1</v>
      </c>
      <c r="L572" s="10" t="n">
        <f aca="false">SUMIF(Transaction!$B$2:$B$8421,A572,Transaction!$H$2:$H$8421)</f>
        <v>1732</v>
      </c>
      <c r="M572" s="6" t="n">
        <f aca="false">Summary!$B$3-J572</f>
        <v>82</v>
      </c>
      <c r="N572" s="6" t="str">
        <f aca="false">IF(K572&gt;1,"Yes","No")</f>
        <v>No</v>
      </c>
      <c r="O572" s="6" t="s">
        <v>47</v>
      </c>
    </row>
    <row r="573" customFormat="false" ht="15" hidden="false" customHeight="false" outlineLevel="0" collapsed="false">
      <c r="A573" s="6" t="s">
        <v>1255</v>
      </c>
      <c r="B573" s="6" t="s">
        <v>1256</v>
      </c>
      <c r="C573" s="6" t="s">
        <v>75</v>
      </c>
      <c r="D573" s="6" t="n">
        <v>37</v>
      </c>
      <c r="E573" s="6" t="s">
        <v>134</v>
      </c>
      <c r="F573" s="6" t="s">
        <v>135</v>
      </c>
      <c r="G573" s="26" t="n">
        <v>45989</v>
      </c>
      <c r="H573" s="6" t="s">
        <v>102</v>
      </c>
      <c r="I573" s="26" t="n">
        <f aca="false">_xlfn.MINIFS(Transaction!$C$2:$C$8421,Transaction!$B$2:$B$8421,A573)</f>
        <v>46045</v>
      </c>
      <c r="J573" s="26" t="n">
        <f aca="false">_xlfn.MAXIFS(Transaction!$C$2:$C$8421,Transaction!$B$2:$B$8421,A573)</f>
        <v>46255</v>
      </c>
      <c r="K573" s="6" t="n">
        <f aca="false">COUNTIF(Transaction!$B$2:$B$8421,A573)</f>
        <v>9</v>
      </c>
      <c r="L573" s="10" t="n">
        <f aca="false">SUMIF(Transaction!$B$2:$B$8421,A573,Transaction!$H$2:$H$8421)</f>
        <v>12476</v>
      </c>
      <c r="M573" s="6" t="n">
        <f aca="false">Summary!$B$3-J573</f>
        <v>11</v>
      </c>
      <c r="N573" s="6" t="str">
        <f aca="false">IF(K573&gt;1,"Yes","No")</f>
        <v>Yes</v>
      </c>
      <c r="O573" s="6" t="s">
        <v>45</v>
      </c>
    </row>
    <row r="574" customFormat="false" ht="15" hidden="false" customHeight="false" outlineLevel="0" collapsed="false">
      <c r="A574" s="6" t="s">
        <v>1257</v>
      </c>
      <c r="B574" s="6" t="s">
        <v>1258</v>
      </c>
      <c r="C574" s="6" t="s">
        <v>75</v>
      </c>
      <c r="D574" s="6" t="n">
        <v>28</v>
      </c>
      <c r="E574" s="6" t="s">
        <v>76</v>
      </c>
      <c r="F574" s="6" t="s">
        <v>77</v>
      </c>
      <c r="G574" s="26" t="n">
        <v>46028</v>
      </c>
      <c r="H574" s="6" t="s">
        <v>78</v>
      </c>
      <c r="I574" s="26" t="n">
        <f aca="false">_xlfn.MINIFS(Transaction!$C$2:$C$8421,Transaction!$B$2:$B$8421,A574)</f>
        <v>46078</v>
      </c>
      <c r="J574" s="26" t="n">
        <f aca="false">_xlfn.MAXIFS(Transaction!$C$2:$C$8421,Transaction!$B$2:$B$8421,A574)</f>
        <v>46250</v>
      </c>
      <c r="K574" s="6" t="n">
        <f aca="false">COUNTIF(Transaction!$B$2:$B$8421,A574)</f>
        <v>8</v>
      </c>
      <c r="L574" s="10" t="n">
        <f aca="false">SUMIF(Transaction!$B$2:$B$8421,A574,Transaction!$H$2:$H$8421)</f>
        <v>12193</v>
      </c>
      <c r="M574" s="6" t="n">
        <f aca="false">Summary!$B$3-J574</f>
        <v>16</v>
      </c>
      <c r="N574" s="6" t="str">
        <f aca="false">IF(K574&gt;1,"Yes","No")</f>
        <v>Yes</v>
      </c>
      <c r="O574" s="6" t="s">
        <v>45</v>
      </c>
    </row>
    <row r="575" customFormat="false" ht="15" hidden="false" customHeight="false" outlineLevel="0" collapsed="false">
      <c r="A575" s="6" t="s">
        <v>1259</v>
      </c>
      <c r="B575" s="6" t="s">
        <v>1260</v>
      </c>
      <c r="C575" s="6" t="s">
        <v>75</v>
      </c>
      <c r="D575" s="6" t="n">
        <v>31</v>
      </c>
      <c r="E575" s="6" t="s">
        <v>105</v>
      </c>
      <c r="F575" s="6" t="s">
        <v>106</v>
      </c>
      <c r="G575" s="26" t="n">
        <v>46002</v>
      </c>
      <c r="H575" s="6" t="s">
        <v>78</v>
      </c>
      <c r="I575" s="26" t="n">
        <f aca="false">_xlfn.MINIFS(Transaction!$C$2:$C$8421,Transaction!$B$2:$B$8421,A575)</f>
        <v>46040</v>
      </c>
      <c r="J575" s="26" t="n">
        <f aca="false">_xlfn.MAXIFS(Transaction!$C$2:$C$8421,Transaction!$B$2:$B$8421,A575)</f>
        <v>46245</v>
      </c>
      <c r="K575" s="6" t="n">
        <f aca="false">COUNTIF(Transaction!$B$2:$B$8421,A575)</f>
        <v>7</v>
      </c>
      <c r="L575" s="10" t="n">
        <f aca="false">SUMIF(Transaction!$B$2:$B$8421,A575,Transaction!$H$2:$H$8421)</f>
        <v>26251</v>
      </c>
      <c r="M575" s="6" t="n">
        <f aca="false">Summary!$B$3-J575</f>
        <v>21</v>
      </c>
      <c r="N575" s="6" t="str">
        <f aca="false">IF(K575&gt;1,"Yes","No")</f>
        <v>Yes</v>
      </c>
      <c r="O575" s="6" t="s">
        <v>45</v>
      </c>
    </row>
    <row r="576" customFormat="false" ht="15" hidden="false" customHeight="false" outlineLevel="0" collapsed="false">
      <c r="A576" s="6" t="s">
        <v>1261</v>
      </c>
      <c r="B576" s="6" t="s">
        <v>1262</v>
      </c>
      <c r="C576" s="6" t="s">
        <v>75</v>
      </c>
      <c r="D576" s="6" t="n">
        <v>31</v>
      </c>
      <c r="E576" s="6" t="s">
        <v>206</v>
      </c>
      <c r="F576" s="6" t="s">
        <v>106</v>
      </c>
      <c r="G576" s="26" t="n">
        <v>46218</v>
      </c>
      <c r="H576" s="6" t="s">
        <v>78</v>
      </c>
      <c r="I576" s="26" t="n">
        <f aca="false">_xlfn.MINIFS(Transaction!$C$2:$C$8421,Transaction!$B$2:$B$8421,A576)</f>
        <v>46223</v>
      </c>
      <c r="J576" s="26" t="n">
        <f aca="false">_xlfn.MAXIFS(Transaction!$C$2:$C$8421,Transaction!$B$2:$B$8421,A576)</f>
        <v>46223</v>
      </c>
      <c r="K576" s="6" t="n">
        <f aca="false">COUNTIF(Transaction!$B$2:$B$8421,A576)</f>
        <v>1</v>
      </c>
      <c r="L576" s="10" t="n">
        <f aca="false">SUMIF(Transaction!$B$2:$B$8421,A576,Transaction!$H$2:$H$8421)</f>
        <v>743</v>
      </c>
      <c r="M576" s="6" t="n">
        <f aca="false">Summary!$B$3-J576</f>
        <v>43</v>
      </c>
      <c r="N576" s="6" t="str">
        <f aca="false">IF(K576&gt;1,"Yes","No")</f>
        <v>No</v>
      </c>
      <c r="O576" s="6" t="s">
        <v>47</v>
      </c>
    </row>
    <row r="577" customFormat="false" ht="15" hidden="false" customHeight="false" outlineLevel="0" collapsed="false">
      <c r="A577" s="6" t="s">
        <v>1263</v>
      </c>
      <c r="B577" s="6" t="s">
        <v>1264</v>
      </c>
      <c r="C577" s="6" t="s">
        <v>85</v>
      </c>
      <c r="D577" s="6" t="n">
        <v>20</v>
      </c>
      <c r="E577" s="6" t="s">
        <v>76</v>
      </c>
      <c r="F577" s="6" t="s">
        <v>77</v>
      </c>
      <c r="G577" s="26" t="n">
        <v>45991</v>
      </c>
      <c r="H577" s="6" t="s">
        <v>78</v>
      </c>
      <c r="I577" s="26" t="n">
        <f aca="false">_xlfn.MINIFS(Transaction!$C$2:$C$8421,Transaction!$B$2:$B$8421,A577)</f>
        <v>46028</v>
      </c>
      <c r="J577" s="26" t="n">
        <f aca="false">_xlfn.MAXIFS(Transaction!$C$2:$C$8421,Transaction!$B$2:$B$8421,A577)</f>
        <v>46243</v>
      </c>
      <c r="K577" s="6" t="n">
        <f aca="false">COUNTIF(Transaction!$B$2:$B$8421,A577)</f>
        <v>13</v>
      </c>
      <c r="L577" s="10" t="n">
        <f aca="false">SUMIF(Transaction!$B$2:$B$8421,A577,Transaction!$H$2:$H$8421)</f>
        <v>35726</v>
      </c>
      <c r="M577" s="6" t="n">
        <f aca="false">Summary!$B$3-J577</f>
        <v>23</v>
      </c>
      <c r="N577" s="6" t="str">
        <f aca="false">IF(K577&gt;1,"Yes","No")</f>
        <v>Yes</v>
      </c>
      <c r="O577" s="6" t="s">
        <v>45</v>
      </c>
    </row>
    <row r="578" customFormat="false" ht="15" hidden="false" customHeight="false" outlineLevel="0" collapsed="false">
      <c r="A578" s="6" t="s">
        <v>1265</v>
      </c>
      <c r="B578" s="6" t="s">
        <v>1266</v>
      </c>
      <c r="C578" s="6" t="s">
        <v>75</v>
      </c>
      <c r="D578" s="6" t="n">
        <v>37</v>
      </c>
      <c r="E578" s="6" t="s">
        <v>91</v>
      </c>
      <c r="F578" s="6" t="s">
        <v>77</v>
      </c>
      <c r="G578" s="26" t="n">
        <v>46141</v>
      </c>
      <c r="H578" s="6" t="s">
        <v>123</v>
      </c>
      <c r="I578" s="26" t="n">
        <f aca="false">_xlfn.MINIFS(Transaction!$C$2:$C$8421,Transaction!$B$2:$B$8421,A578)</f>
        <v>46190</v>
      </c>
      <c r="J578" s="26" t="n">
        <f aca="false">_xlfn.MAXIFS(Transaction!$C$2:$C$8421,Transaction!$B$2:$B$8421,A578)</f>
        <v>46190</v>
      </c>
      <c r="K578" s="6" t="n">
        <f aca="false">COUNTIF(Transaction!$B$2:$B$8421,A578)</f>
        <v>1</v>
      </c>
      <c r="L578" s="10" t="n">
        <f aca="false">SUMIF(Transaction!$B$2:$B$8421,A578,Transaction!$H$2:$H$8421)</f>
        <v>580</v>
      </c>
      <c r="M578" s="6" t="n">
        <f aca="false">Summary!$B$3-J578</f>
        <v>76</v>
      </c>
      <c r="N578" s="6" t="str">
        <f aca="false">IF(K578&gt;1,"Yes","No")</f>
        <v>No</v>
      </c>
      <c r="O578" s="6" t="s">
        <v>47</v>
      </c>
    </row>
    <row r="579" customFormat="false" ht="15" hidden="false" customHeight="false" outlineLevel="0" collapsed="false">
      <c r="A579" s="6" t="s">
        <v>1267</v>
      </c>
      <c r="B579" s="6" t="s">
        <v>1268</v>
      </c>
      <c r="C579" s="6" t="s">
        <v>75</v>
      </c>
      <c r="D579" s="6" t="n">
        <v>38</v>
      </c>
      <c r="E579" s="6" t="s">
        <v>91</v>
      </c>
      <c r="F579" s="6" t="s">
        <v>77</v>
      </c>
      <c r="G579" s="26" t="n">
        <v>46216</v>
      </c>
      <c r="H579" s="6" t="s">
        <v>115</v>
      </c>
      <c r="I579" s="26" t="n">
        <f aca="false">_xlfn.MINIFS(Transaction!$C$2:$C$8421,Transaction!$B$2:$B$8421,A579)</f>
        <v>46245</v>
      </c>
      <c r="J579" s="26" t="n">
        <f aca="false">_xlfn.MAXIFS(Transaction!$C$2:$C$8421,Transaction!$B$2:$B$8421,A579)</f>
        <v>46245</v>
      </c>
      <c r="K579" s="6" t="n">
        <f aca="false">COUNTIF(Transaction!$B$2:$B$8421,A579)</f>
        <v>1</v>
      </c>
      <c r="L579" s="10" t="n">
        <f aca="false">SUMIF(Transaction!$B$2:$B$8421,A579,Transaction!$H$2:$H$8421)</f>
        <v>1937</v>
      </c>
      <c r="M579" s="6" t="n">
        <f aca="false">Summary!$B$3-J579</f>
        <v>21</v>
      </c>
      <c r="N579" s="6" t="str">
        <f aca="false">IF(K579&gt;1,"Yes","No")</f>
        <v>No</v>
      </c>
      <c r="O579" s="6" t="s">
        <v>47</v>
      </c>
    </row>
    <row r="580" customFormat="false" ht="15" hidden="false" customHeight="false" outlineLevel="0" collapsed="false">
      <c r="A580" s="6" t="s">
        <v>1269</v>
      </c>
      <c r="B580" s="6" t="s">
        <v>1270</v>
      </c>
      <c r="C580" s="6" t="s">
        <v>75</v>
      </c>
      <c r="D580" s="6" t="n">
        <v>39</v>
      </c>
      <c r="E580" s="6" t="s">
        <v>95</v>
      </c>
      <c r="F580" s="6" t="s">
        <v>95</v>
      </c>
      <c r="G580" s="26" t="n">
        <v>46117</v>
      </c>
      <c r="H580" s="6" t="s">
        <v>115</v>
      </c>
      <c r="I580" s="26" t="n">
        <f aca="false">_xlfn.MINIFS(Transaction!$C$2:$C$8421,Transaction!$B$2:$B$8421,A580)</f>
        <v>46204</v>
      </c>
      <c r="J580" s="26" t="n">
        <f aca="false">_xlfn.MAXIFS(Transaction!$C$2:$C$8421,Transaction!$B$2:$B$8421,A580)</f>
        <v>46247</v>
      </c>
      <c r="K580" s="6" t="n">
        <f aca="false">COUNTIF(Transaction!$B$2:$B$8421,A580)</f>
        <v>5</v>
      </c>
      <c r="L580" s="10" t="n">
        <f aca="false">SUMIF(Transaction!$B$2:$B$8421,A580,Transaction!$H$2:$H$8421)</f>
        <v>26268</v>
      </c>
      <c r="M580" s="6" t="n">
        <f aca="false">Summary!$B$3-J580</f>
        <v>19</v>
      </c>
      <c r="N580" s="6" t="str">
        <f aca="false">IF(K580&gt;1,"Yes","No")</f>
        <v>Yes</v>
      </c>
      <c r="O580" s="6" t="s">
        <v>46</v>
      </c>
    </row>
    <row r="581" customFormat="false" ht="15" hidden="false" customHeight="false" outlineLevel="0" collapsed="false">
      <c r="A581" s="6" t="s">
        <v>1271</v>
      </c>
      <c r="B581" s="6" t="s">
        <v>1272</v>
      </c>
      <c r="C581" s="6" t="s">
        <v>85</v>
      </c>
      <c r="D581" s="6" t="n">
        <v>25</v>
      </c>
      <c r="E581" s="6" t="s">
        <v>264</v>
      </c>
      <c r="F581" s="6" t="s">
        <v>106</v>
      </c>
      <c r="G581" s="26" t="n">
        <v>46013</v>
      </c>
      <c r="H581" s="6" t="s">
        <v>115</v>
      </c>
      <c r="I581" s="26" t="n">
        <f aca="false">_xlfn.MINIFS(Transaction!$C$2:$C$8421,Transaction!$B$2:$B$8421,A581)</f>
        <v>46040</v>
      </c>
      <c r="J581" s="26" t="n">
        <f aca="false">_xlfn.MAXIFS(Transaction!$C$2:$C$8421,Transaction!$B$2:$B$8421,A581)</f>
        <v>46195</v>
      </c>
      <c r="K581" s="6" t="n">
        <f aca="false">COUNTIF(Transaction!$B$2:$B$8421,A581)</f>
        <v>4</v>
      </c>
      <c r="L581" s="10" t="n">
        <f aca="false">SUMIF(Transaction!$B$2:$B$8421,A581,Transaction!$H$2:$H$8421)</f>
        <v>8171</v>
      </c>
      <c r="M581" s="6" t="n">
        <f aca="false">Summary!$B$3-J581</f>
        <v>71</v>
      </c>
      <c r="N581" s="6" t="str">
        <f aca="false">IF(K581&gt;1,"Yes","No")</f>
        <v>Yes</v>
      </c>
      <c r="O581" s="6" t="s">
        <v>46</v>
      </c>
    </row>
    <row r="582" customFormat="false" ht="15" hidden="false" customHeight="false" outlineLevel="0" collapsed="false">
      <c r="A582" s="6" t="s">
        <v>1273</v>
      </c>
      <c r="B582" s="6" t="s">
        <v>1274</v>
      </c>
      <c r="C582" s="6" t="s">
        <v>75</v>
      </c>
      <c r="D582" s="6" t="n">
        <v>28</v>
      </c>
      <c r="E582" s="6" t="s">
        <v>264</v>
      </c>
      <c r="F582" s="6" t="s">
        <v>106</v>
      </c>
      <c r="G582" s="26" t="n">
        <v>46017</v>
      </c>
      <c r="H582" s="6" t="s">
        <v>78</v>
      </c>
      <c r="I582" s="26" t="n">
        <f aca="false">_xlfn.MINIFS(Transaction!$C$2:$C$8421,Transaction!$B$2:$B$8421,A582)</f>
        <v>46066</v>
      </c>
      <c r="J582" s="26" t="n">
        <f aca="false">_xlfn.MAXIFS(Transaction!$C$2:$C$8421,Transaction!$B$2:$B$8421,A582)</f>
        <v>46066</v>
      </c>
      <c r="K582" s="6" t="n">
        <f aca="false">COUNTIF(Transaction!$B$2:$B$8421,A582)</f>
        <v>1</v>
      </c>
      <c r="L582" s="10" t="n">
        <f aca="false">SUMIF(Transaction!$B$2:$B$8421,A582,Transaction!$H$2:$H$8421)</f>
        <v>2800</v>
      </c>
      <c r="M582" s="6" t="n">
        <f aca="false">Summary!$B$3-J582</f>
        <v>200</v>
      </c>
      <c r="N582" s="6" t="str">
        <f aca="false">IF(K582&gt;1,"Yes","No")</f>
        <v>No</v>
      </c>
      <c r="O582" s="6" t="s">
        <v>49</v>
      </c>
    </row>
    <row r="583" customFormat="false" ht="15" hidden="false" customHeight="false" outlineLevel="0" collapsed="false">
      <c r="A583" s="6" t="s">
        <v>1275</v>
      </c>
      <c r="B583" s="6" t="s">
        <v>1276</v>
      </c>
      <c r="C583" s="6" t="s">
        <v>75</v>
      </c>
      <c r="D583" s="6" t="n">
        <v>37</v>
      </c>
      <c r="E583" s="6" t="s">
        <v>95</v>
      </c>
      <c r="F583" s="6" t="s">
        <v>95</v>
      </c>
      <c r="G583" s="26" t="n">
        <v>46061</v>
      </c>
      <c r="H583" s="6" t="s">
        <v>102</v>
      </c>
      <c r="I583" s="26" t="n">
        <f aca="false">_xlfn.MINIFS(Transaction!$C$2:$C$8421,Transaction!$B$2:$B$8421,A583)</f>
        <v>46088</v>
      </c>
      <c r="J583" s="26" t="n">
        <f aca="false">_xlfn.MAXIFS(Transaction!$C$2:$C$8421,Transaction!$B$2:$B$8421,A583)</f>
        <v>46088</v>
      </c>
      <c r="K583" s="6" t="n">
        <f aca="false">COUNTIF(Transaction!$B$2:$B$8421,A583)</f>
        <v>1</v>
      </c>
      <c r="L583" s="10" t="n">
        <f aca="false">SUMIF(Transaction!$B$2:$B$8421,A583,Transaction!$H$2:$H$8421)</f>
        <v>2948</v>
      </c>
      <c r="M583" s="6" t="n">
        <f aca="false">Summary!$B$3-J583</f>
        <v>178</v>
      </c>
      <c r="N583" s="6" t="str">
        <f aca="false">IF(K583&gt;1,"Yes","No")</f>
        <v>No</v>
      </c>
      <c r="O583" s="6" t="s">
        <v>49</v>
      </c>
    </row>
    <row r="584" customFormat="false" ht="15" hidden="false" customHeight="false" outlineLevel="0" collapsed="false">
      <c r="A584" s="6" t="s">
        <v>1277</v>
      </c>
      <c r="B584" s="6" t="s">
        <v>1278</v>
      </c>
      <c r="C584" s="6" t="s">
        <v>85</v>
      </c>
      <c r="D584" s="6" t="n">
        <v>37</v>
      </c>
      <c r="E584" s="6" t="s">
        <v>134</v>
      </c>
      <c r="F584" s="6" t="s">
        <v>135</v>
      </c>
      <c r="G584" s="26" t="n">
        <v>45966</v>
      </c>
      <c r="H584" s="6" t="s">
        <v>123</v>
      </c>
      <c r="I584" s="26" t="n">
        <f aca="false">_xlfn.MINIFS(Transaction!$C$2:$C$8421,Transaction!$B$2:$B$8421,A584)</f>
        <v>46028</v>
      </c>
      <c r="J584" s="26" t="n">
        <f aca="false">_xlfn.MAXIFS(Transaction!$C$2:$C$8421,Transaction!$B$2:$B$8421,A584)</f>
        <v>46028</v>
      </c>
      <c r="K584" s="6" t="n">
        <f aca="false">COUNTIF(Transaction!$B$2:$B$8421,A584)</f>
        <v>1</v>
      </c>
      <c r="L584" s="10" t="n">
        <f aca="false">SUMIF(Transaction!$B$2:$B$8421,A584,Transaction!$H$2:$H$8421)</f>
        <v>1018</v>
      </c>
      <c r="M584" s="6" t="n">
        <f aca="false">Summary!$B$3-J584</f>
        <v>238</v>
      </c>
      <c r="N584" s="6" t="str">
        <f aca="false">IF(K584&gt;1,"Yes","No")</f>
        <v>No</v>
      </c>
      <c r="O584" s="6" t="s">
        <v>49</v>
      </c>
    </row>
    <row r="585" customFormat="false" ht="15" hidden="false" customHeight="false" outlineLevel="0" collapsed="false">
      <c r="A585" s="6" t="s">
        <v>1279</v>
      </c>
      <c r="B585" s="6" t="s">
        <v>1280</v>
      </c>
      <c r="C585" s="6" t="s">
        <v>85</v>
      </c>
      <c r="D585" s="6" t="n">
        <v>32</v>
      </c>
      <c r="E585" s="6" t="s">
        <v>121</v>
      </c>
      <c r="F585" s="6" t="s">
        <v>122</v>
      </c>
      <c r="G585" s="26" t="n">
        <v>45952</v>
      </c>
      <c r="H585" s="6" t="s">
        <v>115</v>
      </c>
      <c r="I585" s="26" t="n">
        <f aca="false">_xlfn.MINIFS(Transaction!$C$2:$C$8421,Transaction!$B$2:$B$8421,A585)</f>
        <v>46040</v>
      </c>
      <c r="J585" s="26" t="n">
        <f aca="false">_xlfn.MAXIFS(Transaction!$C$2:$C$8421,Transaction!$B$2:$B$8421,A585)</f>
        <v>46263</v>
      </c>
      <c r="K585" s="6" t="n">
        <f aca="false">COUNTIF(Transaction!$B$2:$B$8421,A585)</f>
        <v>14</v>
      </c>
      <c r="L585" s="10" t="n">
        <f aca="false">SUMIF(Transaction!$B$2:$B$8421,A585,Transaction!$H$2:$H$8421)</f>
        <v>57455</v>
      </c>
      <c r="M585" s="6" t="n">
        <f aca="false">Summary!$B$3-J585</f>
        <v>3</v>
      </c>
      <c r="N585" s="6" t="str">
        <f aca="false">IF(K585&gt;1,"Yes","No")</f>
        <v>Yes</v>
      </c>
      <c r="O585" s="6" t="s">
        <v>45</v>
      </c>
    </row>
    <row r="586" customFormat="false" ht="15" hidden="false" customHeight="false" outlineLevel="0" collapsed="false">
      <c r="A586" s="6" t="s">
        <v>1281</v>
      </c>
      <c r="B586" s="6" t="s">
        <v>1282</v>
      </c>
      <c r="C586" s="6" t="s">
        <v>75</v>
      </c>
      <c r="D586" s="6" t="n">
        <v>38</v>
      </c>
      <c r="E586" s="6" t="s">
        <v>118</v>
      </c>
      <c r="F586" s="6" t="s">
        <v>77</v>
      </c>
      <c r="G586" s="26" t="n">
        <v>46008</v>
      </c>
      <c r="H586" s="6" t="s">
        <v>92</v>
      </c>
      <c r="I586" s="26" t="n">
        <f aca="false">_xlfn.MINIFS(Transaction!$C$2:$C$8421,Transaction!$B$2:$B$8421,A586)</f>
        <v>46025</v>
      </c>
      <c r="J586" s="26" t="n">
        <f aca="false">_xlfn.MAXIFS(Transaction!$C$2:$C$8421,Transaction!$B$2:$B$8421,A586)</f>
        <v>46025</v>
      </c>
      <c r="K586" s="6" t="n">
        <f aca="false">COUNTIF(Transaction!$B$2:$B$8421,A586)</f>
        <v>1</v>
      </c>
      <c r="L586" s="10" t="n">
        <f aca="false">SUMIF(Transaction!$B$2:$B$8421,A586,Transaction!$H$2:$H$8421)</f>
        <v>2936</v>
      </c>
      <c r="M586" s="6" t="n">
        <f aca="false">Summary!$B$3-J586</f>
        <v>241</v>
      </c>
      <c r="N586" s="6" t="str">
        <f aca="false">IF(K586&gt;1,"Yes","No")</f>
        <v>No</v>
      </c>
      <c r="O586" s="6" t="s">
        <v>49</v>
      </c>
    </row>
    <row r="587" customFormat="false" ht="15" hidden="false" customHeight="false" outlineLevel="0" collapsed="false">
      <c r="A587" s="6" t="s">
        <v>1283</v>
      </c>
      <c r="B587" s="6" t="s">
        <v>1284</v>
      </c>
      <c r="C587" s="6" t="s">
        <v>75</v>
      </c>
      <c r="D587" s="6" t="n">
        <v>26</v>
      </c>
      <c r="E587" s="6" t="s">
        <v>121</v>
      </c>
      <c r="F587" s="6" t="s">
        <v>122</v>
      </c>
      <c r="G587" s="26" t="n">
        <v>46050</v>
      </c>
      <c r="H587" s="6" t="s">
        <v>123</v>
      </c>
      <c r="I587" s="26" t="n">
        <f aca="false">_xlfn.MINIFS(Transaction!$C$2:$C$8421,Transaction!$B$2:$B$8421,A587)</f>
        <v>46065</v>
      </c>
      <c r="J587" s="26" t="n">
        <f aca="false">_xlfn.MAXIFS(Transaction!$C$2:$C$8421,Transaction!$B$2:$B$8421,A587)</f>
        <v>46204</v>
      </c>
      <c r="K587" s="6" t="n">
        <f aca="false">COUNTIF(Transaction!$B$2:$B$8421,A587)</f>
        <v>4</v>
      </c>
      <c r="L587" s="10" t="n">
        <f aca="false">SUMIF(Transaction!$B$2:$B$8421,A587,Transaction!$H$2:$H$8421)</f>
        <v>4539</v>
      </c>
      <c r="M587" s="6" t="n">
        <f aca="false">Summary!$B$3-J587</f>
        <v>62</v>
      </c>
      <c r="N587" s="6" t="str">
        <f aca="false">IF(K587&gt;1,"Yes","No")</f>
        <v>Yes</v>
      </c>
      <c r="O587" s="6" t="s">
        <v>46</v>
      </c>
    </row>
    <row r="588" customFormat="false" ht="15" hidden="false" customHeight="false" outlineLevel="0" collapsed="false">
      <c r="A588" s="6" t="s">
        <v>1285</v>
      </c>
      <c r="B588" s="6" t="s">
        <v>1286</v>
      </c>
      <c r="C588" s="6" t="s">
        <v>75</v>
      </c>
      <c r="D588" s="6" t="n">
        <v>26</v>
      </c>
      <c r="E588" s="6" t="s">
        <v>76</v>
      </c>
      <c r="F588" s="6" t="s">
        <v>77</v>
      </c>
      <c r="G588" s="26" t="n">
        <v>46146</v>
      </c>
      <c r="H588" s="6" t="s">
        <v>123</v>
      </c>
      <c r="I588" s="26" t="n">
        <f aca="false">_xlfn.MINIFS(Transaction!$C$2:$C$8421,Transaction!$B$2:$B$8421,A588)</f>
        <v>46147</v>
      </c>
      <c r="J588" s="26" t="n">
        <f aca="false">_xlfn.MAXIFS(Transaction!$C$2:$C$8421,Transaction!$B$2:$B$8421,A588)</f>
        <v>46147</v>
      </c>
      <c r="K588" s="6" t="n">
        <f aca="false">COUNTIF(Transaction!$B$2:$B$8421,A588)</f>
        <v>1</v>
      </c>
      <c r="L588" s="10" t="n">
        <f aca="false">SUMIF(Transaction!$B$2:$B$8421,A588,Transaction!$H$2:$H$8421)</f>
        <v>743</v>
      </c>
      <c r="M588" s="6" t="n">
        <f aca="false">Summary!$B$3-J588</f>
        <v>119</v>
      </c>
      <c r="N588" s="6" t="str">
        <f aca="false">IF(K588&gt;1,"Yes","No")</f>
        <v>No</v>
      </c>
      <c r="O588" s="6" t="s">
        <v>48</v>
      </c>
    </row>
    <row r="589" customFormat="false" ht="15" hidden="false" customHeight="false" outlineLevel="0" collapsed="false">
      <c r="A589" s="6" t="s">
        <v>1287</v>
      </c>
      <c r="B589" s="6" t="s">
        <v>1288</v>
      </c>
      <c r="C589" s="6" t="s">
        <v>85</v>
      </c>
      <c r="D589" s="6" t="n">
        <v>27</v>
      </c>
      <c r="E589" s="6" t="s">
        <v>76</v>
      </c>
      <c r="F589" s="6" t="s">
        <v>77</v>
      </c>
      <c r="G589" s="26" t="n">
        <v>46116</v>
      </c>
      <c r="H589" s="6" t="s">
        <v>115</v>
      </c>
      <c r="I589" s="26" t="n">
        <f aca="false">_xlfn.MINIFS(Transaction!$C$2:$C$8421,Transaction!$B$2:$B$8421,A589)</f>
        <v>46128</v>
      </c>
      <c r="J589" s="26" t="n">
        <f aca="false">_xlfn.MAXIFS(Transaction!$C$2:$C$8421,Transaction!$B$2:$B$8421,A589)</f>
        <v>46128</v>
      </c>
      <c r="K589" s="6" t="n">
        <f aca="false">COUNTIF(Transaction!$B$2:$B$8421,A589)</f>
        <v>1</v>
      </c>
      <c r="L589" s="10" t="n">
        <f aca="false">SUMIF(Transaction!$B$2:$B$8421,A589,Transaction!$H$2:$H$8421)</f>
        <v>1732</v>
      </c>
      <c r="M589" s="6" t="n">
        <f aca="false">Summary!$B$3-J589</f>
        <v>138</v>
      </c>
      <c r="N589" s="6" t="str">
        <f aca="false">IF(K589&gt;1,"Yes","No")</f>
        <v>No</v>
      </c>
      <c r="O589" s="6" t="s">
        <v>48</v>
      </c>
    </row>
    <row r="590" customFormat="false" ht="15" hidden="false" customHeight="false" outlineLevel="0" collapsed="false">
      <c r="A590" s="6" t="s">
        <v>1289</v>
      </c>
      <c r="B590" s="6" t="s">
        <v>1290</v>
      </c>
      <c r="C590" s="6" t="s">
        <v>85</v>
      </c>
      <c r="D590" s="6" t="n">
        <v>35</v>
      </c>
      <c r="E590" s="6" t="s">
        <v>430</v>
      </c>
      <c r="F590" s="6" t="s">
        <v>99</v>
      </c>
      <c r="G590" s="26" t="n">
        <v>46055</v>
      </c>
      <c r="H590" s="6" t="s">
        <v>78</v>
      </c>
      <c r="I590" s="26" t="n">
        <f aca="false">_xlfn.MINIFS(Transaction!$C$2:$C$8421,Transaction!$B$2:$B$8421,A590)</f>
        <v>46086</v>
      </c>
      <c r="J590" s="26" t="n">
        <f aca="false">_xlfn.MAXIFS(Transaction!$C$2:$C$8421,Transaction!$B$2:$B$8421,A590)</f>
        <v>46086</v>
      </c>
      <c r="K590" s="6" t="n">
        <f aca="false">COUNTIF(Transaction!$B$2:$B$8421,A590)</f>
        <v>1</v>
      </c>
      <c r="L590" s="10" t="n">
        <f aca="false">SUMIF(Transaction!$B$2:$B$8421,A590,Transaction!$H$2:$H$8421)</f>
        <v>587</v>
      </c>
      <c r="M590" s="6" t="n">
        <f aca="false">Summary!$B$3-J590</f>
        <v>180</v>
      </c>
      <c r="N590" s="6" t="str">
        <f aca="false">IF(K590&gt;1,"Yes","No")</f>
        <v>No</v>
      </c>
      <c r="O590" s="6" t="s">
        <v>49</v>
      </c>
    </row>
    <row r="591" customFormat="false" ht="15" hidden="false" customHeight="false" outlineLevel="0" collapsed="false">
      <c r="A591" s="6" t="s">
        <v>1291</v>
      </c>
      <c r="B591" s="6" t="s">
        <v>1292</v>
      </c>
      <c r="C591" s="6" t="s">
        <v>85</v>
      </c>
      <c r="D591" s="6" t="n">
        <v>18</v>
      </c>
      <c r="E591" s="6" t="s">
        <v>126</v>
      </c>
      <c r="F591" s="6" t="s">
        <v>127</v>
      </c>
      <c r="G591" s="26" t="n">
        <v>46118</v>
      </c>
      <c r="H591" s="6" t="s">
        <v>78</v>
      </c>
      <c r="I591" s="26" t="n">
        <f aca="false">_xlfn.MINIFS(Transaction!$C$2:$C$8421,Transaction!$B$2:$B$8421,A591)</f>
        <v>46170</v>
      </c>
      <c r="J591" s="26" t="n">
        <f aca="false">_xlfn.MAXIFS(Transaction!$C$2:$C$8421,Transaction!$B$2:$B$8421,A591)</f>
        <v>46170</v>
      </c>
      <c r="K591" s="6" t="n">
        <f aca="false">COUNTIF(Transaction!$B$2:$B$8421,A591)</f>
        <v>1</v>
      </c>
      <c r="L591" s="10" t="n">
        <f aca="false">SUMIF(Transaction!$B$2:$B$8421,A591,Transaction!$H$2:$H$8421)</f>
        <v>1468</v>
      </c>
      <c r="M591" s="6" t="n">
        <f aca="false">Summary!$B$3-J591</f>
        <v>96</v>
      </c>
      <c r="N591" s="6" t="str">
        <f aca="false">IF(K591&gt;1,"Yes","No")</f>
        <v>No</v>
      </c>
      <c r="O591" s="6" t="s">
        <v>48</v>
      </c>
    </row>
    <row r="592" customFormat="false" ht="15" hidden="false" customHeight="false" outlineLevel="0" collapsed="false">
      <c r="A592" s="6" t="s">
        <v>1293</v>
      </c>
      <c r="B592" s="6" t="s">
        <v>1294</v>
      </c>
      <c r="C592" s="6" t="s">
        <v>85</v>
      </c>
      <c r="D592" s="6" t="n">
        <v>19</v>
      </c>
      <c r="E592" s="6" t="s">
        <v>146</v>
      </c>
      <c r="F592" s="6" t="s">
        <v>147</v>
      </c>
      <c r="G592" s="26" t="n">
        <v>46182</v>
      </c>
      <c r="H592" s="6" t="s">
        <v>115</v>
      </c>
      <c r="I592" s="26" t="n">
        <f aca="false">_xlfn.MINIFS(Transaction!$C$2:$C$8421,Transaction!$B$2:$B$8421,A592)</f>
        <v>46239</v>
      </c>
      <c r="J592" s="26" t="n">
        <f aca="false">_xlfn.MAXIFS(Transaction!$C$2:$C$8421,Transaction!$B$2:$B$8421,A592)</f>
        <v>46239</v>
      </c>
      <c r="K592" s="6" t="n">
        <f aca="false">COUNTIF(Transaction!$B$2:$B$8421,A592)</f>
        <v>1</v>
      </c>
      <c r="L592" s="10" t="n">
        <f aca="false">SUMIF(Transaction!$B$2:$B$8421,A592,Transaction!$H$2:$H$8421)</f>
        <v>1768</v>
      </c>
      <c r="M592" s="6" t="n">
        <f aca="false">Summary!$B$3-J592</f>
        <v>27</v>
      </c>
      <c r="N592" s="6" t="str">
        <f aca="false">IF(K592&gt;1,"Yes","No")</f>
        <v>No</v>
      </c>
      <c r="O592" s="6" t="s">
        <v>47</v>
      </c>
    </row>
    <row r="593" customFormat="false" ht="15" hidden="false" customHeight="false" outlineLevel="0" collapsed="false">
      <c r="A593" s="6" t="s">
        <v>1295</v>
      </c>
      <c r="B593" s="6" t="s">
        <v>1296</v>
      </c>
      <c r="C593" s="6" t="s">
        <v>75</v>
      </c>
      <c r="D593" s="6" t="n">
        <v>33</v>
      </c>
      <c r="E593" s="6" t="s">
        <v>121</v>
      </c>
      <c r="F593" s="6" t="s">
        <v>122</v>
      </c>
      <c r="G593" s="26" t="n">
        <v>46002</v>
      </c>
      <c r="H593" s="6" t="s">
        <v>88</v>
      </c>
      <c r="I593" s="26" t="n">
        <f aca="false">_xlfn.MINIFS(Transaction!$C$2:$C$8421,Transaction!$B$2:$B$8421,A593)</f>
        <v>46049</v>
      </c>
      <c r="J593" s="26" t="n">
        <f aca="false">_xlfn.MAXIFS(Transaction!$C$2:$C$8421,Transaction!$B$2:$B$8421,A593)</f>
        <v>46245</v>
      </c>
      <c r="K593" s="6" t="n">
        <f aca="false">COUNTIF(Transaction!$B$2:$B$8421,A593)</f>
        <v>10</v>
      </c>
      <c r="L593" s="10" t="n">
        <f aca="false">SUMIF(Transaction!$B$2:$B$8421,A593,Transaction!$H$2:$H$8421)</f>
        <v>10779</v>
      </c>
      <c r="M593" s="6" t="n">
        <f aca="false">Summary!$B$3-J593</f>
        <v>21</v>
      </c>
      <c r="N593" s="6" t="str">
        <f aca="false">IF(K593&gt;1,"Yes","No")</f>
        <v>Yes</v>
      </c>
      <c r="O593" s="6" t="s">
        <v>45</v>
      </c>
    </row>
    <row r="594" customFormat="false" ht="15" hidden="false" customHeight="false" outlineLevel="0" collapsed="false">
      <c r="A594" s="6" t="s">
        <v>1297</v>
      </c>
      <c r="B594" s="6" t="s">
        <v>1298</v>
      </c>
      <c r="C594" s="6" t="s">
        <v>75</v>
      </c>
      <c r="D594" s="6" t="n">
        <v>28</v>
      </c>
      <c r="E594" s="6" t="s">
        <v>81</v>
      </c>
      <c r="F594" s="6" t="s">
        <v>82</v>
      </c>
      <c r="G594" s="26" t="n">
        <v>46064</v>
      </c>
      <c r="H594" s="6" t="s">
        <v>102</v>
      </c>
      <c r="I594" s="26" t="n">
        <f aca="false">_xlfn.MINIFS(Transaction!$C$2:$C$8421,Transaction!$B$2:$B$8421,A594)</f>
        <v>46147</v>
      </c>
      <c r="J594" s="26" t="n">
        <f aca="false">_xlfn.MAXIFS(Transaction!$C$2:$C$8421,Transaction!$B$2:$B$8421,A594)</f>
        <v>46147</v>
      </c>
      <c r="K594" s="6" t="n">
        <f aca="false">COUNTIF(Transaction!$B$2:$B$8421,A594)</f>
        <v>1</v>
      </c>
      <c r="L594" s="10" t="n">
        <f aca="false">SUMIF(Transaction!$B$2:$B$8421,A594,Transaction!$H$2:$H$8421)</f>
        <v>3908</v>
      </c>
      <c r="M594" s="6" t="n">
        <f aca="false">Summary!$B$3-J594</f>
        <v>119</v>
      </c>
      <c r="N594" s="6" t="str">
        <f aca="false">IF(K594&gt;1,"Yes","No")</f>
        <v>No</v>
      </c>
      <c r="O594" s="6" t="s">
        <v>48</v>
      </c>
    </row>
    <row r="595" customFormat="false" ht="15" hidden="false" customHeight="false" outlineLevel="0" collapsed="false">
      <c r="A595" s="6" t="s">
        <v>1299</v>
      </c>
      <c r="B595" s="6" t="s">
        <v>1300</v>
      </c>
      <c r="C595" s="6" t="s">
        <v>75</v>
      </c>
      <c r="D595" s="6" t="n">
        <v>18</v>
      </c>
      <c r="E595" s="6" t="s">
        <v>76</v>
      </c>
      <c r="F595" s="6" t="s">
        <v>77</v>
      </c>
      <c r="G595" s="26" t="n">
        <v>46023</v>
      </c>
      <c r="H595" s="6" t="s">
        <v>78</v>
      </c>
      <c r="I595" s="26" t="n">
        <f aca="false">_xlfn.MINIFS(Transaction!$C$2:$C$8421,Transaction!$B$2:$B$8421,A595)</f>
        <v>46044</v>
      </c>
      <c r="J595" s="26" t="n">
        <f aca="false">_xlfn.MAXIFS(Transaction!$C$2:$C$8421,Transaction!$B$2:$B$8421,A595)</f>
        <v>46261</v>
      </c>
      <c r="K595" s="6" t="n">
        <f aca="false">COUNTIF(Transaction!$B$2:$B$8421,A595)</f>
        <v>9</v>
      </c>
      <c r="L595" s="10" t="n">
        <f aca="false">SUMIF(Transaction!$B$2:$B$8421,A595,Transaction!$H$2:$H$8421)</f>
        <v>24833</v>
      </c>
      <c r="M595" s="6" t="n">
        <f aca="false">Summary!$B$3-J595</f>
        <v>5</v>
      </c>
      <c r="N595" s="6" t="str">
        <f aca="false">IF(K595&gt;1,"Yes","No")</f>
        <v>Yes</v>
      </c>
      <c r="O595" s="6" t="s">
        <v>45</v>
      </c>
    </row>
    <row r="596" customFormat="false" ht="15" hidden="false" customHeight="false" outlineLevel="0" collapsed="false">
      <c r="A596" s="6" t="s">
        <v>1301</v>
      </c>
      <c r="B596" s="6" t="s">
        <v>1302</v>
      </c>
      <c r="C596" s="6" t="s">
        <v>85</v>
      </c>
      <c r="D596" s="6" t="n">
        <v>27</v>
      </c>
      <c r="E596" s="6" t="s">
        <v>134</v>
      </c>
      <c r="F596" s="6" t="s">
        <v>135</v>
      </c>
      <c r="G596" s="26" t="n">
        <v>46058</v>
      </c>
      <c r="H596" s="6" t="s">
        <v>92</v>
      </c>
      <c r="I596" s="26" t="n">
        <f aca="false">_xlfn.MINIFS(Transaction!$C$2:$C$8421,Transaction!$B$2:$B$8421,A596)</f>
        <v>46122</v>
      </c>
      <c r="J596" s="26" t="n">
        <f aca="false">_xlfn.MAXIFS(Transaction!$C$2:$C$8421,Transaction!$B$2:$B$8421,A596)</f>
        <v>46122</v>
      </c>
      <c r="K596" s="6" t="n">
        <f aca="false">COUNTIF(Transaction!$B$2:$B$8421,A596)</f>
        <v>1</v>
      </c>
      <c r="L596" s="10" t="n">
        <f aca="false">SUMIF(Transaction!$B$2:$B$8421,A596,Transaction!$H$2:$H$8421)</f>
        <v>4078</v>
      </c>
      <c r="M596" s="6" t="n">
        <f aca="false">Summary!$B$3-J596</f>
        <v>144</v>
      </c>
      <c r="N596" s="6" t="str">
        <f aca="false">IF(K596&gt;1,"Yes","No")</f>
        <v>No</v>
      </c>
      <c r="O596" s="6" t="s">
        <v>48</v>
      </c>
    </row>
    <row r="597" customFormat="false" ht="15" hidden="false" customHeight="false" outlineLevel="0" collapsed="false">
      <c r="A597" s="6" t="s">
        <v>1303</v>
      </c>
      <c r="B597" s="6" t="s">
        <v>1304</v>
      </c>
      <c r="C597" s="6" t="s">
        <v>75</v>
      </c>
      <c r="D597" s="6" t="n">
        <v>31</v>
      </c>
      <c r="E597" s="6" t="s">
        <v>91</v>
      </c>
      <c r="F597" s="6" t="s">
        <v>77</v>
      </c>
      <c r="G597" s="26" t="n">
        <v>46034</v>
      </c>
      <c r="H597" s="6" t="s">
        <v>115</v>
      </c>
      <c r="I597" s="26" t="n">
        <f aca="false">_xlfn.MINIFS(Transaction!$C$2:$C$8421,Transaction!$B$2:$B$8421,A597)</f>
        <v>46090</v>
      </c>
      <c r="J597" s="26" t="n">
        <f aca="false">_xlfn.MAXIFS(Transaction!$C$2:$C$8421,Transaction!$B$2:$B$8421,A597)</f>
        <v>46200</v>
      </c>
      <c r="K597" s="6" t="n">
        <f aca="false">COUNTIF(Transaction!$B$2:$B$8421,A597)</f>
        <v>3</v>
      </c>
      <c r="L597" s="10" t="n">
        <f aca="false">SUMIF(Transaction!$B$2:$B$8421,A597,Transaction!$H$2:$H$8421)</f>
        <v>1963</v>
      </c>
      <c r="M597" s="6" t="n">
        <f aca="false">Summary!$B$3-J597</f>
        <v>66</v>
      </c>
      <c r="N597" s="6" t="str">
        <f aca="false">IF(K597&gt;1,"Yes","No")</f>
        <v>Yes</v>
      </c>
      <c r="O597" s="6" t="s">
        <v>46</v>
      </c>
    </row>
    <row r="598" customFormat="false" ht="15" hidden="false" customHeight="false" outlineLevel="0" collapsed="false">
      <c r="A598" s="6" t="s">
        <v>1305</v>
      </c>
      <c r="B598" s="6" t="s">
        <v>1306</v>
      </c>
      <c r="C598" s="6" t="s">
        <v>85</v>
      </c>
      <c r="D598" s="6" t="n">
        <v>39</v>
      </c>
      <c r="E598" s="6" t="s">
        <v>81</v>
      </c>
      <c r="F598" s="6" t="s">
        <v>82</v>
      </c>
      <c r="G598" s="26" t="n">
        <v>46123</v>
      </c>
      <c r="H598" s="6" t="s">
        <v>88</v>
      </c>
      <c r="I598" s="26" t="n">
        <f aca="false">_xlfn.MINIFS(Transaction!$C$2:$C$8421,Transaction!$B$2:$B$8421,A598)</f>
        <v>46211</v>
      </c>
      <c r="J598" s="26" t="n">
        <f aca="false">_xlfn.MAXIFS(Transaction!$C$2:$C$8421,Transaction!$B$2:$B$8421,A598)</f>
        <v>46211</v>
      </c>
      <c r="K598" s="6" t="n">
        <f aca="false">COUNTIF(Transaction!$B$2:$B$8421,A598)</f>
        <v>1</v>
      </c>
      <c r="L598" s="10" t="n">
        <f aca="false">SUMIF(Transaction!$B$2:$B$8421,A598,Transaction!$H$2:$H$8421)</f>
        <v>733</v>
      </c>
      <c r="M598" s="6" t="n">
        <f aca="false">Summary!$B$3-J598</f>
        <v>55</v>
      </c>
      <c r="N598" s="6" t="str">
        <f aca="false">IF(K598&gt;1,"Yes","No")</f>
        <v>No</v>
      </c>
      <c r="O598" s="6" t="s">
        <v>47</v>
      </c>
    </row>
    <row r="599" customFormat="false" ht="15" hidden="false" customHeight="false" outlineLevel="0" collapsed="false">
      <c r="A599" s="6" t="s">
        <v>1307</v>
      </c>
      <c r="B599" s="6" t="s">
        <v>1308</v>
      </c>
      <c r="C599" s="6" t="s">
        <v>75</v>
      </c>
      <c r="D599" s="6" t="n">
        <v>30</v>
      </c>
      <c r="E599" s="6" t="s">
        <v>121</v>
      </c>
      <c r="F599" s="6" t="s">
        <v>122</v>
      </c>
      <c r="G599" s="26" t="n">
        <v>46102</v>
      </c>
      <c r="H599" s="6" t="s">
        <v>102</v>
      </c>
      <c r="I599" s="26" t="n">
        <f aca="false">_xlfn.MINIFS(Transaction!$C$2:$C$8421,Transaction!$B$2:$B$8421,A599)</f>
        <v>46143</v>
      </c>
      <c r="J599" s="26" t="n">
        <f aca="false">_xlfn.MAXIFS(Transaction!$C$2:$C$8421,Transaction!$B$2:$B$8421,A599)</f>
        <v>46143</v>
      </c>
      <c r="K599" s="6" t="n">
        <f aca="false">COUNTIF(Transaction!$B$2:$B$8421,A599)</f>
        <v>1</v>
      </c>
      <c r="L599" s="10" t="n">
        <f aca="false">SUMIF(Transaction!$B$2:$B$8421,A599,Transaction!$H$2:$H$8421)</f>
        <v>1213</v>
      </c>
      <c r="M599" s="6" t="n">
        <f aca="false">Summary!$B$3-J599</f>
        <v>123</v>
      </c>
      <c r="N599" s="6" t="str">
        <f aca="false">IF(K599&gt;1,"Yes","No")</f>
        <v>No</v>
      </c>
      <c r="O599" s="6" t="s">
        <v>48</v>
      </c>
    </row>
    <row r="600" customFormat="false" ht="15" hidden="false" customHeight="false" outlineLevel="0" collapsed="false">
      <c r="A600" s="6" t="s">
        <v>1309</v>
      </c>
      <c r="B600" s="6" t="s">
        <v>1310</v>
      </c>
      <c r="C600" s="6" t="s">
        <v>75</v>
      </c>
      <c r="D600" s="6" t="n">
        <v>35</v>
      </c>
      <c r="E600" s="6" t="s">
        <v>76</v>
      </c>
      <c r="F600" s="6" t="s">
        <v>77</v>
      </c>
      <c r="G600" s="26" t="n">
        <v>45996</v>
      </c>
      <c r="H600" s="6" t="s">
        <v>123</v>
      </c>
      <c r="I600" s="26" t="n">
        <f aca="false">_xlfn.MINIFS(Transaction!$C$2:$C$8421,Transaction!$B$2:$B$8421,A600)</f>
        <v>46050</v>
      </c>
      <c r="J600" s="26" t="n">
        <f aca="false">_xlfn.MAXIFS(Transaction!$C$2:$C$8421,Transaction!$B$2:$B$8421,A600)</f>
        <v>46254</v>
      </c>
      <c r="K600" s="6" t="n">
        <f aca="false">COUNTIF(Transaction!$B$2:$B$8421,A600)</f>
        <v>12</v>
      </c>
      <c r="L600" s="10" t="n">
        <f aca="false">SUMIF(Transaction!$B$2:$B$8421,A600,Transaction!$H$2:$H$8421)</f>
        <v>26021</v>
      </c>
      <c r="M600" s="6" t="n">
        <f aca="false">Summary!$B$3-J600</f>
        <v>12</v>
      </c>
      <c r="N600" s="6" t="str">
        <f aca="false">IF(K600&gt;1,"Yes","No")</f>
        <v>Yes</v>
      </c>
      <c r="O600" s="6" t="s">
        <v>45</v>
      </c>
    </row>
    <row r="601" customFormat="false" ht="15" hidden="false" customHeight="false" outlineLevel="0" collapsed="false">
      <c r="A601" s="6" t="s">
        <v>1311</v>
      </c>
      <c r="B601" s="6" t="s">
        <v>1312</v>
      </c>
      <c r="C601" s="6" t="s">
        <v>85</v>
      </c>
      <c r="D601" s="6" t="n">
        <v>30</v>
      </c>
      <c r="E601" s="6" t="s">
        <v>76</v>
      </c>
      <c r="F601" s="6" t="s">
        <v>77</v>
      </c>
      <c r="G601" s="26" t="n">
        <v>45960</v>
      </c>
      <c r="H601" s="6" t="s">
        <v>78</v>
      </c>
      <c r="I601" s="26" t="n">
        <f aca="false">_xlfn.MINIFS(Transaction!$C$2:$C$8421,Transaction!$B$2:$B$8421,A601)</f>
        <v>46033</v>
      </c>
      <c r="J601" s="26" t="n">
        <f aca="false">_xlfn.MAXIFS(Transaction!$C$2:$C$8421,Transaction!$B$2:$B$8421,A601)</f>
        <v>46033</v>
      </c>
      <c r="K601" s="6" t="n">
        <f aca="false">COUNTIF(Transaction!$B$2:$B$8421,A601)</f>
        <v>1</v>
      </c>
      <c r="L601" s="10" t="n">
        <f aca="false">SUMIF(Transaction!$B$2:$B$8421,A601,Transaction!$H$2:$H$8421)</f>
        <v>880</v>
      </c>
      <c r="M601" s="6" t="n">
        <f aca="false">Summary!$B$3-J601</f>
        <v>233</v>
      </c>
      <c r="N601" s="6" t="str">
        <f aca="false">IF(K601&gt;1,"Yes","No")</f>
        <v>No</v>
      </c>
      <c r="O601" s="6" t="s">
        <v>49</v>
      </c>
    </row>
    <row r="602" customFormat="false" ht="15" hidden="false" customHeight="false" outlineLevel="0" collapsed="false">
      <c r="A602" s="6" t="s">
        <v>1313</v>
      </c>
      <c r="B602" s="6" t="s">
        <v>1314</v>
      </c>
      <c r="C602" s="6" t="s">
        <v>85</v>
      </c>
      <c r="D602" s="6" t="n">
        <v>35</v>
      </c>
      <c r="E602" s="6" t="s">
        <v>76</v>
      </c>
      <c r="F602" s="6" t="s">
        <v>77</v>
      </c>
      <c r="G602" s="26" t="n">
        <v>45993</v>
      </c>
      <c r="H602" s="6" t="s">
        <v>115</v>
      </c>
      <c r="I602" s="26" t="n">
        <f aca="false">_xlfn.MINIFS(Transaction!$C$2:$C$8421,Transaction!$B$2:$B$8421,A602)</f>
        <v>46047</v>
      </c>
      <c r="J602" s="26" t="n">
        <f aca="false">_xlfn.MAXIFS(Transaction!$C$2:$C$8421,Transaction!$B$2:$B$8421,A602)</f>
        <v>46207</v>
      </c>
      <c r="K602" s="6" t="n">
        <f aca="false">COUNTIF(Transaction!$B$2:$B$8421,A602)</f>
        <v>7</v>
      </c>
      <c r="L602" s="10" t="n">
        <f aca="false">SUMIF(Transaction!$B$2:$B$8421,A602,Transaction!$H$2:$H$8421)</f>
        <v>27028</v>
      </c>
      <c r="M602" s="6" t="n">
        <f aca="false">Summary!$B$3-J602</f>
        <v>59</v>
      </c>
      <c r="N602" s="6" t="str">
        <f aca="false">IF(K602&gt;1,"Yes","No")</f>
        <v>Yes</v>
      </c>
      <c r="O602" s="6" t="s">
        <v>46</v>
      </c>
    </row>
    <row r="603" customFormat="false" ht="15" hidden="false" customHeight="false" outlineLevel="0" collapsed="false">
      <c r="A603" s="6" t="s">
        <v>1315</v>
      </c>
      <c r="B603" s="6" t="s">
        <v>1316</v>
      </c>
      <c r="C603" s="6" t="s">
        <v>75</v>
      </c>
      <c r="D603" s="6" t="n">
        <v>32</v>
      </c>
      <c r="E603" s="6" t="s">
        <v>91</v>
      </c>
      <c r="F603" s="6" t="s">
        <v>77</v>
      </c>
      <c r="G603" s="26" t="n">
        <v>46095</v>
      </c>
      <c r="H603" s="6" t="s">
        <v>115</v>
      </c>
      <c r="I603" s="26" t="n">
        <f aca="false">_xlfn.MINIFS(Transaction!$C$2:$C$8421,Transaction!$B$2:$B$8421,A603)</f>
        <v>46127</v>
      </c>
      <c r="J603" s="26" t="n">
        <f aca="false">_xlfn.MAXIFS(Transaction!$C$2:$C$8421,Transaction!$B$2:$B$8421,A603)</f>
        <v>46127</v>
      </c>
      <c r="K603" s="6" t="n">
        <f aca="false">COUNTIF(Transaction!$B$2:$B$8421,A603)</f>
        <v>1</v>
      </c>
      <c r="L603" s="10" t="n">
        <f aca="false">SUMIF(Transaction!$B$2:$B$8421,A603,Transaction!$H$2:$H$8421)</f>
        <v>5016</v>
      </c>
      <c r="M603" s="6" t="n">
        <f aca="false">Summary!$B$3-J603</f>
        <v>139</v>
      </c>
      <c r="N603" s="6" t="str">
        <f aca="false">IF(K603&gt;1,"Yes","No")</f>
        <v>No</v>
      </c>
      <c r="O603" s="6" t="s">
        <v>48</v>
      </c>
    </row>
    <row r="604" customFormat="false" ht="15" hidden="false" customHeight="false" outlineLevel="0" collapsed="false">
      <c r="A604" s="6" t="s">
        <v>1317</v>
      </c>
      <c r="B604" s="6" t="s">
        <v>1318</v>
      </c>
      <c r="C604" s="6" t="s">
        <v>75</v>
      </c>
      <c r="D604" s="6" t="n">
        <v>22</v>
      </c>
      <c r="E604" s="6" t="s">
        <v>86</v>
      </c>
      <c r="F604" s="6" t="s">
        <v>87</v>
      </c>
      <c r="G604" s="26" t="n">
        <v>46009</v>
      </c>
      <c r="H604" s="6" t="s">
        <v>115</v>
      </c>
      <c r="I604" s="26" t="n">
        <f aca="false">_xlfn.MINIFS(Transaction!$C$2:$C$8421,Transaction!$B$2:$B$8421,A604)</f>
        <v>46091</v>
      </c>
      <c r="J604" s="26" t="n">
        <f aca="false">_xlfn.MAXIFS(Transaction!$C$2:$C$8421,Transaction!$B$2:$B$8421,A604)</f>
        <v>46237</v>
      </c>
      <c r="K604" s="6" t="n">
        <f aca="false">COUNTIF(Transaction!$B$2:$B$8421,A604)</f>
        <v>2</v>
      </c>
      <c r="L604" s="10" t="n">
        <f aca="false">SUMIF(Transaction!$B$2:$B$8421,A604,Transaction!$H$2:$H$8421)</f>
        <v>5054</v>
      </c>
      <c r="M604" s="6" t="n">
        <f aca="false">Summary!$B$3-J604</f>
        <v>29</v>
      </c>
      <c r="N604" s="6" t="str">
        <f aca="false">IF(K604&gt;1,"Yes","No")</f>
        <v>Yes</v>
      </c>
      <c r="O604" s="6" t="s">
        <v>46</v>
      </c>
    </row>
    <row r="605" customFormat="false" ht="15" hidden="false" customHeight="false" outlineLevel="0" collapsed="false">
      <c r="A605" s="6" t="s">
        <v>1319</v>
      </c>
      <c r="B605" s="6" t="s">
        <v>1320</v>
      </c>
      <c r="C605" s="6" t="s">
        <v>85</v>
      </c>
      <c r="D605" s="6" t="n">
        <v>26</v>
      </c>
      <c r="E605" s="6" t="s">
        <v>95</v>
      </c>
      <c r="F605" s="6" t="s">
        <v>95</v>
      </c>
      <c r="G605" s="26" t="n">
        <v>45968</v>
      </c>
      <c r="H605" s="6" t="s">
        <v>92</v>
      </c>
      <c r="I605" s="26" t="n">
        <f aca="false">_xlfn.MINIFS(Transaction!$C$2:$C$8421,Transaction!$B$2:$B$8421,A605)</f>
        <v>46046</v>
      </c>
      <c r="J605" s="26" t="n">
        <f aca="false">_xlfn.MAXIFS(Transaction!$C$2:$C$8421,Transaction!$B$2:$B$8421,A605)</f>
        <v>46046</v>
      </c>
      <c r="K605" s="6" t="n">
        <f aca="false">COUNTIF(Transaction!$B$2:$B$8421,A605)</f>
        <v>1</v>
      </c>
      <c r="L605" s="10" t="n">
        <f aca="false">SUMIF(Transaction!$B$2:$B$8421,A605,Transaction!$H$2:$H$8421)</f>
        <v>2935</v>
      </c>
      <c r="M605" s="6" t="n">
        <f aca="false">Summary!$B$3-J605</f>
        <v>220</v>
      </c>
      <c r="N605" s="6" t="str">
        <f aca="false">IF(K605&gt;1,"Yes","No")</f>
        <v>No</v>
      </c>
      <c r="O605" s="6" t="s">
        <v>49</v>
      </c>
    </row>
    <row r="606" customFormat="false" ht="15" hidden="false" customHeight="false" outlineLevel="0" collapsed="false">
      <c r="A606" s="6" t="s">
        <v>1321</v>
      </c>
      <c r="B606" s="6" t="s">
        <v>1322</v>
      </c>
      <c r="C606" s="6" t="s">
        <v>85</v>
      </c>
      <c r="D606" s="6" t="n">
        <v>28</v>
      </c>
      <c r="E606" s="6" t="s">
        <v>180</v>
      </c>
      <c r="F606" s="6" t="s">
        <v>181</v>
      </c>
      <c r="G606" s="26" t="n">
        <v>46143</v>
      </c>
      <c r="H606" s="6" t="s">
        <v>92</v>
      </c>
      <c r="I606" s="26" t="n">
        <f aca="false">_xlfn.MINIFS(Transaction!$C$2:$C$8421,Transaction!$B$2:$B$8421,A606)</f>
        <v>46217</v>
      </c>
      <c r="J606" s="26" t="n">
        <f aca="false">_xlfn.MAXIFS(Transaction!$C$2:$C$8421,Transaction!$B$2:$B$8421,A606)</f>
        <v>46217</v>
      </c>
      <c r="K606" s="6" t="n">
        <f aca="false">COUNTIF(Transaction!$B$2:$B$8421,A606)</f>
        <v>1</v>
      </c>
      <c r="L606" s="10" t="n">
        <f aca="false">SUMIF(Transaction!$B$2:$B$8421,A606,Transaction!$H$2:$H$8421)</f>
        <v>1760</v>
      </c>
      <c r="M606" s="6" t="n">
        <f aca="false">Summary!$B$3-J606</f>
        <v>49</v>
      </c>
      <c r="N606" s="6" t="str">
        <f aca="false">IF(K606&gt;1,"Yes","No")</f>
        <v>No</v>
      </c>
      <c r="O606" s="6" t="s">
        <v>47</v>
      </c>
    </row>
    <row r="607" customFormat="false" ht="15" hidden="false" customHeight="false" outlineLevel="0" collapsed="false">
      <c r="A607" s="6" t="s">
        <v>1323</v>
      </c>
      <c r="B607" s="6" t="s">
        <v>1324</v>
      </c>
      <c r="C607" s="6" t="s">
        <v>85</v>
      </c>
      <c r="D607" s="6" t="n">
        <v>18</v>
      </c>
      <c r="E607" s="6" t="s">
        <v>105</v>
      </c>
      <c r="F607" s="6" t="s">
        <v>106</v>
      </c>
      <c r="G607" s="26" t="n">
        <v>46179</v>
      </c>
      <c r="H607" s="6" t="s">
        <v>78</v>
      </c>
      <c r="I607" s="26" t="n">
        <f aca="false">_xlfn.MINIFS(Transaction!$C$2:$C$8421,Transaction!$B$2:$B$8421,A607)</f>
        <v>46196</v>
      </c>
      <c r="J607" s="26" t="n">
        <f aca="false">_xlfn.MAXIFS(Transaction!$C$2:$C$8421,Transaction!$B$2:$B$8421,A607)</f>
        <v>46196</v>
      </c>
      <c r="K607" s="6" t="n">
        <f aca="false">COUNTIF(Transaction!$B$2:$B$8421,A607)</f>
        <v>1</v>
      </c>
      <c r="L607" s="10" t="n">
        <f aca="false">SUMIF(Transaction!$B$2:$B$8421,A607,Transaction!$H$2:$H$8421)</f>
        <v>743</v>
      </c>
      <c r="M607" s="6" t="n">
        <f aca="false">Summary!$B$3-J607</f>
        <v>70</v>
      </c>
      <c r="N607" s="6" t="str">
        <f aca="false">IF(K607&gt;1,"Yes","No")</f>
        <v>No</v>
      </c>
      <c r="O607" s="6" t="s">
        <v>47</v>
      </c>
    </row>
    <row r="608" customFormat="false" ht="15" hidden="false" customHeight="false" outlineLevel="0" collapsed="false">
      <c r="A608" s="6" t="s">
        <v>1325</v>
      </c>
      <c r="B608" s="6" t="s">
        <v>1326</v>
      </c>
      <c r="C608" s="6" t="s">
        <v>75</v>
      </c>
      <c r="D608" s="6" t="n">
        <v>36</v>
      </c>
      <c r="E608" s="6" t="s">
        <v>95</v>
      </c>
      <c r="F608" s="6" t="s">
        <v>95</v>
      </c>
      <c r="G608" s="26" t="n">
        <v>46013</v>
      </c>
      <c r="H608" s="6" t="s">
        <v>92</v>
      </c>
      <c r="I608" s="26" t="n">
        <f aca="false">_xlfn.MINIFS(Transaction!$C$2:$C$8421,Transaction!$B$2:$B$8421,A608)</f>
        <v>46031</v>
      </c>
      <c r="J608" s="26" t="n">
        <f aca="false">_xlfn.MAXIFS(Transaction!$C$2:$C$8421,Transaction!$B$2:$B$8421,A608)</f>
        <v>46261</v>
      </c>
      <c r="K608" s="6" t="n">
        <f aca="false">COUNTIF(Transaction!$B$2:$B$8421,A608)</f>
        <v>15</v>
      </c>
      <c r="L608" s="10" t="n">
        <f aca="false">SUMIF(Transaction!$B$2:$B$8421,A608,Transaction!$H$2:$H$8421)</f>
        <v>40196</v>
      </c>
      <c r="M608" s="6" t="n">
        <f aca="false">Summary!$B$3-J608</f>
        <v>5</v>
      </c>
      <c r="N608" s="6" t="str">
        <f aca="false">IF(K608&gt;1,"Yes","No")</f>
        <v>Yes</v>
      </c>
      <c r="O608" s="6" t="s">
        <v>45</v>
      </c>
    </row>
    <row r="609" customFormat="false" ht="15" hidden="false" customHeight="false" outlineLevel="0" collapsed="false">
      <c r="A609" s="6" t="s">
        <v>1327</v>
      </c>
      <c r="B609" s="6" t="s">
        <v>1328</v>
      </c>
      <c r="C609" s="6" t="s">
        <v>85</v>
      </c>
      <c r="D609" s="6" t="n">
        <v>33</v>
      </c>
      <c r="E609" s="6" t="s">
        <v>95</v>
      </c>
      <c r="F609" s="6" t="s">
        <v>95</v>
      </c>
      <c r="G609" s="26" t="n">
        <v>46082</v>
      </c>
      <c r="H609" s="6" t="s">
        <v>102</v>
      </c>
      <c r="I609" s="26" t="n">
        <f aca="false">_xlfn.MINIFS(Transaction!$C$2:$C$8421,Transaction!$B$2:$B$8421,A609)</f>
        <v>46104</v>
      </c>
      <c r="J609" s="26" t="n">
        <f aca="false">_xlfn.MAXIFS(Transaction!$C$2:$C$8421,Transaction!$B$2:$B$8421,A609)</f>
        <v>46104</v>
      </c>
      <c r="K609" s="6" t="n">
        <f aca="false">COUNTIF(Transaction!$B$2:$B$8421,A609)</f>
        <v>1</v>
      </c>
      <c r="L609" s="10" t="n">
        <f aca="false">SUMIF(Transaction!$B$2:$B$8421,A609,Transaction!$H$2:$H$8421)</f>
        <v>1954</v>
      </c>
      <c r="M609" s="6" t="n">
        <f aca="false">Summary!$B$3-J609</f>
        <v>162</v>
      </c>
      <c r="N609" s="6" t="str">
        <f aca="false">IF(K609&gt;1,"Yes","No")</f>
        <v>No</v>
      </c>
      <c r="O609" s="6" t="s">
        <v>49</v>
      </c>
    </row>
    <row r="610" customFormat="false" ht="15" hidden="false" customHeight="false" outlineLevel="0" collapsed="false">
      <c r="A610" s="6" t="s">
        <v>1329</v>
      </c>
      <c r="B610" s="6" t="s">
        <v>1330</v>
      </c>
      <c r="C610" s="6" t="s">
        <v>75</v>
      </c>
      <c r="D610" s="6" t="n">
        <v>22</v>
      </c>
      <c r="E610" s="6" t="s">
        <v>321</v>
      </c>
      <c r="F610" s="6" t="s">
        <v>321</v>
      </c>
      <c r="G610" s="26" t="n">
        <v>46049</v>
      </c>
      <c r="H610" s="6" t="s">
        <v>102</v>
      </c>
      <c r="I610" s="26" t="n">
        <f aca="false">_xlfn.MINIFS(Transaction!$C$2:$C$8421,Transaction!$B$2:$B$8421,A610)</f>
        <v>46112</v>
      </c>
      <c r="J610" s="26" t="n">
        <f aca="false">_xlfn.MAXIFS(Transaction!$C$2:$C$8421,Transaction!$B$2:$B$8421,A610)</f>
        <v>46112</v>
      </c>
      <c r="K610" s="6" t="n">
        <f aca="false">COUNTIF(Transaction!$B$2:$B$8421,A610)</f>
        <v>1</v>
      </c>
      <c r="L610" s="10" t="n">
        <f aca="false">SUMIF(Transaction!$B$2:$B$8421,A610,Transaction!$H$2:$H$8421)</f>
        <v>821</v>
      </c>
      <c r="M610" s="6" t="n">
        <f aca="false">Summary!$B$3-J610</f>
        <v>154</v>
      </c>
      <c r="N610" s="6" t="str">
        <f aca="false">IF(K610&gt;1,"Yes","No")</f>
        <v>No</v>
      </c>
      <c r="O610" s="6" t="s">
        <v>49</v>
      </c>
    </row>
    <row r="611" customFormat="false" ht="15" hidden="false" customHeight="false" outlineLevel="0" collapsed="false">
      <c r="A611" s="6" t="s">
        <v>1331</v>
      </c>
      <c r="B611" s="6" t="s">
        <v>1332</v>
      </c>
      <c r="C611" s="6" t="s">
        <v>75</v>
      </c>
      <c r="D611" s="6" t="n">
        <v>39</v>
      </c>
      <c r="E611" s="6" t="s">
        <v>95</v>
      </c>
      <c r="F611" s="6" t="s">
        <v>95</v>
      </c>
      <c r="G611" s="26" t="n">
        <v>46067</v>
      </c>
      <c r="H611" s="6" t="s">
        <v>123</v>
      </c>
      <c r="I611" s="26" t="n">
        <f aca="false">_xlfn.MINIFS(Transaction!$C$2:$C$8421,Transaction!$B$2:$B$8421,A611)</f>
        <v>46085</v>
      </c>
      <c r="J611" s="26" t="n">
        <f aca="false">_xlfn.MAXIFS(Transaction!$C$2:$C$8421,Transaction!$B$2:$B$8421,A611)</f>
        <v>46206</v>
      </c>
      <c r="K611" s="6" t="n">
        <f aca="false">COUNTIF(Transaction!$B$2:$B$8421,A611)</f>
        <v>3</v>
      </c>
      <c r="L611" s="10" t="n">
        <f aca="false">SUMIF(Transaction!$B$2:$B$8421,A611,Transaction!$H$2:$H$8421)</f>
        <v>7299</v>
      </c>
      <c r="M611" s="6" t="n">
        <f aca="false">Summary!$B$3-J611</f>
        <v>60</v>
      </c>
      <c r="N611" s="6" t="str">
        <f aca="false">IF(K611&gt;1,"Yes","No")</f>
        <v>Yes</v>
      </c>
      <c r="O611" s="6" t="s">
        <v>46</v>
      </c>
    </row>
    <row r="612" customFormat="false" ht="15" hidden="false" customHeight="false" outlineLevel="0" collapsed="false">
      <c r="A612" s="6" t="s">
        <v>1333</v>
      </c>
      <c r="B612" s="6" t="s">
        <v>1334</v>
      </c>
      <c r="C612" s="6" t="s">
        <v>75</v>
      </c>
      <c r="D612" s="6" t="n">
        <v>30</v>
      </c>
      <c r="E612" s="6" t="s">
        <v>76</v>
      </c>
      <c r="F612" s="6" t="s">
        <v>77</v>
      </c>
      <c r="G612" s="26" t="n">
        <v>46022</v>
      </c>
      <c r="H612" s="6" t="s">
        <v>123</v>
      </c>
      <c r="I612" s="26" t="n">
        <f aca="false">_xlfn.MINIFS(Transaction!$C$2:$C$8421,Transaction!$B$2:$B$8421,A612)</f>
        <v>46103</v>
      </c>
      <c r="J612" s="26" t="n">
        <f aca="false">_xlfn.MAXIFS(Transaction!$C$2:$C$8421,Transaction!$B$2:$B$8421,A612)</f>
        <v>46176</v>
      </c>
      <c r="K612" s="6" t="n">
        <f aca="false">COUNTIF(Transaction!$B$2:$B$8421,A612)</f>
        <v>3</v>
      </c>
      <c r="L612" s="10" t="n">
        <f aca="false">SUMIF(Transaction!$B$2:$B$8421,A612,Transaction!$H$2:$H$8421)</f>
        <v>4317</v>
      </c>
      <c r="M612" s="6" t="n">
        <f aca="false">Summary!$B$3-J612</f>
        <v>90</v>
      </c>
      <c r="N612" s="6" t="str">
        <f aca="false">IF(K612&gt;1,"Yes","No")</f>
        <v>Yes</v>
      </c>
      <c r="O612" s="6" t="s">
        <v>46</v>
      </c>
    </row>
    <row r="613" customFormat="false" ht="15" hidden="false" customHeight="false" outlineLevel="0" collapsed="false">
      <c r="A613" s="6" t="s">
        <v>1335</v>
      </c>
      <c r="B613" s="6" t="s">
        <v>1336</v>
      </c>
      <c r="C613" s="6" t="s">
        <v>75</v>
      </c>
      <c r="D613" s="6" t="n">
        <v>40</v>
      </c>
      <c r="E613" s="6" t="s">
        <v>81</v>
      </c>
      <c r="F613" s="6" t="s">
        <v>82</v>
      </c>
      <c r="G613" s="26" t="n">
        <v>46032</v>
      </c>
      <c r="H613" s="6" t="s">
        <v>115</v>
      </c>
      <c r="I613" s="26" t="n">
        <f aca="false">_xlfn.MINIFS(Transaction!$C$2:$C$8421,Transaction!$B$2:$B$8421,A613)</f>
        <v>46099</v>
      </c>
      <c r="J613" s="26" t="n">
        <f aca="false">_xlfn.MAXIFS(Transaction!$C$2:$C$8421,Transaction!$B$2:$B$8421,A613)</f>
        <v>46249</v>
      </c>
      <c r="K613" s="6" t="n">
        <f aca="false">COUNTIF(Transaction!$B$2:$B$8421,A613)</f>
        <v>8</v>
      </c>
      <c r="L613" s="10" t="n">
        <f aca="false">SUMIF(Transaction!$B$2:$B$8421,A613,Transaction!$H$2:$H$8421)</f>
        <v>14656</v>
      </c>
      <c r="M613" s="6" t="n">
        <f aca="false">Summary!$B$3-J613</f>
        <v>17</v>
      </c>
      <c r="N613" s="6" t="str">
        <f aca="false">IF(K613&gt;1,"Yes","No")</f>
        <v>Yes</v>
      </c>
      <c r="O613" s="6" t="s">
        <v>45</v>
      </c>
    </row>
    <row r="614" customFormat="false" ht="15" hidden="false" customHeight="false" outlineLevel="0" collapsed="false">
      <c r="A614" s="6" t="s">
        <v>1337</v>
      </c>
      <c r="B614" s="6" t="s">
        <v>1338</v>
      </c>
      <c r="C614" s="6" t="s">
        <v>75</v>
      </c>
      <c r="D614" s="6" t="n">
        <v>30</v>
      </c>
      <c r="E614" s="6" t="s">
        <v>76</v>
      </c>
      <c r="F614" s="6" t="s">
        <v>77</v>
      </c>
      <c r="G614" s="26" t="n">
        <v>45977</v>
      </c>
      <c r="H614" s="6" t="s">
        <v>78</v>
      </c>
      <c r="I614" s="26" t="n">
        <f aca="false">_xlfn.MINIFS(Transaction!$C$2:$C$8421,Transaction!$B$2:$B$8421,A614)</f>
        <v>46025</v>
      </c>
      <c r="J614" s="26" t="n">
        <f aca="false">_xlfn.MAXIFS(Transaction!$C$2:$C$8421,Transaction!$B$2:$B$8421,A614)</f>
        <v>46025</v>
      </c>
      <c r="K614" s="6" t="n">
        <f aca="false">COUNTIF(Transaction!$B$2:$B$8421,A614)</f>
        <v>1</v>
      </c>
      <c r="L614" s="10" t="n">
        <f aca="false">SUMIF(Transaction!$B$2:$B$8421,A614,Transaction!$H$2:$H$8421)</f>
        <v>743</v>
      </c>
      <c r="M614" s="6" t="n">
        <f aca="false">Summary!$B$3-J614</f>
        <v>241</v>
      </c>
      <c r="N614" s="6" t="str">
        <f aca="false">IF(K614&gt;1,"Yes","No")</f>
        <v>No</v>
      </c>
      <c r="O614" s="6" t="s">
        <v>49</v>
      </c>
    </row>
    <row r="615" customFormat="false" ht="15" hidden="false" customHeight="false" outlineLevel="0" collapsed="false">
      <c r="A615" s="6" t="s">
        <v>1339</v>
      </c>
      <c r="B615" s="6" t="s">
        <v>1340</v>
      </c>
      <c r="C615" s="6" t="s">
        <v>85</v>
      </c>
      <c r="D615" s="6" t="n">
        <v>46</v>
      </c>
      <c r="E615" s="6" t="s">
        <v>91</v>
      </c>
      <c r="F615" s="6" t="s">
        <v>77</v>
      </c>
      <c r="G615" s="26" t="n">
        <v>46146</v>
      </c>
      <c r="H615" s="6" t="s">
        <v>78</v>
      </c>
      <c r="I615" s="26" t="n">
        <f aca="false">_xlfn.MINIFS(Transaction!$C$2:$C$8421,Transaction!$B$2:$B$8421,A615)</f>
        <v>46183</v>
      </c>
      <c r="J615" s="26" t="n">
        <f aca="false">_xlfn.MAXIFS(Transaction!$C$2:$C$8421,Transaction!$B$2:$B$8421,A615)</f>
        <v>46183</v>
      </c>
      <c r="K615" s="6" t="n">
        <f aca="false">COUNTIF(Transaction!$B$2:$B$8421,A615)</f>
        <v>1</v>
      </c>
      <c r="L615" s="10" t="n">
        <f aca="false">SUMIF(Transaction!$B$2:$B$8421,A615,Transaction!$H$2:$H$8421)</f>
        <v>1026</v>
      </c>
      <c r="M615" s="6" t="n">
        <f aca="false">Summary!$B$3-J615</f>
        <v>83</v>
      </c>
      <c r="N615" s="6" t="str">
        <f aca="false">IF(K615&gt;1,"Yes","No")</f>
        <v>No</v>
      </c>
      <c r="O615" s="6" t="s">
        <v>47</v>
      </c>
    </row>
    <row r="616" customFormat="false" ht="15" hidden="false" customHeight="false" outlineLevel="0" collapsed="false">
      <c r="A616" s="6" t="s">
        <v>1341</v>
      </c>
      <c r="B616" s="6" t="s">
        <v>1342</v>
      </c>
      <c r="C616" s="6" t="s">
        <v>85</v>
      </c>
      <c r="D616" s="6" t="n">
        <v>25</v>
      </c>
      <c r="E616" s="6" t="s">
        <v>81</v>
      </c>
      <c r="F616" s="6" t="s">
        <v>82</v>
      </c>
      <c r="G616" s="26" t="n">
        <v>45979</v>
      </c>
      <c r="H616" s="6" t="s">
        <v>78</v>
      </c>
      <c r="I616" s="26" t="n">
        <f aca="false">_xlfn.MINIFS(Transaction!$C$2:$C$8421,Transaction!$B$2:$B$8421,A616)</f>
        <v>46048</v>
      </c>
      <c r="J616" s="26" t="n">
        <f aca="false">_xlfn.MAXIFS(Transaction!$C$2:$C$8421,Transaction!$B$2:$B$8421,A616)</f>
        <v>46232</v>
      </c>
      <c r="K616" s="6" t="n">
        <f aca="false">COUNTIF(Transaction!$B$2:$B$8421,A616)</f>
        <v>6</v>
      </c>
      <c r="L616" s="10" t="n">
        <f aca="false">SUMIF(Transaction!$B$2:$B$8421,A616,Transaction!$H$2:$H$8421)</f>
        <v>29227</v>
      </c>
      <c r="M616" s="6" t="n">
        <f aca="false">Summary!$B$3-J616</f>
        <v>34</v>
      </c>
      <c r="N616" s="6" t="str">
        <f aca="false">IF(K616&gt;1,"Yes","No")</f>
        <v>Yes</v>
      </c>
      <c r="O616" s="6" t="s">
        <v>46</v>
      </c>
    </row>
    <row r="617" customFormat="false" ht="15" hidden="false" customHeight="false" outlineLevel="0" collapsed="false">
      <c r="A617" s="6" t="s">
        <v>1343</v>
      </c>
      <c r="B617" s="6" t="s">
        <v>1344</v>
      </c>
      <c r="C617" s="6" t="s">
        <v>75</v>
      </c>
      <c r="D617" s="6" t="n">
        <v>39</v>
      </c>
      <c r="E617" s="6" t="s">
        <v>121</v>
      </c>
      <c r="F617" s="6" t="s">
        <v>122</v>
      </c>
      <c r="G617" s="26" t="n">
        <v>46180</v>
      </c>
      <c r="H617" s="6" t="s">
        <v>78</v>
      </c>
      <c r="I617" s="26" t="n">
        <f aca="false">_xlfn.MINIFS(Transaction!$C$2:$C$8421,Transaction!$B$2:$B$8421,A617)</f>
        <v>46238</v>
      </c>
      <c r="J617" s="26" t="n">
        <f aca="false">_xlfn.MAXIFS(Transaction!$C$2:$C$8421,Transaction!$B$2:$B$8421,A617)</f>
        <v>46238</v>
      </c>
      <c r="K617" s="6" t="n">
        <f aca="false">COUNTIF(Transaction!$B$2:$B$8421,A617)</f>
        <v>1</v>
      </c>
      <c r="L617" s="10" t="n">
        <f aca="false">SUMIF(Transaction!$B$2:$B$8421,A617,Transaction!$H$2:$H$8421)</f>
        <v>10615</v>
      </c>
      <c r="M617" s="6" t="n">
        <f aca="false">Summary!$B$3-J617</f>
        <v>28</v>
      </c>
      <c r="N617" s="6" t="str">
        <f aca="false">IF(K617&gt;1,"Yes","No")</f>
        <v>No</v>
      </c>
      <c r="O617" s="6" t="s">
        <v>47</v>
      </c>
    </row>
    <row r="618" customFormat="false" ht="15" hidden="false" customHeight="false" outlineLevel="0" collapsed="false">
      <c r="A618" s="6" t="s">
        <v>1345</v>
      </c>
      <c r="B618" s="6" t="s">
        <v>1346</v>
      </c>
      <c r="C618" s="6" t="s">
        <v>85</v>
      </c>
      <c r="D618" s="6" t="n">
        <v>45</v>
      </c>
      <c r="E618" s="6" t="s">
        <v>176</v>
      </c>
      <c r="F618" s="6" t="s">
        <v>177</v>
      </c>
      <c r="G618" s="26" t="n">
        <v>46007</v>
      </c>
      <c r="H618" s="6" t="s">
        <v>102</v>
      </c>
      <c r="I618" s="26" t="n">
        <f aca="false">_xlfn.MINIFS(Transaction!$C$2:$C$8421,Transaction!$B$2:$B$8421,A618)</f>
        <v>46036</v>
      </c>
      <c r="J618" s="26" t="n">
        <f aca="false">_xlfn.MAXIFS(Transaction!$C$2:$C$8421,Transaction!$B$2:$B$8421,A618)</f>
        <v>46229</v>
      </c>
      <c r="K618" s="6" t="n">
        <f aca="false">COUNTIF(Transaction!$B$2:$B$8421,A618)</f>
        <v>8</v>
      </c>
      <c r="L618" s="10" t="n">
        <f aca="false">SUMIF(Transaction!$B$2:$B$8421,A618,Transaction!$H$2:$H$8421)</f>
        <v>13035</v>
      </c>
      <c r="M618" s="6" t="n">
        <f aca="false">Summary!$B$3-J618</f>
        <v>37</v>
      </c>
      <c r="N618" s="6" t="str">
        <f aca="false">IF(K618&gt;1,"Yes","No")</f>
        <v>Yes</v>
      </c>
      <c r="O618" s="6" t="s">
        <v>46</v>
      </c>
    </row>
    <row r="619" customFormat="false" ht="15" hidden="false" customHeight="false" outlineLevel="0" collapsed="false">
      <c r="A619" s="6" t="s">
        <v>1347</v>
      </c>
      <c r="B619" s="6" t="s">
        <v>1348</v>
      </c>
      <c r="C619" s="6" t="s">
        <v>85</v>
      </c>
      <c r="D619" s="6" t="n">
        <v>33</v>
      </c>
      <c r="E619" s="6" t="s">
        <v>81</v>
      </c>
      <c r="F619" s="6" t="s">
        <v>82</v>
      </c>
      <c r="G619" s="26" t="n">
        <v>46063</v>
      </c>
      <c r="H619" s="6" t="s">
        <v>123</v>
      </c>
      <c r="I619" s="26" t="n">
        <f aca="false">_xlfn.MINIFS(Transaction!$C$2:$C$8421,Transaction!$B$2:$B$8421,A619)</f>
        <v>46083</v>
      </c>
      <c r="J619" s="26" t="n">
        <f aca="false">_xlfn.MAXIFS(Transaction!$C$2:$C$8421,Transaction!$B$2:$B$8421,A619)</f>
        <v>46083</v>
      </c>
      <c r="K619" s="6" t="n">
        <f aca="false">COUNTIF(Transaction!$B$2:$B$8421,A619)</f>
        <v>1</v>
      </c>
      <c r="L619" s="10" t="n">
        <f aca="false">SUMIF(Transaction!$B$2:$B$8421,A619,Transaction!$H$2:$H$8421)</f>
        <v>1179</v>
      </c>
      <c r="M619" s="6" t="n">
        <f aca="false">Summary!$B$3-J619</f>
        <v>183</v>
      </c>
      <c r="N619" s="6" t="str">
        <f aca="false">IF(K619&gt;1,"Yes","No")</f>
        <v>No</v>
      </c>
      <c r="O619" s="6" t="s">
        <v>49</v>
      </c>
    </row>
    <row r="620" customFormat="false" ht="15" hidden="false" customHeight="false" outlineLevel="0" collapsed="false">
      <c r="A620" s="6" t="s">
        <v>1349</v>
      </c>
      <c r="B620" s="6" t="s">
        <v>1350</v>
      </c>
      <c r="C620" s="6" t="s">
        <v>75</v>
      </c>
      <c r="D620" s="6" t="n">
        <v>25</v>
      </c>
      <c r="E620" s="6" t="s">
        <v>264</v>
      </c>
      <c r="F620" s="6" t="s">
        <v>106</v>
      </c>
      <c r="G620" s="26" t="n">
        <v>46234</v>
      </c>
      <c r="H620" s="6" t="s">
        <v>78</v>
      </c>
      <c r="I620" s="26" t="n">
        <f aca="false">_xlfn.MINIFS(Transaction!$C$2:$C$8421,Transaction!$B$2:$B$8421,A620)</f>
        <v>46239</v>
      </c>
      <c r="J620" s="26" t="n">
        <f aca="false">_xlfn.MAXIFS(Transaction!$C$2:$C$8421,Transaction!$B$2:$B$8421,A620)</f>
        <v>46239</v>
      </c>
      <c r="K620" s="6" t="n">
        <f aca="false">COUNTIF(Transaction!$B$2:$B$8421,A620)</f>
        <v>1</v>
      </c>
      <c r="L620" s="10" t="n">
        <f aca="false">SUMIF(Transaction!$B$2:$B$8421,A620,Transaction!$H$2:$H$8421)</f>
        <v>2349</v>
      </c>
      <c r="M620" s="6" t="n">
        <f aca="false">Summary!$B$3-J620</f>
        <v>27</v>
      </c>
      <c r="N620" s="6" t="str">
        <f aca="false">IF(K620&gt;1,"Yes","No")</f>
        <v>No</v>
      </c>
      <c r="O620" s="6" t="s">
        <v>47</v>
      </c>
    </row>
    <row r="621" customFormat="false" ht="15" hidden="false" customHeight="false" outlineLevel="0" collapsed="false">
      <c r="A621" s="6" t="s">
        <v>1351</v>
      </c>
      <c r="B621" s="6" t="s">
        <v>1352</v>
      </c>
      <c r="C621" s="6" t="s">
        <v>85</v>
      </c>
      <c r="D621" s="6" t="n">
        <v>33</v>
      </c>
      <c r="E621" s="6" t="s">
        <v>126</v>
      </c>
      <c r="F621" s="6" t="s">
        <v>127</v>
      </c>
      <c r="G621" s="26" t="n">
        <v>45944</v>
      </c>
      <c r="H621" s="6" t="s">
        <v>102</v>
      </c>
      <c r="I621" s="26" t="n">
        <f aca="false">_xlfn.MINIFS(Transaction!$C$2:$C$8421,Transaction!$B$2:$B$8421,A621)</f>
        <v>46023</v>
      </c>
      <c r="J621" s="26" t="n">
        <f aca="false">_xlfn.MAXIFS(Transaction!$C$2:$C$8421,Transaction!$B$2:$B$8421,A621)</f>
        <v>46258</v>
      </c>
      <c r="K621" s="6" t="n">
        <f aca="false">COUNTIF(Transaction!$B$2:$B$8421,A621)</f>
        <v>13</v>
      </c>
      <c r="L621" s="10" t="n">
        <f aca="false">SUMIF(Transaction!$B$2:$B$8421,A621,Transaction!$H$2:$H$8421)</f>
        <v>22323</v>
      </c>
      <c r="M621" s="6" t="n">
        <f aca="false">Summary!$B$3-J621</f>
        <v>8</v>
      </c>
      <c r="N621" s="6" t="str">
        <f aca="false">IF(K621&gt;1,"Yes","No")</f>
        <v>Yes</v>
      </c>
      <c r="O621" s="6" t="s">
        <v>45</v>
      </c>
    </row>
    <row r="622" customFormat="false" ht="15" hidden="false" customHeight="false" outlineLevel="0" collapsed="false">
      <c r="A622" s="6" t="s">
        <v>1353</v>
      </c>
      <c r="B622" s="6" t="s">
        <v>1354</v>
      </c>
      <c r="C622" s="6" t="s">
        <v>75</v>
      </c>
      <c r="D622" s="6" t="n">
        <v>32</v>
      </c>
      <c r="E622" s="6" t="s">
        <v>121</v>
      </c>
      <c r="F622" s="6" t="s">
        <v>122</v>
      </c>
      <c r="G622" s="26" t="n">
        <v>46127</v>
      </c>
      <c r="H622" s="6" t="s">
        <v>123</v>
      </c>
      <c r="I622" s="26" t="n">
        <f aca="false">_xlfn.MINIFS(Transaction!$C$2:$C$8421,Transaction!$B$2:$B$8421,A622)</f>
        <v>46148</v>
      </c>
      <c r="J622" s="26" t="n">
        <f aca="false">_xlfn.MAXIFS(Transaction!$C$2:$C$8421,Transaction!$B$2:$B$8421,A622)</f>
        <v>46148</v>
      </c>
      <c r="K622" s="6" t="n">
        <f aca="false">COUNTIF(Transaction!$B$2:$B$8421,A622)</f>
        <v>1</v>
      </c>
      <c r="L622" s="10" t="n">
        <f aca="false">SUMIF(Transaction!$B$2:$B$8421,A622,Transaction!$H$2:$H$8421)</f>
        <v>1176</v>
      </c>
      <c r="M622" s="6" t="n">
        <f aca="false">Summary!$B$3-J622</f>
        <v>118</v>
      </c>
      <c r="N622" s="6" t="str">
        <f aca="false">IF(K622&gt;1,"Yes","No")</f>
        <v>No</v>
      </c>
      <c r="O622" s="6" t="s">
        <v>48</v>
      </c>
    </row>
    <row r="623" customFormat="false" ht="15" hidden="false" customHeight="false" outlineLevel="0" collapsed="false">
      <c r="A623" s="6" t="s">
        <v>1355</v>
      </c>
      <c r="B623" s="6" t="s">
        <v>1356</v>
      </c>
      <c r="C623" s="6" t="s">
        <v>75</v>
      </c>
      <c r="D623" s="6" t="n">
        <v>23</v>
      </c>
      <c r="E623" s="6" t="s">
        <v>86</v>
      </c>
      <c r="F623" s="6" t="s">
        <v>87</v>
      </c>
      <c r="G623" s="26" t="n">
        <v>46026</v>
      </c>
      <c r="H623" s="6" t="s">
        <v>115</v>
      </c>
      <c r="I623" s="26" t="n">
        <f aca="false">_xlfn.MINIFS(Transaction!$C$2:$C$8421,Transaction!$B$2:$B$8421,A623)</f>
        <v>46068</v>
      </c>
      <c r="J623" s="26" t="n">
        <f aca="false">_xlfn.MAXIFS(Transaction!$C$2:$C$8421,Transaction!$B$2:$B$8421,A623)</f>
        <v>46264</v>
      </c>
      <c r="K623" s="6" t="n">
        <f aca="false">COUNTIF(Transaction!$B$2:$B$8421,A623)</f>
        <v>10</v>
      </c>
      <c r="L623" s="10" t="n">
        <f aca="false">SUMIF(Transaction!$B$2:$B$8421,A623,Transaction!$H$2:$H$8421)</f>
        <v>14695</v>
      </c>
      <c r="M623" s="6" t="n">
        <f aca="false">Summary!$B$3-J623</f>
        <v>2</v>
      </c>
      <c r="N623" s="6" t="str">
        <f aca="false">IF(K623&gt;1,"Yes","No")</f>
        <v>Yes</v>
      </c>
      <c r="O623" s="6" t="s">
        <v>45</v>
      </c>
    </row>
    <row r="624" customFormat="false" ht="15" hidden="false" customHeight="false" outlineLevel="0" collapsed="false">
      <c r="A624" s="6" t="s">
        <v>1357</v>
      </c>
      <c r="B624" s="6" t="s">
        <v>1358</v>
      </c>
      <c r="C624" s="6" t="s">
        <v>85</v>
      </c>
      <c r="D624" s="6" t="n">
        <v>43</v>
      </c>
      <c r="E624" s="6" t="s">
        <v>76</v>
      </c>
      <c r="F624" s="6" t="s">
        <v>77</v>
      </c>
      <c r="G624" s="26" t="n">
        <v>46140</v>
      </c>
      <c r="H624" s="6" t="s">
        <v>88</v>
      </c>
      <c r="I624" s="26" t="n">
        <f aca="false">_xlfn.MINIFS(Transaction!$C$2:$C$8421,Transaction!$B$2:$B$8421,A624)</f>
        <v>46145</v>
      </c>
      <c r="J624" s="26" t="n">
        <f aca="false">_xlfn.MAXIFS(Transaction!$C$2:$C$8421,Transaction!$B$2:$B$8421,A624)</f>
        <v>46145</v>
      </c>
      <c r="K624" s="6" t="n">
        <f aca="false">COUNTIF(Transaction!$B$2:$B$8421,A624)</f>
        <v>1</v>
      </c>
      <c r="L624" s="10" t="n">
        <f aca="false">SUMIF(Transaction!$B$2:$B$8421,A624,Transaction!$H$2:$H$8421)</f>
        <v>1410</v>
      </c>
      <c r="M624" s="6" t="n">
        <f aca="false">Summary!$B$3-J624</f>
        <v>121</v>
      </c>
      <c r="N624" s="6" t="str">
        <f aca="false">IF(K624&gt;1,"Yes","No")</f>
        <v>No</v>
      </c>
      <c r="O624" s="6" t="s">
        <v>48</v>
      </c>
    </row>
    <row r="625" customFormat="false" ht="15" hidden="false" customHeight="false" outlineLevel="0" collapsed="false">
      <c r="A625" s="6" t="s">
        <v>1359</v>
      </c>
      <c r="B625" s="6" t="s">
        <v>1360</v>
      </c>
      <c r="C625" s="6" t="s">
        <v>85</v>
      </c>
      <c r="D625" s="6" t="n">
        <v>23</v>
      </c>
      <c r="E625" s="6" t="s">
        <v>91</v>
      </c>
      <c r="F625" s="6" t="s">
        <v>77</v>
      </c>
      <c r="G625" s="26" t="n">
        <v>46084</v>
      </c>
      <c r="H625" s="6" t="s">
        <v>78</v>
      </c>
      <c r="I625" s="26" t="n">
        <f aca="false">_xlfn.MINIFS(Transaction!$C$2:$C$8421,Transaction!$B$2:$B$8421,A625)</f>
        <v>46118</v>
      </c>
      <c r="J625" s="26" t="n">
        <f aca="false">_xlfn.MAXIFS(Transaction!$C$2:$C$8421,Transaction!$B$2:$B$8421,A625)</f>
        <v>46118</v>
      </c>
      <c r="K625" s="6" t="n">
        <f aca="false">COUNTIF(Transaction!$B$2:$B$8421,A625)</f>
        <v>1</v>
      </c>
      <c r="L625" s="10" t="n">
        <f aca="false">SUMIF(Transaction!$B$2:$B$8421,A625,Transaction!$H$2:$H$8421)</f>
        <v>581</v>
      </c>
      <c r="M625" s="6" t="n">
        <f aca="false">Summary!$B$3-J625</f>
        <v>148</v>
      </c>
      <c r="N625" s="6" t="str">
        <f aca="false">IF(K625&gt;1,"Yes","No")</f>
        <v>No</v>
      </c>
      <c r="O625" s="6" t="s">
        <v>48</v>
      </c>
    </row>
    <row r="626" customFormat="false" ht="15" hidden="false" customHeight="false" outlineLevel="0" collapsed="false">
      <c r="A626" s="6" t="s">
        <v>1361</v>
      </c>
      <c r="B626" s="6" t="s">
        <v>1362</v>
      </c>
      <c r="C626" s="6" t="s">
        <v>75</v>
      </c>
      <c r="D626" s="6" t="n">
        <v>34</v>
      </c>
      <c r="E626" s="6" t="s">
        <v>140</v>
      </c>
      <c r="F626" s="6" t="s">
        <v>141</v>
      </c>
      <c r="G626" s="26" t="n">
        <v>46171</v>
      </c>
      <c r="H626" s="6" t="s">
        <v>102</v>
      </c>
      <c r="I626" s="26" t="n">
        <f aca="false">_xlfn.MINIFS(Transaction!$C$2:$C$8421,Transaction!$B$2:$B$8421,A626)</f>
        <v>46182</v>
      </c>
      <c r="J626" s="26" t="n">
        <f aca="false">_xlfn.MAXIFS(Transaction!$C$2:$C$8421,Transaction!$B$2:$B$8421,A626)</f>
        <v>46182</v>
      </c>
      <c r="K626" s="6" t="n">
        <f aca="false">COUNTIF(Transaction!$B$2:$B$8421,A626)</f>
        <v>1</v>
      </c>
      <c r="L626" s="10" t="n">
        <f aca="false">SUMIF(Transaction!$B$2:$B$8421,A626,Transaction!$H$2:$H$8421)</f>
        <v>12234</v>
      </c>
      <c r="M626" s="6" t="n">
        <f aca="false">Summary!$B$3-J626</f>
        <v>84</v>
      </c>
      <c r="N626" s="6" t="str">
        <f aca="false">IF(K626&gt;1,"Yes","No")</f>
        <v>No</v>
      </c>
      <c r="O626" s="6" t="s">
        <v>47</v>
      </c>
    </row>
    <row r="627" customFormat="false" ht="15" hidden="false" customHeight="false" outlineLevel="0" collapsed="false">
      <c r="A627" s="6" t="s">
        <v>1363</v>
      </c>
      <c r="B627" s="6" t="s">
        <v>1364</v>
      </c>
      <c r="C627" s="6" t="s">
        <v>75</v>
      </c>
      <c r="D627" s="6" t="n">
        <v>40</v>
      </c>
      <c r="E627" s="6" t="s">
        <v>121</v>
      </c>
      <c r="F627" s="6" t="s">
        <v>122</v>
      </c>
      <c r="G627" s="26" t="n">
        <v>46103</v>
      </c>
      <c r="H627" s="6" t="s">
        <v>115</v>
      </c>
      <c r="I627" s="26" t="n">
        <f aca="false">_xlfn.MINIFS(Transaction!$C$2:$C$8421,Transaction!$B$2:$B$8421,A627)</f>
        <v>46119</v>
      </c>
      <c r="J627" s="26" t="n">
        <f aca="false">_xlfn.MAXIFS(Transaction!$C$2:$C$8421,Transaction!$B$2:$B$8421,A627)</f>
        <v>46232</v>
      </c>
      <c r="K627" s="6" t="n">
        <f aca="false">COUNTIF(Transaction!$B$2:$B$8421,A627)</f>
        <v>8</v>
      </c>
      <c r="L627" s="10" t="n">
        <f aca="false">SUMIF(Transaction!$B$2:$B$8421,A627,Transaction!$H$2:$H$8421)</f>
        <v>12749</v>
      </c>
      <c r="M627" s="6" t="n">
        <f aca="false">Summary!$B$3-J627</f>
        <v>34</v>
      </c>
      <c r="N627" s="6" t="str">
        <f aca="false">IF(K627&gt;1,"Yes","No")</f>
        <v>Yes</v>
      </c>
      <c r="O627" s="6" t="s">
        <v>46</v>
      </c>
    </row>
    <row r="628" customFormat="false" ht="15" hidden="false" customHeight="false" outlineLevel="0" collapsed="false">
      <c r="A628" s="6" t="s">
        <v>1365</v>
      </c>
      <c r="B628" s="6" t="s">
        <v>1366</v>
      </c>
      <c r="C628" s="6" t="s">
        <v>75</v>
      </c>
      <c r="D628" s="6" t="n">
        <v>40</v>
      </c>
      <c r="E628" s="6" t="s">
        <v>95</v>
      </c>
      <c r="F628" s="6" t="s">
        <v>95</v>
      </c>
      <c r="G628" s="26" t="n">
        <v>46145</v>
      </c>
      <c r="H628" s="6" t="s">
        <v>123</v>
      </c>
      <c r="I628" s="26" t="n">
        <f aca="false">_xlfn.MINIFS(Transaction!$C$2:$C$8421,Transaction!$B$2:$B$8421,A628)</f>
        <v>46197</v>
      </c>
      <c r="J628" s="26" t="n">
        <f aca="false">_xlfn.MAXIFS(Transaction!$C$2:$C$8421,Transaction!$B$2:$B$8421,A628)</f>
        <v>46197</v>
      </c>
      <c r="K628" s="6" t="n">
        <f aca="false">COUNTIF(Transaction!$B$2:$B$8421,A628)</f>
        <v>1</v>
      </c>
      <c r="L628" s="10" t="n">
        <f aca="false">SUMIF(Transaction!$B$2:$B$8421,A628,Transaction!$H$2:$H$8421)</f>
        <v>1414</v>
      </c>
      <c r="M628" s="6" t="n">
        <f aca="false">Summary!$B$3-J628</f>
        <v>69</v>
      </c>
      <c r="N628" s="6" t="str">
        <f aca="false">IF(K628&gt;1,"Yes","No")</f>
        <v>No</v>
      </c>
      <c r="O628" s="6" t="s">
        <v>47</v>
      </c>
    </row>
    <row r="629" customFormat="false" ht="15" hidden="false" customHeight="false" outlineLevel="0" collapsed="false">
      <c r="A629" s="6" t="s">
        <v>1367</v>
      </c>
      <c r="B629" s="6" t="s">
        <v>1368</v>
      </c>
      <c r="C629" s="6" t="s">
        <v>85</v>
      </c>
      <c r="D629" s="6" t="n">
        <v>37</v>
      </c>
      <c r="E629" s="6" t="s">
        <v>95</v>
      </c>
      <c r="F629" s="6" t="s">
        <v>95</v>
      </c>
      <c r="G629" s="26" t="n">
        <v>46122</v>
      </c>
      <c r="H629" s="6" t="s">
        <v>102</v>
      </c>
      <c r="I629" s="26" t="n">
        <f aca="false">_xlfn.MINIFS(Transaction!$C$2:$C$8421,Transaction!$B$2:$B$8421,A629)</f>
        <v>46141</v>
      </c>
      <c r="J629" s="26" t="n">
        <f aca="false">_xlfn.MAXIFS(Transaction!$C$2:$C$8421,Transaction!$B$2:$B$8421,A629)</f>
        <v>46141</v>
      </c>
      <c r="K629" s="6" t="n">
        <f aca="false">COUNTIF(Transaction!$B$2:$B$8421,A629)</f>
        <v>1</v>
      </c>
      <c r="L629" s="10" t="n">
        <f aca="false">SUMIF(Transaction!$B$2:$B$8421,A629,Transaction!$H$2:$H$8421)</f>
        <v>1120</v>
      </c>
      <c r="M629" s="6" t="n">
        <f aca="false">Summary!$B$3-J629</f>
        <v>125</v>
      </c>
      <c r="N629" s="6" t="str">
        <f aca="false">IF(K629&gt;1,"Yes","No")</f>
        <v>No</v>
      </c>
      <c r="O629" s="6" t="s">
        <v>48</v>
      </c>
    </row>
    <row r="630" customFormat="false" ht="15" hidden="false" customHeight="false" outlineLevel="0" collapsed="false">
      <c r="A630" s="6" t="s">
        <v>1369</v>
      </c>
      <c r="B630" s="6" t="s">
        <v>1370</v>
      </c>
      <c r="C630" s="6" t="s">
        <v>85</v>
      </c>
      <c r="D630" s="6" t="n">
        <v>43</v>
      </c>
      <c r="E630" s="6" t="s">
        <v>121</v>
      </c>
      <c r="F630" s="6" t="s">
        <v>122</v>
      </c>
      <c r="G630" s="26" t="n">
        <v>46008</v>
      </c>
      <c r="H630" s="6" t="s">
        <v>88</v>
      </c>
      <c r="I630" s="26" t="n">
        <f aca="false">_xlfn.MINIFS(Transaction!$C$2:$C$8421,Transaction!$B$2:$B$8421,A630)</f>
        <v>46045</v>
      </c>
      <c r="J630" s="26" t="n">
        <f aca="false">_xlfn.MAXIFS(Transaction!$C$2:$C$8421,Transaction!$B$2:$B$8421,A630)</f>
        <v>46250</v>
      </c>
      <c r="K630" s="6" t="n">
        <f aca="false">COUNTIF(Transaction!$B$2:$B$8421,A630)</f>
        <v>12</v>
      </c>
      <c r="L630" s="10" t="n">
        <f aca="false">SUMIF(Transaction!$B$2:$B$8421,A630,Transaction!$H$2:$H$8421)</f>
        <v>24378</v>
      </c>
      <c r="M630" s="6" t="n">
        <f aca="false">Summary!$B$3-J630</f>
        <v>16</v>
      </c>
      <c r="N630" s="6" t="str">
        <f aca="false">IF(K630&gt;1,"Yes","No")</f>
        <v>Yes</v>
      </c>
      <c r="O630" s="6" t="s">
        <v>45</v>
      </c>
    </row>
    <row r="631" customFormat="false" ht="15" hidden="false" customHeight="false" outlineLevel="0" collapsed="false">
      <c r="A631" s="6" t="s">
        <v>1371</v>
      </c>
      <c r="B631" s="6" t="s">
        <v>1372</v>
      </c>
      <c r="C631" s="6" t="s">
        <v>75</v>
      </c>
      <c r="D631" s="6" t="n">
        <v>22</v>
      </c>
      <c r="E631" s="6" t="s">
        <v>76</v>
      </c>
      <c r="F631" s="6" t="s">
        <v>77</v>
      </c>
      <c r="G631" s="26" t="n">
        <v>46070</v>
      </c>
      <c r="H631" s="6" t="s">
        <v>88</v>
      </c>
      <c r="I631" s="26" t="n">
        <f aca="false">_xlfn.MINIFS(Transaction!$C$2:$C$8421,Transaction!$B$2:$B$8421,A631)</f>
        <v>46137</v>
      </c>
      <c r="J631" s="26" t="n">
        <f aca="false">_xlfn.MAXIFS(Transaction!$C$2:$C$8421,Transaction!$B$2:$B$8421,A631)</f>
        <v>46137</v>
      </c>
      <c r="K631" s="6" t="n">
        <f aca="false">COUNTIF(Transaction!$B$2:$B$8421,A631)</f>
        <v>1</v>
      </c>
      <c r="L631" s="10" t="n">
        <f aca="false">SUMIF(Transaction!$B$2:$B$8421,A631,Transaction!$H$2:$H$8421)</f>
        <v>2199</v>
      </c>
      <c r="M631" s="6" t="n">
        <f aca="false">Summary!$B$3-J631</f>
        <v>129</v>
      </c>
      <c r="N631" s="6" t="str">
        <f aca="false">IF(K631&gt;1,"Yes","No")</f>
        <v>No</v>
      </c>
      <c r="O631" s="6" t="s">
        <v>48</v>
      </c>
    </row>
    <row r="632" customFormat="false" ht="15" hidden="false" customHeight="false" outlineLevel="0" collapsed="false">
      <c r="A632" s="6" t="s">
        <v>1373</v>
      </c>
      <c r="B632" s="6" t="s">
        <v>1374</v>
      </c>
      <c r="C632" s="6" t="s">
        <v>75</v>
      </c>
      <c r="D632" s="6" t="n">
        <v>22</v>
      </c>
      <c r="E632" s="6" t="s">
        <v>95</v>
      </c>
      <c r="F632" s="6" t="s">
        <v>95</v>
      </c>
      <c r="G632" s="26" t="n">
        <v>46219</v>
      </c>
      <c r="H632" s="6" t="s">
        <v>78</v>
      </c>
      <c r="I632" s="26" t="n">
        <f aca="false">_xlfn.MINIFS(Transaction!$C$2:$C$8421,Transaction!$B$2:$B$8421,A632)</f>
        <v>46253</v>
      </c>
      <c r="J632" s="26" t="n">
        <f aca="false">_xlfn.MAXIFS(Transaction!$C$2:$C$8421,Transaction!$B$2:$B$8421,A632)</f>
        <v>46253</v>
      </c>
      <c r="K632" s="6" t="n">
        <f aca="false">COUNTIF(Transaction!$B$2:$B$8421,A632)</f>
        <v>1</v>
      </c>
      <c r="L632" s="10" t="n">
        <f aca="false">SUMIF(Transaction!$B$2:$B$8421,A632,Transaction!$H$2:$H$8421)</f>
        <v>1116</v>
      </c>
      <c r="M632" s="6" t="n">
        <f aca="false">Summary!$B$3-J632</f>
        <v>13</v>
      </c>
      <c r="N632" s="6" t="str">
        <f aca="false">IF(K632&gt;1,"Yes","No")</f>
        <v>No</v>
      </c>
      <c r="O632" s="6" t="s">
        <v>47</v>
      </c>
    </row>
    <row r="633" customFormat="false" ht="15" hidden="false" customHeight="false" outlineLevel="0" collapsed="false">
      <c r="A633" s="6" t="s">
        <v>1375</v>
      </c>
      <c r="B633" s="6" t="s">
        <v>1376</v>
      </c>
      <c r="C633" s="6" t="s">
        <v>75</v>
      </c>
      <c r="D633" s="6" t="n">
        <v>37</v>
      </c>
      <c r="E633" s="6" t="s">
        <v>95</v>
      </c>
      <c r="F633" s="6" t="s">
        <v>95</v>
      </c>
      <c r="G633" s="26" t="n">
        <v>46070</v>
      </c>
      <c r="H633" s="6" t="s">
        <v>123</v>
      </c>
      <c r="I633" s="26" t="n">
        <f aca="false">_xlfn.MINIFS(Transaction!$C$2:$C$8421,Transaction!$B$2:$B$8421,A633)</f>
        <v>46074</v>
      </c>
      <c r="J633" s="26" t="n">
        <f aca="false">_xlfn.MAXIFS(Transaction!$C$2:$C$8421,Transaction!$B$2:$B$8421,A633)</f>
        <v>46180</v>
      </c>
      <c r="K633" s="6" t="n">
        <f aca="false">COUNTIF(Transaction!$B$2:$B$8421,A633)</f>
        <v>4</v>
      </c>
      <c r="L633" s="10" t="n">
        <f aca="false">SUMIF(Transaction!$B$2:$B$8421,A633,Transaction!$H$2:$H$8421)</f>
        <v>3705</v>
      </c>
      <c r="M633" s="6" t="n">
        <f aca="false">Summary!$B$3-J633</f>
        <v>86</v>
      </c>
      <c r="N633" s="6" t="str">
        <f aca="false">IF(K633&gt;1,"Yes","No")</f>
        <v>Yes</v>
      </c>
      <c r="O633" s="6" t="s">
        <v>46</v>
      </c>
    </row>
    <row r="634" customFormat="false" ht="15" hidden="false" customHeight="false" outlineLevel="0" collapsed="false">
      <c r="A634" s="6" t="s">
        <v>1377</v>
      </c>
      <c r="B634" s="6" t="s">
        <v>1378</v>
      </c>
      <c r="C634" s="6" t="s">
        <v>75</v>
      </c>
      <c r="D634" s="6" t="n">
        <v>34</v>
      </c>
      <c r="E634" s="6" t="s">
        <v>264</v>
      </c>
      <c r="F634" s="6" t="s">
        <v>106</v>
      </c>
      <c r="G634" s="26" t="n">
        <v>46117</v>
      </c>
      <c r="H634" s="6" t="s">
        <v>102</v>
      </c>
      <c r="I634" s="26" t="n">
        <f aca="false">_xlfn.MINIFS(Transaction!$C$2:$C$8421,Transaction!$B$2:$B$8421,A634)</f>
        <v>46171</v>
      </c>
      <c r="J634" s="26" t="n">
        <f aca="false">_xlfn.MAXIFS(Transaction!$C$2:$C$8421,Transaction!$B$2:$B$8421,A634)</f>
        <v>46171</v>
      </c>
      <c r="K634" s="6" t="n">
        <f aca="false">COUNTIF(Transaction!$B$2:$B$8421,A634)</f>
        <v>1</v>
      </c>
      <c r="L634" s="10" t="n">
        <f aca="false">SUMIF(Transaction!$B$2:$B$8421,A634,Transaction!$H$2:$H$8421)</f>
        <v>3300</v>
      </c>
      <c r="M634" s="6" t="n">
        <f aca="false">Summary!$B$3-J634</f>
        <v>95</v>
      </c>
      <c r="N634" s="6" t="str">
        <f aca="false">IF(K634&gt;1,"Yes","No")</f>
        <v>No</v>
      </c>
      <c r="O634" s="6" t="s">
        <v>48</v>
      </c>
    </row>
    <row r="635" customFormat="false" ht="15" hidden="false" customHeight="false" outlineLevel="0" collapsed="false">
      <c r="A635" s="6" t="s">
        <v>1379</v>
      </c>
      <c r="B635" s="6" t="s">
        <v>1380</v>
      </c>
      <c r="C635" s="6" t="s">
        <v>85</v>
      </c>
      <c r="D635" s="6" t="n">
        <v>32</v>
      </c>
      <c r="E635" s="6" t="s">
        <v>105</v>
      </c>
      <c r="F635" s="6" t="s">
        <v>106</v>
      </c>
      <c r="G635" s="26" t="n">
        <v>46080</v>
      </c>
      <c r="H635" s="6" t="s">
        <v>102</v>
      </c>
      <c r="I635" s="26" t="n">
        <f aca="false">_xlfn.MINIFS(Transaction!$C$2:$C$8421,Transaction!$B$2:$B$8421,A635)</f>
        <v>46105</v>
      </c>
      <c r="J635" s="26" t="n">
        <f aca="false">_xlfn.MAXIFS(Transaction!$C$2:$C$8421,Transaction!$B$2:$B$8421,A635)</f>
        <v>46245</v>
      </c>
      <c r="K635" s="6" t="n">
        <f aca="false">COUNTIF(Transaction!$B$2:$B$8421,A635)</f>
        <v>8</v>
      </c>
      <c r="L635" s="10" t="n">
        <f aca="false">SUMIF(Transaction!$B$2:$B$8421,A635,Transaction!$H$2:$H$8421)</f>
        <v>16622</v>
      </c>
      <c r="M635" s="6" t="n">
        <f aca="false">Summary!$B$3-J635</f>
        <v>21</v>
      </c>
      <c r="N635" s="6" t="str">
        <f aca="false">IF(K635&gt;1,"Yes","No")</f>
        <v>Yes</v>
      </c>
      <c r="O635" s="6" t="s">
        <v>45</v>
      </c>
    </row>
    <row r="636" customFormat="false" ht="15" hidden="false" customHeight="false" outlineLevel="0" collapsed="false">
      <c r="A636" s="6" t="s">
        <v>1381</v>
      </c>
      <c r="B636" s="6" t="s">
        <v>1382</v>
      </c>
      <c r="C636" s="6" t="s">
        <v>85</v>
      </c>
      <c r="D636" s="6" t="n">
        <v>27</v>
      </c>
      <c r="E636" s="6" t="s">
        <v>176</v>
      </c>
      <c r="F636" s="6" t="s">
        <v>177</v>
      </c>
      <c r="G636" s="26" t="n">
        <v>46033</v>
      </c>
      <c r="H636" s="6" t="s">
        <v>115</v>
      </c>
      <c r="I636" s="26" t="n">
        <f aca="false">_xlfn.MINIFS(Transaction!$C$2:$C$8421,Transaction!$B$2:$B$8421,A636)</f>
        <v>46104</v>
      </c>
      <c r="J636" s="26" t="n">
        <f aca="false">_xlfn.MAXIFS(Transaction!$C$2:$C$8421,Transaction!$B$2:$B$8421,A636)</f>
        <v>46104</v>
      </c>
      <c r="K636" s="6" t="n">
        <f aca="false">COUNTIF(Transaction!$B$2:$B$8421,A636)</f>
        <v>1</v>
      </c>
      <c r="L636" s="10" t="n">
        <f aca="false">SUMIF(Transaction!$B$2:$B$8421,A636,Transaction!$H$2:$H$8421)</f>
        <v>2232</v>
      </c>
      <c r="M636" s="6" t="n">
        <f aca="false">Summary!$B$3-J636</f>
        <v>162</v>
      </c>
      <c r="N636" s="6" t="str">
        <f aca="false">IF(K636&gt;1,"Yes","No")</f>
        <v>No</v>
      </c>
      <c r="O636" s="6" t="s">
        <v>49</v>
      </c>
    </row>
    <row r="637" customFormat="false" ht="15" hidden="false" customHeight="false" outlineLevel="0" collapsed="false">
      <c r="A637" s="6" t="s">
        <v>1383</v>
      </c>
      <c r="B637" s="6" t="s">
        <v>1384</v>
      </c>
      <c r="C637" s="6" t="s">
        <v>85</v>
      </c>
      <c r="D637" s="6" t="n">
        <v>26</v>
      </c>
      <c r="E637" s="6" t="s">
        <v>86</v>
      </c>
      <c r="F637" s="6" t="s">
        <v>87</v>
      </c>
      <c r="G637" s="26" t="n">
        <v>45978</v>
      </c>
      <c r="H637" s="6" t="s">
        <v>88</v>
      </c>
      <c r="I637" s="26" t="n">
        <f aca="false">_xlfn.MINIFS(Transaction!$C$2:$C$8421,Transaction!$B$2:$B$8421,A637)</f>
        <v>46048</v>
      </c>
      <c r="J637" s="26" t="n">
        <f aca="false">_xlfn.MAXIFS(Transaction!$C$2:$C$8421,Transaction!$B$2:$B$8421,A637)</f>
        <v>46048</v>
      </c>
      <c r="K637" s="6" t="n">
        <f aca="false">COUNTIF(Transaction!$B$2:$B$8421,A637)</f>
        <v>1</v>
      </c>
      <c r="L637" s="10" t="n">
        <f aca="false">SUMIF(Transaction!$B$2:$B$8421,A637,Transaction!$H$2:$H$8421)</f>
        <v>785</v>
      </c>
      <c r="M637" s="6" t="n">
        <f aca="false">Summary!$B$3-J637</f>
        <v>218</v>
      </c>
      <c r="N637" s="6" t="str">
        <f aca="false">IF(K637&gt;1,"Yes","No")</f>
        <v>No</v>
      </c>
      <c r="O637" s="6" t="s">
        <v>49</v>
      </c>
    </row>
    <row r="638" customFormat="false" ht="15" hidden="false" customHeight="false" outlineLevel="0" collapsed="false">
      <c r="A638" s="6" t="s">
        <v>1385</v>
      </c>
      <c r="B638" s="6" t="s">
        <v>1386</v>
      </c>
      <c r="C638" s="6" t="s">
        <v>85</v>
      </c>
      <c r="D638" s="6" t="n">
        <v>42</v>
      </c>
      <c r="E638" s="6" t="s">
        <v>105</v>
      </c>
      <c r="F638" s="6" t="s">
        <v>106</v>
      </c>
      <c r="G638" s="26" t="n">
        <v>46071</v>
      </c>
      <c r="H638" s="6" t="s">
        <v>88</v>
      </c>
      <c r="I638" s="26" t="n">
        <f aca="false">_xlfn.MINIFS(Transaction!$C$2:$C$8421,Transaction!$B$2:$B$8421,A638)</f>
        <v>46130</v>
      </c>
      <c r="J638" s="26" t="n">
        <f aca="false">_xlfn.MAXIFS(Transaction!$C$2:$C$8421,Transaction!$B$2:$B$8421,A638)</f>
        <v>46130</v>
      </c>
      <c r="K638" s="6" t="n">
        <f aca="false">COUNTIF(Transaction!$B$2:$B$8421,A638)</f>
        <v>1</v>
      </c>
      <c r="L638" s="10" t="n">
        <f aca="false">SUMIF(Transaction!$B$2:$B$8421,A638,Transaction!$H$2:$H$8421)</f>
        <v>2039</v>
      </c>
      <c r="M638" s="6" t="n">
        <f aca="false">Summary!$B$3-J638</f>
        <v>136</v>
      </c>
      <c r="N638" s="6" t="str">
        <f aca="false">IF(K638&gt;1,"Yes","No")</f>
        <v>No</v>
      </c>
      <c r="O638" s="6" t="s">
        <v>48</v>
      </c>
    </row>
    <row r="639" customFormat="false" ht="15" hidden="false" customHeight="false" outlineLevel="0" collapsed="false">
      <c r="A639" s="6" t="s">
        <v>1387</v>
      </c>
      <c r="B639" s="6" t="s">
        <v>1388</v>
      </c>
      <c r="C639" s="6" t="s">
        <v>85</v>
      </c>
      <c r="D639" s="6" t="n">
        <v>36</v>
      </c>
      <c r="E639" s="6" t="s">
        <v>86</v>
      </c>
      <c r="F639" s="6" t="s">
        <v>87</v>
      </c>
      <c r="G639" s="26" t="n">
        <v>46151</v>
      </c>
      <c r="H639" s="6" t="s">
        <v>123</v>
      </c>
      <c r="I639" s="26" t="n">
        <f aca="false">_xlfn.MINIFS(Transaction!$C$2:$C$8421,Transaction!$B$2:$B$8421,A639)</f>
        <v>46166</v>
      </c>
      <c r="J639" s="26" t="n">
        <f aca="false">_xlfn.MAXIFS(Transaction!$C$2:$C$8421,Transaction!$B$2:$B$8421,A639)</f>
        <v>46166</v>
      </c>
      <c r="K639" s="6" t="n">
        <f aca="false">COUNTIF(Transaction!$B$2:$B$8421,A639)</f>
        <v>1</v>
      </c>
      <c r="L639" s="10" t="n">
        <f aca="false">SUMIF(Transaction!$B$2:$B$8421,A639,Transaction!$H$2:$H$8421)</f>
        <v>3439</v>
      </c>
      <c r="M639" s="6" t="n">
        <f aca="false">Summary!$B$3-J639</f>
        <v>100</v>
      </c>
      <c r="N639" s="6" t="str">
        <f aca="false">IF(K639&gt;1,"Yes","No")</f>
        <v>No</v>
      </c>
      <c r="O639" s="6" t="s">
        <v>48</v>
      </c>
    </row>
    <row r="640" customFormat="false" ht="15" hidden="false" customHeight="false" outlineLevel="0" collapsed="false">
      <c r="A640" s="6" t="s">
        <v>1389</v>
      </c>
      <c r="B640" s="6" t="s">
        <v>1390</v>
      </c>
      <c r="C640" s="6" t="s">
        <v>85</v>
      </c>
      <c r="D640" s="6" t="n">
        <v>48</v>
      </c>
      <c r="E640" s="6" t="s">
        <v>134</v>
      </c>
      <c r="F640" s="6" t="s">
        <v>135</v>
      </c>
      <c r="G640" s="26" t="n">
        <v>46030</v>
      </c>
      <c r="H640" s="6" t="s">
        <v>78</v>
      </c>
      <c r="I640" s="26" t="n">
        <f aca="false">_xlfn.MINIFS(Transaction!$C$2:$C$8421,Transaction!$B$2:$B$8421,A640)</f>
        <v>46072</v>
      </c>
      <c r="J640" s="26" t="n">
        <f aca="false">_xlfn.MAXIFS(Transaction!$C$2:$C$8421,Transaction!$B$2:$B$8421,A640)</f>
        <v>46072</v>
      </c>
      <c r="K640" s="6" t="n">
        <f aca="false">COUNTIF(Transaction!$B$2:$B$8421,A640)</f>
        <v>1</v>
      </c>
      <c r="L640" s="10" t="n">
        <f aca="false">SUMIF(Transaction!$B$2:$B$8421,A640,Transaction!$H$2:$H$8421)</f>
        <v>1965</v>
      </c>
      <c r="M640" s="6" t="n">
        <f aca="false">Summary!$B$3-J640</f>
        <v>194</v>
      </c>
      <c r="N640" s="6" t="str">
        <f aca="false">IF(K640&gt;1,"Yes","No")</f>
        <v>No</v>
      </c>
      <c r="O640" s="6" t="s">
        <v>49</v>
      </c>
    </row>
    <row r="641" customFormat="false" ht="15" hidden="false" customHeight="false" outlineLevel="0" collapsed="false">
      <c r="A641" s="6" t="s">
        <v>1391</v>
      </c>
      <c r="B641" s="6" t="s">
        <v>1392</v>
      </c>
      <c r="C641" s="6" t="s">
        <v>75</v>
      </c>
      <c r="D641" s="6" t="n">
        <v>27</v>
      </c>
      <c r="E641" s="6" t="s">
        <v>95</v>
      </c>
      <c r="F641" s="6" t="s">
        <v>95</v>
      </c>
      <c r="G641" s="26" t="n">
        <v>46126</v>
      </c>
      <c r="H641" s="6" t="s">
        <v>123</v>
      </c>
      <c r="I641" s="26" t="n">
        <f aca="false">_xlfn.MINIFS(Transaction!$C$2:$C$8421,Transaction!$B$2:$B$8421,A641)</f>
        <v>46212</v>
      </c>
      <c r="J641" s="26" t="n">
        <f aca="false">_xlfn.MAXIFS(Transaction!$C$2:$C$8421,Transaction!$B$2:$B$8421,A641)</f>
        <v>46212</v>
      </c>
      <c r="K641" s="6" t="n">
        <f aca="false">COUNTIF(Transaction!$B$2:$B$8421,A641)</f>
        <v>1</v>
      </c>
      <c r="L641" s="10" t="n">
        <f aca="false">SUMIF(Transaction!$B$2:$B$8421,A641,Transaction!$H$2:$H$8421)</f>
        <v>1788</v>
      </c>
      <c r="M641" s="6" t="n">
        <f aca="false">Summary!$B$3-J641</f>
        <v>54</v>
      </c>
      <c r="N641" s="6" t="str">
        <f aca="false">IF(K641&gt;1,"Yes","No")</f>
        <v>No</v>
      </c>
      <c r="O641" s="6" t="s">
        <v>47</v>
      </c>
    </row>
    <row r="642" customFormat="false" ht="15" hidden="false" customHeight="false" outlineLevel="0" collapsed="false">
      <c r="A642" s="6" t="s">
        <v>1393</v>
      </c>
      <c r="B642" s="6" t="s">
        <v>1394</v>
      </c>
      <c r="C642" s="6" t="s">
        <v>85</v>
      </c>
      <c r="D642" s="6" t="n">
        <v>35</v>
      </c>
      <c r="E642" s="6" t="s">
        <v>91</v>
      </c>
      <c r="F642" s="6" t="s">
        <v>77</v>
      </c>
      <c r="G642" s="26" t="n">
        <v>45962</v>
      </c>
      <c r="H642" s="6" t="s">
        <v>78</v>
      </c>
      <c r="I642" s="26" t="n">
        <f aca="false">_xlfn.MINIFS(Transaction!$C$2:$C$8421,Transaction!$B$2:$B$8421,A642)</f>
        <v>46045</v>
      </c>
      <c r="J642" s="26" t="n">
        <f aca="false">_xlfn.MAXIFS(Transaction!$C$2:$C$8421,Transaction!$B$2:$B$8421,A642)</f>
        <v>46045</v>
      </c>
      <c r="K642" s="6" t="n">
        <f aca="false">COUNTIF(Transaction!$B$2:$B$8421,A642)</f>
        <v>1</v>
      </c>
      <c r="L642" s="10" t="n">
        <f aca="false">SUMIF(Transaction!$B$2:$B$8421,A642,Transaction!$H$2:$H$8421)</f>
        <v>785</v>
      </c>
      <c r="M642" s="6" t="n">
        <f aca="false">Summary!$B$3-J642</f>
        <v>221</v>
      </c>
      <c r="N642" s="6" t="str">
        <f aca="false">IF(K642&gt;1,"Yes","No")</f>
        <v>No</v>
      </c>
      <c r="O642" s="6" t="s">
        <v>49</v>
      </c>
    </row>
    <row r="643" customFormat="false" ht="15" hidden="false" customHeight="false" outlineLevel="0" collapsed="false">
      <c r="A643" s="6" t="s">
        <v>1395</v>
      </c>
      <c r="B643" s="6" t="s">
        <v>1396</v>
      </c>
      <c r="C643" s="6" t="s">
        <v>85</v>
      </c>
      <c r="D643" s="6" t="n">
        <v>40</v>
      </c>
      <c r="E643" s="6" t="s">
        <v>134</v>
      </c>
      <c r="F643" s="6" t="s">
        <v>135</v>
      </c>
      <c r="G643" s="26" t="n">
        <v>46142</v>
      </c>
      <c r="H643" s="6" t="s">
        <v>102</v>
      </c>
      <c r="I643" s="26" t="n">
        <f aca="false">_xlfn.MINIFS(Transaction!$C$2:$C$8421,Transaction!$B$2:$B$8421,A643)</f>
        <v>46167</v>
      </c>
      <c r="J643" s="26" t="n">
        <f aca="false">_xlfn.MAXIFS(Transaction!$C$2:$C$8421,Transaction!$B$2:$B$8421,A643)</f>
        <v>46167</v>
      </c>
      <c r="K643" s="6" t="n">
        <f aca="false">COUNTIF(Transaction!$B$2:$B$8421,A643)</f>
        <v>1</v>
      </c>
      <c r="L643" s="10" t="n">
        <f aca="false">SUMIF(Transaction!$B$2:$B$8421,A643,Transaction!$H$2:$H$8421)</f>
        <v>5280</v>
      </c>
      <c r="M643" s="6" t="n">
        <f aca="false">Summary!$B$3-J643</f>
        <v>99</v>
      </c>
      <c r="N643" s="6" t="str">
        <f aca="false">IF(K643&gt;1,"Yes","No")</f>
        <v>No</v>
      </c>
      <c r="O643" s="6" t="s">
        <v>48</v>
      </c>
    </row>
    <row r="644" customFormat="false" ht="15" hidden="false" customHeight="false" outlineLevel="0" collapsed="false">
      <c r="A644" s="6" t="s">
        <v>1397</v>
      </c>
      <c r="B644" s="6" t="s">
        <v>1398</v>
      </c>
      <c r="C644" s="6" t="s">
        <v>75</v>
      </c>
      <c r="D644" s="6" t="n">
        <v>34</v>
      </c>
      <c r="E644" s="6" t="s">
        <v>86</v>
      </c>
      <c r="F644" s="6" t="s">
        <v>87</v>
      </c>
      <c r="G644" s="26" t="n">
        <v>46109</v>
      </c>
      <c r="H644" s="6" t="s">
        <v>92</v>
      </c>
      <c r="I644" s="26" t="n">
        <f aca="false">_xlfn.MINIFS(Transaction!$C$2:$C$8421,Transaction!$B$2:$B$8421,A644)</f>
        <v>46119</v>
      </c>
      <c r="J644" s="26" t="n">
        <f aca="false">_xlfn.MAXIFS(Transaction!$C$2:$C$8421,Transaction!$B$2:$B$8421,A644)</f>
        <v>46119</v>
      </c>
      <c r="K644" s="6" t="n">
        <f aca="false">COUNTIF(Transaction!$B$2:$B$8421,A644)</f>
        <v>1</v>
      </c>
      <c r="L644" s="10" t="n">
        <f aca="false">SUMIF(Transaction!$B$2:$B$8421,A644,Transaction!$H$2:$H$8421)</f>
        <v>1101</v>
      </c>
      <c r="M644" s="6" t="n">
        <f aca="false">Summary!$B$3-J644</f>
        <v>147</v>
      </c>
      <c r="N644" s="6" t="str">
        <f aca="false">IF(K644&gt;1,"Yes","No")</f>
        <v>No</v>
      </c>
      <c r="O644" s="6" t="s">
        <v>48</v>
      </c>
    </row>
    <row r="645" customFormat="false" ht="15" hidden="false" customHeight="false" outlineLevel="0" collapsed="false">
      <c r="A645" s="6" t="s">
        <v>1399</v>
      </c>
      <c r="B645" s="6" t="s">
        <v>1400</v>
      </c>
      <c r="C645" s="6" t="s">
        <v>85</v>
      </c>
      <c r="D645" s="6" t="n">
        <v>25</v>
      </c>
      <c r="E645" s="6" t="s">
        <v>118</v>
      </c>
      <c r="F645" s="6" t="s">
        <v>77</v>
      </c>
      <c r="G645" s="26" t="n">
        <v>46188</v>
      </c>
      <c r="H645" s="6" t="s">
        <v>102</v>
      </c>
      <c r="I645" s="26" t="n">
        <f aca="false">_xlfn.MINIFS(Transaction!$C$2:$C$8421,Transaction!$B$2:$B$8421,A645)</f>
        <v>46253</v>
      </c>
      <c r="J645" s="26" t="n">
        <f aca="false">_xlfn.MAXIFS(Transaction!$C$2:$C$8421,Transaction!$B$2:$B$8421,A645)</f>
        <v>46253</v>
      </c>
      <c r="K645" s="6" t="n">
        <f aca="false">COUNTIF(Transaction!$B$2:$B$8421,A645)</f>
        <v>1</v>
      </c>
      <c r="L645" s="10" t="n">
        <f aca="false">SUMIF(Transaction!$B$2:$B$8421,A645,Transaction!$H$2:$H$8421)</f>
        <v>1406</v>
      </c>
      <c r="M645" s="6" t="n">
        <f aca="false">Summary!$B$3-J645</f>
        <v>13</v>
      </c>
      <c r="N645" s="6" t="str">
        <f aca="false">IF(K645&gt;1,"Yes","No")</f>
        <v>No</v>
      </c>
      <c r="O645" s="6" t="s">
        <v>47</v>
      </c>
    </row>
    <row r="646" customFormat="false" ht="15" hidden="false" customHeight="false" outlineLevel="0" collapsed="false">
      <c r="A646" s="6" t="s">
        <v>1401</v>
      </c>
      <c r="B646" s="6" t="s">
        <v>1402</v>
      </c>
      <c r="C646" s="6" t="s">
        <v>75</v>
      </c>
      <c r="D646" s="6" t="n">
        <v>20</v>
      </c>
      <c r="E646" s="6" t="s">
        <v>264</v>
      </c>
      <c r="F646" s="6" t="s">
        <v>106</v>
      </c>
      <c r="G646" s="26" t="n">
        <v>46055</v>
      </c>
      <c r="H646" s="6" t="s">
        <v>115</v>
      </c>
      <c r="I646" s="26" t="n">
        <f aca="false">_xlfn.MINIFS(Transaction!$C$2:$C$8421,Transaction!$B$2:$B$8421,A646)</f>
        <v>46135</v>
      </c>
      <c r="J646" s="26" t="n">
        <f aca="false">_xlfn.MAXIFS(Transaction!$C$2:$C$8421,Transaction!$B$2:$B$8421,A646)</f>
        <v>46232</v>
      </c>
      <c r="K646" s="6" t="n">
        <f aca="false">COUNTIF(Transaction!$B$2:$B$8421,A646)</f>
        <v>4</v>
      </c>
      <c r="L646" s="10" t="n">
        <f aca="false">SUMIF(Transaction!$B$2:$B$8421,A646,Transaction!$H$2:$H$8421)</f>
        <v>8319</v>
      </c>
      <c r="M646" s="6" t="n">
        <f aca="false">Summary!$B$3-J646</f>
        <v>34</v>
      </c>
      <c r="N646" s="6" t="str">
        <f aca="false">IF(K646&gt;1,"Yes","No")</f>
        <v>Yes</v>
      </c>
      <c r="O646" s="6" t="s">
        <v>46</v>
      </c>
    </row>
    <row r="647" customFormat="false" ht="15" hidden="false" customHeight="false" outlineLevel="0" collapsed="false">
      <c r="A647" s="6" t="s">
        <v>1403</v>
      </c>
      <c r="B647" s="6" t="s">
        <v>1404</v>
      </c>
      <c r="C647" s="6" t="s">
        <v>85</v>
      </c>
      <c r="D647" s="6" t="n">
        <v>37</v>
      </c>
      <c r="E647" s="6" t="s">
        <v>134</v>
      </c>
      <c r="F647" s="6" t="s">
        <v>135</v>
      </c>
      <c r="G647" s="26" t="n">
        <v>45976</v>
      </c>
      <c r="H647" s="6" t="s">
        <v>115</v>
      </c>
      <c r="I647" s="26" t="n">
        <f aca="false">_xlfn.MINIFS(Transaction!$C$2:$C$8421,Transaction!$B$2:$B$8421,A647)</f>
        <v>46058</v>
      </c>
      <c r="J647" s="26" t="n">
        <f aca="false">_xlfn.MAXIFS(Transaction!$C$2:$C$8421,Transaction!$B$2:$B$8421,A647)</f>
        <v>46246</v>
      </c>
      <c r="K647" s="6" t="n">
        <f aca="false">COUNTIF(Transaction!$B$2:$B$8421,A647)</f>
        <v>9</v>
      </c>
      <c r="L647" s="10" t="n">
        <f aca="false">SUMIF(Transaction!$B$2:$B$8421,A647,Transaction!$H$2:$H$8421)</f>
        <v>9251</v>
      </c>
      <c r="M647" s="6" t="n">
        <f aca="false">Summary!$B$3-J647</f>
        <v>20</v>
      </c>
      <c r="N647" s="6" t="str">
        <f aca="false">IF(K647&gt;1,"Yes","No")</f>
        <v>Yes</v>
      </c>
      <c r="O647" s="6" t="s">
        <v>45</v>
      </c>
    </row>
    <row r="648" customFormat="false" ht="15" hidden="false" customHeight="false" outlineLevel="0" collapsed="false">
      <c r="A648" s="6" t="s">
        <v>1405</v>
      </c>
      <c r="B648" s="6" t="s">
        <v>1406</v>
      </c>
      <c r="C648" s="6" t="s">
        <v>85</v>
      </c>
      <c r="D648" s="6" t="n">
        <v>29</v>
      </c>
      <c r="E648" s="6" t="s">
        <v>81</v>
      </c>
      <c r="F648" s="6" t="s">
        <v>82</v>
      </c>
      <c r="G648" s="26" t="n">
        <v>46034</v>
      </c>
      <c r="H648" s="6" t="s">
        <v>78</v>
      </c>
      <c r="I648" s="26" t="n">
        <f aca="false">_xlfn.MINIFS(Transaction!$C$2:$C$8421,Transaction!$B$2:$B$8421,A648)</f>
        <v>46083</v>
      </c>
      <c r="J648" s="26" t="n">
        <f aca="false">_xlfn.MAXIFS(Transaction!$C$2:$C$8421,Transaction!$B$2:$B$8421,A648)</f>
        <v>46242</v>
      </c>
      <c r="K648" s="6" t="n">
        <f aca="false">COUNTIF(Transaction!$B$2:$B$8421,A648)</f>
        <v>9</v>
      </c>
      <c r="L648" s="10" t="n">
        <f aca="false">SUMIF(Transaction!$B$2:$B$8421,A648,Transaction!$H$2:$H$8421)</f>
        <v>13986</v>
      </c>
      <c r="M648" s="6" t="n">
        <f aca="false">Summary!$B$3-J648</f>
        <v>24</v>
      </c>
      <c r="N648" s="6" t="str">
        <f aca="false">IF(K648&gt;1,"Yes","No")</f>
        <v>Yes</v>
      </c>
      <c r="O648" s="6" t="s">
        <v>45</v>
      </c>
    </row>
    <row r="649" customFormat="false" ht="15" hidden="false" customHeight="false" outlineLevel="0" collapsed="false">
      <c r="A649" s="6" t="s">
        <v>1407</v>
      </c>
      <c r="B649" s="6" t="s">
        <v>1408</v>
      </c>
      <c r="C649" s="6" t="s">
        <v>85</v>
      </c>
      <c r="D649" s="6" t="n">
        <v>27</v>
      </c>
      <c r="E649" s="6" t="s">
        <v>86</v>
      </c>
      <c r="F649" s="6" t="s">
        <v>87</v>
      </c>
      <c r="G649" s="26" t="n">
        <v>46047</v>
      </c>
      <c r="H649" s="6" t="s">
        <v>115</v>
      </c>
      <c r="I649" s="26" t="n">
        <f aca="false">_xlfn.MINIFS(Transaction!$C$2:$C$8421,Transaction!$B$2:$B$8421,A649)</f>
        <v>46062</v>
      </c>
      <c r="J649" s="26" t="n">
        <f aca="false">_xlfn.MAXIFS(Transaction!$C$2:$C$8421,Transaction!$B$2:$B$8421,A649)</f>
        <v>46255</v>
      </c>
      <c r="K649" s="6" t="n">
        <f aca="false">COUNTIF(Transaction!$B$2:$B$8421,A649)</f>
        <v>2</v>
      </c>
      <c r="L649" s="10" t="n">
        <f aca="false">SUMIF(Transaction!$B$2:$B$8421,A649,Transaction!$H$2:$H$8421)</f>
        <v>3350</v>
      </c>
      <c r="M649" s="6" t="n">
        <f aca="false">Summary!$B$3-J649</f>
        <v>11</v>
      </c>
      <c r="N649" s="6" t="str">
        <f aca="false">IF(K649&gt;1,"Yes","No")</f>
        <v>Yes</v>
      </c>
      <c r="O649" s="6" t="s">
        <v>46</v>
      </c>
    </row>
    <row r="650" customFormat="false" ht="15" hidden="false" customHeight="false" outlineLevel="0" collapsed="false">
      <c r="A650" s="6" t="s">
        <v>1409</v>
      </c>
      <c r="B650" s="6" t="s">
        <v>1410</v>
      </c>
      <c r="C650" s="6" t="s">
        <v>75</v>
      </c>
      <c r="D650" s="6" t="n">
        <v>36</v>
      </c>
      <c r="E650" s="6" t="s">
        <v>81</v>
      </c>
      <c r="F650" s="6" t="s">
        <v>82</v>
      </c>
      <c r="G650" s="26" t="n">
        <v>46190</v>
      </c>
      <c r="H650" s="6" t="s">
        <v>78</v>
      </c>
      <c r="I650" s="26" t="n">
        <f aca="false">_xlfn.MINIFS(Transaction!$C$2:$C$8421,Transaction!$B$2:$B$8421,A650)</f>
        <v>46242</v>
      </c>
      <c r="J650" s="26" t="n">
        <f aca="false">_xlfn.MAXIFS(Transaction!$C$2:$C$8421,Transaction!$B$2:$B$8421,A650)</f>
        <v>46242</v>
      </c>
      <c r="K650" s="6" t="n">
        <f aca="false">COUNTIF(Transaction!$B$2:$B$8421,A650)</f>
        <v>1</v>
      </c>
      <c r="L650" s="10" t="n">
        <f aca="false">SUMIF(Transaction!$B$2:$B$8421,A650,Transaction!$H$2:$H$8421)</f>
        <v>1061</v>
      </c>
      <c r="M650" s="6" t="n">
        <f aca="false">Summary!$B$3-J650</f>
        <v>24</v>
      </c>
      <c r="N650" s="6" t="str">
        <f aca="false">IF(K650&gt;1,"Yes","No")</f>
        <v>No</v>
      </c>
      <c r="O650" s="6" t="s">
        <v>47</v>
      </c>
    </row>
    <row r="651" customFormat="false" ht="15" hidden="false" customHeight="false" outlineLevel="0" collapsed="false">
      <c r="A651" s="6" t="s">
        <v>1411</v>
      </c>
      <c r="B651" s="6" t="s">
        <v>1412</v>
      </c>
      <c r="C651" s="6" t="s">
        <v>85</v>
      </c>
      <c r="D651" s="6" t="n">
        <v>27</v>
      </c>
      <c r="E651" s="6" t="s">
        <v>134</v>
      </c>
      <c r="F651" s="6" t="s">
        <v>135</v>
      </c>
      <c r="G651" s="26" t="n">
        <v>46096</v>
      </c>
      <c r="H651" s="6" t="s">
        <v>78</v>
      </c>
      <c r="I651" s="26" t="n">
        <f aca="false">_xlfn.MINIFS(Transaction!$C$2:$C$8421,Transaction!$B$2:$B$8421,A651)</f>
        <v>46140</v>
      </c>
      <c r="J651" s="26" t="n">
        <f aca="false">_xlfn.MAXIFS(Transaction!$C$2:$C$8421,Transaction!$B$2:$B$8421,A651)</f>
        <v>46140</v>
      </c>
      <c r="K651" s="6" t="n">
        <f aca="false">COUNTIF(Transaction!$B$2:$B$8421,A651)</f>
        <v>1</v>
      </c>
      <c r="L651" s="10" t="n">
        <f aca="false">SUMIF(Transaction!$B$2:$B$8421,A651,Transaction!$H$2:$H$8421)</f>
        <v>839</v>
      </c>
      <c r="M651" s="6" t="n">
        <f aca="false">Summary!$B$3-J651</f>
        <v>126</v>
      </c>
      <c r="N651" s="6" t="str">
        <f aca="false">IF(K651&gt;1,"Yes","No")</f>
        <v>No</v>
      </c>
      <c r="O651" s="6" t="s">
        <v>48</v>
      </c>
    </row>
    <row r="652" customFormat="false" ht="15" hidden="false" customHeight="false" outlineLevel="0" collapsed="false">
      <c r="A652" s="6" t="s">
        <v>1413</v>
      </c>
      <c r="B652" s="6" t="s">
        <v>1414</v>
      </c>
      <c r="C652" s="6" t="s">
        <v>85</v>
      </c>
      <c r="D652" s="6" t="n">
        <v>42</v>
      </c>
      <c r="E652" s="6" t="s">
        <v>76</v>
      </c>
      <c r="F652" s="6" t="s">
        <v>77</v>
      </c>
      <c r="G652" s="26" t="n">
        <v>46064</v>
      </c>
      <c r="H652" s="6" t="s">
        <v>88</v>
      </c>
      <c r="I652" s="26" t="n">
        <f aca="false">_xlfn.MINIFS(Transaction!$C$2:$C$8421,Transaction!$B$2:$B$8421,A652)</f>
        <v>46133</v>
      </c>
      <c r="J652" s="26" t="n">
        <f aca="false">_xlfn.MAXIFS(Transaction!$C$2:$C$8421,Transaction!$B$2:$B$8421,A652)</f>
        <v>46133</v>
      </c>
      <c r="K652" s="6" t="n">
        <f aca="false">COUNTIF(Transaction!$B$2:$B$8421,A652)</f>
        <v>1</v>
      </c>
      <c r="L652" s="10" t="n">
        <f aca="false">SUMIF(Transaction!$B$2:$B$8421,A652,Transaction!$H$2:$H$8421)</f>
        <v>1416</v>
      </c>
      <c r="M652" s="6" t="n">
        <f aca="false">Summary!$B$3-J652</f>
        <v>133</v>
      </c>
      <c r="N652" s="6" t="str">
        <f aca="false">IF(K652&gt;1,"Yes","No")</f>
        <v>No</v>
      </c>
      <c r="O652" s="6" t="s">
        <v>48</v>
      </c>
    </row>
    <row r="653" customFormat="false" ht="15" hidden="false" customHeight="false" outlineLevel="0" collapsed="false">
      <c r="A653" s="6" t="s">
        <v>1415</v>
      </c>
      <c r="B653" s="6" t="s">
        <v>1416</v>
      </c>
      <c r="C653" s="6" t="s">
        <v>85</v>
      </c>
      <c r="D653" s="6" t="n">
        <v>26</v>
      </c>
      <c r="E653" s="6" t="s">
        <v>76</v>
      </c>
      <c r="F653" s="6" t="s">
        <v>77</v>
      </c>
      <c r="G653" s="26" t="n">
        <v>45983</v>
      </c>
      <c r="H653" s="6" t="s">
        <v>78</v>
      </c>
      <c r="I653" s="26" t="n">
        <f aca="false">_xlfn.MINIFS(Transaction!$C$2:$C$8421,Transaction!$B$2:$B$8421,A653)</f>
        <v>46062</v>
      </c>
      <c r="J653" s="26" t="n">
        <f aca="false">_xlfn.MAXIFS(Transaction!$C$2:$C$8421,Transaction!$B$2:$B$8421,A653)</f>
        <v>46264</v>
      </c>
      <c r="K653" s="6" t="n">
        <f aca="false">COUNTIF(Transaction!$B$2:$B$8421,A653)</f>
        <v>7</v>
      </c>
      <c r="L653" s="10" t="n">
        <f aca="false">SUMIF(Transaction!$B$2:$B$8421,A653,Transaction!$H$2:$H$8421)</f>
        <v>8980</v>
      </c>
      <c r="M653" s="6" t="n">
        <f aca="false">Summary!$B$3-J653</f>
        <v>2</v>
      </c>
      <c r="N653" s="6" t="str">
        <f aca="false">IF(K653&gt;1,"Yes","No")</f>
        <v>Yes</v>
      </c>
      <c r="O653" s="6" t="s">
        <v>45</v>
      </c>
    </row>
    <row r="654" customFormat="false" ht="15" hidden="false" customHeight="false" outlineLevel="0" collapsed="false">
      <c r="A654" s="6" t="s">
        <v>1417</v>
      </c>
      <c r="B654" s="6" t="s">
        <v>1418</v>
      </c>
      <c r="C654" s="6" t="s">
        <v>75</v>
      </c>
      <c r="D654" s="6" t="n">
        <v>33</v>
      </c>
      <c r="E654" s="6" t="s">
        <v>91</v>
      </c>
      <c r="F654" s="6" t="s">
        <v>77</v>
      </c>
      <c r="G654" s="26" t="n">
        <v>46007</v>
      </c>
      <c r="H654" s="6" t="s">
        <v>88</v>
      </c>
      <c r="I654" s="26" t="n">
        <f aca="false">_xlfn.MINIFS(Transaction!$C$2:$C$8421,Transaction!$B$2:$B$8421,A654)</f>
        <v>46092</v>
      </c>
      <c r="J654" s="26" t="n">
        <f aca="false">_xlfn.MAXIFS(Transaction!$C$2:$C$8421,Transaction!$B$2:$B$8421,A654)</f>
        <v>46092</v>
      </c>
      <c r="K654" s="6" t="n">
        <f aca="false">COUNTIF(Transaction!$B$2:$B$8421,A654)</f>
        <v>1</v>
      </c>
      <c r="L654" s="10" t="n">
        <f aca="false">SUMIF(Transaction!$B$2:$B$8421,A654,Transaction!$H$2:$H$8421)</f>
        <v>782</v>
      </c>
      <c r="M654" s="6" t="n">
        <f aca="false">Summary!$B$3-J654</f>
        <v>174</v>
      </c>
      <c r="N654" s="6" t="str">
        <f aca="false">IF(K654&gt;1,"Yes","No")</f>
        <v>No</v>
      </c>
      <c r="O654" s="6" t="s">
        <v>49</v>
      </c>
    </row>
    <row r="655" customFormat="false" ht="15" hidden="false" customHeight="false" outlineLevel="0" collapsed="false">
      <c r="A655" s="6" t="s">
        <v>1419</v>
      </c>
      <c r="B655" s="6" t="s">
        <v>1420</v>
      </c>
      <c r="C655" s="6" t="s">
        <v>75</v>
      </c>
      <c r="D655" s="6" t="n">
        <v>37</v>
      </c>
      <c r="E655" s="6" t="s">
        <v>86</v>
      </c>
      <c r="F655" s="6" t="s">
        <v>87</v>
      </c>
      <c r="G655" s="26" t="n">
        <v>46034</v>
      </c>
      <c r="H655" s="6" t="s">
        <v>102</v>
      </c>
      <c r="I655" s="26" t="n">
        <f aca="false">_xlfn.MINIFS(Transaction!$C$2:$C$8421,Transaction!$B$2:$B$8421,A655)</f>
        <v>46062</v>
      </c>
      <c r="J655" s="26" t="n">
        <f aca="false">_xlfn.MAXIFS(Transaction!$C$2:$C$8421,Transaction!$B$2:$B$8421,A655)</f>
        <v>46262</v>
      </c>
      <c r="K655" s="6" t="n">
        <f aca="false">COUNTIF(Transaction!$B$2:$B$8421,A655)</f>
        <v>8</v>
      </c>
      <c r="L655" s="10" t="n">
        <f aca="false">SUMIF(Transaction!$B$2:$B$8421,A655,Transaction!$H$2:$H$8421)</f>
        <v>14552</v>
      </c>
      <c r="M655" s="6" t="n">
        <f aca="false">Summary!$B$3-J655</f>
        <v>4</v>
      </c>
      <c r="N655" s="6" t="str">
        <f aca="false">IF(K655&gt;1,"Yes","No")</f>
        <v>Yes</v>
      </c>
      <c r="O655" s="6" t="s">
        <v>45</v>
      </c>
    </row>
    <row r="656" customFormat="false" ht="15" hidden="false" customHeight="false" outlineLevel="0" collapsed="false">
      <c r="A656" s="6" t="s">
        <v>1421</v>
      </c>
      <c r="B656" s="6" t="s">
        <v>1422</v>
      </c>
      <c r="C656" s="6" t="s">
        <v>75</v>
      </c>
      <c r="D656" s="6" t="n">
        <v>40</v>
      </c>
      <c r="E656" s="6" t="s">
        <v>134</v>
      </c>
      <c r="F656" s="6" t="s">
        <v>135</v>
      </c>
      <c r="G656" s="26" t="n">
        <v>46016</v>
      </c>
      <c r="H656" s="6" t="s">
        <v>123</v>
      </c>
      <c r="I656" s="26" t="n">
        <f aca="false">_xlfn.MINIFS(Transaction!$C$2:$C$8421,Transaction!$B$2:$B$8421,A656)</f>
        <v>46041</v>
      </c>
      <c r="J656" s="26" t="n">
        <f aca="false">_xlfn.MAXIFS(Transaction!$C$2:$C$8421,Transaction!$B$2:$B$8421,A656)</f>
        <v>46224</v>
      </c>
      <c r="K656" s="6" t="n">
        <f aca="false">COUNTIF(Transaction!$B$2:$B$8421,A656)</f>
        <v>6</v>
      </c>
      <c r="L656" s="10" t="n">
        <f aca="false">SUMIF(Transaction!$B$2:$B$8421,A656,Transaction!$H$2:$H$8421)</f>
        <v>13152</v>
      </c>
      <c r="M656" s="6" t="n">
        <f aca="false">Summary!$B$3-J656</f>
        <v>42</v>
      </c>
      <c r="N656" s="6" t="str">
        <f aca="false">IF(K656&gt;1,"Yes","No")</f>
        <v>Yes</v>
      </c>
      <c r="O656" s="6" t="s">
        <v>46</v>
      </c>
    </row>
    <row r="657" customFormat="false" ht="15" hidden="false" customHeight="false" outlineLevel="0" collapsed="false">
      <c r="A657" s="6" t="s">
        <v>1423</v>
      </c>
      <c r="B657" s="6" t="s">
        <v>1424</v>
      </c>
      <c r="C657" s="6" t="s">
        <v>75</v>
      </c>
      <c r="D657" s="6" t="n">
        <v>48</v>
      </c>
      <c r="E657" s="6" t="s">
        <v>91</v>
      </c>
      <c r="F657" s="6" t="s">
        <v>77</v>
      </c>
      <c r="G657" s="26" t="n">
        <v>46220</v>
      </c>
      <c r="H657" s="6" t="s">
        <v>78</v>
      </c>
      <c r="I657" s="26" t="n">
        <f aca="false">_xlfn.MINIFS(Transaction!$C$2:$C$8421,Transaction!$B$2:$B$8421,A657)</f>
        <v>46247</v>
      </c>
      <c r="J657" s="26" t="n">
        <f aca="false">_xlfn.MAXIFS(Transaction!$C$2:$C$8421,Transaction!$B$2:$B$8421,A657)</f>
        <v>46247</v>
      </c>
      <c r="K657" s="6" t="n">
        <f aca="false">COUNTIF(Transaction!$B$2:$B$8421,A657)</f>
        <v>1</v>
      </c>
      <c r="L657" s="10" t="n">
        <f aca="false">SUMIF(Transaction!$B$2:$B$8421,A657,Transaction!$H$2:$H$8421)</f>
        <v>1468</v>
      </c>
      <c r="M657" s="6" t="n">
        <f aca="false">Summary!$B$3-J657</f>
        <v>19</v>
      </c>
      <c r="N657" s="6" t="str">
        <f aca="false">IF(K657&gt;1,"Yes","No")</f>
        <v>No</v>
      </c>
      <c r="O657" s="6" t="s">
        <v>47</v>
      </c>
    </row>
    <row r="658" customFormat="false" ht="15" hidden="false" customHeight="false" outlineLevel="0" collapsed="false">
      <c r="A658" s="6" t="s">
        <v>1425</v>
      </c>
      <c r="B658" s="6" t="s">
        <v>1426</v>
      </c>
      <c r="C658" s="6" t="s">
        <v>75</v>
      </c>
      <c r="D658" s="6" t="n">
        <v>23</v>
      </c>
      <c r="E658" s="6" t="s">
        <v>95</v>
      </c>
      <c r="F658" s="6" t="s">
        <v>95</v>
      </c>
      <c r="G658" s="26" t="n">
        <v>46146</v>
      </c>
      <c r="H658" s="6" t="s">
        <v>115</v>
      </c>
      <c r="I658" s="26" t="n">
        <f aca="false">_xlfn.MINIFS(Transaction!$C$2:$C$8421,Transaction!$B$2:$B$8421,A658)</f>
        <v>46181</v>
      </c>
      <c r="J658" s="26" t="n">
        <f aca="false">_xlfn.MAXIFS(Transaction!$C$2:$C$8421,Transaction!$B$2:$B$8421,A658)</f>
        <v>46181</v>
      </c>
      <c r="K658" s="6" t="n">
        <f aca="false">COUNTIF(Transaction!$B$2:$B$8421,A658)</f>
        <v>1</v>
      </c>
      <c r="L658" s="10" t="n">
        <f aca="false">SUMIF(Transaction!$B$2:$B$8421,A658,Transaction!$H$2:$H$8421)</f>
        <v>1586</v>
      </c>
      <c r="M658" s="6" t="n">
        <f aca="false">Summary!$B$3-J658</f>
        <v>85</v>
      </c>
      <c r="N658" s="6" t="str">
        <f aca="false">IF(K658&gt;1,"Yes","No")</f>
        <v>No</v>
      </c>
      <c r="O658" s="6" t="s">
        <v>47</v>
      </c>
    </row>
    <row r="659" customFormat="false" ht="15" hidden="false" customHeight="false" outlineLevel="0" collapsed="false">
      <c r="A659" s="6" t="s">
        <v>1427</v>
      </c>
      <c r="B659" s="6" t="s">
        <v>1428</v>
      </c>
      <c r="C659" s="6" t="s">
        <v>85</v>
      </c>
      <c r="D659" s="6" t="n">
        <v>19</v>
      </c>
      <c r="E659" s="6" t="s">
        <v>98</v>
      </c>
      <c r="F659" s="6" t="s">
        <v>99</v>
      </c>
      <c r="G659" s="26" t="n">
        <v>46094</v>
      </c>
      <c r="H659" s="6" t="s">
        <v>115</v>
      </c>
      <c r="I659" s="26" t="n">
        <f aca="false">_xlfn.MINIFS(Transaction!$C$2:$C$8421,Transaction!$B$2:$B$8421,A659)</f>
        <v>46133</v>
      </c>
      <c r="J659" s="26" t="n">
        <f aca="false">_xlfn.MAXIFS(Transaction!$C$2:$C$8421,Transaction!$B$2:$B$8421,A659)</f>
        <v>46133</v>
      </c>
      <c r="K659" s="6" t="n">
        <f aca="false">COUNTIF(Transaction!$B$2:$B$8421,A659)</f>
        <v>1</v>
      </c>
      <c r="L659" s="10" t="n">
        <f aca="false">SUMIF(Transaction!$B$2:$B$8421,A659,Transaction!$H$2:$H$8421)</f>
        <v>2202</v>
      </c>
      <c r="M659" s="6" t="n">
        <f aca="false">Summary!$B$3-J659</f>
        <v>133</v>
      </c>
      <c r="N659" s="6" t="str">
        <f aca="false">IF(K659&gt;1,"Yes","No")</f>
        <v>No</v>
      </c>
      <c r="O659" s="6" t="s">
        <v>48</v>
      </c>
    </row>
    <row r="660" customFormat="false" ht="15" hidden="false" customHeight="false" outlineLevel="0" collapsed="false">
      <c r="A660" s="6" t="s">
        <v>1429</v>
      </c>
      <c r="B660" s="6" t="s">
        <v>1430</v>
      </c>
      <c r="C660" s="6" t="s">
        <v>85</v>
      </c>
      <c r="D660" s="6" t="n">
        <v>37</v>
      </c>
      <c r="E660" s="6" t="s">
        <v>76</v>
      </c>
      <c r="F660" s="6" t="s">
        <v>77</v>
      </c>
      <c r="G660" s="26" t="n">
        <v>46121</v>
      </c>
      <c r="H660" s="6" t="s">
        <v>102</v>
      </c>
      <c r="I660" s="26" t="n">
        <f aca="false">_xlfn.MINIFS(Transaction!$C$2:$C$8421,Transaction!$B$2:$B$8421,A660)</f>
        <v>46129</v>
      </c>
      <c r="J660" s="26" t="n">
        <f aca="false">_xlfn.MAXIFS(Transaction!$C$2:$C$8421,Transaction!$B$2:$B$8421,A660)</f>
        <v>46129</v>
      </c>
      <c r="K660" s="6" t="n">
        <f aca="false">COUNTIF(Transaction!$B$2:$B$8421,A660)</f>
        <v>1</v>
      </c>
      <c r="L660" s="10" t="n">
        <f aca="false">SUMIF(Transaction!$B$2:$B$8421,A660,Transaction!$H$2:$H$8421)</f>
        <v>2334</v>
      </c>
      <c r="M660" s="6" t="n">
        <f aca="false">Summary!$B$3-J660</f>
        <v>137</v>
      </c>
      <c r="N660" s="6" t="str">
        <f aca="false">IF(K660&gt;1,"Yes","No")</f>
        <v>No</v>
      </c>
      <c r="O660" s="6" t="s">
        <v>48</v>
      </c>
    </row>
    <row r="661" customFormat="false" ht="15" hidden="false" customHeight="false" outlineLevel="0" collapsed="false">
      <c r="A661" s="6" t="s">
        <v>1431</v>
      </c>
      <c r="B661" s="6" t="s">
        <v>1432</v>
      </c>
      <c r="C661" s="6" t="s">
        <v>85</v>
      </c>
      <c r="D661" s="6" t="n">
        <v>31</v>
      </c>
      <c r="E661" s="6" t="s">
        <v>91</v>
      </c>
      <c r="F661" s="6" t="s">
        <v>77</v>
      </c>
      <c r="G661" s="26" t="n">
        <v>46200</v>
      </c>
      <c r="H661" s="6" t="s">
        <v>102</v>
      </c>
      <c r="I661" s="26" t="n">
        <f aca="false">_xlfn.MINIFS(Transaction!$C$2:$C$8421,Transaction!$B$2:$B$8421,A661)</f>
        <v>46215</v>
      </c>
      <c r="J661" s="26" t="n">
        <f aca="false">_xlfn.MAXIFS(Transaction!$C$2:$C$8421,Transaction!$B$2:$B$8421,A661)</f>
        <v>46215</v>
      </c>
      <c r="K661" s="6" t="n">
        <f aca="false">COUNTIF(Transaction!$B$2:$B$8421,A661)</f>
        <v>1</v>
      </c>
      <c r="L661" s="10" t="n">
        <f aca="false">SUMIF(Transaction!$B$2:$B$8421,A661,Transaction!$H$2:$H$8421)</f>
        <v>240</v>
      </c>
      <c r="M661" s="6" t="n">
        <f aca="false">Summary!$B$3-J661</f>
        <v>51</v>
      </c>
      <c r="N661" s="6" t="str">
        <f aca="false">IF(K661&gt;1,"Yes","No")</f>
        <v>No</v>
      </c>
      <c r="O661" s="6" t="s">
        <v>47</v>
      </c>
    </row>
    <row r="662" customFormat="false" ht="15" hidden="false" customHeight="false" outlineLevel="0" collapsed="false">
      <c r="A662" s="6" t="s">
        <v>1433</v>
      </c>
      <c r="B662" s="6" t="s">
        <v>1434</v>
      </c>
      <c r="C662" s="6" t="s">
        <v>75</v>
      </c>
      <c r="D662" s="6" t="n">
        <v>28</v>
      </c>
      <c r="E662" s="6" t="s">
        <v>95</v>
      </c>
      <c r="F662" s="6" t="s">
        <v>95</v>
      </c>
      <c r="G662" s="26" t="n">
        <v>46093</v>
      </c>
      <c r="H662" s="6" t="s">
        <v>102</v>
      </c>
      <c r="I662" s="26" t="n">
        <f aca="false">_xlfn.MINIFS(Transaction!$C$2:$C$8421,Transaction!$B$2:$B$8421,A662)</f>
        <v>46117</v>
      </c>
      <c r="J662" s="26" t="n">
        <f aca="false">_xlfn.MAXIFS(Transaction!$C$2:$C$8421,Transaction!$B$2:$B$8421,A662)</f>
        <v>46251</v>
      </c>
      <c r="K662" s="6" t="n">
        <f aca="false">COUNTIF(Transaction!$B$2:$B$8421,A662)</f>
        <v>5</v>
      </c>
      <c r="L662" s="10" t="n">
        <f aca="false">SUMIF(Transaction!$B$2:$B$8421,A662,Transaction!$H$2:$H$8421)</f>
        <v>10098</v>
      </c>
      <c r="M662" s="6" t="n">
        <f aca="false">Summary!$B$3-J662</f>
        <v>15</v>
      </c>
      <c r="N662" s="6" t="str">
        <f aca="false">IF(K662&gt;1,"Yes","No")</f>
        <v>Yes</v>
      </c>
      <c r="O662" s="6" t="s">
        <v>46</v>
      </c>
    </row>
    <row r="663" customFormat="false" ht="15" hidden="false" customHeight="false" outlineLevel="0" collapsed="false">
      <c r="A663" s="6" t="s">
        <v>1435</v>
      </c>
      <c r="B663" s="6" t="s">
        <v>1436</v>
      </c>
      <c r="C663" s="6" t="s">
        <v>75</v>
      </c>
      <c r="D663" s="6" t="n">
        <v>25</v>
      </c>
      <c r="E663" s="6" t="s">
        <v>98</v>
      </c>
      <c r="F663" s="6" t="s">
        <v>99</v>
      </c>
      <c r="G663" s="26" t="n">
        <v>46085</v>
      </c>
      <c r="H663" s="6" t="s">
        <v>92</v>
      </c>
      <c r="I663" s="26" t="n">
        <f aca="false">_xlfn.MINIFS(Transaction!$C$2:$C$8421,Transaction!$B$2:$B$8421,A663)</f>
        <v>46130</v>
      </c>
      <c r="J663" s="26" t="n">
        <f aca="false">_xlfn.MAXIFS(Transaction!$C$2:$C$8421,Transaction!$B$2:$B$8421,A663)</f>
        <v>46130</v>
      </c>
      <c r="K663" s="6" t="n">
        <f aca="false">COUNTIF(Transaction!$B$2:$B$8421,A663)</f>
        <v>1</v>
      </c>
      <c r="L663" s="10" t="n">
        <f aca="false">SUMIF(Transaction!$B$2:$B$8421,A663,Transaction!$H$2:$H$8421)</f>
        <v>1009</v>
      </c>
      <c r="M663" s="6" t="n">
        <f aca="false">Summary!$B$3-J663</f>
        <v>136</v>
      </c>
      <c r="N663" s="6" t="str">
        <f aca="false">IF(K663&gt;1,"Yes","No")</f>
        <v>No</v>
      </c>
      <c r="O663" s="6" t="s">
        <v>48</v>
      </c>
    </row>
    <row r="664" customFormat="false" ht="15" hidden="false" customHeight="false" outlineLevel="0" collapsed="false">
      <c r="A664" s="6" t="s">
        <v>1437</v>
      </c>
      <c r="B664" s="6" t="s">
        <v>1438</v>
      </c>
      <c r="C664" s="6" t="s">
        <v>75</v>
      </c>
      <c r="D664" s="6" t="n">
        <v>41</v>
      </c>
      <c r="E664" s="6" t="s">
        <v>206</v>
      </c>
      <c r="F664" s="6" t="s">
        <v>106</v>
      </c>
      <c r="G664" s="26" t="n">
        <v>46127</v>
      </c>
      <c r="H664" s="6" t="s">
        <v>78</v>
      </c>
      <c r="I664" s="26" t="n">
        <f aca="false">_xlfn.MINIFS(Transaction!$C$2:$C$8421,Transaction!$B$2:$B$8421,A664)</f>
        <v>46206</v>
      </c>
      <c r="J664" s="26" t="n">
        <f aca="false">_xlfn.MAXIFS(Transaction!$C$2:$C$8421,Transaction!$B$2:$B$8421,A664)</f>
        <v>46206</v>
      </c>
      <c r="K664" s="6" t="n">
        <f aca="false">COUNTIF(Transaction!$B$2:$B$8421,A664)</f>
        <v>1</v>
      </c>
      <c r="L664" s="10" t="n">
        <f aca="false">SUMIF(Transaction!$B$2:$B$8421,A664,Transaction!$H$2:$H$8421)</f>
        <v>559</v>
      </c>
      <c r="M664" s="6" t="n">
        <f aca="false">Summary!$B$3-J664</f>
        <v>60</v>
      </c>
      <c r="N664" s="6" t="str">
        <f aca="false">IF(K664&gt;1,"Yes","No")</f>
        <v>No</v>
      </c>
      <c r="O664" s="6" t="s">
        <v>47</v>
      </c>
    </row>
    <row r="665" customFormat="false" ht="15" hidden="false" customHeight="false" outlineLevel="0" collapsed="false">
      <c r="A665" s="6" t="s">
        <v>1439</v>
      </c>
      <c r="B665" s="6" t="s">
        <v>1440</v>
      </c>
      <c r="C665" s="6" t="s">
        <v>85</v>
      </c>
      <c r="D665" s="6" t="n">
        <v>42</v>
      </c>
      <c r="E665" s="6" t="s">
        <v>81</v>
      </c>
      <c r="F665" s="6" t="s">
        <v>82</v>
      </c>
      <c r="G665" s="26" t="n">
        <v>46140</v>
      </c>
      <c r="H665" s="6" t="s">
        <v>92</v>
      </c>
      <c r="I665" s="26" t="n">
        <f aca="false">_xlfn.MINIFS(Transaction!$C$2:$C$8421,Transaction!$B$2:$B$8421,A665)</f>
        <v>46217</v>
      </c>
      <c r="J665" s="26" t="n">
        <f aca="false">_xlfn.MAXIFS(Transaction!$C$2:$C$8421,Transaction!$B$2:$B$8421,A665)</f>
        <v>46217</v>
      </c>
      <c r="K665" s="6" t="n">
        <f aca="false">COUNTIF(Transaction!$B$2:$B$8421,A665)</f>
        <v>1</v>
      </c>
      <c r="L665" s="10" t="n">
        <f aca="false">SUMIF(Transaction!$B$2:$B$8421,A665,Transaction!$H$2:$H$8421)</f>
        <v>1179</v>
      </c>
      <c r="M665" s="6" t="n">
        <f aca="false">Summary!$B$3-J665</f>
        <v>49</v>
      </c>
      <c r="N665" s="6" t="str">
        <f aca="false">IF(K665&gt;1,"Yes","No")</f>
        <v>No</v>
      </c>
      <c r="O665" s="6" t="s">
        <v>47</v>
      </c>
    </row>
    <row r="666" customFormat="false" ht="15" hidden="false" customHeight="false" outlineLevel="0" collapsed="false">
      <c r="A666" s="6" t="s">
        <v>1441</v>
      </c>
      <c r="B666" s="6" t="s">
        <v>1442</v>
      </c>
      <c r="C666" s="6" t="s">
        <v>75</v>
      </c>
      <c r="D666" s="6" t="n">
        <v>43</v>
      </c>
      <c r="E666" s="6" t="s">
        <v>95</v>
      </c>
      <c r="F666" s="6" t="s">
        <v>95</v>
      </c>
      <c r="G666" s="26" t="n">
        <v>46183</v>
      </c>
      <c r="H666" s="6" t="s">
        <v>92</v>
      </c>
      <c r="I666" s="26" t="n">
        <f aca="false">_xlfn.MINIFS(Transaction!$C$2:$C$8421,Transaction!$B$2:$B$8421,A666)</f>
        <v>46259</v>
      </c>
      <c r="J666" s="26" t="n">
        <f aca="false">_xlfn.MAXIFS(Transaction!$C$2:$C$8421,Transaction!$B$2:$B$8421,A666)</f>
        <v>46259</v>
      </c>
      <c r="K666" s="6" t="n">
        <f aca="false">COUNTIF(Transaction!$B$2:$B$8421,A666)</f>
        <v>1</v>
      </c>
      <c r="L666" s="10" t="n">
        <f aca="false">SUMIF(Transaction!$B$2:$B$8421,A666,Transaction!$H$2:$H$8421)</f>
        <v>2202</v>
      </c>
      <c r="M666" s="6" t="n">
        <f aca="false">Summary!$B$3-J666</f>
        <v>7</v>
      </c>
      <c r="N666" s="6" t="str">
        <f aca="false">IF(K666&gt;1,"Yes","No")</f>
        <v>No</v>
      </c>
      <c r="O666" s="6" t="s">
        <v>47</v>
      </c>
    </row>
    <row r="667" customFormat="false" ht="15" hidden="false" customHeight="false" outlineLevel="0" collapsed="false">
      <c r="A667" s="6" t="s">
        <v>1443</v>
      </c>
      <c r="B667" s="6" t="s">
        <v>1444</v>
      </c>
      <c r="C667" s="6" t="s">
        <v>85</v>
      </c>
      <c r="D667" s="6" t="n">
        <v>35</v>
      </c>
      <c r="E667" s="6" t="s">
        <v>264</v>
      </c>
      <c r="F667" s="6" t="s">
        <v>106</v>
      </c>
      <c r="G667" s="26" t="n">
        <v>46052</v>
      </c>
      <c r="H667" s="6" t="s">
        <v>88</v>
      </c>
      <c r="I667" s="26" t="n">
        <f aca="false">_xlfn.MINIFS(Transaction!$C$2:$C$8421,Transaction!$B$2:$B$8421,A667)</f>
        <v>46074</v>
      </c>
      <c r="J667" s="26" t="n">
        <f aca="false">_xlfn.MAXIFS(Transaction!$C$2:$C$8421,Transaction!$B$2:$B$8421,A667)</f>
        <v>46254</v>
      </c>
      <c r="K667" s="6" t="n">
        <f aca="false">COUNTIF(Transaction!$B$2:$B$8421,A667)</f>
        <v>5</v>
      </c>
      <c r="L667" s="10" t="n">
        <f aca="false">SUMIF(Transaction!$B$2:$B$8421,A667,Transaction!$H$2:$H$8421)</f>
        <v>20937</v>
      </c>
      <c r="M667" s="6" t="n">
        <f aca="false">Summary!$B$3-J667</f>
        <v>12</v>
      </c>
      <c r="N667" s="6" t="str">
        <f aca="false">IF(K667&gt;1,"Yes","No")</f>
        <v>Yes</v>
      </c>
      <c r="O667" s="6" t="s">
        <v>46</v>
      </c>
    </row>
    <row r="668" customFormat="false" ht="15" hidden="false" customHeight="false" outlineLevel="0" collapsed="false">
      <c r="A668" s="6" t="s">
        <v>1445</v>
      </c>
      <c r="B668" s="6" t="s">
        <v>1446</v>
      </c>
      <c r="C668" s="6" t="s">
        <v>85</v>
      </c>
      <c r="D668" s="6" t="n">
        <v>49</v>
      </c>
      <c r="E668" s="6" t="s">
        <v>126</v>
      </c>
      <c r="F668" s="6" t="s">
        <v>127</v>
      </c>
      <c r="G668" s="26" t="n">
        <v>46122</v>
      </c>
      <c r="H668" s="6" t="s">
        <v>78</v>
      </c>
      <c r="I668" s="26" t="n">
        <f aca="false">_xlfn.MINIFS(Transaction!$C$2:$C$8421,Transaction!$B$2:$B$8421,A668)</f>
        <v>46180</v>
      </c>
      <c r="J668" s="26" t="n">
        <f aca="false">_xlfn.MAXIFS(Transaction!$C$2:$C$8421,Transaction!$B$2:$B$8421,A668)</f>
        <v>46180</v>
      </c>
      <c r="K668" s="6" t="n">
        <f aca="false">COUNTIF(Transaction!$B$2:$B$8421,A668)</f>
        <v>1</v>
      </c>
      <c r="L668" s="10" t="n">
        <f aca="false">SUMIF(Transaction!$B$2:$B$8421,A668,Transaction!$H$2:$H$8421)</f>
        <v>1062</v>
      </c>
      <c r="M668" s="6" t="n">
        <f aca="false">Summary!$B$3-J668</f>
        <v>86</v>
      </c>
      <c r="N668" s="6" t="str">
        <f aca="false">IF(K668&gt;1,"Yes","No")</f>
        <v>No</v>
      </c>
      <c r="O668" s="6" t="s">
        <v>47</v>
      </c>
    </row>
    <row r="669" customFormat="false" ht="15" hidden="false" customHeight="false" outlineLevel="0" collapsed="false">
      <c r="A669" s="6" t="s">
        <v>1447</v>
      </c>
      <c r="B669" s="6" t="s">
        <v>1448</v>
      </c>
      <c r="C669" s="6" t="s">
        <v>85</v>
      </c>
      <c r="D669" s="6" t="n">
        <v>30</v>
      </c>
      <c r="E669" s="6" t="s">
        <v>146</v>
      </c>
      <c r="F669" s="6" t="s">
        <v>147</v>
      </c>
      <c r="G669" s="26" t="n">
        <v>45995</v>
      </c>
      <c r="H669" s="6" t="s">
        <v>78</v>
      </c>
      <c r="I669" s="26" t="n">
        <f aca="false">_xlfn.MINIFS(Transaction!$C$2:$C$8421,Transaction!$B$2:$B$8421,A669)</f>
        <v>46023</v>
      </c>
      <c r="J669" s="26" t="n">
        <f aca="false">_xlfn.MAXIFS(Transaction!$C$2:$C$8421,Transaction!$B$2:$B$8421,A669)</f>
        <v>46264</v>
      </c>
      <c r="K669" s="6" t="n">
        <f aca="false">COUNTIF(Transaction!$B$2:$B$8421,A669)</f>
        <v>11</v>
      </c>
      <c r="L669" s="10" t="n">
        <f aca="false">SUMIF(Transaction!$B$2:$B$8421,A669,Transaction!$H$2:$H$8421)</f>
        <v>25786</v>
      </c>
      <c r="M669" s="6" t="n">
        <f aca="false">Summary!$B$3-J669</f>
        <v>2</v>
      </c>
      <c r="N669" s="6" t="str">
        <f aca="false">IF(K669&gt;1,"Yes","No")</f>
        <v>Yes</v>
      </c>
      <c r="O669" s="6" t="s">
        <v>45</v>
      </c>
    </row>
    <row r="670" customFormat="false" ht="15" hidden="false" customHeight="false" outlineLevel="0" collapsed="false">
      <c r="A670" s="6" t="s">
        <v>1449</v>
      </c>
      <c r="B670" s="6" t="s">
        <v>1450</v>
      </c>
      <c r="C670" s="6" t="s">
        <v>75</v>
      </c>
      <c r="D670" s="6" t="n">
        <v>46</v>
      </c>
      <c r="E670" s="6" t="s">
        <v>81</v>
      </c>
      <c r="F670" s="6" t="s">
        <v>82</v>
      </c>
      <c r="G670" s="26" t="n">
        <v>46008</v>
      </c>
      <c r="H670" s="6" t="s">
        <v>78</v>
      </c>
      <c r="I670" s="26" t="n">
        <f aca="false">_xlfn.MINIFS(Transaction!$C$2:$C$8421,Transaction!$B$2:$B$8421,A670)</f>
        <v>46089</v>
      </c>
      <c r="J670" s="26" t="n">
        <f aca="false">_xlfn.MAXIFS(Transaction!$C$2:$C$8421,Transaction!$B$2:$B$8421,A670)</f>
        <v>46199</v>
      </c>
      <c r="K670" s="6" t="n">
        <f aca="false">COUNTIF(Transaction!$B$2:$B$8421,A670)</f>
        <v>4</v>
      </c>
      <c r="L670" s="10" t="n">
        <f aca="false">SUMIF(Transaction!$B$2:$B$8421,A670,Transaction!$H$2:$H$8421)</f>
        <v>4001</v>
      </c>
      <c r="M670" s="6" t="n">
        <f aca="false">Summary!$B$3-J670</f>
        <v>67</v>
      </c>
      <c r="N670" s="6" t="str">
        <f aca="false">IF(K670&gt;1,"Yes","No")</f>
        <v>Yes</v>
      </c>
      <c r="O670" s="6" t="s">
        <v>46</v>
      </c>
    </row>
    <row r="671" customFormat="false" ht="15" hidden="false" customHeight="false" outlineLevel="0" collapsed="false">
      <c r="A671" s="6" t="s">
        <v>1451</v>
      </c>
      <c r="B671" s="6" t="s">
        <v>1452</v>
      </c>
      <c r="C671" s="6" t="s">
        <v>75</v>
      </c>
      <c r="D671" s="6" t="n">
        <v>21</v>
      </c>
      <c r="E671" s="6" t="s">
        <v>95</v>
      </c>
      <c r="F671" s="6" t="s">
        <v>95</v>
      </c>
      <c r="G671" s="26" t="n">
        <v>46180</v>
      </c>
      <c r="H671" s="6" t="s">
        <v>78</v>
      </c>
      <c r="I671" s="26" t="n">
        <f aca="false">_xlfn.MINIFS(Transaction!$C$2:$C$8421,Transaction!$B$2:$B$8421,A671)</f>
        <v>46216</v>
      </c>
      <c r="J671" s="26" t="n">
        <f aca="false">_xlfn.MAXIFS(Transaction!$C$2:$C$8421,Transaction!$B$2:$B$8421,A671)</f>
        <v>46216</v>
      </c>
      <c r="K671" s="6" t="n">
        <f aca="false">COUNTIF(Transaction!$B$2:$B$8421,A671)</f>
        <v>1</v>
      </c>
      <c r="L671" s="10" t="n">
        <f aca="false">SUMIF(Transaction!$B$2:$B$8421,A671,Transaction!$H$2:$H$8421)</f>
        <v>2349</v>
      </c>
      <c r="M671" s="6" t="n">
        <f aca="false">Summary!$B$3-J671</f>
        <v>50</v>
      </c>
      <c r="N671" s="6" t="str">
        <f aca="false">IF(K671&gt;1,"Yes","No")</f>
        <v>No</v>
      </c>
      <c r="O671" s="6" t="s">
        <v>47</v>
      </c>
    </row>
    <row r="672" customFormat="false" ht="15" hidden="false" customHeight="false" outlineLevel="0" collapsed="false">
      <c r="A672" s="6" t="s">
        <v>1453</v>
      </c>
      <c r="B672" s="6" t="s">
        <v>1454</v>
      </c>
      <c r="C672" s="6" t="s">
        <v>85</v>
      </c>
      <c r="D672" s="6" t="n">
        <v>29</v>
      </c>
      <c r="E672" s="6" t="s">
        <v>176</v>
      </c>
      <c r="F672" s="6" t="s">
        <v>177</v>
      </c>
      <c r="G672" s="26" t="n">
        <v>46151</v>
      </c>
      <c r="H672" s="6" t="s">
        <v>123</v>
      </c>
      <c r="I672" s="26" t="n">
        <f aca="false">_xlfn.MINIFS(Transaction!$C$2:$C$8421,Transaction!$B$2:$B$8421,A672)</f>
        <v>46196</v>
      </c>
      <c r="J672" s="26" t="n">
        <f aca="false">_xlfn.MAXIFS(Transaction!$C$2:$C$8421,Transaction!$B$2:$B$8421,A672)</f>
        <v>46196</v>
      </c>
      <c r="K672" s="6" t="n">
        <f aca="false">COUNTIF(Transaction!$B$2:$B$8421,A672)</f>
        <v>1</v>
      </c>
      <c r="L672" s="10" t="n">
        <f aca="false">SUMIF(Transaction!$B$2:$B$8421,A672,Transaction!$H$2:$H$8421)</f>
        <v>3096</v>
      </c>
      <c r="M672" s="6" t="n">
        <f aca="false">Summary!$B$3-J672</f>
        <v>70</v>
      </c>
      <c r="N672" s="6" t="str">
        <f aca="false">IF(K672&gt;1,"Yes","No")</f>
        <v>No</v>
      </c>
      <c r="O672" s="6" t="s">
        <v>47</v>
      </c>
    </row>
    <row r="673" customFormat="false" ht="15" hidden="false" customHeight="false" outlineLevel="0" collapsed="false">
      <c r="A673" s="6" t="s">
        <v>1455</v>
      </c>
      <c r="B673" s="6" t="s">
        <v>1456</v>
      </c>
      <c r="C673" s="6" t="s">
        <v>75</v>
      </c>
      <c r="D673" s="6" t="n">
        <v>29</v>
      </c>
      <c r="E673" s="6" t="s">
        <v>176</v>
      </c>
      <c r="F673" s="6" t="s">
        <v>177</v>
      </c>
      <c r="G673" s="26" t="n">
        <v>46075</v>
      </c>
      <c r="H673" s="6" t="s">
        <v>115</v>
      </c>
      <c r="I673" s="26" t="n">
        <f aca="false">_xlfn.MINIFS(Transaction!$C$2:$C$8421,Transaction!$B$2:$B$8421,A673)</f>
        <v>46146</v>
      </c>
      <c r="J673" s="26" t="n">
        <f aca="false">_xlfn.MAXIFS(Transaction!$C$2:$C$8421,Transaction!$B$2:$B$8421,A673)</f>
        <v>46146</v>
      </c>
      <c r="K673" s="6" t="n">
        <f aca="false">COUNTIF(Transaction!$B$2:$B$8421,A673)</f>
        <v>1</v>
      </c>
      <c r="L673" s="10" t="n">
        <f aca="false">SUMIF(Transaction!$B$2:$B$8421,A673,Transaction!$H$2:$H$8421)</f>
        <v>528</v>
      </c>
      <c r="M673" s="6" t="n">
        <f aca="false">Summary!$B$3-J673</f>
        <v>120</v>
      </c>
      <c r="N673" s="6" t="str">
        <f aca="false">IF(K673&gt;1,"Yes","No")</f>
        <v>No</v>
      </c>
      <c r="O673" s="6" t="s">
        <v>48</v>
      </c>
    </row>
    <row r="674" customFormat="false" ht="15" hidden="false" customHeight="false" outlineLevel="0" collapsed="false">
      <c r="A674" s="6" t="s">
        <v>1457</v>
      </c>
      <c r="B674" s="6" t="s">
        <v>1458</v>
      </c>
      <c r="C674" s="6" t="s">
        <v>75</v>
      </c>
      <c r="D674" s="6" t="n">
        <v>18</v>
      </c>
      <c r="E674" s="6" t="s">
        <v>76</v>
      </c>
      <c r="F674" s="6" t="s">
        <v>77</v>
      </c>
      <c r="G674" s="26" t="n">
        <v>46090</v>
      </c>
      <c r="H674" s="6" t="s">
        <v>78</v>
      </c>
      <c r="I674" s="26" t="n">
        <f aca="false">_xlfn.MINIFS(Transaction!$C$2:$C$8421,Transaction!$B$2:$B$8421,A674)</f>
        <v>46169</v>
      </c>
      <c r="J674" s="26" t="n">
        <f aca="false">_xlfn.MAXIFS(Transaction!$C$2:$C$8421,Transaction!$B$2:$B$8421,A674)</f>
        <v>46169</v>
      </c>
      <c r="K674" s="6" t="n">
        <f aca="false">COUNTIF(Transaction!$B$2:$B$8421,A674)</f>
        <v>1</v>
      </c>
      <c r="L674" s="10" t="n">
        <f aca="false">SUMIF(Transaction!$B$2:$B$8421,A674,Transaction!$H$2:$H$8421)</f>
        <v>795</v>
      </c>
      <c r="M674" s="6" t="n">
        <f aca="false">Summary!$B$3-J674</f>
        <v>97</v>
      </c>
      <c r="N674" s="6" t="str">
        <f aca="false">IF(K674&gt;1,"Yes","No")</f>
        <v>No</v>
      </c>
      <c r="O674" s="6" t="s">
        <v>48</v>
      </c>
    </row>
    <row r="675" customFormat="false" ht="15" hidden="false" customHeight="false" outlineLevel="0" collapsed="false">
      <c r="A675" s="6" t="s">
        <v>1459</v>
      </c>
      <c r="B675" s="6" t="s">
        <v>1460</v>
      </c>
      <c r="C675" s="6" t="s">
        <v>85</v>
      </c>
      <c r="D675" s="6" t="n">
        <v>49</v>
      </c>
      <c r="E675" s="6" t="s">
        <v>121</v>
      </c>
      <c r="F675" s="6" t="s">
        <v>122</v>
      </c>
      <c r="G675" s="26" t="n">
        <v>45987</v>
      </c>
      <c r="H675" s="6" t="s">
        <v>88</v>
      </c>
      <c r="I675" s="26" t="n">
        <f aca="false">_xlfn.MINIFS(Transaction!$C$2:$C$8421,Transaction!$B$2:$B$8421,A675)</f>
        <v>46044</v>
      </c>
      <c r="J675" s="26" t="n">
        <f aca="false">_xlfn.MAXIFS(Transaction!$C$2:$C$8421,Transaction!$B$2:$B$8421,A675)</f>
        <v>46200</v>
      </c>
      <c r="K675" s="6" t="n">
        <f aca="false">COUNTIF(Transaction!$B$2:$B$8421,A675)</f>
        <v>3</v>
      </c>
      <c r="L675" s="10" t="n">
        <f aca="false">SUMIF(Transaction!$B$2:$B$8421,A675,Transaction!$H$2:$H$8421)</f>
        <v>4835</v>
      </c>
      <c r="M675" s="6" t="n">
        <f aca="false">Summary!$B$3-J675</f>
        <v>66</v>
      </c>
      <c r="N675" s="6" t="str">
        <f aca="false">IF(K675&gt;1,"Yes","No")</f>
        <v>Yes</v>
      </c>
      <c r="O675" s="6" t="s">
        <v>46</v>
      </c>
    </row>
    <row r="676" customFormat="false" ht="15" hidden="false" customHeight="false" outlineLevel="0" collapsed="false">
      <c r="A676" s="6" t="s">
        <v>1461</v>
      </c>
      <c r="B676" s="6" t="s">
        <v>1462</v>
      </c>
      <c r="C676" s="6" t="s">
        <v>85</v>
      </c>
      <c r="D676" s="6" t="n">
        <v>36</v>
      </c>
      <c r="E676" s="6" t="s">
        <v>134</v>
      </c>
      <c r="F676" s="6" t="s">
        <v>135</v>
      </c>
      <c r="G676" s="26" t="n">
        <v>46101</v>
      </c>
      <c r="H676" s="6" t="s">
        <v>78</v>
      </c>
      <c r="I676" s="26" t="n">
        <f aca="false">_xlfn.MINIFS(Transaction!$C$2:$C$8421,Transaction!$B$2:$B$8421,A676)</f>
        <v>46128</v>
      </c>
      <c r="J676" s="26" t="n">
        <f aca="false">_xlfn.MAXIFS(Transaction!$C$2:$C$8421,Transaction!$B$2:$B$8421,A676)</f>
        <v>46254</v>
      </c>
      <c r="K676" s="6" t="n">
        <f aca="false">COUNTIF(Transaction!$B$2:$B$8421,A676)</f>
        <v>4</v>
      </c>
      <c r="L676" s="10" t="n">
        <f aca="false">SUMIF(Transaction!$B$2:$B$8421,A676,Transaction!$H$2:$H$8421)</f>
        <v>10763</v>
      </c>
      <c r="M676" s="6" t="n">
        <f aca="false">Summary!$B$3-J676</f>
        <v>12</v>
      </c>
      <c r="N676" s="6" t="str">
        <f aca="false">IF(K676&gt;1,"Yes","No")</f>
        <v>Yes</v>
      </c>
      <c r="O676" s="6" t="s">
        <v>46</v>
      </c>
    </row>
    <row r="677" customFormat="false" ht="15" hidden="false" customHeight="false" outlineLevel="0" collapsed="false">
      <c r="A677" s="6" t="s">
        <v>1463</v>
      </c>
      <c r="B677" s="6" t="s">
        <v>1464</v>
      </c>
      <c r="C677" s="6" t="s">
        <v>75</v>
      </c>
      <c r="D677" s="6" t="n">
        <v>35</v>
      </c>
      <c r="E677" s="6" t="s">
        <v>86</v>
      </c>
      <c r="F677" s="6" t="s">
        <v>87</v>
      </c>
      <c r="G677" s="26" t="n">
        <v>45965</v>
      </c>
      <c r="H677" s="6" t="s">
        <v>102</v>
      </c>
      <c r="I677" s="26" t="n">
        <f aca="false">_xlfn.MINIFS(Transaction!$C$2:$C$8421,Transaction!$B$2:$B$8421,A677)</f>
        <v>46043</v>
      </c>
      <c r="J677" s="26" t="n">
        <f aca="false">_xlfn.MAXIFS(Transaction!$C$2:$C$8421,Transaction!$B$2:$B$8421,A677)</f>
        <v>46249</v>
      </c>
      <c r="K677" s="6" t="n">
        <f aca="false">COUNTIF(Transaction!$B$2:$B$8421,A677)</f>
        <v>11</v>
      </c>
      <c r="L677" s="10" t="n">
        <f aca="false">SUMIF(Transaction!$B$2:$B$8421,A677,Transaction!$H$2:$H$8421)</f>
        <v>17873</v>
      </c>
      <c r="M677" s="6" t="n">
        <f aca="false">Summary!$B$3-J677</f>
        <v>17</v>
      </c>
      <c r="N677" s="6" t="str">
        <f aca="false">IF(K677&gt;1,"Yes","No")</f>
        <v>Yes</v>
      </c>
      <c r="O677" s="6" t="s">
        <v>45</v>
      </c>
    </row>
    <row r="678" customFormat="false" ht="15" hidden="false" customHeight="false" outlineLevel="0" collapsed="false">
      <c r="A678" s="6" t="s">
        <v>1465</v>
      </c>
      <c r="B678" s="6" t="s">
        <v>1466</v>
      </c>
      <c r="C678" s="6" t="s">
        <v>85</v>
      </c>
      <c r="D678" s="6" t="n">
        <v>35</v>
      </c>
      <c r="E678" s="6" t="s">
        <v>121</v>
      </c>
      <c r="F678" s="6" t="s">
        <v>122</v>
      </c>
      <c r="G678" s="26" t="n">
        <v>46018</v>
      </c>
      <c r="H678" s="6" t="s">
        <v>78</v>
      </c>
      <c r="I678" s="26" t="n">
        <f aca="false">_xlfn.MINIFS(Transaction!$C$2:$C$8421,Transaction!$B$2:$B$8421,A678)</f>
        <v>46043</v>
      </c>
      <c r="J678" s="26" t="n">
        <f aca="false">_xlfn.MAXIFS(Transaction!$C$2:$C$8421,Transaction!$B$2:$B$8421,A678)</f>
        <v>46263</v>
      </c>
      <c r="K678" s="6" t="n">
        <f aca="false">COUNTIF(Transaction!$B$2:$B$8421,A678)</f>
        <v>9</v>
      </c>
      <c r="L678" s="10" t="n">
        <f aca="false">SUMIF(Transaction!$B$2:$B$8421,A678,Transaction!$H$2:$H$8421)</f>
        <v>38719</v>
      </c>
      <c r="M678" s="6" t="n">
        <f aca="false">Summary!$B$3-J678</f>
        <v>3</v>
      </c>
      <c r="N678" s="6" t="str">
        <f aca="false">IF(K678&gt;1,"Yes","No")</f>
        <v>Yes</v>
      </c>
      <c r="O678" s="6" t="s">
        <v>45</v>
      </c>
    </row>
    <row r="679" customFormat="false" ht="15" hidden="false" customHeight="false" outlineLevel="0" collapsed="false">
      <c r="A679" s="6" t="s">
        <v>1467</v>
      </c>
      <c r="B679" s="6" t="s">
        <v>1468</v>
      </c>
      <c r="C679" s="6" t="s">
        <v>85</v>
      </c>
      <c r="D679" s="6" t="n">
        <v>36</v>
      </c>
      <c r="E679" s="6" t="s">
        <v>121</v>
      </c>
      <c r="F679" s="6" t="s">
        <v>122</v>
      </c>
      <c r="G679" s="26" t="n">
        <v>46188</v>
      </c>
      <c r="H679" s="6" t="s">
        <v>102</v>
      </c>
      <c r="I679" s="26" t="n">
        <f aca="false">_xlfn.MINIFS(Transaction!$C$2:$C$8421,Transaction!$B$2:$B$8421,A679)</f>
        <v>46265</v>
      </c>
      <c r="J679" s="26" t="n">
        <f aca="false">_xlfn.MAXIFS(Transaction!$C$2:$C$8421,Transaction!$B$2:$B$8421,A679)</f>
        <v>46265</v>
      </c>
      <c r="K679" s="6" t="n">
        <f aca="false">COUNTIF(Transaction!$B$2:$B$8421,A679)</f>
        <v>1</v>
      </c>
      <c r="L679" s="10" t="n">
        <f aca="false">SUMIF(Transaction!$B$2:$B$8421,A679,Transaction!$H$2:$H$8421)</f>
        <v>1101</v>
      </c>
      <c r="M679" s="6" t="n">
        <f aca="false">Summary!$B$3-J679</f>
        <v>1</v>
      </c>
      <c r="N679" s="6" t="str">
        <f aca="false">IF(K679&gt;1,"Yes","No")</f>
        <v>No</v>
      </c>
      <c r="O679" s="6" t="s">
        <v>47</v>
      </c>
    </row>
    <row r="680" customFormat="false" ht="15" hidden="false" customHeight="false" outlineLevel="0" collapsed="false">
      <c r="A680" s="6" t="s">
        <v>1469</v>
      </c>
      <c r="B680" s="6" t="s">
        <v>1470</v>
      </c>
      <c r="C680" s="6" t="s">
        <v>75</v>
      </c>
      <c r="D680" s="6" t="n">
        <v>47</v>
      </c>
      <c r="E680" s="6" t="s">
        <v>121</v>
      </c>
      <c r="F680" s="6" t="s">
        <v>122</v>
      </c>
      <c r="G680" s="26" t="n">
        <v>46135</v>
      </c>
      <c r="H680" s="6" t="s">
        <v>92</v>
      </c>
      <c r="I680" s="26" t="n">
        <f aca="false">_xlfn.MINIFS(Transaction!$C$2:$C$8421,Transaction!$B$2:$B$8421,A680)</f>
        <v>46186</v>
      </c>
      <c r="J680" s="26" t="n">
        <f aca="false">_xlfn.MAXIFS(Transaction!$C$2:$C$8421,Transaction!$B$2:$B$8421,A680)</f>
        <v>46186</v>
      </c>
      <c r="K680" s="6" t="n">
        <f aca="false">COUNTIF(Transaction!$B$2:$B$8421,A680)</f>
        <v>1</v>
      </c>
      <c r="L680" s="10" t="n">
        <f aca="false">SUMIF(Transaction!$B$2:$B$8421,A680,Transaction!$H$2:$H$8421)</f>
        <v>1835</v>
      </c>
      <c r="M680" s="6" t="n">
        <f aca="false">Summary!$B$3-J680</f>
        <v>80</v>
      </c>
      <c r="N680" s="6" t="str">
        <f aca="false">IF(K680&gt;1,"Yes","No")</f>
        <v>No</v>
      </c>
      <c r="O680" s="6" t="s">
        <v>47</v>
      </c>
    </row>
    <row r="681" customFormat="false" ht="15" hidden="false" customHeight="false" outlineLevel="0" collapsed="false">
      <c r="A681" s="6" t="s">
        <v>1471</v>
      </c>
      <c r="B681" s="6" t="s">
        <v>1472</v>
      </c>
      <c r="C681" s="6" t="s">
        <v>75</v>
      </c>
      <c r="D681" s="6" t="n">
        <v>46</v>
      </c>
      <c r="E681" s="6" t="s">
        <v>121</v>
      </c>
      <c r="F681" s="6" t="s">
        <v>122</v>
      </c>
      <c r="G681" s="26" t="n">
        <v>46060</v>
      </c>
      <c r="H681" s="6" t="s">
        <v>102</v>
      </c>
      <c r="I681" s="26" t="n">
        <f aca="false">_xlfn.MINIFS(Transaction!$C$2:$C$8421,Transaction!$B$2:$B$8421,A681)</f>
        <v>46095</v>
      </c>
      <c r="J681" s="26" t="n">
        <f aca="false">_xlfn.MAXIFS(Transaction!$C$2:$C$8421,Transaction!$B$2:$B$8421,A681)</f>
        <v>46257</v>
      </c>
      <c r="K681" s="6" t="n">
        <f aca="false">COUNTIF(Transaction!$B$2:$B$8421,A681)</f>
        <v>8</v>
      </c>
      <c r="L681" s="10" t="n">
        <f aca="false">SUMIF(Transaction!$B$2:$B$8421,A681,Transaction!$H$2:$H$8421)</f>
        <v>14054</v>
      </c>
      <c r="M681" s="6" t="n">
        <f aca="false">Summary!$B$3-J681</f>
        <v>9</v>
      </c>
      <c r="N681" s="6" t="str">
        <f aca="false">IF(K681&gt;1,"Yes","No")</f>
        <v>Yes</v>
      </c>
      <c r="O681" s="6" t="s">
        <v>45</v>
      </c>
    </row>
    <row r="682" customFormat="false" ht="15" hidden="false" customHeight="false" outlineLevel="0" collapsed="false">
      <c r="A682" s="6" t="s">
        <v>1473</v>
      </c>
      <c r="B682" s="6" t="s">
        <v>1474</v>
      </c>
      <c r="C682" s="6" t="s">
        <v>85</v>
      </c>
      <c r="D682" s="6" t="n">
        <v>30</v>
      </c>
      <c r="E682" s="6" t="s">
        <v>76</v>
      </c>
      <c r="F682" s="6" t="s">
        <v>77</v>
      </c>
      <c r="G682" s="26" t="n">
        <v>45943</v>
      </c>
      <c r="H682" s="6" t="s">
        <v>123</v>
      </c>
      <c r="I682" s="26" t="n">
        <f aca="false">_xlfn.MINIFS(Transaction!$C$2:$C$8421,Transaction!$B$2:$B$8421,A682)</f>
        <v>46029</v>
      </c>
      <c r="J682" s="26" t="n">
        <f aca="false">_xlfn.MAXIFS(Transaction!$C$2:$C$8421,Transaction!$B$2:$B$8421,A682)</f>
        <v>46246</v>
      </c>
      <c r="K682" s="6" t="n">
        <f aca="false">COUNTIF(Transaction!$B$2:$B$8421,A682)</f>
        <v>5</v>
      </c>
      <c r="L682" s="10" t="n">
        <f aca="false">SUMIF(Transaction!$B$2:$B$8421,A682,Transaction!$H$2:$H$8421)</f>
        <v>6793</v>
      </c>
      <c r="M682" s="6" t="n">
        <f aca="false">Summary!$B$3-J682</f>
        <v>20</v>
      </c>
      <c r="N682" s="6" t="str">
        <f aca="false">IF(K682&gt;1,"Yes","No")</f>
        <v>Yes</v>
      </c>
      <c r="O682" s="6" t="s">
        <v>46</v>
      </c>
    </row>
    <row r="683" customFormat="false" ht="15" hidden="false" customHeight="false" outlineLevel="0" collapsed="false">
      <c r="A683" s="6" t="s">
        <v>1475</v>
      </c>
      <c r="B683" s="6" t="s">
        <v>1476</v>
      </c>
      <c r="C683" s="6" t="s">
        <v>75</v>
      </c>
      <c r="D683" s="6" t="n">
        <v>34</v>
      </c>
      <c r="E683" s="6" t="s">
        <v>134</v>
      </c>
      <c r="F683" s="6" t="s">
        <v>135</v>
      </c>
      <c r="G683" s="26" t="n">
        <v>46201</v>
      </c>
      <c r="H683" s="6" t="s">
        <v>115</v>
      </c>
      <c r="I683" s="26" t="n">
        <f aca="false">_xlfn.MINIFS(Transaction!$C$2:$C$8421,Transaction!$B$2:$B$8421,A683)</f>
        <v>46201</v>
      </c>
      <c r="J683" s="26" t="n">
        <f aca="false">_xlfn.MAXIFS(Transaction!$C$2:$C$8421,Transaction!$B$2:$B$8421,A683)</f>
        <v>46201</v>
      </c>
      <c r="K683" s="6" t="n">
        <f aca="false">COUNTIF(Transaction!$B$2:$B$8421,A683)</f>
        <v>1</v>
      </c>
      <c r="L683" s="10" t="n">
        <f aca="false">SUMIF(Transaction!$B$2:$B$8421,A683,Transaction!$H$2:$H$8421)</f>
        <v>1954</v>
      </c>
      <c r="M683" s="6" t="n">
        <f aca="false">Summary!$B$3-J683</f>
        <v>65</v>
      </c>
      <c r="N683" s="6" t="str">
        <f aca="false">IF(K683&gt;1,"Yes","No")</f>
        <v>No</v>
      </c>
      <c r="O683" s="6" t="s">
        <v>47</v>
      </c>
    </row>
    <row r="684" customFormat="false" ht="15" hidden="false" customHeight="false" outlineLevel="0" collapsed="false">
      <c r="A684" s="6" t="s">
        <v>1477</v>
      </c>
      <c r="B684" s="6" t="s">
        <v>1478</v>
      </c>
      <c r="C684" s="6" t="s">
        <v>75</v>
      </c>
      <c r="D684" s="6" t="n">
        <v>33</v>
      </c>
      <c r="E684" s="6" t="s">
        <v>105</v>
      </c>
      <c r="F684" s="6" t="s">
        <v>106</v>
      </c>
      <c r="G684" s="26" t="n">
        <v>45942</v>
      </c>
      <c r="H684" s="6" t="s">
        <v>123</v>
      </c>
      <c r="I684" s="26" t="n">
        <f aca="false">_xlfn.MINIFS(Transaction!$C$2:$C$8421,Transaction!$B$2:$B$8421,A684)</f>
        <v>46023</v>
      </c>
      <c r="J684" s="26" t="n">
        <f aca="false">_xlfn.MAXIFS(Transaction!$C$2:$C$8421,Transaction!$B$2:$B$8421,A684)</f>
        <v>46260</v>
      </c>
      <c r="K684" s="6" t="n">
        <f aca="false">COUNTIF(Transaction!$B$2:$B$8421,A684)</f>
        <v>7</v>
      </c>
      <c r="L684" s="10" t="n">
        <f aca="false">SUMIF(Transaction!$B$2:$B$8421,A684,Transaction!$H$2:$H$8421)</f>
        <v>7186</v>
      </c>
      <c r="M684" s="6" t="n">
        <f aca="false">Summary!$B$3-J684</f>
        <v>6</v>
      </c>
      <c r="N684" s="6" t="str">
        <f aca="false">IF(K684&gt;1,"Yes","No")</f>
        <v>Yes</v>
      </c>
      <c r="O684" s="6" t="s">
        <v>45</v>
      </c>
    </row>
    <row r="685" customFormat="false" ht="15" hidden="false" customHeight="false" outlineLevel="0" collapsed="false">
      <c r="A685" s="6" t="s">
        <v>1479</v>
      </c>
      <c r="B685" s="6" t="s">
        <v>1480</v>
      </c>
      <c r="C685" s="6" t="s">
        <v>85</v>
      </c>
      <c r="D685" s="6" t="n">
        <v>38</v>
      </c>
      <c r="E685" s="6" t="s">
        <v>91</v>
      </c>
      <c r="F685" s="6" t="s">
        <v>77</v>
      </c>
      <c r="G685" s="26" t="n">
        <v>46071</v>
      </c>
      <c r="H685" s="6" t="s">
        <v>102</v>
      </c>
      <c r="I685" s="26" t="n">
        <f aca="false">_xlfn.MINIFS(Transaction!$C$2:$C$8421,Transaction!$B$2:$B$8421,A685)</f>
        <v>46153</v>
      </c>
      <c r="J685" s="26" t="n">
        <f aca="false">_xlfn.MAXIFS(Transaction!$C$2:$C$8421,Transaction!$B$2:$B$8421,A685)</f>
        <v>46153</v>
      </c>
      <c r="K685" s="6" t="n">
        <f aca="false">COUNTIF(Transaction!$B$2:$B$8421,A685)</f>
        <v>1</v>
      </c>
      <c r="L685" s="10" t="n">
        <f aca="false">SUMIF(Transaction!$B$2:$B$8421,A685,Transaction!$H$2:$H$8421)</f>
        <v>980</v>
      </c>
      <c r="M685" s="6" t="n">
        <f aca="false">Summary!$B$3-J685</f>
        <v>113</v>
      </c>
      <c r="N685" s="6" t="str">
        <f aca="false">IF(K685&gt;1,"Yes","No")</f>
        <v>No</v>
      </c>
      <c r="O685" s="6" t="s">
        <v>48</v>
      </c>
    </row>
    <row r="686" customFormat="false" ht="15" hidden="false" customHeight="false" outlineLevel="0" collapsed="false">
      <c r="A686" s="6" t="s">
        <v>1481</v>
      </c>
      <c r="B686" s="6" t="s">
        <v>1482</v>
      </c>
      <c r="C686" s="6" t="s">
        <v>85</v>
      </c>
      <c r="D686" s="6" t="n">
        <v>32</v>
      </c>
      <c r="E686" s="6" t="s">
        <v>321</v>
      </c>
      <c r="F686" s="6" t="s">
        <v>321</v>
      </c>
      <c r="G686" s="26" t="n">
        <v>46026</v>
      </c>
      <c r="H686" s="6" t="s">
        <v>102</v>
      </c>
      <c r="I686" s="26" t="n">
        <f aca="false">_xlfn.MINIFS(Transaction!$C$2:$C$8421,Transaction!$B$2:$B$8421,A686)</f>
        <v>46053</v>
      </c>
      <c r="J686" s="26" t="n">
        <f aca="false">_xlfn.MAXIFS(Transaction!$C$2:$C$8421,Transaction!$B$2:$B$8421,A686)</f>
        <v>46262</v>
      </c>
      <c r="K686" s="6" t="n">
        <f aca="false">COUNTIF(Transaction!$B$2:$B$8421,A686)</f>
        <v>6</v>
      </c>
      <c r="L686" s="10" t="n">
        <f aca="false">SUMIF(Transaction!$B$2:$B$8421,A686,Transaction!$H$2:$H$8421)</f>
        <v>12261</v>
      </c>
      <c r="M686" s="6" t="n">
        <f aca="false">Summary!$B$3-J686</f>
        <v>4</v>
      </c>
      <c r="N686" s="6" t="str">
        <f aca="false">IF(K686&gt;1,"Yes","No")</f>
        <v>Yes</v>
      </c>
      <c r="O686" s="6" t="s">
        <v>45</v>
      </c>
    </row>
    <row r="687" customFormat="false" ht="15" hidden="false" customHeight="false" outlineLevel="0" collapsed="false">
      <c r="A687" s="6" t="s">
        <v>1483</v>
      </c>
      <c r="B687" s="6" t="s">
        <v>1484</v>
      </c>
      <c r="C687" s="6" t="s">
        <v>85</v>
      </c>
      <c r="D687" s="6" t="n">
        <v>36</v>
      </c>
      <c r="E687" s="6" t="s">
        <v>134</v>
      </c>
      <c r="F687" s="6" t="s">
        <v>135</v>
      </c>
      <c r="G687" s="26" t="n">
        <v>45975</v>
      </c>
      <c r="H687" s="6" t="s">
        <v>115</v>
      </c>
      <c r="I687" s="26" t="n">
        <f aca="false">_xlfn.MINIFS(Transaction!$C$2:$C$8421,Transaction!$B$2:$B$8421,A687)</f>
        <v>46053</v>
      </c>
      <c r="J687" s="26" t="n">
        <f aca="false">_xlfn.MAXIFS(Transaction!$C$2:$C$8421,Transaction!$B$2:$B$8421,A687)</f>
        <v>46206</v>
      </c>
      <c r="K687" s="6" t="n">
        <f aca="false">COUNTIF(Transaction!$B$2:$B$8421,A687)</f>
        <v>4</v>
      </c>
      <c r="L687" s="10" t="n">
        <f aca="false">SUMIF(Transaction!$B$2:$B$8421,A687,Transaction!$H$2:$H$8421)</f>
        <v>8976</v>
      </c>
      <c r="M687" s="6" t="n">
        <f aca="false">Summary!$B$3-J687</f>
        <v>60</v>
      </c>
      <c r="N687" s="6" t="str">
        <f aca="false">IF(K687&gt;1,"Yes","No")</f>
        <v>Yes</v>
      </c>
      <c r="O687" s="6" t="s">
        <v>46</v>
      </c>
    </row>
    <row r="688" customFormat="false" ht="15" hidden="false" customHeight="false" outlineLevel="0" collapsed="false">
      <c r="A688" s="6" t="s">
        <v>1485</v>
      </c>
      <c r="B688" s="6" t="s">
        <v>1486</v>
      </c>
      <c r="C688" s="6" t="s">
        <v>85</v>
      </c>
      <c r="D688" s="6" t="n">
        <v>41</v>
      </c>
      <c r="E688" s="6" t="s">
        <v>121</v>
      </c>
      <c r="F688" s="6" t="s">
        <v>122</v>
      </c>
      <c r="G688" s="26" t="n">
        <v>46207</v>
      </c>
      <c r="H688" s="6" t="s">
        <v>115</v>
      </c>
      <c r="I688" s="26" t="n">
        <f aca="false">_xlfn.MINIFS(Transaction!$C$2:$C$8421,Transaction!$B$2:$B$8421,A688)</f>
        <v>46237</v>
      </c>
      <c r="J688" s="26" t="n">
        <f aca="false">_xlfn.MAXIFS(Transaction!$C$2:$C$8421,Transaction!$B$2:$B$8421,A688)</f>
        <v>46237</v>
      </c>
      <c r="K688" s="6" t="n">
        <f aca="false">COUNTIF(Transaction!$B$2:$B$8421,A688)</f>
        <v>1</v>
      </c>
      <c r="L688" s="10" t="n">
        <f aca="false">SUMIF(Transaction!$B$2:$B$8421,A688,Transaction!$H$2:$H$8421)</f>
        <v>3132</v>
      </c>
      <c r="M688" s="6" t="n">
        <f aca="false">Summary!$B$3-J688</f>
        <v>29</v>
      </c>
      <c r="N688" s="6" t="str">
        <f aca="false">IF(K688&gt;1,"Yes","No")</f>
        <v>No</v>
      </c>
      <c r="O688" s="6" t="s">
        <v>47</v>
      </c>
    </row>
    <row r="689" customFormat="false" ht="15" hidden="false" customHeight="false" outlineLevel="0" collapsed="false">
      <c r="A689" s="6" t="s">
        <v>1487</v>
      </c>
      <c r="B689" s="6" t="s">
        <v>1488</v>
      </c>
      <c r="C689" s="6" t="s">
        <v>85</v>
      </c>
      <c r="D689" s="6" t="n">
        <v>42</v>
      </c>
      <c r="E689" s="6" t="s">
        <v>76</v>
      </c>
      <c r="F689" s="6" t="s">
        <v>77</v>
      </c>
      <c r="G689" s="26" t="n">
        <v>45964</v>
      </c>
      <c r="H689" s="6" t="s">
        <v>102</v>
      </c>
      <c r="I689" s="26" t="n">
        <f aca="false">_xlfn.MINIFS(Transaction!$C$2:$C$8421,Transaction!$B$2:$B$8421,A689)</f>
        <v>46045</v>
      </c>
      <c r="J689" s="26" t="n">
        <f aca="false">_xlfn.MAXIFS(Transaction!$C$2:$C$8421,Transaction!$B$2:$B$8421,A689)</f>
        <v>46254</v>
      </c>
      <c r="K689" s="6" t="n">
        <f aca="false">COUNTIF(Transaction!$B$2:$B$8421,A689)</f>
        <v>11</v>
      </c>
      <c r="L689" s="10" t="n">
        <f aca="false">SUMIF(Transaction!$B$2:$B$8421,A689,Transaction!$H$2:$H$8421)</f>
        <v>17698</v>
      </c>
      <c r="M689" s="6" t="n">
        <f aca="false">Summary!$B$3-J689</f>
        <v>12</v>
      </c>
      <c r="N689" s="6" t="str">
        <f aca="false">IF(K689&gt;1,"Yes","No")</f>
        <v>Yes</v>
      </c>
      <c r="O689" s="6" t="s">
        <v>45</v>
      </c>
    </row>
    <row r="690" customFormat="false" ht="15" hidden="false" customHeight="false" outlineLevel="0" collapsed="false">
      <c r="A690" s="6" t="s">
        <v>1489</v>
      </c>
      <c r="B690" s="6" t="s">
        <v>1490</v>
      </c>
      <c r="C690" s="6" t="s">
        <v>85</v>
      </c>
      <c r="D690" s="6" t="n">
        <v>36</v>
      </c>
      <c r="E690" s="6" t="s">
        <v>81</v>
      </c>
      <c r="F690" s="6" t="s">
        <v>82</v>
      </c>
      <c r="G690" s="26" t="n">
        <v>46165</v>
      </c>
      <c r="H690" s="6" t="s">
        <v>115</v>
      </c>
      <c r="I690" s="26" t="n">
        <f aca="false">_xlfn.MINIFS(Transaction!$C$2:$C$8421,Transaction!$B$2:$B$8421,A690)</f>
        <v>46238</v>
      </c>
      <c r="J690" s="26" t="n">
        <f aca="false">_xlfn.MAXIFS(Transaction!$C$2:$C$8421,Transaction!$B$2:$B$8421,A690)</f>
        <v>46238</v>
      </c>
      <c r="K690" s="6" t="n">
        <f aca="false">COUNTIF(Transaction!$B$2:$B$8421,A690)</f>
        <v>1</v>
      </c>
      <c r="L690" s="10" t="n">
        <f aca="false">SUMIF(Transaction!$B$2:$B$8421,A690,Transaction!$H$2:$H$8421)</f>
        <v>559</v>
      </c>
      <c r="M690" s="6" t="n">
        <f aca="false">Summary!$B$3-J690</f>
        <v>28</v>
      </c>
      <c r="N690" s="6" t="str">
        <f aca="false">IF(K690&gt;1,"Yes","No")</f>
        <v>No</v>
      </c>
      <c r="O690" s="6" t="s">
        <v>47</v>
      </c>
    </row>
    <row r="691" customFormat="false" ht="15" hidden="false" customHeight="false" outlineLevel="0" collapsed="false">
      <c r="A691" s="6" t="s">
        <v>1491</v>
      </c>
      <c r="B691" s="6" t="s">
        <v>1492</v>
      </c>
      <c r="C691" s="6" t="s">
        <v>75</v>
      </c>
      <c r="D691" s="6" t="n">
        <v>31</v>
      </c>
      <c r="E691" s="6" t="s">
        <v>91</v>
      </c>
      <c r="F691" s="6" t="s">
        <v>77</v>
      </c>
      <c r="G691" s="26" t="n">
        <v>46058</v>
      </c>
      <c r="H691" s="6" t="s">
        <v>102</v>
      </c>
      <c r="I691" s="26" t="n">
        <f aca="false">_xlfn.MINIFS(Transaction!$C$2:$C$8421,Transaction!$B$2:$B$8421,A691)</f>
        <v>46058</v>
      </c>
      <c r="J691" s="26" t="n">
        <f aca="false">_xlfn.MAXIFS(Transaction!$C$2:$C$8421,Transaction!$B$2:$B$8421,A691)</f>
        <v>46058</v>
      </c>
      <c r="K691" s="6" t="n">
        <f aca="false">COUNTIF(Transaction!$B$2:$B$8421,A691)</f>
        <v>1</v>
      </c>
      <c r="L691" s="10" t="n">
        <f aca="false">SUMIF(Transaction!$B$2:$B$8421,A691,Transaction!$H$2:$H$8421)</f>
        <v>2232</v>
      </c>
      <c r="M691" s="6" t="n">
        <f aca="false">Summary!$B$3-J691</f>
        <v>208</v>
      </c>
      <c r="N691" s="6" t="str">
        <f aca="false">IF(K691&gt;1,"Yes","No")</f>
        <v>No</v>
      </c>
      <c r="O691" s="6" t="s">
        <v>49</v>
      </c>
    </row>
    <row r="692" customFormat="false" ht="15" hidden="false" customHeight="false" outlineLevel="0" collapsed="false">
      <c r="A692" s="6" t="s">
        <v>1493</v>
      </c>
      <c r="B692" s="6" t="s">
        <v>1494</v>
      </c>
      <c r="C692" s="6" t="s">
        <v>75</v>
      </c>
      <c r="D692" s="6" t="n">
        <v>32</v>
      </c>
      <c r="E692" s="6" t="s">
        <v>321</v>
      </c>
      <c r="F692" s="6" t="s">
        <v>321</v>
      </c>
      <c r="G692" s="26" t="n">
        <v>46160</v>
      </c>
      <c r="H692" s="6" t="s">
        <v>78</v>
      </c>
      <c r="I692" s="26" t="n">
        <f aca="false">_xlfn.MINIFS(Transaction!$C$2:$C$8421,Transaction!$B$2:$B$8421,A692)</f>
        <v>46195</v>
      </c>
      <c r="J692" s="26" t="n">
        <f aca="false">_xlfn.MAXIFS(Transaction!$C$2:$C$8421,Transaction!$B$2:$B$8421,A692)</f>
        <v>46228</v>
      </c>
      <c r="K692" s="6" t="n">
        <f aca="false">COUNTIF(Transaction!$B$2:$B$8421,A692)</f>
        <v>2</v>
      </c>
      <c r="L692" s="10" t="n">
        <f aca="false">SUMIF(Transaction!$B$2:$B$8421,A692,Transaction!$H$2:$H$8421)</f>
        <v>1799</v>
      </c>
      <c r="M692" s="6" t="n">
        <f aca="false">Summary!$B$3-J692</f>
        <v>38</v>
      </c>
      <c r="N692" s="6" t="str">
        <f aca="false">IF(K692&gt;1,"Yes","No")</f>
        <v>Yes</v>
      </c>
      <c r="O692" s="6" t="s">
        <v>46</v>
      </c>
    </row>
    <row r="693" customFormat="false" ht="15" hidden="false" customHeight="false" outlineLevel="0" collapsed="false">
      <c r="A693" s="6" t="s">
        <v>1495</v>
      </c>
      <c r="B693" s="6" t="s">
        <v>1496</v>
      </c>
      <c r="C693" s="6" t="s">
        <v>75</v>
      </c>
      <c r="D693" s="6" t="n">
        <v>33</v>
      </c>
      <c r="E693" s="6" t="s">
        <v>134</v>
      </c>
      <c r="F693" s="6" t="s">
        <v>135</v>
      </c>
      <c r="G693" s="26" t="n">
        <v>46002</v>
      </c>
      <c r="H693" s="6" t="s">
        <v>115</v>
      </c>
      <c r="I693" s="26" t="n">
        <f aca="false">_xlfn.MINIFS(Transaction!$C$2:$C$8421,Transaction!$B$2:$B$8421,A693)</f>
        <v>46058</v>
      </c>
      <c r="J693" s="26" t="n">
        <f aca="false">_xlfn.MAXIFS(Transaction!$C$2:$C$8421,Transaction!$B$2:$B$8421,A693)</f>
        <v>46258</v>
      </c>
      <c r="K693" s="6" t="n">
        <f aca="false">COUNTIF(Transaction!$B$2:$B$8421,A693)</f>
        <v>7</v>
      </c>
      <c r="L693" s="10" t="n">
        <f aca="false">SUMIF(Transaction!$B$2:$B$8421,A693,Transaction!$H$2:$H$8421)</f>
        <v>18095</v>
      </c>
      <c r="M693" s="6" t="n">
        <f aca="false">Summary!$B$3-J693</f>
        <v>8</v>
      </c>
      <c r="N693" s="6" t="str">
        <f aca="false">IF(K693&gt;1,"Yes","No")</f>
        <v>Yes</v>
      </c>
      <c r="O693" s="6" t="s">
        <v>45</v>
      </c>
    </row>
    <row r="694" customFormat="false" ht="15" hidden="false" customHeight="false" outlineLevel="0" collapsed="false">
      <c r="A694" s="6" t="s">
        <v>1497</v>
      </c>
      <c r="B694" s="6" t="s">
        <v>1498</v>
      </c>
      <c r="C694" s="6" t="s">
        <v>85</v>
      </c>
      <c r="D694" s="6" t="n">
        <v>38</v>
      </c>
      <c r="E694" s="6" t="s">
        <v>86</v>
      </c>
      <c r="F694" s="6" t="s">
        <v>87</v>
      </c>
      <c r="G694" s="26" t="n">
        <v>46093</v>
      </c>
      <c r="H694" s="6" t="s">
        <v>78</v>
      </c>
      <c r="I694" s="26" t="n">
        <f aca="false">_xlfn.MINIFS(Transaction!$C$2:$C$8421,Transaction!$B$2:$B$8421,A694)</f>
        <v>46156</v>
      </c>
      <c r="J694" s="26" t="n">
        <f aca="false">_xlfn.MAXIFS(Transaction!$C$2:$C$8421,Transaction!$B$2:$B$8421,A694)</f>
        <v>46156</v>
      </c>
      <c r="K694" s="6" t="n">
        <f aca="false">COUNTIF(Transaction!$B$2:$B$8421,A694)</f>
        <v>1</v>
      </c>
      <c r="L694" s="10" t="n">
        <f aca="false">SUMIF(Transaction!$B$2:$B$8421,A694,Transaction!$H$2:$H$8421)</f>
        <v>12593</v>
      </c>
      <c r="M694" s="6" t="n">
        <f aca="false">Summary!$B$3-J694</f>
        <v>110</v>
      </c>
      <c r="N694" s="6" t="str">
        <f aca="false">IF(K694&gt;1,"Yes","No")</f>
        <v>No</v>
      </c>
      <c r="O694" s="6" t="s">
        <v>48</v>
      </c>
    </row>
    <row r="695" customFormat="false" ht="15" hidden="false" customHeight="false" outlineLevel="0" collapsed="false">
      <c r="A695" s="6" t="s">
        <v>1499</v>
      </c>
      <c r="B695" s="6" t="s">
        <v>1500</v>
      </c>
      <c r="C695" s="6" t="s">
        <v>85</v>
      </c>
      <c r="D695" s="6" t="n">
        <v>34</v>
      </c>
      <c r="E695" s="6" t="s">
        <v>76</v>
      </c>
      <c r="F695" s="6" t="s">
        <v>77</v>
      </c>
      <c r="G695" s="26" t="n">
        <v>46010</v>
      </c>
      <c r="H695" s="6" t="s">
        <v>78</v>
      </c>
      <c r="I695" s="26" t="n">
        <f aca="false">_xlfn.MINIFS(Transaction!$C$2:$C$8421,Transaction!$B$2:$B$8421,A695)</f>
        <v>46047</v>
      </c>
      <c r="J695" s="26" t="n">
        <f aca="false">_xlfn.MAXIFS(Transaction!$C$2:$C$8421,Transaction!$B$2:$B$8421,A695)</f>
        <v>46242</v>
      </c>
      <c r="K695" s="6" t="n">
        <f aca="false">COUNTIF(Transaction!$B$2:$B$8421,A695)</f>
        <v>10</v>
      </c>
      <c r="L695" s="10" t="n">
        <f aca="false">SUMIF(Transaction!$B$2:$B$8421,A695,Transaction!$H$2:$H$8421)</f>
        <v>29570</v>
      </c>
      <c r="M695" s="6" t="n">
        <f aca="false">Summary!$B$3-J695</f>
        <v>24</v>
      </c>
      <c r="N695" s="6" t="str">
        <f aca="false">IF(K695&gt;1,"Yes","No")</f>
        <v>Yes</v>
      </c>
      <c r="O695" s="6" t="s">
        <v>45</v>
      </c>
    </row>
    <row r="696" customFormat="false" ht="15" hidden="false" customHeight="false" outlineLevel="0" collapsed="false">
      <c r="A696" s="6" t="s">
        <v>1501</v>
      </c>
      <c r="B696" s="6" t="s">
        <v>1502</v>
      </c>
      <c r="C696" s="6" t="s">
        <v>85</v>
      </c>
      <c r="D696" s="6" t="n">
        <v>44</v>
      </c>
      <c r="E696" s="6" t="s">
        <v>76</v>
      </c>
      <c r="F696" s="6" t="s">
        <v>77</v>
      </c>
      <c r="G696" s="26" t="n">
        <v>46028</v>
      </c>
      <c r="H696" s="6" t="s">
        <v>123</v>
      </c>
      <c r="I696" s="26" t="n">
        <f aca="false">_xlfn.MINIFS(Transaction!$C$2:$C$8421,Transaction!$B$2:$B$8421,A696)</f>
        <v>46035</v>
      </c>
      <c r="J696" s="26" t="n">
        <f aca="false">_xlfn.MAXIFS(Transaction!$C$2:$C$8421,Transaction!$B$2:$B$8421,A696)</f>
        <v>46035</v>
      </c>
      <c r="K696" s="6" t="n">
        <f aca="false">COUNTIF(Transaction!$B$2:$B$8421,A696)</f>
        <v>1</v>
      </c>
      <c r="L696" s="10" t="n">
        <f aca="false">SUMIF(Transaction!$B$2:$B$8421,A696,Transaction!$H$2:$H$8421)</f>
        <v>1101</v>
      </c>
      <c r="M696" s="6" t="n">
        <f aca="false">Summary!$B$3-J696</f>
        <v>231</v>
      </c>
      <c r="N696" s="6" t="str">
        <f aca="false">IF(K696&gt;1,"Yes","No")</f>
        <v>No</v>
      </c>
      <c r="O696" s="6" t="s">
        <v>49</v>
      </c>
    </row>
    <row r="697" customFormat="false" ht="15" hidden="false" customHeight="false" outlineLevel="0" collapsed="false">
      <c r="A697" s="6" t="s">
        <v>1503</v>
      </c>
      <c r="B697" s="6" t="s">
        <v>1504</v>
      </c>
      <c r="C697" s="6" t="s">
        <v>75</v>
      </c>
      <c r="D697" s="6" t="n">
        <v>32</v>
      </c>
      <c r="E697" s="6" t="s">
        <v>76</v>
      </c>
      <c r="F697" s="6" t="s">
        <v>77</v>
      </c>
      <c r="G697" s="26" t="n">
        <v>46014</v>
      </c>
      <c r="H697" s="6" t="s">
        <v>78</v>
      </c>
      <c r="I697" s="26" t="n">
        <f aca="false">_xlfn.MINIFS(Transaction!$C$2:$C$8421,Transaction!$B$2:$B$8421,A697)</f>
        <v>46070</v>
      </c>
      <c r="J697" s="26" t="n">
        <f aca="false">_xlfn.MAXIFS(Transaction!$C$2:$C$8421,Transaction!$B$2:$B$8421,A697)</f>
        <v>46250</v>
      </c>
      <c r="K697" s="6" t="n">
        <f aca="false">COUNTIF(Transaction!$B$2:$B$8421,A697)</f>
        <v>7</v>
      </c>
      <c r="L697" s="10" t="n">
        <f aca="false">SUMIF(Transaction!$B$2:$B$8421,A697,Transaction!$H$2:$H$8421)</f>
        <v>12444</v>
      </c>
      <c r="M697" s="6" t="n">
        <f aca="false">Summary!$B$3-J697</f>
        <v>16</v>
      </c>
      <c r="N697" s="6" t="str">
        <f aca="false">IF(K697&gt;1,"Yes","No")</f>
        <v>Yes</v>
      </c>
      <c r="O697" s="6" t="s">
        <v>45</v>
      </c>
    </row>
    <row r="698" customFormat="false" ht="15" hidden="false" customHeight="false" outlineLevel="0" collapsed="false">
      <c r="A698" s="6" t="s">
        <v>1505</v>
      </c>
      <c r="B698" s="6" t="s">
        <v>1506</v>
      </c>
      <c r="C698" s="6" t="s">
        <v>85</v>
      </c>
      <c r="D698" s="6" t="n">
        <v>25</v>
      </c>
      <c r="E698" s="6" t="s">
        <v>95</v>
      </c>
      <c r="F698" s="6" t="s">
        <v>95</v>
      </c>
      <c r="G698" s="26" t="n">
        <v>46203</v>
      </c>
      <c r="H698" s="6" t="s">
        <v>78</v>
      </c>
      <c r="I698" s="26" t="n">
        <f aca="false">_xlfn.MINIFS(Transaction!$C$2:$C$8421,Transaction!$B$2:$B$8421,A698)</f>
        <v>46258</v>
      </c>
      <c r="J698" s="26" t="n">
        <f aca="false">_xlfn.MAXIFS(Transaction!$C$2:$C$8421,Transaction!$B$2:$B$8421,A698)</f>
        <v>46258</v>
      </c>
      <c r="K698" s="6" t="n">
        <f aca="false">COUNTIF(Transaction!$B$2:$B$8421,A698)</f>
        <v>1</v>
      </c>
      <c r="L698" s="10" t="n">
        <f aca="false">SUMIF(Transaction!$B$2:$B$8421,A698,Transaction!$H$2:$H$8421)</f>
        <v>15296</v>
      </c>
      <c r="M698" s="6" t="n">
        <f aca="false">Summary!$B$3-J698</f>
        <v>8</v>
      </c>
      <c r="N698" s="6" t="str">
        <f aca="false">IF(K698&gt;1,"Yes","No")</f>
        <v>No</v>
      </c>
      <c r="O698" s="6" t="s">
        <v>47</v>
      </c>
    </row>
    <row r="699" customFormat="false" ht="15" hidden="false" customHeight="false" outlineLevel="0" collapsed="false">
      <c r="A699" s="6" t="s">
        <v>1507</v>
      </c>
      <c r="B699" s="6" t="s">
        <v>1508</v>
      </c>
      <c r="C699" s="6" t="s">
        <v>85</v>
      </c>
      <c r="D699" s="6" t="n">
        <v>40</v>
      </c>
      <c r="E699" s="6" t="s">
        <v>76</v>
      </c>
      <c r="F699" s="6" t="s">
        <v>77</v>
      </c>
      <c r="G699" s="26" t="n">
        <v>46005</v>
      </c>
      <c r="H699" s="6" t="s">
        <v>102</v>
      </c>
      <c r="I699" s="26" t="n">
        <f aca="false">_xlfn.MINIFS(Transaction!$C$2:$C$8421,Transaction!$B$2:$B$8421,A699)</f>
        <v>46065</v>
      </c>
      <c r="J699" s="26" t="n">
        <f aca="false">_xlfn.MAXIFS(Transaction!$C$2:$C$8421,Transaction!$B$2:$B$8421,A699)</f>
        <v>46260</v>
      </c>
      <c r="K699" s="6" t="n">
        <f aca="false">COUNTIF(Transaction!$B$2:$B$8421,A699)</f>
        <v>9</v>
      </c>
      <c r="L699" s="10" t="n">
        <f aca="false">SUMIF(Transaction!$B$2:$B$8421,A699,Transaction!$H$2:$H$8421)</f>
        <v>23831</v>
      </c>
      <c r="M699" s="6" t="n">
        <f aca="false">Summary!$B$3-J699</f>
        <v>6</v>
      </c>
      <c r="N699" s="6" t="str">
        <f aca="false">IF(K699&gt;1,"Yes","No")</f>
        <v>Yes</v>
      </c>
      <c r="O699" s="6" t="s">
        <v>45</v>
      </c>
    </row>
    <row r="700" customFormat="false" ht="15" hidden="false" customHeight="false" outlineLevel="0" collapsed="false">
      <c r="A700" s="6" t="s">
        <v>1509</v>
      </c>
      <c r="B700" s="6" t="s">
        <v>1510</v>
      </c>
      <c r="C700" s="6" t="s">
        <v>85</v>
      </c>
      <c r="D700" s="6" t="n">
        <v>19</v>
      </c>
      <c r="E700" s="6" t="s">
        <v>134</v>
      </c>
      <c r="F700" s="6" t="s">
        <v>135</v>
      </c>
      <c r="G700" s="26" t="n">
        <v>46142</v>
      </c>
      <c r="H700" s="6" t="s">
        <v>92</v>
      </c>
      <c r="I700" s="26" t="n">
        <f aca="false">_xlfn.MINIFS(Transaction!$C$2:$C$8421,Transaction!$B$2:$B$8421,A700)</f>
        <v>46215</v>
      </c>
      <c r="J700" s="26" t="n">
        <f aca="false">_xlfn.MAXIFS(Transaction!$C$2:$C$8421,Transaction!$B$2:$B$8421,A700)</f>
        <v>46215</v>
      </c>
      <c r="K700" s="6" t="n">
        <f aca="false">COUNTIF(Transaction!$B$2:$B$8421,A700)</f>
        <v>1</v>
      </c>
      <c r="L700" s="10" t="n">
        <f aca="false">SUMIF(Transaction!$B$2:$B$8421,A700,Transaction!$H$2:$H$8421)</f>
        <v>5097</v>
      </c>
      <c r="M700" s="6" t="n">
        <f aca="false">Summary!$B$3-J700</f>
        <v>51</v>
      </c>
      <c r="N700" s="6" t="str">
        <f aca="false">IF(K700&gt;1,"Yes","No")</f>
        <v>No</v>
      </c>
      <c r="O700" s="6" t="s">
        <v>47</v>
      </c>
    </row>
    <row r="701" customFormat="false" ht="15" hidden="false" customHeight="false" outlineLevel="0" collapsed="false">
      <c r="A701" s="6" t="s">
        <v>1511</v>
      </c>
      <c r="B701" s="6" t="s">
        <v>1512</v>
      </c>
      <c r="C701" s="6" t="s">
        <v>85</v>
      </c>
      <c r="D701" s="6" t="n">
        <v>40</v>
      </c>
      <c r="E701" s="6" t="s">
        <v>95</v>
      </c>
      <c r="F701" s="6" t="s">
        <v>95</v>
      </c>
      <c r="G701" s="26" t="n">
        <v>46182</v>
      </c>
      <c r="H701" s="6" t="s">
        <v>78</v>
      </c>
      <c r="I701" s="26" t="n">
        <f aca="false">_xlfn.MINIFS(Transaction!$C$2:$C$8421,Transaction!$B$2:$B$8421,A701)</f>
        <v>46261</v>
      </c>
      <c r="J701" s="26" t="n">
        <f aca="false">_xlfn.MAXIFS(Transaction!$C$2:$C$8421,Transaction!$B$2:$B$8421,A701)</f>
        <v>46261</v>
      </c>
      <c r="K701" s="6" t="n">
        <f aca="false">COUNTIF(Transaction!$B$2:$B$8421,A701)</f>
        <v>1</v>
      </c>
      <c r="L701" s="10" t="n">
        <f aca="false">SUMIF(Transaction!$B$2:$B$8421,A701,Transaction!$H$2:$H$8421)</f>
        <v>1325</v>
      </c>
      <c r="M701" s="6" t="n">
        <f aca="false">Summary!$B$3-J701</f>
        <v>5</v>
      </c>
      <c r="N701" s="6" t="str">
        <f aca="false">IF(K701&gt;1,"Yes","No")</f>
        <v>No</v>
      </c>
      <c r="O701" s="6" t="s">
        <v>47</v>
      </c>
    </row>
    <row r="702" customFormat="false" ht="15" hidden="false" customHeight="false" outlineLevel="0" collapsed="false">
      <c r="A702" s="6" t="s">
        <v>1513</v>
      </c>
      <c r="B702" s="6" t="s">
        <v>1514</v>
      </c>
      <c r="C702" s="6" t="s">
        <v>85</v>
      </c>
      <c r="D702" s="6" t="n">
        <v>32</v>
      </c>
      <c r="E702" s="6" t="s">
        <v>76</v>
      </c>
      <c r="F702" s="6" t="s">
        <v>77</v>
      </c>
      <c r="G702" s="26" t="n">
        <v>46051</v>
      </c>
      <c r="H702" s="6" t="s">
        <v>123</v>
      </c>
      <c r="I702" s="26" t="n">
        <f aca="false">_xlfn.MINIFS(Transaction!$C$2:$C$8421,Transaction!$B$2:$B$8421,A702)</f>
        <v>46054</v>
      </c>
      <c r="J702" s="26" t="n">
        <f aca="false">_xlfn.MAXIFS(Transaction!$C$2:$C$8421,Transaction!$B$2:$B$8421,A702)</f>
        <v>46217</v>
      </c>
      <c r="K702" s="6" t="n">
        <f aca="false">COUNTIF(Transaction!$B$2:$B$8421,A702)</f>
        <v>8</v>
      </c>
      <c r="L702" s="10" t="n">
        <f aca="false">SUMIF(Transaction!$B$2:$B$8421,A702,Transaction!$H$2:$H$8421)</f>
        <v>26819</v>
      </c>
      <c r="M702" s="6" t="n">
        <f aca="false">Summary!$B$3-J702</f>
        <v>49</v>
      </c>
      <c r="N702" s="6" t="str">
        <f aca="false">IF(K702&gt;1,"Yes","No")</f>
        <v>Yes</v>
      </c>
      <c r="O702" s="6" t="s">
        <v>46</v>
      </c>
    </row>
    <row r="703" customFormat="false" ht="15" hidden="false" customHeight="false" outlineLevel="0" collapsed="false">
      <c r="A703" s="6" t="s">
        <v>1515</v>
      </c>
      <c r="B703" s="6" t="s">
        <v>1516</v>
      </c>
      <c r="C703" s="6" t="s">
        <v>75</v>
      </c>
      <c r="D703" s="6" t="n">
        <v>28</v>
      </c>
      <c r="E703" s="6" t="s">
        <v>81</v>
      </c>
      <c r="F703" s="6" t="s">
        <v>82</v>
      </c>
      <c r="G703" s="26" t="n">
        <v>46033</v>
      </c>
      <c r="H703" s="6" t="s">
        <v>123</v>
      </c>
      <c r="I703" s="26" t="n">
        <f aca="false">_xlfn.MINIFS(Transaction!$C$2:$C$8421,Transaction!$B$2:$B$8421,A703)</f>
        <v>46057</v>
      </c>
      <c r="J703" s="26" t="n">
        <f aca="false">_xlfn.MAXIFS(Transaction!$C$2:$C$8421,Transaction!$B$2:$B$8421,A703)</f>
        <v>46057</v>
      </c>
      <c r="K703" s="6" t="n">
        <f aca="false">COUNTIF(Transaction!$B$2:$B$8421,A703)</f>
        <v>1</v>
      </c>
      <c r="L703" s="10" t="n">
        <f aca="false">SUMIF(Transaction!$B$2:$B$8421,A703,Transaction!$H$2:$H$8421)</f>
        <v>2931</v>
      </c>
      <c r="M703" s="6" t="n">
        <f aca="false">Summary!$B$3-J703</f>
        <v>209</v>
      </c>
      <c r="N703" s="6" t="str">
        <f aca="false">IF(K703&gt;1,"Yes","No")</f>
        <v>No</v>
      </c>
      <c r="O703" s="6" t="s">
        <v>49</v>
      </c>
    </row>
    <row r="704" customFormat="false" ht="15" hidden="false" customHeight="false" outlineLevel="0" collapsed="false">
      <c r="A704" s="6" t="s">
        <v>1517</v>
      </c>
      <c r="B704" s="6" t="s">
        <v>1518</v>
      </c>
      <c r="C704" s="6" t="s">
        <v>85</v>
      </c>
      <c r="D704" s="6" t="n">
        <v>28</v>
      </c>
      <c r="E704" s="6" t="s">
        <v>86</v>
      </c>
      <c r="F704" s="6" t="s">
        <v>87</v>
      </c>
      <c r="G704" s="26" t="n">
        <v>45969</v>
      </c>
      <c r="H704" s="6" t="s">
        <v>102</v>
      </c>
      <c r="I704" s="26" t="n">
        <f aca="false">_xlfn.MINIFS(Transaction!$C$2:$C$8421,Transaction!$B$2:$B$8421,A704)</f>
        <v>46030</v>
      </c>
      <c r="J704" s="26" t="n">
        <f aca="false">_xlfn.MAXIFS(Transaction!$C$2:$C$8421,Transaction!$B$2:$B$8421,A704)</f>
        <v>46258</v>
      </c>
      <c r="K704" s="6" t="n">
        <f aca="false">COUNTIF(Transaction!$B$2:$B$8421,A704)</f>
        <v>9</v>
      </c>
      <c r="L704" s="10" t="n">
        <f aca="false">SUMIF(Transaction!$B$2:$B$8421,A704,Transaction!$H$2:$H$8421)</f>
        <v>37389</v>
      </c>
      <c r="M704" s="6" t="n">
        <f aca="false">Summary!$B$3-J704</f>
        <v>8</v>
      </c>
      <c r="N704" s="6" t="str">
        <f aca="false">IF(K704&gt;1,"Yes","No")</f>
        <v>Yes</v>
      </c>
      <c r="O704" s="6" t="s">
        <v>45</v>
      </c>
    </row>
    <row r="705" customFormat="false" ht="15" hidden="false" customHeight="false" outlineLevel="0" collapsed="false">
      <c r="A705" s="6" t="s">
        <v>1519</v>
      </c>
      <c r="B705" s="6" t="s">
        <v>1520</v>
      </c>
      <c r="C705" s="6" t="s">
        <v>75</v>
      </c>
      <c r="D705" s="6" t="n">
        <v>19</v>
      </c>
      <c r="E705" s="6" t="s">
        <v>134</v>
      </c>
      <c r="F705" s="6" t="s">
        <v>135</v>
      </c>
      <c r="G705" s="26" t="n">
        <v>46071</v>
      </c>
      <c r="H705" s="6" t="s">
        <v>115</v>
      </c>
      <c r="I705" s="26" t="n">
        <f aca="false">_xlfn.MINIFS(Transaction!$C$2:$C$8421,Transaction!$B$2:$B$8421,A705)</f>
        <v>46074</v>
      </c>
      <c r="J705" s="26" t="n">
        <f aca="false">_xlfn.MAXIFS(Transaction!$C$2:$C$8421,Transaction!$B$2:$B$8421,A705)</f>
        <v>46074</v>
      </c>
      <c r="K705" s="6" t="n">
        <f aca="false">COUNTIF(Transaction!$B$2:$B$8421,A705)</f>
        <v>1</v>
      </c>
      <c r="L705" s="10" t="n">
        <f aca="false">SUMIF(Transaction!$B$2:$B$8421,A705,Transaction!$H$2:$H$8421)</f>
        <v>972</v>
      </c>
      <c r="M705" s="6" t="n">
        <f aca="false">Summary!$B$3-J705</f>
        <v>192</v>
      </c>
      <c r="N705" s="6" t="str">
        <f aca="false">IF(K705&gt;1,"Yes","No")</f>
        <v>No</v>
      </c>
      <c r="O705" s="6" t="s">
        <v>49</v>
      </c>
    </row>
    <row r="706" customFormat="false" ht="15" hidden="false" customHeight="false" outlineLevel="0" collapsed="false">
      <c r="A706" s="6" t="s">
        <v>1521</v>
      </c>
      <c r="B706" s="6" t="s">
        <v>1522</v>
      </c>
      <c r="C706" s="6" t="s">
        <v>75</v>
      </c>
      <c r="D706" s="6" t="n">
        <v>18</v>
      </c>
      <c r="E706" s="6" t="s">
        <v>321</v>
      </c>
      <c r="F706" s="6" t="s">
        <v>321</v>
      </c>
      <c r="G706" s="26" t="n">
        <v>46144</v>
      </c>
      <c r="H706" s="6" t="s">
        <v>88</v>
      </c>
      <c r="I706" s="26" t="n">
        <f aca="false">_xlfn.MINIFS(Transaction!$C$2:$C$8421,Transaction!$B$2:$B$8421,A706)</f>
        <v>46152</v>
      </c>
      <c r="J706" s="26" t="n">
        <f aca="false">_xlfn.MAXIFS(Transaction!$C$2:$C$8421,Transaction!$B$2:$B$8421,A706)</f>
        <v>46152</v>
      </c>
      <c r="K706" s="6" t="n">
        <f aca="false">COUNTIF(Transaction!$B$2:$B$8421,A706)</f>
        <v>1</v>
      </c>
      <c r="L706" s="10" t="n">
        <f aca="false">SUMIF(Transaction!$B$2:$B$8421,A706,Transaction!$H$2:$H$8421)</f>
        <v>782</v>
      </c>
      <c r="M706" s="6" t="n">
        <f aca="false">Summary!$B$3-J706</f>
        <v>114</v>
      </c>
      <c r="N706" s="6" t="str">
        <f aca="false">IF(K706&gt;1,"Yes","No")</f>
        <v>No</v>
      </c>
      <c r="O706" s="6" t="s">
        <v>48</v>
      </c>
    </row>
    <row r="707" customFormat="false" ht="15" hidden="false" customHeight="false" outlineLevel="0" collapsed="false">
      <c r="A707" s="6" t="s">
        <v>1523</v>
      </c>
      <c r="B707" s="6" t="s">
        <v>1524</v>
      </c>
      <c r="C707" s="6" t="s">
        <v>85</v>
      </c>
      <c r="D707" s="6" t="n">
        <v>29</v>
      </c>
      <c r="E707" s="6" t="s">
        <v>95</v>
      </c>
      <c r="F707" s="6" t="s">
        <v>95</v>
      </c>
      <c r="G707" s="26" t="n">
        <v>46220</v>
      </c>
      <c r="H707" s="6" t="s">
        <v>102</v>
      </c>
      <c r="I707" s="26" t="n">
        <f aca="false">_xlfn.MINIFS(Transaction!$C$2:$C$8421,Transaction!$B$2:$B$8421,A707)</f>
        <v>46249</v>
      </c>
      <c r="J707" s="26" t="n">
        <f aca="false">_xlfn.MAXIFS(Transaction!$C$2:$C$8421,Transaction!$B$2:$B$8421,A707)</f>
        <v>46249</v>
      </c>
      <c r="K707" s="6" t="n">
        <f aca="false">COUNTIF(Transaction!$B$2:$B$8421,A707)</f>
        <v>1</v>
      </c>
      <c r="L707" s="10" t="n">
        <f aca="false">SUMIF(Transaction!$B$2:$B$8421,A707,Transaction!$H$2:$H$8421)</f>
        <v>2931</v>
      </c>
      <c r="M707" s="6" t="n">
        <f aca="false">Summary!$B$3-J707</f>
        <v>17</v>
      </c>
      <c r="N707" s="6" t="str">
        <f aca="false">IF(K707&gt;1,"Yes","No")</f>
        <v>No</v>
      </c>
      <c r="O707" s="6" t="s">
        <v>47</v>
      </c>
    </row>
    <row r="708" customFormat="false" ht="15" hidden="false" customHeight="false" outlineLevel="0" collapsed="false">
      <c r="A708" s="6" t="s">
        <v>1525</v>
      </c>
      <c r="B708" s="6" t="s">
        <v>1526</v>
      </c>
      <c r="C708" s="6" t="s">
        <v>85</v>
      </c>
      <c r="D708" s="6" t="n">
        <v>38</v>
      </c>
      <c r="E708" s="6" t="s">
        <v>76</v>
      </c>
      <c r="F708" s="6" t="s">
        <v>77</v>
      </c>
      <c r="G708" s="26" t="n">
        <v>46079</v>
      </c>
      <c r="H708" s="6" t="s">
        <v>115</v>
      </c>
      <c r="I708" s="26" t="n">
        <f aca="false">_xlfn.MINIFS(Transaction!$C$2:$C$8421,Transaction!$B$2:$B$8421,A708)</f>
        <v>46116</v>
      </c>
      <c r="J708" s="26" t="n">
        <f aca="false">_xlfn.MAXIFS(Transaction!$C$2:$C$8421,Transaction!$B$2:$B$8421,A708)</f>
        <v>46116</v>
      </c>
      <c r="K708" s="6" t="n">
        <f aca="false">COUNTIF(Transaction!$B$2:$B$8421,A708)</f>
        <v>1</v>
      </c>
      <c r="L708" s="10" t="n">
        <f aca="false">SUMIF(Transaction!$B$2:$B$8421,A708,Transaction!$H$2:$H$8421)</f>
        <v>1678</v>
      </c>
      <c r="M708" s="6" t="n">
        <f aca="false">Summary!$B$3-J708</f>
        <v>150</v>
      </c>
      <c r="N708" s="6" t="str">
        <f aca="false">IF(K708&gt;1,"Yes","No")</f>
        <v>No</v>
      </c>
      <c r="O708" s="6" t="s">
        <v>48</v>
      </c>
    </row>
    <row r="709" customFormat="false" ht="15" hidden="false" customHeight="false" outlineLevel="0" collapsed="false">
      <c r="A709" s="6" t="s">
        <v>1527</v>
      </c>
      <c r="B709" s="6" t="s">
        <v>1528</v>
      </c>
      <c r="C709" s="6" t="s">
        <v>85</v>
      </c>
      <c r="D709" s="6" t="n">
        <v>26</v>
      </c>
      <c r="E709" s="6" t="s">
        <v>91</v>
      </c>
      <c r="F709" s="6" t="s">
        <v>77</v>
      </c>
      <c r="G709" s="26" t="n">
        <v>45979</v>
      </c>
      <c r="H709" s="6" t="s">
        <v>78</v>
      </c>
      <c r="I709" s="26" t="n">
        <f aca="false">_xlfn.MINIFS(Transaction!$C$2:$C$8421,Transaction!$B$2:$B$8421,A709)</f>
        <v>46068</v>
      </c>
      <c r="J709" s="26" t="n">
        <f aca="false">_xlfn.MAXIFS(Transaction!$C$2:$C$8421,Transaction!$B$2:$B$8421,A709)</f>
        <v>46265</v>
      </c>
      <c r="K709" s="6" t="n">
        <f aca="false">COUNTIF(Transaction!$B$2:$B$8421,A709)</f>
        <v>11</v>
      </c>
      <c r="L709" s="10" t="n">
        <f aca="false">SUMIF(Transaction!$B$2:$B$8421,A709,Transaction!$H$2:$H$8421)</f>
        <v>24441</v>
      </c>
      <c r="M709" s="6" t="n">
        <f aca="false">Summary!$B$3-J709</f>
        <v>1</v>
      </c>
      <c r="N709" s="6" t="str">
        <f aca="false">IF(K709&gt;1,"Yes","No")</f>
        <v>Yes</v>
      </c>
      <c r="O709" s="6" t="s">
        <v>45</v>
      </c>
    </row>
    <row r="710" customFormat="false" ht="15" hidden="false" customHeight="false" outlineLevel="0" collapsed="false">
      <c r="A710" s="6" t="s">
        <v>1529</v>
      </c>
      <c r="B710" s="6" t="s">
        <v>1530</v>
      </c>
      <c r="C710" s="6" t="s">
        <v>75</v>
      </c>
      <c r="D710" s="6" t="n">
        <v>41</v>
      </c>
      <c r="E710" s="6" t="s">
        <v>98</v>
      </c>
      <c r="F710" s="6" t="s">
        <v>99</v>
      </c>
      <c r="G710" s="26" t="n">
        <v>46121</v>
      </c>
      <c r="H710" s="6" t="s">
        <v>115</v>
      </c>
      <c r="I710" s="26" t="n">
        <f aca="false">_xlfn.MINIFS(Transaction!$C$2:$C$8421,Transaction!$B$2:$B$8421,A710)</f>
        <v>46158</v>
      </c>
      <c r="J710" s="26" t="n">
        <f aca="false">_xlfn.MAXIFS(Transaction!$C$2:$C$8421,Transaction!$B$2:$B$8421,A710)</f>
        <v>46158</v>
      </c>
      <c r="K710" s="6" t="n">
        <f aca="false">COUNTIF(Transaction!$B$2:$B$8421,A710)</f>
        <v>1</v>
      </c>
      <c r="L710" s="10" t="n">
        <f aca="false">SUMIF(Transaction!$B$2:$B$8421,A710,Transaction!$H$2:$H$8421)</f>
        <v>7644</v>
      </c>
      <c r="M710" s="6" t="n">
        <f aca="false">Summary!$B$3-J710</f>
        <v>108</v>
      </c>
      <c r="N710" s="6" t="str">
        <f aca="false">IF(K710&gt;1,"Yes","No")</f>
        <v>No</v>
      </c>
      <c r="O710" s="6" t="s">
        <v>48</v>
      </c>
    </row>
    <row r="711" customFormat="false" ht="15" hidden="false" customHeight="false" outlineLevel="0" collapsed="false">
      <c r="A711" s="6" t="s">
        <v>1531</v>
      </c>
      <c r="B711" s="6" t="s">
        <v>1532</v>
      </c>
      <c r="C711" s="6" t="s">
        <v>75</v>
      </c>
      <c r="D711" s="6" t="n">
        <v>24</v>
      </c>
      <c r="E711" s="6" t="s">
        <v>81</v>
      </c>
      <c r="F711" s="6" t="s">
        <v>82</v>
      </c>
      <c r="G711" s="26" t="n">
        <v>46153</v>
      </c>
      <c r="H711" s="6" t="s">
        <v>92</v>
      </c>
      <c r="I711" s="26" t="n">
        <f aca="false">_xlfn.MINIFS(Transaction!$C$2:$C$8421,Transaction!$B$2:$B$8421,A711)</f>
        <v>46169</v>
      </c>
      <c r="J711" s="26" t="n">
        <f aca="false">_xlfn.MAXIFS(Transaction!$C$2:$C$8421,Transaction!$B$2:$B$8421,A711)</f>
        <v>46169</v>
      </c>
      <c r="K711" s="6" t="n">
        <f aca="false">COUNTIF(Transaction!$B$2:$B$8421,A711)</f>
        <v>1</v>
      </c>
      <c r="L711" s="10" t="n">
        <f aca="false">SUMIF(Transaction!$B$2:$B$8421,A711,Transaction!$H$2:$H$8421)</f>
        <v>1768</v>
      </c>
      <c r="M711" s="6" t="n">
        <f aca="false">Summary!$B$3-J711</f>
        <v>97</v>
      </c>
      <c r="N711" s="6" t="str">
        <f aca="false">IF(K711&gt;1,"Yes","No")</f>
        <v>No</v>
      </c>
      <c r="O711" s="6" t="s">
        <v>48</v>
      </c>
    </row>
    <row r="712" customFormat="false" ht="15" hidden="false" customHeight="false" outlineLevel="0" collapsed="false">
      <c r="A712" s="6" t="s">
        <v>1533</v>
      </c>
      <c r="B712" s="6" t="s">
        <v>1534</v>
      </c>
      <c r="C712" s="6" t="s">
        <v>75</v>
      </c>
      <c r="D712" s="6" t="n">
        <v>37</v>
      </c>
      <c r="E712" s="6" t="s">
        <v>81</v>
      </c>
      <c r="F712" s="6" t="s">
        <v>82</v>
      </c>
      <c r="G712" s="26" t="n">
        <v>46014</v>
      </c>
      <c r="H712" s="6" t="s">
        <v>78</v>
      </c>
      <c r="I712" s="26" t="n">
        <f aca="false">_xlfn.MINIFS(Transaction!$C$2:$C$8421,Transaction!$B$2:$B$8421,A712)</f>
        <v>46052</v>
      </c>
      <c r="J712" s="26" t="n">
        <f aca="false">_xlfn.MAXIFS(Transaction!$C$2:$C$8421,Transaction!$B$2:$B$8421,A712)</f>
        <v>46219</v>
      </c>
      <c r="K712" s="6" t="n">
        <f aca="false">COUNTIF(Transaction!$B$2:$B$8421,A712)</f>
        <v>5</v>
      </c>
      <c r="L712" s="10" t="n">
        <f aca="false">SUMIF(Transaction!$B$2:$B$8421,A712,Transaction!$H$2:$H$8421)</f>
        <v>8438</v>
      </c>
      <c r="M712" s="6" t="n">
        <f aca="false">Summary!$B$3-J712</f>
        <v>47</v>
      </c>
      <c r="N712" s="6" t="str">
        <f aca="false">IF(K712&gt;1,"Yes","No")</f>
        <v>Yes</v>
      </c>
      <c r="O712" s="6" t="s">
        <v>46</v>
      </c>
    </row>
    <row r="713" customFormat="false" ht="15" hidden="false" customHeight="false" outlineLevel="0" collapsed="false">
      <c r="A713" s="6" t="s">
        <v>1535</v>
      </c>
      <c r="B713" s="6" t="s">
        <v>1536</v>
      </c>
      <c r="C713" s="6" t="s">
        <v>85</v>
      </c>
      <c r="D713" s="6" t="n">
        <v>31</v>
      </c>
      <c r="E713" s="6" t="s">
        <v>121</v>
      </c>
      <c r="F713" s="6" t="s">
        <v>122</v>
      </c>
      <c r="G713" s="26" t="n">
        <v>45963</v>
      </c>
      <c r="H713" s="6" t="s">
        <v>102</v>
      </c>
      <c r="I713" s="26" t="n">
        <f aca="false">_xlfn.MINIFS(Transaction!$C$2:$C$8421,Transaction!$B$2:$B$8421,A713)</f>
        <v>46028</v>
      </c>
      <c r="J713" s="26" t="n">
        <f aca="false">_xlfn.MAXIFS(Transaction!$C$2:$C$8421,Transaction!$B$2:$B$8421,A713)</f>
        <v>46208</v>
      </c>
      <c r="K713" s="6" t="n">
        <f aca="false">COUNTIF(Transaction!$B$2:$B$8421,A713)</f>
        <v>5</v>
      </c>
      <c r="L713" s="10" t="n">
        <f aca="false">SUMIF(Transaction!$B$2:$B$8421,A713,Transaction!$H$2:$H$8421)</f>
        <v>4795</v>
      </c>
      <c r="M713" s="6" t="n">
        <f aca="false">Summary!$B$3-J713</f>
        <v>58</v>
      </c>
      <c r="N713" s="6" t="str">
        <f aca="false">IF(K713&gt;1,"Yes","No")</f>
        <v>Yes</v>
      </c>
      <c r="O713" s="6" t="s">
        <v>46</v>
      </c>
    </row>
    <row r="714" customFormat="false" ht="15" hidden="false" customHeight="false" outlineLevel="0" collapsed="false">
      <c r="A714" s="6" t="s">
        <v>1537</v>
      </c>
      <c r="B714" s="6" t="s">
        <v>1538</v>
      </c>
      <c r="C714" s="6" t="s">
        <v>85</v>
      </c>
      <c r="D714" s="6" t="n">
        <v>26</v>
      </c>
      <c r="E714" s="6" t="s">
        <v>76</v>
      </c>
      <c r="F714" s="6" t="s">
        <v>77</v>
      </c>
      <c r="G714" s="26" t="n">
        <v>46110</v>
      </c>
      <c r="H714" s="6" t="s">
        <v>102</v>
      </c>
      <c r="I714" s="26" t="n">
        <f aca="false">_xlfn.MINIFS(Transaction!$C$2:$C$8421,Transaction!$B$2:$B$8421,A714)</f>
        <v>46169</v>
      </c>
      <c r="J714" s="26" t="n">
        <f aca="false">_xlfn.MAXIFS(Transaction!$C$2:$C$8421,Transaction!$B$2:$B$8421,A714)</f>
        <v>46169</v>
      </c>
      <c r="K714" s="6" t="n">
        <f aca="false">COUNTIF(Transaction!$B$2:$B$8421,A714)</f>
        <v>1</v>
      </c>
      <c r="L714" s="10" t="n">
        <f aca="false">SUMIF(Transaction!$B$2:$B$8421,A714,Transaction!$H$2:$H$8421)</f>
        <v>1629</v>
      </c>
      <c r="M714" s="6" t="n">
        <f aca="false">Summary!$B$3-J714</f>
        <v>97</v>
      </c>
      <c r="N714" s="6" t="str">
        <f aca="false">IF(K714&gt;1,"Yes","No")</f>
        <v>No</v>
      </c>
      <c r="O714" s="6" t="s">
        <v>48</v>
      </c>
    </row>
    <row r="715" customFormat="false" ht="15" hidden="false" customHeight="false" outlineLevel="0" collapsed="false">
      <c r="A715" s="6" t="s">
        <v>1539</v>
      </c>
      <c r="B715" s="6" t="s">
        <v>1540</v>
      </c>
      <c r="C715" s="6" t="s">
        <v>85</v>
      </c>
      <c r="D715" s="6" t="n">
        <v>22</v>
      </c>
      <c r="E715" s="6" t="s">
        <v>121</v>
      </c>
      <c r="F715" s="6" t="s">
        <v>122</v>
      </c>
      <c r="G715" s="26" t="n">
        <v>46032</v>
      </c>
      <c r="H715" s="6" t="s">
        <v>88</v>
      </c>
      <c r="I715" s="26" t="n">
        <f aca="false">_xlfn.MINIFS(Transaction!$C$2:$C$8421,Transaction!$B$2:$B$8421,A715)</f>
        <v>46033</v>
      </c>
      <c r="J715" s="26" t="n">
        <f aca="false">_xlfn.MAXIFS(Transaction!$C$2:$C$8421,Transaction!$B$2:$B$8421,A715)</f>
        <v>46232</v>
      </c>
      <c r="K715" s="6" t="n">
        <f aca="false">COUNTIF(Transaction!$B$2:$B$8421,A715)</f>
        <v>4</v>
      </c>
      <c r="L715" s="10" t="n">
        <f aca="false">SUMIF(Transaction!$B$2:$B$8421,A715,Transaction!$H$2:$H$8421)</f>
        <v>8059</v>
      </c>
      <c r="M715" s="6" t="n">
        <f aca="false">Summary!$B$3-J715</f>
        <v>34</v>
      </c>
      <c r="N715" s="6" t="str">
        <f aca="false">IF(K715&gt;1,"Yes","No")</f>
        <v>Yes</v>
      </c>
      <c r="O715" s="6" t="s">
        <v>46</v>
      </c>
    </row>
    <row r="716" customFormat="false" ht="15" hidden="false" customHeight="false" outlineLevel="0" collapsed="false">
      <c r="A716" s="6" t="s">
        <v>1541</v>
      </c>
      <c r="B716" s="6" t="s">
        <v>1542</v>
      </c>
      <c r="C716" s="6" t="s">
        <v>75</v>
      </c>
      <c r="D716" s="6" t="n">
        <v>42</v>
      </c>
      <c r="E716" s="6" t="s">
        <v>430</v>
      </c>
      <c r="F716" s="6" t="s">
        <v>99</v>
      </c>
      <c r="G716" s="26" t="n">
        <v>46153</v>
      </c>
      <c r="H716" s="6" t="s">
        <v>102</v>
      </c>
      <c r="I716" s="26" t="n">
        <f aca="false">_xlfn.MINIFS(Transaction!$C$2:$C$8421,Transaction!$B$2:$B$8421,A716)</f>
        <v>46166</v>
      </c>
      <c r="J716" s="26" t="n">
        <f aca="false">_xlfn.MAXIFS(Transaction!$C$2:$C$8421,Transaction!$B$2:$B$8421,A716)</f>
        <v>46166</v>
      </c>
      <c r="K716" s="6" t="n">
        <f aca="false">COUNTIF(Transaction!$B$2:$B$8421,A716)</f>
        <v>1</v>
      </c>
      <c r="L716" s="10" t="n">
        <f aca="false">SUMIF(Transaction!$B$2:$B$8421,A716,Transaction!$H$2:$H$8421)</f>
        <v>4078</v>
      </c>
      <c r="M716" s="6" t="n">
        <f aca="false">Summary!$B$3-J716</f>
        <v>100</v>
      </c>
      <c r="N716" s="6" t="str">
        <f aca="false">IF(K716&gt;1,"Yes","No")</f>
        <v>No</v>
      </c>
      <c r="O716" s="6" t="s">
        <v>48</v>
      </c>
    </row>
    <row r="717" customFormat="false" ht="15" hidden="false" customHeight="false" outlineLevel="0" collapsed="false">
      <c r="A717" s="6" t="s">
        <v>1543</v>
      </c>
      <c r="B717" s="6" t="s">
        <v>1544</v>
      </c>
      <c r="C717" s="6" t="s">
        <v>75</v>
      </c>
      <c r="D717" s="6" t="n">
        <v>31</v>
      </c>
      <c r="E717" s="6" t="s">
        <v>91</v>
      </c>
      <c r="F717" s="6" t="s">
        <v>77</v>
      </c>
      <c r="G717" s="26" t="n">
        <v>46172</v>
      </c>
      <c r="H717" s="6" t="s">
        <v>78</v>
      </c>
      <c r="I717" s="26" t="n">
        <f aca="false">_xlfn.MINIFS(Transaction!$C$2:$C$8421,Transaction!$B$2:$B$8421,A717)</f>
        <v>46176</v>
      </c>
      <c r="J717" s="26" t="n">
        <f aca="false">_xlfn.MAXIFS(Transaction!$C$2:$C$8421,Transaction!$B$2:$B$8421,A717)</f>
        <v>46176</v>
      </c>
      <c r="K717" s="6" t="n">
        <f aca="false">COUNTIF(Transaction!$B$2:$B$8421,A717)</f>
        <v>1</v>
      </c>
      <c r="L717" s="10" t="n">
        <f aca="false">SUMIF(Transaction!$B$2:$B$8421,A717,Transaction!$H$2:$H$8421)</f>
        <v>2936</v>
      </c>
      <c r="M717" s="6" t="n">
        <f aca="false">Summary!$B$3-J717</f>
        <v>90</v>
      </c>
      <c r="N717" s="6" t="str">
        <f aca="false">IF(K717&gt;1,"Yes","No")</f>
        <v>No</v>
      </c>
      <c r="O717" s="6" t="s">
        <v>47</v>
      </c>
    </row>
    <row r="718" customFormat="false" ht="15" hidden="false" customHeight="false" outlineLevel="0" collapsed="false">
      <c r="A718" s="6" t="s">
        <v>1545</v>
      </c>
      <c r="B718" s="6" t="s">
        <v>1546</v>
      </c>
      <c r="C718" s="6" t="s">
        <v>85</v>
      </c>
      <c r="D718" s="6" t="n">
        <v>18</v>
      </c>
      <c r="E718" s="6" t="s">
        <v>81</v>
      </c>
      <c r="F718" s="6" t="s">
        <v>82</v>
      </c>
      <c r="G718" s="26" t="n">
        <v>46090</v>
      </c>
      <c r="H718" s="6" t="s">
        <v>115</v>
      </c>
      <c r="I718" s="26" t="n">
        <f aca="false">_xlfn.MINIFS(Transaction!$C$2:$C$8421,Transaction!$B$2:$B$8421,A718)</f>
        <v>46124</v>
      </c>
      <c r="J718" s="26" t="n">
        <f aca="false">_xlfn.MAXIFS(Transaction!$C$2:$C$8421,Transaction!$B$2:$B$8421,A718)</f>
        <v>46124</v>
      </c>
      <c r="K718" s="6" t="n">
        <f aca="false">COUNTIF(Transaction!$B$2:$B$8421,A718)</f>
        <v>1</v>
      </c>
      <c r="L718" s="10" t="n">
        <f aca="false">SUMIF(Transaction!$B$2:$B$8421,A718,Transaction!$H$2:$H$8421)</f>
        <v>2816</v>
      </c>
      <c r="M718" s="6" t="n">
        <f aca="false">Summary!$B$3-J718</f>
        <v>142</v>
      </c>
      <c r="N718" s="6" t="str">
        <f aca="false">IF(K718&gt;1,"Yes","No")</f>
        <v>No</v>
      </c>
      <c r="O718" s="6" t="s">
        <v>48</v>
      </c>
    </row>
    <row r="719" customFormat="false" ht="15" hidden="false" customHeight="false" outlineLevel="0" collapsed="false">
      <c r="A719" s="6" t="s">
        <v>1547</v>
      </c>
      <c r="B719" s="6" t="s">
        <v>1548</v>
      </c>
      <c r="C719" s="6" t="s">
        <v>75</v>
      </c>
      <c r="D719" s="6" t="n">
        <v>28</v>
      </c>
      <c r="E719" s="6" t="s">
        <v>95</v>
      </c>
      <c r="F719" s="6" t="s">
        <v>95</v>
      </c>
      <c r="G719" s="26" t="n">
        <v>46101</v>
      </c>
      <c r="H719" s="6" t="s">
        <v>115</v>
      </c>
      <c r="I719" s="26" t="n">
        <f aca="false">_xlfn.MINIFS(Transaction!$C$2:$C$8421,Transaction!$B$2:$B$8421,A719)</f>
        <v>46102</v>
      </c>
      <c r="J719" s="26" t="n">
        <f aca="false">_xlfn.MAXIFS(Transaction!$C$2:$C$8421,Transaction!$B$2:$B$8421,A719)</f>
        <v>46102</v>
      </c>
      <c r="K719" s="6" t="n">
        <f aca="false">COUNTIF(Transaction!$B$2:$B$8421,A719)</f>
        <v>1</v>
      </c>
      <c r="L719" s="10" t="n">
        <f aca="false">SUMIF(Transaction!$B$2:$B$8421,A719,Transaction!$H$2:$H$8421)</f>
        <v>1954</v>
      </c>
      <c r="M719" s="6" t="n">
        <f aca="false">Summary!$B$3-J719</f>
        <v>164</v>
      </c>
      <c r="N719" s="6" t="str">
        <f aca="false">IF(K719&gt;1,"Yes","No")</f>
        <v>No</v>
      </c>
      <c r="O719" s="6" t="s">
        <v>49</v>
      </c>
    </row>
    <row r="720" customFormat="false" ht="15" hidden="false" customHeight="false" outlineLevel="0" collapsed="false">
      <c r="A720" s="6" t="s">
        <v>1549</v>
      </c>
      <c r="B720" s="6" t="s">
        <v>1550</v>
      </c>
      <c r="C720" s="6" t="s">
        <v>75</v>
      </c>
      <c r="D720" s="6" t="n">
        <v>22</v>
      </c>
      <c r="E720" s="6" t="s">
        <v>134</v>
      </c>
      <c r="F720" s="6" t="s">
        <v>135</v>
      </c>
      <c r="G720" s="26" t="n">
        <v>46136</v>
      </c>
      <c r="H720" s="6" t="s">
        <v>123</v>
      </c>
      <c r="I720" s="26" t="n">
        <f aca="false">_xlfn.MINIFS(Transaction!$C$2:$C$8421,Transaction!$B$2:$B$8421,A720)</f>
        <v>46216</v>
      </c>
      <c r="J720" s="26" t="n">
        <f aca="false">_xlfn.MAXIFS(Transaction!$C$2:$C$8421,Transaction!$B$2:$B$8421,A720)</f>
        <v>46216</v>
      </c>
      <c r="K720" s="6" t="n">
        <f aca="false">COUNTIF(Transaction!$B$2:$B$8421,A720)</f>
        <v>1</v>
      </c>
      <c r="L720" s="10" t="n">
        <f aca="false">SUMIF(Transaction!$B$2:$B$8421,A720,Transaction!$H$2:$H$8421)</f>
        <v>2161</v>
      </c>
      <c r="M720" s="6" t="n">
        <f aca="false">Summary!$B$3-J720</f>
        <v>50</v>
      </c>
      <c r="N720" s="6" t="str">
        <f aca="false">IF(K720&gt;1,"Yes","No")</f>
        <v>No</v>
      </c>
      <c r="O720" s="6" t="s">
        <v>47</v>
      </c>
    </row>
    <row r="721" customFormat="false" ht="15" hidden="false" customHeight="false" outlineLevel="0" collapsed="false">
      <c r="A721" s="6" t="s">
        <v>1551</v>
      </c>
      <c r="B721" s="6" t="s">
        <v>1552</v>
      </c>
      <c r="C721" s="6" t="s">
        <v>75</v>
      </c>
      <c r="D721" s="6" t="n">
        <v>29</v>
      </c>
      <c r="E721" s="6" t="s">
        <v>91</v>
      </c>
      <c r="F721" s="6" t="s">
        <v>77</v>
      </c>
      <c r="G721" s="26" t="n">
        <v>46079</v>
      </c>
      <c r="H721" s="6" t="s">
        <v>92</v>
      </c>
      <c r="I721" s="26" t="n">
        <f aca="false">_xlfn.MINIFS(Transaction!$C$2:$C$8421,Transaction!$B$2:$B$8421,A721)</f>
        <v>46133</v>
      </c>
      <c r="J721" s="26" t="n">
        <f aca="false">_xlfn.MAXIFS(Transaction!$C$2:$C$8421,Transaction!$B$2:$B$8421,A721)</f>
        <v>46133</v>
      </c>
      <c r="K721" s="6" t="n">
        <f aca="false">COUNTIF(Transaction!$B$2:$B$8421,A721)</f>
        <v>1</v>
      </c>
      <c r="L721" s="10" t="n">
        <f aca="false">SUMIF(Transaction!$B$2:$B$8421,A721,Transaction!$H$2:$H$8421)</f>
        <v>3340</v>
      </c>
      <c r="M721" s="6" t="n">
        <f aca="false">Summary!$B$3-J721</f>
        <v>133</v>
      </c>
      <c r="N721" s="6" t="str">
        <f aca="false">IF(K721&gt;1,"Yes","No")</f>
        <v>No</v>
      </c>
      <c r="O721" s="6" t="s">
        <v>48</v>
      </c>
    </row>
    <row r="722" customFormat="false" ht="15" hidden="false" customHeight="false" outlineLevel="0" collapsed="false">
      <c r="A722" s="6" t="s">
        <v>1553</v>
      </c>
      <c r="B722" s="6" t="s">
        <v>1554</v>
      </c>
      <c r="C722" s="6" t="s">
        <v>75</v>
      </c>
      <c r="D722" s="6" t="n">
        <v>44</v>
      </c>
      <c r="E722" s="6" t="s">
        <v>76</v>
      </c>
      <c r="F722" s="6" t="s">
        <v>77</v>
      </c>
      <c r="G722" s="26" t="n">
        <v>46054</v>
      </c>
      <c r="H722" s="6" t="s">
        <v>115</v>
      </c>
      <c r="I722" s="26" t="n">
        <f aca="false">_xlfn.MINIFS(Transaction!$C$2:$C$8421,Transaction!$B$2:$B$8421,A722)</f>
        <v>46079</v>
      </c>
      <c r="J722" s="26" t="n">
        <f aca="false">_xlfn.MAXIFS(Transaction!$C$2:$C$8421,Transaction!$B$2:$B$8421,A722)</f>
        <v>46079</v>
      </c>
      <c r="K722" s="6" t="n">
        <f aca="false">COUNTIF(Transaction!$B$2:$B$8421,A722)</f>
        <v>1</v>
      </c>
      <c r="L722" s="10" t="n">
        <f aca="false">SUMIF(Transaction!$B$2:$B$8421,A722,Transaction!$H$2:$H$8421)</f>
        <v>743</v>
      </c>
      <c r="M722" s="6" t="n">
        <f aca="false">Summary!$B$3-J722</f>
        <v>187</v>
      </c>
      <c r="N722" s="6" t="str">
        <f aca="false">IF(K722&gt;1,"Yes","No")</f>
        <v>No</v>
      </c>
      <c r="O722" s="6" t="s">
        <v>49</v>
      </c>
    </row>
    <row r="723" customFormat="false" ht="15" hidden="false" customHeight="false" outlineLevel="0" collapsed="false">
      <c r="A723" s="6" t="s">
        <v>1555</v>
      </c>
      <c r="B723" s="6" t="s">
        <v>1556</v>
      </c>
      <c r="C723" s="6" t="s">
        <v>75</v>
      </c>
      <c r="D723" s="6" t="n">
        <v>40</v>
      </c>
      <c r="E723" s="6" t="s">
        <v>105</v>
      </c>
      <c r="F723" s="6" t="s">
        <v>106</v>
      </c>
      <c r="G723" s="26" t="n">
        <v>46101</v>
      </c>
      <c r="H723" s="6" t="s">
        <v>92</v>
      </c>
      <c r="I723" s="26" t="n">
        <f aca="false">_xlfn.MINIFS(Transaction!$C$2:$C$8421,Transaction!$B$2:$B$8421,A723)</f>
        <v>46119</v>
      </c>
      <c r="J723" s="26" t="n">
        <f aca="false">_xlfn.MAXIFS(Transaction!$C$2:$C$8421,Transaction!$B$2:$B$8421,A723)</f>
        <v>46119</v>
      </c>
      <c r="K723" s="6" t="n">
        <f aca="false">COUNTIF(Transaction!$B$2:$B$8421,A723)</f>
        <v>1</v>
      </c>
      <c r="L723" s="10" t="n">
        <f aca="false">SUMIF(Transaction!$B$2:$B$8421,A723,Transaction!$H$2:$H$8421)</f>
        <v>743</v>
      </c>
      <c r="M723" s="6" t="n">
        <f aca="false">Summary!$B$3-J723</f>
        <v>147</v>
      </c>
      <c r="N723" s="6" t="str">
        <f aca="false">IF(K723&gt;1,"Yes","No")</f>
        <v>No</v>
      </c>
      <c r="O723" s="6" t="s">
        <v>48</v>
      </c>
    </row>
    <row r="724" customFormat="false" ht="15" hidden="false" customHeight="false" outlineLevel="0" collapsed="false">
      <c r="A724" s="6" t="s">
        <v>1557</v>
      </c>
      <c r="B724" s="6" t="s">
        <v>1558</v>
      </c>
      <c r="C724" s="6" t="s">
        <v>75</v>
      </c>
      <c r="D724" s="6" t="n">
        <v>37</v>
      </c>
      <c r="E724" s="6" t="s">
        <v>81</v>
      </c>
      <c r="F724" s="6" t="s">
        <v>82</v>
      </c>
      <c r="G724" s="26" t="n">
        <v>46062</v>
      </c>
      <c r="H724" s="6" t="s">
        <v>102</v>
      </c>
      <c r="I724" s="26" t="n">
        <f aca="false">_xlfn.MINIFS(Transaction!$C$2:$C$8421,Transaction!$B$2:$B$8421,A724)</f>
        <v>46152</v>
      </c>
      <c r="J724" s="26" t="n">
        <f aca="false">_xlfn.MAXIFS(Transaction!$C$2:$C$8421,Transaction!$B$2:$B$8421,A724)</f>
        <v>46152</v>
      </c>
      <c r="K724" s="6" t="n">
        <f aca="false">COUNTIF(Transaction!$B$2:$B$8421,A724)</f>
        <v>1</v>
      </c>
      <c r="L724" s="10" t="n">
        <f aca="false">SUMIF(Transaction!$B$2:$B$8421,A724,Transaction!$H$2:$H$8421)</f>
        <v>928</v>
      </c>
      <c r="M724" s="6" t="n">
        <f aca="false">Summary!$B$3-J724</f>
        <v>114</v>
      </c>
      <c r="N724" s="6" t="str">
        <f aca="false">IF(K724&gt;1,"Yes","No")</f>
        <v>No</v>
      </c>
      <c r="O724" s="6" t="s">
        <v>48</v>
      </c>
    </row>
    <row r="725" customFormat="false" ht="15" hidden="false" customHeight="false" outlineLevel="0" collapsed="false">
      <c r="A725" s="6" t="s">
        <v>1559</v>
      </c>
      <c r="B725" s="6" t="s">
        <v>1560</v>
      </c>
      <c r="C725" s="6" t="s">
        <v>85</v>
      </c>
      <c r="D725" s="6" t="n">
        <v>30</v>
      </c>
      <c r="E725" s="6" t="s">
        <v>76</v>
      </c>
      <c r="F725" s="6" t="s">
        <v>77</v>
      </c>
      <c r="G725" s="26" t="n">
        <v>46060</v>
      </c>
      <c r="H725" s="6" t="s">
        <v>78</v>
      </c>
      <c r="I725" s="26" t="n">
        <f aca="false">_xlfn.MINIFS(Transaction!$C$2:$C$8421,Transaction!$B$2:$B$8421,A725)</f>
        <v>46109</v>
      </c>
      <c r="J725" s="26" t="n">
        <f aca="false">_xlfn.MAXIFS(Transaction!$C$2:$C$8421,Transaction!$B$2:$B$8421,A725)</f>
        <v>46109</v>
      </c>
      <c r="K725" s="6" t="n">
        <f aca="false">COUNTIF(Transaction!$B$2:$B$8421,A725)</f>
        <v>1</v>
      </c>
      <c r="L725" s="10" t="n">
        <f aca="false">SUMIF(Transaction!$B$2:$B$8421,A725,Transaction!$H$2:$H$8421)</f>
        <v>783</v>
      </c>
      <c r="M725" s="6" t="n">
        <f aca="false">Summary!$B$3-J725</f>
        <v>157</v>
      </c>
      <c r="N725" s="6" t="str">
        <f aca="false">IF(K725&gt;1,"Yes","No")</f>
        <v>No</v>
      </c>
      <c r="O725" s="6" t="s">
        <v>49</v>
      </c>
    </row>
    <row r="726" customFormat="false" ht="15" hidden="false" customHeight="false" outlineLevel="0" collapsed="false">
      <c r="A726" s="6" t="s">
        <v>1561</v>
      </c>
      <c r="B726" s="6" t="s">
        <v>1562</v>
      </c>
      <c r="C726" s="6" t="s">
        <v>75</v>
      </c>
      <c r="D726" s="6" t="n">
        <v>40</v>
      </c>
      <c r="E726" s="6" t="s">
        <v>180</v>
      </c>
      <c r="F726" s="6" t="s">
        <v>181</v>
      </c>
      <c r="G726" s="26" t="n">
        <v>46017</v>
      </c>
      <c r="H726" s="6" t="s">
        <v>92</v>
      </c>
      <c r="I726" s="26" t="n">
        <f aca="false">_xlfn.MINIFS(Transaction!$C$2:$C$8421,Transaction!$B$2:$B$8421,A726)</f>
        <v>46106</v>
      </c>
      <c r="J726" s="26" t="n">
        <f aca="false">_xlfn.MAXIFS(Transaction!$C$2:$C$8421,Transaction!$B$2:$B$8421,A726)</f>
        <v>46106</v>
      </c>
      <c r="K726" s="6" t="n">
        <f aca="false">COUNTIF(Transaction!$B$2:$B$8421,A726)</f>
        <v>1</v>
      </c>
      <c r="L726" s="10" t="n">
        <f aca="false">SUMIF(Transaction!$B$2:$B$8421,A726,Transaction!$H$2:$H$8421)</f>
        <v>1888</v>
      </c>
      <c r="M726" s="6" t="n">
        <f aca="false">Summary!$B$3-J726</f>
        <v>160</v>
      </c>
      <c r="N726" s="6" t="str">
        <f aca="false">IF(K726&gt;1,"Yes","No")</f>
        <v>No</v>
      </c>
      <c r="O726" s="6" t="s">
        <v>49</v>
      </c>
    </row>
    <row r="727" customFormat="false" ht="15" hidden="false" customHeight="false" outlineLevel="0" collapsed="false">
      <c r="A727" s="6" t="s">
        <v>1563</v>
      </c>
      <c r="B727" s="6" t="s">
        <v>1564</v>
      </c>
      <c r="C727" s="6" t="s">
        <v>75</v>
      </c>
      <c r="D727" s="6" t="n">
        <v>39</v>
      </c>
      <c r="E727" s="6" t="s">
        <v>81</v>
      </c>
      <c r="F727" s="6" t="s">
        <v>82</v>
      </c>
      <c r="G727" s="26" t="n">
        <v>45985</v>
      </c>
      <c r="H727" s="6" t="s">
        <v>115</v>
      </c>
      <c r="I727" s="26" t="n">
        <f aca="false">_xlfn.MINIFS(Transaction!$C$2:$C$8421,Transaction!$B$2:$B$8421,A727)</f>
        <v>46035</v>
      </c>
      <c r="J727" s="26" t="n">
        <f aca="false">_xlfn.MAXIFS(Transaction!$C$2:$C$8421,Transaction!$B$2:$B$8421,A727)</f>
        <v>46254</v>
      </c>
      <c r="K727" s="6" t="n">
        <f aca="false">COUNTIF(Transaction!$B$2:$B$8421,A727)</f>
        <v>11</v>
      </c>
      <c r="L727" s="10" t="n">
        <f aca="false">SUMIF(Transaction!$B$2:$B$8421,A727,Transaction!$H$2:$H$8421)</f>
        <v>19040</v>
      </c>
      <c r="M727" s="6" t="n">
        <f aca="false">Summary!$B$3-J727</f>
        <v>12</v>
      </c>
      <c r="N727" s="6" t="str">
        <f aca="false">IF(K727&gt;1,"Yes","No")</f>
        <v>Yes</v>
      </c>
      <c r="O727" s="6" t="s">
        <v>45</v>
      </c>
    </row>
    <row r="728" customFormat="false" ht="15" hidden="false" customHeight="false" outlineLevel="0" collapsed="false">
      <c r="A728" s="6" t="s">
        <v>1565</v>
      </c>
      <c r="B728" s="6" t="s">
        <v>1566</v>
      </c>
      <c r="C728" s="6" t="s">
        <v>75</v>
      </c>
      <c r="D728" s="6" t="n">
        <v>41</v>
      </c>
      <c r="E728" s="6" t="s">
        <v>86</v>
      </c>
      <c r="F728" s="6" t="s">
        <v>87</v>
      </c>
      <c r="G728" s="26" t="n">
        <v>46139</v>
      </c>
      <c r="H728" s="6" t="s">
        <v>78</v>
      </c>
      <c r="I728" s="26" t="n">
        <f aca="false">_xlfn.MINIFS(Transaction!$C$2:$C$8421,Transaction!$B$2:$B$8421,A728)</f>
        <v>46190</v>
      </c>
      <c r="J728" s="26" t="n">
        <f aca="false">_xlfn.MAXIFS(Transaction!$C$2:$C$8421,Transaction!$B$2:$B$8421,A728)</f>
        <v>46190</v>
      </c>
      <c r="K728" s="6" t="n">
        <f aca="false">COUNTIF(Transaction!$B$2:$B$8421,A728)</f>
        <v>1</v>
      </c>
      <c r="L728" s="10" t="n">
        <f aca="false">SUMIF(Transaction!$B$2:$B$8421,A728,Transaction!$H$2:$H$8421)</f>
        <v>3305</v>
      </c>
      <c r="M728" s="6" t="n">
        <f aca="false">Summary!$B$3-J728</f>
        <v>76</v>
      </c>
      <c r="N728" s="6" t="str">
        <f aca="false">IF(K728&gt;1,"Yes","No")</f>
        <v>No</v>
      </c>
      <c r="O728" s="6" t="s">
        <v>47</v>
      </c>
    </row>
    <row r="729" customFormat="false" ht="15" hidden="false" customHeight="false" outlineLevel="0" collapsed="false">
      <c r="A729" s="6" t="s">
        <v>1567</v>
      </c>
      <c r="B729" s="6" t="s">
        <v>1568</v>
      </c>
      <c r="C729" s="6" t="s">
        <v>85</v>
      </c>
      <c r="D729" s="6" t="n">
        <v>22</v>
      </c>
      <c r="E729" s="6" t="s">
        <v>81</v>
      </c>
      <c r="F729" s="6" t="s">
        <v>82</v>
      </c>
      <c r="G729" s="26" t="n">
        <v>46036</v>
      </c>
      <c r="H729" s="6" t="s">
        <v>115</v>
      </c>
      <c r="I729" s="26" t="n">
        <f aca="false">_xlfn.MINIFS(Transaction!$C$2:$C$8421,Transaction!$B$2:$B$8421,A729)</f>
        <v>46120</v>
      </c>
      <c r="J729" s="26" t="n">
        <f aca="false">_xlfn.MAXIFS(Transaction!$C$2:$C$8421,Transaction!$B$2:$B$8421,A729)</f>
        <v>46233</v>
      </c>
      <c r="K729" s="6" t="n">
        <f aca="false">COUNTIF(Transaction!$B$2:$B$8421,A729)</f>
        <v>3</v>
      </c>
      <c r="L729" s="10" t="n">
        <f aca="false">SUMIF(Transaction!$B$2:$B$8421,A729,Transaction!$H$2:$H$8421)</f>
        <v>15462</v>
      </c>
      <c r="M729" s="6" t="n">
        <f aca="false">Summary!$B$3-J729</f>
        <v>33</v>
      </c>
      <c r="N729" s="6" t="str">
        <f aca="false">IF(K729&gt;1,"Yes","No")</f>
        <v>Yes</v>
      </c>
      <c r="O729" s="6" t="s">
        <v>46</v>
      </c>
    </row>
    <row r="730" customFormat="false" ht="15" hidden="false" customHeight="false" outlineLevel="0" collapsed="false">
      <c r="A730" s="6" t="s">
        <v>1569</v>
      </c>
      <c r="B730" s="6" t="s">
        <v>1570</v>
      </c>
      <c r="C730" s="6" t="s">
        <v>75</v>
      </c>
      <c r="D730" s="6" t="n">
        <v>36</v>
      </c>
      <c r="E730" s="6" t="s">
        <v>126</v>
      </c>
      <c r="F730" s="6" t="s">
        <v>127</v>
      </c>
      <c r="G730" s="26" t="n">
        <v>46061</v>
      </c>
      <c r="H730" s="6" t="s">
        <v>115</v>
      </c>
      <c r="I730" s="26" t="n">
        <f aca="false">_xlfn.MINIFS(Transaction!$C$2:$C$8421,Transaction!$B$2:$B$8421,A730)</f>
        <v>46138</v>
      </c>
      <c r="J730" s="26" t="n">
        <f aca="false">_xlfn.MAXIFS(Transaction!$C$2:$C$8421,Transaction!$B$2:$B$8421,A730)</f>
        <v>46222</v>
      </c>
      <c r="K730" s="6" t="n">
        <f aca="false">COUNTIF(Transaction!$B$2:$B$8421,A730)</f>
        <v>3</v>
      </c>
      <c r="L730" s="10" t="n">
        <f aca="false">SUMIF(Transaction!$B$2:$B$8421,A730,Transaction!$H$2:$H$8421)</f>
        <v>7418</v>
      </c>
      <c r="M730" s="6" t="n">
        <f aca="false">Summary!$B$3-J730</f>
        <v>44</v>
      </c>
      <c r="N730" s="6" t="str">
        <f aca="false">IF(K730&gt;1,"Yes","No")</f>
        <v>Yes</v>
      </c>
      <c r="O730" s="6" t="s">
        <v>46</v>
      </c>
    </row>
    <row r="731" customFormat="false" ht="15" hidden="false" customHeight="false" outlineLevel="0" collapsed="false">
      <c r="A731" s="6" t="s">
        <v>1571</v>
      </c>
      <c r="B731" s="6" t="s">
        <v>1572</v>
      </c>
      <c r="C731" s="6" t="s">
        <v>75</v>
      </c>
      <c r="D731" s="6" t="n">
        <v>43</v>
      </c>
      <c r="E731" s="6" t="s">
        <v>176</v>
      </c>
      <c r="F731" s="6" t="s">
        <v>177</v>
      </c>
      <c r="G731" s="26" t="n">
        <v>45975</v>
      </c>
      <c r="H731" s="6" t="s">
        <v>92</v>
      </c>
      <c r="I731" s="26" t="n">
        <f aca="false">_xlfn.MINIFS(Transaction!$C$2:$C$8421,Transaction!$B$2:$B$8421,A731)</f>
        <v>46057</v>
      </c>
      <c r="J731" s="26" t="n">
        <f aca="false">_xlfn.MAXIFS(Transaction!$C$2:$C$8421,Transaction!$B$2:$B$8421,A731)</f>
        <v>46248</v>
      </c>
      <c r="K731" s="6" t="n">
        <f aca="false">COUNTIF(Transaction!$B$2:$B$8421,A731)</f>
        <v>10</v>
      </c>
      <c r="L731" s="10" t="n">
        <f aca="false">SUMIF(Transaction!$B$2:$B$8421,A731,Transaction!$H$2:$H$8421)</f>
        <v>16389</v>
      </c>
      <c r="M731" s="6" t="n">
        <f aca="false">Summary!$B$3-J731</f>
        <v>18</v>
      </c>
      <c r="N731" s="6" t="str">
        <f aca="false">IF(K731&gt;1,"Yes","No")</f>
        <v>Yes</v>
      </c>
      <c r="O731" s="6" t="s">
        <v>45</v>
      </c>
    </row>
    <row r="732" customFormat="false" ht="15" hidden="false" customHeight="false" outlineLevel="0" collapsed="false">
      <c r="A732" s="6" t="s">
        <v>1573</v>
      </c>
      <c r="B732" s="6" t="s">
        <v>1574</v>
      </c>
      <c r="C732" s="6" t="s">
        <v>85</v>
      </c>
      <c r="D732" s="6" t="n">
        <v>22</v>
      </c>
      <c r="E732" s="6" t="s">
        <v>95</v>
      </c>
      <c r="F732" s="6" t="s">
        <v>95</v>
      </c>
      <c r="G732" s="26" t="n">
        <v>46054</v>
      </c>
      <c r="H732" s="6" t="s">
        <v>115</v>
      </c>
      <c r="I732" s="26" t="n">
        <f aca="false">_xlfn.MINIFS(Transaction!$C$2:$C$8421,Transaction!$B$2:$B$8421,A732)</f>
        <v>46076</v>
      </c>
      <c r="J732" s="26" t="n">
        <f aca="false">_xlfn.MAXIFS(Transaction!$C$2:$C$8421,Transaction!$B$2:$B$8421,A732)</f>
        <v>46208</v>
      </c>
      <c r="K732" s="6" t="n">
        <f aca="false">COUNTIF(Transaction!$B$2:$B$8421,A732)</f>
        <v>4</v>
      </c>
      <c r="L732" s="10" t="n">
        <f aca="false">SUMIF(Transaction!$B$2:$B$8421,A732,Transaction!$H$2:$H$8421)</f>
        <v>4022</v>
      </c>
      <c r="M732" s="6" t="n">
        <f aca="false">Summary!$B$3-J732</f>
        <v>58</v>
      </c>
      <c r="N732" s="6" t="str">
        <f aca="false">IF(K732&gt;1,"Yes","No")</f>
        <v>Yes</v>
      </c>
      <c r="O732" s="6" t="s">
        <v>46</v>
      </c>
    </row>
    <row r="733" customFormat="false" ht="15" hidden="false" customHeight="false" outlineLevel="0" collapsed="false">
      <c r="A733" s="6" t="s">
        <v>1575</v>
      </c>
      <c r="B733" s="6" t="s">
        <v>1576</v>
      </c>
      <c r="C733" s="6" t="s">
        <v>75</v>
      </c>
      <c r="D733" s="6" t="n">
        <v>34</v>
      </c>
      <c r="E733" s="6" t="s">
        <v>76</v>
      </c>
      <c r="F733" s="6" t="s">
        <v>77</v>
      </c>
      <c r="G733" s="26" t="n">
        <v>46064</v>
      </c>
      <c r="H733" s="6" t="s">
        <v>88</v>
      </c>
      <c r="I733" s="26" t="n">
        <f aca="false">_xlfn.MINIFS(Transaction!$C$2:$C$8421,Transaction!$B$2:$B$8421,A733)</f>
        <v>46129</v>
      </c>
      <c r="J733" s="26" t="n">
        <f aca="false">_xlfn.MAXIFS(Transaction!$C$2:$C$8421,Transaction!$B$2:$B$8421,A733)</f>
        <v>46257</v>
      </c>
      <c r="K733" s="6" t="n">
        <f aca="false">COUNTIF(Transaction!$B$2:$B$8421,A733)</f>
        <v>4</v>
      </c>
      <c r="L733" s="10" t="n">
        <f aca="false">SUMIF(Transaction!$B$2:$B$8421,A733,Transaction!$H$2:$H$8421)</f>
        <v>3983</v>
      </c>
      <c r="M733" s="6" t="n">
        <f aca="false">Summary!$B$3-J733</f>
        <v>9</v>
      </c>
      <c r="N733" s="6" t="str">
        <f aca="false">IF(K733&gt;1,"Yes","No")</f>
        <v>Yes</v>
      </c>
      <c r="O733" s="6" t="s">
        <v>46</v>
      </c>
    </row>
    <row r="734" customFormat="false" ht="15" hidden="false" customHeight="false" outlineLevel="0" collapsed="false">
      <c r="A734" s="6" t="s">
        <v>1577</v>
      </c>
      <c r="B734" s="6" t="s">
        <v>1578</v>
      </c>
      <c r="C734" s="6" t="s">
        <v>85</v>
      </c>
      <c r="D734" s="6" t="n">
        <v>29</v>
      </c>
      <c r="E734" s="6" t="s">
        <v>121</v>
      </c>
      <c r="F734" s="6" t="s">
        <v>122</v>
      </c>
      <c r="G734" s="26" t="n">
        <v>46024</v>
      </c>
      <c r="H734" s="6" t="s">
        <v>115</v>
      </c>
      <c r="I734" s="26" t="n">
        <f aca="false">_xlfn.MINIFS(Transaction!$C$2:$C$8421,Transaction!$B$2:$B$8421,A734)</f>
        <v>46032</v>
      </c>
      <c r="J734" s="26" t="n">
        <f aca="false">_xlfn.MAXIFS(Transaction!$C$2:$C$8421,Transaction!$B$2:$B$8421,A734)</f>
        <v>46265</v>
      </c>
      <c r="K734" s="6" t="n">
        <f aca="false">COUNTIF(Transaction!$B$2:$B$8421,A734)</f>
        <v>11</v>
      </c>
      <c r="L734" s="10" t="n">
        <f aca="false">SUMIF(Transaction!$B$2:$B$8421,A734,Transaction!$H$2:$H$8421)</f>
        <v>30136</v>
      </c>
      <c r="M734" s="6" t="n">
        <f aca="false">Summary!$B$3-J734</f>
        <v>1</v>
      </c>
      <c r="N734" s="6" t="str">
        <f aca="false">IF(K734&gt;1,"Yes","No")</f>
        <v>Yes</v>
      </c>
      <c r="O734" s="6" t="s">
        <v>45</v>
      </c>
    </row>
    <row r="735" customFormat="false" ht="15" hidden="false" customHeight="false" outlineLevel="0" collapsed="false">
      <c r="A735" s="6" t="s">
        <v>1579</v>
      </c>
      <c r="B735" s="6" t="s">
        <v>1580</v>
      </c>
      <c r="C735" s="6" t="s">
        <v>85</v>
      </c>
      <c r="D735" s="6" t="n">
        <v>28</v>
      </c>
      <c r="E735" s="6" t="s">
        <v>91</v>
      </c>
      <c r="F735" s="6" t="s">
        <v>77</v>
      </c>
      <c r="G735" s="26" t="n">
        <v>46162</v>
      </c>
      <c r="H735" s="6" t="s">
        <v>78</v>
      </c>
      <c r="I735" s="26" t="n">
        <f aca="false">_xlfn.MINIFS(Transaction!$C$2:$C$8421,Transaction!$B$2:$B$8421,A735)</f>
        <v>46249</v>
      </c>
      <c r="J735" s="26" t="n">
        <f aca="false">_xlfn.MAXIFS(Transaction!$C$2:$C$8421,Transaction!$B$2:$B$8421,A735)</f>
        <v>46249</v>
      </c>
      <c r="K735" s="6" t="n">
        <f aca="false">COUNTIF(Transaction!$B$2:$B$8421,A735)</f>
        <v>1</v>
      </c>
      <c r="L735" s="10" t="n">
        <f aca="false">SUMIF(Transaction!$B$2:$B$8421,A735,Transaction!$H$2:$H$8421)</f>
        <v>28553</v>
      </c>
      <c r="M735" s="6" t="n">
        <f aca="false">Summary!$B$3-J735</f>
        <v>17</v>
      </c>
      <c r="N735" s="6" t="str">
        <f aca="false">IF(K735&gt;1,"Yes","No")</f>
        <v>No</v>
      </c>
      <c r="O735" s="6" t="s">
        <v>47</v>
      </c>
    </row>
    <row r="736" customFormat="false" ht="15" hidden="false" customHeight="false" outlineLevel="0" collapsed="false">
      <c r="A736" s="6" t="s">
        <v>1581</v>
      </c>
      <c r="B736" s="6" t="s">
        <v>1582</v>
      </c>
      <c r="C736" s="6" t="s">
        <v>75</v>
      </c>
      <c r="D736" s="6" t="n">
        <v>29</v>
      </c>
      <c r="E736" s="6" t="s">
        <v>176</v>
      </c>
      <c r="F736" s="6" t="s">
        <v>177</v>
      </c>
      <c r="G736" s="26" t="n">
        <v>46224</v>
      </c>
      <c r="H736" s="6" t="s">
        <v>92</v>
      </c>
      <c r="I736" s="26" t="n">
        <f aca="false">_xlfn.MINIFS(Transaction!$C$2:$C$8421,Transaction!$B$2:$B$8421,A736)</f>
        <v>46233</v>
      </c>
      <c r="J736" s="26" t="n">
        <f aca="false">_xlfn.MAXIFS(Transaction!$C$2:$C$8421,Transaction!$B$2:$B$8421,A736)</f>
        <v>46233</v>
      </c>
      <c r="K736" s="6" t="n">
        <f aca="false">COUNTIF(Transaction!$B$2:$B$8421,A736)</f>
        <v>1</v>
      </c>
      <c r="L736" s="10" t="n">
        <f aca="false">SUMIF(Transaction!$B$2:$B$8421,A736,Transaction!$H$2:$H$8421)</f>
        <v>763</v>
      </c>
      <c r="M736" s="6" t="n">
        <f aca="false">Summary!$B$3-J736</f>
        <v>33</v>
      </c>
      <c r="N736" s="6" t="str">
        <f aca="false">IF(K736&gt;1,"Yes","No")</f>
        <v>No</v>
      </c>
      <c r="O736" s="6" t="s">
        <v>47</v>
      </c>
    </row>
    <row r="737" customFormat="false" ht="15" hidden="false" customHeight="false" outlineLevel="0" collapsed="false">
      <c r="A737" s="6" t="s">
        <v>1583</v>
      </c>
      <c r="B737" s="6" t="s">
        <v>1584</v>
      </c>
      <c r="C737" s="6" t="s">
        <v>85</v>
      </c>
      <c r="D737" s="6" t="n">
        <v>27</v>
      </c>
      <c r="E737" s="6" t="s">
        <v>121</v>
      </c>
      <c r="F737" s="6" t="s">
        <v>122</v>
      </c>
      <c r="G737" s="26" t="n">
        <v>46186</v>
      </c>
      <c r="H737" s="6" t="s">
        <v>123</v>
      </c>
      <c r="I737" s="26" t="n">
        <f aca="false">_xlfn.MINIFS(Transaction!$C$2:$C$8421,Transaction!$B$2:$B$8421,A737)</f>
        <v>46235</v>
      </c>
      <c r="J737" s="26" t="n">
        <f aca="false">_xlfn.MAXIFS(Transaction!$C$2:$C$8421,Transaction!$B$2:$B$8421,A737)</f>
        <v>46235</v>
      </c>
      <c r="K737" s="6" t="n">
        <f aca="false">COUNTIF(Transaction!$B$2:$B$8421,A737)</f>
        <v>1</v>
      </c>
      <c r="L737" s="10" t="n">
        <f aca="false">SUMIF(Transaction!$B$2:$B$8421,A737,Transaction!$H$2:$H$8421)</f>
        <v>1672</v>
      </c>
      <c r="M737" s="6" t="n">
        <f aca="false">Summary!$B$3-J737</f>
        <v>31</v>
      </c>
      <c r="N737" s="6" t="str">
        <f aca="false">IF(K737&gt;1,"Yes","No")</f>
        <v>No</v>
      </c>
      <c r="O737" s="6" t="s">
        <v>47</v>
      </c>
    </row>
    <row r="738" customFormat="false" ht="15" hidden="false" customHeight="false" outlineLevel="0" collapsed="false">
      <c r="A738" s="6" t="s">
        <v>1585</v>
      </c>
      <c r="B738" s="6" t="s">
        <v>1586</v>
      </c>
      <c r="C738" s="6" t="s">
        <v>75</v>
      </c>
      <c r="D738" s="6" t="n">
        <v>27</v>
      </c>
      <c r="E738" s="6" t="s">
        <v>91</v>
      </c>
      <c r="F738" s="6" t="s">
        <v>77</v>
      </c>
      <c r="G738" s="26" t="n">
        <v>46015</v>
      </c>
      <c r="H738" s="6" t="s">
        <v>92</v>
      </c>
      <c r="I738" s="26" t="n">
        <f aca="false">_xlfn.MINIFS(Transaction!$C$2:$C$8421,Transaction!$B$2:$B$8421,A738)</f>
        <v>46077</v>
      </c>
      <c r="J738" s="26" t="n">
        <f aca="false">_xlfn.MAXIFS(Transaction!$C$2:$C$8421,Transaction!$B$2:$B$8421,A738)</f>
        <v>46184</v>
      </c>
      <c r="K738" s="6" t="n">
        <f aca="false">COUNTIF(Transaction!$B$2:$B$8421,A738)</f>
        <v>4</v>
      </c>
      <c r="L738" s="10" t="n">
        <f aca="false">SUMIF(Transaction!$B$2:$B$8421,A738,Transaction!$H$2:$H$8421)</f>
        <v>4885</v>
      </c>
      <c r="M738" s="6" t="n">
        <f aca="false">Summary!$B$3-J738</f>
        <v>82</v>
      </c>
      <c r="N738" s="6" t="str">
        <f aca="false">IF(K738&gt;1,"Yes","No")</f>
        <v>Yes</v>
      </c>
      <c r="O738" s="6" t="s">
        <v>46</v>
      </c>
    </row>
    <row r="739" customFormat="false" ht="15" hidden="false" customHeight="false" outlineLevel="0" collapsed="false">
      <c r="A739" s="6" t="s">
        <v>1587</v>
      </c>
      <c r="B739" s="6" t="s">
        <v>1588</v>
      </c>
      <c r="C739" s="6" t="s">
        <v>85</v>
      </c>
      <c r="D739" s="6" t="n">
        <v>33</v>
      </c>
      <c r="E739" s="6" t="s">
        <v>176</v>
      </c>
      <c r="F739" s="6" t="s">
        <v>177</v>
      </c>
      <c r="G739" s="26" t="n">
        <v>45996</v>
      </c>
      <c r="H739" s="6" t="s">
        <v>123</v>
      </c>
      <c r="I739" s="26" t="n">
        <f aca="false">_xlfn.MINIFS(Transaction!$C$2:$C$8421,Transaction!$B$2:$B$8421,A739)</f>
        <v>46064</v>
      </c>
      <c r="J739" s="26" t="n">
        <f aca="false">_xlfn.MAXIFS(Transaction!$C$2:$C$8421,Transaction!$B$2:$B$8421,A739)</f>
        <v>46262</v>
      </c>
      <c r="K739" s="6" t="n">
        <f aca="false">COUNTIF(Transaction!$B$2:$B$8421,A739)</f>
        <v>11</v>
      </c>
      <c r="L739" s="10" t="n">
        <f aca="false">SUMIF(Transaction!$B$2:$B$8421,A739,Transaction!$H$2:$H$8421)</f>
        <v>17607</v>
      </c>
      <c r="M739" s="6" t="n">
        <f aca="false">Summary!$B$3-J739</f>
        <v>4</v>
      </c>
      <c r="N739" s="6" t="str">
        <f aca="false">IF(K739&gt;1,"Yes","No")</f>
        <v>Yes</v>
      </c>
      <c r="O739" s="6" t="s">
        <v>45</v>
      </c>
    </row>
    <row r="740" customFormat="false" ht="15" hidden="false" customHeight="false" outlineLevel="0" collapsed="false">
      <c r="A740" s="6" t="s">
        <v>1589</v>
      </c>
      <c r="B740" s="6" t="s">
        <v>1590</v>
      </c>
      <c r="C740" s="6" t="s">
        <v>85</v>
      </c>
      <c r="D740" s="6" t="n">
        <v>37</v>
      </c>
      <c r="E740" s="6" t="s">
        <v>76</v>
      </c>
      <c r="F740" s="6" t="s">
        <v>77</v>
      </c>
      <c r="G740" s="26" t="n">
        <v>46004</v>
      </c>
      <c r="H740" s="6" t="s">
        <v>115</v>
      </c>
      <c r="I740" s="26" t="n">
        <f aca="false">_xlfn.MINIFS(Transaction!$C$2:$C$8421,Transaction!$B$2:$B$8421,A740)</f>
        <v>46036</v>
      </c>
      <c r="J740" s="26" t="n">
        <f aca="false">_xlfn.MAXIFS(Transaction!$C$2:$C$8421,Transaction!$B$2:$B$8421,A740)</f>
        <v>46247</v>
      </c>
      <c r="K740" s="6" t="n">
        <f aca="false">COUNTIF(Transaction!$B$2:$B$8421,A740)</f>
        <v>8</v>
      </c>
      <c r="L740" s="10" t="n">
        <f aca="false">SUMIF(Transaction!$B$2:$B$8421,A740,Transaction!$H$2:$H$8421)</f>
        <v>8492</v>
      </c>
      <c r="M740" s="6" t="n">
        <f aca="false">Summary!$B$3-J740</f>
        <v>19</v>
      </c>
      <c r="N740" s="6" t="str">
        <f aca="false">IF(K740&gt;1,"Yes","No")</f>
        <v>Yes</v>
      </c>
      <c r="O740" s="6" t="s">
        <v>45</v>
      </c>
    </row>
    <row r="741" customFormat="false" ht="15" hidden="false" customHeight="false" outlineLevel="0" collapsed="false">
      <c r="A741" s="6" t="s">
        <v>1591</v>
      </c>
      <c r="B741" s="6" t="s">
        <v>1592</v>
      </c>
      <c r="C741" s="6" t="s">
        <v>85</v>
      </c>
      <c r="D741" s="6" t="n">
        <v>29</v>
      </c>
      <c r="E741" s="6" t="s">
        <v>76</v>
      </c>
      <c r="F741" s="6" t="s">
        <v>77</v>
      </c>
      <c r="G741" s="26" t="n">
        <v>46032</v>
      </c>
      <c r="H741" s="6" t="s">
        <v>123</v>
      </c>
      <c r="I741" s="26" t="n">
        <f aca="false">_xlfn.MINIFS(Transaction!$C$2:$C$8421,Transaction!$B$2:$B$8421,A741)</f>
        <v>46120</v>
      </c>
      <c r="J741" s="26" t="n">
        <f aca="false">_xlfn.MAXIFS(Transaction!$C$2:$C$8421,Transaction!$B$2:$B$8421,A741)</f>
        <v>46120</v>
      </c>
      <c r="K741" s="6" t="n">
        <f aca="false">COUNTIF(Transaction!$B$2:$B$8421,A741)</f>
        <v>1</v>
      </c>
      <c r="L741" s="10" t="n">
        <f aca="false">SUMIF(Transaction!$B$2:$B$8421,A741,Transaction!$H$2:$H$8421)</f>
        <v>2916</v>
      </c>
      <c r="M741" s="6" t="n">
        <f aca="false">Summary!$B$3-J741</f>
        <v>146</v>
      </c>
      <c r="N741" s="6" t="str">
        <f aca="false">IF(K741&gt;1,"Yes","No")</f>
        <v>No</v>
      </c>
      <c r="O741" s="6" t="s">
        <v>48</v>
      </c>
    </row>
    <row r="742" customFormat="false" ht="15" hidden="false" customHeight="false" outlineLevel="0" collapsed="false">
      <c r="A742" s="6" t="s">
        <v>1593</v>
      </c>
      <c r="B742" s="6" t="s">
        <v>1594</v>
      </c>
      <c r="C742" s="6" t="s">
        <v>85</v>
      </c>
      <c r="D742" s="6" t="n">
        <v>33</v>
      </c>
      <c r="E742" s="6" t="s">
        <v>430</v>
      </c>
      <c r="F742" s="6" t="s">
        <v>99</v>
      </c>
      <c r="G742" s="26" t="n">
        <v>46079</v>
      </c>
      <c r="H742" s="6" t="s">
        <v>92</v>
      </c>
      <c r="I742" s="26" t="n">
        <f aca="false">_xlfn.MINIFS(Transaction!$C$2:$C$8421,Transaction!$B$2:$B$8421,A742)</f>
        <v>46144</v>
      </c>
      <c r="J742" s="26" t="n">
        <f aca="false">_xlfn.MAXIFS(Transaction!$C$2:$C$8421,Transaction!$B$2:$B$8421,A742)</f>
        <v>46190</v>
      </c>
      <c r="K742" s="6" t="n">
        <f aca="false">COUNTIF(Transaction!$B$2:$B$8421,A742)</f>
        <v>2</v>
      </c>
      <c r="L742" s="10" t="n">
        <f aca="false">SUMIF(Transaction!$B$2:$B$8421,A742,Transaction!$H$2:$H$8421)</f>
        <v>3398</v>
      </c>
      <c r="M742" s="6" t="n">
        <f aca="false">Summary!$B$3-J742</f>
        <v>76</v>
      </c>
      <c r="N742" s="6" t="str">
        <f aca="false">IF(K742&gt;1,"Yes","No")</f>
        <v>Yes</v>
      </c>
      <c r="O742" s="6" t="s">
        <v>46</v>
      </c>
    </row>
    <row r="743" customFormat="false" ht="15" hidden="false" customHeight="false" outlineLevel="0" collapsed="false">
      <c r="A743" s="6" t="s">
        <v>1595</v>
      </c>
      <c r="B743" s="6" t="s">
        <v>1596</v>
      </c>
      <c r="C743" s="6" t="s">
        <v>85</v>
      </c>
      <c r="D743" s="6" t="n">
        <v>18</v>
      </c>
      <c r="E743" s="6" t="s">
        <v>176</v>
      </c>
      <c r="F743" s="6" t="s">
        <v>177</v>
      </c>
      <c r="G743" s="26" t="n">
        <v>46123</v>
      </c>
      <c r="H743" s="6" t="s">
        <v>102</v>
      </c>
      <c r="I743" s="26" t="n">
        <f aca="false">_xlfn.MINIFS(Transaction!$C$2:$C$8421,Transaction!$B$2:$B$8421,A743)</f>
        <v>46126</v>
      </c>
      <c r="J743" s="26" t="n">
        <f aca="false">_xlfn.MAXIFS(Transaction!$C$2:$C$8421,Transaction!$B$2:$B$8421,A743)</f>
        <v>46126</v>
      </c>
      <c r="K743" s="6" t="n">
        <f aca="false">COUNTIF(Transaction!$B$2:$B$8421,A743)</f>
        <v>1</v>
      </c>
      <c r="L743" s="10" t="n">
        <f aca="false">SUMIF(Transaction!$B$2:$B$8421,A743,Transaction!$H$2:$H$8421)</f>
        <v>1116</v>
      </c>
      <c r="M743" s="6" t="n">
        <f aca="false">Summary!$B$3-J743</f>
        <v>140</v>
      </c>
      <c r="N743" s="6" t="str">
        <f aca="false">IF(K743&gt;1,"Yes","No")</f>
        <v>No</v>
      </c>
      <c r="O743" s="6" t="s">
        <v>48</v>
      </c>
    </row>
    <row r="744" customFormat="false" ht="15" hidden="false" customHeight="false" outlineLevel="0" collapsed="false">
      <c r="A744" s="6" t="s">
        <v>1597</v>
      </c>
      <c r="B744" s="6" t="s">
        <v>1598</v>
      </c>
      <c r="C744" s="6" t="s">
        <v>75</v>
      </c>
      <c r="D744" s="6" t="n">
        <v>42</v>
      </c>
      <c r="E744" s="6" t="s">
        <v>76</v>
      </c>
      <c r="F744" s="6" t="s">
        <v>77</v>
      </c>
      <c r="G744" s="26" t="n">
        <v>46234</v>
      </c>
      <c r="H744" s="6" t="s">
        <v>123</v>
      </c>
      <c r="I744" s="26" t="n">
        <f aca="false">_xlfn.MINIFS(Transaction!$C$2:$C$8421,Transaction!$B$2:$B$8421,A744)</f>
        <v>46258</v>
      </c>
      <c r="J744" s="26" t="n">
        <f aca="false">_xlfn.MAXIFS(Transaction!$C$2:$C$8421,Transaction!$B$2:$B$8421,A744)</f>
        <v>46258</v>
      </c>
      <c r="K744" s="6" t="n">
        <f aca="false">COUNTIF(Transaction!$B$2:$B$8421,A744)</f>
        <v>1</v>
      </c>
      <c r="L744" s="10" t="n">
        <f aca="false">SUMIF(Transaction!$B$2:$B$8421,A744,Transaction!$H$2:$H$8421)</f>
        <v>1924</v>
      </c>
      <c r="M744" s="6" t="n">
        <f aca="false">Summary!$B$3-J744</f>
        <v>8</v>
      </c>
      <c r="N744" s="6" t="str">
        <f aca="false">IF(K744&gt;1,"Yes","No")</f>
        <v>No</v>
      </c>
      <c r="O744" s="6" t="s">
        <v>47</v>
      </c>
    </row>
    <row r="745" customFormat="false" ht="15" hidden="false" customHeight="false" outlineLevel="0" collapsed="false">
      <c r="A745" s="6" t="s">
        <v>1599</v>
      </c>
      <c r="B745" s="6" t="s">
        <v>1600</v>
      </c>
      <c r="C745" s="6" t="s">
        <v>75</v>
      </c>
      <c r="D745" s="6" t="n">
        <v>32</v>
      </c>
      <c r="E745" s="6" t="s">
        <v>105</v>
      </c>
      <c r="F745" s="6" t="s">
        <v>106</v>
      </c>
      <c r="G745" s="26" t="n">
        <v>46058</v>
      </c>
      <c r="H745" s="6" t="s">
        <v>78</v>
      </c>
      <c r="I745" s="26" t="n">
        <f aca="false">_xlfn.MINIFS(Transaction!$C$2:$C$8421,Transaction!$B$2:$B$8421,A745)</f>
        <v>46066</v>
      </c>
      <c r="J745" s="26" t="n">
        <f aca="false">_xlfn.MAXIFS(Transaction!$C$2:$C$8421,Transaction!$B$2:$B$8421,A745)</f>
        <v>46206</v>
      </c>
      <c r="K745" s="6" t="n">
        <f aca="false">COUNTIF(Transaction!$B$2:$B$8421,A745)</f>
        <v>7</v>
      </c>
      <c r="L745" s="10" t="n">
        <f aca="false">SUMIF(Transaction!$B$2:$B$8421,A745,Transaction!$H$2:$H$8421)</f>
        <v>7313</v>
      </c>
      <c r="M745" s="6" t="n">
        <f aca="false">Summary!$B$3-J745</f>
        <v>60</v>
      </c>
      <c r="N745" s="6" t="str">
        <f aca="false">IF(K745&gt;1,"Yes","No")</f>
        <v>Yes</v>
      </c>
      <c r="O745" s="6" t="s">
        <v>46</v>
      </c>
    </row>
    <row r="746" customFormat="false" ht="15" hidden="false" customHeight="false" outlineLevel="0" collapsed="false">
      <c r="A746" s="6" t="s">
        <v>1601</v>
      </c>
      <c r="B746" s="6" t="s">
        <v>1602</v>
      </c>
      <c r="C746" s="6" t="s">
        <v>75</v>
      </c>
      <c r="D746" s="6" t="n">
        <v>27</v>
      </c>
      <c r="E746" s="6" t="s">
        <v>95</v>
      </c>
      <c r="F746" s="6" t="s">
        <v>95</v>
      </c>
      <c r="G746" s="26" t="n">
        <v>46021</v>
      </c>
      <c r="H746" s="6" t="s">
        <v>102</v>
      </c>
      <c r="I746" s="26" t="n">
        <f aca="false">_xlfn.MINIFS(Transaction!$C$2:$C$8421,Transaction!$B$2:$B$8421,A746)</f>
        <v>46057</v>
      </c>
      <c r="J746" s="26" t="n">
        <f aca="false">_xlfn.MAXIFS(Transaction!$C$2:$C$8421,Transaction!$B$2:$B$8421,A746)</f>
        <v>46229</v>
      </c>
      <c r="K746" s="6" t="n">
        <f aca="false">COUNTIF(Transaction!$B$2:$B$8421,A746)</f>
        <v>6</v>
      </c>
      <c r="L746" s="10" t="n">
        <f aca="false">SUMIF(Transaction!$B$2:$B$8421,A746,Transaction!$H$2:$H$8421)</f>
        <v>21364</v>
      </c>
      <c r="M746" s="6" t="n">
        <f aca="false">Summary!$B$3-J746</f>
        <v>37</v>
      </c>
      <c r="N746" s="6" t="str">
        <f aca="false">IF(K746&gt;1,"Yes","No")</f>
        <v>Yes</v>
      </c>
      <c r="O746" s="6" t="s">
        <v>46</v>
      </c>
    </row>
    <row r="747" customFormat="false" ht="15" hidden="false" customHeight="false" outlineLevel="0" collapsed="false">
      <c r="A747" s="6" t="s">
        <v>1603</v>
      </c>
      <c r="B747" s="6" t="s">
        <v>1604</v>
      </c>
      <c r="C747" s="6" t="s">
        <v>85</v>
      </c>
      <c r="D747" s="6" t="n">
        <v>18</v>
      </c>
      <c r="E747" s="6" t="s">
        <v>76</v>
      </c>
      <c r="F747" s="6" t="s">
        <v>77</v>
      </c>
      <c r="G747" s="26" t="n">
        <v>46094</v>
      </c>
      <c r="H747" s="6" t="s">
        <v>88</v>
      </c>
      <c r="I747" s="26" t="n">
        <f aca="false">_xlfn.MINIFS(Transaction!$C$2:$C$8421,Transaction!$B$2:$B$8421,A747)</f>
        <v>46133</v>
      </c>
      <c r="J747" s="26" t="n">
        <f aca="false">_xlfn.MAXIFS(Transaction!$C$2:$C$8421,Transaction!$B$2:$B$8421,A747)</f>
        <v>46133</v>
      </c>
      <c r="K747" s="6" t="n">
        <f aca="false">COUNTIF(Transaction!$B$2:$B$8421,A747)</f>
        <v>1</v>
      </c>
      <c r="L747" s="10" t="n">
        <f aca="false">SUMIF(Transaction!$B$2:$B$8421,A747,Transaction!$H$2:$H$8421)</f>
        <v>1064</v>
      </c>
      <c r="M747" s="6" t="n">
        <f aca="false">Summary!$B$3-J747</f>
        <v>133</v>
      </c>
      <c r="N747" s="6" t="str">
        <f aca="false">IF(K747&gt;1,"Yes","No")</f>
        <v>No</v>
      </c>
      <c r="O747" s="6" t="s">
        <v>48</v>
      </c>
    </row>
    <row r="748" customFormat="false" ht="15" hidden="false" customHeight="false" outlineLevel="0" collapsed="false">
      <c r="A748" s="6" t="s">
        <v>1605</v>
      </c>
      <c r="B748" s="6" t="s">
        <v>1606</v>
      </c>
      <c r="C748" s="6" t="s">
        <v>85</v>
      </c>
      <c r="D748" s="6" t="n">
        <v>38</v>
      </c>
      <c r="E748" s="6" t="s">
        <v>134</v>
      </c>
      <c r="F748" s="6" t="s">
        <v>135</v>
      </c>
      <c r="G748" s="26" t="n">
        <v>46165</v>
      </c>
      <c r="H748" s="6" t="s">
        <v>115</v>
      </c>
      <c r="I748" s="26" t="n">
        <f aca="false">_xlfn.MINIFS(Transaction!$C$2:$C$8421,Transaction!$B$2:$B$8421,A748)</f>
        <v>46222</v>
      </c>
      <c r="J748" s="26" t="n">
        <f aca="false">_xlfn.MAXIFS(Transaction!$C$2:$C$8421,Transaction!$B$2:$B$8421,A748)</f>
        <v>46222</v>
      </c>
      <c r="K748" s="6" t="n">
        <f aca="false">COUNTIF(Transaction!$B$2:$B$8421,A748)</f>
        <v>1</v>
      </c>
      <c r="L748" s="10" t="n">
        <f aca="false">SUMIF(Transaction!$B$2:$B$8421,A748,Transaction!$H$2:$H$8421)</f>
        <v>928</v>
      </c>
      <c r="M748" s="6" t="n">
        <f aca="false">Summary!$B$3-J748</f>
        <v>44</v>
      </c>
      <c r="N748" s="6" t="str">
        <f aca="false">IF(K748&gt;1,"Yes","No")</f>
        <v>No</v>
      </c>
      <c r="O748" s="6" t="s">
        <v>47</v>
      </c>
    </row>
    <row r="749" customFormat="false" ht="15" hidden="false" customHeight="false" outlineLevel="0" collapsed="false">
      <c r="A749" s="6" t="s">
        <v>1607</v>
      </c>
      <c r="B749" s="6" t="s">
        <v>1608</v>
      </c>
      <c r="C749" s="6" t="s">
        <v>85</v>
      </c>
      <c r="D749" s="6" t="n">
        <v>24</v>
      </c>
      <c r="E749" s="6" t="s">
        <v>81</v>
      </c>
      <c r="F749" s="6" t="s">
        <v>82</v>
      </c>
      <c r="G749" s="26" t="n">
        <v>46152</v>
      </c>
      <c r="H749" s="6" t="s">
        <v>78</v>
      </c>
      <c r="I749" s="26" t="n">
        <f aca="false">_xlfn.MINIFS(Transaction!$C$2:$C$8421,Transaction!$B$2:$B$8421,A749)</f>
        <v>46200</v>
      </c>
      <c r="J749" s="26" t="n">
        <f aca="false">_xlfn.MAXIFS(Transaction!$C$2:$C$8421,Transaction!$B$2:$B$8421,A749)</f>
        <v>46200</v>
      </c>
      <c r="K749" s="6" t="n">
        <f aca="false">COUNTIF(Transaction!$B$2:$B$8421,A749)</f>
        <v>1</v>
      </c>
      <c r="L749" s="10" t="n">
        <f aca="false">SUMIF(Transaction!$B$2:$B$8421,A749,Transaction!$H$2:$H$8421)</f>
        <v>1394</v>
      </c>
      <c r="M749" s="6" t="n">
        <f aca="false">Summary!$B$3-J749</f>
        <v>66</v>
      </c>
      <c r="N749" s="6" t="str">
        <f aca="false">IF(K749&gt;1,"Yes","No")</f>
        <v>No</v>
      </c>
      <c r="O749" s="6" t="s">
        <v>47</v>
      </c>
    </row>
    <row r="750" customFormat="false" ht="15" hidden="false" customHeight="false" outlineLevel="0" collapsed="false">
      <c r="A750" s="6" t="s">
        <v>1609</v>
      </c>
      <c r="B750" s="6" t="s">
        <v>1610</v>
      </c>
      <c r="C750" s="6" t="s">
        <v>85</v>
      </c>
      <c r="D750" s="6" t="n">
        <v>42</v>
      </c>
      <c r="E750" s="6" t="s">
        <v>237</v>
      </c>
      <c r="F750" s="6" t="s">
        <v>87</v>
      </c>
      <c r="G750" s="26" t="n">
        <v>46109</v>
      </c>
      <c r="H750" s="6" t="s">
        <v>88</v>
      </c>
      <c r="I750" s="26" t="n">
        <f aca="false">_xlfn.MINIFS(Transaction!$C$2:$C$8421,Transaction!$B$2:$B$8421,A750)</f>
        <v>46126</v>
      </c>
      <c r="J750" s="26" t="n">
        <f aca="false">_xlfn.MAXIFS(Transaction!$C$2:$C$8421,Transaction!$B$2:$B$8421,A750)</f>
        <v>46126</v>
      </c>
      <c r="K750" s="6" t="n">
        <f aca="false">COUNTIF(Transaction!$B$2:$B$8421,A750)</f>
        <v>1</v>
      </c>
      <c r="L750" s="10" t="n">
        <f aca="false">SUMIF(Transaction!$B$2:$B$8421,A750,Transaction!$H$2:$H$8421)</f>
        <v>703</v>
      </c>
      <c r="M750" s="6" t="n">
        <f aca="false">Summary!$B$3-J750</f>
        <v>140</v>
      </c>
      <c r="N750" s="6" t="str">
        <f aca="false">IF(K750&gt;1,"Yes","No")</f>
        <v>No</v>
      </c>
      <c r="O750" s="6" t="s">
        <v>48</v>
      </c>
    </row>
    <row r="751" customFormat="false" ht="15" hidden="false" customHeight="false" outlineLevel="0" collapsed="false">
      <c r="A751" s="6" t="s">
        <v>1611</v>
      </c>
      <c r="B751" s="6" t="s">
        <v>1612</v>
      </c>
      <c r="C751" s="6" t="s">
        <v>75</v>
      </c>
      <c r="D751" s="6" t="n">
        <v>24</v>
      </c>
      <c r="E751" s="6" t="s">
        <v>76</v>
      </c>
      <c r="F751" s="6" t="s">
        <v>77</v>
      </c>
      <c r="G751" s="26" t="n">
        <v>46142</v>
      </c>
      <c r="H751" s="6" t="s">
        <v>102</v>
      </c>
      <c r="I751" s="26" t="n">
        <f aca="false">_xlfn.MINIFS(Transaction!$C$2:$C$8421,Transaction!$B$2:$B$8421,A751)</f>
        <v>46166</v>
      </c>
      <c r="J751" s="26" t="n">
        <f aca="false">_xlfn.MAXIFS(Transaction!$C$2:$C$8421,Transaction!$B$2:$B$8421,A751)</f>
        <v>46166</v>
      </c>
      <c r="K751" s="6" t="n">
        <f aca="false">COUNTIF(Transaction!$B$2:$B$8421,A751)</f>
        <v>1</v>
      </c>
      <c r="L751" s="10" t="n">
        <f aca="false">SUMIF(Transaction!$B$2:$B$8421,A751,Transaction!$H$2:$H$8421)</f>
        <v>1937</v>
      </c>
      <c r="M751" s="6" t="n">
        <f aca="false">Summary!$B$3-J751</f>
        <v>100</v>
      </c>
      <c r="N751" s="6" t="str">
        <f aca="false">IF(K751&gt;1,"Yes","No")</f>
        <v>No</v>
      </c>
      <c r="O751" s="6" t="s">
        <v>48</v>
      </c>
    </row>
    <row r="752" customFormat="false" ht="15" hidden="false" customHeight="false" outlineLevel="0" collapsed="false">
      <c r="A752" s="6" t="s">
        <v>1613</v>
      </c>
      <c r="B752" s="6" t="s">
        <v>1614</v>
      </c>
      <c r="C752" s="6" t="s">
        <v>75</v>
      </c>
      <c r="D752" s="6" t="n">
        <v>18</v>
      </c>
      <c r="E752" s="6" t="s">
        <v>81</v>
      </c>
      <c r="F752" s="6" t="s">
        <v>82</v>
      </c>
      <c r="G752" s="26" t="n">
        <v>46129</v>
      </c>
      <c r="H752" s="6" t="s">
        <v>102</v>
      </c>
      <c r="I752" s="26" t="n">
        <f aca="false">_xlfn.MINIFS(Transaction!$C$2:$C$8421,Transaction!$B$2:$B$8421,A752)</f>
        <v>46157</v>
      </c>
      <c r="J752" s="26" t="n">
        <f aca="false">_xlfn.MAXIFS(Transaction!$C$2:$C$8421,Transaction!$B$2:$B$8421,A752)</f>
        <v>46230</v>
      </c>
      <c r="K752" s="6" t="n">
        <f aca="false">COUNTIF(Transaction!$B$2:$B$8421,A752)</f>
        <v>5</v>
      </c>
      <c r="L752" s="10" t="n">
        <f aca="false">SUMIF(Transaction!$B$2:$B$8421,A752,Transaction!$H$2:$H$8421)</f>
        <v>10708</v>
      </c>
      <c r="M752" s="6" t="n">
        <f aca="false">Summary!$B$3-J752</f>
        <v>36</v>
      </c>
      <c r="N752" s="6" t="str">
        <f aca="false">IF(K752&gt;1,"Yes","No")</f>
        <v>Yes</v>
      </c>
      <c r="O752" s="6" t="s">
        <v>46</v>
      </c>
    </row>
    <row r="753" customFormat="false" ht="15" hidden="false" customHeight="false" outlineLevel="0" collapsed="false">
      <c r="A753" s="6" t="s">
        <v>1615</v>
      </c>
      <c r="B753" s="6" t="s">
        <v>1616</v>
      </c>
      <c r="C753" s="6" t="s">
        <v>75</v>
      </c>
      <c r="D753" s="6" t="n">
        <v>40</v>
      </c>
      <c r="E753" s="6" t="s">
        <v>76</v>
      </c>
      <c r="F753" s="6" t="s">
        <v>77</v>
      </c>
      <c r="G753" s="26" t="n">
        <v>46058</v>
      </c>
      <c r="H753" s="6" t="s">
        <v>123</v>
      </c>
      <c r="I753" s="26" t="n">
        <f aca="false">_xlfn.MINIFS(Transaction!$C$2:$C$8421,Transaction!$B$2:$B$8421,A753)</f>
        <v>46144</v>
      </c>
      <c r="J753" s="26" t="n">
        <f aca="false">_xlfn.MAXIFS(Transaction!$C$2:$C$8421,Transaction!$B$2:$B$8421,A753)</f>
        <v>46144</v>
      </c>
      <c r="K753" s="6" t="n">
        <f aca="false">COUNTIF(Transaction!$B$2:$B$8421,A753)</f>
        <v>1</v>
      </c>
      <c r="L753" s="10" t="n">
        <f aca="false">SUMIF(Transaction!$B$2:$B$8421,A753,Transaction!$H$2:$H$8421)</f>
        <v>1835</v>
      </c>
      <c r="M753" s="6" t="n">
        <f aca="false">Summary!$B$3-J753</f>
        <v>122</v>
      </c>
      <c r="N753" s="6" t="str">
        <f aca="false">IF(K753&gt;1,"Yes","No")</f>
        <v>No</v>
      </c>
      <c r="O753" s="6" t="s">
        <v>48</v>
      </c>
    </row>
    <row r="754" customFormat="false" ht="15" hidden="false" customHeight="false" outlineLevel="0" collapsed="false">
      <c r="A754" s="6" t="s">
        <v>1617</v>
      </c>
      <c r="B754" s="6" t="s">
        <v>1618</v>
      </c>
      <c r="C754" s="6" t="s">
        <v>75</v>
      </c>
      <c r="D754" s="6" t="n">
        <v>34</v>
      </c>
      <c r="E754" s="6" t="s">
        <v>95</v>
      </c>
      <c r="F754" s="6" t="s">
        <v>95</v>
      </c>
      <c r="G754" s="26" t="n">
        <v>46139</v>
      </c>
      <c r="H754" s="6" t="s">
        <v>88</v>
      </c>
      <c r="I754" s="26" t="n">
        <f aca="false">_xlfn.MINIFS(Transaction!$C$2:$C$8421,Transaction!$B$2:$B$8421,A754)</f>
        <v>46151</v>
      </c>
      <c r="J754" s="26" t="n">
        <f aca="false">_xlfn.MAXIFS(Transaction!$C$2:$C$8421,Transaction!$B$2:$B$8421,A754)</f>
        <v>46151</v>
      </c>
      <c r="K754" s="6" t="n">
        <f aca="false">COUNTIF(Transaction!$B$2:$B$8421,A754)</f>
        <v>1</v>
      </c>
      <c r="L754" s="10" t="n">
        <f aca="false">SUMIF(Transaction!$B$2:$B$8421,A754,Transaction!$H$2:$H$8421)</f>
        <v>610</v>
      </c>
      <c r="M754" s="6" t="n">
        <f aca="false">Summary!$B$3-J754</f>
        <v>115</v>
      </c>
      <c r="N754" s="6" t="str">
        <f aca="false">IF(K754&gt;1,"Yes","No")</f>
        <v>No</v>
      </c>
      <c r="O754" s="6" t="s">
        <v>48</v>
      </c>
    </row>
    <row r="755" customFormat="false" ht="15" hidden="false" customHeight="false" outlineLevel="0" collapsed="false">
      <c r="A755" s="6" t="s">
        <v>1619</v>
      </c>
      <c r="B755" s="6" t="s">
        <v>1620</v>
      </c>
      <c r="C755" s="6" t="s">
        <v>85</v>
      </c>
      <c r="D755" s="6" t="n">
        <v>18</v>
      </c>
      <c r="E755" s="6" t="s">
        <v>76</v>
      </c>
      <c r="F755" s="6" t="s">
        <v>77</v>
      </c>
      <c r="G755" s="26" t="n">
        <v>46095</v>
      </c>
      <c r="H755" s="6" t="s">
        <v>115</v>
      </c>
      <c r="I755" s="26" t="n">
        <f aca="false">_xlfn.MINIFS(Transaction!$C$2:$C$8421,Transaction!$B$2:$B$8421,A755)</f>
        <v>46167</v>
      </c>
      <c r="J755" s="26" t="n">
        <f aca="false">_xlfn.MAXIFS(Transaction!$C$2:$C$8421,Transaction!$B$2:$B$8421,A755)</f>
        <v>46167</v>
      </c>
      <c r="K755" s="6" t="n">
        <f aca="false">COUNTIF(Transaction!$B$2:$B$8421,A755)</f>
        <v>1</v>
      </c>
      <c r="L755" s="10" t="n">
        <f aca="false">SUMIF(Transaction!$B$2:$B$8421,A755,Transaction!$H$2:$H$8421)</f>
        <v>3930</v>
      </c>
      <c r="M755" s="6" t="n">
        <f aca="false">Summary!$B$3-J755</f>
        <v>99</v>
      </c>
      <c r="N755" s="6" t="str">
        <f aca="false">IF(K755&gt;1,"Yes","No")</f>
        <v>No</v>
      </c>
      <c r="O755" s="6" t="s">
        <v>48</v>
      </c>
    </row>
    <row r="756" customFormat="false" ht="15" hidden="false" customHeight="false" outlineLevel="0" collapsed="false">
      <c r="A756" s="6" t="s">
        <v>1621</v>
      </c>
      <c r="B756" s="6" t="s">
        <v>1622</v>
      </c>
      <c r="C756" s="6" t="s">
        <v>85</v>
      </c>
      <c r="D756" s="6" t="n">
        <v>48</v>
      </c>
      <c r="E756" s="6" t="s">
        <v>76</v>
      </c>
      <c r="F756" s="6" t="s">
        <v>77</v>
      </c>
      <c r="G756" s="26" t="n">
        <v>45960</v>
      </c>
      <c r="H756" s="6" t="s">
        <v>92</v>
      </c>
      <c r="I756" s="26" t="n">
        <f aca="false">_xlfn.MINIFS(Transaction!$C$2:$C$8421,Transaction!$B$2:$B$8421,A756)</f>
        <v>46039</v>
      </c>
      <c r="J756" s="26" t="n">
        <f aca="false">_xlfn.MAXIFS(Transaction!$C$2:$C$8421,Transaction!$B$2:$B$8421,A756)</f>
        <v>46237</v>
      </c>
      <c r="K756" s="6" t="n">
        <f aca="false">COUNTIF(Transaction!$B$2:$B$8421,A756)</f>
        <v>4</v>
      </c>
      <c r="L756" s="10" t="n">
        <f aca="false">SUMIF(Transaction!$B$2:$B$8421,A756,Transaction!$H$2:$H$8421)</f>
        <v>9432</v>
      </c>
      <c r="M756" s="6" t="n">
        <f aca="false">Summary!$B$3-J756</f>
        <v>29</v>
      </c>
      <c r="N756" s="6" t="str">
        <f aca="false">IF(K756&gt;1,"Yes","No")</f>
        <v>Yes</v>
      </c>
      <c r="O756" s="6" t="s">
        <v>46</v>
      </c>
    </row>
    <row r="757" customFormat="false" ht="15" hidden="false" customHeight="false" outlineLevel="0" collapsed="false">
      <c r="A757" s="6" t="s">
        <v>1623</v>
      </c>
      <c r="B757" s="6" t="s">
        <v>1624</v>
      </c>
      <c r="C757" s="6" t="s">
        <v>75</v>
      </c>
      <c r="D757" s="6" t="n">
        <v>24</v>
      </c>
      <c r="E757" s="6" t="s">
        <v>118</v>
      </c>
      <c r="F757" s="6" t="s">
        <v>77</v>
      </c>
      <c r="G757" s="26" t="n">
        <v>45985</v>
      </c>
      <c r="H757" s="6" t="s">
        <v>92</v>
      </c>
      <c r="I757" s="26" t="n">
        <f aca="false">_xlfn.MINIFS(Transaction!$C$2:$C$8421,Transaction!$B$2:$B$8421,A757)</f>
        <v>46034</v>
      </c>
      <c r="J757" s="26" t="n">
        <f aca="false">_xlfn.MAXIFS(Transaction!$C$2:$C$8421,Transaction!$B$2:$B$8421,A757)</f>
        <v>46206</v>
      </c>
      <c r="K757" s="6" t="n">
        <f aca="false">COUNTIF(Transaction!$B$2:$B$8421,A757)</f>
        <v>6</v>
      </c>
      <c r="L757" s="10" t="n">
        <f aca="false">SUMIF(Transaction!$B$2:$B$8421,A757,Transaction!$H$2:$H$8421)</f>
        <v>10955</v>
      </c>
      <c r="M757" s="6" t="n">
        <f aca="false">Summary!$B$3-J757</f>
        <v>60</v>
      </c>
      <c r="N757" s="6" t="str">
        <f aca="false">IF(K757&gt;1,"Yes","No")</f>
        <v>Yes</v>
      </c>
      <c r="O757" s="6" t="s">
        <v>46</v>
      </c>
    </row>
    <row r="758" customFormat="false" ht="15" hidden="false" customHeight="false" outlineLevel="0" collapsed="false">
      <c r="A758" s="6" t="s">
        <v>1625</v>
      </c>
      <c r="B758" s="6" t="s">
        <v>1626</v>
      </c>
      <c r="C758" s="6" t="s">
        <v>75</v>
      </c>
      <c r="D758" s="6" t="n">
        <v>18</v>
      </c>
      <c r="E758" s="6" t="s">
        <v>81</v>
      </c>
      <c r="F758" s="6" t="s">
        <v>82</v>
      </c>
      <c r="G758" s="26" t="n">
        <v>46134</v>
      </c>
      <c r="H758" s="6" t="s">
        <v>88</v>
      </c>
      <c r="I758" s="26" t="n">
        <f aca="false">_xlfn.MINIFS(Transaction!$C$2:$C$8421,Transaction!$B$2:$B$8421,A758)</f>
        <v>46167</v>
      </c>
      <c r="J758" s="26" t="n">
        <f aca="false">_xlfn.MAXIFS(Transaction!$C$2:$C$8421,Transaction!$B$2:$B$8421,A758)</f>
        <v>46167</v>
      </c>
      <c r="K758" s="6" t="n">
        <f aca="false">COUNTIF(Transaction!$B$2:$B$8421,A758)</f>
        <v>1</v>
      </c>
      <c r="L758" s="10" t="n">
        <f aca="false">SUMIF(Transaction!$B$2:$B$8421,A758,Transaction!$H$2:$H$8421)</f>
        <v>1056</v>
      </c>
      <c r="M758" s="6" t="n">
        <f aca="false">Summary!$B$3-J758</f>
        <v>99</v>
      </c>
      <c r="N758" s="6" t="str">
        <f aca="false">IF(K758&gt;1,"Yes","No")</f>
        <v>No</v>
      </c>
      <c r="O758" s="6" t="s">
        <v>48</v>
      </c>
    </row>
    <row r="759" customFormat="false" ht="15" hidden="false" customHeight="false" outlineLevel="0" collapsed="false">
      <c r="A759" s="6" t="s">
        <v>1627</v>
      </c>
      <c r="B759" s="6" t="s">
        <v>1628</v>
      </c>
      <c r="C759" s="6" t="s">
        <v>85</v>
      </c>
      <c r="D759" s="6" t="n">
        <v>51</v>
      </c>
      <c r="E759" s="6" t="s">
        <v>118</v>
      </c>
      <c r="F759" s="6" t="s">
        <v>77</v>
      </c>
      <c r="G759" s="26" t="n">
        <v>46105</v>
      </c>
      <c r="H759" s="6" t="s">
        <v>123</v>
      </c>
      <c r="I759" s="26" t="n">
        <f aca="false">_xlfn.MINIFS(Transaction!$C$2:$C$8421,Transaction!$B$2:$B$8421,A759)</f>
        <v>46132</v>
      </c>
      <c r="J759" s="26" t="n">
        <f aca="false">_xlfn.MAXIFS(Transaction!$C$2:$C$8421,Transaction!$B$2:$B$8421,A759)</f>
        <v>46132</v>
      </c>
      <c r="K759" s="6" t="n">
        <f aca="false">COUNTIF(Transaction!$B$2:$B$8421,A759)</f>
        <v>1</v>
      </c>
      <c r="L759" s="10" t="n">
        <f aca="false">SUMIF(Transaction!$B$2:$B$8421,A759,Transaction!$H$2:$H$8421)</f>
        <v>782</v>
      </c>
      <c r="M759" s="6" t="n">
        <f aca="false">Summary!$B$3-J759</f>
        <v>134</v>
      </c>
      <c r="N759" s="6" t="str">
        <f aca="false">IF(K759&gt;1,"Yes","No")</f>
        <v>No</v>
      </c>
      <c r="O759" s="6" t="s">
        <v>48</v>
      </c>
    </row>
    <row r="760" customFormat="false" ht="15" hidden="false" customHeight="false" outlineLevel="0" collapsed="false">
      <c r="A760" s="6" t="s">
        <v>1629</v>
      </c>
      <c r="B760" s="6" t="s">
        <v>1630</v>
      </c>
      <c r="C760" s="6" t="s">
        <v>75</v>
      </c>
      <c r="D760" s="6" t="n">
        <v>24</v>
      </c>
      <c r="E760" s="6" t="s">
        <v>81</v>
      </c>
      <c r="F760" s="6" t="s">
        <v>82</v>
      </c>
      <c r="G760" s="26" t="n">
        <v>46129</v>
      </c>
      <c r="H760" s="6" t="s">
        <v>115</v>
      </c>
      <c r="I760" s="26" t="n">
        <f aca="false">_xlfn.MINIFS(Transaction!$C$2:$C$8421,Transaction!$B$2:$B$8421,A760)</f>
        <v>46138</v>
      </c>
      <c r="J760" s="26" t="n">
        <f aca="false">_xlfn.MAXIFS(Transaction!$C$2:$C$8421,Transaction!$B$2:$B$8421,A760)</f>
        <v>46138</v>
      </c>
      <c r="K760" s="6" t="n">
        <f aca="false">COUNTIF(Transaction!$B$2:$B$8421,A760)</f>
        <v>1</v>
      </c>
      <c r="L760" s="10" t="n">
        <f aca="false">SUMIF(Transaction!$B$2:$B$8421,A760,Transaction!$H$2:$H$8421)</f>
        <v>834</v>
      </c>
      <c r="M760" s="6" t="n">
        <f aca="false">Summary!$B$3-J760</f>
        <v>128</v>
      </c>
      <c r="N760" s="6" t="str">
        <f aca="false">IF(K760&gt;1,"Yes","No")</f>
        <v>No</v>
      </c>
      <c r="O760" s="6" t="s">
        <v>48</v>
      </c>
    </row>
    <row r="761" customFormat="false" ht="15" hidden="false" customHeight="false" outlineLevel="0" collapsed="false">
      <c r="A761" s="6" t="s">
        <v>1631</v>
      </c>
      <c r="B761" s="6" t="s">
        <v>1632</v>
      </c>
      <c r="C761" s="6" t="s">
        <v>85</v>
      </c>
      <c r="D761" s="6" t="n">
        <v>20</v>
      </c>
      <c r="E761" s="6" t="s">
        <v>86</v>
      </c>
      <c r="F761" s="6" t="s">
        <v>87</v>
      </c>
      <c r="G761" s="26" t="n">
        <v>46042</v>
      </c>
      <c r="H761" s="6" t="s">
        <v>123</v>
      </c>
      <c r="I761" s="26" t="n">
        <f aca="false">_xlfn.MINIFS(Transaction!$C$2:$C$8421,Transaction!$B$2:$B$8421,A761)</f>
        <v>46049</v>
      </c>
      <c r="J761" s="26" t="n">
        <f aca="false">_xlfn.MAXIFS(Transaction!$C$2:$C$8421,Transaction!$B$2:$B$8421,A761)</f>
        <v>46211</v>
      </c>
      <c r="K761" s="6" t="n">
        <f aca="false">COUNTIF(Transaction!$B$2:$B$8421,A761)</f>
        <v>2</v>
      </c>
      <c r="L761" s="10" t="n">
        <f aca="false">SUMIF(Transaction!$B$2:$B$8421,A761,Transaction!$H$2:$H$8421)</f>
        <v>4388</v>
      </c>
      <c r="M761" s="6" t="n">
        <f aca="false">Summary!$B$3-J761</f>
        <v>55</v>
      </c>
      <c r="N761" s="6" t="str">
        <f aca="false">IF(K761&gt;1,"Yes","No")</f>
        <v>Yes</v>
      </c>
      <c r="O761" s="6" t="s">
        <v>46</v>
      </c>
    </row>
    <row r="762" customFormat="false" ht="15" hidden="false" customHeight="false" outlineLevel="0" collapsed="false">
      <c r="A762" s="6" t="s">
        <v>1633</v>
      </c>
      <c r="B762" s="6" t="s">
        <v>1634</v>
      </c>
      <c r="C762" s="6" t="s">
        <v>75</v>
      </c>
      <c r="D762" s="6" t="n">
        <v>32</v>
      </c>
      <c r="E762" s="6" t="s">
        <v>81</v>
      </c>
      <c r="F762" s="6" t="s">
        <v>82</v>
      </c>
      <c r="G762" s="26" t="n">
        <v>46161</v>
      </c>
      <c r="H762" s="6" t="s">
        <v>78</v>
      </c>
      <c r="I762" s="26" t="n">
        <f aca="false">_xlfn.MINIFS(Transaction!$C$2:$C$8421,Transaction!$B$2:$B$8421,A762)</f>
        <v>46249</v>
      </c>
      <c r="J762" s="26" t="n">
        <f aca="false">_xlfn.MAXIFS(Transaction!$C$2:$C$8421,Transaction!$B$2:$B$8421,A762)</f>
        <v>46249</v>
      </c>
      <c r="K762" s="6" t="n">
        <f aca="false">COUNTIF(Transaction!$B$2:$B$8421,A762)</f>
        <v>1</v>
      </c>
      <c r="L762" s="10" t="n">
        <f aca="false">SUMIF(Transaction!$B$2:$B$8421,A762,Transaction!$H$2:$H$8421)</f>
        <v>928</v>
      </c>
      <c r="M762" s="6" t="n">
        <f aca="false">Summary!$B$3-J762</f>
        <v>17</v>
      </c>
      <c r="N762" s="6" t="str">
        <f aca="false">IF(K762&gt;1,"Yes","No")</f>
        <v>No</v>
      </c>
      <c r="O762" s="6" t="s">
        <v>47</v>
      </c>
    </row>
    <row r="763" customFormat="false" ht="15" hidden="false" customHeight="false" outlineLevel="0" collapsed="false">
      <c r="A763" s="6" t="s">
        <v>1635</v>
      </c>
      <c r="B763" s="6" t="s">
        <v>1636</v>
      </c>
      <c r="C763" s="6" t="s">
        <v>75</v>
      </c>
      <c r="D763" s="6" t="n">
        <v>34</v>
      </c>
      <c r="E763" s="6" t="s">
        <v>264</v>
      </c>
      <c r="F763" s="6" t="s">
        <v>106</v>
      </c>
      <c r="G763" s="26" t="n">
        <v>46090</v>
      </c>
      <c r="H763" s="6" t="s">
        <v>102</v>
      </c>
      <c r="I763" s="26" t="n">
        <f aca="false">_xlfn.MINIFS(Transaction!$C$2:$C$8421,Transaction!$B$2:$B$8421,A763)</f>
        <v>46113</v>
      </c>
      <c r="J763" s="26" t="n">
        <f aca="false">_xlfn.MAXIFS(Transaction!$C$2:$C$8421,Transaction!$B$2:$B$8421,A763)</f>
        <v>46243</v>
      </c>
      <c r="K763" s="6" t="n">
        <f aca="false">COUNTIF(Transaction!$B$2:$B$8421,A763)</f>
        <v>5</v>
      </c>
      <c r="L763" s="10" t="n">
        <f aca="false">SUMIF(Transaction!$B$2:$B$8421,A763,Transaction!$H$2:$H$8421)</f>
        <v>8487</v>
      </c>
      <c r="M763" s="6" t="n">
        <f aca="false">Summary!$B$3-J763</f>
        <v>23</v>
      </c>
      <c r="N763" s="6" t="str">
        <f aca="false">IF(K763&gt;1,"Yes","No")</f>
        <v>Yes</v>
      </c>
      <c r="O763" s="6" t="s">
        <v>46</v>
      </c>
    </row>
    <row r="764" customFormat="false" ht="15" hidden="false" customHeight="false" outlineLevel="0" collapsed="false">
      <c r="A764" s="6" t="s">
        <v>1637</v>
      </c>
      <c r="B764" s="6" t="s">
        <v>1638</v>
      </c>
      <c r="C764" s="6" t="s">
        <v>85</v>
      </c>
      <c r="D764" s="6" t="n">
        <v>26</v>
      </c>
      <c r="E764" s="6" t="s">
        <v>126</v>
      </c>
      <c r="F764" s="6" t="s">
        <v>127</v>
      </c>
      <c r="G764" s="26" t="n">
        <v>45977</v>
      </c>
      <c r="H764" s="6" t="s">
        <v>123</v>
      </c>
      <c r="I764" s="26" t="n">
        <f aca="false">_xlfn.MINIFS(Transaction!$C$2:$C$8421,Transaction!$B$2:$B$8421,A764)</f>
        <v>46044</v>
      </c>
      <c r="J764" s="26" t="n">
        <f aca="false">_xlfn.MAXIFS(Transaction!$C$2:$C$8421,Transaction!$B$2:$B$8421,A764)</f>
        <v>46044</v>
      </c>
      <c r="K764" s="6" t="n">
        <f aca="false">COUNTIF(Transaction!$B$2:$B$8421,A764)</f>
        <v>1</v>
      </c>
      <c r="L764" s="10" t="n">
        <f aca="false">SUMIF(Transaction!$B$2:$B$8421,A764,Transaction!$H$2:$H$8421)</f>
        <v>1468</v>
      </c>
      <c r="M764" s="6" t="n">
        <f aca="false">Summary!$B$3-J764</f>
        <v>222</v>
      </c>
      <c r="N764" s="6" t="str">
        <f aca="false">IF(K764&gt;1,"Yes","No")</f>
        <v>No</v>
      </c>
      <c r="O764" s="6" t="s">
        <v>49</v>
      </c>
    </row>
    <row r="765" customFormat="false" ht="15" hidden="false" customHeight="false" outlineLevel="0" collapsed="false">
      <c r="A765" s="6" t="s">
        <v>1639</v>
      </c>
      <c r="B765" s="6" t="s">
        <v>1640</v>
      </c>
      <c r="C765" s="6" t="s">
        <v>75</v>
      </c>
      <c r="D765" s="6" t="n">
        <v>38</v>
      </c>
      <c r="E765" s="6" t="s">
        <v>76</v>
      </c>
      <c r="F765" s="6" t="s">
        <v>77</v>
      </c>
      <c r="G765" s="26" t="n">
        <v>46086</v>
      </c>
      <c r="H765" s="6" t="s">
        <v>115</v>
      </c>
      <c r="I765" s="26" t="n">
        <f aca="false">_xlfn.MINIFS(Transaction!$C$2:$C$8421,Transaction!$B$2:$B$8421,A765)</f>
        <v>46150</v>
      </c>
      <c r="J765" s="26" t="n">
        <f aca="false">_xlfn.MAXIFS(Transaction!$C$2:$C$8421,Transaction!$B$2:$B$8421,A765)</f>
        <v>46150</v>
      </c>
      <c r="K765" s="6" t="n">
        <f aca="false">COUNTIF(Transaction!$B$2:$B$8421,A765)</f>
        <v>1</v>
      </c>
      <c r="L765" s="10" t="n">
        <f aca="false">SUMIF(Transaction!$B$2:$B$8421,A765,Transaction!$H$2:$H$8421)</f>
        <v>795</v>
      </c>
      <c r="M765" s="6" t="n">
        <f aca="false">Summary!$B$3-J765</f>
        <v>116</v>
      </c>
      <c r="N765" s="6" t="str">
        <f aca="false">IF(K765&gt;1,"Yes","No")</f>
        <v>No</v>
      </c>
      <c r="O765" s="6" t="s">
        <v>48</v>
      </c>
    </row>
    <row r="766" customFormat="false" ht="15" hidden="false" customHeight="false" outlineLevel="0" collapsed="false">
      <c r="A766" s="6" t="s">
        <v>1641</v>
      </c>
      <c r="B766" s="6" t="s">
        <v>1642</v>
      </c>
      <c r="C766" s="6" t="s">
        <v>75</v>
      </c>
      <c r="D766" s="6" t="n">
        <v>34</v>
      </c>
      <c r="E766" s="6" t="s">
        <v>118</v>
      </c>
      <c r="F766" s="6" t="s">
        <v>77</v>
      </c>
      <c r="G766" s="26" t="n">
        <v>45986</v>
      </c>
      <c r="H766" s="6" t="s">
        <v>78</v>
      </c>
      <c r="I766" s="26" t="n">
        <f aca="false">_xlfn.MINIFS(Transaction!$C$2:$C$8421,Transaction!$B$2:$B$8421,A766)</f>
        <v>46048</v>
      </c>
      <c r="J766" s="26" t="n">
        <f aca="false">_xlfn.MAXIFS(Transaction!$C$2:$C$8421,Transaction!$B$2:$B$8421,A766)</f>
        <v>46256</v>
      </c>
      <c r="K766" s="6" t="n">
        <f aca="false">COUNTIF(Transaction!$B$2:$B$8421,A766)</f>
        <v>7</v>
      </c>
      <c r="L766" s="10" t="n">
        <f aca="false">SUMIF(Transaction!$B$2:$B$8421,A766,Transaction!$H$2:$H$8421)</f>
        <v>11798</v>
      </c>
      <c r="M766" s="6" t="n">
        <f aca="false">Summary!$B$3-J766</f>
        <v>10</v>
      </c>
      <c r="N766" s="6" t="str">
        <f aca="false">IF(K766&gt;1,"Yes","No")</f>
        <v>Yes</v>
      </c>
      <c r="O766" s="6" t="s">
        <v>45</v>
      </c>
    </row>
    <row r="767" customFormat="false" ht="15" hidden="false" customHeight="false" outlineLevel="0" collapsed="false">
      <c r="A767" s="6" t="s">
        <v>1643</v>
      </c>
      <c r="B767" s="6" t="s">
        <v>1644</v>
      </c>
      <c r="C767" s="6" t="s">
        <v>75</v>
      </c>
      <c r="D767" s="6" t="n">
        <v>50</v>
      </c>
      <c r="E767" s="6" t="s">
        <v>134</v>
      </c>
      <c r="F767" s="6" t="s">
        <v>135</v>
      </c>
      <c r="G767" s="26" t="n">
        <v>46108</v>
      </c>
      <c r="H767" s="6" t="s">
        <v>88</v>
      </c>
      <c r="I767" s="26" t="n">
        <f aca="false">_xlfn.MINIFS(Transaction!$C$2:$C$8421,Transaction!$B$2:$B$8421,A767)</f>
        <v>46124</v>
      </c>
      <c r="J767" s="26" t="n">
        <f aca="false">_xlfn.MAXIFS(Transaction!$C$2:$C$8421,Transaction!$B$2:$B$8421,A767)</f>
        <v>46205</v>
      </c>
      <c r="K767" s="6" t="n">
        <f aca="false">COUNTIF(Transaction!$B$2:$B$8421,A767)</f>
        <v>3</v>
      </c>
      <c r="L767" s="10" t="n">
        <f aca="false">SUMIF(Transaction!$B$2:$B$8421,A767,Transaction!$H$2:$H$8421)</f>
        <v>10636</v>
      </c>
      <c r="M767" s="6" t="n">
        <f aca="false">Summary!$B$3-J767</f>
        <v>61</v>
      </c>
      <c r="N767" s="6" t="str">
        <f aca="false">IF(K767&gt;1,"Yes","No")</f>
        <v>Yes</v>
      </c>
      <c r="O767" s="6" t="s">
        <v>46</v>
      </c>
    </row>
    <row r="768" customFormat="false" ht="15" hidden="false" customHeight="false" outlineLevel="0" collapsed="false">
      <c r="A768" s="6" t="s">
        <v>1645</v>
      </c>
      <c r="B768" s="6" t="s">
        <v>1646</v>
      </c>
      <c r="C768" s="6" t="s">
        <v>85</v>
      </c>
      <c r="D768" s="6" t="n">
        <v>34</v>
      </c>
      <c r="E768" s="6" t="s">
        <v>95</v>
      </c>
      <c r="F768" s="6" t="s">
        <v>95</v>
      </c>
      <c r="G768" s="26" t="n">
        <v>46008</v>
      </c>
      <c r="H768" s="6" t="s">
        <v>92</v>
      </c>
      <c r="I768" s="26" t="n">
        <f aca="false">_xlfn.MINIFS(Transaction!$C$2:$C$8421,Transaction!$B$2:$B$8421,A768)</f>
        <v>46062</v>
      </c>
      <c r="J768" s="26" t="n">
        <f aca="false">_xlfn.MAXIFS(Transaction!$C$2:$C$8421,Transaction!$B$2:$B$8421,A768)</f>
        <v>46190</v>
      </c>
      <c r="K768" s="6" t="n">
        <f aca="false">COUNTIF(Transaction!$B$2:$B$8421,A768)</f>
        <v>5</v>
      </c>
      <c r="L768" s="10" t="n">
        <f aca="false">SUMIF(Transaction!$B$2:$B$8421,A768,Transaction!$H$2:$H$8421)</f>
        <v>11771</v>
      </c>
      <c r="M768" s="6" t="n">
        <f aca="false">Summary!$B$3-J768</f>
        <v>76</v>
      </c>
      <c r="N768" s="6" t="str">
        <f aca="false">IF(K768&gt;1,"Yes","No")</f>
        <v>Yes</v>
      </c>
      <c r="O768" s="6" t="s">
        <v>46</v>
      </c>
    </row>
    <row r="769" customFormat="false" ht="15" hidden="false" customHeight="false" outlineLevel="0" collapsed="false">
      <c r="A769" s="6" t="s">
        <v>1647</v>
      </c>
      <c r="B769" s="6" t="s">
        <v>1648</v>
      </c>
      <c r="C769" s="6" t="s">
        <v>85</v>
      </c>
      <c r="D769" s="6" t="n">
        <v>27</v>
      </c>
      <c r="E769" s="6" t="s">
        <v>86</v>
      </c>
      <c r="F769" s="6" t="s">
        <v>87</v>
      </c>
      <c r="G769" s="26" t="n">
        <v>46129</v>
      </c>
      <c r="H769" s="6" t="s">
        <v>78</v>
      </c>
      <c r="I769" s="26" t="n">
        <f aca="false">_xlfn.MINIFS(Transaction!$C$2:$C$8421,Transaction!$B$2:$B$8421,A769)</f>
        <v>46150</v>
      </c>
      <c r="J769" s="26" t="n">
        <f aca="false">_xlfn.MAXIFS(Transaction!$C$2:$C$8421,Transaction!$B$2:$B$8421,A769)</f>
        <v>46150</v>
      </c>
      <c r="K769" s="6" t="n">
        <f aca="false">COUNTIF(Transaction!$B$2:$B$8421,A769)</f>
        <v>1</v>
      </c>
      <c r="L769" s="10" t="n">
        <f aca="false">SUMIF(Transaction!$B$2:$B$8421,A769,Transaction!$H$2:$H$8421)</f>
        <v>2249</v>
      </c>
      <c r="M769" s="6" t="n">
        <f aca="false">Summary!$B$3-J769</f>
        <v>116</v>
      </c>
      <c r="N769" s="6" t="str">
        <f aca="false">IF(K769&gt;1,"Yes","No")</f>
        <v>No</v>
      </c>
      <c r="O769" s="6" t="s">
        <v>48</v>
      </c>
    </row>
    <row r="770" customFormat="false" ht="15" hidden="false" customHeight="false" outlineLevel="0" collapsed="false">
      <c r="A770" s="6" t="s">
        <v>1649</v>
      </c>
      <c r="B770" s="6" t="s">
        <v>1650</v>
      </c>
      <c r="C770" s="6" t="s">
        <v>75</v>
      </c>
      <c r="D770" s="6" t="n">
        <v>40</v>
      </c>
      <c r="E770" s="6" t="s">
        <v>95</v>
      </c>
      <c r="F770" s="6" t="s">
        <v>95</v>
      </c>
      <c r="G770" s="26" t="n">
        <v>46233</v>
      </c>
      <c r="H770" s="6" t="s">
        <v>102</v>
      </c>
      <c r="I770" s="26" t="n">
        <f aca="false">_xlfn.MINIFS(Transaction!$C$2:$C$8421,Transaction!$B$2:$B$8421,A770)</f>
        <v>46260</v>
      </c>
      <c r="J770" s="26" t="n">
        <f aca="false">_xlfn.MAXIFS(Transaction!$C$2:$C$8421,Transaction!$B$2:$B$8421,A770)</f>
        <v>46260</v>
      </c>
      <c r="K770" s="6" t="n">
        <f aca="false">COUNTIF(Transaction!$B$2:$B$8421,A770)</f>
        <v>1</v>
      </c>
      <c r="L770" s="10" t="n">
        <f aca="false">SUMIF(Transaction!$B$2:$B$8421,A770,Transaction!$H$2:$H$8421)</f>
        <v>1564</v>
      </c>
      <c r="M770" s="6" t="n">
        <f aca="false">Summary!$B$3-J770</f>
        <v>6</v>
      </c>
      <c r="N770" s="6" t="str">
        <f aca="false">IF(K770&gt;1,"Yes","No")</f>
        <v>No</v>
      </c>
      <c r="O770" s="6" t="s">
        <v>47</v>
      </c>
    </row>
    <row r="771" customFormat="false" ht="15" hidden="false" customHeight="false" outlineLevel="0" collapsed="false">
      <c r="A771" s="6" t="s">
        <v>1651</v>
      </c>
      <c r="B771" s="6" t="s">
        <v>1652</v>
      </c>
      <c r="C771" s="6" t="s">
        <v>85</v>
      </c>
      <c r="D771" s="6" t="n">
        <v>34</v>
      </c>
      <c r="E771" s="6" t="s">
        <v>76</v>
      </c>
      <c r="F771" s="6" t="s">
        <v>77</v>
      </c>
      <c r="G771" s="26" t="n">
        <v>46004</v>
      </c>
      <c r="H771" s="6" t="s">
        <v>88</v>
      </c>
      <c r="I771" s="26" t="n">
        <f aca="false">_xlfn.MINIFS(Transaction!$C$2:$C$8421,Transaction!$B$2:$B$8421,A771)</f>
        <v>46077</v>
      </c>
      <c r="J771" s="26" t="n">
        <f aca="false">_xlfn.MAXIFS(Transaction!$C$2:$C$8421,Transaction!$B$2:$B$8421,A771)</f>
        <v>46077</v>
      </c>
      <c r="K771" s="6" t="n">
        <f aca="false">COUNTIF(Transaction!$B$2:$B$8421,A771)</f>
        <v>1</v>
      </c>
      <c r="L771" s="10" t="n">
        <f aca="false">SUMIF(Transaction!$B$2:$B$8421,A771,Transaction!$H$2:$H$8421)</f>
        <v>660</v>
      </c>
      <c r="M771" s="6" t="n">
        <f aca="false">Summary!$B$3-J771</f>
        <v>189</v>
      </c>
      <c r="N771" s="6" t="str">
        <f aca="false">IF(K771&gt;1,"Yes","No")</f>
        <v>No</v>
      </c>
      <c r="O771" s="6" t="s">
        <v>49</v>
      </c>
    </row>
    <row r="772" customFormat="false" ht="15" hidden="false" customHeight="false" outlineLevel="0" collapsed="false">
      <c r="A772" s="6" t="s">
        <v>1653</v>
      </c>
      <c r="B772" s="6" t="s">
        <v>1654</v>
      </c>
      <c r="C772" s="6" t="s">
        <v>75</v>
      </c>
      <c r="D772" s="6" t="n">
        <v>33</v>
      </c>
      <c r="E772" s="6" t="s">
        <v>76</v>
      </c>
      <c r="F772" s="6" t="s">
        <v>77</v>
      </c>
      <c r="G772" s="26" t="n">
        <v>46014</v>
      </c>
      <c r="H772" s="6" t="s">
        <v>123</v>
      </c>
      <c r="I772" s="26" t="n">
        <f aca="false">_xlfn.MINIFS(Transaction!$C$2:$C$8421,Transaction!$B$2:$B$8421,A772)</f>
        <v>46025</v>
      </c>
      <c r="J772" s="26" t="n">
        <f aca="false">_xlfn.MAXIFS(Transaction!$C$2:$C$8421,Transaction!$B$2:$B$8421,A772)</f>
        <v>46211</v>
      </c>
      <c r="K772" s="6" t="n">
        <f aca="false">COUNTIF(Transaction!$B$2:$B$8421,A772)</f>
        <v>4</v>
      </c>
      <c r="L772" s="10" t="n">
        <f aca="false">SUMIF(Transaction!$B$2:$B$8421,A772,Transaction!$H$2:$H$8421)</f>
        <v>11643</v>
      </c>
      <c r="M772" s="6" t="n">
        <f aca="false">Summary!$B$3-J772</f>
        <v>55</v>
      </c>
      <c r="N772" s="6" t="str">
        <f aca="false">IF(K772&gt;1,"Yes","No")</f>
        <v>Yes</v>
      </c>
      <c r="O772" s="6" t="s">
        <v>46</v>
      </c>
    </row>
    <row r="773" customFormat="false" ht="15" hidden="false" customHeight="false" outlineLevel="0" collapsed="false">
      <c r="A773" s="6" t="s">
        <v>1655</v>
      </c>
      <c r="B773" s="6" t="s">
        <v>1656</v>
      </c>
      <c r="C773" s="6" t="s">
        <v>75</v>
      </c>
      <c r="D773" s="6" t="n">
        <v>30</v>
      </c>
      <c r="E773" s="6" t="s">
        <v>76</v>
      </c>
      <c r="F773" s="6" t="s">
        <v>77</v>
      </c>
      <c r="G773" s="26" t="n">
        <v>45996</v>
      </c>
      <c r="H773" s="6" t="s">
        <v>115</v>
      </c>
      <c r="I773" s="26" t="n">
        <f aca="false">_xlfn.MINIFS(Transaction!$C$2:$C$8421,Transaction!$B$2:$B$8421,A773)</f>
        <v>46052</v>
      </c>
      <c r="J773" s="26" t="n">
        <f aca="false">_xlfn.MAXIFS(Transaction!$C$2:$C$8421,Transaction!$B$2:$B$8421,A773)</f>
        <v>46247</v>
      </c>
      <c r="K773" s="6" t="n">
        <f aca="false">COUNTIF(Transaction!$B$2:$B$8421,A773)</f>
        <v>8</v>
      </c>
      <c r="L773" s="10" t="n">
        <f aca="false">SUMIF(Transaction!$B$2:$B$8421,A773,Transaction!$H$2:$H$8421)</f>
        <v>17071</v>
      </c>
      <c r="M773" s="6" t="n">
        <f aca="false">Summary!$B$3-J773</f>
        <v>19</v>
      </c>
      <c r="N773" s="6" t="str">
        <f aca="false">IF(K773&gt;1,"Yes","No")</f>
        <v>Yes</v>
      </c>
      <c r="O773" s="6" t="s">
        <v>45</v>
      </c>
    </row>
    <row r="774" customFormat="false" ht="15" hidden="false" customHeight="false" outlineLevel="0" collapsed="false">
      <c r="A774" s="6" t="s">
        <v>1657</v>
      </c>
      <c r="B774" s="6" t="s">
        <v>1658</v>
      </c>
      <c r="C774" s="6" t="s">
        <v>75</v>
      </c>
      <c r="D774" s="6" t="n">
        <v>45</v>
      </c>
      <c r="E774" s="6" t="s">
        <v>95</v>
      </c>
      <c r="F774" s="6" t="s">
        <v>95</v>
      </c>
      <c r="G774" s="26" t="n">
        <v>46060</v>
      </c>
      <c r="H774" s="6" t="s">
        <v>102</v>
      </c>
      <c r="I774" s="26" t="n">
        <f aca="false">_xlfn.MINIFS(Transaction!$C$2:$C$8421,Transaction!$B$2:$B$8421,A774)</f>
        <v>46134</v>
      </c>
      <c r="J774" s="26" t="n">
        <f aca="false">_xlfn.MAXIFS(Transaction!$C$2:$C$8421,Transaction!$B$2:$B$8421,A774)</f>
        <v>46134</v>
      </c>
      <c r="K774" s="6" t="n">
        <f aca="false">COUNTIF(Transaction!$B$2:$B$8421,A774)</f>
        <v>1</v>
      </c>
      <c r="L774" s="10" t="n">
        <f aca="false">SUMIF(Transaction!$B$2:$B$8421,A774,Transaction!$H$2:$H$8421)</f>
        <v>1743</v>
      </c>
      <c r="M774" s="6" t="n">
        <f aca="false">Summary!$B$3-J774</f>
        <v>132</v>
      </c>
      <c r="N774" s="6" t="str">
        <f aca="false">IF(K774&gt;1,"Yes","No")</f>
        <v>No</v>
      </c>
      <c r="O774" s="6" t="s">
        <v>48</v>
      </c>
    </row>
    <row r="775" customFormat="false" ht="15" hidden="false" customHeight="false" outlineLevel="0" collapsed="false">
      <c r="A775" s="6" t="s">
        <v>1659</v>
      </c>
      <c r="B775" s="6" t="s">
        <v>1660</v>
      </c>
      <c r="C775" s="6" t="s">
        <v>75</v>
      </c>
      <c r="D775" s="6" t="n">
        <v>40</v>
      </c>
      <c r="E775" s="6" t="s">
        <v>105</v>
      </c>
      <c r="F775" s="6" t="s">
        <v>106</v>
      </c>
      <c r="G775" s="26" t="n">
        <v>46117</v>
      </c>
      <c r="H775" s="6" t="s">
        <v>78</v>
      </c>
      <c r="I775" s="26" t="n">
        <f aca="false">_xlfn.MINIFS(Transaction!$C$2:$C$8421,Transaction!$B$2:$B$8421,A775)</f>
        <v>46194</v>
      </c>
      <c r="J775" s="26" t="n">
        <f aca="false">_xlfn.MAXIFS(Transaction!$C$2:$C$8421,Transaction!$B$2:$B$8421,A775)</f>
        <v>46194</v>
      </c>
      <c r="K775" s="6" t="n">
        <f aca="false">COUNTIF(Transaction!$B$2:$B$8421,A775)</f>
        <v>1</v>
      </c>
      <c r="L775" s="10" t="n">
        <f aca="false">SUMIF(Transaction!$B$2:$B$8421,A775,Transaction!$H$2:$H$8421)</f>
        <v>2936</v>
      </c>
      <c r="M775" s="6" t="n">
        <f aca="false">Summary!$B$3-J775</f>
        <v>72</v>
      </c>
      <c r="N775" s="6" t="str">
        <f aca="false">IF(K775&gt;1,"Yes","No")</f>
        <v>No</v>
      </c>
      <c r="O775" s="6" t="s">
        <v>47</v>
      </c>
    </row>
    <row r="776" customFormat="false" ht="15" hidden="false" customHeight="false" outlineLevel="0" collapsed="false">
      <c r="A776" s="6" t="s">
        <v>1661</v>
      </c>
      <c r="B776" s="6" t="s">
        <v>1662</v>
      </c>
      <c r="C776" s="6" t="s">
        <v>75</v>
      </c>
      <c r="D776" s="6" t="n">
        <v>33</v>
      </c>
      <c r="E776" s="6" t="s">
        <v>76</v>
      </c>
      <c r="F776" s="6" t="s">
        <v>77</v>
      </c>
      <c r="G776" s="26" t="n">
        <v>46093</v>
      </c>
      <c r="H776" s="6" t="s">
        <v>115</v>
      </c>
      <c r="I776" s="26" t="n">
        <f aca="false">_xlfn.MINIFS(Transaction!$C$2:$C$8421,Transaction!$B$2:$B$8421,A776)</f>
        <v>46144</v>
      </c>
      <c r="J776" s="26" t="n">
        <f aca="false">_xlfn.MAXIFS(Transaction!$C$2:$C$8421,Transaction!$B$2:$B$8421,A776)</f>
        <v>46231</v>
      </c>
      <c r="K776" s="6" t="n">
        <f aca="false">COUNTIF(Transaction!$B$2:$B$8421,A776)</f>
        <v>4</v>
      </c>
      <c r="L776" s="10" t="n">
        <f aca="false">SUMIF(Transaction!$B$2:$B$8421,A776,Transaction!$H$2:$H$8421)</f>
        <v>11336</v>
      </c>
      <c r="M776" s="6" t="n">
        <f aca="false">Summary!$B$3-J776</f>
        <v>35</v>
      </c>
      <c r="N776" s="6" t="str">
        <f aca="false">IF(K776&gt;1,"Yes","No")</f>
        <v>Yes</v>
      </c>
      <c r="O776" s="6" t="s">
        <v>46</v>
      </c>
    </row>
    <row r="777" customFormat="false" ht="15" hidden="false" customHeight="false" outlineLevel="0" collapsed="false">
      <c r="A777" s="6" t="s">
        <v>1663</v>
      </c>
      <c r="B777" s="6" t="s">
        <v>1664</v>
      </c>
      <c r="C777" s="6" t="s">
        <v>85</v>
      </c>
      <c r="D777" s="6" t="n">
        <v>33</v>
      </c>
      <c r="E777" s="6" t="s">
        <v>105</v>
      </c>
      <c r="F777" s="6" t="s">
        <v>106</v>
      </c>
      <c r="G777" s="26" t="n">
        <v>45979</v>
      </c>
      <c r="H777" s="6" t="s">
        <v>102</v>
      </c>
      <c r="I777" s="26" t="n">
        <f aca="false">_xlfn.MINIFS(Transaction!$C$2:$C$8421,Transaction!$B$2:$B$8421,A777)</f>
        <v>46026</v>
      </c>
      <c r="J777" s="26" t="n">
        <f aca="false">_xlfn.MAXIFS(Transaction!$C$2:$C$8421,Transaction!$B$2:$B$8421,A777)</f>
        <v>46264</v>
      </c>
      <c r="K777" s="6" t="n">
        <f aca="false">COUNTIF(Transaction!$B$2:$B$8421,A777)</f>
        <v>9</v>
      </c>
      <c r="L777" s="10" t="n">
        <f aca="false">SUMIF(Transaction!$B$2:$B$8421,A777,Transaction!$H$2:$H$8421)</f>
        <v>14811</v>
      </c>
      <c r="M777" s="6" t="n">
        <f aca="false">Summary!$B$3-J777</f>
        <v>2</v>
      </c>
      <c r="N777" s="6" t="str">
        <f aca="false">IF(K777&gt;1,"Yes","No")</f>
        <v>Yes</v>
      </c>
      <c r="O777" s="6" t="s">
        <v>45</v>
      </c>
    </row>
    <row r="778" customFormat="false" ht="15" hidden="false" customHeight="false" outlineLevel="0" collapsed="false">
      <c r="A778" s="6" t="s">
        <v>1665</v>
      </c>
      <c r="B778" s="6" t="s">
        <v>1666</v>
      </c>
      <c r="C778" s="6" t="s">
        <v>85</v>
      </c>
      <c r="D778" s="6" t="n">
        <v>24</v>
      </c>
      <c r="E778" s="6" t="s">
        <v>76</v>
      </c>
      <c r="F778" s="6" t="s">
        <v>77</v>
      </c>
      <c r="G778" s="26" t="n">
        <v>46128</v>
      </c>
      <c r="H778" s="6" t="s">
        <v>88</v>
      </c>
      <c r="I778" s="26" t="n">
        <f aca="false">_xlfn.MINIFS(Transaction!$C$2:$C$8421,Transaction!$B$2:$B$8421,A778)</f>
        <v>46200</v>
      </c>
      <c r="J778" s="26" t="n">
        <f aca="false">_xlfn.MAXIFS(Transaction!$C$2:$C$8421,Transaction!$B$2:$B$8421,A778)</f>
        <v>46257</v>
      </c>
      <c r="K778" s="6" t="n">
        <f aca="false">COUNTIF(Transaction!$B$2:$B$8421,A778)</f>
        <v>4</v>
      </c>
      <c r="L778" s="10" t="n">
        <f aca="false">SUMIF(Transaction!$B$2:$B$8421,A778,Transaction!$H$2:$H$8421)</f>
        <v>11104</v>
      </c>
      <c r="M778" s="6" t="n">
        <f aca="false">Summary!$B$3-J778</f>
        <v>9</v>
      </c>
      <c r="N778" s="6" t="str">
        <f aca="false">IF(K778&gt;1,"Yes","No")</f>
        <v>Yes</v>
      </c>
      <c r="O778" s="6" t="s">
        <v>46</v>
      </c>
    </row>
    <row r="779" customFormat="false" ht="15" hidden="false" customHeight="false" outlineLevel="0" collapsed="false">
      <c r="A779" s="6" t="s">
        <v>1667</v>
      </c>
      <c r="B779" s="6" t="s">
        <v>1668</v>
      </c>
      <c r="C779" s="6" t="s">
        <v>75</v>
      </c>
      <c r="D779" s="6" t="n">
        <v>21</v>
      </c>
      <c r="E779" s="6" t="s">
        <v>81</v>
      </c>
      <c r="F779" s="6" t="s">
        <v>82</v>
      </c>
      <c r="G779" s="26" t="n">
        <v>46013</v>
      </c>
      <c r="H779" s="6" t="s">
        <v>92</v>
      </c>
      <c r="I779" s="26" t="n">
        <f aca="false">_xlfn.MINIFS(Transaction!$C$2:$C$8421,Transaction!$B$2:$B$8421,A779)</f>
        <v>46037</v>
      </c>
      <c r="J779" s="26" t="n">
        <f aca="false">_xlfn.MAXIFS(Transaction!$C$2:$C$8421,Transaction!$B$2:$B$8421,A779)</f>
        <v>46037</v>
      </c>
      <c r="K779" s="6" t="n">
        <f aca="false">COUNTIF(Transaction!$B$2:$B$8421,A779)</f>
        <v>1</v>
      </c>
      <c r="L779" s="10" t="n">
        <f aca="false">SUMIF(Transaction!$B$2:$B$8421,A779,Transaction!$H$2:$H$8421)</f>
        <v>1410</v>
      </c>
      <c r="M779" s="6" t="n">
        <f aca="false">Summary!$B$3-J779</f>
        <v>229</v>
      </c>
      <c r="N779" s="6" t="str">
        <f aca="false">IF(K779&gt;1,"Yes","No")</f>
        <v>No</v>
      </c>
      <c r="O779" s="6" t="s">
        <v>49</v>
      </c>
    </row>
    <row r="780" customFormat="false" ht="15" hidden="false" customHeight="false" outlineLevel="0" collapsed="false">
      <c r="A780" s="6" t="s">
        <v>1669</v>
      </c>
      <c r="B780" s="6" t="s">
        <v>1670</v>
      </c>
      <c r="C780" s="6" t="s">
        <v>85</v>
      </c>
      <c r="D780" s="6" t="n">
        <v>25</v>
      </c>
      <c r="E780" s="6" t="s">
        <v>134</v>
      </c>
      <c r="F780" s="6" t="s">
        <v>135</v>
      </c>
      <c r="G780" s="26" t="n">
        <v>45974</v>
      </c>
      <c r="H780" s="6" t="s">
        <v>123</v>
      </c>
      <c r="I780" s="26" t="n">
        <f aca="false">_xlfn.MINIFS(Transaction!$C$2:$C$8421,Transaction!$B$2:$B$8421,A780)</f>
        <v>46059</v>
      </c>
      <c r="J780" s="26" t="n">
        <f aca="false">_xlfn.MAXIFS(Transaction!$C$2:$C$8421,Transaction!$B$2:$B$8421,A780)</f>
        <v>46248</v>
      </c>
      <c r="K780" s="6" t="n">
        <f aca="false">COUNTIF(Transaction!$B$2:$B$8421,A780)</f>
        <v>10</v>
      </c>
      <c r="L780" s="10" t="n">
        <f aca="false">SUMIF(Transaction!$B$2:$B$8421,A780,Transaction!$H$2:$H$8421)</f>
        <v>29493</v>
      </c>
      <c r="M780" s="6" t="n">
        <f aca="false">Summary!$B$3-J780</f>
        <v>18</v>
      </c>
      <c r="N780" s="6" t="str">
        <f aca="false">IF(K780&gt;1,"Yes","No")</f>
        <v>Yes</v>
      </c>
      <c r="O780" s="6" t="s">
        <v>45</v>
      </c>
    </row>
    <row r="781" customFormat="false" ht="15" hidden="false" customHeight="false" outlineLevel="0" collapsed="false">
      <c r="A781" s="6" t="s">
        <v>1671</v>
      </c>
      <c r="B781" s="6" t="s">
        <v>1672</v>
      </c>
      <c r="C781" s="6" t="s">
        <v>75</v>
      </c>
      <c r="D781" s="6" t="n">
        <v>31</v>
      </c>
      <c r="E781" s="6" t="s">
        <v>118</v>
      </c>
      <c r="F781" s="6" t="s">
        <v>77</v>
      </c>
      <c r="G781" s="26" t="n">
        <v>46177</v>
      </c>
      <c r="H781" s="6" t="s">
        <v>123</v>
      </c>
      <c r="I781" s="26" t="n">
        <f aca="false">_xlfn.MINIFS(Transaction!$C$2:$C$8421,Transaction!$B$2:$B$8421,A781)</f>
        <v>46180</v>
      </c>
      <c r="J781" s="26" t="n">
        <f aca="false">_xlfn.MAXIFS(Transaction!$C$2:$C$8421,Transaction!$B$2:$B$8421,A781)</f>
        <v>46180</v>
      </c>
      <c r="K781" s="6" t="n">
        <f aca="false">COUNTIF(Transaction!$B$2:$B$8421,A781)</f>
        <v>1</v>
      </c>
      <c r="L781" s="10" t="n">
        <f aca="false">SUMIF(Transaction!$B$2:$B$8421,A781,Transaction!$H$2:$H$8421)</f>
        <v>3776</v>
      </c>
      <c r="M781" s="6" t="n">
        <f aca="false">Summary!$B$3-J781</f>
        <v>86</v>
      </c>
      <c r="N781" s="6" t="str">
        <f aca="false">IF(K781&gt;1,"Yes","No")</f>
        <v>No</v>
      </c>
      <c r="O781" s="6" t="s">
        <v>47</v>
      </c>
    </row>
    <row r="782" customFormat="false" ht="15" hidden="false" customHeight="false" outlineLevel="0" collapsed="false">
      <c r="A782" s="6" t="s">
        <v>1673</v>
      </c>
      <c r="B782" s="6" t="s">
        <v>1674</v>
      </c>
      <c r="C782" s="6" t="s">
        <v>85</v>
      </c>
      <c r="D782" s="6" t="n">
        <v>27</v>
      </c>
      <c r="E782" s="6" t="s">
        <v>95</v>
      </c>
      <c r="F782" s="6" t="s">
        <v>95</v>
      </c>
      <c r="G782" s="26" t="n">
        <v>46020</v>
      </c>
      <c r="H782" s="6" t="s">
        <v>115</v>
      </c>
      <c r="I782" s="26" t="n">
        <f aca="false">_xlfn.MINIFS(Transaction!$C$2:$C$8421,Transaction!$B$2:$B$8421,A782)</f>
        <v>46058</v>
      </c>
      <c r="J782" s="26" t="n">
        <f aca="false">_xlfn.MAXIFS(Transaction!$C$2:$C$8421,Transaction!$B$2:$B$8421,A782)</f>
        <v>46264</v>
      </c>
      <c r="K782" s="6" t="n">
        <f aca="false">COUNTIF(Transaction!$B$2:$B$8421,A782)</f>
        <v>11</v>
      </c>
      <c r="L782" s="10" t="n">
        <f aca="false">SUMIF(Transaction!$B$2:$B$8421,A782,Transaction!$H$2:$H$8421)</f>
        <v>21127</v>
      </c>
      <c r="M782" s="6" t="n">
        <f aca="false">Summary!$B$3-J782</f>
        <v>2</v>
      </c>
      <c r="N782" s="6" t="str">
        <f aca="false">IF(K782&gt;1,"Yes","No")</f>
        <v>Yes</v>
      </c>
      <c r="O782" s="6" t="s">
        <v>45</v>
      </c>
    </row>
    <row r="783" customFormat="false" ht="15" hidden="false" customHeight="false" outlineLevel="0" collapsed="false">
      <c r="A783" s="6" t="s">
        <v>1675</v>
      </c>
      <c r="B783" s="6" t="s">
        <v>1676</v>
      </c>
      <c r="C783" s="6" t="s">
        <v>85</v>
      </c>
      <c r="D783" s="6" t="n">
        <v>32</v>
      </c>
      <c r="E783" s="6" t="s">
        <v>264</v>
      </c>
      <c r="F783" s="6" t="s">
        <v>106</v>
      </c>
      <c r="G783" s="26" t="n">
        <v>46100</v>
      </c>
      <c r="H783" s="6" t="s">
        <v>115</v>
      </c>
      <c r="I783" s="26" t="n">
        <f aca="false">_xlfn.MINIFS(Transaction!$C$2:$C$8421,Transaction!$B$2:$B$8421,A783)</f>
        <v>46178</v>
      </c>
      <c r="J783" s="26" t="n">
        <f aca="false">_xlfn.MAXIFS(Transaction!$C$2:$C$8421,Transaction!$B$2:$B$8421,A783)</f>
        <v>46178</v>
      </c>
      <c r="K783" s="6" t="n">
        <f aca="false">COUNTIF(Transaction!$B$2:$B$8421,A783)</f>
        <v>1</v>
      </c>
      <c r="L783" s="10" t="n">
        <f aca="false">SUMIF(Transaction!$B$2:$B$8421,A783,Transaction!$H$2:$H$8421)</f>
        <v>3128</v>
      </c>
      <c r="M783" s="6" t="n">
        <f aca="false">Summary!$B$3-J783</f>
        <v>88</v>
      </c>
      <c r="N783" s="6" t="str">
        <f aca="false">IF(K783&gt;1,"Yes","No")</f>
        <v>No</v>
      </c>
      <c r="O783" s="6" t="s">
        <v>47</v>
      </c>
    </row>
    <row r="784" customFormat="false" ht="15" hidden="false" customHeight="false" outlineLevel="0" collapsed="false">
      <c r="A784" s="6" t="s">
        <v>1677</v>
      </c>
      <c r="B784" s="6" t="s">
        <v>1678</v>
      </c>
      <c r="C784" s="6" t="s">
        <v>85</v>
      </c>
      <c r="D784" s="6" t="n">
        <v>46</v>
      </c>
      <c r="E784" s="6" t="s">
        <v>180</v>
      </c>
      <c r="F784" s="6" t="s">
        <v>181</v>
      </c>
      <c r="G784" s="26" t="n">
        <v>46046</v>
      </c>
      <c r="H784" s="6" t="s">
        <v>88</v>
      </c>
      <c r="I784" s="26" t="n">
        <f aca="false">_xlfn.MINIFS(Transaction!$C$2:$C$8421,Transaction!$B$2:$B$8421,A784)</f>
        <v>46046</v>
      </c>
      <c r="J784" s="26" t="n">
        <f aca="false">_xlfn.MAXIFS(Transaction!$C$2:$C$8421,Transaction!$B$2:$B$8421,A784)</f>
        <v>46189</v>
      </c>
      <c r="K784" s="6" t="n">
        <f aca="false">COUNTIF(Transaction!$B$2:$B$8421,A784)</f>
        <v>4</v>
      </c>
      <c r="L784" s="10" t="n">
        <f aca="false">SUMIF(Transaction!$B$2:$B$8421,A784,Transaction!$H$2:$H$8421)</f>
        <v>3006</v>
      </c>
      <c r="M784" s="6" t="n">
        <f aca="false">Summary!$B$3-J784</f>
        <v>77</v>
      </c>
      <c r="N784" s="6" t="str">
        <f aca="false">IF(K784&gt;1,"Yes","No")</f>
        <v>Yes</v>
      </c>
      <c r="O784" s="6" t="s">
        <v>46</v>
      </c>
    </row>
    <row r="785" customFormat="false" ht="15" hidden="false" customHeight="false" outlineLevel="0" collapsed="false">
      <c r="A785" s="6" t="s">
        <v>1679</v>
      </c>
      <c r="B785" s="6" t="s">
        <v>1680</v>
      </c>
      <c r="C785" s="6" t="s">
        <v>85</v>
      </c>
      <c r="D785" s="6" t="n">
        <v>18</v>
      </c>
      <c r="E785" s="6" t="s">
        <v>134</v>
      </c>
      <c r="F785" s="6" t="s">
        <v>135</v>
      </c>
      <c r="G785" s="26" t="n">
        <v>46033</v>
      </c>
      <c r="H785" s="6" t="s">
        <v>78</v>
      </c>
      <c r="I785" s="26" t="n">
        <f aca="false">_xlfn.MINIFS(Transaction!$C$2:$C$8421,Transaction!$B$2:$B$8421,A785)</f>
        <v>46035</v>
      </c>
      <c r="J785" s="26" t="n">
        <f aca="false">_xlfn.MAXIFS(Transaction!$C$2:$C$8421,Transaction!$B$2:$B$8421,A785)</f>
        <v>46199</v>
      </c>
      <c r="K785" s="6" t="n">
        <f aca="false">COUNTIF(Transaction!$B$2:$B$8421,A785)</f>
        <v>6</v>
      </c>
      <c r="L785" s="10" t="n">
        <f aca="false">SUMIF(Transaction!$B$2:$B$8421,A785,Transaction!$H$2:$H$8421)</f>
        <v>4568</v>
      </c>
      <c r="M785" s="6" t="n">
        <f aca="false">Summary!$B$3-J785</f>
        <v>67</v>
      </c>
      <c r="N785" s="6" t="str">
        <f aca="false">IF(K785&gt;1,"Yes","No")</f>
        <v>Yes</v>
      </c>
      <c r="O785" s="6" t="s">
        <v>46</v>
      </c>
    </row>
    <row r="786" customFormat="false" ht="15" hidden="false" customHeight="false" outlineLevel="0" collapsed="false">
      <c r="A786" s="6" t="s">
        <v>1681</v>
      </c>
      <c r="B786" s="6" t="s">
        <v>1682</v>
      </c>
      <c r="C786" s="6" t="s">
        <v>85</v>
      </c>
      <c r="D786" s="6" t="n">
        <v>24</v>
      </c>
      <c r="E786" s="6" t="s">
        <v>86</v>
      </c>
      <c r="F786" s="6" t="s">
        <v>87</v>
      </c>
      <c r="G786" s="26" t="n">
        <v>46177</v>
      </c>
      <c r="H786" s="6" t="s">
        <v>78</v>
      </c>
      <c r="I786" s="26" t="n">
        <f aca="false">_xlfn.MINIFS(Transaction!$C$2:$C$8421,Transaction!$B$2:$B$8421,A786)</f>
        <v>46196</v>
      </c>
      <c r="J786" s="26" t="n">
        <f aca="false">_xlfn.MAXIFS(Transaction!$C$2:$C$8421,Transaction!$B$2:$B$8421,A786)</f>
        <v>46196</v>
      </c>
      <c r="K786" s="6" t="n">
        <f aca="false">COUNTIF(Transaction!$B$2:$B$8421,A786)</f>
        <v>1</v>
      </c>
      <c r="L786" s="10" t="n">
        <f aca="false">SUMIF(Transaction!$B$2:$B$8421,A786,Transaction!$H$2:$H$8421)</f>
        <v>1220</v>
      </c>
      <c r="M786" s="6" t="n">
        <f aca="false">Summary!$B$3-J786</f>
        <v>70</v>
      </c>
      <c r="N786" s="6" t="str">
        <f aca="false">IF(K786&gt;1,"Yes","No")</f>
        <v>No</v>
      </c>
      <c r="O786" s="6" t="s">
        <v>47</v>
      </c>
    </row>
    <row r="787" customFormat="false" ht="15" hidden="false" customHeight="false" outlineLevel="0" collapsed="false">
      <c r="A787" s="6" t="s">
        <v>1683</v>
      </c>
      <c r="B787" s="6" t="s">
        <v>1684</v>
      </c>
      <c r="C787" s="6" t="s">
        <v>85</v>
      </c>
      <c r="D787" s="6" t="n">
        <v>28</v>
      </c>
      <c r="E787" s="6" t="s">
        <v>81</v>
      </c>
      <c r="F787" s="6" t="s">
        <v>82</v>
      </c>
      <c r="G787" s="26" t="n">
        <v>46146</v>
      </c>
      <c r="H787" s="6" t="s">
        <v>115</v>
      </c>
      <c r="I787" s="26" t="n">
        <f aca="false">_xlfn.MINIFS(Transaction!$C$2:$C$8421,Transaction!$B$2:$B$8421,A787)</f>
        <v>46192</v>
      </c>
      <c r="J787" s="26" t="n">
        <f aca="false">_xlfn.MAXIFS(Transaction!$C$2:$C$8421,Transaction!$B$2:$B$8421,A787)</f>
        <v>46192</v>
      </c>
      <c r="K787" s="6" t="n">
        <f aca="false">COUNTIF(Transaction!$B$2:$B$8421,A787)</f>
        <v>1</v>
      </c>
      <c r="L787" s="10" t="n">
        <f aca="false">SUMIF(Transaction!$B$2:$B$8421,A787,Transaction!$H$2:$H$8421)</f>
        <v>746</v>
      </c>
      <c r="M787" s="6" t="n">
        <f aca="false">Summary!$B$3-J787</f>
        <v>74</v>
      </c>
      <c r="N787" s="6" t="str">
        <f aca="false">IF(K787&gt;1,"Yes","No")</f>
        <v>No</v>
      </c>
      <c r="O787" s="6" t="s">
        <v>47</v>
      </c>
    </row>
    <row r="788" customFormat="false" ht="15" hidden="false" customHeight="false" outlineLevel="0" collapsed="false">
      <c r="A788" s="6" t="s">
        <v>1685</v>
      </c>
      <c r="B788" s="6" t="s">
        <v>1686</v>
      </c>
      <c r="C788" s="6" t="s">
        <v>75</v>
      </c>
      <c r="D788" s="6" t="n">
        <v>28</v>
      </c>
      <c r="E788" s="6" t="s">
        <v>95</v>
      </c>
      <c r="F788" s="6" t="s">
        <v>95</v>
      </c>
      <c r="G788" s="26" t="n">
        <v>46016</v>
      </c>
      <c r="H788" s="6" t="s">
        <v>115</v>
      </c>
      <c r="I788" s="26" t="n">
        <f aca="false">_xlfn.MINIFS(Transaction!$C$2:$C$8421,Transaction!$B$2:$B$8421,A788)</f>
        <v>46063</v>
      </c>
      <c r="J788" s="26" t="n">
        <f aca="false">_xlfn.MAXIFS(Transaction!$C$2:$C$8421,Transaction!$B$2:$B$8421,A788)</f>
        <v>46211</v>
      </c>
      <c r="K788" s="6" t="n">
        <f aca="false">COUNTIF(Transaction!$B$2:$B$8421,A788)</f>
        <v>5</v>
      </c>
      <c r="L788" s="10" t="n">
        <f aca="false">SUMIF(Transaction!$B$2:$B$8421,A788,Transaction!$H$2:$H$8421)</f>
        <v>9136</v>
      </c>
      <c r="M788" s="6" t="n">
        <f aca="false">Summary!$B$3-J788</f>
        <v>55</v>
      </c>
      <c r="N788" s="6" t="str">
        <f aca="false">IF(K788&gt;1,"Yes","No")</f>
        <v>Yes</v>
      </c>
      <c r="O788" s="6" t="s">
        <v>46</v>
      </c>
    </row>
    <row r="789" customFormat="false" ht="15" hidden="false" customHeight="false" outlineLevel="0" collapsed="false">
      <c r="A789" s="6" t="s">
        <v>1687</v>
      </c>
      <c r="B789" s="6" t="s">
        <v>1688</v>
      </c>
      <c r="C789" s="6" t="s">
        <v>75</v>
      </c>
      <c r="D789" s="6" t="n">
        <v>34</v>
      </c>
      <c r="E789" s="6" t="s">
        <v>76</v>
      </c>
      <c r="F789" s="6" t="s">
        <v>77</v>
      </c>
      <c r="G789" s="26" t="n">
        <v>45960</v>
      </c>
      <c r="H789" s="6" t="s">
        <v>115</v>
      </c>
      <c r="I789" s="26" t="n">
        <f aca="false">_xlfn.MINIFS(Transaction!$C$2:$C$8421,Transaction!$B$2:$B$8421,A789)</f>
        <v>46036</v>
      </c>
      <c r="J789" s="26" t="n">
        <f aca="false">_xlfn.MAXIFS(Transaction!$C$2:$C$8421,Transaction!$B$2:$B$8421,A789)</f>
        <v>46186</v>
      </c>
      <c r="K789" s="6" t="n">
        <f aca="false">COUNTIF(Transaction!$B$2:$B$8421,A789)</f>
        <v>3</v>
      </c>
      <c r="L789" s="10" t="n">
        <f aca="false">SUMIF(Transaction!$B$2:$B$8421,A789,Transaction!$H$2:$H$8421)</f>
        <v>4409</v>
      </c>
      <c r="M789" s="6" t="n">
        <f aca="false">Summary!$B$3-J789</f>
        <v>80</v>
      </c>
      <c r="N789" s="6" t="str">
        <f aca="false">IF(K789&gt;1,"Yes","No")</f>
        <v>Yes</v>
      </c>
      <c r="O789" s="6" t="s">
        <v>46</v>
      </c>
    </row>
    <row r="790" customFormat="false" ht="15" hidden="false" customHeight="false" outlineLevel="0" collapsed="false">
      <c r="A790" s="6" t="s">
        <v>1689</v>
      </c>
      <c r="B790" s="6" t="s">
        <v>1690</v>
      </c>
      <c r="C790" s="6" t="s">
        <v>85</v>
      </c>
      <c r="D790" s="6" t="n">
        <v>35</v>
      </c>
      <c r="E790" s="6" t="s">
        <v>76</v>
      </c>
      <c r="F790" s="6" t="s">
        <v>77</v>
      </c>
      <c r="G790" s="26" t="n">
        <v>46098</v>
      </c>
      <c r="H790" s="6" t="s">
        <v>123</v>
      </c>
      <c r="I790" s="26" t="n">
        <f aca="false">_xlfn.MINIFS(Transaction!$C$2:$C$8421,Transaction!$B$2:$B$8421,A790)</f>
        <v>46170</v>
      </c>
      <c r="J790" s="26" t="n">
        <f aca="false">_xlfn.MAXIFS(Transaction!$C$2:$C$8421,Transaction!$B$2:$B$8421,A790)</f>
        <v>46170</v>
      </c>
      <c r="K790" s="6" t="n">
        <f aca="false">COUNTIF(Transaction!$B$2:$B$8421,A790)</f>
        <v>1</v>
      </c>
      <c r="L790" s="10" t="n">
        <f aca="false">SUMIF(Transaction!$B$2:$B$8421,A790,Transaction!$H$2:$H$8421)</f>
        <v>2137</v>
      </c>
      <c r="M790" s="6" t="n">
        <f aca="false">Summary!$B$3-J790</f>
        <v>96</v>
      </c>
      <c r="N790" s="6" t="str">
        <f aca="false">IF(K790&gt;1,"Yes","No")</f>
        <v>No</v>
      </c>
      <c r="O790" s="6" t="s">
        <v>48</v>
      </c>
    </row>
    <row r="791" customFormat="false" ht="15" hidden="false" customHeight="false" outlineLevel="0" collapsed="false">
      <c r="A791" s="6" t="s">
        <v>1691</v>
      </c>
      <c r="B791" s="6" t="s">
        <v>1692</v>
      </c>
      <c r="C791" s="6" t="s">
        <v>85</v>
      </c>
      <c r="D791" s="6" t="n">
        <v>34</v>
      </c>
      <c r="E791" s="6" t="s">
        <v>81</v>
      </c>
      <c r="F791" s="6" t="s">
        <v>82</v>
      </c>
      <c r="G791" s="26" t="n">
        <v>46094</v>
      </c>
      <c r="H791" s="6" t="s">
        <v>115</v>
      </c>
      <c r="I791" s="26" t="n">
        <f aca="false">_xlfn.MINIFS(Transaction!$C$2:$C$8421,Transaction!$B$2:$B$8421,A791)</f>
        <v>46179</v>
      </c>
      <c r="J791" s="26" t="n">
        <f aca="false">_xlfn.MAXIFS(Transaction!$C$2:$C$8421,Transaction!$B$2:$B$8421,A791)</f>
        <v>46179</v>
      </c>
      <c r="K791" s="6" t="n">
        <f aca="false">COUNTIF(Transaction!$B$2:$B$8421,A791)</f>
        <v>1</v>
      </c>
      <c r="L791" s="10" t="n">
        <f aca="false">SUMIF(Transaction!$B$2:$B$8421,A791,Transaction!$H$2:$H$8421)</f>
        <v>2554</v>
      </c>
      <c r="M791" s="6" t="n">
        <f aca="false">Summary!$B$3-J791</f>
        <v>87</v>
      </c>
      <c r="N791" s="6" t="str">
        <f aca="false">IF(K791&gt;1,"Yes","No")</f>
        <v>No</v>
      </c>
      <c r="O791" s="6" t="s">
        <v>47</v>
      </c>
    </row>
    <row r="792" customFormat="false" ht="15" hidden="false" customHeight="false" outlineLevel="0" collapsed="false">
      <c r="A792" s="6" t="s">
        <v>1693</v>
      </c>
      <c r="B792" s="6" t="s">
        <v>1694</v>
      </c>
      <c r="C792" s="6" t="s">
        <v>75</v>
      </c>
      <c r="D792" s="6" t="n">
        <v>31</v>
      </c>
      <c r="E792" s="6" t="s">
        <v>180</v>
      </c>
      <c r="F792" s="6" t="s">
        <v>181</v>
      </c>
      <c r="G792" s="26" t="n">
        <v>46209</v>
      </c>
      <c r="H792" s="6" t="s">
        <v>92</v>
      </c>
      <c r="I792" s="26" t="n">
        <f aca="false">_xlfn.MINIFS(Transaction!$C$2:$C$8421,Transaction!$B$2:$B$8421,A792)</f>
        <v>46228</v>
      </c>
      <c r="J792" s="26" t="n">
        <f aca="false">_xlfn.MAXIFS(Transaction!$C$2:$C$8421,Transaction!$B$2:$B$8421,A792)</f>
        <v>46228</v>
      </c>
      <c r="K792" s="6" t="n">
        <f aca="false">COUNTIF(Transaction!$B$2:$B$8421,A792)</f>
        <v>1</v>
      </c>
      <c r="L792" s="10" t="n">
        <f aca="false">SUMIF(Transaction!$B$2:$B$8421,A792,Transaction!$H$2:$H$8421)</f>
        <v>781</v>
      </c>
      <c r="M792" s="6" t="n">
        <f aca="false">Summary!$B$3-J792</f>
        <v>38</v>
      </c>
      <c r="N792" s="6" t="str">
        <f aca="false">IF(K792&gt;1,"Yes","No")</f>
        <v>No</v>
      </c>
      <c r="O792" s="6" t="s">
        <v>47</v>
      </c>
    </row>
    <row r="793" customFormat="false" ht="15" hidden="false" customHeight="false" outlineLevel="0" collapsed="false">
      <c r="A793" s="6" t="s">
        <v>1695</v>
      </c>
      <c r="B793" s="6" t="s">
        <v>1696</v>
      </c>
      <c r="C793" s="6" t="s">
        <v>85</v>
      </c>
      <c r="D793" s="6" t="n">
        <v>49</v>
      </c>
      <c r="E793" s="6" t="s">
        <v>95</v>
      </c>
      <c r="F793" s="6" t="s">
        <v>95</v>
      </c>
      <c r="G793" s="26" t="n">
        <v>46027</v>
      </c>
      <c r="H793" s="6" t="s">
        <v>88</v>
      </c>
      <c r="I793" s="26" t="n">
        <f aca="false">_xlfn.MINIFS(Transaction!$C$2:$C$8421,Transaction!$B$2:$B$8421,A793)</f>
        <v>46054</v>
      </c>
      <c r="J793" s="26" t="n">
        <f aca="false">_xlfn.MAXIFS(Transaction!$C$2:$C$8421,Transaction!$B$2:$B$8421,A793)</f>
        <v>46259</v>
      </c>
      <c r="K793" s="6" t="n">
        <f aca="false">COUNTIF(Transaction!$B$2:$B$8421,A793)</f>
        <v>8</v>
      </c>
      <c r="L793" s="10" t="n">
        <f aca="false">SUMIF(Transaction!$B$2:$B$8421,A793,Transaction!$H$2:$H$8421)</f>
        <v>12559</v>
      </c>
      <c r="M793" s="6" t="n">
        <f aca="false">Summary!$B$3-J793</f>
        <v>7</v>
      </c>
      <c r="N793" s="6" t="str">
        <f aca="false">IF(K793&gt;1,"Yes","No")</f>
        <v>Yes</v>
      </c>
      <c r="O793" s="6" t="s">
        <v>45</v>
      </c>
    </row>
    <row r="794" customFormat="false" ht="15" hidden="false" customHeight="false" outlineLevel="0" collapsed="false">
      <c r="A794" s="6" t="s">
        <v>1697</v>
      </c>
      <c r="B794" s="6" t="s">
        <v>1698</v>
      </c>
      <c r="C794" s="6" t="s">
        <v>75</v>
      </c>
      <c r="D794" s="6" t="n">
        <v>23</v>
      </c>
      <c r="E794" s="6" t="s">
        <v>176</v>
      </c>
      <c r="F794" s="6" t="s">
        <v>177</v>
      </c>
      <c r="G794" s="26" t="n">
        <v>46080</v>
      </c>
      <c r="H794" s="6" t="s">
        <v>123</v>
      </c>
      <c r="I794" s="26" t="n">
        <f aca="false">_xlfn.MINIFS(Transaction!$C$2:$C$8421,Transaction!$B$2:$B$8421,A794)</f>
        <v>46143</v>
      </c>
      <c r="J794" s="26" t="n">
        <f aca="false">_xlfn.MAXIFS(Transaction!$C$2:$C$8421,Transaction!$B$2:$B$8421,A794)</f>
        <v>46143</v>
      </c>
      <c r="K794" s="6" t="n">
        <f aca="false">COUNTIF(Transaction!$B$2:$B$8421,A794)</f>
        <v>1</v>
      </c>
      <c r="L794" s="10" t="n">
        <f aca="false">SUMIF(Transaction!$B$2:$B$8421,A794,Transaction!$H$2:$H$8421)</f>
        <v>4322</v>
      </c>
      <c r="M794" s="6" t="n">
        <f aca="false">Summary!$B$3-J794</f>
        <v>123</v>
      </c>
      <c r="N794" s="6" t="str">
        <f aca="false">IF(K794&gt;1,"Yes","No")</f>
        <v>No</v>
      </c>
      <c r="O794" s="6" t="s">
        <v>48</v>
      </c>
    </row>
    <row r="795" customFormat="false" ht="15" hidden="false" customHeight="false" outlineLevel="0" collapsed="false">
      <c r="A795" s="6" t="s">
        <v>1699</v>
      </c>
      <c r="B795" s="6" t="s">
        <v>1700</v>
      </c>
      <c r="C795" s="6" t="s">
        <v>75</v>
      </c>
      <c r="D795" s="6" t="n">
        <v>21</v>
      </c>
      <c r="E795" s="6" t="s">
        <v>76</v>
      </c>
      <c r="F795" s="6" t="s">
        <v>77</v>
      </c>
      <c r="G795" s="26" t="n">
        <v>45990</v>
      </c>
      <c r="H795" s="6" t="s">
        <v>78</v>
      </c>
      <c r="I795" s="26" t="n">
        <f aca="false">_xlfn.MINIFS(Transaction!$C$2:$C$8421,Transaction!$B$2:$B$8421,A795)</f>
        <v>46031</v>
      </c>
      <c r="J795" s="26" t="n">
        <f aca="false">_xlfn.MAXIFS(Transaction!$C$2:$C$8421,Transaction!$B$2:$B$8421,A795)</f>
        <v>46175</v>
      </c>
      <c r="K795" s="6" t="n">
        <f aca="false">COUNTIF(Transaction!$B$2:$B$8421,A795)</f>
        <v>6</v>
      </c>
      <c r="L795" s="10" t="n">
        <f aca="false">SUMIF(Transaction!$B$2:$B$8421,A795,Transaction!$H$2:$H$8421)</f>
        <v>20062</v>
      </c>
      <c r="M795" s="6" t="n">
        <f aca="false">Summary!$B$3-J795</f>
        <v>91</v>
      </c>
      <c r="N795" s="6" t="str">
        <f aca="false">IF(K795&gt;1,"Yes","No")</f>
        <v>Yes</v>
      </c>
      <c r="O795" s="6" t="s">
        <v>46</v>
      </c>
    </row>
    <row r="796" customFormat="false" ht="15" hidden="false" customHeight="false" outlineLevel="0" collapsed="false">
      <c r="A796" s="6" t="s">
        <v>1701</v>
      </c>
      <c r="B796" s="6" t="s">
        <v>1702</v>
      </c>
      <c r="C796" s="6" t="s">
        <v>75</v>
      </c>
      <c r="D796" s="6" t="n">
        <v>39</v>
      </c>
      <c r="E796" s="6" t="s">
        <v>121</v>
      </c>
      <c r="F796" s="6" t="s">
        <v>122</v>
      </c>
      <c r="G796" s="26" t="n">
        <v>46037</v>
      </c>
      <c r="H796" s="6" t="s">
        <v>92</v>
      </c>
      <c r="I796" s="26" t="n">
        <f aca="false">_xlfn.MINIFS(Transaction!$C$2:$C$8421,Transaction!$B$2:$B$8421,A796)</f>
        <v>46071</v>
      </c>
      <c r="J796" s="26" t="n">
        <f aca="false">_xlfn.MAXIFS(Transaction!$C$2:$C$8421,Transaction!$B$2:$B$8421,A796)</f>
        <v>46071</v>
      </c>
      <c r="K796" s="6" t="n">
        <f aca="false">COUNTIF(Transaction!$B$2:$B$8421,A796)</f>
        <v>1</v>
      </c>
      <c r="L796" s="10" t="n">
        <f aca="false">SUMIF(Transaction!$B$2:$B$8421,A796,Transaction!$H$2:$H$8421)</f>
        <v>2421</v>
      </c>
      <c r="M796" s="6" t="n">
        <f aca="false">Summary!$B$3-J796</f>
        <v>195</v>
      </c>
      <c r="N796" s="6" t="str">
        <f aca="false">IF(K796&gt;1,"Yes","No")</f>
        <v>No</v>
      </c>
      <c r="O796" s="6" t="s">
        <v>49</v>
      </c>
    </row>
    <row r="797" customFormat="false" ht="15" hidden="false" customHeight="false" outlineLevel="0" collapsed="false">
      <c r="A797" s="6" t="s">
        <v>1703</v>
      </c>
      <c r="B797" s="6" t="s">
        <v>1704</v>
      </c>
      <c r="C797" s="6" t="s">
        <v>85</v>
      </c>
      <c r="D797" s="6" t="n">
        <v>32</v>
      </c>
      <c r="E797" s="6" t="s">
        <v>121</v>
      </c>
      <c r="F797" s="6" t="s">
        <v>122</v>
      </c>
      <c r="G797" s="26" t="n">
        <v>45995</v>
      </c>
      <c r="H797" s="6" t="s">
        <v>115</v>
      </c>
      <c r="I797" s="26" t="n">
        <f aca="false">_xlfn.MINIFS(Transaction!$C$2:$C$8421,Transaction!$B$2:$B$8421,A797)</f>
        <v>46026</v>
      </c>
      <c r="J797" s="26" t="n">
        <f aca="false">_xlfn.MAXIFS(Transaction!$C$2:$C$8421,Transaction!$B$2:$B$8421,A797)</f>
        <v>46178</v>
      </c>
      <c r="K797" s="6" t="n">
        <f aca="false">COUNTIF(Transaction!$B$2:$B$8421,A797)</f>
        <v>5</v>
      </c>
      <c r="L797" s="10" t="n">
        <f aca="false">SUMIF(Transaction!$B$2:$B$8421,A797,Transaction!$H$2:$H$8421)</f>
        <v>6704</v>
      </c>
      <c r="M797" s="6" t="n">
        <f aca="false">Summary!$B$3-J797</f>
        <v>88</v>
      </c>
      <c r="N797" s="6" t="str">
        <f aca="false">IF(K797&gt;1,"Yes","No")</f>
        <v>Yes</v>
      </c>
      <c r="O797" s="6" t="s">
        <v>46</v>
      </c>
    </row>
    <row r="798" customFormat="false" ht="15" hidden="false" customHeight="false" outlineLevel="0" collapsed="false">
      <c r="A798" s="6" t="s">
        <v>1705</v>
      </c>
      <c r="B798" s="6" t="s">
        <v>1706</v>
      </c>
      <c r="C798" s="6" t="s">
        <v>75</v>
      </c>
      <c r="D798" s="6" t="n">
        <v>25</v>
      </c>
      <c r="E798" s="6" t="s">
        <v>91</v>
      </c>
      <c r="F798" s="6" t="s">
        <v>77</v>
      </c>
      <c r="G798" s="26" t="n">
        <v>46157</v>
      </c>
      <c r="H798" s="6" t="s">
        <v>92</v>
      </c>
      <c r="I798" s="26" t="n">
        <f aca="false">_xlfn.MINIFS(Transaction!$C$2:$C$8421,Transaction!$B$2:$B$8421,A798)</f>
        <v>46243</v>
      </c>
      <c r="J798" s="26" t="n">
        <f aca="false">_xlfn.MAXIFS(Transaction!$C$2:$C$8421,Transaction!$B$2:$B$8421,A798)</f>
        <v>46243</v>
      </c>
      <c r="K798" s="6" t="n">
        <f aca="false">COUNTIF(Transaction!$B$2:$B$8421,A798)</f>
        <v>1</v>
      </c>
      <c r="L798" s="10" t="n">
        <f aca="false">SUMIF(Transaction!$B$2:$B$8421,A798,Transaction!$H$2:$H$8421)</f>
        <v>3054</v>
      </c>
      <c r="M798" s="6" t="n">
        <f aca="false">Summary!$B$3-J798</f>
        <v>23</v>
      </c>
      <c r="N798" s="6" t="str">
        <f aca="false">IF(K798&gt;1,"Yes","No")</f>
        <v>No</v>
      </c>
      <c r="O798" s="6" t="s">
        <v>47</v>
      </c>
    </row>
    <row r="799" customFormat="false" ht="15" hidden="false" customHeight="false" outlineLevel="0" collapsed="false">
      <c r="A799" s="6" t="s">
        <v>1707</v>
      </c>
      <c r="B799" s="6" t="s">
        <v>1708</v>
      </c>
      <c r="C799" s="6" t="s">
        <v>85</v>
      </c>
      <c r="D799" s="6" t="n">
        <v>34</v>
      </c>
      <c r="E799" s="6" t="s">
        <v>81</v>
      </c>
      <c r="F799" s="6" t="s">
        <v>82</v>
      </c>
      <c r="G799" s="26" t="n">
        <v>46119</v>
      </c>
      <c r="H799" s="6" t="s">
        <v>115</v>
      </c>
      <c r="I799" s="26" t="n">
        <f aca="false">_xlfn.MINIFS(Transaction!$C$2:$C$8421,Transaction!$B$2:$B$8421,A799)</f>
        <v>46166</v>
      </c>
      <c r="J799" s="26" t="n">
        <f aca="false">_xlfn.MAXIFS(Transaction!$C$2:$C$8421,Transaction!$B$2:$B$8421,A799)</f>
        <v>46166</v>
      </c>
      <c r="K799" s="6" t="n">
        <f aca="false">COUNTIF(Transaction!$B$2:$B$8421,A799)</f>
        <v>1</v>
      </c>
      <c r="L799" s="10" t="n">
        <f aca="false">SUMIF(Transaction!$B$2:$B$8421,A799,Transaction!$H$2:$H$8421)</f>
        <v>5602</v>
      </c>
      <c r="M799" s="6" t="n">
        <f aca="false">Summary!$B$3-J799</f>
        <v>100</v>
      </c>
      <c r="N799" s="6" t="str">
        <f aca="false">IF(K799&gt;1,"Yes","No")</f>
        <v>No</v>
      </c>
      <c r="O799" s="6" t="s">
        <v>48</v>
      </c>
    </row>
    <row r="800" customFormat="false" ht="15" hidden="false" customHeight="false" outlineLevel="0" collapsed="false">
      <c r="A800" s="6" t="s">
        <v>1709</v>
      </c>
      <c r="B800" s="6" t="s">
        <v>1710</v>
      </c>
      <c r="C800" s="6" t="s">
        <v>85</v>
      </c>
      <c r="D800" s="6" t="n">
        <v>33</v>
      </c>
      <c r="E800" s="6" t="s">
        <v>91</v>
      </c>
      <c r="F800" s="6" t="s">
        <v>77</v>
      </c>
      <c r="G800" s="26" t="n">
        <v>45997</v>
      </c>
      <c r="H800" s="6" t="s">
        <v>102</v>
      </c>
      <c r="I800" s="26" t="n">
        <f aca="false">_xlfn.MINIFS(Transaction!$C$2:$C$8421,Transaction!$B$2:$B$8421,A800)</f>
        <v>46040</v>
      </c>
      <c r="J800" s="26" t="n">
        <f aca="false">_xlfn.MAXIFS(Transaction!$C$2:$C$8421,Transaction!$B$2:$B$8421,A800)</f>
        <v>46188</v>
      </c>
      <c r="K800" s="6" t="n">
        <f aca="false">COUNTIF(Transaction!$B$2:$B$8421,A800)</f>
        <v>7</v>
      </c>
      <c r="L800" s="10" t="n">
        <f aca="false">SUMIF(Transaction!$B$2:$B$8421,A800,Transaction!$H$2:$H$8421)</f>
        <v>26280</v>
      </c>
      <c r="M800" s="6" t="n">
        <f aca="false">Summary!$B$3-J800</f>
        <v>78</v>
      </c>
      <c r="N800" s="6" t="str">
        <f aca="false">IF(K800&gt;1,"Yes","No")</f>
        <v>Yes</v>
      </c>
      <c r="O800" s="6" t="s">
        <v>46</v>
      </c>
    </row>
    <row r="801" customFormat="false" ht="15" hidden="false" customHeight="false" outlineLevel="0" collapsed="false">
      <c r="A801" s="6" t="s">
        <v>1711</v>
      </c>
      <c r="B801" s="6" t="s">
        <v>1712</v>
      </c>
      <c r="C801" s="6" t="s">
        <v>75</v>
      </c>
      <c r="D801" s="6" t="n">
        <v>23</v>
      </c>
      <c r="E801" s="6" t="s">
        <v>95</v>
      </c>
      <c r="F801" s="6" t="s">
        <v>95</v>
      </c>
      <c r="G801" s="26" t="n">
        <v>45949</v>
      </c>
      <c r="H801" s="6" t="s">
        <v>115</v>
      </c>
      <c r="I801" s="26" t="n">
        <f aca="false">_xlfn.MINIFS(Transaction!$C$2:$C$8421,Transaction!$B$2:$B$8421,A801)</f>
        <v>46036</v>
      </c>
      <c r="J801" s="26" t="n">
        <f aca="false">_xlfn.MAXIFS(Transaction!$C$2:$C$8421,Transaction!$B$2:$B$8421,A801)</f>
        <v>46193</v>
      </c>
      <c r="K801" s="6" t="n">
        <f aca="false">COUNTIF(Transaction!$B$2:$B$8421,A801)</f>
        <v>6</v>
      </c>
      <c r="L801" s="10" t="n">
        <f aca="false">SUMIF(Transaction!$B$2:$B$8421,A801,Transaction!$H$2:$H$8421)</f>
        <v>11357</v>
      </c>
      <c r="M801" s="6" t="n">
        <f aca="false">Summary!$B$3-J801</f>
        <v>73</v>
      </c>
      <c r="N801" s="6" t="str">
        <f aca="false">IF(K801&gt;1,"Yes","No")</f>
        <v>Yes</v>
      </c>
      <c r="O801" s="6" t="s">
        <v>46</v>
      </c>
    </row>
    <row r="802" customFormat="false" ht="15" hidden="false" customHeight="false" outlineLevel="0" collapsed="false">
      <c r="A802" s="6" t="s">
        <v>1713</v>
      </c>
      <c r="B802" s="6" t="s">
        <v>1714</v>
      </c>
      <c r="C802" s="6" t="s">
        <v>85</v>
      </c>
      <c r="D802" s="6" t="n">
        <v>30</v>
      </c>
      <c r="E802" s="6" t="s">
        <v>105</v>
      </c>
      <c r="F802" s="6" t="s">
        <v>106</v>
      </c>
      <c r="G802" s="26" t="n">
        <v>45996</v>
      </c>
      <c r="H802" s="6" t="s">
        <v>88</v>
      </c>
      <c r="I802" s="26" t="n">
        <f aca="false">_xlfn.MINIFS(Transaction!$C$2:$C$8421,Transaction!$B$2:$B$8421,A802)</f>
        <v>46028</v>
      </c>
      <c r="J802" s="26" t="n">
        <f aca="false">_xlfn.MAXIFS(Transaction!$C$2:$C$8421,Transaction!$B$2:$B$8421,A802)</f>
        <v>46245</v>
      </c>
      <c r="K802" s="6" t="n">
        <f aca="false">COUNTIF(Transaction!$B$2:$B$8421,A802)</f>
        <v>8</v>
      </c>
      <c r="L802" s="10" t="n">
        <f aca="false">SUMIF(Transaction!$B$2:$B$8421,A802,Transaction!$H$2:$H$8421)</f>
        <v>35429</v>
      </c>
      <c r="M802" s="6" t="n">
        <f aca="false">Summary!$B$3-J802</f>
        <v>21</v>
      </c>
      <c r="N802" s="6" t="str">
        <f aca="false">IF(K802&gt;1,"Yes","No")</f>
        <v>Yes</v>
      </c>
      <c r="O802" s="6" t="s">
        <v>45</v>
      </c>
    </row>
    <row r="803" customFormat="false" ht="15" hidden="false" customHeight="false" outlineLevel="0" collapsed="false">
      <c r="A803" s="6" t="s">
        <v>1715</v>
      </c>
      <c r="B803" s="6" t="s">
        <v>1716</v>
      </c>
      <c r="C803" s="6" t="s">
        <v>85</v>
      </c>
      <c r="D803" s="6" t="n">
        <v>37</v>
      </c>
      <c r="E803" s="6" t="s">
        <v>121</v>
      </c>
      <c r="F803" s="6" t="s">
        <v>122</v>
      </c>
      <c r="G803" s="26" t="n">
        <v>46164</v>
      </c>
      <c r="H803" s="6" t="s">
        <v>78</v>
      </c>
      <c r="I803" s="26" t="n">
        <f aca="false">_xlfn.MINIFS(Transaction!$C$2:$C$8421,Transaction!$B$2:$B$8421,A803)</f>
        <v>46247</v>
      </c>
      <c r="J803" s="26" t="n">
        <f aca="false">_xlfn.MAXIFS(Transaction!$C$2:$C$8421,Transaction!$B$2:$B$8421,A803)</f>
        <v>46247</v>
      </c>
      <c r="K803" s="6" t="n">
        <f aca="false">COUNTIF(Transaction!$B$2:$B$8421,A803)</f>
        <v>1</v>
      </c>
      <c r="L803" s="10" t="n">
        <f aca="false">SUMIF(Transaction!$B$2:$B$8421,A803,Transaction!$H$2:$H$8421)</f>
        <v>972</v>
      </c>
      <c r="M803" s="6" t="n">
        <f aca="false">Summary!$B$3-J803</f>
        <v>19</v>
      </c>
      <c r="N803" s="6" t="str">
        <f aca="false">IF(K803&gt;1,"Yes","No")</f>
        <v>No</v>
      </c>
      <c r="O803" s="6" t="s">
        <v>47</v>
      </c>
    </row>
    <row r="804" customFormat="false" ht="15" hidden="false" customHeight="false" outlineLevel="0" collapsed="false">
      <c r="A804" s="6" t="s">
        <v>1717</v>
      </c>
      <c r="B804" s="6" t="s">
        <v>1718</v>
      </c>
      <c r="C804" s="6" t="s">
        <v>85</v>
      </c>
      <c r="D804" s="6" t="n">
        <v>28</v>
      </c>
      <c r="E804" s="6" t="s">
        <v>134</v>
      </c>
      <c r="F804" s="6" t="s">
        <v>135</v>
      </c>
      <c r="G804" s="26" t="n">
        <v>46193</v>
      </c>
      <c r="H804" s="6" t="s">
        <v>115</v>
      </c>
      <c r="I804" s="26" t="n">
        <f aca="false">_xlfn.MINIFS(Transaction!$C$2:$C$8421,Transaction!$B$2:$B$8421,A804)</f>
        <v>46256</v>
      </c>
      <c r="J804" s="26" t="n">
        <f aca="false">_xlfn.MAXIFS(Transaction!$C$2:$C$8421,Transaction!$B$2:$B$8421,A804)</f>
        <v>46256</v>
      </c>
      <c r="K804" s="6" t="n">
        <f aca="false">COUNTIF(Transaction!$B$2:$B$8421,A804)</f>
        <v>1</v>
      </c>
      <c r="L804" s="10" t="n">
        <f aca="false">SUMIF(Transaction!$B$2:$B$8421,A804,Transaction!$H$2:$H$8421)</f>
        <v>3439</v>
      </c>
      <c r="M804" s="6" t="n">
        <f aca="false">Summary!$B$3-J804</f>
        <v>10</v>
      </c>
      <c r="N804" s="6" t="str">
        <f aca="false">IF(K804&gt;1,"Yes","No")</f>
        <v>No</v>
      </c>
      <c r="O804" s="6" t="s">
        <v>47</v>
      </c>
    </row>
    <row r="805" customFormat="false" ht="15" hidden="false" customHeight="false" outlineLevel="0" collapsed="false">
      <c r="A805" s="6" t="s">
        <v>1719</v>
      </c>
      <c r="B805" s="6" t="s">
        <v>1720</v>
      </c>
      <c r="C805" s="6" t="s">
        <v>75</v>
      </c>
      <c r="D805" s="6" t="n">
        <v>49</v>
      </c>
      <c r="E805" s="6" t="s">
        <v>86</v>
      </c>
      <c r="F805" s="6" t="s">
        <v>87</v>
      </c>
      <c r="G805" s="26" t="n">
        <v>46036</v>
      </c>
      <c r="H805" s="6" t="s">
        <v>123</v>
      </c>
      <c r="I805" s="26" t="n">
        <f aca="false">_xlfn.MINIFS(Transaction!$C$2:$C$8421,Transaction!$B$2:$B$8421,A805)</f>
        <v>46051</v>
      </c>
      <c r="J805" s="26" t="n">
        <f aca="false">_xlfn.MAXIFS(Transaction!$C$2:$C$8421,Transaction!$B$2:$B$8421,A805)</f>
        <v>46051</v>
      </c>
      <c r="K805" s="6" t="n">
        <f aca="false">COUNTIF(Transaction!$B$2:$B$8421,A805)</f>
        <v>1</v>
      </c>
      <c r="L805" s="10" t="n">
        <f aca="false">SUMIF(Transaction!$B$2:$B$8421,A805,Transaction!$H$2:$H$8421)</f>
        <v>1965</v>
      </c>
      <c r="M805" s="6" t="n">
        <f aca="false">Summary!$B$3-J805</f>
        <v>215</v>
      </c>
      <c r="N805" s="6" t="str">
        <f aca="false">IF(K805&gt;1,"Yes","No")</f>
        <v>No</v>
      </c>
      <c r="O805" s="6" t="s">
        <v>49</v>
      </c>
    </row>
    <row r="806" customFormat="false" ht="15" hidden="false" customHeight="false" outlineLevel="0" collapsed="false">
      <c r="A806" s="6" t="s">
        <v>1721</v>
      </c>
      <c r="B806" s="6" t="s">
        <v>1722</v>
      </c>
      <c r="C806" s="6" t="s">
        <v>75</v>
      </c>
      <c r="D806" s="6" t="n">
        <v>21</v>
      </c>
      <c r="E806" s="6" t="s">
        <v>264</v>
      </c>
      <c r="F806" s="6" t="s">
        <v>106</v>
      </c>
      <c r="G806" s="26" t="n">
        <v>46204</v>
      </c>
      <c r="H806" s="6" t="s">
        <v>88</v>
      </c>
      <c r="I806" s="26" t="n">
        <f aca="false">_xlfn.MINIFS(Transaction!$C$2:$C$8421,Transaction!$B$2:$B$8421,A806)</f>
        <v>46230</v>
      </c>
      <c r="J806" s="26" t="n">
        <f aca="false">_xlfn.MAXIFS(Transaction!$C$2:$C$8421,Transaction!$B$2:$B$8421,A806)</f>
        <v>46230</v>
      </c>
      <c r="K806" s="6" t="n">
        <f aca="false">COUNTIF(Transaction!$B$2:$B$8421,A806)</f>
        <v>1</v>
      </c>
      <c r="L806" s="10" t="n">
        <f aca="false">SUMIF(Transaction!$B$2:$B$8421,A806,Transaction!$H$2:$H$8421)</f>
        <v>2012</v>
      </c>
      <c r="M806" s="6" t="n">
        <f aca="false">Summary!$B$3-J806</f>
        <v>36</v>
      </c>
      <c r="N806" s="6" t="str">
        <f aca="false">IF(K806&gt;1,"Yes","No")</f>
        <v>No</v>
      </c>
      <c r="O806" s="6" t="s">
        <v>47</v>
      </c>
    </row>
    <row r="807" customFormat="false" ht="15" hidden="false" customHeight="false" outlineLevel="0" collapsed="false">
      <c r="A807" s="6" t="s">
        <v>1723</v>
      </c>
      <c r="B807" s="6" t="s">
        <v>1724</v>
      </c>
      <c r="C807" s="6" t="s">
        <v>75</v>
      </c>
      <c r="D807" s="6" t="n">
        <v>24</v>
      </c>
      <c r="E807" s="6" t="s">
        <v>81</v>
      </c>
      <c r="F807" s="6" t="s">
        <v>82</v>
      </c>
      <c r="G807" s="26" t="n">
        <v>46051</v>
      </c>
      <c r="H807" s="6" t="s">
        <v>78</v>
      </c>
      <c r="I807" s="26" t="n">
        <f aca="false">_xlfn.MINIFS(Transaction!$C$2:$C$8421,Transaction!$B$2:$B$8421,A807)</f>
        <v>46053</v>
      </c>
      <c r="J807" s="26" t="n">
        <f aca="false">_xlfn.MAXIFS(Transaction!$C$2:$C$8421,Transaction!$B$2:$B$8421,A807)</f>
        <v>46053</v>
      </c>
      <c r="K807" s="6" t="n">
        <f aca="false">COUNTIF(Transaction!$B$2:$B$8421,A807)</f>
        <v>1</v>
      </c>
      <c r="L807" s="10" t="n">
        <f aca="false">SUMIF(Transaction!$B$2:$B$8421,A807,Transaction!$H$2:$H$8421)</f>
        <v>4401</v>
      </c>
      <c r="M807" s="6" t="n">
        <f aca="false">Summary!$B$3-J807</f>
        <v>213</v>
      </c>
      <c r="N807" s="6" t="str">
        <f aca="false">IF(K807&gt;1,"Yes","No")</f>
        <v>No</v>
      </c>
      <c r="O807" s="6" t="s">
        <v>49</v>
      </c>
    </row>
    <row r="808" customFormat="false" ht="15" hidden="false" customHeight="false" outlineLevel="0" collapsed="false">
      <c r="A808" s="6" t="s">
        <v>1725</v>
      </c>
      <c r="B808" s="6" t="s">
        <v>1726</v>
      </c>
      <c r="C808" s="6" t="s">
        <v>75</v>
      </c>
      <c r="D808" s="6" t="n">
        <v>42</v>
      </c>
      <c r="E808" s="6" t="s">
        <v>81</v>
      </c>
      <c r="F808" s="6" t="s">
        <v>82</v>
      </c>
      <c r="G808" s="26" t="n">
        <v>46033</v>
      </c>
      <c r="H808" s="6" t="s">
        <v>88</v>
      </c>
      <c r="I808" s="26" t="n">
        <f aca="false">_xlfn.MINIFS(Transaction!$C$2:$C$8421,Transaction!$B$2:$B$8421,A808)</f>
        <v>46075</v>
      </c>
      <c r="J808" s="26" t="n">
        <f aca="false">_xlfn.MAXIFS(Transaction!$C$2:$C$8421,Transaction!$B$2:$B$8421,A808)</f>
        <v>46258</v>
      </c>
      <c r="K808" s="6" t="n">
        <f aca="false">COUNTIF(Transaction!$B$2:$B$8421,A808)</f>
        <v>10</v>
      </c>
      <c r="L808" s="10" t="n">
        <f aca="false">SUMIF(Transaction!$B$2:$B$8421,A808,Transaction!$H$2:$H$8421)</f>
        <v>18798</v>
      </c>
      <c r="M808" s="6" t="n">
        <f aca="false">Summary!$B$3-J808</f>
        <v>8</v>
      </c>
      <c r="N808" s="6" t="str">
        <f aca="false">IF(K808&gt;1,"Yes","No")</f>
        <v>Yes</v>
      </c>
      <c r="O808" s="6" t="s">
        <v>45</v>
      </c>
    </row>
    <row r="809" customFormat="false" ht="15" hidden="false" customHeight="false" outlineLevel="0" collapsed="false">
      <c r="A809" s="6" t="s">
        <v>1727</v>
      </c>
      <c r="B809" s="6" t="s">
        <v>1728</v>
      </c>
      <c r="C809" s="6" t="s">
        <v>85</v>
      </c>
      <c r="D809" s="6" t="n">
        <v>37</v>
      </c>
      <c r="E809" s="6" t="s">
        <v>81</v>
      </c>
      <c r="F809" s="6" t="s">
        <v>82</v>
      </c>
      <c r="G809" s="26" t="n">
        <v>46153</v>
      </c>
      <c r="H809" s="6" t="s">
        <v>102</v>
      </c>
      <c r="I809" s="26" t="n">
        <f aca="false">_xlfn.MINIFS(Transaction!$C$2:$C$8421,Transaction!$B$2:$B$8421,A809)</f>
        <v>46240</v>
      </c>
      <c r="J809" s="26" t="n">
        <f aca="false">_xlfn.MAXIFS(Transaction!$C$2:$C$8421,Transaction!$B$2:$B$8421,A809)</f>
        <v>46240</v>
      </c>
      <c r="K809" s="6" t="n">
        <f aca="false">COUNTIF(Transaction!$B$2:$B$8421,A809)</f>
        <v>1</v>
      </c>
      <c r="L809" s="10" t="n">
        <f aca="false">SUMIF(Transaction!$B$2:$B$8421,A809,Transaction!$H$2:$H$8421)</f>
        <v>785</v>
      </c>
      <c r="M809" s="6" t="n">
        <f aca="false">Summary!$B$3-J809</f>
        <v>26</v>
      </c>
      <c r="N809" s="6" t="str">
        <f aca="false">IF(K809&gt;1,"Yes","No")</f>
        <v>No</v>
      </c>
      <c r="O809" s="6" t="s">
        <v>47</v>
      </c>
    </row>
    <row r="810" customFormat="false" ht="15" hidden="false" customHeight="false" outlineLevel="0" collapsed="false">
      <c r="A810" s="6" t="s">
        <v>1729</v>
      </c>
      <c r="B810" s="6" t="s">
        <v>1730</v>
      </c>
      <c r="C810" s="6" t="s">
        <v>85</v>
      </c>
      <c r="D810" s="6" t="n">
        <v>28</v>
      </c>
      <c r="E810" s="6" t="s">
        <v>76</v>
      </c>
      <c r="F810" s="6" t="s">
        <v>77</v>
      </c>
      <c r="G810" s="26" t="n">
        <v>45992</v>
      </c>
      <c r="H810" s="6" t="s">
        <v>102</v>
      </c>
      <c r="I810" s="26" t="n">
        <f aca="false">_xlfn.MINIFS(Transaction!$C$2:$C$8421,Transaction!$B$2:$B$8421,A810)</f>
        <v>46071</v>
      </c>
      <c r="J810" s="26" t="n">
        <f aca="false">_xlfn.MAXIFS(Transaction!$C$2:$C$8421,Transaction!$B$2:$B$8421,A810)</f>
        <v>46258</v>
      </c>
      <c r="K810" s="6" t="n">
        <f aca="false">COUNTIF(Transaction!$B$2:$B$8421,A810)</f>
        <v>3</v>
      </c>
      <c r="L810" s="10" t="n">
        <f aca="false">SUMIF(Transaction!$B$2:$B$8421,A810,Transaction!$H$2:$H$8421)</f>
        <v>7088</v>
      </c>
      <c r="M810" s="6" t="n">
        <f aca="false">Summary!$B$3-J810</f>
        <v>8</v>
      </c>
      <c r="N810" s="6" t="str">
        <f aca="false">IF(K810&gt;1,"Yes","No")</f>
        <v>Yes</v>
      </c>
      <c r="O810" s="6" t="s">
        <v>46</v>
      </c>
    </row>
    <row r="811" customFormat="false" ht="15" hidden="false" customHeight="false" outlineLevel="0" collapsed="false">
      <c r="A811" s="6" t="s">
        <v>1731</v>
      </c>
      <c r="B811" s="6" t="s">
        <v>1732</v>
      </c>
      <c r="C811" s="6" t="s">
        <v>75</v>
      </c>
      <c r="D811" s="6" t="n">
        <v>41</v>
      </c>
      <c r="E811" s="6" t="s">
        <v>76</v>
      </c>
      <c r="F811" s="6" t="s">
        <v>77</v>
      </c>
      <c r="G811" s="26" t="n">
        <v>45989</v>
      </c>
      <c r="H811" s="6" t="s">
        <v>123</v>
      </c>
      <c r="I811" s="26" t="n">
        <f aca="false">_xlfn.MINIFS(Transaction!$C$2:$C$8421,Transaction!$B$2:$B$8421,A811)</f>
        <v>46050</v>
      </c>
      <c r="J811" s="26" t="n">
        <f aca="false">_xlfn.MAXIFS(Transaction!$C$2:$C$8421,Transaction!$B$2:$B$8421,A811)</f>
        <v>46189</v>
      </c>
      <c r="K811" s="6" t="n">
        <f aca="false">COUNTIF(Transaction!$B$2:$B$8421,A811)</f>
        <v>8</v>
      </c>
      <c r="L811" s="10" t="n">
        <f aca="false">SUMIF(Transaction!$B$2:$B$8421,A811,Transaction!$H$2:$H$8421)</f>
        <v>18146</v>
      </c>
      <c r="M811" s="6" t="n">
        <f aca="false">Summary!$B$3-J811</f>
        <v>77</v>
      </c>
      <c r="N811" s="6" t="str">
        <f aca="false">IF(K811&gt;1,"Yes","No")</f>
        <v>Yes</v>
      </c>
      <c r="O811" s="6" t="s">
        <v>46</v>
      </c>
    </row>
    <row r="812" customFormat="false" ht="15" hidden="false" customHeight="false" outlineLevel="0" collapsed="false">
      <c r="A812" s="6" t="s">
        <v>1733</v>
      </c>
      <c r="B812" s="6" t="s">
        <v>1734</v>
      </c>
      <c r="C812" s="6" t="s">
        <v>85</v>
      </c>
      <c r="D812" s="6" t="n">
        <v>25</v>
      </c>
      <c r="E812" s="6" t="s">
        <v>76</v>
      </c>
      <c r="F812" s="6" t="s">
        <v>77</v>
      </c>
      <c r="G812" s="26" t="n">
        <v>46194</v>
      </c>
      <c r="H812" s="6" t="s">
        <v>78</v>
      </c>
      <c r="I812" s="26" t="n">
        <f aca="false">_xlfn.MINIFS(Transaction!$C$2:$C$8421,Transaction!$B$2:$B$8421,A812)</f>
        <v>46209</v>
      </c>
      <c r="J812" s="26" t="n">
        <f aca="false">_xlfn.MAXIFS(Transaction!$C$2:$C$8421,Transaction!$B$2:$B$8421,A812)</f>
        <v>46209</v>
      </c>
      <c r="K812" s="6" t="n">
        <f aca="false">COUNTIF(Transaction!$B$2:$B$8421,A812)</f>
        <v>1</v>
      </c>
      <c r="L812" s="10" t="n">
        <f aca="false">SUMIF(Transaction!$B$2:$B$8421,A812,Transaction!$H$2:$H$8421)</f>
        <v>1954</v>
      </c>
      <c r="M812" s="6" t="n">
        <f aca="false">Summary!$B$3-J812</f>
        <v>57</v>
      </c>
      <c r="N812" s="6" t="str">
        <f aca="false">IF(K812&gt;1,"Yes","No")</f>
        <v>No</v>
      </c>
      <c r="O812" s="6" t="s">
        <v>47</v>
      </c>
    </row>
    <row r="813" customFormat="false" ht="15" hidden="false" customHeight="false" outlineLevel="0" collapsed="false">
      <c r="A813" s="6" t="s">
        <v>1735</v>
      </c>
      <c r="B813" s="6" t="s">
        <v>1736</v>
      </c>
      <c r="C813" s="6" t="s">
        <v>85</v>
      </c>
      <c r="D813" s="6" t="n">
        <v>40</v>
      </c>
      <c r="E813" s="6" t="s">
        <v>91</v>
      </c>
      <c r="F813" s="6" t="s">
        <v>77</v>
      </c>
      <c r="G813" s="26" t="n">
        <v>46192</v>
      </c>
      <c r="H813" s="6" t="s">
        <v>102</v>
      </c>
      <c r="I813" s="26" t="n">
        <f aca="false">_xlfn.MINIFS(Transaction!$C$2:$C$8421,Transaction!$B$2:$B$8421,A813)</f>
        <v>46235</v>
      </c>
      <c r="J813" s="26" t="n">
        <f aca="false">_xlfn.MAXIFS(Transaction!$C$2:$C$8421,Transaction!$B$2:$B$8421,A813)</f>
        <v>46235</v>
      </c>
      <c r="K813" s="6" t="n">
        <f aca="false">COUNTIF(Transaction!$B$2:$B$8421,A813)</f>
        <v>1</v>
      </c>
      <c r="L813" s="10" t="n">
        <f aca="false">SUMIF(Transaction!$B$2:$B$8421,A813,Transaction!$H$2:$H$8421)</f>
        <v>2095</v>
      </c>
      <c r="M813" s="6" t="n">
        <f aca="false">Summary!$B$3-J813</f>
        <v>31</v>
      </c>
      <c r="N813" s="6" t="str">
        <f aca="false">IF(K813&gt;1,"Yes","No")</f>
        <v>No</v>
      </c>
      <c r="O813" s="6" t="s">
        <v>47</v>
      </c>
    </row>
    <row r="814" customFormat="false" ht="15" hidden="false" customHeight="false" outlineLevel="0" collapsed="false">
      <c r="A814" s="6" t="s">
        <v>1737</v>
      </c>
      <c r="B814" s="6" t="s">
        <v>1738</v>
      </c>
      <c r="C814" s="6" t="s">
        <v>85</v>
      </c>
      <c r="D814" s="6" t="n">
        <v>29</v>
      </c>
      <c r="E814" s="6" t="s">
        <v>81</v>
      </c>
      <c r="F814" s="6" t="s">
        <v>82</v>
      </c>
      <c r="G814" s="26" t="n">
        <v>45975</v>
      </c>
      <c r="H814" s="6" t="s">
        <v>78</v>
      </c>
      <c r="I814" s="26" t="n">
        <f aca="false">_xlfn.MINIFS(Transaction!$C$2:$C$8421,Transaction!$B$2:$B$8421,A814)</f>
        <v>46038</v>
      </c>
      <c r="J814" s="26" t="n">
        <f aca="false">_xlfn.MAXIFS(Transaction!$C$2:$C$8421,Transaction!$B$2:$B$8421,A814)</f>
        <v>46257</v>
      </c>
      <c r="K814" s="6" t="n">
        <f aca="false">COUNTIF(Transaction!$B$2:$B$8421,A814)</f>
        <v>10</v>
      </c>
      <c r="L814" s="10" t="n">
        <f aca="false">SUMIF(Transaction!$B$2:$B$8421,A814,Transaction!$H$2:$H$8421)</f>
        <v>18851</v>
      </c>
      <c r="M814" s="6" t="n">
        <f aca="false">Summary!$B$3-J814</f>
        <v>9</v>
      </c>
      <c r="N814" s="6" t="str">
        <f aca="false">IF(K814&gt;1,"Yes","No")</f>
        <v>Yes</v>
      </c>
      <c r="O814" s="6" t="s">
        <v>45</v>
      </c>
    </row>
    <row r="815" customFormat="false" ht="15" hidden="false" customHeight="false" outlineLevel="0" collapsed="false">
      <c r="A815" s="6" t="s">
        <v>1739</v>
      </c>
      <c r="B815" s="6" t="s">
        <v>1740</v>
      </c>
      <c r="C815" s="6" t="s">
        <v>75</v>
      </c>
      <c r="D815" s="6" t="n">
        <v>24</v>
      </c>
      <c r="E815" s="6" t="s">
        <v>134</v>
      </c>
      <c r="F815" s="6" t="s">
        <v>135</v>
      </c>
      <c r="G815" s="26" t="n">
        <v>46144</v>
      </c>
      <c r="H815" s="6" t="s">
        <v>78</v>
      </c>
      <c r="I815" s="26" t="n">
        <f aca="false">_xlfn.MINIFS(Transaction!$C$2:$C$8421,Transaction!$B$2:$B$8421,A815)</f>
        <v>46230</v>
      </c>
      <c r="J815" s="26" t="n">
        <f aca="false">_xlfn.MAXIFS(Transaction!$C$2:$C$8421,Transaction!$B$2:$B$8421,A815)</f>
        <v>46230</v>
      </c>
      <c r="K815" s="6" t="n">
        <f aca="false">COUNTIF(Transaction!$B$2:$B$8421,A815)</f>
        <v>1</v>
      </c>
      <c r="L815" s="10" t="n">
        <f aca="false">SUMIF(Transaction!$B$2:$B$8421,A815,Transaction!$H$2:$H$8421)</f>
        <v>240</v>
      </c>
      <c r="M815" s="6" t="n">
        <f aca="false">Summary!$B$3-J815</f>
        <v>36</v>
      </c>
      <c r="N815" s="6" t="str">
        <f aca="false">IF(K815&gt;1,"Yes","No")</f>
        <v>No</v>
      </c>
      <c r="O815" s="6" t="s">
        <v>47</v>
      </c>
    </row>
    <row r="816" customFormat="false" ht="15" hidden="false" customHeight="false" outlineLevel="0" collapsed="false">
      <c r="A816" s="6" t="s">
        <v>1741</v>
      </c>
      <c r="B816" s="6" t="s">
        <v>1742</v>
      </c>
      <c r="C816" s="6" t="s">
        <v>75</v>
      </c>
      <c r="D816" s="6" t="n">
        <v>18</v>
      </c>
      <c r="E816" s="6" t="s">
        <v>98</v>
      </c>
      <c r="F816" s="6" t="s">
        <v>99</v>
      </c>
      <c r="G816" s="26" t="n">
        <v>46257</v>
      </c>
      <c r="H816" s="6" t="s">
        <v>102</v>
      </c>
      <c r="I816" s="26" t="n">
        <f aca="false">_xlfn.MINIFS(Transaction!$C$2:$C$8421,Transaction!$B$2:$B$8421,A816)</f>
        <v>46263</v>
      </c>
      <c r="J816" s="26" t="n">
        <f aca="false">_xlfn.MAXIFS(Transaction!$C$2:$C$8421,Transaction!$B$2:$B$8421,A816)</f>
        <v>46263</v>
      </c>
      <c r="K816" s="6" t="n">
        <f aca="false">COUNTIF(Transaction!$B$2:$B$8421,A816)</f>
        <v>1</v>
      </c>
      <c r="L816" s="10" t="n">
        <f aca="false">SUMIF(Transaction!$B$2:$B$8421,A816,Transaction!$H$2:$H$8421)</f>
        <v>733</v>
      </c>
      <c r="M816" s="6" t="n">
        <f aca="false">Summary!$B$3-J816</f>
        <v>3</v>
      </c>
      <c r="N816" s="6" t="str">
        <f aca="false">IF(K816&gt;1,"Yes","No")</f>
        <v>No</v>
      </c>
      <c r="O816" s="6" t="s">
        <v>47</v>
      </c>
    </row>
    <row r="817" customFormat="false" ht="15" hidden="false" customHeight="false" outlineLevel="0" collapsed="false">
      <c r="A817" s="6" t="s">
        <v>1743</v>
      </c>
      <c r="B817" s="6" t="s">
        <v>1744</v>
      </c>
      <c r="C817" s="6" t="s">
        <v>75</v>
      </c>
      <c r="D817" s="6" t="n">
        <v>35</v>
      </c>
      <c r="E817" s="6" t="s">
        <v>134</v>
      </c>
      <c r="F817" s="6" t="s">
        <v>135</v>
      </c>
      <c r="G817" s="26" t="n">
        <v>46037</v>
      </c>
      <c r="H817" s="6" t="s">
        <v>88</v>
      </c>
      <c r="I817" s="26" t="n">
        <f aca="false">_xlfn.MINIFS(Transaction!$C$2:$C$8421,Transaction!$B$2:$B$8421,A817)</f>
        <v>46108</v>
      </c>
      <c r="J817" s="26" t="n">
        <f aca="false">_xlfn.MAXIFS(Transaction!$C$2:$C$8421,Transaction!$B$2:$B$8421,A817)</f>
        <v>46108</v>
      </c>
      <c r="K817" s="6" t="n">
        <f aca="false">COUNTIF(Transaction!$B$2:$B$8421,A817)</f>
        <v>1</v>
      </c>
      <c r="L817" s="10" t="n">
        <f aca="false">SUMIF(Transaction!$B$2:$B$8421,A817,Transaction!$H$2:$H$8421)</f>
        <v>28553</v>
      </c>
      <c r="M817" s="6" t="n">
        <f aca="false">Summary!$B$3-J817</f>
        <v>158</v>
      </c>
      <c r="N817" s="6" t="str">
        <f aca="false">IF(K817&gt;1,"Yes","No")</f>
        <v>No</v>
      </c>
      <c r="O817" s="6" t="s">
        <v>49</v>
      </c>
    </row>
    <row r="818" customFormat="false" ht="15" hidden="false" customHeight="false" outlineLevel="0" collapsed="false">
      <c r="A818" s="6" t="s">
        <v>1745</v>
      </c>
      <c r="B818" s="6" t="s">
        <v>1746</v>
      </c>
      <c r="C818" s="6" t="s">
        <v>75</v>
      </c>
      <c r="D818" s="6" t="n">
        <v>24</v>
      </c>
      <c r="E818" s="6" t="s">
        <v>146</v>
      </c>
      <c r="F818" s="6" t="s">
        <v>147</v>
      </c>
      <c r="G818" s="26" t="n">
        <v>46160</v>
      </c>
      <c r="H818" s="6" t="s">
        <v>78</v>
      </c>
      <c r="I818" s="26" t="n">
        <f aca="false">_xlfn.MINIFS(Transaction!$C$2:$C$8421,Transaction!$B$2:$B$8421,A818)</f>
        <v>46208</v>
      </c>
      <c r="J818" s="26" t="n">
        <f aca="false">_xlfn.MAXIFS(Transaction!$C$2:$C$8421,Transaction!$B$2:$B$8421,A818)</f>
        <v>46208</v>
      </c>
      <c r="K818" s="6" t="n">
        <f aca="false">COUNTIF(Transaction!$B$2:$B$8421,A818)</f>
        <v>1</v>
      </c>
      <c r="L818" s="10" t="n">
        <f aca="false">SUMIF(Transaction!$B$2:$B$8421,A818,Transaction!$H$2:$H$8421)</f>
        <v>928</v>
      </c>
      <c r="M818" s="6" t="n">
        <f aca="false">Summary!$B$3-J818</f>
        <v>58</v>
      </c>
      <c r="N818" s="6" t="str">
        <f aca="false">IF(K818&gt;1,"Yes","No")</f>
        <v>No</v>
      </c>
      <c r="O818" s="6" t="s">
        <v>47</v>
      </c>
    </row>
    <row r="819" customFormat="false" ht="15" hidden="false" customHeight="false" outlineLevel="0" collapsed="false">
      <c r="A819" s="6" t="s">
        <v>1747</v>
      </c>
      <c r="B819" s="6" t="s">
        <v>1748</v>
      </c>
      <c r="C819" s="6" t="s">
        <v>75</v>
      </c>
      <c r="D819" s="6" t="n">
        <v>53</v>
      </c>
      <c r="E819" s="6" t="s">
        <v>134</v>
      </c>
      <c r="F819" s="6" t="s">
        <v>135</v>
      </c>
      <c r="G819" s="26" t="n">
        <v>46088</v>
      </c>
      <c r="H819" s="6" t="s">
        <v>115</v>
      </c>
      <c r="I819" s="26" t="n">
        <f aca="false">_xlfn.MINIFS(Transaction!$C$2:$C$8421,Transaction!$B$2:$B$8421,A819)</f>
        <v>46116</v>
      </c>
      <c r="J819" s="26" t="n">
        <f aca="false">_xlfn.MAXIFS(Transaction!$C$2:$C$8421,Transaction!$B$2:$B$8421,A819)</f>
        <v>46116</v>
      </c>
      <c r="K819" s="6" t="n">
        <f aca="false">COUNTIF(Transaction!$B$2:$B$8421,A819)</f>
        <v>1</v>
      </c>
      <c r="L819" s="10" t="n">
        <f aca="false">SUMIF(Transaction!$B$2:$B$8421,A819,Transaction!$H$2:$H$8421)</f>
        <v>822</v>
      </c>
      <c r="M819" s="6" t="n">
        <f aca="false">Summary!$B$3-J819</f>
        <v>150</v>
      </c>
      <c r="N819" s="6" t="str">
        <f aca="false">IF(K819&gt;1,"Yes","No")</f>
        <v>No</v>
      </c>
      <c r="O819" s="6" t="s">
        <v>48</v>
      </c>
    </row>
    <row r="820" customFormat="false" ht="15" hidden="false" customHeight="false" outlineLevel="0" collapsed="false">
      <c r="A820" s="6" t="s">
        <v>1749</v>
      </c>
      <c r="B820" s="6" t="s">
        <v>1750</v>
      </c>
      <c r="C820" s="6" t="s">
        <v>85</v>
      </c>
      <c r="D820" s="6" t="n">
        <v>40</v>
      </c>
      <c r="E820" s="6" t="s">
        <v>134</v>
      </c>
      <c r="F820" s="6" t="s">
        <v>135</v>
      </c>
      <c r="G820" s="26" t="n">
        <v>46028</v>
      </c>
      <c r="H820" s="6" t="s">
        <v>123</v>
      </c>
      <c r="I820" s="26" t="n">
        <f aca="false">_xlfn.MINIFS(Transaction!$C$2:$C$8421,Transaction!$B$2:$B$8421,A820)</f>
        <v>46058</v>
      </c>
      <c r="J820" s="26" t="n">
        <f aca="false">_xlfn.MAXIFS(Transaction!$C$2:$C$8421,Transaction!$B$2:$B$8421,A820)</f>
        <v>46058</v>
      </c>
      <c r="K820" s="6" t="n">
        <f aca="false">COUNTIF(Transaction!$B$2:$B$8421,A820)</f>
        <v>1</v>
      </c>
      <c r="L820" s="10" t="n">
        <f aca="false">SUMIF(Transaction!$B$2:$B$8421,A820,Transaction!$H$2:$H$8421)</f>
        <v>8214</v>
      </c>
      <c r="M820" s="6" t="n">
        <f aca="false">Summary!$B$3-J820</f>
        <v>208</v>
      </c>
      <c r="N820" s="6" t="str">
        <f aca="false">IF(K820&gt;1,"Yes","No")</f>
        <v>No</v>
      </c>
      <c r="O820" s="6" t="s">
        <v>49</v>
      </c>
    </row>
    <row r="821" customFormat="false" ht="15" hidden="false" customHeight="false" outlineLevel="0" collapsed="false">
      <c r="A821" s="6" t="s">
        <v>1751</v>
      </c>
      <c r="B821" s="6" t="s">
        <v>1752</v>
      </c>
      <c r="C821" s="6" t="s">
        <v>85</v>
      </c>
      <c r="D821" s="6" t="n">
        <v>29</v>
      </c>
      <c r="E821" s="6" t="s">
        <v>81</v>
      </c>
      <c r="F821" s="6" t="s">
        <v>82</v>
      </c>
      <c r="G821" s="26" t="n">
        <v>46133</v>
      </c>
      <c r="H821" s="6" t="s">
        <v>78</v>
      </c>
      <c r="I821" s="26" t="n">
        <f aca="false">_xlfn.MINIFS(Transaction!$C$2:$C$8421,Transaction!$B$2:$B$8421,A821)</f>
        <v>46149</v>
      </c>
      <c r="J821" s="26" t="n">
        <f aca="false">_xlfn.MAXIFS(Transaction!$C$2:$C$8421,Transaction!$B$2:$B$8421,A821)</f>
        <v>46149</v>
      </c>
      <c r="K821" s="6" t="n">
        <f aca="false">COUNTIF(Transaction!$B$2:$B$8421,A821)</f>
        <v>1</v>
      </c>
      <c r="L821" s="10" t="n">
        <f aca="false">SUMIF(Transaction!$B$2:$B$8421,A821,Transaction!$H$2:$H$8421)</f>
        <v>1174</v>
      </c>
      <c r="M821" s="6" t="n">
        <f aca="false">Summary!$B$3-J821</f>
        <v>117</v>
      </c>
      <c r="N821" s="6" t="str">
        <f aca="false">IF(K821&gt;1,"Yes","No")</f>
        <v>No</v>
      </c>
      <c r="O821" s="6" t="s">
        <v>48</v>
      </c>
    </row>
    <row r="822" customFormat="false" ht="15" hidden="false" customHeight="false" outlineLevel="0" collapsed="false">
      <c r="A822" s="6" t="s">
        <v>1753</v>
      </c>
      <c r="B822" s="6" t="s">
        <v>1754</v>
      </c>
      <c r="C822" s="6" t="s">
        <v>75</v>
      </c>
      <c r="D822" s="6" t="n">
        <v>26</v>
      </c>
      <c r="E822" s="6" t="s">
        <v>321</v>
      </c>
      <c r="F822" s="6" t="s">
        <v>321</v>
      </c>
      <c r="G822" s="26" t="n">
        <v>46036</v>
      </c>
      <c r="H822" s="6" t="s">
        <v>88</v>
      </c>
      <c r="I822" s="26" t="n">
        <f aca="false">_xlfn.MINIFS(Transaction!$C$2:$C$8421,Transaction!$B$2:$B$8421,A822)</f>
        <v>46056</v>
      </c>
      <c r="J822" s="26" t="n">
        <f aca="false">_xlfn.MAXIFS(Transaction!$C$2:$C$8421,Transaction!$B$2:$B$8421,A822)</f>
        <v>46250</v>
      </c>
      <c r="K822" s="6" t="n">
        <f aca="false">COUNTIF(Transaction!$B$2:$B$8421,A822)</f>
        <v>7</v>
      </c>
      <c r="L822" s="10" t="n">
        <f aca="false">SUMIF(Transaction!$B$2:$B$8421,A822,Transaction!$H$2:$H$8421)</f>
        <v>7188</v>
      </c>
      <c r="M822" s="6" t="n">
        <f aca="false">Summary!$B$3-J822</f>
        <v>16</v>
      </c>
      <c r="N822" s="6" t="str">
        <f aca="false">IF(K822&gt;1,"Yes","No")</f>
        <v>Yes</v>
      </c>
      <c r="O822" s="6" t="s">
        <v>45</v>
      </c>
    </row>
    <row r="823" customFormat="false" ht="15" hidden="false" customHeight="false" outlineLevel="0" collapsed="false">
      <c r="A823" s="6" t="s">
        <v>1755</v>
      </c>
      <c r="B823" s="6" t="s">
        <v>1756</v>
      </c>
      <c r="C823" s="6" t="s">
        <v>75</v>
      </c>
      <c r="D823" s="6" t="n">
        <v>49</v>
      </c>
      <c r="E823" s="6" t="s">
        <v>81</v>
      </c>
      <c r="F823" s="6" t="s">
        <v>82</v>
      </c>
      <c r="G823" s="26" t="n">
        <v>46034</v>
      </c>
      <c r="H823" s="6" t="s">
        <v>115</v>
      </c>
      <c r="I823" s="26" t="n">
        <f aca="false">_xlfn.MINIFS(Transaction!$C$2:$C$8421,Transaction!$B$2:$B$8421,A823)</f>
        <v>46046</v>
      </c>
      <c r="J823" s="26" t="n">
        <f aca="false">_xlfn.MAXIFS(Transaction!$C$2:$C$8421,Transaction!$B$2:$B$8421,A823)</f>
        <v>46196</v>
      </c>
      <c r="K823" s="6" t="n">
        <f aca="false">COUNTIF(Transaction!$B$2:$B$8421,A823)</f>
        <v>5</v>
      </c>
      <c r="L823" s="10" t="n">
        <f aca="false">SUMIF(Transaction!$B$2:$B$8421,A823,Transaction!$H$2:$H$8421)</f>
        <v>8726</v>
      </c>
      <c r="M823" s="6" t="n">
        <f aca="false">Summary!$B$3-J823</f>
        <v>70</v>
      </c>
      <c r="N823" s="6" t="str">
        <f aca="false">IF(K823&gt;1,"Yes","No")</f>
        <v>Yes</v>
      </c>
      <c r="O823" s="6" t="s">
        <v>46</v>
      </c>
    </row>
    <row r="824" customFormat="false" ht="15" hidden="false" customHeight="false" outlineLevel="0" collapsed="false">
      <c r="A824" s="6" t="s">
        <v>1757</v>
      </c>
      <c r="B824" s="6" t="s">
        <v>1758</v>
      </c>
      <c r="C824" s="6" t="s">
        <v>75</v>
      </c>
      <c r="D824" s="6" t="n">
        <v>44</v>
      </c>
      <c r="E824" s="6" t="s">
        <v>105</v>
      </c>
      <c r="F824" s="6" t="s">
        <v>106</v>
      </c>
      <c r="G824" s="26" t="n">
        <v>46050</v>
      </c>
      <c r="H824" s="6" t="s">
        <v>78</v>
      </c>
      <c r="I824" s="26" t="n">
        <f aca="false">_xlfn.MINIFS(Transaction!$C$2:$C$8421,Transaction!$B$2:$B$8421,A824)</f>
        <v>46113</v>
      </c>
      <c r="J824" s="26" t="n">
        <f aca="false">_xlfn.MAXIFS(Transaction!$C$2:$C$8421,Transaction!$B$2:$B$8421,A824)</f>
        <v>46213</v>
      </c>
      <c r="K824" s="6" t="n">
        <f aca="false">COUNTIF(Transaction!$B$2:$B$8421,A824)</f>
        <v>3</v>
      </c>
      <c r="L824" s="10" t="n">
        <f aca="false">SUMIF(Transaction!$B$2:$B$8421,A824,Transaction!$H$2:$H$8421)</f>
        <v>2939</v>
      </c>
      <c r="M824" s="6" t="n">
        <f aca="false">Summary!$B$3-J824</f>
        <v>53</v>
      </c>
      <c r="N824" s="6" t="str">
        <f aca="false">IF(K824&gt;1,"Yes","No")</f>
        <v>Yes</v>
      </c>
      <c r="O824" s="6" t="s">
        <v>46</v>
      </c>
    </row>
    <row r="825" customFormat="false" ht="15" hidden="false" customHeight="false" outlineLevel="0" collapsed="false">
      <c r="A825" s="6" t="s">
        <v>1759</v>
      </c>
      <c r="B825" s="6" t="s">
        <v>1760</v>
      </c>
      <c r="C825" s="6" t="s">
        <v>85</v>
      </c>
      <c r="D825" s="6" t="n">
        <v>37</v>
      </c>
      <c r="E825" s="6" t="s">
        <v>76</v>
      </c>
      <c r="F825" s="6" t="s">
        <v>77</v>
      </c>
      <c r="G825" s="26" t="n">
        <v>46067</v>
      </c>
      <c r="H825" s="6" t="s">
        <v>78</v>
      </c>
      <c r="I825" s="26" t="n">
        <f aca="false">_xlfn.MINIFS(Transaction!$C$2:$C$8421,Transaction!$B$2:$B$8421,A825)</f>
        <v>46067</v>
      </c>
      <c r="J825" s="26" t="n">
        <f aca="false">_xlfn.MAXIFS(Transaction!$C$2:$C$8421,Transaction!$B$2:$B$8421,A825)</f>
        <v>46067</v>
      </c>
      <c r="K825" s="6" t="n">
        <f aca="false">COUNTIF(Transaction!$B$2:$B$8421,A825)</f>
        <v>1</v>
      </c>
      <c r="L825" s="10" t="n">
        <f aca="false">SUMIF(Transaction!$B$2:$B$8421,A825,Transaction!$H$2:$H$8421)</f>
        <v>1016</v>
      </c>
      <c r="M825" s="6" t="n">
        <f aca="false">Summary!$B$3-J825</f>
        <v>199</v>
      </c>
      <c r="N825" s="6" t="str">
        <f aca="false">IF(K825&gt;1,"Yes","No")</f>
        <v>No</v>
      </c>
      <c r="O825" s="6" t="s">
        <v>49</v>
      </c>
    </row>
    <row r="826" customFormat="false" ht="15" hidden="false" customHeight="false" outlineLevel="0" collapsed="false">
      <c r="A826" s="6" t="s">
        <v>1761</v>
      </c>
      <c r="B826" s="6" t="s">
        <v>1762</v>
      </c>
      <c r="C826" s="6" t="s">
        <v>75</v>
      </c>
      <c r="D826" s="6" t="n">
        <v>24</v>
      </c>
      <c r="E826" s="6" t="s">
        <v>95</v>
      </c>
      <c r="F826" s="6" t="s">
        <v>95</v>
      </c>
      <c r="G826" s="26" t="n">
        <v>46215</v>
      </c>
      <c r="H826" s="6" t="s">
        <v>123</v>
      </c>
      <c r="I826" s="26" t="n">
        <f aca="false">_xlfn.MINIFS(Transaction!$C$2:$C$8421,Transaction!$B$2:$B$8421,A826)</f>
        <v>46258</v>
      </c>
      <c r="J826" s="26" t="n">
        <f aca="false">_xlfn.MAXIFS(Transaction!$C$2:$C$8421,Transaction!$B$2:$B$8421,A826)</f>
        <v>46258</v>
      </c>
      <c r="K826" s="6" t="n">
        <f aca="false">COUNTIF(Transaction!$B$2:$B$8421,A826)</f>
        <v>1</v>
      </c>
      <c r="L826" s="10" t="n">
        <f aca="false">SUMIF(Transaction!$B$2:$B$8421,A826,Transaction!$H$2:$H$8421)</f>
        <v>733</v>
      </c>
      <c r="M826" s="6" t="n">
        <f aca="false">Summary!$B$3-J826</f>
        <v>8</v>
      </c>
      <c r="N826" s="6" t="str">
        <f aca="false">IF(K826&gt;1,"Yes","No")</f>
        <v>No</v>
      </c>
      <c r="O826" s="6" t="s">
        <v>47</v>
      </c>
    </row>
    <row r="827" customFormat="false" ht="15" hidden="false" customHeight="false" outlineLevel="0" collapsed="false">
      <c r="A827" s="6" t="s">
        <v>1763</v>
      </c>
      <c r="B827" s="6" t="s">
        <v>1764</v>
      </c>
      <c r="C827" s="6" t="s">
        <v>85</v>
      </c>
      <c r="D827" s="6" t="n">
        <v>37</v>
      </c>
      <c r="E827" s="6" t="s">
        <v>264</v>
      </c>
      <c r="F827" s="6" t="s">
        <v>106</v>
      </c>
      <c r="G827" s="26" t="n">
        <v>46111</v>
      </c>
      <c r="H827" s="6" t="s">
        <v>78</v>
      </c>
      <c r="I827" s="26" t="n">
        <f aca="false">_xlfn.MINIFS(Transaction!$C$2:$C$8421,Transaction!$B$2:$B$8421,A827)</f>
        <v>46143</v>
      </c>
      <c r="J827" s="26" t="n">
        <f aca="false">_xlfn.MAXIFS(Transaction!$C$2:$C$8421,Transaction!$B$2:$B$8421,A827)</f>
        <v>46143</v>
      </c>
      <c r="K827" s="6" t="n">
        <f aca="false">COUNTIF(Transaction!$B$2:$B$8421,A827)</f>
        <v>1</v>
      </c>
      <c r="L827" s="10" t="n">
        <f aca="false">SUMIF(Transaction!$B$2:$B$8421,A827,Transaction!$H$2:$H$8421)</f>
        <v>1322</v>
      </c>
      <c r="M827" s="6" t="n">
        <f aca="false">Summary!$B$3-J827</f>
        <v>123</v>
      </c>
      <c r="N827" s="6" t="str">
        <f aca="false">IF(K827&gt;1,"Yes","No")</f>
        <v>No</v>
      </c>
      <c r="O827" s="6" t="s">
        <v>48</v>
      </c>
    </row>
    <row r="828" customFormat="false" ht="15" hidden="false" customHeight="false" outlineLevel="0" collapsed="false">
      <c r="A828" s="6" t="s">
        <v>1765</v>
      </c>
      <c r="B828" s="6" t="s">
        <v>1766</v>
      </c>
      <c r="C828" s="6" t="s">
        <v>75</v>
      </c>
      <c r="D828" s="6" t="n">
        <v>18</v>
      </c>
      <c r="E828" s="6" t="s">
        <v>140</v>
      </c>
      <c r="F828" s="6" t="s">
        <v>141</v>
      </c>
      <c r="G828" s="26" t="n">
        <v>46199</v>
      </c>
      <c r="H828" s="6" t="s">
        <v>78</v>
      </c>
      <c r="I828" s="26" t="n">
        <f aca="false">_xlfn.MINIFS(Transaction!$C$2:$C$8421,Transaction!$B$2:$B$8421,A828)</f>
        <v>46257</v>
      </c>
      <c r="J828" s="26" t="n">
        <f aca="false">_xlfn.MAXIFS(Transaction!$C$2:$C$8421,Transaction!$B$2:$B$8421,A828)</f>
        <v>46257</v>
      </c>
      <c r="K828" s="6" t="n">
        <f aca="false">COUNTIF(Transaction!$B$2:$B$8421,A828)</f>
        <v>1</v>
      </c>
      <c r="L828" s="10" t="n">
        <f aca="false">SUMIF(Transaction!$B$2:$B$8421,A828,Transaction!$H$2:$H$8421)</f>
        <v>508</v>
      </c>
      <c r="M828" s="6" t="n">
        <f aca="false">Summary!$B$3-J828</f>
        <v>9</v>
      </c>
      <c r="N828" s="6" t="str">
        <f aca="false">IF(K828&gt;1,"Yes","No")</f>
        <v>No</v>
      </c>
      <c r="O828" s="6" t="s">
        <v>47</v>
      </c>
    </row>
    <row r="829" customFormat="false" ht="15" hidden="false" customHeight="false" outlineLevel="0" collapsed="false">
      <c r="A829" s="6" t="s">
        <v>1767</v>
      </c>
      <c r="B829" s="6" t="s">
        <v>1768</v>
      </c>
      <c r="C829" s="6" t="s">
        <v>85</v>
      </c>
      <c r="D829" s="6" t="n">
        <v>28</v>
      </c>
      <c r="E829" s="6" t="s">
        <v>134</v>
      </c>
      <c r="F829" s="6" t="s">
        <v>135</v>
      </c>
      <c r="G829" s="26" t="n">
        <v>46194</v>
      </c>
      <c r="H829" s="6" t="s">
        <v>115</v>
      </c>
      <c r="I829" s="26" t="n">
        <f aca="false">_xlfn.MINIFS(Transaction!$C$2:$C$8421,Transaction!$B$2:$B$8421,A829)</f>
        <v>46260</v>
      </c>
      <c r="J829" s="26" t="n">
        <f aca="false">_xlfn.MAXIFS(Transaction!$C$2:$C$8421,Transaction!$B$2:$B$8421,A829)</f>
        <v>46260</v>
      </c>
      <c r="K829" s="6" t="n">
        <f aca="false">COUNTIF(Transaction!$B$2:$B$8421,A829)</f>
        <v>1</v>
      </c>
      <c r="L829" s="10" t="n">
        <f aca="false">SUMIF(Transaction!$B$2:$B$8421,A829,Transaction!$H$2:$H$8421)</f>
        <v>660</v>
      </c>
      <c r="M829" s="6" t="n">
        <f aca="false">Summary!$B$3-J829</f>
        <v>6</v>
      </c>
      <c r="N829" s="6" t="str">
        <f aca="false">IF(K829&gt;1,"Yes","No")</f>
        <v>No</v>
      </c>
      <c r="O829" s="6" t="s">
        <v>47</v>
      </c>
    </row>
    <row r="830" customFormat="false" ht="15" hidden="false" customHeight="false" outlineLevel="0" collapsed="false">
      <c r="A830" s="6" t="s">
        <v>1769</v>
      </c>
      <c r="B830" s="6" t="s">
        <v>1770</v>
      </c>
      <c r="C830" s="6" t="s">
        <v>75</v>
      </c>
      <c r="D830" s="6" t="n">
        <v>45</v>
      </c>
      <c r="E830" s="6" t="s">
        <v>264</v>
      </c>
      <c r="F830" s="6" t="s">
        <v>106</v>
      </c>
      <c r="G830" s="26" t="n">
        <v>46055</v>
      </c>
      <c r="H830" s="6" t="s">
        <v>78</v>
      </c>
      <c r="I830" s="26" t="n">
        <f aca="false">_xlfn.MINIFS(Transaction!$C$2:$C$8421,Transaction!$B$2:$B$8421,A830)</f>
        <v>46065</v>
      </c>
      <c r="J830" s="26" t="n">
        <f aca="false">_xlfn.MAXIFS(Transaction!$C$2:$C$8421,Transaction!$B$2:$B$8421,A830)</f>
        <v>46065</v>
      </c>
      <c r="K830" s="6" t="n">
        <f aca="false">COUNTIF(Transaction!$B$2:$B$8421,A830)</f>
        <v>1</v>
      </c>
      <c r="L830" s="10" t="n">
        <f aca="false">SUMIF(Transaction!$B$2:$B$8421,A830,Transaction!$H$2:$H$8421)</f>
        <v>928</v>
      </c>
      <c r="M830" s="6" t="n">
        <f aca="false">Summary!$B$3-J830</f>
        <v>201</v>
      </c>
      <c r="N830" s="6" t="str">
        <f aca="false">IF(K830&gt;1,"Yes","No")</f>
        <v>No</v>
      </c>
      <c r="O830" s="6" t="s">
        <v>49</v>
      </c>
    </row>
    <row r="831" customFormat="false" ht="15" hidden="false" customHeight="false" outlineLevel="0" collapsed="false">
      <c r="A831" s="6" t="s">
        <v>1771</v>
      </c>
      <c r="B831" s="6" t="s">
        <v>1772</v>
      </c>
      <c r="C831" s="6" t="s">
        <v>75</v>
      </c>
      <c r="D831" s="6" t="n">
        <v>25</v>
      </c>
      <c r="E831" s="6" t="s">
        <v>121</v>
      </c>
      <c r="F831" s="6" t="s">
        <v>122</v>
      </c>
      <c r="G831" s="26" t="n">
        <v>46105</v>
      </c>
      <c r="H831" s="6" t="s">
        <v>92</v>
      </c>
      <c r="I831" s="26" t="n">
        <f aca="false">_xlfn.MINIFS(Transaction!$C$2:$C$8421,Transaction!$B$2:$B$8421,A831)</f>
        <v>46125</v>
      </c>
      <c r="J831" s="26" t="n">
        <f aca="false">_xlfn.MAXIFS(Transaction!$C$2:$C$8421,Transaction!$B$2:$B$8421,A831)</f>
        <v>46204</v>
      </c>
      <c r="K831" s="6" t="n">
        <f aca="false">COUNTIF(Transaction!$B$2:$B$8421,A831)</f>
        <v>4</v>
      </c>
      <c r="L831" s="10" t="n">
        <f aca="false">SUMIF(Transaction!$B$2:$B$8421,A831,Transaction!$H$2:$H$8421)</f>
        <v>10079</v>
      </c>
      <c r="M831" s="6" t="n">
        <f aca="false">Summary!$B$3-J831</f>
        <v>62</v>
      </c>
      <c r="N831" s="6" t="str">
        <f aca="false">IF(K831&gt;1,"Yes","No")</f>
        <v>Yes</v>
      </c>
      <c r="O831" s="6" t="s">
        <v>46</v>
      </c>
    </row>
    <row r="832" customFormat="false" ht="15" hidden="false" customHeight="false" outlineLevel="0" collapsed="false">
      <c r="A832" s="6" t="s">
        <v>1773</v>
      </c>
      <c r="B832" s="6" t="s">
        <v>1774</v>
      </c>
      <c r="C832" s="6" t="s">
        <v>85</v>
      </c>
      <c r="D832" s="6" t="n">
        <v>21</v>
      </c>
      <c r="E832" s="6" t="s">
        <v>264</v>
      </c>
      <c r="F832" s="6" t="s">
        <v>106</v>
      </c>
      <c r="G832" s="26" t="n">
        <v>46109</v>
      </c>
      <c r="H832" s="6" t="s">
        <v>92</v>
      </c>
      <c r="I832" s="26" t="n">
        <f aca="false">_xlfn.MINIFS(Transaction!$C$2:$C$8421,Transaction!$B$2:$B$8421,A832)</f>
        <v>46151</v>
      </c>
      <c r="J832" s="26" t="n">
        <f aca="false">_xlfn.MAXIFS(Transaction!$C$2:$C$8421,Transaction!$B$2:$B$8421,A832)</f>
        <v>46151</v>
      </c>
      <c r="K832" s="6" t="n">
        <f aca="false">COUNTIF(Transaction!$B$2:$B$8421,A832)</f>
        <v>1</v>
      </c>
      <c r="L832" s="10" t="n">
        <f aca="false">SUMIF(Transaction!$B$2:$B$8421,A832,Transaction!$H$2:$H$8421)</f>
        <v>661</v>
      </c>
      <c r="M832" s="6" t="n">
        <f aca="false">Summary!$B$3-J832</f>
        <v>115</v>
      </c>
      <c r="N832" s="6" t="str">
        <f aca="false">IF(K832&gt;1,"Yes","No")</f>
        <v>No</v>
      </c>
      <c r="O832" s="6" t="s">
        <v>48</v>
      </c>
    </row>
    <row r="833" customFormat="false" ht="15" hidden="false" customHeight="false" outlineLevel="0" collapsed="false">
      <c r="A833" s="6" t="s">
        <v>1775</v>
      </c>
      <c r="B833" s="6" t="s">
        <v>1776</v>
      </c>
      <c r="C833" s="6" t="s">
        <v>85</v>
      </c>
      <c r="D833" s="6" t="n">
        <v>24</v>
      </c>
      <c r="E833" s="6" t="s">
        <v>321</v>
      </c>
      <c r="F833" s="6" t="s">
        <v>321</v>
      </c>
      <c r="G833" s="26" t="n">
        <v>46199</v>
      </c>
      <c r="H833" s="6" t="s">
        <v>92</v>
      </c>
      <c r="I833" s="26" t="n">
        <f aca="false">_xlfn.MINIFS(Transaction!$C$2:$C$8421,Transaction!$B$2:$B$8421,A833)</f>
        <v>46206</v>
      </c>
      <c r="J833" s="26" t="n">
        <f aca="false">_xlfn.MAXIFS(Transaction!$C$2:$C$8421,Transaction!$B$2:$B$8421,A833)</f>
        <v>46206</v>
      </c>
      <c r="K833" s="6" t="n">
        <f aca="false">COUNTIF(Transaction!$B$2:$B$8421,A833)</f>
        <v>1</v>
      </c>
      <c r="L833" s="10" t="n">
        <f aca="false">SUMIF(Transaction!$B$2:$B$8421,A833,Transaction!$H$2:$H$8421)</f>
        <v>784</v>
      </c>
      <c r="M833" s="6" t="n">
        <f aca="false">Summary!$B$3-J833</f>
        <v>60</v>
      </c>
      <c r="N833" s="6" t="str">
        <f aca="false">IF(K833&gt;1,"Yes","No")</f>
        <v>No</v>
      </c>
      <c r="O833" s="6" t="s">
        <v>47</v>
      </c>
    </row>
    <row r="834" customFormat="false" ht="15" hidden="false" customHeight="false" outlineLevel="0" collapsed="false">
      <c r="A834" s="6" t="s">
        <v>1777</v>
      </c>
      <c r="B834" s="6" t="s">
        <v>1778</v>
      </c>
      <c r="C834" s="6" t="s">
        <v>75</v>
      </c>
      <c r="D834" s="6" t="n">
        <v>18</v>
      </c>
      <c r="E834" s="6" t="s">
        <v>206</v>
      </c>
      <c r="F834" s="6" t="s">
        <v>106</v>
      </c>
      <c r="G834" s="26" t="n">
        <v>46027</v>
      </c>
      <c r="H834" s="6" t="s">
        <v>123</v>
      </c>
      <c r="I834" s="26" t="n">
        <f aca="false">_xlfn.MINIFS(Transaction!$C$2:$C$8421,Transaction!$B$2:$B$8421,A834)</f>
        <v>46027</v>
      </c>
      <c r="J834" s="26" t="n">
        <f aca="false">_xlfn.MAXIFS(Transaction!$C$2:$C$8421,Transaction!$B$2:$B$8421,A834)</f>
        <v>46257</v>
      </c>
      <c r="K834" s="6" t="n">
        <f aca="false">COUNTIF(Transaction!$B$2:$B$8421,A834)</f>
        <v>10</v>
      </c>
      <c r="L834" s="10" t="n">
        <f aca="false">SUMIF(Transaction!$B$2:$B$8421,A834,Transaction!$H$2:$H$8421)</f>
        <v>23081</v>
      </c>
      <c r="M834" s="6" t="n">
        <f aca="false">Summary!$B$3-J834</f>
        <v>9</v>
      </c>
      <c r="N834" s="6" t="str">
        <f aca="false">IF(K834&gt;1,"Yes","No")</f>
        <v>Yes</v>
      </c>
      <c r="O834" s="6" t="s">
        <v>45</v>
      </c>
    </row>
    <row r="835" customFormat="false" ht="15" hidden="false" customHeight="false" outlineLevel="0" collapsed="false">
      <c r="A835" s="6" t="s">
        <v>1779</v>
      </c>
      <c r="B835" s="6" t="s">
        <v>1780</v>
      </c>
      <c r="C835" s="6" t="s">
        <v>85</v>
      </c>
      <c r="D835" s="6" t="n">
        <v>30</v>
      </c>
      <c r="E835" s="6" t="s">
        <v>86</v>
      </c>
      <c r="F835" s="6" t="s">
        <v>87</v>
      </c>
      <c r="G835" s="26" t="n">
        <v>46024</v>
      </c>
      <c r="H835" s="6" t="s">
        <v>92</v>
      </c>
      <c r="I835" s="26" t="n">
        <f aca="false">_xlfn.MINIFS(Transaction!$C$2:$C$8421,Transaction!$B$2:$B$8421,A835)</f>
        <v>46049</v>
      </c>
      <c r="J835" s="26" t="n">
        <f aca="false">_xlfn.MAXIFS(Transaction!$C$2:$C$8421,Transaction!$B$2:$B$8421,A835)</f>
        <v>46233</v>
      </c>
      <c r="K835" s="6" t="n">
        <f aca="false">COUNTIF(Transaction!$B$2:$B$8421,A835)</f>
        <v>4</v>
      </c>
      <c r="L835" s="10" t="n">
        <f aca="false">SUMIF(Transaction!$B$2:$B$8421,A835,Transaction!$H$2:$H$8421)</f>
        <v>25879</v>
      </c>
      <c r="M835" s="6" t="n">
        <f aca="false">Summary!$B$3-J835</f>
        <v>33</v>
      </c>
      <c r="N835" s="6" t="str">
        <f aca="false">IF(K835&gt;1,"Yes","No")</f>
        <v>Yes</v>
      </c>
      <c r="O835" s="6" t="s">
        <v>46</v>
      </c>
    </row>
    <row r="836" customFormat="false" ht="15" hidden="false" customHeight="false" outlineLevel="0" collapsed="false">
      <c r="A836" s="6" t="s">
        <v>1781</v>
      </c>
      <c r="B836" s="6" t="s">
        <v>1782</v>
      </c>
      <c r="C836" s="6" t="s">
        <v>85</v>
      </c>
      <c r="D836" s="6" t="n">
        <v>27</v>
      </c>
      <c r="E836" s="6" t="s">
        <v>430</v>
      </c>
      <c r="F836" s="6" t="s">
        <v>99</v>
      </c>
      <c r="G836" s="26" t="n">
        <v>46058</v>
      </c>
      <c r="H836" s="6" t="s">
        <v>123</v>
      </c>
      <c r="I836" s="26" t="n">
        <f aca="false">_xlfn.MINIFS(Transaction!$C$2:$C$8421,Transaction!$B$2:$B$8421,A836)</f>
        <v>46109</v>
      </c>
      <c r="J836" s="26" t="n">
        <f aca="false">_xlfn.MAXIFS(Transaction!$C$2:$C$8421,Transaction!$B$2:$B$8421,A836)</f>
        <v>46252</v>
      </c>
      <c r="K836" s="6" t="n">
        <f aca="false">COUNTIF(Transaction!$B$2:$B$8421,A836)</f>
        <v>5</v>
      </c>
      <c r="L836" s="10" t="n">
        <f aca="false">SUMIF(Transaction!$B$2:$B$8421,A836,Transaction!$H$2:$H$8421)</f>
        <v>12954</v>
      </c>
      <c r="M836" s="6" t="n">
        <f aca="false">Summary!$B$3-J836</f>
        <v>14</v>
      </c>
      <c r="N836" s="6" t="str">
        <f aca="false">IF(K836&gt;1,"Yes","No")</f>
        <v>Yes</v>
      </c>
      <c r="O836" s="6" t="s">
        <v>46</v>
      </c>
    </row>
    <row r="837" customFormat="false" ht="15" hidden="false" customHeight="false" outlineLevel="0" collapsed="false">
      <c r="A837" s="6" t="s">
        <v>1783</v>
      </c>
      <c r="B837" s="6" t="s">
        <v>1784</v>
      </c>
      <c r="C837" s="6" t="s">
        <v>75</v>
      </c>
      <c r="D837" s="6" t="n">
        <v>38</v>
      </c>
      <c r="E837" s="6" t="s">
        <v>81</v>
      </c>
      <c r="F837" s="6" t="s">
        <v>82</v>
      </c>
      <c r="G837" s="26" t="n">
        <v>46234</v>
      </c>
      <c r="H837" s="6" t="s">
        <v>123</v>
      </c>
      <c r="I837" s="26" t="n">
        <f aca="false">_xlfn.MINIFS(Transaction!$C$2:$C$8421,Transaction!$B$2:$B$8421,A837)</f>
        <v>46258</v>
      </c>
      <c r="J837" s="26" t="n">
        <f aca="false">_xlfn.MAXIFS(Transaction!$C$2:$C$8421,Transaction!$B$2:$B$8421,A837)</f>
        <v>46258</v>
      </c>
      <c r="K837" s="6" t="n">
        <f aca="false">COUNTIF(Transaction!$B$2:$B$8421,A837)</f>
        <v>1</v>
      </c>
      <c r="L837" s="10" t="n">
        <f aca="false">SUMIF(Transaction!$B$2:$B$8421,A837,Transaction!$H$2:$H$8421)</f>
        <v>2320</v>
      </c>
      <c r="M837" s="6" t="n">
        <f aca="false">Summary!$B$3-J837</f>
        <v>8</v>
      </c>
      <c r="N837" s="6" t="str">
        <f aca="false">IF(K837&gt;1,"Yes","No")</f>
        <v>No</v>
      </c>
      <c r="O837" s="6" t="s">
        <v>47</v>
      </c>
    </row>
    <row r="838" customFormat="false" ht="15" hidden="false" customHeight="false" outlineLevel="0" collapsed="false">
      <c r="A838" s="6" t="s">
        <v>1785</v>
      </c>
      <c r="B838" s="6" t="s">
        <v>1786</v>
      </c>
      <c r="C838" s="6" t="s">
        <v>85</v>
      </c>
      <c r="D838" s="6" t="n">
        <v>42</v>
      </c>
      <c r="E838" s="6" t="s">
        <v>180</v>
      </c>
      <c r="F838" s="6" t="s">
        <v>181</v>
      </c>
      <c r="G838" s="26" t="n">
        <v>46051</v>
      </c>
      <c r="H838" s="6" t="s">
        <v>78</v>
      </c>
      <c r="I838" s="26" t="n">
        <f aca="false">_xlfn.MINIFS(Transaction!$C$2:$C$8421,Transaction!$B$2:$B$8421,A838)</f>
        <v>46065</v>
      </c>
      <c r="J838" s="26" t="n">
        <f aca="false">_xlfn.MAXIFS(Transaction!$C$2:$C$8421,Transaction!$B$2:$B$8421,A838)</f>
        <v>46250</v>
      </c>
      <c r="K838" s="6" t="n">
        <f aca="false">COUNTIF(Transaction!$B$2:$B$8421,A838)</f>
        <v>5</v>
      </c>
      <c r="L838" s="10" t="n">
        <f aca="false">SUMIF(Transaction!$B$2:$B$8421,A838,Transaction!$H$2:$H$8421)</f>
        <v>30425</v>
      </c>
      <c r="M838" s="6" t="n">
        <f aca="false">Summary!$B$3-J838</f>
        <v>16</v>
      </c>
      <c r="N838" s="6" t="str">
        <f aca="false">IF(K838&gt;1,"Yes","No")</f>
        <v>Yes</v>
      </c>
      <c r="O838" s="6" t="s">
        <v>46</v>
      </c>
    </row>
    <row r="839" customFormat="false" ht="15" hidden="false" customHeight="false" outlineLevel="0" collapsed="false">
      <c r="A839" s="6" t="s">
        <v>1787</v>
      </c>
      <c r="B839" s="6" t="s">
        <v>1788</v>
      </c>
      <c r="C839" s="6" t="s">
        <v>75</v>
      </c>
      <c r="D839" s="6" t="n">
        <v>21</v>
      </c>
      <c r="E839" s="6" t="s">
        <v>121</v>
      </c>
      <c r="F839" s="6" t="s">
        <v>122</v>
      </c>
      <c r="G839" s="26" t="n">
        <v>45989</v>
      </c>
      <c r="H839" s="6" t="s">
        <v>123</v>
      </c>
      <c r="I839" s="26" t="n">
        <f aca="false">_xlfn.MINIFS(Transaction!$C$2:$C$8421,Transaction!$B$2:$B$8421,A839)</f>
        <v>46067</v>
      </c>
      <c r="J839" s="26" t="n">
        <f aca="false">_xlfn.MAXIFS(Transaction!$C$2:$C$8421,Transaction!$B$2:$B$8421,A839)</f>
        <v>46197</v>
      </c>
      <c r="K839" s="6" t="n">
        <f aca="false">COUNTIF(Transaction!$B$2:$B$8421,A839)</f>
        <v>5</v>
      </c>
      <c r="L839" s="10" t="n">
        <f aca="false">SUMIF(Transaction!$B$2:$B$8421,A839,Transaction!$H$2:$H$8421)</f>
        <v>14072</v>
      </c>
      <c r="M839" s="6" t="n">
        <f aca="false">Summary!$B$3-J839</f>
        <v>69</v>
      </c>
      <c r="N839" s="6" t="str">
        <f aca="false">IF(K839&gt;1,"Yes","No")</f>
        <v>Yes</v>
      </c>
      <c r="O839" s="6" t="s">
        <v>46</v>
      </c>
    </row>
    <row r="840" customFormat="false" ht="15" hidden="false" customHeight="false" outlineLevel="0" collapsed="false">
      <c r="A840" s="6" t="s">
        <v>1789</v>
      </c>
      <c r="B840" s="6" t="s">
        <v>1790</v>
      </c>
      <c r="C840" s="6" t="s">
        <v>85</v>
      </c>
      <c r="D840" s="6" t="n">
        <v>37</v>
      </c>
      <c r="E840" s="6" t="s">
        <v>180</v>
      </c>
      <c r="F840" s="6" t="s">
        <v>181</v>
      </c>
      <c r="G840" s="26" t="n">
        <v>45958</v>
      </c>
      <c r="H840" s="6" t="s">
        <v>115</v>
      </c>
      <c r="I840" s="26" t="n">
        <f aca="false">_xlfn.MINIFS(Transaction!$C$2:$C$8421,Transaction!$B$2:$B$8421,A840)</f>
        <v>46040</v>
      </c>
      <c r="J840" s="26" t="n">
        <f aca="false">_xlfn.MAXIFS(Transaction!$C$2:$C$8421,Transaction!$B$2:$B$8421,A840)</f>
        <v>46252</v>
      </c>
      <c r="K840" s="6" t="n">
        <f aca="false">COUNTIF(Transaction!$B$2:$B$8421,A840)</f>
        <v>5</v>
      </c>
      <c r="L840" s="10" t="n">
        <f aca="false">SUMIF(Transaction!$B$2:$B$8421,A840,Transaction!$H$2:$H$8421)</f>
        <v>28877</v>
      </c>
      <c r="M840" s="6" t="n">
        <f aca="false">Summary!$B$3-J840</f>
        <v>14</v>
      </c>
      <c r="N840" s="6" t="str">
        <f aca="false">IF(K840&gt;1,"Yes","No")</f>
        <v>Yes</v>
      </c>
      <c r="O840" s="6" t="s">
        <v>46</v>
      </c>
    </row>
    <row r="841" customFormat="false" ht="15" hidden="false" customHeight="false" outlineLevel="0" collapsed="false">
      <c r="A841" s="6" t="s">
        <v>1791</v>
      </c>
      <c r="B841" s="6" t="s">
        <v>1792</v>
      </c>
      <c r="C841" s="6" t="s">
        <v>85</v>
      </c>
      <c r="D841" s="6" t="n">
        <v>55</v>
      </c>
      <c r="E841" s="6" t="s">
        <v>91</v>
      </c>
      <c r="F841" s="6" t="s">
        <v>77</v>
      </c>
      <c r="G841" s="26" t="n">
        <v>46083</v>
      </c>
      <c r="H841" s="6" t="s">
        <v>115</v>
      </c>
      <c r="I841" s="26" t="n">
        <f aca="false">_xlfn.MINIFS(Transaction!$C$2:$C$8421,Transaction!$B$2:$B$8421,A841)</f>
        <v>46155</v>
      </c>
      <c r="J841" s="26" t="n">
        <f aca="false">_xlfn.MAXIFS(Transaction!$C$2:$C$8421,Transaction!$B$2:$B$8421,A841)</f>
        <v>46155</v>
      </c>
      <c r="K841" s="6" t="n">
        <f aca="false">COUNTIF(Transaction!$B$2:$B$8421,A841)</f>
        <v>1</v>
      </c>
      <c r="L841" s="10" t="n">
        <f aca="false">SUMIF(Transaction!$B$2:$B$8421,A841,Transaction!$H$2:$H$8421)</f>
        <v>1744</v>
      </c>
      <c r="M841" s="6" t="n">
        <f aca="false">Summary!$B$3-J841</f>
        <v>111</v>
      </c>
      <c r="N841" s="6" t="str">
        <f aca="false">IF(K841&gt;1,"Yes","No")</f>
        <v>No</v>
      </c>
      <c r="O841" s="6" t="s">
        <v>48</v>
      </c>
    </row>
    <row r="842" customFormat="false" ht="15" hidden="false" customHeight="false" outlineLevel="0" collapsed="false">
      <c r="A842" s="6" t="s">
        <v>1793</v>
      </c>
      <c r="B842" s="6" t="s">
        <v>1794</v>
      </c>
      <c r="C842" s="6" t="s">
        <v>75</v>
      </c>
      <c r="D842" s="6" t="n">
        <v>29</v>
      </c>
      <c r="E842" s="6" t="s">
        <v>81</v>
      </c>
      <c r="F842" s="6" t="s">
        <v>82</v>
      </c>
      <c r="G842" s="26" t="n">
        <v>46006</v>
      </c>
      <c r="H842" s="6" t="s">
        <v>88</v>
      </c>
      <c r="I842" s="26" t="n">
        <f aca="false">_xlfn.MINIFS(Transaction!$C$2:$C$8421,Transaction!$B$2:$B$8421,A842)</f>
        <v>46036</v>
      </c>
      <c r="J842" s="26" t="n">
        <f aca="false">_xlfn.MAXIFS(Transaction!$C$2:$C$8421,Transaction!$B$2:$B$8421,A842)</f>
        <v>46180</v>
      </c>
      <c r="K842" s="6" t="n">
        <f aca="false">COUNTIF(Transaction!$B$2:$B$8421,A842)</f>
        <v>7</v>
      </c>
      <c r="L842" s="10" t="n">
        <f aca="false">SUMIF(Transaction!$B$2:$B$8421,A842,Transaction!$H$2:$H$8421)</f>
        <v>13044</v>
      </c>
      <c r="M842" s="6" t="n">
        <f aca="false">Summary!$B$3-J842</f>
        <v>86</v>
      </c>
      <c r="N842" s="6" t="str">
        <f aca="false">IF(K842&gt;1,"Yes","No")</f>
        <v>Yes</v>
      </c>
      <c r="O842" s="6" t="s">
        <v>46</v>
      </c>
    </row>
    <row r="843" customFormat="false" ht="15" hidden="false" customHeight="false" outlineLevel="0" collapsed="false">
      <c r="A843" s="6" t="s">
        <v>1795</v>
      </c>
      <c r="B843" s="6" t="s">
        <v>1796</v>
      </c>
      <c r="C843" s="6" t="s">
        <v>75</v>
      </c>
      <c r="D843" s="6" t="n">
        <v>38</v>
      </c>
      <c r="E843" s="6" t="s">
        <v>176</v>
      </c>
      <c r="F843" s="6" t="s">
        <v>177</v>
      </c>
      <c r="G843" s="26" t="n">
        <v>46003</v>
      </c>
      <c r="H843" s="6" t="s">
        <v>88</v>
      </c>
      <c r="I843" s="26" t="n">
        <f aca="false">_xlfn.MINIFS(Transaction!$C$2:$C$8421,Transaction!$B$2:$B$8421,A843)</f>
        <v>46078</v>
      </c>
      <c r="J843" s="26" t="n">
        <f aca="false">_xlfn.MAXIFS(Transaction!$C$2:$C$8421,Transaction!$B$2:$B$8421,A843)</f>
        <v>46224</v>
      </c>
      <c r="K843" s="6" t="n">
        <f aca="false">COUNTIF(Transaction!$B$2:$B$8421,A843)</f>
        <v>3</v>
      </c>
      <c r="L843" s="10" t="n">
        <f aca="false">SUMIF(Transaction!$B$2:$B$8421,A843,Transaction!$H$2:$H$8421)</f>
        <v>2310</v>
      </c>
      <c r="M843" s="6" t="n">
        <f aca="false">Summary!$B$3-J843</f>
        <v>42</v>
      </c>
      <c r="N843" s="6" t="str">
        <f aca="false">IF(K843&gt;1,"Yes","No")</f>
        <v>Yes</v>
      </c>
      <c r="O843" s="6" t="s">
        <v>46</v>
      </c>
    </row>
    <row r="844" customFormat="false" ht="15" hidden="false" customHeight="false" outlineLevel="0" collapsed="false">
      <c r="A844" s="6" t="s">
        <v>1797</v>
      </c>
      <c r="B844" s="6" t="s">
        <v>1798</v>
      </c>
      <c r="C844" s="6" t="s">
        <v>75</v>
      </c>
      <c r="D844" s="6" t="n">
        <v>38</v>
      </c>
      <c r="E844" s="6" t="s">
        <v>134</v>
      </c>
      <c r="F844" s="6" t="s">
        <v>135</v>
      </c>
      <c r="G844" s="26" t="n">
        <v>46071</v>
      </c>
      <c r="H844" s="6" t="s">
        <v>102</v>
      </c>
      <c r="I844" s="26" t="n">
        <f aca="false">_xlfn.MINIFS(Transaction!$C$2:$C$8421,Transaction!$B$2:$B$8421,A844)</f>
        <v>46094</v>
      </c>
      <c r="J844" s="26" t="n">
        <f aca="false">_xlfn.MAXIFS(Transaction!$C$2:$C$8421,Transaction!$B$2:$B$8421,A844)</f>
        <v>46094</v>
      </c>
      <c r="K844" s="6" t="n">
        <f aca="false">COUNTIF(Transaction!$B$2:$B$8421,A844)</f>
        <v>1</v>
      </c>
      <c r="L844" s="10" t="n">
        <f aca="false">SUMIF(Transaction!$B$2:$B$8421,A844,Transaction!$H$2:$H$8421)</f>
        <v>555</v>
      </c>
      <c r="M844" s="6" t="n">
        <f aca="false">Summary!$B$3-J844</f>
        <v>172</v>
      </c>
      <c r="N844" s="6" t="str">
        <f aca="false">IF(K844&gt;1,"Yes","No")</f>
        <v>No</v>
      </c>
      <c r="O844" s="6" t="s">
        <v>49</v>
      </c>
    </row>
    <row r="845" customFormat="false" ht="15" hidden="false" customHeight="false" outlineLevel="0" collapsed="false">
      <c r="A845" s="6" t="s">
        <v>1799</v>
      </c>
      <c r="B845" s="6" t="s">
        <v>1800</v>
      </c>
      <c r="C845" s="6" t="s">
        <v>85</v>
      </c>
      <c r="D845" s="6" t="n">
        <v>29</v>
      </c>
      <c r="E845" s="6" t="s">
        <v>76</v>
      </c>
      <c r="F845" s="6" t="s">
        <v>77</v>
      </c>
      <c r="G845" s="26" t="n">
        <v>46258</v>
      </c>
      <c r="H845" s="6" t="s">
        <v>78</v>
      </c>
      <c r="I845" s="26" t="n">
        <f aca="false">_xlfn.MINIFS(Transaction!$C$2:$C$8421,Transaction!$B$2:$B$8421,A845)</f>
        <v>46260</v>
      </c>
      <c r="J845" s="26" t="n">
        <f aca="false">_xlfn.MAXIFS(Transaction!$C$2:$C$8421,Transaction!$B$2:$B$8421,A845)</f>
        <v>46260</v>
      </c>
      <c r="K845" s="6" t="n">
        <f aca="false">COUNTIF(Transaction!$B$2:$B$8421,A845)</f>
        <v>1</v>
      </c>
      <c r="L845" s="10" t="n">
        <f aca="false">SUMIF(Transaction!$B$2:$B$8421,A845,Transaction!$H$2:$H$8421)</f>
        <v>1983</v>
      </c>
      <c r="M845" s="6" t="n">
        <f aca="false">Summary!$B$3-J845</f>
        <v>6</v>
      </c>
      <c r="N845" s="6" t="str">
        <f aca="false">IF(K845&gt;1,"Yes","No")</f>
        <v>No</v>
      </c>
      <c r="O845" s="6" t="s">
        <v>47</v>
      </c>
    </row>
    <row r="846" customFormat="false" ht="15" hidden="false" customHeight="false" outlineLevel="0" collapsed="false">
      <c r="A846" s="6" t="s">
        <v>1801</v>
      </c>
      <c r="B846" s="6" t="s">
        <v>1802</v>
      </c>
      <c r="C846" s="6" t="s">
        <v>85</v>
      </c>
      <c r="D846" s="6" t="n">
        <v>20</v>
      </c>
      <c r="E846" s="6" t="s">
        <v>237</v>
      </c>
      <c r="F846" s="6" t="s">
        <v>87</v>
      </c>
      <c r="G846" s="26" t="n">
        <v>46162</v>
      </c>
      <c r="H846" s="6" t="s">
        <v>78</v>
      </c>
      <c r="I846" s="26" t="n">
        <f aca="false">_xlfn.MINIFS(Transaction!$C$2:$C$8421,Transaction!$B$2:$B$8421,A846)</f>
        <v>46209</v>
      </c>
      <c r="J846" s="26" t="n">
        <f aca="false">_xlfn.MAXIFS(Transaction!$C$2:$C$8421,Transaction!$B$2:$B$8421,A846)</f>
        <v>46209</v>
      </c>
      <c r="K846" s="6" t="n">
        <f aca="false">COUNTIF(Transaction!$B$2:$B$8421,A846)</f>
        <v>1</v>
      </c>
      <c r="L846" s="10" t="n">
        <f aca="false">SUMIF(Transaction!$B$2:$B$8421,A846,Transaction!$H$2:$H$8421)</f>
        <v>3915</v>
      </c>
      <c r="M846" s="6" t="n">
        <f aca="false">Summary!$B$3-J846</f>
        <v>57</v>
      </c>
      <c r="N846" s="6" t="str">
        <f aca="false">IF(K846&gt;1,"Yes","No")</f>
        <v>No</v>
      </c>
      <c r="O846" s="6" t="s">
        <v>47</v>
      </c>
    </row>
    <row r="847" customFormat="false" ht="15" hidden="false" customHeight="false" outlineLevel="0" collapsed="false">
      <c r="A847" s="6" t="s">
        <v>1803</v>
      </c>
      <c r="B847" s="6" t="s">
        <v>1804</v>
      </c>
      <c r="C847" s="6" t="s">
        <v>75</v>
      </c>
      <c r="D847" s="6" t="n">
        <v>30</v>
      </c>
      <c r="E847" s="6" t="s">
        <v>206</v>
      </c>
      <c r="F847" s="6" t="s">
        <v>106</v>
      </c>
      <c r="G847" s="26" t="n">
        <v>46015</v>
      </c>
      <c r="H847" s="6" t="s">
        <v>78</v>
      </c>
      <c r="I847" s="26" t="n">
        <f aca="false">_xlfn.MINIFS(Transaction!$C$2:$C$8421,Transaction!$B$2:$B$8421,A847)</f>
        <v>46031</v>
      </c>
      <c r="J847" s="26" t="n">
        <f aca="false">_xlfn.MAXIFS(Transaction!$C$2:$C$8421,Transaction!$B$2:$B$8421,A847)</f>
        <v>46265</v>
      </c>
      <c r="K847" s="6" t="n">
        <f aca="false">COUNTIF(Transaction!$B$2:$B$8421,A847)</f>
        <v>11</v>
      </c>
      <c r="L847" s="10" t="n">
        <f aca="false">SUMIF(Transaction!$B$2:$B$8421,A847,Transaction!$H$2:$H$8421)</f>
        <v>20042</v>
      </c>
      <c r="M847" s="6" t="n">
        <f aca="false">Summary!$B$3-J847</f>
        <v>1</v>
      </c>
      <c r="N847" s="6" t="str">
        <f aca="false">IF(K847&gt;1,"Yes","No")</f>
        <v>Yes</v>
      </c>
      <c r="O847" s="6" t="s">
        <v>45</v>
      </c>
    </row>
    <row r="848" customFormat="false" ht="15" hidden="false" customHeight="false" outlineLevel="0" collapsed="false">
      <c r="A848" s="6" t="s">
        <v>1805</v>
      </c>
      <c r="B848" s="6" t="s">
        <v>1806</v>
      </c>
      <c r="C848" s="6" t="s">
        <v>75</v>
      </c>
      <c r="D848" s="6" t="n">
        <v>18</v>
      </c>
      <c r="E848" s="6" t="s">
        <v>76</v>
      </c>
      <c r="F848" s="6" t="s">
        <v>77</v>
      </c>
      <c r="G848" s="26" t="n">
        <v>45973</v>
      </c>
      <c r="H848" s="6" t="s">
        <v>115</v>
      </c>
      <c r="I848" s="26" t="n">
        <f aca="false">_xlfn.MINIFS(Transaction!$C$2:$C$8421,Transaction!$B$2:$B$8421,A848)</f>
        <v>46050</v>
      </c>
      <c r="J848" s="26" t="n">
        <f aca="false">_xlfn.MAXIFS(Transaction!$C$2:$C$8421,Transaction!$B$2:$B$8421,A848)</f>
        <v>46248</v>
      </c>
      <c r="K848" s="6" t="n">
        <f aca="false">COUNTIF(Transaction!$B$2:$B$8421,A848)</f>
        <v>11</v>
      </c>
      <c r="L848" s="10" t="n">
        <f aca="false">SUMIF(Transaction!$B$2:$B$8421,A848,Transaction!$H$2:$H$8421)</f>
        <v>16535</v>
      </c>
      <c r="M848" s="6" t="n">
        <f aca="false">Summary!$B$3-J848</f>
        <v>18</v>
      </c>
      <c r="N848" s="6" t="str">
        <f aca="false">IF(K848&gt;1,"Yes","No")</f>
        <v>Yes</v>
      </c>
      <c r="O848" s="6" t="s">
        <v>45</v>
      </c>
    </row>
    <row r="849" customFormat="false" ht="15" hidden="false" customHeight="false" outlineLevel="0" collapsed="false">
      <c r="A849" s="6" t="s">
        <v>1807</v>
      </c>
      <c r="B849" s="6" t="s">
        <v>1808</v>
      </c>
      <c r="C849" s="6" t="s">
        <v>75</v>
      </c>
      <c r="D849" s="6" t="n">
        <v>36</v>
      </c>
      <c r="E849" s="6" t="s">
        <v>76</v>
      </c>
      <c r="F849" s="6" t="s">
        <v>77</v>
      </c>
      <c r="G849" s="26" t="n">
        <v>45970</v>
      </c>
      <c r="H849" s="6" t="s">
        <v>78</v>
      </c>
      <c r="I849" s="26" t="n">
        <f aca="false">_xlfn.MINIFS(Transaction!$C$2:$C$8421,Transaction!$B$2:$B$8421,A849)</f>
        <v>46027</v>
      </c>
      <c r="J849" s="26" t="n">
        <f aca="false">_xlfn.MAXIFS(Transaction!$C$2:$C$8421,Transaction!$B$2:$B$8421,A849)</f>
        <v>46194</v>
      </c>
      <c r="K849" s="6" t="n">
        <f aca="false">COUNTIF(Transaction!$B$2:$B$8421,A849)</f>
        <v>8</v>
      </c>
      <c r="L849" s="10" t="n">
        <f aca="false">SUMIF(Transaction!$B$2:$B$8421,A849,Transaction!$H$2:$H$8421)</f>
        <v>20699</v>
      </c>
      <c r="M849" s="6" t="n">
        <f aca="false">Summary!$B$3-J849</f>
        <v>72</v>
      </c>
      <c r="N849" s="6" t="str">
        <f aca="false">IF(K849&gt;1,"Yes","No")</f>
        <v>Yes</v>
      </c>
      <c r="O849" s="6" t="s">
        <v>46</v>
      </c>
    </row>
    <row r="850" customFormat="false" ht="15" hidden="false" customHeight="false" outlineLevel="0" collapsed="false">
      <c r="A850" s="6" t="s">
        <v>1809</v>
      </c>
      <c r="B850" s="6" t="s">
        <v>1810</v>
      </c>
      <c r="C850" s="6" t="s">
        <v>85</v>
      </c>
      <c r="D850" s="6" t="n">
        <v>26</v>
      </c>
      <c r="E850" s="6" t="s">
        <v>95</v>
      </c>
      <c r="F850" s="6" t="s">
        <v>95</v>
      </c>
      <c r="G850" s="26" t="n">
        <v>46037</v>
      </c>
      <c r="H850" s="6" t="s">
        <v>123</v>
      </c>
      <c r="I850" s="26" t="n">
        <f aca="false">_xlfn.MINIFS(Transaction!$C$2:$C$8421,Transaction!$B$2:$B$8421,A850)</f>
        <v>46118</v>
      </c>
      <c r="J850" s="26" t="n">
        <f aca="false">_xlfn.MAXIFS(Transaction!$C$2:$C$8421,Transaction!$B$2:$B$8421,A850)</f>
        <v>46200</v>
      </c>
      <c r="K850" s="6" t="n">
        <f aca="false">COUNTIF(Transaction!$B$2:$B$8421,A850)</f>
        <v>3</v>
      </c>
      <c r="L850" s="10" t="n">
        <f aca="false">SUMIF(Transaction!$B$2:$B$8421,A850,Transaction!$H$2:$H$8421)</f>
        <v>3717</v>
      </c>
      <c r="M850" s="6" t="n">
        <f aca="false">Summary!$B$3-J850</f>
        <v>66</v>
      </c>
      <c r="N850" s="6" t="str">
        <f aca="false">IF(K850&gt;1,"Yes","No")</f>
        <v>Yes</v>
      </c>
      <c r="O850" s="6" t="s">
        <v>46</v>
      </c>
    </row>
    <row r="851" customFormat="false" ht="15" hidden="false" customHeight="false" outlineLevel="0" collapsed="false">
      <c r="A851" s="6" t="s">
        <v>1811</v>
      </c>
      <c r="B851" s="6" t="s">
        <v>1812</v>
      </c>
      <c r="C851" s="6" t="s">
        <v>75</v>
      </c>
      <c r="D851" s="6" t="n">
        <v>36</v>
      </c>
      <c r="E851" s="6" t="s">
        <v>91</v>
      </c>
      <c r="F851" s="6" t="s">
        <v>77</v>
      </c>
      <c r="G851" s="26" t="n">
        <v>45985</v>
      </c>
      <c r="H851" s="6" t="s">
        <v>78</v>
      </c>
      <c r="I851" s="26" t="n">
        <f aca="false">_xlfn.MINIFS(Transaction!$C$2:$C$8421,Transaction!$B$2:$B$8421,A851)</f>
        <v>46026</v>
      </c>
      <c r="J851" s="26" t="n">
        <f aca="false">_xlfn.MAXIFS(Transaction!$C$2:$C$8421,Transaction!$B$2:$B$8421,A851)</f>
        <v>46253</v>
      </c>
      <c r="K851" s="6" t="n">
        <f aca="false">COUNTIF(Transaction!$B$2:$B$8421,A851)</f>
        <v>8</v>
      </c>
      <c r="L851" s="10" t="n">
        <f aca="false">SUMIF(Transaction!$B$2:$B$8421,A851,Transaction!$H$2:$H$8421)</f>
        <v>15856</v>
      </c>
      <c r="M851" s="6" t="n">
        <f aca="false">Summary!$B$3-J851</f>
        <v>13</v>
      </c>
      <c r="N851" s="6" t="str">
        <f aca="false">IF(K851&gt;1,"Yes","No")</f>
        <v>Yes</v>
      </c>
      <c r="O851" s="6" t="s">
        <v>45</v>
      </c>
    </row>
    <row r="852" customFormat="false" ht="15" hidden="false" customHeight="false" outlineLevel="0" collapsed="false">
      <c r="A852" s="6" t="s">
        <v>1813</v>
      </c>
      <c r="B852" s="6" t="s">
        <v>1814</v>
      </c>
      <c r="C852" s="6" t="s">
        <v>85</v>
      </c>
      <c r="D852" s="6" t="n">
        <v>28</v>
      </c>
      <c r="E852" s="6" t="s">
        <v>81</v>
      </c>
      <c r="F852" s="6" t="s">
        <v>82</v>
      </c>
      <c r="G852" s="26" t="n">
        <v>46220</v>
      </c>
      <c r="H852" s="6" t="s">
        <v>92</v>
      </c>
      <c r="I852" s="26" t="n">
        <f aca="false">_xlfn.MINIFS(Transaction!$C$2:$C$8421,Transaction!$B$2:$B$8421,A852)</f>
        <v>46263</v>
      </c>
      <c r="J852" s="26" t="n">
        <f aca="false">_xlfn.MAXIFS(Transaction!$C$2:$C$8421,Transaction!$B$2:$B$8421,A852)</f>
        <v>46263</v>
      </c>
      <c r="K852" s="6" t="n">
        <f aca="false">COUNTIF(Transaction!$B$2:$B$8421,A852)</f>
        <v>1</v>
      </c>
      <c r="L852" s="10" t="n">
        <f aca="false">SUMIF(Transaction!$B$2:$B$8421,A852,Transaction!$H$2:$H$8421)</f>
        <v>879</v>
      </c>
      <c r="M852" s="6" t="n">
        <f aca="false">Summary!$B$3-J852</f>
        <v>3</v>
      </c>
      <c r="N852" s="6" t="str">
        <f aca="false">IF(K852&gt;1,"Yes","No")</f>
        <v>No</v>
      </c>
      <c r="O852" s="6" t="s">
        <v>47</v>
      </c>
    </row>
    <row r="853" customFormat="false" ht="15" hidden="false" customHeight="false" outlineLevel="0" collapsed="false">
      <c r="A853" s="6" t="s">
        <v>1815</v>
      </c>
      <c r="B853" s="6" t="s">
        <v>1816</v>
      </c>
      <c r="C853" s="6" t="s">
        <v>75</v>
      </c>
      <c r="D853" s="6" t="n">
        <v>31</v>
      </c>
      <c r="E853" s="6" t="s">
        <v>134</v>
      </c>
      <c r="F853" s="6" t="s">
        <v>135</v>
      </c>
      <c r="G853" s="26" t="n">
        <v>46199</v>
      </c>
      <c r="H853" s="6" t="s">
        <v>88</v>
      </c>
      <c r="I853" s="26" t="n">
        <f aca="false">_xlfn.MINIFS(Transaction!$C$2:$C$8421,Transaction!$B$2:$B$8421,A853)</f>
        <v>46199</v>
      </c>
      <c r="J853" s="26" t="n">
        <f aca="false">_xlfn.MAXIFS(Transaction!$C$2:$C$8421,Transaction!$B$2:$B$8421,A853)</f>
        <v>46199</v>
      </c>
      <c r="K853" s="6" t="n">
        <f aca="false">COUNTIF(Transaction!$B$2:$B$8421,A853)</f>
        <v>1</v>
      </c>
      <c r="L853" s="10" t="n">
        <f aca="false">SUMIF(Transaction!$B$2:$B$8421,A853,Transaction!$H$2:$H$8421)</f>
        <v>1008</v>
      </c>
      <c r="M853" s="6" t="n">
        <f aca="false">Summary!$B$3-J853</f>
        <v>67</v>
      </c>
      <c r="N853" s="6" t="str">
        <f aca="false">IF(K853&gt;1,"Yes","No")</f>
        <v>No</v>
      </c>
      <c r="O853" s="6" t="s">
        <v>47</v>
      </c>
    </row>
    <row r="854" customFormat="false" ht="15" hidden="false" customHeight="false" outlineLevel="0" collapsed="false">
      <c r="A854" s="6" t="s">
        <v>1817</v>
      </c>
      <c r="B854" s="6" t="s">
        <v>1818</v>
      </c>
      <c r="C854" s="6" t="s">
        <v>75</v>
      </c>
      <c r="D854" s="6" t="n">
        <v>32</v>
      </c>
      <c r="E854" s="6" t="s">
        <v>76</v>
      </c>
      <c r="F854" s="6" t="s">
        <v>77</v>
      </c>
      <c r="G854" s="26" t="n">
        <v>46199</v>
      </c>
      <c r="H854" s="6" t="s">
        <v>78</v>
      </c>
      <c r="I854" s="26" t="n">
        <f aca="false">_xlfn.MINIFS(Transaction!$C$2:$C$8421,Transaction!$B$2:$B$8421,A854)</f>
        <v>46213</v>
      </c>
      <c r="J854" s="26" t="n">
        <f aca="false">_xlfn.MAXIFS(Transaction!$C$2:$C$8421,Transaction!$B$2:$B$8421,A854)</f>
        <v>46213</v>
      </c>
      <c r="K854" s="6" t="n">
        <f aca="false">COUNTIF(Transaction!$B$2:$B$8421,A854)</f>
        <v>1</v>
      </c>
      <c r="L854" s="10" t="n">
        <f aca="false">SUMIF(Transaction!$B$2:$B$8421,A854,Transaction!$H$2:$H$8421)</f>
        <v>156</v>
      </c>
      <c r="M854" s="6" t="n">
        <f aca="false">Summary!$B$3-J854</f>
        <v>53</v>
      </c>
      <c r="N854" s="6" t="str">
        <f aca="false">IF(K854&gt;1,"Yes","No")</f>
        <v>No</v>
      </c>
      <c r="O854" s="6" t="s">
        <v>47</v>
      </c>
    </row>
    <row r="855" customFormat="false" ht="15" hidden="false" customHeight="false" outlineLevel="0" collapsed="false">
      <c r="A855" s="6" t="s">
        <v>1819</v>
      </c>
      <c r="B855" s="6" t="s">
        <v>1820</v>
      </c>
      <c r="C855" s="6" t="s">
        <v>75</v>
      </c>
      <c r="D855" s="6" t="n">
        <v>24</v>
      </c>
      <c r="E855" s="6" t="s">
        <v>81</v>
      </c>
      <c r="F855" s="6" t="s">
        <v>82</v>
      </c>
      <c r="G855" s="26" t="n">
        <v>45973</v>
      </c>
      <c r="H855" s="6" t="s">
        <v>115</v>
      </c>
      <c r="I855" s="26" t="n">
        <f aca="false">_xlfn.MINIFS(Transaction!$C$2:$C$8421,Transaction!$B$2:$B$8421,A855)</f>
        <v>46033</v>
      </c>
      <c r="J855" s="26" t="n">
        <f aca="false">_xlfn.MAXIFS(Transaction!$C$2:$C$8421,Transaction!$B$2:$B$8421,A855)</f>
        <v>46242</v>
      </c>
      <c r="K855" s="6" t="n">
        <f aca="false">COUNTIF(Transaction!$B$2:$B$8421,A855)</f>
        <v>8</v>
      </c>
      <c r="L855" s="10" t="n">
        <f aca="false">SUMIF(Transaction!$B$2:$B$8421,A855,Transaction!$H$2:$H$8421)</f>
        <v>19082</v>
      </c>
      <c r="M855" s="6" t="n">
        <f aca="false">Summary!$B$3-J855</f>
        <v>24</v>
      </c>
      <c r="N855" s="6" t="str">
        <f aca="false">IF(K855&gt;1,"Yes","No")</f>
        <v>Yes</v>
      </c>
      <c r="O855" s="6" t="s">
        <v>45</v>
      </c>
    </row>
    <row r="856" customFormat="false" ht="15" hidden="false" customHeight="false" outlineLevel="0" collapsed="false">
      <c r="A856" s="6" t="s">
        <v>1821</v>
      </c>
      <c r="B856" s="6" t="s">
        <v>1822</v>
      </c>
      <c r="C856" s="6" t="s">
        <v>75</v>
      </c>
      <c r="D856" s="6" t="n">
        <v>28</v>
      </c>
      <c r="E856" s="6" t="s">
        <v>206</v>
      </c>
      <c r="F856" s="6" t="s">
        <v>106</v>
      </c>
      <c r="G856" s="26" t="n">
        <v>46201</v>
      </c>
      <c r="H856" s="6" t="s">
        <v>92</v>
      </c>
      <c r="I856" s="26" t="n">
        <f aca="false">_xlfn.MINIFS(Transaction!$C$2:$C$8421,Transaction!$B$2:$B$8421,A856)</f>
        <v>46207</v>
      </c>
      <c r="J856" s="26" t="n">
        <f aca="false">_xlfn.MAXIFS(Transaction!$C$2:$C$8421,Transaction!$B$2:$B$8421,A856)</f>
        <v>46207</v>
      </c>
      <c r="K856" s="6" t="n">
        <f aca="false">COUNTIF(Transaction!$B$2:$B$8421,A856)</f>
        <v>1</v>
      </c>
      <c r="L856" s="10" t="n">
        <f aca="false">SUMIF(Transaction!$B$2:$B$8421,A856,Transaction!$H$2:$H$8421)</f>
        <v>4480</v>
      </c>
      <c r="M856" s="6" t="n">
        <f aca="false">Summary!$B$3-J856</f>
        <v>59</v>
      </c>
      <c r="N856" s="6" t="str">
        <f aca="false">IF(K856&gt;1,"Yes","No")</f>
        <v>No</v>
      </c>
      <c r="O856" s="6" t="s">
        <v>47</v>
      </c>
    </row>
    <row r="857" customFormat="false" ht="15" hidden="false" customHeight="false" outlineLevel="0" collapsed="false">
      <c r="A857" s="6" t="s">
        <v>1823</v>
      </c>
      <c r="B857" s="6" t="s">
        <v>1824</v>
      </c>
      <c r="C857" s="6" t="s">
        <v>85</v>
      </c>
      <c r="D857" s="6" t="n">
        <v>19</v>
      </c>
      <c r="E857" s="6" t="s">
        <v>134</v>
      </c>
      <c r="F857" s="6" t="s">
        <v>135</v>
      </c>
      <c r="G857" s="26" t="n">
        <v>45968</v>
      </c>
      <c r="H857" s="6" t="s">
        <v>115</v>
      </c>
      <c r="I857" s="26" t="n">
        <f aca="false">_xlfn.MINIFS(Transaction!$C$2:$C$8421,Transaction!$B$2:$B$8421,A857)</f>
        <v>46048</v>
      </c>
      <c r="J857" s="26" t="n">
        <f aca="false">_xlfn.MAXIFS(Transaction!$C$2:$C$8421,Transaction!$B$2:$B$8421,A857)</f>
        <v>46250</v>
      </c>
      <c r="K857" s="6" t="n">
        <f aca="false">COUNTIF(Transaction!$B$2:$B$8421,A857)</f>
        <v>11</v>
      </c>
      <c r="L857" s="10" t="n">
        <f aca="false">SUMIF(Transaction!$B$2:$B$8421,A857,Transaction!$H$2:$H$8421)</f>
        <v>29576</v>
      </c>
      <c r="M857" s="6" t="n">
        <f aca="false">Summary!$B$3-J857</f>
        <v>16</v>
      </c>
      <c r="N857" s="6" t="str">
        <f aca="false">IF(K857&gt;1,"Yes","No")</f>
        <v>Yes</v>
      </c>
      <c r="O857" s="6" t="s">
        <v>45</v>
      </c>
    </row>
    <row r="858" customFormat="false" ht="15" hidden="false" customHeight="false" outlineLevel="0" collapsed="false">
      <c r="A858" s="6" t="s">
        <v>1825</v>
      </c>
      <c r="B858" s="6" t="s">
        <v>1826</v>
      </c>
      <c r="C858" s="6" t="s">
        <v>75</v>
      </c>
      <c r="D858" s="6" t="n">
        <v>35</v>
      </c>
      <c r="E858" s="6" t="s">
        <v>176</v>
      </c>
      <c r="F858" s="6" t="s">
        <v>177</v>
      </c>
      <c r="G858" s="26" t="n">
        <v>46127</v>
      </c>
      <c r="H858" s="6" t="s">
        <v>92</v>
      </c>
      <c r="I858" s="26" t="n">
        <f aca="false">_xlfn.MINIFS(Transaction!$C$2:$C$8421,Transaction!$B$2:$B$8421,A858)</f>
        <v>46176</v>
      </c>
      <c r="J858" s="26" t="n">
        <f aca="false">_xlfn.MAXIFS(Transaction!$C$2:$C$8421,Transaction!$B$2:$B$8421,A858)</f>
        <v>46219</v>
      </c>
      <c r="K858" s="6" t="n">
        <f aca="false">COUNTIF(Transaction!$B$2:$B$8421,A858)</f>
        <v>6</v>
      </c>
      <c r="L858" s="10" t="n">
        <f aca="false">SUMIF(Transaction!$B$2:$B$8421,A858,Transaction!$H$2:$H$8421)</f>
        <v>4565</v>
      </c>
      <c r="M858" s="6" t="n">
        <f aca="false">Summary!$B$3-J858</f>
        <v>47</v>
      </c>
      <c r="N858" s="6" t="str">
        <f aca="false">IF(K858&gt;1,"Yes","No")</f>
        <v>Yes</v>
      </c>
      <c r="O858" s="6" t="s">
        <v>46</v>
      </c>
    </row>
    <row r="859" customFormat="false" ht="15" hidden="false" customHeight="false" outlineLevel="0" collapsed="false">
      <c r="A859" s="6" t="s">
        <v>1827</v>
      </c>
      <c r="B859" s="6" t="s">
        <v>1828</v>
      </c>
      <c r="C859" s="6" t="s">
        <v>85</v>
      </c>
      <c r="D859" s="6" t="n">
        <v>41</v>
      </c>
      <c r="E859" s="6" t="s">
        <v>91</v>
      </c>
      <c r="F859" s="6" t="s">
        <v>77</v>
      </c>
      <c r="G859" s="26" t="n">
        <v>45986</v>
      </c>
      <c r="H859" s="6" t="s">
        <v>123</v>
      </c>
      <c r="I859" s="26" t="n">
        <f aca="false">_xlfn.MINIFS(Transaction!$C$2:$C$8421,Transaction!$B$2:$B$8421,A859)</f>
        <v>46069</v>
      </c>
      <c r="J859" s="26" t="n">
        <f aca="false">_xlfn.MAXIFS(Transaction!$C$2:$C$8421,Transaction!$B$2:$B$8421,A859)</f>
        <v>46232</v>
      </c>
      <c r="K859" s="6" t="n">
        <f aca="false">COUNTIF(Transaction!$B$2:$B$8421,A859)</f>
        <v>7</v>
      </c>
      <c r="L859" s="10" t="n">
        <f aca="false">SUMIF(Transaction!$B$2:$B$8421,A859,Transaction!$H$2:$H$8421)</f>
        <v>8752</v>
      </c>
      <c r="M859" s="6" t="n">
        <f aca="false">Summary!$B$3-J859</f>
        <v>34</v>
      </c>
      <c r="N859" s="6" t="str">
        <f aca="false">IF(K859&gt;1,"Yes","No")</f>
        <v>Yes</v>
      </c>
      <c r="O859" s="6" t="s">
        <v>46</v>
      </c>
    </row>
    <row r="860" customFormat="false" ht="15" hidden="false" customHeight="false" outlineLevel="0" collapsed="false">
      <c r="A860" s="6" t="s">
        <v>1829</v>
      </c>
      <c r="B860" s="6" t="s">
        <v>1830</v>
      </c>
      <c r="C860" s="6" t="s">
        <v>85</v>
      </c>
      <c r="D860" s="6" t="n">
        <v>44</v>
      </c>
      <c r="E860" s="6" t="s">
        <v>430</v>
      </c>
      <c r="F860" s="6" t="s">
        <v>99</v>
      </c>
      <c r="G860" s="26" t="n">
        <v>46250</v>
      </c>
      <c r="H860" s="6" t="s">
        <v>123</v>
      </c>
      <c r="I860" s="26" t="n">
        <f aca="false">_xlfn.MINIFS(Transaction!$C$2:$C$8421,Transaction!$B$2:$B$8421,A860)</f>
        <v>46261</v>
      </c>
      <c r="J860" s="26" t="n">
        <f aca="false">_xlfn.MAXIFS(Transaction!$C$2:$C$8421,Transaction!$B$2:$B$8421,A860)</f>
        <v>46261</v>
      </c>
      <c r="K860" s="6" t="n">
        <f aca="false">COUNTIF(Transaction!$B$2:$B$8421,A860)</f>
        <v>1</v>
      </c>
      <c r="L860" s="10" t="n">
        <f aca="false">SUMIF(Transaction!$B$2:$B$8421,A860,Transaction!$H$2:$H$8421)</f>
        <v>481</v>
      </c>
      <c r="M860" s="6" t="n">
        <f aca="false">Summary!$B$3-J860</f>
        <v>5</v>
      </c>
      <c r="N860" s="6" t="str">
        <f aca="false">IF(K860&gt;1,"Yes","No")</f>
        <v>No</v>
      </c>
      <c r="O860" s="6" t="s">
        <v>47</v>
      </c>
    </row>
    <row r="861" customFormat="false" ht="15" hidden="false" customHeight="false" outlineLevel="0" collapsed="false">
      <c r="A861" s="6" t="s">
        <v>1831</v>
      </c>
      <c r="B861" s="6" t="s">
        <v>1832</v>
      </c>
      <c r="C861" s="6" t="s">
        <v>75</v>
      </c>
      <c r="D861" s="6" t="n">
        <v>22</v>
      </c>
      <c r="E861" s="6" t="s">
        <v>76</v>
      </c>
      <c r="F861" s="6" t="s">
        <v>77</v>
      </c>
      <c r="G861" s="26" t="n">
        <v>45973</v>
      </c>
      <c r="H861" s="6" t="s">
        <v>115</v>
      </c>
      <c r="I861" s="26" t="n">
        <f aca="false">_xlfn.MINIFS(Transaction!$C$2:$C$8421,Transaction!$B$2:$B$8421,A861)</f>
        <v>46038</v>
      </c>
      <c r="J861" s="26" t="n">
        <f aca="false">_xlfn.MAXIFS(Transaction!$C$2:$C$8421,Transaction!$B$2:$B$8421,A861)</f>
        <v>46240</v>
      </c>
      <c r="K861" s="6" t="n">
        <f aca="false">COUNTIF(Transaction!$B$2:$B$8421,A861)</f>
        <v>5</v>
      </c>
      <c r="L861" s="10" t="n">
        <f aca="false">SUMIF(Transaction!$B$2:$B$8421,A861,Transaction!$H$2:$H$8421)</f>
        <v>7189</v>
      </c>
      <c r="M861" s="6" t="n">
        <f aca="false">Summary!$B$3-J861</f>
        <v>26</v>
      </c>
      <c r="N861" s="6" t="str">
        <f aca="false">IF(K861&gt;1,"Yes","No")</f>
        <v>Yes</v>
      </c>
      <c r="O861" s="6" t="s">
        <v>46</v>
      </c>
    </row>
    <row r="862" customFormat="false" ht="15" hidden="false" customHeight="false" outlineLevel="0" collapsed="false">
      <c r="A862" s="6" t="s">
        <v>1833</v>
      </c>
      <c r="B862" s="6" t="s">
        <v>1834</v>
      </c>
      <c r="C862" s="6" t="s">
        <v>85</v>
      </c>
      <c r="D862" s="6" t="n">
        <v>31</v>
      </c>
      <c r="E862" s="6" t="s">
        <v>76</v>
      </c>
      <c r="F862" s="6" t="s">
        <v>77</v>
      </c>
      <c r="G862" s="26" t="n">
        <v>45994</v>
      </c>
      <c r="H862" s="6" t="s">
        <v>115</v>
      </c>
      <c r="I862" s="26" t="n">
        <f aca="false">_xlfn.MINIFS(Transaction!$C$2:$C$8421,Transaction!$B$2:$B$8421,A862)</f>
        <v>46053</v>
      </c>
      <c r="J862" s="26" t="n">
        <f aca="false">_xlfn.MAXIFS(Transaction!$C$2:$C$8421,Transaction!$B$2:$B$8421,A862)</f>
        <v>46053</v>
      </c>
      <c r="K862" s="6" t="n">
        <f aca="false">COUNTIF(Transaction!$B$2:$B$8421,A862)</f>
        <v>1</v>
      </c>
      <c r="L862" s="10" t="n">
        <f aca="false">SUMIF(Transaction!$B$2:$B$8421,A862,Transaction!$H$2:$H$8421)</f>
        <v>2598</v>
      </c>
      <c r="M862" s="6" t="n">
        <f aca="false">Summary!$B$3-J862</f>
        <v>213</v>
      </c>
      <c r="N862" s="6" t="str">
        <f aca="false">IF(K862&gt;1,"Yes","No")</f>
        <v>No</v>
      </c>
      <c r="O862" s="6" t="s">
        <v>49</v>
      </c>
    </row>
    <row r="863" customFormat="false" ht="15" hidden="false" customHeight="false" outlineLevel="0" collapsed="false">
      <c r="A863" s="6" t="s">
        <v>1835</v>
      </c>
      <c r="B863" s="6" t="s">
        <v>1836</v>
      </c>
      <c r="C863" s="6" t="s">
        <v>85</v>
      </c>
      <c r="D863" s="6" t="n">
        <v>40</v>
      </c>
      <c r="E863" s="6" t="s">
        <v>146</v>
      </c>
      <c r="F863" s="6" t="s">
        <v>147</v>
      </c>
      <c r="G863" s="26" t="n">
        <v>46033</v>
      </c>
      <c r="H863" s="6" t="s">
        <v>102</v>
      </c>
      <c r="I863" s="26" t="n">
        <f aca="false">_xlfn.MINIFS(Transaction!$C$2:$C$8421,Transaction!$B$2:$B$8421,A863)</f>
        <v>46098</v>
      </c>
      <c r="J863" s="26" t="n">
        <f aca="false">_xlfn.MAXIFS(Transaction!$C$2:$C$8421,Transaction!$B$2:$B$8421,A863)</f>
        <v>46229</v>
      </c>
      <c r="K863" s="6" t="n">
        <f aca="false">COUNTIF(Transaction!$B$2:$B$8421,A863)</f>
        <v>2</v>
      </c>
      <c r="L863" s="10" t="n">
        <f aca="false">SUMIF(Transaction!$B$2:$B$8421,A863,Transaction!$H$2:$H$8421)</f>
        <v>6298</v>
      </c>
      <c r="M863" s="6" t="n">
        <f aca="false">Summary!$B$3-J863</f>
        <v>37</v>
      </c>
      <c r="N863" s="6" t="str">
        <f aca="false">IF(K863&gt;1,"Yes","No")</f>
        <v>Yes</v>
      </c>
      <c r="O863" s="6" t="s">
        <v>46</v>
      </c>
    </row>
    <row r="864" customFormat="false" ht="15" hidden="false" customHeight="false" outlineLevel="0" collapsed="false">
      <c r="A864" s="6" t="s">
        <v>1837</v>
      </c>
      <c r="B864" s="6" t="s">
        <v>1838</v>
      </c>
      <c r="C864" s="6" t="s">
        <v>75</v>
      </c>
      <c r="D864" s="6" t="n">
        <v>31</v>
      </c>
      <c r="E864" s="6" t="s">
        <v>95</v>
      </c>
      <c r="F864" s="6" t="s">
        <v>95</v>
      </c>
      <c r="G864" s="26" t="n">
        <v>46113</v>
      </c>
      <c r="H864" s="6" t="s">
        <v>78</v>
      </c>
      <c r="I864" s="26" t="n">
        <f aca="false">_xlfn.MINIFS(Transaction!$C$2:$C$8421,Transaction!$B$2:$B$8421,A864)</f>
        <v>46202</v>
      </c>
      <c r="J864" s="26" t="n">
        <f aca="false">_xlfn.MAXIFS(Transaction!$C$2:$C$8421,Transaction!$B$2:$B$8421,A864)</f>
        <v>46202</v>
      </c>
      <c r="K864" s="6" t="n">
        <f aca="false">COUNTIF(Transaction!$B$2:$B$8421,A864)</f>
        <v>1</v>
      </c>
      <c r="L864" s="10" t="n">
        <f aca="false">SUMIF(Transaction!$B$2:$B$8421,A864,Transaction!$H$2:$H$8421)</f>
        <v>1406</v>
      </c>
      <c r="M864" s="6" t="n">
        <f aca="false">Summary!$B$3-J864</f>
        <v>64</v>
      </c>
      <c r="N864" s="6" t="str">
        <f aca="false">IF(K864&gt;1,"Yes","No")</f>
        <v>No</v>
      </c>
      <c r="O864" s="6" t="s">
        <v>47</v>
      </c>
    </row>
    <row r="865" customFormat="false" ht="15" hidden="false" customHeight="false" outlineLevel="0" collapsed="false">
      <c r="A865" s="6" t="s">
        <v>1839</v>
      </c>
      <c r="B865" s="6" t="s">
        <v>1840</v>
      </c>
      <c r="C865" s="6" t="s">
        <v>75</v>
      </c>
      <c r="D865" s="6" t="n">
        <v>40</v>
      </c>
      <c r="E865" s="6" t="s">
        <v>95</v>
      </c>
      <c r="F865" s="6" t="s">
        <v>95</v>
      </c>
      <c r="G865" s="26" t="n">
        <v>46195</v>
      </c>
      <c r="H865" s="6" t="s">
        <v>102</v>
      </c>
      <c r="I865" s="26" t="n">
        <f aca="false">_xlfn.MINIFS(Transaction!$C$2:$C$8421,Transaction!$B$2:$B$8421,A865)</f>
        <v>46259</v>
      </c>
      <c r="J865" s="26" t="n">
        <f aca="false">_xlfn.MAXIFS(Transaction!$C$2:$C$8421,Transaction!$B$2:$B$8421,A865)</f>
        <v>46259</v>
      </c>
      <c r="K865" s="6" t="n">
        <f aca="false">COUNTIF(Transaction!$B$2:$B$8421,A865)</f>
        <v>1</v>
      </c>
      <c r="L865" s="10" t="n">
        <f aca="false">SUMIF(Transaction!$B$2:$B$8421,A865,Transaction!$H$2:$H$8421)</f>
        <v>814</v>
      </c>
      <c r="M865" s="6" t="n">
        <f aca="false">Summary!$B$3-J865</f>
        <v>7</v>
      </c>
      <c r="N865" s="6" t="str">
        <f aca="false">IF(K865&gt;1,"Yes","No")</f>
        <v>No</v>
      </c>
      <c r="O865" s="6" t="s">
        <v>47</v>
      </c>
    </row>
    <row r="866" customFormat="false" ht="15" hidden="false" customHeight="false" outlineLevel="0" collapsed="false">
      <c r="A866" s="6" t="s">
        <v>1841</v>
      </c>
      <c r="B866" s="6" t="s">
        <v>1842</v>
      </c>
      <c r="C866" s="6" t="s">
        <v>75</v>
      </c>
      <c r="D866" s="6" t="n">
        <v>39</v>
      </c>
      <c r="E866" s="6" t="s">
        <v>86</v>
      </c>
      <c r="F866" s="6" t="s">
        <v>87</v>
      </c>
      <c r="G866" s="26" t="n">
        <v>45966</v>
      </c>
      <c r="H866" s="6" t="s">
        <v>78</v>
      </c>
      <c r="I866" s="26" t="n">
        <f aca="false">_xlfn.MINIFS(Transaction!$C$2:$C$8421,Transaction!$B$2:$B$8421,A866)</f>
        <v>46056</v>
      </c>
      <c r="J866" s="26" t="n">
        <f aca="false">_xlfn.MAXIFS(Transaction!$C$2:$C$8421,Transaction!$B$2:$B$8421,A866)</f>
        <v>46242</v>
      </c>
      <c r="K866" s="6" t="n">
        <f aca="false">COUNTIF(Transaction!$B$2:$B$8421,A866)</f>
        <v>8</v>
      </c>
      <c r="L866" s="10" t="n">
        <f aca="false">SUMIF(Transaction!$B$2:$B$8421,A866,Transaction!$H$2:$H$8421)</f>
        <v>12344</v>
      </c>
      <c r="M866" s="6" t="n">
        <f aca="false">Summary!$B$3-J866</f>
        <v>24</v>
      </c>
      <c r="N866" s="6" t="str">
        <f aca="false">IF(K866&gt;1,"Yes","No")</f>
        <v>Yes</v>
      </c>
      <c r="O866" s="6" t="s">
        <v>45</v>
      </c>
    </row>
    <row r="867" customFormat="false" ht="15" hidden="false" customHeight="false" outlineLevel="0" collapsed="false">
      <c r="A867" s="6" t="s">
        <v>1843</v>
      </c>
      <c r="B867" s="6" t="s">
        <v>1844</v>
      </c>
      <c r="C867" s="6" t="s">
        <v>75</v>
      </c>
      <c r="D867" s="6" t="n">
        <v>34</v>
      </c>
      <c r="E867" s="6" t="s">
        <v>86</v>
      </c>
      <c r="F867" s="6" t="s">
        <v>87</v>
      </c>
      <c r="G867" s="26" t="n">
        <v>45951</v>
      </c>
      <c r="H867" s="6" t="s">
        <v>102</v>
      </c>
      <c r="I867" s="26" t="n">
        <f aca="false">_xlfn.MINIFS(Transaction!$C$2:$C$8421,Transaction!$B$2:$B$8421,A867)</f>
        <v>46035</v>
      </c>
      <c r="J867" s="26" t="n">
        <f aca="false">_xlfn.MAXIFS(Transaction!$C$2:$C$8421,Transaction!$B$2:$B$8421,A867)</f>
        <v>46263</v>
      </c>
      <c r="K867" s="6" t="n">
        <f aca="false">COUNTIF(Transaction!$B$2:$B$8421,A867)</f>
        <v>12</v>
      </c>
      <c r="L867" s="10" t="n">
        <f aca="false">SUMIF(Transaction!$B$2:$B$8421,A867,Transaction!$H$2:$H$8421)</f>
        <v>13014</v>
      </c>
      <c r="M867" s="6" t="n">
        <f aca="false">Summary!$B$3-J867</f>
        <v>3</v>
      </c>
      <c r="N867" s="6" t="str">
        <f aca="false">IF(K867&gt;1,"Yes","No")</f>
        <v>Yes</v>
      </c>
      <c r="O867" s="6" t="s">
        <v>45</v>
      </c>
    </row>
    <row r="868" customFormat="false" ht="15" hidden="false" customHeight="false" outlineLevel="0" collapsed="false">
      <c r="A868" s="6" t="s">
        <v>1845</v>
      </c>
      <c r="B868" s="6" t="s">
        <v>1846</v>
      </c>
      <c r="C868" s="6" t="s">
        <v>85</v>
      </c>
      <c r="D868" s="6" t="n">
        <v>30</v>
      </c>
      <c r="E868" s="6" t="s">
        <v>81</v>
      </c>
      <c r="F868" s="6" t="s">
        <v>82</v>
      </c>
      <c r="G868" s="26" t="n">
        <v>45974</v>
      </c>
      <c r="H868" s="6" t="s">
        <v>102</v>
      </c>
      <c r="I868" s="26" t="n">
        <f aca="false">_xlfn.MINIFS(Transaction!$C$2:$C$8421,Transaction!$B$2:$B$8421,A868)</f>
        <v>46056</v>
      </c>
      <c r="J868" s="26" t="n">
        <f aca="false">_xlfn.MAXIFS(Transaction!$C$2:$C$8421,Transaction!$B$2:$B$8421,A868)</f>
        <v>46199</v>
      </c>
      <c r="K868" s="6" t="n">
        <f aca="false">COUNTIF(Transaction!$B$2:$B$8421,A868)</f>
        <v>5</v>
      </c>
      <c r="L868" s="10" t="n">
        <f aca="false">SUMIF(Transaction!$B$2:$B$8421,A868,Transaction!$H$2:$H$8421)</f>
        <v>10805</v>
      </c>
      <c r="M868" s="6" t="n">
        <f aca="false">Summary!$B$3-J868</f>
        <v>67</v>
      </c>
      <c r="N868" s="6" t="str">
        <f aca="false">IF(K868&gt;1,"Yes","No")</f>
        <v>Yes</v>
      </c>
      <c r="O868" s="6" t="s">
        <v>46</v>
      </c>
    </row>
    <row r="869" customFormat="false" ht="15" hidden="false" customHeight="false" outlineLevel="0" collapsed="false">
      <c r="A869" s="6" t="s">
        <v>1847</v>
      </c>
      <c r="B869" s="6" t="s">
        <v>1848</v>
      </c>
      <c r="C869" s="6" t="s">
        <v>75</v>
      </c>
      <c r="D869" s="6" t="n">
        <v>40</v>
      </c>
      <c r="E869" s="6" t="s">
        <v>91</v>
      </c>
      <c r="F869" s="6" t="s">
        <v>77</v>
      </c>
      <c r="G869" s="26" t="n">
        <v>46154</v>
      </c>
      <c r="H869" s="6" t="s">
        <v>115</v>
      </c>
      <c r="I869" s="26" t="n">
        <f aca="false">_xlfn.MINIFS(Transaction!$C$2:$C$8421,Transaction!$B$2:$B$8421,A869)</f>
        <v>46158</v>
      </c>
      <c r="J869" s="26" t="n">
        <f aca="false">_xlfn.MAXIFS(Transaction!$C$2:$C$8421,Transaction!$B$2:$B$8421,A869)</f>
        <v>46158</v>
      </c>
      <c r="K869" s="6" t="n">
        <f aca="false">COUNTIF(Transaction!$B$2:$B$8421,A869)</f>
        <v>1</v>
      </c>
      <c r="L869" s="10" t="n">
        <f aca="false">SUMIF(Transaction!$B$2:$B$8421,A869,Transaction!$H$2:$H$8421)</f>
        <v>3132</v>
      </c>
      <c r="M869" s="6" t="n">
        <f aca="false">Summary!$B$3-J869</f>
        <v>108</v>
      </c>
      <c r="N869" s="6" t="str">
        <f aca="false">IF(K869&gt;1,"Yes","No")</f>
        <v>No</v>
      </c>
      <c r="O869" s="6" t="s">
        <v>48</v>
      </c>
    </row>
    <row r="870" customFormat="false" ht="15" hidden="false" customHeight="false" outlineLevel="0" collapsed="false">
      <c r="A870" s="6" t="s">
        <v>1849</v>
      </c>
      <c r="B870" s="6" t="s">
        <v>1850</v>
      </c>
      <c r="C870" s="6" t="s">
        <v>75</v>
      </c>
      <c r="D870" s="6" t="n">
        <v>29</v>
      </c>
      <c r="E870" s="6" t="s">
        <v>146</v>
      </c>
      <c r="F870" s="6" t="s">
        <v>147</v>
      </c>
      <c r="G870" s="26" t="n">
        <v>46104</v>
      </c>
      <c r="H870" s="6" t="s">
        <v>92</v>
      </c>
      <c r="I870" s="26" t="n">
        <f aca="false">_xlfn.MINIFS(Transaction!$C$2:$C$8421,Transaction!$B$2:$B$8421,A870)</f>
        <v>46155</v>
      </c>
      <c r="J870" s="26" t="n">
        <f aca="false">_xlfn.MAXIFS(Transaction!$C$2:$C$8421,Transaction!$B$2:$B$8421,A870)</f>
        <v>46155</v>
      </c>
      <c r="K870" s="6" t="n">
        <f aca="false">COUNTIF(Transaction!$B$2:$B$8421,A870)</f>
        <v>1</v>
      </c>
      <c r="L870" s="10" t="n">
        <f aca="false">SUMIF(Transaction!$B$2:$B$8421,A870,Transaction!$H$2:$H$8421)</f>
        <v>972</v>
      </c>
      <c r="M870" s="6" t="n">
        <f aca="false">Summary!$B$3-J870</f>
        <v>111</v>
      </c>
      <c r="N870" s="6" t="str">
        <f aca="false">IF(K870&gt;1,"Yes","No")</f>
        <v>No</v>
      </c>
      <c r="O870" s="6" t="s">
        <v>48</v>
      </c>
    </row>
    <row r="871" customFormat="false" ht="15" hidden="false" customHeight="false" outlineLevel="0" collapsed="false">
      <c r="A871" s="6" t="s">
        <v>1851</v>
      </c>
      <c r="B871" s="6" t="s">
        <v>1852</v>
      </c>
      <c r="C871" s="6" t="s">
        <v>85</v>
      </c>
      <c r="D871" s="6" t="n">
        <v>26</v>
      </c>
      <c r="E871" s="6" t="s">
        <v>76</v>
      </c>
      <c r="F871" s="6" t="s">
        <v>77</v>
      </c>
      <c r="G871" s="26" t="n">
        <v>46102</v>
      </c>
      <c r="H871" s="6" t="s">
        <v>92</v>
      </c>
      <c r="I871" s="26" t="n">
        <f aca="false">_xlfn.MINIFS(Transaction!$C$2:$C$8421,Transaction!$B$2:$B$8421,A871)</f>
        <v>46145</v>
      </c>
      <c r="J871" s="26" t="n">
        <f aca="false">_xlfn.MAXIFS(Transaction!$C$2:$C$8421,Transaction!$B$2:$B$8421,A871)</f>
        <v>46145</v>
      </c>
      <c r="K871" s="6" t="n">
        <f aca="false">COUNTIF(Transaction!$B$2:$B$8421,A871)</f>
        <v>1</v>
      </c>
      <c r="L871" s="10" t="n">
        <f aca="false">SUMIF(Transaction!$B$2:$B$8421,A871,Transaction!$H$2:$H$8421)</f>
        <v>743</v>
      </c>
      <c r="M871" s="6" t="n">
        <f aca="false">Summary!$B$3-J871</f>
        <v>121</v>
      </c>
      <c r="N871" s="6" t="str">
        <f aca="false">IF(K871&gt;1,"Yes","No")</f>
        <v>No</v>
      </c>
      <c r="O871" s="6" t="s">
        <v>48</v>
      </c>
    </row>
    <row r="872" customFormat="false" ht="15" hidden="false" customHeight="false" outlineLevel="0" collapsed="false">
      <c r="A872" s="6" t="s">
        <v>1853</v>
      </c>
      <c r="B872" s="6" t="s">
        <v>1854</v>
      </c>
      <c r="C872" s="6" t="s">
        <v>75</v>
      </c>
      <c r="D872" s="6" t="n">
        <v>33</v>
      </c>
      <c r="E872" s="6" t="s">
        <v>321</v>
      </c>
      <c r="F872" s="6" t="s">
        <v>321</v>
      </c>
      <c r="G872" s="26" t="n">
        <v>46213</v>
      </c>
      <c r="H872" s="6" t="s">
        <v>78</v>
      </c>
      <c r="I872" s="26" t="n">
        <f aca="false">_xlfn.MINIFS(Transaction!$C$2:$C$8421,Transaction!$B$2:$B$8421,A872)</f>
        <v>46232</v>
      </c>
      <c r="J872" s="26" t="n">
        <f aca="false">_xlfn.MAXIFS(Transaction!$C$2:$C$8421,Transaction!$B$2:$B$8421,A872)</f>
        <v>46232</v>
      </c>
      <c r="K872" s="6" t="n">
        <f aca="false">COUNTIF(Transaction!$B$2:$B$8421,A872)</f>
        <v>1</v>
      </c>
      <c r="L872" s="10" t="n">
        <f aca="false">SUMIF(Transaction!$B$2:$B$8421,A872,Transaction!$H$2:$H$8421)</f>
        <v>354</v>
      </c>
      <c r="M872" s="6" t="n">
        <f aca="false">Summary!$B$3-J872</f>
        <v>34</v>
      </c>
      <c r="N872" s="6" t="str">
        <f aca="false">IF(K872&gt;1,"Yes","No")</f>
        <v>No</v>
      </c>
      <c r="O872" s="6" t="s">
        <v>47</v>
      </c>
    </row>
    <row r="873" customFormat="false" ht="15" hidden="false" customHeight="false" outlineLevel="0" collapsed="false">
      <c r="A873" s="6" t="s">
        <v>1855</v>
      </c>
      <c r="B873" s="6" t="s">
        <v>1856</v>
      </c>
      <c r="C873" s="6" t="s">
        <v>85</v>
      </c>
      <c r="D873" s="6" t="n">
        <v>33</v>
      </c>
      <c r="E873" s="6" t="s">
        <v>180</v>
      </c>
      <c r="F873" s="6" t="s">
        <v>181</v>
      </c>
      <c r="G873" s="26" t="n">
        <v>46091</v>
      </c>
      <c r="H873" s="6" t="s">
        <v>102</v>
      </c>
      <c r="I873" s="26" t="n">
        <f aca="false">_xlfn.MINIFS(Transaction!$C$2:$C$8421,Transaction!$B$2:$B$8421,A873)</f>
        <v>46112</v>
      </c>
      <c r="J873" s="26" t="n">
        <f aca="false">_xlfn.MAXIFS(Transaction!$C$2:$C$8421,Transaction!$B$2:$B$8421,A873)</f>
        <v>46246</v>
      </c>
      <c r="K873" s="6" t="n">
        <f aca="false">COUNTIF(Transaction!$B$2:$B$8421,A873)</f>
        <v>7</v>
      </c>
      <c r="L873" s="10" t="n">
        <f aca="false">SUMIF(Transaction!$B$2:$B$8421,A873,Transaction!$H$2:$H$8421)</f>
        <v>16244</v>
      </c>
      <c r="M873" s="6" t="n">
        <f aca="false">Summary!$B$3-J873</f>
        <v>20</v>
      </c>
      <c r="N873" s="6" t="str">
        <f aca="false">IF(K873&gt;1,"Yes","No")</f>
        <v>Yes</v>
      </c>
      <c r="O873" s="6" t="s">
        <v>45</v>
      </c>
    </row>
    <row r="874" customFormat="false" ht="15" hidden="false" customHeight="false" outlineLevel="0" collapsed="false">
      <c r="A874" s="6" t="s">
        <v>1857</v>
      </c>
      <c r="B874" s="6" t="s">
        <v>1858</v>
      </c>
      <c r="C874" s="6" t="s">
        <v>85</v>
      </c>
      <c r="D874" s="6" t="n">
        <v>26</v>
      </c>
      <c r="E874" s="6" t="s">
        <v>105</v>
      </c>
      <c r="F874" s="6" t="s">
        <v>106</v>
      </c>
      <c r="G874" s="26" t="n">
        <v>46042</v>
      </c>
      <c r="H874" s="6" t="s">
        <v>88</v>
      </c>
      <c r="I874" s="26" t="n">
        <f aca="false">_xlfn.MINIFS(Transaction!$C$2:$C$8421,Transaction!$B$2:$B$8421,A874)</f>
        <v>46064</v>
      </c>
      <c r="J874" s="26" t="n">
        <f aca="false">_xlfn.MAXIFS(Transaction!$C$2:$C$8421,Transaction!$B$2:$B$8421,A874)</f>
        <v>46210</v>
      </c>
      <c r="K874" s="6" t="n">
        <f aca="false">COUNTIF(Transaction!$B$2:$B$8421,A874)</f>
        <v>3</v>
      </c>
      <c r="L874" s="10" t="n">
        <f aca="false">SUMIF(Transaction!$B$2:$B$8421,A874,Transaction!$H$2:$H$8421)</f>
        <v>5123</v>
      </c>
      <c r="M874" s="6" t="n">
        <f aca="false">Summary!$B$3-J874</f>
        <v>56</v>
      </c>
      <c r="N874" s="6" t="str">
        <f aca="false">IF(K874&gt;1,"Yes","No")</f>
        <v>Yes</v>
      </c>
      <c r="O874" s="6" t="s">
        <v>46</v>
      </c>
    </row>
    <row r="875" customFormat="false" ht="15" hidden="false" customHeight="false" outlineLevel="0" collapsed="false">
      <c r="A875" s="6" t="s">
        <v>1859</v>
      </c>
      <c r="B875" s="6" t="s">
        <v>1860</v>
      </c>
      <c r="C875" s="6" t="s">
        <v>85</v>
      </c>
      <c r="D875" s="6" t="n">
        <v>42</v>
      </c>
      <c r="E875" s="6" t="s">
        <v>105</v>
      </c>
      <c r="F875" s="6" t="s">
        <v>106</v>
      </c>
      <c r="G875" s="26" t="n">
        <v>46071</v>
      </c>
      <c r="H875" s="6" t="s">
        <v>88</v>
      </c>
      <c r="I875" s="26" t="n">
        <f aca="false">_xlfn.MINIFS(Transaction!$C$2:$C$8421,Transaction!$B$2:$B$8421,A875)</f>
        <v>46138</v>
      </c>
      <c r="J875" s="26" t="n">
        <f aca="false">_xlfn.MAXIFS(Transaction!$C$2:$C$8421,Transaction!$B$2:$B$8421,A875)</f>
        <v>46240</v>
      </c>
      <c r="K875" s="6" t="n">
        <f aca="false">COUNTIF(Transaction!$B$2:$B$8421,A875)</f>
        <v>3</v>
      </c>
      <c r="L875" s="10" t="n">
        <f aca="false">SUMIF(Transaction!$B$2:$B$8421,A875,Transaction!$H$2:$H$8421)</f>
        <v>1665</v>
      </c>
      <c r="M875" s="6" t="n">
        <f aca="false">Summary!$B$3-J875</f>
        <v>26</v>
      </c>
      <c r="N875" s="6" t="str">
        <f aca="false">IF(K875&gt;1,"Yes","No")</f>
        <v>Yes</v>
      </c>
      <c r="O875" s="6" t="s">
        <v>46</v>
      </c>
    </row>
    <row r="876" customFormat="false" ht="15" hidden="false" customHeight="false" outlineLevel="0" collapsed="false">
      <c r="A876" s="6" t="s">
        <v>1861</v>
      </c>
      <c r="B876" s="6" t="s">
        <v>1862</v>
      </c>
      <c r="C876" s="6" t="s">
        <v>85</v>
      </c>
      <c r="D876" s="6" t="n">
        <v>18</v>
      </c>
      <c r="E876" s="6" t="s">
        <v>95</v>
      </c>
      <c r="F876" s="6" t="s">
        <v>95</v>
      </c>
      <c r="G876" s="26" t="n">
        <v>46105</v>
      </c>
      <c r="H876" s="6" t="s">
        <v>78</v>
      </c>
      <c r="I876" s="26" t="n">
        <f aca="false">_xlfn.MINIFS(Transaction!$C$2:$C$8421,Transaction!$B$2:$B$8421,A876)</f>
        <v>46180</v>
      </c>
      <c r="J876" s="26" t="n">
        <f aca="false">_xlfn.MAXIFS(Transaction!$C$2:$C$8421,Transaction!$B$2:$B$8421,A876)</f>
        <v>46180</v>
      </c>
      <c r="K876" s="6" t="n">
        <f aca="false">COUNTIF(Transaction!$B$2:$B$8421,A876)</f>
        <v>1</v>
      </c>
      <c r="L876" s="10" t="n">
        <f aca="false">SUMIF(Transaction!$B$2:$B$8421,A876,Transaction!$H$2:$H$8421)</f>
        <v>1761</v>
      </c>
      <c r="M876" s="6" t="n">
        <f aca="false">Summary!$B$3-J876</f>
        <v>86</v>
      </c>
      <c r="N876" s="6" t="str">
        <f aca="false">IF(K876&gt;1,"Yes","No")</f>
        <v>No</v>
      </c>
      <c r="O876" s="6" t="s">
        <v>47</v>
      </c>
    </row>
    <row r="877" customFormat="false" ht="15" hidden="false" customHeight="false" outlineLevel="0" collapsed="false">
      <c r="A877" s="6" t="s">
        <v>1863</v>
      </c>
      <c r="B877" s="6" t="s">
        <v>1864</v>
      </c>
      <c r="C877" s="6" t="s">
        <v>85</v>
      </c>
      <c r="D877" s="6" t="n">
        <v>40</v>
      </c>
      <c r="E877" s="6" t="s">
        <v>206</v>
      </c>
      <c r="F877" s="6" t="s">
        <v>106</v>
      </c>
      <c r="G877" s="26" t="n">
        <v>45995</v>
      </c>
      <c r="H877" s="6" t="s">
        <v>78</v>
      </c>
      <c r="I877" s="26" t="n">
        <f aca="false">_xlfn.MINIFS(Transaction!$C$2:$C$8421,Transaction!$B$2:$B$8421,A877)</f>
        <v>46085</v>
      </c>
      <c r="J877" s="26" t="n">
        <f aca="false">_xlfn.MAXIFS(Transaction!$C$2:$C$8421,Transaction!$B$2:$B$8421,A877)</f>
        <v>46257</v>
      </c>
      <c r="K877" s="6" t="n">
        <f aca="false">COUNTIF(Transaction!$B$2:$B$8421,A877)</f>
        <v>9</v>
      </c>
      <c r="L877" s="10" t="n">
        <f aca="false">SUMIF(Transaction!$B$2:$B$8421,A877,Transaction!$H$2:$H$8421)</f>
        <v>41373</v>
      </c>
      <c r="M877" s="6" t="n">
        <f aca="false">Summary!$B$3-J877</f>
        <v>9</v>
      </c>
      <c r="N877" s="6" t="str">
        <f aca="false">IF(K877&gt;1,"Yes","No")</f>
        <v>Yes</v>
      </c>
      <c r="O877" s="6" t="s">
        <v>45</v>
      </c>
    </row>
    <row r="878" customFormat="false" ht="15" hidden="false" customHeight="false" outlineLevel="0" collapsed="false">
      <c r="A878" s="6" t="s">
        <v>1865</v>
      </c>
      <c r="B878" s="6" t="s">
        <v>1866</v>
      </c>
      <c r="C878" s="6" t="s">
        <v>85</v>
      </c>
      <c r="D878" s="6" t="n">
        <v>40</v>
      </c>
      <c r="E878" s="6" t="s">
        <v>206</v>
      </c>
      <c r="F878" s="6" t="s">
        <v>106</v>
      </c>
      <c r="G878" s="26" t="n">
        <v>46065</v>
      </c>
      <c r="H878" s="6" t="s">
        <v>78</v>
      </c>
      <c r="I878" s="26" t="n">
        <f aca="false">_xlfn.MINIFS(Transaction!$C$2:$C$8421,Transaction!$B$2:$B$8421,A878)</f>
        <v>46084</v>
      </c>
      <c r="J878" s="26" t="n">
        <f aca="false">_xlfn.MAXIFS(Transaction!$C$2:$C$8421,Transaction!$B$2:$B$8421,A878)</f>
        <v>46258</v>
      </c>
      <c r="K878" s="6" t="n">
        <f aca="false">COUNTIF(Transaction!$B$2:$B$8421,A878)</f>
        <v>10</v>
      </c>
      <c r="L878" s="10" t="n">
        <f aca="false">SUMIF(Transaction!$B$2:$B$8421,A878,Transaction!$H$2:$H$8421)</f>
        <v>21288</v>
      </c>
      <c r="M878" s="6" t="n">
        <f aca="false">Summary!$B$3-J878</f>
        <v>8</v>
      </c>
      <c r="N878" s="6" t="str">
        <f aca="false">IF(K878&gt;1,"Yes","No")</f>
        <v>Yes</v>
      </c>
      <c r="O878" s="6" t="s">
        <v>45</v>
      </c>
    </row>
    <row r="879" customFormat="false" ht="15" hidden="false" customHeight="false" outlineLevel="0" collapsed="false">
      <c r="A879" s="6" t="s">
        <v>1867</v>
      </c>
      <c r="B879" s="6" t="s">
        <v>1868</v>
      </c>
      <c r="C879" s="6" t="s">
        <v>85</v>
      </c>
      <c r="D879" s="6" t="n">
        <v>39</v>
      </c>
      <c r="E879" s="6" t="s">
        <v>134</v>
      </c>
      <c r="F879" s="6" t="s">
        <v>135</v>
      </c>
      <c r="G879" s="26" t="n">
        <v>46026</v>
      </c>
      <c r="H879" s="6" t="s">
        <v>123</v>
      </c>
      <c r="I879" s="26" t="n">
        <f aca="false">_xlfn.MINIFS(Transaction!$C$2:$C$8421,Transaction!$B$2:$B$8421,A879)</f>
        <v>46076</v>
      </c>
      <c r="J879" s="26" t="n">
        <f aca="false">_xlfn.MAXIFS(Transaction!$C$2:$C$8421,Transaction!$B$2:$B$8421,A879)</f>
        <v>46254</v>
      </c>
      <c r="K879" s="6" t="n">
        <f aca="false">COUNTIF(Transaction!$B$2:$B$8421,A879)</f>
        <v>3</v>
      </c>
      <c r="L879" s="10" t="n">
        <f aca="false">SUMIF(Transaction!$B$2:$B$8421,A879,Transaction!$H$2:$H$8421)</f>
        <v>3853</v>
      </c>
      <c r="M879" s="6" t="n">
        <f aca="false">Summary!$B$3-J879</f>
        <v>12</v>
      </c>
      <c r="N879" s="6" t="str">
        <f aca="false">IF(K879&gt;1,"Yes","No")</f>
        <v>Yes</v>
      </c>
      <c r="O879" s="6" t="s">
        <v>46</v>
      </c>
    </row>
    <row r="880" customFormat="false" ht="15" hidden="false" customHeight="false" outlineLevel="0" collapsed="false">
      <c r="A880" s="6" t="s">
        <v>1869</v>
      </c>
      <c r="B880" s="6" t="s">
        <v>1870</v>
      </c>
      <c r="C880" s="6" t="s">
        <v>85</v>
      </c>
      <c r="D880" s="6" t="n">
        <v>41</v>
      </c>
      <c r="E880" s="6" t="s">
        <v>86</v>
      </c>
      <c r="F880" s="6" t="s">
        <v>87</v>
      </c>
      <c r="G880" s="26" t="n">
        <v>46224</v>
      </c>
      <c r="H880" s="6" t="s">
        <v>102</v>
      </c>
      <c r="I880" s="26" t="n">
        <f aca="false">_xlfn.MINIFS(Transaction!$C$2:$C$8421,Transaction!$B$2:$B$8421,A880)</f>
        <v>46228</v>
      </c>
      <c r="J880" s="26" t="n">
        <f aca="false">_xlfn.MAXIFS(Transaction!$C$2:$C$8421,Transaction!$B$2:$B$8421,A880)</f>
        <v>46228</v>
      </c>
      <c r="K880" s="6" t="n">
        <f aca="false">COUNTIF(Transaction!$B$2:$B$8421,A880)</f>
        <v>1</v>
      </c>
      <c r="L880" s="10" t="n">
        <f aca="false">SUMIF(Transaction!$B$2:$B$8421,A880,Transaction!$H$2:$H$8421)</f>
        <v>6878</v>
      </c>
      <c r="M880" s="6" t="n">
        <f aca="false">Summary!$B$3-J880</f>
        <v>38</v>
      </c>
      <c r="N880" s="6" t="str">
        <f aca="false">IF(K880&gt;1,"Yes","No")</f>
        <v>No</v>
      </c>
      <c r="O880" s="6" t="s">
        <v>47</v>
      </c>
    </row>
    <row r="881" customFormat="false" ht="15" hidden="false" customHeight="false" outlineLevel="0" collapsed="false">
      <c r="A881" s="6" t="s">
        <v>1871</v>
      </c>
      <c r="B881" s="6" t="s">
        <v>1872</v>
      </c>
      <c r="C881" s="6" t="s">
        <v>85</v>
      </c>
      <c r="D881" s="6" t="n">
        <v>33</v>
      </c>
      <c r="E881" s="6" t="s">
        <v>146</v>
      </c>
      <c r="F881" s="6" t="s">
        <v>147</v>
      </c>
      <c r="G881" s="26" t="n">
        <v>45990</v>
      </c>
      <c r="H881" s="6" t="s">
        <v>92</v>
      </c>
      <c r="I881" s="26" t="n">
        <f aca="false">_xlfn.MINIFS(Transaction!$C$2:$C$8421,Transaction!$B$2:$B$8421,A881)</f>
        <v>46048</v>
      </c>
      <c r="J881" s="26" t="n">
        <f aca="false">_xlfn.MAXIFS(Transaction!$C$2:$C$8421,Transaction!$B$2:$B$8421,A881)</f>
        <v>46184</v>
      </c>
      <c r="K881" s="6" t="n">
        <f aca="false">COUNTIF(Transaction!$B$2:$B$8421,A881)</f>
        <v>7</v>
      </c>
      <c r="L881" s="10" t="n">
        <f aca="false">SUMIF(Transaction!$B$2:$B$8421,A881,Transaction!$H$2:$H$8421)</f>
        <v>15604</v>
      </c>
      <c r="M881" s="6" t="n">
        <f aca="false">Summary!$B$3-J881</f>
        <v>82</v>
      </c>
      <c r="N881" s="6" t="str">
        <f aca="false">IF(K881&gt;1,"Yes","No")</f>
        <v>Yes</v>
      </c>
      <c r="O881" s="6" t="s">
        <v>46</v>
      </c>
    </row>
    <row r="882" customFormat="false" ht="15" hidden="false" customHeight="false" outlineLevel="0" collapsed="false">
      <c r="A882" s="6" t="s">
        <v>1873</v>
      </c>
      <c r="B882" s="6" t="s">
        <v>1874</v>
      </c>
      <c r="C882" s="6" t="s">
        <v>75</v>
      </c>
      <c r="D882" s="6" t="n">
        <v>26</v>
      </c>
      <c r="E882" s="6" t="s">
        <v>146</v>
      </c>
      <c r="F882" s="6" t="s">
        <v>147</v>
      </c>
      <c r="G882" s="26" t="n">
        <v>46199</v>
      </c>
      <c r="H882" s="6" t="s">
        <v>102</v>
      </c>
      <c r="I882" s="26" t="n">
        <f aca="false">_xlfn.MINIFS(Transaction!$C$2:$C$8421,Transaction!$B$2:$B$8421,A882)</f>
        <v>46260</v>
      </c>
      <c r="J882" s="26" t="n">
        <f aca="false">_xlfn.MAXIFS(Transaction!$C$2:$C$8421,Transaction!$B$2:$B$8421,A882)</f>
        <v>46260</v>
      </c>
      <c r="K882" s="6" t="n">
        <f aca="false">COUNTIF(Transaction!$B$2:$B$8421,A882)</f>
        <v>1</v>
      </c>
      <c r="L882" s="10" t="n">
        <f aca="false">SUMIF(Transaction!$B$2:$B$8421,A882,Transaction!$H$2:$H$8421)</f>
        <v>825</v>
      </c>
      <c r="M882" s="6" t="n">
        <f aca="false">Summary!$B$3-J882</f>
        <v>6</v>
      </c>
      <c r="N882" s="6" t="str">
        <f aca="false">IF(K882&gt;1,"Yes","No")</f>
        <v>No</v>
      </c>
      <c r="O882" s="6" t="s">
        <v>47</v>
      </c>
    </row>
    <row r="883" customFormat="false" ht="15" hidden="false" customHeight="false" outlineLevel="0" collapsed="false">
      <c r="A883" s="6" t="s">
        <v>1875</v>
      </c>
      <c r="B883" s="6" t="s">
        <v>1876</v>
      </c>
      <c r="C883" s="6" t="s">
        <v>75</v>
      </c>
      <c r="D883" s="6" t="n">
        <v>56</v>
      </c>
      <c r="E883" s="6" t="s">
        <v>105</v>
      </c>
      <c r="F883" s="6" t="s">
        <v>106</v>
      </c>
      <c r="G883" s="26" t="n">
        <v>45978</v>
      </c>
      <c r="H883" s="6" t="s">
        <v>78</v>
      </c>
      <c r="I883" s="26" t="n">
        <f aca="false">_xlfn.MINIFS(Transaction!$C$2:$C$8421,Transaction!$B$2:$B$8421,A883)</f>
        <v>46032</v>
      </c>
      <c r="J883" s="26" t="n">
        <f aca="false">_xlfn.MAXIFS(Transaction!$C$2:$C$8421,Transaction!$B$2:$B$8421,A883)</f>
        <v>46251</v>
      </c>
      <c r="K883" s="6" t="n">
        <f aca="false">COUNTIF(Transaction!$B$2:$B$8421,A883)</f>
        <v>10</v>
      </c>
      <c r="L883" s="10" t="n">
        <f aca="false">SUMIF(Transaction!$B$2:$B$8421,A883,Transaction!$H$2:$H$8421)</f>
        <v>18764</v>
      </c>
      <c r="M883" s="6" t="n">
        <f aca="false">Summary!$B$3-J883</f>
        <v>15</v>
      </c>
      <c r="N883" s="6" t="str">
        <f aca="false">IF(K883&gt;1,"Yes","No")</f>
        <v>Yes</v>
      </c>
      <c r="O883" s="6" t="s">
        <v>45</v>
      </c>
    </row>
    <row r="884" customFormat="false" ht="15" hidden="false" customHeight="false" outlineLevel="0" collapsed="false">
      <c r="A884" s="6" t="s">
        <v>1877</v>
      </c>
      <c r="B884" s="6" t="s">
        <v>1878</v>
      </c>
      <c r="C884" s="6" t="s">
        <v>85</v>
      </c>
      <c r="D884" s="6" t="n">
        <v>48</v>
      </c>
      <c r="E884" s="6" t="s">
        <v>95</v>
      </c>
      <c r="F884" s="6" t="s">
        <v>95</v>
      </c>
      <c r="G884" s="26" t="n">
        <v>46039</v>
      </c>
      <c r="H884" s="6" t="s">
        <v>123</v>
      </c>
      <c r="I884" s="26" t="n">
        <f aca="false">_xlfn.MINIFS(Transaction!$C$2:$C$8421,Transaction!$B$2:$B$8421,A884)</f>
        <v>46106</v>
      </c>
      <c r="J884" s="26" t="n">
        <f aca="false">_xlfn.MAXIFS(Transaction!$C$2:$C$8421,Transaction!$B$2:$B$8421,A884)</f>
        <v>46106</v>
      </c>
      <c r="K884" s="6" t="n">
        <f aca="false">COUNTIF(Transaction!$B$2:$B$8421,A884)</f>
        <v>1</v>
      </c>
      <c r="L884" s="10" t="n">
        <f aca="false">SUMIF(Transaction!$B$2:$B$8421,A884,Transaction!$H$2:$H$8421)</f>
        <v>1121</v>
      </c>
      <c r="M884" s="6" t="n">
        <f aca="false">Summary!$B$3-J884</f>
        <v>160</v>
      </c>
      <c r="N884" s="6" t="str">
        <f aca="false">IF(K884&gt;1,"Yes","No")</f>
        <v>No</v>
      </c>
      <c r="O884" s="6" t="s">
        <v>49</v>
      </c>
    </row>
    <row r="885" customFormat="false" ht="15" hidden="false" customHeight="false" outlineLevel="0" collapsed="false">
      <c r="A885" s="6" t="s">
        <v>1879</v>
      </c>
      <c r="B885" s="6" t="s">
        <v>1880</v>
      </c>
      <c r="C885" s="6" t="s">
        <v>85</v>
      </c>
      <c r="D885" s="6" t="n">
        <v>33</v>
      </c>
      <c r="E885" s="6" t="s">
        <v>76</v>
      </c>
      <c r="F885" s="6" t="s">
        <v>77</v>
      </c>
      <c r="G885" s="26" t="n">
        <v>45992</v>
      </c>
      <c r="H885" s="6" t="s">
        <v>115</v>
      </c>
      <c r="I885" s="26" t="n">
        <f aca="false">_xlfn.MINIFS(Transaction!$C$2:$C$8421,Transaction!$B$2:$B$8421,A885)</f>
        <v>46024</v>
      </c>
      <c r="J885" s="26" t="n">
        <f aca="false">_xlfn.MAXIFS(Transaction!$C$2:$C$8421,Transaction!$B$2:$B$8421,A885)</f>
        <v>46176</v>
      </c>
      <c r="K885" s="6" t="n">
        <f aca="false">COUNTIF(Transaction!$B$2:$B$8421,A885)</f>
        <v>8</v>
      </c>
      <c r="L885" s="10" t="n">
        <f aca="false">SUMIF(Transaction!$B$2:$B$8421,A885,Transaction!$H$2:$H$8421)</f>
        <v>15100</v>
      </c>
      <c r="M885" s="6" t="n">
        <f aca="false">Summary!$B$3-J885</f>
        <v>90</v>
      </c>
      <c r="N885" s="6" t="str">
        <f aca="false">IF(K885&gt;1,"Yes","No")</f>
        <v>Yes</v>
      </c>
      <c r="O885" s="6" t="s">
        <v>46</v>
      </c>
    </row>
    <row r="886" customFormat="false" ht="15" hidden="false" customHeight="false" outlineLevel="0" collapsed="false">
      <c r="A886" s="6" t="s">
        <v>1881</v>
      </c>
      <c r="B886" s="6" t="s">
        <v>1882</v>
      </c>
      <c r="C886" s="6" t="s">
        <v>85</v>
      </c>
      <c r="D886" s="6" t="n">
        <v>32</v>
      </c>
      <c r="E886" s="6" t="s">
        <v>118</v>
      </c>
      <c r="F886" s="6" t="s">
        <v>77</v>
      </c>
      <c r="G886" s="26" t="n">
        <v>46133</v>
      </c>
      <c r="H886" s="6" t="s">
        <v>92</v>
      </c>
      <c r="I886" s="26" t="n">
        <f aca="false">_xlfn.MINIFS(Transaction!$C$2:$C$8421,Transaction!$B$2:$B$8421,A886)</f>
        <v>46163</v>
      </c>
      <c r="J886" s="26" t="n">
        <f aca="false">_xlfn.MAXIFS(Transaction!$C$2:$C$8421,Transaction!$B$2:$B$8421,A886)</f>
        <v>46163</v>
      </c>
      <c r="K886" s="6" t="n">
        <f aca="false">COUNTIF(Transaction!$B$2:$B$8421,A886)</f>
        <v>1</v>
      </c>
      <c r="L886" s="10" t="n">
        <f aca="false">SUMIF(Transaction!$B$2:$B$8421,A886,Transaction!$H$2:$H$8421)</f>
        <v>1076</v>
      </c>
      <c r="M886" s="6" t="n">
        <f aca="false">Summary!$B$3-J886</f>
        <v>103</v>
      </c>
      <c r="N886" s="6" t="str">
        <f aca="false">IF(K886&gt;1,"Yes","No")</f>
        <v>No</v>
      </c>
      <c r="O886" s="6" t="s">
        <v>48</v>
      </c>
    </row>
    <row r="887" customFormat="false" ht="15" hidden="false" customHeight="false" outlineLevel="0" collapsed="false">
      <c r="A887" s="6" t="s">
        <v>1883</v>
      </c>
      <c r="B887" s="6" t="s">
        <v>1884</v>
      </c>
      <c r="C887" s="6" t="s">
        <v>85</v>
      </c>
      <c r="D887" s="6" t="n">
        <v>32</v>
      </c>
      <c r="E887" s="6" t="s">
        <v>81</v>
      </c>
      <c r="F887" s="6" t="s">
        <v>82</v>
      </c>
      <c r="G887" s="26" t="n">
        <v>45972</v>
      </c>
      <c r="H887" s="6" t="s">
        <v>88</v>
      </c>
      <c r="I887" s="26" t="n">
        <f aca="false">_xlfn.MINIFS(Transaction!$C$2:$C$8421,Transaction!$B$2:$B$8421,A887)</f>
        <v>46034</v>
      </c>
      <c r="J887" s="26" t="n">
        <f aca="false">_xlfn.MAXIFS(Transaction!$C$2:$C$8421,Transaction!$B$2:$B$8421,A887)</f>
        <v>46226</v>
      </c>
      <c r="K887" s="6" t="n">
        <f aca="false">COUNTIF(Transaction!$B$2:$B$8421,A887)</f>
        <v>3</v>
      </c>
      <c r="L887" s="10" t="n">
        <f aca="false">SUMIF(Transaction!$B$2:$B$8421,A887,Transaction!$H$2:$H$8421)</f>
        <v>1871</v>
      </c>
      <c r="M887" s="6" t="n">
        <f aca="false">Summary!$B$3-J887</f>
        <v>40</v>
      </c>
      <c r="N887" s="6" t="str">
        <f aca="false">IF(K887&gt;1,"Yes","No")</f>
        <v>Yes</v>
      </c>
      <c r="O887" s="6" t="s">
        <v>46</v>
      </c>
    </row>
    <row r="888" customFormat="false" ht="15" hidden="false" customHeight="false" outlineLevel="0" collapsed="false">
      <c r="A888" s="6" t="s">
        <v>1885</v>
      </c>
      <c r="B888" s="6" t="s">
        <v>1886</v>
      </c>
      <c r="C888" s="6" t="s">
        <v>85</v>
      </c>
      <c r="D888" s="6" t="n">
        <v>34</v>
      </c>
      <c r="E888" s="6" t="s">
        <v>95</v>
      </c>
      <c r="F888" s="6" t="s">
        <v>95</v>
      </c>
      <c r="G888" s="26" t="n">
        <v>46012</v>
      </c>
      <c r="H888" s="6" t="s">
        <v>102</v>
      </c>
      <c r="I888" s="26" t="n">
        <f aca="false">_xlfn.MINIFS(Transaction!$C$2:$C$8421,Transaction!$B$2:$B$8421,A888)</f>
        <v>46094</v>
      </c>
      <c r="J888" s="26" t="n">
        <f aca="false">_xlfn.MAXIFS(Transaction!$C$2:$C$8421,Transaction!$B$2:$B$8421,A888)</f>
        <v>46197</v>
      </c>
      <c r="K888" s="6" t="n">
        <f aca="false">COUNTIF(Transaction!$B$2:$B$8421,A888)</f>
        <v>5</v>
      </c>
      <c r="L888" s="10" t="n">
        <f aca="false">SUMIF(Transaction!$B$2:$B$8421,A888,Transaction!$H$2:$H$8421)</f>
        <v>8887</v>
      </c>
      <c r="M888" s="6" t="n">
        <f aca="false">Summary!$B$3-J888</f>
        <v>69</v>
      </c>
      <c r="N888" s="6" t="str">
        <f aca="false">IF(K888&gt;1,"Yes","No")</f>
        <v>Yes</v>
      </c>
      <c r="O888" s="6" t="s">
        <v>46</v>
      </c>
    </row>
    <row r="889" customFormat="false" ht="15" hidden="false" customHeight="false" outlineLevel="0" collapsed="false">
      <c r="A889" s="6" t="s">
        <v>1887</v>
      </c>
      <c r="B889" s="6" t="s">
        <v>1888</v>
      </c>
      <c r="C889" s="6" t="s">
        <v>75</v>
      </c>
      <c r="D889" s="6" t="n">
        <v>53</v>
      </c>
      <c r="E889" s="6" t="s">
        <v>86</v>
      </c>
      <c r="F889" s="6" t="s">
        <v>87</v>
      </c>
      <c r="G889" s="26" t="n">
        <v>45996</v>
      </c>
      <c r="H889" s="6" t="s">
        <v>88</v>
      </c>
      <c r="I889" s="26" t="n">
        <f aca="false">_xlfn.MINIFS(Transaction!$C$2:$C$8421,Transaction!$B$2:$B$8421,A889)</f>
        <v>46024</v>
      </c>
      <c r="J889" s="26" t="n">
        <f aca="false">_xlfn.MAXIFS(Transaction!$C$2:$C$8421,Transaction!$B$2:$B$8421,A889)</f>
        <v>46194</v>
      </c>
      <c r="K889" s="6" t="n">
        <f aca="false">COUNTIF(Transaction!$B$2:$B$8421,A889)</f>
        <v>7</v>
      </c>
      <c r="L889" s="10" t="n">
        <f aca="false">SUMIF(Transaction!$B$2:$B$8421,A889,Transaction!$H$2:$H$8421)</f>
        <v>14675</v>
      </c>
      <c r="M889" s="6" t="n">
        <f aca="false">Summary!$B$3-J889</f>
        <v>72</v>
      </c>
      <c r="N889" s="6" t="str">
        <f aca="false">IF(K889&gt;1,"Yes","No")</f>
        <v>Yes</v>
      </c>
      <c r="O889" s="6" t="s">
        <v>46</v>
      </c>
    </row>
    <row r="890" customFormat="false" ht="15" hidden="false" customHeight="false" outlineLevel="0" collapsed="false">
      <c r="A890" s="6" t="s">
        <v>1889</v>
      </c>
      <c r="B890" s="6" t="s">
        <v>1890</v>
      </c>
      <c r="C890" s="6" t="s">
        <v>75</v>
      </c>
      <c r="D890" s="6" t="n">
        <v>39</v>
      </c>
      <c r="E890" s="6" t="s">
        <v>134</v>
      </c>
      <c r="F890" s="6" t="s">
        <v>135</v>
      </c>
      <c r="G890" s="26" t="n">
        <v>46162</v>
      </c>
      <c r="H890" s="6" t="s">
        <v>102</v>
      </c>
      <c r="I890" s="26" t="n">
        <f aca="false">_xlfn.MINIFS(Transaction!$C$2:$C$8421,Transaction!$B$2:$B$8421,A890)</f>
        <v>46187</v>
      </c>
      <c r="J890" s="26" t="n">
        <f aca="false">_xlfn.MAXIFS(Transaction!$C$2:$C$8421,Transaction!$B$2:$B$8421,A890)</f>
        <v>46187</v>
      </c>
      <c r="K890" s="6" t="n">
        <f aca="false">COUNTIF(Transaction!$B$2:$B$8421,A890)</f>
        <v>1</v>
      </c>
      <c r="L890" s="10" t="n">
        <f aca="false">SUMIF(Transaction!$B$2:$B$8421,A890,Transaction!$H$2:$H$8421)</f>
        <v>774</v>
      </c>
      <c r="M890" s="6" t="n">
        <f aca="false">Summary!$B$3-J890</f>
        <v>79</v>
      </c>
      <c r="N890" s="6" t="str">
        <f aca="false">IF(K890&gt;1,"Yes","No")</f>
        <v>No</v>
      </c>
      <c r="O890" s="6" t="s">
        <v>47</v>
      </c>
    </row>
    <row r="891" customFormat="false" ht="15" hidden="false" customHeight="false" outlineLevel="0" collapsed="false">
      <c r="A891" s="6" t="s">
        <v>1891</v>
      </c>
      <c r="B891" s="6" t="s">
        <v>1892</v>
      </c>
      <c r="C891" s="6" t="s">
        <v>75</v>
      </c>
      <c r="D891" s="6" t="n">
        <v>26</v>
      </c>
      <c r="E891" s="6" t="s">
        <v>176</v>
      </c>
      <c r="F891" s="6" t="s">
        <v>177</v>
      </c>
      <c r="G891" s="26" t="n">
        <v>46016</v>
      </c>
      <c r="H891" s="6" t="s">
        <v>115</v>
      </c>
      <c r="I891" s="26" t="n">
        <f aca="false">_xlfn.MINIFS(Transaction!$C$2:$C$8421,Transaction!$B$2:$B$8421,A891)</f>
        <v>46060</v>
      </c>
      <c r="J891" s="26" t="n">
        <f aca="false">_xlfn.MAXIFS(Transaction!$C$2:$C$8421,Transaction!$B$2:$B$8421,A891)</f>
        <v>46229</v>
      </c>
      <c r="K891" s="6" t="n">
        <f aca="false">COUNTIF(Transaction!$B$2:$B$8421,A891)</f>
        <v>6</v>
      </c>
      <c r="L891" s="10" t="n">
        <f aca="false">SUMIF(Transaction!$B$2:$B$8421,A891,Transaction!$H$2:$H$8421)</f>
        <v>16678</v>
      </c>
      <c r="M891" s="6" t="n">
        <f aca="false">Summary!$B$3-J891</f>
        <v>37</v>
      </c>
      <c r="N891" s="6" t="str">
        <f aca="false">IF(K891&gt;1,"Yes","No")</f>
        <v>Yes</v>
      </c>
      <c r="O891" s="6" t="s">
        <v>46</v>
      </c>
    </row>
    <row r="892" customFormat="false" ht="15" hidden="false" customHeight="false" outlineLevel="0" collapsed="false">
      <c r="A892" s="6" t="s">
        <v>1893</v>
      </c>
      <c r="B892" s="6" t="s">
        <v>1894</v>
      </c>
      <c r="C892" s="6" t="s">
        <v>85</v>
      </c>
      <c r="D892" s="6" t="n">
        <v>29</v>
      </c>
      <c r="E892" s="6" t="s">
        <v>95</v>
      </c>
      <c r="F892" s="6" t="s">
        <v>95</v>
      </c>
      <c r="G892" s="26" t="n">
        <v>46067</v>
      </c>
      <c r="H892" s="6" t="s">
        <v>88</v>
      </c>
      <c r="I892" s="26" t="n">
        <f aca="false">_xlfn.MINIFS(Transaction!$C$2:$C$8421,Transaction!$B$2:$B$8421,A892)</f>
        <v>46087</v>
      </c>
      <c r="J892" s="26" t="n">
        <f aca="false">_xlfn.MAXIFS(Transaction!$C$2:$C$8421,Transaction!$B$2:$B$8421,A892)</f>
        <v>46087</v>
      </c>
      <c r="K892" s="6" t="n">
        <f aca="false">COUNTIF(Transaction!$B$2:$B$8421,A892)</f>
        <v>1</v>
      </c>
      <c r="L892" s="10" t="n">
        <f aca="false">SUMIF(Transaction!$B$2:$B$8421,A892,Transaction!$H$2:$H$8421)</f>
        <v>1393</v>
      </c>
      <c r="M892" s="6" t="n">
        <f aca="false">Summary!$B$3-J892</f>
        <v>179</v>
      </c>
      <c r="N892" s="6" t="str">
        <f aca="false">IF(K892&gt;1,"Yes","No")</f>
        <v>No</v>
      </c>
      <c r="O892" s="6" t="s">
        <v>49</v>
      </c>
    </row>
    <row r="893" customFormat="false" ht="15" hidden="false" customHeight="false" outlineLevel="0" collapsed="false">
      <c r="A893" s="6" t="s">
        <v>1895</v>
      </c>
      <c r="B893" s="6" t="s">
        <v>1896</v>
      </c>
      <c r="C893" s="6" t="s">
        <v>85</v>
      </c>
      <c r="D893" s="6" t="n">
        <v>33</v>
      </c>
      <c r="E893" s="6" t="s">
        <v>321</v>
      </c>
      <c r="F893" s="6" t="s">
        <v>321</v>
      </c>
      <c r="G893" s="26" t="n">
        <v>46088</v>
      </c>
      <c r="H893" s="6" t="s">
        <v>115</v>
      </c>
      <c r="I893" s="26" t="n">
        <f aca="false">_xlfn.MINIFS(Transaction!$C$2:$C$8421,Transaction!$B$2:$B$8421,A893)</f>
        <v>46169</v>
      </c>
      <c r="J893" s="26" t="n">
        <f aca="false">_xlfn.MAXIFS(Transaction!$C$2:$C$8421,Transaction!$B$2:$B$8421,A893)</f>
        <v>46169</v>
      </c>
      <c r="K893" s="6" t="n">
        <f aca="false">COUNTIF(Transaction!$B$2:$B$8421,A893)</f>
        <v>1</v>
      </c>
      <c r="L893" s="10" t="n">
        <f aca="false">SUMIF(Transaction!$B$2:$B$8421,A893,Transaction!$H$2:$H$8421)</f>
        <v>4078</v>
      </c>
      <c r="M893" s="6" t="n">
        <f aca="false">Summary!$B$3-J893</f>
        <v>97</v>
      </c>
      <c r="N893" s="6" t="str">
        <f aca="false">IF(K893&gt;1,"Yes","No")</f>
        <v>No</v>
      </c>
      <c r="O893" s="6" t="s">
        <v>48</v>
      </c>
    </row>
    <row r="894" customFormat="false" ht="15" hidden="false" customHeight="false" outlineLevel="0" collapsed="false">
      <c r="A894" s="6" t="s">
        <v>1897</v>
      </c>
      <c r="B894" s="6" t="s">
        <v>1898</v>
      </c>
      <c r="C894" s="6" t="s">
        <v>75</v>
      </c>
      <c r="D894" s="6" t="n">
        <v>23</v>
      </c>
      <c r="E894" s="6" t="s">
        <v>146</v>
      </c>
      <c r="F894" s="6" t="s">
        <v>147</v>
      </c>
      <c r="G894" s="26" t="n">
        <v>46125</v>
      </c>
      <c r="H894" s="6" t="s">
        <v>78</v>
      </c>
      <c r="I894" s="26" t="n">
        <f aca="false">_xlfn.MINIFS(Transaction!$C$2:$C$8421,Transaction!$B$2:$B$8421,A894)</f>
        <v>46193</v>
      </c>
      <c r="J894" s="26" t="n">
        <f aca="false">_xlfn.MAXIFS(Transaction!$C$2:$C$8421,Transaction!$B$2:$B$8421,A894)</f>
        <v>46193</v>
      </c>
      <c r="K894" s="6" t="n">
        <f aca="false">COUNTIF(Transaction!$B$2:$B$8421,A894)</f>
        <v>1</v>
      </c>
      <c r="L894" s="10" t="n">
        <f aca="false">SUMIF(Transaction!$B$2:$B$8421,A894,Transaction!$H$2:$H$8421)</f>
        <v>1068</v>
      </c>
      <c r="M894" s="6" t="n">
        <f aca="false">Summary!$B$3-J894</f>
        <v>73</v>
      </c>
      <c r="N894" s="6" t="str">
        <f aca="false">IF(K894&gt;1,"Yes","No")</f>
        <v>No</v>
      </c>
      <c r="O894" s="6" t="s">
        <v>47</v>
      </c>
    </row>
    <row r="895" customFormat="false" ht="15" hidden="false" customHeight="false" outlineLevel="0" collapsed="false">
      <c r="A895" s="6" t="s">
        <v>1899</v>
      </c>
      <c r="B895" s="6" t="s">
        <v>1900</v>
      </c>
      <c r="C895" s="6" t="s">
        <v>75</v>
      </c>
      <c r="D895" s="6" t="n">
        <v>29</v>
      </c>
      <c r="E895" s="6" t="s">
        <v>95</v>
      </c>
      <c r="F895" s="6" t="s">
        <v>95</v>
      </c>
      <c r="G895" s="26" t="n">
        <v>46085</v>
      </c>
      <c r="H895" s="6" t="s">
        <v>123</v>
      </c>
      <c r="I895" s="26" t="n">
        <f aca="false">_xlfn.MINIFS(Transaction!$C$2:$C$8421,Transaction!$B$2:$B$8421,A895)</f>
        <v>46095</v>
      </c>
      <c r="J895" s="26" t="n">
        <f aca="false">_xlfn.MAXIFS(Transaction!$C$2:$C$8421,Transaction!$B$2:$B$8421,A895)</f>
        <v>46095</v>
      </c>
      <c r="K895" s="6" t="n">
        <f aca="false">COUNTIF(Transaction!$B$2:$B$8421,A895)</f>
        <v>1</v>
      </c>
      <c r="L895" s="10" t="n">
        <f aca="false">SUMIF(Transaction!$B$2:$B$8421,A895,Transaction!$H$2:$H$8421)</f>
        <v>1588</v>
      </c>
      <c r="M895" s="6" t="n">
        <f aca="false">Summary!$B$3-J895</f>
        <v>171</v>
      </c>
      <c r="N895" s="6" t="str">
        <f aca="false">IF(K895&gt;1,"Yes","No")</f>
        <v>No</v>
      </c>
      <c r="O895" s="6" t="s">
        <v>49</v>
      </c>
    </row>
    <row r="896" customFormat="false" ht="15" hidden="false" customHeight="false" outlineLevel="0" collapsed="false">
      <c r="A896" s="6" t="s">
        <v>1901</v>
      </c>
      <c r="B896" s="6" t="s">
        <v>1902</v>
      </c>
      <c r="C896" s="6" t="s">
        <v>85</v>
      </c>
      <c r="D896" s="6" t="n">
        <v>35</v>
      </c>
      <c r="E896" s="6" t="s">
        <v>86</v>
      </c>
      <c r="F896" s="6" t="s">
        <v>87</v>
      </c>
      <c r="G896" s="26" t="n">
        <v>45984</v>
      </c>
      <c r="H896" s="6" t="s">
        <v>102</v>
      </c>
      <c r="I896" s="26" t="n">
        <f aca="false">_xlfn.MINIFS(Transaction!$C$2:$C$8421,Transaction!$B$2:$B$8421,A896)</f>
        <v>46069</v>
      </c>
      <c r="J896" s="26" t="n">
        <f aca="false">_xlfn.MAXIFS(Transaction!$C$2:$C$8421,Transaction!$B$2:$B$8421,A896)</f>
        <v>46258</v>
      </c>
      <c r="K896" s="6" t="n">
        <f aca="false">COUNTIF(Transaction!$B$2:$B$8421,A896)</f>
        <v>3</v>
      </c>
      <c r="L896" s="10" t="n">
        <f aca="false">SUMIF(Transaction!$B$2:$B$8421,A896,Transaction!$H$2:$H$8421)</f>
        <v>24731</v>
      </c>
      <c r="M896" s="6" t="n">
        <f aca="false">Summary!$B$3-J896</f>
        <v>8</v>
      </c>
      <c r="N896" s="6" t="str">
        <f aca="false">IF(K896&gt;1,"Yes","No")</f>
        <v>Yes</v>
      </c>
      <c r="O896" s="6" t="s">
        <v>46</v>
      </c>
    </row>
    <row r="897" customFormat="false" ht="15" hidden="false" customHeight="false" outlineLevel="0" collapsed="false">
      <c r="A897" s="6" t="s">
        <v>1903</v>
      </c>
      <c r="B897" s="6" t="s">
        <v>1904</v>
      </c>
      <c r="C897" s="6" t="s">
        <v>75</v>
      </c>
      <c r="D897" s="6" t="n">
        <v>28</v>
      </c>
      <c r="E897" s="6" t="s">
        <v>118</v>
      </c>
      <c r="F897" s="6" t="s">
        <v>77</v>
      </c>
      <c r="G897" s="26" t="n">
        <v>46016</v>
      </c>
      <c r="H897" s="6" t="s">
        <v>123</v>
      </c>
      <c r="I897" s="26" t="n">
        <f aca="false">_xlfn.MINIFS(Transaction!$C$2:$C$8421,Transaction!$B$2:$B$8421,A897)</f>
        <v>46025</v>
      </c>
      <c r="J897" s="26" t="n">
        <f aca="false">_xlfn.MAXIFS(Transaction!$C$2:$C$8421,Transaction!$B$2:$B$8421,A897)</f>
        <v>46257</v>
      </c>
      <c r="K897" s="6" t="n">
        <f aca="false">COUNTIF(Transaction!$B$2:$B$8421,A897)</f>
        <v>8</v>
      </c>
      <c r="L897" s="10" t="n">
        <f aca="false">SUMIF(Transaction!$B$2:$B$8421,A897,Transaction!$H$2:$H$8421)</f>
        <v>15673</v>
      </c>
      <c r="M897" s="6" t="n">
        <f aca="false">Summary!$B$3-J897</f>
        <v>9</v>
      </c>
      <c r="N897" s="6" t="str">
        <f aca="false">IF(K897&gt;1,"Yes","No")</f>
        <v>Yes</v>
      </c>
      <c r="O897" s="6" t="s">
        <v>45</v>
      </c>
    </row>
    <row r="898" customFormat="false" ht="15" hidden="false" customHeight="false" outlineLevel="0" collapsed="false">
      <c r="A898" s="6" t="s">
        <v>1905</v>
      </c>
      <c r="B898" s="6" t="s">
        <v>1906</v>
      </c>
      <c r="C898" s="6" t="s">
        <v>75</v>
      </c>
      <c r="D898" s="6" t="n">
        <v>18</v>
      </c>
      <c r="E898" s="6" t="s">
        <v>134</v>
      </c>
      <c r="F898" s="6" t="s">
        <v>135</v>
      </c>
      <c r="G898" s="26" t="n">
        <v>46011</v>
      </c>
      <c r="H898" s="6" t="s">
        <v>115</v>
      </c>
      <c r="I898" s="26" t="n">
        <f aca="false">_xlfn.MINIFS(Transaction!$C$2:$C$8421,Transaction!$B$2:$B$8421,A898)</f>
        <v>46083</v>
      </c>
      <c r="J898" s="26" t="n">
        <f aca="false">_xlfn.MAXIFS(Transaction!$C$2:$C$8421,Transaction!$B$2:$B$8421,A898)</f>
        <v>46265</v>
      </c>
      <c r="K898" s="6" t="n">
        <f aca="false">COUNTIF(Transaction!$B$2:$B$8421,A898)</f>
        <v>10</v>
      </c>
      <c r="L898" s="10" t="n">
        <f aca="false">SUMIF(Transaction!$B$2:$B$8421,A898,Transaction!$H$2:$H$8421)</f>
        <v>29083</v>
      </c>
      <c r="M898" s="6" t="n">
        <f aca="false">Summary!$B$3-J898</f>
        <v>1</v>
      </c>
      <c r="N898" s="6" t="str">
        <f aca="false">IF(K898&gt;1,"Yes","No")</f>
        <v>Yes</v>
      </c>
      <c r="O898" s="6" t="s">
        <v>45</v>
      </c>
    </row>
    <row r="899" customFormat="false" ht="15" hidden="false" customHeight="false" outlineLevel="0" collapsed="false">
      <c r="A899" s="6" t="s">
        <v>1907</v>
      </c>
      <c r="B899" s="6" t="s">
        <v>1908</v>
      </c>
      <c r="C899" s="6" t="s">
        <v>85</v>
      </c>
      <c r="D899" s="6" t="n">
        <v>46</v>
      </c>
      <c r="E899" s="6" t="s">
        <v>81</v>
      </c>
      <c r="F899" s="6" t="s">
        <v>82</v>
      </c>
      <c r="G899" s="26" t="n">
        <v>46112</v>
      </c>
      <c r="H899" s="6" t="s">
        <v>102</v>
      </c>
      <c r="I899" s="26" t="n">
        <f aca="false">_xlfn.MINIFS(Transaction!$C$2:$C$8421,Transaction!$B$2:$B$8421,A899)</f>
        <v>46201</v>
      </c>
      <c r="J899" s="26" t="n">
        <f aca="false">_xlfn.MAXIFS(Transaction!$C$2:$C$8421,Transaction!$B$2:$B$8421,A899)</f>
        <v>46201</v>
      </c>
      <c r="K899" s="6" t="n">
        <f aca="false">COUNTIF(Transaction!$B$2:$B$8421,A899)</f>
        <v>1</v>
      </c>
      <c r="L899" s="10" t="n">
        <f aca="false">SUMIF(Transaction!$B$2:$B$8421,A899,Transaction!$H$2:$H$8421)</f>
        <v>1468</v>
      </c>
      <c r="M899" s="6" t="n">
        <f aca="false">Summary!$B$3-J899</f>
        <v>65</v>
      </c>
      <c r="N899" s="6" t="str">
        <f aca="false">IF(K899&gt;1,"Yes","No")</f>
        <v>No</v>
      </c>
      <c r="O899" s="6" t="s">
        <v>47</v>
      </c>
    </row>
    <row r="900" customFormat="false" ht="15" hidden="false" customHeight="false" outlineLevel="0" collapsed="false">
      <c r="A900" s="6" t="s">
        <v>1909</v>
      </c>
      <c r="B900" s="6" t="s">
        <v>1910</v>
      </c>
      <c r="C900" s="6" t="s">
        <v>75</v>
      </c>
      <c r="D900" s="6" t="n">
        <v>29</v>
      </c>
      <c r="E900" s="6" t="s">
        <v>86</v>
      </c>
      <c r="F900" s="6" t="s">
        <v>87</v>
      </c>
      <c r="G900" s="26" t="n">
        <v>46005</v>
      </c>
      <c r="H900" s="6" t="s">
        <v>115</v>
      </c>
      <c r="I900" s="26" t="n">
        <f aca="false">_xlfn.MINIFS(Transaction!$C$2:$C$8421,Transaction!$B$2:$B$8421,A900)</f>
        <v>46089</v>
      </c>
      <c r="J900" s="26" t="n">
        <f aca="false">_xlfn.MAXIFS(Transaction!$C$2:$C$8421,Transaction!$B$2:$B$8421,A900)</f>
        <v>46177</v>
      </c>
      <c r="K900" s="6" t="n">
        <f aca="false">COUNTIF(Transaction!$B$2:$B$8421,A900)</f>
        <v>2</v>
      </c>
      <c r="L900" s="10" t="n">
        <f aca="false">SUMIF(Transaction!$B$2:$B$8421,A900,Transaction!$H$2:$H$8421)</f>
        <v>5005</v>
      </c>
      <c r="M900" s="6" t="n">
        <f aca="false">Summary!$B$3-J900</f>
        <v>89</v>
      </c>
      <c r="N900" s="6" t="str">
        <f aca="false">IF(K900&gt;1,"Yes","No")</f>
        <v>Yes</v>
      </c>
      <c r="O900" s="6" t="s">
        <v>46</v>
      </c>
    </row>
    <row r="901" customFormat="false" ht="15" hidden="false" customHeight="false" outlineLevel="0" collapsed="false">
      <c r="A901" s="6" t="s">
        <v>1911</v>
      </c>
      <c r="B901" s="6" t="s">
        <v>1912</v>
      </c>
      <c r="C901" s="6" t="s">
        <v>75</v>
      </c>
      <c r="D901" s="6" t="n">
        <v>40</v>
      </c>
      <c r="E901" s="6" t="s">
        <v>180</v>
      </c>
      <c r="F901" s="6" t="s">
        <v>181</v>
      </c>
      <c r="G901" s="26" t="n">
        <v>46033</v>
      </c>
      <c r="H901" s="6" t="s">
        <v>115</v>
      </c>
      <c r="I901" s="26" t="n">
        <f aca="false">_xlfn.MINIFS(Transaction!$C$2:$C$8421,Transaction!$B$2:$B$8421,A901)</f>
        <v>46037</v>
      </c>
      <c r="J901" s="26" t="n">
        <f aca="false">_xlfn.MAXIFS(Transaction!$C$2:$C$8421,Transaction!$B$2:$B$8421,A901)</f>
        <v>46181</v>
      </c>
      <c r="K901" s="6" t="n">
        <f aca="false">COUNTIF(Transaction!$B$2:$B$8421,A901)</f>
        <v>5</v>
      </c>
      <c r="L901" s="10" t="n">
        <f aca="false">SUMIF(Transaction!$B$2:$B$8421,A901,Transaction!$H$2:$H$8421)</f>
        <v>5119</v>
      </c>
      <c r="M901" s="6" t="n">
        <f aca="false">Summary!$B$3-J901</f>
        <v>85</v>
      </c>
      <c r="N901" s="6" t="str">
        <f aca="false">IF(K901&gt;1,"Yes","No")</f>
        <v>Yes</v>
      </c>
      <c r="O901" s="6" t="s">
        <v>46</v>
      </c>
    </row>
    <row r="902" customFormat="false" ht="15" hidden="false" customHeight="false" outlineLevel="0" collapsed="false">
      <c r="A902" s="6" t="s">
        <v>1913</v>
      </c>
      <c r="B902" s="6" t="s">
        <v>1914</v>
      </c>
      <c r="C902" s="6" t="s">
        <v>85</v>
      </c>
      <c r="D902" s="6" t="n">
        <v>24</v>
      </c>
      <c r="E902" s="6" t="s">
        <v>95</v>
      </c>
      <c r="F902" s="6" t="s">
        <v>95</v>
      </c>
      <c r="G902" s="26" t="n">
        <v>46088</v>
      </c>
      <c r="H902" s="6" t="s">
        <v>115</v>
      </c>
      <c r="I902" s="26" t="n">
        <f aca="false">_xlfn.MINIFS(Transaction!$C$2:$C$8421,Transaction!$B$2:$B$8421,A902)</f>
        <v>46128</v>
      </c>
      <c r="J902" s="26" t="n">
        <f aca="false">_xlfn.MAXIFS(Transaction!$C$2:$C$8421,Transaction!$B$2:$B$8421,A902)</f>
        <v>46128</v>
      </c>
      <c r="K902" s="6" t="n">
        <f aca="false">COUNTIF(Transaction!$B$2:$B$8421,A902)</f>
        <v>1</v>
      </c>
      <c r="L902" s="10" t="n">
        <f aca="false">SUMIF(Transaction!$B$2:$B$8421,A902,Transaction!$H$2:$H$8421)</f>
        <v>1277</v>
      </c>
      <c r="M902" s="6" t="n">
        <f aca="false">Summary!$B$3-J902</f>
        <v>138</v>
      </c>
      <c r="N902" s="6" t="str">
        <f aca="false">IF(K902&gt;1,"Yes","No")</f>
        <v>No</v>
      </c>
      <c r="O902" s="6" t="s">
        <v>48</v>
      </c>
    </row>
    <row r="903" customFormat="false" ht="15" hidden="false" customHeight="false" outlineLevel="0" collapsed="false">
      <c r="A903" s="6" t="s">
        <v>1915</v>
      </c>
      <c r="B903" s="6" t="s">
        <v>1916</v>
      </c>
      <c r="C903" s="6" t="s">
        <v>85</v>
      </c>
      <c r="D903" s="6" t="n">
        <v>40</v>
      </c>
      <c r="E903" s="6" t="s">
        <v>121</v>
      </c>
      <c r="F903" s="6" t="s">
        <v>122</v>
      </c>
      <c r="G903" s="26" t="n">
        <v>46166</v>
      </c>
      <c r="H903" s="6" t="s">
        <v>123</v>
      </c>
      <c r="I903" s="26" t="n">
        <f aca="false">_xlfn.MINIFS(Transaction!$C$2:$C$8421,Transaction!$B$2:$B$8421,A903)</f>
        <v>46224</v>
      </c>
      <c r="J903" s="26" t="n">
        <f aca="false">_xlfn.MAXIFS(Transaction!$C$2:$C$8421,Transaction!$B$2:$B$8421,A903)</f>
        <v>46224</v>
      </c>
      <c r="K903" s="6" t="n">
        <f aca="false">COUNTIF(Transaction!$B$2:$B$8421,A903)</f>
        <v>1</v>
      </c>
      <c r="L903" s="10" t="n">
        <f aca="false">SUMIF(Transaction!$B$2:$B$8421,A903,Transaction!$H$2:$H$8421)</f>
        <v>1570</v>
      </c>
      <c r="M903" s="6" t="n">
        <f aca="false">Summary!$B$3-J903</f>
        <v>42</v>
      </c>
      <c r="N903" s="6" t="str">
        <f aca="false">IF(K903&gt;1,"Yes","No")</f>
        <v>No</v>
      </c>
      <c r="O903" s="6" t="s">
        <v>47</v>
      </c>
    </row>
    <row r="904" customFormat="false" ht="15" hidden="false" customHeight="false" outlineLevel="0" collapsed="false">
      <c r="A904" s="6" t="s">
        <v>1917</v>
      </c>
      <c r="B904" s="6" t="s">
        <v>1918</v>
      </c>
      <c r="C904" s="6" t="s">
        <v>75</v>
      </c>
      <c r="D904" s="6" t="n">
        <v>32</v>
      </c>
      <c r="E904" s="6" t="s">
        <v>146</v>
      </c>
      <c r="F904" s="6" t="s">
        <v>147</v>
      </c>
      <c r="G904" s="26" t="n">
        <v>46038</v>
      </c>
      <c r="H904" s="6" t="s">
        <v>78</v>
      </c>
      <c r="I904" s="26" t="n">
        <f aca="false">_xlfn.MINIFS(Transaction!$C$2:$C$8421,Transaction!$B$2:$B$8421,A904)</f>
        <v>46087</v>
      </c>
      <c r="J904" s="26" t="n">
        <f aca="false">_xlfn.MAXIFS(Transaction!$C$2:$C$8421,Transaction!$B$2:$B$8421,A904)</f>
        <v>46260</v>
      </c>
      <c r="K904" s="6" t="n">
        <f aca="false">COUNTIF(Transaction!$B$2:$B$8421,A904)</f>
        <v>11</v>
      </c>
      <c r="L904" s="10" t="n">
        <f aca="false">SUMIF(Transaction!$B$2:$B$8421,A904,Transaction!$H$2:$H$8421)</f>
        <v>19198</v>
      </c>
      <c r="M904" s="6" t="n">
        <f aca="false">Summary!$B$3-J904</f>
        <v>6</v>
      </c>
      <c r="N904" s="6" t="str">
        <f aca="false">IF(K904&gt;1,"Yes","No")</f>
        <v>Yes</v>
      </c>
      <c r="O904" s="6" t="s">
        <v>45</v>
      </c>
    </row>
    <row r="905" customFormat="false" ht="15" hidden="false" customHeight="false" outlineLevel="0" collapsed="false">
      <c r="A905" s="6" t="s">
        <v>1919</v>
      </c>
      <c r="B905" s="6" t="s">
        <v>1920</v>
      </c>
      <c r="C905" s="6" t="s">
        <v>75</v>
      </c>
      <c r="D905" s="6" t="n">
        <v>29</v>
      </c>
      <c r="E905" s="6" t="s">
        <v>105</v>
      </c>
      <c r="F905" s="6" t="s">
        <v>106</v>
      </c>
      <c r="G905" s="26" t="n">
        <v>46020</v>
      </c>
      <c r="H905" s="6" t="s">
        <v>115</v>
      </c>
      <c r="I905" s="26" t="n">
        <f aca="false">_xlfn.MINIFS(Transaction!$C$2:$C$8421,Transaction!$B$2:$B$8421,A905)</f>
        <v>46098</v>
      </c>
      <c r="J905" s="26" t="n">
        <f aca="false">_xlfn.MAXIFS(Transaction!$C$2:$C$8421,Transaction!$B$2:$B$8421,A905)</f>
        <v>46250</v>
      </c>
      <c r="K905" s="6" t="n">
        <f aca="false">COUNTIF(Transaction!$B$2:$B$8421,A905)</f>
        <v>8</v>
      </c>
      <c r="L905" s="10" t="n">
        <f aca="false">SUMIF(Transaction!$B$2:$B$8421,A905,Transaction!$H$2:$H$8421)</f>
        <v>16169</v>
      </c>
      <c r="M905" s="6" t="n">
        <f aca="false">Summary!$B$3-J905</f>
        <v>16</v>
      </c>
      <c r="N905" s="6" t="str">
        <f aca="false">IF(K905&gt;1,"Yes","No")</f>
        <v>Yes</v>
      </c>
      <c r="O905" s="6" t="s">
        <v>46</v>
      </c>
    </row>
    <row r="906" customFormat="false" ht="15" hidden="false" customHeight="false" outlineLevel="0" collapsed="false">
      <c r="A906" s="6" t="s">
        <v>1921</v>
      </c>
      <c r="B906" s="6" t="s">
        <v>1922</v>
      </c>
      <c r="C906" s="6" t="s">
        <v>75</v>
      </c>
      <c r="D906" s="6" t="n">
        <v>37</v>
      </c>
      <c r="E906" s="6" t="s">
        <v>76</v>
      </c>
      <c r="F906" s="6" t="s">
        <v>77</v>
      </c>
      <c r="G906" s="26" t="n">
        <v>46051</v>
      </c>
      <c r="H906" s="6" t="s">
        <v>115</v>
      </c>
      <c r="I906" s="26" t="n">
        <f aca="false">_xlfn.MINIFS(Transaction!$C$2:$C$8421,Transaction!$B$2:$B$8421,A906)</f>
        <v>46123</v>
      </c>
      <c r="J906" s="26" t="n">
        <f aca="false">_xlfn.MAXIFS(Transaction!$C$2:$C$8421,Transaction!$B$2:$B$8421,A906)</f>
        <v>46123</v>
      </c>
      <c r="K906" s="6" t="n">
        <f aca="false">COUNTIF(Transaction!$B$2:$B$8421,A906)</f>
        <v>1</v>
      </c>
      <c r="L906" s="10" t="n">
        <f aca="false">SUMIF(Transaction!$B$2:$B$8421,A906,Transaction!$H$2:$H$8421)</f>
        <v>1987</v>
      </c>
      <c r="M906" s="6" t="n">
        <f aca="false">Summary!$B$3-J906</f>
        <v>143</v>
      </c>
      <c r="N906" s="6" t="str">
        <f aca="false">IF(K906&gt;1,"Yes","No")</f>
        <v>No</v>
      </c>
      <c r="O906" s="6" t="s">
        <v>48</v>
      </c>
    </row>
    <row r="907" customFormat="false" ht="15" hidden="false" customHeight="false" outlineLevel="0" collapsed="false">
      <c r="A907" s="6" t="s">
        <v>1923</v>
      </c>
      <c r="B907" s="6" t="s">
        <v>1924</v>
      </c>
      <c r="C907" s="6" t="s">
        <v>75</v>
      </c>
      <c r="D907" s="6" t="n">
        <v>25</v>
      </c>
      <c r="E907" s="6" t="s">
        <v>95</v>
      </c>
      <c r="F907" s="6" t="s">
        <v>95</v>
      </c>
      <c r="G907" s="26" t="n">
        <v>46177</v>
      </c>
      <c r="H907" s="6" t="s">
        <v>92</v>
      </c>
      <c r="I907" s="26" t="n">
        <f aca="false">_xlfn.MINIFS(Transaction!$C$2:$C$8421,Transaction!$B$2:$B$8421,A907)</f>
        <v>46257</v>
      </c>
      <c r="J907" s="26" t="n">
        <f aca="false">_xlfn.MAXIFS(Transaction!$C$2:$C$8421,Transaction!$B$2:$B$8421,A907)</f>
        <v>46257</v>
      </c>
      <c r="K907" s="6" t="n">
        <f aca="false">COUNTIF(Transaction!$B$2:$B$8421,A907)</f>
        <v>1</v>
      </c>
      <c r="L907" s="10" t="n">
        <f aca="false">SUMIF(Transaction!$B$2:$B$8421,A907,Transaction!$H$2:$H$8421)</f>
        <v>2036</v>
      </c>
      <c r="M907" s="6" t="n">
        <f aca="false">Summary!$B$3-J907</f>
        <v>9</v>
      </c>
      <c r="N907" s="6" t="str">
        <f aca="false">IF(K907&gt;1,"Yes","No")</f>
        <v>No</v>
      </c>
      <c r="O907" s="6" t="s">
        <v>47</v>
      </c>
    </row>
    <row r="908" customFormat="false" ht="15" hidden="false" customHeight="false" outlineLevel="0" collapsed="false">
      <c r="A908" s="6" t="s">
        <v>1925</v>
      </c>
      <c r="B908" s="6" t="s">
        <v>1926</v>
      </c>
      <c r="C908" s="6" t="s">
        <v>85</v>
      </c>
      <c r="D908" s="6" t="n">
        <v>42</v>
      </c>
      <c r="E908" s="6" t="s">
        <v>121</v>
      </c>
      <c r="F908" s="6" t="s">
        <v>122</v>
      </c>
      <c r="G908" s="26" t="n">
        <v>46159</v>
      </c>
      <c r="H908" s="6" t="s">
        <v>78</v>
      </c>
      <c r="I908" s="26" t="n">
        <f aca="false">_xlfn.MINIFS(Transaction!$C$2:$C$8421,Transaction!$B$2:$B$8421,A908)</f>
        <v>46188</v>
      </c>
      <c r="J908" s="26" t="n">
        <f aca="false">_xlfn.MAXIFS(Transaction!$C$2:$C$8421,Transaction!$B$2:$B$8421,A908)</f>
        <v>46188</v>
      </c>
      <c r="K908" s="6" t="n">
        <f aca="false">COUNTIF(Transaction!$B$2:$B$8421,A908)</f>
        <v>1</v>
      </c>
      <c r="L908" s="10" t="n">
        <f aca="false">SUMIF(Transaction!$B$2:$B$8421,A908,Transaction!$H$2:$H$8421)</f>
        <v>1068</v>
      </c>
      <c r="M908" s="6" t="n">
        <f aca="false">Summary!$B$3-J908</f>
        <v>78</v>
      </c>
      <c r="N908" s="6" t="str">
        <f aca="false">IF(K908&gt;1,"Yes","No")</f>
        <v>No</v>
      </c>
      <c r="O908" s="6" t="s">
        <v>47</v>
      </c>
    </row>
    <row r="909" customFormat="false" ht="15" hidden="false" customHeight="false" outlineLevel="0" collapsed="false">
      <c r="A909" s="6" t="s">
        <v>1927</v>
      </c>
      <c r="B909" s="6" t="s">
        <v>1928</v>
      </c>
      <c r="C909" s="6" t="s">
        <v>85</v>
      </c>
      <c r="D909" s="6" t="n">
        <v>47</v>
      </c>
      <c r="E909" s="6" t="s">
        <v>121</v>
      </c>
      <c r="F909" s="6" t="s">
        <v>122</v>
      </c>
      <c r="G909" s="26" t="n">
        <v>46158</v>
      </c>
      <c r="H909" s="6" t="s">
        <v>92</v>
      </c>
      <c r="I909" s="26" t="n">
        <f aca="false">_xlfn.MINIFS(Transaction!$C$2:$C$8421,Transaction!$B$2:$B$8421,A909)</f>
        <v>46219</v>
      </c>
      <c r="J909" s="26" t="n">
        <f aca="false">_xlfn.MAXIFS(Transaction!$C$2:$C$8421,Transaction!$B$2:$B$8421,A909)</f>
        <v>46219</v>
      </c>
      <c r="K909" s="6" t="n">
        <f aca="false">COUNTIF(Transaction!$B$2:$B$8421,A909)</f>
        <v>1</v>
      </c>
      <c r="L909" s="10" t="n">
        <f aca="false">SUMIF(Transaction!$B$2:$B$8421,A909,Transaction!$H$2:$H$8421)</f>
        <v>1394</v>
      </c>
      <c r="M909" s="6" t="n">
        <f aca="false">Summary!$B$3-J909</f>
        <v>47</v>
      </c>
      <c r="N909" s="6" t="str">
        <f aca="false">IF(K909&gt;1,"Yes","No")</f>
        <v>No</v>
      </c>
      <c r="O909" s="6" t="s">
        <v>47</v>
      </c>
    </row>
    <row r="910" customFormat="false" ht="15" hidden="false" customHeight="false" outlineLevel="0" collapsed="false">
      <c r="A910" s="6" t="s">
        <v>1929</v>
      </c>
      <c r="B910" s="6" t="s">
        <v>1930</v>
      </c>
      <c r="C910" s="6" t="s">
        <v>75</v>
      </c>
      <c r="D910" s="6" t="n">
        <v>28</v>
      </c>
      <c r="E910" s="6" t="s">
        <v>76</v>
      </c>
      <c r="F910" s="6" t="s">
        <v>77</v>
      </c>
      <c r="G910" s="26" t="n">
        <v>46071</v>
      </c>
      <c r="H910" s="6" t="s">
        <v>123</v>
      </c>
      <c r="I910" s="26" t="n">
        <f aca="false">_xlfn.MINIFS(Transaction!$C$2:$C$8421,Transaction!$B$2:$B$8421,A910)</f>
        <v>46118</v>
      </c>
      <c r="J910" s="26" t="n">
        <f aca="false">_xlfn.MAXIFS(Transaction!$C$2:$C$8421,Transaction!$B$2:$B$8421,A910)</f>
        <v>46118</v>
      </c>
      <c r="K910" s="6" t="n">
        <f aca="false">COUNTIF(Transaction!$B$2:$B$8421,A910)</f>
        <v>1</v>
      </c>
      <c r="L910" s="10" t="n">
        <f aca="false">SUMIF(Transaction!$B$2:$B$8421,A910,Transaction!$H$2:$H$8421)</f>
        <v>2445</v>
      </c>
      <c r="M910" s="6" t="n">
        <f aca="false">Summary!$B$3-J910</f>
        <v>148</v>
      </c>
      <c r="N910" s="6" t="str">
        <f aca="false">IF(K910&gt;1,"Yes","No")</f>
        <v>No</v>
      </c>
      <c r="O910" s="6" t="s">
        <v>48</v>
      </c>
    </row>
    <row r="911" customFormat="false" ht="15" hidden="false" customHeight="false" outlineLevel="0" collapsed="false">
      <c r="A911" s="6" t="s">
        <v>1931</v>
      </c>
      <c r="B911" s="6" t="s">
        <v>1932</v>
      </c>
      <c r="C911" s="6" t="s">
        <v>85</v>
      </c>
      <c r="D911" s="6" t="n">
        <v>26</v>
      </c>
      <c r="E911" s="6" t="s">
        <v>86</v>
      </c>
      <c r="F911" s="6" t="s">
        <v>87</v>
      </c>
      <c r="G911" s="26" t="n">
        <v>46034</v>
      </c>
      <c r="H911" s="6" t="s">
        <v>123</v>
      </c>
      <c r="I911" s="26" t="n">
        <f aca="false">_xlfn.MINIFS(Transaction!$C$2:$C$8421,Transaction!$B$2:$B$8421,A911)</f>
        <v>46035</v>
      </c>
      <c r="J911" s="26" t="n">
        <f aca="false">_xlfn.MAXIFS(Transaction!$C$2:$C$8421,Transaction!$B$2:$B$8421,A911)</f>
        <v>46035</v>
      </c>
      <c r="K911" s="6" t="n">
        <f aca="false">COUNTIF(Transaction!$B$2:$B$8421,A911)</f>
        <v>1</v>
      </c>
      <c r="L911" s="10" t="n">
        <f aca="false">SUMIF(Transaction!$B$2:$B$8421,A911,Transaction!$H$2:$H$8421)</f>
        <v>815</v>
      </c>
      <c r="M911" s="6" t="n">
        <f aca="false">Summary!$B$3-J911</f>
        <v>231</v>
      </c>
      <c r="N911" s="6" t="str">
        <f aca="false">IF(K911&gt;1,"Yes","No")</f>
        <v>No</v>
      </c>
      <c r="O911" s="6" t="s">
        <v>49</v>
      </c>
    </row>
    <row r="912" customFormat="false" ht="15" hidden="false" customHeight="false" outlineLevel="0" collapsed="false">
      <c r="A912" s="6" t="s">
        <v>1933</v>
      </c>
      <c r="B912" s="6" t="s">
        <v>1934</v>
      </c>
      <c r="C912" s="6" t="s">
        <v>75</v>
      </c>
      <c r="D912" s="6" t="n">
        <v>40</v>
      </c>
      <c r="E912" s="6" t="s">
        <v>81</v>
      </c>
      <c r="F912" s="6" t="s">
        <v>82</v>
      </c>
      <c r="G912" s="26" t="n">
        <v>46091</v>
      </c>
      <c r="H912" s="6" t="s">
        <v>115</v>
      </c>
      <c r="I912" s="26" t="n">
        <f aca="false">_xlfn.MINIFS(Transaction!$C$2:$C$8421,Transaction!$B$2:$B$8421,A912)</f>
        <v>46152</v>
      </c>
      <c r="J912" s="26" t="n">
        <f aca="false">_xlfn.MAXIFS(Transaction!$C$2:$C$8421,Transaction!$B$2:$B$8421,A912)</f>
        <v>46152</v>
      </c>
      <c r="K912" s="6" t="n">
        <f aca="false">COUNTIF(Transaction!$B$2:$B$8421,A912)</f>
        <v>1</v>
      </c>
      <c r="L912" s="10" t="n">
        <f aca="false">SUMIF(Transaction!$B$2:$B$8421,A912,Transaction!$H$2:$H$8421)</f>
        <v>1323</v>
      </c>
      <c r="M912" s="6" t="n">
        <f aca="false">Summary!$B$3-J912</f>
        <v>114</v>
      </c>
      <c r="N912" s="6" t="str">
        <f aca="false">IF(K912&gt;1,"Yes","No")</f>
        <v>No</v>
      </c>
      <c r="O912" s="6" t="s">
        <v>48</v>
      </c>
    </row>
    <row r="913" customFormat="false" ht="15" hidden="false" customHeight="false" outlineLevel="0" collapsed="false">
      <c r="A913" s="6" t="s">
        <v>1935</v>
      </c>
      <c r="B913" s="6" t="s">
        <v>1936</v>
      </c>
      <c r="C913" s="6" t="s">
        <v>75</v>
      </c>
      <c r="D913" s="6" t="n">
        <v>46</v>
      </c>
      <c r="E913" s="6" t="s">
        <v>81</v>
      </c>
      <c r="F913" s="6" t="s">
        <v>82</v>
      </c>
      <c r="G913" s="26" t="n">
        <v>45962</v>
      </c>
      <c r="H913" s="6" t="s">
        <v>102</v>
      </c>
      <c r="I913" s="26" t="n">
        <f aca="false">_xlfn.MINIFS(Transaction!$C$2:$C$8421,Transaction!$B$2:$B$8421,A913)</f>
        <v>46024</v>
      </c>
      <c r="J913" s="26" t="n">
        <f aca="false">_xlfn.MAXIFS(Transaction!$C$2:$C$8421,Transaction!$B$2:$B$8421,A913)</f>
        <v>46202</v>
      </c>
      <c r="K913" s="6" t="n">
        <f aca="false">COUNTIF(Transaction!$B$2:$B$8421,A913)</f>
        <v>5</v>
      </c>
      <c r="L913" s="10" t="n">
        <f aca="false">SUMIF(Transaction!$B$2:$B$8421,A913,Transaction!$H$2:$H$8421)</f>
        <v>6265</v>
      </c>
      <c r="M913" s="6" t="n">
        <f aca="false">Summary!$B$3-J913</f>
        <v>64</v>
      </c>
      <c r="N913" s="6" t="str">
        <f aca="false">IF(K913&gt;1,"Yes","No")</f>
        <v>Yes</v>
      </c>
      <c r="O913" s="6" t="s">
        <v>46</v>
      </c>
    </row>
    <row r="914" customFormat="false" ht="15" hidden="false" customHeight="false" outlineLevel="0" collapsed="false">
      <c r="A914" s="6" t="s">
        <v>1937</v>
      </c>
      <c r="B914" s="6" t="s">
        <v>1938</v>
      </c>
      <c r="C914" s="6" t="s">
        <v>85</v>
      </c>
      <c r="D914" s="6" t="n">
        <v>28</v>
      </c>
      <c r="E914" s="6" t="s">
        <v>76</v>
      </c>
      <c r="F914" s="6" t="s">
        <v>77</v>
      </c>
      <c r="G914" s="26" t="n">
        <v>46144</v>
      </c>
      <c r="H914" s="6" t="s">
        <v>115</v>
      </c>
      <c r="I914" s="26" t="n">
        <f aca="false">_xlfn.MINIFS(Transaction!$C$2:$C$8421,Transaction!$B$2:$B$8421,A914)</f>
        <v>46208</v>
      </c>
      <c r="J914" s="26" t="n">
        <f aca="false">_xlfn.MAXIFS(Transaction!$C$2:$C$8421,Transaction!$B$2:$B$8421,A914)</f>
        <v>46208</v>
      </c>
      <c r="K914" s="6" t="n">
        <f aca="false">COUNTIF(Transaction!$B$2:$B$8421,A914)</f>
        <v>1</v>
      </c>
      <c r="L914" s="10" t="n">
        <f aca="false">SUMIF(Transaction!$B$2:$B$8421,A914,Transaction!$H$2:$H$8421)</f>
        <v>1856</v>
      </c>
      <c r="M914" s="6" t="n">
        <f aca="false">Summary!$B$3-J914</f>
        <v>58</v>
      </c>
      <c r="N914" s="6" t="str">
        <f aca="false">IF(K914&gt;1,"Yes","No")</f>
        <v>No</v>
      </c>
      <c r="O914" s="6" t="s">
        <v>47</v>
      </c>
    </row>
    <row r="915" customFormat="false" ht="15" hidden="false" customHeight="false" outlineLevel="0" collapsed="false">
      <c r="A915" s="6" t="s">
        <v>1939</v>
      </c>
      <c r="B915" s="6" t="s">
        <v>1940</v>
      </c>
      <c r="C915" s="6" t="s">
        <v>75</v>
      </c>
      <c r="D915" s="6" t="n">
        <v>39</v>
      </c>
      <c r="E915" s="6" t="s">
        <v>121</v>
      </c>
      <c r="F915" s="6" t="s">
        <v>122</v>
      </c>
      <c r="G915" s="26" t="n">
        <v>46085</v>
      </c>
      <c r="H915" s="6" t="s">
        <v>115</v>
      </c>
      <c r="I915" s="26" t="n">
        <f aca="false">_xlfn.MINIFS(Transaction!$C$2:$C$8421,Transaction!$B$2:$B$8421,A915)</f>
        <v>46094</v>
      </c>
      <c r="J915" s="26" t="n">
        <f aca="false">_xlfn.MAXIFS(Transaction!$C$2:$C$8421,Transaction!$B$2:$B$8421,A915)</f>
        <v>46220</v>
      </c>
      <c r="K915" s="6" t="n">
        <f aca="false">COUNTIF(Transaction!$B$2:$B$8421,A915)</f>
        <v>4</v>
      </c>
      <c r="L915" s="10" t="n">
        <f aca="false">SUMIF(Transaction!$B$2:$B$8421,A915,Transaction!$H$2:$H$8421)</f>
        <v>3910</v>
      </c>
      <c r="M915" s="6" t="n">
        <f aca="false">Summary!$B$3-J915</f>
        <v>46</v>
      </c>
      <c r="N915" s="6" t="str">
        <f aca="false">IF(K915&gt;1,"Yes","No")</f>
        <v>Yes</v>
      </c>
      <c r="O915" s="6" t="s">
        <v>46</v>
      </c>
    </row>
    <row r="916" customFormat="false" ht="15" hidden="false" customHeight="false" outlineLevel="0" collapsed="false">
      <c r="A916" s="6" t="s">
        <v>1941</v>
      </c>
      <c r="B916" s="6" t="s">
        <v>1942</v>
      </c>
      <c r="C916" s="6" t="s">
        <v>85</v>
      </c>
      <c r="D916" s="6" t="n">
        <v>42</v>
      </c>
      <c r="E916" s="6" t="s">
        <v>76</v>
      </c>
      <c r="F916" s="6" t="s">
        <v>77</v>
      </c>
      <c r="G916" s="26" t="n">
        <v>46123</v>
      </c>
      <c r="H916" s="6" t="s">
        <v>123</v>
      </c>
      <c r="I916" s="26" t="n">
        <f aca="false">_xlfn.MINIFS(Transaction!$C$2:$C$8421,Transaction!$B$2:$B$8421,A916)</f>
        <v>46177</v>
      </c>
      <c r="J916" s="26" t="n">
        <f aca="false">_xlfn.MAXIFS(Transaction!$C$2:$C$8421,Transaction!$B$2:$B$8421,A916)</f>
        <v>46216</v>
      </c>
      <c r="K916" s="6" t="n">
        <f aca="false">COUNTIF(Transaction!$B$2:$B$8421,A916)</f>
        <v>3</v>
      </c>
      <c r="L916" s="10" t="n">
        <f aca="false">SUMIF(Transaction!$B$2:$B$8421,A916,Transaction!$H$2:$H$8421)</f>
        <v>4696</v>
      </c>
      <c r="M916" s="6" t="n">
        <f aca="false">Summary!$B$3-J916</f>
        <v>50</v>
      </c>
      <c r="N916" s="6" t="str">
        <f aca="false">IF(K916&gt;1,"Yes","No")</f>
        <v>Yes</v>
      </c>
      <c r="O916" s="6" t="s">
        <v>46</v>
      </c>
    </row>
    <row r="917" customFormat="false" ht="15" hidden="false" customHeight="false" outlineLevel="0" collapsed="false">
      <c r="A917" s="6" t="s">
        <v>1943</v>
      </c>
      <c r="B917" s="6" t="s">
        <v>1944</v>
      </c>
      <c r="C917" s="6" t="s">
        <v>85</v>
      </c>
      <c r="D917" s="6" t="n">
        <v>25</v>
      </c>
      <c r="E917" s="6" t="s">
        <v>176</v>
      </c>
      <c r="F917" s="6" t="s">
        <v>177</v>
      </c>
      <c r="G917" s="26" t="n">
        <v>46020</v>
      </c>
      <c r="H917" s="6" t="s">
        <v>78</v>
      </c>
      <c r="I917" s="26" t="n">
        <f aca="false">_xlfn.MINIFS(Transaction!$C$2:$C$8421,Transaction!$B$2:$B$8421,A917)</f>
        <v>46067</v>
      </c>
      <c r="J917" s="26" t="n">
        <f aca="false">_xlfn.MAXIFS(Transaction!$C$2:$C$8421,Transaction!$B$2:$B$8421,A917)</f>
        <v>46067</v>
      </c>
      <c r="K917" s="6" t="n">
        <f aca="false">COUNTIF(Transaction!$B$2:$B$8421,A917)</f>
        <v>1</v>
      </c>
      <c r="L917" s="10" t="n">
        <f aca="false">SUMIF(Transaction!$B$2:$B$8421,A917,Transaction!$H$2:$H$8421)</f>
        <v>1564</v>
      </c>
      <c r="M917" s="6" t="n">
        <f aca="false">Summary!$B$3-J917</f>
        <v>199</v>
      </c>
      <c r="N917" s="6" t="str">
        <f aca="false">IF(K917&gt;1,"Yes","No")</f>
        <v>No</v>
      </c>
      <c r="O917" s="6" t="s">
        <v>49</v>
      </c>
    </row>
    <row r="918" customFormat="false" ht="15" hidden="false" customHeight="false" outlineLevel="0" collapsed="false">
      <c r="A918" s="6" t="s">
        <v>1945</v>
      </c>
      <c r="B918" s="6" t="s">
        <v>1946</v>
      </c>
      <c r="C918" s="6" t="s">
        <v>75</v>
      </c>
      <c r="D918" s="6" t="n">
        <v>21</v>
      </c>
      <c r="E918" s="6" t="s">
        <v>76</v>
      </c>
      <c r="F918" s="6" t="s">
        <v>77</v>
      </c>
      <c r="G918" s="26" t="n">
        <v>45950</v>
      </c>
      <c r="H918" s="6" t="s">
        <v>92</v>
      </c>
      <c r="I918" s="26" t="n">
        <f aca="false">_xlfn.MINIFS(Transaction!$C$2:$C$8421,Transaction!$B$2:$B$8421,A918)</f>
        <v>46024</v>
      </c>
      <c r="J918" s="26" t="n">
        <f aca="false">_xlfn.MAXIFS(Transaction!$C$2:$C$8421,Transaction!$B$2:$B$8421,A918)</f>
        <v>46208</v>
      </c>
      <c r="K918" s="6" t="n">
        <f aca="false">COUNTIF(Transaction!$B$2:$B$8421,A918)</f>
        <v>4</v>
      </c>
      <c r="L918" s="10" t="n">
        <f aca="false">SUMIF(Transaction!$B$2:$B$8421,A918,Transaction!$H$2:$H$8421)</f>
        <v>4398</v>
      </c>
      <c r="M918" s="6" t="n">
        <f aca="false">Summary!$B$3-J918</f>
        <v>58</v>
      </c>
      <c r="N918" s="6" t="str">
        <f aca="false">IF(K918&gt;1,"Yes","No")</f>
        <v>Yes</v>
      </c>
      <c r="O918" s="6" t="s">
        <v>46</v>
      </c>
    </row>
    <row r="919" customFormat="false" ht="15" hidden="false" customHeight="false" outlineLevel="0" collapsed="false">
      <c r="A919" s="6" t="s">
        <v>1947</v>
      </c>
      <c r="B919" s="6" t="s">
        <v>1948</v>
      </c>
      <c r="C919" s="6" t="s">
        <v>85</v>
      </c>
      <c r="D919" s="6" t="n">
        <v>38</v>
      </c>
      <c r="E919" s="6" t="s">
        <v>76</v>
      </c>
      <c r="F919" s="6" t="s">
        <v>77</v>
      </c>
      <c r="G919" s="26" t="n">
        <v>46232</v>
      </c>
      <c r="H919" s="6" t="s">
        <v>123</v>
      </c>
      <c r="I919" s="26" t="n">
        <f aca="false">_xlfn.MINIFS(Transaction!$C$2:$C$8421,Transaction!$B$2:$B$8421,A919)</f>
        <v>46236</v>
      </c>
      <c r="J919" s="26" t="n">
        <f aca="false">_xlfn.MAXIFS(Transaction!$C$2:$C$8421,Transaction!$B$2:$B$8421,A919)</f>
        <v>46236</v>
      </c>
      <c r="K919" s="6" t="n">
        <f aca="false">COUNTIF(Transaction!$B$2:$B$8421,A919)</f>
        <v>1</v>
      </c>
      <c r="L919" s="10" t="n">
        <f aca="false">SUMIF(Transaction!$B$2:$B$8421,A919,Transaction!$H$2:$H$8421)</f>
        <v>884</v>
      </c>
      <c r="M919" s="6" t="n">
        <f aca="false">Summary!$B$3-J919</f>
        <v>30</v>
      </c>
      <c r="N919" s="6" t="str">
        <f aca="false">IF(K919&gt;1,"Yes","No")</f>
        <v>No</v>
      </c>
      <c r="O919" s="6" t="s">
        <v>47</v>
      </c>
    </row>
    <row r="920" customFormat="false" ht="15" hidden="false" customHeight="false" outlineLevel="0" collapsed="false">
      <c r="A920" s="6" t="s">
        <v>1949</v>
      </c>
      <c r="B920" s="6" t="s">
        <v>1950</v>
      </c>
      <c r="C920" s="6" t="s">
        <v>85</v>
      </c>
      <c r="D920" s="6" t="n">
        <v>46</v>
      </c>
      <c r="E920" s="6" t="s">
        <v>264</v>
      </c>
      <c r="F920" s="6" t="s">
        <v>106</v>
      </c>
      <c r="G920" s="26" t="n">
        <v>46011</v>
      </c>
      <c r="H920" s="6" t="s">
        <v>115</v>
      </c>
      <c r="I920" s="26" t="n">
        <f aca="false">_xlfn.MINIFS(Transaction!$C$2:$C$8421,Transaction!$B$2:$B$8421,A920)</f>
        <v>46091</v>
      </c>
      <c r="J920" s="26" t="n">
        <f aca="false">_xlfn.MAXIFS(Transaction!$C$2:$C$8421,Transaction!$B$2:$B$8421,A920)</f>
        <v>46091</v>
      </c>
      <c r="K920" s="6" t="n">
        <f aca="false">COUNTIF(Transaction!$B$2:$B$8421,A920)</f>
        <v>1</v>
      </c>
      <c r="L920" s="10" t="n">
        <f aca="false">SUMIF(Transaction!$B$2:$B$8421,A920,Transaction!$H$2:$H$8421)</f>
        <v>2445</v>
      </c>
      <c r="M920" s="6" t="n">
        <f aca="false">Summary!$B$3-J920</f>
        <v>175</v>
      </c>
      <c r="N920" s="6" t="str">
        <f aca="false">IF(K920&gt;1,"Yes","No")</f>
        <v>No</v>
      </c>
      <c r="O920" s="6" t="s">
        <v>49</v>
      </c>
    </row>
    <row r="921" customFormat="false" ht="15" hidden="false" customHeight="false" outlineLevel="0" collapsed="false">
      <c r="A921" s="6" t="s">
        <v>1951</v>
      </c>
      <c r="B921" s="6" t="s">
        <v>1952</v>
      </c>
      <c r="C921" s="6" t="s">
        <v>85</v>
      </c>
      <c r="D921" s="6" t="n">
        <v>24</v>
      </c>
      <c r="E921" s="6" t="s">
        <v>91</v>
      </c>
      <c r="F921" s="6" t="s">
        <v>77</v>
      </c>
      <c r="G921" s="26" t="n">
        <v>46058</v>
      </c>
      <c r="H921" s="6" t="s">
        <v>115</v>
      </c>
      <c r="I921" s="26" t="n">
        <f aca="false">_xlfn.MINIFS(Transaction!$C$2:$C$8421,Transaction!$B$2:$B$8421,A921)</f>
        <v>46126</v>
      </c>
      <c r="J921" s="26" t="n">
        <f aca="false">_xlfn.MAXIFS(Transaction!$C$2:$C$8421,Transaction!$B$2:$B$8421,A921)</f>
        <v>46126</v>
      </c>
      <c r="K921" s="6" t="n">
        <f aca="false">COUNTIF(Transaction!$B$2:$B$8421,A921)</f>
        <v>1</v>
      </c>
      <c r="L921" s="10" t="n">
        <f aca="false">SUMIF(Transaction!$B$2:$B$8421,A921,Transaction!$H$2:$H$8421)</f>
        <v>5575</v>
      </c>
      <c r="M921" s="6" t="n">
        <f aca="false">Summary!$B$3-J921</f>
        <v>140</v>
      </c>
      <c r="N921" s="6" t="str">
        <f aca="false">IF(K921&gt;1,"Yes","No")</f>
        <v>No</v>
      </c>
      <c r="O921" s="6" t="s">
        <v>48</v>
      </c>
    </row>
    <row r="922" customFormat="false" ht="15" hidden="false" customHeight="false" outlineLevel="0" collapsed="false">
      <c r="A922" s="6" t="s">
        <v>1953</v>
      </c>
      <c r="B922" s="6" t="s">
        <v>1954</v>
      </c>
      <c r="C922" s="6" t="s">
        <v>75</v>
      </c>
      <c r="D922" s="6" t="n">
        <v>42</v>
      </c>
      <c r="E922" s="6" t="s">
        <v>86</v>
      </c>
      <c r="F922" s="6" t="s">
        <v>87</v>
      </c>
      <c r="G922" s="26" t="n">
        <v>46018</v>
      </c>
      <c r="H922" s="6" t="s">
        <v>78</v>
      </c>
      <c r="I922" s="26" t="n">
        <f aca="false">_xlfn.MINIFS(Transaction!$C$2:$C$8421,Transaction!$B$2:$B$8421,A922)</f>
        <v>46042</v>
      </c>
      <c r="J922" s="26" t="n">
        <f aca="false">_xlfn.MAXIFS(Transaction!$C$2:$C$8421,Transaction!$B$2:$B$8421,A922)</f>
        <v>46042</v>
      </c>
      <c r="K922" s="6" t="n">
        <f aca="false">COUNTIF(Transaction!$B$2:$B$8421,A922)</f>
        <v>1</v>
      </c>
      <c r="L922" s="10" t="n">
        <f aca="false">SUMIF(Transaction!$B$2:$B$8421,A922,Transaction!$H$2:$H$8421)</f>
        <v>3520</v>
      </c>
      <c r="M922" s="6" t="n">
        <f aca="false">Summary!$B$3-J922</f>
        <v>224</v>
      </c>
      <c r="N922" s="6" t="str">
        <f aca="false">IF(K922&gt;1,"Yes","No")</f>
        <v>No</v>
      </c>
      <c r="O922" s="6" t="s">
        <v>49</v>
      </c>
    </row>
    <row r="923" customFormat="false" ht="15" hidden="false" customHeight="false" outlineLevel="0" collapsed="false">
      <c r="A923" s="6" t="s">
        <v>1955</v>
      </c>
      <c r="B923" s="6" t="s">
        <v>1956</v>
      </c>
      <c r="C923" s="6" t="s">
        <v>85</v>
      </c>
      <c r="D923" s="6" t="n">
        <v>32</v>
      </c>
      <c r="E923" s="6" t="s">
        <v>121</v>
      </c>
      <c r="F923" s="6" t="s">
        <v>122</v>
      </c>
      <c r="G923" s="26" t="n">
        <v>46011</v>
      </c>
      <c r="H923" s="6" t="s">
        <v>102</v>
      </c>
      <c r="I923" s="26" t="n">
        <f aca="false">_xlfn.MINIFS(Transaction!$C$2:$C$8421,Transaction!$B$2:$B$8421,A923)</f>
        <v>46025</v>
      </c>
      <c r="J923" s="26" t="n">
        <f aca="false">_xlfn.MAXIFS(Transaction!$C$2:$C$8421,Transaction!$B$2:$B$8421,A923)</f>
        <v>46257</v>
      </c>
      <c r="K923" s="6" t="n">
        <f aca="false">COUNTIF(Transaction!$B$2:$B$8421,A923)</f>
        <v>11</v>
      </c>
      <c r="L923" s="10" t="n">
        <f aca="false">SUMIF(Transaction!$B$2:$B$8421,A923,Transaction!$H$2:$H$8421)</f>
        <v>21202</v>
      </c>
      <c r="M923" s="6" t="n">
        <f aca="false">Summary!$B$3-J923</f>
        <v>9</v>
      </c>
      <c r="N923" s="6" t="str">
        <f aca="false">IF(K923&gt;1,"Yes","No")</f>
        <v>Yes</v>
      </c>
      <c r="O923" s="6" t="s">
        <v>45</v>
      </c>
    </row>
    <row r="924" customFormat="false" ht="15" hidden="false" customHeight="false" outlineLevel="0" collapsed="false">
      <c r="A924" s="6" t="s">
        <v>1957</v>
      </c>
      <c r="B924" s="6" t="s">
        <v>1958</v>
      </c>
      <c r="C924" s="6" t="s">
        <v>85</v>
      </c>
      <c r="D924" s="6" t="n">
        <v>38</v>
      </c>
      <c r="E924" s="6" t="s">
        <v>81</v>
      </c>
      <c r="F924" s="6" t="s">
        <v>82</v>
      </c>
      <c r="G924" s="26" t="n">
        <v>46074</v>
      </c>
      <c r="H924" s="6" t="s">
        <v>92</v>
      </c>
      <c r="I924" s="26" t="n">
        <f aca="false">_xlfn.MINIFS(Transaction!$C$2:$C$8421,Transaction!$B$2:$B$8421,A924)</f>
        <v>46137</v>
      </c>
      <c r="J924" s="26" t="n">
        <f aca="false">_xlfn.MAXIFS(Transaction!$C$2:$C$8421,Transaction!$B$2:$B$8421,A924)</f>
        <v>46137</v>
      </c>
      <c r="K924" s="6" t="n">
        <f aca="false">COUNTIF(Transaction!$B$2:$B$8421,A924)</f>
        <v>1</v>
      </c>
      <c r="L924" s="10" t="n">
        <f aca="false">SUMIF(Transaction!$B$2:$B$8421,A924,Transaction!$H$2:$H$8421)</f>
        <v>2935</v>
      </c>
      <c r="M924" s="6" t="n">
        <f aca="false">Summary!$B$3-J924</f>
        <v>129</v>
      </c>
      <c r="N924" s="6" t="str">
        <f aca="false">IF(K924&gt;1,"Yes","No")</f>
        <v>No</v>
      </c>
      <c r="O924" s="6" t="s">
        <v>48</v>
      </c>
    </row>
    <row r="925" customFormat="false" ht="15" hidden="false" customHeight="false" outlineLevel="0" collapsed="false">
      <c r="A925" s="6" t="s">
        <v>1959</v>
      </c>
      <c r="B925" s="6" t="s">
        <v>1960</v>
      </c>
      <c r="C925" s="6" t="s">
        <v>85</v>
      </c>
      <c r="D925" s="6" t="n">
        <v>44</v>
      </c>
      <c r="E925" s="6" t="s">
        <v>81</v>
      </c>
      <c r="F925" s="6" t="s">
        <v>82</v>
      </c>
      <c r="G925" s="26" t="n">
        <v>46111</v>
      </c>
      <c r="H925" s="6" t="s">
        <v>88</v>
      </c>
      <c r="I925" s="26" t="n">
        <f aca="false">_xlfn.MINIFS(Transaction!$C$2:$C$8421,Transaction!$B$2:$B$8421,A925)</f>
        <v>46113</v>
      </c>
      <c r="J925" s="26" t="n">
        <f aca="false">_xlfn.MAXIFS(Transaction!$C$2:$C$8421,Transaction!$B$2:$B$8421,A925)</f>
        <v>46113</v>
      </c>
      <c r="K925" s="6" t="n">
        <f aca="false">COUNTIF(Transaction!$B$2:$B$8421,A925)</f>
        <v>1</v>
      </c>
      <c r="L925" s="10" t="n">
        <f aca="false">SUMIF(Transaction!$B$2:$B$8421,A925,Transaction!$H$2:$H$8421)</f>
        <v>977</v>
      </c>
      <c r="M925" s="6" t="n">
        <f aca="false">Summary!$B$3-J925</f>
        <v>153</v>
      </c>
      <c r="N925" s="6" t="str">
        <f aca="false">IF(K925&gt;1,"Yes","No")</f>
        <v>No</v>
      </c>
      <c r="O925" s="6" t="s">
        <v>48</v>
      </c>
    </row>
    <row r="926" customFormat="false" ht="15" hidden="false" customHeight="false" outlineLevel="0" collapsed="false">
      <c r="A926" s="6" t="s">
        <v>1961</v>
      </c>
      <c r="B926" s="6" t="s">
        <v>1962</v>
      </c>
      <c r="C926" s="6" t="s">
        <v>75</v>
      </c>
      <c r="D926" s="6" t="n">
        <v>29</v>
      </c>
      <c r="E926" s="6" t="s">
        <v>105</v>
      </c>
      <c r="F926" s="6" t="s">
        <v>106</v>
      </c>
      <c r="G926" s="26" t="n">
        <v>46217</v>
      </c>
      <c r="H926" s="6" t="s">
        <v>78</v>
      </c>
      <c r="I926" s="26" t="n">
        <f aca="false">_xlfn.MINIFS(Transaction!$C$2:$C$8421,Transaction!$B$2:$B$8421,A926)</f>
        <v>46237</v>
      </c>
      <c r="J926" s="26" t="n">
        <f aca="false">_xlfn.MAXIFS(Transaction!$C$2:$C$8421,Transaction!$B$2:$B$8421,A926)</f>
        <v>46237</v>
      </c>
      <c r="K926" s="6" t="n">
        <f aca="false">COUNTIF(Transaction!$B$2:$B$8421,A926)</f>
        <v>1</v>
      </c>
      <c r="L926" s="10" t="n">
        <f aca="false">SUMIF(Transaction!$B$2:$B$8421,A926,Transaction!$H$2:$H$8421)</f>
        <v>3716</v>
      </c>
      <c r="M926" s="6" t="n">
        <f aca="false">Summary!$B$3-J926</f>
        <v>29</v>
      </c>
      <c r="N926" s="6" t="str">
        <f aca="false">IF(K926&gt;1,"Yes","No")</f>
        <v>No</v>
      </c>
      <c r="O926" s="6" t="s">
        <v>47</v>
      </c>
    </row>
    <row r="927" customFormat="false" ht="15" hidden="false" customHeight="false" outlineLevel="0" collapsed="false">
      <c r="A927" s="6" t="s">
        <v>1963</v>
      </c>
      <c r="B927" s="6" t="s">
        <v>1964</v>
      </c>
      <c r="C927" s="6" t="s">
        <v>85</v>
      </c>
      <c r="D927" s="6" t="n">
        <v>18</v>
      </c>
      <c r="E927" s="6" t="s">
        <v>81</v>
      </c>
      <c r="F927" s="6" t="s">
        <v>82</v>
      </c>
      <c r="G927" s="26" t="n">
        <v>45964</v>
      </c>
      <c r="H927" s="6" t="s">
        <v>115</v>
      </c>
      <c r="I927" s="26" t="n">
        <f aca="false">_xlfn.MINIFS(Transaction!$C$2:$C$8421,Transaction!$B$2:$B$8421,A927)</f>
        <v>46025</v>
      </c>
      <c r="J927" s="26" t="n">
        <f aca="false">_xlfn.MAXIFS(Transaction!$C$2:$C$8421,Transaction!$B$2:$B$8421,A927)</f>
        <v>46249</v>
      </c>
      <c r="K927" s="6" t="n">
        <f aca="false">COUNTIF(Transaction!$B$2:$B$8421,A927)</f>
        <v>8</v>
      </c>
      <c r="L927" s="10" t="n">
        <f aca="false">SUMIF(Transaction!$B$2:$B$8421,A927,Transaction!$H$2:$H$8421)</f>
        <v>10617</v>
      </c>
      <c r="M927" s="6" t="n">
        <f aca="false">Summary!$B$3-J927</f>
        <v>17</v>
      </c>
      <c r="N927" s="6" t="str">
        <f aca="false">IF(K927&gt;1,"Yes","No")</f>
        <v>Yes</v>
      </c>
      <c r="O927" s="6" t="s">
        <v>45</v>
      </c>
    </row>
    <row r="928" customFormat="false" ht="15" hidden="false" customHeight="false" outlineLevel="0" collapsed="false">
      <c r="A928" s="6" t="s">
        <v>1965</v>
      </c>
      <c r="B928" s="6" t="s">
        <v>1966</v>
      </c>
      <c r="C928" s="6" t="s">
        <v>85</v>
      </c>
      <c r="D928" s="6" t="n">
        <v>27</v>
      </c>
      <c r="E928" s="6" t="s">
        <v>121</v>
      </c>
      <c r="F928" s="6" t="s">
        <v>122</v>
      </c>
      <c r="G928" s="26" t="n">
        <v>45961</v>
      </c>
      <c r="H928" s="6" t="s">
        <v>78</v>
      </c>
      <c r="I928" s="26" t="n">
        <f aca="false">_xlfn.MINIFS(Transaction!$C$2:$C$8421,Transaction!$B$2:$B$8421,A928)</f>
        <v>46038</v>
      </c>
      <c r="J928" s="26" t="n">
        <f aca="false">_xlfn.MAXIFS(Transaction!$C$2:$C$8421,Transaction!$B$2:$B$8421,A928)</f>
        <v>46255</v>
      </c>
      <c r="K928" s="6" t="n">
        <f aca="false">COUNTIF(Transaction!$B$2:$B$8421,A928)</f>
        <v>8</v>
      </c>
      <c r="L928" s="10" t="n">
        <f aca="false">SUMIF(Transaction!$B$2:$B$8421,A928,Transaction!$H$2:$H$8421)</f>
        <v>7638</v>
      </c>
      <c r="M928" s="6" t="n">
        <f aca="false">Summary!$B$3-J928</f>
        <v>11</v>
      </c>
      <c r="N928" s="6" t="str">
        <f aca="false">IF(K928&gt;1,"Yes","No")</f>
        <v>Yes</v>
      </c>
      <c r="O928" s="6" t="s">
        <v>45</v>
      </c>
    </row>
    <row r="929" customFormat="false" ht="15" hidden="false" customHeight="false" outlineLevel="0" collapsed="false">
      <c r="A929" s="6" t="s">
        <v>1967</v>
      </c>
      <c r="B929" s="6" t="s">
        <v>1968</v>
      </c>
      <c r="C929" s="6" t="s">
        <v>75</v>
      </c>
      <c r="D929" s="6" t="n">
        <v>28</v>
      </c>
      <c r="E929" s="6" t="s">
        <v>105</v>
      </c>
      <c r="F929" s="6" t="s">
        <v>106</v>
      </c>
      <c r="G929" s="26" t="n">
        <v>46152</v>
      </c>
      <c r="H929" s="6" t="s">
        <v>92</v>
      </c>
      <c r="I929" s="26" t="n">
        <f aca="false">_xlfn.MINIFS(Transaction!$C$2:$C$8421,Transaction!$B$2:$B$8421,A929)</f>
        <v>46215</v>
      </c>
      <c r="J929" s="26" t="n">
        <f aca="false">_xlfn.MAXIFS(Transaction!$C$2:$C$8421,Transaction!$B$2:$B$8421,A929)</f>
        <v>46215</v>
      </c>
      <c r="K929" s="6" t="n">
        <f aca="false">COUNTIF(Transaction!$B$2:$B$8421,A929)</f>
        <v>1</v>
      </c>
      <c r="L929" s="10" t="n">
        <f aca="false">SUMIF(Transaction!$B$2:$B$8421,A929,Transaction!$H$2:$H$8421)</f>
        <v>1564</v>
      </c>
      <c r="M929" s="6" t="n">
        <f aca="false">Summary!$B$3-J929</f>
        <v>51</v>
      </c>
      <c r="N929" s="6" t="str">
        <f aca="false">IF(K929&gt;1,"Yes","No")</f>
        <v>No</v>
      </c>
      <c r="O929" s="6" t="s">
        <v>47</v>
      </c>
    </row>
    <row r="930" customFormat="false" ht="15" hidden="false" customHeight="false" outlineLevel="0" collapsed="false">
      <c r="A930" s="6" t="s">
        <v>1969</v>
      </c>
      <c r="B930" s="6" t="s">
        <v>1970</v>
      </c>
      <c r="C930" s="6" t="s">
        <v>75</v>
      </c>
      <c r="D930" s="6" t="n">
        <v>39</v>
      </c>
      <c r="E930" s="6" t="s">
        <v>81</v>
      </c>
      <c r="F930" s="6" t="s">
        <v>82</v>
      </c>
      <c r="G930" s="26" t="n">
        <v>46150</v>
      </c>
      <c r="H930" s="6" t="s">
        <v>115</v>
      </c>
      <c r="I930" s="26" t="n">
        <f aca="false">_xlfn.MINIFS(Transaction!$C$2:$C$8421,Transaction!$B$2:$B$8421,A930)</f>
        <v>46156</v>
      </c>
      <c r="J930" s="26" t="n">
        <f aca="false">_xlfn.MAXIFS(Transaction!$C$2:$C$8421,Transaction!$B$2:$B$8421,A930)</f>
        <v>46156</v>
      </c>
      <c r="K930" s="6" t="n">
        <f aca="false">COUNTIF(Transaction!$B$2:$B$8421,A930)</f>
        <v>1</v>
      </c>
      <c r="L930" s="10" t="n">
        <f aca="false">SUMIF(Transaction!$B$2:$B$8421,A930,Transaction!$H$2:$H$8421)</f>
        <v>1954</v>
      </c>
      <c r="M930" s="6" t="n">
        <f aca="false">Summary!$B$3-J930</f>
        <v>110</v>
      </c>
      <c r="N930" s="6" t="str">
        <f aca="false">IF(K930&gt;1,"Yes","No")</f>
        <v>No</v>
      </c>
      <c r="O930" s="6" t="s">
        <v>48</v>
      </c>
    </row>
    <row r="931" customFormat="false" ht="15" hidden="false" customHeight="false" outlineLevel="0" collapsed="false">
      <c r="A931" s="6" t="s">
        <v>1971</v>
      </c>
      <c r="B931" s="6" t="s">
        <v>1972</v>
      </c>
      <c r="C931" s="6" t="s">
        <v>75</v>
      </c>
      <c r="D931" s="6" t="n">
        <v>27</v>
      </c>
      <c r="E931" s="6" t="s">
        <v>91</v>
      </c>
      <c r="F931" s="6" t="s">
        <v>77</v>
      </c>
      <c r="G931" s="26" t="n">
        <v>46172</v>
      </c>
      <c r="H931" s="6" t="s">
        <v>88</v>
      </c>
      <c r="I931" s="26" t="n">
        <f aca="false">_xlfn.MINIFS(Transaction!$C$2:$C$8421,Transaction!$B$2:$B$8421,A931)</f>
        <v>46214</v>
      </c>
      <c r="J931" s="26" t="n">
        <f aca="false">_xlfn.MAXIFS(Transaction!$C$2:$C$8421,Transaction!$B$2:$B$8421,A931)</f>
        <v>46214</v>
      </c>
      <c r="K931" s="6" t="n">
        <f aca="false">COUNTIF(Transaction!$B$2:$B$8421,A931)</f>
        <v>1</v>
      </c>
      <c r="L931" s="10" t="n">
        <f aca="false">SUMIF(Transaction!$B$2:$B$8421,A931,Transaction!$H$2:$H$8421)</f>
        <v>912</v>
      </c>
      <c r="M931" s="6" t="n">
        <f aca="false">Summary!$B$3-J931</f>
        <v>52</v>
      </c>
      <c r="N931" s="6" t="str">
        <f aca="false">IF(K931&gt;1,"Yes","No")</f>
        <v>No</v>
      </c>
      <c r="O931" s="6" t="s">
        <v>47</v>
      </c>
    </row>
    <row r="932" customFormat="false" ht="15" hidden="false" customHeight="false" outlineLevel="0" collapsed="false">
      <c r="A932" s="6" t="s">
        <v>1973</v>
      </c>
      <c r="B932" s="6" t="s">
        <v>1974</v>
      </c>
      <c r="C932" s="6" t="s">
        <v>75</v>
      </c>
      <c r="D932" s="6" t="n">
        <v>24</v>
      </c>
      <c r="E932" s="6" t="s">
        <v>81</v>
      </c>
      <c r="F932" s="6" t="s">
        <v>82</v>
      </c>
      <c r="G932" s="26" t="n">
        <v>46083</v>
      </c>
      <c r="H932" s="6" t="s">
        <v>115</v>
      </c>
      <c r="I932" s="26" t="n">
        <f aca="false">_xlfn.MINIFS(Transaction!$C$2:$C$8421,Transaction!$B$2:$B$8421,A932)</f>
        <v>46097</v>
      </c>
      <c r="J932" s="26" t="n">
        <f aca="false">_xlfn.MAXIFS(Transaction!$C$2:$C$8421,Transaction!$B$2:$B$8421,A932)</f>
        <v>46188</v>
      </c>
      <c r="K932" s="6" t="n">
        <f aca="false">COUNTIF(Transaction!$B$2:$B$8421,A932)</f>
        <v>2</v>
      </c>
      <c r="L932" s="10" t="n">
        <f aca="false">SUMIF(Transaction!$B$2:$B$8421,A932,Transaction!$H$2:$H$8421)</f>
        <v>2135</v>
      </c>
      <c r="M932" s="6" t="n">
        <f aca="false">Summary!$B$3-J932</f>
        <v>78</v>
      </c>
      <c r="N932" s="6" t="str">
        <f aca="false">IF(K932&gt;1,"Yes","No")</f>
        <v>Yes</v>
      </c>
      <c r="O932" s="6" t="s">
        <v>46</v>
      </c>
    </row>
    <row r="933" customFormat="false" ht="15" hidden="false" customHeight="false" outlineLevel="0" collapsed="false">
      <c r="A933" s="6" t="s">
        <v>1975</v>
      </c>
      <c r="B933" s="6" t="s">
        <v>1976</v>
      </c>
      <c r="C933" s="6" t="s">
        <v>85</v>
      </c>
      <c r="D933" s="6" t="n">
        <v>29</v>
      </c>
      <c r="E933" s="6" t="s">
        <v>76</v>
      </c>
      <c r="F933" s="6" t="s">
        <v>77</v>
      </c>
      <c r="G933" s="26" t="n">
        <v>46093</v>
      </c>
      <c r="H933" s="6" t="s">
        <v>123</v>
      </c>
      <c r="I933" s="26" t="n">
        <f aca="false">_xlfn.MINIFS(Transaction!$C$2:$C$8421,Transaction!$B$2:$B$8421,A933)</f>
        <v>46147</v>
      </c>
      <c r="J933" s="26" t="n">
        <f aca="false">_xlfn.MAXIFS(Transaction!$C$2:$C$8421,Transaction!$B$2:$B$8421,A933)</f>
        <v>46147</v>
      </c>
      <c r="K933" s="6" t="n">
        <f aca="false">COUNTIF(Transaction!$B$2:$B$8421,A933)</f>
        <v>1</v>
      </c>
      <c r="L933" s="10" t="n">
        <f aca="false">SUMIF(Transaction!$B$2:$B$8421,A933,Transaction!$H$2:$H$8421)</f>
        <v>1835</v>
      </c>
      <c r="M933" s="6" t="n">
        <f aca="false">Summary!$B$3-J933</f>
        <v>119</v>
      </c>
      <c r="N933" s="6" t="str">
        <f aca="false">IF(K933&gt;1,"Yes","No")</f>
        <v>No</v>
      </c>
      <c r="O933" s="6" t="s">
        <v>48</v>
      </c>
    </row>
    <row r="934" customFormat="false" ht="15" hidden="false" customHeight="false" outlineLevel="0" collapsed="false">
      <c r="A934" s="6" t="s">
        <v>1977</v>
      </c>
      <c r="B934" s="6" t="s">
        <v>1978</v>
      </c>
      <c r="C934" s="6" t="s">
        <v>85</v>
      </c>
      <c r="D934" s="6" t="n">
        <v>43</v>
      </c>
      <c r="E934" s="6" t="s">
        <v>95</v>
      </c>
      <c r="F934" s="6" t="s">
        <v>95</v>
      </c>
      <c r="G934" s="26" t="n">
        <v>46140</v>
      </c>
      <c r="H934" s="6" t="s">
        <v>88</v>
      </c>
      <c r="I934" s="26" t="n">
        <f aca="false">_xlfn.MINIFS(Transaction!$C$2:$C$8421,Transaction!$B$2:$B$8421,A934)</f>
        <v>46201</v>
      </c>
      <c r="J934" s="26" t="n">
        <f aca="false">_xlfn.MAXIFS(Transaction!$C$2:$C$8421,Transaction!$B$2:$B$8421,A934)</f>
        <v>46201</v>
      </c>
      <c r="K934" s="6" t="n">
        <f aca="false">COUNTIF(Transaction!$B$2:$B$8421,A934)</f>
        <v>1</v>
      </c>
      <c r="L934" s="10" t="n">
        <f aca="false">SUMIF(Transaction!$B$2:$B$8421,A934,Transaction!$H$2:$H$8421)</f>
        <v>977</v>
      </c>
      <c r="M934" s="6" t="n">
        <f aca="false">Summary!$B$3-J934</f>
        <v>65</v>
      </c>
      <c r="N934" s="6" t="str">
        <f aca="false">IF(K934&gt;1,"Yes","No")</f>
        <v>No</v>
      </c>
      <c r="O934" s="6" t="s">
        <v>47</v>
      </c>
    </row>
    <row r="935" customFormat="false" ht="15" hidden="false" customHeight="false" outlineLevel="0" collapsed="false">
      <c r="A935" s="6" t="s">
        <v>1979</v>
      </c>
      <c r="B935" s="6" t="s">
        <v>1980</v>
      </c>
      <c r="C935" s="6" t="s">
        <v>75</v>
      </c>
      <c r="D935" s="6" t="n">
        <v>24</v>
      </c>
      <c r="E935" s="6" t="s">
        <v>118</v>
      </c>
      <c r="F935" s="6" t="s">
        <v>77</v>
      </c>
      <c r="G935" s="26" t="n">
        <v>46170</v>
      </c>
      <c r="H935" s="6" t="s">
        <v>88</v>
      </c>
      <c r="I935" s="26" t="n">
        <f aca="false">_xlfn.MINIFS(Transaction!$C$2:$C$8421,Transaction!$B$2:$B$8421,A935)</f>
        <v>46218</v>
      </c>
      <c r="J935" s="26" t="n">
        <f aca="false">_xlfn.MAXIFS(Transaction!$C$2:$C$8421,Transaction!$B$2:$B$8421,A935)</f>
        <v>46218</v>
      </c>
      <c r="K935" s="6" t="n">
        <f aca="false">COUNTIF(Transaction!$B$2:$B$8421,A935)</f>
        <v>1</v>
      </c>
      <c r="L935" s="10" t="n">
        <f aca="false">SUMIF(Transaction!$B$2:$B$8421,A935,Transaction!$H$2:$H$8421)</f>
        <v>708</v>
      </c>
      <c r="M935" s="6" t="n">
        <f aca="false">Summary!$B$3-J935</f>
        <v>48</v>
      </c>
      <c r="N935" s="6" t="str">
        <f aca="false">IF(K935&gt;1,"Yes","No")</f>
        <v>No</v>
      </c>
      <c r="O935" s="6" t="s">
        <v>47</v>
      </c>
    </row>
    <row r="936" customFormat="false" ht="15" hidden="false" customHeight="false" outlineLevel="0" collapsed="false">
      <c r="A936" s="6" t="s">
        <v>1981</v>
      </c>
      <c r="B936" s="6" t="s">
        <v>1982</v>
      </c>
      <c r="C936" s="6" t="s">
        <v>75</v>
      </c>
      <c r="D936" s="6" t="n">
        <v>37</v>
      </c>
      <c r="E936" s="6" t="s">
        <v>81</v>
      </c>
      <c r="F936" s="6" t="s">
        <v>82</v>
      </c>
      <c r="G936" s="26" t="n">
        <v>45951</v>
      </c>
      <c r="H936" s="6" t="s">
        <v>92</v>
      </c>
      <c r="I936" s="26" t="n">
        <f aca="false">_xlfn.MINIFS(Transaction!$C$2:$C$8421,Transaction!$B$2:$B$8421,A936)</f>
        <v>46041</v>
      </c>
      <c r="J936" s="26" t="n">
        <f aca="false">_xlfn.MAXIFS(Transaction!$C$2:$C$8421,Transaction!$B$2:$B$8421,A936)</f>
        <v>46215</v>
      </c>
      <c r="K936" s="6" t="n">
        <f aca="false">COUNTIF(Transaction!$B$2:$B$8421,A936)</f>
        <v>5</v>
      </c>
      <c r="L936" s="10" t="n">
        <f aca="false">SUMIF(Transaction!$B$2:$B$8421,A936,Transaction!$H$2:$H$8421)</f>
        <v>10378</v>
      </c>
      <c r="M936" s="6" t="n">
        <f aca="false">Summary!$B$3-J936</f>
        <v>51</v>
      </c>
      <c r="N936" s="6" t="str">
        <f aca="false">IF(K936&gt;1,"Yes","No")</f>
        <v>Yes</v>
      </c>
      <c r="O936" s="6" t="s">
        <v>46</v>
      </c>
    </row>
    <row r="937" customFormat="false" ht="15" hidden="false" customHeight="false" outlineLevel="0" collapsed="false">
      <c r="A937" s="6" t="s">
        <v>1983</v>
      </c>
      <c r="B937" s="6" t="s">
        <v>1984</v>
      </c>
      <c r="C937" s="6" t="s">
        <v>85</v>
      </c>
      <c r="D937" s="6" t="n">
        <v>21</v>
      </c>
      <c r="E937" s="6" t="s">
        <v>86</v>
      </c>
      <c r="F937" s="6" t="s">
        <v>87</v>
      </c>
      <c r="G937" s="26" t="n">
        <v>45982</v>
      </c>
      <c r="H937" s="6" t="s">
        <v>115</v>
      </c>
      <c r="I937" s="26" t="n">
        <f aca="false">_xlfn.MINIFS(Transaction!$C$2:$C$8421,Transaction!$B$2:$B$8421,A937)</f>
        <v>46056</v>
      </c>
      <c r="J937" s="26" t="n">
        <f aca="false">_xlfn.MAXIFS(Transaction!$C$2:$C$8421,Transaction!$B$2:$B$8421,A937)</f>
        <v>46056</v>
      </c>
      <c r="K937" s="6" t="n">
        <f aca="false">COUNTIF(Transaction!$B$2:$B$8421,A937)</f>
        <v>1</v>
      </c>
      <c r="L937" s="10" t="n">
        <f aca="false">SUMIF(Transaction!$B$2:$B$8421,A937,Transaction!$H$2:$H$8421)</f>
        <v>1833</v>
      </c>
      <c r="M937" s="6" t="n">
        <f aca="false">Summary!$B$3-J937</f>
        <v>210</v>
      </c>
      <c r="N937" s="6" t="str">
        <f aca="false">IF(K937&gt;1,"Yes","No")</f>
        <v>No</v>
      </c>
      <c r="O937" s="6" t="s">
        <v>49</v>
      </c>
    </row>
    <row r="938" customFormat="false" ht="15" hidden="false" customHeight="false" outlineLevel="0" collapsed="false">
      <c r="A938" s="6" t="s">
        <v>1985</v>
      </c>
      <c r="B938" s="6" t="s">
        <v>1986</v>
      </c>
      <c r="C938" s="6" t="s">
        <v>85</v>
      </c>
      <c r="D938" s="6" t="n">
        <v>56</v>
      </c>
      <c r="E938" s="6" t="s">
        <v>146</v>
      </c>
      <c r="F938" s="6" t="s">
        <v>147</v>
      </c>
      <c r="G938" s="26" t="n">
        <v>46132</v>
      </c>
      <c r="H938" s="6" t="s">
        <v>78</v>
      </c>
      <c r="I938" s="26" t="n">
        <f aca="false">_xlfn.MINIFS(Transaction!$C$2:$C$8421,Transaction!$B$2:$B$8421,A938)</f>
        <v>46181</v>
      </c>
      <c r="J938" s="26" t="n">
        <f aca="false">_xlfn.MAXIFS(Transaction!$C$2:$C$8421,Transaction!$B$2:$B$8421,A938)</f>
        <v>46181</v>
      </c>
      <c r="K938" s="6" t="n">
        <f aca="false">COUNTIF(Transaction!$B$2:$B$8421,A938)</f>
        <v>1</v>
      </c>
      <c r="L938" s="10" t="n">
        <f aca="false">SUMIF(Transaction!$B$2:$B$8421,A938,Transaction!$H$2:$H$8421)</f>
        <v>1521</v>
      </c>
      <c r="M938" s="6" t="n">
        <f aca="false">Summary!$B$3-J938</f>
        <v>85</v>
      </c>
      <c r="N938" s="6" t="str">
        <f aca="false">IF(K938&gt;1,"Yes","No")</f>
        <v>No</v>
      </c>
      <c r="O938" s="6" t="s">
        <v>47</v>
      </c>
    </row>
    <row r="939" customFormat="false" ht="15" hidden="false" customHeight="false" outlineLevel="0" collapsed="false">
      <c r="A939" s="6" t="s">
        <v>1987</v>
      </c>
      <c r="B939" s="6" t="s">
        <v>1988</v>
      </c>
      <c r="C939" s="6" t="s">
        <v>75</v>
      </c>
      <c r="D939" s="6" t="n">
        <v>18</v>
      </c>
      <c r="E939" s="6" t="s">
        <v>146</v>
      </c>
      <c r="F939" s="6" t="s">
        <v>147</v>
      </c>
      <c r="G939" s="26" t="n">
        <v>46259</v>
      </c>
      <c r="H939" s="6" t="s">
        <v>115</v>
      </c>
      <c r="I939" s="26" t="n">
        <f aca="false">_xlfn.MINIFS(Transaction!$C$2:$C$8421,Transaction!$B$2:$B$8421,A939)</f>
        <v>46261</v>
      </c>
      <c r="J939" s="26" t="n">
        <f aca="false">_xlfn.MAXIFS(Transaction!$C$2:$C$8421,Transaction!$B$2:$B$8421,A939)</f>
        <v>46261</v>
      </c>
      <c r="K939" s="6" t="n">
        <f aca="false">COUNTIF(Transaction!$B$2:$B$8421,A939)</f>
        <v>1</v>
      </c>
      <c r="L939" s="10" t="n">
        <f aca="false">SUMIF(Transaction!$B$2:$B$8421,A939,Transaction!$H$2:$H$8421)</f>
        <v>2038</v>
      </c>
      <c r="M939" s="6" t="n">
        <f aca="false">Summary!$B$3-J939</f>
        <v>5</v>
      </c>
      <c r="N939" s="6" t="str">
        <f aca="false">IF(K939&gt;1,"Yes","No")</f>
        <v>No</v>
      </c>
      <c r="O939" s="6" t="s">
        <v>47</v>
      </c>
    </row>
    <row r="940" customFormat="false" ht="15" hidden="false" customHeight="false" outlineLevel="0" collapsed="false">
      <c r="A940" s="6" t="s">
        <v>1989</v>
      </c>
      <c r="B940" s="6" t="s">
        <v>1990</v>
      </c>
      <c r="C940" s="6" t="s">
        <v>75</v>
      </c>
      <c r="D940" s="6" t="n">
        <v>37</v>
      </c>
      <c r="E940" s="6" t="s">
        <v>176</v>
      </c>
      <c r="F940" s="6" t="s">
        <v>177</v>
      </c>
      <c r="G940" s="26" t="n">
        <v>46135</v>
      </c>
      <c r="H940" s="6" t="s">
        <v>78</v>
      </c>
      <c r="I940" s="26" t="n">
        <f aca="false">_xlfn.MINIFS(Transaction!$C$2:$C$8421,Transaction!$B$2:$B$8421,A940)</f>
        <v>46147</v>
      </c>
      <c r="J940" s="26" t="n">
        <f aca="false">_xlfn.MAXIFS(Transaction!$C$2:$C$8421,Transaction!$B$2:$B$8421,A940)</f>
        <v>46147</v>
      </c>
      <c r="K940" s="6" t="n">
        <f aca="false">COUNTIF(Transaction!$B$2:$B$8421,A940)</f>
        <v>1</v>
      </c>
      <c r="L940" s="10" t="n">
        <f aca="false">SUMIF(Transaction!$B$2:$B$8421,A940,Transaction!$H$2:$H$8421)</f>
        <v>2036</v>
      </c>
      <c r="M940" s="6" t="n">
        <f aca="false">Summary!$B$3-J940</f>
        <v>119</v>
      </c>
      <c r="N940" s="6" t="str">
        <f aca="false">IF(K940&gt;1,"Yes","No")</f>
        <v>No</v>
      </c>
      <c r="O940" s="6" t="s">
        <v>48</v>
      </c>
    </row>
    <row r="941" customFormat="false" ht="15" hidden="false" customHeight="false" outlineLevel="0" collapsed="false">
      <c r="A941" s="6" t="s">
        <v>1991</v>
      </c>
      <c r="B941" s="6" t="s">
        <v>1992</v>
      </c>
      <c r="C941" s="6" t="s">
        <v>85</v>
      </c>
      <c r="D941" s="6" t="n">
        <v>36</v>
      </c>
      <c r="E941" s="6" t="s">
        <v>81</v>
      </c>
      <c r="F941" s="6" t="s">
        <v>82</v>
      </c>
      <c r="G941" s="26" t="n">
        <v>46039</v>
      </c>
      <c r="H941" s="6" t="s">
        <v>88</v>
      </c>
      <c r="I941" s="26" t="n">
        <f aca="false">_xlfn.MINIFS(Transaction!$C$2:$C$8421,Transaction!$B$2:$B$8421,A941)</f>
        <v>46064</v>
      </c>
      <c r="J941" s="26" t="n">
        <f aca="false">_xlfn.MAXIFS(Transaction!$C$2:$C$8421,Transaction!$B$2:$B$8421,A941)</f>
        <v>46185</v>
      </c>
      <c r="K941" s="6" t="n">
        <f aca="false">COUNTIF(Transaction!$B$2:$B$8421,A941)</f>
        <v>6</v>
      </c>
      <c r="L941" s="10" t="n">
        <f aca="false">SUMIF(Transaction!$B$2:$B$8421,A941,Transaction!$H$2:$H$8421)</f>
        <v>15144</v>
      </c>
      <c r="M941" s="6" t="n">
        <f aca="false">Summary!$B$3-J941</f>
        <v>81</v>
      </c>
      <c r="N941" s="6" t="str">
        <f aca="false">IF(K941&gt;1,"Yes","No")</f>
        <v>Yes</v>
      </c>
      <c r="O941" s="6" t="s">
        <v>46</v>
      </c>
    </row>
    <row r="942" customFormat="false" ht="15" hidden="false" customHeight="false" outlineLevel="0" collapsed="false">
      <c r="A942" s="6" t="s">
        <v>1993</v>
      </c>
      <c r="B942" s="6" t="s">
        <v>1994</v>
      </c>
      <c r="C942" s="6" t="s">
        <v>75</v>
      </c>
      <c r="D942" s="6" t="n">
        <v>24</v>
      </c>
      <c r="E942" s="6" t="s">
        <v>91</v>
      </c>
      <c r="F942" s="6" t="s">
        <v>77</v>
      </c>
      <c r="G942" s="26" t="n">
        <v>45969</v>
      </c>
      <c r="H942" s="6" t="s">
        <v>123</v>
      </c>
      <c r="I942" s="26" t="n">
        <f aca="false">_xlfn.MINIFS(Transaction!$C$2:$C$8421,Transaction!$B$2:$B$8421,A942)</f>
        <v>46050</v>
      </c>
      <c r="J942" s="26" t="n">
        <f aca="false">_xlfn.MAXIFS(Transaction!$C$2:$C$8421,Transaction!$B$2:$B$8421,A942)</f>
        <v>46258</v>
      </c>
      <c r="K942" s="6" t="n">
        <f aca="false">COUNTIF(Transaction!$B$2:$B$8421,A942)</f>
        <v>10</v>
      </c>
      <c r="L942" s="10" t="n">
        <f aca="false">SUMIF(Transaction!$B$2:$B$8421,A942,Transaction!$H$2:$H$8421)</f>
        <v>13747</v>
      </c>
      <c r="M942" s="6" t="n">
        <f aca="false">Summary!$B$3-J942</f>
        <v>8</v>
      </c>
      <c r="N942" s="6" t="str">
        <f aca="false">IF(K942&gt;1,"Yes","No")</f>
        <v>Yes</v>
      </c>
      <c r="O942" s="6" t="s">
        <v>45</v>
      </c>
    </row>
    <row r="943" customFormat="false" ht="15" hidden="false" customHeight="false" outlineLevel="0" collapsed="false">
      <c r="A943" s="6" t="s">
        <v>1995</v>
      </c>
      <c r="B943" s="6" t="s">
        <v>1996</v>
      </c>
      <c r="C943" s="6" t="s">
        <v>85</v>
      </c>
      <c r="D943" s="6" t="n">
        <v>28</v>
      </c>
      <c r="E943" s="6" t="s">
        <v>176</v>
      </c>
      <c r="F943" s="6" t="s">
        <v>177</v>
      </c>
      <c r="G943" s="26" t="n">
        <v>46106</v>
      </c>
      <c r="H943" s="6" t="s">
        <v>92</v>
      </c>
      <c r="I943" s="26" t="n">
        <f aca="false">_xlfn.MINIFS(Transaction!$C$2:$C$8421,Transaction!$B$2:$B$8421,A943)</f>
        <v>46128</v>
      </c>
      <c r="J943" s="26" t="n">
        <f aca="false">_xlfn.MAXIFS(Transaction!$C$2:$C$8421,Transaction!$B$2:$B$8421,A943)</f>
        <v>46128</v>
      </c>
      <c r="K943" s="6" t="n">
        <f aca="false">COUNTIF(Transaction!$B$2:$B$8421,A943)</f>
        <v>1</v>
      </c>
      <c r="L943" s="10" t="n">
        <f aca="false">SUMIF(Transaction!$B$2:$B$8421,A943,Transaction!$H$2:$H$8421)</f>
        <v>1768</v>
      </c>
      <c r="M943" s="6" t="n">
        <f aca="false">Summary!$B$3-J943</f>
        <v>138</v>
      </c>
      <c r="N943" s="6" t="str">
        <f aca="false">IF(K943&gt;1,"Yes","No")</f>
        <v>No</v>
      </c>
      <c r="O943" s="6" t="s">
        <v>48</v>
      </c>
    </row>
    <row r="944" customFormat="false" ht="15" hidden="false" customHeight="false" outlineLevel="0" collapsed="false">
      <c r="A944" s="6" t="s">
        <v>1997</v>
      </c>
      <c r="B944" s="6" t="s">
        <v>1998</v>
      </c>
      <c r="C944" s="6" t="s">
        <v>85</v>
      </c>
      <c r="D944" s="6" t="n">
        <v>33</v>
      </c>
      <c r="E944" s="6" t="s">
        <v>91</v>
      </c>
      <c r="F944" s="6" t="s">
        <v>77</v>
      </c>
      <c r="G944" s="26" t="n">
        <v>46122</v>
      </c>
      <c r="H944" s="6" t="s">
        <v>78</v>
      </c>
      <c r="I944" s="26" t="n">
        <f aca="false">_xlfn.MINIFS(Transaction!$C$2:$C$8421,Transaction!$B$2:$B$8421,A944)</f>
        <v>46131</v>
      </c>
      <c r="J944" s="26" t="n">
        <f aca="false">_xlfn.MAXIFS(Transaction!$C$2:$C$8421,Transaction!$B$2:$B$8421,A944)</f>
        <v>46131</v>
      </c>
      <c r="K944" s="6" t="n">
        <f aca="false">COUNTIF(Transaction!$B$2:$B$8421,A944)</f>
        <v>1</v>
      </c>
      <c r="L944" s="10" t="n">
        <f aca="false">SUMIF(Transaction!$B$2:$B$8421,A944,Transaction!$H$2:$H$8421)</f>
        <v>1220</v>
      </c>
      <c r="M944" s="6" t="n">
        <f aca="false">Summary!$B$3-J944</f>
        <v>135</v>
      </c>
      <c r="N944" s="6" t="str">
        <f aca="false">IF(K944&gt;1,"Yes","No")</f>
        <v>No</v>
      </c>
      <c r="O944" s="6" t="s">
        <v>48</v>
      </c>
    </row>
    <row r="945" customFormat="false" ht="15" hidden="false" customHeight="false" outlineLevel="0" collapsed="false">
      <c r="A945" s="6" t="s">
        <v>1999</v>
      </c>
      <c r="B945" s="6" t="s">
        <v>2000</v>
      </c>
      <c r="C945" s="6" t="s">
        <v>75</v>
      </c>
      <c r="D945" s="6" t="n">
        <v>32</v>
      </c>
      <c r="E945" s="6" t="s">
        <v>81</v>
      </c>
      <c r="F945" s="6" t="s">
        <v>82</v>
      </c>
      <c r="G945" s="26" t="n">
        <v>46123</v>
      </c>
      <c r="H945" s="6" t="s">
        <v>102</v>
      </c>
      <c r="I945" s="26" t="n">
        <f aca="false">_xlfn.MINIFS(Transaction!$C$2:$C$8421,Transaction!$B$2:$B$8421,A945)</f>
        <v>46142</v>
      </c>
      <c r="J945" s="26" t="n">
        <f aca="false">_xlfn.MAXIFS(Transaction!$C$2:$C$8421,Transaction!$B$2:$B$8421,A945)</f>
        <v>46214</v>
      </c>
      <c r="K945" s="6" t="n">
        <f aca="false">COUNTIF(Transaction!$B$2:$B$8421,A945)</f>
        <v>2</v>
      </c>
      <c r="L945" s="10" t="n">
        <f aca="false">SUMIF(Transaction!$B$2:$B$8421,A945,Transaction!$H$2:$H$8421)</f>
        <v>2738</v>
      </c>
      <c r="M945" s="6" t="n">
        <f aca="false">Summary!$B$3-J945</f>
        <v>52</v>
      </c>
      <c r="N945" s="6" t="str">
        <f aca="false">IF(K945&gt;1,"Yes","No")</f>
        <v>Yes</v>
      </c>
      <c r="O945" s="6" t="s">
        <v>46</v>
      </c>
    </row>
    <row r="946" customFormat="false" ht="15" hidden="false" customHeight="false" outlineLevel="0" collapsed="false">
      <c r="A946" s="6" t="s">
        <v>2001</v>
      </c>
      <c r="B946" s="6" t="s">
        <v>2002</v>
      </c>
      <c r="C946" s="6" t="s">
        <v>75</v>
      </c>
      <c r="D946" s="6" t="n">
        <v>28</v>
      </c>
      <c r="E946" s="6" t="s">
        <v>91</v>
      </c>
      <c r="F946" s="6" t="s">
        <v>77</v>
      </c>
      <c r="G946" s="26" t="n">
        <v>46008</v>
      </c>
      <c r="H946" s="6" t="s">
        <v>78</v>
      </c>
      <c r="I946" s="26" t="n">
        <f aca="false">_xlfn.MINIFS(Transaction!$C$2:$C$8421,Transaction!$B$2:$B$8421,A946)</f>
        <v>46067</v>
      </c>
      <c r="J946" s="26" t="n">
        <f aca="false">_xlfn.MAXIFS(Transaction!$C$2:$C$8421,Transaction!$B$2:$B$8421,A946)</f>
        <v>46205</v>
      </c>
      <c r="K946" s="6" t="n">
        <f aca="false">COUNTIF(Transaction!$B$2:$B$8421,A946)</f>
        <v>5</v>
      </c>
      <c r="L946" s="10" t="n">
        <f aca="false">SUMIF(Transaction!$B$2:$B$8421,A946,Transaction!$H$2:$H$8421)</f>
        <v>18363</v>
      </c>
      <c r="M946" s="6" t="n">
        <f aca="false">Summary!$B$3-J946</f>
        <v>61</v>
      </c>
      <c r="N946" s="6" t="str">
        <f aca="false">IF(K946&gt;1,"Yes","No")</f>
        <v>Yes</v>
      </c>
      <c r="O946" s="6" t="s">
        <v>46</v>
      </c>
    </row>
    <row r="947" customFormat="false" ht="15" hidden="false" customHeight="false" outlineLevel="0" collapsed="false">
      <c r="A947" s="6" t="s">
        <v>2003</v>
      </c>
      <c r="B947" s="6" t="s">
        <v>2004</v>
      </c>
      <c r="C947" s="6" t="s">
        <v>75</v>
      </c>
      <c r="D947" s="6" t="n">
        <v>31</v>
      </c>
      <c r="E947" s="6" t="s">
        <v>81</v>
      </c>
      <c r="F947" s="6" t="s">
        <v>82</v>
      </c>
      <c r="G947" s="26" t="n">
        <v>46020</v>
      </c>
      <c r="H947" s="6" t="s">
        <v>78</v>
      </c>
      <c r="I947" s="26" t="n">
        <f aca="false">_xlfn.MINIFS(Transaction!$C$2:$C$8421,Transaction!$B$2:$B$8421,A947)</f>
        <v>46031</v>
      </c>
      <c r="J947" s="26" t="n">
        <f aca="false">_xlfn.MAXIFS(Transaction!$C$2:$C$8421,Transaction!$B$2:$B$8421,A947)</f>
        <v>46248</v>
      </c>
      <c r="K947" s="6" t="n">
        <f aca="false">COUNTIF(Transaction!$B$2:$B$8421,A947)</f>
        <v>10</v>
      </c>
      <c r="L947" s="10" t="n">
        <f aca="false">SUMIF(Transaction!$B$2:$B$8421,A947,Transaction!$H$2:$H$8421)</f>
        <v>17128</v>
      </c>
      <c r="M947" s="6" t="n">
        <f aca="false">Summary!$B$3-J947</f>
        <v>18</v>
      </c>
      <c r="N947" s="6" t="str">
        <f aca="false">IF(K947&gt;1,"Yes","No")</f>
        <v>Yes</v>
      </c>
      <c r="O947" s="6" t="s">
        <v>45</v>
      </c>
    </row>
    <row r="948" customFormat="false" ht="15" hidden="false" customHeight="false" outlineLevel="0" collapsed="false">
      <c r="A948" s="6" t="s">
        <v>2005</v>
      </c>
      <c r="B948" s="6" t="s">
        <v>2006</v>
      </c>
      <c r="C948" s="6" t="s">
        <v>75</v>
      </c>
      <c r="D948" s="6" t="n">
        <v>18</v>
      </c>
      <c r="E948" s="6" t="s">
        <v>121</v>
      </c>
      <c r="F948" s="6" t="s">
        <v>122</v>
      </c>
      <c r="G948" s="26" t="n">
        <v>45971</v>
      </c>
      <c r="H948" s="6" t="s">
        <v>78</v>
      </c>
      <c r="I948" s="26" t="n">
        <f aca="false">_xlfn.MINIFS(Transaction!$C$2:$C$8421,Transaction!$B$2:$B$8421,A948)</f>
        <v>46031</v>
      </c>
      <c r="J948" s="26" t="n">
        <f aca="false">_xlfn.MAXIFS(Transaction!$C$2:$C$8421,Transaction!$B$2:$B$8421,A948)</f>
        <v>46259</v>
      </c>
      <c r="K948" s="6" t="n">
        <f aca="false">COUNTIF(Transaction!$B$2:$B$8421,A948)</f>
        <v>8</v>
      </c>
      <c r="L948" s="10" t="n">
        <f aca="false">SUMIF(Transaction!$B$2:$B$8421,A948,Transaction!$H$2:$H$8421)</f>
        <v>17556</v>
      </c>
      <c r="M948" s="6" t="n">
        <f aca="false">Summary!$B$3-J948</f>
        <v>7</v>
      </c>
      <c r="N948" s="6" t="str">
        <f aca="false">IF(K948&gt;1,"Yes","No")</f>
        <v>Yes</v>
      </c>
      <c r="O948" s="6" t="s">
        <v>45</v>
      </c>
    </row>
    <row r="949" customFormat="false" ht="15" hidden="false" customHeight="false" outlineLevel="0" collapsed="false">
      <c r="A949" s="6" t="s">
        <v>2007</v>
      </c>
      <c r="B949" s="6" t="s">
        <v>2008</v>
      </c>
      <c r="C949" s="6" t="s">
        <v>75</v>
      </c>
      <c r="D949" s="6" t="n">
        <v>41</v>
      </c>
      <c r="E949" s="6" t="s">
        <v>105</v>
      </c>
      <c r="F949" s="6" t="s">
        <v>106</v>
      </c>
      <c r="G949" s="26" t="n">
        <v>46091</v>
      </c>
      <c r="H949" s="6" t="s">
        <v>78</v>
      </c>
      <c r="I949" s="26" t="n">
        <f aca="false">_xlfn.MINIFS(Transaction!$C$2:$C$8421,Transaction!$B$2:$B$8421,A949)</f>
        <v>46177</v>
      </c>
      <c r="J949" s="26" t="n">
        <f aca="false">_xlfn.MAXIFS(Transaction!$C$2:$C$8421,Transaction!$B$2:$B$8421,A949)</f>
        <v>46177</v>
      </c>
      <c r="K949" s="6" t="n">
        <f aca="false">COUNTIF(Transaction!$B$2:$B$8421,A949)</f>
        <v>1</v>
      </c>
      <c r="L949" s="10" t="n">
        <f aca="false">SUMIF(Transaction!$B$2:$B$8421,A949,Transaction!$H$2:$H$8421)</f>
        <v>3536</v>
      </c>
      <c r="M949" s="6" t="n">
        <f aca="false">Summary!$B$3-J949</f>
        <v>89</v>
      </c>
      <c r="N949" s="6" t="str">
        <f aca="false">IF(K949&gt;1,"Yes","No")</f>
        <v>No</v>
      </c>
      <c r="O949" s="6" t="s">
        <v>47</v>
      </c>
    </row>
    <row r="950" customFormat="false" ht="15" hidden="false" customHeight="false" outlineLevel="0" collapsed="false">
      <c r="A950" s="6" t="s">
        <v>2009</v>
      </c>
      <c r="B950" s="6" t="s">
        <v>2010</v>
      </c>
      <c r="C950" s="6" t="s">
        <v>75</v>
      </c>
      <c r="D950" s="6" t="n">
        <v>35</v>
      </c>
      <c r="E950" s="6" t="s">
        <v>86</v>
      </c>
      <c r="F950" s="6" t="s">
        <v>87</v>
      </c>
      <c r="G950" s="26" t="n">
        <v>46026</v>
      </c>
      <c r="H950" s="6" t="s">
        <v>92</v>
      </c>
      <c r="I950" s="26" t="n">
        <f aca="false">_xlfn.MINIFS(Transaction!$C$2:$C$8421,Transaction!$B$2:$B$8421,A950)</f>
        <v>46057</v>
      </c>
      <c r="J950" s="26" t="n">
        <f aca="false">_xlfn.MAXIFS(Transaction!$C$2:$C$8421,Transaction!$B$2:$B$8421,A950)</f>
        <v>46256</v>
      </c>
      <c r="K950" s="6" t="n">
        <f aca="false">COUNTIF(Transaction!$B$2:$B$8421,A950)</f>
        <v>7</v>
      </c>
      <c r="L950" s="10" t="n">
        <f aca="false">SUMIF(Transaction!$B$2:$B$8421,A950,Transaction!$H$2:$H$8421)</f>
        <v>8949</v>
      </c>
      <c r="M950" s="6" t="n">
        <f aca="false">Summary!$B$3-J950</f>
        <v>10</v>
      </c>
      <c r="N950" s="6" t="str">
        <f aca="false">IF(K950&gt;1,"Yes","No")</f>
        <v>Yes</v>
      </c>
      <c r="O950" s="6" t="s">
        <v>45</v>
      </c>
    </row>
    <row r="951" customFormat="false" ht="15" hidden="false" customHeight="false" outlineLevel="0" collapsed="false">
      <c r="A951" s="6" t="s">
        <v>2011</v>
      </c>
      <c r="B951" s="6" t="s">
        <v>2012</v>
      </c>
      <c r="C951" s="6" t="s">
        <v>75</v>
      </c>
      <c r="D951" s="6" t="n">
        <v>45</v>
      </c>
      <c r="E951" s="6" t="s">
        <v>146</v>
      </c>
      <c r="F951" s="6" t="s">
        <v>147</v>
      </c>
      <c r="G951" s="26" t="n">
        <v>45988</v>
      </c>
      <c r="H951" s="6" t="s">
        <v>115</v>
      </c>
      <c r="I951" s="26" t="n">
        <f aca="false">_xlfn.MINIFS(Transaction!$C$2:$C$8421,Transaction!$B$2:$B$8421,A951)</f>
        <v>46023</v>
      </c>
      <c r="J951" s="26" t="n">
        <f aca="false">_xlfn.MAXIFS(Transaction!$C$2:$C$8421,Transaction!$B$2:$B$8421,A951)</f>
        <v>46175</v>
      </c>
      <c r="K951" s="6" t="n">
        <f aca="false">COUNTIF(Transaction!$B$2:$B$8421,A951)</f>
        <v>5</v>
      </c>
      <c r="L951" s="10" t="n">
        <f aca="false">SUMIF(Transaction!$B$2:$B$8421,A951,Transaction!$H$2:$H$8421)</f>
        <v>13882</v>
      </c>
      <c r="M951" s="6" t="n">
        <f aca="false">Summary!$B$3-J951</f>
        <v>91</v>
      </c>
      <c r="N951" s="6" t="str">
        <f aca="false">IF(K951&gt;1,"Yes","No")</f>
        <v>Yes</v>
      </c>
      <c r="O951" s="6" t="s">
        <v>46</v>
      </c>
    </row>
    <row r="952" customFormat="false" ht="15" hidden="false" customHeight="false" outlineLevel="0" collapsed="false">
      <c r="A952" s="6" t="s">
        <v>2013</v>
      </c>
      <c r="B952" s="6" t="s">
        <v>2014</v>
      </c>
      <c r="C952" s="6" t="s">
        <v>85</v>
      </c>
      <c r="D952" s="6" t="n">
        <v>26</v>
      </c>
      <c r="E952" s="6" t="s">
        <v>81</v>
      </c>
      <c r="F952" s="6" t="s">
        <v>82</v>
      </c>
      <c r="G952" s="26" t="n">
        <v>46125</v>
      </c>
      <c r="H952" s="6" t="s">
        <v>115</v>
      </c>
      <c r="I952" s="26" t="n">
        <f aca="false">_xlfn.MINIFS(Transaction!$C$2:$C$8421,Transaction!$B$2:$B$8421,A952)</f>
        <v>46139</v>
      </c>
      <c r="J952" s="26" t="n">
        <f aca="false">_xlfn.MAXIFS(Transaction!$C$2:$C$8421,Transaction!$B$2:$B$8421,A952)</f>
        <v>46237</v>
      </c>
      <c r="K952" s="6" t="n">
        <f aca="false">COUNTIF(Transaction!$B$2:$B$8421,A952)</f>
        <v>5</v>
      </c>
      <c r="L952" s="10" t="n">
        <f aca="false">SUMIF(Transaction!$B$2:$B$8421,A952,Transaction!$H$2:$H$8421)</f>
        <v>6866</v>
      </c>
      <c r="M952" s="6" t="n">
        <f aca="false">Summary!$B$3-J952</f>
        <v>29</v>
      </c>
      <c r="N952" s="6" t="str">
        <f aca="false">IF(K952&gt;1,"Yes","No")</f>
        <v>Yes</v>
      </c>
      <c r="O952" s="6" t="s">
        <v>46</v>
      </c>
    </row>
    <row r="953" customFormat="false" ht="15" hidden="false" customHeight="false" outlineLevel="0" collapsed="false">
      <c r="A953" s="6" t="s">
        <v>2015</v>
      </c>
      <c r="B953" s="6" t="s">
        <v>2016</v>
      </c>
      <c r="C953" s="6" t="s">
        <v>75</v>
      </c>
      <c r="D953" s="6" t="n">
        <v>27</v>
      </c>
      <c r="E953" s="6" t="s">
        <v>121</v>
      </c>
      <c r="F953" s="6" t="s">
        <v>122</v>
      </c>
      <c r="G953" s="26" t="n">
        <v>46206</v>
      </c>
      <c r="H953" s="6" t="s">
        <v>78</v>
      </c>
      <c r="I953" s="26" t="n">
        <f aca="false">_xlfn.MINIFS(Transaction!$C$2:$C$8421,Transaction!$B$2:$B$8421,A953)</f>
        <v>46221</v>
      </c>
      <c r="J953" s="26" t="n">
        <f aca="false">_xlfn.MAXIFS(Transaction!$C$2:$C$8421,Transaction!$B$2:$B$8421,A953)</f>
        <v>46221</v>
      </c>
      <c r="K953" s="6" t="n">
        <f aca="false">COUNTIF(Transaction!$B$2:$B$8421,A953)</f>
        <v>1</v>
      </c>
      <c r="L953" s="10" t="n">
        <f aca="false">SUMIF(Transaction!$B$2:$B$8421,A953,Transaction!$H$2:$H$8421)</f>
        <v>880</v>
      </c>
      <c r="M953" s="6" t="n">
        <f aca="false">Summary!$B$3-J953</f>
        <v>45</v>
      </c>
      <c r="N953" s="6" t="str">
        <f aca="false">IF(K953&gt;1,"Yes","No")</f>
        <v>No</v>
      </c>
      <c r="O953" s="6" t="s">
        <v>47</v>
      </c>
    </row>
    <row r="954" customFormat="false" ht="15" hidden="false" customHeight="false" outlineLevel="0" collapsed="false">
      <c r="A954" s="6" t="s">
        <v>2017</v>
      </c>
      <c r="B954" s="6" t="s">
        <v>2018</v>
      </c>
      <c r="C954" s="6" t="s">
        <v>75</v>
      </c>
      <c r="D954" s="6" t="n">
        <v>31</v>
      </c>
      <c r="E954" s="6" t="s">
        <v>134</v>
      </c>
      <c r="F954" s="6" t="s">
        <v>135</v>
      </c>
      <c r="G954" s="26" t="n">
        <v>45957</v>
      </c>
      <c r="H954" s="6" t="s">
        <v>123</v>
      </c>
      <c r="I954" s="26" t="n">
        <f aca="false">_xlfn.MINIFS(Transaction!$C$2:$C$8421,Transaction!$B$2:$B$8421,A954)</f>
        <v>46023</v>
      </c>
      <c r="J954" s="26" t="n">
        <f aca="false">_xlfn.MAXIFS(Transaction!$C$2:$C$8421,Transaction!$B$2:$B$8421,A954)</f>
        <v>46244</v>
      </c>
      <c r="K954" s="6" t="n">
        <f aca="false">COUNTIF(Transaction!$B$2:$B$8421,A954)</f>
        <v>10</v>
      </c>
      <c r="L954" s="10" t="n">
        <f aca="false">SUMIF(Transaction!$B$2:$B$8421,A954,Transaction!$H$2:$H$8421)</f>
        <v>25116</v>
      </c>
      <c r="M954" s="6" t="n">
        <f aca="false">Summary!$B$3-J954</f>
        <v>22</v>
      </c>
      <c r="N954" s="6" t="str">
        <f aca="false">IF(K954&gt;1,"Yes","No")</f>
        <v>Yes</v>
      </c>
      <c r="O954" s="6" t="s">
        <v>45</v>
      </c>
    </row>
    <row r="955" customFormat="false" ht="15" hidden="false" customHeight="false" outlineLevel="0" collapsed="false">
      <c r="A955" s="6" t="s">
        <v>2019</v>
      </c>
      <c r="B955" s="6" t="s">
        <v>2020</v>
      </c>
      <c r="C955" s="6" t="s">
        <v>75</v>
      </c>
      <c r="D955" s="6" t="n">
        <v>31</v>
      </c>
      <c r="E955" s="6" t="s">
        <v>237</v>
      </c>
      <c r="F955" s="6" t="s">
        <v>87</v>
      </c>
      <c r="G955" s="26" t="n">
        <v>46248</v>
      </c>
      <c r="H955" s="6" t="s">
        <v>92</v>
      </c>
      <c r="I955" s="26" t="n">
        <f aca="false">_xlfn.MINIFS(Transaction!$C$2:$C$8421,Transaction!$B$2:$B$8421,A955)</f>
        <v>46250</v>
      </c>
      <c r="J955" s="26" t="n">
        <f aca="false">_xlfn.MAXIFS(Transaction!$C$2:$C$8421,Transaction!$B$2:$B$8421,A955)</f>
        <v>46250</v>
      </c>
      <c r="K955" s="6" t="n">
        <f aca="false">COUNTIF(Transaction!$B$2:$B$8421,A955)</f>
        <v>1</v>
      </c>
      <c r="L955" s="10" t="n">
        <f aca="false">SUMIF(Transaction!$B$2:$B$8421,A955,Transaction!$H$2:$H$8421)</f>
        <v>1954</v>
      </c>
      <c r="M955" s="6" t="n">
        <f aca="false">Summary!$B$3-J955</f>
        <v>16</v>
      </c>
      <c r="N955" s="6" t="str">
        <f aca="false">IF(K955&gt;1,"Yes","No")</f>
        <v>No</v>
      </c>
      <c r="O955" s="6" t="s">
        <v>47</v>
      </c>
    </row>
    <row r="956" customFormat="false" ht="15" hidden="false" customHeight="false" outlineLevel="0" collapsed="false">
      <c r="A956" s="6" t="s">
        <v>2021</v>
      </c>
      <c r="B956" s="6" t="s">
        <v>2022</v>
      </c>
      <c r="C956" s="6" t="s">
        <v>85</v>
      </c>
      <c r="D956" s="6" t="n">
        <v>41</v>
      </c>
      <c r="E956" s="6" t="s">
        <v>95</v>
      </c>
      <c r="F956" s="6" t="s">
        <v>95</v>
      </c>
      <c r="G956" s="26" t="n">
        <v>46226</v>
      </c>
      <c r="H956" s="6" t="s">
        <v>115</v>
      </c>
      <c r="I956" s="26" t="n">
        <f aca="false">_xlfn.MINIFS(Transaction!$C$2:$C$8421,Transaction!$B$2:$B$8421,A956)</f>
        <v>46257</v>
      </c>
      <c r="J956" s="26" t="n">
        <f aca="false">_xlfn.MAXIFS(Transaction!$C$2:$C$8421,Transaction!$B$2:$B$8421,A956)</f>
        <v>46257</v>
      </c>
      <c r="K956" s="6" t="n">
        <f aca="false">COUNTIF(Transaction!$B$2:$B$8421,A956)</f>
        <v>1</v>
      </c>
      <c r="L956" s="10" t="n">
        <f aca="false">SUMIF(Transaction!$B$2:$B$8421,A956,Transaction!$H$2:$H$8421)</f>
        <v>1741</v>
      </c>
      <c r="M956" s="6" t="n">
        <f aca="false">Summary!$B$3-J956</f>
        <v>9</v>
      </c>
      <c r="N956" s="6" t="str">
        <f aca="false">IF(K956&gt;1,"Yes","No")</f>
        <v>No</v>
      </c>
      <c r="O956" s="6" t="s">
        <v>47</v>
      </c>
    </row>
    <row r="957" customFormat="false" ht="15" hidden="false" customHeight="false" outlineLevel="0" collapsed="false">
      <c r="A957" s="6" t="s">
        <v>2023</v>
      </c>
      <c r="B957" s="6" t="s">
        <v>2024</v>
      </c>
      <c r="C957" s="6" t="s">
        <v>85</v>
      </c>
      <c r="D957" s="6" t="n">
        <v>38</v>
      </c>
      <c r="E957" s="6" t="s">
        <v>81</v>
      </c>
      <c r="F957" s="6" t="s">
        <v>82</v>
      </c>
      <c r="G957" s="26" t="n">
        <v>46017</v>
      </c>
      <c r="H957" s="6" t="s">
        <v>88</v>
      </c>
      <c r="I957" s="26" t="n">
        <f aca="false">_xlfn.MINIFS(Transaction!$C$2:$C$8421,Transaction!$B$2:$B$8421,A957)</f>
        <v>46053</v>
      </c>
      <c r="J957" s="26" t="n">
        <f aca="false">_xlfn.MAXIFS(Transaction!$C$2:$C$8421,Transaction!$B$2:$B$8421,A957)</f>
        <v>46191</v>
      </c>
      <c r="K957" s="6" t="n">
        <f aca="false">COUNTIF(Transaction!$B$2:$B$8421,A957)</f>
        <v>8</v>
      </c>
      <c r="L957" s="10" t="n">
        <f aca="false">SUMIF(Transaction!$B$2:$B$8421,A957,Transaction!$H$2:$H$8421)</f>
        <v>17386</v>
      </c>
      <c r="M957" s="6" t="n">
        <f aca="false">Summary!$B$3-J957</f>
        <v>75</v>
      </c>
      <c r="N957" s="6" t="str">
        <f aca="false">IF(K957&gt;1,"Yes","No")</f>
        <v>Yes</v>
      </c>
      <c r="O957" s="6" t="s">
        <v>46</v>
      </c>
    </row>
    <row r="958" customFormat="false" ht="15" hidden="false" customHeight="false" outlineLevel="0" collapsed="false">
      <c r="A958" s="6" t="s">
        <v>2025</v>
      </c>
      <c r="B958" s="6" t="s">
        <v>2026</v>
      </c>
      <c r="C958" s="6" t="s">
        <v>75</v>
      </c>
      <c r="D958" s="6" t="n">
        <v>30</v>
      </c>
      <c r="E958" s="6" t="s">
        <v>105</v>
      </c>
      <c r="F958" s="6" t="s">
        <v>106</v>
      </c>
      <c r="G958" s="26" t="n">
        <v>46124</v>
      </c>
      <c r="H958" s="6" t="s">
        <v>92</v>
      </c>
      <c r="I958" s="26" t="n">
        <f aca="false">_xlfn.MINIFS(Transaction!$C$2:$C$8421,Transaction!$B$2:$B$8421,A958)</f>
        <v>46169</v>
      </c>
      <c r="J958" s="26" t="n">
        <f aca="false">_xlfn.MAXIFS(Transaction!$C$2:$C$8421,Transaction!$B$2:$B$8421,A958)</f>
        <v>46169</v>
      </c>
      <c r="K958" s="6" t="n">
        <f aca="false">COUNTIF(Transaction!$B$2:$B$8421,A958)</f>
        <v>1</v>
      </c>
      <c r="L958" s="10" t="n">
        <f aca="false">SUMIF(Transaction!$B$2:$B$8421,A958,Transaction!$H$2:$H$8421)</f>
        <v>5096</v>
      </c>
      <c r="M958" s="6" t="n">
        <f aca="false">Summary!$B$3-J958</f>
        <v>97</v>
      </c>
      <c r="N958" s="6" t="str">
        <f aca="false">IF(K958&gt;1,"Yes","No")</f>
        <v>No</v>
      </c>
      <c r="O958" s="6" t="s">
        <v>48</v>
      </c>
    </row>
    <row r="959" customFormat="false" ht="15" hidden="false" customHeight="false" outlineLevel="0" collapsed="false">
      <c r="A959" s="6" t="s">
        <v>2027</v>
      </c>
      <c r="B959" s="6" t="s">
        <v>2028</v>
      </c>
      <c r="C959" s="6" t="s">
        <v>75</v>
      </c>
      <c r="D959" s="6" t="n">
        <v>32</v>
      </c>
      <c r="E959" s="6" t="s">
        <v>321</v>
      </c>
      <c r="F959" s="6" t="s">
        <v>321</v>
      </c>
      <c r="G959" s="26" t="n">
        <v>46072</v>
      </c>
      <c r="H959" s="6" t="s">
        <v>88</v>
      </c>
      <c r="I959" s="26" t="n">
        <f aca="false">_xlfn.MINIFS(Transaction!$C$2:$C$8421,Transaction!$B$2:$B$8421,A959)</f>
        <v>46110</v>
      </c>
      <c r="J959" s="26" t="n">
        <f aca="false">_xlfn.MAXIFS(Transaction!$C$2:$C$8421,Transaction!$B$2:$B$8421,A959)</f>
        <v>46264</v>
      </c>
      <c r="K959" s="6" t="n">
        <f aca="false">COUNTIF(Transaction!$B$2:$B$8421,A959)</f>
        <v>10</v>
      </c>
      <c r="L959" s="10" t="n">
        <f aca="false">SUMIF(Transaction!$B$2:$B$8421,A959,Transaction!$H$2:$H$8421)</f>
        <v>34269</v>
      </c>
      <c r="M959" s="6" t="n">
        <f aca="false">Summary!$B$3-J959</f>
        <v>2</v>
      </c>
      <c r="N959" s="6" t="str">
        <f aca="false">IF(K959&gt;1,"Yes","No")</f>
        <v>Yes</v>
      </c>
      <c r="O959" s="6" t="s">
        <v>45</v>
      </c>
    </row>
    <row r="960" customFormat="false" ht="15" hidden="false" customHeight="false" outlineLevel="0" collapsed="false">
      <c r="A960" s="6" t="s">
        <v>2029</v>
      </c>
      <c r="B960" s="6" t="s">
        <v>2030</v>
      </c>
      <c r="C960" s="6" t="s">
        <v>85</v>
      </c>
      <c r="D960" s="6" t="n">
        <v>34</v>
      </c>
      <c r="E960" s="6" t="s">
        <v>321</v>
      </c>
      <c r="F960" s="6" t="s">
        <v>321</v>
      </c>
      <c r="G960" s="26" t="n">
        <v>46171</v>
      </c>
      <c r="H960" s="6" t="s">
        <v>115</v>
      </c>
      <c r="I960" s="26" t="n">
        <f aca="false">_xlfn.MINIFS(Transaction!$C$2:$C$8421,Transaction!$B$2:$B$8421,A960)</f>
        <v>46200</v>
      </c>
      <c r="J960" s="26" t="n">
        <f aca="false">_xlfn.MAXIFS(Transaction!$C$2:$C$8421,Transaction!$B$2:$B$8421,A960)</f>
        <v>46200</v>
      </c>
      <c r="K960" s="6" t="n">
        <f aca="false">COUNTIF(Transaction!$B$2:$B$8421,A960)</f>
        <v>1</v>
      </c>
      <c r="L960" s="10" t="n">
        <f aca="false">SUMIF(Transaction!$B$2:$B$8421,A960,Transaction!$H$2:$H$8421)</f>
        <v>1368</v>
      </c>
      <c r="M960" s="6" t="n">
        <f aca="false">Summary!$B$3-J960</f>
        <v>66</v>
      </c>
      <c r="N960" s="6" t="str">
        <f aca="false">IF(K960&gt;1,"Yes","No")</f>
        <v>No</v>
      </c>
      <c r="O960" s="6" t="s">
        <v>47</v>
      </c>
    </row>
    <row r="961" customFormat="false" ht="15" hidden="false" customHeight="false" outlineLevel="0" collapsed="false">
      <c r="A961" s="6" t="s">
        <v>2031</v>
      </c>
      <c r="B961" s="6" t="s">
        <v>2032</v>
      </c>
      <c r="C961" s="6" t="s">
        <v>85</v>
      </c>
      <c r="D961" s="6" t="n">
        <v>44</v>
      </c>
      <c r="E961" s="6" t="s">
        <v>95</v>
      </c>
      <c r="F961" s="6" t="s">
        <v>95</v>
      </c>
      <c r="G961" s="26" t="n">
        <v>46171</v>
      </c>
      <c r="H961" s="6" t="s">
        <v>78</v>
      </c>
      <c r="I961" s="26" t="n">
        <f aca="false">_xlfn.MINIFS(Transaction!$C$2:$C$8421,Transaction!$B$2:$B$8421,A961)</f>
        <v>46220</v>
      </c>
      <c r="J961" s="26" t="n">
        <f aca="false">_xlfn.MAXIFS(Transaction!$C$2:$C$8421,Transaction!$B$2:$B$8421,A961)</f>
        <v>46220</v>
      </c>
      <c r="K961" s="6" t="n">
        <f aca="false">COUNTIF(Transaction!$B$2:$B$8421,A961)</f>
        <v>1</v>
      </c>
      <c r="L961" s="10" t="n">
        <f aca="false">SUMIF(Transaction!$B$2:$B$8421,A961,Transaction!$H$2:$H$8421)</f>
        <v>2738</v>
      </c>
      <c r="M961" s="6" t="n">
        <f aca="false">Summary!$B$3-J961</f>
        <v>46</v>
      </c>
      <c r="N961" s="6" t="str">
        <f aca="false">IF(K961&gt;1,"Yes","No")</f>
        <v>No</v>
      </c>
      <c r="O961" s="6" t="s">
        <v>47</v>
      </c>
    </row>
    <row r="962" customFormat="false" ht="15" hidden="false" customHeight="false" outlineLevel="0" collapsed="false">
      <c r="A962" s="6" t="s">
        <v>2033</v>
      </c>
      <c r="B962" s="6" t="s">
        <v>2034</v>
      </c>
      <c r="C962" s="6" t="s">
        <v>75</v>
      </c>
      <c r="D962" s="6" t="n">
        <v>32</v>
      </c>
      <c r="E962" s="6" t="s">
        <v>105</v>
      </c>
      <c r="F962" s="6" t="s">
        <v>106</v>
      </c>
      <c r="G962" s="26" t="n">
        <v>46015</v>
      </c>
      <c r="H962" s="6" t="s">
        <v>102</v>
      </c>
      <c r="I962" s="26" t="n">
        <f aca="false">_xlfn.MINIFS(Transaction!$C$2:$C$8421,Transaction!$B$2:$B$8421,A962)</f>
        <v>46038</v>
      </c>
      <c r="J962" s="26" t="n">
        <f aca="false">_xlfn.MAXIFS(Transaction!$C$2:$C$8421,Transaction!$B$2:$B$8421,A962)</f>
        <v>46185</v>
      </c>
      <c r="K962" s="6" t="n">
        <f aca="false">COUNTIF(Transaction!$B$2:$B$8421,A962)</f>
        <v>4</v>
      </c>
      <c r="L962" s="10" t="n">
        <f aca="false">SUMIF(Transaction!$B$2:$B$8421,A962,Transaction!$H$2:$H$8421)</f>
        <v>20925</v>
      </c>
      <c r="M962" s="6" t="n">
        <f aca="false">Summary!$B$3-J962</f>
        <v>81</v>
      </c>
      <c r="N962" s="6" t="str">
        <f aca="false">IF(K962&gt;1,"Yes","No")</f>
        <v>Yes</v>
      </c>
      <c r="O962" s="6" t="s">
        <v>46</v>
      </c>
    </row>
    <row r="963" customFormat="false" ht="15" hidden="false" customHeight="false" outlineLevel="0" collapsed="false">
      <c r="A963" s="6" t="s">
        <v>2035</v>
      </c>
      <c r="B963" s="6" t="s">
        <v>2036</v>
      </c>
      <c r="C963" s="6" t="s">
        <v>75</v>
      </c>
      <c r="D963" s="6" t="n">
        <v>31</v>
      </c>
      <c r="E963" s="6" t="s">
        <v>76</v>
      </c>
      <c r="F963" s="6" t="s">
        <v>77</v>
      </c>
      <c r="G963" s="26" t="n">
        <v>46009</v>
      </c>
      <c r="H963" s="6" t="s">
        <v>88</v>
      </c>
      <c r="I963" s="26" t="n">
        <f aca="false">_xlfn.MINIFS(Transaction!$C$2:$C$8421,Transaction!$B$2:$B$8421,A963)</f>
        <v>46059</v>
      </c>
      <c r="J963" s="26" t="n">
        <f aca="false">_xlfn.MAXIFS(Transaction!$C$2:$C$8421,Transaction!$B$2:$B$8421,A963)</f>
        <v>46253</v>
      </c>
      <c r="K963" s="6" t="n">
        <f aca="false">COUNTIF(Transaction!$B$2:$B$8421,A963)</f>
        <v>6</v>
      </c>
      <c r="L963" s="10" t="n">
        <f aca="false">SUMIF(Transaction!$B$2:$B$8421,A963,Transaction!$H$2:$H$8421)</f>
        <v>7011</v>
      </c>
      <c r="M963" s="6" t="n">
        <f aca="false">Summary!$B$3-J963</f>
        <v>13</v>
      </c>
      <c r="N963" s="6" t="str">
        <f aca="false">IF(K963&gt;1,"Yes","No")</f>
        <v>Yes</v>
      </c>
      <c r="O963" s="6" t="s">
        <v>45</v>
      </c>
    </row>
    <row r="964" customFormat="false" ht="15" hidden="false" customHeight="false" outlineLevel="0" collapsed="false">
      <c r="A964" s="6" t="s">
        <v>2037</v>
      </c>
      <c r="B964" s="6" t="s">
        <v>2038</v>
      </c>
      <c r="C964" s="6" t="s">
        <v>85</v>
      </c>
      <c r="D964" s="6" t="n">
        <v>32</v>
      </c>
      <c r="E964" s="6" t="s">
        <v>105</v>
      </c>
      <c r="F964" s="6" t="s">
        <v>106</v>
      </c>
      <c r="G964" s="26" t="n">
        <v>45983</v>
      </c>
      <c r="H964" s="6" t="s">
        <v>115</v>
      </c>
      <c r="I964" s="26" t="n">
        <f aca="false">_xlfn.MINIFS(Transaction!$C$2:$C$8421,Transaction!$B$2:$B$8421,A964)</f>
        <v>46053</v>
      </c>
      <c r="J964" s="26" t="n">
        <f aca="false">_xlfn.MAXIFS(Transaction!$C$2:$C$8421,Transaction!$B$2:$B$8421,A964)</f>
        <v>46188</v>
      </c>
      <c r="K964" s="6" t="n">
        <f aca="false">COUNTIF(Transaction!$B$2:$B$8421,A964)</f>
        <v>4</v>
      </c>
      <c r="L964" s="10" t="n">
        <f aca="false">SUMIF(Transaction!$B$2:$B$8421,A964,Transaction!$H$2:$H$8421)</f>
        <v>8392</v>
      </c>
      <c r="M964" s="6" t="n">
        <f aca="false">Summary!$B$3-J964</f>
        <v>78</v>
      </c>
      <c r="N964" s="6" t="str">
        <f aca="false">IF(K964&gt;1,"Yes","No")</f>
        <v>Yes</v>
      </c>
      <c r="O964" s="6" t="s">
        <v>46</v>
      </c>
    </row>
    <row r="965" customFormat="false" ht="15" hidden="false" customHeight="false" outlineLevel="0" collapsed="false">
      <c r="A965" s="6" t="s">
        <v>2039</v>
      </c>
      <c r="B965" s="6" t="s">
        <v>2040</v>
      </c>
      <c r="C965" s="6" t="s">
        <v>85</v>
      </c>
      <c r="D965" s="6" t="n">
        <v>32</v>
      </c>
      <c r="E965" s="6" t="s">
        <v>86</v>
      </c>
      <c r="F965" s="6" t="s">
        <v>87</v>
      </c>
      <c r="G965" s="26" t="n">
        <v>46128</v>
      </c>
      <c r="H965" s="6" t="s">
        <v>92</v>
      </c>
      <c r="I965" s="26" t="n">
        <f aca="false">_xlfn.MINIFS(Transaction!$C$2:$C$8421,Transaction!$B$2:$B$8421,A965)</f>
        <v>46156</v>
      </c>
      <c r="J965" s="26" t="n">
        <f aca="false">_xlfn.MAXIFS(Transaction!$C$2:$C$8421,Transaction!$B$2:$B$8421,A965)</f>
        <v>46156</v>
      </c>
      <c r="K965" s="6" t="n">
        <f aca="false">COUNTIF(Transaction!$B$2:$B$8421,A965)</f>
        <v>1</v>
      </c>
      <c r="L965" s="10" t="n">
        <f aca="false">SUMIF(Transaction!$B$2:$B$8421,A965,Transaction!$H$2:$H$8421)</f>
        <v>1768</v>
      </c>
      <c r="M965" s="6" t="n">
        <f aca="false">Summary!$B$3-J965</f>
        <v>110</v>
      </c>
      <c r="N965" s="6" t="str">
        <f aca="false">IF(K965&gt;1,"Yes","No")</f>
        <v>No</v>
      </c>
      <c r="O965" s="6" t="s">
        <v>48</v>
      </c>
    </row>
    <row r="966" customFormat="false" ht="15" hidden="false" customHeight="false" outlineLevel="0" collapsed="false">
      <c r="A966" s="6" t="s">
        <v>2041</v>
      </c>
      <c r="B966" s="6" t="s">
        <v>2042</v>
      </c>
      <c r="C966" s="6" t="s">
        <v>75</v>
      </c>
      <c r="D966" s="6" t="n">
        <v>48</v>
      </c>
      <c r="E966" s="6" t="s">
        <v>176</v>
      </c>
      <c r="F966" s="6" t="s">
        <v>177</v>
      </c>
      <c r="G966" s="26" t="n">
        <v>45945</v>
      </c>
      <c r="H966" s="6" t="s">
        <v>88</v>
      </c>
      <c r="I966" s="26" t="n">
        <f aca="false">_xlfn.MINIFS(Transaction!$C$2:$C$8421,Transaction!$B$2:$B$8421,A966)</f>
        <v>46029</v>
      </c>
      <c r="J966" s="26" t="n">
        <f aca="false">_xlfn.MAXIFS(Transaction!$C$2:$C$8421,Transaction!$B$2:$B$8421,A966)</f>
        <v>46261</v>
      </c>
      <c r="K966" s="6" t="n">
        <f aca="false">COUNTIF(Transaction!$B$2:$B$8421,A966)</f>
        <v>8</v>
      </c>
      <c r="L966" s="10" t="n">
        <f aca="false">SUMIF(Transaction!$B$2:$B$8421,A966,Transaction!$H$2:$H$8421)</f>
        <v>10467</v>
      </c>
      <c r="M966" s="6" t="n">
        <f aca="false">Summary!$B$3-J966</f>
        <v>5</v>
      </c>
      <c r="N966" s="6" t="str">
        <f aca="false">IF(K966&gt;1,"Yes","No")</f>
        <v>Yes</v>
      </c>
      <c r="O966" s="6" t="s">
        <v>45</v>
      </c>
    </row>
    <row r="967" customFormat="false" ht="15" hidden="false" customHeight="false" outlineLevel="0" collapsed="false">
      <c r="A967" s="6" t="s">
        <v>2043</v>
      </c>
      <c r="B967" s="6" t="s">
        <v>2044</v>
      </c>
      <c r="C967" s="6" t="s">
        <v>85</v>
      </c>
      <c r="D967" s="6" t="n">
        <v>40</v>
      </c>
      <c r="E967" s="6" t="s">
        <v>76</v>
      </c>
      <c r="F967" s="6" t="s">
        <v>77</v>
      </c>
      <c r="G967" s="26" t="n">
        <v>46163</v>
      </c>
      <c r="H967" s="6" t="s">
        <v>102</v>
      </c>
      <c r="I967" s="26" t="n">
        <f aca="false">_xlfn.MINIFS(Transaction!$C$2:$C$8421,Transaction!$B$2:$B$8421,A967)</f>
        <v>46239</v>
      </c>
      <c r="J967" s="26" t="n">
        <f aca="false">_xlfn.MAXIFS(Transaction!$C$2:$C$8421,Transaction!$B$2:$B$8421,A967)</f>
        <v>46239</v>
      </c>
      <c r="K967" s="6" t="n">
        <f aca="false">COUNTIF(Transaction!$B$2:$B$8421,A967)</f>
        <v>1</v>
      </c>
      <c r="L967" s="10" t="n">
        <f aca="false">SUMIF(Transaction!$B$2:$B$8421,A967,Transaction!$H$2:$H$8421)</f>
        <v>1564</v>
      </c>
      <c r="M967" s="6" t="n">
        <f aca="false">Summary!$B$3-J967</f>
        <v>27</v>
      </c>
      <c r="N967" s="6" t="str">
        <f aca="false">IF(K967&gt;1,"Yes","No")</f>
        <v>No</v>
      </c>
      <c r="O967" s="6" t="s">
        <v>47</v>
      </c>
    </row>
    <row r="968" customFormat="false" ht="15" hidden="false" customHeight="false" outlineLevel="0" collapsed="false">
      <c r="A968" s="6" t="s">
        <v>2045</v>
      </c>
      <c r="B968" s="6" t="s">
        <v>2046</v>
      </c>
      <c r="C968" s="6" t="s">
        <v>85</v>
      </c>
      <c r="D968" s="6" t="n">
        <v>28</v>
      </c>
      <c r="E968" s="6" t="s">
        <v>81</v>
      </c>
      <c r="F968" s="6" t="s">
        <v>82</v>
      </c>
      <c r="G968" s="26" t="n">
        <v>46246</v>
      </c>
      <c r="H968" s="6" t="s">
        <v>88</v>
      </c>
      <c r="I968" s="26" t="n">
        <f aca="false">_xlfn.MINIFS(Transaction!$C$2:$C$8421,Transaction!$B$2:$B$8421,A968)</f>
        <v>46261</v>
      </c>
      <c r="J968" s="26" t="n">
        <f aca="false">_xlfn.MAXIFS(Transaction!$C$2:$C$8421,Transaction!$B$2:$B$8421,A968)</f>
        <v>46261</v>
      </c>
      <c r="K968" s="6" t="n">
        <f aca="false">COUNTIF(Transaction!$B$2:$B$8421,A968)</f>
        <v>1</v>
      </c>
      <c r="L968" s="10" t="n">
        <f aca="false">SUMIF(Transaction!$B$2:$B$8421,A968,Transaction!$H$2:$H$8421)</f>
        <v>977</v>
      </c>
      <c r="M968" s="6" t="n">
        <f aca="false">Summary!$B$3-J968</f>
        <v>5</v>
      </c>
      <c r="N968" s="6" t="str">
        <f aca="false">IF(K968&gt;1,"Yes","No")</f>
        <v>No</v>
      </c>
      <c r="O968" s="6" t="s">
        <v>47</v>
      </c>
    </row>
    <row r="969" customFormat="false" ht="15" hidden="false" customHeight="false" outlineLevel="0" collapsed="false">
      <c r="A969" s="6" t="s">
        <v>2047</v>
      </c>
      <c r="B969" s="6" t="s">
        <v>2048</v>
      </c>
      <c r="C969" s="6" t="s">
        <v>75</v>
      </c>
      <c r="D969" s="6" t="n">
        <v>18</v>
      </c>
      <c r="E969" s="6" t="s">
        <v>176</v>
      </c>
      <c r="F969" s="6" t="s">
        <v>177</v>
      </c>
      <c r="G969" s="26" t="n">
        <v>45982</v>
      </c>
      <c r="H969" s="6" t="s">
        <v>123</v>
      </c>
      <c r="I969" s="26" t="n">
        <f aca="false">_xlfn.MINIFS(Transaction!$C$2:$C$8421,Transaction!$B$2:$B$8421,A969)</f>
        <v>46034</v>
      </c>
      <c r="J969" s="26" t="n">
        <f aca="false">_xlfn.MAXIFS(Transaction!$C$2:$C$8421,Transaction!$B$2:$B$8421,A969)</f>
        <v>46210</v>
      </c>
      <c r="K969" s="6" t="n">
        <f aca="false">COUNTIF(Transaction!$B$2:$B$8421,A969)</f>
        <v>6</v>
      </c>
      <c r="L969" s="10" t="n">
        <f aca="false">SUMIF(Transaction!$B$2:$B$8421,A969,Transaction!$H$2:$H$8421)</f>
        <v>29490</v>
      </c>
      <c r="M969" s="6" t="n">
        <f aca="false">Summary!$B$3-J969</f>
        <v>56</v>
      </c>
      <c r="N969" s="6" t="str">
        <f aca="false">IF(K969&gt;1,"Yes","No")</f>
        <v>Yes</v>
      </c>
      <c r="O969" s="6" t="s">
        <v>46</v>
      </c>
    </row>
    <row r="970" customFormat="false" ht="15" hidden="false" customHeight="false" outlineLevel="0" collapsed="false">
      <c r="A970" s="6" t="s">
        <v>2049</v>
      </c>
      <c r="B970" s="6" t="s">
        <v>2050</v>
      </c>
      <c r="C970" s="6" t="s">
        <v>75</v>
      </c>
      <c r="D970" s="6" t="n">
        <v>54</v>
      </c>
      <c r="E970" s="6" t="s">
        <v>76</v>
      </c>
      <c r="F970" s="6" t="s">
        <v>77</v>
      </c>
      <c r="G970" s="26" t="n">
        <v>45990</v>
      </c>
      <c r="H970" s="6" t="s">
        <v>88</v>
      </c>
      <c r="I970" s="26" t="n">
        <f aca="false">_xlfn.MINIFS(Transaction!$C$2:$C$8421,Transaction!$B$2:$B$8421,A970)</f>
        <v>46079</v>
      </c>
      <c r="J970" s="26" t="n">
        <f aca="false">_xlfn.MAXIFS(Transaction!$C$2:$C$8421,Transaction!$B$2:$B$8421,A970)</f>
        <v>46079</v>
      </c>
      <c r="K970" s="6" t="n">
        <f aca="false">COUNTIF(Transaction!$B$2:$B$8421,A970)</f>
        <v>1</v>
      </c>
      <c r="L970" s="10" t="n">
        <f aca="false">SUMIF(Transaction!$B$2:$B$8421,A970,Transaction!$H$2:$H$8421)</f>
        <v>1564</v>
      </c>
      <c r="M970" s="6" t="n">
        <f aca="false">Summary!$B$3-J970</f>
        <v>187</v>
      </c>
      <c r="N970" s="6" t="str">
        <f aca="false">IF(K970&gt;1,"Yes","No")</f>
        <v>No</v>
      </c>
      <c r="O970" s="6" t="s">
        <v>49</v>
      </c>
    </row>
    <row r="971" customFormat="false" ht="15" hidden="false" customHeight="false" outlineLevel="0" collapsed="false">
      <c r="A971" s="6" t="s">
        <v>2051</v>
      </c>
      <c r="B971" s="6" t="s">
        <v>2052</v>
      </c>
      <c r="C971" s="6" t="s">
        <v>85</v>
      </c>
      <c r="D971" s="6" t="n">
        <v>26</v>
      </c>
      <c r="E971" s="6" t="s">
        <v>146</v>
      </c>
      <c r="F971" s="6" t="s">
        <v>147</v>
      </c>
      <c r="G971" s="26" t="n">
        <v>45980</v>
      </c>
      <c r="H971" s="6" t="s">
        <v>78</v>
      </c>
      <c r="I971" s="26" t="n">
        <f aca="false">_xlfn.MINIFS(Transaction!$C$2:$C$8421,Transaction!$B$2:$B$8421,A971)</f>
        <v>46059</v>
      </c>
      <c r="J971" s="26" t="n">
        <f aca="false">_xlfn.MAXIFS(Transaction!$C$2:$C$8421,Transaction!$B$2:$B$8421,A971)</f>
        <v>46253</v>
      </c>
      <c r="K971" s="6" t="n">
        <f aca="false">COUNTIF(Transaction!$B$2:$B$8421,A971)</f>
        <v>7</v>
      </c>
      <c r="L971" s="10" t="n">
        <f aca="false">SUMIF(Transaction!$B$2:$B$8421,A971,Transaction!$H$2:$H$8421)</f>
        <v>39716</v>
      </c>
      <c r="M971" s="6" t="n">
        <f aca="false">Summary!$B$3-J971</f>
        <v>13</v>
      </c>
      <c r="N971" s="6" t="str">
        <f aca="false">IF(K971&gt;1,"Yes","No")</f>
        <v>Yes</v>
      </c>
      <c r="O971" s="6" t="s">
        <v>45</v>
      </c>
    </row>
    <row r="972" customFormat="false" ht="15" hidden="false" customHeight="false" outlineLevel="0" collapsed="false">
      <c r="A972" s="6" t="s">
        <v>2053</v>
      </c>
      <c r="B972" s="6" t="s">
        <v>2054</v>
      </c>
      <c r="C972" s="6" t="s">
        <v>85</v>
      </c>
      <c r="D972" s="6" t="n">
        <v>33</v>
      </c>
      <c r="E972" s="6" t="s">
        <v>95</v>
      </c>
      <c r="F972" s="6" t="s">
        <v>95</v>
      </c>
      <c r="G972" s="26" t="n">
        <v>46006</v>
      </c>
      <c r="H972" s="6" t="s">
        <v>88</v>
      </c>
      <c r="I972" s="26" t="n">
        <f aca="false">_xlfn.MINIFS(Transaction!$C$2:$C$8421,Transaction!$B$2:$B$8421,A972)</f>
        <v>46029</v>
      </c>
      <c r="J972" s="26" t="n">
        <f aca="false">_xlfn.MAXIFS(Transaction!$C$2:$C$8421,Transaction!$B$2:$B$8421,A972)</f>
        <v>46178</v>
      </c>
      <c r="K972" s="6" t="n">
        <f aca="false">COUNTIF(Transaction!$B$2:$B$8421,A972)</f>
        <v>4</v>
      </c>
      <c r="L972" s="10" t="n">
        <f aca="false">SUMIF(Transaction!$B$2:$B$8421,A972,Transaction!$H$2:$H$8421)</f>
        <v>9454</v>
      </c>
      <c r="M972" s="6" t="n">
        <f aca="false">Summary!$B$3-J972</f>
        <v>88</v>
      </c>
      <c r="N972" s="6" t="str">
        <f aca="false">IF(K972&gt;1,"Yes","No")</f>
        <v>Yes</v>
      </c>
      <c r="O972" s="6" t="s">
        <v>46</v>
      </c>
    </row>
    <row r="973" customFormat="false" ht="15" hidden="false" customHeight="false" outlineLevel="0" collapsed="false">
      <c r="A973" s="6" t="s">
        <v>2055</v>
      </c>
      <c r="B973" s="6" t="s">
        <v>2056</v>
      </c>
      <c r="C973" s="6" t="s">
        <v>75</v>
      </c>
      <c r="D973" s="6" t="n">
        <v>32</v>
      </c>
      <c r="E973" s="6" t="s">
        <v>140</v>
      </c>
      <c r="F973" s="6" t="s">
        <v>141</v>
      </c>
      <c r="G973" s="26" t="n">
        <v>45976</v>
      </c>
      <c r="H973" s="6" t="s">
        <v>115</v>
      </c>
      <c r="I973" s="26" t="n">
        <f aca="false">_xlfn.MINIFS(Transaction!$C$2:$C$8421,Transaction!$B$2:$B$8421,A973)</f>
        <v>46027</v>
      </c>
      <c r="J973" s="26" t="n">
        <f aca="false">_xlfn.MAXIFS(Transaction!$C$2:$C$8421,Transaction!$B$2:$B$8421,A973)</f>
        <v>46189</v>
      </c>
      <c r="K973" s="6" t="n">
        <f aca="false">COUNTIF(Transaction!$B$2:$B$8421,A973)</f>
        <v>4</v>
      </c>
      <c r="L973" s="10" t="n">
        <f aca="false">SUMIF(Transaction!$B$2:$B$8421,A973,Transaction!$H$2:$H$8421)</f>
        <v>8285</v>
      </c>
      <c r="M973" s="6" t="n">
        <f aca="false">Summary!$B$3-J973</f>
        <v>77</v>
      </c>
      <c r="N973" s="6" t="str">
        <f aca="false">IF(K973&gt;1,"Yes","No")</f>
        <v>Yes</v>
      </c>
      <c r="O973" s="6" t="s">
        <v>46</v>
      </c>
    </row>
    <row r="974" customFormat="false" ht="15" hidden="false" customHeight="false" outlineLevel="0" collapsed="false">
      <c r="A974" s="6" t="s">
        <v>2057</v>
      </c>
      <c r="B974" s="6" t="s">
        <v>2058</v>
      </c>
      <c r="C974" s="6" t="s">
        <v>75</v>
      </c>
      <c r="D974" s="6" t="n">
        <v>39</v>
      </c>
      <c r="E974" s="6" t="s">
        <v>146</v>
      </c>
      <c r="F974" s="6" t="s">
        <v>147</v>
      </c>
      <c r="G974" s="26" t="n">
        <v>46106</v>
      </c>
      <c r="H974" s="6" t="s">
        <v>115</v>
      </c>
      <c r="I974" s="26" t="n">
        <f aca="false">_xlfn.MINIFS(Transaction!$C$2:$C$8421,Transaction!$B$2:$B$8421,A974)</f>
        <v>46117</v>
      </c>
      <c r="J974" s="26" t="n">
        <f aca="false">_xlfn.MAXIFS(Transaction!$C$2:$C$8421,Transaction!$B$2:$B$8421,A974)</f>
        <v>46244</v>
      </c>
      <c r="K974" s="6" t="n">
        <f aca="false">COUNTIF(Transaction!$B$2:$B$8421,A974)</f>
        <v>6</v>
      </c>
      <c r="L974" s="10" t="n">
        <f aca="false">SUMIF(Transaction!$B$2:$B$8421,A974,Transaction!$H$2:$H$8421)</f>
        <v>16802</v>
      </c>
      <c r="M974" s="6" t="n">
        <f aca="false">Summary!$B$3-J974</f>
        <v>22</v>
      </c>
      <c r="N974" s="6" t="str">
        <f aca="false">IF(K974&gt;1,"Yes","No")</f>
        <v>Yes</v>
      </c>
      <c r="O974" s="6" t="s">
        <v>46</v>
      </c>
    </row>
    <row r="975" customFormat="false" ht="15" hidden="false" customHeight="false" outlineLevel="0" collapsed="false">
      <c r="A975" s="6" t="s">
        <v>2059</v>
      </c>
      <c r="B975" s="6" t="s">
        <v>2060</v>
      </c>
      <c r="C975" s="6" t="s">
        <v>75</v>
      </c>
      <c r="D975" s="6" t="n">
        <v>36</v>
      </c>
      <c r="E975" s="6" t="s">
        <v>176</v>
      </c>
      <c r="F975" s="6" t="s">
        <v>177</v>
      </c>
      <c r="G975" s="26" t="n">
        <v>45957</v>
      </c>
      <c r="H975" s="6" t="s">
        <v>88</v>
      </c>
      <c r="I975" s="26" t="n">
        <f aca="false">_xlfn.MINIFS(Transaction!$C$2:$C$8421,Transaction!$B$2:$B$8421,A975)</f>
        <v>46028</v>
      </c>
      <c r="J975" s="26" t="n">
        <f aca="false">_xlfn.MAXIFS(Transaction!$C$2:$C$8421,Transaction!$B$2:$B$8421,A975)</f>
        <v>46221</v>
      </c>
      <c r="K975" s="6" t="n">
        <f aca="false">COUNTIF(Transaction!$B$2:$B$8421,A975)</f>
        <v>4</v>
      </c>
      <c r="L975" s="10" t="n">
        <f aca="false">SUMIF(Transaction!$B$2:$B$8421,A975,Transaction!$H$2:$H$8421)</f>
        <v>7610</v>
      </c>
      <c r="M975" s="6" t="n">
        <f aca="false">Summary!$B$3-J975</f>
        <v>45</v>
      </c>
      <c r="N975" s="6" t="str">
        <f aca="false">IF(K975&gt;1,"Yes","No")</f>
        <v>Yes</v>
      </c>
      <c r="O975" s="6" t="s">
        <v>46</v>
      </c>
    </row>
    <row r="976" customFormat="false" ht="15" hidden="false" customHeight="false" outlineLevel="0" collapsed="false">
      <c r="A976" s="6" t="s">
        <v>2061</v>
      </c>
      <c r="B976" s="6" t="s">
        <v>2062</v>
      </c>
      <c r="C976" s="6" t="s">
        <v>85</v>
      </c>
      <c r="D976" s="6" t="n">
        <v>30</v>
      </c>
      <c r="E976" s="6" t="s">
        <v>76</v>
      </c>
      <c r="F976" s="6" t="s">
        <v>77</v>
      </c>
      <c r="G976" s="26" t="n">
        <v>46206</v>
      </c>
      <c r="H976" s="6" t="s">
        <v>92</v>
      </c>
      <c r="I976" s="26" t="n">
        <f aca="false">_xlfn.MINIFS(Transaction!$C$2:$C$8421,Transaction!$B$2:$B$8421,A976)</f>
        <v>46265</v>
      </c>
      <c r="J976" s="26" t="n">
        <f aca="false">_xlfn.MAXIFS(Transaction!$C$2:$C$8421,Transaction!$B$2:$B$8421,A976)</f>
        <v>46265</v>
      </c>
      <c r="K976" s="6" t="n">
        <f aca="false">COUNTIF(Transaction!$B$2:$B$8421,A976)</f>
        <v>1</v>
      </c>
      <c r="L976" s="10" t="n">
        <f aca="false">SUMIF(Transaction!$B$2:$B$8421,A976,Transaction!$H$2:$H$8421)</f>
        <v>1602</v>
      </c>
      <c r="M976" s="6" t="n">
        <f aca="false">Summary!$B$3-J976</f>
        <v>1</v>
      </c>
      <c r="N976" s="6" t="str">
        <f aca="false">IF(K976&gt;1,"Yes","No")</f>
        <v>No</v>
      </c>
      <c r="O976" s="6" t="s">
        <v>47</v>
      </c>
    </row>
    <row r="977" customFormat="false" ht="15" hidden="false" customHeight="false" outlineLevel="0" collapsed="false">
      <c r="A977" s="6" t="s">
        <v>2063</v>
      </c>
      <c r="B977" s="6" t="s">
        <v>2064</v>
      </c>
      <c r="C977" s="6" t="s">
        <v>75</v>
      </c>
      <c r="D977" s="6" t="n">
        <v>45</v>
      </c>
      <c r="E977" s="6" t="s">
        <v>81</v>
      </c>
      <c r="F977" s="6" t="s">
        <v>82</v>
      </c>
      <c r="G977" s="26" t="n">
        <v>46211</v>
      </c>
      <c r="H977" s="6" t="s">
        <v>92</v>
      </c>
      <c r="I977" s="26" t="n">
        <f aca="false">_xlfn.MINIFS(Transaction!$C$2:$C$8421,Transaction!$B$2:$B$8421,A977)</f>
        <v>46213</v>
      </c>
      <c r="J977" s="26" t="n">
        <f aca="false">_xlfn.MAXIFS(Transaction!$C$2:$C$8421,Transaction!$B$2:$B$8421,A977)</f>
        <v>46213</v>
      </c>
      <c r="K977" s="6" t="n">
        <f aca="false">COUNTIF(Transaction!$B$2:$B$8421,A977)</f>
        <v>1</v>
      </c>
      <c r="L977" s="10" t="n">
        <f aca="false">SUMIF(Transaction!$B$2:$B$8421,A977,Transaction!$H$2:$H$8421)</f>
        <v>3974</v>
      </c>
      <c r="M977" s="6" t="n">
        <f aca="false">Summary!$B$3-J977</f>
        <v>53</v>
      </c>
      <c r="N977" s="6" t="str">
        <f aca="false">IF(K977&gt;1,"Yes","No")</f>
        <v>No</v>
      </c>
      <c r="O977" s="6" t="s">
        <v>47</v>
      </c>
    </row>
    <row r="978" customFormat="false" ht="15" hidden="false" customHeight="false" outlineLevel="0" collapsed="false">
      <c r="A978" s="6" t="s">
        <v>2065</v>
      </c>
      <c r="B978" s="6" t="s">
        <v>2066</v>
      </c>
      <c r="C978" s="6" t="s">
        <v>75</v>
      </c>
      <c r="D978" s="6" t="n">
        <v>25</v>
      </c>
      <c r="E978" s="6" t="s">
        <v>105</v>
      </c>
      <c r="F978" s="6" t="s">
        <v>106</v>
      </c>
      <c r="G978" s="26" t="n">
        <v>45986</v>
      </c>
      <c r="H978" s="6" t="s">
        <v>78</v>
      </c>
      <c r="I978" s="26" t="n">
        <f aca="false">_xlfn.MINIFS(Transaction!$C$2:$C$8421,Transaction!$B$2:$B$8421,A978)</f>
        <v>46028</v>
      </c>
      <c r="J978" s="26" t="n">
        <f aca="false">_xlfn.MAXIFS(Transaction!$C$2:$C$8421,Transaction!$B$2:$B$8421,A978)</f>
        <v>46251</v>
      </c>
      <c r="K978" s="6" t="n">
        <f aca="false">COUNTIF(Transaction!$B$2:$B$8421,A978)</f>
        <v>10</v>
      </c>
      <c r="L978" s="10" t="n">
        <f aca="false">SUMIF(Transaction!$B$2:$B$8421,A978,Transaction!$H$2:$H$8421)</f>
        <v>17127</v>
      </c>
      <c r="M978" s="6" t="n">
        <f aca="false">Summary!$B$3-J978</f>
        <v>15</v>
      </c>
      <c r="N978" s="6" t="str">
        <f aca="false">IF(K978&gt;1,"Yes","No")</f>
        <v>Yes</v>
      </c>
      <c r="O978" s="6" t="s">
        <v>45</v>
      </c>
    </row>
    <row r="979" customFormat="false" ht="15" hidden="false" customHeight="false" outlineLevel="0" collapsed="false">
      <c r="A979" s="6" t="s">
        <v>2067</v>
      </c>
      <c r="B979" s="6" t="s">
        <v>2068</v>
      </c>
      <c r="C979" s="6" t="s">
        <v>85</v>
      </c>
      <c r="D979" s="6" t="n">
        <v>47</v>
      </c>
      <c r="E979" s="6" t="s">
        <v>95</v>
      </c>
      <c r="F979" s="6" t="s">
        <v>95</v>
      </c>
      <c r="G979" s="26" t="n">
        <v>46146</v>
      </c>
      <c r="H979" s="6" t="s">
        <v>88</v>
      </c>
      <c r="I979" s="26" t="n">
        <f aca="false">_xlfn.MINIFS(Transaction!$C$2:$C$8421,Transaction!$B$2:$B$8421,A979)</f>
        <v>46233</v>
      </c>
      <c r="J979" s="26" t="n">
        <f aca="false">_xlfn.MAXIFS(Transaction!$C$2:$C$8421,Transaction!$B$2:$B$8421,A979)</f>
        <v>46233</v>
      </c>
      <c r="K979" s="6" t="n">
        <f aca="false">COUNTIF(Transaction!$B$2:$B$8421,A979)</f>
        <v>1</v>
      </c>
      <c r="L979" s="10" t="n">
        <f aca="false">SUMIF(Transaction!$B$2:$B$8421,A979,Transaction!$H$2:$H$8421)</f>
        <v>1271</v>
      </c>
      <c r="M979" s="6" t="n">
        <f aca="false">Summary!$B$3-J979</f>
        <v>33</v>
      </c>
      <c r="N979" s="6" t="str">
        <f aca="false">IF(K979&gt;1,"Yes","No")</f>
        <v>No</v>
      </c>
      <c r="O979" s="6" t="s">
        <v>47</v>
      </c>
    </row>
    <row r="980" customFormat="false" ht="15" hidden="false" customHeight="false" outlineLevel="0" collapsed="false">
      <c r="A980" s="6" t="s">
        <v>2069</v>
      </c>
      <c r="B980" s="6" t="s">
        <v>2070</v>
      </c>
      <c r="C980" s="6" t="s">
        <v>75</v>
      </c>
      <c r="D980" s="6" t="n">
        <v>40</v>
      </c>
      <c r="E980" s="6" t="s">
        <v>98</v>
      </c>
      <c r="F980" s="6" t="s">
        <v>99</v>
      </c>
      <c r="G980" s="26" t="n">
        <v>46030</v>
      </c>
      <c r="H980" s="6" t="s">
        <v>102</v>
      </c>
      <c r="I980" s="26" t="n">
        <f aca="false">_xlfn.MINIFS(Transaction!$C$2:$C$8421,Transaction!$B$2:$B$8421,A980)</f>
        <v>46076</v>
      </c>
      <c r="J980" s="26" t="n">
        <f aca="false">_xlfn.MAXIFS(Transaction!$C$2:$C$8421,Transaction!$B$2:$B$8421,A980)</f>
        <v>46244</v>
      </c>
      <c r="K980" s="6" t="n">
        <f aca="false">COUNTIF(Transaction!$B$2:$B$8421,A980)</f>
        <v>4</v>
      </c>
      <c r="L980" s="10" t="n">
        <f aca="false">SUMIF(Transaction!$B$2:$B$8421,A980,Transaction!$H$2:$H$8421)</f>
        <v>7209</v>
      </c>
      <c r="M980" s="6" t="n">
        <f aca="false">Summary!$B$3-J980</f>
        <v>22</v>
      </c>
      <c r="N980" s="6" t="str">
        <f aca="false">IF(K980&gt;1,"Yes","No")</f>
        <v>Yes</v>
      </c>
      <c r="O980" s="6" t="s">
        <v>46</v>
      </c>
    </row>
    <row r="981" customFormat="false" ht="15" hidden="false" customHeight="false" outlineLevel="0" collapsed="false">
      <c r="A981" s="6" t="s">
        <v>2071</v>
      </c>
      <c r="B981" s="6" t="s">
        <v>2072</v>
      </c>
      <c r="C981" s="6" t="s">
        <v>85</v>
      </c>
      <c r="D981" s="6" t="n">
        <v>46</v>
      </c>
      <c r="E981" s="6" t="s">
        <v>237</v>
      </c>
      <c r="F981" s="6" t="s">
        <v>87</v>
      </c>
      <c r="G981" s="26" t="n">
        <v>46161</v>
      </c>
      <c r="H981" s="6" t="s">
        <v>115</v>
      </c>
      <c r="I981" s="26" t="n">
        <f aca="false">_xlfn.MINIFS(Transaction!$C$2:$C$8421,Transaction!$B$2:$B$8421,A981)</f>
        <v>46200</v>
      </c>
      <c r="J981" s="26" t="n">
        <f aca="false">_xlfn.MAXIFS(Transaction!$C$2:$C$8421,Transaction!$B$2:$B$8421,A981)</f>
        <v>46200</v>
      </c>
      <c r="K981" s="6" t="n">
        <f aca="false">COUNTIF(Transaction!$B$2:$B$8421,A981)</f>
        <v>1</v>
      </c>
      <c r="L981" s="10" t="n">
        <f aca="false">SUMIF(Transaction!$B$2:$B$8421,A981,Transaction!$H$2:$H$8421)</f>
        <v>882</v>
      </c>
      <c r="M981" s="6" t="n">
        <f aca="false">Summary!$B$3-J981</f>
        <v>66</v>
      </c>
      <c r="N981" s="6" t="str">
        <f aca="false">IF(K981&gt;1,"Yes","No")</f>
        <v>No</v>
      </c>
      <c r="O981" s="6" t="s">
        <v>47</v>
      </c>
    </row>
    <row r="982" customFormat="false" ht="15" hidden="false" customHeight="false" outlineLevel="0" collapsed="false">
      <c r="A982" s="6" t="s">
        <v>2073</v>
      </c>
      <c r="B982" s="6" t="s">
        <v>2074</v>
      </c>
      <c r="C982" s="6" t="s">
        <v>75</v>
      </c>
      <c r="D982" s="6" t="n">
        <v>46</v>
      </c>
      <c r="E982" s="6" t="s">
        <v>76</v>
      </c>
      <c r="F982" s="6" t="s">
        <v>77</v>
      </c>
      <c r="G982" s="26" t="n">
        <v>46038</v>
      </c>
      <c r="H982" s="6" t="s">
        <v>78</v>
      </c>
      <c r="I982" s="26" t="n">
        <f aca="false">_xlfn.MINIFS(Transaction!$C$2:$C$8421,Transaction!$B$2:$B$8421,A982)</f>
        <v>46058</v>
      </c>
      <c r="J982" s="26" t="n">
        <f aca="false">_xlfn.MAXIFS(Transaction!$C$2:$C$8421,Transaction!$B$2:$B$8421,A982)</f>
        <v>46058</v>
      </c>
      <c r="K982" s="6" t="n">
        <f aca="false">COUNTIF(Transaction!$B$2:$B$8421,A982)</f>
        <v>1</v>
      </c>
      <c r="L982" s="10" t="n">
        <f aca="false">SUMIF(Transaction!$B$2:$B$8421,A982,Transaction!$H$2:$H$8421)</f>
        <v>3520</v>
      </c>
      <c r="M982" s="6" t="n">
        <f aca="false">Summary!$B$3-J982</f>
        <v>208</v>
      </c>
      <c r="N982" s="6" t="str">
        <f aca="false">IF(K982&gt;1,"Yes","No")</f>
        <v>No</v>
      </c>
      <c r="O982" s="6" t="s">
        <v>49</v>
      </c>
    </row>
    <row r="983" customFormat="false" ht="15" hidden="false" customHeight="false" outlineLevel="0" collapsed="false">
      <c r="A983" s="6" t="s">
        <v>2075</v>
      </c>
      <c r="B983" s="6" t="s">
        <v>2076</v>
      </c>
      <c r="C983" s="6" t="s">
        <v>85</v>
      </c>
      <c r="D983" s="6" t="n">
        <v>36</v>
      </c>
      <c r="E983" s="6" t="s">
        <v>91</v>
      </c>
      <c r="F983" s="6" t="s">
        <v>77</v>
      </c>
      <c r="G983" s="26" t="n">
        <v>46172</v>
      </c>
      <c r="H983" s="6" t="s">
        <v>115</v>
      </c>
      <c r="I983" s="26" t="n">
        <f aca="false">_xlfn.MINIFS(Transaction!$C$2:$C$8421,Transaction!$B$2:$B$8421,A983)</f>
        <v>46179</v>
      </c>
      <c r="J983" s="26" t="n">
        <f aca="false">_xlfn.MAXIFS(Transaction!$C$2:$C$8421,Transaction!$B$2:$B$8421,A983)</f>
        <v>46179</v>
      </c>
      <c r="K983" s="6" t="n">
        <f aca="false">COUNTIF(Transaction!$B$2:$B$8421,A983)</f>
        <v>1</v>
      </c>
      <c r="L983" s="10" t="n">
        <f aca="false">SUMIF(Transaction!$B$2:$B$8421,A983,Transaction!$H$2:$H$8421)</f>
        <v>1452</v>
      </c>
      <c r="M983" s="6" t="n">
        <f aca="false">Summary!$B$3-J983</f>
        <v>87</v>
      </c>
      <c r="N983" s="6" t="str">
        <f aca="false">IF(K983&gt;1,"Yes","No")</f>
        <v>No</v>
      </c>
      <c r="O983" s="6" t="s">
        <v>47</v>
      </c>
    </row>
    <row r="984" customFormat="false" ht="15" hidden="false" customHeight="false" outlineLevel="0" collapsed="false">
      <c r="A984" s="6" t="s">
        <v>2077</v>
      </c>
      <c r="B984" s="6" t="s">
        <v>2078</v>
      </c>
      <c r="C984" s="6" t="s">
        <v>75</v>
      </c>
      <c r="D984" s="6" t="n">
        <v>47</v>
      </c>
      <c r="E984" s="6" t="s">
        <v>264</v>
      </c>
      <c r="F984" s="6" t="s">
        <v>106</v>
      </c>
      <c r="G984" s="26" t="n">
        <v>45958</v>
      </c>
      <c r="H984" s="6" t="s">
        <v>123</v>
      </c>
      <c r="I984" s="26" t="n">
        <f aca="false">_xlfn.MINIFS(Transaction!$C$2:$C$8421,Transaction!$B$2:$B$8421,A984)</f>
        <v>46030</v>
      </c>
      <c r="J984" s="26" t="n">
        <f aca="false">_xlfn.MAXIFS(Transaction!$C$2:$C$8421,Transaction!$B$2:$B$8421,A984)</f>
        <v>46251</v>
      </c>
      <c r="K984" s="6" t="n">
        <f aca="false">COUNTIF(Transaction!$B$2:$B$8421,A984)</f>
        <v>6</v>
      </c>
      <c r="L984" s="10" t="n">
        <f aca="false">SUMIF(Transaction!$B$2:$B$8421,A984,Transaction!$H$2:$H$8421)</f>
        <v>8637</v>
      </c>
      <c r="M984" s="6" t="n">
        <f aca="false">Summary!$B$3-J984</f>
        <v>15</v>
      </c>
      <c r="N984" s="6" t="str">
        <f aca="false">IF(K984&gt;1,"Yes","No")</f>
        <v>Yes</v>
      </c>
      <c r="O984" s="6" t="s">
        <v>46</v>
      </c>
    </row>
    <row r="985" customFormat="false" ht="15" hidden="false" customHeight="false" outlineLevel="0" collapsed="false">
      <c r="A985" s="6" t="s">
        <v>2079</v>
      </c>
      <c r="B985" s="6" t="s">
        <v>2080</v>
      </c>
      <c r="C985" s="6" t="s">
        <v>85</v>
      </c>
      <c r="D985" s="6" t="n">
        <v>28</v>
      </c>
      <c r="E985" s="6" t="s">
        <v>95</v>
      </c>
      <c r="F985" s="6" t="s">
        <v>95</v>
      </c>
      <c r="G985" s="26" t="n">
        <v>46194</v>
      </c>
      <c r="H985" s="6" t="s">
        <v>92</v>
      </c>
      <c r="I985" s="26" t="n">
        <f aca="false">_xlfn.MINIFS(Transaction!$C$2:$C$8421,Transaction!$B$2:$B$8421,A985)</f>
        <v>46216</v>
      </c>
      <c r="J985" s="26" t="n">
        <f aca="false">_xlfn.MAXIFS(Transaction!$C$2:$C$8421,Transaction!$B$2:$B$8421,A985)</f>
        <v>46216</v>
      </c>
      <c r="K985" s="6" t="n">
        <f aca="false">COUNTIF(Transaction!$B$2:$B$8421,A985)</f>
        <v>1</v>
      </c>
      <c r="L985" s="10" t="n">
        <f aca="false">SUMIF(Transaction!$B$2:$B$8421,A985,Transaction!$H$2:$H$8421)</f>
        <v>783</v>
      </c>
      <c r="M985" s="6" t="n">
        <f aca="false">Summary!$B$3-J985</f>
        <v>50</v>
      </c>
      <c r="N985" s="6" t="str">
        <f aca="false">IF(K985&gt;1,"Yes","No")</f>
        <v>No</v>
      </c>
      <c r="O985" s="6" t="s">
        <v>47</v>
      </c>
    </row>
    <row r="986" customFormat="false" ht="15" hidden="false" customHeight="false" outlineLevel="0" collapsed="false">
      <c r="A986" s="6" t="s">
        <v>2081</v>
      </c>
      <c r="B986" s="6" t="s">
        <v>2082</v>
      </c>
      <c r="C986" s="6" t="s">
        <v>75</v>
      </c>
      <c r="D986" s="6" t="n">
        <v>45</v>
      </c>
      <c r="E986" s="6" t="s">
        <v>81</v>
      </c>
      <c r="F986" s="6" t="s">
        <v>82</v>
      </c>
      <c r="G986" s="26" t="n">
        <v>46126</v>
      </c>
      <c r="H986" s="6" t="s">
        <v>123</v>
      </c>
      <c r="I986" s="26" t="n">
        <f aca="false">_xlfn.MINIFS(Transaction!$C$2:$C$8421,Transaction!$B$2:$B$8421,A986)</f>
        <v>46214</v>
      </c>
      <c r="J986" s="26" t="n">
        <f aca="false">_xlfn.MAXIFS(Transaction!$C$2:$C$8421,Transaction!$B$2:$B$8421,A986)</f>
        <v>46214</v>
      </c>
      <c r="K986" s="6" t="n">
        <f aca="false">COUNTIF(Transaction!$B$2:$B$8421,A986)</f>
        <v>1</v>
      </c>
      <c r="L986" s="10" t="n">
        <f aca="false">SUMIF(Transaction!$B$2:$B$8421,A986,Transaction!$H$2:$H$8421)</f>
        <v>1466</v>
      </c>
      <c r="M986" s="6" t="n">
        <f aca="false">Summary!$B$3-J986</f>
        <v>52</v>
      </c>
      <c r="N986" s="6" t="str">
        <f aca="false">IF(K986&gt;1,"Yes","No")</f>
        <v>No</v>
      </c>
      <c r="O986" s="6" t="s">
        <v>47</v>
      </c>
    </row>
    <row r="987" customFormat="false" ht="15" hidden="false" customHeight="false" outlineLevel="0" collapsed="false">
      <c r="A987" s="6" t="s">
        <v>2083</v>
      </c>
      <c r="B987" s="6" t="s">
        <v>2084</v>
      </c>
      <c r="C987" s="6" t="s">
        <v>85</v>
      </c>
      <c r="D987" s="6" t="n">
        <v>30</v>
      </c>
      <c r="E987" s="6" t="s">
        <v>91</v>
      </c>
      <c r="F987" s="6" t="s">
        <v>77</v>
      </c>
      <c r="G987" s="26" t="n">
        <v>46106</v>
      </c>
      <c r="H987" s="6" t="s">
        <v>115</v>
      </c>
      <c r="I987" s="26" t="n">
        <f aca="false">_xlfn.MINIFS(Transaction!$C$2:$C$8421,Transaction!$B$2:$B$8421,A987)</f>
        <v>46179</v>
      </c>
      <c r="J987" s="26" t="n">
        <f aca="false">_xlfn.MAXIFS(Transaction!$C$2:$C$8421,Transaction!$B$2:$B$8421,A987)</f>
        <v>46179</v>
      </c>
      <c r="K987" s="6" t="n">
        <f aca="false">COUNTIF(Transaction!$B$2:$B$8421,A987)</f>
        <v>1</v>
      </c>
      <c r="L987" s="10" t="n">
        <f aca="false">SUMIF(Transaction!$B$2:$B$8421,A987,Transaction!$H$2:$H$8421)</f>
        <v>1179</v>
      </c>
      <c r="M987" s="6" t="n">
        <f aca="false">Summary!$B$3-J987</f>
        <v>87</v>
      </c>
      <c r="N987" s="6" t="str">
        <f aca="false">IF(K987&gt;1,"Yes","No")</f>
        <v>No</v>
      </c>
      <c r="O987" s="6" t="s">
        <v>47</v>
      </c>
    </row>
    <row r="988" customFormat="false" ht="15" hidden="false" customHeight="false" outlineLevel="0" collapsed="false">
      <c r="A988" s="6" t="s">
        <v>2085</v>
      </c>
      <c r="B988" s="6" t="s">
        <v>2086</v>
      </c>
      <c r="C988" s="6" t="s">
        <v>85</v>
      </c>
      <c r="D988" s="6" t="n">
        <v>40</v>
      </c>
      <c r="E988" s="6" t="s">
        <v>105</v>
      </c>
      <c r="F988" s="6" t="s">
        <v>106</v>
      </c>
      <c r="G988" s="26" t="n">
        <v>46009</v>
      </c>
      <c r="H988" s="6" t="s">
        <v>92</v>
      </c>
      <c r="I988" s="26" t="n">
        <f aca="false">_xlfn.MINIFS(Transaction!$C$2:$C$8421,Transaction!$B$2:$B$8421,A988)</f>
        <v>46066</v>
      </c>
      <c r="J988" s="26" t="n">
        <f aca="false">_xlfn.MAXIFS(Transaction!$C$2:$C$8421,Transaction!$B$2:$B$8421,A988)</f>
        <v>46212</v>
      </c>
      <c r="K988" s="6" t="n">
        <f aca="false">COUNTIF(Transaction!$B$2:$B$8421,A988)</f>
        <v>5</v>
      </c>
      <c r="L988" s="10" t="n">
        <f aca="false">SUMIF(Transaction!$B$2:$B$8421,A988,Transaction!$H$2:$H$8421)</f>
        <v>20620</v>
      </c>
      <c r="M988" s="6" t="n">
        <f aca="false">Summary!$B$3-J988</f>
        <v>54</v>
      </c>
      <c r="N988" s="6" t="str">
        <f aca="false">IF(K988&gt;1,"Yes","No")</f>
        <v>Yes</v>
      </c>
      <c r="O988" s="6" t="s">
        <v>46</v>
      </c>
    </row>
    <row r="989" customFormat="false" ht="15" hidden="false" customHeight="false" outlineLevel="0" collapsed="false">
      <c r="A989" s="6" t="s">
        <v>2087</v>
      </c>
      <c r="B989" s="6" t="s">
        <v>2088</v>
      </c>
      <c r="C989" s="6" t="s">
        <v>75</v>
      </c>
      <c r="D989" s="6" t="n">
        <v>41</v>
      </c>
      <c r="E989" s="6" t="s">
        <v>176</v>
      </c>
      <c r="F989" s="6" t="s">
        <v>177</v>
      </c>
      <c r="G989" s="26" t="n">
        <v>46013</v>
      </c>
      <c r="H989" s="6" t="s">
        <v>115</v>
      </c>
      <c r="I989" s="26" t="n">
        <f aca="false">_xlfn.MINIFS(Transaction!$C$2:$C$8421,Transaction!$B$2:$B$8421,A989)</f>
        <v>46046</v>
      </c>
      <c r="J989" s="26" t="n">
        <f aca="false">_xlfn.MAXIFS(Transaction!$C$2:$C$8421,Transaction!$B$2:$B$8421,A989)</f>
        <v>46046</v>
      </c>
      <c r="K989" s="6" t="n">
        <f aca="false">COUNTIF(Transaction!$B$2:$B$8421,A989)</f>
        <v>1</v>
      </c>
      <c r="L989" s="10" t="n">
        <f aca="false">SUMIF(Transaction!$B$2:$B$8421,A989,Transaction!$H$2:$H$8421)</f>
        <v>2948</v>
      </c>
      <c r="M989" s="6" t="n">
        <f aca="false">Summary!$B$3-J989</f>
        <v>220</v>
      </c>
      <c r="N989" s="6" t="str">
        <f aca="false">IF(K989&gt;1,"Yes","No")</f>
        <v>No</v>
      </c>
      <c r="O989" s="6" t="s">
        <v>49</v>
      </c>
    </row>
    <row r="990" customFormat="false" ht="15" hidden="false" customHeight="false" outlineLevel="0" collapsed="false">
      <c r="A990" s="6" t="s">
        <v>2089</v>
      </c>
      <c r="B990" s="6" t="s">
        <v>2090</v>
      </c>
      <c r="C990" s="6" t="s">
        <v>85</v>
      </c>
      <c r="D990" s="6" t="n">
        <v>38</v>
      </c>
      <c r="E990" s="6" t="s">
        <v>134</v>
      </c>
      <c r="F990" s="6" t="s">
        <v>135</v>
      </c>
      <c r="G990" s="26" t="n">
        <v>45987</v>
      </c>
      <c r="H990" s="6" t="s">
        <v>78</v>
      </c>
      <c r="I990" s="26" t="n">
        <f aca="false">_xlfn.MINIFS(Transaction!$C$2:$C$8421,Transaction!$B$2:$B$8421,A990)</f>
        <v>46055</v>
      </c>
      <c r="J990" s="26" t="n">
        <f aca="false">_xlfn.MAXIFS(Transaction!$C$2:$C$8421,Transaction!$B$2:$B$8421,A990)</f>
        <v>46255</v>
      </c>
      <c r="K990" s="6" t="n">
        <f aca="false">COUNTIF(Transaction!$B$2:$B$8421,A990)</f>
        <v>7</v>
      </c>
      <c r="L990" s="10" t="n">
        <f aca="false">SUMIF(Transaction!$B$2:$B$8421,A990,Transaction!$H$2:$H$8421)</f>
        <v>36757</v>
      </c>
      <c r="M990" s="6" t="n">
        <f aca="false">Summary!$B$3-J990</f>
        <v>11</v>
      </c>
      <c r="N990" s="6" t="str">
        <f aca="false">IF(K990&gt;1,"Yes","No")</f>
        <v>Yes</v>
      </c>
      <c r="O990" s="6" t="s">
        <v>46</v>
      </c>
    </row>
    <row r="991" customFormat="false" ht="15" hidden="false" customHeight="false" outlineLevel="0" collapsed="false">
      <c r="A991" s="6" t="s">
        <v>2091</v>
      </c>
      <c r="B991" s="6" t="s">
        <v>2092</v>
      </c>
      <c r="C991" s="6" t="s">
        <v>75</v>
      </c>
      <c r="D991" s="6" t="n">
        <v>52</v>
      </c>
      <c r="E991" s="6" t="s">
        <v>81</v>
      </c>
      <c r="F991" s="6" t="s">
        <v>82</v>
      </c>
      <c r="G991" s="26" t="n">
        <v>46121</v>
      </c>
      <c r="H991" s="6" t="s">
        <v>102</v>
      </c>
      <c r="I991" s="26" t="n">
        <f aca="false">_xlfn.MINIFS(Transaction!$C$2:$C$8421,Transaction!$B$2:$B$8421,A991)</f>
        <v>46139</v>
      </c>
      <c r="J991" s="26" t="n">
        <f aca="false">_xlfn.MAXIFS(Transaction!$C$2:$C$8421,Transaction!$B$2:$B$8421,A991)</f>
        <v>46139</v>
      </c>
      <c r="K991" s="6" t="n">
        <f aca="false">COUNTIF(Transaction!$B$2:$B$8421,A991)</f>
        <v>1</v>
      </c>
      <c r="L991" s="10" t="n">
        <f aca="false">SUMIF(Transaction!$B$2:$B$8421,A991,Transaction!$H$2:$H$8421)</f>
        <v>2640</v>
      </c>
      <c r="M991" s="6" t="n">
        <f aca="false">Summary!$B$3-J991</f>
        <v>127</v>
      </c>
      <c r="N991" s="6" t="str">
        <f aca="false">IF(K991&gt;1,"Yes","No")</f>
        <v>No</v>
      </c>
      <c r="O991" s="6" t="s">
        <v>48</v>
      </c>
    </row>
    <row r="992" customFormat="false" ht="15" hidden="false" customHeight="false" outlineLevel="0" collapsed="false">
      <c r="A992" s="6" t="s">
        <v>2093</v>
      </c>
      <c r="B992" s="6" t="s">
        <v>2094</v>
      </c>
      <c r="C992" s="6" t="s">
        <v>85</v>
      </c>
      <c r="D992" s="6" t="n">
        <v>39</v>
      </c>
      <c r="E992" s="6" t="s">
        <v>206</v>
      </c>
      <c r="F992" s="6" t="s">
        <v>106</v>
      </c>
      <c r="G992" s="26" t="n">
        <v>46007</v>
      </c>
      <c r="H992" s="6" t="s">
        <v>115</v>
      </c>
      <c r="I992" s="26" t="n">
        <f aca="false">_xlfn.MINIFS(Transaction!$C$2:$C$8421,Transaction!$B$2:$B$8421,A992)</f>
        <v>46055</v>
      </c>
      <c r="J992" s="26" t="n">
        <f aca="false">_xlfn.MAXIFS(Transaction!$C$2:$C$8421,Transaction!$B$2:$B$8421,A992)</f>
        <v>46258</v>
      </c>
      <c r="K992" s="6" t="n">
        <f aca="false">COUNTIF(Transaction!$B$2:$B$8421,A992)</f>
        <v>11</v>
      </c>
      <c r="L992" s="10" t="n">
        <f aca="false">SUMIF(Transaction!$B$2:$B$8421,A992,Transaction!$H$2:$H$8421)</f>
        <v>19216</v>
      </c>
      <c r="M992" s="6" t="n">
        <f aca="false">Summary!$B$3-J992</f>
        <v>8</v>
      </c>
      <c r="N992" s="6" t="str">
        <f aca="false">IF(K992&gt;1,"Yes","No")</f>
        <v>Yes</v>
      </c>
      <c r="O992" s="6" t="s">
        <v>45</v>
      </c>
    </row>
    <row r="993" customFormat="false" ht="15" hidden="false" customHeight="false" outlineLevel="0" collapsed="false">
      <c r="A993" s="6" t="s">
        <v>2095</v>
      </c>
      <c r="B993" s="6" t="s">
        <v>2096</v>
      </c>
      <c r="C993" s="6" t="s">
        <v>75</v>
      </c>
      <c r="D993" s="6" t="n">
        <v>18</v>
      </c>
      <c r="E993" s="6" t="s">
        <v>76</v>
      </c>
      <c r="F993" s="6" t="s">
        <v>77</v>
      </c>
      <c r="G993" s="26" t="n">
        <v>46145</v>
      </c>
      <c r="H993" s="6" t="s">
        <v>78</v>
      </c>
      <c r="I993" s="26" t="n">
        <f aca="false">_xlfn.MINIFS(Transaction!$C$2:$C$8421,Transaction!$B$2:$B$8421,A993)</f>
        <v>46207</v>
      </c>
      <c r="J993" s="26" t="n">
        <f aca="false">_xlfn.MAXIFS(Transaction!$C$2:$C$8421,Transaction!$B$2:$B$8421,A993)</f>
        <v>46207</v>
      </c>
      <c r="K993" s="6" t="n">
        <f aca="false">COUNTIF(Transaction!$B$2:$B$8421,A993)</f>
        <v>1</v>
      </c>
      <c r="L993" s="10" t="n">
        <f aca="false">SUMIF(Transaction!$B$2:$B$8421,A993,Transaction!$H$2:$H$8421)</f>
        <v>1564</v>
      </c>
      <c r="M993" s="6" t="n">
        <f aca="false">Summary!$B$3-J993</f>
        <v>59</v>
      </c>
      <c r="N993" s="6" t="str">
        <f aca="false">IF(K993&gt;1,"Yes","No")</f>
        <v>No</v>
      </c>
      <c r="O993" s="6" t="s">
        <v>47</v>
      </c>
    </row>
    <row r="994" customFormat="false" ht="15" hidden="false" customHeight="false" outlineLevel="0" collapsed="false">
      <c r="A994" s="6" t="s">
        <v>2097</v>
      </c>
      <c r="B994" s="6" t="s">
        <v>2098</v>
      </c>
      <c r="C994" s="6" t="s">
        <v>75</v>
      </c>
      <c r="D994" s="6" t="n">
        <v>18</v>
      </c>
      <c r="E994" s="6" t="s">
        <v>86</v>
      </c>
      <c r="F994" s="6" t="s">
        <v>87</v>
      </c>
      <c r="G994" s="26" t="n">
        <v>46177</v>
      </c>
      <c r="H994" s="6" t="s">
        <v>92</v>
      </c>
      <c r="I994" s="26" t="n">
        <f aca="false">_xlfn.MINIFS(Transaction!$C$2:$C$8421,Transaction!$B$2:$B$8421,A994)</f>
        <v>46252</v>
      </c>
      <c r="J994" s="26" t="n">
        <f aca="false">_xlfn.MAXIFS(Transaction!$C$2:$C$8421,Transaction!$B$2:$B$8421,A994)</f>
        <v>46252</v>
      </c>
      <c r="K994" s="6" t="n">
        <f aca="false">COUNTIF(Transaction!$B$2:$B$8421,A994)</f>
        <v>1</v>
      </c>
      <c r="L994" s="10" t="n">
        <f aca="false">SUMIF(Transaction!$B$2:$B$8421,A994,Transaction!$H$2:$H$8421)</f>
        <v>508</v>
      </c>
      <c r="M994" s="6" t="n">
        <f aca="false">Summary!$B$3-J994</f>
        <v>14</v>
      </c>
      <c r="N994" s="6" t="str">
        <f aca="false">IF(K994&gt;1,"Yes","No")</f>
        <v>No</v>
      </c>
      <c r="O994" s="6" t="s">
        <v>47</v>
      </c>
    </row>
    <row r="995" customFormat="false" ht="15" hidden="false" customHeight="false" outlineLevel="0" collapsed="false">
      <c r="A995" s="6" t="s">
        <v>2099</v>
      </c>
      <c r="B995" s="6" t="s">
        <v>2100</v>
      </c>
      <c r="C995" s="6" t="s">
        <v>75</v>
      </c>
      <c r="D995" s="6" t="n">
        <v>26</v>
      </c>
      <c r="E995" s="6" t="s">
        <v>121</v>
      </c>
      <c r="F995" s="6" t="s">
        <v>122</v>
      </c>
      <c r="G995" s="26" t="n">
        <v>46166</v>
      </c>
      <c r="H995" s="6" t="s">
        <v>102</v>
      </c>
      <c r="I995" s="26" t="n">
        <f aca="false">_xlfn.MINIFS(Transaction!$C$2:$C$8421,Transaction!$B$2:$B$8421,A995)</f>
        <v>46250</v>
      </c>
      <c r="J995" s="26" t="n">
        <f aca="false">_xlfn.MAXIFS(Transaction!$C$2:$C$8421,Transaction!$B$2:$B$8421,A995)</f>
        <v>46250</v>
      </c>
      <c r="K995" s="6" t="n">
        <f aca="false">COUNTIF(Transaction!$B$2:$B$8421,A995)</f>
        <v>1</v>
      </c>
      <c r="L995" s="10" t="n">
        <f aca="false">SUMIF(Transaction!$B$2:$B$8421,A995,Transaction!$H$2:$H$8421)</f>
        <v>1271</v>
      </c>
      <c r="M995" s="6" t="n">
        <f aca="false">Summary!$B$3-J995</f>
        <v>16</v>
      </c>
      <c r="N995" s="6" t="str">
        <f aca="false">IF(K995&gt;1,"Yes","No")</f>
        <v>No</v>
      </c>
      <c r="O995" s="6" t="s">
        <v>47</v>
      </c>
    </row>
    <row r="996" customFormat="false" ht="15" hidden="false" customHeight="false" outlineLevel="0" collapsed="false">
      <c r="A996" s="6" t="s">
        <v>2101</v>
      </c>
      <c r="B996" s="6" t="s">
        <v>2102</v>
      </c>
      <c r="C996" s="6" t="s">
        <v>85</v>
      </c>
      <c r="D996" s="6" t="n">
        <v>21</v>
      </c>
      <c r="E996" s="6" t="s">
        <v>91</v>
      </c>
      <c r="F996" s="6" t="s">
        <v>77</v>
      </c>
      <c r="G996" s="26" t="n">
        <v>46181</v>
      </c>
      <c r="H996" s="6" t="s">
        <v>92</v>
      </c>
      <c r="I996" s="26" t="n">
        <f aca="false">_xlfn.MINIFS(Transaction!$C$2:$C$8421,Transaction!$B$2:$B$8421,A996)</f>
        <v>46233</v>
      </c>
      <c r="J996" s="26" t="n">
        <f aca="false">_xlfn.MAXIFS(Transaction!$C$2:$C$8421,Transaction!$B$2:$B$8421,A996)</f>
        <v>46233</v>
      </c>
      <c r="K996" s="6" t="n">
        <f aca="false">COUNTIF(Transaction!$B$2:$B$8421,A996)</f>
        <v>1</v>
      </c>
      <c r="L996" s="10" t="n">
        <f aca="false">SUMIF(Transaction!$B$2:$B$8421,A996,Transaction!$H$2:$H$8421)</f>
        <v>1954</v>
      </c>
      <c r="M996" s="6" t="n">
        <f aca="false">Summary!$B$3-J996</f>
        <v>33</v>
      </c>
      <c r="N996" s="6" t="str">
        <f aca="false">IF(K996&gt;1,"Yes","No")</f>
        <v>No</v>
      </c>
      <c r="O996" s="6" t="s">
        <v>47</v>
      </c>
    </row>
    <row r="997" customFormat="false" ht="15" hidden="false" customHeight="false" outlineLevel="0" collapsed="false">
      <c r="A997" s="6" t="s">
        <v>2103</v>
      </c>
      <c r="B997" s="6" t="s">
        <v>2104</v>
      </c>
      <c r="C997" s="6" t="s">
        <v>75</v>
      </c>
      <c r="D997" s="6" t="n">
        <v>18</v>
      </c>
      <c r="E997" s="6" t="s">
        <v>140</v>
      </c>
      <c r="F997" s="6" t="s">
        <v>141</v>
      </c>
      <c r="G997" s="26" t="n">
        <v>46037</v>
      </c>
      <c r="H997" s="6" t="s">
        <v>78</v>
      </c>
      <c r="I997" s="26" t="n">
        <f aca="false">_xlfn.MINIFS(Transaction!$C$2:$C$8421,Transaction!$B$2:$B$8421,A997)</f>
        <v>46061</v>
      </c>
      <c r="J997" s="26" t="n">
        <f aca="false">_xlfn.MAXIFS(Transaction!$C$2:$C$8421,Transaction!$B$2:$B$8421,A997)</f>
        <v>46202</v>
      </c>
      <c r="K997" s="6" t="n">
        <f aca="false">COUNTIF(Transaction!$B$2:$B$8421,A997)</f>
        <v>6</v>
      </c>
      <c r="L997" s="10" t="n">
        <f aca="false">SUMIF(Transaction!$B$2:$B$8421,A997,Transaction!$H$2:$H$8421)</f>
        <v>46639</v>
      </c>
      <c r="M997" s="6" t="n">
        <f aca="false">Summary!$B$3-J997</f>
        <v>64</v>
      </c>
      <c r="N997" s="6" t="str">
        <f aca="false">IF(K997&gt;1,"Yes","No")</f>
        <v>Yes</v>
      </c>
      <c r="O997" s="6" t="s">
        <v>46</v>
      </c>
    </row>
    <row r="998" customFormat="false" ht="15" hidden="false" customHeight="false" outlineLevel="0" collapsed="false">
      <c r="A998" s="6" t="s">
        <v>2105</v>
      </c>
      <c r="B998" s="6" t="s">
        <v>2106</v>
      </c>
      <c r="C998" s="6" t="s">
        <v>75</v>
      </c>
      <c r="D998" s="6" t="n">
        <v>32</v>
      </c>
      <c r="E998" s="6" t="s">
        <v>91</v>
      </c>
      <c r="F998" s="6" t="s">
        <v>77</v>
      </c>
      <c r="G998" s="26" t="n">
        <v>45964</v>
      </c>
      <c r="H998" s="6" t="s">
        <v>88</v>
      </c>
      <c r="I998" s="26" t="n">
        <f aca="false">_xlfn.MINIFS(Transaction!$C$2:$C$8421,Transaction!$B$2:$B$8421,A998)</f>
        <v>46051</v>
      </c>
      <c r="J998" s="26" t="n">
        <f aca="false">_xlfn.MAXIFS(Transaction!$C$2:$C$8421,Transaction!$B$2:$B$8421,A998)</f>
        <v>46262</v>
      </c>
      <c r="K998" s="6" t="n">
        <f aca="false">COUNTIF(Transaction!$B$2:$B$8421,A998)</f>
        <v>10</v>
      </c>
      <c r="L998" s="10" t="n">
        <f aca="false">SUMIF(Transaction!$B$2:$B$8421,A998,Transaction!$H$2:$H$8421)</f>
        <v>16435</v>
      </c>
      <c r="M998" s="6" t="n">
        <f aca="false">Summary!$B$3-J998</f>
        <v>4</v>
      </c>
      <c r="N998" s="6" t="str">
        <f aca="false">IF(K998&gt;1,"Yes","No")</f>
        <v>Yes</v>
      </c>
      <c r="O998" s="6" t="s">
        <v>45</v>
      </c>
    </row>
    <row r="999" customFormat="false" ht="15" hidden="false" customHeight="false" outlineLevel="0" collapsed="false">
      <c r="A999" s="6" t="s">
        <v>2107</v>
      </c>
      <c r="B999" s="6" t="s">
        <v>2108</v>
      </c>
      <c r="C999" s="6" t="s">
        <v>75</v>
      </c>
      <c r="D999" s="6" t="n">
        <v>34</v>
      </c>
      <c r="E999" s="6" t="s">
        <v>98</v>
      </c>
      <c r="F999" s="6" t="s">
        <v>99</v>
      </c>
      <c r="G999" s="26" t="n">
        <v>46170</v>
      </c>
      <c r="H999" s="6" t="s">
        <v>102</v>
      </c>
      <c r="I999" s="26" t="n">
        <f aca="false">_xlfn.MINIFS(Transaction!$C$2:$C$8421,Transaction!$B$2:$B$8421,A999)</f>
        <v>46236</v>
      </c>
      <c r="J999" s="26" t="n">
        <f aca="false">_xlfn.MAXIFS(Transaction!$C$2:$C$8421,Transaction!$B$2:$B$8421,A999)</f>
        <v>46236</v>
      </c>
      <c r="K999" s="6" t="n">
        <f aca="false">COUNTIF(Transaction!$B$2:$B$8421,A999)</f>
        <v>1</v>
      </c>
      <c r="L999" s="10" t="n">
        <f aca="false">SUMIF(Transaction!$B$2:$B$8421,A999,Transaction!$H$2:$H$8421)</f>
        <v>2348</v>
      </c>
      <c r="M999" s="6" t="n">
        <f aca="false">Summary!$B$3-J999</f>
        <v>30</v>
      </c>
      <c r="N999" s="6" t="str">
        <f aca="false">IF(K999&gt;1,"Yes","No")</f>
        <v>No</v>
      </c>
      <c r="O999" s="6" t="s">
        <v>47</v>
      </c>
    </row>
    <row r="1000" customFormat="false" ht="15" hidden="false" customHeight="false" outlineLevel="0" collapsed="false">
      <c r="A1000" s="6" t="s">
        <v>2109</v>
      </c>
      <c r="B1000" s="6" t="s">
        <v>2110</v>
      </c>
      <c r="C1000" s="6" t="s">
        <v>85</v>
      </c>
      <c r="D1000" s="6" t="n">
        <v>34</v>
      </c>
      <c r="E1000" s="6" t="s">
        <v>91</v>
      </c>
      <c r="F1000" s="6" t="s">
        <v>77</v>
      </c>
      <c r="G1000" s="26" t="n">
        <v>46086</v>
      </c>
      <c r="H1000" s="6" t="s">
        <v>92</v>
      </c>
      <c r="I1000" s="26" t="n">
        <f aca="false">_xlfn.MINIFS(Transaction!$C$2:$C$8421,Transaction!$B$2:$B$8421,A1000)</f>
        <v>46130</v>
      </c>
      <c r="J1000" s="26" t="n">
        <f aca="false">_xlfn.MAXIFS(Transaction!$C$2:$C$8421,Transaction!$B$2:$B$8421,A1000)</f>
        <v>46249</v>
      </c>
      <c r="K1000" s="6" t="n">
        <f aca="false">COUNTIF(Transaction!$B$2:$B$8421,A1000)</f>
        <v>9</v>
      </c>
      <c r="L1000" s="10" t="n">
        <f aca="false">SUMIF(Transaction!$B$2:$B$8421,A1000,Transaction!$H$2:$H$8421)</f>
        <v>23236</v>
      </c>
      <c r="M1000" s="6" t="n">
        <f aca="false">Summary!$B$3-J1000</f>
        <v>17</v>
      </c>
      <c r="N1000" s="6" t="str">
        <f aca="false">IF(K1000&gt;1,"Yes","No")</f>
        <v>Yes</v>
      </c>
      <c r="O1000" s="6" t="s">
        <v>45</v>
      </c>
    </row>
    <row r="1001" customFormat="false" ht="15" hidden="false" customHeight="false" outlineLevel="0" collapsed="false">
      <c r="A1001" s="6" t="s">
        <v>2111</v>
      </c>
      <c r="B1001" s="6" t="s">
        <v>2112</v>
      </c>
      <c r="C1001" s="6" t="s">
        <v>85</v>
      </c>
      <c r="D1001" s="6" t="n">
        <v>43</v>
      </c>
      <c r="E1001" s="6" t="s">
        <v>95</v>
      </c>
      <c r="F1001" s="6" t="s">
        <v>95</v>
      </c>
      <c r="G1001" s="26" t="n">
        <v>46080</v>
      </c>
      <c r="H1001" s="6" t="s">
        <v>123</v>
      </c>
      <c r="I1001" s="26" t="n">
        <f aca="false">_xlfn.MINIFS(Transaction!$C$2:$C$8421,Transaction!$B$2:$B$8421,A1001)</f>
        <v>46138</v>
      </c>
      <c r="J1001" s="26" t="n">
        <f aca="false">_xlfn.MAXIFS(Transaction!$C$2:$C$8421,Transaction!$B$2:$B$8421,A1001)</f>
        <v>46183</v>
      </c>
      <c r="K1001" s="6" t="n">
        <f aca="false">COUNTIF(Transaction!$B$2:$B$8421,A1001)</f>
        <v>5</v>
      </c>
      <c r="L1001" s="10" t="n">
        <f aca="false">SUMIF(Transaction!$B$2:$B$8421,A1001,Transaction!$H$2:$H$8421)</f>
        <v>8605</v>
      </c>
      <c r="M1001" s="6" t="n">
        <f aca="false">Summary!$B$3-J1001</f>
        <v>83</v>
      </c>
      <c r="N1001" s="6" t="str">
        <f aca="false">IF(K1001&gt;1,"Yes","No")</f>
        <v>Yes</v>
      </c>
      <c r="O1001" s="6" t="s">
        <v>46</v>
      </c>
    </row>
    <row r="1002" customFormat="false" ht="15" hidden="false" customHeight="false" outlineLevel="0" collapsed="false">
      <c r="A1002" s="6" t="s">
        <v>2113</v>
      </c>
      <c r="B1002" s="6" t="s">
        <v>2114</v>
      </c>
      <c r="C1002" s="6" t="s">
        <v>85</v>
      </c>
      <c r="D1002" s="6" t="n">
        <v>33</v>
      </c>
      <c r="E1002" s="6" t="s">
        <v>95</v>
      </c>
      <c r="F1002" s="6" t="s">
        <v>95</v>
      </c>
      <c r="G1002" s="26" t="n">
        <v>46052</v>
      </c>
      <c r="H1002" s="6" t="s">
        <v>88</v>
      </c>
      <c r="I1002" s="26" t="n">
        <f aca="false">_xlfn.MINIFS(Transaction!$C$2:$C$8421,Transaction!$B$2:$B$8421,A1002)</f>
        <v>46108</v>
      </c>
      <c r="J1002" s="26" t="n">
        <f aca="false">_xlfn.MAXIFS(Transaction!$C$2:$C$8421,Transaction!$B$2:$B$8421,A1002)</f>
        <v>46108</v>
      </c>
      <c r="K1002" s="6" t="n">
        <f aca="false">COUNTIF(Transaction!$B$2:$B$8421,A1002)</f>
        <v>1</v>
      </c>
      <c r="L1002" s="10" t="n">
        <f aca="false">SUMIF(Transaction!$B$2:$B$8421,A1002,Transaction!$H$2:$H$8421)</f>
        <v>3196</v>
      </c>
      <c r="M1002" s="6" t="n">
        <f aca="false">Summary!$B$3-J1002</f>
        <v>158</v>
      </c>
      <c r="N1002" s="6" t="str">
        <f aca="false">IF(K1002&gt;1,"Yes","No")</f>
        <v>No</v>
      </c>
      <c r="O1002" s="6" t="s">
        <v>49</v>
      </c>
    </row>
    <row r="1003" customFormat="false" ht="15" hidden="false" customHeight="false" outlineLevel="0" collapsed="false">
      <c r="A1003" s="6" t="s">
        <v>2115</v>
      </c>
      <c r="B1003" s="6" t="s">
        <v>2116</v>
      </c>
      <c r="C1003" s="6" t="s">
        <v>75</v>
      </c>
      <c r="D1003" s="6" t="n">
        <v>30</v>
      </c>
      <c r="E1003" s="6" t="s">
        <v>206</v>
      </c>
      <c r="F1003" s="6" t="s">
        <v>106</v>
      </c>
      <c r="G1003" s="26" t="n">
        <v>45938</v>
      </c>
      <c r="H1003" s="6" t="s">
        <v>102</v>
      </c>
      <c r="I1003" s="26" t="n">
        <f aca="false">_xlfn.MINIFS(Transaction!$C$2:$C$8421,Transaction!$B$2:$B$8421,A1003)</f>
        <v>46026</v>
      </c>
      <c r="J1003" s="26" t="n">
        <f aca="false">_xlfn.MAXIFS(Transaction!$C$2:$C$8421,Transaction!$B$2:$B$8421,A1003)</f>
        <v>46246</v>
      </c>
      <c r="K1003" s="6" t="n">
        <f aca="false">COUNTIF(Transaction!$B$2:$B$8421,A1003)</f>
        <v>8</v>
      </c>
      <c r="L1003" s="10" t="n">
        <f aca="false">SUMIF(Transaction!$B$2:$B$8421,A1003,Transaction!$H$2:$H$8421)</f>
        <v>13718</v>
      </c>
      <c r="M1003" s="6" t="n">
        <f aca="false">Summary!$B$3-J1003</f>
        <v>20</v>
      </c>
      <c r="N1003" s="6" t="str">
        <f aca="false">IF(K1003&gt;1,"Yes","No")</f>
        <v>Yes</v>
      </c>
      <c r="O1003" s="6" t="s">
        <v>45</v>
      </c>
    </row>
    <row r="1004" customFormat="false" ht="15" hidden="false" customHeight="false" outlineLevel="0" collapsed="false">
      <c r="A1004" s="6" t="s">
        <v>2117</v>
      </c>
      <c r="B1004" s="6" t="s">
        <v>2118</v>
      </c>
      <c r="C1004" s="6" t="s">
        <v>75</v>
      </c>
      <c r="D1004" s="6" t="n">
        <v>24</v>
      </c>
      <c r="E1004" s="6" t="s">
        <v>91</v>
      </c>
      <c r="F1004" s="6" t="s">
        <v>77</v>
      </c>
      <c r="G1004" s="26" t="n">
        <v>46111</v>
      </c>
      <c r="H1004" s="6" t="s">
        <v>123</v>
      </c>
      <c r="I1004" s="26" t="n">
        <f aca="false">_xlfn.MINIFS(Transaction!$C$2:$C$8421,Transaction!$B$2:$B$8421,A1004)</f>
        <v>46189</v>
      </c>
      <c r="J1004" s="26" t="n">
        <f aca="false">_xlfn.MAXIFS(Transaction!$C$2:$C$8421,Transaction!$B$2:$B$8421,A1004)</f>
        <v>46189</v>
      </c>
      <c r="K1004" s="6" t="n">
        <f aca="false">COUNTIF(Transaction!$B$2:$B$8421,A1004)</f>
        <v>1</v>
      </c>
      <c r="L1004" s="10" t="n">
        <f aca="false">SUMIF(Transaction!$B$2:$B$8421,A1004,Transaction!$H$2:$H$8421)</f>
        <v>1121</v>
      </c>
      <c r="M1004" s="6" t="n">
        <f aca="false">Summary!$B$3-J1004</f>
        <v>77</v>
      </c>
      <c r="N1004" s="6" t="str">
        <f aca="false">IF(K1004&gt;1,"Yes","No")</f>
        <v>No</v>
      </c>
      <c r="O1004" s="6" t="s">
        <v>47</v>
      </c>
    </row>
    <row r="1005" customFormat="false" ht="15" hidden="false" customHeight="false" outlineLevel="0" collapsed="false">
      <c r="A1005" s="6" t="s">
        <v>2119</v>
      </c>
      <c r="B1005" s="6" t="s">
        <v>2120</v>
      </c>
      <c r="C1005" s="6" t="s">
        <v>85</v>
      </c>
      <c r="D1005" s="6" t="n">
        <v>32</v>
      </c>
      <c r="E1005" s="6" t="s">
        <v>95</v>
      </c>
      <c r="F1005" s="6" t="s">
        <v>95</v>
      </c>
      <c r="G1005" s="26" t="n">
        <v>46186</v>
      </c>
      <c r="H1005" s="6" t="s">
        <v>78</v>
      </c>
      <c r="I1005" s="26" t="n">
        <f aca="false">_xlfn.MINIFS(Transaction!$C$2:$C$8421,Transaction!$B$2:$B$8421,A1005)</f>
        <v>46262</v>
      </c>
      <c r="J1005" s="26" t="n">
        <f aca="false">_xlfn.MAXIFS(Transaction!$C$2:$C$8421,Transaction!$B$2:$B$8421,A1005)</f>
        <v>46262</v>
      </c>
      <c r="K1005" s="6" t="n">
        <f aca="false">COUNTIF(Transaction!$B$2:$B$8421,A1005)</f>
        <v>1</v>
      </c>
      <c r="L1005" s="10" t="n">
        <f aca="false">SUMIF(Transaction!$B$2:$B$8421,A1005,Transaction!$H$2:$H$8421)</f>
        <v>3908</v>
      </c>
      <c r="M1005" s="6" t="n">
        <f aca="false">Summary!$B$3-J1005</f>
        <v>4</v>
      </c>
      <c r="N1005" s="6" t="str">
        <f aca="false">IF(K1005&gt;1,"Yes","No")</f>
        <v>No</v>
      </c>
      <c r="O1005" s="6" t="s">
        <v>47</v>
      </c>
    </row>
    <row r="1006" customFormat="false" ht="15" hidden="false" customHeight="false" outlineLevel="0" collapsed="false">
      <c r="A1006" s="6" t="s">
        <v>2121</v>
      </c>
      <c r="B1006" s="6" t="s">
        <v>2122</v>
      </c>
      <c r="C1006" s="6" t="s">
        <v>75</v>
      </c>
      <c r="D1006" s="6" t="n">
        <v>31</v>
      </c>
      <c r="E1006" s="6" t="s">
        <v>134</v>
      </c>
      <c r="F1006" s="6" t="s">
        <v>135</v>
      </c>
      <c r="G1006" s="26" t="n">
        <v>46001</v>
      </c>
      <c r="H1006" s="6" t="s">
        <v>115</v>
      </c>
      <c r="I1006" s="26" t="n">
        <f aca="false">_xlfn.MINIFS(Transaction!$C$2:$C$8421,Transaction!$B$2:$B$8421,A1006)</f>
        <v>46091</v>
      </c>
      <c r="J1006" s="26" t="n">
        <f aca="false">_xlfn.MAXIFS(Transaction!$C$2:$C$8421,Transaction!$B$2:$B$8421,A1006)</f>
        <v>46188</v>
      </c>
      <c r="K1006" s="6" t="n">
        <f aca="false">COUNTIF(Transaction!$B$2:$B$8421,A1006)</f>
        <v>2</v>
      </c>
      <c r="L1006" s="10" t="n">
        <f aca="false">SUMIF(Transaction!$B$2:$B$8421,A1006,Transaction!$H$2:$H$8421)</f>
        <v>1696</v>
      </c>
      <c r="M1006" s="6" t="n">
        <f aca="false">Summary!$B$3-J1006</f>
        <v>78</v>
      </c>
      <c r="N1006" s="6" t="str">
        <f aca="false">IF(K1006&gt;1,"Yes","No")</f>
        <v>Yes</v>
      </c>
      <c r="O1006" s="6" t="s">
        <v>46</v>
      </c>
    </row>
    <row r="1007" customFormat="false" ht="15" hidden="false" customHeight="false" outlineLevel="0" collapsed="false">
      <c r="A1007" s="6" t="s">
        <v>2123</v>
      </c>
      <c r="B1007" s="6" t="s">
        <v>2124</v>
      </c>
      <c r="C1007" s="6" t="s">
        <v>85</v>
      </c>
      <c r="D1007" s="6" t="n">
        <v>32</v>
      </c>
      <c r="E1007" s="6" t="s">
        <v>146</v>
      </c>
      <c r="F1007" s="6" t="s">
        <v>147</v>
      </c>
      <c r="G1007" s="26" t="n">
        <v>45998</v>
      </c>
      <c r="H1007" s="6" t="s">
        <v>115</v>
      </c>
      <c r="I1007" s="26" t="n">
        <f aca="false">_xlfn.MINIFS(Transaction!$C$2:$C$8421,Transaction!$B$2:$B$8421,A1007)</f>
        <v>46024</v>
      </c>
      <c r="J1007" s="26" t="n">
        <f aca="false">_xlfn.MAXIFS(Transaction!$C$2:$C$8421,Transaction!$B$2:$B$8421,A1007)</f>
        <v>46248</v>
      </c>
      <c r="K1007" s="6" t="n">
        <f aca="false">COUNTIF(Transaction!$B$2:$B$8421,A1007)</f>
        <v>8</v>
      </c>
      <c r="L1007" s="10" t="n">
        <f aca="false">SUMIF(Transaction!$B$2:$B$8421,A1007,Transaction!$H$2:$H$8421)</f>
        <v>16395</v>
      </c>
      <c r="M1007" s="6" t="n">
        <f aca="false">Summary!$B$3-J1007</f>
        <v>18</v>
      </c>
      <c r="N1007" s="6" t="str">
        <f aca="false">IF(K1007&gt;1,"Yes","No")</f>
        <v>Yes</v>
      </c>
      <c r="O1007" s="6" t="s">
        <v>45</v>
      </c>
    </row>
    <row r="1008" customFormat="false" ht="15" hidden="false" customHeight="false" outlineLevel="0" collapsed="false">
      <c r="A1008" s="6" t="s">
        <v>2125</v>
      </c>
      <c r="B1008" s="6" t="s">
        <v>2126</v>
      </c>
      <c r="C1008" s="6" t="s">
        <v>75</v>
      </c>
      <c r="D1008" s="6" t="n">
        <v>28</v>
      </c>
      <c r="E1008" s="6" t="s">
        <v>121</v>
      </c>
      <c r="F1008" s="6" t="s">
        <v>122</v>
      </c>
      <c r="G1008" s="26" t="n">
        <v>45988</v>
      </c>
      <c r="H1008" s="6" t="s">
        <v>115</v>
      </c>
      <c r="I1008" s="26" t="n">
        <f aca="false">_xlfn.MINIFS(Transaction!$C$2:$C$8421,Transaction!$B$2:$B$8421,A1008)</f>
        <v>46023</v>
      </c>
      <c r="J1008" s="26" t="n">
        <f aca="false">_xlfn.MAXIFS(Transaction!$C$2:$C$8421,Transaction!$B$2:$B$8421,A1008)</f>
        <v>46023</v>
      </c>
      <c r="K1008" s="6" t="n">
        <f aca="false">COUNTIF(Transaction!$B$2:$B$8421,A1008)</f>
        <v>1</v>
      </c>
      <c r="L1008" s="10" t="n">
        <f aca="false">SUMIF(Transaction!$B$2:$B$8421,A1008,Transaction!$H$2:$H$8421)</f>
        <v>1835</v>
      </c>
      <c r="M1008" s="6" t="n">
        <f aca="false">Summary!$B$3-J1008</f>
        <v>243</v>
      </c>
      <c r="N1008" s="6" t="str">
        <f aca="false">IF(K1008&gt;1,"Yes","No")</f>
        <v>No</v>
      </c>
      <c r="O1008" s="6" t="s">
        <v>49</v>
      </c>
    </row>
    <row r="1009" customFormat="false" ht="15" hidden="false" customHeight="false" outlineLevel="0" collapsed="false">
      <c r="A1009" s="6" t="s">
        <v>2127</v>
      </c>
      <c r="B1009" s="6" t="s">
        <v>2128</v>
      </c>
      <c r="C1009" s="6" t="s">
        <v>75</v>
      </c>
      <c r="D1009" s="6" t="n">
        <v>24</v>
      </c>
      <c r="E1009" s="6" t="s">
        <v>95</v>
      </c>
      <c r="F1009" s="6" t="s">
        <v>95</v>
      </c>
      <c r="G1009" s="26" t="n">
        <v>46023</v>
      </c>
      <c r="H1009" s="6" t="s">
        <v>123</v>
      </c>
      <c r="I1009" s="26" t="n">
        <f aca="false">_xlfn.MINIFS(Transaction!$C$2:$C$8421,Transaction!$B$2:$B$8421,A1009)</f>
        <v>46073</v>
      </c>
      <c r="J1009" s="26" t="n">
        <f aca="false">_xlfn.MAXIFS(Transaction!$C$2:$C$8421,Transaction!$B$2:$B$8421,A1009)</f>
        <v>46073</v>
      </c>
      <c r="K1009" s="6" t="n">
        <f aca="false">COUNTIF(Transaction!$B$2:$B$8421,A1009)</f>
        <v>1</v>
      </c>
      <c r="L1009" s="10" t="n">
        <f aca="false">SUMIF(Transaction!$B$2:$B$8421,A1009,Transaction!$H$2:$H$8421)</f>
        <v>879</v>
      </c>
      <c r="M1009" s="6" t="n">
        <f aca="false">Summary!$B$3-J1009</f>
        <v>193</v>
      </c>
      <c r="N1009" s="6" t="str">
        <f aca="false">IF(K1009&gt;1,"Yes","No")</f>
        <v>No</v>
      </c>
      <c r="O1009" s="6" t="s">
        <v>49</v>
      </c>
    </row>
    <row r="1010" customFormat="false" ht="15" hidden="false" customHeight="false" outlineLevel="0" collapsed="false">
      <c r="A1010" s="6" t="s">
        <v>2129</v>
      </c>
      <c r="B1010" s="6" t="s">
        <v>2130</v>
      </c>
      <c r="C1010" s="6" t="s">
        <v>75</v>
      </c>
      <c r="D1010" s="6" t="n">
        <v>39</v>
      </c>
      <c r="E1010" s="6" t="s">
        <v>146</v>
      </c>
      <c r="F1010" s="6" t="s">
        <v>147</v>
      </c>
      <c r="G1010" s="26" t="n">
        <v>46143</v>
      </c>
      <c r="H1010" s="6" t="s">
        <v>78</v>
      </c>
      <c r="I1010" s="26" t="n">
        <f aca="false">_xlfn.MINIFS(Transaction!$C$2:$C$8421,Transaction!$B$2:$B$8421,A1010)</f>
        <v>46174</v>
      </c>
      <c r="J1010" s="26" t="n">
        <f aca="false">_xlfn.MAXIFS(Transaction!$C$2:$C$8421,Transaction!$B$2:$B$8421,A1010)</f>
        <v>46174</v>
      </c>
      <c r="K1010" s="6" t="n">
        <f aca="false">COUNTIF(Transaction!$B$2:$B$8421,A1010)</f>
        <v>1</v>
      </c>
      <c r="L1010" s="10" t="n">
        <f aca="false">SUMIF(Transaction!$B$2:$B$8421,A1010,Transaction!$H$2:$H$8421)</f>
        <v>912</v>
      </c>
      <c r="M1010" s="6" t="n">
        <f aca="false">Summary!$B$3-J1010</f>
        <v>92</v>
      </c>
      <c r="N1010" s="6" t="str">
        <f aca="false">IF(K1010&gt;1,"Yes","No")</f>
        <v>No</v>
      </c>
      <c r="O1010" s="6" t="s">
        <v>47</v>
      </c>
    </row>
    <row r="1011" customFormat="false" ht="15" hidden="false" customHeight="false" outlineLevel="0" collapsed="false">
      <c r="A1011" s="6" t="s">
        <v>2131</v>
      </c>
      <c r="B1011" s="6" t="s">
        <v>2132</v>
      </c>
      <c r="C1011" s="6" t="s">
        <v>75</v>
      </c>
      <c r="D1011" s="6" t="n">
        <v>30</v>
      </c>
      <c r="E1011" s="6" t="s">
        <v>95</v>
      </c>
      <c r="F1011" s="6" t="s">
        <v>95</v>
      </c>
      <c r="G1011" s="26" t="n">
        <v>45945</v>
      </c>
      <c r="H1011" s="6" t="s">
        <v>115</v>
      </c>
      <c r="I1011" s="26" t="n">
        <f aca="false">_xlfn.MINIFS(Transaction!$C$2:$C$8421,Transaction!$B$2:$B$8421,A1011)</f>
        <v>46032</v>
      </c>
      <c r="J1011" s="26" t="n">
        <f aca="false">_xlfn.MAXIFS(Transaction!$C$2:$C$8421,Transaction!$B$2:$B$8421,A1011)</f>
        <v>46244</v>
      </c>
      <c r="K1011" s="6" t="n">
        <f aca="false">COUNTIF(Transaction!$B$2:$B$8421,A1011)</f>
        <v>10</v>
      </c>
      <c r="L1011" s="10" t="n">
        <f aca="false">SUMIF(Transaction!$B$2:$B$8421,A1011,Transaction!$H$2:$H$8421)</f>
        <v>18748</v>
      </c>
      <c r="M1011" s="6" t="n">
        <f aca="false">Summary!$B$3-J1011</f>
        <v>22</v>
      </c>
      <c r="N1011" s="6" t="str">
        <f aca="false">IF(K1011&gt;1,"Yes","No")</f>
        <v>Yes</v>
      </c>
      <c r="O1011" s="6" t="s">
        <v>45</v>
      </c>
    </row>
    <row r="1012" customFormat="false" ht="15" hidden="false" customHeight="false" outlineLevel="0" collapsed="false">
      <c r="A1012" s="6" t="s">
        <v>2133</v>
      </c>
      <c r="B1012" s="6" t="s">
        <v>2134</v>
      </c>
      <c r="C1012" s="6" t="s">
        <v>85</v>
      </c>
      <c r="D1012" s="6" t="n">
        <v>28</v>
      </c>
      <c r="E1012" s="6" t="s">
        <v>134</v>
      </c>
      <c r="F1012" s="6" t="s">
        <v>135</v>
      </c>
      <c r="G1012" s="26" t="n">
        <v>46232</v>
      </c>
      <c r="H1012" s="6" t="s">
        <v>115</v>
      </c>
      <c r="I1012" s="26" t="n">
        <f aca="false">_xlfn.MINIFS(Transaction!$C$2:$C$8421,Transaction!$B$2:$B$8421,A1012)</f>
        <v>46255</v>
      </c>
      <c r="J1012" s="26" t="n">
        <f aca="false">_xlfn.MAXIFS(Transaction!$C$2:$C$8421,Transaction!$B$2:$B$8421,A1012)</f>
        <v>46255</v>
      </c>
      <c r="K1012" s="6" t="n">
        <f aca="false">COUNTIF(Transaction!$B$2:$B$8421,A1012)</f>
        <v>1</v>
      </c>
      <c r="L1012" s="10" t="n">
        <f aca="false">SUMIF(Transaction!$B$2:$B$8421,A1012,Transaction!$H$2:$H$8421)</f>
        <v>3364</v>
      </c>
      <c r="M1012" s="6" t="n">
        <f aca="false">Summary!$B$3-J1012</f>
        <v>11</v>
      </c>
      <c r="N1012" s="6" t="str">
        <f aca="false">IF(K1012&gt;1,"Yes","No")</f>
        <v>No</v>
      </c>
      <c r="O1012" s="6" t="s">
        <v>47</v>
      </c>
    </row>
    <row r="1013" customFormat="false" ht="15" hidden="false" customHeight="false" outlineLevel="0" collapsed="false">
      <c r="A1013" s="6" t="s">
        <v>2135</v>
      </c>
      <c r="B1013" s="6" t="s">
        <v>2136</v>
      </c>
      <c r="C1013" s="6" t="s">
        <v>85</v>
      </c>
      <c r="D1013" s="6" t="n">
        <v>28</v>
      </c>
      <c r="E1013" s="6" t="s">
        <v>95</v>
      </c>
      <c r="F1013" s="6" t="s">
        <v>95</v>
      </c>
      <c r="G1013" s="26" t="n">
        <v>46022</v>
      </c>
      <c r="H1013" s="6" t="s">
        <v>102</v>
      </c>
      <c r="I1013" s="26" t="n">
        <f aca="false">_xlfn.MINIFS(Transaction!$C$2:$C$8421,Transaction!$B$2:$B$8421,A1013)</f>
        <v>46034</v>
      </c>
      <c r="J1013" s="26" t="n">
        <f aca="false">_xlfn.MAXIFS(Transaction!$C$2:$C$8421,Transaction!$B$2:$B$8421,A1013)</f>
        <v>46224</v>
      </c>
      <c r="K1013" s="6" t="n">
        <f aca="false">COUNTIF(Transaction!$B$2:$B$8421,A1013)</f>
        <v>4</v>
      </c>
      <c r="L1013" s="10" t="n">
        <f aca="false">SUMIF(Transaction!$B$2:$B$8421,A1013,Transaction!$H$2:$H$8421)</f>
        <v>5042</v>
      </c>
      <c r="M1013" s="6" t="n">
        <f aca="false">Summary!$B$3-J1013</f>
        <v>42</v>
      </c>
      <c r="N1013" s="6" t="str">
        <f aca="false">IF(K1013&gt;1,"Yes","No")</f>
        <v>Yes</v>
      </c>
      <c r="O1013" s="6" t="s">
        <v>46</v>
      </c>
    </row>
    <row r="1014" customFormat="false" ht="15" hidden="false" customHeight="false" outlineLevel="0" collapsed="false">
      <c r="A1014" s="6" t="s">
        <v>2137</v>
      </c>
      <c r="B1014" s="6" t="s">
        <v>2138</v>
      </c>
      <c r="C1014" s="6" t="s">
        <v>85</v>
      </c>
      <c r="D1014" s="6" t="n">
        <v>18</v>
      </c>
      <c r="E1014" s="6" t="s">
        <v>81</v>
      </c>
      <c r="F1014" s="6" t="s">
        <v>82</v>
      </c>
      <c r="G1014" s="26" t="n">
        <v>46099</v>
      </c>
      <c r="H1014" s="6" t="s">
        <v>115</v>
      </c>
      <c r="I1014" s="26" t="n">
        <f aca="false">_xlfn.MINIFS(Transaction!$C$2:$C$8421,Transaction!$B$2:$B$8421,A1014)</f>
        <v>46154</v>
      </c>
      <c r="J1014" s="26" t="n">
        <f aca="false">_xlfn.MAXIFS(Transaction!$C$2:$C$8421,Transaction!$B$2:$B$8421,A1014)</f>
        <v>46154</v>
      </c>
      <c r="K1014" s="6" t="n">
        <f aca="false">COUNTIF(Transaction!$B$2:$B$8421,A1014)</f>
        <v>1</v>
      </c>
      <c r="L1014" s="10" t="n">
        <f aca="false">SUMIF(Transaction!$B$2:$B$8421,A1014,Transaction!$H$2:$H$8421)</f>
        <v>1732</v>
      </c>
      <c r="M1014" s="6" t="n">
        <f aca="false">Summary!$B$3-J1014</f>
        <v>112</v>
      </c>
      <c r="N1014" s="6" t="str">
        <f aca="false">IF(K1014&gt;1,"Yes","No")</f>
        <v>No</v>
      </c>
      <c r="O1014" s="6" t="s">
        <v>48</v>
      </c>
    </row>
    <row r="1015" customFormat="false" ht="15" hidden="false" customHeight="false" outlineLevel="0" collapsed="false">
      <c r="A1015" s="6" t="s">
        <v>2139</v>
      </c>
      <c r="B1015" s="6" t="s">
        <v>2140</v>
      </c>
      <c r="C1015" s="6" t="s">
        <v>75</v>
      </c>
      <c r="D1015" s="6" t="n">
        <v>25</v>
      </c>
      <c r="E1015" s="6" t="s">
        <v>146</v>
      </c>
      <c r="F1015" s="6" t="s">
        <v>147</v>
      </c>
      <c r="G1015" s="26" t="n">
        <v>46140</v>
      </c>
      <c r="H1015" s="6" t="s">
        <v>78</v>
      </c>
      <c r="I1015" s="26" t="n">
        <f aca="false">_xlfn.MINIFS(Transaction!$C$2:$C$8421,Transaction!$B$2:$B$8421,A1015)</f>
        <v>46199</v>
      </c>
      <c r="J1015" s="26" t="n">
        <f aca="false">_xlfn.MAXIFS(Transaction!$C$2:$C$8421,Transaction!$B$2:$B$8421,A1015)</f>
        <v>46199</v>
      </c>
      <c r="K1015" s="6" t="n">
        <f aca="false">COUNTIF(Transaction!$B$2:$B$8421,A1015)</f>
        <v>1</v>
      </c>
      <c r="L1015" s="10" t="n">
        <f aca="false">SUMIF(Transaction!$B$2:$B$8421,A1015,Transaction!$H$2:$H$8421)</f>
        <v>2039</v>
      </c>
      <c r="M1015" s="6" t="n">
        <f aca="false">Summary!$B$3-J1015</f>
        <v>67</v>
      </c>
      <c r="N1015" s="6" t="str">
        <f aca="false">IF(K1015&gt;1,"Yes","No")</f>
        <v>No</v>
      </c>
      <c r="O1015" s="6" t="s">
        <v>47</v>
      </c>
    </row>
    <row r="1016" customFormat="false" ht="15" hidden="false" customHeight="false" outlineLevel="0" collapsed="false">
      <c r="A1016" s="6" t="s">
        <v>2141</v>
      </c>
      <c r="B1016" s="6" t="s">
        <v>2142</v>
      </c>
      <c r="C1016" s="6" t="s">
        <v>85</v>
      </c>
      <c r="D1016" s="6" t="n">
        <v>38</v>
      </c>
      <c r="E1016" s="6" t="s">
        <v>176</v>
      </c>
      <c r="F1016" s="6" t="s">
        <v>177</v>
      </c>
      <c r="G1016" s="26" t="n">
        <v>46014</v>
      </c>
      <c r="H1016" s="6" t="s">
        <v>123</v>
      </c>
      <c r="I1016" s="26" t="n">
        <f aca="false">_xlfn.MINIFS(Transaction!$C$2:$C$8421,Transaction!$B$2:$B$8421,A1016)</f>
        <v>46032</v>
      </c>
      <c r="J1016" s="26" t="n">
        <f aca="false">_xlfn.MAXIFS(Transaction!$C$2:$C$8421,Transaction!$B$2:$B$8421,A1016)</f>
        <v>46258</v>
      </c>
      <c r="K1016" s="6" t="n">
        <f aca="false">COUNTIF(Transaction!$B$2:$B$8421,A1016)</f>
        <v>13</v>
      </c>
      <c r="L1016" s="10" t="n">
        <f aca="false">SUMIF(Transaction!$B$2:$B$8421,A1016,Transaction!$H$2:$H$8421)</f>
        <v>22022</v>
      </c>
      <c r="M1016" s="6" t="n">
        <f aca="false">Summary!$B$3-J1016</f>
        <v>8</v>
      </c>
      <c r="N1016" s="6" t="str">
        <f aca="false">IF(K1016&gt;1,"Yes","No")</f>
        <v>Yes</v>
      </c>
      <c r="O1016" s="6" t="s">
        <v>45</v>
      </c>
    </row>
    <row r="1017" customFormat="false" ht="15" hidden="false" customHeight="false" outlineLevel="0" collapsed="false">
      <c r="A1017" s="6" t="s">
        <v>2143</v>
      </c>
      <c r="B1017" s="6" t="s">
        <v>2144</v>
      </c>
      <c r="C1017" s="6" t="s">
        <v>75</v>
      </c>
      <c r="D1017" s="6" t="n">
        <v>34</v>
      </c>
      <c r="E1017" s="6" t="s">
        <v>180</v>
      </c>
      <c r="F1017" s="6" t="s">
        <v>181</v>
      </c>
      <c r="G1017" s="26" t="n">
        <v>46022</v>
      </c>
      <c r="H1017" s="6" t="s">
        <v>88</v>
      </c>
      <c r="I1017" s="26" t="n">
        <f aca="false">_xlfn.MINIFS(Transaction!$C$2:$C$8421,Transaction!$B$2:$B$8421,A1017)</f>
        <v>46051</v>
      </c>
      <c r="J1017" s="26" t="n">
        <f aca="false">_xlfn.MAXIFS(Transaction!$C$2:$C$8421,Transaction!$B$2:$B$8421,A1017)</f>
        <v>46213</v>
      </c>
      <c r="K1017" s="6" t="n">
        <f aca="false">COUNTIF(Transaction!$B$2:$B$8421,A1017)</f>
        <v>6</v>
      </c>
      <c r="L1017" s="10" t="n">
        <f aca="false">SUMIF(Transaction!$B$2:$B$8421,A1017,Transaction!$H$2:$H$8421)</f>
        <v>9345</v>
      </c>
      <c r="M1017" s="6" t="n">
        <f aca="false">Summary!$B$3-J1017</f>
        <v>53</v>
      </c>
      <c r="N1017" s="6" t="str">
        <f aca="false">IF(K1017&gt;1,"Yes","No")</f>
        <v>Yes</v>
      </c>
      <c r="O1017" s="6" t="s">
        <v>46</v>
      </c>
    </row>
    <row r="1018" customFormat="false" ht="15" hidden="false" customHeight="false" outlineLevel="0" collapsed="false">
      <c r="A1018" s="6" t="s">
        <v>2145</v>
      </c>
      <c r="B1018" s="6" t="s">
        <v>2146</v>
      </c>
      <c r="C1018" s="6" t="s">
        <v>85</v>
      </c>
      <c r="D1018" s="6" t="n">
        <v>40</v>
      </c>
      <c r="E1018" s="6" t="s">
        <v>76</v>
      </c>
      <c r="F1018" s="6" t="s">
        <v>77</v>
      </c>
      <c r="G1018" s="26" t="n">
        <v>46121</v>
      </c>
      <c r="H1018" s="6" t="s">
        <v>78</v>
      </c>
      <c r="I1018" s="26" t="n">
        <f aca="false">_xlfn.MINIFS(Transaction!$C$2:$C$8421,Transaction!$B$2:$B$8421,A1018)</f>
        <v>46187</v>
      </c>
      <c r="J1018" s="26" t="n">
        <f aca="false">_xlfn.MAXIFS(Transaction!$C$2:$C$8421,Transaction!$B$2:$B$8421,A1018)</f>
        <v>46187</v>
      </c>
      <c r="K1018" s="6" t="n">
        <f aca="false">COUNTIF(Transaction!$B$2:$B$8421,A1018)</f>
        <v>1</v>
      </c>
      <c r="L1018" s="10" t="n">
        <f aca="false">SUMIF(Transaction!$B$2:$B$8421,A1018,Transaction!$H$2:$H$8421)</f>
        <v>3262</v>
      </c>
      <c r="M1018" s="6" t="n">
        <f aca="false">Summary!$B$3-J1018</f>
        <v>79</v>
      </c>
      <c r="N1018" s="6" t="str">
        <f aca="false">IF(K1018&gt;1,"Yes","No")</f>
        <v>No</v>
      </c>
      <c r="O1018" s="6" t="s">
        <v>47</v>
      </c>
    </row>
    <row r="1019" customFormat="false" ht="15" hidden="false" customHeight="false" outlineLevel="0" collapsed="false">
      <c r="A1019" s="6" t="s">
        <v>2147</v>
      </c>
      <c r="B1019" s="6" t="s">
        <v>2148</v>
      </c>
      <c r="C1019" s="6" t="s">
        <v>75</v>
      </c>
      <c r="D1019" s="6" t="n">
        <v>46</v>
      </c>
      <c r="E1019" s="6" t="s">
        <v>134</v>
      </c>
      <c r="F1019" s="6" t="s">
        <v>135</v>
      </c>
      <c r="G1019" s="26" t="n">
        <v>46135</v>
      </c>
      <c r="H1019" s="6" t="s">
        <v>78</v>
      </c>
      <c r="I1019" s="26" t="n">
        <f aca="false">_xlfn.MINIFS(Transaction!$C$2:$C$8421,Transaction!$B$2:$B$8421,A1019)</f>
        <v>46179</v>
      </c>
      <c r="J1019" s="26" t="n">
        <f aca="false">_xlfn.MAXIFS(Transaction!$C$2:$C$8421,Transaction!$B$2:$B$8421,A1019)</f>
        <v>46179</v>
      </c>
      <c r="K1019" s="6" t="n">
        <f aca="false">COUNTIF(Transaction!$B$2:$B$8421,A1019)</f>
        <v>1</v>
      </c>
      <c r="L1019" s="10" t="n">
        <f aca="false">SUMIF(Transaction!$B$2:$B$8421,A1019,Transaction!$H$2:$H$8421)</f>
        <v>2229</v>
      </c>
      <c r="M1019" s="6" t="n">
        <f aca="false">Summary!$B$3-J1019</f>
        <v>87</v>
      </c>
      <c r="N1019" s="6" t="str">
        <f aca="false">IF(K1019&gt;1,"Yes","No")</f>
        <v>No</v>
      </c>
      <c r="O1019" s="6" t="s">
        <v>47</v>
      </c>
    </row>
    <row r="1020" customFormat="false" ht="15" hidden="false" customHeight="false" outlineLevel="0" collapsed="false">
      <c r="A1020" s="6" t="s">
        <v>2149</v>
      </c>
      <c r="B1020" s="6" t="s">
        <v>2150</v>
      </c>
      <c r="C1020" s="6" t="s">
        <v>75</v>
      </c>
      <c r="D1020" s="6" t="n">
        <v>18</v>
      </c>
      <c r="E1020" s="6" t="s">
        <v>95</v>
      </c>
      <c r="F1020" s="6" t="s">
        <v>95</v>
      </c>
      <c r="G1020" s="26" t="n">
        <v>45989</v>
      </c>
      <c r="H1020" s="6" t="s">
        <v>92</v>
      </c>
      <c r="I1020" s="26" t="n">
        <f aca="false">_xlfn.MINIFS(Transaction!$C$2:$C$8421,Transaction!$B$2:$B$8421,A1020)</f>
        <v>46069</v>
      </c>
      <c r="J1020" s="26" t="n">
        <f aca="false">_xlfn.MAXIFS(Transaction!$C$2:$C$8421,Transaction!$B$2:$B$8421,A1020)</f>
        <v>46252</v>
      </c>
      <c r="K1020" s="6" t="n">
        <f aca="false">COUNTIF(Transaction!$B$2:$B$8421,A1020)</f>
        <v>8</v>
      </c>
      <c r="L1020" s="10" t="n">
        <f aca="false">SUMIF(Transaction!$B$2:$B$8421,A1020,Transaction!$H$2:$H$8421)</f>
        <v>21094</v>
      </c>
      <c r="M1020" s="6" t="n">
        <f aca="false">Summary!$B$3-J1020</f>
        <v>14</v>
      </c>
      <c r="N1020" s="6" t="str">
        <f aca="false">IF(K1020&gt;1,"Yes","No")</f>
        <v>Yes</v>
      </c>
      <c r="O1020" s="6" t="s">
        <v>45</v>
      </c>
    </row>
    <row r="1021" customFormat="false" ht="15" hidden="false" customHeight="false" outlineLevel="0" collapsed="false">
      <c r="A1021" s="6" t="s">
        <v>2151</v>
      </c>
      <c r="B1021" s="6" t="s">
        <v>2152</v>
      </c>
      <c r="C1021" s="6" t="s">
        <v>85</v>
      </c>
      <c r="D1021" s="6" t="n">
        <v>28</v>
      </c>
      <c r="E1021" s="6" t="s">
        <v>95</v>
      </c>
      <c r="F1021" s="6" t="s">
        <v>95</v>
      </c>
      <c r="G1021" s="26" t="n">
        <v>46260</v>
      </c>
      <c r="H1021" s="6" t="s">
        <v>123</v>
      </c>
      <c r="I1021" s="26" t="n">
        <f aca="false">_xlfn.MINIFS(Transaction!$C$2:$C$8421,Transaction!$B$2:$B$8421,A1021)</f>
        <v>46265</v>
      </c>
      <c r="J1021" s="26" t="n">
        <f aca="false">_xlfn.MAXIFS(Transaction!$C$2:$C$8421,Transaction!$B$2:$B$8421,A1021)</f>
        <v>46265</v>
      </c>
      <c r="K1021" s="6" t="n">
        <f aca="false">COUNTIF(Transaction!$B$2:$B$8421,A1021)</f>
        <v>1</v>
      </c>
      <c r="L1021" s="10" t="n">
        <f aca="false">SUMIF(Transaction!$B$2:$B$8421,A1021,Transaction!$H$2:$H$8421)</f>
        <v>12138</v>
      </c>
      <c r="M1021" s="6" t="n">
        <f aca="false">Summary!$B$3-J1021</f>
        <v>1</v>
      </c>
      <c r="N1021" s="6" t="str">
        <f aca="false">IF(K1021&gt;1,"Yes","No")</f>
        <v>No</v>
      </c>
      <c r="O1021" s="6" t="s">
        <v>47</v>
      </c>
    </row>
    <row r="1022" customFormat="false" ht="15" hidden="false" customHeight="false" outlineLevel="0" collapsed="false">
      <c r="A1022" s="6" t="s">
        <v>2153</v>
      </c>
      <c r="B1022" s="6" t="s">
        <v>2154</v>
      </c>
      <c r="C1022" s="6" t="s">
        <v>85</v>
      </c>
      <c r="D1022" s="6" t="n">
        <v>31</v>
      </c>
      <c r="E1022" s="6" t="s">
        <v>134</v>
      </c>
      <c r="F1022" s="6" t="s">
        <v>135</v>
      </c>
      <c r="G1022" s="26" t="n">
        <v>46097</v>
      </c>
      <c r="H1022" s="6" t="s">
        <v>78</v>
      </c>
      <c r="I1022" s="26" t="n">
        <f aca="false">_xlfn.MINIFS(Transaction!$C$2:$C$8421,Transaction!$B$2:$B$8421,A1022)</f>
        <v>46127</v>
      </c>
      <c r="J1022" s="26" t="n">
        <f aca="false">_xlfn.MAXIFS(Transaction!$C$2:$C$8421,Transaction!$B$2:$B$8421,A1022)</f>
        <v>46127</v>
      </c>
      <c r="K1022" s="6" t="n">
        <f aca="false">COUNTIF(Transaction!$B$2:$B$8421,A1022)</f>
        <v>1</v>
      </c>
      <c r="L1022" s="10" t="n">
        <f aca="false">SUMIF(Transaction!$B$2:$B$8421,A1022,Transaction!$H$2:$H$8421)</f>
        <v>1570</v>
      </c>
      <c r="M1022" s="6" t="n">
        <f aca="false">Summary!$B$3-J1022</f>
        <v>139</v>
      </c>
      <c r="N1022" s="6" t="str">
        <f aca="false">IF(K1022&gt;1,"Yes","No")</f>
        <v>No</v>
      </c>
      <c r="O1022" s="6" t="s">
        <v>48</v>
      </c>
    </row>
    <row r="1023" customFormat="false" ht="15" hidden="false" customHeight="false" outlineLevel="0" collapsed="false">
      <c r="A1023" s="6" t="s">
        <v>2155</v>
      </c>
      <c r="B1023" s="6" t="s">
        <v>2156</v>
      </c>
      <c r="C1023" s="6" t="s">
        <v>75</v>
      </c>
      <c r="D1023" s="6" t="n">
        <v>37</v>
      </c>
      <c r="E1023" s="6" t="s">
        <v>76</v>
      </c>
      <c r="F1023" s="6" t="s">
        <v>77</v>
      </c>
      <c r="G1023" s="26" t="n">
        <v>46016</v>
      </c>
      <c r="H1023" s="6" t="s">
        <v>115</v>
      </c>
      <c r="I1023" s="26" t="n">
        <f aca="false">_xlfn.MINIFS(Transaction!$C$2:$C$8421,Transaction!$B$2:$B$8421,A1023)</f>
        <v>46028</v>
      </c>
      <c r="J1023" s="26" t="n">
        <f aca="false">_xlfn.MAXIFS(Transaction!$C$2:$C$8421,Transaction!$B$2:$B$8421,A1023)</f>
        <v>46257</v>
      </c>
      <c r="K1023" s="6" t="n">
        <f aca="false">COUNTIF(Transaction!$B$2:$B$8421,A1023)</f>
        <v>7</v>
      </c>
      <c r="L1023" s="10" t="n">
        <f aca="false">SUMIF(Transaction!$B$2:$B$8421,A1023,Transaction!$H$2:$H$8421)</f>
        <v>10867</v>
      </c>
      <c r="M1023" s="6" t="n">
        <f aca="false">Summary!$B$3-J1023</f>
        <v>9</v>
      </c>
      <c r="N1023" s="6" t="str">
        <f aca="false">IF(K1023&gt;1,"Yes","No")</f>
        <v>Yes</v>
      </c>
      <c r="O1023" s="6" t="s">
        <v>45</v>
      </c>
    </row>
    <row r="1024" customFormat="false" ht="15" hidden="false" customHeight="false" outlineLevel="0" collapsed="false">
      <c r="A1024" s="6" t="s">
        <v>2157</v>
      </c>
      <c r="B1024" s="6" t="s">
        <v>2158</v>
      </c>
      <c r="C1024" s="6" t="s">
        <v>85</v>
      </c>
      <c r="D1024" s="6" t="n">
        <v>34</v>
      </c>
      <c r="E1024" s="6" t="s">
        <v>76</v>
      </c>
      <c r="F1024" s="6" t="s">
        <v>77</v>
      </c>
      <c r="G1024" s="26" t="n">
        <v>46000</v>
      </c>
      <c r="H1024" s="6" t="s">
        <v>78</v>
      </c>
      <c r="I1024" s="26" t="n">
        <f aca="false">_xlfn.MINIFS(Transaction!$C$2:$C$8421,Transaction!$B$2:$B$8421,A1024)</f>
        <v>46041</v>
      </c>
      <c r="J1024" s="26" t="n">
        <f aca="false">_xlfn.MAXIFS(Transaction!$C$2:$C$8421,Transaction!$B$2:$B$8421,A1024)</f>
        <v>46041</v>
      </c>
      <c r="K1024" s="6" t="n">
        <f aca="false">COUNTIF(Transaction!$B$2:$B$8421,A1024)</f>
        <v>1</v>
      </c>
      <c r="L1024" s="10" t="n">
        <f aca="false">SUMIF(Transaction!$B$2:$B$8421,A1024,Transaction!$H$2:$H$8421)</f>
        <v>2918</v>
      </c>
      <c r="M1024" s="6" t="n">
        <f aca="false">Summary!$B$3-J1024</f>
        <v>225</v>
      </c>
      <c r="N1024" s="6" t="str">
        <f aca="false">IF(K1024&gt;1,"Yes","No")</f>
        <v>No</v>
      </c>
      <c r="O1024" s="6" t="s">
        <v>49</v>
      </c>
    </row>
    <row r="1025" customFormat="false" ht="15" hidden="false" customHeight="false" outlineLevel="0" collapsed="false">
      <c r="A1025" s="6" t="s">
        <v>2159</v>
      </c>
      <c r="B1025" s="6" t="s">
        <v>2160</v>
      </c>
      <c r="C1025" s="6" t="s">
        <v>75</v>
      </c>
      <c r="D1025" s="6" t="n">
        <v>38</v>
      </c>
      <c r="E1025" s="6" t="s">
        <v>121</v>
      </c>
      <c r="F1025" s="6" t="s">
        <v>122</v>
      </c>
      <c r="G1025" s="26" t="n">
        <v>46128</v>
      </c>
      <c r="H1025" s="6" t="s">
        <v>102</v>
      </c>
      <c r="I1025" s="26" t="n">
        <f aca="false">_xlfn.MINIFS(Transaction!$C$2:$C$8421,Transaction!$B$2:$B$8421,A1025)</f>
        <v>46192</v>
      </c>
      <c r="J1025" s="26" t="n">
        <f aca="false">_xlfn.MAXIFS(Transaction!$C$2:$C$8421,Transaction!$B$2:$B$8421,A1025)</f>
        <v>46192</v>
      </c>
      <c r="K1025" s="6" t="n">
        <f aca="false">COUNTIF(Transaction!$B$2:$B$8421,A1025)</f>
        <v>1</v>
      </c>
      <c r="L1025" s="10" t="n">
        <f aca="false">SUMIF(Transaction!$B$2:$B$8421,A1025,Transaction!$H$2:$H$8421)</f>
        <v>1674</v>
      </c>
      <c r="M1025" s="6" t="n">
        <f aca="false">Summary!$B$3-J1025</f>
        <v>74</v>
      </c>
      <c r="N1025" s="6" t="str">
        <f aca="false">IF(K1025&gt;1,"Yes","No")</f>
        <v>No</v>
      </c>
      <c r="O1025" s="6" t="s">
        <v>47</v>
      </c>
    </row>
    <row r="1026" customFormat="false" ht="15" hidden="false" customHeight="false" outlineLevel="0" collapsed="false">
      <c r="A1026" s="6" t="s">
        <v>2161</v>
      </c>
      <c r="B1026" s="6" t="s">
        <v>2162</v>
      </c>
      <c r="C1026" s="6" t="s">
        <v>85</v>
      </c>
      <c r="D1026" s="6" t="n">
        <v>28</v>
      </c>
      <c r="E1026" s="6" t="s">
        <v>134</v>
      </c>
      <c r="F1026" s="6" t="s">
        <v>135</v>
      </c>
      <c r="G1026" s="26" t="n">
        <v>46147</v>
      </c>
      <c r="H1026" s="6" t="s">
        <v>88</v>
      </c>
      <c r="I1026" s="26" t="n">
        <f aca="false">_xlfn.MINIFS(Transaction!$C$2:$C$8421,Transaction!$B$2:$B$8421,A1026)</f>
        <v>46237</v>
      </c>
      <c r="J1026" s="26" t="n">
        <f aca="false">_xlfn.MAXIFS(Transaction!$C$2:$C$8421,Transaction!$B$2:$B$8421,A1026)</f>
        <v>46237</v>
      </c>
      <c r="K1026" s="6" t="n">
        <f aca="false">COUNTIF(Transaction!$B$2:$B$8421,A1026)</f>
        <v>1</v>
      </c>
      <c r="L1026" s="10" t="n">
        <f aca="false">SUMIF(Transaction!$B$2:$B$8421,A1026,Transaction!$H$2:$H$8421)</f>
        <v>458</v>
      </c>
      <c r="M1026" s="6" t="n">
        <f aca="false">Summary!$B$3-J1026</f>
        <v>29</v>
      </c>
      <c r="N1026" s="6" t="str">
        <f aca="false">IF(K1026&gt;1,"Yes","No")</f>
        <v>No</v>
      </c>
      <c r="O1026" s="6" t="s">
        <v>47</v>
      </c>
    </row>
    <row r="1027" customFormat="false" ht="15" hidden="false" customHeight="false" outlineLevel="0" collapsed="false">
      <c r="A1027" s="6" t="s">
        <v>2163</v>
      </c>
      <c r="B1027" s="6" t="s">
        <v>2164</v>
      </c>
      <c r="C1027" s="6" t="s">
        <v>85</v>
      </c>
      <c r="D1027" s="6" t="n">
        <v>27</v>
      </c>
      <c r="E1027" s="6" t="s">
        <v>105</v>
      </c>
      <c r="F1027" s="6" t="s">
        <v>106</v>
      </c>
      <c r="G1027" s="26" t="n">
        <v>46002</v>
      </c>
      <c r="H1027" s="6" t="s">
        <v>115</v>
      </c>
      <c r="I1027" s="26" t="n">
        <f aca="false">_xlfn.MINIFS(Transaction!$C$2:$C$8421,Transaction!$B$2:$B$8421,A1027)</f>
        <v>46035</v>
      </c>
      <c r="J1027" s="26" t="n">
        <f aca="false">_xlfn.MAXIFS(Transaction!$C$2:$C$8421,Transaction!$B$2:$B$8421,A1027)</f>
        <v>46193</v>
      </c>
      <c r="K1027" s="6" t="n">
        <f aca="false">COUNTIF(Transaction!$B$2:$B$8421,A1027)</f>
        <v>5</v>
      </c>
      <c r="L1027" s="10" t="n">
        <f aca="false">SUMIF(Transaction!$B$2:$B$8421,A1027,Transaction!$H$2:$H$8421)</f>
        <v>10733</v>
      </c>
      <c r="M1027" s="6" t="n">
        <f aca="false">Summary!$B$3-J1027</f>
        <v>73</v>
      </c>
      <c r="N1027" s="6" t="str">
        <f aca="false">IF(K1027&gt;1,"Yes","No")</f>
        <v>Yes</v>
      </c>
      <c r="O1027" s="6" t="s">
        <v>46</v>
      </c>
    </row>
    <row r="1028" customFormat="false" ht="15" hidden="false" customHeight="false" outlineLevel="0" collapsed="false">
      <c r="A1028" s="6" t="s">
        <v>2165</v>
      </c>
      <c r="B1028" s="6" t="s">
        <v>2166</v>
      </c>
      <c r="C1028" s="6" t="s">
        <v>85</v>
      </c>
      <c r="D1028" s="6" t="n">
        <v>45</v>
      </c>
      <c r="E1028" s="6" t="s">
        <v>134</v>
      </c>
      <c r="F1028" s="6" t="s">
        <v>135</v>
      </c>
      <c r="G1028" s="26" t="n">
        <v>46133</v>
      </c>
      <c r="H1028" s="6" t="s">
        <v>92</v>
      </c>
      <c r="I1028" s="26" t="n">
        <f aca="false">_xlfn.MINIFS(Transaction!$C$2:$C$8421,Transaction!$B$2:$B$8421,A1028)</f>
        <v>46207</v>
      </c>
      <c r="J1028" s="26" t="n">
        <f aca="false">_xlfn.MAXIFS(Transaction!$C$2:$C$8421,Transaction!$B$2:$B$8421,A1028)</f>
        <v>46207</v>
      </c>
      <c r="K1028" s="6" t="n">
        <f aca="false">COUNTIF(Transaction!$B$2:$B$8421,A1028)</f>
        <v>1</v>
      </c>
      <c r="L1028" s="10" t="n">
        <f aca="false">SUMIF(Transaction!$B$2:$B$8421,A1028,Transaction!$H$2:$H$8421)</f>
        <v>2137</v>
      </c>
      <c r="M1028" s="6" t="n">
        <f aca="false">Summary!$B$3-J1028</f>
        <v>59</v>
      </c>
      <c r="N1028" s="6" t="str">
        <f aca="false">IF(K1028&gt;1,"Yes","No")</f>
        <v>No</v>
      </c>
      <c r="O1028" s="6" t="s">
        <v>47</v>
      </c>
    </row>
    <row r="1029" customFormat="false" ht="15" hidden="false" customHeight="false" outlineLevel="0" collapsed="false">
      <c r="A1029" s="6" t="s">
        <v>2167</v>
      </c>
      <c r="B1029" s="6" t="s">
        <v>2168</v>
      </c>
      <c r="C1029" s="6" t="s">
        <v>85</v>
      </c>
      <c r="D1029" s="6" t="n">
        <v>46</v>
      </c>
      <c r="E1029" s="6" t="s">
        <v>134</v>
      </c>
      <c r="F1029" s="6" t="s">
        <v>135</v>
      </c>
      <c r="G1029" s="26" t="n">
        <v>46130</v>
      </c>
      <c r="H1029" s="6" t="s">
        <v>88</v>
      </c>
      <c r="I1029" s="26" t="n">
        <f aca="false">_xlfn.MINIFS(Transaction!$C$2:$C$8421,Transaction!$B$2:$B$8421,A1029)</f>
        <v>46152</v>
      </c>
      <c r="J1029" s="26" t="n">
        <f aca="false">_xlfn.MAXIFS(Transaction!$C$2:$C$8421,Transaction!$B$2:$B$8421,A1029)</f>
        <v>46152</v>
      </c>
      <c r="K1029" s="6" t="n">
        <f aca="false">COUNTIF(Transaction!$B$2:$B$8421,A1029)</f>
        <v>1</v>
      </c>
      <c r="L1029" s="10" t="n">
        <f aca="false">SUMIF(Transaction!$B$2:$B$8421,A1029,Transaction!$H$2:$H$8421)</f>
        <v>2202</v>
      </c>
      <c r="M1029" s="6" t="n">
        <f aca="false">Summary!$B$3-J1029</f>
        <v>114</v>
      </c>
      <c r="N1029" s="6" t="str">
        <f aca="false">IF(K1029&gt;1,"Yes","No")</f>
        <v>No</v>
      </c>
      <c r="O1029" s="6" t="s">
        <v>48</v>
      </c>
    </row>
    <row r="1030" customFormat="false" ht="15" hidden="false" customHeight="false" outlineLevel="0" collapsed="false">
      <c r="A1030" s="6" t="s">
        <v>2169</v>
      </c>
      <c r="B1030" s="6" t="s">
        <v>2170</v>
      </c>
      <c r="C1030" s="6" t="s">
        <v>75</v>
      </c>
      <c r="D1030" s="6" t="n">
        <v>44</v>
      </c>
      <c r="E1030" s="6" t="s">
        <v>91</v>
      </c>
      <c r="F1030" s="6" t="s">
        <v>77</v>
      </c>
      <c r="G1030" s="26" t="n">
        <v>45981</v>
      </c>
      <c r="H1030" s="6" t="s">
        <v>102</v>
      </c>
      <c r="I1030" s="26" t="n">
        <f aca="false">_xlfn.MINIFS(Transaction!$C$2:$C$8421,Transaction!$B$2:$B$8421,A1030)</f>
        <v>46028</v>
      </c>
      <c r="J1030" s="26" t="n">
        <f aca="false">_xlfn.MAXIFS(Transaction!$C$2:$C$8421,Transaction!$B$2:$B$8421,A1030)</f>
        <v>46249</v>
      </c>
      <c r="K1030" s="6" t="n">
        <f aca="false">COUNTIF(Transaction!$B$2:$B$8421,A1030)</f>
        <v>10</v>
      </c>
      <c r="L1030" s="10" t="n">
        <f aca="false">SUMIF(Transaction!$B$2:$B$8421,A1030,Transaction!$H$2:$H$8421)</f>
        <v>10382</v>
      </c>
      <c r="M1030" s="6" t="n">
        <f aca="false">Summary!$B$3-J1030</f>
        <v>17</v>
      </c>
      <c r="N1030" s="6" t="str">
        <f aca="false">IF(K1030&gt;1,"Yes","No")</f>
        <v>Yes</v>
      </c>
      <c r="O1030" s="6" t="s">
        <v>45</v>
      </c>
    </row>
    <row r="1031" customFormat="false" ht="15" hidden="false" customHeight="false" outlineLevel="0" collapsed="false">
      <c r="A1031" s="6" t="s">
        <v>2171</v>
      </c>
      <c r="B1031" s="6" t="s">
        <v>2172</v>
      </c>
      <c r="C1031" s="6" t="s">
        <v>75</v>
      </c>
      <c r="D1031" s="6" t="n">
        <v>51</v>
      </c>
      <c r="E1031" s="6" t="s">
        <v>98</v>
      </c>
      <c r="F1031" s="6" t="s">
        <v>99</v>
      </c>
      <c r="G1031" s="26" t="n">
        <v>46022</v>
      </c>
      <c r="H1031" s="6" t="s">
        <v>123</v>
      </c>
      <c r="I1031" s="26" t="n">
        <f aca="false">_xlfn.MINIFS(Transaction!$C$2:$C$8421,Transaction!$B$2:$B$8421,A1031)</f>
        <v>46068</v>
      </c>
      <c r="J1031" s="26" t="n">
        <f aca="false">_xlfn.MAXIFS(Transaction!$C$2:$C$8421,Transaction!$B$2:$B$8421,A1031)</f>
        <v>46243</v>
      </c>
      <c r="K1031" s="6" t="n">
        <f aca="false">COUNTIF(Transaction!$B$2:$B$8421,A1031)</f>
        <v>8</v>
      </c>
      <c r="L1031" s="10" t="n">
        <f aca="false">SUMIF(Transaction!$B$2:$B$8421,A1031,Transaction!$H$2:$H$8421)</f>
        <v>12214</v>
      </c>
      <c r="M1031" s="6" t="n">
        <f aca="false">Summary!$B$3-J1031</f>
        <v>23</v>
      </c>
      <c r="N1031" s="6" t="str">
        <f aca="false">IF(K1031&gt;1,"Yes","No")</f>
        <v>Yes</v>
      </c>
      <c r="O1031" s="6" t="s">
        <v>45</v>
      </c>
    </row>
    <row r="1032" customFormat="false" ht="15" hidden="false" customHeight="false" outlineLevel="0" collapsed="false">
      <c r="A1032" s="6" t="s">
        <v>2173</v>
      </c>
      <c r="B1032" s="6" t="s">
        <v>2174</v>
      </c>
      <c r="C1032" s="6" t="s">
        <v>75</v>
      </c>
      <c r="D1032" s="6" t="n">
        <v>29</v>
      </c>
      <c r="E1032" s="6" t="s">
        <v>105</v>
      </c>
      <c r="F1032" s="6" t="s">
        <v>106</v>
      </c>
      <c r="G1032" s="26" t="n">
        <v>46251</v>
      </c>
      <c r="H1032" s="6" t="s">
        <v>78</v>
      </c>
      <c r="I1032" s="26" t="n">
        <f aca="false">_xlfn.MINIFS(Transaction!$C$2:$C$8421,Transaction!$B$2:$B$8421,A1032)</f>
        <v>46258</v>
      </c>
      <c r="J1032" s="26" t="n">
        <f aca="false">_xlfn.MAXIFS(Transaction!$C$2:$C$8421,Transaction!$B$2:$B$8421,A1032)</f>
        <v>46258</v>
      </c>
      <c r="K1032" s="6" t="n">
        <f aca="false">COUNTIF(Transaction!$B$2:$B$8421,A1032)</f>
        <v>1</v>
      </c>
      <c r="L1032" s="10" t="n">
        <f aca="false">SUMIF(Transaction!$B$2:$B$8421,A1032,Transaction!$H$2:$H$8421)</f>
        <v>3258</v>
      </c>
      <c r="M1032" s="6" t="n">
        <f aca="false">Summary!$B$3-J1032</f>
        <v>8</v>
      </c>
      <c r="N1032" s="6" t="str">
        <f aca="false">IF(K1032&gt;1,"Yes","No")</f>
        <v>No</v>
      </c>
      <c r="O1032" s="6" t="s">
        <v>47</v>
      </c>
    </row>
    <row r="1033" customFormat="false" ht="15" hidden="false" customHeight="false" outlineLevel="0" collapsed="false">
      <c r="A1033" s="6" t="s">
        <v>2175</v>
      </c>
      <c r="B1033" s="6" t="s">
        <v>2176</v>
      </c>
      <c r="C1033" s="6" t="s">
        <v>75</v>
      </c>
      <c r="D1033" s="6" t="n">
        <v>43</v>
      </c>
      <c r="E1033" s="6" t="s">
        <v>126</v>
      </c>
      <c r="F1033" s="6" t="s">
        <v>127</v>
      </c>
      <c r="G1033" s="26" t="n">
        <v>46043</v>
      </c>
      <c r="H1033" s="6" t="s">
        <v>115</v>
      </c>
      <c r="I1033" s="26" t="n">
        <f aca="false">_xlfn.MINIFS(Transaction!$C$2:$C$8421,Transaction!$B$2:$B$8421,A1033)</f>
        <v>46052</v>
      </c>
      <c r="J1033" s="26" t="n">
        <f aca="false">_xlfn.MAXIFS(Transaction!$C$2:$C$8421,Transaction!$B$2:$B$8421,A1033)</f>
        <v>46247</v>
      </c>
      <c r="K1033" s="6" t="n">
        <f aca="false">COUNTIF(Transaction!$B$2:$B$8421,A1033)</f>
        <v>7</v>
      </c>
      <c r="L1033" s="10" t="n">
        <f aca="false">SUMIF(Transaction!$B$2:$B$8421,A1033,Transaction!$H$2:$H$8421)</f>
        <v>12383</v>
      </c>
      <c r="M1033" s="6" t="n">
        <f aca="false">Summary!$B$3-J1033</f>
        <v>19</v>
      </c>
      <c r="N1033" s="6" t="str">
        <f aca="false">IF(K1033&gt;1,"Yes","No")</f>
        <v>Yes</v>
      </c>
      <c r="O1033" s="6" t="s">
        <v>45</v>
      </c>
    </row>
    <row r="1034" customFormat="false" ht="15" hidden="false" customHeight="false" outlineLevel="0" collapsed="false">
      <c r="A1034" s="6" t="s">
        <v>2177</v>
      </c>
      <c r="B1034" s="6" t="s">
        <v>2178</v>
      </c>
      <c r="C1034" s="6" t="s">
        <v>75</v>
      </c>
      <c r="D1034" s="6" t="n">
        <v>32</v>
      </c>
      <c r="E1034" s="6" t="s">
        <v>176</v>
      </c>
      <c r="F1034" s="6" t="s">
        <v>177</v>
      </c>
      <c r="G1034" s="26" t="n">
        <v>46114</v>
      </c>
      <c r="H1034" s="6" t="s">
        <v>78</v>
      </c>
      <c r="I1034" s="26" t="n">
        <f aca="false">_xlfn.MINIFS(Transaction!$C$2:$C$8421,Transaction!$B$2:$B$8421,A1034)</f>
        <v>46151</v>
      </c>
      <c r="J1034" s="26" t="n">
        <f aca="false">_xlfn.MAXIFS(Transaction!$C$2:$C$8421,Transaction!$B$2:$B$8421,A1034)</f>
        <v>46151</v>
      </c>
      <c r="K1034" s="6" t="n">
        <f aca="false">COUNTIF(Transaction!$B$2:$B$8421,A1034)</f>
        <v>1</v>
      </c>
      <c r="L1034" s="10" t="n">
        <f aca="false">SUMIF(Transaction!$B$2:$B$8421,A1034,Transaction!$H$2:$H$8421)</f>
        <v>435</v>
      </c>
      <c r="M1034" s="6" t="n">
        <f aca="false">Summary!$B$3-J1034</f>
        <v>115</v>
      </c>
      <c r="N1034" s="6" t="str">
        <f aca="false">IF(K1034&gt;1,"Yes","No")</f>
        <v>No</v>
      </c>
      <c r="O1034" s="6" t="s">
        <v>48</v>
      </c>
    </row>
    <row r="1035" customFormat="false" ht="15" hidden="false" customHeight="false" outlineLevel="0" collapsed="false">
      <c r="A1035" s="6" t="s">
        <v>2179</v>
      </c>
      <c r="B1035" s="6" t="s">
        <v>2180</v>
      </c>
      <c r="C1035" s="6" t="s">
        <v>75</v>
      </c>
      <c r="D1035" s="6" t="n">
        <v>32</v>
      </c>
      <c r="E1035" s="6" t="s">
        <v>121</v>
      </c>
      <c r="F1035" s="6" t="s">
        <v>122</v>
      </c>
      <c r="G1035" s="26" t="n">
        <v>46137</v>
      </c>
      <c r="H1035" s="6" t="s">
        <v>123</v>
      </c>
      <c r="I1035" s="26" t="n">
        <f aca="false">_xlfn.MINIFS(Transaction!$C$2:$C$8421,Transaction!$B$2:$B$8421,A1035)</f>
        <v>46190</v>
      </c>
      <c r="J1035" s="26" t="n">
        <f aca="false">_xlfn.MAXIFS(Transaction!$C$2:$C$8421,Transaction!$B$2:$B$8421,A1035)</f>
        <v>46190</v>
      </c>
      <c r="K1035" s="6" t="n">
        <f aca="false">COUNTIF(Transaction!$B$2:$B$8421,A1035)</f>
        <v>1</v>
      </c>
      <c r="L1035" s="10" t="n">
        <f aca="false">SUMIF(Transaction!$B$2:$B$8421,A1035,Transaction!$H$2:$H$8421)</f>
        <v>977</v>
      </c>
      <c r="M1035" s="6" t="n">
        <f aca="false">Summary!$B$3-J1035</f>
        <v>76</v>
      </c>
      <c r="N1035" s="6" t="str">
        <f aca="false">IF(K1035&gt;1,"Yes","No")</f>
        <v>No</v>
      </c>
      <c r="O1035" s="6" t="s">
        <v>47</v>
      </c>
    </row>
    <row r="1036" customFormat="false" ht="15" hidden="false" customHeight="false" outlineLevel="0" collapsed="false">
      <c r="A1036" s="6" t="s">
        <v>2181</v>
      </c>
      <c r="B1036" s="6" t="s">
        <v>2182</v>
      </c>
      <c r="C1036" s="6" t="s">
        <v>85</v>
      </c>
      <c r="D1036" s="6" t="n">
        <v>59</v>
      </c>
      <c r="E1036" s="6" t="s">
        <v>81</v>
      </c>
      <c r="F1036" s="6" t="s">
        <v>82</v>
      </c>
      <c r="G1036" s="26" t="n">
        <v>45998</v>
      </c>
      <c r="H1036" s="6" t="s">
        <v>78</v>
      </c>
      <c r="I1036" s="26" t="n">
        <f aca="false">_xlfn.MINIFS(Transaction!$C$2:$C$8421,Transaction!$B$2:$B$8421,A1036)</f>
        <v>46030</v>
      </c>
      <c r="J1036" s="26" t="n">
        <f aca="false">_xlfn.MAXIFS(Transaction!$C$2:$C$8421,Transaction!$B$2:$B$8421,A1036)</f>
        <v>46030</v>
      </c>
      <c r="K1036" s="6" t="n">
        <f aca="false">COUNTIF(Transaction!$B$2:$B$8421,A1036)</f>
        <v>1</v>
      </c>
      <c r="L1036" s="10" t="n">
        <f aca="false">SUMIF(Transaction!$B$2:$B$8421,A1036,Transaction!$H$2:$H$8421)</f>
        <v>2115</v>
      </c>
      <c r="M1036" s="6" t="n">
        <f aca="false">Summary!$B$3-J1036</f>
        <v>236</v>
      </c>
      <c r="N1036" s="6" t="str">
        <f aca="false">IF(K1036&gt;1,"Yes","No")</f>
        <v>No</v>
      </c>
      <c r="O1036" s="6" t="s">
        <v>49</v>
      </c>
    </row>
    <row r="1037" customFormat="false" ht="15" hidden="false" customHeight="false" outlineLevel="0" collapsed="false">
      <c r="A1037" s="6" t="s">
        <v>2183</v>
      </c>
      <c r="B1037" s="6" t="s">
        <v>2184</v>
      </c>
      <c r="C1037" s="6" t="s">
        <v>75</v>
      </c>
      <c r="D1037" s="6" t="n">
        <v>18</v>
      </c>
      <c r="E1037" s="6" t="s">
        <v>81</v>
      </c>
      <c r="F1037" s="6" t="s">
        <v>82</v>
      </c>
      <c r="G1037" s="26" t="n">
        <v>46010</v>
      </c>
      <c r="H1037" s="6" t="s">
        <v>92</v>
      </c>
      <c r="I1037" s="26" t="n">
        <f aca="false">_xlfn.MINIFS(Transaction!$C$2:$C$8421,Transaction!$B$2:$B$8421,A1037)</f>
        <v>46031</v>
      </c>
      <c r="J1037" s="26" t="n">
        <f aca="false">_xlfn.MAXIFS(Transaction!$C$2:$C$8421,Transaction!$B$2:$B$8421,A1037)</f>
        <v>46255</v>
      </c>
      <c r="K1037" s="6" t="n">
        <f aca="false">COUNTIF(Transaction!$B$2:$B$8421,A1037)</f>
        <v>12</v>
      </c>
      <c r="L1037" s="10" t="n">
        <f aca="false">SUMIF(Transaction!$B$2:$B$8421,A1037,Transaction!$H$2:$H$8421)</f>
        <v>24148</v>
      </c>
      <c r="M1037" s="6" t="n">
        <f aca="false">Summary!$B$3-J1037</f>
        <v>11</v>
      </c>
      <c r="N1037" s="6" t="str">
        <f aca="false">IF(K1037&gt;1,"Yes","No")</f>
        <v>Yes</v>
      </c>
      <c r="O1037" s="6" t="s">
        <v>45</v>
      </c>
    </row>
    <row r="1038" customFormat="false" ht="15" hidden="false" customHeight="false" outlineLevel="0" collapsed="false">
      <c r="A1038" s="6" t="s">
        <v>2185</v>
      </c>
      <c r="B1038" s="6" t="s">
        <v>2186</v>
      </c>
      <c r="C1038" s="6" t="s">
        <v>75</v>
      </c>
      <c r="D1038" s="6" t="n">
        <v>35</v>
      </c>
      <c r="E1038" s="6" t="s">
        <v>81</v>
      </c>
      <c r="F1038" s="6" t="s">
        <v>82</v>
      </c>
      <c r="G1038" s="26" t="n">
        <v>45984</v>
      </c>
      <c r="H1038" s="6" t="s">
        <v>78</v>
      </c>
      <c r="I1038" s="26" t="n">
        <f aca="false">_xlfn.MINIFS(Transaction!$C$2:$C$8421,Transaction!$B$2:$B$8421,A1038)</f>
        <v>46044</v>
      </c>
      <c r="J1038" s="26" t="n">
        <f aca="false">_xlfn.MAXIFS(Transaction!$C$2:$C$8421,Transaction!$B$2:$B$8421,A1038)</f>
        <v>46044</v>
      </c>
      <c r="K1038" s="6" t="n">
        <f aca="false">COUNTIF(Transaction!$B$2:$B$8421,A1038)</f>
        <v>1</v>
      </c>
      <c r="L1038" s="10" t="n">
        <f aca="false">SUMIF(Transaction!$B$2:$B$8421,A1038,Transaction!$H$2:$H$8421)</f>
        <v>1376</v>
      </c>
      <c r="M1038" s="6" t="n">
        <f aca="false">Summary!$B$3-J1038</f>
        <v>222</v>
      </c>
      <c r="N1038" s="6" t="str">
        <f aca="false">IF(K1038&gt;1,"Yes","No")</f>
        <v>No</v>
      </c>
      <c r="O1038" s="6" t="s">
        <v>49</v>
      </c>
    </row>
    <row r="1039" customFormat="false" ht="15" hidden="false" customHeight="false" outlineLevel="0" collapsed="false">
      <c r="A1039" s="6" t="s">
        <v>2187</v>
      </c>
      <c r="B1039" s="6" t="s">
        <v>2188</v>
      </c>
      <c r="C1039" s="6" t="s">
        <v>85</v>
      </c>
      <c r="D1039" s="6" t="n">
        <v>36</v>
      </c>
      <c r="E1039" s="6" t="s">
        <v>95</v>
      </c>
      <c r="F1039" s="6" t="s">
        <v>95</v>
      </c>
      <c r="G1039" s="26" t="n">
        <v>46060</v>
      </c>
      <c r="H1039" s="6" t="s">
        <v>102</v>
      </c>
      <c r="I1039" s="26" t="n">
        <f aca="false">_xlfn.MINIFS(Transaction!$C$2:$C$8421,Transaction!$B$2:$B$8421,A1039)</f>
        <v>46144</v>
      </c>
      <c r="J1039" s="26" t="n">
        <f aca="false">_xlfn.MAXIFS(Transaction!$C$2:$C$8421,Transaction!$B$2:$B$8421,A1039)</f>
        <v>46144</v>
      </c>
      <c r="K1039" s="6" t="n">
        <f aca="false">COUNTIF(Transaction!$B$2:$B$8421,A1039)</f>
        <v>1</v>
      </c>
      <c r="L1039" s="10" t="n">
        <f aca="false">SUMIF(Transaction!$B$2:$B$8421,A1039,Transaction!$H$2:$H$8421)</f>
        <v>2140</v>
      </c>
      <c r="M1039" s="6" t="n">
        <f aca="false">Summary!$B$3-J1039</f>
        <v>122</v>
      </c>
      <c r="N1039" s="6" t="str">
        <f aca="false">IF(K1039&gt;1,"Yes","No")</f>
        <v>No</v>
      </c>
      <c r="O1039" s="6" t="s">
        <v>48</v>
      </c>
    </row>
    <row r="1040" customFormat="false" ht="15" hidden="false" customHeight="false" outlineLevel="0" collapsed="false">
      <c r="A1040" s="6" t="s">
        <v>2189</v>
      </c>
      <c r="B1040" s="6" t="s">
        <v>2190</v>
      </c>
      <c r="C1040" s="6" t="s">
        <v>75</v>
      </c>
      <c r="D1040" s="6" t="n">
        <v>42</v>
      </c>
      <c r="E1040" s="6" t="s">
        <v>121</v>
      </c>
      <c r="F1040" s="6" t="s">
        <v>122</v>
      </c>
      <c r="G1040" s="26" t="n">
        <v>46168</v>
      </c>
      <c r="H1040" s="6" t="s">
        <v>92</v>
      </c>
      <c r="I1040" s="26" t="n">
        <f aca="false">_xlfn.MINIFS(Transaction!$C$2:$C$8421,Transaction!$B$2:$B$8421,A1040)</f>
        <v>46201</v>
      </c>
      <c r="J1040" s="26" t="n">
        <f aca="false">_xlfn.MAXIFS(Transaction!$C$2:$C$8421,Transaction!$B$2:$B$8421,A1040)</f>
        <v>46201</v>
      </c>
      <c r="K1040" s="6" t="n">
        <f aca="false">COUNTIF(Transaction!$B$2:$B$8421,A1040)</f>
        <v>1</v>
      </c>
      <c r="L1040" s="10" t="n">
        <f aca="false">SUMIF(Transaction!$B$2:$B$8421,A1040,Transaction!$H$2:$H$8421)</f>
        <v>3912</v>
      </c>
      <c r="M1040" s="6" t="n">
        <f aca="false">Summary!$B$3-J1040</f>
        <v>65</v>
      </c>
      <c r="N1040" s="6" t="str">
        <f aca="false">IF(K1040&gt;1,"Yes","No")</f>
        <v>No</v>
      </c>
      <c r="O1040" s="6" t="s">
        <v>47</v>
      </c>
    </row>
    <row r="1041" customFormat="false" ht="15" hidden="false" customHeight="false" outlineLevel="0" collapsed="false">
      <c r="A1041" s="6" t="s">
        <v>2191</v>
      </c>
      <c r="B1041" s="6" t="s">
        <v>2192</v>
      </c>
      <c r="C1041" s="6" t="s">
        <v>75</v>
      </c>
      <c r="D1041" s="6" t="n">
        <v>42</v>
      </c>
      <c r="E1041" s="6" t="s">
        <v>76</v>
      </c>
      <c r="F1041" s="6" t="s">
        <v>77</v>
      </c>
      <c r="G1041" s="26" t="n">
        <v>46117</v>
      </c>
      <c r="H1041" s="6" t="s">
        <v>123</v>
      </c>
      <c r="I1041" s="26" t="n">
        <f aca="false">_xlfn.MINIFS(Transaction!$C$2:$C$8421,Transaction!$B$2:$B$8421,A1041)</f>
        <v>46141</v>
      </c>
      <c r="J1041" s="26" t="n">
        <f aca="false">_xlfn.MAXIFS(Transaction!$C$2:$C$8421,Transaction!$B$2:$B$8421,A1041)</f>
        <v>46141</v>
      </c>
      <c r="K1041" s="6" t="n">
        <f aca="false">COUNTIF(Transaction!$B$2:$B$8421,A1041)</f>
        <v>1</v>
      </c>
      <c r="L1041" s="10" t="n">
        <f aca="false">SUMIF(Transaction!$B$2:$B$8421,A1041,Transaction!$H$2:$H$8421)</f>
        <v>508</v>
      </c>
      <c r="M1041" s="6" t="n">
        <f aca="false">Summary!$B$3-J1041</f>
        <v>125</v>
      </c>
      <c r="N1041" s="6" t="str">
        <f aca="false">IF(K1041&gt;1,"Yes","No")</f>
        <v>No</v>
      </c>
      <c r="O1041" s="6" t="s">
        <v>48</v>
      </c>
    </row>
    <row r="1042" customFormat="false" ht="15" hidden="false" customHeight="false" outlineLevel="0" collapsed="false">
      <c r="A1042" s="6" t="s">
        <v>2193</v>
      </c>
      <c r="B1042" s="6" t="s">
        <v>2194</v>
      </c>
      <c r="C1042" s="6" t="s">
        <v>85</v>
      </c>
      <c r="D1042" s="6" t="n">
        <v>24</v>
      </c>
      <c r="E1042" s="6" t="s">
        <v>134</v>
      </c>
      <c r="F1042" s="6" t="s">
        <v>135</v>
      </c>
      <c r="G1042" s="26" t="n">
        <v>46146</v>
      </c>
      <c r="H1042" s="6" t="s">
        <v>123</v>
      </c>
      <c r="I1042" s="26" t="n">
        <f aca="false">_xlfn.MINIFS(Transaction!$C$2:$C$8421,Transaction!$B$2:$B$8421,A1042)</f>
        <v>46166</v>
      </c>
      <c r="J1042" s="26" t="n">
        <f aca="false">_xlfn.MAXIFS(Transaction!$C$2:$C$8421,Transaction!$B$2:$B$8421,A1042)</f>
        <v>46166</v>
      </c>
      <c r="K1042" s="6" t="n">
        <f aca="false">COUNTIF(Transaction!$B$2:$B$8421,A1042)</f>
        <v>1</v>
      </c>
      <c r="L1042" s="10" t="n">
        <f aca="false">SUMIF(Transaction!$B$2:$B$8421,A1042,Transaction!$H$2:$H$8421)</f>
        <v>2542</v>
      </c>
      <c r="M1042" s="6" t="n">
        <f aca="false">Summary!$B$3-J1042</f>
        <v>100</v>
      </c>
      <c r="N1042" s="6" t="str">
        <f aca="false">IF(K1042&gt;1,"Yes","No")</f>
        <v>No</v>
      </c>
      <c r="O1042" s="6" t="s">
        <v>48</v>
      </c>
    </row>
    <row r="1043" customFormat="false" ht="15" hidden="false" customHeight="false" outlineLevel="0" collapsed="false">
      <c r="A1043" s="6" t="s">
        <v>2195</v>
      </c>
      <c r="B1043" s="6" t="s">
        <v>2196</v>
      </c>
      <c r="C1043" s="6" t="s">
        <v>75</v>
      </c>
      <c r="D1043" s="6" t="n">
        <v>38</v>
      </c>
      <c r="E1043" s="6" t="s">
        <v>95</v>
      </c>
      <c r="F1043" s="6" t="s">
        <v>95</v>
      </c>
      <c r="G1043" s="26" t="n">
        <v>46214</v>
      </c>
      <c r="H1043" s="6" t="s">
        <v>115</v>
      </c>
      <c r="I1043" s="26" t="n">
        <f aca="false">_xlfn.MINIFS(Transaction!$C$2:$C$8421,Transaction!$B$2:$B$8421,A1043)</f>
        <v>46256</v>
      </c>
      <c r="J1043" s="26" t="n">
        <f aca="false">_xlfn.MAXIFS(Transaction!$C$2:$C$8421,Transaction!$B$2:$B$8421,A1043)</f>
        <v>46256</v>
      </c>
      <c r="K1043" s="6" t="n">
        <f aca="false">COUNTIF(Transaction!$B$2:$B$8421,A1043)</f>
        <v>1</v>
      </c>
      <c r="L1043" s="10" t="n">
        <f aca="false">SUMIF(Transaction!$B$2:$B$8421,A1043,Transaction!$H$2:$H$8421)</f>
        <v>782</v>
      </c>
      <c r="M1043" s="6" t="n">
        <f aca="false">Summary!$B$3-J1043</f>
        <v>10</v>
      </c>
      <c r="N1043" s="6" t="str">
        <f aca="false">IF(K1043&gt;1,"Yes","No")</f>
        <v>No</v>
      </c>
      <c r="O1043" s="6" t="s">
        <v>47</v>
      </c>
    </row>
    <row r="1044" customFormat="false" ht="15" hidden="false" customHeight="false" outlineLevel="0" collapsed="false">
      <c r="A1044" s="6" t="s">
        <v>2197</v>
      </c>
      <c r="B1044" s="6" t="s">
        <v>2198</v>
      </c>
      <c r="C1044" s="6" t="s">
        <v>75</v>
      </c>
      <c r="D1044" s="6" t="n">
        <v>34</v>
      </c>
      <c r="E1044" s="6" t="s">
        <v>95</v>
      </c>
      <c r="F1044" s="6" t="s">
        <v>95</v>
      </c>
      <c r="G1044" s="26" t="n">
        <v>46142</v>
      </c>
      <c r="H1044" s="6" t="s">
        <v>115</v>
      </c>
      <c r="I1044" s="26" t="n">
        <f aca="false">_xlfn.MINIFS(Transaction!$C$2:$C$8421,Transaction!$B$2:$B$8421,A1044)</f>
        <v>46210</v>
      </c>
      <c r="J1044" s="26" t="n">
        <f aca="false">_xlfn.MAXIFS(Transaction!$C$2:$C$8421,Transaction!$B$2:$B$8421,A1044)</f>
        <v>46210</v>
      </c>
      <c r="K1044" s="6" t="n">
        <f aca="false">COUNTIF(Transaction!$B$2:$B$8421,A1044)</f>
        <v>1</v>
      </c>
      <c r="L1044" s="10" t="n">
        <f aca="false">SUMIF(Transaction!$B$2:$B$8421,A1044,Transaction!$H$2:$H$8421)</f>
        <v>10615</v>
      </c>
      <c r="M1044" s="6" t="n">
        <f aca="false">Summary!$B$3-J1044</f>
        <v>56</v>
      </c>
      <c r="N1044" s="6" t="str">
        <f aca="false">IF(K1044&gt;1,"Yes","No")</f>
        <v>No</v>
      </c>
      <c r="O1044" s="6" t="s">
        <v>47</v>
      </c>
    </row>
    <row r="1045" customFormat="false" ht="15" hidden="false" customHeight="false" outlineLevel="0" collapsed="false">
      <c r="A1045" s="6" t="s">
        <v>2199</v>
      </c>
      <c r="B1045" s="6" t="s">
        <v>2200</v>
      </c>
      <c r="C1045" s="6" t="s">
        <v>85</v>
      </c>
      <c r="D1045" s="6" t="n">
        <v>51</v>
      </c>
      <c r="E1045" s="6" t="s">
        <v>76</v>
      </c>
      <c r="F1045" s="6" t="s">
        <v>77</v>
      </c>
      <c r="G1045" s="26" t="n">
        <v>46006</v>
      </c>
      <c r="H1045" s="6" t="s">
        <v>102</v>
      </c>
      <c r="I1045" s="26" t="n">
        <f aca="false">_xlfn.MINIFS(Transaction!$C$2:$C$8421,Transaction!$B$2:$B$8421,A1045)</f>
        <v>46093</v>
      </c>
      <c r="J1045" s="26" t="n">
        <f aca="false">_xlfn.MAXIFS(Transaction!$C$2:$C$8421,Transaction!$B$2:$B$8421,A1045)</f>
        <v>46258</v>
      </c>
      <c r="K1045" s="6" t="n">
        <f aca="false">COUNTIF(Transaction!$B$2:$B$8421,A1045)</f>
        <v>10</v>
      </c>
      <c r="L1045" s="10" t="n">
        <f aca="false">SUMIF(Transaction!$B$2:$B$8421,A1045,Transaction!$H$2:$H$8421)</f>
        <v>19364</v>
      </c>
      <c r="M1045" s="6" t="n">
        <f aca="false">Summary!$B$3-J1045</f>
        <v>8</v>
      </c>
      <c r="N1045" s="6" t="str">
        <f aca="false">IF(K1045&gt;1,"Yes","No")</f>
        <v>Yes</v>
      </c>
      <c r="O1045" s="6" t="s">
        <v>45</v>
      </c>
    </row>
    <row r="1046" customFormat="false" ht="15" hidden="false" customHeight="false" outlineLevel="0" collapsed="false">
      <c r="A1046" s="6" t="s">
        <v>2201</v>
      </c>
      <c r="B1046" s="6" t="s">
        <v>2202</v>
      </c>
      <c r="C1046" s="6" t="s">
        <v>85</v>
      </c>
      <c r="D1046" s="6" t="n">
        <v>41</v>
      </c>
      <c r="E1046" s="6" t="s">
        <v>321</v>
      </c>
      <c r="F1046" s="6" t="s">
        <v>321</v>
      </c>
      <c r="G1046" s="26" t="n">
        <v>46219</v>
      </c>
      <c r="H1046" s="6" t="s">
        <v>123</v>
      </c>
      <c r="I1046" s="26" t="n">
        <f aca="false">_xlfn.MINIFS(Transaction!$C$2:$C$8421,Transaction!$B$2:$B$8421,A1046)</f>
        <v>46222</v>
      </c>
      <c r="J1046" s="26" t="n">
        <f aca="false">_xlfn.MAXIFS(Transaction!$C$2:$C$8421,Transaction!$B$2:$B$8421,A1046)</f>
        <v>46222</v>
      </c>
      <c r="K1046" s="6" t="n">
        <f aca="false">COUNTIF(Transaction!$B$2:$B$8421,A1046)</f>
        <v>1</v>
      </c>
      <c r="L1046" s="10" t="n">
        <f aca="false">SUMIF(Transaction!$B$2:$B$8421,A1046,Transaction!$H$2:$H$8421)</f>
        <v>1954</v>
      </c>
      <c r="M1046" s="6" t="n">
        <f aca="false">Summary!$B$3-J1046</f>
        <v>44</v>
      </c>
      <c r="N1046" s="6" t="str">
        <f aca="false">IF(K1046&gt;1,"Yes","No")</f>
        <v>No</v>
      </c>
      <c r="O1046" s="6" t="s">
        <v>47</v>
      </c>
    </row>
    <row r="1047" customFormat="false" ht="15" hidden="false" customHeight="false" outlineLevel="0" collapsed="false">
      <c r="A1047" s="6" t="s">
        <v>2203</v>
      </c>
      <c r="B1047" s="6" t="s">
        <v>2204</v>
      </c>
      <c r="C1047" s="6" t="s">
        <v>75</v>
      </c>
      <c r="D1047" s="6" t="n">
        <v>39</v>
      </c>
      <c r="E1047" s="6" t="s">
        <v>95</v>
      </c>
      <c r="F1047" s="6" t="s">
        <v>95</v>
      </c>
      <c r="G1047" s="26" t="n">
        <v>46135</v>
      </c>
      <c r="H1047" s="6" t="s">
        <v>92</v>
      </c>
      <c r="I1047" s="26" t="n">
        <f aca="false">_xlfn.MINIFS(Transaction!$C$2:$C$8421,Transaction!$B$2:$B$8421,A1047)</f>
        <v>46197</v>
      </c>
      <c r="J1047" s="26" t="n">
        <f aca="false">_xlfn.MAXIFS(Transaction!$C$2:$C$8421,Transaction!$B$2:$B$8421,A1047)</f>
        <v>46197</v>
      </c>
      <c r="K1047" s="6" t="n">
        <f aca="false">COUNTIF(Transaction!$B$2:$B$8421,A1047)</f>
        <v>1</v>
      </c>
      <c r="L1047" s="10" t="n">
        <f aca="false">SUMIF(Transaction!$B$2:$B$8421,A1047,Transaction!$H$2:$H$8421)</f>
        <v>195</v>
      </c>
      <c r="M1047" s="6" t="n">
        <f aca="false">Summary!$B$3-J1047</f>
        <v>69</v>
      </c>
      <c r="N1047" s="6" t="str">
        <f aca="false">IF(K1047&gt;1,"Yes","No")</f>
        <v>No</v>
      </c>
      <c r="O1047" s="6" t="s">
        <v>47</v>
      </c>
    </row>
    <row r="1048" customFormat="false" ht="15" hidden="false" customHeight="false" outlineLevel="0" collapsed="false">
      <c r="A1048" s="6" t="s">
        <v>2205</v>
      </c>
      <c r="B1048" s="6" t="s">
        <v>2206</v>
      </c>
      <c r="C1048" s="6" t="s">
        <v>75</v>
      </c>
      <c r="D1048" s="6" t="n">
        <v>31</v>
      </c>
      <c r="E1048" s="6" t="s">
        <v>180</v>
      </c>
      <c r="F1048" s="6" t="s">
        <v>181</v>
      </c>
      <c r="G1048" s="26" t="n">
        <v>45969</v>
      </c>
      <c r="H1048" s="6" t="s">
        <v>123</v>
      </c>
      <c r="I1048" s="26" t="n">
        <f aca="false">_xlfn.MINIFS(Transaction!$C$2:$C$8421,Transaction!$B$2:$B$8421,A1048)</f>
        <v>46033</v>
      </c>
      <c r="J1048" s="26" t="n">
        <f aca="false">_xlfn.MAXIFS(Transaction!$C$2:$C$8421,Transaction!$B$2:$B$8421,A1048)</f>
        <v>46033</v>
      </c>
      <c r="K1048" s="6" t="n">
        <f aca="false">COUNTIF(Transaction!$B$2:$B$8421,A1048)</f>
        <v>1</v>
      </c>
      <c r="L1048" s="10" t="n">
        <f aca="false">SUMIF(Transaction!$B$2:$B$8421,A1048,Transaction!$H$2:$H$8421)</f>
        <v>2820</v>
      </c>
      <c r="M1048" s="6" t="n">
        <f aca="false">Summary!$B$3-J1048</f>
        <v>233</v>
      </c>
      <c r="N1048" s="6" t="str">
        <f aca="false">IF(K1048&gt;1,"Yes","No")</f>
        <v>No</v>
      </c>
      <c r="O1048" s="6" t="s">
        <v>49</v>
      </c>
    </row>
    <row r="1049" customFormat="false" ht="15" hidden="false" customHeight="false" outlineLevel="0" collapsed="false">
      <c r="A1049" s="6" t="s">
        <v>2207</v>
      </c>
      <c r="B1049" s="6" t="s">
        <v>2208</v>
      </c>
      <c r="C1049" s="6" t="s">
        <v>75</v>
      </c>
      <c r="D1049" s="6" t="n">
        <v>39</v>
      </c>
      <c r="E1049" s="6" t="s">
        <v>98</v>
      </c>
      <c r="F1049" s="6" t="s">
        <v>99</v>
      </c>
      <c r="G1049" s="26" t="n">
        <v>46191</v>
      </c>
      <c r="H1049" s="6" t="s">
        <v>78</v>
      </c>
      <c r="I1049" s="26" t="n">
        <f aca="false">_xlfn.MINIFS(Transaction!$C$2:$C$8421,Transaction!$B$2:$B$8421,A1049)</f>
        <v>46198</v>
      </c>
      <c r="J1049" s="26" t="n">
        <f aca="false">_xlfn.MAXIFS(Transaction!$C$2:$C$8421,Transaction!$B$2:$B$8421,A1049)</f>
        <v>46198</v>
      </c>
      <c r="K1049" s="6" t="n">
        <f aca="false">COUNTIF(Transaction!$B$2:$B$8421,A1049)</f>
        <v>1</v>
      </c>
      <c r="L1049" s="10" t="n">
        <f aca="false">SUMIF(Transaction!$B$2:$B$8421,A1049,Transaction!$H$2:$H$8421)</f>
        <v>927</v>
      </c>
      <c r="M1049" s="6" t="n">
        <f aca="false">Summary!$B$3-J1049</f>
        <v>68</v>
      </c>
      <c r="N1049" s="6" t="str">
        <f aca="false">IF(K1049&gt;1,"Yes","No")</f>
        <v>No</v>
      </c>
      <c r="O1049" s="6" t="s">
        <v>47</v>
      </c>
    </row>
    <row r="1050" customFormat="false" ht="15" hidden="false" customHeight="false" outlineLevel="0" collapsed="false">
      <c r="A1050" s="6" t="s">
        <v>2209</v>
      </c>
      <c r="B1050" s="6" t="s">
        <v>2210</v>
      </c>
      <c r="C1050" s="6" t="s">
        <v>75</v>
      </c>
      <c r="D1050" s="6" t="n">
        <v>26</v>
      </c>
      <c r="E1050" s="6" t="s">
        <v>81</v>
      </c>
      <c r="F1050" s="6" t="s">
        <v>82</v>
      </c>
      <c r="G1050" s="26" t="n">
        <v>46174</v>
      </c>
      <c r="H1050" s="6" t="s">
        <v>102</v>
      </c>
      <c r="I1050" s="26" t="n">
        <f aca="false">_xlfn.MINIFS(Transaction!$C$2:$C$8421,Transaction!$B$2:$B$8421,A1050)</f>
        <v>46230</v>
      </c>
      <c r="J1050" s="26" t="n">
        <f aca="false">_xlfn.MAXIFS(Transaction!$C$2:$C$8421,Transaction!$B$2:$B$8421,A1050)</f>
        <v>46230</v>
      </c>
      <c r="K1050" s="6" t="n">
        <f aca="false">COUNTIF(Transaction!$B$2:$B$8421,A1050)</f>
        <v>1</v>
      </c>
      <c r="L1050" s="10" t="n">
        <f aca="false">SUMIF(Transaction!$B$2:$B$8421,A1050,Transaction!$H$2:$H$8421)</f>
        <v>1564</v>
      </c>
      <c r="M1050" s="6" t="n">
        <f aca="false">Summary!$B$3-J1050</f>
        <v>36</v>
      </c>
      <c r="N1050" s="6" t="str">
        <f aca="false">IF(K1050&gt;1,"Yes","No")</f>
        <v>No</v>
      </c>
      <c r="O1050" s="6" t="s">
        <v>47</v>
      </c>
    </row>
    <row r="1051" customFormat="false" ht="15" hidden="false" customHeight="false" outlineLevel="0" collapsed="false">
      <c r="A1051" s="6" t="s">
        <v>2211</v>
      </c>
      <c r="B1051" s="6" t="s">
        <v>2212</v>
      </c>
      <c r="C1051" s="6" t="s">
        <v>75</v>
      </c>
      <c r="D1051" s="6" t="n">
        <v>35</v>
      </c>
      <c r="E1051" s="6" t="s">
        <v>134</v>
      </c>
      <c r="F1051" s="6" t="s">
        <v>135</v>
      </c>
      <c r="G1051" s="26" t="n">
        <v>46086</v>
      </c>
      <c r="H1051" s="6" t="s">
        <v>115</v>
      </c>
      <c r="I1051" s="26" t="n">
        <f aca="false">_xlfn.MINIFS(Transaction!$C$2:$C$8421,Transaction!$B$2:$B$8421,A1051)</f>
        <v>46161</v>
      </c>
      <c r="J1051" s="26" t="n">
        <f aca="false">_xlfn.MAXIFS(Transaction!$C$2:$C$8421,Transaction!$B$2:$B$8421,A1051)</f>
        <v>46161</v>
      </c>
      <c r="K1051" s="6" t="n">
        <f aca="false">COUNTIF(Transaction!$B$2:$B$8421,A1051)</f>
        <v>1</v>
      </c>
      <c r="L1051" s="10" t="n">
        <f aca="false">SUMIF(Transaction!$B$2:$B$8421,A1051,Transaction!$H$2:$H$8421)</f>
        <v>2202</v>
      </c>
      <c r="M1051" s="6" t="n">
        <f aca="false">Summary!$B$3-J1051</f>
        <v>105</v>
      </c>
      <c r="N1051" s="6" t="str">
        <f aca="false">IF(K1051&gt;1,"Yes","No")</f>
        <v>No</v>
      </c>
      <c r="O1051" s="6" t="s">
        <v>48</v>
      </c>
    </row>
    <row r="1052" customFormat="false" ht="15" hidden="false" customHeight="false" outlineLevel="0" collapsed="false">
      <c r="A1052" s="6" t="s">
        <v>2213</v>
      </c>
      <c r="B1052" s="6" t="s">
        <v>2214</v>
      </c>
      <c r="C1052" s="6" t="s">
        <v>85</v>
      </c>
      <c r="D1052" s="6" t="n">
        <v>47</v>
      </c>
      <c r="E1052" s="6" t="s">
        <v>121</v>
      </c>
      <c r="F1052" s="6" t="s">
        <v>122</v>
      </c>
      <c r="G1052" s="26" t="n">
        <v>46132</v>
      </c>
      <c r="H1052" s="6" t="s">
        <v>78</v>
      </c>
      <c r="I1052" s="26" t="n">
        <f aca="false">_xlfn.MINIFS(Transaction!$C$2:$C$8421,Transaction!$B$2:$B$8421,A1052)</f>
        <v>46136</v>
      </c>
      <c r="J1052" s="26" t="n">
        <f aca="false">_xlfn.MAXIFS(Transaction!$C$2:$C$8421,Transaction!$B$2:$B$8421,A1052)</f>
        <v>46136</v>
      </c>
      <c r="K1052" s="6" t="n">
        <f aca="false">COUNTIF(Transaction!$B$2:$B$8421,A1052)</f>
        <v>1</v>
      </c>
      <c r="L1052" s="10" t="n">
        <f aca="false">SUMIF(Transaction!$B$2:$B$8421,A1052,Transaction!$H$2:$H$8421)</f>
        <v>2294</v>
      </c>
      <c r="M1052" s="6" t="n">
        <f aca="false">Summary!$B$3-J1052</f>
        <v>130</v>
      </c>
      <c r="N1052" s="6" t="str">
        <f aca="false">IF(K1052&gt;1,"Yes","No")</f>
        <v>No</v>
      </c>
      <c r="O1052" s="6" t="s">
        <v>48</v>
      </c>
    </row>
    <row r="1053" customFormat="false" ht="15" hidden="false" customHeight="false" outlineLevel="0" collapsed="false">
      <c r="A1053" s="6" t="s">
        <v>2215</v>
      </c>
      <c r="B1053" s="6" t="s">
        <v>2216</v>
      </c>
      <c r="C1053" s="6" t="s">
        <v>85</v>
      </c>
      <c r="D1053" s="6" t="n">
        <v>23</v>
      </c>
      <c r="E1053" s="6" t="s">
        <v>95</v>
      </c>
      <c r="F1053" s="6" t="s">
        <v>95</v>
      </c>
      <c r="G1053" s="26" t="n">
        <v>46004</v>
      </c>
      <c r="H1053" s="6" t="s">
        <v>78</v>
      </c>
      <c r="I1053" s="26" t="n">
        <f aca="false">_xlfn.MINIFS(Transaction!$C$2:$C$8421,Transaction!$B$2:$B$8421,A1053)</f>
        <v>46029</v>
      </c>
      <c r="J1053" s="26" t="n">
        <f aca="false">_xlfn.MAXIFS(Transaction!$C$2:$C$8421,Transaction!$B$2:$B$8421,A1053)</f>
        <v>46029</v>
      </c>
      <c r="K1053" s="6" t="n">
        <f aca="false">COUNTIF(Transaction!$B$2:$B$8421,A1053)</f>
        <v>1</v>
      </c>
      <c r="L1053" s="10" t="n">
        <f aca="false">SUMIF(Transaction!$B$2:$B$8421,A1053,Transaction!$H$2:$H$8421)</f>
        <v>2211</v>
      </c>
      <c r="M1053" s="6" t="n">
        <f aca="false">Summary!$B$3-J1053</f>
        <v>237</v>
      </c>
      <c r="N1053" s="6" t="str">
        <f aca="false">IF(K1053&gt;1,"Yes","No")</f>
        <v>No</v>
      </c>
      <c r="O1053" s="6" t="s">
        <v>49</v>
      </c>
    </row>
    <row r="1054" customFormat="false" ht="15" hidden="false" customHeight="false" outlineLevel="0" collapsed="false">
      <c r="A1054" s="6" t="s">
        <v>2217</v>
      </c>
      <c r="B1054" s="6" t="s">
        <v>2218</v>
      </c>
      <c r="C1054" s="6" t="s">
        <v>75</v>
      </c>
      <c r="D1054" s="6" t="n">
        <v>23</v>
      </c>
      <c r="E1054" s="6" t="s">
        <v>86</v>
      </c>
      <c r="F1054" s="6" t="s">
        <v>87</v>
      </c>
      <c r="G1054" s="26" t="n">
        <v>46205</v>
      </c>
      <c r="H1054" s="6" t="s">
        <v>102</v>
      </c>
      <c r="I1054" s="26" t="n">
        <f aca="false">_xlfn.MINIFS(Transaction!$C$2:$C$8421,Transaction!$B$2:$B$8421,A1054)</f>
        <v>46209</v>
      </c>
      <c r="J1054" s="26" t="n">
        <f aca="false">_xlfn.MAXIFS(Transaction!$C$2:$C$8421,Transaction!$B$2:$B$8421,A1054)</f>
        <v>46209</v>
      </c>
      <c r="K1054" s="6" t="n">
        <f aca="false">COUNTIF(Transaction!$B$2:$B$8421,A1054)</f>
        <v>1</v>
      </c>
      <c r="L1054" s="10" t="n">
        <f aca="false">SUMIF(Transaction!$B$2:$B$8421,A1054,Transaction!$H$2:$H$8421)</f>
        <v>1101</v>
      </c>
      <c r="M1054" s="6" t="n">
        <f aca="false">Summary!$B$3-J1054</f>
        <v>57</v>
      </c>
      <c r="N1054" s="6" t="str">
        <f aca="false">IF(K1054&gt;1,"Yes","No")</f>
        <v>No</v>
      </c>
      <c r="O1054" s="6" t="s">
        <v>47</v>
      </c>
    </row>
    <row r="1055" customFormat="false" ht="15" hidden="false" customHeight="false" outlineLevel="0" collapsed="false">
      <c r="A1055" s="6" t="s">
        <v>2219</v>
      </c>
      <c r="B1055" s="6" t="s">
        <v>2220</v>
      </c>
      <c r="C1055" s="6" t="s">
        <v>85</v>
      </c>
      <c r="D1055" s="6" t="n">
        <v>26</v>
      </c>
      <c r="E1055" s="6" t="s">
        <v>118</v>
      </c>
      <c r="F1055" s="6" t="s">
        <v>77</v>
      </c>
      <c r="G1055" s="26" t="n">
        <v>46171</v>
      </c>
      <c r="H1055" s="6" t="s">
        <v>88</v>
      </c>
      <c r="I1055" s="26" t="n">
        <f aca="false">_xlfn.MINIFS(Transaction!$C$2:$C$8421,Transaction!$B$2:$B$8421,A1055)</f>
        <v>46247</v>
      </c>
      <c r="J1055" s="26" t="n">
        <f aca="false">_xlfn.MAXIFS(Transaction!$C$2:$C$8421,Transaction!$B$2:$B$8421,A1055)</f>
        <v>46247</v>
      </c>
      <c r="K1055" s="6" t="n">
        <f aca="false">COUNTIF(Transaction!$B$2:$B$8421,A1055)</f>
        <v>1</v>
      </c>
      <c r="L1055" s="10" t="n">
        <f aca="false">SUMIF(Transaction!$B$2:$B$8421,A1055,Transaction!$H$2:$H$8421)</f>
        <v>1465</v>
      </c>
      <c r="M1055" s="6" t="n">
        <f aca="false">Summary!$B$3-J1055</f>
        <v>19</v>
      </c>
      <c r="N1055" s="6" t="str">
        <f aca="false">IF(K1055&gt;1,"Yes","No")</f>
        <v>No</v>
      </c>
      <c r="O1055" s="6" t="s">
        <v>47</v>
      </c>
    </row>
    <row r="1056" customFormat="false" ht="15" hidden="false" customHeight="false" outlineLevel="0" collapsed="false">
      <c r="A1056" s="6" t="s">
        <v>2221</v>
      </c>
      <c r="B1056" s="6" t="s">
        <v>2222</v>
      </c>
      <c r="C1056" s="6" t="s">
        <v>85</v>
      </c>
      <c r="D1056" s="6" t="n">
        <v>34</v>
      </c>
      <c r="E1056" s="6" t="s">
        <v>134</v>
      </c>
      <c r="F1056" s="6" t="s">
        <v>135</v>
      </c>
      <c r="G1056" s="26" t="n">
        <v>46178</v>
      </c>
      <c r="H1056" s="6" t="s">
        <v>78</v>
      </c>
      <c r="I1056" s="26" t="n">
        <f aca="false">_xlfn.MINIFS(Transaction!$C$2:$C$8421,Transaction!$B$2:$B$8421,A1056)</f>
        <v>46240</v>
      </c>
      <c r="J1056" s="26" t="n">
        <f aca="false">_xlfn.MAXIFS(Transaction!$C$2:$C$8421,Transaction!$B$2:$B$8421,A1056)</f>
        <v>46240</v>
      </c>
      <c r="K1056" s="6" t="n">
        <f aca="false">COUNTIF(Transaction!$B$2:$B$8421,A1056)</f>
        <v>1</v>
      </c>
      <c r="L1056" s="10" t="n">
        <f aca="false">SUMIF(Transaction!$B$2:$B$8421,A1056,Transaction!$H$2:$H$8421)</f>
        <v>814</v>
      </c>
      <c r="M1056" s="6" t="n">
        <f aca="false">Summary!$B$3-J1056</f>
        <v>26</v>
      </c>
      <c r="N1056" s="6" t="str">
        <f aca="false">IF(K1056&gt;1,"Yes","No")</f>
        <v>No</v>
      </c>
      <c r="O1056" s="6" t="s">
        <v>47</v>
      </c>
    </row>
    <row r="1057" customFormat="false" ht="15" hidden="false" customHeight="false" outlineLevel="0" collapsed="false">
      <c r="A1057" s="6" t="s">
        <v>2223</v>
      </c>
      <c r="B1057" s="6" t="s">
        <v>2224</v>
      </c>
      <c r="C1057" s="6" t="s">
        <v>75</v>
      </c>
      <c r="D1057" s="6" t="n">
        <v>27</v>
      </c>
      <c r="E1057" s="6" t="s">
        <v>264</v>
      </c>
      <c r="F1057" s="6" t="s">
        <v>106</v>
      </c>
      <c r="G1057" s="26" t="n">
        <v>45993</v>
      </c>
      <c r="H1057" s="6" t="s">
        <v>88</v>
      </c>
      <c r="I1057" s="26" t="n">
        <f aca="false">_xlfn.MINIFS(Transaction!$C$2:$C$8421,Transaction!$B$2:$B$8421,A1057)</f>
        <v>46028</v>
      </c>
      <c r="J1057" s="26" t="n">
        <f aca="false">_xlfn.MAXIFS(Transaction!$C$2:$C$8421,Transaction!$B$2:$B$8421,A1057)</f>
        <v>46247</v>
      </c>
      <c r="K1057" s="6" t="n">
        <f aca="false">COUNTIF(Transaction!$B$2:$B$8421,A1057)</f>
        <v>7</v>
      </c>
      <c r="L1057" s="10" t="n">
        <f aca="false">SUMIF(Transaction!$B$2:$B$8421,A1057,Transaction!$H$2:$H$8421)</f>
        <v>11068</v>
      </c>
      <c r="M1057" s="6" t="n">
        <f aca="false">Summary!$B$3-J1057</f>
        <v>19</v>
      </c>
      <c r="N1057" s="6" t="str">
        <f aca="false">IF(K1057&gt;1,"Yes","No")</f>
        <v>Yes</v>
      </c>
      <c r="O1057" s="6" t="s">
        <v>45</v>
      </c>
    </row>
    <row r="1058" customFormat="false" ht="15" hidden="false" customHeight="false" outlineLevel="0" collapsed="false">
      <c r="A1058" s="6" t="s">
        <v>2225</v>
      </c>
      <c r="B1058" s="6" t="s">
        <v>2226</v>
      </c>
      <c r="C1058" s="6" t="s">
        <v>75</v>
      </c>
      <c r="D1058" s="6" t="n">
        <v>38</v>
      </c>
      <c r="E1058" s="6" t="s">
        <v>81</v>
      </c>
      <c r="F1058" s="6" t="s">
        <v>82</v>
      </c>
      <c r="G1058" s="26" t="n">
        <v>46017</v>
      </c>
      <c r="H1058" s="6" t="s">
        <v>115</v>
      </c>
      <c r="I1058" s="26" t="n">
        <f aca="false">_xlfn.MINIFS(Transaction!$C$2:$C$8421,Transaction!$B$2:$B$8421,A1058)</f>
        <v>46076</v>
      </c>
      <c r="J1058" s="26" t="n">
        <f aca="false">_xlfn.MAXIFS(Transaction!$C$2:$C$8421,Transaction!$B$2:$B$8421,A1058)</f>
        <v>46177</v>
      </c>
      <c r="K1058" s="6" t="n">
        <f aca="false">COUNTIF(Transaction!$B$2:$B$8421,A1058)</f>
        <v>4</v>
      </c>
      <c r="L1058" s="10" t="n">
        <f aca="false">SUMIF(Transaction!$B$2:$B$8421,A1058,Transaction!$H$2:$H$8421)</f>
        <v>14768</v>
      </c>
      <c r="M1058" s="6" t="n">
        <f aca="false">Summary!$B$3-J1058</f>
        <v>89</v>
      </c>
      <c r="N1058" s="6" t="str">
        <f aca="false">IF(K1058&gt;1,"Yes","No")</f>
        <v>Yes</v>
      </c>
      <c r="O1058" s="6" t="s">
        <v>46</v>
      </c>
    </row>
    <row r="1059" customFormat="false" ht="15" hidden="false" customHeight="false" outlineLevel="0" collapsed="false">
      <c r="A1059" s="6" t="s">
        <v>2227</v>
      </c>
      <c r="B1059" s="6" t="s">
        <v>2228</v>
      </c>
      <c r="C1059" s="6" t="s">
        <v>85</v>
      </c>
      <c r="D1059" s="6" t="n">
        <v>38</v>
      </c>
      <c r="E1059" s="6" t="s">
        <v>206</v>
      </c>
      <c r="F1059" s="6" t="s">
        <v>106</v>
      </c>
      <c r="G1059" s="26" t="n">
        <v>46137</v>
      </c>
      <c r="H1059" s="6" t="s">
        <v>115</v>
      </c>
      <c r="I1059" s="26" t="n">
        <f aca="false">_xlfn.MINIFS(Transaction!$C$2:$C$8421,Transaction!$B$2:$B$8421,A1059)</f>
        <v>46209</v>
      </c>
      <c r="J1059" s="26" t="n">
        <f aca="false">_xlfn.MAXIFS(Transaction!$C$2:$C$8421,Transaction!$B$2:$B$8421,A1059)</f>
        <v>46209</v>
      </c>
      <c r="K1059" s="6" t="n">
        <f aca="false">COUNTIF(Transaction!$B$2:$B$8421,A1059)</f>
        <v>1</v>
      </c>
      <c r="L1059" s="10" t="n">
        <f aca="false">SUMIF(Transaction!$B$2:$B$8421,A1059,Transaction!$H$2:$H$8421)</f>
        <v>708</v>
      </c>
      <c r="M1059" s="6" t="n">
        <f aca="false">Summary!$B$3-J1059</f>
        <v>57</v>
      </c>
      <c r="N1059" s="6" t="str">
        <f aca="false">IF(K1059&gt;1,"Yes","No")</f>
        <v>No</v>
      </c>
      <c r="O1059" s="6" t="s">
        <v>47</v>
      </c>
    </row>
    <row r="1060" customFormat="false" ht="15" hidden="false" customHeight="false" outlineLevel="0" collapsed="false">
      <c r="A1060" s="6" t="s">
        <v>2229</v>
      </c>
      <c r="B1060" s="6" t="s">
        <v>2230</v>
      </c>
      <c r="C1060" s="6" t="s">
        <v>85</v>
      </c>
      <c r="D1060" s="6" t="n">
        <v>33</v>
      </c>
      <c r="E1060" s="6" t="s">
        <v>176</v>
      </c>
      <c r="F1060" s="6" t="s">
        <v>177</v>
      </c>
      <c r="G1060" s="26" t="n">
        <v>46205</v>
      </c>
      <c r="H1060" s="6" t="s">
        <v>115</v>
      </c>
      <c r="I1060" s="26" t="n">
        <f aca="false">_xlfn.MINIFS(Transaction!$C$2:$C$8421,Transaction!$B$2:$B$8421,A1060)</f>
        <v>46252</v>
      </c>
      <c r="J1060" s="26" t="n">
        <f aca="false">_xlfn.MAXIFS(Transaction!$C$2:$C$8421,Transaction!$B$2:$B$8421,A1060)</f>
        <v>46252</v>
      </c>
      <c r="K1060" s="6" t="n">
        <f aca="false">COUNTIF(Transaction!$B$2:$B$8421,A1060)</f>
        <v>1</v>
      </c>
      <c r="L1060" s="10" t="n">
        <f aca="false">SUMIF(Transaction!$B$2:$B$8421,A1060,Transaction!$H$2:$H$8421)</f>
        <v>1672</v>
      </c>
      <c r="M1060" s="6" t="n">
        <f aca="false">Summary!$B$3-J1060</f>
        <v>14</v>
      </c>
      <c r="N1060" s="6" t="str">
        <f aca="false">IF(K1060&gt;1,"Yes","No")</f>
        <v>No</v>
      </c>
      <c r="O1060" s="6" t="s">
        <v>47</v>
      </c>
    </row>
    <row r="1061" customFormat="false" ht="15" hidden="false" customHeight="false" outlineLevel="0" collapsed="false">
      <c r="A1061" s="6" t="s">
        <v>2231</v>
      </c>
      <c r="B1061" s="6" t="s">
        <v>2232</v>
      </c>
      <c r="C1061" s="6" t="s">
        <v>75</v>
      </c>
      <c r="D1061" s="6" t="n">
        <v>32</v>
      </c>
      <c r="E1061" s="6" t="s">
        <v>264</v>
      </c>
      <c r="F1061" s="6" t="s">
        <v>106</v>
      </c>
      <c r="G1061" s="26" t="n">
        <v>46058</v>
      </c>
      <c r="H1061" s="6" t="s">
        <v>102</v>
      </c>
      <c r="I1061" s="26" t="n">
        <f aca="false">_xlfn.MINIFS(Transaction!$C$2:$C$8421,Transaction!$B$2:$B$8421,A1061)</f>
        <v>46122</v>
      </c>
      <c r="J1061" s="26" t="n">
        <f aca="false">_xlfn.MAXIFS(Transaction!$C$2:$C$8421,Transaction!$B$2:$B$8421,A1061)</f>
        <v>46122</v>
      </c>
      <c r="K1061" s="6" t="n">
        <f aca="false">COUNTIF(Transaction!$B$2:$B$8421,A1061)</f>
        <v>1</v>
      </c>
      <c r="L1061" s="10" t="n">
        <f aca="false">SUMIF(Transaction!$B$2:$B$8421,A1061,Transaction!$H$2:$H$8421)</f>
        <v>3974</v>
      </c>
      <c r="M1061" s="6" t="n">
        <f aca="false">Summary!$B$3-J1061</f>
        <v>144</v>
      </c>
      <c r="N1061" s="6" t="str">
        <f aca="false">IF(K1061&gt;1,"Yes","No")</f>
        <v>No</v>
      </c>
      <c r="O1061" s="6" t="s">
        <v>48</v>
      </c>
    </row>
    <row r="1062" customFormat="false" ht="15" hidden="false" customHeight="false" outlineLevel="0" collapsed="false">
      <c r="A1062" s="6" t="s">
        <v>2233</v>
      </c>
      <c r="B1062" s="6" t="s">
        <v>2234</v>
      </c>
      <c r="C1062" s="6" t="s">
        <v>75</v>
      </c>
      <c r="D1062" s="6" t="n">
        <v>26</v>
      </c>
      <c r="E1062" s="6" t="s">
        <v>76</v>
      </c>
      <c r="F1062" s="6" t="s">
        <v>77</v>
      </c>
      <c r="G1062" s="26" t="n">
        <v>46147</v>
      </c>
      <c r="H1062" s="6" t="s">
        <v>115</v>
      </c>
      <c r="I1062" s="26" t="n">
        <f aca="false">_xlfn.MINIFS(Transaction!$C$2:$C$8421,Transaction!$B$2:$B$8421,A1062)</f>
        <v>46152</v>
      </c>
      <c r="J1062" s="26" t="n">
        <f aca="false">_xlfn.MAXIFS(Transaction!$C$2:$C$8421,Transaction!$B$2:$B$8421,A1062)</f>
        <v>46152</v>
      </c>
      <c r="K1062" s="6" t="n">
        <f aca="false">COUNTIF(Transaction!$B$2:$B$8421,A1062)</f>
        <v>1</v>
      </c>
      <c r="L1062" s="10" t="n">
        <f aca="false">SUMIF(Transaction!$B$2:$B$8421,A1062,Transaction!$H$2:$H$8421)</f>
        <v>500</v>
      </c>
      <c r="M1062" s="6" t="n">
        <f aca="false">Summary!$B$3-J1062</f>
        <v>114</v>
      </c>
      <c r="N1062" s="6" t="str">
        <f aca="false">IF(K1062&gt;1,"Yes","No")</f>
        <v>No</v>
      </c>
      <c r="O1062" s="6" t="s">
        <v>48</v>
      </c>
    </row>
    <row r="1063" customFormat="false" ht="15" hidden="false" customHeight="false" outlineLevel="0" collapsed="false">
      <c r="A1063" s="6" t="s">
        <v>2235</v>
      </c>
      <c r="B1063" s="6" t="s">
        <v>2236</v>
      </c>
      <c r="C1063" s="6" t="s">
        <v>75</v>
      </c>
      <c r="D1063" s="6" t="n">
        <v>36</v>
      </c>
      <c r="E1063" s="6" t="s">
        <v>86</v>
      </c>
      <c r="F1063" s="6" t="s">
        <v>87</v>
      </c>
      <c r="G1063" s="26" t="n">
        <v>46200</v>
      </c>
      <c r="H1063" s="6" t="s">
        <v>102</v>
      </c>
      <c r="I1063" s="26" t="n">
        <f aca="false">_xlfn.MINIFS(Transaction!$C$2:$C$8421,Transaction!$B$2:$B$8421,A1063)</f>
        <v>46265</v>
      </c>
      <c r="J1063" s="26" t="n">
        <f aca="false">_xlfn.MAXIFS(Transaction!$C$2:$C$8421,Transaction!$B$2:$B$8421,A1063)</f>
        <v>46265</v>
      </c>
      <c r="K1063" s="6" t="n">
        <f aca="false">COUNTIF(Transaction!$B$2:$B$8421,A1063)</f>
        <v>1</v>
      </c>
      <c r="L1063" s="10" t="n">
        <f aca="false">SUMIF(Transaction!$B$2:$B$8421,A1063,Transaction!$H$2:$H$8421)</f>
        <v>6453</v>
      </c>
      <c r="M1063" s="6" t="n">
        <f aca="false">Summary!$B$3-J1063</f>
        <v>1</v>
      </c>
      <c r="N1063" s="6" t="str">
        <f aca="false">IF(K1063&gt;1,"Yes","No")</f>
        <v>No</v>
      </c>
      <c r="O1063" s="6" t="s">
        <v>47</v>
      </c>
    </row>
    <row r="1064" customFormat="false" ht="15" hidden="false" customHeight="false" outlineLevel="0" collapsed="false">
      <c r="A1064" s="6" t="s">
        <v>2237</v>
      </c>
      <c r="B1064" s="6" t="s">
        <v>2238</v>
      </c>
      <c r="C1064" s="6" t="s">
        <v>85</v>
      </c>
      <c r="D1064" s="6" t="n">
        <v>27</v>
      </c>
      <c r="E1064" s="6" t="s">
        <v>86</v>
      </c>
      <c r="F1064" s="6" t="s">
        <v>87</v>
      </c>
      <c r="G1064" s="26" t="n">
        <v>46021</v>
      </c>
      <c r="H1064" s="6" t="s">
        <v>102</v>
      </c>
      <c r="I1064" s="26" t="n">
        <f aca="false">_xlfn.MINIFS(Transaction!$C$2:$C$8421,Transaction!$B$2:$B$8421,A1064)</f>
        <v>46077</v>
      </c>
      <c r="J1064" s="26" t="n">
        <f aca="false">_xlfn.MAXIFS(Transaction!$C$2:$C$8421,Transaction!$B$2:$B$8421,A1064)</f>
        <v>46237</v>
      </c>
      <c r="K1064" s="6" t="n">
        <f aca="false">COUNTIF(Transaction!$B$2:$B$8421,A1064)</f>
        <v>5</v>
      </c>
      <c r="L1064" s="10" t="n">
        <f aca="false">SUMIF(Transaction!$B$2:$B$8421,A1064,Transaction!$H$2:$H$8421)</f>
        <v>7371</v>
      </c>
      <c r="M1064" s="6" t="n">
        <f aca="false">Summary!$B$3-J1064</f>
        <v>29</v>
      </c>
      <c r="N1064" s="6" t="str">
        <f aca="false">IF(K1064&gt;1,"Yes","No")</f>
        <v>Yes</v>
      </c>
      <c r="O1064" s="6" t="s">
        <v>46</v>
      </c>
    </row>
    <row r="1065" customFormat="false" ht="15" hidden="false" customHeight="false" outlineLevel="0" collapsed="false">
      <c r="A1065" s="6" t="s">
        <v>2239</v>
      </c>
      <c r="B1065" s="6" t="s">
        <v>2240</v>
      </c>
      <c r="C1065" s="6" t="s">
        <v>75</v>
      </c>
      <c r="D1065" s="6" t="n">
        <v>34</v>
      </c>
      <c r="E1065" s="6" t="s">
        <v>98</v>
      </c>
      <c r="F1065" s="6" t="s">
        <v>99</v>
      </c>
      <c r="G1065" s="26" t="n">
        <v>46219</v>
      </c>
      <c r="H1065" s="6" t="s">
        <v>88</v>
      </c>
      <c r="I1065" s="26" t="n">
        <f aca="false">_xlfn.MINIFS(Transaction!$C$2:$C$8421,Transaction!$B$2:$B$8421,A1065)</f>
        <v>46221</v>
      </c>
      <c r="J1065" s="26" t="n">
        <f aca="false">_xlfn.MAXIFS(Transaction!$C$2:$C$8421,Transaction!$B$2:$B$8421,A1065)</f>
        <v>46221</v>
      </c>
      <c r="K1065" s="6" t="n">
        <f aca="false">COUNTIF(Transaction!$B$2:$B$8421,A1065)</f>
        <v>1</v>
      </c>
      <c r="L1065" s="10" t="n">
        <f aca="false">SUMIF(Transaction!$B$2:$B$8421,A1065,Transaction!$H$2:$H$8421)</f>
        <v>4692</v>
      </c>
      <c r="M1065" s="6" t="n">
        <f aca="false">Summary!$B$3-J1065</f>
        <v>45</v>
      </c>
      <c r="N1065" s="6" t="str">
        <f aca="false">IF(K1065&gt;1,"Yes","No")</f>
        <v>No</v>
      </c>
      <c r="O1065" s="6" t="s">
        <v>47</v>
      </c>
    </row>
    <row r="1066" customFormat="false" ht="15" hidden="false" customHeight="false" outlineLevel="0" collapsed="false">
      <c r="A1066" s="6" t="s">
        <v>2241</v>
      </c>
      <c r="B1066" s="6" t="s">
        <v>2242</v>
      </c>
      <c r="C1066" s="6" t="s">
        <v>85</v>
      </c>
      <c r="D1066" s="6" t="n">
        <v>33</v>
      </c>
      <c r="E1066" s="6" t="s">
        <v>146</v>
      </c>
      <c r="F1066" s="6" t="s">
        <v>147</v>
      </c>
      <c r="G1066" s="26" t="n">
        <v>46022</v>
      </c>
      <c r="H1066" s="6" t="s">
        <v>88</v>
      </c>
      <c r="I1066" s="26" t="n">
        <f aca="false">_xlfn.MINIFS(Transaction!$C$2:$C$8421,Transaction!$B$2:$B$8421,A1066)</f>
        <v>46052</v>
      </c>
      <c r="J1066" s="26" t="n">
        <f aca="false">_xlfn.MAXIFS(Transaction!$C$2:$C$8421,Transaction!$B$2:$B$8421,A1066)</f>
        <v>46221</v>
      </c>
      <c r="K1066" s="6" t="n">
        <f aca="false">COUNTIF(Transaction!$B$2:$B$8421,A1066)</f>
        <v>4</v>
      </c>
      <c r="L1066" s="10" t="n">
        <f aca="false">SUMIF(Transaction!$B$2:$B$8421,A1066,Transaction!$H$2:$H$8421)</f>
        <v>4147</v>
      </c>
      <c r="M1066" s="6" t="n">
        <f aca="false">Summary!$B$3-J1066</f>
        <v>45</v>
      </c>
      <c r="N1066" s="6" t="str">
        <f aca="false">IF(K1066&gt;1,"Yes","No")</f>
        <v>Yes</v>
      </c>
      <c r="O1066" s="6" t="s">
        <v>46</v>
      </c>
    </row>
    <row r="1067" customFormat="false" ht="15" hidden="false" customHeight="false" outlineLevel="0" collapsed="false">
      <c r="A1067" s="6" t="s">
        <v>2243</v>
      </c>
      <c r="B1067" s="6" t="s">
        <v>2244</v>
      </c>
      <c r="C1067" s="6" t="s">
        <v>75</v>
      </c>
      <c r="D1067" s="6" t="n">
        <v>24</v>
      </c>
      <c r="E1067" s="6" t="s">
        <v>121</v>
      </c>
      <c r="F1067" s="6" t="s">
        <v>122</v>
      </c>
      <c r="G1067" s="26" t="n">
        <v>45942</v>
      </c>
      <c r="H1067" s="6" t="s">
        <v>115</v>
      </c>
      <c r="I1067" s="26" t="n">
        <f aca="false">_xlfn.MINIFS(Transaction!$C$2:$C$8421,Transaction!$B$2:$B$8421,A1067)</f>
        <v>46028</v>
      </c>
      <c r="J1067" s="26" t="n">
        <f aca="false">_xlfn.MAXIFS(Transaction!$C$2:$C$8421,Transaction!$B$2:$B$8421,A1067)</f>
        <v>46253</v>
      </c>
      <c r="K1067" s="6" t="n">
        <f aca="false">COUNTIF(Transaction!$B$2:$B$8421,A1067)</f>
        <v>8</v>
      </c>
      <c r="L1067" s="10" t="n">
        <f aca="false">SUMIF(Transaction!$B$2:$B$8421,A1067,Transaction!$H$2:$H$8421)</f>
        <v>13394</v>
      </c>
      <c r="M1067" s="6" t="n">
        <f aca="false">Summary!$B$3-J1067</f>
        <v>13</v>
      </c>
      <c r="N1067" s="6" t="str">
        <f aca="false">IF(K1067&gt;1,"Yes","No")</f>
        <v>Yes</v>
      </c>
      <c r="O1067" s="6" t="s">
        <v>45</v>
      </c>
    </row>
    <row r="1068" customFormat="false" ht="15" hidden="false" customHeight="false" outlineLevel="0" collapsed="false">
      <c r="A1068" s="6" t="s">
        <v>2245</v>
      </c>
      <c r="B1068" s="6" t="s">
        <v>2246</v>
      </c>
      <c r="C1068" s="6" t="s">
        <v>75</v>
      </c>
      <c r="D1068" s="6" t="n">
        <v>25</v>
      </c>
      <c r="E1068" s="6" t="s">
        <v>98</v>
      </c>
      <c r="F1068" s="6" t="s">
        <v>99</v>
      </c>
      <c r="G1068" s="26" t="n">
        <v>46099</v>
      </c>
      <c r="H1068" s="6" t="s">
        <v>88</v>
      </c>
      <c r="I1068" s="26" t="n">
        <f aca="false">_xlfn.MINIFS(Transaction!$C$2:$C$8421,Transaction!$B$2:$B$8421,A1068)</f>
        <v>46150</v>
      </c>
      <c r="J1068" s="26" t="n">
        <f aca="false">_xlfn.MAXIFS(Transaction!$C$2:$C$8421,Transaction!$B$2:$B$8421,A1068)</f>
        <v>46150</v>
      </c>
      <c r="K1068" s="6" t="n">
        <f aca="false">COUNTIF(Transaction!$B$2:$B$8421,A1068)</f>
        <v>1</v>
      </c>
      <c r="L1068" s="10" t="n">
        <f aca="false">SUMIF(Transaction!$B$2:$B$8421,A1068,Transaction!$H$2:$H$8421)</f>
        <v>4890</v>
      </c>
      <c r="M1068" s="6" t="n">
        <f aca="false">Summary!$B$3-J1068</f>
        <v>116</v>
      </c>
      <c r="N1068" s="6" t="str">
        <f aca="false">IF(K1068&gt;1,"Yes","No")</f>
        <v>No</v>
      </c>
      <c r="O1068" s="6" t="s">
        <v>48</v>
      </c>
    </row>
    <row r="1069" customFormat="false" ht="15" hidden="false" customHeight="false" outlineLevel="0" collapsed="false">
      <c r="A1069" s="6" t="s">
        <v>2247</v>
      </c>
      <c r="B1069" s="6" t="s">
        <v>2248</v>
      </c>
      <c r="C1069" s="6" t="s">
        <v>75</v>
      </c>
      <c r="D1069" s="6" t="n">
        <v>65</v>
      </c>
      <c r="E1069" s="6" t="s">
        <v>176</v>
      </c>
      <c r="F1069" s="6" t="s">
        <v>177</v>
      </c>
      <c r="G1069" s="26" t="n">
        <v>46186</v>
      </c>
      <c r="H1069" s="6" t="s">
        <v>123</v>
      </c>
      <c r="I1069" s="26" t="n">
        <f aca="false">_xlfn.MINIFS(Transaction!$C$2:$C$8421,Transaction!$B$2:$B$8421,A1069)</f>
        <v>46189</v>
      </c>
      <c r="J1069" s="26" t="n">
        <f aca="false">_xlfn.MAXIFS(Transaction!$C$2:$C$8421,Transaction!$B$2:$B$8421,A1069)</f>
        <v>46189</v>
      </c>
      <c r="K1069" s="6" t="n">
        <f aca="false">COUNTIF(Transaction!$B$2:$B$8421,A1069)</f>
        <v>1</v>
      </c>
      <c r="L1069" s="10" t="n">
        <f aca="false">SUMIF(Transaction!$B$2:$B$8421,A1069,Transaction!$H$2:$H$8421)</f>
        <v>9686</v>
      </c>
      <c r="M1069" s="6" t="n">
        <f aca="false">Summary!$B$3-J1069</f>
        <v>77</v>
      </c>
      <c r="N1069" s="6" t="str">
        <f aca="false">IF(K1069&gt;1,"Yes","No")</f>
        <v>No</v>
      </c>
      <c r="O1069" s="6" t="s">
        <v>47</v>
      </c>
    </row>
    <row r="1070" customFormat="false" ht="15" hidden="false" customHeight="false" outlineLevel="0" collapsed="false">
      <c r="A1070" s="6" t="s">
        <v>2249</v>
      </c>
      <c r="B1070" s="6" t="s">
        <v>2250</v>
      </c>
      <c r="C1070" s="6" t="s">
        <v>75</v>
      </c>
      <c r="D1070" s="6" t="n">
        <v>45</v>
      </c>
      <c r="E1070" s="6" t="s">
        <v>95</v>
      </c>
      <c r="F1070" s="6" t="s">
        <v>95</v>
      </c>
      <c r="G1070" s="26" t="n">
        <v>46036</v>
      </c>
      <c r="H1070" s="6" t="s">
        <v>92</v>
      </c>
      <c r="I1070" s="26" t="n">
        <f aca="false">_xlfn.MINIFS(Transaction!$C$2:$C$8421,Transaction!$B$2:$B$8421,A1070)</f>
        <v>46079</v>
      </c>
      <c r="J1070" s="26" t="n">
        <f aca="false">_xlfn.MAXIFS(Transaction!$C$2:$C$8421,Transaction!$B$2:$B$8421,A1070)</f>
        <v>46079</v>
      </c>
      <c r="K1070" s="6" t="n">
        <f aca="false">COUNTIF(Transaction!$B$2:$B$8421,A1070)</f>
        <v>1</v>
      </c>
      <c r="L1070" s="10" t="n">
        <f aca="false">SUMIF(Transaction!$B$2:$B$8421,A1070,Transaction!$H$2:$H$8421)</f>
        <v>1016</v>
      </c>
      <c r="M1070" s="6" t="n">
        <f aca="false">Summary!$B$3-J1070</f>
        <v>187</v>
      </c>
      <c r="N1070" s="6" t="str">
        <f aca="false">IF(K1070&gt;1,"Yes","No")</f>
        <v>No</v>
      </c>
      <c r="O1070" s="6" t="s">
        <v>49</v>
      </c>
    </row>
    <row r="1071" customFormat="false" ht="15" hidden="false" customHeight="false" outlineLevel="0" collapsed="false">
      <c r="A1071" s="6" t="s">
        <v>2251</v>
      </c>
      <c r="B1071" s="6" t="s">
        <v>2252</v>
      </c>
      <c r="C1071" s="6" t="s">
        <v>85</v>
      </c>
      <c r="D1071" s="6" t="n">
        <v>39</v>
      </c>
      <c r="E1071" s="6" t="s">
        <v>321</v>
      </c>
      <c r="F1071" s="6" t="s">
        <v>321</v>
      </c>
      <c r="G1071" s="26" t="n">
        <v>46160</v>
      </c>
      <c r="H1071" s="6" t="s">
        <v>115</v>
      </c>
      <c r="I1071" s="26" t="n">
        <f aca="false">_xlfn.MINIFS(Transaction!$C$2:$C$8421,Transaction!$B$2:$B$8421,A1071)</f>
        <v>46170</v>
      </c>
      <c r="J1071" s="26" t="n">
        <f aca="false">_xlfn.MAXIFS(Transaction!$C$2:$C$8421,Transaction!$B$2:$B$8421,A1071)</f>
        <v>46170</v>
      </c>
      <c r="K1071" s="6" t="n">
        <f aca="false">COUNTIF(Transaction!$B$2:$B$8421,A1071)</f>
        <v>1</v>
      </c>
      <c r="L1071" s="10" t="n">
        <f aca="false">SUMIF(Transaction!$B$2:$B$8421,A1071,Transaction!$H$2:$H$8421)</f>
        <v>2115</v>
      </c>
      <c r="M1071" s="6" t="n">
        <f aca="false">Summary!$B$3-J1071</f>
        <v>96</v>
      </c>
      <c r="N1071" s="6" t="str">
        <f aca="false">IF(K1071&gt;1,"Yes","No")</f>
        <v>No</v>
      </c>
      <c r="O1071" s="6" t="s">
        <v>48</v>
      </c>
    </row>
    <row r="1072" customFormat="false" ht="15" hidden="false" customHeight="false" outlineLevel="0" collapsed="false">
      <c r="A1072" s="6" t="s">
        <v>2253</v>
      </c>
      <c r="B1072" s="6" t="s">
        <v>2254</v>
      </c>
      <c r="C1072" s="6" t="s">
        <v>85</v>
      </c>
      <c r="D1072" s="6" t="n">
        <v>29</v>
      </c>
      <c r="E1072" s="6" t="s">
        <v>95</v>
      </c>
      <c r="F1072" s="6" t="s">
        <v>95</v>
      </c>
      <c r="G1072" s="26" t="n">
        <v>46116</v>
      </c>
      <c r="H1072" s="6" t="s">
        <v>123</v>
      </c>
      <c r="I1072" s="26" t="n">
        <f aca="false">_xlfn.MINIFS(Transaction!$C$2:$C$8421,Transaction!$B$2:$B$8421,A1072)</f>
        <v>46123</v>
      </c>
      <c r="J1072" s="26" t="n">
        <f aca="false">_xlfn.MAXIFS(Transaction!$C$2:$C$8421,Transaction!$B$2:$B$8421,A1072)</f>
        <v>46123</v>
      </c>
      <c r="K1072" s="6" t="n">
        <f aca="false">COUNTIF(Transaction!$B$2:$B$8421,A1072)</f>
        <v>1</v>
      </c>
      <c r="L1072" s="10" t="n">
        <f aca="false">SUMIF(Transaction!$B$2:$B$8421,A1072,Transaction!$H$2:$H$8421)</f>
        <v>707</v>
      </c>
      <c r="M1072" s="6" t="n">
        <f aca="false">Summary!$B$3-J1072</f>
        <v>143</v>
      </c>
      <c r="N1072" s="6" t="str">
        <f aca="false">IF(K1072&gt;1,"Yes","No")</f>
        <v>No</v>
      </c>
      <c r="O1072" s="6" t="s">
        <v>48</v>
      </c>
    </row>
    <row r="1073" customFormat="false" ht="15" hidden="false" customHeight="false" outlineLevel="0" collapsed="false">
      <c r="A1073" s="6" t="s">
        <v>2255</v>
      </c>
      <c r="B1073" s="6" t="s">
        <v>2256</v>
      </c>
      <c r="C1073" s="6" t="s">
        <v>85</v>
      </c>
      <c r="D1073" s="6" t="n">
        <v>38</v>
      </c>
      <c r="E1073" s="6" t="s">
        <v>81</v>
      </c>
      <c r="F1073" s="6" t="s">
        <v>82</v>
      </c>
      <c r="G1073" s="26" t="n">
        <v>46040</v>
      </c>
      <c r="H1073" s="6" t="s">
        <v>115</v>
      </c>
      <c r="I1073" s="26" t="n">
        <f aca="false">_xlfn.MINIFS(Transaction!$C$2:$C$8421,Transaction!$B$2:$B$8421,A1073)</f>
        <v>46075</v>
      </c>
      <c r="J1073" s="26" t="n">
        <f aca="false">_xlfn.MAXIFS(Transaction!$C$2:$C$8421,Transaction!$B$2:$B$8421,A1073)</f>
        <v>46214</v>
      </c>
      <c r="K1073" s="6" t="n">
        <f aca="false">COUNTIF(Transaction!$B$2:$B$8421,A1073)</f>
        <v>3</v>
      </c>
      <c r="L1073" s="10" t="n">
        <f aca="false">SUMIF(Transaction!$B$2:$B$8421,A1073,Transaction!$H$2:$H$8421)</f>
        <v>3987</v>
      </c>
      <c r="M1073" s="6" t="n">
        <f aca="false">Summary!$B$3-J1073</f>
        <v>52</v>
      </c>
      <c r="N1073" s="6" t="str">
        <f aca="false">IF(K1073&gt;1,"Yes","No")</f>
        <v>Yes</v>
      </c>
      <c r="O1073" s="6" t="s">
        <v>46</v>
      </c>
    </row>
    <row r="1074" customFormat="false" ht="15" hidden="false" customHeight="false" outlineLevel="0" collapsed="false">
      <c r="A1074" s="6" t="s">
        <v>2257</v>
      </c>
      <c r="B1074" s="6" t="s">
        <v>2258</v>
      </c>
      <c r="C1074" s="6" t="s">
        <v>75</v>
      </c>
      <c r="D1074" s="6" t="n">
        <v>41</v>
      </c>
      <c r="E1074" s="6" t="s">
        <v>91</v>
      </c>
      <c r="F1074" s="6" t="s">
        <v>77</v>
      </c>
      <c r="G1074" s="26" t="n">
        <v>46207</v>
      </c>
      <c r="H1074" s="6" t="s">
        <v>115</v>
      </c>
      <c r="I1074" s="26" t="n">
        <f aca="false">_xlfn.MINIFS(Transaction!$C$2:$C$8421,Transaction!$B$2:$B$8421,A1074)</f>
        <v>46252</v>
      </c>
      <c r="J1074" s="26" t="n">
        <f aca="false">_xlfn.MAXIFS(Transaction!$C$2:$C$8421,Transaction!$B$2:$B$8421,A1074)</f>
        <v>46252</v>
      </c>
      <c r="K1074" s="6" t="n">
        <f aca="false">COUNTIF(Transaction!$B$2:$B$8421,A1074)</f>
        <v>1</v>
      </c>
      <c r="L1074" s="10" t="n">
        <f aca="false">SUMIF(Transaction!$B$2:$B$8421,A1074,Transaction!$H$2:$H$8421)</f>
        <v>5468</v>
      </c>
      <c r="M1074" s="6" t="n">
        <f aca="false">Summary!$B$3-J1074</f>
        <v>14</v>
      </c>
      <c r="N1074" s="6" t="str">
        <f aca="false">IF(K1074&gt;1,"Yes","No")</f>
        <v>No</v>
      </c>
      <c r="O1074" s="6" t="s">
        <v>47</v>
      </c>
    </row>
    <row r="1075" customFormat="false" ht="15" hidden="false" customHeight="false" outlineLevel="0" collapsed="false">
      <c r="A1075" s="6" t="s">
        <v>2259</v>
      </c>
      <c r="B1075" s="6" t="s">
        <v>2260</v>
      </c>
      <c r="C1075" s="6" t="s">
        <v>85</v>
      </c>
      <c r="D1075" s="6" t="n">
        <v>35</v>
      </c>
      <c r="E1075" s="6" t="s">
        <v>105</v>
      </c>
      <c r="F1075" s="6" t="s">
        <v>106</v>
      </c>
      <c r="G1075" s="26" t="n">
        <v>46022</v>
      </c>
      <c r="H1075" s="6" t="s">
        <v>115</v>
      </c>
      <c r="I1075" s="26" t="n">
        <f aca="false">_xlfn.MINIFS(Transaction!$C$2:$C$8421,Transaction!$B$2:$B$8421,A1075)</f>
        <v>46051</v>
      </c>
      <c r="J1075" s="26" t="n">
        <f aca="false">_xlfn.MAXIFS(Transaction!$C$2:$C$8421,Transaction!$B$2:$B$8421,A1075)</f>
        <v>46051</v>
      </c>
      <c r="K1075" s="6" t="n">
        <f aca="false">COUNTIF(Transaction!$B$2:$B$8421,A1075)</f>
        <v>1</v>
      </c>
      <c r="L1075" s="10" t="n">
        <f aca="false">SUMIF(Transaction!$B$2:$B$8421,A1075,Transaction!$H$2:$H$8421)</f>
        <v>773</v>
      </c>
      <c r="M1075" s="6" t="n">
        <f aca="false">Summary!$B$3-J1075</f>
        <v>215</v>
      </c>
      <c r="N1075" s="6" t="str">
        <f aca="false">IF(K1075&gt;1,"Yes","No")</f>
        <v>No</v>
      </c>
      <c r="O1075" s="6" t="s">
        <v>49</v>
      </c>
    </row>
    <row r="1076" customFormat="false" ht="15" hidden="false" customHeight="false" outlineLevel="0" collapsed="false">
      <c r="A1076" s="6" t="s">
        <v>2261</v>
      </c>
      <c r="B1076" s="6" t="s">
        <v>2262</v>
      </c>
      <c r="C1076" s="6" t="s">
        <v>75</v>
      </c>
      <c r="D1076" s="6" t="n">
        <v>25</v>
      </c>
      <c r="E1076" s="6" t="s">
        <v>146</v>
      </c>
      <c r="F1076" s="6" t="s">
        <v>147</v>
      </c>
      <c r="G1076" s="26" t="n">
        <v>46114</v>
      </c>
      <c r="H1076" s="6" t="s">
        <v>102</v>
      </c>
      <c r="I1076" s="26" t="n">
        <f aca="false">_xlfn.MINIFS(Transaction!$C$2:$C$8421,Transaction!$B$2:$B$8421,A1076)</f>
        <v>46154</v>
      </c>
      <c r="J1076" s="26" t="n">
        <f aca="false">_xlfn.MAXIFS(Transaction!$C$2:$C$8421,Transaction!$B$2:$B$8421,A1076)</f>
        <v>46154</v>
      </c>
      <c r="K1076" s="6" t="n">
        <f aca="false">COUNTIF(Transaction!$B$2:$B$8421,A1076)</f>
        <v>1</v>
      </c>
      <c r="L1076" s="10" t="n">
        <f aca="false">SUMIF(Transaction!$B$2:$B$8421,A1076,Transaction!$H$2:$H$8421)</f>
        <v>734</v>
      </c>
      <c r="M1076" s="6" t="n">
        <f aca="false">Summary!$B$3-J1076</f>
        <v>112</v>
      </c>
      <c r="N1076" s="6" t="str">
        <f aca="false">IF(K1076&gt;1,"Yes","No")</f>
        <v>No</v>
      </c>
      <c r="O1076" s="6" t="s">
        <v>48</v>
      </c>
    </row>
    <row r="1077" customFormat="false" ht="15" hidden="false" customHeight="false" outlineLevel="0" collapsed="false">
      <c r="A1077" s="6" t="s">
        <v>2263</v>
      </c>
      <c r="B1077" s="6" t="s">
        <v>2264</v>
      </c>
      <c r="C1077" s="6" t="s">
        <v>85</v>
      </c>
      <c r="D1077" s="6" t="n">
        <v>32</v>
      </c>
      <c r="E1077" s="6" t="s">
        <v>146</v>
      </c>
      <c r="F1077" s="6" t="s">
        <v>147</v>
      </c>
      <c r="G1077" s="26" t="n">
        <v>45989</v>
      </c>
      <c r="H1077" s="6" t="s">
        <v>78</v>
      </c>
      <c r="I1077" s="26" t="n">
        <f aca="false">_xlfn.MINIFS(Transaction!$C$2:$C$8421,Transaction!$B$2:$B$8421,A1077)</f>
        <v>46044</v>
      </c>
      <c r="J1077" s="26" t="n">
        <f aca="false">_xlfn.MAXIFS(Transaction!$C$2:$C$8421,Transaction!$B$2:$B$8421,A1077)</f>
        <v>46044</v>
      </c>
      <c r="K1077" s="6" t="n">
        <f aca="false">COUNTIF(Transaction!$B$2:$B$8421,A1077)</f>
        <v>1</v>
      </c>
      <c r="L1077" s="10" t="n">
        <f aca="false">SUMIF(Transaction!$B$2:$B$8421,A1077,Transaction!$H$2:$H$8421)</f>
        <v>785</v>
      </c>
      <c r="M1077" s="6" t="n">
        <f aca="false">Summary!$B$3-J1077</f>
        <v>222</v>
      </c>
      <c r="N1077" s="6" t="str">
        <f aca="false">IF(K1077&gt;1,"Yes","No")</f>
        <v>No</v>
      </c>
      <c r="O1077" s="6" t="s">
        <v>49</v>
      </c>
    </row>
    <row r="1078" customFormat="false" ht="15" hidden="false" customHeight="false" outlineLevel="0" collapsed="false">
      <c r="A1078" s="6" t="s">
        <v>2265</v>
      </c>
      <c r="B1078" s="6" t="s">
        <v>2266</v>
      </c>
      <c r="C1078" s="6" t="s">
        <v>75</v>
      </c>
      <c r="D1078" s="6" t="n">
        <v>38</v>
      </c>
      <c r="E1078" s="6" t="s">
        <v>264</v>
      </c>
      <c r="F1078" s="6" t="s">
        <v>106</v>
      </c>
      <c r="G1078" s="26" t="n">
        <v>46026</v>
      </c>
      <c r="H1078" s="6" t="s">
        <v>115</v>
      </c>
      <c r="I1078" s="26" t="n">
        <f aca="false">_xlfn.MINIFS(Transaction!$C$2:$C$8421,Transaction!$B$2:$B$8421,A1078)</f>
        <v>46032</v>
      </c>
      <c r="J1078" s="26" t="n">
        <f aca="false">_xlfn.MAXIFS(Transaction!$C$2:$C$8421,Transaction!$B$2:$B$8421,A1078)</f>
        <v>46032</v>
      </c>
      <c r="K1078" s="6" t="n">
        <f aca="false">COUNTIF(Transaction!$B$2:$B$8421,A1078)</f>
        <v>1</v>
      </c>
      <c r="L1078" s="10" t="n">
        <f aca="false">SUMIF(Transaction!$B$2:$B$8421,A1078,Transaction!$H$2:$H$8421)</f>
        <v>334</v>
      </c>
      <c r="M1078" s="6" t="n">
        <f aca="false">Summary!$B$3-J1078</f>
        <v>234</v>
      </c>
      <c r="N1078" s="6" t="str">
        <f aca="false">IF(K1078&gt;1,"Yes","No")</f>
        <v>No</v>
      </c>
      <c r="O1078" s="6" t="s">
        <v>49</v>
      </c>
    </row>
    <row r="1079" customFormat="false" ht="15" hidden="false" customHeight="false" outlineLevel="0" collapsed="false">
      <c r="A1079" s="6" t="s">
        <v>2267</v>
      </c>
      <c r="B1079" s="6" t="s">
        <v>2268</v>
      </c>
      <c r="C1079" s="6" t="s">
        <v>85</v>
      </c>
      <c r="D1079" s="6" t="n">
        <v>27</v>
      </c>
      <c r="E1079" s="6" t="s">
        <v>86</v>
      </c>
      <c r="F1079" s="6" t="s">
        <v>87</v>
      </c>
      <c r="G1079" s="26" t="n">
        <v>46109</v>
      </c>
      <c r="H1079" s="6" t="s">
        <v>123</v>
      </c>
      <c r="I1079" s="26" t="n">
        <f aca="false">_xlfn.MINIFS(Transaction!$C$2:$C$8421,Transaction!$B$2:$B$8421,A1079)</f>
        <v>46124</v>
      </c>
      <c r="J1079" s="26" t="n">
        <f aca="false">_xlfn.MAXIFS(Transaction!$C$2:$C$8421,Transaction!$B$2:$B$8421,A1079)</f>
        <v>46124</v>
      </c>
      <c r="K1079" s="6" t="n">
        <f aca="false">COUNTIF(Transaction!$B$2:$B$8421,A1079)</f>
        <v>1</v>
      </c>
      <c r="L1079" s="10" t="n">
        <f aca="false">SUMIF(Transaction!$B$2:$B$8421,A1079,Transaction!$H$2:$H$8421)</f>
        <v>2820</v>
      </c>
      <c r="M1079" s="6" t="n">
        <f aca="false">Summary!$B$3-J1079</f>
        <v>142</v>
      </c>
      <c r="N1079" s="6" t="str">
        <f aca="false">IF(K1079&gt;1,"Yes","No")</f>
        <v>No</v>
      </c>
      <c r="O1079" s="6" t="s">
        <v>48</v>
      </c>
    </row>
    <row r="1080" customFormat="false" ht="15" hidden="false" customHeight="false" outlineLevel="0" collapsed="false">
      <c r="A1080" s="6" t="s">
        <v>2269</v>
      </c>
      <c r="B1080" s="6" t="s">
        <v>2270</v>
      </c>
      <c r="C1080" s="6" t="s">
        <v>85</v>
      </c>
      <c r="D1080" s="6" t="n">
        <v>43</v>
      </c>
      <c r="E1080" s="6" t="s">
        <v>105</v>
      </c>
      <c r="F1080" s="6" t="s">
        <v>106</v>
      </c>
      <c r="G1080" s="26" t="n">
        <v>46013</v>
      </c>
      <c r="H1080" s="6" t="s">
        <v>92</v>
      </c>
      <c r="I1080" s="26" t="n">
        <f aca="false">_xlfn.MINIFS(Transaction!$C$2:$C$8421,Transaction!$B$2:$B$8421,A1080)</f>
        <v>46084</v>
      </c>
      <c r="J1080" s="26" t="n">
        <f aca="false">_xlfn.MAXIFS(Transaction!$C$2:$C$8421,Transaction!$B$2:$B$8421,A1080)</f>
        <v>46258</v>
      </c>
      <c r="K1080" s="6" t="n">
        <f aca="false">COUNTIF(Transaction!$B$2:$B$8421,A1080)</f>
        <v>9</v>
      </c>
      <c r="L1080" s="10" t="n">
        <f aca="false">SUMIF(Transaction!$B$2:$B$8421,A1080,Transaction!$H$2:$H$8421)</f>
        <v>15200</v>
      </c>
      <c r="M1080" s="6" t="n">
        <f aca="false">Summary!$B$3-J1080</f>
        <v>8</v>
      </c>
      <c r="N1080" s="6" t="str">
        <f aca="false">IF(K1080&gt;1,"Yes","No")</f>
        <v>Yes</v>
      </c>
      <c r="O1080" s="6" t="s">
        <v>45</v>
      </c>
    </row>
    <row r="1081" customFormat="false" ht="15" hidden="false" customHeight="false" outlineLevel="0" collapsed="false">
      <c r="A1081" s="6" t="s">
        <v>2271</v>
      </c>
      <c r="B1081" s="6" t="s">
        <v>2272</v>
      </c>
      <c r="C1081" s="6" t="s">
        <v>85</v>
      </c>
      <c r="D1081" s="6" t="n">
        <v>18</v>
      </c>
      <c r="E1081" s="6" t="s">
        <v>206</v>
      </c>
      <c r="F1081" s="6" t="s">
        <v>106</v>
      </c>
      <c r="G1081" s="26" t="n">
        <v>46045</v>
      </c>
      <c r="H1081" s="6" t="s">
        <v>78</v>
      </c>
      <c r="I1081" s="26" t="n">
        <f aca="false">_xlfn.MINIFS(Transaction!$C$2:$C$8421,Transaction!$B$2:$B$8421,A1081)</f>
        <v>46091</v>
      </c>
      <c r="J1081" s="26" t="n">
        <f aca="false">_xlfn.MAXIFS(Transaction!$C$2:$C$8421,Transaction!$B$2:$B$8421,A1081)</f>
        <v>46227</v>
      </c>
      <c r="K1081" s="6" t="n">
        <f aca="false">COUNTIF(Transaction!$B$2:$B$8421,A1081)</f>
        <v>3</v>
      </c>
      <c r="L1081" s="10" t="n">
        <f aca="false">SUMIF(Transaction!$B$2:$B$8421,A1081,Transaction!$H$2:$H$8421)</f>
        <v>2665</v>
      </c>
      <c r="M1081" s="6" t="n">
        <f aca="false">Summary!$B$3-J1081</f>
        <v>39</v>
      </c>
      <c r="N1081" s="6" t="str">
        <f aca="false">IF(K1081&gt;1,"Yes","No")</f>
        <v>Yes</v>
      </c>
      <c r="O1081" s="6" t="s">
        <v>46</v>
      </c>
    </row>
    <row r="1082" customFormat="false" ht="15" hidden="false" customHeight="false" outlineLevel="0" collapsed="false">
      <c r="A1082" s="6" t="s">
        <v>2273</v>
      </c>
      <c r="B1082" s="6" t="s">
        <v>2274</v>
      </c>
      <c r="C1082" s="6" t="s">
        <v>85</v>
      </c>
      <c r="D1082" s="6" t="n">
        <v>20</v>
      </c>
      <c r="E1082" s="6" t="s">
        <v>81</v>
      </c>
      <c r="F1082" s="6" t="s">
        <v>82</v>
      </c>
      <c r="G1082" s="26" t="n">
        <v>45960</v>
      </c>
      <c r="H1082" s="6" t="s">
        <v>92</v>
      </c>
      <c r="I1082" s="26" t="n">
        <f aca="false">_xlfn.MINIFS(Transaction!$C$2:$C$8421,Transaction!$B$2:$B$8421,A1082)</f>
        <v>46036</v>
      </c>
      <c r="J1082" s="26" t="n">
        <f aca="false">_xlfn.MAXIFS(Transaction!$C$2:$C$8421,Transaction!$B$2:$B$8421,A1082)</f>
        <v>46201</v>
      </c>
      <c r="K1082" s="6" t="n">
        <f aca="false">COUNTIF(Transaction!$B$2:$B$8421,A1082)</f>
        <v>7</v>
      </c>
      <c r="L1082" s="10" t="n">
        <f aca="false">SUMIF(Transaction!$B$2:$B$8421,A1082,Transaction!$H$2:$H$8421)</f>
        <v>28712</v>
      </c>
      <c r="M1082" s="6" t="n">
        <f aca="false">Summary!$B$3-J1082</f>
        <v>65</v>
      </c>
      <c r="N1082" s="6" t="str">
        <f aca="false">IF(K1082&gt;1,"Yes","No")</f>
        <v>Yes</v>
      </c>
      <c r="O1082" s="6" t="s">
        <v>46</v>
      </c>
    </row>
    <row r="1083" customFormat="false" ht="15" hidden="false" customHeight="false" outlineLevel="0" collapsed="false">
      <c r="A1083" s="6" t="s">
        <v>2275</v>
      </c>
      <c r="B1083" s="6" t="s">
        <v>2276</v>
      </c>
      <c r="C1083" s="6" t="s">
        <v>75</v>
      </c>
      <c r="D1083" s="6" t="n">
        <v>40</v>
      </c>
      <c r="E1083" s="6" t="s">
        <v>95</v>
      </c>
      <c r="F1083" s="6" t="s">
        <v>95</v>
      </c>
      <c r="G1083" s="26" t="n">
        <v>46096</v>
      </c>
      <c r="H1083" s="6" t="s">
        <v>78</v>
      </c>
      <c r="I1083" s="26" t="n">
        <f aca="false">_xlfn.MINIFS(Transaction!$C$2:$C$8421,Transaction!$B$2:$B$8421,A1083)</f>
        <v>46165</v>
      </c>
      <c r="J1083" s="26" t="n">
        <f aca="false">_xlfn.MAXIFS(Transaction!$C$2:$C$8421,Transaction!$B$2:$B$8421,A1083)</f>
        <v>46165</v>
      </c>
      <c r="K1083" s="6" t="n">
        <f aca="false">COUNTIF(Transaction!$B$2:$B$8421,A1083)</f>
        <v>1</v>
      </c>
      <c r="L1083" s="10" t="n">
        <f aca="false">SUMIF(Transaction!$B$2:$B$8421,A1083,Transaction!$H$2:$H$8421)</f>
        <v>530</v>
      </c>
      <c r="M1083" s="6" t="n">
        <f aca="false">Summary!$B$3-J1083</f>
        <v>101</v>
      </c>
      <c r="N1083" s="6" t="str">
        <f aca="false">IF(K1083&gt;1,"Yes","No")</f>
        <v>No</v>
      </c>
      <c r="O1083" s="6" t="s">
        <v>48</v>
      </c>
    </row>
    <row r="1084" customFormat="false" ht="15" hidden="false" customHeight="false" outlineLevel="0" collapsed="false">
      <c r="A1084" s="6" t="s">
        <v>2277</v>
      </c>
      <c r="B1084" s="6" t="s">
        <v>2278</v>
      </c>
      <c r="C1084" s="6" t="s">
        <v>85</v>
      </c>
      <c r="D1084" s="6" t="n">
        <v>27</v>
      </c>
      <c r="E1084" s="6" t="s">
        <v>81</v>
      </c>
      <c r="F1084" s="6" t="s">
        <v>82</v>
      </c>
      <c r="G1084" s="26" t="n">
        <v>45987</v>
      </c>
      <c r="H1084" s="6" t="s">
        <v>115</v>
      </c>
      <c r="I1084" s="26" t="n">
        <f aca="false">_xlfn.MINIFS(Transaction!$C$2:$C$8421,Transaction!$B$2:$B$8421,A1084)</f>
        <v>46032</v>
      </c>
      <c r="J1084" s="26" t="n">
        <f aca="false">_xlfn.MAXIFS(Transaction!$C$2:$C$8421,Transaction!$B$2:$B$8421,A1084)</f>
        <v>46032</v>
      </c>
      <c r="K1084" s="6" t="n">
        <f aca="false">COUNTIF(Transaction!$B$2:$B$8421,A1084)</f>
        <v>1</v>
      </c>
      <c r="L1084" s="10" t="n">
        <f aca="false">SUMIF(Transaction!$B$2:$B$8421,A1084,Transaction!$H$2:$H$8421)</f>
        <v>1322</v>
      </c>
      <c r="M1084" s="6" t="n">
        <f aca="false">Summary!$B$3-J1084</f>
        <v>234</v>
      </c>
      <c r="N1084" s="6" t="str">
        <f aca="false">IF(K1084&gt;1,"Yes","No")</f>
        <v>No</v>
      </c>
      <c r="O1084" s="6" t="s">
        <v>49</v>
      </c>
    </row>
    <row r="1085" customFormat="false" ht="15" hidden="false" customHeight="false" outlineLevel="0" collapsed="false">
      <c r="A1085" s="6" t="s">
        <v>2279</v>
      </c>
      <c r="B1085" s="6" t="s">
        <v>2280</v>
      </c>
      <c r="C1085" s="6" t="s">
        <v>75</v>
      </c>
      <c r="D1085" s="6" t="n">
        <v>29</v>
      </c>
      <c r="E1085" s="6" t="s">
        <v>105</v>
      </c>
      <c r="F1085" s="6" t="s">
        <v>106</v>
      </c>
      <c r="G1085" s="26" t="n">
        <v>46109</v>
      </c>
      <c r="H1085" s="6" t="s">
        <v>115</v>
      </c>
      <c r="I1085" s="26" t="n">
        <f aca="false">_xlfn.MINIFS(Transaction!$C$2:$C$8421,Transaction!$B$2:$B$8421,A1085)</f>
        <v>46195</v>
      </c>
      <c r="J1085" s="26" t="n">
        <f aca="false">_xlfn.MAXIFS(Transaction!$C$2:$C$8421,Transaction!$B$2:$B$8421,A1085)</f>
        <v>46195</v>
      </c>
      <c r="K1085" s="6" t="n">
        <f aca="false">COUNTIF(Transaction!$B$2:$B$8421,A1085)</f>
        <v>1</v>
      </c>
      <c r="L1085" s="10" t="n">
        <f aca="false">SUMIF(Transaction!$B$2:$B$8421,A1085,Transaction!$H$2:$H$8421)</f>
        <v>1160</v>
      </c>
      <c r="M1085" s="6" t="n">
        <f aca="false">Summary!$B$3-J1085</f>
        <v>71</v>
      </c>
      <c r="N1085" s="6" t="str">
        <f aca="false">IF(K1085&gt;1,"Yes","No")</f>
        <v>No</v>
      </c>
      <c r="O1085" s="6" t="s">
        <v>47</v>
      </c>
    </row>
    <row r="1086" customFormat="false" ht="15" hidden="false" customHeight="false" outlineLevel="0" collapsed="false">
      <c r="A1086" s="6" t="s">
        <v>2281</v>
      </c>
      <c r="B1086" s="6" t="s">
        <v>2282</v>
      </c>
      <c r="C1086" s="6" t="s">
        <v>85</v>
      </c>
      <c r="D1086" s="6" t="n">
        <v>18</v>
      </c>
      <c r="E1086" s="6" t="s">
        <v>95</v>
      </c>
      <c r="F1086" s="6" t="s">
        <v>95</v>
      </c>
      <c r="G1086" s="26" t="n">
        <v>46088</v>
      </c>
      <c r="H1086" s="6" t="s">
        <v>102</v>
      </c>
      <c r="I1086" s="26" t="n">
        <f aca="false">_xlfn.MINIFS(Transaction!$C$2:$C$8421,Transaction!$B$2:$B$8421,A1086)</f>
        <v>46136</v>
      </c>
      <c r="J1086" s="26" t="n">
        <f aca="false">_xlfn.MAXIFS(Transaction!$C$2:$C$8421,Transaction!$B$2:$B$8421,A1086)</f>
        <v>46136</v>
      </c>
      <c r="K1086" s="6" t="n">
        <f aca="false">COUNTIF(Transaction!$B$2:$B$8421,A1086)</f>
        <v>1</v>
      </c>
      <c r="L1086" s="10" t="n">
        <f aca="false">SUMIF(Transaction!$B$2:$B$8421,A1086,Transaction!$H$2:$H$8421)</f>
        <v>927</v>
      </c>
      <c r="M1086" s="6" t="n">
        <f aca="false">Summary!$B$3-J1086</f>
        <v>130</v>
      </c>
      <c r="N1086" s="6" t="str">
        <f aca="false">IF(K1086&gt;1,"Yes","No")</f>
        <v>No</v>
      </c>
      <c r="O1086" s="6" t="s">
        <v>48</v>
      </c>
    </row>
    <row r="1087" customFormat="false" ht="15" hidden="false" customHeight="false" outlineLevel="0" collapsed="false">
      <c r="A1087" s="6" t="s">
        <v>2283</v>
      </c>
      <c r="B1087" s="6" t="s">
        <v>2284</v>
      </c>
      <c r="C1087" s="6" t="s">
        <v>85</v>
      </c>
      <c r="D1087" s="6" t="n">
        <v>37</v>
      </c>
      <c r="E1087" s="6" t="s">
        <v>176</v>
      </c>
      <c r="F1087" s="6" t="s">
        <v>177</v>
      </c>
      <c r="G1087" s="26" t="n">
        <v>46166</v>
      </c>
      <c r="H1087" s="6" t="s">
        <v>115</v>
      </c>
      <c r="I1087" s="26" t="n">
        <f aca="false">_xlfn.MINIFS(Transaction!$C$2:$C$8421,Transaction!$B$2:$B$8421,A1087)</f>
        <v>46184</v>
      </c>
      <c r="J1087" s="26" t="n">
        <f aca="false">_xlfn.MAXIFS(Transaction!$C$2:$C$8421,Transaction!$B$2:$B$8421,A1087)</f>
        <v>46197</v>
      </c>
      <c r="K1087" s="6" t="n">
        <f aca="false">COUNTIF(Transaction!$B$2:$B$8421,A1087)</f>
        <v>3</v>
      </c>
      <c r="L1087" s="10" t="n">
        <f aca="false">SUMIF(Transaction!$B$2:$B$8421,A1087,Transaction!$H$2:$H$8421)</f>
        <v>4300</v>
      </c>
      <c r="M1087" s="6" t="n">
        <f aca="false">Summary!$B$3-J1087</f>
        <v>69</v>
      </c>
      <c r="N1087" s="6" t="str">
        <f aca="false">IF(K1087&gt;1,"Yes","No")</f>
        <v>Yes</v>
      </c>
      <c r="O1087" s="6" t="s">
        <v>46</v>
      </c>
    </row>
    <row r="1088" customFormat="false" ht="15" hidden="false" customHeight="false" outlineLevel="0" collapsed="false">
      <c r="A1088" s="6" t="s">
        <v>2285</v>
      </c>
      <c r="B1088" s="6" t="s">
        <v>2286</v>
      </c>
      <c r="C1088" s="6" t="s">
        <v>85</v>
      </c>
      <c r="D1088" s="6" t="n">
        <v>39</v>
      </c>
      <c r="E1088" s="6" t="s">
        <v>134</v>
      </c>
      <c r="F1088" s="6" t="s">
        <v>135</v>
      </c>
      <c r="G1088" s="26" t="n">
        <v>46189</v>
      </c>
      <c r="H1088" s="6" t="s">
        <v>78</v>
      </c>
      <c r="I1088" s="26" t="n">
        <f aca="false">_xlfn.MINIFS(Transaction!$C$2:$C$8421,Transaction!$B$2:$B$8421,A1088)</f>
        <v>46247</v>
      </c>
      <c r="J1088" s="26" t="n">
        <f aca="false">_xlfn.MAXIFS(Transaction!$C$2:$C$8421,Transaction!$B$2:$B$8421,A1088)</f>
        <v>46247</v>
      </c>
      <c r="K1088" s="6" t="n">
        <f aca="false">COUNTIF(Transaction!$B$2:$B$8421,A1088)</f>
        <v>1</v>
      </c>
      <c r="L1088" s="10" t="n">
        <f aca="false">SUMIF(Transaction!$B$2:$B$8421,A1088,Transaction!$H$2:$H$8421)</f>
        <v>1570</v>
      </c>
      <c r="M1088" s="6" t="n">
        <f aca="false">Summary!$B$3-J1088</f>
        <v>19</v>
      </c>
      <c r="N1088" s="6" t="str">
        <f aca="false">IF(K1088&gt;1,"Yes","No")</f>
        <v>No</v>
      </c>
      <c r="O1088" s="6" t="s">
        <v>47</v>
      </c>
    </row>
    <row r="1089" customFormat="false" ht="15" hidden="false" customHeight="false" outlineLevel="0" collapsed="false">
      <c r="A1089" s="6" t="s">
        <v>2287</v>
      </c>
      <c r="B1089" s="6" t="s">
        <v>2288</v>
      </c>
      <c r="C1089" s="6" t="s">
        <v>75</v>
      </c>
      <c r="D1089" s="6" t="n">
        <v>53</v>
      </c>
      <c r="E1089" s="6" t="s">
        <v>206</v>
      </c>
      <c r="F1089" s="6" t="s">
        <v>106</v>
      </c>
      <c r="G1089" s="26" t="n">
        <v>46147</v>
      </c>
      <c r="H1089" s="6" t="s">
        <v>78</v>
      </c>
      <c r="I1089" s="26" t="n">
        <f aca="false">_xlfn.MINIFS(Transaction!$C$2:$C$8421,Transaction!$B$2:$B$8421,A1089)</f>
        <v>46179</v>
      </c>
      <c r="J1089" s="26" t="n">
        <f aca="false">_xlfn.MAXIFS(Transaction!$C$2:$C$8421,Transaction!$B$2:$B$8421,A1089)</f>
        <v>46179</v>
      </c>
      <c r="K1089" s="6" t="n">
        <f aca="false">COUNTIF(Transaction!$B$2:$B$8421,A1089)</f>
        <v>1</v>
      </c>
      <c r="L1089" s="10" t="n">
        <f aca="false">SUMIF(Transaction!$B$2:$B$8421,A1089,Transaction!$H$2:$H$8421)</f>
        <v>5098</v>
      </c>
      <c r="M1089" s="6" t="n">
        <f aca="false">Summary!$B$3-J1089</f>
        <v>87</v>
      </c>
      <c r="N1089" s="6" t="str">
        <f aca="false">IF(K1089&gt;1,"Yes","No")</f>
        <v>No</v>
      </c>
      <c r="O1089" s="6" t="s">
        <v>47</v>
      </c>
    </row>
    <row r="1090" customFormat="false" ht="15" hidden="false" customHeight="false" outlineLevel="0" collapsed="false">
      <c r="A1090" s="6" t="s">
        <v>2289</v>
      </c>
      <c r="B1090" s="6" t="s">
        <v>2290</v>
      </c>
      <c r="C1090" s="6" t="s">
        <v>75</v>
      </c>
      <c r="D1090" s="6" t="n">
        <v>18</v>
      </c>
      <c r="E1090" s="6" t="s">
        <v>134</v>
      </c>
      <c r="F1090" s="6" t="s">
        <v>135</v>
      </c>
      <c r="G1090" s="26" t="n">
        <v>45998</v>
      </c>
      <c r="H1090" s="6" t="s">
        <v>88</v>
      </c>
      <c r="I1090" s="26" t="n">
        <f aca="false">_xlfn.MINIFS(Transaction!$C$2:$C$8421,Transaction!$B$2:$B$8421,A1090)</f>
        <v>46026</v>
      </c>
      <c r="J1090" s="26" t="n">
        <f aca="false">_xlfn.MAXIFS(Transaction!$C$2:$C$8421,Transaction!$B$2:$B$8421,A1090)</f>
        <v>46026</v>
      </c>
      <c r="K1090" s="6" t="n">
        <f aca="false">COUNTIF(Transaction!$B$2:$B$8421,A1090)</f>
        <v>1</v>
      </c>
      <c r="L1090" s="10" t="n">
        <f aca="false">SUMIF(Transaction!$B$2:$B$8421,A1090,Transaction!$H$2:$H$8421)</f>
        <v>2640</v>
      </c>
      <c r="M1090" s="6" t="n">
        <f aca="false">Summary!$B$3-J1090</f>
        <v>240</v>
      </c>
      <c r="N1090" s="6" t="str">
        <f aca="false">IF(K1090&gt;1,"Yes","No")</f>
        <v>No</v>
      </c>
      <c r="O1090" s="6" t="s">
        <v>49</v>
      </c>
    </row>
    <row r="1091" customFormat="false" ht="15" hidden="false" customHeight="false" outlineLevel="0" collapsed="false">
      <c r="A1091" s="6" t="s">
        <v>2291</v>
      </c>
      <c r="B1091" s="6" t="s">
        <v>2292</v>
      </c>
      <c r="C1091" s="6" t="s">
        <v>75</v>
      </c>
      <c r="D1091" s="6" t="n">
        <v>28</v>
      </c>
      <c r="E1091" s="6" t="s">
        <v>76</v>
      </c>
      <c r="F1091" s="6" t="s">
        <v>77</v>
      </c>
      <c r="G1091" s="26" t="n">
        <v>45982</v>
      </c>
      <c r="H1091" s="6" t="s">
        <v>78</v>
      </c>
      <c r="I1091" s="26" t="n">
        <f aca="false">_xlfn.MINIFS(Transaction!$C$2:$C$8421,Transaction!$B$2:$B$8421,A1091)</f>
        <v>46049</v>
      </c>
      <c r="J1091" s="26" t="n">
        <f aca="false">_xlfn.MAXIFS(Transaction!$C$2:$C$8421,Transaction!$B$2:$B$8421,A1091)</f>
        <v>46258</v>
      </c>
      <c r="K1091" s="6" t="n">
        <f aca="false">COUNTIF(Transaction!$B$2:$B$8421,A1091)</f>
        <v>4</v>
      </c>
      <c r="L1091" s="10" t="n">
        <f aca="false">SUMIF(Transaction!$B$2:$B$8421,A1091,Transaction!$H$2:$H$8421)</f>
        <v>9756</v>
      </c>
      <c r="M1091" s="6" t="n">
        <f aca="false">Summary!$B$3-J1091</f>
        <v>8</v>
      </c>
      <c r="N1091" s="6" t="str">
        <f aca="false">IF(K1091&gt;1,"Yes","No")</f>
        <v>Yes</v>
      </c>
      <c r="O1091" s="6" t="s">
        <v>46</v>
      </c>
    </row>
    <row r="1092" customFormat="false" ht="15" hidden="false" customHeight="false" outlineLevel="0" collapsed="false">
      <c r="A1092" s="6" t="s">
        <v>2293</v>
      </c>
      <c r="B1092" s="6" t="s">
        <v>2294</v>
      </c>
      <c r="C1092" s="6" t="s">
        <v>75</v>
      </c>
      <c r="D1092" s="6" t="n">
        <v>51</v>
      </c>
      <c r="E1092" s="6" t="s">
        <v>95</v>
      </c>
      <c r="F1092" s="6" t="s">
        <v>95</v>
      </c>
      <c r="G1092" s="26" t="n">
        <v>46174</v>
      </c>
      <c r="H1092" s="6" t="s">
        <v>78</v>
      </c>
      <c r="I1092" s="26" t="n">
        <f aca="false">_xlfn.MINIFS(Transaction!$C$2:$C$8421,Transaction!$B$2:$B$8421,A1092)</f>
        <v>46210</v>
      </c>
      <c r="J1092" s="26" t="n">
        <f aca="false">_xlfn.MAXIFS(Transaction!$C$2:$C$8421,Transaction!$B$2:$B$8421,A1092)</f>
        <v>46210</v>
      </c>
      <c r="K1092" s="6" t="n">
        <f aca="false">COUNTIF(Transaction!$B$2:$B$8421,A1092)</f>
        <v>1</v>
      </c>
      <c r="L1092" s="10" t="n">
        <f aca="false">SUMIF(Transaction!$B$2:$B$8421,A1092,Transaction!$H$2:$H$8421)</f>
        <v>2039</v>
      </c>
      <c r="M1092" s="6" t="n">
        <f aca="false">Summary!$B$3-J1092</f>
        <v>56</v>
      </c>
      <c r="N1092" s="6" t="str">
        <f aca="false">IF(K1092&gt;1,"Yes","No")</f>
        <v>No</v>
      </c>
      <c r="O1092" s="6" t="s">
        <v>47</v>
      </c>
    </row>
    <row r="1093" customFormat="false" ht="15" hidden="false" customHeight="false" outlineLevel="0" collapsed="false">
      <c r="A1093" s="6" t="s">
        <v>2295</v>
      </c>
      <c r="B1093" s="6" t="s">
        <v>2296</v>
      </c>
      <c r="C1093" s="6" t="s">
        <v>75</v>
      </c>
      <c r="D1093" s="6" t="n">
        <v>34</v>
      </c>
      <c r="E1093" s="6" t="s">
        <v>105</v>
      </c>
      <c r="F1093" s="6" t="s">
        <v>106</v>
      </c>
      <c r="G1093" s="26" t="n">
        <v>46126</v>
      </c>
      <c r="H1093" s="6" t="s">
        <v>115</v>
      </c>
      <c r="I1093" s="26" t="n">
        <f aca="false">_xlfn.MINIFS(Transaction!$C$2:$C$8421,Transaction!$B$2:$B$8421,A1093)</f>
        <v>46131</v>
      </c>
      <c r="J1093" s="26" t="n">
        <f aca="false">_xlfn.MAXIFS(Transaction!$C$2:$C$8421,Transaction!$B$2:$B$8421,A1093)</f>
        <v>46131</v>
      </c>
      <c r="K1093" s="6" t="n">
        <f aca="false">COUNTIF(Transaction!$B$2:$B$8421,A1093)</f>
        <v>1</v>
      </c>
      <c r="L1093" s="10" t="n">
        <f aca="false">SUMIF(Transaction!$B$2:$B$8421,A1093,Transaction!$H$2:$H$8421)</f>
        <v>5896</v>
      </c>
      <c r="M1093" s="6" t="n">
        <f aca="false">Summary!$B$3-J1093</f>
        <v>135</v>
      </c>
      <c r="N1093" s="6" t="str">
        <f aca="false">IF(K1093&gt;1,"Yes","No")</f>
        <v>No</v>
      </c>
      <c r="O1093" s="6" t="s">
        <v>48</v>
      </c>
    </row>
    <row r="1094" customFormat="false" ht="15" hidden="false" customHeight="false" outlineLevel="0" collapsed="false">
      <c r="A1094" s="6" t="s">
        <v>2297</v>
      </c>
      <c r="B1094" s="6" t="s">
        <v>2298</v>
      </c>
      <c r="C1094" s="6" t="s">
        <v>85</v>
      </c>
      <c r="D1094" s="6" t="n">
        <v>34</v>
      </c>
      <c r="E1094" s="6" t="s">
        <v>95</v>
      </c>
      <c r="F1094" s="6" t="s">
        <v>95</v>
      </c>
      <c r="G1094" s="26" t="n">
        <v>46046</v>
      </c>
      <c r="H1094" s="6" t="s">
        <v>78</v>
      </c>
      <c r="I1094" s="26" t="n">
        <f aca="false">_xlfn.MINIFS(Transaction!$C$2:$C$8421,Transaction!$B$2:$B$8421,A1094)</f>
        <v>46100</v>
      </c>
      <c r="J1094" s="26" t="n">
        <f aca="false">_xlfn.MAXIFS(Transaction!$C$2:$C$8421,Transaction!$B$2:$B$8421,A1094)</f>
        <v>46100</v>
      </c>
      <c r="K1094" s="6" t="n">
        <f aca="false">COUNTIF(Transaction!$B$2:$B$8421,A1094)</f>
        <v>1</v>
      </c>
      <c r="L1094" s="10" t="n">
        <f aca="false">SUMIF(Transaction!$B$2:$B$8421,A1094,Transaction!$H$2:$H$8421)</f>
        <v>1305</v>
      </c>
      <c r="M1094" s="6" t="n">
        <f aca="false">Summary!$B$3-J1094</f>
        <v>166</v>
      </c>
      <c r="N1094" s="6" t="str">
        <f aca="false">IF(K1094&gt;1,"Yes","No")</f>
        <v>No</v>
      </c>
      <c r="O1094" s="6" t="s">
        <v>49</v>
      </c>
    </row>
    <row r="1095" customFormat="false" ht="15" hidden="false" customHeight="false" outlineLevel="0" collapsed="false">
      <c r="A1095" s="6" t="s">
        <v>2299</v>
      </c>
      <c r="B1095" s="6" t="s">
        <v>2300</v>
      </c>
      <c r="C1095" s="6" t="s">
        <v>85</v>
      </c>
      <c r="D1095" s="6" t="n">
        <v>39</v>
      </c>
      <c r="E1095" s="6" t="s">
        <v>81</v>
      </c>
      <c r="F1095" s="6" t="s">
        <v>82</v>
      </c>
      <c r="G1095" s="26" t="n">
        <v>46034</v>
      </c>
      <c r="H1095" s="6" t="s">
        <v>102</v>
      </c>
      <c r="I1095" s="26" t="n">
        <f aca="false">_xlfn.MINIFS(Transaction!$C$2:$C$8421,Transaction!$B$2:$B$8421,A1095)</f>
        <v>46060</v>
      </c>
      <c r="J1095" s="26" t="n">
        <f aca="false">_xlfn.MAXIFS(Transaction!$C$2:$C$8421,Transaction!$B$2:$B$8421,A1095)</f>
        <v>46215</v>
      </c>
      <c r="K1095" s="6" t="n">
        <f aca="false">COUNTIF(Transaction!$B$2:$B$8421,A1095)</f>
        <v>5</v>
      </c>
      <c r="L1095" s="10" t="n">
        <f aca="false">SUMIF(Transaction!$B$2:$B$8421,A1095,Transaction!$H$2:$H$8421)</f>
        <v>6103</v>
      </c>
      <c r="M1095" s="6" t="n">
        <f aca="false">Summary!$B$3-J1095</f>
        <v>51</v>
      </c>
      <c r="N1095" s="6" t="str">
        <f aca="false">IF(K1095&gt;1,"Yes","No")</f>
        <v>Yes</v>
      </c>
      <c r="O1095" s="6" t="s">
        <v>46</v>
      </c>
    </row>
    <row r="1096" customFormat="false" ht="15" hidden="false" customHeight="false" outlineLevel="0" collapsed="false">
      <c r="A1096" s="6" t="s">
        <v>2301</v>
      </c>
      <c r="B1096" s="6" t="s">
        <v>2302</v>
      </c>
      <c r="C1096" s="6" t="s">
        <v>85</v>
      </c>
      <c r="D1096" s="6" t="n">
        <v>30</v>
      </c>
      <c r="E1096" s="6" t="s">
        <v>95</v>
      </c>
      <c r="F1096" s="6" t="s">
        <v>95</v>
      </c>
      <c r="G1096" s="26" t="n">
        <v>46048</v>
      </c>
      <c r="H1096" s="6" t="s">
        <v>123</v>
      </c>
      <c r="I1096" s="26" t="n">
        <f aca="false">_xlfn.MINIFS(Transaction!$C$2:$C$8421,Transaction!$B$2:$B$8421,A1096)</f>
        <v>46113</v>
      </c>
      <c r="J1096" s="26" t="n">
        <f aca="false">_xlfn.MAXIFS(Transaction!$C$2:$C$8421,Transaction!$B$2:$B$8421,A1096)</f>
        <v>46113</v>
      </c>
      <c r="K1096" s="6" t="n">
        <f aca="false">COUNTIF(Transaction!$B$2:$B$8421,A1096)</f>
        <v>1</v>
      </c>
      <c r="L1096" s="10" t="n">
        <f aca="false">SUMIF(Transaction!$B$2:$B$8421,A1096,Transaction!$H$2:$H$8421)</f>
        <v>1628</v>
      </c>
      <c r="M1096" s="6" t="n">
        <f aca="false">Summary!$B$3-J1096</f>
        <v>153</v>
      </c>
      <c r="N1096" s="6" t="str">
        <f aca="false">IF(K1096&gt;1,"Yes","No")</f>
        <v>No</v>
      </c>
      <c r="O1096" s="6" t="s">
        <v>48</v>
      </c>
    </row>
    <row r="1097" customFormat="false" ht="15" hidden="false" customHeight="false" outlineLevel="0" collapsed="false">
      <c r="A1097" s="6" t="s">
        <v>2303</v>
      </c>
      <c r="B1097" s="6" t="s">
        <v>2304</v>
      </c>
      <c r="C1097" s="6" t="s">
        <v>85</v>
      </c>
      <c r="D1097" s="6" t="n">
        <v>33</v>
      </c>
      <c r="E1097" s="6" t="s">
        <v>180</v>
      </c>
      <c r="F1097" s="6" t="s">
        <v>181</v>
      </c>
      <c r="G1097" s="26" t="n">
        <v>46097</v>
      </c>
      <c r="H1097" s="6" t="s">
        <v>115</v>
      </c>
      <c r="I1097" s="26" t="n">
        <f aca="false">_xlfn.MINIFS(Transaction!$C$2:$C$8421,Transaction!$B$2:$B$8421,A1097)</f>
        <v>46140</v>
      </c>
      <c r="J1097" s="26" t="n">
        <f aca="false">_xlfn.MAXIFS(Transaction!$C$2:$C$8421,Transaction!$B$2:$B$8421,A1097)</f>
        <v>46140</v>
      </c>
      <c r="K1097" s="6" t="n">
        <f aca="false">COUNTIF(Transaction!$B$2:$B$8421,A1097)</f>
        <v>1</v>
      </c>
      <c r="L1097" s="10" t="n">
        <f aca="false">SUMIF(Transaction!$B$2:$B$8421,A1097,Transaction!$H$2:$H$8421)</f>
        <v>1824</v>
      </c>
      <c r="M1097" s="6" t="n">
        <f aca="false">Summary!$B$3-J1097</f>
        <v>126</v>
      </c>
      <c r="N1097" s="6" t="str">
        <f aca="false">IF(K1097&gt;1,"Yes","No")</f>
        <v>No</v>
      </c>
      <c r="O1097" s="6" t="s">
        <v>48</v>
      </c>
    </row>
    <row r="1098" customFormat="false" ht="15" hidden="false" customHeight="false" outlineLevel="0" collapsed="false">
      <c r="A1098" s="6" t="s">
        <v>2305</v>
      </c>
      <c r="B1098" s="6" t="s">
        <v>2306</v>
      </c>
      <c r="C1098" s="6" t="s">
        <v>75</v>
      </c>
      <c r="D1098" s="6" t="n">
        <v>32</v>
      </c>
      <c r="E1098" s="6" t="s">
        <v>121</v>
      </c>
      <c r="F1098" s="6" t="s">
        <v>122</v>
      </c>
      <c r="G1098" s="26" t="n">
        <v>46132</v>
      </c>
      <c r="H1098" s="6" t="s">
        <v>78</v>
      </c>
      <c r="I1098" s="26" t="n">
        <f aca="false">_xlfn.MINIFS(Transaction!$C$2:$C$8421,Transaction!$B$2:$B$8421,A1098)</f>
        <v>46211</v>
      </c>
      <c r="J1098" s="26" t="n">
        <f aca="false">_xlfn.MAXIFS(Transaction!$C$2:$C$8421,Transaction!$B$2:$B$8421,A1098)</f>
        <v>46211</v>
      </c>
      <c r="K1098" s="6" t="n">
        <f aca="false">COUNTIF(Transaction!$B$2:$B$8421,A1098)</f>
        <v>1</v>
      </c>
      <c r="L1098" s="10" t="n">
        <f aca="false">SUMIF(Transaction!$B$2:$B$8421,A1098,Transaction!$H$2:$H$8421)</f>
        <v>1277</v>
      </c>
      <c r="M1098" s="6" t="n">
        <f aca="false">Summary!$B$3-J1098</f>
        <v>55</v>
      </c>
      <c r="N1098" s="6" t="str">
        <f aca="false">IF(K1098&gt;1,"Yes","No")</f>
        <v>No</v>
      </c>
      <c r="O1098" s="6" t="s">
        <v>47</v>
      </c>
    </row>
    <row r="1099" customFormat="false" ht="15" hidden="false" customHeight="false" outlineLevel="0" collapsed="false">
      <c r="A1099" s="6" t="s">
        <v>2307</v>
      </c>
      <c r="B1099" s="6" t="s">
        <v>2308</v>
      </c>
      <c r="C1099" s="6" t="s">
        <v>75</v>
      </c>
      <c r="D1099" s="6" t="n">
        <v>46</v>
      </c>
      <c r="E1099" s="6" t="s">
        <v>176</v>
      </c>
      <c r="F1099" s="6" t="s">
        <v>177</v>
      </c>
      <c r="G1099" s="26" t="n">
        <v>46101</v>
      </c>
      <c r="H1099" s="6" t="s">
        <v>102</v>
      </c>
      <c r="I1099" s="26" t="n">
        <f aca="false">_xlfn.MINIFS(Transaction!$C$2:$C$8421,Transaction!$B$2:$B$8421,A1099)</f>
        <v>46171</v>
      </c>
      <c r="J1099" s="26" t="n">
        <f aca="false">_xlfn.MAXIFS(Transaction!$C$2:$C$8421,Transaction!$B$2:$B$8421,A1099)</f>
        <v>46171</v>
      </c>
      <c r="K1099" s="6" t="n">
        <f aca="false">COUNTIF(Transaction!$B$2:$B$8421,A1099)</f>
        <v>1</v>
      </c>
      <c r="L1099" s="10" t="n">
        <f aca="false">SUMIF(Transaction!$B$2:$B$8421,A1099,Transaction!$H$2:$H$8421)</f>
        <v>1954</v>
      </c>
      <c r="M1099" s="6" t="n">
        <f aca="false">Summary!$B$3-J1099</f>
        <v>95</v>
      </c>
      <c r="N1099" s="6" t="str">
        <f aca="false">IF(K1099&gt;1,"Yes","No")</f>
        <v>No</v>
      </c>
      <c r="O1099" s="6" t="s">
        <v>48</v>
      </c>
    </row>
    <row r="1100" customFormat="false" ht="15" hidden="false" customHeight="false" outlineLevel="0" collapsed="false">
      <c r="A1100" s="6" t="s">
        <v>2309</v>
      </c>
      <c r="B1100" s="6" t="s">
        <v>2310</v>
      </c>
      <c r="C1100" s="6" t="s">
        <v>85</v>
      </c>
      <c r="D1100" s="6" t="n">
        <v>32</v>
      </c>
      <c r="E1100" s="6" t="s">
        <v>430</v>
      </c>
      <c r="F1100" s="6" t="s">
        <v>99</v>
      </c>
      <c r="G1100" s="26" t="n">
        <v>46103</v>
      </c>
      <c r="H1100" s="6" t="s">
        <v>92</v>
      </c>
      <c r="I1100" s="26" t="n">
        <f aca="false">_xlfn.MINIFS(Transaction!$C$2:$C$8421,Transaction!$B$2:$B$8421,A1100)</f>
        <v>46145</v>
      </c>
      <c r="J1100" s="26" t="n">
        <f aca="false">_xlfn.MAXIFS(Transaction!$C$2:$C$8421,Transaction!$B$2:$B$8421,A1100)</f>
        <v>46145</v>
      </c>
      <c r="K1100" s="6" t="n">
        <f aca="false">COUNTIF(Transaction!$B$2:$B$8421,A1100)</f>
        <v>1</v>
      </c>
      <c r="L1100" s="10" t="n">
        <f aca="false">SUMIF(Transaction!$B$2:$B$8421,A1100,Transaction!$H$2:$H$8421)</f>
        <v>1566</v>
      </c>
      <c r="M1100" s="6" t="n">
        <f aca="false">Summary!$B$3-J1100</f>
        <v>121</v>
      </c>
      <c r="N1100" s="6" t="str">
        <f aca="false">IF(K1100&gt;1,"Yes","No")</f>
        <v>No</v>
      </c>
      <c r="O1100" s="6" t="s">
        <v>48</v>
      </c>
    </row>
    <row r="1101" customFormat="false" ht="15" hidden="false" customHeight="false" outlineLevel="0" collapsed="false">
      <c r="A1101" s="6" t="s">
        <v>2311</v>
      </c>
      <c r="B1101" s="6" t="s">
        <v>2312</v>
      </c>
      <c r="C1101" s="6" t="s">
        <v>75</v>
      </c>
      <c r="D1101" s="6" t="n">
        <v>36</v>
      </c>
      <c r="E1101" s="6" t="s">
        <v>105</v>
      </c>
      <c r="F1101" s="6" t="s">
        <v>106</v>
      </c>
      <c r="G1101" s="26" t="n">
        <v>46010</v>
      </c>
      <c r="H1101" s="6" t="s">
        <v>115</v>
      </c>
      <c r="I1101" s="26" t="n">
        <f aca="false">_xlfn.MINIFS(Transaction!$C$2:$C$8421,Transaction!$B$2:$B$8421,A1101)</f>
        <v>46039</v>
      </c>
      <c r="J1101" s="26" t="n">
        <f aca="false">_xlfn.MAXIFS(Transaction!$C$2:$C$8421,Transaction!$B$2:$B$8421,A1101)</f>
        <v>46248</v>
      </c>
      <c r="K1101" s="6" t="n">
        <f aca="false">COUNTIF(Transaction!$B$2:$B$8421,A1101)</f>
        <v>10</v>
      </c>
      <c r="L1101" s="10" t="n">
        <f aca="false">SUMIF(Transaction!$B$2:$B$8421,A1101,Transaction!$H$2:$H$8421)</f>
        <v>31428</v>
      </c>
      <c r="M1101" s="6" t="n">
        <f aca="false">Summary!$B$3-J1101</f>
        <v>18</v>
      </c>
      <c r="N1101" s="6" t="str">
        <f aca="false">IF(K1101&gt;1,"Yes","No")</f>
        <v>Yes</v>
      </c>
      <c r="O1101" s="6" t="s">
        <v>45</v>
      </c>
    </row>
    <row r="1102" customFormat="false" ht="15" hidden="false" customHeight="false" outlineLevel="0" collapsed="false">
      <c r="A1102" s="6" t="s">
        <v>2313</v>
      </c>
      <c r="B1102" s="6" t="s">
        <v>2314</v>
      </c>
      <c r="C1102" s="6" t="s">
        <v>85</v>
      </c>
      <c r="D1102" s="6" t="n">
        <v>34</v>
      </c>
      <c r="E1102" s="6" t="s">
        <v>321</v>
      </c>
      <c r="F1102" s="6" t="s">
        <v>321</v>
      </c>
      <c r="G1102" s="26" t="n">
        <v>46009</v>
      </c>
      <c r="H1102" s="6" t="s">
        <v>78</v>
      </c>
      <c r="I1102" s="26" t="n">
        <f aca="false">_xlfn.MINIFS(Transaction!$C$2:$C$8421,Transaction!$B$2:$B$8421,A1102)</f>
        <v>46082</v>
      </c>
      <c r="J1102" s="26" t="n">
        <f aca="false">_xlfn.MAXIFS(Transaction!$C$2:$C$8421,Transaction!$B$2:$B$8421,A1102)</f>
        <v>46082</v>
      </c>
      <c r="K1102" s="6" t="n">
        <f aca="false">COUNTIF(Transaction!$B$2:$B$8421,A1102)</f>
        <v>1</v>
      </c>
      <c r="L1102" s="10" t="n">
        <f aca="false">SUMIF(Transaction!$B$2:$B$8421,A1102,Transaction!$H$2:$H$8421)</f>
        <v>782</v>
      </c>
      <c r="M1102" s="6" t="n">
        <f aca="false">Summary!$B$3-J1102</f>
        <v>184</v>
      </c>
      <c r="N1102" s="6" t="str">
        <f aca="false">IF(K1102&gt;1,"Yes","No")</f>
        <v>No</v>
      </c>
      <c r="O1102" s="6" t="s">
        <v>49</v>
      </c>
    </row>
    <row r="1103" customFormat="false" ht="15" hidden="false" customHeight="false" outlineLevel="0" collapsed="false">
      <c r="A1103" s="6" t="s">
        <v>2315</v>
      </c>
      <c r="B1103" s="6" t="s">
        <v>2316</v>
      </c>
      <c r="C1103" s="6" t="s">
        <v>75</v>
      </c>
      <c r="D1103" s="6" t="n">
        <v>30</v>
      </c>
      <c r="E1103" s="6" t="s">
        <v>95</v>
      </c>
      <c r="F1103" s="6" t="s">
        <v>95</v>
      </c>
      <c r="G1103" s="26" t="n">
        <v>46018</v>
      </c>
      <c r="H1103" s="6" t="s">
        <v>115</v>
      </c>
      <c r="I1103" s="26" t="n">
        <f aca="false">_xlfn.MINIFS(Transaction!$C$2:$C$8421,Transaction!$B$2:$B$8421,A1103)</f>
        <v>46083</v>
      </c>
      <c r="J1103" s="26" t="n">
        <f aca="false">_xlfn.MAXIFS(Transaction!$C$2:$C$8421,Transaction!$B$2:$B$8421,A1103)</f>
        <v>46243</v>
      </c>
      <c r="K1103" s="6" t="n">
        <f aca="false">COUNTIF(Transaction!$B$2:$B$8421,A1103)</f>
        <v>6</v>
      </c>
      <c r="L1103" s="10" t="n">
        <f aca="false">SUMIF(Transaction!$B$2:$B$8421,A1103,Transaction!$H$2:$H$8421)</f>
        <v>17467</v>
      </c>
      <c r="M1103" s="6" t="n">
        <f aca="false">Summary!$B$3-J1103</f>
        <v>23</v>
      </c>
      <c r="N1103" s="6" t="str">
        <f aca="false">IF(K1103&gt;1,"Yes","No")</f>
        <v>Yes</v>
      </c>
      <c r="O1103" s="6" t="s">
        <v>46</v>
      </c>
    </row>
    <row r="1104" customFormat="false" ht="15" hidden="false" customHeight="false" outlineLevel="0" collapsed="false">
      <c r="A1104" s="6" t="s">
        <v>2317</v>
      </c>
      <c r="B1104" s="6" t="s">
        <v>2318</v>
      </c>
      <c r="C1104" s="6" t="s">
        <v>85</v>
      </c>
      <c r="D1104" s="6" t="n">
        <v>26</v>
      </c>
      <c r="E1104" s="6" t="s">
        <v>86</v>
      </c>
      <c r="F1104" s="6" t="s">
        <v>87</v>
      </c>
      <c r="G1104" s="26" t="n">
        <v>46208</v>
      </c>
      <c r="H1104" s="6" t="s">
        <v>123</v>
      </c>
      <c r="I1104" s="26" t="n">
        <f aca="false">_xlfn.MINIFS(Transaction!$C$2:$C$8421,Transaction!$B$2:$B$8421,A1104)</f>
        <v>46249</v>
      </c>
      <c r="J1104" s="26" t="n">
        <f aca="false">_xlfn.MAXIFS(Transaction!$C$2:$C$8421,Transaction!$B$2:$B$8421,A1104)</f>
        <v>46249</v>
      </c>
      <c r="K1104" s="6" t="n">
        <f aca="false">COUNTIF(Transaction!$B$2:$B$8421,A1104)</f>
        <v>1</v>
      </c>
      <c r="L1104" s="10" t="n">
        <f aca="false">SUMIF(Transaction!$B$2:$B$8421,A1104,Transaction!$H$2:$H$8421)</f>
        <v>1760</v>
      </c>
      <c r="M1104" s="6" t="n">
        <f aca="false">Summary!$B$3-J1104</f>
        <v>17</v>
      </c>
      <c r="N1104" s="6" t="str">
        <f aca="false">IF(K1104&gt;1,"Yes","No")</f>
        <v>No</v>
      </c>
      <c r="O1104" s="6" t="s">
        <v>47</v>
      </c>
    </row>
    <row r="1105" customFormat="false" ht="15" hidden="false" customHeight="false" outlineLevel="0" collapsed="false">
      <c r="A1105" s="6" t="s">
        <v>2319</v>
      </c>
      <c r="B1105" s="6" t="s">
        <v>2320</v>
      </c>
      <c r="C1105" s="6" t="s">
        <v>75</v>
      </c>
      <c r="D1105" s="6" t="n">
        <v>35</v>
      </c>
      <c r="E1105" s="6" t="s">
        <v>430</v>
      </c>
      <c r="F1105" s="6" t="s">
        <v>99</v>
      </c>
      <c r="G1105" s="26" t="n">
        <v>45983</v>
      </c>
      <c r="H1105" s="6" t="s">
        <v>78</v>
      </c>
      <c r="I1105" s="26" t="n">
        <f aca="false">_xlfn.MINIFS(Transaction!$C$2:$C$8421,Transaction!$B$2:$B$8421,A1105)</f>
        <v>46062</v>
      </c>
      <c r="J1105" s="26" t="n">
        <f aca="false">_xlfn.MAXIFS(Transaction!$C$2:$C$8421,Transaction!$B$2:$B$8421,A1105)</f>
        <v>46246</v>
      </c>
      <c r="K1105" s="6" t="n">
        <f aca="false">COUNTIF(Transaction!$B$2:$B$8421,A1105)</f>
        <v>9</v>
      </c>
      <c r="L1105" s="10" t="n">
        <f aca="false">SUMIF(Transaction!$B$2:$B$8421,A1105,Transaction!$H$2:$H$8421)</f>
        <v>12900</v>
      </c>
      <c r="M1105" s="6" t="n">
        <f aca="false">Summary!$B$3-J1105</f>
        <v>20</v>
      </c>
      <c r="N1105" s="6" t="str">
        <f aca="false">IF(K1105&gt;1,"Yes","No")</f>
        <v>Yes</v>
      </c>
      <c r="O1105" s="6" t="s">
        <v>45</v>
      </c>
    </row>
    <row r="1106" customFormat="false" ht="15" hidden="false" customHeight="false" outlineLevel="0" collapsed="false">
      <c r="A1106" s="6" t="s">
        <v>2321</v>
      </c>
      <c r="B1106" s="6" t="s">
        <v>2322</v>
      </c>
      <c r="C1106" s="6" t="s">
        <v>75</v>
      </c>
      <c r="D1106" s="6" t="n">
        <v>35</v>
      </c>
      <c r="E1106" s="6" t="s">
        <v>81</v>
      </c>
      <c r="F1106" s="6" t="s">
        <v>82</v>
      </c>
      <c r="G1106" s="26" t="n">
        <v>46118</v>
      </c>
      <c r="H1106" s="6" t="s">
        <v>115</v>
      </c>
      <c r="I1106" s="26" t="n">
        <f aca="false">_xlfn.MINIFS(Transaction!$C$2:$C$8421,Transaction!$B$2:$B$8421,A1106)</f>
        <v>46119</v>
      </c>
      <c r="J1106" s="26" t="n">
        <f aca="false">_xlfn.MAXIFS(Transaction!$C$2:$C$8421,Transaction!$B$2:$B$8421,A1106)</f>
        <v>46119</v>
      </c>
      <c r="K1106" s="6" t="n">
        <f aca="false">COUNTIF(Transaction!$B$2:$B$8421,A1106)</f>
        <v>1</v>
      </c>
      <c r="L1106" s="10" t="n">
        <f aca="false">SUMIF(Transaction!$B$2:$B$8421,A1106,Transaction!$H$2:$H$8421)</f>
        <v>15296</v>
      </c>
      <c r="M1106" s="6" t="n">
        <f aca="false">Summary!$B$3-J1106</f>
        <v>147</v>
      </c>
      <c r="N1106" s="6" t="str">
        <f aca="false">IF(K1106&gt;1,"Yes","No")</f>
        <v>No</v>
      </c>
      <c r="O1106" s="6" t="s">
        <v>48</v>
      </c>
    </row>
    <row r="1107" customFormat="false" ht="15" hidden="false" customHeight="false" outlineLevel="0" collapsed="false">
      <c r="A1107" s="6" t="s">
        <v>2323</v>
      </c>
      <c r="B1107" s="6" t="s">
        <v>2324</v>
      </c>
      <c r="C1107" s="6" t="s">
        <v>75</v>
      </c>
      <c r="D1107" s="6" t="n">
        <v>37</v>
      </c>
      <c r="E1107" s="6" t="s">
        <v>95</v>
      </c>
      <c r="F1107" s="6" t="s">
        <v>95</v>
      </c>
      <c r="G1107" s="26" t="n">
        <v>46189</v>
      </c>
      <c r="H1107" s="6" t="s">
        <v>115</v>
      </c>
      <c r="I1107" s="26" t="n">
        <f aca="false">_xlfn.MINIFS(Transaction!$C$2:$C$8421,Transaction!$B$2:$B$8421,A1107)</f>
        <v>46259</v>
      </c>
      <c r="J1107" s="26" t="n">
        <f aca="false">_xlfn.MAXIFS(Transaction!$C$2:$C$8421,Transaction!$B$2:$B$8421,A1107)</f>
        <v>46259</v>
      </c>
      <c r="K1107" s="6" t="n">
        <f aca="false">COUNTIF(Transaction!$B$2:$B$8421,A1107)</f>
        <v>1</v>
      </c>
      <c r="L1107" s="10" t="n">
        <f aca="false">SUMIF(Transaction!$B$2:$B$8421,A1107,Transaction!$H$2:$H$8421)</f>
        <v>611</v>
      </c>
      <c r="M1107" s="6" t="n">
        <f aca="false">Summary!$B$3-J1107</f>
        <v>7</v>
      </c>
      <c r="N1107" s="6" t="str">
        <f aca="false">IF(K1107&gt;1,"Yes","No")</f>
        <v>No</v>
      </c>
      <c r="O1107" s="6" t="s">
        <v>47</v>
      </c>
    </row>
    <row r="1108" customFormat="false" ht="15" hidden="false" customHeight="false" outlineLevel="0" collapsed="false">
      <c r="A1108" s="6" t="s">
        <v>2325</v>
      </c>
      <c r="B1108" s="6" t="s">
        <v>2326</v>
      </c>
      <c r="C1108" s="6" t="s">
        <v>75</v>
      </c>
      <c r="D1108" s="6" t="n">
        <v>44</v>
      </c>
      <c r="E1108" s="6" t="s">
        <v>121</v>
      </c>
      <c r="F1108" s="6" t="s">
        <v>122</v>
      </c>
      <c r="G1108" s="26" t="n">
        <v>46011</v>
      </c>
      <c r="H1108" s="6" t="s">
        <v>115</v>
      </c>
      <c r="I1108" s="26" t="n">
        <f aca="false">_xlfn.MINIFS(Transaction!$C$2:$C$8421,Transaction!$B$2:$B$8421,A1108)</f>
        <v>46035</v>
      </c>
      <c r="J1108" s="26" t="n">
        <f aca="false">_xlfn.MAXIFS(Transaction!$C$2:$C$8421,Transaction!$B$2:$B$8421,A1108)</f>
        <v>46192</v>
      </c>
      <c r="K1108" s="6" t="n">
        <f aca="false">COUNTIF(Transaction!$B$2:$B$8421,A1108)</f>
        <v>6</v>
      </c>
      <c r="L1108" s="10" t="n">
        <f aca="false">SUMIF(Transaction!$B$2:$B$8421,A1108,Transaction!$H$2:$H$8421)</f>
        <v>5835</v>
      </c>
      <c r="M1108" s="6" t="n">
        <f aca="false">Summary!$B$3-J1108</f>
        <v>74</v>
      </c>
      <c r="N1108" s="6" t="str">
        <f aca="false">IF(K1108&gt;1,"Yes","No")</f>
        <v>Yes</v>
      </c>
      <c r="O1108" s="6" t="s">
        <v>46</v>
      </c>
    </row>
    <row r="1109" customFormat="false" ht="15" hidden="false" customHeight="false" outlineLevel="0" collapsed="false">
      <c r="A1109" s="6" t="s">
        <v>2327</v>
      </c>
      <c r="B1109" s="6" t="s">
        <v>2328</v>
      </c>
      <c r="C1109" s="6" t="s">
        <v>85</v>
      </c>
      <c r="D1109" s="6" t="n">
        <v>31</v>
      </c>
      <c r="E1109" s="6" t="s">
        <v>264</v>
      </c>
      <c r="F1109" s="6" t="s">
        <v>106</v>
      </c>
      <c r="G1109" s="26" t="n">
        <v>46008</v>
      </c>
      <c r="H1109" s="6" t="s">
        <v>78</v>
      </c>
      <c r="I1109" s="26" t="n">
        <f aca="false">_xlfn.MINIFS(Transaction!$C$2:$C$8421,Transaction!$B$2:$B$8421,A1109)</f>
        <v>46030</v>
      </c>
      <c r="J1109" s="26" t="n">
        <f aca="false">_xlfn.MAXIFS(Transaction!$C$2:$C$8421,Transaction!$B$2:$B$8421,A1109)</f>
        <v>46189</v>
      </c>
      <c r="K1109" s="6" t="n">
        <f aca="false">COUNTIF(Transaction!$B$2:$B$8421,A1109)</f>
        <v>4</v>
      </c>
      <c r="L1109" s="10" t="n">
        <f aca="false">SUMIF(Transaction!$B$2:$B$8421,A1109,Transaction!$H$2:$H$8421)</f>
        <v>7098</v>
      </c>
      <c r="M1109" s="6" t="n">
        <f aca="false">Summary!$B$3-J1109</f>
        <v>77</v>
      </c>
      <c r="N1109" s="6" t="str">
        <f aca="false">IF(K1109&gt;1,"Yes","No")</f>
        <v>Yes</v>
      </c>
      <c r="O1109" s="6" t="s">
        <v>46</v>
      </c>
    </row>
    <row r="1110" customFormat="false" ht="15" hidden="false" customHeight="false" outlineLevel="0" collapsed="false">
      <c r="A1110" s="6" t="s">
        <v>2329</v>
      </c>
      <c r="B1110" s="6" t="s">
        <v>2330</v>
      </c>
      <c r="C1110" s="6" t="s">
        <v>75</v>
      </c>
      <c r="D1110" s="6" t="n">
        <v>37</v>
      </c>
      <c r="E1110" s="6" t="s">
        <v>76</v>
      </c>
      <c r="F1110" s="6" t="s">
        <v>77</v>
      </c>
      <c r="G1110" s="26" t="n">
        <v>46094</v>
      </c>
      <c r="H1110" s="6" t="s">
        <v>115</v>
      </c>
      <c r="I1110" s="26" t="n">
        <f aca="false">_xlfn.MINIFS(Transaction!$C$2:$C$8421,Transaction!$B$2:$B$8421,A1110)</f>
        <v>46095</v>
      </c>
      <c r="J1110" s="26" t="n">
        <f aca="false">_xlfn.MAXIFS(Transaction!$C$2:$C$8421,Transaction!$B$2:$B$8421,A1110)</f>
        <v>46188</v>
      </c>
      <c r="K1110" s="6" t="n">
        <f aca="false">COUNTIF(Transaction!$B$2:$B$8421,A1110)</f>
        <v>3</v>
      </c>
      <c r="L1110" s="10" t="n">
        <f aca="false">SUMIF(Transaction!$B$2:$B$8421,A1110,Transaction!$H$2:$H$8421)</f>
        <v>4664</v>
      </c>
      <c r="M1110" s="6" t="n">
        <f aca="false">Summary!$B$3-J1110</f>
        <v>78</v>
      </c>
      <c r="N1110" s="6" t="str">
        <f aca="false">IF(K1110&gt;1,"Yes","No")</f>
        <v>Yes</v>
      </c>
      <c r="O1110" s="6" t="s">
        <v>46</v>
      </c>
    </row>
    <row r="1111" customFormat="false" ht="15" hidden="false" customHeight="false" outlineLevel="0" collapsed="false">
      <c r="A1111" s="6" t="s">
        <v>2331</v>
      </c>
      <c r="B1111" s="6" t="s">
        <v>2332</v>
      </c>
      <c r="C1111" s="6" t="s">
        <v>85</v>
      </c>
      <c r="D1111" s="6" t="n">
        <v>36</v>
      </c>
      <c r="E1111" s="6" t="s">
        <v>176</v>
      </c>
      <c r="F1111" s="6" t="s">
        <v>177</v>
      </c>
      <c r="G1111" s="26" t="n">
        <v>46060</v>
      </c>
      <c r="H1111" s="6" t="s">
        <v>92</v>
      </c>
      <c r="I1111" s="26" t="n">
        <f aca="false">_xlfn.MINIFS(Transaction!$C$2:$C$8421,Transaction!$B$2:$B$8421,A1111)</f>
        <v>46130</v>
      </c>
      <c r="J1111" s="26" t="n">
        <f aca="false">_xlfn.MAXIFS(Transaction!$C$2:$C$8421,Transaction!$B$2:$B$8421,A1111)</f>
        <v>46130</v>
      </c>
      <c r="K1111" s="6" t="n">
        <f aca="false">COUNTIF(Transaction!$B$2:$B$8421,A1111)</f>
        <v>1</v>
      </c>
      <c r="L1111" s="10" t="n">
        <f aca="false">SUMIF(Transaction!$B$2:$B$8421,A1111,Transaction!$H$2:$H$8421)</f>
        <v>1677</v>
      </c>
      <c r="M1111" s="6" t="n">
        <f aca="false">Summary!$B$3-J1111</f>
        <v>136</v>
      </c>
      <c r="N1111" s="6" t="str">
        <f aca="false">IF(K1111&gt;1,"Yes","No")</f>
        <v>No</v>
      </c>
      <c r="O1111" s="6" t="s">
        <v>48</v>
      </c>
    </row>
    <row r="1112" customFormat="false" ht="15" hidden="false" customHeight="false" outlineLevel="0" collapsed="false">
      <c r="A1112" s="6" t="s">
        <v>2333</v>
      </c>
      <c r="B1112" s="6" t="s">
        <v>2334</v>
      </c>
      <c r="C1112" s="6" t="s">
        <v>75</v>
      </c>
      <c r="D1112" s="6" t="n">
        <v>26</v>
      </c>
      <c r="E1112" s="6" t="s">
        <v>98</v>
      </c>
      <c r="F1112" s="6" t="s">
        <v>99</v>
      </c>
      <c r="G1112" s="26" t="n">
        <v>46073</v>
      </c>
      <c r="H1112" s="6" t="s">
        <v>88</v>
      </c>
      <c r="I1112" s="26" t="n">
        <f aca="false">_xlfn.MINIFS(Transaction!$C$2:$C$8421,Transaction!$B$2:$B$8421,A1112)</f>
        <v>46126</v>
      </c>
      <c r="J1112" s="26" t="n">
        <f aca="false">_xlfn.MAXIFS(Transaction!$C$2:$C$8421,Transaction!$B$2:$B$8421,A1112)</f>
        <v>46126</v>
      </c>
      <c r="K1112" s="6" t="n">
        <f aca="false">COUNTIF(Transaction!$B$2:$B$8421,A1112)</f>
        <v>1</v>
      </c>
      <c r="L1112" s="10" t="n">
        <f aca="false">SUMIF(Transaction!$B$2:$B$8421,A1112,Transaction!$H$2:$H$8421)</f>
        <v>2091</v>
      </c>
      <c r="M1112" s="6" t="n">
        <f aca="false">Summary!$B$3-J1112</f>
        <v>140</v>
      </c>
      <c r="N1112" s="6" t="str">
        <f aca="false">IF(K1112&gt;1,"Yes","No")</f>
        <v>No</v>
      </c>
      <c r="O1112" s="6" t="s">
        <v>48</v>
      </c>
    </row>
    <row r="1113" customFormat="false" ht="15" hidden="false" customHeight="false" outlineLevel="0" collapsed="false">
      <c r="A1113" s="6" t="s">
        <v>2335</v>
      </c>
      <c r="B1113" s="6" t="s">
        <v>2336</v>
      </c>
      <c r="C1113" s="6" t="s">
        <v>85</v>
      </c>
      <c r="D1113" s="6" t="n">
        <v>48</v>
      </c>
      <c r="E1113" s="6" t="s">
        <v>321</v>
      </c>
      <c r="F1113" s="6" t="s">
        <v>321</v>
      </c>
      <c r="G1113" s="26" t="n">
        <v>46212</v>
      </c>
      <c r="H1113" s="6" t="s">
        <v>115</v>
      </c>
      <c r="I1113" s="26" t="n">
        <f aca="false">_xlfn.MINIFS(Transaction!$C$2:$C$8421,Transaction!$B$2:$B$8421,A1113)</f>
        <v>46259</v>
      </c>
      <c r="J1113" s="26" t="n">
        <f aca="false">_xlfn.MAXIFS(Transaction!$C$2:$C$8421,Transaction!$B$2:$B$8421,A1113)</f>
        <v>46259</v>
      </c>
      <c r="K1113" s="6" t="n">
        <f aca="false">COUNTIF(Transaction!$B$2:$B$8421,A1113)</f>
        <v>1</v>
      </c>
      <c r="L1113" s="10" t="n">
        <f aca="false">SUMIF(Transaction!$B$2:$B$8421,A1113,Transaction!$H$2:$H$8421)</f>
        <v>4077</v>
      </c>
      <c r="M1113" s="6" t="n">
        <f aca="false">Summary!$B$3-J1113</f>
        <v>7</v>
      </c>
      <c r="N1113" s="6" t="str">
        <f aca="false">IF(K1113&gt;1,"Yes","No")</f>
        <v>No</v>
      </c>
      <c r="O1113" s="6" t="s">
        <v>47</v>
      </c>
    </row>
    <row r="1114" customFormat="false" ht="15" hidden="false" customHeight="false" outlineLevel="0" collapsed="false">
      <c r="A1114" s="6" t="s">
        <v>2337</v>
      </c>
      <c r="B1114" s="6" t="s">
        <v>2338</v>
      </c>
      <c r="C1114" s="6" t="s">
        <v>75</v>
      </c>
      <c r="D1114" s="6" t="n">
        <v>43</v>
      </c>
      <c r="E1114" s="6" t="s">
        <v>134</v>
      </c>
      <c r="F1114" s="6" t="s">
        <v>135</v>
      </c>
      <c r="G1114" s="26" t="n">
        <v>46182</v>
      </c>
      <c r="H1114" s="6" t="s">
        <v>88</v>
      </c>
      <c r="I1114" s="26" t="n">
        <f aca="false">_xlfn.MINIFS(Transaction!$C$2:$C$8421,Transaction!$B$2:$B$8421,A1114)</f>
        <v>46190</v>
      </c>
      <c r="J1114" s="26" t="n">
        <f aca="false">_xlfn.MAXIFS(Transaction!$C$2:$C$8421,Transaction!$B$2:$B$8421,A1114)</f>
        <v>46190</v>
      </c>
      <c r="K1114" s="6" t="n">
        <f aca="false">COUNTIF(Transaction!$B$2:$B$8421,A1114)</f>
        <v>1</v>
      </c>
      <c r="L1114" s="10" t="n">
        <f aca="false">SUMIF(Transaction!$B$2:$B$8421,A1114,Transaction!$H$2:$H$8421)</f>
        <v>1680</v>
      </c>
      <c r="M1114" s="6" t="n">
        <f aca="false">Summary!$B$3-J1114</f>
        <v>76</v>
      </c>
      <c r="N1114" s="6" t="str">
        <f aca="false">IF(K1114&gt;1,"Yes","No")</f>
        <v>No</v>
      </c>
      <c r="O1114" s="6" t="s">
        <v>47</v>
      </c>
    </row>
    <row r="1115" customFormat="false" ht="15" hidden="false" customHeight="false" outlineLevel="0" collapsed="false">
      <c r="A1115" s="6" t="s">
        <v>2339</v>
      </c>
      <c r="B1115" s="6" t="s">
        <v>2340</v>
      </c>
      <c r="C1115" s="6" t="s">
        <v>85</v>
      </c>
      <c r="D1115" s="6" t="n">
        <v>26</v>
      </c>
      <c r="E1115" s="6" t="s">
        <v>206</v>
      </c>
      <c r="F1115" s="6" t="s">
        <v>106</v>
      </c>
      <c r="G1115" s="26" t="n">
        <v>46187</v>
      </c>
      <c r="H1115" s="6" t="s">
        <v>102</v>
      </c>
      <c r="I1115" s="26" t="n">
        <f aca="false">_xlfn.MINIFS(Transaction!$C$2:$C$8421,Transaction!$B$2:$B$8421,A1115)</f>
        <v>46193</v>
      </c>
      <c r="J1115" s="26" t="n">
        <f aca="false">_xlfn.MAXIFS(Transaction!$C$2:$C$8421,Transaction!$B$2:$B$8421,A1115)</f>
        <v>46193</v>
      </c>
      <c r="K1115" s="6" t="n">
        <f aca="false">COUNTIF(Transaction!$B$2:$B$8421,A1115)</f>
        <v>1</v>
      </c>
      <c r="L1115" s="10" t="n">
        <f aca="false">SUMIF(Transaction!$B$2:$B$8421,A1115,Transaction!$H$2:$H$8421)</f>
        <v>2151</v>
      </c>
      <c r="M1115" s="6" t="n">
        <f aca="false">Summary!$B$3-J1115</f>
        <v>73</v>
      </c>
      <c r="N1115" s="6" t="str">
        <f aca="false">IF(K1115&gt;1,"Yes","No")</f>
        <v>No</v>
      </c>
      <c r="O1115" s="6" t="s">
        <v>47</v>
      </c>
    </row>
    <row r="1116" customFormat="false" ht="15" hidden="false" customHeight="false" outlineLevel="0" collapsed="false">
      <c r="A1116" s="6" t="s">
        <v>2341</v>
      </c>
      <c r="B1116" s="6" t="s">
        <v>2342</v>
      </c>
      <c r="C1116" s="6" t="s">
        <v>75</v>
      </c>
      <c r="D1116" s="6" t="n">
        <v>33</v>
      </c>
      <c r="E1116" s="6" t="s">
        <v>264</v>
      </c>
      <c r="F1116" s="6" t="s">
        <v>106</v>
      </c>
      <c r="G1116" s="26" t="n">
        <v>46134</v>
      </c>
      <c r="H1116" s="6" t="s">
        <v>123</v>
      </c>
      <c r="I1116" s="26" t="n">
        <f aca="false">_xlfn.MINIFS(Transaction!$C$2:$C$8421,Transaction!$B$2:$B$8421,A1116)</f>
        <v>46204</v>
      </c>
      <c r="J1116" s="26" t="n">
        <f aca="false">_xlfn.MAXIFS(Transaction!$C$2:$C$8421,Transaction!$B$2:$B$8421,A1116)</f>
        <v>46204</v>
      </c>
      <c r="K1116" s="6" t="n">
        <f aca="false">COUNTIF(Transaction!$B$2:$B$8421,A1116)</f>
        <v>1</v>
      </c>
      <c r="L1116" s="10" t="n">
        <f aca="false">SUMIF(Transaction!$B$2:$B$8421,A1116,Transaction!$H$2:$H$8421)</f>
        <v>744</v>
      </c>
      <c r="M1116" s="6" t="n">
        <f aca="false">Summary!$B$3-J1116</f>
        <v>62</v>
      </c>
      <c r="N1116" s="6" t="str">
        <f aca="false">IF(K1116&gt;1,"Yes","No")</f>
        <v>No</v>
      </c>
      <c r="O1116" s="6" t="s">
        <v>47</v>
      </c>
    </row>
    <row r="1117" customFormat="false" ht="15" hidden="false" customHeight="false" outlineLevel="0" collapsed="false">
      <c r="A1117" s="6" t="s">
        <v>2343</v>
      </c>
      <c r="B1117" s="6" t="s">
        <v>2344</v>
      </c>
      <c r="C1117" s="6" t="s">
        <v>85</v>
      </c>
      <c r="D1117" s="6" t="n">
        <v>22</v>
      </c>
      <c r="E1117" s="6" t="s">
        <v>95</v>
      </c>
      <c r="F1117" s="6" t="s">
        <v>95</v>
      </c>
      <c r="G1117" s="26" t="n">
        <v>45996</v>
      </c>
      <c r="H1117" s="6" t="s">
        <v>115</v>
      </c>
      <c r="I1117" s="26" t="n">
        <f aca="false">_xlfn.MINIFS(Transaction!$C$2:$C$8421,Transaction!$B$2:$B$8421,A1117)</f>
        <v>46075</v>
      </c>
      <c r="J1117" s="26" t="n">
        <f aca="false">_xlfn.MAXIFS(Transaction!$C$2:$C$8421,Transaction!$B$2:$B$8421,A1117)</f>
        <v>46214</v>
      </c>
      <c r="K1117" s="6" t="n">
        <f aca="false">COUNTIF(Transaction!$B$2:$B$8421,A1117)</f>
        <v>5</v>
      </c>
      <c r="L1117" s="10" t="n">
        <f aca="false">SUMIF(Transaction!$B$2:$B$8421,A1117,Transaction!$H$2:$H$8421)</f>
        <v>9189</v>
      </c>
      <c r="M1117" s="6" t="n">
        <f aca="false">Summary!$B$3-J1117</f>
        <v>52</v>
      </c>
      <c r="N1117" s="6" t="str">
        <f aca="false">IF(K1117&gt;1,"Yes","No")</f>
        <v>Yes</v>
      </c>
      <c r="O1117" s="6" t="s">
        <v>46</v>
      </c>
    </row>
    <row r="1118" customFormat="false" ht="15" hidden="false" customHeight="false" outlineLevel="0" collapsed="false">
      <c r="A1118" s="6" t="s">
        <v>2345</v>
      </c>
      <c r="B1118" s="6" t="s">
        <v>2346</v>
      </c>
      <c r="C1118" s="6" t="s">
        <v>85</v>
      </c>
      <c r="D1118" s="6" t="n">
        <v>33</v>
      </c>
      <c r="E1118" s="6" t="s">
        <v>91</v>
      </c>
      <c r="F1118" s="6" t="s">
        <v>77</v>
      </c>
      <c r="G1118" s="26" t="n">
        <v>46029</v>
      </c>
      <c r="H1118" s="6" t="s">
        <v>115</v>
      </c>
      <c r="I1118" s="26" t="n">
        <f aca="false">_xlfn.MINIFS(Transaction!$C$2:$C$8421,Transaction!$B$2:$B$8421,A1118)</f>
        <v>46050</v>
      </c>
      <c r="J1118" s="26" t="n">
        <f aca="false">_xlfn.MAXIFS(Transaction!$C$2:$C$8421,Transaction!$B$2:$B$8421,A1118)</f>
        <v>46258</v>
      </c>
      <c r="K1118" s="6" t="n">
        <f aca="false">COUNTIF(Transaction!$B$2:$B$8421,A1118)</f>
        <v>6</v>
      </c>
      <c r="L1118" s="10" t="n">
        <f aca="false">SUMIF(Transaction!$B$2:$B$8421,A1118,Transaction!$H$2:$H$8421)</f>
        <v>19792</v>
      </c>
      <c r="M1118" s="6" t="n">
        <f aca="false">Summary!$B$3-J1118</f>
        <v>8</v>
      </c>
      <c r="N1118" s="6" t="str">
        <f aca="false">IF(K1118&gt;1,"Yes","No")</f>
        <v>Yes</v>
      </c>
      <c r="O1118" s="6" t="s">
        <v>46</v>
      </c>
    </row>
    <row r="1119" customFormat="false" ht="15" hidden="false" customHeight="false" outlineLevel="0" collapsed="false">
      <c r="A1119" s="6" t="s">
        <v>2347</v>
      </c>
      <c r="B1119" s="6" t="s">
        <v>2348</v>
      </c>
      <c r="C1119" s="6" t="s">
        <v>75</v>
      </c>
      <c r="D1119" s="6" t="n">
        <v>31</v>
      </c>
      <c r="E1119" s="6" t="s">
        <v>81</v>
      </c>
      <c r="F1119" s="6" t="s">
        <v>82</v>
      </c>
      <c r="G1119" s="26" t="n">
        <v>46078</v>
      </c>
      <c r="H1119" s="6" t="s">
        <v>92</v>
      </c>
      <c r="I1119" s="26" t="n">
        <f aca="false">_xlfn.MINIFS(Transaction!$C$2:$C$8421,Transaction!$B$2:$B$8421,A1119)</f>
        <v>46121</v>
      </c>
      <c r="J1119" s="26" t="n">
        <f aca="false">_xlfn.MAXIFS(Transaction!$C$2:$C$8421,Transaction!$B$2:$B$8421,A1119)</f>
        <v>46121</v>
      </c>
      <c r="K1119" s="6" t="n">
        <f aca="false">COUNTIF(Transaction!$B$2:$B$8421,A1119)</f>
        <v>1</v>
      </c>
      <c r="L1119" s="10" t="n">
        <f aca="false">SUMIF(Transaction!$B$2:$B$8421,A1119,Transaction!$H$2:$H$8421)</f>
        <v>1143</v>
      </c>
      <c r="M1119" s="6" t="n">
        <f aca="false">Summary!$B$3-J1119</f>
        <v>145</v>
      </c>
      <c r="N1119" s="6" t="str">
        <f aca="false">IF(K1119&gt;1,"Yes","No")</f>
        <v>No</v>
      </c>
      <c r="O1119" s="6" t="s">
        <v>48</v>
      </c>
    </row>
    <row r="1120" customFormat="false" ht="15" hidden="false" customHeight="false" outlineLevel="0" collapsed="false">
      <c r="A1120" s="6" t="s">
        <v>2349</v>
      </c>
      <c r="B1120" s="6" t="s">
        <v>2350</v>
      </c>
      <c r="C1120" s="6" t="s">
        <v>85</v>
      </c>
      <c r="D1120" s="6" t="n">
        <v>40</v>
      </c>
      <c r="E1120" s="6" t="s">
        <v>81</v>
      </c>
      <c r="F1120" s="6" t="s">
        <v>82</v>
      </c>
      <c r="G1120" s="26" t="n">
        <v>46142</v>
      </c>
      <c r="H1120" s="6" t="s">
        <v>78</v>
      </c>
      <c r="I1120" s="26" t="n">
        <f aca="false">_xlfn.MINIFS(Transaction!$C$2:$C$8421,Transaction!$B$2:$B$8421,A1120)</f>
        <v>46142</v>
      </c>
      <c r="J1120" s="26" t="n">
        <f aca="false">_xlfn.MAXIFS(Transaction!$C$2:$C$8421,Transaction!$B$2:$B$8421,A1120)</f>
        <v>46224</v>
      </c>
      <c r="K1120" s="6" t="n">
        <f aca="false">COUNTIF(Transaction!$B$2:$B$8421,A1120)</f>
        <v>3</v>
      </c>
      <c r="L1120" s="10" t="n">
        <f aca="false">SUMIF(Transaction!$B$2:$B$8421,A1120,Transaction!$H$2:$H$8421)</f>
        <v>4340</v>
      </c>
      <c r="M1120" s="6" t="n">
        <f aca="false">Summary!$B$3-J1120</f>
        <v>42</v>
      </c>
      <c r="N1120" s="6" t="str">
        <f aca="false">IF(K1120&gt;1,"Yes","No")</f>
        <v>Yes</v>
      </c>
      <c r="O1120" s="6" t="s">
        <v>46</v>
      </c>
    </row>
    <row r="1121" customFormat="false" ht="15" hidden="false" customHeight="false" outlineLevel="0" collapsed="false">
      <c r="A1121" s="6" t="s">
        <v>2351</v>
      </c>
      <c r="B1121" s="6" t="s">
        <v>2352</v>
      </c>
      <c r="C1121" s="6" t="s">
        <v>85</v>
      </c>
      <c r="D1121" s="6" t="n">
        <v>21</v>
      </c>
      <c r="E1121" s="6" t="s">
        <v>81</v>
      </c>
      <c r="F1121" s="6" t="s">
        <v>82</v>
      </c>
      <c r="G1121" s="26" t="n">
        <v>46171</v>
      </c>
      <c r="H1121" s="6" t="s">
        <v>102</v>
      </c>
      <c r="I1121" s="26" t="n">
        <f aca="false">_xlfn.MINIFS(Transaction!$C$2:$C$8421,Transaction!$B$2:$B$8421,A1121)</f>
        <v>46231</v>
      </c>
      <c r="J1121" s="26" t="n">
        <f aca="false">_xlfn.MAXIFS(Transaction!$C$2:$C$8421,Transaction!$B$2:$B$8421,A1121)</f>
        <v>46231</v>
      </c>
      <c r="K1121" s="6" t="n">
        <f aca="false">COUNTIF(Transaction!$B$2:$B$8421,A1121)</f>
        <v>1</v>
      </c>
      <c r="L1121" s="10" t="n">
        <f aca="false">SUMIF(Transaction!$B$2:$B$8421,A1121,Transaction!$H$2:$H$8421)</f>
        <v>1768</v>
      </c>
      <c r="M1121" s="6" t="n">
        <f aca="false">Summary!$B$3-J1121</f>
        <v>35</v>
      </c>
      <c r="N1121" s="6" t="str">
        <f aca="false">IF(K1121&gt;1,"Yes","No")</f>
        <v>No</v>
      </c>
      <c r="O1121" s="6" t="s">
        <v>47</v>
      </c>
    </row>
    <row r="1122" customFormat="false" ht="15" hidden="false" customHeight="false" outlineLevel="0" collapsed="false">
      <c r="A1122" s="6" t="s">
        <v>2353</v>
      </c>
      <c r="B1122" s="6" t="s">
        <v>2354</v>
      </c>
      <c r="C1122" s="6" t="s">
        <v>75</v>
      </c>
      <c r="D1122" s="6" t="n">
        <v>24</v>
      </c>
      <c r="E1122" s="6" t="s">
        <v>95</v>
      </c>
      <c r="F1122" s="6" t="s">
        <v>95</v>
      </c>
      <c r="G1122" s="26" t="n">
        <v>46093</v>
      </c>
      <c r="H1122" s="6" t="s">
        <v>78</v>
      </c>
      <c r="I1122" s="26" t="n">
        <f aca="false">_xlfn.MINIFS(Transaction!$C$2:$C$8421,Transaction!$B$2:$B$8421,A1122)</f>
        <v>46163</v>
      </c>
      <c r="J1122" s="26" t="n">
        <f aca="false">_xlfn.MAXIFS(Transaction!$C$2:$C$8421,Transaction!$B$2:$B$8421,A1122)</f>
        <v>46163</v>
      </c>
      <c r="K1122" s="6" t="n">
        <f aca="false">COUNTIF(Transaction!$B$2:$B$8421,A1122)</f>
        <v>1</v>
      </c>
      <c r="L1122" s="10" t="n">
        <f aca="false">SUMIF(Transaction!$B$2:$B$8421,A1122,Transaction!$H$2:$H$8421)</f>
        <v>1061</v>
      </c>
      <c r="M1122" s="6" t="n">
        <f aca="false">Summary!$B$3-J1122</f>
        <v>103</v>
      </c>
      <c r="N1122" s="6" t="str">
        <f aca="false">IF(K1122&gt;1,"Yes","No")</f>
        <v>No</v>
      </c>
      <c r="O1122" s="6" t="s">
        <v>48</v>
      </c>
    </row>
    <row r="1123" customFormat="false" ht="15" hidden="false" customHeight="false" outlineLevel="0" collapsed="false">
      <c r="A1123" s="6" t="s">
        <v>2355</v>
      </c>
      <c r="B1123" s="6" t="s">
        <v>2356</v>
      </c>
      <c r="C1123" s="6" t="s">
        <v>75</v>
      </c>
      <c r="D1123" s="6" t="n">
        <v>24</v>
      </c>
      <c r="E1123" s="6" t="s">
        <v>105</v>
      </c>
      <c r="F1123" s="6" t="s">
        <v>106</v>
      </c>
      <c r="G1123" s="26" t="n">
        <v>46173</v>
      </c>
      <c r="H1123" s="6" t="s">
        <v>88</v>
      </c>
      <c r="I1123" s="26" t="n">
        <f aca="false">_xlfn.MINIFS(Transaction!$C$2:$C$8421,Transaction!$B$2:$B$8421,A1123)</f>
        <v>46197</v>
      </c>
      <c r="J1123" s="26" t="n">
        <f aca="false">_xlfn.MAXIFS(Transaction!$C$2:$C$8421,Transaction!$B$2:$B$8421,A1123)</f>
        <v>46197</v>
      </c>
      <c r="K1123" s="6" t="n">
        <f aca="false">COUNTIF(Transaction!$B$2:$B$8421,A1123)</f>
        <v>1</v>
      </c>
      <c r="L1123" s="10" t="n">
        <f aca="false">SUMIF(Transaction!$B$2:$B$8421,A1123,Transaction!$H$2:$H$8421)</f>
        <v>3776</v>
      </c>
      <c r="M1123" s="6" t="n">
        <f aca="false">Summary!$B$3-J1123</f>
        <v>69</v>
      </c>
      <c r="N1123" s="6" t="str">
        <f aca="false">IF(K1123&gt;1,"Yes","No")</f>
        <v>No</v>
      </c>
      <c r="O1123" s="6" t="s">
        <v>47</v>
      </c>
    </row>
    <row r="1124" customFormat="false" ht="15" hidden="false" customHeight="false" outlineLevel="0" collapsed="false">
      <c r="A1124" s="6" t="s">
        <v>2357</v>
      </c>
      <c r="B1124" s="6" t="s">
        <v>2358</v>
      </c>
      <c r="C1124" s="6" t="s">
        <v>75</v>
      </c>
      <c r="D1124" s="6" t="n">
        <v>22</v>
      </c>
      <c r="E1124" s="6" t="s">
        <v>81</v>
      </c>
      <c r="F1124" s="6" t="s">
        <v>82</v>
      </c>
      <c r="G1124" s="26" t="n">
        <v>46023</v>
      </c>
      <c r="H1124" s="6" t="s">
        <v>115</v>
      </c>
      <c r="I1124" s="26" t="n">
        <f aca="false">_xlfn.MINIFS(Transaction!$C$2:$C$8421,Transaction!$B$2:$B$8421,A1124)</f>
        <v>46067</v>
      </c>
      <c r="J1124" s="26" t="n">
        <f aca="false">_xlfn.MAXIFS(Transaction!$C$2:$C$8421,Transaction!$B$2:$B$8421,A1124)</f>
        <v>46238</v>
      </c>
      <c r="K1124" s="6" t="n">
        <f aca="false">COUNTIF(Transaction!$B$2:$B$8421,A1124)</f>
        <v>7</v>
      </c>
      <c r="L1124" s="10" t="n">
        <f aca="false">SUMIF(Transaction!$B$2:$B$8421,A1124,Transaction!$H$2:$H$8421)</f>
        <v>7164</v>
      </c>
      <c r="M1124" s="6" t="n">
        <f aca="false">Summary!$B$3-J1124</f>
        <v>28</v>
      </c>
      <c r="N1124" s="6" t="str">
        <f aca="false">IF(K1124&gt;1,"Yes","No")</f>
        <v>Yes</v>
      </c>
      <c r="O1124" s="6" t="s">
        <v>46</v>
      </c>
    </row>
    <row r="1125" customFormat="false" ht="15" hidden="false" customHeight="false" outlineLevel="0" collapsed="false">
      <c r="A1125" s="6" t="s">
        <v>2359</v>
      </c>
      <c r="B1125" s="6" t="s">
        <v>2360</v>
      </c>
      <c r="C1125" s="6" t="s">
        <v>75</v>
      </c>
      <c r="D1125" s="6" t="n">
        <v>28</v>
      </c>
      <c r="E1125" s="6" t="s">
        <v>86</v>
      </c>
      <c r="F1125" s="6" t="s">
        <v>87</v>
      </c>
      <c r="G1125" s="26" t="n">
        <v>46132</v>
      </c>
      <c r="H1125" s="6" t="s">
        <v>92</v>
      </c>
      <c r="I1125" s="26" t="n">
        <f aca="false">_xlfn.MINIFS(Transaction!$C$2:$C$8421,Transaction!$B$2:$B$8421,A1125)</f>
        <v>46145</v>
      </c>
      <c r="J1125" s="26" t="n">
        <f aca="false">_xlfn.MAXIFS(Transaction!$C$2:$C$8421,Transaction!$B$2:$B$8421,A1125)</f>
        <v>46197</v>
      </c>
      <c r="K1125" s="6" t="n">
        <f aca="false">COUNTIF(Transaction!$B$2:$B$8421,A1125)</f>
        <v>3</v>
      </c>
      <c r="L1125" s="10" t="n">
        <f aca="false">SUMIF(Transaction!$B$2:$B$8421,A1125,Transaction!$H$2:$H$8421)</f>
        <v>4138</v>
      </c>
      <c r="M1125" s="6" t="n">
        <f aca="false">Summary!$B$3-J1125</f>
        <v>69</v>
      </c>
      <c r="N1125" s="6" t="str">
        <f aca="false">IF(K1125&gt;1,"Yes","No")</f>
        <v>Yes</v>
      </c>
      <c r="O1125" s="6" t="s">
        <v>46</v>
      </c>
    </row>
    <row r="1126" customFormat="false" ht="15" hidden="false" customHeight="false" outlineLevel="0" collapsed="false">
      <c r="A1126" s="6" t="s">
        <v>2361</v>
      </c>
      <c r="B1126" s="6" t="s">
        <v>2362</v>
      </c>
      <c r="C1126" s="6" t="s">
        <v>75</v>
      </c>
      <c r="D1126" s="6" t="n">
        <v>37</v>
      </c>
      <c r="E1126" s="6" t="s">
        <v>105</v>
      </c>
      <c r="F1126" s="6" t="s">
        <v>106</v>
      </c>
      <c r="G1126" s="26" t="n">
        <v>46065</v>
      </c>
      <c r="H1126" s="6" t="s">
        <v>92</v>
      </c>
      <c r="I1126" s="26" t="n">
        <f aca="false">_xlfn.MINIFS(Transaction!$C$2:$C$8421,Transaction!$B$2:$B$8421,A1126)</f>
        <v>46080</v>
      </c>
      <c r="J1126" s="26" t="n">
        <f aca="false">_xlfn.MAXIFS(Transaction!$C$2:$C$8421,Transaction!$B$2:$B$8421,A1126)</f>
        <v>46241</v>
      </c>
      <c r="K1126" s="6" t="n">
        <f aca="false">COUNTIF(Transaction!$B$2:$B$8421,A1126)</f>
        <v>8</v>
      </c>
      <c r="L1126" s="10" t="n">
        <f aca="false">SUMIF(Transaction!$B$2:$B$8421,A1126,Transaction!$H$2:$H$8421)</f>
        <v>19214</v>
      </c>
      <c r="M1126" s="6" t="n">
        <f aca="false">Summary!$B$3-J1126</f>
        <v>25</v>
      </c>
      <c r="N1126" s="6" t="str">
        <f aca="false">IF(K1126&gt;1,"Yes","No")</f>
        <v>Yes</v>
      </c>
      <c r="O1126" s="6" t="s">
        <v>46</v>
      </c>
    </row>
    <row r="1127" customFormat="false" ht="15" hidden="false" customHeight="false" outlineLevel="0" collapsed="false">
      <c r="A1127" s="6" t="s">
        <v>2363</v>
      </c>
      <c r="B1127" s="6" t="s">
        <v>2364</v>
      </c>
      <c r="C1127" s="6" t="s">
        <v>75</v>
      </c>
      <c r="D1127" s="6" t="n">
        <v>40</v>
      </c>
      <c r="E1127" s="6" t="s">
        <v>95</v>
      </c>
      <c r="F1127" s="6" t="s">
        <v>95</v>
      </c>
      <c r="G1127" s="26" t="n">
        <v>46055</v>
      </c>
      <c r="H1127" s="6" t="s">
        <v>78</v>
      </c>
      <c r="I1127" s="26" t="n">
        <f aca="false">_xlfn.MINIFS(Transaction!$C$2:$C$8421,Transaction!$B$2:$B$8421,A1127)</f>
        <v>46055</v>
      </c>
      <c r="J1127" s="26" t="n">
        <f aca="false">_xlfn.MAXIFS(Transaction!$C$2:$C$8421,Transaction!$B$2:$B$8421,A1127)</f>
        <v>46251</v>
      </c>
      <c r="K1127" s="6" t="n">
        <f aca="false">COUNTIF(Transaction!$B$2:$B$8421,A1127)</f>
        <v>5</v>
      </c>
      <c r="L1127" s="10" t="n">
        <f aca="false">SUMIF(Transaction!$B$2:$B$8421,A1127,Transaction!$H$2:$H$8421)</f>
        <v>10412</v>
      </c>
      <c r="M1127" s="6" t="n">
        <f aca="false">Summary!$B$3-J1127</f>
        <v>15</v>
      </c>
      <c r="N1127" s="6" t="str">
        <f aca="false">IF(K1127&gt;1,"Yes","No")</f>
        <v>Yes</v>
      </c>
      <c r="O1127" s="6" t="s">
        <v>46</v>
      </c>
    </row>
    <row r="1128" customFormat="false" ht="15" hidden="false" customHeight="false" outlineLevel="0" collapsed="false">
      <c r="A1128" s="6" t="s">
        <v>2365</v>
      </c>
      <c r="B1128" s="6" t="s">
        <v>2366</v>
      </c>
      <c r="C1128" s="6" t="s">
        <v>75</v>
      </c>
      <c r="D1128" s="6" t="n">
        <v>27</v>
      </c>
      <c r="E1128" s="6" t="s">
        <v>76</v>
      </c>
      <c r="F1128" s="6" t="s">
        <v>77</v>
      </c>
      <c r="G1128" s="26" t="n">
        <v>46072</v>
      </c>
      <c r="H1128" s="6" t="s">
        <v>78</v>
      </c>
      <c r="I1128" s="26" t="n">
        <f aca="false">_xlfn.MINIFS(Transaction!$C$2:$C$8421,Transaction!$B$2:$B$8421,A1128)</f>
        <v>46077</v>
      </c>
      <c r="J1128" s="26" t="n">
        <f aca="false">_xlfn.MAXIFS(Transaction!$C$2:$C$8421,Transaction!$B$2:$B$8421,A1128)</f>
        <v>46250</v>
      </c>
      <c r="K1128" s="6" t="n">
        <f aca="false">COUNTIF(Transaction!$B$2:$B$8421,A1128)</f>
        <v>9</v>
      </c>
      <c r="L1128" s="10" t="n">
        <f aca="false">SUMIF(Transaction!$B$2:$B$8421,A1128,Transaction!$H$2:$H$8421)</f>
        <v>12550</v>
      </c>
      <c r="M1128" s="6" t="n">
        <f aca="false">Summary!$B$3-J1128</f>
        <v>16</v>
      </c>
      <c r="N1128" s="6" t="str">
        <f aca="false">IF(K1128&gt;1,"Yes","No")</f>
        <v>Yes</v>
      </c>
      <c r="O1128" s="6" t="s">
        <v>45</v>
      </c>
    </row>
    <row r="1129" customFormat="false" ht="15" hidden="false" customHeight="false" outlineLevel="0" collapsed="false">
      <c r="A1129" s="6" t="s">
        <v>2367</v>
      </c>
      <c r="B1129" s="6" t="s">
        <v>2368</v>
      </c>
      <c r="C1129" s="6" t="s">
        <v>85</v>
      </c>
      <c r="D1129" s="6" t="n">
        <v>35</v>
      </c>
      <c r="E1129" s="6" t="s">
        <v>91</v>
      </c>
      <c r="F1129" s="6" t="s">
        <v>77</v>
      </c>
      <c r="G1129" s="26" t="n">
        <v>46005</v>
      </c>
      <c r="H1129" s="6" t="s">
        <v>88</v>
      </c>
      <c r="I1129" s="26" t="n">
        <f aca="false">_xlfn.MINIFS(Transaction!$C$2:$C$8421,Transaction!$B$2:$B$8421,A1129)</f>
        <v>46032</v>
      </c>
      <c r="J1129" s="26" t="n">
        <f aca="false">_xlfn.MAXIFS(Transaction!$C$2:$C$8421,Transaction!$B$2:$B$8421,A1129)</f>
        <v>46242</v>
      </c>
      <c r="K1129" s="6" t="n">
        <f aca="false">COUNTIF(Transaction!$B$2:$B$8421,A1129)</f>
        <v>8</v>
      </c>
      <c r="L1129" s="10" t="n">
        <f aca="false">SUMIF(Transaction!$B$2:$B$8421,A1129,Transaction!$H$2:$H$8421)</f>
        <v>21519</v>
      </c>
      <c r="M1129" s="6" t="n">
        <f aca="false">Summary!$B$3-J1129</f>
        <v>24</v>
      </c>
      <c r="N1129" s="6" t="str">
        <f aca="false">IF(K1129&gt;1,"Yes","No")</f>
        <v>Yes</v>
      </c>
      <c r="O1129" s="6" t="s">
        <v>45</v>
      </c>
    </row>
    <row r="1130" customFormat="false" ht="15" hidden="false" customHeight="false" outlineLevel="0" collapsed="false">
      <c r="A1130" s="6" t="s">
        <v>2369</v>
      </c>
      <c r="B1130" s="6" t="s">
        <v>2370</v>
      </c>
      <c r="C1130" s="6" t="s">
        <v>85</v>
      </c>
      <c r="D1130" s="6" t="n">
        <v>34</v>
      </c>
      <c r="E1130" s="6" t="s">
        <v>81</v>
      </c>
      <c r="F1130" s="6" t="s">
        <v>82</v>
      </c>
      <c r="G1130" s="26" t="n">
        <v>46042</v>
      </c>
      <c r="H1130" s="6" t="s">
        <v>78</v>
      </c>
      <c r="I1130" s="26" t="n">
        <f aca="false">_xlfn.MINIFS(Transaction!$C$2:$C$8421,Transaction!$B$2:$B$8421,A1130)</f>
        <v>46067</v>
      </c>
      <c r="J1130" s="26" t="n">
        <f aca="false">_xlfn.MAXIFS(Transaction!$C$2:$C$8421,Transaction!$B$2:$B$8421,A1130)</f>
        <v>46207</v>
      </c>
      <c r="K1130" s="6" t="n">
        <f aca="false">COUNTIF(Transaction!$B$2:$B$8421,A1130)</f>
        <v>3</v>
      </c>
      <c r="L1130" s="10" t="n">
        <f aca="false">SUMIF(Transaction!$B$2:$B$8421,A1130,Transaction!$H$2:$H$8421)</f>
        <v>6554</v>
      </c>
      <c r="M1130" s="6" t="n">
        <f aca="false">Summary!$B$3-J1130</f>
        <v>59</v>
      </c>
      <c r="N1130" s="6" t="str">
        <f aca="false">IF(K1130&gt;1,"Yes","No")</f>
        <v>Yes</v>
      </c>
      <c r="O1130" s="6" t="s">
        <v>46</v>
      </c>
    </row>
    <row r="1131" customFormat="false" ht="15" hidden="false" customHeight="false" outlineLevel="0" collapsed="false">
      <c r="A1131" s="6" t="s">
        <v>2371</v>
      </c>
      <c r="B1131" s="6" t="s">
        <v>2372</v>
      </c>
      <c r="C1131" s="6" t="s">
        <v>75</v>
      </c>
      <c r="D1131" s="6" t="n">
        <v>23</v>
      </c>
      <c r="E1131" s="6" t="s">
        <v>76</v>
      </c>
      <c r="F1131" s="6" t="s">
        <v>77</v>
      </c>
      <c r="G1131" s="26" t="n">
        <v>46112</v>
      </c>
      <c r="H1131" s="6" t="s">
        <v>115</v>
      </c>
      <c r="I1131" s="26" t="n">
        <f aca="false">_xlfn.MINIFS(Transaction!$C$2:$C$8421,Transaction!$B$2:$B$8421,A1131)</f>
        <v>46159</v>
      </c>
      <c r="J1131" s="26" t="n">
        <f aca="false">_xlfn.MAXIFS(Transaction!$C$2:$C$8421,Transaction!$B$2:$B$8421,A1131)</f>
        <v>46159</v>
      </c>
      <c r="K1131" s="6" t="n">
        <f aca="false">COUNTIF(Transaction!$B$2:$B$8421,A1131)</f>
        <v>1</v>
      </c>
      <c r="L1131" s="10" t="n">
        <f aca="false">SUMIF(Transaction!$B$2:$B$8421,A1131,Transaction!$H$2:$H$8421)</f>
        <v>324</v>
      </c>
      <c r="M1131" s="6" t="n">
        <f aca="false">Summary!$B$3-J1131</f>
        <v>107</v>
      </c>
      <c r="N1131" s="6" t="str">
        <f aca="false">IF(K1131&gt;1,"Yes","No")</f>
        <v>No</v>
      </c>
      <c r="O1131" s="6" t="s">
        <v>48</v>
      </c>
    </row>
    <row r="1132" customFormat="false" ht="15" hidden="false" customHeight="false" outlineLevel="0" collapsed="false">
      <c r="A1132" s="6" t="s">
        <v>2373</v>
      </c>
      <c r="B1132" s="6" t="s">
        <v>2374</v>
      </c>
      <c r="C1132" s="6" t="s">
        <v>85</v>
      </c>
      <c r="D1132" s="6" t="n">
        <v>43</v>
      </c>
      <c r="E1132" s="6" t="s">
        <v>95</v>
      </c>
      <c r="F1132" s="6" t="s">
        <v>95</v>
      </c>
      <c r="G1132" s="26" t="n">
        <v>46049</v>
      </c>
      <c r="H1132" s="6" t="s">
        <v>123</v>
      </c>
      <c r="I1132" s="26" t="n">
        <f aca="false">_xlfn.MINIFS(Transaction!$C$2:$C$8421,Transaction!$B$2:$B$8421,A1132)</f>
        <v>46059</v>
      </c>
      <c r="J1132" s="26" t="n">
        <f aca="false">_xlfn.MAXIFS(Transaction!$C$2:$C$8421,Transaction!$B$2:$B$8421,A1132)</f>
        <v>46059</v>
      </c>
      <c r="K1132" s="6" t="n">
        <f aca="false">COUNTIF(Transaction!$B$2:$B$8421,A1132)</f>
        <v>1</v>
      </c>
      <c r="L1132" s="10" t="n">
        <f aca="false">SUMIF(Transaction!$B$2:$B$8421,A1132,Transaction!$H$2:$H$8421)</f>
        <v>1466</v>
      </c>
      <c r="M1132" s="6" t="n">
        <f aca="false">Summary!$B$3-J1132</f>
        <v>207</v>
      </c>
      <c r="N1132" s="6" t="str">
        <f aca="false">IF(K1132&gt;1,"Yes","No")</f>
        <v>No</v>
      </c>
      <c r="O1132" s="6" t="s">
        <v>49</v>
      </c>
    </row>
    <row r="1133" customFormat="false" ht="15" hidden="false" customHeight="false" outlineLevel="0" collapsed="false">
      <c r="A1133" s="6" t="s">
        <v>2375</v>
      </c>
      <c r="B1133" s="6" t="s">
        <v>2376</v>
      </c>
      <c r="C1133" s="6" t="s">
        <v>85</v>
      </c>
      <c r="D1133" s="6" t="n">
        <v>21</v>
      </c>
      <c r="E1133" s="6" t="s">
        <v>95</v>
      </c>
      <c r="F1133" s="6" t="s">
        <v>95</v>
      </c>
      <c r="G1133" s="26" t="n">
        <v>46089</v>
      </c>
      <c r="H1133" s="6" t="s">
        <v>88</v>
      </c>
      <c r="I1133" s="26" t="n">
        <f aca="false">_xlfn.MINIFS(Transaction!$C$2:$C$8421,Transaction!$B$2:$B$8421,A1133)</f>
        <v>46101</v>
      </c>
      <c r="J1133" s="26" t="n">
        <f aca="false">_xlfn.MAXIFS(Transaction!$C$2:$C$8421,Transaction!$B$2:$B$8421,A1133)</f>
        <v>46101</v>
      </c>
      <c r="K1133" s="6" t="n">
        <f aca="false">COUNTIF(Transaction!$B$2:$B$8421,A1133)</f>
        <v>1</v>
      </c>
      <c r="L1133" s="10" t="n">
        <f aca="false">SUMIF(Transaction!$B$2:$B$8421,A1133,Transaction!$H$2:$H$8421)</f>
        <v>780</v>
      </c>
      <c r="M1133" s="6" t="n">
        <f aca="false">Summary!$B$3-J1133</f>
        <v>165</v>
      </c>
      <c r="N1133" s="6" t="str">
        <f aca="false">IF(K1133&gt;1,"Yes","No")</f>
        <v>No</v>
      </c>
      <c r="O1133" s="6" t="s">
        <v>49</v>
      </c>
    </row>
    <row r="1134" customFormat="false" ht="15" hidden="false" customHeight="false" outlineLevel="0" collapsed="false">
      <c r="A1134" s="6" t="s">
        <v>2377</v>
      </c>
      <c r="B1134" s="6" t="s">
        <v>2378</v>
      </c>
      <c r="C1134" s="6" t="s">
        <v>85</v>
      </c>
      <c r="D1134" s="6" t="n">
        <v>45</v>
      </c>
      <c r="E1134" s="6" t="s">
        <v>321</v>
      </c>
      <c r="F1134" s="6" t="s">
        <v>321</v>
      </c>
      <c r="G1134" s="26" t="n">
        <v>45975</v>
      </c>
      <c r="H1134" s="6" t="s">
        <v>78</v>
      </c>
      <c r="I1134" s="26" t="n">
        <f aca="false">_xlfn.MINIFS(Transaction!$C$2:$C$8421,Transaction!$B$2:$B$8421,A1134)</f>
        <v>46061</v>
      </c>
      <c r="J1134" s="26" t="n">
        <f aca="false">_xlfn.MAXIFS(Transaction!$C$2:$C$8421,Transaction!$B$2:$B$8421,A1134)</f>
        <v>46242</v>
      </c>
      <c r="K1134" s="6" t="n">
        <f aca="false">COUNTIF(Transaction!$B$2:$B$8421,A1134)</f>
        <v>8</v>
      </c>
      <c r="L1134" s="10" t="n">
        <f aca="false">SUMIF(Transaction!$B$2:$B$8421,A1134,Transaction!$H$2:$H$8421)</f>
        <v>8722</v>
      </c>
      <c r="M1134" s="6" t="n">
        <f aca="false">Summary!$B$3-J1134</f>
        <v>24</v>
      </c>
      <c r="N1134" s="6" t="str">
        <f aca="false">IF(K1134&gt;1,"Yes","No")</f>
        <v>Yes</v>
      </c>
      <c r="O1134" s="6" t="s">
        <v>45</v>
      </c>
    </row>
    <row r="1135" customFormat="false" ht="15" hidden="false" customHeight="false" outlineLevel="0" collapsed="false">
      <c r="A1135" s="6" t="s">
        <v>2379</v>
      </c>
      <c r="B1135" s="6" t="s">
        <v>2380</v>
      </c>
      <c r="C1135" s="6" t="s">
        <v>85</v>
      </c>
      <c r="D1135" s="6" t="n">
        <v>21</v>
      </c>
      <c r="E1135" s="6" t="s">
        <v>76</v>
      </c>
      <c r="F1135" s="6" t="s">
        <v>77</v>
      </c>
      <c r="G1135" s="26" t="n">
        <v>46024</v>
      </c>
      <c r="H1135" s="6" t="s">
        <v>92</v>
      </c>
      <c r="I1135" s="26" t="n">
        <f aca="false">_xlfn.MINIFS(Transaction!$C$2:$C$8421,Transaction!$B$2:$B$8421,A1135)</f>
        <v>46099</v>
      </c>
      <c r="J1135" s="26" t="n">
        <f aca="false">_xlfn.MAXIFS(Transaction!$C$2:$C$8421,Transaction!$B$2:$B$8421,A1135)</f>
        <v>46099</v>
      </c>
      <c r="K1135" s="6" t="n">
        <f aca="false">COUNTIF(Transaction!$B$2:$B$8421,A1135)</f>
        <v>1</v>
      </c>
      <c r="L1135" s="10" t="n">
        <f aca="false">SUMIF(Transaction!$B$2:$B$8421,A1135,Transaction!$H$2:$H$8421)</f>
        <v>3360</v>
      </c>
      <c r="M1135" s="6" t="n">
        <f aca="false">Summary!$B$3-J1135</f>
        <v>167</v>
      </c>
      <c r="N1135" s="6" t="str">
        <f aca="false">IF(K1135&gt;1,"Yes","No")</f>
        <v>No</v>
      </c>
      <c r="O1135" s="6" t="s">
        <v>49</v>
      </c>
    </row>
    <row r="1136" customFormat="false" ht="15" hidden="false" customHeight="false" outlineLevel="0" collapsed="false">
      <c r="A1136" s="6" t="s">
        <v>2381</v>
      </c>
      <c r="B1136" s="6" t="s">
        <v>2382</v>
      </c>
      <c r="C1136" s="6" t="s">
        <v>85</v>
      </c>
      <c r="D1136" s="6" t="n">
        <v>39</v>
      </c>
      <c r="E1136" s="6" t="s">
        <v>86</v>
      </c>
      <c r="F1136" s="6" t="s">
        <v>87</v>
      </c>
      <c r="G1136" s="26" t="n">
        <v>45977</v>
      </c>
      <c r="H1136" s="6" t="s">
        <v>88</v>
      </c>
      <c r="I1136" s="26" t="n">
        <f aca="false">_xlfn.MINIFS(Transaction!$C$2:$C$8421,Transaction!$B$2:$B$8421,A1136)</f>
        <v>46055</v>
      </c>
      <c r="J1136" s="26" t="n">
        <f aca="false">_xlfn.MAXIFS(Transaction!$C$2:$C$8421,Transaction!$B$2:$B$8421,A1136)</f>
        <v>46250</v>
      </c>
      <c r="K1136" s="6" t="n">
        <f aca="false">COUNTIF(Transaction!$B$2:$B$8421,A1136)</f>
        <v>7</v>
      </c>
      <c r="L1136" s="10" t="n">
        <f aca="false">SUMIF(Transaction!$B$2:$B$8421,A1136,Transaction!$H$2:$H$8421)</f>
        <v>10280</v>
      </c>
      <c r="M1136" s="6" t="n">
        <f aca="false">Summary!$B$3-J1136</f>
        <v>16</v>
      </c>
      <c r="N1136" s="6" t="str">
        <f aca="false">IF(K1136&gt;1,"Yes","No")</f>
        <v>Yes</v>
      </c>
      <c r="O1136" s="6" t="s">
        <v>45</v>
      </c>
    </row>
    <row r="1137" customFormat="false" ht="15" hidden="false" customHeight="false" outlineLevel="0" collapsed="false">
      <c r="A1137" s="6" t="s">
        <v>2383</v>
      </c>
      <c r="B1137" s="6" t="s">
        <v>2384</v>
      </c>
      <c r="C1137" s="6" t="s">
        <v>85</v>
      </c>
      <c r="D1137" s="6" t="n">
        <v>24</v>
      </c>
      <c r="E1137" s="6" t="s">
        <v>321</v>
      </c>
      <c r="F1137" s="6" t="s">
        <v>321</v>
      </c>
      <c r="G1137" s="26" t="n">
        <v>46220</v>
      </c>
      <c r="H1137" s="6" t="s">
        <v>102</v>
      </c>
      <c r="I1137" s="26" t="n">
        <f aca="false">_xlfn.MINIFS(Transaction!$C$2:$C$8421,Transaction!$B$2:$B$8421,A1137)</f>
        <v>46231</v>
      </c>
      <c r="J1137" s="26" t="n">
        <f aca="false">_xlfn.MAXIFS(Transaction!$C$2:$C$8421,Transaction!$B$2:$B$8421,A1137)</f>
        <v>46231</v>
      </c>
      <c r="K1137" s="6" t="n">
        <f aca="false">COUNTIF(Transaction!$B$2:$B$8421,A1137)</f>
        <v>1</v>
      </c>
      <c r="L1137" s="10" t="n">
        <f aca="false">SUMIF(Transaction!$B$2:$B$8421,A1137,Transaction!$H$2:$H$8421)</f>
        <v>610</v>
      </c>
      <c r="M1137" s="6" t="n">
        <f aca="false">Summary!$B$3-J1137</f>
        <v>35</v>
      </c>
      <c r="N1137" s="6" t="str">
        <f aca="false">IF(K1137&gt;1,"Yes","No")</f>
        <v>No</v>
      </c>
      <c r="O1137" s="6" t="s">
        <v>47</v>
      </c>
    </row>
    <row r="1138" customFormat="false" ht="15" hidden="false" customHeight="false" outlineLevel="0" collapsed="false">
      <c r="A1138" s="6" t="s">
        <v>2385</v>
      </c>
      <c r="B1138" s="6" t="s">
        <v>2386</v>
      </c>
      <c r="C1138" s="6" t="s">
        <v>75</v>
      </c>
      <c r="D1138" s="6" t="n">
        <v>32</v>
      </c>
      <c r="E1138" s="6" t="s">
        <v>176</v>
      </c>
      <c r="F1138" s="6" t="s">
        <v>177</v>
      </c>
      <c r="G1138" s="26" t="n">
        <v>46072</v>
      </c>
      <c r="H1138" s="6" t="s">
        <v>102</v>
      </c>
      <c r="I1138" s="26" t="n">
        <f aca="false">_xlfn.MINIFS(Transaction!$C$2:$C$8421,Transaction!$B$2:$B$8421,A1138)</f>
        <v>46147</v>
      </c>
      <c r="J1138" s="26" t="n">
        <f aca="false">_xlfn.MAXIFS(Transaction!$C$2:$C$8421,Transaction!$B$2:$B$8421,A1138)</f>
        <v>46147</v>
      </c>
      <c r="K1138" s="6" t="n">
        <f aca="false">COUNTIF(Transaction!$B$2:$B$8421,A1138)</f>
        <v>1</v>
      </c>
      <c r="L1138" s="10" t="n">
        <f aca="false">SUMIF(Transaction!$B$2:$B$8421,A1138,Transaction!$H$2:$H$8421)</f>
        <v>684</v>
      </c>
      <c r="M1138" s="6" t="n">
        <f aca="false">Summary!$B$3-J1138</f>
        <v>119</v>
      </c>
      <c r="N1138" s="6" t="str">
        <f aca="false">IF(K1138&gt;1,"Yes","No")</f>
        <v>No</v>
      </c>
      <c r="O1138" s="6" t="s">
        <v>48</v>
      </c>
    </row>
    <row r="1139" customFormat="false" ht="15" hidden="false" customHeight="false" outlineLevel="0" collapsed="false">
      <c r="A1139" s="6" t="s">
        <v>2387</v>
      </c>
      <c r="B1139" s="6" t="s">
        <v>2388</v>
      </c>
      <c r="C1139" s="6" t="s">
        <v>75</v>
      </c>
      <c r="D1139" s="6" t="n">
        <v>32</v>
      </c>
      <c r="E1139" s="6" t="s">
        <v>81</v>
      </c>
      <c r="F1139" s="6" t="s">
        <v>82</v>
      </c>
      <c r="G1139" s="26" t="n">
        <v>46185</v>
      </c>
      <c r="H1139" s="6" t="s">
        <v>102</v>
      </c>
      <c r="I1139" s="26" t="n">
        <f aca="false">_xlfn.MINIFS(Transaction!$C$2:$C$8421,Transaction!$B$2:$B$8421,A1139)</f>
        <v>46191</v>
      </c>
      <c r="J1139" s="26" t="n">
        <f aca="false">_xlfn.MAXIFS(Transaction!$C$2:$C$8421,Transaction!$B$2:$B$8421,A1139)</f>
        <v>46191</v>
      </c>
      <c r="K1139" s="6" t="n">
        <f aca="false">COUNTIF(Transaction!$B$2:$B$8421,A1139)</f>
        <v>1</v>
      </c>
      <c r="L1139" s="10" t="n">
        <f aca="false">SUMIF(Transaction!$B$2:$B$8421,A1139,Transaction!$H$2:$H$8421)</f>
        <v>534</v>
      </c>
      <c r="M1139" s="6" t="n">
        <f aca="false">Summary!$B$3-J1139</f>
        <v>75</v>
      </c>
      <c r="N1139" s="6" t="str">
        <f aca="false">IF(K1139&gt;1,"Yes","No")</f>
        <v>No</v>
      </c>
      <c r="O1139" s="6" t="s">
        <v>47</v>
      </c>
    </row>
    <row r="1140" customFormat="false" ht="15" hidden="false" customHeight="false" outlineLevel="0" collapsed="false">
      <c r="A1140" s="6" t="s">
        <v>2389</v>
      </c>
      <c r="B1140" s="6" t="s">
        <v>2390</v>
      </c>
      <c r="C1140" s="6" t="s">
        <v>75</v>
      </c>
      <c r="D1140" s="6" t="n">
        <v>29</v>
      </c>
      <c r="E1140" s="6" t="s">
        <v>264</v>
      </c>
      <c r="F1140" s="6" t="s">
        <v>106</v>
      </c>
      <c r="G1140" s="26" t="n">
        <v>46125</v>
      </c>
      <c r="H1140" s="6" t="s">
        <v>115</v>
      </c>
      <c r="I1140" s="26" t="n">
        <f aca="false">_xlfn.MINIFS(Transaction!$C$2:$C$8421,Transaction!$B$2:$B$8421,A1140)</f>
        <v>46179</v>
      </c>
      <c r="J1140" s="26" t="n">
        <f aca="false">_xlfn.MAXIFS(Transaction!$C$2:$C$8421,Transaction!$B$2:$B$8421,A1140)</f>
        <v>46179</v>
      </c>
      <c r="K1140" s="6" t="n">
        <f aca="false">COUNTIF(Transaction!$B$2:$B$8421,A1140)</f>
        <v>1</v>
      </c>
      <c r="L1140" s="10" t="n">
        <f aca="false">SUMIF(Transaction!$B$2:$B$8421,A1140,Transaction!$H$2:$H$8421)</f>
        <v>1768</v>
      </c>
      <c r="M1140" s="6" t="n">
        <f aca="false">Summary!$B$3-J1140</f>
        <v>87</v>
      </c>
      <c r="N1140" s="6" t="str">
        <f aca="false">IF(K1140&gt;1,"Yes","No")</f>
        <v>No</v>
      </c>
      <c r="O1140" s="6" t="s">
        <v>47</v>
      </c>
    </row>
    <row r="1141" customFormat="false" ht="15" hidden="false" customHeight="false" outlineLevel="0" collapsed="false">
      <c r="A1141" s="6" t="s">
        <v>2391</v>
      </c>
      <c r="B1141" s="6" t="s">
        <v>2392</v>
      </c>
      <c r="C1141" s="6" t="s">
        <v>75</v>
      </c>
      <c r="D1141" s="6" t="n">
        <v>40</v>
      </c>
      <c r="E1141" s="6" t="s">
        <v>146</v>
      </c>
      <c r="F1141" s="6" t="s">
        <v>147</v>
      </c>
      <c r="G1141" s="26" t="n">
        <v>45992</v>
      </c>
      <c r="H1141" s="6" t="s">
        <v>123</v>
      </c>
      <c r="I1141" s="26" t="n">
        <f aca="false">_xlfn.MINIFS(Transaction!$C$2:$C$8421,Transaction!$B$2:$B$8421,A1141)</f>
        <v>46044</v>
      </c>
      <c r="J1141" s="26" t="n">
        <f aca="false">_xlfn.MAXIFS(Transaction!$C$2:$C$8421,Transaction!$B$2:$B$8421,A1141)</f>
        <v>46189</v>
      </c>
      <c r="K1141" s="6" t="n">
        <f aca="false">COUNTIF(Transaction!$B$2:$B$8421,A1141)</f>
        <v>5</v>
      </c>
      <c r="L1141" s="10" t="n">
        <f aca="false">SUMIF(Transaction!$B$2:$B$8421,A1141,Transaction!$H$2:$H$8421)</f>
        <v>5937</v>
      </c>
      <c r="M1141" s="6" t="n">
        <f aca="false">Summary!$B$3-J1141</f>
        <v>77</v>
      </c>
      <c r="N1141" s="6" t="str">
        <f aca="false">IF(K1141&gt;1,"Yes","No")</f>
        <v>Yes</v>
      </c>
      <c r="O1141" s="6" t="s">
        <v>46</v>
      </c>
    </row>
    <row r="1142" customFormat="false" ht="15" hidden="false" customHeight="false" outlineLevel="0" collapsed="false">
      <c r="A1142" s="6" t="s">
        <v>2393</v>
      </c>
      <c r="B1142" s="6" t="s">
        <v>2394</v>
      </c>
      <c r="C1142" s="6" t="s">
        <v>75</v>
      </c>
      <c r="D1142" s="6" t="n">
        <v>38</v>
      </c>
      <c r="E1142" s="6" t="s">
        <v>76</v>
      </c>
      <c r="F1142" s="6" t="s">
        <v>77</v>
      </c>
      <c r="G1142" s="26" t="n">
        <v>46170</v>
      </c>
      <c r="H1142" s="6" t="s">
        <v>78</v>
      </c>
      <c r="I1142" s="26" t="n">
        <f aca="false">_xlfn.MINIFS(Transaction!$C$2:$C$8421,Transaction!$B$2:$B$8421,A1142)</f>
        <v>46260</v>
      </c>
      <c r="J1142" s="26" t="n">
        <f aca="false">_xlfn.MAXIFS(Transaction!$C$2:$C$8421,Transaction!$B$2:$B$8421,A1142)</f>
        <v>46260</v>
      </c>
      <c r="K1142" s="6" t="n">
        <f aca="false">COUNTIF(Transaction!$B$2:$B$8421,A1142)</f>
        <v>1</v>
      </c>
      <c r="L1142" s="10" t="n">
        <f aca="false">SUMIF(Transaction!$B$2:$B$8421,A1142,Transaction!$H$2:$H$8421)</f>
        <v>2036</v>
      </c>
      <c r="M1142" s="6" t="n">
        <f aca="false">Summary!$B$3-J1142</f>
        <v>6</v>
      </c>
      <c r="N1142" s="6" t="str">
        <f aca="false">IF(K1142&gt;1,"Yes","No")</f>
        <v>No</v>
      </c>
      <c r="O1142" s="6" t="s">
        <v>47</v>
      </c>
    </row>
    <row r="1143" customFormat="false" ht="15" hidden="false" customHeight="false" outlineLevel="0" collapsed="false">
      <c r="A1143" s="6" t="s">
        <v>2395</v>
      </c>
      <c r="B1143" s="6" t="s">
        <v>2396</v>
      </c>
      <c r="C1143" s="6" t="s">
        <v>75</v>
      </c>
      <c r="D1143" s="6" t="n">
        <v>46</v>
      </c>
      <c r="E1143" s="6" t="s">
        <v>264</v>
      </c>
      <c r="F1143" s="6" t="s">
        <v>106</v>
      </c>
      <c r="G1143" s="26" t="n">
        <v>46156</v>
      </c>
      <c r="H1143" s="6" t="s">
        <v>78</v>
      </c>
      <c r="I1143" s="26" t="n">
        <f aca="false">_xlfn.MINIFS(Transaction!$C$2:$C$8421,Transaction!$B$2:$B$8421,A1143)</f>
        <v>46159</v>
      </c>
      <c r="J1143" s="26" t="n">
        <f aca="false">_xlfn.MAXIFS(Transaction!$C$2:$C$8421,Transaction!$B$2:$B$8421,A1143)</f>
        <v>46159</v>
      </c>
      <c r="K1143" s="6" t="n">
        <f aca="false">COUNTIF(Transaction!$B$2:$B$8421,A1143)</f>
        <v>1</v>
      </c>
      <c r="L1143" s="10" t="n">
        <f aca="false">SUMIF(Transaction!$B$2:$B$8421,A1143,Transaction!$H$2:$H$8421)</f>
        <v>1277</v>
      </c>
      <c r="M1143" s="6" t="n">
        <f aca="false">Summary!$B$3-J1143</f>
        <v>107</v>
      </c>
      <c r="N1143" s="6" t="str">
        <f aca="false">IF(K1143&gt;1,"Yes","No")</f>
        <v>No</v>
      </c>
      <c r="O1143" s="6" t="s">
        <v>48</v>
      </c>
    </row>
    <row r="1144" customFormat="false" ht="15" hidden="false" customHeight="false" outlineLevel="0" collapsed="false">
      <c r="A1144" s="6" t="s">
        <v>2397</v>
      </c>
      <c r="B1144" s="6" t="s">
        <v>2398</v>
      </c>
      <c r="C1144" s="6" t="s">
        <v>75</v>
      </c>
      <c r="D1144" s="6" t="n">
        <v>26</v>
      </c>
      <c r="E1144" s="6" t="s">
        <v>118</v>
      </c>
      <c r="F1144" s="6" t="s">
        <v>77</v>
      </c>
      <c r="G1144" s="26" t="n">
        <v>46182</v>
      </c>
      <c r="H1144" s="6" t="s">
        <v>102</v>
      </c>
      <c r="I1144" s="26" t="n">
        <f aca="false">_xlfn.MINIFS(Transaction!$C$2:$C$8421,Transaction!$B$2:$B$8421,A1144)</f>
        <v>46256</v>
      </c>
      <c r="J1144" s="26" t="n">
        <f aca="false">_xlfn.MAXIFS(Transaction!$C$2:$C$8421,Transaction!$B$2:$B$8421,A1144)</f>
        <v>46256</v>
      </c>
      <c r="K1144" s="6" t="n">
        <f aca="false">COUNTIF(Transaction!$B$2:$B$8421,A1144)</f>
        <v>1</v>
      </c>
      <c r="L1144" s="10" t="n">
        <f aca="false">SUMIF(Transaction!$B$2:$B$8421,A1144,Transaction!$H$2:$H$8421)</f>
        <v>1760</v>
      </c>
      <c r="M1144" s="6" t="n">
        <f aca="false">Summary!$B$3-J1144</f>
        <v>10</v>
      </c>
      <c r="N1144" s="6" t="str">
        <f aca="false">IF(K1144&gt;1,"Yes","No")</f>
        <v>No</v>
      </c>
      <c r="O1144" s="6" t="s">
        <v>47</v>
      </c>
    </row>
    <row r="1145" customFormat="false" ht="15" hidden="false" customHeight="false" outlineLevel="0" collapsed="false">
      <c r="A1145" s="6" t="s">
        <v>2399</v>
      </c>
      <c r="B1145" s="6" t="s">
        <v>2400</v>
      </c>
      <c r="C1145" s="6" t="s">
        <v>85</v>
      </c>
      <c r="D1145" s="6" t="n">
        <v>18</v>
      </c>
      <c r="E1145" s="6" t="s">
        <v>321</v>
      </c>
      <c r="F1145" s="6" t="s">
        <v>321</v>
      </c>
      <c r="G1145" s="26" t="n">
        <v>45966</v>
      </c>
      <c r="H1145" s="6" t="s">
        <v>88</v>
      </c>
      <c r="I1145" s="26" t="n">
        <f aca="false">_xlfn.MINIFS(Transaction!$C$2:$C$8421,Transaction!$B$2:$B$8421,A1145)</f>
        <v>46031</v>
      </c>
      <c r="J1145" s="26" t="n">
        <f aca="false">_xlfn.MAXIFS(Transaction!$C$2:$C$8421,Transaction!$B$2:$B$8421,A1145)</f>
        <v>46031</v>
      </c>
      <c r="K1145" s="6" t="n">
        <f aca="false">COUNTIF(Transaction!$B$2:$B$8421,A1145)</f>
        <v>1</v>
      </c>
      <c r="L1145" s="10" t="n">
        <f aca="false">SUMIF(Transaction!$B$2:$B$8421,A1145,Transaction!$H$2:$H$8421)</f>
        <v>1954</v>
      </c>
      <c r="M1145" s="6" t="n">
        <f aca="false">Summary!$B$3-J1145</f>
        <v>235</v>
      </c>
      <c r="N1145" s="6" t="str">
        <f aca="false">IF(K1145&gt;1,"Yes","No")</f>
        <v>No</v>
      </c>
      <c r="O1145" s="6" t="s">
        <v>49</v>
      </c>
    </row>
    <row r="1146" customFormat="false" ht="15" hidden="false" customHeight="false" outlineLevel="0" collapsed="false">
      <c r="A1146" s="6" t="s">
        <v>2401</v>
      </c>
      <c r="B1146" s="6" t="s">
        <v>2402</v>
      </c>
      <c r="C1146" s="6" t="s">
        <v>75</v>
      </c>
      <c r="D1146" s="6" t="n">
        <v>43</v>
      </c>
      <c r="E1146" s="6" t="s">
        <v>176</v>
      </c>
      <c r="F1146" s="6" t="s">
        <v>177</v>
      </c>
      <c r="G1146" s="26" t="n">
        <v>46231</v>
      </c>
      <c r="H1146" s="6" t="s">
        <v>92</v>
      </c>
      <c r="I1146" s="26" t="n">
        <f aca="false">_xlfn.MINIFS(Transaction!$C$2:$C$8421,Transaction!$B$2:$B$8421,A1146)</f>
        <v>46260</v>
      </c>
      <c r="J1146" s="26" t="n">
        <f aca="false">_xlfn.MAXIFS(Transaction!$C$2:$C$8421,Transaction!$B$2:$B$8421,A1146)</f>
        <v>46260</v>
      </c>
      <c r="K1146" s="6" t="n">
        <f aca="false">COUNTIF(Transaction!$B$2:$B$8421,A1146)</f>
        <v>1</v>
      </c>
      <c r="L1146" s="10" t="n">
        <f aca="false">SUMIF(Transaction!$B$2:$B$8421,A1146,Transaction!$H$2:$H$8421)</f>
        <v>6392</v>
      </c>
      <c r="M1146" s="6" t="n">
        <f aca="false">Summary!$B$3-J1146</f>
        <v>6</v>
      </c>
      <c r="N1146" s="6" t="str">
        <f aca="false">IF(K1146&gt;1,"Yes","No")</f>
        <v>No</v>
      </c>
      <c r="O1146" s="6" t="s">
        <v>47</v>
      </c>
    </row>
    <row r="1147" customFormat="false" ht="15" hidden="false" customHeight="false" outlineLevel="0" collapsed="false">
      <c r="A1147" s="6" t="s">
        <v>2403</v>
      </c>
      <c r="B1147" s="6" t="s">
        <v>2404</v>
      </c>
      <c r="C1147" s="6" t="s">
        <v>85</v>
      </c>
      <c r="D1147" s="6" t="n">
        <v>33</v>
      </c>
      <c r="E1147" s="6" t="s">
        <v>95</v>
      </c>
      <c r="F1147" s="6" t="s">
        <v>95</v>
      </c>
      <c r="G1147" s="26" t="n">
        <v>46023</v>
      </c>
      <c r="H1147" s="6" t="s">
        <v>115</v>
      </c>
      <c r="I1147" s="26" t="n">
        <f aca="false">_xlfn.MINIFS(Transaction!$C$2:$C$8421,Transaction!$B$2:$B$8421,A1147)</f>
        <v>46049</v>
      </c>
      <c r="J1147" s="26" t="n">
        <f aca="false">_xlfn.MAXIFS(Transaction!$C$2:$C$8421,Transaction!$B$2:$B$8421,A1147)</f>
        <v>46189</v>
      </c>
      <c r="K1147" s="6" t="n">
        <f aca="false">COUNTIF(Transaction!$B$2:$B$8421,A1147)</f>
        <v>8</v>
      </c>
      <c r="L1147" s="10" t="n">
        <f aca="false">SUMIF(Transaction!$B$2:$B$8421,A1147,Transaction!$H$2:$H$8421)</f>
        <v>10902</v>
      </c>
      <c r="M1147" s="6" t="n">
        <f aca="false">Summary!$B$3-J1147</f>
        <v>77</v>
      </c>
      <c r="N1147" s="6" t="str">
        <f aca="false">IF(K1147&gt;1,"Yes","No")</f>
        <v>Yes</v>
      </c>
      <c r="O1147" s="6" t="s">
        <v>46</v>
      </c>
    </row>
    <row r="1148" customFormat="false" ht="15" hidden="false" customHeight="false" outlineLevel="0" collapsed="false">
      <c r="A1148" s="6" t="s">
        <v>2405</v>
      </c>
      <c r="B1148" s="6" t="s">
        <v>2406</v>
      </c>
      <c r="C1148" s="6" t="s">
        <v>75</v>
      </c>
      <c r="D1148" s="6" t="n">
        <v>33</v>
      </c>
      <c r="E1148" s="6" t="s">
        <v>86</v>
      </c>
      <c r="F1148" s="6" t="s">
        <v>87</v>
      </c>
      <c r="G1148" s="26" t="n">
        <v>45999</v>
      </c>
      <c r="H1148" s="6" t="s">
        <v>78</v>
      </c>
      <c r="I1148" s="26" t="n">
        <f aca="false">_xlfn.MINIFS(Transaction!$C$2:$C$8421,Transaction!$B$2:$B$8421,A1148)</f>
        <v>46032</v>
      </c>
      <c r="J1148" s="26" t="n">
        <f aca="false">_xlfn.MAXIFS(Transaction!$C$2:$C$8421,Transaction!$B$2:$B$8421,A1148)</f>
        <v>46246</v>
      </c>
      <c r="K1148" s="6" t="n">
        <f aca="false">COUNTIF(Transaction!$B$2:$B$8421,A1148)</f>
        <v>10</v>
      </c>
      <c r="L1148" s="10" t="n">
        <f aca="false">SUMIF(Transaction!$B$2:$B$8421,A1148,Transaction!$H$2:$H$8421)</f>
        <v>135838</v>
      </c>
      <c r="M1148" s="6" t="n">
        <f aca="false">Summary!$B$3-J1148</f>
        <v>20</v>
      </c>
      <c r="N1148" s="6" t="str">
        <f aca="false">IF(K1148&gt;1,"Yes","No")</f>
        <v>Yes</v>
      </c>
      <c r="O1148" s="6" t="s">
        <v>45</v>
      </c>
    </row>
    <row r="1149" customFormat="false" ht="15" hidden="false" customHeight="false" outlineLevel="0" collapsed="false">
      <c r="A1149" s="6" t="s">
        <v>2407</v>
      </c>
      <c r="B1149" s="6" t="s">
        <v>2408</v>
      </c>
      <c r="C1149" s="6" t="s">
        <v>75</v>
      </c>
      <c r="D1149" s="6" t="n">
        <v>44</v>
      </c>
      <c r="E1149" s="6" t="s">
        <v>95</v>
      </c>
      <c r="F1149" s="6" t="s">
        <v>95</v>
      </c>
      <c r="G1149" s="26" t="n">
        <v>46069</v>
      </c>
      <c r="H1149" s="6" t="s">
        <v>78</v>
      </c>
      <c r="I1149" s="26" t="n">
        <f aca="false">_xlfn.MINIFS(Transaction!$C$2:$C$8421,Transaction!$B$2:$B$8421,A1149)</f>
        <v>46097</v>
      </c>
      <c r="J1149" s="26" t="n">
        <f aca="false">_xlfn.MAXIFS(Transaction!$C$2:$C$8421,Transaction!$B$2:$B$8421,A1149)</f>
        <v>46097</v>
      </c>
      <c r="K1149" s="6" t="n">
        <f aca="false">COUNTIF(Transaction!$B$2:$B$8421,A1149)</f>
        <v>1</v>
      </c>
      <c r="L1149" s="10" t="n">
        <f aca="false">SUMIF(Transaction!$B$2:$B$8421,A1149,Transaction!$H$2:$H$8421)</f>
        <v>1179</v>
      </c>
      <c r="M1149" s="6" t="n">
        <f aca="false">Summary!$B$3-J1149</f>
        <v>169</v>
      </c>
      <c r="N1149" s="6" t="str">
        <f aca="false">IF(K1149&gt;1,"Yes","No")</f>
        <v>No</v>
      </c>
      <c r="O1149" s="6" t="s">
        <v>49</v>
      </c>
    </row>
    <row r="1150" customFormat="false" ht="15" hidden="false" customHeight="false" outlineLevel="0" collapsed="false">
      <c r="A1150" s="6" t="s">
        <v>2409</v>
      </c>
      <c r="B1150" s="6" t="s">
        <v>2410</v>
      </c>
      <c r="C1150" s="6" t="s">
        <v>85</v>
      </c>
      <c r="D1150" s="6" t="n">
        <v>36</v>
      </c>
      <c r="E1150" s="6" t="s">
        <v>95</v>
      </c>
      <c r="F1150" s="6" t="s">
        <v>95</v>
      </c>
      <c r="G1150" s="26" t="n">
        <v>46184</v>
      </c>
      <c r="H1150" s="6" t="s">
        <v>78</v>
      </c>
      <c r="I1150" s="26" t="n">
        <f aca="false">_xlfn.MINIFS(Transaction!$C$2:$C$8421,Transaction!$B$2:$B$8421,A1150)</f>
        <v>46242</v>
      </c>
      <c r="J1150" s="26" t="n">
        <f aca="false">_xlfn.MAXIFS(Transaction!$C$2:$C$8421,Transaction!$B$2:$B$8421,A1150)</f>
        <v>46242</v>
      </c>
      <c r="K1150" s="6" t="n">
        <f aca="false">COUNTIF(Transaction!$B$2:$B$8421,A1150)</f>
        <v>1</v>
      </c>
      <c r="L1150" s="10" t="n">
        <f aca="false">SUMIF(Transaction!$B$2:$B$8421,A1150,Transaction!$H$2:$H$8421)</f>
        <v>1468</v>
      </c>
      <c r="M1150" s="6" t="n">
        <f aca="false">Summary!$B$3-J1150</f>
        <v>24</v>
      </c>
      <c r="N1150" s="6" t="str">
        <f aca="false">IF(K1150&gt;1,"Yes","No")</f>
        <v>No</v>
      </c>
      <c r="O1150" s="6" t="s">
        <v>47</v>
      </c>
    </row>
    <row r="1151" customFormat="false" ht="15" hidden="false" customHeight="false" outlineLevel="0" collapsed="false">
      <c r="A1151" s="6" t="s">
        <v>2411</v>
      </c>
      <c r="B1151" s="6" t="s">
        <v>2412</v>
      </c>
      <c r="C1151" s="6" t="s">
        <v>85</v>
      </c>
      <c r="D1151" s="6" t="n">
        <v>25</v>
      </c>
      <c r="E1151" s="6" t="s">
        <v>91</v>
      </c>
      <c r="F1151" s="6" t="s">
        <v>77</v>
      </c>
      <c r="G1151" s="26" t="n">
        <v>46144</v>
      </c>
      <c r="H1151" s="6" t="s">
        <v>115</v>
      </c>
      <c r="I1151" s="26" t="n">
        <f aca="false">_xlfn.MINIFS(Transaction!$C$2:$C$8421,Transaction!$B$2:$B$8421,A1151)</f>
        <v>46144</v>
      </c>
      <c r="J1151" s="26" t="n">
        <f aca="false">_xlfn.MAXIFS(Transaction!$C$2:$C$8421,Transaction!$B$2:$B$8421,A1151)</f>
        <v>46144</v>
      </c>
      <c r="K1151" s="6" t="n">
        <f aca="false">COUNTIF(Transaction!$B$2:$B$8421,A1151)</f>
        <v>1</v>
      </c>
      <c r="L1151" s="10" t="n">
        <f aca="false">SUMIF(Transaction!$B$2:$B$8421,A1151,Transaction!$H$2:$H$8421)</f>
        <v>1732</v>
      </c>
      <c r="M1151" s="6" t="n">
        <f aca="false">Summary!$B$3-J1151</f>
        <v>122</v>
      </c>
      <c r="N1151" s="6" t="str">
        <f aca="false">IF(K1151&gt;1,"Yes","No")</f>
        <v>No</v>
      </c>
      <c r="O1151" s="6" t="s">
        <v>48</v>
      </c>
    </row>
    <row r="1152" customFormat="false" ht="15" hidden="false" customHeight="false" outlineLevel="0" collapsed="false">
      <c r="A1152" s="6" t="s">
        <v>2413</v>
      </c>
      <c r="B1152" s="6" t="s">
        <v>2414</v>
      </c>
      <c r="C1152" s="6" t="s">
        <v>75</v>
      </c>
      <c r="D1152" s="6" t="n">
        <v>40</v>
      </c>
      <c r="E1152" s="6" t="s">
        <v>176</v>
      </c>
      <c r="F1152" s="6" t="s">
        <v>177</v>
      </c>
      <c r="G1152" s="26" t="n">
        <v>45951</v>
      </c>
      <c r="H1152" s="6" t="s">
        <v>92</v>
      </c>
      <c r="I1152" s="26" t="n">
        <f aca="false">_xlfn.MINIFS(Transaction!$C$2:$C$8421,Transaction!$B$2:$B$8421,A1152)</f>
        <v>46036</v>
      </c>
      <c r="J1152" s="26" t="n">
        <f aca="false">_xlfn.MAXIFS(Transaction!$C$2:$C$8421,Transaction!$B$2:$B$8421,A1152)</f>
        <v>46036</v>
      </c>
      <c r="K1152" s="6" t="n">
        <f aca="false">COUNTIF(Transaction!$B$2:$B$8421,A1152)</f>
        <v>1</v>
      </c>
      <c r="L1152" s="10" t="n">
        <f aca="false">SUMIF(Transaction!$B$2:$B$8421,A1152,Transaction!$H$2:$H$8421)</f>
        <v>397</v>
      </c>
      <c r="M1152" s="6" t="n">
        <f aca="false">Summary!$B$3-J1152</f>
        <v>230</v>
      </c>
      <c r="N1152" s="6" t="str">
        <f aca="false">IF(K1152&gt;1,"Yes","No")</f>
        <v>No</v>
      </c>
      <c r="O1152" s="6" t="s">
        <v>49</v>
      </c>
    </row>
    <row r="1153" customFormat="false" ht="15" hidden="false" customHeight="false" outlineLevel="0" collapsed="false">
      <c r="A1153" s="6" t="s">
        <v>2415</v>
      </c>
      <c r="B1153" s="6" t="s">
        <v>2416</v>
      </c>
      <c r="C1153" s="6" t="s">
        <v>85</v>
      </c>
      <c r="D1153" s="6" t="n">
        <v>43</v>
      </c>
      <c r="E1153" s="6" t="s">
        <v>81</v>
      </c>
      <c r="F1153" s="6" t="s">
        <v>82</v>
      </c>
      <c r="G1153" s="26" t="n">
        <v>46059</v>
      </c>
      <c r="H1153" s="6" t="s">
        <v>88</v>
      </c>
      <c r="I1153" s="26" t="n">
        <f aca="false">_xlfn.MINIFS(Transaction!$C$2:$C$8421,Transaction!$B$2:$B$8421,A1153)</f>
        <v>46077</v>
      </c>
      <c r="J1153" s="26" t="n">
        <f aca="false">_xlfn.MAXIFS(Transaction!$C$2:$C$8421,Transaction!$B$2:$B$8421,A1153)</f>
        <v>46207</v>
      </c>
      <c r="K1153" s="6" t="n">
        <f aca="false">COUNTIF(Transaction!$B$2:$B$8421,A1153)</f>
        <v>5</v>
      </c>
      <c r="L1153" s="10" t="n">
        <f aca="false">SUMIF(Transaction!$B$2:$B$8421,A1153,Transaction!$H$2:$H$8421)</f>
        <v>30811</v>
      </c>
      <c r="M1153" s="6" t="n">
        <f aca="false">Summary!$B$3-J1153</f>
        <v>59</v>
      </c>
      <c r="N1153" s="6" t="str">
        <f aca="false">IF(K1153&gt;1,"Yes","No")</f>
        <v>Yes</v>
      </c>
      <c r="O1153" s="6" t="s">
        <v>46</v>
      </c>
    </row>
    <row r="1154" customFormat="false" ht="15" hidden="false" customHeight="false" outlineLevel="0" collapsed="false">
      <c r="A1154" s="6" t="s">
        <v>2417</v>
      </c>
      <c r="B1154" s="6" t="s">
        <v>2418</v>
      </c>
      <c r="C1154" s="6" t="s">
        <v>75</v>
      </c>
      <c r="D1154" s="6" t="n">
        <v>22</v>
      </c>
      <c r="E1154" s="6" t="s">
        <v>95</v>
      </c>
      <c r="F1154" s="6" t="s">
        <v>95</v>
      </c>
      <c r="G1154" s="26" t="n">
        <v>45976</v>
      </c>
      <c r="H1154" s="6" t="s">
        <v>123</v>
      </c>
      <c r="I1154" s="26" t="n">
        <f aca="false">_xlfn.MINIFS(Transaction!$C$2:$C$8421,Transaction!$B$2:$B$8421,A1154)</f>
        <v>46036</v>
      </c>
      <c r="J1154" s="26" t="n">
        <f aca="false">_xlfn.MAXIFS(Transaction!$C$2:$C$8421,Transaction!$B$2:$B$8421,A1154)</f>
        <v>46036</v>
      </c>
      <c r="K1154" s="6" t="n">
        <f aca="false">COUNTIF(Transaction!$B$2:$B$8421,A1154)</f>
        <v>1</v>
      </c>
      <c r="L1154" s="10" t="n">
        <f aca="false">SUMIF(Transaction!$B$2:$B$8421,A1154,Transaction!$H$2:$H$8421)</f>
        <v>589</v>
      </c>
      <c r="M1154" s="6" t="n">
        <f aca="false">Summary!$B$3-J1154</f>
        <v>230</v>
      </c>
      <c r="N1154" s="6" t="str">
        <f aca="false">IF(K1154&gt;1,"Yes","No")</f>
        <v>No</v>
      </c>
      <c r="O1154" s="6" t="s">
        <v>49</v>
      </c>
    </row>
    <row r="1155" customFormat="false" ht="15" hidden="false" customHeight="false" outlineLevel="0" collapsed="false">
      <c r="A1155" s="6" t="s">
        <v>2419</v>
      </c>
      <c r="B1155" s="6" t="s">
        <v>2420</v>
      </c>
      <c r="C1155" s="6" t="s">
        <v>75</v>
      </c>
      <c r="D1155" s="6" t="n">
        <v>33</v>
      </c>
      <c r="E1155" s="6" t="s">
        <v>206</v>
      </c>
      <c r="F1155" s="6" t="s">
        <v>106</v>
      </c>
      <c r="G1155" s="26" t="n">
        <v>46039</v>
      </c>
      <c r="H1155" s="6" t="s">
        <v>92</v>
      </c>
      <c r="I1155" s="26" t="n">
        <f aca="false">_xlfn.MINIFS(Transaction!$C$2:$C$8421,Transaction!$B$2:$B$8421,A1155)</f>
        <v>46087</v>
      </c>
      <c r="J1155" s="26" t="n">
        <f aca="false">_xlfn.MAXIFS(Transaction!$C$2:$C$8421,Transaction!$B$2:$B$8421,A1155)</f>
        <v>46197</v>
      </c>
      <c r="K1155" s="6" t="n">
        <f aca="false">COUNTIF(Transaction!$B$2:$B$8421,A1155)</f>
        <v>7</v>
      </c>
      <c r="L1155" s="10" t="n">
        <f aca="false">SUMIF(Transaction!$B$2:$B$8421,A1155,Transaction!$H$2:$H$8421)</f>
        <v>12039</v>
      </c>
      <c r="M1155" s="6" t="n">
        <f aca="false">Summary!$B$3-J1155</f>
        <v>69</v>
      </c>
      <c r="N1155" s="6" t="str">
        <f aca="false">IF(K1155&gt;1,"Yes","No")</f>
        <v>Yes</v>
      </c>
      <c r="O1155" s="6" t="s">
        <v>46</v>
      </c>
    </row>
    <row r="1156" customFormat="false" ht="15" hidden="false" customHeight="false" outlineLevel="0" collapsed="false">
      <c r="A1156" s="6" t="s">
        <v>2421</v>
      </c>
      <c r="B1156" s="6" t="s">
        <v>2422</v>
      </c>
      <c r="C1156" s="6" t="s">
        <v>75</v>
      </c>
      <c r="D1156" s="6" t="n">
        <v>24</v>
      </c>
      <c r="E1156" s="6" t="s">
        <v>95</v>
      </c>
      <c r="F1156" s="6" t="s">
        <v>95</v>
      </c>
      <c r="G1156" s="26" t="n">
        <v>46037</v>
      </c>
      <c r="H1156" s="6" t="s">
        <v>78</v>
      </c>
      <c r="I1156" s="26" t="n">
        <f aca="false">_xlfn.MINIFS(Transaction!$C$2:$C$8421,Transaction!$B$2:$B$8421,A1156)</f>
        <v>46048</v>
      </c>
      <c r="J1156" s="26" t="n">
        <f aca="false">_xlfn.MAXIFS(Transaction!$C$2:$C$8421,Transaction!$B$2:$B$8421,A1156)</f>
        <v>46256</v>
      </c>
      <c r="K1156" s="6" t="n">
        <f aca="false">COUNTIF(Transaction!$B$2:$B$8421,A1156)</f>
        <v>9</v>
      </c>
      <c r="L1156" s="10" t="n">
        <f aca="false">SUMIF(Transaction!$B$2:$B$8421,A1156,Transaction!$H$2:$H$8421)</f>
        <v>17203</v>
      </c>
      <c r="M1156" s="6" t="n">
        <f aca="false">Summary!$B$3-J1156</f>
        <v>10</v>
      </c>
      <c r="N1156" s="6" t="str">
        <f aca="false">IF(K1156&gt;1,"Yes","No")</f>
        <v>Yes</v>
      </c>
      <c r="O1156" s="6" t="s">
        <v>45</v>
      </c>
    </row>
    <row r="1157" customFormat="false" ht="15" hidden="false" customHeight="false" outlineLevel="0" collapsed="false">
      <c r="A1157" s="6" t="s">
        <v>2423</v>
      </c>
      <c r="B1157" s="6" t="s">
        <v>2424</v>
      </c>
      <c r="C1157" s="6" t="s">
        <v>85</v>
      </c>
      <c r="D1157" s="6" t="n">
        <v>47</v>
      </c>
      <c r="E1157" s="6" t="s">
        <v>76</v>
      </c>
      <c r="F1157" s="6" t="s">
        <v>77</v>
      </c>
      <c r="G1157" s="26" t="n">
        <v>45995</v>
      </c>
      <c r="H1157" s="6" t="s">
        <v>78</v>
      </c>
      <c r="I1157" s="26" t="n">
        <f aca="false">_xlfn.MINIFS(Transaction!$C$2:$C$8421,Transaction!$B$2:$B$8421,A1157)</f>
        <v>46026</v>
      </c>
      <c r="J1157" s="26" t="n">
        <f aca="false">_xlfn.MAXIFS(Transaction!$C$2:$C$8421,Transaction!$B$2:$B$8421,A1157)</f>
        <v>46264</v>
      </c>
      <c r="K1157" s="6" t="n">
        <f aca="false">COUNTIF(Transaction!$B$2:$B$8421,A1157)</f>
        <v>7</v>
      </c>
      <c r="L1157" s="10" t="n">
        <f aca="false">SUMIF(Transaction!$B$2:$B$8421,A1157,Transaction!$H$2:$H$8421)</f>
        <v>12247</v>
      </c>
      <c r="M1157" s="6" t="n">
        <f aca="false">Summary!$B$3-J1157</f>
        <v>2</v>
      </c>
      <c r="N1157" s="6" t="str">
        <f aca="false">IF(K1157&gt;1,"Yes","No")</f>
        <v>Yes</v>
      </c>
      <c r="O1157" s="6" t="s">
        <v>45</v>
      </c>
    </row>
    <row r="1158" customFormat="false" ht="15" hidden="false" customHeight="false" outlineLevel="0" collapsed="false">
      <c r="A1158" s="6" t="s">
        <v>2425</v>
      </c>
      <c r="B1158" s="6" t="s">
        <v>2426</v>
      </c>
      <c r="C1158" s="6" t="s">
        <v>75</v>
      </c>
      <c r="D1158" s="6" t="n">
        <v>48</v>
      </c>
      <c r="E1158" s="6" t="s">
        <v>95</v>
      </c>
      <c r="F1158" s="6" t="s">
        <v>95</v>
      </c>
      <c r="G1158" s="26" t="n">
        <v>46139</v>
      </c>
      <c r="H1158" s="6" t="s">
        <v>92</v>
      </c>
      <c r="I1158" s="26" t="n">
        <f aca="false">_xlfn.MINIFS(Transaction!$C$2:$C$8421,Transaction!$B$2:$B$8421,A1158)</f>
        <v>46217</v>
      </c>
      <c r="J1158" s="26" t="n">
        <f aca="false">_xlfn.MAXIFS(Transaction!$C$2:$C$8421,Transaction!$B$2:$B$8421,A1158)</f>
        <v>46217</v>
      </c>
      <c r="K1158" s="6" t="n">
        <f aca="false">COUNTIF(Transaction!$B$2:$B$8421,A1158)</f>
        <v>1</v>
      </c>
      <c r="L1158" s="10" t="n">
        <f aca="false">SUMIF(Transaction!$B$2:$B$8421,A1158,Transaction!$H$2:$H$8421)</f>
        <v>866</v>
      </c>
      <c r="M1158" s="6" t="n">
        <f aca="false">Summary!$B$3-J1158</f>
        <v>49</v>
      </c>
      <c r="N1158" s="6" t="str">
        <f aca="false">IF(K1158&gt;1,"Yes","No")</f>
        <v>No</v>
      </c>
      <c r="O1158" s="6" t="s">
        <v>47</v>
      </c>
    </row>
    <row r="1159" customFormat="false" ht="15" hidden="false" customHeight="false" outlineLevel="0" collapsed="false">
      <c r="A1159" s="6" t="s">
        <v>2427</v>
      </c>
      <c r="B1159" s="6" t="s">
        <v>2428</v>
      </c>
      <c r="C1159" s="6" t="s">
        <v>75</v>
      </c>
      <c r="D1159" s="6" t="n">
        <v>41</v>
      </c>
      <c r="E1159" s="6" t="s">
        <v>95</v>
      </c>
      <c r="F1159" s="6" t="s">
        <v>95</v>
      </c>
      <c r="G1159" s="26" t="n">
        <v>45981</v>
      </c>
      <c r="H1159" s="6" t="s">
        <v>92</v>
      </c>
      <c r="I1159" s="26" t="n">
        <f aca="false">_xlfn.MINIFS(Transaction!$C$2:$C$8421,Transaction!$B$2:$B$8421,A1159)</f>
        <v>46036</v>
      </c>
      <c r="J1159" s="26" t="n">
        <f aca="false">_xlfn.MAXIFS(Transaction!$C$2:$C$8421,Transaction!$B$2:$B$8421,A1159)</f>
        <v>46246</v>
      </c>
      <c r="K1159" s="6" t="n">
        <f aca="false">COUNTIF(Transaction!$B$2:$B$8421,A1159)</f>
        <v>8</v>
      </c>
      <c r="L1159" s="10" t="n">
        <f aca="false">SUMIF(Transaction!$B$2:$B$8421,A1159,Transaction!$H$2:$H$8421)</f>
        <v>30433</v>
      </c>
      <c r="M1159" s="6" t="n">
        <f aca="false">Summary!$B$3-J1159</f>
        <v>20</v>
      </c>
      <c r="N1159" s="6" t="str">
        <f aca="false">IF(K1159&gt;1,"Yes","No")</f>
        <v>Yes</v>
      </c>
      <c r="O1159" s="6" t="s">
        <v>45</v>
      </c>
    </row>
    <row r="1160" customFormat="false" ht="15" hidden="false" customHeight="false" outlineLevel="0" collapsed="false">
      <c r="A1160" s="6" t="s">
        <v>2429</v>
      </c>
      <c r="B1160" s="6" t="s">
        <v>2430</v>
      </c>
      <c r="C1160" s="6" t="s">
        <v>75</v>
      </c>
      <c r="D1160" s="6" t="n">
        <v>37</v>
      </c>
      <c r="E1160" s="6" t="s">
        <v>91</v>
      </c>
      <c r="F1160" s="6" t="s">
        <v>77</v>
      </c>
      <c r="G1160" s="26" t="n">
        <v>46095</v>
      </c>
      <c r="H1160" s="6" t="s">
        <v>88</v>
      </c>
      <c r="I1160" s="26" t="n">
        <f aca="false">_xlfn.MINIFS(Transaction!$C$2:$C$8421,Transaction!$B$2:$B$8421,A1160)</f>
        <v>46180</v>
      </c>
      <c r="J1160" s="26" t="n">
        <f aca="false">_xlfn.MAXIFS(Transaction!$C$2:$C$8421,Transaction!$B$2:$B$8421,A1160)</f>
        <v>46180</v>
      </c>
      <c r="K1160" s="6" t="n">
        <f aca="false">COUNTIF(Transaction!$B$2:$B$8421,A1160)</f>
        <v>1</v>
      </c>
      <c r="L1160" s="10" t="n">
        <f aca="false">SUMIF(Transaction!$B$2:$B$8421,A1160,Transaction!$H$2:$H$8421)</f>
        <v>1068</v>
      </c>
      <c r="M1160" s="6" t="n">
        <f aca="false">Summary!$B$3-J1160</f>
        <v>86</v>
      </c>
      <c r="N1160" s="6" t="str">
        <f aca="false">IF(K1160&gt;1,"Yes","No")</f>
        <v>No</v>
      </c>
      <c r="O1160" s="6" t="s">
        <v>47</v>
      </c>
    </row>
    <row r="1161" customFormat="false" ht="15" hidden="false" customHeight="false" outlineLevel="0" collapsed="false">
      <c r="A1161" s="6" t="s">
        <v>2431</v>
      </c>
      <c r="B1161" s="6" t="s">
        <v>2432</v>
      </c>
      <c r="C1161" s="6" t="s">
        <v>85</v>
      </c>
      <c r="D1161" s="6" t="n">
        <v>36</v>
      </c>
      <c r="E1161" s="6" t="s">
        <v>180</v>
      </c>
      <c r="F1161" s="6" t="s">
        <v>181</v>
      </c>
      <c r="G1161" s="26" t="n">
        <v>45983</v>
      </c>
      <c r="H1161" s="6" t="s">
        <v>123</v>
      </c>
      <c r="I1161" s="26" t="n">
        <f aca="false">_xlfn.MINIFS(Transaction!$C$2:$C$8421,Transaction!$B$2:$B$8421,A1161)</f>
        <v>46071</v>
      </c>
      <c r="J1161" s="26" t="n">
        <f aca="false">_xlfn.MAXIFS(Transaction!$C$2:$C$8421,Transaction!$B$2:$B$8421,A1161)</f>
        <v>46251</v>
      </c>
      <c r="K1161" s="6" t="n">
        <f aca="false">COUNTIF(Transaction!$B$2:$B$8421,A1161)</f>
        <v>9</v>
      </c>
      <c r="L1161" s="10" t="n">
        <f aca="false">SUMIF(Transaction!$B$2:$B$8421,A1161,Transaction!$H$2:$H$8421)</f>
        <v>15519</v>
      </c>
      <c r="M1161" s="6" t="n">
        <f aca="false">Summary!$B$3-J1161</f>
        <v>15</v>
      </c>
      <c r="N1161" s="6" t="str">
        <f aca="false">IF(K1161&gt;1,"Yes","No")</f>
        <v>Yes</v>
      </c>
      <c r="O1161" s="6" t="s">
        <v>45</v>
      </c>
    </row>
    <row r="1162" customFormat="false" ht="15" hidden="false" customHeight="false" outlineLevel="0" collapsed="false">
      <c r="A1162" s="6" t="s">
        <v>2433</v>
      </c>
      <c r="B1162" s="6" t="s">
        <v>2434</v>
      </c>
      <c r="C1162" s="6" t="s">
        <v>75</v>
      </c>
      <c r="D1162" s="6" t="n">
        <v>23</v>
      </c>
      <c r="E1162" s="6" t="s">
        <v>121</v>
      </c>
      <c r="F1162" s="6" t="s">
        <v>122</v>
      </c>
      <c r="G1162" s="26" t="n">
        <v>46103</v>
      </c>
      <c r="H1162" s="6" t="s">
        <v>78</v>
      </c>
      <c r="I1162" s="26" t="n">
        <f aca="false">_xlfn.MINIFS(Transaction!$C$2:$C$8421,Transaction!$B$2:$B$8421,A1162)</f>
        <v>46120</v>
      </c>
      <c r="J1162" s="26" t="n">
        <f aca="false">_xlfn.MAXIFS(Transaction!$C$2:$C$8421,Transaction!$B$2:$B$8421,A1162)</f>
        <v>46120</v>
      </c>
      <c r="K1162" s="6" t="n">
        <f aca="false">COUNTIF(Transaction!$B$2:$B$8421,A1162)</f>
        <v>1</v>
      </c>
      <c r="L1162" s="10" t="n">
        <f aca="false">SUMIF(Transaction!$B$2:$B$8421,A1162,Transaction!$H$2:$H$8421)</f>
        <v>586</v>
      </c>
      <c r="M1162" s="6" t="n">
        <f aca="false">Summary!$B$3-J1162</f>
        <v>146</v>
      </c>
      <c r="N1162" s="6" t="str">
        <f aca="false">IF(K1162&gt;1,"Yes","No")</f>
        <v>No</v>
      </c>
      <c r="O1162" s="6" t="s">
        <v>48</v>
      </c>
    </row>
    <row r="1163" customFormat="false" ht="15" hidden="false" customHeight="false" outlineLevel="0" collapsed="false">
      <c r="A1163" s="6" t="s">
        <v>2435</v>
      </c>
      <c r="B1163" s="6" t="s">
        <v>2436</v>
      </c>
      <c r="C1163" s="6" t="s">
        <v>75</v>
      </c>
      <c r="D1163" s="6" t="n">
        <v>37</v>
      </c>
      <c r="E1163" s="6" t="s">
        <v>180</v>
      </c>
      <c r="F1163" s="6" t="s">
        <v>181</v>
      </c>
      <c r="G1163" s="26" t="n">
        <v>46058</v>
      </c>
      <c r="H1163" s="6" t="s">
        <v>78</v>
      </c>
      <c r="I1163" s="26" t="n">
        <f aca="false">_xlfn.MINIFS(Transaction!$C$2:$C$8421,Transaction!$B$2:$B$8421,A1163)</f>
        <v>46058</v>
      </c>
      <c r="J1163" s="26" t="n">
        <f aca="false">_xlfn.MAXIFS(Transaction!$C$2:$C$8421,Transaction!$B$2:$B$8421,A1163)</f>
        <v>46058</v>
      </c>
      <c r="K1163" s="6" t="n">
        <f aca="false">COUNTIF(Transaction!$B$2:$B$8421,A1163)</f>
        <v>1</v>
      </c>
      <c r="L1163" s="10" t="n">
        <f aca="false">SUMIF(Transaction!$B$2:$B$8421,A1163,Transaction!$H$2:$H$8421)</f>
        <v>2421</v>
      </c>
      <c r="M1163" s="6" t="n">
        <f aca="false">Summary!$B$3-J1163</f>
        <v>208</v>
      </c>
      <c r="N1163" s="6" t="str">
        <f aca="false">IF(K1163&gt;1,"Yes","No")</f>
        <v>No</v>
      </c>
      <c r="O1163" s="6" t="s">
        <v>49</v>
      </c>
    </row>
    <row r="1164" customFormat="false" ht="15" hidden="false" customHeight="false" outlineLevel="0" collapsed="false">
      <c r="A1164" s="6" t="s">
        <v>2437</v>
      </c>
      <c r="B1164" s="6" t="s">
        <v>2438</v>
      </c>
      <c r="C1164" s="6" t="s">
        <v>85</v>
      </c>
      <c r="D1164" s="6" t="n">
        <v>44</v>
      </c>
      <c r="E1164" s="6" t="s">
        <v>91</v>
      </c>
      <c r="F1164" s="6" t="s">
        <v>77</v>
      </c>
      <c r="G1164" s="26" t="n">
        <v>46178</v>
      </c>
      <c r="H1164" s="6" t="s">
        <v>102</v>
      </c>
      <c r="I1164" s="26" t="n">
        <f aca="false">_xlfn.MINIFS(Transaction!$C$2:$C$8421,Transaction!$B$2:$B$8421,A1164)</f>
        <v>46246</v>
      </c>
      <c r="J1164" s="26" t="n">
        <f aca="false">_xlfn.MAXIFS(Transaction!$C$2:$C$8421,Transaction!$B$2:$B$8421,A1164)</f>
        <v>46246</v>
      </c>
      <c r="K1164" s="6" t="n">
        <f aca="false">COUNTIF(Transaction!$B$2:$B$8421,A1164)</f>
        <v>1</v>
      </c>
      <c r="L1164" s="10" t="n">
        <f aca="false">SUMIF(Transaction!$B$2:$B$8421,A1164,Transaction!$H$2:$H$8421)</f>
        <v>3520</v>
      </c>
      <c r="M1164" s="6" t="n">
        <f aca="false">Summary!$B$3-J1164</f>
        <v>20</v>
      </c>
      <c r="N1164" s="6" t="str">
        <f aca="false">IF(K1164&gt;1,"Yes","No")</f>
        <v>No</v>
      </c>
      <c r="O1164" s="6" t="s">
        <v>47</v>
      </c>
    </row>
    <row r="1165" customFormat="false" ht="15" hidden="false" customHeight="false" outlineLevel="0" collapsed="false">
      <c r="A1165" s="6" t="s">
        <v>2439</v>
      </c>
      <c r="B1165" s="6" t="s">
        <v>2440</v>
      </c>
      <c r="C1165" s="6" t="s">
        <v>85</v>
      </c>
      <c r="D1165" s="6" t="n">
        <v>40</v>
      </c>
      <c r="E1165" s="6" t="s">
        <v>76</v>
      </c>
      <c r="F1165" s="6" t="s">
        <v>77</v>
      </c>
      <c r="G1165" s="26" t="n">
        <v>46184</v>
      </c>
      <c r="H1165" s="6" t="s">
        <v>78</v>
      </c>
      <c r="I1165" s="26" t="n">
        <f aca="false">_xlfn.MINIFS(Transaction!$C$2:$C$8421,Transaction!$B$2:$B$8421,A1165)</f>
        <v>46250</v>
      </c>
      <c r="J1165" s="26" t="n">
        <f aca="false">_xlfn.MAXIFS(Transaction!$C$2:$C$8421,Transaction!$B$2:$B$8421,A1165)</f>
        <v>46250</v>
      </c>
      <c r="K1165" s="6" t="n">
        <f aca="false">COUNTIF(Transaction!$B$2:$B$8421,A1165)</f>
        <v>1</v>
      </c>
      <c r="L1165" s="10" t="n">
        <f aca="false">SUMIF(Transaction!$B$2:$B$8421,A1165,Transaction!$H$2:$H$8421)</f>
        <v>1768</v>
      </c>
      <c r="M1165" s="6" t="n">
        <f aca="false">Summary!$B$3-J1165</f>
        <v>16</v>
      </c>
      <c r="N1165" s="6" t="str">
        <f aca="false">IF(K1165&gt;1,"Yes","No")</f>
        <v>No</v>
      </c>
      <c r="O1165" s="6" t="s">
        <v>47</v>
      </c>
    </row>
    <row r="1166" customFormat="false" ht="15" hidden="false" customHeight="false" outlineLevel="0" collapsed="false">
      <c r="A1166" s="6" t="s">
        <v>2441</v>
      </c>
      <c r="B1166" s="6" t="s">
        <v>2442</v>
      </c>
      <c r="C1166" s="6" t="s">
        <v>85</v>
      </c>
      <c r="D1166" s="6" t="n">
        <v>38</v>
      </c>
      <c r="E1166" s="6" t="s">
        <v>81</v>
      </c>
      <c r="F1166" s="6" t="s">
        <v>82</v>
      </c>
      <c r="G1166" s="26" t="n">
        <v>46182</v>
      </c>
      <c r="H1166" s="6" t="s">
        <v>115</v>
      </c>
      <c r="I1166" s="26" t="n">
        <f aca="false">_xlfn.MINIFS(Transaction!$C$2:$C$8421,Transaction!$B$2:$B$8421,A1166)</f>
        <v>46237</v>
      </c>
      <c r="J1166" s="26" t="n">
        <f aca="false">_xlfn.MAXIFS(Transaction!$C$2:$C$8421,Transaction!$B$2:$B$8421,A1166)</f>
        <v>46237</v>
      </c>
      <c r="K1166" s="6" t="n">
        <f aca="false">COUNTIF(Transaction!$B$2:$B$8421,A1166)</f>
        <v>1</v>
      </c>
      <c r="L1166" s="10" t="n">
        <f aca="false">SUMIF(Transaction!$B$2:$B$8421,A1166,Transaction!$H$2:$H$8421)</f>
        <v>2346</v>
      </c>
      <c r="M1166" s="6" t="n">
        <f aca="false">Summary!$B$3-J1166</f>
        <v>29</v>
      </c>
      <c r="N1166" s="6" t="str">
        <f aca="false">IF(K1166&gt;1,"Yes","No")</f>
        <v>No</v>
      </c>
      <c r="O1166" s="6" t="s">
        <v>47</v>
      </c>
    </row>
    <row r="1167" customFormat="false" ht="15" hidden="false" customHeight="false" outlineLevel="0" collapsed="false">
      <c r="A1167" s="6" t="s">
        <v>2443</v>
      </c>
      <c r="B1167" s="6" t="s">
        <v>2444</v>
      </c>
      <c r="C1167" s="6" t="s">
        <v>85</v>
      </c>
      <c r="D1167" s="6" t="n">
        <v>33</v>
      </c>
      <c r="E1167" s="6" t="s">
        <v>206</v>
      </c>
      <c r="F1167" s="6" t="s">
        <v>106</v>
      </c>
      <c r="G1167" s="26" t="n">
        <v>46099</v>
      </c>
      <c r="H1167" s="6" t="s">
        <v>123</v>
      </c>
      <c r="I1167" s="26" t="n">
        <f aca="false">_xlfn.MINIFS(Transaction!$C$2:$C$8421,Transaction!$B$2:$B$8421,A1167)</f>
        <v>46113</v>
      </c>
      <c r="J1167" s="26" t="n">
        <f aca="false">_xlfn.MAXIFS(Transaction!$C$2:$C$8421,Transaction!$B$2:$B$8421,A1167)</f>
        <v>46261</v>
      </c>
      <c r="K1167" s="6" t="n">
        <f aca="false">COUNTIF(Transaction!$B$2:$B$8421,A1167)</f>
        <v>8</v>
      </c>
      <c r="L1167" s="10" t="n">
        <f aca="false">SUMIF(Transaction!$B$2:$B$8421,A1167,Transaction!$H$2:$H$8421)</f>
        <v>13927</v>
      </c>
      <c r="M1167" s="6" t="n">
        <f aca="false">Summary!$B$3-J1167</f>
        <v>5</v>
      </c>
      <c r="N1167" s="6" t="str">
        <f aca="false">IF(K1167&gt;1,"Yes","No")</f>
        <v>Yes</v>
      </c>
      <c r="O1167" s="6" t="s">
        <v>45</v>
      </c>
    </row>
    <row r="1168" customFormat="false" ht="15" hidden="false" customHeight="false" outlineLevel="0" collapsed="false">
      <c r="A1168" s="6" t="s">
        <v>2445</v>
      </c>
      <c r="B1168" s="6" t="s">
        <v>2446</v>
      </c>
      <c r="C1168" s="6" t="s">
        <v>85</v>
      </c>
      <c r="D1168" s="6" t="n">
        <v>22</v>
      </c>
      <c r="E1168" s="6" t="s">
        <v>86</v>
      </c>
      <c r="F1168" s="6" t="s">
        <v>87</v>
      </c>
      <c r="G1168" s="26" t="n">
        <v>46021</v>
      </c>
      <c r="H1168" s="6" t="s">
        <v>78</v>
      </c>
      <c r="I1168" s="26" t="n">
        <f aca="false">_xlfn.MINIFS(Transaction!$C$2:$C$8421,Transaction!$B$2:$B$8421,A1168)</f>
        <v>46024</v>
      </c>
      <c r="J1168" s="26" t="n">
        <f aca="false">_xlfn.MAXIFS(Transaction!$C$2:$C$8421,Transaction!$B$2:$B$8421,A1168)</f>
        <v>46247</v>
      </c>
      <c r="K1168" s="6" t="n">
        <f aca="false">COUNTIF(Transaction!$B$2:$B$8421,A1168)</f>
        <v>9</v>
      </c>
      <c r="L1168" s="10" t="n">
        <f aca="false">SUMIF(Transaction!$B$2:$B$8421,A1168,Transaction!$H$2:$H$8421)</f>
        <v>13516</v>
      </c>
      <c r="M1168" s="6" t="n">
        <f aca="false">Summary!$B$3-J1168</f>
        <v>19</v>
      </c>
      <c r="N1168" s="6" t="str">
        <f aca="false">IF(K1168&gt;1,"Yes","No")</f>
        <v>Yes</v>
      </c>
      <c r="O1168" s="6" t="s">
        <v>45</v>
      </c>
    </row>
    <row r="1169" customFormat="false" ht="15" hidden="false" customHeight="false" outlineLevel="0" collapsed="false">
      <c r="A1169" s="6" t="s">
        <v>2447</v>
      </c>
      <c r="B1169" s="6" t="s">
        <v>2448</v>
      </c>
      <c r="C1169" s="6" t="s">
        <v>75</v>
      </c>
      <c r="D1169" s="6" t="n">
        <v>35</v>
      </c>
      <c r="E1169" s="6" t="s">
        <v>95</v>
      </c>
      <c r="F1169" s="6" t="s">
        <v>95</v>
      </c>
      <c r="G1169" s="26" t="n">
        <v>46123</v>
      </c>
      <c r="H1169" s="6" t="s">
        <v>102</v>
      </c>
      <c r="I1169" s="26" t="n">
        <f aca="false">_xlfn.MINIFS(Transaction!$C$2:$C$8421,Transaction!$B$2:$B$8421,A1169)</f>
        <v>46202</v>
      </c>
      <c r="J1169" s="26" t="n">
        <f aca="false">_xlfn.MAXIFS(Transaction!$C$2:$C$8421,Transaction!$B$2:$B$8421,A1169)</f>
        <v>46202</v>
      </c>
      <c r="K1169" s="6" t="n">
        <f aca="false">COUNTIF(Transaction!$B$2:$B$8421,A1169)</f>
        <v>1</v>
      </c>
      <c r="L1169" s="10" t="n">
        <f aca="false">SUMIF(Transaction!$B$2:$B$8421,A1169,Transaction!$H$2:$H$8421)</f>
        <v>866</v>
      </c>
      <c r="M1169" s="6" t="n">
        <f aca="false">Summary!$B$3-J1169</f>
        <v>64</v>
      </c>
      <c r="N1169" s="6" t="str">
        <f aca="false">IF(K1169&gt;1,"Yes","No")</f>
        <v>No</v>
      </c>
      <c r="O1169" s="6" t="s">
        <v>47</v>
      </c>
    </row>
    <row r="1170" customFormat="false" ht="15" hidden="false" customHeight="false" outlineLevel="0" collapsed="false">
      <c r="A1170" s="6" t="s">
        <v>2449</v>
      </c>
      <c r="B1170" s="6" t="s">
        <v>2450</v>
      </c>
      <c r="C1170" s="6" t="s">
        <v>85</v>
      </c>
      <c r="D1170" s="6" t="n">
        <v>59</v>
      </c>
      <c r="E1170" s="6" t="s">
        <v>76</v>
      </c>
      <c r="F1170" s="6" t="s">
        <v>77</v>
      </c>
      <c r="G1170" s="26" t="n">
        <v>46176</v>
      </c>
      <c r="H1170" s="6" t="s">
        <v>115</v>
      </c>
      <c r="I1170" s="26" t="n">
        <f aca="false">_xlfn.MINIFS(Transaction!$C$2:$C$8421,Transaction!$B$2:$B$8421,A1170)</f>
        <v>46215</v>
      </c>
      <c r="J1170" s="26" t="n">
        <f aca="false">_xlfn.MAXIFS(Transaction!$C$2:$C$8421,Transaction!$B$2:$B$8421,A1170)</f>
        <v>46215</v>
      </c>
      <c r="K1170" s="6" t="n">
        <f aca="false">COUNTIF(Transaction!$B$2:$B$8421,A1170)</f>
        <v>1</v>
      </c>
      <c r="L1170" s="10" t="n">
        <f aca="false">SUMIF(Transaction!$B$2:$B$8421,A1170,Transaction!$H$2:$H$8421)</f>
        <v>1760</v>
      </c>
      <c r="M1170" s="6" t="n">
        <f aca="false">Summary!$B$3-J1170</f>
        <v>51</v>
      </c>
      <c r="N1170" s="6" t="str">
        <f aca="false">IF(K1170&gt;1,"Yes","No")</f>
        <v>No</v>
      </c>
      <c r="O1170" s="6" t="s">
        <v>47</v>
      </c>
    </row>
    <row r="1171" customFormat="false" ht="15" hidden="false" customHeight="false" outlineLevel="0" collapsed="false">
      <c r="A1171" s="6" t="s">
        <v>2451</v>
      </c>
      <c r="B1171" s="6" t="s">
        <v>2452</v>
      </c>
      <c r="C1171" s="6" t="s">
        <v>75</v>
      </c>
      <c r="D1171" s="6" t="n">
        <v>24</v>
      </c>
      <c r="E1171" s="6" t="s">
        <v>91</v>
      </c>
      <c r="F1171" s="6" t="s">
        <v>77</v>
      </c>
      <c r="G1171" s="26" t="n">
        <v>46062</v>
      </c>
      <c r="H1171" s="6" t="s">
        <v>88</v>
      </c>
      <c r="I1171" s="26" t="n">
        <f aca="false">_xlfn.MINIFS(Transaction!$C$2:$C$8421,Transaction!$B$2:$B$8421,A1171)</f>
        <v>46135</v>
      </c>
      <c r="J1171" s="26" t="n">
        <f aca="false">_xlfn.MAXIFS(Transaction!$C$2:$C$8421,Transaction!$B$2:$B$8421,A1171)</f>
        <v>46135</v>
      </c>
      <c r="K1171" s="6" t="n">
        <f aca="false">COUNTIF(Transaction!$B$2:$B$8421,A1171)</f>
        <v>1</v>
      </c>
      <c r="L1171" s="10" t="n">
        <f aca="false">SUMIF(Transaction!$B$2:$B$8421,A1171,Transaction!$H$2:$H$8421)</f>
        <v>508</v>
      </c>
      <c r="M1171" s="6" t="n">
        <f aca="false">Summary!$B$3-J1171</f>
        <v>131</v>
      </c>
      <c r="N1171" s="6" t="str">
        <f aca="false">IF(K1171&gt;1,"Yes","No")</f>
        <v>No</v>
      </c>
      <c r="O1171" s="6" t="s">
        <v>48</v>
      </c>
    </row>
    <row r="1172" customFormat="false" ht="15" hidden="false" customHeight="false" outlineLevel="0" collapsed="false">
      <c r="A1172" s="6" t="s">
        <v>2453</v>
      </c>
      <c r="B1172" s="6" t="s">
        <v>2454</v>
      </c>
      <c r="C1172" s="6" t="s">
        <v>85</v>
      </c>
      <c r="D1172" s="6" t="n">
        <v>25</v>
      </c>
      <c r="E1172" s="6" t="s">
        <v>98</v>
      </c>
      <c r="F1172" s="6" t="s">
        <v>99</v>
      </c>
      <c r="G1172" s="26" t="n">
        <v>46093</v>
      </c>
      <c r="H1172" s="6" t="s">
        <v>88</v>
      </c>
      <c r="I1172" s="26" t="n">
        <f aca="false">_xlfn.MINIFS(Transaction!$C$2:$C$8421,Transaction!$B$2:$B$8421,A1172)</f>
        <v>46169</v>
      </c>
      <c r="J1172" s="26" t="n">
        <f aca="false">_xlfn.MAXIFS(Transaction!$C$2:$C$8421,Transaction!$B$2:$B$8421,A1172)</f>
        <v>46169</v>
      </c>
      <c r="K1172" s="6" t="n">
        <f aca="false">COUNTIF(Transaction!$B$2:$B$8421,A1172)</f>
        <v>1</v>
      </c>
      <c r="L1172" s="10" t="n">
        <f aca="false">SUMIF(Transaction!$B$2:$B$8421,A1172,Transaction!$H$2:$H$8421)</f>
        <v>782</v>
      </c>
      <c r="M1172" s="6" t="n">
        <f aca="false">Summary!$B$3-J1172</f>
        <v>97</v>
      </c>
      <c r="N1172" s="6" t="str">
        <f aca="false">IF(K1172&gt;1,"Yes","No")</f>
        <v>No</v>
      </c>
      <c r="O1172" s="6" t="s">
        <v>48</v>
      </c>
    </row>
    <row r="1173" customFormat="false" ht="15" hidden="false" customHeight="false" outlineLevel="0" collapsed="false">
      <c r="A1173" s="6" t="s">
        <v>2455</v>
      </c>
      <c r="B1173" s="6" t="s">
        <v>2456</v>
      </c>
      <c r="C1173" s="6" t="s">
        <v>85</v>
      </c>
      <c r="D1173" s="6" t="n">
        <v>23</v>
      </c>
      <c r="E1173" s="6" t="s">
        <v>91</v>
      </c>
      <c r="F1173" s="6" t="s">
        <v>77</v>
      </c>
      <c r="G1173" s="26" t="n">
        <v>46067</v>
      </c>
      <c r="H1173" s="6" t="s">
        <v>92</v>
      </c>
      <c r="I1173" s="26" t="n">
        <f aca="false">_xlfn.MINIFS(Transaction!$C$2:$C$8421,Transaction!$B$2:$B$8421,A1173)</f>
        <v>46084</v>
      </c>
      <c r="J1173" s="26" t="n">
        <f aca="false">_xlfn.MAXIFS(Transaction!$C$2:$C$8421,Transaction!$B$2:$B$8421,A1173)</f>
        <v>46084</v>
      </c>
      <c r="K1173" s="6" t="n">
        <f aca="false">COUNTIF(Transaction!$B$2:$B$8421,A1173)</f>
        <v>1</v>
      </c>
      <c r="L1173" s="10" t="n">
        <f aca="false">SUMIF(Transaction!$B$2:$B$8421,A1173,Transaction!$H$2:$H$8421)</f>
        <v>1564</v>
      </c>
      <c r="M1173" s="6" t="n">
        <f aca="false">Summary!$B$3-J1173</f>
        <v>182</v>
      </c>
      <c r="N1173" s="6" t="str">
        <f aca="false">IF(K1173&gt;1,"Yes","No")</f>
        <v>No</v>
      </c>
      <c r="O1173" s="6" t="s">
        <v>49</v>
      </c>
    </row>
    <row r="1174" customFormat="false" ht="15" hidden="false" customHeight="false" outlineLevel="0" collapsed="false">
      <c r="A1174" s="6" t="s">
        <v>2457</v>
      </c>
      <c r="B1174" s="6" t="s">
        <v>2458</v>
      </c>
      <c r="C1174" s="6" t="s">
        <v>85</v>
      </c>
      <c r="D1174" s="6" t="n">
        <v>31</v>
      </c>
      <c r="E1174" s="6" t="s">
        <v>118</v>
      </c>
      <c r="F1174" s="6" t="s">
        <v>77</v>
      </c>
      <c r="G1174" s="26" t="n">
        <v>46185</v>
      </c>
      <c r="H1174" s="6" t="s">
        <v>92</v>
      </c>
      <c r="I1174" s="26" t="n">
        <f aca="false">_xlfn.MINIFS(Transaction!$C$2:$C$8421,Transaction!$B$2:$B$8421,A1174)</f>
        <v>46264</v>
      </c>
      <c r="J1174" s="26" t="n">
        <f aca="false">_xlfn.MAXIFS(Transaction!$C$2:$C$8421,Transaction!$B$2:$B$8421,A1174)</f>
        <v>46264</v>
      </c>
      <c r="K1174" s="6" t="n">
        <f aca="false">COUNTIF(Transaction!$B$2:$B$8421,A1174)</f>
        <v>1</v>
      </c>
      <c r="L1174" s="10" t="n">
        <f aca="false">SUMIF(Transaction!$B$2:$B$8421,A1174,Transaction!$H$2:$H$8421)</f>
        <v>1564</v>
      </c>
      <c r="M1174" s="6" t="n">
        <f aca="false">Summary!$B$3-J1174</f>
        <v>2</v>
      </c>
      <c r="N1174" s="6" t="str">
        <f aca="false">IF(K1174&gt;1,"Yes","No")</f>
        <v>No</v>
      </c>
      <c r="O1174" s="6" t="s">
        <v>47</v>
      </c>
    </row>
    <row r="1175" customFormat="false" ht="15" hidden="false" customHeight="false" outlineLevel="0" collapsed="false">
      <c r="A1175" s="6" t="s">
        <v>2459</v>
      </c>
      <c r="B1175" s="6" t="s">
        <v>2460</v>
      </c>
      <c r="C1175" s="6" t="s">
        <v>75</v>
      </c>
      <c r="D1175" s="6" t="n">
        <v>47</v>
      </c>
      <c r="E1175" s="6" t="s">
        <v>134</v>
      </c>
      <c r="F1175" s="6" t="s">
        <v>135</v>
      </c>
      <c r="G1175" s="26" t="n">
        <v>46019</v>
      </c>
      <c r="H1175" s="6" t="s">
        <v>92</v>
      </c>
      <c r="I1175" s="26" t="n">
        <f aca="false">_xlfn.MINIFS(Transaction!$C$2:$C$8421,Transaction!$B$2:$B$8421,A1175)</f>
        <v>46024</v>
      </c>
      <c r="J1175" s="26" t="n">
        <f aca="false">_xlfn.MAXIFS(Transaction!$C$2:$C$8421,Transaction!$B$2:$B$8421,A1175)</f>
        <v>46245</v>
      </c>
      <c r="K1175" s="6" t="n">
        <f aca="false">COUNTIF(Transaction!$B$2:$B$8421,A1175)</f>
        <v>5</v>
      </c>
      <c r="L1175" s="10" t="n">
        <f aca="false">SUMIF(Transaction!$B$2:$B$8421,A1175,Transaction!$H$2:$H$8421)</f>
        <v>11137</v>
      </c>
      <c r="M1175" s="6" t="n">
        <f aca="false">Summary!$B$3-J1175</f>
        <v>21</v>
      </c>
      <c r="N1175" s="6" t="str">
        <f aca="false">IF(K1175&gt;1,"Yes","No")</f>
        <v>Yes</v>
      </c>
      <c r="O1175" s="6" t="s">
        <v>46</v>
      </c>
    </row>
    <row r="1176" customFormat="false" ht="15" hidden="false" customHeight="false" outlineLevel="0" collapsed="false">
      <c r="A1176" s="6" t="s">
        <v>2461</v>
      </c>
      <c r="B1176" s="6" t="s">
        <v>2462</v>
      </c>
      <c r="C1176" s="6" t="s">
        <v>75</v>
      </c>
      <c r="D1176" s="6" t="n">
        <v>35</v>
      </c>
      <c r="E1176" s="6" t="s">
        <v>95</v>
      </c>
      <c r="F1176" s="6" t="s">
        <v>95</v>
      </c>
      <c r="G1176" s="26" t="n">
        <v>46072</v>
      </c>
      <c r="H1176" s="6" t="s">
        <v>78</v>
      </c>
      <c r="I1176" s="26" t="n">
        <f aca="false">_xlfn.MINIFS(Transaction!$C$2:$C$8421,Transaction!$B$2:$B$8421,A1176)</f>
        <v>46096</v>
      </c>
      <c r="J1176" s="26" t="n">
        <f aca="false">_xlfn.MAXIFS(Transaction!$C$2:$C$8421,Transaction!$B$2:$B$8421,A1176)</f>
        <v>46096</v>
      </c>
      <c r="K1176" s="6" t="n">
        <f aca="false">COUNTIF(Transaction!$B$2:$B$8421,A1176)</f>
        <v>1</v>
      </c>
      <c r="L1176" s="10" t="n">
        <f aca="false">SUMIF(Transaction!$B$2:$B$8421,A1176,Transaction!$H$2:$H$8421)</f>
        <v>743</v>
      </c>
      <c r="M1176" s="6" t="n">
        <f aca="false">Summary!$B$3-J1176</f>
        <v>170</v>
      </c>
      <c r="N1176" s="6" t="str">
        <f aca="false">IF(K1176&gt;1,"Yes","No")</f>
        <v>No</v>
      </c>
      <c r="O1176" s="6" t="s">
        <v>49</v>
      </c>
    </row>
    <row r="1177" customFormat="false" ht="15" hidden="false" customHeight="false" outlineLevel="0" collapsed="false">
      <c r="A1177" s="6" t="s">
        <v>2463</v>
      </c>
      <c r="B1177" s="6" t="s">
        <v>2464</v>
      </c>
      <c r="C1177" s="6" t="s">
        <v>75</v>
      </c>
      <c r="D1177" s="6" t="n">
        <v>46</v>
      </c>
      <c r="E1177" s="6" t="s">
        <v>134</v>
      </c>
      <c r="F1177" s="6" t="s">
        <v>135</v>
      </c>
      <c r="G1177" s="26" t="n">
        <v>46077</v>
      </c>
      <c r="H1177" s="6" t="s">
        <v>123</v>
      </c>
      <c r="I1177" s="26" t="n">
        <f aca="false">_xlfn.MINIFS(Transaction!$C$2:$C$8421,Transaction!$B$2:$B$8421,A1177)</f>
        <v>46123</v>
      </c>
      <c r="J1177" s="26" t="n">
        <f aca="false">_xlfn.MAXIFS(Transaction!$C$2:$C$8421,Transaction!$B$2:$B$8421,A1177)</f>
        <v>46123</v>
      </c>
      <c r="K1177" s="6" t="n">
        <f aca="false">COUNTIF(Transaction!$B$2:$B$8421,A1177)</f>
        <v>1</v>
      </c>
      <c r="L1177" s="10" t="n">
        <f aca="false">SUMIF(Transaction!$B$2:$B$8421,A1177,Transaction!$H$2:$H$8421)</f>
        <v>1629</v>
      </c>
      <c r="M1177" s="6" t="n">
        <f aca="false">Summary!$B$3-J1177</f>
        <v>143</v>
      </c>
      <c r="N1177" s="6" t="str">
        <f aca="false">IF(K1177&gt;1,"Yes","No")</f>
        <v>No</v>
      </c>
      <c r="O1177" s="6" t="s">
        <v>48</v>
      </c>
    </row>
    <row r="1178" customFormat="false" ht="15" hidden="false" customHeight="false" outlineLevel="0" collapsed="false">
      <c r="A1178" s="6" t="s">
        <v>2465</v>
      </c>
      <c r="B1178" s="6" t="s">
        <v>2466</v>
      </c>
      <c r="C1178" s="6" t="s">
        <v>85</v>
      </c>
      <c r="D1178" s="6" t="n">
        <v>32</v>
      </c>
      <c r="E1178" s="6" t="s">
        <v>121</v>
      </c>
      <c r="F1178" s="6" t="s">
        <v>122</v>
      </c>
      <c r="G1178" s="26" t="n">
        <v>46191</v>
      </c>
      <c r="H1178" s="6" t="s">
        <v>92</v>
      </c>
      <c r="I1178" s="26" t="n">
        <f aca="false">_xlfn.MINIFS(Transaction!$C$2:$C$8421,Transaction!$B$2:$B$8421,A1178)</f>
        <v>46263</v>
      </c>
      <c r="J1178" s="26" t="n">
        <f aca="false">_xlfn.MAXIFS(Transaction!$C$2:$C$8421,Transaction!$B$2:$B$8421,A1178)</f>
        <v>46263</v>
      </c>
      <c r="K1178" s="6" t="n">
        <f aca="false">COUNTIF(Transaction!$B$2:$B$8421,A1178)</f>
        <v>1</v>
      </c>
      <c r="L1178" s="10" t="n">
        <f aca="false">SUMIF(Transaction!$B$2:$B$8421,A1178,Transaction!$H$2:$H$8421)</f>
        <v>1558</v>
      </c>
      <c r="M1178" s="6" t="n">
        <f aca="false">Summary!$B$3-J1178</f>
        <v>3</v>
      </c>
      <c r="N1178" s="6" t="str">
        <f aca="false">IF(K1178&gt;1,"Yes","No")</f>
        <v>No</v>
      </c>
      <c r="O1178" s="6" t="s">
        <v>47</v>
      </c>
    </row>
    <row r="1179" customFormat="false" ht="15" hidden="false" customHeight="false" outlineLevel="0" collapsed="false">
      <c r="A1179" s="6" t="s">
        <v>2467</v>
      </c>
      <c r="B1179" s="6" t="s">
        <v>2468</v>
      </c>
      <c r="C1179" s="6" t="s">
        <v>75</v>
      </c>
      <c r="D1179" s="6" t="n">
        <v>31</v>
      </c>
      <c r="E1179" s="6" t="s">
        <v>134</v>
      </c>
      <c r="F1179" s="6" t="s">
        <v>135</v>
      </c>
      <c r="G1179" s="26" t="n">
        <v>46052</v>
      </c>
      <c r="H1179" s="6" t="s">
        <v>92</v>
      </c>
      <c r="I1179" s="26" t="n">
        <f aca="false">_xlfn.MINIFS(Transaction!$C$2:$C$8421,Transaction!$B$2:$B$8421,A1179)</f>
        <v>46090</v>
      </c>
      <c r="J1179" s="26" t="n">
        <f aca="false">_xlfn.MAXIFS(Transaction!$C$2:$C$8421,Transaction!$B$2:$B$8421,A1179)</f>
        <v>46201</v>
      </c>
      <c r="K1179" s="6" t="n">
        <f aca="false">COUNTIF(Transaction!$B$2:$B$8421,A1179)</f>
        <v>5</v>
      </c>
      <c r="L1179" s="10" t="n">
        <f aca="false">SUMIF(Transaction!$B$2:$B$8421,A1179,Transaction!$H$2:$H$8421)</f>
        <v>8335</v>
      </c>
      <c r="M1179" s="6" t="n">
        <f aca="false">Summary!$B$3-J1179</f>
        <v>65</v>
      </c>
      <c r="N1179" s="6" t="str">
        <f aca="false">IF(K1179&gt;1,"Yes","No")</f>
        <v>Yes</v>
      </c>
      <c r="O1179" s="6" t="s">
        <v>46</v>
      </c>
    </row>
    <row r="1180" customFormat="false" ht="15" hidden="false" customHeight="false" outlineLevel="0" collapsed="false">
      <c r="A1180" s="6" t="s">
        <v>2469</v>
      </c>
      <c r="B1180" s="6" t="s">
        <v>2470</v>
      </c>
      <c r="C1180" s="6" t="s">
        <v>85</v>
      </c>
      <c r="D1180" s="6" t="n">
        <v>50</v>
      </c>
      <c r="E1180" s="6" t="s">
        <v>430</v>
      </c>
      <c r="F1180" s="6" t="s">
        <v>99</v>
      </c>
      <c r="G1180" s="26" t="n">
        <v>46022</v>
      </c>
      <c r="H1180" s="6" t="s">
        <v>78</v>
      </c>
      <c r="I1180" s="26" t="n">
        <f aca="false">_xlfn.MINIFS(Transaction!$C$2:$C$8421,Transaction!$B$2:$B$8421,A1180)</f>
        <v>46051</v>
      </c>
      <c r="J1180" s="26" t="n">
        <f aca="false">_xlfn.MAXIFS(Transaction!$C$2:$C$8421,Transaction!$B$2:$B$8421,A1180)</f>
        <v>46256</v>
      </c>
      <c r="K1180" s="6" t="n">
        <f aca="false">COUNTIF(Transaction!$B$2:$B$8421,A1180)</f>
        <v>12</v>
      </c>
      <c r="L1180" s="10" t="n">
        <f aca="false">SUMIF(Transaction!$B$2:$B$8421,A1180,Transaction!$H$2:$H$8421)</f>
        <v>27508</v>
      </c>
      <c r="M1180" s="6" t="n">
        <f aca="false">Summary!$B$3-J1180</f>
        <v>10</v>
      </c>
      <c r="N1180" s="6" t="str">
        <f aca="false">IF(K1180&gt;1,"Yes","No")</f>
        <v>Yes</v>
      </c>
      <c r="O1180" s="6" t="s">
        <v>45</v>
      </c>
    </row>
    <row r="1181" customFormat="false" ht="15" hidden="false" customHeight="false" outlineLevel="0" collapsed="false">
      <c r="A1181" s="6" t="s">
        <v>2471</v>
      </c>
      <c r="B1181" s="6" t="s">
        <v>2472</v>
      </c>
      <c r="C1181" s="6" t="s">
        <v>75</v>
      </c>
      <c r="D1181" s="6" t="n">
        <v>46</v>
      </c>
      <c r="E1181" s="6" t="s">
        <v>134</v>
      </c>
      <c r="F1181" s="6" t="s">
        <v>135</v>
      </c>
      <c r="G1181" s="26" t="n">
        <v>46071</v>
      </c>
      <c r="H1181" s="6" t="s">
        <v>123</v>
      </c>
      <c r="I1181" s="26" t="n">
        <f aca="false">_xlfn.MINIFS(Transaction!$C$2:$C$8421,Transaction!$B$2:$B$8421,A1181)</f>
        <v>46151</v>
      </c>
      <c r="J1181" s="26" t="n">
        <f aca="false">_xlfn.MAXIFS(Transaction!$C$2:$C$8421,Transaction!$B$2:$B$8421,A1181)</f>
        <v>46151</v>
      </c>
      <c r="K1181" s="6" t="n">
        <f aca="false">COUNTIF(Transaction!$B$2:$B$8421,A1181)</f>
        <v>1</v>
      </c>
      <c r="L1181" s="10" t="n">
        <f aca="false">SUMIF(Transaction!$B$2:$B$8421,A1181,Transaction!$H$2:$H$8421)</f>
        <v>880</v>
      </c>
      <c r="M1181" s="6" t="n">
        <f aca="false">Summary!$B$3-J1181</f>
        <v>115</v>
      </c>
      <c r="N1181" s="6" t="str">
        <f aca="false">IF(K1181&gt;1,"Yes","No")</f>
        <v>No</v>
      </c>
      <c r="O1181" s="6" t="s">
        <v>48</v>
      </c>
    </row>
    <row r="1182" customFormat="false" ht="15" hidden="false" customHeight="false" outlineLevel="0" collapsed="false">
      <c r="A1182" s="6" t="s">
        <v>2473</v>
      </c>
      <c r="B1182" s="6" t="s">
        <v>2474</v>
      </c>
      <c r="C1182" s="6" t="s">
        <v>85</v>
      </c>
      <c r="D1182" s="6" t="n">
        <v>24</v>
      </c>
      <c r="E1182" s="6" t="s">
        <v>95</v>
      </c>
      <c r="F1182" s="6" t="s">
        <v>95</v>
      </c>
      <c r="G1182" s="26" t="n">
        <v>46211</v>
      </c>
      <c r="H1182" s="6" t="s">
        <v>78</v>
      </c>
      <c r="I1182" s="26" t="n">
        <f aca="false">_xlfn.MINIFS(Transaction!$C$2:$C$8421,Transaction!$B$2:$B$8421,A1182)</f>
        <v>46220</v>
      </c>
      <c r="J1182" s="26" t="n">
        <f aca="false">_xlfn.MAXIFS(Transaction!$C$2:$C$8421,Transaction!$B$2:$B$8421,A1182)</f>
        <v>46220</v>
      </c>
      <c r="K1182" s="6" t="n">
        <f aca="false">COUNTIF(Transaction!$B$2:$B$8421,A1182)</f>
        <v>1</v>
      </c>
      <c r="L1182" s="10" t="n">
        <f aca="false">SUMIF(Transaction!$B$2:$B$8421,A1182,Transaction!$H$2:$H$8421)</f>
        <v>1468</v>
      </c>
      <c r="M1182" s="6" t="n">
        <f aca="false">Summary!$B$3-J1182</f>
        <v>46</v>
      </c>
      <c r="N1182" s="6" t="str">
        <f aca="false">IF(K1182&gt;1,"Yes","No")</f>
        <v>No</v>
      </c>
      <c r="O1182" s="6" t="s">
        <v>47</v>
      </c>
    </row>
    <row r="1183" customFormat="false" ht="15" hidden="false" customHeight="false" outlineLevel="0" collapsed="false">
      <c r="A1183" s="6" t="s">
        <v>2475</v>
      </c>
      <c r="B1183" s="6" t="s">
        <v>2476</v>
      </c>
      <c r="C1183" s="6" t="s">
        <v>75</v>
      </c>
      <c r="D1183" s="6" t="n">
        <v>42</v>
      </c>
      <c r="E1183" s="6" t="s">
        <v>95</v>
      </c>
      <c r="F1183" s="6" t="s">
        <v>95</v>
      </c>
      <c r="G1183" s="26" t="n">
        <v>46149</v>
      </c>
      <c r="H1183" s="6" t="s">
        <v>102</v>
      </c>
      <c r="I1183" s="26" t="n">
        <f aca="false">_xlfn.MINIFS(Transaction!$C$2:$C$8421,Transaction!$B$2:$B$8421,A1183)</f>
        <v>46193</v>
      </c>
      <c r="J1183" s="26" t="n">
        <f aca="false">_xlfn.MAXIFS(Transaction!$C$2:$C$8421,Transaction!$B$2:$B$8421,A1183)</f>
        <v>46193</v>
      </c>
      <c r="K1183" s="6" t="n">
        <f aca="false">COUNTIF(Transaction!$B$2:$B$8421,A1183)</f>
        <v>1</v>
      </c>
      <c r="L1183" s="10" t="n">
        <f aca="false">SUMIF(Transaction!$B$2:$B$8421,A1183,Transaction!$H$2:$H$8421)</f>
        <v>1528</v>
      </c>
      <c r="M1183" s="6" t="n">
        <f aca="false">Summary!$B$3-J1183</f>
        <v>73</v>
      </c>
      <c r="N1183" s="6" t="str">
        <f aca="false">IF(K1183&gt;1,"Yes","No")</f>
        <v>No</v>
      </c>
      <c r="O1183" s="6" t="s">
        <v>47</v>
      </c>
    </row>
    <row r="1184" customFormat="false" ht="15" hidden="false" customHeight="false" outlineLevel="0" collapsed="false">
      <c r="A1184" s="6" t="s">
        <v>2477</v>
      </c>
      <c r="B1184" s="6" t="s">
        <v>2478</v>
      </c>
      <c r="C1184" s="6" t="s">
        <v>85</v>
      </c>
      <c r="D1184" s="6" t="n">
        <v>28</v>
      </c>
      <c r="E1184" s="6" t="s">
        <v>180</v>
      </c>
      <c r="F1184" s="6" t="s">
        <v>181</v>
      </c>
      <c r="G1184" s="26" t="n">
        <v>46114</v>
      </c>
      <c r="H1184" s="6" t="s">
        <v>102</v>
      </c>
      <c r="I1184" s="26" t="n">
        <f aca="false">_xlfn.MINIFS(Transaction!$C$2:$C$8421,Transaction!$B$2:$B$8421,A1184)</f>
        <v>46162</v>
      </c>
      <c r="J1184" s="26" t="n">
        <f aca="false">_xlfn.MAXIFS(Transaction!$C$2:$C$8421,Transaction!$B$2:$B$8421,A1184)</f>
        <v>46217</v>
      </c>
      <c r="K1184" s="6" t="n">
        <f aca="false">COUNTIF(Transaction!$B$2:$B$8421,A1184)</f>
        <v>4</v>
      </c>
      <c r="L1184" s="10" t="n">
        <f aca="false">SUMIF(Transaction!$B$2:$B$8421,A1184,Transaction!$H$2:$H$8421)</f>
        <v>8333</v>
      </c>
      <c r="M1184" s="6" t="n">
        <f aca="false">Summary!$B$3-J1184</f>
        <v>49</v>
      </c>
      <c r="N1184" s="6" t="str">
        <f aca="false">IF(K1184&gt;1,"Yes","No")</f>
        <v>Yes</v>
      </c>
      <c r="O1184" s="6" t="s">
        <v>46</v>
      </c>
    </row>
    <row r="1185" customFormat="false" ht="15" hidden="false" customHeight="false" outlineLevel="0" collapsed="false">
      <c r="A1185" s="6" t="s">
        <v>2479</v>
      </c>
      <c r="B1185" s="6" t="s">
        <v>2480</v>
      </c>
      <c r="C1185" s="6" t="s">
        <v>85</v>
      </c>
      <c r="D1185" s="6" t="n">
        <v>24</v>
      </c>
      <c r="E1185" s="6" t="s">
        <v>121</v>
      </c>
      <c r="F1185" s="6" t="s">
        <v>122</v>
      </c>
      <c r="G1185" s="26" t="n">
        <v>46179</v>
      </c>
      <c r="H1185" s="6" t="s">
        <v>115</v>
      </c>
      <c r="I1185" s="26" t="n">
        <f aca="false">_xlfn.MINIFS(Transaction!$C$2:$C$8421,Transaction!$B$2:$B$8421,A1185)</f>
        <v>46207</v>
      </c>
      <c r="J1185" s="26" t="n">
        <f aca="false">_xlfn.MAXIFS(Transaction!$C$2:$C$8421,Transaction!$B$2:$B$8421,A1185)</f>
        <v>46207</v>
      </c>
      <c r="K1185" s="6" t="n">
        <f aca="false">COUNTIF(Transaction!$B$2:$B$8421,A1185)</f>
        <v>1</v>
      </c>
      <c r="L1185" s="10" t="n">
        <f aca="false">SUMIF(Transaction!$B$2:$B$8421,A1185,Transaction!$H$2:$H$8421)</f>
        <v>1548</v>
      </c>
      <c r="M1185" s="6" t="n">
        <f aca="false">Summary!$B$3-J1185</f>
        <v>59</v>
      </c>
      <c r="N1185" s="6" t="str">
        <f aca="false">IF(K1185&gt;1,"Yes","No")</f>
        <v>No</v>
      </c>
      <c r="O1185" s="6" t="s">
        <v>47</v>
      </c>
    </row>
    <row r="1186" customFormat="false" ht="15" hidden="false" customHeight="false" outlineLevel="0" collapsed="false">
      <c r="A1186" s="6" t="s">
        <v>2481</v>
      </c>
      <c r="B1186" s="6" t="s">
        <v>2482</v>
      </c>
      <c r="C1186" s="6" t="s">
        <v>75</v>
      </c>
      <c r="D1186" s="6" t="n">
        <v>38</v>
      </c>
      <c r="E1186" s="6" t="s">
        <v>121</v>
      </c>
      <c r="F1186" s="6" t="s">
        <v>122</v>
      </c>
      <c r="G1186" s="26" t="n">
        <v>45961</v>
      </c>
      <c r="H1186" s="6" t="s">
        <v>78</v>
      </c>
      <c r="I1186" s="26" t="n">
        <f aca="false">_xlfn.MINIFS(Transaction!$C$2:$C$8421,Transaction!$B$2:$B$8421,A1186)</f>
        <v>46046</v>
      </c>
      <c r="J1186" s="26" t="n">
        <f aca="false">_xlfn.MAXIFS(Transaction!$C$2:$C$8421,Transaction!$B$2:$B$8421,A1186)</f>
        <v>46246</v>
      </c>
      <c r="K1186" s="6" t="n">
        <f aca="false">COUNTIF(Transaction!$B$2:$B$8421,A1186)</f>
        <v>11</v>
      </c>
      <c r="L1186" s="10" t="n">
        <f aca="false">SUMIF(Transaction!$B$2:$B$8421,A1186,Transaction!$H$2:$H$8421)</f>
        <v>20805</v>
      </c>
      <c r="M1186" s="6" t="n">
        <f aca="false">Summary!$B$3-J1186</f>
        <v>20</v>
      </c>
      <c r="N1186" s="6" t="str">
        <f aca="false">IF(K1186&gt;1,"Yes","No")</f>
        <v>Yes</v>
      </c>
      <c r="O1186" s="6" t="s">
        <v>45</v>
      </c>
    </row>
    <row r="1187" customFormat="false" ht="15" hidden="false" customHeight="false" outlineLevel="0" collapsed="false">
      <c r="A1187" s="6" t="s">
        <v>2483</v>
      </c>
      <c r="B1187" s="6" t="s">
        <v>2484</v>
      </c>
      <c r="C1187" s="6" t="s">
        <v>75</v>
      </c>
      <c r="D1187" s="6" t="n">
        <v>23</v>
      </c>
      <c r="E1187" s="6" t="s">
        <v>81</v>
      </c>
      <c r="F1187" s="6" t="s">
        <v>82</v>
      </c>
      <c r="G1187" s="26" t="n">
        <v>45991</v>
      </c>
      <c r="H1187" s="6" t="s">
        <v>102</v>
      </c>
      <c r="I1187" s="26" t="n">
        <f aca="false">_xlfn.MINIFS(Transaction!$C$2:$C$8421,Transaction!$B$2:$B$8421,A1187)</f>
        <v>46049</v>
      </c>
      <c r="J1187" s="26" t="n">
        <f aca="false">_xlfn.MAXIFS(Transaction!$C$2:$C$8421,Transaction!$B$2:$B$8421,A1187)</f>
        <v>46260</v>
      </c>
      <c r="K1187" s="6" t="n">
        <f aca="false">COUNTIF(Transaction!$B$2:$B$8421,A1187)</f>
        <v>8</v>
      </c>
      <c r="L1187" s="10" t="n">
        <f aca="false">SUMIF(Transaction!$B$2:$B$8421,A1187,Transaction!$H$2:$H$8421)</f>
        <v>11584</v>
      </c>
      <c r="M1187" s="6" t="n">
        <f aca="false">Summary!$B$3-J1187</f>
        <v>6</v>
      </c>
      <c r="N1187" s="6" t="str">
        <f aca="false">IF(K1187&gt;1,"Yes","No")</f>
        <v>Yes</v>
      </c>
      <c r="O1187" s="6" t="s">
        <v>45</v>
      </c>
    </row>
    <row r="1188" customFormat="false" ht="15" hidden="false" customHeight="false" outlineLevel="0" collapsed="false">
      <c r="A1188" s="6" t="s">
        <v>2485</v>
      </c>
      <c r="B1188" s="6" t="s">
        <v>2486</v>
      </c>
      <c r="C1188" s="6" t="s">
        <v>85</v>
      </c>
      <c r="D1188" s="6" t="n">
        <v>38</v>
      </c>
      <c r="E1188" s="6" t="s">
        <v>121</v>
      </c>
      <c r="F1188" s="6" t="s">
        <v>122</v>
      </c>
      <c r="G1188" s="26" t="n">
        <v>46007</v>
      </c>
      <c r="H1188" s="6" t="s">
        <v>115</v>
      </c>
      <c r="I1188" s="26" t="n">
        <f aca="false">_xlfn.MINIFS(Transaction!$C$2:$C$8421,Transaction!$B$2:$B$8421,A1188)</f>
        <v>46024</v>
      </c>
      <c r="J1188" s="26" t="n">
        <f aca="false">_xlfn.MAXIFS(Transaction!$C$2:$C$8421,Transaction!$B$2:$B$8421,A1188)</f>
        <v>46263</v>
      </c>
      <c r="K1188" s="6" t="n">
        <f aca="false">COUNTIF(Transaction!$B$2:$B$8421,A1188)</f>
        <v>11</v>
      </c>
      <c r="L1188" s="10" t="n">
        <f aca="false">SUMIF(Transaction!$B$2:$B$8421,A1188,Transaction!$H$2:$H$8421)</f>
        <v>38764</v>
      </c>
      <c r="M1188" s="6" t="n">
        <f aca="false">Summary!$B$3-J1188</f>
        <v>3</v>
      </c>
      <c r="N1188" s="6" t="str">
        <f aca="false">IF(K1188&gt;1,"Yes","No")</f>
        <v>Yes</v>
      </c>
      <c r="O1188" s="6" t="s">
        <v>45</v>
      </c>
    </row>
    <row r="1189" customFormat="false" ht="15" hidden="false" customHeight="false" outlineLevel="0" collapsed="false">
      <c r="A1189" s="6" t="s">
        <v>2487</v>
      </c>
      <c r="B1189" s="6" t="s">
        <v>2488</v>
      </c>
      <c r="C1189" s="6" t="s">
        <v>85</v>
      </c>
      <c r="D1189" s="6" t="n">
        <v>43</v>
      </c>
      <c r="E1189" s="6" t="s">
        <v>81</v>
      </c>
      <c r="F1189" s="6" t="s">
        <v>82</v>
      </c>
      <c r="G1189" s="26" t="n">
        <v>45993</v>
      </c>
      <c r="H1189" s="6" t="s">
        <v>92</v>
      </c>
      <c r="I1189" s="26" t="n">
        <f aca="false">_xlfn.MINIFS(Transaction!$C$2:$C$8421,Transaction!$B$2:$B$8421,A1189)</f>
        <v>46034</v>
      </c>
      <c r="J1189" s="26" t="n">
        <f aca="false">_xlfn.MAXIFS(Transaction!$C$2:$C$8421,Transaction!$B$2:$B$8421,A1189)</f>
        <v>46195</v>
      </c>
      <c r="K1189" s="6" t="n">
        <f aca="false">COUNTIF(Transaction!$B$2:$B$8421,A1189)</f>
        <v>8</v>
      </c>
      <c r="L1189" s="10" t="n">
        <f aca="false">SUMIF(Transaction!$B$2:$B$8421,A1189,Transaction!$H$2:$H$8421)</f>
        <v>9031</v>
      </c>
      <c r="M1189" s="6" t="n">
        <f aca="false">Summary!$B$3-J1189</f>
        <v>71</v>
      </c>
      <c r="N1189" s="6" t="str">
        <f aca="false">IF(K1189&gt;1,"Yes","No")</f>
        <v>Yes</v>
      </c>
      <c r="O1189" s="6" t="s">
        <v>46</v>
      </c>
    </row>
    <row r="1190" customFormat="false" ht="15" hidden="false" customHeight="false" outlineLevel="0" collapsed="false">
      <c r="A1190" s="6" t="s">
        <v>2489</v>
      </c>
      <c r="B1190" s="6" t="s">
        <v>2490</v>
      </c>
      <c r="C1190" s="6" t="s">
        <v>85</v>
      </c>
      <c r="D1190" s="6" t="n">
        <v>28</v>
      </c>
      <c r="E1190" s="6" t="s">
        <v>76</v>
      </c>
      <c r="F1190" s="6" t="s">
        <v>77</v>
      </c>
      <c r="G1190" s="26" t="n">
        <v>46004</v>
      </c>
      <c r="H1190" s="6" t="s">
        <v>78</v>
      </c>
      <c r="I1190" s="26" t="n">
        <f aca="false">_xlfn.MINIFS(Transaction!$C$2:$C$8421,Transaction!$B$2:$B$8421,A1190)</f>
        <v>46057</v>
      </c>
      <c r="J1190" s="26" t="n">
        <f aca="false">_xlfn.MAXIFS(Transaction!$C$2:$C$8421,Transaction!$B$2:$B$8421,A1190)</f>
        <v>46188</v>
      </c>
      <c r="K1190" s="6" t="n">
        <f aca="false">COUNTIF(Transaction!$B$2:$B$8421,A1190)</f>
        <v>4</v>
      </c>
      <c r="L1190" s="10" t="n">
        <f aca="false">SUMIF(Transaction!$B$2:$B$8421,A1190,Transaction!$H$2:$H$8421)</f>
        <v>4017</v>
      </c>
      <c r="M1190" s="6" t="n">
        <f aca="false">Summary!$B$3-J1190</f>
        <v>78</v>
      </c>
      <c r="N1190" s="6" t="str">
        <f aca="false">IF(K1190&gt;1,"Yes","No")</f>
        <v>Yes</v>
      </c>
      <c r="O1190" s="6" t="s">
        <v>46</v>
      </c>
    </row>
    <row r="1191" customFormat="false" ht="15" hidden="false" customHeight="false" outlineLevel="0" collapsed="false">
      <c r="A1191" s="6" t="s">
        <v>2491</v>
      </c>
      <c r="B1191" s="6" t="s">
        <v>2492</v>
      </c>
      <c r="C1191" s="6" t="s">
        <v>75</v>
      </c>
      <c r="D1191" s="6" t="n">
        <v>42</v>
      </c>
      <c r="E1191" s="6" t="s">
        <v>146</v>
      </c>
      <c r="F1191" s="6" t="s">
        <v>147</v>
      </c>
      <c r="G1191" s="26" t="n">
        <v>46019</v>
      </c>
      <c r="H1191" s="6" t="s">
        <v>88</v>
      </c>
      <c r="I1191" s="26" t="n">
        <f aca="false">_xlfn.MINIFS(Transaction!$C$2:$C$8421,Transaction!$B$2:$B$8421,A1191)</f>
        <v>46040</v>
      </c>
      <c r="J1191" s="26" t="n">
        <f aca="false">_xlfn.MAXIFS(Transaction!$C$2:$C$8421,Transaction!$B$2:$B$8421,A1191)</f>
        <v>46232</v>
      </c>
      <c r="K1191" s="6" t="n">
        <f aca="false">COUNTIF(Transaction!$B$2:$B$8421,A1191)</f>
        <v>6</v>
      </c>
      <c r="L1191" s="10" t="n">
        <f aca="false">SUMIF(Transaction!$B$2:$B$8421,A1191,Transaction!$H$2:$H$8421)</f>
        <v>12475</v>
      </c>
      <c r="M1191" s="6" t="n">
        <f aca="false">Summary!$B$3-J1191</f>
        <v>34</v>
      </c>
      <c r="N1191" s="6" t="str">
        <f aca="false">IF(K1191&gt;1,"Yes","No")</f>
        <v>Yes</v>
      </c>
      <c r="O1191" s="6" t="s">
        <v>46</v>
      </c>
    </row>
    <row r="1192" customFormat="false" ht="15" hidden="false" customHeight="false" outlineLevel="0" collapsed="false">
      <c r="A1192" s="6" t="s">
        <v>2493</v>
      </c>
      <c r="B1192" s="6" t="s">
        <v>2494</v>
      </c>
      <c r="C1192" s="6" t="s">
        <v>85</v>
      </c>
      <c r="D1192" s="6" t="n">
        <v>24</v>
      </c>
      <c r="E1192" s="6" t="s">
        <v>91</v>
      </c>
      <c r="F1192" s="6" t="s">
        <v>77</v>
      </c>
      <c r="G1192" s="26" t="n">
        <v>46061</v>
      </c>
      <c r="H1192" s="6" t="s">
        <v>115</v>
      </c>
      <c r="I1192" s="26" t="n">
        <f aca="false">_xlfn.MINIFS(Transaction!$C$2:$C$8421,Transaction!$B$2:$B$8421,A1192)</f>
        <v>46069</v>
      </c>
      <c r="J1192" s="26" t="n">
        <f aca="false">_xlfn.MAXIFS(Transaction!$C$2:$C$8421,Transaction!$B$2:$B$8421,A1192)</f>
        <v>46214</v>
      </c>
      <c r="K1192" s="6" t="n">
        <f aca="false">COUNTIF(Transaction!$B$2:$B$8421,A1192)</f>
        <v>5</v>
      </c>
      <c r="L1192" s="10" t="n">
        <f aca="false">SUMIF(Transaction!$B$2:$B$8421,A1192,Transaction!$H$2:$H$8421)</f>
        <v>4398</v>
      </c>
      <c r="M1192" s="6" t="n">
        <f aca="false">Summary!$B$3-J1192</f>
        <v>52</v>
      </c>
      <c r="N1192" s="6" t="str">
        <f aca="false">IF(K1192&gt;1,"Yes","No")</f>
        <v>Yes</v>
      </c>
      <c r="O1192" s="6" t="s">
        <v>46</v>
      </c>
    </row>
    <row r="1193" customFormat="false" ht="15" hidden="false" customHeight="false" outlineLevel="0" collapsed="false">
      <c r="A1193" s="6" t="s">
        <v>2495</v>
      </c>
      <c r="B1193" s="6" t="s">
        <v>2496</v>
      </c>
      <c r="C1193" s="6" t="s">
        <v>75</v>
      </c>
      <c r="D1193" s="6" t="n">
        <v>37</v>
      </c>
      <c r="E1193" s="6" t="s">
        <v>134</v>
      </c>
      <c r="F1193" s="6" t="s">
        <v>135</v>
      </c>
      <c r="G1193" s="26" t="n">
        <v>46173</v>
      </c>
      <c r="H1193" s="6" t="s">
        <v>123</v>
      </c>
      <c r="I1193" s="26" t="n">
        <f aca="false">_xlfn.MINIFS(Transaction!$C$2:$C$8421,Transaction!$B$2:$B$8421,A1193)</f>
        <v>46182</v>
      </c>
      <c r="J1193" s="26" t="n">
        <f aca="false">_xlfn.MAXIFS(Transaction!$C$2:$C$8421,Transaction!$B$2:$B$8421,A1193)</f>
        <v>46182</v>
      </c>
      <c r="K1193" s="6" t="n">
        <f aca="false">COUNTIF(Transaction!$B$2:$B$8421,A1193)</f>
        <v>1</v>
      </c>
      <c r="L1193" s="10" t="n">
        <f aca="false">SUMIF(Transaction!$B$2:$B$8421,A1193,Transaction!$H$2:$H$8421)</f>
        <v>1410</v>
      </c>
      <c r="M1193" s="6" t="n">
        <f aca="false">Summary!$B$3-J1193</f>
        <v>84</v>
      </c>
      <c r="N1193" s="6" t="str">
        <f aca="false">IF(K1193&gt;1,"Yes","No")</f>
        <v>No</v>
      </c>
      <c r="O1193" s="6" t="s">
        <v>47</v>
      </c>
    </row>
    <row r="1194" customFormat="false" ht="15" hidden="false" customHeight="false" outlineLevel="0" collapsed="false">
      <c r="A1194" s="6" t="s">
        <v>2497</v>
      </c>
      <c r="B1194" s="6" t="s">
        <v>2498</v>
      </c>
      <c r="C1194" s="6" t="s">
        <v>75</v>
      </c>
      <c r="D1194" s="6" t="n">
        <v>36</v>
      </c>
      <c r="E1194" s="6" t="s">
        <v>81</v>
      </c>
      <c r="F1194" s="6" t="s">
        <v>82</v>
      </c>
      <c r="G1194" s="26" t="n">
        <v>46144</v>
      </c>
      <c r="H1194" s="6" t="s">
        <v>78</v>
      </c>
      <c r="I1194" s="26" t="n">
        <f aca="false">_xlfn.MINIFS(Transaction!$C$2:$C$8421,Transaction!$B$2:$B$8421,A1194)</f>
        <v>46156</v>
      </c>
      <c r="J1194" s="26" t="n">
        <f aca="false">_xlfn.MAXIFS(Transaction!$C$2:$C$8421,Transaction!$B$2:$B$8421,A1194)</f>
        <v>46156</v>
      </c>
      <c r="K1194" s="6" t="n">
        <f aca="false">COUNTIF(Transaction!$B$2:$B$8421,A1194)</f>
        <v>1</v>
      </c>
      <c r="L1194" s="10" t="n">
        <f aca="false">SUMIF(Transaction!$B$2:$B$8421,A1194,Transaction!$H$2:$H$8421)</f>
        <v>840</v>
      </c>
      <c r="M1194" s="6" t="n">
        <f aca="false">Summary!$B$3-J1194</f>
        <v>110</v>
      </c>
      <c r="N1194" s="6" t="str">
        <f aca="false">IF(K1194&gt;1,"Yes","No")</f>
        <v>No</v>
      </c>
      <c r="O1194" s="6" t="s">
        <v>48</v>
      </c>
    </row>
    <row r="1195" customFormat="false" ht="15" hidden="false" customHeight="false" outlineLevel="0" collapsed="false">
      <c r="A1195" s="6" t="s">
        <v>2499</v>
      </c>
      <c r="B1195" s="6" t="s">
        <v>2500</v>
      </c>
      <c r="C1195" s="6" t="s">
        <v>75</v>
      </c>
      <c r="D1195" s="6" t="n">
        <v>36</v>
      </c>
      <c r="E1195" s="6" t="s">
        <v>134</v>
      </c>
      <c r="F1195" s="6" t="s">
        <v>135</v>
      </c>
      <c r="G1195" s="26" t="n">
        <v>46221</v>
      </c>
      <c r="H1195" s="6" t="s">
        <v>78</v>
      </c>
      <c r="I1195" s="26" t="n">
        <f aca="false">_xlfn.MINIFS(Transaction!$C$2:$C$8421,Transaction!$B$2:$B$8421,A1195)</f>
        <v>46250</v>
      </c>
      <c r="J1195" s="26" t="n">
        <f aca="false">_xlfn.MAXIFS(Transaction!$C$2:$C$8421,Transaction!$B$2:$B$8421,A1195)</f>
        <v>46250</v>
      </c>
      <c r="K1195" s="6" t="n">
        <f aca="false">COUNTIF(Transaction!$B$2:$B$8421,A1195)</f>
        <v>1</v>
      </c>
      <c r="L1195" s="10" t="n">
        <f aca="false">SUMIF(Transaction!$B$2:$B$8421,A1195,Transaction!$H$2:$H$8421)</f>
        <v>867</v>
      </c>
      <c r="M1195" s="6" t="n">
        <f aca="false">Summary!$B$3-J1195</f>
        <v>16</v>
      </c>
      <c r="N1195" s="6" t="str">
        <f aca="false">IF(K1195&gt;1,"Yes","No")</f>
        <v>No</v>
      </c>
      <c r="O1195" s="6" t="s">
        <v>47</v>
      </c>
    </row>
    <row r="1196" customFormat="false" ht="15" hidden="false" customHeight="false" outlineLevel="0" collapsed="false">
      <c r="A1196" s="6" t="s">
        <v>2501</v>
      </c>
      <c r="B1196" s="6" t="s">
        <v>2502</v>
      </c>
      <c r="C1196" s="6" t="s">
        <v>85</v>
      </c>
      <c r="D1196" s="6" t="n">
        <v>33</v>
      </c>
      <c r="E1196" s="6" t="s">
        <v>430</v>
      </c>
      <c r="F1196" s="6" t="s">
        <v>99</v>
      </c>
      <c r="G1196" s="26" t="n">
        <v>46081</v>
      </c>
      <c r="H1196" s="6" t="s">
        <v>115</v>
      </c>
      <c r="I1196" s="26" t="n">
        <f aca="false">_xlfn.MINIFS(Transaction!$C$2:$C$8421,Transaction!$B$2:$B$8421,A1196)</f>
        <v>46125</v>
      </c>
      <c r="J1196" s="26" t="n">
        <f aca="false">_xlfn.MAXIFS(Transaction!$C$2:$C$8421,Transaction!$B$2:$B$8421,A1196)</f>
        <v>46195</v>
      </c>
      <c r="K1196" s="6" t="n">
        <f aca="false">COUNTIF(Transaction!$B$2:$B$8421,A1196)</f>
        <v>4</v>
      </c>
      <c r="L1196" s="10" t="n">
        <f aca="false">SUMIF(Transaction!$B$2:$B$8421,A1196,Transaction!$H$2:$H$8421)</f>
        <v>7348</v>
      </c>
      <c r="M1196" s="6" t="n">
        <f aca="false">Summary!$B$3-J1196</f>
        <v>71</v>
      </c>
      <c r="N1196" s="6" t="str">
        <f aca="false">IF(K1196&gt;1,"Yes","No")</f>
        <v>Yes</v>
      </c>
      <c r="O1196" s="6" t="s">
        <v>46</v>
      </c>
    </row>
    <row r="1197" customFormat="false" ht="15" hidden="false" customHeight="false" outlineLevel="0" collapsed="false">
      <c r="A1197" s="6" t="s">
        <v>2503</v>
      </c>
      <c r="B1197" s="6" t="s">
        <v>2504</v>
      </c>
      <c r="C1197" s="6" t="s">
        <v>75</v>
      </c>
      <c r="D1197" s="6" t="n">
        <v>40</v>
      </c>
      <c r="E1197" s="6" t="s">
        <v>95</v>
      </c>
      <c r="F1197" s="6" t="s">
        <v>95</v>
      </c>
      <c r="G1197" s="26" t="n">
        <v>46118</v>
      </c>
      <c r="H1197" s="6" t="s">
        <v>78</v>
      </c>
      <c r="I1197" s="26" t="n">
        <f aca="false">_xlfn.MINIFS(Transaction!$C$2:$C$8421,Transaction!$B$2:$B$8421,A1197)</f>
        <v>46178</v>
      </c>
      <c r="J1197" s="26" t="n">
        <f aca="false">_xlfn.MAXIFS(Transaction!$C$2:$C$8421,Transaction!$B$2:$B$8421,A1197)</f>
        <v>46244</v>
      </c>
      <c r="K1197" s="6" t="n">
        <f aca="false">COUNTIF(Transaction!$B$2:$B$8421,A1197)</f>
        <v>3</v>
      </c>
      <c r="L1197" s="10" t="n">
        <f aca="false">SUMIF(Transaction!$B$2:$B$8421,A1197,Transaction!$H$2:$H$8421)</f>
        <v>9519</v>
      </c>
      <c r="M1197" s="6" t="n">
        <f aca="false">Summary!$B$3-J1197</f>
        <v>22</v>
      </c>
      <c r="N1197" s="6" t="str">
        <f aca="false">IF(K1197&gt;1,"Yes","No")</f>
        <v>Yes</v>
      </c>
      <c r="O1197" s="6" t="s">
        <v>46</v>
      </c>
    </row>
    <row r="1198" customFormat="false" ht="15" hidden="false" customHeight="false" outlineLevel="0" collapsed="false">
      <c r="A1198" s="6" t="s">
        <v>2505</v>
      </c>
      <c r="B1198" s="6" t="s">
        <v>2506</v>
      </c>
      <c r="C1198" s="6" t="s">
        <v>75</v>
      </c>
      <c r="D1198" s="6" t="n">
        <v>37</v>
      </c>
      <c r="E1198" s="6" t="s">
        <v>176</v>
      </c>
      <c r="F1198" s="6" t="s">
        <v>177</v>
      </c>
      <c r="G1198" s="26" t="n">
        <v>45965</v>
      </c>
      <c r="H1198" s="6" t="s">
        <v>92</v>
      </c>
      <c r="I1198" s="26" t="n">
        <f aca="false">_xlfn.MINIFS(Transaction!$C$2:$C$8421,Transaction!$B$2:$B$8421,A1198)</f>
        <v>46044</v>
      </c>
      <c r="J1198" s="26" t="n">
        <f aca="false">_xlfn.MAXIFS(Transaction!$C$2:$C$8421,Transaction!$B$2:$B$8421,A1198)</f>
        <v>46237</v>
      </c>
      <c r="K1198" s="6" t="n">
        <f aca="false">COUNTIF(Transaction!$B$2:$B$8421,A1198)</f>
        <v>5</v>
      </c>
      <c r="L1198" s="10" t="n">
        <f aca="false">SUMIF(Transaction!$B$2:$B$8421,A1198,Transaction!$H$2:$H$8421)</f>
        <v>14223</v>
      </c>
      <c r="M1198" s="6" t="n">
        <f aca="false">Summary!$B$3-J1198</f>
        <v>29</v>
      </c>
      <c r="N1198" s="6" t="str">
        <f aca="false">IF(K1198&gt;1,"Yes","No")</f>
        <v>Yes</v>
      </c>
      <c r="O1198" s="6" t="s">
        <v>46</v>
      </c>
    </row>
    <row r="1199" customFormat="false" ht="15" hidden="false" customHeight="false" outlineLevel="0" collapsed="false">
      <c r="A1199" s="6" t="s">
        <v>2507</v>
      </c>
      <c r="B1199" s="6" t="s">
        <v>2508</v>
      </c>
      <c r="C1199" s="6" t="s">
        <v>85</v>
      </c>
      <c r="D1199" s="6" t="n">
        <v>26</v>
      </c>
      <c r="E1199" s="6" t="s">
        <v>105</v>
      </c>
      <c r="F1199" s="6" t="s">
        <v>106</v>
      </c>
      <c r="G1199" s="26" t="n">
        <v>45992</v>
      </c>
      <c r="H1199" s="6" t="s">
        <v>102</v>
      </c>
      <c r="I1199" s="26" t="n">
        <f aca="false">_xlfn.MINIFS(Transaction!$C$2:$C$8421,Transaction!$B$2:$B$8421,A1199)</f>
        <v>46060</v>
      </c>
      <c r="J1199" s="26" t="n">
        <f aca="false">_xlfn.MAXIFS(Transaction!$C$2:$C$8421,Transaction!$B$2:$B$8421,A1199)</f>
        <v>46060</v>
      </c>
      <c r="K1199" s="6" t="n">
        <f aca="false">COUNTIF(Transaction!$B$2:$B$8421,A1199)</f>
        <v>1</v>
      </c>
      <c r="L1199" s="10" t="n">
        <f aca="false">SUMIF(Transaction!$B$2:$B$8421,A1199,Transaction!$H$2:$H$8421)</f>
        <v>1564</v>
      </c>
      <c r="M1199" s="6" t="n">
        <f aca="false">Summary!$B$3-J1199</f>
        <v>206</v>
      </c>
      <c r="N1199" s="6" t="str">
        <f aca="false">IF(K1199&gt;1,"Yes","No")</f>
        <v>No</v>
      </c>
      <c r="O1199" s="6" t="s">
        <v>49</v>
      </c>
    </row>
    <row r="1200" customFormat="false" ht="15" hidden="false" customHeight="false" outlineLevel="0" collapsed="false">
      <c r="A1200" s="6" t="s">
        <v>2509</v>
      </c>
      <c r="B1200" s="6" t="s">
        <v>2510</v>
      </c>
      <c r="C1200" s="6" t="s">
        <v>85</v>
      </c>
      <c r="D1200" s="6" t="n">
        <v>41</v>
      </c>
      <c r="E1200" s="6" t="s">
        <v>176</v>
      </c>
      <c r="F1200" s="6" t="s">
        <v>177</v>
      </c>
      <c r="G1200" s="26" t="n">
        <v>46034</v>
      </c>
      <c r="H1200" s="6" t="s">
        <v>102</v>
      </c>
      <c r="I1200" s="26" t="n">
        <f aca="false">_xlfn.MINIFS(Transaction!$C$2:$C$8421,Transaction!$B$2:$B$8421,A1200)</f>
        <v>46053</v>
      </c>
      <c r="J1200" s="26" t="n">
        <f aca="false">_xlfn.MAXIFS(Transaction!$C$2:$C$8421,Transaction!$B$2:$B$8421,A1200)</f>
        <v>46250</v>
      </c>
      <c r="K1200" s="6" t="n">
        <f aca="false">COUNTIF(Transaction!$B$2:$B$8421,A1200)</f>
        <v>2</v>
      </c>
      <c r="L1200" s="10" t="n">
        <f aca="false">SUMIF(Transaction!$B$2:$B$8421,A1200,Transaction!$H$2:$H$8421)</f>
        <v>1595</v>
      </c>
      <c r="M1200" s="6" t="n">
        <f aca="false">Summary!$B$3-J1200</f>
        <v>16</v>
      </c>
      <c r="N1200" s="6" t="str">
        <f aca="false">IF(K1200&gt;1,"Yes","No")</f>
        <v>Yes</v>
      </c>
      <c r="O1200" s="6" t="s">
        <v>46</v>
      </c>
    </row>
    <row r="1201" customFormat="false" ht="15" hidden="false" customHeight="false" outlineLevel="0" collapsed="false">
      <c r="A1201" s="6" t="s">
        <v>2511</v>
      </c>
      <c r="B1201" s="6" t="s">
        <v>2512</v>
      </c>
      <c r="C1201" s="6" t="s">
        <v>85</v>
      </c>
      <c r="D1201" s="6" t="n">
        <v>47</v>
      </c>
      <c r="E1201" s="6" t="s">
        <v>81</v>
      </c>
      <c r="F1201" s="6" t="s">
        <v>82</v>
      </c>
      <c r="G1201" s="26" t="n">
        <v>46095</v>
      </c>
      <c r="H1201" s="6" t="s">
        <v>123</v>
      </c>
      <c r="I1201" s="26" t="n">
        <f aca="false">_xlfn.MINIFS(Transaction!$C$2:$C$8421,Transaction!$B$2:$B$8421,A1201)</f>
        <v>46174</v>
      </c>
      <c r="J1201" s="26" t="n">
        <f aca="false">_xlfn.MAXIFS(Transaction!$C$2:$C$8421,Transaction!$B$2:$B$8421,A1201)</f>
        <v>46174</v>
      </c>
      <c r="K1201" s="6" t="n">
        <f aca="false">COUNTIF(Transaction!$B$2:$B$8421,A1201)</f>
        <v>1</v>
      </c>
      <c r="L1201" s="10" t="n">
        <f aca="false">SUMIF(Transaction!$B$2:$B$8421,A1201,Transaction!$H$2:$H$8421)</f>
        <v>334</v>
      </c>
      <c r="M1201" s="6" t="n">
        <f aca="false">Summary!$B$3-J1201</f>
        <v>92</v>
      </c>
      <c r="N1201" s="6" t="str">
        <f aca="false">IF(K1201&gt;1,"Yes","No")</f>
        <v>No</v>
      </c>
      <c r="O1201" s="6" t="s">
        <v>47</v>
      </c>
    </row>
    <row r="1202" customFormat="false" ht="15" hidden="false" customHeight="false" outlineLevel="0" collapsed="false">
      <c r="A1202" s="6" t="s">
        <v>2513</v>
      </c>
      <c r="B1202" s="6" t="s">
        <v>2514</v>
      </c>
      <c r="C1202" s="6" t="s">
        <v>85</v>
      </c>
      <c r="D1202" s="6" t="n">
        <v>25</v>
      </c>
      <c r="E1202" s="6" t="s">
        <v>76</v>
      </c>
      <c r="F1202" s="6" t="s">
        <v>77</v>
      </c>
      <c r="G1202" s="26" t="n">
        <v>46151</v>
      </c>
      <c r="H1202" s="6" t="s">
        <v>102</v>
      </c>
      <c r="I1202" s="26" t="n">
        <f aca="false">_xlfn.MINIFS(Transaction!$C$2:$C$8421,Transaction!$B$2:$B$8421,A1202)</f>
        <v>46182</v>
      </c>
      <c r="J1202" s="26" t="n">
        <f aca="false">_xlfn.MAXIFS(Transaction!$C$2:$C$8421,Transaction!$B$2:$B$8421,A1202)</f>
        <v>46182</v>
      </c>
      <c r="K1202" s="6" t="n">
        <f aca="false">COUNTIF(Transaction!$B$2:$B$8421,A1202)</f>
        <v>1</v>
      </c>
      <c r="L1202" s="10" t="n">
        <f aca="false">SUMIF(Transaction!$B$2:$B$8421,A1202,Transaction!$H$2:$H$8421)</f>
        <v>3485</v>
      </c>
      <c r="M1202" s="6" t="n">
        <f aca="false">Summary!$B$3-J1202</f>
        <v>84</v>
      </c>
      <c r="N1202" s="6" t="str">
        <f aca="false">IF(K1202&gt;1,"Yes","No")</f>
        <v>No</v>
      </c>
      <c r="O1202" s="6" t="s">
        <v>47</v>
      </c>
    </row>
    <row r="1203" customFormat="false" ht="15" hidden="false" customHeight="false" outlineLevel="0" collapsed="false">
      <c r="A1203" s="6" t="s">
        <v>2515</v>
      </c>
      <c r="B1203" s="6" t="s">
        <v>2516</v>
      </c>
      <c r="C1203" s="6" t="s">
        <v>75</v>
      </c>
      <c r="D1203" s="6" t="n">
        <v>18</v>
      </c>
      <c r="E1203" s="6" t="s">
        <v>105</v>
      </c>
      <c r="F1203" s="6" t="s">
        <v>106</v>
      </c>
      <c r="G1203" s="26" t="n">
        <v>46075</v>
      </c>
      <c r="H1203" s="6" t="s">
        <v>115</v>
      </c>
      <c r="I1203" s="26" t="n">
        <f aca="false">_xlfn.MINIFS(Transaction!$C$2:$C$8421,Transaction!$B$2:$B$8421,A1203)</f>
        <v>46135</v>
      </c>
      <c r="J1203" s="26" t="n">
        <f aca="false">_xlfn.MAXIFS(Transaction!$C$2:$C$8421,Transaction!$B$2:$B$8421,A1203)</f>
        <v>46205</v>
      </c>
      <c r="K1203" s="6" t="n">
        <f aca="false">COUNTIF(Transaction!$B$2:$B$8421,A1203)</f>
        <v>5</v>
      </c>
      <c r="L1203" s="10" t="n">
        <f aca="false">SUMIF(Transaction!$B$2:$B$8421,A1203,Transaction!$H$2:$H$8421)</f>
        <v>7139</v>
      </c>
      <c r="M1203" s="6" t="n">
        <f aca="false">Summary!$B$3-J1203</f>
        <v>61</v>
      </c>
      <c r="N1203" s="6" t="str">
        <f aca="false">IF(K1203&gt;1,"Yes","No")</f>
        <v>Yes</v>
      </c>
      <c r="O1203" s="6" t="s">
        <v>46</v>
      </c>
    </row>
    <row r="1204" customFormat="false" ht="15" hidden="false" customHeight="false" outlineLevel="0" collapsed="false">
      <c r="A1204" s="6" t="s">
        <v>2517</v>
      </c>
      <c r="B1204" s="6" t="s">
        <v>2518</v>
      </c>
      <c r="C1204" s="6" t="s">
        <v>85</v>
      </c>
      <c r="D1204" s="6" t="n">
        <v>40</v>
      </c>
      <c r="E1204" s="6" t="s">
        <v>91</v>
      </c>
      <c r="F1204" s="6" t="s">
        <v>77</v>
      </c>
      <c r="G1204" s="26" t="n">
        <v>46050</v>
      </c>
      <c r="H1204" s="6" t="s">
        <v>92</v>
      </c>
      <c r="I1204" s="26" t="n">
        <f aca="false">_xlfn.MINIFS(Transaction!$C$2:$C$8421,Transaction!$B$2:$B$8421,A1204)</f>
        <v>46078</v>
      </c>
      <c r="J1204" s="26" t="n">
        <f aca="false">_xlfn.MAXIFS(Transaction!$C$2:$C$8421,Transaction!$B$2:$B$8421,A1204)</f>
        <v>46078</v>
      </c>
      <c r="K1204" s="6" t="n">
        <f aca="false">COUNTIF(Transaction!$B$2:$B$8421,A1204)</f>
        <v>1</v>
      </c>
      <c r="L1204" s="10" t="n">
        <f aca="false">SUMIF(Transaction!$B$2:$B$8421,A1204,Transaction!$H$2:$H$8421)</f>
        <v>508</v>
      </c>
      <c r="M1204" s="6" t="n">
        <f aca="false">Summary!$B$3-J1204</f>
        <v>188</v>
      </c>
      <c r="N1204" s="6" t="str">
        <f aca="false">IF(K1204&gt;1,"Yes","No")</f>
        <v>No</v>
      </c>
      <c r="O1204" s="6" t="s">
        <v>49</v>
      </c>
    </row>
    <row r="1205" customFormat="false" ht="15" hidden="false" customHeight="false" outlineLevel="0" collapsed="false">
      <c r="A1205" s="6" t="s">
        <v>2519</v>
      </c>
      <c r="B1205" s="6" t="s">
        <v>2520</v>
      </c>
      <c r="C1205" s="6" t="s">
        <v>75</v>
      </c>
      <c r="D1205" s="6" t="n">
        <v>44</v>
      </c>
      <c r="E1205" s="6" t="s">
        <v>430</v>
      </c>
      <c r="F1205" s="6" t="s">
        <v>99</v>
      </c>
      <c r="G1205" s="26" t="n">
        <v>46155</v>
      </c>
      <c r="H1205" s="6" t="s">
        <v>102</v>
      </c>
      <c r="I1205" s="26" t="n">
        <f aca="false">_xlfn.MINIFS(Transaction!$C$2:$C$8421,Transaction!$B$2:$B$8421,A1205)</f>
        <v>46194</v>
      </c>
      <c r="J1205" s="26" t="n">
        <f aca="false">_xlfn.MAXIFS(Transaction!$C$2:$C$8421,Transaction!$B$2:$B$8421,A1205)</f>
        <v>46194</v>
      </c>
      <c r="K1205" s="6" t="n">
        <f aca="false">COUNTIF(Transaction!$B$2:$B$8421,A1205)</f>
        <v>1</v>
      </c>
      <c r="L1205" s="10" t="n">
        <f aca="false">SUMIF(Transaction!$B$2:$B$8421,A1205,Transaction!$H$2:$H$8421)</f>
        <v>1174</v>
      </c>
      <c r="M1205" s="6" t="n">
        <f aca="false">Summary!$B$3-J1205</f>
        <v>72</v>
      </c>
      <c r="N1205" s="6" t="str">
        <f aca="false">IF(K1205&gt;1,"Yes","No")</f>
        <v>No</v>
      </c>
      <c r="O1205" s="6" t="s">
        <v>47</v>
      </c>
    </row>
    <row r="1206" customFormat="false" ht="15" hidden="false" customHeight="false" outlineLevel="0" collapsed="false">
      <c r="A1206" s="6" t="s">
        <v>2521</v>
      </c>
      <c r="B1206" s="6" t="s">
        <v>2522</v>
      </c>
      <c r="C1206" s="6" t="s">
        <v>75</v>
      </c>
      <c r="D1206" s="6" t="n">
        <v>25</v>
      </c>
      <c r="E1206" s="6" t="s">
        <v>180</v>
      </c>
      <c r="F1206" s="6" t="s">
        <v>181</v>
      </c>
      <c r="G1206" s="26" t="n">
        <v>46039</v>
      </c>
      <c r="H1206" s="6" t="s">
        <v>92</v>
      </c>
      <c r="I1206" s="26" t="n">
        <f aca="false">_xlfn.MINIFS(Transaction!$C$2:$C$8421,Transaction!$B$2:$B$8421,A1206)</f>
        <v>46056</v>
      </c>
      <c r="J1206" s="26" t="n">
        <f aca="false">_xlfn.MAXIFS(Transaction!$C$2:$C$8421,Transaction!$B$2:$B$8421,A1206)</f>
        <v>46218</v>
      </c>
      <c r="K1206" s="6" t="n">
        <f aca="false">COUNTIF(Transaction!$B$2:$B$8421,A1206)</f>
        <v>6</v>
      </c>
      <c r="L1206" s="10" t="n">
        <f aca="false">SUMIF(Transaction!$B$2:$B$8421,A1206,Transaction!$H$2:$H$8421)</f>
        <v>12595</v>
      </c>
      <c r="M1206" s="6" t="n">
        <f aca="false">Summary!$B$3-J1206</f>
        <v>48</v>
      </c>
      <c r="N1206" s="6" t="str">
        <f aca="false">IF(K1206&gt;1,"Yes","No")</f>
        <v>Yes</v>
      </c>
      <c r="O1206" s="6" t="s">
        <v>46</v>
      </c>
    </row>
    <row r="1207" customFormat="false" ht="15" hidden="false" customHeight="false" outlineLevel="0" collapsed="false">
      <c r="A1207" s="6" t="s">
        <v>2523</v>
      </c>
      <c r="B1207" s="6" t="s">
        <v>2524</v>
      </c>
      <c r="C1207" s="6" t="s">
        <v>85</v>
      </c>
      <c r="D1207" s="6" t="n">
        <v>51</v>
      </c>
      <c r="E1207" s="6" t="s">
        <v>105</v>
      </c>
      <c r="F1207" s="6" t="s">
        <v>106</v>
      </c>
      <c r="G1207" s="26" t="n">
        <v>46013</v>
      </c>
      <c r="H1207" s="6" t="s">
        <v>123</v>
      </c>
      <c r="I1207" s="26" t="n">
        <f aca="false">_xlfn.MINIFS(Transaction!$C$2:$C$8421,Transaction!$B$2:$B$8421,A1207)</f>
        <v>46068</v>
      </c>
      <c r="J1207" s="26" t="n">
        <f aca="false">_xlfn.MAXIFS(Transaction!$C$2:$C$8421,Transaction!$B$2:$B$8421,A1207)</f>
        <v>46068</v>
      </c>
      <c r="K1207" s="6" t="n">
        <f aca="false">COUNTIF(Transaction!$B$2:$B$8421,A1207)</f>
        <v>1</v>
      </c>
      <c r="L1207" s="10" t="n">
        <f aca="false">SUMIF(Transaction!$B$2:$B$8421,A1207,Transaction!$H$2:$H$8421)</f>
        <v>1651</v>
      </c>
      <c r="M1207" s="6" t="n">
        <f aca="false">Summary!$B$3-J1207</f>
        <v>198</v>
      </c>
      <c r="N1207" s="6" t="str">
        <f aca="false">IF(K1207&gt;1,"Yes","No")</f>
        <v>No</v>
      </c>
      <c r="O1207" s="6" t="s">
        <v>49</v>
      </c>
    </row>
    <row r="1208" customFormat="false" ht="15" hidden="false" customHeight="false" outlineLevel="0" collapsed="false">
      <c r="A1208" s="6" t="s">
        <v>2525</v>
      </c>
      <c r="B1208" s="6" t="s">
        <v>2526</v>
      </c>
      <c r="C1208" s="6" t="s">
        <v>75</v>
      </c>
      <c r="D1208" s="6" t="n">
        <v>28</v>
      </c>
      <c r="E1208" s="6" t="s">
        <v>134</v>
      </c>
      <c r="F1208" s="6" t="s">
        <v>135</v>
      </c>
      <c r="G1208" s="26" t="n">
        <v>46086</v>
      </c>
      <c r="H1208" s="6" t="s">
        <v>115</v>
      </c>
      <c r="I1208" s="26" t="n">
        <f aca="false">_xlfn.MINIFS(Transaction!$C$2:$C$8421,Transaction!$B$2:$B$8421,A1208)</f>
        <v>46113</v>
      </c>
      <c r="J1208" s="26" t="n">
        <f aca="false">_xlfn.MAXIFS(Transaction!$C$2:$C$8421,Transaction!$B$2:$B$8421,A1208)</f>
        <v>46113</v>
      </c>
      <c r="K1208" s="6" t="n">
        <f aca="false">COUNTIF(Transaction!$B$2:$B$8421,A1208)</f>
        <v>1</v>
      </c>
      <c r="L1208" s="10" t="n">
        <f aca="false">SUMIF(Transaction!$B$2:$B$8421,A1208,Transaction!$H$2:$H$8421)</f>
        <v>1410</v>
      </c>
      <c r="M1208" s="6" t="n">
        <f aca="false">Summary!$B$3-J1208</f>
        <v>153</v>
      </c>
      <c r="N1208" s="6" t="str">
        <f aca="false">IF(K1208&gt;1,"Yes","No")</f>
        <v>No</v>
      </c>
      <c r="O1208" s="6" t="s">
        <v>48</v>
      </c>
    </row>
    <row r="1209" customFormat="false" ht="15" hidden="false" customHeight="false" outlineLevel="0" collapsed="false">
      <c r="A1209" s="6" t="s">
        <v>2527</v>
      </c>
      <c r="B1209" s="6" t="s">
        <v>2528</v>
      </c>
      <c r="C1209" s="6" t="s">
        <v>75</v>
      </c>
      <c r="D1209" s="6" t="n">
        <v>46</v>
      </c>
      <c r="E1209" s="6" t="s">
        <v>91</v>
      </c>
      <c r="F1209" s="6" t="s">
        <v>77</v>
      </c>
      <c r="G1209" s="26" t="n">
        <v>46035</v>
      </c>
      <c r="H1209" s="6" t="s">
        <v>78</v>
      </c>
      <c r="I1209" s="26" t="n">
        <f aca="false">_xlfn.MINIFS(Transaction!$C$2:$C$8421,Transaction!$B$2:$B$8421,A1209)</f>
        <v>46057</v>
      </c>
      <c r="J1209" s="26" t="n">
        <f aca="false">_xlfn.MAXIFS(Transaction!$C$2:$C$8421,Transaction!$B$2:$B$8421,A1209)</f>
        <v>46207</v>
      </c>
      <c r="K1209" s="6" t="n">
        <f aca="false">COUNTIF(Transaction!$B$2:$B$8421,A1209)</f>
        <v>7</v>
      </c>
      <c r="L1209" s="10" t="n">
        <f aca="false">SUMIF(Transaction!$B$2:$B$8421,A1209,Transaction!$H$2:$H$8421)</f>
        <v>10815</v>
      </c>
      <c r="M1209" s="6" t="n">
        <f aca="false">Summary!$B$3-J1209</f>
        <v>59</v>
      </c>
      <c r="N1209" s="6" t="str">
        <f aca="false">IF(K1209&gt;1,"Yes","No")</f>
        <v>Yes</v>
      </c>
      <c r="O1209" s="6" t="s">
        <v>46</v>
      </c>
    </row>
    <row r="1210" customFormat="false" ht="15" hidden="false" customHeight="false" outlineLevel="0" collapsed="false">
      <c r="A1210" s="6" t="s">
        <v>2529</v>
      </c>
      <c r="B1210" s="6" t="s">
        <v>2530</v>
      </c>
      <c r="C1210" s="6" t="s">
        <v>75</v>
      </c>
      <c r="D1210" s="6" t="n">
        <v>44</v>
      </c>
      <c r="E1210" s="6" t="s">
        <v>86</v>
      </c>
      <c r="F1210" s="6" t="s">
        <v>87</v>
      </c>
      <c r="G1210" s="26" t="n">
        <v>46199</v>
      </c>
      <c r="H1210" s="6" t="s">
        <v>78</v>
      </c>
      <c r="I1210" s="26" t="n">
        <f aca="false">_xlfn.MINIFS(Transaction!$C$2:$C$8421,Transaction!$B$2:$B$8421,A1210)</f>
        <v>46251</v>
      </c>
      <c r="J1210" s="26" t="n">
        <f aca="false">_xlfn.MAXIFS(Transaction!$C$2:$C$8421,Transaction!$B$2:$B$8421,A1210)</f>
        <v>46251</v>
      </c>
      <c r="K1210" s="6" t="n">
        <f aca="false">COUNTIF(Transaction!$B$2:$B$8421,A1210)</f>
        <v>1</v>
      </c>
      <c r="L1210" s="10" t="n">
        <f aca="false">SUMIF(Transaction!$B$2:$B$8421,A1210,Transaction!$H$2:$H$8421)</f>
        <v>774</v>
      </c>
      <c r="M1210" s="6" t="n">
        <f aca="false">Summary!$B$3-J1210</f>
        <v>15</v>
      </c>
      <c r="N1210" s="6" t="str">
        <f aca="false">IF(K1210&gt;1,"Yes","No")</f>
        <v>No</v>
      </c>
      <c r="O1210" s="6" t="s">
        <v>47</v>
      </c>
    </row>
    <row r="1211" customFormat="false" ht="15" hidden="false" customHeight="false" outlineLevel="0" collapsed="false">
      <c r="A1211" s="6" t="s">
        <v>2531</v>
      </c>
      <c r="B1211" s="6" t="s">
        <v>2532</v>
      </c>
      <c r="C1211" s="6" t="s">
        <v>75</v>
      </c>
      <c r="D1211" s="6" t="n">
        <v>46</v>
      </c>
      <c r="E1211" s="6" t="s">
        <v>86</v>
      </c>
      <c r="F1211" s="6" t="s">
        <v>87</v>
      </c>
      <c r="G1211" s="26" t="n">
        <v>45971</v>
      </c>
      <c r="H1211" s="6" t="s">
        <v>115</v>
      </c>
      <c r="I1211" s="26" t="n">
        <f aca="false">_xlfn.MINIFS(Transaction!$C$2:$C$8421,Transaction!$B$2:$B$8421,A1211)</f>
        <v>46039</v>
      </c>
      <c r="J1211" s="26" t="n">
        <f aca="false">_xlfn.MAXIFS(Transaction!$C$2:$C$8421,Transaction!$B$2:$B$8421,A1211)</f>
        <v>46182</v>
      </c>
      <c r="K1211" s="6" t="n">
        <f aca="false">COUNTIF(Transaction!$B$2:$B$8421,A1211)</f>
        <v>4</v>
      </c>
      <c r="L1211" s="10" t="n">
        <f aca="false">SUMIF(Transaction!$B$2:$B$8421,A1211,Transaction!$H$2:$H$8421)</f>
        <v>3022</v>
      </c>
      <c r="M1211" s="6" t="n">
        <f aca="false">Summary!$B$3-J1211</f>
        <v>84</v>
      </c>
      <c r="N1211" s="6" t="str">
        <f aca="false">IF(K1211&gt;1,"Yes","No")</f>
        <v>Yes</v>
      </c>
      <c r="O1211" s="6" t="s">
        <v>46</v>
      </c>
    </row>
    <row r="1212" customFormat="false" ht="15" hidden="false" customHeight="false" outlineLevel="0" collapsed="false">
      <c r="A1212" s="6" t="s">
        <v>2533</v>
      </c>
      <c r="B1212" s="6" t="s">
        <v>2534</v>
      </c>
      <c r="C1212" s="6" t="s">
        <v>85</v>
      </c>
      <c r="D1212" s="6" t="n">
        <v>34</v>
      </c>
      <c r="E1212" s="6" t="s">
        <v>134</v>
      </c>
      <c r="F1212" s="6" t="s">
        <v>135</v>
      </c>
      <c r="G1212" s="26" t="n">
        <v>46157</v>
      </c>
      <c r="H1212" s="6" t="s">
        <v>92</v>
      </c>
      <c r="I1212" s="26" t="n">
        <f aca="false">_xlfn.MINIFS(Transaction!$C$2:$C$8421,Transaction!$B$2:$B$8421,A1212)</f>
        <v>46234</v>
      </c>
      <c r="J1212" s="26" t="n">
        <f aca="false">_xlfn.MAXIFS(Transaction!$C$2:$C$8421,Transaction!$B$2:$B$8421,A1212)</f>
        <v>46234</v>
      </c>
      <c r="K1212" s="6" t="n">
        <f aca="false">COUNTIF(Transaction!$B$2:$B$8421,A1212)</f>
        <v>1</v>
      </c>
      <c r="L1212" s="10" t="n">
        <f aca="false">SUMIF(Transaction!$B$2:$B$8421,A1212,Transaction!$H$2:$H$8421)</f>
        <v>1120</v>
      </c>
      <c r="M1212" s="6" t="n">
        <f aca="false">Summary!$B$3-J1212</f>
        <v>32</v>
      </c>
      <c r="N1212" s="6" t="str">
        <f aca="false">IF(K1212&gt;1,"Yes","No")</f>
        <v>No</v>
      </c>
      <c r="O1212" s="6" t="s">
        <v>47</v>
      </c>
    </row>
    <row r="1213" customFormat="false" ht="15" hidden="false" customHeight="false" outlineLevel="0" collapsed="false">
      <c r="A1213" s="6" t="s">
        <v>2535</v>
      </c>
      <c r="B1213" s="6" t="s">
        <v>2536</v>
      </c>
      <c r="C1213" s="6" t="s">
        <v>75</v>
      </c>
      <c r="D1213" s="6" t="n">
        <v>49</v>
      </c>
      <c r="E1213" s="6" t="s">
        <v>91</v>
      </c>
      <c r="F1213" s="6" t="s">
        <v>77</v>
      </c>
      <c r="G1213" s="26" t="n">
        <v>46068</v>
      </c>
      <c r="H1213" s="6" t="s">
        <v>88</v>
      </c>
      <c r="I1213" s="26" t="n">
        <f aca="false">_xlfn.MINIFS(Transaction!$C$2:$C$8421,Transaction!$B$2:$B$8421,A1213)</f>
        <v>46146</v>
      </c>
      <c r="J1213" s="26" t="n">
        <f aca="false">_xlfn.MAXIFS(Transaction!$C$2:$C$8421,Transaction!$B$2:$B$8421,A1213)</f>
        <v>46146</v>
      </c>
      <c r="K1213" s="6" t="n">
        <f aca="false">COUNTIF(Transaction!$B$2:$B$8421,A1213)</f>
        <v>1</v>
      </c>
      <c r="L1213" s="10" t="n">
        <f aca="false">SUMIF(Transaction!$B$2:$B$8421,A1213,Transaction!$H$2:$H$8421)</f>
        <v>782</v>
      </c>
      <c r="M1213" s="6" t="n">
        <f aca="false">Summary!$B$3-J1213</f>
        <v>120</v>
      </c>
      <c r="N1213" s="6" t="str">
        <f aca="false">IF(K1213&gt;1,"Yes","No")</f>
        <v>No</v>
      </c>
      <c r="O1213" s="6" t="s">
        <v>48</v>
      </c>
    </row>
    <row r="1214" customFormat="false" ht="15" hidden="false" customHeight="false" outlineLevel="0" collapsed="false">
      <c r="A1214" s="6" t="s">
        <v>2537</v>
      </c>
      <c r="B1214" s="6" t="s">
        <v>2538</v>
      </c>
      <c r="C1214" s="6" t="s">
        <v>85</v>
      </c>
      <c r="D1214" s="6" t="n">
        <v>29</v>
      </c>
      <c r="E1214" s="6" t="s">
        <v>81</v>
      </c>
      <c r="F1214" s="6" t="s">
        <v>82</v>
      </c>
      <c r="G1214" s="26" t="n">
        <v>45994</v>
      </c>
      <c r="H1214" s="6" t="s">
        <v>115</v>
      </c>
      <c r="I1214" s="26" t="n">
        <f aca="false">_xlfn.MINIFS(Transaction!$C$2:$C$8421,Transaction!$B$2:$B$8421,A1214)</f>
        <v>46033</v>
      </c>
      <c r="J1214" s="26" t="n">
        <f aca="false">_xlfn.MAXIFS(Transaction!$C$2:$C$8421,Transaction!$B$2:$B$8421,A1214)</f>
        <v>46256</v>
      </c>
      <c r="K1214" s="6" t="n">
        <f aca="false">COUNTIF(Transaction!$B$2:$B$8421,A1214)</f>
        <v>8</v>
      </c>
      <c r="L1214" s="10" t="n">
        <f aca="false">SUMIF(Transaction!$B$2:$B$8421,A1214,Transaction!$H$2:$H$8421)</f>
        <v>14434</v>
      </c>
      <c r="M1214" s="6" t="n">
        <f aca="false">Summary!$B$3-J1214</f>
        <v>10</v>
      </c>
      <c r="N1214" s="6" t="str">
        <f aca="false">IF(K1214&gt;1,"Yes","No")</f>
        <v>Yes</v>
      </c>
      <c r="O1214" s="6" t="s">
        <v>45</v>
      </c>
    </row>
    <row r="1215" customFormat="false" ht="15" hidden="false" customHeight="false" outlineLevel="0" collapsed="false">
      <c r="A1215" s="6" t="s">
        <v>2539</v>
      </c>
      <c r="B1215" s="6" t="s">
        <v>2540</v>
      </c>
      <c r="C1215" s="6" t="s">
        <v>85</v>
      </c>
      <c r="D1215" s="6" t="n">
        <v>42</v>
      </c>
      <c r="E1215" s="6" t="s">
        <v>76</v>
      </c>
      <c r="F1215" s="6" t="s">
        <v>77</v>
      </c>
      <c r="G1215" s="26" t="n">
        <v>46150</v>
      </c>
      <c r="H1215" s="6" t="s">
        <v>123</v>
      </c>
      <c r="I1215" s="26" t="n">
        <f aca="false">_xlfn.MINIFS(Transaction!$C$2:$C$8421,Transaction!$B$2:$B$8421,A1215)</f>
        <v>46160</v>
      </c>
      <c r="J1215" s="26" t="n">
        <f aca="false">_xlfn.MAXIFS(Transaction!$C$2:$C$8421,Transaction!$B$2:$B$8421,A1215)</f>
        <v>46160</v>
      </c>
      <c r="K1215" s="6" t="n">
        <f aca="false">COUNTIF(Transaction!$B$2:$B$8421,A1215)</f>
        <v>1</v>
      </c>
      <c r="L1215" s="10" t="n">
        <f aca="false">SUMIF(Transaction!$B$2:$B$8421,A1215,Transaction!$H$2:$H$8421)</f>
        <v>1008</v>
      </c>
      <c r="M1215" s="6" t="n">
        <f aca="false">Summary!$B$3-J1215</f>
        <v>106</v>
      </c>
      <c r="N1215" s="6" t="str">
        <f aca="false">IF(K1215&gt;1,"Yes","No")</f>
        <v>No</v>
      </c>
      <c r="O1215" s="6" t="s">
        <v>48</v>
      </c>
    </row>
    <row r="1216" customFormat="false" ht="15" hidden="false" customHeight="false" outlineLevel="0" collapsed="false">
      <c r="A1216" s="6" t="s">
        <v>2541</v>
      </c>
      <c r="B1216" s="6" t="s">
        <v>2542</v>
      </c>
      <c r="C1216" s="6" t="s">
        <v>75</v>
      </c>
      <c r="D1216" s="6" t="n">
        <v>41</v>
      </c>
      <c r="E1216" s="6" t="s">
        <v>134</v>
      </c>
      <c r="F1216" s="6" t="s">
        <v>135</v>
      </c>
      <c r="G1216" s="26" t="n">
        <v>46182</v>
      </c>
      <c r="H1216" s="6" t="s">
        <v>115</v>
      </c>
      <c r="I1216" s="26" t="n">
        <f aca="false">_xlfn.MINIFS(Transaction!$C$2:$C$8421,Transaction!$B$2:$B$8421,A1216)</f>
        <v>46189</v>
      </c>
      <c r="J1216" s="26" t="n">
        <f aca="false">_xlfn.MAXIFS(Transaction!$C$2:$C$8421,Transaction!$B$2:$B$8421,A1216)</f>
        <v>46189</v>
      </c>
      <c r="K1216" s="6" t="n">
        <f aca="false">COUNTIF(Transaction!$B$2:$B$8421,A1216)</f>
        <v>1</v>
      </c>
      <c r="L1216" s="10" t="n">
        <f aca="false">SUMIF(Transaction!$B$2:$B$8421,A1216,Transaction!$H$2:$H$8421)</f>
        <v>1324</v>
      </c>
      <c r="M1216" s="6" t="n">
        <f aca="false">Summary!$B$3-J1216</f>
        <v>77</v>
      </c>
      <c r="N1216" s="6" t="str">
        <f aca="false">IF(K1216&gt;1,"Yes","No")</f>
        <v>No</v>
      </c>
      <c r="O1216" s="6" t="s">
        <v>47</v>
      </c>
    </row>
    <row r="1217" customFormat="false" ht="15" hidden="false" customHeight="false" outlineLevel="0" collapsed="false">
      <c r="A1217" s="6" t="s">
        <v>2543</v>
      </c>
      <c r="B1217" s="6" t="s">
        <v>2544</v>
      </c>
      <c r="C1217" s="6" t="s">
        <v>85</v>
      </c>
      <c r="D1217" s="6" t="n">
        <v>34</v>
      </c>
      <c r="E1217" s="6" t="s">
        <v>81</v>
      </c>
      <c r="F1217" s="6" t="s">
        <v>82</v>
      </c>
      <c r="G1217" s="26" t="n">
        <v>46192</v>
      </c>
      <c r="H1217" s="6" t="s">
        <v>78</v>
      </c>
      <c r="I1217" s="26" t="n">
        <f aca="false">_xlfn.MINIFS(Transaction!$C$2:$C$8421,Transaction!$B$2:$B$8421,A1217)</f>
        <v>46244</v>
      </c>
      <c r="J1217" s="26" t="n">
        <f aca="false">_xlfn.MAXIFS(Transaction!$C$2:$C$8421,Transaction!$B$2:$B$8421,A1217)</f>
        <v>46244</v>
      </c>
      <c r="K1217" s="6" t="n">
        <f aca="false">COUNTIF(Transaction!$B$2:$B$8421,A1217)</f>
        <v>1</v>
      </c>
      <c r="L1217" s="10" t="n">
        <f aca="false">SUMIF(Transaction!$B$2:$B$8421,A1217,Transaction!$H$2:$H$8421)</f>
        <v>580</v>
      </c>
      <c r="M1217" s="6" t="n">
        <f aca="false">Summary!$B$3-J1217</f>
        <v>22</v>
      </c>
      <c r="N1217" s="6" t="str">
        <f aca="false">IF(K1217&gt;1,"Yes","No")</f>
        <v>No</v>
      </c>
      <c r="O1217" s="6" t="s">
        <v>47</v>
      </c>
    </row>
    <row r="1218" customFormat="false" ht="15" hidden="false" customHeight="false" outlineLevel="0" collapsed="false">
      <c r="A1218" s="6" t="s">
        <v>2545</v>
      </c>
      <c r="B1218" s="6" t="s">
        <v>2546</v>
      </c>
      <c r="C1218" s="6" t="s">
        <v>75</v>
      </c>
      <c r="D1218" s="6" t="n">
        <v>37</v>
      </c>
      <c r="E1218" s="6" t="s">
        <v>134</v>
      </c>
      <c r="F1218" s="6" t="s">
        <v>135</v>
      </c>
      <c r="G1218" s="26" t="n">
        <v>46119</v>
      </c>
      <c r="H1218" s="6" t="s">
        <v>115</v>
      </c>
      <c r="I1218" s="26" t="n">
        <f aca="false">_xlfn.MINIFS(Transaction!$C$2:$C$8421,Transaction!$B$2:$B$8421,A1218)</f>
        <v>46181</v>
      </c>
      <c r="J1218" s="26" t="n">
        <f aca="false">_xlfn.MAXIFS(Transaction!$C$2:$C$8421,Transaction!$B$2:$B$8421,A1218)</f>
        <v>46181</v>
      </c>
      <c r="K1218" s="6" t="n">
        <f aca="false">COUNTIF(Transaction!$B$2:$B$8421,A1218)</f>
        <v>1</v>
      </c>
      <c r="L1218" s="10" t="n">
        <f aca="false">SUMIF(Transaction!$B$2:$B$8421,A1218,Transaction!$H$2:$H$8421)</f>
        <v>5098</v>
      </c>
      <c r="M1218" s="6" t="n">
        <f aca="false">Summary!$B$3-J1218</f>
        <v>85</v>
      </c>
      <c r="N1218" s="6" t="str">
        <f aca="false">IF(K1218&gt;1,"Yes","No")</f>
        <v>No</v>
      </c>
      <c r="O1218" s="6" t="s">
        <v>47</v>
      </c>
    </row>
    <row r="1219" customFormat="false" ht="15" hidden="false" customHeight="false" outlineLevel="0" collapsed="false">
      <c r="A1219" s="6" t="s">
        <v>2547</v>
      </c>
      <c r="B1219" s="6" t="s">
        <v>2548</v>
      </c>
      <c r="C1219" s="6" t="s">
        <v>75</v>
      </c>
      <c r="D1219" s="6" t="n">
        <v>30</v>
      </c>
      <c r="E1219" s="6" t="s">
        <v>81</v>
      </c>
      <c r="F1219" s="6" t="s">
        <v>82</v>
      </c>
      <c r="G1219" s="26" t="n">
        <v>46214</v>
      </c>
      <c r="H1219" s="6" t="s">
        <v>115</v>
      </c>
      <c r="I1219" s="26" t="n">
        <f aca="false">_xlfn.MINIFS(Transaction!$C$2:$C$8421,Transaction!$B$2:$B$8421,A1219)</f>
        <v>46222</v>
      </c>
      <c r="J1219" s="26" t="n">
        <f aca="false">_xlfn.MAXIFS(Transaction!$C$2:$C$8421,Transaction!$B$2:$B$8421,A1219)</f>
        <v>46222</v>
      </c>
      <c r="K1219" s="6" t="n">
        <f aca="false">COUNTIF(Transaction!$B$2:$B$8421,A1219)</f>
        <v>1</v>
      </c>
      <c r="L1219" s="10" t="n">
        <f aca="false">SUMIF(Transaction!$B$2:$B$8421,A1219,Transaction!$H$2:$H$8421)</f>
        <v>1570</v>
      </c>
      <c r="M1219" s="6" t="n">
        <f aca="false">Summary!$B$3-J1219</f>
        <v>44</v>
      </c>
      <c r="N1219" s="6" t="str">
        <f aca="false">IF(K1219&gt;1,"Yes","No")</f>
        <v>No</v>
      </c>
      <c r="O1219" s="6" t="s">
        <v>47</v>
      </c>
    </row>
    <row r="1220" customFormat="false" ht="15" hidden="false" customHeight="false" outlineLevel="0" collapsed="false">
      <c r="A1220" s="6" t="s">
        <v>2549</v>
      </c>
      <c r="B1220" s="6" t="s">
        <v>2550</v>
      </c>
      <c r="C1220" s="6" t="s">
        <v>75</v>
      </c>
      <c r="D1220" s="6" t="n">
        <v>45</v>
      </c>
      <c r="E1220" s="6" t="s">
        <v>176</v>
      </c>
      <c r="F1220" s="6" t="s">
        <v>177</v>
      </c>
      <c r="G1220" s="26" t="n">
        <v>46080</v>
      </c>
      <c r="H1220" s="6" t="s">
        <v>115</v>
      </c>
      <c r="I1220" s="26" t="n">
        <f aca="false">_xlfn.MINIFS(Transaction!$C$2:$C$8421,Transaction!$B$2:$B$8421,A1220)</f>
        <v>46084</v>
      </c>
      <c r="J1220" s="26" t="n">
        <f aca="false">_xlfn.MAXIFS(Transaction!$C$2:$C$8421,Transaction!$B$2:$B$8421,A1220)</f>
        <v>46212</v>
      </c>
      <c r="K1220" s="6" t="n">
        <f aca="false">COUNTIF(Transaction!$B$2:$B$8421,A1220)</f>
        <v>5</v>
      </c>
      <c r="L1220" s="10" t="n">
        <f aca="false">SUMIF(Transaction!$B$2:$B$8421,A1220,Transaction!$H$2:$H$8421)</f>
        <v>25124</v>
      </c>
      <c r="M1220" s="6" t="n">
        <f aca="false">Summary!$B$3-J1220</f>
        <v>54</v>
      </c>
      <c r="N1220" s="6" t="str">
        <f aca="false">IF(K1220&gt;1,"Yes","No")</f>
        <v>Yes</v>
      </c>
      <c r="O1220" s="6" t="s">
        <v>46</v>
      </c>
    </row>
    <row r="1221" customFormat="false" ht="15" hidden="false" customHeight="false" outlineLevel="0" collapsed="false">
      <c r="A1221" s="6" t="s">
        <v>2551</v>
      </c>
      <c r="B1221" s="6" t="s">
        <v>2552</v>
      </c>
      <c r="C1221" s="6" t="s">
        <v>75</v>
      </c>
      <c r="D1221" s="6" t="n">
        <v>25</v>
      </c>
      <c r="E1221" s="6" t="s">
        <v>126</v>
      </c>
      <c r="F1221" s="6" t="s">
        <v>127</v>
      </c>
      <c r="G1221" s="26" t="n">
        <v>45986</v>
      </c>
      <c r="H1221" s="6" t="s">
        <v>78</v>
      </c>
      <c r="I1221" s="26" t="n">
        <f aca="false">_xlfn.MINIFS(Transaction!$C$2:$C$8421,Transaction!$B$2:$B$8421,A1221)</f>
        <v>46033</v>
      </c>
      <c r="J1221" s="26" t="n">
        <f aca="false">_xlfn.MAXIFS(Transaction!$C$2:$C$8421,Transaction!$B$2:$B$8421,A1221)</f>
        <v>46225</v>
      </c>
      <c r="K1221" s="6" t="n">
        <f aca="false">COUNTIF(Transaction!$B$2:$B$8421,A1221)</f>
        <v>5</v>
      </c>
      <c r="L1221" s="10" t="n">
        <f aca="false">SUMIF(Transaction!$B$2:$B$8421,A1221,Transaction!$H$2:$H$8421)</f>
        <v>6408</v>
      </c>
      <c r="M1221" s="6" t="n">
        <f aca="false">Summary!$B$3-J1221</f>
        <v>41</v>
      </c>
      <c r="N1221" s="6" t="str">
        <f aca="false">IF(K1221&gt;1,"Yes","No")</f>
        <v>Yes</v>
      </c>
      <c r="O1221" s="6" t="s">
        <v>46</v>
      </c>
    </row>
    <row r="1222" customFormat="false" ht="15" hidden="false" customHeight="false" outlineLevel="0" collapsed="false">
      <c r="A1222" s="6" t="s">
        <v>2553</v>
      </c>
      <c r="B1222" s="6" t="s">
        <v>2554</v>
      </c>
      <c r="C1222" s="6" t="s">
        <v>75</v>
      </c>
      <c r="D1222" s="6" t="n">
        <v>36</v>
      </c>
      <c r="E1222" s="6" t="s">
        <v>95</v>
      </c>
      <c r="F1222" s="6" t="s">
        <v>95</v>
      </c>
      <c r="G1222" s="26" t="n">
        <v>46089</v>
      </c>
      <c r="H1222" s="6" t="s">
        <v>92</v>
      </c>
      <c r="I1222" s="26" t="n">
        <f aca="false">_xlfn.MINIFS(Transaction!$C$2:$C$8421,Transaction!$B$2:$B$8421,A1222)</f>
        <v>46118</v>
      </c>
      <c r="J1222" s="26" t="n">
        <f aca="false">_xlfn.MAXIFS(Transaction!$C$2:$C$8421,Transaction!$B$2:$B$8421,A1222)</f>
        <v>46118</v>
      </c>
      <c r="K1222" s="6" t="n">
        <f aca="false">COUNTIF(Transaction!$B$2:$B$8421,A1222)</f>
        <v>1</v>
      </c>
      <c r="L1222" s="10" t="n">
        <f aca="false">SUMIF(Transaction!$B$2:$B$8421,A1222,Transaction!$H$2:$H$8421)</f>
        <v>1451</v>
      </c>
      <c r="M1222" s="6" t="n">
        <f aca="false">Summary!$B$3-J1222</f>
        <v>148</v>
      </c>
      <c r="N1222" s="6" t="str">
        <f aca="false">IF(K1222&gt;1,"Yes","No")</f>
        <v>No</v>
      </c>
      <c r="O1222" s="6" t="s">
        <v>48</v>
      </c>
    </row>
    <row r="1223" customFormat="false" ht="15" hidden="false" customHeight="false" outlineLevel="0" collapsed="false">
      <c r="A1223" s="6" t="s">
        <v>2555</v>
      </c>
      <c r="B1223" s="6" t="s">
        <v>2556</v>
      </c>
      <c r="C1223" s="6" t="s">
        <v>75</v>
      </c>
      <c r="D1223" s="6" t="n">
        <v>18</v>
      </c>
      <c r="E1223" s="6" t="s">
        <v>95</v>
      </c>
      <c r="F1223" s="6" t="s">
        <v>95</v>
      </c>
      <c r="G1223" s="26" t="n">
        <v>45972</v>
      </c>
      <c r="H1223" s="6" t="s">
        <v>78</v>
      </c>
      <c r="I1223" s="26" t="n">
        <f aca="false">_xlfn.MINIFS(Transaction!$C$2:$C$8421,Transaction!$B$2:$B$8421,A1223)</f>
        <v>46024</v>
      </c>
      <c r="J1223" s="26" t="n">
        <f aca="false">_xlfn.MAXIFS(Transaction!$C$2:$C$8421,Transaction!$B$2:$B$8421,A1223)</f>
        <v>46250</v>
      </c>
      <c r="K1223" s="6" t="n">
        <f aca="false">COUNTIF(Transaction!$B$2:$B$8421,A1223)</f>
        <v>10</v>
      </c>
      <c r="L1223" s="10" t="n">
        <f aca="false">SUMIF(Transaction!$B$2:$B$8421,A1223,Transaction!$H$2:$H$8421)</f>
        <v>20897</v>
      </c>
      <c r="M1223" s="6" t="n">
        <f aca="false">Summary!$B$3-J1223</f>
        <v>16</v>
      </c>
      <c r="N1223" s="6" t="str">
        <f aca="false">IF(K1223&gt;1,"Yes","No")</f>
        <v>Yes</v>
      </c>
      <c r="O1223" s="6" t="s">
        <v>45</v>
      </c>
    </row>
    <row r="1224" customFormat="false" ht="15" hidden="false" customHeight="false" outlineLevel="0" collapsed="false">
      <c r="A1224" s="6" t="s">
        <v>2557</v>
      </c>
      <c r="B1224" s="6" t="s">
        <v>2558</v>
      </c>
      <c r="C1224" s="6" t="s">
        <v>75</v>
      </c>
      <c r="D1224" s="6" t="n">
        <v>43</v>
      </c>
      <c r="E1224" s="6" t="s">
        <v>76</v>
      </c>
      <c r="F1224" s="6" t="s">
        <v>77</v>
      </c>
      <c r="G1224" s="26" t="n">
        <v>46183</v>
      </c>
      <c r="H1224" s="6" t="s">
        <v>115</v>
      </c>
      <c r="I1224" s="26" t="n">
        <f aca="false">_xlfn.MINIFS(Transaction!$C$2:$C$8421,Transaction!$B$2:$B$8421,A1224)</f>
        <v>46212</v>
      </c>
      <c r="J1224" s="26" t="n">
        <f aca="false">_xlfn.MAXIFS(Transaction!$C$2:$C$8421,Transaction!$B$2:$B$8421,A1224)</f>
        <v>46212</v>
      </c>
      <c r="K1224" s="6" t="n">
        <f aca="false">COUNTIF(Transaction!$B$2:$B$8421,A1224)</f>
        <v>1</v>
      </c>
      <c r="L1224" s="10" t="n">
        <f aca="false">SUMIF(Transaction!$B$2:$B$8421,A1224,Transaction!$H$2:$H$8421)</f>
        <v>1179</v>
      </c>
      <c r="M1224" s="6" t="n">
        <f aca="false">Summary!$B$3-J1224</f>
        <v>54</v>
      </c>
      <c r="N1224" s="6" t="str">
        <f aca="false">IF(K1224&gt;1,"Yes","No")</f>
        <v>No</v>
      </c>
      <c r="O1224" s="6" t="s">
        <v>47</v>
      </c>
    </row>
    <row r="1225" customFormat="false" ht="15" hidden="false" customHeight="false" outlineLevel="0" collapsed="false">
      <c r="A1225" s="6" t="s">
        <v>2559</v>
      </c>
      <c r="B1225" s="6" t="s">
        <v>2560</v>
      </c>
      <c r="C1225" s="6" t="s">
        <v>75</v>
      </c>
      <c r="D1225" s="6" t="n">
        <v>31</v>
      </c>
      <c r="E1225" s="6" t="s">
        <v>321</v>
      </c>
      <c r="F1225" s="6" t="s">
        <v>321</v>
      </c>
      <c r="G1225" s="26" t="n">
        <v>45946</v>
      </c>
      <c r="H1225" s="6" t="s">
        <v>123</v>
      </c>
      <c r="I1225" s="26" t="n">
        <f aca="false">_xlfn.MINIFS(Transaction!$C$2:$C$8421,Transaction!$B$2:$B$8421,A1225)</f>
        <v>46032</v>
      </c>
      <c r="J1225" s="26" t="n">
        <f aca="false">_xlfn.MAXIFS(Transaction!$C$2:$C$8421,Transaction!$B$2:$B$8421,A1225)</f>
        <v>46245</v>
      </c>
      <c r="K1225" s="6" t="n">
        <f aca="false">COUNTIF(Transaction!$B$2:$B$8421,A1225)</f>
        <v>9</v>
      </c>
      <c r="L1225" s="10" t="n">
        <f aca="false">SUMIF(Transaction!$B$2:$B$8421,A1225,Transaction!$H$2:$H$8421)</f>
        <v>19433</v>
      </c>
      <c r="M1225" s="6" t="n">
        <f aca="false">Summary!$B$3-J1225</f>
        <v>21</v>
      </c>
      <c r="N1225" s="6" t="str">
        <f aca="false">IF(K1225&gt;1,"Yes","No")</f>
        <v>Yes</v>
      </c>
      <c r="O1225" s="6" t="s">
        <v>45</v>
      </c>
    </row>
    <row r="1226" customFormat="false" ht="15" hidden="false" customHeight="false" outlineLevel="0" collapsed="false">
      <c r="A1226" s="6" t="s">
        <v>2561</v>
      </c>
      <c r="B1226" s="6" t="s">
        <v>2562</v>
      </c>
      <c r="C1226" s="6" t="s">
        <v>75</v>
      </c>
      <c r="D1226" s="6" t="n">
        <v>35</v>
      </c>
      <c r="E1226" s="6" t="s">
        <v>134</v>
      </c>
      <c r="F1226" s="6" t="s">
        <v>135</v>
      </c>
      <c r="G1226" s="26" t="n">
        <v>46104</v>
      </c>
      <c r="H1226" s="6" t="s">
        <v>123</v>
      </c>
      <c r="I1226" s="26" t="n">
        <f aca="false">_xlfn.MINIFS(Transaction!$C$2:$C$8421,Transaction!$B$2:$B$8421,A1226)</f>
        <v>46133</v>
      </c>
      <c r="J1226" s="26" t="n">
        <f aca="false">_xlfn.MAXIFS(Transaction!$C$2:$C$8421,Transaction!$B$2:$B$8421,A1226)</f>
        <v>46133</v>
      </c>
      <c r="K1226" s="6" t="n">
        <f aca="false">COUNTIF(Transaction!$B$2:$B$8421,A1226)</f>
        <v>1</v>
      </c>
      <c r="L1226" s="10" t="n">
        <f aca="false">SUMIF(Transaction!$B$2:$B$8421,A1226,Transaction!$H$2:$H$8421)</f>
        <v>703</v>
      </c>
      <c r="M1226" s="6" t="n">
        <f aca="false">Summary!$B$3-J1226</f>
        <v>133</v>
      </c>
      <c r="N1226" s="6" t="str">
        <f aca="false">IF(K1226&gt;1,"Yes","No")</f>
        <v>No</v>
      </c>
      <c r="O1226" s="6" t="s">
        <v>48</v>
      </c>
    </row>
    <row r="1227" customFormat="false" ht="15" hidden="false" customHeight="false" outlineLevel="0" collapsed="false">
      <c r="A1227" s="6" t="s">
        <v>2563</v>
      </c>
      <c r="B1227" s="6" t="s">
        <v>2564</v>
      </c>
      <c r="C1227" s="6" t="s">
        <v>85</v>
      </c>
      <c r="D1227" s="6" t="n">
        <v>31</v>
      </c>
      <c r="E1227" s="6" t="s">
        <v>76</v>
      </c>
      <c r="F1227" s="6" t="s">
        <v>77</v>
      </c>
      <c r="G1227" s="26" t="n">
        <v>46232</v>
      </c>
      <c r="H1227" s="6" t="s">
        <v>78</v>
      </c>
      <c r="I1227" s="26" t="n">
        <f aca="false">_xlfn.MINIFS(Transaction!$C$2:$C$8421,Transaction!$B$2:$B$8421,A1227)</f>
        <v>46244</v>
      </c>
      <c r="J1227" s="26" t="n">
        <f aca="false">_xlfn.MAXIFS(Transaction!$C$2:$C$8421,Transaction!$B$2:$B$8421,A1227)</f>
        <v>46244</v>
      </c>
      <c r="K1227" s="6" t="n">
        <f aca="false">COUNTIF(Transaction!$B$2:$B$8421,A1227)</f>
        <v>1</v>
      </c>
      <c r="L1227" s="10" t="n">
        <f aca="false">SUMIF(Transaction!$B$2:$B$8421,A1227,Transaction!$H$2:$H$8421)</f>
        <v>3670</v>
      </c>
      <c r="M1227" s="6" t="n">
        <f aca="false">Summary!$B$3-J1227</f>
        <v>22</v>
      </c>
      <c r="N1227" s="6" t="str">
        <f aca="false">IF(K1227&gt;1,"Yes","No")</f>
        <v>No</v>
      </c>
      <c r="O1227" s="6" t="s">
        <v>47</v>
      </c>
    </row>
    <row r="1228" customFormat="false" ht="15" hidden="false" customHeight="false" outlineLevel="0" collapsed="false">
      <c r="A1228" s="6" t="s">
        <v>2565</v>
      </c>
      <c r="B1228" s="6" t="s">
        <v>2566</v>
      </c>
      <c r="C1228" s="6" t="s">
        <v>75</v>
      </c>
      <c r="D1228" s="6" t="n">
        <v>36</v>
      </c>
      <c r="E1228" s="6" t="s">
        <v>98</v>
      </c>
      <c r="F1228" s="6" t="s">
        <v>99</v>
      </c>
      <c r="G1228" s="26" t="n">
        <v>46001</v>
      </c>
      <c r="H1228" s="6" t="s">
        <v>78</v>
      </c>
      <c r="I1228" s="26" t="n">
        <f aca="false">_xlfn.MINIFS(Transaction!$C$2:$C$8421,Transaction!$B$2:$B$8421,A1228)</f>
        <v>46025</v>
      </c>
      <c r="J1228" s="26" t="n">
        <f aca="false">_xlfn.MAXIFS(Transaction!$C$2:$C$8421,Transaction!$B$2:$B$8421,A1228)</f>
        <v>46177</v>
      </c>
      <c r="K1228" s="6" t="n">
        <f aca="false">COUNTIF(Transaction!$B$2:$B$8421,A1228)</f>
        <v>7</v>
      </c>
      <c r="L1228" s="10" t="n">
        <f aca="false">SUMIF(Transaction!$B$2:$B$8421,A1228,Transaction!$H$2:$H$8421)</f>
        <v>10036</v>
      </c>
      <c r="M1228" s="6" t="n">
        <f aca="false">Summary!$B$3-J1228</f>
        <v>89</v>
      </c>
      <c r="N1228" s="6" t="str">
        <f aca="false">IF(K1228&gt;1,"Yes","No")</f>
        <v>Yes</v>
      </c>
      <c r="O1228" s="6" t="s">
        <v>46</v>
      </c>
    </row>
    <row r="1229" customFormat="false" ht="15" hidden="false" customHeight="false" outlineLevel="0" collapsed="false">
      <c r="A1229" s="6" t="s">
        <v>2567</v>
      </c>
      <c r="B1229" s="6" t="s">
        <v>2568</v>
      </c>
      <c r="C1229" s="6" t="s">
        <v>85</v>
      </c>
      <c r="D1229" s="6" t="n">
        <v>32</v>
      </c>
      <c r="E1229" s="6" t="s">
        <v>86</v>
      </c>
      <c r="F1229" s="6" t="s">
        <v>87</v>
      </c>
      <c r="G1229" s="26" t="n">
        <v>46043</v>
      </c>
      <c r="H1229" s="6" t="s">
        <v>123</v>
      </c>
      <c r="I1229" s="26" t="n">
        <f aca="false">_xlfn.MINIFS(Transaction!$C$2:$C$8421,Transaction!$B$2:$B$8421,A1229)</f>
        <v>46131</v>
      </c>
      <c r="J1229" s="26" t="n">
        <f aca="false">_xlfn.MAXIFS(Transaction!$C$2:$C$8421,Transaction!$B$2:$B$8421,A1229)</f>
        <v>46131</v>
      </c>
      <c r="K1229" s="6" t="n">
        <f aca="false">COUNTIF(Transaction!$B$2:$B$8421,A1229)</f>
        <v>1</v>
      </c>
      <c r="L1229" s="10" t="n">
        <f aca="false">SUMIF(Transaction!$B$2:$B$8421,A1229,Transaction!$H$2:$H$8421)</f>
        <v>783</v>
      </c>
      <c r="M1229" s="6" t="n">
        <f aca="false">Summary!$B$3-J1229</f>
        <v>135</v>
      </c>
      <c r="N1229" s="6" t="str">
        <f aca="false">IF(K1229&gt;1,"Yes","No")</f>
        <v>No</v>
      </c>
      <c r="O1229" s="6" t="s">
        <v>48</v>
      </c>
    </row>
    <row r="1230" customFormat="false" ht="15" hidden="false" customHeight="false" outlineLevel="0" collapsed="false">
      <c r="A1230" s="6" t="s">
        <v>2569</v>
      </c>
      <c r="B1230" s="6" t="s">
        <v>2570</v>
      </c>
      <c r="C1230" s="6" t="s">
        <v>75</v>
      </c>
      <c r="D1230" s="6" t="n">
        <v>46</v>
      </c>
      <c r="E1230" s="6" t="s">
        <v>264</v>
      </c>
      <c r="F1230" s="6" t="s">
        <v>106</v>
      </c>
      <c r="G1230" s="26" t="n">
        <v>46166</v>
      </c>
      <c r="H1230" s="6" t="s">
        <v>123</v>
      </c>
      <c r="I1230" s="26" t="n">
        <f aca="false">_xlfn.MINIFS(Transaction!$C$2:$C$8421,Transaction!$B$2:$B$8421,A1230)</f>
        <v>46202</v>
      </c>
      <c r="J1230" s="26" t="n">
        <f aca="false">_xlfn.MAXIFS(Transaction!$C$2:$C$8421,Transaction!$B$2:$B$8421,A1230)</f>
        <v>46202</v>
      </c>
      <c r="K1230" s="6" t="n">
        <f aca="false">COUNTIF(Transaction!$B$2:$B$8421,A1230)</f>
        <v>1</v>
      </c>
      <c r="L1230" s="10" t="n">
        <f aca="false">SUMIF(Transaction!$B$2:$B$8421,A1230,Transaction!$H$2:$H$8421)</f>
        <v>2456</v>
      </c>
      <c r="M1230" s="6" t="n">
        <f aca="false">Summary!$B$3-J1230</f>
        <v>64</v>
      </c>
      <c r="N1230" s="6" t="str">
        <f aca="false">IF(K1230&gt;1,"Yes","No")</f>
        <v>No</v>
      </c>
      <c r="O1230" s="6" t="s">
        <v>47</v>
      </c>
    </row>
    <row r="1231" customFormat="false" ht="15" hidden="false" customHeight="false" outlineLevel="0" collapsed="false">
      <c r="A1231" s="6" t="s">
        <v>2571</v>
      </c>
      <c r="B1231" s="6" t="s">
        <v>2572</v>
      </c>
      <c r="C1231" s="6" t="s">
        <v>85</v>
      </c>
      <c r="D1231" s="6" t="n">
        <v>43</v>
      </c>
      <c r="E1231" s="6" t="s">
        <v>95</v>
      </c>
      <c r="F1231" s="6" t="s">
        <v>95</v>
      </c>
      <c r="G1231" s="26" t="n">
        <v>45960</v>
      </c>
      <c r="H1231" s="6" t="s">
        <v>78</v>
      </c>
      <c r="I1231" s="26" t="n">
        <f aca="false">_xlfn.MINIFS(Transaction!$C$2:$C$8421,Transaction!$B$2:$B$8421,A1231)</f>
        <v>46029</v>
      </c>
      <c r="J1231" s="26" t="n">
        <f aca="false">_xlfn.MAXIFS(Transaction!$C$2:$C$8421,Transaction!$B$2:$B$8421,A1231)</f>
        <v>46263</v>
      </c>
      <c r="K1231" s="6" t="n">
        <f aca="false">COUNTIF(Transaction!$B$2:$B$8421,A1231)</f>
        <v>9</v>
      </c>
      <c r="L1231" s="10" t="n">
        <f aca="false">SUMIF(Transaction!$B$2:$B$8421,A1231,Transaction!$H$2:$H$8421)</f>
        <v>56708</v>
      </c>
      <c r="M1231" s="6" t="n">
        <f aca="false">Summary!$B$3-J1231</f>
        <v>3</v>
      </c>
      <c r="N1231" s="6" t="str">
        <f aca="false">IF(K1231&gt;1,"Yes","No")</f>
        <v>Yes</v>
      </c>
      <c r="O1231" s="6" t="s">
        <v>45</v>
      </c>
    </row>
    <row r="1232" customFormat="false" ht="15" hidden="false" customHeight="false" outlineLevel="0" collapsed="false">
      <c r="A1232" s="6" t="s">
        <v>2573</v>
      </c>
      <c r="B1232" s="6" t="s">
        <v>2574</v>
      </c>
      <c r="C1232" s="6" t="s">
        <v>75</v>
      </c>
      <c r="D1232" s="6" t="n">
        <v>26</v>
      </c>
      <c r="E1232" s="6" t="s">
        <v>134</v>
      </c>
      <c r="F1232" s="6" t="s">
        <v>135</v>
      </c>
      <c r="G1232" s="26" t="n">
        <v>46177</v>
      </c>
      <c r="H1232" s="6" t="s">
        <v>102</v>
      </c>
      <c r="I1232" s="26" t="n">
        <f aca="false">_xlfn.MINIFS(Transaction!$C$2:$C$8421,Transaction!$B$2:$B$8421,A1232)</f>
        <v>46199</v>
      </c>
      <c r="J1232" s="26" t="n">
        <f aca="false">_xlfn.MAXIFS(Transaction!$C$2:$C$8421,Transaction!$B$2:$B$8421,A1232)</f>
        <v>46199</v>
      </c>
      <c r="K1232" s="6" t="n">
        <f aca="false">COUNTIF(Transaction!$B$2:$B$8421,A1232)</f>
        <v>1</v>
      </c>
      <c r="L1232" s="10" t="n">
        <f aca="false">SUMIF(Transaction!$B$2:$B$8421,A1232,Transaction!$H$2:$H$8421)</f>
        <v>1560</v>
      </c>
      <c r="M1232" s="6" t="n">
        <f aca="false">Summary!$B$3-J1232</f>
        <v>67</v>
      </c>
      <c r="N1232" s="6" t="str">
        <f aca="false">IF(K1232&gt;1,"Yes","No")</f>
        <v>No</v>
      </c>
      <c r="O1232" s="6" t="s">
        <v>47</v>
      </c>
    </row>
    <row r="1233" customFormat="false" ht="15" hidden="false" customHeight="false" outlineLevel="0" collapsed="false">
      <c r="A1233" s="6" t="s">
        <v>2575</v>
      </c>
      <c r="B1233" s="6" t="s">
        <v>2576</v>
      </c>
      <c r="C1233" s="6" t="s">
        <v>75</v>
      </c>
      <c r="D1233" s="6" t="n">
        <v>18</v>
      </c>
      <c r="E1233" s="6" t="s">
        <v>95</v>
      </c>
      <c r="F1233" s="6" t="s">
        <v>95</v>
      </c>
      <c r="G1233" s="26" t="n">
        <v>46048</v>
      </c>
      <c r="H1233" s="6" t="s">
        <v>115</v>
      </c>
      <c r="I1233" s="26" t="n">
        <f aca="false">_xlfn.MINIFS(Transaction!$C$2:$C$8421,Transaction!$B$2:$B$8421,A1233)</f>
        <v>46072</v>
      </c>
      <c r="J1233" s="26" t="n">
        <f aca="false">_xlfn.MAXIFS(Transaction!$C$2:$C$8421,Transaction!$B$2:$B$8421,A1233)</f>
        <v>46255</v>
      </c>
      <c r="K1233" s="6" t="n">
        <f aca="false">COUNTIF(Transaction!$B$2:$B$8421,A1233)</f>
        <v>7</v>
      </c>
      <c r="L1233" s="10" t="n">
        <f aca="false">SUMIF(Transaction!$B$2:$B$8421,A1233,Transaction!$H$2:$H$8421)</f>
        <v>9313</v>
      </c>
      <c r="M1233" s="6" t="n">
        <f aca="false">Summary!$B$3-J1233</f>
        <v>11</v>
      </c>
      <c r="N1233" s="6" t="str">
        <f aca="false">IF(K1233&gt;1,"Yes","No")</f>
        <v>Yes</v>
      </c>
      <c r="O1233" s="6" t="s">
        <v>45</v>
      </c>
    </row>
    <row r="1234" customFormat="false" ht="15" hidden="false" customHeight="false" outlineLevel="0" collapsed="false">
      <c r="A1234" s="6" t="s">
        <v>2577</v>
      </c>
      <c r="B1234" s="6" t="s">
        <v>2578</v>
      </c>
      <c r="C1234" s="6" t="s">
        <v>85</v>
      </c>
      <c r="D1234" s="6" t="n">
        <v>46</v>
      </c>
      <c r="E1234" s="6" t="s">
        <v>121</v>
      </c>
      <c r="F1234" s="6" t="s">
        <v>122</v>
      </c>
      <c r="G1234" s="26" t="n">
        <v>46159</v>
      </c>
      <c r="H1234" s="6" t="s">
        <v>115</v>
      </c>
      <c r="I1234" s="26" t="n">
        <f aca="false">_xlfn.MINIFS(Transaction!$C$2:$C$8421,Transaction!$B$2:$B$8421,A1234)</f>
        <v>46244</v>
      </c>
      <c r="J1234" s="26" t="n">
        <f aca="false">_xlfn.MAXIFS(Transaction!$C$2:$C$8421,Transaction!$B$2:$B$8421,A1234)</f>
        <v>46244</v>
      </c>
      <c r="K1234" s="6" t="n">
        <f aca="false">COUNTIF(Transaction!$B$2:$B$8421,A1234)</f>
        <v>1</v>
      </c>
      <c r="L1234" s="10" t="n">
        <f aca="false">SUMIF(Transaction!$B$2:$B$8421,A1234,Transaction!$H$2:$H$8421)</f>
        <v>782</v>
      </c>
      <c r="M1234" s="6" t="n">
        <f aca="false">Summary!$B$3-J1234</f>
        <v>22</v>
      </c>
      <c r="N1234" s="6" t="str">
        <f aca="false">IF(K1234&gt;1,"Yes","No")</f>
        <v>No</v>
      </c>
      <c r="O1234" s="6" t="s">
        <v>47</v>
      </c>
    </row>
    <row r="1235" customFormat="false" ht="15" hidden="false" customHeight="false" outlineLevel="0" collapsed="false">
      <c r="A1235" s="6" t="s">
        <v>2579</v>
      </c>
      <c r="B1235" s="6" t="s">
        <v>2580</v>
      </c>
      <c r="C1235" s="6" t="s">
        <v>75</v>
      </c>
      <c r="D1235" s="6" t="n">
        <v>35</v>
      </c>
      <c r="E1235" s="6" t="s">
        <v>430</v>
      </c>
      <c r="F1235" s="6" t="s">
        <v>99</v>
      </c>
      <c r="G1235" s="26" t="n">
        <v>46094</v>
      </c>
      <c r="H1235" s="6" t="s">
        <v>88</v>
      </c>
      <c r="I1235" s="26" t="n">
        <f aca="false">_xlfn.MINIFS(Transaction!$C$2:$C$8421,Transaction!$B$2:$B$8421,A1235)</f>
        <v>46138</v>
      </c>
      <c r="J1235" s="26" t="n">
        <f aca="false">_xlfn.MAXIFS(Transaction!$C$2:$C$8421,Transaction!$B$2:$B$8421,A1235)</f>
        <v>46138</v>
      </c>
      <c r="K1235" s="6" t="n">
        <f aca="false">COUNTIF(Transaction!$B$2:$B$8421,A1235)</f>
        <v>1</v>
      </c>
      <c r="L1235" s="10" t="n">
        <f aca="false">SUMIF(Transaction!$B$2:$B$8421,A1235,Transaction!$H$2:$H$8421)</f>
        <v>2653</v>
      </c>
      <c r="M1235" s="6" t="n">
        <f aca="false">Summary!$B$3-J1235</f>
        <v>128</v>
      </c>
      <c r="N1235" s="6" t="str">
        <f aca="false">IF(K1235&gt;1,"Yes","No")</f>
        <v>No</v>
      </c>
      <c r="O1235" s="6" t="s">
        <v>48</v>
      </c>
    </row>
    <row r="1236" customFormat="false" ht="15" hidden="false" customHeight="false" outlineLevel="0" collapsed="false">
      <c r="A1236" s="6" t="s">
        <v>2581</v>
      </c>
      <c r="B1236" s="6" t="s">
        <v>2582</v>
      </c>
      <c r="C1236" s="6" t="s">
        <v>85</v>
      </c>
      <c r="D1236" s="6" t="n">
        <v>29</v>
      </c>
      <c r="E1236" s="6" t="s">
        <v>176</v>
      </c>
      <c r="F1236" s="6" t="s">
        <v>177</v>
      </c>
      <c r="G1236" s="26" t="n">
        <v>46053</v>
      </c>
      <c r="H1236" s="6" t="s">
        <v>92</v>
      </c>
      <c r="I1236" s="26" t="n">
        <f aca="false">_xlfn.MINIFS(Transaction!$C$2:$C$8421,Transaction!$B$2:$B$8421,A1236)</f>
        <v>46107</v>
      </c>
      <c r="J1236" s="26" t="n">
        <f aca="false">_xlfn.MAXIFS(Transaction!$C$2:$C$8421,Transaction!$B$2:$B$8421,A1236)</f>
        <v>46243</v>
      </c>
      <c r="K1236" s="6" t="n">
        <f aca="false">COUNTIF(Transaction!$B$2:$B$8421,A1236)</f>
        <v>8</v>
      </c>
      <c r="L1236" s="10" t="n">
        <f aca="false">SUMIF(Transaction!$B$2:$B$8421,A1236,Transaction!$H$2:$H$8421)</f>
        <v>14256</v>
      </c>
      <c r="M1236" s="6" t="n">
        <f aca="false">Summary!$B$3-J1236</f>
        <v>23</v>
      </c>
      <c r="N1236" s="6" t="str">
        <f aca="false">IF(K1236&gt;1,"Yes","No")</f>
        <v>Yes</v>
      </c>
      <c r="O1236" s="6" t="s">
        <v>46</v>
      </c>
    </row>
    <row r="1237" customFormat="false" ht="15" hidden="false" customHeight="false" outlineLevel="0" collapsed="false">
      <c r="A1237" s="6" t="s">
        <v>2583</v>
      </c>
      <c r="B1237" s="6" t="s">
        <v>2584</v>
      </c>
      <c r="C1237" s="6" t="s">
        <v>85</v>
      </c>
      <c r="D1237" s="6" t="n">
        <v>40</v>
      </c>
      <c r="E1237" s="6" t="s">
        <v>81</v>
      </c>
      <c r="F1237" s="6" t="s">
        <v>82</v>
      </c>
      <c r="G1237" s="26" t="n">
        <v>46053</v>
      </c>
      <c r="H1237" s="6" t="s">
        <v>115</v>
      </c>
      <c r="I1237" s="26" t="n">
        <f aca="false">_xlfn.MINIFS(Transaction!$C$2:$C$8421,Transaction!$B$2:$B$8421,A1237)</f>
        <v>46129</v>
      </c>
      <c r="J1237" s="26" t="n">
        <f aca="false">_xlfn.MAXIFS(Transaction!$C$2:$C$8421,Transaction!$B$2:$B$8421,A1237)</f>
        <v>46129</v>
      </c>
      <c r="K1237" s="6" t="n">
        <f aca="false">COUNTIF(Transaction!$B$2:$B$8421,A1237)</f>
        <v>1</v>
      </c>
      <c r="L1237" s="10" t="n">
        <f aca="false">SUMIF(Transaction!$B$2:$B$8421,A1237,Transaction!$H$2:$H$8421)</f>
        <v>734</v>
      </c>
      <c r="M1237" s="6" t="n">
        <f aca="false">Summary!$B$3-J1237</f>
        <v>137</v>
      </c>
      <c r="N1237" s="6" t="str">
        <f aca="false">IF(K1237&gt;1,"Yes","No")</f>
        <v>No</v>
      </c>
      <c r="O1237" s="6" t="s">
        <v>48</v>
      </c>
    </row>
    <row r="1238" customFormat="false" ht="15" hidden="false" customHeight="false" outlineLevel="0" collapsed="false">
      <c r="A1238" s="6" t="s">
        <v>2585</v>
      </c>
      <c r="B1238" s="6" t="s">
        <v>2586</v>
      </c>
      <c r="C1238" s="6" t="s">
        <v>75</v>
      </c>
      <c r="D1238" s="6" t="n">
        <v>18</v>
      </c>
      <c r="E1238" s="6" t="s">
        <v>121</v>
      </c>
      <c r="F1238" s="6" t="s">
        <v>122</v>
      </c>
      <c r="G1238" s="26" t="n">
        <v>45986</v>
      </c>
      <c r="H1238" s="6" t="s">
        <v>115</v>
      </c>
      <c r="I1238" s="26" t="n">
        <f aca="false">_xlfn.MINIFS(Transaction!$C$2:$C$8421,Transaction!$B$2:$B$8421,A1238)</f>
        <v>46023</v>
      </c>
      <c r="J1238" s="26" t="n">
        <f aca="false">_xlfn.MAXIFS(Transaction!$C$2:$C$8421,Transaction!$B$2:$B$8421,A1238)</f>
        <v>46211</v>
      </c>
      <c r="K1238" s="6" t="n">
        <f aca="false">COUNTIF(Transaction!$B$2:$B$8421,A1238)</f>
        <v>3</v>
      </c>
      <c r="L1238" s="10" t="n">
        <f aca="false">SUMIF(Transaction!$B$2:$B$8421,A1238,Transaction!$H$2:$H$8421)</f>
        <v>2106</v>
      </c>
      <c r="M1238" s="6" t="n">
        <f aca="false">Summary!$B$3-J1238</f>
        <v>55</v>
      </c>
      <c r="N1238" s="6" t="str">
        <f aca="false">IF(K1238&gt;1,"Yes","No")</f>
        <v>Yes</v>
      </c>
      <c r="O1238" s="6" t="s">
        <v>46</v>
      </c>
    </row>
    <row r="1239" customFormat="false" ht="15" hidden="false" customHeight="false" outlineLevel="0" collapsed="false">
      <c r="A1239" s="6" t="s">
        <v>2587</v>
      </c>
      <c r="B1239" s="6" t="s">
        <v>2588</v>
      </c>
      <c r="C1239" s="6" t="s">
        <v>75</v>
      </c>
      <c r="D1239" s="6" t="n">
        <v>28</v>
      </c>
      <c r="E1239" s="6" t="s">
        <v>95</v>
      </c>
      <c r="F1239" s="6" t="s">
        <v>95</v>
      </c>
      <c r="G1239" s="26" t="n">
        <v>46145</v>
      </c>
      <c r="H1239" s="6" t="s">
        <v>78</v>
      </c>
      <c r="I1239" s="26" t="n">
        <f aca="false">_xlfn.MINIFS(Transaction!$C$2:$C$8421,Transaction!$B$2:$B$8421,A1239)</f>
        <v>46191</v>
      </c>
      <c r="J1239" s="26" t="n">
        <f aca="false">_xlfn.MAXIFS(Transaction!$C$2:$C$8421,Transaction!$B$2:$B$8421,A1239)</f>
        <v>46191</v>
      </c>
      <c r="K1239" s="6" t="n">
        <f aca="false">COUNTIF(Transaction!$B$2:$B$8421,A1239)</f>
        <v>1</v>
      </c>
      <c r="L1239" s="10" t="n">
        <f aca="false">SUMIF(Transaction!$B$2:$B$8421,A1239,Transaction!$H$2:$H$8421)</f>
        <v>1271</v>
      </c>
      <c r="M1239" s="6" t="n">
        <f aca="false">Summary!$B$3-J1239</f>
        <v>75</v>
      </c>
      <c r="N1239" s="6" t="str">
        <f aca="false">IF(K1239&gt;1,"Yes","No")</f>
        <v>No</v>
      </c>
      <c r="O1239" s="6" t="s">
        <v>47</v>
      </c>
    </row>
    <row r="1240" customFormat="false" ht="15" hidden="false" customHeight="false" outlineLevel="0" collapsed="false">
      <c r="A1240" s="6" t="s">
        <v>2589</v>
      </c>
      <c r="B1240" s="6" t="s">
        <v>2590</v>
      </c>
      <c r="C1240" s="6" t="s">
        <v>75</v>
      </c>
      <c r="D1240" s="6" t="n">
        <v>40</v>
      </c>
      <c r="E1240" s="6" t="s">
        <v>134</v>
      </c>
      <c r="F1240" s="6" t="s">
        <v>135</v>
      </c>
      <c r="G1240" s="26" t="n">
        <v>46067</v>
      </c>
      <c r="H1240" s="6" t="s">
        <v>115</v>
      </c>
      <c r="I1240" s="26" t="n">
        <f aca="false">_xlfn.MINIFS(Transaction!$C$2:$C$8421,Transaction!$B$2:$B$8421,A1240)</f>
        <v>46104</v>
      </c>
      <c r="J1240" s="26" t="n">
        <f aca="false">_xlfn.MAXIFS(Transaction!$C$2:$C$8421,Transaction!$B$2:$B$8421,A1240)</f>
        <v>46104</v>
      </c>
      <c r="K1240" s="6" t="n">
        <f aca="false">COUNTIF(Transaction!$B$2:$B$8421,A1240)</f>
        <v>1</v>
      </c>
      <c r="L1240" s="10" t="n">
        <f aca="false">SUMIF(Transaction!$B$2:$B$8421,A1240,Transaction!$H$2:$H$8421)</f>
        <v>1564</v>
      </c>
      <c r="M1240" s="6" t="n">
        <f aca="false">Summary!$B$3-J1240</f>
        <v>162</v>
      </c>
      <c r="N1240" s="6" t="str">
        <f aca="false">IF(K1240&gt;1,"Yes","No")</f>
        <v>No</v>
      </c>
      <c r="O1240" s="6" t="s">
        <v>49</v>
      </c>
    </row>
    <row r="1241" customFormat="false" ht="15" hidden="false" customHeight="false" outlineLevel="0" collapsed="false">
      <c r="A1241" s="6" t="s">
        <v>2591</v>
      </c>
      <c r="B1241" s="6" t="s">
        <v>2592</v>
      </c>
      <c r="C1241" s="6" t="s">
        <v>85</v>
      </c>
      <c r="D1241" s="6" t="n">
        <v>26</v>
      </c>
      <c r="E1241" s="6" t="s">
        <v>121</v>
      </c>
      <c r="F1241" s="6" t="s">
        <v>122</v>
      </c>
      <c r="G1241" s="26" t="n">
        <v>46102</v>
      </c>
      <c r="H1241" s="6" t="s">
        <v>78</v>
      </c>
      <c r="I1241" s="26" t="n">
        <f aca="false">_xlfn.MINIFS(Transaction!$C$2:$C$8421,Transaction!$B$2:$B$8421,A1241)</f>
        <v>46162</v>
      </c>
      <c r="J1241" s="26" t="n">
        <f aca="false">_xlfn.MAXIFS(Transaction!$C$2:$C$8421,Transaction!$B$2:$B$8421,A1241)</f>
        <v>46162</v>
      </c>
      <c r="K1241" s="6" t="n">
        <f aca="false">COUNTIF(Transaction!$B$2:$B$8421,A1241)</f>
        <v>1</v>
      </c>
      <c r="L1241" s="10" t="n">
        <f aca="false">SUMIF(Transaction!$B$2:$B$8421,A1241,Transaction!$H$2:$H$8421)</f>
        <v>3196</v>
      </c>
      <c r="M1241" s="6" t="n">
        <f aca="false">Summary!$B$3-J1241</f>
        <v>104</v>
      </c>
      <c r="N1241" s="6" t="str">
        <f aca="false">IF(K1241&gt;1,"Yes","No")</f>
        <v>No</v>
      </c>
      <c r="O1241" s="6" t="s">
        <v>48</v>
      </c>
    </row>
    <row r="1242" customFormat="false" ht="15" hidden="false" customHeight="false" outlineLevel="0" collapsed="false">
      <c r="A1242" s="6" t="s">
        <v>2593</v>
      </c>
      <c r="B1242" s="6" t="s">
        <v>2594</v>
      </c>
      <c r="C1242" s="6" t="s">
        <v>85</v>
      </c>
      <c r="D1242" s="6" t="n">
        <v>21</v>
      </c>
      <c r="E1242" s="6" t="s">
        <v>430</v>
      </c>
      <c r="F1242" s="6" t="s">
        <v>99</v>
      </c>
      <c r="G1242" s="26" t="n">
        <v>46034</v>
      </c>
      <c r="H1242" s="6" t="s">
        <v>78</v>
      </c>
      <c r="I1242" s="26" t="n">
        <f aca="false">_xlfn.MINIFS(Transaction!$C$2:$C$8421,Transaction!$B$2:$B$8421,A1242)</f>
        <v>46039</v>
      </c>
      <c r="J1242" s="26" t="n">
        <f aca="false">_xlfn.MAXIFS(Transaction!$C$2:$C$8421,Transaction!$B$2:$B$8421,A1242)</f>
        <v>46187</v>
      </c>
      <c r="K1242" s="6" t="n">
        <f aca="false">COUNTIF(Transaction!$B$2:$B$8421,A1242)</f>
        <v>3</v>
      </c>
      <c r="L1242" s="10" t="n">
        <f aca="false">SUMIF(Transaction!$B$2:$B$8421,A1242,Transaction!$H$2:$H$8421)</f>
        <v>6145</v>
      </c>
      <c r="M1242" s="6" t="n">
        <f aca="false">Summary!$B$3-J1242</f>
        <v>79</v>
      </c>
      <c r="N1242" s="6" t="str">
        <f aca="false">IF(K1242&gt;1,"Yes","No")</f>
        <v>Yes</v>
      </c>
      <c r="O1242" s="6" t="s">
        <v>46</v>
      </c>
    </row>
    <row r="1243" customFormat="false" ht="15" hidden="false" customHeight="false" outlineLevel="0" collapsed="false">
      <c r="A1243" s="6" t="s">
        <v>2595</v>
      </c>
      <c r="B1243" s="6" t="s">
        <v>2596</v>
      </c>
      <c r="C1243" s="6" t="s">
        <v>75</v>
      </c>
      <c r="D1243" s="6" t="n">
        <v>30</v>
      </c>
      <c r="E1243" s="6" t="s">
        <v>176</v>
      </c>
      <c r="F1243" s="6" t="s">
        <v>177</v>
      </c>
      <c r="G1243" s="26" t="n">
        <v>46024</v>
      </c>
      <c r="H1243" s="6" t="s">
        <v>92</v>
      </c>
      <c r="I1243" s="26" t="n">
        <f aca="false">_xlfn.MINIFS(Transaction!$C$2:$C$8421,Transaction!$B$2:$B$8421,A1243)</f>
        <v>46083</v>
      </c>
      <c r="J1243" s="26" t="n">
        <f aca="false">_xlfn.MAXIFS(Transaction!$C$2:$C$8421,Transaction!$B$2:$B$8421,A1243)</f>
        <v>46249</v>
      </c>
      <c r="K1243" s="6" t="n">
        <f aca="false">COUNTIF(Transaction!$B$2:$B$8421,A1243)</f>
        <v>7</v>
      </c>
      <c r="L1243" s="10" t="n">
        <f aca="false">SUMIF(Transaction!$B$2:$B$8421,A1243,Transaction!$H$2:$H$8421)</f>
        <v>11988</v>
      </c>
      <c r="M1243" s="6" t="n">
        <f aca="false">Summary!$B$3-J1243</f>
        <v>17</v>
      </c>
      <c r="N1243" s="6" t="str">
        <f aca="false">IF(K1243&gt;1,"Yes","No")</f>
        <v>Yes</v>
      </c>
      <c r="O1243" s="6" t="s">
        <v>46</v>
      </c>
    </row>
    <row r="1244" customFormat="false" ht="15" hidden="false" customHeight="false" outlineLevel="0" collapsed="false">
      <c r="A1244" s="6" t="s">
        <v>2597</v>
      </c>
      <c r="B1244" s="6" t="s">
        <v>2598</v>
      </c>
      <c r="C1244" s="6" t="s">
        <v>75</v>
      </c>
      <c r="D1244" s="6" t="n">
        <v>33</v>
      </c>
      <c r="E1244" s="6" t="s">
        <v>146</v>
      </c>
      <c r="F1244" s="6" t="s">
        <v>147</v>
      </c>
      <c r="G1244" s="26" t="n">
        <v>45977</v>
      </c>
      <c r="H1244" s="6" t="s">
        <v>92</v>
      </c>
      <c r="I1244" s="26" t="n">
        <f aca="false">_xlfn.MINIFS(Transaction!$C$2:$C$8421,Transaction!$B$2:$B$8421,A1244)</f>
        <v>46064</v>
      </c>
      <c r="J1244" s="26" t="n">
        <f aca="false">_xlfn.MAXIFS(Transaction!$C$2:$C$8421,Transaction!$B$2:$B$8421,A1244)</f>
        <v>46243</v>
      </c>
      <c r="K1244" s="6" t="n">
        <f aca="false">COUNTIF(Transaction!$B$2:$B$8421,A1244)</f>
        <v>8</v>
      </c>
      <c r="L1244" s="10" t="n">
        <f aca="false">SUMIF(Transaction!$B$2:$B$8421,A1244,Transaction!$H$2:$H$8421)</f>
        <v>12039</v>
      </c>
      <c r="M1244" s="6" t="n">
        <f aca="false">Summary!$B$3-J1244</f>
        <v>23</v>
      </c>
      <c r="N1244" s="6" t="str">
        <f aca="false">IF(K1244&gt;1,"Yes","No")</f>
        <v>Yes</v>
      </c>
      <c r="O1244" s="6" t="s">
        <v>45</v>
      </c>
    </row>
    <row r="1245" customFormat="false" ht="15" hidden="false" customHeight="false" outlineLevel="0" collapsed="false">
      <c r="A1245" s="6" t="s">
        <v>2599</v>
      </c>
      <c r="B1245" s="6" t="s">
        <v>2600</v>
      </c>
      <c r="C1245" s="6" t="s">
        <v>85</v>
      </c>
      <c r="D1245" s="6" t="n">
        <v>32</v>
      </c>
      <c r="E1245" s="6" t="s">
        <v>86</v>
      </c>
      <c r="F1245" s="6" t="s">
        <v>87</v>
      </c>
      <c r="G1245" s="26" t="n">
        <v>46075</v>
      </c>
      <c r="H1245" s="6" t="s">
        <v>115</v>
      </c>
      <c r="I1245" s="26" t="n">
        <f aca="false">_xlfn.MINIFS(Transaction!$C$2:$C$8421,Transaction!$B$2:$B$8421,A1245)</f>
        <v>46153</v>
      </c>
      <c r="J1245" s="26" t="n">
        <f aca="false">_xlfn.MAXIFS(Transaction!$C$2:$C$8421,Transaction!$B$2:$B$8421,A1245)</f>
        <v>46153</v>
      </c>
      <c r="K1245" s="6" t="n">
        <f aca="false">COUNTIF(Transaction!$B$2:$B$8421,A1245)</f>
        <v>1</v>
      </c>
      <c r="L1245" s="10" t="n">
        <f aca="false">SUMIF(Transaction!$B$2:$B$8421,A1245,Transaction!$H$2:$H$8421)</f>
        <v>928</v>
      </c>
      <c r="M1245" s="6" t="n">
        <f aca="false">Summary!$B$3-J1245</f>
        <v>113</v>
      </c>
      <c r="N1245" s="6" t="str">
        <f aca="false">IF(K1245&gt;1,"Yes","No")</f>
        <v>No</v>
      </c>
      <c r="O1245" s="6" t="s">
        <v>48</v>
      </c>
    </row>
    <row r="1246" customFormat="false" ht="15" hidden="false" customHeight="false" outlineLevel="0" collapsed="false">
      <c r="A1246" s="6" t="s">
        <v>2601</v>
      </c>
      <c r="B1246" s="6" t="s">
        <v>2602</v>
      </c>
      <c r="C1246" s="6" t="s">
        <v>75</v>
      </c>
      <c r="D1246" s="6" t="n">
        <v>44</v>
      </c>
      <c r="E1246" s="6" t="s">
        <v>134</v>
      </c>
      <c r="F1246" s="6" t="s">
        <v>135</v>
      </c>
      <c r="G1246" s="26" t="n">
        <v>46086</v>
      </c>
      <c r="H1246" s="6" t="s">
        <v>115</v>
      </c>
      <c r="I1246" s="26" t="n">
        <f aca="false">_xlfn.MINIFS(Transaction!$C$2:$C$8421,Transaction!$B$2:$B$8421,A1246)</f>
        <v>46116</v>
      </c>
      <c r="J1246" s="26" t="n">
        <f aca="false">_xlfn.MAXIFS(Transaction!$C$2:$C$8421,Transaction!$B$2:$B$8421,A1246)</f>
        <v>46116</v>
      </c>
      <c r="K1246" s="6" t="n">
        <f aca="false">COUNTIF(Transaction!$B$2:$B$8421,A1246)</f>
        <v>1</v>
      </c>
      <c r="L1246" s="10" t="n">
        <f aca="false">SUMIF(Transaction!$B$2:$B$8421,A1246,Transaction!$H$2:$H$8421)</f>
        <v>1118</v>
      </c>
      <c r="M1246" s="6" t="n">
        <f aca="false">Summary!$B$3-J1246</f>
        <v>150</v>
      </c>
      <c r="N1246" s="6" t="str">
        <f aca="false">IF(K1246&gt;1,"Yes","No")</f>
        <v>No</v>
      </c>
      <c r="O1246" s="6" t="s">
        <v>48</v>
      </c>
    </row>
    <row r="1247" customFormat="false" ht="15" hidden="false" customHeight="false" outlineLevel="0" collapsed="false">
      <c r="A1247" s="6" t="s">
        <v>2603</v>
      </c>
      <c r="B1247" s="6" t="s">
        <v>2604</v>
      </c>
      <c r="C1247" s="6" t="s">
        <v>85</v>
      </c>
      <c r="D1247" s="6" t="n">
        <v>38</v>
      </c>
      <c r="E1247" s="6" t="s">
        <v>81</v>
      </c>
      <c r="F1247" s="6" t="s">
        <v>82</v>
      </c>
      <c r="G1247" s="26" t="n">
        <v>46165</v>
      </c>
      <c r="H1247" s="6" t="s">
        <v>88</v>
      </c>
      <c r="I1247" s="26" t="n">
        <f aca="false">_xlfn.MINIFS(Transaction!$C$2:$C$8421,Transaction!$B$2:$B$8421,A1247)</f>
        <v>46185</v>
      </c>
      <c r="J1247" s="26" t="n">
        <f aca="false">_xlfn.MAXIFS(Transaction!$C$2:$C$8421,Transaction!$B$2:$B$8421,A1247)</f>
        <v>46185</v>
      </c>
      <c r="K1247" s="6" t="n">
        <f aca="false">COUNTIF(Transaction!$B$2:$B$8421,A1247)</f>
        <v>1</v>
      </c>
      <c r="L1247" s="10" t="n">
        <f aca="false">SUMIF(Transaction!$B$2:$B$8421,A1247,Transaction!$H$2:$H$8421)</f>
        <v>1120</v>
      </c>
      <c r="M1247" s="6" t="n">
        <f aca="false">Summary!$B$3-J1247</f>
        <v>81</v>
      </c>
      <c r="N1247" s="6" t="str">
        <f aca="false">IF(K1247&gt;1,"Yes","No")</f>
        <v>No</v>
      </c>
      <c r="O1247" s="6" t="s">
        <v>47</v>
      </c>
    </row>
    <row r="1248" customFormat="false" ht="15" hidden="false" customHeight="false" outlineLevel="0" collapsed="false">
      <c r="A1248" s="6" t="s">
        <v>2605</v>
      </c>
      <c r="B1248" s="6" t="s">
        <v>2606</v>
      </c>
      <c r="C1248" s="6" t="s">
        <v>85</v>
      </c>
      <c r="D1248" s="6" t="n">
        <v>31</v>
      </c>
      <c r="E1248" s="6" t="s">
        <v>76</v>
      </c>
      <c r="F1248" s="6" t="s">
        <v>77</v>
      </c>
      <c r="G1248" s="26" t="n">
        <v>45964</v>
      </c>
      <c r="H1248" s="6" t="s">
        <v>78</v>
      </c>
      <c r="I1248" s="26" t="n">
        <f aca="false">_xlfn.MINIFS(Transaction!$C$2:$C$8421,Transaction!$B$2:$B$8421,A1248)</f>
        <v>46048</v>
      </c>
      <c r="J1248" s="26" t="n">
        <f aca="false">_xlfn.MAXIFS(Transaction!$C$2:$C$8421,Transaction!$B$2:$B$8421,A1248)</f>
        <v>46048</v>
      </c>
      <c r="K1248" s="6" t="n">
        <f aca="false">COUNTIF(Transaction!$B$2:$B$8421,A1248)</f>
        <v>1</v>
      </c>
      <c r="L1248" s="10" t="n">
        <f aca="false">SUMIF(Transaction!$B$2:$B$8421,A1248,Transaction!$H$2:$H$8421)</f>
        <v>1671</v>
      </c>
      <c r="M1248" s="6" t="n">
        <f aca="false">Summary!$B$3-J1248</f>
        <v>218</v>
      </c>
      <c r="N1248" s="6" t="str">
        <f aca="false">IF(K1248&gt;1,"Yes","No")</f>
        <v>No</v>
      </c>
      <c r="O1248" s="6" t="s">
        <v>49</v>
      </c>
    </row>
    <row r="1249" customFormat="false" ht="15" hidden="false" customHeight="false" outlineLevel="0" collapsed="false">
      <c r="A1249" s="6" t="s">
        <v>2607</v>
      </c>
      <c r="B1249" s="6" t="s">
        <v>2608</v>
      </c>
      <c r="C1249" s="6" t="s">
        <v>75</v>
      </c>
      <c r="D1249" s="6" t="n">
        <v>37</v>
      </c>
      <c r="E1249" s="6" t="s">
        <v>81</v>
      </c>
      <c r="F1249" s="6" t="s">
        <v>82</v>
      </c>
      <c r="G1249" s="26" t="n">
        <v>46175</v>
      </c>
      <c r="H1249" s="6" t="s">
        <v>88</v>
      </c>
      <c r="I1249" s="26" t="n">
        <f aca="false">_xlfn.MINIFS(Transaction!$C$2:$C$8421,Transaction!$B$2:$B$8421,A1249)</f>
        <v>46246</v>
      </c>
      <c r="J1249" s="26" t="n">
        <f aca="false">_xlfn.MAXIFS(Transaction!$C$2:$C$8421,Transaction!$B$2:$B$8421,A1249)</f>
        <v>46246</v>
      </c>
      <c r="K1249" s="6" t="n">
        <f aca="false">COUNTIF(Transaction!$B$2:$B$8421,A1249)</f>
        <v>1</v>
      </c>
      <c r="L1249" s="10" t="n">
        <f aca="false">SUMIF(Transaction!$B$2:$B$8421,A1249,Transaction!$H$2:$H$8421)</f>
        <v>2039</v>
      </c>
      <c r="M1249" s="6" t="n">
        <f aca="false">Summary!$B$3-J1249</f>
        <v>20</v>
      </c>
      <c r="N1249" s="6" t="str">
        <f aca="false">IF(K1249&gt;1,"Yes","No")</f>
        <v>No</v>
      </c>
      <c r="O1249" s="6" t="s">
        <v>47</v>
      </c>
    </row>
    <row r="1250" customFormat="false" ht="15" hidden="false" customHeight="false" outlineLevel="0" collapsed="false">
      <c r="A1250" s="6" t="s">
        <v>2609</v>
      </c>
      <c r="B1250" s="6" t="s">
        <v>2610</v>
      </c>
      <c r="C1250" s="6" t="s">
        <v>75</v>
      </c>
      <c r="D1250" s="6" t="n">
        <v>37</v>
      </c>
      <c r="E1250" s="6" t="s">
        <v>95</v>
      </c>
      <c r="F1250" s="6" t="s">
        <v>95</v>
      </c>
      <c r="G1250" s="26" t="n">
        <v>46058</v>
      </c>
      <c r="H1250" s="6" t="s">
        <v>102</v>
      </c>
      <c r="I1250" s="26" t="n">
        <f aca="false">_xlfn.MINIFS(Transaction!$C$2:$C$8421,Transaction!$B$2:$B$8421,A1250)</f>
        <v>46142</v>
      </c>
      <c r="J1250" s="26" t="n">
        <f aca="false">_xlfn.MAXIFS(Transaction!$C$2:$C$8421,Transaction!$B$2:$B$8421,A1250)</f>
        <v>46254</v>
      </c>
      <c r="K1250" s="6" t="n">
        <f aca="false">COUNTIF(Transaction!$B$2:$B$8421,A1250)</f>
        <v>3</v>
      </c>
      <c r="L1250" s="10" t="n">
        <f aca="false">SUMIF(Transaction!$B$2:$B$8421,A1250,Transaction!$H$2:$H$8421)</f>
        <v>4243</v>
      </c>
      <c r="M1250" s="6" t="n">
        <f aca="false">Summary!$B$3-J1250</f>
        <v>12</v>
      </c>
      <c r="N1250" s="6" t="str">
        <f aca="false">IF(K1250&gt;1,"Yes","No")</f>
        <v>Yes</v>
      </c>
      <c r="O1250" s="6" t="s">
        <v>46</v>
      </c>
    </row>
    <row r="1251" customFormat="false" ht="15" hidden="false" customHeight="false" outlineLevel="0" collapsed="false">
      <c r="A1251" s="6" t="s">
        <v>2611</v>
      </c>
      <c r="B1251" s="6" t="s">
        <v>2612</v>
      </c>
      <c r="C1251" s="6" t="s">
        <v>85</v>
      </c>
      <c r="D1251" s="6" t="n">
        <v>46</v>
      </c>
      <c r="E1251" s="6" t="s">
        <v>86</v>
      </c>
      <c r="F1251" s="6" t="s">
        <v>87</v>
      </c>
      <c r="G1251" s="26" t="n">
        <v>46095</v>
      </c>
      <c r="H1251" s="6" t="s">
        <v>78</v>
      </c>
      <c r="I1251" s="26" t="n">
        <f aca="false">_xlfn.MINIFS(Transaction!$C$2:$C$8421,Transaction!$B$2:$B$8421,A1251)</f>
        <v>46181</v>
      </c>
      <c r="J1251" s="26" t="n">
        <f aca="false">_xlfn.MAXIFS(Transaction!$C$2:$C$8421,Transaction!$B$2:$B$8421,A1251)</f>
        <v>46181</v>
      </c>
      <c r="K1251" s="6" t="n">
        <f aca="false">COUNTIF(Transaction!$B$2:$B$8421,A1251)</f>
        <v>1</v>
      </c>
      <c r="L1251" s="10" t="n">
        <f aca="false">SUMIF(Transaction!$B$2:$B$8421,A1251,Transaction!$H$2:$H$8421)</f>
        <v>1760</v>
      </c>
      <c r="M1251" s="6" t="n">
        <f aca="false">Summary!$B$3-J1251</f>
        <v>85</v>
      </c>
      <c r="N1251" s="6" t="str">
        <f aca="false">IF(K1251&gt;1,"Yes","No")</f>
        <v>No</v>
      </c>
      <c r="O1251" s="6" t="s">
        <v>47</v>
      </c>
    </row>
    <row r="1252" customFormat="false" ht="15" hidden="false" customHeight="false" outlineLevel="0" collapsed="false">
      <c r="A1252" s="6" t="s">
        <v>2613</v>
      </c>
      <c r="B1252" s="6" t="s">
        <v>2614</v>
      </c>
      <c r="C1252" s="6" t="s">
        <v>75</v>
      </c>
      <c r="D1252" s="6" t="n">
        <v>41</v>
      </c>
      <c r="E1252" s="6" t="s">
        <v>91</v>
      </c>
      <c r="F1252" s="6" t="s">
        <v>77</v>
      </c>
      <c r="G1252" s="26" t="n">
        <v>46191</v>
      </c>
      <c r="H1252" s="6" t="s">
        <v>102</v>
      </c>
      <c r="I1252" s="26" t="n">
        <f aca="false">_xlfn.MINIFS(Transaction!$C$2:$C$8421,Transaction!$B$2:$B$8421,A1252)</f>
        <v>46198</v>
      </c>
      <c r="J1252" s="26" t="n">
        <f aca="false">_xlfn.MAXIFS(Transaction!$C$2:$C$8421,Transaction!$B$2:$B$8421,A1252)</f>
        <v>46198</v>
      </c>
      <c r="K1252" s="6" t="n">
        <f aca="false">COUNTIF(Transaction!$B$2:$B$8421,A1252)</f>
        <v>1</v>
      </c>
      <c r="L1252" s="10" t="n">
        <f aca="false">SUMIF(Transaction!$B$2:$B$8421,A1252,Transaction!$H$2:$H$8421)</f>
        <v>4758</v>
      </c>
      <c r="M1252" s="6" t="n">
        <f aca="false">Summary!$B$3-J1252</f>
        <v>68</v>
      </c>
      <c r="N1252" s="6" t="str">
        <f aca="false">IF(K1252&gt;1,"Yes","No")</f>
        <v>No</v>
      </c>
      <c r="O1252" s="6" t="s">
        <v>47</v>
      </c>
    </row>
    <row r="1253" customFormat="false" ht="15" hidden="false" customHeight="false" outlineLevel="0" collapsed="false">
      <c r="A1253" s="6" t="s">
        <v>2615</v>
      </c>
      <c r="B1253" s="6" t="s">
        <v>2616</v>
      </c>
      <c r="C1253" s="6" t="s">
        <v>85</v>
      </c>
      <c r="D1253" s="6" t="n">
        <v>54</v>
      </c>
      <c r="E1253" s="6" t="s">
        <v>146</v>
      </c>
      <c r="F1253" s="6" t="s">
        <v>147</v>
      </c>
      <c r="G1253" s="26" t="n">
        <v>45995</v>
      </c>
      <c r="H1253" s="6" t="s">
        <v>88</v>
      </c>
      <c r="I1253" s="26" t="n">
        <f aca="false">_xlfn.MINIFS(Transaction!$C$2:$C$8421,Transaction!$B$2:$B$8421,A1253)</f>
        <v>46081</v>
      </c>
      <c r="J1253" s="26" t="n">
        <f aca="false">_xlfn.MAXIFS(Transaction!$C$2:$C$8421,Transaction!$B$2:$B$8421,A1253)</f>
        <v>46197</v>
      </c>
      <c r="K1253" s="6" t="n">
        <f aca="false">COUNTIF(Transaction!$B$2:$B$8421,A1253)</f>
        <v>6</v>
      </c>
      <c r="L1253" s="10" t="n">
        <f aca="false">SUMIF(Transaction!$B$2:$B$8421,A1253,Transaction!$H$2:$H$8421)</f>
        <v>6859</v>
      </c>
      <c r="M1253" s="6" t="n">
        <f aca="false">Summary!$B$3-J1253</f>
        <v>69</v>
      </c>
      <c r="N1253" s="6" t="str">
        <f aca="false">IF(K1253&gt;1,"Yes","No")</f>
        <v>Yes</v>
      </c>
      <c r="O1253" s="6" t="s">
        <v>46</v>
      </c>
    </row>
    <row r="1254" customFormat="false" ht="15" hidden="false" customHeight="false" outlineLevel="0" collapsed="false">
      <c r="A1254" s="6" t="s">
        <v>2617</v>
      </c>
      <c r="B1254" s="6" t="s">
        <v>2618</v>
      </c>
      <c r="C1254" s="6" t="s">
        <v>75</v>
      </c>
      <c r="D1254" s="6" t="n">
        <v>39</v>
      </c>
      <c r="E1254" s="6" t="s">
        <v>86</v>
      </c>
      <c r="F1254" s="6" t="s">
        <v>87</v>
      </c>
      <c r="G1254" s="26" t="n">
        <v>46151</v>
      </c>
      <c r="H1254" s="6" t="s">
        <v>78</v>
      </c>
      <c r="I1254" s="26" t="n">
        <f aca="false">_xlfn.MINIFS(Transaction!$C$2:$C$8421,Transaction!$B$2:$B$8421,A1254)</f>
        <v>46197</v>
      </c>
      <c r="J1254" s="26" t="n">
        <f aca="false">_xlfn.MAXIFS(Transaction!$C$2:$C$8421,Transaction!$B$2:$B$8421,A1254)</f>
        <v>46197</v>
      </c>
      <c r="K1254" s="6" t="n">
        <f aca="false">COUNTIF(Transaction!$B$2:$B$8421,A1254)</f>
        <v>1</v>
      </c>
      <c r="L1254" s="10" t="n">
        <f aca="false">SUMIF(Transaction!$B$2:$B$8421,A1254,Transaction!$H$2:$H$8421)</f>
        <v>828</v>
      </c>
      <c r="M1254" s="6" t="n">
        <f aca="false">Summary!$B$3-J1254</f>
        <v>69</v>
      </c>
      <c r="N1254" s="6" t="str">
        <f aca="false">IF(K1254&gt;1,"Yes","No")</f>
        <v>No</v>
      </c>
      <c r="O1254" s="6" t="s">
        <v>47</v>
      </c>
    </row>
    <row r="1255" customFormat="false" ht="15" hidden="false" customHeight="false" outlineLevel="0" collapsed="false">
      <c r="A1255" s="6" t="s">
        <v>2619</v>
      </c>
      <c r="B1255" s="6" t="s">
        <v>2620</v>
      </c>
      <c r="C1255" s="6" t="s">
        <v>75</v>
      </c>
      <c r="D1255" s="6" t="n">
        <v>32</v>
      </c>
      <c r="E1255" s="6" t="s">
        <v>237</v>
      </c>
      <c r="F1255" s="6" t="s">
        <v>87</v>
      </c>
      <c r="G1255" s="26" t="n">
        <v>46020</v>
      </c>
      <c r="H1255" s="6" t="s">
        <v>78</v>
      </c>
      <c r="I1255" s="26" t="n">
        <f aca="false">_xlfn.MINIFS(Transaction!$C$2:$C$8421,Transaction!$B$2:$B$8421,A1255)</f>
        <v>46032</v>
      </c>
      <c r="J1255" s="26" t="n">
        <f aca="false">_xlfn.MAXIFS(Transaction!$C$2:$C$8421,Transaction!$B$2:$B$8421,A1255)</f>
        <v>46032</v>
      </c>
      <c r="K1255" s="6" t="n">
        <f aca="false">COUNTIF(Transaction!$B$2:$B$8421,A1255)</f>
        <v>1</v>
      </c>
      <c r="L1255" s="10" t="n">
        <f aca="false">SUMIF(Transaction!$B$2:$B$8421,A1255,Transaction!$H$2:$H$8421)</f>
        <v>2751</v>
      </c>
      <c r="M1255" s="6" t="n">
        <f aca="false">Summary!$B$3-J1255</f>
        <v>234</v>
      </c>
      <c r="N1255" s="6" t="str">
        <f aca="false">IF(K1255&gt;1,"Yes","No")</f>
        <v>No</v>
      </c>
      <c r="O1255" s="6" t="s">
        <v>49</v>
      </c>
    </row>
    <row r="1256" customFormat="false" ht="15" hidden="false" customHeight="false" outlineLevel="0" collapsed="false">
      <c r="A1256" s="6" t="s">
        <v>2621</v>
      </c>
      <c r="B1256" s="6" t="s">
        <v>2622</v>
      </c>
      <c r="C1256" s="6" t="s">
        <v>75</v>
      </c>
      <c r="D1256" s="6" t="n">
        <v>32</v>
      </c>
      <c r="E1256" s="6" t="s">
        <v>134</v>
      </c>
      <c r="F1256" s="6" t="s">
        <v>135</v>
      </c>
      <c r="G1256" s="26" t="n">
        <v>45966</v>
      </c>
      <c r="H1256" s="6" t="s">
        <v>115</v>
      </c>
      <c r="I1256" s="26" t="n">
        <f aca="false">_xlfn.MINIFS(Transaction!$C$2:$C$8421,Transaction!$B$2:$B$8421,A1256)</f>
        <v>46042</v>
      </c>
      <c r="J1256" s="26" t="n">
        <f aca="false">_xlfn.MAXIFS(Transaction!$C$2:$C$8421,Transaction!$B$2:$B$8421,A1256)</f>
        <v>46042</v>
      </c>
      <c r="K1256" s="6" t="n">
        <f aca="false">COUNTIF(Transaction!$B$2:$B$8421,A1256)</f>
        <v>1</v>
      </c>
      <c r="L1256" s="10" t="n">
        <f aca="false">SUMIF(Transaction!$B$2:$B$8421,A1256,Transaction!$H$2:$H$8421)</f>
        <v>1954</v>
      </c>
      <c r="M1256" s="6" t="n">
        <f aca="false">Summary!$B$3-J1256</f>
        <v>224</v>
      </c>
      <c r="N1256" s="6" t="str">
        <f aca="false">IF(K1256&gt;1,"Yes","No")</f>
        <v>No</v>
      </c>
      <c r="O1256" s="6" t="s">
        <v>49</v>
      </c>
    </row>
    <row r="1257" customFormat="false" ht="15" hidden="false" customHeight="false" outlineLevel="0" collapsed="false">
      <c r="A1257" s="6" t="s">
        <v>2623</v>
      </c>
      <c r="B1257" s="6" t="s">
        <v>2624</v>
      </c>
      <c r="C1257" s="6" t="s">
        <v>85</v>
      </c>
      <c r="D1257" s="6" t="n">
        <v>22</v>
      </c>
      <c r="E1257" s="6" t="s">
        <v>105</v>
      </c>
      <c r="F1257" s="6" t="s">
        <v>106</v>
      </c>
      <c r="G1257" s="26" t="n">
        <v>46055</v>
      </c>
      <c r="H1257" s="6" t="s">
        <v>115</v>
      </c>
      <c r="I1257" s="26" t="n">
        <f aca="false">_xlfn.MINIFS(Transaction!$C$2:$C$8421,Transaction!$B$2:$B$8421,A1257)</f>
        <v>46136</v>
      </c>
      <c r="J1257" s="26" t="n">
        <f aca="false">_xlfn.MAXIFS(Transaction!$C$2:$C$8421,Transaction!$B$2:$B$8421,A1257)</f>
        <v>46136</v>
      </c>
      <c r="K1257" s="6" t="n">
        <f aca="false">COUNTIF(Transaction!$B$2:$B$8421,A1257)</f>
        <v>1</v>
      </c>
      <c r="L1257" s="10" t="n">
        <f aca="false">SUMIF(Transaction!$B$2:$B$8421,A1257,Transaction!$H$2:$H$8421)</f>
        <v>1540</v>
      </c>
      <c r="M1257" s="6" t="n">
        <f aca="false">Summary!$B$3-J1257</f>
        <v>130</v>
      </c>
      <c r="N1257" s="6" t="str">
        <f aca="false">IF(K1257&gt;1,"Yes","No")</f>
        <v>No</v>
      </c>
      <c r="O1257" s="6" t="s">
        <v>48</v>
      </c>
    </row>
    <row r="1258" customFormat="false" ht="15" hidden="false" customHeight="false" outlineLevel="0" collapsed="false">
      <c r="A1258" s="6" t="s">
        <v>2625</v>
      </c>
      <c r="B1258" s="6" t="s">
        <v>2626</v>
      </c>
      <c r="C1258" s="6" t="s">
        <v>85</v>
      </c>
      <c r="D1258" s="6" t="n">
        <v>25</v>
      </c>
      <c r="E1258" s="6" t="s">
        <v>76</v>
      </c>
      <c r="F1258" s="6" t="s">
        <v>77</v>
      </c>
      <c r="G1258" s="26" t="n">
        <v>46079</v>
      </c>
      <c r="H1258" s="6" t="s">
        <v>78</v>
      </c>
      <c r="I1258" s="26" t="n">
        <f aca="false">_xlfn.MINIFS(Transaction!$C$2:$C$8421,Transaction!$B$2:$B$8421,A1258)</f>
        <v>46136</v>
      </c>
      <c r="J1258" s="26" t="n">
        <f aca="false">_xlfn.MAXIFS(Transaction!$C$2:$C$8421,Transaction!$B$2:$B$8421,A1258)</f>
        <v>46136</v>
      </c>
      <c r="K1258" s="6" t="n">
        <f aca="false">COUNTIF(Transaction!$B$2:$B$8421,A1258)</f>
        <v>1</v>
      </c>
      <c r="L1258" s="10" t="n">
        <f aca="false">SUMIF(Transaction!$B$2:$B$8421,A1258,Transaction!$H$2:$H$8421)</f>
        <v>743</v>
      </c>
      <c r="M1258" s="6" t="n">
        <f aca="false">Summary!$B$3-J1258</f>
        <v>130</v>
      </c>
      <c r="N1258" s="6" t="str">
        <f aca="false">IF(K1258&gt;1,"Yes","No")</f>
        <v>No</v>
      </c>
      <c r="O1258" s="6" t="s">
        <v>48</v>
      </c>
    </row>
    <row r="1259" customFormat="false" ht="15" hidden="false" customHeight="false" outlineLevel="0" collapsed="false">
      <c r="A1259" s="6" t="s">
        <v>2627</v>
      </c>
      <c r="B1259" s="6" t="s">
        <v>2628</v>
      </c>
      <c r="C1259" s="6" t="s">
        <v>85</v>
      </c>
      <c r="D1259" s="6" t="n">
        <v>35</v>
      </c>
      <c r="E1259" s="6" t="s">
        <v>95</v>
      </c>
      <c r="F1259" s="6" t="s">
        <v>95</v>
      </c>
      <c r="G1259" s="26" t="n">
        <v>46063</v>
      </c>
      <c r="H1259" s="6" t="s">
        <v>115</v>
      </c>
      <c r="I1259" s="26" t="n">
        <f aca="false">_xlfn.MINIFS(Transaction!$C$2:$C$8421,Transaction!$B$2:$B$8421,A1259)</f>
        <v>46082</v>
      </c>
      <c r="J1259" s="26" t="n">
        <f aca="false">_xlfn.MAXIFS(Transaction!$C$2:$C$8421,Transaction!$B$2:$B$8421,A1259)</f>
        <v>46259</v>
      </c>
      <c r="K1259" s="6" t="n">
        <f aca="false">COUNTIF(Transaction!$B$2:$B$8421,A1259)</f>
        <v>7</v>
      </c>
      <c r="L1259" s="10" t="n">
        <f aca="false">SUMIF(Transaction!$B$2:$B$8421,A1259,Transaction!$H$2:$H$8421)</f>
        <v>8098</v>
      </c>
      <c r="M1259" s="6" t="n">
        <f aca="false">Summary!$B$3-J1259</f>
        <v>7</v>
      </c>
      <c r="N1259" s="6" t="str">
        <f aca="false">IF(K1259&gt;1,"Yes","No")</f>
        <v>Yes</v>
      </c>
      <c r="O1259" s="6" t="s">
        <v>45</v>
      </c>
    </row>
    <row r="1260" customFormat="false" ht="15" hidden="false" customHeight="false" outlineLevel="0" collapsed="false">
      <c r="A1260" s="6" t="s">
        <v>2629</v>
      </c>
      <c r="B1260" s="6" t="s">
        <v>2630</v>
      </c>
      <c r="C1260" s="6" t="s">
        <v>85</v>
      </c>
      <c r="D1260" s="6" t="n">
        <v>42</v>
      </c>
      <c r="E1260" s="6" t="s">
        <v>121</v>
      </c>
      <c r="F1260" s="6" t="s">
        <v>122</v>
      </c>
      <c r="G1260" s="26" t="n">
        <v>46048</v>
      </c>
      <c r="H1260" s="6" t="s">
        <v>88</v>
      </c>
      <c r="I1260" s="26" t="n">
        <f aca="false">_xlfn.MINIFS(Transaction!$C$2:$C$8421,Transaction!$B$2:$B$8421,A1260)</f>
        <v>46067</v>
      </c>
      <c r="J1260" s="26" t="n">
        <f aca="false">_xlfn.MAXIFS(Transaction!$C$2:$C$8421,Transaction!$B$2:$B$8421,A1260)</f>
        <v>46213</v>
      </c>
      <c r="K1260" s="6" t="n">
        <f aca="false">COUNTIF(Transaction!$B$2:$B$8421,A1260)</f>
        <v>3</v>
      </c>
      <c r="L1260" s="10" t="n">
        <f aca="false">SUMIF(Transaction!$B$2:$B$8421,A1260,Transaction!$H$2:$H$8421)</f>
        <v>9334</v>
      </c>
      <c r="M1260" s="6" t="n">
        <f aca="false">Summary!$B$3-J1260</f>
        <v>53</v>
      </c>
      <c r="N1260" s="6" t="str">
        <f aca="false">IF(K1260&gt;1,"Yes","No")</f>
        <v>Yes</v>
      </c>
      <c r="O1260" s="6" t="s">
        <v>46</v>
      </c>
    </row>
    <row r="1261" customFormat="false" ht="15" hidden="false" customHeight="false" outlineLevel="0" collapsed="false">
      <c r="A1261" s="6" t="s">
        <v>2631</v>
      </c>
      <c r="B1261" s="6" t="s">
        <v>2632</v>
      </c>
      <c r="C1261" s="6" t="s">
        <v>85</v>
      </c>
      <c r="D1261" s="6" t="n">
        <v>27</v>
      </c>
      <c r="E1261" s="6" t="s">
        <v>95</v>
      </c>
      <c r="F1261" s="6" t="s">
        <v>95</v>
      </c>
      <c r="G1261" s="26" t="n">
        <v>46008</v>
      </c>
      <c r="H1261" s="6" t="s">
        <v>115</v>
      </c>
      <c r="I1261" s="26" t="n">
        <f aca="false">_xlfn.MINIFS(Transaction!$C$2:$C$8421,Transaction!$B$2:$B$8421,A1261)</f>
        <v>46081</v>
      </c>
      <c r="J1261" s="26" t="n">
        <f aca="false">_xlfn.MAXIFS(Transaction!$C$2:$C$8421,Transaction!$B$2:$B$8421,A1261)</f>
        <v>46217</v>
      </c>
      <c r="K1261" s="6" t="n">
        <f aca="false">COUNTIF(Transaction!$B$2:$B$8421,A1261)</f>
        <v>2</v>
      </c>
      <c r="L1261" s="10" t="n">
        <f aca="false">SUMIF(Transaction!$B$2:$B$8421,A1261,Transaction!$H$2:$H$8421)</f>
        <v>3097</v>
      </c>
      <c r="M1261" s="6" t="n">
        <f aca="false">Summary!$B$3-J1261</f>
        <v>49</v>
      </c>
      <c r="N1261" s="6" t="str">
        <f aca="false">IF(K1261&gt;1,"Yes","No")</f>
        <v>Yes</v>
      </c>
      <c r="O1261" s="6" t="s">
        <v>46</v>
      </c>
    </row>
    <row r="1262" customFormat="false" ht="15" hidden="false" customHeight="false" outlineLevel="0" collapsed="false">
      <c r="A1262" s="6" t="s">
        <v>2633</v>
      </c>
      <c r="B1262" s="6" t="s">
        <v>2634</v>
      </c>
      <c r="C1262" s="6" t="s">
        <v>75</v>
      </c>
      <c r="D1262" s="6" t="n">
        <v>25</v>
      </c>
      <c r="E1262" s="6" t="s">
        <v>146</v>
      </c>
      <c r="F1262" s="6" t="s">
        <v>147</v>
      </c>
      <c r="G1262" s="26" t="n">
        <v>46137</v>
      </c>
      <c r="H1262" s="6" t="s">
        <v>115</v>
      </c>
      <c r="I1262" s="26" t="n">
        <f aca="false">_xlfn.MINIFS(Transaction!$C$2:$C$8421,Transaction!$B$2:$B$8421,A1262)</f>
        <v>46161</v>
      </c>
      <c r="J1262" s="26" t="n">
        <f aca="false">_xlfn.MAXIFS(Transaction!$C$2:$C$8421,Transaction!$B$2:$B$8421,A1262)</f>
        <v>46161</v>
      </c>
      <c r="K1262" s="6" t="n">
        <f aca="false">COUNTIF(Transaction!$B$2:$B$8421,A1262)</f>
        <v>1</v>
      </c>
      <c r="L1262" s="10" t="n">
        <f aca="false">SUMIF(Transaction!$B$2:$B$8421,A1262,Transaction!$H$2:$H$8421)</f>
        <v>503</v>
      </c>
      <c r="M1262" s="6" t="n">
        <f aca="false">Summary!$B$3-J1262</f>
        <v>105</v>
      </c>
      <c r="N1262" s="6" t="str">
        <f aca="false">IF(K1262&gt;1,"Yes","No")</f>
        <v>No</v>
      </c>
      <c r="O1262" s="6" t="s">
        <v>48</v>
      </c>
    </row>
    <row r="1263" customFormat="false" ht="15" hidden="false" customHeight="false" outlineLevel="0" collapsed="false">
      <c r="A1263" s="6" t="s">
        <v>2635</v>
      </c>
      <c r="B1263" s="6" t="s">
        <v>2636</v>
      </c>
      <c r="C1263" s="6" t="s">
        <v>85</v>
      </c>
      <c r="D1263" s="6" t="n">
        <v>39</v>
      </c>
      <c r="E1263" s="6" t="s">
        <v>134</v>
      </c>
      <c r="F1263" s="6" t="s">
        <v>135</v>
      </c>
      <c r="G1263" s="26" t="n">
        <v>46170</v>
      </c>
      <c r="H1263" s="6" t="s">
        <v>92</v>
      </c>
      <c r="I1263" s="26" t="n">
        <f aca="false">_xlfn.MINIFS(Transaction!$C$2:$C$8421,Transaction!$B$2:$B$8421,A1263)</f>
        <v>46178</v>
      </c>
      <c r="J1263" s="26" t="n">
        <f aca="false">_xlfn.MAXIFS(Transaction!$C$2:$C$8421,Transaction!$B$2:$B$8421,A1263)</f>
        <v>46178</v>
      </c>
      <c r="K1263" s="6" t="n">
        <f aca="false">COUNTIF(Transaction!$B$2:$B$8421,A1263)</f>
        <v>1</v>
      </c>
      <c r="L1263" s="10" t="n">
        <f aca="false">SUMIF(Transaction!$B$2:$B$8421,A1263,Transaction!$H$2:$H$8421)</f>
        <v>1834</v>
      </c>
      <c r="M1263" s="6" t="n">
        <f aca="false">Summary!$B$3-J1263</f>
        <v>88</v>
      </c>
      <c r="N1263" s="6" t="str">
        <f aca="false">IF(K1263&gt;1,"Yes","No")</f>
        <v>No</v>
      </c>
      <c r="O1263" s="6" t="s">
        <v>47</v>
      </c>
    </row>
    <row r="1264" customFormat="false" ht="15" hidden="false" customHeight="false" outlineLevel="0" collapsed="false">
      <c r="A1264" s="6" t="s">
        <v>2637</v>
      </c>
      <c r="B1264" s="6" t="s">
        <v>2638</v>
      </c>
      <c r="C1264" s="6" t="s">
        <v>85</v>
      </c>
      <c r="D1264" s="6" t="n">
        <v>25</v>
      </c>
      <c r="E1264" s="6" t="s">
        <v>95</v>
      </c>
      <c r="F1264" s="6" t="s">
        <v>95</v>
      </c>
      <c r="G1264" s="26" t="n">
        <v>46008</v>
      </c>
      <c r="H1264" s="6" t="s">
        <v>78</v>
      </c>
      <c r="I1264" s="26" t="n">
        <f aca="false">_xlfn.MINIFS(Transaction!$C$2:$C$8421,Transaction!$B$2:$B$8421,A1264)</f>
        <v>46031</v>
      </c>
      <c r="J1264" s="26" t="n">
        <f aca="false">_xlfn.MAXIFS(Transaction!$C$2:$C$8421,Transaction!$B$2:$B$8421,A1264)</f>
        <v>46187</v>
      </c>
      <c r="K1264" s="6" t="n">
        <f aca="false">COUNTIF(Transaction!$B$2:$B$8421,A1264)</f>
        <v>3</v>
      </c>
      <c r="L1264" s="10" t="n">
        <f aca="false">SUMIF(Transaction!$B$2:$B$8421,A1264,Transaction!$H$2:$H$8421)</f>
        <v>3832</v>
      </c>
      <c r="M1264" s="6" t="n">
        <f aca="false">Summary!$B$3-J1264</f>
        <v>79</v>
      </c>
      <c r="N1264" s="6" t="str">
        <f aca="false">IF(K1264&gt;1,"Yes","No")</f>
        <v>Yes</v>
      </c>
      <c r="O1264" s="6" t="s">
        <v>46</v>
      </c>
    </row>
    <row r="1265" customFormat="false" ht="15" hidden="false" customHeight="false" outlineLevel="0" collapsed="false">
      <c r="A1265" s="6" t="s">
        <v>2639</v>
      </c>
      <c r="B1265" s="6" t="s">
        <v>2640</v>
      </c>
      <c r="C1265" s="6" t="s">
        <v>85</v>
      </c>
      <c r="D1265" s="6" t="n">
        <v>52</v>
      </c>
      <c r="E1265" s="6" t="s">
        <v>176</v>
      </c>
      <c r="F1265" s="6" t="s">
        <v>177</v>
      </c>
      <c r="G1265" s="26" t="n">
        <v>46024</v>
      </c>
      <c r="H1265" s="6" t="s">
        <v>115</v>
      </c>
      <c r="I1265" s="26" t="n">
        <f aca="false">_xlfn.MINIFS(Transaction!$C$2:$C$8421,Transaction!$B$2:$B$8421,A1265)</f>
        <v>46091</v>
      </c>
      <c r="J1265" s="26" t="n">
        <f aca="false">_xlfn.MAXIFS(Transaction!$C$2:$C$8421,Transaction!$B$2:$B$8421,A1265)</f>
        <v>46091</v>
      </c>
      <c r="K1265" s="6" t="n">
        <f aca="false">COUNTIF(Transaction!$B$2:$B$8421,A1265)</f>
        <v>1</v>
      </c>
      <c r="L1265" s="10" t="n">
        <f aca="false">SUMIF(Transaction!$B$2:$B$8421,A1265,Transaction!$H$2:$H$8421)</f>
        <v>1394</v>
      </c>
      <c r="M1265" s="6" t="n">
        <f aca="false">Summary!$B$3-J1265</f>
        <v>175</v>
      </c>
      <c r="N1265" s="6" t="str">
        <f aca="false">IF(K1265&gt;1,"Yes","No")</f>
        <v>No</v>
      </c>
      <c r="O1265" s="6" t="s">
        <v>49</v>
      </c>
    </row>
    <row r="1266" customFormat="false" ht="15" hidden="false" customHeight="false" outlineLevel="0" collapsed="false">
      <c r="A1266" s="6" t="s">
        <v>2641</v>
      </c>
      <c r="B1266" s="6" t="s">
        <v>2642</v>
      </c>
      <c r="C1266" s="6" t="s">
        <v>75</v>
      </c>
      <c r="D1266" s="6" t="n">
        <v>46</v>
      </c>
      <c r="E1266" s="6" t="s">
        <v>321</v>
      </c>
      <c r="F1266" s="6" t="s">
        <v>321</v>
      </c>
      <c r="G1266" s="26" t="n">
        <v>46003</v>
      </c>
      <c r="H1266" s="6" t="s">
        <v>88</v>
      </c>
      <c r="I1266" s="26" t="n">
        <f aca="false">_xlfn.MINIFS(Transaction!$C$2:$C$8421,Transaction!$B$2:$B$8421,A1266)</f>
        <v>46059</v>
      </c>
      <c r="J1266" s="26" t="n">
        <f aca="false">_xlfn.MAXIFS(Transaction!$C$2:$C$8421,Transaction!$B$2:$B$8421,A1266)</f>
        <v>46252</v>
      </c>
      <c r="K1266" s="6" t="n">
        <f aca="false">COUNTIF(Transaction!$B$2:$B$8421,A1266)</f>
        <v>10</v>
      </c>
      <c r="L1266" s="10" t="n">
        <f aca="false">SUMIF(Transaction!$B$2:$B$8421,A1266,Transaction!$H$2:$H$8421)</f>
        <v>16956</v>
      </c>
      <c r="M1266" s="6" t="n">
        <f aca="false">Summary!$B$3-J1266</f>
        <v>14</v>
      </c>
      <c r="N1266" s="6" t="str">
        <f aca="false">IF(K1266&gt;1,"Yes","No")</f>
        <v>Yes</v>
      </c>
      <c r="O1266" s="6" t="s">
        <v>45</v>
      </c>
    </row>
    <row r="1267" customFormat="false" ht="15" hidden="false" customHeight="false" outlineLevel="0" collapsed="false">
      <c r="A1267" s="6" t="s">
        <v>2643</v>
      </c>
      <c r="B1267" s="6" t="s">
        <v>2644</v>
      </c>
      <c r="C1267" s="6" t="s">
        <v>75</v>
      </c>
      <c r="D1267" s="6" t="n">
        <v>37</v>
      </c>
      <c r="E1267" s="6" t="s">
        <v>76</v>
      </c>
      <c r="F1267" s="6" t="s">
        <v>77</v>
      </c>
      <c r="G1267" s="26" t="n">
        <v>45992</v>
      </c>
      <c r="H1267" s="6" t="s">
        <v>88</v>
      </c>
      <c r="I1267" s="26" t="n">
        <f aca="false">_xlfn.MINIFS(Transaction!$C$2:$C$8421,Transaction!$B$2:$B$8421,A1267)</f>
        <v>46072</v>
      </c>
      <c r="J1267" s="26" t="n">
        <f aca="false">_xlfn.MAXIFS(Transaction!$C$2:$C$8421,Transaction!$B$2:$B$8421,A1267)</f>
        <v>46072</v>
      </c>
      <c r="K1267" s="6" t="n">
        <f aca="false">COUNTIF(Transaction!$B$2:$B$8421,A1267)</f>
        <v>1</v>
      </c>
      <c r="L1267" s="10" t="n">
        <f aca="false">SUMIF(Transaction!$B$2:$B$8421,A1267,Transaction!$H$2:$H$8421)</f>
        <v>703</v>
      </c>
      <c r="M1267" s="6" t="n">
        <f aca="false">Summary!$B$3-J1267</f>
        <v>194</v>
      </c>
      <c r="N1267" s="6" t="str">
        <f aca="false">IF(K1267&gt;1,"Yes","No")</f>
        <v>No</v>
      </c>
      <c r="O1267" s="6" t="s">
        <v>49</v>
      </c>
    </row>
    <row r="1268" customFormat="false" ht="15" hidden="false" customHeight="false" outlineLevel="0" collapsed="false">
      <c r="A1268" s="6" t="s">
        <v>2645</v>
      </c>
      <c r="B1268" s="6" t="s">
        <v>2646</v>
      </c>
      <c r="C1268" s="6" t="s">
        <v>85</v>
      </c>
      <c r="D1268" s="6" t="n">
        <v>32</v>
      </c>
      <c r="E1268" s="6" t="s">
        <v>81</v>
      </c>
      <c r="F1268" s="6" t="s">
        <v>82</v>
      </c>
      <c r="G1268" s="26" t="n">
        <v>46063</v>
      </c>
      <c r="H1268" s="6" t="s">
        <v>78</v>
      </c>
      <c r="I1268" s="26" t="n">
        <f aca="false">_xlfn.MINIFS(Transaction!$C$2:$C$8421,Transaction!$B$2:$B$8421,A1268)</f>
        <v>46081</v>
      </c>
      <c r="J1268" s="26" t="n">
        <f aca="false">_xlfn.MAXIFS(Transaction!$C$2:$C$8421,Transaction!$B$2:$B$8421,A1268)</f>
        <v>46177</v>
      </c>
      <c r="K1268" s="6" t="n">
        <f aca="false">COUNTIF(Transaction!$B$2:$B$8421,A1268)</f>
        <v>4</v>
      </c>
      <c r="L1268" s="10" t="n">
        <f aca="false">SUMIF(Transaction!$B$2:$B$8421,A1268,Transaction!$H$2:$H$8421)</f>
        <v>16495</v>
      </c>
      <c r="M1268" s="6" t="n">
        <f aca="false">Summary!$B$3-J1268</f>
        <v>89</v>
      </c>
      <c r="N1268" s="6" t="str">
        <f aca="false">IF(K1268&gt;1,"Yes","No")</f>
        <v>Yes</v>
      </c>
      <c r="O1268" s="6" t="s">
        <v>46</v>
      </c>
    </row>
    <row r="1269" customFormat="false" ht="15" hidden="false" customHeight="false" outlineLevel="0" collapsed="false">
      <c r="A1269" s="6" t="s">
        <v>2647</v>
      </c>
      <c r="B1269" s="6" t="s">
        <v>2648</v>
      </c>
      <c r="C1269" s="6" t="s">
        <v>85</v>
      </c>
      <c r="D1269" s="6" t="n">
        <v>34</v>
      </c>
      <c r="E1269" s="6" t="s">
        <v>105</v>
      </c>
      <c r="F1269" s="6" t="s">
        <v>106</v>
      </c>
      <c r="G1269" s="26" t="n">
        <v>46122</v>
      </c>
      <c r="H1269" s="6" t="s">
        <v>78</v>
      </c>
      <c r="I1269" s="26" t="n">
        <f aca="false">_xlfn.MINIFS(Transaction!$C$2:$C$8421,Transaction!$B$2:$B$8421,A1269)</f>
        <v>46147</v>
      </c>
      <c r="J1269" s="26" t="n">
        <f aca="false">_xlfn.MAXIFS(Transaction!$C$2:$C$8421,Transaction!$B$2:$B$8421,A1269)</f>
        <v>46147</v>
      </c>
      <c r="K1269" s="6" t="n">
        <f aca="false">COUNTIF(Transaction!$B$2:$B$8421,A1269)</f>
        <v>1</v>
      </c>
      <c r="L1269" s="10" t="n">
        <f aca="false">SUMIF(Transaction!$B$2:$B$8421,A1269,Transaction!$H$2:$H$8421)</f>
        <v>1488</v>
      </c>
      <c r="M1269" s="6" t="n">
        <f aca="false">Summary!$B$3-J1269</f>
        <v>119</v>
      </c>
      <c r="N1269" s="6" t="str">
        <f aca="false">IF(K1269&gt;1,"Yes","No")</f>
        <v>No</v>
      </c>
      <c r="O1269" s="6" t="s">
        <v>48</v>
      </c>
    </row>
    <row r="1270" customFormat="false" ht="15" hidden="false" customHeight="false" outlineLevel="0" collapsed="false">
      <c r="A1270" s="6" t="s">
        <v>2649</v>
      </c>
      <c r="B1270" s="6" t="s">
        <v>2650</v>
      </c>
      <c r="C1270" s="6" t="s">
        <v>75</v>
      </c>
      <c r="D1270" s="6" t="n">
        <v>37</v>
      </c>
      <c r="E1270" s="6" t="s">
        <v>146</v>
      </c>
      <c r="F1270" s="6" t="s">
        <v>147</v>
      </c>
      <c r="G1270" s="26" t="n">
        <v>46052</v>
      </c>
      <c r="H1270" s="6" t="s">
        <v>123</v>
      </c>
      <c r="I1270" s="26" t="n">
        <f aca="false">_xlfn.MINIFS(Transaction!$C$2:$C$8421,Transaction!$B$2:$B$8421,A1270)</f>
        <v>46066</v>
      </c>
      <c r="J1270" s="26" t="n">
        <f aca="false">_xlfn.MAXIFS(Transaction!$C$2:$C$8421,Transaction!$B$2:$B$8421,A1270)</f>
        <v>46066</v>
      </c>
      <c r="K1270" s="6" t="n">
        <f aca="false">COUNTIF(Transaction!$B$2:$B$8421,A1270)</f>
        <v>1</v>
      </c>
      <c r="L1270" s="10" t="n">
        <f aca="false">SUMIF(Transaction!$B$2:$B$8421,A1270,Transaction!$H$2:$H$8421)</f>
        <v>1394</v>
      </c>
      <c r="M1270" s="6" t="n">
        <f aca="false">Summary!$B$3-J1270</f>
        <v>200</v>
      </c>
      <c r="N1270" s="6" t="str">
        <f aca="false">IF(K1270&gt;1,"Yes","No")</f>
        <v>No</v>
      </c>
      <c r="O1270" s="6" t="s">
        <v>49</v>
      </c>
    </row>
    <row r="1271" customFormat="false" ht="15" hidden="false" customHeight="false" outlineLevel="0" collapsed="false">
      <c r="A1271" s="6" t="s">
        <v>2651</v>
      </c>
      <c r="B1271" s="6" t="s">
        <v>2652</v>
      </c>
      <c r="C1271" s="6" t="s">
        <v>75</v>
      </c>
      <c r="D1271" s="6" t="n">
        <v>30</v>
      </c>
      <c r="E1271" s="6" t="s">
        <v>95</v>
      </c>
      <c r="F1271" s="6" t="s">
        <v>95</v>
      </c>
      <c r="G1271" s="26" t="n">
        <v>46159</v>
      </c>
      <c r="H1271" s="6" t="s">
        <v>78</v>
      </c>
      <c r="I1271" s="26" t="n">
        <f aca="false">_xlfn.MINIFS(Transaction!$C$2:$C$8421,Transaction!$B$2:$B$8421,A1271)</f>
        <v>46216</v>
      </c>
      <c r="J1271" s="26" t="n">
        <f aca="false">_xlfn.MAXIFS(Transaction!$C$2:$C$8421,Transaction!$B$2:$B$8421,A1271)</f>
        <v>46240</v>
      </c>
      <c r="K1271" s="6" t="n">
        <f aca="false">COUNTIF(Transaction!$B$2:$B$8421,A1271)</f>
        <v>3</v>
      </c>
      <c r="L1271" s="10" t="n">
        <f aca="false">SUMIF(Transaction!$B$2:$B$8421,A1271,Transaction!$H$2:$H$8421)</f>
        <v>3216</v>
      </c>
      <c r="M1271" s="6" t="n">
        <f aca="false">Summary!$B$3-J1271</f>
        <v>26</v>
      </c>
      <c r="N1271" s="6" t="str">
        <f aca="false">IF(K1271&gt;1,"Yes","No")</f>
        <v>Yes</v>
      </c>
      <c r="O1271" s="6" t="s">
        <v>46</v>
      </c>
    </row>
    <row r="1272" customFormat="false" ht="15" hidden="false" customHeight="false" outlineLevel="0" collapsed="false">
      <c r="A1272" s="6" t="s">
        <v>2653</v>
      </c>
      <c r="B1272" s="6" t="s">
        <v>2654</v>
      </c>
      <c r="C1272" s="6" t="s">
        <v>75</v>
      </c>
      <c r="D1272" s="6" t="n">
        <v>29</v>
      </c>
      <c r="E1272" s="6" t="s">
        <v>430</v>
      </c>
      <c r="F1272" s="6" t="s">
        <v>99</v>
      </c>
      <c r="G1272" s="26" t="n">
        <v>46014</v>
      </c>
      <c r="H1272" s="6" t="s">
        <v>92</v>
      </c>
      <c r="I1272" s="26" t="n">
        <f aca="false">_xlfn.MINIFS(Transaction!$C$2:$C$8421,Transaction!$B$2:$B$8421,A1272)</f>
        <v>46077</v>
      </c>
      <c r="J1272" s="26" t="n">
        <f aca="false">_xlfn.MAXIFS(Transaction!$C$2:$C$8421,Transaction!$B$2:$B$8421,A1272)</f>
        <v>46248</v>
      </c>
      <c r="K1272" s="6" t="n">
        <f aca="false">COUNTIF(Transaction!$B$2:$B$8421,A1272)</f>
        <v>9</v>
      </c>
      <c r="L1272" s="10" t="n">
        <f aca="false">SUMIF(Transaction!$B$2:$B$8421,A1272,Transaction!$H$2:$H$8421)</f>
        <v>12700</v>
      </c>
      <c r="M1272" s="6" t="n">
        <f aca="false">Summary!$B$3-J1272</f>
        <v>18</v>
      </c>
      <c r="N1272" s="6" t="str">
        <f aca="false">IF(K1272&gt;1,"Yes","No")</f>
        <v>Yes</v>
      </c>
      <c r="O1272" s="6" t="s">
        <v>45</v>
      </c>
    </row>
    <row r="1273" customFormat="false" ht="15" hidden="false" customHeight="false" outlineLevel="0" collapsed="false">
      <c r="A1273" s="6" t="s">
        <v>2655</v>
      </c>
      <c r="B1273" s="6" t="s">
        <v>2656</v>
      </c>
      <c r="C1273" s="6" t="s">
        <v>75</v>
      </c>
      <c r="D1273" s="6" t="n">
        <v>24</v>
      </c>
      <c r="E1273" s="6" t="s">
        <v>264</v>
      </c>
      <c r="F1273" s="6" t="s">
        <v>106</v>
      </c>
      <c r="G1273" s="26" t="n">
        <v>46083</v>
      </c>
      <c r="H1273" s="6" t="s">
        <v>78</v>
      </c>
      <c r="I1273" s="26" t="n">
        <f aca="false">_xlfn.MINIFS(Transaction!$C$2:$C$8421,Transaction!$B$2:$B$8421,A1273)</f>
        <v>46151</v>
      </c>
      <c r="J1273" s="26" t="n">
        <f aca="false">_xlfn.MAXIFS(Transaction!$C$2:$C$8421,Transaction!$B$2:$B$8421,A1273)</f>
        <v>46151</v>
      </c>
      <c r="K1273" s="6" t="n">
        <f aca="false">COUNTIF(Transaction!$B$2:$B$8421,A1273)</f>
        <v>1</v>
      </c>
      <c r="L1273" s="10" t="n">
        <f aca="false">SUMIF(Transaction!$B$2:$B$8421,A1273,Transaction!$H$2:$H$8421)</f>
        <v>6880</v>
      </c>
      <c r="M1273" s="6" t="n">
        <f aca="false">Summary!$B$3-J1273</f>
        <v>115</v>
      </c>
      <c r="N1273" s="6" t="str">
        <f aca="false">IF(K1273&gt;1,"Yes","No")</f>
        <v>No</v>
      </c>
      <c r="O1273" s="6" t="s">
        <v>48</v>
      </c>
    </row>
    <row r="1274" customFormat="false" ht="15" hidden="false" customHeight="false" outlineLevel="0" collapsed="false">
      <c r="A1274" s="6" t="s">
        <v>2657</v>
      </c>
      <c r="B1274" s="6" t="s">
        <v>2658</v>
      </c>
      <c r="C1274" s="6" t="s">
        <v>85</v>
      </c>
      <c r="D1274" s="6" t="n">
        <v>45</v>
      </c>
      <c r="E1274" s="6" t="s">
        <v>95</v>
      </c>
      <c r="F1274" s="6" t="s">
        <v>95</v>
      </c>
      <c r="G1274" s="26" t="n">
        <v>46067</v>
      </c>
      <c r="H1274" s="6" t="s">
        <v>78</v>
      </c>
      <c r="I1274" s="26" t="n">
        <f aca="false">_xlfn.MINIFS(Transaction!$C$2:$C$8421,Transaction!$B$2:$B$8421,A1274)</f>
        <v>46097</v>
      </c>
      <c r="J1274" s="26" t="n">
        <f aca="false">_xlfn.MAXIFS(Transaction!$C$2:$C$8421,Transaction!$B$2:$B$8421,A1274)</f>
        <v>46097</v>
      </c>
      <c r="K1274" s="6" t="n">
        <f aca="false">COUNTIF(Transaction!$B$2:$B$8421,A1274)</f>
        <v>1</v>
      </c>
      <c r="L1274" s="10" t="n">
        <f aca="false">SUMIF(Transaction!$B$2:$B$8421,A1274,Transaction!$H$2:$H$8421)</f>
        <v>880</v>
      </c>
      <c r="M1274" s="6" t="n">
        <f aca="false">Summary!$B$3-J1274</f>
        <v>169</v>
      </c>
      <c r="N1274" s="6" t="str">
        <f aca="false">IF(K1274&gt;1,"Yes","No")</f>
        <v>No</v>
      </c>
      <c r="O1274" s="6" t="s">
        <v>49</v>
      </c>
    </row>
    <row r="1275" customFormat="false" ht="15" hidden="false" customHeight="false" outlineLevel="0" collapsed="false">
      <c r="A1275" s="6" t="s">
        <v>2659</v>
      </c>
      <c r="B1275" s="6" t="s">
        <v>2660</v>
      </c>
      <c r="C1275" s="6" t="s">
        <v>75</v>
      </c>
      <c r="D1275" s="6" t="n">
        <v>27</v>
      </c>
      <c r="E1275" s="6" t="s">
        <v>105</v>
      </c>
      <c r="F1275" s="6" t="s">
        <v>106</v>
      </c>
      <c r="G1275" s="26" t="n">
        <v>46194</v>
      </c>
      <c r="H1275" s="6" t="s">
        <v>88</v>
      </c>
      <c r="I1275" s="26" t="n">
        <f aca="false">_xlfn.MINIFS(Transaction!$C$2:$C$8421,Transaction!$B$2:$B$8421,A1275)</f>
        <v>46235</v>
      </c>
      <c r="J1275" s="26" t="n">
        <f aca="false">_xlfn.MAXIFS(Transaction!$C$2:$C$8421,Transaction!$B$2:$B$8421,A1275)</f>
        <v>46235</v>
      </c>
      <c r="K1275" s="6" t="n">
        <f aca="false">COUNTIF(Transaction!$B$2:$B$8421,A1275)</f>
        <v>1</v>
      </c>
      <c r="L1275" s="10" t="n">
        <f aca="false">SUMIF(Transaction!$B$2:$B$8421,A1275,Transaction!$H$2:$H$8421)</f>
        <v>1631</v>
      </c>
      <c r="M1275" s="6" t="n">
        <f aca="false">Summary!$B$3-J1275</f>
        <v>31</v>
      </c>
      <c r="N1275" s="6" t="str">
        <f aca="false">IF(K1275&gt;1,"Yes","No")</f>
        <v>No</v>
      </c>
      <c r="O1275" s="6" t="s">
        <v>47</v>
      </c>
    </row>
    <row r="1276" customFormat="false" ht="15" hidden="false" customHeight="false" outlineLevel="0" collapsed="false">
      <c r="A1276" s="6" t="s">
        <v>2661</v>
      </c>
      <c r="B1276" s="6" t="s">
        <v>2662</v>
      </c>
      <c r="C1276" s="6" t="s">
        <v>75</v>
      </c>
      <c r="D1276" s="6" t="n">
        <v>33</v>
      </c>
      <c r="E1276" s="6" t="s">
        <v>146</v>
      </c>
      <c r="F1276" s="6" t="s">
        <v>147</v>
      </c>
      <c r="G1276" s="26" t="n">
        <v>46133</v>
      </c>
      <c r="H1276" s="6" t="s">
        <v>78</v>
      </c>
      <c r="I1276" s="26" t="n">
        <f aca="false">_xlfn.MINIFS(Transaction!$C$2:$C$8421,Transaction!$B$2:$B$8421,A1276)</f>
        <v>46158</v>
      </c>
      <c r="J1276" s="26" t="n">
        <f aca="false">_xlfn.MAXIFS(Transaction!$C$2:$C$8421,Transaction!$B$2:$B$8421,A1276)</f>
        <v>46158</v>
      </c>
      <c r="K1276" s="6" t="n">
        <f aca="false">COUNTIF(Transaction!$B$2:$B$8421,A1276)</f>
        <v>1</v>
      </c>
      <c r="L1276" s="10" t="n">
        <f aca="false">SUMIF(Transaction!$B$2:$B$8421,A1276,Transaction!$H$2:$H$8421)</f>
        <v>1068</v>
      </c>
      <c r="M1276" s="6" t="n">
        <f aca="false">Summary!$B$3-J1276</f>
        <v>108</v>
      </c>
      <c r="N1276" s="6" t="str">
        <f aca="false">IF(K1276&gt;1,"Yes","No")</f>
        <v>No</v>
      </c>
      <c r="O1276" s="6" t="s">
        <v>48</v>
      </c>
    </row>
    <row r="1277" customFormat="false" ht="15" hidden="false" customHeight="false" outlineLevel="0" collapsed="false">
      <c r="A1277" s="6" t="s">
        <v>2663</v>
      </c>
      <c r="B1277" s="6" t="s">
        <v>2664</v>
      </c>
      <c r="C1277" s="6" t="s">
        <v>85</v>
      </c>
      <c r="D1277" s="6" t="n">
        <v>51</v>
      </c>
      <c r="E1277" s="6" t="s">
        <v>95</v>
      </c>
      <c r="F1277" s="6" t="s">
        <v>95</v>
      </c>
      <c r="G1277" s="26" t="n">
        <v>46019</v>
      </c>
      <c r="H1277" s="6" t="s">
        <v>123</v>
      </c>
      <c r="I1277" s="26" t="n">
        <f aca="false">_xlfn.MINIFS(Transaction!$C$2:$C$8421,Transaction!$B$2:$B$8421,A1277)</f>
        <v>46077</v>
      </c>
      <c r="J1277" s="26" t="n">
        <f aca="false">_xlfn.MAXIFS(Transaction!$C$2:$C$8421,Transaction!$B$2:$B$8421,A1277)</f>
        <v>46180</v>
      </c>
      <c r="K1277" s="6" t="n">
        <f aca="false">COUNTIF(Transaction!$B$2:$B$8421,A1277)</f>
        <v>4</v>
      </c>
      <c r="L1277" s="10" t="n">
        <f aca="false">SUMIF(Transaction!$B$2:$B$8421,A1277,Transaction!$H$2:$H$8421)</f>
        <v>9392</v>
      </c>
      <c r="M1277" s="6" t="n">
        <f aca="false">Summary!$B$3-J1277</f>
        <v>86</v>
      </c>
      <c r="N1277" s="6" t="str">
        <f aca="false">IF(K1277&gt;1,"Yes","No")</f>
        <v>Yes</v>
      </c>
      <c r="O1277" s="6" t="s">
        <v>46</v>
      </c>
    </row>
    <row r="1278" customFormat="false" ht="15" hidden="false" customHeight="false" outlineLevel="0" collapsed="false">
      <c r="A1278" s="6" t="s">
        <v>2665</v>
      </c>
      <c r="B1278" s="6" t="s">
        <v>2666</v>
      </c>
      <c r="C1278" s="6" t="s">
        <v>75</v>
      </c>
      <c r="D1278" s="6" t="n">
        <v>34</v>
      </c>
      <c r="E1278" s="6" t="s">
        <v>105</v>
      </c>
      <c r="F1278" s="6" t="s">
        <v>106</v>
      </c>
      <c r="G1278" s="26" t="n">
        <v>46152</v>
      </c>
      <c r="H1278" s="6" t="s">
        <v>78</v>
      </c>
      <c r="I1278" s="26" t="n">
        <f aca="false">_xlfn.MINIFS(Transaction!$C$2:$C$8421,Transaction!$B$2:$B$8421,A1278)</f>
        <v>46181</v>
      </c>
      <c r="J1278" s="26" t="n">
        <f aca="false">_xlfn.MAXIFS(Transaction!$C$2:$C$8421,Transaction!$B$2:$B$8421,A1278)</f>
        <v>46181</v>
      </c>
      <c r="K1278" s="6" t="n">
        <f aca="false">COUNTIF(Transaction!$B$2:$B$8421,A1278)</f>
        <v>1</v>
      </c>
      <c r="L1278" s="10" t="n">
        <f aca="false">SUMIF(Transaction!$B$2:$B$8421,A1278,Transaction!$H$2:$H$8421)</f>
        <v>1564</v>
      </c>
      <c r="M1278" s="6" t="n">
        <f aca="false">Summary!$B$3-J1278</f>
        <v>85</v>
      </c>
      <c r="N1278" s="6" t="str">
        <f aca="false">IF(K1278&gt;1,"Yes","No")</f>
        <v>No</v>
      </c>
      <c r="O1278" s="6" t="s">
        <v>47</v>
      </c>
    </row>
    <row r="1279" customFormat="false" ht="15" hidden="false" customHeight="false" outlineLevel="0" collapsed="false">
      <c r="A1279" s="6" t="s">
        <v>2667</v>
      </c>
      <c r="B1279" s="6" t="s">
        <v>2668</v>
      </c>
      <c r="C1279" s="6" t="s">
        <v>75</v>
      </c>
      <c r="D1279" s="6" t="n">
        <v>26</v>
      </c>
      <c r="E1279" s="6" t="s">
        <v>264</v>
      </c>
      <c r="F1279" s="6" t="s">
        <v>106</v>
      </c>
      <c r="G1279" s="26" t="n">
        <v>46094</v>
      </c>
      <c r="H1279" s="6" t="s">
        <v>92</v>
      </c>
      <c r="I1279" s="26" t="n">
        <f aca="false">_xlfn.MINIFS(Transaction!$C$2:$C$8421,Transaction!$B$2:$B$8421,A1279)</f>
        <v>46159</v>
      </c>
      <c r="J1279" s="26" t="n">
        <f aca="false">_xlfn.MAXIFS(Transaction!$C$2:$C$8421,Transaction!$B$2:$B$8421,A1279)</f>
        <v>46159</v>
      </c>
      <c r="K1279" s="6" t="n">
        <f aca="false">COUNTIF(Transaction!$B$2:$B$8421,A1279)</f>
        <v>1</v>
      </c>
      <c r="L1279" s="10" t="n">
        <f aca="false">SUMIF(Transaction!$B$2:$B$8421,A1279,Transaction!$H$2:$H$8421)</f>
        <v>814</v>
      </c>
      <c r="M1279" s="6" t="n">
        <f aca="false">Summary!$B$3-J1279</f>
        <v>107</v>
      </c>
      <c r="N1279" s="6" t="str">
        <f aca="false">IF(K1279&gt;1,"Yes","No")</f>
        <v>No</v>
      </c>
      <c r="O1279" s="6" t="s">
        <v>48</v>
      </c>
    </row>
    <row r="1280" customFormat="false" ht="15" hidden="false" customHeight="false" outlineLevel="0" collapsed="false">
      <c r="A1280" s="6" t="s">
        <v>2669</v>
      </c>
      <c r="B1280" s="6" t="s">
        <v>2670</v>
      </c>
      <c r="C1280" s="6" t="s">
        <v>85</v>
      </c>
      <c r="D1280" s="6" t="n">
        <v>38</v>
      </c>
      <c r="E1280" s="6" t="s">
        <v>121</v>
      </c>
      <c r="F1280" s="6" t="s">
        <v>122</v>
      </c>
      <c r="G1280" s="26" t="n">
        <v>45977</v>
      </c>
      <c r="H1280" s="6" t="s">
        <v>123</v>
      </c>
      <c r="I1280" s="26" t="n">
        <f aca="false">_xlfn.MINIFS(Transaction!$C$2:$C$8421,Transaction!$B$2:$B$8421,A1280)</f>
        <v>46051</v>
      </c>
      <c r="J1280" s="26" t="n">
        <f aca="false">_xlfn.MAXIFS(Transaction!$C$2:$C$8421,Transaction!$B$2:$B$8421,A1280)</f>
        <v>46254</v>
      </c>
      <c r="K1280" s="6" t="n">
        <f aca="false">COUNTIF(Transaction!$B$2:$B$8421,A1280)</f>
        <v>7</v>
      </c>
      <c r="L1280" s="10" t="n">
        <f aca="false">SUMIF(Transaction!$B$2:$B$8421,A1280,Transaction!$H$2:$H$8421)</f>
        <v>14886</v>
      </c>
      <c r="M1280" s="6" t="n">
        <f aca="false">Summary!$B$3-J1280</f>
        <v>12</v>
      </c>
      <c r="N1280" s="6" t="str">
        <f aca="false">IF(K1280&gt;1,"Yes","No")</f>
        <v>Yes</v>
      </c>
      <c r="O1280" s="6" t="s">
        <v>45</v>
      </c>
    </row>
    <row r="1281" customFormat="false" ht="15" hidden="false" customHeight="false" outlineLevel="0" collapsed="false">
      <c r="A1281" s="6" t="s">
        <v>2671</v>
      </c>
      <c r="B1281" s="6" t="s">
        <v>2672</v>
      </c>
      <c r="C1281" s="6" t="s">
        <v>75</v>
      </c>
      <c r="D1281" s="6" t="n">
        <v>24</v>
      </c>
      <c r="E1281" s="6" t="s">
        <v>105</v>
      </c>
      <c r="F1281" s="6" t="s">
        <v>106</v>
      </c>
      <c r="G1281" s="26" t="n">
        <v>46062</v>
      </c>
      <c r="H1281" s="6" t="s">
        <v>78</v>
      </c>
      <c r="I1281" s="26" t="n">
        <f aca="false">_xlfn.MINIFS(Transaction!$C$2:$C$8421,Transaction!$B$2:$B$8421,A1281)</f>
        <v>46146</v>
      </c>
      <c r="J1281" s="26" t="n">
        <f aca="false">_xlfn.MAXIFS(Transaction!$C$2:$C$8421,Transaction!$B$2:$B$8421,A1281)</f>
        <v>46220</v>
      </c>
      <c r="K1281" s="6" t="n">
        <f aca="false">COUNTIF(Transaction!$B$2:$B$8421,A1281)</f>
        <v>5</v>
      </c>
      <c r="L1281" s="10" t="n">
        <f aca="false">SUMIF(Transaction!$B$2:$B$8421,A1281,Transaction!$H$2:$H$8421)</f>
        <v>11430</v>
      </c>
      <c r="M1281" s="6" t="n">
        <f aca="false">Summary!$B$3-J1281</f>
        <v>46</v>
      </c>
      <c r="N1281" s="6" t="str">
        <f aca="false">IF(K1281&gt;1,"Yes","No")</f>
        <v>Yes</v>
      </c>
      <c r="O1281" s="6" t="s">
        <v>46</v>
      </c>
    </row>
    <row r="1282" customFormat="false" ht="15" hidden="false" customHeight="false" outlineLevel="0" collapsed="false">
      <c r="A1282" s="6" t="s">
        <v>2673</v>
      </c>
      <c r="B1282" s="6" t="s">
        <v>2674</v>
      </c>
      <c r="C1282" s="6" t="s">
        <v>75</v>
      </c>
      <c r="D1282" s="6" t="n">
        <v>34</v>
      </c>
      <c r="E1282" s="6" t="s">
        <v>81</v>
      </c>
      <c r="F1282" s="6" t="s">
        <v>82</v>
      </c>
      <c r="G1282" s="26" t="n">
        <v>46142</v>
      </c>
      <c r="H1282" s="6" t="s">
        <v>92</v>
      </c>
      <c r="I1282" s="26" t="n">
        <f aca="false">_xlfn.MINIFS(Transaction!$C$2:$C$8421,Transaction!$B$2:$B$8421,A1282)</f>
        <v>46160</v>
      </c>
      <c r="J1282" s="26" t="n">
        <f aca="false">_xlfn.MAXIFS(Transaction!$C$2:$C$8421,Transaction!$B$2:$B$8421,A1282)</f>
        <v>46244</v>
      </c>
      <c r="K1282" s="6" t="n">
        <f aca="false">COUNTIF(Transaction!$B$2:$B$8421,A1282)</f>
        <v>6</v>
      </c>
      <c r="L1282" s="10" t="n">
        <f aca="false">SUMIF(Transaction!$B$2:$B$8421,A1282,Transaction!$H$2:$H$8421)</f>
        <v>14583</v>
      </c>
      <c r="M1282" s="6" t="n">
        <f aca="false">Summary!$B$3-J1282</f>
        <v>22</v>
      </c>
      <c r="N1282" s="6" t="str">
        <f aca="false">IF(K1282&gt;1,"Yes","No")</f>
        <v>Yes</v>
      </c>
      <c r="O1282" s="6" t="s">
        <v>46</v>
      </c>
    </row>
    <row r="1283" customFormat="false" ht="15" hidden="false" customHeight="false" outlineLevel="0" collapsed="false">
      <c r="A1283" s="6" t="s">
        <v>2675</v>
      </c>
      <c r="B1283" s="6" t="s">
        <v>2676</v>
      </c>
      <c r="C1283" s="6" t="s">
        <v>85</v>
      </c>
      <c r="D1283" s="6" t="n">
        <v>35</v>
      </c>
      <c r="E1283" s="6" t="s">
        <v>176</v>
      </c>
      <c r="F1283" s="6" t="s">
        <v>177</v>
      </c>
      <c r="G1283" s="26" t="n">
        <v>46047</v>
      </c>
      <c r="H1283" s="6" t="s">
        <v>78</v>
      </c>
      <c r="I1283" s="26" t="n">
        <f aca="false">_xlfn.MINIFS(Transaction!$C$2:$C$8421,Transaction!$B$2:$B$8421,A1283)</f>
        <v>46131</v>
      </c>
      <c r="J1283" s="26" t="n">
        <f aca="false">_xlfn.MAXIFS(Transaction!$C$2:$C$8421,Transaction!$B$2:$B$8421,A1283)</f>
        <v>46131</v>
      </c>
      <c r="K1283" s="6" t="n">
        <f aca="false">COUNTIF(Transaction!$B$2:$B$8421,A1283)</f>
        <v>1</v>
      </c>
      <c r="L1283" s="10" t="n">
        <f aca="false">SUMIF(Transaction!$B$2:$B$8421,A1283,Transaction!$H$2:$H$8421)</f>
        <v>1937</v>
      </c>
      <c r="M1283" s="6" t="n">
        <f aca="false">Summary!$B$3-J1283</f>
        <v>135</v>
      </c>
      <c r="N1283" s="6" t="str">
        <f aca="false">IF(K1283&gt;1,"Yes","No")</f>
        <v>No</v>
      </c>
      <c r="O1283" s="6" t="s">
        <v>48</v>
      </c>
    </row>
    <row r="1284" customFormat="false" ht="15" hidden="false" customHeight="false" outlineLevel="0" collapsed="false">
      <c r="A1284" s="6" t="s">
        <v>2677</v>
      </c>
      <c r="B1284" s="6" t="s">
        <v>2678</v>
      </c>
      <c r="C1284" s="6" t="s">
        <v>75</v>
      </c>
      <c r="D1284" s="6" t="n">
        <v>27</v>
      </c>
      <c r="E1284" s="6" t="s">
        <v>76</v>
      </c>
      <c r="F1284" s="6" t="s">
        <v>77</v>
      </c>
      <c r="G1284" s="26" t="n">
        <v>46047</v>
      </c>
      <c r="H1284" s="6" t="s">
        <v>78</v>
      </c>
      <c r="I1284" s="26" t="n">
        <f aca="false">_xlfn.MINIFS(Transaction!$C$2:$C$8421,Transaction!$B$2:$B$8421,A1284)</f>
        <v>46066</v>
      </c>
      <c r="J1284" s="26" t="n">
        <f aca="false">_xlfn.MAXIFS(Transaction!$C$2:$C$8421,Transaction!$B$2:$B$8421,A1284)</f>
        <v>46174</v>
      </c>
      <c r="K1284" s="6" t="n">
        <f aca="false">COUNTIF(Transaction!$B$2:$B$8421,A1284)</f>
        <v>4</v>
      </c>
      <c r="L1284" s="10" t="n">
        <f aca="false">SUMIF(Transaction!$B$2:$B$8421,A1284,Transaction!$H$2:$H$8421)</f>
        <v>9765</v>
      </c>
      <c r="M1284" s="6" t="n">
        <f aca="false">Summary!$B$3-J1284</f>
        <v>92</v>
      </c>
      <c r="N1284" s="6" t="str">
        <f aca="false">IF(K1284&gt;1,"Yes","No")</f>
        <v>Yes</v>
      </c>
      <c r="O1284" s="6" t="s">
        <v>46</v>
      </c>
    </row>
    <row r="1285" customFormat="false" ht="15" hidden="false" customHeight="false" outlineLevel="0" collapsed="false">
      <c r="A1285" s="6" t="s">
        <v>2679</v>
      </c>
      <c r="B1285" s="6" t="s">
        <v>2680</v>
      </c>
      <c r="C1285" s="6" t="s">
        <v>85</v>
      </c>
      <c r="D1285" s="6" t="n">
        <v>35</v>
      </c>
      <c r="E1285" s="6" t="s">
        <v>76</v>
      </c>
      <c r="F1285" s="6" t="s">
        <v>77</v>
      </c>
      <c r="G1285" s="26" t="n">
        <v>46083</v>
      </c>
      <c r="H1285" s="6" t="s">
        <v>123</v>
      </c>
      <c r="I1285" s="26" t="n">
        <f aca="false">_xlfn.MINIFS(Transaction!$C$2:$C$8421,Transaction!$B$2:$B$8421,A1285)</f>
        <v>46165</v>
      </c>
      <c r="J1285" s="26" t="n">
        <f aca="false">_xlfn.MAXIFS(Transaction!$C$2:$C$8421,Transaction!$B$2:$B$8421,A1285)</f>
        <v>46165</v>
      </c>
      <c r="K1285" s="6" t="n">
        <f aca="false">COUNTIF(Transaction!$B$2:$B$8421,A1285)</f>
        <v>1</v>
      </c>
      <c r="L1285" s="10" t="n">
        <f aca="false">SUMIF(Transaction!$B$2:$B$8421,A1285,Transaction!$H$2:$H$8421)</f>
        <v>2202</v>
      </c>
      <c r="M1285" s="6" t="n">
        <f aca="false">Summary!$B$3-J1285</f>
        <v>101</v>
      </c>
      <c r="N1285" s="6" t="str">
        <f aca="false">IF(K1285&gt;1,"Yes","No")</f>
        <v>No</v>
      </c>
      <c r="O1285" s="6" t="s">
        <v>48</v>
      </c>
    </row>
    <row r="1286" customFormat="false" ht="15" hidden="false" customHeight="false" outlineLevel="0" collapsed="false">
      <c r="A1286" s="6" t="s">
        <v>2681</v>
      </c>
      <c r="B1286" s="6" t="s">
        <v>2682</v>
      </c>
      <c r="C1286" s="6" t="s">
        <v>85</v>
      </c>
      <c r="D1286" s="6" t="n">
        <v>32</v>
      </c>
      <c r="E1286" s="6" t="s">
        <v>95</v>
      </c>
      <c r="F1286" s="6" t="s">
        <v>95</v>
      </c>
      <c r="G1286" s="26" t="n">
        <v>46147</v>
      </c>
      <c r="H1286" s="6" t="s">
        <v>115</v>
      </c>
      <c r="I1286" s="26" t="n">
        <f aca="false">_xlfn.MINIFS(Transaction!$C$2:$C$8421,Transaction!$B$2:$B$8421,A1286)</f>
        <v>46186</v>
      </c>
      <c r="J1286" s="26" t="n">
        <f aca="false">_xlfn.MAXIFS(Transaction!$C$2:$C$8421,Transaction!$B$2:$B$8421,A1286)</f>
        <v>46186</v>
      </c>
      <c r="K1286" s="6" t="n">
        <f aca="false">COUNTIF(Transaction!$B$2:$B$8421,A1286)</f>
        <v>1</v>
      </c>
      <c r="L1286" s="10" t="n">
        <f aca="false">SUMIF(Transaction!$B$2:$B$8421,A1286,Transaction!$H$2:$H$8421)</f>
        <v>1118</v>
      </c>
      <c r="M1286" s="6" t="n">
        <f aca="false">Summary!$B$3-J1286</f>
        <v>80</v>
      </c>
      <c r="N1286" s="6" t="str">
        <f aca="false">IF(K1286&gt;1,"Yes","No")</f>
        <v>No</v>
      </c>
      <c r="O1286" s="6" t="s">
        <v>47</v>
      </c>
    </row>
    <row r="1287" customFormat="false" ht="15" hidden="false" customHeight="false" outlineLevel="0" collapsed="false">
      <c r="A1287" s="6" t="s">
        <v>2683</v>
      </c>
      <c r="B1287" s="6" t="s">
        <v>2684</v>
      </c>
      <c r="C1287" s="6" t="s">
        <v>85</v>
      </c>
      <c r="D1287" s="6" t="n">
        <v>33</v>
      </c>
      <c r="E1287" s="6" t="s">
        <v>134</v>
      </c>
      <c r="F1287" s="6" t="s">
        <v>135</v>
      </c>
      <c r="G1287" s="26" t="n">
        <v>46017</v>
      </c>
      <c r="H1287" s="6" t="s">
        <v>78</v>
      </c>
      <c r="I1287" s="26" t="n">
        <f aca="false">_xlfn.MINIFS(Transaction!$C$2:$C$8421,Transaction!$B$2:$B$8421,A1287)</f>
        <v>46069</v>
      </c>
      <c r="J1287" s="26" t="n">
        <f aca="false">_xlfn.MAXIFS(Transaction!$C$2:$C$8421,Transaction!$B$2:$B$8421,A1287)</f>
        <v>46265</v>
      </c>
      <c r="K1287" s="6" t="n">
        <f aca="false">COUNTIF(Transaction!$B$2:$B$8421,A1287)</f>
        <v>10</v>
      </c>
      <c r="L1287" s="10" t="n">
        <f aca="false">SUMIF(Transaction!$B$2:$B$8421,A1287,Transaction!$H$2:$H$8421)</f>
        <v>31779</v>
      </c>
      <c r="M1287" s="6" t="n">
        <f aca="false">Summary!$B$3-J1287</f>
        <v>1</v>
      </c>
      <c r="N1287" s="6" t="str">
        <f aca="false">IF(K1287&gt;1,"Yes","No")</f>
        <v>Yes</v>
      </c>
      <c r="O1287" s="6" t="s">
        <v>45</v>
      </c>
    </row>
    <row r="1288" customFormat="false" ht="15" hidden="false" customHeight="false" outlineLevel="0" collapsed="false">
      <c r="A1288" s="6" t="s">
        <v>2685</v>
      </c>
      <c r="B1288" s="6" t="s">
        <v>2686</v>
      </c>
      <c r="C1288" s="6" t="s">
        <v>85</v>
      </c>
      <c r="D1288" s="6" t="n">
        <v>30</v>
      </c>
      <c r="E1288" s="6" t="s">
        <v>91</v>
      </c>
      <c r="F1288" s="6" t="s">
        <v>77</v>
      </c>
      <c r="G1288" s="26" t="n">
        <v>46052</v>
      </c>
      <c r="H1288" s="6" t="s">
        <v>102</v>
      </c>
      <c r="I1288" s="26" t="n">
        <f aca="false">_xlfn.MINIFS(Transaction!$C$2:$C$8421,Transaction!$B$2:$B$8421,A1288)</f>
        <v>46066</v>
      </c>
      <c r="J1288" s="26" t="n">
        <f aca="false">_xlfn.MAXIFS(Transaction!$C$2:$C$8421,Transaction!$B$2:$B$8421,A1288)</f>
        <v>46180</v>
      </c>
      <c r="K1288" s="6" t="n">
        <f aca="false">COUNTIF(Transaction!$B$2:$B$8421,A1288)</f>
        <v>6</v>
      </c>
      <c r="L1288" s="10" t="n">
        <f aca="false">SUMIF(Transaction!$B$2:$B$8421,A1288,Transaction!$H$2:$H$8421)</f>
        <v>41411</v>
      </c>
      <c r="M1288" s="6" t="n">
        <f aca="false">Summary!$B$3-J1288</f>
        <v>86</v>
      </c>
      <c r="N1288" s="6" t="str">
        <f aca="false">IF(K1288&gt;1,"Yes","No")</f>
        <v>Yes</v>
      </c>
      <c r="O1288" s="6" t="s">
        <v>46</v>
      </c>
    </row>
    <row r="1289" customFormat="false" ht="15" hidden="false" customHeight="false" outlineLevel="0" collapsed="false">
      <c r="A1289" s="6" t="s">
        <v>2687</v>
      </c>
      <c r="B1289" s="6" t="s">
        <v>2688</v>
      </c>
      <c r="C1289" s="6" t="s">
        <v>75</v>
      </c>
      <c r="D1289" s="6" t="n">
        <v>31</v>
      </c>
      <c r="E1289" s="6" t="s">
        <v>76</v>
      </c>
      <c r="F1289" s="6" t="s">
        <v>77</v>
      </c>
      <c r="G1289" s="26" t="n">
        <v>46036</v>
      </c>
      <c r="H1289" s="6" t="s">
        <v>115</v>
      </c>
      <c r="I1289" s="26" t="n">
        <f aca="false">_xlfn.MINIFS(Transaction!$C$2:$C$8421,Transaction!$B$2:$B$8421,A1289)</f>
        <v>46126</v>
      </c>
      <c r="J1289" s="26" t="n">
        <f aca="false">_xlfn.MAXIFS(Transaction!$C$2:$C$8421,Transaction!$B$2:$B$8421,A1289)</f>
        <v>46229</v>
      </c>
      <c r="K1289" s="6" t="n">
        <f aca="false">COUNTIF(Transaction!$B$2:$B$8421,A1289)</f>
        <v>4</v>
      </c>
      <c r="L1289" s="10" t="n">
        <f aca="false">SUMIF(Transaction!$B$2:$B$8421,A1289,Transaction!$H$2:$H$8421)</f>
        <v>3893</v>
      </c>
      <c r="M1289" s="6" t="n">
        <f aca="false">Summary!$B$3-J1289</f>
        <v>37</v>
      </c>
      <c r="N1289" s="6" t="str">
        <f aca="false">IF(K1289&gt;1,"Yes","No")</f>
        <v>Yes</v>
      </c>
      <c r="O1289" s="6" t="s">
        <v>46</v>
      </c>
    </row>
    <row r="1290" customFormat="false" ht="15" hidden="false" customHeight="false" outlineLevel="0" collapsed="false">
      <c r="A1290" s="6" t="s">
        <v>2689</v>
      </c>
      <c r="B1290" s="6" t="s">
        <v>2690</v>
      </c>
      <c r="C1290" s="6" t="s">
        <v>85</v>
      </c>
      <c r="D1290" s="6" t="n">
        <v>25</v>
      </c>
      <c r="E1290" s="6" t="s">
        <v>86</v>
      </c>
      <c r="F1290" s="6" t="s">
        <v>87</v>
      </c>
      <c r="G1290" s="26" t="n">
        <v>46024</v>
      </c>
      <c r="H1290" s="6" t="s">
        <v>115</v>
      </c>
      <c r="I1290" s="26" t="n">
        <f aca="false">_xlfn.MINIFS(Transaction!$C$2:$C$8421,Transaction!$B$2:$B$8421,A1290)</f>
        <v>46102</v>
      </c>
      <c r="J1290" s="26" t="n">
        <f aca="false">_xlfn.MAXIFS(Transaction!$C$2:$C$8421,Transaction!$B$2:$B$8421,A1290)</f>
        <v>46197</v>
      </c>
      <c r="K1290" s="6" t="n">
        <f aca="false">COUNTIF(Transaction!$B$2:$B$8421,A1290)</f>
        <v>3</v>
      </c>
      <c r="L1290" s="10" t="n">
        <f aca="false">SUMIF(Transaction!$B$2:$B$8421,A1290,Transaction!$H$2:$H$8421)</f>
        <v>5743</v>
      </c>
      <c r="M1290" s="6" t="n">
        <f aca="false">Summary!$B$3-J1290</f>
        <v>69</v>
      </c>
      <c r="N1290" s="6" t="str">
        <f aca="false">IF(K1290&gt;1,"Yes","No")</f>
        <v>Yes</v>
      </c>
      <c r="O1290" s="6" t="s">
        <v>46</v>
      </c>
    </row>
    <row r="1291" customFormat="false" ht="15" hidden="false" customHeight="false" outlineLevel="0" collapsed="false">
      <c r="A1291" s="6" t="s">
        <v>2691</v>
      </c>
      <c r="B1291" s="6" t="s">
        <v>2692</v>
      </c>
      <c r="C1291" s="6" t="s">
        <v>85</v>
      </c>
      <c r="D1291" s="6" t="n">
        <v>61</v>
      </c>
      <c r="E1291" s="6" t="s">
        <v>91</v>
      </c>
      <c r="F1291" s="6" t="s">
        <v>77</v>
      </c>
      <c r="G1291" s="26" t="n">
        <v>45997</v>
      </c>
      <c r="H1291" s="6" t="s">
        <v>78</v>
      </c>
      <c r="I1291" s="26" t="n">
        <f aca="false">_xlfn.MINIFS(Transaction!$C$2:$C$8421,Transaction!$B$2:$B$8421,A1291)</f>
        <v>46065</v>
      </c>
      <c r="J1291" s="26" t="n">
        <f aca="false">_xlfn.MAXIFS(Transaction!$C$2:$C$8421,Transaction!$B$2:$B$8421,A1291)</f>
        <v>46245</v>
      </c>
      <c r="K1291" s="6" t="n">
        <f aca="false">COUNTIF(Transaction!$B$2:$B$8421,A1291)</f>
        <v>8</v>
      </c>
      <c r="L1291" s="10" t="n">
        <f aca="false">SUMIF(Transaction!$B$2:$B$8421,A1291,Transaction!$H$2:$H$8421)</f>
        <v>22954</v>
      </c>
      <c r="M1291" s="6" t="n">
        <f aca="false">Summary!$B$3-J1291</f>
        <v>21</v>
      </c>
      <c r="N1291" s="6" t="str">
        <f aca="false">IF(K1291&gt;1,"Yes","No")</f>
        <v>Yes</v>
      </c>
      <c r="O1291" s="6" t="s">
        <v>45</v>
      </c>
    </row>
    <row r="1292" customFormat="false" ht="15" hidden="false" customHeight="false" outlineLevel="0" collapsed="false">
      <c r="A1292" s="6" t="s">
        <v>2693</v>
      </c>
      <c r="B1292" s="6" t="s">
        <v>2694</v>
      </c>
      <c r="C1292" s="6" t="s">
        <v>85</v>
      </c>
      <c r="D1292" s="6" t="n">
        <v>58</v>
      </c>
      <c r="E1292" s="6" t="s">
        <v>134</v>
      </c>
      <c r="F1292" s="6" t="s">
        <v>135</v>
      </c>
      <c r="G1292" s="26" t="n">
        <v>46046</v>
      </c>
      <c r="H1292" s="6" t="s">
        <v>115</v>
      </c>
      <c r="I1292" s="26" t="n">
        <f aca="false">_xlfn.MINIFS(Transaction!$C$2:$C$8421,Transaction!$B$2:$B$8421,A1292)</f>
        <v>46048</v>
      </c>
      <c r="J1292" s="26" t="n">
        <f aca="false">_xlfn.MAXIFS(Transaction!$C$2:$C$8421,Transaction!$B$2:$B$8421,A1292)</f>
        <v>46048</v>
      </c>
      <c r="K1292" s="6" t="n">
        <f aca="false">COUNTIF(Transaction!$B$2:$B$8421,A1292)</f>
        <v>1</v>
      </c>
      <c r="L1292" s="10" t="n">
        <f aca="false">SUMIF(Transaction!$B$2:$B$8421,A1292,Transaction!$H$2:$H$8421)</f>
        <v>56087</v>
      </c>
      <c r="M1292" s="6" t="n">
        <f aca="false">Summary!$B$3-J1292</f>
        <v>218</v>
      </c>
      <c r="N1292" s="6" t="str">
        <f aca="false">IF(K1292&gt;1,"Yes","No")</f>
        <v>No</v>
      </c>
      <c r="O1292" s="6" t="s">
        <v>49</v>
      </c>
    </row>
    <row r="1293" customFormat="false" ht="15" hidden="false" customHeight="false" outlineLevel="0" collapsed="false">
      <c r="A1293" s="6" t="s">
        <v>2695</v>
      </c>
      <c r="B1293" s="6" t="s">
        <v>2696</v>
      </c>
      <c r="C1293" s="6" t="s">
        <v>75</v>
      </c>
      <c r="D1293" s="6" t="n">
        <v>33</v>
      </c>
      <c r="E1293" s="6" t="s">
        <v>91</v>
      </c>
      <c r="F1293" s="6" t="s">
        <v>77</v>
      </c>
      <c r="G1293" s="26" t="n">
        <v>46088</v>
      </c>
      <c r="H1293" s="6" t="s">
        <v>115</v>
      </c>
      <c r="I1293" s="26" t="n">
        <f aca="false">_xlfn.MINIFS(Transaction!$C$2:$C$8421,Transaction!$B$2:$B$8421,A1293)</f>
        <v>46171</v>
      </c>
      <c r="J1293" s="26" t="n">
        <f aca="false">_xlfn.MAXIFS(Transaction!$C$2:$C$8421,Transaction!$B$2:$B$8421,A1293)</f>
        <v>46171</v>
      </c>
      <c r="K1293" s="6" t="n">
        <f aca="false">COUNTIF(Transaction!$B$2:$B$8421,A1293)</f>
        <v>1</v>
      </c>
      <c r="L1293" s="10" t="n">
        <f aca="false">SUMIF(Transaction!$B$2:$B$8421,A1293,Transaction!$H$2:$H$8421)</f>
        <v>1016</v>
      </c>
      <c r="M1293" s="6" t="n">
        <f aca="false">Summary!$B$3-J1293</f>
        <v>95</v>
      </c>
      <c r="N1293" s="6" t="str">
        <f aca="false">IF(K1293&gt;1,"Yes","No")</f>
        <v>No</v>
      </c>
      <c r="O1293" s="6" t="s">
        <v>48</v>
      </c>
    </row>
    <row r="1294" customFormat="false" ht="15" hidden="false" customHeight="false" outlineLevel="0" collapsed="false">
      <c r="A1294" s="6" t="s">
        <v>2697</v>
      </c>
      <c r="B1294" s="6" t="s">
        <v>2698</v>
      </c>
      <c r="C1294" s="6" t="s">
        <v>75</v>
      </c>
      <c r="D1294" s="6" t="n">
        <v>39</v>
      </c>
      <c r="E1294" s="6" t="s">
        <v>146</v>
      </c>
      <c r="F1294" s="6" t="s">
        <v>147</v>
      </c>
      <c r="G1294" s="26" t="n">
        <v>46061</v>
      </c>
      <c r="H1294" s="6" t="s">
        <v>102</v>
      </c>
      <c r="I1294" s="26" t="n">
        <f aca="false">_xlfn.MINIFS(Transaction!$C$2:$C$8421,Transaction!$B$2:$B$8421,A1294)</f>
        <v>46067</v>
      </c>
      <c r="J1294" s="26" t="n">
        <f aca="false">_xlfn.MAXIFS(Transaction!$C$2:$C$8421,Transaction!$B$2:$B$8421,A1294)</f>
        <v>46188</v>
      </c>
      <c r="K1294" s="6" t="n">
        <f aca="false">COUNTIF(Transaction!$B$2:$B$8421,A1294)</f>
        <v>4</v>
      </c>
      <c r="L1294" s="10" t="n">
        <f aca="false">SUMIF(Transaction!$B$2:$B$8421,A1294,Transaction!$H$2:$H$8421)</f>
        <v>4308</v>
      </c>
      <c r="M1294" s="6" t="n">
        <f aca="false">Summary!$B$3-J1294</f>
        <v>78</v>
      </c>
      <c r="N1294" s="6" t="str">
        <f aca="false">IF(K1294&gt;1,"Yes","No")</f>
        <v>Yes</v>
      </c>
      <c r="O1294" s="6" t="s">
        <v>46</v>
      </c>
    </row>
    <row r="1295" customFormat="false" ht="15" hidden="false" customHeight="false" outlineLevel="0" collapsed="false">
      <c r="A1295" s="6" t="s">
        <v>2699</v>
      </c>
      <c r="B1295" s="6" t="s">
        <v>2700</v>
      </c>
      <c r="C1295" s="6" t="s">
        <v>75</v>
      </c>
      <c r="D1295" s="6" t="n">
        <v>32</v>
      </c>
      <c r="E1295" s="6" t="s">
        <v>95</v>
      </c>
      <c r="F1295" s="6" t="s">
        <v>95</v>
      </c>
      <c r="G1295" s="26" t="n">
        <v>46232</v>
      </c>
      <c r="H1295" s="6" t="s">
        <v>115</v>
      </c>
      <c r="I1295" s="26" t="n">
        <f aca="false">_xlfn.MINIFS(Transaction!$C$2:$C$8421,Transaction!$B$2:$B$8421,A1295)</f>
        <v>46247</v>
      </c>
      <c r="J1295" s="26" t="n">
        <f aca="false">_xlfn.MAXIFS(Transaction!$C$2:$C$8421,Transaction!$B$2:$B$8421,A1295)</f>
        <v>46247</v>
      </c>
      <c r="K1295" s="6" t="n">
        <f aca="false">COUNTIF(Transaction!$B$2:$B$8421,A1295)</f>
        <v>1</v>
      </c>
      <c r="L1295" s="10" t="n">
        <f aca="false">SUMIF(Transaction!$B$2:$B$8421,A1295,Transaction!$H$2:$H$8421)</f>
        <v>2442</v>
      </c>
      <c r="M1295" s="6" t="n">
        <f aca="false">Summary!$B$3-J1295</f>
        <v>19</v>
      </c>
      <c r="N1295" s="6" t="str">
        <f aca="false">IF(K1295&gt;1,"Yes","No")</f>
        <v>No</v>
      </c>
      <c r="O1295" s="6" t="s">
        <v>47</v>
      </c>
    </row>
    <row r="1296" customFormat="false" ht="15" hidden="false" customHeight="false" outlineLevel="0" collapsed="false">
      <c r="A1296" s="6" t="s">
        <v>2701</v>
      </c>
      <c r="B1296" s="6" t="s">
        <v>2702</v>
      </c>
      <c r="C1296" s="6" t="s">
        <v>85</v>
      </c>
      <c r="D1296" s="6" t="n">
        <v>23</v>
      </c>
      <c r="E1296" s="6" t="s">
        <v>98</v>
      </c>
      <c r="F1296" s="6" t="s">
        <v>99</v>
      </c>
      <c r="G1296" s="26" t="n">
        <v>46148</v>
      </c>
      <c r="H1296" s="6" t="s">
        <v>115</v>
      </c>
      <c r="I1296" s="26" t="n">
        <f aca="false">_xlfn.MINIFS(Transaction!$C$2:$C$8421,Transaction!$B$2:$B$8421,A1296)</f>
        <v>46166</v>
      </c>
      <c r="J1296" s="26" t="n">
        <f aca="false">_xlfn.MAXIFS(Transaction!$C$2:$C$8421,Transaction!$B$2:$B$8421,A1296)</f>
        <v>46244</v>
      </c>
      <c r="K1296" s="6" t="n">
        <f aca="false">COUNTIF(Transaction!$B$2:$B$8421,A1296)</f>
        <v>2</v>
      </c>
      <c r="L1296" s="10" t="n">
        <f aca="false">SUMIF(Transaction!$B$2:$B$8421,A1296,Transaction!$H$2:$H$8421)</f>
        <v>2118</v>
      </c>
      <c r="M1296" s="6" t="n">
        <f aca="false">Summary!$B$3-J1296</f>
        <v>22</v>
      </c>
      <c r="N1296" s="6" t="str">
        <f aca="false">IF(K1296&gt;1,"Yes","No")</f>
        <v>Yes</v>
      </c>
      <c r="O1296" s="6" t="s">
        <v>46</v>
      </c>
    </row>
    <row r="1297" customFormat="false" ht="15" hidden="false" customHeight="false" outlineLevel="0" collapsed="false">
      <c r="A1297" s="6" t="s">
        <v>2703</v>
      </c>
      <c r="B1297" s="6" t="s">
        <v>2704</v>
      </c>
      <c r="C1297" s="6" t="s">
        <v>75</v>
      </c>
      <c r="D1297" s="6" t="n">
        <v>31</v>
      </c>
      <c r="E1297" s="6" t="s">
        <v>321</v>
      </c>
      <c r="F1297" s="6" t="s">
        <v>321</v>
      </c>
      <c r="G1297" s="26" t="n">
        <v>46208</v>
      </c>
      <c r="H1297" s="6" t="s">
        <v>92</v>
      </c>
      <c r="I1297" s="26" t="n">
        <f aca="false">_xlfn.MINIFS(Transaction!$C$2:$C$8421,Transaction!$B$2:$B$8421,A1297)</f>
        <v>46224</v>
      </c>
      <c r="J1297" s="26" t="n">
        <f aca="false">_xlfn.MAXIFS(Transaction!$C$2:$C$8421,Transaction!$B$2:$B$8421,A1297)</f>
        <v>46224</v>
      </c>
      <c r="K1297" s="6" t="n">
        <f aca="false">COUNTIF(Transaction!$B$2:$B$8421,A1297)</f>
        <v>1</v>
      </c>
      <c r="L1297" s="10" t="n">
        <f aca="false">SUMIF(Transaction!$B$2:$B$8421,A1297,Transaction!$H$2:$H$8421)</f>
        <v>977</v>
      </c>
      <c r="M1297" s="6" t="n">
        <f aca="false">Summary!$B$3-J1297</f>
        <v>42</v>
      </c>
      <c r="N1297" s="6" t="str">
        <f aca="false">IF(K1297&gt;1,"Yes","No")</f>
        <v>No</v>
      </c>
      <c r="O1297" s="6" t="s">
        <v>47</v>
      </c>
    </row>
    <row r="1298" customFormat="false" ht="15" hidden="false" customHeight="false" outlineLevel="0" collapsed="false">
      <c r="A1298" s="6" t="s">
        <v>2705</v>
      </c>
      <c r="B1298" s="6" t="s">
        <v>2706</v>
      </c>
      <c r="C1298" s="6" t="s">
        <v>75</v>
      </c>
      <c r="D1298" s="6" t="n">
        <v>62</v>
      </c>
      <c r="E1298" s="6" t="s">
        <v>95</v>
      </c>
      <c r="F1298" s="6" t="s">
        <v>95</v>
      </c>
      <c r="G1298" s="26" t="n">
        <v>46044</v>
      </c>
      <c r="H1298" s="6" t="s">
        <v>78</v>
      </c>
      <c r="I1298" s="26" t="n">
        <f aca="false">_xlfn.MINIFS(Transaction!$C$2:$C$8421,Transaction!$B$2:$B$8421,A1298)</f>
        <v>46051</v>
      </c>
      <c r="J1298" s="26" t="n">
        <f aca="false">_xlfn.MAXIFS(Transaction!$C$2:$C$8421,Transaction!$B$2:$B$8421,A1298)</f>
        <v>46051</v>
      </c>
      <c r="K1298" s="6" t="n">
        <f aca="false">COUNTIF(Transaction!$B$2:$B$8421,A1298)</f>
        <v>1</v>
      </c>
      <c r="L1298" s="10" t="n">
        <f aca="false">SUMIF(Transaction!$B$2:$B$8421,A1298,Transaction!$H$2:$H$8421)</f>
        <v>1630</v>
      </c>
      <c r="M1298" s="6" t="n">
        <f aca="false">Summary!$B$3-J1298</f>
        <v>215</v>
      </c>
      <c r="N1298" s="6" t="str">
        <f aca="false">IF(K1298&gt;1,"Yes","No")</f>
        <v>No</v>
      </c>
      <c r="O1298" s="6" t="s">
        <v>49</v>
      </c>
    </row>
    <row r="1299" customFormat="false" ht="15" hidden="false" customHeight="false" outlineLevel="0" collapsed="false">
      <c r="A1299" s="6" t="s">
        <v>2707</v>
      </c>
      <c r="B1299" s="6" t="s">
        <v>2708</v>
      </c>
      <c r="C1299" s="6" t="s">
        <v>85</v>
      </c>
      <c r="D1299" s="6" t="n">
        <v>34</v>
      </c>
      <c r="E1299" s="6" t="s">
        <v>86</v>
      </c>
      <c r="F1299" s="6" t="s">
        <v>87</v>
      </c>
      <c r="G1299" s="26" t="n">
        <v>46190</v>
      </c>
      <c r="H1299" s="6" t="s">
        <v>78</v>
      </c>
      <c r="I1299" s="26" t="n">
        <f aca="false">_xlfn.MINIFS(Transaction!$C$2:$C$8421,Transaction!$B$2:$B$8421,A1299)</f>
        <v>46234</v>
      </c>
      <c r="J1299" s="26" t="n">
        <f aca="false">_xlfn.MAXIFS(Transaction!$C$2:$C$8421,Transaction!$B$2:$B$8421,A1299)</f>
        <v>46234</v>
      </c>
      <c r="K1299" s="6" t="n">
        <f aca="false">COUNTIF(Transaction!$B$2:$B$8421,A1299)</f>
        <v>1</v>
      </c>
      <c r="L1299" s="10" t="n">
        <f aca="false">SUMIF(Transaction!$B$2:$B$8421,A1299,Transaction!$H$2:$H$8421)</f>
        <v>698</v>
      </c>
      <c r="M1299" s="6" t="n">
        <f aca="false">Summary!$B$3-J1299</f>
        <v>32</v>
      </c>
      <c r="N1299" s="6" t="str">
        <f aca="false">IF(K1299&gt;1,"Yes","No")</f>
        <v>No</v>
      </c>
      <c r="O1299" s="6" t="s">
        <v>47</v>
      </c>
    </row>
    <row r="1300" customFormat="false" ht="15" hidden="false" customHeight="false" outlineLevel="0" collapsed="false">
      <c r="A1300" s="6" t="s">
        <v>2709</v>
      </c>
      <c r="B1300" s="6" t="s">
        <v>2710</v>
      </c>
      <c r="C1300" s="6" t="s">
        <v>85</v>
      </c>
      <c r="D1300" s="6" t="n">
        <v>18</v>
      </c>
      <c r="E1300" s="6" t="s">
        <v>121</v>
      </c>
      <c r="F1300" s="6" t="s">
        <v>122</v>
      </c>
      <c r="G1300" s="26" t="n">
        <v>46080</v>
      </c>
      <c r="H1300" s="6" t="s">
        <v>92</v>
      </c>
      <c r="I1300" s="26" t="n">
        <f aca="false">_xlfn.MINIFS(Transaction!$C$2:$C$8421,Transaction!$B$2:$B$8421,A1300)</f>
        <v>46130</v>
      </c>
      <c r="J1300" s="26" t="n">
        <f aca="false">_xlfn.MAXIFS(Transaction!$C$2:$C$8421,Transaction!$B$2:$B$8421,A1300)</f>
        <v>46130</v>
      </c>
      <c r="K1300" s="6" t="n">
        <f aca="false">COUNTIF(Transaction!$B$2:$B$8421,A1300)</f>
        <v>1</v>
      </c>
      <c r="L1300" s="10" t="n">
        <f aca="false">SUMIF(Transaction!$B$2:$B$8421,A1300,Transaction!$H$2:$H$8421)</f>
        <v>1277</v>
      </c>
      <c r="M1300" s="6" t="n">
        <f aca="false">Summary!$B$3-J1300</f>
        <v>136</v>
      </c>
      <c r="N1300" s="6" t="str">
        <f aca="false">IF(K1300&gt;1,"Yes","No")</f>
        <v>No</v>
      </c>
      <c r="O1300" s="6" t="s">
        <v>48</v>
      </c>
    </row>
    <row r="1301" customFormat="false" ht="15" hidden="false" customHeight="false" outlineLevel="0" collapsed="false">
      <c r="A1301" s="6" t="s">
        <v>2711</v>
      </c>
      <c r="B1301" s="6" t="s">
        <v>2712</v>
      </c>
      <c r="C1301" s="6" t="s">
        <v>75</v>
      </c>
      <c r="D1301" s="6" t="n">
        <v>35</v>
      </c>
      <c r="E1301" s="6" t="s">
        <v>91</v>
      </c>
      <c r="F1301" s="6" t="s">
        <v>77</v>
      </c>
      <c r="G1301" s="26" t="n">
        <v>46182</v>
      </c>
      <c r="H1301" s="6" t="s">
        <v>92</v>
      </c>
      <c r="I1301" s="26" t="n">
        <f aca="false">_xlfn.MINIFS(Transaction!$C$2:$C$8421,Transaction!$B$2:$B$8421,A1301)</f>
        <v>46225</v>
      </c>
      <c r="J1301" s="26" t="n">
        <f aca="false">_xlfn.MAXIFS(Transaction!$C$2:$C$8421,Transaction!$B$2:$B$8421,A1301)</f>
        <v>46225</v>
      </c>
      <c r="K1301" s="6" t="n">
        <f aca="false">COUNTIF(Transaction!$B$2:$B$8421,A1301)</f>
        <v>1</v>
      </c>
      <c r="L1301" s="10" t="n">
        <f aca="false">SUMIF(Transaction!$B$2:$B$8421,A1301,Transaction!$H$2:$H$8421)</f>
        <v>466</v>
      </c>
      <c r="M1301" s="6" t="n">
        <f aca="false">Summary!$B$3-J1301</f>
        <v>41</v>
      </c>
      <c r="N1301" s="6" t="str">
        <f aca="false">IF(K1301&gt;1,"Yes","No")</f>
        <v>No</v>
      </c>
      <c r="O1301" s="6" t="s">
        <v>47</v>
      </c>
    </row>
    <row r="1302" customFormat="false" ht="15" hidden="false" customHeight="false" outlineLevel="0" collapsed="false">
      <c r="A1302" s="6" t="s">
        <v>2713</v>
      </c>
      <c r="B1302" s="6" t="s">
        <v>2714</v>
      </c>
      <c r="C1302" s="6" t="s">
        <v>85</v>
      </c>
      <c r="D1302" s="6" t="n">
        <v>33</v>
      </c>
      <c r="E1302" s="6" t="s">
        <v>134</v>
      </c>
      <c r="F1302" s="6" t="s">
        <v>135</v>
      </c>
      <c r="G1302" s="26" t="n">
        <v>46094</v>
      </c>
      <c r="H1302" s="6" t="s">
        <v>78</v>
      </c>
      <c r="I1302" s="26" t="n">
        <f aca="false">_xlfn.MINIFS(Transaction!$C$2:$C$8421,Transaction!$B$2:$B$8421,A1302)</f>
        <v>46134</v>
      </c>
      <c r="J1302" s="26" t="n">
        <f aca="false">_xlfn.MAXIFS(Transaction!$C$2:$C$8421,Transaction!$B$2:$B$8421,A1302)</f>
        <v>46240</v>
      </c>
      <c r="K1302" s="6" t="n">
        <f aca="false">COUNTIF(Transaction!$B$2:$B$8421,A1302)</f>
        <v>2</v>
      </c>
      <c r="L1302" s="10" t="n">
        <f aca="false">SUMIF(Transaction!$B$2:$B$8421,A1302,Transaction!$H$2:$H$8421)</f>
        <v>8688</v>
      </c>
      <c r="M1302" s="6" t="n">
        <f aca="false">Summary!$B$3-J1302</f>
        <v>26</v>
      </c>
      <c r="N1302" s="6" t="str">
        <f aca="false">IF(K1302&gt;1,"Yes","No")</f>
        <v>Yes</v>
      </c>
      <c r="O1302" s="6" t="s">
        <v>46</v>
      </c>
    </row>
    <row r="1303" customFormat="false" ht="15" hidden="false" customHeight="false" outlineLevel="0" collapsed="false">
      <c r="A1303" s="6" t="s">
        <v>2715</v>
      </c>
      <c r="B1303" s="6" t="s">
        <v>2716</v>
      </c>
      <c r="C1303" s="6" t="s">
        <v>75</v>
      </c>
      <c r="D1303" s="6" t="n">
        <v>50</v>
      </c>
      <c r="E1303" s="6" t="s">
        <v>81</v>
      </c>
      <c r="F1303" s="6" t="s">
        <v>82</v>
      </c>
      <c r="G1303" s="26" t="n">
        <v>46081</v>
      </c>
      <c r="H1303" s="6" t="s">
        <v>115</v>
      </c>
      <c r="I1303" s="26" t="n">
        <f aca="false">_xlfn.MINIFS(Transaction!$C$2:$C$8421,Transaction!$B$2:$B$8421,A1303)</f>
        <v>46148</v>
      </c>
      <c r="J1303" s="26" t="n">
        <f aca="false">_xlfn.MAXIFS(Transaction!$C$2:$C$8421,Transaction!$B$2:$B$8421,A1303)</f>
        <v>46197</v>
      </c>
      <c r="K1303" s="6" t="n">
        <f aca="false">COUNTIF(Transaction!$B$2:$B$8421,A1303)</f>
        <v>4</v>
      </c>
      <c r="L1303" s="10" t="n">
        <f aca="false">SUMIF(Transaction!$B$2:$B$8421,A1303,Transaction!$H$2:$H$8421)</f>
        <v>13811</v>
      </c>
      <c r="M1303" s="6" t="n">
        <f aca="false">Summary!$B$3-J1303</f>
        <v>69</v>
      </c>
      <c r="N1303" s="6" t="str">
        <f aca="false">IF(K1303&gt;1,"Yes","No")</f>
        <v>Yes</v>
      </c>
      <c r="O1303" s="6" t="s">
        <v>46</v>
      </c>
    </row>
    <row r="1304" customFormat="false" ht="15" hidden="false" customHeight="false" outlineLevel="0" collapsed="false">
      <c r="A1304" s="6" t="s">
        <v>2717</v>
      </c>
      <c r="B1304" s="6" t="s">
        <v>2718</v>
      </c>
      <c r="C1304" s="6" t="s">
        <v>75</v>
      </c>
      <c r="D1304" s="6" t="n">
        <v>35</v>
      </c>
      <c r="E1304" s="6" t="s">
        <v>237</v>
      </c>
      <c r="F1304" s="6" t="s">
        <v>87</v>
      </c>
      <c r="G1304" s="26" t="n">
        <v>46016</v>
      </c>
      <c r="H1304" s="6" t="s">
        <v>115</v>
      </c>
      <c r="I1304" s="26" t="n">
        <f aca="false">_xlfn.MINIFS(Transaction!$C$2:$C$8421,Transaction!$B$2:$B$8421,A1304)</f>
        <v>46078</v>
      </c>
      <c r="J1304" s="26" t="n">
        <f aca="false">_xlfn.MAXIFS(Transaction!$C$2:$C$8421,Transaction!$B$2:$B$8421,A1304)</f>
        <v>46078</v>
      </c>
      <c r="K1304" s="6" t="n">
        <f aca="false">COUNTIF(Transaction!$B$2:$B$8421,A1304)</f>
        <v>1</v>
      </c>
      <c r="L1304" s="10" t="n">
        <f aca="false">SUMIF(Transaction!$B$2:$B$8421,A1304,Transaction!$H$2:$H$8421)</f>
        <v>1676</v>
      </c>
      <c r="M1304" s="6" t="n">
        <f aca="false">Summary!$B$3-J1304</f>
        <v>188</v>
      </c>
      <c r="N1304" s="6" t="str">
        <f aca="false">IF(K1304&gt;1,"Yes","No")</f>
        <v>No</v>
      </c>
      <c r="O1304" s="6" t="s">
        <v>49</v>
      </c>
    </row>
    <row r="1305" customFormat="false" ht="15" hidden="false" customHeight="false" outlineLevel="0" collapsed="false">
      <c r="A1305" s="6" t="s">
        <v>2719</v>
      </c>
      <c r="B1305" s="6" t="s">
        <v>2720</v>
      </c>
      <c r="C1305" s="6" t="s">
        <v>75</v>
      </c>
      <c r="D1305" s="6" t="n">
        <v>26</v>
      </c>
      <c r="E1305" s="6" t="s">
        <v>81</v>
      </c>
      <c r="F1305" s="6" t="s">
        <v>82</v>
      </c>
      <c r="G1305" s="26" t="n">
        <v>46203</v>
      </c>
      <c r="H1305" s="6" t="s">
        <v>92</v>
      </c>
      <c r="I1305" s="26" t="n">
        <f aca="false">_xlfn.MINIFS(Transaction!$C$2:$C$8421,Transaction!$B$2:$B$8421,A1305)</f>
        <v>46235</v>
      </c>
      <c r="J1305" s="26" t="n">
        <f aca="false">_xlfn.MAXIFS(Transaction!$C$2:$C$8421,Transaction!$B$2:$B$8421,A1305)</f>
        <v>46235</v>
      </c>
      <c r="K1305" s="6" t="n">
        <f aca="false">COUNTIF(Transaction!$B$2:$B$8421,A1305)</f>
        <v>1</v>
      </c>
      <c r="L1305" s="10" t="n">
        <f aca="false">SUMIF(Transaction!$B$2:$B$8421,A1305,Transaction!$H$2:$H$8421)</f>
        <v>1320</v>
      </c>
      <c r="M1305" s="6" t="n">
        <f aca="false">Summary!$B$3-J1305</f>
        <v>31</v>
      </c>
      <c r="N1305" s="6" t="str">
        <f aca="false">IF(K1305&gt;1,"Yes","No")</f>
        <v>No</v>
      </c>
      <c r="O1305" s="6" t="s">
        <v>47</v>
      </c>
    </row>
    <row r="1306" customFormat="false" ht="15" hidden="false" customHeight="false" outlineLevel="0" collapsed="false">
      <c r="A1306" s="6" t="s">
        <v>2721</v>
      </c>
      <c r="B1306" s="6" t="s">
        <v>2722</v>
      </c>
      <c r="C1306" s="6" t="s">
        <v>85</v>
      </c>
      <c r="D1306" s="6" t="n">
        <v>24</v>
      </c>
      <c r="E1306" s="6" t="s">
        <v>81</v>
      </c>
      <c r="F1306" s="6" t="s">
        <v>82</v>
      </c>
      <c r="G1306" s="26" t="n">
        <v>46017</v>
      </c>
      <c r="H1306" s="6" t="s">
        <v>78</v>
      </c>
      <c r="I1306" s="26" t="n">
        <f aca="false">_xlfn.MINIFS(Transaction!$C$2:$C$8421,Transaction!$B$2:$B$8421,A1306)</f>
        <v>46085</v>
      </c>
      <c r="J1306" s="26" t="n">
        <f aca="false">_xlfn.MAXIFS(Transaction!$C$2:$C$8421,Transaction!$B$2:$B$8421,A1306)</f>
        <v>46085</v>
      </c>
      <c r="K1306" s="6" t="n">
        <f aca="false">COUNTIF(Transaction!$B$2:$B$8421,A1306)</f>
        <v>1</v>
      </c>
      <c r="L1306" s="10" t="n">
        <f aca="false">SUMIF(Transaction!$B$2:$B$8421,A1306,Transaction!$H$2:$H$8421)</f>
        <v>1602</v>
      </c>
      <c r="M1306" s="6" t="n">
        <f aca="false">Summary!$B$3-J1306</f>
        <v>181</v>
      </c>
      <c r="N1306" s="6" t="str">
        <f aca="false">IF(K1306&gt;1,"Yes","No")</f>
        <v>No</v>
      </c>
      <c r="O1306" s="6" t="s">
        <v>49</v>
      </c>
    </row>
    <row r="1307" customFormat="false" ht="15" hidden="false" customHeight="false" outlineLevel="0" collapsed="false">
      <c r="A1307" s="6" t="s">
        <v>2723</v>
      </c>
      <c r="B1307" s="6" t="s">
        <v>2724</v>
      </c>
      <c r="C1307" s="6" t="s">
        <v>85</v>
      </c>
      <c r="D1307" s="6" t="n">
        <v>23</v>
      </c>
      <c r="E1307" s="6" t="s">
        <v>86</v>
      </c>
      <c r="F1307" s="6" t="s">
        <v>87</v>
      </c>
      <c r="G1307" s="26" t="n">
        <v>46016</v>
      </c>
      <c r="H1307" s="6" t="s">
        <v>78</v>
      </c>
      <c r="I1307" s="26" t="n">
        <f aca="false">_xlfn.MINIFS(Transaction!$C$2:$C$8421,Transaction!$B$2:$B$8421,A1307)</f>
        <v>46062</v>
      </c>
      <c r="J1307" s="26" t="n">
        <f aca="false">_xlfn.MAXIFS(Transaction!$C$2:$C$8421,Transaction!$B$2:$B$8421,A1307)</f>
        <v>46225</v>
      </c>
      <c r="K1307" s="6" t="n">
        <f aca="false">COUNTIF(Transaction!$B$2:$B$8421,A1307)</f>
        <v>4</v>
      </c>
      <c r="L1307" s="10" t="n">
        <f aca="false">SUMIF(Transaction!$B$2:$B$8421,A1307,Transaction!$H$2:$H$8421)</f>
        <v>12330</v>
      </c>
      <c r="M1307" s="6" t="n">
        <f aca="false">Summary!$B$3-J1307</f>
        <v>41</v>
      </c>
      <c r="N1307" s="6" t="str">
        <f aca="false">IF(K1307&gt;1,"Yes","No")</f>
        <v>Yes</v>
      </c>
      <c r="O1307" s="6" t="s">
        <v>46</v>
      </c>
    </row>
    <row r="1308" customFormat="false" ht="15" hidden="false" customHeight="false" outlineLevel="0" collapsed="false">
      <c r="A1308" s="6" t="s">
        <v>2725</v>
      </c>
      <c r="B1308" s="6" t="s">
        <v>2726</v>
      </c>
      <c r="C1308" s="6" t="s">
        <v>85</v>
      </c>
      <c r="D1308" s="6" t="n">
        <v>36</v>
      </c>
      <c r="E1308" s="6" t="s">
        <v>91</v>
      </c>
      <c r="F1308" s="6" t="s">
        <v>77</v>
      </c>
      <c r="G1308" s="26" t="n">
        <v>46037</v>
      </c>
      <c r="H1308" s="6" t="s">
        <v>102</v>
      </c>
      <c r="I1308" s="26" t="n">
        <f aca="false">_xlfn.MINIFS(Transaction!$C$2:$C$8421,Transaction!$B$2:$B$8421,A1308)</f>
        <v>46094</v>
      </c>
      <c r="J1308" s="26" t="n">
        <f aca="false">_xlfn.MAXIFS(Transaction!$C$2:$C$8421,Transaction!$B$2:$B$8421,A1308)</f>
        <v>46094</v>
      </c>
      <c r="K1308" s="6" t="n">
        <f aca="false">COUNTIF(Transaction!$B$2:$B$8421,A1308)</f>
        <v>1</v>
      </c>
      <c r="L1308" s="10" t="n">
        <f aca="false">SUMIF(Transaction!$B$2:$B$8421,A1308,Transaction!$H$2:$H$8421)</f>
        <v>3961</v>
      </c>
      <c r="M1308" s="6" t="n">
        <f aca="false">Summary!$B$3-J1308</f>
        <v>172</v>
      </c>
      <c r="N1308" s="6" t="str">
        <f aca="false">IF(K1308&gt;1,"Yes","No")</f>
        <v>No</v>
      </c>
      <c r="O1308" s="6" t="s">
        <v>49</v>
      </c>
    </row>
    <row r="1309" customFormat="false" ht="15" hidden="false" customHeight="false" outlineLevel="0" collapsed="false">
      <c r="A1309" s="6" t="s">
        <v>2727</v>
      </c>
      <c r="B1309" s="6" t="s">
        <v>2728</v>
      </c>
      <c r="C1309" s="6" t="s">
        <v>85</v>
      </c>
      <c r="D1309" s="6" t="n">
        <v>19</v>
      </c>
      <c r="E1309" s="6" t="s">
        <v>176</v>
      </c>
      <c r="F1309" s="6" t="s">
        <v>177</v>
      </c>
      <c r="G1309" s="26" t="n">
        <v>46149</v>
      </c>
      <c r="H1309" s="6" t="s">
        <v>102</v>
      </c>
      <c r="I1309" s="26" t="n">
        <f aca="false">_xlfn.MINIFS(Transaction!$C$2:$C$8421,Transaction!$B$2:$B$8421,A1309)</f>
        <v>46160</v>
      </c>
      <c r="J1309" s="26" t="n">
        <f aca="false">_xlfn.MAXIFS(Transaction!$C$2:$C$8421,Transaction!$B$2:$B$8421,A1309)</f>
        <v>46160</v>
      </c>
      <c r="K1309" s="6" t="n">
        <f aca="false">COUNTIF(Transaction!$B$2:$B$8421,A1309)</f>
        <v>1</v>
      </c>
      <c r="L1309" s="10" t="n">
        <f aca="false">SUMIF(Transaction!$B$2:$B$8421,A1309,Transaction!$H$2:$H$8421)</f>
        <v>3915</v>
      </c>
      <c r="M1309" s="6" t="n">
        <f aca="false">Summary!$B$3-J1309</f>
        <v>106</v>
      </c>
      <c r="N1309" s="6" t="str">
        <f aca="false">IF(K1309&gt;1,"Yes","No")</f>
        <v>No</v>
      </c>
      <c r="O1309" s="6" t="s">
        <v>48</v>
      </c>
    </row>
    <row r="1310" customFormat="false" ht="15" hidden="false" customHeight="false" outlineLevel="0" collapsed="false">
      <c r="A1310" s="6" t="s">
        <v>2729</v>
      </c>
      <c r="B1310" s="6" t="s">
        <v>2730</v>
      </c>
      <c r="C1310" s="6" t="s">
        <v>85</v>
      </c>
      <c r="D1310" s="6" t="n">
        <v>25</v>
      </c>
      <c r="E1310" s="6" t="s">
        <v>105</v>
      </c>
      <c r="F1310" s="6" t="s">
        <v>106</v>
      </c>
      <c r="G1310" s="26" t="n">
        <v>46139</v>
      </c>
      <c r="H1310" s="6" t="s">
        <v>115</v>
      </c>
      <c r="I1310" s="26" t="n">
        <f aca="false">_xlfn.MINIFS(Transaction!$C$2:$C$8421,Transaction!$B$2:$B$8421,A1310)</f>
        <v>46198</v>
      </c>
      <c r="J1310" s="26" t="n">
        <f aca="false">_xlfn.MAXIFS(Transaction!$C$2:$C$8421,Transaction!$B$2:$B$8421,A1310)</f>
        <v>46198</v>
      </c>
      <c r="K1310" s="6" t="n">
        <f aca="false">COUNTIF(Transaction!$B$2:$B$8421,A1310)</f>
        <v>1</v>
      </c>
      <c r="L1310" s="10" t="n">
        <f aca="false">SUMIF(Transaction!$B$2:$B$8421,A1310,Transaction!$H$2:$H$8421)</f>
        <v>9686</v>
      </c>
      <c r="M1310" s="6" t="n">
        <f aca="false">Summary!$B$3-J1310</f>
        <v>68</v>
      </c>
      <c r="N1310" s="6" t="str">
        <f aca="false">IF(K1310&gt;1,"Yes","No")</f>
        <v>No</v>
      </c>
      <c r="O1310" s="6" t="s">
        <v>47</v>
      </c>
    </row>
    <row r="1311" customFormat="false" ht="15" hidden="false" customHeight="false" outlineLevel="0" collapsed="false">
      <c r="A1311" s="6" t="s">
        <v>2731</v>
      </c>
      <c r="B1311" s="6" t="s">
        <v>2732</v>
      </c>
      <c r="C1311" s="6" t="s">
        <v>85</v>
      </c>
      <c r="D1311" s="6" t="n">
        <v>33</v>
      </c>
      <c r="E1311" s="6" t="s">
        <v>81</v>
      </c>
      <c r="F1311" s="6" t="s">
        <v>82</v>
      </c>
      <c r="G1311" s="26" t="n">
        <v>46098</v>
      </c>
      <c r="H1311" s="6" t="s">
        <v>78</v>
      </c>
      <c r="I1311" s="26" t="n">
        <f aca="false">_xlfn.MINIFS(Transaction!$C$2:$C$8421,Transaction!$B$2:$B$8421,A1311)</f>
        <v>46100</v>
      </c>
      <c r="J1311" s="26" t="n">
        <f aca="false">_xlfn.MAXIFS(Transaction!$C$2:$C$8421,Transaction!$B$2:$B$8421,A1311)</f>
        <v>46100</v>
      </c>
      <c r="K1311" s="6" t="n">
        <f aca="false">COUNTIF(Transaction!$B$2:$B$8421,A1311)</f>
        <v>1</v>
      </c>
      <c r="L1311" s="10" t="n">
        <f aca="false">SUMIF(Transaction!$B$2:$B$8421,A1311,Transaction!$H$2:$H$8421)</f>
        <v>5406</v>
      </c>
      <c r="M1311" s="6" t="n">
        <f aca="false">Summary!$B$3-J1311</f>
        <v>166</v>
      </c>
      <c r="N1311" s="6" t="str">
        <f aca="false">IF(K1311&gt;1,"Yes","No")</f>
        <v>No</v>
      </c>
      <c r="O1311" s="6" t="s">
        <v>49</v>
      </c>
    </row>
    <row r="1312" customFormat="false" ht="15" hidden="false" customHeight="false" outlineLevel="0" collapsed="false">
      <c r="A1312" s="6" t="s">
        <v>2733</v>
      </c>
      <c r="B1312" s="6" t="s">
        <v>2734</v>
      </c>
      <c r="C1312" s="6" t="s">
        <v>85</v>
      </c>
      <c r="D1312" s="6" t="n">
        <v>45</v>
      </c>
      <c r="E1312" s="6" t="s">
        <v>95</v>
      </c>
      <c r="F1312" s="6" t="s">
        <v>95</v>
      </c>
      <c r="G1312" s="26" t="n">
        <v>46062</v>
      </c>
      <c r="H1312" s="6" t="s">
        <v>78</v>
      </c>
      <c r="I1312" s="26" t="n">
        <f aca="false">_xlfn.MINIFS(Transaction!$C$2:$C$8421,Transaction!$B$2:$B$8421,A1312)</f>
        <v>46090</v>
      </c>
      <c r="J1312" s="26" t="n">
        <f aca="false">_xlfn.MAXIFS(Transaction!$C$2:$C$8421,Transaction!$B$2:$B$8421,A1312)</f>
        <v>46090</v>
      </c>
      <c r="K1312" s="6" t="n">
        <f aca="false">COUNTIF(Transaction!$B$2:$B$8421,A1312)</f>
        <v>1</v>
      </c>
      <c r="L1312" s="10" t="n">
        <f aca="false">SUMIF(Transaction!$B$2:$B$8421,A1312,Transaction!$H$2:$H$8421)</f>
        <v>1056</v>
      </c>
      <c r="M1312" s="6" t="n">
        <f aca="false">Summary!$B$3-J1312</f>
        <v>176</v>
      </c>
      <c r="N1312" s="6" t="str">
        <f aca="false">IF(K1312&gt;1,"Yes","No")</f>
        <v>No</v>
      </c>
      <c r="O1312" s="6" t="s">
        <v>49</v>
      </c>
    </row>
    <row r="1313" customFormat="false" ht="15" hidden="false" customHeight="false" outlineLevel="0" collapsed="false">
      <c r="A1313" s="6" t="s">
        <v>2735</v>
      </c>
      <c r="B1313" s="6" t="s">
        <v>2736</v>
      </c>
      <c r="C1313" s="6" t="s">
        <v>85</v>
      </c>
      <c r="D1313" s="6" t="n">
        <v>36</v>
      </c>
      <c r="E1313" s="6" t="s">
        <v>95</v>
      </c>
      <c r="F1313" s="6" t="s">
        <v>95</v>
      </c>
      <c r="G1313" s="26" t="n">
        <v>45978</v>
      </c>
      <c r="H1313" s="6" t="s">
        <v>78</v>
      </c>
      <c r="I1313" s="26" t="n">
        <f aca="false">_xlfn.MINIFS(Transaction!$C$2:$C$8421,Transaction!$B$2:$B$8421,A1313)</f>
        <v>46053</v>
      </c>
      <c r="J1313" s="26" t="n">
        <f aca="false">_xlfn.MAXIFS(Transaction!$C$2:$C$8421,Transaction!$B$2:$B$8421,A1313)</f>
        <v>46255</v>
      </c>
      <c r="K1313" s="6" t="n">
        <f aca="false">COUNTIF(Transaction!$B$2:$B$8421,A1313)</f>
        <v>8</v>
      </c>
      <c r="L1313" s="10" t="n">
        <f aca="false">SUMIF(Transaction!$B$2:$B$8421,A1313,Transaction!$H$2:$H$8421)</f>
        <v>26096</v>
      </c>
      <c r="M1313" s="6" t="n">
        <f aca="false">Summary!$B$3-J1313</f>
        <v>11</v>
      </c>
      <c r="N1313" s="6" t="str">
        <f aca="false">IF(K1313&gt;1,"Yes","No")</f>
        <v>Yes</v>
      </c>
      <c r="O1313" s="6" t="s">
        <v>45</v>
      </c>
    </row>
    <row r="1314" customFormat="false" ht="15" hidden="false" customHeight="false" outlineLevel="0" collapsed="false">
      <c r="A1314" s="6" t="s">
        <v>2737</v>
      </c>
      <c r="B1314" s="6" t="s">
        <v>2738</v>
      </c>
      <c r="C1314" s="6" t="s">
        <v>85</v>
      </c>
      <c r="D1314" s="6" t="n">
        <v>31</v>
      </c>
      <c r="E1314" s="6" t="s">
        <v>121</v>
      </c>
      <c r="F1314" s="6" t="s">
        <v>122</v>
      </c>
      <c r="G1314" s="26" t="n">
        <v>46196</v>
      </c>
      <c r="H1314" s="6" t="s">
        <v>102</v>
      </c>
      <c r="I1314" s="26" t="n">
        <f aca="false">_xlfn.MINIFS(Transaction!$C$2:$C$8421,Transaction!$B$2:$B$8421,A1314)</f>
        <v>46248</v>
      </c>
      <c r="J1314" s="26" t="n">
        <f aca="false">_xlfn.MAXIFS(Transaction!$C$2:$C$8421,Transaction!$B$2:$B$8421,A1314)</f>
        <v>46248</v>
      </c>
      <c r="K1314" s="6" t="n">
        <f aca="false">COUNTIF(Transaction!$B$2:$B$8421,A1314)</f>
        <v>1</v>
      </c>
      <c r="L1314" s="10" t="n">
        <f aca="false">SUMIF(Transaction!$B$2:$B$8421,A1314,Transaction!$H$2:$H$8421)</f>
        <v>5280</v>
      </c>
      <c r="M1314" s="6" t="n">
        <f aca="false">Summary!$B$3-J1314</f>
        <v>18</v>
      </c>
      <c r="N1314" s="6" t="str">
        <f aca="false">IF(K1314&gt;1,"Yes","No")</f>
        <v>No</v>
      </c>
      <c r="O1314" s="6" t="s">
        <v>47</v>
      </c>
    </row>
    <row r="1315" customFormat="false" ht="15" hidden="false" customHeight="false" outlineLevel="0" collapsed="false">
      <c r="A1315" s="6" t="s">
        <v>2739</v>
      </c>
      <c r="B1315" s="6" t="s">
        <v>2740</v>
      </c>
      <c r="C1315" s="6" t="s">
        <v>75</v>
      </c>
      <c r="D1315" s="6" t="n">
        <v>34</v>
      </c>
      <c r="E1315" s="6" t="s">
        <v>76</v>
      </c>
      <c r="F1315" s="6" t="s">
        <v>77</v>
      </c>
      <c r="G1315" s="26" t="n">
        <v>45965</v>
      </c>
      <c r="H1315" s="6" t="s">
        <v>102</v>
      </c>
      <c r="I1315" s="26" t="n">
        <f aca="false">_xlfn.MINIFS(Transaction!$C$2:$C$8421,Transaction!$B$2:$B$8421,A1315)</f>
        <v>46044</v>
      </c>
      <c r="J1315" s="26" t="n">
        <f aca="false">_xlfn.MAXIFS(Transaction!$C$2:$C$8421,Transaction!$B$2:$B$8421,A1315)</f>
        <v>46264</v>
      </c>
      <c r="K1315" s="6" t="n">
        <f aca="false">COUNTIF(Transaction!$B$2:$B$8421,A1315)</f>
        <v>8</v>
      </c>
      <c r="L1315" s="10" t="n">
        <f aca="false">SUMIF(Transaction!$B$2:$B$8421,A1315,Transaction!$H$2:$H$8421)</f>
        <v>24082</v>
      </c>
      <c r="M1315" s="6" t="n">
        <f aca="false">Summary!$B$3-J1315</f>
        <v>2</v>
      </c>
      <c r="N1315" s="6" t="str">
        <f aca="false">IF(K1315&gt;1,"Yes","No")</f>
        <v>Yes</v>
      </c>
      <c r="O1315" s="6" t="s">
        <v>45</v>
      </c>
    </row>
    <row r="1316" customFormat="false" ht="15" hidden="false" customHeight="false" outlineLevel="0" collapsed="false">
      <c r="A1316" s="6" t="s">
        <v>2741</v>
      </c>
      <c r="B1316" s="6" t="s">
        <v>2742</v>
      </c>
      <c r="C1316" s="6" t="s">
        <v>85</v>
      </c>
      <c r="D1316" s="6" t="n">
        <v>41</v>
      </c>
      <c r="E1316" s="6" t="s">
        <v>180</v>
      </c>
      <c r="F1316" s="6" t="s">
        <v>181</v>
      </c>
      <c r="G1316" s="26" t="n">
        <v>46071</v>
      </c>
      <c r="H1316" s="6" t="s">
        <v>78</v>
      </c>
      <c r="I1316" s="26" t="n">
        <f aca="false">_xlfn.MINIFS(Transaction!$C$2:$C$8421,Transaction!$B$2:$B$8421,A1316)</f>
        <v>46089</v>
      </c>
      <c r="J1316" s="26" t="n">
        <f aca="false">_xlfn.MAXIFS(Transaction!$C$2:$C$8421,Transaction!$B$2:$B$8421,A1316)</f>
        <v>46178</v>
      </c>
      <c r="K1316" s="6" t="n">
        <f aca="false">COUNTIF(Transaction!$B$2:$B$8421,A1316)</f>
        <v>7</v>
      </c>
      <c r="L1316" s="10" t="n">
        <f aca="false">SUMIF(Transaction!$B$2:$B$8421,A1316,Transaction!$H$2:$H$8421)</f>
        <v>9770</v>
      </c>
      <c r="M1316" s="6" t="n">
        <f aca="false">Summary!$B$3-J1316</f>
        <v>88</v>
      </c>
      <c r="N1316" s="6" t="str">
        <f aca="false">IF(K1316&gt;1,"Yes","No")</f>
        <v>Yes</v>
      </c>
      <c r="O1316" s="6" t="s">
        <v>46</v>
      </c>
    </row>
    <row r="1317" customFormat="false" ht="15" hidden="false" customHeight="false" outlineLevel="0" collapsed="false">
      <c r="A1317" s="6" t="s">
        <v>2743</v>
      </c>
      <c r="B1317" s="6" t="s">
        <v>2744</v>
      </c>
      <c r="C1317" s="6" t="s">
        <v>85</v>
      </c>
      <c r="D1317" s="6" t="n">
        <v>37</v>
      </c>
      <c r="E1317" s="6" t="s">
        <v>180</v>
      </c>
      <c r="F1317" s="6" t="s">
        <v>181</v>
      </c>
      <c r="G1317" s="26" t="n">
        <v>45955</v>
      </c>
      <c r="H1317" s="6" t="s">
        <v>123</v>
      </c>
      <c r="I1317" s="26" t="n">
        <f aca="false">_xlfn.MINIFS(Transaction!$C$2:$C$8421,Transaction!$B$2:$B$8421,A1317)</f>
        <v>46036</v>
      </c>
      <c r="J1317" s="26" t="n">
        <f aca="false">_xlfn.MAXIFS(Transaction!$C$2:$C$8421,Transaction!$B$2:$B$8421,A1317)</f>
        <v>46256</v>
      </c>
      <c r="K1317" s="6" t="n">
        <f aca="false">COUNTIF(Transaction!$B$2:$B$8421,A1317)</f>
        <v>7</v>
      </c>
      <c r="L1317" s="10" t="n">
        <f aca="false">SUMIF(Transaction!$B$2:$B$8421,A1317,Transaction!$H$2:$H$8421)</f>
        <v>7090</v>
      </c>
      <c r="M1317" s="6" t="n">
        <f aca="false">Summary!$B$3-J1317</f>
        <v>10</v>
      </c>
      <c r="N1317" s="6" t="str">
        <f aca="false">IF(K1317&gt;1,"Yes","No")</f>
        <v>Yes</v>
      </c>
      <c r="O1317" s="6" t="s">
        <v>45</v>
      </c>
    </row>
    <row r="1318" customFormat="false" ht="15" hidden="false" customHeight="false" outlineLevel="0" collapsed="false">
      <c r="A1318" s="6" t="s">
        <v>2745</v>
      </c>
      <c r="B1318" s="6" t="s">
        <v>2746</v>
      </c>
      <c r="C1318" s="6" t="s">
        <v>85</v>
      </c>
      <c r="D1318" s="6" t="n">
        <v>43</v>
      </c>
      <c r="E1318" s="6" t="s">
        <v>118</v>
      </c>
      <c r="F1318" s="6" t="s">
        <v>77</v>
      </c>
      <c r="G1318" s="26" t="n">
        <v>46101</v>
      </c>
      <c r="H1318" s="6" t="s">
        <v>78</v>
      </c>
      <c r="I1318" s="26" t="n">
        <f aca="false">_xlfn.MINIFS(Transaction!$C$2:$C$8421,Transaction!$B$2:$B$8421,A1318)</f>
        <v>46137</v>
      </c>
      <c r="J1318" s="26" t="n">
        <f aca="false">_xlfn.MAXIFS(Transaction!$C$2:$C$8421,Transaction!$B$2:$B$8421,A1318)</f>
        <v>46137</v>
      </c>
      <c r="K1318" s="6" t="n">
        <f aca="false">COUNTIF(Transaction!$B$2:$B$8421,A1318)</f>
        <v>1</v>
      </c>
      <c r="L1318" s="10" t="n">
        <f aca="false">SUMIF(Transaction!$B$2:$B$8421,A1318,Transaction!$H$2:$H$8421)</f>
        <v>195</v>
      </c>
      <c r="M1318" s="6" t="n">
        <f aca="false">Summary!$B$3-J1318</f>
        <v>129</v>
      </c>
      <c r="N1318" s="6" t="str">
        <f aca="false">IF(K1318&gt;1,"Yes","No")</f>
        <v>No</v>
      </c>
      <c r="O1318" s="6" t="s">
        <v>48</v>
      </c>
    </row>
    <row r="1319" customFormat="false" ht="15" hidden="false" customHeight="false" outlineLevel="0" collapsed="false">
      <c r="A1319" s="6" t="s">
        <v>2747</v>
      </c>
      <c r="B1319" s="6" t="s">
        <v>2748</v>
      </c>
      <c r="C1319" s="6" t="s">
        <v>85</v>
      </c>
      <c r="D1319" s="6" t="n">
        <v>42</v>
      </c>
      <c r="E1319" s="6" t="s">
        <v>105</v>
      </c>
      <c r="F1319" s="6" t="s">
        <v>106</v>
      </c>
      <c r="G1319" s="26" t="n">
        <v>45974</v>
      </c>
      <c r="H1319" s="6" t="s">
        <v>123</v>
      </c>
      <c r="I1319" s="26" t="n">
        <f aca="false">_xlfn.MINIFS(Transaction!$C$2:$C$8421,Transaction!$B$2:$B$8421,A1319)</f>
        <v>46049</v>
      </c>
      <c r="J1319" s="26" t="n">
        <f aca="false">_xlfn.MAXIFS(Transaction!$C$2:$C$8421,Transaction!$B$2:$B$8421,A1319)</f>
        <v>46195</v>
      </c>
      <c r="K1319" s="6" t="n">
        <f aca="false">COUNTIF(Transaction!$B$2:$B$8421,A1319)</f>
        <v>4</v>
      </c>
      <c r="L1319" s="10" t="n">
        <f aca="false">SUMIF(Transaction!$B$2:$B$8421,A1319,Transaction!$H$2:$H$8421)</f>
        <v>8183</v>
      </c>
      <c r="M1319" s="6" t="n">
        <f aca="false">Summary!$B$3-J1319</f>
        <v>71</v>
      </c>
      <c r="N1319" s="6" t="str">
        <f aca="false">IF(K1319&gt;1,"Yes","No")</f>
        <v>Yes</v>
      </c>
      <c r="O1319" s="6" t="s">
        <v>46</v>
      </c>
    </row>
    <row r="1320" customFormat="false" ht="15" hidden="false" customHeight="false" outlineLevel="0" collapsed="false">
      <c r="A1320" s="6" t="s">
        <v>2749</v>
      </c>
      <c r="B1320" s="6" t="s">
        <v>2750</v>
      </c>
      <c r="C1320" s="6" t="s">
        <v>85</v>
      </c>
      <c r="D1320" s="6" t="n">
        <v>32</v>
      </c>
      <c r="E1320" s="6" t="s">
        <v>134</v>
      </c>
      <c r="F1320" s="6" t="s">
        <v>135</v>
      </c>
      <c r="G1320" s="26" t="n">
        <v>45986</v>
      </c>
      <c r="H1320" s="6" t="s">
        <v>115</v>
      </c>
      <c r="I1320" s="26" t="n">
        <f aca="false">_xlfn.MINIFS(Transaction!$C$2:$C$8421,Transaction!$B$2:$B$8421,A1320)</f>
        <v>46075</v>
      </c>
      <c r="J1320" s="26" t="n">
        <f aca="false">_xlfn.MAXIFS(Transaction!$C$2:$C$8421,Transaction!$B$2:$B$8421,A1320)</f>
        <v>46210</v>
      </c>
      <c r="K1320" s="6" t="n">
        <f aca="false">COUNTIF(Transaction!$B$2:$B$8421,A1320)</f>
        <v>5</v>
      </c>
      <c r="L1320" s="10" t="n">
        <f aca="false">SUMIF(Transaction!$B$2:$B$8421,A1320,Transaction!$H$2:$H$8421)</f>
        <v>6522</v>
      </c>
      <c r="M1320" s="6" t="n">
        <f aca="false">Summary!$B$3-J1320</f>
        <v>56</v>
      </c>
      <c r="N1320" s="6" t="str">
        <f aca="false">IF(K1320&gt;1,"Yes","No")</f>
        <v>Yes</v>
      </c>
      <c r="O1320" s="6" t="s">
        <v>46</v>
      </c>
    </row>
    <row r="1321" customFormat="false" ht="15" hidden="false" customHeight="false" outlineLevel="0" collapsed="false">
      <c r="A1321" s="6" t="s">
        <v>2751</v>
      </c>
      <c r="B1321" s="6" t="s">
        <v>2752</v>
      </c>
      <c r="C1321" s="6" t="s">
        <v>75</v>
      </c>
      <c r="D1321" s="6" t="n">
        <v>25</v>
      </c>
      <c r="E1321" s="6" t="s">
        <v>121</v>
      </c>
      <c r="F1321" s="6" t="s">
        <v>122</v>
      </c>
      <c r="G1321" s="26" t="n">
        <v>45969</v>
      </c>
      <c r="H1321" s="6" t="s">
        <v>92</v>
      </c>
      <c r="I1321" s="26" t="n">
        <f aca="false">_xlfn.MINIFS(Transaction!$C$2:$C$8421,Transaction!$B$2:$B$8421,A1321)</f>
        <v>46023</v>
      </c>
      <c r="J1321" s="26" t="n">
        <f aca="false">_xlfn.MAXIFS(Transaction!$C$2:$C$8421,Transaction!$B$2:$B$8421,A1321)</f>
        <v>46244</v>
      </c>
      <c r="K1321" s="6" t="n">
        <f aca="false">COUNTIF(Transaction!$B$2:$B$8421,A1321)</f>
        <v>10</v>
      </c>
      <c r="L1321" s="10" t="n">
        <f aca="false">SUMIF(Transaction!$B$2:$B$8421,A1321,Transaction!$H$2:$H$8421)</f>
        <v>20549</v>
      </c>
      <c r="M1321" s="6" t="n">
        <f aca="false">Summary!$B$3-J1321</f>
        <v>22</v>
      </c>
      <c r="N1321" s="6" t="str">
        <f aca="false">IF(K1321&gt;1,"Yes","No")</f>
        <v>Yes</v>
      </c>
      <c r="O1321" s="6" t="s">
        <v>45</v>
      </c>
    </row>
    <row r="1322" customFormat="false" ht="15" hidden="false" customHeight="false" outlineLevel="0" collapsed="false">
      <c r="A1322" s="6" t="s">
        <v>2753</v>
      </c>
      <c r="B1322" s="6" t="s">
        <v>2754</v>
      </c>
      <c r="C1322" s="6" t="s">
        <v>85</v>
      </c>
      <c r="D1322" s="6" t="n">
        <v>33</v>
      </c>
      <c r="E1322" s="6" t="s">
        <v>95</v>
      </c>
      <c r="F1322" s="6" t="s">
        <v>95</v>
      </c>
      <c r="G1322" s="26" t="n">
        <v>46006</v>
      </c>
      <c r="H1322" s="6" t="s">
        <v>102</v>
      </c>
      <c r="I1322" s="26" t="n">
        <f aca="false">_xlfn.MINIFS(Transaction!$C$2:$C$8421,Transaction!$B$2:$B$8421,A1322)</f>
        <v>46056</v>
      </c>
      <c r="J1322" s="26" t="n">
        <f aca="false">_xlfn.MAXIFS(Transaction!$C$2:$C$8421,Transaction!$B$2:$B$8421,A1322)</f>
        <v>46205</v>
      </c>
      <c r="K1322" s="6" t="n">
        <f aca="false">COUNTIF(Transaction!$B$2:$B$8421,A1322)</f>
        <v>8</v>
      </c>
      <c r="L1322" s="10" t="n">
        <f aca="false">SUMIF(Transaction!$B$2:$B$8421,A1322,Transaction!$H$2:$H$8421)</f>
        <v>12762</v>
      </c>
      <c r="M1322" s="6" t="n">
        <f aca="false">Summary!$B$3-J1322</f>
        <v>61</v>
      </c>
      <c r="N1322" s="6" t="str">
        <f aca="false">IF(K1322&gt;1,"Yes","No")</f>
        <v>Yes</v>
      </c>
      <c r="O1322" s="6" t="s">
        <v>46</v>
      </c>
    </row>
    <row r="1323" customFormat="false" ht="15" hidden="false" customHeight="false" outlineLevel="0" collapsed="false">
      <c r="A1323" s="6" t="s">
        <v>2755</v>
      </c>
      <c r="B1323" s="6" t="s">
        <v>2756</v>
      </c>
      <c r="C1323" s="6" t="s">
        <v>85</v>
      </c>
      <c r="D1323" s="6" t="n">
        <v>39</v>
      </c>
      <c r="E1323" s="6" t="s">
        <v>81</v>
      </c>
      <c r="F1323" s="6" t="s">
        <v>82</v>
      </c>
      <c r="G1323" s="26" t="n">
        <v>46056</v>
      </c>
      <c r="H1323" s="6" t="s">
        <v>92</v>
      </c>
      <c r="I1323" s="26" t="n">
        <f aca="false">_xlfn.MINIFS(Transaction!$C$2:$C$8421,Transaction!$B$2:$B$8421,A1323)</f>
        <v>46142</v>
      </c>
      <c r="J1323" s="26" t="n">
        <f aca="false">_xlfn.MAXIFS(Transaction!$C$2:$C$8421,Transaction!$B$2:$B$8421,A1323)</f>
        <v>46142</v>
      </c>
      <c r="K1323" s="6" t="n">
        <f aca="false">COUNTIF(Transaction!$B$2:$B$8421,A1323)</f>
        <v>1</v>
      </c>
      <c r="L1323" s="10" t="n">
        <f aca="false">SUMIF(Transaction!$B$2:$B$8421,A1323,Transaction!$H$2:$H$8421)</f>
        <v>2349</v>
      </c>
      <c r="M1323" s="6" t="n">
        <f aca="false">Summary!$B$3-J1323</f>
        <v>124</v>
      </c>
      <c r="N1323" s="6" t="str">
        <f aca="false">IF(K1323&gt;1,"Yes","No")</f>
        <v>No</v>
      </c>
      <c r="O1323" s="6" t="s">
        <v>48</v>
      </c>
    </row>
    <row r="1324" customFormat="false" ht="15" hidden="false" customHeight="false" outlineLevel="0" collapsed="false">
      <c r="A1324" s="6" t="s">
        <v>2757</v>
      </c>
      <c r="B1324" s="6" t="s">
        <v>2758</v>
      </c>
      <c r="C1324" s="6" t="s">
        <v>85</v>
      </c>
      <c r="D1324" s="6" t="n">
        <v>32</v>
      </c>
      <c r="E1324" s="6" t="s">
        <v>81</v>
      </c>
      <c r="F1324" s="6" t="s">
        <v>82</v>
      </c>
      <c r="G1324" s="26" t="n">
        <v>46170</v>
      </c>
      <c r="H1324" s="6" t="s">
        <v>102</v>
      </c>
      <c r="I1324" s="26" t="n">
        <f aca="false">_xlfn.MINIFS(Transaction!$C$2:$C$8421,Transaction!$B$2:$B$8421,A1324)</f>
        <v>46190</v>
      </c>
      <c r="J1324" s="26" t="n">
        <f aca="false">_xlfn.MAXIFS(Transaction!$C$2:$C$8421,Transaction!$B$2:$B$8421,A1324)</f>
        <v>46190</v>
      </c>
      <c r="K1324" s="6" t="n">
        <f aca="false">COUNTIF(Transaction!$B$2:$B$8421,A1324)</f>
        <v>1</v>
      </c>
      <c r="L1324" s="10" t="n">
        <f aca="false">SUMIF(Transaction!$B$2:$B$8421,A1324,Transaction!$H$2:$H$8421)</f>
        <v>782</v>
      </c>
      <c r="M1324" s="6" t="n">
        <f aca="false">Summary!$B$3-J1324</f>
        <v>76</v>
      </c>
      <c r="N1324" s="6" t="str">
        <f aca="false">IF(K1324&gt;1,"Yes","No")</f>
        <v>No</v>
      </c>
      <c r="O1324" s="6" t="s">
        <v>47</v>
      </c>
    </row>
    <row r="1325" customFormat="false" ht="15" hidden="false" customHeight="false" outlineLevel="0" collapsed="false">
      <c r="A1325" s="6" t="s">
        <v>2759</v>
      </c>
      <c r="B1325" s="6" t="s">
        <v>2760</v>
      </c>
      <c r="C1325" s="6" t="s">
        <v>75</v>
      </c>
      <c r="D1325" s="6" t="n">
        <v>23</v>
      </c>
      <c r="E1325" s="6" t="s">
        <v>86</v>
      </c>
      <c r="F1325" s="6" t="s">
        <v>87</v>
      </c>
      <c r="G1325" s="26" t="n">
        <v>45949</v>
      </c>
      <c r="H1325" s="6" t="s">
        <v>115</v>
      </c>
      <c r="I1325" s="26" t="n">
        <f aca="false">_xlfn.MINIFS(Transaction!$C$2:$C$8421,Transaction!$B$2:$B$8421,A1325)</f>
        <v>46037</v>
      </c>
      <c r="J1325" s="26" t="n">
        <f aca="false">_xlfn.MAXIFS(Transaction!$C$2:$C$8421,Transaction!$B$2:$B$8421,A1325)</f>
        <v>46199</v>
      </c>
      <c r="K1325" s="6" t="n">
        <f aca="false">COUNTIF(Transaction!$B$2:$B$8421,A1325)</f>
        <v>3</v>
      </c>
      <c r="L1325" s="10" t="n">
        <f aca="false">SUMIF(Transaction!$B$2:$B$8421,A1325,Transaction!$H$2:$H$8421)</f>
        <v>15999</v>
      </c>
      <c r="M1325" s="6" t="n">
        <f aca="false">Summary!$B$3-J1325</f>
        <v>67</v>
      </c>
      <c r="N1325" s="6" t="str">
        <f aca="false">IF(K1325&gt;1,"Yes","No")</f>
        <v>Yes</v>
      </c>
      <c r="O1325" s="6" t="s">
        <v>46</v>
      </c>
    </row>
    <row r="1326" customFormat="false" ht="15" hidden="false" customHeight="false" outlineLevel="0" collapsed="false">
      <c r="A1326" s="6" t="s">
        <v>2761</v>
      </c>
      <c r="B1326" s="6" t="s">
        <v>2762</v>
      </c>
      <c r="C1326" s="6" t="s">
        <v>75</v>
      </c>
      <c r="D1326" s="6" t="n">
        <v>34</v>
      </c>
      <c r="E1326" s="6" t="s">
        <v>321</v>
      </c>
      <c r="F1326" s="6" t="s">
        <v>321</v>
      </c>
      <c r="G1326" s="26" t="n">
        <v>45990</v>
      </c>
      <c r="H1326" s="6" t="s">
        <v>102</v>
      </c>
      <c r="I1326" s="26" t="n">
        <f aca="false">_xlfn.MINIFS(Transaction!$C$2:$C$8421,Transaction!$B$2:$B$8421,A1326)</f>
        <v>46024</v>
      </c>
      <c r="J1326" s="26" t="n">
        <f aca="false">_xlfn.MAXIFS(Transaction!$C$2:$C$8421,Transaction!$B$2:$B$8421,A1326)</f>
        <v>46260</v>
      </c>
      <c r="K1326" s="6" t="n">
        <f aca="false">COUNTIF(Transaction!$B$2:$B$8421,A1326)</f>
        <v>8</v>
      </c>
      <c r="L1326" s="10" t="n">
        <f aca="false">SUMIF(Transaction!$B$2:$B$8421,A1326,Transaction!$H$2:$H$8421)</f>
        <v>21982</v>
      </c>
      <c r="M1326" s="6" t="n">
        <f aca="false">Summary!$B$3-J1326</f>
        <v>6</v>
      </c>
      <c r="N1326" s="6" t="str">
        <f aca="false">IF(K1326&gt;1,"Yes","No")</f>
        <v>Yes</v>
      </c>
      <c r="O1326" s="6" t="s">
        <v>45</v>
      </c>
    </row>
    <row r="1327" customFormat="false" ht="15" hidden="false" customHeight="false" outlineLevel="0" collapsed="false">
      <c r="A1327" s="6" t="s">
        <v>2763</v>
      </c>
      <c r="B1327" s="6" t="s">
        <v>2764</v>
      </c>
      <c r="C1327" s="6" t="s">
        <v>75</v>
      </c>
      <c r="D1327" s="6" t="n">
        <v>31</v>
      </c>
      <c r="E1327" s="6" t="s">
        <v>430</v>
      </c>
      <c r="F1327" s="6" t="s">
        <v>99</v>
      </c>
      <c r="G1327" s="26" t="n">
        <v>46093</v>
      </c>
      <c r="H1327" s="6" t="s">
        <v>78</v>
      </c>
      <c r="I1327" s="26" t="n">
        <f aca="false">_xlfn.MINIFS(Transaction!$C$2:$C$8421,Transaction!$B$2:$B$8421,A1327)</f>
        <v>46132</v>
      </c>
      <c r="J1327" s="26" t="n">
        <f aca="false">_xlfn.MAXIFS(Transaction!$C$2:$C$8421,Transaction!$B$2:$B$8421,A1327)</f>
        <v>46132</v>
      </c>
      <c r="K1327" s="6" t="n">
        <f aca="false">COUNTIF(Transaction!$B$2:$B$8421,A1327)</f>
        <v>1</v>
      </c>
      <c r="L1327" s="10" t="n">
        <f aca="false">SUMIF(Transaction!$B$2:$B$8421,A1327,Transaction!$H$2:$H$8421)</f>
        <v>2644</v>
      </c>
      <c r="M1327" s="6" t="n">
        <f aca="false">Summary!$B$3-J1327</f>
        <v>134</v>
      </c>
      <c r="N1327" s="6" t="str">
        <f aca="false">IF(K1327&gt;1,"Yes","No")</f>
        <v>No</v>
      </c>
      <c r="O1327" s="6" t="s">
        <v>48</v>
      </c>
    </row>
    <row r="1328" customFormat="false" ht="15" hidden="false" customHeight="false" outlineLevel="0" collapsed="false">
      <c r="A1328" s="6" t="s">
        <v>2765</v>
      </c>
      <c r="B1328" s="6" t="s">
        <v>2766</v>
      </c>
      <c r="C1328" s="6" t="s">
        <v>85</v>
      </c>
      <c r="D1328" s="6" t="n">
        <v>33</v>
      </c>
      <c r="E1328" s="6" t="s">
        <v>176</v>
      </c>
      <c r="F1328" s="6" t="s">
        <v>177</v>
      </c>
      <c r="G1328" s="26" t="n">
        <v>46024</v>
      </c>
      <c r="H1328" s="6" t="s">
        <v>78</v>
      </c>
      <c r="I1328" s="26" t="n">
        <f aca="false">_xlfn.MINIFS(Transaction!$C$2:$C$8421,Transaction!$B$2:$B$8421,A1328)</f>
        <v>46068</v>
      </c>
      <c r="J1328" s="26" t="n">
        <f aca="false">_xlfn.MAXIFS(Transaction!$C$2:$C$8421,Transaction!$B$2:$B$8421,A1328)</f>
        <v>46254</v>
      </c>
      <c r="K1328" s="6" t="n">
        <f aca="false">COUNTIF(Transaction!$B$2:$B$8421,A1328)</f>
        <v>11</v>
      </c>
      <c r="L1328" s="10" t="n">
        <f aca="false">SUMIF(Transaction!$B$2:$B$8421,A1328,Transaction!$H$2:$H$8421)</f>
        <v>19460</v>
      </c>
      <c r="M1328" s="6" t="n">
        <f aca="false">Summary!$B$3-J1328</f>
        <v>12</v>
      </c>
      <c r="N1328" s="6" t="str">
        <f aca="false">IF(K1328&gt;1,"Yes","No")</f>
        <v>Yes</v>
      </c>
      <c r="O1328" s="6" t="s">
        <v>45</v>
      </c>
    </row>
    <row r="1329" customFormat="false" ht="15" hidden="false" customHeight="false" outlineLevel="0" collapsed="false">
      <c r="A1329" s="6" t="s">
        <v>2767</v>
      </c>
      <c r="B1329" s="6" t="s">
        <v>2768</v>
      </c>
      <c r="C1329" s="6" t="s">
        <v>75</v>
      </c>
      <c r="D1329" s="6" t="n">
        <v>35</v>
      </c>
      <c r="E1329" s="6" t="s">
        <v>176</v>
      </c>
      <c r="F1329" s="6" t="s">
        <v>177</v>
      </c>
      <c r="G1329" s="26" t="n">
        <v>46151</v>
      </c>
      <c r="H1329" s="6" t="s">
        <v>92</v>
      </c>
      <c r="I1329" s="26" t="n">
        <f aca="false">_xlfn.MINIFS(Transaction!$C$2:$C$8421,Transaction!$B$2:$B$8421,A1329)</f>
        <v>46169</v>
      </c>
      <c r="J1329" s="26" t="n">
        <f aca="false">_xlfn.MAXIFS(Transaction!$C$2:$C$8421,Transaction!$B$2:$B$8421,A1329)</f>
        <v>46169</v>
      </c>
      <c r="K1329" s="6" t="n">
        <f aca="false">COUNTIF(Transaction!$B$2:$B$8421,A1329)</f>
        <v>1</v>
      </c>
      <c r="L1329" s="10" t="n">
        <f aca="false">SUMIF(Transaction!$B$2:$B$8421,A1329,Transaction!$H$2:$H$8421)</f>
        <v>2751</v>
      </c>
      <c r="M1329" s="6" t="n">
        <f aca="false">Summary!$B$3-J1329</f>
        <v>97</v>
      </c>
      <c r="N1329" s="6" t="str">
        <f aca="false">IF(K1329&gt;1,"Yes","No")</f>
        <v>No</v>
      </c>
      <c r="O1329" s="6" t="s">
        <v>48</v>
      </c>
    </row>
    <row r="1330" customFormat="false" ht="15" hidden="false" customHeight="false" outlineLevel="0" collapsed="false">
      <c r="A1330" s="6" t="s">
        <v>2769</v>
      </c>
      <c r="B1330" s="6" t="s">
        <v>2770</v>
      </c>
      <c r="C1330" s="6" t="s">
        <v>85</v>
      </c>
      <c r="D1330" s="6" t="n">
        <v>44</v>
      </c>
      <c r="E1330" s="6" t="s">
        <v>118</v>
      </c>
      <c r="F1330" s="6" t="s">
        <v>77</v>
      </c>
      <c r="G1330" s="26" t="n">
        <v>46211</v>
      </c>
      <c r="H1330" s="6" t="s">
        <v>88</v>
      </c>
      <c r="I1330" s="26" t="n">
        <f aca="false">_xlfn.MINIFS(Transaction!$C$2:$C$8421,Transaction!$B$2:$B$8421,A1330)</f>
        <v>46258</v>
      </c>
      <c r="J1330" s="26" t="n">
        <f aca="false">_xlfn.MAXIFS(Transaction!$C$2:$C$8421,Transaction!$B$2:$B$8421,A1330)</f>
        <v>46258</v>
      </c>
      <c r="K1330" s="6" t="n">
        <f aca="false">COUNTIF(Transaction!$B$2:$B$8421,A1330)</f>
        <v>1</v>
      </c>
      <c r="L1330" s="10" t="n">
        <f aca="false">SUMIF(Transaction!$B$2:$B$8421,A1330,Transaction!$H$2:$H$8421)</f>
        <v>1835</v>
      </c>
      <c r="M1330" s="6" t="n">
        <f aca="false">Summary!$B$3-J1330</f>
        <v>8</v>
      </c>
      <c r="N1330" s="6" t="str">
        <f aca="false">IF(K1330&gt;1,"Yes","No")</f>
        <v>No</v>
      </c>
      <c r="O1330" s="6" t="s">
        <v>47</v>
      </c>
    </row>
    <row r="1331" customFormat="false" ht="15" hidden="false" customHeight="false" outlineLevel="0" collapsed="false">
      <c r="A1331" s="6" t="s">
        <v>2771</v>
      </c>
      <c r="B1331" s="6" t="s">
        <v>2772</v>
      </c>
      <c r="C1331" s="6" t="s">
        <v>85</v>
      </c>
      <c r="D1331" s="6" t="n">
        <v>23</v>
      </c>
      <c r="E1331" s="6" t="s">
        <v>81</v>
      </c>
      <c r="F1331" s="6" t="s">
        <v>82</v>
      </c>
      <c r="G1331" s="26" t="n">
        <v>46070</v>
      </c>
      <c r="H1331" s="6" t="s">
        <v>115</v>
      </c>
      <c r="I1331" s="26" t="n">
        <f aca="false">_xlfn.MINIFS(Transaction!$C$2:$C$8421,Transaction!$B$2:$B$8421,A1331)</f>
        <v>46103</v>
      </c>
      <c r="J1331" s="26" t="n">
        <f aca="false">_xlfn.MAXIFS(Transaction!$C$2:$C$8421,Transaction!$B$2:$B$8421,A1331)</f>
        <v>46201</v>
      </c>
      <c r="K1331" s="6" t="n">
        <f aca="false">COUNTIF(Transaction!$B$2:$B$8421,A1331)</f>
        <v>3</v>
      </c>
      <c r="L1331" s="10" t="n">
        <f aca="false">SUMIF(Transaction!$B$2:$B$8421,A1331,Transaction!$H$2:$H$8421)</f>
        <v>3500</v>
      </c>
      <c r="M1331" s="6" t="n">
        <f aca="false">Summary!$B$3-J1331</f>
        <v>65</v>
      </c>
      <c r="N1331" s="6" t="str">
        <f aca="false">IF(K1331&gt;1,"Yes","No")</f>
        <v>Yes</v>
      </c>
      <c r="O1331" s="6" t="s">
        <v>46</v>
      </c>
    </row>
    <row r="1332" customFormat="false" ht="15" hidden="false" customHeight="false" outlineLevel="0" collapsed="false">
      <c r="A1332" s="6" t="s">
        <v>2773</v>
      </c>
      <c r="B1332" s="6" t="s">
        <v>2774</v>
      </c>
      <c r="C1332" s="6" t="s">
        <v>75</v>
      </c>
      <c r="D1332" s="6" t="n">
        <v>18</v>
      </c>
      <c r="E1332" s="6" t="s">
        <v>86</v>
      </c>
      <c r="F1332" s="6" t="s">
        <v>87</v>
      </c>
      <c r="G1332" s="26" t="n">
        <v>46109</v>
      </c>
      <c r="H1332" s="6" t="s">
        <v>123</v>
      </c>
      <c r="I1332" s="26" t="n">
        <f aca="false">_xlfn.MINIFS(Transaction!$C$2:$C$8421,Transaction!$B$2:$B$8421,A1332)</f>
        <v>46117</v>
      </c>
      <c r="J1332" s="26" t="n">
        <f aca="false">_xlfn.MAXIFS(Transaction!$C$2:$C$8421,Transaction!$B$2:$B$8421,A1332)</f>
        <v>46257</v>
      </c>
      <c r="K1332" s="6" t="n">
        <f aca="false">COUNTIF(Transaction!$B$2:$B$8421,A1332)</f>
        <v>9</v>
      </c>
      <c r="L1332" s="10" t="n">
        <f aca="false">SUMIF(Transaction!$B$2:$B$8421,A1332,Transaction!$H$2:$H$8421)</f>
        <v>14145</v>
      </c>
      <c r="M1332" s="6" t="n">
        <f aca="false">Summary!$B$3-J1332</f>
        <v>9</v>
      </c>
      <c r="N1332" s="6" t="str">
        <f aca="false">IF(K1332&gt;1,"Yes","No")</f>
        <v>Yes</v>
      </c>
      <c r="O1332" s="6" t="s">
        <v>45</v>
      </c>
    </row>
    <row r="1333" customFormat="false" ht="15" hidden="false" customHeight="false" outlineLevel="0" collapsed="false">
      <c r="A1333" s="6" t="s">
        <v>2775</v>
      </c>
      <c r="B1333" s="6" t="s">
        <v>2776</v>
      </c>
      <c r="C1333" s="6" t="s">
        <v>75</v>
      </c>
      <c r="D1333" s="6" t="n">
        <v>41</v>
      </c>
      <c r="E1333" s="6" t="s">
        <v>264</v>
      </c>
      <c r="F1333" s="6" t="s">
        <v>106</v>
      </c>
      <c r="G1333" s="26" t="n">
        <v>46039</v>
      </c>
      <c r="H1333" s="6" t="s">
        <v>115</v>
      </c>
      <c r="I1333" s="26" t="n">
        <f aca="false">_xlfn.MINIFS(Transaction!$C$2:$C$8421,Transaction!$B$2:$B$8421,A1333)</f>
        <v>46044</v>
      </c>
      <c r="J1333" s="26" t="n">
        <f aca="false">_xlfn.MAXIFS(Transaction!$C$2:$C$8421,Transaction!$B$2:$B$8421,A1333)</f>
        <v>46227</v>
      </c>
      <c r="K1333" s="6" t="n">
        <f aca="false">COUNTIF(Transaction!$B$2:$B$8421,A1333)</f>
        <v>5</v>
      </c>
      <c r="L1333" s="10" t="n">
        <f aca="false">SUMIF(Transaction!$B$2:$B$8421,A1333,Transaction!$H$2:$H$8421)</f>
        <v>12521</v>
      </c>
      <c r="M1333" s="6" t="n">
        <f aca="false">Summary!$B$3-J1333</f>
        <v>39</v>
      </c>
      <c r="N1333" s="6" t="str">
        <f aca="false">IF(K1333&gt;1,"Yes","No")</f>
        <v>Yes</v>
      </c>
      <c r="O1333" s="6" t="s">
        <v>46</v>
      </c>
    </row>
    <row r="1334" customFormat="false" ht="15" hidden="false" customHeight="false" outlineLevel="0" collapsed="false">
      <c r="A1334" s="6" t="s">
        <v>2777</v>
      </c>
      <c r="B1334" s="6" t="s">
        <v>2778</v>
      </c>
      <c r="C1334" s="6" t="s">
        <v>75</v>
      </c>
      <c r="D1334" s="6" t="n">
        <v>35</v>
      </c>
      <c r="E1334" s="6" t="s">
        <v>180</v>
      </c>
      <c r="F1334" s="6" t="s">
        <v>181</v>
      </c>
      <c r="G1334" s="26" t="n">
        <v>46200</v>
      </c>
      <c r="H1334" s="6" t="s">
        <v>92</v>
      </c>
      <c r="I1334" s="26" t="n">
        <f aca="false">_xlfn.MINIFS(Transaction!$C$2:$C$8421,Transaction!$B$2:$B$8421,A1334)</f>
        <v>46217</v>
      </c>
      <c r="J1334" s="26" t="n">
        <f aca="false">_xlfn.MAXIFS(Transaction!$C$2:$C$8421,Transaction!$B$2:$B$8421,A1334)</f>
        <v>46217</v>
      </c>
      <c r="K1334" s="6" t="n">
        <f aca="false">COUNTIF(Transaction!$B$2:$B$8421,A1334)</f>
        <v>1</v>
      </c>
      <c r="L1334" s="10" t="n">
        <f aca="false">SUMIF(Transaction!$B$2:$B$8421,A1334,Transaction!$H$2:$H$8421)</f>
        <v>743</v>
      </c>
      <c r="M1334" s="6" t="n">
        <f aca="false">Summary!$B$3-J1334</f>
        <v>49</v>
      </c>
      <c r="N1334" s="6" t="str">
        <f aca="false">IF(K1334&gt;1,"Yes","No")</f>
        <v>No</v>
      </c>
      <c r="O1334" s="6" t="s">
        <v>47</v>
      </c>
    </row>
    <row r="1335" customFormat="false" ht="15" hidden="false" customHeight="false" outlineLevel="0" collapsed="false">
      <c r="A1335" s="6" t="s">
        <v>2779</v>
      </c>
      <c r="B1335" s="6" t="s">
        <v>2780</v>
      </c>
      <c r="C1335" s="6" t="s">
        <v>75</v>
      </c>
      <c r="D1335" s="6" t="n">
        <v>26</v>
      </c>
      <c r="E1335" s="6" t="s">
        <v>81</v>
      </c>
      <c r="F1335" s="6" t="s">
        <v>82</v>
      </c>
      <c r="G1335" s="26" t="n">
        <v>45962</v>
      </c>
      <c r="H1335" s="6" t="s">
        <v>88</v>
      </c>
      <c r="I1335" s="26" t="n">
        <f aca="false">_xlfn.MINIFS(Transaction!$C$2:$C$8421,Transaction!$B$2:$B$8421,A1335)</f>
        <v>46030</v>
      </c>
      <c r="J1335" s="26" t="n">
        <f aca="false">_xlfn.MAXIFS(Transaction!$C$2:$C$8421,Transaction!$B$2:$B$8421,A1335)</f>
        <v>46195</v>
      </c>
      <c r="K1335" s="6" t="n">
        <f aca="false">COUNTIF(Transaction!$B$2:$B$8421,A1335)</f>
        <v>4</v>
      </c>
      <c r="L1335" s="10" t="n">
        <f aca="false">SUMIF(Transaction!$B$2:$B$8421,A1335,Transaction!$H$2:$H$8421)</f>
        <v>13285</v>
      </c>
      <c r="M1335" s="6" t="n">
        <f aca="false">Summary!$B$3-J1335</f>
        <v>71</v>
      </c>
      <c r="N1335" s="6" t="str">
        <f aca="false">IF(K1335&gt;1,"Yes","No")</f>
        <v>Yes</v>
      </c>
      <c r="O1335" s="6" t="s">
        <v>46</v>
      </c>
    </row>
    <row r="1336" customFormat="false" ht="15" hidden="false" customHeight="false" outlineLevel="0" collapsed="false">
      <c r="A1336" s="6" t="s">
        <v>2781</v>
      </c>
      <c r="B1336" s="6" t="s">
        <v>2782</v>
      </c>
      <c r="C1336" s="6" t="s">
        <v>75</v>
      </c>
      <c r="D1336" s="6" t="n">
        <v>24</v>
      </c>
      <c r="E1336" s="6" t="s">
        <v>321</v>
      </c>
      <c r="F1336" s="6" t="s">
        <v>321</v>
      </c>
      <c r="G1336" s="26" t="n">
        <v>46016</v>
      </c>
      <c r="H1336" s="6" t="s">
        <v>102</v>
      </c>
      <c r="I1336" s="26" t="n">
        <f aca="false">_xlfn.MINIFS(Transaction!$C$2:$C$8421,Transaction!$B$2:$B$8421,A1336)</f>
        <v>46086</v>
      </c>
      <c r="J1336" s="26" t="n">
        <f aca="false">_xlfn.MAXIFS(Transaction!$C$2:$C$8421,Transaction!$B$2:$B$8421,A1336)</f>
        <v>46196</v>
      </c>
      <c r="K1336" s="6" t="n">
        <f aca="false">COUNTIF(Transaction!$B$2:$B$8421,A1336)</f>
        <v>6</v>
      </c>
      <c r="L1336" s="10" t="n">
        <f aca="false">SUMIF(Transaction!$B$2:$B$8421,A1336,Transaction!$H$2:$H$8421)</f>
        <v>11061</v>
      </c>
      <c r="M1336" s="6" t="n">
        <f aca="false">Summary!$B$3-J1336</f>
        <v>70</v>
      </c>
      <c r="N1336" s="6" t="str">
        <f aca="false">IF(K1336&gt;1,"Yes","No")</f>
        <v>Yes</v>
      </c>
      <c r="O1336" s="6" t="s">
        <v>46</v>
      </c>
    </row>
    <row r="1337" customFormat="false" ht="15" hidden="false" customHeight="false" outlineLevel="0" collapsed="false">
      <c r="A1337" s="6" t="s">
        <v>2783</v>
      </c>
      <c r="B1337" s="6" t="s">
        <v>2784</v>
      </c>
      <c r="C1337" s="6" t="s">
        <v>85</v>
      </c>
      <c r="D1337" s="6" t="n">
        <v>26</v>
      </c>
      <c r="E1337" s="6" t="s">
        <v>81</v>
      </c>
      <c r="F1337" s="6" t="s">
        <v>82</v>
      </c>
      <c r="G1337" s="26" t="n">
        <v>45980</v>
      </c>
      <c r="H1337" s="6" t="s">
        <v>92</v>
      </c>
      <c r="I1337" s="26" t="n">
        <f aca="false">_xlfn.MINIFS(Transaction!$C$2:$C$8421,Transaction!$B$2:$B$8421,A1337)</f>
        <v>46065</v>
      </c>
      <c r="J1337" s="26" t="n">
        <f aca="false">_xlfn.MAXIFS(Transaction!$C$2:$C$8421,Transaction!$B$2:$B$8421,A1337)</f>
        <v>46065</v>
      </c>
      <c r="K1337" s="6" t="n">
        <f aca="false">COUNTIF(Transaction!$B$2:$B$8421,A1337)</f>
        <v>1</v>
      </c>
      <c r="L1337" s="10" t="n">
        <f aca="false">SUMIF(Transaction!$B$2:$B$8421,A1337,Transaction!$H$2:$H$8421)</f>
        <v>2229</v>
      </c>
      <c r="M1337" s="6" t="n">
        <f aca="false">Summary!$B$3-J1337</f>
        <v>201</v>
      </c>
      <c r="N1337" s="6" t="str">
        <f aca="false">IF(K1337&gt;1,"Yes","No")</f>
        <v>No</v>
      </c>
      <c r="O1337" s="6" t="s">
        <v>49</v>
      </c>
    </row>
    <row r="1338" customFormat="false" ht="15" hidden="false" customHeight="false" outlineLevel="0" collapsed="false">
      <c r="A1338" s="6" t="s">
        <v>2785</v>
      </c>
      <c r="B1338" s="6" t="s">
        <v>2786</v>
      </c>
      <c r="C1338" s="6" t="s">
        <v>85</v>
      </c>
      <c r="D1338" s="6" t="n">
        <v>44</v>
      </c>
      <c r="E1338" s="6" t="s">
        <v>134</v>
      </c>
      <c r="F1338" s="6" t="s">
        <v>135</v>
      </c>
      <c r="G1338" s="26" t="n">
        <v>46181</v>
      </c>
      <c r="H1338" s="6" t="s">
        <v>123</v>
      </c>
      <c r="I1338" s="26" t="n">
        <f aca="false">_xlfn.MINIFS(Transaction!$C$2:$C$8421,Transaction!$B$2:$B$8421,A1338)</f>
        <v>46232</v>
      </c>
      <c r="J1338" s="26" t="n">
        <f aca="false">_xlfn.MAXIFS(Transaction!$C$2:$C$8421,Transaction!$B$2:$B$8421,A1338)</f>
        <v>46232</v>
      </c>
      <c r="K1338" s="6" t="n">
        <f aca="false">COUNTIF(Transaction!$B$2:$B$8421,A1338)</f>
        <v>1</v>
      </c>
      <c r="L1338" s="10" t="n">
        <f aca="false">SUMIF(Transaction!$B$2:$B$8421,A1338,Transaction!$H$2:$H$8421)</f>
        <v>500</v>
      </c>
      <c r="M1338" s="6" t="n">
        <f aca="false">Summary!$B$3-J1338</f>
        <v>34</v>
      </c>
      <c r="N1338" s="6" t="str">
        <f aca="false">IF(K1338&gt;1,"Yes","No")</f>
        <v>No</v>
      </c>
      <c r="O1338" s="6" t="s">
        <v>47</v>
      </c>
    </row>
    <row r="1339" customFormat="false" ht="15" hidden="false" customHeight="false" outlineLevel="0" collapsed="false">
      <c r="A1339" s="6" t="s">
        <v>2787</v>
      </c>
      <c r="B1339" s="6" t="s">
        <v>2788</v>
      </c>
      <c r="C1339" s="6" t="s">
        <v>85</v>
      </c>
      <c r="D1339" s="6" t="n">
        <v>30</v>
      </c>
      <c r="E1339" s="6" t="s">
        <v>126</v>
      </c>
      <c r="F1339" s="6" t="s">
        <v>127</v>
      </c>
      <c r="G1339" s="26" t="n">
        <v>46188</v>
      </c>
      <c r="H1339" s="6" t="s">
        <v>115</v>
      </c>
      <c r="I1339" s="26" t="n">
        <f aca="false">_xlfn.MINIFS(Transaction!$C$2:$C$8421,Transaction!$B$2:$B$8421,A1339)</f>
        <v>46199</v>
      </c>
      <c r="J1339" s="26" t="n">
        <f aca="false">_xlfn.MAXIFS(Transaction!$C$2:$C$8421,Transaction!$B$2:$B$8421,A1339)</f>
        <v>46199</v>
      </c>
      <c r="K1339" s="6" t="n">
        <f aca="false">COUNTIF(Transaction!$B$2:$B$8421,A1339)</f>
        <v>1</v>
      </c>
      <c r="L1339" s="10" t="n">
        <f aca="false">SUMIF(Transaction!$B$2:$B$8421,A1339,Transaction!$H$2:$H$8421)</f>
        <v>459</v>
      </c>
      <c r="M1339" s="6" t="n">
        <f aca="false">Summary!$B$3-J1339</f>
        <v>67</v>
      </c>
      <c r="N1339" s="6" t="str">
        <f aca="false">IF(K1339&gt;1,"Yes","No")</f>
        <v>No</v>
      </c>
      <c r="O1339" s="6" t="s">
        <v>47</v>
      </c>
    </row>
    <row r="1340" customFormat="false" ht="15" hidden="false" customHeight="false" outlineLevel="0" collapsed="false">
      <c r="A1340" s="6" t="s">
        <v>2789</v>
      </c>
      <c r="B1340" s="6" t="s">
        <v>2790</v>
      </c>
      <c r="C1340" s="6" t="s">
        <v>85</v>
      </c>
      <c r="D1340" s="6" t="n">
        <v>31</v>
      </c>
      <c r="E1340" s="6" t="s">
        <v>264</v>
      </c>
      <c r="F1340" s="6" t="s">
        <v>106</v>
      </c>
      <c r="G1340" s="26" t="n">
        <v>46112</v>
      </c>
      <c r="H1340" s="6" t="s">
        <v>88</v>
      </c>
      <c r="I1340" s="26" t="n">
        <f aca="false">_xlfn.MINIFS(Transaction!$C$2:$C$8421,Transaction!$B$2:$B$8421,A1340)</f>
        <v>46185</v>
      </c>
      <c r="J1340" s="26" t="n">
        <f aca="false">_xlfn.MAXIFS(Transaction!$C$2:$C$8421,Transaction!$B$2:$B$8421,A1340)</f>
        <v>46185</v>
      </c>
      <c r="K1340" s="6" t="n">
        <f aca="false">COUNTIF(Transaction!$B$2:$B$8421,A1340)</f>
        <v>1</v>
      </c>
      <c r="L1340" s="10" t="n">
        <f aca="false">SUMIF(Transaction!$B$2:$B$8421,A1340,Transaction!$H$2:$H$8421)</f>
        <v>1118</v>
      </c>
      <c r="M1340" s="6" t="n">
        <f aca="false">Summary!$B$3-J1340</f>
        <v>81</v>
      </c>
      <c r="N1340" s="6" t="str">
        <f aca="false">IF(K1340&gt;1,"Yes","No")</f>
        <v>No</v>
      </c>
      <c r="O1340" s="6" t="s">
        <v>47</v>
      </c>
    </row>
    <row r="1341" customFormat="false" ht="15" hidden="false" customHeight="false" outlineLevel="0" collapsed="false">
      <c r="A1341" s="6" t="s">
        <v>2791</v>
      </c>
      <c r="B1341" s="6" t="s">
        <v>2792</v>
      </c>
      <c r="C1341" s="6" t="s">
        <v>85</v>
      </c>
      <c r="D1341" s="6" t="n">
        <v>19</v>
      </c>
      <c r="E1341" s="6" t="s">
        <v>140</v>
      </c>
      <c r="F1341" s="6" t="s">
        <v>141</v>
      </c>
      <c r="G1341" s="26" t="n">
        <v>46030</v>
      </c>
      <c r="H1341" s="6" t="s">
        <v>78</v>
      </c>
      <c r="I1341" s="26" t="n">
        <f aca="false">_xlfn.MINIFS(Transaction!$C$2:$C$8421,Transaction!$B$2:$B$8421,A1341)</f>
        <v>46080</v>
      </c>
      <c r="J1341" s="26" t="n">
        <f aca="false">_xlfn.MAXIFS(Transaction!$C$2:$C$8421,Transaction!$B$2:$B$8421,A1341)</f>
        <v>46080</v>
      </c>
      <c r="K1341" s="6" t="n">
        <f aca="false">COUNTIF(Transaction!$B$2:$B$8421,A1341)</f>
        <v>1</v>
      </c>
      <c r="L1341" s="10" t="n">
        <f aca="false">SUMIF(Transaction!$B$2:$B$8421,A1341,Transaction!$H$2:$H$8421)</f>
        <v>56087</v>
      </c>
      <c r="M1341" s="6" t="n">
        <f aca="false">Summary!$B$3-J1341</f>
        <v>186</v>
      </c>
      <c r="N1341" s="6" t="str">
        <f aca="false">IF(K1341&gt;1,"Yes","No")</f>
        <v>No</v>
      </c>
      <c r="O1341" s="6" t="s">
        <v>49</v>
      </c>
    </row>
    <row r="1342" customFormat="false" ht="15" hidden="false" customHeight="false" outlineLevel="0" collapsed="false">
      <c r="A1342" s="6" t="s">
        <v>2793</v>
      </c>
      <c r="B1342" s="6" t="s">
        <v>2794</v>
      </c>
      <c r="C1342" s="6" t="s">
        <v>75</v>
      </c>
      <c r="D1342" s="6" t="n">
        <v>31</v>
      </c>
      <c r="E1342" s="6" t="s">
        <v>91</v>
      </c>
      <c r="F1342" s="6" t="s">
        <v>77</v>
      </c>
      <c r="G1342" s="26" t="n">
        <v>46111</v>
      </c>
      <c r="H1342" s="6" t="s">
        <v>88</v>
      </c>
      <c r="I1342" s="26" t="n">
        <f aca="false">_xlfn.MINIFS(Transaction!$C$2:$C$8421,Transaction!$B$2:$B$8421,A1342)</f>
        <v>46199</v>
      </c>
      <c r="J1342" s="26" t="n">
        <f aca="false">_xlfn.MAXIFS(Transaction!$C$2:$C$8421,Transaction!$B$2:$B$8421,A1342)</f>
        <v>46199</v>
      </c>
      <c r="K1342" s="6" t="n">
        <f aca="false">COUNTIF(Transaction!$B$2:$B$8421,A1342)</f>
        <v>1</v>
      </c>
      <c r="L1342" s="10" t="n">
        <f aca="false">SUMIF(Transaction!$B$2:$B$8421,A1342,Transaction!$H$2:$H$8421)</f>
        <v>1760</v>
      </c>
      <c r="M1342" s="6" t="n">
        <f aca="false">Summary!$B$3-J1342</f>
        <v>67</v>
      </c>
      <c r="N1342" s="6" t="str">
        <f aca="false">IF(K1342&gt;1,"Yes","No")</f>
        <v>No</v>
      </c>
      <c r="O1342" s="6" t="s">
        <v>47</v>
      </c>
    </row>
    <row r="1343" customFormat="false" ht="15" hidden="false" customHeight="false" outlineLevel="0" collapsed="false">
      <c r="A1343" s="6" t="s">
        <v>2795</v>
      </c>
      <c r="B1343" s="6" t="s">
        <v>2796</v>
      </c>
      <c r="C1343" s="6" t="s">
        <v>85</v>
      </c>
      <c r="D1343" s="6" t="n">
        <v>35</v>
      </c>
      <c r="E1343" s="6" t="s">
        <v>95</v>
      </c>
      <c r="F1343" s="6" t="s">
        <v>95</v>
      </c>
      <c r="G1343" s="26" t="n">
        <v>46193</v>
      </c>
      <c r="H1343" s="6" t="s">
        <v>78</v>
      </c>
      <c r="I1343" s="26" t="n">
        <f aca="false">_xlfn.MINIFS(Transaction!$C$2:$C$8421,Transaction!$B$2:$B$8421,A1343)</f>
        <v>46207</v>
      </c>
      <c r="J1343" s="26" t="n">
        <f aca="false">_xlfn.MAXIFS(Transaction!$C$2:$C$8421,Transaction!$B$2:$B$8421,A1343)</f>
        <v>46207</v>
      </c>
      <c r="K1343" s="6" t="n">
        <f aca="false">COUNTIF(Transaction!$B$2:$B$8421,A1343)</f>
        <v>1</v>
      </c>
      <c r="L1343" s="10" t="n">
        <f aca="false">SUMIF(Transaction!$B$2:$B$8421,A1343,Transaction!$H$2:$H$8421)</f>
        <v>916</v>
      </c>
      <c r="M1343" s="6" t="n">
        <f aca="false">Summary!$B$3-J1343</f>
        <v>59</v>
      </c>
      <c r="N1343" s="6" t="str">
        <f aca="false">IF(K1343&gt;1,"Yes","No")</f>
        <v>No</v>
      </c>
      <c r="O1343" s="6" t="s">
        <v>47</v>
      </c>
    </row>
    <row r="1344" customFormat="false" ht="15" hidden="false" customHeight="false" outlineLevel="0" collapsed="false">
      <c r="A1344" s="6" t="s">
        <v>2797</v>
      </c>
      <c r="B1344" s="6" t="s">
        <v>2798</v>
      </c>
      <c r="C1344" s="6" t="s">
        <v>75</v>
      </c>
      <c r="D1344" s="6" t="n">
        <v>44</v>
      </c>
      <c r="E1344" s="6" t="s">
        <v>134</v>
      </c>
      <c r="F1344" s="6" t="s">
        <v>135</v>
      </c>
      <c r="G1344" s="26" t="n">
        <v>46031</v>
      </c>
      <c r="H1344" s="6" t="s">
        <v>78</v>
      </c>
      <c r="I1344" s="26" t="n">
        <f aca="false">_xlfn.MINIFS(Transaction!$C$2:$C$8421,Transaction!$B$2:$B$8421,A1344)</f>
        <v>46116</v>
      </c>
      <c r="J1344" s="26" t="n">
        <f aca="false">_xlfn.MAXIFS(Transaction!$C$2:$C$8421,Transaction!$B$2:$B$8421,A1344)</f>
        <v>46254</v>
      </c>
      <c r="K1344" s="6" t="n">
        <f aca="false">COUNTIF(Transaction!$B$2:$B$8421,A1344)</f>
        <v>8</v>
      </c>
      <c r="L1344" s="10" t="n">
        <f aca="false">SUMIF(Transaction!$B$2:$B$8421,A1344,Transaction!$H$2:$H$8421)</f>
        <v>14113</v>
      </c>
      <c r="M1344" s="6" t="n">
        <f aca="false">Summary!$B$3-J1344</f>
        <v>12</v>
      </c>
      <c r="N1344" s="6" t="str">
        <f aca="false">IF(K1344&gt;1,"Yes","No")</f>
        <v>Yes</v>
      </c>
      <c r="O1344" s="6" t="s">
        <v>46</v>
      </c>
    </row>
    <row r="1345" customFormat="false" ht="15" hidden="false" customHeight="false" outlineLevel="0" collapsed="false">
      <c r="A1345" s="6" t="s">
        <v>2799</v>
      </c>
      <c r="B1345" s="6" t="s">
        <v>2800</v>
      </c>
      <c r="C1345" s="6" t="s">
        <v>75</v>
      </c>
      <c r="D1345" s="6" t="n">
        <v>35</v>
      </c>
      <c r="E1345" s="6" t="s">
        <v>180</v>
      </c>
      <c r="F1345" s="6" t="s">
        <v>181</v>
      </c>
      <c r="G1345" s="26" t="n">
        <v>46046</v>
      </c>
      <c r="H1345" s="6" t="s">
        <v>78</v>
      </c>
      <c r="I1345" s="26" t="n">
        <f aca="false">_xlfn.MINIFS(Transaction!$C$2:$C$8421,Transaction!$B$2:$B$8421,A1345)</f>
        <v>46051</v>
      </c>
      <c r="J1345" s="26" t="n">
        <f aca="false">_xlfn.MAXIFS(Transaction!$C$2:$C$8421,Transaction!$B$2:$B$8421,A1345)</f>
        <v>46264</v>
      </c>
      <c r="K1345" s="6" t="n">
        <f aca="false">COUNTIF(Transaction!$B$2:$B$8421,A1345)</f>
        <v>7</v>
      </c>
      <c r="L1345" s="10" t="n">
        <f aca="false">SUMIF(Transaction!$B$2:$B$8421,A1345,Transaction!$H$2:$H$8421)</f>
        <v>10559</v>
      </c>
      <c r="M1345" s="6" t="n">
        <f aca="false">Summary!$B$3-J1345</f>
        <v>2</v>
      </c>
      <c r="N1345" s="6" t="str">
        <f aca="false">IF(K1345&gt;1,"Yes","No")</f>
        <v>Yes</v>
      </c>
      <c r="O1345" s="6" t="s">
        <v>45</v>
      </c>
    </row>
    <row r="1346" customFormat="false" ht="15" hidden="false" customHeight="false" outlineLevel="0" collapsed="false">
      <c r="A1346" s="6" t="s">
        <v>2801</v>
      </c>
      <c r="B1346" s="6" t="s">
        <v>2802</v>
      </c>
      <c r="C1346" s="6" t="s">
        <v>75</v>
      </c>
      <c r="D1346" s="6" t="n">
        <v>24</v>
      </c>
      <c r="E1346" s="6" t="s">
        <v>95</v>
      </c>
      <c r="F1346" s="6" t="s">
        <v>95</v>
      </c>
      <c r="G1346" s="26" t="n">
        <v>46227</v>
      </c>
      <c r="H1346" s="6" t="s">
        <v>78</v>
      </c>
      <c r="I1346" s="26" t="n">
        <f aca="false">_xlfn.MINIFS(Transaction!$C$2:$C$8421,Transaction!$B$2:$B$8421,A1346)</f>
        <v>46258</v>
      </c>
      <c r="J1346" s="26" t="n">
        <f aca="false">_xlfn.MAXIFS(Transaction!$C$2:$C$8421,Transaction!$B$2:$B$8421,A1346)</f>
        <v>46258</v>
      </c>
      <c r="K1346" s="6" t="n">
        <f aca="false">COUNTIF(Transaction!$B$2:$B$8421,A1346)</f>
        <v>1</v>
      </c>
      <c r="L1346" s="10" t="n">
        <f aca="false">SUMIF(Transaction!$B$2:$B$8421,A1346,Transaction!$H$2:$H$8421)</f>
        <v>3439</v>
      </c>
      <c r="M1346" s="6" t="n">
        <f aca="false">Summary!$B$3-J1346</f>
        <v>8</v>
      </c>
      <c r="N1346" s="6" t="str">
        <f aca="false">IF(K1346&gt;1,"Yes","No")</f>
        <v>No</v>
      </c>
      <c r="O1346" s="6" t="s">
        <v>47</v>
      </c>
    </row>
    <row r="1347" customFormat="false" ht="15" hidden="false" customHeight="false" outlineLevel="0" collapsed="false">
      <c r="A1347" s="6" t="s">
        <v>2803</v>
      </c>
      <c r="B1347" s="6" t="s">
        <v>2804</v>
      </c>
      <c r="C1347" s="6" t="s">
        <v>75</v>
      </c>
      <c r="D1347" s="6" t="n">
        <v>18</v>
      </c>
      <c r="E1347" s="6" t="s">
        <v>95</v>
      </c>
      <c r="F1347" s="6" t="s">
        <v>95</v>
      </c>
      <c r="G1347" s="26" t="n">
        <v>46154</v>
      </c>
      <c r="H1347" s="6" t="s">
        <v>115</v>
      </c>
      <c r="I1347" s="26" t="n">
        <f aca="false">_xlfn.MINIFS(Transaction!$C$2:$C$8421,Transaction!$B$2:$B$8421,A1347)</f>
        <v>46196</v>
      </c>
      <c r="J1347" s="26" t="n">
        <f aca="false">_xlfn.MAXIFS(Transaction!$C$2:$C$8421,Transaction!$B$2:$B$8421,A1347)</f>
        <v>46196</v>
      </c>
      <c r="K1347" s="6" t="n">
        <f aca="false">COUNTIF(Transaction!$B$2:$B$8421,A1347)</f>
        <v>1</v>
      </c>
      <c r="L1347" s="10" t="n">
        <f aca="false">SUMIF(Transaction!$B$2:$B$8421,A1347,Transaction!$H$2:$H$8421)</f>
        <v>7948</v>
      </c>
      <c r="M1347" s="6" t="n">
        <f aca="false">Summary!$B$3-J1347</f>
        <v>70</v>
      </c>
      <c r="N1347" s="6" t="str">
        <f aca="false">IF(K1347&gt;1,"Yes","No")</f>
        <v>No</v>
      </c>
      <c r="O1347" s="6" t="s">
        <v>47</v>
      </c>
    </row>
    <row r="1348" customFormat="false" ht="15" hidden="false" customHeight="false" outlineLevel="0" collapsed="false">
      <c r="A1348" s="6" t="s">
        <v>2805</v>
      </c>
      <c r="B1348" s="6" t="s">
        <v>2806</v>
      </c>
      <c r="C1348" s="6" t="s">
        <v>75</v>
      </c>
      <c r="D1348" s="6" t="n">
        <v>32</v>
      </c>
      <c r="E1348" s="6" t="s">
        <v>105</v>
      </c>
      <c r="F1348" s="6" t="s">
        <v>106</v>
      </c>
      <c r="G1348" s="26" t="n">
        <v>46161</v>
      </c>
      <c r="H1348" s="6" t="s">
        <v>88</v>
      </c>
      <c r="I1348" s="26" t="n">
        <f aca="false">_xlfn.MINIFS(Transaction!$C$2:$C$8421,Transaction!$B$2:$B$8421,A1348)</f>
        <v>46185</v>
      </c>
      <c r="J1348" s="26" t="n">
        <f aca="false">_xlfn.MAXIFS(Transaction!$C$2:$C$8421,Transaction!$B$2:$B$8421,A1348)</f>
        <v>46185</v>
      </c>
      <c r="K1348" s="6" t="n">
        <f aca="false">COUNTIF(Transaction!$B$2:$B$8421,A1348)</f>
        <v>1</v>
      </c>
      <c r="L1348" s="10" t="n">
        <f aca="false">SUMIF(Transaction!$B$2:$B$8421,A1348,Transaction!$H$2:$H$8421)</f>
        <v>2463</v>
      </c>
      <c r="M1348" s="6" t="n">
        <f aca="false">Summary!$B$3-J1348</f>
        <v>81</v>
      </c>
      <c r="N1348" s="6" t="str">
        <f aca="false">IF(K1348&gt;1,"Yes","No")</f>
        <v>No</v>
      </c>
      <c r="O1348" s="6" t="s">
        <v>47</v>
      </c>
    </row>
    <row r="1349" customFormat="false" ht="15" hidden="false" customHeight="false" outlineLevel="0" collapsed="false">
      <c r="A1349" s="6" t="s">
        <v>2807</v>
      </c>
      <c r="B1349" s="6" t="s">
        <v>2808</v>
      </c>
      <c r="C1349" s="6" t="s">
        <v>75</v>
      </c>
      <c r="D1349" s="6" t="n">
        <v>42</v>
      </c>
      <c r="E1349" s="6" t="s">
        <v>95</v>
      </c>
      <c r="F1349" s="6" t="s">
        <v>95</v>
      </c>
      <c r="G1349" s="26" t="n">
        <v>45943</v>
      </c>
      <c r="H1349" s="6" t="s">
        <v>78</v>
      </c>
      <c r="I1349" s="26" t="n">
        <f aca="false">_xlfn.MINIFS(Transaction!$C$2:$C$8421,Transaction!$B$2:$B$8421,A1349)</f>
        <v>46026</v>
      </c>
      <c r="J1349" s="26" t="n">
        <f aca="false">_xlfn.MAXIFS(Transaction!$C$2:$C$8421,Transaction!$B$2:$B$8421,A1349)</f>
        <v>46251</v>
      </c>
      <c r="K1349" s="6" t="n">
        <f aca="false">COUNTIF(Transaction!$B$2:$B$8421,A1349)</f>
        <v>13</v>
      </c>
      <c r="L1349" s="10" t="n">
        <f aca="false">SUMIF(Transaction!$B$2:$B$8421,A1349,Transaction!$H$2:$H$8421)</f>
        <v>17252</v>
      </c>
      <c r="M1349" s="6" t="n">
        <f aca="false">Summary!$B$3-J1349</f>
        <v>15</v>
      </c>
      <c r="N1349" s="6" t="str">
        <f aca="false">IF(K1349&gt;1,"Yes","No")</f>
        <v>Yes</v>
      </c>
      <c r="O1349" s="6" t="s">
        <v>45</v>
      </c>
    </row>
    <row r="1350" customFormat="false" ht="15" hidden="false" customHeight="false" outlineLevel="0" collapsed="false">
      <c r="A1350" s="6" t="s">
        <v>2809</v>
      </c>
      <c r="B1350" s="6" t="s">
        <v>2810</v>
      </c>
      <c r="C1350" s="6" t="s">
        <v>75</v>
      </c>
      <c r="D1350" s="6" t="n">
        <v>23</v>
      </c>
      <c r="E1350" s="6" t="s">
        <v>76</v>
      </c>
      <c r="F1350" s="6" t="s">
        <v>77</v>
      </c>
      <c r="G1350" s="26" t="n">
        <v>46016</v>
      </c>
      <c r="H1350" s="6" t="s">
        <v>78</v>
      </c>
      <c r="I1350" s="26" t="n">
        <f aca="false">_xlfn.MINIFS(Transaction!$C$2:$C$8421,Transaction!$B$2:$B$8421,A1350)</f>
        <v>46059</v>
      </c>
      <c r="J1350" s="26" t="n">
        <f aca="false">_xlfn.MAXIFS(Transaction!$C$2:$C$8421,Transaction!$B$2:$B$8421,A1350)</f>
        <v>46242</v>
      </c>
      <c r="K1350" s="6" t="n">
        <f aca="false">COUNTIF(Transaction!$B$2:$B$8421,A1350)</f>
        <v>11</v>
      </c>
      <c r="L1350" s="10" t="n">
        <f aca="false">SUMIF(Transaction!$B$2:$B$8421,A1350,Transaction!$H$2:$H$8421)</f>
        <v>13499</v>
      </c>
      <c r="M1350" s="6" t="n">
        <f aca="false">Summary!$B$3-J1350</f>
        <v>24</v>
      </c>
      <c r="N1350" s="6" t="str">
        <f aca="false">IF(K1350&gt;1,"Yes","No")</f>
        <v>Yes</v>
      </c>
      <c r="O1350" s="6" t="s">
        <v>45</v>
      </c>
    </row>
    <row r="1351" customFormat="false" ht="15" hidden="false" customHeight="false" outlineLevel="0" collapsed="false">
      <c r="A1351" s="6" t="s">
        <v>2811</v>
      </c>
      <c r="B1351" s="6" t="s">
        <v>2812</v>
      </c>
      <c r="C1351" s="6" t="s">
        <v>85</v>
      </c>
      <c r="D1351" s="6" t="n">
        <v>35</v>
      </c>
      <c r="E1351" s="6" t="s">
        <v>76</v>
      </c>
      <c r="F1351" s="6" t="s">
        <v>77</v>
      </c>
      <c r="G1351" s="26" t="n">
        <v>46064</v>
      </c>
      <c r="H1351" s="6" t="s">
        <v>78</v>
      </c>
      <c r="I1351" s="26" t="n">
        <f aca="false">_xlfn.MINIFS(Transaction!$C$2:$C$8421,Transaction!$B$2:$B$8421,A1351)</f>
        <v>46152</v>
      </c>
      <c r="J1351" s="26" t="n">
        <f aca="false">_xlfn.MAXIFS(Transaction!$C$2:$C$8421,Transaction!$B$2:$B$8421,A1351)</f>
        <v>46248</v>
      </c>
      <c r="K1351" s="6" t="n">
        <f aca="false">COUNTIF(Transaction!$B$2:$B$8421,A1351)</f>
        <v>2</v>
      </c>
      <c r="L1351" s="10" t="n">
        <f aca="false">SUMIF(Transaction!$B$2:$B$8421,A1351,Transaction!$H$2:$H$8421)</f>
        <v>6164</v>
      </c>
      <c r="M1351" s="6" t="n">
        <f aca="false">Summary!$B$3-J1351</f>
        <v>18</v>
      </c>
      <c r="N1351" s="6" t="str">
        <f aca="false">IF(K1351&gt;1,"Yes","No")</f>
        <v>Yes</v>
      </c>
      <c r="O1351" s="6" t="s">
        <v>46</v>
      </c>
    </row>
    <row r="1352" customFormat="false" ht="15" hidden="false" customHeight="false" outlineLevel="0" collapsed="false">
      <c r="A1352" s="6" t="s">
        <v>2813</v>
      </c>
      <c r="B1352" s="6" t="s">
        <v>2814</v>
      </c>
      <c r="C1352" s="6" t="s">
        <v>85</v>
      </c>
      <c r="D1352" s="6" t="n">
        <v>22</v>
      </c>
      <c r="E1352" s="6" t="s">
        <v>206</v>
      </c>
      <c r="F1352" s="6" t="s">
        <v>106</v>
      </c>
      <c r="G1352" s="26" t="n">
        <v>45989</v>
      </c>
      <c r="H1352" s="6" t="s">
        <v>88</v>
      </c>
      <c r="I1352" s="26" t="n">
        <f aca="false">_xlfn.MINIFS(Transaction!$C$2:$C$8421,Transaction!$B$2:$B$8421,A1352)</f>
        <v>46032</v>
      </c>
      <c r="J1352" s="26" t="n">
        <f aca="false">_xlfn.MAXIFS(Transaction!$C$2:$C$8421,Transaction!$B$2:$B$8421,A1352)</f>
        <v>46032</v>
      </c>
      <c r="K1352" s="6" t="n">
        <f aca="false">COUNTIF(Transaction!$B$2:$B$8421,A1352)</f>
        <v>1</v>
      </c>
      <c r="L1352" s="10" t="n">
        <f aca="false">SUMIF(Transaction!$B$2:$B$8421,A1352,Transaction!$H$2:$H$8421)</f>
        <v>785</v>
      </c>
      <c r="M1352" s="6" t="n">
        <f aca="false">Summary!$B$3-J1352</f>
        <v>234</v>
      </c>
      <c r="N1352" s="6" t="str">
        <f aca="false">IF(K1352&gt;1,"Yes","No")</f>
        <v>No</v>
      </c>
      <c r="O1352" s="6" t="s">
        <v>49</v>
      </c>
    </row>
    <row r="1353" customFormat="false" ht="15" hidden="false" customHeight="false" outlineLevel="0" collapsed="false">
      <c r="A1353" s="6" t="s">
        <v>2815</v>
      </c>
      <c r="B1353" s="6" t="s">
        <v>2816</v>
      </c>
      <c r="C1353" s="6" t="s">
        <v>85</v>
      </c>
      <c r="D1353" s="6" t="n">
        <v>53</v>
      </c>
      <c r="E1353" s="6" t="s">
        <v>81</v>
      </c>
      <c r="F1353" s="6" t="s">
        <v>82</v>
      </c>
      <c r="G1353" s="26" t="n">
        <v>46167</v>
      </c>
      <c r="H1353" s="6" t="s">
        <v>78</v>
      </c>
      <c r="I1353" s="26" t="n">
        <f aca="false">_xlfn.MINIFS(Transaction!$C$2:$C$8421,Transaction!$B$2:$B$8421,A1353)</f>
        <v>46187</v>
      </c>
      <c r="J1353" s="26" t="n">
        <f aca="false">_xlfn.MAXIFS(Transaction!$C$2:$C$8421,Transaction!$B$2:$B$8421,A1353)</f>
        <v>46187</v>
      </c>
      <c r="K1353" s="6" t="n">
        <f aca="false">COUNTIF(Transaction!$B$2:$B$8421,A1353)</f>
        <v>1</v>
      </c>
      <c r="L1353" s="10" t="n">
        <f aca="false">SUMIF(Transaction!$B$2:$B$8421,A1353,Transaction!$H$2:$H$8421)</f>
        <v>884</v>
      </c>
      <c r="M1353" s="6" t="n">
        <f aca="false">Summary!$B$3-J1353</f>
        <v>79</v>
      </c>
      <c r="N1353" s="6" t="str">
        <f aca="false">IF(K1353&gt;1,"Yes","No")</f>
        <v>No</v>
      </c>
      <c r="O1353" s="6" t="s">
        <v>47</v>
      </c>
    </row>
    <row r="1354" customFormat="false" ht="15" hidden="false" customHeight="false" outlineLevel="0" collapsed="false">
      <c r="A1354" s="6" t="s">
        <v>2817</v>
      </c>
      <c r="B1354" s="6" t="s">
        <v>2818</v>
      </c>
      <c r="C1354" s="6" t="s">
        <v>75</v>
      </c>
      <c r="D1354" s="6" t="n">
        <v>27</v>
      </c>
      <c r="E1354" s="6" t="s">
        <v>81</v>
      </c>
      <c r="F1354" s="6" t="s">
        <v>82</v>
      </c>
      <c r="G1354" s="26" t="n">
        <v>46142</v>
      </c>
      <c r="H1354" s="6" t="s">
        <v>92</v>
      </c>
      <c r="I1354" s="26" t="n">
        <f aca="false">_xlfn.MINIFS(Transaction!$C$2:$C$8421,Transaction!$B$2:$B$8421,A1354)</f>
        <v>46161</v>
      </c>
      <c r="J1354" s="26" t="n">
        <f aca="false">_xlfn.MAXIFS(Transaction!$C$2:$C$8421,Transaction!$B$2:$B$8421,A1354)</f>
        <v>46161</v>
      </c>
      <c r="K1354" s="6" t="n">
        <f aca="false">COUNTIF(Transaction!$B$2:$B$8421,A1354)</f>
        <v>1</v>
      </c>
      <c r="L1354" s="10" t="n">
        <f aca="false">SUMIF(Transaction!$B$2:$B$8421,A1354,Transaction!$H$2:$H$8421)</f>
        <v>882</v>
      </c>
      <c r="M1354" s="6" t="n">
        <f aca="false">Summary!$B$3-J1354</f>
        <v>105</v>
      </c>
      <c r="N1354" s="6" t="str">
        <f aca="false">IF(K1354&gt;1,"Yes","No")</f>
        <v>No</v>
      </c>
      <c r="O1354" s="6" t="s">
        <v>48</v>
      </c>
    </row>
    <row r="1355" customFormat="false" ht="15" hidden="false" customHeight="false" outlineLevel="0" collapsed="false">
      <c r="A1355" s="6" t="s">
        <v>2819</v>
      </c>
      <c r="B1355" s="6" t="s">
        <v>2820</v>
      </c>
      <c r="C1355" s="6" t="s">
        <v>75</v>
      </c>
      <c r="D1355" s="6" t="n">
        <v>22</v>
      </c>
      <c r="E1355" s="6" t="s">
        <v>121</v>
      </c>
      <c r="F1355" s="6" t="s">
        <v>122</v>
      </c>
      <c r="G1355" s="26" t="n">
        <v>46203</v>
      </c>
      <c r="H1355" s="6" t="s">
        <v>78</v>
      </c>
      <c r="I1355" s="26" t="n">
        <f aca="false">_xlfn.MINIFS(Transaction!$C$2:$C$8421,Transaction!$B$2:$B$8421,A1355)</f>
        <v>46256</v>
      </c>
      <c r="J1355" s="26" t="n">
        <f aca="false">_xlfn.MAXIFS(Transaction!$C$2:$C$8421,Transaction!$B$2:$B$8421,A1355)</f>
        <v>46256</v>
      </c>
      <c r="K1355" s="6" t="n">
        <f aca="false">COUNTIF(Transaction!$B$2:$B$8421,A1355)</f>
        <v>1</v>
      </c>
      <c r="L1355" s="10" t="n">
        <f aca="false">SUMIF(Transaction!$B$2:$B$8421,A1355,Transaction!$H$2:$H$8421)</f>
        <v>555</v>
      </c>
      <c r="M1355" s="6" t="n">
        <f aca="false">Summary!$B$3-J1355</f>
        <v>10</v>
      </c>
      <c r="N1355" s="6" t="str">
        <f aca="false">IF(K1355&gt;1,"Yes","No")</f>
        <v>No</v>
      </c>
      <c r="O1355" s="6" t="s">
        <v>47</v>
      </c>
    </row>
    <row r="1356" customFormat="false" ht="15" hidden="false" customHeight="false" outlineLevel="0" collapsed="false">
      <c r="A1356" s="6" t="s">
        <v>2821</v>
      </c>
      <c r="B1356" s="6" t="s">
        <v>2822</v>
      </c>
      <c r="C1356" s="6" t="s">
        <v>75</v>
      </c>
      <c r="D1356" s="6" t="n">
        <v>35</v>
      </c>
      <c r="E1356" s="6" t="s">
        <v>91</v>
      </c>
      <c r="F1356" s="6" t="s">
        <v>77</v>
      </c>
      <c r="G1356" s="26" t="n">
        <v>46196</v>
      </c>
      <c r="H1356" s="6" t="s">
        <v>115</v>
      </c>
      <c r="I1356" s="26" t="n">
        <f aca="false">_xlfn.MINIFS(Transaction!$C$2:$C$8421,Transaction!$B$2:$B$8421,A1356)</f>
        <v>46197</v>
      </c>
      <c r="J1356" s="26" t="n">
        <f aca="false">_xlfn.MAXIFS(Transaction!$C$2:$C$8421,Transaction!$B$2:$B$8421,A1356)</f>
        <v>46197</v>
      </c>
      <c r="K1356" s="6" t="n">
        <f aca="false">COUNTIF(Transaction!$B$2:$B$8421,A1356)</f>
        <v>1</v>
      </c>
      <c r="L1356" s="10" t="n">
        <f aca="false">SUMIF(Transaction!$B$2:$B$8421,A1356,Transaction!$H$2:$H$8421)</f>
        <v>1954</v>
      </c>
      <c r="M1356" s="6" t="n">
        <f aca="false">Summary!$B$3-J1356</f>
        <v>69</v>
      </c>
      <c r="N1356" s="6" t="str">
        <f aca="false">IF(K1356&gt;1,"Yes","No")</f>
        <v>No</v>
      </c>
      <c r="O1356" s="6" t="s">
        <v>47</v>
      </c>
    </row>
    <row r="1357" customFormat="false" ht="15" hidden="false" customHeight="false" outlineLevel="0" collapsed="false">
      <c r="A1357" s="6" t="s">
        <v>2823</v>
      </c>
      <c r="B1357" s="6" t="s">
        <v>2824</v>
      </c>
      <c r="C1357" s="6" t="s">
        <v>85</v>
      </c>
      <c r="D1357" s="6" t="n">
        <v>21</v>
      </c>
      <c r="E1357" s="6" t="s">
        <v>140</v>
      </c>
      <c r="F1357" s="6" t="s">
        <v>141</v>
      </c>
      <c r="G1357" s="26" t="n">
        <v>46008</v>
      </c>
      <c r="H1357" s="6" t="s">
        <v>102</v>
      </c>
      <c r="I1357" s="26" t="n">
        <f aca="false">_xlfn.MINIFS(Transaction!$C$2:$C$8421,Transaction!$B$2:$B$8421,A1357)</f>
        <v>46055</v>
      </c>
      <c r="J1357" s="26" t="n">
        <f aca="false">_xlfn.MAXIFS(Transaction!$C$2:$C$8421,Transaction!$B$2:$B$8421,A1357)</f>
        <v>46055</v>
      </c>
      <c r="K1357" s="6" t="n">
        <f aca="false">COUNTIF(Transaction!$B$2:$B$8421,A1357)</f>
        <v>1</v>
      </c>
      <c r="L1357" s="10" t="n">
        <f aca="false">SUMIF(Transaction!$B$2:$B$8421,A1357,Transaction!$H$2:$H$8421)</f>
        <v>1761</v>
      </c>
      <c r="M1357" s="6" t="n">
        <f aca="false">Summary!$B$3-J1357</f>
        <v>211</v>
      </c>
      <c r="N1357" s="6" t="str">
        <f aca="false">IF(K1357&gt;1,"Yes","No")</f>
        <v>No</v>
      </c>
      <c r="O1357" s="6" t="s">
        <v>49</v>
      </c>
    </row>
    <row r="1358" customFormat="false" ht="15" hidden="false" customHeight="false" outlineLevel="0" collapsed="false">
      <c r="A1358" s="6" t="s">
        <v>2825</v>
      </c>
      <c r="B1358" s="6" t="s">
        <v>2826</v>
      </c>
      <c r="C1358" s="6" t="s">
        <v>75</v>
      </c>
      <c r="D1358" s="6" t="n">
        <v>21</v>
      </c>
      <c r="E1358" s="6" t="s">
        <v>81</v>
      </c>
      <c r="F1358" s="6" t="s">
        <v>82</v>
      </c>
      <c r="G1358" s="26" t="n">
        <v>46197</v>
      </c>
      <c r="H1358" s="6" t="s">
        <v>115</v>
      </c>
      <c r="I1358" s="26" t="n">
        <f aca="false">_xlfn.MINIFS(Transaction!$C$2:$C$8421,Transaction!$B$2:$B$8421,A1358)</f>
        <v>46210</v>
      </c>
      <c r="J1358" s="26" t="n">
        <f aca="false">_xlfn.MAXIFS(Transaction!$C$2:$C$8421,Transaction!$B$2:$B$8421,A1358)</f>
        <v>46210</v>
      </c>
      <c r="K1358" s="6" t="n">
        <f aca="false">COUNTIF(Transaction!$B$2:$B$8421,A1358)</f>
        <v>1</v>
      </c>
      <c r="L1358" s="10" t="n">
        <f aca="false">SUMIF(Transaction!$B$2:$B$8421,A1358,Transaction!$H$2:$H$8421)</f>
        <v>1061</v>
      </c>
      <c r="M1358" s="6" t="n">
        <f aca="false">Summary!$B$3-J1358</f>
        <v>56</v>
      </c>
      <c r="N1358" s="6" t="str">
        <f aca="false">IF(K1358&gt;1,"Yes","No")</f>
        <v>No</v>
      </c>
      <c r="O1358" s="6" t="s">
        <v>47</v>
      </c>
    </row>
    <row r="1359" customFormat="false" ht="15" hidden="false" customHeight="false" outlineLevel="0" collapsed="false">
      <c r="A1359" s="6" t="s">
        <v>2827</v>
      </c>
      <c r="B1359" s="6" t="s">
        <v>2828</v>
      </c>
      <c r="C1359" s="6" t="s">
        <v>85</v>
      </c>
      <c r="D1359" s="6" t="n">
        <v>33</v>
      </c>
      <c r="E1359" s="6" t="s">
        <v>121</v>
      </c>
      <c r="F1359" s="6" t="s">
        <v>122</v>
      </c>
      <c r="G1359" s="26" t="n">
        <v>45946</v>
      </c>
      <c r="H1359" s="6" t="s">
        <v>115</v>
      </c>
      <c r="I1359" s="26" t="n">
        <f aca="false">_xlfn.MINIFS(Transaction!$C$2:$C$8421,Transaction!$B$2:$B$8421,A1359)</f>
        <v>46027</v>
      </c>
      <c r="J1359" s="26" t="n">
        <f aca="false">_xlfn.MAXIFS(Transaction!$C$2:$C$8421,Transaction!$B$2:$B$8421,A1359)</f>
        <v>46180</v>
      </c>
      <c r="K1359" s="6" t="n">
        <f aca="false">COUNTIF(Transaction!$B$2:$B$8421,A1359)</f>
        <v>5</v>
      </c>
      <c r="L1359" s="10" t="n">
        <f aca="false">SUMIF(Transaction!$B$2:$B$8421,A1359,Transaction!$H$2:$H$8421)</f>
        <v>19830</v>
      </c>
      <c r="M1359" s="6" t="n">
        <f aca="false">Summary!$B$3-J1359</f>
        <v>86</v>
      </c>
      <c r="N1359" s="6" t="str">
        <f aca="false">IF(K1359&gt;1,"Yes","No")</f>
        <v>Yes</v>
      </c>
      <c r="O1359" s="6" t="s">
        <v>46</v>
      </c>
    </row>
    <row r="1360" customFormat="false" ht="15" hidden="false" customHeight="false" outlineLevel="0" collapsed="false">
      <c r="A1360" s="6" t="s">
        <v>2829</v>
      </c>
      <c r="B1360" s="6" t="s">
        <v>2830</v>
      </c>
      <c r="C1360" s="6" t="s">
        <v>85</v>
      </c>
      <c r="D1360" s="6" t="n">
        <v>44</v>
      </c>
      <c r="E1360" s="6" t="s">
        <v>81</v>
      </c>
      <c r="F1360" s="6" t="s">
        <v>82</v>
      </c>
      <c r="G1360" s="26" t="n">
        <v>45968</v>
      </c>
      <c r="H1360" s="6" t="s">
        <v>123</v>
      </c>
      <c r="I1360" s="26" t="n">
        <f aca="false">_xlfn.MINIFS(Transaction!$C$2:$C$8421,Transaction!$B$2:$B$8421,A1360)</f>
        <v>46058</v>
      </c>
      <c r="J1360" s="26" t="n">
        <f aca="false">_xlfn.MAXIFS(Transaction!$C$2:$C$8421,Transaction!$B$2:$B$8421,A1360)</f>
        <v>46250</v>
      </c>
      <c r="K1360" s="6" t="n">
        <f aca="false">COUNTIF(Transaction!$B$2:$B$8421,A1360)</f>
        <v>9</v>
      </c>
      <c r="L1360" s="10" t="n">
        <f aca="false">SUMIF(Transaction!$B$2:$B$8421,A1360,Transaction!$H$2:$H$8421)</f>
        <v>13303</v>
      </c>
      <c r="M1360" s="6" t="n">
        <f aca="false">Summary!$B$3-J1360</f>
        <v>16</v>
      </c>
      <c r="N1360" s="6" t="str">
        <f aca="false">IF(K1360&gt;1,"Yes","No")</f>
        <v>Yes</v>
      </c>
      <c r="O1360" s="6" t="s">
        <v>45</v>
      </c>
    </row>
    <row r="1361" customFormat="false" ht="15" hidden="false" customHeight="false" outlineLevel="0" collapsed="false">
      <c r="A1361" s="6" t="s">
        <v>2831</v>
      </c>
      <c r="B1361" s="6" t="s">
        <v>2832</v>
      </c>
      <c r="C1361" s="6" t="s">
        <v>85</v>
      </c>
      <c r="D1361" s="6" t="n">
        <v>29</v>
      </c>
      <c r="E1361" s="6" t="s">
        <v>126</v>
      </c>
      <c r="F1361" s="6" t="s">
        <v>127</v>
      </c>
      <c r="G1361" s="26" t="n">
        <v>46158</v>
      </c>
      <c r="H1361" s="6" t="s">
        <v>92</v>
      </c>
      <c r="I1361" s="26" t="n">
        <f aca="false">_xlfn.MINIFS(Transaction!$C$2:$C$8421,Transaction!$B$2:$B$8421,A1361)</f>
        <v>46175</v>
      </c>
      <c r="J1361" s="26" t="n">
        <f aca="false">_xlfn.MAXIFS(Transaction!$C$2:$C$8421,Transaction!$B$2:$B$8421,A1361)</f>
        <v>46175</v>
      </c>
      <c r="K1361" s="6" t="n">
        <f aca="false">COUNTIF(Transaction!$B$2:$B$8421,A1361)</f>
        <v>1</v>
      </c>
      <c r="L1361" s="10" t="n">
        <f aca="false">SUMIF(Transaction!$B$2:$B$8421,A1361,Transaction!$H$2:$H$8421)</f>
        <v>3537</v>
      </c>
      <c r="M1361" s="6" t="n">
        <f aca="false">Summary!$B$3-J1361</f>
        <v>91</v>
      </c>
      <c r="N1361" s="6" t="str">
        <f aca="false">IF(K1361&gt;1,"Yes","No")</f>
        <v>No</v>
      </c>
      <c r="O1361" s="6" t="s">
        <v>47</v>
      </c>
    </row>
    <row r="1362" customFormat="false" ht="15" hidden="false" customHeight="false" outlineLevel="0" collapsed="false">
      <c r="A1362" s="6" t="s">
        <v>2833</v>
      </c>
      <c r="B1362" s="6" t="s">
        <v>2834</v>
      </c>
      <c r="C1362" s="6" t="s">
        <v>85</v>
      </c>
      <c r="D1362" s="6" t="n">
        <v>28</v>
      </c>
      <c r="E1362" s="6" t="s">
        <v>121</v>
      </c>
      <c r="F1362" s="6" t="s">
        <v>122</v>
      </c>
      <c r="G1362" s="26" t="n">
        <v>46116</v>
      </c>
      <c r="H1362" s="6" t="s">
        <v>115</v>
      </c>
      <c r="I1362" s="26" t="n">
        <f aca="false">_xlfn.MINIFS(Transaction!$C$2:$C$8421,Transaction!$B$2:$B$8421,A1362)</f>
        <v>46139</v>
      </c>
      <c r="J1362" s="26" t="n">
        <f aca="false">_xlfn.MAXIFS(Transaction!$C$2:$C$8421,Transaction!$B$2:$B$8421,A1362)</f>
        <v>46221</v>
      </c>
      <c r="K1362" s="6" t="n">
        <f aca="false">COUNTIF(Transaction!$B$2:$B$8421,A1362)</f>
        <v>2</v>
      </c>
      <c r="L1362" s="10" t="n">
        <f aca="false">SUMIF(Transaction!$B$2:$B$8421,A1362,Transaction!$H$2:$H$8421)</f>
        <v>1919</v>
      </c>
      <c r="M1362" s="6" t="n">
        <f aca="false">Summary!$B$3-J1362</f>
        <v>45</v>
      </c>
      <c r="N1362" s="6" t="str">
        <f aca="false">IF(K1362&gt;1,"Yes","No")</f>
        <v>Yes</v>
      </c>
      <c r="O1362" s="6" t="s">
        <v>46</v>
      </c>
    </row>
    <row r="1363" customFormat="false" ht="15" hidden="false" customHeight="false" outlineLevel="0" collapsed="false">
      <c r="A1363" s="6" t="s">
        <v>2835</v>
      </c>
      <c r="B1363" s="6" t="s">
        <v>2836</v>
      </c>
      <c r="C1363" s="6" t="s">
        <v>85</v>
      </c>
      <c r="D1363" s="6" t="n">
        <v>18</v>
      </c>
      <c r="E1363" s="6" t="s">
        <v>81</v>
      </c>
      <c r="F1363" s="6" t="s">
        <v>82</v>
      </c>
      <c r="G1363" s="26" t="n">
        <v>46118</v>
      </c>
      <c r="H1363" s="6" t="s">
        <v>115</v>
      </c>
      <c r="I1363" s="26" t="n">
        <f aca="false">_xlfn.MINIFS(Transaction!$C$2:$C$8421,Transaction!$B$2:$B$8421,A1363)</f>
        <v>46133</v>
      </c>
      <c r="J1363" s="26" t="n">
        <f aca="false">_xlfn.MAXIFS(Transaction!$C$2:$C$8421,Transaction!$B$2:$B$8421,A1363)</f>
        <v>46217</v>
      </c>
      <c r="K1363" s="6" t="n">
        <f aca="false">COUNTIF(Transaction!$B$2:$B$8421,A1363)</f>
        <v>2</v>
      </c>
      <c r="L1363" s="10" t="n">
        <f aca="false">SUMIF(Transaction!$B$2:$B$8421,A1363,Transaction!$H$2:$H$8421)</f>
        <v>2141</v>
      </c>
      <c r="M1363" s="6" t="n">
        <f aca="false">Summary!$B$3-J1363</f>
        <v>49</v>
      </c>
      <c r="N1363" s="6" t="str">
        <f aca="false">IF(K1363&gt;1,"Yes","No")</f>
        <v>Yes</v>
      </c>
      <c r="O1363" s="6" t="s">
        <v>46</v>
      </c>
    </row>
    <row r="1364" customFormat="false" ht="15" hidden="false" customHeight="false" outlineLevel="0" collapsed="false">
      <c r="A1364" s="6" t="s">
        <v>2837</v>
      </c>
      <c r="B1364" s="6" t="s">
        <v>2838</v>
      </c>
      <c r="C1364" s="6" t="s">
        <v>75</v>
      </c>
      <c r="D1364" s="6" t="n">
        <v>41</v>
      </c>
      <c r="E1364" s="6" t="s">
        <v>140</v>
      </c>
      <c r="F1364" s="6" t="s">
        <v>141</v>
      </c>
      <c r="G1364" s="26" t="n">
        <v>46180</v>
      </c>
      <c r="H1364" s="6" t="s">
        <v>115</v>
      </c>
      <c r="I1364" s="26" t="n">
        <f aca="false">_xlfn.MINIFS(Transaction!$C$2:$C$8421,Transaction!$B$2:$B$8421,A1364)</f>
        <v>46205</v>
      </c>
      <c r="J1364" s="26" t="n">
        <f aca="false">_xlfn.MAXIFS(Transaction!$C$2:$C$8421,Transaction!$B$2:$B$8421,A1364)</f>
        <v>46205</v>
      </c>
      <c r="K1364" s="6" t="n">
        <f aca="false">COUNTIF(Transaction!$B$2:$B$8421,A1364)</f>
        <v>1</v>
      </c>
      <c r="L1364" s="10" t="n">
        <f aca="false">SUMIF(Transaction!$B$2:$B$8421,A1364,Transaction!$H$2:$H$8421)</f>
        <v>1760</v>
      </c>
      <c r="M1364" s="6" t="n">
        <f aca="false">Summary!$B$3-J1364</f>
        <v>61</v>
      </c>
      <c r="N1364" s="6" t="str">
        <f aca="false">IF(K1364&gt;1,"Yes","No")</f>
        <v>No</v>
      </c>
      <c r="O1364" s="6" t="s">
        <v>47</v>
      </c>
    </row>
    <row r="1365" customFormat="false" ht="15" hidden="false" customHeight="false" outlineLevel="0" collapsed="false">
      <c r="A1365" s="6" t="s">
        <v>2839</v>
      </c>
      <c r="B1365" s="6" t="s">
        <v>2840</v>
      </c>
      <c r="C1365" s="6" t="s">
        <v>85</v>
      </c>
      <c r="D1365" s="6" t="n">
        <v>31</v>
      </c>
      <c r="E1365" s="6" t="s">
        <v>105</v>
      </c>
      <c r="F1365" s="6" t="s">
        <v>106</v>
      </c>
      <c r="G1365" s="26" t="n">
        <v>45962</v>
      </c>
      <c r="H1365" s="6" t="s">
        <v>115</v>
      </c>
      <c r="I1365" s="26" t="n">
        <f aca="false">_xlfn.MINIFS(Transaction!$C$2:$C$8421,Transaction!$B$2:$B$8421,A1365)</f>
        <v>46027</v>
      </c>
      <c r="J1365" s="26" t="n">
        <f aca="false">_xlfn.MAXIFS(Transaction!$C$2:$C$8421,Transaction!$B$2:$B$8421,A1365)</f>
        <v>46221</v>
      </c>
      <c r="K1365" s="6" t="n">
        <f aca="false">COUNTIF(Transaction!$B$2:$B$8421,A1365)</f>
        <v>4</v>
      </c>
      <c r="L1365" s="10" t="n">
        <f aca="false">SUMIF(Transaction!$B$2:$B$8421,A1365,Transaction!$H$2:$H$8421)</f>
        <v>12246</v>
      </c>
      <c r="M1365" s="6" t="n">
        <f aca="false">Summary!$B$3-J1365</f>
        <v>45</v>
      </c>
      <c r="N1365" s="6" t="str">
        <f aca="false">IF(K1365&gt;1,"Yes","No")</f>
        <v>Yes</v>
      </c>
      <c r="O1365" s="6" t="s">
        <v>46</v>
      </c>
    </row>
    <row r="1366" customFormat="false" ht="15" hidden="false" customHeight="false" outlineLevel="0" collapsed="false">
      <c r="A1366" s="6" t="s">
        <v>2841</v>
      </c>
      <c r="B1366" s="6" t="s">
        <v>2842</v>
      </c>
      <c r="C1366" s="6" t="s">
        <v>85</v>
      </c>
      <c r="D1366" s="6" t="n">
        <v>26</v>
      </c>
      <c r="E1366" s="6" t="s">
        <v>91</v>
      </c>
      <c r="F1366" s="6" t="s">
        <v>77</v>
      </c>
      <c r="G1366" s="26" t="n">
        <v>46021</v>
      </c>
      <c r="H1366" s="6" t="s">
        <v>78</v>
      </c>
      <c r="I1366" s="26" t="n">
        <f aca="false">_xlfn.MINIFS(Transaction!$C$2:$C$8421,Transaction!$B$2:$B$8421,A1366)</f>
        <v>46056</v>
      </c>
      <c r="J1366" s="26" t="n">
        <f aca="false">_xlfn.MAXIFS(Transaction!$C$2:$C$8421,Transaction!$B$2:$B$8421,A1366)</f>
        <v>46218</v>
      </c>
      <c r="K1366" s="6" t="n">
        <f aca="false">COUNTIF(Transaction!$B$2:$B$8421,A1366)</f>
        <v>3</v>
      </c>
      <c r="L1366" s="10" t="n">
        <f aca="false">SUMIF(Transaction!$B$2:$B$8421,A1366,Transaction!$H$2:$H$8421)</f>
        <v>3838</v>
      </c>
      <c r="M1366" s="6" t="n">
        <f aca="false">Summary!$B$3-J1366</f>
        <v>48</v>
      </c>
      <c r="N1366" s="6" t="str">
        <f aca="false">IF(K1366&gt;1,"Yes","No")</f>
        <v>Yes</v>
      </c>
      <c r="O1366" s="6" t="s">
        <v>46</v>
      </c>
    </row>
    <row r="1367" customFormat="false" ht="15" hidden="false" customHeight="false" outlineLevel="0" collapsed="false">
      <c r="A1367" s="6" t="s">
        <v>2843</v>
      </c>
      <c r="B1367" s="6" t="s">
        <v>2844</v>
      </c>
      <c r="C1367" s="6" t="s">
        <v>85</v>
      </c>
      <c r="D1367" s="6" t="n">
        <v>44</v>
      </c>
      <c r="E1367" s="6" t="s">
        <v>121</v>
      </c>
      <c r="F1367" s="6" t="s">
        <v>122</v>
      </c>
      <c r="G1367" s="26" t="n">
        <v>46022</v>
      </c>
      <c r="H1367" s="6" t="s">
        <v>115</v>
      </c>
      <c r="I1367" s="26" t="n">
        <f aca="false">_xlfn.MINIFS(Transaction!$C$2:$C$8421,Transaction!$B$2:$B$8421,A1367)</f>
        <v>46044</v>
      </c>
      <c r="J1367" s="26" t="n">
        <f aca="false">_xlfn.MAXIFS(Transaction!$C$2:$C$8421,Transaction!$B$2:$B$8421,A1367)</f>
        <v>46244</v>
      </c>
      <c r="K1367" s="6" t="n">
        <f aca="false">COUNTIF(Transaction!$B$2:$B$8421,A1367)</f>
        <v>11</v>
      </c>
      <c r="L1367" s="10" t="n">
        <f aca="false">SUMIF(Transaction!$B$2:$B$8421,A1367,Transaction!$H$2:$H$8421)</f>
        <v>32581</v>
      </c>
      <c r="M1367" s="6" t="n">
        <f aca="false">Summary!$B$3-J1367</f>
        <v>22</v>
      </c>
      <c r="N1367" s="6" t="str">
        <f aca="false">IF(K1367&gt;1,"Yes","No")</f>
        <v>Yes</v>
      </c>
      <c r="O1367" s="6" t="s">
        <v>45</v>
      </c>
    </row>
    <row r="1368" customFormat="false" ht="15" hidden="false" customHeight="false" outlineLevel="0" collapsed="false">
      <c r="A1368" s="6" t="s">
        <v>2845</v>
      </c>
      <c r="B1368" s="6" t="s">
        <v>2846</v>
      </c>
      <c r="C1368" s="6" t="s">
        <v>85</v>
      </c>
      <c r="D1368" s="6" t="n">
        <v>21</v>
      </c>
      <c r="E1368" s="6" t="s">
        <v>321</v>
      </c>
      <c r="F1368" s="6" t="s">
        <v>321</v>
      </c>
      <c r="G1368" s="26" t="n">
        <v>46041</v>
      </c>
      <c r="H1368" s="6" t="s">
        <v>102</v>
      </c>
      <c r="I1368" s="26" t="n">
        <f aca="false">_xlfn.MINIFS(Transaction!$C$2:$C$8421,Transaction!$B$2:$B$8421,A1368)</f>
        <v>46062</v>
      </c>
      <c r="J1368" s="26" t="n">
        <f aca="false">_xlfn.MAXIFS(Transaction!$C$2:$C$8421,Transaction!$B$2:$B$8421,A1368)</f>
        <v>46062</v>
      </c>
      <c r="K1368" s="6" t="n">
        <f aca="false">COUNTIF(Transaction!$B$2:$B$8421,A1368)</f>
        <v>1</v>
      </c>
      <c r="L1368" s="10" t="n">
        <f aca="false">SUMIF(Transaction!$B$2:$B$8421,A1368,Transaction!$H$2:$H$8421)</f>
        <v>586</v>
      </c>
      <c r="M1368" s="6" t="n">
        <f aca="false">Summary!$B$3-J1368</f>
        <v>204</v>
      </c>
      <c r="N1368" s="6" t="str">
        <f aca="false">IF(K1368&gt;1,"Yes","No")</f>
        <v>No</v>
      </c>
      <c r="O1368" s="6" t="s">
        <v>49</v>
      </c>
    </row>
    <row r="1369" customFormat="false" ht="15" hidden="false" customHeight="false" outlineLevel="0" collapsed="false">
      <c r="A1369" s="6" t="s">
        <v>2847</v>
      </c>
      <c r="B1369" s="6" t="s">
        <v>2848</v>
      </c>
      <c r="C1369" s="6" t="s">
        <v>85</v>
      </c>
      <c r="D1369" s="6" t="n">
        <v>46</v>
      </c>
      <c r="E1369" s="6" t="s">
        <v>237</v>
      </c>
      <c r="F1369" s="6" t="s">
        <v>87</v>
      </c>
      <c r="G1369" s="26" t="n">
        <v>45992</v>
      </c>
      <c r="H1369" s="6" t="s">
        <v>78</v>
      </c>
      <c r="I1369" s="26" t="n">
        <f aca="false">_xlfn.MINIFS(Transaction!$C$2:$C$8421,Transaction!$B$2:$B$8421,A1369)</f>
        <v>46071</v>
      </c>
      <c r="J1369" s="26" t="n">
        <f aca="false">_xlfn.MAXIFS(Transaction!$C$2:$C$8421,Transaction!$B$2:$B$8421,A1369)</f>
        <v>46237</v>
      </c>
      <c r="K1369" s="6" t="n">
        <f aca="false">COUNTIF(Transaction!$B$2:$B$8421,A1369)</f>
        <v>7</v>
      </c>
      <c r="L1369" s="10" t="n">
        <f aca="false">SUMIF(Transaction!$B$2:$B$8421,A1369,Transaction!$H$2:$H$8421)</f>
        <v>14734</v>
      </c>
      <c r="M1369" s="6" t="n">
        <f aca="false">Summary!$B$3-J1369</f>
        <v>29</v>
      </c>
      <c r="N1369" s="6" t="str">
        <f aca="false">IF(K1369&gt;1,"Yes","No")</f>
        <v>Yes</v>
      </c>
      <c r="O1369" s="6" t="s">
        <v>46</v>
      </c>
    </row>
    <row r="1370" customFormat="false" ht="15" hidden="false" customHeight="false" outlineLevel="0" collapsed="false">
      <c r="A1370" s="6" t="s">
        <v>2849</v>
      </c>
      <c r="B1370" s="6" t="s">
        <v>2850</v>
      </c>
      <c r="C1370" s="6" t="s">
        <v>75</v>
      </c>
      <c r="D1370" s="6" t="n">
        <v>25</v>
      </c>
      <c r="E1370" s="6" t="s">
        <v>91</v>
      </c>
      <c r="F1370" s="6" t="s">
        <v>77</v>
      </c>
      <c r="G1370" s="26" t="n">
        <v>45958</v>
      </c>
      <c r="H1370" s="6" t="s">
        <v>78</v>
      </c>
      <c r="I1370" s="26" t="n">
        <f aca="false">_xlfn.MINIFS(Transaction!$C$2:$C$8421,Transaction!$B$2:$B$8421,A1370)</f>
        <v>46031</v>
      </c>
      <c r="J1370" s="26" t="n">
        <f aca="false">_xlfn.MAXIFS(Transaction!$C$2:$C$8421,Transaction!$B$2:$B$8421,A1370)</f>
        <v>46246</v>
      </c>
      <c r="K1370" s="6" t="n">
        <f aca="false">COUNTIF(Transaction!$B$2:$B$8421,A1370)</f>
        <v>11</v>
      </c>
      <c r="L1370" s="10" t="n">
        <f aca="false">SUMIF(Transaction!$B$2:$B$8421,A1370,Transaction!$H$2:$H$8421)</f>
        <v>30263</v>
      </c>
      <c r="M1370" s="6" t="n">
        <f aca="false">Summary!$B$3-J1370</f>
        <v>20</v>
      </c>
      <c r="N1370" s="6" t="str">
        <f aca="false">IF(K1370&gt;1,"Yes","No")</f>
        <v>Yes</v>
      </c>
      <c r="O1370" s="6" t="s">
        <v>45</v>
      </c>
    </row>
    <row r="1371" customFormat="false" ht="15" hidden="false" customHeight="false" outlineLevel="0" collapsed="false">
      <c r="A1371" s="6" t="s">
        <v>2851</v>
      </c>
      <c r="B1371" s="6" t="s">
        <v>2852</v>
      </c>
      <c r="C1371" s="6" t="s">
        <v>75</v>
      </c>
      <c r="D1371" s="6" t="n">
        <v>43</v>
      </c>
      <c r="E1371" s="6" t="s">
        <v>140</v>
      </c>
      <c r="F1371" s="6" t="s">
        <v>141</v>
      </c>
      <c r="G1371" s="26" t="n">
        <v>45983</v>
      </c>
      <c r="H1371" s="6" t="s">
        <v>102</v>
      </c>
      <c r="I1371" s="26" t="n">
        <f aca="false">_xlfn.MINIFS(Transaction!$C$2:$C$8421,Transaction!$B$2:$B$8421,A1371)</f>
        <v>46030</v>
      </c>
      <c r="J1371" s="26" t="n">
        <f aca="false">_xlfn.MAXIFS(Transaction!$C$2:$C$8421,Transaction!$B$2:$B$8421,A1371)</f>
        <v>46247</v>
      </c>
      <c r="K1371" s="6" t="n">
        <f aca="false">COUNTIF(Transaction!$B$2:$B$8421,A1371)</f>
        <v>10</v>
      </c>
      <c r="L1371" s="10" t="n">
        <f aca="false">SUMIF(Transaction!$B$2:$B$8421,A1371,Transaction!$H$2:$H$8421)</f>
        <v>38949</v>
      </c>
      <c r="M1371" s="6" t="n">
        <f aca="false">Summary!$B$3-J1371</f>
        <v>19</v>
      </c>
      <c r="N1371" s="6" t="str">
        <f aca="false">IF(K1371&gt;1,"Yes","No")</f>
        <v>Yes</v>
      </c>
      <c r="O1371" s="6" t="s">
        <v>45</v>
      </c>
    </row>
    <row r="1372" customFormat="false" ht="15" hidden="false" customHeight="false" outlineLevel="0" collapsed="false">
      <c r="A1372" s="6" t="s">
        <v>2853</v>
      </c>
      <c r="B1372" s="6" t="s">
        <v>2854</v>
      </c>
      <c r="C1372" s="6" t="s">
        <v>85</v>
      </c>
      <c r="D1372" s="6" t="n">
        <v>25</v>
      </c>
      <c r="E1372" s="6" t="s">
        <v>237</v>
      </c>
      <c r="F1372" s="6" t="s">
        <v>87</v>
      </c>
      <c r="G1372" s="26" t="n">
        <v>46005</v>
      </c>
      <c r="H1372" s="6" t="s">
        <v>78</v>
      </c>
      <c r="I1372" s="26" t="n">
        <f aca="false">_xlfn.MINIFS(Transaction!$C$2:$C$8421,Transaction!$B$2:$B$8421,A1372)</f>
        <v>46025</v>
      </c>
      <c r="J1372" s="26" t="n">
        <f aca="false">_xlfn.MAXIFS(Transaction!$C$2:$C$8421,Transaction!$B$2:$B$8421,A1372)</f>
        <v>46025</v>
      </c>
      <c r="K1372" s="6" t="n">
        <f aca="false">COUNTIF(Transaction!$B$2:$B$8421,A1372)</f>
        <v>1</v>
      </c>
      <c r="L1372" s="10" t="n">
        <f aca="false">SUMIF(Transaction!$B$2:$B$8421,A1372,Transaction!$H$2:$H$8421)</f>
        <v>4078</v>
      </c>
      <c r="M1372" s="6" t="n">
        <f aca="false">Summary!$B$3-J1372</f>
        <v>241</v>
      </c>
      <c r="N1372" s="6" t="str">
        <f aca="false">IF(K1372&gt;1,"Yes","No")</f>
        <v>No</v>
      </c>
      <c r="O1372" s="6" t="s">
        <v>49</v>
      </c>
    </row>
    <row r="1373" customFormat="false" ht="15" hidden="false" customHeight="false" outlineLevel="0" collapsed="false">
      <c r="A1373" s="6" t="s">
        <v>2855</v>
      </c>
      <c r="B1373" s="6" t="s">
        <v>2856</v>
      </c>
      <c r="C1373" s="6" t="s">
        <v>75</v>
      </c>
      <c r="D1373" s="6" t="n">
        <v>24</v>
      </c>
      <c r="E1373" s="6" t="s">
        <v>95</v>
      </c>
      <c r="F1373" s="6" t="s">
        <v>95</v>
      </c>
      <c r="G1373" s="26" t="n">
        <v>46079</v>
      </c>
      <c r="H1373" s="6" t="s">
        <v>115</v>
      </c>
      <c r="I1373" s="26" t="n">
        <f aca="false">_xlfn.MINIFS(Transaction!$C$2:$C$8421,Transaction!$B$2:$B$8421,A1373)</f>
        <v>46094</v>
      </c>
      <c r="J1373" s="26" t="n">
        <f aca="false">_xlfn.MAXIFS(Transaction!$C$2:$C$8421,Transaction!$B$2:$B$8421,A1373)</f>
        <v>46232</v>
      </c>
      <c r="K1373" s="6" t="n">
        <f aca="false">COUNTIF(Transaction!$B$2:$B$8421,A1373)</f>
        <v>5</v>
      </c>
      <c r="L1373" s="10" t="n">
        <f aca="false">SUMIF(Transaction!$B$2:$B$8421,A1373,Transaction!$H$2:$H$8421)</f>
        <v>8048</v>
      </c>
      <c r="M1373" s="6" t="n">
        <f aca="false">Summary!$B$3-J1373</f>
        <v>34</v>
      </c>
      <c r="N1373" s="6" t="str">
        <f aca="false">IF(K1373&gt;1,"Yes","No")</f>
        <v>Yes</v>
      </c>
      <c r="O1373" s="6" t="s">
        <v>46</v>
      </c>
    </row>
    <row r="1374" customFormat="false" ht="15" hidden="false" customHeight="false" outlineLevel="0" collapsed="false">
      <c r="A1374" s="6" t="s">
        <v>2857</v>
      </c>
      <c r="B1374" s="6" t="s">
        <v>2858</v>
      </c>
      <c r="C1374" s="6" t="s">
        <v>85</v>
      </c>
      <c r="D1374" s="6" t="n">
        <v>37</v>
      </c>
      <c r="E1374" s="6" t="s">
        <v>176</v>
      </c>
      <c r="F1374" s="6" t="s">
        <v>177</v>
      </c>
      <c r="G1374" s="26" t="n">
        <v>46201</v>
      </c>
      <c r="H1374" s="6" t="s">
        <v>92</v>
      </c>
      <c r="I1374" s="26" t="n">
        <f aca="false">_xlfn.MINIFS(Transaction!$C$2:$C$8421,Transaction!$B$2:$B$8421,A1374)</f>
        <v>46244</v>
      </c>
      <c r="J1374" s="26" t="n">
        <f aca="false">_xlfn.MAXIFS(Transaction!$C$2:$C$8421,Transaction!$B$2:$B$8421,A1374)</f>
        <v>46244</v>
      </c>
      <c r="K1374" s="6" t="n">
        <f aca="false">COUNTIF(Transaction!$B$2:$B$8421,A1374)</f>
        <v>1</v>
      </c>
      <c r="L1374" s="10" t="n">
        <f aca="false">SUMIF(Transaction!$B$2:$B$8421,A1374,Transaction!$H$2:$H$8421)</f>
        <v>1546</v>
      </c>
      <c r="M1374" s="6" t="n">
        <f aca="false">Summary!$B$3-J1374</f>
        <v>22</v>
      </c>
      <c r="N1374" s="6" t="str">
        <f aca="false">IF(K1374&gt;1,"Yes","No")</f>
        <v>No</v>
      </c>
      <c r="O1374" s="6" t="s">
        <v>47</v>
      </c>
    </row>
    <row r="1375" customFormat="false" ht="15" hidden="false" customHeight="false" outlineLevel="0" collapsed="false">
      <c r="A1375" s="6" t="s">
        <v>2859</v>
      </c>
      <c r="B1375" s="6" t="s">
        <v>2860</v>
      </c>
      <c r="C1375" s="6" t="s">
        <v>75</v>
      </c>
      <c r="D1375" s="6" t="n">
        <v>33</v>
      </c>
      <c r="E1375" s="6" t="s">
        <v>118</v>
      </c>
      <c r="F1375" s="6" t="s">
        <v>77</v>
      </c>
      <c r="G1375" s="26" t="n">
        <v>46040</v>
      </c>
      <c r="H1375" s="6" t="s">
        <v>115</v>
      </c>
      <c r="I1375" s="26" t="n">
        <f aca="false">_xlfn.MINIFS(Transaction!$C$2:$C$8421,Transaction!$B$2:$B$8421,A1375)</f>
        <v>46089</v>
      </c>
      <c r="J1375" s="26" t="n">
        <f aca="false">_xlfn.MAXIFS(Transaction!$C$2:$C$8421,Transaction!$B$2:$B$8421,A1375)</f>
        <v>46089</v>
      </c>
      <c r="K1375" s="6" t="n">
        <f aca="false">COUNTIF(Transaction!$B$2:$B$8421,A1375)</f>
        <v>1</v>
      </c>
      <c r="L1375" s="10" t="n">
        <f aca="false">SUMIF(Transaction!$B$2:$B$8421,A1375,Transaction!$H$2:$H$8421)</f>
        <v>743</v>
      </c>
      <c r="M1375" s="6" t="n">
        <f aca="false">Summary!$B$3-J1375</f>
        <v>177</v>
      </c>
      <c r="N1375" s="6" t="str">
        <f aca="false">IF(K1375&gt;1,"Yes","No")</f>
        <v>No</v>
      </c>
      <c r="O1375" s="6" t="s">
        <v>49</v>
      </c>
    </row>
    <row r="1376" customFormat="false" ht="15" hidden="false" customHeight="false" outlineLevel="0" collapsed="false">
      <c r="A1376" s="6" t="s">
        <v>2861</v>
      </c>
      <c r="B1376" s="6" t="s">
        <v>2862</v>
      </c>
      <c r="C1376" s="6" t="s">
        <v>75</v>
      </c>
      <c r="D1376" s="6" t="n">
        <v>41</v>
      </c>
      <c r="E1376" s="6" t="s">
        <v>76</v>
      </c>
      <c r="F1376" s="6" t="s">
        <v>77</v>
      </c>
      <c r="G1376" s="26" t="n">
        <v>45957</v>
      </c>
      <c r="H1376" s="6" t="s">
        <v>123</v>
      </c>
      <c r="I1376" s="26" t="n">
        <f aca="false">_xlfn.MINIFS(Transaction!$C$2:$C$8421,Transaction!$B$2:$B$8421,A1376)</f>
        <v>46033</v>
      </c>
      <c r="J1376" s="26" t="n">
        <f aca="false">_xlfn.MAXIFS(Transaction!$C$2:$C$8421,Transaction!$B$2:$B$8421,A1376)</f>
        <v>46257</v>
      </c>
      <c r="K1376" s="6" t="n">
        <f aca="false">COUNTIF(Transaction!$B$2:$B$8421,A1376)</f>
        <v>9</v>
      </c>
      <c r="L1376" s="10" t="n">
        <f aca="false">SUMIF(Transaction!$B$2:$B$8421,A1376,Transaction!$H$2:$H$8421)</f>
        <v>16578</v>
      </c>
      <c r="M1376" s="6" t="n">
        <f aca="false">Summary!$B$3-J1376</f>
        <v>9</v>
      </c>
      <c r="N1376" s="6" t="str">
        <f aca="false">IF(K1376&gt;1,"Yes","No")</f>
        <v>Yes</v>
      </c>
      <c r="O1376" s="6" t="s">
        <v>45</v>
      </c>
    </row>
    <row r="1377" customFormat="false" ht="15" hidden="false" customHeight="false" outlineLevel="0" collapsed="false">
      <c r="A1377" s="6" t="s">
        <v>2863</v>
      </c>
      <c r="B1377" s="6" t="s">
        <v>2864</v>
      </c>
      <c r="C1377" s="6" t="s">
        <v>85</v>
      </c>
      <c r="D1377" s="6" t="n">
        <v>27</v>
      </c>
      <c r="E1377" s="6" t="s">
        <v>95</v>
      </c>
      <c r="F1377" s="6" t="s">
        <v>95</v>
      </c>
      <c r="G1377" s="26" t="n">
        <v>45982</v>
      </c>
      <c r="H1377" s="6" t="s">
        <v>115</v>
      </c>
      <c r="I1377" s="26" t="n">
        <f aca="false">_xlfn.MINIFS(Transaction!$C$2:$C$8421,Transaction!$B$2:$B$8421,A1377)</f>
        <v>46067</v>
      </c>
      <c r="J1377" s="26" t="n">
        <f aca="false">_xlfn.MAXIFS(Transaction!$C$2:$C$8421,Transaction!$B$2:$B$8421,A1377)</f>
        <v>46257</v>
      </c>
      <c r="K1377" s="6" t="n">
        <f aca="false">COUNTIF(Transaction!$B$2:$B$8421,A1377)</f>
        <v>9</v>
      </c>
      <c r="L1377" s="10" t="n">
        <f aca="false">SUMIF(Transaction!$B$2:$B$8421,A1377,Transaction!$H$2:$H$8421)</f>
        <v>14757</v>
      </c>
      <c r="M1377" s="6" t="n">
        <f aca="false">Summary!$B$3-J1377</f>
        <v>9</v>
      </c>
      <c r="N1377" s="6" t="str">
        <f aca="false">IF(K1377&gt;1,"Yes","No")</f>
        <v>Yes</v>
      </c>
      <c r="O1377" s="6" t="s">
        <v>45</v>
      </c>
    </row>
    <row r="1378" customFormat="false" ht="15" hidden="false" customHeight="false" outlineLevel="0" collapsed="false">
      <c r="A1378" s="6" t="s">
        <v>2865</v>
      </c>
      <c r="B1378" s="6" t="s">
        <v>2866</v>
      </c>
      <c r="C1378" s="6" t="s">
        <v>85</v>
      </c>
      <c r="D1378" s="6" t="n">
        <v>30</v>
      </c>
      <c r="E1378" s="6" t="s">
        <v>95</v>
      </c>
      <c r="F1378" s="6" t="s">
        <v>95</v>
      </c>
      <c r="G1378" s="26" t="n">
        <v>46174</v>
      </c>
      <c r="H1378" s="6" t="s">
        <v>123</v>
      </c>
      <c r="I1378" s="26" t="n">
        <f aca="false">_xlfn.MINIFS(Transaction!$C$2:$C$8421,Transaction!$B$2:$B$8421,A1378)</f>
        <v>46249</v>
      </c>
      <c r="J1378" s="26" t="n">
        <f aca="false">_xlfn.MAXIFS(Transaction!$C$2:$C$8421,Transaction!$B$2:$B$8421,A1378)</f>
        <v>46249</v>
      </c>
      <c r="K1378" s="6" t="n">
        <f aca="false">COUNTIF(Transaction!$B$2:$B$8421,A1378)</f>
        <v>1</v>
      </c>
      <c r="L1378" s="10" t="n">
        <f aca="false">SUMIF(Transaction!$B$2:$B$8421,A1378,Transaction!$H$2:$H$8421)</f>
        <v>698</v>
      </c>
      <c r="M1378" s="6" t="n">
        <f aca="false">Summary!$B$3-J1378</f>
        <v>17</v>
      </c>
      <c r="N1378" s="6" t="str">
        <f aca="false">IF(K1378&gt;1,"Yes","No")</f>
        <v>No</v>
      </c>
      <c r="O1378" s="6" t="s">
        <v>47</v>
      </c>
    </row>
    <row r="1379" customFormat="false" ht="15" hidden="false" customHeight="false" outlineLevel="0" collapsed="false">
      <c r="A1379" s="6" t="s">
        <v>2867</v>
      </c>
      <c r="B1379" s="6" t="s">
        <v>2868</v>
      </c>
      <c r="C1379" s="6" t="s">
        <v>75</v>
      </c>
      <c r="D1379" s="6" t="n">
        <v>36</v>
      </c>
      <c r="E1379" s="6" t="s">
        <v>86</v>
      </c>
      <c r="F1379" s="6" t="s">
        <v>87</v>
      </c>
      <c r="G1379" s="26" t="n">
        <v>46123</v>
      </c>
      <c r="H1379" s="6" t="s">
        <v>92</v>
      </c>
      <c r="I1379" s="26" t="n">
        <f aca="false">_xlfn.MINIFS(Transaction!$C$2:$C$8421,Transaction!$B$2:$B$8421,A1379)</f>
        <v>46195</v>
      </c>
      <c r="J1379" s="26" t="n">
        <f aca="false">_xlfn.MAXIFS(Transaction!$C$2:$C$8421,Transaction!$B$2:$B$8421,A1379)</f>
        <v>46195</v>
      </c>
      <c r="K1379" s="6" t="n">
        <f aca="false">COUNTIF(Transaction!$B$2:$B$8421,A1379)</f>
        <v>1</v>
      </c>
      <c r="L1379" s="10" t="n">
        <f aca="false">SUMIF(Transaction!$B$2:$B$8421,A1379,Transaction!$H$2:$H$8421)</f>
        <v>821</v>
      </c>
      <c r="M1379" s="6" t="n">
        <f aca="false">Summary!$B$3-J1379</f>
        <v>71</v>
      </c>
      <c r="N1379" s="6" t="str">
        <f aca="false">IF(K1379&gt;1,"Yes","No")</f>
        <v>No</v>
      </c>
      <c r="O1379" s="6" t="s">
        <v>47</v>
      </c>
    </row>
    <row r="1380" customFormat="false" ht="15" hidden="false" customHeight="false" outlineLevel="0" collapsed="false">
      <c r="A1380" s="6" t="s">
        <v>2869</v>
      </c>
      <c r="B1380" s="6" t="s">
        <v>2870</v>
      </c>
      <c r="C1380" s="6" t="s">
        <v>85</v>
      </c>
      <c r="D1380" s="6" t="n">
        <v>21</v>
      </c>
      <c r="E1380" s="6" t="s">
        <v>76</v>
      </c>
      <c r="F1380" s="6" t="s">
        <v>77</v>
      </c>
      <c r="G1380" s="26" t="n">
        <v>45958</v>
      </c>
      <c r="H1380" s="6" t="s">
        <v>78</v>
      </c>
      <c r="I1380" s="26" t="n">
        <f aca="false">_xlfn.MINIFS(Transaction!$C$2:$C$8421,Transaction!$B$2:$B$8421,A1380)</f>
        <v>46026</v>
      </c>
      <c r="J1380" s="26" t="n">
        <f aca="false">_xlfn.MAXIFS(Transaction!$C$2:$C$8421,Transaction!$B$2:$B$8421,A1380)</f>
        <v>46263</v>
      </c>
      <c r="K1380" s="6" t="n">
        <f aca="false">COUNTIF(Transaction!$B$2:$B$8421,A1380)</f>
        <v>11</v>
      </c>
      <c r="L1380" s="10" t="n">
        <f aca="false">SUMIF(Transaction!$B$2:$B$8421,A1380,Transaction!$H$2:$H$8421)</f>
        <v>25079</v>
      </c>
      <c r="M1380" s="6" t="n">
        <f aca="false">Summary!$B$3-J1380</f>
        <v>3</v>
      </c>
      <c r="N1380" s="6" t="str">
        <f aca="false">IF(K1380&gt;1,"Yes","No")</f>
        <v>Yes</v>
      </c>
      <c r="O1380" s="6" t="s">
        <v>45</v>
      </c>
    </row>
    <row r="1381" customFormat="false" ht="15" hidden="false" customHeight="false" outlineLevel="0" collapsed="false">
      <c r="A1381" s="6" t="s">
        <v>2871</v>
      </c>
      <c r="B1381" s="6" t="s">
        <v>2872</v>
      </c>
      <c r="C1381" s="6" t="s">
        <v>85</v>
      </c>
      <c r="D1381" s="6" t="n">
        <v>28</v>
      </c>
      <c r="E1381" s="6" t="s">
        <v>95</v>
      </c>
      <c r="F1381" s="6" t="s">
        <v>95</v>
      </c>
      <c r="G1381" s="26" t="n">
        <v>46133</v>
      </c>
      <c r="H1381" s="6" t="s">
        <v>115</v>
      </c>
      <c r="I1381" s="26" t="n">
        <f aca="false">_xlfn.MINIFS(Transaction!$C$2:$C$8421,Transaction!$B$2:$B$8421,A1381)</f>
        <v>46172</v>
      </c>
      <c r="J1381" s="26" t="n">
        <f aca="false">_xlfn.MAXIFS(Transaction!$C$2:$C$8421,Transaction!$B$2:$B$8421,A1381)</f>
        <v>46172</v>
      </c>
      <c r="K1381" s="6" t="n">
        <f aca="false">COUNTIF(Transaction!$B$2:$B$8421,A1381)</f>
        <v>1</v>
      </c>
      <c r="L1381" s="10" t="n">
        <f aca="false">SUMIF(Transaction!$B$2:$B$8421,A1381,Transaction!$H$2:$H$8421)</f>
        <v>589</v>
      </c>
      <c r="M1381" s="6" t="n">
        <f aca="false">Summary!$B$3-J1381</f>
        <v>94</v>
      </c>
      <c r="N1381" s="6" t="str">
        <f aca="false">IF(K1381&gt;1,"Yes","No")</f>
        <v>No</v>
      </c>
      <c r="O1381" s="6" t="s">
        <v>48</v>
      </c>
    </row>
    <row r="1382" customFormat="false" ht="15" hidden="false" customHeight="false" outlineLevel="0" collapsed="false">
      <c r="A1382" s="6" t="s">
        <v>2873</v>
      </c>
      <c r="B1382" s="6" t="s">
        <v>2874</v>
      </c>
      <c r="C1382" s="6" t="s">
        <v>85</v>
      </c>
      <c r="D1382" s="6" t="n">
        <v>27</v>
      </c>
      <c r="E1382" s="6" t="s">
        <v>95</v>
      </c>
      <c r="F1382" s="6" t="s">
        <v>95</v>
      </c>
      <c r="G1382" s="26" t="n">
        <v>46009</v>
      </c>
      <c r="H1382" s="6" t="s">
        <v>92</v>
      </c>
      <c r="I1382" s="26" t="n">
        <f aca="false">_xlfn.MINIFS(Transaction!$C$2:$C$8421,Transaction!$B$2:$B$8421,A1382)</f>
        <v>46089</v>
      </c>
      <c r="J1382" s="26" t="n">
        <f aca="false">_xlfn.MAXIFS(Transaction!$C$2:$C$8421,Transaction!$B$2:$B$8421,A1382)</f>
        <v>46186</v>
      </c>
      <c r="K1382" s="6" t="n">
        <f aca="false">COUNTIF(Transaction!$B$2:$B$8421,A1382)</f>
        <v>4</v>
      </c>
      <c r="L1382" s="10" t="n">
        <f aca="false">SUMIF(Transaction!$B$2:$B$8421,A1382,Transaction!$H$2:$H$8421)</f>
        <v>6331</v>
      </c>
      <c r="M1382" s="6" t="n">
        <f aca="false">Summary!$B$3-J1382</f>
        <v>80</v>
      </c>
      <c r="N1382" s="6" t="str">
        <f aca="false">IF(K1382&gt;1,"Yes","No")</f>
        <v>Yes</v>
      </c>
      <c r="O1382" s="6" t="s">
        <v>46</v>
      </c>
    </row>
    <row r="1383" customFormat="false" ht="15" hidden="false" customHeight="false" outlineLevel="0" collapsed="false">
      <c r="A1383" s="6" t="s">
        <v>2875</v>
      </c>
      <c r="B1383" s="6" t="s">
        <v>2876</v>
      </c>
      <c r="C1383" s="6" t="s">
        <v>85</v>
      </c>
      <c r="D1383" s="6" t="n">
        <v>32</v>
      </c>
      <c r="E1383" s="6" t="s">
        <v>176</v>
      </c>
      <c r="F1383" s="6" t="s">
        <v>177</v>
      </c>
      <c r="G1383" s="26" t="n">
        <v>45981</v>
      </c>
      <c r="H1383" s="6" t="s">
        <v>78</v>
      </c>
      <c r="I1383" s="26" t="n">
        <f aca="false">_xlfn.MINIFS(Transaction!$C$2:$C$8421,Transaction!$B$2:$B$8421,A1383)</f>
        <v>46060</v>
      </c>
      <c r="J1383" s="26" t="n">
        <f aca="false">_xlfn.MAXIFS(Transaction!$C$2:$C$8421,Transaction!$B$2:$B$8421,A1383)</f>
        <v>46239</v>
      </c>
      <c r="K1383" s="6" t="n">
        <f aca="false">COUNTIF(Transaction!$B$2:$B$8421,A1383)</f>
        <v>3</v>
      </c>
      <c r="L1383" s="10" t="n">
        <f aca="false">SUMIF(Transaction!$B$2:$B$8421,A1383,Transaction!$H$2:$H$8421)</f>
        <v>2957</v>
      </c>
      <c r="M1383" s="6" t="n">
        <f aca="false">Summary!$B$3-J1383</f>
        <v>27</v>
      </c>
      <c r="N1383" s="6" t="str">
        <f aca="false">IF(K1383&gt;1,"Yes","No")</f>
        <v>Yes</v>
      </c>
      <c r="O1383" s="6" t="s">
        <v>46</v>
      </c>
    </row>
    <row r="1384" customFormat="false" ht="15" hidden="false" customHeight="false" outlineLevel="0" collapsed="false">
      <c r="A1384" s="6" t="s">
        <v>2877</v>
      </c>
      <c r="B1384" s="6" t="s">
        <v>2878</v>
      </c>
      <c r="C1384" s="6" t="s">
        <v>75</v>
      </c>
      <c r="D1384" s="6" t="n">
        <v>29</v>
      </c>
      <c r="E1384" s="6" t="s">
        <v>95</v>
      </c>
      <c r="F1384" s="6" t="s">
        <v>95</v>
      </c>
      <c r="G1384" s="26" t="n">
        <v>46025</v>
      </c>
      <c r="H1384" s="6" t="s">
        <v>102</v>
      </c>
      <c r="I1384" s="26" t="n">
        <f aca="false">_xlfn.MINIFS(Transaction!$C$2:$C$8421,Transaction!$B$2:$B$8421,A1384)</f>
        <v>46082</v>
      </c>
      <c r="J1384" s="26" t="n">
        <f aca="false">_xlfn.MAXIFS(Transaction!$C$2:$C$8421,Transaction!$B$2:$B$8421,A1384)</f>
        <v>46239</v>
      </c>
      <c r="K1384" s="6" t="n">
        <f aca="false">COUNTIF(Transaction!$B$2:$B$8421,A1384)</f>
        <v>7</v>
      </c>
      <c r="L1384" s="10" t="n">
        <f aca="false">SUMIF(Transaction!$B$2:$B$8421,A1384,Transaction!$H$2:$H$8421)</f>
        <v>10447</v>
      </c>
      <c r="M1384" s="6" t="n">
        <f aca="false">Summary!$B$3-J1384</f>
        <v>27</v>
      </c>
      <c r="N1384" s="6" t="str">
        <f aca="false">IF(K1384&gt;1,"Yes","No")</f>
        <v>Yes</v>
      </c>
      <c r="O1384" s="6" t="s">
        <v>46</v>
      </c>
    </row>
    <row r="1385" customFormat="false" ht="15" hidden="false" customHeight="false" outlineLevel="0" collapsed="false">
      <c r="A1385" s="6" t="s">
        <v>2879</v>
      </c>
      <c r="B1385" s="6" t="s">
        <v>2880</v>
      </c>
      <c r="C1385" s="6" t="s">
        <v>75</v>
      </c>
      <c r="D1385" s="6" t="n">
        <v>28</v>
      </c>
      <c r="E1385" s="6" t="s">
        <v>264</v>
      </c>
      <c r="F1385" s="6" t="s">
        <v>106</v>
      </c>
      <c r="G1385" s="26" t="n">
        <v>46119</v>
      </c>
      <c r="H1385" s="6" t="s">
        <v>92</v>
      </c>
      <c r="I1385" s="26" t="n">
        <f aca="false">_xlfn.MINIFS(Transaction!$C$2:$C$8421,Transaction!$B$2:$B$8421,A1385)</f>
        <v>46152</v>
      </c>
      <c r="J1385" s="26" t="n">
        <f aca="false">_xlfn.MAXIFS(Transaction!$C$2:$C$8421,Transaction!$B$2:$B$8421,A1385)</f>
        <v>46152</v>
      </c>
      <c r="K1385" s="6" t="n">
        <f aca="false">COUNTIF(Transaction!$B$2:$B$8421,A1385)</f>
        <v>1</v>
      </c>
      <c r="L1385" s="10" t="n">
        <f aca="false">SUMIF(Transaction!$B$2:$B$8421,A1385,Transaction!$H$2:$H$8421)</f>
        <v>3915</v>
      </c>
      <c r="M1385" s="6" t="n">
        <f aca="false">Summary!$B$3-J1385</f>
        <v>114</v>
      </c>
      <c r="N1385" s="6" t="str">
        <f aca="false">IF(K1385&gt;1,"Yes","No")</f>
        <v>No</v>
      </c>
      <c r="O1385" s="6" t="s">
        <v>48</v>
      </c>
    </row>
    <row r="1386" customFormat="false" ht="15" hidden="false" customHeight="false" outlineLevel="0" collapsed="false">
      <c r="A1386" s="6" t="s">
        <v>2881</v>
      </c>
      <c r="B1386" s="6" t="s">
        <v>2882</v>
      </c>
      <c r="C1386" s="6" t="s">
        <v>85</v>
      </c>
      <c r="D1386" s="6" t="n">
        <v>34</v>
      </c>
      <c r="E1386" s="6" t="s">
        <v>76</v>
      </c>
      <c r="F1386" s="6" t="s">
        <v>77</v>
      </c>
      <c r="G1386" s="26" t="n">
        <v>45994</v>
      </c>
      <c r="H1386" s="6" t="s">
        <v>78</v>
      </c>
      <c r="I1386" s="26" t="n">
        <f aca="false">_xlfn.MINIFS(Transaction!$C$2:$C$8421,Transaction!$B$2:$B$8421,A1386)</f>
        <v>46029</v>
      </c>
      <c r="J1386" s="26" t="n">
        <f aca="false">_xlfn.MAXIFS(Transaction!$C$2:$C$8421,Transaction!$B$2:$B$8421,A1386)</f>
        <v>46249</v>
      </c>
      <c r="K1386" s="6" t="n">
        <f aca="false">COUNTIF(Transaction!$B$2:$B$8421,A1386)</f>
        <v>8</v>
      </c>
      <c r="L1386" s="10" t="n">
        <f aca="false">SUMIF(Transaction!$B$2:$B$8421,A1386,Transaction!$H$2:$H$8421)</f>
        <v>14604</v>
      </c>
      <c r="M1386" s="6" t="n">
        <f aca="false">Summary!$B$3-J1386</f>
        <v>17</v>
      </c>
      <c r="N1386" s="6" t="str">
        <f aca="false">IF(K1386&gt;1,"Yes","No")</f>
        <v>Yes</v>
      </c>
      <c r="O1386" s="6" t="s">
        <v>46</v>
      </c>
    </row>
    <row r="1387" customFormat="false" ht="15" hidden="false" customHeight="false" outlineLevel="0" collapsed="false">
      <c r="A1387" s="6" t="s">
        <v>2883</v>
      </c>
      <c r="B1387" s="6" t="s">
        <v>2884</v>
      </c>
      <c r="C1387" s="6" t="s">
        <v>75</v>
      </c>
      <c r="D1387" s="6" t="n">
        <v>18</v>
      </c>
      <c r="E1387" s="6" t="s">
        <v>91</v>
      </c>
      <c r="F1387" s="6" t="s">
        <v>77</v>
      </c>
      <c r="G1387" s="26" t="n">
        <v>46045</v>
      </c>
      <c r="H1387" s="6" t="s">
        <v>123</v>
      </c>
      <c r="I1387" s="26" t="n">
        <f aca="false">_xlfn.MINIFS(Transaction!$C$2:$C$8421,Transaction!$B$2:$B$8421,A1387)</f>
        <v>46102</v>
      </c>
      <c r="J1387" s="26" t="n">
        <f aca="false">_xlfn.MAXIFS(Transaction!$C$2:$C$8421,Transaction!$B$2:$B$8421,A1387)</f>
        <v>46102</v>
      </c>
      <c r="K1387" s="6" t="n">
        <f aca="false">COUNTIF(Transaction!$B$2:$B$8421,A1387)</f>
        <v>1</v>
      </c>
      <c r="L1387" s="10" t="n">
        <f aca="false">SUMIF(Transaction!$B$2:$B$8421,A1387,Transaction!$H$2:$H$8421)</f>
        <v>1026</v>
      </c>
      <c r="M1387" s="6" t="n">
        <f aca="false">Summary!$B$3-J1387</f>
        <v>164</v>
      </c>
      <c r="N1387" s="6" t="str">
        <f aca="false">IF(K1387&gt;1,"Yes","No")</f>
        <v>No</v>
      </c>
      <c r="O1387" s="6" t="s">
        <v>49</v>
      </c>
    </row>
    <row r="1388" customFormat="false" ht="15" hidden="false" customHeight="false" outlineLevel="0" collapsed="false">
      <c r="A1388" s="6" t="s">
        <v>2885</v>
      </c>
      <c r="B1388" s="6" t="s">
        <v>2886</v>
      </c>
      <c r="C1388" s="6" t="s">
        <v>75</v>
      </c>
      <c r="D1388" s="6" t="n">
        <v>27</v>
      </c>
      <c r="E1388" s="6" t="s">
        <v>86</v>
      </c>
      <c r="F1388" s="6" t="s">
        <v>87</v>
      </c>
      <c r="G1388" s="26" t="n">
        <v>46028</v>
      </c>
      <c r="H1388" s="6" t="s">
        <v>115</v>
      </c>
      <c r="I1388" s="26" t="n">
        <f aca="false">_xlfn.MINIFS(Transaction!$C$2:$C$8421,Transaction!$B$2:$B$8421,A1388)</f>
        <v>46107</v>
      </c>
      <c r="J1388" s="26" t="n">
        <f aca="false">_xlfn.MAXIFS(Transaction!$C$2:$C$8421,Transaction!$B$2:$B$8421,A1388)</f>
        <v>46107</v>
      </c>
      <c r="K1388" s="6" t="n">
        <f aca="false">COUNTIF(Transaction!$B$2:$B$8421,A1388)</f>
        <v>1</v>
      </c>
      <c r="L1388" s="10" t="n">
        <f aca="false">SUMIF(Transaction!$B$2:$B$8421,A1388,Transaction!$H$2:$H$8421)</f>
        <v>5010</v>
      </c>
      <c r="M1388" s="6" t="n">
        <f aca="false">Summary!$B$3-J1388</f>
        <v>159</v>
      </c>
      <c r="N1388" s="6" t="str">
        <f aca="false">IF(K1388&gt;1,"Yes","No")</f>
        <v>No</v>
      </c>
      <c r="O1388" s="6" t="s">
        <v>49</v>
      </c>
    </row>
    <row r="1389" customFormat="false" ht="15" hidden="false" customHeight="false" outlineLevel="0" collapsed="false">
      <c r="A1389" s="6" t="s">
        <v>2887</v>
      </c>
      <c r="B1389" s="6" t="s">
        <v>2888</v>
      </c>
      <c r="C1389" s="6" t="s">
        <v>75</v>
      </c>
      <c r="D1389" s="6" t="n">
        <v>28</v>
      </c>
      <c r="E1389" s="6" t="s">
        <v>95</v>
      </c>
      <c r="F1389" s="6" t="s">
        <v>95</v>
      </c>
      <c r="G1389" s="26" t="n">
        <v>46203</v>
      </c>
      <c r="H1389" s="6" t="s">
        <v>88</v>
      </c>
      <c r="I1389" s="26" t="n">
        <f aca="false">_xlfn.MINIFS(Transaction!$C$2:$C$8421,Transaction!$B$2:$B$8421,A1389)</f>
        <v>46243</v>
      </c>
      <c r="J1389" s="26" t="n">
        <f aca="false">_xlfn.MAXIFS(Transaction!$C$2:$C$8421,Transaction!$B$2:$B$8421,A1389)</f>
        <v>46243</v>
      </c>
      <c r="K1389" s="6" t="n">
        <f aca="false">COUNTIF(Transaction!$B$2:$B$8421,A1389)</f>
        <v>1</v>
      </c>
      <c r="L1389" s="10" t="n">
        <f aca="false">SUMIF(Transaction!$B$2:$B$8421,A1389,Transaction!$H$2:$H$8421)</f>
        <v>480</v>
      </c>
      <c r="M1389" s="6" t="n">
        <f aca="false">Summary!$B$3-J1389</f>
        <v>23</v>
      </c>
      <c r="N1389" s="6" t="str">
        <f aca="false">IF(K1389&gt;1,"Yes","No")</f>
        <v>No</v>
      </c>
      <c r="O1389" s="6" t="s">
        <v>47</v>
      </c>
    </row>
    <row r="1390" customFormat="false" ht="15" hidden="false" customHeight="false" outlineLevel="0" collapsed="false">
      <c r="A1390" s="6" t="s">
        <v>2889</v>
      </c>
      <c r="B1390" s="6" t="s">
        <v>2890</v>
      </c>
      <c r="C1390" s="6" t="s">
        <v>85</v>
      </c>
      <c r="D1390" s="6" t="n">
        <v>35</v>
      </c>
      <c r="E1390" s="6" t="s">
        <v>81</v>
      </c>
      <c r="F1390" s="6" t="s">
        <v>82</v>
      </c>
      <c r="G1390" s="26" t="n">
        <v>46042</v>
      </c>
      <c r="H1390" s="6" t="s">
        <v>78</v>
      </c>
      <c r="I1390" s="26" t="n">
        <f aca="false">_xlfn.MINIFS(Transaction!$C$2:$C$8421,Transaction!$B$2:$B$8421,A1390)</f>
        <v>46108</v>
      </c>
      <c r="J1390" s="26" t="n">
        <f aca="false">_xlfn.MAXIFS(Transaction!$C$2:$C$8421,Transaction!$B$2:$B$8421,A1390)</f>
        <v>46108</v>
      </c>
      <c r="K1390" s="6" t="n">
        <f aca="false">COUNTIF(Transaction!$B$2:$B$8421,A1390)</f>
        <v>1</v>
      </c>
      <c r="L1390" s="10" t="n">
        <f aca="false">SUMIF(Transaction!$B$2:$B$8421,A1390,Transaction!$H$2:$H$8421)</f>
        <v>5476</v>
      </c>
      <c r="M1390" s="6" t="n">
        <f aca="false">Summary!$B$3-J1390</f>
        <v>158</v>
      </c>
      <c r="N1390" s="6" t="str">
        <f aca="false">IF(K1390&gt;1,"Yes","No")</f>
        <v>No</v>
      </c>
      <c r="O1390" s="6" t="s">
        <v>49</v>
      </c>
    </row>
    <row r="1391" customFormat="false" ht="15" hidden="false" customHeight="false" outlineLevel="0" collapsed="false">
      <c r="A1391" s="6" t="s">
        <v>2891</v>
      </c>
      <c r="B1391" s="6" t="s">
        <v>2892</v>
      </c>
      <c r="C1391" s="6" t="s">
        <v>75</v>
      </c>
      <c r="D1391" s="6" t="n">
        <v>27</v>
      </c>
      <c r="E1391" s="6" t="s">
        <v>105</v>
      </c>
      <c r="F1391" s="6" t="s">
        <v>106</v>
      </c>
      <c r="G1391" s="26" t="n">
        <v>46202</v>
      </c>
      <c r="H1391" s="6" t="s">
        <v>78</v>
      </c>
      <c r="I1391" s="26" t="n">
        <f aca="false">_xlfn.MINIFS(Transaction!$C$2:$C$8421,Transaction!$B$2:$B$8421,A1391)</f>
        <v>46202</v>
      </c>
      <c r="J1391" s="26" t="n">
        <f aca="false">_xlfn.MAXIFS(Transaction!$C$2:$C$8421,Transaction!$B$2:$B$8421,A1391)</f>
        <v>46238</v>
      </c>
      <c r="K1391" s="6" t="n">
        <f aca="false">COUNTIF(Transaction!$B$2:$B$8421,A1391)</f>
        <v>2</v>
      </c>
      <c r="L1391" s="10" t="n">
        <f aca="false">SUMIF(Transaction!$B$2:$B$8421,A1391,Transaction!$H$2:$H$8421)</f>
        <v>2737</v>
      </c>
      <c r="M1391" s="6" t="n">
        <f aca="false">Summary!$B$3-J1391</f>
        <v>28</v>
      </c>
      <c r="N1391" s="6" t="str">
        <f aca="false">IF(K1391&gt;1,"Yes","No")</f>
        <v>Yes</v>
      </c>
      <c r="O1391" s="6" t="s">
        <v>46</v>
      </c>
    </row>
    <row r="1392" customFormat="false" ht="15" hidden="false" customHeight="false" outlineLevel="0" collapsed="false">
      <c r="A1392" s="6" t="s">
        <v>2893</v>
      </c>
      <c r="B1392" s="6" t="s">
        <v>2894</v>
      </c>
      <c r="C1392" s="6" t="s">
        <v>75</v>
      </c>
      <c r="D1392" s="6" t="n">
        <v>26</v>
      </c>
      <c r="E1392" s="6" t="s">
        <v>121</v>
      </c>
      <c r="F1392" s="6" t="s">
        <v>122</v>
      </c>
      <c r="G1392" s="26" t="n">
        <v>46142</v>
      </c>
      <c r="H1392" s="6" t="s">
        <v>78</v>
      </c>
      <c r="I1392" s="26" t="n">
        <f aca="false">_xlfn.MINIFS(Transaction!$C$2:$C$8421,Transaction!$B$2:$B$8421,A1392)</f>
        <v>46186</v>
      </c>
      <c r="J1392" s="26" t="n">
        <f aca="false">_xlfn.MAXIFS(Transaction!$C$2:$C$8421,Transaction!$B$2:$B$8421,A1392)</f>
        <v>46186</v>
      </c>
      <c r="K1392" s="6" t="n">
        <f aca="false">COUNTIF(Transaction!$B$2:$B$8421,A1392)</f>
        <v>1</v>
      </c>
      <c r="L1392" s="10" t="n">
        <f aca="false">SUMIF(Transaction!$B$2:$B$8421,A1392,Transaction!$H$2:$H$8421)</f>
        <v>2931</v>
      </c>
      <c r="M1392" s="6" t="n">
        <f aca="false">Summary!$B$3-J1392</f>
        <v>80</v>
      </c>
      <c r="N1392" s="6" t="str">
        <f aca="false">IF(K1392&gt;1,"Yes","No")</f>
        <v>No</v>
      </c>
      <c r="O1392" s="6" t="s">
        <v>47</v>
      </c>
    </row>
    <row r="1393" customFormat="false" ht="15" hidden="false" customHeight="false" outlineLevel="0" collapsed="false">
      <c r="A1393" s="6" t="s">
        <v>2895</v>
      </c>
      <c r="B1393" s="6" t="s">
        <v>2896</v>
      </c>
      <c r="C1393" s="6" t="s">
        <v>75</v>
      </c>
      <c r="D1393" s="6" t="n">
        <v>18</v>
      </c>
      <c r="E1393" s="6" t="s">
        <v>95</v>
      </c>
      <c r="F1393" s="6" t="s">
        <v>95</v>
      </c>
      <c r="G1393" s="26" t="n">
        <v>46112</v>
      </c>
      <c r="H1393" s="6" t="s">
        <v>78</v>
      </c>
      <c r="I1393" s="26" t="n">
        <f aca="false">_xlfn.MINIFS(Transaction!$C$2:$C$8421,Transaction!$B$2:$B$8421,A1393)</f>
        <v>46169</v>
      </c>
      <c r="J1393" s="26" t="n">
        <f aca="false">_xlfn.MAXIFS(Transaction!$C$2:$C$8421,Transaction!$B$2:$B$8421,A1393)</f>
        <v>46169</v>
      </c>
      <c r="K1393" s="6" t="n">
        <f aca="false">COUNTIF(Transaction!$B$2:$B$8421,A1393)</f>
        <v>1</v>
      </c>
      <c r="L1393" s="10" t="n">
        <f aca="false">SUMIF(Transaction!$B$2:$B$8421,A1393,Transaction!$H$2:$H$8421)</f>
        <v>508</v>
      </c>
      <c r="M1393" s="6" t="n">
        <f aca="false">Summary!$B$3-J1393</f>
        <v>97</v>
      </c>
      <c r="N1393" s="6" t="str">
        <f aca="false">IF(K1393&gt;1,"Yes","No")</f>
        <v>No</v>
      </c>
      <c r="O1393" s="6" t="s">
        <v>48</v>
      </c>
    </row>
    <row r="1394" customFormat="false" ht="15" hidden="false" customHeight="false" outlineLevel="0" collapsed="false">
      <c r="A1394" s="6" t="s">
        <v>2897</v>
      </c>
      <c r="B1394" s="6" t="s">
        <v>2898</v>
      </c>
      <c r="C1394" s="6" t="s">
        <v>75</v>
      </c>
      <c r="D1394" s="6" t="n">
        <v>34</v>
      </c>
      <c r="E1394" s="6" t="s">
        <v>86</v>
      </c>
      <c r="F1394" s="6" t="s">
        <v>87</v>
      </c>
      <c r="G1394" s="26" t="n">
        <v>46164</v>
      </c>
      <c r="H1394" s="6" t="s">
        <v>115</v>
      </c>
      <c r="I1394" s="26" t="n">
        <f aca="false">_xlfn.MINIFS(Transaction!$C$2:$C$8421,Transaction!$B$2:$B$8421,A1394)</f>
        <v>46165</v>
      </c>
      <c r="J1394" s="26" t="n">
        <f aca="false">_xlfn.MAXIFS(Transaction!$C$2:$C$8421,Transaction!$B$2:$B$8421,A1394)</f>
        <v>46165</v>
      </c>
      <c r="K1394" s="6" t="n">
        <f aca="false">COUNTIF(Transaction!$B$2:$B$8421,A1394)</f>
        <v>1</v>
      </c>
      <c r="L1394" s="10" t="n">
        <f aca="false">SUMIF(Transaction!$B$2:$B$8421,A1394,Transaction!$H$2:$H$8421)</f>
        <v>279</v>
      </c>
      <c r="M1394" s="6" t="n">
        <f aca="false">Summary!$B$3-J1394</f>
        <v>101</v>
      </c>
      <c r="N1394" s="6" t="str">
        <f aca="false">IF(K1394&gt;1,"Yes","No")</f>
        <v>No</v>
      </c>
      <c r="O1394" s="6" t="s">
        <v>48</v>
      </c>
    </row>
    <row r="1395" customFormat="false" ht="15" hidden="false" customHeight="false" outlineLevel="0" collapsed="false">
      <c r="A1395" s="6" t="s">
        <v>2899</v>
      </c>
      <c r="B1395" s="6" t="s">
        <v>2900</v>
      </c>
      <c r="C1395" s="6" t="s">
        <v>75</v>
      </c>
      <c r="D1395" s="6" t="n">
        <v>22</v>
      </c>
      <c r="E1395" s="6" t="s">
        <v>95</v>
      </c>
      <c r="F1395" s="6" t="s">
        <v>95</v>
      </c>
      <c r="G1395" s="26" t="n">
        <v>46024</v>
      </c>
      <c r="H1395" s="6" t="s">
        <v>78</v>
      </c>
      <c r="I1395" s="26" t="n">
        <f aca="false">_xlfn.MINIFS(Transaction!$C$2:$C$8421,Transaction!$B$2:$B$8421,A1395)</f>
        <v>46030</v>
      </c>
      <c r="J1395" s="26" t="n">
        <f aca="false">_xlfn.MAXIFS(Transaction!$C$2:$C$8421,Transaction!$B$2:$B$8421,A1395)</f>
        <v>46220</v>
      </c>
      <c r="K1395" s="6" t="n">
        <f aca="false">COUNTIF(Transaction!$B$2:$B$8421,A1395)</f>
        <v>5</v>
      </c>
      <c r="L1395" s="10" t="n">
        <f aca="false">SUMIF(Transaction!$B$2:$B$8421,A1395,Transaction!$H$2:$H$8421)</f>
        <v>4128</v>
      </c>
      <c r="M1395" s="6" t="n">
        <f aca="false">Summary!$B$3-J1395</f>
        <v>46</v>
      </c>
      <c r="N1395" s="6" t="str">
        <f aca="false">IF(K1395&gt;1,"Yes","No")</f>
        <v>Yes</v>
      </c>
      <c r="O1395" s="6" t="s">
        <v>46</v>
      </c>
    </row>
    <row r="1396" customFormat="false" ht="15" hidden="false" customHeight="false" outlineLevel="0" collapsed="false">
      <c r="A1396" s="6" t="s">
        <v>2901</v>
      </c>
      <c r="B1396" s="6" t="s">
        <v>2902</v>
      </c>
      <c r="C1396" s="6" t="s">
        <v>75</v>
      </c>
      <c r="D1396" s="6" t="n">
        <v>40</v>
      </c>
      <c r="E1396" s="6" t="s">
        <v>95</v>
      </c>
      <c r="F1396" s="6" t="s">
        <v>95</v>
      </c>
      <c r="G1396" s="26" t="n">
        <v>46116</v>
      </c>
      <c r="H1396" s="6" t="s">
        <v>78</v>
      </c>
      <c r="I1396" s="26" t="n">
        <f aca="false">_xlfn.MINIFS(Transaction!$C$2:$C$8421,Transaction!$B$2:$B$8421,A1396)</f>
        <v>46203</v>
      </c>
      <c r="J1396" s="26" t="n">
        <f aca="false">_xlfn.MAXIFS(Transaction!$C$2:$C$8421,Transaction!$B$2:$B$8421,A1396)</f>
        <v>46203</v>
      </c>
      <c r="K1396" s="6" t="n">
        <f aca="false">COUNTIF(Transaction!$B$2:$B$8421,A1396)</f>
        <v>1</v>
      </c>
      <c r="L1396" s="10" t="n">
        <f aca="false">SUMIF(Transaction!$B$2:$B$8421,A1396,Transaction!$H$2:$H$8421)</f>
        <v>549</v>
      </c>
      <c r="M1396" s="6" t="n">
        <f aca="false">Summary!$B$3-J1396</f>
        <v>63</v>
      </c>
      <c r="N1396" s="6" t="str">
        <f aca="false">IF(K1396&gt;1,"Yes","No")</f>
        <v>No</v>
      </c>
      <c r="O1396" s="6" t="s">
        <v>47</v>
      </c>
    </row>
    <row r="1397" customFormat="false" ht="15" hidden="false" customHeight="false" outlineLevel="0" collapsed="false">
      <c r="A1397" s="6" t="s">
        <v>2903</v>
      </c>
      <c r="B1397" s="6" t="s">
        <v>2904</v>
      </c>
      <c r="C1397" s="6" t="s">
        <v>85</v>
      </c>
      <c r="D1397" s="6" t="n">
        <v>36</v>
      </c>
      <c r="E1397" s="6" t="s">
        <v>81</v>
      </c>
      <c r="F1397" s="6" t="s">
        <v>82</v>
      </c>
      <c r="G1397" s="26" t="n">
        <v>46025</v>
      </c>
      <c r="H1397" s="6" t="s">
        <v>123</v>
      </c>
      <c r="I1397" s="26" t="n">
        <f aca="false">_xlfn.MINIFS(Transaction!$C$2:$C$8421,Transaction!$B$2:$B$8421,A1397)</f>
        <v>46100</v>
      </c>
      <c r="J1397" s="26" t="n">
        <f aca="false">_xlfn.MAXIFS(Transaction!$C$2:$C$8421,Transaction!$B$2:$B$8421,A1397)</f>
        <v>46100</v>
      </c>
      <c r="K1397" s="6" t="n">
        <f aca="false">COUNTIF(Transaction!$B$2:$B$8421,A1397)</f>
        <v>1</v>
      </c>
      <c r="L1397" s="10" t="n">
        <f aca="false">SUMIF(Transaction!$B$2:$B$8421,A1397,Transaction!$H$2:$H$8421)</f>
        <v>4066</v>
      </c>
      <c r="M1397" s="6" t="n">
        <f aca="false">Summary!$B$3-J1397</f>
        <v>166</v>
      </c>
      <c r="N1397" s="6" t="str">
        <f aca="false">IF(K1397&gt;1,"Yes","No")</f>
        <v>No</v>
      </c>
      <c r="O1397" s="6" t="s">
        <v>49</v>
      </c>
    </row>
    <row r="1398" customFormat="false" ht="15" hidden="false" customHeight="false" outlineLevel="0" collapsed="false">
      <c r="A1398" s="6" t="s">
        <v>2905</v>
      </c>
      <c r="B1398" s="6" t="s">
        <v>2906</v>
      </c>
      <c r="C1398" s="6" t="s">
        <v>75</v>
      </c>
      <c r="D1398" s="6" t="n">
        <v>20</v>
      </c>
      <c r="E1398" s="6" t="s">
        <v>95</v>
      </c>
      <c r="F1398" s="6" t="s">
        <v>95</v>
      </c>
      <c r="G1398" s="26" t="n">
        <v>46055</v>
      </c>
      <c r="H1398" s="6" t="s">
        <v>78</v>
      </c>
      <c r="I1398" s="26" t="n">
        <f aca="false">_xlfn.MINIFS(Transaction!$C$2:$C$8421,Transaction!$B$2:$B$8421,A1398)</f>
        <v>46067</v>
      </c>
      <c r="J1398" s="26" t="n">
        <f aca="false">_xlfn.MAXIFS(Transaction!$C$2:$C$8421,Transaction!$B$2:$B$8421,A1398)</f>
        <v>46257</v>
      </c>
      <c r="K1398" s="6" t="n">
        <f aca="false">COUNTIF(Transaction!$B$2:$B$8421,A1398)</f>
        <v>3</v>
      </c>
      <c r="L1398" s="10" t="n">
        <f aca="false">SUMIF(Transaction!$B$2:$B$8421,A1398,Transaction!$H$2:$H$8421)</f>
        <v>4496</v>
      </c>
      <c r="M1398" s="6" t="n">
        <f aca="false">Summary!$B$3-J1398</f>
        <v>9</v>
      </c>
      <c r="N1398" s="6" t="str">
        <f aca="false">IF(K1398&gt;1,"Yes","No")</f>
        <v>Yes</v>
      </c>
      <c r="O1398" s="6" t="s">
        <v>46</v>
      </c>
    </row>
    <row r="1399" customFormat="false" ht="15" hidden="false" customHeight="false" outlineLevel="0" collapsed="false">
      <c r="A1399" s="6" t="s">
        <v>2907</v>
      </c>
      <c r="B1399" s="6" t="s">
        <v>2908</v>
      </c>
      <c r="C1399" s="6" t="s">
        <v>75</v>
      </c>
      <c r="D1399" s="6" t="n">
        <v>30</v>
      </c>
      <c r="E1399" s="6" t="s">
        <v>81</v>
      </c>
      <c r="F1399" s="6" t="s">
        <v>82</v>
      </c>
      <c r="G1399" s="26" t="n">
        <v>46163</v>
      </c>
      <c r="H1399" s="6" t="s">
        <v>115</v>
      </c>
      <c r="I1399" s="26" t="n">
        <f aca="false">_xlfn.MINIFS(Transaction!$C$2:$C$8421,Transaction!$B$2:$B$8421,A1399)</f>
        <v>46173</v>
      </c>
      <c r="J1399" s="26" t="n">
        <f aca="false">_xlfn.MAXIFS(Transaction!$C$2:$C$8421,Transaction!$B$2:$B$8421,A1399)</f>
        <v>46173</v>
      </c>
      <c r="K1399" s="6" t="n">
        <f aca="false">COUNTIF(Transaction!$B$2:$B$8421,A1399)</f>
        <v>1</v>
      </c>
      <c r="L1399" s="10" t="n">
        <f aca="false">SUMIF(Transaction!$B$2:$B$8421,A1399,Transaction!$H$2:$H$8421)</f>
        <v>702</v>
      </c>
      <c r="M1399" s="6" t="n">
        <f aca="false">Summary!$B$3-J1399</f>
        <v>93</v>
      </c>
      <c r="N1399" s="6" t="str">
        <f aca="false">IF(K1399&gt;1,"Yes","No")</f>
        <v>No</v>
      </c>
      <c r="O1399" s="6" t="s">
        <v>48</v>
      </c>
    </row>
    <row r="1400" customFormat="false" ht="15" hidden="false" customHeight="false" outlineLevel="0" collapsed="false">
      <c r="A1400" s="6" t="s">
        <v>2909</v>
      </c>
      <c r="B1400" s="6" t="s">
        <v>2910</v>
      </c>
      <c r="C1400" s="6" t="s">
        <v>75</v>
      </c>
      <c r="D1400" s="6" t="n">
        <v>43</v>
      </c>
      <c r="E1400" s="6" t="s">
        <v>176</v>
      </c>
      <c r="F1400" s="6" t="s">
        <v>177</v>
      </c>
      <c r="G1400" s="26" t="n">
        <v>45973</v>
      </c>
      <c r="H1400" s="6" t="s">
        <v>123</v>
      </c>
      <c r="I1400" s="26" t="n">
        <f aca="false">_xlfn.MINIFS(Transaction!$C$2:$C$8421,Transaction!$B$2:$B$8421,A1400)</f>
        <v>46038</v>
      </c>
      <c r="J1400" s="26" t="n">
        <f aca="false">_xlfn.MAXIFS(Transaction!$C$2:$C$8421,Transaction!$B$2:$B$8421,A1400)</f>
        <v>46242</v>
      </c>
      <c r="K1400" s="6" t="n">
        <f aca="false">COUNTIF(Transaction!$B$2:$B$8421,A1400)</f>
        <v>11</v>
      </c>
      <c r="L1400" s="10" t="n">
        <f aca="false">SUMIF(Transaction!$B$2:$B$8421,A1400,Transaction!$H$2:$H$8421)</f>
        <v>19336</v>
      </c>
      <c r="M1400" s="6" t="n">
        <f aca="false">Summary!$B$3-J1400</f>
        <v>24</v>
      </c>
      <c r="N1400" s="6" t="str">
        <f aca="false">IF(K1400&gt;1,"Yes","No")</f>
        <v>Yes</v>
      </c>
      <c r="O1400" s="6" t="s">
        <v>45</v>
      </c>
    </row>
    <row r="1401" customFormat="false" ht="15" hidden="false" customHeight="false" outlineLevel="0" collapsed="false">
      <c r="A1401" s="6" t="s">
        <v>2911</v>
      </c>
      <c r="B1401" s="6" t="s">
        <v>2912</v>
      </c>
      <c r="C1401" s="6" t="s">
        <v>85</v>
      </c>
      <c r="D1401" s="6" t="n">
        <v>30</v>
      </c>
      <c r="E1401" s="6" t="s">
        <v>76</v>
      </c>
      <c r="F1401" s="6" t="s">
        <v>77</v>
      </c>
      <c r="G1401" s="26" t="n">
        <v>45970</v>
      </c>
      <c r="H1401" s="6" t="s">
        <v>102</v>
      </c>
      <c r="I1401" s="26" t="n">
        <f aca="false">_xlfn.MINIFS(Transaction!$C$2:$C$8421,Transaction!$B$2:$B$8421,A1401)</f>
        <v>46025</v>
      </c>
      <c r="J1401" s="26" t="n">
        <f aca="false">_xlfn.MAXIFS(Transaction!$C$2:$C$8421,Transaction!$B$2:$B$8421,A1401)</f>
        <v>46263</v>
      </c>
      <c r="K1401" s="6" t="n">
        <f aca="false">COUNTIF(Transaction!$B$2:$B$8421,A1401)</f>
        <v>12</v>
      </c>
      <c r="L1401" s="10" t="n">
        <f aca="false">SUMIF(Transaction!$B$2:$B$8421,A1401,Transaction!$H$2:$H$8421)</f>
        <v>20122</v>
      </c>
      <c r="M1401" s="6" t="n">
        <f aca="false">Summary!$B$3-J1401</f>
        <v>3</v>
      </c>
      <c r="N1401" s="6" t="str">
        <f aca="false">IF(K1401&gt;1,"Yes","No")</f>
        <v>Yes</v>
      </c>
      <c r="O1401" s="6" t="s">
        <v>45</v>
      </c>
    </row>
    <row r="1402" customFormat="false" ht="15" hidden="false" customHeight="false" outlineLevel="0" collapsed="false">
      <c r="A1402" s="6" t="s">
        <v>2913</v>
      </c>
      <c r="B1402" s="6" t="s">
        <v>2914</v>
      </c>
      <c r="C1402" s="6" t="s">
        <v>75</v>
      </c>
      <c r="D1402" s="6" t="n">
        <v>39</v>
      </c>
      <c r="E1402" s="6" t="s">
        <v>91</v>
      </c>
      <c r="F1402" s="6" t="s">
        <v>77</v>
      </c>
      <c r="G1402" s="26" t="n">
        <v>46041</v>
      </c>
      <c r="H1402" s="6" t="s">
        <v>115</v>
      </c>
      <c r="I1402" s="26" t="n">
        <f aca="false">_xlfn.MINIFS(Transaction!$C$2:$C$8421,Transaction!$B$2:$B$8421,A1402)</f>
        <v>46124</v>
      </c>
      <c r="J1402" s="26" t="n">
        <f aca="false">_xlfn.MAXIFS(Transaction!$C$2:$C$8421,Transaction!$B$2:$B$8421,A1402)</f>
        <v>46124</v>
      </c>
      <c r="K1402" s="6" t="n">
        <f aca="false">COUNTIF(Transaction!$B$2:$B$8421,A1402)</f>
        <v>1</v>
      </c>
      <c r="L1402" s="10" t="n">
        <f aca="false">SUMIF(Transaction!$B$2:$B$8421,A1402,Transaction!$H$2:$H$8421)</f>
        <v>1680</v>
      </c>
      <c r="M1402" s="6" t="n">
        <f aca="false">Summary!$B$3-J1402</f>
        <v>142</v>
      </c>
      <c r="N1402" s="6" t="str">
        <f aca="false">IF(K1402&gt;1,"Yes","No")</f>
        <v>No</v>
      </c>
      <c r="O1402" s="6" t="s">
        <v>48</v>
      </c>
    </row>
    <row r="1403" customFormat="false" ht="15" hidden="false" customHeight="false" outlineLevel="0" collapsed="false">
      <c r="A1403" s="6" t="s">
        <v>2915</v>
      </c>
      <c r="B1403" s="6" t="s">
        <v>2916</v>
      </c>
      <c r="C1403" s="6" t="s">
        <v>75</v>
      </c>
      <c r="D1403" s="6" t="n">
        <v>28</v>
      </c>
      <c r="E1403" s="6" t="s">
        <v>76</v>
      </c>
      <c r="F1403" s="6" t="s">
        <v>77</v>
      </c>
      <c r="G1403" s="26" t="n">
        <v>46021</v>
      </c>
      <c r="H1403" s="6" t="s">
        <v>102</v>
      </c>
      <c r="I1403" s="26" t="n">
        <f aca="false">_xlfn.MINIFS(Transaction!$C$2:$C$8421,Transaction!$B$2:$B$8421,A1403)</f>
        <v>46102</v>
      </c>
      <c r="J1403" s="26" t="n">
        <f aca="false">_xlfn.MAXIFS(Transaction!$C$2:$C$8421,Transaction!$B$2:$B$8421,A1403)</f>
        <v>46102</v>
      </c>
      <c r="K1403" s="6" t="n">
        <f aca="false">COUNTIF(Transaction!$B$2:$B$8421,A1403)</f>
        <v>1</v>
      </c>
      <c r="L1403" s="10" t="n">
        <f aca="false">SUMIF(Transaction!$B$2:$B$8421,A1403,Transaction!$H$2:$H$8421)</f>
        <v>1213</v>
      </c>
      <c r="M1403" s="6" t="n">
        <f aca="false">Summary!$B$3-J1403</f>
        <v>164</v>
      </c>
      <c r="N1403" s="6" t="str">
        <f aca="false">IF(K1403&gt;1,"Yes","No")</f>
        <v>No</v>
      </c>
      <c r="O1403" s="6" t="s">
        <v>49</v>
      </c>
    </row>
    <row r="1404" customFormat="false" ht="15" hidden="false" customHeight="false" outlineLevel="0" collapsed="false">
      <c r="A1404" s="6" t="s">
        <v>2917</v>
      </c>
      <c r="B1404" s="6" t="s">
        <v>2918</v>
      </c>
      <c r="C1404" s="6" t="s">
        <v>75</v>
      </c>
      <c r="D1404" s="6" t="n">
        <v>37</v>
      </c>
      <c r="E1404" s="6" t="s">
        <v>126</v>
      </c>
      <c r="F1404" s="6" t="s">
        <v>127</v>
      </c>
      <c r="G1404" s="26" t="n">
        <v>46112</v>
      </c>
      <c r="H1404" s="6" t="s">
        <v>123</v>
      </c>
      <c r="I1404" s="26" t="n">
        <f aca="false">_xlfn.MINIFS(Transaction!$C$2:$C$8421,Transaction!$B$2:$B$8421,A1404)</f>
        <v>46153</v>
      </c>
      <c r="J1404" s="26" t="n">
        <f aca="false">_xlfn.MAXIFS(Transaction!$C$2:$C$8421,Transaction!$B$2:$B$8421,A1404)</f>
        <v>46153</v>
      </c>
      <c r="K1404" s="6" t="n">
        <f aca="false">COUNTIF(Transaction!$B$2:$B$8421,A1404)</f>
        <v>1</v>
      </c>
      <c r="L1404" s="10" t="n">
        <f aca="false">SUMIF(Transaction!$B$2:$B$8421,A1404,Transaction!$H$2:$H$8421)</f>
        <v>2542</v>
      </c>
      <c r="M1404" s="6" t="n">
        <f aca="false">Summary!$B$3-J1404</f>
        <v>113</v>
      </c>
      <c r="N1404" s="6" t="str">
        <f aca="false">IF(K1404&gt;1,"Yes","No")</f>
        <v>No</v>
      </c>
      <c r="O1404" s="6" t="s">
        <v>48</v>
      </c>
    </row>
    <row r="1405" customFormat="false" ht="15" hidden="false" customHeight="false" outlineLevel="0" collapsed="false">
      <c r="A1405" s="6" t="s">
        <v>2919</v>
      </c>
      <c r="B1405" s="6" t="s">
        <v>2920</v>
      </c>
      <c r="C1405" s="6" t="s">
        <v>85</v>
      </c>
      <c r="D1405" s="6" t="n">
        <v>18</v>
      </c>
      <c r="E1405" s="6" t="s">
        <v>76</v>
      </c>
      <c r="F1405" s="6" t="s">
        <v>77</v>
      </c>
      <c r="G1405" s="26" t="n">
        <v>46167</v>
      </c>
      <c r="H1405" s="6" t="s">
        <v>92</v>
      </c>
      <c r="I1405" s="26" t="n">
        <f aca="false">_xlfn.MINIFS(Transaction!$C$2:$C$8421,Transaction!$B$2:$B$8421,A1405)</f>
        <v>46194</v>
      </c>
      <c r="J1405" s="26" t="n">
        <f aca="false">_xlfn.MAXIFS(Transaction!$C$2:$C$8421,Transaction!$B$2:$B$8421,A1405)</f>
        <v>46194</v>
      </c>
      <c r="K1405" s="6" t="n">
        <f aca="false">COUNTIF(Transaction!$B$2:$B$8421,A1405)</f>
        <v>1</v>
      </c>
      <c r="L1405" s="10" t="n">
        <f aca="false">SUMIF(Transaction!$B$2:$B$8421,A1405,Transaction!$H$2:$H$8421)</f>
        <v>1835</v>
      </c>
      <c r="M1405" s="6" t="n">
        <f aca="false">Summary!$B$3-J1405</f>
        <v>72</v>
      </c>
      <c r="N1405" s="6" t="str">
        <f aca="false">IF(K1405&gt;1,"Yes","No")</f>
        <v>No</v>
      </c>
      <c r="O1405" s="6" t="s">
        <v>47</v>
      </c>
    </row>
    <row r="1406" customFormat="false" ht="15" hidden="false" customHeight="false" outlineLevel="0" collapsed="false">
      <c r="A1406" s="6" t="s">
        <v>2921</v>
      </c>
      <c r="B1406" s="6" t="s">
        <v>2922</v>
      </c>
      <c r="C1406" s="6" t="s">
        <v>85</v>
      </c>
      <c r="D1406" s="6" t="n">
        <v>38</v>
      </c>
      <c r="E1406" s="6" t="s">
        <v>121</v>
      </c>
      <c r="F1406" s="6" t="s">
        <v>122</v>
      </c>
      <c r="G1406" s="26" t="n">
        <v>46218</v>
      </c>
      <c r="H1406" s="6" t="s">
        <v>78</v>
      </c>
      <c r="I1406" s="26" t="n">
        <f aca="false">_xlfn.MINIFS(Transaction!$C$2:$C$8421,Transaction!$B$2:$B$8421,A1406)</f>
        <v>46250</v>
      </c>
      <c r="J1406" s="26" t="n">
        <f aca="false">_xlfn.MAXIFS(Transaction!$C$2:$C$8421,Transaction!$B$2:$B$8421,A1406)</f>
        <v>46250</v>
      </c>
      <c r="K1406" s="6" t="n">
        <f aca="false">COUNTIF(Transaction!$B$2:$B$8421,A1406)</f>
        <v>1</v>
      </c>
      <c r="L1406" s="10" t="n">
        <f aca="false">SUMIF(Transaction!$B$2:$B$8421,A1406,Transaction!$H$2:$H$8421)</f>
        <v>1308</v>
      </c>
      <c r="M1406" s="6" t="n">
        <f aca="false">Summary!$B$3-J1406</f>
        <v>16</v>
      </c>
      <c r="N1406" s="6" t="str">
        <f aca="false">IF(K1406&gt;1,"Yes","No")</f>
        <v>No</v>
      </c>
      <c r="O1406" s="6" t="s">
        <v>47</v>
      </c>
    </row>
    <row r="1407" customFormat="false" ht="15" hidden="false" customHeight="false" outlineLevel="0" collapsed="false">
      <c r="A1407" s="6" t="s">
        <v>2923</v>
      </c>
      <c r="B1407" s="6" t="s">
        <v>2924</v>
      </c>
      <c r="C1407" s="6" t="s">
        <v>85</v>
      </c>
      <c r="D1407" s="6" t="n">
        <v>18</v>
      </c>
      <c r="E1407" s="6" t="s">
        <v>176</v>
      </c>
      <c r="F1407" s="6" t="s">
        <v>177</v>
      </c>
      <c r="G1407" s="26" t="n">
        <v>46179</v>
      </c>
      <c r="H1407" s="6" t="s">
        <v>78</v>
      </c>
      <c r="I1407" s="26" t="n">
        <f aca="false">_xlfn.MINIFS(Transaction!$C$2:$C$8421,Transaction!$B$2:$B$8421,A1407)</f>
        <v>46180</v>
      </c>
      <c r="J1407" s="26" t="n">
        <f aca="false">_xlfn.MAXIFS(Transaction!$C$2:$C$8421,Transaction!$B$2:$B$8421,A1407)</f>
        <v>46180</v>
      </c>
      <c r="K1407" s="6" t="n">
        <f aca="false">COUNTIF(Transaction!$B$2:$B$8421,A1407)</f>
        <v>1</v>
      </c>
      <c r="L1407" s="10" t="n">
        <f aca="false">SUMIF(Transaction!$B$2:$B$8421,A1407,Transaction!$H$2:$H$8421)</f>
        <v>1406</v>
      </c>
      <c r="M1407" s="6" t="n">
        <f aca="false">Summary!$B$3-J1407</f>
        <v>86</v>
      </c>
      <c r="N1407" s="6" t="str">
        <f aca="false">IF(K1407&gt;1,"Yes","No")</f>
        <v>No</v>
      </c>
      <c r="O1407" s="6" t="s">
        <v>47</v>
      </c>
    </row>
    <row r="1408" customFormat="false" ht="15" hidden="false" customHeight="false" outlineLevel="0" collapsed="false">
      <c r="A1408" s="6" t="s">
        <v>2925</v>
      </c>
      <c r="B1408" s="6" t="s">
        <v>2926</v>
      </c>
      <c r="C1408" s="6" t="s">
        <v>85</v>
      </c>
      <c r="D1408" s="6" t="n">
        <v>24</v>
      </c>
      <c r="E1408" s="6" t="s">
        <v>76</v>
      </c>
      <c r="F1408" s="6" t="s">
        <v>77</v>
      </c>
      <c r="G1408" s="26" t="n">
        <v>45969</v>
      </c>
      <c r="H1408" s="6" t="s">
        <v>78</v>
      </c>
      <c r="I1408" s="26" t="n">
        <f aca="false">_xlfn.MINIFS(Transaction!$C$2:$C$8421,Transaction!$B$2:$B$8421,A1408)</f>
        <v>46029</v>
      </c>
      <c r="J1408" s="26" t="n">
        <f aca="false">_xlfn.MAXIFS(Transaction!$C$2:$C$8421,Transaction!$B$2:$B$8421,A1408)</f>
        <v>46252</v>
      </c>
      <c r="K1408" s="6" t="n">
        <f aca="false">COUNTIF(Transaction!$B$2:$B$8421,A1408)</f>
        <v>10</v>
      </c>
      <c r="L1408" s="10" t="n">
        <f aca="false">SUMIF(Transaction!$B$2:$B$8421,A1408,Transaction!$H$2:$H$8421)</f>
        <v>76061</v>
      </c>
      <c r="M1408" s="6" t="n">
        <f aca="false">Summary!$B$3-J1408</f>
        <v>14</v>
      </c>
      <c r="N1408" s="6" t="str">
        <f aca="false">IF(K1408&gt;1,"Yes","No")</f>
        <v>Yes</v>
      </c>
      <c r="O1408" s="6" t="s">
        <v>45</v>
      </c>
    </row>
    <row r="1409" customFormat="false" ht="15" hidden="false" customHeight="false" outlineLevel="0" collapsed="false">
      <c r="A1409" s="6" t="s">
        <v>2927</v>
      </c>
      <c r="B1409" s="6" t="s">
        <v>2928</v>
      </c>
      <c r="C1409" s="6" t="s">
        <v>75</v>
      </c>
      <c r="D1409" s="6" t="n">
        <v>30</v>
      </c>
      <c r="E1409" s="6" t="s">
        <v>81</v>
      </c>
      <c r="F1409" s="6" t="s">
        <v>82</v>
      </c>
      <c r="G1409" s="26" t="n">
        <v>46198</v>
      </c>
      <c r="H1409" s="6" t="s">
        <v>115</v>
      </c>
      <c r="I1409" s="26" t="n">
        <f aca="false">_xlfn.MINIFS(Transaction!$C$2:$C$8421,Transaction!$B$2:$B$8421,A1409)</f>
        <v>46219</v>
      </c>
      <c r="J1409" s="26" t="n">
        <f aca="false">_xlfn.MAXIFS(Transaction!$C$2:$C$8421,Transaction!$B$2:$B$8421,A1409)</f>
        <v>46219</v>
      </c>
      <c r="K1409" s="6" t="n">
        <f aca="false">COUNTIF(Transaction!$B$2:$B$8421,A1409)</f>
        <v>1</v>
      </c>
      <c r="L1409" s="10" t="n">
        <f aca="false">SUMIF(Transaction!$B$2:$B$8421,A1409,Transaction!$H$2:$H$8421)</f>
        <v>1760</v>
      </c>
      <c r="M1409" s="6" t="n">
        <f aca="false">Summary!$B$3-J1409</f>
        <v>47</v>
      </c>
      <c r="N1409" s="6" t="str">
        <f aca="false">IF(K1409&gt;1,"Yes","No")</f>
        <v>No</v>
      </c>
      <c r="O1409" s="6" t="s">
        <v>47</v>
      </c>
    </row>
    <row r="1410" customFormat="false" ht="15" hidden="false" customHeight="false" outlineLevel="0" collapsed="false">
      <c r="A1410" s="6" t="s">
        <v>2929</v>
      </c>
      <c r="B1410" s="6" t="s">
        <v>2930</v>
      </c>
      <c r="C1410" s="6" t="s">
        <v>75</v>
      </c>
      <c r="D1410" s="6" t="n">
        <v>42</v>
      </c>
      <c r="E1410" s="6" t="s">
        <v>121</v>
      </c>
      <c r="F1410" s="6" t="s">
        <v>122</v>
      </c>
      <c r="G1410" s="26" t="n">
        <v>46113</v>
      </c>
      <c r="H1410" s="6" t="s">
        <v>92</v>
      </c>
      <c r="I1410" s="26" t="n">
        <f aca="false">_xlfn.MINIFS(Transaction!$C$2:$C$8421,Transaction!$B$2:$B$8421,A1410)</f>
        <v>46123</v>
      </c>
      <c r="J1410" s="26" t="n">
        <f aca="false">_xlfn.MAXIFS(Transaction!$C$2:$C$8421,Transaction!$B$2:$B$8421,A1410)</f>
        <v>46123</v>
      </c>
      <c r="K1410" s="6" t="n">
        <f aca="false">COUNTIF(Transaction!$B$2:$B$8421,A1410)</f>
        <v>1</v>
      </c>
      <c r="L1410" s="10" t="n">
        <f aca="false">SUMIF(Transaction!$B$2:$B$8421,A1410,Transaction!$H$2:$H$8421)</f>
        <v>1101</v>
      </c>
      <c r="M1410" s="6" t="n">
        <f aca="false">Summary!$B$3-J1410</f>
        <v>143</v>
      </c>
      <c r="N1410" s="6" t="str">
        <f aca="false">IF(K1410&gt;1,"Yes","No")</f>
        <v>No</v>
      </c>
      <c r="O1410" s="6" t="s">
        <v>48</v>
      </c>
    </row>
    <row r="1411" customFormat="false" ht="15" hidden="false" customHeight="false" outlineLevel="0" collapsed="false">
      <c r="A1411" s="6" t="s">
        <v>2931</v>
      </c>
      <c r="B1411" s="6" t="s">
        <v>2932</v>
      </c>
      <c r="C1411" s="6" t="s">
        <v>85</v>
      </c>
      <c r="D1411" s="6" t="n">
        <v>25</v>
      </c>
      <c r="E1411" s="6" t="s">
        <v>180</v>
      </c>
      <c r="F1411" s="6" t="s">
        <v>181</v>
      </c>
      <c r="G1411" s="26" t="n">
        <v>46060</v>
      </c>
      <c r="H1411" s="6" t="s">
        <v>123</v>
      </c>
      <c r="I1411" s="26" t="n">
        <f aca="false">_xlfn.MINIFS(Transaction!$C$2:$C$8421,Transaction!$B$2:$B$8421,A1411)</f>
        <v>46114</v>
      </c>
      <c r="J1411" s="26" t="n">
        <f aca="false">_xlfn.MAXIFS(Transaction!$C$2:$C$8421,Transaction!$B$2:$B$8421,A1411)</f>
        <v>46114</v>
      </c>
      <c r="K1411" s="6" t="n">
        <f aca="false">COUNTIF(Transaction!$B$2:$B$8421,A1411)</f>
        <v>1</v>
      </c>
      <c r="L1411" s="10" t="n">
        <f aca="false">SUMIF(Transaction!$B$2:$B$8421,A1411,Transaction!$H$2:$H$8421)</f>
        <v>1710</v>
      </c>
      <c r="M1411" s="6" t="n">
        <f aca="false">Summary!$B$3-J1411</f>
        <v>152</v>
      </c>
      <c r="N1411" s="6" t="str">
        <f aca="false">IF(K1411&gt;1,"Yes","No")</f>
        <v>No</v>
      </c>
      <c r="O1411" s="6" t="s">
        <v>48</v>
      </c>
    </row>
    <row r="1412" customFormat="false" ht="15" hidden="false" customHeight="false" outlineLevel="0" collapsed="false">
      <c r="A1412" s="6" t="s">
        <v>2933</v>
      </c>
      <c r="B1412" s="6" t="s">
        <v>2934</v>
      </c>
      <c r="C1412" s="6" t="s">
        <v>75</v>
      </c>
      <c r="D1412" s="6" t="n">
        <v>36</v>
      </c>
      <c r="E1412" s="6" t="s">
        <v>134</v>
      </c>
      <c r="F1412" s="6" t="s">
        <v>135</v>
      </c>
      <c r="G1412" s="26" t="n">
        <v>46082</v>
      </c>
      <c r="H1412" s="6" t="s">
        <v>92</v>
      </c>
      <c r="I1412" s="26" t="n">
        <f aca="false">_xlfn.MINIFS(Transaction!$C$2:$C$8421,Transaction!$B$2:$B$8421,A1412)</f>
        <v>46115</v>
      </c>
      <c r="J1412" s="26" t="n">
        <f aca="false">_xlfn.MAXIFS(Transaction!$C$2:$C$8421,Transaction!$B$2:$B$8421,A1412)</f>
        <v>46115</v>
      </c>
      <c r="K1412" s="6" t="n">
        <f aca="false">COUNTIF(Transaction!$B$2:$B$8421,A1412)</f>
        <v>1</v>
      </c>
      <c r="L1412" s="10" t="n">
        <f aca="false">SUMIF(Transaction!$B$2:$B$8421,A1412,Transaction!$H$2:$H$8421)</f>
        <v>581</v>
      </c>
      <c r="M1412" s="6" t="n">
        <f aca="false">Summary!$B$3-J1412</f>
        <v>151</v>
      </c>
      <c r="N1412" s="6" t="str">
        <f aca="false">IF(K1412&gt;1,"Yes","No")</f>
        <v>No</v>
      </c>
      <c r="O1412" s="6" t="s">
        <v>48</v>
      </c>
    </row>
    <row r="1413" customFormat="false" ht="15" hidden="false" customHeight="false" outlineLevel="0" collapsed="false">
      <c r="A1413" s="6" t="s">
        <v>2935</v>
      </c>
      <c r="B1413" s="6" t="s">
        <v>2936</v>
      </c>
      <c r="C1413" s="6" t="s">
        <v>75</v>
      </c>
      <c r="D1413" s="6" t="n">
        <v>29</v>
      </c>
      <c r="E1413" s="6" t="s">
        <v>95</v>
      </c>
      <c r="F1413" s="6" t="s">
        <v>95</v>
      </c>
      <c r="G1413" s="26" t="n">
        <v>45972</v>
      </c>
      <c r="H1413" s="6" t="s">
        <v>78</v>
      </c>
      <c r="I1413" s="26" t="n">
        <f aca="false">_xlfn.MINIFS(Transaction!$C$2:$C$8421,Transaction!$B$2:$B$8421,A1413)</f>
        <v>46036</v>
      </c>
      <c r="J1413" s="26" t="n">
        <f aca="false">_xlfn.MAXIFS(Transaction!$C$2:$C$8421,Transaction!$B$2:$B$8421,A1413)</f>
        <v>46253</v>
      </c>
      <c r="K1413" s="6" t="n">
        <f aca="false">COUNTIF(Transaction!$B$2:$B$8421,A1413)</f>
        <v>8</v>
      </c>
      <c r="L1413" s="10" t="n">
        <f aca="false">SUMIF(Transaction!$B$2:$B$8421,A1413,Transaction!$H$2:$H$8421)</f>
        <v>13366</v>
      </c>
      <c r="M1413" s="6" t="n">
        <f aca="false">Summary!$B$3-J1413</f>
        <v>13</v>
      </c>
      <c r="N1413" s="6" t="str">
        <f aca="false">IF(K1413&gt;1,"Yes","No")</f>
        <v>Yes</v>
      </c>
      <c r="O1413" s="6" t="s">
        <v>46</v>
      </c>
    </row>
    <row r="1414" customFormat="false" ht="15" hidden="false" customHeight="false" outlineLevel="0" collapsed="false">
      <c r="A1414" s="6" t="s">
        <v>2937</v>
      </c>
      <c r="B1414" s="6" t="s">
        <v>2938</v>
      </c>
      <c r="C1414" s="6" t="s">
        <v>85</v>
      </c>
      <c r="D1414" s="6" t="n">
        <v>50</v>
      </c>
      <c r="E1414" s="6" t="s">
        <v>105</v>
      </c>
      <c r="F1414" s="6" t="s">
        <v>106</v>
      </c>
      <c r="G1414" s="26" t="n">
        <v>46075</v>
      </c>
      <c r="H1414" s="6" t="s">
        <v>123</v>
      </c>
      <c r="I1414" s="26" t="n">
        <f aca="false">_xlfn.MINIFS(Transaction!$C$2:$C$8421,Transaction!$B$2:$B$8421,A1414)</f>
        <v>46134</v>
      </c>
      <c r="J1414" s="26" t="n">
        <f aca="false">_xlfn.MAXIFS(Transaction!$C$2:$C$8421,Transaction!$B$2:$B$8421,A1414)</f>
        <v>46134</v>
      </c>
      <c r="K1414" s="6" t="n">
        <f aca="false">COUNTIF(Transaction!$B$2:$B$8421,A1414)</f>
        <v>1</v>
      </c>
      <c r="L1414" s="10" t="n">
        <f aca="false">SUMIF(Transaction!$B$2:$B$8421,A1414,Transaction!$H$2:$H$8421)</f>
        <v>530</v>
      </c>
      <c r="M1414" s="6" t="n">
        <f aca="false">Summary!$B$3-J1414</f>
        <v>132</v>
      </c>
      <c r="N1414" s="6" t="str">
        <f aca="false">IF(K1414&gt;1,"Yes","No")</f>
        <v>No</v>
      </c>
      <c r="O1414" s="6" t="s">
        <v>48</v>
      </c>
    </row>
    <row r="1415" customFormat="false" ht="15" hidden="false" customHeight="false" outlineLevel="0" collapsed="false">
      <c r="A1415" s="6" t="s">
        <v>2939</v>
      </c>
      <c r="B1415" s="6" t="s">
        <v>2940</v>
      </c>
      <c r="C1415" s="6" t="s">
        <v>85</v>
      </c>
      <c r="D1415" s="6" t="n">
        <v>19</v>
      </c>
      <c r="E1415" s="6" t="s">
        <v>76</v>
      </c>
      <c r="F1415" s="6" t="s">
        <v>77</v>
      </c>
      <c r="G1415" s="26" t="n">
        <v>46087</v>
      </c>
      <c r="H1415" s="6" t="s">
        <v>115</v>
      </c>
      <c r="I1415" s="26" t="n">
        <f aca="false">_xlfn.MINIFS(Transaction!$C$2:$C$8421,Transaction!$B$2:$B$8421,A1415)</f>
        <v>46133</v>
      </c>
      <c r="J1415" s="26" t="n">
        <f aca="false">_xlfn.MAXIFS(Transaction!$C$2:$C$8421,Transaction!$B$2:$B$8421,A1415)</f>
        <v>46250</v>
      </c>
      <c r="K1415" s="6" t="n">
        <f aca="false">COUNTIF(Transaction!$B$2:$B$8421,A1415)</f>
        <v>9</v>
      </c>
      <c r="L1415" s="10" t="n">
        <f aca="false">SUMIF(Transaction!$B$2:$B$8421,A1415,Transaction!$H$2:$H$8421)</f>
        <v>25426</v>
      </c>
      <c r="M1415" s="6" t="n">
        <f aca="false">Summary!$B$3-J1415</f>
        <v>16</v>
      </c>
      <c r="N1415" s="6" t="str">
        <f aca="false">IF(K1415&gt;1,"Yes","No")</f>
        <v>Yes</v>
      </c>
      <c r="O1415" s="6" t="s">
        <v>45</v>
      </c>
    </row>
    <row r="1416" customFormat="false" ht="15" hidden="false" customHeight="false" outlineLevel="0" collapsed="false">
      <c r="A1416" s="6" t="s">
        <v>2941</v>
      </c>
      <c r="B1416" s="6" t="s">
        <v>2942</v>
      </c>
      <c r="C1416" s="6" t="s">
        <v>85</v>
      </c>
      <c r="D1416" s="6" t="n">
        <v>53</v>
      </c>
      <c r="E1416" s="6" t="s">
        <v>105</v>
      </c>
      <c r="F1416" s="6" t="s">
        <v>106</v>
      </c>
      <c r="G1416" s="26" t="n">
        <v>46057</v>
      </c>
      <c r="H1416" s="6" t="s">
        <v>115</v>
      </c>
      <c r="I1416" s="26" t="n">
        <f aca="false">_xlfn.MINIFS(Transaction!$C$2:$C$8421,Transaction!$B$2:$B$8421,A1416)</f>
        <v>46110</v>
      </c>
      <c r="J1416" s="26" t="n">
        <f aca="false">_xlfn.MAXIFS(Transaction!$C$2:$C$8421,Transaction!$B$2:$B$8421,A1416)</f>
        <v>46110</v>
      </c>
      <c r="K1416" s="6" t="n">
        <f aca="false">COUNTIF(Transaction!$B$2:$B$8421,A1416)</f>
        <v>1</v>
      </c>
      <c r="L1416" s="10" t="n">
        <f aca="false">SUMIF(Transaction!$B$2:$B$8421,A1416,Transaction!$H$2:$H$8421)</f>
        <v>773</v>
      </c>
      <c r="M1416" s="6" t="n">
        <f aca="false">Summary!$B$3-J1416</f>
        <v>156</v>
      </c>
      <c r="N1416" s="6" t="str">
        <f aca="false">IF(K1416&gt;1,"Yes","No")</f>
        <v>No</v>
      </c>
      <c r="O1416" s="6" t="s">
        <v>49</v>
      </c>
    </row>
    <row r="1417" customFormat="false" ht="15" hidden="false" customHeight="false" outlineLevel="0" collapsed="false">
      <c r="A1417" s="6" t="s">
        <v>2943</v>
      </c>
      <c r="B1417" s="6" t="s">
        <v>2944</v>
      </c>
      <c r="C1417" s="6" t="s">
        <v>85</v>
      </c>
      <c r="D1417" s="6" t="n">
        <v>32</v>
      </c>
      <c r="E1417" s="6" t="s">
        <v>95</v>
      </c>
      <c r="F1417" s="6" t="s">
        <v>95</v>
      </c>
      <c r="G1417" s="26" t="n">
        <v>46005</v>
      </c>
      <c r="H1417" s="6" t="s">
        <v>78</v>
      </c>
      <c r="I1417" s="26" t="n">
        <f aca="false">_xlfn.MINIFS(Transaction!$C$2:$C$8421,Transaction!$B$2:$B$8421,A1417)</f>
        <v>46066</v>
      </c>
      <c r="J1417" s="26" t="n">
        <f aca="false">_xlfn.MAXIFS(Transaction!$C$2:$C$8421,Transaction!$B$2:$B$8421,A1417)</f>
        <v>46254</v>
      </c>
      <c r="K1417" s="6" t="n">
        <f aca="false">COUNTIF(Transaction!$B$2:$B$8421,A1417)</f>
        <v>8</v>
      </c>
      <c r="L1417" s="10" t="n">
        <f aca="false">SUMIF(Transaction!$B$2:$B$8421,A1417,Transaction!$H$2:$H$8421)</f>
        <v>16071</v>
      </c>
      <c r="M1417" s="6" t="n">
        <f aca="false">Summary!$B$3-J1417</f>
        <v>12</v>
      </c>
      <c r="N1417" s="6" t="str">
        <f aca="false">IF(K1417&gt;1,"Yes","No")</f>
        <v>Yes</v>
      </c>
      <c r="O1417" s="6" t="s">
        <v>45</v>
      </c>
    </row>
    <row r="1418" customFormat="false" ht="15" hidden="false" customHeight="false" outlineLevel="0" collapsed="false">
      <c r="A1418" s="6" t="s">
        <v>2945</v>
      </c>
      <c r="B1418" s="6" t="s">
        <v>2946</v>
      </c>
      <c r="C1418" s="6" t="s">
        <v>75</v>
      </c>
      <c r="D1418" s="6" t="n">
        <v>37</v>
      </c>
      <c r="E1418" s="6" t="s">
        <v>86</v>
      </c>
      <c r="F1418" s="6" t="s">
        <v>87</v>
      </c>
      <c r="G1418" s="26" t="n">
        <v>46145</v>
      </c>
      <c r="H1418" s="6" t="s">
        <v>78</v>
      </c>
      <c r="I1418" s="26" t="n">
        <f aca="false">_xlfn.MINIFS(Transaction!$C$2:$C$8421,Transaction!$B$2:$B$8421,A1418)</f>
        <v>46154</v>
      </c>
      <c r="J1418" s="26" t="n">
        <f aca="false">_xlfn.MAXIFS(Transaction!$C$2:$C$8421,Transaction!$B$2:$B$8421,A1418)</f>
        <v>46154</v>
      </c>
      <c r="K1418" s="6" t="n">
        <f aca="false">COUNTIF(Transaction!$B$2:$B$8421,A1418)</f>
        <v>1</v>
      </c>
      <c r="L1418" s="10" t="n">
        <f aca="false">SUMIF(Transaction!$B$2:$B$8421,A1418,Transaction!$H$2:$H$8421)</f>
        <v>6534</v>
      </c>
      <c r="M1418" s="6" t="n">
        <f aca="false">Summary!$B$3-J1418</f>
        <v>112</v>
      </c>
      <c r="N1418" s="6" t="str">
        <f aca="false">IF(K1418&gt;1,"Yes","No")</f>
        <v>No</v>
      </c>
      <c r="O1418" s="6" t="s">
        <v>48</v>
      </c>
    </row>
    <row r="1419" customFormat="false" ht="15" hidden="false" customHeight="false" outlineLevel="0" collapsed="false">
      <c r="A1419" s="6" t="s">
        <v>2947</v>
      </c>
      <c r="B1419" s="6" t="s">
        <v>2948</v>
      </c>
      <c r="C1419" s="6" t="s">
        <v>75</v>
      </c>
      <c r="D1419" s="6" t="n">
        <v>34</v>
      </c>
      <c r="E1419" s="6" t="s">
        <v>81</v>
      </c>
      <c r="F1419" s="6" t="s">
        <v>82</v>
      </c>
      <c r="G1419" s="26" t="n">
        <v>46039</v>
      </c>
      <c r="H1419" s="6" t="s">
        <v>102</v>
      </c>
      <c r="I1419" s="26" t="n">
        <f aca="false">_xlfn.MINIFS(Transaction!$C$2:$C$8421,Transaction!$B$2:$B$8421,A1419)</f>
        <v>46062</v>
      </c>
      <c r="J1419" s="26" t="n">
        <f aca="false">_xlfn.MAXIFS(Transaction!$C$2:$C$8421,Transaction!$B$2:$B$8421,A1419)</f>
        <v>46062</v>
      </c>
      <c r="K1419" s="6" t="n">
        <f aca="false">COUNTIF(Transaction!$B$2:$B$8421,A1419)</f>
        <v>1</v>
      </c>
      <c r="L1419" s="10" t="n">
        <f aca="false">SUMIF(Transaction!$B$2:$B$8421,A1419,Transaction!$H$2:$H$8421)</f>
        <v>1760</v>
      </c>
      <c r="M1419" s="6" t="n">
        <f aca="false">Summary!$B$3-J1419</f>
        <v>204</v>
      </c>
      <c r="N1419" s="6" t="str">
        <f aca="false">IF(K1419&gt;1,"Yes","No")</f>
        <v>No</v>
      </c>
      <c r="O1419" s="6" t="s">
        <v>49</v>
      </c>
    </row>
    <row r="1420" customFormat="false" ht="15" hidden="false" customHeight="false" outlineLevel="0" collapsed="false">
      <c r="A1420" s="6" t="s">
        <v>2949</v>
      </c>
      <c r="B1420" s="6" t="s">
        <v>2950</v>
      </c>
      <c r="C1420" s="6" t="s">
        <v>85</v>
      </c>
      <c r="D1420" s="6" t="n">
        <v>28</v>
      </c>
      <c r="E1420" s="6" t="s">
        <v>81</v>
      </c>
      <c r="F1420" s="6" t="s">
        <v>82</v>
      </c>
      <c r="G1420" s="26" t="n">
        <v>46032</v>
      </c>
      <c r="H1420" s="6" t="s">
        <v>78</v>
      </c>
      <c r="I1420" s="26" t="n">
        <f aca="false">_xlfn.MINIFS(Transaction!$C$2:$C$8421,Transaction!$B$2:$B$8421,A1420)</f>
        <v>46086</v>
      </c>
      <c r="J1420" s="26" t="n">
        <f aca="false">_xlfn.MAXIFS(Transaction!$C$2:$C$8421,Transaction!$B$2:$B$8421,A1420)</f>
        <v>46086</v>
      </c>
      <c r="K1420" s="6" t="n">
        <f aca="false">COUNTIF(Transaction!$B$2:$B$8421,A1420)</f>
        <v>1</v>
      </c>
      <c r="L1420" s="10" t="n">
        <f aca="false">SUMIF(Transaction!$B$2:$B$8421,A1420,Transaction!$H$2:$H$8421)</f>
        <v>2346</v>
      </c>
      <c r="M1420" s="6" t="n">
        <f aca="false">Summary!$B$3-J1420</f>
        <v>180</v>
      </c>
      <c r="N1420" s="6" t="str">
        <f aca="false">IF(K1420&gt;1,"Yes","No")</f>
        <v>No</v>
      </c>
      <c r="O1420" s="6" t="s">
        <v>49</v>
      </c>
    </row>
    <row r="1421" customFormat="false" ht="15" hidden="false" customHeight="false" outlineLevel="0" collapsed="false">
      <c r="A1421" s="6" t="s">
        <v>2951</v>
      </c>
      <c r="B1421" s="6" t="s">
        <v>2952</v>
      </c>
      <c r="C1421" s="6" t="s">
        <v>85</v>
      </c>
      <c r="D1421" s="6" t="n">
        <v>33</v>
      </c>
      <c r="E1421" s="6" t="s">
        <v>121</v>
      </c>
      <c r="F1421" s="6" t="s">
        <v>122</v>
      </c>
      <c r="G1421" s="26" t="n">
        <v>46003</v>
      </c>
      <c r="H1421" s="6" t="s">
        <v>78</v>
      </c>
      <c r="I1421" s="26" t="n">
        <f aca="false">_xlfn.MINIFS(Transaction!$C$2:$C$8421,Transaction!$B$2:$B$8421,A1421)</f>
        <v>46068</v>
      </c>
      <c r="J1421" s="26" t="n">
        <f aca="false">_xlfn.MAXIFS(Transaction!$C$2:$C$8421,Transaction!$B$2:$B$8421,A1421)</f>
        <v>46256</v>
      </c>
      <c r="K1421" s="6" t="n">
        <f aca="false">COUNTIF(Transaction!$B$2:$B$8421,A1421)</f>
        <v>4</v>
      </c>
      <c r="L1421" s="10" t="n">
        <f aca="false">SUMIF(Transaction!$B$2:$B$8421,A1421,Transaction!$H$2:$H$8421)</f>
        <v>6274</v>
      </c>
      <c r="M1421" s="6" t="n">
        <f aca="false">Summary!$B$3-J1421</f>
        <v>10</v>
      </c>
      <c r="N1421" s="6" t="str">
        <f aca="false">IF(K1421&gt;1,"Yes","No")</f>
        <v>Yes</v>
      </c>
      <c r="O1421" s="6" t="s">
        <v>46</v>
      </c>
    </row>
    <row r="1422" customFormat="false" ht="15" hidden="false" customHeight="false" outlineLevel="0" collapsed="false">
      <c r="A1422" s="6" t="s">
        <v>2953</v>
      </c>
      <c r="B1422" s="6" t="s">
        <v>2954</v>
      </c>
      <c r="C1422" s="6" t="s">
        <v>75</v>
      </c>
      <c r="D1422" s="6" t="n">
        <v>29</v>
      </c>
      <c r="E1422" s="6" t="s">
        <v>86</v>
      </c>
      <c r="F1422" s="6" t="s">
        <v>87</v>
      </c>
      <c r="G1422" s="26" t="n">
        <v>46078</v>
      </c>
      <c r="H1422" s="6" t="s">
        <v>78</v>
      </c>
      <c r="I1422" s="26" t="n">
        <f aca="false">_xlfn.MINIFS(Transaction!$C$2:$C$8421,Transaction!$B$2:$B$8421,A1422)</f>
        <v>46136</v>
      </c>
      <c r="J1422" s="26" t="n">
        <f aca="false">_xlfn.MAXIFS(Transaction!$C$2:$C$8421,Transaction!$B$2:$B$8421,A1422)</f>
        <v>46136</v>
      </c>
      <c r="K1422" s="6" t="n">
        <f aca="false">COUNTIF(Transaction!$B$2:$B$8421,A1422)</f>
        <v>1</v>
      </c>
      <c r="L1422" s="10" t="n">
        <f aca="false">SUMIF(Transaction!$B$2:$B$8421,A1422,Transaction!$H$2:$H$8421)</f>
        <v>1503</v>
      </c>
      <c r="M1422" s="6" t="n">
        <f aca="false">Summary!$B$3-J1422</f>
        <v>130</v>
      </c>
      <c r="N1422" s="6" t="str">
        <f aca="false">IF(K1422&gt;1,"Yes","No")</f>
        <v>No</v>
      </c>
      <c r="O1422" s="6" t="s">
        <v>48</v>
      </c>
    </row>
    <row r="1423" customFormat="false" ht="15" hidden="false" customHeight="false" outlineLevel="0" collapsed="false">
      <c r="A1423" s="6" t="s">
        <v>2955</v>
      </c>
      <c r="B1423" s="6" t="s">
        <v>2956</v>
      </c>
      <c r="C1423" s="6" t="s">
        <v>75</v>
      </c>
      <c r="D1423" s="6" t="n">
        <v>43</v>
      </c>
      <c r="E1423" s="6" t="s">
        <v>180</v>
      </c>
      <c r="F1423" s="6" t="s">
        <v>181</v>
      </c>
      <c r="G1423" s="26" t="n">
        <v>46203</v>
      </c>
      <c r="H1423" s="6" t="s">
        <v>123</v>
      </c>
      <c r="I1423" s="26" t="n">
        <f aca="false">_xlfn.MINIFS(Transaction!$C$2:$C$8421,Transaction!$B$2:$B$8421,A1423)</f>
        <v>46228</v>
      </c>
      <c r="J1423" s="26" t="n">
        <f aca="false">_xlfn.MAXIFS(Transaction!$C$2:$C$8421,Transaction!$B$2:$B$8421,A1423)</f>
        <v>46228</v>
      </c>
      <c r="K1423" s="6" t="n">
        <f aca="false">COUNTIF(Transaction!$B$2:$B$8421,A1423)</f>
        <v>1</v>
      </c>
      <c r="L1423" s="10" t="n">
        <f aca="false">SUMIF(Transaction!$B$2:$B$8421,A1423,Transaction!$H$2:$H$8421)</f>
        <v>1486</v>
      </c>
      <c r="M1423" s="6" t="n">
        <f aca="false">Summary!$B$3-J1423</f>
        <v>38</v>
      </c>
      <c r="N1423" s="6" t="str">
        <f aca="false">IF(K1423&gt;1,"Yes","No")</f>
        <v>No</v>
      </c>
      <c r="O1423" s="6" t="s">
        <v>47</v>
      </c>
    </row>
    <row r="1424" customFormat="false" ht="15" hidden="false" customHeight="false" outlineLevel="0" collapsed="false">
      <c r="A1424" s="6" t="s">
        <v>2957</v>
      </c>
      <c r="B1424" s="6" t="s">
        <v>2958</v>
      </c>
      <c r="C1424" s="6" t="s">
        <v>75</v>
      </c>
      <c r="D1424" s="6" t="n">
        <v>44</v>
      </c>
      <c r="E1424" s="6" t="s">
        <v>91</v>
      </c>
      <c r="F1424" s="6" t="s">
        <v>77</v>
      </c>
      <c r="G1424" s="26" t="n">
        <v>46218</v>
      </c>
      <c r="H1424" s="6" t="s">
        <v>78</v>
      </c>
      <c r="I1424" s="26" t="n">
        <f aca="false">_xlfn.MINIFS(Transaction!$C$2:$C$8421,Transaction!$B$2:$B$8421,A1424)</f>
        <v>46246</v>
      </c>
      <c r="J1424" s="26" t="n">
        <f aca="false">_xlfn.MAXIFS(Transaction!$C$2:$C$8421,Transaction!$B$2:$B$8421,A1424)</f>
        <v>46246</v>
      </c>
      <c r="K1424" s="6" t="n">
        <f aca="false">COUNTIF(Transaction!$B$2:$B$8421,A1424)</f>
        <v>1</v>
      </c>
      <c r="L1424" s="10" t="n">
        <f aca="false">SUMIF(Transaction!$B$2:$B$8421,A1424,Transaction!$H$2:$H$8421)</f>
        <v>3520</v>
      </c>
      <c r="M1424" s="6" t="n">
        <f aca="false">Summary!$B$3-J1424</f>
        <v>20</v>
      </c>
      <c r="N1424" s="6" t="str">
        <f aca="false">IF(K1424&gt;1,"Yes","No")</f>
        <v>No</v>
      </c>
      <c r="O1424" s="6" t="s">
        <v>47</v>
      </c>
    </row>
    <row r="1425" customFormat="false" ht="15" hidden="false" customHeight="false" outlineLevel="0" collapsed="false">
      <c r="A1425" s="6" t="s">
        <v>2959</v>
      </c>
      <c r="B1425" s="6" t="s">
        <v>2960</v>
      </c>
      <c r="C1425" s="6" t="s">
        <v>75</v>
      </c>
      <c r="D1425" s="6" t="n">
        <v>28</v>
      </c>
      <c r="E1425" s="6" t="s">
        <v>134</v>
      </c>
      <c r="F1425" s="6" t="s">
        <v>135</v>
      </c>
      <c r="G1425" s="26" t="n">
        <v>46025</v>
      </c>
      <c r="H1425" s="6" t="s">
        <v>123</v>
      </c>
      <c r="I1425" s="26" t="n">
        <f aca="false">_xlfn.MINIFS(Transaction!$C$2:$C$8421,Transaction!$B$2:$B$8421,A1425)</f>
        <v>46066</v>
      </c>
      <c r="J1425" s="26" t="n">
        <f aca="false">_xlfn.MAXIFS(Transaction!$C$2:$C$8421,Transaction!$B$2:$B$8421,A1425)</f>
        <v>46263</v>
      </c>
      <c r="K1425" s="6" t="n">
        <f aca="false">COUNTIF(Transaction!$B$2:$B$8421,A1425)</f>
        <v>10</v>
      </c>
      <c r="L1425" s="10" t="n">
        <f aca="false">SUMIF(Transaction!$B$2:$B$8421,A1425,Transaction!$H$2:$H$8421)</f>
        <v>9455</v>
      </c>
      <c r="M1425" s="6" t="n">
        <f aca="false">Summary!$B$3-J1425</f>
        <v>3</v>
      </c>
      <c r="N1425" s="6" t="str">
        <f aca="false">IF(K1425&gt;1,"Yes","No")</f>
        <v>Yes</v>
      </c>
      <c r="O1425" s="6" t="s">
        <v>45</v>
      </c>
    </row>
    <row r="1426" customFormat="false" ht="15" hidden="false" customHeight="false" outlineLevel="0" collapsed="false">
      <c r="A1426" s="6" t="s">
        <v>2961</v>
      </c>
      <c r="B1426" s="6" t="s">
        <v>2962</v>
      </c>
      <c r="C1426" s="6" t="s">
        <v>85</v>
      </c>
      <c r="D1426" s="6" t="n">
        <v>38</v>
      </c>
      <c r="E1426" s="6" t="s">
        <v>76</v>
      </c>
      <c r="F1426" s="6" t="s">
        <v>77</v>
      </c>
      <c r="G1426" s="26" t="n">
        <v>46089</v>
      </c>
      <c r="H1426" s="6" t="s">
        <v>78</v>
      </c>
      <c r="I1426" s="26" t="n">
        <f aca="false">_xlfn.MINIFS(Transaction!$C$2:$C$8421,Transaction!$B$2:$B$8421,A1426)</f>
        <v>46090</v>
      </c>
      <c r="J1426" s="26" t="n">
        <f aca="false">_xlfn.MAXIFS(Transaction!$C$2:$C$8421,Transaction!$B$2:$B$8421,A1426)</f>
        <v>46090</v>
      </c>
      <c r="K1426" s="6" t="n">
        <f aca="false">COUNTIF(Transaction!$B$2:$B$8421,A1426)</f>
        <v>1</v>
      </c>
      <c r="L1426" s="10" t="n">
        <f aca="false">SUMIF(Transaction!$B$2:$B$8421,A1426,Transaction!$H$2:$H$8421)</f>
        <v>782</v>
      </c>
      <c r="M1426" s="6" t="n">
        <f aca="false">Summary!$B$3-J1426</f>
        <v>176</v>
      </c>
      <c r="N1426" s="6" t="str">
        <f aca="false">IF(K1426&gt;1,"Yes","No")</f>
        <v>No</v>
      </c>
      <c r="O1426" s="6" t="s">
        <v>49</v>
      </c>
    </row>
    <row r="1427" customFormat="false" ht="15" hidden="false" customHeight="false" outlineLevel="0" collapsed="false">
      <c r="A1427" s="6" t="s">
        <v>2963</v>
      </c>
      <c r="B1427" s="6" t="s">
        <v>2964</v>
      </c>
      <c r="C1427" s="6" t="s">
        <v>75</v>
      </c>
      <c r="D1427" s="6" t="n">
        <v>39</v>
      </c>
      <c r="E1427" s="6" t="s">
        <v>76</v>
      </c>
      <c r="F1427" s="6" t="s">
        <v>77</v>
      </c>
      <c r="G1427" s="26" t="n">
        <v>45955</v>
      </c>
      <c r="H1427" s="6" t="s">
        <v>115</v>
      </c>
      <c r="I1427" s="26" t="n">
        <f aca="false">_xlfn.MINIFS(Transaction!$C$2:$C$8421,Transaction!$B$2:$B$8421,A1427)</f>
        <v>46023</v>
      </c>
      <c r="J1427" s="26" t="n">
        <f aca="false">_xlfn.MAXIFS(Transaction!$C$2:$C$8421,Transaction!$B$2:$B$8421,A1427)</f>
        <v>46242</v>
      </c>
      <c r="K1427" s="6" t="n">
        <f aca="false">COUNTIF(Transaction!$B$2:$B$8421,A1427)</f>
        <v>10</v>
      </c>
      <c r="L1427" s="10" t="n">
        <f aca="false">SUMIF(Transaction!$B$2:$B$8421,A1427,Transaction!$H$2:$H$8421)</f>
        <v>13754</v>
      </c>
      <c r="M1427" s="6" t="n">
        <f aca="false">Summary!$B$3-J1427</f>
        <v>24</v>
      </c>
      <c r="N1427" s="6" t="str">
        <f aca="false">IF(K1427&gt;1,"Yes","No")</f>
        <v>Yes</v>
      </c>
      <c r="O1427" s="6" t="s">
        <v>45</v>
      </c>
    </row>
    <row r="1428" customFormat="false" ht="15" hidden="false" customHeight="false" outlineLevel="0" collapsed="false">
      <c r="A1428" s="6" t="s">
        <v>2965</v>
      </c>
      <c r="B1428" s="6" t="s">
        <v>2966</v>
      </c>
      <c r="C1428" s="6" t="s">
        <v>85</v>
      </c>
      <c r="D1428" s="6" t="n">
        <v>28</v>
      </c>
      <c r="E1428" s="6" t="s">
        <v>76</v>
      </c>
      <c r="F1428" s="6" t="s">
        <v>77</v>
      </c>
      <c r="G1428" s="26" t="n">
        <v>46048</v>
      </c>
      <c r="H1428" s="6" t="s">
        <v>88</v>
      </c>
      <c r="I1428" s="26" t="n">
        <f aca="false">_xlfn.MINIFS(Transaction!$C$2:$C$8421,Transaction!$B$2:$B$8421,A1428)</f>
        <v>46119</v>
      </c>
      <c r="J1428" s="26" t="n">
        <f aca="false">_xlfn.MAXIFS(Transaction!$C$2:$C$8421,Transaction!$B$2:$B$8421,A1428)</f>
        <v>46119</v>
      </c>
      <c r="K1428" s="6" t="n">
        <f aca="false">COUNTIF(Transaction!$B$2:$B$8421,A1428)</f>
        <v>1</v>
      </c>
      <c r="L1428" s="10" t="n">
        <f aca="false">SUMIF(Transaction!$B$2:$B$8421,A1428,Transaction!$H$2:$H$8421)</f>
        <v>528</v>
      </c>
      <c r="M1428" s="6" t="n">
        <f aca="false">Summary!$B$3-J1428</f>
        <v>147</v>
      </c>
      <c r="N1428" s="6" t="str">
        <f aca="false">IF(K1428&gt;1,"Yes","No")</f>
        <v>No</v>
      </c>
      <c r="O1428" s="6" t="s">
        <v>48</v>
      </c>
    </row>
    <row r="1429" customFormat="false" ht="15" hidden="false" customHeight="false" outlineLevel="0" collapsed="false">
      <c r="A1429" s="6" t="s">
        <v>2967</v>
      </c>
      <c r="B1429" s="6" t="s">
        <v>2968</v>
      </c>
      <c r="C1429" s="6" t="s">
        <v>85</v>
      </c>
      <c r="D1429" s="6" t="n">
        <v>46</v>
      </c>
      <c r="E1429" s="6" t="s">
        <v>180</v>
      </c>
      <c r="F1429" s="6" t="s">
        <v>181</v>
      </c>
      <c r="G1429" s="26" t="n">
        <v>46065</v>
      </c>
      <c r="H1429" s="6" t="s">
        <v>102</v>
      </c>
      <c r="I1429" s="26" t="n">
        <f aca="false">_xlfn.MINIFS(Transaction!$C$2:$C$8421,Transaction!$B$2:$B$8421,A1429)</f>
        <v>46154</v>
      </c>
      <c r="J1429" s="26" t="n">
        <f aca="false">_xlfn.MAXIFS(Transaction!$C$2:$C$8421,Transaction!$B$2:$B$8421,A1429)</f>
        <v>46188</v>
      </c>
      <c r="K1429" s="6" t="n">
        <f aca="false">COUNTIF(Transaction!$B$2:$B$8421,A1429)</f>
        <v>4</v>
      </c>
      <c r="L1429" s="10" t="n">
        <f aca="false">SUMIF(Transaction!$B$2:$B$8421,A1429,Transaction!$H$2:$H$8421)</f>
        <v>7947</v>
      </c>
      <c r="M1429" s="6" t="n">
        <f aca="false">Summary!$B$3-J1429</f>
        <v>78</v>
      </c>
      <c r="N1429" s="6" t="str">
        <f aca="false">IF(K1429&gt;1,"Yes","No")</f>
        <v>Yes</v>
      </c>
      <c r="O1429" s="6" t="s">
        <v>46</v>
      </c>
    </row>
    <row r="1430" customFormat="false" ht="15" hidden="false" customHeight="false" outlineLevel="0" collapsed="false">
      <c r="A1430" s="6" t="s">
        <v>2969</v>
      </c>
      <c r="B1430" s="6" t="s">
        <v>2970</v>
      </c>
      <c r="C1430" s="6" t="s">
        <v>85</v>
      </c>
      <c r="D1430" s="6" t="n">
        <v>36</v>
      </c>
      <c r="E1430" s="6" t="s">
        <v>81</v>
      </c>
      <c r="F1430" s="6" t="s">
        <v>82</v>
      </c>
      <c r="G1430" s="26" t="n">
        <v>46180</v>
      </c>
      <c r="H1430" s="6" t="s">
        <v>78</v>
      </c>
      <c r="I1430" s="26" t="n">
        <f aca="false">_xlfn.MINIFS(Transaction!$C$2:$C$8421,Transaction!$B$2:$B$8421,A1430)</f>
        <v>46243</v>
      </c>
      <c r="J1430" s="26" t="n">
        <f aca="false">_xlfn.MAXIFS(Transaction!$C$2:$C$8421,Transaction!$B$2:$B$8421,A1430)</f>
        <v>46243</v>
      </c>
      <c r="K1430" s="6" t="n">
        <f aca="false">COUNTIF(Transaction!$B$2:$B$8421,A1430)</f>
        <v>1</v>
      </c>
      <c r="L1430" s="10" t="n">
        <f aca="false">SUMIF(Transaction!$B$2:$B$8421,A1430,Transaction!$H$2:$H$8421)</f>
        <v>1368</v>
      </c>
      <c r="M1430" s="6" t="n">
        <f aca="false">Summary!$B$3-J1430</f>
        <v>23</v>
      </c>
      <c r="N1430" s="6" t="str">
        <f aca="false">IF(K1430&gt;1,"Yes","No")</f>
        <v>No</v>
      </c>
      <c r="O1430" s="6" t="s">
        <v>47</v>
      </c>
    </row>
    <row r="1431" customFormat="false" ht="15" hidden="false" customHeight="false" outlineLevel="0" collapsed="false">
      <c r="A1431" s="6" t="s">
        <v>2971</v>
      </c>
      <c r="B1431" s="6" t="s">
        <v>2972</v>
      </c>
      <c r="C1431" s="6" t="s">
        <v>75</v>
      </c>
      <c r="D1431" s="6" t="n">
        <v>27</v>
      </c>
      <c r="E1431" s="6" t="s">
        <v>86</v>
      </c>
      <c r="F1431" s="6" t="s">
        <v>87</v>
      </c>
      <c r="G1431" s="26" t="n">
        <v>46128</v>
      </c>
      <c r="H1431" s="6" t="s">
        <v>115</v>
      </c>
      <c r="I1431" s="26" t="n">
        <f aca="false">_xlfn.MINIFS(Transaction!$C$2:$C$8421,Transaction!$B$2:$B$8421,A1431)</f>
        <v>46183</v>
      </c>
      <c r="J1431" s="26" t="n">
        <f aca="false">_xlfn.MAXIFS(Transaction!$C$2:$C$8421,Transaction!$B$2:$B$8421,A1431)</f>
        <v>46183</v>
      </c>
      <c r="K1431" s="6" t="n">
        <f aca="false">COUNTIF(Transaction!$B$2:$B$8421,A1431)</f>
        <v>1</v>
      </c>
      <c r="L1431" s="10" t="n">
        <f aca="false">SUMIF(Transaction!$B$2:$B$8421,A1431,Transaction!$H$2:$H$8421)</f>
        <v>882</v>
      </c>
      <c r="M1431" s="6" t="n">
        <f aca="false">Summary!$B$3-J1431</f>
        <v>83</v>
      </c>
      <c r="N1431" s="6" t="str">
        <f aca="false">IF(K1431&gt;1,"Yes","No")</f>
        <v>No</v>
      </c>
      <c r="O1431" s="6" t="s">
        <v>47</v>
      </c>
    </row>
    <row r="1432" customFormat="false" ht="15" hidden="false" customHeight="false" outlineLevel="0" collapsed="false">
      <c r="A1432" s="6" t="s">
        <v>2973</v>
      </c>
      <c r="B1432" s="6" t="s">
        <v>2974</v>
      </c>
      <c r="C1432" s="6" t="s">
        <v>75</v>
      </c>
      <c r="D1432" s="6" t="n">
        <v>35</v>
      </c>
      <c r="E1432" s="6" t="s">
        <v>86</v>
      </c>
      <c r="F1432" s="6" t="s">
        <v>87</v>
      </c>
      <c r="G1432" s="26" t="n">
        <v>46006</v>
      </c>
      <c r="H1432" s="6" t="s">
        <v>102</v>
      </c>
      <c r="I1432" s="26" t="n">
        <f aca="false">_xlfn.MINIFS(Transaction!$C$2:$C$8421,Transaction!$B$2:$B$8421,A1432)</f>
        <v>46044</v>
      </c>
      <c r="J1432" s="26" t="n">
        <f aca="false">_xlfn.MAXIFS(Transaction!$C$2:$C$8421,Transaction!$B$2:$B$8421,A1432)</f>
        <v>46219</v>
      </c>
      <c r="K1432" s="6" t="n">
        <f aca="false">COUNTIF(Transaction!$B$2:$B$8421,A1432)</f>
        <v>2</v>
      </c>
      <c r="L1432" s="10" t="n">
        <f aca="false">SUMIF(Transaction!$B$2:$B$8421,A1432,Transaction!$H$2:$H$8421)</f>
        <v>6744</v>
      </c>
      <c r="M1432" s="6" t="n">
        <f aca="false">Summary!$B$3-J1432</f>
        <v>47</v>
      </c>
      <c r="N1432" s="6" t="str">
        <f aca="false">IF(K1432&gt;1,"Yes","No")</f>
        <v>Yes</v>
      </c>
      <c r="O1432" s="6" t="s">
        <v>46</v>
      </c>
    </row>
    <row r="1433" customFormat="false" ht="15" hidden="false" customHeight="false" outlineLevel="0" collapsed="false">
      <c r="A1433" s="6" t="s">
        <v>2975</v>
      </c>
      <c r="B1433" s="6" t="s">
        <v>2976</v>
      </c>
      <c r="C1433" s="6" t="s">
        <v>85</v>
      </c>
      <c r="D1433" s="6" t="n">
        <v>18</v>
      </c>
      <c r="E1433" s="6" t="s">
        <v>81</v>
      </c>
      <c r="F1433" s="6" t="s">
        <v>82</v>
      </c>
      <c r="G1433" s="26" t="n">
        <v>46113</v>
      </c>
      <c r="H1433" s="6" t="s">
        <v>115</v>
      </c>
      <c r="I1433" s="26" t="n">
        <f aca="false">_xlfn.MINIFS(Transaction!$C$2:$C$8421,Transaction!$B$2:$B$8421,A1433)</f>
        <v>46169</v>
      </c>
      <c r="J1433" s="26" t="n">
        <f aca="false">_xlfn.MAXIFS(Transaction!$C$2:$C$8421,Transaction!$B$2:$B$8421,A1433)</f>
        <v>46169</v>
      </c>
      <c r="K1433" s="6" t="n">
        <f aca="false">COUNTIF(Transaction!$B$2:$B$8421,A1433)</f>
        <v>1</v>
      </c>
      <c r="L1433" s="10" t="n">
        <f aca="false">SUMIF(Transaction!$B$2:$B$8421,A1433,Transaction!$H$2:$H$8421)</f>
        <v>2346</v>
      </c>
      <c r="M1433" s="6" t="n">
        <f aca="false">Summary!$B$3-J1433</f>
        <v>97</v>
      </c>
      <c r="N1433" s="6" t="str">
        <f aca="false">IF(K1433&gt;1,"Yes","No")</f>
        <v>No</v>
      </c>
      <c r="O1433" s="6" t="s">
        <v>48</v>
      </c>
    </row>
    <row r="1434" customFormat="false" ht="15" hidden="false" customHeight="false" outlineLevel="0" collapsed="false">
      <c r="A1434" s="6" t="s">
        <v>2977</v>
      </c>
      <c r="B1434" s="6" t="s">
        <v>2978</v>
      </c>
      <c r="C1434" s="6" t="s">
        <v>75</v>
      </c>
      <c r="D1434" s="6" t="n">
        <v>27</v>
      </c>
      <c r="E1434" s="6" t="s">
        <v>121</v>
      </c>
      <c r="F1434" s="6" t="s">
        <v>122</v>
      </c>
      <c r="G1434" s="26" t="n">
        <v>46133</v>
      </c>
      <c r="H1434" s="6" t="s">
        <v>115</v>
      </c>
      <c r="I1434" s="26" t="n">
        <f aca="false">_xlfn.MINIFS(Transaction!$C$2:$C$8421,Transaction!$B$2:$B$8421,A1434)</f>
        <v>46176</v>
      </c>
      <c r="J1434" s="26" t="n">
        <f aca="false">_xlfn.MAXIFS(Transaction!$C$2:$C$8421,Transaction!$B$2:$B$8421,A1434)</f>
        <v>46176</v>
      </c>
      <c r="K1434" s="6" t="n">
        <f aca="false">COUNTIF(Transaction!$B$2:$B$8421,A1434)</f>
        <v>1</v>
      </c>
      <c r="L1434" s="10" t="n">
        <f aca="false">SUMIF(Transaction!$B$2:$B$8421,A1434,Transaction!$H$2:$H$8421)</f>
        <v>1760</v>
      </c>
      <c r="M1434" s="6" t="n">
        <f aca="false">Summary!$B$3-J1434</f>
        <v>90</v>
      </c>
      <c r="N1434" s="6" t="str">
        <f aca="false">IF(K1434&gt;1,"Yes","No")</f>
        <v>No</v>
      </c>
      <c r="O1434" s="6" t="s">
        <v>47</v>
      </c>
    </row>
    <row r="1435" customFormat="false" ht="15" hidden="false" customHeight="false" outlineLevel="0" collapsed="false">
      <c r="A1435" s="6" t="s">
        <v>2979</v>
      </c>
      <c r="B1435" s="6" t="s">
        <v>2980</v>
      </c>
      <c r="C1435" s="6" t="s">
        <v>85</v>
      </c>
      <c r="D1435" s="6" t="n">
        <v>48</v>
      </c>
      <c r="E1435" s="6" t="s">
        <v>321</v>
      </c>
      <c r="F1435" s="6" t="s">
        <v>321</v>
      </c>
      <c r="G1435" s="26" t="n">
        <v>46131</v>
      </c>
      <c r="H1435" s="6" t="s">
        <v>115</v>
      </c>
      <c r="I1435" s="26" t="n">
        <f aca="false">_xlfn.MINIFS(Transaction!$C$2:$C$8421,Transaction!$B$2:$B$8421,A1435)</f>
        <v>46168</v>
      </c>
      <c r="J1435" s="26" t="n">
        <f aca="false">_xlfn.MAXIFS(Transaction!$C$2:$C$8421,Transaction!$B$2:$B$8421,A1435)</f>
        <v>46195</v>
      </c>
      <c r="K1435" s="6" t="n">
        <f aca="false">COUNTIF(Transaction!$B$2:$B$8421,A1435)</f>
        <v>3</v>
      </c>
      <c r="L1435" s="10" t="n">
        <f aca="false">SUMIF(Transaction!$B$2:$B$8421,A1435,Transaction!$H$2:$H$8421)</f>
        <v>13289</v>
      </c>
      <c r="M1435" s="6" t="n">
        <f aca="false">Summary!$B$3-J1435</f>
        <v>71</v>
      </c>
      <c r="N1435" s="6" t="str">
        <f aca="false">IF(K1435&gt;1,"Yes","No")</f>
        <v>Yes</v>
      </c>
      <c r="O1435" s="6" t="s">
        <v>46</v>
      </c>
    </row>
    <row r="1436" customFormat="false" ht="15" hidden="false" customHeight="false" outlineLevel="0" collapsed="false">
      <c r="A1436" s="6" t="s">
        <v>2981</v>
      </c>
      <c r="B1436" s="6" t="s">
        <v>2982</v>
      </c>
      <c r="C1436" s="6" t="s">
        <v>85</v>
      </c>
      <c r="D1436" s="6" t="n">
        <v>32</v>
      </c>
      <c r="E1436" s="6" t="s">
        <v>91</v>
      </c>
      <c r="F1436" s="6" t="s">
        <v>77</v>
      </c>
      <c r="G1436" s="26" t="n">
        <v>46239</v>
      </c>
      <c r="H1436" s="6" t="s">
        <v>115</v>
      </c>
      <c r="I1436" s="26" t="n">
        <f aca="false">_xlfn.MINIFS(Transaction!$C$2:$C$8421,Transaction!$B$2:$B$8421,A1436)</f>
        <v>46259</v>
      </c>
      <c r="J1436" s="26" t="n">
        <f aca="false">_xlfn.MAXIFS(Transaction!$C$2:$C$8421,Transaction!$B$2:$B$8421,A1436)</f>
        <v>46259</v>
      </c>
      <c r="K1436" s="6" t="n">
        <f aca="false">COUNTIF(Transaction!$B$2:$B$8421,A1436)</f>
        <v>1</v>
      </c>
      <c r="L1436" s="10" t="n">
        <f aca="false">SUMIF(Transaction!$B$2:$B$8421,A1436,Transaction!$H$2:$H$8421)</f>
        <v>1670</v>
      </c>
      <c r="M1436" s="6" t="n">
        <f aca="false">Summary!$B$3-J1436</f>
        <v>7</v>
      </c>
      <c r="N1436" s="6" t="str">
        <f aca="false">IF(K1436&gt;1,"Yes","No")</f>
        <v>No</v>
      </c>
      <c r="O1436" s="6" t="s">
        <v>47</v>
      </c>
    </row>
    <row r="1437" customFormat="false" ht="15" hidden="false" customHeight="false" outlineLevel="0" collapsed="false">
      <c r="A1437" s="6" t="s">
        <v>2983</v>
      </c>
      <c r="B1437" s="6" t="s">
        <v>2984</v>
      </c>
      <c r="C1437" s="6" t="s">
        <v>75</v>
      </c>
      <c r="D1437" s="6" t="n">
        <v>34</v>
      </c>
      <c r="E1437" s="6" t="s">
        <v>91</v>
      </c>
      <c r="F1437" s="6" t="s">
        <v>77</v>
      </c>
      <c r="G1437" s="26" t="n">
        <v>46056</v>
      </c>
      <c r="H1437" s="6" t="s">
        <v>78</v>
      </c>
      <c r="I1437" s="26" t="n">
        <f aca="false">_xlfn.MINIFS(Transaction!$C$2:$C$8421,Transaction!$B$2:$B$8421,A1437)</f>
        <v>46129</v>
      </c>
      <c r="J1437" s="26" t="n">
        <f aca="false">_xlfn.MAXIFS(Transaction!$C$2:$C$8421,Transaction!$B$2:$B$8421,A1437)</f>
        <v>46129</v>
      </c>
      <c r="K1437" s="6" t="n">
        <f aca="false">COUNTIF(Transaction!$B$2:$B$8421,A1437)</f>
        <v>1</v>
      </c>
      <c r="L1437" s="10" t="n">
        <f aca="false">SUMIF(Transaction!$B$2:$B$8421,A1437,Transaction!$H$2:$H$8421)</f>
        <v>1835</v>
      </c>
      <c r="M1437" s="6" t="n">
        <f aca="false">Summary!$B$3-J1437</f>
        <v>137</v>
      </c>
      <c r="N1437" s="6" t="str">
        <f aca="false">IF(K1437&gt;1,"Yes","No")</f>
        <v>No</v>
      </c>
      <c r="O1437" s="6" t="s">
        <v>48</v>
      </c>
    </row>
    <row r="1438" customFormat="false" ht="15" hidden="false" customHeight="false" outlineLevel="0" collapsed="false">
      <c r="A1438" s="6" t="s">
        <v>2985</v>
      </c>
      <c r="B1438" s="6" t="s">
        <v>2986</v>
      </c>
      <c r="C1438" s="6" t="s">
        <v>75</v>
      </c>
      <c r="D1438" s="6" t="n">
        <v>29</v>
      </c>
      <c r="E1438" s="6" t="s">
        <v>237</v>
      </c>
      <c r="F1438" s="6" t="s">
        <v>87</v>
      </c>
      <c r="G1438" s="26" t="n">
        <v>46175</v>
      </c>
      <c r="H1438" s="6" t="s">
        <v>78</v>
      </c>
      <c r="I1438" s="26" t="n">
        <f aca="false">_xlfn.MINIFS(Transaction!$C$2:$C$8421,Transaction!$B$2:$B$8421,A1438)</f>
        <v>46247</v>
      </c>
      <c r="J1438" s="26" t="n">
        <f aca="false">_xlfn.MAXIFS(Transaction!$C$2:$C$8421,Transaction!$B$2:$B$8421,A1438)</f>
        <v>46247</v>
      </c>
      <c r="K1438" s="6" t="n">
        <f aca="false">COUNTIF(Transaction!$B$2:$B$8421,A1438)</f>
        <v>1</v>
      </c>
      <c r="L1438" s="10" t="n">
        <f aca="false">SUMIF(Transaction!$B$2:$B$8421,A1438,Transaction!$H$2:$H$8421)</f>
        <v>928</v>
      </c>
      <c r="M1438" s="6" t="n">
        <f aca="false">Summary!$B$3-J1438</f>
        <v>19</v>
      </c>
      <c r="N1438" s="6" t="str">
        <f aca="false">IF(K1438&gt;1,"Yes","No")</f>
        <v>No</v>
      </c>
      <c r="O1438" s="6" t="s">
        <v>47</v>
      </c>
    </row>
    <row r="1439" customFormat="false" ht="15" hidden="false" customHeight="false" outlineLevel="0" collapsed="false">
      <c r="A1439" s="6" t="s">
        <v>2987</v>
      </c>
      <c r="B1439" s="6" t="s">
        <v>2988</v>
      </c>
      <c r="C1439" s="6" t="s">
        <v>85</v>
      </c>
      <c r="D1439" s="6" t="n">
        <v>25</v>
      </c>
      <c r="E1439" s="6" t="s">
        <v>121</v>
      </c>
      <c r="F1439" s="6" t="s">
        <v>122</v>
      </c>
      <c r="G1439" s="26" t="n">
        <v>46185</v>
      </c>
      <c r="H1439" s="6" t="s">
        <v>78</v>
      </c>
      <c r="I1439" s="26" t="n">
        <f aca="false">_xlfn.MINIFS(Transaction!$C$2:$C$8421,Transaction!$B$2:$B$8421,A1439)</f>
        <v>46231</v>
      </c>
      <c r="J1439" s="26" t="n">
        <f aca="false">_xlfn.MAXIFS(Transaction!$C$2:$C$8421,Transaction!$B$2:$B$8421,A1439)</f>
        <v>46231</v>
      </c>
      <c r="K1439" s="6" t="n">
        <f aca="false">COUNTIF(Transaction!$B$2:$B$8421,A1439)</f>
        <v>1</v>
      </c>
      <c r="L1439" s="10" t="n">
        <f aca="false">SUMIF(Transaction!$B$2:$B$8421,A1439,Transaction!$H$2:$H$8421)</f>
        <v>324</v>
      </c>
      <c r="M1439" s="6" t="n">
        <f aca="false">Summary!$B$3-J1439</f>
        <v>35</v>
      </c>
      <c r="N1439" s="6" t="str">
        <f aca="false">IF(K1439&gt;1,"Yes","No")</f>
        <v>No</v>
      </c>
      <c r="O1439" s="6" t="s">
        <v>47</v>
      </c>
    </row>
    <row r="1440" customFormat="false" ht="15" hidden="false" customHeight="false" outlineLevel="0" collapsed="false">
      <c r="A1440" s="6" t="s">
        <v>2989</v>
      </c>
      <c r="B1440" s="6" t="s">
        <v>2990</v>
      </c>
      <c r="C1440" s="6" t="s">
        <v>75</v>
      </c>
      <c r="D1440" s="6" t="n">
        <v>26</v>
      </c>
      <c r="E1440" s="6" t="s">
        <v>81</v>
      </c>
      <c r="F1440" s="6" t="s">
        <v>82</v>
      </c>
      <c r="G1440" s="26" t="n">
        <v>46028</v>
      </c>
      <c r="H1440" s="6" t="s">
        <v>102</v>
      </c>
      <c r="I1440" s="26" t="n">
        <f aca="false">_xlfn.MINIFS(Transaction!$C$2:$C$8421,Transaction!$B$2:$B$8421,A1440)</f>
        <v>46035</v>
      </c>
      <c r="J1440" s="26" t="n">
        <f aca="false">_xlfn.MAXIFS(Transaction!$C$2:$C$8421,Transaction!$B$2:$B$8421,A1440)</f>
        <v>46181</v>
      </c>
      <c r="K1440" s="6" t="n">
        <f aca="false">COUNTIF(Transaction!$B$2:$B$8421,A1440)</f>
        <v>4</v>
      </c>
      <c r="L1440" s="10" t="n">
        <f aca="false">SUMIF(Transaction!$B$2:$B$8421,A1440,Transaction!$H$2:$H$8421)</f>
        <v>6347</v>
      </c>
      <c r="M1440" s="6" t="n">
        <f aca="false">Summary!$B$3-J1440</f>
        <v>85</v>
      </c>
      <c r="N1440" s="6" t="str">
        <f aca="false">IF(K1440&gt;1,"Yes","No")</f>
        <v>Yes</v>
      </c>
      <c r="O1440" s="6" t="s">
        <v>46</v>
      </c>
    </row>
    <row r="1441" customFormat="false" ht="15" hidden="false" customHeight="false" outlineLevel="0" collapsed="false">
      <c r="A1441" s="6" t="s">
        <v>2991</v>
      </c>
      <c r="B1441" s="6" t="s">
        <v>2992</v>
      </c>
      <c r="C1441" s="6" t="s">
        <v>85</v>
      </c>
      <c r="D1441" s="6" t="n">
        <v>55</v>
      </c>
      <c r="E1441" s="6" t="s">
        <v>76</v>
      </c>
      <c r="F1441" s="6" t="s">
        <v>77</v>
      </c>
      <c r="G1441" s="26" t="n">
        <v>46002</v>
      </c>
      <c r="H1441" s="6" t="s">
        <v>102</v>
      </c>
      <c r="I1441" s="26" t="n">
        <f aca="false">_xlfn.MINIFS(Transaction!$C$2:$C$8421,Transaction!$B$2:$B$8421,A1441)</f>
        <v>46031</v>
      </c>
      <c r="J1441" s="26" t="n">
        <f aca="false">_xlfn.MAXIFS(Transaction!$C$2:$C$8421,Transaction!$B$2:$B$8421,A1441)</f>
        <v>46260</v>
      </c>
      <c r="K1441" s="6" t="n">
        <f aca="false">COUNTIF(Transaction!$B$2:$B$8421,A1441)</f>
        <v>8</v>
      </c>
      <c r="L1441" s="10" t="n">
        <f aca="false">SUMIF(Transaction!$B$2:$B$8421,A1441,Transaction!$H$2:$H$8421)</f>
        <v>16958</v>
      </c>
      <c r="M1441" s="6" t="n">
        <f aca="false">Summary!$B$3-J1441</f>
        <v>6</v>
      </c>
      <c r="N1441" s="6" t="str">
        <f aca="false">IF(K1441&gt;1,"Yes","No")</f>
        <v>Yes</v>
      </c>
      <c r="O1441" s="6" t="s">
        <v>45</v>
      </c>
    </row>
    <row r="1442" customFormat="false" ht="15" hidden="false" customHeight="false" outlineLevel="0" collapsed="false">
      <c r="A1442" s="6" t="s">
        <v>2993</v>
      </c>
      <c r="B1442" s="6" t="s">
        <v>2994</v>
      </c>
      <c r="C1442" s="6" t="s">
        <v>75</v>
      </c>
      <c r="D1442" s="6" t="n">
        <v>29</v>
      </c>
      <c r="E1442" s="6" t="s">
        <v>81</v>
      </c>
      <c r="F1442" s="6" t="s">
        <v>82</v>
      </c>
      <c r="G1442" s="26" t="n">
        <v>46104</v>
      </c>
      <c r="H1442" s="6" t="s">
        <v>92</v>
      </c>
      <c r="I1442" s="26" t="n">
        <f aca="false">_xlfn.MINIFS(Transaction!$C$2:$C$8421,Transaction!$B$2:$B$8421,A1442)</f>
        <v>46122</v>
      </c>
      <c r="J1442" s="26" t="n">
        <f aca="false">_xlfn.MAXIFS(Transaction!$C$2:$C$8421,Transaction!$B$2:$B$8421,A1442)</f>
        <v>46122</v>
      </c>
      <c r="K1442" s="6" t="n">
        <f aca="false">COUNTIF(Transaction!$B$2:$B$8421,A1442)</f>
        <v>1</v>
      </c>
      <c r="L1442" s="10" t="n">
        <f aca="false">SUMIF(Transaction!$B$2:$B$8421,A1442,Transaction!$H$2:$H$8421)</f>
        <v>459</v>
      </c>
      <c r="M1442" s="6" t="n">
        <f aca="false">Summary!$B$3-J1442</f>
        <v>144</v>
      </c>
      <c r="N1442" s="6" t="str">
        <f aca="false">IF(K1442&gt;1,"Yes","No")</f>
        <v>No</v>
      </c>
      <c r="O1442" s="6" t="s">
        <v>48</v>
      </c>
    </row>
    <row r="1443" customFormat="false" ht="15" hidden="false" customHeight="false" outlineLevel="0" collapsed="false">
      <c r="A1443" s="6" t="s">
        <v>2995</v>
      </c>
      <c r="B1443" s="6" t="s">
        <v>2996</v>
      </c>
      <c r="C1443" s="6" t="s">
        <v>85</v>
      </c>
      <c r="D1443" s="6" t="n">
        <v>32</v>
      </c>
      <c r="E1443" s="6" t="s">
        <v>121</v>
      </c>
      <c r="F1443" s="6" t="s">
        <v>122</v>
      </c>
      <c r="G1443" s="26" t="n">
        <v>45954</v>
      </c>
      <c r="H1443" s="6" t="s">
        <v>115</v>
      </c>
      <c r="I1443" s="26" t="n">
        <f aca="false">_xlfn.MINIFS(Transaction!$C$2:$C$8421,Transaction!$B$2:$B$8421,A1443)</f>
        <v>46027</v>
      </c>
      <c r="J1443" s="26" t="n">
        <f aca="false">_xlfn.MAXIFS(Transaction!$C$2:$C$8421,Transaction!$B$2:$B$8421,A1443)</f>
        <v>46250</v>
      </c>
      <c r="K1443" s="6" t="n">
        <f aca="false">COUNTIF(Transaction!$B$2:$B$8421,A1443)</f>
        <v>10</v>
      </c>
      <c r="L1443" s="10" t="n">
        <f aca="false">SUMIF(Transaction!$B$2:$B$8421,A1443,Transaction!$H$2:$H$8421)</f>
        <v>25190</v>
      </c>
      <c r="M1443" s="6" t="n">
        <f aca="false">Summary!$B$3-J1443</f>
        <v>16</v>
      </c>
      <c r="N1443" s="6" t="str">
        <f aca="false">IF(K1443&gt;1,"Yes","No")</f>
        <v>Yes</v>
      </c>
      <c r="O1443" s="6" t="s">
        <v>45</v>
      </c>
    </row>
    <row r="1444" customFormat="false" ht="15" hidden="false" customHeight="false" outlineLevel="0" collapsed="false">
      <c r="A1444" s="6" t="s">
        <v>2997</v>
      </c>
      <c r="B1444" s="6" t="s">
        <v>2998</v>
      </c>
      <c r="C1444" s="6" t="s">
        <v>85</v>
      </c>
      <c r="D1444" s="6" t="n">
        <v>27</v>
      </c>
      <c r="E1444" s="6" t="s">
        <v>98</v>
      </c>
      <c r="F1444" s="6" t="s">
        <v>99</v>
      </c>
      <c r="G1444" s="26" t="n">
        <v>46115</v>
      </c>
      <c r="H1444" s="6" t="s">
        <v>78</v>
      </c>
      <c r="I1444" s="26" t="n">
        <f aca="false">_xlfn.MINIFS(Transaction!$C$2:$C$8421,Transaction!$B$2:$B$8421,A1444)</f>
        <v>46148</v>
      </c>
      <c r="J1444" s="26" t="n">
        <f aca="false">_xlfn.MAXIFS(Transaction!$C$2:$C$8421,Transaction!$B$2:$B$8421,A1444)</f>
        <v>46148</v>
      </c>
      <c r="K1444" s="6" t="n">
        <f aca="false">COUNTIF(Transaction!$B$2:$B$8421,A1444)</f>
        <v>1</v>
      </c>
      <c r="L1444" s="10" t="n">
        <f aca="false">SUMIF(Transaction!$B$2:$B$8421,A1444,Transaction!$H$2:$H$8421)</f>
        <v>436</v>
      </c>
      <c r="M1444" s="6" t="n">
        <f aca="false">Summary!$B$3-J1444</f>
        <v>118</v>
      </c>
      <c r="N1444" s="6" t="str">
        <f aca="false">IF(K1444&gt;1,"Yes","No")</f>
        <v>No</v>
      </c>
      <c r="O1444" s="6" t="s">
        <v>48</v>
      </c>
    </row>
    <row r="1445" customFormat="false" ht="15" hidden="false" customHeight="false" outlineLevel="0" collapsed="false">
      <c r="A1445" s="6" t="s">
        <v>2999</v>
      </c>
      <c r="B1445" s="6" t="s">
        <v>3000</v>
      </c>
      <c r="C1445" s="6" t="s">
        <v>75</v>
      </c>
      <c r="D1445" s="6" t="n">
        <v>26</v>
      </c>
      <c r="E1445" s="6" t="s">
        <v>76</v>
      </c>
      <c r="F1445" s="6" t="s">
        <v>77</v>
      </c>
      <c r="G1445" s="26" t="n">
        <v>46030</v>
      </c>
      <c r="H1445" s="6" t="s">
        <v>78</v>
      </c>
      <c r="I1445" s="26" t="n">
        <f aca="false">_xlfn.MINIFS(Transaction!$C$2:$C$8421,Transaction!$B$2:$B$8421,A1445)</f>
        <v>46060</v>
      </c>
      <c r="J1445" s="26" t="n">
        <f aca="false">_xlfn.MAXIFS(Transaction!$C$2:$C$8421,Transaction!$B$2:$B$8421,A1445)</f>
        <v>46245</v>
      </c>
      <c r="K1445" s="6" t="n">
        <f aca="false">COUNTIF(Transaction!$B$2:$B$8421,A1445)</f>
        <v>10</v>
      </c>
      <c r="L1445" s="10" t="n">
        <f aca="false">SUMIF(Transaction!$B$2:$B$8421,A1445,Transaction!$H$2:$H$8421)</f>
        <v>14653</v>
      </c>
      <c r="M1445" s="6" t="n">
        <f aca="false">Summary!$B$3-J1445</f>
        <v>21</v>
      </c>
      <c r="N1445" s="6" t="str">
        <f aca="false">IF(K1445&gt;1,"Yes","No")</f>
        <v>Yes</v>
      </c>
      <c r="O1445" s="6" t="s">
        <v>45</v>
      </c>
    </row>
    <row r="1446" customFormat="false" ht="15" hidden="false" customHeight="false" outlineLevel="0" collapsed="false">
      <c r="A1446" s="6" t="s">
        <v>3001</v>
      </c>
      <c r="B1446" s="6" t="s">
        <v>3002</v>
      </c>
      <c r="C1446" s="6" t="s">
        <v>75</v>
      </c>
      <c r="D1446" s="6" t="n">
        <v>29</v>
      </c>
      <c r="E1446" s="6" t="s">
        <v>95</v>
      </c>
      <c r="F1446" s="6" t="s">
        <v>95</v>
      </c>
      <c r="G1446" s="26" t="n">
        <v>46156</v>
      </c>
      <c r="H1446" s="6" t="s">
        <v>115</v>
      </c>
      <c r="I1446" s="26" t="n">
        <f aca="false">_xlfn.MINIFS(Transaction!$C$2:$C$8421,Transaction!$B$2:$B$8421,A1446)</f>
        <v>46242</v>
      </c>
      <c r="J1446" s="26" t="n">
        <f aca="false">_xlfn.MAXIFS(Transaction!$C$2:$C$8421,Transaction!$B$2:$B$8421,A1446)</f>
        <v>46242</v>
      </c>
      <c r="K1446" s="6" t="n">
        <f aca="false">COUNTIF(Transaction!$B$2:$B$8421,A1446)</f>
        <v>1</v>
      </c>
      <c r="L1446" s="10" t="n">
        <f aca="false">SUMIF(Transaction!$B$2:$B$8421,A1446,Transaction!$H$2:$H$8421)</f>
        <v>977</v>
      </c>
      <c r="M1446" s="6" t="n">
        <f aca="false">Summary!$B$3-J1446</f>
        <v>24</v>
      </c>
      <c r="N1446" s="6" t="str">
        <f aca="false">IF(K1446&gt;1,"Yes","No")</f>
        <v>No</v>
      </c>
      <c r="O1446" s="6" t="s">
        <v>47</v>
      </c>
    </row>
    <row r="1447" customFormat="false" ht="15" hidden="false" customHeight="false" outlineLevel="0" collapsed="false">
      <c r="A1447" s="6" t="s">
        <v>3003</v>
      </c>
      <c r="B1447" s="6" t="s">
        <v>3004</v>
      </c>
      <c r="C1447" s="6" t="s">
        <v>75</v>
      </c>
      <c r="D1447" s="6" t="n">
        <v>40</v>
      </c>
      <c r="E1447" s="6" t="s">
        <v>134</v>
      </c>
      <c r="F1447" s="6" t="s">
        <v>135</v>
      </c>
      <c r="G1447" s="26" t="n">
        <v>46062</v>
      </c>
      <c r="H1447" s="6" t="s">
        <v>78</v>
      </c>
      <c r="I1447" s="26" t="n">
        <f aca="false">_xlfn.MINIFS(Transaction!$C$2:$C$8421,Transaction!$B$2:$B$8421,A1447)</f>
        <v>46123</v>
      </c>
      <c r="J1447" s="26" t="n">
        <f aca="false">_xlfn.MAXIFS(Transaction!$C$2:$C$8421,Transaction!$B$2:$B$8421,A1447)</f>
        <v>46123</v>
      </c>
      <c r="K1447" s="6" t="n">
        <f aca="false">COUNTIF(Transaction!$B$2:$B$8421,A1447)</f>
        <v>1</v>
      </c>
      <c r="L1447" s="10" t="n">
        <f aca="false">SUMIF(Transaction!$B$2:$B$8421,A1447,Transaction!$H$2:$H$8421)</f>
        <v>22998</v>
      </c>
      <c r="M1447" s="6" t="n">
        <f aca="false">Summary!$B$3-J1447</f>
        <v>143</v>
      </c>
      <c r="N1447" s="6" t="str">
        <f aca="false">IF(K1447&gt;1,"Yes","No")</f>
        <v>No</v>
      </c>
      <c r="O1447" s="6" t="s">
        <v>48</v>
      </c>
    </row>
    <row r="1448" customFormat="false" ht="15" hidden="false" customHeight="false" outlineLevel="0" collapsed="false">
      <c r="A1448" s="6" t="s">
        <v>3005</v>
      </c>
      <c r="B1448" s="6" t="s">
        <v>3006</v>
      </c>
      <c r="C1448" s="6" t="s">
        <v>85</v>
      </c>
      <c r="D1448" s="6" t="n">
        <v>18</v>
      </c>
      <c r="E1448" s="6" t="s">
        <v>81</v>
      </c>
      <c r="F1448" s="6" t="s">
        <v>82</v>
      </c>
      <c r="G1448" s="26" t="n">
        <v>46020</v>
      </c>
      <c r="H1448" s="6" t="s">
        <v>78</v>
      </c>
      <c r="I1448" s="26" t="n">
        <f aca="false">_xlfn.MINIFS(Transaction!$C$2:$C$8421,Transaction!$B$2:$B$8421,A1448)</f>
        <v>46050</v>
      </c>
      <c r="J1448" s="26" t="n">
        <f aca="false">_xlfn.MAXIFS(Transaction!$C$2:$C$8421,Transaction!$B$2:$B$8421,A1448)</f>
        <v>46050</v>
      </c>
      <c r="K1448" s="6" t="n">
        <f aca="false">COUNTIF(Transaction!$B$2:$B$8421,A1448)</f>
        <v>1</v>
      </c>
      <c r="L1448" s="10" t="n">
        <f aca="false">SUMIF(Transaction!$B$2:$B$8421,A1448,Transaction!$H$2:$H$8421)</f>
        <v>1856</v>
      </c>
      <c r="M1448" s="6" t="n">
        <f aca="false">Summary!$B$3-J1448</f>
        <v>216</v>
      </c>
      <c r="N1448" s="6" t="str">
        <f aca="false">IF(K1448&gt;1,"Yes","No")</f>
        <v>No</v>
      </c>
      <c r="O1448" s="6" t="s">
        <v>49</v>
      </c>
    </row>
    <row r="1449" customFormat="false" ht="15" hidden="false" customHeight="false" outlineLevel="0" collapsed="false">
      <c r="A1449" s="6" t="s">
        <v>3007</v>
      </c>
      <c r="B1449" s="6" t="s">
        <v>3008</v>
      </c>
      <c r="C1449" s="6" t="s">
        <v>85</v>
      </c>
      <c r="D1449" s="6" t="n">
        <v>26</v>
      </c>
      <c r="E1449" s="6" t="s">
        <v>81</v>
      </c>
      <c r="F1449" s="6" t="s">
        <v>82</v>
      </c>
      <c r="G1449" s="26" t="n">
        <v>45989</v>
      </c>
      <c r="H1449" s="6" t="s">
        <v>78</v>
      </c>
      <c r="I1449" s="26" t="n">
        <f aca="false">_xlfn.MINIFS(Transaction!$C$2:$C$8421,Transaction!$B$2:$B$8421,A1449)</f>
        <v>46040</v>
      </c>
      <c r="J1449" s="26" t="n">
        <f aca="false">_xlfn.MAXIFS(Transaction!$C$2:$C$8421,Transaction!$B$2:$B$8421,A1449)</f>
        <v>46185</v>
      </c>
      <c r="K1449" s="6" t="n">
        <f aca="false">COUNTIF(Transaction!$B$2:$B$8421,A1449)</f>
        <v>5</v>
      </c>
      <c r="L1449" s="10" t="n">
        <f aca="false">SUMIF(Transaction!$B$2:$B$8421,A1449,Transaction!$H$2:$H$8421)</f>
        <v>7796</v>
      </c>
      <c r="M1449" s="6" t="n">
        <f aca="false">Summary!$B$3-J1449</f>
        <v>81</v>
      </c>
      <c r="N1449" s="6" t="str">
        <f aca="false">IF(K1449&gt;1,"Yes","No")</f>
        <v>Yes</v>
      </c>
      <c r="O1449" s="6" t="s">
        <v>46</v>
      </c>
    </row>
    <row r="1450" customFormat="false" ht="15" hidden="false" customHeight="false" outlineLevel="0" collapsed="false">
      <c r="A1450" s="6" t="s">
        <v>3009</v>
      </c>
      <c r="B1450" s="6" t="s">
        <v>3010</v>
      </c>
      <c r="C1450" s="6" t="s">
        <v>75</v>
      </c>
      <c r="D1450" s="6" t="n">
        <v>43</v>
      </c>
      <c r="E1450" s="6" t="s">
        <v>134</v>
      </c>
      <c r="F1450" s="6" t="s">
        <v>135</v>
      </c>
      <c r="G1450" s="26" t="n">
        <v>46240</v>
      </c>
      <c r="H1450" s="6" t="s">
        <v>115</v>
      </c>
      <c r="I1450" s="26" t="n">
        <f aca="false">_xlfn.MINIFS(Transaction!$C$2:$C$8421,Transaction!$B$2:$B$8421,A1450)</f>
        <v>46253</v>
      </c>
      <c r="J1450" s="26" t="n">
        <f aca="false">_xlfn.MAXIFS(Transaction!$C$2:$C$8421,Transaction!$B$2:$B$8421,A1450)</f>
        <v>46253</v>
      </c>
      <c r="K1450" s="6" t="n">
        <f aca="false">COUNTIF(Transaction!$B$2:$B$8421,A1450)</f>
        <v>1</v>
      </c>
      <c r="L1450" s="10" t="n">
        <f aca="false">SUMIF(Transaction!$B$2:$B$8421,A1450,Transaction!$H$2:$H$8421)</f>
        <v>1744</v>
      </c>
      <c r="M1450" s="6" t="n">
        <f aca="false">Summary!$B$3-J1450</f>
        <v>13</v>
      </c>
      <c r="N1450" s="6" t="str">
        <f aca="false">IF(K1450&gt;1,"Yes","No")</f>
        <v>No</v>
      </c>
      <c r="O1450" s="6" t="s">
        <v>47</v>
      </c>
    </row>
    <row r="1451" customFormat="false" ht="15" hidden="false" customHeight="false" outlineLevel="0" collapsed="false">
      <c r="A1451" s="6" t="s">
        <v>3011</v>
      </c>
      <c r="B1451" s="6" t="s">
        <v>3012</v>
      </c>
      <c r="C1451" s="6" t="s">
        <v>85</v>
      </c>
      <c r="D1451" s="6" t="n">
        <v>23</v>
      </c>
      <c r="E1451" s="6" t="s">
        <v>91</v>
      </c>
      <c r="F1451" s="6" t="s">
        <v>77</v>
      </c>
      <c r="G1451" s="26" t="n">
        <v>46172</v>
      </c>
      <c r="H1451" s="6" t="s">
        <v>102</v>
      </c>
      <c r="I1451" s="26" t="n">
        <f aca="false">_xlfn.MINIFS(Transaction!$C$2:$C$8421,Transaction!$B$2:$B$8421,A1451)</f>
        <v>46230</v>
      </c>
      <c r="J1451" s="26" t="n">
        <f aca="false">_xlfn.MAXIFS(Transaction!$C$2:$C$8421,Transaction!$B$2:$B$8421,A1451)</f>
        <v>46230</v>
      </c>
      <c r="K1451" s="6" t="n">
        <f aca="false">COUNTIF(Transaction!$B$2:$B$8421,A1451)</f>
        <v>1</v>
      </c>
      <c r="L1451" s="10" t="n">
        <f aca="false">SUMIF(Transaction!$B$2:$B$8421,A1451,Transaction!$H$2:$H$8421)</f>
        <v>1345</v>
      </c>
      <c r="M1451" s="6" t="n">
        <f aca="false">Summary!$B$3-J1451</f>
        <v>36</v>
      </c>
      <c r="N1451" s="6" t="str">
        <f aca="false">IF(K1451&gt;1,"Yes","No")</f>
        <v>No</v>
      </c>
      <c r="O1451" s="6" t="s">
        <v>47</v>
      </c>
    </row>
    <row r="1452" customFormat="false" ht="15" hidden="false" customHeight="false" outlineLevel="0" collapsed="false">
      <c r="A1452" s="6" t="s">
        <v>3013</v>
      </c>
      <c r="B1452" s="6" t="s">
        <v>3014</v>
      </c>
      <c r="C1452" s="6" t="s">
        <v>85</v>
      </c>
      <c r="D1452" s="6" t="n">
        <v>45</v>
      </c>
      <c r="E1452" s="6" t="s">
        <v>95</v>
      </c>
      <c r="F1452" s="6" t="s">
        <v>95</v>
      </c>
      <c r="G1452" s="26" t="n">
        <v>46034</v>
      </c>
      <c r="H1452" s="6" t="s">
        <v>78</v>
      </c>
      <c r="I1452" s="26" t="n">
        <f aca="false">_xlfn.MINIFS(Transaction!$C$2:$C$8421,Transaction!$B$2:$B$8421,A1452)</f>
        <v>46036</v>
      </c>
      <c r="J1452" s="26" t="n">
        <f aca="false">_xlfn.MAXIFS(Transaction!$C$2:$C$8421,Transaction!$B$2:$B$8421,A1452)</f>
        <v>46224</v>
      </c>
      <c r="K1452" s="6" t="n">
        <f aca="false">COUNTIF(Transaction!$B$2:$B$8421,A1452)</f>
        <v>5</v>
      </c>
      <c r="L1452" s="10" t="n">
        <f aca="false">SUMIF(Transaction!$B$2:$B$8421,A1452,Transaction!$H$2:$H$8421)</f>
        <v>15874</v>
      </c>
      <c r="M1452" s="6" t="n">
        <f aca="false">Summary!$B$3-J1452</f>
        <v>42</v>
      </c>
      <c r="N1452" s="6" t="str">
        <f aca="false">IF(K1452&gt;1,"Yes","No")</f>
        <v>Yes</v>
      </c>
      <c r="O1452" s="6" t="s">
        <v>46</v>
      </c>
    </row>
    <row r="1453" customFormat="false" ht="15" hidden="false" customHeight="false" outlineLevel="0" collapsed="false">
      <c r="A1453" s="6" t="s">
        <v>3015</v>
      </c>
      <c r="B1453" s="6" t="s">
        <v>3016</v>
      </c>
      <c r="C1453" s="6" t="s">
        <v>75</v>
      </c>
      <c r="D1453" s="6" t="n">
        <v>29</v>
      </c>
      <c r="E1453" s="6" t="s">
        <v>176</v>
      </c>
      <c r="F1453" s="6" t="s">
        <v>177</v>
      </c>
      <c r="G1453" s="26" t="n">
        <v>45937</v>
      </c>
      <c r="H1453" s="6" t="s">
        <v>102</v>
      </c>
      <c r="I1453" s="26" t="n">
        <f aca="false">_xlfn.MINIFS(Transaction!$C$2:$C$8421,Transaction!$B$2:$B$8421,A1453)</f>
        <v>46023</v>
      </c>
      <c r="J1453" s="26" t="n">
        <f aca="false">_xlfn.MAXIFS(Transaction!$C$2:$C$8421,Transaction!$B$2:$B$8421,A1453)</f>
        <v>46212</v>
      </c>
      <c r="K1453" s="6" t="n">
        <f aca="false">COUNTIF(Transaction!$B$2:$B$8421,A1453)</f>
        <v>5</v>
      </c>
      <c r="L1453" s="10" t="n">
        <f aca="false">SUMIF(Transaction!$B$2:$B$8421,A1453,Transaction!$H$2:$H$8421)</f>
        <v>6523</v>
      </c>
      <c r="M1453" s="6" t="n">
        <f aca="false">Summary!$B$3-J1453</f>
        <v>54</v>
      </c>
      <c r="N1453" s="6" t="str">
        <f aca="false">IF(K1453&gt;1,"Yes","No")</f>
        <v>Yes</v>
      </c>
      <c r="O1453" s="6" t="s">
        <v>46</v>
      </c>
    </row>
    <row r="1454" customFormat="false" ht="15" hidden="false" customHeight="false" outlineLevel="0" collapsed="false">
      <c r="A1454" s="6" t="s">
        <v>3017</v>
      </c>
      <c r="B1454" s="6" t="s">
        <v>3018</v>
      </c>
      <c r="C1454" s="6" t="s">
        <v>85</v>
      </c>
      <c r="D1454" s="6" t="n">
        <v>18</v>
      </c>
      <c r="E1454" s="6" t="s">
        <v>86</v>
      </c>
      <c r="F1454" s="6" t="s">
        <v>87</v>
      </c>
      <c r="G1454" s="26" t="n">
        <v>45987</v>
      </c>
      <c r="H1454" s="6" t="s">
        <v>78</v>
      </c>
      <c r="I1454" s="26" t="n">
        <f aca="false">_xlfn.MINIFS(Transaction!$C$2:$C$8421,Transaction!$B$2:$B$8421,A1454)</f>
        <v>46062</v>
      </c>
      <c r="J1454" s="26" t="n">
        <f aca="false">_xlfn.MAXIFS(Transaction!$C$2:$C$8421,Transaction!$B$2:$B$8421,A1454)</f>
        <v>46251</v>
      </c>
      <c r="K1454" s="6" t="n">
        <f aca="false">COUNTIF(Transaction!$B$2:$B$8421,A1454)</f>
        <v>8</v>
      </c>
      <c r="L1454" s="10" t="n">
        <f aca="false">SUMIF(Transaction!$B$2:$B$8421,A1454,Transaction!$H$2:$H$8421)</f>
        <v>13541</v>
      </c>
      <c r="M1454" s="6" t="n">
        <f aca="false">Summary!$B$3-J1454</f>
        <v>15</v>
      </c>
      <c r="N1454" s="6" t="str">
        <f aca="false">IF(K1454&gt;1,"Yes","No")</f>
        <v>Yes</v>
      </c>
      <c r="O1454" s="6" t="s">
        <v>45</v>
      </c>
    </row>
    <row r="1455" customFormat="false" ht="15" hidden="false" customHeight="false" outlineLevel="0" collapsed="false">
      <c r="A1455" s="6" t="s">
        <v>3019</v>
      </c>
      <c r="B1455" s="6" t="s">
        <v>3020</v>
      </c>
      <c r="C1455" s="6" t="s">
        <v>85</v>
      </c>
      <c r="D1455" s="6" t="n">
        <v>38</v>
      </c>
      <c r="E1455" s="6" t="s">
        <v>76</v>
      </c>
      <c r="F1455" s="6" t="s">
        <v>77</v>
      </c>
      <c r="G1455" s="26" t="n">
        <v>46017</v>
      </c>
      <c r="H1455" s="6" t="s">
        <v>92</v>
      </c>
      <c r="I1455" s="26" t="n">
        <f aca="false">_xlfn.MINIFS(Transaction!$C$2:$C$8421,Transaction!$B$2:$B$8421,A1455)</f>
        <v>46061</v>
      </c>
      <c r="J1455" s="26" t="n">
        <f aca="false">_xlfn.MAXIFS(Transaction!$C$2:$C$8421,Transaction!$B$2:$B$8421,A1455)</f>
        <v>46180</v>
      </c>
      <c r="K1455" s="6" t="n">
        <f aca="false">COUNTIF(Transaction!$B$2:$B$8421,A1455)</f>
        <v>3</v>
      </c>
      <c r="L1455" s="10" t="n">
        <f aca="false">SUMIF(Transaction!$B$2:$B$8421,A1455,Transaction!$H$2:$H$8421)</f>
        <v>3141</v>
      </c>
      <c r="M1455" s="6" t="n">
        <f aca="false">Summary!$B$3-J1455</f>
        <v>86</v>
      </c>
      <c r="N1455" s="6" t="str">
        <f aca="false">IF(K1455&gt;1,"Yes","No")</f>
        <v>Yes</v>
      </c>
      <c r="O1455" s="6" t="s">
        <v>46</v>
      </c>
    </row>
    <row r="1456" customFormat="false" ht="15" hidden="false" customHeight="false" outlineLevel="0" collapsed="false">
      <c r="A1456" s="6" t="s">
        <v>3021</v>
      </c>
      <c r="B1456" s="6" t="s">
        <v>3022</v>
      </c>
      <c r="C1456" s="6" t="s">
        <v>75</v>
      </c>
      <c r="D1456" s="6" t="n">
        <v>18</v>
      </c>
      <c r="E1456" s="6" t="s">
        <v>118</v>
      </c>
      <c r="F1456" s="6" t="s">
        <v>77</v>
      </c>
      <c r="G1456" s="26" t="n">
        <v>46029</v>
      </c>
      <c r="H1456" s="6" t="s">
        <v>115</v>
      </c>
      <c r="I1456" s="26" t="n">
        <f aca="false">_xlfn.MINIFS(Transaction!$C$2:$C$8421,Transaction!$B$2:$B$8421,A1456)</f>
        <v>46092</v>
      </c>
      <c r="J1456" s="26" t="n">
        <f aca="false">_xlfn.MAXIFS(Transaction!$C$2:$C$8421,Transaction!$B$2:$B$8421,A1456)</f>
        <v>46092</v>
      </c>
      <c r="K1456" s="6" t="n">
        <f aca="false">COUNTIF(Transaction!$B$2:$B$8421,A1456)</f>
        <v>1</v>
      </c>
      <c r="L1456" s="10" t="n">
        <f aca="false">SUMIF(Transaction!$B$2:$B$8421,A1456,Transaction!$H$2:$H$8421)</f>
        <v>1308</v>
      </c>
      <c r="M1456" s="6" t="n">
        <f aca="false">Summary!$B$3-J1456</f>
        <v>174</v>
      </c>
      <c r="N1456" s="6" t="str">
        <f aca="false">IF(K1456&gt;1,"Yes","No")</f>
        <v>No</v>
      </c>
      <c r="O1456" s="6" t="s">
        <v>49</v>
      </c>
    </row>
    <row r="1457" customFormat="false" ht="15" hidden="false" customHeight="false" outlineLevel="0" collapsed="false">
      <c r="A1457" s="6" t="s">
        <v>3023</v>
      </c>
      <c r="B1457" s="6" t="s">
        <v>3024</v>
      </c>
      <c r="C1457" s="6" t="s">
        <v>75</v>
      </c>
      <c r="D1457" s="6" t="n">
        <v>33</v>
      </c>
      <c r="E1457" s="6" t="s">
        <v>81</v>
      </c>
      <c r="F1457" s="6" t="s">
        <v>82</v>
      </c>
      <c r="G1457" s="26" t="n">
        <v>46037</v>
      </c>
      <c r="H1457" s="6" t="s">
        <v>78</v>
      </c>
      <c r="I1457" s="26" t="n">
        <f aca="false">_xlfn.MINIFS(Transaction!$C$2:$C$8421,Transaction!$B$2:$B$8421,A1457)</f>
        <v>46087</v>
      </c>
      <c r="J1457" s="26" t="n">
        <f aca="false">_xlfn.MAXIFS(Transaction!$C$2:$C$8421,Transaction!$B$2:$B$8421,A1457)</f>
        <v>46087</v>
      </c>
      <c r="K1457" s="6" t="n">
        <f aca="false">COUNTIF(Transaction!$B$2:$B$8421,A1457)</f>
        <v>1</v>
      </c>
      <c r="L1457" s="10" t="n">
        <f aca="false">SUMIF(Transaction!$B$2:$B$8421,A1457,Transaction!$H$2:$H$8421)</f>
        <v>743</v>
      </c>
      <c r="M1457" s="6" t="n">
        <f aca="false">Summary!$B$3-J1457</f>
        <v>179</v>
      </c>
      <c r="N1457" s="6" t="str">
        <f aca="false">IF(K1457&gt;1,"Yes","No")</f>
        <v>No</v>
      </c>
      <c r="O1457" s="6" t="s">
        <v>49</v>
      </c>
    </row>
    <row r="1458" customFormat="false" ht="15" hidden="false" customHeight="false" outlineLevel="0" collapsed="false">
      <c r="A1458" s="6" t="s">
        <v>3025</v>
      </c>
      <c r="B1458" s="6" t="s">
        <v>3026</v>
      </c>
      <c r="C1458" s="6" t="s">
        <v>85</v>
      </c>
      <c r="D1458" s="6" t="n">
        <v>36</v>
      </c>
      <c r="E1458" s="6" t="s">
        <v>176</v>
      </c>
      <c r="F1458" s="6" t="s">
        <v>177</v>
      </c>
      <c r="G1458" s="26" t="n">
        <v>46149</v>
      </c>
      <c r="H1458" s="6" t="s">
        <v>78</v>
      </c>
      <c r="I1458" s="26" t="n">
        <f aca="false">_xlfn.MINIFS(Transaction!$C$2:$C$8421,Transaction!$B$2:$B$8421,A1458)</f>
        <v>46169</v>
      </c>
      <c r="J1458" s="26" t="n">
        <f aca="false">_xlfn.MAXIFS(Transaction!$C$2:$C$8421,Transaction!$B$2:$B$8421,A1458)</f>
        <v>46169</v>
      </c>
      <c r="K1458" s="6" t="n">
        <f aca="false">COUNTIF(Transaction!$B$2:$B$8421,A1458)</f>
        <v>1</v>
      </c>
      <c r="L1458" s="10" t="n">
        <f aca="false">SUMIF(Transaction!$B$2:$B$8421,A1458,Transaction!$H$2:$H$8421)</f>
        <v>1647</v>
      </c>
      <c r="M1458" s="6" t="n">
        <f aca="false">Summary!$B$3-J1458</f>
        <v>97</v>
      </c>
      <c r="N1458" s="6" t="str">
        <f aca="false">IF(K1458&gt;1,"Yes","No")</f>
        <v>No</v>
      </c>
      <c r="O1458" s="6" t="s">
        <v>48</v>
      </c>
    </row>
    <row r="1459" customFormat="false" ht="15" hidden="false" customHeight="false" outlineLevel="0" collapsed="false">
      <c r="A1459" s="6" t="s">
        <v>3027</v>
      </c>
      <c r="B1459" s="6" t="s">
        <v>3028</v>
      </c>
      <c r="C1459" s="6" t="s">
        <v>75</v>
      </c>
      <c r="D1459" s="6" t="n">
        <v>35</v>
      </c>
      <c r="E1459" s="6" t="s">
        <v>91</v>
      </c>
      <c r="F1459" s="6" t="s">
        <v>77</v>
      </c>
      <c r="G1459" s="26" t="n">
        <v>46139</v>
      </c>
      <c r="H1459" s="6" t="s">
        <v>123</v>
      </c>
      <c r="I1459" s="26" t="n">
        <f aca="false">_xlfn.MINIFS(Transaction!$C$2:$C$8421,Transaction!$B$2:$B$8421,A1459)</f>
        <v>46177</v>
      </c>
      <c r="J1459" s="26" t="n">
        <f aca="false">_xlfn.MAXIFS(Transaction!$C$2:$C$8421,Transaction!$B$2:$B$8421,A1459)</f>
        <v>46177</v>
      </c>
      <c r="K1459" s="6" t="n">
        <f aca="false">COUNTIF(Transaction!$B$2:$B$8421,A1459)</f>
        <v>1</v>
      </c>
      <c r="L1459" s="10" t="n">
        <f aca="false">SUMIF(Transaction!$B$2:$B$8421,A1459,Transaction!$H$2:$H$8421)</f>
        <v>2948</v>
      </c>
      <c r="M1459" s="6" t="n">
        <f aca="false">Summary!$B$3-J1459</f>
        <v>89</v>
      </c>
      <c r="N1459" s="6" t="str">
        <f aca="false">IF(K1459&gt;1,"Yes","No")</f>
        <v>No</v>
      </c>
      <c r="O1459" s="6" t="s">
        <v>47</v>
      </c>
    </row>
    <row r="1460" customFormat="false" ht="15" hidden="false" customHeight="false" outlineLevel="0" collapsed="false">
      <c r="A1460" s="6" t="s">
        <v>3029</v>
      </c>
      <c r="B1460" s="6" t="s">
        <v>3030</v>
      </c>
      <c r="C1460" s="6" t="s">
        <v>85</v>
      </c>
      <c r="D1460" s="6" t="n">
        <v>29</v>
      </c>
      <c r="E1460" s="6" t="s">
        <v>81</v>
      </c>
      <c r="F1460" s="6" t="s">
        <v>82</v>
      </c>
      <c r="G1460" s="26" t="n">
        <v>46159</v>
      </c>
      <c r="H1460" s="6" t="s">
        <v>115</v>
      </c>
      <c r="I1460" s="26" t="n">
        <f aca="false">_xlfn.MINIFS(Transaction!$C$2:$C$8421,Transaction!$B$2:$B$8421,A1460)</f>
        <v>46177</v>
      </c>
      <c r="J1460" s="26" t="n">
        <f aca="false">_xlfn.MAXIFS(Transaction!$C$2:$C$8421,Transaction!$B$2:$B$8421,A1460)</f>
        <v>46177</v>
      </c>
      <c r="K1460" s="6" t="n">
        <f aca="false">COUNTIF(Transaction!$B$2:$B$8421,A1460)</f>
        <v>1</v>
      </c>
      <c r="L1460" s="10" t="n">
        <f aca="false">SUMIF(Transaction!$B$2:$B$8421,A1460,Transaction!$H$2:$H$8421)</f>
        <v>1080</v>
      </c>
      <c r="M1460" s="6" t="n">
        <f aca="false">Summary!$B$3-J1460</f>
        <v>89</v>
      </c>
      <c r="N1460" s="6" t="str">
        <f aca="false">IF(K1460&gt;1,"Yes","No")</f>
        <v>No</v>
      </c>
      <c r="O1460" s="6" t="s">
        <v>47</v>
      </c>
    </row>
    <row r="1461" customFormat="false" ht="15" hidden="false" customHeight="false" outlineLevel="0" collapsed="false">
      <c r="A1461" s="6" t="s">
        <v>3031</v>
      </c>
      <c r="B1461" s="6" t="s">
        <v>3032</v>
      </c>
      <c r="C1461" s="6" t="s">
        <v>75</v>
      </c>
      <c r="D1461" s="6" t="n">
        <v>43</v>
      </c>
      <c r="E1461" s="6" t="s">
        <v>105</v>
      </c>
      <c r="F1461" s="6" t="s">
        <v>106</v>
      </c>
      <c r="G1461" s="26" t="n">
        <v>46199</v>
      </c>
      <c r="H1461" s="6" t="s">
        <v>78</v>
      </c>
      <c r="I1461" s="26" t="n">
        <f aca="false">_xlfn.MINIFS(Transaction!$C$2:$C$8421,Transaction!$B$2:$B$8421,A1461)</f>
        <v>46250</v>
      </c>
      <c r="J1461" s="26" t="n">
        <f aca="false">_xlfn.MAXIFS(Transaction!$C$2:$C$8421,Transaction!$B$2:$B$8421,A1461)</f>
        <v>46250</v>
      </c>
      <c r="K1461" s="6" t="n">
        <f aca="false">COUNTIF(Transaction!$B$2:$B$8421,A1461)</f>
        <v>1</v>
      </c>
      <c r="L1461" s="10" t="n">
        <f aca="false">SUMIF(Transaction!$B$2:$B$8421,A1461,Transaction!$H$2:$H$8421)</f>
        <v>879</v>
      </c>
      <c r="M1461" s="6" t="n">
        <f aca="false">Summary!$B$3-J1461</f>
        <v>16</v>
      </c>
      <c r="N1461" s="6" t="str">
        <f aca="false">IF(K1461&gt;1,"Yes","No")</f>
        <v>No</v>
      </c>
      <c r="O1461" s="6" t="s">
        <v>47</v>
      </c>
    </row>
    <row r="1462" customFormat="false" ht="15" hidden="false" customHeight="false" outlineLevel="0" collapsed="false">
      <c r="A1462" s="6" t="s">
        <v>3033</v>
      </c>
      <c r="B1462" s="6" t="s">
        <v>3034</v>
      </c>
      <c r="C1462" s="6" t="s">
        <v>75</v>
      </c>
      <c r="D1462" s="6" t="n">
        <v>26</v>
      </c>
      <c r="E1462" s="6" t="s">
        <v>76</v>
      </c>
      <c r="F1462" s="6" t="s">
        <v>77</v>
      </c>
      <c r="G1462" s="26" t="n">
        <v>46077</v>
      </c>
      <c r="H1462" s="6" t="s">
        <v>123</v>
      </c>
      <c r="I1462" s="26" t="n">
        <f aca="false">_xlfn.MINIFS(Transaction!$C$2:$C$8421,Transaction!$B$2:$B$8421,A1462)</f>
        <v>46142</v>
      </c>
      <c r="J1462" s="26" t="n">
        <f aca="false">_xlfn.MAXIFS(Transaction!$C$2:$C$8421,Transaction!$B$2:$B$8421,A1462)</f>
        <v>46142</v>
      </c>
      <c r="K1462" s="6" t="n">
        <f aca="false">COUNTIF(Transaction!$B$2:$B$8421,A1462)</f>
        <v>1</v>
      </c>
      <c r="L1462" s="10" t="n">
        <f aca="false">SUMIF(Transaction!$B$2:$B$8421,A1462,Transaction!$H$2:$H$8421)</f>
        <v>703</v>
      </c>
      <c r="M1462" s="6" t="n">
        <f aca="false">Summary!$B$3-J1462</f>
        <v>124</v>
      </c>
      <c r="N1462" s="6" t="str">
        <f aca="false">IF(K1462&gt;1,"Yes","No")</f>
        <v>No</v>
      </c>
      <c r="O1462" s="6" t="s">
        <v>48</v>
      </c>
    </row>
    <row r="1463" customFormat="false" ht="15" hidden="false" customHeight="false" outlineLevel="0" collapsed="false">
      <c r="A1463" s="6" t="s">
        <v>3035</v>
      </c>
      <c r="B1463" s="6" t="s">
        <v>3036</v>
      </c>
      <c r="C1463" s="6" t="s">
        <v>85</v>
      </c>
      <c r="D1463" s="6" t="n">
        <v>44</v>
      </c>
      <c r="E1463" s="6" t="s">
        <v>95</v>
      </c>
      <c r="F1463" s="6" t="s">
        <v>95</v>
      </c>
      <c r="G1463" s="26" t="n">
        <v>45955</v>
      </c>
      <c r="H1463" s="6" t="s">
        <v>78</v>
      </c>
      <c r="I1463" s="26" t="n">
        <f aca="false">_xlfn.MINIFS(Transaction!$C$2:$C$8421,Transaction!$B$2:$B$8421,A1463)</f>
        <v>46037</v>
      </c>
      <c r="J1463" s="26" t="n">
        <f aca="false">_xlfn.MAXIFS(Transaction!$C$2:$C$8421,Transaction!$B$2:$B$8421,A1463)</f>
        <v>46245</v>
      </c>
      <c r="K1463" s="6" t="n">
        <f aca="false">COUNTIF(Transaction!$B$2:$B$8421,A1463)</f>
        <v>9</v>
      </c>
      <c r="L1463" s="10" t="n">
        <f aca="false">SUMIF(Transaction!$B$2:$B$8421,A1463,Transaction!$H$2:$H$8421)</f>
        <v>22530</v>
      </c>
      <c r="M1463" s="6" t="n">
        <f aca="false">Summary!$B$3-J1463</f>
        <v>21</v>
      </c>
      <c r="N1463" s="6" t="str">
        <f aca="false">IF(K1463&gt;1,"Yes","No")</f>
        <v>Yes</v>
      </c>
      <c r="O1463" s="6" t="s">
        <v>45</v>
      </c>
    </row>
    <row r="1464" customFormat="false" ht="15" hidden="false" customHeight="false" outlineLevel="0" collapsed="false">
      <c r="A1464" s="6" t="s">
        <v>3037</v>
      </c>
      <c r="B1464" s="6" t="s">
        <v>3038</v>
      </c>
      <c r="C1464" s="6" t="s">
        <v>85</v>
      </c>
      <c r="D1464" s="6" t="n">
        <v>25</v>
      </c>
      <c r="E1464" s="6" t="s">
        <v>118</v>
      </c>
      <c r="F1464" s="6" t="s">
        <v>77</v>
      </c>
      <c r="G1464" s="26" t="n">
        <v>45985</v>
      </c>
      <c r="H1464" s="6" t="s">
        <v>123</v>
      </c>
      <c r="I1464" s="26" t="n">
        <f aca="false">_xlfn.MINIFS(Transaction!$C$2:$C$8421,Transaction!$B$2:$B$8421,A1464)</f>
        <v>46072</v>
      </c>
      <c r="J1464" s="26" t="n">
        <f aca="false">_xlfn.MAXIFS(Transaction!$C$2:$C$8421,Transaction!$B$2:$B$8421,A1464)</f>
        <v>46195</v>
      </c>
      <c r="K1464" s="6" t="n">
        <f aca="false">COUNTIF(Transaction!$B$2:$B$8421,A1464)</f>
        <v>5</v>
      </c>
      <c r="L1464" s="10" t="n">
        <f aca="false">SUMIF(Transaction!$B$2:$B$8421,A1464,Transaction!$H$2:$H$8421)</f>
        <v>10472</v>
      </c>
      <c r="M1464" s="6" t="n">
        <f aca="false">Summary!$B$3-J1464</f>
        <v>71</v>
      </c>
      <c r="N1464" s="6" t="str">
        <f aca="false">IF(K1464&gt;1,"Yes","No")</f>
        <v>Yes</v>
      </c>
      <c r="O1464" s="6" t="s">
        <v>46</v>
      </c>
    </row>
    <row r="1465" customFormat="false" ht="15" hidden="false" customHeight="false" outlineLevel="0" collapsed="false">
      <c r="A1465" s="6" t="s">
        <v>3039</v>
      </c>
      <c r="B1465" s="6" t="s">
        <v>3040</v>
      </c>
      <c r="C1465" s="6" t="s">
        <v>85</v>
      </c>
      <c r="D1465" s="6" t="n">
        <v>33</v>
      </c>
      <c r="E1465" s="6" t="s">
        <v>76</v>
      </c>
      <c r="F1465" s="6" t="s">
        <v>77</v>
      </c>
      <c r="G1465" s="26" t="n">
        <v>46081</v>
      </c>
      <c r="H1465" s="6" t="s">
        <v>123</v>
      </c>
      <c r="I1465" s="26" t="n">
        <f aca="false">_xlfn.MINIFS(Transaction!$C$2:$C$8421,Transaction!$B$2:$B$8421,A1465)</f>
        <v>46107</v>
      </c>
      <c r="J1465" s="26" t="n">
        <f aca="false">_xlfn.MAXIFS(Transaction!$C$2:$C$8421,Transaction!$B$2:$B$8421,A1465)</f>
        <v>46107</v>
      </c>
      <c r="K1465" s="6" t="n">
        <f aca="false">COUNTIF(Transaction!$B$2:$B$8421,A1465)</f>
        <v>1</v>
      </c>
      <c r="L1465" s="10" t="n">
        <f aca="false">SUMIF(Transaction!$B$2:$B$8421,A1465,Transaction!$H$2:$H$8421)</f>
        <v>1671</v>
      </c>
      <c r="M1465" s="6" t="n">
        <f aca="false">Summary!$B$3-J1465</f>
        <v>159</v>
      </c>
      <c r="N1465" s="6" t="str">
        <f aca="false">IF(K1465&gt;1,"Yes","No")</f>
        <v>No</v>
      </c>
      <c r="O1465" s="6" t="s">
        <v>49</v>
      </c>
    </row>
    <row r="1466" customFormat="false" ht="15" hidden="false" customHeight="false" outlineLevel="0" collapsed="false">
      <c r="A1466" s="6" t="s">
        <v>3041</v>
      </c>
      <c r="B1466" s="6" t="s">
        <v>3042</v>
      </c>
      <c r="C1466" s="6" t="s">
        <v>75</v>
      </c>
      <c r="D1466" s="6" t="n">
        <v>25</v>
      </c>
      <c r="E1466" s="6" t="s">
        <v>105</v>
      </c>
      <c r="F1466" s="6" t="s">
        <v>106</v>
      </c>
      <c r="G1466" s="26" t="n">
        <v>45957</v>
      </c>
      <c r="H1466" s="6" t="s">
        <v>115</v>
      </c>
      <c r="I1466" s="26" t="n">
        <f aca="false">_xlfn.MINIFS(Transaction!$C$2:$C$8421,Transaction!$B$2:$B$8421,A1466)</f>
        <v>46024</v>
      </c>
      <c r="J1466" s="26" t="n">
        <f aca="false">_xlfn.MAXIFS(Transaction!$C$2:$C$8421,Transaction!$B$2:$B$8421,A1466)</f>
        <v>46261</v>
      </c>
      <c r="K1466" s="6" t="n">
        <f aca="false">COUNTIF(Transaction!$B$2:$B$8421,A1466)</f>
        <v>11</v>
      </c>
      <c r="L1466" s="10" t="n">
        <f aca="false">SUMIF(Transaction!$B$2:$B$8421,A1466,Transaction!$H$2:$H$8421)</f>
        <v>20738</v>
      </c>
      <c r="M1466" s="6" t="n">
        <f aca="false">Summary!$B$3-J1466</f>
        <v>5</v>
      </c>
      <c r="N1466" s="6" t="str">
        <f aca="false">IF(K1466&gt;1,"Yes","No")</f>
        <v>Yes</v>
      </c>
      <c r="O1466" s="6" t="s">
        <v>45</v>
      </c>
    </row>
    <row r="1467" customFormat="false" ht="15" hidden="false" customHeight="false" outlineLevel="0" collapsed="false">
      <c r="A1467" s="6" t="s">
        <v>3043</v>
      </c>
      <c r="B1467" s="6" t="s">
        <v>3044</v>
      </c>
      <c r="C1467" s="6" t="s">
        <v>85</v>
      </c>
      <c r="D1467" s="6" t="n">
        <v>23</v>
      </c>
      <c r="E1467" s="6" t="s">
        <v>180</v>
      </c>
      <c r="F1467" s="6" t="s">
        <v>181</v>
      </c>
      <c r="G1467" s="26" t="n">
        <v>46212</v>
      </c>
      <c r="H1467" s="6" t="s">
        <v>123</v>
      </c>
      <c r="I1467" s="26" t="n">
        <f aca="false">_xlfn.MINIFS(Transaction!$C$2:$C$8421,Transaction!$B$2:$B$8421,A1467)</f>
        <v>46240</v>
      </c>
      <c r="J1467" s="26" t="n">
        <f aca="false">_xlfn.MAXIFS(Transaction!$C$2:$C$8421,Transaction!$B$2:$B$8421,A1467)</f>
        <v>46240</v>
      </c>
      <c r="K1467" s="6" t="n">
        <f aca="false">COUNTIF(Transaction!$B$2:$B$8421,A1467)</f>
        <v>1</v>
      </c>
      <c r="L1467" s="10" t="n">
        <f aca="false">SUMIF(Transaction!$B$2:$B$8421,A1467,Transaction!$H$2:$H$8421)</f>
        <v>2349</v>
      </c>
      <c r="M1467" s="6" t="n">
        <f aca="false">Summary!$B$3-J1467</f>
        <v>26</v>
      </c>
      <c r="N1467" s="6" t="str">
        <f aca="false">IF(K1467&gt;1,"Yes","No")</f>
        <v>No</v>
      </c>
      <c r="O1467" s="6" t="s">
        <v>47</v>
      </c>
    </row>
    <row r="1468" customFormat="false" ht="15" hidden="false" customHeight="false" outlineLevel="0" collapsed="false">
      <c r="A1468" s="6" t="s">
        <v>3045</v>
      </c>
      <c r="B1468" s="6" t="s">
        <v>3046</v>
      </c>
      <c r="C1468" s="6" t="s">
        <v>75</v>
      </c>
      <c r="D1468" s="6" t="n">
        <v>25</v>
      </c>
      <c r="E1468" s="6" t="s">
        <v>134</v>
      </c>
      <c r="F1468" s="6" t="s">
        <v>135</v>
      </c>
      <c r="G1468" s="26" t="n">
        <v>46143</v>
      </c>
      <c r="H1468" s="6" t="s">
        <v>102</v>
      </c>
      <c r="I1468" s="26" t="n">
        <f aca="false">_xlfn.MINIFS(Transaction!$C$2:$C$8421,Transaction!$B$2:$B$8421,A1468)</f>
        <v>46204</v>
      </c>
      <c r="J1468" s="26" t="n">
        <f aca="false">_xlfn.MAXIFS(Transaction!$C$2:$C$8421,Transaction!$B$2:$B$8421,A1468)</f>
        <v>46204</v>
      </c>
      <c r="K1468" s="6" t="n">
        <f aca="false">COUNTIF(Transaction!$B$2:$B$8421,A1468)</f>
        <v>1</v>
      </c>
      <c r="L1468" s="10" t="n">
        <f aca="false">SUMIF(Transaction!$B$2:$B$8421,A1468,Transaction!$H$2:$H$8421)</f>
        <v>763</v>
      </c>
      <c r="M1468" s="6" t="n">
        <f aca="false">Summary!$B$3-J1468</f>
        <v>62</v>
      </c>
      <c r="N1468" s="6" t="str">
        <f aca="false">IF(K1468&gt;1,"Yes","No")</f>
        <v>No</v>
      </c>
      <c r="O1468" s="6" t="s">
        <v>47</v>
      </c>
    </row>
    <row r="1469" customFormat="false" ht="15" hidden="false" customHeight="false" outlineLevel="0" collapsed="false">
      <c r="A1469" s="6" t="s">
        <v>3047</v>
      </c>
      <c r="B1469" s="6" t="s">
        <v>3048</v>
      </c>
      <c r="C1469" s="6" t="s">
        <v>85</v>
      </c>
      <c r="D1469" s="6" t="n">
        <v>18</v>
      </c>
      <c r="E1469" s="6" t="s">
        <v>76</v>
      </c>
      <c r="F1469" s="6" t="s">
        <v>77</v>
      </c>
      <c r="G1469" s="26" t="n">
        <v>46048</v>
      </c>
      <c r="H1469" s="6" t="s">
        <v>92</v>
      </c>
      <c r="I1469" s="26" t="n">
        <f aca="false">_xlfn.MINIFS(Transaction!$C$2:$C$8421,Transaction!$B$2:$B$8421,A1469)</f>
        <v>46111</v>
      </c>
      <c r="J1469" s="26" t="n">
        <f aca="false">_xlfn.MAXIFS(Transaction!$C$2:$C$8421,Transaction!$B$2:$B$8421,A1469)</f>
        <v>46257</v>
      </c>
      <c r="K1469" s="6" t="n">
        <f aca="false">COUNTIF(Transaction!$B$2:$B$8421,A1469)</f>
        <v>4</v>
      </c>
      <c r="L1469" s="10" t="n">
        <f aca="false">SUMIF(Transaction!$B$2:$B$8421,A1469,Transaction!$H$2:$H$8421)</f>
        <v>9123</v>
      </c>
      <c r="M1469" s="6" t="n">
        <f aca="false">Summary!$B$3-J1469</f>
        <v>9</v>
      </c>
      <c r="N1469" s="6" t="str">
        <f aca="false">IF(K1469&gt;1,"Yes","No")</f>
        <v>Yes</v>
      </c>
      <c r="O1469" s="6" t="s">
        <v>46</v>
      </c>
    </row>
    <row r="1470" customFormat="false" ht="15" hidden="false" customHeight="false" outlineLevel="0" collapsed="false">
      <c r="A1470" s="6" t="s">
        <v>3049</v>
      </c>
      <c r="B1470" s="6" t="s">
        <v>3050</v>
      </c>
      <c r="C1470" s="6" t="s">
        <v>75</v>
      </c>
      <c r="D1470" s="6" t="n">
        <v>31</v>
      </c>
      <c r="E1470" s="6" t="s">
        <v>180</v>
      </c>
      <c r="F1470" s="6" t="s">
        <v>181</v>
      </c>
      <c r="G1470" s="26" t="n">
        <v>46023</v>
      </c>
      <c r="H1470" s="6" t="s">
        <v>92</v>
      </c>
      <c r="I1470" s="26" t="n">
        <f aca="false">_xlfn.MINIFS(Transaction!$C$2:$C$8421,Transaction!$B$2:$B$8421,A1470)</f>
        <v>46108</v>
      </c>
      <c r="J1470" s="26" t="n">
        <f aca="false">_xlfn.MAXIFS(Transaction!$C$2:$C$8421,Transaction!$B$2:$B$8421,A1470)</f>
        <v>46189</v>
      </c>
      <c r="K1470" s="6" t="n">
        <f aca="false">COUNTIF(Transaction!$B$2:$B$8421,A1470)</f>
        <v>3</v>
      </c>
      <c r="L1470" s="10" t="n">
        <f aca="false">SUMIF(Transaction!$B$2:$B$8421,A1470,Transaction!$H$2:$H$8421)</f>
        <v>3755</v>
      </c>
      <c r="M1470" s="6" t="n">
        <f aca="false">Summary!$B$3-J1470</f>
        <v>77</v>
      </c>
      <c r="N1470" s="6" t="str">
        <f aca="false">IF(K1470&gt;1,"Yes","No")</f>
        <v>Yes</v>
      </c>
      <c r="O1470" s="6" t="s">
        <v>46</v>
      </c>
    </row>
    <row r="1471" customFormat="false" ht="15" hidden="false" customHeight="false" outlineLevel="0" collapsed="false">
      <c r="A1471" s="6" t="s">
        <v>3051</v>
      </c>
      <c r="B1471" s="6" t="s">
        <v>3052</v>
      </c>
      <c r="C1471" s="6" t="s">
        <v>75</v>
      </c>
      <c r="D1471" s="6" t="n">
        <v>18</v>
      </c>
      <c r="E1471" s="6" t="s">
        <v>105</v>
      </c>
      <c r="F1471" s="6" t="s">
        <v>106</v>
      </c>
      <c r="G1471" s="26" t="n">
        <v>46155</v>
      </c>
      <c r="H1471" s="6" t="s">
        <v>78</v>
      </c>
      <c r="I1471" s="26" t="n">
        <f aca="false">_xlfn.MINIFS(Transaction!$C$2:$C$8421,Transaction!$B$2:$B$8421,A1471)</f>
        <v>46243</v>
      </c>
      <c r="J1471" s="26" t="n">
        <f aca="false">_xlfn.MAXIFS(Transaction!$C$2:$C$8421,Transaction!$B$2:$B$8421,A1471)</f>
        <v>46243</v>
      </c>
      <c r="K1471" s="6" t="n">
        <f aca="false">COUNTIF(Transaction!$B$2:$B$8421,A1471)</f>
        <v>1</v>
      </c>
      <c r="L1471" s="10" t="n">
        <f aca="false">SUMIF(Transaction!$B$2:$B$8421,A1471,Transaction!$H$2:$H$8421)</f>
        <v>558</v>
      </c>
      <c r="M1471" s="6" t="n">
        <f aca="false">Summary!$B$3-J1471</f>
        <v>23</v>
      </c>
      <c r="N1471" s="6" t="str">
        <f aca="false">IF(K1471&gt;1,"Yes","No")</f>
        <v>No</v>
      </c>
      <c r="O1471" s="6" t="s">
        <v>47</v>
      </c>
    </row>
    <row r="1472" customFormat="false" ht="15" hidden="false" customHeight="false" outlineLevel="0" collapsed="false">
      <c r="A1472" s="6" t="s">
        <v>3053</v>
      </c>
      <c r="B1472" s="6" t="s">
        <v>3054</v>
      </c>
      <c r="C1472" s="6" t="s">
        <v>85</v>
      </c>
      <c r="D1472" s="6" t="n">
        <v>35</v>
      </c>
      <c r="E1472" s="6" t="s">
        <v>121</v>
      </c>
      <c r="F1472" s="6" t="s">
        <v>122</v>
      </c>
      <c r="G1472" s="26" t="n">
        <v>46142</v>
      </c>
      <c r="H1472" s="6" t="s">
        <v>123</v>
      </c>
      <c r="I1472" s="26" t="n">
        <f aca="false">_xlfn.MINIFS(Transaction!$C$2:$C$8421,Transaction!$B$2:$B$8421,A1472)</f>
        <v>46159</v>
      </c>
      <c r="J1472" s="26" t="n">
        <f aca="false">_xlfn.MAXIFS(Transaction!$C$2:$C$8421,Transaction!$B$2:$B$8421,A1472)</f>
        <v>46159</v>
      </c>
      <c r="K1472" s="6" t="n">
        <f aca="false">COUNTIF(Transaction!$B$2:$B$8421,A1472)</f>
        <v>1</v>
      </c>
      <c r="L1472" s="10" t="n">
        <f aca="false">SUMIF(Transaction!$B$2:$B$8421,A1472,Transaction!$H$2:$H$8421)</f>
        <v>2644</v>
      </c>
      <c r="M1472" s="6" t="n">
        <f aca="false">Summary!$B$3-J1472</f>
        <v>107</v>
      </c>
      <c r="N1472" s="6" t="str">
        <f aca="false">IF(K1472&gt;1,"Yes","No")</f>
        <v>No</v>
      </c>
      <c r="O1472" s="6" t="s">
        <v>48</v>
      </c>
    </row>
    <row r="1473" customFormat="false" ht="15" hidden="false" customHeight="false" outlineLevel="0" collapsed="false">
      <c r="A1473" s="6" t="s">
        <v>3055</v>
      </c>
      <c r="B1473" s="6" t="s">
        <v>3056</v>
      </c>
      <c r="C1473" s="6" t="s">
        <v>85</v>
      </c>
      <c r="D1473" s="6" t="n">
        <v>46</v>
      </c>
      <c r="E1473" s="6" t="s">
        <v>95</v>
      </c>
      <c r="F1473" s="6" t="s">
        <v>95</v>
      </c>
      <c r="G1473" s="26" t="n">
        <v>45995</v>
      </c>
      <c r="H1473" s="6" t="s">
        <v>123</v>
      </c>
      <c r="I1473" s="26" t="n">
        <f aca="false">_xlfn.MINIFS(Transaction!$C$2:$C$8421,Transaction!$B$2:$B$8421,A1473)</f>
        <v>46053</v>
      </c>
      <c r="J1473" s="26" t="n">
        <f aca="false">_xlfn.MAXIFS(Transaction!$C$2:$C$8421,Transaction!$B$2:$B$8421,A1473)</f>
        <v>46189</v>
      </c>
      <c r="K1473" s="6" t="n">
        <f aca="false">COUNTIF(Transaction!$B$2:$B$8421,A1473)</f>
        <v>5</v>
      </c>
      <c r="L1473" s="10" t="n">
        <f aca="false">SUMIF(Transaction!$B$2:$B$8421,A1473,Transaction!$H$2:$H$8421)</f>
        <v>9730</v>
      </c>
      <c r="M1473" s="6" t="n">
        <f aca="false">Summary!$B$3-J1473</f>
        <v>77</v>
      </c>
      <c r="N1473" s="6" t="str">
        <f aca="false">IF(K1473&gt;1,"Yes","No")</f>
        <v>Yes</v>
      </c>
      <c r="O1473" s="6" t="s">
        <v>46</v>
      </c>
    </row>
    <row r="1474" customFormat="false" ht="15" hidden="false" customHeight="false" outlineLevel="0" collapsed="false">
      <c r="A1474" s="6" t="s">
        <v>3057</v>
      </c>
      <c r="B1474" s="6" t="s">
        <v>3058</v>
      </c>
      <c r="C1474" s="6" t="s">
        <v>75</v>
      </c>
      <c r="D1474" s="6" t="n">
        <v>31</v>
      </c>
      <c r="E1474" s="6" t="s">
        <v>176</v>
      </c>
      <c r="F1474" s="6" t="s">
        <v>177</v>
      </c>
      <c r="G1474" s="26" t="n">
        <v>46246</v>
      </c>
      <c r="H1474" s="6" t="s">
        <v>115</v>
      </c>
      <c r="I1474" s="26" t="n">
        <f aca="false">_xlfn.MINIFS(Transaction!$C$2:$C$8421,Transaction!$B$2:$B$8421,A1474)</f>
        <v>46260</v>
      </c>
      <c r="J1474" s="26" t="n">
        <f aca="false">_xlfn.MAXIFS(Transaction!$C$2:$C$8421,Transaction!$B$2:$B$8421,A1474)</f>
        <v>46260</v>
      </c>
      <c r="K1474" s="6" t="n">
        <f aca="false">COUNTIF(Transaction!$B$2:$B$8421,A1474)</f>
        <v>1</v>
      </c>
      <c r="L1474" s="10" t="n">
        <f aca="false">SUMIF(Transaction!$B$2:$B$8421,A1474,Transaction!$H$2:$H$8421)</f>
        <v>559</v>
      </c>
      <c r="M1474" s="6" t="n">
        <f aca="false">Summary!$B$3-J1474</f>
        <v>6</v>
      </c>
      <c r="N1474" s="6" t="str">
        <f aca="false">IF(K1474&gt;1,"Yes","No")</f>
        <v>No</v>
      </c>
      <c r="O1474" s="6" t="s">
        <v>47</v>
      </c>
    </row>
    <row r="1475" customFormat="false" ht="15" hidden="false" customHeight="false" outlineLevel="0" collapsed="false">
      <c r="A1475" s="6" t="s">
        <v>3059</v>
      </c>
      <c r="B1475" s="6" t="s">
        <v>3060</v>
      </c>
      <c r="C1475" s="6" t="s">
        <v>85</v>
      </c>
      <c r="D1475" s="6" t="n">
        <v>44</v>
      </c>
      <c r="E1475" s="6" t="s">
        <v>176</v>
      </c>
      <c r="F1475" s="6" t="s">
        <v>177</v>
      </c>
      <c r="G1475" s="26" t="n">
        <v>46158</v>
      </c>
      <c r="H1475" s="6" t="s">
        <v>78</v>
      </c>
      <c r="I1475" s="26" t="n">
        <f aca="false">_xlfn.MINIFS(Transaction!$C$2:$C$8421,Transaction!$B$2:$B$8421,A1475)</f>
        <v>46221</v>
      </c>
      <c r="J1475" s="26" t="n">
        <f aca="false">_xlfn.MAXIFS(Transaction!$C$2:$C$8421,Transaction!$B$2:$B$8421,A1475)</f>
        <v>46221</v>
      </c>
      <c r="K1475" s="6" t="n">
        <f aca="false">COUNTIF(Transaction!$B$2:$B$8421,A1475)</f>
        <v>1</v>
      </c>
      <c r="L1475" s="10" t="n">
        <f aca="false">SUMIF(Transaction!$B$2:$B$8421,A1475,Transaction!$H$2:$H$8421)</f>
        <v>796</v>
      </c>
      <c r="M1475" s="6" t="n">
        <f aca="false">Summary!$B$3-J1475</f>
        <v>45</v>
      </c>
      <c r="N1475" s="6" t="str">
        <f aca="false">IF(K1475&gt;1,"Yes","No")</f>
        <v>No</v>
      </c>
      <c r="O1475" s="6" t="s">
        <v>47</v>
      </c>
    </row>
    <row r="1476" customFormat="false" ht="15" hidden="false" customHeight="false" outlineLevel="0" collapsed="false">
      <c r="A1476" s="6" t="s">
        <v>3061</v>
      </c>
      <c r="B1476" s="6" t="s">
        <v>3062</v>
      </c>
      <c r="C1476" s="6" t="s">
        <v>75</v>
      </c>
      <c r="D1476" s="6" t="n">
        <v>24</v>
      </c>
      <c r="E1476" s="6" t="s">
        <v>95</v>
      </c>
      <c r="F1476" s="6" t="s">
        <v>95</v>
      </c>
      <c r="G1476" s="26" t="n">
        <v>46080</v>
      </c>
      <c r="H1476" s="6" t="s">
        <v>92</v>
      </c>
      <c r="I1476" s="26" t="n">
        <f aca="false">_xlfn.MINIFS(Transaction!$C$2:$C$8421,Transaction!$B$2:$B$8421,A1476)</f>
        <v>46144</v>
      </c>
      <c r="J1476" s="26" t="n">
        <f aca="false">_xlfn.MAXIFS(Transaction!$C$2:$C$8421,Transaction!$B$2:$B$8421,A1476)</f>
        <v>46144</v>
      </c>
      <c r="K1476" s="6" t="n">
        <f aca="false">COUNTIF(Transaction!$B$2:$B$8421,A1476)</f>
        <v>1</v>
      </c>
      <c r="L1476" s="10" t="n">
        <f aca="false">SUMIF(Transaction!$B$2:$B$8421,A1476,Transaction!$H$2:$H$8421)</f>
        <v>2016</v>
      </c>
      <c r="M1476" s="6" t="n">
        <f aca="false">Summary!$B$3-J1476</f>
        <v>122</v>
      </c>
      <c r="N1476" s="6" t="str">
        <f aca="false">IF(K1476&gt;1,"Yes","No")</f>
        <v>No</v>
      </c>
      <c r="O1476" s="6" t="s">
        <v>48</v>
      </c>
    </row>
    <row r="1477" customFormat="false" ht="15" hidden="false" customHeight="false" outlineLevel="0" collapsed="false">
      <c r="A1477" s="6" t="s">
        <v>3063</v>
      </c>
      <c r="B1477" s="6" t="s">
        <v>3064</v>
      </c>
      <c r="C1477" s="6" t="s">
        <v>75</v>
      </c>
      <c r="D1477" s="6" t="n">
        <v>31</v>
      </c>
      <c r="E1477" s="6" t="s">
        <v>76</v>
      </c>
      <c r="F1477" s="6" t="s">
        <v>77</v>
      </c>
      <c r="G1477" s="26" t="n">
        <v>45996</v>
      </c>
      <c r="H1477" s="6" t="s">
        <v>115</v>
      </c>
      <c r="I1477" s="26" t="n">
        <f aca="false">_xlfn.MINIFS(Transaction!$C$2:$C$8421,Transaction!$B$2:$B$8421,A1477)</f>
        <v>46048</v>
      </c>
      <c r="J1477" s="26" t="n">
        <f aca="false">_xlfn.MAXIFS(Transaction!$C$2:$C$8421,Transaction!$B$2:$B$8421,A1477)</f>
        <v>46252</v>
      </c>
      <c r="K1477" s="6" t="n">
        <f aca="false">COUNTIF(Transaction!$B$2:$B$8421,A1477)</f>
        <v>10</v>
      </c>
      <c r="L1477" s="10" t="n">
        <f aca="false">SUMIF(Transaction!$B$2:$B$8421,A1477,Transaction!$H$2:$H$8421)</f>
        <v>15750</v>
      </c>
      <c r="M1477" s="6" t="n">
        <f aca="false">Summary!$B$3-J1477</f>
        <v>14</v>
      </c>
      <c r="N1477" s="6" t="str">
        <f aca="false">IF(K1477&gt;1,"Yes","No")</f>
        <v>Yes</v>
      </c>
      <c r="O1477" s="6" t="s">
        <v>45</v>
      </c>
    </row>
    <row r="1478" customFormat="false" ht="15" hidden="false" customHeight="false" outlineLevel="0" collapsed="false">
      <c r="A1478" s="6" t="s">
        <v>3065</v>
      </c>
      <c r="B1478" s="6" t="s">
        <v>3066</v>
      </c>
      <c r="C1478" s="6" t="s">
        <v>85</v>
      </c>
      <c r="D1478" s="6" t="n">
        <v>29</v>
      </c>
      <c r="E1478" s="6" t="s">
        <v>146</v>
      </c>
      <c r="F1478" s="6" t="s">
        <v>147</v>
      </c>
      <c r="G1478" s="26" t="n">
        <v>45991</v>
      </c>
      <c r="H1478" s="6" t="s">
        <v>102</v>
      </c>
      <c r="I1478" s="26" t="n">
        <f aca="false">_xlfn.MINIFS(Transaction!$C$2:$C$8421,Transaction!$B$2:$B$8421,A1478)</f>
        <v>46072</v>
      </c>
      <c r="J1478" s="26" t="n">
        <f aca="false">_xlfn.MAXIFS(Transaction!$C$2:$C$8421,Transaction!$B$2:$B$8421,A1478)</f>
        <v>46072</v>
      </c>
      <c r="K1478" s="6" t="n">
        <f aca="false">COUNTIF(Transaction!$B$2:$B$8421,A1478)</f>
        <v>1</v>
      </c>
      <c r="L1478" s="10" t="n">
        <f aca="false">SUMIF(Transaction!$B$2:$B$8421,A1478,Transaction!$H$2:$H$8421)</f>
        <v>5897</v>
      </c>
      <c r="M1478" s="6" t="n">
        <f aca="false">Summary!$B$3-J1478</f>
        <v>194</v>
      </c>
      <c r="N1478" s="6" t="str">
        <f aca="false">IF(K1478&gt;1,"Yes","No")</f>
        <v>No</v>
      </c>
      <c r="O1478" s="6" t="s">
        <v>49</v>
      </c>
    </row>
    <row r="1479" customFormat="false" ht="15" hidden="false" customHeight="false" outlineLevel="0" collapsed="false">
      <c r="A1479" s="6" t="s">
        <v>3067</v>
      </c>
      <c r="B1479" s="6" t="s">
        <v>3068</v>
      </c>
      <c r="C1479" s="6" t="s">
        <v>85</v>
      </c>
      <c r="D1479" s="6" t="n">
        <v>36</v>
      </c>
      <c r="E1479" s="6" t="s">
        <v>118</v>
      </c>
      <c r="F1479" s="6" t="s">
        <v>77</v>
      </c>
      <c r="G1479" s="26" t="n">
        <v>45982</v>
      </c>
      <c r="H1479" s="6" t="s">
        <v>88</v>
      </c>
      <c r="I1479" s="26" t="n">
        <f aca="false">_xlfn.MINIFS(Transaction!$C$2:$C$8421,Transaction!$B$2:$B$8421,A1479)</f>
        <v>46023</v>
      </c>
      <c r="J1479" s="26" t="n">
        <f aca="false">_xlfn.MAXIFS(Transaction!$C$2:$C$8421,Transaction!$B$2:$B$8421,A1479)</f>
        <v>46242</v>
      </c>
      <c r="K1479" s="6" t="n">
        <f aca="false">COUNTIF(Transaction!$B$2:$B$8421,A1479)</f>
        <v>11</v>
      </c>
      <c r="L1479" s="10" t="n">
        <f aca="false">SUMIF(Transaction!$B$2:$B$8421,A1479,Transaction!$H$2:$H$8421)</f>
        <v>40209</v>
      </c>
      <c r="M1479" s="6" t="n">
        <f aca="false">Summary!$B$3-J1479</f>
        <v>24</v>
      </c>
      <c r="N1479" s="6" t="str">
        <f aca="false">IF(K1479&gt;1,"Yes","No")</f>
        <v>Yes</v>
      </c>
      <c r="O1479" s="6" t="s">
        <v>45</v>
      </c>
    </row>
    <row r="1480" customFormat="false" ht="15" hidden="false" customHeight="false" outlineLevel="0" collapsed="false">
      <c r="A1480" s="6" t="s">
        <v>3069</v>
      </c>
      <c r="B1480" s="6" t="s">
        <v>3070</v>
      </c>
      <c r="C1480" s="6" t="s">
        <v>85</v>
      </c>
      <c r="D1480" s="6" t="n">
        <v>50</v>
      </c>
      <c r="E1480" s="6" t="s">
        <v>86</v>
      </c>
      <c r="F1480" s="6" t="s">
        <v>87</v>
      </c>
      <c r="G1480" s="26" t="n">
        <v>45996</v>
      </c>
      <c r="H1480" s="6" t="s">
        <v>115</v>
      </c>
      <c r="I1480" s="26" t="n">
        <f aca="false">_xlfn.MINIFS(Transaction!$C$2:$C$8421,Transaction!$B$2:$B$8421,A1480)</f>
        <v>46066</v>
      </c>
      <c r="J1480" s="26" t="n">
        <f aca="false">_xlfn.MAXIFS(Transaction!$C$2:$C$8421,Transaction!$B$2:$B$8421,A1480)</f>
        <v>46254</v>
      </c>
      <c r="K1480" s="6" t="n">
        <f aca="false">COUNTIF(Transaction!$B$2:$B$8421,A1480)</f>
        <v>8</v>
      </c>
      <c r="L1480" s="10" t="n">
        <f aca="false">SUMIF(Transaction!$B$2:$B$8421,A1480,Transaction!$H$2:$H$8421)</f>
        <v>10840</v>
      </c>
      <c r="M1480" s="6" t="n">
        <f aca="false">Summary!$B$3-J1480</f>
        <v>12</v>
      </c>
      <c r="N1480" s="6" t="str">
        <f aca="false">IF(K1480&gt;1,"Yes","No")</f>
        <v>Yes</v>
      </c>
      <c r="O1480" s="6" t="s">
        <v>45</v>
      </c>
    </row>
    <row r="1481" customFormat="false" ht="15" hidden="false" customHeight="false" outlineLevel="0" collapsed="false">
      <c r="A1481" s="6" t="s">
        <v>3071</v>
      </c>
      <c r="B1481" s="6" t="s">
        <v>3072</v>
      </c>
      <c r="C1481" s="6" t="s">
        <v>75</v>
      </c>
      <c r="D1481" s="6" t="n">
        <v>30</v>
      </c>
      <c r="E1481" s="6" t="s">
        <v>95</v>
      </c>
      <c r="F1481" s="6" t="s">
        <v>95</v>
      </c>
      <c r="G1481" s="26" t="n">
        <v>46039</v>
      </c>
      <c r="H1481" s="6" t="s">
        <v>78</v>
      </c>
      <c r="I1481" s="26" t="n">
        <f aca="false">_xlfn.MINIFS(Transaction!$C$2:$C$8421,Transaction!$B$2:$B$8421,A1481)</f>
        <v>46084</v>
      </c>
      <c r="J1481" s="26" t="n">
        <f aca="false">_xlfn.MAXIFS(Transaction!$C$2:$C$8421,Transaction!$B$2:$B$8421,A1481)</f>
        <v>46181</v>
      </c>
      <c r="K1481" s="6" t="n">
        <f aca="false">COUNTIF(Transaction!$B$2:$B$8421,A1481)</f>
        <v>4</v>
      </c>
      <c r="L1481" s="10" t="n">
        <f aca="false">SUMIF(Transaction!$B$2:$B$8421,A1481,Transaction!$H$2:$H$8421)</f>
        <v>4995</v>
      </c>
      <c r="M1481" s="6" t="n">
        <f aca="false">Summary!$B$3-J1481</f>
        <v>85</v>
      </c>
      <c r="N1481" s="6" t="str">
        <f aca="false">IF(K1481&gt;1,"Yes","No")</f>
        <v>Yes</v>
      </c>
      <c r="O1481" s="6" t="s">
        <v>46</v>
      </c>
    </row>
    <row r="1482" customFormat="false" ht="15" hidden="false" customHeight="false" outlineLevel="0" collapsed="false">
      <c r="A1482" s="6" t="s">
        <v>3073</v>
      </c>
      <c r="B1482" s="6" t="s">
        <v>3074</v>
      </c>
      <c r="C1482" s="6" t="s">
        <v>85</v>
      </c>
      <c r="D1482" s="6" t="n">
        <v>25</v>
      </c>
      <c r="E1482" s="6" t="s">
        <v>91</v>
      </c>
      <c r="F1482" s="6" t="s">
        <v>77</v>
      </c>
      <c r="G1482" s="26" t="n">
        <v>46000</v>
      </c>
      <c r="H1482" s="6" t="s">
        <v>92</v>
      </c>
      <c r="I1482" s="26" t="n">
        <f aca="false">_xlfn.MINIFS(Transaction!$C$2:$C$8421,Transaction!$B$2:$B$8421,A1482)</f>
        <v>46034</v>
      </c>
      <c r="J1482" s="26" t="n">
        <f aca="false">_xlfn.MAXIFS(Transaction!$C$2:$C$8421,Transaction!$B$2:$B$8421,A1482)</f>
        <v>46248</v>
      </c>
      <c r="K1482" s="6" t="n">
        <f aca="false">COUNTIF(Transaction!$B$2:$B$8421,A1482)</f>
        <v>9</v>
      </c>
      <c r="L1482" s="10" t="n">
        <f aca="false">SUMIF(Transaction!$B$2:$B$8421,A1482,Transaction!$H$2:$H$8421)</f>
        <v>110771</v>
      </c>
      <c r="M1482" s="6" t="n">
        <f aca="false">Summary!$B$3-J1482</f>
        <v>18</v>
      </c>
      <c r="N1482" s="6" t="str">
        <f aca="false">IF(K1482&gt;1,"Yes","No")</f>
        <v>Yes</v>
      </c>
      <c r="O1482" s="6" t="s">
        <v>45</v>
      </c>
    </row>
    <row r="1483" customFormat="false" ht="15" hidden="false" customHeight="false" outlineLevel="0" collapsed="false">
      <c r="A1483" s="6" t="s">
        <v>3075</v>
      </c>
      <c r="B1483" s="6" t="s">
        <v>3076</v>
      </c>
      <c r="C1483" s="6" t="s">
        <v>75</v>
      </c>
      <c r="D1483" s="6" t="n">
        <v>42</v>
      </c>
      <c r="E1483" s="6" t="s">
        <v>86</v>
      </c>
      <c r="F1483" s="6" t="s">
        <v>87</v>
      </c>
      <c r="G1483" s="26" t="n">
        <v>46054</v>
      </c>
      <c r="H1483" s="6" t="s">
        <v>102</v>
      </c>
      <c r="I1483" s="26" t="n">
        <f aca="false">_xlfn.MINIFS(Transaction!$C$2:$C$8421,Transaction!$B$2:$B$8421,A1483)</f>
        <v>46097</v>
      </c>
      <c r="J1483" s="26" t="n">
        <f aca="false">_xlfn.MAXIFS(Transaction!$C$2:$C$8421,Transaction!$B$2:$B$8421,A1483)</f>
        <v>46097</v>
      </c>
      <c r="K1483" s="6" t="n">
        <f aca="false">COUNTIF(Transaction!$B$2:$B$8421,A1483)</f>
        <v>1</v>
      </c>
      <c r="L1483" s="10" t="n">
        <f aca="false">SUMIF(Transaction!$B$2:$B$8421,A1483,Transaction!$H$2:$H$8421)</f>
        <v>4078</v>
      </c>
      <c r="M1483" s="6" t="n">
        <f aca="false">Summary!$B$3-J1483</f>
        <v>169</v>
      </c>
      <c r="N1483" s="6" t="str">
        <f aca="false">IF(K1483&gt;1,"Yes","No")</f>
        <v>No</v>
      </c>
      <c r="O1483" s="6" t="s">
        <v>49</v>
      </c>
    </row>
    <row r="1484" customFormat="false" ht="15" hidden="false" customHeight="false" outlineLevel="0" collapsed="false">
      <c r="A1484" s="6" t="s">
        <v>3077</v>
      </c>
      <c r="B1484" s="6" t="s">
        <v>3078</v>
      </c>
      <c r="C1484" s="6" t="s">
        <v>75</v>
      </c>
      <c r="D1484" s="6" t="n">
        <v>50</v>
      </c>
      <c r="E1484" s="6" t="s">
        <v>86</v>
      </c>
      <c r="F1484" s="6" t="s">
        <v>87</v>
      </c>
      <c r="G1484" s="26" t="n">
        <v>46001</v>
      </c>
      <c r="H1484" s="6" t="s">
        <v>102</v>
      </c>
      <c r="I1484" s="26" t="n">
        <f aca="false">_xlfn.MINIFS(Transaction!$C$2:$C$8421,Transaction!$B$2:$B$8421,A1484)</f>
        <v>46044</v>
      </c>
      <c r="J1484" s="26" t="n">
        <f aca="false">_xlfn.MAXIFS(Transaction!$C$2:$C$8421,Transaction!$B$2:$B$8421,A1484)</f>
        <v>46219</v>
      </c>
      <c r="K1484" s="6" t="n">
        <f aca="false">COUNTIF(Transaction!$B$2:$B$8421,A1484)</f>
        <v>6</v>
      </c>
      <c r="L1484" s="10" t="n">
        <f aca="false">SUMIF(Transaction!$B$2:$B$8421,A1484,Transaction!$H$2:$H$8421)</f>
        <v>11829</v>
      </c>
      <c r="M1484" s="6" t="n">
        <f aca="false">Summary!$B$3-J1484</f>
        <v>47</v>
      </c>
      <c r="N1484" s="6" t="str">
        <f aca="false">IF(K1484&gt;1,"Yes","No")</f>
        <v>Yes</v>
      </c>
      <c r="O1484" s="6" t="s">
        <v>46</v>
      </c>
    </row>
    <row r="1485" customFormat="false" ht="15" hidden="false" customHeight="false" outlineLevel="0" collapsed="false">
      <c r="A1485" s="6" t="s">
        <v>3079</v>
      </c>
      <c r="B1485" s="6" t="s">
        <v>3080</v>
      </c>
      <c r="C1485" s="6" t="s">
        <v>75</v>
      </c>
      <c r="D1485" s="6" t="n">
        <v>36</v>
      </c>
      <c r="E1485" s="6" t="s">
        <v>134</v>
      </c>
      <c r="F1485" s="6" t="s">
        <v>135</v>
      </c>
      <c r="G1485" s="26" t="n">
        <v>46013</v>
      </c>
      <c r="H1485" s="6" t="s">
        <v>92</v>
      </c>
      <c r="I1485" s="26" t="n">
        <f aca="false">_xlfn.MINIFS(Transaction!$C$2:$C$8421,Transaction!$B$2:$B$8421,A1485)</f>
        <v>46035</v>
      </c>
      <c r="J1485" s="26" t="n">
        <f aca="false">_xlfn.MAXIFS(Transaction!$C$2:$C$8421,Transaction!$B$2:$B$8421,A1485)</f>
        <v>46236</v>
      </c>
      <c r="K1485" s="6" t="n">
        <f aca="false">COUNTIF(Transaction!$B$2:$B$8421,A1485)</f>
        <v>4</v>
      </c>
      <c r="L1485" s="10" t="n">
        <f aca="false">SUMIF(Transaction!$B$2:$B$8421,A1485,Transaction!$H$2:$H$8421)</f>
        <v>5175</v>
      </c>
      <c r="M1485" s="6" t="n">
        <f aca="false">Summary!$B$3-J1485</f>
        <v>30</v>
      </c>
      <c r="N1485" s="6" t="str">
        <f aca="false">IF(K1485&gt;1,"Yes","No")</f>
        <v>Yes</v>
      </c>
      <c r="O1485" s="6" t="s">
        <v>46</v>
      </c>
    </row>
    <row r="1486" customFormat="false" ht="15" hidden="false" customHeight="false" outlineLevel="0" collapsed="false">
      <c r="A1486" s="6" t="s">
        <v>3081</v>
      </c>
      <c r="B1486" s="6" t="s">
        <v>3082</v>
      </c>
      <c r="C1486" s="6" t="s">
        <v>85</v>
      </c>
      <c r="D1486" s="6" t="n">
        <v>44</v>
      </c>
      <c r="E1486" s="6" t="s">
        <v>76</v>
      </c>
      <c r="F1486" s="6" t="s">
        <v>77</v>
      </c>
      <c r="G1486" s="26" t="n">
        <v>46031</v>
      </c>
      <c r="H1486" s="6" t="s">
        <v>123</v>
      </c>
      <c r="I1486" s="26" t="n">
        <f aca="false">_xlfn.MINIFS(Transaction!$C$2:$C$8421,Transaction!$B$2:$B$8421,A1486)</f>
        <v>46088</v>
      </c>
      <c r="J1486" s="26" t="n">
        <f aca="false">_xlfn.MAXIFS(Transaction!$C$2:$C$8421,Transaction!$B$2:$B$8421,A1486)</f>
        <v>46259</v>
      </c>
      <c r="K1486" s="6" t="n">
        <f aca="false">COUNTIF(Transaction!$B$2:$B$8421,A1486)</f>
        <v>5</v>
      </c>
      <c r="L1486" s="10" t="n">
        <f aca="false">SUMIF(Transaction!$B$2:$B$8421,A1486,Transaction!$H$2:$H$8421)</f>
        <v>11467</v>
      </c>
      <c r="M1486" s="6" t="n">
        <f aca="false">Summary!$B$3-J1486</f>
        <v>7</v>
      </c>
      <c r="N1486" s="6" t="str">
        <f aca="false">IF(K1486&gt;1,"Yes","No")</f>
        <v>Yes</v>
      </c>
      <c r="O1486" s="6" t="s">
        <v>46</v>
      </c>
    </row>
    <row r="1487" customFormat="false" ht="15" hidden="false" customHeight="false" outlineLevel="0" collapsed="false">
      <c r="A1487" s="6" t="s">
        <v>3083</v>
      </c>
      <c r="B1487" s="6" t="s">
        <v>3084</v>
      </c>
      <c r="C1487" s="6" t="s">
        <v>75</v>
      </c>
      <c r="D1487" s="6" t="n">
        <v>40</v>
      </c>
      <c r="E1487" s="6" t="s">
        <v>81</v>
      </c>
      <c r="F1487" s="6" t="s">
        <v>82</v>
      </c>
      <c r="G1487" s="26" t="n">
        <v>46161</v>
      </c>
      <c r="H1487" s="6" t="s">
        <v>88</v>
      </c>
      <c r="I1487" s="26" t="n">
        <f aca="false">_xlfn.MINIFS(Transaction!$C$2:$C$8421,Transaction!$B$2:$B$8421,A1487)</f>
        <v>46174</v>
      </c>
      <c r="J1487" s="26" t="n">
        <f aca="false">_xlfn.MAXIFS(Transaction!$C$2:$C$8421,Transaction!$B$2:$B$8421,A1487)</f>
        <v>46174</v>
      </c>
      <c r="K1487" s="6" t="n">
        <f aca="false">COUNTIF(Transaction!$B$2:$B$8421,A1487)</f>
        <v>1</v>
      </c>
      <c r="L1487" s="10" t="n">
        <f aca="false">SUMIF(Transaction!$B$2:$B$8421,A1487,Transaction!$H$2:$H$8421)</f>
        <v>1121</v>
      </c>
      <c r="M1487" s="6" t="n">
        <f aca="false">Summary!$B$3-J1487</f>
        <v>92</v>
      </c>
      <c r="N1487" s="6" t="str">
        <f aca="false">IF(K1487&gt;1,"Yes","No")</f>
        <v>No</v>
      </c>
      <c r="O1487" s="6" t="s">
        <v>47</v>
      </c>
    </row>
    <row r="1488" customFormat="false" ht="15" hidden="false" customHeight="false" outlineLevel="0" collapsed="false">
      <c r="A1488" s="6" t="s">
        <v>3085</v>
      </c>
      <c r="B1488" s="6" t="s">
        <v>3086</v>
      </c>
      <c r="C1488" s="6" t="s">
        <v>75</v>
      </c>
      <c r="D1488" s="6" t="n">
        <v>39</v>
      </c>
      <c r="E1488" s="6" t="s">
        <v>81</v>
      </c>
      <c r="F1488" s="6" t="s">
        <v>82</v>
      </c>
      <c r="G1488" s="26" t="n">
        <v>46143</v>
      </c>
      <c r="H1488" s="6" t="s">
        <v>78</v>
      </c>
      <c r="I1488" s="26" t="n">
        <f aca="false">_xlfn.MINIFS(Transaction!$C$2:$C$8421,Transaction!$B$2:$B$8421,A1488)</f>
        <v>46210</v>
      </c>
      <c r="J1488" s="26" t="n">
        <f aca="false">_xlfn.MAXIFS(Transaction!$C$2:$C$8421,Transaction!$B$2:$B$8421,A1488)</f>
        <v>46210</v>
      </c>
      <c r="K1488" s="6" t="n">
        <f aca="false">COUNTIF(Transaction!$B$2:$B$8421,A1488)</f>
        <v>1</v>
      </c>
      <c r="L1488" s="10" t="n">
        <f aca="false">SUMIF(Transaction!$B$2:$B$8421,A1488,Transaction!$H$2:$H$8421)</f>
        <v>1674</v>
      </c>
      <c r="M1488" s="6" t="n">
        <f aca="false">Summary!$B$3-J1488</f>
        <v>56</v>
      </c>
      <c r="N1488" s="6" t="str">
        <f aca="false">IF(K1488&gt;1,"Yes","No")</f>
        <v>No</v>
      </c>
      <c r="O1488" s="6" t="s">
        <v>47</v>
      </c>
    </row>
    <row r="1489" customFormat="false" ht="15" hidden="false" customHeight="false" outlineLevel="0" collapsed="false">
      <c r="A1489" s="6" t="s">
        <v>3087</v>
      </c>
      <c r="B1489" s="6" t="s">
        <v>3088</v>
      </c>
      <c r="C1489" s="6" t="s">
        <v>85</v>
      </c>
      <c r="D1489" s="6" t="n">
        <v>18</v>
      </c>
      <c r="E1489" s="6" t="s">
        <v>176</v>
      </c>
      <c r="F1489" s="6" t="s">
        <v>177</v>
      </c>
      <c r="G1489" s="26" t="n">
        <v>46020</v>
      </c>
      <c r="H1489" s="6" t="s">
        <v>78</v>
      </c>
      <c r="I1489" s="26" t="n">
        <f aca="false">_xlfn.MINIFS(Transaction!$C$2:$C$8421,Transaction!$B$2:$B$8421,A1489)</f>
        <v>46052</v>
      </c>
      <c r="J1489" s="26" t="n">
        <f aca="false">_xlfn.MAXIFS(Transaction!$C$2:$C$8421,Transaction!$B$2:$B$8421,A1489)</f>
        <v>46257</v>
      </c>
      <c r="K1489" s="6" t="n">
        <f aca="false">COUNTIF(Transaction!$B$2:$B$8421,A1489)</f>
        <v>9</v>
      </c>
      <c r="L1489" s="10" t="n">
        <f aca="false">SUMIF(Transaction!$B$2:$B$8421,A1489,Transaction!$H$2:$H$8421)</f>
        <v>22112</v>
      </c>
      <c r="M1489" s="6" t="n">
        <f aca="false">Summary!$B$3-J1489</f>
        <v>9</v>
      </c>
      <c r="N1489" s="6" t="str">
        <f aca="false">IF(K1489&gt;1,"Yes","No")</f>
        <v>Yes</v>
      </c>
      <c r="O1489" s="6" t="s">
        <v>45</v>
      </c>
    </row>
    <row r="1490" customFormat="false" ht="15" hidden="false" customHeight="false" outlineLevel="0" collapsed="false">
      <c r="A1490" s="6" t="s">
        <v>3089</v>
      </c>
      <c r="B1490" s="6" t="s">
        <v>3090</v>
      </c>
      <c r="C1490" s="6" t="s">
        <v>75</v>
      </c>
      <c r="D1490" s="6" t="n">
        <v>47</v>
      </c>
      <c r="E1490" s="6" t="s">
        <v>264</v>
      </c>
      <c r="F1490" s="6" t="s">
        <v>106</v>
      </c>
      <c r="G1490" s="26" t="n">
        <v>46103</v>
      </c>
      <c r="H1490" s="6" t="s">
        <v>92</v>
      </c>
      <c r="I1490" s="26" t="n">
        <f aca="false">_xlfn.MINIFS(Transaction!$C$2:$C$8421,Transaction!$B$2:$B$8421,A1490)</f>
        <v>46172</v>
      </c>
      <c r="J1490" s="26" t="n">
        <f aca="false">_xlfn.MAXIFS(Transaction!$C$2:$C$8421,Transaction!$B$2:$B$8421,A1490)</f>
        <v>46172</v>
      </c>
      <c r="K1490" s="6" t="n">
        <f aca="false">COUNTIF(Transaction!$B$2:$B$8421,A1490)</f>
        <v>1</v>
      </c>
      <c r="L1490" s="10" t="n">
        <f aca="false">SUMIF(Transaction!$B$2:$B$8421,A1490,Transaction!$H$2:$H$8421)</f>
        <v>1761</v>
      </c>
      <c r="M1490" s="6" t="n">
        <f aca="false">Summary!$B$3-J1490</f>
        <v>94</v>
      </c>
      <c r="N1490" s="6" t="str">
        <f aca="false">IF(K1490&gt;1,"Yes","No")</f>
        <v>No</v>
      </c>
      <c r="O1490" s="6" t="s">
        <v>48</v>
      </c>
    </row>
    <row r="1491" customFormat="false" ht="15" hidden="false" customHeight="false" outlineLevel="0" collapsed="false">
      <c r="A1491" s="6" t="s">
        <v>3091</v>
      </c>
      <c r="B1491" s="6" t="s">
        <v>3092</v>
      </c>
      <c r="C1491" s="6" t="s">
        <v>75</v>
      </c>
      <c r="D1491" s="6" t="n">
        <v>55</v>
      </c>
      <c r="E1491" s="6" t="s">
        <v>81</v>
      </c>
      <c r="F1491" s="6" t="s">
        <v>82</v>
      </c>
      <c r="G1491" s="26" t="n">
        <v>46000</v>
      </c>
      <c r="H1491" s="6" t="s">
        <v>123</v>
      </c>
      <c r="I1491" s="26" t="n">
        <f aca="false">_xlfn.MINIFS(Transaction!$C$2:$C$8421,Transaction!$B$2:$B$8421,A1491)</f>
        <v>46090</v>
      </c>
      <c r="J1491" s="26" t="n">
        <f aca="false">_xlfn.MAXIFS(Transaction!$C$2:$C$8421,Transaction!$B$2:$B$8421,A1491)</f>
        <v>46090</v>
      </c>
      <c r="K1491" s="6" t="n">
        <f aca="false">COUNTIF(Transaction!$B$2:$B$8421,A1491)</f>
        <v>1</v>
      </c>
      <c r="L1491" s="10" t="n">
        <f aca="false">SUMIF(Transaction!$B$2:$B$8421,A1491,Transaction!$H$2:$H$8421)</f>
        <v>1110</v>
      </c>
      <c r="M1491" s="6" t="n">
        <f aca="false">Summary!$B$3-J1491</f>
        <v>176</v>
      </c>
      <c r="N1491" s="6" t="str">
        <f aca="false">IF(K1491&gt;1,"Yes","No")</f>
        <v>No</v>
      </c>
      <c r="O1491" s="6" t="s">
        <v>49</v>
      </c>
    </row>
    <row r="1492" customFormat="false" ht="15" hidden="false" customHeight="false" outlineLevel="0" collapsed="false">
      <c r="A1492" s="6" t="s">
        <v>3093</v>
      </c>
      <c r="B1492" s="6" t="s">
        <v>3094</v>
      </c>
      <c r="C1492" s="6" t="s">
        <v>75</v>
      </c>
      <c r="D1492" s="6" t="n">
        <v>25</v>
      </c>
      <c r="E1492" s="6" t="s">
        <v>105</v>
      </c>
      <c r="F1492" s="6" t="s">
        <v>106</v>
      </c>
      <c r="G1492" s="26" t="n">
        <v>45967</v>
      </c>
      <c r="H1492" s="6" t="s">
        <v>102</v>
      </c>
      <c r="I1492" s="26" t="n">
        <f aca="false">_xlfn.MINIFS(Transaction!$C$2:$C$8421,Transaction!$B$2:$B$8421,A1492)</f>
        <v>46024</v>
      </c>
      <c r="J1492" s="26" t="n">
        <f aca="false">_xlfn.MAXIFS(Transaction!$C$2:$C$8421,Transaction!$B$2:$B$8421,A1492)</f>
        <v>46223</v>
      </c>
      <c r="K1492" s="6" t="n">
        <f aca="false">COUNTIF(Transaction!$B$2:$B$8421,A1492)</f>
        <v>8</v>
      </c>
      <c r="L1492" s="10" t="n">
        <f aca="false">SUMIF(Transaction!$B$2:$B$8421,A1492,Transaction!$H$2:$H$8421)</f>
        <v>17327</v>
      </c>
      <c r="M1492" s="6" t="n">
        <f aca="false">Summary!$B$3-J1492</f>
        <v>43</v>
      </c>
      <c r="N1492" s="6" t="str">
        <f aca="false">IF(K1492&gt;1,"Yes","No")</f>
        <v>Yes</v>
      </c>
      <c r="O1492" s="6" t="s">
        <v>46</v>
      </c>
    </row>
    <row r="1493" customFormat="false" ht="15" hidden="false" customHeight="false" outlineLevel="0" collapsed="false">
      <c r="A1493" s="6" t="s">
        <v>3095</v>
      </c>
      <c r="B1493" s="6" t="s">
        <v>3096</v>
      </c>
      <c r="C1493" s="6" t="s">
        <v>85</v>
      </c>
      <c r="D1493" s="6" t="n">
        <v>28</v>
      </c>
      <c r="E1493" s="6" t="s">
        <v>95</v>
      </c>
      <c r="F1493" s="6" t="s">
        <v>95</v>
      </c>
      <c r="G1493" s="26" t="n">
        <v>46212</v>
      </c>
      <c r="H1493" s="6" t="s">
        <v>92</v>
      </c>
      <c r="I1493" s="26" t="n">
        <f aca="false">_xlfn.MINIFS(Transaction!$C$2:$C$8421,Transaction!$B$2:$B$8421,A1493)</f>
        <v>46265</v>
      </c>
      <c r="J1493" s="26" t="n">
        <f aca="false">_xlfn.MAXIFS(Transaction!$C$2:$C$8421,Transaction!$B$2:$B$8421,A1493)</f>
        <v>46265</v>
      </c>
      <c r="K1493" s="6" t="n">
        <f aca="false">COUNTIF(Transaction!$B$2:$B$8421,A1493)</f>
        <v>1</v>
      </c>
      <c r="L1493" s="10" t="n">
        <f aca="false">SUMIF(Transaction!$B$2:$B$8421,A1493,Transaction!$H$2:$H$8421)</f>
        <v>6256</v>
      </c>
      <c r="M1493" s="6" t="n">
        <f aca="false">Summary!$B$3-J1493</f>
        <v>1</v>
      </c>
      <c r="N1493" s="6" t="str">
        <f aca="false">IF(K1493&gt;1,"Yes","No")</f>
        <v>No</v>
      </c>
      <c r="O1493" s="6" t="s">
        <v>47</v>
      </c>
    </row>
    <row r="1494" customFormat="false" ht="15" hidden="false" customHeight="false" outlineLevel="0" collapsed="false">
      <c r="A1494" s="6" t="s">
        <v>3097</v>
      </c>
      <c r="B1494" s="6" t="s">
        <v>3098</v>
      </c>
      <c r="C1494" s="6" t="s">
        <v>75</v>
      </c>
      <c r="D1494" s="6" t="n">
        <v>33</v>
      </c>
      <c r="E1494" s="6" t="s">
        <v>76</v>
      </c>
      <c r="F1494" s="6" t="s">
        <v>77</v>
      </c>
      <c r="G1494" s="26" t="n">
        <v>46149</v>
      </c>
      <c r="H1494" s="6" t="s">
        <v>78</v>
      </c>
      <c r="I1494" s="26" t="n">
        <f aca="false">_xlfn.MINIFS(Transaction!$C$2:$C$8421,Transaction!$B$2:$B$8421,A1494)</f>
        <v>46228</v>
      </c>
      <c r="J1494" s="26" t="n">
        <f aca="false">_xlfn.MAXIFS(Transaction!$C$2:$C$8421,Transaction!$B$2:$B$8421,A1494)</f>
        <v>46228</v>
      </c>
      <c r="K1494" s="6" t="n">
        <f aca="false">COUNTIF(Transaction!$B$2:$B$8421,A1494)</f>
        <v>1</v>
      </c>
      <c r="L1494" s="10" t="n">
        <f aca="false">SUMIF(Transaction!$B$2:$B$8421,A1494,Transaction!$H$2:$H$8421)</f>
        <v>2614</v>
      </c>
      <c r="M1494" s="6" t="n">
        <f aca="false">Summary!$B$3-J1494</f>
        <v>38</v>
      </c>
      <c r="N1494" s="6" t="str">
        <f aca="false">IF(K1494&gt;1,"Yes","No")</f>
        <v>No</v>
      </c>
      <c r="O1494" s="6" t="s">
        <v>47</v>
      </c>
    </row>
    <row r="1495" customFormat="false" ht="15" hidden="false" customHeight="false" outlineLevel="0" collapsed="false">
      <c r="A1495" s="6" t="s">
        <v>3099</v>
      </c>
      <c r="B1495" s="6" t="s">
        <v>3100</v>
      </c>
      <c r="C1495" s="6" t="s">
        <v>75</v>
      </c>
      <c r="D1495" s="6" t="n">
        <v>31</v>
      </c>
      <c r="E1495" s="6" t="s">
        <v>76</v>
      </c>
      <c r="F1495" s="6" t="s">
        <v>77</v>
      </c>
      <c r="G1495" s="26" t="n">
        <v>46179</v>
      </c>
      <c r="H1495" s="6" t="s">
        <v>92</v>
      </c>
      <c r="I1495" s="26" t="n">
        <f aca="false">_xlfn.MINIFS(Transaction!$C$2:$C$8421,Transaction!$B$2:$B$8421,A1495)</f>
        <v>46180</v>
      </c>
      <c r="J1495" s="26" t="n">
        <f aca="false">_xlfn.MAXIFS(Transaction!$C$2:$C$8421,Transaction!$B$2:$B$8421,A1495)</f>
        <v>46180</v>
      </c>
      <c r="K1495" s="6" t="n">
        <f aca="false">COUNTIF(Transaction!$B$2:$B$8421,A1495)</f>
        <v>1</v>
      </c>
      <c r="L1495" s="10" t="n">
        <f aca="false">SUMIF(Transaction!$B$2:$B$8421,A1495,Transaction!$H$2:$H$8421)</f>
        <v>559</v>
      </c>
      <c r="M1495" s="6" t="n">
        <f aca="false">Summary!$B$3-J1495</f>
        <v>86</v>
      </c>
      <c r="N1495" s="6" t="str">
        <f aca="false">IF(K1495&gt;1,"Yes","No")</f>
        <v>No</v>
      </c>
      <c r="O1495" s="6" t="s">
        <v>47</v>
      </c>
    </row>
    <row r="1496" customFormat="false" ht="15" hidden="false" customHeight="false" outlineLevel="0" collapsed="false">
      <c r="A1496" s="6" t="s">
        <v>3101</v>
      </c>
      <c r="B1496" s="6" t="s">
        <v>3102</v>
      </c>
      <c r="C1496" s="6" t="s">
        <v>75</v>
      </c>
      <c r="D1496" s="6" t="n">
        <v>34</v>
      </c>
      <c r="E1496" s="6" t="s">
        <v>86</v>
      </c>
      <c r="F1496" s="6" t="s">
        <v>87</v>
      </c>
      <c r="G1496" s="26" t="n">
        <v>46212</v>
      </c>
      <c r="H1496" s="6" t="s">
        <v>123</v>
      </c>
      <c r="I1496" s="26" t="n">
        <f aca="false">_xlfn.MINIFS(Transaction!$C$2:$C$8421,Transaction!$B$2:$B$8421,A1496)</f>
        <v>46252</v>
      </c>
      <c r="J1496" s="26" t="n">
        <f aca="false">_xlfn.MAXIFS(Transaction!$C$2:$C$8421,Transaction!$B$2:$B$8421,A1496)</f>
        <v>46252</v>
      </c>
      <c r="K1496" s="6" t="n">
        <f aca="false">COUNTIF(Transaction!$B$2:$B$8421,A1496)</f>
        <v>1</v>
      </c>
      <c r="L1496" s="10" t="n">
        <f aca="false">SUMIF(Transaction!$B$2:$B$8421,A1496,Transaction!$H$2:$H$8421)</f>
        <v>763</v>
      </c>
      <c r="M1496" s="6" t="n">
        <f aca="false">Summary!$B$3-J1496</f>
        <v>14</v>
      </c>
      <c r="N1496" s="6" t="str">
        <f aca="false">IF(K1496&gt;1,"Yes","No")</f>
        <v>No</v>
      </c>
      <c r="O1496" s="6" t="s">
        <v>47</v>
      </c>
    </row>
    <row r="1497" customFormat="false" ht="15" hidden="false" customHeight="false" outlineLevel="0" collapsed="false">
      <c r="A1497" s="6" t="s">
        <v>3103</v>
      </c>
      <c r="B1497" s="6" t="s">
        <v>3104</v>
      </c>
      <c r="C1497" s="6" t="s">
        <v>85</v>
      </c>
      <c r="D1497" s="6" t="n">
        <v>38</v>
      </c>
      <c r="E1497" s="6" t="s">
        <v>180</v>
      </c>
      <c r="F1497" s="6" t="s">
        <v>181</v>
      </c>
      <c r="G1497" s="26" t="n">
        <v>46196</v>
      </c>
      <c r="H1497" s="6" t="s">
        <v>78</v>
      </c>
      <c r="I1497" s="26" t="n">
        <f aca="false">_xlfn.MINIFS(Transaction!$C$2:$C$8421,Transaction!$B$2:$B$8421,A1497)</f>
        <v>46230</v>
      </c>
      <c r="J1497" s="26" t="n">
        <f aca="false">_xlfn.MAXIFS(Transaction!$C$2:$C$8421,Transaction!$B$2:$B$8421,A1497)</f>
        <v>46230</v>
      </c>
      <c r="K1497" s="6" t="n">
        <f aca="false">COUNTIF(Transaction!$B$2:$B$8421,A1497)</f>
        <v>1</v>
      </c>
      <c r="L1497" s="10" t="n">
        <f aca="false">SUMIF(Transaction!$B$2:$B$8421,A1497,Transaction!$H$2:$H$8421)</f>
        <v>1026</v>
      </c>
      <c r="M1497" s="6" t="n">
        <f aca="false">Summary!$B$3-J1497</f>
        <v>36</v>
      </c>
      <c r="N1497" s="6" t="str">
        <f aca="false">IF(K1497&gt;1,"Yes","No")</f>
        <v>No</v>
      </c>
      <c r="O1497" s="6" t="s">
        <v>47</v>
      </c>
    </row>
    <row r="1498" customFormat="false" ht="15" hidden="false" customHeight="false" outlineLevel="0" collapsed="false">
      <c r="A1498" s="6" t="s">
        <v>3105</v>
      </c>
      <c r="B1498" s="6" t="s">
        <v>3106</v>
      </c>
      <c r="C1498" s="6" t="s">
        <v>85</v>
      </c>
      <c r="D1498" s="6" t="n">
        <v>32</v>
      </c>
      <c r="E1498" s="6" t="s">
        <v>81</v>
      </c>
      <c r="F1498" s="6" t="s">
        <v>82</v>
      </c>
      <c r="G1498" s="26" t="n">
        <v>46002</v>
      </c>
      <c r="H1498" s="6" t="s">
        <v>78</v>
      </c>
      <c r="I1498" s="26" t="n">
        <f aca="false">_xlfn.MINIFS(Transaction!$C$2:$C$8421,Transaction!$B$2:$B$8421,A1498)</f>
        <v>46060</v>
      </c>
      <c r="J1498" s="26" t="n">
        <f aca="false">_xlfn.MAXIFS(Transaction!$C$2:$C$8421,Transaction!$B$2:$B$8421,A1498)</f>
        <v>46060</v>
      </c>
      <c r="K1498" s="6" t="n">
        <f aca="false">COUNTIF(Transaction!$B$2:$B$8421,A1498)</f>
        <v>1</v>
      </c>
      <c r="L1498" s="10" t="n">
        <f aca="false">SUMIF(Transaction!$B$2:$B$8421,A1498,Transaction!$H$2:$H$8421)</f>
        <v>1118</v>
      </c>
      <c r="M1498" s="6" t="n">
        <f aca="false">Summary!$B$3-J1498</f>
        <v>206</v>
      </c>
      <c r="N1498" s="6" t="str">
        <f aca="false">IF(K1498&gt;1,"Yes","No")</f>
        <v>No</v>
      </c>
      <c r="O1498" s="6" t="s">
        <v>49</v>
      </c>
    </row>
    <row r="1499" customFormat="false" ht="15" hidden="false" customHeight="false" outlineLevel="0" collapsed="false">
      <c r="A1499" s="6" t="s">
        <v>3107</v>
      </c>
      <c r="B1499" s="6" t="s">
        <v>3108</v>
      </c>
      <c r="C1499" s="6" t="s">
        <v>75</v>
      </c>
      <c r="D1499" s="6" t="n">
        <v>43</v>
      </c>
      <c r="E1499" s="6" t="s">
        <v>146</v>
      </c>
      <c r="F1499" s="6" t="s">
        <v>147</v>
      </c>
      <c r="G1499" s="26" t="n">
        <v>46101</v>
      </c>
      <c r="H1499" s="6" t="s">
        <v>78</v>
      </c>
      <c r="I1499" s="26" t="n">
        <f aca="false">_xlfn.MINIFS(Transaction!$C$2:$C$8421,Transaction!$B$2:$B$8421,A1499)</f>
        <v>46133</v>
      </c>
      <c r="J1499" s="26" t="n">
        <f aca="false">_xlfn.MAXIFS(Transaction!$C$2:$C$8421,Transaction!$B$2:$B$8421,A1499)</f>
        <v>46133</v>
      </c>
      <c r="K1499" s="6" t="n">
        <f aca="false">COUNTIF(Transaction!$B$2:$B$8421,A1499)</f>
        <v>1</v>
      </c>
      <c r="L1499" s="10" t="n">
        <f aca="false">SUMIF(Transaction!$B$2:$B$8421,A1499,Transaction!$H$2:$H$8421)</f>
        <v>2751</v>
      </c>
      <c r="M1499" s="6" t="n">
        <f aca="false">Summary!$B$3-J1499</f>
        <v>133</v>
      </c>
      <c r="N1499" s="6" t="str">
        <f aca="false">IF(K1499&gt;1,"Yes","No")</f>
        <v>No</v>
      </c>
      <c r="O1499" s="6" t="s">
        <v>48</v>
      </c>
    </row>
    <row r="1500" customFormat="false" ht="15" hidden="false" customHeight="false" outlineLevel="0" collapsed="false">
      <c r="A1500" s="6" t="s">
        <v>3109</v>
      </c>
      <c r="B1500" s="6" t="s">
        <v>3110</v>
      </c>
      <c r="C1500" s="6" t="s">
        <v>75</v>
      </c>
      <c r="D1500" s="6" t="n">
        <v>25</v>
      </c>
      <c r="E1500" s="6" t="s">
        <v>105</v>
      </c>
      <c r="F1500" s="6" t="s">
        <v>106</v>
      </c>
      <c r="G1500" s="26" t="n">
        <v>46038</v>
      </c>
      <c r="H1500" s="6" t="s">
        <v>115</v>
      </c>
      <c r="I1500" s="26" t="n">
        <f aca="false">_xlfn.MINIFS(Transaction!$C$2:$C$8421,Transaction!$B$2:$B$8421,A1500)</f>
        <v>46086</v>
      </c>
      <c r="J1500" s="26" t="n">
        <f aca="false">_xlfn.MAXIFS(Transaction!$C$2:$C$8421,Transaction!$B$2:$B$8421,A1500)</f>
        <v>46086</v>
      </c>
      <c r="K1500" s="6" t="n">
        <f aca="false">COUNTIF(Transaction!$B$2:$B$8421,A1500)</f>
        <v>1</v>
      </c>
      <c r="L1500" s="10" t="n">
        <f aca="false">SUMIF(Transaction!$B$2:$B$8421,A1500,Transaction!$H$2:$H$8421)</f>
        <v>610</v>
      </c>
      <c r="M1500" s="6" t="n">
        <f aca="false">Summary!$B$3-J1500</f>
        <v>180</v>
      </c>
      <c r="N1500" s="6" t="str">
        <f aca="false">IF(K1500&gt;1,"Yes","No")</f>
        <v>No</v>
      </c>
      <c r="O1500" s="6" t="s">
        <v>49</v>
      </c>
    </row>
    <row r="1501" customFormat="false" ht="15" hidden="false" customHeight="false" outlineLevel="0" collapsed="false">
      <c r="A1501" s="6" t="s">
        <v>3111</v>
      </c>
      <c r="B1501" s="6" t="s">
        <v>3112</v>
      </c>
      <c r="C1501" s="6" t="s">
        <v>75</v>
      </c>
      <c r="D1501" s="6" t="n">
        <v>39</v>
      </c>
      <c r="E1501" s="6" t="s">
        <v>91</v>
      </c>
      <c r="F1501" s="6" t="s">
        <v>77</v>
      </c>
      <c r="G1501" s="26" t="n">
        <v>46023</v>
      </c>
      <c r="H1501" s="6" t="s">
        <v>115</v>
      </c>
      <c r="I1501" s="26" t="n">
        <f aca="false">_xlfn.MINIFS(Transaction!$C$2:$C$8421,Transaction!$B$2:$B$8421,A1501)</f>
        <v>46068</v>
      </c>
      <c r="J1501" s="26" t="n">
        <f aca="false">_xlfn.MAXIFS(Transaction!$C$2:$C$8421,Transaction!$B$2:$B$8421,A1501)</f>
        <v>46229</v>
      </c>
      <c r="K1501" s="6" t="n">
        <f aca="false">COUNTIF(Transaction!$B$2:$B$8421,A1501)</f>
        <v>4</v>
      </c>
      <c r="L1501" s="10" t="n">
        <f aca="false">SUMIF(Transaction!$B$2:$B$8421,A1501,Transaction!$H$2:$H$8421)</f>
        <v>5058</v>
      </c>
      <c r="M1501" s="6" t="n">
        <f aca="false">Summary!$B$3-J1501</f>
        <v>37</v>
      </c>
      <c r="N1501" s="6" t="str">
        <f aca="false">IF(K1501&gt;1,"Yes","No")</f>
        <v>Yes</v>
      </c>
      <c r="O1501" s="6" t="s">
        <v>46</v>
      </c>
    </row>
    <row r="1502" customFormat="false" ht="15" hidden="false" customHeight="false" outlineLevel="0" collapsed="false">
      <c r="A1502" s="6" t="s">
        <v>3113</v>
      </c>
      <c r="B1502" s="6" t="s">
        <v>3114</v>
      </c>
      <c r="C1502" s="6" t="s">
        <v>75</v>
      </c>
      <c r="D1502" s="6" t="n">
        <v>40</v>
      </c>
      <c r="E1502" s="6" t="s">
        <v>121</v>
      </c>
      <c r="F1502" s="6" t="s">
        <v>122</v>
      </c>
      <c r="G1502" s="26" t="n">
        <v>45989</v>
      </c>
      <c r="H1502" s="6" t="s">
        <v>123</v>
      </c>
      <c r="I1502" s="26" t="n">
        <f aca="false">_xlfn.MINIFS(Transaction!$C$2:$C$8421,Transaction!$B$2:$B$8421,A1502)</f>
        <v>46047</v>
      </c>
      <c r="J1502" s="26" t="n">
        <f aca="false">_xlfn.MAXIFS(Transaction!$C$2:$C$8421,Transaction!$B$2:$B$8421,A1502)</f>
        <v>46174</v>
      </c>
      <c r="K1502" s="6" t="n">
        <f aca="false">COUNTIF(Transaction!$B$2:$B$8421,A1502)</f>
        <v>7</v>
      </c>
      <c r="L1502" s="10" t="n">
        <f aca="false">SUMIF(Transaction!$B$2:$B$8421,A1502,Transaction!$H$2:$H$8421)</f>
        <v>14544</v>
      </c>
      <c r="M1502" s="6" t="n">
        <f aca="false">Summary!$B$3-J1502</f>
        <v>92</v>
      </c>
      <c r="N1502" s="6" t="str">
        <f aca="false">IF(K1502&gt;1,"Yes","No")</f>
        <v>Yes</v>
      </c>
      <c r="O1502" s="6" t="s">
        <v>46</v>
      </c>
    </row>
    <row r="1503" customFormat="false" ht="15" hidden="false" customHeight="false" outlineLevel="0" collapsed="false">
      <c r="A1503" s="6" t="s">
        <v>3115</v>
      </c>
      <c r="B1503" s="6" t="s">
        <v>3116</v>
      </c>
      <c r="C1503" s="6" t="s">
        <v>75</v>
      </c>
      <c r="D1503" s="6" t="n">
        <v>37</v>
      </c>
      <c r="E1503" s="6" t="s">
        <v>95</v>
      </c>
      <c r="F1503" s="6" t="s">
        <v>95</v>
      </c>
      <c r="G1503" s="26" t="n">
        <v>46251</v>
      </c>
      <c r="H1503" s="6" t="s">
        <v>102</v>
      </c>
      <c r="I1503" s="26" t="n">
        <f aca="false">_xlfn.MINIFS(Transaction!$C$2:$C$8421,Transaction!$B$2:$B$8421,A1503)</f>
        <v>46253</v>
      </c>
      <c r="J1503" s="26" t="n">
        <f aca="false">_xlfn.MAXIFS(Transaction!$C$2:$C$8421,Transaction!$B$2:$B$8421,A1503)</f>
        <v>46253</v>
      </c>
      <c r="K1503" s="6" t="n">
        <f aca="false">COUNTIF(Transaction!$B$2:$B$8421,A1503)</f>
        <v>1</v>
      </c>
      <c r="L1503" s="10" t="n">
        <f aca="false">SUMIF(Transaction!$B$2:$B$8421,A1503,Transaction!$H$2:$H$8421)</f>
        <v>1937</v>
      </c>
      <c r="M1503" s="6" t="n">
        <f aca="false">Summary!$B$3-J1503</f>
        <v>13</v>
      </c>
      <c r="N1503" s="6" t="str">
        <f aca="false">IF(K1503&gt;1,"Yes","No")</f>
        <v>No</v>
      </c>
      <c r="O1503" s="6" t="s">
        <v>47</v>
      </c>
    </row>
    <row r="1504" customFormat="false" ht="15" hidden="false" customHeight="false" outlineLevel="0" collapsed="false">
      <c r="A1504" s="6" t="s">
        <v>3117</v>
      </c>
      <c r="B1504" s="6" t="s">
        <v>3118</v>
      </c>
      <c r="C1504" s="6" t="s">
        <v>75</v>
      </c>
      <c r="D1504" s="6" t="n">
        <v>39</v>
      </c>
      <c r="E1504" s="6" t="s">
        <v>98</v>
      </c>
      <c r="F1504" s="6" t="s">
        <v>99</v>
      </c>
      <c r="G1504" s="26" t="n">
        <v>46087</v>
      </c>
      <c r="H1504" s="6" t="s">
        <v>102</v>
      </c>
      <c r="I1504" s="26" t="n">
        <f aca="false">_xlfn.MINIFS(Transaction!$C$2:$C$8421,Transaction!$B$2:$B$8421,A1504)</f>
        <v>46088</v>
      </c>
      <c r="J1504" s="26" t="n">
        <f aca="false">_xlfn.MAXIFS(Transaction!$C$2:$C$8421,Transaction!$B$2:$B$8421,A1504)</f>
        <v>46246</v>
      </c>
      <c r="K1504" s="6" t="n">
        <f aca="false">COUNTIF(Transaction!$B$2:$B$8421,A1504)</f>
        <v>6</v>
      </c>
      <c r="L1504" s="10" t="n">
        <f aca="false">SUMIF(Transaction!$B$2:$B$8421,A1504,Transaction!$H$2:$H$8421)</f>
        <v>11516</v>
      </c>
      <c r="M1504" s="6" t="n">
        <f aca="false">Summary!$B$3-J1504</f>
        <v>20</v>
      </c>
      <c r="N1504" s="6" t="str">
        <f aca="false">IF(K1504&gt;1,"Yes","No")</f>
        <v>Yes</v>
      </c>
      <c r="O1504" s="6" t="s">
        <v>46</v>
      </c>
    </row>
    <row r="1505" customFormat="false" ht="15" hidden="false" customHeight="false" outlineLevel="0" collapsed="false">
      <c r="A1505" s="6" t="s">
        <v>3119</v>
      </c>
      <c r="B1505" s="6" t="s">
        <v>3120</v>
      </c>
      <c r="C1505" s="6" t="s">
        <v>85</v>
      </c>
      <c r="D1505" s="6" t="n">
        <v>36</v>
      </c>
      <c r="E1505" s="6" t="s">
        <v>91</v>
      </c>
      <c r="F1505" s="6" t="s">
        <v>77</v>
      </c>
      <c r="G1505" s="26" t="n">
        <v>46143</v>
      </c>
      <c r="H1505" s="6" t="s">
        <v>123</v>
      </c>
      <c r="I1505" s="26" t="n">
        <f aca="false">_xlfn.MINIFS(Transaction!$C$2:$C$8421,Transaction!$B$2:$B$8421,A1505)</f>
        <v>46174</v>
      </c>
      <c r="J1505" s="26" t="n">
        <f aca="false">_xlfn.MAXIFS(Transaction!$C$2:$C$8421,Transaction!$B$2:$B$8421,A1505)</f>
        <v>46174</v>
      </c>
      <c r="K1505" s="6" t="n">
        <f aca="false">COUNTIF(Transaction!$B$2:$B$8421,A1505)</f>
        <v>1</v>
      </c>
      <c r="L1505" s="10" t="n">
        <f aca="false">SUMIF(Transaction!$B$2:$B$8421,A1505,Transaction!$H$2:$H$8421)</f>
        <v>2039</v>
      </c>
      <c r="M1505" s="6" t="n">
        <f aca="false">Summary!$B$3-J1505</f>
        <v>92</v>
      </c>
      <c r="N1505" s="6" t="str">
        <f aca="false">IF(K1505&gt;1,"Yes","No")</f>
        <v>No</v>
      </c>
      <c r="O1505" s="6" t="s">
        <v>47</v>
      </c>
    </row>
    <row r="1506" customFormat="false" ht="15" hidden="false" customHeight="false" outlineLevel="0" collapsed="false">
      <c r="A1506" s="6" t="s">
        <v>3121</v>
      </c>
      <c r="B1506" s="6" t="s">
        <v>3122</v>
      </c>
      <c r="C1506" s="6" t="s">
        <v>85</v>
      </c>
      <c r="D1506" s="6" t="n">
        <v>28</v>
      </c>
      <c r="E1506" s="6" t="s">
        <v>140</v>
      </c>
      <c r="F1506" s="6" t="s">
        <v>141</v>
      </c>
      <c r="G1506" s="26" t="n">
        <v>46061</v>
      </c>
      <c r="H1506" s="6" t="s">
        <v>115</v>
      </c>
      <c r="I1506" s="26" t="n">
        <f aca="false">_xlfn.MINIFS(Transaction!$C$2:$C$8421,Transaction!$B$2:$B$8421,A1506)</f>
        <v>46076</v>
      </c>
      <c r="J1506" s="26" t="n">
        <f aca="false">_xlfn.MAXIFS(Transaction!$C$2:$C$8421,Transaction!$B$2:$B$8421,A1506)</f>
        <v>46250</v>
      </c>
      <c r="K1506" s="6" t="n">
        <f aca="false">COUNTIF(Transaction!$B$2:$B$8421,A1506)</f>
        <v>10</v>
      </c>
      <c r="L1506" s="10" t="n">
        <f aca="false">SUMIF(Transaction!$B$2:$B$8421,A1506,Transaction!$H$2:$H$8421)</f>
        <v>22523</v>
      </c>
      <c r="M1506" s="6" t="n">
        <f aca="false">Summary!$B$3-J1506</f>
        <v>16</v>
      </c>
      <c r="N1506" s="6" t="str">
        <f aca="false">IF(K1506&gt;1,"Yes","No")</f>
        <v>Yes</v>
      </c>
      <c r="O1506" s="6" t="s">
        <v>45</v>
      </c>
    </row>
    <row r="1507" customFormat="false" ht="15" hidden="false" customHeight="false" outlineLevel="0" collapsed="false">
      <c r="A1507" s="6" t="s">
        <v>3123</v>
      </c>
      <c r="B1507" s="6" t="s">
        <v>3124</v>
      </c>
      <c r="C1507" s="6" t="s">
        <v>75</v>
      </c>
      <c r="D1507" s="6" t="n">
        <v>30</v>
      </c>
      <c r="E1507" s="6" t="s">
        <v>91</v>
      </c>
      <c r="F1507" s="6" t="s">
        <v>77</v>
      </c>
      <c r="G1507" s="26" t="n">
        <v>46122</v>
      </c>
      <c r="H1507" s="6" t="s">
        <v>115</v>
      </c>
      <c r="I1507" s="26" t="n">
        <f aca="false">_xlfn.MINIFS(Transaction!$C$2:$C$8421,Transaction!$B$2:$B$8421,A1507)</f>
        <v>46156</v>
      </c>
      <c r="J1507" s="26" t="n">
        <f aca="false">_xlfn.MAXIFS(Transaction!$C$2:$C$8421,Transaction!$B$2:$B$8421,A1507)</f>
        <v>46156</v>
      </c>
      <c r="K1507" s="6" t="n">
        <f aca="false">COUNTIF(Transaction!$B$2:$B$8421,A1507)</f>
        <v>1</v>
      </c>
      <c r="L1507" s="10" t="n">
        <f aca="false">SUMIF(Transaction!$B$2:$B$8421,A1507,Transaction!$H$2:$H$8421)</f>
        <v>1954</v>
      </c>
      <c r="M1507" s="6" t="n">
        <f aca="false">Summary!$B$3-J1507</f>
        <v>110</v>
      </c>
      <c r="N1507" s="6" t="str">
        <f aca="false">IF(K1507&gt;1,"Yes","No")</f>
        <v>No</v>
      </c>
      <c r="O1507" s="6" t="s">
        <v>48</v>
      </c>
    </row>
    <row r="1508" customFormat="false" ht="15" hidden="false" customHeight="false" outlineLevel="0" collapsed="false">
      <c r="A1508" s="6" t="s">
        <v>3125</v>
      </c>
      <c r="B1508" s="6" t="s">
        <v>3126</v>
      </c>
      <c r="C1508" s="6" t="s">
        <v>75</v>
      </c>
      <c r="D1508" s="6" t="n">
        <v>21</v>
      </c>
      <c r="E1508" s="6" t="s">
        <v>95</v>
      </c>
      <c r="F1508" s="6" t="s">
        <v>95</v>
      </c>
      <c r="G1508" s="26" t="n">
        <v>45980</v>
      </c>
      <c r="H1508" s="6" t="s">
        <v>92</v>
      </c>
      <c r="I1508" s="26" t="n">
        <f aca="false">_xlfn.MINIFS(Transaction!$C$2:$C$8421,Transaction!$B$2:$B$8421,A1508)</f>
        <v>46026</v>
      </c>
      <c r="J1508" s="26" t="n">
        <f aca="false">_xlfn.MAXIFS(Transaction!$C$2:$C$8421,Transaction!$B$2:$B$8421,A1508)</f>
        <v>46197</v>
      </c>
      <c r="K1508" s="6" t="n">
        <f aca="false">COUNTIF(Transaction!$B$2:$B$8421,A1508)</f>
        <v>6</v>
      </c>
      <c r="L1508" s="10" t="n">
        <f aca="false">SUMIF(Transaction!$B$2:$B$8421,A1508,Transaction!$H$2:$H$8421)</f>
        <v>21132</v>
      </c>
      <c r="M1508" s="6" t="n">
        <f aca="false">Summary!$B$3-J1508</f>
        <v>69</v>
      </c>
      <c r="N1508" s="6" t="str">
        <f aca="false">IF(K1508&gt;1,"Yes","No")</f>
        <v>Yes</v>
      </c>
      <c r="O1508" s="6" t="s">
        <v>46</v>
      </c>
    </row>
    <row r="1509" customFormat="false" ht="15" hidden="false" customHeight="false" outlineLevel="0" collapsed="false">
      <c r="A1509" s="6" t="s">
        <v>3127</v>
      </c>
      <c r="B1509" s="6" t="s">
        <v>3128</v>
      </c>
      <c r="C1509" s="6" t="s">
        <v>85</v>
      </c>
      <c r="D1509" s="6" t="n">
        <v>47</v>
      </c>
      <c r="E1509" s="6" t="s">
        <v>91</v>
      </c>
      <c r="F1509" s="6" t="s">
        <v>77</v>
      </c>
      <c r="G1509" s="26" t="n">
        <v>46155</v>
      </c>
      <c r="H1509" s="6" t="s">
        <v>78</v>
      </c>
      <c r="I1509" s="26" t="n">
        <f aca="false">_xlfn.MINIFS(Transaction!$C$2:$C$8421,Transaction!$B$2:$B$8421,A1509)</f>
        <v>46190</v>
      </c>
      <c r="J1509" s="26" t="n">
        <f aca="false">_xlfn.MAXIFS(Transaction!$C$2:$C$8421,Transaction!$B$2:$B$8421,A1509)</f>
        <v>46190</v>
      </c>
      <c r="K1509" s="6" t="n">
        <f aca="false">COUNTIF(Transaction!$B$2:$B$8421,A1509)</f>
        <v>1</v>
      </c>
      <c r="L1509" s="10" t="n">
        <f aca="false">SUMIF(Transaction!$B$2:$B$8421,A1509,Transaction!$H$2:$H$8421)</f>
        <v>782</v>
      </c>
      <c r="M1509" s="6" t="n">
        <f aca="false">Summary!$B$3-J1509</f>
        <v>76</v>
      </c>
      <c r="N1509" s="6" t="str">
        <f aca="false">IF(K1509&gt;1,"Yes","No")</f>
        <v>No</v>
      </c>
      <c r="O1509" s="6" t="s">
        <v>47</v>
      </c>
    </row>
    <row r="1510" customFormat="false" ht="15" hidden="false" customHeight="false" outlineLevel="0" collapsed="false">
      <c r="A1510" s="6" t="s">
        <v>3129</v>
      </c>
      <c r="B1510" s="6" t="s">
        <v>3130</v>
      </c>
      <c r="C1510" s="6" t="s">
        <v>75</v>
      </c>
      <c r="D1510" s="6" t="n">
        <v>21</v>
      </c>
      <c r="E1510" s="6" t="s">
        <v>95</v>
      </c>
      <c r="F1510" s="6" t="s">
        <v>95</v>
      </c>
      <c r="G1510" s="26" t="n">
        <v>46087</v>
      </c>
      <c r="H1510" s="6" t="s">
        <v>115</v>
      </c>
      <c r="I1510" s="26" t="n">
        <f aca="false">_xlfn.MINIFS(Transaction!$C$2:$C$8421,Transaction!$B$2:$B$8421,A1510)</f>
        <v>46113</v>
      </c>
      <c r="J1510" s="26" t="n">
        <f aca="false">_xlfn.MAXIFS(Transaction!$C$2:$C$8421,Transaction!$B$2:$B$8421,A1510)</f>
        <v>46236</v>
      </c>
      <c r="K1510" s="6" t="n">
        <f aca="false">COUNTIF(Transaction!$B$2:$B$8421,A1510)</f>
        <v>5</v>
      </c>
      <c r="L1510" s="10" t="n">
        <f aca="false">SUMIF(Transaction!$B$2:$B$8421,A1510,Transaction!$H$2:$H$8421)</f>
        <v>8066</v>
      </c>
      <c r="M1510" s="6" t="n">
        <f aca="false">Summary!$B$3-J1510</f>
        <v>30</v>
      </c>
      <c r="N1510" s="6" t="str">
        <f aca="false">IF(K1510&gt;1,"Yes","No")</f>
        <v>Yes</v>
      </c>
      <c r="O1510" s="6" t="s">
        <v>46</v>
      </c>
    </row>
    <row r="1511" customFormat="false" ht="15" hidden="false" customHeight="false" outlineLevel="0" collapsed="false">
      <c r="A1511" s="6" t="s">
        <v>3131</v>
      </c>
      <c r="B1511" s="6" t="s">
        <v>3132</v>
      </c>
      <c r="C1511" s="6" t="s">
        <v>85</v>
      </c>
      <c r="D1511" s="6" t="n">
        <v>37</v>
      </c>
      <c r="E1511" s="6" t="s">
        <v>134</v>
      </c>
      <c r="F1511" s="6" t="s">
        <v>135</v>
      </c>
      <c r="G1511" s="26" t="n">
        <v>46011</v>
      </c>
      <c r="H1511" s="6" t="s">
        <v>115</v>
      </c>
      <c r="I1511" s="26" t="n">
        <f aca="false">_xlfn.MINIFS(Transaction!$C$2:$C$8421,Transaction!$B$2:$B$8421,A1511)</f>
        <v>46071</v>
      </c>
      <c r="J1511" s="26" t="n">
        <f aca="false">_xlfn.MAXIFS(Transaction!$C$2:$C$8421,Transaction!$B$2:$B$8421,A1511)</f>
        <v>46250</v>
      </c>
      <c r="K1511" s="6" t="n">
        <f aca="false">COUNTIF(Transaction!$B$2:$B$8421,A1511)</f>
        <v>10</v>
      </c>
      <c r="L1511" s="10" t="n">
        <f aca="false">SUMIF(Transaction!$B$2:$B$8421,A1511,Transaction!$H$2:$H$8421)</f>
        <v>15251</v>
      </c>
      <c r="M1511" s="6" t="n">
        <f aca="false">Summary!$B$3-J1511</f>
        <v>16</v>
      </c>
      <c r="N1511" s="6" t="str">
        <f aca="false">IF(K1511&gt;1,"Yes","No")</f>
        <v>Yes</v>
      </c>
      <c r="O1511" s="6" t="s">
        <v>45</v>
      </c>
    </row>
    <row r="1512" customFormat="false" ht="15" hidden="false" customHeight="false" outlineLevel="0" collapsed="false">
      <c r="A1512" s="6" t="s">
        <v>3133</v>
      </c>
      <c r="B1512" s="6" t="s">
        <v>3134</v>
      </c>
      <c r="C1512" s="6" t="s">
        <v>85</v>
      </c>
      <c r="D1512" s="6" t="n">
        <v>27</v>
      </c>
      <c r="E1512" s="6" t="s">
        <v>134</v>
      </c>
      <c r="F1512" s="6" t="s">
        <v>135</v>
      </c>
      <c r="G1512" s="26" t="n">
        <v>45982</v>
      </c>
      <c r="H1512" s="6" t="s">
        <v>115</v>
      </c>
      <c r="I1512" s="26" t="n">
        <f aca="false">_xlfn.MINIFS(Transaction!$C$2:$C$8421,Transaction!$B$2:$B$8421,A1512)</f>
        <v>46057</v>
      </c>
      <c r="J1512" s="26" t="n">
        <f aca="false">_xlfn.MAXIFS(Transaction!$C$2:$C$8421,Transaction!$B$2:$B$8421,A1512)</f>
        <v>46178</v>
      </c>
      <c r="K1512" s="6" t="n">
        <f aca="false">COUNTIF(Transaction!$B$2:$B$8421,A1512)</f>
        <v>6</v>
      </c>
      <c r="L1512" s="10" t="n">
        <f aca="false">SUMIF(Transaction!$B$2:$B$8421,A1512,Transaction!$H$2:$H$8421)</f>
        <v>11747</v>
      </c>
      <c r="M1512" s="6" t="n">
        <f aca="false">Summary!$B$3-J1512</f>
        <v>88</v>
      </c>
      <c r="N1512" s="6" t="str">
        <f aca="false">IF(K1512&gt;1,"Yes","No")</f>
        <v>Yes</v>
      </c>
      <c r="O1512" s="6" t="s">
        <v>46</v>
      </c>
    </row>
    <row r="1513" customFormat="false" ht="15" hidden="false" customHeight="false" outlineLevel="0" collapsed="false">
      <c r="A1513" s="6" t="s">
        <v>3135</v>
      </c>
      <c r="B1513" s="6" t="s">
        <v>3136</v>
      </c>
      <c r="C1513" s="6" t="s">
        <v>75</v>
      </c>
      <c r="D1513" s="6" t="n">
        <v>39</v>
      </c>
      <c r="E1513" s="6" t="s">
        <v>95</v>
      </c>
      <c r="F1513" s="6" t="s">
        <v>95</v>
      </c>
      <c r="G1513" s="26" t="n">
        <v>46082</v>
      </c>
      <c r="H1513" s="6" t="s">
        <v>78</v>
      </c>
      <c r="I1513" s="26" t="n">
        <f aca="false">_xlfn.MINIFS(Transaction!$C$2:$C$8421,Transaction!$B$2:$B$8421,A1513)</f>
        <v>46164</v>
      </c>
      <c r="J1513" s="26" t="n">
        <f aca="false">_xlfn.MAXIFS(Transaction!$C$2:$C$8421,Transaction!$B$2:$B$8421,A1513)</f>
        <v>46164</v>
      </c>
      <c r="K1513" s="6" t="n">
        <f aca="false">COUNTIF(Transaction!$B$2:$B$8421,A1513)</f>
        <v>1</v>
      </c>
      <c r="L1513" s="10" t="n">
        <f aca="false">SUMIF(Transaction!$B$2:$B$8421,A1513,Transaction!$H$2:$H$8421)</f>
        <v>1629</v>
      </c>
      <c r="M1513" s="6" t="n">
        <f aca="false">Summary!$B$3-J1513</f>
        <v>102</v>
      </c>
      <c r="N1513" s="6" t="str">
        <f aca="false">IF(K1513&gt;1,"Yes","No")</f>
        <v>No</v>
      </c>
      <c r="O1513" s="6" t="s">
        <v>48</v>
      </c>
    </row>
    <row r="1514" customFormat="false" ht="15" hidden="false" customHeight="false" outlineLevel="0" collapsed="false">
      <c r="A1514" s="6" t="s">
        <v>3137</v>
      </c>
      <c r="B1514" s="6" t="s">
        <v>3138</v>
      </c>
      <c r="C1514" s="6" t="s">
        <v>75</v>
      </c>
      <c r="D1514" s="6" t="n">
        <v>29</v>
      </c>
      <c r="E1514" s="6" t="s">
        <v>180</v>
      </c>
      <c r="F1514" s="6" t="s">
        <v>181</v>
      </c>
      <c r="G1514" s="26" t="n">
        <v>46034</v>
      </c>
      <c r="H1514" s="6" t="s">
        <v>78</v>
      </c>
      <c r="I1514" s="26" t="n">
        <f aca="false">_xlfn.MINIFS(Transaction!$C$2:$C$8421,Transaction!$B$2:$B$8421,A1514)</f>
        <v>46063</v>
      </c>
      <c r="J1514" s="26" t="n">
        <f aca="false">_xlfn.MAXIFS(Transaction!$C$2:$C$8421,Transaction!$B$2:$B$8421,A1514)</f>
        <v>46063</v>
      </c>
      <c r="K1514" s="6" t="n">
        <f aca="false">COUNTIF(Transaction!$B$2:$B$8421,A1514)</f>
        <v>1</v>
      </c>
      <c r="L1514" s="10" t="n">
        <f aca="false">SUMIF(Transaction!$B$2:$B$8421,A1514,Transaction!$H$2:$H$8421)</f>
        <v>782</v>
      </c>
      <c r="M1514" s="6" t="n">
        <f aca="false">Summary!$B$3-J1514</f>
        <v>203</v>
      </c>
      <c r="N1514" s="6" t="str">
        <f aca="false">IF(K1514&gt;1,"Yes","No")</f>
        <v>No</v>
      </c>
      <c r="O1514" s="6" t="s">
        <v>49</v>
      </c>
    </row>
    <row r="1515" customFormat="false" ht="15" hidden="false" customHeight="false" outlineLevel="0" collapsed="false">
      <c r="A1515" s="6" t="s">
        <v>3139</v>
      </c>
      <c r="B1515" s="6" t="s">
        <v>3140</v>
      </c>
      <c r="C1515" s="6" t="s">
        <v>85</v>
      </c>
      <c r="D1515" s="6" t="n">
        <v>54</v>
      </c>
      <c r="E1515" s="6" t="s">
        <v>95</v>
      </c>
      <c r="F1515" s="6" t="s">
        <v>95</v>
      </c>
      <c r="G1515" s="26" t="n">
        <v>46176</v>
      </c>
      <c r="H1515" s="6" t="s">
        <v>115</v>
      </c>
      <c r="I1515" s="26" t="n">
        <f aca="false">_xlfn.MINIFS(Transaction!$C$2:$C$8421,Transaction!$B$2:$B$8421,A1515)</f>
        <v>46187</v>
      </c>
      <c r="J1515" s="26" t="n">
        <f aca="false">_xlfn.MAXIFS(Transaction!$C$2:$C$8421,Transaction!$B$2:$B$8421,A1515)</f>
        <v>46187</v>
      </c>
      <c r="K1515" s="6" t="n">
        <f aca="false">COUNTIF(Transaction!$B$2:$B$8421,A1515)</f>
        <v>1</v>
      </c>
      <c r="L1515" s="10" t="n">
        <f aca="false">SUMIF(Transaction!$B$2:$B$8421,A1515,Transaction!$H$2:$H$8421)</f>
        <v>2249</v>
      </c>
      <c r="M1515" s="6" t="n">
        <f aca="false">Summary!$B$3-J1515</f>
        <v>79</v>
      </c>
      <c r="N1515" s="6" t="str">
        <f aca="false">IF(K1515&gt;1,"Yes","No")</f>
        <v>No</v>
      </c>
      <c r="O1515" s="6" t="s">
        <v>47</v>
      </c>
    </row>
    <row r="1516" customFormat="false" ht="15" hidden="false" customHeight="false" outlineLevel="0" collapsed="false">
      <c r="A1516" s="6" t="s">
        <v>3141</v>
      </c>
      <c r="B1516" s="6" t="s">
        <v>3142</v>
      </c>
      <c r="C1516" s="6" t="s">
        <v>85</v>
      </c>
      <c r="D1516" s="6" t="n">
        <v>38</v>
      </c>
      <c r="E1516" s="6" t="s">
        <v>176</v>
      </c>
      <c r="F1516" s="6" t="s">
        <v>177</v>
      </c>
      <c r="G1516" s="26" t="n">
        <v>45967</v>
      </c>
      <c r="H1516" s="6" t="s">
        <v>78</v>
      </c>
      <c r="I1516" s="26" t="n">
        <f aca="false">_xlfn.MINIFS(Transaction!$C$2:$C$8421,Transaction!$B$2:$B$8421,A1516)</f>
        <v>46035</v>
      </c>
      <c r="J1516" s="26" t="n">
        <f aca="false">_xlfn.MAXIFS(Transaction!$C$2:$C$8421,Transaction!$B$2:$B$8421,A1516)</f>
        <v>46248</v>
      </c>
      <c r="K1516" s="6" t="n">
        <f aca="false">COUNTIF(Transaction!$B$2:$B$8421,A1516)</f>
        <v>8</v>
      </c>
      <c r="L1516" s="10" t="n">
        <f aca="false">SUMIF(Transaction!$B$2:$B$8421,A1516,Transaction!$H$2:$H$8421)</f>
        <v>9972</v>
      </c>
      <c r="M1516" s="6" t="n">
        <f aca="false">Summary!$B$3-J1516</f>
        <v>18</v>
      </c>
      <c r="N1516" s="6" t="str">
        <f aca="false">IF(K1516&gt;1,"Yes","No")</f>
        <v>Yes</v>
      </c>
      <c r="O1516" s="6" t="s">
        <v>45</v>
      </c>
    </row>
    <row r="1517" customFormat="false" ht="15" hidden="false" customHeight="false" outlineLevel="0" collapsed="false">
      <c r="A1517" s="6" t="s">
        <v>3143</v>
      </c>
      <c r="B1517" s="6" t="s">
        <v>3144</v>
      </c>
      <c r="C1517" s="6" t="s">
        <v>75</v>
      </c>
      <c r="D1517" s="6" t="n">
        <v>38</v>
      </c>
      <c r="E1517" s="6" t="s">
        <v>86</v>
      </c>
      <c r="F1517" s="6" t="s">
        <v>87</v>
      </c>
      <c r="G1517" s="26" t="n">
        <v>45971</v>
      </c>
      <c r="H1517" s="6" t="s">
        <v>78</v>
      </c>
      <c r="I1517" s="26" t="n">
        <f aca="false">_xlfn.MINIFS(Transaction!$C$2:$C$8421,Transaction!$B$2:$B$8421,A1517)</f>
        <v>46049</v>
      </c>
      <c r="J1517" s="26" t="n">
        <f aca="false">_xlfn.MAXIFS(Transaction!$C$2:$C$8421,Transaction!$B$2:$B$8421,A1517)</f>
        <v>46259</v>
      </c>
      <c r="K1517" s="6" t="n">
        <f aca="false">COUNTIF(Transaction!$B$2:$B$8421,A1517)</f>
        <v>8</v>
      </c>
      <c r="L1517" s="10" t="n">
        <f aca="false">SUMIF(Transaction!$B$2:$B$8421,A1517,Transaction!$H$2:$H$8421)</f>
        <v>23037</v>
      </c>
      <c r="M1517" s="6" t="n">
        <f aca="false">Summary!$B$3-J1517</f>
        <v>7</v>
      </c>
      <c r="N1517" s="6" t="str">
        <f aca="false">IF(K1517&gt;1,"Yes","No")</f>
        <v>Yes</v>
      </c>
      <c r="O1517" s="6" t="s">
        <v>45</v>
      </c>
    </row>
    <row r="1518" customFormat="false" ht="15" hidden="false" customHeight="false" outlineLevel="0" collapsed="false">
      <c r="A1518" s="6" t="s">
        <v>3145</v>
      </c>
      <c r="B1518" s="6" t="s">
        <v>3146</v>
      </c>
      <c r="C1518" s="6" t="s">
        <v>75</v>
      </c>
      <c r="D1518" s="6" t="n">
        <v>29</v>
      </c>
      <c r="E1518" s="6" t="s">
        <v>105</v>
      </c>
      <c r="F1518" s="6" t="s">
        <v>106</v>
      </c>
      <c r="G1518" s="26" t="n">
        <v>46011</v>
      </c>
      <c r="H1518" s="6" t="s">
        <v>92</v>
      </c>
      <c r="I1518" s="26" t="n">
        <f aca="false">_xlfn.MINIFS(Transaction!$C$2:$C$8421,Transaction!$B$2:$B$8421,A1518)</f>
        <v>46056</v>
      </c>
      <c r="J1518" s="26" t="n">
        <f aca="false">_xlfn.MAXIFS(Transaction!$C$2:$C$8421,Transaction!$B$2:$B$8421,A1518)</f>
        <v>46056</v>
      </c>
      <c r="K1518" s="6" t="n">
        <f aca="false">COUNTIF(Transaction!$B$2:$B$8421,A1518)</f>
        <v>1</v>
      </c>
      <c r="L1518" s="10" t="n">
        <f aca="false">SUMIF(Transaction!$B$2:$B$8421,A1518,Transaction!$H$2:$H$8421)</f>
        <v>2784</v>
      </c>
      <c r="M1518" s="6" t="n">
        <f aca="false">Summary!$B$3-J1518</f>
        <v>210</v>
      </c>
      <c r="N1518" s="6" t="str">
        <f aca="false">IF(K1518&gt;1,"Yes","No")</f>
        <v>No</v>
      </c>
      <c r="O1518" s="6" t="s">
        <v>49</v>
      </c>
    </row>
    <row r="1519" customFormat="false" ht="15" hidden="false" customHeight="false" outlineLevel="0" collapsed="false">
      <c r="A1519" s="6" t="s">
        <v>3147</v>
      </c>
      <c r="B1519" s="6" t="s">
        <v>3148</v>
      </c>
      <c r="C1519" s="6" t="s">
        <v>85</v>
      </c>
      <c r="D1519" s="6" t="n">
        <v>27</v>
      </c>
      <c r="E1519" s="6" t="s">
        <v>86</v>
      </c>
      <c r="F1519" s="6" t="s">
        <v>87</v>
      </c>
      <c r="G1519" s="26" t="n">
        <v>46091</v>
      </c>
      <c r="H1519" s="6" t="s">
        <v>88</v>
      </c>
      <c r="I1519" s="26" t="n">
        <f aca="false">_xlfn.MINIFS(Transaction!$C$2:$C$8421,Transaction!$B$2:$B$8421,A1519)</f>
        <v>46098</v>
      </c>
      <c r="J1519" s="26" t="n">
        <f aca="false">_xlfn.MAXIFS(Transaction!$C$2:$C$8421,Transaction!$B$2:$B$8421,A1519)</f>
        <v>46098</v>
      </c>
      <c r="K1519" s="6" t="n">
        <f aca="false">COUNTIF(Transaction!$B$2:$B$8421,A1519)</f>
        <v>1</v>
      </c>
      <c r="L1519" s="10" t="n">
        <f aca="false">SUMIF(Transaction!$B$2:$B$8421,A1519,Transaction!$H$2:$H$8421)</f>
        <v>1760</v>
      </c>
      <c r="M1519" s="6" t="n">
        <f aca="false">Summary!$B$3-J1519</f>
        <v>168</v>
      </c>
      <c r="N1519" s="6" t="str">
        <f aca="false">IF(K1519&gt;1,"Yes","No")</f>
        <v>No</v>
      </c>
      <c r="O1519" s="6" t="s">
        <v>49</v>
      </c>
    </row>
    <row r="1520" customFormat="false" ht="15" hidden="false" customHeight="false" outlineLevel="0" collapsed="false">
      <c r="A1520" s="6" t="s">
        <v>3149</v>
      </c>
      <c r="B1520" s="6" t="s">
        <v>3150</v>
      </c>
      <c r="C1520" s="6" t="s">
        <v>75</v>
      </c>
      <c r="D1520" s="6" t="n">
        <v>24</v>
      </c>
      <c r="E1520" s="6" t="s">
        <v>95</v>
      </c>
      <c r="F1520" s="6" t="s">
        <v>95</v>
      </c>
      <c r="G1520" s="26" t="n">
        <v>46124</v>
      </c>
      <c r="H1520" s="6" t="s">
        <v>88</v>
      </c>
      <c r="I1520" s="26" t="n">
        <f aca="false">_xlfn.MINIFS(Transaction!$C$2:$C$8421,Transaction!$B$2:$B$8421,A1520)</f>
        <v>46194</v>
      </c>
      <c r="J1520" s="26" t="n">
        <f aca="false">_xlfn.MAXIFS(Transaction!$C$2:$C$8421,Transaction!$B$2:$B$8421,A1520)</f>
        <v>46194</v>
      </c>
      <c r="K1520" s="6" t="n">
        <f aca="false">COUNTIF(Transaction!$B$2:$B$8421,A1520)</f>
        <v>1</v>
      </c>
      <c r="L1520" s="10" t="n">
        <f aca="false">SUMIF(Transaction!$B$2:$B$8421,A1520,Transaction!$H$2:$H$8421)</f>
        <v>269</v>
      </c>
      <c r="M1520" s="6" t="n">
        <f aca="false">Summary!$B$3-J1520</f>
        <v>72</v>
      </c>
      <c r="N1520" s="6" t="str">
        <f aca="false">IF(K1520&gt;1,"Yes","No")</f>
        <v>No</v>
      </c>
      <c r="O1520" s="6" t="s">
        <v>47</v>
      </c>
    </row>
    <row r="1521" customFormat="false" ht="15" hidden="false" customHeight="false" outlineLevel="0" collapsed="false">
      <c r="A1521" s="6" t="s">
        <v>3151</v>
      </c>
      <c r="B1521" s="6" t="s">
        <v>3152</v>
      </c>
      <c r="C1521" s="6" t="s">
        <v>75</v>
      </c>
      <c r="D1521" s="6" t="n">
        <v>40</v>
      </c>
      <c r="E1521" s="6" t="s">
        <v>91</v>
      </c>
      <c r="F1521" s="6" t="s">
        <v>77</v>
      </c>
      <c r="G1521" s="26" t="n">
        <v>46206</v>
      </c>
      <c r="H1521" s="6" t="s">
        <v>102</v>
      </c>
      <c r="I1521" s="26" t="n">
        <f aca="false">_xlfn.MINIFS(Transaction!$C$2:$C$8421,Transaction!$B$2:$B$8421,A1521)</f>
        <v>46230</v>
      </c>
      <c r="J1521" s="26" t="n">
        <f aca="false">_xlfn.MAXIFS(Transaction!$C$2:$C$8421,Transaction!$B$2:$B$8421,A1521)</f>
        <v>46230</v>
      </c>
      <c r="K1521" s="6" t="n">
        <f aca="false">COUNTIF(Transaction!$B$2:$B$8421,A1521)</f>
        <v>1</v>
      </c>
      <c r="L1521" s="10" t="n">
        <f aca="false">SUMIF(Transaction!$B$2:$B$8421,A1521,Transaction!$H$2:$H$8421)</f>
        <v>1529</v>
      </c>
      <c r="M1521" s="6" t="n">
        <f aca="false">Summary!$B$3-J1521</f>
        <v>36</v>
      </c>
      <c r="N1521" s="6" t="str">
        <f aca="false">IF(K1521&gt;1,"Yes","No")</f>
        <v>No</v>
      </c>
      <c r="O1521" s="6" t="s">
        <v>47</v>
      </c>
    </row>
    <row r="1522" customFormat="false" ht="15" hidden="false" customHeight="false" outlineLevel="0" collapsed="false">
      <c r="A1522" s="6" t="s">
        <v>3153</v>
      </c>
      <c r="B1522" s="6" t="s">
        <v>3154</v>
      </c>
      <c r="C1522" s="6" t="s">
        <v>75</v>
      </c>
      <c r="D1522" s="6" t="n">
        <v>24</v>
      </c>
      <c r="E1522" s="6" t="s">
        <v>121</v>
      </c>
      <c r="F1522" s="6" t="s">
        <v>122</v>
      </c>
      <c r="G1522" s="26" t="n">
        <v>46033</v>
      </c>
      <c r="H1522" s="6" t="s">
        <v>78</v>
      </c>
      <c r="I1522" s="26" t="n">
        <f aca="false">_xlfn.MINIFS(Transaction!$C$2:$C$8421,Transaction!$B$2:$B$8421,A1522)</f>
        <v>46045</v>
      </c>
      <c r="J1522" s="26" t="n">
        <f aca="false">_xlfn.MAXIFS(Transaction!$C$2:$C$8421,Transaction!$B$2:$B$8421,A1522)</f>
        <v>46263</v>
      </c>
      <c r="K1522" s="6" t="n">
        <f aca="false">COUNTIF(Transaction!$B$2:$B$8421,A1522)</f>
        <v>10</v>
      </c>
      <c r="L1522" s="10" t="n">
        <f aca="false">SUMIF(Transaction!$B$2:$B$8421,A1522,Transaction!$H$2:$H$8421)</f>
        <v>25338</v>
      </c>
      <c r="M1522" s="6" t="n">
        <f aca="false">Summary!$B$3-J1522</f>
        <v>3</v>
      </c>
      <c r="N1522" s="6" t="str">
        <f aca="false">IF(K1522&gt;1,"Yes","No")</f>
        <v>Yes</v>
      </c>
      <c r="O1522" s="6" t="s">
        <v>45</v>
      </c>
    </row>
    <row r="1523" customFormat="false" ht="15" hidden="false" customHeight="false" outlineLevel="0" collapsed="false">
      <c r="A1523" s="6" t="s">
        <v>3155</v>
      </c>
      <c r="B1523" s="6" t="s">
        <v>3156</v>
      </c>
      <c r="C1523" s="6" t="s">
        <v>85</v>
      </c>
      <c r="D1523" s="6" t="n">
        <v>37</v>
      </c>
      <c r="E1523" s="6" t="s">
        <v>81</v>
      </c>
      <c r="F1523" s="6" t="s">
        <v>82</v>
      </c>
      <c r="G1523" s="26" t="n">
        <v>46168</v>
      </c>
      <c r="H1523" s="6" t="s">
        <v>123</v>
      </c>
      <c r="I1523" s="26" t="n">
        <f aca="false">_xlfn.MINIFS(Transaction!$C$2:$C$8421,Transaction!$B$2:$B$8421,A1523)</f>
        <v>46192</v>
      </c>
      <c r="J1523" s="26" t="n">
        <f aca="false">_xlfn.MAXIFS(Transaction!$C$2:$C$8421,Transaction!$B$2:$B$8421,A1523)</f>
        <v>46192</v>
      </c>
      <c r="K1523" s="6" t="n">
        <f aca="false">COUNTIF(Transaction!$B$2:$B$8421,A1523)</f>
        <v>1</v>
      </c>
      <c r="L1523" s="10" t="n">
        <f aca="false">SUMIF(Transaction!$B$2:$B$8421,A1523,Transaction!$H$2:$H$8421)</f>
        <v>480</v>
      </c>
      <c r="M1523" s="6" t="n">
        <f aca="false">Summary!$B$3-J1523</f>
        <v>74</v>
      </c>
      <c r="N1523" s="6" t="str">
        <f aca="false">IF(K1523&gt;1,"Yes","No")</f>
        <v>No</v>
      </c>
      <c r="O1523" s="6" t="s">
        <v>47</v>
      </c>
    </row>
    <row r="1524" customFormat="false" ht="15" hidden="false" customHeight="false" outlineLevel="0" collapsed="false">
      <c r="A1524" s="6" t="s">
        <v>3157</v>
      </c>
      <c r="B1524" s="6" t="s">
        <v>3158</v>
      </c>
      <c r="C1524" s="6" t="s">
        <v>85</v>
      </c>
      <c r="D1524" s="6" t="n">
        <v>28</v>
      </c>
      <c r="E1524" s="6" t="s">
        <v>95</v>
      </c>
      <c r="F1524" s="6" t="s">
        <v>95</v>
      </c>
      <c r="G1524" s="26" t="n">
        <v>46016</v>
      </c>
      <c r="H1524" s="6" t="s">
        <v>115</v>
      </c>
      <c r="I1524" s="26" t="n">
        <f aca="false">_xlfn.MINIFS(Transaction!$C$2:$C$8421,Transaction!$B$2:$B$8421,A1524)</f>
        <v>46023</v>
      </c>
      <c r="J1524" s="26" t="n">
        <f aca="false">_xlfn.MAXIFS(Transaction!$C$2:$C$8421,Transaction!$B$2:$B$8421,A1524)</f>
        <v>46257</v>
      </c>
      <c r="K1524" s="6" t="n">
        <f aca="false">COUNTIF(Transaction!$B$2:$B$8421,A1524)</f>
        <v>7</v>
      </c>
      <c r="L1524" s="10" t="n">
        <f aca="false">SUMIF(Transaction!$B$2:$B$8421,A1524,Transaction!$H$2:$H$8421)</f>
        <v>10094</v>
      </c>
      <c r="M1524" s="6" t="n">
        <f aca="false">Summary!$B$3-J1524</f>
        <v>9</v>
      </c>
      <c r="N1524" s="6" t="str">
        <f aca="false">IF(K1524&gt;1,"Yes","No")</f>
        <v>Yes</v>
      </c>
      <c r="O1524" s="6" t="s">
        <v>45</v>
      </c>
    </row>
    <row r="1525" customFormat="false" ht="15" hidden="false" customHeight="false" outlineLevel="0" collapsed="false">
      <c r="A1525" s="6" t="s">
        <v>3159</v>
      </c>
      <c r="B1525" s="6" t="s">
        <v>3160</v>
      </c>
      <c r="C1525" s="6" t="s">
        <v>85</v>
      </c>
      <c r="D1525" s="6" t="n">
        <v>34</v>
      </c>
      <c r="E1525" s="6" t="s">
        <v>95</v>
      </c>
      <c r="F1525" s="6" t="s">
        <v>95</v>
      </c>
      <c r="G1525" s="26" t="n">
        <v>45994</v>
      </c>
      <c r="H1525" s="6" t="s">
        <v>115</v>
      </c>
      <c r="I1525" s="26" t="n">
        <f aca="false">_xlfn.MINIFS(Transaction!$C$2:$C$8421,Transaction!$B$2:$B$8421,A1525)</f>
        <v>46048</v>
      </c>
      <c r="J1525" s="26" t="n">
        <f aca="false">_xlfn.MAXIFS(Transaction!$C$2:$C$8421,Transaction!$B$2:$B$8421,A1525)</f>
        <v>46048</v>
      </c>
      <c r="K1525" s="6" t="n">
        <f aca="false">COUNTIF(Transaction!$B$2:$B$8421,A1525)</f>
        <v>1</v>
      </c>
      <c r="L1525" s="10" t="n">
        <f aca="false">SUMIF(Transaction!$B$2:$B$8421,A1525,Transaction!$H$2:$H$8421)</f>
        <v>3196</v>
      </c>
      <c r="M1525" s="6" t="n">
        <f aca="false">Summary!$B$3-J1525</f>
        <v>218</v>
      </c>
      <c r="N1525" s="6" t="str">
        <f aca="false">IF(K1525&gt;1,"Yes","No")</f>
        <v>No</v>
      </c>
      <c r="O1525" s="6" t="s">
        <v>49</v>
      </c>
    </row>
    <row r="1526" customFormat="false" ht="15" hidden="false" customHeight="false" outlineLevel="0" collapsed="false">
      <c r="A1526" s="6" t="s">
        <v>3161</v>
      </c>
      <c r="B1526" s="6" t="s">
        <v>3162</v>
      </c>
      <c r="C1526" s="6" t="s">
        <v>85</v>
      </c>
      <c r="D1526" s="6" t="n">
        <v>24</v>
      </c>
      <c r="E1526" s="6" t="s">
        <v>76</v>
      </c>
      <c r="F1526" s="6" t="s">
        <v>77</v>
      </c>
      <c r="G1526" s="26" t="n">
        <v>46050</v>
      </c>
      <c r="H1526" s="6" t="s">
        <v>115</v>
      </c>
      <c r="I1526" s="26" t="n">
        <f aca="false">_xlfn.MINIFS(Transaction!$C$2:$C$8421,Transaction!$B$2:$B$8421,A1526)</f>
        <v>46073</v>
      </c>
      <c r="J1526" s="26" t="n">
        <f aca="false">_xlfn.MAXIFS(Transaction!$C$2:$C$8421,Transaction!$B$2:$B$8421,A1526)</f>
        <v>46191</v>
      </c>
      <c r="K1526" s="6" t="n">
        <f aca="false">COUNTIF(Transaction!$B$2:$B$8421,A1526)</f>
        <v>3</v>
      </c>
      <c r="L1526" s="10" t="n">
        <f aca="false">SUMIF(Transaction!$B$2:$B$8421,A1526,Transaction!$H$2:$H$8421)</f>
        <v>6490</v>
      </c>
      <c r="M1526" s="6" t="n">
        <f aca="false">Summary!$B$3-J1526</f>
        <v>75</v>
      </c>
      <c r="N1526" s="6" t="str">
        <f aca="false">IF(K1526&gt;1,"Yes","No")</f>
        <v>Yes</v>
      </c>
      <c r="O1526" s="6" t="s">
        <v>46</v>
      </c>
    </row>
    <row r="1527" customFormat="false" ht="15" hidden="false" customHeight="false" outlineLevel="0" collapsed="false">
      <c r="A1527" s="6" t="s">
        <v>3163</v>
      </c>
      <c r="B1527" s="6" t="s">
        <v>3164</v>
      </c>
      <c r="C1527" s="6" t="s">
        <v>75</v>
      </c>
      <c r="D1527" s="6" t="n">
        <v>33</v>
      </c>
      <c r="E1527" s="6" t="s">
        <v>134</v>
      </c>
      <c r="F1527" s="6" t="s">
        <v>135</v>
      </c>
      <c r="G1527" s="26" t="n">
        <v>46030</v>
      </c>
      <c r="H1527" s="6" t="s">
        <v>115</v>
      </c>
      <c r="I1527" s="26" t="n">
        <f aca="false">_xlfn.MINIFS(Transaction!$C$2:$C$8421,Transaction!$B$2:$B$8421,A1527)</f>
        <v>46065</v>
      </c>
      <c r="J1527" s="26" t="n">
        <f aca="false">_xlfn.MAXIFS(Transaction!$C$2:$C$8421,Transaction!$B$2:$B$8421,A1527)</f>
        <v>46250</v>
      </c>
      <c r="K1527" s="6" t="n">
        <f aca="false">COUNTIF(Transaction!$B$2:$B$8421,A1527)</f>
        <v>6</v>
      </c>
      <c r="L1527" s="10" t="n">
        <f aca="false">SUMIF(Transaction!$B$2:$B$8421,A1527,Transaction!$H$2:$H$8421)</f>
        <v>13557</v>
      </c>
      <c r="M1527" s="6" t="n">
        <f aca="false">Summary!$B$3-J1527</f>
        <v>16</v>
      </c>
      <c r="N1527" s="6" t="str">
        <f aca="false">IF(K1527&gt;1,"Yes","No")</f>
        <v>Yes</v>
      </c>
      <c r="O1527" s="6" t="s">
        <v>45</v>
      </c>
    </row>
    <row r="1528" customFormat="false" ht="15" hidden="false" customHeight="false" outlineLevel="0" collapsed="false">
      <c r="A1528" s="6" t="s">
        <v>3165</v>
      </c>
      <c r="B1528" s="6" t="s">
        <v>3166</v>
      </c>
      <c r="C1528" s="6" t="s">
        <v>85</v>
      </c>
      <c r="D1528" s="6" t="n">
        <v>22</v>
      </c>
      <c r="E1528" s="6" t="s">
        <v>118</v>
      </c>
      <c r="F1528" s="6" t="s">
        <v>77</v>
      </c>
      <c r="G1528" s="26" t="n">
        <v>45973</v>
      </c>
      <c r="H1528" s="6" t="s">
        <v>78</v>
      </c>
      <c r="I1528" s="26" t="n">
        <f aca="false">_xlfn.MINIFS(Transaction!$C$2:$C$8421,Transaction!$B$2:$B$8421,A1528)</f>
        <v>46024</v>
      </c>
      <c r="J1528" s="26" t="n">
        <f aca="false">_xlfn.MAXIFS(Transaction!$C$2:$C$8421,Transaction!$B$2:$B$8421,A1528)</f>
        <v>46024</v>
      </c>
      <c r="K1528" s="6" t="n">
        <f aca="false">COUNTIF(Transaction!$B$2:$B$8421,A1528)</f>
        <v>1</v>
      </c>
      <c r="L1528" s="10" t="n">
        <f aca="false">SUMIF(Transaction!$B$2:$B$8421,A1528,Transaction!$H$2:$H$8421)</f>
        <v>2202</v>
      </c>
      <c r="M1528" s="6" t="n">
        <f aca="false">Summary!$B$3-J1528</f>
        <v>242</v>
      </c>
      <c r="N1528" s="6" t="str">
        <f aca="false">IF(K1528&gt;1,"Yes","No")</f>
        <v>No</v>
      </c>
      <c r="O1528" s="6" t="s">
        <v>49</v>
      </c>
    </row>
    <row r="1529" customFormat="false" ht="15" hidden="false" customHeight="false" outlineLevel="0" collapsed="false">
      <c r="A1529" s="6" t="s">
        <v>3167</v>
      </c>
      <c r="B1529" s="6" t="s">
        <v>3168</v>
      </c>
      <c r="C1529" s="6" t="s">
        <v>85</v>
      </c>
      <c r="D1529" s="6" t="n">
        <v>33</v>
      </c>
      <c r="E1529" s="6" t="s">
        <v>91</v>
      </c>
      <c r="F1529" s="6" t="s">
        <v>77</v>
      </c>
      <c r="G1529" s="26" t="n">
        <v>46123</v>
      </c>
      <c r="H1529" s="6" t="s">
        <v>102</v>
      </c>
      <c r="I1529" s="26" t="n">
        <f aca="false">_xlfn.MINIFS(Transaction!$C$2:$C$8421,Transaction!$B$2:$B$8421,A1529)</f>
        <v>46127</v>
      </c>
      <c r="J1529" s="26" t="n">
        <f aca="false">_xlfn.MAXIFS(Transaction!$C$2:$C$8421,Transaction!$B$2:$B$8421,A1529)</f>
        <v>46127</v>
      </c>
      <c r="K1529" s="6" t="n">
        <f aca="false">COUNTIF(Transaction!$B$2:$B$8421,A1529)</f>
        <v>1</v>
      </c>
      <c r="L1529" s="10" t="n">
        <f aca="false">SUMIF(Transaction!$B$2:$B$8421,A1529,Transaction!$H$2:$H$8421)</f>
        <v>195</v>
      </c>
      <c r="M1529" s="6" t="n">
        <f aca="false">Summary!$B$3-J1529</f>
        <v>139</v>
      </c>
      <c r="N1529" s="6" t="str">
        <f aca="false">IF(K1529&gt;1,"Yes","No")</f>
        <v>No</v>
      </c>
      <c r="O1529" s="6" t="s">
        <v>48</v>
      </c>
    </row>
    <row r="1530" customFormat="false" ht="15" hidden="false" customHeight="false" outlineLevel="0" collapsed="false">
      <c r="A1530" s="6" t="s">
        <v>3169</v>
      </c>
      <c r="B1530" s="6" t="s">
        <v>3170</v>
      </c>
      <c r="C1530" s="6" t="s">
        <v>85</v>
      </c>
      <c r="D1530" s="6" t="n">
        <v>28</v>
      </c>
      <c r="E1530" s="6" t="s">
        <v>76</v>
      </c>
      <c r="F1530" s="6" t="s">
        <v>77</v>
      </c>
      <c r="G1530" s="26" t="n">
        <v>45972</v>
      </c>
      <c r="H1530" s="6" t="s">
        <v>88</v>
      </c>
      <c r="I1530" s="26" t="n">
        <f aca="false">_xlfn.MINIFS(Transaction!$C$2:$C$8421,Transaction!$B$2:$B$8421,A1530)</f>
        <v>46035</v>
      </c>
      <c r="J1530" s="26" t="n">
        <f aca="false">_xlfn.MAXIFS(Transaction!$C$2:$C$8421,Transaction!$B$2:$B$8421,A1530)</f>
        <v>46250</v>
      </c>
      <c r="K1530" s="6" t="n">
        <f aca="false">COUNTIF(Transaction!$B$2:$B$8421,A1530)</f>
        <v>6</v>
      </c>
      <c r="L1530" s="10" t="n">
        <f aca="false">SUMIF(Transaction!$B$2:$B$8421,A1530,Transaction!$H$2:$H$8421)</f>
        <v>9948</v>
      </c>
      <c r="M1530" s="6" t="n">
        <f aca="false">Summary!$B$3-J1530</f>
        <v>16</v>
      </c>
      <c r="N1530" s="6" t="str">
        <f aca="false">IF(K1530&gt;1,"Yes","No")</f>
        <v>Yes</v>
      </c>
      <c r="O1530" s="6" t="s">
        <v>45</v>
      </c>
    </row>
    <row r="1531" customFormat="false" ht="15" hidden="false" customHeight="false" outlineLevel="0" collapsed="false">
      <c r="A1531" s="6" t="s">
        <v>3171</v>
      </c>
      <c r="B1531" s="6" t="s">
        <v>3172</v>
      </c>
      <c r="C1531" s="6" t="s">
        <v>85</v>
      </c>
      <c r="D1531" s="6" t="n">
        <v>25</v>
      </c>
      <c r="E1531" s="6" t="s">
        <v>86</v>
      </c>
      <c r="F1531" s="6" t="s">
        <v>87</v>
      </c>
      <c r="G1531" s="26" t="n">
        <v>46169</v>
      </c>
      <c r="H1531" s="6" t="s">
        <v>102</v>
      </c>
      <c r="I1531" s="26" t="n">
        <f aca="false">_xlfn.MINIFS(Transaction!$C$2:$C$8421,Transaction!$B$2:$B$8421,A1531)</f>
        <v>46187</v>
      </c>
      <c r="J1531" s="26" t="n">
        <f aca="false">_xlfn.MAXIFS(Transaction!$C$2:$C$8421,Transaction!$B$2:$B$8421,A1531)</f>
        <v>46187</v>
      </c>
      <c r="K1531" s="6" t="n">
        <f aca="false">COUNTIF(Transaction!$B$2:$B$8421,A1531)</f>
        <v>1</v>
      </c>
      <c r="L1531" s="10" t="n">
        <f aca="false">SUMIF(Transaction!$B$2:$B$8421,A1531,Transaction!$H$2:$H$8421)</f>
        <v>2028</v>
      </c>
      <c r="M1531" s="6" t="n">
        <f aca="false">Summary!$B$3-J1531</f>
        <v>79</v>
      </c>
      <c r="N1531" s="6" t="str">
        <f aca="false">IF(K1531&gt;1,"Yes","No")</f>
        <v>No</v>
      </c>
      <c r="O1531" s="6" t="s">
        <v>47</v>
      </c>
    </row>
    <row r="1532" customFormat="false" ht="15" hidden="false" customHeight="false" outlineLevel="0" collapsed="false">
      <c r="A1532" s="6" t="s">
        <v>3173</v>
      </c>
      <c r="B1532" s="6" t="s">
        <v>3174</v>
      </c>
      <c r="C1532" s="6" t="s">
        <v>85</v>
      </c>
      <c r="D1532" s="6" t="n">
        <v>28</v>
      </c>
      <c r="E1532" s="6" t="s">
        <v>126</v>
      </c>
      <c r="F1532" s="6" t="s">
        <v>127</v>
      </c>
      <c r="G1532" s="26" t="n">
        <v>46019</v>
      </c>
      <c r="H1532" s="6" t="s">
        <v>102</v>
      </c>
      <c r="I1532" s="26" t="n">
        <f aca="false">_xlfn.MINIFS(Transaction!$C$2:$C$8421,Transaction!$B$2:$B$8421,A1532)</f>
        <v>46087</v>
      </c>
      <c r="J1532" s="26" t="n">
        <f aca="false">_xlfn.MAXIFS(Transaction!$C$2:$C$8421,Transaction!$B$2:$B$8421,A1532)</f>
        <v>46241</v>
      </c>
      <c r="K1532" s="6" t="n">
        <f aca="false">COUNTIF(Transaction!$B$2:$B$8421,A1532)</f>
        <v>7</v>
      </c>
      <c r="L1532" s="10" t="n">
        <f aca="false">SUMIF(Transaction!$B$2:$B$8421,A1532,Transaction!$H$2:$H$8421)</f>
        <v>6745</v>
      </c>
      <c r="M1532" s="6" t="n">
        <f aca="false">Summary!$B$3-J1532</f>
        <v>25</v>
      </c>
      <c r="N1532" s="6" t="str">
        <f aca="false">IF(K1532&gt;1,"Yes","No")</f>
        <v>Yes</v>
      </c>
      <c r="O1532" s="6" t="s">
        <v>46</v>
      </c>
    </row>
    <row r="1533" customFormat="false" ht="15" hidden="false" customHeight="false" outlineLevel="0" collapsed="false">
      <c r="A1533" s="6" t="s">
        <v>3175</v>
      </c>
      <c r="B1533" s="6" t="s">
        <v>3176</v>
      </c>
      <c r="C1533" s="6" t="s">
        <v>85</v>
      </c>
      <c r="D1533" s="6" t="n">
        <v>37</v>
      </c>
      <c r="E1533" s="6" t="s">
        <v>91</v>
      </c>
      <c r="F1533" s="6" t="s">
        <v>77</v>
      </c>
      <c r="G1533" s="26" t="n">
        <v>46240</v>
      </c>
      <c r="H1533" s="6" t="s">
        <v>123</v>
      </c>
      <c r="I1533" s="26" t="n">
        <f aca="false">_xlfn.MINIFS(Transaction!$C$2:$C$8421,Transaction!$B$2:$B$8421,A1533)</f>
        <v>46265</v>
      </c>
      <c r="J1533" s="26" t="n">
        <f aca="false">_xlfn.MAXIFS(Transaction!$C$2:$C$8421,Transaction!$B$2:$B$8421,A1533)</f>
        <v>46265</v>
      </c>
      <c r="K1533" s="6" t="n">
        <f aca="false">COUNTIF(Transaction!$B$2:$B$8421,A1533)</f>
        <v>1</v>
      </c>
      <c r="L1533" s="10" t="n">
        <f aca="false">SUMIF(Transaction!$B$2:$B$8421,A1533,Transaction!$H$2:$H$8421)</f>
        <v>2039</v>
      </c>
      <c r="M1533" s="6" t="n">
        <f aca="false">Summary!$B$3-J1533</f>
        <v>1</v>
      </c>
      <c r="N1533" s="6" t="str">
        <f aca="false">IF(K1533&gt;1,"Yes","No")</f>
        <v>No</v>
      </c>
      <c r="O1533" s="6" t="s">
        <v>47</v>
      </c>
    </row>
    <row r="1534" customFormat="false" ht="15" hidden="false" customHeight="false" outlineLevel="0" collapsed="false">
      <c r="A1534" s="6" t="s">
        <v>3177</v>
      </c>
      <c r="B1534" s="6" t="s">
        <v>3178</v>
      </c>
      <c r="C1534" s="6" t="s">
        <v>75</v>
      </c>
      <c r="D1534" s="6" t="n">
        <v>20</v>
      </c>
      <c r="E1534" s="6" t="s">
        <v>81</v>
      </c>
      <c r="F1534" s="6" t="s">
        <v>82</v>
      </c>
      <c r="G1534" s="26" t="n">
        <v>46013</v>
      </c>
      <c r="H1534" s="6" t="s">
        <v>92</v>
      </c>
      <c r="I1534" s="26" t="n">
        <f aca="false">_xlfn.MINIFS(Transaction!$C$2:$C$8421,Transaction!$B$2:$B$8421,A1534)</f>
        <v>46033</v>
      </c>
      <c r="J1534" s="26" t="n">
        <f aca="false">_xlfn.MAXIFS(Transaction!$C$2:$C$8421,Transaction!$B$2:$B$8421,A1534)</f>
        <v>46256</v>
      </c>
      <c r="K1534" s="6" t="n">
        <f aca="false">COUNTIF(Transaction!$B$2:$B$8421,A1534)</f>
        <v>13</v>
      </c>
      <c r="L1534" s="10" t="n">
        <f aca="false">SUMIF(Transaction!$B$2:$B$8421,A1534,Transaction!$H$2:$H$8421)</f>
        <v>29811</v>
      </c>
      <c r="M1534" s="6" t="n">
        <f aca="false">Summary!$B$3-J1534</f>
        <v>10</v>
      </c>
      <c r="N1534" s="6" t="str">
        <f aca="false">IF(K1534&gt;1,"Yes","No")</f>
        <v>Yes</v>
      </c>
      <c r="O1534" s="6" t="s">
        <v>45</v>
      </c>
    </row>
    <row r="1535" customFormat="false" ht="15" hidden="false" customHeight="false" outlineLevel="0" collapsed="false">
      <c r="A1535" s="6" t="s">
        <v>3179</v>
      </c>
      <c r="B1535" s="6" t="s">
        <v>3180</v>
      </c>
      <c r="C1535" s="6" t="s">
        <v>85</v>
      </c>
      <c r="D1535" s="6" t="n">
        <v>28</v>
      </c>
      <c r="E1535" s="6" t="s">
        <v>95</v>
      </c>
      <c r="F1535" s="6" t="s">
        <v>95</v>
      </c>
      <c r="G1535" s="26" t="n">
        <v>46071</v>
      </c>
      <c r="H1535" s="6" t="s">
        <v>102</v>
      </c>
      <c r="I1535" s="26" t="n">
        <f aca="false">_xlfn.MINIFS(Transaction!$C$2:$C$8421,Transaction!$B$2:$B$8421,A1535)</f>
        <v>46152</v>
      </c>
      <c r="J1535" s="26" t="n">
        <f aca="false">_xlfn.MAXIFS(Transaction!$C$2:$C$8421,Transaction!$B$2:$B$8421,A1535)</f>
        <v>46152</v>
      </c>
      <c r="K1535" s="6" t="n">
        <f aca="false">COUNTIF(Transaction!$B$2:$B$8421,A1535)</f>
        <v>1</v>
      </c>
      <c r="L1535" s="10" t="n">
        <f aca="false">SUMIF(Transaction!$B$2:$B$8421,A1535,Transaction!$H$2:$H$8421)</f>
        <v>1452</v>
      </c>
      <c r="M1535" s="6" t="n">
        <f aca="false">Summary!$B$3-J1535</f>
        <v>114</v>
      </c>
      <c r="N1535" s="6" t="str">
        <f aca="false">IF(K1535&gt;1,"Yes","No")</f>
        <v>No</v>
      </c>
      <c r="O1535" s="6" t="s">
        <v>48</v>
      </c>
    </row>
    <row r="1536" customFormat="false" ht="15" hidden="false" customHeight="false" outlineLevel="0" collapsed="false">
      <c r="A1536" s="6" t="s">
        <v>3181</v>
      </c>
      <c r="B1536" s="6" t="s">
        <v>3182</v>
      </c>
      <c r="C1536" s="6" t="s">
        <v>85</v>
      </c>
      <c r="D1536" s="6" t="n">
        <v>18</v>
      </c>
      <c r="E1536" s="6" t="s">
        <v>91</v>
      </c>
      <c r="F1536" s="6" t="s">
        <v>77</v>
      </c>
      <c r="G1536" s="26" t="n">
        <v>46019</v>
      </c>
      <c r="H1536" s="6" t="s">
        <v>92</v>
      </c>
      <c r="I1536" s="26" t="n">
        <f aca="false">_xlfn.MINIFS(Transaction!$C$2:$C$8421,Transaction!$B$2:$B$8421,A1536)</f>
        <v>46076</v>
      </c>
      <c r="J1536" s="26" t="n">
        <f aca="false">_xlfn.MAXIFS(Transaction!$C$2:$C$8421,Transaction!$B$2:$B$8421,A1536)</f>
        <v>46258</v>
      </c>
      <c r="K1536" s="6" t="n">
        <f aca="false">COUNTIF(Transaction!$B$2:$B$8421,A1536)</f>
        <v>8</v>
      </c>
      <c r="L1536" s="10" t="n">
        <f aca="false">SUMIF(Transaction!$B$2:$B$8421,A1536,Transaction!$H$2:$H$8421)</f>
        <v>10350</v>
      </c>
      <c r="M1536" s="6" t="n">
        <f aca="false">Summary!$B$3-J1536</f>
        <v>8</v>
      </c>
      <c r="N1536" s="6" t="str">
        <f aca="false">IF(K1536&gt;1,"Yes","No")</f>
        <v>Yes</v>
      </c>
      <c r="O1536" s="6" t="s">
        <v>45</v>
      </c>
    </row>
    <row r="1537" customFormat="false" ht="15" hidden="false" customHeight="false" outlineLevel="0" collapsed="false">
      <c r="A1537" s="6" t="s">
        <v>3183</v>
      </c>
      <c r="B1537" s="6" t="s">
        <v>3184</v>
      </c>
      <c r="C1537" s="6" t="s">
        <v>75</v>
      </c>
      <c r="D1537" s="6" t="n">
        <v>47</v>
      </c>
      <c r="E1537" s="6" t="s">
        <v>76</v>
      </c>
      <c r="F1537" s="6" t="s">
        <v>77</v>
      </c>
      <c r="G1537" s="26" t="n">
        <v>46168</v>
      </c>
      <c r="H1537" s="6" t="s">
        <v>102</v>
      </c>
      <c r="I1537" s="26" t="n">
        <f aca="false">_xlfn.MINIFS(Transaction!$C$2:$C$8421,Transaction!$B$2:$B$8421,A1537)</f>
        <v>46229</v>
      </c>
      <c r="J1537" s="26" t="n">
        <f aca="false">_xlfn.MAXIFS(Transaction!$C$2:$C$8421,Transaction!$B$2:$B$8421,A1537)</f>
        <v>46229</v>
      </c>
      <c r="K1537" s="6" t="n">
        <f aca="false">COUNTIF(Transaction!$B$2:$B$8421,A1537)</f>
        <v>1</v>
      </c>
      <c r="L1537" s="10" t="n">
        <f aca="false">SUMIF(Transaction!$B$2:$B$8421,A1537,Transaction!$H$2:$H$8421)</f>
        <v>1954</v>
      </c>
      <c r="M1537" s="6" t="n">
        <f aca="false">Summary!$B$3-J1537</f>
        <v>37</v>
      </c>
      <c r="N1537" s="6" t="str">
        <f aca="false">IF(K1537&gt;1,"Yes","No")</f>
        <v>No</v>
      </c>
      <c r="O1537" s="6" t="s">
        <v>47</v>
      </c>
    </row>
    <row r="1538" customFormat="false" ht="15" hidden="false" customHeight="false" outlineLevel="0" collapsed="false">
      <c r="A1538" s="6" t="s">
        <v>3185</v>
      </c>
      <c r="B1538" s="6" t="s">
        <v>3186</v>
      </c>
      <c r="C1538" s="6" t="s">
        <v>85</v>
      </c>
      <c r="D1538" s="6" t="n">
        <v>42</v>
      </c>
      <c r="E1538" s="6" t="s">
        <v>76</v>
      </c>
      <c r="F1538" s="6" t="s">
        <v>77</v>
      </c>
      <c r="G1538" s="26" t="n">
        <v>46158</v>
      </c>
      <c r="H1538" s="6" t="s">
        <v>78</v>
      </c>
      <c r="I1538" s="26" t="n">
        <f aca="false">_xlfn.MINIFS(Transaction!$C$2:$C$8421,Transaction!$B$2:$B$8421,A1538)</f>
        <v>46178</v>
      </c>
      <c r="J1538" s="26" t="n">
        <f aca="false">_xlfn.MAXIFS(Transaction!$C$2:$C$8421,Transaction!$B$2:$B$8421,A1538)</f>
        <v>46178</v>
      </c>
      <c r="K1538" s="6" t="n">
        <f aca="false">COUNTIF(Transaction!$B$2:$B$8421,A1538)</f>
        <v>1</v>
      </c>
      <c r="L1538" s="10" t="n">
        <f aca="false">SUMIF(Transaction!$B$2:$B$8421,A1538,Transaction!$H$2:$H$8421)</f>
        <v>4752</v>
      </c>
      <c r="M1538" s="6" t="n">
        <f aca="false">Summary!$B$3-J1538</f>
        <v>88</v>
      </c>
      <c r="N1538" s="6" t="str">
        <f aca="false">IF(K1538&gt;1,"Yes","No")</f>
        <v>No</v>
      </c>
      <c r="O1538" s="6" t="s">
        <v>47</v>
      </c>
    </row>
    <row r="1539" customFormat="false" ht="15" hidden="false" customHeight="false" outlineLevel="0" collapsed="false">
      <c r="A1539" s="6" t="s">
        <v>3187</v>
      </c>
      <c r="B1539" s="6" t="s">
        <v>3188</v>
      </c>
      <c r="C1539" s="6" t="s">
        <v>85</v>
      </c>
      <c r="D1539" s="6" t="n">
        <v>38</v>
      </c>
      <c r="E1539" s="6" t="s">
        <v>81</v>
      </c>
      <c r="F1539" s="6" t="s">
        <v>82</v>
      </c>
      <c r="G1539" s="26" t="n">
        <v>46043</v>
      </c>
      <c r="H1539" s="6" t="s">
        <v>102</v>
      </c>
      <c r="I1539" s="26" t="n">
        <f aca="false">_xlfn.MINIFS(Transaction!$C$2:$C$8421,Transaction!$B$2:$B$8421,A1539)</f>
        <v>46087</v>
      </c>
      <c r="J1539" s="26" t="n">
        <f aca="false">_xlfn.MAXIFS(Transaction!$C$2:$C$8421,Transaction!$B$2:$B$8421,A1539)</f>
        <v>46242</v>
      </c>
      <c r="K1539" s="6" t="n">
        <f aca="false">COUNTIF(Transaction!$B$2:$B$8421,A1539)</f>
        <v>7</v>
      </c>
      <c r="L1539" s="10" t="n">
        <f aca="false">SUMIF(Transaction!$B$2:$B$8421,A1539,Transaction!$H$2:$H$8421)</f>
        <v>9796</v>
      </c>
      <c r="M1539" s="6" t="n">
        <f aca="false">Summary!$B$3-J1539</f>
        <v>24</v>
      </c>
      <c r="N1539" s="6" t="str">
        <f aca="false">IF(K1539&gt;1,"Yes","No")</f>
        <v>Yes</v>
      </c>
      <c r="O1539" s="6" t="s">
        <v>45</v>
      </c>
    </row>
    <row r="1540" customFormat="false" ht="15" hidden="false" customHeight="false" outlineLevel="0" collapsed="false">
      <c r="A1540" s="6" t="s">
        <v>3189</v>
      </c>
      <c r="B1540" s="6" t="s">
        <v>3190</v>
      </c>
      <c r="C1540" s="6" t="s">
        <v>75</v>
      </c>
      <c r="D1540" s="6" t="n">
        <v>36</v>
      </c>
      <c r="E1540" s="6" t="s">
        <v>81</v>
      </c>
      <c r="F1540" s="6" t="s">
        <v>82</v>
      </c>
      <c r="G1540" s="26" t="n">
        <v>45948</v>
      </c>
      <c r="H1540" s="6" t="s">
        <v>115</v>
      </c>
      <c r="I1540" s="26" t="n">
        <f aca="false">_xlfn.MINIFS(Transaction!$C$2:$C$8421,Transaction!$B$2:$B$8421,A1540)</f>
        <v>46030</v>
      </c>
      <c r="J1540" s="26" t="n">
        <f aca="false">_xlfn.MAXIFS(Transaction!$C$2:$C$8421,Transaction!$B$2:$B$8421,A1540)</f>
        <v>46248</v>
      </c>
      <c r="K1540" s="6" t="n">
        <f aca="false">COUNTIF(Transaction!$B$2:$B$8421,A1540)</f>
        <v>7</v>
      </c>
      <c r="L1540" s="10" t="n">
        <f aca="false">SUMIF(Transaction!$B$2:$B$8421,A1540,Transaction!$H$2:$H$8421)</f>
        <v>10263</v>
      </c>
      <c r="M1540" s="6" t="n">
        <f aca="false">Summary!$B$3-J1540</f>
        <v>18</v>
      </c>
      <c r="N1540" s="6" t="str">
        <f aca="false">IF(K1540&gt;1,"Yes","No")</f>
        <v>Yes</v>
      </c>
      <c r="O1540" s="6" t="s">
        <v>45</v>
      </c>
    </row>
    <row r="1541" customFormat="false" ht="15" hidden="false" customHeight="false" outlineLevel="0" collapsed="false">
      <c r="A1541" s="6" t="s">
        <v>3191</v>
      </c>
      <c r="B1541" s="6" t="s">
        <v>3192</v>
      </c>
      <c r="C1541" s="6" t="s">
        <v>85</v>
      </c>
      <c r="D1541" s="6" t="n">
        <v>31</v>
      </c>
      <c r="E1541" s="6" t="s">
        <v>206</v>
      </c>
      <c r="F1541" s="6" t="s">
        <v>106</v>
      </c>
      <c r="G1541" s="26" t="n">
        <v>46212</v>
      </c>
      <c r="H1541" s="6" t="s">
        <v>115</v>
      </c>
      <c r="I1541" s="26" t="n">
        <f aca="false">_xlfn.MINIFS(Transaction!$C$2:$C$8421,Transaction!$B$2:$B$8421,A1541)</f>
        <v>46217</v>
      </c>
      <c r="J1541" s="26" t="n">
        <f aca="false">_xlfn.MAXIFS(Transaction!$C$2:$C$8421,Transaction!$B$2:$B$8421,A1541)</f>
        <v>46217</v>
      </c>
      <c r="K1541" s="6" t="n">
        <f aca="false">COUNTIF(Transaction!$B$2:$B$8421,A1541)</f>
        <v>1</v>
      </c>
      <c r="L1541" s="10" t="n">
        <f aca="false">SUMIF(Transaction!$B$2:$B$8421,A1541,Transaction!$H$2:$H$8421)</f>
        <v>1954</v>
      </c>
      <c r="M1541" s="6" t="n">
        <f aca="false">Summary!$B$3-J1541</f>
        <v>49</v>
      </c>
      <c r="N1541" s="6" t="str">
        <f aca="false">IF(K1541&gt;1,"Yes","No")</f>
        <v>No</v>
      </c>
      <c r="O1541" s="6" t="s">
        <v>47</v>
      </c>
    </row>
    <row r="1542" customFormat="false" ht="15" hidden="false" customHeight="false" outlineLevel="0" collapsed="false">
      <c r="A1542" s="6" t="s">
        <v>3193</v>
      </c>
      <c r="B1542" s="6" t="s">
        <v>3194</v>
      </c>
      <c r="C1542" s="6" t="s">
        <v>85</v>
      </c>
      <c r="D1542" s="6" t="n">
        <v>44</v>
      </c>
      <c r="E1542" s="6" t="s">
        <v>91</v>
      </c>
      <c r="F1542" s="6" t="s">
        <v>77</v>
      </c>
      <c r="G1542" s="26" t="n">
        <v>46147</v>
      </c>
      <c r="H1542" s="6" t="s">
        <v>78</v>
      </c>
      <c r="I1542" s="26" t="n">
        <f aca="false">_xlfn.MINIFS(Transaction!$C$2:$C$8421,Transaction!$B$2:$B$8421,A1542)</f>
        <v>46220</v>
      </c>
      <c r="J1542" s="26" t="n">
        <f aca="false">_xlfn.MAXIFS(Transaction!$C$2:$C$8421,Transaction!$B$2:$B$8421,A1542)</f>
        <v>46220</v>
      </c>
      <c r="K1542" s="6" t="n">
        <f aca="false">COUNTIF(Transaction!$B$2:$B$8421,A1542)</f>
        <v>1</v>
      </c>
      <c r="L1542" s="10" t="n">
        <f aca="false">SUMIF(Transaction!$B$2:$B$8421,A1542,Transaction!$H$2:$H$8421)</f>
        <v>2736</v>
      </c>
      <c r="M1542" s="6" t="n">
        <f aca="false">Summary!$B$3-J1542</f>
        <v>46</v>
      </c>
      <c r="N1542" s="6" t="str">
        <f aca="false">IF(K1542&gt;1,"Yes","No")</f>
        <v>No</v>
      </c>
      <c r="O1542" s="6" t="s">
        <v>47</v>
      </c>
    </row>
    <row r="1543" customFormat="false" ht="15" hidden="false" customHeight="false" outlineLevel="0" collapsed="false">
      <c r="A1543" s="6" t="s">
        <v>3195</v>
      </c>
      <c r="B1543" s="6" t="s">
        <v>3196</v>
      </c>
      <c r="C1543" s="6" t="s">
        <v>75</v>
      </c>
      <c r="D1543" s="6" t="n">
        <v>29</v>
      </c>
      <c r="E1543" s="6" t="s">
        <v>81</v>
      </c>
      <c r="F1543" s="6" t="s">
        <v>82</v>
      </c>
      <c r="G1543" s="26" t="n">
        <v>45995</v>
      </c>
      <c r="H1543" s="6" t="s">
        <v>88</v>
      </c>
      <c r="I1543" s="26" t="n">
        <f aca="false">_xlfn.MINIFS(Transaction!$C$2:$C$8421,Transaction!$B$2:$B$8421,A1543)</f>
        <v>46072</v>
      </c>
      <c r="J1543" s="26" t="n">
        <f aca="false">_xlfn.MAXIFS(Transaction!$C$2:$C$8421,Transaction!$B$2:$B$8421,A1543)</f>
        <v>46249</v>
      </c>
      <c r="K1543" s="6" t="n">
        <f aca="false">COUNTIF(Transaction!$B$2:$B$8421,A1543)</f>
        <v>8</v>
      </c>
      <c r="L1543" s="10" t="n">
        <f aca="false">SUMIF(Transaction!$B$2:$B$8421,A1543,Transaction!$H$2:$H$8421)</f>
        <v>13309</v>
      </c>
      <c r="M1543" s="6" t="n">
        <f aca="false">Summary!$B$3-J1543</f>
        <v>17</v>
      </c>
      <c r="N1543" s="6" t="str">
        <f aca="false">IF(K1543&gt;1,"Yes","No")</f>
        <v>Yes</v>
      </c>
      <c r="O1543" s="6" t="s">
        <v>45</v>
      </c>
    </row>
    <row r="1544" customFormat="false" ht="15" hidden="false" customHeight="false" outlineLevel="0" collapsed="false">
      <c r="A1544" s="6" t="s">
        <v>3197</v>
      </c>
      <c r="B1544" s="6" t="s">
        <v>3198</v>
      </c>
      <c r="C1544" s="6" t="s">
        <v>75</v>
      </c>
      <c r="D1544" s="6" t="n">
        <v>28</v>
      </c>
      <c r="E1544" s="6" t="s">
        <v>430</v>
      </c>
      <c r="F1544" s="6" t="s">
        <v>99</v>
      </c>
      <c r="G1544" s="26" t="n">
        <v>46013</v>
      </c>
      <c r="H1544" s="6" t="s">
        <v>102</v>
      </c>
      <c r="I1544" s="26" t="n">
        <f aca="false">_xlfn.MINIFS(Transaction!$C$2:$C$8421,Transaction!$B$2:$B$8421,A1544)</f>
        <v>46027</v>
      </c>
      <c r="J1544" s="26" t="n">
        <f aca="false">_xlfn.MAXIFS(Transaction!$C$2:$C$8421,Transaction!$B$2:$B$8421,A1544)</f>
        <v>46263</v>
      </c>
      <c r="K1544" s="6" t="n">
        <f aca="false">COUNTIF(Transaction!$B$2:$B$8421,A1544)</f>
        <v>10</v>
      </c>
      <c r="L1544" s="10" t="n">
        <f aca="false">SUMIF(Transaction!$B$2:$B$8421,A1544,Transaction!$H$2:$H$8421)</f>
        <v>25528</v>
      </c>
      <c r="M1544" s="6" t="n">
        <f aca="false">Summary!$B$3-J1544</f>
        <v>3</v>
      </c>
      <c r="N1544" s="6" t="str">
        <f aca="false">IF(K1544&gt;1,"Yes","No")</f>
        <v>Yes</v>
      </c>
      <c r="O1544" s="6" t="s">
        <v>45</v>
      </c>
    </row>
    <row r="1545" customFormat="false" ht="15" hidden="false" customHeight="false" outlineLevel="0" collapsed="false">
      <c r="A1545" s="6" t="s">
        <v>3199</v>
      </c>
      <c r="B1545" s="6" t="s">
        <v>3200</v>
      </c>
      <c r="C1545" s="6" t="s">
        <v>85</v>
      </c>
      <c r="D1545" s="6" t="n">
        <v>28</v>
      </c>
      <c r="E1545" s="6" t="s">
        <v>180</v>
      </c>
      <c r="F1545" s="6" t="s">
        <v>181</v>
      </c>
      <c r="G1545" s="26" t="n">
        <v>46015</v>
      </c>
      <c r="H1545" s="6" t="s">
        <v>78</v>
      </c>
      <c r="I1545" s="26" t="n">
        <f aca="false">_xlfn.MINIFS(Transaction!$C$2:$C$8421,Transaction!$B$2:$B$8421,A1545)</f>
        <v>46030</v>
      </c>
      <c r="J1545" s="26" t="n">
        <f aca="false">_xlfn.MAXIFS(Transaction!$C$2:$C$8421,Transaction!$B$2:$B$8421,A1545)</f>
        <v>46265</v>
      </c>
      <c r="K1545" s="6" t="n">
        <f aca="false">COUNTIF(Transaction!$B$2:$B$8421,A1545)</f>
        <v>11</v>
      </c>
      <c r="L1545" s="10" t="n">
        <f aca="false">SUMIF(Transaction!$B$2:$B$8421,A1545,Transaction!$H$2:$H$8421)</f>
        <v>31798</v>
      </c>
      <c r="M1545" s="6" t="n">
        <f aca="false">Summary!$B$3-J1545</f>
        <v>1</v>
      </c>
      <c r="N1545" s="6" t="str">
        <f aca="false">IF(K1545&gt;1,"Yes","No")</f>
        <v>Yes</v>
      </c>
      <c r="O1545" s="6" t="s">
        <v>45</v>
      </c>
    </row>
    <row r="1546" customFormat="false" ht="15" hidden="false" customHeight="false" outlineLevel="0" collapsed="false">
      <c r="A1546" s="6" t="s">
        <v>3201</v>
      </c>
      <c r="B1546" s="6" t="s">
        <v>3202</v>
      </c>
      <c r="C1546" s="6" t="s">
        <v>85</v>
      </c>
      <c r="D1546" s="6" t="n">
        <v>43</v>
      </c>
      <c r="E1546" s="6" t="s">
        <v>206</v>
      </c>
      <c r="F1546" s="6" t="s">
        <v>106</v>
      </c>
      <c r="G1546" s="26" t="n">
        <v>46000</v>
      </c>
      <c r="H1546" s="6" t="s">
        <v>78</v>
      </c>
      <c r="I1546" s="26" t="n">
        <f aca="false">_xlfn.MINIFS(Transaction!$C$2:$C$8421,Transaction!$B$2:$B$8421,A1546)</f>
        <v>46068</v>
      </c>
      <c r="J1546" s="26" t="n">
        <f aca="false">_xlfn.MAXIFS(Transaction!$C$2:$C$8421,Transaction!$B$2:$B$8421,A1546)</f>
        <v>46208</v>
      </c>
      <c r="K1546" s="6" t="n">
        <f aca="false">COUNTIF(Transaction!$B$2:$B$8421,A1546)</f>
        <v>4</v>
      </c>
      <c r="L1546" s="10" t="n">
        <f aca="false">SUMIF(Transaction!$B$2:$B$8421,A1546,Transaction!$H$2:$H$8421)</f>
        <v>6975</v>
      </c>
      <c r="M1546" s="6" t="n">
        <f aca="false">Summary!$B$3-J1546</f>
        <v>58</v>
      </c>
      <c r="N1546" s="6" t="str">
        <f aca="false">IF(K1546&gt;1,"Yes","No")</f>
        <v>Yes</v>
      </c>
      <c r="O1546" s="6" t="s">
        <v>46</v>
      </c>
    </row>
    <row r="1547" customFormat="false" ht="15" hidden="false" customHeight="false" outlineLevel="0" collapsed="false">
      <c r="A1547" s="6" t="s">
        <v>3203</v>
      </c>
      <c r="B1547" s="6" t="s">
        <v>3204</v>
      </c>
      <c r="C1547" s="6" t="s">
        <v>75</v>
      </c>
      <c r="D1547" s="6" t="n">
        <v>34</v>
      </c>
      <c r="E1547" s="6" t="s">
        <v>176</v>
      </c>
      <c r="F1547" s="6" t="s">
        <v>177</v>
      </c>
      <c r="G1547" s="26" t="n">
        <v>46109</v>
      </c>
      <c r="H1547" s="6" t="s">
        <v>92</v>
      </c>
      <c r="I1547" s="26" t="n">
        <f aca="false">_xlfn.MINIFS(Transaction!$C$2:$C$8421,Transaction!$B$2:$B$8421,A1547)</f>
        <v>46193</v>
      </c>
      <c r="J1547" s="26" t="n">
        <f aca="false">_xlfn.MAXIFS(Transaction!$C$2:$C$8421,Transaction!$B$2:$B$8421,A1547)</f>
        <v>46193</v>
      </c>
      <c r="K1547" s="6" t="n">
        <f aca="false">COUNTIF(Transaction!$B$2:$B$8421,A1547)</f>
        <v>1</v>
      </c>
      <c r="L1547" s="10" t="n">
        <f aca="false">SUMIF(Transaction!$B$2:$B$8421,A1547,Transaction!$H$2:$H$8421)</f>
        <v>342</v>
      </c>
      <c r="M1547" s="6" t="n">
        <f aca="false">Summary!$B$3-J1547</f>
        <v>73</v>
      </c>
      <c r="N1547" s="6" t="str">
        <f aca="false">IF(K1547&gt;1,"Yes","No")</f>
        <v>No</v>
      </c>
      <c r="O1547" s="6" t="s">
        <v>47</v>
      </c>
    </row>
    <row r="1548" customFormat="false" ht="15" hidden="false" customHeight="false" outlineLevel="0" collapsed="false">
      <c r="A1548" s="6" t="s">
        <v>3205</v>
      </c>
      <c r="B1548" s="6" t="s">
        <v>3206</v>
      </c>
      <c r="C1548" s="6" t="s">
        <v>85</v>
      </c>
      <c r="D1548" s="6" t="n">
        <v>40</v>
      </c>
      <c r="E1548" s="6" t="s">
        <v>76</v>
      </c>
      <c r="F1548" s="6" t="s">
        <v>77</v>
      </c>
      <c r="G1548" s="26" t="n">
        <v>46032</v>
      </c>
      <c r="H1548" s="6" t="s">
        <v>115</v>
      </c>
      <c r="I1548" s="26" t="n">
        <f aca="false">_xlfn.MINIFS(Transaction!$C$2:$C$8421,Transaction!$B$2:$B$8421,A1548)</f>
        <v>46054</v>
      </c>
      <c r="J1548" s="26" t="n">
        <f aca="false">_xlfn.MAXIFS(Transaction!$C$2:$C$8421,Transaction!$B$2:$B$8421,A1548)</f>
        <v>46054</v>
      </c>
      <c r="K1548" s="6" t="n">
        <f aca="false">COUNTIF(Transaction!$B$2:$B$8421,A1548)</f>
        <v>1</v>
      </c>
      <c r="L1548" s="10" t="n">
        <f aca="false">SUMIF(Transaction!$B$2:$B$8421,A1548,Transaction!$H$2:$H$8421)</f>
        <v>1674</v>
      </c>
      <c r="M1548" s="6" t="n">
        <f aca="false">Summary!$B$3-J1548</f>
        <v>212</v>
      </c>
      <c r="N1548" s="6" t="str">
        <f aca="false">IF(K1548&gt;1,"Yes","No")</f>
        <v>No</v>
      </c>
      <c r="O1548" s="6" t="s">
        <v>49</v>
      </c>
    </row>
    <row r="1549" customFormat="false" ht="15" hidden="false" customHeight="false" outlineLevel="0" collapsed="false">
      <c r="A1549" s="6" t="s">
        <v>3207</v>
      </c>
      <c r="B1549" s="6" t="s">
        <v>3208</v>
      </c>
      <c r="C1549" s="6" t="s">
        <v>85</v>
      </c>
      <c r="D1549" s="6" t="n">
        <v>37</v>
      </c>
      <c r="E1549" s="6" t="s">
        <v>121</v>
      </c>
      <c r="F1549" s="6" t="s">
        <v>122</v>
      </c>
      <c r="G1549" s="26" t="n">
        <v>45985</v>
      </c>
      <c r="H1549" s="6" t="s">
        <v>115</v>
      </c>
      <c r="I1549" s="26" t="n">
        <f aca="false">_xlfn.MINIFS(Transaction!$C$2:$C$8421,Transaction!$B$2:$B$8421,A1549)</f>
        <v>46034</v>
      </c>
      <c r="J1549" s="26" t="n">
        <f aca="false">_xlfn.MAXIFS(Transaction!$C$2:$C$8421,Transaction!$B$2:$B$8421,A1549)</f>
        <v>46256</v>
      </c>
      <c r="K1549" s="6" t="n">
        <f aca="false">COUNTIF(Transaction!$B$2:$B$8421,A1549)</f>
        <v>9</v>
      </c>
      <c r="L1549" s="10" t="n">
        <f aca="false">SUMIF(Transaction!$B$2:$B$8421,A1549,Transaction!$H$2:$H$8421)</f>
        <v>10190</v>
      </c>
      <c r="M1549" s="6" t="n">
        <f aca="false">Summary!$B$3-J1549</f>
        <v>10</v>
      </c>
      <c r="N1549" s="6" t="str">
        <f aca="false">IF(K1549&gt;1,"Yes","No")</f>
        <v>Yes</v>
      </c>
      <c r="O1549" s="6" t="s">
        <v>45</v>
      </c>
    </row>
    <row r="1550" customFormat="false" ht="15" hidden="false" customHeight="false" outlineLevel="0" collapsed="false">
      <c r="A1550" s="6" t="s">
        <v>3209</v>
      </c>
      <c r="B1550" s="6" t="s">
        <v>3210</v>
      </c>
      <c r="C1550" s="6" t="s">
        <v>75</v>
      </c>
      <c r="D1550" s="6" t="n">
        <v>52</v>
      </c>
      <c r="E1550" s="6" t="s">
        <v>134</v>
      </c>
      <c r="F1550" s="6" t="s">
        <v>135</v>
      </c>
      <c r="G1550" s="26" t="n">
        <v>46141</v>
      </c>
      <c r="H1550" s="6" t="s">
        <v>115</v>
      </c>
      <c r="I1550" s="26" t="n">
        <f aca="false">_xlfn.MINIFS(Transaction!$C$2:$C$8421,Transaction!$B$2:$B$8421,A1550)</f>
        <v>46230</v>
      </c>
      <c r="J1550" s="26" t="n">
        <f aca="false">_xlfn.MAXIFS(Transaction!$C$2:$C$8421,Transaction!$B$2:$B$8421,A1550)</f>
        <v>46230</v>
      </c>
      <c r="K1550" s="6" t="n">
        <f aca="false">COUNTIF(Transaction!$B$2:$B$8421,A1550)</f>
        <v>1</v>
      </c>
      <c r="L1550" s="10" t="n">
        <f aca="false">SUMIF(Transaction!$B$2:$B$8421,A1550,Transaction!$H$2:$H$8421)</f>
        <v>350</v>
      </c>
      <c r="M1550" s="6" t="n">
        <f aca="false">Summary!$B$3-J1550</f>
        <v>36</v>
      </c>
      <c r="N1550" s="6" t="str">
        <f aca="false">IF(K1550&gt;1,"Yes","No")</f>
        <v>No</v>
      </c>
      <c r="O1550" s="6" t="s">
        <v>47</v>
      </c>
    </row>
    <row r="1551" customFormat="false" ht="15" hidden="false" customHeight="false" outlineLevel="0" collapsed="false">
      <c r="A1551" s="6" t="s">
        <v>3211</v>
      </c>
      <c r="B1551" s="6" t="s">
        <v>3212</v>
      </c>
      <c r="C1551" s="6" t="s">
        <v>75</v>
      </c>
      <c r="D1551" s="6" t="n">
        <v>20</v>
      </c>
      <c r="E1551" s="6" t="s">
        <v>176</v>
      </c>
      <c r="F1551" s="6" t="s">
        <v>177</v>
      </c>
      <c r="G1551" s="26" t="n">
        <v>45976</v>
      </c>
      <c r="H1551" s="6" t="s">
        <v>78</v>
      </c>
      <c r="I1551" s="26" t="n">
        <f aca="false">_xlfn.MINIFS(Transaction!$C$2:$C$8421,Transaction!$B$2:$B$8421,A1551)</f>
        <v>46032</v>
      </c>
      <c r="J1551" s="26" t="n">
        <f aca="false">_xlfn.MAXIFS(Transaction!$C$2:$C$8421,Transaction!$B$2:$B$8421,A1551)</f>
        <v>46247</v>
      </c>
      <c r="K1551" s="6" t="n">
        <f aca="false">COUNTIF(Transaction!$B$2:$B$8421,A1551)</f>
        <v>10</v>
      </c>
      <c r="L1551" s="10" t="n">
        <f aca="false">SUMIF(Transaction!$B$2:$B$8421,A1551,Transaction!$H$2:$H$8421)</f>
        <v>31576</v>
      </c>
      <c r="M1551" s="6" t="n">
        <f aca="false">Summary!$B$3-J1551</f>
        <v>19</v>
      </c>
      <c r="N1551" s="6" t="str">
        <f aca="false">IF(K1551&gt;1,"Yes","No")</f>
        <v>Yes</v>
      </c>
      <c r="O1551" s="6" t="s">
        <v>45</v>
      </c>
    </row>
    <row r="1552" customFormat="false" ht="15" hidden="false" customHeight="false" outlineLevel="0" collapsed="false">
      <c r="A1552" s="6" t="s">
        <v>3213</v>
      </c>
      <c r="B1552" s="6" t="s">
        <v>3214</v>
      </c>
      <c r="C1552" s="6" t="s">
        <v>75</v>
      </c>
      <c r="D1552" s="6" t="n">
        <v>26</v>
      </c>
      <c r="E1552" s="6" t="s">
        <v>76</v>
      </c>
      <c r="F1552" s="6" t="s">
        <v>77</v>
      </c>
      <c r="G1552" s="26" t="n">
        <v>46093</v>
      </c>
      <c r="H1552" s="6" t="s">
        <v>115</v>
      </c>
      <c r="I1552" s="26" t="n">
        <f aca="false">_xlfn.MINIFS(Transaction!$C$2:$C$8421,Transaction!$B$2:$B$8421,A1552)</f>
        <v>46122</v>
      </c>
      <c r="J1552" s="26" t="n">
        <f aca="false">_xlfn.MAXIFS(Transaction!$C$2:$C$8421,Transaction!$B$2:$B$8421,A1552)</f>
        <v>46122</v>
      </c>
      <c r="K1552" s="6" t="n">
        <f aca="false">COUNTIF(Transaction!$B$2:$B$8421,A1552)</f>
        <v>1</v>
      </c>
      <c r="L1552" s="10" t="n">
        <f aca="false">SUMIF(Transaction!$B$2:$B$8421,A1552,Transaction!$H$2:$H$8421)</f>
        <v>866</v>
      </c>
      <c r="M1552" s="6" t="n">
        <f aca="false">Summary!$B$3-J1552</f>
        <v>144</v>
      </c>
      <c r="N1552" s="6" t="str">
        <f aca="false">IF(K1552&gt;1,"Yes","No")</f>
        <v>No</v>
      </c>
      <c r="O1552" s="6" t="s">
        <v>48</v>
      </c>
    </row>
    <row r="1553" customFormat="false" ht="15" hidden="false" customHeight="false" outlineLevel="0" collapsed="false">
      <c r="A1553" s="6" t="s">
        <v>3215</v>
      </c>
      <c r="B1553" s="6" t="s">
        <v>3216</v>
      </c>
      <c r="C1553" s="6" t="s">
        <v>75</v>
      </c>
      <c r="D1553" s="6" t="n">
        <v>28</v>
      </c>
      <c r="E1553" s="6" t="s">
        <v>176</v>
      </c>
      <c r="F1553" s="6" t="s">
        <v>177</v>
      </c>
      <c r="G1553" s="26" t="n">
        <v>46019</v>
      </c>
      <c r="H1553" s="6" t="s">
        <v>102</v>
      </c>
      <c r="I1553" s="26" t="n">
        <f aca="false">_xlfn.MINIFS(Transaction!$C$2:$C$8421,Transaction!$B$2:$B$8421,A1553)</f>
        <v>46079</v>
      </c>
      <c r="J1553" s="26" t="n">
        <f aca="false">_xlfn.MAXIFS(Transaction!$C$2:$C$8421,Transaction!$B$2:$B$8421,A1553)</f>
        <v>46079</v>
      </c>
      <c r="K1553" s="6" t="n">
        <f aca="false">COUNTIF(Transaction!$B$2:$B$8421,A1553)</f>
        <v>1</v>
      </c>
      <c r="L1553" s="10" t="n">
        <f aca="false">SUMIF(Transaction!$B$2:$B$8421,A1553,Transaction!$H$2:$H$8421)</f>
        <v>1629</v>
      </c>
      <c r="M1553" s="6" t="n">
        <f aca="false">Summary!$B$3-J1553</f>
        <v>187</v>
      </c>
      <c r="N1553" s="6" t="str">
        <f aca="false">IF(K1553&gt;1,"Yes","No")</f>
        <v>No</v>
      </c>
      <c r="O1553" s="6" t="s">
        <v>49</v>
      </c>
    </row>
    <row r="1554" customFormat="false" ht="15" hidden="false" customHeight="false" outlineLevel="0" collapsed="false">
      <c r="A1554" s="6" t="s">
        <v>3217</v>
      </c>
      <c r="B1554" s="6" t="s">
        <v>3218</v>
      </c>
      <c r="C1554" s="6" t="s">
        <v>75</v>
      </c>
      <c r="D1554" s="6" t="n">
        <v>37</v>
      </c>
      <c r="E1554" s="6" t="s">
        <v>118</v>
      </c>
      <c r="F1554" s="6" t="s">
        <v>77</v>
      </c>
      <c r="G1554" s="26" t="n">
        <v>46208</v>
      </c>
      <c r="H1554" s="6" t="s">
        <v>88</v>
      </c>
      <c r="I1554" s="26" t="n">
        <f aca="false">_xlfn.MINIFS(Transaction!$C$2:$C$8421,Transaction!$B$2:$B$8421,A1554)</f>
        <v>46239</v>
      </c>
      <c r="J1554" s="26" t="n">
        <f aca="false">_xlfn.MAXIFS(Transaction!$C$2:$C$8421,Transaction!$B$2:$B$8421,A1554)</f>
        <v>46239</v>
      </c>
      <c r="K1554" s="6" t="n">
        <f aca="false">COUNTIF(Transaction!$B$2:$B$8421,A1554)</f>
        <v>1</v>
      </c>
      <c r="L1554" s="10" t="n">
        <f aca="false">SUMIF(Transaction!$B$2:$B$8421,A1554,Transaction!$H$2:$H$8421)</f>
        <v>1257</v>
      </c>
      <c r="M1554" s="6" t="n">
        <f aca="false">Summary!$B$3-J1554</f>
        <v>27</v>
      </c>
      <c r="N1554" s="6" t="str">
        <f aca="false">IF(K1554&gt;1,"Yes","No")</f>
        <v>No</v>
      </c>
      <c r="O1554" s="6" t="s">
        <v>47</v>
      </c>
    </row>
    <row r="1555" customFormat="false" ht="15" hidden="false" customHeight="false" outlineLevel="0" collapsed="false">
      <c r="A1555" s="6" t="s">
        <v>3219</v>
      </c>
      <c r="B1555" s="6" t="s">
        <v>3220</v>
      </c>
      <c r="C1555" s="6" t="s">
        <v>75</v>
      </c>
      <c r="D1555" s="6" t="n">
        <v>35</v>
      </c>
      <c r="E1555" s="6" t="s">
        <v>264</v>
      </c>
      <c r="F1555" s="6" t="s">
        <v>106</v>
      </c>
      <c r="G1555" s="26" t="n">
        <v>45965</v>
      </c>
      <c r="H1555" s="6" t="s">
        <v>115</v>
      </c>
      <c r="I1555" s="26" t="n">
        <f aca="false">_xlfn.MINIFS(Transaction!$C$2:$C$8421,Transaction!$B$2:$B$8421,A1555)</f>
        <v>46035</v>
      </c>
      <c r="J1555" s="26" t="n">
        <f aca="false">_xlfn.MAXIFS(Transaction!$C$2:$C$8421,Transaction!$B$2:$B$8421,A1555)</f>
        <v>46190</v>
      </c>
      <c r="K1555" s="6" t="n">
        <f aca="false">COUNTIF(Transaction!$B$2:$B$8421,A1555)</f>
        <v>8</v>
      </c>
      <c r="L1555" s="10" t="n">
        <f aca="false">SUMIF(Transaction!$B$2:$B$8421,A1555,Transaction!$H$2:$H$8421)</f>
        <v>20602</v>
      </c>
      <c r="M1555" s="6" t="n">
        <f aca="false">Summary!$B$3-J1555</f>
        <v>76</v>
      </c>
      <c r="N1555" s="6" t="str">
        <f aca="false">IF(K1555&gt;1,"Yes","No")</f>
        <v>Yes</v>
      </c>
      <c r="O1555" s="6" t="s">
        <v>46</v>
      </c>
    </row>
    <row r="1556" customFormat="false" ht="15" hidden="false" customHeight="false" outlineLevel="0" collapsed="false">
      <c r="A1556" s="6" t="s">
        <v>3221</v>
      </c>
      <c r="B1556" s="6" t="s">
        <v>3222</v>
      </c>
      <c r="C1556" s="6" t="s">
        <v>75</v>
      </c>
      <c r="D1556" s="6" t="n">
        <v>34</v>
      </c>
      <c r="E1556" s="6" t="s">
        <v>81</v>
      </c>
      <c r="F1556" s="6" t="s">
        <v>82</v>
      </c>
      <c r="G1556" s="26" t="n">
        <v>46036</v>
      </c>
      <c r="H1556" s="6" t="s">
        <v>88</v>
      </c>
      <c r="I1556" s="26" t="n">
        <f aca="false">_xlfn.MINIFS(Transaction!$C$2:$C$8421,Transaction!$B$2:$B$8421,A1556)</f>
        <v>46109</v>
      </c>
      <c r="J1556" s="26" t="n">
        <f aca="false">_xlfn.MAXIFS(Transaction!$C$2:$C$8421,Transaction!$B$2:$B$8421,A1556)</f>
        <v>46258</v>
      </c>
      <c r="K1556" s="6" t="n">
        <f aca="false">COUNTIF(Transaction!$B$2:$B$8421,A1556)</f>
        <v>2</v>
      </c>
      <c r="L1556" s="10" t="n">
        <f aca="false">SUMIF(Transaction!$B$2:$B$8421,A1556,Transaction!$H$2:$H$8421)</f>
        <v>2736</v>
      </c>
      <c r="M1556" s="6" t="n">
        <f aca="false">Summary!$B$3-J1556</f>
        <v>8</v>
      </c>
      <c r="N1556" s="6" t="str">
        <f aca="false">IF(K1556&gt;1,"Yes","No")</f>
        <v>Yes</v>
      </c>
      <c r="O1556" s="6" t="s">
        <v>46</v>
      </c>
    </row>
    <row r="1557" customFormat="false" ht="15" hidden="false" customHeight="false" outlineLevel="0" collapsed="false">
      <c r="A1557" s="6" t="s">
        <v>3223</v>
      </c>
      <c r="B1557" s="6" t="s">
        <v>3224</v>
      </c>
      <c r="C1557" s="6" t="s">
        <v>85</v>
      </c>
      <c r="D1557" s="6" t="n">
        <v>34</v>
      </c>
      <c r="E1557" s="6" t="s">
        <v>95</v>
      </c>
      <c r="F1557" s="6" t="s">
        <v>95</v>
      </c>
      <c r="G1557" s="26" t="n">
        <v>46210</v>
      </c>
      <c r="H1557" s="6" t="s">
        <v>102</v>
      </c>
      <c r="I1557" s="26" t="n">
        <f aca="false">_xlfn.MINIFS(Transaction!$C$2:$C$8421,Transaction!$B$2:$B$8421,A1557)</f>
        <v>46218</v>
      </c>
      <c r="J1557" s="26" t="n">
        <f aca="false">_xlfn.MAXIFS(Transaction!$C$2:$C$8421,Transaction!$B$2:$B$8421,A1557)</f>
        <v>46218</v>
      </c>
      <c r="K1557" s="6" t="n">
        <f aca="false">COUNTIF(Transaction!$B$2:$B$8421,A1557)</f>
        <v>1</v>
      </c>
      <c r="L1557" s="10" t="n">
        <f aca="false">SUMIF(Transaction!$B$2:$B$8421,A1557,Transaction!$H$2:$H$8421)</f>
        <v>743</v>
      </c>
      <c r="M1557" s="6" t="n">
        <f aca="false">Summary!$B$3-J1557</f>
        <v>48</v>
      </c>
      <c r="N1557" s="6" t="str">
        <f aca="false">IF(K1557&gt;1,"Yes","No")</f>
        <v>No</v>
      </c>
      <c r="O1557" s="6" t="s">
        <v>47</v>
      </c>
    </row>
    <row r="1558" customFormat="false" ht="15" hidden="false" customHeight="false" outlineLevel="0" collapsed="false">
      <c r="A1558" s="6" t="s">
        <v>3225</v>
      </c>
      <c r="B1558" s="6" t="s">
        <v>3226</v>
      </c>
      <c r="C1558" s="6" t="s">
        <v>75</v>
      </c>
      <c r="D1558" s="6" t="n">
        <v>30</v>
      </c>
      <c r="E1558" s="6" t="s">
        <v>146</v>
      </c>
      <c r="F1558" s="6" t="s">
        <v>147</v>
      </c>
      <c r="G1558" s="26" t="n">
        <v>46036</v>
      </c>
      <c r="H1558" s="6" t="s">
        <v>115</v>
      </c>
      <c r="I1558" s="26" t="n">
        <f aca="false">_xlfn.MINIFS(Transaction!$C$2:$C$8421,Transaction!$B$2:$B$8421,A1558)</f>
        <v>46053</v>
      </c>
      <c r="J1558" s="26" t="n">
        <f aca="false">_xlfn.MAXIFS(Transaction!$C$2:$C$8421,Transaction!$B$2:$B$8421,A1558)</f>
        <v>46053</v>
      </c>
      <c r="K1558" s="6" t="n">
        <f aca="false">COUNTIF(Transaction!$B$2:$B$8421,A1558)</f>
        <v>1</v>
      </c>
      <c r="L1558" s="10" t="n">
        <f aca="false">SUMIF(Transaction!$B$2:$B$8421,A1558,Transaction!$H$2:$H$8421)</f>
        <v>2349</v>
      </c>
      <c r="M1558" s="6" t="n">
        <f aca="false">Summary!$B$3-J1558</f>
        <v>213</v>
      </c>
      <c r="N1558" s="6" t="str">
        <f aca="false">IF(K1558&gt;1,"Yes","No")</f>
        <v>No</v>
      </c>
      <c r="O1558" s="6" t="s">
        <v>49</v>
      </c>
    </row>
    <row r="1559" customFormat="false" ht="15" hidden="false" customHeight="false" outlineLevel="0" collapsed="false">
      <c r="A1559" s="6" t="s">
        <v>3227</v>
      </c>
      <c r="B1559" s="6" t="s">
        <v>3228</v>
      </c>
      <c r="C1559" s="6" t="s">
        <v>75</v>
      </c>
      <c r="D1559" s="6" t="n">
        <v>37</v>
      </c>
      <c r="E1559" s="6" t="s">
        <v>176</v>
      </c>
      <c r="F1559" s="6" t="s">
        <v>177</v>
      </c>
      <c r="G1559" s="26" t="n">
        <v>46062</v>
      </c>
      <c r="H1559" s="6" t="s">
        <v>115</v>
      </c>
      <c r="I1559" s="26" t="n">
        <f aca="false">_xlfn.MINIFS(Transaction!$C$2:$C$8421,Transaction!$B$2:$B$8421,A1559)</f>
        <v>46143</v>
      </c>
      <c r="J1559" s="26" t="n">
        <f aca="false">_xlfn.MAXIFS(Transaction!$C$2:$C$8421,Transaction!$B$2:$B$8421,A1559)</f>
        <v>46143</v>
      </c>
      <c r="K1559" s="6" t="n">
        <f aca="false">COUNTIF(Transaction!$B$2:$B$8421,A1559)</f>
        <v>1</v>
      </c>
      <c r="L1559" s="10" t="n">
        <f aca="false">SUMIF(Transaction!$B$2:$B$8421,A1559,Transaction!$H$2:$H$8421)</f>
        <v>726</v>
      </c>
      <c r="M1559" s="6" t="n">
        <f aca="false">Summary!$B$3-J1559</f>
        <v>123</v>
      </c>
      <c r="N1559" s="6" t="str">
        <f aca="false">IF(K1559&gt;1,"Yes","No")</f>
        <v>No</v>
      </c>
      <c r="O1559" s="6" t="s">
        <v>48</v>
      </c>
    </row>
    <row r="1560" customFormat="false" ht="15" hidden="false" customHeight="false" outlineLevel="0" collapsed="false">
      <c r="A1560" s="6" t="s">
        <v>3229</v>
      </c>
      <c r="B1560" s="6" t="s">
        <v>3230</v>
      </c>
      <c r="C1560" s="6" t="s">
        <v>85</v>
      </c>
      <c r="D1560" s="6" t="n">
        <v>37</v>
      </c>
      <c r="E1560" s="6" t="s">
        <v>134</v>
      </c>
      <c r="F1560" s="6" t="s">
        <v>135</v>
      </c>
      <c r="G1560" s="26" t="n">
        <v>46163</v>
      </c>
      <c r="H1560" s="6" t="s">
        <v>78</v>
      </c>
      <c r="I1560" s="26" t="n">
        <f aca="false">_xlfn.MINIFS(Transaction!$C$2:$C$8421,Transaction!$B$2:$B$8421,A1560)</f>
        <v>46210</v>
      </c>
      <c r="J1560" s="26" t="n">
        <f aca="false">_xlfn.MAXIFS(Transaction!$C$2:$C$8421,Transaction!$B$2:$B$8421,A1560)</f>
        <v>46210</v>
      </c>
      <c r="K1560" s="6" t="n">
        <f aca="false">COUNTIF(Transaction!$B$2:$B$8421,A1560)</f>
        <v>1</v>
      </c>
      <c r="L1560" s="10" t="n">
        <f aca="false">SUMIF(Transaction!$B$2:$B$8421,A1560,Transaction!$H$2:$H$8421)</f>
        <v>1564</v>
      </c>
      <c r="M1560" s="6" t="n">
        <f aca="false">Summary!$B$3-J1560</f>
        <v>56</v>
      </c>
      <c r="N1560" s="6" t="str">
        <f aca="false">IF(K1560&gt;1,"Yes","No")</f>
        <v>No</v>
      </c>
      <c r="O1560" s="6" t="s">
        <v>47</v>
      </c>
    </row>
    <row r="1561" customFormat="false" ht="15" hidden="false" customHeight="false" outlineLevel="0" collapsed="false">
      <c r="A1561" s="6" t="s">
        <v>3231</v>
      </c>
      <c r="B1561" s="6" t="s">
        <v>3232</v>
      </c>
      <c r="C1561" s="6" t="s">
        <v>75</v>
      </c>
      <c r="D1561" s="6" t="n">
        <v>48</v>
      </c>
      <c r="E1561" s="6" t="s">
        <v>176</v>
      </c>
      <c r="F1561" s="6" t="s">
        <v>177</v>
      </c>
      <c r="G1561" s="26" t="n">
        <v>46055</v>
      </c>
      <c r="H1561" s="6" t="s">
        <v>115</v>
      </c>
      <c r="I1561" s="26" t="n">
        <f aca="false">_xlfn.MINIFS(Transaction!$C$2:$C$8421,Transaction!$B$2:$B$8421,A1561)</f>
        <v>46111</v>
      </c>
      <c r="J1561" s="26" t="n">
        <f aca="false">_xlfn.MAXIFS(Transaction!$C$2:$C$8421,Transaction!$B$2:$B$8421,A1561)</f>
        <v>46253</v>
      </c>
      <c r="K1561" s="6" t="n">
        <f aca="false">COUNTIF(Transaction!$B$2:$B$8421,A1561)</f>
        <v>7</v>
      </c>
      <c r="L1561" s="10" t="n">
        <f aca="false">SUMIF(Transaction!$B$2:$B$8421,A1561,Transaction!$H$2:$H$8421)</f>
        <v>11975</v>
      </c>
      <c r="M1561" s="6" t="n">
        <f aca="false">Summary!$B$3-J1561</f>
        <v>13</v>
      </c>
      <c r="N1561" s="6" t="str">
        <f aca="false">IF(K1561&gt;1,"Yes","No")</f>
        <v>Yes</v>
      </c>
      <c r="O1561" s="6" t="s">
        <v>45</v>
      </c>
    </row>
    <row r="1562" customFormat="false" ht="15" hidden="false" customHeight="false" outlineLevel="0" collapsed="false">
      <c r="A1562" s="6" t="s">
        <v>3233</v>
      </c>
      <c r="B1562" s="6" t="s">
        <v>3234</v>
      </c>
      <c r="C1562" s="6" t="s">
        <v>75</v>
      </c>
      <c r="D1562" s="6" t="n">
        <v>38</v>
      </c>
      <c r="E1562" s="6" t="s">
        <v>105</v>
      </c>
      <c r="F1562" s="6" t="s">
        <v>106</v>
      </c>
      <c r="G1562" s="26" t="n">
        <v>46049</v>
      </c>
      <c r="H1562" s="6" t="s">
        <v>78</v>
      </c>
      <c r="I1562" s="26" t="n">
        <f aca="false">_xlfn.MINIFS(Transaction!$C$2:$C$8421,Transaction!$B$2:$B$8421,A1562)</f>
        <v>46105</v>
      </c>
      <c r="J1562" s="26" t="n">
        <f aca="false">_xlfn.MAXIFS(Transaction!$C$2:$C$8421,Transaction!$B$2:$B$8421,A1562)</f>
        <v>46265</v>
      </c>
      <c r="K1562" s="6" t="n">
        <f aca="false">COUNTIF(Transaction!$B$2:$B$8421,A1562)</f>
        <v>9</v>
      </c>
      <c r="L1562" s="10" t="n">
        <f aca="false">SUMIF(Transaction!$B$2:$B$8421,A1562,Transaction!$H$2:$H$8421)</f>
        <v>39142</v>
      </c>
      <c r="M1562" s="6" t="n">
        <f aca="false">Summary!$B$3-J1562</f>
        <v>1</v>
      </c>
      <c r="N1562" s="6" t="str">
        <f aca="false">IF(K1562&gt;1,"Yes","No")</f>
        <v>Yes</v>
      </c>
      <c r="O1562" s="6" t="s">
        <v>45</v>
      </c>
    </row>
    <row r="1563" customFormat="false" ht="15" hidden="false" customHeight="false" outlineLevel="0" collapsed="false">
      <c r="A1563" s="6" t="s">
        <v>3235</v>
      </c>
      <c r="B1563" s="6" t="s">
        <v>3236</v>
      </c>
      <c r="C1563" s="6" t="s">
        <v>75</v>
      </c>
      <c r="D1563" s="6" t="n">
        <v>38</v>
      </c>
      <c r="E1563" s="6" t="s">
        <v>76</v>
      </c>
      <c r="F1563" s="6" t="s">
        <v>77</v>
      </c>
      <c r="G1563" s="26" t="n">
        <v>45961</v>
      </c>
      <c r="H1563" s="6" t="s">
        <v>88</v>
      </c>
      <c r="I1563" s="26" t="n">
        <f aca="false">_xlfn.MINIFS(Transaction!$C$2:$C$8421,Transaction!$B$2:$B$8421,A1563)</f>
        <v>46035</v>
      </c>
      <c r="J1563" s="26" t="n">
        <f aca="false">_xlfn.MAXIFS(Transaction!$C$2:$C$8421,Transaction!$B$2:$B$8421,A1563)</f>
        <v>46227</v>
      </c>
      <c r="K1563" s="6" t="n">
        <f aca="false">COUNTIF(Transaction!$B$2:$B$8421,A1563)</f>
        <v>6</v>
      </c>
      <c r="L1563" s="10" t="n">
        <f aca="false">SUMIF(Transaction!$B$2:$B$8421,A1563,Transaction!$H$2:$H$8421)</f>
        <v>16986</v>
      </c>
      <c r="M1563" s="6" t="n">
        <f aca="false">Summary!$B$3-J1563</f>
        <v>39</v>
      </c>
      <c r="N1563" s="6" t="str">
        <f aca="false">IF(K1563&gt;1,"Yes","No")</f>
        <v>Yes</v>
      </c>
      <c r="O1563" s="6" t="s">
        <v>46</v>
      </c>
    </row>
    <row r="1564" customFormat="false" ht="15" hidden="false" customHeight="false" outlineLevel="0" collapsed="false">
      <c r="A1564" s="6" t="s">
        <v>3237</v>
      </c>
      <c r="B1564" s="6" t="s">
        <v>3238</v>
      </c>
      <c r="C1564" s="6" t="s">
        <v>85</v>
      </c>
      <c r="D1564" s="6" t="n">
        <v>27</v>
      </c>
      <c r="E1564" s="6" t="s">
        <v>118</v>
      </c>
      <c r="F1564" s="6" t="s">
        <v>77</v>
      </c>
      <c r="G1564" s="26" t="n">
        <v>46209</v>
      </c>
      <c r="H1564" s="6" t="s">
        <v>92</v>
      </c>
      <c r="I1564" s="26" t="n">
        <f aca="false">_xlfn.MINIFS(Transaction!$C$2:$C$8421,Transaction!$B$2:$B$8421,A1564)</f>
        <v>46230</v>
      </c>
      <c r="J1564" s="26" t="n">
        <f aca="false">_xlfn.MAXIFS(Transaction!$C$2:$C$8421,Transaction!$B$2:$B$8421,A1564)</f>
        <v>46230</v>
      </c>
      <c r="K1564" s="6" t="n">
        <f aca="false">COUNTIF(Transaction!$B$2:$B$8421,A1564)</f>
        <v>1</v>
      </c>
      <c r="L1564" s="10" t="n">
        <f aca="false">SUMIF(Transaction!$B$2:$B$8421,A1564,Transaction!$H$2:$H$8421)</f>
        <v>1760</v>
      </c>
      <c r="M1564" s="6" t="n">
        <f aca="false">Summary!$B$3-J1564</f>
        <v>36</v>
      </c>
      <c r="N1564" s="6" t="str">
        <f aca="false">IF(K1564&gt;1,"Yes","No")</f>
        <v>No</v>
      </c>
      <c r="O1564" s="6" t="s">
        <v>47</v>
      </c>
    </row>
    <row r="1565" customFormat="false" ht="15" hidden="false" customHeight="false" outlineLevel="0" collapsed="false">
      <c r="A1565" s="6" t="s">
        <v>3239</v>
      </c>
      <c r="B1565" s="6" t="s">
        <v>3240</v>
      </c>
      <c r="C1565" s="6" t="s">
        <v>75</v>
      </c>
      <c r="D1565" s="6" t="n">
        <v>35</v>
      </c>
      <c r="E1565" s="6" t="s">
        <v>81</v>
      </c>
      <c r="F1565" s="6" t="s">
        <v>82</v>
      </c>
      <c r="G1565" s="26" t="n">
        <v>46205</v>
      </c>
      <c r="H1565" s="6" t="s">
        <v>78</v>
      </c>
      <c r="I1565" s="26" t="n">
        <f aca="false">_xlfn.MINIFS(Transaction!$C$2:$C$8421,Transaction!$B$2:$B$8421,A1565)</f>
        <v>46248</v>
      </c>
      <c r="J1565" s="26" t="n">
        <f aca="false">_xlfn.MAXIFS(Transaction!$C$2:$C$8421,Transaction!$B$2:$B$8421,A1565)</f>
        <v>46248</v>
      </c>
      <c r="K1565" s="6" t="n">
        <f aca="false">COUNTIF(Transaction!$B$2:$B$8421,A1565)</f>
        <v>1</v>
      </c>
      <c r="L1565" s="10" t="n">
        <f aca="false">SUMIF(Transaction!$B$2:$B$8421,A1565,Transaction!$H$2:$H$8421)</f>
        <v>587</v>
      </c>
      <c r="M1565" s="6" t="n">
        <f aca="false">Summary!$B$3-J1565</f>
        <v>18</v>
      </c>
      <c r="N1565" s="6" t="str">
        <f aca="false">IF(K1565&gt;1,"Yes","No")</f>
        <v>No</v>
      </c>
      <c r="O1565" s="6" t="s">
        <v>47</v>
      </c>
    </row>
    <row r="1566" customFormat="false" ht="15" hidden="false" customHeight="false" outlineLevel="0" collapsed="false">
      <c r="A1566" s="6" t="s">
        <v>3241</v>
      </c>
      <c r="B1566" s="6" t="s">
        <v>3242</v>
      </c>
      <c r="C1566" s="6" t="s">
        <v>85</v>
      </c>
      <c r="D1566" s="6" t="n">
        <v>26</v>
      </c>
      <c r="E1566" s="6" t="s">
        <v>76</v>
      </c>
      <c r="F1566" s="6" t="s">
        <v>77</v>
      </c>
      <c r="G1566" s="26" t="n">
        <v>46176</v>
      </c>
      <c r="H1566" s="6" t="s">
        <v>92</v>
      </c>
      <c r="I1566" s="26" t="n">
        <f aca="false">_xlfn.MINIFS(Transaction!$C$2:$C$8421,Transaction!$B$2:$B$8421,A1566)</f>
        <v>46183</v>
      </c>
      <c r="J1566" s="26" t="n">
        <f aca="false">_xlfn.MAXIFS(Transaction!$C$2:$C$8421,Transaction!$B$2:$B$8421,A1566)</f>
        <v>46183</v>
      </c>
      <c r="K1566" s="6" t="n">
        <f aca="false">COUNTIF(Transaction!$B$2:$B$8421,A1566)</f>
        <v>1</v>
      </c>
      <c r="L1566" s="10" t="n">
        <f aca="false">SUMIF(Transaction!$B$2:$B$8421,A1566,Transaction!$H$2:$H$8421)</f>
        <v>459</v>
      </c>
      <c r="M1566" s="6" t="n">
        <f aca="false">Summary!$B$3-J1566</f>
        <v>83</v>
      </c>
      <c r="N1566" s="6" t="str">
        <f aca="false">IF(K1566&gt;1,"Yes","No")</f>
        <v>No</v>
      </c>
      <c r="O1566" s="6" t="s">
        <v>47</v>
      </c>
    </row>
    <row r="1567" customFormat="false" ht="15" hidden="false" customHeight="false" outlineLevel="0" collapsed="false">
      <c r="A1567" s="6" t="s">
        <v>3243</v>
      </c>
      <c r="B1567" s="6" t="s">
        <v>3244</v>
      </c>
      <c r="C1567" s="6" t="s">
        <v>85</v>
      </c>
      <c r="D1567" s="6" t="n">
        <v>40</v>
      </c>
      <c r="E1567" s="6" t="s">
        <v>105</v>
      </c>
      <c r="F1567" s="6" t="s">
        <v>106</v>
      </c>
      <c r="G1567" s="26" t="n">
        <v>46153</v>
      </c>
      <c r="H1567" s="6" t="s">
        <v>88</v>
      </c>
      <c r="I1567" s="26" t="n">
        <f aca="false">_xlfn.MINIFS(Transaction!$C$2:$C$8421,Transaction!$B$2:$B$8421,A1567)</f>
        <v>46221</v>
      </c>
      <c r="J1567" s="26" t="n">
        <f aca="false">_xlfn.MAXIFS(Transaction!$C$2:$C$8421,Transaction!$B$2:$B$8421,A1567)</f>
        <v>46221</v>
      </c>
      <c r="K1567" s="6" t="n">
        <f aca="false">COUNTIF(Transaction!$B$2:$B$8421,A1567)</f>
        <v>1</v>
      </c>
      <c r="L1567" s="10" t="n">
        <f aca="false">SUMIF(Transaction!$B$2:$B$8421,A1567,Transaction!$H$2:$H$8421)</f>
        <v>435</v>
      </c>
      <c r="M1567" s="6" t="n">
        <f aca="false">Summary!$B$3-J1567</f>
        <v>45</v>
      </c>
      <c r="N1567" s="6" t="str">
        <f aca="false">IF(K1567&gt;1,"Yes","No")</f>
        <v>No</v>
      </c>
      <c r="O1567" s="6" t="s">
        <v>47</v>
      </c>
    </row>
    <row r="1568" customFormat="false" ht="15" hidden="false" customHeight="false" outlineLevel="0" collapsed="false">
      <c r="A1568" s="6" t="s">
        <v>3245</v>
      </c>
      <c r="B1568" s="6" t="s">
        <v>3246</v>
      </c>
      <c r="C1568" s="6" t="s">
        <v>85</v>
      </c>
      <c r="D1568" s="6" t="n">
        <v>47</v>
      </c>
      <c r="E1568" s="6" t="s">
        <v>98</v>
      </c>
      <c r="F1568" s="6" t="s">
        <v>99</v>
      </c>
      <c r="G1568" s="26" t="n">
        <v>46019</v>
      </c>
      <c r="H1568" s="6" t="s">
        <v>123</v>
      </c>
      <c r="I1568" s="26" t="n">
        <f aca="false">_xlfn.MINIFS(Transaction!$C$2:$C$8421,Transaction!$B$2:$B$8421,A1568)</f>
        <v>46063</v>
      </c>
      <c r="J1568" s="26" t="n">
        <f aca="false">_xlfn.MAXIFS(Transaction!$C$2:$C$8421,Transaction!$B$2:$B$8421,A1568)</f>
        <v>46063</v>
      </c>
      <c r="K1568" s="6" t="n">
        <f aca="false">COUNTIF(Transaction!$B$2:$B$8421,A1568)</f>
        <v>1</v>
      </c>
      <c r="L1568" s="10" t="n">
        <f aca="false">SUMIF(Transaction!$B$2:$B$8421,A1568,Transaction!$H$2:$H$8421)</f>
        <v>13760</v>
      </c>
      <c r="M1568" s="6" t="n">
        <f aca="false">Summary!$B$3-J1568</f>
        <v>203</v>
      </c>
      <c r="N1568" s="6" t="str">
        <f aca="false">IF(K1568&gt;1,"Yes","No")</f>
        <v>No</v>
      </c>
      <c r="O1568" s="6" t="s">
        <v>49</v>
      </c>
    </row>
    <row r="1569" customFormat="false" ht="15" hidden="false" customHeight="false" outlineLevel="0" collapsed="false">
      <c r="A1569" s="6" t="s">
        <v>3247</v>
      </c>
      <c r="B1569" s="6" t="s">
        <v>3248</v>
      </c>
      <c r="C1569" s="6" t="s">
        <v>85</v>
      </c>
      <c r="D1569" s="6" t="n">
        <v>40</v>
      </c>
      <c r="E1569" s="6" t="s">
        <v>176</v>
      </c>
      <c r="F1569" s="6" t="s">
        <v>177</v>
      </c>
      <c r="G1569" s="26" t="n">
        <v>46002</v>
      </c>
      <c r="H1569" s="6" t="s">
        <v>78</v>
      </c>
      <c r="I1569" s="26" t="n">
        <f aca="false">_xlfn.MINIFS(Transaction!$C$2:$C$8421,Transaction!$B$2:$B$8421,A1569)</f>
        <v>46053</v>
      </c>
      <c r="J1569" s="26" t="n">
        <f aca="false">_xlfn.MAXIFS(Transaction!$C$2:$C$8421,Transaction!$B$2:$B$8421,A1569)</f>
        <v>46252</v>
      </c>
      <c r="K1569" s="6" t="n">
        <f aca="false">COUNTIF(Transaction!$B$2:$B$8421,A1569)</f>
        <v>9</v>
      </c>
      <c r="L1569" s="10" t="n">
        <f aca="false">SUMIF(Transaction!$B$2:$B$8421,A1569,Transaction!$H$2:$H$8421)</f>
        <v>16654</v>
      </c>
      <c r="M1569" s="6" t="n">
        <f aca="false">Summary!$B$3-J1569</f>
        <v>14</v>
      </c>
      <c r="N1569" s="6" t="str">
        <f aca="false">IF(K1569&gt;1,"Yes","No")</f>
        <v>Yes</v>
      </c>
      <c r="O1569" s="6" t="s">
        <v>45</v>
      </c>
    </row>
    <row r="1570" customFormat="false" ht="15" hidden="false" customHeight="false" outlineLevel="0" collapsed="false">
      <c r="A1570" s="6" t="s">
        <v>3249</v>
      </c>
      <c r="B1570" s="6" t="s">
        <v>3250</v>
      </c>
      <c r="C1570" s="6" t="s">
        <v>75</v>
      </c>
      <c r="D1570" s="6" t="n">
        <v>37</v>
      </c>
      <c r="E1570" s="6" t="s">
        <v>126</v>
      </c>
      <c r="F1570" s="6" t="s">
        <v>127</v>
      </c>
      <c r="G1570" s="26" t="n">
        <v>45954</v>
      </c>
      <c r="H1570" s="6" t="s">
        <v>92</v>
      </c>
      <c r="I1570" s="26" t="n">
        <f aca="false">_xlfn.MINIFS(Transaction!$C$2:$C$8421,Transaction!$B$2:$B$8421,A1570)</f>
        <v>46043</v>
      </c>
      <c r="J1570" s="26" t="n">
        <f aca="false">_xlfn.MAXIFS(Transaction!$C$2:$C$8421,Transaction!$B$2:$B$8421,A1570)</f>
        <v>46251</v>
      </c>
      <c r="K1570" s="6" t="n">
        <f aca="false">COUNTIF(Transaction!$B$2:$B$8421,A1570)</f>
        <v>11</v>
      </c>
      <c r="L1570" s="10" t="n">
        <f aca="false">SUMIF(Transaction!$B$2:$B$8421,A1570,Transaction!$H$2:$H$8421)</f>
        <v>11832</v>
      </c>
      <c r="M1570" s="6" t="n">
        <f aca="false">Summary!$B$3-J1570</f>
        <v>15</v>
      </c>
      <c r="N1570" s="6" t="str">
        <f aca="false">IF(K1570&gt;1,"Yes","No")</f>
        <v>Yes</v>
      </c>
      <c r="O1570" s="6" t="s">
        <v>45</v>
      </c>
    </row>
    <row r="1571" customFormat="false" ht="15" hidden="false" customHeight="false" outlineLevel="0" collapsed="false">
      <c r="A1571" s="6" t="s">
        <v>3251</v>
      </c>
      <c r="B1571" s="6" t="s">
        <v>3252</v>
      </c>
      <c r="C1571" s="6" t="s">
        <v>75</v>
      </c>
      <c r="D1571" s="6" t="n">
        <v>27</v>
      </c>
      <c r="E1571" s="6" t="s">
        <v>176</v>
      </c>
      <c r="F1571" s="6" t="s">
        <v>177</v>
      </c>
      <c r="G1571" s="26" t="n">
        <v>46153</v>
      </c>
      <c r="H1571" s="6" t="s">
        <v>115</v>
      </c>
      <c r="I1571" s="26" t="n">
        <f aca="false">_xlfn.MINIFS(Transaction!$C$2:$C$8421,Transaction!$B$2:$B$8421,A1571)</f>
        <v>46176</v>
      </c>
      <c r="J1571" s="26" t="n">
        <f aca="false">_xlfn.MAXIFS(Transaction!$C$2:$C$8421,Transaction!$B$2:$B$8421,A1571)</f>
        <v>46176</v>
      </c>
      <c r="K1571" s="6" t="n">
        <f aca="false">COUNTIF(Transaction!$B$2:$B$8421,A1571)</f>
        <v>1</v>
      </c>
      <c r="L1571" s="10" t="n">
        <f aca="false">SUMIF(Transaction!$B$2:$B$8421,A1571,Transaction!$H$2:$H$8421)</f>
        <v>1026</v>
      </c>
      <c r="M1571" s="6" t="n">
        <f aca="false">Summary!$B$3-J1571</f>
        <v>90</v>
      </c>
      <c r="N1571" s="6" t="str">
        <f aca="false">IF(K1571&gt;1,"Yes","No")</f>
        <v>No</v>
      </c>
      <c r="O1571" s="6" t="s">
        <v>47</v>
      </c>
    </row>
    <row r="1572" customFormat="false" ht="15" hidden="false" customHeight="false" outlineLevel="0" collapsed="false">
      <c r="A1572" s="6" t="s">
        <v>3253</v>
      </c>
      <c r="B1572" s="6" t="s">
        <v>3254</v>
      </c>
      <c r="C1572" s="6" t="s">
        <v>85</v>
      </c>
      <c r="D1572" s="6" t="n">
        <v>31</v>
      </c>
      <c r="E1572" s="6" t="s">
        <v>134</v>
      </c>
      <c r="F1572" s="6" t="s">
        <v>135</v>
      </c>
      <c r="G1572" s="26" t="n">
        <v>46064</v>
      </c>
      <c r="H1572" s="6" t="s">
        <v>78</v>
      </c>
      <c r="I1572" s="26" t="n">
        <f aca="false">_xlfn.MINIFS(Transaction!$C$2:$C$8421,Transaction!$B$2:$B$8421,A1572)</f>
        <v>46149</v>
      </c>
      <c r="J1572" s="26" t="n">
        <f aca="false">_xlfn.MAXIFS(Transaction!$C$2:$C$8421,Transaction!$B$2:$B$8421,A1572)</f>
        <v>46149</v>
      </c>
      <c r="K1572" s="6" t="n">
        <f aca="false">COUNTIF(Transaction!$B$2:$B$8421,A1572)</f>
        <v>1</v>
      </c>
      <c r="L1572" s="10" t="n">
        <f aca="false">SUMIF(Transaction!$B$2:$B$8421,A1572,Transaction!$H$2:$H$8421)</f>
        <v>12138</v>
      </c>
      <c r="M1572" s="6" t="n">
        <f aca="false">Summary!$B$3-J1572</f>
        <v>117</v>
      </c>
      <c r="N1572" s="6" t="str">
        <f aca="false">IF(K1572&gt;1,"Yes","No")</f>
        <v>No</v>
      </c>
      <c r="O1572" s="6" t="s">
        <v>48</v>
      </c>
    </row>
    <row r="1573" customFormat="false" ht="15" hidden="false" customHeight="false" outlineLevel="0" collapsed="false">
      <c r="A1573" s="6" t="s">
        <v>3255</v>
      </c>
      <c r="B1573" s="6" t="s">
        <v>3256</v>
      </c>
      <c r="C1573" s="6" t="s">
        <v>85</v>
      </c>
      <c r="D1573" s="6" t="n">
        <v>39</v>
      </c>
      <c r="E1573" s="6" t="s">
        <v>86</v>
      </c>
      <c r="F1573" s="6" t="s">
        <v>87</v>
      </c>
      <c r="G1573" s="26" t="n">
        <v>46058</v>
      </c>
      <c r="H1573" s="6" t="s">
        <v>115</v>
      </c>
      <c r="I1573" s="26" t="n">
        <f aca="false">_xlfn.MINIFS(Transaction!$C$2:$C$8421,Transaction!$B$2:$B$8421,A1573)</f>
        <v>46141</v>
      </c>
      <c r="J1573" s="26" t="n">
        <f aca="false">_xlfn.MAXIFS(Transaction!$C$2:$C$8421,Transaction!$B$2:$B$8421,A1573)</f>
        <v>46141</v>
      </c>
      <c r="K1573" s="6" t="n">
        <f aca="false">COUNTIF(Transaction!$B$2:$B$8421,A1573)</f>
        <v>1</v>
      </c>
      <c r="L1573" s="10" t="n">
        <f aca="false">SUMIF(Transaction!$B$2:$B$8421,A1573,Transaction!$H$2:$H$8421)</f>
        <v>879</v>
      </c>
      <c r="M1573" s="6" t="n">
        <f aca="false">Summary!$B$3-J1573</f>
        <v>125</v>
      </c>
      <c r="N1573" s="6" t="str">
        <f aca="false">IF(K1573&gt;1,"Yes","No")</f>
        <v>No</v>
      </c>
      <c r="O1573" s="6" t="s">
        <v>48</v>
      </c>
    </row>
    <row r="1574" customFormat="false" ht="15" hidden="false" customHeight="false" outlineLevel="0" collapsed="false">
      <c r="A1574" s="6" t="s">
        <v>3257</v>
      </c>
      <c r="B1574" s="6" t="s">
        <v>3258</v>
      </c>
      <c r="C1574" s="6" t="s">
        <v>75</v>
      </c>
      <c r="D1574" s="6" t="n">
        <v>38</v>
      </c>
      <c r="E1574" s="6" t="s">
        <v>76</v>
      </c>
      <c r="F1574" s="6" t="s">
        <v>77</v>
      </c>
      <c r="G1574" s="26" t="n">
        <v>46032</v>
      </c>
      <c r="H1574" s="6" t="s">
        <v>88</v>
      </c>
      <c r="I1574" s="26" t="n">
        <f aca="false">_xlfn.MINIFS(Transaction!$C$2:$C$8421,Transaction!$B$2:$B$8421,A1574)</f>
        <v>46036</v>
      </c>
      <c r="J1574" s="26" t="n">
        <f aca="false">_xlfn.MAXIFS(Transaction!$C$2:$C$8421,Transaction!$B$2:$B$8421,A1574)</f>
        <v>46248</v>
      </c>
      <c r="K1574" s="6" t="n">
        <f aca="false">COUNTIF(Transaction!$B$2:$B$8421,A1574)</f>
        <v>9</v>
      </c>
      <c r="L1574" s="10" t="n">
        <f aca="false">SUMIF(Transaction!$B$2:$B$8421,A1574,Transaction!$H$2:$H$8421)</f>
        <v>16457</v>
      </c>
      <c r="M1574" s="6" t="n">
        <f aca="false">Summary!$B$3-J1574</f>
        <v>18</v>
      </c>
      <c r="N1574" s="6" t="str">
        <f aca="false">IF(K1574&gt;1,"Yes","No")</f>
        <v>Yes</v>
      </c>
      <c r="O1574" s="6" t="s">
        <v>45</v>
      </c>
    </row>
    <row r="1575" customFormat="false" ht="15" hidden="false" customHeight="false" outlineLevel="0" collapsed="false">
      <c r="A1575" s="6" t="s">
        <v>3259</v>
      </c>
      <c r="B1575" s="6" t="s">
        <v>3260</v>
      </c>
      <c r="C1575" s="6" t="s">
        <v>75</v>
      </c>
      <c r="D1575" s="6" t="n">
        <v>23</v>
      </c>
      <c r="E1575" s="6" t="s">
        <v>321</v>
      </c>
      <c r="F1575" s="6" t="s">
        <v>321</v>
      </c>
      <c r="G1575" s="26" t="n">
        <v>46187</v>
      </c>
      <c r="H1575" s="6" t="s">
        <v>115</v>
      </c>
      <c r="I1575" s="26" t="n">
        <f aca="false">_xlfn.MINIFS(Transaction!$C$2:$C$8421,Transaction!$B$2:$B$8421,A1575)</f>
        <v>46199</v>
      </c>
      <c r="J1575" s="26" t="n">
        <f aca="false">_xlfn.MAXIFS(Transaction!$C$2:$C$8421,Transaction!$B$2:$B$8421,A1575)</f>
        <v>46199</v>
      </c>
      <c r="K1575" s="6" t="n">
        <f aca="false">COUNTIF(Transaction!$B$2:$B$8421,A1575)</f>
        <v>1</v>
      </c>
      <c r="L1575" s="10" t="n">
        <f aca="false">SUMIF(Transaction!$B$2:$B$8421,A1575,Transaction!$H$2:$H$8421)</f>
        <v>1742</v>
      </c>
      <c r="M1575" s="6" t="n">
        <f aca="false">Summary!$B$3-J1575</f>
        <v>67</v>
      </c>
      <c r="N1575" s="6" t="str">
        <f aca="false">IF(K1575&gt;1,"Yes","No")</f>
        <v>No</v>
      </c>
      <c r="O1575" s="6" t="s">
        <v>47</v>
      </c>
    </row>
    <row r="1576" customFormat="false" ht="15" hidden="false" customHeight="false" outlineLevel="0" collapsed="false">
      <c r="A1576" s="6" t="s">
        <v>3261</v>
      </c>
      <c r="B1576" s="6" t="s">
        <v>3262</v>
      </c>
      <c r="C1576" s="6" t="s">
        <v>75</v>
      </c>
      <c r="D1576" s="6" t="n">
        <v>27</v>
      </c>
      <c r="E1576" s="6" t="s">
        <v>134</v>
      </c>
      <c r="F1576" s="6" t="s">
        <v>135</v>
      </c>
      <c r="G1576" s="26" t="n">
        <v>46050</v>
      </c>
      <c r="H1576" s="6" t="s">
        <v>102</v>
      </c>
      <c r="I1576" s="26" t="n">
        <f aca="false">_xlfn.MINIFS(Transaction!$C$2:$C$8421,Transaction!$B$2:$B$8421,A1576)</f>
        <v>46077</v>
      </c>
      <c r="J1576" s="26" t="n">
        <f aca="false">_xlfn.MAXIFS(Transaction!$C$2:$C$8421,Transaction!$B$2:$B$8421,A1576)</f>
        <v>46077</v>
      </c>
      <c r="K1576" s="6" t="n">
        <f aca="false">COUNTIF(Transaction!$B$2:$B$8421,A1576)</f>
        <v>1</v>
      </c>
      <c r="L1576" s="10" t="n">
        <f aca="false">SUMIF(Transaction!$B$2:$B$8421,A1576,Transaction!$H$2:$H$8421)</f>
        <v>3128</v>
      </c>
      <c r="M1576" s="6" t="n">
        <f aca="false">Summary!$B$3-J1576</f>
        <v>189</v>
      </c>
      <c r="N1576" s="6" t="str">
        <f aca="false">IF(K1576&gt;1,"Yes","No")</f>
        <v>No</v>
      </c>
      <c r="O1576" s="6" t="s">
        <v>49</v>
      </c>
    </row>
    <row r="1577" customFormat="false" ht="15" hidden="false" customHeight="false" outlineLevel="0" collapsed="false">
      <c r="A1577" s="6" t="s">
        <v>3263</v>
      </c>
      <c r="B1577" s="6" t="s">
        <v>3264</v>
      </c>
      <c r="C1577" s="6" t="s">
        <v>75</v>
      </c>
      <c r="D1577" s="6" t="n">
        <v>18</v>
      </c>
      <c r="E1577" s="6" t="s">
        <v>134</v>
      </c>
      <c r="F1577" s="6" t="s">
        <v>135</v>
      </c>
      <c r="G1577" s="26" t="n">
        <v>46111</v>
      </c>
      <c r="H1577" s="6" t="s">
        <v>102</v>
      </c>
      <c r="I1577" s="26" t="n">
        <f aca="false">_xlfn.MINIFS(Transaction!$C$2:$C$8421,Transaction!$B$2:$B$8421,A1577)</f>
        <v>46132</v>
      </c>
      <c r="J1577" s="26" t="n">
        <f aca="false">_xlfn.MAXIFS(Transaction!$C$2:$C$8421,Transaction!$B$2:$B$8421,A1577)</f>
        <v>46132</v>
      </c>
      <c r="K1577" s="6" t="n">
        <f aca="false">COUNTIF(Transaction!$B$2:$B$8421,A1577)</f>
        <v>1</v>
      </c>
      <c r="L1577" s="10" t="n">
        <f aca="false">SUMIF(Transaction!$B$2:$B$8421,A1577,Transaction!$H$2:$H$8421)</f>
        <v>743</v>
      </c>
      <c r="M1577" s="6" t="n">
        <f aca="false">Summary!$B$3-J1577</f>
        <v>134</v>
      </c>
      <c r="N1577" s="6" t="str">
        <f aca="false">IF(K1577&gt;1,"Yes","No")</f>
        <v>No</v>
      </c>
      <c r="O1577" s="6" t="s">
        <v>48</v>
      </c>
    </row>
    <row r="1578" customFormat="false" ht="15" hidden="false" customHeight="false" outlineLevel="0" collapsed="false">
      <c r="A1578" s="6" t="s">
        <v>3265</v>
      </c>
      <c r="B1578" s="6" t="s">
        <v>3266</v>
      </c>
      <c r="C1578" s="6" t="s">
        <v>75</v>
      </c>
      <c r="D1578" s="6" t="n">
        <v>37</v>
      </c>
      <c r="E1578" s="6" t="s">
        <v>91</v>
      </c>
      <c r="F1578" s="6" t="s">
        <v>77</v>
      </c>
      <c r="G1578" s="26" t="n">
        <v>46025</v>
      </c>
      <c r="H1578" s="6" t="s">
        <v>123</v>
      </c>
      <c r="I1578" s="26" t="n">
        <f aca="false">_xlfn.MINIFS(Transaction!$C$2:$C$8421,Transaction!$B$2:$B$8421,A1578)</f>
        <v>46084</v>
      </c>
      <c r="J1578" s="26" t="n">
        <f aca="false">_xlfn.MAXIFS(Transaction!$C$2:$C$8421,Transaction!$B$2:$B$8421,A1578)</f>
        <v>46084</v>
      </c>
      <c r="K1578" s="6" t="n">
        <f aca="false">COUNTIF(Transaction!$B$2:$B$8421,A1578)</f>
        <v>1</v>
      </c>
      <c r="L1578" s="10" t="n">
        <f aca="false">SUMIF(Transaction!$B$2:$B$8421,A1578,Transaction!$H$2:$H$8421)</f>
        <v>1486</v>
      </c>
      <c r="M1578" s="6" t="n">
        <f aca="false">Summary!$B$3-J1578</f>
        <v>182</v>
      </c>
      <c r="N1578" s="6" t="str">
        <f aca="false">IF(K1578&gt;1,"Yes","No")</f>
        <v>No</v>
      </c>
      <c r="O1578" s="6" t="s">
        <v>49</v>
      </c>
    </row>
    <row r="1579" customFormat="false" ht="15" hidden="false" customHeight="false" outlineLevel="0" collapsed="false">
      <c r="A1579" s="6" t="s">
        <v>3267</v>
      </c>
      <c r="B1579" s="6" t="s">
        <v>3268</v>
      </c>
      <c r="C1579" s="6" t="s">
        <v>75</v>
      </c>
      <c r="D1579" s="6" t="n">
        <v>38</v>
      </c>
      <c r="E1579" s="6" t="s">
        <v>81</v>
      </c>
      <c r="F1579" s="6" t="s">
        <v>82</v>
      </c>
      <c r="G1579" s="26" t="n">
        <v>46174</v>
      </c>
      <c r="H1579" s="6" t="s">
        <v>92</v>
      </c>
      <c r="I1579" s="26" t="n">
        <f aca="false">_xlfn.MINIFS(Transaction!$C$2:$C$8421,Transaction!$B$2:$B$8421,A1579)</f>
        <v>46229</v>
      </c>
      <c r="J1579" s="26" t="n">
        <f aca="false">_xlfn.MAXIFS(Transaction!$C$2:$C$8421,Transaction!$B$2:$B$8421,A1579)</f>
        <v>46229</v>
      </c>
      <c r="K1579" s="6" t="n">
        <f aca="false">COUNTIF(Transaction!$B$2:$B$8421,A1579)</f>
        <v>1</v>
      </c>
      <c r="L1579" s="10" t="n">
        <f aca="false">SUMIF(Transaction!$B$2:$B$8421,A1579,Transaction!$H$2:$H$8421)</f>
        <v>1529</v>
      </c>
      <c r="M1579" s="6" t="n">
        <f aca="false">Summary!$B$3-J1579</f>
        <v>37</v>
      </c>
      <c r="N1579" s="6" t="str">
        <f aca="false">IF(K1579&gt;1,"Yes","No")</f>
        <v>No</v>
      </c>
      <c r="O1579" s="6" t="s">
        <v>47</v>
      </c>
    </row>
    <row r="1580" customFormat="false" ht="15" hidden="false" customHeight="false" outlineLevel="0" collapsed="false">
      <c r="A1580" s="6" t="s">
        <v>3269</v>
      </c>
      <c r="B1580" s="6" t="s">
        <v>3270</v>
      </c>
      <c r="C1580" s="6" t="s">
        <v>75</v>
      </c>
      <c r="D1580" s="6" t="n">
        <v>23</v>
      </c>
      <c r="E1580" s="6" t="s">
        <v>121</v>
      </c>
      <c r="F1580" s="6" t="s">
        <v>122</v>
      </c>
      <c r="G1580" s="26" t="n">
        <v>46057</v>
      </c>
      <c r="H1580" s="6" t="s">
        <v>92</v>
      </c>
      <c r="I1580" s="26" t="n">
        <f aca="false">_xlfn.MINIFS(Transaction!$C$2:$C$8421,Transaction!$B$2:$B$8421,A1580)</f>
        <v>46116</v>
      </c>
      <c r="J1580" s="26" t="n">
        <f aca="false">_xlfn.MAXIFS(Transaction!$C$2:$C$8421,Transaction!$B$2:$B$8421,A1580)</f>
        <v>46116</v>
      </c>
      <c r="K1580" s="6" t="n">
        <f aca="false">COUNTIF(Transaction!$B$2:$B$8421,A1580)</f>
        <v>1</v>
      </c>
      <c r="L1580" s="10" t="n">
        <f aca="false">SUMIF(Transaction!$B$2:$B$8421,A1580,Transaction!$H$2:$H$8421)</f>
        <v>704</v>
      </c>
      <c r="M1580" s="6" t="n">
        <f aca="false">Summary!$B$3-J1580</f>
        <v>150</v>
      </c>
      <c r="N1580" s="6" t="str">
        <f aca="false">IF(K1580&gt;1,"Yes","No")</f>
        <v>No</v>
      </c>
      <c r="O1580" s="6" t="s">
        <v>48</v>
      </c>
    </row>
    <row r="1581" customFormat="false" ht="15" hidden="false" customHeight="false" outlineLevel="0" collapsed="false">
      <c r="A1581" s="6" t="s">
        <v>3271</v>
      </c>
      <c r="B1581" s="6" t="s">
        <v>3272</v>
      </c>
      <c r="C1581" s="6" t="s">
        <v>75</v>
      </c>
      <c r="D1581" s="6" t="n">
        <v>36</v>
      </c>
      <c r="E1581" s="6" t="s">
        <v>98</v>
      </c>
      <c r="F1581" s="6" t="s">
        <v>99</v>
      </c>
      <c r="G1581" s="26" t="n">
        <v>46184</v>
      </c>
      <c r="H1581" s="6" t="s">
        <v>102</v>
      </c>
      <c r="I1581" s="26" t="n">
        <f aca="false">_xlfn.MINIFS(Transaction!$C$2:$C$8421,Transaction!$B$2:$B$8421,A1581)</f>
        <v>46241</v>
      </c>
      <c r="J1581" s="26" t="n">
        <f aca="false">_xlfn.MAXIFS(Transaction!$C$2:$C$8421,Transaction!$B$2:$B$8421,A1581)</f>
        <v>46241</v>
      </c>
      <c r="K1581" s="6" t="n">
        <f aca="false">COUNTIF(Transaction!$B$2:$B$8421,A1581)</f>
        <v>1</v>
      </c>
      <c r="L1581" s="10" t="n">
        <f aca="false">SUMIF(Transaction!$B$2:$B$8421,A1581,Transaction!$H$2:$H$8421)</f>
        <v>1120</v>
      </c>
      <c r="M1581" s="6" t="n">
        <f aca="false">Summary!$B$3-J1581</f>
        <v>25</v>
      </c>
      <c r="N1581" s="6" t="str">
        <f aca="false">IF(K1581&gt;1,"Yes","No")</f>
        <v>No</v>
      </c>
      <c r="O1581" s="6" t="s">
        <v>47</v>
      </c>
    </row>
    <row r="1582" customFormat="false" ht="15" hidden="false" customHeight="false" outlineLevel="0" collapsed="false">
      <c r="A1582" s="6" t="s">
        <v>3273</v>
      </c>
      <c r="B1582" s="6" t="s">
        <v>3274</v>
      </c>
      <c r="C1582" s="6" t="s">
        <v>85</v>
      </c>
      <c r="D1582" s="6" t="n">
        <v>26</v>
      </c>
      <c r="E1582" s="6" t="s">
        <v>81</v>
      </c>
      <c r="F1582" s="6" t="s">
        <v>82</v>
      </c>
      <c r="G1582" s="26" t="n">
        <v>46012</v>
      </c>
      <c r="H1582" s="6" t="s">
        <v>78</v>
      </c>
      <c r="I1582" s="26" t="n">
        <f aca="false">_xlfn.MINIFS(Transaction!$C$2:$C$8421,Transaction!$B$2:$B$8421,A1582)</f>
        <v>46039</v>
      </c>
      <c r="J1582" s="26" t="n">
        <f aca="false">_xlfn.MAXIFS(Transaction!$C$2:$C$8421,Transaction!$B$2:$B$8421,A1582)</f>
        <v>46260</v>
      </c>
      <c r="K1582" s="6" t="n">
        <f aca="false">COUNTIF(Transaction!$B$2:$B$8421,A1582)</f>
        <v>9</v>
      </c>
      <c r="L1582" s="10" t="n">
        <f aca="false">SUMIF(Transaction!$B$2:$B$8421,A1582,Transaction!$H$2:$H$8421)</f>
        <v>27149</v>
      </c>
      <c r="M1582" s="6" t="n">
        <f aca="false">Summary!$B$3-J1582</f>
        <v>6</v>
      </c>
      <c r="N1582" s="6" t="str">
        <f aca="false">IF(K1582&gt;1,"Yes","No")</f>
        <v>Yes</v>
      </c>
      <c r="O1582" s="6" t="s">
        <v>45</v>
      </c>
    </row>
    <row r="1583" customFormat="false" ht="15" hidden="false" customHeight="false" outlineLevel="0" collapsed="false">
      <c r="A1583" s="6" t="s">
        <v>3275</v>
      </c>
      <c r="B1583" s="6" t="s">
        <v>3276</v>
      </c>
      <c r="C1583" s="6" t="s">
        <v>75</v>
      </c>
      <c r="D1583" s="6" t="n">
        <v>26</v>
      </c>
      <c r="E1583" s="6" t="s">
        <v>121</v>
      </c>
      <c r="F1583" s="6" t="s">
        <v>122</v>
      </c>
      <c r="G1583" s="26" t="n">
        <v>45974</v>
      </c>
      <c r="H1583" s="6" t="s">
        <v>88</v>
      </c>
      <c r="I1583" s="26" t="n">
        <f aca="false">_xlfn.MINIFS(Transaction!$C$2:$C$8421,Transaction!$B$2:$B$8421,A1583)</f>
        <v>46042</v>
      </c>
      <c r="J1583" s="26" t="n">
        <f aca="false">_xlfn.MAXIFS(Transaction!$C$2:$C$8421,Transaction!$B$2:$B$8421,A1583)</f>
        <v>46250</v>
      </c>
      <c r="K1583" s="6" t="n">
        <f aca="false">COUNTIF(Transaction!$B$2:$B$8421,A1583)</f>
        <v>11</v>
      </c>
      <c r="L1583" s="10" t="n">
        <f aca="false">SUMIF(Transaction!$B$2:$B$8421,A1583,Transaction!$H$2:$H$8421)</f>
        <v>22065</v>
      </c>
      <c r="M1583" s="6" t="n">
        <f aca="false">Summary!$B$3-J1583</f>
        <v>16</v>
      </c>
      <c r="N1583" s="6" t="str">
        <f aca="false">IF(K1583&gt;1,"Yes","No")</f>
        <v>Yes</v>
      </c>
      <c r="O1583" s="6" t="s">
        <v>45</v>
      </c>
    </row>
    <row r="1584" customFormat="false" ht="15" hidden="false" customHeight="false" outlineLevel="0" collapsed="false">
      <c r="A1584" s="6" t="s">
        <v>3277</v>
      </c>
      <c r="B1584" s="6" t="s">
        <v>3278</v>
      </c>
      <c r="C1584" s="6" t="s">
        <v>85</v>
      </c>
      <c r="D1584" s="6" t="n">
        <v>45</v>
      </c>
      <c r="E1584" s="6" t="s">
        <v>95</v>
      </c>
      <c r="F1584" s="6" t="s">
        <v>95</v>
      </c>
      <c r="G1584" s="26" t="n">
        <v>46053</v>
      </c>
      <c r="H1584" s="6" t="s">
        <v>123</v>
      </c>
      <c r="I1584" s="26" t="n">
        <f aca="false">_xlfn.MINIFS(Transaction!$C$2:$C$8421,Transaction!$B$2:$B$8421,A1584)</f>
        <v>46059</v>
      </c>
      <c r="J1584" s="26" t="n">
        <f aca="false">_xlfn.MAXIFS(Transaction!$C$2:$C$8421,Transaction!$B$2:$B$8421,A1584)</f>
        <v>46261</v>
      </c>
      <c r="K1584" s="6" t="n">
        <f aca="false">COUNTIF(Transaction!$B$2:$B$8421,A1584)</f>
        <v>11</v>
      </c>
      <c r="L1584" s="10" t="n">
        <f aca="false">SUMIF(Transaction!$B$2:$B$8421,A1584,Transaction!$H$2:$H$8421)</f>
        <v>19812</v>
      </c>
      <c r="M1584" s="6" t="n">
        <f aca="false">Summary!$B$3-J1584</f>
        <v>5</v>
      </c>
      <c r="N1584" s="6" t="str">
        <f aca="false">IF(K1584&gt;1,"Yes","No")</f>
        <v>Yes</v>
      </c>
      <c r="O1584" s="6" t="s">
        <v>45</v>
      </c>
    </row>
    <row r="1585" customFormat="false" ht="15" hidden="false" customHeight="false" outlineLevel="0" collapsed="false">
      <c r="A1585" s="6" t="s">
        <v>3279</v>
      </c>
      <c r="B1585" s="6" t="s">
        <v>3280</v>
      </c>
      <c r="C1585" s="6" t="s">
        <v>85</v>
      </c>
      <c r="D1585" s="6" t="n">
        <v>39</v>
      </c>
      <c r="E1585" s="6" t="s">
        <v>91</v>
      </c>
      <c r="F1585" s="6" t="s">
        <v>77</v>
      </c>
      <c r="G1585" s="26" t="n">
        <v>45997</v>
      </c>
      <c r="H1585" s="6" t="s">
        <v>102</v>
      </c>
      <c r="I1585" s="26" t="n">
        <f aca="false">_xlfn.MINIFS(Transaction!$C$2:$C$8421,Transaction!$B$2:$B$8421,A1585)</f>
        <v>46078</v>
      </c>
      <c r="J1585" s="26" t="n">
        <f aca="false">_xlfn.MAXIFS(Transaction!$C$2:$C$8421,Transaction!$B$2:$B$8421,A1585)</f>
        <v>46078</v>
      </c>
      <c r="K1585" s="6" t="n">
        <f aca="false">COUNTIF(Transaction!$B$2:$B$8421,A1585)</f>
        <v>1</v>
      </c>
      <c r="L1585" s="10" t="n">
        <f aca="false">SUMIF(Transaction!$B$2:$B$8421,A1585,Transaction!$H$2:$H$8421)</f>
        <v>263</v>
      </c>
      <c r="M1585" s="6" t="n">
        <f aca="false">Summary!$B$3-J1585</f>
        <v>188</v>
      </c>
      <c r="N1585" s="6" t="str">
        <f aca="false">IF(K1585&gt;1,"Yes","No")</f>
        <v>No</v>
      </c>
      <c r="O1585" s="6" t="s">
        <v>49</v>
      </c>
    </row>
    <row r="1586" customFormat="false" ht="15" hidden="false" customHeight="false" outlineLevel="0" collapsed="false">
      <c r="A1586" s="6" t="s">
        <v>3281</v>
      </c>
      <c r="B1586" s="6" t="s">
        <v>3282</v>
      </c>
      <c r="C1586" s="6" t="s">
        <v>75</v>
      </c>
      <c r="D1586" s="6" t="n">
        <v>22</v>
      </c>
      <c r="E1586" s="6" t="s">
        <v>264</v>
      </c>
      <c r="F1586" s="6" t="s">
        <v>106</v>
      </c>
      <c r="G1586" s="26" t="n">
        <v>46144</v>
      </c>
      <c r="H1586" s="6" t="s">
        <v>115</v>
      </c>
      <c r="I1586" s="26" t="n">
        <f aca="false">_xlfn.MINIFS(Transaction!$C$2:$C$8421,Transaction!$B$2:$B$8421,A1586)</f>
        <v>46159</v>
      </c>
      <c r="J1586" s="26" t="n">
        <f aca="false">_xlfn.MAXIFS(Transaction!$C$2:$C$8421,Transaction!$B$2:$B$8421,A1586)</f>
        <v>46186</v>
      </c>
      <c r="K1586" s="6" t="n">
        <f aca="false">COUNTIF(Transaction!$B$2:$B$8421,A1586)</f>
        <v>3</v>
      </c>
      <c r="L1586" s="10" t="n">
        <f aca="false">SUMIF(Transaction!$B$2:$B$8421,A1586,Transaction!$H$2:$H$8421)</f>
        <v>4811</v>
      </c>
      <c r="M1586" s="6" t="n">
        <f aca="false">Summary!$B$3-J1586</f>
        <v>80</v>
      </c>
      <c r="N1586" s="6" t="str">
        <f aca="false">IF(K1586&gt;1,"Yes","No")</f>
        <v>Yes</v>
      </c>
      <c r="O1586" s="6" t="s">
        <v>46</v>
      </c>
    </row>
    <row r="1587" customFormat="false" ht="15" hidden="false" customHeight="false" outlineLevel="0" collapsed="false">
      <c r="A1587" s="6" t="s">
        <v>3283</v>
      </c>
      <c r="B1587" s="6" t="s">
        <v>3284</v>
      </c>
      <c r="C1587" s="6" t="s">
        <v>85</v>
      </c>
      <c r="D1587" s="6" t="n">
        <v>28</v>
      </c>
      <c r="E1587" s="6" t="s">
        <v>134</v>
      </c>
      <c r="F1587" s="6" t="s">
        <v>135</v>
      </c>
      <c r="G1587" s="26" t="n">
        <v>46032</v>
      </c>
      <c r="H1587" s="6" t="s">
        <v>115</v>
      </c>
      <c r="I1587" s="26" t="n">
        <f aca="false">_xlfn.MINIFS(Transaction!$C$2:$C$8421,Transaction!$B$2:$B$8421,A1587)</f>
        <v>46107</v>
      </c>
      <c r="J1587" s="26" t="n">
        <f aca="false">_xlfn.MAXIFS(Transaction!$C$2:$C$8421,Transaction!$B$2:$B$8421,A1587)</f>
        <v>46234</v>
      </c>
      <c r="K1587" s="6" t="n">
        <f aca="false">COUNTIF(Transaction!$B$2:$B$8421,A1587)</f>
        <v>2</v>
      </c>
      <c r="L1587" s="10" t="n">
        <f aca="false">SUMIF(Transaction!$B$2:$B$8421,A1587,Transaction!$H$2:$H$8421)</f>
        <v>9662</v>
      </c>
      <c r="M1587" s="6" t="n">
        <f aca="false">Summary!$B$3-J1587</f>
        <v>32</v>
      </c>
      <c r="N1587" s="6" t="str">
        <f aca="false">IF(K1587&gt;1,"Yes","No")</f>
        <v>Yes</v>
      </c>
      <c r="O1587" s="6" t="s">
        <v>46</v>
      </c>
    </row>
    <row r="1588" customFormat="false" ht="15" hidden="false" customHeight="false" outlineLevel="0" collapsed="false">
      <c r="A1588" s="6" t="s">
        <v>3285</v>
      </c>
      <c r="B1588" s="6" t="s">
        <v>3286</v>
      </c>
      <c r="C1588" s="6" t="s">
        <v>75</v>
      </c>
      <c r="D1588" s="6" t="n">
        <v>38</v>
      </c>
      <c r="E1588" s="6" t="s">
        <v>76</v>
      </c>
      <c r="F1588" s="6" t="s">
        <v>77</v>
      </c>
      <c r="G1588" s="26" t="n">
        <v>46037</v>
      </c>
      <c r="H1588" s="6" t="s">
        <v>102</v>
      </c>
      <c r="I1588" s="26" t="n">
        <f aca="false">_xlfn.MINIFS(Transaction!$C$2:$C$8421,Transaction!$B$2:$B$8421,A1588)</f>
        <v>46086</v>
      </c>
      <c r="J1588" s="26" t="n">
        <f aca="false">_xlfn.MAXIFS(Transaction!$C$2:$C$8421,Transaction!$B$2:$B$8421,A1588)</f>
        <v>46086</v>
      </c>
      <c r="K1588" s="6" t="n">
        <f aca="false">COUNTIF(Transaction!$B$2:$B$8421,A1588)</f>
        <v>1</v>
      </c>
      <c r="L1588" s="10" t="n">
        <f aca="false">SUMIF(Transaction!$B$2:$B$8421,A1588,Transaction!$H$2:$H$8421)</f>
        <v>589</v>
      </c>
      <c r="M1588" s="6" t="n">
        <f aca="false">Summary!$B$3-J1588</f>
        <v>180</v>
      </c>
      <c r="N1588" s="6" t="str">
        <f aca="false">IF(K1588&gt;1,"Yes","No")</f>
        <v>No</v>
      </c>
      <c r="O1588" s="6" t="s">
        <v>49</v>
      </c>
    </row>
    <row r="1589" customFormat="false" ht="15" hidden="false" customHeight="false" outlineLevel="0" collapsed="false">
      <c r="A1589" s="6" t="s">
        <v>3287</v>
      </c>
      <c r="B1589" s="6" t="s">
        <v>3288</v>
      </c>
      <c r="C1589" s="6" t="s">
        <v>75</v>
      </c>
      <c r="D1589" s="6" t="n">
        <v>44</v>
      </c>
      <c r="E1589" s="6" t="s">
        <v>95</v>
      </c>
      <c r="F1589" s="6" t="s">
        <v>95</v>
      </c>
      <c r="G1589" s="26" t="n">
        <v>46044</v>
      </c>
      <c r="H1589" s="6" t="s">
        <v>78</v>
      </c>
      <c r="I1589" s="26" t="n">
        <f aca="false">_xlfn.MINIFS(Transaction!$C$2:$C$8421,Transaction!$B$2:$B$8421,A1589)</f>
        <v>46113</v>
      </c>
      <c r="J1589" s="26" t="n">
        <f aca="false">_xlfn.MAXIFS(Transaction!$C$2:$C$8421,Transaction!$B$2:$B$8421,A1589)</f>
        <v>46191</v>
      </c>
      <c r="K1589" s="6" t="n">
        <f aca="false">COUNTIF(Transaction!$B$2:$B$8421,A1589)</f>
        <v>2</v>
      </c>
      <c r="L1589" s="10" t="n">
        <f aca="false">SUMIF(Transaction!$B$2:$B$8421,A1589,Transaction!$H$2:$H$8421)</f>
        <v>1954</v>
      </c>
      <c r="M1589" s="6" t="n">
        <f aca="false">Summary!$B$3-J1589</f>
        <v>75</v>
      </c>
      <c r="N1589" s="6" t="str">
        <f aca="false">IF(K1589&gt;1,"Yes","No")</f>
        <v>Yes</v>
      </c>
      <c r="O1589" s="6" t="s">
        <v>46</v>
      </c>
    </row>
    <row r="1590" customFormat="false" ht="15" hidden="false" customHeight="false" outlineLevel="0" collapsed="false">
      <c r="A1590" s="6" t="s">
        <v>3289</v>
      </c>
      <c r="B1590" s="6" t="s">
        <v>3290</v>
      </c>
      <c r="C1590" s="6" t="s">
        <v>75</v>
      </c>
      <c r="D1590" s="6" t="n">
        <v>29</v>
      </c>
      <c r="E1590" s="6" t="s">
        <v>86</v>
      </c>
      <c r="F1590" s="6" t="s">
        <v>87</v>
      </c>
      <c r="G1590" s="26" t="n">
        <v>46112</v>
      </c>
      <c r="H1590" s="6" t="s">
        <v>102</v>
      </c>
      <c r="I1590" s="26" t="n">
        <f aca="false">_xlfn.MINIFS(Transaction!$C$2:$C$8421,Transaction!$B$2:$B$8421,A1590)</f>
        <v>46136</v>
      </c>
      <c r="J1590" s="26" t="n">
        <f aca="false">_xlfn.MAXIFS(Transaction!$C$2:$C$8421,Transaction!$B$2:$B$8421,A1590)</f>
        <v>46136</v>
      </c>
      <c r="K1590" s="6" t="n">
        <f aca="false">COUNTIF(Transaction!$B$2:$B$8421,A1590)</f>
        <v>1</v>
      </c>
      <c r="L1590" s="10" t="n">
        <f aca="false">SUMIF(Transaction!$B$2:$B$8421,A1590,Transaction!$H$2:$H$8421)</f>
        <v>1760</v>
      </c>
      <c r="M1590" s="6" t="n">
        <f aca="false">Summary!$B$3-J1590</f>
        <v>130</v>
      </c>
      <c r="N1590" s="6" t="str">
        <f aca="false">IF(K1590&gt;1,"Yes","No")</f>
        <v>No</v>
      </c>
      <c r="O1590" s="6" t="s">
        <v>48</v>
      </c>
    </row>
    <row r="1591" customFormat="false" ht="15" hidden="false" customHeight="false" outlineLevel="0" collapsed="false">
      <c r="A1591" s="6" t="s">
        <v>3291</v>
      </c>
      <c r="B1591" s="6" t="s">
        <v>3292</v>
      </c>
      <c r="C1591" s="6" t="s">
        <v>75</v>
      </c>
      <c r="D1591" s="6" t="n">
        <v>34</v>
      </c>
      <c r="E1591" s="6" t="s">
        <v>81</v>
      </c>
      <c r="F1591" s="6" t="s">
        <v>82</v>
      </c>
      <c r="G1591" s="26" t="n">
        <v>46214</v>
      </c>
      <c r="H1591" s="6" t="s">
        <v>115</v>
      </c>
      <c r="I1591" s="26" t="n">
        <f aca="false">_xlfn.MINIFS(Transaction!$C$2:$C$8421,Transaction!$B$2:$B$8421,A1591)</f>
        <v>46260</v>
      </c>
      <c r="J1591" s="26" t="n">
        <f aca="false">_xlfn.MAXIFS(Transaction!$C$2:$C$8421,Transaction!$B$2:$B$8421,A1591)</f>
        <v>46260</v>
      </c>
      <c r="K1591" s="6" t="n">
        <f aca="false">COUNTIF(Transaction!$B$2:$B$8421,A1591)</f>
        <v>1</v>
      </c>
      <c r="L1591" s="10" t="n">
        <f aca="false">SUMIF(Transaction!$B$2:$B$8421,A1591,Transaction!$H$2:$H$8421)</f>
        <v>1761</v>
      </c>
      <c r="M1591" s="6" t="n">
        <f aca="false">Summary!$B$3-J1591</f>
        <v>6</v>
      </c>
      <c r="N1591" s="6" t="str">
        <f aca="false">IF(K1591&gt;1,"Yes","No")</f>
        <v>No</v>
      </c>
      <c r="O1591" s="6" t="s">
        <v>47</v>
      </c>
    </row>
    <row r="1592" customFormat="false" ht="15" hidden="false" customHeight="false" outlineLevel="0" collapsed="false">
      <c r="A1592" s="6" t="s">
        <v>3293</v>
      </c>
      <c r="B1592" s="6" t="s">
        <v>3294</v>
      </c>
      <c r="C1592" s="6" t="s">
        <v>85</v>
      </c>
      <c r="D1592" s="6" t="n">
        <v>37</v>
      </c>
      <c r="E1592" s="6" t="s">
        <v>86</v>
      </c>
      <c r="F1592" s="6" t="s">
        <v>87</v>
      </c>
      <c r="G1592" s="26" t="n">
        <v>46087</v>
      </c>
      <c r="H1592" s="6" t="s">
        <v>78</v>
      </c>
      <c r="I1592" s="26" t="n">
        <f aca="false">_xlfn.MINIFS(Transaction!$C$2:$C$8421,Transaction!$B$2:$B$8421,A1592)</f>
        <v>46111</v>
      </c>
      <c r="J1592" s="26" t="n">
        <f aca="false">_xlfn.MAXIFS(Transaction!$C$2:$C$8421,Transaction!$B$2:$B$8421,A1592)</f>
        <v>46194</v>
      </c>
      <c r="K1592" s="6" t="n">
        <f aca="false">COUNTIF(Transaction!$B$2:$B$8421,A1592)</f>
        <v>4</v>
      </c>
      <c r="L1592" s="10" t="n">
        <f aca="false">SUMIF(Transaction!$B$2:$B$8421,A1592,Transaction!$H$2:$H$8421)</f>
        <v>9190</v>
      </c>
      <c r="M1592" s="6" t="n">
        <f aca="false">Summary!$B$3-J1592</f>
        <v>72</v>
      </c>
      <c r="N1592" s="6" t="str">
        <f aca="false">IF(K1592&gt;1,"Yes","No")</f>
        <v>Yes</v>
      </c>
      <c r="O1592" s="6" t="s">
        <v>46</v>
      </c>
    </row>
    <row r="1593" customFormat="false" ht="15" hidden="false" customHeight="false" outlineLevel="0" collapsed="false">
      <c r="A1593" s="6" t="s">
        <v>3295</v>
      </c>
      <c r="B1593" s="6" t="s">
        <v>3296</v>
      </c>
      <c r="C1593" s="6" t="s">
        <v>85</v>
      </c>
      <c r="D1593" s="6" t="n">
        <v>28</v>
      </c>
      <c r="E1593" s="6" t="s">
        <v>91</v>
      </c>
      <c r="F1593" s="6" t="s">
        <v>77</v>
      </c>
      <c r="G1593" s="26" t="n">
        <v>46144</v>
      </c>
      <c r="H1593" s="6" t="s">
        <v>78</v>
      </c>
      <c r="I1593" s="26" t="n">
        <f aca="false">_xlfn.MINIFS(Transaction!$C$2:$C$8421,Transaction!$B$2:$B$8421,A1593)</f>
        <v>46221</v>
      </c>
      <c r="J1593" s="26" t="n">
        <f aca="false">_xlfn.MAXIFS(Transaction!$C$2:$C$8421,Transaction!$B$2:$B$8421,A1593)</f>
        <v>46221</v>
      </c>
      <c r="K1593" s="6" t="n">
        <f aca="false">COUNTIF(Transaction!$B$2:$B$8421,A1593)</f>
        <v>1</v>
      </c>
      <c r="L1593" s="10" t="n">
        <f aca="false">SUMIF(Transaction!$B$2:$B$8421,A1593,Transaction!$H$2:$H$8421)</f>
        <v>2948</v>
      </c>
      <c r="M1593" s="6" t="n">
        <f aca="false">Summary!$B$3-J1593</f>
        <v>45</v>
      </c>
      <c r="N1593" s="6" t="str">
        <f aca="false">IF(K1593&gt;1,"Yes","No")</f>
        <v>No</v>
      </c>
      <c r="O1593" s="6" t="s">
        <v>47</v>
      </c>
    </row>
    <row r="1594" customFormat="false" ht="15" hidden="false" customHeight="false" outlineLevel="0" collapsed="false">
      <c r="A1594" s="6" t="s">
        <v>3297</v>
      </c>
      <c r="B1594" s="6" t="s">
        <v>3298</v>
      </c>
      <c r="C1594" s="6" t="s">
        <v>75</v>
      </c>
      <c r="D1594" s="6" t="n">
        <v>25</v>
      </c>
      <c r="E1594" s="6" t="s">
        <v>95</v>
      </c>
      <c r="F1594" s="6" t="s">
        <v>95</v>
      </c>
      <c r="G1594" s="26" t="n">
        <v>46033</v>
      </c>
      <c r="H1594" s="6" t="s">
        <v>78</v>
      </c>
      <c r="I1594" s="26" t="n">
        <f aca="false">_xlfn.MINIFS(Transaction!$C$2:$C$8421,Transaction!$B$2:$B$8421,A1594)</f>
        <v>46079</v>
      </c>
      <c r="J1594" s="26" t="n">
        <f aca="false">_xlfn.MAXIFS(Transaction!$C$2:$C$8421,Transaction!$B$2:$B$8421,A1594)</f>
        <v>46079</v>
      </c>
      <c r="K1594" s="6" t="n">
        <f aca="false">COUNTIF(Transaction!$B$2:$B$8421,A1594)</f>
        <v>1</v>
      </c>
      <c r="L1594" s="10" t="n">
        <f aca="false">SUMIF(Transaction!$B$2:$B$8421,A1594,Transaction!$H$2:$H$8421)</f>
        <v>773</v>
      </c>
      <c r="M1594" s="6" t="n">
        <f aca="false">Summary!$B$3-J1594</f>
        <v>187</v>
      </c>
      <c r="N1594" s="6" t="str">
        <f aca="false">IF(K1594&gt;1,"Yes","No")</f>
        <v>No</v>
      </c>
      <c r="O1594" s="6" t="s">
        <v>49</v>
      </c>
    </row>
    <row r="1595" customFormat="false" ht="15" hidden="false" customHeight="false" outlineLevel="0" collapsed="false">
      <c r="A1595" s="6" t="s">
        <v>3299</v>
      </c>
      <c r="B1595" s="6" t="s">
        <v>3300</v>
      </c>
      <c r="C1595" s="6" t="s">
        <v>75</v>
      </c>
      <c r="D1595" s="6" t="n">
        <v>33</v>
      </c>
      <c r="E1595" s="6" t="s">
        <v>95</v>
      </c>
      <c r="F1595" s="6" t="s">
        <v>95</v>
      </c>
      <c r="G1595" s="26" t="n">
        <v>46236</v>
      </c>
      <c r="H1595" s="6" t="s">
        <v>78</v>
      </c>
      <c r="I1595" s="26" t="n">
        <f aca="false">_xlfn.MINIFS(Transaction!$C$2:$C$8421,Transaction!$B$2:$B$8421,A1595)</f>
        <v>46247</v>
      </c>
      <c r="J1595" s="26" t="n">
        <f aca="false">_xlfn.MAXIFS(Transaction!$C$2:$C$8421,Transaction!$B$2:$B$8421,A1595)</f>
        <v>46247</v>
      </c>
      <c r="K1595" s="6" t="n">
        <f aca="false">COUNTIF(Transaction!$B$2:$B$8421,A1595)</f>
        <v>1</v>
      </c>
      <c r="L1595" s="10" t="n">
        <f aca="false">SUMIF(Transaction!$B$2:$B$8421,A1595,Transaction!$H$2:$H$8421)</f>
        <v>330</v>
      </c>
      <c r="M1595" s="6" t="n">
        <f aca="false">Summary!$B$3-J1595</f>
        <v>19</v>
      </c>
      <c r="N1595" s="6" t="str">
        <f aca="false">IF(K1595&gt;1,"Yes","No")</f>
        <v>No</v>
      </c>
      <c r="O1595" s="6" t="s">
        <v>47</v>
      </c>
    </row>
    <row r="1596" customFormat="false" ht="15" hidden="false" customHeight="false" outlineLevel="0" collapsed="false">
      <c r="A1596" s="6" t="s">
        <v>3301</v>
      </c>
      <c r="B1596" s="6" t="s">
        <v>3302</v>
      </c>
      <c r="C1596" s="6" t="s">
        <v>75</v>
      </c>
      <c r="D1596" s="6" t="n">
        <v>23</v>
      </c>
      <c r="E1596" s="6" t="s">
        <v>121</v>
      </c>
      <c r="F1596" s="6" t="s">
        <v>122</v>
      </c>
      <c r="G1596" s="26" t="n">
        <v>46099</v>
      </c>
      <c r="H1596" s="6" t="s">
        <v>78</v>
      </c>
      <c r="I1596" s="26" t="n">
        <f aca="false">_xlfn.MINIFS(Transaction!$C$2:$C$8421,Transaction!$B$2:$B$8421,A1596)</f>
        <v>46106</v>
      </c>
      <c r="J1596" s="26" t="n">
        <f aca="false">_xlfn.MAXIFS(Transaction!$C$2:$C$8421,Transaction!$B$2:$B$8421,A1596)</f>
        <v>46259</v>
      </c>
      <c r="K1596" s="6" t="n">
        <f aca="false">COUNTIF(Transaction!$B$2:$B$8421,A1596)</f>
        <v>9</v>
      </c>
      <c r="L1596" s="10" t="n">
        <f aca="false">SUMIF(Transaction!$B$2:$B$8421,A1596,Transaction!$H$2:$H$8421)</f>
        <v>12654</v>
      </c>
      <c r="M1596" s="6" t="n">
        <f aca="false">Summary!$B$3-J1596</f>
        <v>7</v>
      </c>
      <c r="N1596" s="6" t="str">
        <f aca="false">IF(K1596&gt;1,"Yes","No")</f>
        <v>Yes</v>
      </c>
      <c r="O1596" s="6" t="s">
        <v>45</v>
      </c>
    </row>
    <row r="1597" customFormat="false" ht="15" hidden="false" customHeight="false" outlineLevel="0" collapsed="false">
      <c r="A1597" s="6" t="s">
        <v>3303</v>
      </c>
      <c r="B1597" s="6" t="s">
        <v>3304</v>
      </c>
      <c r="C1597" s="6" t="s">
        <v>85</v>
      </c>
      <c r="D1597" s="6" t="n">
        <v>48</v>
      </c>
      <c r="E1597" s="6" t="s">
        <v>95</v>
      </c>
      <c r="F1597" s="6" t="s">
        <v>95</v>
      </c>
      <c r="G1597" s="26" t="n">
        <v>46173</v>
      </c>
      <c r="H1597" s="6" t="s">
        <v>88</v>
      </c>
      <c r="I1597" s="26" t="n">
        <f aca="false">_xlfn.MINIFS(Transaction!$C$2:$C$8421,Transaction!$B$2:$B$8421,A1597)</f>
        <v>46188</v>
      </c>
      <c r="J1597" s="26" t="n">
        <f aca="false">_xlfn.MAXIFS(Transaction!$C$2:$C$8421,Transaction!$B$2:$B$8421,A1597)</f>
        <v>46188</v>
      </c>
      <c r="K1597" s="6" t="n">
        <f aca="false">COUNTIF(Transaction!$B$2:$B$8421,A1597)</f>
        <v>1</v>
      </c>
      <c r="L1597" s="10" t="n">
        <f aca="false">SUMIF(Transaction!$B$2:$B$8421,A1597,Transaction!$H$2:$H$8421)</f>
        <v>1325</v>
      </c>
      <c r="M1597" s="6" t="n">
        <f aca="false">Summary!$B$3-J1597</f>
        <v>78</v>
      </c>
      <c r="N1597" s="6" t="str">
        <f aca="false">IF(K1597&gt;1,"Yes","No")</f>
        <v>No</v>
      </c>
      <c r="O1597" s="6" t="s">
        <v>47</v>
      </c>
    </row>
    <row r="1598" customFormat="false" ht="15" hidden="false" customHeight="false" outlineLevel="0" collapsed="false">
      <c r="A1598" s="6" t="s">
        <v>3305</v>
      </c>
      <c r="B1598" s="6" t="s">
        <v>3306</v>
      </c>
      <c r="C1598" s="6" t="s">
        <v>85</v>
      </c>
      <c r="D1598" s="6" t="n">
        <v>35</v>
      </c>
      <c r="E1598" s="6" t="s">
        <v>105</v>
      </c>
      <c r="F1598" s="6" t="s">
        <v>106</v>
      </c>
      <c r="G1598" s="26" t="n">
        <v>46070</v>
      </c>
      <c r="H1598" s="6" t="s">
        <v>115</v>
      </c>
      <c r="I1598" s="26" t="n">
        <f aca="false">_xlfn.MINIFS(Transaction!$C$2:$C$8421,Transaction!$B$2:$B$8421,A1598)</f>
        <v>46074</v>
      </c>
      <c r="J1598" s="26" t="n">
        <f aca="false">_xlfn.MAXIFS(Transaction!$C$2:$C$8421,Transaction!$B$2:$B$8421,A1598)</f>
        <v>46074</v>
      </c>
      <c r="K1598" s="6" t="n">
        <f aca="false">COUNTIF(Transaction!$B$2:$B$8421,A1598)</f>
        <v>1</v>
      </c>
      <c r="L1598" s="10" t="n">
        <f aca="false">SUMIF(Transaction!$B$2:$B$8421,A1598,Transaction!$H$2:$H$8421)</f>
        <v>1672</v>
      </c>
      <c r="M1598" s="6" t="n">
        <f aca="false">Summary!$B$3-J1598</f>
        <v>192</v>
      </c>
      <c r="N1598" s="6" t="str">
        <f aca="false">IF(K1598&gt;1,"Yes","No")</f>
        <v>No</v>
      </c>
      <c r="O1598" s="6" t="s">
        <v>49</v>
      </c>
    </row>
    <row r="1599" customFormat="false" ht="15" hidden="false" customHeight="false" outlineLevel="0" collapsed="false">
      <c r="A1599" s="6" t="s">
        <v>3307</v>
      </c>
      <c r="B1599" s="6" t="s">
        <v>3308</v>
      </c>
      <c r="C1599" s="6" t="s">
        <v>85</v>
      </c>
      <c r="D1599" s="6" t="n">
        <v>22</v>
      </c>
      <c r="E1599" s="6" t="s">
        <v>86</v>
      </c>
      <c r="F1599" s="6" t="s">
        <v>87</v>
      </c>
      <c r="G1599" s="26" t="n">
        <v>46105</v>
      </c>
      <c r="H1599" s="6" t="s">
        <v>123</v>
      </c>
      <c r="I1599" s="26" t="n">
        <f aca="false">_xlfn.MINIFS(Transaction!$C$2:$C$8421,Transaction!$B$2:$B$8421,A1599)</f>
        <v>46114</v>
      </c>
      <c r="J1599" s="26" t="n">
        <f aca="false">_xlfn.MAXIFS(Transaction!$C$2:$C$8421,Transaction!$B$2:$B$8421,A1599)</f>
        <v>46258</v>
      </c>
      <c r="K1599" s="6" t="n">
        <f aca="false">COUNTIF(Transaction!$B$2:$B$8421,A1599)</f>
        <v>8</v>
      </c>
      <c r="L1599" s="10" t="n">
        <f aca="false">SUMIF(Transaction!$B$2:$B$8421,A1599,Transaction!$H$2:$H$8421)</f>
        <v>26805</v>
      </c>
      <c r="M1599" s="6" t="n">
        <f aca="false">Summary!$B$3-J1599</f>
        <v>8</v>
      </c>
      <c r="N1599" s="6" t="str">
        <f aca="false">IF(K1599&gt;1,"Yes","No")</f>
        <v>Yes</v>
      </c>
      <c r="O1599" s="6" t="s">
        <v>45</v>
      </c>
    </row>
    <row r="1600" customFormat="false" ht="15" hidden="false" customHeight="false" outlineLevel="0" collapsed="false">
      <c r="A1600" s="6" t="s">
        <v>3309</v>
      </c>
      <c r="B1600" s="6" t="s">
        <v>3310</v>
      </c>
      <c r="C1600" s="6" t="s">
        <v>75</v>
      </c>
      <c r="D1600" s="6" t="n">
        <v>22</v>
      </c>
      <c r="E1600" s="6" t="s">
        <v>91</v>
      </c>
      <c r="F1600" s="6" t="s">
        <v>77</v>
      </c>
      <c r="G1600" s="26" t="n">
        <v>46253</v>
      </c>
      <c r="H1600" s="6" t="s">
        <v>115</v>
      </c>
      <c r="I1600" s="26" t="n">
        <f aca="false">_xlfn.MINIFS(Transaction!$C$2:$C$8421,Transaction!$B$2:$B$8421,A1600)</f>
        <v>46262</v>
      </c>
      <c r="J1600" s="26" t="n">
        <f aca="false">_xlfn.MAXIFS(Transaction!$C$2:$C$8421,Transaction!$B$2:$B$8421,A1600)</f>
        <v>46262</v>
      </c>
      <c r="K1600" s="6" t="n">
        <f aca="false">COUNTIF(Transaction!$B$2:$B$8421,A1600)</f>
        <v>1</v>
      </c>
      <c r="L1600" s="10" t="n">
        <f aca="false">SUMIF(Transaction!$B$2:$B$8421,A1600,Transaction!$H$2:$H$8421)</f>
        <v>1220</v>
      </c>
      <c r="M1600" s="6" t="n">
        <f aca="false">Summary!$B$3-J1600</f>
        <v>4</v>
      </c>
      <c r="N1600" s="6" t="str">
        <f aca="false">IF(K1600&gt;1,"Yes","No")</f>
        <v>No</v>
      </c>
      <c r="O1600" s="6" t="s">
        <v>47</v>
      </c>
    </row>
    <row r="1601" customFormat="false" ht="15" hidden="false" customHeight="false" outlineLevel="0" collapsed="false">
      <c r="A1601" s="6" t="s">
        <v>3311</v>
      </c>
      <c r="B1601" s="6" t="s">
        <v>3312</v>
      </c>
      <c r="C1601" s="6" t="s">
        <v>85</v>
      </c>
      <c r="D1601" s="6" t="n">
        <v>36</v>
      </c>
      <c r="E1601" s="6" t="s">
        <v>95</v>
      </c>
      <c r="F1601" s="6" t="s">
        <v>95</v>
      </c>
      <c r="G1601" s="26" t="n">
        <v>46004</v>
      </c>
      <c r="H1601" s="6" t="s">
        <v>78</v>
      </c>
      <c r="I1601" s="26" t="n">
        <f aca="false">_xlfn.MINIFS(Transaction!$C$2:$C$8421,Transaction!$B$2:$B$8421,A1601)</f>
        <v>46050</v>
      </c>
      <c r="J1601" s="26" t="n">
        <f aca="false">_xlfn.MAXIFS(Transaction!$C$2:$C$8421,Transaction!$B$2:$B$8421,A1601)</f>
        <v>46259</v>
      </c>
      <c r="K1601" s="6" t="n">
        <f aca="false">COUNTIF(Transaction!$B$2:$B$8421,A1601)</f>
        <v>4</v>
      </c>
      <c r="L1601" s="10" t="n">
        <f aca="false">SUMIF(Transaction!$B$2:$B$8421,A1601,Transaction!$H$2:$H$8421)</f>
        <v>11831</v>
      </c>
      <c r="M1601" s="6" t="n">
        <f aca="false">Summary!$B$3-J1601</f>
        <v>7</v>
      </c>
      <c r="N1601" s="6" t="str">
        <f aca="false">IF(K1601&gt;1,"Yes","No")</f>
        <v>Yes</v>
      </c>
      <c r="O1601" s="6" t="s">
        <v>46</v>
      </c>
    </row>
    <row r="1602" customFormat="false" ht="15" hidden="false" customHeight="false" outlineLevel="0" collapsed="false">
      <c r="A1602" s="6" t="s">
        <v>3313</v>
      </c>
      <c r="B1602" s="6" t="s">
        <v>3314</v>
      </c>
      <c r="C1602" s="6" t="s">
        <v>75</v>
      </c>
      <c r="D1602" s="6" t="n">
        <v>38</v>
      </c>
      <c r="E1602" s="6" t="s">
        <v>430</v>
      </c>
      <c r="F1602" s="6" t="s">
        <v>99</v>
      </c>
      <c r="G1602" s="26" t="n">
        <v>46082</v>
      </c>
      <c r="H1602" s="6" t="s">
        <v>88</v>
      </c>
      <c r="I1602" s="26" t="n">
        <f aca="false">_xlfn.MINIFS(Transaction!$C$2:$C$8421,Transaction!$B$2:$B$8421,A1602)</f>
        <v>46164</v>
      </c>
      <c r="J1602" s="26" t="n">
        <f aca="false">_xlfn.MAXIFS(Transaction!$C$2:$C$8421,Transaction!$B$2:$B$8421,A1602)</f>
        <v>46164</v>
      </c>
      <c r="K1602" s="6" t="n">
        <f aca="false">COUNTIF(Transaction!$B$2:$B$8421,A1602)</f>
        <v>1</v>
      </c>
      <c r="L1602" s="10" t="n">
        <f aca="false">SUMIF(Transaction!$B$2:$B$8421,A1602,Transaction!$H$2:$H$8421)</f>
        <v>2039</v>
      </c>
      <c r="M1602" s="6" t="n">
        <f aca="false">Summary!$B$3-J1602</f>
        <v>102</v>
      </c>
      <c r="N1602" s="6" t="str">
        <f aca="false">IF(K1602&gt;1,"Yes","No")</f>
        <v>No</v>
      </c>
      <c r="O1602" s="6" t="s">
        <v>48</v>
      </c>
    </row>
    <row r="1603" customFormat="false" ht="15" hidden="false" customHeight="false" outlineLevel="0" collapsed="false">
      <c r="A1603" s="6" t="s">
        <v>3315</v>
      </c>
      <c r="B1603" s="6" t="s">
        <v>3316</v>
      </c>
      <c r="C1603" s="6" t="s">
        <v>75</v>
      </c>
      <c r="D1603" s="6" t="n">
        <v>21</v>
      </c>
      <c r="E1603" s="6" t="s">
        <v>206</v>
      </c>
      <c r="F1603" s="6" t="s">
        <v>106</v>
      </c>
      <c r="G1603" s="26" t="n">
        <v>46062</v>
      </c>
      <c r="H1603" s="6" t="s">
        <v>78</v>
      </c>
      <c r="I1603" s="26" t="n">
        <f aca="false">_xlfn.MINIFS(Transaction!$C$2:$C$8421,Transaction!$B$2:$B$8421,A1603)</f>
        <v>46063</v>
      </c>
      <c r="J1603" s="26" t="n">
        <f aca="false">_xlfn.MAXIFS(Transaction!$C$2:$C$8421,Transaction!$B$2:$B$8421,A1603)</f>
        <v>46259</v>
      </c>
      <c r="K1603" s="6" t="n">
        <f aca="false">COUNTIF(Transaction!$B$2:$B$8421,A1603)</f>
        <v>7</v>
      </c>
      <c r="L1603" s="10" t="n">
        <f aca="false">SUMIF(Transaction!$B$2:$B$8421,A1603,Transaction!$H$2:$H$8421)</f>
        <v>21666</v>
      </c>
      <c r="M1603" s="6" t="n">
        <f aca="false">Summary!$B$3-J1603</f>
        <v>7</v>
      </c>
      <c r="N1603" s="6" t="str">
        <f aca="false">IF(K1603&gt;1,"Yes","No")</f>
        <v>Yes</v>
      </c>
      <c r="O1603" s="6" t="s">
        <v>46</v>
      </c>
    </row>
    <row r="1604" customFormat="false" ht="15" hidden="false" customHeight="false" outlineLevel="0" collapsed="false">
      <c r="A1604" s="6" t="s">
        <v>3317</v>
      </c>
      <c r="B1604" s="6" t="s">
        <v>3318</v>
      </c>
      <c r="C1604" s="6" t="s">
        <v>75</v>
      </c>
      <c r="D1604" s="6" t="n">
        <v>30</v>
      </c>
      <c r="E1604" s="6" t="s">
        <v>91</v>
      </c>
      <c r="F1604" s="6" t="s">
        <v>77</v>
      </c>
      <c r="G1604" s="26" t="n">
        <v>45977</v>
      </c>
      <c r="H1604" s="6" t="s">
        <v>78</v>
      </c>
      <c r="I1604" s="26" t="n">
        <f aca="false">_xlfn.MINIFS(Transaction!$C$2:$C$8421,Transaction!$B$2:$B$8421,A1604)</f>
        <v>46023</v>
      </c>
      <c r="J1604" s="26" t="n">
        <f aca="false">_xlfn.MAXIFS(Transaction!$C$2:$C$8421,Transaction!$B$2:$B$8421,A1604)</f>
        <v>46247</v>
      </c>
      <c r="K1604" s="6" t="n">
        <f aca="false">COUNTIF(Transaction!$B$2:$B$8421,A1604)</f>
        <v>13</v>
      </c>
      <c r="L1604" s="10" t="n">
        <f aca="false">SUMIF(Transaction!$B$2:$B$8421,A1604,Transaction!$H$2:$H$8421)</f>
        <v>25314</v>
      </c>
      <c r="M1604" s="6" t="n">
        <f aca="false">Summary!$B$3-J1604</f>
        <v>19</v>
      </c>
      <c r="N1604" s="6" t="str">
        <f aca="false">IF(K1604&gt;1,"Yes","No")</f>
        <v>Yes</v>
      </c>
      <c r="O1604" s="6" t="s">
        <v>45</v>
      </c>
    </row>
    <row r="1605" customFormat="false" ht="15" hidden="false" customHeight="false" outlineLevel="0" collapsed="false">
      <c r="A1605" s="6" t="s">
        <v>3319</v>
      </c>
      <c r="B1605" s="6" t="s">
        <v>3320</v>
      </c>
      <c r="C1605" s="6" t="s">
        <v>85</v>
      </c>
      <c r="D1605" s="6" t="n">
        <v>35</v>
      </c>
      <c r="E1605" s="6" t="s">
        <v>81</v>
      </c>
      <c r="F1605" s="6" t="s">
        <v>82</v>
      </c>
      <c r="G1605" s="26" t="n">
        <v>46126</v>
      </c>
      <c r="H1605" s="6" t="s">
        <v>115</v>
      </c>
      <c r="I1605" s="26" t="n">
        <f aca="false">_xlfn.MINIFS(Transaction!$C$2:$C$8421,Transaction!$B$2:$B$8421,A1605)</f>
        <v>46190</v>
      </c>
      <c r="J1605" s="26" t="n">
        <f aca="false">_xlfn.MAXIFS(Transaction!$C$2:$C$8421,Transaction!$B$2:$B$8421,A1605)</f>
        <v>46190</v>
      </c>
      <c r="K1605" s="6" t="n">
        <f aca="false">COUNTIF(Transaction!$B$2:$B$8421,A1605)</f>
        <v>1</v>
      </c>
      <c r="L1605" s="10" t="n">
        <f aca="false">SUMIF(Transaction!$B$2:$B$8421,A1605,Transaction!$H$2:$H$8421)</f>
        <v>784</v>
      </c>
      <c r="M1605" s="6" t="n">
        <f aca="false">Summary!$B$3-J1605</f>
        <v>76</v>
      </c>
      <c r="N1605" s="6" t="str">
        <f aca="false">IF(K1605&gt;1,"Yes","No")</f>
        <v>No</v>
      </c>
      <c r="O1605" s="6" t="s">
        <v>47</v>
      </c>
    </row>
    <row r="1606" customFormat="false" ht="15" hidden="false" customHeight="false" outlineLevel="0" collapsed="false">
      <c r="A1606" s="6" t="s">
        <v>3321</v>
      </c>
      <c r="B1606" s="6" t="s">
        <v>3322</v>
      </c>
      <c r="C1606" s="6" t="s">
        <v>75</v>
      </c>
      <c r="D1606" s="6" t="n">
        <v>41</v>
      </c>
      <c r="E1606" s="6" t="s">
        <v>105</v>
      </c>
      <c r="F1606" s="6" t="s">
        <v>106</v>
      </c>
      <c r="G1606" s="26" t="n">
        <v>46043</v>
      </c>
      <c r="H1606" s="6" t="s">
        <v>78</v>
      </c>
      <c r="I1606" s="26" t="n">
        <f aca="false">_xlfn.MINIFS(Transaction!$C$2:$C$8421,Transaction!$B$2:$B$8421,A1606)</f>
        <v>46052</v>
      </c>
      <c r="J1606" s="26" t="n">
        <f aca="false">_xlfn.MAXIFS(Transaction!$C$2:$C$8421,Transaction!$B$2:$B$8421,A1606)</f>
        <v>46257</v>
      </c>
      <c r="K1606" s="6" t="n">
        <f aca="false">COUNTIF(Transaction!$B$2:$B$8421,A1606)</f>
        <v>3</v>
      </c>
      <c r="L1606" s="10" t="n">
        <f aca="false">SUMIF(Transaction!$B$2:$B$8421,A1606,Transaction!$H$2:$H$8421)</f>
        <v>3449</v>
      </c>
      <c r="M1606" s="6" t="n">
        <f aca="false">Summary!$B$3-J1606</f>
        <v>9</v>
      </c>
      <c r="N1606" s="6" t="str">
        <f aca="false">IF(K1606&gt;1,"Yes","No")</f>
        <v>Yes</v>
      </c>
      <c r="O1606" s="6" t="s">
        <v>46</v>
      </c>
    </row>
    <row r="1607" customFormat="false" ht="15" hidden="false" customHeight="false" outlineLevel="0" collapsed="false">
      <c r="A1607" s="6" t="s">
        <v>3323</v>
      </c>
      <c r="B1607" s="6" t="s">
        <v>3324</v>
      </c>
      <c r="C1607" s="6" t="s">
        <v>75</v>
      </c>
      <c r="D1607" s="6" t="n">
        <v>42</v>
      </c>
      <c r="E1607" s="6" t="s">
        <v>81</v>
      </c>
      <c r="F1607" s="6" t="s">
        <v>82</v>
      </c>
      <c r="G1607" s="26" t="n">
        <v>45966</v>
      </c>
      <c r="H1607" s="6" t="s">
        <v>78</v>
      </c>
      <c r="I1607" s="26" t="n">
        <f aca="false">_xlfn.MINIFS(Transaction!$C$2:$C$8421,Transaction!$B$2:$B$8421,A1607)</f>
        <v>46042</v>
      </c>
      <c r="J1607" s="26" t="n">
        <f aca="false">_xlfn.MAXIFS(Transaction!$C$2:$C$8421,Transaction!$B$2:$B$8421,A1607)</f>
        <v>46042</v>
      </c>
      <c r="K1607" s="6" t="n">
        <f aca="false">COUNTIF(Transaction!$B$2:$B$8421,A1607)</f>
        <v>1</v>
      </c>
      <c r="L1607" s="10" t="n">
        <f aca="false">SUMIF(Transaction!$B$2:$B$8421,A1607,Transaction!$H$2:$H$8421)</f>
        <v>1026</v>
      </c>
      <c r="M1607" s="6" t="n">
        <f aca="false">Summary!$B$3-J1607</f>
        <v>224</v>
      </c>
      <c r="N1607" s="6" t="str">
        <f aca="false">IF(K1607&gt;1,"Yes","No")</f>
        <v>No</v>
      </c>
      <c r="O1607" s="6" t="s">
        <v>49</v>
      </c>
    </row>
    <row r="1608" customFormat="false" ht="15" hidden="false" customHeight="false" outlineLevel="0" collapsed="false">
      <c r="A1608" s="6" t="s">
        <v>3325</v>
      </c>
      <c r="B1608" s="6" t="s">
        <v>3326</v>
      </c>
      <c r="C1608" s="6" t="s">
        <v>85</v>
      </c>
      <c r="D1608" s="6" t="n">
        <v>33</v>
      </c>
      <c r="E1608" s="6" t="s">
        <v>91</v>
      </c>
      <c r="F1608" s="6" t="s">
        <v>77</v>
      </c>
      <c r="G1608" s="26" t="n">
        <v>46176</v>
      </c>
      <c r="H1608" s="6" t="s">
        <v>123</v>
      </c>
      <c r="I1608" s="26" t="n">
        <f aca="false">_xlfn.MINIFS(Transaction!$C$2:$C$8421,Transaction!$B$2:$B$8421,A1608)</f>
        <v>46194</v>
      </c>
      <c r="J1608" s="26" t="n">
        <f aca="false">_xlfn.MAXIFS(Transaction!$C$2:$C$8421,Transaction!$B$2:$B$8421,A1608)</f>
        <v>46194</v>
      </c>
      <c r="K1608" s="6" t="n">
        <f aca="false">COUNTIF(Transaction!$B$2:$B$8421,A1608)</f>
        <v>1</v>
      </c>
      <c r="L1608" s="10" t="n">
        <f aca="false">SUMIF(Transaction!$B$2:$B$8421,A1608,Transaction!$H$2:$H$8421)</f>
        <v>2036</v>
      </c>
      <c r="M1608" s="6" t="n">
        <f aca="false">Summary!$B$3-J1608</f>
        <v>72</v>
      </c>
      <c r="N1608" s="6" t="str">
        <f aca="false">IF(K1608&gt;1,"Yes","No")</f>
        <v>No</v>
      </c>
      <c r="O1608" s="6" t="s">
        <v>47</v>
      </c>
    </row>
    <row r="1609" customFormat="false" ht="15" hidden="false" customHeight="false" outlineLevel="0" collapsed="false">
      <c r="A1609" s="6" t="s">
        <v>3327</v>
      </c>
      <c r="B1609" s="6" t="s">
        <v>3328</v>
      </c>
      <c r="C1609" s="6" t="s">
        <v>75</v>
      </c>
      <c r="D1609" s="6" t="n">
        <v>18</v>
      </c>
      <c r="E1609" s="6" t="s">
        <v>134</v>
      </c>
      <c r="F1609" s="6" t="s">
        <v>135</v>
      </c>
      <c r="G1609" s="26" t="n">
        <v>46101</v>
      </c>
      <c r="H1609" s="6" t="s">
        <v>123</v>
      </c>
      <c r="I1609" s="26" t="n">
        <f aca="false">_xlfn.MINIFS(Transaction!$C$2:$C$8421,Transaction!$B$2:$B$8421,A1609)</f>
        <v>46119</v>
      </c>
      <c r="J1609" s="26" t="n">
        <f aca="false">_xlfn.MAXIFS(Transaction!$C$2:$C$8421,Transaction!$B$2:$B$8421,A1609)</f>
        <v>46119</v>
      </c>
      <c r="K1609" s="6" t="n">
        <f aca="false">COUNTIF(Transaction!$B$2:$B$8421,A1609)</f>
        <v>1</v>
      </c>
      <c r="L1609" s="10" t="n">
        <f aca="false">SUMIF(Transaction!$B$2:$B$8421,A1609,Transaction!$H$2:$H$8421)</f>
        <v>1570</v>
      </c>
      <c r="M1609" s="6" t="n">
        <f aca="false">Summary!$B$3-J1609</f>
        <v>147</v>
      </c>
      <c r="N1609" s="6" t="str">
        <f aca="false">IF(K1609&gt;1,"Yes","No")</f>
        <v>No</v>
      </c>
      <c r="O1609" s="6" t="s">
        <v>48</v>
      </c>
    </row>
    <row r="1610" customFormat="false" ht="15" hidden="false" customHeight="false" outlineLevel="0" collapsed="false">
      <c r="A1610" s="6" t="s">
        <v>3329</v>
      </c>
      <c r="B1610" s="6" t="s">
        <v>3330</v>
      </c>
      <c r="C1610" s="6" t="s">
        <v>85</v>
      </c>
      <c r="D1610" s="6" t="n">
        <v>29</v>
      </c>
      <c r="E1610" s="6" t="s">
        <v>91</v>
      </c>
      <c r="F1610" s="6" t="s">
        <v>77</v>
      </c>
      <c r="G1610" s="26" t="n">
        <v>46033</v>
      </c>
      <c r="H1610" s="6" t="s">
        <v>115</v>
      </c>
      <c r="I1610" s="26" t="n">
        <f aca="false">_xlfn.MINIFS(Transaction!$C$2:$C$8421,Transaction!$B$2:$B$8421,A1610)</f>
        <v>46120</v>
      </c>
      <c r="J1610" s="26" t="n">
        <f aca="false">_xlfn.MAXIFS(Transaction!$C$2:$C$8421,Transaction!$B$2:$B$8421,A1610)</f>
        <v>46179</v>
      </c>
      <c r="K1610" s="6" t="n">
        <f aca="false">COUNTIF(Transaction!$B$2:$B$8421,A1610)</f>
        <v>2</v>
      </c>
      <c r="L1610" s="10" t="n">
        <f aca="false">SUMIF(Transaction!$B$2:$B$8421,A1610,Transaction!$H$2:$H$8421)</f>
        <v>8695</v>
      </c>
      <c r="M1610" s="6" t="n">
        <f aca="false">Summary!$B$3-J1610</f>
        <v>87</v>
      </c>
      <c r="N1610" s="6" t="str">
        <f aca="false">IF(K1610&gt;1,"Yes","No")</f>
        <v>Yes</v>
      </c>
      <c r="O1610" s="6" t="s">
        <v>46</v>
      </c>
    </row>
    <row r="1611" customFormat="false" ht="15" hidden="false" customHeight="false" outlineLevel="0" collapsed="false">
      <c r="A1611" s="6" t="s">
        <v>3331</v>
      </c>
      <c r="B1611" s="6" t="s">
        <v>3332</v>
      </c>
      <c r="C1611" s="6" t="s">
        <v>85</v>
      </c>
      <c r="D1611" s="6" t="n">
        <v>34</v>
      </c>
      <c r="E1611" s="6" t="s">
        <v>118</v>
      </c>
      <c r="F1611" s="6" t="s">
        <v>77</v>
      </c>
      <c r="G1611" s="26" t="n">
        <v>45944</v>
      </c>
      <c r="H1611" s="6" t="s">
        <v>102</v>
      </c>
      <c r="I1611" s="26" t="n">
        <f aca="false">_xlfn.MINIFS(Transaction!$C$2:$C$8421,Transaction!$B$2:$B$8421,A1611)</f>
        <v>46028</v>
      </c>
      <c r="J1611" s="26" t="n">
        <f aca="false">_xlfn.MAXIFS(Transaction!$C$2:$C$8421,Transaction!$B$2:$B$8421,A1611)</f>
        <v>46201</v>
      </c>
      <c r="K1611" s="6" t="n">
        <f aca="false">COUNTIF(Transaction!$B$2:$B$8421,A1611)</f>
        <v>3</v>
      </c>
      <c r="L1611" s="10" t="n">
        <f aca="false">SUMIF(Transaction!$B$2:$B$8421,A1611,Transaction!$H$2:$H$8421)</f>
        <v>2843</v>
      </c>
      <c r="M1611" s="6" t="n">
        <f aca="false">Summary!$B$3-J1611</f>
        <v>65</v>
      </c>
      <c r="N1611" s="6" t="str">
        <f aca="false">IF(K1611&gt;1,"Yes","No")</f>
        <v>Yes</v>
      </c>
      <c r="O1611" s="6" t="s">
        <v>46</v>
      </c>
    </row>
    <row r="1612" customFormat="false" ht="15" hidden="false" customHeight="false" outlineLevel="0" collapsed="false">
      <c r="A1612" s="6" t="s">
        <v>3333</v>
      </c>
      <c r="B1612" s="6" t="s">
        <v>3334</v>
      </c>
      <c r="C1612" s="6" t="s">
        <v>75</v>
      </c>
      <c r="D1612" s="6" t="n">
        <v>28</v>
      </c>
      <c r="E1612" s="6" t="s">
        <v>95</v>
      </c>
      <c r="F1612" s="6" t="s">
        <v>95</v>
      </c>
      <c r="G1612" s="26" t="n">
        <v>46133</v>
      </c>
      <c r="H1612" s="6" t="s">
        <v>123</v>
      </c>
      <c r="I1612" s="26" t="n">
        <f aca="false">_xlfn.MINIFS(Transaction!$C$2:$C$8421,Transaction!$B$2:$B$8421,A1612)</f>
        <v>46200</v>
      </c>
      <c r="J1612" s="26" t="n">
        <f aca="false">_xlfn.MAXIFS(Transaction!$C$2:$C$8421,Transaction!$B$2:$B$8421,A1612)</f>
        <v>46234</v>
      </c>
      <c r="K1612" s="6" t="n">
        <f aca="false">COUNTIF(Transaction!$B$2:$B$8421,A1612)</f>
        <v>3</v>
      </c>
      <c r="L1612" s="10" t="n">
        <f aca="false">SUMIF(Transaction!$B$2:$B$8421,A1612,Transaction!$H$2:$H$8421)</f>
        <v>3170</v>
      </c>
      <c r="M1612" s="6" t="n">
        <f aca="false">Summary!$B$3-J1612</f>
        <v>32</v>
      </c>
      <c r="N1612" s="6" t="str">
        <f aca="false">IF(K1612&gt;1,"Yes","No")</f>
        <v>Yes</v>
      </c>
      <c r="O1612" s="6" t="s">
        <v>46</v>
      </c>
    </row>
    <row r="1613" customFormat="false" ht="15" hidden="false" customHeight="false" outlineLevel="0" collapsed="false">
      <c r="A1613" s="6" t="s">
        <v>3335</v>
      </c>
      <c r="B1613" s="6" t="s">
        <v>3336</v>
      </c>
      <c r="C1613" s="6" t="s">
        <v>75</v>
      </c>
      <c r="D1613" s="6" t="n">
        <v>37</v>
      </c>
      <c r="E1613" s="6" t="s">
        <v>86</v>
      </c>
      <c r="F1613" s="6" t="s">
        <v>87</v>
      </c>
      <c r="G1613" s="26" t="n">
        <v>46059</v>
      </c>
      <c r="H1613" s="6" t="s">
        <v>78</v>
      </c>
      <c r="I1613" s="26" t="n">
        <f aca="false">_xlfn.MINIFS(Transaction!$C$2:$C$8421,Transaction!$B$2:$B$8421,A1613)</f>
        <v>46080</v>
      </c>
      <c r="J1613" s="26" t="n">
        <f aca="false">_xlfn.MAXIFS(Transaction!$C$2:$C$8421,Transaction!$B$2:$B$8421,A1613)</f>
        <v>46210</v>
      </c>
      <c r="K1613" s="6" t="n">
        <f aca="false">COUNTIF(Transaction!$B$2:$B$8421,A1613)</f>
        <v>6</v>
      </c>
      <c r="L1613" s="10" t="n">
        <f aca="false">SUMIF(Transaction!$B$2:$B$8421,A1613,Transaction!$H$2:$H$8421)</f>
        <v>12051</v>
      </c>
      <c r="M1613" s="6" t="n">
        <f aca="false">Summary!$B$3-J1613</f>
        <v>56</v>
      </c>
      <c r="N1613" s="6" t="str">
        <f aca="false">IF(K1613&gt;1,"Yes","No")</f>
        <v>Yes</v>
      </c>
      <c r="O1613" s="6" t="s">
        <v>46</v>
      </c>
    </row>
    <row r="1614" customFormat="false" ht="15" hidden="false" customHeight="false" outlineLevel="0" collapsed="false">
      <c r="A1614" s="6" t="s">
        <v>3337</v>
      </c>
      <c r="B1614" s="6" t="s">
        <v>3338</v>
      </c>
      <c r="C1614" s="6" t="s">
        <v>85</v>
      </c>
      <c r="D1614" s="6" t="n">
        <v>31</v>
      </c>
      <c r="E1614" s="6" t="s">
        <v>81</v>
      </c>
      <c r="F1614" s="6" t="s">
        <v>82</v>
      </c>
      <c r="G1614" s="26" t="n">
        <v>46085</v>
      </c>
      <c r="H1614" s="6" t="s">
        <v>78</v>
      </c>
      <c r="I1614" s="26" t="n">
        <f aca="false">_xlfn.MINIFS(Transaction!$C$2:$C$8421,Transaction!$B$2:$B$8421,A1614)</f>
        <v>46131</v>
      </c>
      <c r="J1614" s="26" t="n">
        <f aca="false">_xlfn.MAXIFS(Transaction!$C$2:$C$8421,Transaction!$B$2:$B$8421,A1614)</f>
        <v>46131</v>
      </c>
      <c r="K1614" s="6" t="n">
        <f aca="false">COUNTIF(Transaction!$B$2:$B$8421,A1614)</f>
        <v>1</v>
      </c>
      <c r="L1614" s="10" t="n">
        <f aca="false">SUMIF(Transaction!$B$2:$B$8421,A1614,Transaction!$H$2:$H$8421)</f>
        <v>1468</v>
      </c>
      <c r="M1614" s="6" t="n">
        <f aca="false">Summary!$B$3-J1614</f>
        <v>135</v>
      </c>
      <c r="N1614" s="6" t="str">
        <f aca="false">IF(K1614&gt;1,"Yes","No")</f>
        <v>No</v>
      </c>
      <c r="O1614" s="6" t="s">
        <v>48</v>
      </c>
    </row>
    <row r="1615" customFormat="false" ht="15" hidden="false" customHeight="false" outlineLevel="0" collapsed="false">
      <c r="A1615" s="6" t="s">
        <v>3339</v>
      </c>
      <c r="B1615" s="6" t="s">
        <v>3340</v>
      </c>
      <c r="C1615" s="6" t="s">
        <v>75</v>
      </c>
      <c r="D1615" s="6" t="n">
        <v>21</v>
      </c>
      <c r="E1615" s="6" t="s">
        <v>118</v>
      </c>
      <c r="F1615" s="6" t="s">
        <v>77</v>
      </c>
      <c r="G1615" s="26" t="n">
        <v>46104</v>
      </c>
      <c r="H1615" s="6" t="s">
        <v>78</v>
      </c>
      <c r="I1615" s="26" t="n">
        <f aca="false">_xlfn.MINIFS(Transaction!$C$2:$C$8421,Transaction!$B$2:$B$8421,A1615)</f>
        <v>46117</v>
      </c>
      <c r="J1615" s="26" t="n">
        <f aca="false">_xlfn.MAXIFS(Transaction!$C$2:$C$8421,Transaction!$B$2:$B$8421,A1615)</f>
        <v>46117</v>
      </c>
      <c r="K1615" s="6" t="n">
        <f aca="false">COUNTIF(Transaction!$B$2:$B$8421,A1615)</f>
        <v>1</v>
      </c>
      <c r="L1615" s="10" t="n">
        <f aca="false">SUMIF(Transaction!$B$2:$B$8421,A1615,Transaction!$H$2:$H$8421)</f>
        <v>2653</v>
      </c>
      <c r="M1615" s="6" t="n">
        <f aca="false">Summary!$B$3-J1615</f>
        <v>149</v>
      </c>
      <c r="N1615" s="6" t="str">
        <f aca="false">IF(K1615&gt;1,"Yes","No")</f>
        <v>No</v>
      </c>
      <c r="O1615" s="6" t="s">
        <v>48</v>
      </c>
    </row>
    <row r="1616" customFormat="false" ht="15" hidden="false" customHeight="false" outlineLevel="0" collapsed="false">
      <c r="A1616" s="6" t="s">
        <v>3341</v>
      </c>
      <c r="B1616" s="6" t="s">
        <v>3342</v>
      </c>
      <c r="C1616" s="6" t="s">
        <v>75</v>
      </c>
      <c r="D1616" s="6" t="n">
        <v>18</v>
      </c>
      <c r="E1616" s="6" t="s">
        <v>237</v>
      </c>
      <c r="F1616" s="6" t="s">
        <v>87</v>
      </c>
      <c r="G1616" s="26" t="n">
        <v>46061</v>
      </c>
      <c r="H1616" s="6" t="s">
        <v>102</v>
      </c>
      <c r="I1616" s="26" t="n">
        <f aca="false">_xlfn.MINIFS(Transaction!$C$2:$C$8421,Transaction!$B$2:$B$8421,A1616)</f>
        <v>46147</v>
      </c>
      <c r="J1616" s="26" t="n">
        <f aca="false">_xlfn.MAXIFS(Transaction!$C$2:$C$8421,Transaction!$B$2:$B$8421,A1616)</f>
        <v>46147</v>
      </c>
      <c r="K1616" s="6" t="n">
        <f aca="false">COUNTIF(Transaction!$B$2:$B$8421,A1616)</f>
        <v>1</v>
      </c>
      <c r="L1616" s="10" t="n">
        <f aca="false">SUMIF(Transaction!$B$2:$B$8421,A1616,Transaction!$H$2:$H$8421)</f>
        <v>1406</v>
      </c>
      <c r="M1616" s="6" t="n">
        <f aca="false">Summary!$B$3-J1616</f>
        <v>119</v>
      </c>
      <c r="N1616" s="6" t="str">
        <f aca="false">IF(K1616&gt;1,"Yes","No")</f>
        <v>No</v>
      </c>
      <c r="O1616" s="6" t="s">
        <v>48</v>
      </c>
    </row>
    <row r="1617" customFormat="false" ht="15" hidden="false" customHeight="false" outlineLevel="0" collapsed="false">
      <c r="A1617" s="6" t="s">
        <v>3343</v>
      </c>
      <c r="B1617" s="6" t="s">
        <v>3344</v>
      </c>
      <c r="C1617" s="6" t="s">
        <v>75</v>
      </c>
      <c r="D1617" s="6" t="n">
        <v>24</v>
      </c>
      <c r="E1617" s="6" t="s">
        <v>81</v>
      </c>
      <c r="F1617" s="6" t="s">
        <v>82</v>
      </c>
      <c r="G1617" s="26" t="n">
        <v>46039</v>
      </c>
      <c r="H1617" s="6" t="s">
        <v>115</v>
      </c>
      <c r="I1617" s="26" t="n">
        <f aca="false">_xlfn.MINIFS(Transaction!$C$2:$C$8421,Transaction!$B$2:$B$8421,A1617)</f>
        <v>46084</v>
      </c>
      <c r="J1617" s="26" t="n">
        <f aca="false">_xlfn.MAXIFS(Transaction!$C$2:$C$8421,Transaction!$B$2:$B$8421,A1617)</f>
        <v>46084</v>
      </c>
      <c r="K1617" s="6" t="n">
        <f aca="false">COUNTIF(Transaction!$B$2:$B$8421,A1617)</f>
        <v>1</v>
      </c>
      <c r="L1617" s="10" t="n">
        <f aca="false">SUMIF(Transaction!$B$2:$B$8421,A1617,Transaction!$H$2:$H$8421)</f>
        <v>2456</v>
      </c>
      <c r="M1617" s="6" t="n">
        <f aca="false">Summary!$B$3-J1617</f>
        <v>182</v>
      </c>
      <c r="N1617" s="6" t="str">
        <f aca="false">IF(K1617&gt;1,"Yes","No")</f>
        <v>No</v>
      </c>
      <c r="O1617" s="6" t="s">
        <v>49</v>
      </c>
    </row>
    <row r="1618" customFormat="false" ht="15" hidden="false" customHeight="false" outlineLevel="0" collapsed="false">
      <c r="A1618" s="6" t="s">
        <v>3345</v>
      </c>
      <c r="B1618" s="6" t="s">
        <v>3346</v>
      </c>
      <c r="C1618" s="6" t="s">
        <v>75</v>
      </c>
      <c r="D1618" s="6" t="n">
        <v>25</v>
      </c>
      <c r="E1618" s="6" t="s">
        <v>176</v>
      </c>
      <c r="F1618" s="6" t="s">
        <v>177</v>
      </c>
      <c r="G1618" s="26" t="n">
        <v>46096</v>
      </c>
      <c r="H1618" s="6" t="s">
        <v>123</v>
      </c>
      <c r="I1618" s="26" t="n">
        <f aca="false">_xlfn.MINIFS(Transaction!$C$2:$C$8421,Transaction!$B$2:$B$8421,A1618)</f>
        <v>46143</v>
      </c>
      <c r="J1618" s="26" t="n">
        <f aca="false">_xlfn.MAXIFS(Transaction!$C$2:$C$8421,Transaction!$B$2:$B$8421,A1618)</f>
        <v>46143</v>
      </c>
      <c r="K1618" s="6" t="n">
        <f aca="false">COUNTIF(Transaction!$B$2:$B$8421,A1618)</f>
        <v>1</v>
      </c>
      <c r="L1618" s="10" t="n">
        <f aca="false">SUMIF(Transaction!$B$2:$B$8421,A1618,Transaction!$H$2:$H$8421)</f>
        <v>783</v>
      </c>
      <c r="M1618" s="6" t="n">
        <f aca="false">Summary!$B$3-J1618</f>
        <v>123</v>
      </c>
      <c r="N1618" s="6" t="str">
        <f aca="false">IF(K1618&gt;1,"Yes","No")</f>
        <v>No</v>
      </c>
      <c r="O1618" s="6" t="s">
        <v>48</v>
      </c>
    </row>
    <row r="1619" customFormat="false" ht="15" hidden="false" customHeight="false" outlineLevel="0" collapsed="false">
      <c r="A1619" s="6" t="s">
        <v>3347</v>
      </c>
      <c r="B1619" s="6" t="s">
        <v>3348</v>
      </c>
      <c r="C1619" s="6" t="s">
        <v>85</v>
      </c>
      <c r="D1619" s="6" t="n">
        <v>37</v>
      </c>
      <c r="E1619" s="6" t="s">
        <v>95</v>
      </c>
      <c r="F1619" s="6" t="s">
        <v>95</v>
      </c>
      <c r="G1619" s="26" t="n">
        <v>46074</v>
      </c>
      <c r="H1619" s="6" t="s">
        <v>78</v>
      </c>
      <c r="I1619" s="26" t="n">
        <f aca="false">_xlfn.MINIFS(Transaction!$C$2:$C$8421,Transaction!$B$2:$B$8421,A1619)</f>
        <v>46080</v>
      </c>
      <c r="J1619" s="26" t="n">
        <f aca="false">_xlfn.MAXIFS(Transaction!$C$2:$C$8421,Transaction!$B$2:$B$8421,A1619)</f>
        <v>46080</v>
      </c>
      <c r="K1619" s="6" t="n">
        <f aca="false">COUNTIF(Transaction!$B$2:$B$8421,A1619)</f>
        <v>1</v>
      </c>
      <c r="L1619" s="10" t="n">
        <f aca="false">SUMIF(Transaction!$B$2:$B$8421,A1619,Transaction!$H$2:$H$8421)</f>
        <v>697</v>
      </c>
      <c r="M1619" s="6" t="n">
        <f aca="false">Summary!$B$3-J1619</f>
        <v>186</v>
      </c>
      <c r="N1619" s="6" t="str">
        <f aca="false">IF(K1619&gt;1,"Yes","No")</f>
        <v>No</v>
      </c>
      <c r="O1619" s="6" t="s">
        <v>49</v>
      </c>
    </row>
    <row r="1620" customFormat="false" ht="15" hidden="false" customHeight="false" outlineLevel="0" collapsed="false">
      <c r="A1620" s="6" t="s">
        <v>3349</v>
      </c>
      <c r="B1620" s="6" t="s">
        <v>3350</v>
      </c>
      <c r="C1620" s="6" t="s">
        <v>85</v>
      </c>
      <c r="D1620" s="6" t="n">
        <v>38</v>
      </c>
      <c r="E1620" s="6" t="s">
        <v>86</v>
      </c>
      <c r="F1620" s="6" t="s">
        <v>87</v>
      </c>
      <c r="G1620" s="26" t="n">
        <v>46050</v>
      </c>
      <c r="H1620" s="6" t="s">
        <v>102</v>
      </c>
      <c r="I1620" s="26" t="n">
        <f aca="false">_xlfn.MINIFS(Transaction!$C$2:$C$8421,Transaction!$B$2:$B$8421,A1620)</f>
        <v>46062</v>
      </c>
      <c r="J1620" s="26" t="n">
        <f aca="false">_xlfn.MAXIFS(Transaction!$C$2:$C$8421,Transaction!$B$2:$B$8421,A1620)</f>
        <v>46062</v>
      </c>
      <c r="K1620" s="6" t="n">
        <f aca="false">COUNTIF(Transaction!$B$2:$B$8421,A1620)</f>
        <v>1</v>
      </c>
      <c r="L1620" s="10" t="n">
        <f aca="false">SUMIF(Transaction!$B$2:$B$8421,A1620,Transaction!$H$2:$H$8421)</f>
        <v>1121</v>
      </c>
      <c r="M1620" s="6" t="n">
        <f aca="false">Summary!$B$3-J1620</f>
        <v>204</v>
      </c>
      <c r="N1620" s="6" t="str">
        <f aca="false">IF(K1620&gt;1,"Yes","No")</f>
        <v>No</v>
      </c>
      <c r="O1620" s="6" t="s">
        <v>49</v>
      </c>
    </row>
    <row r="1621" customFormat="false" ht="15" hidden="false" customHeight="false" outlineLevel="0" collapsed="false">
      <c r="A1621" s="6" t="s">
        <v>3351</v>
      </c>
      <c r="B1621" s="6" t="s">
        <v>3352</v>
      </c>
      <c r="C1621" s="6" t="s">
        <v>75</v>
      </c>
      <c r="D1621" s="6" t="n">
        <v>41</v>
      </c>
      <c r="E1621" s="6" t="s">
        <v>91</v>
      </c>
      <c r="F1621" s="6" t="s">
        <v>77</v>
      </c>
      <c r="G1621" s="26" t="n">
        <v>46089</v>
      </c>
      <c r="H1621" s="6" t="s">
        <v>78</v>
      </c>
      <c r="I1621" s="26" t="n">
        <f aca="false">_xlfn.MINIFS(Transaction!$C$2:$C$8421,Transaction!$B$2:$B$8421,A1621)</f>
        <v>46120</v>
      </c>
      <c r="J1621" s="26" t="n">
        <f aca="false">_xlfn.MAXIFS(Transaction!$C$2:$C$8421,Transaction!$B$2:$B$8421,A1621)</f>
        <v>46120</v>
      </c>
      <c r="K1621" s="6" t="n">
        <f aca="false">COUNTIF(Transaction!$B$2:$B$8421,A1621)</f>
        <v>1</v>
      </c>
      <c r="L1621" s="10" t="n">
        <f aca="false">SUMIF(Transaction!$B$2:$B$8421,A1621,Transaction!$H$2:$H$8421)</f>
        <v>1488</v>
      </c>
      <c r="M1621" s="6" t="n">
        <f aca="false">Summary!$B$3-J1621</f>
        <v>146</v>
      </c>
      <c r="N1621" s="6" t="str">
        <f aca="false">IF(K1621&gt;1,"Yes","No")</f>
        <v>No</v>
      </c>
      <c r="O1621" s="6" t="s">
        <v>48</v>
      </c>
    </row>
    <row r="1622" customFormat="false" ht="15" hidden="false" customHeight="false" outlineLevel="0" collapsed="false">
      <c r="A1622" s="6" t="s">
        <v>3353</v>
      </c>
      <c r="B1622" s="6" t="s">
        <v>3354</v>
      </c>
      <c r="C1622" s="6" t="s">
        <v>85</v>
      </c>
      <c r="D1622" s="6" t="n">
        <v>24</v>
      </c>
      <c r="E1622" s="6" t="s">
        <v>105</v>
      </c>
      <c r="F1622" s="6" t="s">
        <v>106</v>
      </c>
      <c r="G1622" s="26" t="n">
        <v>46142</v>
      </c>
      <c r="H1622" s="6" t="s">
        <v>115</v>
      </c>
      <c r="I1622" s="26" t="n">
        <f aca="false">_xlfn.MINIFS(Transaction!$C$2:$C$8421,Transaction!$B$2:$B$8421,A1622)</f>
        <v>46182</v>
      </c>
      <c r="J1622" s="26" t="n">
        <f aca="false">_xlfn.MAXIFS(Transaction!$C$2:$C$8421,Transaction!$B$2:$B$8421,A1622)</f>
        <v>46182</v>
      </c>
      <c r="K1622" s="6" t="n">
        <f aca="false">COUNTIF(Transaction!$B$2:$B$8421,A1622)</f>
        <v>1</v>
      </c>
      <c r="L1622" s="10" t="n">
        <f aca="false">SUMIF(Transaction!$B$2:$B$8421,A1622,Transaction!$H$2:$H$8421)</f>
        <v>697</v>
      </c>
      <c r="M1622" s="6" t="n">
        <f aca="false">Summary!$B$3-J1622</f>
        <v>84</v>
      </c>
      <c r="N1622" s="6" t="str">
        <f aca="false">IF(K1622&gt;1,"Yes","No")</f>
        <v>No</v>
      </c>
      <c r="O1622" s="6" t="s">
        <v>47</v>
      </c>
    </row>
    <row r="1623" customFormat="false" ht="15" hidden="false" customHeight="false" outlineLevel="0" collapsed="false">
      <c r="A1623" s="6" t="s">
        <v>3355</v>
      </c>
      <c r="B1623" s="6" t="s">
        <v>3356</v>
      </c>
      <c r="C1623" s="6" t="s">
        <v>85</v>
      </c>
      <c r="D1623" s="6" t="n">
        <v>42</v>
      </c>
      <c r="E1623" s="6" t="s">
        <v>430</v>
      </c>
      <c r="F1623" s="6" t="s">
        <v>99</v>
      </c>
      <c r="G1623" s="26" t="n">
        <v>45973</v>
      </c>
      <c r="H1623" s="6" t="s">
        <v>115</v>
      </c>
      <c r="I1623" s="26" t="n">
        <f aca="false">_xlfn.MINIFS(Transaction!$C$2:$C$8421,Transaction!$B$2:$B$8421,A1623)</f>
        <v>46059</v>
      </c>
      <c r="J1623" s="26" t="n">
        <f aca="false">_xlfn.MAXIFS(Transaction!$C$2:$C$8421,Transaction!$B$2:$B$8421,A1623)</f>
        <v>46196</v>
      </c>
      <c r="K1623" s="6" t="n">
        <f aca="false">COUNTIF(Transaction!$B$2:$B$8421,A1623)</f>
        <v>5</v>
      </c>
      <c r="L1623" s="10" t="n">
        <f aca="false">SUMIF(Transaction!$B$2:$B$8421,A1623,Transaction!$H$2:$H$8421)</f>
        <v>4607</v>
      </c>
      <c r="M1623" s="6" t="n">
        <f aca="false">Summary!$B$3-J1623</f>
        <v>70</v>
      </c>
      <c r="N1623" s="6" t="str">
        <f aca="false">IF(K1623&gt;1,"Yes","No")</f>
        <v>Yes</v>
      </c>
      <c r="O1623" s="6" t="s">
        <v>46</v>
      </c>
    </row>
    <row r="1624" customFormat="false" ht="15" hidden="false" customHeight="false" outlineLevel="0" collapsed="false">
      <c r="A1624" s="6" t="s">
        <v>3357</v>
      </c>
      <c r="B1624" s="6" t="s">
        <v>3358</v>
      </c>
      <c r="C1624" s="6" t="s">
        <v>75</v>
      </c>
      <c r="D1624" s="6" t="n">
        <v>32</v>
      </c>
      <c r="E1624" s="6" t="s">
        <v>86</v>
      </c>
      <c r="F1624" s="6" t="s">
        <v>87</v>
      </c>
      <c r="G1624" s="26" t="n">
        <v>46184</v>
      </c>
      <c r="H1624" s="6" t="s">
        <v>102</v>
      </c>
      <c r="I1624" s="26" t="n">
        <f aca="false">_xlfn.MINIFS(Transaction!$C$2:$C$8421,Transaction!$B$2:$B$8421,A1624)</f>
        <v>46195</v>
      </c>
      <c r="J1624" s="26" t="n">
        <f aca="false">_xlfn.MAXIFS(Transaction!$C$2:$C$8421,Transaction!$B$2:$B$8421,A1624)</f>
        <v>46195</v>
      </c>
      <c r="K1624" s="6" t="n">
        <f aca="false">COUNTIF(Transaction!$B$2:$B$8421,A1624)</f>
        <v>1</v>
      </c>
      <c r="L1624" s="10" t="n">
        <f aca="false">SUMIF(Transaction!$B$2:$B$8421,A1624,Transaction!$H$2:$H$8421)</f>
        <v>972</v>
      </c>
      <c r="M1624" s="6" t="n">
        <f aca="false">Summary!$B$3-J1624</f>
        <v>71</v>
      </c>
      <c r="N1624" s="6" t="str">
        <f aca="false">IF(K1624&gt;1,"Yes","No")</f>
        <v>No</v>
      </c>
      <c r="O1624" s="6" t="s">
        <v>47</v>
      </c>
    </row>
    <row r="1625" customFormat="false" ht="15" hidden="false" customHeight="false" outlineLevel="0" collapsed="false">
      <c r="A1625" s="6" t="s">
        <v>3359</v>
      </c>
      <c r="B1625" s="6" t="s">
        <v>3360</v>
      </c>
      <c r="C1625" s="6" t="s">
        <v>75</v>
      </c>
      <c r="D1625" s="6" t="n">
        <v>23</v>
      </c>
      <c r="E1625" s="6" t="s">
        <v>134</v>
      </c>
      <c r="F1625" s="6" t="s">
        <v>135</v>
      </c>
      <c r="G1625" s="26" t="n">
        <v>46173</v>
      </c>
      <c r="H1625" s="6" t="s">
        <v>115</v>
      </c>
      <c r="I1625" s="26" t="n">
        <f aca="false">_xlfn.MINIFS(Transaction!$C$2:$C$8421,Transaction!$B$2:$B$8421,A1625)</f>
        <v>46260</v>
      </c>
      <c r="J1625" s="26" t="n">
        <f aca="false">_xlfn.MAXIFS(Transaction!$C$2:$C$8421,Transaction!$B$2:$B$8421,A1625)</f>
        <v>46260</v>
      </c>
      <c r="K1625" s="6" t="n">
        <f aca="false">COUNTIF(Transaction!$B$2:$B$8421,A1625)</f>
        <v>1</v>
      </c>
      <c r="L1625" s="10" t="n">
        <f aca="false">SUMIF(Transaction!$B$2:$B$8421,A1625,Transaction!$H$2:$H$8421)</f>
        <v>390</v>
      </c>
      <c r="M1625" s="6" t="n">
        <f aca="false">Summary!$B$3-J1625</f>
        <v>6</v>
      </c>
      <c r="N1625" s="6" t="str">
        <f aca="false">IF(K1625&gt;1,"Yes","No")</f>
        <v>No</v>
      </c>
      <c r="O1625" s="6" t="s">
        <v>47</v>
      </c>
    </row>
    <row r="1626" customFormat="false" ht="15" hidden="false" customHeight="false" outlineLevel="0" collapsed="false">
      <c r="A1626" s="6" t="s">
        <v>3361</v>
      </c>
      <c r="B1626" s="6" t="s">
        <v>3362</v>
      </c>
      <c r="C1626" s="6" t="s">
        <v>85</v>
      </c>
      <c r="D1626" s="6" t="n">
        <v>40</v>
      </c>
      <c r="E1626" s="6" t="s">
        <v>91</v>
      </c>
      <c r="F1626" s="6" t="s">
        <v>77</v>
      </c>
      <c r="G1626" s="26" t="n">
        <v>46146</v>
      </c>
      <c r="H1626" s="6" t="s">
        <v>92</v>
      </c>
      <c r="I1626" s="26" t="n">
        <f aca="false">_xlfn.MINIFS(Transaction!$C$2:$C$8421,Transaction!$B$2:$B$8421,A1626)</f>
        <v>46178</v>
      </c>
      <c r="J1626" s="26" t="n">
        <f aca="false">_xlfn.MAXIFS(Transaction!$C$2:$C$8421,Transaction!$B$2:$B$8421,A1626)</f>
        <v>46178</v>
      </c>
      <c r="K1626" s="6" t="n">
        <f aca="false">COUNTIF(Transaction!$B$2:$B$8421,A1626)</f>
        <v>1</v>
      </c>
      <c r="L1626" s="10" t="n">
        <f aca="false">SUMIF(Transaction!$B$2:$B$8421,A1626,Transaction!$H$2:$H$8421)</f>
        <v>2542</v>
      </c>
      <c r="M1626" s="6" t="n">
        <f aca="false">Summary!$B$3-J1626</f>
        <v>88</v>
      </c>
      <c r="N1626" s="6" t="str">
        <f aca="false">IF(K1626&gt;1,"Yes","No")</f>
        <v>No</v>
      </c>
      <c r="O1626" s="6" t="s">
        <v>47</v>
      </c>
    </row>
    <row r="1627" customFormat="false" ht="15" hidden="false" customHeight="false" outlineLevel="0" collapsed="false">
      <c r="A1627" s="6" t="s">
        <v>3363</v>
      </c>
      <c r="B1627" s="6" t="s">
        <v>3364</v>
      </c>
      <c r="C1627" s="6" t="s">
        <v>85</v>
      </c>
      <c r="D1627" s="6" t="n">
        <v>40</v>
      </c>
      <c r="E1627" s="6" t="s">
        <v>134</v>
      </c>
      <c r="F1627" s="6" t="s">
        <v>135</v>
      </c>
      <c r="G1627" s="26" t="n">
        <v>46074</v>
      </c>
      <c r="H1627" s="6" t="s">
        <v>78</v>
      </c>
      <c r="I1627" s="26" t="n">
        <f aca="false">_xlfn.MINIFS(Transaction!$C$2:$C$8421,Transaction!$B$2:$B$8421,A1627)</f>
        <v>46137</v>
      </c>
      <c r="J1627" s="26" t="n">
        <f aca="false">_xlfn.MAXIFS(Transaction!$C$2:$C$8421,Transaction!$B$2:$B$8421,A1627)</f>
        <v>46137</v>
      </c>
      <c r="K1627" s="6" t="n">
        <f aca="false">COUNTIF(Transaction!$B$2:$B$8421,A1627)</f>
        <v>1</v>
      </c>
      <c r="L1627" s="10" t="n">
        <f aca="false">SUMIF(Transaction!$B$2:$B$8421,A1627,Transaction!$H$2:$H$8421)</f>
        <v>1824</v>
      </c>
      <c r="M1627" s="6" t="n">
        <f aca="false">Summary!$B$3-J1627</f>
        <v>129</v>
      </c>
      <c r="N1627" s="6" t="str">
        <f aca="false">IF(K1627&gt;1,"Yes","No")</f>
        <v>No</v>
      </c>
      <c r="O1627" s="6" t="s">
        <v>48</v>
      </c>
    </row>
    <row r="1628" customFormat="false" ht="15" hidden="false" customHeight="false" outlineLevel="0" collapsed="false">
      <c r="A1628" s="6" t="s">
        <v>3365</v>
      </c>
      <c r="B1628" s="6" t="s">
        <v>3366</v>
      </c>
      <c r="C1628" s="6" t="s">
        <v>75</v>
      </c>
      <c r="D1628" s="6" t="n">
        <v>44</v>
      </c>
      <c r="E1628" s="6" t="s">
        <v>264</v>
      </c>
      <c r="F1628" s="6" t="s">
        <v>106</v>
      </c>
      <c r="G1628" s="26" t="n">
        <v>45993</v>
      </c>
      <c r="H1628" s="6" t="s">
        <v>78</v>
      </c>
      <c r="I1628" s="26" t="n">
        <f aca="false">_xlfn.MINIFS(Transaction!$C$2:$C$8421,Transaction!$B$2:$B$8421,A1628)</f>
        <v>46073</v>
      </c>
      <c r="J1628" s="26" t="n">
        <f aca="false">_xlfn.MAXIFS(Transaction!$C$2:$C$8421,Transaction!$B$2:$B$8421,A1628)</f>
        <v>46232</v>
      </c>
      <c r="K1628" s="6" t="n">
        <f aca="false">COUNTIF(Transaction!$B$2:$B$8421,A1628)</f>
        <v>5</v>
      </c>
      <c r="L1628" s="10" t="n">
        <f aca="false">SUMIF(Transaction!$B$2:$B$8421,A1628,Transaction!$H$2:$H$8421)</f>
        <v>4048</v>
      </c>
      <c r="M1628" s="6" t="n">
        <f aca="false">Summary!$B$3-J1628</f>
        <v>34</v>
      </c>
      <c r="N1628" s="6" t="str">
        <f aca="false">IF(K1628&gt;1,"Yes","No")</f>
        <v>Yes</v>
      </c>
      <c r="O1628" s="6" t="s">
        <v>46</v>
      </c>
    </row>
    <row r="1629" customFormat="false" ht="15" hidden="false" customHeight="false" outlineLevel="0" collapsed="false">
      <c r="A1629" s="6" t="s">
        <v>3367</v>
      </c>
      <c r="B1629" s="6" t="s">
        <v>3368</v>
      </c>
      <c r="C1629" s="6" t="s">
        <v>75</v>
      </c>
      <c r="D1629" s="6" t="n">
        <v>24</v>
      </c>
      <c r="E1629" s="6" t="s">
        <v>146</v>
      </c>
      <c r="F1629" s="6" t="s">
        <v>147</v>
      </c>
      <c r="G1629" s="26" t="n">
        <v>46044</v>
      </c>
      <c r="H1629" s="6" t="s">
        <v>92</v>
      </c>
      <c r="I1629" s="26" t="n">
        <f aca="false">_xlfn.MINIFS(Transaction!$C$2:$C$8421,Transaction!$B$2:$B$8421,A1629)</f>
        <v>46053</v>
      </c>
      <c r="J1629" s="26" t="n">
        <f aca="false">_xlfn.MAXIFS(Transaction!$C$2:$C$8421,Transaction!$B$2:$B$8421,A1629)</f>
        <v>46053</v>
      </c>
      <c r="K1629" s="6" t="n">
        <f aca="false">COUNTIF(Transaction!$B$2:$B$8421,A1629)</f>
        <v>1</v>
      </c>
      <c r="L1629" s="10" t="n">
        <f aca="false">SUMIF(Transaction!$B$2:$B$8421,A1629,Transaction!$H$2:$H$8421)</f>
        <v>2456</v>
      </c>
      <c r="M1629" s="6" t="n">
        <f aca="false">Summary!$B$3-J1629</f>
        <v>213</v>
      </c>
      <c r="N1629" s="6" t="str">
        <f aca="false">IF(K1629&gt;1,"Yes","No")</f>
        <v>No</v>
      </c>
      <c r="O1629" s="6" t="s">
        <v>49</v>
      </c>
    </row>
    <row r="1630" customFormat="false" ht="15" hidden="false" customHeight="false" outlineLevel="0" collapsed="false">
      <c r="A1630" s="6" t="s">
        <v>3369</v>
      </c>
      <c r="B1630" s="6" t="s">
        <v>3370</v>
      </c>
      <c r="C1630" s="6" t="s">
        <v>75</v>
      </c>
      <c r="D1630" s="6" t="n">
        <v>22</v>
      </c>
      <c r="E1630" s="6" t="s">
        <v>134</v>
      </c>
      <c r="F1630" s="6" t="s">
        <v>135</v>
      </c>
      <c r="G1630" s="26" t="n">
        <v>46125</v>
      </c>
      <c r="H1630" s="6" t="s">
        <v>78</v>
      </c>
      <c r="I1630" s="26" t="n">
        <f aca="false">_xlfn.MINIFS(Transaction!$C$2:$C$8421,Transaction!$B$2:$B$8421,A1630)</f>
        <v>46126</v>
      </c>
      <c r="J1630" s="26" t="n">
        <f aca="false">_xlfn.MAXIFS(Transaction!$C$2:$C$8421,Transaction!$B$2:$B$8421,A1630)</f>
        <v>46126</v>
      </c>
      <c r="K1630" s="6" t="n">
        <f aca="false">COUNTIF(Transaction!$B$2:$B$8421,A1630)</f>
        <v>1</v>
      </c>
      <c r="L1630" s="10" t="n">
        <f aca="false">SUMIF(Transaction!$B$2:$B$8421,A1630,Transaction!$H$2:$H$8421)</f>
        <v>480</v>
      </c>
      <c r="M1630" s="6" t="n">
        <f aca="false">Summary!$B$3-J1630</f>
        <v>140</v>
      </c>
      <c r="N1630" s="6" t="str">
        <f aca="false">IF(K1630&gt;1,"Yes","No")</f>
        <v>No</v>
      </c>
      <c r="O1630" s="6" t="s">
        <v>48</v>
      </c>
    </row>
    <row r="1631" customFormat="false" ht="15" hidden="false" customHeight="false" outlineLevel="0" collapsed="false">
      <c r="A1631" s="6" t="s">
        <v>3371</v>
      </c>
      <c r="B1631" s="6" t="s">
        <v>3372</v>
      </c>
      <c r="C1631" s="6" t="s">
        <v>75</v>
      </c>
      <c r="D1631" s="6" t="n">
        <v>43</v>
      </c>
      <c r="E1631" s="6" t="s">
        <v>121</v>
      </c>
      <c r="F1631" s="6" t="s">
        <v>122</v>
      </c>
      <c r="G1631" s="26" t="n">
        <v>46027</v>
      </c>
      <c r="H1631" s="6" t="s">
        <v>88</v>
      </c>
      <c r="I1631" s="26" t="n">
        <f aca="false">_xlfn.MINIFS(Transaction!$C$2:$C$8421,Transaction!$B$2:$B$8421,A1631)</f>
        <v>46049</v>
      </c>
      <c r="J1631" s="26" t="n">
        <f aca="false">_xlfn.MAXIFS(Transaction!$C$2:$C$8421,Transaction!$B$2:$B$8421,A1631)</f>
        <v>46205</v>
      </c>
      <c r="K1631" s="6" t="n">
        <f aca="false">COUNTIF(Transaction!$B$2:$B$8421,A1631)</f>
        <v>5</v>
      </c>
      <c r="L1631" s="10" t="n">
        <f aca="false">SUMIF(Transaction!$B$2:$B$8421,A1631,Transaction!$H$2:$H$8421)</f>
        <v>7781</v>
      </c>
      <c r="M1631" s="6" t="n">
        <f aca="false">Summary!$B$3-J1631</f>
        <v>61</v>
      </c>
      <c r="N1631" s="6" t="str">
        <f aca="false">IF(K1631&gt;1,"Yes","No")</f>
        <v>Yes</v>
      </c>
      <c r="O1631" s="6" t="s">
        <v>46</v>
      </c>
    </row>
    <row r="1632" customFormat="false" ht="15" hidden="false" customHeight="false" outlineLevel="0" collapsed="false">
      <c r="A1632" s="6" t="s">
        <v>3373</v>
      </c>
      <c r="B1632" s="6" t="s">
        <v>3374</v>
      </c>
      <c r="C1632" s="6" t="s">
        <v>75</v>
      </c>
      <c r="D1632" s="6" t="n">
        <v>23</v>
      </c>
      <c r="E1632" s="6" t="s">
        <v>95</v>
      </c>
      <c r="F1632" s="6" t="s">
        <v>95</v>
      </c>
      <c r="G1632" s="26" t="n">
        <v>45966</v>
      </c>
      <c r="H1632" s="6" t="s">
        <v>115</v>
      </c>
      <c r="I1632" s="26" t="n">
        <f aca="false">_xlfn.MINIFS(Transaction!$C$2:$C$8421,Transaction!$B$2:$B$8421,A1632)</f>
        <v>46027</v>
      </c>
      <c r="J1632" s="26" t="n">
        <f aca="false">_xlfn.MAXIFS(Transaction!$C$2:$C$8421,Transaction!$B$2:$B$8421,A1632)</f>
        <v>46027</v>
      </c>
      <c r="K1632" s="6" t="n">
        <f aca="false">COUNTIF(Transaction!$B$2:$B$8421,A1632)</f>
        <v>1</v>
      </c>
      <c r="L1632" s="10" t="n">
        <f aca="false">SUMIF(Transaction!$B$2:$B$8421,A1632,Transaction!$H$2:$H$8421)</f>
        <v>354</v>
      </c>
      <c r="M1632" s="6" t="n">
        <f aca="false">Summary!$B$3-J1632</f>
        <v>239</v>
      </c>
      <c r="N1632" s="6" t="str">
        <f aca="false">IF(K1632&gt;1,"Yes","No")</f>
        <v>No</v>
      </c>
      <c r="O1632" s="6" t="s">
        <v>49</v>
      </c>
    </row>
    <row r="1633" customFormat="false" ht="15" hidden="false" customHeight="false" outlineLevel="0" collapsed="false">
      <c r="A1633" s="6" t="s">
        <v>3375</v>
      </c>
      <c r="B1633" s="6" t="s">
        <v>3376</v>
      </c>
      <c r="C1633" s="6" t="s">
        <v>75</v>
      </c>
      <c r="D1633" s="6" t="n">
        <v>33</v>
      </c>
      <c r="E1633" s="6" t="s">
        <v>91</v>
      </c>
      <c r="F1633" s="6" t="s">
        <v>77</v>
      </c>
      <c r="G1633" s="26" t="n">
        <v>46170</v>
      </c>
      <c r="H1633" s="6" t="s">
        <v>78</v>
      </c>
      <c r="I1633" s="26" t="n">
        <f aca="false">_xlfn.MINIFS(Transaction!$C$2:$C$8421,Transaction!$B$2:$B$8421,A1633)</f>
        <v>46256</v>
      </c>
      <c r="J1633" s="26" t="n">
        <f aca="false">_xlfn.MAXIFS(Transaction!$C$2:$C$8421,Transaction!$B$2:$B$8421,A1633)</f>
        <v>46256</v>
      </c>
      <c r="K1633" s="6" t="n">
        <f aca="false">COUNTIF(Transaction!$B$2:$B$8421,A1633)</f>
        <v>1</v>
      </c>
      <c r="L1633" s="10" t="n">
        <f aca="false">SUMIF(Transaction!$B$2:$B$8421,A1633,Transaction!$H$2:$H$8421)</f>
        <v>1040</v>
      </c>
      <c r="M1633" s="6" t="n">
        <f aca="false">Summary!$B$3-J1633</f>
        <v>10</v>
      </c>
      <c r="N1633" s="6" t="str">
        <f aca="false">IF(K1633&gt;1,"Yes","No")</f>
        <v>No</v>
      </c>
      <c r="O1633" s="6" t="s">
        <v>47</v>
      </c>
    </row>
    <row r="1634" customFormat="false" ht="15" hidden="false" customHeight="false" outlineLevel="0" collapsed="false">
      <c r="A1634" s="6" t="s">
        <v>3377</v>
      </c>
      <c r="B1634" s="6" t="s">
        <v>3378</v>
      </c>
      <c r="C1634" s="6" t="s">
        <v>75</v>
      </c>
      <c r="D1634" s="6" t="n">
        <v>48</v>
      </c>
      <c r="E1634" s="6" t="s">
        <v>264</v>
      </c>
      <c r="F1634" s="6" t="s">
        <v>106</v>
      </c>
      <c r="G1634" s="26" t="n">
        <v>46256</v>
      </c>
      <c r="H1634" s="6" t="s">
        <v>102</v>
      </c>
      <c r="I1634" s="26" t="n">
        <f aca="false">_xlfn.MINIFS(Transaction!$C$2:$C$8421,Transaction!$B$2:$B$8421,A1634)</f>
        <v>46258</v>
      </c>
      <c r="J1634" s="26" t="n">
        <f aca="false">_xlfn.MAXIFS(Transaction!$C$2:$C$8421,Transaction!$B$2:$B$8421,A1634)</f>
        <v>46258</v>
      </c>
      <c r="K1634" s="6" t="n">
        <f aca="false">COUNTIF(Transaction!$B$2:$B$8421,A1634)</f>
        <v>1</v>
      </c>
      <c r="L1634" s="10" t="n">
        <f aca="false">SUMIF(Transaction!$B$2:$B$8421,A1634,Transaction!$H$2:$H$8421)</f>
        <v>1414</v>
      </c>
      <c r="M1634" s="6" t="n">
        <f aca="false">Summary!$B$3-J1634</f>
        <v>8</v>
      </c>
      <c r="N1634" s="6" t="str">
        <f aca="false">IF(K1634&gt;1,"Yes","No")</f>
        <v>No</v>
      </c>
      <c r="O1634" s="6" t="s">
        <v>47</v>
      </c>
    </row>
    <row r="1635" customFormat="false" ht="15" hidden="false" customHeight="false" outlineLevel="0" collapsed="false">
      <c r="A1635" s="6" t="s">
        <v>3379</v>
      </c>
      <c r="B1635" s="6" t="s">
        <v>3380</v>
      </c>
      <c r="C1635" s="6" t="s">
        <v>85</v>
      </c>
      <c r="D1635" s="6" t="n">
        <v>28</v>
      </c>
      <c r="E1635" s="6" t="s">
        <v>176</v>
      </c>
      <c r="F1635" s="6" t="s">
        <v>177</v>
      </c>
      <c r="G1635" s="26" t="n">
        <v>46099</v>
      </c>
      <c r="H1635" s="6" t="s">
        <v>78</v>
      </c>
      <c r="I1635" s="26" t="n">
        <f aca="false">_xlfn.MINIFS(Transaction!$C$2:$C$8421,Transaction!$B$2:$B$8421,A1635)</f>
        <v>46161</v>
      </c>
      <c r="J1635" s="26" t="n">
        <f aca="false">_xlfn.MAXIFS(Transaction!$C$2:$C$8421,Transaction!$B$2:$B$8421,A1635)</f>
        <v>46161</v>
      </c>
      <c r="K1635" s="6" t="n">
        <f aca="false">COUNTIF(Transaction!$B$2:$B$8421,A1635)</f>
        <v>1</v>
      </c>
      <c r="L1635" s="10" t="n">
        <f aca="false">SUMIF(Transaction!$B$2:$B$8421,A1635,Transaction!$H$2:$H$8421)</f>
        <v>587</v>
      </c>
      <c r="M1635" s="6" t="n">
        <f aca="false">Summary!$B$3-J1635</f>
        <v>105</v>
      </c>
      <c r="N1635" s="6" t="str">
        <f aca="false">IF(K1635&gt;1,"Yes","No")</f>
        <v>No</v>
      </c>
      <c r="O1635" s="6" t="s">
        <v>48</v>
      </c>
    </row>
    <row r="1636" customFormat="false" ht="15" hidden="false" customHeight="false" outlineLevel="0" collapsed="false">
      <c r="A1636" s="6" t="s">
        <v>3381</v>
      </c>
      <c r="B1636" s="6" t="s">
        <v>3382</v>
      </c>
      <c r="C1636" s="6" t="s">
        <v>85</v>
      </c>
      <c r="D1636" s="6" t="n">
        <v>29</v>
      </c>
      <c r="E1636" s="6" t="s">
        <v>121</v>
      </c>
      <c r="F1636" s="6" t="s">
        <v>122</v>
      </c>
      <c r="G1636" s="26" t="n">
        <v>46196</v>
      </c>
      <c r="H1636" s="6" t="s">
        <v>78</v>
      </c>
      <c r="I1636" s="26" t="n">
        <f aca="false">_xlfn.MINIFS(Transaction!$C$2:$C$8421,Transaction!$B$2:$B$8421,A1636)</f>
        <v>46226</v>
      </c>
      <c r="J1636" s="26" t="n">
        <f aca="false">_xlfn.MAXIFS(Transaction!$C$2:$C$8421,Transaction!$B$2:$B$8421,A1636)</f>
        <v>46226</v>
      </c>
      <c r="K1636" s="6" t="n">
        <f aca="false">COUNTIF(Transaction!$B$2:$B$8421,A1636)</f>
        <v>1</v>
      </c>
      <c r="L1636" s="10" t="n">
        <f aca="false">SUMIF(Transaction!$B$2:$B$8421,A1636,Transaction!$H$2:$H$8421)</f>
        <v>4644</v>
      </c>
      <c r="M1636" s="6" t="n">
        <f aca="false">Summary!$B$3-J1636</f>
        <v>40</v>
      </c>
      <c r="N1636" s="6" t="str">
        <f aca="false">IF(K1636&gt;1,"Yes","No")</f>
        <v>No</v>
      </c>
      <c r="O1636" s="6" t="s">
        <v>47</v>
      </c>
    </row>
    <row r="1637" customFormat="false" ht="15" hidden="false" customHeight="false" outlineLevel="0" collapsed="false">
      <c r="A1637" s="6" t="s">
        <v>3383</v>
      </c>
      <c r="B1637" s="6" t="s">
        <v>3384</v>
      </c>
      <c r="C1637" s="6" t="s">
        <v>85</v>
      </c>
      <c r="D1637" s="6" t="n">
        <v>31</v>
      </c>
      <c r="E1637" s="6" t="s">
        <v>430</v>
      </c>
      <c r="F1637" s="6" t="s">
        <v>99</v>
      </c>
      <c r="G1637" s="26" t="n">
        <v>46162</v>
      </c>
      <c r="H1637" s="6" t="s">
        <v>115</v>
      </c>
      <c r="I1637" s="26" t="n">
        <f aca="false">_xlfn.MINIFS(Transaction!$C$2:$C$8421,Transaction!$B$2:$B$8421,A1637)</f>
        <v>46193</v>
      </c>
      <c r="J1637" s="26" t="n">
        <f aca="false">_xlfn.MAXIFS(Transaction!$C$2:$C$8421,Transaction!$B$2:$B$8421,A1637)</f>
        <v>46193</v>
      </c>
      <c r="K1637" s="6" t="n">
        <f aca="false">COUNTIF(Transaction!$B$2:$B$8421,A1637)</f>
        <v>1</v>
      </c>
      <c r="L1637" s="10" t="n">
        <f aca="false">SUMIF(Transaction!$B$2:$B$8421,A1637,Transaction!$H$2:$H$8421)</f>
        <v>1009</v>
      </c>
      <c r="M1637" s="6" t="n">
        <f aca="false">Summary!$B$3-J1637</f>
        <v>73</v>
      </c>
      <c r="N1637" s="6" t="str">
        <f aca="false">IF(K1637&gt;1,"Yes","No")</f>
        <v>No</v>
      </c>
      <c r="O1637" s="6" t="s">
        <v>47</v>
      </c>
    </row>
    <row r="1638" customFormat="false" ht="15" hidden="false" customHeight="false" outlineLevel="0" collapsed="false">
      <c r="A1638" s="6" t="s">
        <v>3385</v>
      </c>
      <c r="B1638" s="6" t="s">
        <v>3386</v>
      </c>
      <c r="C1638" s="6" t="s">
        <v>75</v>
      </c>
      <c r="D1638" s="6" t="n">
        <v>37</v>
      </c>
      <c r="E1638" s="6" t="s">
        <v>91</v>
      </c>
      <c r="F1638" s="6" t="s">
        <v>77</v>
      </c>
      <c r="G1638" s="26" t="n">
        <v>46228</v>
      </c>
      <c r="H1638" s="6" t="s">
        <v>115</v>
      </c>
      <c r="I1638" s="26" t="n">
        <f aca="false">_xlfn.MINIFS(Transaction!$C$2:$C$8421,Transaction!$B$2:$B$8421,A1638)</f>
        <v>46253</v>
      </c>
      <c r="J1638" s="26" t="n">
        <f aca="false">_xlfn.MAXIFS(Transaction!$C$2:$C$8421,Transaction!$B$2:$B$8421,A1638)</f>
        <v>46253</v>
      </c>
      <c r="K1638" s="6" t="n">
        <f aca="false">COUNTIF(Transaction!$B$2:$B$8421,A1638)</f>
        <v>1</v>
      </c>
      <c r="L1638" s="10" t="n">
        <f aca="false">SUMIF(Transaction!$B$2:$B$8421,A1638,Transaction!$H$2:$H$8421)</f>
        <v>6420</v>
      </c>
      <c r="M1638" s="6" t="n">
        <f aca="false">Summary!$B$3-J1638</f>
        <v>13</v>
      </c>
      <c r="N1638" s="6" t="str">
        <f aca="false">IF(K1638&gt;1,"Yes","No")</f>
        <v>No</v>
      </c>
      <c r="O1638" s="6" t="s">
        <v>47</v>
      </c>
    </row>
    <row r="1639" customFormat="false" ht="15" hidden="false" customHeight="false" outlineLevel="0" collapsed="false">
      <c r="A1639" s="6" t="s">
        <v>3387</v>
      </c>
      <c r="B1639" s="6" t="s">
        <v>3388</v>
      </c>
      <c r="C1639" s="6" t="s">
        <v>75</v>
      </c>
      <c r="D1639" s="6" t="n">
        <v>45</v>
      </c>
      <c r="E1639" s="6" t="s">
        <v>146</v>
      </c>
      <c r="F1639" s="6" t="s">
        <v>147</v>
      </c>
      <c r="G1639" s="26" t="n">
        <v>46085</v>
      </c>
      <c r="H1639" s="6" t="s">
        <v>102</v>
      </c>
      <c r="I1639" s="26" t="n">
        <f aca="false">_xlfn.MINIFS(Transaction!$C$2:$C$8421,Transaction!$B$2:$B$8421,A1639)</f>
        <v>46120</v>
      </c>
      <c r="J1639" s="26" t="n">
        <f aca="false">_xlfn.MAXIFS(Transaction!$C$2:$C$8421,Transaction!$B$2:$B$8421,A1639)</f>
        <v>46249</v>
      </c>
      <c r="K1639" s="6" t="n">
        <f aca="false">COUNTIF(Transaction!$B$2:$B$8421,A1639)</f>
        <v>4</v>
      </c>
      <c r="L1639" s="10" t="n">
        <f aca="false">SUMIF(Transaction!$B$2:$B$8421,A1639,Transaction!$H$2:$H$8421)</f>
        <v>4153</v>
      </c>
      <c r="M1639" s="6" t="n">
        <f aca="false">Summary!$B$3-J1639</f>
        <v>17</v>
      </c>
      <c r="N1639" s="6" t="str">
        <f aca="false">IF(K1639&gt;1,"Yes","No")</f>
        <v>Yes</v>
      </c>
      <c r="O1639" s="6" t="s">
        <v>46</v>
      </c>
    </row>
    <row r="1640" customFormat="false" ht="15" hidden="false" customHeight="false" outlineLevel="0" collapsed="false">
      <c r="A1640" s="6" t="s">
        <v>3389</v>
      </c>
      <c r="B1640" s="6" t="s">
        <v>3390</v>
      </c>
      <c r="C1640" s="6" t="s">
        <v>75</v>
      </c>
      <c r="D1640" s="6" t="n">
        <v>27</v>
      </c>
      <c r="E1640" s="6" t="s">
        <v>264</v>
      </c>
      <c r="F1640" s="6" t="s">
        <v>106</v>
      </c>
      <c r="G1640" s="26" t="n">
        <v>46027</v>
      </c>
      <c r="H1640" s="6" t="s">
        <v>102</v>
      </c>
      <c r="I1640" s="26" t="n">
        <f aca="false">_xlfn.MINIFS(Transaction!$C$2:$C$8421,Transaction!$B$2:$B$8421,A1640)</f>
        <v>46063</v>
      </c>
      <c r="J1640" s="26" t="n">
        <f aca="false">_xlfn.MAXIFS(Transaction!$C$2:$C$8421,Transaction!$B$2:$B$8421,A1640)</f>
        <v>46265</v>
      </c>
      <c r="K1640" s="6" t="n">
        <f aca="false">COUNTIF(Transaction!$B$2:$B$8421,A1640)</f>
        <v>8</v>
      </c>
      <c r="L1640" s="10" t="n">
        <f aca="false">SUMIF(Transaction!$B$2:$B$8421,A1640,Transaction!$H$2:$H$8421)</f>
        <v>13855</v>
      </c>
      <c r="M1640" s="6" t="n">
        <f aca="false">Summary!$B$3-J1640</f>
        <v>1</v>
      </c>
      <c r="N1640" s="6" t="str">
        <f aca="false">IF(K1640&gt;1,"Yes","No")</f>
        <v>Yes</v>
      </c>
      <c r="O1640" s="6" t="s">
        <v>45</v>
      </c>
    </row>
    <row r="1641" customFormat="false" ht="15" hidden="false" customHeight="false" outlineLevel="0" collapsed="false">
      <c r="A1641" s="6" t="s">
        <v>3391</v>
      </c>
      <c r="B1641" s="6" t="s">
        <v>3392</v>
      </c>
      <c r="C1641" s="6" t="s">
        <v>85</v>
      </c>
      <c r="D1641" s="6" t="n">
        <v>32</v>
      </c>
      <c r="E1641" s="6" t="s">
        <v>95</v>
      </c>
      <c r="F1641" s="6" t="s">
        <v>95</v>
      </c>
      <c r="G1641" s="26" t="n">
        <v>46093</v>
      </c>
      <c r="H1641" s="6" t="s">
        <v>78</v>
      </c>
      <c r="I1641" s="26" t="n">
        <f aca="false">_xlfn.MINIFS(Transaction!$C$2:$C$8421,Transaction!$B$2:$B$8421,A1641)</f>
        <v>46162</v>
      </c>
      <c r="J1641" s="26" t="n">
        <f aca="false">_xlfn.MAXIFS(Transaction!$C$2:$C$8421,Transaction!$B$2:$B$8421,A1641)</f>
        <v>46162</v>
      </c>
      <c r="K1641" s="6" t="n">
        <f aca="false">COUNTIF(Transaction!$B$2:$B$8421,A1641)</f>
        <v>1</v>
      </c>
      <c r="L1641" s="10" t="n">
        <f aca="false">SUMIF(Transaction!$B$2:$B$8421,A1641,Transaction!$H$2:$H$8421)</f>
        <v>557</v>
      </c>
      <c r="M1641" s="6" t="n">
        <f aca="false">Summary!$B$3-J1641</f>
        <v>104</v>
      </c>
      <c r="N1641" s="6" t="str">
        <f aca="false">IF(K1641&gt;1,"Yes","No")</f>
        <v>No</v>
      </c>
      <c r="O1641" s="6" t="s">
        <v>48</v>
      </c>
    </row>
    <row r="1642" customFormat="false" ht="15" hidden="false" customHeight="false" outlineLevel="0" collapsed="false">
      <c r="A1642" s="6" t="s">
        <v>3393</v>
      </c>
      <c r="B1642" s="6" t="s">
        <v>3394</v>
      </c>
      <c r="C1642" s="6" t="s">
        <v>75</v>
      </c>
      <c r="D1642" s="6" t="n">
        <v>38</v>
      </c>
      <c r="E1642" s="6" t="s">
        <v>176</v>
      </c>
      <c r="F1642" s="6" t="s">
        <v>177</v>
      </c>
      <c r="G1642" s="26" t="n">
        <v>46004</v>
      </c>
      <c r="H1642" s="6" t="s">
        <v>78</v>
      </c>
      <c r="I1642" s="26" t="n">
        <f aca="false">_xlfn.MINIFS(Transaction!$C$2:$C$8421,Transaction!$B$2:$B$8421,A1642)</f>
        <v>46062</v>
      </c>
      <c r="J1642" s="26" t="n">
        <f aca="false">_xlfn.MAXIFS(Transaction!$C$2:$C$8421,Transaction!$B$2:$B$8421,A1642)</f>
        <v>46256</v>
      </c>
      <c r="K1642" s="6" t="n">
        <f aca="false">COUNTIF(Transaction!$B$2:$B$8421,A1642)</f>
        <v>5</v>
      </c>
      <c r="L1642" s="10" t="n">
        <f aca="false">SUMIF(Transaction!$B$2:$B$8421,A1642,Transaction!$H$2:$H$8421)</f>
        <v>13374</v>
      </c>
      <c r="M1642" s="6" t="n">
        <f aca="false">Summary!$B$3-J1642</f>
        <v>10</v>
      </c>
      <c r="N1642" s="6" t="str">
        <f aca="false">IF(K1642&gt;1,"Yes","No")</f>
        <v>Yes</v>
      </c>
      <c r="O1642" s="6" t="s">
        <v>46</v>
      </c>
    </row>
    <row r="1643" customFormat="false" ht="15" hidden="false" customHeight="false" outlineLevel="0" collapsed="false">
      <c r="A1643" s="6" t="s">
        <v>3395</v>
      </c>
      <c r="B1643" s="6" t="s">
        <v>3396</v>
      </c>
      <c r="C1643" s="6" t="s">
        <v>75</v>
      </c>
      <c r="D1643" s="6" t="n">
        <v>38</v>
      </c>
      <c r="E1643" s="6" t="s">
        <v>121</v>
      </c>
      <c r="F1643" s="6" t="s">
        <v>122</v>
      </c>
      <c r="G1643" s="26" t="n">
        <v>46028</v>
      </c>
      <c r="H1643" s="6" t="s">
        <v>78</v>
      </c>
      <c r="I1643" s="26" t="n">
        <f aca="false">_xlfn.MINIFS(Transaction!$C$2:$C$8421,Transaction!$B$2:$B$8421,A1643)</f>
        <v>46088</v>
      </c>
      <c r="J1643" s="26" t="n">
        <f aca="false">_xlfn.MAXIFS(Transaction!$C$2:$C$8421,Transaction!$B$2:$B$8421,A1643)</f>
        <v>46088</v>
      </c>
      <c r="K1643" s="6" t="n">
        <f aca="false">COUNTIF(Transaction!$B$2:$B$8421,A1643)</f>
        <v>1</v>
      </c>
      <c r="L1643" s="10" t="n">
        <f aca="false">SUMIF(Transaction!$B$2:$B$8421,A1643,Transaction!$H$2:$H$8421)</f>
        <v>1761</v>
      </c>
      <c r="M1643" s="6" t="n">
        <f aca="false">Summary!$B$3-J1643</f>
        <v>178</v>
      </c>
      <c r="N1643" s="6" t="str">
        <f aca="false">IF(K1643&gt;1,"Yes","No")</f>
        <v>No</v>
      </c>
      <c r="O1643" s="6" t="s">
        <v>49</v>
      </c>
    </row>
    <row r="1644" customFormat="false" ht="15" hidden="false" customHeight="false" outlineLevel="0" collapsed="false">
      <c r="A1644" s="6" t="s">
        <v>3397</v>
      </c>
      <c r="B1644" s="6" t="s">
        <v>3398</v>
      </c>
      <c r="C1644" s="6" t="s">
        <v>85</v>
      </c>
      <c r="D1644" s="6" t="n">
        <v>35</v>
      </c>
      <c r="E1644" s="6" t="s">
        <v>118</v>
      </c>
      <c r="F1644" s="6" t="s">
        <v>77</v>
      </c>
      <c r="G1644" s="26" t="n">
        <v>46127</v>
      </c>
      <c r="H1644" s="6" t="s">
        <v>78</v>
      </c>
      <c r="I1644" s="26" t="n">
        <f aca="false">_xlfn.MINIFS(Transaction!$C$2:$C$8421,Transaction!$B$2:$B$8421,A1644)</f>
        <v>46181</v>
      </c>
      <c r="J1644" s="26" t="n">
        <f aca="false">_xlfn.MAXIFS(Transaction!$C$2:$C$8421,Transaction!$B$2:$B$8421,A1644)</f>
        <v>46181</v>
      </c>
      <c r="K1644" s="6" t="n">
        <f aca="false">COUNTIF(Transaction!$B$2:$B$8421,A1644)</f>
        <v>1</v>
      </c>
      <c r="L1644" s="10" t="n">
        <f aca="false">SUMIF(Transaction!$B$2:$B$8421,A1644,Transaction!$H$2:$H$8421)</f>
        <v>1767</v>
      </c>
      <c r="M1644" s="6" t="n">
        <f aca="false">Summary!$B$3-J1644</f>
        <v>85</v>
      </c>
      <c r="N1644" s="6" t="str">
        <f aca="false">IF(K1644&gt;1,"Yes","No")</f>
        <v>No</v>
      </c>
      <c r="O1644" s="6" t="s">
        <v>47</v>
      </c>
    </row>
    <row r="1645" customFormat="false" ht="15" hidden="false" customHeight="false" outlineLevel="0" collapsed="false">
      <c r="A1645" s="6" t="s">
        <v>3399</v>
      </c>
      <c r="B1645" s="6" t="s">
        <v>3400</v>
      </c>
      <c r="C1645" s="6" t="s">
        <v>75</v>
      </c>
      <c r="D1645" s="6" t="n">
        <v>31</v>
      </c>
      <c r="E1645" s="6" t="s">
        <v>98</v>
      </c>
      <c r="F1645" s="6" t="s">
        <v>99</v>
      </c>
      <c r="G1645" s="26" t="n">
        <v>45983</v>
      </c>
      <c r="H1645" s="6" t="s">
        <v>78</v>
      </c>
      <c r="I1645" s="26" t="n">
        <f aca="false">_xlfn.MINIFS(Transaction!$C$2:$C$8421,Transaction!$B$2:$B$8421,A1645)</f>
        <v>46027</v>
      </c>
      <c r="J1645" s="26" t="n">
        <f aca="false">_xlfn.MAXIFS(Transaction!$C$2:$C$8421,Transaction!$B$2:$B$8421,A1645)</f>
        <v>46254</v>
      </c>
      <c r="K1645" s="6" t="n">
        <f aca="false">COUNTIF(Transaction!$B$2:$B$8421,A1645)</f>
        <v>10</v>
      </c>
      <c r="L1645" s="10" t="n">
        <f aca="false">SUMIF(Transaction!$B$2:$B$8421,A1645,Transaction!$H$2:$H$8421)</f>
        <v>18137</v>
      </c>
      <c r="M1645" s="6" t="n">
        <f aca="false">Summary!$B$3-J1645</f>
        <v>12</v>
      </c>
      <c r="N1645" s="6" t="str">
        <f aca="false">IF(K1645&gt;1,"Yes","No")</f>
        <v>Yes</v>
      </c>
      <c r="O1645" s="6" t="s">
        <v>45</v>
      </c>
    </row>
    <row r="1646" customFormat="false" ht="15" hidden="false" customHeight="false" outlineLevel="0" collapsed="false">
      <c r="A1646" s="6" t="s">
        <v>3401</v>
      </c>
      <c r="B1646" s="6" t="s">
        <v>3402</v>
      </c>
      <c r="C1646" s="6" t="s">
        <v>75</v>
      </c>
      <c r="D1646" s="6" t="n">
        <v>41</v>
      </c>
      <c r="E1646" s="6" t="s">
        <v>118</v>
      </c>
      <c r="F1646" s="6" t="s">
        <v>77</v>
      </c>
      <c r="G1646" s="26" t="n">
        <v>46065</v>
      </c>
      <c r="H1646" s="6" t="s">
        <v>92</v>
      </c>
      <c r="I1646" s="26" t="n">
        <f aca="false">_xlfn.MINIFS(Transaction!$C$2:$C$8421,Transaction!$B$2:$B$8421,A1646)</f>
        <v>46084</v>
      </c>
      <c r="J1646" s="26" t="n">
        <f aca="false">_xlfn.MAXIFS(Transaction!$C$2:$C$8421,Transaction!$B$2:$B$8421,A1646)</f>
        <v>46084</v>
      </c>
      <c r="K1646" s="6" t="n">
        <f aca="false">COUNTIF(Transaction!$B$2:$B$8421,A1646)</f>
        <v>1</v>
      </c>
      <c r="L1646" s="10" t="n">
        <f aca="false">SUMIF(Transaction!$B$2:$B$8421,A1646,Transaction!$H$2:$H$8421)</f>
        <v>884</v>
      </c>
      <c r="M1646" s="6" t="n">
        <f aca="false">Summary!$B$3-J1646</f>
        <v>182</v>
      </c>
      <c r="N1646" s="6" t="str">
        <f aca="false">IF(K1646&gt;1,"Yes","No")</f>
        <v>No</v>
      </c>
      <c r="O1646" s="6" t="s">
        <v>49</v>
      </c>
    </row>
    <row r="1647" customFormat="false" ht="15" hidden="false" customHeight="false" outlineLevel="0" collapsed="false">
      <c r="A1647" s="6" t="s">
        <v>3403</v>
      </c>
      <c r="B1647" s="6" t="s">
        <v>3404</v>
      </c>
      <c r="C1647" s="6" t="s">
        <v>75</v>
      </c>
      <c r="D1647" s="6" t="n">
        <v>34</v>
      </c>
      <c r="E1647" s="6" t="s">
        <v>76</v>
      </c>
      <c r="F1647" s="6" t="s">
        <v>77</v>
      </c>
      <c r="G1647" s="26" t="n">
        <v>46123</v>
      </c>
      <c r="H1647" s="6" t="s">
        <v>102</v>
      </c>
      <c r="I1647" s="26" t="n">
        <f aca="false">_xlfn.MINIFS(Transaction!$C$2:$C$8421,Transaction!$B$2:$B$8421,A1647)</f>
        <v>46179</v>
      </c>
      <c r="J1647" s="26" t="n">
        <f aca="false">_xlfn.MAXIFS(Transaction!$C$2:$C$8421,Transaction!$B$2:$B$8421,A1647)</f>
        <v>46219</v>
      </c>
      <c r="K1647" s="6" t="n">
        <f aca="false">COUNTIF(Transaction!$B$2:$B$8421,A1647)</f>
        <v>5</v>
      </c>
      <c r="L1647" s="10" t="n">
        <f aca="false">SUMIF(Transaction!$B$2:$B$8421,A1647,Transaction!$H$2:$H$8421)</f>
        <v>6036</v>
      </c>
      <c r="M1647" s="6" t="n">
        <f aca="false">Summary!$B$3-J1647</f>
        <v>47</v>
      </c>
      <c r="N1647" s="6" t="str">
        <f aca="false">IF(K1647&gt;1,"Yes","No")</f>
        <v>Yes</v>
      </c>
      <c r="O1647" s="6" t="s">
        <v>46</v>
      </c>
    </row>
    <row r="1648" customFormat="false" ht="15" hidden="false" customHeight="false" outlineLevel="0" collapsed="false">
      <c r="A1648" s="6" t="s">
        <v>3405</v>
      </c>
      <c r="B1648" s="6" t="s">
        <v>3406</v>
      </c>
      <c r="C1648" s="6" t="s">
        <v>75</v>
      </c>
      <c r="D1648" s="6" t="n">
        <v>27</v>
      </c>
      <c r="E1648" s="6" t="s">
        <v>95</v>
      </c>
      <c r="F1648" s="6" t="s">
        <v>95</v>
      </c>
      <c r="G1648" s="26" t="n">
        <v>46045</v>
      </c>
      <c r="H1648" s="6" t="s">
        <v>115</v>
      </c>
      <c r="I1648" s="26" t="n">
        <f aca="false">_xlfn.MINIFS(Transaction!$C$2:$C$8421,Transaction!$B$2:$B$8421,A1648)</f>
        <v>46045</v>
      </c>
      <c r="J1648" s="26" t="n">
        <f aca="false">_xlfn.MAXIFS(Transaction!$C$2:$C$8421,Transaction!$B$2:$B$8421,A1648)</f>
        <v>46045</v>
      </c>
      <c r="K1648" s="6" t="n">
        <f aca="false">COUNTIF(Transaction!$B$2:$B$8421,A1648)</f>
        <v>1</v>
      </c>
      <c r="L1648" s="10" t="n">
        <f aca="false">SUMIF(Transaction!$B$2:$B$8421,A1648,Transaction!$H$2:$H$8421)</f>
        <v>1588</v>
      </c>
      <c r="M1648" s="6" t="n">
        <f aca="false">Summary!$B$3-J1648</f>
        <v>221</v>
      </c>
      <c r="N1648" s="6" t="str">
        <f aca="false">IF(K1648&gt;1,"Yes","No")</f>
        <v>No</v>
      </c>
      <c r="O1648" s="6" t="s">
        <v>49</v>
      </c>
    </row>
    <row r="1649" customFormat="false" ht="15" hidden="false" customHeight="false" outlineLevel="0" collapsed="false">
      <c r="A1649" s="6" t="s">
        <v>3407</v>
      </c>
      <c r="B1649" s="6" t="s">
        <v>3408</v>
      </c>
      <c r="C1649" s="6" t="s">
        <v>85</v>
      </c>
      <c r="D1649" s="6" t="n">
        <v>30</v>
      </c>
      <c r="E1649" s="6" t="s">
        <v>176</v>
      </c>
      <c r="F1649" s="6" t="s">
        <v>177</v>
      </c>
      <c r="G1649" s="26" t="n">
        <v>46209</v>
      </c>
      <c r="H1649" s="6" t="s">
        <v>78</v>
      </c>
      <c r="I1649" s="26" t="n">
        <f aca="false">_xlfn.MINIFS(Transaction!$C$2:$C$8421,Transaction!$B$2:$B$8421,A1649)</f>
        <v>46247</v>
      </c>
      <c r="J1649" s="26" t="n">
        <f aca="false">_xlfn.MAXIFS(Transaction!$C$2:$C$8421,Transaction!$B$2:$B$8421,A1649)</f>
        <v>46247</v>
      </c>
      <c r="K1649" s="6" t="n">
        <f aca="false">COUNTIF(Transaction!$B$2:$B$8421,A1649)</f>
        <v>1</v>
      </c>
      <c r="L1649" s="10" t="n">
        <f aca="false">SUMIF(Transaction!$B$2:$B$8421,A1649,Transaction!$H$2:$H$8421)</f>
        <v>1761</v>
      </c>
      <c r="M1649" s="6" t="n">
        <f aca="false">Summary!$B$3-J1649</f>
        <v>19</v>
      </c>
      <c r="N1649" s="6" t="str">
        <f aca="false">IF(K1649&gt;1,"Yes","No")</f>
        <v>No</v>
      </c>
      <c r="O1649" s="6" t="s">
        <v>47</v>
      </c>
    </row>
    <row r="1650" customFormat="false" ht="15" hidden="false" customHeight="false" outlineLevel="0" collapsed="false">
      <c r="A1650" s="6" t="s">
        <v>3409</v>
      </c>
      <c r="B1650" s="6" t="s">
        <v>3410</v>
      </c>
      <c r="C1650" s="6" t="s">
        <v>75</v>
      </c>
      <c r="D1650" s="6" t="n">
        <v>25</v>
      </c>
      <c r="E1650" s="6" t="s">
        <v>76</v>
      </c>
      <c r="F1650" s="6" t="s">
        <v>77</v>
      </c>
      <c r="G1650" s="26" t="n">
        <v>46221</v>
      </c>
      <c r="H1650" s="6" t="s">
        <v>78</v>
      </c>
      <c r="I1650" s="26" t="n">
        <f aca="false">_xlfn.MINIFS(Transaction!$C$2:$C$8421,Transaction!$B$2:$B$8421,A1650)</f>
        <v>46240</v>
      </c>
      <c r="J1650" s="26" t="n">
        <f aca="false">_xlfn.MAXIFS(Transaction!$C$2:$C$8421,Transaction!$B$2:$B$8421,A1650)</f>
        <v>46240</v>
      </c>
      <c r="K1650" s="6" t="n">
        <f aca="false">COUNTIF(Transaction!$B$2:$B$8421,A1650)</f>
        <v>1</v>
      </c>
      <c r="L1650" s="10" t="n">
        <f aca="false">SUMIF(Transaction!$B$2:$B$8421,A1650,Transaction!$H$2:$H$8421)</f>
        <v>1062</v>
      </c>
      <c r="M1650" s="6" t="n">
        <f aca="false">Summary!$B$3-J1650</f>
        <v>26</v>
      </c>
      <c r="N1650" s="6" t="str">
        <f aca="false">IF(K1650&gt;1,"Yes","No")</f>
        <v>No</v>
      </c>
      <c r="O1650" s="6" t="s">
        <v>47</v>
      </c>
    </row>
    <row r="1651" customFormat="false" ht="15" hidden="false" customHeight="false" outlineLevel="0" collapsed="false">
      <c r="A1651" s="6" t="s">
        <v>3411</v>
      </c>
      <c r="B1651" s="6" t="s">
        <v>3412</v>
      </c>
      <c r="C1651" s="6" t="s">
        <v>75</v>
      </c>
      <c r="D1651" s="6" t="n">
        <v>20</v>
      </c>
      <c r="E1651" s="6" t="s">
        <v>321</v>
      </c>
      <c r="F1651" s="6" t="s">
        <v>321</v>
      </c>
      <c r="G1651" s="26" t="n">
        <v>46227</v>
      </c>
      <c r="H1651" s="6" t="s">
        <v>115</v>
      </c>
      <c r="I1651" s="26" t="n">
        <f aca="false">_xlfn.MINIFS(Transaction!$C$2:$C$8421,Transaction!$B$2:$B$8421,A1651)</f>
        <v>46234</v>
      </c>
      <c r="J1651" s="26" t="n">
        <f aca="false">_xlfn.MAXIFS(Transaction!$C$2:$C$8421,Transaction!$B$2:$B$8421,A1651)</f>
        <v>46234</v>
      </c>
      <c r="K1651" s="6" t="n">
        <f aca="false">COUNTIF(Transaction!$B$2:$B$8421,A1651)</f>
        <v>1</v>
      </c>
      <c r="L1651" s="10" t="n">
        <f aca="false">SUMIF(Transaction!$B$2:$B$8421,A1651,Transaction!$H$2:$H$8421)</f>
        <v>1954</v>
      </c>
      <c r="M1651" s="6" t="n">
        <f aca="false">Summary!$B$3-J1651</f>
        <v>32</v>
      </c>
      <c r="N1651" s="6" t="str">
        <f aca="false">IF(K1651&gt;1,"Yes","No")</f>
        <v>No</v>
      </c>
      <c r="O1651" s="6" t="s">
        <v>47</v>
      </c>
    </row>
    <row r="1652" customFormat="false" ht="15" hidden="false" customHeight="false" outlineLevel="0" collapsed="false">
      <c r="A1652" s="6" t="s">
        <v>3413</v>
      </c>
      <c r="B1652" s="6" t="s">
        <v>3414</v>
      </c>
      <c r="C1652" s="6" t="s">
        <v>75</v>
      </c>
      <c r="D1652" s="6" t="n">
        <v>27</v>
      </c>
      <c r="E1652" s="6" t="s">
        <v>76</v>
      </c>
      <c r="F1652" s="6" t="s">
        <v>77</v>
      </c>
      <c r="G1652" s="26" t="n">
        <v>46070</v>
      </c>
      <c r="H1652" s="6" t="s">
        <v>115</v>
      </c>
      <c r="I1652" s="26" t="n">
        <f aca="false">_xlfn.MINIFS(Transaction!$C$2:$C$8421,Transaction!$B$2:$B$8421,A1652)</f>
        <v>46082</v>
      </c>
      <c r="J1652" s="26" t="n">
        <f aca="false">_xlfn.MAXIFS(Transaction!$C$2:$C$8421,Transaction!$B$2:$B$8421,A1652)</f>
        <v>46248</v>
      </c>
      <c r="K1652" s="6" t="n">
        <f aca="false">COUNTIF(Transaction!$B$2:$B$8421,A1652)</f>
        <v>10</v>
      </c>
      <c r="L1652" s="10" t="n">
        <f aca="false">SUMIF(Transaction!$B$2:$B$8421,A1652,Transaction!$H$2:$H$8421)</f>
        <v>18687</v>
      </c>
      <c r="M1652" s="6" t="n">
        <f aca="false">Summary!$B$3-J1652</f>
        <v>18</v>
      </c>
      <c r="N1652" s="6" t="str">
        <f aca="false">IF(K1652&gt;1,"Yes","No")</f>
        <v>Yes</v>
      </c>
      <c r="O1652" s="6" t="s">
        <v>45</v>
      </c>
    </row>
    <row r="1653" customFormat="false" ht="15" hidden="false" customHeight="false" outlineLevel="0" collapsed="false">
      <c r="A1653" s="6" t="s">
        <v>3415</v>
      </c>
      <c r="B1653" s="6" t="s">
        <v>3416</v>
      </c>
      <c r="C1653" s="6" t="s">
        <v>85</v>
      </c>
      <c r="D1653" s="6" t="n">
        <v>31</v>
      </c>
      <c r="E1653" s="6" t="s">
        <v>86</v>
      </c>
      <c r="F1653" s="6" t="s">
        <v>87</v>
      </c>
      <c r="G1653" s="26" t="n">
        <v>46049</v>
      </c>
      <c r="H1653" s="6" t="s">
        <v>102</v>
      </c>
      <c r="I1653" s="26" t="n">
        <f aca="false">_xlfn.MINIFS(Transaction!$C$2:$C$8421,Transaction!$B$2:$B$8421,A1653)</f>
        <v>46110</v>
      </c>
      <c r="J1653" s="26" t="n">
        <f aca="false">_xlfn.MAXIFS(Transaction!$C$2:$C$8421,Transaction!$B$2:$B$8421,A1653)</f>
        <v>46110</v>
      </c>
      <c r="K1653" s="6" t="n">
        <f aca="false">COUNTIF(Transaction!$B$2:$B$8421,A1653)</f>
        <v>1</v>
      </c>
      <c r="L1653" s="10" t="n">
        <f aca="false">SUMIF(Transaction!$B$2:$B$8421,A1653,Transaction!$H$2:$H$8421)</f>
        <v>2039</v>
      </c>
      <c r="M1653" s="6" t="n">
        <f aca="false">Summary!$B$3-J1653</f>
        <v>156</v>
      </c>
      <c r="N1653" s="6" t="str">
        <f aca="false">IF(K1653&gt;1,"Yes","No")</f>
        <v>No</v>
      </c>
      <c r="O1653" s="6" t="s">
        <v>49</v>
      </c>
    </row>
    <row r="1654" customFormat="false" ht="15" hidden="false" customHeight="false" outlineLevel="0" collapsed="false">
      <c r="A1654" s="6" t="s">
        <v>3417</v>
      </c>
      <c r="B1654" s="6" t="s">
        <v>3418</v>
      </c>
      <c r="C1654" s="6" t="s">
        <v>75</v>
      </c>
      <c r="D1654" s="6" t="n">
        <v>38</v>
      </c>
      <c r="E1654" s="6" t="s">
        <v>146</v>
      </c>
      <c r="F1654" s="6" t="s">
        <v>147</v>
      </c>
      <c r="G1654" s="26" t="n">
        <v>46051</v>
      </c>
      <c r="H1654" s="6" t="s">
        <v>78</v>
      </c>
      <c r="I1654" s="26" t="n">
        <f aca="false">_xlfn.MINIFS(Transaction!$C$2:$C$8421,Transaction!$B$2:$B$8421,A1654)</f>
        <v>46057</v>
      </c>
      <c r="J1654" s="26" t="n">
        <f aca="false">_xlfn.MAXIFS(Transaction!$C$2:$C$8421,Transaction!$B$2:$B$8421,A1654)</f>
        <v>46258</v>
      </c>
      <c r="K1654" s="6" t="n">
        <f aca="false">COUNTIF(Transaction!$B$2:$B$8421,A1654)</f>
        <v>11</v>
      </c>
      <c r="L1654" s="10" t="n">
        <f aca="false">SUMIF(Transaction!$B$2:$B$8421,A1654,Transaction!$H$2:$H$8421)</f>
        <v>17407</v>
      </c>
      <c r="M1654" s="6" t="n">
        <f aca="false">Summary!$B$3-J1654</f>
        <v>8</v>
      </c>
      <c r="N1654" s="6" t="str">
        <f aca="false">IF(K1654&gt;1,"Yes","No")</f>
        <v>Yes</v>
      </c>
      <c r="O1654" s="6" t="s">
        <v>45</v>
      </c>
    </row>
    <row r="1655" customFormat="false" ht="15" hidden="false" customHeight="false" outlineLevel="0" collapsed="false">
      <c r="A1655" s="6" t="s">
        <v>3419</v>
      </c>
      <c r="B1655" s="6" t="s">
        <v>3420</v>
      </c>
      <c r="C1655" s="6" t="s">
        <v>85</v>
      </c>
      <c r="D1655" s="6" t="n">
        <v>23</v>
      </c>
      <c r="E1655" s="6" t="s">
        <v>98</v>
      </c>
      <c r="F1655" s="6" t="s">
        <v>99</v>
      </c>
      <c r="G1655" s="26" t="n">
        <v>46224</v>
      </c>
      <c r="H1655" s="6" t="s">
        <v>92</v>
      </c>
      <c r="I1655" s="26" t="n">
        <f aca="false">_xlfn.MINIFS(Transaction!$C$2:$C$8421,Transaction!$B$2:$B$8421,A1655)</f>
        <v>46237</v>
      </c>
      <c r="J1655" s="26" t="n">
        <f aca="false">_xlfn.MAXIFS(Transaction!$C$2:$C$8421,Transaction!$B$2:$B$8421,A1655)</f>
        <v>46237</v>
      </c>
      <c r="K1655" s="6" t="n">
        <f aca="false">COUNTIF(Transaction!$B$2:$B$8421,A1655)</f>
        <v>1</v>
      </c>
      <c r="L1655" s="10" t="n">
        <f aca="false">SUMIF(Transaction!$B$2:$B$8421,A1655,Transaction!$H$2:$H$8421)</f>
        <v>7152</v>
      </c>
      <c r="M1655" s="6" t="n">
        <f aca="false">Summary!$B$3-J1655</f>
        <v>29</v>
      </c>
      <c r="N1655" s="6" t="str">
        <f aca="false">IF(K1655&gt;1,"Yes","No")</f>
        <v>No</v>
      </c>
      <c r="O1655" s="6" t="s">
        <v>47</v>
      </c>
    </row>
    <row r="1656" customFormat="false" ht="15" hidden="false" customHeight="false" outlineLevel="0" collapsed="false">
      <c r="A1656" s="6" t="s">
        <v>3421</v>
      </c>
      <c r="B1656" s="6" t="s">
        <v>3422</v>
      </c>
      <c r="C1656" s="6" t="s">
        <v>85</v>
      </c>
      <c r="D1656" s="6" t="n">
        <v>45</v>
      </c>
      <c r="E1656" s="6" t="s">
        <v>134</v>
      </c>
      <c r="F1656" s="6" t="s">
        <v>135</v>
      </c>
      <c r="G1656" s="26" t="n">
        <v>46152</v>
      </c>
      <c r="H1656" s="6" t="s">
        <v>115</v>
      </c>
      <c r="I1656" s="26" t="n">
        <f aca="false">_xlfn.MINIFS(Transaction!$C$2:$C$8421,Transaction!$B$2:$B$8421,A1656)</f>
        <v>46235</v>
      </c>
      <c r="J1656" s="26" t="n">
        <f aca="false">_xlfn.MAXIFS(Transaction!$C$2:$C$8421,Transaction!$B$2:$B$8421,A1656)</f>
        <v>46235</v>
      </c>
      <c r="K1656" s="6" t="n">
        <f aca="false">COUNTIF(Transaction!$B$2:$B$8421,A1656)</f>
        <v>1</v>
      </c>
      <c r="L1656" s="10" t="n">
        <f aca="false">SUMIF(Transaction!$B$2:$B$8421,A1656,Transaction!$H$2:$H$8421)</f>
        <v>2784</v>
      </c>
      <c r="M1656" s="6" t="n">
        <f aca="false">Summary!$B$3-J1656</f>
        <v>31</v>
      </c>
      <c r="N1656" s="6" t="str">
        <f aca="false">IF(K1656&gt;1,"Yes","No")</f>
        <v>No</v>
      </c>
      <c r="O1656" s="6" t="s">
        <v>47</v>
      </c>
    </row>
    <row r="1657" customFormat="false" ht="15" hidden="false" customHeight="false" outlineLevel="0" collapsed="false">
      <c r="A1657" s="6" t="s">
        <v>3423</v>
      </c>
      <c r="B1657" s="6" t="s">
        <v>3424</v>
      </c>
      <c r="C1657" s="6" t="s">
        <v>75</v>
      </c>
      <c r="D1657" s="6" t="n">
        <v>18</v>
      </c>
      <c r="E1657" s="6" t="s">
        <v>126</v>
      </c>
      <c r="F1657" s="6" t="s">
        <v>127</v>
      </c>
      <c r="G1657" s="26" t="n">
        <v>45961</v>
      </c>
      <c r="H1657" s="6" t="s">
        <v>92</v>
      </c>
      <c r="I1657" s="26" t="n">
        <f aca="false">_xlfn.MINIFS(Transaction!$C$2:$C$8421,Transaction!$B$2:$B$8421,A1657)</f>
        <v>46034</v>
      </c>
      <c r="J1657" s="26" t="n">
        <f aca="false">_xlfn.MAXIFS(Transaction!$C$2:$C$8421,Transaction!$B$2:$B$8421,A1657)</f>
        <v>46195</v>
      </c>
      <c r="K1657" s="6" t="n">
        <f aca="false">COUNTIF(Transaction!$B$2:$B$8421,A1657)</f>
        <v>4</v>
      </c>
      <c r="L1657" s="10" t="n">
        <f aca="false">SUMIF(Transaction!$B$2:$B$8421,A1657,Transaction!$H$2:$H$8421)</f>
        <v>9091</v>
      </c>
      <c r="M1657" s="6" t="n">
        <f aca="false">Summary!$B$3-J1657</f>
        <v>71</v>
      </c>
      <c r="N1657" s="6" t="str">
        <f aca="false">IF(K1657&gt;1,"Yes","No")</f>
        <v>Yes</v>
      </c>
      <c r="O1657" s="6" t="s">
        <v>46</v>
      </c>
    </row>
    <row r="1658" customFormat="false" ht="15" hidden="false" customHeight="false" outlineLevel="0" collapsed="false">
      <c r="A1658" s="6" t="s">
        <v>3425</v>
      </c>
      <c r="B1658" s="6" t="s">
        <v>3426</v>
      </c>
      <c r="C1658" s="6" t="s">
        <v>75</v>
      </c>
      <c r="D1658" s="6" t="n">
        <v>25</v>
      </c>
      <c r="E1658" s="6" t="s">
        <v>121</v>
      </c>
      <c r="F1658" s="6" t="s">
        <v>122</v>
      </c>
      <c r="G1658" s="26" t="n">
        <v>46188</v>
      </c>
      <c r="H1658" s="6" t="s">
        <v>123</v>
      </c>
      <c r="I1658" s="26" t="n">
        <f aca="false">_xlfn.MINIFS(Transaction!$C$2:$C$8421,Transaction!$B$2:$B$8421,A1658)</f>
        <v>46218</v>
      </c>
      <c r="J1658" s="26" t="n">
        <f aca="false">_xlfn.MAXIFS(Transaction!$C$2:$C$8421,Transaction!$B$2:$B$8421,A1658)</f>
        <v>46218</v>
      </c>
      <c r="K1658" s="6" t="n">
        <f aca="false">COUNTIF(Transaction!$B$2:$B$8421,A1658)</f>
        <v>1</v>
      </c>
      <c r="L1658" s="10" t="n">
        <f aca="false">SUMIF(Transaction!$B$2:$B$8421,A1658,Transaction!$H$2:$H$8421)</f>
        <v>8202</v>
      </c>
      <c r="M1658" s="6" t="n">
        <f aca="false">Summary!$B$3-J1658</f>
        <v>48</v>
      </c>
      <c r="N1658" s="6" t="str">
        <f aca="false">IF(K1658&gt;1,"Yes","No")</f>
        <v>No</v>
      </c>
      <c r="O1658" s="6" t="s">
        <v>47</v>
      </c>
    </row>
    <row r="1659" customFormat="false" ht="15" hidden="false" customHeight="false" outlineLevel="0" collapsed="false">
      <c r="A1659" s="6" t="s">
        <v>3427</v>
      </c>
      <c r="B1659" s="6" t="s">
        <v>3428</v>
      </c>
      <c r="C1659" s="6" t="s">
        <v>85</v>
      </c>
      <c r="D1659" s="6" t="n">
        <v>33</v>
      </c>
      <c r="E1659" s="6" t="s">
        <v>264</v>
      </c>
      <c r="F1659" s="6" t="s">
        <v>106</v>
      </c>
      <c r="G1659" s="26" t="n">
        <v>46105</v>
      </c>
      <c r="H1659" s="6" t="s">
        <v>88</v>
      </c>
      <c r="I1659" s="26" t="n">
        <f aca="false">_xlfn.MINIFS(Transaction!$C$2:$C$8421,Transaction!$B$2:$B$8421,A1659)</f>
        <v>46156</v>
      </c>
      <c r="J1659" s="26" t="n">
        <f aca="false">_xlfn.MAXIFS(Transaction!$C$2:$C$8421,Transaction!$B$2:$B$8421,A1659)</f>
        <v>46156</v>
      </c>
      <c r="K1659" s="6" t="n">
        <f aca="false">COUNTIF(Transaction!$B$2:$B$8421,A1659)</f>
        <v>1</v>
      </c>
      <c r="L1659" s="10" t="n">
        <f aca="false">SUMIF(Transaction!$B$2:$B$8421,A1659,Transaction!$H$2:$H$8421)</f>
        <v>743</v>
      </c>
      <c r="M1659" s="6" t="n">
        <f aca="false">Summary!$B$3-J1659</f>
        <v>110</v>
      </c>
      <c r="N1659" s="6" t="str">
        <f aca="false">IF(K1659&gt;1,"Yes","No")</f>
        <v>No</v>
      </c>
      <c r="O1659" s="6" t="s">
        <v>48</v>
      </c>
    </row>
    <row r="1660" customFormat="false" ht="15" hidden="false" customHeight="false" outlineLevel="0" collapsed="false">
      <c r="A1660" s="6" t="s">
        <v>3429</v>
      </c>
      <c r="B1660" s="6" t="s">
        <v>3430</v>
      </c>
      <c r="C1660" s="6" t="s">
        <v>85</v>
      </c>
      <c r="D1660" s="6" t="n">
        <v>43</v>
      </c>
      <c r="E1660" s="6" t="s">
        <v>81</v>
      </c>
      <c r="F1660" s="6" t="s">
        <v>82</v>
      </c>
      <c r="G1660" s="26" t="n">
        <v>45940</v>
      </c>
      <c r="H1660" s="6" t="s">
        <v>88</v>
      </c>
      <c r="I1660" s="26" t="n">
        <f aca="false">_xlfn.MINIFS(Transaction!$C$2:$C$8421,Transaction!$B$2:$B$8421,A1660)</f>
        <v>46029</v>
      </c>
      <c r="J1660" s="26" t="n">
        <f aca="false">_xlfn.MAXIFS(Transaction!$C$2:$C$8421,Transaction!$B$2:$B$8421,A1660)</f>
        <v>46029</v>
      </c>
      <c r="K1660" s="6" t="n">
        <f aca="false">COUNTIF(Transaction!$B$2:$B$8421,A1660)</f>
        <v>1</v>
      </c>
      <c r="L1660" s="10" t="n">
        <f aca="false">SUMIF(Transaction!$B$2:$B$8421,A1660,Transaction!$H$2:$H$8421)</f>
        <v>1710</v>
      </c>
      <c r="M1660" s="6" t="n">
        <f aca="false">Summary!$B$3-J1660</f>
        <v>237</v>
      </c>
      <c r="N1660" s="6" t="str">
        <f aca="false">IF(K1660&gt;1,"Yes","No")</f>
        <v>No</v>
      </c>
      <c r="O1660" s="6" t="s">
        <v>49</v>
      </c>
    </row>
    <row r="1661" customFormat="false" ht="15" hidden="false" customHeight="false" outlineLevel="0" collapsed="false">
      <c r="A1661" s="6" t="s">
        <v>3431</v>
      </c>
      <c r="B1661" s="6" t="s">
        <v>3432</v>
      </c>
      <c r="C1661" s="6" t="s">
        <v>75</v>
      </c>
      <c r="D1661" s="6" t="n">
        <v>22</v>
      </c>
      <c r="E1661" s="6" t="s">
        <v>134</v>
      </c>
      <c r="F1661" s="6" t="s">
        <v>135</v>
      </c>
      <c r="G1661" s="26" t="n">
        <v>46111</v>
      </c>
      <c r="H1661" s="6" t="s">
        <v>78</v>
      </c>
      <c r="I1661" s="26" t="n">
        <f aca="false">_xlfn.MINIFS(Transaction!$C$2:$C$8421,Transaction!$B$2:$B$8421,A1661)</f>
        <v>46125</v>
      </c>
      <c r="J1661" s="26" t="n">
        <f aca="false">_xlfn.MAXIFS(Transaction!$C$2:$C$8421,Transaction!$B$2:$B$8421,A1661)</f>
        <v>46125</v>
      </c>
      <c r="K1661" s="6" t="n">
        <f aca="false">COUNTIF(Transaction!$B$2:$B$8421,A1661)</f>
        <v>1</v>
      </c>
      <c r="L1661" s="10" t="n">
        <f aca="false">SUMIF(Transaction!$B$2:$B$8421,A1661,Transaction!$H$2:$H$8421)</f>
        <v>697</v>
      </c>
      <c r="M1661" s="6" t="n">
        <f aca="false">Summary!$B$3-J1661</f>
        <v>141</v>
      </c>
      <c r="N1661" s="6" t="str">
        <f aca="false">IF(K1661&gt;1,"Yes","No")</f>
        <v>No</v>
      </c>
      <c r="O1661" s="6" t="s">
        <v>48</v>
      </c>
    </row>
    <row r="1662" customFormat="false" ht="15" hidden="false" customHeight="false" outlineLevel="0" collapsed="false">
      <c r="A1662" s="6" t="s">
        <v>3433</v>
      </c>
      <c r="B1662" s="6" t="s">
        <v>3434</v>
      </c>
      <c r="C1662" s="6" t="s">
        <v>85</v>
      </c>
      <c r="D1662" s="6" t="n">
        <v>37</v>
      </c>
      <c r="E1662" s="6" t="s">
        <v>81</v>
      </c>
      <c r="F1662" s="6" t="s">
        <v>82</v>
      </c>
      <c r="G1662" s="26" t="n">
        <v>45994</v>
      </c>
      <c r="H1662" s="6" t="s">
        <v>88</v>
      </c>
      <c r="I1662" s="26" t="n">
        <f aca="false">_xlfn.MINIFS(Transaction!$C$2:$C$8421,Transaction!$B$2:$B$8421,A1662)</f>
        <v>46064</v>
      </c>
      <c r="J1662" s="26" t="n">
        <f aca="false">_xlfn.MAXIFS(Transaction!$C$2:$C$8421,Transaction!$B$2:$B$8421,A1662)</f>
        <v>46258</v>
      </c>
      <c r="K1662" s="6" t="n">
        <f aca="false">COUNTIF(Transaction!$B$2:$B$8421,A1662)</f>
        <v>8</v>
      </c>
      <c r="L1662" s="10" t="n">
        <f aca="false">SUMIF(Transaction!$B$2:$B$8421,A1662,Transaction!$H$2:$H$8421)</f>
        <v>23091</v>
      </c>
      <c r="M1662" s="6" t="n">
        <f aca="false">Summary!$B$3-J1662</f>
        <v>8</v>
      </c>
      <c r="N1662" s="6" t="str">
        <f aca="false">IF(K1662&gt;1,"Yes","No")</f>
        <v>Yes</v>
      </c>
      <c r="O1662" s="6" t="s">
        <v>45</v>
      </c>
    </row>
    <row r="1663" customFormat="false" ht="15" hidden="false" customHeight="false" outlineLevel="0" collapsed="false">
      <c r="A1663" s="6" t="s">
        <v>3435</v>
      </c>
      <c r="B1663" s="6" t="s">
        <v>3436</v>
      </c>
      <c r="C1663" s="6" t="s">
        <v>85</v>
      </c>
      <c r="D1663" s="6" t="n">
        <v>54</v>
      </c>
      <c r="E1663" s="6" t="s">
        <v>105</v>
      </c>
      <c r="F1663" s="6" t="s">
        <v>106</v>
      </c>
      <c r="G1663" s="26" t="n">
        <v>46120</v>
      </c>
      <c r="H1663" s="6" t="s">
        <v>115</v>
      </c>
      <c r="I1663" s="26" t="n">
        <f aca="false">_xlfn.MINIFS(Transaction!$C$2:$C$8421,Transaction!$B$2:$B$8421,A1663)</f>
        <v>46203</v>
      </c>
      <c r="J1663" s="26" t="n">
        <f aca="false">_xlfn.MAXIFS(Transaction!$C$2:$C$8421,Transaction!$B$2:$B$8421,A1663)</f>
        <v>46203</v>
      </c>
      <c r="K1663" s="6" t="n">
        <f aca="false">COUNTIF(Transaction!$B$2:$B$8421,A1663)</f>
        <v>1</v>
      </c>
      <c r="L1663" s="10" t="n">
        <f aca="false">SUMIF(Transaction!$B$2:$B$8421,A1663,Transaction!$H$2:$H$8421)</f>
        <v>1965</v>
      </c>
      <c r="M1663" s="6" t="n">
        <f aca="false">Summary!$B$3-J1663</f>
        <v>63</v>
      </c>
      <c r="N1663" s="6" t="str">
        <f aca="false">IF(K1663&gt;1,"Yes","No")</f>
        <v>No</v>
      </c>
      <c r="O1663" s="6" t="s">
        <v>47</v>
      </c>
    </row>
    <row r="1664" customFormat="false" ht="15" hidden="false" customHeight="false" outlineLevel="0" collapsed="false">
      <c r="A1664" s="6" t="s">
        <v>3437</v>
      </c>
      <c r="B1664" s="6" t="s">
        <v>3438</v>
      </c>
      <c r="C1664" s="6" t="s">
        <v>85</v>
      </c>
      <c r="D1664" s="6" t="n">
        <v>35</v>
      </c>
      <c r="E1664" s="6" t="s">
        <v>76</v>
      </c>
      <c r="F1664" s="6" t="s">
        <v>77</v>
      </c>
      <c r="G1664" s="26" t="n">
        <v>45940</v>
      </c>
      <c r="H1664" s="6" t="s">
        <v>123</v>
      </c>
      <c r="I1664" s="26" t="n">
        <f aca="false">_xlfn.MINIFS(Transaction!$C$2:$C$8421,Transaction!$B$2:$B$8421,A1664)</f>
        <v>46023</v>
      </c>
      <c r="J1664" s="26" t="n">
        <f aca="false">_xlfn.MAXIFS(Transaction!$C$2:$C$8421,Transaction!$B$2:$B$8421,A1664)</f>
        <v>46257</v>
      </c>
      <c r="K1664" s="6" t="n">
        <f aca="false">COUNTIF(Transaction!$B$2:$B$8421,A1664)</f>
        <v>7</v>
      </c>
      <c r="L1664" s="10" t="n">
        <f aca="false">SUMIF(Transaction!$B$2:$B$8421,A1664,Transaction!$H$2:$H$8421)</f>
        <v>9983</v>
      </c>
      <c r="M1664" s="6" t="n">
        <f aca="false">Summary!$B$3-J1664</f>
        <v>9</v>
      </c>
      <c r="N1664" s="6" t="str">
        <f aca="false">IF(K1664&gt;1,"Yes","No")</f>
        <v>Yes</v>
      </c>
      <c r="O1664" s="6" t="s">
        <v>45</v>
      </c>
    </row>
    <row r="1665" customFormat="false" ht="15" hidden="false" customHeight="false" outlineLevel="0" collapsed="false">
      <c r="A1665" s="6" t="s">
        <v>3439</v>
      </c>
      <c r="B1665" s="6" t="s">
        <v>3440</v>
      </c>
      <c r="C1665" s="6" t="s">
        <v>75</v>
      </c>
      <c r="D1665" s="6" t="n">
        <v>26</v>
      </c>
      <c r="E1665" s="6" t="s">
        <v>134</v>
      </c>
      <c r="F1665" s="6" t="s">
        <v>135</v>
      </c>
      <c r="G1665" s="26" t="n">
        <v>46078</v>
      </c>
      <c r="H1665" s="6" t="s">
        <v>92</v>
      </c>
      <c r="I1665" s="26" t="n">
        <f aca="false">_xlfn.MINIFS(Transaction!$C$2:$C$8421,Transaction!$B$2:$B$8421,A1665)</f>
        <v>46093</v>
      </c>
      <c r="J1665" s="26" t="n">
        <f aca="false">_xlfn.MAXIFS(Transaction!$C$2:$C$8421,Transaction!$B$2:$B$8421,A1665)</f>
        <v>46189</v>
      </c>
      <c r="K1665" s="6" t="n">
        <f aca="false">COUNTIF(Transaction!$B$2:$B$8421,A1665)</f>
        <v>3</v>
      </c>
      <c r="L1665" s="10" t="n">
        <f aca="false">SUMIF(Transaction!$B$2:$B$8421,A1665,Transaction!$H$2:$H$8421)</f>
        <v>7143</v>
      </c>
      <c r="M1665" s="6" t="n">
        <f aca="false">Summary!$B$3-J1665</f>
        <v>77</v>
      </c>
      <c r="N1665" s="6" t="str">
        <f aca="false">IF(K1665&gt;1,"Yes","No")</f>
        <v>Yes</v>
      </c>
      <c r="O1665" s="6" t="s">
        <v>46</v>
      </c>
    </row>
    <row r="1666" customFormat="false" ht="15" hidden="false" customHeight="false" outlineLevel="0" collapsed="false">
      <c r="A1666" s="6" t="s">
        <v>3441</v>
      </c>
      <c r="B1666" s="6" t="s">
        <v>3442</v>
      </c>
      <c r="C1666" s="6" t="s">
        <v>75</v>
      </c>
      <c r="D1666" s="6" t="n">
        <v>30</v>
      </c>
      <c r="E1666" s="6" t="s">
        <v>180</v>
      </c>
      <c r="F1666" s="6" t="s">
        <v>181</v>
      </c>
      <c r="G1666" s="26" t="n">
        <v>45953</v>
      </c>
      <c r="H1666" s="6" t="s">
        <v>123</v>
      </c>
      <c r="I1666" s="26" t="n">
        <f aca="false">_xlfn.MINIFS(Transaction!$C$2:$C$8421,Transaction!$B$2:$B$8421,A1666)</f>
        <v>46027</v>
      </c>
      <c r="J1666" s="26" t="n">
        <f aca="false">_xlfn.MAXIFS(Transaction!$C$2:$C$8421,Transaction!$B$2:$B$8421,A1666)</f>
        <v>46242</v>
      </c>
      <c r="K1666" s="6" t="n">
        <f aca="false">COUNTIF(Transaction!$B$2:$B$8421,A1666)</f>
        <v>11</v>
      </c>
      <c r="L1666" s="10" t="n">
        <f aca="false">SUMIF(Transaction!$B$2:$B$8421,A1666,Transaction!$H$2:$H$8421)</f>
        <v>12841</v>
      </c>
      <c r="M1666" s="6" t="n">
        <f aca="false">Summary!$B$3-J1666</f>
        <v>24</v>
      </c>
      <c r="N1666" s="6" t="str">
        <f aca="false">IF(K1666&gt;1,"Yes","No")</f>
        <v>Yes</v>
      </c>
      <c r="O1666" s="6" t="s">
        <v>45</v>
      </c>
    </row>
    <row r="1667" customFormat="false" ht="15" hidden="false" customHeight="false" outlineLevel="0" collapsed="false">
      <c r="A1667" s="6" t="s">
        <v>3443</v>
      </c>
      <c r="B1667" s="6" t="s">
        <v>3444</v>
      </c>
      <c r="C1667" s="6" t="s">
        <v>75</v>
      </c>
      <c r="D1667" s="6" t="n">
        <v>36</v>
      </c>
      <c r="E1667" s="6" t="s">
        <v>81</v>
      </c>
      <c r="F1667" s="6" t="s">
        <v>82</v>
      </c>
      <c r="G1667" s="26" t="n">
        <v>46053</v>
      </c>
      <c r="H1667" s="6" t="s">
        <v>102</v>
      </c>
      <c r="I1667" s="26" t="n">
        <f aca="false">_xlfn.MINIFS(Transaction!$C$2:$C$8421,Transaction!$B$2:$B$8421,A1667)</f>
        <v>46086</v>
      </c>
      <c r="J1667" s="26" t="n">
        <f aca="false">_xlfn.MAXIFS(Transaction!$C$2:$C$8421,Transaction!$B$2:$B$8421,A1667)</f>
        <v>46086</v>
      </c>
      <c r="K1667" s="6" t="n">
        <f aca="false">COUNTIF(Transaction!$B$2:$B$8421,A1667)</f>
        <v>1</v>
      </c>
      <c r="L1667" s="10" t="n">
        <f aca="false">SUMIF(Transaction!$B$2:$B$8421,A1667,Transaction!$H$2:$H$8421)</f>
        <v>2918</v>
      </c>
      <c r="M1667" s="6" t="n">
        <f aca="false">Summary!$B$3-J1667</f>
        <v>180</v>
      </c>
      <c r="N1667" s="6" t="str">
        <f aca="false">IF(K1667&gt;1,"Yes","No")</f>
        <v>No</v>
      </c>
      <c r="O1667" s="6" t="s">
        <v>49</v>
      </c>
    </row>
    <row r="1668" customFormat="false" ht="15" hidden="false" customHeight="false" outlineLevel="0" collapsed="false">
      <c r="A1668" s="6" t="s">
        <v>3445</v>
      </c>
      <c r="B1668" s="6" t="s">
        <v>3446</v>
      </c>
      <c r="C1668" s="6" t="s">
        <v>75</v>
      </c>
      <c r="D1668" s="6" t="n">
        <v>21</v>
      </c>
      <c r="E1668" s="6" t="s">
        <v>134</v>
      </c>
      <c r="F1668" s="6" t="s">
        <v>135</v>
      </c>
      <c r="G1668" s="26" t="n">
        <v>46020</v>
      </c>
      <c r="H1668" s="6" t="s">
        <v>88</v>
      </c>
      <c r="I1668" s="26" t="n">
        <f aca="false">_xlfn.MINIFS(Transaction!$C$2:$C$8421,Transaction!$B$2:$B$8421,A1668)</f>
        <v>46024</v>
      </c>
      <c r="J1668" s="26" t="n">
        <f aca="false">_xlfn.MAXIFS(Transaction!$C$2:$C$8421,Transaction!$B$2:$B$8421,A1668)</f>
        <v>46244</v>
      </c>
      <c r="K1668" s="6" t="n">
        <f aca="false">COUNTIF(Transaction!$B$2:$B$8421,A1668)</f>
        <v>8</v>
      </c>
      <c r="L1668" s="10" t="n">
        <f aca="false">SUMIF(Transaction!$B$2:$B$8421,A1668,Transaction!$H$2:$H$8421)</f>
        <v>9771</v>
      </c>
      <c r="M1668" s="6" t="n">
        <f aca="false">Summary!$B$3-J1668</f>
        <v>22</v>
      </c>
      <c r="N1668" s="6" t="str">
        <f aca="false">IF(K1668&gt;1,"Yes","No")</f>
        <v>Yes</v>
      </c>
      <c r="O1668" s="6" t="s">
        <v>45</v>
      </c>
    </row>
    <row r="1669" customFormat="false" ht="15" hidden="false" customHeight="false" outlineLevel="0" collapsed="false">
      <c r="A1669" s="6" t="s">
        <v>3447</v>
      </c>
      <c r="B1669" s="6" t="s">
        <v>3448</v>
      </c>
      <c r="C1669" s="6" t="s">
        <v>85</v>
      </c>
      <c r="D1669" s="6" t="n">
        <v>27</v>
      </c>
      <c r="E1669" s="6" t="s">
        <v>134</v>
      </c>
      <c r="F1669" s="6" t="s">
        <v>135</v>
      </c>
      <c r="G1669" s="26" t="n">
        <v>46014</v>
      </c>
      <c r="H1669" s="6" t="s">
        <v>115</v>
      </c>
      <c r="I1669" s="26" t="n">
        <f aca="false">_xlfn.MINIFS(Transaction!$C$2:$C$8421,Transaction!$B$2:$B$8421,A1669)</f>
        <v>46054</v>
      </c>
      <c r="J1669" s="26" t="n">
        <f aca="false">_xlfn.MAXIFS(Transaction!$C$2:$C$8421,Transaction!$B$2:$B$8421,A1669)</f>
        <v>46054</v>
      </c>
      <c r="K1669" s="6" t="n">
        <f aca="false">COUNTIF(Transaction!$B$2:$B$8421,A1669)</f>
        <v>1</v>
      </c>
      <c r="L1669" s="10" t="n">
        <f aca="false">SUMIF(Transaction!$B$2:$B$8421,A1669,Transaction!$H$2:$H$8421)</f>
        <v>2202</v>
      </c>
      <c r="M1669" s="6" t="n">
        <f aca="false">Summary!$B$3-J1669</f>
        <v>212</v>
      </c>
      <c r="N1669" s="6" t="str">
        <f aca="false">IF(K1669&gt;1,"Yes","No")</f>
        <v>No</v>
      </c>
      <c r="O1669" s="6" t="s">
        <v>49</v>
      </c>
    </row>
    <row r="1670" customFormat="false" ht="15" hidden="false" customHeight="false" outlineLevel="0" collapsed="false">
      <c r="A1670" s="6" t="s">
        <v>3449</v>
      </c>
      <c r="B1670" s="6" t="s">
        <v>3450</v>
      </c>
      <c r="C1670" s="6" t="s">
        <v>75</v>
      </c>
      <c r="D1670" s="6" t="n">
        <v>31</v>
      </c>
      <c r="E1670" s="6" t="s">
        <v>76</v>
      </c>
      <c r="F1670" s="6" t="s">
        <v>77</v>
      </c>
      <c r="G1670" s="26" t="n">
        <v>46033</v>
      </c>
      <c r="H1670" s="6" t="s">
        <v>102</v>
      </c>
      <c r="I1670" s="26" t="n">
        <f aca="false">_xlfn.MINIFS(Transaction!$C$2:$C$8421,Transaction!$B$2:$B$8421,A1670)</f>
        <v>46034</v>
      </c>
      <c r="J1670" s="26" t="n">
        <f aca="false">_xlfn.MAXIFS(Transaction!$C$2:$C$8421,Transaction!$B$2:$B$8421,A1670)</f>
        <v>46246</v>
      </c>
      <c r="K1670" s="6" t="n">
        <f aca="false">COUNTIF(Transaction!$B$2:$B$8421,A1670)</f>
        <v>10</v>
      </c>
      <c r="L1670" s="10" t="n">
        <f aca="false">SUMIF(Transaction!$B$2:$B$8421,A1670,Transaction!$H$2:$H$8421)</f>
        <v>18865</v>
      </c>
      <c r="M1670" s="6" t="n">
        <f aca="false">Summary!$B$3-J1670</f>
        <v>20</v>
      </c>
      <c r="N1670" s="6" t="str">
        <f aca="false">IF(K1670&gt;1,"Yes","No")</f>
        <v>Yes</v>
      </c>
      <c r="O1670" s="6" t="s">
        <v>45</v>
      </c>
    </row>
    <row r="1671" customFormat="false" ht="15" hidden="false" customHeight="false" outlineLevel="0" collapsed="false">
      <c r="A1671" s="6" t="s">
        <v>3451</v>
      </c>
      <c r="B1671" s="6" t="s">
        <v>3452</v>
      </c>
      <c r="C1671" s="6" t="s">
        <v>75</v>
      </c>
      <c r="D1671" s="6" t="n">
        <v>26</v>
      </c>
      <c r="E1671" s="6" t="s">
        <v>95</v>
      </c>
      <c r="F1671" s="6" t="s">
        <v>95</v>
      </c>
      <c r="G1671" s="26" t="n">
        <v>45946</v>
      </c>
      <c r="H1671" s="6" t="s">
        <v>78</v>
      </c>
      <c r="I1671" s="26" t="n">
        <f aca="false">_xlfn.MINIFS(Transaction!$C$2:$C$8421,Transaction!$B$2:$B$8421,A1671)</f>
        <v>46024</v>
      </c>
      <c r="J1671" s="26" t="n">
        <f aca="false">_xlfn.MAXIFS(Transaction!$C$2:$C$8421,Transaction!$B$2:$B$8421,A1671)</f>
        <v>46255</v>
      </c>
      <c r="K1671" s="6" t="n">
        <f aca="false">COUNTIF(Transaction!$B$2:$B$8421,A1671)</f>
        <v>8</v>
      </c>
      <c r="L1671" s="10" t="n">
        <f aca="false">SUMIF(Transaction!$B$2:$B$8421,A1671,Transaction!$H$2:$H$8421)</f>
        <v>13940</v>
      </c>
      <c r="M1671" s="6" t="n">
        <f aca="false">Summary!$B$3-J1671</f>
        <v>11</v>
      </c>
      <c r="N1671" s="6" t="str">
        <f aca="false">IF(K1671&gt;1,"Yes","No")</f>
        <v>Yes</v>
      </c>
      <c r="O1671" s="6" t="s">
        <v>45</v>
      </c>
    </row>
    <row r="1672" customFormat="false" ht="15" hidden="false" customHeight="false" outlineLevel="0" collapsed="false">
      <c r="A1672" s="6" t="s">
        <v>3453</v>
      </c>
      <c r="B1672" s="6" t="s">
        <v>3454</v>
      </c>
      <c r="C1672" s="6" t="s">
        <v>75</v>
      </c>
      <c r="D1672" s="6" t="n">
        <v>37</v>
      </c>
      <c r="E1672" s="6" t="s">
        <v>206</v>
      </c>
      <c r="F1672" s="6" t="s">
        <v>106</v>
      </c>
      <c r="G1672" s="26" t="n">
        <v>46218</v>
      </c>
      <c r="H1672" s="6" t="s">
        <v>115</v>
      </c>
      <c r="I1672" s="26" t="n">
        <f aca="false">_xlfn.MINIFS(Transaction!$C$2:$C$8421,Transaction!$B$2:$B$8421,A1672)</f>
        <v>46218</v>
      </c>
      <c r="J1672" s="26" t="n">
        <f aca="false">_xlfn.MAXIFS(Transaction!$C$2:$C$8421,Transaction!$B$2:$B$8421,A1672)</f>
        <v>46218</v>
      </c>
      <c r="K1672" s="6" t="n">
        <f aca="false">COUNTIF(Transaction!$B$2:$B$8421,A1672)</f>
        <v>1</v>
      </c>
      <c r="L1672" s="10" t="n">
        <f aca="false">SUMIF(Transaction!$B$2:$B$8421,A1672,Transaction!$H$2:$H$8421)</f>
        <v>977</v>
      </c>
      <c r="M1672" s="6" t="n">
        <f aca="false">Summary!$B$3-J1672</f>
        <v>48</v>
      </c>
      <c r="N1672" s="6" t="str">
        <f aca="false">IF(K1672&gt;1,"Yes","No")</f>
        <v>No</v>
      </c>
      <c r="O1672" s="6" t="s">
        <v>47</v>
      </c>
    </row>
    <row r="1673" customFormat="false" ht="15" hidden="false" customHeight="false" outlineLevel="0" collapsed="false">
      <c r="A1673" s="6" t="s">
        <v>3455</v>
      </c>
      <c r="B1673" s="6" t="s">
        <v>3456</v>
      </c>
      <c r="C1673" s="6" t="s">
        <v>75</v>
      </c>
      <c r="D1673" s="6" t="n">
        <v>38</v>
      </c>
      <c r="E1673" s="6" t="s">
        <v>81</v>
      </c>
      <c r="F1673" s="6" t="s">
        <v>82</v>
      </c>
      <c r="G1673" s="26" t="n">
        <v>46174</v>
      </c>
      <c r="H1673" s="6" t="s">
        <v>92</v>
      </c>
      <c r="I1673" s="26" t="n">
        <f aca="false">_xlfn.MINIFS(Transaction!$C$2:$C$8421,Transaction!$B$2:$B$8421,A1673)</f>
        <v>46238</v>
      </c>
      <c r="J1673" s="26" t="n">
        <f aca="false">_xlfn.MAXIFS(Transaction!$C$2:$C$8421,Transaction!$B$2:$B$8421,A1673)</f>
        <v>46238</v>
      </c>
      <c r="K1673" s="6" t="n">
        <f aca="false">COUNTIF(Transaction!$B$2:$B$8421,A1673)</f>
        <v>1</v>
      </c>
      <c r="L1673" s="10" t="n">
        <f aca="false">SUMIF(Transaction!$B$2:$B$8421,A1673,Transaction!$H$2:$H$8421)</f>
        <v>5016</v>
      </c>
      <c r="M1673" s="6" t="n">
        <f aca="false">Summary!$B$3-J1673</f>
        <v>28</v>
      </c>
      <c r="N1673" s="6" t="str">
        <f aca="false">IF(K1673&gt;1,"Yes","No")</f>
        <v>No</v>
      </c>
      <c r="O1673" s="6" t="s">
        <v>47</v>
      </c>
    </row>
    <row r="1674" customFormat="false" ht="15" hidden="false" customHeight="false" outlineLevel="0" collapsed="false">
      <c r="A1674" s="6" t="s">
        <v>3457</v>
      </c>
      <c r="B1674" s="6" t="s">
        <v>3458</v>
      </c>
      <c r="C1674" s="6" t="s">
        <v>85</v>
      </c>
      <c r="D1674" s="6" t="n">
        <v>39</v>
      </c>
      <c r="E1674" s="6" t="s">
        <v>95</v>
      </c>
      <c r="F1674" s="6" t="s">
        <v>95</v>
      </c>
      <c r="G1674" s="26" t="n">
        <v>46136</v>
      </c>
      <c r="H1674" s="6" t="s">
        <v>92</v>
      </c>
      <c r="I1674" s="26" t="n">
        <f aca="false">_xlfn.MINIFS(Transaction!$C$2:$C$8421,Transaction!$B$2:$B$8421,A1674)</f>
        <v>46195</v>
      </c>
      <c r="J1674" s="26" t="n">
        <f aca="false">_xlfn.MAXIFS(Transaction!$C$2:$C$8421,Transaction!$B$2:$B$8421,A1674)</f>
        <v>46195</v>
      </c>
      <c r="K1674" s="6" t="n">
        <f aca="false">COUNTIF(Transaction!$B$2:$B$8421,A1674)</f>
        <v>1</v>
      </c>
      <c r="L1674" s="10" t="n">
        <f aca="false">SUMIF(Transaction!$B$2:$B$8421,A1674,Transaction!$H$2:$H$8421)</f>
        <v>2548</v>
      </c>
      <c r="M1674" s="6" t="n">
        <f aca="false">Summary!$B$3-J1674</f>
        <v>71</v>
      </c>
      <c r="N1674" s="6" t="str">
        <f aca="false">IF(K1674&gt;1,"Yes","No")</f>
        <v>No</v>
      </c>
      <c r="O1674" s="6" t="s">
        <v>47</v>
      </c>
    </row>
    <row r="1675" customFormat="false" ht="15" hidden="false" customHeight="false" outlineLevel="0" collapsed="false">
      <c r="A1675" s="6" t="s">
        <v>3459</v>
      </c>
      <c r="B1675" s="6" t="s">
        <v>3460</v>
      </c>
      <c r="C1675" s="6" t="s">
        <v>75</v>
      </c>
      <c r="D1675" s="6" t="n">
        <v>49</v>
      </c>
      <c r="E1675" s="6" t="s">
        <v>95</v>
      </c>
      <c r="F1675" s="6" t="s">
        <v>95</v>
      </c>
      <c r="G1675" s="26" t="n">
        <v>46027</v>
      </c>
      <c r="H1675" s="6" t="s">
        <v>115</v>
      </c>
      <c r="I1675" s="26" t="n">
        <f aca="false">_xlfn.MINIFS(Transaction!$C$2:$C$8421,Transaction!$B$2:$B$8421,A1675)</f>
        <v>46050</v>
      </c>
      <c r="J1675" s="26" t="n">
        <f aca="false">_xlfn.MAXIFS(Transaction!$C$2:$C$8421,Transaction!$B$2:$B$8421,A1675)</f>
        <v>46260</v>
      </c>
      <c r="K1675" s="6" t="n">
        <f aca="false">COUNTIF(Transaction!$B$2:$B$8421,A1675)</f>
        <v>13</v>
      </c>
      <c r="L1675" s="10" t="n">
        <f aca="false">SUMIF(Transaction!$B$2:$B$8421,A1675,Transaction!$H$2:$H$8421)</f>
        <v>21551</v>
      </c>
      <c r="M1675" s="6" t="n">
        <f aca="false">Summary!$B$3-J1675</f>
        <v>6</v>
      </c>
      <c r="N1675" s="6" t="str">
        <f aca="false">IF(K1675&gt;1,"Yes","No")</f>
        <v>Yes</v>
      </c>
      <c r="O1675" s="6" t="s">
        <v>45</v>
      </c>
    </row>
    <row r="1676" customFormat="false" ht="15" hidden="false" customHeight="false" outlineLevel="0" collapsed="false">
      <c r="A1676" s="6" t="s">
        <v>3461</v>
      </c>
      <c r="B1676" s="6" t="s">
        <v>3462</v>
      </c>
      <c r="C1676" s="6" t="s">
        <v>85</v>
      </c>
      <c r="D1676" s="6" t="n">
        <v>37</v>
      </c>
      <c r="E1676" s="6" t="s">
        <v>91</v>
      </c>
      <c r="F1676" s="6" t="s">
        <v>77</v>
      </c>
      <c r="G1676" s="26" t="n">
        <v>46104</v>
      </c>
      <c r="H1676" s="6" t="s">
        <v>78</v>
      </c>
      <c r="I1676" s="26" t="n">
        <f aca="false">_xlfn.MINIFS(Transaction!$C$2:$C$8421,Transaction!$B$2:$B$8421,A1676)</f>
        <v>46114</v>
      </c>
      <c r="J1676" s="26" t="n">
        <f aca="false">_xlfn.MAXIFS(Transaction!$C$2:$C$8421,Transaction!$B$2:$B$8421,A1676)</f>
        <v>46114</v>
      </c>
      <c r="K1676" s="6" t="n">
        <f aca="false">COUNTIF(Transaction!$B$2:$B$8421,A1676)</f>
        <v>1</v>
      </c>
      <c r="L1676" s="10" t="n">
        <f aca="false">SUMIF(Transaction!$B$2:$B$8421,A1676,Transaction!$H$2:$H$8421)</f>
        <v>2421</v>
      </c>
      <c r="M1676" s="6" t="n">
        <f aca="false">Summary!$B$3-J1676</f>
        <v>152</v>
      </c>
      <c r="N1676" s="6" t="str">
        <f aca="false">IF(K1676&gt;1,"Yes","No")</f>
        <v>No</v>
      </c>
      <c r="O1676" s="6" t="s">
        <v>48</v>
      </c>
    </row>
    <row r="1677" customFormat="false" ht="15" hidden="false" customHeight="false" outlineLevel="0" collapsed="false">
      <c r="A1677" s="6" t="s">
        <v>3463</v>
      </c>
      <c r="B1677" s="6" t="s">
        <v>3464</v>
      </c>
      <c r="C1677" s="6" t="s">
        <v>75</v>
      </c>
      <c r="D1677" s="6" t="n">
        <v>32</v>
      </c>
      <c r="E1677" s="6" t="s">
        <v>134</v>
      </c>
      <c r="F1677" s="6" t="s">
        <v>135</v>
      </c>
      <c r="G1677" s="26" t="n">
        <v>46034</v>
      </c>
      <c r="H1677" s="6" t="s">
        <v>123</v>
      </c>
      <c r="I1677" s="26" t="n">
        <f aca="false">_xlfn.MINIFS(Transaction!$C$2:$C$8421,Transaction!$B$2:$B$8421,A1677)</f>
        <v>46040</v>
      </c>
      <c r="J1677" s="26" t="n">
        <f aca="false">_xlfn.MAXIFS(Transaction!$C$2:$C$8421,Transaction!$B$2:$B$8421,A1677)</f>
        <v>46040</v>
      </c>
      <c r="K1677" s="6" t="n">
        <f aca="false">COUNTIF(Transaction!$B$2:$B$8421,A1677)</f>
        <v>1</v>
      </c>
      <c r="L1677" s="10" t="n">
        <f aca="false">SUMIF(Transaction!$B$2:$B$8421,A1677,Transaction!$H$2:$H$8421)</f>
        <v>1584</v>
      </c>
      <c r="M1677" s="6" t="n">
        <f aca="false">Summary!$B$3-J1677</f>
        <v>226</v>
      </c>
      <c r="N1677" s="6" t="str">
        <f aca="false">IF(K1677&gt;1,"Yes","No")</f>
        <v>No</v>
      </c>
      <c r="O1677" s="6" t="s">
        <v>49</v>
      </c>
    </row>
    <row r="1678" customFormat="false" ht="15" hidden="false" customHeight="false" outlineLevel="0" collapsed="false">
      <c r="A1678" s="6" t="s">
        <v>3465</v>
      </c>
      <c r="B1678" s="6" t="s">
        <v>3466</v>
      </c>
      <c r="C1678" s="6" t="s">
        <v>75</v>
      </c>
      <c r="D1678" s="6" t="n">
        <v>29</v>
      </c>
      <c r="E1678" s="6" t="s">
        <v>76</v>
      </c>
      <c r="F1678" s="6" t="s">
        <v>77</v>
      </c>
      <c r="G1678" s="26" t="n">
        <v>45970</v>
      </c>
      <c r="H1678" s="6" t="s">
        <v>92</v>
      </c>
      <c r="I1678" s="26" t="n">
        <f aca="false">_xlfn.MINIFS(Transaction!$C$2:$C$8421,Transaction!$B$2:$B$8421,A1678)</f>
        <v>46031</v>
      </c>
      <c r="J1678" s="26" t="n">
        <f aca="false">_xlfn.MAXIFS(Transaction!$C$2:$C$8421,Transaction!$B$2:$B$8421,A1678)</f>
        <v>46183</v>
      </c>
      <c r="K1678" s="6" t="n">
        <f aca="false">COUNTIF(Transaction!$B$2:$B$8421,A1678)</f>
        <v>4</v>
      </c>
      <c r="L1678" s="10" t="n">
        <f aca="false">SUMIF(Transaction!$B$2:$B$8421,A1678,Transaction!$H$2:$H$8421)</f>
        <v>9761</v>
      </c>
      <c r="M1678" s="6" t="n">
        <f aca="false">Summary!$B$3-J1678</f>
        <v>83</v>
      </c>
      <c r="N1678" s="6" t="str">
        <f aca="false">IF(K1678&gt;1,"Yes","No")</f>
        <v>Yes</v>
      </c>
      <c r="O1678" s="6" t="s">
        <v>46</v>
      </c>
    </row>
    <row r="1679" customFormat="false" ht="15" hidden="false" customHeight="false" outlineLevel="0" collapsed="false">
      <c r="A1679" s="6" t="s">
        <v>3467</v>
      </c>
      <c r="B1679" s="6" t="s">
        <v>3468</v>
      </c>
      <c r="C1679" s="6" t="s">
        <v>85</v>
      </c>
      <c r="D1679" s="6" t="n">
        <v>33</v>
      </c>
      <c r="E1679" s="6" t="s">
        <v>91</v>
      </c>
      <c r="F1679" s="6" t="s">
        <v>77</v>
      </c>
      <c r="G1679" s="26" t="n">
        <v>46154</v>
      </c>
      <c r="H1679" s="6" t="s">
        <v>102</v>
      </c>
      <c r="I1679" s="26" t="n">
        <f aca="false">_xlfn.MINIFS(Transaction!$C$2:$C$8421,Transaction!$B$2:$B$8421,A1679)</f>
        <v>46154</v>
      </c>
      <c r="J1679" s="26" t="n">
        <f aca="false">_xlfn.MAXIFS(Transaction!$C$2:$C$8421,Transaction!$B$2:$B$8421,A1679)</f>
        <v>46154</v>
      </c>
      <c r="K1679" s="6" t="n">
        <f aca="false">COUNTIF(Transaction!$B$2:$B$8421,A1679)</f>
        <v>1</v>
      </c>
      <c r="L1679" s="10" t="n">
        <f aca="false">SUMIF(Transaction!$B$2:$B$8421,A1679,Transaction!$H$2:$H$8421)</f>
        <v>1631</v>
      </c>
      <c r="M1679" s="6" t="n">
        <f aca="false">Summary!$B$3-J1679</f>
        <v>112</v>
      </c>
      <c r="N1679" s="6" t="str">
        <f aca="false">IF(K1679&gt;1,"Yes","No")</f>
        <v>No</v>
      </c>
      <c r="O1679" s="6" t="s">
        <v>48</v>
      </c>
    </row>
    <row r="1680" customFormat="false" ht="15" hidden="false" customHeight="false" outlineLevel="0" collapsed="false">
      <c r="A1680" s="6" t="s">
        <v>3469</v>
      </c>
      <c r="B1680" s="6" t="s">
        <v>3470</v>
      </c>
      <c r="C1680" s="6" t="s">
        <v>75</v>
      </c>
      <c r="D1680" s="6" t="n">
        <v>28</v>
      </c>
      <c r="E1680" s="6" t="s">
        <v>91</v>
      </c>
      <c r="F1680" s="6" t="s">
        <v>77</v>
      </c>
      <c r="G1680" s="26" t="n">
        <v>46224</v>
      </c>
      <c r="H1680" s="6" t="s">
        <v>115</v>
      </c>
      <c r="I1680" s="26" t="n">
        <f aca="false">_xlfn.MINIFS(Transaction!$C$2:$C$8421,Transaction!$B$2:$B$8421,A1680)</f>
        <v>46236</v>
      </c>
      <c r="J1680" s="26" t="n">
        <f aca="false">_xlfn.MAXIFS(Transaction!$C$2:$C$8421,Transaction!$B$2:$B$8421,A1680)</f>
        <v>46236</v>
      </c>
      <c r="K1680" s="6" t="n">
        <f aca="false">COUNTIF(Transaction!$B$2:$B$8421,A1680)</f>
        <v>1</v>
      </c>
      <c r="L1680" s="10" t="n">
        <f aca="false">SUMIF(Transaction!$B$2:$B$8421,A1680,Transaction!$H$2:$H$8421)</f>
        <v>1629</v>
      </c>
      <c r="M1680" s="6" t="n">
        <f aca="false">Summary!$B$3-J1680</f>
        <v>30</v>
      </c>
      <c r="N1680" s="6" t="str">
        <f aca="false">IF(K1680&gt;1,"Yes","No")</f>
        <v>No</v>
      </c>
      <c r="O1680" s="6" t="s">
        <v>47</v>
      </c>
    </row>
    <row r="1681" customFormat="false" ht="15" hidden="false" customHeight="false" outlineLevel="0" collapsed="false">
      <c r="A1681" s="6" t="s">
        <v>3471</v>
      </c>
      <c r="B1681" s="6" t="s">
        <v>3472</v>
      </c>
      <c r="C1681" s="6" t="s">
        <v>75</v>
      </c>
      <c r="D1681" s="6" t="n">
        <v>41</v>
      </c>
      <c r="E1681" s="6" t="s">
        <v>264</v>
      </c>
      <c r="F1681" s="6" t="s">
        <v>106</v>
      </c>
      <c r="G1681" s="26" t="n">
        <v>46020</v>
      </c>
      <c r="H1681" s="6" t="s">
        <v>115</v>
      </c>
      <c r="I1681" s="26" t="n">
        <f aca="false">_xlfn.MINIFS(Transaction!$C$2:$C$8421,Transaction!$B$2:$B$8421,A1681)</f>
        <v>46092</v>
      </c>
      <c r="J1681" s="26" t="n">
        <f aca="false">_xlfn.MAXIFS(Transaction!$C$2:$C$8421,Transaction!$B$2:$B$8421,A1681)</f>
        <v>46253</v>
      </c>
      <c r="K1681" s="6" t="n">
        <f aca="false">COUNTIF(Transaction!$B$2:$B$8421,A1681)</f>
        <v>3</v>
      </c>
      <c r="L1681" s="10" t="n">
        <f aca="false">SUMIF(Transaction!$B$2:$B$8421,A1681,Transaction!$H$2:$H$8421)</f>
        <v>4622</v>
      </c>
      <c r="M1681" s="6" t="n">
        <f aca="false">Summary!$B$3-J1681</f>
        <v>13</v>
      </c>
      <c r="N1681" s="6" t="str">
        <f aca="false">IF(K1681&gt;1,"Yes","No")</f>
        <v>Yes</v>
      </c>
      <c r="O1681" s="6" t="s">
        <v>46</v>
      </c>
    </row>
    <row r="1682" customFormat="false" ht="15" hidden="false" customHeight="false" outlineLevel="0" collapsed="false">
      <c r="A1682" s="6" t="s">
        <v>3473</v>
      </c>
      <c r="B1682" s="6" t="s">
        <v>3474</v>
      </c>
      <c r="C1682" s="6" t="s">
        <v>85</v>
      </c>
      <c r="D1682" s="6" t="n">
        <v>53</v>
      </c>
      <c r="E1682" s="6" t="s">
        <v>81</v>
      </c>
      <c r="F1682" s="6" t="s">
        <v>82</v>
      </c>
      <c r="G1682" s="26" t="n">
        <v>45992</v>
      </c>
      <c r="H1682" s="6" t="s">
        <v>78</v>
      </c>
      <c r="I1682" s="26" t="n">
        <f aca="false">_xlfn.MINIFS(Transaction!$C$2:$C$8421,Transaction!$B$2:$B$8421,A1682)</f>
        <v>46065</v>
      </c>
      <c r="J1682" s="26" t="n">
        <f aca="false">_xlfn.MAXIFS(Transaction!$C$2:$C$8421,Transaction!$B$2:$B$8421,A1682)</f>
        <v>46207</v>
      </c>
      <c r="K1682" s="6" t="n">
        <f aca="false">COUNTIF(Transaction!$B$2:$B$8421,A1682)</f>
        <v>4</v>
      </c>
      <c r="L1682" s="10" t="n">
        <f aca="false">SUMIF(Transaction!$B$2:$B$8421,A1682,Transaction!$H$2:$H$8421)</f>
        <v>10158</v>
      </c>
      <c r="M1682" s="6" t="n">
        <f aca="false">Summary!$B$3-J1682</f>
        <v>59</v>
      </c>
      <c r="N1682" s="6" t="str">
        <f aca="false">IF(K1682&gt;1,"Yes","No")</f>
        <v>Yes</v>
      </c>
      <c r="O1682" s="6" t="s">
        <v>46</v>
      </c>
    </row>
    <row r="1683" customFormat="false" ht="15" hidden="false" customHeight="false" outlineLevel="0" collapsed="false">
      <c r="A1683" s="6" t="s">
        <v>3475</v>
      </c>
      <c r="B1683" s="6" t="s">
        <v>3476</v>
      </c>
      <c r="C1683" s="6" t="s">
        <v>75</v>
      </c>
      <c r="D1683" s="6" t="n">
        <v>32</v>
      </c>
      <c r="E1683" s="6" t="s">
        <v>105</v>
      </c>
      <c r="F1683" s="6" t="s">
        <v>106</v>
      </c>
      <c r="G1683" s="26" t="n">
        <v>46141</v>
      </c>
      <c r="H1683" s="6" t="s">
        <v>78</v>
      </c>
      <c r="I1683" s="26" t="n">
        <f aca="false">_xlfn.MINIFS(Transaction!$C$2:$C$8421,Transaction!$B$2:$B$8421,A1683)</f>
        <v>46145</v>
      </c>
      <c r="J1683" s="26" t="n">
        <f aca="false">_xlfn.MAXIFS(Transaction!$C$2:$C$8421,Transaction!$B$2:$B$8421,A1683)</f>
        <v>46145</v>
      </c>
      <c r="K1683" s="6" t="n">
        <f aca="false">COUNTIF(Transaction!$B$2:$B$8421,A1683)</f>
        <v>1</v>
      </c>
      <c r="L1683" s="10" t="n">
        <f aca="false">SUMIF(Transaction!$B$2:$B$8421,A1683,Transaction!$H$2:$H$8421)</f>
        <v>1566</v>
      </c>
      <c r="M1683" s="6" t="n">
        <f aca="false">Summary!$B$3-J1683</f>
        <v>121</v>
      </c>
      <c r="N1683" s="6" t="str">
        <f aca="false">IF(K1683&gt;1,"Yes","No")</f>
        <v>No</v>
      </c>
      <c r="O1683" s="6" t="s">
        <v>48</v>
      </c>
    </row>
    <row r="1684" customFormat="false" ht="15" hidden="false" customHeight="false" outlineLevel="0" collapsed="false">
      <c r="A1684" s="6" t="s">
        <v>3477</v>
      </c>
      <c r="B1684" s="6" t="s">
        <v>3478</v>
      </c>
      <c r="C1684" s="6" t="s">
        <v>85</v>
      </c>
      <c r="D1684" s="6" t="n">
        <v>43</v>
      </c>
      <c r="E1684" s="6" t="s">
        <v>76</v>
      </c>
      <c r="F1684" s="6" t="s">
        <v>77</v>
      </c>
      <c r="G1684" s="26" t="n">
        <v>46020</v>
      </c>
      <c r="H1684" s="6" t="s">
        <v>92</v>
      </c>
      <c r="I1684" s="26" t="n">
        <f aca="false">_xlfn.MINIFS(Transaction!$C$2:$C$8421,Transaction!$B$2:$B$8421,A1684)</f>
        <v>46032</v>
      </c>
      <c r="J1684" s="26" t="n">
        <f aca="false">_xlfn.MAXIFS(Transaction!$C$2:$C$8421,Transaction!$B$2:$B$8421,A1684)</f>
        <v>46032</v>
      </c>
      <c r="K1684" s="6" t="n">
        <f aca="false">COUNTIF(Transaction!$B$2:$B$8421,A1684)</f>
        <v>1</v>
      </c>
      <c r="L1684" s="10" t="n">
        <f aca="false">SUMIF(Transaction!$B$2:$B$8421,A1684,Transaction!$H$2:$H$8421)</f>
        <v>550</v>
      </c>
      <c r="M1684" s="6" t="n">
        <f aca="false">Summary!$B$3-J1684</f>
        <v>234</v>
      </c>
      <c r="N1684" s="6" t="str">
        <f aca="false">IF(K1684&gt;1,"Yes","No")</f>
        <v>No</v>
      </c>
      <c r="O1684" s="6" t="s">
        <v>49</v>
      </c>
    </row>
    <row r="1685" customFormat="false" ht="15" hidden="false" customHeight="false" outlineLevel="0" collapsed="false">
      <c r="A1685" s="6" t="s">
        <v>3479</v>
      </c>
      <c r="B1685" s="6" t="s">
        <v>3480</v>
      </c>
      <c r="C1685" s="6" t="s">
        <v>85</v>
      </c>
      <c r="D1685" s="6" t="n">
        <v>35</v>
      </c>
      <c r="E1685" s="6" t="s">
        <v>121</v>
      </c>
      <c r="F1685" s="6" t="s">
        <v>122</v>
      </c>
      <c r="G1685" s="26" t="n">
        <v>46050</v>
      </c>
      <c r="H1685" s="6" t="s">
        <v>102</v>
      </c>
      <c r="I1685" s="26" t="n">
        <f aca="false">_xlfn.MINIFS(Transaction!$C$2:$C$8421,Transaction!$B$2:$B$8421,A1685)</f>
        <v>46073</v>
      </c>
      <c r="J1685" s="26" t="n">
        <f aca="false">_xlfn.MAXIFS(Transaction!$C$2:$C$8421,Transaction!$B$2:$B$8421,A1685)</f>
        <v>46248</v>
      </c>
      <c r="K1685" s="6" t="n">
        <f aca="false">COUNTIF(Transaction!$B$2:$B$8421,A1685)</f>
        <v>7</v>
      </c>
      <c r="L1685" s="10" t="n">
        <f aca="false">SUMIF(Transaction!$B$2:$B$8421,A1685,Transaction!$H$2:$H$8421)</f>
        <v>31027</v>
      </c>
      <c r="M1685" s="6" t="n">
        <f aca="false">Summary!$B$3-J1685</f>
        <v>18</v>
      </c>
      <c r="N1685" s="6" t="str">
        <f aca="false">IF(K1685&gt;1,"Yes","No")</f>
        <v>Yes</v>
      </c>
      <c r="O1685" s="6" t="s">
        <v>46</v>
      </c>
    </row>
    <row r="1686" customFormat="false" ht="15" hidden="false" customHeight="false" outlineLevel="0" collapsed="false">
      <c r="A1686" s="6" t="s">
        <v>3481</v>
      </c>
      <c r="B1686" s="6" t="s">
        <v>3482</v>
      </c>
      <c r="C1686" s="6" t="s">
        <v>85</v>
      </c>
      <c r="D1686" s="6" t="n">
        <v>25</v>
      </c>
      <c r="E1686" s="6" t="s">
        <v>180</v>
      </c>
      <c r="F1686" s="6" t="s">
        <v>181</v>
      </c>
      <c r="G1686" s="26" t="n">
        <v>45960</v>
      </c>
      <c r="H1686" s="6" t="s">
        <v>88</v>
      </c>
      <c r="I1686" s="26" t="n">
        <f aca="false">_xlfn.MINIFS(Transaction!$C$2:$C$8421,Transaction!$B$2:$B$8421,A1686)</f>
        <v>46039</v>
      </c>
      <c r="J1686" s="26" t="n">
        <f aca="false">_xlfn.MAXIFS(Transaction!$C$2:$C$8421,Transaction!$B$2:$B$8421,A1686)</f>
        <v>46250</v>
      </c>
      <c r="K1686" s="6" t="n">
        <f aca="false">COUNTIF(Transaction!$B$2:$B$8421,A1686)</f>
        <v>11</v>
      </c>
      <c r="L1686" s="10" t="n">
        <f aca="false">SUMIF(Transaction!$B$2:$B$8421,A1686,Transaction!$H$2:$H$8421)</f>
        <v>15906</v>
      </c>
      <c r="M1686" s="6" t="n">
        <f aca="false">Summary!$B$3-J1686</f>
        <v>16</v>
      </c>
      <c r="N1686" s="6" t="str">
        <f aca="false">IF(K1686&gt;1,"Yes","No")</f>
        <v>Yes</v>
      </c>
      <c r="O1686" s="6" t="s">
        <v>45</v>
      </c>
    </row>
    <row r="1687" customFormat="false" ht="15" hidden="false" customHeight="false" outlineLevel="0" collapsed="false">
      <c r="A1687" s="6" t="s">
        <v>3483</v>
      </c>
      <c r="B1687" s="6" t="s">
        <v>3484</v>
      </c>
      <c r="C1687" s="6" t="s">
        <v>75</v>
      </c>
      <c r="D1687" s="6" t="n">
        <v>43</v>
      </c>
      <c r="E1687" s="6" t="s">
        <v>76</v>
      </c>
      <c r="F1687" s="6" t="s">
        <v>77</v>
      </c>
      <c r="G1687" s="26" t="n">
        <v>46071</v>
      </c>
      <c r="H1687" s="6" t="s">
        <v>102</v>
      </c>
      <c r="I1687" s="26" t="n">
        <f aca="false">_xlfn.MINIFS(Transaction!$C$2:$C$8421,Transaction!$B$2:$B$8421,A1687)</f>
        <v>46131</v>
      </c>
      <c r="J1687" s="26" t="n">
        <f aca="false">_xlfn.MAXIFS(Transaction!$C$2:$C$8421,Transaction!$B$2:$B$8421,A1687)</f>
        <v>46131</v>
      </c>
      <c r="K1687" s="6" t="n">
        <f aca="false">COUNTIF(Transaction!$B$2:$B$8421,A1687)</f>
        <v>1</v>
      </c>
      <c r="L1687" s="10" t="n">
        <f aca="false">SUMIF(Transaction!$B$2:$B$8421,A1687,Transaction!$H$2:$H$8421)</f>
        <v>1120</v>
      </c>
      <c r="M1687" s="6" t="n">
        <f aca="false">Summary!$B$3-J1687</f>
        <v>135</v>
      </c>
      <c r="N1687" s="6" t="str">
        <f aca="false">IF(K1687&gt;1,"Yes","No")</f>
        <v>No</v>
      </c>
      <c r="O1687" s="6" t="s">
        <v>48</v>
      </c>
    </row>
    <row r="1688" customFormat="false" ht="15" hidden="false" customHeight="false" outlineLevel="0" collapsed="false">
      <c r="A1688" s="6" t="s">
        <v>3485</v>
      </c>
      <c r="B1688" s="6" t="s">
        <v>3486</v>
      </c>
      <c r="C1688" s="6" t="s">
        <v>75</v>
      </c>
      <c r="D1688" s="6" t="n">
        <v>34</v>
      </c>
      <c r="E1688" s="6" t="s">
        <v>206</v>
      </c>
      <c r="F1688" s="6" t="s">
        <v>106</v>
      </c>
      <c r="G1688" s="26" t="n">
        <v>46006</v>
      </c>
      <c r="H1688" s="6" t="s">
        <v>115</v>
      </c>
      <c r="I1688" s="26" t="n">
        <f aca="false">_xlfn.MINIFS(Transaction!$C$2:$C$8421,Transaction!$B$2:$B$8421,A1688)</f>
        <v>46043</v>
      </c>
      <c r="J1688" s="26" t="n">
        <f aca="false">_xlfn.MAXIFS(Transaction!$C$2:$C$8421,Transaction!$B$2:$B$8421,A1688)</f>
        <v>46257</v>
      </c>
      <c r="K1688" s="6" t="n">
        <f aca="false">COUNTIF(Transaction!$B$2:$B$8421,A1688)</f>
        <v>12</v>
      </c>
      <c r="L1688" s="10" t="n">
        <f aca="false">SUMIF(Transaction!$B$2:$B$8421,A1688,Transaction!$H$2:$H$8421)</f>
        <v>19240</v>
      </c>
      <c r="M1688" s="6" t="n">
        <f aca="false">Summary!$B$3-J1688</f>
        <v>9</v>
      </c>
      <c r="N1688" s="6" t="str">
        <f aca="false">IF(K1688&gt;1,"Yes","No")</f>
        <v>Yes</v>
      </c>
      <c r="O1688" s="6" t="s">
        <v>45</v>
      </c>
    </row>
    <row r="1689" customFormat="false" ht="15" hidden="false" customHeight="false" outlineLevel="0" collapsed="false">
      <c r="A1689" s="6" t="s">
        <v>3487</v>
      </c>
      <c r="B1689" s="6" t="s">
        <v>3488</v>
      </c>
      <c r="C1689" s="6" t="s">
        <v>85</v>
      </c>
      <c r="D1689" s="6" t="n">
        <v>31</v>
      </c>
      <c r="E1689" s="6" t="s">
        <v>86</v>
      </c>
      <c r="F1689" s="6" t="s">
        <v>87</v>
      </c>
      <c r="G1689" s="26" t="n">
        <v>46177</v>
      </c>
      <c r="H1689" s="6" t="s">
        <v>78</v>
      </c>
      <c r="I1689" s="26" t="n">
        <f aca="false">_xlfn.MINIFS(Transaction!$C$2:$C$8421,Transaction!$B$2:$B$8421,A1689)</f>
        <v>46239</v>
      </c>
      <c r="J1689" s="26" t="n">
        <f aca="false">_xlfn.MAXIFS(Transaction!$C$2:$C$8421,Transaction!$B$2:$B$8421,A1689)</f>
        <v>46239</v>
      </c>
      <c r="K1689" s="6" t="n">
        <f aca="false">COUNTIF(Transaction!$B$2:$B$8421,A1689)</f>
        <v>1</v>
      </c>
      <c r="L1689" s="10" t="n">
        <f aca="false">SUMIF(Transaction!$B$2:$B$8421,A1689,Transaction!$H$2:$H$8421)</f>
        <v>1056</v>
      </c>
      <c r="M1689" s="6" t="n">
        <f aca="false">Summary!$B$3-J1689</f>
        <v>27</v>
      </c>
      <c r="N1689" s="6" t="str">
        <f aca="false">IF(K1689&gt;1,"Yes","No")</f>
        <v>No</v>
      </c>
      <c r="O1689" s="6" t="s">
        <v>47</v>
      </c>
    </row>
    <row r="1690" customFormat="false" ht="15" hidden="false" customHeight="false" outlineLevel="0" collapsed="false">
      <c r="A1690" s="6" t="s">
        <v>3489</v>
      </c>
      <c r="B1690" s="6" t="s">
        <v>3490</v>
      </c>
      <c r="C1690" s="6" t="s">
        <v>75</v>
      </c>
      <c r="D1690" s="6" t="n">
        <v>30</v>
      </c>
      <c r="E1690" s="6" t="s">
        <v>76</v>
      </c>
      <c r="F1690" s="6" t="s">
        <v>77</v>
      </c>
      <c r="G1690" s="26" t="n">
        <v>46209</v>
      </c>
      <c r="H1690" s="6" t="s">
        <v>88</v>
      </c>
      <c r="I1690" s="26" t="n">
        <f aca="false">_xlfn.MINIFS(Transaction!$C$2:$C$8421,Transaction!$B$2:$B$8421,A1690)</f>
        <v>46239</v>
      </c>
      <c r="J1690" s="26" t="n">
        <f aca="false">_xlfn.MAXIFS(Transaction!$C$2:$C$8421,Transaction!$B$2:$B$8421,A1690)</f>
        <v>46239</v>
      </c>
      <c r="K1690" s="6" t="n">
        <f aca="false">COUNTIF(Transaction!$B$2:$B$8421,A1690)</f>
        <v>1</v>
      </c>
      <c r="L1690" s="10" t="n">
        <f aca="false">SUMIF(Transaction!$B$2:$B$8421,A1690,Transaction!$H$2:$H$8421)</f>
        <v>1768</v>
      </c>
      <c r="M1690" s="6" t="n">
        <f aca="false">Summary!$B$3-J1690</f>
        <v>27</v>
      </c>
      <c r="N1690" s="6" t="str">
        <f aca="false">IF(K1690&gt;1,"Yes","No")</f>
        <v>No</v>
      </c>
      <c r="O1690" s="6" t="s">
        <v>47</v>
      </c>
    </row>
    <row r="1691" customFormat="false" ht="15" hidden="false" customHeight="false" outlineLevel="0" collapsed="false">
      <c r="A1691" s="6" t="s">
        <v>3491</v>
      </c>
      <c r="B1691" s="6" t="s">
        <v>3492</v>
      </c>
      <c r="C1691" s="6" t="s">
        <v>75</v>
      </c>
      <c r="D1691" s="6" t="n">
        <v>22</v>
      </c>
      <c r="E1691" s="6" t="s">
        <v>121</v>
      </c>
      <c r="F1691" s="6" t="s">
        <v>122</v>
      </c>
      <c r="G1691" s="26" t="n">
        <v>46084</v>
      </c>
      <c r="H1691" s="6" t="s">
        <v>88</v>
      </c>
      <c r="I1691" s="26" t="n">
        <f aca="false">_xlfn.MINIFS(Transaction!$C$2:$C$8421,Transaction!$B$2:$B$8421,A1691)</f>
        <v>46128</v>
      </c>
      <c r="J1691" s="26" t="n">
        <f aca="false">_xlfn.MAXIFS(Transaction!$C$2:$C$8421,Transaction!$B$2:$B$8421,A1691)</f>
        <v>46128</v>
      </c>
      <c r="K1691" s="6" t="n">
        <f aca="false">COUNTIF(Transaction!$B$2:$B$8421,A1691)</f>
        <v>1</v>
      </c>
      <c r="L1691" s="10" t="n">
        <f aca="false">SUMIF(Transaction!$B$2:$B$8421,A1691,Transaction!$H$2:$H$8421)</f>
        <v>1564</v>
      </c>
      <c r="M1691" s="6" t="n">
        <f aca="false">Summary!$B$3-J1691</f>
        <v>138</v>
      </c>
      <c r="N1691" s="6" t="str">
        <f aca="false">IF(K1691&gt;1,"Yes","No")</f>
        <v>No</v>
      </c>
      <c r="O1691" s="6" t="s">
        <v>48</v>
      </c>
    </row>
    <row r="1692" customFormat="false" ht="15" hidden="false" customHeight="false" outlineLevel="0" collapsed="false">
      <c r="A1692" s="6" t="s">
        <v>3493</v>
      </c>
      <c r="B1692" s="6" t="s">
        <v>3494</v>
      </c>
      <c r="C1692" s="6" t="s">
        <v>85</v>
      </c>
      <c r="D1692" s="6" t="n">
        <v>35</v>
      </c>
      <c r="E1692" s="6" t="s">
        <v>95</v>
      </c>
      <c r="F1692" s="6" t="s">
        <v>95</v>
      </c>
      <c r="G1692" s="26" t="n">
        <v>46088</v>
      </c>
      <c r="H1692" s="6" t="s">
        <v>78</v>
      </c>
      <c r="I1692" s="26" t="n">
        <f aca="false">_xlfn.MINIFS(Transaction!$C$2:$C$8421,Transaction!$B$2:$B$8421,A1692)</f>
        <v>46123</v>
      </c>
      <c r="J1692" s="26" t="n">
        <f aca="false">_xlfn.MAXIFS(Transaction!$C$2:$C$8421,Transaction!$B$2:$B$8421,A1692)</f>
        <v>46123</v>
      </c>
      <c r="K1692" s="6" t="n">
        <f aca="false">COUNTIF(Transaction!$B$2:$B$8421,A1692)</f>
        <v>1</v>
      </c>
      <c r="L1692" s="10" t="n">
        <f aca="false">SUMIF(Transaction!$B$2:$B$8421,A1692,Transaction!$H$2:$H$8421)</f>
        <v>1468</v>
      </c>
      <c r="M1692" s="6" t="n">
        <f aca="false">Summary!$B$3-J1692</f>
        <v>143</v>
      </c>
      <c r="N1692" s="6" t="str">
        <f aca="false">IF(K1692&gt;1,"Yes","No")</f>
        <v>No</v>
      </c>
      <c r="O1692" s="6" t="s">
        <v>48</v>
      </c>
    </row>
    <row r="1693" customFormat="false" ht="15" hidden="false" customHeight="false" outlineLevel="0" collapsed="false">
      <c r="A1693" s="6" t="s">
        <v>3495</v>
      </c>
      <c r="B1693" s="6" t="s">
        <v>3496</v>
      </c>
      <c r="C1693" s="6" t="s">
        <v>75</v>
      </c>
      <c r="D1693" s="6" t="n">
        <v>40</v>
      </c>
      <c r="E1693" s="6" t="s">
        <v>105</v>
      </c>
      <c r="F1693" s="6" t="s">
        <v>106</v>
      </c>
      <c r="G1693" s="26" t="n">
        <v>46063</v>
      </c>
      <c r="H1693" s="6" t="s">
        <v>78</v>
      </c>
      <c r="I1693" s="26" t="n">
        <f aca="false">_xlfn.MINIFS(Transaction!$C$2:$C$8421,Transaction!$B$2:$B$8421,A1693)</f>
        <v>46070</v>
      </c>
      <c r="J1693" s="26" t="n">
        <f aca="false">_xlfn.MAXIFS(Transaction!$C$2:$C$8421,Transaction!$B$2:$B$8421,A1693)</f>
        <v>46264</v>
      </c>
      <c r="K1693" s="6" t="n">
        <f aca="false">COUNTIF(Transaction!$B$2:$B$8421,A1693)</f>
        <v>10</v>
      </c>
      <c r="L1693" s="10" t="n">
        <f aca="false">SUMIF(Transaction!$B$2:$B$8421,A1693,Transaction!$H$2:$H$8421)</f>
        <v>28395</v>
      </c>
      <c r="M1693" s="6" t="n">
        <f aca="false">Summary!$B$3-J1693</f>
        <v>2</v>
      </c>
      <c r="N1693" s="6" t="str">
        <f aca="false">IF(K1693&gt;1,"Yes","No")</f>
        <v>Yes</v>
      </c>
      <c r="O1693" s="6" t="s">
        <v>45</v>
      </c>
    </row>
    <row r="1694" customFormat="false" ht="15" hidden="false" customHeight="false" outlineLevel="0" collapsed="false">
      <c r="A1694" s="6" t="s">
        <v>3497</v>
      </c>
      <c r="B1694" s="6" t="s">
        <v>3498</v>
      </c>
      <c r="C1694" s="6" t="s">
        <v>75</v>
      </c>
      <c r="D1694" s="6" t="n">
        <v>34</v>
      </c>
      <c r="E1694" s="6" t="s">
        <v>95</v>
      </c>
      <c r="F1694" s="6" t="s">
        <v>95</v>
      </c>
      <c r="G1694" s="26" t="n">
        <v>46015</v>
      </c>
      <c r="H1694" s="6" t="s">
        <v>123</v>
      </c>
      <c r="I1694" s="26" t="n">
        <f aca="false">_xlfn.MINIFS(Transaction!$C$2:$C$8421,Transaction!$B$2:$B$8421,A1694)</f>
        <v>46030</v>
      </c>
      <c r="J1694" s="26" t="n">
        <f aca="false">_xlfn.MAXIFS(Transaction!$C$2:$C$8421,Transaction!$B$2:$B$8421,A1694)</f>
        <v>46184</v>
      </c>
      <c r="K1694" s="6" t="n">
        <f aca="false">COUNTIF(Transaction!$B$2:$B$8421,A1694)</f>
        <v>5</v>
      </c>
      <c r="L1694" s="10" t="n">
        <f aca="false">SUMIF(Transaction!$B$2:$B$8421,A1694,Transaction!$H$2:$H$8421)</f>
        <v>8689</v>
      </c>
      <c r="M1694" s="6" t="n">
        <f aca="false">Summary!$B$3-J1694</f>
        <v>82</v>
      </c>
      <c r="N1694" s="6" t="str">
        <f aca="false">IF(K1694&gt;1,"Yes","No")</f>
        <v>Yes</v>
      </c>
      <c r="O1694" s="6" t="s">
        <v>46</v>
      </c>
    </row>
    <row r="1695" customFormat="false" ht="15" hidden="false" customHeight="false" outlineLevel="0" collapsed="false">
      <c r="A1695" s="6" t="s">
        <v>3499</v>
      </c>
      <c r="B1695" s="6" t="s">
        <v>3500</v>
      </c>
      <c r="C1695" s="6" t="s">
        <v>85</v>
      </c>
      <c r="D1695" s="6" t="n">
        <v>22</v>
      </c>
      <c r="E1695" s="6" t="s">
        <v>206</v>
      </c>
      <c r="F1695" s="6" t="s">
        <v>106</v>
      </c>
      <c r="G1695" s="26" t="n">
        <v>46141</v>
      </c>
      <c r="H1695" s="6" t="s">
        <v>92</v>
      </c>
      <c r="I1695" s="26" t="n">
        <f aca="false">_xlfn.MINIFS(Transaction!$C$2:$C$8421,Transaction!$B$2:$B$8421,A1695)</f>
        <v>46226</v>
      </c>
      <c r="J1695" s="26" t="n">
        <f aca="false">_xlfn.MAXIFS(Transaction!$C$2:$C$8421,Transaction!$B$2:$B$8421,A1695)</f>
        <v>46226</v>
      </c>
      <c r="K1695" s="6" t="n">
        <f aca="false">COUNTIF(Transaction!$B$2:$B$8421,A1695)</f>
        <v>1</v>
      </c>
      <c r="L1695" s="10" t="n">
        <f aca="false">SUMIF(Transaction!$B$2:$B$8421,A1695,Transaction!$H$2:$H$8421)</f>
        <v>780</v>
      </c>
      <c r="M1695" s="6" t="n">
        <f aca="false">Summary!$B$3-J1695</f>
        <v>40</v>
      </c>
      <c r="N1695" s="6" t="str">
        <f aca="false">IF(K1695&gt;1,"Yes","No")</f>
        <v>No</v>
      </c>
      <c r="O1695" s="6" t="s">
        <v>47</v>
      </c>
    </row>
    <row r="1696" customFormat="false" ht="15" hidden="false" customHeight="false" outlineLevel="0" collapsed="false">
      <c r="A1696" s="6" t="s">
        <v>3501</v>
      </c>
      <c r="B1696" s="6" t="s">
        <v>3502</v>
      </c>
      <c r="C1696" s="6" t="s">
        <v>85</v>
      </c>
      <c r="D1696" s="6" t="n">
        <v>22</v>
      </c>
      <c r="E1696" s="6" t="s">
        <v>176</v>
      </c>
      <c r="F1696" s="6" t="s">
        <v>177</v>
      </c>
      <c r="G1696" s="26" t="n">
        <v>46074</v>
      </c>
      <c r="H1696" s="6" t="s">
        <v>92</v>
      </c>
      <c r="I1696" s="26" t="n">
        <f aca="false">_xlfn.MINIFS(Transaction!$C$2:$C$8421,Transaction!$B$2:$B$8421,A1696)</f>
        <v>46120</v>
      </c>
      <c r="J1696" s="26" t="n">
        <f aca="false">_xlfn.MAXIFS(Transaction!$C$2:$C$8421,Transaction!$B$2:$B$8421,A1696)</f>
        <v>46238</v>
      </c>
      <c r="K1696" s="6" t="n">
        <f aca="false">COUNTIF(Transaction!$B$2:$B$8421,A1696)</f>
        <v>4</v>
      </c>
      <c r="L1696" s="10" t="n">
        <f aca="false">SUMIF(Transaction!$B$2:$B$8421,A1696,Transaction!$H$2:$H$8421)</f>
        <v>5193</v>
      </c>
      <c r="M1696" s="6" t="n">
        <f aca="false">Summary!$B$3-J1696</f>
        <v>28</v>
      </c>
      <c r="N1696" s="6" t="str">
        <f aca="false">IF(K1696&gt;1,"Yes","No")</f>
        <v>Yes</v>
      </c>
      <c r="O1696" s="6" t="s">
        <v>46</v>
      </c>
    </row>
    <row r="1697" customFormat="false" ht="15" hidden="false" customHeight="false" outlineLevel="0" collapsed="false">
      <c r="A1697" s="6" t="s">
        <v>3503</v>
      </c>
      <c r="B1697" s="6" t="s">
        <v>3504</v>
      </c>
      <c r="C1697" s="6" t="s">
        <v>85</v>
      </c>
      <c r="D1697" s="6" t="n">
        <v>58</v>
      </c>
      <c r="E1697" s="6" t="s">
        <v>180</v>
      </c>
      <c r="F1697" s="6" t="s">
        <v>181</v>
      </c>
      <c r="G1697" s="26" t="n">
        <v>46190</v>
      </c>
      <c r="H1697" s="6" t="s">
        <v>115</v>
      </c>
      <c r="I1697" s="26" t="n">
        <f aca="false">_xlfn.MINIFS(Transaction!$C$2:$C$8421,Transaction!$B$2:$B$8421,A1697)</f>
        <v>46215</v>
      </c>
      <c r="J1697" s="26" t="n">
        <f aca="false">_xlfn.MAXIFS(Transaction!$C$2:$C$8421,Transaction!$B$2:$B$8421,A1697)</f>
        <v>46215</v>
      </c>
      <c r="K1697" s="6" t="n">
        <f aca="false">COUNTIF(Transaction!$B$2:$B$8421,A1697)</f>
        <v>1</v>
      </c>
      <c r="L1697" s="10" t="n">
        <f aca="false">SUMIF(Transaction!$B$2:$B$8421,A1697,Transaction!$H$2:$H$8421)</f>
        <v>397</v>
      </c>
      <c r="M1697" s="6" t="n">
        <f aca="false">Summary!$B$3-J1697</f>
        <v>51</v>
      </c>
      <c r="N1697" s="6" t="str">
        <f aca="false">IF(K1697&gt;1,"Yes","No")</f>
        <v>No</v>
      </c>
      <c r="O1697" s="6" t="s">
        <v>47</v>
      </c>
    </row>
    <row r="1698" customFormat="false" ht="15" hidden="false" customHeight="false" outlineLevel="0" collapsed="false">
      <c r="A1698" s="6" t="s">
        <v>3505</v>
      </c>
      <c r="B1698" s="6" t="s">
        <v>3506</v>
      </c>
      <c r="C1698" s="6" t="s">
        <v>75</v>
      </c>
      <c r="D1698" s="6" t="n">
        <v>30</v>
      </c>
      <c r="E1698" s="6" t="s">
        <v>121</v>
      </c>
      <c r="F1698" s="6" t="s">
        <v>122</v>
      </c>
      <c r="G1698" s="26" t="n">
        <v>46165</v>
      </c>
      <c r="H1698" s="6" t="s">
        <v>115</v>
      </c>
      <c r="I1698" s="26" t="n">
        <f aca="false">_xlfn.MINIFS(Transaction!$C$2:$C$8421,Transaction!$B$2:$B$8421,A1698)</f>
        <v>46233</v>
      </c>
      <c r="J1698" s="26" t="n">
        <f aca="false">_xlfn.MAXIFS(Transaction!$C$2:$C$8421,Transaction!$B$2:$B$8421,A1698)</f>
        <v>46233</v>
      </c>
      <c r="K1698" s="6" t="n">
        <f aca="false">COUNTIF(Transaction!$B$2:$B$8421,A1698)</f>
        <v>1</v>
      </c>
      <c r="L1698" s="10" t="n">
        <f aca="false">SUMIF(Transaction!$B$2:$B$8421,A1698,Transaction!$H$2:$H$8421)</f>
        <v>773</v>
      </c>
      <c r="M1698" s="6" t="n">
        <f aca="false">Summary!$B$3-J1698</f>
        <v>33</v>
      </c>
      <c r="N1698" s="6" t="str">
        <f aca="false">IF(K1698&gt;1,"Yes","No")</f>
        <v>No</v>
      </c>
      <c r="O1698" s="6" t="s">
        <v>47</v>
      </c>
    </row>
    <row r="1699" customFormat="false" ht="15" hidden="false" customHeight="false" outlineLevel="0" collapsed="false">
      <c r="A1699" s="6" t="s">
        <v>3507</v>
      </c>
      <c r="B1699" s="6" t="s">
        <v>3508</v>
      </c>
      <c r="C1699" s="6" t="s">
        <v>75</v>
      </c>
      <c r="D1699" s="6" t="n">
        <v>31</v>
      </c>
      <c r="E1699" s="6" t="s">
        <v>264</v>
      </c>
      <c r="F1699" s="6" t="s">
        <v>106</v>
      </c>
      <c r="G1699" s="26" t="n">
        <v>46149</v>
      </c>
      <c r="H1699" s="6" t="s">
        <v>78</v>
      </c>
      <c r="I1699" s="26" t="n">
        <f aca="false">_xlfn.MINIFS(Transaction!$C$2:$C$8421,Transaction!$B$2:$B$8421,A1699)</f>
        <v>46162</v>
      </c>
      <c r="J1699" s="26" t="n">
        <f aca="false">_xlfn.MAXIFS(Transaction!$C$2:$C$8421,Transaction!$B$2:$B$8421,A1699)</f>
        <v>46162</v>
      </c>
      <c r="K1699" s="6" t="n">
        <f aca="false">COUNTIF(Transaction!$B$2:$B$8421,A1699)</f>
        <v>1</v>
      </c>
      <c r="L1699" s="10" t="n">
        <f aca="false">SUMIF(Transaction!$B$2:$B$8421,A1699,Transaction!$H$2:$H$8421)</f>
        <v>702</v>
      </c>
      <c r="M1699" s="6" t="n">
        <f aca="false">Summary!$B$3-J1699</f>
        <v>104</v>
      </c>
      <c r="N1699" s="6" t="str">
        <f aca="false">IF(K1699&gt;1,"Yes","No")</f>
        <v>No</v>
      </c>
      <c r="O1699" s="6" t="s">
        <v>48</v>
      </c>
    </row>
    <row r="1700" customFormat="false" ht="15" hidden="false" customHeight="false" outlineLevel="0" collapsed="false">
      <c r="A1700" s="6" t="s">
        <v>3509</v>
      </c>
      <c r="B1700" s="6" t="s">
        <v>3510</v>
      </c>
      <c r="C1700" s="6" t="s">
        <v>85</v>
      </c>
      <c r="D1700" s="6" t="n">
        <v>43</v>
      </c>
      <c r="E1700" s="6" t="s">
        <v>76</v>
      </c>
      <c r="F1700" s="6" t="s">
        <v>77</v>
      </c>
      <c r="G1700" s="26" t="n">
        <v>46046</v>
      </c>
      <c r="H1700" s="6" t="s">
        <v>115</v>
      </c>
      <c r="I1700" s="26" t="n">
        <f aca="false">_xlfn.MINIFS(Transaction!$C$2:$C$8421,Transaction!$B$2:$B$8421,A1700)</f>
        <v>46080</v>
      </c>
      <c r="J1700" s="26" t="n">
        <f aca="false">_xlfn.MAXIFS(Transaction!$C$2:$C$8421,Transaction!$B$2:$B$8421,A1700)</f>
        <v>46247</v>
      </c>
      <c r="K1700" s="6" t="n">
        <f aca="false">COUNTIF(Transaction!$B$2:$B$8421,A1700)</f>
        <v>4</v>
      </c>
      <c r="L1700" s="10" t="n">
        <f aca="false">SUMIF(Transaction!$B$2:$B$8421,A1700,Transaction!$H$2:$H$8421)</f>
        <v>7755</v>
      </c>
      <c r="M1700" s="6" t="n">
        <f aca="false">Summary!$B$3-J1700</f>
        <v>19</v>
      </c>
      <c r="N1700" s="6" t="str">
        <f aca="false">IF(K1700&gt;1,"Yes","No")</f>
        <v>Yes</v>
      </c>
      <c r="O1700" s="6" t="s">
        <v>46</v>
      </c>
    </row>
    <row r="1701" customFormat="false" ht="15" hidden="false" customHeight="false" outlineLevel="0" collapsed="false">
      <c r="A1701" s="6" t="s">
        <v>3511</v>
      </c>
      <c r="B1701" s="6" t="s">
        <v>3512</v>
      </c>
      <c r="C1701" s="6" t="s">
        <v>75</v>
      </c>
      <c r="D1701" s="6" t="n">
        <v>35</v>
      </c>
      <c r="E1701" s="6" t="s">
        <v>95</v>
      </c>
      <c r="F1701" s="6" t="s">
        <v>95</v>
      </c>
      <c r="G1701" s="26" t="n">
        <v>46005</v>
      </c>
      <c r="H1701" s="6" t="s">
        <v>78</v>
      </c>
      <c r="I1701" s="26" t="n">
        <f aca="false">_xlfn.MINIFS(Transaction!$C$2:$C$8421,Transaction!$B$2:$B$8421,A1701)</f>
        <v>46045</v>
      </c>
      <c r="J1701" s="26" t="n">
        <f aca="false">_xlfn.MAXIFS(Transaction!$C$2:$C$8421,Transaction!$B$2:$B$8421,A1701)</f>
        <v>46193</v>
      </c>
      <c r="K1701" s="6" t="n">
        <f aca="false">COUNTIF(Transaction!$B$2:$B$8421,A1701)</f>
        <v>4</v>
      </c>
      <c r="L1701" s="10" t="n">
        <f aca="false">SUMIF(Transaction!$B$2:$B$8421,A1701,Transaction!$H$2:$H$8421)</f>
        <v>4702</v>
      </c>
      <c r="M1701" s="6" t="n">
        <f aca="false">Summary!$B$3-J1701</f>
        <v>73</v>
      </c>
      <c r="N1701" s="6" t="str">
        <f aca="false">IF(K1701&gt;1,"Yes","No")</f>
        <v>Yes</v>
      </c>
      <c r="O1701" s="6" t="s">
        <v>46</v>
      </c>
    </row>
    <row r="1702" customFormat="false" ht="15" hidden="false" customHeight="false" outlineLevel="0" collapsed="false">
      <c r="A1702" s="6" t="s">
        <v>3513</v>
      </c>
      <c r="B1702" s="6" t="s">
        <v>3514</v>
      </c>
      <c r="C1702" s="6" t="s">
        <v>85</v>
      </c>
      <c r="D1702" s="6" t="n">
        <v>39</v>
      </c>
      <c r="E1702" s="6" t="s">
        <v>81</v>
      </c>
      <c r="F1702" s="6" t="s">
        <v>82</v>
      </c>
      <c r="G1702" s="26" t="n">
        <v>46055</v>
      </c>
      <c r="H1702" s="6" t="s">
        <v>78</v>
      </c>
      <c r="I1702" s="26" t="n">
        <f aca="false">_xlfn.MINIFS(Transaction!$C$2:$C$8421,Transaction!$B$2:$B$8421,A1702)</f>
        <v>46121</v>
      </c>
      <c r="J1702" s="26" t="n">
        <f aca="false">_xlfn.MAXIFS(Transaction!$C$2:$C$8421,Transaction!$B$2:$B$8421,A1702)</f>
        <v>46237</v>
      </c>
      <c r="K1702" s="6" t="n">
        <f aca="false">COUNTIF(Transaction!$B$2:$B$8421,A1702)</f>
        <v>4</v>
      </c>
      <c r="L1702" s="10" t="n">
        <f aca="false">SUMIF(Transaction!$B$2:$B$8421,A1702,Transaction!$H$2:$H$8421)</f>
        <v>6618</v>
      </c>
      <c r="M1702" s="6" t="n">
        <f aca="false">Summary!$B$3-J1702</f>
        <v>29</v>
      </c>
      <c r="N1702" s="6" t="str">
        <f aca="false">IF(K1702&gt;1,"Yes","No")</f>
        <v>Yes</v>
      </c>
      <c r="O1702" s="6" t="s">
        <v>46</v>
      </c>
    </row>
    <row r="1703" customFormat="false" ht="15" hidden="false" customHeight="false" outlineLevel="0" collapsed="false">
      <c r="A1703" s="6" t="s">
        <v>3515</v>
      </c>
      <c r="B1703" s="6" t="s">
        <v>3516</v>
      </c>
      <c r="C1703" s="6" t="s">
        <v>75</v>
      </c>
      <c r="D1703" s="6" t="n">
        <v>21</v>
      </c>
      <c r="E1703" s="6" t="s">
        <v>105</v>
      </c>
      <c r="F1703" s="6" t="s">
        <v>106</v>
      </c>
      <c r="G1703" s="26" t="n">
        <v>45993</v>
      </c>
      <c r="H1703" s="6" t="s">
        <v>115</v>
      </c>
      <c r="I1703" s="26" t="n">
        <f aca="false">_xlfn.MINIFS(Transaction!$C$2:$C$8421,Transaction!$B$2:$B$8421,A1703)</f>
        <v>46032</v>
      </c>
      <c r="J1703" s="26" t="n">
        <f aca="false">_xlfn.MAXIFS(Transaction!$C$2:$C$8421,Transaction!$B$2:$B$8421,A1703)</f>
        <v>46242</v>
      </c>
      <c r="K1703" s="6" t="n">
        <f aca="false">COUNTIF(Transaction!$B$2:$B$8421,A1703)</f>
        <v>8</v>
      </c>
      <c r="L1703" s="10" t="n">
        <f aca="false">SUMIF(Transaction!$B$2:$B$8421,A1703,Transaction!$H$2:$H$8421)</f>
        <v>12525</v>
      </c>
      <c r="M1703" s="6" t="n">
        <f aca="false">Summary!$B$3-J1703</f>
        <v>24</v>
      </c>
      <c r="N1703" s="6" t="str">
        <f aca="false">IF(K1703&gt;1,"Yes","No")</f>
        <v>Yes</v>
      </c>
      <c r="O1703" s="6" t="s">
        <v>45</v>
      </c>
    </row>
    <row r="1704" customFormat="false" ht="15" hidden="false" customHeight="false" outlineLevel="0" collapsed="false">
      <c r="A1704" s="6" t="s">
        <v>3517</v>
      </c>
      <c r="B1704" s="6" t="s">
        <v>3518</v>
      </c>
      <c r="C1704" s="6" t="s">
        <v>85</v>
      </c>
      <c r="D1704" s="6" t="n">
        <v>37</v>
      </c>
      <c r="E1704" s="6" t="s">
        <v>95</v>
      </c>
      <c r="F1704" s="6" t="s">
        <v>95</v>
      </c>
      <c r="G1704" s="26" t="n">
        <v>46122</v>
      </c>
      <c r="H1704" s="6" t="s">
        <v>115</v>
      </c>
      <c r="I1704" s="26" t="n">
        <f aca="false">_xlfn.MINIFS(Transaction!$C$2:$C$8421,Transaction!$B$2:$B$8421,A1704)</f>
        <v>46189</v>
      </c>
      <c r="J1704" s="26" t="n">
        <f aca="false">_xlfn.MAXIFS(Transaction!$C$2:$C$8421,Transaction!$B$2:$B$8421,A1704)</f>
        <v>46189</v>
      </c>
      <c r="K1704" s="6" t="n">
        <f aca="false">COUNTIF(Transaction!$B$2:$B$8421,A1704)</f>
        <v>1</v>
      </c>
      <c r="L1704" s="10" t="n">
        <f aca="false">SUMIF(Transaction!$B$2:$B$8421,A1704,Transaction!$H$2:$H$8421)</f>
        <v>2018</v>
      </c>
      <c r="M1704" s="6" t="n">
        <f aca="false">Summary!$B$3-J1704</f>
        <v>77</v>
      </c>
      <c r="N1704" s="6" t="str">
        <f aca="false">IF(K1704&gt;1,"Yes","No")</f>
        <v>No</v>
      </c>
      <c r="O1704" s="6" t="s">
        <v>47</v>
      </c>
    </row>
    <row r="1705" customFormat="false" ht="15" hidden="false" customHeight="false" outlineLevel="0" collapsed="false">
      <c r="A1705" s="6" t="s">
        <v>3519</v>
      </c>
      <c r="B1705" s="6" t="s">
        <v>3520</v>
      </c>
      <c r="C1705" s="6" t="s">
        <v>75</v>
      </c>
      <c r="D1705" s="6" t="n">
        <v>44</v>
      </c>
      <c r="E1705" s="6" t="s">
        <v>134</v>
      </c>
      <c r="F1705" s="6" t="s">
        <v>135</v>
      </c>
      <c r="G1705" s="26" t="n">
        <v>46032</v>
      </c>
      <c r="H1705" s="6" t="s">
        <v>88</v>
      </c>
      <c r="I1705" s="26" t="n">
        <f aca="false">_xlfn.MINIFS(Transaction!$C$2:$C$8421,Transaction!$B$2:$B$8421,A1705)</f>
        <v>46121</v>
      </c>
      <c r="J1705" s="26" t="n">
        <f aca="false">_xlfn.MAXIFS(Transaction!$C$2:$C$8421,Transaction!$B$2:$B$8421,A1705)</f>
        <v>46121</v>
      </c>
      <c r="K1705" s="6" t="n">
        <f aca="false">COUNTIF(Transaction!$B$2:$B$8421,A1705)</f>
        <v>1</v>
      </c>
      <c r="L1705" s="10" t="n">
        <f aca="false">SUMIF(Transaction!$B$2:$B$8421,A1705,Transaction!$H$2:$H$8421)</f>
        <v>927</v>
      </c>
      <c r="M1705" s="6" t="n">
        <f aca="false">Summary!$B$3-J1705</f>
        <v>145</v>
      </c>
      <c r="N1705" s="6" t="str">
        <f aca="false">IF(K1705&gt;1,"Yes","No")</f>
        <v>No</v>
      </c>
      <c r="O1705" s="6" t="s">
        <v>48</v>
      </c>
    </row>
    <row r="1706" customFormat="false" ht="15" hidden="false" customHeight="false" outlineLevel="0" collapsed="false">
      <c r="A1706" s="6" t="s">
        <v>3521</v>
      </c>
      <c r="B1706" s="6" t="s">
        <v>3522</v>
      </c>
      <c r="C1706" s="6" t="s">
        <v>85</v>
      </c>
      <c r="D1706" s="6" t="n">
        <v>43</v>
      </c>
      <c r="E1706" s="6" t="s">
        <v>91</v>
      </c>
      <c r="F1706" s="6" t="s">
        <v>77</v>
      </c>
      <c r="G1706" s="26" t="n">
        <v>46222</v>
      </c>
      <c r="H1706" s="6" t="s">
        <v>102</v>
      </c>
      <c r="I1706" s="26" t="n">
        <f aca="false">_xlfn.MINIFS(Transaction!$C$2:$C$8421,Transaction!$B$2:$B$8421,A1706)</f>
        <v>46262</v>
      </c>
      <c r="J1706" s="26" t="n">
        <f aca="false">_xlfn.MAXIFS(Transaction!$C$2:$C$8421,Transaction!$B$2:$B$8421,A1706)</f>
        <v>46262</v>
      </c>
      <c r="K1706" s="6" t="n">
        <f aca="false">COUNTIF(Transaction!$B$2:$B$8421,A1706)</f>
        <v>1</v>
      </c>
      <c r="L1706" s="10" t="n">
        <f aca="false">SUMIF(Transaction!$B$2:$B$8421,A1706,Transaction!$H$2:$H$8421)</f>
        <v>4280</v>
      </c>
      <c r="M1706" s="6" t="n">
        <f aca="false">Summary!$B$3-J1706</f>
        <v>4</v>
      </c>
      <c r="N1706" s="6" t="str">
        <f aca="false">IF(K1706&gt;1,"Yes","No")</f>
        <v>No</v>
      </c>
      <c r="O1706" s="6" t="s">
        <v>47</v>
      </c>
    </row>
    <row r="1707" customFormat="false" ht="15" hidden="false" customHeight="false" outlineLevel="0" collapsed="false">
      <c r="A1707" s="6" t="s">
        <v>3523</v>
      </c>
      <c r="B1707" s="6" t="s">
        <v>3524</v>
      </c>
      <c r="C1707" s="6" t="s">
        <v>85</v>
      </c>
      <c r="D1707" s="6" t="n">
        <v>19</v>
      </c>
      <c r="E1707" s="6" t="s">
        <v>76</v>
      </c>
      <c r="F1707" s="6" t="s">
        <v>77</v>
      </c>
      <c r="G1707" s="26" t="n">
        <v>45982</v>
      </c>
      <c r="H1707" s="6" t="s">
        <v>78</v>
      </c>
      <c r="I1707" s="26" t="n">
        <f aca="false">_xlfn.MINIFS(Transaction!$C$2:$C$8421,Transaction!$B$2:$B$8421,A1707)</f>
        <v>46052</v>
      </c>
      <c r="J1707" s="26" t="n">
        <f aca="false">_xlfn.MAXIFS(Transaction!$C$2:$C$8421,Transaction!$B$2:$B$8421,A1707)</f>
        <v>46214</v>
      </c>
      <c r="K1707" s="6" t="n">
        <f aca="false">COUNTIF(Transaction!$B$2:$B$8421,A1707)</f>
        <v>7</v>
      </c>
      <c r="L1707" s="10" t="n">
        <f aca="false">SUMIF(Transaction!$B$2:$B$8421,A1707,Transaction!$H$2:$H$8421)</f>
        <v>16526</v>
      </c>
      <c r="M1707" s="6" t="n">
        <f aca="false">Summary!$B$3-J1707</f>
        <v>52</v>
      </c>
      <c r="N1707" s="6" t="str">
        <f aca="false">IF(K1707&gt;1,"Yes","No")</f>
        <v>Yes</v>
      </c>
      <c r="O1707" s="6" t="s">
        <v>46</v>
      </c>
    </row>
    <row r="1708" customFormat="false" ht="15" hidden="false" customHeight="false" outlineLevel="0" collapsed="false">
      <c r="A1708" s="6" t="s">
        <v>3525</v>
      </c>
      <c r="B1708" s="6" t="s">
        <v>3526</v>
      </c>
      <c r="C1708" s="6" t="s">
        <v>75</v>
      </c>
      <c r="D1708" s="6" t="n">
        <v>41</v>
      </c>
      <c r="E1708" s="6" t="s">
        <v>81</v>
      </c>
      <c r="F1708" s="6" t="s">
        <v>82</v>
      </c>
      <c r="G1708" s="26" t="n">
        <v>45984</v>
      </c>
      <c r="H1708" s="6" t="s">
        <v>123</v>
      </c>
      <c r="I1708" s="26" t="n">
        <f aca="false">_xlfn.MINIFS(Transaction!$C$2:$C$8421,Transaction!$B$2:$B$8421,A1708)</f>
        <v>46050</v>
      </c>
      <c r="J1708" s="26" t="n">
        <f aca="false">_xlfn.MAXIFS(Transaction!$C$2:$C$8421,Transaction!$B$2:$B$8421,A1708)</f>
        <v>46050</v>
      </c>
      <c r="K1708" s="6" t="n">
        <f aca="false">COUNTIF(Transaction!$B$2:$B$8421,A1708)</f>
        <v>1</v>
      </c>
      <c r="L1708" s="10" t="n">
        <f aca="false">SUMIF(Transaction!$B$2:$B$8421,A1708,Transaction!$H$2:$H$8421)</f>
        <v>3267</v>
      </c>
      <c r="M1708" s="6" t="n">
        <f aca="false">Summary!$B$3-J1708</f>
        <v>216</v>
      </c>
      <c r="N1708" s="6" t="str">
        <f aca="false">IF(K1708&gt;1,"Yes","No")</f>
        <v>No</v>
      </c>
      <c r="O1708" s="6" t="s">
        <v>49</v>
      </c>
    </row>
    <row r="1709" customFormat="false" ht="15" hidden="false" customHeight="false" outlineLevel="0" collapsed="false">
      <c r="A1709" s="6" t="s">
        <v>3527</v>
      </c>
      <c r="B1709" s="6" t="s">
        <v>3528</v>
      </c>
      <c r="C1709" s="6" t="s">
        <v>75</v>
      </c>
      <c r="D1709" s="6" t="n">
        <v>34</v>
      </c>
      <c r="E1709" s="6" t="s">
        <v>121</v>
      </c>
      <c r="F1709" s="6" t="s">
        <v>122</v>
      </c>
      <c r="G1709" s="26" t="n">
        <v>46217</v>
      </c>
      <c r="H1709" s="6" t="s">
        <v>123</v>
      </c>
      <c r="I1709" s="26" t="n">
        <f aca="false">_xlfn.MINIFS(Transaction!$C$2:$C$8421,Transaction!$B$2:$B$8421,A1709)</f>
        <v>46219</v>
      </c>
      <c r="J1709" s="26" t="n">
        <f aca="false">_xlfn.MAXIFS(Transaction!$C$2:$C$8421,Transaction!$B$2:$B$8421,A1709)</f>
        <v>46219</v>
      </c>
      <c r="K1709" s="6" t="n">
        <f aca="false">COUNTIF(Transaction!$B$2:$B$8421,A1709)</f>
        <v>1</v>
      </c>
      <c r="L1709" s="10" t="n">
        <f aca="false">SUMIF(Transaction!$B$2:$B$8421,A1709,Transaction!$H$2:$H$8421)</f>
        <v>1068</v>
      </c>
      <c r="M1709" s="6" t="n">
        <f aca="false">Summary!$B$3-J1709</f>
        <v>47</v>
      </c>
      <c r="N1709" s="6" t="str">
        <f aca="false">IF(K1709&gt;1,"Yes","No")</f>
        <v>No</v>
      </c>
      <c r="O1709" s="6" t="s">
        <v>47</v>
      </c>
    </row>
    <row r="1710" customFormat="false" ht="15" hidden="false" customHeight="false" outlineLevel="0" collapsed="false">
      <c r="A1710" s="6" t="s">
        <v>3529</v>
      </c>
      <c r="B1710" s="6" t="s">
        <v>3530</v>
      </c>
      <c r="C1710" s="6" t="s">
        <v>75</v>
      </c>
      <c r="D1710" s="6" t="n">
        <v>38</v>
      </c>
      <c r="E1710" s="6" t="s">
        <v>105</v>
      </c>
      <c r="F1710" s="6" t="s">
        <v>106</v>
      </c>
      <c r="G1710" s="26" t="n">
        <v>45959</v>
      </c>
      <c r="H1710" s="6" t="s">
        <v>88</v>
      </c>
      <c r="I1710" s="26" t="n">
        <f aca="false">_xlfn.MINIFS(Transaction!$C$2:$C$8421,Transaction!$B$2:$B$8421,A1710)</f>
        <v>46027</v>
      </c>
      <c r="J1710" s="26" t="n">
        <f aca="false">_xlfn.MAXIFS(Transaction!$C$2:$C$8421,Transaction!$B$2:$B$8421,A1710)</f>
        <v>46262</v>
      </c>
      <c r="K1710" s="6" t="n">
        <f aca="false">COUNTIF(Transaction!$B$2:$B$8421,A1710)</f>
        <v>9</v>
      </c>
      <c r="L1710" s="10" t="n">
        <f aca="false">SUMIF(Transaction!$B$2:$B$8421,A1710,Transaction!$H$2:$H$8421)</f>
        <v>23045</v>
      </c>
      <c r="M1710" s="6" t="n">
        <f aca="false">Summary!$B$3-J1710</f>
        <v>4</v>
      </c>
      <c r="N1710" s="6" t="str">
        <f aca="false">IF(K1710&gt;1,"Yes","No")</f>
        <v>Yes</v>
      </c>
      <c r="O1710" s="6" t="s">
        <v>45</v>
      </c>
    </row>
    <row r="1711" customFormat="false" ht="15" hidden="false" customHeight="false" outlineLevel="0" collapsed="false">
      <c r="A1711" s="6" t="s">
        <v>3531</v>
      </c>
      <c r="B1711" s="6" t="s">
        <v>3532</v>
      </c>
      <c r="C1711" s="6" t="s">
        <v>85</v>
      </c>
      <c r="D1711" s="6" t="n">
        <v>36</v>
      </c>
      <c r="E1711" s="6" t="s">
        <v>95</v>
      </c>
      <c r="F1711" s="6" t="s">
        <v>95</v>
      </c>
      <c r="G1711" s="26" t="n">
        <v>46133</v>
      </c>
      <c r="H1711" s="6" t="s">
        <v>115</v>
      </c>
      <c r="I1711" s="26" t="n">
        <f aca="false">_xlfn.MINIFS(Transaction!$C$2:$C$8421,Transaction!$B$2:$B$8421,A1711)</f>
        <v>46211</v>
      </c>
      <c r="J1711" s="26" t="n">
        <f aca="false">_xlfn.MAXIFS(Transaction!$C$2:$C$8421,Transaction!$B$2:$B$8421,A1711)</f>
        <v>46211</v>
      </c>
      <c r="K1711" s="6" t="n">
        <f aca="false">COUNTIF(Transaction!$B$2:$B$8421,A1711)</f>
        <v>1</v>
      </c>
      <c r="L1711" s="10" t="n">
        <f aca="false">SUMIF(Transaction!$B$2:$B$8421,A1711,Transaction!$H$2:$H$8421)</f>
        <v>293</v>
      </c>
      <c r="M1711" s="6" t="n">
        <f aca="false">Summary!$B$3-J1711</f>
        <v>55</v>
      </c>
      <c r="N1711" s="6" t="str">
        <f aca="false">IF(K1711&gt;1,"Yes","No")</f>
        <v>No</v>
      </c>
      <c r="O1711" s="6" t="s">
        <v>47</v>
      </c>
    </row>
    <row r="1712" customFormat="false" ht="15" hidden="false" customHeight="false" outlineLevel="0" collapsed="false">
      <c r="A1712" s="6" t="s">
        <v>3533</v>
      </c>
      <c r="B1712" s="6" t="s">
        <v>3534</v>
      </c>
      <c r="C1712" s="6" t="s">
        <v>85</v>
      </c>
      <c r="D1712" s="6" t="n">
        <v>38</v>
      </c>
      <c r="E1712" s="6" t="s">
        <v>105</v>
      </c>
      <c r="F1712" s="6" t="s">
        <v>106</v>
      </c>
      <c r="G1712" s="26" t="n">
        <v>46023</v>
      </c>
      <c r="H1712" s="6" t="s">
        <v>102</v>
      </c>
      <c r="I1712" s="26" t="n">
        <f aca="false">_xlfn.MINIFS(Transaction!$C$2:$C$8421,Transaction!$B$2:$B$8421,A1712)</f>
        <v>46028</v>
      </c>
      <c r="J1712" s="26" t="n">
        <f aca="false">_xlfn.MAXIFS(Transaction!$C$2:$C$8421,Transaction!$B$2:$B$8421,A1712)</f>
        <v>46028</v>
      </c>
      <c r="K1712" s="6" t="n">
        <f aca="false">COUNTIF(Transaction!$B$2:$B$8421,A1712)</f>
        <v>1</v>
      </c>
      <c r="L1712" s="10" t="n">
        <f aca="false">SUMIF(Transaction!$B$2:$B$8421,A1712,Transaction!$H$2:$H$8421)</f>
        <v>5280</v>
      </c>
      <c r="M1712" s="6" t="n">
        <f aca="false">Summary!$B$3-J1712</f>
        <v>238</v>
      </c>
      <c r="N1712" s="6" t="str">
        <f aca="false">IF(K1712&gt;1,"Yes","No")</f>
        <v>No</v>
      </c>
      <c r="O1712" s="6" t="s">
        <v>49</v>
      </c>
    </row>
    <row r="1713" customFormat="false" ht="15" hidden="false" customHeight="false" outlineLevel="0" collapsed="false">
      <c r="A1713" s="6" t="s">
        <v>3535</v>
      </c>
      <c r="B1713" s="6" t="s">
        <v>3536</v>
      </c>
      <c r="C1713" s="6" t="s">
        <v>85</v>
      </c>
      <c r="D1713" s="6" t="n">
        <v>42</v>
      </c>
      <c r="E1713" s="6" t="s">
        <v>86</v>
      </c>
      <c r="F1713" s="6" t="s">
        <v>87</v>
      </c>
      <c r="G1713" s="26" t="n">
        <v>46010</v>
      </c>
      <c r="H1713" s="6" t="s">
        <v>78</v>
      </c>
      <c r="I1713" s="26" t="n">
        <f aca="false">_xlfn.MINIFS(Transaction!$C$2:$C$8421,Transaction!$B$2:$B$8421,A1713)</f>
        <v>46028</v>
      </c>
      <c r="J1713" s="26" t="n">
        <f aca="false">_xlfn.MAXIFS(Transaction!$C$2:$C$8421,Transaction!$B$2:$B$8421,A1713)</f>
        <v>46251</v>
      </c>
      <c r="K1713" s="6" t="n">
        <f aca="false">COUNTIF(Transaction!$B$2:$B$8421,A1713)</f>
        <v>9</v>
      </c>
      <c r="L1713" s="10" t="n">
        <f aca="false">SUMIF(Transaction!$B$2:$B$8421,A1713,Transaction!$H$2:$H$8421)</f>
        <v>12642</v>
      </c>
      <c r="M1713" s="6" t="n">
        <f aca="false">Summary!$B$3-J1713</f>
        <v>15</v>
      </c>
      <c r="N1713" s="6" t="str">
        <f aca="false">IF(K1713&gt;1,"Yes","No")</f>
        <v>Yes</v>
      </c>
      <c r="O1713" s="6" t="s">
        <v>45</v>
      </c>
    </row>
    <row r="1714" customFormat="false" ht="15" hidden="false" customHeight="false" outlineLevel="0" collapsed="false">
      <c r="A1714" s="6" t="s">
        <v>3537</v>
      </c>
      <c r="B1714" s="6" t="s">
        <v>3538</v>
      </c>
      <c r="C1714" s="6" t="s">
        <v>75</v>
      </c>
      <c r="D1714" s="6" t="n">
        <v>38</v>
      </c>
      <c r="E1714" s="6" t="s">
        <v>146</v>
      </c>
      <c r="F1714" s="6" t="s">
        <v>147</v>
      </c>
      <c r="G1714" s="26" t="n">
        <v>46003</v>
      </c>
      <c r="H1714" s="6" t="s">
        <v>123</v>
      </c>
      <c r="I1714" s="26" t="n">
        <f aca="false">_xlfn.MINIFS(Transaction!$C$2:$C$8421,Transaction!$B$2:$B$8421,A1714)</f>
        <v>46048</v>
      </c>
      <c r="J1714" s="26" t="n">
        <f aca="false">_xlfn.MAXIFS(Transaction!$C$2:$C$8421,Transaction!$B$2:$B$8421,A1714)</f>
        <v>46252</v>
      </c>
      <c r="K1714" s="6" t="n">
        <f aca="false">COUNTIF(Transaction!$B$2:$B$8421,A1714)</f>
        <v>8</v>
      </c>
      <c r="L1714" s="10" t="n">
        <f aca="false">SUMIF(Transaction!$B$2:$B$8421,A1714,Transaction!$H$2:$H$8421)</f>
        <v>15317</v>
      </c>
      <c r="M1714" s="6" t="n">
        <f aca="false">Summary!$B$3-J1714</f>
        <v>14</v>
      </c>
      <c r="N1714" s="6" t="str">
        <f aca="false">IF(K1714&gt;1,"Yes","No")</f>
        <v>Yes</v>
      </c>
      <c r="O1714" s="6" t="s">
        <v>45</v>
      </c>
    </row>
    <row r="1715" customFormat="false" ht="15" hidden="false" customHeight="false" outlineLevel="0" collapsed="false">
      <c r="A1715" s="6" t="s">
        <v>3539</v>
      </c>
      <c r="B1715" s="6" t="s">
        <v>3540</v>
      </c>
      <c r="C1715" s="6" t="s">
        <v>85</v>
      </c>
      <c r="D1715" s="6" t="n">
        <v>22</v>
      </c>
      <c r="E1715" s="6" t="s">
        <v>91</v>
      </c>
      <c r="F1715" s="6" t="s">
        <v>77</v>
      </c>
      <c r="G1715" s="26" t="n">
        <v>46017</v>
      </c>
      <c r="H1715" s="6" t="s">
        <v>115</v>
      </c>
      <c r="I1715" s="26" t="n">
        <f aca="false">_xlfn.MINIFS(Transaction!$C$2:$C$8421,Transaction!$B$2:$B$8421,A1715)</f>
        <v>46068</v>
      </c>
      <c r="J1715" s="26" t="n">
        <f aca="false">_xlfn.MAXIFS(Transaction!$C$2:$C$8421,Transaction!$B$2:$B$8421,A1715)</f>
        <v>46251</v>
      </c>
      <c r="K1715" s="6" t="n">
        <f aca="false">COUNTIF(Transaction!$B$2:$B$8421,A1715)</f>
        <v>11</v>
      </c>
      <c r="L1715" s="10" t="n">
        <f aca="false">SUMIF(Transaction!$B$2:$B$8421,A1715,Transaction!$H$2:$H$8421)</f>
        <v>22671</v>
      </c>
      <c r="M1715" s="6" t="n">
        <f aca="false">Summary!$B$3-J1715</f>
        <v>15</v>
      </c>
      <c r="N1715" s="6" t="str">
        <f aca="false">IF(K1715&gt;1,"Yes","No")</f>
        <v>Yes</v>
      </c>
      <c r="O1715" s="6" t="s">
        <v>45</v>
      </c>
    </row>
    <row r="1716" customFormat="false" ht="15" hidden="false" customHeight="false" outlineLevel="0" collapsed="false">
      <c r="A1716" s="6" t="s">
        <v>3541</v>
      </c>
      <c r="B1716" s="6" t="s">
        <v>3542</v>
      </c>
      <c r="C1716" s="6" t="s">
        <v>85</v>
      </c>
      <c r="D1716" s="6" t="n">
        <v>44</v>
      </c>
      <c r="E1716" s="6" t="s">
        <v>176</v>
      </c>
      <c r="F1716" s="6" t="s">
        <v>177</v>
      </c>
      <c r="G1716" s="26" t="n">
        <v>46043</v>
      </c>
      <c r="H1716" s="6" t="s">
        <v>88</v>
      </c>
      <c r="I1716" s="26" t="n">
        <f aca="false">_xlfn.MINIFS(Transaction!$C$2:$C$8421,Transaction!$B$2:$B$8421,A1716)</f>
        <v>46052</v>
      </c>
      <c r="J1716" s="26" t="n">
        <f aca="false">_xlfn.MAXIFS(Transaction!$C$2:$C$8421,Transaction!$B$2:$B$8421,A1716)</f>
        <v>46052</v>
      </c>
      <c r="K1716" s="6" t="n">
        <f aca="false">COUNTIF(Transaction!$B$2:$B$8421,A1716)</f>
        <v>1</v>
      </c>
      <c r="L1716" s="10" t="n">
        <f aca="false">SUMIF(Transaction!$B$2:$B$8421,A1716,Transaction!$H$2:$H$8421)</f>
        <v>2349</v>
      </c>
      <c r="M1716" s="6" t="n">
        <f aca="false">Summary!$B$3-J1716</f>
        <v>214</v>
      </c>
      <c r="N1716" s="6" t="str">
        <f aca="false">IF(K1716&gt;1,"Yes","No")</f>
        <v>No</v>
      </c>
      <c r="O1716" s="6" t="s">
        <v>49</v>
      </c>
    </row>
    <row r="1717" customFormat="false" ht="15" hidden="false" customHeight="false" outlineLevel="0" collapsed="false">
      <c r="A1717" s="6" t="s">
        <v>3543</v>
      </c>
      <c r="B1717" s="6" t="s">
        <v>3544</v>
      </c>
      <c r="C1717" s="6" t="s">
        <v>75</v>
      </c>
      <c r="D1717" s="6" t="n">
        <v>36</v>
      </c>
      <c r="E1717" s="6" t="s">
        <v>76</v>
      </c>
      <c r="F1717" s="6" t="s">
        <v>77</v>
      </c>
      <c r="G1717" s="26" t="n">
        <v>46022</v>
      </c>
      <c r="H1717" s="6" t="s">
        <v>115</v>
      </c>
      <c r="I1717" s="26" t="n">
        <f aca="false">_xlfn.MINIFS(Transaction!$C$2:$C$8421,Transaction!$B$2:$B$8421,A1717)</f>
        <v>46026</v>
      </c>
      <c r="J1717" s="26" t="n">
        <f aca="false">_xlfn.MAXIFS(Transaction!$C$2:$C$8421,Transaction!$B$2:$B$8421,A1717)</f>
        <v>46174</v>
      </c>
      <c r="K1717" s="6" t="n">
        <f aca="false">COUNTIF(Transaction!$B$2:$B$8421,A1717)</f>
        <v>5</v>
      </c>
      <c r="L1717" s="10" t="n">
        <f aca="false">SUMIF(Transaction!$B$2:$B$8421,A1717,Transaction!$H$2:$H$8421)</f>
        <v>11121</v>
      </c>
      <c r="M1717" s="6" t="n">
        <f aca="false">Summary!$B$3-J1717</f>
        <v>92</v>
      </c>
      <c r="N1717" s="6" t="str">
        <f aca="false">IF(K1717&gt;1,"Yes","No")</f>
        <v>Yes</v>
      </c>
      <c r="O1717" s="6" t="s">
        <v>46</v>
      </c>
    </row>
    <row r="1718" customFormat="false" ht="15" hidden="false" customHeight="false" outlineLevel="0" collapsed="false">
      <c r="A1718" s="6" t="s">
        <v>3545</v>
      </c>
      <c r="B1718" s="6" t="s">
        <v>3546</v>
      </c>
      <c r="C1718" s="6" t="s">
        <v>85</v>
      </c>
      <c r="D1718" s="6" t="n">
        <v>18</v>
      </c>
      <c r="E1718" s="6" t="s">
        <v>91</v>
      </c>
      <c r="F1718" s="6" t="s">
        <v>77</v>
      </c>
      <c r="G1718" s="26" t="n">
        <v>46180</v>
      </c>
      <c r="H1718" s="6" t="s">
        <v>78</v>
      </c>
      <c r="I1718" s="26" t="n">
        <f aca="false">_xlfn.MINIFS(Transaction!$C$2:$C$8421,Transaction!$B$2:$B$8421,A1718)</f>
        <v>46183</v>
      </c>
      <c r="J1718" s="26" t="n">
        <f aca="false">_xlfn.MAXIFS(Transaction!$C$2:$C$8421,Transaction!$B$2:$B$8421,A1718)</f>
        <v>46183</v>
      </c>
      <c r="K1718" s="6" t="n">
        <f aca="false">COUNTIF(Transaction!$B$2:$B$8421,A1718)</f>
        <v>1</v>
      </c>
      <c r="L1718" s="10" t="n">
        <f aca="false">SUMIF(Transaction!$B$2:$B$8421,A1718,Transaction!$H$2:$H$8421)</f>
        <v>774</v>
      </c>
      <c r="M1718" s="6" t="n">
        <f aca="false">Summary!$B$3-J1718</f>
        <v>83</v>
      </c>
      <c r="N1718" s="6" t="str">
        <f aca="false">IF(K1718&gt;1,"Yes","No")</f>
        <v>No</v>
      </c>
      <c r="O1718" s="6" t="s">
        <v>47</v>
      </c>
    </row>
    <row r="1719" customFormat="false" ht="15" hidden="false" customHeight="false" outlineLevel="0" collapsed="false">
      <c r="A1719" s="6" t="s">
        <v>3547</v>
      </c>
      <c r="B1719" s="6" t="s">
        <v>3548</v>
      </c>
      <c r="C1719" s="6" t="s">
        <v>75</v>
      </c>
      <c r="D1719" s="6" t="n">
        <v>38</v>
      </c>
      <c r="E1719" s="6" t="s">
        <v>95</v>
      </c>
      <c r="F1719" s="6" t="s">
        <v>95</v>
      </c>
      <c r="G1719" s="26" t="n">
        <v>46083</v>
      </c>
      <c r="H1719" s="6" t="s">
        <v>78</v>
      </c>
      <c r="I1719" s="26" t="n">
        <f aca="false">_xlfn.MINIFS(Transaction!$C$2:$C$8421,Transaction!$B$2:$B$8421,A1719)</f>
        <v>46110</v>
      </c>
      <c r="J1719" s="26" t="n">
        <f aca="false">_xlfn.MAXIFS(Transaction!$C$2:$C$8421,Transaction!$B$2:$B$8421,A1719)</f>
        <v>46110</v>
      </c>
      <c r="K1719" s="6" t="n">
        <f aca="false">COUNTIF(Transaction!$B$2:$B$8421,A1719)</f>
        <v>1</v>
      </c>
      <c r="L1719" s="10" t="n">
        <f aca="false">SUMIF(Transaction!$B$2:$B$8421,A1719,Transaction!$H$2:$H$8421)</f>
        <v>7644</v>
      </c>
      <c r="M1719" s="6" t="n">
        <f aca="false">Summary!$B$3-J1719</f>
        <v>156</v>
      </c>
      <c r="N1719" s="6" t="str">
        <f aca="false">IF(K1719&gt;1,"Yes","No")</f>
        <v>No</v>
      </c>
      <c r="O1719" s="6" t="s">
        <v>49</v>
      </c>
    </row>
    <row r="1720" customFormat="false" ht="15" hidden="false" customHeight="false" outlineLevel="0" collapsed="false">
      <c r="A1720" s="6" t="s">
        <v>3549</v>
      </c>
      <c r="B1720" s="6" t="s">
        <v>3550</v>
      </c>
      <c r="C1720" s="6" t="s">
        <v>85</v>
      </c>
      <c r="D1720" s="6" t="n">
        <v>46</v>
      </c>
      <c r="E1720" s="6" t="s">
        <v>176</v>
      </c>
      <c r="F1720" s="6" t="s">
        <v>177</v>
      </c>
      <c r="G1720" s="26" t="n">
        <v>46182</v>
      </c>
      <c r="H1720" s="6" t="s">
        <v>78</v>
      </c>
      <c r="I1720" s="26" t="n">
        <f aca="false">_xlfn.MINIFS(Transaction!$C$2:$C$8421,Transaction!$B$2:$B$8421,A1720)</f>
        <v>46186</v>
      </c>
      <c r="J1720" s="26" t="n">
        <f aca="false">_xlfn.MAXIFS(Transaction!$C$2:$C$8421,Transaction!$B$2:$B$8421,A1720)</f>
        <v>46186</v>
      </c>
      <c r="K1720" s="6" t="n">
        <f aca="false">COUNTIF(Transaction!$B$2:$B$8421,A1720)</f>
        <v>1</v>
      </c>
      <c r="L1720" s="10" t="n">
        <f aca="false">SUMIF(Transaction!$B$2:$B$8421,A1720,Transaction!$H$2:$H$8421)</f>
        <v>1529</v>
      </c>
      <c r="M1720" s="6" t="n">
        <f aca="false">Summary!$B$3-J1720</f>
        <v>80</v>
      </c>
      <c r="N1720" s="6" t="str">
        <f aca="false">IF(K1720&gt;1,"Yes","No")</f>
        <v>No</v>
      </c>
      <c r="O1720" s="6" t="s">
        <v>47</v>
      </c>
    </row>
    <row r="1721" customFormat="false" ht="15" hidden="false" customHeight="false" outlineLevel="0" collapsed="false">
      <c r="A1721" s="6" t="s">
        <v>3551</v>
      </c>
      <c r="B1721" s="6" t="s">
        <v>3552</v>
      </c>
      <c r="C1721" s="6" t="s">
        <v>85</v>
      </c>
      <c r="D1721" s="6" t="n">
        <v>35</v>
      </c>
      <c r="E1721" s="6" t="s">
        <v>76</v>
      </c>
      <c r="F1721" s="6" t="s">
        <v>77</v>
      </c>
      <c r="G1721" s="26" t="n">
        <v>46143</v>
      </c>
      <c r="H1721" s="6" t="s">
        <v>123</v>
      </c>
      <c r="I1721" s="26" t="n">
        <f aca="false">_xlfn.MINIFS(Transaction!$C$2:$C$8421,Transaction!$B$2:$B$8421,A1721)</f>
        <v>46182</v>
      </c>
      <c r="J1721" s="26" t="n">
        <f aca="false">_xlfn.MAXIFS(Transaction!$C$2:$C$8421,Transaction!$B$2:$B$8421,A1721)</f>
        <v>46182</v>
      </c>
      <c r="K1721" s="6" t="n">
        <f aca="false">COUNTIF(Transaction!$B$2:$B$8421,A1721)</f>
        <v>1</v>
      </c>
      <c r="L1721" s="10" t="n">
        <f aca="false">SUMIF(Transaction!$B$2:$B$8421,A1721,Transaction!$H$2:$H$8421)</f>
        <v>2161</v>
      </c>
      <c r="M1721" s="6" t="n">
        <f aca="false">Summary!$B$3-J1721</f>
        <v>84</v>
      </c>
      <c r="N1721" s="6" t="str">
        <f aca="false">IF(K1721&gt;1,"Yes","No")</f>
        <v>No</v>
      </c>
      <c r="O1721" s="6" t="s">
        <v>47</v>
      </c>
    </row>
    <row r="1722" customFormat="false" ht="15" hidden="false" customHeight="false" outlineLevel="0" collapsed="false">
      <c r="A1722" s="6" t="s">
        <v>3553</v>
      </c>
      <c r="B1722" s="6" t="s">
        <v>3554</v>
      </c>
      <c r="C1722" s="6" t="s">
        <v>75</v>
      </c>
      <c r="D1722" s="6" t="n">
        <v>30</v>
      </c>
      <c r="E1722" s="6" t="s">
        <v>105</v>
      </c>
      <c r="F1722" s="6" t="s">
        <v>106</v>
      </c>
      <c r="G1722" s="26" t="n">
        <v>46156</v>
      </c>
      <c r="H1722" s="6" t="s">
        <v>123</v>
      </c>
      <c r="I1722" s="26" t="n">
        <f aca="false">_xlfn.MINIFS(Transaction!$C$2:$C$8421,Transaction!$B$2:$B$8421,A1722)</f>
        <v>46221</v>
      </c>
      <c r="J1722" s="26" t="n">
        <f aca="false">_xlfn.MAXIFS(Transaction!$C$2:$C$8421,Transaction!$B$2:$B$8421,A1722)</f>
        <v>46221</v>
      </c>
      <c r="K1722" s="6" t="n">
        <f aca="false">COUNTIF(Transaction!$B$2:$B$8421,A1722)</f>
        <v>1</v>
      </c>
      <c r="L1722" s="10" t="n">
        <f aca="false">SUMIF(Transaction!$B$2:$B$8421,A1722,Transaction!$H$2:$H$8421)</f>
        <v>4078</v>
      </c>
      <c r="M1722" s="6" t="n">
        <f aca="false">Summary!$B$3-J1722</f>
        <v>45</v>
      </c>
      <c r="N1722" s="6" t="str">
        <f aca="false">IF(K1722&gt;1,"Yes","No")</f>
        <v>No</v>
      </c>
      <c r="O1722" s="6" t="s">
        <v>47</v>
      </c>
    </row>
    <row r="1723" customFormat="false" ht="15" hidden="false" customHeight="false" outlineLevel="0" collapsed="false">
      <c r="A1723" s="6" t="s">
        <v>3555</v>
      </c>
      <c r="B1723" s="6" t="s">
        <v>3556</v>
      </c>
      <c r="C1723" s="6" t="s">
        <v>85</v>
      </c>
      <c r="D1723" s="6" t="n">
        <v>35</v>
      </c>
      <c r="E1723" s="6" t="s">
        <v>126</v>
      </c>
      <c r="F1723" s="6" t="s">
        <v>127</v>
      </c>
      <c r="G1723" s="26" t="n">
        <v>46070</v>
      </c>
      <c r="H1723" s="6" t="s">
        <v>92</v>
      </c>
      <c r="I1723" s="26" t="n">
        <f aca="false">_xlfn.MINIFS(Transaction!$C$2:$C$8421,Transaction!$B$2:$B$8421,A1723)</f>
        <v>46081</v>
      </c>
      <c r="J1723" s="26" t="n">
        <f aca="false">_xlfn.MAXIFS(Transaction!$C$2:$C$8421,Transaction!$B$2:$B$8421,A1723)</f>
        <v>46081</v>
      </c>
      <c r="K1723" s="6" t="n">
        <f aca="false">COUNTIF(Transaction!$B$2:$B$8421,A1723)</f>
        <v>1</v>
      </c>
      <c r="L1723" s="10" t="n">
        <f aca="false">SUMIF(Transaction!$B$2:$B$8421,A1723,Transaction!$H$2:$H$8421)</f>
        <v>508</v>
      </c>
      <c r="M1723" s="6" t="n">
        <f aca="false">Summary!$B$3-J1723</f>
        <v>185</v>
      </c>
      <c r="N1723" s="6" t="str">
        <f aca="false">IF(K1723&gt;1,"Yes","No")</f>
        <v>No</v>
      </c>
      <c r="O1723" s="6" t="s">
        <v>49</v>
      </c>
    </row>
    <row r="1724" customFormat="false" ht="15" hidden="false" customHeight="false" outlineLevel="0" collapsed="false">
      <c r="A1724" s="6" t="s">
        <v>3557</v>
      </c>
      <c r="B1724" s="6" t="s">
        <v>3558</v>
      </c>
      <c r="C1724" s="6" t="s">
        <v>85</v>
      </c>
      <c r="D1724" s="6" t="n">
        <v>33</v>
      </c>
      <c r="E1724" s="6" t="s">
        <v>76</v>
      </c>
      <c r="F1724" s="6" t="s">
        <v>77</v>
      </c>
      <c r="G1724" s="26" t="n">
        <v>46034</v>
      </c>
      <c r="H1724" s="6" t="s">
        <v>115</v>
      </c>
      <c r="I1724" s="26" t="n">
        <f aca="false">_xlfn.MINIFS(Transaction!$C$2:$C$8421,Transaction!$B$2:$B$8421,A1724)</f>
        <v>46061</v>
      </c>
      <c r="J1724" s="26" t="n">
        <f aca="false">_xlfn.MAXIFS(Transaction!$C$2:$C$8421,Transaction!$B$2:$B$8421,A1724)</f>
        <v>46221</v>
      </c>
      <c r="K1724" s="6" t="n">
        <f aca="false">COUNTIF(Transaction!$B$2:$B$8421,A1724)</f>
        <v>6</v>
      </c>
      <c r="L1724" s="10" t="n">
        <f aca="false">SUMIF(Transaction!$B$2:$B$8421,A1724,Transaction!$H$2:$H$8421)</f>
        <v>14973</v>
      </c>
      <c r="M1724" s="6" t="n">
        <f aca="false">Summary!$B$3-J1724</f>
        <v>45</v>
      </c>
      <c r="N1724" s="6" t="str">
        <f aca="false">IF(K1724&gt;1,"Yes","No")</f>
        <v>Yes</v>
      </c>
      <c r="O1724" s="6" t="s">
        <v>46</v>
      </c>
    </row>
    <row r="1725" customFormat="false" ht="15" hidden="false" customHeight="false" outlineLevel="0" collapsed="false">
      <c r="A1725" s="6" t="s">
        <v>3559</v>
      </c>
      <c r="B1725" s="6" t="s">
        <v>3560</v>
      </c>
      <c r="C1725" s="6" t="s">
        <v>85</v>
      </c>
      <c r="D1725" s="6" t="n">
        <v>32</v>
      </c>
      <c r="E1725" s="6" t="s">
        <v>76</v>
      </c>
      <c r="F1725" s="6" t="s">
        <v>77</v>
      </c>
      <c r="G1725" s="26" t="n">
        <v>46078</v>
      </c>
      <c r="H1725" s="6" t="s">
        <v>78</v>
      </c>
      <c r="I1725" s="26" t="n">
        <f aca="false">_xlfn.MINIFS(Transaction!$C$2:$C$8421,Transaction!$B$2:$B$8421,A1725)</f>
        <v>46110</v>
      </c>
      <c r="J1725" s="26" t="n">
        <f aca="false">_xlfn.MAXIFS(Transaction!$C$2:$C$8421,Transaction!$B$2:$B$8421,A1725)</f>
        <v>46110</v>
      </c>
      <c r="K1725" s="6" t="n">
        <f aca="false">COUNTIF(Transaction!$B$2:$B$8421,A1725)</f>
        <v>1</v>
      </c>
      <c r="L1725" s="10" t="n">
        <f aca="false">SUMIF(Transaction!$B$2:$B$8421,A1725,Transaction!$H$2:$H$8421)</f>
        <v>880</v>
      </c>
      <c r="M1725" s="6" t="n">
        <f aca="false">Summary!$B$3-J1725</f>
        <v>156</v>
      </c>
      <c r="N1725" s="6" t="str">
        <f aca="false">IF(K1725&gt;1,"Yes","No")</f>
        <v>No</v>
      </c>
      <c r="O1725" s="6" t="s">
        <v>49</v>
      </c>
    </row>
    <row r="1726" customFormat="false" ht="15" hidden="false" customHeight="false" outlineLevel="0" collapsed="false">
      <c r="A1726" s="6" t="s">
        <v>3561</v>
      </c>
      <c r="B1726" s="6" t="s">
        <v>3562</v>
      </c>
      <c r="C1726" s="6" t="s">
        <v>75</v>
      </c>
      <c r="D1726" s="6" t="n">
        <v>51</v>
      </c>
      <c r="E1726" s="6" t="s">
        <v>176</v>
      </c>
      <c r="F1726" s="6" t="s">
        <v>177</v>
      </c>
      <c r="G1726" s="26" t="n">
        <v>46188</v>
      </c>
      <c r="H1726" s="6" t="s">
        <v>123</v>
      </c>
      <c r="I1726" s="26" t="n">
        <f aca="false">_xlfn.MINIFS(Transaction!$C$2:$C$8421,Transaction!$B$2:$B$8421,A1726)</f>
        <v>46261</v>
      </c>
      <c r="J1726" s="26" t="n">
        <f aca="false">_xlfn.MAXIFS(Transaction!$C$2:$C$8421,Transaction!$B$2:$B$8421,A1726)</f>
        <v>46261</v>
      </c>
      <c r="K1726" s="6" t="n">
        <f aca="false">COUNTIF(Transaction!$B$2:$B$8421,A1726)</f>
        <v>1</v>
      </c>
      <c r="L1726" s="10" t="n">
        <f aca="false">SUMIF(Transaction!$B$2:$B$8421,A1726,Transaction!$H$2:$H$8421)</f>
        <v>1065</v>
      </c>
      <c r="M1726" s="6" t="n">
        <f aca="false">Summary!$B$3-J1726</f>
        <v>5</v>
      </c>
      <c r="N1726" s="6" t="str">
        <f aca="false">IF(K1726&gt;1,"Yes","No")</f>
        <v>No</v>
      </c>
      <c r="O1726" s="6" t="s">
        <v>47</v>
      </c>
    </row>
    <row r="1727" customFormat="false" ht="15" hidden="false" customHeight="false" outlineLevel="0" collapsed="false">
      <c r="A1727" s="6" t="s">
        <v>3563</v>
      </c>
      <c r="B1727" s="6" t="s">
        <v>3564</v>
      </c>
      <c r="C1727" s="6" t="s">
        <v>85</v>
      </c>
      <c r="D1727" s="6" t="n">
        <v>30</v>
      </c>
      <c r="E1727" s="6" t="s">
        <v>95</v>
      </c>
      <c r="F1727" s="6" t="s">
        <v>95</v>
      </c>
      <c r="G1727" s="26" t="n">
        <v>45981</v>
      </c>
      <c r="H1727" s="6" t="s">
        <v>115</v>
      </c>
      <c r="I1727" s="26" t="n">
        <f aca="false">_xlfn.MINIFS(Transaction!$C$2:$C$8421,Transaction!$B$2:$B$8421,A1727)</f>
        <v>46031</v>
      </c>
      <c r="J1727" s="26" t="n">
        <f aca="false">_xlfn.MAXIFS(Transaction!$C$2:$C$8421,Transaction!$B$2:$B$8421,A1727)</f>
        <v>46230</v>
      </c>
      <c r="K1727" s="6" t="n">
        <f aca="false">COUNTIF(Transaction!$B$2:$B$8421,A1727)</f>
        <v>5</v>
      </c>
      <c r="L1727" s="10" t="n">
        <f aca="false">SUMIF(Transaction!$B$2:$B$8421,A1727,Transaction!$H$2:$H$8421)</f>
        <v>7419</v>
      </c>
      <c r="M1727" s="6" t="n">
        <f aca="false">Summary!$B$3-J1727</f>
        <v>36</v>
      </c>
      <c r="N1727" s="6" t="str">
        <f aca="false">IF(K1727&gt;1,"Yes","No")</f>
        <v>Yes</v>
      </c>
      <c r="O1727" s="6" t="s">
        <v>46</v>
      </c>
    </row>
    <row r="1728" customFormat="false" ht="15" hidden="false" customHeight="false" outlineLevel="0" collapsed="false">
      <c r="A1728" s="6" t="s">
        <v>3565</v>
      </c>
      <c r="B1728" s="6" t="s">
        <v>3566</v>
      </c>
      <c r="C1728" s="6" t="s">
        <v>75</v>
      </c>
      <c r="D1728" s="6" t="n">
        <v>54</v>
      </c>
      <c r="E1728" s="6" t="s">
        <v>81</v>
      </c>
      <c r="F1728" s="6" t="s">
        <v>82</v>
      </c>
      <c r="G1728" s="26" t="n">
        <v>46111</v>
      </c>
      <c r="H1728" s="6" t="s">
        <v>102</v>
      </c>
      <c r="I1728" s="26" t="n">
        <f aca="false">_xlfn.MINIFS(Transaction!$C$2:$C$8421,Transaction!$B$2:$B$8421,A1728)</f>
        <v>46168</v>
      </c>
      <c r="J1728" s="26" t="n">
        <f aca="false">_xlfn.MAXIFS(Transaction!$C$2:$C$8421,Transaction!$B$2:$B$8421,A1728)</f>
        <v>46168</v>
      </c>
      <c r="K1728" s="6" t="n">
        <f aca="false">COUNTIF(Transaction!$B$2:$B$8421,A1728)</f>
        <v>1</v>
      </c>
      <c r="L1728" s="10" t="n">
        <f aca="false">SUMIF(Transaction!$B$2:$B$8421,A1728,Transaction!$H$2:$H$8421)</f>
        <v>977</v>
      </c>
      <c r="M1728" s="6" t="n">
        <f aca="false">Summary!$B$3-J1728</f>
        <v>98</v>
      </c>
      <c r="N1728" s="6" t="str">
        <f aca="false">IF(K1728&gt;1,"Yes","No")</f>
        <v>No</v>
      </c>
      <c r="O1728" s="6" t="s">
        <v>48</v>
      </c>
    </row>
    <row r="1729" customFormat="false" ht="15" hidden="false" customHeight="false" outlineLevel="0" collapsed="false">
      <c r="A1729" s="6" t="s">
        <v>3567</v>
      </c>
      <c r="B1729" s="6" t="s">
        <v>3568</v>
      </c>
      <c r="C1729" s="6" t="s">
        <v>85</v>
      </c>
      <c r="D1729" s="6" t="n">
        <v>23</v>
      </c>
      <c r="E1729" s="6" t="s">
        <v>81</v>
      </c>
      <c r="F1729" s="6" t="s">
        <v>82</v>
      </c>
      <c r="G1729" s="26" t="n">
        <v>46222</v>
      </c>
      <c r="H1729" s="6" t="s">
        <v>88</v>
      </c>
      <c r="I1729" s="26" t="n">
        <f aca="false">_xlfn.MINIFS(Transaction!$C$2:$C$8421,Transaction!$B$2:$B$8421,A1729)</f>
        <v>46242</v>
      </c>
      <c r="J1729" s="26" t="n">
        <f aca="false">_xlfn.MAXIFS(Transaction!$C$2:$C$8421,Transaction!$B$2:$B$8421,A1729)</f>
        <v>46242</v>
      </c>
      <c r="K1729" s="6" t="n">
        <f aca="false">COUNTIF(Transaction!$B$2:$B$8421,A1729)</f>
        <v>1</v>
      </c>
      <c r="L1729" s="10" t="n">
        <f aca="false">SUMIF(Transaction!$B$2:$B$8421,A1729,Transaction!$H$2:$H$8421)</f>
        <v>1466</v>
      </c>
      <c r="M1729" s="6" t="n">
        <f aca="false">Summary!$B$3-J1729</f>
        <v>24</v>
      </c>
      <c r="N1729" s="6" t="str">
        <f aca="false">IF(K1729&gt;1,"Yes","No")</f>
        <v>No</v>
      </c>
      <c r="O1729" s="6" t="s">
        <v>47</v>
      </c>
    </row>
    <row r="1730" customFormat="false" ht="15" hidden="false" customHeight="false" outlineLevel="0" collapsed="false">
      <c r="A1730" s="6" t="s">
        <v>3569</v>
      </c>
      <c r="B1730" s="6" t="s">
        <v>3570</v>
      </c>
      <c r="C1730" s="6" t="s">
        <v>75</v>
      </c>
      <c r="D1730" s="6" t="n">
        <v>23</v>
      </c>
      <c r="E1730" s="6" t="s">
        <v>76</v>
      </c>
      <c r="F1730" s="6" t="s">
        <v>77</v>
      </c>
      <c r="G1730" s="26" t="n">
        <v>45968</v>
      </c>
      <c r="H1730" s="6" t="s">
        <v>102</v>
      </c>
      <c r="I1730" s="26" t="n">
        <f aca="false">_xlfn.MINIFS(Transaction!$C$2:$C$8421,Transaction!$B$2:$B$8421,A1730)</f>
        <v>46030</v>
      </c>
      <c r="J1730" s="26" t="n">
        <f aca="false">_xlfn.MAXIFS(Transaction!$C$2:$C$8421,Transaction!$B$2:$B$8421,A1730)</f>
        <v>46030</v>
      </c>
      <c r="K1730" s="6" t="n">
        <f aca="false">COUNTIF(Transaction!$B$2:$B$8421,A1730)</f>
        <v>1</v>
      </c>
      <c r="L1730" s="10" t="n">
        <f aca="false">SUMIF(Transaction!$B$2:$B$8421,A1730,Transaction!$H$2:$H$8421)</f>
        <v>2248</v>
      </c>
      <c r="M1730" s="6" t="n">
        <f aca="false">Summary!$B$3-J1730</f>
        <v>236</v>
      </c>
      <c r="N1730" s="6" t="str">
        <f aca="false">IF(K1730&gt;1,"Yes","No")</f>
        <v>No</v>
      </c>
      <c r="O1730" s="6" t="s">
        <v>49</v>
      </c>
    </row>
    <row r="1731" customFormat="false" ht="15" hidden="false" customHeight="false" outlineLevel="0" collapsed="false">
      <c r="A1731" s="6" t="s">
        <v>3571</v>
      </c>
      <c r="B1731" s="6" t="s">
        <v>3572</v>
      </c>
      <c r="C1731" s="6" t="s">
        <v>85</v>
      </c>
      <c r="D1731" s="6" t="n">
        <v>44</v>
      </c>
      <c r="E1731" s="6" t="s">
        <v>321</v>
      </c>
      <c r="F1731" s="6" t="s">
        <v>321</v>
      </c>
      <c r="G1731" s="26" t="n">
        <v>45994</v>
      </c>
      <c r="H1731" s="6" t="s">
        <v>115</v>
      </c>
      <c r="I1731" s="26" t="n">
        <f aca="false">_xlfn.MINIFS(Transaction!$C$2:$C$8421,Transaction!$B$2:$B$8421,A1731)</f>
        <v>46062</v>
      </c>
      <c r="J1731" s="26" t="n">
        <f aca="false">_xlfn.MAXIFS(Transaction!$C$2:$C$8421,Transaction!$B$2:$B$8421,A1731)</f>
        <v>46259</v>
      </c>
      <c r="K1731" s="6" t="n">
        <f aca="false">COUNTIF(Transaction!$B$2:$B$8421,A1731)</f>
        <v>6</v>
      </c>
      <c r="L1731" s="10" t="n">
        <f aca="false">SUMIF(Transaction!$B$2:$B$8421,A1731,Transaction!$H$2:$H$8421)</f>
        <v>6382</v>
      </c>
      <c r="M1731" s="6" t="n">
        <f aca="false">Summary!$B$3-J1731</f>
        <v>7</v>
      </c>
      <c r="N1731" s="6" t="str">
        <f aca="false">IF(K1731&gt;1,"Yes","No")</f>
        <v>Yes</v>
      </c>
      <c r="O1731" s="6" t="s">
        <v>46</v>
      </c>
    </row>
    <row r="1732" customFormat="false" ht="15" hidden="false" customHeight="false" outlineLevel="0" collapsed="false">
      <c r="A1732" s="6" t="s">
        <v>3573</v>
      </c>
      <c r="B1732" s="6" t="s">
        <v>3574</v>
      </c>
      <c r="C1732" s="6" t="s">
        <v>85</v>
      </c>
      <c r="D1732" s="6" t="n">
        <v>28</v>
      </c>
      <c r="E1732" s="6" t="s">
        <v>321</v>
      </c>
      <c r="F1732" s="6" t="s">
        <v>321</v>
      </c>
      <c r="G1732" s="26" t="n">
        <v>46103</v>
      </c>
      <c r="H1732" s="6" t="s">
        <v>78</v>
      </c>
      <c r="I1732" s="26" t="n">
        <f aca="false">_xlfn.MINIFS(Transaction!$C$2:$C$8421,Transaction!$B$2:$B$8421,A1732)</f>
        <v>46180</v>
      </c>
      <c r="J1732" s="26" t="n">
        <f aca="false">_xlfn.MAXIFS(Transaction!$C$2:$C$8421,Transaction!$B$2:$B$8421,A1732)</f>
        <v>46180</v>
      </c>
      <c r="K1732" s="6" t="n">
        <f aca="false">COUNTIF(Transaction!$B$2:$B$8421,A1732)</f>
        <v>1</v>
      </c>
      <c r="L1732" s="10" t="n">
        <f aca="false">SUMIF(Transaction!$B$2:$B$8421,A1732,Transaction!$H$2:$H$8421)</f>
        <v>4752</v>
      </c>
      <c r="M1732" s="6" t="n">
        <f aca="false">Summary!$B$3-J1732</f>
        <v>86</v>
      </c>
      <c r="N1732" s="6" t="str">
        <f aca="false">IF(K1732&gt;1,"Yes","No")</f>
        <v>No</v>
      </c>
      <c r="O1732" s="6" t="s">
        <v>47</v>
      </c>
    </row>
    <row r="1733" customFormat="false" ht="15" hidden="false" customHeight="false" outlineLevel="0" collapsed="false">
      <c r="A1733" s="6" t="s">
        <v>3575</v>
      </c>
      <c r="B1733" s="6" t="s">
        <v>3576</v>
      </c>
      <c r="C1733" s="6" t="s">
        <v>85</v>
      </c>
      <c r="D1733" s="6" t="n">
        <v>48</v>
      </c>
      <c r="E1733" s="6" t="s">
        <v>91</v>
      </c>
      <c r="F1733" s="6" t="s">
        <v>77</v>
      </c>
      <c r="G1733" s="26" t="n">
        <v>46151</v>
      </c>
      <c r="H1733" s="6" t="s">
        <v>115</v>
      </c>
      <c r="I1733" s="26" t="n">
        <f aca="false">_xlfn.MINIFS(Transaction!$C$2:$C$8421,Transaction!$B$2:$B$8421,A1733)</f>
        <v>46206</v>
      </c>
      <c r="J1733" s="26" t="n">
        <f aca="false">_xlfn.MAXIFS(Transaction!$C$2:$C$8421,Transaction!$B$2:$B$8421,A1733)</f>
        <v>46206</v>
      </c>
      <c r="K1733" s="6" t="n">
        <f aca="false">COUNTIF(Transaction!$B$2:$B$8421,A1733)</f>
        <v>1</v>
      </c>
      <c r="L1733" s="10" t="n">
        <f aca="false">SUMIF(Transaction!$B$2:$B$8421,A1733,Transaction!$H$2:$H$8421)</f>
        <v>559</v>
      </c>
      <c r="M1733" s="6" t="n">
        <f aca="false">Summary!$B$3-J1733</f>
        <v>60</v>
      </c>
      <c r="N1733" s="6" t="str">
        <f aca="false">IF(K1733&gt;1,"Yes","No")</f>
        <v>No</v>
      </c>
      <c r="O1733" s="6" t="s">
        <v>47</v>
      </c>
    </row>
    <row r="1734" customFormat="false" ht="15" hidden="false" customHeight="false" outlineLevel="0" collapsed="false">
      <c r="A1734" s="6" t="s">
        <v>3577</v>
      </c>
      <c r="B1734" s="6" t="s">
        <v>3578</v>
      </c>
      <c r="C1734" s="6" t="s">
        <v>75</v>
      </c>
      <c r="D1734" s="6" t="n">
        <v>30</v>
      </c>
      <c r="E1734" s="6" t="s">
        <v>81</v>
      </c>
      <c r="F1734" s="6" t="s">
        <v>82</v>
      </c>
      <c r="G1734" s="26" t="n">
        <v>46013</v>
      </c>
      <c r="H1734" s="6" t="s">
        <v>92</v>
      </c>
      <c r="I1734" s="26" t="n">
        <f aca="false">_xlfn.MINIFS(Transaction!$C$2:$C$8421,Transaction!$B$2:$B$8421,A1734)</f>
        <v>46087</v>
      </c>
      <c r="J1734" s="26" t="n">
        <f aca="false">_xlfn.MAXIFS(Transaction!$C$2:$C$8421,Transaction!$B$2:$B$8421,A1734)</f>
        <v>46087</v>
      </c>
      <c r="K1734" s="6" t="n">
        <f aca="false">COUNTIF(Transaction!$B$2:$B$8421,A1734)</f>
        <v>1</v>
      </c>
      <c r="L1734" s="10" t="n">
        <f aca="false">SUMIF(Transaction!$B$2:$B$8421,A1734,Transaction!$H$2:$H$8421)</f>
        <v>502</v>
      </c>
      <c r="M1734" s="6" t="n">
        <f aca="false">Summary!$B$3-J1734</f>
        <v>179</v>
      </c>
      <c r="N1734" s="6" t="str">
        <f aca="false">IF(K1734&gt;1,"Yes","No")</f>
        <v>No</v>
      </c>
      <c r="O1734" s="6" t="s">
        <v>49</v>
      </c>
    </row>
    <row r="1735" customFormat="false" ht="15" hidden="false" customHeight="false" outlineLevel="0" collapsed="false">
      <c r="A1735" s="6" t="s">
        <v>3579</v>
      </c>
      <c r="B1735" s="6" t="s">
        <v>3580</v>
      </c>
      <c r="C1735" s="6" t="s">
        <v>85</v>
      </c>
      <c r="D1735" s="6" t="n">
        <v>33</v>
      </c>
      <c r="E1735" s="6" t="s">
        <v>98</v>
      </c>
      <c r="F1735" s="6" t="s">
        <v>99</v>
      </c>
      <c r="G1735" s="26" t="n">
        <v>45965</v>
      </c>
      <c r="H1735" s="6" t="s">
        <v>115</v>
      </c>
      <c r="I1735" s="26" t="n">
        <f aca="false">_xlfn.MINIFS(Transaction!$C$2:$C$8421,Transaction!$B$2:$B$8421,A1735)</f>
        <v>46037</v>
      </c>
      <c r="J1735" s="26" t="n">
        <f aca="false">_xlfn.MAXIFS(Transaction!$C$2:$C$8421,Transaction!$B$2:$B$8421,A1735)</f>
        <v>46250</v>
      </c>
      <c r="K1735" s="6" t="n">
        <f aca="false">COUNTIF(Transaction!$B$2:$B$8421,A1735)</f>
        <v>8</v>
      </c>
      <c r="L1735" s="10" t="n">
        <f aca="false">SUMIF(Transaction!$B$2:$B$8421,A1735,Transaction!$H$2:$H$8421)</f>
        <v>8534</v>
      </c>
      <c r="M1735" s="6" t="n">
        <f aca="false">Summary!$B$3-J1735</f>
        <v>16</v>
      </c>
      <c r="N1735" s="6" t="str">
        <f aca="false">IF(K1735&gt;1,"Yes","No")</f>
        <v>Yes</v>
      </c>
      <c r="O1735" s="6" t="s">
        <v>46</v>
      </c>
    </row>
    <row r="1736" customFormat="false" ht="15" hidden="false" customHeight="false" outlineLevel="0" collapsed="false">
      <c r="A1736" s="6" t="s">
        <v>3581</v>
      </c>
      <c r="B1736" s="6" t="s">
        <v>3582</v>
      </c>
      <c r="C1736" s="6" t="s">
        <v>75</v>
      </c>
      <c r="D1736" s="6" t="n">
        <v>31</v>
      </c>
      <c r="E1736" s="6" t="s">
        <v>134</v>
      </c>
      <c r="F1736" s="6" t="s">
        <v>135</v>
      </c>
      <c r="G1736" s="26" t="n">
        <v>46229</v>
      </c>
      <c r="H1736" s="6" t="s">
        <v>78</v>
      </c>
      <c r="I1736" s="26" t="n">
        <f aca="false">_xlfn.MINIFS(Transaction!$C$2:$C$8421,Transaction!$B$2:$B$8421,A1736)</f>
        <v>46231</v>
      </c>
      <c r="J1736" s="26" t="n">
        <f aca="false">_xlfn.MAXIFS(Transaction!$C$2:$C$8421,Transaction!$B$2:$B$8421,A1736)</f>
        <v>46231</v>
      </c>
      <c r="K1736" s="6" t="n">
        <f aca="false">COUNTIF(Transaction!$B$2:$B$8421,A1736)</f>
        <v>1</v>
      </c>
      <c r="L1736" s="10" t="n">
        <f aca="false">SUMIF(Transaction!$B$2:$B$8421,A1736,Transaction!$H$2:$H$8421)</f>
        <v>2456</v>
      </c>
      <c r="M1736" s="6" t="n">
        <f aca="false">Summary!$B$3-J1736</f>
        <v>35</v>
      </c>
      <c r="N1736" s="6" t="str">
        <f aca="false">IF(K1736&gt;1,"Yes","No")</f>
        <v>No</v>
      </c>
      <c r="O1736" s="6" t="s">
        <v>47</v>
      </c>
    </row>
    <row r="1737" customFormat="false" ht="15" hidden="false" customHeight="false" outlineLevel="0" collapsed="false">
      <c r="A1737" s="6" t="s">
        <v>3583</v>
      </c>
      <c r="B1737" s="6" t="s">
        <v>3584</v>
      </c>
      <c r="C1737" s="6" t="s">
        <v>75</v>
      </c>
      <c r="D1737" s="6" t="n">
        <v>50</v>
      </c>
      <c r="E1737" s="6" t="s">
        <v>134</v>
      </c>
      <c r="F1737" s="6" t="s">
        <v>135</v>
      </c>
      <c r="G1737" s="26" t="n">
        <v>46029</v>
      </c>
      <c r="H1737" s="6" t="s">
        <v>78</v>
      </c>
      <c r="I1737" s="26" t="n">
        <f aca="false">_xlfn.MINIFS(Transaction!$C$2:$C$8421,Transaction!$B$2:$B$8421,A1737)</f>
        <v>46033</v>
      </c>
      <c r="J1737" s="26" t="n">
        <f aca="false">_xlfn.MAXIFS(Transaction!$C$2:$C$8421,Transaction!$B$2:$B$8421,A1737)</f>
        <v>46245</v>
      </c>
      <c r="K1737" s="6" t="n">
        <f aca="false">COUNTIF(Transaction!$B$2:$B$8421,A1737)</f>
        <v>7</v>
      </c>
      <c r="L1737" s="10" t="n">
        <f aca="false">SUMIF(Transaction!$B$2:$B$8421,A1737,Transaction!$H$2:$H$8421)</f>
        <v>16161</v>
      </c>
      <c r="M1737" s="6" t="n">
        <f aca="false">Summary!$B$3-J1737</f>
        <v>21</v>
      </c>
      <c r="N1737" s="6" t="str">
        <f aca="false">IF(K1737&gt;1,"Yes","No")</f>
        <v>Yes</v>
      </c>
      <c r="O1737" s="6" t="s">
        <v>45</v>
      </c>
    </row>
    <row r="1738" customFormat="false" ht="15" hidden="false" customHeight="false" outlineLevel="0" collapsed="false">
      <c r="A1738" s="6" t="s">
        <v>3585</v>
      </c>
      <c r="B1738" s="6" t="s">
        <v>3586</v>
      </c>
      <c r="C1738" s="6" t="s">
        <v>85</v>
      </c>
      <c r="D1738" s="6" t="n">
        <v>46</v>
      </c>
      <c r="E1738" s="6" t="s">
        <v>146</v>
      </c>
      <c r="F1738" s="6" t="s">
        <v>147</v>
      </c>
      <c r="G1738" s="26" t="n">
        <v>46189</v>
      </c>
      <c r="H1738" s="6" t="s">
        <v>92</v>
      </c>
      <c r="I1738" s="26" t="n">
        <f aca="false">_xlfn.MINIFS(Transaction!$C$2:$C$8421,Transaction!$B$2:$B$8421,A1738)</f>
        <v>46198</v>
      </c>
      <c r="J1738" s="26" t="n">
        <f aca="false">_xlfn.MAXIFS(Transaction!$C$2:$C$8421,Transaction!$B$2:$B$8421,A1738)</f>
        <v>46198</v>
      </c>
      <c r="K1738" s="6" t="n">
        <f aca="false">COUNTIF(Transaction!$B$2:$B$8421,A1738)</f>
        <v>1</v>
      </c>
      <c r="L1738" s="10" t="n">
        <f aca="false">SUMIF(Transaction!$B$2:$B$8421,A1738,Transaction!$H$2:$H$8421)</f>
        <v>1647</v>
      </c>
      <c r="M1738" s="6" t="n">
        <f aca="false">Summary!$B$3-J1738</f>
        <v>68</v>
      </c>
      <c r="N1738" s="6" t="str">
        <f aca="false">IF(K1738&gt;1,"Yes","No")</f>
        <v>No</v>
      </c>
      <c r="O1738" s="6" t="s">
        <v>47</v>
      </c>
    </row>
    <row r="1739" customFormat="false" ht="15" hidden="false" customHeight="false" outlineLevel="0" collapsed="false">
      <c r="A1739" s="6" t="s">
        <v>3587</v>
      </c>
      <c r="B1739" s="6" t="s">
        <v>3588</v>
      </c>
      <c r="C1739" s="6" t="s">
        <v>75</v>
      </c>
      <c r="D1739" s="6" t="n">
        <v>36</v>
      </c>
      <c r="E1739" s="6" t="s">
        <v>81</v>
      </c>
      <c r="F1739" s="6" t="s">
        <v>82</v>
      </c>
      <c r="G1739" s="26" t="n">
        <v>46029</v>
      </c>
      <c r="H1739" s="6" t="s">
        <v>78</v>
      </c>
      <c r="I1739" s="26" t="n">
        <f aca="false">_xlfn.MINIFS(Transaction!$C$2:$C$8421,Transaction!$B$2:$B$8421,A1739)</f>
        <v>46100</v>
      </c>
      <c r="J1739" s="26" t="n">
        <f aca="false">_xlfn.MAXIFS(Transaction!$C$2:$C$8421,Transaction!$B$2:$B$8421,A1739)</f>
        <v>46100</v>
      </c>
      <c r="K1739" s="6" t="n">
        <f aca="false">COUNTIF(Transaction!$B$2:$B$8421,A1739)</f>
        <v>1</v>
      </c>
      <c r="L1739" s="10" t="n">
        <f aca="false">SUMIF(Transaction!$B$2:$B$8421,A1739,Transaction!$H$2:$H$8421)</f>
        <v>5405</v>
      </c>
      <c r="M1739" s="6" t="n">
        <f aca="false">Summary!$B$3-J1739</f>
        <v>166</v>
      </c>
      <c r="N1739" s="6" t="str">
        <f aca="false">IF(K1739&gt;1,"Yes","No")</f>
        <v>No</v>
      </c>
      <c r="O1739" s="6" t="s">
        <v>49</v>
      </c>
    </row>
    <row r="1740" customFormat="false" ht="15" hidden="false" customHeight="false" outlineLevel="0" collapsed="false">
      <c r="A1740" s="6" t="s">
        <v>3589</v>
      </c>
      <c r="B1740" s="6" t="s">
        <v>3590</v>
      </c>
      <c r="C1740" s="6" t="s">
        <v>75</v>
      </c>
      <c r="D1740" s="6" t="n">
        <v>30</v>
      </c>
      <c r="E1740" s="6" t="s">
        <v>86</v>
      </c>
      <c r="F1740" s="6" t="s">
        <v>87</v>
      </c>
      <c r="G1740" s="26" t="n">
        <v>45972</v>
      </c>
      <c r="H1740" s="6" t="s">
        <v>78</v>
      </c>
      <c r="I1740" s="26" t="n">
        <f aca="false">_xlfn.MINIFS(Transaction!$C$2:$C$8421,Transaction!$B$2:$B$8421,A1740)</f>
        <v>46043</v>
      </c>
      <c r="J1740" s="26" t="n">
        <f aca="false">_xlfn.MAXIFS(Transaction!$C$2:$C$8421,Transaction!$B$2:$B$8421,A1740)</f>
        <v>46043</v>
      </c>
      <c r="K1740" s="6" t="n">
        <f aca="false">COUNTIF(Transaction!$B$2:$B$8421,A1740)</f>
        <v>1</v>
      </c>
      <c r="L1740" s="10" t="n">
        <f aca="false">SUMIF(Transaction!$B$2:$B$8421,A1740,Transaction!$H$2:$H$8421)</f>
        <v>1954</v>
      </c>
      <c r="M1740" s="6" t="n">
        <f aca="false">Summary!$B$3-J1740</f>
        <v>223</v>
      </c>
      <c r="N1740" s="6" t="str">
        <f aca="false">IF(K1740&gt;1,"Yes","No")</f>
        <v>No</v>
      </c>
      <c r="O1740" s="6" t="s">
        <v>49</v>
      </c>
    </row>
    <row r="1741" customFormat="false" ht="15" hidden="false" customHeight="false" outlineLevel="0" collapsed="false">
      <c r="A1741" s="6" t="s">
        <v>3591</v>
      </c>
      <c r="B1741" s="6" t="s">
        <v>3592</v>
      </c>
      <c r="C1741" s="6" t="s">
        <v>75</v>
      </c>
      <c r="D1741" s="6" t="n">
        <v>18</v>
      </c>
      <c r="E1741" s="6" t="s">
        <v>430</v>
      </c>
      <c r="F1741" s="6" t="s">
        <v>99</v>
      </c>
      <c r="G1741" s="26" t="n">
        <v>46046</v>
      </c>
      <c r="H1741" s="6" t="s">
        <v>115</v>
      </c>
      <c r="I1741" s="26" t="n">
        <f aca="false">_xlfn.MINIFS(Transaction!$C$2:$C$8421,Transaction!$B$2:$B$8421,A1741)</f>
        <v>46134</v>
      </c>
      <c r="J1741" s="26" t="n">
        <f aca="false">_xlfn.MAXIFS(Transaction!$C$2:$C$8421,Transaction!$B$2:$B$8421,A1741)</f>
        <v>46134</v>
      </c>
      <c r="K1741" s="6" t="n">
        <f aca="false">COUNTIF(Transaction!$B$2:$B$8421,A1741)</f>
        <v>1</v>
      </c>
      <c r="L1741" s="10" t="n">
        <f aca="false">SUMIF(Transaction!$B$2:$B$8421,A1741,Transaction!$H$2:$H$8421)</f>
        <v>4887</v>
      </c>
      <c r="M1741" s="6" t="n">
        <f aca="false">Summary!$B$3-J1741</f>
        <v>132</v>
      </c>
      <c r="N1741" s="6" t="str">
        <f aca="false">IF(K1741&gt;1,"Yes","No")</f>
        <v>No</v>
      </c>
      <c r="O1741" s="6" t="s">
        <v>48</v>
      </c>
    </row>
    <row r="1742" customFormat="false" ht="15" hidden="false" customHeight="false" outlineLevel="0" collapsed="false">
      <c r="A1742" s="6" t="s">
        <v>3593</v>
      </c>
      <c r="B1742" s="6" t="s">
        <v>3594</v>
      </c>
      <c r="C1742" s="6" t="s">
        <v>85</v>
      </c>
      <c r="D1742" s="6" t="n">
        <v>36</v>
      </c>
      <c r="E1742" s="6" t="s">
        <v>95</v>
      </c>
      <c r="F1742" s="6" t="s">
        <v>95</v>
      </c>
      <c r="G1742" s="26" t="n">
        <v>46051</v>
      </c>
      <c r="H1742" s="6" t="s">
        <v>78</v>
      </c>
      <c r="I1742" s="26" t="n">
        <f aca="false">_xlfn.MINIFS(Transaction!$C$2:$C$8421,Transaction!$B$2:$B$8421,A1742)</f>
        <v>46103</v>
      </c>
      <c r="J1742" s="26" t="n">
        <f aca="false">_xlfn.MAXIFS(Transaction!$C$2:$C$8421,Transaction!$B$2:$B$8421,A1742)</f>
        <v>46103</v>
      </c>
      <c r="K1742" s="6" t="n">
        <f aca="false">COUNTIF(Transaction!$B$2:$B$8421,A1742)</f>
        <v>1</v>
      </c>
      <c r="L1742" s="10" t="n">
        <f aca="false">SUMIF(Transaction!$B$2:$B$8421,A1742,Transaction!$H$2:$H$8421)</f>
        <v>2039</v>
      </c>
      <c r="M1742" s="6" t="n">
        <f aca="false">Summary!$B$3-J1742</f>
        <v>163</v>
      </c>
      <c r="N1742" s="6" t="str">
        <f aca="false">IF(K1742&gt;1,"Yes","No")</f>
        <v>No</v>
      </c>
      <c r="O1742" s="6" t="s">
        <v>49</v>
      </c>
    </row>
    <row r="1743" customFormat="false" ht="15" hidden="false" customHeight="false" outlineLevel="0" collapsed="false">
      <c r="A1743" s="6" t="s">
        <v>3595</v>
      </c>
      <c r="B1743" s="6" t="s">
        <v>3596</v>
      </c>
      <c r="C1743" s="6" t="s">
        <v>85</v>
      </c>
      <c r="D1743" s="6" t="n">
        <v>26</v>
      </c>
      <c r="E1743" s="6" t="s">
        <v>76</v>
      </c>
      <c r="F1743" s="6" t="s">
        <v>77</v>
      </c>
      <c r="G1743" s="26" t="n">
        <v>46204</v>
      </c>
      <c r="H1743" s="6" t="s">
        <v>102</v>
      </c>
      <c r="I1743" s="26" t="n">
        <f aca="false">_xlfn.MINIFS(Transaction!$C$2:$C$8421,Transaction!$B$2:$B$8421,A1743)</f>
        <v>46258</v>
      </c>
      <c r="J1743" s="26" t="n">
        <f aca="false">_xlfn.MAXIFS(Transaction!$C$2:$C$8421,Transaction!$B$2:$B$8421,A1743)</f>
        <v>46258</v>
      </c>
      <c r="K1743" s="6" t="n">
        <f aca="false">COUNTIF(Transaction!$B$2:$B$8421,A1743)</f>
        <v>1</v>
      </c>
      <c r="L1743" s="10" t="n">
        <f aca="false">SUMIF(Transaction!$B$2:$B$8421,A1743,Transaction!$H$2:$H$8421)</f>
        <v>782</v>
      </c>
      <c r="M1743" s="6" t="n">
        <f aca="false">Summary!$B$3-J1743</f>
        <v>8</v>
      </c>
      <c r="N1743" s="6" t="str">
        <f aca="false">IF(K1743&gt;1,"Yes","No")</f>
        <v>No</v>
      </c>
      <c r="O1743" s="6" t="s">
        <v>47</v>
      </c>
    </row>
    <row r="1744" customFormat="false" ht="15" hidden="false" customHeight="false" outlineLevel="0" collapsed="false">
      <c r="A1744" s="6" t="s">
        <v>3597</v>
      </c>
      <c r="B1744" s="6" t="s">
        <v>3598</v>
      </c>
      <c r="C1744" s="6" t="s">
        <v>75</v>
      </c>
      <c r="D1744" s="6" t="n">
        <v>35</v>
      </c>
      <c r="E1744" s="6" t="s">
        <v>146</v>
      </c>
      <c r="F1744" s="6" t="s">
        <v>147</v>
      </c>
      <c r="G1744" s="26" t="n">
        <v>46007</v>
      </c>
      <c r="H1744" s="6" t="s">
        <v>88</v>
      </c>
      <c r="I1744" s="26" t="n">
        <f aca="false">_xlfn.MINIFS(Transaction!$C$2:$C$8421,Transaction!$B$2:$B$8421,A1744)</f>
        <v>46035</v>
      </c>
      <c r="J1744" s="26" t="n">
        <f aca="false">_xlfn.MAXIFS(Transaction!$C$2:$C$8421,Transaction!$B$2:$B$8421,A1744)</f>
        <v>46237</v>
      </c>
      <c r="K1744" s="6" t="n">
        <f aca="false">COUNTIF(Transaction!$B$2:$B$8421,A1744)</f>
        <v>8</v>
      </c>
      <c r="L1744" s="10" t="n">
        <f aca="false">SUMIF(Transaction!$B$2:$B$8421,A1744,Transaction!$H$2:$H$8421)</f>
        <v>16961</v>
      </c>
      <c r="M1744" s="6" t="n">
        <f aca="false">Summary!$B$3-J1744</f>
        <v>29</v>
      </c>
      <c r="N1744" s="6" t="str">
        <f aca="false">IF(K1744&gt;1,"Yes","No")</f>
        <v>Yes</v>
      </c>
      <c r="O1744" s="6" t="s">
        <v>46</v>
      </c>
    </row>
    <row r="1745" customFormat="false" ht="15" hidden="false" customHeight="false" outlineLevel="0" collapsed="false">
      <c r="A1745" s="6" t="s">
        <v>3599</v>
      </c>
      <c r="B1745" s="6" t="s">
        <v>3600</v>
      </c>
      <c r="C1745" s="6" t="s">
        <v>75</v>
      </c>
      <c r="D1745" s="6" t="n">
        <v>48</v>
      </c>
      <c r="E1745" s="6" t="s">
        <v>76</v>
      </c>
      <c r="F1745" s="6" t="s">
        <v>77</v>
      </c>
      <c r="G1745" s="26" t="n">
        <v>46079</v>
      </c>
      <c r="H1745" s="6" t="s">
        <v>115</v>
      </c>
      <c r="I1745" s="26" t="n">
        <f aca="false">_xlfn.MINIFS(Transaction!$C$2:$C$8421,Transaction!$B$2:$B$8421,A1745)</f>
        <v>46161</v>
      </c>
      <c r="J1745" s="26" t="n">
        <f aca="false">_xlfn.MAXIFS(Transaction!$C$2:$C$8421,Transaction!$B$2:$B$8421,A1745)</f>
        <v>46161</v>
      </c>
      <c r="K1745" s="6" t="n">
        <f aca="false">COUNTIF(Transaction!$B$2:$B$8421,A1745)</f>
        <v>1</v>
      </c>
      <c r="L1745" s="10" t="n">
        <f aca="false">SUMIF(Transaction!$B$2:$B$8421,A1745,Transaction!$H$2:$H$8421)</f>
        <v>703</v>
      </c>
      <c r="M1745" s="6" t="n">
        <f aca="false">Summary!$B$3-J1745</f>
        <v>105</v>
      </c>
      <c r="N1745" s="6" t="str">
        <f aca="false">IF(K1745&gt;1,"Yes","No")</f>
        <v>No</v>
      </c>
      <c r="O1745" s="6" t="s">
        <v>48</v>
      </c>
    </row>
    <row r="1746" customFormat="false" ht="15" hidden="false" customHeight="false" outlineLevel="0" collapsed="false">
      <c r="A1746" s="6" t="s">
        <v>3601</v>
      </c>
      <c r="B1746" s="6" t="s">
        <v>3602</v>
      </c>
      <c r="C1746" s="6" t="s">
        <v>75</v>
      </c>
      <c r="D1746" s="6" t="n">
        <v>47</v>
      </c>
      <c r="E1746" s="6" t="s">
        <v>95</v>
      </c>
      <c r="F1746" s="6" t="s">
        <v>95</v>
      </c>
      <c r="G1746" s="26" t="n">
        <v>45992</v>
      </c>
      <c r="H1746" s="6" t="s">
        <v>123</v>
      </c>
      <c r="I1746" s="26" t="n">
        <f aca="false">_xlfn.MINIFS(Transaction!$C$2:$C$8421,Transaction!$B$2:$B$8421,A1746)</f>
        <v>46068</v>
      </c>
      <c r="J1746" s="26" t="n">
        <f aca="false">_xlfn.MAXIFS(Transaction!$C$2:$C$8421,Transaction!$B$2:$B$8421,A1746)</f>
        <v>46068</v>
      </c>
      <c r="K1746" s="6" t="n">
        <f aca="false">COUNTIF(Transaction!$B$2:$B$8421,A1746)</f>
        <v>1</v>
      </c>
      <c r="L1746" s="10" t="n">
        <f aca="false">SUMIF(Transaction!$B$2:$B$8421,A1746,Transaction!$H$2:$H$8421)</f>
        <v>3520</v>
      </c>
      <c r="M1746" s="6" t="n">
        <f aca="false">Summary!$B$3-J1746</f>
        <v>198</v>
      </c>
      <c r="N1746" s="6" t="str">
        <f aca="false">IF(K1746&gt;1,"Yes","No")</f>
        <v>No</v>
      </c>
      <c r="O1746" s="6" t="s">
        <v>49</v>
      </c>
    </row>
    <row r="1747" customFormat="false" ht="15" hidden="false" customHeight="false" outlineLevel="0" collapsed="false">
      <c r="A1747" s="6" t="s">
        <v>3603</v>
      </c>
      <c r="B1747" s="6" t="s">
        <v>3604</v>
      </c>
      <c r="C1747" s="6" t="s">
        <v>75</v>
      </c>
      <c r="D1747" s="6" t="n">
        <v>29</v>
      </c>
      <c r="E1747" s="6" t="s">
        <v>81</v>
      </c>
      <c r="F1747" s="6" t="s">
        <v>82</v>
      </c>
      <c r="G1747" s="26" t="n">
        <v>45948</v>
      </c>
      <c r="H1747" s="6" t="s">
        <v>115</v>
      </c>
      <c r="I1747" s="26" t="n">
        <f aca="false">_xlfn.MINIFS(Transaction!$C$2:$C$8421,Transaction!$B$2:$B$8421,A1747)</f>
        <v>46030</v>
      </c>
      <c r="J1747" s="26" t="n">
        <f aca="false">_xlfn.MAXIFS(Transaction!$C$2:$C$8421,Transaction!$B$2:$B$8421,A1747)</f>
        <v>46254</v>
      </c>
      <c r="K1747" s="6" t="n">
        <f aca="false">COUNTIF(Transaction!$B$2:$B$8421,A1747)</f>
        <v>13</v>
      </c>
      <c r="L1747" s="10" t="n">
        <f aca="false">SUMIF(Transaction!$B$2:$B$8421,A1747,Transaction!$H$2:$H$8421)</f>
        <v>22582</v>
      </c>
      <c r="M1747" s="6" t="n">
        <f aca="false">Summary!$B$3-J1747</f>
        <v>12</v>
      </c>
      <c r="N1747" s="6" t="str">
        <f aca="false">IF(K1747&gt;1,"Yes","No")</f>
        <v>Yes</v>
      </c>
      <c r="O1747" s="6" t="s">
        <v>45</v>
      </c>
    </row>
    <row r="1748" customFormat="false" ht="15" hidden="false" customHeight="false" outlineLevel="0" collapsed="false">
      <c r="A1748" s="6" t="s">
        <v>3605</v>
      </c>
      <c r="B1748" s="6" t="s">
        <v>3606</v>
      </c>
      <c r="C1748" s="6" t="s">
        <v>85</v>
      </c>
      <c r="D1748" s="6" t="n">
        <v>38</v>
      </c>
      <c r="E1748" s="6" t="s">
        <v>76</v>
      </c>
      <c r="F1748" s="6" t="s">
        <v>77</v>
      </c>
      <c r="G1748" s="26" t="n">
        <v>46105</v>
      </c>
      <c r="H1748" s="6" t="s">
        <v>102</v>
      </c>
      <c r="I1748" s="26" t="n">
        <f aca="false">_xlfn.MINIFS(Transaction!$C$2:$C$8421,Transaction!$B$2:$B$8421,A1748)</f>
        <v>46161</v>
      </c>
      <c r="J1748" s="26" t="n">
        <f aca="false">_xlfn.MAXIFS(Transaction!$C$2:$C$8421,Transaction!$B$2:$B$8421,A1748)</f>
        <v>46161</v>
      </c>
      <c r="K1748" s="6" t="n">
        <f aca="false">COUNTIF(Transaction!$B$2:$B$8421,A1748)</f>
        <v>1</v>
      </c>
      <c r="L1748" s="10" t="n">
        <f aca="false">SUMIF(Transaction!$B$2:$B$8421,A1748,Transaction!$H$2:$H$8421)</f>
        <v>1468</v>
      </c>
      <c r="M1748" s="6" t="n">
        <f aca="false">Summary!$B$3-J1748</f>
        <v>105</v>
      </c>
      <c r="N1748" s="6" t="str">
        <f aca="false">IF(K1748&gt;1,"Yes","No")</f>
        <v>No</v>
      </c>
      <c r="O1748" s="6" t="s">
        <v>48</v>
      </c>
    </row>
    <row r="1749" customFormat="false" ht="15" hidden="false" customHeight="false" outlineLevel="0" collapsed="false">
      <c r="A1749" s="6" t="s">
        <v>3607</v>
      </c>
      <c r="B1749" s="6" t="s">
        <v>3608</v>
      </c>
      <c r="C1749" s="6" t="s">
        <v>85</v>
      </c>
      <c r="D1749" s="6" t="n">
        <v>28</v>
      </c>
      <c r="E1749" s="6" t="s">
        <v>121</v>
      </c>
      <c r="F1749" s="6" t="s">
        <v>122</v>
      </c>
      <c r="G1749" s="26" t="n">
        <v>46116</v>
      </c>
      <c r="H1749" s="6" t="s">
        <v>78</v>
      </c>
      <c r="I1749" s="26" t="n">
        <f aca="false">_xlfn.MINIFS(Transaction!$C$2:$C$8421,Transaction!$B$2:$B$8421,A1749)</f>
        <v>46125</v>
      </c>
      <c r="J1749" s="26" t="n">
        <f aca="false">_xlfn.MAXIFS(Transaction!$C$2:$C$8421,Transaction!$B$2:$B$8421,A1749)</f>
        <v>46125</v>
      </c>
      <c r="K1749" s="6" t="n">
        <f aca="false">COUNTIF(Transaction!$B$2:$B$8421,A1749)</f>
        <v>1</v>
      </c>
      <c r="L1749" s="10" t="n">
        <f aca="false">SUMIF(Transaction!$B$2:$B$8421,A1749,Transaction!$H$2:$H$8421)</f>
        <v>782</v>
      </c>
      <c r="M1749" s="6" t="n">
        <f aca="false">Summary!$B$3-J1749</f>
        <v>141</v>
      </c>
      <c r="N1749" s="6" t="str">
        <f aca="false">IF(K1749&gt;1,"Yes","No")</f>
        <v>No</v>
      </c>
      <c r="O1749" s="6" t="s">
        <v>48</v>
      </c>
    </row>
    <row r="1750" customFormat="false" ht="15" hidden="false" customHeight="false" outlineLevel="0" collapsed="false">
      <c r="A1750" s="6" t="s">
        <v>3609</v>
      </c>
      <c r="B1750" s="6" t="s">
        <v>3610</v>
      </c>
      <c r="C1750" s="6" t="s">
        <v>75</v>
      </c>
      <c r="D1750" s="6" t="n">
        <v>24</v>
      </c>
      <c r="E1750" s="6" t="s">
        <v>98</v>
      </c>
      <c r="F1750" s="6" t="s">
        <v>99</v>
      </c>
      <c r="G1750" s="26" t="n">
        <v>45963</v>
      </c>
      <c r="H1750" s="6" t="s">
        <v>102</v>
      </c>
      <c r="I1750" s="26" t="n">
        <f aca="false">_xlfn.MINIFS(Transaction!$C$2:$C$8421,Transaction!$B$2:$B$8421,A1750)</f>
        <v>46046</v>
      </c>
      <c r="J1750" s="26" t="n">
        <f aca="false">_xlfn.MAXIFS(Transaction!$C$2:$C$8421,Transaction!$B$2:$B$8421,A1750)</f>
        <v>46199</v>
      </c>
      <c r="K1750" s="6" t="n">
        <f aca="false">COUNTIF(Transaction!$B$2:$B$8421,A1750)</f>
        <v>4</v>
      </c>
      <c r="L1750" s="10" t="n">
        <f aca="false">SUMIF(Transaction!$B$2:$B$8421,A1750,Transaction!$H$2:$H$8421)</f>
        <v>6068</v>
      </c>
      <c r="M1750" s="6" t="n">
        <f aca="false">Summary!$B$3-J1750</f>
        <v>67</v>
      </c>
      <c r="N1750" s="6" t="str">
        <f aca="false">IF(K1750&gt;1,"Yes","No")</f>
        <v>Yes</v>
      </c>
      <c r="O1750" s="6" t="s">
        <v>46</v>
      </c>
    </row>
    <row r="1751" customFormat="false" ht="15" hidden="false" customHeight="false" outlineLevel="0" collapsed="false">
      <c r="A1751" s="6" t="s">
        <v>3611</v>
      </c>
      <c r="B1751" s="6" t="s">
        <v>3612</v>
      </c>
      <c r="C1751" s="6" t="s">
        <v>85</v>
      </c>
      <c r="D1751" s="6" t="n">
        <v>25</v>
      </c>
      <c r="E1751" s="6" t="s">
        <v>95</v>
      </c>
      <c r="F1751" s="6" t="s">
        <v>95</v>
      </c>
      <c r="G1751" s="26" t="n">
        <v>46131</v>
      </c>
      <c r="H1751" s="6" t="s">
        <v>102</v>
      </c>
      <c r="I1751" s="26" t="n">
        <f aca="false">_xlfn.MINIFS(Transaction!$C$2:$C$8421,Transaction!$B$2:$B$8421,A1751)</f>
        <v>46189</v>
      </c>
      <c r="J1751" s="26" t="n">
        <f aca="false">_xlfn.MAXIFS(Transaction!$C$2:$C$8421,Transaction!$B$2:$B$8421,A1751)</f>
        <v>46189</v>
      </c>
      <c r="K1751" s="6" t="n">
        <f aca="false">COUNTIF(Transaction!$B$2:$B$8421,A1751)</f>
        <v>1</v>
      </c>
      <c r="L1751" s="10" t="n">
        <f aca="false">SUMIF(Transaction!$B$2:$B$8421,A1751,Transaction!$H$2:$H$8421)</f>
        <v>11204</v>
      </c>
      <c r="M1751" s="6" t="n">
        <f aca="false">Summary!$B$3-J1751</f>
        <v>77</v>
      </c>
      <c r="N1751" s="6" t="str">
        <f aca="false">IF(K1751&gt;1,"Yes","No")</f>
        <v>No</v>
      </c>
      <c r="O1751" s="6" t="s">
        <v>47</v>
      </c>
    </row>
    <row r="1752" customFormat="false" ht="15" hidden="false" customHeight="false" outlineLevel="0" collapsed="false">
      <c r="A1752" s="6" t="s">
        <v>3613</v>
      </c>
      <c r="B1752" s="6" t="s">
        <v>3614</v>
      </c>
      <c r="C1752" s="6" t="s">
        <v>75</v>
      </c>
      <c r="D1752" s="6" t="n">
        <v>41</v>
      </c>
      <c r="E1752" s="6" t="s">
        <v>134</v>
      </c>
      <c r="F1752" s="6" t="s">
        <v>135</v>
      </c>
      <c r="G1752" s="26" t="n">
        <v>46076</v>
      </c>
      <c r="H1752" s="6" t="s">
        <v>78</v>
      </c>
      <c r="I1752" s="26" t="n">
        <f aca="false">_xlfn.MINIFS(Transaction!$C$2:$C$8421,Transaction!$B$2:$B$8421,A1752)</f>
        <v>46120</v>
      </c>
      <c r="J1752" s="26" t="n">
        <f aca="false">_xlfn.MAXIFS(Transaction!$C$2:$C$8421,Transaction!$B$2:$B$8421,A1752)</f>
        <v>46120</v>
      </c>
      <c r="K1752" s="6" t="n">
        <f aca="false">COUNTIF(Transaction!$B$2:$B$8421,A1752)</f>
        <v>1</v>
      </c>
      <c r="L1752" s="10" t="n">
        <f aca="false">SUMIF(Transaction!$B$2:$B$8421,A1752,Transaction!$H$2:$H$8421)</f>
        <v>2033</v>
      </c>
      <c r="M1752" s="6" t="n">
        <f aca="false">Summary!$B$3-J1752</f>
        <v>146</v>
      </c>
      <c r="N1752" s="6" t="str">
        <f aca="false">IF(K1752&gt;1,"Yes","No")</f>
        <v>No</v>
      </c>
      <c r="O1752" s="6" t="s">
        <v>48</v>
      </c>
    </row>
    <row r="1753" customFormat="false" ht="15" hidden="false" customHeight="false" outlineLevel="0" collapsed="false">
      <c r="A1753" s="6" t="s">
        <v>3615</v>
      </c>
      <c r="B1753" s="6" t="s">
        <v>3616</v>
      </c>
      <c r="C1753" s="6" t="s">
        <v>85</v>
      </c>
      <c r="D1753" s="6" t="n">
        <v>28</v>
      </c>
      <c r="E1753" s="6" t="s">
        <v>140</v>
      </c>
      <c r="F1753" s="6" t="s">
        <v>141</v>
      </c>
      <c r="G1753" s="26" t="n">
        <v>46040</v>
      </c>
      <c r="H1753" s="6" t="s">
        <v>78</v>
      </c>
      <c r="I1753" s="26" t="n">
        <f aca="false">_xlfn.MINIFS(Transaction!$C$2:$C$8421,Transaction!$B$2:$B$8421,A1753)</f>
        <v>46073</v>
      </c>
      <c r="J1753" s="26" t="n">
        <f aca="false">_xlfn.MAXIFS(Transaction!$C$2:$C$8421,Transaction!$B$2:$B$8421,A1753)</f>
        <v>46236</v>
      </c>
      <c r="K1753" s="6" t="n">
        <f aca="false">COUNTIF(Transaction!$B$2:$B$8421,A1753)</f>
        <v>4</v>
      </c>
      <c r="L1753" s="10" t="n">
        <f aca="false">SUMIF(Transaction!$B$2:$B$8421,A1753,Transaction!$H$2:$H$8421)</f>
        <v>7891</v>
      </c>
      <c r="M1753" s="6" t="n">
        <f aca="false">Summary!$B$3-J1753</f>
        <v>30</v>
      </c>
      <c r="N1753" s="6" t="str">
        <f aca="false">IF(K1753&gt;1,"Yes","No")</f>
        <v>Yes</v>
      </c>
      <c r="O1753" s="6" t="s">
        <v>46</v>
      </c>
    </row>
    <row r="1754" customFormat="false" ht="15" hidden="false" customHeight="false" outlineLevel="0" collapsed="false">
      <c r="A1754" s="6" t="s">
        <v>3617</v>
      </c>
      <c r="B1754" s="6" t="s">
        <v>3618</v>
      </c>
      <c r="C1754" s="6" t="s">
        <v>85</v>
      </c>
      <c r="D1754" s="6" t="n">
        <v>36</v>
      </c>
      <c r="E1754" s="6" t="s">
        <v>206</v>
      </c>
      <c r="F1754" s="6" t="s">
        <v>106</v>
      </c>
      <c r="G1754" s="26" t="n">
        <v>45967</v>
      </c>
      <c r="H1754" s="6" t="s">
        <v>92</v>
      </c>
      <c r="I1754" s="26" t="n">
        <f aca="false">_xlfn.MINIFS(Transaction!$C$2:$C$8421,Transaction!$B$2:$B$8421,A1754)</f>
        <v>46032</v>
      </c>
      <c r="J1754" s="26" t="n">
        <f aca="false">_xlfn.MAXIFS(Transaction!$C$2:$C$8421,Transaction!$B$2:$B$8421,A1754)</f>
        <v>46248</v>
      </c>
      <c r="K1754" s="6" t="n">
        <f aca="false">COUNTIF(Transaction!$B$2:$B$8421,A1754)</f>
        <v>8</v>
      </c>
      <c r="L1754" s="10" t="n">
        <f aca="false">SUMIF(Transaction!$B$2:$B$8421,A1754,Transaction!$H$2:$H$8421)</f>
        <v>19127</v>
      </c>
      <c r="M1754" s="6" t="n">
        <f aca="false">Summary!$B$3-J1754</f>
        <v>18</v>
      </c>
      <c r="N1754" s="6" t="str">
        <f aca="false">IF(K1754&gt;1,"Yes","No")</f>
        <v>Yes</v>
      </c>
      <c r="O1754" s="6" t="s">
        <v>46</v>
      </c>
    </row>
    <row r="1755" customFormat="false" ht="15" hidden="false" customHeight="false" outlineLevel="0" collapsed="false">
      <c r="A1755" s="6" t="s">
        <v>3619</v>
      </c>
      <c r="B1755" s="6" t="s">
        <v>3620</v>
      </c>
      <c r="C1755" s="6" t="s">
        <v>85</v>
      </c>
      <c r="D1755" s="6" t="n">
        <v>38</v>
      </c>
      <c r="E1755" s="6" t="s">
        <v>76</v>
      </c>
      <c r="F1755" s="6" t="s">
        <v>77</v>
      </c>
      <c r="G1755" s="26" t="n">
        <v>46177</v>
      </c>
      <c r="H1755" s="6" t="s">
        <v>92</v>
      </c>
      <c r="I1755" s="26" t="n">
        <f aca="false">_xlfn.MINIFS(Transaction!$C$2:$C$8421,Transaction!$B$2:$B$8421,A1755)</f>
        <v>46219</v>
      </c>
      <c r="J1755" s="26" t="n">
        <f aca="false">_xlfn.MAXIFS(Transaction!$C$2:$C$8421,Transaction!$B$2:$B$8421,A1755)</f>
        <v>46219</v>
      </c>
      <c r="K1755" s="6" t="n">
        <f aca="false">COUNTIF(Transaction!$B$2:$B$8421,A1755)</f>
        <v>1</v>
      </c>
      <c r="L1755" s="10" t="n">
        <f aca="false">SUMIF(Transaction!$B$2:$B$8421,A1755,Transaction!$H$2:$H$8421)</f>
        <v>5229</v>
      </c>
      <c r="M1755" s="6" t="n">
        <f aca="false">Summary!$B$3-J1755</f>
        <v>47</v>
      </c>
      <c r="N1755" s="6" t="str">
        <f aca="false">IF(K1755&gt;1,"Yes","No")</f>
        <v>No</v>
      </c>
      <c r="O1755" s="6" t="s">
        <v>47</v>
      </c>
    </row>
    <row r="1756" customFormat="false" ht="15" hidden="false" customHeight="false" outlineLevel="0" collapsed="false">
      <c r="A1756" s="6" t="s">
        <v>3621</v>
      </c>
      <c r="B1756" s="6" t="s">
        <v>3622</v>
      </c>
      <c r="C1756" s="6" t="s">
        <v>75</v>
      </c>
      <c r="D1756" s="6" t="n">
        <v>44</v>
      </c>
      <c r="E1756" s="6" t="s">
        <v>105</v>
      </c>
      <c r="F1756" s="6" t="s">
        <v>106</v>
      </c>
      <c r="G1756" s="26" t="n">
        <v>46099</v>
      </c>
      <c r="H1756" s="6" t="s">
        <v>123</v>
      </c>
      <c r="I1756" s="26" t="n">
        <f aca="false">_xlfn.MINIFS(Transaction!$C$2:$C$8421,Transaction!$B$2:$B$8421,A1756)</f>
        <v>46106</v>
      </c>
      <c r="J1756" s="26" t="n">
        <f aca="false">_xlfn.MAXIFS(Transaction!$C$2:$C$8421,Transaction!$B$2:$B$8421,A1756)</f>
        <v>46106</v>
      </c>
      <c r="K1756" s="6" t="n">
        <f aca="false">COUNTIF(Transaction!$B$2:$B$8421,A1756)</f>
        <v>1</v>
      </c>
      <c r="L1756" s="10" t="n">
        <f aca="false">SUMIF(Transaction!$B$2:$B$8421,A1756,Transaction!$H$2:$H$8421)</f>
        <v>2640</v>
      </c>
      <c r="M1756" s="6" t="n">
        <f aca="false">Summary!$B$3-J1756</f>
        <v>160</v>
      </c>
      <c r="N1756" s="6" t="str">
        <f aca="false">IF(K1756&gt;1,"Yes","No")</f>
        <v>No</v>
      </c>
      <c r="O1756" s="6" t="s">
        <v>49</v>
      </c>
    </row>
    <row r="1757" customFormat="false" ht="15" hidden="false" customHeight="false" outlineLevel="0" collapsed="false">
      <c r="A1757" s="6" t="s">
        <v>3623</v>
      </c>
      <c r="B1757" s="6" t="s">
        <v>3624</v>
      </c>
      <c r="C1757" s="6" t="s">
        <v>75</v>
      </c>
      <c r="D1757" s="6" t="n">
        <v>44</v>
      </c>
      <c r="E1757" s="6" t="s">
        <v>118</v>
      </c>
      <c r="F1757" s="6" t="s">
        <v>77</v>
      </c>
      <c r="G1757" s="26" t="n">
        <v>46161</v>
      </c>
      <c r="H1757" s="6" t="s">
        <v>115</v>
      </c>
      <c r="I1757" s="26" t="n">
        <f aca="false">_xlfn.MINIFS(Transaction!$C$2:$C$8421,Transaction!$B$2:$B$8421,A1757)</f>
        <v>46204</v>
      </c>
      <c r="J1757" s="26" t="n">
        <f aca="false">_xlfn.MAXIFS(Transaction!$C$2:$C$8421,Transaction!$B$2:$B$8421,A1757)</f>
        <v>46204</v>
      </c>
      <c r="K1757" s="6" t="n">
        <f aca="false">COUNTIF(Transaction!$B$2:$B$8421,A1757)</f>
        <v>1</v>
      </c>
      <c r="L1757" s="10" t="n">
        <f aca="false">SUMIF(Transaction!$B$2:$B$8421,A1757,Transaction!$H$2:$H$8421)</f>
        <v>1376</v>
      </c>
      <c r="M1757" s="6" t="n">
        <f aca="false">Summary!$B$3-J1757</f>
        <v>62</v>
      </c>
      <c r="N1757" s="6" t="str">
        <f aca="false">IF(K1757&gt;1,"Yes","No")</f>
        <v>No</v>
      </c>
      <c r="O1757" s="6" t="s">
        <v>47</v>
      </c>
    </row>
    <row r="1758" customFormat="false" ht="15" hidden="false" customHeight="false" outlineLevel="0" collapsed="false">
      <c r="A1758" s="6" t="s">
        <v>3625</v>
      </c>
      <c r="B1758" s="6" t="s">
        <v>3626</v>
      </c>
      <c r="C1758" s="6" t="s">
        <v>75</v>
      </c>
      <c r="D1758" s="6" t="n">
        <v>28</v>
      </c>
      <c r="E1758" s="6" t="s">
        <v>91</v>
      </c>
      <c r="F1758" s="6" t="s">
        <v>77</v>
      </c>
      <c r="G1758" s="26" t="n">
        <v>46119</v>
      </c>
      <c r="H1758" s="6" t="s">
        <v>115</v>
      </c>
      <c r="I1758" s="26" t="n">
        <f aca="false">_xlfn.MINIFS(Transaction!$C$2:$C$8421,Transaction!$B$2:$B$8421,A1758)</f>
        <v>46151</v>
      </c>
      <c r="J1758" s="26" t="n">
        <f aca="false">_xlfn.MAXIFS(Transaction!$C$2:$C$8421,Transaction!$B$2:$B$8421,A1758)</f>
        <v>46151</v>
      </c>
      <c r="K1758" s="6" t="n">
        <f aca="false">COUNTIF(Transaction!$B$2:$B$8421,A1758)</f>
        <v>1</v>
      </c>
      <c r="L1758" s="10" t="n">
        <f aca="false">SUMIF(Transaction!$B$2:$B$8421,A1758,Transaction!$H$2:$H$8421)</f>
        <v>2346</v>
      </c>
      <c r="M1758" s="6" t="n">
        <f aca="false">Summary!$B$3-J1758</f>
        <v>115</v>
      </c>
      <c r="N1758" s="6" t="str">
        <f aca="false">IF(K1758&gt;1,"Yes","No")</f>
        <v>No</v>
      </c>
      <c r="O1758" s="6" t="s">
        <v>48</v>
      </c>
    </row>
    <row r="1759" customFormat="false" ht="15" hidden="false" customHeight="false" outlineLevel="0" collapsed="false">
      <c r="A1759" s="6" t="s">
        <v>3627</v>
      </c>
      <c r="B1759" s="6" t="s">
        <v>3628</v>
      </c>
      <c r="C1759" s="6" t="s">
        <v>75</v>
      </c>
      <c r="D1759" s="6" t="n">
        <v>48</v>
      </c>
      <c r="E1759" s="6" t="s">
        <v>264</v>
      </c>
      <c r="F1759" s="6" t="s">
        <v>106</v>
      </c>
      <c r="G1759" s="26" t="n">
        <v>45959</v>
      </c>
      <c r="H1759" s="6" t="s">
        <v>88</v>
      </c>
      <c r="I1759" s="26" t="n">
        <f aca="false">_xlfn.MINIFS(Transaction!$C$2:$C$8421,Transaction!$B$2:$B$8421,A1759)</f>
        <v>46037</v>
      </c>
      <c r="J1759" s="26" t="n">
        <f aca="false">_xlfn.MAXIFS(Transaction!$C$2:$C$8421,Transaction!$B$2:$B$8421,A1759)</f>
        <v>46249</v>
      </c>
      <c r="K1759" s="6" t="n">
        <f aca="false">COUNTIF(Transaction!$B$2:$B$8421,A1759)</f>
        <v>14</v>
      </c>
      <c r="L1759" s="10" t="n">
        <f aca="false">SUMIF(Transaction!$B$2:$B$8421,A1759,Transaction!$H$2:$H$8421)</f>
        <v>31491</v>
      </c>
      <c r="M1759" s="6" t="n">
        <f aca="false">Summary!$B$3-J1759</f>
        <v>17</v>
      </c>
      <c r="N1759" s="6" t="str">
        <f aca="false">IF(K1759&gt;1,"Yes","No")</f>
        <v>Yes</v>
      </c>
      <c r="O1759" s="6" t="s">
        <v>45</v>
      </c>
    </row>
    <row r="1760" customFormat="false" ht="15" hidden="false" customHeight="false" outlineLevel="0" collapsed="false">
      <c r="A1760" s="6" t="s">
        <v>3629</v>
      </c>
      <c r="B1760" s="6" t="s">
        <v>3630</v>
      </c>
      <c r="C1760" s="6" t="s">
        <v>75</v>
      </c>
      <c r="D1760" s="6" t="n">
        <v>20</v>
      </c>
      <c r="E1760" s="6" t="s">
        <v>206</v>
      </c>
      <c r="F1760" s="6" t="s">
        <v>106</v>
      </c>
      <c r="G1760" s="26" t="n">
        <v>46193</v>
      </c>
      <c r="H1760" s="6" t="s">
        <v>115</v>
      </c>
      <c r="I1760" s="26" t="n">
        <f aca="false">_xlfn.MINIFS(Transaction!$C$2:$C$8421,Transaction!$B$2:$B$8421,A1760)</f>
        <v>46221</v>
      </c>
      <c r="J1760" s="26" t="n">
        <f aca="false">_xlfn.MAXIFS(Transaction!$C$2:$C$8421,Transaction!$B$2:$B$8421,A1760)</f>
        <v>46221</v>
      </c>
      <c r="K1760" s="6" t="n">
        <f aca="false">COUNTIF(Transaction!$B$2:$B$8421,A1760)</f>
        <v>1</v>
      </c>
      <c r="L1760" s="10" t="n">
        <f aca="false">SUMIF(Transaction!$B$2:$B$8421,A1760,Transaction!$H$2:$H$8421)</f>
        <v>1954</v>
      </c>
      <c r="M1760" s="6" t="n">
        <f aca="false">Summary!$B$3-J1760</f>
        <v>45</v>
      </c>
      <c r="N1760" s="6" t="str">
        <f aca="false">IF(K1760&gt;1,"Yes","No")</f>
        <v>No</v>
      </c>
      <c r="O1760" s="6" t="s">
        <v>47</v>
      </c>
    </row>
    <row r="1761" customFormat="false" ht="15" hidden="false" customHeight="false" outlineLevel="0" collapsed="false">
      <c r="A1761" s="6" t="s">
        <v>3631</v>
      </c>
      <c r="B1761" s="6" t="s">
        <v>3632</v>
      </c>
      <c r="C1761" s="6" t="s">
        <v>85</v>
      </c>
      <c r="D1761" s="6" t="n">
        <v>30</v>
      </c>
      <c r="E1761" s="6" t="s">
        <v>118</v>
      </c>
      <c r="F1761" s="6" t="s">
        <v>77</v>
      </c>
      <c r="G1761" s="26" t="n">
        <v>46167</v>
      </c>
      <c r="H1761" s="6" t="s">
        <v>102</v>
      </c>
      <c r="I1761" s="26" t="n">
        <f aca="false">_xlfn.MINIFS(Transaction!$C$2:$C$8421,Transaction!$B$2:$B$8421,A1761)</f>
        <v>46207</v>
      </c>
      <c r="J1761" s="26" t="n">
        <f aca="false">_xlfn.MAXIFS(Transaction!$C$2:$C$8421,Transaction!$B$2:$B$8421,A1761)</f>
        <v>46207</v>
      </c>
      <c r="K1761" s="6" t="n">
        <f aca="false">COUNTIF(Transaction!$B$2:$B$8421,A1761)</f>
        <v>1</v>
      </c>
      <c r="L1761" s="10" t="n">
        <f aca="false">SUMIF(Transaction!$B$2:$B$8421,A1761,Transaction!$H$2:$H$8421)</f>
        <v>264</v>
      </c>
      <c r="M1761" s="6" t="n">
        <f aca="false">Summary!$B$3-J1761</f>
        <v>59</v>
      </c>
      <c r="N1761" s="6" t="str">
        <f aca="false">IF(K1761&gt;1,"Yes","No")</f>
        <v>No</v>
      </c>
      <c r="O1761" s="6" t="s">
        <v>47</v>
      </c>
    </row>
    <row r="1762" customFormat="false" ht="15" hidden="false" customHeight="false" outlineLevel="0" collapsed="false">
      <c r="A1762" s="6" t="s">
        <v>3633</v>
      </c>
      <c r="B1762" s="6" t="s">
        <v>3634</v>
      </c>
      <c r="C1762" s="6" t="s">
        <v>85</v>
      </c>
      <c r="D1762" s="6" t="n">
        <v>27</v>
      </c>
      <c r="E1762" s="6" t="s">
        <v>264</v>
      </c>
      <c r="F1762" s="6" t="s">
        <v>106</v>
      </c>
      <c r="G1762" s="26" t="n">
        <v>46007</v>
      </c>
      <c r="H1762" s="6" t="s">
        <v>78</v>
      </c>
      <c r="I1762" s="26" t="n">
        <f aca="false">_xlfn.MINIFS(Transaction!$C$2:$C$8421,Transaction!$B$2:$B$8421,A1762)</f>
        <v>46075</v>
      </c>
      <c r="J1762" s="26" t="n">
        <f aca="false">_xlfn.MAXIFS(Transaction!$C$2:$C$8421,Transaction!$B$2:$B$8421,A1762)</f>
        <v>46183</v>
      </c>
      <c r="K1762" s="6" t="n">
        <f aca="false">COUNTIF(Transaction!$B$2:$B$8421,A1762)</f>
        <v>5</v>
      </c>
      <c r="L1762" s="10" t="n">
        <f aca="false">SUMIF(Transaction!$B$2:$B$8421,A1762,Transaction!$H$2:$H$8421)</f>
        <v>9537</v>
      </c>
      <c r="M1762" s="6" t="n">
        <f aca="false">Summary!$B$3-J1762</f>
        <v>83</v>
      </c>
      <c r="N1762" s="6" t="str">
        <f aca="false">IF(K1762&gt;1,"Yes","No")</f>
        <v>Yes</v>
      </c>
      <c r="O1762" s="6" t="s">
        <v>46</v>
      </c>
    </row>
    <row r="1763" customFormat="false" ht="15" hidden="false" customHeight="false" outlineLevel="0" collapsed="false">
      <c r="A1763" s="6" t="s">
        <v>3635</v>
      </c>
      <c r="B1763" s="6" t="s">
        <v>3636</v>
      </c>
      <c r="C1763" s="6" t="s">
        <v>75</v>
      </c>
      <c r="D1763" s="6" t="n">
        <v>29</v>
      </c>
      <c r="E1763" s="6" t="s">
        <v>176</v>
      </c>
      <c r="F1763" s="6" t="s">
        <v>177</v>
      </c>
      <c r="G1763" s="26" t="n">
        <v>46113</v>
      </c>
      <c r="H1763" s="6" t="s">
        <v>88</v>
      </c>
      <c r="I1763" s="26" t="n">
        <f aca="false">_xlfn.MINIFS(Transaction!$C$2:$C$8421,Transaction!$B$2:$B$8421,A1763)</f>
        <v>46131</v>
      </c>
      <c r="J1763" s="26" t="n">
        <f aca="false">_xlfn.MAXIFS(Transaction!$C$2:$C$8421,Transaction!$B$2:$B$8421,A1763)</f>
        <v>46131</v>
      </c>
      <c r="K1763" s="6" t="n">
        <f aca="false">COUNTIF(Transaction!$B$2:$B$8421,A1763)</f>
        <v>1</v>
      </c>
      <c r="L1763" s="10" t="n">
        <f aca="false">SUMIF(Transaction!$B$2:$B$8421,A1763,Transaction!$H$2:$H$8421)</f>
        <v>2918</v>
      </c>
      <c r="M1763" s="6" t="n">
        <f aca="false">Summary!$B$3-J1763</f>
        <v>135</v>
      </c>
      <c r="N1763" s="6" t="str">
        <f aca="false">IF(K1763&gt;1,"Yes","No")</f>
        <v>No</v>
      </c>
      <c r="O1763" s="6" t="s">
        <v>48</v>
      </c>
    </row>
    <row r="1764" customFormat="false" ht="15" hidden="false" customHeight="false" outlineLevel="0" collapsed="false">
      <c r="A1764" s="6" t="s">
        <v>3637</v>
      </c>
      <c r="B1764" s="6" t="s">
        <v>3638</v>
      </c>
      <c r="C1764" s="6" t="s">
        <v>75</v>
      </c>
      <c r="D1764" s="6" t="n">
        <v>29</v>
      </c>
      <c r="E1764" s="6" t="s">
        <v>81</v>
      </c>
      <c r="F1764" s="6" t="s">
        <v>82</v>
      </c>
      <c r="G1764" s="26" t="n">
        <v>46210</v>
      </c>
      <c r="H1764" s="6" t="s">
        <v>88</v>
      </c>
      <c r="I1764" s="26" t="n">
        <f aca="false">_xlfn.MINIFS(Transaction!$C$2:$C$8421,Transaction!$B$2:$B$8421,A1764)</f>
        <v>46243</v>
      </c>
      <c r="J1764" s="26" t="n">
        <f aca="false">_xlfn.MAXIFS(Transaction!$C$2:$C$8421,Transaction!$B$2:$B$8421,A1764)</f>
        <v>46243</v>
      </c>
      <c r="K1764" s="6" t="n">
        <f aca="false">COUNTIF(Transaction!$B$2:$B$8421,A1764)</f>
        <v>1</v>
      </c>
      <c r="L1764" s="10" t="n">
        <f aca="false">SUMIF(Transaction!$B$2:$B$8421,A1764,Transaction!$H$2:$H$8421)</f>
        <v>885</v>
      </c>
      <c r="M1764" s="6" t="n">
        <f aca="false">Summary!$B$3-J1764</f>
        <v>23</v>
      </c>
      <c r="N1764" s="6" t="str">
        <f aca="false">IF(K1764&gt;1,"Yes","No")</f>
        <v>No</v>
      </c>
      <c r="O1764" s="6" t="s">
        <v>47</v>
      </c>
    </row>
    <row r="1765" customFormat="false" ht="15" hidden="false" customHeight="false" outlineLevel="0" collapsed="false">
      <c r="A1765" s="6" t="s">
        <v>3639</v>
      </c>
      <c r="B1765" s="6" t="s">
        <v>3640</v>
      </c>
      <c r="C1765" s="6" t="s">
        <v>85</v>
      </c>
      <c r="D1765" s="6" t="n">
        <v>38</v>
      </c>
      <c r="E1765" s="6" t="s">
        <v>76</v>
      </c>
      <c r="F1765" s="6" t="s">
        <v>77</v>
      </c>
      <c r="G1765" s="26" t="n">
        <v>46016</v>
      </c>
      <c r="H1765" s="6" t="s">
        <v>88</v>
      </c>
      <c r="I1765" s="26" t="n">
        <f aca="false">_xlfn.MINIFS(Transaction!$C$2:$C$8421,Transaction!$B$2:$B$8421,A1765)</f>
        <v>46099</v>
      </c>
      <c r="J1765" s="26" t="n">
        <f aca="false">_xlfn.MAXIFS(Transaction!$C$2:$C$8421,Transaction!$B$2:$B$8421,A1765)</f>
        <v>46099</v>
      </c>
      <c r="K1765" s="6" t="n">
        <f aca="false">COUNTIF(Transaction!$B$2:$B$8421,A1765)</f>
        <v>1</v>
      </c>
      <c r="L1765" s="10" t="n">
        <f aca="false">SUMIF(Transaction!$B$2:$B$8421,A1765,Transaction!$H$2:$H$8421)</f>
        <v>589</v>
      </c>
      <c r="M1765" s="6" t="n">
        <f aca="false">Summary!$B$3-J1765</f>
        <v>167</v>
      </c>
      <c r="N1765" s="6" t="str">
        <f aca="false">IF(K1765&gt;1,"Yes","No")</f>
        <v>No</v>
      </c>
      <c r="O1765" s="6" t="s">
        <v>49</v>
      </c>
    </row>
    <row r="1766" customFormat="false" ht="15" hidden="false" customHeight="false" outlineLevel="0" collapsed="false">
      <c r="A1766" s="6" t="s">
        <v>3641</v>
      </c>
      <c r="B1766" s="6" t="s">
        <v>3642</v>
      </c>
      <c r="C1766" s="6" t="s">
        <v>85</v>
      </c>
      <c r="D1766" s="6" t="n">
        <v>35</v>
      </c>
      <c r="E1766" s="6" t="s">
        <v>86</v>
      </c>
      <c r="F1766" s="6" t="s">
        <v>87</v>
      </c>
      <c r="G1766" s="26" t="n">
        <v>46117</v>
      </c>
      <c r="H1766" s="6" t="s">
        <v>92</v>
      </c>
      <c r="I1766" s="26" t="n">
        <f aca="false">_xlfn.MINIFS(Transaction!$C$2:$C$8421,Transaction!$B$2:$B$8421,A1766)</f>
        <v>46183</v>
      </c>
      <c r="J1766" s="26" t="n">
        <f aca="false">_xlfn.MAXIFS(Transaction!$C$2:$C$8421,Transaction!$B$2:$B$8421,A1766)</f>
        <v>46227</v>
      </c>
      <c r="K1766" s="6" t="n">
        <f aca="false">COUNTIF(Transaction!$B$2:$B$8421,A1766)</f>
        <v>3</v>
      </c>
      <c r="L1766" s="10" t="n">
        <f aca="false">SUMIF(Transaction!$B$2:$B$8421,A1766,Transaction!$H$2:$H$8421)</f>
        <v>2908</v>
      </c>
      <c r="M1766" s="6" t="n">
        <f aca="false">Summary!$B$3-J1766</f>
        <v>39</v>
      </c>
      <c r="N1766" s="6" t="str">
        <f aca="false">IF(K1766&gt;1,"Yes","No")</f>
        <v>Yes</v>
      </c>
      <c r="O1766" s="6" t="s">
        <v>46</v>
      </c>
    </row>
    <row r="1767" customFormat="false" ht="15" hidden="false" customHeight="false" outlineLevel="0" collapsed="false">
      <c r="A1767" s="6" t="s">
        <v>3643</v>
      </c>
      <c r="B1767" s="6" t="s">
        <v>3644</v>
      </c>
      <c r="C1767" s="6" t="s">
        <v>85</v>
      </c>
      <c r="D1767" s="6" t="n">
        <v>25</v>
      </c>
      <c r="E1767" s="6" t="s">
        <v>86</v>
      </c>
      <c r="F1767" s="6" t="s">
        <v>87</v>
      </c>
      <c r="G1767" s="26" t="n">
        <v>46135</v>
      </c>
      <c r="H1767" s="6" t="s">
        <v>123</v>
      </c>
      <c r="I1767" s="26" t="n">
        <f aca="false">_xlfn.MINIFS(Transaction!$C$2:$C$8421,Transaction!$B$2:$B$8421,A1767)</f>
        <v>46146</v>
      </c>
      <c r="J1767" s="26" t="n">
        <f aca="false">_xlfn.MAXIFS(Transaction!$C$2:$C$8421,Transaction!$B$2:$B$8421,A1767)</f>
        <v>46146</v>
      </c>
      <c r="K1767" s="6" t="n">
        <f aca="false">COUNTIF(Transaction!$B$2:$B$8421,A1767)</f>
        <v>1</v>
      </c>
      <c r="L1767" s="10" t="n">
        <f aca="false">SUMIF(Transaction!$B$2:$B$8421,A1767,Transaction!$H$2:$H$8421)</f>
        <v>977</v>
      </c>
      <c r="M1767" s="6" t="n">
        <f aca="false">Summary!$B$3-J1767</f>
        <v>120</v>
      </c>
      <c r="N1767" s="6" t="str">
        <f aca="false">IF(K1767&gt;1,"Yes","No")</f>
        <v>No</v>
      </c>
      <c r="O1767" s="6" t="s">
        <v>48</v>
      </c>
    </row>
    <row r="1768" customFormat="false" ht="15" hidden="false" customHeight="false" outlineLevel="0" collapsed="false">
      <c r="A1768" s="6" t="s">
        <v>3645</v>
      </c>
      <c r="B1768" s="6" t="s">
        <v>3646</v>
      </c>
      <c r="C1768" s="6" t="s">
        <v>75</v>
      </c>
      <c r="D1768" s="6" t="n">
        <v>58</v>
      </c>
      <c r="E1768" s="6" t="s">
        <v>95</v>
      </c>
      <c r="F1768" s="6" t="s">
        <v>95</v>
      </c>
      <c r="G1768" s="26" t="n">
        <v>46069</v>
      </c>
      <c r="H1768" s="6" t="s">
        <v>88</v>
      </c>
      <c r="I1768" s="26" t="n">
        <f aca="false">_xlfn.MINIFS(Transaction!$C$2:$C$8421,Transaction!$B$2:$B$8421,A1768)</f>
        <v>46092</v>
      </c>
      <c r="J1768" s="26" t="n">
        <f aca="false">_xlfn.MAXIFS(Transaction!$C$2:$C$8421,Transaction!$B$2:$B$8421,A1768)</f>
        <v>46092</v>
      </c>
      <c r="K1768" s="6" t="n">
        <f aca="false">COUNTIF(Transaction!$B$2:$B$8421,A1768)</f>
        <v>1</v>
      </c>
      <c r="L1768" s="10" t="n">
        <f aca="false">SUMIF(Transaction!$B$2:$B$8421,A1768,Transaction!$H$2:$H$8421)</f>
        <v>1414</v>
      </c>
      <c r="M1768" s="6" t="n">
        <f aca="false">Summary!$B$3-J1768</f>
        <v>174</v>
      </c>
      <c r="N1768" s="6" t="str">
        <f aca="false">IF(K1768&gt;1,"Yes","No")</f>
        <v>No</v>
      </c>
      <c r="O1768" s="6" t="s">
        <v>49</v>
      </c>
    </row>
    <row r="1769" customFormat="false" ht="15" hidden="false" customHeight="false" outlineLevel="0" collapsed="false">
      <c r="A1769" s="6" t="s">
        <v>3647</v>
      </c>
      <c r="B1769" s="6" t="s">
        <v>3648</v>
      </c>
      <c r="C1769" s="6" t="s">
        <v>85</v>
      </c>
      <c r="D1769" s="6" t="n">
        <v>40</v>
      </c>
      <c r="E1769" s="6" t="s">
        <v>176</v>
      </c>
      <c r="F1769" s="6" t="s">
        <v>177</v>
      </c>
      <c r="G1769" s="26" t="n">
        <v>46056</v>
      </c>
      <c r="H1769" s="6" t="s">
        <v>115</v>
      </c>
      <c r="I1769" s="26" t="n">
        <f aca="false">_xlfn.MINIFS(Transaction!$C$2:$C$8421,Transaction!$B$2:$B$8421,A1769)</f>
        <v>46093</v>
      </c>
      <c r="J1769" s="26" t="n">
        <f aca="false">_xlfn.MAXIFS(Transaction!$C$2:$C$8421,Transaction!$B$2:$B$8421,A1769)</f>
        <v>46264</v>
      </c>
      <c r="K1769" s="6" t="n">
        <f aca="false">COUNTIF(Transaction!$B$2:$B$8421,A1769)</f>
        <v>8</v>
      </c>
      <c r="L1769" s="10" t="n">
        <f aca="false">SUMIF(Transaction!$B$2:$B$8421,A1769,Transaction!$H$2:$H$8421)</f>
        <v>16861</v>
      </c>
      <c r="M1769" s="6" t="n">
        <f aca="false">Summary!$B$3-J1769</f>
        <v>2</v>
      </c>
      <c r="N1769" s="6" t="str">
        <f aca="false">IF(K1769&gt;1,"Yes","No")</f>
        <v>Yes</v>
      </c>
      <c r="O1769" s="6" t="s">
        <v>45</v>
      </c>
    </row>
    <row r="1770" customFormat="false" ht="15" hidden="false" customHeight="false" outlineLevel="0" collapsed="false">
      <c r="A1770" s="6" t="s">
        <v>3649</v>
      </c>
      <c r="B1770" s="6" t="s">
        <v>3650</v>
      </c>
      <c r="C1770" s="6" t="s">
        <v>85</v>
      </c>
      <c r="D1770" s="6" t="n">
        <v>43</v>
      </c>
      <c r="E1770" s="6" t="s">
        <v>264</v>
      </c>
      <c r="F1770" s="6" t="s">
        <v>106</v>
      </c>
      <c r="G1770" s="26" t="n">
        <v>46208</v>
      </c>
      <c r="H1770" s="6" t="s">
        <v>123</v>
      </c>
      <c r="I1770" s="26" t="n">
        <f aca="false">_xlfn.MINIFS(Transaction!$C$2:$C$8421,Transaction!$B$2:$B$8421,A1770)</f>
        <v>46255</v>
      </c>
      <c r="J1770" s="26" t="n">
        <f aca="false">_xlfn.MAXIFS(Transaction!$C$2:$C$8421,Transaction!$B$2:$B$8421,A1770)</f>
        <v>46255</v>
      </c>
      <c r="K1770" s="6" t="n">
        <f aca="false">COUNTIF(Transaction!$B$2:$B$8421,A1770)</f>
        <v>1</v>
      </c>
      <c r="L1770" s="10" t="n">
        <f aca="false">SUMIF(Transaction!$B$2:$B$8421,A1770,Transaction!$H$2:$H$8421)</f>
        <v>1761</v>
      </c>
      <c r="M1770" s="6" t="n">
        <f aca="false">Summary!$B$3-J1770</f>
        <v>11</v>
      </c>
      <c r="N1770" s="6" t="str">
        <f aca="false">IF(K1770&gt;1,"Yes","No")</f>
        <v>No</v>
      </c>
      <c r="O1770" s="6" t="s">
        <v>47</v>
      </c>
    </row>
    <row r="1771" customFormat="false" ht="15" hidden="false" customHeight="false" outlineLevel="0" collapsed="false">
      <c r="A1771" s="6" t="s">
        <v>3651</v>
      </c>
      <c r="B1771" s="6" t="s">
        <v>3652</v>
      </c>
      <c r="C1771" s="6" t="s">
        <v>85</v>
      </c>
      <c r="D1771" s="6" t="n">
        <v>27</v>
      </c>
      <c r="E1771" s="6" t="s">
        <v>86</v>
      </c>
      <c r="F1771" s="6" t="s">
        <v>87</v>
      </c>
      <c r="G1771" s="26" t="n">
        <v>46077</v>
      </c>
      <c r="H1771" s="6" t="s">
        <v>123</v>
      </c>
      <c r="I1771" s="26" t="n">
        <f aca="false">_xlfn.MINIFS(Transaction!$C$2:$C$8421,Transaction!$B$2:$B$8421,A1771)</f>
        <v>46149</v>
      </c>
      <c r="J1771" s="26" t="n">
        <f aca="false">_xlfn.MAXIFS(Transaction!$C$2:$C$8421,Transaction!$B$2:$B$8421,A1771)</f>
        <v>46149</v>
      </c>
      <c r="K1771" s="6" t="n">
        <f aca="false">COUNTIF(Transaction!$B$2:$B$8421,A1771)</f>
        <v>1</v>
      </c>
      <c r="L1771" s="10" t="n">
        <f aca="false">SUMIF(Transaction!$B$2:$B$8421,A1771,Transaction!$H$2:$H$8421)</f>
        <v>782</v>
      </c>
      <c r="M1771" s="6" t="n">
        <f aca="false">Summary!$B$3-J1771</f>
        <v>117</v>
      </c>
      <c r="N1771" s="6" t="str">
        <f aca="false">IF(K1771&gt;1,"Yes","No")</f>
        <v>No</v>
      </c>
      <c r="O1771" s="6" t="s">
        <v>48</v>
      </c>
    </row>
    <row r="1772" customFormat="false" ht="15" hidden="false" customHeight="false" outlineLevel="0" collapsed="false">
      <c r="A1772" s="6" t="s">
        <v>3653</v>
      </c>
      <c r="B1772" s="6" t="s">
        <v>3654</v>
      </c>
      <c r="C1772" s="6" t="s">
        <v>85</v>
      </c>
      <c r="D1772" s="6" t="n">
        <v>32</v>
      </c>
      <c r="E1772" s="6" t="s">
        <v>98</v>
      </c>
      <c r="F1772" s="6" t="s">
        <v>99</v>
      </c>
      <c r="G1772" s="26" t="n">
        <v>46170</v>
      </c>
      <c r="H1772" s="6" t="s">
        <v>78</v>
      </c>
      <c r="I1772" s="26" t="n">
        <f aca="false">_xlfn.MINIFS(Transaction!$C$2:$C$8421,Transaction!$B$2:$B$8421,A1772)</f>
        <v>46235</v>
      </c>
      <c r="J1772" s="26" t="n">
        <f aca="false">_xlfn.MAXIFS(Transaction!$C$2:$C$8421,Transaction!$B$2:$B$8421,A1772)</f>
        <v>46235</v>
      </c>
      <c r="K1772" s="6" t="n">
        <f aca="false">COUNTIF(Transaction!$B$2:$B$8421,A1772)</f>
        <v>1</v>
      </c>
      <c r="L1772" s="10" t="n">
        <f aca="false">SUMIF(Transaction!$B$2:$B$8421,A1772,Transaction!$H$2:$H$8421)</f>
        <v>661</v>
      </c>
      <c r="M1772" s="6" t="n">
        <f aca="false">Summary!$B$3-J1772</f>
        <v>31</v>
      </c>
      <c r="N1772" s="6" t="str">
        <f aca="false">IF(K1772&gt;1,"Yes","No")</f>
        <v>No</v>
      </c>
      <c r="O1772" s="6" t="s">
        <v>47</v>
      </c>
    </row>
    <row r="1773" customFormat="false" ht="15" hidden="false" customHeight="false" outlineLevel="0" collapsed="false">
      <c r="A1773" s="6" t="s">
        <v>3655</v>
      </c>
      <c r="B1773" s="6" t="s">
        <v>3656</v>
      </c>
      <c r="C1773" s="6" t="s">
        <v>85</v>
      </c>
      <c r="D1773" s="6" t="n">
        <v>34</v>
      </c>
      <c r="E1773" s="6" t="s">
        <v>91</v>
      </c>
      <c r="F1773" s="6" t="s">
        <v>77</v>
      </c>
      <c r="G1773" s="26" t="n">
        <v>46043</v>
      </c>
      <c r="H1773" s="6" t="s">
        <v>115</v>
      </c>
      <c r="I1773" s="26" t="n">
        <f aca="false">_xlfn.MINIFS(Transaction!$C$2:$C$8421,Transaction!$B$2:$B$8421,A1773)</f>
        <v>46107</v>
      </c>
      <c r="J1773" s="26" t="n">
        <f aca="false">_xlfn.MAXIFS(Transaction!$C$2:$C$8421,Transaction!$B$2:$B$8421,A1773)</f>
        <v>46262</v>
      </c>
      <c r="K1773" s="6" t="n">
        <f aca="false">COUNTIF(Transaction!$B$2:$B$8421,A1773)</f>
        <v>10</v>
      </c>
      <c r="L1773" s="10" t="n">
        <f aca="false">SUMIF(Transaction!$B$2:$B$8421,A1773,Transaction!$H$2:$H$8421)</f>
        <v>14819</v>
      </c>
      <c r="M1773" s="6" t="n">
        <f aca="false">Summary!$B$3-J1773</f>
        <v>4</v>
      </c>
      <c r="N1773" s="6" t="str">
        <f aca="false">IF(K1773&gt;1,"Yes","No")</f>
        <v>Yes</v>
      </c>
      <c r="O1773" s="6" t="s">
        <v>45</v>
      </c>
    </row>
    <row r="1774" customFormat="false" ht="15" hidden="false" customHeight="false" outlineLevel="0" collapsed="false">
      <c r="A1774" s="6" t="s">
        <v>3657</v>
      </c>
      <c r="B1774" s="6" t="s">
        <v>3658</v>
      </c>
      <c r="C1774" s="6" t="s">
        <v>75</v>
      </c>
      <c r="D1774" s="6" t="n">
        <v>32</v>
      </c>
      <c r="E1774" s="6" t="s">
        <v>140</v>
      </c>
      <c r="F1774" s="6" t="s">
        <v>141</v>
      </c>
      <c r="G1774" s="26" t="n">
        <v>46046</v>
      </c>
      <c r="H1774" s="6" t="s">
        <v>115</v>
      </c>
      <c r="I1774" s="26" t="n">
        <f aca="false">_xlfn.MINIFS(Transaction!$C$2:$C$8421,Transaction!$B$2:$B$8421,A1774)</f>
        <v>46092</v>
      </c>
      <c r="J1774" s="26" t="n">
        <f aca="false">_xlfn.MAXIFS(Transaction!$C$2:$C$8421,Transaction!$B$2:$B$8421,A1774)</f>
        <v>46196</v>
      </c>
      <c r="K1774" s="6" t="n">
        <f aca="false">COUNTIF(Transaction!$B$2:$B$8421,A1774)</f>
        <v>4</v>
      </c>
      <c r="L1774" s="10" t="n">
        <f aca="false">SUMIF(Transaction!$B$2:$B$8421,A1774,Transaction!$H$2:$H$8421)</f>
        <v>2915</v>
      </c>
      <c r="M1774" s="6" t="n">
        <f aca="false">Summary!$B$3-J1774</f>
        <v>70</v>
      </c>
      <c r="N1774" s="6" t="str">
        <f aca="false">IF(K1774&gt;1,"Yes","No")</f>
        <v>Yes</v>
      </c>
      <c r="O1774" s="6" t="s">
        <v>46</v>
      </c>
    </row>
    <row r="1775" customFormat="false" ht="15" hidden="false" customHeight="false" outlineLevel="0" collapsed="false">
      <c r="A1775" s="6" t="s">
        <v>3659</v>
      </c>
      <c r="B1775" s="6" t="s">
        <v>3660</v>
      </c>
      <c r="C1775" s="6" t="s">
        <v>75</v>
      </c>
      <c r="D1775" s="6" t="n">
        <v>42</v>
      </c>
      <c r="E1775" s="6" t="s">
        <v>91</v>
      </c>
      <c r="F1775" s="6" t="s">
        <v>77</v>
      </c>
      <c r="G1775" s="26" t="n">
        <v>46067</v>
      </c>
      <c r="H1775" s="6" t="s">
        <v>78</v>
      </c>
      <c r="I1775" s="26" t="n">
        <f aca="false">_xlfn.MINIFS(Transaction!$C$2:$C$8421,Transaction!$B$2:$B$8421,A1775)</f>
        <v>46105</v>
      </c>
      <c r="J1775" s="26" t="n">
        <f aca="false">_xlfn.MAXIFS(Transaction!$C$2:$C$8421,Transaction!$B$2:$B$8421,A1775)</f>
        <v>46241</v>
      </c>
      <c r="K1775" s="6" t="n">
        <f aca="false">COUNTIF(Transaction!$B$2:$B$8421,A1775)</f>
        <v>5</v>
      </c>
      <c r="L1775" s="10" t="n">
        <f aca="false">SUMIF(Transaction!$B$2:$B$8421,A1775,Transaction!$H$2:$H$8421)</f>
        <v>6228</v>
      </c>
      <c r="M1775" s="6" t="n">
        <f aca="false">Summary!$B$3-J1775</f>
        <v>25</v>
      </c>
      <c r="N1775" s="6" t="str">
        <f aca="false">IF(K1775&gt;1,"Yes","No")</f>
        <v>Yes</v>
      </c>
      <c r="O1775" s="6" t="s">
        <v>46</v>
      </c>
    </row>
    <row r="1776" customFormat="false" ht="15" hidden="false" customHeight="false" outlineLevel="0" collapsed="false">
      <c r="A1776" s="6" t="s">
        <v>3661</v>
      </c>
      <c r="B1776" s="6" t="s">
        <v>3662</v>
      </c>
      <c r="C1776" s="6" t="s">
        <v>75</v>
      </c>
      <c r="D1776" s="6" t="n">
        <v>41</v>
      </c>
      <c r="E1776" s="6" t="s">
        <v>321</v>
      </c>
      <c r="F1776" s="6" t="s">
        <v>321</v>
      </c>
      <c r="G1776" s="26" t="n">
        <v>46135</v>
      </c>
      <c r="H1776" s="6" t="s">
        <v>88</v>
      </c>
      <c r="I1776" s="26" t="n">
        <f aca="false">_xlfn.MINIFS(Transaction!$C$2:$C$8421,Transaction!$B$2:$B$8421,A1776)</f>
        <v>46140</v>
      </c>
      <c r="J1776" s="26" t="n">
        <f aca="false">_xlfn.MAXIFS(Transaction!$C$2:$C$8421,Transaction!$B$2:$B$8421,A1776)</f>
        <v>46140</v>
      </c>
      <c r="K1776" s="6" t="n">
        <f aca="false">COUNTIF(Transaction!$B$2:$B$8421,A1776)</f>
        <v>1</v>
      </c>
      <c r="L1776" s="10" t="n">
        <f aca="false">SUMIF(Transaction!$B$2:$B$8421,A1776,Transaction!$H$2:$H$8421)</f>
        <v>976</v>
      </c>
      <c r="M1776" s="6" t="n">
        <f aca="false">Summary!$B$3-J1776</f>
        <v>126</v>
      </c>
      <c r="N1776" s="6" t="str">
        <f aca="false">IF(K1776&gt;1,"Yes","No")</f>
        <v>No</v>
      </c>
      <c r="O1776" s="6" t="s">
        <v>48</v>
      </c>
    </row>
    <row r="1777" customFormat="false" ht="15" hidden="false" customHeight="false" outlineLevel="0" collapsed="false">
      <c r="A1777" s="6" t="s">
        <v>3663</v>
      </c>
      <c r="B1777" s="6" t="s">
        <v>3664</v>
      </c>
      <c r="C1777" s="6" t="s">
        <v>85</v>
      </c>
      <c r="D1777" s="6" t="n">
        <v>43</v>
      </c>
      <c r="E1777" s="6" t="s">
        <v>81</v>
      </c>
      <c r="F1777" s="6" t="s">
        <v>82</v>
      </c>
      <c r="G1777" s="26" t="n">
        <v>45983</v>
      </c>
      <c r="H1777" s="6" t="s">
        <v>123</v>
      </c>
      <c r="I1777" s="26" t="n">
        <f aca="false">_xlfn.MINIFS(Transaction!$C$2:$C$8421,Transaction!$B$2:$B$8421,A1777)</f>
        <v>46043</v>
      </c>
      <c r="J1777" s="26" t="n">
        <f aca="false">_xlfn.MAXIFS(Transaction!$C$2:$C$8421,Transaction!$B$2:$B$8421,A1777)</f>
        <v>46207</v>
      </c>
      <c r="K1777" s="6" t="n">
        <f aca="false">COUNTIF(Transaction!$B$2:$B$8421,A1777)</f>
        <v>5</v>
      </c>
      <c r="L1777" s="10" t="n">
        <f aca="false">SUMIF(Transaction!$B$2:$B$8421,A1777,Transaction!$H$2:$H$8421)</f>
        <v>13662</v>
      </c>
      <c r="M1777" s="6" t="n">
        <f aca="false">Summary!$B$3-J1777</f>
        <v>59</v>
      </c>
      <c r="N1777" s="6" t="str">
        <f aca="false">IF(K1777&gt;1,"Yes","No")</f>
        <v>Yes</v>
      </c>
      <c r="O1777" s="6" t="s">
        <v>46</v>
      </c>
    </row>
    <row r="1778" customFormat="false" ht="15" hidden="false" customHeight="false" outlineLevel="0" collapsed="false">
      <c r="A1778" s="6" t="s">
        <v>3665</v>
      </c>
      <c r="B1778" s="6" t="s">
        <v>3666</v>
      </c>
      <c r="C1778" s="6" t="s">
        <v>75</v>
      </c>
      <c r="D1778" s="6" t="n">
        <v>31</v>
      </c>
      <c r="E1778" s="6" t="s">
        <v>76</v>
      </c>
      <c r="F1778" s="6" t="s">
        <v>77</v>
      </c>
      <c r="G1778" s="26" t="n">
        <v>46065</v>
      </c>
      <c r="H1778" s="6" t="s">
        <v>123</v>
      </c>
      <c r="I1778" s="26" t="n">
        <f aca="false">_xlfn.MINIFS(Transaction!$C$2:$C$8421,Transaction!$B$2:$B$8421,A1778)</f>
        <v>46106</v>
      </c>
      <c r="J1778" s="26" t="n">
        <f aca="false">_xlfn.MAXIFS(Transaction!$C$2:$C$8421,Transaction!$B$2:$B$8421,A1778)</f>
        <v>46257</v>
      </c>
      <c r="K1778" s="6" t="n">
        <f aca="false">COUNTIF(Transaction!$B$2:$B$8421,A1778)</f>
        <v>2</v>
      </c>
      <c r="L1778" s="10" t="n">
        <f aca="false">SUMIF(Transaction!$B$2:$B$8421,A1778,Transaction!$H$2:$H$8421)</f>
        <v>5368</v>
      </c>
      <c r="M1778" s="6" t="n">
        <f aca="false">Summary!$B$3-J1778</f>
        <v>9</v>
      </c>
      <c r="N1778" s="6" t="str">
        <f aca="false">IF(K1778&gt;1,"Yes","No")</f>
        <v>Yes</v>
      </c>
      <c r="O1778" s="6" t="s">
        <v>46</v>
      </c>
    </row>
    <row r="1779" customFormat="false" ht="15" hidden="false" customHeight="false" outlineLevel="0" collapsed="false">
      <c r="A1779" s="6" t="s">
        <v>3667</v>
      </c>
      <c r="B1779" s="6" t="s">
        <v>3668</v>
      </c>
      <c r="C1779" s="6" t="s">
        <v>85</v>
      </c>
      <c r="D1779" s="6" t="n">
        <v>41</v>
      </c>
      <c r="E1779" s="6" t="s">
        <v>81</v>
      </c>
      <c r="F1779" s="6" t="s">
        <v>82</v>
      </c>
      <c r="G1779" s="26" t="n">
        <v>46042</v>
      </c>
      <c r="H1779" s="6" t="s">
        <v>123</v>
      </c>
      <c r="I1779" s="26" t="n">
        <f aca="false">_xlfn.MINIFS(Transaction!$C$2:$C$8421,Transaction!$B$2:$B$8421,A1779)</f>
        <v>46070</v>
      </c>
      <c r="J1779" s="26" t="n">
        <f aca="false">_xlfn.MAXIFS(Transaction!$C$2:$C$8421,Transaction!$B$2:$B$8421,A1779)</f>
        <v>46070</v>
      </c>
      <c r="K1779" s="6" t="n">
        <f aca="false">COUNTIF(Transaction!$B$2:$B$8421,A1779)</f>
        <v>1</v>
      </c>
      <c r="L1779" s="10" t="n">
        <f aca="false">SUMIF(Transaction!$B$2:$B$8421,A1779,Transaction!$H$2:$H$8421)</f>
        <v>2548</v>
      </c>
      <c r="M1779" s="6" t="n">
        <f aca="false">Summary!$B$3-J1779</f>
        <v>196</v>
      </c>
      <c r="N1779" s="6" t="str">
        <f aca="false">IF(K1779&gt;1,"Yes","No")</f>
        <v>No</v>
      </c>
      <c r="O1779" s="6" t="s">
        <v>49</v>
      </c>
    </row>
    <row r="1780" customFormat="false" ht="15" hidden="false" customHeight="false" outlineLevel="0" collapsed="false">
      <c r="A1780" s="6" t="s">
        <v>3669</v>
      </c>
      <c r="B1780" s="6" t="s">
        <v>3670</v>
      </c>
      <c r="C1780" s="6" t="s">
        <v>85</v>
      </c>
      <c r="D1780" s="6" t="n">
        <v>24</v>
      </c>
      <c r="E1780" s="6" t="s">
        <v>105</v>
      </c>
      <c r="F1780" s="6" t="s">
        <v>106</v>
      </c>
      <c r="G1780" s="26" t="n">
        <v>46223</v>
      </c>
      <c r="H1780" s="6" t="s">
        <v>115</v>
      </c>
      <c r="I1780" s="26" t="n">
        <f aca="false">_xlfn.MINIFS(Transaction!$C$2:$C$8421,Transaction!$B$2:$B$8421,A1780)</f>
        <v>46263</v>
      </c>
      <c r="J1780" s="26" t="n">
        <f aca="false">_xlfn.MAXIFS(Transaction!$C$2:$C$8421,Transaction!$B$2:$B$8421,A1780)</f>
        <v>46263</v>
      </c>
      <c r="K1780" s="6" t="n">
        <f aca="false">COUNTIF(Transaction!$B$2:$B$8421,A1780)</f>
        <v>1</v>
      </c>
      <c r="L1780" s="10" t="n">
        <f aca="false">SUMIF(Transaction!$B$2:$B$8421,A1780,Transaction!$H$2:$H$8421)</f>
        <v>977</v>
      </c>
      <c r="M1780" s="6" t="n">
        <f aca="false">Summary!$B$3-J1780</f>
        <v>3</v>
      </c>
      <c r="N1780" s="6" t="str">
        <f aca="false">IF(K1780&gt;1,"Yes","No")</f>
        <v>No</v>
      </c>
      <c r="O1780" s="6" t="s">
        <v>47</v>
      </c>
    </row>
    <row r="1781" customFormat="false" ht="15" hidden="false" customHeight="false" outlineLevel="0" collapsed="false">
      <c r="A1781" s="6" t="s">
        <v>3671</v>
      </c>
      <c r="B1781" s="6" t="s">
        <v>3672</v>
      </c>
      <c r="C1781" s="6" t="s">
        <v>85</v>
      </c>
      <c r="D1781" s="6" t="n">
        <v>28</v>
      </c>
      <c r="E1781" s="6" t="s">
        <v>134</v>
      </c>
      <c r="F1781" s="6" t="s">
        <v>135</v>
      </c>
      <c r="G1781" s="26" t="n">
        <v>46115</v>
      </c>
      <c r="H1781" s="6" t="s">
        <v>78</v>
      </c>
      <c r="I1781" s="26" t="n">
        <f aca="false">_xlfn.MINIFS(Transaction!$C$2:$C$8421,Transaction!$B$2:$B$8421,A1781)</f>
        <v>46162</v>
      </c>
      <c r="J1781" s="26" t="n">
        <f aca="false">_xlfn.MAXIFS(Transaction!$C$2:$C$8421,Transaction!$B$2:$B$8421,A1781)</f>
        <v>46162</v>
      </c>
      <c r="K1781" s="6" t="n">
        <f aca="false">COUNTIF(Transaction!$B$2:$B$8421,A1781)</f>
        <v>1</v>
      </c>
      <c r="L1781" s="10" t="n">
        <f aca="false">SUMIF(Transaction!$B$2:$B$8421,A1781,Transaction!$H$2:$H$8421)</f>
        <v>2554</v>
      </c>
      <c r="M1781" s="6" t="n">
        <f aca="false">Summary!$B$3-J1781</f>
        <v>104</v>
      </c>
      <c r="N1781" s="6" t="str">
        <f aca="false">IF(K1781&gt;1,"Yes","No")</f>
        <v>No</v>
      </c>
      <c r="O1781" s="6" t="s">
        <v>48</v>
      </c>
    </row>
    <row r="1782" customFormat="false" ht="15" hidden="false" customHeight="false" outlineLevel="0" collapsed="false">
      <c r="A1782" s="6" t="s">
        <v>3673</v>
      </c>
      <c r="B1782" s="6" t="s">
        <v>3674</v>
      </c>
      <c r="C1782" s="6" t="s">
        <v>75</v>
      </c>
      <c r="D1782" s="6" t="n">
        <v>28</v>
      </c>
      <c r="E1782" s="6" t="s">
        <v>91</v>
      </c>
      <c r="F1782" s="6" t="s">
        <v>77</v>
      </c>
      <c r="G1782" s="26" t="n">
        <v>46192</v>
      </c>
      <c r="H1782" s="6" t="s">
        <v>123</v>
      </c>
      <c r="I1782" s="26" t="n">
        <f aca="false">_xlfn.MINIFS(Transaction!$C$2:$C$8421,Transaction!$B$2:$B$8421,A1782)</f>
        <v>46258</v>
      </c>
      <c r="J1782" s="26" t="n">
        <f aca="false">_xlfn.MAXIFS(Transaction!$C$2:$C$8421,Transaction!$B$2:$B$8421,A1782)</f>
        <v>46258</v>
      </c>
      <c r="K1782" s="6" t="n">
        <f aca="false">COUNTIF(Transaction!$B$2:$B$8421,A1782)</f>
        <v>1</v>
      </c>
      <c r="L1782" s="10" t="n">
        <f aca="false">SUMIF(Transaction!$B$2:$B$8421,A1782,Transaction!$H$2:$H$8421)</f>
        <v>912</v>
      </c>
      <c r="M1782" s="6" t="n">
        <f aca="false">Summary!$B$3-J1782</f>
        <v>8</v>
      </c>
      <c r="N1782" s="6" t="str">
        <f aca="false">IF(K1782&gt;1,"Yes","No")</f>
        <v>No</v>
      </c>
      <c r="O1782" s="6" t="s">
        <v>47</v>
      </c>
    </row>
    <row r="1783" customFormat="false" ht="15" hidden="false" customHeight="false" outlineLevel="0" collapsed="false">
      <c r="A1783" s="6" t="s">
        <v>3675</v>
      </c>
      <c r="B1783" s="6" t="s">
        <v>3676</v>
      </c>
      <c r="C1783" s="6" t="s">
        <v>75</v>
      </c>
      <c r="D1783" s="6" t="n">
        <v>47</v>
      </c>
      <c r="E1783" s="6" t="s">
        <v>86</v>
      </c>
      <c r="F1783" s="6" t="s">
        <v>87</v>
      </c>
      <c r="G1783" s="26" t="n">
        <v>46061</v>
      </c>
      <c r="H1783" s="6" t="s">
        <v>78</v>
      </c>
      <c r="I1783" s="26" t="n">
        <f aca="false">_xlfn.MINIFS(Transaction!$C$2:$C$8421,Transaction!$B$2:$B$8421,A1783)</f>
        <v>46121</v>
      </c>
      <c r="J1783" s="26" t="n">
        <f aca="false">_xlfn.MAXIFS(Transaction!$C$2:$C$8421,Transaction!$B$2:$B$8421,A1783)</f>
        <v>46264</v>
      </c>
      <c r="K1783" s="6" t="n">
        <f aca="false">COUNTIF(Transaction!$B$2:$B$8421,A1783)</f>
        <v>8</v>
      </c>
      <c r="L1783" s="10" t="n">
        <f aca="false">SUMIF(Transaction!$B$2:$B$8421,A1783,Transaction!$H$2:$H$8421)</f>
        <v>19249</v>
      </c>
      <c r="M1783" s="6" t="n">
        <f aca="false">Summary!$B$3-J1783</f>
        <v>2</v>
      </c>
      <c r="N1783" s="6" t="str">
        <f aca="false">IF(K1783&gt;1,"Yes","No")</f>
        <v>Yes</v>
      </c>
      <c r="O1783" s="6" t="s">
        <v>45</v>
      </c>
    </row>
    <row r="1784" customFormat="false" ht="15" hidden="false" customHeight="false" outlineLevel="0" collapsed="false">
      <c r="A1784" s="6" t="s">
        <v>3677</v>
      </c>
      <c r="B1784" s="6" t="s">
        <v>3678</v>
      </c>
      <c r="C1784" s="6" t="s">
        <v>85</v>
      </c>
      <c r="D1784" s="6" t="n">
        <v>42</v>
      </c>
      <c r="E1784" s="6" t="s">
        <v>140</v>
      </c>
      <c r="F1784" s="6" t="s">
        <v>141</v>
      </c>
      <c r="G1784" s="26" t="n">
        <v>46098</v>
      </c>
      <c r="H1784" s="6" t="s">
        <v>78</v>
      </c>
      <c r="I1784" s="26" t="n">
        <f aca="false">_xlfn.MINIFS(Transaction!$C$2:$C$8421,Transaction!$B$2:$B$8421,A1784)</f>
        <v>46165</v>
      </c>
      <c r="J1784" s="26" t="n">
        <f aca="false">_xlfn.MAXIFS(Transaction!$C$2:$C$8421,Transaction!$B$2:$B$8421,A1784)</f>
        <v>46165</v>
      </c>
      <c r="K1784" s="6" t="n">
        <f aca="false">COUNTIF(Transaction!$B$2:$B$8421,A1784)</f>
        <v>1</v>
      </c>
      <c r="L1784" s="10" t="n">
        <f aca="false">SUMIF(Transaction!$B$2:$B$8421,A1784,Transaction!$H$2:$H$8421)</f>
        <v>1732</v>
      </c>
      <c r="M1784" s="6" t="n">
        <f aca="false">Summary!$B$3-J1784</f>
        <v>101</v>
      </c>
      <c r="N1784" s="6" t="str">
        <f aca="false">IF(K1784&gt;1,"Yes","No")</f>
        <v>No</v>
      </c>
      <c r="O1784" s="6" t="s">
        <v>48</v>
      </c>
    </row>
    <row r="1785" customFormat="false" ht="15" hidden="false" customHeight="false" outlineLevel="0" collapsed="false">
      <c r="A1785" s="6" t="s">
        <v>3679</v>
      </c>
      <c r="B1785" s="6" t="s">
        <v>3680</v>
      </c>
      <c r="C1785" s="6" t="s">
        <v>85</v>
      </c>
      <c r="D1785" s="6" t="n">
        <v>32</v>
      </c>
      <c r="E1785" s="6" t="s">
        <v>95</v>
      </c>
      <c r="F1785" s="6" t="s">
        <v>95</v>
      </c>
      <c r="G1785" s="26" t="n">
        <v>46095</v>
      </c>
      <c r="H1785" s="6" t="s">
        <v>78</v>
      </c>
      <c r="I1785" s="26" t="n">
        <f aca="false">_xlfn.MINIFS(Transaction!$C$2:$C$8421,Transaction!$B$2:$B$8421,A1785)</f>
        <v>46128</v>
      </c>
      <c r="J1785" s="26" t="n">
        <f aca="false">_xlfn.MAXIFS(Transaction!$C$2:$C$8421,Transaction!$B$2:$B$8421,A1785)</f>
        <v>46128</v>
      </c>
      <c r="K1785" s="6" t="n">
        <f aca="false">COUNTIF(Transaction!$B$2:$B$8421,A1785)</f>
        <v>1</v>
      </c>
      <c r="L1785" s="10" t="n">
        <f aca="false">SUMIF(Transaction!$B$2:$B$8421,A1785,Transaction!$H$2:$H$8421)</f>
        <v>20395</v>
      </c>
      <c r="M1785" s="6" t="n">
        <f aca="false">Summary!$B$3-J1785</f>
        <v>138</v>
      </c>
      <c r="N1785" s="6" t="str">
        <f aca="false">IF(K1785&gt;1,"Yes","No")</f>
        <v>No</v>
      </c>
      <c r="O1785" s="6" t="s">
        <v>48</v>
      </c>
    </row>
    <row r="1786" customFormat="false" ht="15" hidden="false" customHeight="false" outlineLevel="0" collapsed="false">
      <c r="A1786" s="6" t="s">
        <v>3681</v>
      </c>
      <c r="B1786" s="6" t="s">
        <v>3682</v>
      </c>
      <c r="C1786" s="6" t="s">
        <v>85</v>
      </c>
      <c r="D1786" s="6" t="n">
        <v>42</v>
      </c>
      <c r="E1786" s="6" t="s">
        <v>76</v>
      </c>
      <c r="F1786" s="6" t="s">
        <v>77</v>
      </c>
      <c r="G1786" s="26" t="n">
        <v>45966</v>
      </c>
      <c r="H1786" s="6" t="s">
        <v>115</v>
      </c>
      <c r="I1786" s="26" t="n">
        <f aca="false">_xlfn.MINIFS(Transaction!$C$2:$C$8421,Transaction!$B$2:$B$8421,A1786)</f>
        <v>46047</v>
      </c>
      <c r="J1786" s="26" t="n">
        <f aca="false">_xlfn.MAXIFS(Transaction!$C$2:$C$8421,Transaction!$B$2:$B$8421,A1786)</f>
        <v>46047</v>
      </c>
      <c r="K1786" s="6" t="n">
        <f aca="false">COUNTIF(Transaction!$B$2:$B$8421,A1786)</f>
        <v>1</v>
      </c>
      <c r="L1786" s="10" t="n">
        <f aca="false">SUMIF(Transaction!$B$2:$B$8421,A1786,Transaction!$H$2:$H$8421)</f>
        <v>1521</v>
      </c>
      <c r="M1786" s="6" t="n">
        <f aca="false">Summary!$B$3-J1786</f>
        <v>219</v>
      </c>
      <c r="N1786" s="6" t="str">
        <f aca="false">IF(K1786&gt;1,"Yes","No")</f>
        <v>No</v>
      </c>
      <c r="O1786" s="6" t="s">
        <v>49</v>
      </c>
    </row>
    <row r="1787" customFormat="false" ht="15" hidden="false" customHeight="false" outlineLevel="0" collapsed="false">
      <c r="A1787" s="6" t="s">
        <v>3683</v>
      </c>
      <c r="B1787" s="6" t="s">
        <v>3684</v>
      </c>
      <c r="C1787" s="6" t="s">
        <v>85</v>
      </c>
      <c r="D1787" s="6" t="n">
        <v>37</v>
      </c>
      <c r="E1787" s="6" t="s">
        <v>76</v>
      </c>
      <c r="F1787" s="6" t="s">
        <v>77</v>
      </c>
      <c r="G1787" s="26" t="n">
        <v>46070</v>
      </c>
      <c r="H1787" s="6" t="s">
        <v>102</v>
      </c>
      <c r="I1787" s="26" t="n">
        <f aca="false">_xlfn.MINIFS(Transaction!$C$2:$C$8421,Transaction!$B$2:$B$8421,A1787)</f>
        <v>46111</v>
      </c>
      <c r="J1787" s="26" t="n">
        <f aca="false">_xlfn.MAXIFS(Transaction!$C$2:$C$8421,Transaction!$B$2:$B$8421,A1787)</f>
        <v>46217</v>
      </c>
      <c r="K1787" s="6" t="n">
        <f aca="false">COUNTIF(Transaction!$B$2:$B$8421,A1787)</f>
        <v>5</v>
      </c>
      <c r="L1787" s="10" t="n">
        <f aca="false">SUMIF(Transaction!$B$2:$B$8421,A1787,Transaction!$H$2:$H$8421)</f>
        <v>13863</v>
      </c>
      <c r="M1787" s="6" t="n">
        <f aca="false">Summary!$B$3-J1787</f>
        <v>49</v>
      </c>
      <c r="N1787" s="6" t="str">
        <f aca="false">IF(K1787&gt;1,"Yes","No")</f>
        <v>Yes</v>
      </c>
      <c r="O1787" s="6" t="s">
        <v>46</v>
      </c>
    </row>
    <row r="1788" customFormat="false" ht="15" hidden="false" customHeight="false" outlineLevel="0" collapsed="false">
      <c r="A1788" s="6" t="s">
        <v>3685</v>
      </c>
      <c r="B1788" s="6" t="s">
        <v>3686</v>
      </c>
      <c r="C1788" s="6" t="s">
        <v>85</v>
      </c>
      <c r="D1788" s="6" t="n">
        <v>24</v>
      </c>
      <c r="E1788" s="6" t="s">
        <v>134</v>
      </c>
      <c r="F1788" s="6" t="s">
        <v>135</v>
      </c>
      <c r="G1788" s="26" t="n">
        <v>46113</v>
      </c>
      <c r="H1788" s="6" t="s">
        <v>92</v>
      </c>
      <c r="I1788" s="26" t="n">
        <f aca="false">_xlfn.MINIFS(Transaction!$C$2:$C$8421,Transaction!$B$2:$B$8421,A1788)</f>
        <v>46163</v>
      </c>
      <c r="J1788" s="26" t="n">
        <f aca="false">_xlfn.MAXIFS(Transaction!$C$2:$C$8421,Transaction!$B$2:$B$8421,A1788)</f>
        <v>46163</v>
      </c>
      <c r="K1788" s="6" t="n">
        <f aca="false">COUNTIF(Transaction!$B$2:$B$8421,A1788)</f>
        <v>1</v>
      </c>
      <c r="L1788" s="10" t="n">
        <f aca="false">SUMIF(Transaction!$B$2:$B$8421,A1788,Transaction!$H$2:$H$8421)</f>
        <v>5897</v>
      </c>
      <c r="M1788" s="6" t="n">
        <f aca="false">Summary!$B$3-J1788</f>
        <v>103</v>
      </c>
      <c r="N1788" s="6" t="str">
        <f aca="false">IF(K1788&gt;1,"Yes","No")</f>
        <v>No</v>
      </c>
      <c r="O1788" s="6" t="s">
        <v>48</v>
      </c>
    </row>
    <row r="1789" customFormat="false" ht="15" hidden="false" customHeight="false" outlineLevel="0" collapsed="false">
      <c r="A1789" s="6" t="s">
        <v>3687</v>
      </c>
      <c r="B1789" s="6" t="s">
        <v>3688</v>
      </c>
      <c r="C1789" s="6" t="s">
        <v>85</v>
      </c>
      <c r="D1789" s="6" t="n">
        <v>22</v>
      </c>
      <c r="E1789" s="6" t="s">
        <v>176</v>
      </c>
      <c r="F1789" s="6" t="s">
        <v>177</v>
      </c>
      <c r="G1789" s="26" t="n">
        <v>46069</v>
      </c>
      <c r="H1789" s="6" t="s">
        <v>115</v>
      </c>
      <c r="I1789" s="26" t="n">
        <f aca="false">_xlfn.MINIFS(Transaction!$C$2:$C$8421,Transaction!$B$2:$B$8421,A1789)</f>
        <v>46142</v>
      </c>
      <c r="J1789" s="26" t="n">
        <f aca="false">_xlfn.MAXIFS(Transaction!$C$2:$C$8421,Transaction!$B$2:$B$8421,A1789)</f>
        <v>46142</v>
      </c>
      <c r="K1789" s="6" t="n">
        <f aca="false">COUNTIF(Transaction!$B$2:$B$8421,A1789)</f>
        <v>1</v>
      </c>
      <c r="L1789" s="10" t="n">
        <f aca="false">SUMIF(Transaction!$B$2:$B$8421,A1789,Transaction!$H$2:$H$8421)</f>
        <v>1368</v>
      </c>
      <c r="M1789" s="6" t="n">
        <f aca="false">Summary!$B$3-J1789</f>
        <v>124</v>
      </c>
      <c r="N1789" s="6" t="str">
        <f aca="false">IF(K1789&gt;1,"Yes","No")</f>
        <v>No</v>
      </c>
      <c r="O1789" s="6" t="s">
        <v>48</v>
      </c>
    </row>
    <row r="1790" customFormat="false" ht="15" hidden="false" customHeight="false" outlineLevel="0" collapsed="false">
      <c r="A1790" s="6" t="s">
        <v>3689</v>
      </c>
      <c r="B1790" s="6" t="s">
        <v>3690</v>
      </c>
      <c r="C1790" s="6" t="s">
        <v>75</v>
      </c>
      <c r="D1790" s="6" t="n">
        <v>30</v>
      </c>
      <c r="E1790" s="6" t="s">
        <v>146</v>
      </c>
      <c r="F1790" s="6" t="s">
        <v>147</v>
      </c>
      <c r="G1790" s="26" t="n">
        <v>46188</v>
      </c>
      <c r="H1790" s="6" t="s">
        <v>78</v>
      </c>
      <c r="I1790" s="26" t="n">
        <f aca="false">_xlfn.MINIFS(Transaction!$C$2:$C$8421,Transaction!$B$2:$B$8421,A1790)</f>
        <v>46249</v>
      </c>
      <c r="J1790" s="26" t="n">
        <f aca="false">_xlfn.MAXIFS(Transaction!$C$2:$C$8421,Transaction!$B$2:$B$8421,A1790)</f>
        <v>46249</v>
      </c>
      <c r="K1790" s="6" t="n">
        <f aca="false">COUNTIF(Transaction!$B$2:$B$8421,A1790)</f>
        <v>1</v>
      </c>
      <c r="L1790" s="10" t="n">
        <f aca="false">SUMIF(Transaction!$B$2:$B$8421,A1790,Transaction!$H$2:$H$8421)</f>
        <v>837</v>
      </c>
      <c r="M1790" s="6" t="n">
        <f aca="false">Summary!$B$3-J1790</f>
        <v>17</v>
      </c>
      <c r="N1790" s="6" t="str">
        <f aca="false">IF(K1790&gt;1,"Yes","No")</f>
        <v>No</v>
      </c>
      <c r="O1790" s="6" t="s">
        <v>47</v>
      </c>
    </row>
    <row r="1791" customFormat="false" ht="15" hidden="false" customHeight="false" outlineLevel="0" collapsed="false">
      <c r="A1791" s="6" t="s">
        <v>3691</v>
      </c>
      <c r="B1791" s="6" t="s">
        <v>3692</v>
      </c>
      <c r="C1791" s="6" t="s">
        <v>75</v>
      </c>
      <c r="D1791" s="6" t="n">
        <v>23</v>
      </c>
      <c r="E1791" s="6" t="s">
        <v>86</v>
      </c>
      <c r="F1791" s="6" t="s">
        <v>87</v>
      </c>
      <c r="G1791" s="26" t="n">
        <v>46002</v>
      </c>
      <c r="H1791" s="6" t="s">
        <v>92</v>
      </c>
      <c r="I1791" s="26" t="n">
        <f aca="false">_xlfn.MINIFS(Transaction!$C$2:$C$8421,Transaction!$B$2:$B$8421,A1791)</f>
        <v>46044</v>
      </c>
      <c r="J1791" s="26" t="n">
        <f aca="false">_xlfn.MAXIFS(Transaction!$C$2:$C$8421,Transaction!$B$2:$B$8421,A1791)</f>
        <v>46189</v>
      </c>
      <c r="K1791" s="6" t="n">
        <f aca="false">COUNTIF(Transaction!$B$2:$B$8421,A1791)</f>
        <v>6</v>
      </c>
      <c r="L1791" s="10" t="n">
        <f aca="false">SUMIF(Transaction!$B$2:$B$8421,A1791,Transaction!$H$2:$H$8421)</f>
        <v>22923</v>
      </c>
      <c r="M1791" s="6" t="n">
        <f aca="false">Summary!$B$3-J1791</f>
        <v>77</v>
      </c>
      <c r="N1791" s="6" t="str">
        <f aca="false">IF(K1791&gt;1,"Yes","No")</f>
        <v>Yes</v>
      </c>
      <c r="O1791" s="6" t="s">
        <v>46</v>
      </c>
    </row>
    <row r="1792" customFormat="false" ht="15" hidden="false" customHeight="false" outlineLevel="0" collapsed="false">
      <c r="A1792" s="6" t="s">
        <v>3693</v>
      </c>
      <c r="B1792" s="6" t="s">
        <v>3694</v>
      </c>
      <c r="C1792" s="6" t="s">
        <v>75</v>
      </c>
      <c r="D1792" s="6" t="n">
        <v>39</v>
      </c>
      <c r="E1792" s="6" t="s">
        <v>95</v>
      </c>
      <c r="F1792" s="6" t="s">
        <v>95</v>
      </c>
      <c r="G1792" s="26" t="n">
        <v>46247</v>
      </c>
      <c r="H1792" s="6" t="s">
        <v>78</v>
      </c>
      <c r="I1792" s="26" t="n">
        <f aca="false">_xlfn.MINIFS(Transaction!$C$2:$C$8421,Transaction!$B$2:$B$8421,A1792)</f>
        <v>46264</v>
      </c>
      <c r="J1792" s="26" t="n">
        <f aca="false">_xlfn.MAXIFS(Transaction!$C$2:$C$8421,Transaction!$B$2:$B$8421,A1792)</f>
        <v>46264</v>
      </c>
      <c r="K1792" s="6" t="n">
        <f aca="false">COUNTIF(Transaction!$B$2:$B$8421,A1792)</f>
        <v>1</v>
      </c>
      <c r="L1792" s="10" t="n">
        <f aca="false">SUMIF(Transaction!$B$2:$B$8421,A1792,Transaction!$H$2:$H$8421)</f>
        <v>2112</v>
      </c>
      <c r="M1792" s="6" t="n">
        <f aca="false">Summary!$B$3-J1792</f>
        <v>2</v>
      </c>
      <c r="N1792" s="6" t="str">
        <f aca="false">IF(K1792&gt;1,"Yes","No")</f>
        <v>No</v>
      </c>
      <c r="O1792" s="6" t="s">
        <v>47</v>
      </c>
    </row>
    <row r="1793" customFormat="false" ht="15" hidden="false" customHeight="false" outlineLevel="0" collapsed="false">
      <c r="A1793" s="6" t="s">
        <v>3695</v>
      </c>
      <c r="B1793" s="6" t="s">
        <v>3696</v>
      </c>
      <c r="C1793" s="6" t="s">
        <v>75</v>
      </c>
      <c r="D1793" s="6" t="n">
        <v>52</v>
      </c>
      <c r="E1793" s="6" t="s">
        <v>76</v>
      </c>
      <c r="F1793" s="6" t="s">
        <v>77</v>
      </c>
      <c r="G1793" s="26" t="n">
        <v>46209</v>
      </c>
      <c r="H1793" s="6" t="s">
        <v>92</v>
      </c>
      <c r="I1793" s="26" t="n">
        <f aca="false">_xlfn.MINIFS(Transaction!$C$2:$C$8421,Transaction!$B$2:$B$8421,A1793)</f>
        <v>46229</v>
      </c>
      <c r="J1793" s="26" t="n">
        <f aca="false">_xlfn.MAXIFS(Transaction!$C$2:$C$8421,Transaction!$B$2:$B$8421,A1793)</f>
        <v>46229</v>
      </c>
      <c r="K1793" s="6" t="n">
        <f aca="false">COUNTIF(Transaction!$B$2:$B$8421,A1793)</f>
        <v>1</v>
      </c>
      <c r="L1793" s="10" t="n">
        <f aca="false">SUMIF(Transaction!$B$2:$B$8421,A1793,Transaction!$H$2:$H$8421)</f>
        <v>795</v>
      </c>
      <c r="M1793" s="6" t="n">
        <f aca="false">Summary!$B$3-J1793</f>
        <v>37</v>
      </c>
      <c r="N1793" s="6" t="str">
        <f aca="false">IF(K1793&gt;1,"Yes","No")</f>
        <v>No</v>
      </c>
      <c r="O1793" s="6" t="s">
        <v>47</v>
      </c>
    </row>
    <row r="1794" customFormat="false" ht="15" hidden="false" customHeight="false" outlineLevel="0" collapsed="false">
      <c r="A1794" s="6" t="s">
        <v>3697</v>
      </c>
      <c r="B1794" s="6" t="s">
        <v>3698</v>
      </c>
      <c r="C1794" s="6" t="s">
        <v>85</v>
      </c>
      <c r="D1794" s="6" t="n">
        <v>31</v>
      </c>
      <c r="E1794" s="6" t="s">
        <v>81</v>
      </c>
      <c r="F1794" s="6" t="s">
        <v>82</v>
      </c>
      <c r="G1794" s="26" t="n">
        <v>46136</v>
      </c>
      <c r="H1794" s="6" t="s">
        <v>78</v>
      </c>
      <c r="I1794" s="26" t="n">
        <f aca="false">_xlfn.MINIFS(Transaction!$C$2:$C$8421,Transaction!$B$2:$B$8421,A1794)</f>
        <v>46178</v>
      </c>
      <c r="J1794" s="26" t="n">
        <f aca="false">_xlfn.MAXIFS(Transaction!$C$2:$C$8421,Transaction!$B$2:$B$8421,A1794)</f>
        <v>46178</v>
      </c>
      <c r="K1794" s="6" t="n">
        <f aca="false">COUNTIF(Transaction!$B$2:$B$8421,A1794)</f>
        <v>1</v>
      </c>
      <c r="L1794" s="10" t="n">
        <f aca="false">SUMIF(Transaction!$B$2:$B$8421,A1794,Transaction!$H$2:$H$8421)</f>
        <v>1026</v>
      </c>
      <c r="M1794" s="6" t="n">
        <f aca="false">Summary!$B$3-J1794</f>
        <v>88</v>
      </c>
      <c r="N1794" s="6" t="str">
        <f aca="false">IF(K1794&gt;1,"Yes","No")</f>
        <v>No</v>
      </c>
      <c r="O1794" s="6" t="s">
        <v>47</v>
      </c>
    </row>
    <row r="1795" customFormat="false" ht="15" hidden="false" customHeight="false" outlineLevel="0" collapsed="false">
      <c r="A1795" s="6" t="s">
        <v>3699</v>
      </c>
      <c r="B1795" s="6" t="s">
        <v>3700</v>
      </c>
      <c r="C1795" s="6" t="s">
        <v>85</v>
      </c>
      <c r="D1795" s="6" t="n">
        <v>30</v>
      </c>
      <c r="E1795" s="6" t="s">
        <v>121</v>
      </c>
      <c r="F1795" s="6" t="s">
        <v>122</v>
      </c>
      <c r="G1795" s="26" t="n">
        <v>46130</v>
      </c>
      <c r="H1795" s="6" t="s">
        <v>115</v>
      </c>
      <c r="I1795" s="26" t="n">
        <f aca="false">_xlfn.MINIFS(Transaction!$C$2:$C$8421,Transaction!$B$2:$B$8421,A1795)</f>
        <v>46185</v>
      </c>
      <c r="J1795" s="26" t="n">
        <f aca="false">_xlfn.MAXIFS(Transaction!$C$2:$C$8421,Transaction!$B$2:$B$8421,A1795)</f>
        <v>46185</v>
      </c>
      <c r="K1795" s="6" t="n">
        <f aca="false">COUNTIF(Transaction!$B$2:$B$8421,A1795)</f>
        <v>1</v>
      </c>
      <c r="L1795" s="10" t="n">
        <f aca="false">SUMIF(Transaction!$B$2:$B$8421,A1795,Transaction!$H$2:$H$8421)</f>
        <v>1468</v>
      </c>
      <c r="M1795" s="6" t="n">
        <f aca="false">Summary!$B$3-J1795</f>
        <v>81</v>
      </c>
      <c r="N1795" s="6" t="str">
        <f aca="false">IF(K1795&gt;1,"Yes","No")</f>
        <v>No</v>
      </c>
      <c r="O1795" s="6" t="s">
        <v>47</v>
      </c>
    </row>
    <row r="1796" customFormat="false" ht="15" hidden="false" customHeight="false" outlineLevel="0" collapsed="false">
      <c r="A1796" s="6" t="s">
        <v>3701</v>
      </c>
      <c r="B1796" s="6" t="s">
        <v>3702</v>
      </c>
      <c r="C1796" s="6" t="s">
        <v>85</v>
      </c>
      <c r="D1796" s="6" t="n">
        <v>24</v>
      </c>
      <c r="E1796" s="6" t="s">
        <v>95</v>
      </c>
      <c r="F1796" s="6" t="s">
        <v>95</v>
      </c>
      <c r="G1796" s="26" t="n">
        <v>46211</v>
      </c>
      <c r="H1796" s="6" t="s">
        <v>78</v>
      </c>
      <c r="I1796" s="26" t="n">
        <f aca="false">_xlfn.MINIFS(Transaction!$C$2:$C$8421,Transaction!$B$2:$B$8421,A1796)</f>
        <v>46235</v>
      </c>
      <c r="J1796" s="26" t="n">
        <f aca="false">_xlfn.MAXIFS(Transaction!$C$2:$C$8421,Transaction!$B$2:$B$8421,A1796)</f>
        <v>46235</v>
      </c>
      <c r="K1796" s="6" t="n">
        <f aca="false">COUNTIF(Transaction!$B$2:$B$8421,A1796)</f>
        <v>1</v>
      </c>
      <c r="L1796" s="10" t="n">
        <f aca="false">SUMIF(Transaction!$B$2:$B$8421,A1796,Transaction!$H$2:$H$8421)</f>
        <v>587</v>
      </c>
      <c r="M1796" s="6" t="n">
        <f aca="false">Summary!$B$3-J1796</f>
        <v>31</v>
      </c>
      <c r="N1796" s="6" t="str">
        <f aca="false">IF(K1796&gt;1,"Yes","No")</f>
        <v>No</v>
      </c>
      <c r="O1796" s="6" t="s">
        <v>47</v>
      </c>
    </row>
    <row r="1797" customFormat="false" ht="15" hidden="false" customHeight="false" outlineLevel="0" collapsed="false">
      <c r="A1797" s="6" t="s">
        <v>3703</v>
      </c>
      <c r="B1797" s="6" t="s">
        <v>3704</v>
      </c>
      <c r="C1797" s="6" t="s">
        <v>75</v>
      </c>
      <c r="D1797" s="6" t="n">
        <v>43</v>
      </c>
      <c r="E1797" s="6" t="s">
        <v>134</v>
      </c>
      <c r="F1797" s="6" t="s">
        <v>135</v>
      </c>
      <c r="G1797" s="26" t="n">
        <v>46173</v>
      </c>
      <c r="H1797" s="6" t="s">
        <v>92</v>
      </c>
      <c r="I1797" s="26" t="n">
        <f aca="false">_xlfn.MINIFS(Transaction!$C$2:$C$8421,Transaction!$B$2:$B$8421,A1797)</f>
        <v>46255</v>
      </c>
      <c r="J1797" s="26" t="n">
        <f aca="false">_xlfn.MAXIFS(Transaction!$C$2:$C$8421,Transaction!$B$2:$B$8421,A1797)</f>
        <v>46255</v>
      </c>
      <c r="K1797" s="6" t="n">
        <f aca="false">COUNTIF(Transaction!$B$2:$B$8421,A1797)</f>
        <v>1</v>
      </c>
      <c r="L1797" s="10" t="n">
        <f aca="false">SUMIF(Transaction!$B$2:$B$8421,A1797,Transaction!$H$2:$H$8421)</f>
        <v>1118</v>
      </c>
      <c r="M1797" s="6" t="n">
        <f aca="false">Summary!$B$3-J1797</f>
        <v>11</v>
      </c>
      <c r="N1797" s="6" t="str">
        <f aca="false">IF(K1797&gt;1,"Yes","No")</f>
        <v>No</v>
      </c>
      <c r="O1797" s="6" t="s">
        <v>47</v>
      </c>
    </row>
    <row r="1798" customFormat="false" ht="15" hidden="false" customHeight="false" outlineLevel="0" collapsed="false">
      <c r="A1798" s="6" t="s">
        <v>3705</v>
      </c>
      <c r="B1798" s="6" t="s">
        <v>3706</v>
      </c>
      <c r="C1798" s="6" t="s">
        <v>85</v>
      </c>
      <c r="D1798" s="6" t="n">
        <v>22</v>
      </c>
      <c r="E1798" s="6" t="s">
        <v>134</v>
      </c>
      <c r="F1798" s="6" t="s">
        <v>135</v>
      </c>
      <c r="G1798" s="26" t="n">
        <v>46219</v>
      </c>
      <c r="H1798" s="6" t="s">
        <v>88</v>
      </c>
      <c r="I1798" s="26" t="n">
        <f aca="false">_xlfn.MINIFS(Transaction!$C$2:$C$8421,Transaction!$B$2:$B$8421,A1798)</f>
        <v>46250</v>
      </c>
      <c r="J1798" s="26" t="n">
        <f aca="false">_xlfn.MAXIFS(Transaction!$C$2:$C$8421,Transaction!$B$2:$B$8421,A1798)</f>
        <v>46250</v>
      </c>
      <c r="K1798" s="6" t="n">
        <f aca="false">COUNTIF(Transaction!$B$2:$B$8421,A1798)</f>
        <v>1</v>
      </c>
      <c r="L1798" s="10" t="n">
        <f aca="false">SUMIF(Transaction!$B$2:$B$8421,A1798,Transaction!$H$2:$H$8421)</f>
        <v>763</v>
      </c>
      <c r="M1798" s="6" t="n">
        <f aca="false">Summary!$B$3-J1798</f>
        <v>16</v>
      </c>
      <c r="N1798" s="6" t="str">
        <f aca="false">IF(K1798&gt;1,"Yes","No")</f>
        <v>No</v>
      </c>
      <c r="O1798" s="6" t="s">
        <v>47</v>
      </c>
    </row>
    <row r="1799" customFormat="false" ht="15" hidden="false" customHeight="false" outlineLevel="0" collapsed="false">
      <c r="A1799" s="6" t="s">
        <v>3707</v>
      </c>
      <c r="B1799" s="6" t="s">
        <v>3708</v>
      </c>
      <c r="C1799" s="6" t="s">
        <v>85</v>
      </c>
      <c r="D1799" s="6" t="n">
        <v>31</v>
      </c>
      <c r="E1799" s="6" t="s">
        <v>121</v>
      </c>
      <c r="F1799" s="6" t="s">
        <v>122</v>
      </c>
      <c r="G1799" s="26" t="n">
        <v>46094</v>
      </c>
      <c r="H1799" s="6" t="s">
        <v>115</v>
      </c>
      <c r="I1799" s="26" t="n">
        <f aca="false">_xlfn.MINIFS(Transaction!$C$2:$C$8421,Transaction!$B$2:$B$8421,A1799)</f>
        <v>46159</v>
      </c>
      <c r="J1799" s="26" t="n">
        <f aca="false">_xlfn.MAXIFS(Transaction!$C$2:$C$8421,Transaction!$B$2:$B$8421,A1799)</f>
        <v>46159</v>
      </c>
      <c r="K1799" s="6" t="n">
        <f aca="false">COUNTIF(Transaction!$B$2:$B$8421,A1799)</f>
        <v>1</v>
      </c>
      <c r="L1799" s="10" t="n">
        <f aca="false">SUMIF(Transaction!$B$2:$B$8421,A1799,Transaction!$H$2:$H$8421)</f>
        <v>483</v>
      </c>
      <c r="M1799" s="6" t="n">
        <f aca="false">Summary!$B$3-J1799</f>
        <v>107</v>
      </c>
      <c r="N1799" s="6" t="str">
        <f aca="false">IF(K1799&gt;1,"Yes","No")</f>
        <v>No</v>
      </c>
      <c r="O1799" s="6" t="s">
        <v>48</v>
      </c>
    </row>
    <row r="1800" customFormat="false" ht="15" hidden="false" customHeight="false" outlineLevel="0" collapsed="false">
      <c r="A1800" s="6" t="s">
        <v>3709</v>
      </c>
      <c r="B1800" s="6" t="s">
        <v>3710</v>
      </c>
      <c r="C1800" s="6" t="s">
        <v>85</v>
      </c>
      <c r="D1800" s="6" t="n">
        <v>44</v>
      </c>
      <c r="E1800" s="6" t="s">
        <v>91</v>
      </c>
      <c r="F1800" s="6" t="s">
        <v>77</v>
      </c>
      <c r="G1800" s="26" t="n">
        <v>46111</v>
      </c>
      <c r="H1800" s="6" t="s">
        <v>115</v>
      </c>
      <c r="I1800" s="26" t="n">
        <f aca="false">_xlfn.MINIFS(Transaction!$C$2:$C$8421,Transaction!$B$2:$B$8421,A1800)</f>
        <v>46135</v>
      </c>
      <c r="J1800" s="26" t="n">
        <f aca="false">_xlfn.MAXIFS(Transaction!$C$2:$C$8421,Transaction!$B$2:$B$8421,A1800)</f>
        <v>46135</v>
      </c>
      <c r="K1800" s="6" t="n">
        <f aca="false">COUNTIF(Transaction!$B$2:$B$8421,A1800)</f>
        <v>1</v>
      </c>
      <c r="L1800" s="10" t="n">
        <f aca="false">SUMIF(Transaction!$B$2:$B$8421,A1800,Transaction!$H$2:$H$8421)</f>
        <v>928</v>
      </c>
      <c r="M1800" s="6" t="n">
        <f aca="false">Summary!$B$3-J1800</f>
        <v>131</v>
      </c>
      <c r="N1800" s="6" t="str">
        <f aca="false">IF(K1800&gt;1,"Yes","No")</f>
        <v>No</v>
      </c>
      <c r="O1800" s="6" t="s">
        <v>48</v>
      </c>
    </row>
    <row r="1801" customFormat="false" ht="15" hidden="false" customHeight="false" outlineLevel="0" collapsed="false">
      <c r="A1801" s="6" t="s">
        <v>3711</v>
      </c>
      <c r="B1801" s="6" t="s">
        <v>3712</v>
      </c>
      <c r="C1801" s="6" t="s">
        <v>85</v>
      </c>
      <c r="D1801" s="6" t="n">
        <v>33</v>
      </c>
      <c r="E1801" s="6" t="s">
        <v>134</v>
      </c>
      <c r="F1801" s="6" t="s">
        <v>135</v>
      </c>
      <c r="G1801" s="26" t="n">
        <v>46001</v>
      </c>
      <c r="H1801" s="6" t="s">
        <v>78</v>
      </c>
      <c r="I1801" s="26" t="n">
        <f aca="false">_xlfn.MINIFS(Transaction!$C$2:$C$8421,Transaction!$B$2:$B$8421,A1801)</f>
        <v>46031</v>
      </c>
      <c r="J1801" s="26" t="n">
        <f aca="false">_xlfn.MAXIFS(Transaction!$C$2:$C$8421,Transaction!$B$2:$B$8421,A1801)</f>
        <v>46258</v>
      </c>
      <c r="K1801" s="6" t="n">
        <f aca="false">COUNTIF(Transaction!$B$2:$B$8421,A1801)</f>
        <v>9</v>
      </c>
      <c r="L1801" s="10" t="n">
        <f aca="false">SUMIF(Transaction!$B$2:$B$8421,A1801,Transaction!$H$2:$H$8421)</f>
        <v>20654</v>
      </c>
      <c r="M1801" s="6" t="n">
        <f aca="false">Summary!$B$3-J1801</f>
        <v>8</v>
      </c>
      <c r="N1801" s="6" t="str">
        <f aca="false">IF(K1801&gt;1,"Yes","No")</f>
        <v>Yes</v>
      </c>
      <c r="O1801" s="6" t="s">
        <v>45</v>
      </c>
    </row>
    <row r="1802" customFormat="false" ht="15" hidden="false" customHeight="false" outlineLevel="0" collapsed="false">
      <c r="A1802" s="6" t="s">
        <v>3713</v>
      </c>
      <c r="B1802" s="6" t="s">
        <v>3714</v>
      </c>
      <c r="C1802" s="6" t="s">
        <v>75</v>
      </c>
      <c r="D1802" s="6" t="n">
        <v>23</v>
      </c>
      <c r="E1802" s="6" t="s">
        <v>81</v>
      </c>
      <c r="F1802" s="6" t="s">
        <v>82</v>
      </c>
      <c r="G1802" s="26" t="n">
        <v>46011</v>
      </c>
      <c r="H1802" s="6" t="s">
        <v>102</v>
      </c>
      <c r="I1802" s="26" t="n">
        <f aca="false">_xlfn.MINIFS(Transaction!$C$2:$C$8421,Transaction!$B$2:$B$8421,A1802)</f>
        <v>46042</v>
      </c>
      <c r="J1802" s="26" t="n">
        <f aca="false">_xlfn.MAXIFS(Transaction!$C$2:$C$8421,Transaction!$B$2:$B$8421,A1802)</f>
        <v>46251</v>
      </c>
      <c r="K1802" s="6" t="n">
        <f aca="false">COUNTIF(Transaction!$B$2:$B$8421,A1802)</f>
        <v>7</v>
      </c>
      <c r="L1802" s="10" t="n">
        <f aca="false">SUMIF(Transaction!$B$2:$B$8421,A1802,Transaction!$H$2:$H$8421)</f>
        <v>19742</v>
      </c>
      <c r="M1802" s="6" t="n">
        <f aca="false">Summary!$B$3-J1802</f>
        <v>15</v>
      </c>
      <c r="N1802" s="6" t="str">
        <f aca="false">IF(K1802&gt;1,"Yes","No")</f>
        <v>Yes</v>
      </c>
      <c r="O1802" s="6" t="s">
        <v>45</v>
      </c>
    </row>
    <row r="1803" customFormat="false" ht="15" hidden="false" customHeight="false" outlineLevel="0" collapsed="false">
      <c r="A1803" s="6" t="s">
        <v>3715</v>
      </c>
      <c r="B1803" s="6" t="s">
        <v>3716</v>
      </c>
      <c r="C1803" s="6" t="s">
        <v>85</v>
      </c>
      <c r="D1803" s="6" t="n">
        <v>36</v>
      </c>
      <c r="E1803" s="6" t="s">
        <v>134</v>
      </c>
      <c r="F1803" s="6" t="s">
        <v>135</v>
      </c>
      <c r="G1803" s="26" t="n">
        <v>45982</v>
      </c>
      <c r="H1803" s="6" t="s">
        <v>78</v>
      </c>
      <c r="I1803" s="26" t="n">
        <f aca="false">_xlfn.MINIFS(Transaction!$C$2:$C$8421,Transaction!$B$2:$B$8421,A1803)</f>
        <v>46041</v>
      </c>
      <c r="J1803" s="26" t="n">
        <f aca="false">_xlfn.MAXIFS(Transaction!$C$2:$C$8421,Transaction!$B$2:$B$8421,A1803)</f>
        <v>46255</v>
      </c>
      <c r="K1803" s="6" t="n">
        <f aca="false">COUNTIF(Transaction!$B$2:$B$8421,A1803)</f>
        <v>10</v>
      </c>
      <c r="L1803" s="10" t="n">
        <f aca="false">SUMIF(Transaction!$B$2:$B$8421,A1803,Transaction!$H$2:$H$8421)</f>
        <v>19344</v>
      </c>
      <c r="M1803" s="6" t="n">
        <f aca="false">Summary!$B$3-J1803</f>
        <v>11</v>
      </c>
      <c r="N1803" s="6" t="str">
        <f aca="false">IF(K1803&gt;1,"Yes","No")</f>
        <v>Yes</v>
      </c>
      <c r="O1803" s="6" t="s">
        <v>45</v>
      </c>
    </row>
    <row r="1804" customFormat="false" ht="15" hidden="false" customHeight="false" outlineLevel="0" collapsed="false">
      <c r="A1804" s="6" t="s">
        <v>3717</v>
      </c>
      <c r="B1804" s="6" t="s">
        <v>3718</v>
      </c>
      <c r="C1804" s="6" t="s">
        <v>75</v>
      </c>
      <c r="D1804" s="6" t="n">
        <v>31</v>
      </c>
      <c r="E1804" s="6" t="s">
        <v>121</v>
      </c>
      <c r="F1804" s="6" t="s">
        <v>122</v>
      </c>
      <c r="G1804" s="26" t="n">
        <v>46149</v>
      </c>
      <c r="H1804" s="6" t="s">
        <v>78</v>
      </c>
      <c r="I1804" s="26" t="n">
        <f aca="false">_xlfn.MINIFS(Transaction!$C$2:$C$8421,Transaction!$B$2:$B$8421,A1804)</f>
        <v>46162</v>
      </c>
      <c r="J1804" s="26" t="n">
        <f aca="false">_xlfn.MAXIFS(Transaction!$C$2:$C$8421,Transaction!$B$2:$B$8421,A1804)</f>
        <v>46162</v>
      </c>
      <c r="K1804" s="6" t="n">
        <f aca="false">COUNTIF(Transaction!$B$2:$B$8421,A1804)</f>
        <v>1</v>
      </c>
      <c r="L1804" s="10" t="n">
        <f aca="false">SUMIF(Transaction!$B$2:$B$8421,A1804,Transaction!$H$2:$H$8421)</f>
        <v>977</v>
      </c>
      <c r="M1804" s="6" t="n">
        <f aca="false">Summary!$B$3-J1804</f>
        <v>104</v>
      </c>
      <c r="N1804" s="6" t="str">
        <f aca="false">IF(K1804&gt;1,"Yes","No")</f>
        <v>No</v>
      </c>
      <c r="O1804" s="6" t="s">
        <v>48</v>
      </c>
    </row>
    <row r="1805" customFormat="false" ht="15" hidden="false" customHeight="false" outlineLevel="0" collapsed="false">
      <c r="A1805" s="6" t="s">
        <v>3719</v>
      </c>
      <c r="B1805" s="6" t="s">
        <v>3720</v>
      </c>
      <c r="C1805" s="6" t="s">
        <v>85</v>
      </c>
      <c r="D1805" s="6" t="n">
        <v>36</v>
      </c>
      <c r="E1805" s="6" t="s">
        <v>134</v>
      </c>
      <c r="F1805" s="6" t="s">
        <v>135</v>
      </c>
      <c r="G1805" s="26" t="n">
        <v>45992</v>
      </c>
      <c r="H1805" s="6" t="s">
        <v>115</v>
      </c>
      <c r="I1805" s="26" t="n">
        <f aca="false">_xlfn.MINIFS(Transaction!$C$2:$C$8421,Transaction!$B$2:$B$8421,A1805)</f>
        <v>46024</v>
      </c>
      <c r="J1805" s="26" t="n">
        <f aca="false">_xlfn.MAXIFS(Transaction!$C$2:$C$8421,Transaction!$B$2:$B$8421,A1805)</f>
        <v>46024</v>
      </c>
      <c r="K1805" s="6" t="n">
        <f aca="false">COUNTIF(Transaction!$B$2:$B$8421,A1805)</f>
        <v>1</v>
      </c>
      <c r="L1805" s="10" t="n">
        <f aca="false">SUMIF(Transaction!$B$2:$B$8421,A1805,Transaction!$H$2:$H$8421)</f>
        <v>1934</v>
      </c>
      <c r="M1805" s="6" t="n">
        <f aca="false">Summary!$B$3-J1805</f>
        <v>242</v>
      </c>
      <c r="N1805" s="6" t="str">
        <f aca="false">IF(K1805&gt;1,"Yes","No")</f>
        <v>No</v>
      </c>
      <c r="O1805" s="6" t="s">
        <v>49</v>
      </c>
    </row>
    <row r="1806" customFormat="false" ht="15" hidden="false" customHeight="false" outlineLevel="0" collapsed="false">
      <c r="A1806" s="6" t="s">
        <v>3721</v>
      </c>
      <c r="B1806" s="6" t="s">
        <v>3722</v>
      </c>
      <c r="C1806" s="6" t="s">
        <v>85</v>
      </c>
      <c r="D1806" s="6" t="n">
        <v>30</v>
      </c>
      <c r="E1806" s="6" t="s">
        <v>105</v>
      </c>
      <c r="F1806" s="6" t="s">
        <v>106</v>
      </c>
      <c r="G1806" s="26" t="n">
        <v>46029</v>
      </c>
      <c r="H1806" s="6" t="s">
        <v>123</v>
      </c>
      <c r="I1806" s="26" t="n">
        <f aca="false">_xlfn.MINIFS(Transaction!$C$2:$C$8421,Transaction!$B$2:$B$8421,A1806)</f>
        <v>46033</v>
      </c>
      <c r="J1806" s="26" t="n">
        <f aca="false">_xlfn.MAXIFS(Transaction!$C$2:$C$8421,Transaction!$B$2:$B$8421,A1806)</f>
        <v>46245</v>
      </c>
      <c r="K1806" s="6" t="n">
        <f aca="false">COUNTIF(Transaction!$B$2:$B$8421,A1806)</f>
        <v>8</v>
      </c>
      <c r="L1806" s="10" t="n">
        <f aca="false">SUMIF(Transaction!$B$2:$B$8421,A1806,Transaction!$H$2:$H$8421)</f>
        <v>11085</v>
      </c>
      <c r="M1806" s="6" t="n">
        <f aca="false">Summary!$B$3-J1806</f>
        <v>21</v>
      </c>
      <c r="N1806" s="6" t="str">
        <f aca="false">IF(K1806&gt;1,"Yes","No")</f>
        <v>Yes</v>
      </c>
      <c r="O1806" s="6" t="s">
        <v>45</v>
      </c>
    </row>
    <row r="1807" customFormat="false" ht="15" hidden="false" customHeight="false" outlineLevel="0" collapsed="false">
      <c r="A1807" s="6" t="s">
        <v>3723</v>
      </c>
      <c r="B1807" s="6" t="s">
        <v>3724</v>
      </c>
      <c r="C1807" s="6" t="s">
        <v>75</v>
      </c>
      <c r="D1807" s="6" t="n">
        <v>29</v>
      </c>
      <c r="E1807" s="6" t="s">
        <v>134</v>
      </c>
      <c r="F1807" s="6" t="s">
        <v>135</v>
      </c>
      <c r="G1807" s="26" t="n">
        <v>46222</v>
      </c>
      <c r="H1807" s="6" t="s">
        <v>115</v>
      </c>
      <c r="I1807" s="26" t="n">
        <f aca="false">_xlfn.MINIFS(Transaction!$C$2:$C$8421,Transaction!$B$2:$B$8421,A1807)</f>
        <v>46236</v>
      </c>
      <c r="J1807" s="26" t="n">
        <f aca="false">_xlfn.MAXIFS(Transaction!$C$2:$C$8421,Transaction!$B$2:$B$8421,A1807)</f>
        <v>46236</v>
      </c>
      <c r="K1807" s="6" t="n">
        <f aca="false">COUNTIF(Transaction!$B$2:$B$8421,A1807)</f>
        <v>1</v>
      </c>
      <c r="L1807" s="10" t="n">
        <f aca="false">SUMIF(Transaction!$B$2:$B$8421,A1807,Transaction!$H$2:$H$8421)</f>
        <v>1590</v>
      </c>
      <c r="M1807" s="6" t="n">
        <f aca="false">Summary!$B$3-J1807</f>
        <v>30</v>
      </c>
      <c r="N1807" s="6" t="str">
        <f aca="false">IF(K1807&gt;1,"Yes","No")</f>
        <v>No</v>
      </c>
      <c r="O1807" s="6" t="s">
        <v>47</v>
      </c>
    </row>
    <row r="1808" customFormat="false" ht="15" hidden="false" customHeight="false" outlineLevel="0" collapsed="false">
      <c r="A1808" s="6" t="s">
        <v>3725</v>
      </c>
      <c r="B1808" s="6" t="s">
        <v>3726</v>
      </c>
      <c r="C1808" s="6" t="s">
        <v>75</v>
      </c>
      <c r="D1808" s="6" t="n">
        <v>40</v>
      </c>
      <c r="E1808" s="6" t="s">
        <v>95</v>
      </c>
      <c r="F1808" s="6" t="s">
        <v>95</v>
      </c>
      <c r="G1808" s="26" t="n">
        <v>46002</v>
      </c>
      <c r="H1808" s="6" t="s">
        <v>102</v>
      </c>
      <c r="I1808" s="26" t="n">
        <f aca="false">_xlfn.MINIFS(Transaction!$C$2:$C$8421,Transaction!$B$2:$B$8421,A1808)</f>
        <v>46054</v>
      </c>
      <c r="J1808" s="26" t="n">
        <f aca="false">_xlfn.MAXIFS(Transaction!$C$2:$C$8421,Transaction!$B$2:$B$8421,A1808)</f>
        <v>46190</v>
      </c>
      <c r="K1808" s="6" t="n">
        <f aca="false">COUNTIF(Transaction!$B$2:$B$8421,A1808)</f>
        <v>6</v>
      </c>
      <c r="L1808" s="10" t="n">
        <f aca="false">SUMIF(Transaction!$B$2:$B$8421,A1808,Transaction!$H$2:$H$8421)</f>
        <v>7952</v>
      </c>
      <c r="M1808" s="6" t="n">
        <f aca="false">Summary!$B$3-J1808</f>
        <v>76</v>
      </c>
      <c r="N1808" s="6" t="str">
        <f aca="false">IF(K1808&gt;1,"Yes","No")</f>
        <v>Yes</v>
      </c>
      <c r="O1808" s="6" t="s">
        <v>46</v>
      </c>
    </row>
    <row r="1809" customFormat="false" ht="15" hidden="false" customHeight="false" outlineLevel="0" collapsed="false">
      <c r="A1809" s="6" t="s">
        <v>3727</v>
      </c>
      <c r="B1809" s="6" t="s">
        <v>3728</v>
      </c>
      <c r="C1809" s="6" t="s">
        <v>75</v>
      </c>
      <c r="D1809" s="6" t="n">
        <v>26</v>
      </c>
      <c r="E1809" s="6" t="s">
        <v>91</v>
      </c>
      <c r="F1809" s="6" t="s">
        <v>77</v>
      </c>
      <c r="G1809" s="26" t="n">
        <v>46028</v>
      </c>
      <c r="H1809" s="6" t="s">
        <v>102</v>
      </c>
      <c r="I1809" s="26" t="n">
        <f aca="false">_xlfn.MINIFS(Transaction!$C$2:$C$8421,Transaction!$B$2:$B$8421,A1809)</f>
        <v>46045</v>
      </c>
      <c r="J1809" s="26" t="n">
        <f aca="false">_xlfn.MAXIFS(Transaction!$C$2:$C$8421,Transaction!$B$2:$B$8421,A1809)</f>
        <v>46045</v>
      </c>
      <c r="K1809" s="6" t="n">
        <f aca="false">COUNTIF(Transaction!$B$2:$B$8421,A1809)</f>
        <v>1</v>
      </c>
      <c r="L1809" s="10" t="n">
        <f aca="false">SUMIF(Transaction!$B$2:$B$8421,A1809,Transaction!$H$2:$H$8421)</f>
        <v>3666</v>
      </c>
      <c r="M1809" s="6" t="n">
        <f aca="false">Summary!$B$3-J1809</f>
        <v>221</v>
      </c>
      <c r="N1809" s="6" t="str">
        <f aca="false">IF(K1809&gt;1,"Yes","No")</f>
        <v>No</v>
      </c>
      <c r="O1809" s="6" t="s">
        <v>49</v>
      </c>
    </row>
    <row r="1810" customFormat="false" ht="15" hidden="false" customHeight="false" outlineLevel="0" collapsed="false">
      <c r="A1810" s="6" t="s">
        <v>3729</v>
      </c>
      <c r="B1810" s="6" t="s">
        <v>3730</v>
      </c>
      <c r="C1810" s="6" t="s">
        <v>85</v>
      </c>
      <c r="D1810" s="6" t="n">
        <v>36</v>
      </c>
      <c r="E1810" s="6" t="s">
        <v>134</v>
      </c>
      <c r="F1810" s="6" t="s">
        <v>135</v>
      </c>
      <c r="G1810" s="26" t="n">
        <v>46150</v>
      </c>
      <c r="H1810" s="6" t="s">
        <v>115</v>
      </c>
      <c r="I1810" s="26" t="n">
        <f aca="false">_xlfn.MINIFS(Transaction!$C$2:$C$8421,Transaction!$B$2:$B$8421,A1810)</f>
        <v>46161</v>
      </c>
      <c r="J1810" s="26" t="n">
        <f aca="false">_xlfn.MAXIFS(Transaction!$C$2:$C$8421,Transaction!$B$2:$B$8421,A1810)</f>
        <v>46161</v>
      </c>
      <c r="K1810" s="6" t="n">
        <f aca="false">COUNTIF(Transaction!$B$2:$B$8421,A1810)</f>
        <v>1</v>
      </c>
      <c r="L1810" s="10" t="n">
        <f aca="false">SUMIF(Transaction!$B$2:$B$8421,A1810,Transaction!$H$2:$H$8421)</f>
        <v>977</v>
      </c>
      <c r="M1810" s="6" t="n">
        <f aca="false">Summary!$B$3-J1810</f>
        <v>105</v>
      </c>
      <c r="N1810" s="6" t="str">
        <f aca="false">IF(K1810&gt;1,"Yes","No")</f>
        <v>No</v>
      </c>
      <c r="O1810" s="6" t="s">
        <v>48</v>
      </c>
    </row>
    <row r="1811" customFormat="false" ht="15" hidden="false" customHeight="false" outlineLevel="0" collapsed="false">
      <c r="A1811" s="6" t="s">
        <v>3731</v>
      </c>
      <c r="B1811" s="6" t="s">
        <v>3732</v>
      </c>
      <c r="C1811" s="6" t="s">
        <v>75</v>
      </c>
      <c r="D1811" s="6" t="n">
        <v>27</v>
      </c>
      <c r="E1811" s="6" t="s">
        <v>206</v>
      </c>
      <c r="F1811" s="6" t="s">
        <v>106</v>
      </c>
      <c r="G1811" s="26" t="n">
        <v>45972</v>
      </c>
      <c r="H1811" s="6" t="s">
        <v>115</v>
      </c>
      <c r="I1811" s="26" t="n">
        <f aca="false">_xlfn.MINIFS(Transaction!$C$2:$C$8421,Transaction!$B$2:$B$8421,A1811)</f>
        <v>46044</v>
      </c>
      <c r="J1811" s="26" t="n">
        <f aca="false">_xlfn.MAXIFS(Transaction!$C$2:$C$8421,Transaction!$B$2:$B$8421,A1811)</f>
        <v>46230</v>
      </c>
      <c r="K1811" s="6" t="n">
        <f aca="false">COUNTIF(Transaction!$B$2:$B$8421,A1811)</f>
        <v>6</v>
      </c>
      <c r="L1811" s="10" t="n">
        <f aca="false">SUMIF(Transaction!$B$2:$B$8421,A1811,Transaction!$H$2:$H$8421)</f>
        <v>12874</v>
      </c>
      <c r="M1811" s="6" t="n">
        <f aca="false">Summary!$B$3-J1811</f>
        <v>36</v>
      </c>
      <c r="N1811" s="6" t="str">
        <f aca="false">IF(K1811&gt;1,"Yes","No")</f>
        <v>Yes</v>
      </c>
      <c r="O1811" s="6" t="s">
        <v>46</v>
      </c>
    </row>
    <row r="1812" customFormat="false" ht="15" hidden="false" customHeight="false" outlineLevel="0" collapsed="false">
      <c r="A1812" s="6" t="s">
        <v>3733</v>
      </c>
      <c r="B1812" s="6" t="s">
        <v>3734</v>
      </c>
      <c r="C1812" s="6" t="s">
        <v>85</v>
      </c>
      <c r="D1812" s="6" t="n">
        <v>37</v>
      </c>
      <c r="E1812" s="6" t="s">
        <v>76</v>
      </c>
      <c r="F1812" s="6" t="s">
        <v>77</v>
      </c>
      <c r="G1812" s="26" t="n">
        <v>46182</v>
      </c>
      <c r="H1812" s="6" t="s">
        <v>123</v>
      </c>
      <c r="I1812" s="26" t="n">
        <f aca="false">_xlfn.MINIFS(Transaction!$C$2:$C$8421,Transaction!$B$2:$B$8421,A1812)</f>
        <v>46239</v>
      </c>
      <c r="J1812" s="26" t="n">
        <f aca="false">_xlfn.MAXIFS(Transaction!$C$2:$C$8421,Transaction!$B$2:$B$8421,A1812)</f>
        <v>46239</v>
      </c>
      <c r="K1812" s="6" t="n">
        <f aca="false">COUNTIF(Transaction!$B$2:$B$8421,A1812)</f>
        <v>1</v>
      </c>
      <c r="L1812" s="10" t="n">
        <f aca="false">SUMIF(Transaction!$B$2:$B$8421,A1812,Transaction!$H$2:$H$8421)</f>
        <v>549</v>
      </c>
      <c r="M1812" s="6" t="n">
        <f aca="false">Summary!$B$3-J1812</f>
        <v>27</v>
      </c>
      <c r="N1812" s="6" t="str">
        <f aca="false">IF(K1812&gt;1,"Yes","No")</f>
        <v>No</v>
      </c>
      <c r="O1812" s="6" t="s">
        <v>47</v>
      </c>
    </row>
    <row r="1813" customFormat="false" ht="15" hidden="false" customHeight="false" outlineLevel="0" collapsed="false">
      <c r="A1813" s="6" t="s">
        <v>3735</v>
      </c>
      <c r="B1813" s="6" t="s">
        <v>3736</v>
      </c>
      <c r="C1813" s="6" t="s">
        <v>75</v>
      </c>
      <c r="D1813" s="6" t="n">
        <v>38</v>
      </c>
      <c r="E1813" s="6" t="s">
        <v>76</v>
      </c>
      <c r="F1813" s="6" t="s">
        <v>77</v>
      </c>
      <c r="G1813" s="26" t="n">
        <v>45973</v>
      </c>
      <c r="H1813" s="6" t="s">
        <v>88</v>
      </c>
      <c r="I1813" s="26" t="n">
        <f aca="false">_xlfn.MINIFS(Transaction!$C$2:$C$8421,Transaction!$B$2:$B$8421,A1813)</f>
        <v>46058</v>
      </c>
      <c r="J1813" s="26" t="n">
        <f aca="false">_xlfn.MAXIFS(Transaction!$C$2:$C$8421,Transaction!$B$2:$B$8421,A1813)</f>
        <v>46216</v>
      </c>
      <c r="K1813" s="6" t="n">
        <f aca="false">COUNTIF(Transaction!$B$2:$B$8421,A1813)</f>
        <v>4</v>
      </c>
      <c r="L1813" s="10" t="n">
        <f aca="false">SUMIF(Transaction!$B$2:$B$8421,A1813,Transaction!$H$2:$H$8421)</f>
        <v>5179</v>
      </c>
      <c r="M1813" s="6" t="n">
        <f aca="false">Summary!$B$3-J1813</f>
        <v>50</v>
      </c>
      <c r="N1813" s="6" t="str">
        <f aca="false">IF(K1813&gt;1,"Yes","No")</f>
        <v>Yes</v>
      </c>
      <c r="O1813" s="6" t="s">
        <v>46</v>
      </c>
    </row>
    <row r="1814" customFormat="false" ht="15" hidden="false" customHeight="false" outlineLevel="0" collapsed="false">
      <c r="A1814" s="6" t="s">
        <v>3737</v>
      </c>
      <c r="B1814" s="6" t="s">
        <v>3738</v>
      </c>
      <c r="C1814" s="6" t="s">
        <v>75</v>
      </c>
      <c r="D1814" s="6" t="n">
        <v>33</v>
      </c>
      <c r="E1814" s="6" t="s">
        <v>121</v>
      </c>
      <c r="F1814" s="6" t="s">
        <v>122</v>
      </c>
      <c r="G1814" s="26" t="n">
        <v>46082</v>
      </c>
      <c r="H1814" s="6" t="s">
        <v>78</v>
      </c>
      <c r="I1814" s="26" t="n">
        <f aca="false">_xlfn.MINIFS(Transaction!$C$2:$C$8421,Transaction!$B$2:$B$8421,A1814)</f>
        <v>46142</v>
      </c>
      <c r="J1814" s="26" t="n">
        <f aca="false">_xlfn.MAXIFS(Transaction!$C$2:$C$8421,Transaction!$B$2:$B$8421,A1814)</f>
        <v>46142</v>
      </c>
      <c r="K1814" s="6" t="n">
        <f aca="false">COUNTIF(Transaction!$B$2:$B$8421,A1814)</f>
        <v>1</v>
      </c>
      <c r="L1814" s="10" t="n">
        <f aca="false">SUMIF(Transaction!$B$2:$B$8421,A1814,Transaction!$H$2:$H$8421)</f>
        <v>746</v>
      </c>
      <c r="M1814" s="6" t="n">
        <f aca="false">Summary!$B$3-J1814</f>
        <v>124</v>
      </c>
      <c r="N1814" s="6" t="str">
        <f aca="false">IF(K1814&gt;1,"Yes","No")</f>
        <v>No</v>
      </c>
      <c r="O1814" s="6" t="s">
        <v>48</v>
      </c>
    </row>
    <row r="1815" customFormat="false" ht="15" hidden="false" customHeight="false" outlineLevel="0" collapsed="false">
      <c r="A1815" s="6" t="s">
        <v>3739</v>
      </c>
      <c r="B1815" s="6" t="s">
        <v>3740</v>
      </c>
      <c r="C1815" s="6" t="s">
        <v>85</v>
      </c>
      <c r="D1815" s="6" t="n">
        <v>36</v>
      </c>
      <c r="E1815" s="6" t="s">
        <v>86</v>
      </c>
      <c r="F1815" s="6" t="s">
        <v>87</v>
      </c>
      <c r="G1815" s="26" t="n">
        <v>46062</v>
      </c>
      <c r="H1815" s="6" t="s">
        <v>78</v>
      </c>
      <c r="I1815" s="26" t="n">
        <f aca="false">_xlfn.MINIFS(Transaction!$C$2:$C$8421,Transaction!$B$2:$B$8421,A1815)</f>
        <v>46142</v>
      </c>
      <c r="J1815" s="26" t="n">
        <f aca="false">_xlfn.MAXIFS(Transaction!$C$2:$C$8421,Transaction!$B$2:$B$8421,A1815)</f>
        <v>46142</v>
      </c>
      <c r="K1815" s="6" t="n">
        <f aca="false">COUNTIF(Transaction!$B$2:$B$8421,A1815)</f>
        <v>1</v>
      </c>
      <c r="L1815" s="10" t="n">
        <f aca="false">SUMIF(Transaction!$B$2:$B$8421,A1815,Transaction!$H$2:$H$8421)</f>
        <v>1016</v>
      </c>
      <c r="M1815" s="6" t="n">
        <f aca="false">Summary!$B$3-J1815</f>
        <v>124</v>
      </c>
      <c r="N1815" s="6" t="str">
        <f aca="false">IF(K1815&gt;1,"Yes","No")</f>
        <v>No</v>
      </c>
      <c r="O1815" s="6" t="s">
        <v>48</v>
      </c>
    </row>
    <row r="1816" customFormat="false" ht="15" hidden="false" customHeight="false" outlineLevel="0" collapsed="false">
      <c r="A1816" s="6" t="s">
        <v>3741</v>
      </c>
      <c r="B1816" s="6" t="s">
        <v>3742</v>
      </c>
      <c r="C1816" s="6" t="s">
        <v>75</v>
      </c>
      <c r="D1816" s="6" t="n">
        <v>33</v>
      </c>
      <c r="E1816" s="6" t="s">
        <v>81</v>
      </c>
      <c r="F1816" s="6" t="s">
        <v>82</v>
      </c>
      <c r="G1816" s="26" t="n">
        <v>46028</v>
      </c>
      <c r="H1816" s="6" t="s">
        <v>115</v>
      </c>
      <c r="I1816" s="26" t="n">
        <f aca="false">_xlfn.MINIFS(Transaction!$C$2:$C$8421,Transaction!$B$2:$B$8421,A1816)</f>
        <v>46033</v>
      </c>
      <c r="J1816" s="26" t="n">
        <f aca="false">_xlfn.MAXIFS(Transaction!$C$2:$C$8421,Transaction!$B$2:$B$8421,A1816)</f>
        <v>46248</v>
      </c>
      <c r="K1816" s="6" t="n">
        <f aca="false">COUNTIF(Transaction!$B$2:$B$8421,A1816)</f>
        <v>8</v>
      </c>
      <c r="L1816" s="10" t="n">
        <f aca="false">SUMIF(Transaction!$B$2:$B$8421,A1816,Transaction!$H$2:$H$8421)</f>
        <v>20940</v>
      </c>
      <c r="M1816" s="6" t="n">
        <f aca="false">Summary!$B$3-J1816</f>
        <v>18</v>
      </c>
      <c r="N1816" s="6" t="str">
        <f aca="false">IF(K1816&gt;1,"Yes","No")</f>
        <v>Yes</v>
      </c>
      <c r="O1816" s="6" t="s">
        <v>45</v>
      </c>
    </row>
    <row r="1817" customFormat="false" ht="15" hidden="false" customHeight="false" outlineLevel="0" collapsed="false">
      <c r="A1817" s="6" t="s">
        <v>3743</v>
      </c>
      <c r="B1817" s="6" t="s">
        <v>3744</v>
      </c>
      <c r="C1817" s="6" t="s">
        <v>85</v>
      </c>
      <c r="D1817" s="6" t="n">
        <v>33</v>
      </c>
      <c r="E1817" s="6" t="s">
        <v>81</v>
      </c>
      <c r="F1817" s="6" t="s">
        <v>82</v>
      </c>
      <c r="G1817" s="26" t="n">
        <v>46038</v>
      </c>
      <c r="H1817" s="6" t="s">
        <v>102</v>
      </c>
      <c r="I1817" s="26" t="n">
        <f aca="false">_xlfn.MINIFS(Transaction!$C$2:$C$8421,Transaction!$B$2:$B$8421,A1817)</f>
        <v>46076</v>
      </c>
      <c r="J1817" s="26" t="n">
        <f aca="false">_xlfn.MAXIFS(Transaction!$C$2:$C$8421,Transaction!$B$2:$B$8421,A1817)</f>
        <v>46244</v>
      </c>
      <c r="K1817" s="6" t="n">
        <f aca="false">COUNTIF(Transaction!$B$2:$B$8421,A1817)</f>
        <v>6</v>
      </c>
      <c r="L1817" s="10" t="n">
        <f aca="false">SUMIF(Transaction!$B$2:$B$8421,A1817,Transaction!$H$2:$H$8421)</f>
        <v>6518</v>
      </c>
      <c r="M1817" s="6" t="n">
        <f aca="false">Summary!$B$3-J1817</f>
        <v>22</v>
      </c>
      <c r="N1817" s="6" t="str">
        <f aca="false">IF(K1817&gt;1,"Yes","No")</f>
        <v>Yes</v>
      </c>
      <c r="O1817" s="6" t="s">
        <v>45</v>
      </c>
    </row>
    <row r="1818" customFormat="false" ht="15" hidden="false" customHeight="false" outlineLevel="0" collapsed="false">
      <c r="A1818" s="6" t="s">
        <v>3745</v>
      </c>
      <c r="B1818" s="6" t="s">
        <v>3746</v>
      </c>
      <c r="C1818" s="6" t="s">
        <v>85</v>
      </c>
      <c r="D1818" s="6" t="n">
        <v>27</v>
      </c>
      <c r="E1818" s="6" t="s">
        <v>76</v>
      </c>
      <c r="F1818" s="6" t="s">
        <v>77</v>
      </c>
      <c r="G1818" s="26" t="n">
        <v>46086</v>
      </c>
      <c r="H1818" s="6" t="s">
        <v>78</v>
      </c>
      <c r="I1818" s="26" t="n">
        <f aca="false">_xlfn.MINIFS(Transaction!$C$2:$C$8421,Transaction!$B$2:$B$8421,A1818)</f>
        <v>46112</v>
      </c>
      <c r="J1818" s="26" t="n">
        <f aca="false">_xlfn.MAXIFS(Transaction!$C$2:$C$8421,Transaction!$B$2:$B$8421,A1818)</f>
        <v>46265</v>
      </c>
      <c r="K1818" s="6" t="n">
        <f aca="false">COUNTIF(Transaction!$B$2:$B$8421,A1818)</f>
        <v>12</v>
      </c>
      <c r="L1818" s="10" t="n">
        <f aca="false">SUMIF(Transaction!$B$2:$B$8421,A1818,Transaction!$H$2:$H$8421)</f>
        <v>21173</v>
      </c>
      <c r="M1818" s="6" t="n">
        <f aca="false">Summary!$B$3-J1818</f>
        <v>1</v>
      </c>
      <c r="N1818" s="6" t="str">
        <f aca="false">IF(K1818&gt;1,"Yes","No")</f>
        <v>Yes</v>
      </c>
      <c r="O1818" s="6" t="s">
        <v>45</v>
      </c>
    </row>
    <row r="1819" customFormat="false" ht="15" hidden="false" customHeight="false" outlineLevel="0" collapsed="false">
      <c r="A1819" s="6" t="s">
        <v>3747</v>
      </c>
      <c r="B1819" s="6" t="s">
        <v>3748</v>
      </c>
      <c r="C1819" s="6" t="s">
        <v>75</v>
      </c>
      <c r="D1819" s="6" t="n">
        <v>34</v>
      </c>
      <c r="E1819" s="6" t="s">
        <v>134</v>
      </c>
      <c r="F1819" s="6" t="s">
        <v>135</v>
      </c>
      <c r="G1819" s="26" t="n">
        <v>46210</v>
      </c>
      <c r="H1819" s="6" t="s">
        <v>115</v>
      </c>
      <c r="I1819" s="26" t="n">
        <f aca="false">_xlfn.MINIFS(Transaction!$C$2:$C$8421,Transaction!$B$2:$B$8421,A1819)</f>
        <v>46252</v>
      </c>
      <c r="J1819" s="26" t="n">
        <f aca="false">_xlfn.MAXIFS(Transaction!$C$2:$C$8421,Transaction!$B$2:$B$8421,A1819)</f>
        <v>46252</v>
      </c>
      <c r="K1819" s="6" t="n">
        <f aca="false">COUNTIF(Transaction!$B$2:$B$8421,A1819)</f>
        <v>1</v>
      </c>
      <c r="L1819" s="10" t="n">
        <f aca="false">SUMIF(Transaction!$B$2:$B$8421,A1819,Transaction!$H$2:$H$8421)</f>
        <v>5097</v>
      </c>
      <c r="M1819" s="6" t="n">
        <f aca="false">Summary!$B$3-J1819</f>
        <v>14</v>
      </c>
      <c r="N1819" s="6" t="str">
        <f aca="false">IF(K1819&gt;1,"Yes","No")</f>
        <v>No</v>
      </c>
      <c r="O1819" s="6" t="s">
        <v>47</v>
      </c>
    </row>
    <row r="1820" customFormat="false" ht="15" hidden="false" customHeight="false" outlineLevel="0" collapsed="false">
      <c r="A1820" s="6" t="s">
        <v>3749</v>
      </c>
      <c r="B1820" s="6" t="s">
        <v>3750</v>
      </c>
      <c r="C1820" s="6" t="s">
        <v>85</v>
      </c>
      <c r="D1820" s="6" t="n">
        <v>46</v>
      </c>
      <c r="E1820" s="6" t="s">
        <v>134</v>
      </c>
      <c r="F1820" s="6" t="s">
        <v>135</v>
      </c>
      <c r="G1820" s="26" t="n">
        <v>45994</v>
      </c>
      <c r="H1820" s="6" t="s">
        <v>78</v>
      </c>
      <c r="I1820" s="26" t="n">
        <f aca="false">_xlfn.MINIFS(Transaction!$C$2:$C$8421,Transaction!$B$2:$B$8421,A1820)</f>
        <v>46056</v>
      </c>
      <c r="J1820" s="26" t="n">
        <f aca="false">_xlfn.MAXIFS(Transaction!$C$2:$C$8421,Transaction!$B$2:$B$8421,A1820)</f>
        <v>46253</v>
      </c>
      <c r="K1820" s="6" t="n">
        <f aca="false">COUNTIF(Transaction!$B$2:$B$8421,A1820)</f>
        <v>10</v>
      </c>
      <c r="L1820" s="10" t="n">
        <f aca="false">SUMIF(Transaction!$B$2:$B$8421,A1820,Transaction!$H$2:$H$8421)</f>
        <v>13195</v>
      </c>
      <c r="M1820" s="6" t="n">
        <f aca="false">Summary!$B$3-J1820</f>
        <v>13</v>
      </c>
      <c r="N1820" s="6" t="str">
        <f aca="false">IF(K1820&gt;1,"Yes","No")</f>
        <v>Yes</v>
      </c>
      <c r="O1820" s="6" t="s">
        <v>45</v>
      </c>
    </row>
    <row r="1821" customFormat="false" ht="15" hidden="false" customHeight="false" outlineLevel="0" collapsed="false">
      <c r="A1821" s="6" t="s">
        <v>3751</v>
      </c>
      <c r="B1821" s="6" t="s">
        <v>3752</v>
      </c>
      <c r="C1821" s="6" t="s">
        <v>85</v>
      </c>
      <c r="D1821" s="6" t="n">
        <v>32</v>
      </c>
      <c r="E1821" s="6" t="s">
        <v>105</v>
      </c>
      <c r="F1821" s="6" t="s">
        <v>106</v>
      </c>
      <c r="G1821" s="26" t="n">
        <v>46088</v>
      </c>
      <c r="H1821" s="6" t="s">
        <v>102</v>
      </c>
      <c r="I1821" s="26" t="n">
        <f aca="false">_xlfn.MINIFS(Transaction!$C$2:$C$8421,Transaction!$B$2:$B$8421,A1821)</f>
        <v>46109</v>
      </c>
      <c r="J1821" s="26" t="n">
        <f aca="false">_xlfn.MAXIFS(Transaction!$C$2:$C$8421,Transaction!$B$2:$B$8421,A1821)</f>
        <v>46109</v>
      </c>
      <c r="K1821" s="6" t="n">
        <f aca="false">COUNTIF(Transaction!$B$2:$B$8421,A1821)</f>
        <v>1</v>
      </c>
      <c r="L1821" s="10" t="n">
        <f aca="false">SUMIF(Transaction!$B$2:$B$8421,A1821,Transaction!$H$2:$H$8421)</f>
        <v>1564</v>
      </c>
      <c r="M1821" s="6" t="n">
        <f aca="false">Summary!$B$3-J1821</f>
        <v>157</v>
      </c>
      <c r="N1821" s="6" t="str">
        <f aca="false">IF(K1821&gt;1,"Yes","No")</f>
        <v>No</v>
      </c>
      <c r="O1821" s="6" t="s">
        <v>49</v>
      </c>
    </row>
    <row r="1822" customFormat="false" ht="15" hidden="false" customHeight="false" outlineLevel="0" collapsed="false">
      <c r="A1822" s="6" t="s">
        <v>3753</v>
      </c>
      <c r="B1822" s="6" t="s">
        <v>3754</v>
      </c>
      <c r="C1822" s="6" t="s">
        <v>85</v>
      </c>
      <c r="D1822" s="6" t="n">
        <v>20</v>
      </c>
      <c r="E1822" s="6" t="s">
        <v>140</v>
      </c>
      <c r="F1822" s="6" t="s">
        <v>141</v>
      </c>
      <c r="G1822" s="26" t="n">
        <v>45970</v>
      </c>
      <c r="H1822" s="6" t="s">
        <v>88</v>
      </c>
      <c r="I1822" s="26" t="n">
        <f aca="false">_xlfn.MINIFS(Transaction!$C$2:$C$8421,Transaction!$B$2:$B$8421,A1822)</f>
        <v>46038</v>
      </c>
      <c r="J1822" s="26" t="n">
        <f aca="false">_xlfn.MAXIFS(Transaction!$C$2:$C$8421,Transaction!$B$2:$B$8421,A1822)</f>
        <v>46254</v>
      </c>
      <c r="K1822" s="6" t="n">
        <f aca="false">COUNTIF(Transaction!$B$2:$B$8421,A1822)</f>
        <v>11</v>
      </c>
      <c r="L1822" s="10" t="n">
        <f aca="false">SUMIF(Transaction!$B$2:$B$8421,A1822,Transaction!$H$2:$H$8421)</f>
        <v>21286</v>
      </c>
      <c r="M1822" s="6" t="n">
        <f aca="false">Summary!$B$3-J1822</f>
        <v>12</v>
      </c>
      <c r="N1822" s="6" t="str">
        <f aca="false">IF(K1822&gt;1,"Yes","No")</f>
        <v>Yes</v>
      </c>
      <c r="O1822" s="6" t="s">
        <v>45</v>
      </c>
    </row>
    <row r="1823" customFormat="false" ht="15" hidden="false" customHeight="false" outlineLevel="0" collapsed="false">
      <c r="A1823" s="6" t="s">
        <v>3755</v>
      </c>
      <c r="B1823" s="6" t="s">
        <v>3756</v>
      </c>
      <c r="C1823" s="6" t="s">
        <v>85</v>
      </c>
      <c r="D1823" s="6" t="n">
        <v>45</v>
      </c>
      <c r="E1823" s="6" t="s">
        <v>76</v>
      </c>
      <c r="F1823" s="6" t="s">
        <v>77</v>
      </c>
      <c r="G1823" s="26" t="n">
        <v>46024</v>
      </c>
      <c r="H1823" s="6" t="s">
        <v>78</v>
      </c>
      <c r="I1823" s="26" t="n">
        <f aca="false">_xlfn.MINIFS(Transaction!$C$2:$C$8421,Transaction!$B$2:$B$8421,A1823)</f>
        <v>46037</v>
      </c>
      <c r="J1823" s="26" t="n">
        <f aca="false">_xlfn.MAXIFS(Transaction!$C$2:$C$8421,Transaction!$B$2:$B$8421,A1823)</f>
        <v>46185</v>
      </c>
      <c r="K1823" s="6" t="n">
        <f aca="false">COUNTIF(Transaction!$B$2:$B$8421,A1823)</f>
        <v>8</v>
      </c>
      <c r="L1823" s="10" t="n">
        <f aca="false">SUMIF(Transaction!$B$2:$B$8421,A1823,Transaction!$H$2:$H$8421)</f>
        <v>15243</v>
      </c>
      <c r="M1823" s="6" t="n">
        <f aca="false">Summary!$B$3-J1823</f>
        <v>81</v>
      </c>
      <c r="N1823" s="6" t="str">
        <f aca="false">IF(K1823&gt;1,"Yes","No")</f>
        <v>Yes</v>
      </c>
      <c r="O1823" s="6" t="s">
        <v>46</v>
      </c>
    </row>
    <row r="1824" customFormat="false" ht="15" hidden="false" customHeight="false" outlineLevel="0" collapsed="false">
      <c r="A1824" s="6" t="s">
        <v>3757</v>
      </c>
      <c r="B1824" s="6" t="s">
        <v>3758</v>
      </c>
      <c r="C1824" s="6" t="s">
        <v>75</v>
      </c>
      <c r="D1824" s="6" t="n">
        <v>20</v>
      </c>
      <c r="E1824" s="6" t="s">
        <v>81</v>
      </c>
      <c r="F1824" s="6" t="s">
        <v>82</v>
      </c>
      <c r="G1824" s="26" t="n">
        <v>45975</v>
      </c>
      <c r="H1824" s="6" t="s">
        <v>115</v>
      </c>
      <c r="I1824" s="26" t="n">
        <f aca="false">_xlfn.MINIFS(Transaction!$C$2:$C$8421,Transaction!$B$2:$B$8421,A1824)</f>
        <v>46033</v>
      </c>
      <c r="J1824" s="26" t="n">
        <f aca="false">_xlfn.MAXIFS(Transaction!$C$2:$C$8421,Transaction!$B$2:$B$8421,A1824)</f>
        <v>46229</v>
      </c>
      <c r="K1824" s="6" t="n">
        <f aca="false">COUNTIF(Transaction!$B$2:$B$8421,A1824)</f>
        <v>8</v>
      </c>
      <c r="L1824" s="10" t="n">
        <f aca="false">SUMIF(Transaction!$B$2:$B$8421,A1824,Transaction!$H$2:$H$8421)</f>
        <v>13426</v>
      </c>
      <c r="M1824" s="6" t="n">
        <f aca="false">Summary!$B$3-J1824</f>
        <v>37</v>
      </c>
      <c r="N1824" s="6" t="str">
        <f aca="false">IF(K1824&gt;1,"Yes","No")</f>
        <v>Yes</v>
      </c>
      <c r="O1824" s="6" t="s">
        <v>46</v>
      </c>
    </row>
    <row r="1825" customFormat="false" ht="15" hidden="false" customHeight="false" outlineLevel="0" collapsed="false">
      <c r="A1825" s="6" t="s">
        <v>3759</v>
      </c>
      <c r="B1825" s="6" t="s">
        <v>3760</v>
      </c>
      <c r="C1825" s="6" t="s">
        <v>75</v>
      </c>
      <c r="D1825" s="6" t="n">
        <v>37</v>
      </c>
      <c r="E1825" s="6" t="s">
        <v>76</v>
      </c>
      <c r="F1825" s="6" t="s">
        <v>77</v>
      </c>
      <c r="G1825" s="26" t="n">
        <v>46141</v>
      </c>
      <c r="H1825" s="6" t="s">
        <v>123</v>
      </c>
      <c r="I1825" s="26" t="n">
        <f aca="false">_xlfn.MINIFS(Transaction!$C$2:$C$8421,Transaction!$B$2:$B$8421,A1825)</f>
        <v>46181</v>
      </c>
      <c r="J1825" s="26" t="n">
        <f aca="false">_xlfn.MAXIFS(Transaction!$C$2:$C$8421,Transaction!$B$2:$B$8421,A1825)</f>
        <v>46181</v>
      </c>
      <c r="K1825" s="6" t="n">
        <f aca="false">COUNTIF(Transaction!$B$2:$B$8421,A1825)</f>
        <v>1</v>
      </c>
      <c r="L1825" s="10" t="n">
        <f aca="false">SUMIF(Transaction!$B$2:$B$8421,A1825,Transaction!$H$2:$H$8421)</f>
        <v>1564</v>
      </c>
      <c r="M1825" s="6" t="n">
        <f aca="false">Summary!$B$3-J1825</f>
        <v>85</v>
      </c>
      <c r="N1825" s="6" t="str">
        <f aca="false">IF(K1825&gt;1,"Yes","No")</f>
        <v>No</v>
      </c>
      <c r="O1825" s="6" t="s">
        <v>47</v>
      </c>
    </row>
    <row r="1826" customFormat="false" ht="15" hidden="false" customHeight="false" outlineLevel="0" collapsed="false">
      <c r="A1826" s="6" t="s">
        <v>3761</v>
      </c>
      <c r="B1826" s="6" t="s">
        <v>3762</v>
      </c>
      <c r="C1826" s="6" t="s">
        <v>85</v>
      </c>
      <c r="D1826" s="6" t="n">
        <v>18</v>
      </c>
      <c r="E1826" s="6" t="s">
        <v>134</v>
      </c>
      <c r="F1826" s="6" t="s">
        <v>135</v>
      </c>
      <c r="G1826" s="26" t="n">
        <v>46034</v>
      </c>
      <c r="H1826" s="6" t="s">
        <v>102</v>
      </c>
      <c r="I1826" s="26" t="n">
        <f aca="false">_xlfn.MINIFS(Transaction!$C$2:$C$8421,Transaction!$B$2:$B$8421,A1826)</f>
        <v>46034</v>
      </c>
      <c r="J1826" s="26" t="n">
        <f aca="false">_xlfn.MAXIFS(Transaction!$C$2:$C$8421,Transaction!$B$2:$B$8421,A1826)</f>
        <v>46188</v>
      </c>
      <c r="K1826" s="6" t="n">
        <f aca="false">COUNTIF(Transaction!$B$2:$B$8421,A1826)</f>
        <v>3</v>
      </c>
      <c r="L1826" s="10" t="n">
        <f aca="false">SUMIF(Transaction!$B$2:$B$8421,A1826,Transaction!$H$2:$H$8421)</f>
        <v>3090</v>
      </c>
      <c r="M1826" s="6" t="n">
        <f aca="false">Summary!$B$3-J1826</f>
        <v>78</v>
      </c>
      <c r="N1826" s="6" t="str">
        <f aca="false">IF(K1826&gt;1,"Yes","No")</f>
        <v>Yes</v>
      </c>
      <c r="O1826" s="6" t="s">
        <v>46</v>
      </c>
    </row>
    <row r="1827" customFormat="false" ht="15" hidden="false" customHeight="false" outlineLevel="0" collapsed="false">
      <c r="A1827" s="6" t="s">
        <v>3763</v>
      </c>
      <c r="B1827" s="6" t="s">
        <v>3764</v>
      </c>
      <c r="C1827" s="6" t="s">
        <v>85</v>
      </c>
      <c r="D1827" s="6" t="n">
        <v>36</v>
      </c>
      <c r="E1827" s="6" t="s">
        <v>140</v>
      </c>
      <c r="F1827" s="6" t="s">
        <v>141</v>
      </c>
      <c r="G1827" s="26" t="n">
        <v>46177</v>
      </c>
      <c r="H1827" s="6" t="s">
        <v>115</v>
      </c>
      <c r="I1827" s="26" t="n">
        <f aca="false">_xlfn.MINIFS(Transaction!$C$2:$C$8421,Transaction!$B$2:$B$8421,A1827)</f>
        <v>46246</v>
      </c>
      <c r="J1827" s="26" t="n">
        <f aca="false">_xlfn.MAXIFS(Transaction!$C$2:$C$8421,Transaction!$B$2:$B$8421,A1827)</f>
        <v>46246</v>
      </c>
      <c r="K1827" s="6" t="n">
        <f aca="false">COUNTIF(Transaction!$B$2:$B$8421,A1827)</f>
        <v>1</v>
      </c>
      <c r="L1827" s="10" t="n">
        <f aca="false">SUMIF(Transaction!$B$2:$B$8421,A1827,Transaction!$H$2:$H$8421)</f>
        <v>6486</v>
      </c>
      <c r="M1827" s="6" t="n">
        <f aca="false">Summary!$B$3-J1827</f>
        <v>20</v>
      </c>
      <c r="N1827" s="6" t="str">
        <f aca="false">IF(K1827&gt;1,"Yes","No")</f>
        <v>No</v>
      </c>
      <c r="O1827" s="6" t="s">
        <v>47</v>
      </c>
    </row>
    <row r="1828" customFormat="false" ht="15" hidden="false" customHeight="false" outlineLevel="0" collapsed="false">
      <c r="A1828" s="6" t="s">
        <v>3765</v>
      </c>
      <c r="B1828" s="6" t="s">
        <v>3766</v>
      </c>
      <c r="C1828" s="6" t="s">
        <v>85</v>
      </c>
      <c r="D1828" s="6" t="n">
        <v>57</v>
      </c>
      <c r="E1828" s="6" t="s">
        <v>95</v>
      </c>
      <c r="F1828" s="6" t="s">
        <v>95</v>
      </c>
      <c r="G1828" s="26" t="n">
        <v>46055</v>
      </c>
      <c r="H1828" s="6" t="s">
        <v>92</v>
      </c>
      <c r="I1828" s="26" t="n">
        <f aca="false">_xlfn.MINIFS(Transaction!$C$2:$C$8421,Transaction!$B$2:$B$8421,A1828)</f>
        <v>46091</v>
      </c>
      <c r="J1828" s="26" t="n">
        <f aca="false">_xlfn.MAXIFS(Transaction!$C$2:$C$8421,Transaction!$B$2:$B$8421,A1828)</f>
        <v>46259</v>
      </c>
      <c r="K1828" s="6" t="n">
        <f aca="false">COUNTIF(Transaction!$B$2:$B$8421,A1828)</f>
        <v>3</v>
      </c>
      <c r="L1828" s="10" t="n">
        <f aca="false">SUMIF(Transaction!$B$2:$B$8421,A1828,Transaction!$H$2:$H$8421)</f>
        <v>4356</v>
      </c>
      <c r="M1828" s="6" t="n">
        <f aca="false">Summary!$B$3-J1828</f>
        <v>7</v>
      </c>
      <c r="N1828" s="6" t="str">
        <f aca="false">IF(K1828&gt;1,"Yes","No")</f>
        <v>Yes</v>
      </c>
      <c r="O1828" s="6" t="s">
        <v>46</v>
      </c>
    </row>
    <row r="1829" customFormat="false" ht="15" hidden="false" customHeight="false" outlineLevel="0" collapsed="false">
      <c r="A1829" s="6" t="s">
        <v>3767</v>
      </c>
      <c r="B1829" s="6" t="s">
        <v>3768</v>
      </c>
      <c r="C1829" s="6" t="s">
        <v>85</v>
      </c>
      <c r="D1829" s="6" t="n">
        <v>37</v>
      </c>
      <c r="E1829" s="6" t="s">
        <v>98</v>
      </c>
      <c r="F1829" s="6" t="s">
        <v>99</v>
      </c>
      <c r="G1829" s="26" t="n">
        <v>46201</v>
      </c>
      <c r="H1829" s="6" t="s">
        <v>78</v>
      </c>
      <c r="I1829" s="26" t="n">
        <f aca="false">_xlfn.MINIFS(Transaction!$C$2:$C$8421,Transaction!$B$2:$B$8421,A1829)</f>
        <v>46258</v>
      </c>
      <c r="J1829" s="26" t="n">
        <f aca="false">_xlfn.MAXIFS(Transaction!$C$2:$C$8421,Transaction!$B$2:$B$8421,A1829)</f>
        <v>46258</v>
      </c>
      <c r="K1829" s="6" t="n">
        <f aca="false">COUNTIF(Transaction!$B$2:$B$8421,A1829)</f>
        <v>1</v>
      </c>
      <c r="L1829" s="10" t="n">
        <f aca="false">SUMIF(Transaction!$B$2:$B$8421,A1829,Transaction!$H$2:$H$8421)</f>
        <v>707</v>
      </c>
      <c r="M1829" s="6" t="n">
        <f aca="false">Summary!$B$3-J1829</f>
        <v>8</v>
      </c>
      <c r="N1829" s="6" t="str">
        <f aca="false">IF(K1829&gt;1,"Yes","No")</f>
        <v>No</v>
      </c>
      <c r="O1829" s="6" t="s">
        <v>47</v>
      </c>
    </row>
    <row r="1830" customFormat="false" ht="15" hidden="false" customHeight="false" outlineLevel="0" collapsed="false">
      <c r="A1830" s="6" t="s">
        <v>3769</v>
      </c>
      <c r="B1830" s="6" t="s">
        <v>3770</v>
      </c>
      <c r="C1830" s="6" t="s">
        <v>85</v>
      </c>
      <c r="D1830" s="6" t="n">
        <v>42</v>
      </c>
      <c r="E1830" s="6" t="s">
        <v>121</v>
      </c>
      <c r="F1830" s="6" t="s">
        <v>122</v>
      </c>
      <c r="G1830" s="26" t="n">
        <v>46113</v>
      </c>
      <c r="H1830" s="6" t="s">
        <v>78</v>
      </c>
      <c r="I1830" s="26" t="n">
        <f aca="false">_xlfn.MINIFS(Transaction!$C$2:$C$8421,Transaction!$B$2:$B$8421,A1830)</f>
        <v>46127</v>
      </c>
      <c r="J1830" s="26" t="n">
        <f aca="false">_xlfn.MAXIFS(Transaction!$C$2:$C$8421,Transaction!$B$2:$B$8421,A1830)</f>
        <v>46127</v>
      </c>
      <c r="K1830" s="6" t="n">
        <f aca="false">COUNTIF(Transaction!$B$2:$B$8421,A1830)</f>
        <v>1</v>
      </c>
      <c r="L1830" s="10" t="n">
        <f aca="false">SUMIF(Transaction!$B$2:$B$8421,A1830,Transaction!$H$2:$H$8421)</f>
        <v>2355</v>
      </c>
      <c r="M1830" s="6" t="n">
        <f aca="false">Summary!$B$3-J1830</f>
        <v>139</v>
      </c>
      <c r="N1830" s="6" t="str">
        <f aca="false">IF(K1830&gt;1,"Yes","No")</f>
        <v>No</v>
      </c>
      <c r="O1830" s="6" t="s">
        <v>48</v>
      </c>
    </row>
    <row r="1831" customFormat="false" ht="15" hidden="false" customHeight="false" outlineLevel="0" collapsed="false">
      <c r="A1831" s="6" t="s">
        <v>3771</v>
      </c>
      <c r="B1831" s="6" t="s">
        <v>3772</v>
      </c>
      <c r="C1831" s="6" t="s">
        <v>75</v>
      </c>
      <c r="D1831" s="6" t="n">
        <v>33</v>
      </c>
      <c r="E1831" s="6" t="s">
        <v>95</v>
      </c>
      <c r="F1831" s="6" t="s">
        <v>95</v>
      </c>
      <c r="G1831" s="26" t="n">
        <v>46107</v>
      </c>
      <c r="H1831" s="6" t="s">
        <v>88</v>
      </c>
      <c r="I1831" s="26" t="n">
        <f aca="false">_xlfn.MINIFS(Transaction!$C$2:$C$8421,Transaction!$B$2:$B$8421,A1831)</f>
        <v>46127</v>
      </c>
      <c r="J1831" s="26" t="n">
        <f aca="false">_xlfn.MAXIFS(Transaction!$C$2:$C$8421,Transaction!$B$2:$B$8421,A1831)</f>
        <v>46127</v>
      </c>
      <c r="K1831" s="6" t="n">
        <f aca="false">COUNTIF(Transaction!$B$2:$B$8421,A1831)</f>
        <v>1</v>
      </c>
      <c r="L1831" s="10" t="n">
        <f aca="false">SUMIF(Transaction!$B$2:$B$8421,A1831,Transaction!$H$2:$H$8421)</f>
        <v>2548</v>
      </c>
      <c r="M1831" s="6" t="n">
        <f aca="false">Summary!$B$3-J1831</f>
        <v>139</v>
      </c>
      <c r="N1831" s="6" t="str">
        <f aca="false">IF(K1831&gt;1,"Yes","No")</f>
        <v>No</v>
      </c>
      <c r="O1831" s="6" t="s">
        <v>48</v>
      </c>
    </row>
    <row r="1832" customFormat="false" ht="15" hidden="false" customHeight="false" outlineLevel="0" collapsed="false">
      <c r="A1832" s="6" t="s">
        <v>3773</v>
      </c>
      <c r="B1832" s="6" t="s">
        <v>3774</v>
      </c>
      <c r="C1832" s="6" t="s">
        <v>75</v>
      </c>
      <c r="D1832" s="6" t="n">
        <v>36</v>
      </c>
      <c r="E1832" s="6" t="s">
        <v>81</v>
      </c>
      <c r="F1832" s="6" t="s">
        <v>82</v>
      </c>
      <c r="G1832" s="26" t="n">
        <v>46029</v>
      </c>
      <c r="H1832" s="6" t="s">
        <v>92</v>
      </c>
      <c r="I1832" s="26" t="n">
        <f aca="false">_xlfn.MINIFS(Transaction!$C$2:$C$8421,Transaction!$B$2:$B$8421,A1832)</f>
        <v>46042</v>
      </c>
      <c r="J1832" s="26" t="n">
        <f aca="false">_xlfn.MAXIFS(Transaction!$C$2:$C$8421,Transaction!$B$2:$B$8421,A1832)</f>
        <v>46218</v>
      </c>
      <c r="K1832" s="6" t="n">
        <f aca="false">COUNTIF(Transaction!$B$2:$B$8421,A1832)</f>
        <v>7</v>
      </c>
      <c r="L1832" s="10" t="n">
        <f aca="false">SUMIF(Transaction!$B$2:$B$8421,A1832,Transaction!$H$2:$H$8421)</f>
        <v>10981</v>
      </c>
      <c r="M1832" s="6" t="n">
        <f aca="false">Summary!$B$3-J1832</f>
        <v>48</v>
      </c>
      <c r="N1832" s="6" t="str">
        <f aca="false">IF(K1832&gt;1,"Yes","No")</f>
        <v>Yes</v>
      </c>
      <c r="O1832" s="6" t="s">
        <v>46</v>
      </c>
    </row>
    <row r="1833" customFormat="false" ht="15" hidden="false" customHeight="false" outlineLevel="0" collapsed="false">
      <c r="A1833" s="6" t="s">
        <v>3775</v>
      </c>
      <c r="B1833" s="6" t="s">
        <v>3776</v>
      </c>
      <c r="C1833" s="6" t="s">
        <v>75</v>
      </c>
      <c r="D1833" s="6" t="n">
        <v>32</v>
      </c>
      <c r="E1833" s="6" t="s">
        <v>76</v>
      </c>
      <c r="F1833" s="6" t="s">
        <v>77</v>
      </c>
      <c r="G1833" s="26" t="n">
        <v>46160</v>
      </c>
      <c r="H1833" s="6" t="s">
        <v>88</v>
      </c>
      <c r="I1833" s="26" t="n">
        <f aca="false">_xlfn.MINIFS(Transaction!$C$2:$C$8421,Transaction!$B$2:$B$8421,A1833)</f>
        <v>46228</v>
      </c>
      <c r="J1833" s="26" t="n">
        <f aca="false">_xlfn.MAXIFS(Transaction!$C$2:$C$8421,Transaction!$B$2:$B$8421,A1833)</f>
        <v>46228</v>
      </c>
      <c r="K1833" s="6" t="n">
        <f aca="false">COUNTIF(Transaction!$B$2:$B$8421,A1833)</f>
        <v>1</v>
      </c>
      <c r="L1833" s="10" t="n">
        <f aca="false">SUMIF(Transaction!$B$2:$B$8421,A1833,Transaction!$H$2:$H$8421)</f>
        <v>882</v>
      </c>
      <c r="M1833" s="6" t="n">
        <f aca="false">Summary!$B$3-J1833</f>
        <v>38</v>
      </c>
      <c r="N1833" s="6" t="str">
        <f aca="false">IF(K1833&gt;1,"Yes","No")</f>
        <v>No</v>
      </c>
      <c r="O1833" s="6" t="s">
        <v>47</v>
      </c>
    </row>
    <row r="1834" customFormat="false" ht="15" hidden="false" customHeight="false" outlineLevel="0" collapsed="false">
      <c r="A1834" s="6" t="s">
        <v>3777</v>
      </c>
      <c r="B1834" s="6" t="s">
        <v>3778</v>
      </c>
      <c r="C1834" s="6" t="s">
        <v>85</v>
      </c>
      <c r="D1834" s="6" t="n">
        <v>44</v>
      </c>
      <c r="E1834" s="6" t="s">
        <v>86</v>
      </c>
      <c r="F1834" s="6" t="s">
        <v>87</v>
      </c>
      <c r="G1834" s="26" t="n">
        <v>46091</v>
      </c>
      <c r="H1834" s="6" t="s">
        <v>88</v>
      </c>
      <c r="I1834" s="26" t="n">
        <f aca="false">_xlfn.MINIFS(Transaction!$C$2:$C$8421,Transaction!$B$2:$B$8421,A1834)</f>
        <v>46094</v>
      </c>
      <c r="J1834" s="26" t="n">
        <f aca="false">_xlfn.MAXIFS(Transaction!$C$2:$C$8421,Transaction!$B$2:$B$8421,A1834)</f>
        <v>46246</v>
      </c>
      <c r="K1834" s="6" t="n">
        <f aca="false">COUNTIF(Transaction!$B$2:$B$8421,A1834)</f>
        <v>8</v>
      </c>
      <c r="L1834" s="10" t="n">
        <f aca="false">SUMIF(Transaction!$B$2:$B$8421,A1834,Transaction!$H$2:$H$8421)</f>
        <v>17939</v>
      </c>
      <c r="M1834" s="6" t="n">
        <f aca="false">Summary!$B$3-J1834</f>
        <v>20</v>
      </c>
      <c r="N1834" s="6" t="str">
        <f aca="false">IF(K1834&gt;1,"Yes","No")</f>
        <v>Yes</v>
      </c>
      <c r="O1834" s="6" t="s">
        <v>45</v>
      </c>
    </row>
    <row r="1835" customFormat="false" ht="15" hidden="false" customHeight="false" outlineLevel="0" collapsed="false">
      <c r="A1835" s="6" t="s">
        <v>3779</v>
      </c>
      <c r="B1835" s="6" t="s">
        <v>3780</v>
      </c>
      <c r="C1835" s="6" t="s">
        <v>75</v>
      </c>
      <c r="D1835" s="6" t="n">
        <v>41</v>
      </c>
      <c r="E1835" s="6" t="s">
        <v>81</v>
      </c>
      <c r="F1835" s="6" t="s">
        <v>82</v>
      </c>
      <c r="G1835" s="26" t="n">
        <v>46198</v>
      </c>
      <c r="H1835" s="6" t="s">
        <v>115</v>
      </c>
      <c r="I1835" s="26" t="n">
        <f aca="false">_xlfn.MINIFS(Transaction!$C$2:$C$8421,Transaction!$B$2:$B$8421,A1835)</f>
        <v>46223</v>
      </c>
      <c r="J1835" s="26" t="n">
        <f aca="false">_xlfn.MAXIFS(Transaction!$C$2:$C$8421,Transaction!$B$2:$B$8421,A1835)</f>
        <v>46223</v>
      </c>
      <c r="K1835" s="6" t="n">
        <f aca="false">COUNTIF(Transaction!$B$2:$B$8421,A1835)</f>
        <v>1</v>
      </c>
      <c r="L1835" s="10" t="n">
        <f aca="false">SUMIF(Transaction!$B$2:$B$8421,A1835,Transaction!$H$2:$H$8421)</f>
        <v>743</v>
      </c>
      <c r="M1835" s="6" t="n">
        <f aca="false">Summary!$B$3-J1835</f>
        <v>43</v>
      </c>
      <c r="N1835" s="6" t="str">
        <f aca="false">IF(K1835&gt;1,"Yes","No")</f>
        <v>No</v>
      </c>
      <c r="O1835" s="6" t="s">
        <v>47</v>
      </c>
    </row>
    <row r="1836" customFormat="false" ht="15" hidden="false" customHeight="false" outlineLevel="0" collapsed="false">
      <c r="A1836" s="6" t="s">
        <v>3781</v>
      </c>
      <c r="B1836" s="6" t="s">
        <v>3782</v>
      </c>
      <c r="C1836" s="6" t="s">
        <v>75</v>
      </c>
      <c r="D1836" s="6" t="n">
        <v>35</v>
      </c>
      <c r="E1836" s="6" t="s">
        <v>98</v>
      </c>
      <c r="F1836" s="6" t="s">
        <v>99</v>
      </c>
      <c r="G1836" s="26" t="n">
        <v>45988</v>
      </c>
      <c r="H1836" s="6" t="s">
        <v>92</v>
      </c>
      <c r="I1836" s="26" t="n">
        <f aca="false">_xlfn.MINIFS(Transaction!$C$2:$C$8421,Transaction!$B$2:$B$8421,A1836)</f>
        <v>46070</v>
      </c>
      <c r="J1836" s="26" t="n">
        <f aca="false">_xlfn.MAXIFS(Transaction!$C$2:$C$8421,Transaction!$B$2:$B$8421,A1836)</f>
        <v>46175</v>
      </c>
      <c r="K1836" s="6" t="n">
        <f aca="false">COUNTIF(Transaction!$B$2:$B$8421,A1836)</f>
        <v>4</v>
      </c>
      <c r="L1836" s="10" t="n">
        <f aca="false">SUMIF(Transaction!$B$2:$B$8421,A1836,Transaction!$H$2:$H$8421)</f>
        <v>4599</v>
      </c>
      <c r="M1836" s="6" t="n">
        <f aca="false">Summary!$B$3-J1836</f>
        <v>91</v>
      </c>
      <c r="N1836" s="6" t="str">
        <f aca="false">IF(K1836&gt;1,"Yes","No")</f>
        <v>Yes</v>
      </c>
      <c r="O1836" s="6" t="s">
        <v>46</v>
      </c>
    </row>
    <row r="1837" customFormat="false" ht="15" hidden="false" customHeight="false" outlineLevel="0" collapsed="false">
      <c r="A1837" s="6" t="s">
        <v>3783</v>
      </c>
      <c r="B1837" s="6" t="s">
        <v>3784</v>
      </c>
      <c r="C1837" s="6" t="s">
        <v>85</v>
      </c>
      <c r="D1837" s="6" t="n">
        <v>28</v>
      </c>
      <c r="E1837" s="6" t="s">
        <v>121</v>
      </c>
      <c r="F1837" s="6" t="s">
        <v>122</v>
      </c>
      <c r="G1837" s="26" t="n">
        <v>46191</v>
      </c>
      <c r="H1837" s="6" t="s">
        <v>92</v>
      </c>
      <c r="I1837" s="26" t="n">
        <f aca="false">_xlfn.MINIFS(Transaction!$C$2:$C$8421,Transaction!$B$2:$B$8421,A1837)</f>
        <v>46209</v>
      </c>
      <c r="J1837" s="26" t="n">
        <f aca="false">_xlfn.MAXIFS(Transaction!$C$2:$C$8421,Transaction!$B$2:$B$8421,A1837)</f>
        <v>46209</v>
      </c>
      <c r="K1837" s="6" t="n">
        <f aca="false">COUNTIF(Transaction!$B$2:$B$8421,A1837)</f>
        <v>1</v>
      </c>
      <c r="L1837" s="10" t="n">
        <f aca="false">SUMIF(Transaction!$B$2:$B$8421,A1837,Transaction!$H$2:$H$8421)</f>
        <v>1174</v>
      </c>
      <c r="M1837" s="6" t="n">
        <f aca="false">Summary!$B$3-J1837</f>
        <v>57</v>
      </c>
      <c r="N1837" s="6" t="str">
        <f aca="false">IF(K1837&gt;1,"Yes","No")</f>
        <v>No</v>
      </c>
      <c r="O1837" s="6" t="s">
        <v>47</v>
      </c>
    </row>
    <row r="1838" customFormat="false" ht="15" hidden="false" customHeight="false" outlineLevel="0" collapsed="false">
      <c r="A1838" s="6" t="s">
        <v>3785</v>
      </c>
      <c r="B1838" s="6" t="s">
        <v>3786</v>
      </c>
      <c r="C1838" s="6" t="s">
        <v>85</v>
      </c>
      <c r="D1838" s="6" t="n">
        <v>20</v>
      </c>
      <c r="E1838" s="6" t="s">
        <v>81</v>
      </c>
      <c r="F1838" s="6" t="s">
        <v>82</v>
      </c>
      <c r="G1838" s="26" t="n">
        <v>45978</v>
      </c>
      <c r="H1838" s="6" t="s">
        <v>92</v>
      </c>
      <c r="I1838" s="26" t="n">
        <f aca="false">_xlfn.MINIFS(Transaction!$C$2:$C$8421,Transaction!$B$2:$B$8421,A1838)</f>
        <v>46026</v>
      </c>
      <c r="J1838" s="26" t="n">
        <f aca="false">_xlfn.MAXIFS(Transaction!$C$2:$C$8421,Transaction!$B$2:$B$8421,A1838)</f>
        <v>46026</v>
      </c>
      <c r="K1838" s="6" t="n">
        <f aca="false">COUNTIF(Transaction!$B$2:$B$8421,A1838)</f>
        <v>1</v>
      </c>
      <c r="L1838" s="10" t="n">
        <f aca="false">SUMIF(Transaction!$B$2:$B$8421,A1838,Transaction!$H$2:$H$8421)</f>
        <v>781</v>
      </c>
      <c r="M1838" s="6" t="n">
        <f aca="false">Summary!$B$3-J1838</f>
        <v>240</v>
      </c>
      <c r="N1838" s="6" t="str">
        <f aca="false">IF(K1838&gt;1,"Yes","No")</f>
        <v>No</v>
      </c>
      <c r="O1838" s="6" t="s">
        <v>49</v>
      </c>
    </row>
    <row r="1839" customFormat="false" ht="15" hidden="false" customHeight="false" outlineLevel="0" collapsed="false">
      <c r="A1839" s="6" t="s">
        <v>3787</v>
      </c>
      <c r="B1839" s="6" t="s">
        <v>3788</v>
      </c>
      <c r="C1839" s="6" t="s">
        <v>85</v>
      </c>
      <c r="D1839" s="6" t="n">
        <v>36</v>
      </c>
      <c r="E1839" s="6" t="s">
        <v>95</v>
      </c>
      <c r="F1839" s="6" t="s">
        <v>95</v>
      </c>
      <c r="G1839" s="26" t="n">
        <v>46092</v>
      </c>
      <c r="H1839" s="6" t="s">
        <v>88</v>
      </c>
      <c r="I1839" s="26" t="n">
        <f aca="false">_xlfn.MINIFS(Transaction!$C$2:$C$8421,Transaction!$B$2:$B$8421,A1839)</f>
        <v>46129</v>
      </c>
      <c r="J1839" s="26" t="n">
        <f aca="false">_xlfn.MAXIFS(Transaction!$C$2:$C$8421,Transaction!$B$2:$B$8421,A1839)</f>
        <v>46129</v>
      </c>
      <c r="K1839" s="6" t="n">
        <f aca="false">COUNTIF(Transaction!$B$2:$B$8421,A1839)</f>
        <v>1</v>
      </c>
      <c r="L1839" s="10" t="n">
        <f aca="false">SUMIF(Transaction!$B$2:$B$8421,A1839,Transaction!$H$2:$H$8421)</f>
        <v>2820</v>
      </c>
      <c r="M1839" s="6" t="n">
        <f aca="false">Summary!$B$3-J1839</f>
        <v>137</v>
      </c>
      <c r="N1839" s="6" t="str">
        <f aca="false">IF(K1839&gt;1,"Yes","No")</f>
        <v>No</v>
      </c>
      <c r="O1839" s="6" t="s">
        <v>48</v>
      </c>
    </row>
    <row r="1840" customFormat="false" ht="15" hidden="false" customHeight="false" outlineLevel="0" collapsed="false">
      <c r="A1840" s="6" t="s">
        <v>3789</v>
      </c>
      <c r="B1840" s="6" t="s">
        <v>3790</v>
      </c>
      <c r="C1840" s="6" t="s">
        <v>75</v>
      </c>
      <c r="D1840" s="6" t="n">
        <v>37</v>
      </c>
      <c r="E1840" s="6" t="s">
        <v>95</v>
      </c>
      <c r="F1840" s="6" t="s">
        <v>95</v>
      </c>
      <c r="G1840" s="26" t="n">
        <v>45986</v>
      </c>
      <c r="H1840" s="6" t="s">
        <v>102</v>
      </c>
      <c r="I1840" s="26" t="n">
        <f aca="false">_xlfn.MINIFS(Transaction!$C$2:$C$8421,Transaction!$B$2:$B$8421,A1840)</f>
        <v>46053</v>
      </c>
      <c r="J1840" s="26" t="n">
        <f aca="false">_xlfn.MAXIFS(Transaction!$C$2:$C$8421,Transaction!$B$2:$B$8421,A1840)</f>
        <v>46244</v>
      </c>
      <c r="K1840" s="6" t="n">
        <f aca="false">COUNTIF(Transaction!$B$2:$B$8421,A1840)</f>
        <v>10</v>
      </c>
      <c r="L1840" s="10" t="n">
        <f aca="false">SUMIF(Transaction!$B$2:$B$8421,A1840,Transaction!$H$2:$H$8421)</f>
        <v>17787</v>
      </c>
      <c r="M1840" s="6" t="n">
        <f aca="false">Summary!$B$3-J1840</f>
        <v>22</v>
      </c>
      <c r="N1840" s="6" t="str">
        <f aca="false">IF(K1840&gt;1,"Yes","No")</f>
        <v>Yes</v>
      </c>
      <c r="O1840" s="6" t="s">
        <v>45</v>
      </c>
    </row>
    <row r="1841" customFormat="false" ht="15" hidden="false" customHeight="false" outlineLevel="0" collapsed="false">
      <c r="A1841" s="6" t="s">
        <v>3791</v>
      </c>
      <c r="B1841" s="6" t="s">
        <v>3792</v>
      </c>
      <c r="C1841" s="6" t="s">
        <v>75</v>
      </c>
      <c r="D1841" s="6" t="n">
        <v>21</v>
      </c>
      <c r="E1841" s="6" t="s">
        <v>134</v>
      </c>
      <c r="F1841" s="6" t="s">
        <v>135</v>
      </c>
      <c r="G1841" s="26" t="n">
        <v>46013</v>
      </c>
      <c r="H1841" s="6" t="s">
        <v>102</v>
      </c>
      <c r="I1841" s="26" t="n">
        <f aca="false">_xlfn.MINIFS(Transaction!$C$2:$C$8421,Transaction!$B$2:$B$8421,A1841)</f>
        <v>46025</v>
      </c>
      <c r="J1841" s="26" t="n">
        <f aca="false">_xlfn.MAXIFS(Transaction!$C$2:$C$8421,Transaction!$B$2:$B$8421,A1841)</f>
        <v>46222</v>
      </c>
      <c r="K1841" s="6" t="n">
        <f aca="false">COUNTIF(Transaction!$B$2:$B$8421,A1841)</f>
        <v>5</v>
      </c>
      <c r="L1841" s="10" t="n">
        <f aca="false">SUMIF(Transaction!$B$2:$B$8421,A1841,Transaction!$H$2:$H$8421)</f>
        <v>10585</v>
      </c>
      <c r="M1841" s="6" t="n">
        <f aca="false">Summary!$B$3-J1841</f>
        <v>44</v>
      </c>
      <c r="N1841" s="6" t="str">
        <f aca="false">IF(K1841&gt;1,"Yes","No")</f>
        <v>Yes</v>
      </c>
      <c r="O1841" s="6" t="s">
        <v>46</v>
      </c>
    </row>
    <row r="1842" customFormat="false" ht="15" hidden="false" customHeight="false" outlineLevel="0" collapsed="false">
      <c r="A1842" s="6" t="s">
        <v>3793</v>
      </c>
      <c r="B1842" s="6" t="s">
        <v>3794</v>
      </c>
      <c r="C1842" s="6" t="s">
        <v>75</v>
      </c>
      <c r="D1842" s="6" t="n">
        <v>34</v>
      </c>
      <c r="E1842" s="6" t="s">
        <v>81</v>
      </c>
      <c r="F1842" s="6" t="s">
        <v>82</v>
      </c>
      <c r="G1842" s="26" t="n">
        <v>46017</v>
      </c>
      <c r="H1842" s="6" t="s">
        <v>102</v>
      </c>
      <c r="I1842" s="26" t="n">
        <f aca="false">_xlfn.MINIFS(Transaction!$C$2:$C$8421,Transaction!$B$2:$B$8421,A1842)</f>
        <v>46092</v>
      </c>
      <c r="J1842" s="26" t="n">
        <f aca="false">_xlfn.MAXIFS(Transaction!$C$2:$C$8421,Transaction!$B$2:$B$8421,A1842)</f>
        <v>46258</v>
      </c>
      <c r="K1842" s="6" t="n">
        <f aca="false">COUNTIF(Transaction!$B$2:$B$8421,A1842)</f>
        <v>8</v>
      </c>
      <c r="L1842" s="10" t="n">
        <f aca="false">SUMIF(Transaction!$B$2:$B$8421,A1842,Transaction!$H$2:$H$8421)</f>
        <v>10896</v>
      </c>
      <c r="M1842" s="6" t="n">
        <f aca="false">Summary!$B$3-J1842</f>
        <v>8</v>
      </c>
      <c r="N1842" s="6" t="str">
        <f aca="false">IF(K1842&gt;1,"Yes","No")</f>
        <v>Yes</v>
      </c>
      <c r="O1842" s="6" t="s">
        <v>45</v>
      </c>
    </row>
    <row r="1843" customFormat="false" ht="15" hidden="false" customHeight="false" outlineLevel="0" collapsed="false">
      <c r="A1843" s="6" t="s">
        <v>3795</v>
      </c>
      <c r="B1843" s="6" t="s">
        <v>3796</v>
      </c>
      <c r="C1843" s="6" t="s">
        <v>85</v>
      </c>
      <c r="D1843" s="6" t="n">
        <v>25</v>
      </c>
      <c r="E1843" s="6" t="s">
        <v>146</v>
      </c>
      <c r="F1843" s="6" t="s">
        <v>147</v>
      </c>
      <c r="G1843" s="26" t="n">
        <v>46061</v>
      </c>
      <c r="H1843" s="6" t="s">
        <v>115</v>
      </c>
      <c r="I1843" s="26" t="n">
        <f aca="false">_xlfn.MINIFS(Transaction!$C$2:$C$8421,Transaction!$B$2:$B$8421,A1843)</f>
        <v>46093</v>
      </c>
      <c r="J1843" s="26" t="n">
        <f aca="false">_xlfn.MAXIFS(Transaction!$C$2:$C$8421,Transaction!$B$2:$B$8421,A1843)</f>
        <v>46093</v>
      </c>
      <c r="K1843" s="6" t="n">
        <f aca="false">COUNTIF(Transaction!$B$2:$B$8421,A1843)</f>
        <v>1</v>
      </c>
      <c r="L1843" s="10" t="n">
        <f aca="false">SUMIF(Transaction!$B$2:$B$8421,A1843,Transaction!$H$2:$H$8421)</f>
        <v>56087</v>
      </c>
      <c r="M1843" s="6" t="n">
        <f aca="false">Summary!$B$3-J1843</f>
        <v>173</v>
      </c>
      <c r="N1843" s="6" t="str">
        <f aca="false">IF(K1843&gt;1,"Yes","No")</f>
        <v>No</v>
      </c>
      <c r="O1843" s="6" t="s">
        <v>49</v>
      </c>
    </row>
    <row r="1844" customFormat="false" ht="15" hidden="false" customHeight="false" outlineLevel="0" collapsed="false">
      <c r="A1844" s="6" t="s">
        <v>3797</v>
      </c>
      <c r="B1844" s="6" t="s">
        <v>3798</v>
      </c>
      <c r="C1844" s="6" t="s">
        <v>85</v>
      </c>
      <c r="D1844" s="6" t="n">
        <v>19</v>
      </c>
      <c r="E1844" s="6" t="s">
        <v>146</v>
      </c>
      <c r="F1844" s="6" t="s">
        <v>147</v>
      </c>
      <c r="G1844" s="26" t="n">
        <v>46061</v>
      </c>
      <c r="H1844" s="6" t="s">
        <v>115</v>
      </c>
      <c r="I1844" s="26" t="n">
        <f aca="false">_xlfn.MINIFS(Transaction!$C$2:$C$8421,Transaction!$B$2:$B$8421,A1844)</f>
        <v>46090</v>
      </c>
      <c r="J1844" s="26" t="n">
        <f aca="false">_xlfn.MAXIFS(Transaction!$C$2:$C$8421,Transaction!$B$2:$B$8421,A1844)</f>
        <v>46216</v>
      </c>
      <c r="K1844" s="6" t="n">
        <f aca="false">COUNTIF(Transaction!$B$2:$B$8421,A1844)</f>
        <v>6</v>
      </c>
      <c r="L1844" s="10" t="n">
        <f aca="false">SUMIF(Transaction!$B$2:$B$8421,A1844,Transaction!$H$2:$H$8421)</f>
        <v>5883</v>
      </c>
      <c r="M1844" s="6" t="n">
        <f aca="false">Summary!$B$3-J1844</f>
        <v>50</v>
      </c>
      <c r="N1844" s="6" t="str">
        <f aca="false">IF(K1844&gt;1,"Yes","No")</f>
        <v>Yes</v>
      </c>
      <c r="O1844" s="6" t="s">
        <v>46</v>
      </c>
    </row>
    <row r="1845" customFormat="false" ht="15" hidden="false" customHeight="false" outlineLevel="0" collapsed="false">
      <c r="A1845" s="6" t="s">
        <v>3799</v>
      </c>
      <c r="B1845" s="6" t="s">
        <v>3800</v>
      </c>
      <c r="C1845" s="6" t="s">
        <v>75</v>
      </c>
      <c r="D1845" s="6" t="n">
        <v>18</v>
      </c>
      <c r="E1845" s="6" t="s">
        <v>95</v>
      </c>
      <c r="F1845" s="6" t="s">
        <v>95</v>
      </c>
      <c r="G1845" s="26" t="n">
        <v>46009</v>
      </c>
      <c r="H1845" s="6" t="s">
        <v>88</v>
      </c>
      <c r="I1845" s="26" t="n">
        <f aca="false">_xlfn.MINIFS(Transaction!$C$2:$C$8421,Transaction!$B$2:$B$8421,A1845)</f>
        <v>46025</v>
      </c>
      <c r="J1845" s="26" t="n">
        <f aca="false">_xlfn.MAXIFS(Transaction!$C$2:$C$8421,Transaction!$B$2:$B$8421,A1845)</f>
        <v>46261</v>
      </c>
      <c r="K1845" s="6" t="n">
        <f aca="false">COUNTIF(Transaction!$B$2:$B$8421,A1845)</f>
        <v>11</v>
      </c>
      <c r="L1845" s="10" t="n">
        <f aca="false">SUMIF(Transaction!$B$2:$B$8421,A1845,Transaction!$H$2:$H$8421)</f>
        <v>25551</v>
      </c>
      <c r="M1845" s="6" t="n">
        <f aca="false">Summary!$B$3-J1845</f>
        <v>5</v>
      </c>
      <c r="N1845" s="6" t="str">
        <f aca="false">IF(K1845&gt;1,"Yes","No")</f>
        <v>Yes</v>
      </c>
      <c r="O1845" s="6" t="s">
        <v>45</v>
      </c>
    </row>
    <row r="1846" customFormat="false" ht="15" hidden="false" customHeight="false" outlineLevel="0" collapsed="false">
      <c r="A1846" s="6" t="s">
        <v>3801</v>
      </c>
      <c r="B1846" s="6" t="s">
        <v>3802</v>
      </c>
      <c r="C1846" s="6" t="s">
        <v>75</v>
      </c>
      <c r="D1846" s="6" t="n">
        <v>32</v>
      </c>
      <c r="E1846" s="6" t="s">
        <v>180</v>
      </c>
      <c r="F1846" s="6" t="s">
        <v>181</v>
      </c>
      <c r="G1846" s="26" t="n">
        <v>46029</v>
      </c>
      <c r="H1846" s="6" t="s">
        <v>78</v>
      </c>
      <c r="I1846" s="26" t="n">
        <f aca="false">_xlfn.MINIFS(Transaction!$C$2:$C$8421,Transaction!$B$2:$B$8421,A1846)</f>
        <v>46062</v>
      </c>
      <c r="J1846" s="26" t="n">
        <f aca="false">_xlfn.MAXIFS(Transaction!$C$2:$C$8421,Transaction!$B$2:$B$8421,A1846)</f>
        <v>46260</v>
      </c>
      <c r="K1846" s="6" t="n">
        <f aca="false">COUNTIF(Transaction!$B$2:$B$8421,A1846)</f>
        <v>7</v>
      </c>
      <c r="L1846" s="10" t="n">
        <f aca="false">SUMIF(Transaction!$B$2:$B$8421,A1846,Transaction!$H$2:$H$8421)</f>
        <v>42408</v>
      </c>
      <c r="M1846" s="6" t="n">
        <f aca="false">Summary!$B$3-J1846</f>
        <v>6</v>
      </c>
      <c r="N1846" s="6" t="str">
        <f aca="false">IF(K1846&gt;1,"Yes","No")</f>
        <v>Yes</v>
      </c>
      <c r="O1846" s="6" t="s">
        <v>45</v>
      </c>
    </row>
    <row r="1847" customFormat="false" ht="15" hidden="false" customHeight="false" outlineLevel="0" collapsed="false">
      <c r="A1847" s="6" t="s">
        <v>3803</v>
      </c>
      <c r="B1847" s="6" t="s">
        <v>3804</v>
      </c>
      <c r="C1847" s="6" t="s">
        <v>75</v>
      </c>
      <c r="D1847" s="6" t="n">
        <v>42</v>
      </c>
      <c r="E1847" s="6" t="s">
        <v>76</v>
      </c>
      <c r="F1847" s="6" t="s">
        <v>77</v>
      </c>
      <c r="G1847" s="26" t="n">
        <v>45965</v>
      </c>
      <c r="H1847" s="6" t="s">
        <v>92</v>
      </c>
      <c r="I1847" s="26" t="n">
        <f aca="false">_xlfn.MINIFS(Transaction!$C$2:$C$8421,Transaction!$B$2:$B$8421,A1847)</f>
        <v>46024</v>
      </c>
      <c r="J1847" s="26" t="n">
        <f aca="false">_xlfn.MAXIFS(Transaction!$C$2:$C$8421,Transaction!$B$2:$B$8421,A1847)</f>
        <v>46184</v>
      </c>
      <c r="K1847" s="6" t="n">
        <f aca="false">COUNTIF(Transaction!$B$2:$B$8421,A1847)</f>
        <v>7</v>
      </c>
      <c r="L1847" s="10" t="n">
        <f aca="false">SUMIF(Transaction!$B$2:$B$8421,A1847,Transaction!$H$2:$H$8421)</f>
        <v>30006</v>
      </c>
      <c r="M1847" s="6" t="n">
        <f aca="false">Summary!$B$3-J1847</f>
        <v>82</v>
      </c>
      <c r="N1847" s="6" t="str">
        <f aca="false">IF(K1847&gt;1,"Yes","No")</f>
        <v>Yes</v>
      </c>
      <c r="O1847" s="6" t="s">
        <v>46</v>
      </c>
    </row>
    <row r="1848" customFormat="false" ht="15" hidden="false" customHeight="false" outlineLevel="0" collapsed="false">
      <c r="A1848" s="6" t="s">
        <v>3805</v>
      </c>
      <c r="B1848" s="6" t="s">
        <v>3806</v>
      </c>
      <c r="C1848" s="6" t="s">
        <v>85</v>
      </c>
      <c r="D1848" s="6" t="n">
        <v>46</v>
      </c>
      <c r="E1848" s="6" t="s">
        <v>76</v>
      </c>
      <c r="F1848" s="6" t="s">
        <v>77</v>
      </c>
      <c r="G1848" s="26" t="n">
        <v>46055</v>
      </c>
      <c r="H1848" s="6" t="s">
        <v>115</v>
      </c>
      <c r="I1848" s="26" t="n">
        <f aca="false">_xlfn.MINIFS(Transaction!$C$2:$C$8421,Transaction!$B$2:$B$8421,A1848)</f>
        <v>46084</v>
      </c>
      <c r="J1848" s="26" t="n">
        <f aca="false">_xlfn.MAXIFS(Transaction!$C$2:$C$8421,Transaction!$B$2:$B$8421,A1848)</f>
        <v>46084</v>
      </c>
      <c r="K1848" s="6" t="n">
        <f aca="false">COUNTIF(Transaction!$B$2:$B$8421,A1848)</f>
        <v>1</v>
      </c>
      <c r="L1848" s="10" t="n">
        <f aca="false">SUMIF(Transaction!$B$2:$B$8421,A1848,Transaction!$H$2:$H$8421)</f>
        <v>866</v>
      </c>
      <c r="M1848" s="6" t="n">
        <f aca="false">Summary!$B$3-J1848</f>
        <v>182</v>
      </c>
      <c r="N1848" s="6" t="str">
        <f aca="false">IF(K1848&gt;1,"Yes","No")</f>
        <v>No</v>
      </c>
      <c r="O1848" s="6" t="s">
        <v>49</v>
      </c>
    </row>
    <row r="1849" customFormat="false" ht="15" hidden="false" customHeight="false" outlineLevel="0" collapsed="false">
      <c r="A1849" s="6" t="s">
        <v>3807</v>
      </c>
      <c r="B1849" s="6" t="s">
        <v>3808</v>
      </c>
      <c r="C1849" s="6" t="s">
        <v>75</v>
      </c>
      <c r="D1849" s="6" t="n">
        <v>18</v>
      </c>
      <c r="E1849" s="6" t="s">
        <v>81</v>
      </c>
      <c r="F1849" s="6" t="s">
        <v>82</v>
      </c>
      <c r="G1849" s="26" t="n">
        <v>46070</v>
      </c>
      <c r="H1849" s="6" t="s">
        <v>88</v>
      </c>
      <c r="I1849" s="26" t="n">
        <f aca="false">_xlfn.MINIFS(Transaction!$C$2:$C$8421,Transaction!$B$2:$B$8421,A1849)</f>
        <v>46132</v>
      </c>
      <c r="J1849" s="26" t="n">
        <f aca="false">_xlfn.MAXIFS(Transaction!$C$2:$C$8421,Transaction!$B$2:$B$8421,A1849)</f>
        <v>46132</v>
      </c>
      <c r="K1849" s="6" t="n">
        <f aca="false">COUNTIF(Transaction!$B$2:$B$8421,A1849)</f>
        <v>1</v>
      </c>
      <c r="L1849" s="10" t="n">
        <f aca="false">SUMIF(Transaction!$B$2:$B$8421,A1849,Transaction!$H$2:$H$8421)</f>
        <v>880</v>
      </c>
      <c r="M1849" s="6" t="n">
        <f aca="false">Summary!$B$3-J1849</f>
        <v>134</v>
      </c>
      <c r="N1849" s="6" t="str">
        <f aca="false">IF(K1849&gt;1,"Yes","No")</f>
        <v>No</v>
      </c>
      <c r="O1849" s="6" t="s">
        <v>48</v>
      </c>
    </row>
    <row r="1850" customFormat="false" ht="15" hidden="false" customHeight="false" outlineLevel="0" collapsed="false">
      <c r="A1850" s="6" t="s">
        <v>3809</v>
      </c>
      <c r="B1850" s="6" t="s">
        <v>3810</v>
      </c>
      <c r="C1850" s="6" t="s">
        <v>75</v>
      </c>
      <c r="D1850" s="6" t="n">
        <v>41</v>
      </c>
      <c r="E1850" s="6" t="s">
        <v>76</v>
      </c>
      <c r="F1850" s="6" t="s">
        <v>77</v>
      </c>
      <c r="G1850" s="26" t="n">
        <v>46030</v>
      </c>
      <c r="H1850" s="6" t="s">
        <v>92</v>
      </c>
      <c r="I1850" s="26" t="n">
        <f aca="false">_xlfn.MINIFS(Transaction!$C$2:$C$8421,Transaction!$B$2:$B$8421,A1850)</f>
        <v>46094</v>
      </c>
      <c r="J1850" s="26" t="n">
        <f aca="false">_xlfn.MAXIFS(Transaction!$C$2:$C$8421,Transaction!$B$2:$B$8421,A1850)</f>
        <v>46094</v>
      </c>
      <c r="K1850" s="6" t="n">
        <f aca="false">COUNTIF(Transaction!$B$2:$B$8421,A1850)</f>
        <v>1</v>
      </c>
      <c r="L1850" s="10" t="n">
        <f aca="false">SUMIF(Transaction!$B$2:$B$8421,A1850,Transaction!$H$2:$H$8421)</f>
        <v>366</v>
      </c>
      <c r="M1850" s="6" t="n">
        <f aca="false">Summary!$B$3-J1850</f>
        <v>172</v>
      </c>
      <c r="N1850" s="6" t="str">
        <f aca="false">IF(K1850&gt;1,"Yes","No")</f>
        <v>No</v>
      </c>
      <c r="O1850" s="6" t="s">
        <v>49</v>
      </c>
    </row>
    <row r="1851" customFormat="false" ht="15" hidden="false" customHeight="false" outlineLevel="0" collapsed="false">
      <c r="A1851" s="6" t="s">
        <v>3811</v>
      </c>
      <c r="B1851" s="6" t="s">
        <v>3812</v>
      </c>
      <c r="C1851" s="6" t="s">
        <v>85</v>
      </c>
      <c r="D1851" s="6" t="n">
        <v>35</v>
      </c>
      <c r="E1851" s="6" t="s">
        <v>176</v>
      </c>
      <c r="F1851" s="6" t="s">
        <v>177</v>
      </c>
      <c r="G1851" s="26" t="n">
        <v>46193</v>
      </c>
      <c r="H1851" s="6" t="s">
        <v>88</v>
      </c>
      <c r="I1851" s="26" t="n">
        <f aca="false">_xlfn.MINIFS(Transaction!$C$2:$C$8421,Transaction!$B$2:$B$8421,A1851)</f>
        <v>46262</v>
      </c>
      <c r="J1851" s="26" t="n">
        <f aca="false">_xlfn.MAXIFS(Transaction!$C$2:$C$8421,Transaction!$B$2:$B$8421,A1851)</f>
        <v>46262</v>
      </c>
      <c r="K1851" s="6" t="n">
        <f aca="false">COUNTIF(Transaction!$B$2:$B$8421,A1851)</f>
        <v>1</v>
      </c>
      <c r="L1851" s="10" t="n">
        <f aca="false">SUMIF(Transaction!$B$2:$B$8421,A1851,Transaction!$H$2:$H$8421)</f>
        <v>13255</v>
      </c>
      <c r="M1851" s="6" t="n">
        <f aca="false">Summary!$B$3-J1851</f>
        <v>4</v>
      </c>
      <c r="N1851" s="6" t="str">
        <f aca="false">IF(K1851&gt;1,"Yes","No")</f>
        <v>No</v>
      </c>
      <c r="O1851" s="6" t="s">
        <v>47</v>
      </c>
    </row>
    <row r="1852" customFormat="false" ht="15" hidden="false" customHeight="false" outlineLevel="0" collapsed="false">
      <c r="A1852" s="6" t="s">
        <v>3813</v>
      </c>
      <c r="B1852" s="6" t="s">
        <v>3814</v>
      </c>
      <c r="C1852" s="6" t="s">
        <v>75</v>
      </c>
      <c r="D1852" s="6" t="n">
        <v>30</v>
      </c>
      <c r="E1852" s="6" t="s">
        <v>146</v>
      </c>
      <c r="F1852" s="6" t="s">
        <v>147</v>
      </c>
      <c r="G1852" s="26" t="n">
        <v>46060</v>
      </c>
      <c r="H1852" s="6" t="s">
        <v>115</v>
      </c>
      <c r="I1852" s="26" t="n">
        <f aca="false">_xlfn.MINIFS(Transaction!$C$2:$C$8421,Transaction!$B$2:$B$8421,A1852)</f>
        <v>46102</v>
      </c>
      <c r="J1852" s="26" t="n">
        <f aca="false">_xlfn.MAXIFS(Transaction!$C$2:$C$8421,Transaction!$B$2:$B$8421,A1852)</f>
        <v>46102</v>
      </c>
      <c r="K1852" s="6" t="n">
        <f aca="false">COUNTIF(Transaction!$B$2:$B$8421,A1852)</f>
        <v>1</v>
      </c>
      <c r="L1852" s="10" t="n">
        <f aca="false">SUMIF(Transaction!$B$2:$B$8421,A1852,Transaction!$H$2:$H$8421)</f>
        <v>2784</v>
      </c>
      <c r="M1852" s="6" t="n">
        <f aca="false">Summary!$B$3-J1852</f>
        <v>164</v>
      </c>
      <c r="N1852" s="6" t="str">
        <f aca="false">IF(K1852&gt;1,"Yes","No")</f>
        <v>No</v>
      </c>
      <c r="O1852" s="6" t="s">
        <v>49</v>
      </c>
    </row>
    <row r="1853" customFormat="false" ht="15" hidden="false" customHeight="false" outlineLevel="0" collapsed="false">
      <c r="A1853" s="6" t="s">
        <v>3815</v>
      </c>
      <c r="B1853" s="6" t="s">
        <v>3816</v>
      </c>
      <c r="C1853" s="6" t="s">
        <v>75</v>
      </c>
      <c r="D1853" s="6" t="n">
        <v>40</v>
      </c>
      <c r="E1853" s="6" t="s">
        <v>206</v>
      </c>
      <c r="F1853" s="6" t="s">
        <v>106</v>
      </c>
      <c r="G1853" s="26" t="n">
        <v>45997</v>
      </c>
      <c r="H1853" s="6" t="s">
        <v>78</v>
      </c>
      <c r="I1853" s="26" t="n">
        <f aca="false">_xlfn.MINIFS(Transaction!$C$2:$C$8421,Transaction!$B$2:$B$8421,A1853)</f>
        <v>46074</v>
      </c>
      <c r="J1853" s="26" t="n">
        <f aca="false">_xlfn.MAXIFS(Transaction!$C$2:$C$8421,Transaction!$B$2:$B$8421,A1853)</f>
        <v>46202</v>
      </c>
      <c r="K1853" s="6" t="n">
        <f aca="false">COUNTIF(Transaction!$B$2:$B$8421,A1853)</f>
        <v>4</v>
      </c>
      <c r="L1853" s="10" t="n">
        <f aca="false">SUMIF(Transaction!$B$2:$B$8421,A1853,Transaction!$H$2:$H$8421)</f>
        <v>4881</v>
      </c>
      <c r="M1853" s="6" t="n">
        <f aca="false">Summary!$B$3-J1853</f>
        <v>64</v>
      </c>
      <c r="N1853" s="6" t="str">
        <f aca="false">IF(K1853&gt;1,"Yes","No")</f>
        <v>Yes</v>
      </c>
      <c r="O1853" s="6" t="s">
        <v>46</v>
      </c>
    </row>
    <row r="1854" customFormat="false" ht="15" hidden="false" customHeight="false" outlineLevel="0" collapsed="false">
      <c r="A1854" s="6" t="s">
        <v>3817</v>
      </c>
      <c r="B1854" s="6" t="s">
        <v>3818</v>
      </c>
      <c r="C1854" s="6" t="s">
        <v>75</v>
      </c>
      <c r="D1854" s="6" t="n">
        <v>29</v>
      </c>
      <c r="E1854" s="6" t="s">
        <v>105</v>
      </c>
      <c r="F1854" s="6" t="s">
        <v>106</v>
      </c>
      <c r="G1854" s="26" t="n">
        <v>46163</v>
      </c>
      <c r="H1854" s="6" t="s">
        <v>102</v>
      </c>
      <c r="I1854" s="26" t="n">
        <f aca="false">_xlfn.MINIFS(Transaction!$C$2:$C$8421,Transaction!$B$2:$B$8421,A1854)</f>
        <v>46221</v>
      </c>
      <c r="J1854" s="26" t="n">
        <f aca="false">_xlfn.MAXIFS(Transaction!$C$2:$C$8421,Transaction!$B$2:$B$8421,A1854)</f>
        <v>46221</v>
      </c>
      <c r="K1854" s="6" t="n">
        <f aca="false">COUNTIF(Transaction!$B$2:$B$8421,A1854)</f>
        <v>1</v>
      </c>
      <c r="L1854" s="10" t="n">
        <f aca="false">SUMIF(Transaction!$B$2:$B$8421,A1854,Transaction!$H$2:$H$8421)</f>
        <v>4588</v>
      </c>
      <c r="M1854" s="6" t="n">
        <f aca="false">Summary!$B$3-J1854</f>
        <v>45</v>
      </c>
      <c r="N1854" s="6" t="str">
        <f aca="false">IF(K1854&gt;1,"Yes","No")</f>
        <v>No</v>
      </c>
      <c r="O1854" s="6" t="s">
        <v>47</v>
      </c>
    </row>
    <row r="1855" customFormat="false" ht="15" hidden="false" customHeight="false" outlineLevel="0" collapsed="false">
      <c r="A1855" s="6" t="s">
        <v>3819</v>
      </c>
      <c r="B1855" s="6" t="s">
        <v>3820</v>
      </c>
      <c r="C1855" s="6" t="s">
        <v>85</v>
      </c>
      <c r="D1855" s="6" t="n">
        <v>30</v>
      </c>
      <c r="E1855" s="6" t="s">
        <v>95</v>
      </c>
      <c r="F1855" s="6" t="s">
        <v>95</v>
      </c>
      <c r="G1855" s="26" t="n">
        <v>46163</v>
      </c>
      <c r="H1855" s="6" t="s">
        <v>115</v>
      </c>
      <c r="I1855" s="26" t="n">
        <f aca="false">_xlfn.MINIFS(Transaction!$C$2:$C$8421,Transaction!$B$2:$B$8421,A1855)</f>
        <v>46200</v>
      </c>
      <c r="J1855" s="26" t="n">
        <f aca="false">_xlfn.MAXIFS(Transaction!$C$2:$C$8421,Transaction!$B$2:$B$8421,A1855)</f>
        <v>46200</v>
      </c>
      <c r="K1855" s="6" t="n">
        <f aca="false">COUNTIF(Transaction!$B$2:$B$8421,A1855)</f>
        <v>1</v>
      </c>
      <c r="L1855" s="10" t="n">
        <f aca="false">SUMIF(Transaction!$B$2:$B$8421,A1855,Transaction!$H$2:$H$8421)</f>
        <v>2109</v>
      </c>
      <c r="M1855" s="6" t="n">
        <f aca="false">Summary!$B$3-J1855</f>
        <v>66</v>
      </c>
      <c r="N1855" s="6" t="str">
        <f aca="false">IF(K1855&gt;1,"Yes","No")</f>
        <v>No</v>
      </c>
      <c r="O1855" s="6" t="s">
        <v>47</v>
      </c>
    </row>
    <row r="1856" customFormat="false" ht="15" hidden="false" customHeight="false" outlineLevel="0" collapsed="false">
      <c r="A1856" s="6" t="s">
        <v>3821</v>
      </c>
      <c r="B1856" s="6" t="s">
        <v>3822</v>
      </c>
      <c r="C1856" s="6" t="s">
        <v>75</v>
      </c>
      <c r="D1856" s="6" t="n">
        <v>34</v>
      </c>
      <c r="E1856" s="6" t="s">
        <v>264</v>
      </c>
      <c r="F1856" s="6" t="s">
        <v>106</v>
      </c>
      <c r="G1856" s="26" t="n">
        <v>46198</v>
      </c>
      <c r="H1856" s="6" t="s">
        <v>78</v>
      </c>
      <c r="I1856" s="26" t="n">
        <f aca="false">_xlfn.MINIFS(Transaction!$C$2:$C$8421,Transaction!$B$2:$B$8421,A1856)</f>
        <v>46227</v>
      </c>
      <c r="J1856" s="26" t="n">
        <f aca="false">_xlfn.MAXIFS(Transaction!$C$2:$C$8421,Transaction!$B$2:$B$8421,A1856)</f>
        <v>46227</v>
      </c>
      <c r="K1856" s="6" t="n">
        <f aca="false">COUNTIF(Transaction!$B$2:$B$8421,A1856)</f>
        <v>1</v>
      </c>
      <c r="L1856" s="10" t="n">
        <f aca="false">SUMIF(Transaction!$B$2:$B$8421,A1856,Transaction!$H$2:$H$8421)</f>
        <v>3081</v>
      </c>
      <c r="M1856" s="6" t="n">
        <f aca="false">Summary!$B$3-J1856</f>
        <v>39</v>
      </c>
      <c r="N1856" s="6" t="str">
        <f aca="false">IF(K1856&gt;1,"Yes","No")</f>
        <v>No</v>
      </c>
      <c r="O1856" s="6" t="s">
        <v>47</v>
      </c>
    </row>
    <row r="1857" customFormat="false" ht="15" hidden="false" customHeight="false" outlineLevel="0" collapsed="false">
      <c r="A1857" s="6" t="s">
        <v>3823</v>
      </c>
      <c r="B1857" s="6" t="s">
        <v>3824</v>
      </c>
      <c r="C1857" s="6" t="s">
        <v>75</v>
      </c>
      <c r="D1857" s="6" t="n">
        <v>34</v>
      </c>
      <c r="E1857" s="6" t="s">
        <v>105</v>
      </c>
      <c r="F1857" s="6" t="s">
        <v>106</v>
      </c>
      <c r="G1857" s="26" t="n">
        <v>46107</v>
      </c>
      <c r="H1857" s="6" t="s">
        <v>102</v>
      </c>
      <c r="I1857" s="26" t="n">
        <f aca="false">_xlfn.MINIFS(Transaction!$C$2:$C$8421,Transaction!$B$2:$B$8421,A1857)</f>
        <v>46177</v>
      </c>
      <c r="J1857" s="26" t="n">
        <f aca="false">_xlfn.MAXIFS(Transaction!$C$2:$C$8421,Transaction!$B$2:$B$8421,A1857)</f>
        <v>46177</v>
      </c>
      <c r="K1857" s="6" t="n">
        <f aca="false">COUNTIF(Transaction!$B$2:$B$8421,A1857)</f>
        <v>1</v>
      </c>
      <c r="L1857" s="10" t="n">
        <f aca="false">SUMIF(Transaction!$B$2:$B$8421,A1857,Transaction!$H$2:$H$8421)</f>
        <v>866</v>
      </c>
      <c r="M1857" s="6" t="n">
        <f aca="false">Summary!$B$3-J1857</f>
        <v>89</v>
      </c>
      <c r="N1857" s="6" t="str">
        <f aca="false">IF(K1857&gt;1,"Yes","No")</f>
        <v>No</v>
      </c>
      <c r="O1857" s="6" t="s">
        <v>47</v>
      </c>
    </row>
    <row r="1858" customFormat="false" ht="15" hidden="false" customHeight="false" outlineLevel="0" collapsed="false">
      <c r="A1858" s="6" t="s">
        <v>3825</v>
      </c>
      <c r="B1858" s="6" t="s">
        <v>3826</v>
      </c>
      <c r="C1858" s="6" t="s">
        <v>85</v>
      </c>
      <c r="D1858" s="6" t="n">
        <v>28</v>
      </c>
      <c r="E1858" s="6" t="s">
        <v>105</v>
      </c>
      <c r="F1858" s="6" t="s">
        <v>106</v>
      </c>
      <c r="G1858" s="26" t="n">
        <v>46027</v>
      </c>
      <c r="H1858" s="6" t="s">
        <v>88</v>
      </c>
      <c r="I1858" s="26" t="n">
        <f aca="false">_xlfn.MINIFS(Transaction!$C$2:$C$8421,Transaction!$B$2:$B$8421,A1858)</f>
        <v>46049</v>
      </c>
      <c r="J1858" s="26" t="n">
        <f aca="false">_xlfn.MAXIFS(Transaction!$C$2:$C$8421,Transaction!$B$2:$B$8421,A1858)</f>
        <v>46049</v>
      </c>
      <c r="K1858" s="6" t="n">
        <f aca="false">COUNTIF(Transaction!$B$2:$B$8421,A1858)</f>
        <v>1</v>
      </c>
      <c r="L1858" s="10" t="n">
        <f aca="false">SUMIF(Transaction!$B$2:$B$8421,A1858,Transaction!$H$2:$H$8421)</f>
        <v>880</v>
      </c>
      <c r="M1858" s="6" t="n">
        <f aca="false">Summary!$B$3-J1858</f>
        <v>217</v>
      </c>
      <c r="N1858" s="6" t="str">
        <f aca="false">IF(K1858&gt;1,"Yes","No")</f>
        <v>No</v>
      </c>
      <c r="O1858" s="6" t="s">
        <v>49</v>
      </c>
    </row>
    <row r="1859" customFormat="false" ht="15" hidden="false" customHeight="false" outlineLevel="0" collapsed="false">
      <c r="A1859" s="6" t="s">
        <v>3827</v>
      </c>
      <c r="B1859" s="6" t="s">
        <v>3828</v>
      </c>
      <c r="C1859" s="6" t="s">
        <v>75</v>
      </c>
      <c r="D1859" s="6" t="n">
        <v>30</v>
      </c>
      <c r="E1859" s="6" t="s">
        <v>81</v>
      </c>
      <c r="F1859" s="6" t="s">
        <v>82</v>
      </c>
      <c r="G1859" s="26" t="n">
        <v>45950</v>
      </c>
      <c r="H1859" s="6" t="s">
        <v>92</v>
      </c>
      <c r="I1859" s="26" t="n">
        <f aca="false">_xlfn.MINIFS(Transaction!$C$2:$C$8421,Transaction!$B$2:$B$8421,A1859)</f>
        <v>46024</v>
      </c>
      <c r="J1859" s="26" t="n">
        <f aca="false">_xlfn.MAXIFS(Transaction!$C$2:$C$8421,Transaction!$B$2:$B$8421,A1859)</f>
        <v>46245</v>
      </c>
      <c r="K1859" s="6" t="n">
        <f aca="false">COUNTIF(Transaction!$B$2:$B$8421,A1859)</f>
        <v>9</v>
      </c>
      <c r="L1859" s="10" t="n">
        <f aca="false">SUMIF(Transaction!$B$2:$B$8421,A1859,Transaction!$H$2:$H$8421)</f>
        <v>19072</v>
      </c>
      <c r="M1859" s="6" t="n">
        <f aca="false">Summary!$B$3-J1859</f>
        <v>21</v>
      </c>
      <c r="N1859" s="6" t="str">
        <f aca="false">IF(K1859&gt;1,"Yes","No")</f>
        <v>Yes</v>
      </c>
      <c r="O1859" s="6" t="s">
        <v>45</v>
      </c>
    </row>
    <row r="1860" customFormat="false" ht="15" hidden="false" customHeight="false" outlineLevel="0" collapsed="false">
      <c r="A1860" s="6" t="s">
        <v>3829</v>
      </c>
      <c r="B1860" s="6" t="s">
        <v>3830</v>
      </c>
      <c r="C1860" s="6" t="s">
        <v>75</v>
      </c>
      <c r="D1860" s="6" t="n">
        <v>33</v>
      </c>
      <c r="E1860" s="6" t="s">
        <v>81</v>
      </c>
      <c r="F1860" s="6" t="s">
        <v>82</v>
      </c>
      <c r="G1860" s="26" t="n">
        <v>46082</v>
      </c>
      <c r="H1860" s="6" t="s">
        <v>78</v>
      </c>
      <c r="I1860" s="26" t="n">
        <f aca="false">_xlfn.MINIFS(Transaction!$C$2:$C$8421,Transaction!$B$2:$B$8421,A1860)</f>
        <v>46087</v>
      </c>
      <c r="J1860" s="26" t="n">
        <f aca="false">_xlfn.MAXIFS(Transaction!$C$2:$C$8421,Transaction!$B$2:$B$8421,A1860)</f>
        <v>46260</v>
      </c>
      <c r="K1860" s="6" t="n">
        <f aca="false">COUNTIF(Transaction!$B$2:$B$8421,A1860)</f>
        <v>11</v>
      </c>
      <c r="L1860" s="10" t="n">
        <f aca="false">SUMIF(Transaction!$B$2:$B$8421,A1860,Transaction!$H$2:$H$8421)</f>
        <v>23248</v>
      </c>
      <c r="M1860" s="6" t="n">
        <f aca="false">Summary!$B$3-J1860</f>
        <v>6</v>
      </c>
      <c r="N1860" s="6" t="str">
        <f aca="false">IF(K1860&gt;1,"Yes","No")</f>
        <v>Yes</v>
      </c>
      <c r="O1860" s="6" t="s">
        <v>45</v>
      </c>
    </row>
    <row r="1861" customFormat="false" ht="15" hidden="false" customHeight="false" outlineLevel="0" collapsed="false">
      <c r="A1861" s="6" t="s">
        <v>3831</v>
      </c>
      <c r="B1861" s="6" t="s">
        <v>3832</v>
      </c>
      <c r="C1861" s="6" t="s">
        <v>85</v>
      </c>
      <c r="D1861" s="6" t="n">
        <v>43</v>
      </c>
      <c r="E1861" s="6" t="s">
        <v>121</v>
      </c>
      <c r="F1861" s="6" t="s">
        <v>122</v>
      </c>
      <c r="G1861" s="26" t="n">
        <v>46097</v>
      </c>
      <c r="H1861" s="6" t="s">
        <v>115</v>
      </c>
      <c r="I1861" s="26" t="n">
        <f aca="false">_xlfn.MINIFS(Transaction!$C$2:$C$8421,Transaction!$B$2:$B$8421,A1861)</f>
        <v>46175</v>
      </c>
      <c r="J1861" s="26" t="n">
        <f aca="false">_xlfn.MAXIFS(Transaction!$C$2:$C$8421,Transaction!$B$2:$B$8421,A1861)</f>
        <v>46175</v>
      </c>
      <c r="K1861" s="6" t="n">
        <f aca="false">COUNTIF(Transaction!$B$2:$B$8421,A1861)</f>
        <v>1</v>
      </c>
      <c r="L1861" s="10" t="n">
        <f aca="false">SUMIF(Transaction!$B$2:$B$8421,A1861,Transaction!$H$2:$H$8421)</f>
        <v>662</v>
      </c>
      <c r="M1861" s="6" t="n">
        <f aca="false">Summary!$B$3-J1861</f>
        <v>91</v>
      </c>
      <c r="N1861" s="6" t="str">
        <f aca="false">IF(K1861&gt;1,"Yes","No")</f>
        <v>No</v>
      </c>
      <c r="O1861" s="6" t="s">
        <v>47</v>
      </c>
    </row>
    <row r="1862" customFormat="false" ht="15" hidden="false" customHeight="false" outlineLevel="0" collapsed="false">
      <c r="A1862" s="6" t="s">
        <v>3833</v>
      </c>
      <c r="B1862" s="6" t="s">
        <v>3834</v>
      </c>
      <c r="C1862" s="6" t="s">
        <v>85</v>
      </c>
      <c r="D1862" s="6" t="n">
        <v>18</v>
      </c>
      <c r="E1862" s="6" t="s">
        <v>321</v>
      </c>
      <c r="F1862" s="6" t="s">
        <v>321</v>
      </c>
      <c r="G1862" s="26" t="n">
        <v>46043</v>
      </c>
      <c r="H1862" s="6" t="s">
        <v>92</v>
      </c>
      <c r="I1862" s="26" t="n">
        <f aca="false">_xlfn.MINIFS(Transaction!$C$2:$C$8421,Transaction!$B$2:$B$8421,A1862)</f>
        <v>46066</v>
      </c>
      <c r="J1862" s="26" t="n">
        <f aca="false">_xlfn.MAXIFS(Transaction!$C$2:$C$8421,Transaction!$B$2:$B$8421,A1862)</f>
        <v>46066</v>
      </c>
      <c r="K1862" s="6" t="n">
        <f aca="false">COUNTIF(Transaction!$B$2:$B$8421,A1862)</f>
        <v>1</v>
      </c>
      <c r="L1862" s="10" t="n">
        <f aca="false">SUMIF(Transaction!$B$2:$B$8421,A1862,Transaction!$H$2:$H$8421)</f>
        <v>916</v>
      </c>
      <c r="M1862" s="6" t="n">
        <f aca="false">Summary!$B$3-J1862</f>
        <v>200</v>
      </c>
      <c r="N1862" s="6" t="str">
        <f aca="false">IF(K1862&gt;1,"Yes","No")</f>
        <v>No</v>
      </c>
      <c r="O1862" s="6" t="s">
        <v>49</v>
      </c>
    </row>
    <row r="1863" customFormat="false" ht="15" hidden="false" customHeight="false" outlineLevel="0" collapsed="false">
      <c r="A1863" s="6" t="s">
        <v>3835</v>
      </c>
      <c r="B1863" s="6" t="s">
        <v>3836</v>
      </c>
      <c r="C1863" s="6" t="s">
        <v>75</v>
      </c>
      <c r="D1863" s="6" t="n">
        <v>28</v>
      </c>
      <c r="E1863" s="6" t="s">
        <v>134</v>
      </c>
      <c r="F1863" s="6" t="s">
        <v>135</v>
      </c>
      <c r="G1863" s="26" t="n">
        <v>46028</v>
      </c>
      <c r="H1863" s="6" t="s">
        <v>78</v>
      </c>
      <c r="I1863" s="26" t="n">
        <f aca="false">_xlfn.MINIFS(Transaction!$C$2:$C$8421,Transaction!$B$2:$B$8421,A1863)</f>
        <v>46066</v>
      </c>
      <c r="J1863" s="26" t="n">
        <f aca="false">_xlfn.MAXIFS(Transaction!$C$2:$C$8421,Transaction!$B$2:$B$8421,A1863)</f>
        <v>46249</v>
      </c>
      <c r="K1863" s="6" t="n">
        <f aca="false">COUNTIF(Transaction!$B$2:$B$8421,A1863)</f>
        <v>12</v>
      </c>
      <c r="L1863" s="10" t="n">
        <f aca="false">SUMIF(Transaction!$B$2:$B$8421,A1863,Transaction!$H$2:$H$8421)</f>
        <v>18178</v>
      </c>
      <c r="M1863" s="6" t="n">
        <f aca="false">Summary!$B$3-J1863</f>
        <v>17</v>
      </c>
      <c r="N1863" s="6" t="str">
        <f aca="false">IF(K1863&gt;1,"Yes","No")</f>
        <v>Yes</v>
      </c>
      <c r="O1863" s="6" t="s">
        <v>45</v>
      </c>
    </row>
    <row r="1864" customFormat="false" ht="15" hidden="false" customHeight="false" outlineLevel="0" collapsed="false">
      <c r="A1864" s="6" t="s">
        <v>3837</v>
      </c>
      <c r="B1864" s="6" t="s">
        <v>3838</v>
      </c>
      <c r="C1864" s="6" t="s">
        <v>85</v>
      </c>
      <c r="D1864" s="6" t="n">
        <v>40</v>
      </c>
      <c r="E1864" s="6" t="s">
        <v>95</v>
      </c>
      <c r="F1864" s="6" t="s">
        <v>95</v>
      </c>
      <c r="G1864" s="26" t="n">
        <v>46008</v>
      </c>
      <c r="H1864" s="6" t="s">
        <v>115</v>
      </c>
      <c r="I1864" s="26" t="n">
        <f aca="false">_xlfn.MINIFS(Transaction!$C$2:$C$8421,Transaction!$B$2:$B$8421,A1864)</f>
        <v>46075</v>
      </c>
      <c r="J1864" s="26" t="n">
        <f aca="false">_xlfn.MAXIFS(Transaction!$C$2:$C$8421,Transaction!$B$2:$B$8421,A1864)</f>
        <v>46262</v>
      </c>
      <c r="K1864" s="6" t="n">
        <f aca="false">COUNTIF(Transaction!$B$2:$B$8421,A1864)</f>
        <v>8</v>
      </c>
      <c r="L1864" s="10" t="n">
        <f aca="false">SUMIF(Transaction!$B$2:$B$8421,A1864,Transaction!$H$2:$H$8421)</f>
        <v>19246</v>
      </c>
      <c r="M1864" s="6" t="n">
        <f aca="false">Summary!$B$3-J1864</f>
        <v>4</v>
      </c>
      <c r="N1864" s="6" t="str">
        <f aca="false">IF(K1864&gt;1,"Yes","No")</f>
        <v>Yes</v>
      </c>
      <c r="O1864" s="6" t="s">
        <v>45</v>
      </c>
    </row>
    <row r="1865" customFormat="false" ht="15" hidden="false" customHeight="false" outlineLevel="0" collapsed="false">
      <c r="A1865" s="6" t="s">
        <v>3839</v>
      </c>
      <c r="B1865" s="6" t="s">
        <v>3840</v>
      </c>
      <c r="C1865" s="6" t="s">
        <v>85</v>
      </c>
      <c r="D1865" s="6" t="n">
        <v>38</v>
      </c>
      <c r="E1865" s="6" t="s">
        <v>81</v>
      </c>
      <c r="F1865" s="6" t="s">
        <v>82</v>
      </c>
      <c r="G1865" s="26" t="n">
        <v>46123</v>
      </c>
      <c r="H1865" s="6" t="s">
        <v>78</v>
      </c>
      <c r="I1865" s="26" t="n">
        <f aca="false">_xlfn.MINIFS(Transaction!$C$2:$C$8421,Transaction!$B$2:$B$8421,A1865)</f>
        <v>46186</v>
      </c>
      <c r="J1865" s="26" t="n">
        <f aca="false">_xlfn.MAXIFS(Transaction!$C$2:$C$8421,Transaction!$B$2:$B$8421,A1865)</f>
        <v>46186</v>
      </c>
      <c r="K1865" s="6" t="n">
        <f aca="false">COUNTIF(Transaction!$B$2:$B$8421,A1865)</f>
        <v>1</v>
      </c>
      <c r="L1865" s="10" t="n">
        <f aca="false">SUMIF(Transaction!$B$2:$B$8421,A1865,Transaction!$H$2:$H$8421)</f>
        <v>12593</v>
      </c>
      <c r="M1865" s="6" t="n">
        <f aca="false">Summary!$B$3-J1865</f>
        <v>80</v>
      </c>
      <c r="N1865" s="6" t="str">
        <f aca="false">IF(K1865&gt;1,"Yes","No")</f>
        <v>No</v>
      </c>
      <c r="O1865" s="6" t="s">
        <v>47</v>
      </c>
    </row>
    <row r="1866" customFormat="false" ht="15" hidden="false" customHeight="false" outlineLevel="0" collapsed="false">
      <c r="A1866" s="6" t="s">
        <v>3841</v>
      </c>
      <c r="B1866" s="6" t="s">
        <v>3842</v>
      </c>
      <c r="C1866" s="6" t="s">
        <v>85</v>
      </c>
      <c r="D1866" s="6" t="n">
        <v>27</v>
      </c>
      <c r="E1866" s="6" t="s">
        <v>95</v>
      </c>
      <c r="F1866" s="6" t="s">
        <v>95</v>
      </c>
      <c r="G1866" s="26" t="n">
        <v>46198</v>
      </c>
      <c r="H1866" s="6" t="s">
        <v>115</v>
      </c>
      <c r="I1866" s="26" t="n">
        <f aca="false">_xlfn.MINIFS(Transaction!$C$2:$C$8421,Transaction!$B$2:$B$8421,A1866)</f>
        <v>46245</v>
      </c>
      <c r="J1866" s="26" t="n">
        <f aca="false">_xlfn.MAXIFS(Transaction!$C$2:$C$8421,Transaction!$B$2:$B$8421,A1866)</f>
        <v>46245</v>
      </c>
      <c r="K1866" s="6" t="n">
        <f aca="false">COUNTIF(Transaction!$B$2:$B$8421,A1866)</f>
        <v>1</v>
      </c>
      <c r="L1866" s="10" t="n">
        <f aca="false">SUMIF(Transaction!$B$2:$B$8421,A1866,Transaction!$H$2:$H$8421)</f>
        <v>433</v>
      </c>
      <c r="M1866" s="6" t="n">
        <f aca="false">Summary!$B$3-J1866</f>
        <v>21</v>
      </c>
      <c r="N1866" s="6" t="str">
        <f aca="false">IF(K1866&gt;1,"Yes","No")</f>
        <v>No</v>
      </c>
      <c r="O1866" s="6" t="s">
        <v>47</v>
      </c>
    </row>
    <row r="1867" customFormat="false" ht="15" hidden="false" customHeight="false" outlineLevel="0" collapsed="false">
      <c r="A1867" s="6" t="s">
        <v>3843</v>
      </c>
      <c r="B1867" s="6" t="s">
        <v>3844</v>
      </c>
      <c r="C1867" s="6" t="s">
        <v>85</v>
      </c>
      <c r="D1867" s="6" t="n">
        <v>38</v>
      </c>
      <c r="E1867" s="6" t="s">
        <v>98</v>
      </c>
      <c r="F1867" s="6" t="s">
        <v>99</v>
      </c>
      <c r="G1867" s="26" t="n">
        <v>46069</v>
      </c>
      <c r="H1867" s="6" t="s">
        <v>123</v>
      </c>
      <c r="I1867" s="26" t="n">
        <f aca="false">_xlfn.MINIFS(Transaction!$C$2:$C$8421,Transaction!$B$2:$B$8421,A1867)</f>
        <v>46110</v>
      </c>
      <c r="J1867" s="26" t="n">
        <f aca="false">_xlfn.MAXIFS(Transaction!$C$2:$C$8421,Transaction!$B$2:$B$8421,A1867)</f>
        <v>46110</v>
      </c>
      <c r="K1867" s="6" t="n">
        <f aca="false">COUNTIF(Transaction!$B$2:$B$8421,A1867)</f>
        <v>1</v>
      </c>
      <c r="L1867" s="10" t="n">
        <f aca="false">SUMIF(Transaction!$B$2:$B$8421,A1867,Transaction!$H$2:$H$8421)</f>
        <v>2751</v>
      </c>
      <c r="M1867" s="6" t="n">
        <f aca="false">Summary!$B$3-J1867</f>
        <v>156</v>
      </c>
      <c r="N1867" s="6" t="str">
        <f aca="false">IF(K1867&gt;1,"Yes","No")</f>
        <v>No</v>
      </c>
      <c r="O1867" s="6" t="s">
        <v>49</v>
      </c>
    </row>
    <row r="1868" customFormat="false" ht="15" hidden="false" customHeight="false" outlineLevel="0" collapsed="false">
      <c r="A1868" s="6" t="s">
        <v>3845</v>
      </c>
      <c r="B1868" s="6" t="s">
        <v>3846</v>
      </c>
      <c r="C1868" s="6" t="s">
        <v>75</v>
      </c>
      <c r="D1868" s="6" t="n">
        <v>24</v>
      </c>
      <c r="E1868" s="6" t="s">
        <v>206</v>
      </c>
      <c r="F1868" s="6" t="s">
        <v>106</v>
      </c>
      <c r="G1868" s="26" t="n">
        <v>46167</v>
      </c>
      <c r="H1868" s="6" t="s">
        <v>78</v>
      </c>
      <c r="I1868" s="26" t="n">
        <f aca="false">_xlfn.MINIFS(Transaction!$C$2:$C$8421,Transaction!$B$2:$B$8421,A1868)</f>
        <v>46242</v>
      </c>
      <c r="J1868" s="26" t="n">
        <f aca="false">_xlfn.MAXIFS(Transaction!$C$2:$C$8421,Transaction!$B$2:$B$8421,A1868)</f>
        <v>46242</v>
      </c>
      <c r="K1868" s="6" t="n">
        <f aca="false">COUNTIF(Transaction!$B$2:$B$8421,A1868)</f>
        <v>1</v>
      </c>
      <c r="L1868" s="10" t="n">
        <f aca="false">SUMIF(Transaction!$B$2:$B$8421,A1868,Transaction!$H$2:$H$8421)</f>
        <v>1191</v>
      </c>
      <c r="M1868" s="6" t="n">
        <f aca="false">Summary!$B$3-J1868</f>
        <v>24</v>
      </c>
      <c r="N1868" s="6" t="str">
        <f aca="false">IF(K1868&gt;1,"Yes","No")</f>
        <v>No</v>
      </c>
      <c r="O1868" s="6" t="s">
        <v>47</v>
      </c>
    </row>
    <row r="1869" customFormat="false" ht="15" hidden="false" customHeight="false" outlineLevel="0" collapsed="false">
      <c r="A1869" s="6" t="s">
        <v>3847</v>
      </c>
      <c r="B1869" s="6" t="s">
        <v>3848</v>
      </c>
      <c r="C1869" s="6" t="s">
        <v>85</v>
      </c>
      <c r="D1869" s="6" t="n">
        <v>35</v>
      </c>
      <c r="E1869" s="6" t="s">
        <v>134</v>
      </c>
      <c r="F1869" s="6" t="s">
        <v>135</v>
      </c>
      <c r="G1869" s="26" t="n">
        <v>46175</v>
      </c>
      <c r="H1869" s="6" t="s">
        <v>78</v>
      </c>
      <c r="I1869" s="26" t="n">
        <f aca="false">_xlfn.MINIFS(Transaction!$C$2:$C$8421,Transaction!$B$2:$B$8421,A1869)</f>
        <v>46263</v>
      </c>
      <c r="J1869" s="26" t="n">
        <f aca="false">_xlfn.MAXIFS(Transaction!$C$2:$C$8421,Transaction!$B$2:$B$8421,A1869)</f>
        <v>46263</v>
      </c>
      <c r="K1869" s="6" t="n">
        <f aca="false">COUNTIF(Transaction!$B$2:$B$8421,A1869)</f>
        <v>1</v>
      </c>
      <c r="L1869" s="10" t="n">
        <f aca="false">SUMIF(Transaction!$B$2:$B$8421,A1869,Transaction!$H$2:$H$8421)</f>
        <v>743</v>
      </c>
      <c r="M1869" s="6" t="n">
        <f aca="false">Summary!$B$3-J1869</f>
        <v>3</v>
      </c>
      <c r="N1869" s="6" t="str">
        <f aca="false">IF(K1869&gt;1,"Yes","No")</f>
        <v>No</v>
      </c>
      <c r="O1869" s="6" t="s">
        <v>47</v>
      </c>
    </row>
    <row r="1870" customFormat="false" ht="15" hidden="false" customHeight="false" outlineLevel="0" collapsed="false">
      <c r="A1870" s="6" t="s">
        <v>3849</v>
      </c>
      <c r="B1870" s="6" t="s">
        <v>3850</v>
      </c>
      <c r="C1870" s="6" t="s">
        <v>75</v>
      </c>
      <c r="D1870" s="6" t="n">
        <v>45</v>
      </c>
      <c r="E1870" s="6" t="s">
        <v>86</v>
      </c>
      <c r="F1870" s="6" t="s">
        <v>87</v>
      </c>
      <c r="G1870" s="26" t="n">
        <v>46099</v>
      </c>
      <c r="H1870" s="6" t="s">
        <v>78</v>
      </c>
      <c r="I1870" s="26" t="n">
        <f aca="false">_xlfn.MINIFS(Transaction!$C$2:$C$8421,Transaction!$B$2:$B$8421,A1870)</f>
        <v>46103</v>
      </c>
      <c r="J1870" s="26" t="n">
        <f aca="false">_xlfn.MAXIFS(Transaction!$C$2:$C$8421,Transaction!$B$2:$B$8421,A1870)</f>
        <v>46174</v>
      </c>
      <c r="K1870" s="6" t="n">
        <f aca="false">COUNTIF(Transaction!$B$2:$B$8421,A1870)</f>
        <v>3</v>
      </c>
      <c r="L1870" s="10" t="n">
        <f aca="false">SUMIF(Transaction!$B$2:$B$8421,A1870,Transaction!$H$2:$H$8421)</f>
        <v>7755</v>
      </c>
      <c r="M1870" s="6" t="n">
        <f aca="false">Summary!$B$3-J1870</f>
        <v>92</v>
      </c>
      <c r="N1870" s="6" t="str">
        <f aca="false">IF(K1870&gt;1,"Yes","No")</f>
        <v>Yes</v>
      </c>
      <c r="O1870" s="6" t="s">
        <v>46</v>
      </c>
    </row>
    <row r="1871" customFormat="false" ht="15" hidden="false" customHeight="false" outlineLevel="0" collapsed="false">
      <c r="A1871" s="6" t="s">
        <v>3851</v>
      </c>
      <c r="B1871" s="6" t="s">
        <v>3852</v>
      </c>
      <c r="C1871" s="6" t="s">
        <v>75</v>
      </c>
      <c r="D1871" s="6" t="n">
        <v>18</v>
      </c>
      <c r="E1871" s="6" t="s">
        <v>95</v>
      </c>
      <c r="F1871" s="6" t="s">
        <v>95</v>
      </c>
      <c r="G1871" s="26" t="n">
        <v>46255</v>
      </c>
      <c r="H1871" s="6" t="s">
        <v>78</v>
      </c>
      <c r="I1871" s="26" t="n">
        <f aca="false">_xlfn.MINIFS(Transaction!$C$2:$C$8421,Transaction!$B$2:$B$8421,A1871)</f>
        <v>46264</v>
      </c>
      <c r="J1871" s="26" t="n">
        <f aca="false">_xlfn.MAXIFS(Transaction!$C$2:$C$8421,Transaction!$B$2:$B$8421,A1871)</f>
        <v>46264</v>
      </c>
      <c r="K1871" s="6" t="n">
        <f aca="false">COUNTIF(Transaction!$B$2:$B$8421,A1871)</f>
        <v>1</v>
      </c>
      <c r="L1871" s="10" t="n">
        <f aca="false">SUMIF(Transaction!$B$2:$B$8421,A1871,Transaction!$H$2:$H$8421)</f>
        <v>1768</v>
      </c>
      <c r="M1871" s="6" t="n">
        <f aca="false">Summary!$B$3-J1871</f>
        <v>2</v>
      </c>
      <c r="N1871" s="6" t="str">
        <f aca="false">IF(K1871&gt;1,"Yes","No")</f>
        <v>No</v>
      </c>
      <c r="O1871" s="6" t="s">
        <v>47</v>
      </c>
    </row>
    <row r="1872" customFormat="false" ht="15" hidden="false" customHeight="false" outlineLevel="0" collapsed="false">
      <c r="A1872" s="6" t="s">
        <v>3853</v>
      </c>
      <c r="B1872" s="6" t="s">
        <v>3854</v>
      </c>
      <c r="C1872" s="6" t="s">
        <v>85</v>
      </c>
      <c r="D1872" s="6" t="n">
        <v>37</v>
      </c>
      <c r="E1872" s="6" t="s">
        <v>121</v>
      </c>
      <c r="F1872" s="6" t="s">
        <v>122</v>
      </c>
      <c r="G1872" s="26" t="n">
        <v>45998</v>
      </c>
      <c r="H1872" s="6" t="s">
        <v>78</v>
      </c>
      <c r="I1872" s="26" t="n">
        <f aca="false">_xlfn.MINIFS(Transaction!$C$2:$C$8421,Transaction!$B$2:$B$8421,A1872)</f>
        <v>46080</v>
      </c>
      <c r="J1872" s="26" t="n">
        <f aca="false">_xlfn.MAXIFS(Transaction!$C$2:$C$8421,Transaction!$B$2:$B$8421,A1872)</f>
        <v>46080</v>
      </c>
      <c r="K1872" s="6" t="n">
        <f aca="false">COUNTIF(Transaction!$B$2:$B$8421,A1872)</f>
        <v>1</v>
      </c>
      <c r="L1872" s="10" t="n">
        <f aca="false">SUMIF(Transaction!$B$2:$B$8421,A1872,Transaction!$H$2:$H$8421)</f>
        <v>1761</v>
      </c>
      <c r="M1872" s="6" t="n">
        <f aca="false">Summary!$B$3-J1872</f>
        <v>186</v>
      </c>
      <c r="N1872" s="6" t="str">
        <f aca="false">IF(K1872&gt;1,"Yes","No")</f>
        <v>No</v>
      </c>
      <c r="O1872" s="6" t="s">
        <v>49</v>
      </c>
    </row>
    <row r="1873" customFormat="false" ht="15" hidden="false" customHeight="false" outlineLevel="0" collapsed="false">
      <c r="A1873" s="6" t="s">
        <v>3855</v>
      </c>
      <c r="B1873" s="6" t="s">
        <v>3856</v>
      </c>
      <c r="C1873" s="6" t="s">
        <v>85</v>
      </c>
      <c r="D1873" s="6" t="n">
        <v>39</v>
      </c>
      <c r="E1873" s="6" t="s">
        <v>121</v>
      </c>
      <c r="F1873" s="6" t="s">
        <v>122</v>
      </c>
      <c r="G1873" s="26" t="n">
        <v>46033</v>
      </c>
      <c r="H1873" s="6" t="s">
        <v>78</v>
      </c>
      <c r="I1873" s="26" t="n">
        <f aca="false">_xlfn.MINIFS(Transaction!$C$2:$C$8421,Transaction!$B$2:$B$8421,A1873)</f>
        <v>46064</v>
      </c>
      <c r="J1873" s="26" t="n">
        <f aca="false">_xlfn.MAXIFS(Transaction!$C$2:$C$8421,Transaction!$B$2:$B$8421,A1873)</f>
        <v>46064</v>
      </c>
      <c r="K1873" s="6" t="n">
        <f aca="false">COUNTIF(Transaction!$B$2:$B$8421,A1873)</f>
        <v>1</v>
      </c>
      <c r="L1873" s="10" t="n">
        <f aca="false">SUMIF(Transaction!$B$2:$B$8421,A1873,Transaction!$H$2:$H$8421)</f>
        <v>2670</v>
      </c>
      <c r="M1873" s="6" t="n">
        <f aca="false">Summary!$B$3-J1873</f>
        <v>202</v>
      </c>
      <c r="N1873" s="6" t="str">
        <f aca="false">IF(K1873&gt;1,"Yes","No")</f>
        <v>No</v>
      </c>
      <c r="O1873" s="6" t="s">
        <v>49</v>
      </c>
    </row>
    <row r="1874" customFormat="false" ht="15" hidden="false" customHeight="false" outlineLevel="0" collapsed="false">
      <c r="A1874" s="6" t="s">
        <v>3857</v>
      </c>
      <c r="B1874" s="6" t="s">
        <v>3858</v>
      </c>
      <c r="C1874" s="6" t="s">
        <v>85</v>
      </c>
      <c r="D1874" s="6" t="n">
        <v>23</v>
      </c>
      <c r="E1874" s="6" t="s">
        <v>76</v>
      </c>
      <c r="F1874" s="6" t="s">
        <v>77</v>
      </c>
      <c r="G1874" s="26" t="n">
        <v>46174</v>
      </c>
      <c r="H1874" s="6" t="s">
        <v>78</v>
      </c>
      <c r="I1874" s="26" t="n">
        <f aca="false">_xlfn.MINIFS(Transaction!$C$2:$C$8421,Transaction!$B$2:$B$8421,A1874)</f>
        <v>46188</v>
      </c>
      <c r="J1874" s="26" t="n">
        <f aca="false">_xlfn.MAXIFS(Transaction!$C$2:$C$8421,Transaction!$B$2:$B$8421,A1874)</f>
        <v>46188</v>
      </c>
      <c r="K1874" s="6" t="n">
        <f aca="false">COUNTIF(Transaction!$B$2:$B$8421,A1874)</f>
        <v>1</v>
      </c>
      <c r="L1874" s="10" t="n">
        <f aca="false">SUMIF(Transaction!$B$2:$B$8421,A1874,Transaction!$H$2:$H$8421)</f>
        <v>349</v>
      </c>
      <c r="M1874" s="6" t="n">
        <f aca="false">Summary!$B$3-J1874</f>
        <v>78</v>
      </c>
      <c r="N1874" s="6" t="str">
        <f aca="false">IF(K1874&gt;1,"Yes","No")</f>
        <v>No</v>
      </c>
      <c r="O1874" s="6" t="s">
        <v>47</v>
      </c>
    </row>
    <row r="1875" customFormat="false" ht="15" hidden="false" customHeight="false" outlineLevel="0" collapsed="false">
      <c r="A1875" s="6" t="s">
        <v>3859</v>
      </c>
      <c r="B1875" s="6" t="s">
        <v>3860</v>
      </c>
      <c r="C1875" s="6" t="s">
        <v>75</v>
      </c>
      <c r="D1875" s="6" t="n">
        <v>37</v>
      </c>
      <c r="E1875" s="6" t="s">
        <v>264</v>
      </c>
      <c r="F1875" s="6" t="s">
        <v>106</v>
      </c>
      <c r="G1875" s="26" t="n">
        <v>45998</v>
      </c>
      <c r="H1875" s="6" t="s">
        <v>78</v>
      </c>
      <c r="I1875" s="26" t="n">
        <f aca="false">_xlfn.MINIFS(Transaction!$C$2:$C$8421,Transaction!$B$2:$B$8421,A1875)</f>
        <v>46045</v>
      </c>
      <c r="J1875" s="26" t="n">
        <f aca="false">_xlfn.MAXIFS(Transaction!$C$2:$C$8421,Transaction!$B$2:$B$8421,A1875)</f>
        <v>46196</v>
      </c>
      <c r="K1875" s="6" t="n">
        <f aca="false">COUNTIF(Transaction!$B$2:$B$8421,A1875)</f>
        <v>5</v>
      </c>
      <c r="L1875" s="10" t="n">
        <f aca="false">SUMIF(Transaction!$B$2:$B$8421,A1875,Transaction!$H$2:$H$8421)</f>
        <v>8091</v>
      </c>
      <c r="M1875" s="6" t="n">
        <f aca="false">Summary!$B$3-J1875</f>
        <v>70</v>
      </c>
      <c r="N1875" s="6" t="str">
        <f aca="false">IF(K1875&gt;1,"Yes","No")</f>
        <v>Yes</v>
      </c>
      <c r="O1875" s="6" t="s">
        <v>46</v>
      </c>
    </row>
    <row r="1876" customFormat="false" ht="15" hidden="false" customHeight="false" outlineLevel="0" collapsed="false">
      <c r="A1876" s="6" t="s">
        <v>3861</v>
      </c>
      <c r="B1876" s="6" t="s">
        <v>3862</v>
      </c>
      <c r="C1876" s="6" t="s">
        <v>85</v>
      </c>
      <c r="D1876" s="6" t="n">
        <v>36</v>
      </c>
      <c r="E1876" s="6" t="s">
        <v>76</v>
      </c>
      <c r="F1876" s="6" t="s">
        <v>77</v>
      </c>
      <c r="G1876" s="26" t="n">
        <v>45989</v>
      </c>
      <c r="H1876" s="6" t="s">
        <v>78</v>
      </c>
      <c r="I1876" s="26" t="n">
        <f aca="false">_xlfn.MINIFS(Transaction!$C$2:$C$8421,Transaction!$B$2:$B$8421,A1876)</f>
        <v>46072</v>
      </c>
      <c r="J1876" s="26" t="n">
        <f aca="false">_xlfn.MAXIFS(Transaction!$C$2:$C$8421,Transaction!$B$2:$B$8421,A1876)</f>
        <v>46250</v>
      </c>
      <c r="K1876" s="6" t="n">
        <f aca="false">COUNTIF(Transaction!$B$2:$B$8421,A1876)</f>
        <v>6</v>
      </c>
      <c r="L1876" s="10" t="n">
        <f aca="false">SUMIF(Transaction!$B$2:$B$8421,A1876,Transaction!$H$2:$H$8421)</f>
        <v>9861</v>
      </c>
      <c r="M1876" s="6" t="n">
        <f aca="false">Summary!$B$3-J1876</f>
        <v>16</v>
      </c>
      <c r="N1876" s="6" t="str">
        <f aca="false">IF(K1876&gt;1,"Yes","No")</f>
        <v>Yes</v>
      </c>
      <c r="O1876" s="6" t="s">
        <v>45</v>
      </c>
    </row>
    <row r="1877" customFormat="false" ht="15" hidden="false" customHeight="false" outlineLevel="0" collapsed="false">
      <c r="A1877" s="6" t="s">
        <v>3863</v>
      </c>
      <c r="B1877" s="6" t="s">
        <v>3864</v>
      </c>
      <c r="C1877" s="6" t="s">
        <v>75</v>
      </c>
      <c r="D1877" s="6" t="n">
        <v>34</v>
      </c>
      <c r="E1877" s="6" t="s">
        <v>134</v>
      </c>
      <c r="F1877" s="6" t="s">
        <v>135</v>
      </c>
      <c r="G1877" s="26" t="n">
        <v>46214</v>
      </c>
      <c r="H1877" s="6" t="s">
        <v>92</v>
      </c>
      <c r="I1877" s="26" t="n">
        <f aca="false">_xlfn.MINIFS(Transaction!$C$2:$C$8421,Transaction!$B$2:$B$8421,A1877)</f>
        <v>46220</v>
      </c>
      <c r="J1877" s="26" t="n">
        <f aca="false">_xlfn.MAXIFS(Transaction!$C$2:$C$8421,Transaction!$B$2:$B$8421,A1877)</f>
        <v>46220</v>
      </c>
      <c r="K1877" s="6" t="n">
        <f aca="false">COUNTIF(Transaction!$B$2:$B$8421,A1877)</f>
        <v>1</v>
      </c>
      <c r="L1877" s="10" t="n">
        <f aca="false">SUMIF(Transaction!$B$2:$B$8421,A1877,Transaction!$H$2:$H$8421)</f>
        <v>977</v>
      </c>
      <c r="M1877" s="6" t="n">
        <f aca="false">Summary!$B$3-J1877</f>
        <v>46</v>
      </c>
      <c r="N1877" s="6" t="str">
        <f aca="false">IF(K1877&gt;1,"Yes","No")</f>
        <v>No</v>
      </c>
      <c r="O1877" s="6" t="s">
        <v>47</v>
      </c>
    </row>
    <row r="1878" customFormat="false" ht="15" hidden="false" customHeight="false" outlineLevel="0" collapsed="false">
      <c r="A1878" s="6" t="s">
        <v>3865</v>
      </c>
      <c r="B1878" s="6" t="s">
        <v>3866</v>
      </c>
      <c r="C1878" s="6" t="s">
        <v>75</v>
      </c>
      <c r="D1878" s="6" t="n">
        <v>35</v>
      </c>
      <c r="E1878" s="6" t="s">
        <v>76</v>
      </c>
      <c r="F1878" s="6" t="s">
        <v>77</v>
      </c>
      <c r="G1878" s="26" t="n">
        <v>46044</v>
      </c>
      <c r="H1878" s="6" t="s">
        <v>123</v>
      </c>
      <c r="I1878" s="26" t="n">
        <f aca="false">_xlfn.MINIFS(Transaction!$C$2:$C$8421,Transaction!$B$2:$B$8421,A1878)</f>
        <v>46106</v>
      </c>
      <c r="J1878" s="26" t="n">
        <f aca="false">_xlfn.MAXIFS(Transaction!$C$2:$C$8421,Transaction!$B$2:$B$8421,A1878)</f>
        <v>46106</v>
      </c>
      <c r="K1878" s="6" t="n">
        <f aca="false">COUNTIF(Transaction!$B$2:$B$8421,A1878)</f>
        <v>1</v>
      </c>
      <c r="L1878" s="10" t="n">
        <f aca="false">SUMIF(Transaction!$B$2:$B$8421,A1878,Transaction!$H$2:$H$8421)</f>
        <v>458</v>
      </c>
      <c r="M1878" s="6" t="n">
        <f aca="false">Summary!$B$3-J1878</f>
        <v>160</v>
      </c>
      <c r="N1878" s="6" t="str">
        <f aca="false">IF(K1878&gt;1,"Yes","No")</f>
        <v>No</v>
      </c>
      <c r="O1878" s="6" t="s">
        <v>49</v>
      </c>
    </row>
    <row r="1879" customFormat="false" ht="15" hidden="false" customHeight="false" outlineLevel="0" collapsed="false">
      <c r="A1879" s="6" t="s">
        <v>3867</v>
      </c>
      <c r="B1879" s="6" t="s">
        <v>3868</v>
      </c>
      <c r="C1879" s="6" t="s">
        <v>75</v>
      </c>
      <c r="D1879" s="6" t="n">
        <v>28</v>
      </c>
      <c r="E1879" s="6" t="s">
        <v>95</v>
      </c>
      <c r="F1879" s="6" t="s">
        <v>95</v>
      </c>
      <c r="G1879" s="26" t="n">
        <v>46054</v>
      </c>
      <c r="H1879" s="6" t="s">
        <v>102</v>
      </c>
      <c r="I1879" s="26" t="n">
        <f aca="false">_xlfn.MINIFS(Transaction!$C$2:$C$8421,Transaction!$B$2:$B$8421,A1879)</f>
        <v>46115</v>
      </c>
      <c r="J1879" s="26" t="n">
        <f aca="false">_xlfn.MAXIFS(Transaction!$C$2:$C$8421,Transaction!$B$2:$B$8421,A1879)</f>
        <v>46115</v>
      </c>
      <c r="K1879" s="6" t="n">
        <f aca="false">COUNTIF(Transaction!$B$2:$B$8421,A1879)</f>
        <v>1</v>
      </c>
      <c r="L1879" s="10" t="n">
        <f aca="false">SUMIF(Transaction!$B$2:$B$8421,A1879,Transaction!$H$2:$H$8421)</f>
        <v>260</v>
      </c>
      <c r="M1879" s="6" t="n">
        <f aca="false">Summary!$B$3-J1879</f>
        <v>151</v>
      </c>
      <c r="N1879" s="6" t="str">
        <f aca="false">IF(K1879&gt;1,"Yes","No")</f>
        <v>No</v>
      </c>
      <c r="O1879" s="6" t="s">
        <v>48</v>
      </c>
    </row>
    <row r="1880" customFormat="false" ht="15" hidden="false" customHeight="false" outlineLevel="0" collapsed="false">
      <c r="A1880" s="6" t="s">
        <v>3869</v>
      </c>
      <c r="B1880" s="6" t="s">
        <v>3870</v>
      </c>
      <c r="C1880" s="6" t="s">
        <v>85</v>
      </c>
      <c r="D1880" s="6" t="n">
        <v>31</v>
      </c>
      <c r="E1880" s="6" t="s">
        <v>86</v>
      </c>
      <c r="F1880" s="6" t="s">
        <v>87</v>
      </c>
      <c r="G1880" s="26" t="n">
        <v>46214</v>
      </c>
      <c r="H1880" s="6" t="s">
        <v>78</v>
      </c>
      <c r="I1880" s="26" t="n">
        <f aca="false">_xlfn.MINIFS(Transaction!$C$2:$C$8421,Transaction!$B$2:$B$8421,A1880)</f>
        <v>46249</v>
      </c>
      <c r="J1880" s="26" t="n">
        <f aca="false">_xlfn.MAXIFS(Transaction!$C$2:$C$8421,Transaction!$B$2:$B$8421,A1880)</f>
        <v>46249</v>
      </c>
      <c r="K1880" s="6" t="n">
        <f aca="false">COUNTIF(Transaction!$B$2:$B$8421,A1880)</f>
        <v>1</v>
      </c>
      <c r="L1880" s="10" t="n">
        <f aca="false">SUMIF(Transaction!$B$2:$B$8421,A1880,Transaction!$H$2:$H$8421)</f>
        <v>3439</v>
      </c>
      <c r="M1880" s="6" t="n">
        <f aca="false">Summary!$B$3-J1880</f>
        <v>17</v>
      </c>
      <c r="N1880" s="6" t="str">
        <f aca="false">IF(K1880&gt;1,"Yes","No")</f>
        <v>No</v>
      </c>
      <c r="O1880" s="6" t="s">
        <v>47</v>
      </c>
    </row>
    <row r="1881" customFormat="false" ht="15" hidden="false" customHeight="false" outlineLevel="0" collapsed="false">
      <c r="A1881" s="6" t="s">
        <v>3871</v>
      </c>
      <c r="B1881" s="6" t="s">
        <v>3872</v>
      </c>
      <c r="C1881" s="6" t="s">
        <v>85</v>
      </c>
      <c r="D1881" s="6" t="n">
        <v>36</v>
      </c>
      <c r="E1881" s="6" t="s">
        <v>76</v>
      </c>
      <c r="F1881" s="6" t="s">
        <v>77</v>
      </c>
      <c r="G1881" s="26" t="n">
        <v>46217</v>
      </c>
      <c r="H1881" s="6" t="s">
        <v>92</v>
      </c>
      <c r="I1881" s="26" t="n">
        <f aca="false">_xlfn.MINIFS(Transaction!$C$2:$C$8421,Transaction!$B$2:$B$8421,A1881)</f>
        <v>46258</v>
      </c>
      <c r="J1881" s="26" t="n">
        <f aca="false">_xlfn.MAXIFS(Transaction!$C$2:$C$8421,Transaction!$B$2:$B$8421,A1881)</f>
        <v>46258</v>
      </c>
      <c r="K1881" s="6" t="n">
        <f aca="false">COUNTIF(Transaction!$B$2:$B$8421,A1881)</f>
        <v>1</v>
      </c>
      <c r="L1881" s="10" t="n">
        <f aca="false">SUMIF(Transaction!$B$2:$B$8421,A1881,Transaction!$H$2:$H$8421)</f>
        <v>1101</v>
      </c>
      <c r="M1881" s="6" t="n">
        <f aca="false">Summary!$B$3-J1881</f>
        <v>8</v>
      </c>
      <c r="N1881" s="6" t="str">
        <f aca="false">IF(K1881&gt;1,"Yes","No")</f>
        <v>No</v>
      </c>
      <c r="O1881" s="6" t="s">
        <v>47</v>
      </c>
    </row>
    <row r="1882" customFormat="false" ht="15" hidden="false" customHeight="false" outlineLevel="0" collapsed="false">
      <c r="A1882" s="6" t="s">
        <v>3873</v>
      </c>
      <c r="B1882" s="6" t="s">
        <v>3874</v>
      </c>
      <c r="C1882" s="6" t="s">
        <v>85</v>
      </c>
      <c r="D1882" s="6" t="n">
        <v>44</v>
      </c>
      <c r="E1882" s="6" t="s">
        <v>237</v>
      </c>
      <c r="F1882" s="6" t="s">
        <v>87</v>
      </c>
      <c r="G1882" s="26" t="n">
        <v>46229</v>
      </c>
      <c r="H1882" s="6" t="s">
        <v>102</v>
      </c>
      <c r="I1882" s="26" t="n">
        <f aca="false">_xlfn.MINIFS(Transaction!$C$2:$C$8421,Transaction!$B$2:$B$8421,A1882)</f>
        <v>46242</v>
      </c>
      <c r="J1882" s="26" t="n">
        <f aca="false">_xlfn.MAXIFS(Transaction!$C$2:$C$8421,Transaction!$B$2:$B$8421,A1882)</f>
        <v>46242</v>
      </c>
      <c r="K1882" s="6" t="n">
        <f aca="false">COUNTIF(Transaction!$B$2:$B$8421,A1882)</f>
        <v>1</v>
      </c>
      <c r="L1882" s="10" t="n">
        <f aca="false">SUMIF(Transaction!$B$2:$B$8421,A1882,Transaction!$H$2:$H$8421)</f>
        <v>703</v>
      </c>
      <c r="M1882" s="6" t="n">
        <f aca="false">Summary!$B$3-J1882</f>
        <v>24</v>
      </c>
      <c r="N1882" s="6" t="str">
        <f aca="false">IF(K1882&gt;1,"Yes","No")</f>
        <v>No</v>
      </c>
      <c r="O1882" s="6" t="s">
        <v>47</v>
      </c>
    </row>
    <row r="1883" customFormat="false" ht="15" hidden="false" customHeight="false" outlineLevel="0" collapsed="false">
      <c r="A1883" s="6" t="s">
        <v>3875</v>
      </c>
      <c r="B1883" s="6" t="s">
        <v>3876</v>
      </c>
      <c r="C1883" s="6" t="s">
        <v>85</v>
      </c>
      <c r="D1883" s="6" t="n">
        <v>40</v>
      </c>
      <c r="E1883" s="6" t="s">
        <v>176</v>
      </c>
      <c r="F1883" s="6" t="s">
        <v>177</v>
      </c>
      <c r="G1883" s="26" t="n">
        <v>46014</v>
      </c>
      <c r="H1883" s="6" t="s">
        <v>102</v>
      </c>
      <c r="I1883" s="26" t="n">
        <f aca="false">_xlfn.MINIFS(Transaction!$C$2:$C$8421,Transaction!$B$2:$B$8421,A1883)</f>
        <v>46042</v>
      </c>
      <c r="J1883" s="26" t="n">
        <f aca="false">_xlfn.MAXIFS(Transaction!$C$2:$C$8421,Transaction!$B$2:$B$8421,A1883)</f>
        <v>46249</v>
      </c>
      <c r="K1883" s="6" t="n">
        <f aca="false">COUNTIF(Transaction!$B$2:$B$8421,A1883)</f>
        <v>11</v>
      </c>
      <c r="L1883" s="10" t="n">
        <f aca="false">SUMIF(Transaction!$B$2:$B$8421,A1883,Transaction!$H$2:$H$8421)</f>
        <v>24861</v>
      </c>
      <c r="M1883" s="6" t="n">
        <f aca="false">Summary!$B$3-J1883</f>
        <v>17</v>
      </c>
      <c r="N1883" s="6" t="str">
        <f aca="false">IF(K1883&gt;1,"Yes","No")</f>
        <v>Yes</v>
      </c>
      <c r="O1883" s="6" t="s">
        <v>45</v>
      </c>
    </row>
    <row r="1884" customFormat="false" ht="15" hidden="false" customHeight="false" outlineLevel="0" collapsed="false">
      <c r="A1884" s="6" t="s">
        <v>3877</v>
      </c>
      <c r="B1884" s="6" t="s">
        <v>3878</v>
      </c>
      <c r="C1884" s="6" t="s">
        <v>75</v>
      </c>
      <c r="D1884" s="6" t="n">
        <v>44</v>
      </c>
      <c r="E1884" s="6" t="s">
        <v>76</v>
      </c>
      <c r="F1884" s="6" t="s">
        <v>77</v>
      </c>
      <c r="G1884" s="26" t="n">
        <v>46100</v>
      </c>
      <c r="H1884" s="6" t="s">
        <v>102</v>
      </c>
      <c r="I1884" s="26" t="n">
        <f aca="false">_xlfn.MINIFS(Transaction!$C$2:$C$8421,Transaction!$B$2:$B$8421,A1884)</f>
        <v>46119</v>
      </c>
      <c r="J1884" s="26" t="n">
        <f aca="false">_xlfn.MAXIFS(Transaction!$C$2:$C$8421,Transaction!$B$2:$B$8421,A1884)</f>
        <v>46119</v>
      </c>
      <c r="K1884" s="6" t="n">
        <f aca="false">COUNTIF(Transaction!$B$2:$B$8421,A1884)</f>
        <v>1</v>
      </c>
      <c r="L1884" s="10" t="n">
        <f aca="false">SUMIF(Transaction!$B$2:$B$8421,A1884,Transaction!$H$2:$H$8421)</f>
        <v>1680</v>
      </c>
      <c r="M1884" s="6" t="n">
        <f aca="false">Summary!$B$3-J1884</f>
        <v>147</v>
      </c>
      <c r="N1884" s="6" t="str">
        <f aca="false">IF(K1884&gt;1,"Yes","No")</f>
        <v>No</v>
      </c>
      <c r="O1884" s="6" t="s">
        <v>48</v>
      </c>
    </row>
    <row r="1885" customFormat="false" ht="15" hidden="false" customHeight="false" outlineLevel="0" collapsed="false">
      <c r="A1885" s="6" t="s">
        <v>3879</v>
      </c>
      <c r="B1885" s="6" t="s">
        <v>3880</v>
      </c>
      <c r="C1885" s="6" t="s">
        <v>75</v>
      </c>
      <c r="D1885" s="6" t="n">
        <v>39</v>
      </c>
      <c r="E1885" s="6" t="s">
        <v>176</v>
      </c>
      <c r="F1885" s="6" t="s">
        <v>177</v>
      </c>
      <c r="G1885" s="26" t="n">
        <v>46047</v>
      </c>
      <c r="H1885" s="6" t="s">
        <v>123</v>
      </c>
      <c r="I1885" s="26" t="n">
        <f aca="false">_xlfn.MINIFS(Transaction!$C$2:$C$8421,Transaction!$B$2:$B$8421,A1885)</f>
        <v>46127</v>
      </c>
      <c r="J1885" s="26" t="n">
        <f aca="false">_xlfn.MAXIFS(Transaction!$C$2:$C$8421,Transaction!$B$2:$B$8421,A1885)</f>
        <v>46127</v>
      </c>
      <c r="K1885" s="6" t="n">
        <f aca="false">COUNTIF(Transaction!$B$2:$B$8421,A1885)</f>
        <v>1</v>
      </c>
      <c r="L1885" s="10" t="n">
        <f aca="false">SUMIF(Transaction!$B$2:$B$8421,A1885,Transaction!$H$2:$H$8421)</f>
        <v>610</v>
      </c>
      <c r="M1885" s="6" t="n">
        <f aca="false">Summary!$B$3-J1885</f>
        <v>139</v>
      </c>
      <c r="N1885" s="6" t="str">
        <f aca="false">IF(K1885&gt;1,"Yes","No")</f>
        <v>No</v>
      </c>
      <c r="O1885" s="6" t="s">
        <v>48</v>
      </c>
    </row>
    <row r="1886" customFormat="false" ht="15" hidden="false" customHeight="false" outlineLevel="0" collapsed="false">
      <c r="A1886" s="6" t="s">
        <v>3881</v>
      </c>
      <c r="B1886" s="6" t="s">
        <v>3882</v>
      </c>
      <c r="C1886" s="6" t="s">
        <v>75</v>
      </c>
      <c r="D1886" s="6" t="n">
        <v>37</v>
      </c>
      <c r="E1886" s="6" t="s">
        <v>98</v>
      </c>
      <c r="F1886" s="6" t="s">
        <v>99</v>
      </c>
      <c r="G1886" s="26" t="n">
        <v>46190</v>
      </c>
      <c r="H1886" s="6" t="s">
        <v>115</v>
      </c>
      <c r="I1886" s="26" t="n">
        <f aca="false">_xlfn.MINIFS(Transaction!$C$2:$C$8421,Transaction!$B$2:$B$8421,A1886)</f>
        <v>46192</v>
      </c>
      <c r="J1886" s="26" t="n">
        <f aca="false">_xlfn.MAXIFS(Transaction!$C$2:$C$8421,Transaction!$B$2:$B$8421,A1886)</f>
        <v>46192</v>
      </c>
      <c r="K1886" s="6" t="n">
        <f aca="false">COUNTIF(Transaction!$B$2:$B$8421,A1886)</f>
        <v>1</v>
      </c>
      <c r="L1886" s="10" t="n">
        <f aca="false">SUMIF(Transaction!$B$2:$B$8421,A1886,Transaction!$H$2:$H$8421)</f>
        <v>5502</v>
      </c>
      <c r="M1886" s="6" t="n">
        <f aca="false">Summary!$B$3-J1886</f>
        <v>74</v>
      </c>
      <c r="N1886" s="6" t="str">
        <f aca="false">IF(K1886&gt;1,"Yes","No")</f>
        <v>No</v>
      </c>
      <c r="O1886" s="6" t="s">
        <v>47</v>
      </c>
    </row>
    <row r="1887" customFormat="false" ht="15" hidden="false" customHeight="false" outlineLevel="0" collapsed="false">
      <c r="A1887" s="6" t="s">
        <v>3883</v>
      </c>
      <c r="B1887" s="6" t="s">
        <v>3884</v>
      </c>
      <c r="C1887" s="6" t="s">
        <v>85</v>
      </c>
      <c r="D1887" s="6" t="n">
        <v>38</v>
      </c>
      <c r="E1887" s="6" t="s">
        <v>76</v>
      </c>
      <c r="F1887" s="6" t="s">
        <v>77</v>
      </c>
      <c r="G1887" s="26" t="n">
        <v>46054</v>
      </c>
      <c r="H1887" s="6" t="s">
        <v>88</v>
      </c>
      <c r="I1887" s="26" t="n">
        <f aca="false">_xlfn.MINIFS(Transaction!$C$2:$C$8421,Transaction!$B$2:$B$8421,A1887)</f>
        <v>46128</v>
      </c>
      <c r="J1887" s="26" t="n">
        <f aca="false">_xlfn.MAXIFS(Transaction!$C$2:$C$8421,Transaction!$B$2:$B$8421,A1887)</f>
        <v>46176</v>
      </c>
      <c r="K1887" s="6" t="n">
        <f aca="false">COUNTIF(Transaction!$B$2:$B$8421,A1887)</f>
        <v>4</v>
      </c>
      <c r="L1887" s="10" t="n">
        <f aca="false">SUMIF(Transaction!$B$2:$B$8421,A1887,Transaction!$H$2:$H$8421)</f>
        <v>5416</v>
      </c>
      <c r="M1887" s="6" t="n">
        <f aca="false">Summary!$B$3-J1887</f>
        <v>90</v>
      </c>
      <c r="N1887" s="6" t="str">
        <f aca="false">IF(K1887&gt;1,"Yes","No")</f>
        <v>Yes</v>
      </c>
      <c r="O1887" s="6" t="s">
        <v>46</v>
      </c>
    </row>
    <row r="1888" customFormat="false" ht="15" hidden="false" customHeight="false" outlineLevel="0" collapsed="false">
      <c r="A1888" s="6" t="s">
        <v>3885</v>
      </c>
      <c r="B1888" s="6" t="s">
        <v>3886</v>
      </c>
      <c r="C1888" s="6" t="s">
        <v>85</v>
      </c>
      <c r="D1888" s="6" t="n">
        <v>47</v>
      </c>
      <c r="E1888" s="6" t="s">
        <v>176</v>
      </c>
      <c r="F1888" s="6" t="s">
        <v>177</v>
      </c>
      <c r="G1888" s="26" t="n">
        <v>46088</v>
      </c>
      <c r="H1888" s="6" t="s">
        <v>78</v>
      </c>
      <c r="I1888" s="26" t="n">
        <f aca="false">_xlfn.MINIFS(Transaction!$C$2:$C$8421,Transaction!$B$2:$B$8421,A1888)</f>
        <v>46133</v>
      </c>
      <c r="J1888" s="26" t="n">
        <f aca="false">_xlfn.MAXIFS(Transaction!$C$2:$C$8421,Transaction!$B$2:$B$8421,A1888)</f>
        <v>46133</v>
      </c>
      <c r="K1888" s="6" t="n">
        <f aca="false">COUNTIF(Transaction!$B$2:$B$8421,A1888)</f>
        <v>1</v>
      </c>
      <c r="L1888" s="10" t="n">
        <f aca="false">SUMIF(Transaction!$B$2:$B$8421,A1888,Transaction!$H$2:$H$8421)</f>
        <v>1529</v>
      </c>
      <c r="M1888" s="6" t="n">
        <f aca="false">Summary!$B$3-J1888</f>
        <v>133</v>
      </c>
      <c r="N1888" s="6" t="str">
        <f aca="false">IF(K1888&gt;1,"Yes","No")</f>
        <v>No</v>
      </c>
      <c r="O1888" s="6" t="s">
        <v>48</v>
      </c>
    </row>
    <row r="1889" customFormat="false" ht="15" hidden="false" customHeight="false" outlineLevel="0" collapsed="false">
      <c r="A1889" s="6" t="s">
        <v>3887</v>
      </c>
      <c r="B1889" s="6" t="s">
        <v>3888</v>
      </c>
      <c r="C1889" s="6" t="s">
        <v>75</v>
      </c>
      <c r="D1889" s="6" t="n">
        <v>25</v>
      </c>
      <c r="E1889" s="6" t="s">
        <v>121</v>
      </c>
      <c r="F1889" s="6" t="s">
        <v>122</v>
      </c>
      <c r="G1889" s="26" t="n">
        <v>45987</v>
      </c>
      <c r="H1889" s="6" t="s">
        <v>78</v>
      </c>
      <c r="I1889" s="26" t="n">
        <f aca="false">_xlfn.MINIFS(Transaction!$C$2:$C$8421,Transaction!$B$2:$B$8421,A1889)</f>
        <v>46045</v>
      </c>
      <c r="J1889" s="26" t="n">
        <f aca="false">_xlfn.MAXIFS(Transaction!$C$2:$C$8421,Transaction!$B$2:$B$8421,A1889)</f>
        <v>46256</v>
      </c>
      <c r="K1889" s="6" t="n">
        <f aca="false">COUNTIF(Transaction!$B$2:$B$8421,A1889)</f>
        <v>11</v>
      </c>
      <c r="L1889" s="10" t="n">
        <f aca="false">SUMIF(Transaction!$B$2:$B$8421,A1889,Transaction!$H$2:$H$8421)</f>
        <v>37013</v>
      </c>
      <c r="M1889" s="6" t="n">
        <f aca="false">Summary!$B$3-J1889</f>
        <v>10</v>
      </c>
      <c r="N1889" s="6" t="str">
        <f aca="false">IF(K1889&gt;1,"Yes","No")</f>
        <v>Yes</v>
      </c>
      <c r="O1889" s="6" t="s">
        <v>45</v>
      </c>
    </row>
    <row r="1890" customFormat="false" ht="15" hidden="false" customHeight="false" outlineLevel="0" collapsed="false">
      <c r="A1890" s="6" t="s">
        <v>3889</v>
      </c>
      <c r="B1890" s="6" t="s">
        <v>3890</v>
      </c>
      <c r="C1890" s="6" t="s">
        <v>75</v>
      </c>
      <c r="D1890" s="6" t="n">
        <v>34</v>
      </c>
      <c r="E1890" s="6" t="s">
        <v>176</v>
      </c>
      <c r="F1890" s="6" t="s">
        <v>177</v>
      </c>
      <c r="G1890" s="26" t="n">
        <v>46088</v>
      </c>
      <c r="H1890" s="6" t="s">
        <v>78</v>
      </c>
      <c r="I1890" s="26" t="n">
        <f aca="false">_xlfn.MINIFS(Transaction!$C$2:$C$8421,Transaction!$B$2:$B$8421,A1890)</f>
        <v>46134</v>
      </c>
      <c r="J1890" s="26" t="n">
        <f aca="false">_xlfn.MAXIFS(Transaction!$C$2:$C$8421,Transaction!$B$2:$B$8421,A1890)</f>
        <v>46184</v>
      </c>
      <c r="K1890" s="6" t="n">
        <f aca="false">COUNTIF(Transaction!$B$2:$B$8421,A1890)</f>
        <v>5</v>
      </c>
      <c r="L1890" s="10" t="n">
        <f aca="false">SUMIF(Transaction!$B$2:$B$8421,A1890,Transaction!$H$2:$H$8421)</f>
        <v>15253</v>
      </c>
      <c r="M1890" s="6" t="n">
        <f aca="false">Summary!$B$3-J1890</f>
        <v>82</v>
      </c>
      <c r="N1890" s="6" t="str">
        <f aca="false">IF(K1890&gt;1,"Yes","No")</f>
        <v>Yes</v>
      </c>
      <c r="O1890" s="6" t="s">
        <v>46</v>
      </c>
    </row>
    <row r="1891" customFormat="false" ht="15" hidden="false" customHeight="false" outlineLevel="0" collapsed="false">
      <c r="A1891" s="6" t="s">
        <v>3891</v>
      </c>
      <c r="B1891" s="6" t="s">
        <v>3892</v>
      </c>
      <c r="C1891" s="6" t="s">
        <v>85</v>
      </c>
      <c r="D1891" s="6" t="n">
        <v>42</v>
      </c>
      <c r="E1891" s="6" t="s">
        <v>81</v>
      </c>
      <c r="F1891" s="6" t="s">
        <v>82</v>
      </c>
      <c r="G1891" s="26" t="n">
        <v>45954</v>
      </c>
      <c r="H1891" s="6" t="s">
        <v>115</v>
      </c>
      <c r="I1891" s="26" t="n">
        <f aca="false">_xlfn.MINIFS(Transaction!$C$2:$C$8421,Transaction!$B$2:$B$8421,A1891)</f>
        <v>46029</v>
      </c>
      <c r="J1891" s="26" t="n">
        <f aca="false">_xlfn.MAXIFS(Transaction!$C$2:$C$8421,Transaction!$B$2:$B$8421,A1891)</f>
        <v>46257</v>
      </c>
      <c r="K1891" s="6" t="n">
        <f aca="false">COUNTIF(Transaction!$B$2:$B$8421,A1891)</f>
        <v>12</v>
      </c>
      <c r="L1891" s="10" t="n">
        <f aca="false">SUMIF(Transaction!$B$2:$B$8421,A1891,Transaction!$H$2:$H$8421)</f>
        <v>20975</v>
      </c>
      <c r="M1891" s="6" t="n">
        <f aca="false">Summary!$B$3-J1891</f>
        <v>9</v>
      </c>
      <c r="N1891" s="6" t="str">
        <f aca="false">IF(K1891&gt;1,"Yes","No")</f>
        <v>Yes</v>
      </c>
      <c r="O1891" s="6" t="s">
        <v>45</v>
      </c>
    </row>
    <row r="1892" customFormat="false" ht="15" hidden="false" customHeight="false" outlineLevel="0" collapsed="false">
      <c r="A1892" s="6" t="s">
        <v>3893</v>
      </c>
      <c r="B1892" s="6" t="s">
        <v>3894</v>
      </c>
      <c r="C1892" s="6" t="s">
        <v>85</v>
      </c>
      <c r="D1892" s="6" t="n">
        <v>46</v>
      </c>
      <c r="E1892" s="6" t="s">
        <v>176</v>
      </c>
      <c r="F1892" s="6" t="s">
        <v>177</v>
      </c>
      <c r="G1892" s="26" t="n">
        <v>45983</v>
      </c>
      <c r="H1892" s="6" t="s">
        <v>115</v>
      </c>
      <c r="I1892" s="26" t="n">
        <f aca="false">_xlfn.MINIFS(Transaction!$C$2:$C$8421,Transaction!$B$2:$B$8421,A1892)</f>
        <v>46038</v>
      </c>
      <c r="J1892" s="26" t="n">
        <f aca="false">_xlfn.MAXIFS(Transaction!$C$2:$C$8421,Transaction!$B$2:$B$8421,A1892)</f>
        <v>46038</v>
      </c>
      <c r="K1892" s="6" t="n">
        <f aca="false">COUNTIF(Transaction!$B$2:$B$8421,A1892)</f>
        <v>1</v>
      </c>
      <c r="L1892" s="10" t="n">
        <f aca="false">SUMIF(Transaction!$B$2:$B$8421,A1892,Transaction!$H$2:$H$8421)</f>
        <v>502</v>
      </c>
      <c r="M1892" s="6" t="n">
        <f aca="false">Summary!$B$3-J1892</f>
        <v>228</v>
      </c>
      <c r="N1892" s="6" t="str">
        <f aca="false">IF(K1892&gt;1,"Yes","No")</f>
        <v>No</v>
      </c>
      <c r="O1892" s="6" t="s">
        <v>49</v>
      </c>
    </row>
    <row r="1893" customFormat="false" ht="15" hidden="false" customHeight="false" outlineLevel="0" collapsed="false">
      <c r="A1893" s="6" t="s">
        <v>3895</v>
      </c>
      <c r="B1893" s="6" t="s">
        <v>3896</v>
      </c>
      <c r="C1893" s="6" t="s">
        <v>85</v>
      </c>
      <c r="D1893" s="6" t="n">
        <v>45</v>
      </c>
      <c r="E1893" s="6" t="s">
        <v>81</v>
      </c>
      <c r="F1893" s="6" t="s">
        <v>82</v>
      </c>
      <c r="G1893" s="26" t="n">
        <v>46024</v>
      </c>
      <c r="H1893" s="6" t="s">
        <v>123</v>
      </c>
      <c r="I1893" s="26" t="n">
        <f aca="false">_xlfn.MINIFS(Transaction!$C$2:$C$8421,Transaction!$B$2:$B$8421,A1893)</f>
        <v>46111</v>
      </c>
      <c r="J1893" s="26" t="n">
        <f aca="false">_xlfn.MAXIFS(Transaction!$C$2:$C$8421,Transaction!$B$2:$B$8421,A1893)</f>
        <v>46111</v>
      </c>
      <c r="K1893" s="6" t="n">
        <f aca="false">COUNTIF(Transaction!$B$2:$B$8421,A1893)</f>
        <v>1</v>
      </c>
      <c r="L1893" s="10" t="n">
        <f aca="false">SUMIF(Transaction!$B$2:$B$8421,A1893,Transaction!$H$2:$H$8421)</f>
        <v>2476</v>
      </c>
      <c r="M1893" s="6" t="n">
        <f aca="false">Summary!$B$3-J1893</f>
        <v>155</v>
      </c>
      <c r="N1893" s="6" t="str">
        <f aca="false">IF(K1893&gt;1,"Yes","No")</f>
        <v>No</v>
      </c>
      <c r="O1893" s="6" t="s">
        <v>49</v>
      </c>
    </row>
    <row r="1894" customFormat="false" ht="15" hidden="false" customHeight="false" outlineLevel="0" collapsed="false">
      <c r="A1894" s="6" t="s">
        <v>3897</v>
      </c>
      <c r="B1894" s="6" t="s">
        <v>3898</v>
      </c>
      <c r="C1894" s="6" t="s">
        <v>85</v>
      </c>
      <c r="D1894" s="6" t="n">
        <v>32</v>
      </c>
      <c r="E1894" s="6" t="s">
        <v>105</v>
      </c>
      <c r="F1894" s="6" t="s">
        <v>106</v>
      </c>
      <c r="G1894" s="26" t="n">
        <v>46176</v>
      </c>
      <c r="H1894" s="6" t="s">
        <v>115</v>
      </c>
      <c r="I1894" s="26" t="n">
        <f aca="false">_xlfn.MINIFS(Transaction!$C$2:$C$8421,Transaction!$B$2:$B$8421,A1894)</f>
        <v>46218</v>
      </c>
      <c r="J1894" s="26" t="n">
        <f aca="false">_xlfn.MAXIFS(Transaction!$C$2:$C$8421,Transaction!$B$2:$B$8421,A1894)</f>
        <v>46218</v>
      </c>
      <c r="K1894" s="6" t="n">
        <f aca="false">COUNTIF(Transaction!$B$2:$B$8421,A1894)</f>
        <v>1</v>
      </c>
      <c r="L1894" s="10" t="n">
        <f aca="false">SUMIF(Transaction!$B$2:$B$8421,A1894,Transaction!$H$2:$H$8421)</f>
        <v>610</v>
      </c>
      <c r="M1894" s="6" t="n">
        <f aca="false">Summary!$B$3-J1894</f>
        <v>48</v>
      </c>
      <c r="N1894" s="6" t="str">
        <f aca="false">IF(K1894&gt;1,"Yes","No")</f>
        <v>No</v>
      </c>
      <c r="O1894" s="6" t="s">
        <v>47</v>
      </c>
    </row>
    <row r="1895" customFormat="false" ht="15" hidden="false" customHeight="false" outlineLevel="0" collapsed="false">
      <c r="A1895" s="6" t="s">
        <v>3899</v>
      </c>
      <c r="B1895" s="6" t="s">
        <v>3900</v>
      </c>
      <c r="C1895" s="6" t="s">
        <v>75</v>
      </c>
      <c r="D1895" s="6" t="n">
        <v>34</v>
      </c>
      <c r="E1895" s="6" t="s">
        <v>91</v>
      </c>
      <c r="F1895" s="6" t="s">
        <v>77</v>
      </c>
      <c r="G1895" s="26" t="n">
        <v>46104</v>
      </c>
      <c r="H1895" s="6" t="s">
        <v>102</v>
      </c>
      <c r="I1895" s="26" t="n">
        <f aca="false">_xlfn.MINIFS(Transaction!$C$2:$C$8421,Transaction!$B$2:$B$8421,A1895)</f>
        <v>46163</v>
      </c>
      <c r="J1895" s="26" t="n">
        <f aca="false">_xlfn.MAXIFS(Transaction!$C$2:$C$8421,Transaction!$B$2:$B$8421,A1895)</f>
        <v>46163</v>
      </c>
      <c r="K1895" s="6" t="n">
        <f aca="false">COUNTIF(Transaction!$B$2:$B$8421,A1895)</f>
        <v>1</v>
      </c>
      <c r="L1895" s="10" t="n">
        <f aca="false">SUMIF(Transaction!$B$2:$B$8421,A1895,Transaction!$H$2:$H$8421)</f>
        <v>884</v>
      </c>
      <c r="M1895" s="6" t="n">
        <f aca="false">Summary!$B$3-J1895</f>
        <v>103</v>
      </c>
      <c r="N1895" s="6" t="str">
        <f aca="false">IF(K1895&gt;1,"Yes","No")</f>
        <v>No</v>
      </c>
      <c r="O1895" s="6" t="s">
        <v>48</v>
      </c>
    </row>
    <row r="1896" customFormat="false" ht="15" hidden="false" customHeight="false" outlineLevel="0" collapsed="false">
      <c r="A1896" s="6" t="s">
        <v>3901</v>
      </c>
      <c r="B1896" s="6" t="s">
        <v>3902</v>
      </c>
      <c r="C1896" s="6" t="s">
        <v>75</v>
      </c>
      <c r="D1896" s="6" t="n">
        <v>44</v>
      </c>
      <c r="E1896" s="6" t="s">
        <v>134</v>
      </c>
      <c r="F1896" s="6" t="s">
        <v>135</v>
      </c>
      <c r="G1896" s="26" t="n">
        <v>46030</v>
      </c>
      <c r="H1896" s="6" t="s">
        <v>115</v>
      </c>
      <c r="I1896" s="26" t="n">
        <f aca="false">_xlfn.MINIFS(Transaction!$C$2:$C$8421,Transaction!$B$2:$B$8421,A1896)</f>
        <v>46054</v>
      </c>
      <c r="J1896" s="26" t="n">
        <f aca="false">_xlfn.MAXIFS(Transaction!$C$2:$C$8421,Transaction!$B$2:$B$8421,A1896)</f>
        <v>46212</v>
      </c>
      <c r="K1896" s="6" t="n">
        <f aca="false">COUNTIF(Transaction!$B$2:$B$8421,A1896)</f>
        <v>5</v>
      </c>
      <c r="L1896" s="10" t="n">
        <f aca="false">SUMIF(Transaction!$B$2:$B$8421,A1896,Transaction!$H$2:$H$8421)</f>
        <v>13950</v>
      </c>
      <c r="M1896" s="6" t="n">
        <f aca="false">Summary!$B$3-J1896</f>
        <v>54</v>
      </c>
      <c r="N1896" s="6" t="str">
        <f aca="false">IF(K1896&gt;1,"Yes","No")</f>
        <v>Yes</v>
      </c>
      <c r="O1896" s="6" t="s">
        <v>46</v>
      </c>
    </row>
    <row r="1897" customFormat="false" ht="15" hidden="false" customHeight="false" outlineLevel="0" collapsed="false">
      <c r="A1897" s="6" t="s">
        <v>3903</v>
      </c>
      <c r="B1897" s="6" t="s">
        <v>3904</v>
      </c>
      <c r="C1897" s="6" t="s">
        <v>75</v>
      </c>
      <c r="D1897" s="6" t="n">
        <v>44</v>
      </c>
      <c r="E1897" s="6" t="s">
        <v>81</v>
      </c>
      <c r="F1897" s="6" t="s">
        <v>82</v>
      </c>
      <c r="G1897" s="26" t="n">
        <v>46002</v>
      </c>
      <c r="H1897" s="6" t="s">
        <v>123</v>
      </c>
      <c r="I1897" s="26" t="n">
        <f aca="false">_xlfn.MINIFS(Transaction!$C$2:$C$8421,Transaction!$B$2:$B$8421,A1897)</f>
        <v>46029</v>
      </c>
      <c r="J1897" s="26" t="n">
        <f aca="false">_xlfn.MAXIFS(Transaction!$C$2:$C$8421,Transaction!$B$2:$B$8421,A1897)</f>
        <v>46185</v>
      </c>
      <c r="K1897" s="6" t="n">
        <f aca="false">COUNTIF(Transaction!$B$2:$B$8421,A1897)</f>
        <v>4</v>
      </c>
      <c r="L1897" s="10" t="n">
        <f aca="false">SUMIF(Transaction!$B$2:$B$8421,A1897,Transaction!$H$2:$H$8421)</f>
        <v>5073</v>
      </c>
      <c r="M1897" s="6" t="n">
        <f aca="false">Summary!$B$3-J1897</f>
        <v>81</v>
      </c>
      <c r="N1897" s="6" t="str">
        <f aca="false">IF(K1897&gt;1,"Yes","No")</f>
        <v>Yes</v>
      </c>
      <c r="O1897" s="6" t="s">
        <v>46</v>
      </c>
    </row>
    <row r="1898" customFormat="false" ht="15" hidden="false" customHeight="false" outlineLevel="0" collapsed="false">
      <c r="A1898" s="6" t="s">
        <v>3905</v>
      </c>
      <c r="B1898" s="6" t="s">
        <v>3906</v>
      </c>
      <c r="C1898" s="6" t="s">
        <v>85</v>
      </c>
      <c r="D1898" s="6" t="n">
        <v>31</v>
      </c>
      <c r="E1898" s="6" t="s">
        <v>121</v>
      </c>
      <c r="F1898" s="6" t="s">
        <v>122</v>
      </c>
      <c r="G1898" s="26" t="n">
        <v>46157</v>
      </c>
      <c r="H1898" s="6" t="s">
        <v>123</v>
      </c>
      <c r="I1898" s="26" t="n">
        <f aca="false">_xlfn.MINIFS(Transaction!$C$2:$C$8421,Transaction!$B$2:$B$8421,A1898)</f>
        <v>46237</v>
      </c>
      <c r="J1898" s="26" t="n">
        <f aca="false">_xlfn.MAXIFS(Transaction!$C$2:$C$8421,Transaction!$B$2:$B$8421,A1898)</f>
        <v>46237</v>
      </c>
      <c r="K1898" s="6" t="n">
        <f aca="false">COUNTIF(Transaction!$B$2:$B$8421,A1898)</f>
        <v>1</v>
      </c>
      <c r="L1898" s="10" t="n">
        <f aca="false">SUMIF(Transaction!$B$2:$B$8421,A1898,Transaction!$H$2:$H$8421)</f>
        <v>559</v>
      </c>
      <c r="M1898" s="6" t="n">
        <f aca="false">Summary!$B$3-J1898</f>
        <v>29</v>
      </c>
      <c r="N1898" s="6" t="str">
        <f aca="false">IF(K1898&gt;1,"Yes","No")</f>
        <v>No</v>
      </c>
      <c r="O1898" s="6" t="s">
        <v>47</v>
      </c>
    </row>
    <row r="1899" customFormat="false" ht="15" hidden="false" customHeight="false" outlineLevel="0" collapsed="false">
      <c r="A1899" s="6" t="s">
        <v>3907</v>
      </c>
      <c r="B1899" s="6" t="s">
        <v>3908</v>
      </c>
      <c r="C1899" s="6" t="s">
        <v>75</v>
      </c>
      <c r="D1899" s="6" t="n">
        <v>34</v>
      </c>
      <c r="E1899" s="6" t="s">
        <v>140</v>
      </c>
      <c r="F1899" s="6" t="s">
        <v>141</v>
      </c>
      <c r="G1899" s="26" t="n">
        <v>45997</v>
      </c>
      <c r="H1899" s="6" t="s">
        <v>78</v>
      </c>
      <c r="I1899" s="26" t="n">
        <f aca="false">_xlfn.MINIFS(Transaction!$C$2:$C$8421,Transaction!$B$2:$B$8421,A1899)</f>
        <v>46025</v>
      </c>
      <c r="J1899" s="26" t="n">
        <f aca="false">_xlfn.MAXIFS(Transaction!$C$2:$C$8421,Transaction!$B$2:$B$8421,A1899)</f>
        <v>46190</v>
      </c>
      <c r="K1899" s="6" t="n">
        <f aca="false">COUNTIF(Transaction!$B$2:$B$8421,A1899)</f>
        <v>7</v>
      </c>
      <c r="L1899" s="10" t="n">
        <f aca="false">SUMIF(Transaction!$B$2:$B$8421,A1899,Transaction!$H$2:$H$8421)</f>
        <v>9796</v>
      </c>
      <c r="M1899" s="6" t="n">
        <f aca="false">Summary!$B$3-J1899</f>
        <v>76</v>
      </c>
      <c r="N1899" s="6" t="str">
        <f aca="false">IF(K1899&gt;1,"Yes","No")</f>
        <v>Yes</v>
      </c>
      <c r="O1899" s="6" t="s">
        <v>46</v>
      </c>
    </row>
    <row r="1900" customFormat="false" ht="15" hidden="false" customHeight="false" outlineLevel="0" collapsed="false">
      <c r="A1900" s="6" t="s">
        <v>3909</v>
      </c>
      <c r="B1900" s="6" t="s">
        <v>3910</v>
      </c>
      <c r="C1900" s="6" t="s">
        <v>75</v>
      </c>
      <c r="D1900" s="6" t="n">
        <v>43</v>
      </c>
      <c r="E1900" s="6" t="s">
        <v>95</v>
      </c>
      <c r="F1900" s="6" t="s">
        <v>95</v>
      </c>
      <c r="G1900" s="26" t="n">
        <v>46085</v>
      </c>
      <c r="H1900" s="6" t="s">
        <v>88</v>
      </c>
      <c r="I1900" s="26" t="n">
        <f aca="false">_xlfn.MINIFS(Transaction!$C$2:$C$8421,Transaction!$B$2:$B$8421,A1900)</f>
        <v>46151</v>
      </c>
      <c r="J1900" s="26" t="n">
        <f aca="false">_xlfn.MAXIFS(Transaction!$C$2:$C$8421,Transaction!$B$2:$B$8421,A1900)</f>
        <v>46151</v>
      </c>
      <c r="K1900" s="6" t="n">
        <f aca="false">COUNTIF(Transaction!$B$2:$B$8421,A1900)</f>
        <v>1</v>
      </c>
      <c r="L1900" s="10" t="n">
        <f aca="false">SUMIF(Transaction!$B$2:$B$8421,A1900,Transaction!$H$2:$H$8421)</f>
        <v>1767</v>
      </c>
      <c r="M1900" s="6" t="n">
        <f aca="false">Summary!$B$3-J1900</f>
        <v>115</v>
      </c>
      <c r="N1900" s="6" t="str">
        <f aca="false">IF(K1900&gt;1,"Yes","No")</f>
        <v>No</v>
      </c>
      <c r="O1900" s="6" t="s">
        <v>48</v>
      </c>
    </row>
    <row r="1901" customFormat="false" ht="15" hidden="false" customHeight="false" outlineLevel="0" collapsed="false">
      <c r="A1901" s="6" t="s">
        <v>3911</v>
      </c>
      <c r="B1901" s="6" t="s">
        <v>3912</v>
      </c>
      <c r="C1901" s="6" t="s">
        <v>85</v>
      </c>
      <c r="D1901" s="6" t="n">
        <v>43</v>
      </c>
      <c r="E1901" s="6" t="s">
        <v>81</v>
      </c>
      <c r="F1901" s="6" t="s">
        <v>82</v>
      </c>
      <c r="G1901" s="26" t="n">
        <v>46110</v>
      </c>
      <c r="H1901" s="6" t="s">
        <v>92</v>
      </c>
      <c r="I1901" s="26" t="n">
        <f aca="false">_xlfn.MINIFS(Transaction!$C$2:$C$8421,Transaction!$B$2:$B$8421,A1901)</f>
        <v>46188</v>
      </c>
      <c r="J1901" s="26" t="n">
        <f aca="false">_xlfn.MAXIFS(Transaction!$C$2:$C$8421,Transaction!$B$2:$B$8421,A1901)</f>
        <v>46188</v>
      </c>
      <c r="K1901" s="6" t="n">
        <f aca="false">COUNTIF(Transaction!$B$2:$B$8421,A1901)</f>
        <v>1</v>
      </c>
      <c r="L1901" s="10" t="n">
        <f aca="false">SUMIF(Transaction!$B$2:$B$8421,A1901,Transaction!$H$2:$H$8421)</f>
        <v>821</v>
      </c>
      <c r="M1901" s="6" t="n">
        <f aca="false">Summary!$B$3-J1901</f>
        <v>78</v>
      </c>
      <c r="N1901" s="6" t="str">
        <f aca="false">IF(K1901&gt;1,"Yes","No")</f>
        <v>No</v>
      </c>
      <c r="O1901" s="6" t="s">
        <v>47</v>
      </c>
    </row>
    <row r="1902" customFormat="false" ht="15" hidden="false" customHeight="false" outlineLevel="0" collapsed="false">
      <c r="A1902" s="6" t="s">
        <v>3913</v>
      </c>
      <c r="B1902" s="6" t="s">
        <v>3914</v>
      </c>
      <c r="C1902" s="6" t="s">
        <v>85</v>
      </c>
      <c r="D1902" s="6" t="n">
        <v>38</v>
      </c>
      <c r="E1902" s="6" t="s">
        <v>95</v>
      </c>
      <c r="F1902" s="6" t="s">
        <v>95</v>
      </c>
      <c r="G1902" s="26" t="n">
        <v>46072</v>
      </c>
      <c r="H1902" s="6" t="s">
        <v>78</v>
      </c>
      <c r="I1902" s="26" t="n">
        <f aca="false">_xlfn.MINIFS(Transaction!$C$2:$C$8421,Transaction!$B$2:$B$8421,A1902)</f>
        <v>46135</v>
      </c>
      <c r="J1902" s="26" t="n">
        <f aca="false">_xlfn.MAXIFS(Transaction!$C$2:$C$8421,Transaction!$B$2:$B$8421,A1902)</f>
        <v>46237</v>
      </c>
      <c r="K1902" s="6" t="n">
        <f aca="false">COUNTIF(Transaction!$B$2:$B$8421,A1902)</f>
        <v>3</v>
      </c>
      <c r="L1902" s="10" t="n">
        <f aca="false">SUMIF(Transaction!$B$2:$B$8421,A1902,Transaction!$H$2:$H$8421)</f>
        <v>16011</v>
      </c>
      <c r="M1902" s="6" t="n">
        <f aca="false">Summary!$B$3-J1902</f>
        <v>29</v>
      </c>
      <c r="N1902" s="6" t="str">
        <f aca="false">IF(K1902&gt;1,"Yes","No")</f>
        <v>Yes</v>
      </c>
      <c r="O1902" s="6" t="s">
        <v>46</v>
      </c>
    </row>
    <row r="1903" customFormat="false" ht="15" hidden="false" customHeight="false" outlineLevel="0" collapsed="false">
      <c r="A1903" s="6" t="s">
        <v>3915</v>
      </c>
      <c r="B1903" s="6" t="s">
        <v>3916</v>
      </c>
      <c r="C1903" s="6" t="s">
        <v>75</v>
      </c>
      <c r="D1903" s="6" t="n">
        <v>35</v>
      </c>
      <c r="E1903" s="6" t="s">
        <v>86</v>
      </c>
      <c r="F1903" s="6" t="s">
        <v>87</v>
      </c>
      <c r="G1903" s="26" t="n">
        <v>46057</v>
      </c>
      <c r="H1903" s="6" t="s">
        <v>78</v>
      </c>
      <c r="I1903" s="26" t="n">
        <f aca="false">_xlfn.MINIFS(Transaction!$C$2:$C$8421,Transaction!$B$2:$B$8421,A1903)</f>
        <v>46089</v>
      </c>
      <c r="J1903" s="26" t="n">
        <f aca="false">_xlfn.MAXIFS(Transaction!$C$2:$C$8421,Transaction!$B$2:$B$8421,A1903)</f>
        <v>46089</v>
      </c>
      <c r="K1903" s="6" t="n">
        <f aca="false">COUNTIF(Transaction!$B$2:$B$8421,A1903)</f>
        <v>1</v>
      </c>
      <c r="L1903" s="10" t="n">
        <f aca="false">SUMIF(Transaction!$B$2:$B$8421,A1903,Transaction!$H$2:$H$8421)</f>
        <v>2936</v>
      </c>
      <c r="M1903" s="6" t="n">
        <f aca="false">Summary!$B$3-J1903</f>
        <v>177</v>
      </c>
      <c r="N1903" s="6" t="str">
        <f aca="false">IF(K1903&gt;1,"Yes","No")</f>
        <v>No</v>
      </c>
      <c r="O1903" s="6" t="s">
        <v>49</v>
      </c>
    </row>
    <row r="1904" customFormat="false" ht="15" hidden="false" customHeight="false" outlineLevel="0" collapsed="false">
      <c r="A1904" s="6" t="s">
        <v>3917</v>
      </c>
      <c r="B1904" s="6" t="s">
        <v>3918</v>
      </c>
      <c r="C1904" s="6" t="s">
        <v>85</v>
      </c>
      <c r="D1904" s="6" t="n">
        <v>45</v>
      </c>
      <c r="E1904" s="6" t="s">
        <v>95</v>
      </c>
      <c r="F1904" s="6" t="s">
        <v>95</v>
      </c>
      <c r="G1904" s="26" t="n">
        <v>46006</v>
      </c>
      <c r="H1904" s="6" t="s">
        <v>123</v>
      </c>
      <c r="I1904" s="26" t="n">
        <f aca="false">_xlfn.MINIFS(Transaction!$C$2:$C$8421,Transaction!$B$2:$B$8421,A1904)</f>
        <v>46072</v>
      </c>
      <c r="J1904" s="26" t="n">
        <f aca="false">_xlfn.MAXIFS(Transaction!$C$2:$C$8421,Transaction!$B$2:$B$8421,A1904)</f>
        <v>46072</v>
      </c>
      <c r="K1904" s="6" t="n">
        <f aca="false">COUNTIF(Transaction!$B$2:$B$8421,A1904)</f>
        <v>1</v>
      </c>
      <c r="L1904" s="10" t="n">
        <f aca="false">SUMIF(Transaction!$B$2:$B$8421,A1904,Transaction!$H$2:$H$8421)</f>
        <v>1568</v>
      </c>
      <c r="M1904" s="6" t="n">
        <f aca="false">Summary!$B$3-J1904</f>
        <v>194</v>
      </c>
      <c r="N1904" s="6" t="str">
        <f aca="false">IF(K1904&gt;1,"Yes","No")</f>
        <v>No</v>
      </c>
      <c r="O1904" s="6" t="s">
        <v>49</v>
      </c>
    </row>
    <row r="1905" customFormat="false" ht="15" hidden="false" customHeight="false" outlineLevel="0" collapsed="false">
      <c r="A1905" s="6" t="s">
        <v>3919</v>
      </c>
      <c r="B1905" s="6" t="s">
        <v>3920</v>
      </c>
      <c r="C1905" s="6" t="s">
        <v>85</v>
      </c>
      <c r="D1905" s="6" t="n">
        <v>42</v>
      </c>
      <c r="E1905" s="6" t="s">
        <v>95</v>
      </c>
      <c r="F1905" s="6" t="s">
        <v>95</v>
      </c>
      <c r="G1905" s="26" t="n">
        <v>46085</v>
      </c>
      <c r="H1905" s="6" t="s">
        <v>88</v>
      </c>
      <c r="I1905" s="26" t="n">
        <f aca="false">_xlfn.MINIFS(Transaction!$C$2:$C$8421,Transaction!$B$2:$B$8421,A1905)</f>
        <v>46096</v>
      </c>
      <c r="J1905" s="26" t="n">
        <f aca="false">_xlfn.MAXIFS(Transaction!$C$2:$C$8421,Transaction!$B$2:$B$8421,A1905)</f>
        <v>46222</v>
      </c>
      <c r="K1905" s="6" t="n">
        <f aca="false">COUNTIF(Transaction!$B$2:$B$8421,A1905)</f>
        <v>5</v>
      </c>
      <c r="L1905" s="10" t="n">
        <f aca="false">SUMIF(Transaction!$B$2:$B$8421,A1905,Transaction!$H$2:$H$8421)</f>
        <v>7249</v>
      </c>
      <c r="M1905" s="6" t="n">
        <f aca="false">Summary!$B$3-J1905</f>
        <v>44</v>
      </c>
      <c r="N1905" s="6" t="str">
        <f aca="false">IF(K1905&gt;1,"Yes","No")</f>
        <v>Yes</v>
      </c>
      <c r="O1905" s="6" t="s">
        <v>46</v>
      </c>
    </row>
    <row r="1906" customFormat="false" ht="15" hidden="false" customHeight="false" outlineLevel="0" collapsed="false">
      <c r="A1906" s="6" t="s">
        <v>3921</v>
      </c>
      <c r="B1906" s="6" t="s">
        <v>3922</v>
      </c>
      <c r="C1906" s="6" t="s">
        <v>75</v>
      </c>
      <c r="D1906" s="6" t="n">
        <v>21</v>
      </c>
      <c r="E1906" s="6" t="s">
        <v>126</v>
      </c>
      <c r="F1906" s="6" t="s">
        <v>127</v>
      </c>
      <c r="G1906" s="26" t="n">
        <v>46035</v>
      </c>
      <c r="H1906" s="6" t="s">
        <v>78</v>
      </c>
      <c r="I1906" s="26" t="n">
        <f aca="false">_xlfn.MINIFS(Transaction!$C$2:$C$8421,Transaction!$B$2:$B$8421,A1906)</f>
        <v>46065</v>
      </c>
      <c r="J1906" s="26" t="n">
        <f aca="false">_xlfn.MAXIFS(Transaction!$C$2:$C$8421,Transaction!$B$2:$B$8421,A1906)</f>
        <v>46195</v>
      </c>
      <c r="K1906" s="6" t="n">
        <f aca="false">COUNTIF(Transaction!$B$2:$B$8421,A1906)</f>
        <v>6</v>
      </c>
      <c r="L1906" s="10" t="n">
        <f aca="false">SUMIF(Transaction!$B$2:$B$8421,A1906,Transaction!$H$2:$H$8421)</f>
        <v>11313</v>
      </c>
      <c r="M1906" s="6" t="n">
        <f aca="false">Summary!$B$3-J1906</f>
        <v>71</v>
      </c>
      <c r="N1906" s="6" t="str">
        <f aca="false">IF(K1906&gt;1,"Yes","No")</f>
        <v>Yes</v>
      </c>
      <c r="O1906" s="6" t="s">
        <v>46</v>
      </c>
    </row>
    <row r="1907" customFormat="false" ht="15" hidden="false" customHeight="false" outlineLevel="0" collapsed="false">
      <c r="A1907" s="6" t="s">
        <v>3923</v>
      </c>
      <c r="B1907" s="6" t="s">
        <v>3924</v>
      </c>
      <c r="C1907" s="6" t="s">
        <v>85</v>
      </c>
      <c r="D1907" s="6" t="n">
        <v>23</v>
      </c>
      <c r="E1907" s="6" t="s">
        <v>76</v>
      </c>
      <c r="F1907" s="6" t="s">
        <v>77</v>
      </c>
      <c r="G1907" s="26" t="n">
        <v>46146</v>
      </c>
      <c r="H1907" s="6" t="s">
        <v>115</v>
      </c>
      <c r="I1907" s="26" t="n">
        <f aca="false">_xlfn.MINIFS(Transaction!$C$2:$C$8421,Transaction!$B$2:$B$8421,A1907)</f>
        <v>46166</v>
      </c>
      <c r="J1907" s="26" t="n">
        <f aca="false">_xlfn.MAXIFS(Transaction!$C$2:$C$8421,Transaction!$B$2:$B$8421,A1907)</f>
        <v>46166</v>
      </c>
      <c r="K1907" s="6" t="n">
        <f aca="false">COUNTIF(Transaction!$B$2:$B$8421,A1907)</f>
        <v>1</v>
      </c>
      <c r="L1907" s="10" t="n">
        <f aca="false">SUMIF(Transaction!$B$2:$B$8421,A1907,Transaction!$H$2:$H$8421)</f>
        <v>436</v>
      </c>
      <c r="M1907" s="6" t="n">
        <f aca="false">Summary!$B$3-J1907</f>
        <v>100</v>
      </c>
      <c r="N1907" s="6" t="str">
        <f aca="false">IF(K1907&gt;1,"Yes","No")</f>
        <v>No</v>
      </c>
      <c r="O1907" s="6" t="s">
        <v>48</v>
      </c>
    </row>
    <row r="1908" customFormat="false" ht="15" hidden="false" customHeight="false" outlineLevel="0" collapsed="false">
      <c r="A1908" s="6" t="s">
        <v>3925</v>
      </c>
      <c r="B1908" s="6" t="s">
        <v>3926</v>
      </c>
      <c r="C1908" s="6" t="s">
        <v>85</v>
      </c>
      <c r="D1908" s="6" t="n">
        <v>27</v>
      </c>
      <c r="E1908" s="6" t="s">
        <v>91</v>
      </c>
      <c r="F1908" s="6" t="s">
        <v>77</v>
      </c>
      <c r="G1908" s="26" t="n">
        <v>46001</v>
      </c>
      <c r="H1908" s="6" t="s">
        <v>115</v>
      </c>
      <c r="I1908" s="26" t="n">
        <f aca="false">_xlfn.MINIFS(Transaction!$C$2:$C$8421,Transaction!$B$2:$B$8421,A1908)</f>
        <v>46050</v>
      </c>
      <c r="J1908" s="26" t="n">
        <f aca="false">_xlfn.MAXIFS(Transaction!$C$2:$C$8421,Transaction!$B$2:$B$8421,A1908)</f>
        <v>46176</v>
      </c>
      <c r="K1908" s="6" t="n">
        <f aca="false">COUNTIF(Transaction!$B$2:$B$8421,A1908)</f>
        <v>6</v>
      </c>
      <c r="L1908" s="10" t="n">
        <f aca="false">SUMIF(Transaction!$B$2:$B$8421,A1908,Transaction!$H$2:$H$8421)</f>
        <v>16745</v>
      </c>
      <c r="M1908" s="6" t="n">
        <f aca="false">Summary!$B$3-J1908</f>
        <v>90</v>
      </c>
      <c r="N1908" s="6" t="str">
        <f aca="false">IF(K1908&gt;1,"Yes","No")</f>
        <v>Yes</v>
      </c>
      <c r="O1908" s="6" t="s">
        <v>46</v>
      </c>
    </row>
    <row r="1909" customFormat="false" ht="15" hidden="false" customHeight="false" outlineLevel="0" collapsed="false">
      <c r="A1909" s="6" t="s">
        <v>3927</v>
      </c>
      <c r="B1909" s="6" t="s">
        <v>3928</v>
      </c>
      <c r="C1909" s="6" t="s">
        <v>85</v>
      </c>
      <c r="D1909" s="6" t="n">
        <v>27</v>
      </c>
      <c r="E1909" s="6" t="s">
        <v>86</v>
      </c>
      <c r="F1909" s="6" t="s">
        <v>87</v>
      </c>
      <c r="G1909" s="26" t="n">
        <v>46077</v>
      </c>
      <c r="H1909" s="6" t="s">
        <v>78</v>
      </c>
      <c r="I1909" s="26" t="n">
        <f aca="false">_xlfn.MINIFS(Transaction!$C$2:$C$8421,Transaction!$B$2:$B$8421,A1909)</f>
        <v>46124</v>
      </c>
      <c r="J1909" s="26" t="n">
        <f aca="false">_xlfn.MAXIFS(Transaction!$C$2:$C$8421,Transaction!$B$2:$B$8421,A1909)</f>
        <v>46265</v>
      </c>
      <c r="K1909" s="6" t="n">
        <f aca="false">COUNTIF(Transaction!$B$2:$B$8421,A1909)</f>
        <v>11</v>
      </c>
      <c r="L1909" s="10" t="n">
        <f aca="false">SUMIF(Transaction!$B$2:$B$8421,A1909,Transaction!$H$2:$H$8421)</f>
        <v>63729</v>
      </c>
      <c r="M1909" s="6" t="n">
        <f aca="false">Summary!$B$3-J1909</f>
        <v>1</v>
      </c>
      <c r="N1909" s="6" t="str">
        <f aca="false">IF(K1909&gt;1,"Yes","No")</f>
        <v>Yes</v>
      </c>
      <c r="O1909" s="6" t="s">
        <v>45</v>
      </c>
    </row>
    <row r="1910" customFormat="false" ht="15" hidden="false" customHeight="false" outlineLevel="0" collapsed="false">
      <c r="A1910" s="6" t="s">
        <v>3929</v>
      </c>
      <c r="B1910" s="6" t="s">
        <v>3930</v>
      </c>
      <c r="C1910" s="6" t="s">
        <v>85</v>
      </c>
      <c r="D1910" s="6" t="n">
        <v>22</v>
      </c>
      <c r="E1910" s="6" t="s">
        <v>430</v>
      </c>
      <c r="F1910" s="6" t="s">
        <v>99</v>
      </c>
      <c r="G1910" s="26" t="n">
        <v>46073</v>
      </c>
      <c r="H1910" s="6" t="s">
        <v>88</v>
      </c>
      <c r="I1910" s="26" t="n">
        <f aca="false">_xlfn.MINIFS(Transaction!$C$2:$C$8421,Transaction!$B$2:$B$8421,A1910)</f>
        <v>46145</v>
      </c>
      <c r="J1910" s="26" t="n">
        <f aca="false">_xlfn.MAXIFS(Transaction!$C$2:$C$8421,Transaction!$B$2:$B$8421,A1910)</f>
        <v>46246</v>
      </c>
      <c r="K1910" s="6" t="n">
        <f aca="false">COUNTIF(Transaction!$B$2:$B$8421,A1910)</f>
        <v>4</v>
      </c>
      <c r="L1910" s="10" t="n">
        <f aca="false">SUMIF(Transaction!$B$2:$B$8421,A1910,Transaction!$H$2:$H$8421)</f>
        <v>22458</v>
      </c>
      <c r="M1910" s="6" t="n">
        <f aca="false">Summary!$B$3-J1910</f>
        <v>20</v>
      </c>
      <c r="N1910" s="6" t="str">
        <f aca="false">IF(K1910&gt;1,"Yes","No")</f>
        <v>Yes</v>
      </c>
      <c r="O1910" s="6" t="s">
        <v>46</v>
      </c>
    </row>
    <row r="1911" customFormat="false" ht="15" hidden="false" customHeight="false" outlineLevel="0" collapsed="false">
      <c r="A1911" s="6" t="s">
        <v>3931</v>
      </c>
      <c r="B1911" s="6" t="s">
        <v>3932</v>
      </c>
      <c r="C1911" s="6" t="s">
        <v>75</v>
      </c>
      <c r="D1911" s="6" t="n">
        <v>39</v>
      </c>
      <c r="E1911" s="6" t="s">
        <v>176</v>
      </c>
      <c r="F1911" s="6" t="s">
        <v>177</v>
      </c>
      <c r="G1911" s="26" t="n">
        <v>46158</v>
      </c>
      <c r="H1911" s="6" t="s">
        <v>115</v>
      </c>
      <c r="I1911" s="26" t="n">
        <f aca="false">_xlfn.MINIFS(Transaction!$C$2:$C$8421,Transaction!$B$2:$B$8421,A1911)</f>
        <v>46225</v>
      </c>
      <c r="J1911" s="26" t="n">
        <f aca="false">_xlfn.MAXIFS(Transaction!$C$2:$C$8421,Transaction!$B$2:$B$8421,A1911)</f>
        <v>46225</v>
      </c>
      <c r="K1911" s="6" t="n">
        <f aca="false">COUNTIF(Transaction!$B$2:$B$8421,A1911)</f>
        <v>1</v>
      </c>
      <c r="L1911" s="10" t="n">
        <f aca="false">SUMIF(Transaction!$B$2:$B$8421,A1911,Transaction!$H$2:$H$8421)</f>
        <v>879</v>
      </c>
      <c r="M1911" s="6" t="n">
        <f aca="false">Summary!$B$3-J1911</f>
        <v>41</v>
      </c>
      <c r="N1911" s="6" t="str">
        <f aca="false">IF(K1911&gt;1,"Yes","No")</f>
        <v>No</v>
      </c>
      <c r="O1911" s="6" t="s">
        <v>47</v>
      </c>
    </row>
    <row r="1912" customFormat="false" ht="15" hidden="false" customHeight="false" outlineLevel="0" collapsed="false">
      <c r="A1912" s="6" t="s">
        <v>3933</v>
      </c>
      <c r="B1912" s="6" t="s">
        <v>3934</v>
      </c>
      <c r="C1912" s="6" t="s">
        <v>75</v>
      </c>
      <c r="D1912" s="6" t="n">
        <v>29</v>
      </c>
      <c r="E1912" s="6" t="s">
        <v>95</v>
      </c>
      <c r="F1912" s="6" t="s">
        <v>95</v>
      </c>
      <c r="G1912" s="26" t="n">
        <v>45954</v>
      </c>
      <c r="H1912" s="6" t="s">
        <v>102</v>
      </c>
      <c r="I1912" s="26" t="n">
        <f aca="false">_xlfn.MINIFS(Transaction!$C$2:$C$8421,Transaction!$B$2:$B$8421,A1912)</f>
        <v>46043</v>
      </c>
      <c r="J1912" s="26" t="n">
        <f aca="false">_xlfn.MAXIFS(Transaction!$C$2:$C$8421,Transaction!$B$2:$B$8421,A1912)</f>
        <v>46238</v>
      </c>
      <c r="K1912" s="6" t="n">
        <f aca="false">COUNTIF(Transaction!$B$2:$B$8421,A1912)</f>
        <v>3</v>
      </c>
      <c r="L1912" s="10" t="n">
        <f aca="false">SUMIF(Transaction!$B$2:$B$8421,A1912,Transaction!$H$2:$H$8421)</f>
        <v>2612</v>
      </c>
      <c r="M1912" s="6" t="n">
        <f aca="false">Summary!$B$3-J1912</f>
        <v>28</v>
      </c>
      <c r="N1912" s="6" t="str">
        <f aca="false">IF(K1912&gt;1,"Yes","No")</f>
        <v>Yes</v>
      </c>
      <c r="O1912" s="6" t="s">
        <v>46</v>
      </c>
    </row>
    <row r="1913" customFormat="false" ht="15" hidden="false" customHeight="false" outlineLevel="0" collapsed="false">
      <c r="A1913" s="6" t="s">
        <v>3935</v>
      </c>
      <c r="B1913" s="6" t="s">
        <v>3936</v>
      </c>
      <c r="C1913" s="6" t="s">
        <v>85</v>
      </c>
      <c r="D1913" s="6" t="n">
        <v>33</v>
      </c>
      <c r="E1913" s="6" t="s">
        <v>237</v>
      </c>
      <c r="F1913" s="6" t="s">
        <v>87</v>
      </c>
      <c r="G1913" s="26" t="n">
        <v>46155</v>
      </c>
      <c r="H1913" s="6" t="s">
        <v>115</v>
      </c>
      <c r="I1913" s="26" t="n">
        <f aca="false">_xlfn.MINIFS(Transaction!$C$2:$C$8421,Transaction!$B$2:$B$8421,A1913)</f>
        <v>46183</v>
      </c>
      <c r="J1913" s="26" t="n">
        <f aca="false">_xlfn.MAXIFS(Transaction!$C$2:$C$8421,Transaction!$B$2:$B$8421,A1913)</f>
        <v>46183</v>
      </c>
      <c r="K1913" s="6" t="n">
        <f aca="false">COUNTIF(Transaction!$B$2:$B$8421,A1913)</f>
        <v>1</v>
      </c>
      <c r="L1913" s="10" t="n">
        <f aca="false">SUMIF(Transaction!$B$2:$B$8421,A1913,Transaction!$H$2:$H$8421)</f>
        <v>837</v>
      </c>
      <c r="M1913" s="6" t="n">
        <f aca="false">Summary!$B$3-J1913</f>
        <v>83</v>
      </c>
      <c r="N1913" s="6" t="str">
        <f aca="false">IF(K1913&gt;1,"Yes","No")</f>
        <v>No</v>
      </c>
      <c r="O1913" s="6" t="s">
        <v>47</v>
      </c>
    </row>
    <row r="1914" customFormat="false" ht="15" hidden="false" customHeight="false" outlineLevel="0" collapsed="false">
      <c r="A1914" s="6" t="s">
        <v>3937</v>
      </c>
      <c r="B1914" s="6" t="s">
        <v>3938</v>
      </c>
      <c r="C1914" s="6" t="s">
        <v>85</v>
      </c>
      <c r="D1914" s="6" t="n">
        <v>35</v>
      </c>
      <c r="E1914" s="6" t="s">
        <v>81</v>
      </c>
      <c r="F1914" s="6" t="s">
        <v>82</v>
      </c>
      <c r="G1914" s="26" t="n">
        <v>46101</v>
      </c>
      <c r="H1914" s="6" t="s">
        <v>92</v>
      </c>
      <c r="I1914" s="26" t="n">
        <f aca="false">_xlfn.MINIFS(Transaction!$C$2:$C$8421,Transaction!$B$2:$B$8421,A1914)</f>
        <v>46134</v>
      </c>
      <c r="J1914" s="26" t="n">
        <f aca="false">_xlfn.MAXIFS(Transaction!$C$2:$C$8421,Transaction!$B$2:$B$8421,A1914)</f>
        <v>46134</v>
      </c>
      <c r="K1914" s="6" t="n">
        <f aca="false">COUNTIF(Transaction!$B$2:$B$8421,A1914)</f>
        <v>1</v>
      </c>
      <c r="L1914" s="10" t="n">
        <f aca="false">SUMIF(Transaction!$B$2:$B$8421,A1914,Transaction!$H$2:$H$8421)</f>
        <v>390</v>
      </c>
      <c r="M1914" s="6" t="n">
        <f aca="false">Summary!$B$3-J1914</f>
        <v>132</v>
      </c>
      <c r="N1914" s="6" t="str">
        <f aca="false">IF(K1914&gt;1,"Yes","No")</f>
        <v>No</v>
      </c>
      <c r="O1914" s="6" t="s">
        <v>48</v>
      </c>
    </row>
    <row r="1915" customFormat="false" ht="15" hidden="false" customHeight="false" outlineLevel="0" collapsed="false">
      <c r="A1915" s="6" t="s">
        <v>3939</v>
      </c>
      <c r="B1915" s="6" t="s">
        <v>3940</v>
      </c>
      <c r="C1915" s="6" t="s">
        <v>75</v>
      </c>
      <c r="D1915" s="6" t="n">
        <v>48</v>
      </c>
      <c r="E1915" s="6" t="s">
        <v>76</v>
      </c>
      <c r="F1915" s="6" t="s">
        <v>77</v>
      </c>
      <c r="G1915" s="26" t="n">
        <v>46005</v>
      </c>
      <c r="H1915" s="6" t="s">
        <v>123</v>
      </c>
      <c r="I1915" s="26" t="n">
        <f aca="false">_xlfn.MINIFS(Transaction!$C$2:$C$8421,Transaction!$B$2:$B$8421,A1915)</f>
        <v>46086</v>
      </c>
      <c r="J1915" s="26" t="n">
        <f aca="false">_xlfn.MAXIFS(Transaction!$C$2:$C$8421,Transaction!$B$2:$B$8421,A1915)</f>
        <v>46086</v>
      </c>
      <c r="K1915" s="6" t="n">
        <f aca="false">COUNTIF(Transaction!$B$2:$B$8421,A1915)</f>
        <v>1</v>
      </c>
      <c r="L1915" s="10" t="n">
        <f aca="false">SUMIF(Transaction!$B$2:$B$8421,A1915,Transaction!$H$2:$H$8421)</f>
        <v>1080</v>
      </c>
      <c r="M1915" s="6" t="n">
        <f aca="false">Summary!$B$3-J1915</f>
        <v>180</v>
      </c>
      <c r="N1915" s="6" t="str">
        <f aca="false">IF(K1915&gt;1,"Yes","No")</f>
        <v>No</v>
      </c>
      <c r="O1915" s="6" t="s">
        <v>49</v>
      </c>
    </row>
    <row r="1916" customFormat="false" ht="15" hidden="false" customHeight="false" outlineLevel="0" collapsed="false">
      <c r="A1916" s="6" t="s">
        <v>3941</v>
      </c>
      <c r="B1916" s="6" t="s">
        <v>3942</v>
      </c>
      <c r="C1916" s="6" t="s">
        <v>75</v>
      </c>
      <c r="D1916" s="6" t="n">
        <v>28</v>
      </c>
      <c r="E1916" s="6" t="s">
        <v>91</v>
      </c>
      <c r="F1916" s="6" t="s">
        <v>77</v>
      </c>
      <c r="G1916" s="26" t="n">
        <v>45958</v>
      </c>
      <c r="H1916" s="6" t="s">
        <v>123</v>
      </c>
      <c r="I1916" s="26" t="n">
        <f aca="false">_xlfn.MINIFS(Transaction!$C$2:$C$8421,Transaction!$B$2:$B$8421,A1916)</f>
        <v>46042</v>
      </c>
      <c r="J1916" s="26" t="n">
        <f aca="false">_xlfn.MAXIFS(Transaction!$C$2:$C$8421,Transaction!$B$2:$B$8421,A1916)</f>
        <v>46249</v>
      </c>
      <c r="K1916" s="6" t="n">
        <f aca="false">COUNTIF(Transaction!$B$2:$B$8421,A1916)</f>
        <v>13</v>
      </c>
      <c r="L1916" s="10" t="n">
        <f aca="false">SUMIF(Transaction!$B$2:$B$8421,A1916,Transaction!$H$2:$H$8421)</f>
        <v>29033</v>
      </c>
      <c r="M1916" s="6" t="n">
        <f aca="false">Summary!$B$3-J1916</f>
        <v>17</v>
      </c>
      <c r="N1916" s="6" t="str">
        <f aca="false">IF(K1916&gt;1,"Yes","No")</f>
        <v>Yes</v>
      </c>
      <c r="O1916" s="6" t="s">
        <v>45</v>
      </c>
    </row>
    <row r="1917" customFormat="false" ht="15" hidden="false" customHeight="false" outlineLevel="0" collapsed="false">
      <c r="A1917" s="6" t="s">
        <v>3943</v>
      </c>
      <c r="B1917" s="6" t="s">
        <v>3944</v>
      </c>
      <c r="C1917" s="6" t="s">
        <v>85</v>
      </c>
      <c r="D1917" s="6" t="n">
        <v>25</v>
      </c>
      <c r="E1917" s="6" t="s">
        <v>180</v>
      </c>
      <c r="F1917" s="6" t="s">
        <v>181</v>
      </c>
      <c r="G1917" s="26" t="n">
        <v>45976</v>
      </c>
      <c r="H1917" s="6" t="s">
        <v>115</v>
      </c>
      <c r="I1917" s="26" t="n">
        <f aca="false">_xlfn.MINIFS(Transaction!$C$2:$C$8421,Transaction!$B$2:$B$8421,A1917)</f>
        <v>46040</v>
      </c>
      <c r="J1917" s="26" t="n">
        <f aca="false">_xlfn.MAXIFS(Transaction!$C$2:$C$8421,Transaction!$B$2:$B$8421,A1917)</f>
        <v>46256</v>
      </c>
      <c r="K1917" s="6" t="n">
        <f aca="false">COUNTIF(Transaction!$B$2:$B$8421,A1917)</f>
        <v>11</v>
      </c>
      <c r="L1917" s="10" t="n">
        <f aca="false">SUMIF(Transaction!$B$2:$B$8421,A1917,Transaction!$H$2:$H$8421)</f>
        <v>16785</v>
      </c>
      <c r="M1917" s="6" t="n">
        <f aca="false">Summary!$B$3-J1917</f>
        <v>10</v>
      </c>
      <c r="N1917" s="6" t="str">
        <f aca="false">IF(K1917&gt;1,"Yes","No")</f>
        <v>Yes</v>
      </c>
      <c r="O1917" s="6" t="s">
        <v>45</v>
      </c>
    </row>
    <row r="1918" customFormat="false" ht="15" hidden="false" customHeight="false" outlineLevel="0" collapsed="false">
      <c r="A1918" s="6" t="s">
        <v>3945</v>
      </c>
      <c r="B1918" s="6" t="s">
        <v>3946</v>
      </c>
      <c r="C1918" s="6" t="s">
        <v>75</v>
      </c>
      <c r="D1918" s="6" t="n">
        <v>31</v>
      </c>
      <c r="E1918" s="6" t="s">
        <v>140</v>
      </c>
      <c r="F1918" s="6" t="s">
        <v>141</v>
      </c>
      <c r="G1918" s="26" t="n">
        <v>46144</v>
      </c>
      <c r="H1918" s="6" t="s">
        <v>115</v>
      </c>
      <c r="I1918" s="26" t="n">
        <f aca="false">_xlfn.MINIFS(Transaction!$C$2:$C$8421,Transaction!$B$2:$B$8421,A1918)</f>
        <v>46166</v>
      </c>
      <c r="J1918" s="26" t="n">
        <f aca="false">_xlfn.MAXIFS(Transaction!$C$2:$C$8421,Transaction!$B$2:$B$8421,A1918)</f>
        <v>46166</v>
      </c>
      <c r="K1918" s="6" t="n">
        <f aca="false">COUNTIF(Transaction!$B$2:$B$8421,A1918)</f>
        <v>1</v>
      </c>
      <c r="L1918" s="10" t="n">
        <f aca="false">SUMIF(Transaction!$B$2:$B$8421,A1918,Transaction!$H$2:$H$8421)</f>
        <v>2948</v>
      </c>
      <c r="M1918" s="6" t="n">
        <f aca="false">Summary!$B$3-J1918</f>
        <v>100</v>
      </c>
      <c r="N1918" s="6" t="str">
        <f aca="false">IF(K1918&gt;1,"Yes","No")</f>
        <v>No</v>
      </c>
      <c r="O1918" s="6" t="s">
        <v>48</v>
      </c>
    </row>
    <row r="1919" customFormat="false" ht="15" hidden="false" customHeight="false" outlineLevel="0" collapsed="false">
      <c r="A1919" s="6" t="s">
        <v>3947</v>
      </c>
      <c r="B1919" s="6" t="s">
        <v>3948</v>
      </c>
      <c r="C1919" s="6" t="s">
        <v>75</v>
      </c>
      <c r="D1919" s="6" t="n">
        <v>20</v>
      </c>
      <c r="E1919" s="6" t="s">
        <v>76</v>
      </c>
      <c r="F1919" s="6" t="s">
        <v>77</v>
      </c>
      <c r="G1919" s="26" t="n">
        <v>46000</v>
      </c>
      <c r="H1919" s="6" t="s">
        <v>88</v>
      </c>
      <c r="I1919" s="26" t="n">
        <f aca="false">_xlfn.MINIFS(Transaction!$C$2:$C$8421,Transaction!$B$2:$B$8421,A1919)</f>
        <v>46049</v>
      </c>
      <c r="J1919" s="26" t="n">
        <f aca="false">_xlfn.MAXIFS(Transaction!$C$2:$C$8421,Transaction!$B$2:$B$8421,A1919)</f>
        <v>46263</v>
      </c>
      <c r="K1919" s="6" t="n">
        <f aca="false">COUNTIF(Transaction!$B$2:$B$8421,A1919)</f>
        <v>8</v>
      </c>
      <c r="L1919" s="10" t="n">
        <f aca="false">SUMIF(Transaction!$B$2:$B$8421,A1919,Transaction!$H$2:$H$8421)</f>
        <v>12196</v>
      </c>
      <c r="M1919" s="6" t="n">
        <f aca="false">Summary!$B$3-J1919</f>
        <v>3</v>
      </c>
      <c r="N1919" s="6" t="str">
        <f aca="false">IF(K1919&gt;1,"Yes","No")</f>
        <v>Yes</v>
      </c>
      <c r="O1919" s="6" t="s">
        <v>45</v>
      </c>
    </row>
    <row r="1920" customFormat="false" ht="15" hidden="false" customHeight="false" outlineLevel="0" collapsed="false">
      <c r="A1920" s="6" t="s">
        <v>3949</v>
      </c>
      <c r="B1920" s="6" t="s">
        <v>3950</v>
      </c>
      <c r="C1920" s="6" t="s">
        <v>75</v>
      </c>
      <c r="D1920" s="6" t="n">
        <v>18</v>
      </c>
      <c r="E1920" s="6" t="s">
        <v>118</v>
      </c>
      <c r="F1920" s="6" t="s">
        <v>77</v>
      </c>
      <c r="G1920" s="26" t="n">
        <v>46059</v>
      </c>
      <c r="H1920" s="6" t="s">
        <v>78</v>
      </c>
      <c r="I1920" s="26" t="n">
        <f aca="false">_xlfn.MINIFS(Transaction!$C$2:$C$8421,Transaction!$B$2:$B$8421,A1920)</f>
        <v>46081</v>
      </c>
      <c r="J1920" s="26" t="n">
        <f aca="false">_xlfn.MAXIFS(Transaction!$C$2:$C$8421,Transaction!$B$2:$B$8421,A1920)</f>
        <v>46182</v>
      </c>
      <c r="K1920" s="6" t="n">
        <f aca="false">COUNTIF(Transaction!$B$2:$B$8421,A1920)</f>
        <v>4</v>
      </c>
      <c r="L1920" s="10" t="n">
        <f aca="false">SUMIF(Transaction!$B$2:$B$8421,A1920,Transaction!$H$2:$H$8421)</f>
        <v>20886</v>
      </c>
      <c r="M1920" s="6" t="n">
        <f aca="false">Summary!$B$3-J1920</f>
        <v>84</v>
      </c>
      <c r="N1920" s="6" t="str">
        <f aca="false">IF(K1920&gt;1,"Yes","No")</f>
        <v>Yes</v>
      </c>
      <c r="O1920" s="6" t="s">
        <v>46</v>
      </c>
    </row>
    <row r="1921" customFormat="false" ht="15" hidden="false" customHeight="false" outlineLevel="0" collapsed="false">
      <c r="A1921" s="6" t="s">
        <v>3951</v>
      </c>
      <c r="B1921" s="6" t="s">
        <v>3952</v>
      </c>
      <c r="C1921" s="6" t="s">
        <v>75</v>
      </c>
      <c r="D1921" s="6" t="n">
        <v>27</v>
      </c>
      <c r="E1921" s="6" t="s">
        <v>95</v>
      </c>
      <c r="F1921" s="6" t="s">
        <v>95</v>
      </c>
      <c r="G1921" s="26" t="n">
        <v>45969</v>
      </c>
      <c r="H1921" s="6" t="s">
        <v>115</v>
      </c>
      <c r="I1921" s="26" t="n">
        <f aca="false">_xlfn.MINIFS(Transaction!$C$2:$C$8421,Transaction!$B$2:$B$8421,A1921)</f>
        <v>46039</v>
      </c>
      <c r="J1921" s="26" t="n">
        <f aca="false">_xlfn.MAXIFS(Transaction!$C$2:$C$8421,Transaction!$B$2:$B$8421,A1921)</f>
        <v>46183</v>
      </c>
      <c r="K1921" s="6" t="n">
        <f aca="false">COUNTIF(Transaction!$B$2:$B$8421,A1921)</f>
        <v>8</v>
      </c>
      <c r="L1921" s="10" t="n">
        <f aca="false">SUMIF(Transaction!$B$2:$B$8421,A1921,Transaction!$H$2:$H$8421)</f>
        <v>11723</v>
      </c>
      <c r="M1921" s="6" t="n">
        <f aca="false">Summary!$B$3-J1921</f>
        <v>83</v>
      </c>
      <c r="N1921" s="6" t="str">
        <f aca="false">IF(K1921&gt;1,"Yes","No")</f>
        <v>Yes</v>
      </c>
      <c r="O1921" s="6" t="s">
        <v>46</v>
      </c>
    </row>
    <row r="1922" customFormat="false" ht="15" hidden="false" customHeight="false" outlineLevel="0" collapsed="false">
      <c r="A1922" s="6" t="s">
        <v>3953</v>
      </c>
      <c r="B1922" s="6" t="s">
        <v>3954</v>
      </c>
      <c r="C1922" s="6" t="s">
        <v>85</v>
      </c>
      <c r="D1922" s="6" t="n">
        <v>45</v>
      </c>
      <c r="E1922" s="6" t="s">
        <v>176</v>
      </c>
      <c r="F1922" s="6" t="s">
        <v>177</v>
      </c>
      <c r="G1922" s="26" t="n">
        <v>46018</v>
      </c>
      <c r="H1922" s="6" t="s">
        <v>88</v>
      </c>
      <c r="I1922" s="26" t="n">
        <f aca="false">_xlfn.MINIFS(Transaction!$C$2:$C$8421,Transaction!$B$2:$B$8421,A1922)</f>
        <v>46023</v>
      </c>
      <c r="J1922" s="26" t="n">
        <f aca="false">_xlfn.MAXIFS(Transaction!$C$2:$C$8421,Transaction!$B$2:$B$8421,A1922)</f>
        <v>46023</v>
      </c>
      <c r="K1922" s="6" t="n">
        <f aca="false">COUNTIF(Transaction!$B$2:$B$8421,A1922)</f>
        <v>1</v>
      </c>
      <c r="L1922" s="10" t="n">
        <f aca="false">SUMIF(Transaction!$B$2:$B$8421,A1922,Transaction!$H$2:$H$8421)</f>
        <v>1768</v>
      </c>
      <c r="M1922" s="6" t="n">
        <f aca="false">Summary!$B$3-J1922</f>
        <v>243</v>
      </c>
      <c r="N1922" s="6" t="str">
        <f aca="false">IF(K1922&gt;1,"Yes","No")</f>
        <v>No</v>
      </c>
      <c r="O1922" s="6" t="s">
        <v>49</v>
      </c>
    </row>
    <row r="1923" customFormat="false" ht="15" hidden="false" customHeight="false" outlineLevel="0" collapsed="false">
      <c r="A1923" s="6" t="s">
        <v>3955</v>
      </c>
      <c r="B1923" s="6" t="s">
        <v>3956</v>
      </c>
      <c r="C1923" s="6" t="s">
        <v>85</v>
      </c>
      <c r="D1923" s="6" t="n">
        <v>47</v>
      </c>
      <c r="E1923" s="6" t="s">
        <v>121</v>
      </c>
      <c r="F1923" s="6" t="s">
        <v>122</v>
      </c>
      <c r="G1923" s="26" t="n">
        <v>46034</v>
      </c>
      <c r="H1923" s="6" t="s">
        <v>78</v>
      </c>
      <c r="I1923" s="26" t="n">
        <f aca="false">_xlfn.MINIFS(Transaction!$C$2:$C$8421,Transaction!$B$2:$B$8421,A1923)</f>
        <v>46060</v>
      </c>
      <c r="J1923" s="26" t="n">
        <f aca="false">_xlfn.MAXIFS(Transaction!$C$2:$C$8421,Transaction!$B$2:$B$8421,A1923)</f>
        <v>46060</v>
      </c>
      <c r="K1923" s="6" t="n">
        <f aca="false">COUNTIF(Transaction!$B$2:$B$8421,A1923)</f>
        <v>1</v>
      </c>
      <c r="L1923" s="10" t="n">
        <f aca="false">SUMIF(Transaction!$B$2:$B$8421,A1923,Transaction!$H$2:$H$8421)</f>
        <v>20395</v>
      </c>
      <c r="M1923" s="6" t="n">
        <f aca="false">Summary!$B$3-J1923</f>
        <v>206</v>
      </c>
      <c r="N1923" s="6" t="str">
        <f aca="false">IF(K1923&gt;1,"Yes","No")</f>
        <v>No</v>
      </c>
      <c r="O1923" s="6" t="s">
        <v>49</v>
      </c>
    </row>
    <row r="1924" customFormat="false" ht="15" hidden="false" customHeight="false" outlineLevel="0" collapsed="false">
      <c r="A1924" s="6" t="s">
        <v>3957</v>
      </c>
      <c r="B1924" s="6" t="s">
        <v>3958</v>
      </c>
      <c r="C1924" s="6" t="s">
        <v>85</v>
      </c>
      <c r="D1924" s="6" t="n">
        <v>35</v>
      </c>
      <c r="E1924" s="6" t="s">
        <v>86</v>
      </c>
      <c r="F1924" s="6" t="s">
        <v>87</v>
      </c>
      <c r="G1924" s="26" t="n">
        <v>45973</v>
      </c>
      <c r="H1924" s="6" t="s">
        <v>123</v>
      </c>
      <c r="I1924" s="26" t="n">
        <f aca="false">_xlfn.MINIFS(Transaction!$C$2:$C$8421,Transaction!$B$2:$B$8421,A1924)</f>
        <v>46057</v>
      </c>
      <c r="J1924" s="26" t="n">
        <f aca="false">_xlfn.MAXIFS(Transaction!$C$2:$C$8421,Transaction!$B$2:$B$8421,A1924)</f>
        <v>46257</v>
      </c>
      <c r="K1924" s="6" t="n">
        <f aca="false">COUNTIF(Transaction!$B$2:$B$8421,A1924)</f>
        <v>7</v>
      </c>
      <c r="L1924" s="10" t="n">
        <f aca="false">SUMIF(Transaction!$B$2:$B$8421,A1924,Transaction!$H$2:$H$8421)</f>
        <v>13863</v>
      </c>
      <c r="M1924" s="6" t="n">
        <f aca="false">Summary!$B$3-J1924</f>
        <v>9</v>
      </c>
      <c r="N1924" s="6" t="str">
        <f aca="false">IF(K1924&gt;1,"Yes","No")</f>
        <v>Yes</v>
      </c>
      <c r="O1924" s="6" t="s">
        <v>45</v>
      </c>
    </row>
    <row r="1925" customFormat="false" ht="15" hidden="false" customHeight="false" outlineLevel="0" collapsed="false">
      <c r="A1925" s="6" t="s">
        <v>3959</v>
      </c>
      <c r="B1925" s="6" t="s">
        <v>3960</v>
      </c>
      <c r="C1925" s="6" t="s">
        <v>75</v>
      </c>
      <c r="D1925" s="6" t="n">
        <v>33</v>
      </c>
      <c r="E1925" s="6" t="s">
        <v>95</v>
      </c>
      <c r="F1925" s="6" t="s">
        <v>95</v>
      </c>
      <c r="G1925" s="26" t="n">
        <v>45992</v>
      </c>
      <c r="H1925" s="6" t="s">
        <v>78</v>
      </c>
      <c r="I1925" s="26" t="n">
        <f aca="false">_xlfn.MINIFS(Transaction!$C$2:$C$8421,Transaction!$B$2:$B$8421,A1925)</f>
        <v>46080</v>
      </c>
      <c r="J1925" s="26" t="n">
        <f aca="false">_xlfn.MAXIFS(Transaction!$C$2:$C$8421,Transaction!$B$2:$B$8421,A1925)</f>
        <v>46234</v>
      </c>
      <c r="K1925" s="6" t="n">
        <f aca="false">COUNTIF(Transaction!$B$2:$B$8421,A1925)</f>
        <v>3</v>
      </c>
      <c r="L1925" s="10" t="n">
        <f aca="false">SUMIF(Transaction!$B$2:$B$8421,A1925,Transaction!$H$2:$H$8421)</f>
        <v>12086</v>
      </c>
      <c r="M1925" s="6" t="n">
        <f aca="false">Summary!$B$3-J1925</f>
        <v>32</v>
      </c>
      <c r="N1925" s="6" t="str">
        <f aca="false">IF(K1925&gt;1,"Yes","No")</f>
        <v>Yes</v>
      </c>
      <c r="O1925" s="6" t="s">
        <v>46</v>
      </c>
    </row>
    <row r="1926" customFormat="false" ht="15" hidden="false" customHeight="false" outlineLevel="0" collapsed="false">
      <c r="A1926" s="6" t="s">
        <v>3961</v>
      </c>
      <c r="B1926" s="6" t="s">
        <v>3962</v>
      </c>
      <c r="C1926" s="6" t="s">
        <v>75</v>
      </c>
      <c r="D1926" s="6" t="n">
        <v>26</v>
      </c>
      <c r="E1926" s="6" t="s">
        <v>81</v>
      </c>
      <c r="F1926" s="6" t="s">
        <v>82</v>
      </c>
      <c r="G1926" s="26" t="n">
        <v>46012</v>
      </c>
      <c r="H1926" s="6" t="s">
        <v>115</v>
      </c>
      <c r="I1926" s="26" t="n">
        <f aca="false">_xlfn.MINIFS(Transaction!$C$2:$C$8421,Transaction!$B$2:$B$8421,A1926)</f>
        <v>46086</v>
      </c>
      <c r="J1926" s="26" t="n">
        <f aca="false">_xlfn.MAXIFS(Transaction!$C$2:$C$8421,Transaction!$B$2:$B$8421,A1926)</f>
        <v>46086</v>
      </c>
      <c r="K1926" s="6" t="n">
        <f aca="false">COUNTIF(Transaction!$B$2:$B$8421,A1926)</f>
        <v>1</v>
      </c>
      <c r="L1926" s="10" t="n">
        <f aca="false">SUMIF(Transaction!$B$2:$B$8421,A1926,Transaction!$H$2:$H$8421)</f>
        <v>5135</v>
      </c>
      <c r="M1926" s="6" t="n">
        <f aca="false">Summary!$B$3-J1926</f>
        <v>180</v>
      </c>
      <c r="N1926" s="6" t="str">
        <f aca="false">IF(K1926&gt;1,"Yes","No")</f>
        <v>No</v>
      </c>
      <c r="O1926" s="6" t="s">
        <v>49</v>
      </c>
    </row>
    <row r="1927" customFormat="false" ht="15" hidden="false" customHeight="false" outlineLevel="0" collapsed="false">
      <c r="A1927" s="6" t="s">
        <v>3963</v>
      </c>
      <c r="B1927" s="6" t="s">
        <v>3964</v>
      </c>
      <c r="C1927" s="6" t="s">
        <v>85</v>
      </c>
      <c r="D1927" s="6" t="n">
        <v>32</v>
      </c>
      <c r="E1927" s="6" t="s">
        <v>95</v>
      </c>
      <c r="F1927" s="6" t="s">
        <v>95</v>
      </c>
      <c r="G1927" s="26" t="n">
        <v>46131</v>
      </c>
      <c r="H1927" s="6" t="s">
        <v>78</v>
      </c>
      <c r="I1927" s="26" t="n">
        <f aca="false">_xlfn.MINIFS(Transaction!$C$2:$C$8421,Transaction!$B$2:$B$8421,A1927)</f>
        <v>46195</v>
      </c>
      <c r="J1927" s="26" t="n">
        <f aca="false">_xlfn.MAXIFS(Transaction!$C$2:$C$8421,Transaction!$B$2:$B$8421,A1927)</f>
        <v>46195</v>
      </c>
      <c r="K1927" s="6" t="n">
        <f aca="false">COUNTIF(Transaction!$B$2:$B$8421,A1927)</f>
        <v>1</v>
      </c>
      <c r="L1927" s="10" t="n">
        <f aca="false">SUMIF(Transaction!$B$2:$B$8421,A1927,Transaction!$H$2:$H$8421)</f>
        <v>1068</v>
      </c>
      <c r="M1927" s="6" t="n">
        <f aca="false">Summary!$B$3-J1927</f>
        <v>71</v>
      </c>
      <c r="N1927" s="6" t="str">
        <f aca="false">IF(K1927&gt;1,"Yes","No")</f>
        <v>No</v>
      </c>
      <c r="O1927" s="6" t="s">
        <v>47</v>
      </c>
    </row>
    <row r="1928" customFormat="false" ht="15" hidden="false" customHeight="false" outlineLevel="0" collapsed="false">
      <c r="A1928" s="6" t="s">
        <v>3965</v>
      </c>
      <c r="B1928" s="6" t="s">
        <v>3966</v>
      </c>
      <c r="C1928" s="6" t="s">
        <v>85</v>
      </c>
      <c r="D1928" s="6" t="n">
        <v>36</v>
      </c>
      <c r="E1928" s="6" t="s">
        <v>206</v>
      </c>
      <c r="F1928" s="6" t="s">
        <v>106</v>
      </c>
      <c r="G1928" s="26" t="n">
        <v>45949</v>
      </c>
      <c r="H1928" s="6" t="s">
        <v>115</v>
      </c>
      <c r="I1928" s="26" t="n">
        <f aca="false">_xlfn.MINIFS(Transaction!$C$2:$C$8421,Transaction!$B$2:$B$8421,A1928)</f>
        <v>46034</v>
      </c>
      <c r="J1928" s="26" t="n">
        <f aca="false">_xlfn.MAXIFS(Transaction!$C$2:$C$8421,Transaction!$B$2:$B$8421,A1928)</f>
        <v>46034</v>
      </c>
      <c r="K1928" s="6" t="n">
        <f aca="false">COUNTIF(Transaction!$B$2:$B$8421,A1928)</f>
        <v>1</v>
      </c>
      <c r="L1928" s="10" t="n">
        <f aca="false">SUMIF(Transaction!$B$2:$B$8421,A1928,Transaction!$H$2:$H$8421)</f>
        <v>703</v>
      </c>
      <c r="M1928" s="6" t="n">
        <f aca="false">Summary!$B$3-J1928</f>
        <v>232</v>
      </c>
      <c r="N1928" s="6" t="str">
        <f aca="false">IF(K1928&gt;1,"Yes","No")</f>
        <v>No</v>
      </c>
      <c r="O1928" s="6" t="s">
        <v>49</v>
      </c>
    </row>
    <row r="1929" customFormat="false" ht="15" hidden="false" customHeight="false" outlineLevel="0" collapsed="false">
      <c r="A1929" s="6" t="s">
        <v>3967</v>
      </c>
      <c r="B1929" s="6" t="s">
        <v>3968</v>
      </c>
      <c r="C1929" s="6" t="s">
        <v>75</v>
      </c>
      <c r="D1929" s="6" t="n">
        <v>42</v>
      </c>
      <c r="E1929" s="6" t="s">
        <v>95</v>
      </c>
      <c r="F1929" s="6" t="s">
        <v>95</v>
      </c>
      <c r="G1929" s="26" t="n">
        <v>46204</v>
      </c>
      <c r="H1929" s="6" t="s">
        <v>78</v>
      </c>
      <c r="I1929" s="26" t="n">
        <f aca="false">_xlfn.MINIFS(Transaction!$C$2:$C$8421,Transaction!$B$2:$B$8421,A1929)</f>
        <v>46231</v>
      </c>
      <c r="J1929" s="26" t="n">
        <f aca="false">_xlfn.MAXIFS(Transaction!$C$2:$C$8421,Transaction!$B$2:$B$8421,A1929)</f>
        <v>46231</v>
      </c>
      <c r="K1929" s="6" t="n">
        <f aca="false">COUNTIF(Transaction!$B$2:$B$8421,A1929)</f>
        <v>1</v>
      </c>
      <c r="L1929" s="10" t="n">
        <f aca="false">SUMIF(Transaction!$B$2:$B$8421,A1929,Transaction!$H$2:$H$8421)</f>
        <v>1761</v>
      </c>
      <c r="M1929" s="6" t="n">
        <f aca="false">Summary!$B$3-J1929</f>
        <v>35</v>
      </c>
      <c r="N1929" s="6" t="str">
        <f aca="false">IF(K1929&gt;1,"Yes","No")</f>
        <v>No</v>
      </c>
      <c r="O1929" s="6" t="s">
        <v>47</v>
      </c>
    </row>
    <row r="1930" customFormat="false" ht="15" hidden="false" customHeight="false" outlineLevel="0" collapsed="false">
      <c r="A1930" s="6" t="s">
        <v>3969</v>
      </c>
      <c r="B1930" s="6" t="s">
        <v>3970</v>
      </c>
      <c r="C1930" s="6" t="s">
        <v>75</v>
      </c>
      <c r="D1930" s="6" t="n">
        <v>46</v>
      </c>
      <c r="E1930" s="6" t="s">
        <v>134</v>
      </c>
      <c r="F1930" s="6" t="s">
        <v>135</v>
      </c>
      <c r="G1930" s="26" t="n">
        <v>46156</v>
      </c>
      <c r="H1930" s="6" t="s">
        <v>123</v>
      </c>
      <c r="I1930" s="26" t="n">
        <f aca="false">_xlfn.MINIFS(Transaction!$C$2:$C$8421,Transaction!$B$2:$B$8421,A1930)</f>
        <v>46237</v>
      </c>
      <c r="J1930" s="26" t="n">
        <f aca="false">_xlfn.MAXIFS(Transaction!$C$2:$C$8421,Transaction!$B$2:$B$8421,A1930)</f>
        <v>46237</v>
      </c>
      <c r="K1930" s="6" t="n">
        <f aca="false">COUNTIF(Transaction!$B$2:$B$8421,A1930)</f>
        <v>1</v>
      </c>
      <c r="L1930" s="10" t="n">
        <f aca="false">SUMIF(Transaction!$B$2:$B$8421,A1930,Transaction!$H$2:$H$8421)</f>
        <v>3439</v>
      </c>
      <c r="M1930" s="6" t="n">
        <f aca="false">Summary!$B$3-J1930</f>
        <v>29</v>
      </c>
      <c r="N1930" s="6" t="str">
        <f aca="false">IF(K1930&gt;1,"Yes","No")</f>
        <v>No</v>
      </c>
      <c r="O1930" s="6" t="s">
        <v>47</v>
      </c>
    </row>
    <row r="1931" customFormat="false" ht="15" hidden="false" customHeight="false" outlineLevel="0" collapsed="false">
      <c r="A1931" s="6" t="s">
        <v>3971</v>
      </c>
      <c r="B1931" s="6" t="s">
        <v>3972</v>
      </c>
      <c r="C1931" s="6" t="s">
        <v>75</v>
      </c>
      <c r="D1931" s="6" t="n">
        <v>33</v>
      </c>
      <c r="E1931" s="6" t="s">
        <v>76</v>
      </c>
      <c r="F1931" s="6" t="s">
        <v>77</v>
      </c>
      <c r="G1931" s="26" t="n">
        <v>46119</v>
      </c>
      <c r="H1931" s="6" t="s">
        <v>78</v>
      </c>
      <c r="I1931" s="26" t="n">
        <f aca="false">_xlfn.MINIFS(Transaction!$C$2:$C$8421,Transaction!$B$2:$B$8421,A1931)</f>
        <v>46120</v>
      </c>
      <c r="J1931" s="26" t="n">
        <f aca="false">_xlfn.MAXIFS(Transaction!$C$2:$C$8421,Transaction!$B$2:$B$8421,A1931)</f>
        <v>46120</v>
      </c>
      <c r="K1931" s="6" t="n">
        <f aca="false">COUNTIF(Transaction!$B$2:$B$8421,A1931)</f>
        <v>1</v>
      </c>
      <c r="L1931" s="10" t="n">
        <f aca="false">SUMIF(Transaction!$B$2:$B$8421,A1931,Transaction!$H$2:$H$8421)</f>
        <v>2346</v>
      </c>
      <c r="M1931" s="6" t="n">
        <f aca="false">Summary!$B$3-J1931</f>
        <v>146</v>
      </c>
      <c r="N1931" s="6" t="str">
        <f aca="false">IF(K1931&gt;1,"Yes","No")</f>
        <v>No</v>
      </c>
      <c r="O1931" s="6" t="s">
        <v>48</v>
      </c>
    </row>
    <row r="1932" customFormat="false" ht="15" hidden="false" customHeight="false" outlineLevel="0" collapsed="false">
      <c r="A1932" s="6" t="s">
        <v>3973</v>
      </c>
      <c r="B1932" s="6" t="s">
        <v>3974</v>
      </c>
      <c r="C1932" s="6" t="s">
        <v>75</v>
      </c>
      <c r="D1932" s="6" t="n">
        <v>27</v>
      </c>
      <c r="E1932" s="6" t="s">
        <v>121</v>
      </c>
      <c r="F1932" s="6" t="s">
        <v>122</v>
      </c>
      <c r="G1932" s="26" t="n">
        <v>46175</v>
      </c>
      <c r="H1932" s="6" t="s">
        <v>102</v>
      </c>
      <c r="I1932" s="26" t="n">
        <f aca="false">_xlfn.MINIFS(Transaction!$C$2:$C$8421,Transaction!$B$2:$B$8421,A1932)</f>
        <v>46234</v>
      </c>
      <c r="J1932" s="26" t="n">
        <f aca="false">_xlfn.MAXIFS(Transaction!$C$2:$C$8421,Transaction!$B$2:$B$8421,A1932)</f>
        <v>46234</v>
      </c>
      <c r="K1932" s="6" t="n">
        <f aca="false">COUNTIF(Transaction!$B$2:$B$8421,A1932)</f>
        <v>1</v>
      </c>
      <c r="L1932" s="10" t="n">
        <f aca="false">SUMIF(Transaction!$B$2:$B$8421,A1932,Transaction!$H$2:$H$8421)</f>
        <v>3027</v>
      </c>
      <c r="M1932" s="6" t="n">
        <f aca="false">Summary!$B$3-J1932</f>
        <v>32</v>
      </c>
      <c r="N1932" s="6" t="str">
        <f aca="false">IF(K1932&gt;1,"Yes","No")</f>
        <v>No</v>
      </c>
      <c r="O1932" s="6" t="s">
        <v>47</v>
      </c>
    </row>
    <row r="1933" customFormat="false" ht="15" hidden="false" customHeight="false" outlineLevel="0" collapsed="false">
      <c r="A1933" s="6" t="s">
        <v>3975</v>
      </c>
      <c r="B1933" s="6" t="s">
        <v>3976</v>
      </c>
      <c r="C1933" s="6" t="s">
        <v>75</v>
      </c>
      <c r="D1933" s="6" t="n">
        <v>26</v>
      </c>
      <c r="E1933" s="6" t="s">
        <v>98</v>
      </c>
      <c r="F1933" s="6" t="s">
        <v>99</v>
      </c>
      <c r="G1933" s="26" t="n">
        <v>45941</v>
      </c>
      <c r="H1933" s="6" t="s">
        <v>102</v>
      </c>
      <c r="I1933" s="26" t="n">
        <f aca="false">_xlfn.MINIFS(Transaction!$C$2:$C$8421,Transaction!$B$2:$B$8421,A1933)</f>
        <v>46026</v>
      </c>
      <c r="J1933" s="26" t="n">
        <f aca="false">_xlfn.MAXIFS(Transaction!$C$2:$C$8421,Transaction!$B$2:$B$8421,A1933)</f>
        <v>46184</v>
      </c>
      <c r="K1933" s="6" t="n">
        <f aca="false">COUNTIF(Transaction!$B$2:$B$8421,A1933)</f>
        <v>5</v>
      </c>
      <c r="L1933" s="10" t="n">
        <f aca="false">SUMIF(Transaction!$B$2:$B$8421,A1933,Transaction!$H$2:$H$8421)</f>
        <v>6013</v>
      </c>
      <c r="M1933" s="6" t="n">
        <f aca="false">Summary!$B$3-J1933</f>
        <v>82</v>
      </c>
      <c r="N1933" s="6" t="str">
        <f aca="false">IF(K1933&gt;1,"Yes","No")</f>
        <v>Yes</v>
      </c>
      <c r="O1933" s="6" t="s">
        <v>46</v>
      </c>
    </row>
    <row r="1934" customFormat="false" ht="15" hidden="false" customHeight="false" outlineLevel="0" collapsed="false">
      <c r="A1934" s="6" t="s">
        <v>3977</v>
      </c>
      <c r="B1934" s="6" t="s">
        <v>3978</v>
      </c>
      <c r="C1934" s="6" t="s">
        <v>85</v>
      </c>
      <c r="D1934" s="6" t="n">
        <v>22</v>
      </c>
      <c r="E1934" s="6" t="s">
        <v>176</v>
      </c>
      <c r="F1934" s="6" t="s">
        <v>177</v>
      </c>
      <c r="G1934" s="26" t="n">
        <v>46013</v>
      </c>
      <c r="H1934" s="6" t="s">
        <v>88</v>
      </c>
      <c r="I1934" s="26" t="n">
        <f aca="false">_xlfn.MINIFS(Transaction!$C$2:$C$8421,Transaction!$B$2:$B$8421,A1934)</f>
        <v>46097</v>
      </c>
      <c r="J1934" s="26" t="n">
        <f aca="false">_xlfn.MAXIFS(Transaction!$C$2:$C$8421,Transaction!$B$2:$B$8421,A1934)</f>
        <v>46265</v>
      </c>
      <c r="K1934" s="6" t="n">
        <f aca="false">COUNTIF(Transaction!$B$2:$B$8421,A1934)</f>
        <v>7</v>
      </c>
      <c r="L1934" s="10" t="n">
        <f aca="false">SUMIF(Transaction!$B$2:$B$8421,A1934,Transaction!$H$2:$H$8421)</f>
        <v>32985</v>
      </c>
      <c r="M1934" s="6" t="n">
        <f aca="false">Summary!$B$3-J1934</f>
        <v>1</v>
      </c>
      <c r="N1934" s="6" t="str">
        <f aca="false">IF(K1934&gt;1,"Yes","No")</f>
        <v>Yes</v>
      </c>
      <c r="O1934" s="6" t="s">
        <v>45</v>
      </c>
    </row>
    <row r="1935" customFormat="false" ht="15" hidden="false" customHeight="false" outlineLevel="0" collapsed="false">
      <c r="A1935" s="6" t="s">
        <v>3979</v>
      </c>
      <c r="B1935" s="6" t="s">
        <v>3980</v>
      </c>
      <c r="C1935" s="6" t="s">
        <v>85</v>
      </c>
      <c r="D1935" s="6" t="n">
        <v>36</v>
      </c>
      <c r="E1935" s="6" t="s">
        <v>76</v>
      </c>
      <c r="F1935" s="6" t="s">
        <v>77</v>
      </c>
      <c r="G1935" s="26" t="n">
        <v>46196</v>
      </c>
      <c r="H1935" s="6" t="s">
        <v>102</v>
      </c>
      <c r="I1935" s="26" t="n">
        <f aca="false">_xlfn.MINIFS(Transaction!$C$2:$C$8421,Transaction!$B$2:$B$8421,A1935)</f>
        <v>46235</v>
      </c>
      <c r="J1935" s="26" t="n">
        <f aca="false">_xlfn.MAXIFS(Transaction!$C$2:$C$8421,Transaction!$B$2:$B$8421,A1935)</f>
        <v>46235</v>
      </c>
      <c r="K1935" s="6" t="n">
        <f aca="false">COUNTIF(Transaction!$B$2:$B$8421,A1935)</f>
        <v>1</v>
      </c>
      <c r="L1935" s="10" t="n">
        <f aca="false">SUMIF(Transaction!$B$2:$B$8421,A1935,Transaction!$H$2:$H$8421)</f>
        <v>880</v>
      </c>
      <c r="M1935" s="6" t="n">
        <f aca="false">Summary!$B$3-J1935</f>
        <v>31</v>
      </c>
      <c r="N1935" s="6" t="str">
        <f aca="false">IF(K1935&gt;1,"Yes","No")</f>
        <v>No</v>
      </c>
      <c r="O1935" s="6" t="s">
        <v>47</v>
      </c>
    </row>
    <row r="1936" customFormat="false" ht="15" hidden="false" customHeight="false" outlineLevel="0" collapsed="false">
      <c r="A1936" s="6" t="s">
        <v>3981</v>
      </c>
      <c r="B1936" s="6" t="s">
        <v>3982</v>
      </c>
      <c r="C1936" s="6" t="s">
        <v>85</v>
      </c>
      <c r="D1936" s="6" t="n">
        <v>33</v>
      </c>
      <c r="E1936" s="6" t="s">
        <v>81</v>
      </c>
      <c r="F1936" s="6" t="s">
        <v>82</v>
      </c>
      <c r="G1936" s="26" t="n">
        <v>46174</v>
      </c>
      <c r="H1936" s="6" t="s">
        <v>123</v>
      </c>
      <c r="I1936" s="26" t="n">
        <f aca="false">_xlfn.MINIFS(Transaction!$C$2:$C$8421,Transaction!$B$2:$B$8421,A1936)</f>
        <v>46212</v>
      </c>
      <c r="J1936" s="26" t="n">
        <f aca="false">_xlfn.MAXIFS(Transaction!$C$2:$C$8421,Transaction!$B$2:$B$8421,A1936)</f>
        <v>46212</v>
      </c>
      <c r="K1936" s="6" t="n">
        <f aca="false">COUNTIF(Transaction!$B$2:$B$8421,A1936)</f>
        <v>1</v>
      </c>
      <c r="L1936" s="10" t="n">
        <f aca="false">SUMIF(Transaction!$B$2:$B$8421,A1936,Transaction!$H$2:$H$8421)</f>
        <v>1191</v>
      </c>
      <c r="M1936" s="6" t="n">
        <f aca="false">Summary!$B$3-J1936</f>
        <v>54</v>
      </c>
      <c r="N1936" s="6" t="str">
        <f aca="false">IF(K1936&gt;1,"Yes","No")</f>
        <v>No</v>
      </c>
      <c r="O1936" s="6" t="s">
        <v>47</v>
      </c>
    </row>
    <row r="1937" customFormat="false" ht="15" hidden="false" customHeight="false" outlineLevel="0" collapsed="false">
      <c r="A1937" s="6" t="s">
        <v>3983</v>
      </c>
      <c r="B1937" s="6" t="s">
        <v>3984</v>
      </c>
      <c r="C1937" s="6" t="s">
        <v>75</v>
      </c>
      <c r="D1937" s="6" t="n">
        <v>31</v>
      </c>
      <c r="E1937" s="6" t="s">
        <v>321</v>
      </c>
      <c r="F1937" s="6" t="s">
        <v>321</v>
      </c>
      <c r="G1937" s="26" t="n">
        <v>46121</v>
      </c>
      <c r="H1937" s="6" t="s">
        <v>102</v>
      </c>
      <c r="I1937" s="26" t="n">
        <f aca="false">_xlfn.MINIFS(Transaction!$C$2:$C$8421,Transaction!$B$2:$B$8421,A1937)</f>
        <v>46130</v>
      </c>
      <c r="J1937" s="26" t="n">
        <f aca="false">_xlfn.MAXIFS(Transaction!$C$2:$C$8421,Transaction!$B$2:$B$8421,A1937)</f>
        <v>46130</v>
      </c>
      <c r="K1937" s="6" t="n">
        <f aca="false">COUNTIF(Transaction!$B$2:$B$8421,A1937)</f>
        <v>1</v>
      </c>
      <c r="L1937" s="10" t="n">
        <f aca="false">SUMIF(Transaction!$B$2:$B$8421,A1937,Transaction!$H$2:$H$8421)</f>
        <v>330</v>
      </c>
      <c r="M1937" s="6" t="n">
        <f aca="false">Summary!$B$3-J1937</f>
        <v>136</v>
      </c>
      <c r="N1937" s="6" t="str">
        <f aca="false">IF(K1937&gt;1,"Yes","No")</f>
        <v>No</v>
      </c>
      <c r="O1937" s="6" t="s">
        <v>48</v>
      </c>
    </row>
    <row r="1938" customFormat="false" ht="15" hidden="false" customHeight="false" outlineLevel="0" collapsed="false">
      <c r="A1938" s="6" t="s">
        <v>3985</v>
      </c>
      <c r="B1938" s="6" t="s">
        <v>3986</v>
      </c>
      <c r="C1938" s="6" t="s">
        <v>85</v>
      </c>
      <c r="D1938" s="6" t="n">
        <v>37</v>
      </c>
      <c r="E1938" s="6" t="s">
        <v>98</v>
      </c>
      <c r="F1938" s="6" t="s">
        <v>99</v>
      </c>
      <c r="G1938" s="26" t="n">
        <v>45959</v>
      </c>
      <c r="H1938" s="6" t="s">
        <v>78</v>
      </c>
      <c r="I1938" s="26" t="n">
        <f aca="false">_xlfn.MINIFS(Transaction!$C$2:$C$8421,Transaction!$B$2:$B$8421,A1938)</f>
        <v>46032</v>
      </c>
      <c r="J1938" s="26" t="n">
        <f aca="false">_xlfn.MAXIFS(Transaction!$C$2:$C$8421,Transaction!$B$2:$B$8421,A1938)</f>
        <v>46252</v>
      </c>
      <c r="K1938" s="6" t="n">
        <f aca="false">COUNTIF(Transaction!$B$2:$B$8421,A1938)</f>
        <v>8</v>
      </c>
      <c r="L1938" s="10" t="n">
        <f aca="false">SUMIF(Transaction!$B$2:$B$8421,A1938,Transaction!$H$2:$H$8421)</f>
        <v>10130</v>
      </c>
      <c r="M1938" s="6" t="n">
        <f aca="false">Summary!$B$3-J1938</f>
        <v>14</v>
      </c>
      <c r="N1938" s="6" t="str">
        <f aca="false">IF(K1938&gt;1,"Yes","No")</f>
        <v>Yes</v>
      </c>
      <c r="O1938" s="6" t="s">
        <v>46</v>
      </c>
    </row>
    <row r="1939" customFormat="false" ht="15" hidden="false" customHeight="false" outlineLevel="0" collapsed="false">
      <c r="A1939" s="6" t="s">
        <v>3987</v>
      </c>
      <c r="B1939" s="6" t="s">
        <v>3988</v>
      </c>
      <c r="C1939" s="6" t="s">
        <v>75</v>
      </c>
      <c r="D1939" s="6" t="n">
        <v>18</v>
      </c>
      <c r="E1939" s="6" t="s">
        <v>86</v>
      </c>
      <c r="F1939" s="6" t="s">
        <v>87</v>
      </c>
      <c r="G1939" s="26" t="n">
        <v>46009</v>
      </c>
      <c r="H1939" s="6" t="s">
        <v>102</v>
      </c>
      <c r="I1939" s="26" t="n">
        <f aca="false">_xlfn.MINIFS(Transaction!$C$2:$C$8421,Transaction!$B$2:$B$8421,A1939)</f>
        <v>46030</v>
      </c>
      <c r="J1939" s="26" t="n">
        <f aca="false">_xlfn.MAXIFS(Transaction!$C$2:$C$8421,Transaction!$B$2:$B$8421,A1939)</f>
        <v>46252</v>
      </c>
      <c r="K1939" s="6" t="n">
        <f aca="false">COUNTIF(Transaction!$B$2:$B$8421,A1939)</f>
        <v>8</v>
      </c>
      <c r="L1939" s="10" t="n">
        <f aca="false">SUMIF(Transaction!$B$2:$B$8421,A1939,Transaction!$H$2:$H$8421)</f>
        <v>11376</v>
      </c>
      <c r="M1939" s="6" t="n">
        <f aca="false">Summary!$B$3-J1939</f>
        <v>14</v>
      </c>
      <c r="N1939" s="6" t="str">
        <f aca="false">IF(K1939&gt;1,"Yes","No")</f>
        <v>Yes</v>
      </c>
      <c r="O1939" s="6" t="s">
        <v>45</v>
      </c>
    </row>
    <row r="1940" customFormat="false" ht="15" hidden="false" customHeight="false" outlineLevel="0" collapsed="false">
      <c r="A1940" s="6" t="s">
        <v>3989</v>
      </c>
      <c r="B1940" s="6" t="s">
        <v>3990</v>
      </c>
      <c r="C1940" s="6" t="s">
        <v>75</v>
      </c>
      <c r="D1940" s="6" t="n">
        <v>30</v>
      </c>
      <c r="E1940" s="6" t="s">
        <v>76</v>
      </c>
      <c r="F1940" s="6" t="s">
        <v>77</v>
      </c>
      <c r="G1940" s="26" t="n">
        <v>46193</v>
      </c>
      <c r="H1940" s="6" t="s">
        <v>115</v>
      </c>
      <c r="I1940" s="26" t="n">
        <f aca="false">_xlfn.MINIFS(Transaction!$C$2:$C$8421,Transaction!$B$2:$B$8421,A1940)</f>
        <v>46218</v>
      </c>
      <c r="J1940" s="26" t="n">
        <f aca="false">_xlfn.MAXIFS(Transaction!$C$2:$C$8421,Transaction!$B$2:$B$8421,A1940)</f>
        <v>46218</v>
      </c>
      <c r="K1940" s="6" t="n">
        <f aca="false">COUNTIF(Transaction!$B$2:$B$8421,A1940)</f>
        <v>1</v>
      </c>
      <c r="L1940" s="10" t="n">
        <f aca="false">SUMIF(Transaction!$B$2:$B$8421,A1940,Transaction!$H$2:$H$8421)</f>
        <v>1060</v>
      </c>
      <c r="M1940" s="6" t="n">
        <f aca="false">Summary!$B$3-J1940</f>
        <v>48</v>
      </c>
      <c r="N1940" s="6" t="str">
        <f aca="false">IF(K1940&gt;1,"Yes","No")</f>
        <v>No</v>
      </c>
      <c r="O1940" s="6" t="s">
        <v>47</v>
      </c>
    </row>
    <row r="1941" customFormat="false" ht="15" hidden="false" customHeight="false" outlineLevel="0" collapsed="false">
      <c r="A1941" s="6" t="s">
        <v>3991</v>
      </c>
      <c r="B1941" s="6" t="s">
        <v>3992</v>
      </c>
      <c r="C1941" s="6" t="s">
        <v>75</v>
      </c>
      <c r="D1941" s="6" t="n">
        <v>35</v>
      </c>
      <c r="E1941" s="6" t="s">
        <v>176</v>
      </c>
      <c r="F1941" s="6" t="s">
        <v>177</v>
      </c>
      <c r="G1941" s="26" t="n">
        <v>46034</v>
      </c>
      <c r="H1941" s="6" t="s">
        <v>78</v>
      </c>
      <c r="I1941" s="26" t="n">
        <f aca="false">_xlfn.MINIFS(Transaction!$C$2:$C$8421,Transaction!$B$2:$B$8421,A1941)</f>
        <v>46057</v>
      </c>
      <c r="J1941" s="26" t="n">
        <f aca="false">_xlfn.MAXIFS(Transaction!$C$2:$C$8421,Transaction!$B$2:$B$8421,A1941)</f>
        <v>46248</v>
      </c>
      <c r="K1941" s="6" t="n">
        <f aca="false">COUNTIF(Transaction!$B$2:$B$8421,A1941)</f>
        <v>8</v>
      </c>
      <c r="L1941" s="10" t="n">
        <f aca="false">SUMIF(Transaction!$B$2:$B$8421,A1941,Transaction!$H$2:$H$8421)</f>
        <v>16563</v>
      </c>
      <c r="M1941" s="6" t="n">
        <f aca="false">Summary!$B$3-J1941</f>
        <v>18</v>
      </c>
      <c r="N1941" s="6" t="str">
        <f aca="false">IF(K1941&gt;1,"Yes","No")</f>
        <v>Yes</v>
      </c>
      <c r="O1941" s="6" t="s">
        <v>45</v>
      </c>
    </row>
    <row r="1942" customFormat="false" ht="15" hidden="false" customHeight="false" outlineLevel="0" collapsed="false">
      <c r="A1942" s="6" t="s">
        <v>3993</v>
      </c>
      <c r="B1942" s="6" t="s">
        <v>3994</v>
      </c>
      <c r="C1942" s="6" t="s">
        <v>75</v>
      </c>
      <c r="D1942" s="6" t="n">
        <v>26</v>
      </c>
      <c r="E1942" s="6" t="s">
        <v>76</v>
      </c>
      <c r="F1942" s="6" t="s">
        <v>77</v>
      </c>
      <c r="G1942" s="26" t="n">
        <v>46034</v>
      </c>
      <c r="H1942" s="6" t="s">
        <v>115</v>
      </c>
      <c r="I1942" s="26" t="n">
        <f aca="false">_xlfn.MINIFS(Transaction!$C$2:$C$8421,Transaction!$B$2:$B$8421,A1942)</f>
        <v>46061</v>
      </c>
      <c r="J1942" s="26" t="n">
        <f aca="false">_xlfn.MAXIFS(Transaction!$C$2:$C$8421,Transaction!$B$2:$B$8421,A1942)</f>
        <v>46184</v>
      </c>
      <c r="K1942" s="6" t="n">
        <f aca="false">COUNTIF(Transaction!$B$2:$B$8421,A1942)</f>
        <v>3</v>
      </c>
      <c r="L1942" s="10" t="n">
        <f aca="false">SUMIF(Transaction!$B$2:$B$8421,A1942,Transaction!$H$2:$H$8421)</f>
        <v>3777</v>
      </c>
      <c r="M1942" s="6" t="n">
        <f aca="false">Summary!$B$3-J1942</f>
        <v>82</v>
      </c>
      <c r="N1942" s="6" t="str">
        <f aca="false">IF(K1942&gt;1,"Yes","No")</f>
        <v>Yes</v>
      </c>
      <c r="O1942" s="6" t="s">
        <v>46</v>
      </c>
    </row>
    <row r="1943" customFormat="false" ht="15" hidden="false" customHeight="false" outlineLevel="0" collapsed="false">
      <c r="A1943" s="6" t="s">
        <v>3995</v>
      </c>
      <c r="B1943" s="6" t="s">
        <v>3996</v>
      </c>
      <c r="C1943" s="6" t="s">
        <v>85</v>
      </c>
      <c r="D1943" s="6" t="n">
        <v>19</v>
      </c>
      <c r="E1943" s="6" t="s">
        <v>76</v>
      </c>
      <c r="F1943" s="6" t="s">
        <v>77</v>
      </c>
      <c r="G1943" s="26" t="n">
        <v>46203</v>
      </c>
      <c r="H1943" s="6" t="s">
        <v>123</v>
      </c>
      <c r="I1943" s="26" t="n">
        <f aca="false">_xlfn.MINIFS(Transaction!$C$2:$C$8421,Transaction!$B$2:$B$8421,A1943)</f>
        <v>46264</v>
      </c>
      <c r="J1943" s="26" t="n">
        <f aca="false">_xlfn.MAXIFS(Transaction!$C$2:$C$8421,Transaction!$B$2:$B$8421,A1943)</f>
        <v>46264</v>
      </c>
      <c r="K1943" s="6" t="n">
        <f aca="false">COUNTIF(Transaction!$B$2:$B$8421,A1943)</f>
        <v>1</v>
      </c>
      <c r="L1943" s="10" t="n">
        <f aca="false">SUMIF(Transaction!$B$2:$B$8421,A1943,Transaction!$H$2:$H$8421)</f>
        <v>1830</v>
      </c>
      <c r="M1943" s="6" t="n">
        <f aca="false">Summary!$B$3-J1943</f>
        <v>2</v>
      </c>
      <c r="N1943" s="6" t="str">
        <f aca="false">IF(K1943&gt;1,"Yes","No")</f>
        <v>No</v>
      </c>
      <c r="O1943" s="6" t="s">
        <v>47</v>
      </c>
    </row>
    <row r="1944" customFormat="false" ht="15" hidden="false" customHeight="false" outlineLevel="0" collapsed="false">
      <c r="A1944" s="6" t="s">
        <v>3997</v>
      </c>
      <c r="B1944" s="6" t="s">
        <v>3998</v>
      </c>
      <c r="C1944" s="6" t="s">
        <v>75</v>
      </c>
      <c r="D1944" s="6" t="n">
        <v>34</v>
      </c>
      <c r="E1944" s="6" t="s">
        <v>105</v>
      </c>
      <c r="F1944" s="6" t="s">
        <v>106</v>
      </c>
      <c r="G1944" s="26" t="n">
        <v>46174</v>
      </c>
      <c r="H1944" s="6" t="s">
        <v>123</v>
      </c>
      <c r="I1944" s="26" t="n">
        <f aca="false">_xlfn.MINIFS(Transaction!$C$2:$C$8421,Transaction!$B$2:$B$8421,A1944)</f>
        <v>46264</v>
      </c>
      <c r="J1944" s="26" t="n">
        <f aca="false">_xlfn.MAXIFS(Transaction!$C$2:$C$8421,Transaction!$B$2:$B$8421,A1944)</f>
        <v>46264</v>
      </c>
      <c r="K1944" s="6" t="n">
        <f aca="false">COUNTIF(Transaction!$B$2:$B$8421,A1944)</f>
        <v>1</v>
      </c>
      <c r="L1944" s="10" t="n">
        <f aca="false">SUMIF(Transaction!$B$2:$B$8421,A1944,Transaction!$H$2:$H$8421)</f>
        <v>6420</v>
      </c>
      <c r="M1944" s="6" t="n">
        <f aca="false">Summary!$B$3-J1944</f>
        <v>2</v>
      </c>
      <c r="N1944" s="6" t="str">
        <f aca="false">IF(K1944&gt;1,"Yes","No")</f>
        <v>No</v>
      </c>
      <c r="O1944" s="6" t="s">
        <v>47</v>
      </c>
    </row>
    <row r="1945" customFormat="false" ht="15" hidden="false" customHeight="false" outlineLevel="0" collapsed="false">
      <c r="A1945" s="6" t="s">
        <v>3999</v>
      </c>
      <c r="B1945" s="6" t="s">
        <v>4000</v>
      </c>
      <c r="C1945" s="6" t="s">
        <v>85</v>
      </c>
      <c r="D1945" s="6" t="n">
        <v>33</v>
      </c>
      <c r="E1945" s="6" t="s">
        <v>121</v>
      </c>
      <c r="F1945" s="6" t="s">
        <v>122</v>
      </c>
      <c r="G1945" s="26" t="n">
        <v>46186</v>
      </c>
      <c r="H1945" s="6" t="s">
        <v>88</v>
      </c>
      <c r="I1945" s="26" t="n">
        <f aca="false">_xlfn.MINIFS(Transaction!$C$2:$C$8421,Transaction!$B$2:$B$8421,A1945)</f>
        <v>46204</v>
      </c>
      <c r="J1945" s="26" t="n">
        <f aca="false">_xlfn.MAXIFS(Transaction!$C$2:$C$8421,Transaction!$B$2:$B$8421,A1945)</f>
        <v>46204</v>
      </c>
      <c r="K1945" s="6" t="n">
        <f aca="false">COUNTIF(Transaction!$B$2:$B$8421,A1945)</f>
        <v>1</v>
      </c>
      <c r="L1945" s="10" t="n">
        <f aca="false">SUMIF(Transaction!$B$2:$B$8421,A1945,Transaction!$H$2:$H$8421)</f>
        <v>782</v>
      </c>
      <c r="M1945" s="6" t="n">
        <f aca="false">Summary!$B$3-J1945</f>
        <v>62</v>
      </c>
      <c r="N1945" s="6" t="str">
        <f aca="false">IF(K1945&gt;1,"Yes","No")</f>
        <v>No</v>
      </c>
      <c r="O1945" s="6" t="s">
        <v>47</v>
      </c>
    </row>
    <row r="1946" customFormat="false" ht="15" hidden="false" customHeight="false" outlineLevel="0" collapsed="false">
      <c r="A1946" s="6" t="s">
        <v>4001</v>
      </c>
      <c r="B1946" s="6" t="s">
        <v>4002</v>
      </c>
      <c r="C1946" s="6" t="s">
        <v>75</v>
      </c>
      <c r="D1946" s="6" t="n">
        <v>28</v>
      </c>
      <c r="E1946" s="6" t="s">
        <v>95</v>
      </c>
      <c r="F1946" s="6" t="s">
        <v>95</v>
      </c>
      <c r="G1946" s="26" t="n">
        <v>46102</v>
      </c>
      <c r="H1946" s="6" t="s">
        <v>78</v>
      </c>
      <c r="I1946" s="26" t="n">
        <f aca="false">_xlfn.MINIFS(Transaction!$C$2:$C$8421,Transaction!$B$2:$B$8421,A1946)</f>
        <v>46166</v>
      </c>
      <c r="J1946" s="26" t="n">
        <f aca="false">_xlfn.MAXIFS(Transaction!$C$2:$C$8421,Transaction!$B$2:$B$8421,A1946)</f>
        <v>46166</v>
      </c>
      <c r="K1946" s="6" t="n">
        <f aca="false">COUNTIF(Transaction!$B$2:$B$8421,A1946)</f>
        <v>1</v>
      </c>
      <c r="L1946" s="10" t="n">
        <f aca="false">SUMIF(Transaction!$B$2:$B$8421,A1946,Transaction!$H$2:$H$8421)</f>
        <v>2456</v>
      </c>
      <c r="M1946" s="6" t="n">
        <f aca="false">Summary!$B$3-J1946</f>
        <v>100</v>
      </c>
      <c r="N1946" s="6" t="str">
        <f aca="false">IF(K1946&gt;1,"Yes","No")</f>
        <v>No</v>
      </c>
      <c r="O1946" s="6" t="s">
        <v>48</v>
      </c>
    </row>
    <row r="1947" customFormat="false" ht="15" hidden="false" customHeight="false" outlineLevel="0" collapsed="false">
      <c r="A1947" s="6" t="s">
        <v>4003</v>
      </c>
      <c r="B1947" s="6" t="s">
        <v>4004</v>
      </c>
      <c r="C1947" s="6" t="s">
        <v>85</v>
      </c>
      <c r="D1947" s="6" t="n">
        <v>53</v>
      </c>
      <c r="E1947" s="6" t="s">
        <v>81</v>
      </c>
      <c r="F1947" s="6" t="s">
        <v>82</v>
      </c>
      <c r="G1947" s="26" t="n">
        <v>46007</v>
      </c>
      <c r="H1947" s="6" t="s">
        <v>78</v>
      </c>
      <c r="I1947" s="26" t="n">
        <f aca="false">_xlfn.MINIFS(Transaction!$C$2:$C$8421,Transaction!$B$2:$B$8421,A1947)</f>
        <v>46036</v>
      </c>
      <c r="J1947" s="26" t="n">
        <f aca="false">_xlfn.MAXIFS(Transaction!$C$2:$C$8421,Transaction!$B$2:$B$8421,A1947)</f>
        <v>46228</v>
      </c>
      <c r="K1947" s="6" t="n">
        <f aca="false">COUNTIF(Transaction!$B$2:$B$8421,A1947)</f>
        <v>3</v>
      </c>
      <c r="L1947" s="10" t="n">
        <f aca="false">SUMIF(Transaction!$B$2:$B$8421,A1947,Transaction!$H$2:$H$8421)</f>
        <v>8753</v>
      </c>
      <c r="M1947" s="6" t="n">
        <f aca="false">Summary!$B$3-J1947</f>
        <v>38</v>
      </c>
      <c r="N1947" s="6" t="str">
        <f aca="false">IF(K1947&gt;1,"Yes","No")</f>
        <v>Yes</v>
      </c>
      <c r="O1947" s="6" t="s">
        <v>46</v>
      </c>
    </row>
    <row r="1948" customFormat="false" ht="15" hidden="false" customHeight="false" outlineLevel="0" collapsed="false">
      <c r="A1948" s="6" t="s">
        <v>4005</v>
      </c>
      <c r="B1948" s="6" t="s">
        <v>4006</v>
      </c>
      <c r="C1948" s="6" t="s">
        <v>85</v>
      </c>
      <c r="D1948" s="6" t="n">
        <v>18</v>
      </c>
      <c r="E1948" s="6" t="s">
        <v>105</v>
      </c>
      <c r="F1948" s="6" t="s">
        <v>106</v>
      </c>
      <c r="G1948" s="26" t="n">
        <v>46214</v>
      </c>
      <c r="H1948" s="6" t="s">
        <v>78</v>
      </c>
      <c r="I1948" s="26" t="n">
        <f aca="false">_xlfn.MINIFS(Transaction!$C$2:$C$8421,Transaction!$B$2:$B$8421,A1948)</f>
        <v>46244</v>
      </c>
      <c r="J1948" s="26" t="n">
        <f aca="false">_xlfn.MAXIFS(Transaction!$C$2:$C$8421,Transaction!$B$2:$B$8421,A1948)</f>
        <v>46244</v>
      </c>
      <c r="K1948" s="6" t="n">
        <f aca="false">COUNTIF(Transaction!$B$2:$B$8421,A1948)</f>
        <v>1</v>
      </c>
      <c r="L1948" s="10" t="n">
        <f aca="false">SUMIF(Transaction!$B$2:$B$8421,A1948,Transaction!$H$2:$H$8421)</f>
        <v>1174</v>
      </c>
      <c r="M1948" s="6" t="n">
        <f aca="false">Summary!$B$3-J1948</f>
        <v>22</v>
      </c>
      <c r="N1948" s="6" t="str">
        <f aca="false">IF(K1948&gt;1,"Yes","No")</f>
        <v>No</v>
      </c>
      <c r="O1948" s="6" t="s">
        <v>47</v>
      </c>
    </row>
    <row r="1949" customFormat="false" ht="15" hidden="false" customHeight="false" outlineLevel="0" collapsed="false">
      <c r="A1949" s="6" t="s">
        <v>4007</v>
      </c>
      <c r="B1949" s="6" t="s">
        <v>4008</v>
      </c>
      <c r="C1949" s="6" t="s">
        <v>75</v>
      </c>
      <c r="D1949" s="6" t="n">
        <v>20</v>
      </c>
      <c r="E1949" s="6" t="s">
        <v>118</v>
      </c>
      <c r="F1949" s="6" t="s">
        <v>77</v>
      </c>
      <c r="G1949" s="26" t="n">
        <v>46116</v>
      </c>
      <c r="H1949" s="6" t="s">
        <v>78</v>
      </c>
      <c r="I1949" s="26" t="n">
        <f aca="false">_xlfn.MINIFS(Transaction!$C$2:$C$8421,Transaction!$B$2:$B$8421,A1949)</f>
        <v>46145</v>
      </c>
      <c r="J1949" s="26" t="n">
        <f aca="false">_xlfn.MAXIFS(Transaction!$C$2:$C$8421,Transaction!$B$2:$B$8421,A1949)</f>
        <v>46145</v>
      </c>
      <c r="K1949" s="6" t="n">
        <f aca="false">COUNTIF(Transaction!$B$2:$B$8421,A1949)</f>
        <v>1</v>
      </c>
      <c r="L1949" s="10" t="n">
        <f aca="false">SUMIF(Transaction!$B$2:$B$8421,A1949,Transaction!$H$2:$H$8421)</f>
        <v>884</v>
      </c>
      <c r="M1949" s="6" t="n">
        <f aca="false">Summary!$B$3-J1949</f>
        <v>121</v>
      </c>
      <c r="N1949" s="6" t="str">
        <f aca="false">IF(K1949&gt;1,"Yes","No")</f>
        <v>No</v>
      </c>
      <c r="O1949" s="6" t="s">
        <v>48</v>
      </c>
    </row>
    <row r="1950" customFormat="false" ht="15" hidden="false" customHeight="false" outlineLevel="0" collapsed="false">
      <c r="A1950" s="6" t="s">
        <v>4009</v>
      </c>
      <c r="B1950" s="6" t="s">
        <v>4010</v>
      </c>
      <c r="C1950" s="6" t="s">
        <v>85</v>
      </c>
      <c r="D1950" s="6" t="n">
        <v>24</v>
      </c>
      <c r="E1950" s="6" t="s">
        <v>121</v>
      </c>
      <c r="F1950" s="6" t="s">
        <v>122</v>
      </c>
      <c r="G1950" s="26" t="n">
        <v>46136</v>
      </c>
      <c r="H1950" s="6" t="s">
        <v>78</v>
      </c>
      <c r="I1950" s="26" t="n">
        <f aca="false">_xlfn.MINIFS(Transaction!$C$2:$C$8421,Transaction!$B$2:$B$8421,A1950)</f>
        <v>46147</v>
      </c>
      <c r="J1950" s="26" t="n">
        <f aca="false">_xlfn.MAXIFS(Transaction!$C$2:$C$8421,Transaction!$B$2:$B$8421,A1950)</f>
        <v>46147</v>
      </c>
      <c r="K1950" s="6" t="n">
        <f aca="false">COUNTIF(Transaction!$B$2:$B$8421,A1950)</f>
        <v>1</v>
      </c>
      <c r="L1950" s="10" t="n">
        <f aca="false">SUMIF(Transaction!$B$2:$B$8421,A1950,Transaction!$H$2:$H$8421)</f>
        <v>1190</v>
      </c>
      <c r="M1950" s="6" t="n">
        <f aca="false">Summary!$B$3-J1950</f>
        <v>119</v>
      </c>
      <c r="N1950" s="6" t="str">
        <f aca="false">IF(K1950&gt;1,"Yes","No")</f>
        <v>No</v>
      </c>
      <c r="O1950" s="6" t="s">
        <v>48</v>
      </c>
    </row>
    <row r="1951" customFormat="false" ht="15" hidden="false" customHeight="false" outlineLevel="0" collapsed="false">
      <c r="A1951" s="6" t="s">
        <v>4011</v>
      </c>
      <c r="B1951" s="6" t="s">
        <v>4012</v>
      </c>
      <c r="C1951" s="6" t="s">
        <v>85</v>
      </c>
      <c r="D1951" s="6" t="n">
        <v>46</v>
      </c>
      <c r="E1951" s="6" t="s">
        <v>81</v>
      </c>
      <c r="F1951" s="6" t="s">
        <v>82</v>
      </c>
      <c r="G1951" s="26" t="n">
        <v>46059</v>
      </c>
      <c r="H1951" s="6" t="s">
        <v>78</v>
      </c>
      <c r="I1951" s="26" t="n">
        <f aca="false">_xlfn.MINIFS(Transaction!$C$2:$C$8421,Transaction!$B$2:$B$8421,A1951)</f>
        <v>46091</v>
      </c>
      <c r="J1951" s="26" t="n">
        <f aca="false">_xlfn.MAXIFS(Transaction!$C$2:$C$8421,Transaction!$B$2:$B$8421,A1951)</f>
        <v>46259</v>
      </c>
      <c r="K1951" s="6" t="n">
        <f aca="false">COUNTIF(Transaction!$B$2:$B$8421,A1951)</f>
        <v>5</v>
      </c>
      <c r="L1951" s="10" t="n">
        <f aca="false">SUMIF(Transaction!$B$2:$B$8421,A1951,Transaction!$H$2:$H$8421)</f>
        <v>9313</v>
      </c>
      <c r="M1951" s="6" t="n">
        <f aca="false">Summary!$B$3-J1951</f>
        <v>7</v>
      </c>
      <c r="N1951" s="6" t="str">
        <f aca="false">IF(K1951&gt;1,"Yes","No")</f>
        <v>Yes</v>
      </c>
      <c r="O1951" s="6" t="s">
        <v>46</v>
      </c>
    </row>
    <row r="1952" customFormat="false" ht="15" hidden="false" customHeight="false" outlineLevel="0" collapsed="false">
      <c r="A1952" s="6" t="s">
        <v>4013</v>
      </c>
      <c r="B1952" s="6" t="s">
        <v>4014</v>
      </c>
      <c r="C1952" s="6" t="s">
        <v>75</v>
      </c>
      <c r="D1952" s="6" t="n">
        <v>20</v>
      </c>
      <c r="E1952" s="6" t="s">
        <v>86</v>
      </c>
      <c r="F1952" s="6" t="s">
        <v>87</v>
      </c>
      <c r="G1952" s="26" t="n">
        <v>46224</v>
      </c>
      <c r="H1952" s="6" t="s">
        <v>115</v>
      </c>
      <c r="I1952" s="26" t="n">
        <f aca="false">_xlfn.MINIFS(Transaction!$C$2:$C$8421,Transaction!$B$2:$B$8421,A1952)</f>
        <v>46231</v>
      </c>
      <c r="J1952" s="26" t="n">
        <f aca="false">_xlfn.MAXIFS(Transaction!$C$2:$C$8421,Transaction!$B$2:$B$8421,A1952)</f>
        <v>46231</v>
      </c>
      <c r="K1952" s="6" t="n">
        <f aca="false">COUNTIF(Transaction!$B$2:$B$8421,A1952)</f>
        <v>1</v>
      </c>
      <c r="L1952" s="10" t="n">
        <f aca="false">SUMIF(Transaction!$B$2:$B$8421,A1952,Transaction!$H$2:$H$8421)</f>
        <v>480</v>
      </c>
      <c r="M1952" s="6" t="n">
        <f aca="false">Summary!$B$3-J1952</f>
        <v>35</v>
      </c>
      <c r="N1952" s="6" t="str">
        <f aca="false">IF(K1952&gt;1,"Yes","No")</f>
        <v>No</v>
      </c>
      <c r="O1952" s="6" t="s">
        <v>47</v>
      </c>
    </row>
    <row r="1953" customFormat="false" ht="15" hidden="false" customHeight="false" outlineLevel="0" collapsed="false">
      <c r="A1953" s="6" t="s">
        <v>4015</v>
      </c>
      <c r="B1953" s="6" t="s">
        <v>4016</v>
      </c>
      <c r="C1953" s="6" t="s">
        <v>75</v>
      </c>
      <c r="D1953" s="6" t="n">
        <v>26</v>
      </c>
      <c r="E1953" s="6" t="s">
        <v>264</v>
      </c>
      <c r="F1953" s="6" t="s">
        <v>106</v>
      </c>
      <c r="G1953" s="26" t="n">
        <v>45993</v>
      </c>
      <c r="H1953" s="6" t="s">
        <v>102</v>
      </c>
      <c r="I1953" s="26" t="n">
        <f aca="false">_xlfn.MINIFS(Transaction!$C$2:$C$8421,Transaction!$B$2:$B$8421,A1953)</f>
        <v>46039</v>
      </c>
      <c r="J1953" s="26" t="n">
        <f aca="false">_xlfn.MAXIFS(Transaction!$C$2:$C$8421,Transaction!$B$2:$B$8421,A1953)</f>
        <v>46203</v>
      </c>
      <c r="K1953" s="6" t="n">
        <f aca="false">COUNTIF(Transaction!$B$2:$B$8421,A1953)</f>
        <v>8</v>
      </c>
      <c r="L1953" s="10" t="n">
        <f aca="false">SUMIF(Transaction!$B$2:$B$8421,A1953,Transaction!$H$2:$H$8421)</f>
        <v>14300</v>
      </c>
      <c r="M1953" s="6" t="n">
        <f aca="false">Summary!$B$3-J1953</f>
        <v>63</v>
      </c>
      <c r="N1953" s="6" t="str">
        <f aca="false">IF(K1953&gt;1,"Yes","No")</f>
        <v>Yes</v>
      </c>
      <c r="O1953" s="6" t="s">
        <v>46</v>
      </c>
    </row>
    <row r="1954" customFormat="false" ht="15" hidden="false" customHeight="false" outlineLevel="0" collapsed="false">
      <c r="A1954" s="6" t="s">
        <v>4017</v>
      </c>
      <c r="B1954" s="6" t="s">
        <v>4018</v>
      </c>
      <c r="C1954" s="6" t="s">
        <v>85</v>
      </c>
      <c r="D1954" s="6" t="n">
        <v>25</v>
      </c>
      <c r="E1954" s="6" t="s">
        <v>126</v>
      </c>
      <c r="F1954" s="6" t="s">
        <v>127</v>
      </c>
      <c r="G1954" s="26" t="n">
        <v>46009</v>
      </c>
      <c r="H1954" s="6" t="s">
        <v>102</v>
      </c>
      <c r="I1954" s="26" t="n">
        <f aca="false">_xlfn.MINIFS(Transaction!$C$2:$C$8421,Transaction!$B$2:$B$8421,A1954)</f>
        <v>46055</v>
      </c>
      <c r="J1954" s="26" t="n">
        <f aca="false">_xlfn.MAXIFS(Transaction!$C$2:$C$8421,Transaction!$B$2:$B$8421,A1954)</f>
        <v>46252</v>
      </c>
      <c r="K1954" s="6" t="n">
        <f aca="false">COUNTIF(Transaction!$B$2:$B$8421,A1954)</f>
        <v>10</v>
      </c>
      <c r="L1954" s="10" t="n">
        <f aca="false">SUMIF(Transaction!$B$2:$B$8421,A1954,Transaction!$H$2:$H$8421)</f>
        <v>17600</v>
      </c>
      <c r="M1954" s="6" t="n">
        <f aca="false">Summary!$B$3-J1954</f>
        <v>14</v>
      </c>
      <c r="N1954" s="6" t="str">
        <f aca="false">IF(K1954&gt;1,"Yes","No")</f>
        <v>Yes</v>
      </c>
      <c r="O1954" s="6" t="s">
        <v>45</v>
      </c>
    </row>
    <row r="1955" customFormat="false" ht="15" hidden="false" customHeight="false" outlineLevel="0" collapsed="false">
      <c r="A1955" s="6" t="s">
        <v>4019</v>
      </c>
      <c r="B1955" s="6" t="s">
        <v>4020</v>
      </c>
      <c r="C1955" s="6" t="s">
        <v>75</v>
      </c>
      <c r="D1955" s="6" t="n">
        <v>42</v>
      </c>
      <c r="E1955" s="6" t="s">
        <v>105</v>
      </c>
      <c r="F1955" s="6" t="s">
        <v>106</v>
      </c>
      <c r="G1955" s="26" t="n">
        <v>46025</v>
      </c>
      <c r="H1955" s="6" t="s">
        <v>78</v>
      </c>
      <c r="I1955" s="26" t="n">
        <f aca="false">_xlfn.MINIFS(Transaction!$C$2:$C$8421,Transaction!$B$2:$B$8421,A1955)</f>
        <v>46025</v>
      </c>
      <c r="J1955" s="26" t="n">
        <f aca="false">_xlfn.MAXIFS(Transaction!$C$2:$C$8421,Transaction!$B$2:$B$8421,A1955)</f>
        <v>46253</v>
      </c>
      <c r="K1955" s="6" t="n">
        <f aca="false">COUNTIF(Transaction!$B$2:$B$8421,A1955)</f>
        <v>12</v>
      </c>
      <c r="L1955" s="10" t="n">
        <f aca="false">SUMIF(Transaction!$B$2:$B$8421,A1955,Transaction!$H$2:$H$8421)</f>
        <v>26982</v>
      </c>
      <c r="M1955" s="6" t="n">
        <f aca="false">Summary!$B$3-J1955</f>
        <v>13</v>
      </c>
      <c r="N1955" s="6" t="str">
        <f aca="false">IF(K1955&gt;1,"Yes","No")</f>
        <v>Yes</v>
      </c>
      <c r="O1955" s="6" t="s">
        <v>45</v>
      </c>
    </row>
    <row r="1956" customFormat="false" ht="15" hidden="false" customHeight="false" outlineLevel="0" collapsed="false">
      <c r="A1956" s="6" t="s">
        <v>4021</v>
      </c>
      <c r="B1956" s="6" t="s">
        <v>4022</v>
      </c>
      <c r="C1956" s="6" t="s">
        <v>75</v>
      </c>
      <c r="D1956" s="6" t="n">
        <v>27</v>
      </c>
      <c r="E1956" s="6" t="s">
        <v>321</v>
      </c>
      <c r="F1956" s="6" t="s">
        <v>321</v>
      </c>
      <c r="G1956" s="26" t="n">
        <v>46077</v>
      </c>
      <c r="H1956" s="6" t="s">
        <v>102</v>
      </c>
      <c r="I1956" s="26" t="n">
        <f aca="false">_xlfn.MINIFS(Transaction!$C$2:$C$8421,Transaction!$B$2:$B$8421,A1956)</f>
        <v>46093</v>
      </c>
      <c r="J1956" s="26" t="n">
        <f aca="false">_xlfn.MAXIFS(Transaction!$C$2:$C$8421,Transaction!$B$2:$B$8421,A1956)</f>
        <v>46247</v>
      </c>
      <c r="K1956" s="6" t="n">
        <f aca="false">COUNTIF(Transaction!$B$2:$B$8421,A1956)</f>
        <v>8</v>
      </c>
      <c r="L1956" s="10" t="n">
        <f aca="false">SUMIF(Transaction!$B$2:$B$8421,A1956,Transaction!$H$2:$H$8421)</f>
        <v>27642</v>
      </c>
      <c r="M1956" s="6" t="n">
        <f aca="false">Summary!$B$3-J1956</f>
        <v>19</v>
      </c>
      <c r="N1956" s="6" t="str">
        <f aca="false">IF(K1956&gt;1,"Yes","No")</f>
        <v>Yes</v>
      </c>
      <c r="O1956" s="6" t="s">
        <v>45</v>
      </c>
    </row>
    <row r="1957" customFormat="false" ht="15" hidden="false" customHeight="false" outlineLevel="0" collapsed="false">
      <c r="A1957" s="6" t="s">
        <v>4023</v>
      </c>
      <c r="B1957" s="6" t="s">
        <v>4024</v>
      </c>
      <c r="C1957" s="6" t="s">
        <v>85</v>
      </c>
      <c r="D1957" s="6" t="n">
        <v>34</v>
      </c>
      <c r="E1957" s="6" t="s">
        <v>134</v>
      </c>
      <c r="F1957" s="6" t="s">
        <v>135</v>
      </c>
      <c r="G1957" s="26" t="n">
        <v>46156</v>
      </c>
      <c r="H1957" s="6" t="s">
        <v>92</v>
      </c>
      <c r="I1957" s="26" t="n">
        <f aca="false">_xlfn.MINIFS(Transaction!$C$2:$C$8421,Transaction!$B$2:$B$8421,A1957)</f>
        <v>46198</v>
      </c>
      <c r="J1957" s="26" t="n">
        <f aca="false">_xlfn.MAXIFS(Transaction!$C$2:$C$8421,Transaction!$B$2:$B$8421,A1957)</f>
        <v>46198</v>
      </c>
      <c r="K1957" s="6" t="n">
        <f aca="false">COUNTIF(Transaction!$B$2:$B$8421,A1957)</f>
        <v>1</v>
      </c>
      <c r="L1957" s="10" t="n">
        <f aca="false">SUMIF(Transaction!$B$2:$B$8421,A1957,Transaction!$H$2:$H$8421)</f>
        <v>1924</v>
      </c>
      <c r="M1957" s="6" t="n">
        <f aca="false">Summary!$B$3-J1957</f>
        <v>68</v>
      </c>
      <c r="N1957" s="6" t="str">
        <f aca="false">IF(K1957&gt;1,"Yes","No")</f>
        <v>No</v>
      </c>
      <c r="O1957" s="6" t="s">
        <v>47</v>
      </c>
    </row>
    <row r="1958" customFormat="false" ht="15" hidden="false" customHeight="false" outlineLevel="0" collapsed="false">
      <c r="A1958" s="6" t="s">
        <v>4025</v>
      </c>
      <c r="B1958" s="6" t="s">
        <v>4026</v>
      </c>
      <c r="C1958" s="6" t="s">
        <v>75</v>
      </c>
      <c r="D1958" s="6" t="n">
        <v>47</v>
      </c>
      <c r="E1958" s="6" t="s">
        <v>134</v>
      </c>
      <c r="F1958" s="6" t="s">
        <v>135</v>
      </c>
      <c r="G1958" s="26" t="n">
        <v>46044</v>
      </c>
      <c r="H1958" s="6" t="s">
        <v>78</v>
      </c>
      <c r="I1958" s="26" t="n">
        <f aca="false">_xlfn.MINIFS(Transaction!$C$2:$C$8421,Transaction!$B$2:$B$8421,A1958)</f>
        <v>46067</v>
      </c>
      <c r="J1958" s="26" t="n">
        <f aca="false">_xlfn.MAXIFS(Transaction!$C$2:$C$8421,Transaction!$B$2:$B$8421,A1958)</f>
        <v>46188</v>
      </c>
      <c r="K1958" s="6" t="n">
        <f aca="false">COUNTIF(Transaction!$B$2:$B$8421,A1958)</f>
        <v>4</v>
      </c>
      <c r="L1958" s="10" t="n">
        <f aca="false">SUMIF(Transaction!$B$2:$B$8421,A1958,Transaction!$H$2:$H$8421)</f>
        <v>8421</v>
      </c>
      <c r="M1958" s="6" t="n">
        <f aca="false">Summary!$B$3-J1958</f>
        <v>78</v>
      </c>
      <c r="N1958" s="6" t="str">
        <f aca="false">IF(K1958&gt;1,"Yes","No")</f>
        <v>Yes</v>
      </c>
      <c r="O1958" s="6" t="s">
        <v>46</v>
      </c>
    </row>
    <row r="1959" customFormat="false" ht="15" hidden="false" customHeight="false" outlineLevel="0" collapsed="false">
      <c r="A1959" s="6" t="s">
        <v>4027</v>
      </c>
      <c r="B1959" s="6" t="s">
        <v>4028</v>
      </c>
      <c r="C1959" s="6" t="s">
        <v>85</v>
      </c>
      <c r="D1959" s="6" t="n">
        <v>30</v>
      </c>
      <c r="E1959" s="6" t="s">
        <v>321</v>
      </c>
      <c r="F1959" s="6" t="s">
        <v>321</v>
      </c>
      <c r="G1959" s="26" t="n">
        <v>46168</v>
      </c>
      <c r="H1959" s="6" t="s">
        <v>115</v>
      </c>
      <c r="I1959" s="26" t="n">
        <f aca="false">_xlfn.MINIFS(Transaction!$C$2:$C$8421,Transaction!$B$2:$B$8421,A1959)</f>
        <v>46247</v>
      </c>
      <c r="J1959" s="26" t="n">
        <f aca="false">_xlfn.MAXIFS(Transaction!$C$2:$C$8421,Transaction!$B$2:$B$8421,A1959)</f>
        <v>46247</v>
      </c>
      <c r="K1959" s="6" t="n">
        <f aca="false">COUNTIF(Transaction!$B$2:$B$8421,A1959)</f>
        <v>1</v>
      </c>
      <c r="L1959" s="10" t="n">
        <f aca="false">SUMIF(Transaction!$B$2:$B$8421,A1959,Transaction!$H$2:$H$8421)</f>
        <v>1761</v>
      </c>
      <c r="M1959" s="6" t="n">
        <f aca="false">Summary!$B$3-J1959</f>
        <v>19</v>
      </c>
      <c r="N1959" s="6" t="str">
        <f aca="false">IF(K1959&gt;1,"Yes","No")</f>
        <v>No</v>
      </c>
      <c r="O1959" s="6" t="s">
        <v>47</v>
      </c>
    </row>
    <row r="1960" customFormat="false" ht="15" hidden="false" customHeight="false" outlineLevel="0" collapsed="false">
      <c r="A1960" s="6" t="s">
        <v>4029</v>
      </c>
      <c r="B1960" s="6" t="s">
        <v>4030</v>
      </c>
      <c r="C1960" s="6" t="s">
        <v>85</v>
      </c>
      <c r="D1960" s="6" t="n">
        <v>18</v>
      </c>
      <c r="E1960" s="6" t="s">
        <v>95</v>
      </c>
      <c r="F1960" s="6" t="s">
        <v>95</v>
      </c>
      <c r="G1960" s="26" t="n">
        <v>46029</v>
      </c>
      <c r="H1960" s="6" t="s">
        <v>88</v>
      </c>
      <c r="I1960" s="26" t="n">
        <f aca="false">_xlfn.MINIFS(Transaction!$C$2:$C$8421,Transaction!$B$2:$B$8421,A1960)</f>
        <v>46047</v>
      </c>
      <c r="J1960" s="26" t="n">
        <f aca="false">_xlfn.MAXIFS(Transaction!$C$2:$C$8421,Transaction!$B$2:$B$8421,A1960)</f>
        <v>46047</v>
      </c>
      <c r="K1960" s="6" t="n">
        <f aca="false">COUNTIF(Transaction!$B$2:$B$8421,A1960)</f>
        <v>1</v>
      </c>
      <c r="L1960" s="10" t="n">
        <f aca="false">SUMIF(Transaction!$B$2:$B$8421,A1960,Transaction!$H$2:$H$8421)</f>
        <v>1116</v>
      </c>
      <c r="M1960" s="6" t="n">
        <f aca="false">Summary!$B$3-J1960</f>
        <v>219</v>
      </c>
      <c r="N1960" s="6" t="str">
        <f aca="false">IF(K1960&gt;1,"Yes","No")</f>
        <v>No</v>
      </c>
      <c r="O1960" s="6" t="s">
        <v>49</v>
      </c>
    </row>
    <row r="1961" customFormat="false" ht="15" hidden="false" customHeight="false" outlineLevel="0" collapsed="false">
      <c r="A1961" s="6" t="s">
        <v>4031</v>
      </c>
      <c r="B1961" s="6" t="s">
        <v>4032</v>
      </c>
      <c r="C1961" s="6" t="s">
        <v>85</v>
      </c>
      <c r="D1961" s="6" t="n">
        <v>33</v>
      </c>
      <c r="E1961" s="6" t="s">
        <v>81</v>
      </c>
      <c r="F1961" s="6" t="s">
        <v>82</v>
      </c>
      <c r="G1961" s="26" t="n">
        <v>46056</v>
      </c>
      <c r="H1961" s="6" t="s">
        <v>92</v>
      </c>
      <c r="I1961" s="26" t="n">
        <f aca="false">_xlfn.MINIFS(Transaction!$C$2:$C$8421,Transaction!$B$2:$B$8421,A1961)</f>
        <v>46081</v>
      </c>
      <c r="J1961" s="26" t="n">
        <f aca="false">_xlfn.MAXIFS(Transaction!$C$2:$C$8421,Transaction!$B$2:$B$8421,A1961)</f>
        <v>46227</v>
      </c>
      <c r="K1961" s="6" t="n">
        <f aca="false">COUNTIF(Transaction!$B$2:$B$8421,A1961)</f>
        <v>4</v>
      </c>
      <c r="L1961" s="10" t="n">
        <f aca="false">SUMIF(Transaction!$B$2:$B$8421,A1961,Transaction!$H$2:$H$8421)</f>
        <v>5580</v>
      </c>
      <c r="M1961" s="6" t="n">
        <f aca="false">Summary!$B$3-J1961</f>
        <v>39</v>
      </c>
      <c r="N1961" s="6" t="str">
        <f aca="false">IF(K1961&gt;1,"Yes","No")</f>
        <v>Yes</v>
      </c>
      <c r="O1961" s="6" t="s">
        <v>46</v>
      </c>
    </row>
    <row r="1962" customFormat="false" ht="15" hidden="false" customHeight="false" outlineLevel="0" collapsed="false">
      <c r="A1962" s="6" t="s">
        <v>4033</v>
      </c>
      <c r="B1962" s="6" t="s">
        <v>4034</v>
      </c>
      <c r="C1962" s="6" t="s">
        <v>85</v>
      </c>
      <c r="D1962" s="6" t="n">
        <v>47</v>
      </c>
      <c r="E1962" s="6" t="s">
        <v>86</v>
      </c>
      <c r="F1962" s="6" t="s">
        <v>87</v>
      </c>
      <c r="G1962" s="26" t="n">
        <v>45990</v>
      </c>
      <c r="H1962" s="6" t="s">
        <v>88</v>
      </c>
      <c r="I1962" s="26" t="n">
        <f aca="false">_xlfn.MINIFS(Transaction!$C$2:$C$8421,Transaction!$B$2:$B$8421,A1962)</f>
        <v>46031</v>
      </c>
      <c r="J1962" s="26" t="n">
        <f aca="false">_xlfn.MAXIFS(Transaction!$C$2:$C$8421,Transaction!$B$2:$B$8421,A1962)</f>
        <v>46265</v>
      </c>
      <c r="K1962" s="6" t="n">
        <f aca="false">COUNTIF(Transaction!$B$2:$B$8421,A1962)</f>
        <v>8</v>
      </c>
      <c r="L1962" s="10" t="n">
        <f aca="false">SUMIF(Transaction!$B$2:$B$8421,A1962,Transaction!$H$2:$H$8421)</f>
        <v>12209</v>
      </c>
      <c r="M1962" s="6" t="n">
        <f aca="false">Summary!$B$3-J1962</f>
        <v>1</v>
      </c>
      <c r="N1962" s="6" t="str">
        <f aca="false">IF(K1962&gt;1,"Yes","No")</f>
        <v>Yes</v>
      </c>
      <c r="O1962" s="6" t="s">
        <v>45</v>
      </c>
    </row>
    <row r="1963" customFormat="false" ht="15" hidden="false" customHeight="false" outlineLevel="0" collapsed="false">
      <c r="A1963" s="6" t="s">
        <v>4035</v>
      </c>
      <c r="B1963" s="6" t="s">
        <v>4036</v>
      </c>
      <c r="C1963" s="6" t="s">
        <v>85</v>
      </c>
      <c r="D1963" s="6" t="n">
        <v>32</v>
      </c>
      <c r="E1963" s="6" t="s">
        <v>81</v>
      </c>
      <c r="F1963" s="6" t="s">
        <v>82</v>
      </c>
      <c r="G1963" s="26" t="n">
        <v>46138</v>
      </c>
      <c r="H1963" s="6" t="s">
        <v>88</v>
      </c>
      <c r="I1963" s="26" t="n">
        <f aca="false">_xlfn.MINIFS(Transaction!$C$2:$C$8421,Transaction!$B$2:$B$8421,A1963)</f>
        <v>46157</v>
      </c>
      <c r="J1963" s="26" t="n">
        <f aca="false">_xlfn.MAXIFS(Transaction!$C$2:$C$8421,Transaction!$B$2:$B$8421,A1963)</f>
        <v>46157</v>
      </c>
      <c r="K1963" s="6" t="n">
        <f aca="false">COUNTIF(Transaction!$B$2:$B$8421,A1963)</f>
        <v>1</v>
      </c>
      <c r="L1963" s="10" t="n">
        <f aca="false">SUMIF(Transaction!$B$2:$B$8421,A1963,Transaction!$H$2:$H$8421)</f>
        <v>838</v>
      </c>
      <c r="M1963" s="6" t="n">
        <f aca="false">Summary!$B$3-J1963</f>
        <v>109</v>
      </c>
      <c r="N1963" s="6" t="str">
        <f aca="false">IF(K1963&gt;1,"Yes","No")</f>
        <v>No</v>
      </c>
      <c r="O1963" s="6" t="s">
        <v>48</v>
      </c>
    </row>
    <row r="1964" customFormat="false" ht="15" hidden="false" customHeight="false" outlineLevel="0" collapsed="false">
      <c r="A1964" s="6" t="s">
        <v>4037</v>
      </c>
      <c r="B1964" s="6" t="s">
        <v>4038</v>
      </c>
      <c r="C1964" s="6" t="s">
        <v>85</v>
      </c>
      <c r="D1964" s="6" t="n">
        <v>39</v>
      </c>
      <c r="E1964" s="6" t="s">
        <v>118</v>
      </c>
      <c r="F1964" s="6" t="s">
        <v>77</v>
      </c>
      <c r="G1964" s="26" t="n">
        <v>45998</v>
      </c>
      <c r="H1964" s="6" t="s">
        <v>78</v>
      </c>
      <c r="I1964" s="26" t="n">
        <f aca="false">_xlfn.MINIFS(Transaction!$C$2:$C$8421,Transaction!$B$2:$B$8421,A1964)</f>
        <v>46030</v>
      </c>
      <c r="J1964" s="26" t="n">
        <f aca="false">_xlfn.MAXIFS(Transaction!$C$2:$C$8421,Transaction!$B$2:$B$8421,A1964)</f>
        <v>46252</v>
      </c>
      <c r="K1964" s="6" t="n">
        <f aca="false">COUNTIF(Transaction!$B$2:$B$8421,A1964)</f>
        <v>9</v>
      </c>
      <c r="L1964" s="10" t="n">
        <f aca="false">SUMIF(Transaction!$B$2:$B$8421,A1964,Transaction!$H$2:$H$8421)</f>
        <v>22197</v>
      </c>
      <c r="M1964" s="6" t="n">
        <f aca="false">Summary!$B$3-J1964</f>
        <v>14</v>
      </c>
      <c r="N1964" s="6" t="str">
        <f aca="false">IF(K1964&gt;1,"Yes","No")</f>
        <v>Yes</v>
      </c>
      <c r="O1964" s="6" t="s">
        <v>45</v>
      </c>
    </row>
    <row r="1965" customFormat="false" ht="15" hidden="false" customHeight="false" outlineLevel="0" collapsed="false">
      <c r="A1965" s="6" t="s">
        <v>4039</v>
      </c>
      <c r="B1965" s="6" t="s">
        <v>4040</v>
      </c>
      <c r="C1965" s="6" t="s">
        <v>75</v>
      </c>
      <c r="D1965" s="6" t="n">
        <v>40</v>
      </c>
      <c r="E1965" s="6" t="s">
        <v>237</v>
      </c>
      <c r="F1965" s="6" t="s">
        <v>87</v>
      </c>
      <c r="G1965" s="26" t="n">
        <v>46007</v>
      </c>
      <c r="H1965" s="6" t="s">
        <v>88</v>
      </c>
      <c r="I1965" s="26" t="n">
        <f aca="false">_xlfn.MINIFS(Transaction!$C$2:$C$8421,Transaction!$B$2:$B$8421,A1965)</f>
        <v>46043</v>
      </c>
      <c r="J1965" s="26" t="n">
        <f aca="false">_xlfn.MAXIFS(Transaction!$C$2:$C$8421,Transaction!$B$2:$B$8421,A1965)</f>
        <v>46198</v>
      </c>
      <c r="K1965" s="6" t="n">
        <f aca="false">COUNTIF(Transaction!$B$2:$B$8421,A1965)</f>
        <v>6</v>
      </c>
      <c r="L1965" s="10" t="n">
        <f aca="false">SUMIF(Transaction!$B$2:$B$8421,A1965,Transaction!$H$2:$H$8421)</f>
        <v>14349</v>
      </c>
      <c r="M1965" s="6" t="n">
        <f aca="false">Summary!$B$3-J1965</f>
        <v>68</v>
      </c>
      <c r="N1965" s="6" t="str">
        <f aca="false">IF(K1965&gt;1,"Yes","No")</f>
        <v>Yes</v>
      </c>
      <c r="O1965" s="6" t="s">
        <v>46</v>
      </c>
    </row>
    <row r="1966" customFormat="false" ht="15" hidden="false" customHeight="false" outlineLevel="0" collapsed="false">
      <c r="A1966" s="6" t="s">
        <v>4041</v>
      </c>
      <c r="B1966" s="6" t="s">
        <v>4042</v>
      </c>
      <c r="C1966" s="6" t="s">
        <v>85</v>
      </c>
      <c r="D1966" s="6" t="n">
        <v>35</v>
      </c>
      <c r="E1966" s="6" t="s">
        <v>105</v>
      </c>
      <c r="F1966" s="6" t="s">
        <v>106</v>
      </c>
      <c r="G1966" s="26" t="n">
        <v>46146</v>
      </c>
      <c r="H1966" s="6" t="s">
        <v>115</v>
      </c>
      <c r="I1966" s="26" t="n">
        <f aca="false">_xlfn.MINIFS(Transaction!$C$2:$C$8421,Transaction!$B$2:$B$8421,A1966)</f>
        <v>46180</v>
      </c>
      <c r="J1966" s="26" t="n">
        <f aca="false">_xlfn.MAXIFS(Transaction!$C$2:$C$8421,Transaction!$B$2:$B$8421,A1966)</f>
        <v>46180</v>
      </c>
      <c r="K1966" s="6" t="n">
        <f aca="false">COUNTIF(Transaction!$B$2:$B$8421,A1966)</f>
        <v>1</v>
      </c>
      <c r="L1966" s="10" t="n">
        <f aca="false">SUMIF(Transaction!$B$2:$B$8421,A1966,Transaction!$H$2:$H$8421)</f>
        <v>3423</v>
      </c>
      <c r="M1966" s="6" t="n">
        <f aca="false">Summary!$B$3-J1966</f>
        <v>86</v>
      </c>
      <c r="N1966" s="6" t="str">
        <f aca="false">IF(K1966&gt;1,"Yes","No")</f>
        <v>No</v>
      </c>
      <c r="O1966" s="6" t="s">
        <v>47</v>
      </c>
    </row>
    <row r="1967" customFormat="false" ht="15" hidden="false" customHeight="false" outlineLevel="0" collapsed="false">
      <c r="A1967" s="6" t="s">
        <v>4043</v>
      </c>
      <c r="B1967" s="6" t="s">
        <v>4044</v>
      </c>
      <c r="C1967" s="6" t="s">
        <v>75</v>
      </c>
      <c r="D1967" s="6" t="n">
        <v>47</v>
      </c>
      <c r="E1967" s="6" t="s">
        <v>206</v>
      </c>
      <c r="F1967" s="6" t="s">
        <v>106</v>
      </c>
      <c r="G1967" s="26" t="n">
        <v>46249</v>
      </c>
      <c r="H1967" s="6" t="s">
        <v>102</v>
      </c>
      <c r="I1967" s="26" t="n">
        <f aca="false">_xlfn.MINIFS(Transaction!$C$2:$C$8421,Transaction!$B$2:$B$8421,A1967)</f>
        <v>46257</v>
      </c>
      <c r="J1967" s="26" t="n">
        <f aca="false">_xlfn.MAXIFS(Transaction!$C$2:$C$8421,Transaction!$B$2:$B$8421,A1967)</f>
        <v>46257</v>
      </c>
      <c r="K1967" s="6" t="n">
        <f aca="false">COUNTIF(Transaction!$B$2:$B$8421,A1967)</f>
        <v>1</v>
      </c>
      <c r="L1967" s="10" t="n">
        <f aca="false">SUMIF(Transaction!$B$2:$B$8421,A1967,Transaction!$H$2:$H$8421)</f>
        <v>1116</v>
      </c>
      <c r="M1967" s="6" t="n">
        <f aca="false">Summary!$B$3-J1967</f>
        <v>9</v>
      </c>
      <c r="N1967" s="6" t="str">
        <f aca="false">IF(K1967&gt;1,"Yes","No")</f>
        <v>No</v>
      </c>
      <c r="O1967" s="6" t="s">
        <v>47</v>
      </c>
    </row>
    <row r="1968" customFormat="false" ht="15" hidden="false" customHeight="false" outlineLevel="0" collapsed="false">
      <c r="A1968" s="6" t="s">
        <v>4045</v>
      </c>
      <c r="B1968" s="6" t="s">
        <v>4046</v>
      </c>
      <c r="C1968" s="6" t="s">
        <v>85</v>
      </c>
      <c r="D1968" s="6" t="n">
        <v>25</v>
      </c>
      <c r="E1968" s="6" t="s">
        <v>86</v>
      </c>
      <c r="F1968" s="6" t="s">
        <v>87</v>
      </c>
      <c r="G1968" s="26" t="n">
        <v>45991</v>
      </c>
      <c r="H1968" s="6" t="s">
        <v>78</v>
      </c>
      <c r="I1968" s="26" t="n">
        <f aca="false">_xlfn.MINIFS(Transaction!$C$2:$C$8421,Transaction!$B$2:$B$8421,A1968)</f>
        <v>46042</v>
      </c>
      <c r="J1968" s="26" t="n">
        <f aca="false">_xlfn.MAXIFS(Transaction!$C$2:$C$8421,Transaction!$B$2:$B$8421,A1968)</f>
        <v>46227</v>
      </c>
      <c r="K1968" s="6" t="n">
        <f aca="false">COUNTIF(Transaction!$B$2:$B$8421,A1968)</f>
        <v>7</v>
      </c>
      <c r="L1968" s="10" t="n">
        <f aca="false">SUMIF(Transaction!$B$2:$B$8421,A1968,Transaction!$H$2:$H$8421)</f>
        <v>14633</v>
      </c>
      <c r="M1968" s="6" t="n">
        <f aca="false">Summary!$B$3-J1968</f>
        <v>39</v>
      </c>
      <c r="N1968" s="6" t="str">
        <f aca="false">IF(K1968&gt;1,"Yes","No")</f>
        <v>Yes</v>
      </c>
      <c r="O1968" s="6" t="s">
        <v>46</v>
      </c>
    </row>
    <row r="1969" customFormat="false" ht="15" hidden="false" customHeight="false" outlineLevel="0" collapsed="false">
      <c r="A1969" s="6" t="s">
        <v>4047</v>
      </c>
      <c r="B1969" s="6" t="s">
        <v>4048</v>
      </c>
      <c r="C1969" s="6" t="s">
        <v>75</v>
      </c>
      <c r="D1969" s="6" t="n">
        <v>32</v>
      </c>
      <c r="E1969" s="6" t="s">
        <v>105</v>
      </c>
      <c r="F1969" s="6" t="s">
        <v>106</v>
      </c>
      <c r="G1969" s="26" t="n">
        <v>46173</v>
      </c>
      <c r="H1969" s="6" t="s">
        <v>78</v>
      </c>
      <c r="I1969" s="26" t="n">
        <f aca="false">_xlfn.MINIFS(Transaction!$C$2:$C$8421,Transaction!$B$2:$B$8421,A1969)</f>
        <v>46185</v>
      </c>
      <c r="J1969" s="26" t="n">
        <f aca="false">_xlfn.MAXIFS(Transaction!$C$2:$C$8421,Transaction!$B$2:$B$8421,A1969)</f>
        <v>46185</v>
      </c>
      <c r="K1969" s="6" t="n">
        <f aca="false">COUNTIF(Transaction!$B$2:$B$8421,A1969)</f>
        <v>1</v>
      </c>
      <c r="L1969" s="10" t="n">
        <f aca="false">SUMIF(Transaction!$B$2:$B$8421,A1969,Transaction!$H$2:$H$8421)</f>
        <v>1987</v>
      </c>
      <c r="M1969" s="6" t="n">
        <f aca="false">Summary!$B$3-J1969</f>
        <v>81</v>
      </c>
      <c r="N1969" s="6" t="str">
        <f aca="false">IF(K1969&gt;1,"Yes","No")</f>
        <v>No</v>
      </c>
      <c r="O1969" s="6" t="s">
        <v>47</v>
      </c>
    </row>
    <row r="1970" customFormat="false" ht="15" hidden="false" customHeight="false" outlineLevel="0" collapsed="false">
      <c r="A1970" s="6" t="s">
        <v>4049</v>
      </c>
      <c r="B1970" s="6" t="s">
        <v>4050</v>
      </c>
      <c r="C1970" s="6" t="s">
        <v>75</v>
      </c>
      <c r="D1970" s="6" t="n">
        <v>27</v>
      </c>
      <c r="E1970" s="6" t="s">
        <v>180</v>
      </c>
      <c r="F1970" s="6" t="s">
        <v>181</v>
      </c>
      <c r="G1970" s="26" t="n">
        <v>46047</v>
      </c>
      <c r="H1970" s="6" t="s">
        <v>78</v>
      </c>
      <c r="I1970" s="26" t="n">
        <f aca="false">_xlfn.MINIFS(Transaction!$C$2:$C$8421,Transaction!$B$2:$B$8421,A1970)</f>
        <v>46066</v>
      </c>
      <c r="J1970" s="26" t="n">
        <f aca="false">_xlfn.MAXIFS(Transaction!$C$2:$C$8421,Transaction!$B$2:$B$8421,A1970)</f>
        <v>46177</v>
      </c>
      <c r="K1970" s="6" t="n">
        <f aca="false">COUNTIF(Transaction!$B$2:$B$8421,A1970)</f>
        <v>4</v>
      </c>
      <c r="L1970" s="10" t="n">
        <f aca="false">SUMIF(Transaction!$B$2:$B$8421,A1970,Transaction!$H$2:$H$8421)</f>
        <v>7972</v>
      </c>
      <c r="M1970" s="6" t="n">
        <f aca="false">Summary!$B$3-J1970</f>
        <v>89</v>
      </c>
      <c r="N1970" s="6" t="str">
        <f aca="false">IF(K1970&gt;1,"Yes","No")</f>
        <v>Yes</v>
      </c>
      <c r="O1970" s="6" t="s">
        <v>46</v>
      </c>
    </row>
    <row r="1971" customFormat="false" ht="15" hidden="false" customHeight="false" outlineLevel="0" collapsed="false">
      <c r="A1971" s="6" t="s">
        <v>4051</v>
      </c>
      <c r="B1971" s="6" t="s">
        <v>4052</v>
      </c>
      <c r="C1971" s="6" t="s">
        <v>85</v>
      </c>
      <c r="D1971" s="6" t="n">
        <v>30</v>
      </c>
      <c r="E1971" s="6" t="s">
        <v>206</v>
      </c>
      <c r="F1971" s="6" t="s">
        <v>106</v>
      </c>
      <c r="G1971" s="26" t="n">
        <v>46182</v>
      </c>
      <c r="H1971" s="6" t="s">
        <v>102</v>
      </c>
      <c r="I1971" s="26" t="n">
        <f aca="false">_xlfn.MINIFS(Transaction!$C$2:$C$8421,Transaction!$B$2:$B$8421,A1971)</f>
        <v>46233</v>
      </c>
      <c r="J1971" s="26" t="n">
        <f aca="false">_xlfn.MAXIFS(Transaction!$C$2:$C$8421,Transaction!$B$2:$B$8421,A1971)</f>
        <v>46233</v>
      </c>
      <c r="K1971" s="6" t="n">
        <f aca="false">COUNTIF(Transaction!$B$2:$B$8421,A1971)</f>
        <v>1</v>
      </c>
      <c r="L1971" s="10" t="n">
        <f aca="false">SUMIF(Transaction!$B$2:$B$8421,A1971,Transaction!$H$2:$H$8421)</f>
        <v>1468</v>
      </c>
      <c r="M1971" s="6" t="n">
        <f aca="false">Summary!$B$3-J1971</f>
        <v>33</v>
      </c>
      <c r="N1971" s="6" t="str">
        <f aca="false">IF(K1971&gt;1,"Yes","No")</f>
        <v>No</v>
      </c>
      <c r="O1971" s="6" t="s">
        <v>47</v>
      </c>
    </row>
    <row r="1972" customFormat="false" ht="15" hidden="false" customHeight="false" outlineLevel="0" collapsed="false">
      <c r="A1972" s="6" t="s">
        <v>4053</v>
      </c>
      <c r="B1972" s="6" t="s">
        <v>4054</v>
      </c>
      <c r="C1972" s="6" t="s">
        <v>75</v>
      </c>
      <c r="D1972" s="6" t="n">
        <v>52</v>
      </c>
      <c r="E1972" s="6" t="s">
        <v>180</v>
      </c>
      <c r="F1972" s="6" t="s">
        <v>181</v>
      </c>
      <c r="G1972" s="26" t="n">
        <v>46179</v>
      </c>
      <c r="H1972" s="6" t="s">
        <v>115</v>
      </c>
      <c r="I1972" s="26" t="n">
        <f aca="false">_xlfn.MINIFS(Transaction!$C$2:$C$8421,Transaction!$B$2:$B$8421,A1972)</f>
        <v>46198</v>
      </c>
      <c r="J1972" s="26" t="n">
        <f aca="false">_xlfn.MAXIFS(Transaction!$C$2:$C$8421,Transaction!$B$2:$B$8421,A1972)</f>
        <v>46198</v>
      </c>
      <c r="K1972" s="6" t="n">
        <f aca="false">COUNTIF(Transaction!$B$2:$B$8421,A1972)</f>
        <v>1</v>
      </c>
      <c r="L1972" s="10" t="n">
        <f aca="false">SUMIF(Transaction!$B$2:$B$8421,A1972,Transaction!$H$2:$H$8421)</f>
        <v>1488</v>
      </c>
      <c r="M1972" s="6" t="n">
        <f aca="false">Summary!$B$3-J1972</f>
        <v>68</v>
      </c>
      <c r="N1972" s="6" t="str">
        <f aca="false">IF(K1972&gt;1,"Yes","No")</f>
        <v>No</v>
      </c>
      <c r="O1972" s="6" t="s">
        <v>47</v>
      </c>
    </row>
    <row r="1973" customFormat="false" ht="15" hidden="false" customHeight="false" outlineLevel="0" collapsed="false">
      <c r="A1973" s="6" t="s">
        <v>4055</v>
      </c>
      <c r="B1973" s="6" t="s">
        <v>4056</v>
      </c>
      <c r="C1973" s="6" t="s">
        <v>75</v>
      </c>
      <c r="D1973" s="6" t="n">
        <v>35</v>
      </c>
      <c r="E1973" s="6" t="s">
        <v>91</v>
      </c>
      <c r="F1973" s="6" t="s">
        <v>77</v>
      </c>
      <c r="G1973" s="26" t="n">
        <v>46035</v>
      </c>
      <c r="H1973" s="6" t="s">
        <v>115</v>
      </c>
      <c r="I1973" s="26" t="n">
        <f aca="false">_xlfn.MINIFS(Transaction!$C$2:$C$8421,Transaction!$B$2:$B$8421,A1973)</f>
        <v>46084</v>
      </c>
      <c r="J1973" s="26" t="n">
        <f aca="false">_xlfn.MAXIFS(Transaction!$C$2:$C$8421,Transaction!$B$2:$B$8421,A1973)</f>
        <v>46257</v>
      </c>
      <c r="K1973" s="6" t="n">
        <f aca="false">COUNTIF(Transaction!$B$2:$B$8421,A1973)</f>
        <v>9</v>
      </c>
      <c r="L1973" s="10" t="n">
        <f aca="false">SUMIF(Transaction!$B$2:$B$8421,A1973,Transaction!$H$2:$H$8421)</f>
        <v>12207</v>
      </c>
      <c r="M1973" s="6" t="n">
        <f aca="false">Summary!$B$3-J1973</f>
        <v>9</v>
      </c>
      <c r="N1973" s="6" t="str">
        <f aca="false">IF(K1973&gt;1,"Yes","No")</f>
        <v>Yes</v>
      </c>
      <c r="O1973" s="6" t="s">
        <v>45</v>
      </c>
    </row>
    <row r="1974" customFormat="false" ht="15" hidden="false" customHeight="false" outlineLevel="0" collapsed="false">
      <c r="A1974" s="6" t="s">
        <v>4057</v>
      </c>
      <c r="B1974" s="6" t="s">
        <v>4058</v>
      </c>
      <c r="C1974" s="6" t="s">
        <v>85</v>
      </c>
      <c r="D1974" s="6" t="n">
        <v>48</v>
      </c>
      <c r="E1974" s="6" t="s">
        <v>430</v>
      </c>
      <c r="F1974" s="6" t="s">
        <v>99</v>
      </c>
      <c r="G1974" s="26" t="n">
        <v>46103</v>
      </c>
      <c r="H1974" s="6" t="s">
        <v>92</v>
      </c>
      <c r="I1974" s="26" t="n">
        <f aca="false">_xlfn.MINIFS(Transaction!$C$2:$C$8421,Transaction!$B$2:$B$8421,A1974)</f>
        <v>46181</v>
      </c>
      <c r="J1974" s="26" t="n">
        <f aca="false">_xlfn.MAXIFS(Transaction!$C$2:$C$8421,Transaction!$B$2:$B$8421,A1974)</f>
        <v>46181</v>
      </c>
      <c r="K1974" s="6" t="n">
        <f aca="false">COUNTIF(Transaction!$B$2:$B$8421,A1974)</f>
        <v>1</v>
      </c>
      <c r="L1974" s="10" t="n">
        <f aca="false">SUMIF(Transaction!$B$2:$B$8421,A1974,Transaction!$H$2:$H$8421)</f>
        <v>224</v>
      </c>
      <c r="M1974" s="6" t="n">
        <f aca="false">Summary!$B$3-J1974</f>
        <v>85</v>
      </c>
      <c r="N1974" s="6" t="str">
        <f aca="false">IF(K1974&gt;1,"Yes","No")</f>
        <v>No</v>
      </c>
      <c r="O1974" s="6" t="s">
        <v>47</v>
      </c>
    </row>
    <row r="1975" customFormat="false" ht="15" hidden="false" customHeight="false" outlineLevel="0" collapsed="false">
      <c r="A1975" s="6" t="s">
        <v>4059</v>
      </c>
      <c r="B1975" s="6" t="s">
        <v>4060</v>
      </c>
      <c r="C1975" s="6" t="s">
        <v>75</v>
      </c>
      <c r="D1975" s="6" t="n">
        <v>32</v>
      </c>
      <c r="E1975" s="6" t="s">
        <v>206</v>
      </c>
      <c r="F1975" s="6" t="s">
        <v>106</v>
      </c>
      <c r="G1975" s="26" t="n">
        <v>46087</v>
      </c>
      <c r="H1975" s="6" t="s">
        <v>92</v>
      </c>
      <c r="I1975" s="26" t="n">
        <f aca="false">_xlfn.MINIFS(Transaction!$C$2:$C$8421,Transaction!$B$2:$B$8421,A1975)</f>
        <v>46166</v>
      </c>
      <c r="J1975" s="26" t="n">
        <f aca="false">_xlfn.MAXIFS(Transaction!$C$2:$C$8421,Transaction!$B$2:$B$8421,A1975)</f>
        <v>46166</v>
      </c>
      <c r="K1975" s="6" t="n">
        <f aca="false">COUNTIF(Transaction!$B$2:$B$8421,A1975)</f>
        <v>1</v>
      </c>
      <c r="L1975" s="10" t="n">
        <f aca="false">SUMIF(Transaction!$B$2:$B$8421,A1975,Transaction!$H$2:$H$8421)</f>
        <v>411</v>
      </c>
      <c r="M1975" s="6" t="n">
        <f aca="false">Summary!$B$3-J1975</f>
        <v>100</v>
      </c>
      <c r="N1975" s="6" t="str">
        <f aca="false">IF(K1975&gt;1,"Yes","No")</f>
        <v>No</v>
      </c>
      <c r="O1975" s="6" t="s">
        <v>48</v>
      </c>
    </row>
    <row r="1976" customFormat="false" ht="15" hidden="false" customHeight="false" outlineLevel="0" collapsed="false">
      <c r="A1976" s="6" t="s">
        <v>4061</v>
      </c>
      <c r="B1976" s="6" t="s">
        <v>4062</v>
      </c>
      <c r="C1976" s="6" t="s">
        <v>75</v>
      </c>
      <c r="D1976" s="6" t="n">
        <v>41</v>
      </c>
      <c r="E1976" s="6" t="s">
        <v>86</v>
      </c>
      <c r="F1976" s="6" t="s">
        <v>87</v>
      </c>
      <c r="G1976" s="26" t="n">
        <v>46156</v>
      </c>
      <c r="H1976" s="6" t="s">
        <v>115</v>
      </c>
      <c r="I1976" s="26" t="n">
        <f aca="false">_xlfn.MINIFS(Transaction!$C$2:$C$8421,Transaction!$B$2:$B$8421,A1976)</f>
        <v>46169</v>
      </c>
      <c r="J1976" s="26" t="n">
        <f aca="false">_xlfn.MAXIFS(Transaction!$C$2:$C$8421,Transaction!$B$2:$B$8421,A1976)</f>
        <v>46223</v>
      </c>
      <c r="K1976" s="6" t="n">
        <f aca="false">COUNTIF(Transaction!$B$2:$B$8421,A1976)</f>
        <v>5</v>
      </c>
      <c r="L1976" s="10" t="n">
        <f aca="false">SUMIF(Transaction!$B$2:$B$8421,A1976,Transaction!$H$2:$H$8421)</f>
        <v>15344</v>
      </c>
      <c r="M1976" s="6" t="n">
        <f aca="false">Summary!$B$3-J1976</f>
        <v>43</v>
      </c>
      <c r="N1976" s="6" t="str">
        <f aca="false">IF(K1976&gt;1,"Yes","No")</f>
        <v>Yes</v>
      </c>
      <c r="O1976" s="6" t="s">
        <v>46</v>
      </c>
    </row>
    <row r="1977" customFormat="false" ht="15" hidden="false" customHeight="false" outlineLevel="0" collapsed="false">
      <c r="A1977" s="6" t="s">
        <v>4063</v>
      </c>
      <c r="B1977" s="6" t="s">
        <v>4064</v>
      </c>
      <c r="C1977" s="6" t="s">
        <v>85</v>
      </c>
      <c r="D1977" s="6" t="n">
        <v>27</v>
      </c>
      <c r="E1977" s="6" t="s">
        <v>81</v>
      </c>
      <c r="F1977" s="6" t="s">
        <v>82</v>
      </c>
      <c r="G1977" s="26" t="n">
        <v>46055</v>
      </c>
      <c r="H1977" s="6" t="s">
        <v>88</v>
      </c>
      <c r="I1977" s="26" t="n">
        <f aca="false">_xlfn.MINIFS(Transaction!$C$2:$C$8421,Transaction!$B$2:$B$8421,A1977)</f>
        <v>46123</v>
      </c>
      <c r="J1977" s="26" t="n">
        <f aca="false">_xlfn.MAXIFS(Transaction!$C$2:$C$8421,Transaction!$B$2:$B$8421,A1977)</f>
        <v>46123</v>
      </c>
      <c r="K1977" s="6" t="n">
        <f aca="false">COUNTIF(Transaction!$B$2:$B$8421,A1977)</f>
        <v>1</v>
      </c>
      <c r="L1977" s="10" t="n">
        <f aca="false">SUMIF(Transaction!$B$2:$B$8421,A1977,Transaction!$H$2:$H$8421)</f>
        <v>764</v>
      </c>
      <c r="M1977" s="6" t="n">
        <f aca="false">Summary!$B$3-J1977</f>
        <v>143</v>
      </c>
      <c r="N1977" s="6" t="str">
        <f aca="false">IF(K1977&gt;1,"Yes","No")</f>
        <v>No</v>
      </c>
      <c r="O1977" s="6" t="s">
        <v>48</v>
      </c>
    </row>
    <row r="1978" customFormat="false" ht="15" hidden="false" customHeight="false" outlineLevel="0" collapsed="false">
      <c r="A1978" s="6" t="s">
        <v>4065</v>
      </c>
      <c r="B1978" s="6" t="s">
        <v>4066</v>
      </c>
      <c r="C1978" s="6" t="s">
        <v>75</v>
      </c>
      <c r="D1978" s="6" t="n">
        <v>22</v>
      </c>
      <c r="E1978" s="6" t="s">
        <v>91</v>
      </c>
      <c r="F1978" s="6" t="s">
        <v>77</v>
      </c>
      <c r="G1978" s="26" t="n">
        <v>46097</v>
      </c>
      <c r="H1978" s="6" t="s">
        <v>78</v>
      </c>
      <c r="I1978" s="26" t="n">
        <f aca="false">_xlfn.MINIFS(Transaction!$C$2:$C$8421,Transaction!$B$2:$B$8421,A1978)</f>
        <v>46104</v>
      </c>
      <c r="J1978" s="26" t="n">
        <f aca="false">_xlfn.MAXIFS(Transaction!$C$2:$C$8421,Transaction!$B$2:$B$8421,A1978)</f>
        <v>46104</v>
      </c>
      <c r="K1978" s="6" t="n">
        <f aca="false">COUNTIF(Transaction!$B$2:$B$8421,A1978)</f>
        <v>1</v>
      </c>
      <c r="L1978" s="10" t="n">
        <f aca="false">SUMIF(Transaction!$B$2:$B$8421,A1978,Transaction!$H$2:$H$8421)</f>
        <v>1325</v>
      </c>
      <c r="M1978" s="6" t="n">
        <f aca="false">Summary!$B$3-J1978</f>
        <v>162</v>
      </c>
      <c r="N1978" s="6" t="str">
        <f aca="false">IF(K1978&gt;1,"Yes","No")</f>
        <v>No</v>
      </c>
      <c r="O1978" s="6" t="s">
        <v>49</v>
      </c>
    </row>
    <row r="1979" customFormat="false" ht="15" hidden="false" customHeight="false" outlineLevel="0" collapsed="false">
      <c r="A1979" s="6" t="s">
        <v>4067</v>
      </c>
      <c r="B1979" s="6" t="s">
        <v>4068</v>
      </c>
      <c r="C1979" s="6" t="s">
        <v>85</v>
      </c>
      <c r="D1979" s="6" t="n">
        <v>23</v>
      </c>
      <c r="E1979" s="6" t="s">
        <v>81</v>
      </c>
      <c r="F1979" s="6" t="s">
        <v>82</v>
      </c>
      <c r="G1979" s="26" t="n">
        <v>46152</v>
      </c>
      <c r="H1979" s="6" t="s">
        <v>115</v>
      </c>
      <c r="I1979" s="26" t="n">
        <f aca="false">_xlfn.MINIFS(Transaction!$C$2:$C$8421,Transaction!$B$2:$B$8421,A1979)</f>
        <v>46203</v>
      </c>
      <c r="J1979" s="26" t="n">
        <f aca="false">_xlfn.MAXIFS(Transaction!$C$2:$C$8421,Transaction!$B$2:$B$8421,A1979)</f>
        <v>46203</v>
      </c>
      <c r="K1979" s="6" t="n">
        <f aca="false">COUNTIF(Transaction!$B$2:$B$8421,A1979)</f>
        <v>1</v>
      </c>
      <c r="L1979" s="10" t="n">
        <f aca="false">SUMIF(Transaction!$B$2:$B$8421,A1979,Transaction!$H$2:$H$8421)</f>
        <v>3576</v>
      </c>
      <c r="M1979" s="6" t="n">
        <f aca="false">Summary!$B$3-J1979</f>
        <v>63</v>
      </c>
      <c r="N1979" s="6" t="str">
        <f aca="false">IF(K1979&gt;1,"Yes","No")</f>
        <v>No</v>
      </c>
      <c r="O1979" s="6" t="s">
        <v>47</v>
      </c>
    </row>
    <row r="1980" customFormat="false" ht="15" hidden="false" customHeight="false" outlineLevel="0" collapsed="false">
      <c r="A1980" s="6" t="s">
        <v>4069</v>
      </c>
      <c r="B1980" s="6" t="s">
        <v>4070</v>
      </c>
      <c r="C1980" s="6" t="s">
        <v>75</v>
      </c>
      <c r="D1980" s="6" t="n">
        <v>47</v>
      </c>
      <c r="E1980" s="6" t="s">
        <v>95</v>
      </c>
      <c r="F1980" s="6" t="s">
        <v>95</v>
      </c>
      <c r="G1980" s="26" t="n">
        <v>46083</v>
      </c>
      <c r="H1980" s="6" t="s">
        <v>123</v>
      </c>
      <c r="I1980" s="26" t="n">
        <f aca="false">_xlfn.MINIFS(Transaction!$C$2:$C$8421,Transaction!$B$2:$B$8421,A1980)</f>
        <v>46083</v>
      </c>
      <c r="J1980" s="26" t="n">
        <f aca="false">_xlfn.MAXIFS(Transaction!$C$2:$C$8421,Transaction!$B$2:$B$8421,A1980)</f>
        <v>46083</v>
      </c>
      <c r="K1980" s="6" t="n">
        <f aca="false">COUNTIF(Transaction!$B$2:$B$8421,A1980)</f>
        <v>1</v>
      </c>
      <c r="L1980" s="10" t="n">
        <f aca="false">SUMIF(Transaction!$B$2:$B$8421,A1980,Transaction!$H$2:$H$8421)</f>
        <v>866</v>
      </c>
      <c r="M1980" s="6" t="n">
        <f aca="false">Summary!$B$3-J1980</f>
        <v>183</v>
      </c>
      <c r="N1980" s="6" t="str">
        <f aca="false">IF(K1980&gt;1,"Yes","No")</f>
        <v>No</v>
      </c>
      <c r="O1980" s="6" t="s">
        <v>49</v>
      </c>
    </row>
    <row r="1981" customFormat="false" ht="15" hidden="false" customHeight="false" outlineLevel="0" collapsed="false">
      <c r="A1981" s="6" t="s">
        <v>4071</v>
      </c>
      <c r="B1981" s="6" t="s">
        <v>4072</v>
      </c>
      <c r="C1981" s="6" t="s">
        <v>85</v>
      </c>
      <c r="D1981" s="6" t="n">
        <v>23</v>
      </c>
      <c r="E1981" s="6" t="s">
        <v>105</v>
      </c>
      <c r="F1981" s="6" t="s">
        <v>106</v>
      </c>
      <c r="G1981" s="26" t="n">
        <v>45965</v>
      </c>
      <c r="H1981" s="6" t="s">
        <v>115</v>
      </c>
      <c r="I1981" s="26" t="n">
        <f aca="false">_xlfn.MINIFS(Transaction!$C$2:$C$8421,Transaction!$B$2:$B$8421,A1981)</f>
        <v>46035</v>
      </c>
      <c r="J1981" s="26" t="n">
        <f aca="false">_xlfn.MAXIFS(Transaction!$C$2:$C$8421,Transaction!$B$2:$B$8421,A1981)</f>
        <v>46224</v>
      </c>
      <c r="K1981" s="6" t="n">
        <f aca="false">COUNTIF(Transaction!$B$2:$B$8421,A1981)</f>
        <v>4</v>
      </c>
      <c r="L1981" s="10" t="n">
        <f aca="false">SUMIF(Transaction!$B$2:$B$8421,A1981,Transaction!$H$2:$H$8421)</f>
        <v>5352</v>
      </c>
      <c r="M1981" s="6" t="n">
        <f aca="false">Summary!$B$3-J1981</f>
        <v>42</v>
      </c>
      <c r="N1981" s="6" t="str">
        <f aca="false">IF(K1981&gt;1,"Yes","No")</f>
        <v>Yes</v>
      </c>
      <c r="O1981" s="6" t="s">
        <v>46</v>
      </c>
    </row>
    <row r="1982" customFormat="false" ht="15" hidden="false" customHeight="false" outlineLevel="0" collapsed="false">
      <c r="A1982" s="6" t="s">
        <v>4073</v>
      </c>
      <c r="B1982" s="6" t="s">
        <v>4074</v>
      </c>
      <c r="C1982" s="6" t="s">
        <v>85</v>
      </c>
      <c r="D1982" s="6" t="n">
        <v>18</v>
      </c>
      <c r="E1982" s="6" t="s">
        <v>134</v>
      </c>
      <c r="F1982" s="6" t="s">
        <v>135</v>
      </c>
      <c r="G1982" s="26" t="n">
        <v>46108</v>
      </c>
      <c r="H1982" s="6" t="s">
        <v>88</v>
      </c>
      <c r="I1982" s="26" t="n">
        <f aca="false">_xlfn.MINIFS(Transaction!$C$2:$C$8421,Transaction!$B$2:$B$8421,A1982)</f>
        <v>46171</v>
      </c>
      <c r="J1982" s="26" t="n">
        <f aca="false">_xlfn.MAXIFS(Transaction!$C$2:$C$8421,Transaction!$B$2:$B$8421,A1982)</f>
        <v>46171</v>
      </c>
      <c r="K1982" s="6" t="n">
        <f aca="false">COUNTIF(Transaction!$B$2:$B$8421,A1982)</f>
        <v>1</v>
      </c>
      <c r="L1982" s="10" t="n">
        <f aca="false">SUMIF(Transaction!$B$2:$B$8421,A1982,Transaction!$H$2:$H$8421)</f>
        <v>1564</v>
      </c>
      <c r="M1982" s="6" t="n">
        <f aca="false">Summary!$B$3-J1982</f>
        <v>95</v>
      </c>
      <c r="N1982" s="6" t="str">
        <f aca="false">IF(K1982&gt;1,"Yes","No")</f>
        <v>No</v>
      </c>
      <c r="O1982" s="6" t="s">
        <v>48</v>
      </c>
    </row>
    <row r="1983" customFormat="false" ht="15" hidden="false" customHeight="false" outlineLevel="0" collapsed="false">
      <c r="A1983" s="6" t="s">
        <v>4075</v>
      </c>
      <c r="B1983" s="6" t="s">
        <v>4076</v>
      </c>
      <c r="C1983" s="6" t="s">
        <v>85</v>
      </c>
      <c r="D1983" s="6" t="n">
        <v>23</v>
      </c>
      <c r="E1983" s="6" t="s">
        <v>264</v>
      </c>
      <c r="F1983" s="6" t="s">
        <v>106</v>
      </c>
      <c r="G1983" s="26" t="n">
        <v>46227</v>
      </c>
      <c r="H1983" s="6" t="s">
        <v>123</v>
      </c>
      <c r="I1983" s="26" t="n">
        <f aca="false">_xlfn.MINIFS(Transaction!$C$2:$C$8421,Transaction!$B$2:$B$8421,A1983)</f>
        <v>46264</v>
      </c>
      <c r="J1983" s="26" t="n">
        <f aca="false">_xlfn.MAXIFS(Transaction!$C$2:$C$8421,Transaction!$B$2:$B$8421,A1983)</f>
        <v>46264</v>
      </c>
      <c r="K1983" s="6" t="n">
        <f aca="false">COUNTIF(Transaction!$B$2:$B$8421,A1983)</f>
        <v>1</v>
      </c>
      <c r="L1983" s="10" t="n">
        <f aca="false">SUMIF(Transaction!$B$2:$B$8421,A1983,Transaction!$H$2:$H$8421)</f>
        <v>703</v>
      </c>
      <c r="M1983" s="6" t="n">
        <f aca="false">Summary!$B$3-J1983</f>
        <v>2</v>
      </c>
      <c r="N1983" s="6" t="str">
        <f aca="false">IF(K1983&gt;1,"Yes","No")</f>
        <v>No</v>
      </c>
      <c r="O1983" s="6" t="s">
        <v>47</v>
      </c>
    </row>
    <row r="1984" customFormat="false" ht="15" hidden="false" customHeight="false" outlineLevel="0" collapsed="false">
      <c r="A1984" s="6" t="s">
        <v>4077</v>
      </c>
      <c r="B1984" s="6" t="s">
        <v>4078</v>
      </c>
      <c r="C1984" s="6" t="s">
        <v>85</v>
      </c>
      <c r="D1984" s="6" t="n">
        <v>57</v>
      </c>
      <c r="E1984" s="6" t="s">
        <v>126</v>
      </c>
      <c r="F1984" s="6" t="s">
        <v>127</v>
      </c>
      <c r="G1984" s="26" t="n">
        <v>45958</v>
      </c>
      <c r="H1984" s="6" t="s">
        <v>115</v>
      </c>
      <c r="I1984" s="26" t="n">
        <f aca="false">_xlfn.MINIFS(Transaction!$C$2:$C$8421,Transaction!$B$2:$B$8421,A1984)</f>
        <v>46028</v>
      </c>
      <c r="J1984" s="26" t="n">
        <f aca="false">_xlfn.MAXIFS(Transaction!$C$2:$C$8421,Transaction!$B$2:$B$8421,A1984)</f>
        <v>46235</v>
      </c>
      <c r="K1984" s="6" t="n">
        <f aca="false">COUNTIF(Transaction!$B$2:$B$8421,A1984)</f>
        <v>6</v>
      </c>
      <c r="L1984" s="10" t="n">
        <f aca="false">SUMIF(Transaction!$B$2:$B$8421,A1984,Transaction!$H$2:$H$8421)</f>
        <v>10101</v>
      </c>
      <c r="M1984" s="6" t="n">
        <f aca="false">Summary!$B$3-J1984</f>
        <v>31</v>
      </c>
      <c r="N1984" s="6" t="str">
        <f aca="false">IF(K1984&gt;1,"Yes","No")</f>
        <v>Yes</v>
      </c>
      <c r="O1984" s="6" t="s">
        <v>46</v>
      </c>
    </row>
    <row r="1985" customFormat="false" ht="15" hidden="false" customHeight="false" outlineLevel="0" collapsed="false">
      <c r="A1985" s="6" t="s">
        <v>4079</v>
      </c>
      <c r="B1985" s="6" t="s">
        <v>4080</v>
      </c>
      <c r="C1985" s="6" t="s">
        <v>85</v>
      </c>
      <c r="D1985" s="6" t="n">
        <v>41</v>
      </c>
      <c r="E1985" s="6" t="s">
        <v>95</v>
      </c>
      <c r="F1985" s="6" t="s">
        <v>95</v>
      </c>
      <c r="G1985" s="26" t="n">
        <v>46153</v>
      </c>
      <c r="H1985" s="6" t="s">
        <v>92</v>
      </c>
      <c r="I1985" s="26" t="n">
        <f aca="false">_xlfn.MINIFS(Transaction!$C$2:$C$8421,Transaction!$B$2:$B$8421,A1985)</f>
        <v>46173</v>
      </c>
      <c r="J1985" s="26" t="n">
        <f aca="false">_xlfn.MAXIFS(Transaction!$C$2:$C$8421,Transaction!$B$2:$B$8421,A1985)</f>
        <v>46173</v>
      </c>
      <c r="K1985" s="6" t="n">
        <f aca="false">COUNTIF(Transaction!$B$2:$B$8421,A1985)</f>
        <v>1</v>
      </c>
      <c r="L1985" s="10" t="n">
        <f aca="false">SUMIF(Transaction!$B$2:$B$8421,A1985,Transaction!$H$2:$H$8421)</f>
        <v>1856</v>
      </c>
      <c r="M1985" s="6" t="n">
        <f aca="false">Summary!$B$3-J1985</f>
        <v>93</v>
      </c>
      <c r="N1985" s="6" t="str">
        <f aca="false">IF(K1985&gt;1,"Yes","No")</f>
        <v>No</v>
      </c>
      <c r="O1985" s="6" t="s">
        <v>48</v>
      </c>
    </row>
    <row r="1986" customFormat="false" ht="15" hidden="false" customHeight="false" outlineLevel="0" collapsed="false">
      <c r="A1986" s="6" t="s">
        <v>4081</v>
      </c>
      <c r="B1986" s="6" t="s">
        <v>4082</v>
      </c>
      <c r="C1986" s="6" t="s">
        <v>75</v>
      </c>
      <c r="D1986" s="6" t="n">
        <v>21</v>
      </c>
      <c r="E1986" s="6" t="s">
        <v>81</v>
      </c>
      <c r="F1986" s="6" t="s">
        <v>82</v>
      </c>
      <c r="G1986" s="26" t="n">
        <v>46172</v>
      </c>
      <c r="H1986" s="6" t="s">
        <v>88</v>
      </c>
      <c r="I1986" s="26" t="n">
        <f aca="false">_xlfn.MINIFS(Transaction!$C$2:$C$8421,Transaction!$B$2:$B$8421,A1986)</f>
        <v>46233</v>
      </c>
      <c r="J1986" s="26" t="n">
        <f aca="false">_xlfn.MAXIFS(Transaction!$C$2:$C$8421,Transaction!$B$2:$B$8421,A1986)</f>
        <v>46233</v>
      </c>
      <c r="K1986" s="6" t="n">
        <f aca="false">COUNTIF(Transaction!$B$2:$B$8421,A1986)</f>
        <v>1</v>
      </c>
      <c r="L1986" s="10" t="n">
        <f aca="false">SUMIF(Transaction!$B$2:$B$8421,A1986,Transaction!$H$2:$H$8421)</f>
        <v>559</v>
      </c>
      <c r="M1986" s="6" t="n">
        <f aca="false">Summary!$B$3-J1986</f>
        <v>33</v>
      </c>
      <c r="N1986" s="6" t="str">
        <f aca="false">IF(K1986&gt;1,"Yes","No")</f>
        <v>No</v>
      </c>
      <c r="O1986" s="6" t="s">
        <v>47</v>
      </c>
    </row>
    <row r="1987" customFormat="false" ht="15" hidden="false" customHeight="false" outlineLevel="0" collapsed="false">
      <c r="A1987" s="6" t="s">
        <v>4083</v>
      </c>
      <c r="B1987" s="6" t="s">
        <v>4084</v>
      </c>
      <c r="C1987" s="6" t="s">
        <v>85</v>
      </c>
      <c r="D1987" s="6" t="n">
        <v>46</v>
      </c>
      <c r="E1987" s="6" t="s">
        <v>81</v>
      </c>
      <c r="F1987" s="6" t="s">
        <v>82</v>
      </c>
      <c r="G1987" s="26" t="n">
        <v>46011</v>
      </c>
      <c r="H1987" s="6" t="s">
        <v>78</v>
      </c>
      <c r="I1987" s="26" t="n">
        <f aca="false">_xlfn.MINIFS(Transaction!$C$2:$C$8421,Transaction!$B$2:$B$8421,A1987)</f>
        <v>46030</v>
      </c>
      <c r="J1987" s="26" t="n">
        <f aca="false">_xlfn.MAXIFS(Transaction!$C$2:$C$8421,Transaction!$B$2:$B$8421,A1987)</f>
        <v>46207</v>
      </c>
      <c r="K1987" s="6" t="n">
        <f aca="false">COUNTIF(Transaction!$B$2:$B$8421,A1987)</f>
        <v>5</v>
      </c>
      <c r="L1987" s="10" t="n">
        <f aca="false">SUMIF(Transaction!$B$2:$B$8421,A1987,Transaction!$H$2:$H$8421)</f>
        <v>4048</v>
      </c>
      <c r="M1987" s="6" t="n">
        <f aca="false">Summary!$B$3-J1987</f>
        <v>59</v>
      </c>
      <c r="N1987" s="6" t="str">
        <f aca="false">IF(K1987&gt;1,"Yes","No")</f>
        <v>Yes</v>
      </c>
      <c r="O1987" s="6" t="s">
        <v>46</v>
      </c>
    </row>
    <row r="1988" customFormat="false" ht="15" hidden="false" customHeight="false" outlineLevel="0" collapsed="false">
      <c r="A1988" s="6" t="s">
        <v>4085</v>
      </c>
      <c r="B1988" s="6" t="s">
        <v>4086</v>
      </c>
      <c r="C1988" s="6" t="s">
        <v>85</v>
      </c>
      <c r="D1988" s="6" t="n">
        <v>27</v>
      </c>
      <c r="E1988" s="6" t="s">
        <v>81</v>
      </c>
      <c r="F1988" s="6" t="s">
        <v>82</v>
      </c>
      <c r="G1988" s="26" t="n">
        <v>45978</v>
      </c>
      <c r="H1988" s="6" t="s">
        <v>102</v>
      </c>
      <c r="I1988" s="26" t="n">
        <f aca="false">_xlfn.MINIFS(Transaction!$C$2:$C$8421,Transaction!$B$2:$B$8421,A1988)</f>
        <v>46053</v>
      </c>
      <c r="J1988" s="26" t="n">
        <f aca="false">_xlfn.MAXIFS(Transaction!$C$2:$C$8421,Transaction!$B$2:$B$8421,A1988)</f>
        <v>46233</v>
      </c>
      <c r="K1988" s="6" t="n">
        <f aca="false">COUNTIF(Transaction!$B$2:$B$8421,A1988)</f>
        <v>4</v>
      </c>
      <c r="L1988" s="10" t="n">
        <f aca="false">SUMIF(Transaction!$B$2:$B$8421,A1988,Transaction!$H$2:$H$8421)</f>
        <v>7358</v>
      </c>
      <c r="M1988" s="6" t="n">
        <f aca="false">Summary!$B$3-J1988</f>
        <v>33</v>
      </c>
      <c r="N1988" s="6" t="str">
        <f aca="false">IF(K1988&gt;1,"Yes","No")</f>
        <v>Yes</v>
      </c>
      <c r="O1988" s="6" t="s">
        <v>46</v>
      </c>
    </row>
    <row r="1989" customFormat="false" ht="15" hidden="false" customHeight="false" outlineLevel="0" collapsed="false">
      <c r="A1989" s="6" t="s">
        <v>4087</v>
      </c>
      <c r="B1989" s="6" t="s">
        <v>4088</v>
      </c>
      <c r="C1989" s="6" t="s">
        <v>75</v>
      </c>
      <c r="D1989" s="6" t="n">
        <v>25</v>
      </c>
      <c r="E1989" s="6" t="s">
        <v>86</v>
      </c>
      <c r="F1989" s="6" t="s">
        <v>87</v>
      </c>
      <c r="G1989" s="26" t="n">
        <v>46189</v>
      </c>
      <c r="H1989" s="6" t="s">
        <v>115</v>
      </c>
      <c r="I1989" s="26" t="n">
        <f aca="false">_xlfn.MINIFS(Transaction!$C$2:$C$8421,Transaction!$B$2:$B$8421,A1989)</f>
        <v>46209</v>
      </c>
      <c r="J1989" s="26" t="n">
        <f aca="false">_xlfn.MAXIFS(Transaction!$C$2:$C$8421,Transaction!$B$2:$B$8421,A1989)</f>
        <v>46209</v>
      </c>
      <c r="K1989" s="6" t="n">
        <f aca="false">COUNTIF(Transaction!$B$2:$B$8421,A1989)</f>
        <v>1</v>
      </c>
      <c r="L1989" s="10" t="n">
        <f aca="false">SUMIF(Transaction!$B$2:$B$8421,A1989,Transaction!$H$2:$H$8421)</f>
        <v>1323</v>
      </c>
      <c r="M1989" s="6" t="n">
        <f aca="false">Summary!$B$3-J1989</f>
        <v>57</v>
      </c>
      <c r="N1989" s="6" t="str">
        <f aca="false">IF(K1989&gt;1,"Yes","No")</f>
        <v>No</v>
      </c>
      <c r="O1989" s="6" t="s">
        <v>47</v>
      </c>
    </row>
    <row r="1990" customFormat="false" ht="15" hidden="false" customHeight="false" outlineLevel="0" collapsed="false">
      <c r="A1990" s="6" t="s">
        <v>4089</v>
      </c>
      <c r="B1990" s="6" t="s">
        <v>4090</v>
      </c>
      <c r="C1990" s="6" t="s">
        <v>75</v>
      </c>
      <c r="D1990" s="6" t="n">
        <v>18</v>
      </c>
      <c r="E1990" s="6" t="s">
        <v>126</v>
      </c>
      <c r="F1990" s="6" t="s">
        <v>127</v>
      </c>
      <c r="G1990" s="26" t="n">
        <v>46080</v>
      </c>
      <c r="H1990" s="6" t="s">
        <v>78</v>
      </c>
      <c r="I1990" s="26" t="n">
        <f aca="false">_xlfn.MINIFS(Transaction!$C$2:$C$8421,Transaction!$B$2:$B$8421,A1990)</f>
        <v>46159</v>
      </c>
      <c r="J1990" s="26" t="n">
        <f aca="false">_xlfn.MAXIFS(Transaction!$C$2:$C$8421,Transaction!$B$2:$B$8421,A1990)</f>
        <v>46159</v>
      </c>
      <c r="K1990" s="6" t="n">
        <f aca="false">COUNTIF(Transaction!$B$2:$B$8421,A1990)</f>
        <v>1</v>
      </c>
      <c r="L1990" s="10" t="n">
        <f aca="false">SUMIF(Transaction!$B$2:$B$8421,A1990,Transaction!$H$2:$H$8421)</f>
        <v>2232</v>
      </c>
      <c r="M1990" s="6" t="n">
        <f aca="false">Summary!$B$3-J1990</f>
        <v>107</v>
      </c>
      <c r="N1990" s="6" t="str">
        <f aca="false">IF(K1990&gt;1,"Yes","No")</f>
        <v>No</v>
      </c>
      <c r="O1990" s="6" t="s">
        <v>48</v>
      </c>
    </row>
    <row r="1991" customFormat="false" ht="15" hidden="false" customHeight="false" outlineLevel="0" collapsed="false">
      <c r="A1991" s="6" t="s">
        <v>4091</v>
      </c>
      <c r="B1991" s="6" t="s">
        <v>4092</v>
      </c>
      <c r="C1991" s="6" t="s">
        <v>75</v>
      </c>
      <c r="D1991" s="6" t="n">
        <v>37</v>
      </c>
      <c r="E1991" s="6" t="s">
        <v>134</v>
      </c>
      <c r="F1991" s="6" t="s">
        <v>135</v>
      </c>
      <c r="G1991" s="26" t="n">
        <v>46004</v>
      </c>
      <c r="H1991" s="6" t="s">
        <v>78</v>
      </c>
      <c r="I1991" s="26" t="n">
        <f aca="false">_xlfn.MINIFS(Transaction!$C$2:$C$8421,Transaction!$B$2:$B$8421,A1991)</f>
        <v>46024</v>
      </c>
      <c r="J1991" s="26" t="n">
        <f aca="false">_xlfn.MAXIFS(Transaction!$C$2:$C$8421,Transaction!$B$2:$B$8421,A1991)</f>
        <v>46244</v>
      </c>
      <c r="K1991" s="6" t="n">
        <f aca="false">COUNTIF(Transaction!$B$2:$B$8421,A1991)</f>
        <v>11</v>
      </c>
      <c r="L1991" s="10" t="n">
        <f aca="false">SUMIF(Transaction!$B$2:$B$8421,A1991,Transaction!$H$2:$H$8421)</f>
        <v>20306</v>
      </c>
      <c r="M1991" s="6" t="n">
        <f aca="false">Summary!$B$3-J1991</f>
        <v>22</v>
      </c>
      <c r="N1991" s="6" t="str">
        <f aca="false">IF(K1991&gt;1,"Yes","No")</f>
        <v>Yes</v>
      </c>
      <c r="O1991" s="6" t="s">
        <v>45</v>
      </c>
    </row>
    <row r="1992" customFormat="false" ht="15" hidden="false" customHeight="false" outlineLevel="0" collapsed="false">
      <c r="A1992" s="6" t="s">
        <v>4093</v>
      </c>
      <c r="B1992" s="6" t="s">
        <v>4094</v>
      </c>
      <c r="C1992" s="6" t="s">
        <v>85</v>
      </c>
      <c r="D1992" s="6" t="n">
        <v>24</v>
      </c>
      <c r="E1992" s="6" t="s">
        <v>95</v>
      </c>
      <c r="F1992" s="6" t="s">
        <v>95</v>
      </c>
      <c r="G1992" s="26" t="n">
        <v>46193</v>
      </c>
      <c r="H1992" s="6" t="s">
        <v>102</v>
      </c>
      <c r="I1992" s="26" t="n">
        <f aca="false">_xlfn.MINIFS(Transaction!$C$2:$C$8421,Transaction!$B$2:$B$8421,A1992)</f>
        <v>46257</v>
      </c>
      <c r="J1992" s="26" t="n">
        <f aca="false">_xlfn.MAXIFS(Transaction!$C$2:$C$8421,Transaction!$B$2:$B$8421,A1992)</f>
        <v>46257</v>
      </c>
      <c r="K1992" s="6" t="n">
        <f aca="false">COUNTIF(Transaction!$B$2:$B$8421,A1992)</f>
        <v>1</v>
      </c>
      <c r="L1992" s="10" t="n">
        <f aca="false">SUMIF(Transaction!$B$2:$B$8421,A1992,Transaction!$H$2:$H$8421)</f>
        <v>15296</v>
      </c>
      <c r="M1992" s="6" t="n">
        <f aca="false">Summary!$B$3-J1992</f>
        <v>9</v>
      </c>
      <c r="N1992" s="6" t="str">
        <f aca="false">IF(K1992&gt;1,"Yes","No")</f>
        <v>No</v>
      </c>
      <c r="O1992" s="6" t="s">
        <v>47</v>
      </c>
    </row>
    <row r="1993" customFormat="false" ht="15" hidden="false" customHeight="false" outlineLevel="0" collapsed="false">
      <c r="A1993" s="6" t="s">
        <v>4095</v>
      </c>
      <c r="B1993" s="6" t="s">
        <v>4096</v>
      </c>
      <c r="C1993" s="6" t="s">
        <v>85</v>
      </c>
      <c r="D1993" s="6" t="n">
        <v>58</v>
      </c>
      <c r="E1993" s="6" t="s">
        <v>95</v>
      </c>
      <c r="F1993" s="6" t="s">
        <v>95</v>
      </c>
      <c r="G1993" s="26" t="n">
        <v>46028</v>
      </c>
      <c r="H1993" s="6" t="s">
        <v>102</v>
      </c>
      <c r="I1993" s="26" t="n">
        <f aca="false">_xlfn.MINIFS(Transaction!$C$2:$C$8421,Transaction!$B$2:$B$8421,A1993)</f>
        <v>46058</v>
      </c>
      <c r="J1993" s="26" t="n">
        <f aca="false">_xlfn.MAXIFS(Transaction!$C$2:$C$8421,Transaction!$B$2:$B$8421,A1993)</f>
        <v>46058</v>
      </c>
      <c r="K1993" s="6" t="n">
        <f aca="false">COUNTIF(Transaction!$B$2:$B$8421,A1993)</f>
        <v>1</v>
      </c>
      <c r="L1993" s="10" t="n">
        <f aca="false">SUMIF(Transaction!$B$2:$B$8421,A1993,Transaction!$H$2:$H$8421)</f>
        <v>1080</v>
      </c>
      <c r="M1993" s="6" t="n">
        <f aca="false">Summary!$B$3-J1993</f>
        <v>208</v>
      </c>
      <c r="N1993" s="6" t="str">
        <f aca="false">IF(K1993&gt;1,"Yes","No")</f>
        <v>No</v>
      </c>
      <c r="O1993" s="6" t="s">
        <v>49</v>
      </c>
    </row>
    <row r="1994" customFormat="false" ht="15" hidden="false" customHeight="false" outlineLevel="0" collapsed="false">
      <c r="A1994" s="6" t="s">
        <v>4097</v>
      </c>
      <c r="B1994" s="6" t="s">
        <v>4098</v>
      </c>
      <c r="C1994" s="6" t="s">
        <v>75</v>
      </c>
      <c r="D1994" s="6" t="n">
        <v>33</v>
      </c>
      <c r="E1994" s="6" t="s">
        <v>105</v>
      </c>
      <c r="F1994" s="6" t="s">
        <v>106</v>
      </c>
      <c r="G1994" s="26" t="n">
        <v>46189</v>
      </c>
      <c r="H1994" s="6" t="s">
        <v>115</v>
      </c>
      <c r="I1994" s="26" t="n">
        <f aca="false">_xlfn.MINIFS(Transaction!$C$2:$C$8421,Transaction!$B$2:$B$8421,A1994)</f>
        <v>46216</v>
      </c>
      <c r="J1994" s="26" t="n">
        <f aca="false">_xlfn.MAXIFS(Transaction!$C$2:$C$8421,Transaction!$B$2:$B$8421,A1994)</f>
        <v>46216</v>
      </c>
      <c r="K1994" s="6" t="n">
        <f aca="false">COUNTIF(Transaction!$B$2:$B$8421,A1994)</f>
        <v>1</v>
      </c>
      <c r="L1994" s="10" t="n">
        <f aca="false">SUMIF(Transaction!$B$2:$B$8421,A1994,Transaction!$H$2:$H$8421)</f>
        <v>1954</v>
      </c>
      <c r="M1994" s="6" t="n">
        <f aca="false">Summary!$B$3-J1994</f>
        <v>50</v>
      </c>
      <c r="N1994" s="6" t="str">
        <f aca="false">IF(K1994&gt;1,"Yes","No")</f>
        <v>No</v>
      </c>
      <c r="O1994" s="6" t="s">
        <v>47</v>
      </c>
    </row>
    <row r="1995" customFormat="false" ht="15" hidden="false" customHeight="false" outlineLevel="0" collapsed="false">
      <c r="A1995" s="6" t="s">
        <v>4099</v>
      </c>
      <c r="B1995" s="6" t="s">
        <v>4100</v>
      </c>
      <c r="C1995" s="6" t="s">
        <v>75</v>
      </c>
      <c r="D1995" s="6" t="n">
        <v>26</v>
      </c>
      <c r="E1995" s="6" t="s">
        <v>76</v>
      </c>
      <c r="F1995" s="6" t="s">
        <v>77</v>
      </c>
      <c r="G1995" s="26" t="n">
        <v>46049</v>
      </c>
      <c r="H1995" s="6" t="s">
        <v>78</v>
      </c>
      <c r="I1995" s="26" t="n">
        <f aca="false">_xlfn.MINIFS(Transaction!$C$2:$C$8421,Transaction!$B$2:$B$8421,A1995)</f>
        <v>46116</v>
      </c>
      <c r="J1995" s="26" t="n">
        <f aca="false">_xlfn.MAXIFS(Transaction!$C$2:$C$8421,Transaction!$B$2:$B$8421,A1995)</f>
        <v>46206</v>
      </c>
      <c r="K1995" s="6" t="n">
        <f aca="false">COUNTIF(Transaction!$B$2:$B$8421,A1995)</f>
        <v>6</v>
      </c>
      <c r="L1995" s="10" t="n">
        <f aca="false">SUMIF(Transaction!$B$2:$B$8421,A1995,Transaction!$H$2:$H$8421)</f>
        <v>17517</v>
      </c>
      <c r="M1995" s="6" t="n">
        <f aca="false">Summary!$B$3-J1995</f>
        <v>60</v>
      </c>
      <c r="N1995" s="6" t="str">
        <f aca="false">IF(K1995&gt;1,"Yes","No")</f>
        <v>Yes</v>
      </c>
      <c r="O1995" s="6" t="s">
        <v>46</v>
      </c>
    </row>
    <row r="1996" customFormat="false" ht="15" hidden="false" customHeight="false" outlineLevel="0" collapsed="false">
      <c r="A1996" s="6" t="s">
        <v>4101</v>
      </c>
      <c r="B1996" s="6" t="s">
        <v>4102</v>
      </c>
      <c r="C1996" s="6" t="s">
        <v>85</v>
      </c>
      <c r="D1996" s="6" t="n">
        <v>39</v>
      </c>
      <c r="E1996" s="6" t="s">
        <v>146</v>
      </c>
      <c r="F1996" s="6" t="s">
        <v>147</v>
      </c>
      <c r="G1996" s="26" t="n">
        <v>46147</v>
      </c>
      <c r="H1996" s="6" t="s">
        <v>115</v>
      </c>
      <c r="I1996" s="26" t="n">
        <f aca="false">_xlfn.MINIFS(Transaction!$C$2:$C$8421,Transaction!$B$2:$B$8421,A1996)</f>
        <v>46206</v>
      </c>
      <c r="J1996" s="26" t="n">
        <f aca="false">_xlfn.MAXIFS(Transaction!$C$2:$C$8421,Transaction!$B$2:$B$8421,A1996)</f>
        <v>46240</v>
      </c>
      <c r="K1996" s="6" t="n">
        <f aca="false">COUNTIF(Transaction!$B$2:$B$8421,A1996)</f>
        <v>2</v>
      </c>
      <c r="L1996" s="10" t="n">
        <f aca="false">SUMIF(Transaction!$B$2:$B$8421,A1996,Transaction!$H$2:$H$8421)</f>
        <v>1759</v>
      </c>
      <c r="M1996" s="6" t="n">
        <f aca="false">Summary!$B$3-J1996</f>
        <v>26</v>
      </c>
      <c r="N1996" s="6" t="str">
        <f aca="false">IF(K1996&gt;1,"Yes","No")</f>
        <v>Yes</v>
      </c>
      <c r="O1996" s="6" t="s">
        <v>46</v>
      </c>
    </row>
    <row r="1997" customFormat="false" ht="15" hidden="false" customHeight="false" outlineLevel="0" collapsed="false">
      <c r="A1997" s="6" t="s">
        <v>4103</v>
      </c>
      <c r="B1997" s="6" t="s">
        <v>4104</v>
      </c>
      <c r="C1997" s="6" t="s">
        <v>75</v>
      </c>
      <c r="D1997" s="6" t="n">
        <v>29</v>
      </c>
      <c r="E1997" s="6" t="s">
        <v>105</v>
      </c>
      <c r="F1997" s="6" t="s">
        <v>106</v>
      </c>
      <c r="G1997" s="26" t="n">
        <v>46109</v>
      </c>
      <c r="H1997" s="6" t="s">
        <v>115</v>
      </c>
      <c r="I1997" s="26" t="n">
        <f aca="false">_xlfn.MINIFS(Transaction!$C$2:$C$8421,Transaction!$B$2:$B$8421,A1997)</f>
        <v>46125</v>
      </c>
      <c r="J1997" s="26" t="n">
        <f aca="false">_xlfn.MAXIFS(Transaction!$C$2:$C$8421,Transaction!$B$2:$B$8421,A1997)</f>
        <v>46125</v>
      </c>
      <c r="K1997" s="6" t="n">
        <f aca="false">COUNTIF(Transaction!$B$2:$B$8421,A1997)</f>
        <v>1</v>
      </c>
      <c r="L1997" s="10" t="n">
        <f aca="false">SUMIF(Transaction!$B$2:$B$8421,A1997,Transaction!$H$2:$H$8421)</f>
        <v>1628</v>
      </c>
      <c r="M1997" s="6" t="n">
        <f aca="false">Summary!$B$3-J1997</f>
        <v>141</v>
      </c>
      <c r="N1997" s="6" t="str">
        <f aca="false">IF(K1997&gt;1,"Yes","No")</f>
        <v>No</v>
      </c>
      <c r="O1997" s="6" t="s">
        <v>48</v>
      </c>
    </row>
    <row r="1998" customFormat="false" ht="15" hidden="false" customHeight="false" outlineLevel="0" collapsed="false">
      <c r="A1998" s="6" t="s">
        <v>4105</v>
      </c>
      <c r="B1998" s="6" t="s">
        <v>4106</v>
      </c>
      <c r="C1998" s="6" t="s">
        <v>75</v>
      </c>
      <c r="D1998" s="6" t="n">
        <v>33</v>
      </c>
      <c r="E1998" s="6" t="s">
        <v>95</v>
      </c>
      <c r="F1998" s="6" t="s">
        <v>95</v>
      </c>
      <c r="G1998" s="26" t="n">
        <v>46002</v>
      </c>
      <c r="H1998" s="6" t="s">
        <v>115</v>
      </c>
      <c r="I1998" s="26" t="n">
        <f aca="false">_xlfn.MINIFS(Transaction!$C$2:$C$8421,Transaction!$B$2:$B$8421,A1998)</f>
        <v>46045</v>
      </c>
      <c r="J1998" s="26" t="n">
        <f aca="false">_xlfn.MAXIFS(Transaction!$C$2:$C$8421,Transaction!$B$2:$B$8421,A1998)</f>
        <v>46188</v>
      </c>
      <c r="K1998" s="6" t="n">
        <f aca="false">COUNTIF(Transaction!$B$2:$B$8421,A1998)</f>
        <v>4</v>
      </c>
      <c r="L1998" s="10" t="n">
        <f aca="false">SUMIF(Transaction!$B$2:$B$8421,A1998,Transaction!$H$2:$H$8421)</f>
        <v>6874</v>
      </c>
      <c r="M1998" s="6" t="n">
        <f aca="false">Summary!$B$3-J1998</f>
        <v>78</v>
      </c>
      <c r="N1998" s="6" t="str">
        <f aca="false">IF(K1998&gt;1,"Yes","No")</f>
        <v>Yes</v>
      </c>
      <c r="O1998" s="6" t="s">
        <v>46</v>
      </c>
    </row>
    <row r="1999" customFormat="false" ht="15" hidden="false" customHeight="false" outlineLevel="0" collapsed="false">
      <c r="A1999" s="6" t="s">
        <v>4107</v>
      </c>
      <c r="B1999" s="6" t="s">
        <v>4108</v>
      </c>
      <c r="C1999" s="6" t="s">
        <v>85</v>
      </c>
      <c r="D1999" s="6" t="n">
        <v>31</v>
      </c>
      <c r="E1999" s="6" t="s">
        <v>81</v>
      </c>
      <c r="F1999" s="6" t="s">
        <v>82</v>
      </c>
      <c r="G1999" s="26" t="n">
        <v>45991</v>
      </c>
      <c r="H1999" s="6" t="s">
        <v>78</v>
      </c>
      <c r="I1999" s="26" t="n">
        <f aca="false">_xlfn.MINIFS(Transaction!$C$2:$C$8421,Transaction!$B$2:$B$8421,A1999)</f>
        <v>46052</v>
      </c>
      <c r="J1999" s="26" t="n">
        <f aca="false">_xlfn.MAXIFS(Transaction!$C$2:$C$8421,Transaction!$B$2:$B$8421,A1999)</f>
        <v>46052</v>
      </c>
      <c r="K1999" s="6" t="n">
        <f aca="false">COUNTIF(Transaction!$B$2:$B$8421,A1999)</f>
        <v>1</v>
      </c>
      <c r="L1999" s="10" t="n">
        <f aca="false">SUMIF(Transaction!$B$2:$B$8421,A1999,Transaction!$H$2:$H$8421)</f>
        <v>2288</v>
      </c>
      <c r="M1999" s="6" t="n">
        <f aca="false">Summary!$B$3-J1999</f>
        <v>214</v>
      </c>
      <c r="N1999" s="6" t="str">
        <f aca="false">IF(K1999&gt;1,"Yes","No")</f>
        <v>No</v>
      </c>
      <c r="O1999" s="6" t="s">
        <v>49</v>
      </c>
    </row>
    <row r="2000" customFormat="false" ht="15" hidden="false" customHeight="false" outlineLevel="0" collapsed="false">
      <c r="A2000" s="6" t="s">
        <v>4109</v>
      </c>
      <c r="B2000" s="6" t="s">
        <v>4110</v>
      </c>
      <c r="C2000" s="6" t="s">
        <v>85</v>
      </c>
      <c r="D2000" s="6" t="n">
        <v>39</v>
      </c>
      <c r="E2000" s="6" t="s">
        <v>95</v>
      </c>
      <c r="F2000" s="6" t="s">
        <v>95</v>
      </c>
      <c r="G2000" s="26" t="n">
        <v>45944</v>
      </c>
      <c r="H2000" s="6" t="s">
        <v>115</v>
      </c>
      <c r="I2000" s="26" t="n">
        <f aca="false">_xlfn.MINIFS(Transaction!$C$2:$C$8421,Transaction!$B$2:$B$8421,A2000)</f>
        <v>46027</v>
      </c>
      <c r="J2000" s="26" t="n">
        <f aca="false">_xlfn.MAXIFS(Transaction!$C$2:$C$8421,Transaction!$B$2:$B$8421,A2000)</f>
        <v>46255</v>
      </c>
      <c r="K2000" s="6" t="n">
        <f aca="false">COUNTIF(Transaction!$B$2:$B$8421,A2000)</f>
        <v>10</v>
      </c>
      <c r="L2000" s="10" t="n">
        <f aca="false">SUMIF(Transaction!$B$2:$B$8421,A2000,Transaction!$H$2:$H$8421)</f>
        <v>28144</v>
      </c>
      <c r="M2000" s="6" t="n">
        <f aca="false">Summary!$B$3-J2000</f>
        <v>11</v>
      </c>
      <c r="N2000" s="6" t="str">
        <f aca="false">IF(K2000&gt;1,"Yes","No")</f>
        <v>Yes</v>
      </c>
      <c r="O2000" s="6" t="s">
        <v>45</v>
      </c>
    </row>
    <row r="2001" customFormat="false" ht="15" hidden="false" customHeight="false" outlineLevel="0" collapsed="false">
      <c r="A2001" s="6" t="s">
        <v>4111</v>
      </c>
      <c r="B2001" s="6" t="s">
        <v>4112</v>
      </c>
      <c r="C2001" s="6" t="s">
        <v>85</v>
      </c>
      <c r="D2001" s="6" t="n">
        <v>37</v>
      </c>
      <c r="E2001" s="6" t="s">
        <v>176</v>
      </c>
      <c r="F2001" s="6" t="s">
        <v>177</v>
      </c>
      <c r="G2001" s="26" t="n">
        <v>46123</v>
      </c>
      <c r="H2001" s="6" t="s">
        <v>88</v>
      </c>
      <c r="I2001" s="26" t="n">
        <f aca="false">_xlfn.MINIFS(Transaction!$C$2:$C$8421,Transaction!$B$2:$B$8421,A2001)</f>
        <v>46145</v>
      </c>
      <c r="J2001" s="26" t="n">
        <f aca="false">_xlfn.MAXIFS(Transaction!$C$2:$C$8421,Transaction!$B$2:$B$8421,A2001)</f>
        <v>46145</v>
      </c>
      <c r="K2001" s="6" t="n">
        <f aca="false">COUNTIF(Transaction!$B$2:$B$8421,A2001)</f>
        <v>1</v>
      </c>
      <c r="L2001" s="10" t="n">
        <f aca="false">SUMIF(Transaction!$B$2:$B$8421,A2001,Transaction!$H$2:$H$8421)</f>
        <v>3363</v>
      </c>
      <c r="M2001" s="6" t="n">
        <f aca="false">Summary!$B$3-J2001</f>
        <v>121</v>
      </c>
      <c r="N2001" s="6" t="str">
        <f aca="false">IF(K2001&gt;1,"Yes","No")</f>
        <v>No</v>
      </c>
      <c r="O2001" s="6" t="s">
        <v>48</v>
      </c>
    </row>
    <row r="2002" customFormat="false" ht="15" hidden="false" customHeight="false" outlineLevel="0" collapsed="false">
      <c r="A2002" s="6" t="s">
        <v>4113</v>
      </c>
      <c r="B2002" s="6" t="s">
        <v>4114</v>
      </c>
      <c r="C2002" s="6" t="s">
        <v>75</v>
      </c>
      <c r="D2002" s="6" t="n">
        <v>34</v>
      </c>
      <c r="E2002" s="6" t="s">
        <v>121</v>
      </c>
      <c r="F2002" s="6" t="s">
        <v>122</v>
      </c>
      <c r="G2002" s="26" t="n">
        <v>46170</v>
      </c>
      <c r="H2002" s="6" t="s">
        <v>78</v>
      </c>
      <c r="I2002" s="26" t="n">
        <f aca="false">_xlfn.MINIFS(Transaction!$C$2:$C$8421,Transaction!$B$2:$B$8421,A2002)</f>
        <v>46259</v>
      </c>
      <c r="J2002" s="26" t="n">
        <f aca="false">_xlfn.MAXIFS(Transaction!$C$2:$C$8421,Transaction!$B$2:$B$8421,A2002)</f>
        <v>46259</v>
      </c>
      <c r="K2002" s="6" t="n">
        <f aca="false">COUNTIF(Transaction!$B$2:$B$8421,A2002)</f>
        <v>1</v>
      </c>
      <c r="L2002" s="10" t="n">
        <f aca="false">SUMIF(Transaction!$B$2:$B$8421,A2002,Transaction!$H$2:$H$8421)</f>
        <v>1566</v>
      </c>
      <c r="M2002" s="6" t="n">
        <f aca="false">Summary!$B$3-J2002</f>
        <v>7</v>
      </c>
      <c r="N2002" s="6" t="str">
        <f aca="false">IF(K2002&gt;1,"Yes","No")</f>
        <v>No</v>
      </c>
      <c r="O2002" s="6" t="s">
        <v>47</v>
      </c>
    </row>
    <row r="2003" customFormat="false" ht="15" hidden="false" customHeight="false" outlineLevel="0" collapsed="false">
      <c r="A2003" s="6" t="s">
        <v>4115</v>
      </c>
      <c r="B2003" s="6" t="s">
        <v>4116</v>
      </c>
      <c r="C2003" s="6" t="s">
        <v>75</v>
      </c>
      <c r="D2003" s="6" t="n">
        <v>18</v>
      </c>
      <c r="E2003" s="6" t="s">
        <v>237</v>
      </c>
      <c r="F2003" s="6" t="s">
        <v>87</v>
      </c>
      <c r="G2003" s="26" t="n">
        <v>45977</v>
      </c>
      <c r="H2003" s="6" t="s">
        <v>123</v>
      </c>
      <c r="I2003" s="26" t="n">
        <f aca="false">_xlfn.MINIFS(Transaction!$C$2:$C$8421,Transaction!$B$2:$B$8421,A2003)</f>
        <v>46048</v>
      </c>
      <c r="J2003" s="26" t="n">
        <f aca="false">_xlfn.MAXIFS(Transaction!$C$2:$C$8421,Transaction!$B$2:$B$8421,A2003)</f>
        <v>46048</v>
      </c>
      <c r="K2003" s="6" t="n">
        <f aca="false">COUNTIF(Transaction!$B$2:$B$8421,A2003)</f>
        <v>1</v>
      </c>
      <c r="L2003" s="10" t="n">
        <f aca="false">SUMIF(Transaction!$B$2:$B$8421,A2003,Transaction!$H$2:$H$8421)</f>
        <v>1030</v>
      </c>
      <c r="M2003" s="6" t="n">
        <f aca="false">Summary!$B$3-J2003</f>
        <v>218</v>
      </c>
      <c r="N2003" s="6" t="str">
        <f aca="false">IF(K2003&gt;1,"Yes","No")</f>
        <v>No</v>
      </c>
      <c r="O2003" s="6" t="s">
        <v>49</v>
      </c>
    </row>
    <row r="2004" customFormat="false" ht="15" hidden="false" customHeight="false" outlineLevel="0" collapsed="false">
      <c r="A2004" s="6" t="s">
        <v>4117</v>
      </c>
      <c r="B2004" s="6" t="s">
        <v>4118</v>
      </c>
      <c r="C2004" s="6" t="s">
        <v>85</v>
      </c>
      <c r="D2004" s="6" t="n">
        <v>40</v>
      </c>
      <c r="E2004" s="6" t="s">
        <v>91</v>
      </c>
      <c r="F2004" s="6" t="s">
        <v>77</v>
      </c>
      <c r="G2004" s="26" t="n">
        <v>46052</v>
      </c>
      <c r="H2004" s="6" t="s">
        <v>78</v>
      </c>
      <c r="I2004" s="26" t="n">
        <f aca="false">_xlfn.MINIFS(Transaction!$C$2:$C$8421,Transaction!$B$2:$B$8421,A2004)</f>
        <v>46052</v>
      </c>
      <c r="J2004" s="26" t="n">
        <f aca="false">_xlfn.MAXIFS(Transaction!$C$2:$C$8421,Transaction!$B$2:$B$8421,A2004)</f>
        <v>46233</v>
      </c>
      <c r="K2004" s="6" t="n">
        <f aca="false">COUNTIF(Transaction!$B$2:$B$8421,A2004)</f>
        <v>6</v>
      </c>
      <c r="L2004" s="10" t="n">
        <f aca="false">SUMIF(Transaction!$B$2:$B$8421,A2004,Transaction!$H$2:$H$8421)</f>
        <v>11867</v>
      </c>
      <c r="M2004" s="6" t="n">
        <f aca="false">Summary!$B$3-J2004</f>
        <v>33</v>
      </c>
      <c r="N2004" s="6" t="str">
        <f aca="false">IF(K2004&gt;1,"Yes","No")</f>
        <v>Yes</v>
      </c>
      <c r="O2004" s="6" t="s">
        <v>46</v>
      </c>
    </row>
    <row r="2005" customFormat="false" ht="15" hidden="false" customHeight="false" outlineLevel="0" collapsed="false">
      <c r="A2005" s="6" t="s">
        <v>4119</v>
      </c>
      <c r="B2005" s="6" t="s">
        <v>4120</v>
      </c>
      <c r="C2005" s="6" t="s">
        <v>85</v>
      </c>
      <c r="D2005" s="6" t="n">
        <v>38</v>
      </c>
      <c r="E2005" s="6" t="s">
        <v>95</v>
      </c>
      <c r="F2005" s="6" t="s">
        <v>95</v>
      </c>
      <c r="G2005" s="26" t="n">
        <v>46029</v>
      </c>
      <c r="H2005" s="6" t="s">
        <v>115</v>
      </c>
      <c r="I2005" s="26" t="n">
        <f aca="false">_xlfn.MINIFS(Transaction!$C$2:$C$8421,Transaction!$B$2:$B$8421,A2005)</f>
        <v>46039</v>
      </c>
      <c r="J2005" s="26" t="n">
        <f aca="false">_xlfn.MAXIFS(Transaction!$C$2:$C$8421,Transaction!$B$2:$B$8421,A2005)</f>
        <v>46254</v>
      </c>
      <c r="K2005" s="6" t="n">
        <f aca="false">COUNTIF(Transaction!$B$2:$B$8421,A2005)</f>
        <v>9</v>
      </c>
      <c r="L2005" s="10" t="n">
        <f aca="false">SUMIF(Transaction!$B$2:$B$8421,A2005,Transaction!$H$2:$H$8421)</f>
        <v>28735</v>
      </c>
      <c r="M2005" s="6" t="n">
        <f aca="false">Summary!$B$3-J2005</f>
        <v>12</v>
      </c>
      <c r="N2005" s="6" t="str">
        <f aca="false">IF(K2005&gt;1,"Yes","No")</f>
        <v>Yes</v>
      </c>
      <c r="O2005" s="6" t="s">
        <v>45</v>
      </c>
    </row>
    <row r="2006" customFormat="false" ht="15" hidden="false" customHeight="false" outlineLevel="0" collapsed="false">
      <c r="A2006" s="6" t="s">
        <v>4121</v>
      </c>
      <c r="B2006" s="6" t="s">
        <v>4122</v>
      </c>
      <c r="C2006" s="6" t="s">
        <v>85</v>
      </c>
      <c r="D2006" s="6" t="n">
        <v>18</v>
      </c>
      <c r="E2006" s="6" t="s">
        <v>95</v>
      </c>
      <c r="F2006" s="6" t="s">
        <v>95</v>
      </c>
      <c r="G2006" s="26" t="n">
        <v>46087</v>
      </c>
      <c r="H2006" s="6" t="s">
        <v>115</v>
      </c>
      <c r="I2006" s="26" t="n">
        <f aca="false">_xlfn.MINIFS(Transaction!$C$2:$C$8421,Transaction!$B$2:$B$8421,A2006)</f>
        <v>46136</v>
      </c>
      <c r="J2006" s="26" t="n">
        <f aca="false">_xlfn.MAXIFS(Transaction!$C$2:$C$8421,Transaction!$B$2:$B$8421,A2006)</f>
        <v>46136</v>
      </c>
      <c r="K2006" s="6" t="n">
        <f aca="false">COUNTIF(Transaction!$B$2:$B$8421,A2006)</f>
        <v>1</v>
      </c>
      <c r="L2006" s="10" t="n">
        <f aca="false">SUMIF(Transaction!$B$2:$B$8421,A2006,Transaction!$H$2:$H$8421)</f>
        <v>341</v>
      </c>
      <c r="M2006" s="6" t="n">
        <f aca="false">Summary!$B$3-J2006</f>
        <v>130</v>
      </c>
      <c r="N2006" s="6" t="str">
        <f aca="false">IF(K2006&gt;1,"Yes","No")</f>
        <v>No</v>
      </c>
      <c r="O2006" s="6" t="s">
        <v>48</v>
      </c>
    </row>
    <row r="2007" customFormat="false" ht="15" hidden="false" customHeight="false" outlineLevel="0" collapsed="false">
      <c r="A2007" s="6" t="s">
        <v>4123</v>
      </c>
      <c r="B2007" s="6" t="s">
        <v>4124</v>
      </c>
      <c r="C2007" s="6" t="s">
        <v>85</v>
      </c>
      <c r="D2007" s="6" t="n">
        <v>26</v>
      </c>
      <c r="E2007" s="6" t="s">
        <v>81</v>
      </c>
      <c r="F2007" s="6" t="s">
        <v>82</v>
      </c>
      <c r="G2007" s="26" t="n">
        <v>46130</v>
      </c>
      <c r="H2007" s="6" t="s">
        <v>102</v>
      </c>
      <c r="I2007" s="26" t="n">
        <f aca="false">_xlfn.MINIFS(Transaction!$C$2:$C$8421,Transaction!$B$2:$B$8421,A2007)</f>
        <v>46216</v>
      </c>
      <c r="J2007" s="26" t="n">
        <f aca="false">_xlfn.MAXIFS(Transaction!$C$2:$C$8421,Transaction!$B$2:$B$8421,A2007)</f>
        <v>46216</v>
      </c>
      <c r="K2007" s="6" t="n">
        <f aca="false">COUNTIF(Transaction!$B$2:$B$8421,A2007)</f>
        <v>1</v>
      </c>
      <c r="L2007" s="10" t="n">
        <f aca="false">SUMIF(Transaction!$B$2:$B$8421,A2007,Transaction!$H$2:$H$8421)</f>
        <v>3670</v>
      </c>
      <c r="M2007" s="6" t="n">
        <f aca="false">Summary!$B$3-J2007</f>
        <v>50</v>
      </c>
      <c r="N2007" s="6" t="str">
        <f aca="false">IF(K2007&gt;1,"Yes","No")</f>
        <v>No</v>
      </c>
      <c r="O2007" s="6" t="s">
        <v>47</v>
      </c>
    </row>
    <row r="2008" customFormat="false" ht="15" hidden="false" customHeight="false" outlineLevel="0" collapsed="false">
      <c r="A2008" s="6" t="s">
        <v>4125</v>
      </c>
      <c r="B2008" s="6" t="s">
        <v>4126</v>
      </c>
      <c r="C2008" s="6" t="s">
        <v>75</v>
      </c>
      <c r="D2008" s="6" t="n">
        <v>26</v>
      </c>
      <c r="E2008" s="6" t="s">
        <v>121</v>
      </c>
      <c r="F2008" s="6" t="s">
        <v>122</v>
      </c>
      <c r="G2008" s="26" t="n">
        <v>46208</v>
      </c>
      <c r="H2008" s="6" t="s">
        <v>115</v>
      </c>
      <c r="I2008" s="26" t="n">
        <f aca="false">_xlfn.MINIFS(Transaction!$C$2:$C$8421,Transaction!$B$2:$B$8421,A2008)</f>
        <v>46214</v>
      </c>
      <c r="J2008" s="26" t="n">
        <f aca="false">_xlfn.MAXIFS(Transaction!$C$2:$C$8421,Transaction!$B$2:$B$8421,A2008)</f>
        <v>46214</v>
      </c>
      <c r="K2008" s="6" t="n">
        <f aca="false">COUNTIF(Transaction!$B$2:$B$8421,A2008)</f>
        <v>1</v>
      </c>
      <c r="L2008" s="10" t="n">
        <f aca="false">SUMIF(Transaction!$B$2:$B$8421,A2008,Transaction!$H$2:$H$8421)</f>
        <v>1835</v>
      </c>
      <c r="M2008" s="6" t="n">
        <f aca="false">Summary!$B$3-J2008</f>
        <v>52</v>
      </c>
      <c r="N2008" s="6" t="str">
        <f aca="false">IF(K2008&gt;1,"Yes","No")</f>
        <v>No</v>
      </c>
      <c r="O2008" s="6" t="s">
        <v>47</v>
      </c>
    </row>
    <row r="2009" customFormat="false" ht="15" hidden="false" customHeight="false" outlineLevel="0" collapsed="false">
      <c r="A2009" s="6" t="s">
        <v>4127</v>
      </c>
      <c r="B2009" s="6" t="s">
        <v>4128</v>
      </c>
      <c r="C2009" s="6" t="s">
        <v>85</v>
      </c>
      <c r="D2009" s="6" t="n">
        <v>31</v>
      </c>
      <c r="E2009" s="6" t="s">
        <v>118</v>
      </c>
      <c r="F2009" s="6" t="s">
        <v>77</v>
      </c>
      <c r="G2009" s="26" t="n">
        <v>46038</v>
      </c>
      <c r="H2009" s="6" t="s">
        <v>115</v>
      </c>
      <c r="I2009" s="26" t="n">
        <f aca="false">_xlfn.MINIFS(Transaction!$C$2:$C$8421,Transaction!$B$2:$B$8421,A2009)</f>
        <v>46080</v>
      </c>
      <c r="J2009" s="26" t="n">
        <f aca="false">_xlfn.MAXIFS(Transaction!$C$2:$C$8421,Transaction!$B$2:$B$8421,A2009)</f>
        <v>46080</v>
      </c>
      <c r="K2009" s="6" t="n">
        <f aca="false">COUNTIF(Transaction!$B$2:$B$8421,A2009)</f>
        <v>1</v>
      </c>
      <c r="L2009" s="10" t="n">
        <f aca="false">SUMIF(Transaction!$B$2:$B$8421,A2009,Transaction!$H$2:$H$8421)</f>
        <v>781</v>
      </c>
      <c r="M2009" s="6" t="n">
        <f aca="false">Summary!$B$3-J2009</f>
        <v>186</v>
      </c>
      <c r="N2009" s="6" t="str">
        <f aca="false">IF(K2009&gt;1,"Yes","No")</f>
        <v>No</v>
      </c>
      <c r="O2009" s="6" t="s">
        <v>49</v>
      </c>
    </row>
    <row r="2010" customFormat="false" ht="15" hidden="false" customHeight="false" outlineLevel="0" collapsed="false">
      <c r="A2010" s="6" t="s">
        <v>4129</v>
      </c>
      <c r="B2010" s="6" t="s">
        <v>4130</v>
      </c>
      <c r="C2010" s="6" t="s">
        <v>75</v>
      </c>
      <c r="D2010" s="6" t="n">
        <v>39</v>
      </c>
      <c r="E2010" s="6" t="s">
        <v>91</v>
      </c>
      <c r="F2010" s="6" t="s">
        <v>77</v>
      </c>
      <c r="G2010" s="26" t="n">
        <v>45995</v>
      </c>
      <c r="H2010" s="6" t="s">
        <v>78</v>
      </c>
      <c r="I2010" s="26" t="n">
        <f aca="false">_xlfn.MINIFS(Transaction!$C$2:$C$8421,Transaction!$B$2:$B$8421,A2010)</f>
        <v>46079</v>
      </c>
      <c r="J2010" s="26" t="n">
        <f aca="false">_xlfn.MAXIFS(Transaction!$C$2:$C$8421,Transaction!$B$2:$B$8421,A2010)</f>
        <v>46224</v>
      </c>
      <c r="K2010" s="6" t="n">
        <f aca="false">COUNTIF(Transaction!$B$2:$B$8421,A2010)</f>
        <v>8</v>
      </c>
      <c r="L2010" s="10" t="n">
        <f aca="false">SUMIF(Transaction!$B$2:$B$8421,A2010,Transaction!$H$2:$H$8421)</f>
        <v>9896</v>
      </c>
      <c r="M2010" s="6" t="n">
        <f aca="false">Summary!$B$3-J2010</f>
        <v>42</v>
      </c>
      <c r="N2010" s="6" t="str">
        <f aca="false">IF(K2010&gt;1,"Yes","No")</f>
        <v>Yes</v>
      </c>
      <c r="O2010" s="6" t="s">
        <v>46</v>
      </c>
    </row>
    <row r="2011" customFormat="false" ht="15" hidden="false" customHeight="false" outlineLevel="0" collapsed="false">
      <c r="A2011" s="6" t="s">
        <v>4131</v>
      </c>
      <c r="B2011" s="6" t="s">
        <v>4132</v>
      </c>
      <c r="C2011" s="6" t="s">
        <v>75</v>
      </c>
      <c r="D2011" s="6" t="n">
        <v>38</v>
      </c>
      <c r="E2011" s="6" t="s">
        <v>264</v>
      </c>
      <c r="F2011" s="6" t="s">
        <v>106</v>
      </c>
      <c r="G2011" s="26" t="n">
        <v>46004</v>
      </c>
      <c r="H2011" s="6" t="s">
        <v>88</v>
      </c>
      <c r="I2011" s="26" t="n">
        <f aca="false">_xlfn.MINIFS(Transaction!$C$2:$C$8421,Transaction!$B$2:$B$8421,A2011)</f>
        <v>46050</v>
      </c>
      <c r="J2011" s="26" t="n">
        <f aca="false">_xlfn.MAXIFS(Transaction!$C$2:$C$8421,Transaction!$B$2:$B$8421,A2011)</f>
        <v>46264</v>
      </c>
      <c r="K2011" s="6" t="n">
        <f aca="false">COUNTIF(Transaction!$B$2:$B$8421,A2011)</f>
        <v>8</v>
      </c>
      <c r="L2011" s="10" t="n">
        <f aca="false">SUMIF(Transaction!$B$2:$B$8421,A2011,Transaction!$H$2:$H$8421)</f>
        <v>13782</v>
      </c>
      <c r="M2011" s="6" t="n">
        <f aca="false">Summary!$B$3-J2011</f>
        <v>2</v>
      </c>
      <c r="N2011" s="6" t="str">
        <f aca="false">IF(K2011&gt;1,"Yes","No")</f>
        <v>Yes</v>
      </c>
      <c r="O2011" s="6" t="s">
        <v>45</v>
      </c>
    </row>
    <row r="2012" customFormat="false" ht="15" hidden="false" customHeight="false" outlineLevel="0" collapsed="false">
      <c r="A2012" s="6" t="s">
        <v>4133</v>
      </c>
      <c r="B2012" s="6" t="s">
        <v>4134</v>
      </c>
      <c r="C2012" s="6" t="s">
        <v>75</v>
      </c>
      <c r="D2012" s="6" t="n">
        <v>26</v>
      </c>
      <c r="E2012" s="6" t="s">
        <v>95</v>
      </c>
      <c r="F2012" s="6" t="s">
        <v>95</v>
      </c>
      <c r="G2012" s="26" t="n">
        <v>46104</v>
      </c>
      <c r="H2012" s="6" t="s">
        <v>78</v>
      </c>
      <c r="I2012" s="26" t="n">
        <f aca="false">_xlfn.MINIFS(Transaction!$C$2:$C$8421,Transaction!$B$2:$B$8421,A2012)</f>
        <v>46155</v>
      </c>
      <c r="J2012" s="26" t="n">
        <f aca="false">_xlfn.MAXIFS(Transaction!$C$2:$C$8421,Transaction!$B$2:$B$8421,A2012)</f>
        <v>46155</v>
      </c>
      <c r="K2012" s="6" t="n">
        <f aca="false">COUNTIF(Transaction!$B$2:$B$8421,A2012)</f>
        <v>1</v>
      </c>
      <c r="L2012" s="10" t="n">
        <f aca="false">SUMIF(Transaction!$B$2:$B$8421,A2012,Transaction!$H$2:$H$8421)</f>
        <v>2346</v>
      </c>
      <c r="M2012" s="6" t="n">
        <f aca="false">Summary!$B$3-J2012</f>
        <v>111</v>
      </c>
      <c r="N2012" s="6" t="str">
        <f aca="false">IF(K2012&gt;1,"Yes","No")</f>
        <v>No</v>
      </c>
      <c r="O2012" s="6" t="s">
        <v>48</v>
      </c>
    </row>
    <row r="2013" customFormat="false" ht="15" hidden="false" customHeight="false" outlineLevel="0" collapsed="false">
      <c r="A2013" s="6" t="s">
        <v>4135</v>
      </c>
      <c r="B2013" s="6" t="s">
        <v>4136</v>
      </c>
      <c r="C2013" s="6" t="s">
        <v>85</v>
      </c>
      <c r="D2013" s="6" t="n">
        <v>30</v>
      </c>
      <c r="E2013" s="6" t="s">
        <v>81</v>
      </c>
      <c r="F2013" s="6" t="s">
        <v>82</v>
      </c>
      <c r="G2013" s="26" t="n">
        <v>46126</v>
      </c>
      <c r="H2013" s="6" t="s">
        <v>88</v>
      </c>
      <c r="I2013" s="26" t="n">
        <f aca="false">_xlfn.MINIFS(Transaction!$C$2:$C$8421,Transaction!$B$2:$B$8421,A2013)</f>
        <v>46201</v>
      </c>
      <c r="J2013" s="26" t="n">
        <f aca="false">_xlfn.MAXIFS(Transaction!$C$2:$C$8421,Transaction!$B$2:$B$8421,A2013)</f>
        <v>46201</v>
      </c>
      <c r="K2013" s="6" t="n">
        <f aca="false">COUNTIF(Transaction!$B$2:$B$8421,A2013)</f>
        <v>1</v>
      </c>
      <c r="L2013" s="10" t="n">
        <f aca="false">SUMIF(Transaction!$B$2:$B$8421,A2013,Transaction!$H$2:$H$8421)</f>
        <v>1672</v>
      </c>
      <c r="M2013" s="6" t="n">
        <f aca="false">Summary!$B$3-J2013</f>
        <v>65</v>
      </c>
      <c r="N2013" s="6" t="str">
        <f aca="false">IF(K2013&gt;1,"Yes","No")</f>
        <v>No</v>
      </c>
      <c r="O2013" s="6" t="s">
        <v>47</v>
      </c>
    </row>
    <row r="2014" customFormat="false" ht="15" hidden="false" customHeight="false" outlineLevel="0" collapsed="false">
      <c r="A2014" s="6" t="s">
        <v>4137</v>
      </c>
      <c r="B2014" s="6" t="s">
        <v>4138</v>
      </c>
      <c r="C2014" s="6" t="s">
        <v>85</v>
      </c>
      <c r="D2014" s="6" t="n">
        <v>33</v>
      </c>
      <c r="E2014" s="6" t="s">
        <v>121</v>
      </c>
      <c r="F2014" s="6" t="s">
        <v>122</v>
      </c>
      <c r="G2014" s="26" t="n">
        <v>46130</v>
      </c>
      <c r="H2014" s="6" t="s">
        <v>115</v>
      </c>
      <c r="I2014" s="26" t="n">
        <f aca="false">_xlfn.MINIFS(Transaction!$C$2:$C$8421,Transaction!$B$2:$B$8421,A2014)</f>
        <v>46140</v>
      </c>
      <c r="J2014" s="26" t="n">
        <f aca="false">_xlfn.MAXIFS(Transaction!$C$2:$C$8421,Transaction!$B$2:$B$8421,A2014)</f>
        <v>46140</v>
      </c>
      <c r="K2014" s="6" t="n">
        <f aca="false">COUNTIF(Transaction!$B$2:$B$8421,A2014)</f>
        <v>1</v>
      </c>
      <c r="L2014" s="10" t="n">
        <f aca="false">SUMIF(Transaction!$B$2:$B$8421,A2014,Transaction!$H$2:$H$8421)</f>
        <v>2202</v>
      </c>
      <c r="M2014" s="6" t="n">
        <f aca="false">Summary!$B$3-J2014</f>
        <v>126</v>
      </c>
      <c r="N2014" s="6" t="str">
        <f aca="false">IF(K2014&gt;1,"Yes","No")</f>
        <v>No</v>
      </c>
      <c r="O2014" s="6" t="s">
        <v>48</v>
      </c>
    </row>
    <row r="2015" customFormat="false" ht="15" hidden="false" customHeight="false" outlineLevel="0" collapsed="false">
      <c r="A2015" s="6" t="s">
        <v>4139</v>
      </c>
      <c r="B2015" s="6" t="s">
        <v>4140</v>
      </c>
      <c r="C2015" s="6" t="s">
        <v>75</v>
      </c>
      <c r="D2015" s="6" t="n">
        <v>38</v>
      </c>
      <c r="E2015" s="6" t="s">
        <v>76</v>
      </c>
      <c r="F2015" s="6" t="s">
        <v>77</v>
      </c>
      <c r="G2015" s="26" t="n">
        <v>46229</v>
      </c>
      <c r="H2015" s="6" t="s">
        <v>78</v>
      </c>
      <c r="I2015" s="26" t="n">
        <f aca="false">_xlfn.MINIFS(Transaction!$C$2:$C$8421,Transaction!$B$2:$B$8421,A2015)</f>
        <v>46235</v>
      </c>
      <c r="J2015" s="26" t="n">
        <f aca="false">_xlfn.MAXIFS(Transaction!$C$2:$C$8421,Transaction!$B$2:$B$8421,A2015)</f>
        <v>46235</v>
      </c>
      <c r="K2015" s="6" t="n">
        <f aca="false">COUNTIF(Transaction!$B$2:$B$8421,A2015)</f>
        <v>1</v>
      </c>
      <c r="L2015" s="10" t="n">
        <f aca="false">SUMIF(Transaction!$B$2:$B$8421,A2015,Transaction!$H$2:$H$8421)</f>
        <v>2248</v>
      </c>
      <c r="M2015" s="6" t="n">
        <f aca="false">Summary!$B$3-J2015</f>
        <v>31</v>
      </c>
      <c r="N2015" s="6" t="str">
        <f aca="false">IF(K2015&gt;1,"Yes","No")</f>
        <v>No</v>
      </c>
      <c r="O2015" s="6" t="s">
        <v>47</v>
      </c>
    </row>
    <row r="2016" customFormat="false" ht="15" hidden="false" customHeight="false" outlineLevel="0" collapsed="false">
      <c r="A2016" s="6" t="s">
        <v>4141</v>
      </c>
      <c r="B2016" s="6" t="s">
        <v>4142</v>
      </c>
      <c r="C2016" s="6" t="s">
        <v>85</v>
      </c>
      <c r="D2016" s="6" t="n">
        <v>46</v>
      </c>
      <c r="E2016" s="6" t="s">
        <v>91</v>
      </c>
      <c r="F2016" s="6" t="s">
        <v>77</v>
      </c>
      <c r="G2016" s="26" t="n">
        <v>45967</v>
      </c>
      <c r="H2016" s="6" t="s">
        <v>115</v>
      </c>
      <c r="I2016" s="26" t="n">
        <f aca="false">_xlfn.MINIFS(Transaction!$C$2:$C$8421,Transaction!$B$2:$B$8421,A2016)</f>
        <v>46029</v>
      </c>
      <c r="J2016" s="26" t="n">
        <f aca="false">_xlfn.MAXIFS(Transaction!$C$2:$C$8421,Transaction!$B$2:$B$8421,A2016)</f>
        <v>46202</v>
      </c>
      <c r="K2016" s="6" t="n">
        <f aca="false">COUNTIF(Transaction!$B$2:$B$8421,A2016)</f>
        <v>8</v>
      </c>
      <c r="L2016" s="10" t="n">
        <f aca="false">SUMIF(Transaction!$B$2:$B$8421,A2016,Transaction!$H$2:$H$8421)</f>
        <v>18824</v>
      </c>
      <c r="M2016" s="6" t="n">
        <f aca="false">Summary!$B$3-J2016</f>
        <v>64</v>
      </c>
      <c r="N2016" s="6" t="str">
        <f aca="false">IF(K2016&gt;1,"Yes","No")</f>
        <v>Yes</v>
      </c>
      <c r="O2016" s="6" t="s">
        <v>46</v>
      </c>
    </row>
    <row r="2017" customFormat="false" ht="15" hidden="false" customHeight="false" outlineLevel="0" collapsed="false">
      <c r="A2017" s="6" t="s">
        <v>4143</v>
      </c>
      <c r="B2017" s="6" t="s">
        <v>4144</v>
      </c>
      <c r="C2017" s="6" t="s">
        <v>85</v>
      </c>
      <c r="D2017" s="6" t="n">
        <v>54</v>
      </c>
      <c r="E2017" s="6" t="s">
        <v>118</v>
      </c>
      <c r="F2017" s="6" t="s">
        <v>77</v>
      </c>
      <c r="G2017" s="26" t="n">
        <v>46193</v>
      </c>
      <c r="H2017" s="6" t="s">
        <v>78</v>
      </c>
      <c r="I2017" s="26" t="n">
        <f aca="false">_xlfn.MINIFS(Transaction!$C$2:$C$8421,Transaction!$B$2:$B$8421,A2017)</f>
        <v>46241</v>
      </c>
      <c r="J2017" s="26" t="n">
        <f aca="false">_xlfn.MAXIFS(Transaction!$C$2:$C$8421,Transaction!$B$2:$B$8421,A2017)</f>
        <v>46241</v>
      </c>
      <c r="K2017" s="6" t="n">
        <f aca="false">COUNTIF(Transaction!$B$2:$B$8421,A2017)</f>
        <v>1</v>
      </c>
      <c r="L2017" s="10" t="n">
        <f aca="false">SUMIF(Transaction!$B$2:$B$8421,A2017,Transaction!$H$2:$H$8421)</f>
        <v>441</v>
      </c>
      <c r="M2017" s="6" t="n">
        <f aca="false">Summary!$B$3-J2017</f>
        <v>25</v>
      </c>
      <c r="N2017" s="6" t="str">
        <f aca="false">IF(K2017&gt;1,"Yes","No")</f>
        <v>No</v>
      </c>
      <c r="O2017" s="6" t="s">
        <v>47</v>
      </c>
    </row>
    <row r="2018" customFormat="false" ht="15" hidden="false" customHeight="false" outlineLevel="0" collapsed="false">
      <c r="A2018" s="6" t="s">
        <v>4145</v>
      </c>
      <c r="B2018" s="6" t="s">
        <v>4146</v>
      </c>
      <c r="C2018" s="6" t="s">
        <v>75</v>
      </c>
      <c r="D2018" s="6" t="n">
        <v>39</v>
      </c>
      <c r="E2018" s="6" t="s">
        <v>321</v>
      </c>
      <c r="F2018" s="6" t="s">
        <v>321</v>
      </c>
      <c r="G2018" s="26" t="n">
        <v>46026</v>
      </c>
      <c r="H2018" s="6" t="s">
        <v>115</v>
      </c>
      <c r="I2018" s="26" t="n">
        <f aca="false">_xlfn.MINIFS(Transaction!$C$2:$C$8421,Transaction!$B$2:$B$8421,A2018)</f>
        <v>46041</v>
      </c>
      <c r="J2018" s="26" t="n">
        <f aca="false">_xlfn.MAXIFS(Transaction!$C$2:$C$8421,Transaction!$B$2:$B$8421,A2018)</f>
        <v>46242</v>
      </c>
      <c r="K2018" s="6" t="n">
        <f aca="false">COUNTIF(Transaction!$B$2:$B$8421,A2018)</f>
        <v>10</v>
      </c>
      <c r="L2018" s="10" t="n">
        <f aca="false">SUMIF(Transaction!$B$2:$B$8421,A2018,Transaction!$H$2:$H$8421)</f>
        <v>16122</v>
      </c>
      <c r="M2018" s="6" t="n">
        <f aca="false">Summary!$B$3-J2018</f>
        <v>24</v>
      </c>
      <c r="N2018" s="6" t="str">
        <f aca="false">IF(K2018&gt;1,"Yes","No")</f>
        <v>Yes</v>
      </c>
      <c r="O2018" s="6" t="s">
        <v>45</v>
      </c>
    </row>
    <row r="2019" customFormat="false" ht="15" hidden="false" customHeight="false" outlineLevel="0" collapsed="false">
      <c r="A2019" s="6" t="s">
        <v>4147</v>
      </c>
      <c r="B2019" s="6" t="s">
        <v>4148</v>
      </c>
      <c r="C2019" s="6" t="s">
        <v>75</v>
      </c>
      <c r="D2019" s="6" t="n">
        <v>34</v>
      </c>
      <c r="E2019" s="6" t="s">
        <v>105</v>
      </c>
      <c r="F2019" s="6" t="s">
        <v>106</v>
      </c>
      <c r="G2019" s="26" t="n">
        <v>45997</v>
      </c>
      <c r="H2019" s="6" t="s">
        <v>123</v>
      </c>
      <c r="I2019" s="26" t="n">
        <f aca="false">_xlfn.MINIFS(Transaction!$C$2:$C$8421,Transaction!$B$2:$B$8421,A2019)</f>
        <v>46081</v>
      </c>
      <c r="J2019" s="26" t="n">
        <f aca="false">_xlfn.MAXIFS(Transaction!$C$2:$C$8421,Transaction!$B$2:$B$8421,A2019)</f>
        <v>46262</v>
      </c>
      <c r="K2019" s="6" t="n">
        <f aca="false">COUNTIF(Transaction!$B$2:$B$8421,A2019)</f>
        <v>8</v>
      </c>
      <c r="L2019" s="10" t="n">
        <f aca="false">SUMIF(Transaction!$B$2:$B$8421,A2019,Transaction!$H$2:$H$8421)</f>
        <v>43434</v>
      </c>
      <c r="M2019" s="6" t="n">
        <f aca="false">Summary!$B$3-J2019</f>
        <v>4</v>
      </c>
      <c r="N2019" s="6" t="str">
        <f aca="false">IF(K2019&gt;1,"Yes","No")</f>
        <v>Yes</v>
      </c>
      <c r="O2019" s="6" t="s">
        <v>45</v>
      </c>
    </row>
    <row r="2020" customFormat="false" ht="15" hidden="false" customHeight="false" outlineLevel="0" collapsed="false">
      <c r="A2020" s="6" t="s">
        <v>4149</v>
      </c>
      <c r="B2020" s="6" t="s">
        <v>4150</v>
      </c>
      <c r="C2020" s="6" t="s">
        <v>85</v>
      </c>
      <c r="D2020" s="6" t="n">
        <v>23</v>
      </c>
      <c r="E2020" s="6" t="s">
        <v>105</v>
      </c>
      <c r="F2020" s="6" t="s">
        <v>106</v>
      </c>
      <c r="G2020" s="26" t="n">
        <v>46054</v>
      </c>
      <c r="H2020" s="6" t="s">
        <v>102</v>
      </c>
      <c r="I2020" s="26" t="n">
        <f aca="false">_xlfn.MINIFS(Transaction!$C$2:$C$8421,Transaction!$B$2:$B$8421,A2020)</f>
        <v>46111</v>
      </c>
      <c r="J2020" s="26" t="n">
        <f aca="false">_xlfn.MAXIFS(Transaction!$C$2:$C$8421,Transaction!$B$2:$B$8421,A2020)</f>
        <v>46203</v>
      </c>
      <c r="K2020" s="6" t="n">
        <f aca="false">COUNTIF(Transaction!$B$2:$B$8421,A2020)</f>
        <v>2</v>
      </c>
      <c r="L2020" s="10" t="n">
        <f aca="false">SUMIF(Transaction!$B$2:$B$8421,A2020,Transaction!$H$2:$H$8421)</f>
        <v>9235</v>
      </c>
      <c r="M2020" s="6" t="n">
        <f aca="false">Summary!$B$3-J2020</f>
        <v>63</v>
      </c>
      <c r="N2020" s="6" t="str">
        <f aca="false">IF(K2020&gt;1,"Yes","No")</f>
        <v>Yes</v>
      </c>
      <c r="O2020" s="6" t="s">
        <v>46</v>
      </c>
    </row>
    <row r="2021" customFormat="false" ht="15" hidden="false" customHeight="false" outlineLevel="0" collapsed="false">
      <c r="A2021" s="6" t="s">
        <v>4151</v>
      </c>
      <c r="B2021" s="6" t="s">
        <v>4152</v>
      </c>
      <c r="C2021" s="6" t="s">
        <v>85</v>
      </c>
      <c r="D2021" s="6" t="n">
        <v>45</v>
      </c>
      <c r="E2021" s="6" t="s">
        <v>134</v>
      </c>
      <c r="F2021" s="6" t="s">
        <v>135</v>
      </c>
      <c r="G2021" s="26" t="n">
        <v>46052</v>
      </c>
      <c r="H2021" s="6" t="s">
        <v>115</v>
      </c>
      <c r="I2021" s="26" t="n">
        <f aca="false">_xlfn.MINIFS(Transaction!$C$2:$C$8421,Transaction!$B$2:$B$8421,A2021)</f>
        <v>46130</v>
      </c>
      <c r="J2021" s="26" t="n">
        <f aca="false">_xlfn.MAXIFS(Transaction!$C$2:$C$8421,Transaction!$B$2:$B$8421,A2021)</f>
        <v>46191</v>
      </c>
      <c r="K2021" s="6" t="n">
        <f aca="false">COUNTIF(Transaction!$B$2:$B$8421,A2021)</f>
        <v>5</v>
      </c>
      <c r="L2021" s="10" t="n">
        <f aca="false">SUMIF(Transaction!$B$2:$B$8421,A2021,Transaction!$H$2:$H$8421)</f>
        <v>7612</v>
      </c>
      <c r="M2021" s="6" t="n">
        <f aca="false">Summary!$B$3-J2021</f>
        <v>75</v>
      </c>
      <c r="N2021" s="6" t="str">
        <f aca="false">IF(K2021&gt;1,"Yes","No")</f>
        <v>Yes</v>
      </c>
      <c r="O2021" s="6" t="s">
        <v>46</v>
      </c>
    </row>
    <row r="2022" customFormat="false" ht="15" hidden="false" customHeight="false" outlineLevel="0" collapsed="false">
      <c r="A2022" s="6" t="s">
        <v>4153</v>
      </c>
      <c r="B2022" s="6" t="s">
        <v>4154</v>
      </c>
      <c r="C2022" s="6" t="s">
        <v>75</v>
      </c>
      <c r="D2022" s="6" t="n">
        <v>31</v>
      </c>
      <c r="E2022" s="6" t="s">
        <v>76</v>
      </c>
      <c r="F2022" s="6" t="s">
        <v>77</v>
      </c>
      <c r="G2022" s="26" t="n">
        <v>45982</v>
      </c>
      <c r="H2022" s="6" t="s">
        <v>115</v>
      </c>
      <c r="I2022" s="26" t="n">
        <f aca="false">_xlfn.MINIFS(Transaction!$C$2:$C$8421,Transaction!$B$2:$B$8421,A2022)</f>
        <v>46061</v>
      </c>
      <c r="J2022" s="26" t="n">
        <f aca="false">_xlfn.MAXIFS(Transaction!$C$2:$C$8421,Transaction!$B$2:$B$8421,A2022)</f>
        <v>46061</v>
      </c>
      <c r="K2022" s="6" t="n">
        <f aca="false">COUNTIF(Transaction!$B$2:$B$8421,A2022)</f>
        <v>1</v>
      </c>
      <c r="L2022" s="10" t="n">
        <f aca="false">SUMIF(Transaction!$B$2:$B$8421,A2022,Transaction!$H$2:$H$8421)</f>
        <v>3915</v>
      </c>
      <c r="M2022" s="6" t="n">
        <f aca="false">Summary!$B$3-J2022</f>
        <v>205</v>
      </c>
      <c r="N2022" s="6" t="str">
        <f aca="false">IF(K2022&gt;1,"Yes","No")</f>
        <v>No</v>
      </c>
      <c r="O2022" s="6" t="s">
        <v>49</v>
      </c>
    </row>
    <row r="2023" customFormat="false" ht="15" hidden="false" customHeight="false" outlineLevel="0" collapsed="false">
      <c r="A2023" s="6" t="s">
        <v>4155</v>
      </c>
      <c r="B2023" s="6" t="s">
        <v>4156</v>
      </c>
      <c r="C2023" s="6" t="s">
        <v>85</v>
      </c>
      <c r="D2023" s="6" t="n">
        <v>43</v>
      </c>
      <c r="E2023" s="6" t="s">
        <v>146</v>
      </c>
      <c r="F2023" s="6" t="s">
        <v>147</v>
      </c>
      <c r="G2023" s="26" t="n">
        <v>45971</v>
      </c>
      <c r="H2023" s="6" t="s">
        <v>102</v>
      </c>
      <c r="I2023" s="26" t="n">
        <f aca="false">_xlfn.MINIFS(Transaction!$C$2:$C$8421,Transaction!$B$2:$B$8421,A2023)</f>
        <v>46027</v>
      </c>
      <c r="J2023" s="26" t="n">
        <f aca="false">_xlfn.MAXIFS(Transaction!$C$2:$C$8421,Transaction!$B$2:$B$8421,A2023)</f>
        <v>46193</v>
      </c>
      <c r="K2023" s="6" t="n">
        <f aca="false">COUNTIF(Transaction!$B$2:$B$8421,A2023)</f>
        <v>3</v>
      </c>
      <c r="L2023" s="10" t="n">
        <f aca="false">SUMIF(Transaction!$B$2:$B$8421,A2023,Transaction!$H$2:$H$8421)</f>
        <v>10029</v>
      </c>
      <c r="M2023" s="6" t="n">
        <f aca="false">Summary!$B$3-J2023</f>
        <v>73</v>
      </c>
      <c r="N2023" s="6" t="str">
        <f aca="false">IF(K2023&gt;1,"Yes","No")</f>
        <v>Yes</v>
      </c>
      <c r="O2023" s="6" t="s">
        <v>46</v>
      </c>
    </row>
    <row r="2024" customFormat="false" ht="15" hidden="false" customHeight="false" outlineLevel="0" collapsed="false">
      <c r="A2024" s="6" t="s">
        <v>4157</v>
      </c>
      <c r="B2024" s="6" t="s">
        <v>4158</v>
      </c>
      <c r="C2024" s="6" t="s">
        <v>75</v>
      </c>
      <c r="D2024" s="6" t="n">
        <v>44</v>
      </c>
      <c r="E2024" s="6" t="s">
        <v>134</v>
      </c>
      <c r="F2024" s="6" t="s">
        <v>135</v>
      </c>
      <c r="G2024" s="26" t="n">
        <v>45965</v>
      </c>
      <c r="H2024" s="6" t="s">
        <v>88</v>
      </c>
      <c r="I2024" s="26" t="n">
        <f aca="false">_xlfn.MINIFS(Transaction!$C$2:$C$8421,Transaction!$B$2:$B$8421,A2024)</f>
        <v>46046</v>
      </c>
      <c r="J2024" s="26" t="n">
        <f aca="false">_xlfn.MAXIFS(Transaction!$C$2:$C$8421,Transaction!$B$2:$B$8421,A2024)</f>
        <v>46254</v>
      </c>
      <c r="K2024" s="6" t="n">
        <f aca="false">COUNTIF(Transaction!$B$2:$B$8421,A2024)</f>
        <v>9</v>
      </c>
      <c r="L2024" s="10" t="n">
        <f aca="false">SUMIF(Transaction!$B$2:$B$8421,A2024,Transaction!$H$2:$H$8421)</f>
        <v>20458</v>
      </c>
      <c r="M2024" s="6" t="n">
        <f aca="false">Summary!$B$3-J2024</f>
        <v>12</v>
      </c>
      <c r="N2024" s="6" t="str">
        <f aca="false">IF(K2024&gt;1,"Yes","No")</f>
        <v>Yes</v>
      </c>
      <c r="O2024" s="6" t="s">
        <v>45</v>
      </c>
    </row>
    <row r="2025" customFormat="false" ht="15" hidden="false" customHeight="false" outlineLevel="0" collapsed="false">
      <c r="A2025" s="6" t="s">
        <v>4159</v>
      </c>
      <c r="B2025" s="6" t="s">
        <v>4160</v>
      </c>
      <c r="C2025" s="6" t="s">
        <v>75</v>
      </c>
      <c r="D2025" s="6" t="n">
        <v>18</v>
      </c>
      <c r="E2025" s="6" t="s">
        <v>86</v>
      </c>
      <c r="F2025" s="6" t="s">
        <v>87</v>
      </c>
      <c r="G2025" s="26" t="n">
        <v>46024</v>
      </c>
      <c r="H2025" s="6" t="s">
        <v>78</v>
      </c>
      <c r="I2025" s="26" t="n">
        <f aca="false">_xlfn.MINIFS(Transaction!$C$2:$C$8421,Transaction!$B$2:$B$8421,A2025)</f>
        <v>46064</v>
      </c>
      <c r="J2025" s="26" t="n">
        <f aca="false">_xlfn.MAXIFS(Transaction!$C$2:$C$8421,Transaction!$B$2:$B$8421,A2025)</f>
        <v>46229</v>
      </c>
      <c r="K2025" s="6" t="n">
        <f aca="false">COUNTIF(Transaction!$B$2:$B$8421,A2025)</f>
        <v>4</v>
      </c>
      <c r="L2025" s="10" t="n">
        <f aca="false">SUMIF(Transaction!$B$2:$B$8421,A2025,Transaction!$H$2:$H$8421)</f>
        <v>6606</v>
      </c>
      <c r="M2025" s="6" t="n">
        <f aca="false">Summary!$B$3-J2025</f>
        <v>37</v>
      </c>
      <c r="N2025" s="6" t="str">
        <f aca="false">IF(K2025&gt;1,"Yes","No")</f>
        <v>Yes</v>
      </c>
      <c r="O2025" s="6" t="s">
        <v>46</v>
      </c>
    </row>
    <row r="2026" customFormat="false" ht="15" hidden="false" customHeight="false" outlineLevel="0" collapsed="false">
      <c r="A2026" s="6" t="s">
        <v>4161</v>
      </c>
      <c r="B2026" s="6" t="s">
        <v>4162</v>
      </c>
      <c r="C2026" s="6" t="s">
        <v>85</v>
      </c>
      <c r="D2026" s="6" t="n">
        <v>29</v>
      </c>
      <c r="E2026" s="6" t="s">
        <v>134</v>
      </c>
      <c r="F2026" s="6" t="s">
        <v>135</v>
      </c>
      <c r="G2026" s="26" t="n">
        <v>46186</v>
      </c>
      <c r="H2026" s="6" t="s">
        <v>92</v>
      </c>
      <c r="I2026" s="26" t="n">
        <f aca="false">_xlfn.MINIFS(Transaction!$C$2:$C$8421,Transaction!$B$2:$B$8421,A2026)</f>
        <v>46210</v>
      </c>
      <c r="J2026" s="26" t="n">
        <f aca="false">_xlfn.MAXIFS(Transaction!$C$2:$C$8421,Transaction!$B$2:$B$8421,A2026)</f>
        <v>46210</v>
      </c>
      <c r="K2026" s="6" t="n">
        <f aca="false">COUNTIF(Transaction!$B$2:$B$8421,A2026)</f>
        <v>1</v>
      </c>
      <c r="L2026" s="10" t="n">
        <f aca="false">SUMIF(Transaction!$B$2:$B$8421,A2026,Transaction!$H$2:$H$8421)</f>
        <v>550</v>
      </c>
      <c r="M2026" s="6" t="n">
        <f aca="false">Summary!$B$3-J2026</f>
        <v>56</v>
      </c>
      <c r="N2026" s="6" t="str">
        <f aca="false">IF(K2026&gt;1,"Yes","No")</f>
        <v>No</v>
      </c>
      <c r="O2026" s="6" t="s">
        <v>47</v>
      </c>
    </row>
    <row r="2027" customFormat="false" ht="15" hidden="false" customHeight="false" outlineLevel="0" collapsed="false">
      <c r="A2027" s="6" t="s">
        <v>4163</v>
      </c>
      <c r="B2027" s="6" t="s">
        <v>4164</v>
      </c>
      <c r="C2027" s="6" t="s">
        <v>85</v>
      </c>
      <c r="D2027" s="6" t="n">
        <v>33</v>
      </c>
      <c r="E2027" s="6" t="s">
        <v>86</v>
      </c>
      <c r="F2027" s="6" t="s">
        <v>87</v>
      </c>
      <c r="G2027" s="26" t="n">
        <v>46171</v>
      </c>
      <c r="H2027" s="6" t="s">
        <v>78</v>
      </c>
      <c r="I2027" s="26" t="n">
        <f aca="false">_xlfn.MINIFS(Transaction!$C$2:$C$8421,Transaction!$B$2:$B$8421,A2027)</f>
        <v>46236</v>
      </c>
      <c r="J2027" s="26" t="n">
        <f aca="false">_xlfn.MAXIFS(Transaction!$C$2:$C$8421,Transaction!$B$2:$B$8421,A2027)</f>
        <v>46236</v>
      </c>
      <c r="K2027" s="6" t="n">
        <f aca="false">COUNTIF(Transaction!$B$2:$B$8421,A2027)</f>
        <v>1</v>
      </c>
      <c r="L2027" s="10" t="n">
        <f aca="false">SUMIF(Transaction!$B$2:$B$8421,A2027,Transaction!$H$2:$H$8421)</f>
        <v>2346</v>
      </c>
      <c r="M2027" s="6" t="n">
        <f aca="false">Summary!$B$3-J2027</f>
        <v>30</v>
      </c>
      <c r="N2027" s="6" t="str">
        <f aca="false">IF(K2027&gt;1,"Yes","No")</f>
        <v>No</v>
      </c>
      <c r="O2027" s="6" t="s">
        <v>47</v>
      </c>
    </row>
    <row r="2028" customFormat="false" ht="15" hidden="false" customHeight="false" outlineLevel="0" collapsed="false">
      <c r="A2028" s="6" t="s">
        <v>4165</v>
      </c>
      <c r="B2028" s="6" t="s">
        <v>4166</v>
      </c>
      <c r="C2028" s="6" t="s">
        <v>85</v>
      </c>
      <c r="D2028" s="6" t="n">
        <v>35</v>
      </c>
      <c r="E2028" s="6" t="s">
        <v>91</v>
      </c>
      <c r="F2028" s="6" t="s">
        <v>77</v>
      </c>
      <c r="G2028" s="26" t="n">
        <v>46007</v>
      </c>
      <c r="H2028" s="6" t="s">
        <v>92</v>
      </c>
      <c r="I2028" s="26" t="n">
        <f aca="false">_xlfn.MINIFS(Transaction!$C$2:$C$8421,Transaction!$B$2:$B$8421,A2028)</f>
        <v>46024</v>
      </c>
      <c r="J2028" s="26" t="n">
        <f aca="false">_xlfn.MAXIFS(Transaction!$C$2:$C$8421,Transaction!$B$2:$B$8421,A2028)</f>
        <v>46242</v>
      </c>
      <c r="K2028" s="6" t="n">
        <f aca="false">COUNTIF(Transaction!$B$2:$B$8421,A2028)</f>
        <v>9</v>
      </c>
      <c r="L2028" s="10" t="n">
        <f aca="false">SUMIF(Transaction!$B$2:$B$8421,A2028,Transaction!$H$2:$H$8421)</f>
        <v>15759</v>
      </c>
      <c r="M2028" s="6" t="n">
        <f aca="false">Summary!$B$3-J2028</f>
        <v>24</v>
      </c>
      <c r="N2028" s="6" t="str">
        <f aca="false">IF(K2028&gt;1,"Yes","No")</f>
        <v>Yes</v>
      </c>
      <c r="O2028" s="6" t="s">
        <v>45</v>
      </c>
    </row>
    <row r="2029" customFormat="false" ht="15" hidden="false" customHeight="false" outlineLevel="0" collapsed="false">
      <c r="A2029" s="6" t="s">
        <v>4167</v>
      </c>
      <c r="B2029" s="6" t="s">
        <v>4168</v>
      </c>
      <c r="C2029" s="6" t="s">
        <v>75</v>
      </c>
      <c r="D2029" s="6" t="n">
        <v>32</v>
      </c>
      <c r="E2029" s="6" t="s">
        <v>86</v>
      </c>
      <c r="F2029" s="6" t="s">
        <v>87</v>
      </c>
      <c r="G2029" s="26" t="n">
        <v>46126</v>
      </c>
      <c r="H2029" s="6" t="s">
        <v>78</v>
      </c>
      <c r="I2029" s="26" t="n">
        <f aca="false">_xlfn.MINIFS(Transaction!$C$2:$C$8421,Transaction!$B$2:$B$8421,A2029)</f>
        <v>46140</v>
      </c>
      <c r="J2029" s="26" t="n">
        <f aca="false">_xlfn.MAXIFS(Transaction!$C$2:$C$8421,Transaction!$B$2:$B$8421,A2029)</f>
        <v>46206</v>
      </c>
      <c r="K2029" s="6" t="n">
        <f aca="false">COUNTIF(Transaction!$B$2:$B$8421,A2029)</f>
        <v>3</v>
      </c>
      <c r="L2029" s="10" t="n">
        <f aca="false">SUMIF(Transaction!$B$2:$B$8421,A2029,Transaction!$H$2:$H$8421)</f>
        <v>8371</v>
      </c>
      <c r="M2029" s="6" t="n">
        <f aca="false">Summary!$B$3-J2029</f>
        <v>60</v>
      </c>
      <c r="N2029" s="6" t="str">
        <f aca="false">IF(K2029&gt;1,"Yes","No")</f>
        <v>Yes</v>
      </c>
      <c r="O2029" s="6" t="s">
        <v>46</v>
      </c>
    </row>
    <row r="2030" customFormat="false" ht="15" hidden="false" customHeight="false" outlineLevel="0" collapsed="false">
      <c r="A2030" s="6" t="s">
        <v>4169</v>
      </c>
      <c r="B2030" s="6" t="s">
        <v>4170</v>
      </c>
      <c r="C2030" s="6" t="s">
        <v>75</v>
      </c>
      <c r="D2030" s="6" t="n">
        <v>36</v>
      </c>
      <c r="E2030" s="6" t="s">
        <v>134</v>
      </c>
      <c r="F2030" s="6" t="s">
        <v>135</v>
      </c>
      <c r="G2030" s="26" t="n">
        <v>46073</v>
      </c>
      <c r="H2030" s="6" t="s">
        <v>102</v>
      </c>
      <c r="I2030" s="26" t="n">
        <f aca="false">_xlfn.MINIFS(Transaction!$C$2:$C$8421,Transaction!$B$2:$B$8421,A2030)</f>
        <v>46150</v>
      </c>
      <c r="J2030" s="26" t="n">
        <f aca="false">_xlfn.MAXIFS(Transaction!$C$2:$C$8421,Transaction!$B$2:$B$8421,A2030)</f>
        <v>46150</v>
      </c>
      <c r="K2030" s="6" t="n">
        <f aca="false">COUNTIF(Transaction!$B$2:$B$8421,A2030)</f>
        <v>1</v>
      </c>
      <c r="L2030" s="10" t="n">
        <f aca="false">SUMIF(Transaction!$B$2:$B$8421,A2030,Transaction!$H$2:$H$8421)</f>
        <v>1009</v>
      </c>
      <c r="M2030" s="6" t="n">
        <f aca="false">Summary!$B$3-J2030</f>
        <v>116</v>
      </c>
      <c r="N2030" s="6" t="str">
        <f aca="false">IF(K2030&gt;1,"Yes","No")</f>
        <v>No</v>
      </c>
      <c r="O2030" s="6" t="s">
        <v>48</v>
      </c>
    </row>
    <row r="2031" customFormat="false" ht="15" hidden="false" customHeight="false" outlineLevel="0" collapsed="false">
      <c r="A2031" s="6" t="s">
        <v>4171</v>
      </c>
      <c r="B2031" s="6" t="s">
        <v>4172</v>
      </c>
      <c r="C2031" s="6" t="s">
        <v>75</v>
      </c>
      <c r="D2031" s="6" t="n">
        <v>18</v>
      </c>
      <c r="E2031" s="6" t="s">
        <v>86</v>
      </c>
      <c r="F2031" s="6" t="s">
        <v>87</v>
      </c>
      <c r="G2031" s="26" t="n">
        <v>46135</v>
      </c>
      <c r="H2031" s="6" t="s">
        <v>102</v>
      </c>
      <c r="I2031" s="26" t="n">
        <f aca="false">_xlfn.MINIFS(Transaction!$C$2:$C$8421,Transaction!$B$2:$B$8421,A2031)</f>
        <v>46153</v>
      </c>
      <c r="J2031" s="26" t="n">
        <f aca="false">_xlfn.MAXIFS(Transaction!$C$2:$C$8421,Transaction!$B$2:$B$8421,A2031)</f>
        <v>46153</v>
      </c>
      <c r="K2031" s="6" t="n">
        <f aca="false">COUNTIF(Transaction!$B$2:$B$8421,A2031)</f>
        <v>1</v>
      </c>
      <c r="L2031" s="10" t="n">
        <f aca="false">SUMIF(Transaction!$B$2:$B$8421,A2031,Transaction!$H$2:$H$8421)</f>
        <v>1486</v>
      </c>
      <c r="M2031" s="6" t="n">
        <f aca="false">Summary!$B$3-J2031</f>
        <v>113</v>
      </c>
      <c r="N2031" s="6" t="str">
        <f aca="false">IF(K2031&gt;1,"Yes","No")</f>
        <v>No</v>
      </c>
      <c r="O2031" s="6" t="s">
        <v>48</v>
      </c>
    </row>
    <row r="2032" customFormat="false" ht="15" hidden="false" customHeight="false" outlineLevel="0" collapsed="false">
      <c r="A2032" s="6" t="s">
        <v>4173</v>
      </c>
      <c r="B2032" s="6" t="s">
        <v>4174</v>
      </c>
      <c r="C2032" s="6" t="s">
        <v>75</v>
      </c>
      <c r="D2032" s="6" t="n">
        <v>37</v>
      </c>
      <c r="E2032" s="6" t="s">
        <v>81</v>
      </c>
      <c r="F2032" s="6" t="s">
        <v>82</v>
      </c>
      <c r="G2032" s="26" t="n">
        <v>45999</v>
      </c>
      <c r="H2032" s="6" t="s">
        <v>92</v>
      </c>
      <c r="I2032" s="26" t="n">
        <f aca="false">_xlfn.MINIFS(Transaction!$C$2:$C$8421,Transaction!$B$2:$B$8421,A2032)</f>
        <v>46034</v>
      </c>
      <c r="J2032" s="26" t="n">
        <f aca="false">_xlfn.MAXIFS(Transaction!$C$2:$C$8421,Transaction!$B$2:$B$8421,A2032)</f>
        <v>46253</v>
      </c>
      <c r="K2032" s="6" t="n">
        <f aca="false">COUNTIF(Transaction!$B$2:$B$8421,A2032)</f>
        <v>9</v>
      </c>
      <c r="L2032" s="10" t="n">
        <f aca="false">SUMIF(Transaction!$B$2:$B$8421,A2032,Transaction!$H$2:$H$8421)</f>
        <v>34583</v>
      </c>
      <c r="M2032" s="6" t="n">
        <f aca="false">Summary!$B$3-J2032</f>
        <v>13</v>
      </c>
      <c r="N2032" s="6" t="str">
        <f aca="false">IF(K2032&gt;1,"Yes","No")</f>
        <v>Yes</v>
      </c>
      <c r="O2032" s="6" t="s">
        <v>45</v>
      </c>
    </row>
    <row r="2033" customFormat="false" ht="15" hidden="false" customHeight="false" outlineLevel="0" collapsed="false">
      <c r="A2033" s="6" t="s">
        <v>4175</v>
      </c>
      <c r="B2033" s="6" t="s">
        <v>4176</v>
      </c>
      <c r="C2033" s="6" t="s">
        <v>75</v>
      </c>
      <c r="D2033" s="6" t="n">
        <v>36</v>
      </c>
      <c r="E2033" s="6" t="s">
        <v>146</v>
      </c>
      <c r="F2033" s="6" t="s">
        <v>147</v>
      </c>
      <c r="G2033" s="26" t="n">
        <v>46044</v>
      </c>
      <c r="H2033" s="6" t="s">
        <v>115</v>
      </c>
      <c r="I2033" s="26" t="n">
        <f aca="false">_xlfn.MINIFS(Transaction!$C$2:$C$8421,Transaction!$B$2:$B$8421,A2033)</f>
        <v>46046</v>
      </c>
      <c r="J2033" s="26" t="n">
        <f aca="false">_xlfn.MAXIFS(Transaction!$C$2:$C$8421,Transaction!$B$2:$B$8421,A2033)</f>
        <v>46246</v>
      </c>
      <c r="K2033" s="6" t="n">
        <f aca="false">COUNTIF(Transaction!$B$2:$B$8421,A2033)</f>
        <v>10</v>
      </c>
      <c r="L2033" s="10" t="n">
        <f aca="false">SUMIF(Transaction!$B$2:$B$8421,A2033,Transaction!$H$2:$H$8421)</f>
        <v>22104</v>
      </c>
      <c r="M2033" s="6" t="n">
        <f aca="false">Summary!$B$3-J2033</f>
        <v>20</v>
      </c>
      <c r="N2033" s="6" t="str">
        <f aca="false">IF(K2033&gt;1,"Yes","No")</f>
        <v>Yes</v>
      </c>
      <c r="O2033" s="6" t="s">
        <v>45</v>
      </c>
    </row>
    <row r="2034" customFormat="false" ht="15" hidden="false" customHeight="false" outlineLevel="0" collapsed="false">
      <c r="A2034" s="6" t="s">
        <v>4177</v>
      </c>
      <c r="B2034" s="6" t="s">
        <v>4178</v>
      </c>
      <c r="C2034" s="6" t="s">
        <v>85</v>
      </c>
      <c r="D2034" s="6" t="n">
        <v>30</v>
      </c>
      <c r="E2034" s="6" t="s">
        <v>321</v>
      </c>
      <c r="F2034" s="6" t="s">
        <v>321</v>
      </c>
      <c r="G2034" s="26" t="n">
        <v>46129</v>
      </c>
      <c r="H2034" s="6" t="s">
        <v>78</v>
      </c>
      <c r="I2034" s="26" t="n">
        <f aca="false">_xlfn.MINIFS(Transaction!$C$2:$C$8421,Transaction!$B$2:$B$8421,A2034)</f>
        <v>46152</v>
      </c>
      <c r="J2034" s="26" t="n">
        <f aca="false">_xlfn.MAXIFS(Transaction!$C$2:$C$8421,Transaction!$B$2:$B$8421,A2034)</f>
        <v>46152</v>
      </c>
      <c r="K2034" s="6" t="n">
        <f aca="false">COUNTIF(Transaction!$B$2:$B$8421,A2034)</f>
        <v>1</v>
      </c>
      <c r="L2034" s="10" t="n">
        <f aca="false">SUMIF(Transaction!$B$2:$B$8421,A2034,Transaction!$H$2:$H$8421)</f>
        <v>2039</v>
      </c>
      <c r="M2034" s="6" t="n">
        <f aca="false">Summary!$B$3-J2034</f>
        <v>114</v>
      </c>
      <c r="N2034" s="6" t="str">
        <f aca="false">IF(K2034&gt;1,"Yes","No")</f>
        <v>No</v>
      </c>
      <c r="O2034" s="6" t="s">
        <v>48</v>
      </c>
    </row>
    <row r="2035" customFormat="false" ht="15" hidden="false" customHeight="false" outlineLevel="0" collapsed="false">
      <c r="A2035" s="6" t="s">
        <v>4179</v>
      </c>
      <c r="B2035" s="6" t="s">
        <v>4180</v>
      </c>
      <c r="C2035" s="6" t="s">
        <v>85</v>
      </c>
      <c r="D2035" s="6" t="n">
        <v>32</v>
      </c>
      <c r="E2035" s="6" t="s">
        <v>76</v>
      </c>
      <c r="F2035" s="6" t="s">
        <v>77</v>
      </c>
      <c r="G2035" s="26" t="n">
        <v>46160</v>
      </c>
      <c r="H2035" s="6" t="s">
        <v>102</v>
      </c>
      <c r="I2035" s="26" t="n">
        <f aca="false">_xlfn.MINIFS(Transaction!$C$2:$C$8421,Transaction!$B$2:$B$8421,A2035)</f>
        <v>46182</v>
      </c>
      <c r="J2035" s="26" t="n">
        <f aca="false">_xlfn.MAXIFS(Transaction!$C$2:$C$8421,Transaction!$B$2:$B$8421,A2035)</f>
        <v>46252</v>
      </c>
      <c r="K2035" s="6" t="n">
        <f aca="false">COUNTIF(Transaction!$B$2:$B$8421,A2035)</f>
        <v>4</v>
      </c>
      <c r="L2035" s="10" t="n">
        <f aca="false">SUMIF(Transaction!$B$2:$B$8421,A2035,Transaction!$H$2:$H$8421)</f>
        <v>50905</v>
      </c>
      <c r="M2035" s="6" t="n">
        <f aca="false">Summary!$B$3-J2035</f>
        <v>14</v>
      </c>
      <c r="N2035" s="6" t="str">
        <f aca="false">IF(K2035&gt;1,"Yes","No")</f>
        <v>Yes</v>
      </c>
      <c r="O2035" s="6" t="s">
        <v>46</v>
      </c>
    </row>
    <row r="2036" customFormat="false" ht="15" hidden="false" customHeight="false" outlineLevel="0" collapsed="false">
      <c r="A2036" s="6" t="s">
        <v>4181</v>
      </c>
      <c r="B2036" s="6" t="s">
        <v>4182</v>
      </c>
      <c r="C2036" s="6" t="s">
        <v>75</v>
      </c>
      <c r="D2036" s="6" t="n">
        <v>21</v>
      </c>
      <c r="E2036" s="6" t="s">
        <v>91</v>
      </c>
      <c r="F2036" s="6" t="s">
        <v>77</v>
      </c>
      <c r="G2036" s="26" t="n">
        <v>46011</v>
      </c>
      <c r="H2036" s="6" t="s">
        <v>115</v>
      </c>
      <c r="I2036" s="26" t="n">
        <f aca="false">_xlfn.MINIFS(Transaction!$C$2:$C$8421,Transaction!$B$2:$B$8421,A2036)</f>
        <v>46049</v>
      </c>
      <c r="J2036" s="26" t="n">
        <f aca="false">_xlfn.MAXIFS(Transaction!$C$2:$C$8421,Transaction!$B$2:$B$8421,A2036)</f>
        <v>46255</v>
      </c>
      <c r="K2036" s="6" t="n">
        <f aca="false">COUNTIF(Transaction!$B$2:$B$8421,A2036)</f>
        <v>8</v>
      </c>
      <c r="L2036" s="10" t="n">
        <f aca="false">SUMIF(Transaction!$B$2:$B$8421,A2036,Transaction!$H$2:$H$8421)</f>
        <v>12280</v>
      </c>
      <c r="M2036" s="6" t="n">
        <f aca="false">Summary!$B$3-J2036</f>
        <v>11</v>
      </c>
      <c r="N2036" s="6" t="str">
        <f aca="false">IF(K2036&gt;1,"Yes","No")</f>
        <v>Yes</v>
      </c>
      <c r="O2036" s="6" t="s">
        <v>45</v>
      </c>
    </row>
    <row r="2037" customFormat="false" ht="15" hidden="false" customHeight="false" outlineLevel="0" collapsed="false">
      <c r="A2037" s="6" t="s">
        <v>4183</v>
      </c>
      <c r="B2037" s="6" t="s">
        <v>4184</v>
      </c>
      <c r="C2037" s="6" t="s">
        <v>85</v>
      </c>
      <c r="D2037" s="6" t="n">
        <v>45</v>
      </c>
      <c r="E2037" s="6" t="s">
        <v>95</v>
      </c>
      <c r="F2037" s="6" t="s">
        <v>95</v>
      </c>
      <c r="G2037" s="26" t="n">
        <v>45996</v>
      </c>
      <c r="H2037" s="6" t="s">
        <v>102</v>
      </c>
      <c r="I2037" s="26" t="n">
        <f aca="false">_xlfn.MINIFS(Transaction!$C$2:$C$8421,Transaction!$B$2:$B$8421,A2037)</f>
        <v>46055</v>
      </c>
      <c r="J2037" s="26" t="n">
        <f aca="false">_xlfn.MAXIFS(Transaction!$C$2:$C$8421,Transaction!$B$2:$B$8421,A2037)</f>
        <v>46260</v>
      </c>
      <c r="K2037" s="6" t="n">
        <f aca="false">COUNTIF(Transaction!$B$2:$B$8421,A2037)</f>
        <v>9</v>
      </c>
      <c r="L2037" s="10" t="n">
        <f aca="false">SUMIF(Transaction!$B$2:$B$8421,A2037,Transaction!$H$2:$H$8421)</f>
        <v>13782</v>
      </c>
      <c r="M2037" s="6" t="n">
        <f aca="false">Summary!$B$3-J2037</f>
        <v>6</v>
      </c>
      <c r="N2037" s="6" t="str">
        <f aca="false">IF(K2037&gt;1,"Yes","No")</f>
        <v>Yes</v>
      </c>
      <c r="O2037" s="6" t="s">
        <v>45</v>
      </c>
    </row>
    <row r="2038" customFormat="false" ht="15" hidden="false" customHeight="false" outlineLevel="0" collapsed="false">
      <c r="A2038" s="6" t="s">
        <v>4185</v>
      </c>
      <c r="B2038" s="6" t="s">
        <v>4186</v>
      </c>
      <c r="C2038" s="6" t="s">
        <v>75</v>
      </c>
      <c r="D2038" s="6" t="n">
        <v>39</v>
      </c>
      <c r="E2038" s="6" t="s">
        <v>95</v>
      </c>
      <c r="F2038" s="6" t="s">
        <v>95</v>
      </c>
      <c r="G2038" s="26" t="n">
        <v>46183</v>
      </c>
      <c r="H2038" s="6" t="s">
        <v>115</v>
      </c>
      <c r="I2038" s="26" t="n">
        <f aca="false">_xlfn.MINIFS(Transaction!$C$2:$C$8421,Transaction!$B$2:$B$8421,A2038)</f>
        <v>46253</v>
      </c>
      <c r="J2038" s="26" t="n">
        <f aca="false">_xlfn.MAXIFS(Transaction!$C$2:$C$8421,Transaction!$B$2:$B$8421,A2038)</f>
        <v>46253</v>
      </c>
      <c r="K2038" s="6" t="n">
        <f aca="false">COUNTIF(Transaction!$B$2:$B$8421,A2038)</f>
        <v>1</v>
      </c>
      <c r="L2038" s="10" t="n">
        <f aca="false">SUMIF(Transaction!$B$2:$B$8421,A2038,Transaction!$H$2:$H$8421)</f>
        <v>2109</v>
      </c>
      <c r="M2038" s="6" t="n">
        <f aca="false">Summary!$B$3-J2038</f>
        <v>13</v>
      </c>
      <c r="N2038" s="6" t="str">
        <f aca="false">IF(K2038&gt;1,"Yes","No")</f>
        <v>No</v>
      </c>
      <c r="O2038" s="6" t="s">
        <v>47</v>
      </c>
    </row>
    <row r="2039" customFormat="false" ht="15" hidden="false" customHeight="false" outlineLevel="0" collapsed="false">
      <c r="A2039" s="6" t="s">
        <v>4187</v>
      </c>
      <c r="B2039" s="6" t="s">
        <v>4188</v>
      </c>
      <c r="C2039" s="6" t="s">
        <v>75</v>
      </c>
      <c r="D2039" s="6" t="n">
        <v>33</v>
      </c>
      <c r="E2039" s="6" t="s">
        <v>81</v>
      </c>
      <c r="F2039" s="6" t="s">
        <v>82</v>
      </c>
      <c r="G2039" s="26" t="n">
        <v>46060</v>
      </c>
      <c r="H2039" s="6" t="s">
        <v>123</v>
      </c>
      <c r="I2039" s="26" t="n">
        <f aca="false">_xlfn.MINIFS(Transaction!$C$2:$C$8421,Transaction!$B$2:$B$8421,A2039)</f>
        <v>46108</v>
      </c>
      <c r="J2039" s="26" t="n">
        <f aca="false">_xlfn.MAXIFS(Transaction!$C$2:$C$8421,Transaction!$B$2:$B$8421,A2039)</f>
        <v>46108</v>
      </c>
      <c r="K2039" s="6" t="n">
        <f aca="false">COUNTIF(Transaction!$B$2:$B$8421,A2039)</f>
        <v>1</v>
      </c>
      <c r="L2039" s="10" t="n">
        <f aca="false">SUMIF(Transaction!$B$2:$B$8421,A2039,Transaction!$H$2:$H$8421)</f>
        <v>3360</v>
      </c>
      <c r="M2039" s="6" t="n">
        <f aca="false">Summary!$B$3-J2039</f>
        <v>158</v>
      </c>
      <c r="N2039" s="6" t="str">
        <f aca="false">IF(K2039&gt;1,"Yes","No")</f>
        <v>No</v>
      </c>
      <c r="O2039" s="6" t="s">
        <v>49</v>
      </c>
    </row>
    <row r="2040" customFormat="false" ht="15" hidden="false" customHeight="false" outlineLevel="0" collapsed="false">
      <c r="A2040" s="6" t="s">
        <v>4189</v>
      </c>
      <c r="B2040" s="6" t="s">
        <v>4190</v>
      </c>
      <c r="C2040" s="6" t="s">
        <v>75</v>
      </c>
      <c r="D2040" s="6" t="n">
        <v>32</v>
      </c>
      <c r="E2040" s="6" t="s">
        <v>134</v>
      </c>
      <c r="F2040" s="6" t="s">
        <v>135</v>
      </c>
      <c r="G2040" s="26" t="n">
        <v>46152</v>
      </c>
      <c r="H2040" s="6" t="s">
        <v>115</v>
      </c>
      <c r="I2040" s="26" t="n">
        <f aca="false">_xlfn.MINIFS(Transaction!$C$2:$C$8421,Transaction!$B$2:$B$8421,A2040)</f>
        <v>46164</v>
      </c>
      <c r="J2040" s="26" t="n">
        <f aca="false">_xlfn.MAXIFS(Transaction!$C$2:$C$8421,Transaction!$B$2:$B$8421,A2040)</f>
        <v>46164</v>
      </c>
      <c r="K2040" s="6" t="n">
        <f aca="false">COUNTIF(Transaction!$B$2:$B$8421,A2040)</f>
        <v>1</v>
      </c>
      <c r="L2040" s="10" t="n">
        <f aca="false">SUMIF(Transaction!$B$2:$B$8421,A2040,Transaction!$H$2:$H$8421)</f>
        <v>1026</v>
      </c>
      <c r="M2040" s="6" t="n">
        <f aca="false">Summary!$B$3-J2040</f>
        <v>102</v>
      </c>
      <c r="N2040" s="6" t="str">
        <f aca="false">IF(K2040&gt;1,"Yes","No")</f>
        <v>No</v>
      </c>
      <c r="O2040" s="6" t="s">
        <v>48</v>
      </c>
    </row>
    <row r="2041" customFormat="false" ht="15" hidden="false" customHeight="false" outlineLevel="0" collapsed="false">
      <c r="A2041" s="6" t="s">
        <v>4191</v>
      </c>
      <c r="B2041" s="6" t="s">
        <v>4192</v>
      </c>
      <c r="C2041" s="6" t="s">
        <v>85</v>
      </c>
      <c r="D2041" s="6" t="n">
        <v>52</v>
      </c>
      <c r="E2041" s="6" t="s">
        <v>76</v>
      </c>
      <c r="F2041" s="6" t="s">
        <v>77</v>
      </c>
      <c r="G2041" s="26" t="n">
        <v>46164</v>
      </c>
      <c r="H2041" s="6" t="s">
        <v>88</v>
      </c>
      <c r="I2041" s="26" t="n">
        <f aca="false">_xlfn.MINIFS(Transaction!$C$2:$C$8421,Transaction!$B$2:$B$8421,A2041)</f>
        <v>46206</v>
      </c>
      <c r="J2041" s="26" t="n">
        <f aca="false">_xlfn.MAXIFS(Transaction!$C$2:$C$8421,Transaction!$B$2:$B$8421,A2041)</f>
        <v>46206</v>
      </c>
      <c r="K2041" s="6" t="n">
        <f aca="false">COUNTIF(Transaction!$B$2:$B$8421,A2041)</f>
        <v>1</v>
      </c>
      <c r="L2041" s="10" t="n">
        <f aca="false">SUMIF(Transaction!$B$2:$B$8421,A2041,Transaction!$H$2:$H$8421)</f>
        <v>20395</v>
      </c>
      <c r="M2041" s="6" t="n">
        <f aca="false">Summary!$B$3-J2041</f>
        <v>60</v>
      </c>
      <c r="N2041" s="6" t="str">
        <f aca="false">IF(K2041&gt;1,"Yes","No")</f>
        <v>No</v>
      </c>
      <c r="O2041" s="6" t="s">
        <v>47</v>
      </c>
    </row>
    <row r="2042" customFormat="false" ht="15" hidden="false" customHeight="false" outlineLevel="0" collapsed="false">
      <c r="A2042" s="6" t="s">
        <v>4193</v>
      </c>
      <c r="B2042" s="6" t="s">
        <v>4194</v>
      </c>
      <c r="C2042" s="6" t="s">
        <v>85</v>
      </c>
      <c r="D2042" s="6" t="n">
        <v>41</v>
      </c>
      <c r="E2042" s="6" t="s">
        <v>95</v>
      </c>
      <c r="F2042" s="6" t="s">
        <v>95</v>
      </c>
      <c r="G2042" s="26" t="n">
        <v>46160</v>
      </c>
      <c r="H2042" s="6" t="s">
        <v>88</v>
      </c>
      <c r="I2042" s="26" t="n">
        <f aca="false">_xlfn.MINIFS(Transaction!$C$2:$C$8421,Transaction!$B$2:$B$8421,A2042)</f>
        <v>46206</v>
      </c>
      <c r="J2042" s="26" t="n">
        <f aca="false">_xlfn.MAXIFS(Transaction!$C$2:$C$8421,Transaction!$B$2:$B$8421,A2042)</f>
        <v>46206</v>
      </c>
      <c r="K2042" s="6" t="n">
        <f aca="false">COUNTIF(Transaction!$B$2:$B$8421,A2042)</f>
        <v>1</v>
      </c>
      <c r="L2042" s="10" t="n">
        <f aca="false">SUMIF(Transaction!$B$2:$B$8421,A2042,Transaction!$H$2:$H$8421)</f>
        <v>1098</v>
      </c>
      <c r="M2042" s="6" t="n">
        <f aca="false">Summary!$B$3-J2042</f>
        <v>60</v>
      </c>
      <c r="N2042" s="6" t="str">
        <f aca="false">IF(K2042&gt;1,"Yes","No")</f>
        <v>No</v>
      </c>
      <c r="O2042" s="6" t="s">
        <v>47</v>
      </c>
    </row>
    <row r="2043" customFormat="false" ht="15" hidden="false" customHeight="false" outlineLevel="0" collapsed="false">
      <c r="A2043" s="6" t="s">
        <v>4195</v>
      </c>
      <c r="B2043" s="6" t="s">
        <v>4196</v>
      </c>
      <c r="C2043" s="6" t="s">
        <v>75</v>
      </c>
      <c r="D2043" s="6" t="n">
        <v>36</v>
      </c>
      <c r="E2043" s="6" t="s">
        <v>76</v>
      </c>
      <c r="F2043" s="6" t="s">
        <v>77</v>
      </c>
      <c r="G2043" s="26" t="n">
        <v>45953</v>
      </c>
      <c r="H2043" s="6" t="s">
        <v>78</v>
      </c>
      <c r="I2043" s="26" t="n">
        <f aca="false">_xlfn.MINIFS(Transaction!$C$2:$C$8421,Transaction!$B$2:$B$8421,A2043)</f>
        <v>46027</v>
      </c>
      <c r="J2043" s="26" t="n">
        <f aca="false">_xlfn.MAXIFS(Transaction!$C$2:$C$8421,Transaction!$B$2:$B$8421,A2043)</f>
        <v>46027</v>
      </c>
      <c r="K2043" s="6" t="n">
        <f aca="false">COUNTIF(Transaction!$B$2:$B$8421,A2043)</f>
        <v>1</v>
      </c>
      <c r="L2043" s="10" t="n">
        <f aca="false">SUMIF(Transaction!$B$2:$B$8421,A2043,Transaction!$H$2:$H$8421)</f>
        <v>1564</v>
      </c>
      <c r="M2043" s="6" t="n">
        <f aca="false">Summary!$B$3-J2043</f>
        <v>239</v>
      </c>
      <c r="N2043" s="6" t="str">
        <f aca="false">IF(K2043&gt;1,"Yes","No")</f>
        <v>No</v>
      </c>
      <c r="O2043" s="6" t="s">
        <v>49</v>
      </c>
    </row>
    <row r="2044" customFormat="false" ht="15" hidden="false" customHeight="false" outlineLevel="0" collapsed="false">
      <c r="A2044" s="6" t="s">
        <v>4197</v>
      </c>
      <c r="B2044" s="6" t="s">
        <v>4198</v>
      </c>
      <c r="C2044" s="6" t="s">
        <v>85</v>
      </c>
      <c r="D2044" s="6" t="n">
        <v>31</v>
      </c>
      <c r="E2044" s="6" t="s">
        <v>95</v>
      </c>
      <c r="F2044" s="6" t="s">
        <v>95</v>
      </c>
      <c r="G2044" s="26" t="n">
        <v>46222</v>
      </c>
      <c r="H2044" s="6" t="s">
        <v>92</v>
      </c>
      <c r="I2044" s="26" t="n">
        <f aca="false">_xlfn.MINIFS(Transaction!$C$2:$C$8421,Transaction!$B$2:$B$8421,A2044)</f>
        <v>46253</v>
      </c>
      <c r="J2044" s="26" t="n">
        <f aca="false">_xlfn.MAXIFS(Transaction!$C$2:$C$8421,Transaction!$B$2:$B$8421,A2044)</f>
        <v>46253</v>
      </c>
      <c r="K2044" s="6" t="n">
        <f aca="false">COUNTIF(Transaction!$B$2:$B$8421,A2044)</f>
        <v>1</v>
      </c>
      <c r="L2044" s="10" t="n">
        <f aca="false">SUMIF(Transaction!$B$2:$B$8421,A2044,Transaction!$H$2:$H$8421)</f>
        <v>3243</v>
      </c>
      <c r="M2044" s="6" t="n">
        <f aca="false">Summary!$B$3-J2044</f>
        <v>13</v>
      </c>
      <c r="N2044" s="6" t="str">
        <f aca="false">IF(K2044&gt;1,"Yes","No")</f>
        <v>No</v>
      </c>
      <c r="O2044" s="6" t="s">
        <v>47</v>
      </c>
    </row>
    <row r="2045" customFormat="false" ht="15" hidden="false" customHeight="false" outlineLevel="0" collapsed="false">
      <c r="A2045" s="6" t="s">
        <v>4199</v>
      </c>
      <c r="B2045" s="6" t="s">
        <v>4200</v>
      </c>
      <c r="C2045" s="6" t="s">
        <v>75</v>
      </c>
      <c r="D2045" s="6" t="n">
        <v>32</v>
      </c>
      <c r="E2045" s="6" t="s">
        <v>81</v>
      </c>
      <c r="F2045" s="6" t="s">
        <v>82</v>
      </c>
      <c r="G2045" s="26" t="n">
        <v>45988</v>
      </c>
      <c r="H2045" s="6" t="s">
        <v>92</v>
      </c>
      <c r="I2045" s="26" t="n">
        <f aca="false">_xlfn.MINIFS(Transaction!$C$2:$C$8421,Transaction!$B$2:$B$8421,A2045)</f>
        <v>46046</v>
      </c>
      <c r="J2045" s="26" t="n">
        <f aca="false">_xlfn.MAXIFS(Transaction!$C$2:$C$8421,Transaction!$B$2:$B$8421,A2045)</f>
        <v>46046</v>
      </c>
      <c r="K2045" s="6" t="n">
        <f aca="false">COUNTIF(Transaction!$B$2:$B$8421,A2045)</f>
        <v>1</v>
      </c>
      <c r="L2045" s="10" t="n">
        <f aca="false">SUMIF(Transaction!$B$2:$B$8421,A2045,Transaction!$H$2:$H$8421)</f>
        <v>879</v>
      </c>
      <c r="M2045" s="6" t="n">
        <f aca="false">Summary!$B$3-J2045</f>
        <v>220</v>
      </c>
      <c r="N2045" s="6" t="str">
        <f aca="false">IF(K2045&gt;1,"Yes","No")</f>
        <v>No</v>
      </c>
      <c r="O2045" s="6" t="s">
        <v>49</v>
      </c>
    </row>
    <row r="2046" customFormat="false" ht="15" hidden="false" customHeight="false" outlineLevel="0" collapsed="false">
      <c r="A2046" s="6" t="s">
        <v>4201</v>
      </c>
      <c r="B2046" s="6" t="s">
        <v>4202</v>
      </c>
      <c r="C2046" s="6" t="s">
        <v>75</v>
      </c>
      <c r="D2046" s="6" t="n">
        <v>34</v>
      </c>
      <c r="E2046" s="6" t="s">
        <v>86</v>
      </c>
      <c r="F2046" s="6" t="s">
        <v>87</v>
      </c>
      <c r="G2046" s="26" t="n">
        <v>46154</v>
      </c>
      <c r="H2046" s="6" t="s">
        <v>115</v>
      </c>
      <c r="I2046" s="26" t="n">
        <f aca="false">_xlfn.MINIFS(Transaction!$C$2:$C$8421,Transaction!$B$2:$B$8421,A2046)</f>
        <v>46229</v>
      </c>
      <c r="J2046" s="26" t="n">
        <f aca="false">_xlfn.MAXIFS(Transaction!$C$2:$C$8421,Transaction!$B$2:$B$8421,A2046)</f>
        <v>46229</v>
      </c>
      <c r="K2046" s="6" t="n">
        <f aca="false">COUNTIF(Transaction!$B$2:$B$8421,A2046)</f>
        <v>1</v>
      </c>
      <c r="L2046" s="10" t="n">
        <f aca="false">SUMIF(Transaction!$B$2:$B$8421,A2046,Transaction!$H$2:$H$8421)</f>
        <v>814</v>
      </c>
      <c r="M2046" s="6" t="n">
        <f aca="false">Summary!$B$3-J2046</f>
        <v>37</v>
      </c>
      <c r="N2046" s="6" t="str">
        <f aca="false">IF(K2046&gt;1,"Yes","No")</f>
        <v>No</v>
      </c>
      <c r="O2046" s="6" t="s">
        <v>47</v>
      </c>
    </row>
    <row r="2047" customFormat="false" ht="15" hidden="false" customHeight="false" outlineLevel="0" collapsed="false">
      <c r="A2047" s="6" t="s">
        <v>4203</v>
      </c>
      <c r="B2047" s="6" t="s">
        <v>4204</v>
      </c>
      <c r="C2047" s="6" t="s">
        <v>75</v>
      </c>
      <c r="D2047" s="6" t="n">
        <v>24</v>
      </c>
      <c r="E2047" s="6" t="s">
        <v>98</v>
      </c>
      <c r="F2047" s="6" t="s">
        <v>99</v>
      </c>
      <c r="G2047" s="26" t="n">
        <v>46115</v>
      </c>
      <c r="H2047" s="6" t="s">
        <v>78</v>
      </c>
      <c r="I2047" s="26" t="n">
        <f aca="false">_xlfn.MINIFS(Transaction!$C$2:$C$8421,Transaction!$B$2:$B$8421,A2047)</f>
        <v>46118</v>
      </c>
      <c r="J2047" s="26" t="n">
        <f aca="false">_xlfn.MAXIFS(Transaction!$C$2:$C$8421,Transaction!$B$2:$B$8421,A2047)</f>
        <v>46118</v>
      </c>
      <c r="K2047" s="6" t="n">
        <f aca="false">COUNTIF(Transaction!$B$2:$B$8421,A2047)</f>
        <v>1</v>
      </c>
      <c r="L2047" s="10" t="n">
        <f aca="false">SUMIF(Transaction!$B$2:$B$8421,A2047,Transaction!$H$2:$H$8421)</f>
        <v>441</v>
      </c>
      <c r="M2047" s="6" t="n">
        <f aca="false">Summary!$B$3-J2047</f>
        <v>148</v>
      </c>
      <c r="N2047" s="6" t="str">
        <f aca="false">IF(K2047&gt;1,"Yes","No")</f>
        <v>No</v>
      </c>
      <c r="O2047" s="6" t="s">
        <v>48</v>
      </c>
    </row>
    <row r="2048" customFormat="false" ht="15" hidden="false" customHeight="false" outlineLevel="0" collapsed="false">
      <c r="A2048" s="6" t="s">
        <v>4205</v>
      </c>
      <c r="B2048" s="6" t="s">
        <v>4206</v>
      </c>
      <c r="C2048" s="6" t="s">
        <v>75</v>
      </c>
      <c r="D2048" s="6" t="n">
        <v>31</v>
      </c>
      <c r="E2048" s="6" t="s">
        <v>98</v>
      </c>
      <c r="F2048" s="6" t="s">
        <v>99</v>
      </c>
      <c r="G2048" s="26" t="n">
        <v>46005</v>
      </c>
      <c r="H2048" s="6" t="s">
        <v>92</v>
      </c>
      <c r="I2048" s="26" t="n">
        <f aca="false">_xlfn.MINIFS(Transaction!$C$2:$C$8421,Transaction!$B$2:$B$8421,A2048)</f>
        <v>46040</v>
      </c>
      <c r="J2048" s="26" t="n">
        <f aca="false">_xlfn.MAXIFS(Transaction!$C$2:$C$8421,Transaction!$B$2:$B$8421,A2048)</f>
        <v>46175</v>
      </c>
      <c r="K2048" s="6" t="n">
        <f aca="false">COUNTIF(Transaction!$B$2:$B$8421,A2048)</f>
        <v>5</v>
      </c>
      <c r="L2048" s="10" t="n">
        <f aca="false">SUMIF(Transaction!$B$2:$B$8421,A2048,Transaction!$H$2:$H$8421)</f>
        <v>5995</v>
      </c>
      <c r="M2048" s="6" t="n">
        <f aca="false">Summary!$B$3-J2048</f>
        <v>91</v>
      </c>
      <c r="N2048" s="6" t="str">
        <f aca="false">IF(K2048&gt;1,"Yes","No")</f>
        <v>Yes</v>
      </c>
      <c r="O2048" s="6" t="s">
        <v>46</v>
      </c>
    </row>
    <row r="2049" customFormat="false" ht="15" hidden="false" customHeight="false" outlineLevel="0" collapsed="false">
      <c r="A2049" s="6" t="s">
        <v>4207</v>
      </c>
      <c r="B2049" s="6" t="s">
        <v>4208</v>
      </c>
      <c r="C2049" s="6" t="s">
        <v>75</v>
      </c>
      <c r="D2049" s="6" t="n">
        <v>38</v>
      </c>
      <c r="E2049" s="6" t="s">
        <v>126</v>
      </c>
      <c r="F2049" s="6" t="s">
        <v>127</v>
      </c>
      <c r="G2049" s="26" t="n">
        <v>45981</v>
      </c>
      <c r="H2049" s="6" t="s">
        <v>102</v>
      </c>
      <c r="I2049" s="26" t="n">
        <f aca="false">_xlfn.MINIFS(Transaction!$C$2:$C$8421,Transaction!$B$2:$B$8421,A2049)</f>
        <v>46048</v>
      </c>
      <c r="J2049" s="26" t="n">
        <f aca="false">_xlfn.MAXIFS(Transaction!$C$2:$C$8421,Transaction!$B$2:$B$8421,A2049)</f>
        <v>46249</v>
      </c>
      <c r="K2049" s="6" t="n">
        <f aca="false">COUNTIF(Transaction!$B$2:$B$8421,A2049)</f>
        <v>6</v>
      </c>
      <c r="L2049" s="10" t="n">
        <f aca="false">SUMIF(Transaction!$B$2:$B$8421,A2049,Transaction!$H$2:$H$8421)</f>
        <v>26050</v>
      </c>
      <c r="M2049" s="6" t="n">
        <f aca="false">Summary!$B$3-J2049</f>
        <v>17</v>
      </c>
      <c r="N2049" s="6" t="str">
        <f aca="false">IF(K2049&gt;1,"Yes","No")</f>
        <v>Yes</v>
      </c>
      <c r="O2049" s="6" t="s">
        <v>46</v>
      </c>
    </row>
    <row r="2050" customFormat="false" ht="15" hidden="false" customHeight="false" outlineLevel="0" collapsed="false">
      <c r="A2050" s="6" t="s">
        <v>4209</v>
      </c>
      <c r="B2050" s="6" t="s">
        <v>4210</v>
      </c>
      <c r="C2050" s="6" t="s">
        <v>85</v>
      </c>
      <c r="D2050" s="6" t="n">
        <v>32</v>
      </c>
      <c r="E2050" s="6" t="s">
        <v>321</v>
      </c>
      <c r="F2050" s="6" t="s">
        <v>321</v>
      </c>
      <c r="G2050" s="26" t="n">
        <v>46066</v>
      </c>
      <c r="H2050" s="6" t="s">
        <v>78</v>
      </c>
      <c r="I2050" s="26" t="n">
        <f aca="false">_xlfn.MINIFS(Transaction!$C$2:$C$8421,Transaction!$B$2:$B$8421,A2050)</f>
        <v>46089</v>
      </c>
      <c r="J2050" s="26" t="n">
        <f aca="false">_xlfn.MAXIFS(Transaction!$C$2:$C$8421,Transaction!$B$2:$B$8421,A2050)</f>
        <v>46260</v>
      </c>
      <c r="K2050" s="6" t="n">
        <f aca="false">COUNTIF(Transaction!$B$2:$B$8421,A2050)</f>
        <v>13</v>
      </c>
      <c r="L2050" s="10" t="n">
        <f aca="false">SUMIF(Transaction!$B$2:$B$8421,A2050,Transaction!$H$2:$H$8421)</f>
        <v>37474</v>
      </c>
      <c r="M2050" s="6" t="n">
        <f aca="false">Summary!$B$3-J2050</f>
        <v>6</v>
      </c>
      <c r="N2050" s="6" t="str">
        <f aca="false">IF(K2050&gt;1,"Yes","No")</f>
        <v>Yes</v>
      </c>
      <c r="O2050" s="6" t="s">
        <v>45</v>
      </c>
    </row>
    <row r="2051" customFormat="false" ht="15" hidden="false" customHeight="false" outlineLevel="0" collapsed="false">
      <c r="A2051" s="6" t="s">
        <v>4211</v>
      </c>
      <c r="B2051" s="6" t="s">
        <v>4212</v>
      </c>
      <c r="C2051" s="6" t="s">
        <v>85</v>
      </c>
      <c r="D2051" s="6" t="n">
        <v>33</v>
      </c>
      <c r="E2051" s="6" t="s">
        <v>76</v>
      </c>
      <c r="F2051" s="6" t="s">
        <v>77</v>
      </c>
      <c r="G2051" s="26" t="n">
        <v>46214</v>
      </c>
      <c r="H2051" s="6" t="s">
        <v>115</v>
      </c>
      <c r="I2051" s="26" t="n">
        <f aca="false">_xlfn.MINIFS(Transaction!$C$2:$C$8421,Transaction!$B$2:$B$8421,A2051)</f>
        <v>46236</v>
      </c>
      <c r="J2051" s="26" t="n">
        <f aca="false">_xlfn.MAXIFS(Transaction!$C$2:$C$8421,Transaction!$B$2:$B$8421,A2051)</f>
        <v>46236</v>
      </c>
      <c r="K2051" s="6" t="n">
        <f aca="false">COUNTIF(Transaction!$B$2:$B$8421,A2051)</f>
        <v>1</v>
      </c>
      <c r="L2051" s="10" t="n">
        <f aca="false">SUMIF(Transaction!$B$2:$B$8421,A2051,Transaction!$H$2:$H$8421)</f>
        <v>2346</v>
      </c>
      <c r="M2051" s="6" t="n">
        <f aca="false">Summary!$B$3-J2051</f>
        <v>30</v>
      </c>
      <c r="N2051" s="6" t="str">
        <f aca="false">IF(K2051&gt;1,"Yes","No")</f>
        <v>No</v>
      </c>
      <c r="O2051" s="6" t="s">
        <v>47</v>
      </c>
    </row>
    <row r="2052" customFormat="false" ht="15" hidden="false" customHeight="false" outlineLevel="0" collapsed="false">
      <c r="A2052" s="6" t="s">
        <v>4213</v>
      </c>
      <c r="B2052" s="6" t="s">
        <v>4214</v>
      </c>
      <c r="C2052" s="6" t="s">
        <v>85</v>
      </c>
      <c r="D2052" s="6" t="n">
        <v>36</v>
      </c>
      <c r="E2052" s="6" t="s">
        <v>264</v>
      </c>
      <c r="F2052" s="6" t="s">
        <v>106</v>
      </c>
      <c r="G2052" s="26" t="n">
        <v>45965</v>
      </c>
      <c r="H2052" s="6" t="s">
        <v>123</v>
      </c>
      <c r="I2052" s="26" t="n">
        <f aca="false">_xlfn.MINIFS(Transaction!$C$2:$C$8421,Transaction!$B$2:$B$8421,A2052)</f>
        <v>46037</v>
      </c>
      <c r="J2052" s="26" t="n">
        <f aca="false">_xlfn.MAXIFS(Transaction!$C$2:$C$8421,Transaction!$B$2:$B$8421,A2052)</f>
        <v>46245</v>
      </c>
      <c r="K2052" s="6" t="n">
        <f aca="false">COUNTIF(Transaction!$B$2:$B$8421,A2052)</f>
        <v>10</v>
      </c>
      <c r="L2052" s="10" t="n">
        <f aca="false">SUMIF(Transaction!$B$2:$B$8421,A2052,Transaction!$H$2:$H$8421)</f>
        <v>47451</v>
      </c>
      <c r="M2052" s="6" t="n">
        <f aca="false">Summary!$B$3-J2052</f>
        <v>21</v>
      </c>
      <c r="N2052" s="6" t="str">
        <f aca="false">IF(K2052&gt;1,"Yes","No")</f>
        <v>Yes</v>
      </c>
      <c r="O2052" s="6" t="s">
        <v>45</v>
      </c>
    </row>
    <row r="2053" customFormat="false" ht="15" hidden="false" customHeight="false" outlineLevel="0" collapsed="false">
      <c r="A2053" s="6" t="s">
        <v>4215</v>
      </c>
      <c r="B2053" s="6" t="s">
        <v>4216</v>
      </c>
      <c r="C2053" s="6" t="s">
        <v>75</v>
      </c>
      <c r="D2053" s="6" t="n">
        <v>23</v>
      </c>
      <c r="E2053" s="6" t="s">
        <v>134</v>
      </c>
      <c r="F2053" s="6" t="s">
        <v>135</v>
      </c>
      <c r="G2053" s="26" t="n">
        <v>46110</v>
      </c>
      <c r="H2053" s="6" t="s">
        <v>102</v>
      </c>
      <c r="I2053" s="26" t="n">
        <f aca="false">_xlfn.MINIFS(Transaction!$C$2:$C$8421,Transaction!$B$2:$B$8421,A2053)</f>
        <v>46114</v>
      </c>
      <c r="J2053" s="26" t="n">
        <f aca="false">_xlfn.MAXIFS(Transaction!$C$2:$C$8421,Transaction!$B$2:$B$8421,A2053)</f>
        <v>46264</v>
      </c>
      <c r="K2053" s="6" t="n">
        <f aca="false">COUNTIF(Transaction!$B$2:$B$8421,A2053)</f>
        <v>9</v>
      </c>
      <c r="L2053" s="10" t="n">
        <f aca="false">SUMIF(Transaction!$B$2:$B$8421,A2053,Transaction!$H$2:$H$8421)</f>
        <v>12063</v>
      </c>
      <c r="M2053" s="6" t="n">
        <f aca="false">Summary!$B$3-J2053</f>
        <v>2</v>
      </c>
      <c r="N2053" s="6" t="str">
        <f aca="false">IF(K2053&gt;1,"Yes","No")</f>
        <v>Yes</v>
      </c>
      <c r="O2053" s="6" t="s">
        <v>45</v>
      </c>
    </row>
    <row r="2054" customFormat="false" ht="15" hidden="false" customHeight="false" outlineLevel="0" collapsed="false">
      <c r="A2054" s="6" t="s">
        <v>4217</v>
      </c>
      <c r="B2054" s="6" t="s">
        <v>4218</v>
      </c>
      <c r="C2054" s="6" t="s">
        <v>85</v>
      </c>
      <c r="D2054" s="6" t="n">
        <v>43</v>
      </c>
      <c r="E2054" s="6" t="s">
        <v>98</v>
      </c>
      <c r="F2054" s="6" t="s">
        <v>99</v>
      </c>
      <c r="G2054" s="26" t="n">
        <v>45953</v>
      </c>
      <c r="H2054" s="6" t="s">
        <v>88</v>
      </c>
      <c r="I2054" s="26" t="n">
        <f aca="false">_xlfn.MINIFS(Transaction!$C$2:$C$8421,Transaction!$B$2:$B$8421,A2054)</f>
        <v>46029</v>
      </c>
      <c r="J2054" s="26" t="n">
        <f aca="false">_xlfn.MAXIFS(Transaction!$C$2:$C$8421,Transaction!$B$2:$B$8421,A2054)</f>
        <v>46257</v>
      </c>
      <c r="K2054" s="6" t="n">
        <f aca="false">COUNTIF(Transaction!$B$2:$B$8421,A2054)</f>
        <v>11</v>
      </c>
      <c r="L2054" s="10" t="n">
        <f aca="false">SUMIF(Transaction!$B$2:$B$8421,A2054,Transaction!$H$2:$H$8421)</f>
        <v>21123</v>
      </c>
      <c r="M2054" s="6" t="n">
        <f aca="false">Summary!$B$3-J2054</f>
        <v>9</v>
      </c>
      <c r="N2054" s="6" t="str">
        <f aca="false">IF(K2054&gt;1,"Yes","No")</f>
        <v>Yes</v>
      </c>
      <c r="O2054" s="6" t="s">
        <v>45</v>
      </c>
    </row>
    <row r="2055" customFormat="false" ht="15" hidden="false" customHeight="false" outlineLevel="0" collapsed="false">
      <c r="A2055" s="6" t="s">
        <v>4219</v>
      </c>
      <c r="B2055" s="6" t="s">
        <v>4220</v>
      </c>
      <c r="C2055" s="6" t="s">
        <v>75</v>
      </c>
      <c r="D2055" s="6" t="n">
        <v>26</v>
      </c>
      <c r="E2055" s="6" t="s">
        <v>98</v>
      </c>
      <c r="F2055" s="6" t="s">
        <v>99</v>
      </c>
      <c r="G2055" s="26" t="n">
        <v>45981</v>
      </c>
      <c r="H2055" s="6" t="s">
        <v>92</v>
      </c>
      <c r="I2055" s="26" t="n">
        <f aca="false">_xlfn.MINIFS(Transaction!$C$2:$C$8421,Transaction!$B$2:$B$8421,A2055)</f>
        <v>46067</v>
      </c>
      <c r="J2055" s="26" t="n">
        <f aca="false">_xlfn.MAXIFS(Transaction!$C$2:$C$8421,Transaction!$B$2:$B$8421,A2055)</f>
        <v>46218</v>
      </c>
      <c r="K2055" s="6" t="n">
        <f aca="false">COUNTIF(Transaction!$B$2:$B$8421,A2055)</f>
        <v>8</v>
      </c>
      <c r="L2055" s="10" t="n">
        <f aca="false">SUMIF(Transaction!$B$2:$B$8421,A2055,Transaction!$H$2:$H$8421)</f>
        <v>15976</v>
      </c>
      <c r="M2055" s="6" t="n">
        <f aca="false">Summary!$B$3-J2055</f>
        <v>48</v>
      </c>
      <c r="N2055" s="6" t="str">
        <f aca="false">IF(K2055&gt;1,"Yes","No")</f>
        <v>Yes</v>
      </c>
      <c r="O2055" s="6" t="s">
        <v>46</v>
      </c>
    </row>
    <row r="2056" customFormat="false" ht="15" hidden="false" customHeight="false" outlineLevel="0" collapsed="false">
      <c r="A2056" s="6" t="s">
        <v>4221</v>
      </c>
      <c r="B2056" s="6" t="s">
        <v>4222</v>
      </c>
      <c r="C2056" s="6" t="s">
        <v>75</v>
      </c>
      <c r="D2056" s="6" t="n">
        <v>43</v>
      </c>
      <c r="E2056" s="6" t="s">
        <v>76</v>
      </c>
      <c r="F2056" s="6" t="s">
        <v>77</v>
      </c>
      <c r="G2056" s="26" t="n">
        <v>46032</v>
      </c>
      <c r="H2056" s="6" t="s">
        <v>78</v>
      </c>
      <c r="I2056" s="26" t="n">
        <f aca="false">_xlfn.MINIFS(Transaction!$C$2:$C$8421,Transaction!$B$2:$B$8421,A2056)</f>
        <v>46053</v>
      </c>
      <c r="J2056" s="26" t="n">
        <f aca="false">_xlfn.MAXIFS(Transaction!$C$2:$C$8421,Transaction!$B$2:$B$8421,A2056)</f>
        <v>46257</v>
      </c>
      <c r="K2056" s="6" t="n">
        <f aca="false">COUNTIF(Transaction!$B$2:$B$8421,A2056)</f>
        <v>13</v>
      </c>
      <c r="L2056" s="10" t="n">
        <f aca="false">SUMIF(Transaction!$B$2:$B$8421,A2056,Transaction!$H$2:$H$8421)</f>
        <v>18417</v>
      </c>
      <c r="M2056" s="6" t="n">
        <f aca="false">Summary!$B$3-J2056</f>
        <v>9</v>
      </c>
      <c r="N2056" s="6" t="str">
        <f aca="false">IF(K2056&gt;1,"Yes","No")</f>
        <v>Yes</v>
      </c>
      <c r="O2056" s="6" t="s">
        <v>45</v>
      </c>
    </row>
    <row r="2057" customFormat="false" ht="15" hidden="false" customHeight="false" outlineLevel="0" collapsed="false">
      <c r="A2057" s="6" t="s">
        <v>4223</v>
      </c>
      <c r="B2057" s="6" t="s">
        <v>4224</v>
      </c>
      <c r="C2057" s="6" t="s">
        <v>85</v>
      </c>
      <c r="D2057" s="6" t="n">
        <v>33</v>
      </c>
      <c r="E2057" s="6" t="s">
        <v>86</v>
      </c>
      <c r="F2057" s="6" t="s">
        <v>87</v>
      </c>
      <c r="G2057" s="26" t="n">
        <v>46076</v>
      </c>
      <c r="H2057" s="6" t="s">
        <v>92</v>
      </c>
      <c r="I2057" s="26" t="n">
        <f aca="false">_xlfn.MINIFS(Transaction!$C$2:$C$8421,Transaction!$B$2:$B$8421,A2057)</f>
        <v>46109</v>
      </c>
      <c r="J2057" s="26" t="n">
        <f aca="false">_xlfn.MAXIFS(Transaction!$C$2:$C$8421,Transaction!$B$2:$B$8421,A2057)</f>
        <v>46109</v>
      </c>
      <c r="K2057" s="6" t="n">
        <f aca="false">COUNTIF(Transaction!$B$2:$B$8421,A2057)</f>
        <v>1</v>
      </c>
      <c r="L2057" s="10" t="n">
        <f aca="false">SUMIF(Transaction!$B$2:$B$8421,A2057,Transaction!$H$2:$H$8421)</f>
        <v>1466</v>
      </c>
      <c r="M2057" s="6" t="n">
        <f aca="false">Summary!$B$3-J2057</f>
        <v>157</v>
      </c>
      <c r="N2057" s="6" t="str">
        <f aca="false">IF(K2057&gt;1,"Yes","No")</f>
        <v>No</v>
      </c>
      <c r="O2057" s="6" t="s">
        <v>49</v>
      </c>
    </row>
    <row r="2058" customFormat="false" ht="15" hidden="false" customHeight="false" outlineLevel="0" collapsed="false">
      <c r="A2058" s="6" t="s">
        <v>4225</v>
      </c>
      <c r="B2058" s="6" t="s">
        <v>4226</v>
      </c>
      <c r="C2058" s="6" t="s">
        <v>75</v>
      </c>
      <c r="D2058" s="6" t="n">
        <v>36</v>
      </c>
      <c r="E2058" s="6" t="s">
        <v>118</v>
      </c>
      <c r="F2058" s="6" t="s">
        <v>77</v>
      </c>
      <c r="G2058" s="26" t="n">
        <v>46070</v>
      </c>
      <c r="H2058" s="6" t="s">
        <v>102</v>
      </c>
      <c r="I2058" s="26" t="n">
        <f aca="false">_xlfn.MINIFS(Transaction!$C$2:$C$8421,Transaction!$B$2:$B$8421,A2058)</f>
        <v>46094</v>
      </c>
      <c r="J2058" s="26" t="n">
        <f aca="false">_xlfn.MAXIFS(Transaction!$C$2:$C$8421,Transaction!$B$2:$B$8421,A2058)</f>
        <v>46196</v>
      </c>
      <c r="K2058" s="6" t="n">
        <f aca="false">COUNTIF(Transaction!$B$2:$B$8421,A2058)</f>
        <v>3</v>
      </c>
      <c r="L2058" s="10" t="n">
        <f aca="false">SUMIF(Transaction!$B$2:$B$8421,A2058,Transaction!$H$2:$H$8421)</f>
        <v>10332</v>
      </c>
      <c r="M2058" s="6" t="n">
        <f aca="false">Summary!$B$3-J2058</f>
        <v>70</v>
      </c>
      <c r="N2058" s="6" t="str">
        <f aca="false">IF(K2058&gt;1,"Yes","No")</f>
        <v>Yes</v>
      </c>
      <c r="O2058" s="6" t="s">
        <v>46</v>
      </c>
    </row>
    <row r="2059" customFormat="false" ht="15" hidden="false" customHeight="false" outlineLevel="0" collapsed="false">
      <c r="A2059" s="6" t="s">
        <v>4227</v>
      </c>
      <c r="B2059" s="6" t="s">
        <v>4228</v>
      </c>
      <c r="C2059" s="6" t="s">
        <v>85</v>
      </c>
      <c r="D2059" s="6" t="n">
        <v>26</v>
      </c>
      <c r="E2059" s="6" t="s">
        <v>91</v>
      </c>
      <c r="F2059" s="6" t="s">
        <v>77</v>
      </c>
      <c r="G2059" s="26" t="n">
        <v>45961</v>
      </c>
      <c r="H2059" s="6" t="s">
        <v>115</v>
      </c>
      <c r="I2059" s="26" t="n">
        <f aca="false">_xlfn.MINIFS(Transaction!$C$2:$C$8421,Transaction!$B$2:$B$8421,A2059)</f>
        <v>46051</v>
      </c>
      <c r="J2059" s="26" t="n">
        <f aca="false">_xlfn.MAXIFS(Transaction!$C$2:$C$8421,Transaction!$B$2:$B$8421,A2059)</f>
        <v>46250</v>
      </c>
      <c r="K2059" s="6" t="n">
        <f aca="false">COUNTIF(Transaction!$B$2:$B$8421,A2059)</f>
        <v>9</v>
      </c>
      <c r="L2059" s="10" t="n">
        <f aca="false">SUMIF(Transaction!$B$2:$B$8421,A2059,Transaction!$H$2:$H$8421)</f>
        <v>15880</v>
      </c>
      <c r="M2059" s="6" t="n">
        <f aca="false">Summary!$B$3-J2059</f>
        <v>16</v>
      </c>
      <c r="N2059" s="6" t="str">
        <f aca="false">IF(K2059&gt;1,"Yes","No")</f>
        <v>Yes</v>
      </c>
      <c r="O2059" s="6" t="s">
        <v>45</v>
      </c>
    </row>
    <row r="2060" customFormat="false" ht="15" hidden="false" customHeight="false" outlineLevel="0" collapsed="false">
      <c r="A2060" s="6" t="s">
        <v>4229</v>
      </c>
      <c r="B2060" s="6" t="s">
        <v>4230</v>
      </c>
      <c r="C2060" s="6" t="s">
        <v>75</v>
      </c>
      <c r="D2060" s="6" t="n">
        <v>26</v>
      </c>
      <c r="E2060" s="6" t="s">
        <v>86</v>
      </c>
      <c r="F2060" s="6" t="s">
        <v>87</v>
      </c>
      <c r="G2060" s="26" t="n">
        <v>46162</v>
      </c>
      <c r="H2060" s="6" t="s">
        <v>115</v>
      </c>
      <c r="I2060" s="26" t="n">
        <f aca="false">_xlfn.MINIFS(Transaction!$C$2:$C$8421,Transaction!$B$2:$B$8421,A2060)</f>
        <v>46169</v>
      </c>
      <c r="J2060" s="26" t="n">
        <f aca="false">_xlfn.MAXIFS(Transaction!$C$2:$C$8421,Transaction!$B$2:$B$8421,A2060)</f>
        <v>46169</v>
      </c>
      <c r="K2060" s="6" t="n">
        <f aca="false">COUNTIF(Transaction!$B$2:$B$8421,A2060)</f>
        <v>1</v>
      </c>
      <c r="L2060" s="10" t="n">
        <f aca="false">SUMIF(Transaction!$B$2:$B$8421,A2060,Transaction!$H$2:$H$8421)</f>
        <v>703</v>
      </c>
      <c r="M2060" s="6" t="n">
        <f aca="false">Summary!$B$3-J2060</f>
        <v>97</v>
      </c>
      <c r="N2060" s="6" t="str">
        <f aca="false">IF(K2060&gt;1,"Yes","No")</f>
        <v>No</v>
      </c>
      <c r="O2060" s="6" t="s">
        <v>48</v>
      </c>
    </row>
    <row r="2061" customFormat="false" ht="15" hidden="false" customHeight="false" outlineLevel="0" collapsed="false">
      <c r="A2061" s="6" t="s">
        <v>4231</v>
      </c>
      <c r="B2061" s="6" t="s">
        <v>4232</v>
      </c>
      <c r="C2061" s="6" t="s">
        <v>75</v>
      </c>
      <c r="D2061" s="6" t="n">
        <v>45</v>
      </c>
      <c r="E2061" s="6" t="s">
        <v>76</v>
      </c>
      <c r="F2061" s="6" t="s">
        <v>77</v>
      </c>
      <c r="G2061" s="26" t="n">
        <v>46110</v>
      </c>
      <c r="H2061" s="6" t="s">
        <v>102</v>
      </c>
      <c r="I2061" s="26" t="n">
        <f aca="false">_xlfn.MINIFS(Transaction!$C$2:$C$8421,Transaction!$B$2:$B$8421,A2061)</f>
        <v>46146</v>
      </c>
      <c r="J2061" s="26" t="n">
        <f aca="false">_xlfn.MAXIFS(Transaction!$C$2:$C$8421,Transaction!$B$2:$B$8421,A2061)</f>
        <v>46146</v>
      </c>
      <c r="K2061" s="6" t="n">
        <f aca="false">COUNTIF(Transaction!$B$2:$B$8421,A2061)</f>
        <v>1</v>
      </c>
      <c r="L2061" s="10" t="n">
        <f aca="false">SUMIF(Transaction!$B$2:$B$8421,A2061,Transaction!$H$2:$H$8421)</f>
        <v>1406</v>
      </c>
      <c r="M2061" s="6" t="n">
        <f aca="false">Summary!$B$3-J2061</f>
        <v>120</v>
      </c>
      <c r="N2061" s="6" t="str">
        <f aca="false">IF(K2061&gt;1,"Yes","No")</f>
        <v>No</v>
      </c>
      <c r="O2061" s="6" t="s">
        <v>48</v>
      </c>
    </row>
    <row r="2062" customFormat="false" ht="15" hidden="false" customHeight="false" outlineLevel="0" collapsed="false">
      <c r="A2062" s="6" t="s">
        <v>4233</v>
      </c>
      <c r="B2062" s="6" t="s">
        <v>4234</v>
      </c>
      <c r="C2062" s="6" t="s">
        <v>85</v>
      </c>
      <c r="D2062" s="6" t="n">
        <v>32</v>
      </c>
      <c r="E2062" s="6" t="s">
        <v>105</v>
      </c>
      <c r="F2062" s="6" t="s">
        <v>106</v>
      </c>
      <c r="G2062" s="26" t="n">
        <v>46141</v>
      </c>
      <c r="H2062" s="6" t="s">
        <v>123</v>
      </c>
      <c r="I2062" s="26" t="n">
        <f aca="false">_xlfn.MINIFS(Transaction!$C$2:$C$8421,Transaction!$B$2:$B$8421,A2062)</f>
        <v>46182</v>
      </c>
      <c r="J2062" s="26" t="n">
        <f aca="false">_xlfn.MAXIFS(Transaction!$C$2:$C$8421,Transaction!$B$2:$B$8421,A2062)</f>
        <v>46182</v>
      </c>
      <c r="K2062" s="6" t="n">
        <f aca="false">COUNTIF(Transaction!$B$2:$B$8421,A2062)</f>
        <v>1</v>
      </c>
      <c r="L2062" s="10" t="n">
        <f aca="false">SUMIF(Transaction!$B$2:$B$8421,A2062,Transaction!$H$2:$H$8421)</f>
        <v>1160</v>
      </c>
      <c r="M2062" s="6" t="n">
        <f aca="false">Summary!$B$3-J2062</f>
        <v>84</v>
      </c>
      <c r="N2062" s="6" t="str">
        <f aca="false">IF(K2062&gt;1,"Yes","No")</f>
        <v>No</v>
      </c>
      <c r="O2062" s="6" t="s">
        <v>47</v>
      </c>
    </row>
    <row r="2063" customFormat="false" ht="15" hidden="false" customHeight="false" outlineLevel="0" collapsed="false">
      <c r="A2063" s="6" t="s">
        <v>4235</v>
      </c>
      <c r="B2063" s="6" t="s">
        <v>4236</v>
      </c>
      <c r="C2063" s="6" t="s">
        <v>75</v>
      </c>
      <c r="D2063" s="6" t="n">
        <v>26</v>
      </c>
      <c r="E2063" s="6" t="s">
        <v>95</v>
      </c>
      <c r="F2063" s="6" t="s">
        <v>95</v>
      </c>
      <c r="G2063" s="26" t="n">
        <v>46031</v>
      </c>
      <c r="H2063" s="6" t="s">
        <v>115</v>
      </c>
      <c r="I2063" s="26" t="n">
        <f aca="false">_xlfn.MINIFS(Transaction!$C$2:$C$8421,Transaction!$B$2:$B$8421,A2063)</f>
        <v>46066</v>
      </c>
      <c r="J2063" s="26" t="n">
        <f aca="false">_xlfn.MAXIFS(Transaction!$C$2:$C$8421,Transaction!$B$2:$B$8421,A2063)</f>
        <v>46261</v>
      </c>
      <c r="K2063" s="6" t="n">
        <f aca="false">COUNTIF(Transaction!$B$2:$B$8421,A2063)</f>
        <v>9</v>
      </c>
      <c r="L2063" s="10" t="n">
        <f aca="false">SUMIF(Transaction!$B$2:$B$8421,A2063,Transaction!$H$2:$H$8421)</f>
        <v>12693</v>
      </c>
      <c r="M2063" s="6" t="n">
        <f aca="false">Summary!$B$3-J2063</f>
        <v>5</v>
      </c>
      <c r="N2063" s="6" t="str">
        <f aca="false">IF(K2063&gt;1,"Yes","No")</f>
        <v>Yes</v>
      </c>
      <c r="O2063" s="6" t="s">
        <v>45</v>
      </c>
    </row>
    <row r="2064" customFormat="false" ht="15" hidden="false" customHeight="false" outlineLevel="0" collapsed="false">
      <c r="A2064" s="6" t="s">
        <v>4237</v>
      </c>
      <c r="B2064" s="6" t="s">
        <v>4238</v>
      </c>
      <c r="C2064" s="6" t="s">
        <v>85</v>
      </c>
      <c r="D2064" s="6" t="n">
        <v>31</v>
      </c>
      <c r="E2064" s="6" t="s">
        <v>118</v>
      </c>
      <c r="F2064" s="6" t="s">
        <v>77</v>
      </c>
      <c r="G2064" s="26" t="n">
        <v>46022</v>
      </c>
      <c r="H2064" s="6" t="s">
        <v>123</v>
      </c>
      <c r="I2064" s="26" t="n">
        <f aca="false">_xlfn.MINIFS(Transaction!$C$2:$C$8421,Transaction!$B$2:$B$8421,A2064)</f>
        <v>46103</v>
      </c>
      <c r="J2064" s="26" t="n">
        <f aca="false">_xlfn.MAXIFS(Transaction!$C$2:$C$8421,Transaction!$B$2:$B$8421,A2064)</f>
        <v>46103</v>
      </c>
      <c r="K2064" s="6" t="n">
        <f aca="false">COUNTIF(Transaction!$B$2:$B$8421,A2064)</f>
        <v>1</v>
      </c>
      <c r="L2064" s="10" t="n">
        <f aca="false">SUMIF(Transaction!$B$2:$B$8421,A2064,Transaction!$H$2:$H$8421)</f>
        <v>2346</v>
      </c>
      <c r="M2064" s="6" t="n">
        <f aca="false">Summary!$B$3-J2064</f>
        <v>163</v>
      </c>
      <c r="N2064" s="6" t="str">
        <f aca="false">IF(K2064&gt;1,"Yes","No")</f>
        <v>No</v>
      </c>
      <c r="O2064" s="6" t="s">
        <v>49</v>
      </c>
    </row>
    <row r="2065" customFormat="false" ht="15" hidden="false" customHeight="false" outlineLevel="0" collapsed="false">
      <c r="A2065" s="6" t="s">
        <v>4239</v>
      </c>
      <c r="B2065" s="6" t="s">
        <v>4240</v>
      </c>
      <c r="C2065" s="6" t="s">
        <v>75</v>
      </c>
      <c r="D2065" s="6" t="n">
        <v>30</v>
      </c>
      <c r="E2065" s="6" t="s">
        <v>134</v>
      </c>
      <c r="F2065" s="6" t="s">
        <v>135</v>
      </c>
      <c r="G2065" s="26" t="n">
        <v>45982</v>
      </c>
      <c r="H2065" s="6" t="s">
        <v>92</v>
      </c>
      <c r="I2065" s="26" t="n">
        <f aca="false">_xlfn.MINIFS(Transaction!$C$2:$C$8421,Transaction!$B$2:$B$8421,A2065)</f>
        <v>46060</v>
      </c>
      <c r="J2065" s="26" t="n">
        <f aca="false">_xlfn.MAXIFS(Transaction!$C$2:$C$8421,Transaction!$B$2:$B$8421,A2065)</f>
        <v>46253</v>
      </c>
      <c r="K2065" s="6" t="n">
        <f aca="false">COUNTIF(Transaction!$B$2:$B$8421,A2065)</f>
        <v>7</v>
      </c>
      <c r="L2065" s="10" t="n">
        <f aca="false">SUMIF(Transaction!$B$2:$B$8421,A2065,Transaction!$H$2:$H$8421)</f>
        <v>28696</v>
      </c>
      <c r="M2065" s="6" t="n">
        <f aca="false">Summary!$B$3-J2065</f>
        <v>13</v>
      </c>
      <c r="N2065" s="6" t="str">
        <f aca="false">IF(K2065&gt;1,"Yes","No")</f>
        <v>Yes</v>
      </c>
      <c r="O2065" s="6" t="s">
        <v>45</v>
      </c>
    </row>
    <row r="2066" customFormat="false" ht="15" hidden="false" customHeight="false" outlineLevel="0" collapsed="false">
      <c r="A2066" s="6" t="s">
        <v>4241</v>
      </c>
      <c r="B2066" s="6" t="s">
        <v>4242</v>
      </c>
      <c r="C2066" s="6" t="s">
        <v>85</v>
      </c>
      <c r="D2066" s="6" t="n">
        <v>33</v>
      </c>
      <c r="E2066" s="6" t="s">
        <v>81</v>
      </c>
      <c r="F2066" s="6" t="s">
        <v>82</v>
      </c>
      <c r="G2066" s="26" t="n">
        <v>45957</v>
      </c>
      <c r="H2066" s="6" t="s">
        <v>115</v>
      </c>
      <c r="I2066" s="26" t="n">
        <f aca="false">_xlfn.MINIFS(Transaction!$C$2:$C$8421,Transaction!$B$2:$B$8421,A2066)</f>
        <v>46039</v>
      </c>
      <c r="J2066" s="26" t="n">
        <f aca="false">_xlfn.MAXIFS(Transaction!$C$2:$C$8421,Transaction!$B$2:$B$8421,A2066)</f>
        <v>46257</v>
      </c>
      <c r="K2066" s="6" t="n">
        <f aca="false">COUNTIF(Transaction!$B$2:$B$8421,A2066)</f>
        <v>13</v>
      </c>
      <c r="L2066" s="10" t="n">
        <f aca="false">SUMIF(Transaction!$B$2:$B$8421,A2066,Transaction!$H$2:$H$8421)</f>
        <v>36556</v>
      </c>
      <c r="M2066" s="6" t="n">
        <f aca="false">Summary!$B$3-J2066</f>
        <v>9</v>
      </c>
      <c r="N2066" s="6" t="str">
        <f aca="false">IF(K2066&gt;1,"Yes","No")</f>
        <v>Yes</v>
      </c>
      <c r="O2066" s="6" t="s">
        <v>45</v>
      </c>
    </row>
    <row r="2067" customFormat="false" ht="15" hidden="false" customHeight="false" outlineLevel="0" collapsed="false">
      <c r="A2067" s="6" t="s">
        <v>4243</v>
      </c>
      <c r="B2067" s="6" t="s">
        <v>4244</v>
      </c>
      <c r="C2067" s="6" t="s">
        <v>75</v>
      </c>
      <c r="D2067" s="6" t="n">
        <v>38</v>
      </c>
      <c r="E2067" s="6" t="s">
        <v>237</v>
      </c>
      <c r="F2067" s="6" t="s">
        <v>87</v>
      </c>
      <c r="G2067" s="26" t="n">
        <v>46057</v>
      </c>
      <c r="H2067" s="6" t="s">
        <v>92</v>
      </c>
      <c r="I2067" s="26" t="n">
        <f aca="false">_xlfn.MINIFS(Transaction!$C$2:$C$8421,Transaction!$B$2:$B$8421,A2067)</f>
        <v>46074</v>
      </c>
      <c r="J2067" s="26" t="n">
        <f aca="false">_xlfn.MAXIFS(Transaction!$C$2:$C$8421,Transaction!$B$2:$B$8421,A2067)</f>
        <v>46248</v>
      </c>
      <c r="K2067" s="6" t="n">
        <f aca="false">COUNTIF(Transaction!$B$2:$B$8421,A2067)</f>
        <v>7</v>
      </c>
      <c r="L2067" s="10" t="n">
        <f aca="false">SUMIF(Transaction!$B$2:$B$8421,A2067,Transaction!$H$2:$H$8421)</f>
        <v>9664</v>
      </c>
      <c r="M2067" s="6" t="n">
        <f aca="false">Summary!$B$3-J2067</f>
        <v>18</v>
      </c>
      <c r="N2067" s="6" t="str">
        <f aca="false">IF(K2067&gt;1,"Yes","No")</f>
        <v>Yes</v>
      </c>
      <c r="O2067" s="6" t="s">
        <v>45</v>
      </c>
    </row>
    <row r="2068" customFormat="false" ht="15" hidden="false" customHeight="false" outlineLevel="0" collapsed="false">
      <c r="A2068" s="6" t="s">
        <v>4245</v>
      </c>
      <c r="B2068" s="6" t="s">
        <v>4246</v>
      </c>
      <c r="C2068" s="6" t="s">
        <v>85</v>
      </c>
      <c r="D2068" s="6" t="n">
        <v>30</v>
      </c>
      <c r="E2068" s="6" t="s">
        <v>105</v>
      </c>
      <c r="F2068" s="6" t="s">
        <v>106</v>
      </c>
      <c r="G2068" s="26" t="n">
        <v>45967</v>
      </c>
      <c r="H2068" s="6" t="s">
        <v>115</v>
      </c>
      <c r="I2068" s="26" t="n">
        <f aca="false">_xlfn.MINIFS(Transaction!$C$2:$C$8421,Transaction!$B$2:$B$8421,A2068)</f>
        <v>46050</v>
      </c>
      <c r="J2068" s="26" t="n">
        <f aca="false">_xlfn.MAXIFS(Transaction!$C$2:$C$8421,Transaction!$B$2:$B$8421,A2068)</f>
        <v>46252</v>
      </c>
      <c r="K2068" s="6" t="n">
        <f aca="false">COUNTIF(Transaction!$B$2:$B$8421,A2068)</f>
        <v>6</v>
      </c>
      <c r="L2068" s="10" t="n">
        <f aca="false">SUMIF(Transaction!$B$2:$B$8421,A2068,Transaction!$H$2:$H$8421)</f>
        <v>16926</v>
      </c>
      <c r="M2068" s="6" t="n">
        <f aca="false">Summary!$B$3-J2068</f>
        <v>14</v>
      </c>
      <c r="N2068" s="6" t="str">
        <f aca="false">IF(K2068&gt;1,"Yes","No")</f>
        <v>Yes</v>
      </c>
      <c r="O2068" s="6" t="s">
        <v>46</v>
      </c>
    </row>
    <row r="2069" customFormat="false" ht="15" hidden="false" customHeight="false" outlineLevel="0" collapsed="false">
      <c r="A2069" s="6" t="s">
        <v>4247</v>
      </c>
      <c r="B2069" s="6" t="s">
        <v>4248</v>
      </c>
      <c r="C2069" s="6" t="s">
        <v>85</v>
      </c>
      <c r="D2069" s="6" t="n">
        <v>47</v>
      </c>
      <c r="E2069" s="6" t="s">
        <v>95</v>
      </c>
      <c r="F2069" s="6" t="s">
        <v>95</v>
      </c>
      <c r="G2069" s="26" t="n">
        <v>46165</v>
      </c>
      <c r="H2069" s="6" t="s">
        <v>92</v>
      </c>
      <c r="I2069" s="26" t="n">
        <f aca="false">_xlfn.MINIFS(Transaction!$C$2:$C$8421,Transaction!$B$2:$B$8421,A2069)</f>
        <v>46230</v>
      </c>
      <c r="J2069" s="26" t="n">
        <f aca="false">_xlfn.MAXIFS(Transaction!$C$2:$C$8421,Transaction!$B$2:$B$8421,A2069)</f>
        <v>46230</v>
      </c>
      <c r="K2069" s="6" t="n">
        <f aca="false">COUNTIF(Transaction!$B$2:$B$8421,A2069)</f>
        <v>1</v>
      </c>
      <c r="L2069" s="10" t="n">
        <f aca="false">SUMIF(Transaction!$B$2:$B$8421,A2069,Transaction!$H$2:$H$8421)</f>
        <v>746</v>
      </c>
      <c r="M2069" s="6" t="n">
        <f aca="false">Summary!$B$3-J2069</f>
        <v>36</v>
      </c>
      <c r="N2069" s="6" t="str">
        <f aca="false">IF(K2069&gt;1,"Yes","No")</f>
        <v>No</v>
      </c>
      <c r="O2069" s="6" t="s">
        <v>47</v>
      </c>
    </row>
    <row r="2070" customFormat="false" ht="15" hidden="false" customHeight="false" outlineLevel="0" collapsed="false">
      <c r="A2070" s="6" t="s">
        <v>4249</v>
      </c>
      <c r="B2070" s="6" t="s">
        <v>4250</v>
      </c>
      <c r="C2070" s="6" t="s">
        <v>75</v>
      </c>
      <c r="D2070" s="6" t="n">
        <v>41</v>
      </c>
      <c r="E2070" s="6" t="s">
        <v>81</v>
      </c>
      <c r="F2070" s="6" t="s">
        <v>82</v>
      </c>
      <c r="G2070" s="26" t="n">
        <v>46067</v>
      </c>
      <c r="H2070" s="6" t="s">
        <v>92</v>
      </c>
      <c r="I2070" s="26" t="n">
        <f aca="false">_xlfn.MINIFS(Transaction!$C$2:$C$8421,Transaction!$B$2:$B$8421,A2070)</f>
        <v>46080</v>
      </c>
      <c r="J2070" s="26" t="n">
        <f aca="false">_xlfn.MAXIFS(Transaction!$C$2:$C$8421,Transaction!$B$2:$B$8421,A2070)</f>
        <v>46251</v>
      </c>
      <c r="K2070" s="6" t="n">
        <f aca="false">COUNTIF(Transaction!$B$2:$B$8421,A2070)</f>
        <v>8</v>
      </c>
      <c r="L2070" s="10" t="n">
        <f aca="false">SUMIF(Transaction!$B$2:$B$8421,A2070,Transaction!$H$2:$H$8421)</f>
        <v>12265</v>
      </c>
      <c r="M2070" s="6" t="n">
        <f aca="false">Summary!$B$3-J2070</f>
        <v>15</v>
      </c>
      <c r="N2070" s="6" t="str">
        <f aca="false">IF(K2070&gt;1,"Yes","No")</f>
        <v>Yes</v>
      </c>
      <c r="O2070" s="6" t="s">
        <v>45</v>
      </c>
    </row>
    <row r="2071" customFormat="false" ht="15" hidden="false" customHeight="false" outlineLevel="0" collapsed="false">
      <c r="A2071" s="6" t="s">
        <v>4251</v>
      </c>
      <c r="B2071" s="6" t="s">
        <v>4252</v>
      </c>
      <c r="C2071" s="6" t="s">
        <v>75</v>
      </c>
      <c r="D2071" s="6" t="n">
        <v>20</v>
      </c>
      <c r="E2071" s="6" t="s">
        <v>81</v>
      </c>
      <c r="F2071" s="6" t="s">
        <v>82</v>
      </c>
      <c r="G2071" s="26" t="n">
        <v>46038</v>
      </c>
      <c r="H2071" s="6" t="s">
        <v>102</v>
      </c>
      <c r="I2071" s="26" t="n">
        <f aca="false">_xlfn.MINIFS(Transaction!$C$2:$C$8421,Transaction!$B$2:$B$8421,A2071)</f>
        <v>46068</v>
      </c>
      <c r="J2071" s="26" t="n">
        <f aca="false">_xlfn.MAXIFS(Transaction!$C$2:$C$8421,Transaction!$B$2:$B$8421,A2071)</f>
        <v>46068</v>
      </c>
      <c r="K2071" s="6" t="n">
        <f aca="false">COUNTIF(Transaction!$B$2:$B$8421,A2071)</f>
        <v>1</v>
      </c>
      <c r="L2071" s="10" t="n">
        <f aca="false">SUMIF(Transaction!$B$2:$B$8421,A2071,Transaction!$H$2:$H$8421)</f>
        <v>1954</v>
      </c>
      <c r="M2071" s="6" t="n">
        <f aca="false">Summary!$B$3-J2071</f>
        <v>198</v>
      </c>
      <c r="N2071" s="6" t="str">
        <f aca="false">IF(K2071&gt;1,"Yes","No")</f>
        <v>No</v>
      </c>
      <c r="O2071" s="6" t="s">
        <v>49</v>
      </c>
    </row>
    <row r="2072" customFormat="false" ht="15" hidden="false" customHeight="false" outlineLevel="0" collapsed="false">
      <c r="A2072" s="6" t="s">
        <v>4253</v>
      </c>
      <c r="B2072" s="6" t="s">
        <v>4254</v>
      </c>
      <c r="C2072" s="6" t="s">
        <v>85</v>
      </c>
      <c r="D2072" s="6" t="n">
        <v>25</v>
      </c>
      <c r="E2072" s="6" t="s">
        <v>76</v>
      </c>
      <c r="F2072" s="6" t="s">
        <v>77</v>
      </c>
      <c r="G2072" s="26" t="n">
        <v>46135</v>
      </c>
      <c r="H2072" s="6" t="s">
        <v>88</v>
      </c>
      <c r="I2072" s="26" t="n">
        <f aca="false">_xlfn.MINIFS(Transaction!$C$2:$C$8421,Transaction!$B$2:$B$8421,A2072)</f>
        <v>46140</v>
      </c>
      <c r="J2072" s="26" t="n">
        <f aca="false">_xlfn.MAXIFS(Transaction!$C$2:$C$8421,Transaction!$B$2:$B$8421,A2072)</f>
        <v>46243</v>
      </c>
      <c r="K2072" s="6" t="n">
        <f aca="false">COUNTIF(Transaction!$B$2:$B$8421,A2072)</f>
        <v>3</v>
      </c>
      <c r="L2072" s="10" t="n">
        <f aca="false">SUMIF(Transaction!$B$2:$B$8421,A2072,Transaction!$H$2:$H$8421)</f>
        <v>5620</v>
      </c>
      <c r="M2072" s="6" t="n">
        <f aca="false">Summary!$B$3-J2072</f>
        <v>23</v>
      </c>
      <c r="N2072" s="6" t="str">
        <f aca="false">IF(K2072&gt;1,"Yes","No")</f>
        <v>Yes</v>
      </c>
      <c r="O2072" s="6" t="s">
        <v>46</v>
      </c>
    </row>
    <row r="2073" customFormat="false" ht="15" hidden="false" customHeight="false" outlineLevel="0" collapsed="false">
      <c r="A2073" s="6" t="s">
        <v>4255</v>
      </c>
      <c r="B2073" s="6" t="s">
        <v>4256</v>
      </c>
      <c r="C2073" s="6" t="s">
        <v>85</v>
      </c>
      <c r="D2073" s="6" t="n">
        <v>21</v>
      </c>
      <c r="E2073" s="6" t="s">
        <v>81</v>
      </c>
      <c r="F2073" s="6" t="s">
        <v>82</v>
      </c>
      <c r="G2073" s="26" t="n">
        <v>46010</v>
      </c>
      <c r="H2073" s="6" t="s">
        <v>123</v>
      </c>
      <c r="I2073" s="26" t="n">
        <f aca="false">_xlfn.MINIFS(Transaction!$C$2:$C$8421,Transaction!$B$2:$B$8421,A2073)</f>
        <v>46035</v>
      </c>
      <c r="J2073" s="26" t="n">
        <f aca="false">_xlfn.MAXIFS(Transaction!$C$2:$C$8421,Transaction!$B$2:$B$8421,A2073)</f>
        <v>46191</v>
      </c>
      <c r="K2073" s="6" t="n">
        <f aca="false">COUNTIF(Transaction!$B$2:$B$8421,A2073)</f>
        <v>3</v>
      </c>
      <c r="L2073" s="10" t="n">
        <f aca="false">SUMIF(Transaction!$B$2:$B$8421,A2073,Transaction!$H$2:$H$8421)</f>
        <v>3104</v>
      </c>
      <c r="M2073" s="6" t="n">
        <f aca="false">Summary!$B$3-J2073</f>
        <v>75</v>
      </c>
      <c r="N2073" s="6" t="str">
        <f aca="false">IF(K2073&gt;1,"Yes","No")</f>
        <v>Yes</v>
      </c>
      <c r="O2073" s="6" t="s">
        <v>46</v>
      </c>
    </row>
    <row r="2074" customFormat="false" ht="15" hidden="false" customHeight="false" outlineLevel="0" collapsed="false">
      <c r="A2074" s="6" t="s">
        <v>4257</v>
      </c>
      <c r="B2074" s="6" t="s">
        <v>4258</v>
      </c>
      <c r="C2074" s="6" t="s">
        <v>75</v>
      </c>
      <c r="D2074" s="6" t="n">
        <v>28</v>
      </c>
      <c r="E2074" s="6" t="s">
        <v>95</v>
      </c>
      <c r="F2074" s="6" t="s">
        <v>95</v>
      </c>
      <c r="G2074" s="26" t="n">
        <v>46017</v>
      </c>
      <c r="H2074" s="6" t="s">
        <v>78</v>
      </c>
      <c r="I2074" s="26" t="n">
        <f aca="false">_xlfn.MINIFS(Transaction!$C$2:$C$8421,Transaction!$B$2:$B$8421,A2074)</f>
        <v>46083</v>
      </c>
      <c r="J2074" s="26" t="n">
        <f aca="false">_xlfn.MAXIFS(Transaction!$C$2:$C$8421,Transaction!$B$2:$B$8421,A2074)</f>
        <v>46083</v>
      </c>
      <c r="K2074" s="6" t="n">
        <f aca="false">COUNTIF(Transaction!$B$2:$B$8421,A2074)</f>
        <v>1</v>
      </c>
      <c r="L2074" s="10" t="n">
        <f aca="false">SUMIF(Transaction!$B$2:$B$8421,A2074,Transaction!$H$2:$H$8421)</f>
        <v>2202</v>
      </c>
      <c r="M2074" s="6" t="n">
        <f aca="false">Summary!$B$3-J2074</f>
        <v>183</v>
      </c>
      <c r="N2074" s="6" t="str">
        <f aca="false">IF(K2074&gt;1,"Yes","No")</f>
        <v>No</v>
      </c>
      <c r="O2074" s="6" t="s">
        <v>49</v>
      </c>
    </row>
    <row r="2075" customFormat="false" ht="15" hidden="false" customHeight="false" outlineLevel="0" collapsed="false">
      <c r="A2075" s="6" t="s">
        <v>4259</v>
      </c>
      <c r="B2075" s="6" t="s">
        <v>4260</v>
      </c>
      <c r="C2075" s="6" t="s">
        <v>75</v>
      </c>
      <c r="D2075" s="6" t="n">
        <v>26</v>
      </c>
      <c r="E2075" s="6" t="s">
        <v>176</v>
      </c>
      <c r="F2075" s="6" t="s">
        <v>177</v>
      </c>
      <c r="G2075" s="26" t="n">
        <v>45985</v>
      </c>
      <c r="H2075" s="6" t="s">
        <v>78</v>
      </c>
      <c r="I2075" s="26" t="n">
        <f aca="false">_xlfn.MINIFS(Transaction!$C$2:$C$8421,Transaction!$B$2:$B$8421,A2075)</f>
        <v>46041</v>
      </c>
      <c r="J2075" s="26" t="n">
        <f aca="false">_xlfn.MAXIFS(Transaction!$C$2:$C$8421,Transaction!$B$2:$B$8421,A2075)</f>
        <v>46265</v>
      </c>
      <c r="K2075" s="6" t="n">
        <f aca="false">COUNTIF(Transaction!$B$2:$B$8421,A2075)</f>
        <v>10</v>
      </c>
      <c r="L2075" s="10" t="n">
        <f aca="false">SUMIF(Transaction!$B$2:$B$8421,A2075,Transaction!$H$2:$H$8421)</f>
        <v>13403</v>
      </c>
      <c r="M2075" s="6" t="n">
        <f aca="false">Summary!$B$3-J2075</f>
        <v>1</v>
      </c>
      <c r="N2075" s="6" t="str">
        <f aca="false">IF(K2075&gt;1,"Yes","No")</f>
        <v>Yes</v>
      </c>
      <c r="O2075" s="6" t="s">
        <v>45</v>
      </c>
    </row>
    <row r="2076" customFormat="false" ht="15" hidden="false" customHeight="false" outlineLevel="0" collapsed="false">
      <c r="A2076" s="6" t="s">
        <v>4261</v>
      </c>
      <c r="B2076" s="6" t="s">
        <v>4262</v>
      </c>
      <c r="C2076" s="6" t="s">
        <v>75</v>
      </c>
      <c r="D2076" s="6" t="n">
        <v>45</v>
      </c>
      <c r="E2076" s="6" t="s">
        <v>95</v>
      </c>
      <c r="F2076" s="6" t="s">
        <v>95</v>
      </c>
      <c r="G2076" s="26" t="n">
        <v>46115</v>
      </c>
      <c r="H2076" s="6" t="s">
        <v>123</v>
      </c>
      <c r="I2076" s="26" t="n">
        <f aca="false">_xlfn.MINIFS(Transaction!$C$2:$C$8421,Transaction!$B$2:$B$8421,A2076)</f>
        <v>46154</v>
      </c>
      <c r="J2076" s="26" t="n">
        <f aca="false">_xlfn.MAXIFS(Transaction!$C$2:$C$8421,Transaction!$B$2:$B$8421,A2076)</f>
        <v>46154</v>
      </c>
      <c r="K2076" s="6" t="n">
        <f aca="false">COUNTIF(Transaction!$B$2:$B$8421,A2076)</f>
        <v>1</v>
      </c>
      <c r="L2076" s="10" t="n">
        <f aca="false">SUMIF(Transaction!$B$2:$B$8421,A2076,Transaction!$H$2:$H$8421)</f>
        <v>3240</v>
      </c>
      <c r="M2076" s="6" t="n">
        <f aca="false">Summary!$B$3-J2076</f>
        <v>112</v>
      </c>
      <c r="N2076" s="6" t="str">
        <f aca="false">IF(K2076&gt;1,"Yes","No")</f>
        <v>No</v>
      </c>
      <c r="O2076" s="6" t="s">
        <v>48</v>
      </c>
    </row>
    <row r="2077" customFormat="false" ht="15" hidden="false" customHeight="false" outlineLevel="0" collapsed="false">
      <c r="A2077" s="6" t="s">
        <v>4263</v>
      </c>
      <c r="B2077" s="6" t="s">
        <v>4264</v>
      </c>
      <c r="C2077" s="6" t="s">
        <v>85</v>
      </c>
      <c r="D2077" s="6" t="n">
        <v>37</v>
      </c>
      <c r="E2077" s="6" t="s">
        <v>126</v>
      </c>
      <c r="F2077" s="6" t="s">
        <v>127</v>
      </c>
      <c r="G2077" s="26" t="n">
        <v>46143</v>
      </c>
      <c r="H2077" s="6" t="s">
        <v>123</v>
      </c>
      <c r="I2077" s="26" t="n">
        <f aca="false">_xlfn.MINIFS(Transaction!$C$2:$C$8421,Transaction!$B$2:$B$8421,A2077)</f>
        <v>46195</v>
      </c>
      <c r="J2077" s="26" t="n">
        <f aca="false">_xlfn.MAXIFS(Transaction!$C$2:$C$8421,Transaction!$B$2:$B$8421,A2077)</f>
        <v>46195</v>
      </c>
      <c r="K2077" s="6" t="n">
        <f aca="false">COUNTIF(Transaction!$B$2:$B$8421,A2077)</f>
        <v>1</v>
      </c>
      <c r="L2077" s="10" t="n">
        <f aca="false">SUMIF(Transaction!$B$2:$B$8421,A2077,Transaction!$H$2:$H$8421)</f>
        <v>1016</v>
      </c>
      <c r="M2077" s="6" t="n">
        <f aca="false">Summary!$B$3-J2077</f>
        <v>71</v>
      </c>
      <c r="N2077" s="6" t="str">
        <f aca="false">IF(K2077&gt;1,"Yes","No")</f>
        <v>No</v>
      </c>
      <c r="O2077" s="6" t="s">
        <v>47</v>
      </c>
    </row>
    <row r="2078" customFormat="false" ht="15" hidden="false" customHeight="false" outlineLevel="0" collapsed="false">
      <c r="A2078" s="6" t="s">
        <v>4265</v>
      </c>
      <c r="B2078" s="6" t="s">
        <v>4266</v>
      </c>
      <c r="C2078" s="6" t="s">
        <v>75</v>
      </c>
      <c r="D2078" s="6" t="n">
        <v>49</v>
      </c>
      <c r="E2078" s="6" t="s">
        <v>134</v>
      </c>
      <c r="F2078" s="6" t="s">
        <v>135</v>
      </c>
      <c r="G2078" s="26" t="n">
        <v>46012</v>
      </c>
      <c r="H2078" s="6" t="s">
        <v>115</v>
      </c>
      <c r="I2078" s="26" t="n">
        <f aca="false">_xlfn.MINIFS(Transaction!$C$2:$C$8421,Transaction!$B$2:$B$8421,A2078)</f>
        <v>46032</v>
      </c>
      <c r="J2078" s="26" t="n">
        <f aca="false">_xlfn.MAXIFS(Transaction!$C$2:$C$8421,Transaction!$B$2:$B$8421,A2078)</f>
        <v>46247</v>
      </c>
      <c r="K2078" s="6" t="n">
        <f aca="false">COUNTIF(Transaction!$B$2:$B$8421,A2078)</f>
        <v>13</v>
      </c>
      <c r="L2078" s="10" t="n">
        <f aca="false">SUMIF(Transaction!$B$2:$B$8421,A2078,Transaction!$H$2:$H$8421)</f>
        <v>26735</v>
      </c>
      <c r="M2078" s="6" t="n">
        <f aca="false">Summary!$B$3-J2078</f>
        <v>19</v>
      </c>
      <c r="N2078" s="6" t="str">
        <f aca="false">IF(K2078&gt;1,"Yes","No")</f>
        <v>Yes</v>
      </c>
      <c r="O2078" s="6" t="s">
        <v>45</v>
      </c>
    </row>
    <row r="2079" customFormat="false" ht="15" hidden="false" customHeight="false" outlineLevel="0" collapsed="false">
      <c r="A2079" s="6" t="s">
        <v>4267</v>
      </c>
      <c r="B2079" s="6" t="s">
        <v>4268</v>
      </c>
      <c r="C2079" s="6" t="s">
        <v>75</v>
      </c>
      <c r="D2079" s="6" t="n">
        <v>28</v>
      </c>
      <c r="E2079" s="6" t="s">
        <v>81</v>
      </c>
      <c r="F2079" s="6" t="s">
        <v>82</v>
      </c>
      <c r="G2079" s="26" t="n">
        <v>45995</v>
      </c>
      <c r="H2079" s="6" t="s">
        <v>102</v>
      </c>
      <c r="I2079" s="26" t="n">
        <f aca="false">_xlfn.MINIFS(Transaction!$C$2:$C$8421,Transaction!$B$2:$B$8421,A2079)</f>
        <v>46027</v>
      </c>
      <c r="J2079" s="26" t="n">
        <f aca="false">_xlfn.MAXIFS(Transaction!$C$2:$C$8421,Transaction!$B$2:$B$8421,A2079)</f>
        <v>46245</v>
      </c>
      <c r="K2079" s="6" t="n">
        <f aca="false">COUNTIF(Transaction!$B$2:$B$8421,A2079)</f>
        <v>10</v>
      </c>
      <c r="L2079" s="10" t="n">
        <f aca="false">SUMIF(Transaction!$B$2:$B$8421,A2079,Transaction!$H$2:$H$8421)</f>
        <v>15016</v>
      </c>
      <c r="M2079" s="6" t="n">
        <f aca="false">Summary!$B$3-J2079</f>
        <v>21</v>
      </c>
      <c r="N2079" s="6" t="str">
        <f aca="false">IF(K2079&gt;1,"Yes","No")</f>
        <v>Yes</v>
      </c>
      <c r="O2079" s="6" t="s">
        <v>45</v>
      </c>
    </row>
    <row r="2080" customFormat="false" ht="15" hidden="false" customHeight="false" outlineLevel="0" collapsed="false">
      <c r="A2080" s="6" t="s">
        <v>4269</v>
      </c>
      <c r="B2080" s="6" t="s">
        <v>4270</v>
      </c>
      <c r="C2080" s="6" t="s">
        <v>75</v>
      </c>
      <c r="D2080" s="6" t="n">
        <v>19</v>
      </c>
      <c r="E2080" s="6" t="s">
        <v>430</v>
      </c>
      <c r="F2080" s="6" t="s">
        <v>99</v>
      </c>
      <c r="G2080" s="26" t="n">
        <v>46047</v>
      </c>
      <c r="H2080" s="6" t="s">
        <v>92</v>
      </c>
      <c r="I2080" s="26" t="n">
        <f aca="false">_xlfn.MINIFS(Transaction!$C$2:$C$8421,Transaction!$B$2:$B$8421,A2080)</f>
        <v>46086</v>
      </c>
      <c r="J2080" s="26" t="n">
        <f aca="false">_xlfn.MAXIFS(Transaction!$C$2:$C$8421,Transaction!$B$2:$B$8421,A2080)</f>
        <v>46086</v>
      </c>
      <c r="K2080" s="6" t="n">
        <f aca="false">COUNTIF(Transaction!$B$2:$B$8421,A2080)</f>
        <v>1</v>
      </c>
      <c r="L2080" s="10" t="n">
        <f aca="false">SUMIF(Transaction!$B$2:$B$8421,A2080,Transaction!$H$2:$H$8421)</f>
        <v>1000</v>
      </c>
      <c r="M2080" s="6" t="n">
        <f aca="false">Summary!$B$3-J2080</f>
        <v>180</v>
      </c>
      <c r="N2080" s="6" t="str">
        <f aca="false">IF(K2080&gt;1,"Yes","No")</f>
        <v>No</v>
      </c>
      <c r="O2080" s="6" t="s">
        <v>49</v>
      </c>
    </row>
    <row r="2081" customFormat="false" ht="15" hidden="false" customHeight="false" outlineLevel="0" collapsed="false">
      <c r="A2081" s="6" t="s">
        <v>4271</v>
      </c>
      <c r="B2081" s="6" t="s">
        <v>4272</v>
      </c>
      <c r="C2081" s="6" t="s">
        <v>75</v>
      </c>
      <c r="D2081" s="6" t="n">
        <v>34</v>
      </c>
      <c r="E2081" s="6" t="s">
        <v>321</v>
      </c>
      <c r="F2081" s="6" t="s">
        <v>321</v>
      </c>
      <c r="G2081" s="26" t="n">
        <v>46087</v>
      </c>
      <c r="H2081" s="6" t="s">
        <v>78</v>
      </c>
      <c r="I2081" s="26" t="n">
        <f aca="false">_xlfn.MINIFS(Transaction!$C$2:$C$8421,Transaction!$B$2:$B$8421,A2081)</f>
        <v>46143</v>
      </c>
      <c r="J2081" s="26" t="n">
        <f aca="false">_xlfn.MAXIFS(Transaction!$C$2:$C$8421,Transaction!$B$2:$B$8421,A2081)</f>
        <v>46143</v>
      </c>
      <c r="K2081" s="6" t="n">
        <f aca="false">COUNTIF(Transaction!$B$2:$B$8421,A2081)</f>
        <v>1</v>
      </c>
      <c r="L2081" s="10" t="n">
        <f aca="false">SUMIF(Transaction!$B$2:$B$8421,A2081,Transaction!$H$2:$H$8421)</f>
        <v>977</v>
      </c>
      <c r="M2081" s="6" t="n">
        <f aca="false">Summary!$B$3-J2081</f>
        <v>123</v>
      </c>
      <c r="N2081" s="6" t="str">
        <f aca="false">IF(K2081&gt;1,"Yes","No")</f>
        <v>No</v>
      </c>
      <c r="O2081" s="6" t="s">
        <v>48</v>
      </c>
    </row>
    <row r="2082" customFormat="false" ht="15" hidden="false" customHeight="false" outlineLevel="0" collapsed="false">
      <c r="A2082" s="6" t="s">
        <v>4273</v>
      </c>
      <c r="B2082" s="6" t="s">
        <v>4274</v>
      </c>
      <c r="C2082" s="6" t="s">
        <v>75</v>
      </c>
      <c r="D2082" s="6" t="n">
        <v>47</v>
      </c>
      <c r="E2082" s="6" t="s">
        <v>86</v>
      </c>
      <c r="F2082" s="6" t="s">
        <v>87</v>
      </c>
      <c r="G2082" s="26" t="n">
        <v>45965</v>
      </c>
      <c r="H2082" s="6" t="s">
        <v>102</v>
      </c>
      <c r="I2082" s="26" t="n">
        <f aca="false">_xlfn.MINIFS(Transaction!$C$2:$C$8421,Transaction!$B$2:$B$8421,A2082)</f>
        <v>46047</v>
      </c>
      <c r="J2082" s="26" t="n">
        <f aca="false">_xlfn.MAXIFS(Transaction!$C$2:$C$8421,Transaction!$B$2:$B$8421,A2082)</f>
        <v>46264</v>
      </c>
      <c r="K2082" s="6" t="n">
        <f aca="false">COUNTIF(Transaction!$B$2:$B$8421,A2082)</f>
        <v>11</v>
      </c>
      <c r="L2082" s="10" t="n">
        <f aca="false">SUMIF(Transaction!$B$2:$B$8421,A2082,Transaction!$H$2:$H$8421)</f>
        <v>19788</v>
      </c>
      <c r="M2082" s="6" t="n">
        <f aca="false">Summary!$B$3-J2082</f>
        <v>2</v>
      </c>
      <c r="N2082" s="6" t="str">
        <f aca="false">IF(K2082&gt;1,"Yes","No")</f>
        <v>Yes</v>
      </c>
      <c r="O2082" s="6" t="s">
        <v>45</v>
      </c>
    </row>
    <row r="2083" customFormat="false" ht="15" hidden="false" customHeight="false" outlineLevel="0" collapsed="false">
      <c r="A2083" s="6" t="s">
        <v>4275</v>
      </c>
      <c r="B2083" s="6" t="s">
        <v>4276</v>
      </c>
      <c r="C2083" s="6" t="s">
        <v>75</v>
      </c>
      <c r="D2083" s="6" t="n">
        <v>24</v>
      </c>
      <c r="E2083" s="6" t="s">
        <v>81</v>
      </c>
      <c r="F2083" s="6" t="s">
        <v>82</v>
      </c>
      <c r="G2083" s="26" t="n">
        <v>46029</v>
      </c>
      <c r="H2083" s="6" t="s">
        <v>92</v>
      </c>
      <c r="I2083" s="26" t="n">
        <f aca="false">_xlfn.MINIFS(Transaction!$C$2:$C$8421,Transaction!$B$2:$B$8421,A2083)</f>
        <v>46039</v>
      </c>
      <c r="J2083" s="26" t="n">
        <f aca="false">_xlfn.MAXIFS(Transaction!$C$2:$C$8421,Transaction!$B$2:$B$8421,A2083)</f>
        <v>46226</v>
      </c>
      <c r="K2083" s="6" t="n">
        <f aca="false">COUNTIF(Transaction!$B$2:$B$8421,A2083)</f>
        <v>3</v>
      </c>
      <c r="L2083" s="10" t="n">
        <f aca="false">SUMIF(Transaction!$B$2:$B$8421,A2083,Transaction!$H$2:$H$8421)</f>
        <v>15762</v>
      </c>
      <c r="M2083" s="6" t="n">
        <f aca="false">Summary!$B$3-J2083</f>
        <v>40</v>
      </c>
      <c r="N2083" s="6" t="str">
        <f aca="false">IF(K2083&gt;1,"Yes","No")</f>
        <v>Yes</v>
      </c>
      <c r="O2083" s="6" t="s">
        <v>46</v>
      </c>
    </row>
    <row r="2084" customFormat="false" ht="15" hidden="false" customHeight="false" outlineLevel="0" collapsed="false">
      <c r="A2084" s="6" t="s">
        <v>4277</v>
      </c>
      <c r="B2084" s="6" t="s">
        <v>4278</v>
      </c>
      <c r="C2084" s="6" t="s">
        <v>75</v>
      </c>
      <c r="D2084" s="6" t="n">
        <v>23</v>
      </c>
      <c r="E2084" s="6" t="s">
        <v>237</v>
      </c>
      <c r="F2084" s="6" t="s">
        <v>87</v>
      </c>
      <c r="G2084" s="26" t="n">
        <v>46019</v>
      </c>
      <c r="H2084" s="6" t="s">
        <v>78</v>
      </c>
      <c r="I2084" s="26" t="n">
        <f aca="false">_xlfn.MINIFS(Transaction!$C$2:$C$8421,Transaction!$B$2:$B$8421,A2084)</f>
        <v>46034</v>
      </c>
      <c r="J2084" s="26" t="n">
        <f aca="false">_xlfn.MAXIFS(Transaction!$C$2:$C$8421,Transaction!$B$2:$B$8421,A2084)</f>
        <v>46191</v>
      </c>
      <c r="K2084" s="6" t="n">
        <f aca="false">COUNTIF(Transaction!$B$2:$B$8421,A2084)</f>
        <v>5</v>
      </c>
      <c r="L2084" s="10" t="n">
        <f aca="false">SUMIF(Transaction!$B$2:$B$8421,A2084,Transaction!$H$2:$H$8421)</f>
        <v>10807</v>
      </c>
      <c r="M2084" s="6" t="n">
        <f aca="false">Summary!$B$3-J2084</f>
        <v>75</v>
      </c>
      <c r="N2084" s="6" t="str">
        <f aca="false">IF(K2084&gt;1,"Yes","No")</f>
        <v>Yes</v>
      </c>
      <c r="O2084" s="6" t="s">
        <v>46</v>
      </c>
    </row>
    <row r="2085" customFormat="false" ht="15" hidden="false" customHeight="false" outlineLevel="0" collapsed="false">
      <c r="A2085" s="6" t="s">
        <v>4279</v>
      </c>
      <c r="B2085" s="6" t="s">
        <v>4280</v>
      </c>
      <c r="C2085" s="6" t="s">
        <v>85</v>
      </c>
      <c r="D2085" s="6" t="n">
        <v>39</v>
      </c>
      <c r="E2085" s="6" t="s">
        <v>134</v>
      </c>
      <c r="F2085" s="6" t="s">
        <v>135</v>
      </c>
      <c r="G2085" s="26" t="n">
        <v>46082</v>
      </c>
      <c r="H2085" s="6" t="s">
        <v>78</v>
      </c>
      <c r="I2085" s="26" t="n">
        <f aca="false">_xlfn.MINIFS(Transaction!$C$2:$C$8421,Transaction!$B$2:$B$8421,A2085)</f>
        <v>46097</v>
      </c>
      <c r="J2085" s="26" t="n">
        <f aca="false">_xlfn.MAXIFS(Transaction!$C$2:$C$8421,Transaction!$B$2:$B$8421,A2085)</f>
        <v>46097</v>
      </c>
      <c r="K2085" s="6" t="n">
        <f aca="false">COUNTIF(Transaction!$B$2:$B$8421,A2085)</f>
        <v>1</v>
      </c>
      <c r="L2085" s="10" t="n">
        <f aca="false">SUMIF(Transaction!$B$2:$B$8421,A2085,Transaction!$H$2:$H$8421)</f>
        <v>11499</v>
      </c>
      <c r="M2085" s="6" t="n">
        <f aca="false">Summary!$B$3-J2085</f>
        <v>169</v>
      </c>
      <c r="N2085" s="6" t="str">
        <f aca="false">IF(K2085&gt;1,"Yes","No")</f>
        <v>No</v>
      </c>
      <c r="O2085" s="6" t="s">
        <v>49</v>
      </c>
    </row>
    <row r="2086" customFormat="false" ht="15" hidden="false" customHeight="false" outlineLevel="0" collapsed="false">
      <c r="A2086" s="6" t="s">
        <v>4281</v>
      </c>
      <c r="B2086" s="6" t="s">
        <v>4282</v>
      </c>
      <c r="C2086" s="6" t="s">
        <v>75</v>
      </c>
      <c r="D2086" s="6" t="n">
        <v>31</v>
      </c>
      <c r="E2086" s="6" t="s">
        <v>91</v>
      </c>
      <c r="F2086" s="6" t="s">
        <v>77</v>
      </c>
      <c r="G2086" s="26" t="n">
        <v>46225</v>
      </c>
      <c r="H2086" s="6" t="s">
        <v>102</v>
      </c>
      <c r="I2086" s="26" t="n">
        <f aca="false">_xlfn.MINIFS(Transaction!$C$2:$C$8421,Transaction!$B$2:$B$8421,A2086)</f>
        <v>46260</v>
      </c>
      <c r="J2086" s="26" t="n">
        <f aca="false">_xlfn.MAXIFS(Transaction!$C$2:$C$8421,Transaction!$B$2:$B$8421,A2086)</f>
        <v>46260</v>
      </c>
      <c r="K2086" s="6" t="n">
        <f aca="false">COUNTIF(Transaction!$B$2:$B$8421,A2086)</f>
        <v>1</v>
      </c>
      <c r="L2086" s="10" t="n">
        <f aca="false">SUMIF(Transaction!$B$2:$B$8421,A2086,Transaction!$H$2:$H$8421)</f>
        <v>13256</v>
      </c>
      <c r="M2086" s="6" t="n">
        <f aca="false">Summary!$B$3-J2086</f>
        <v>6</v>
      </c>
      <c r="N2086" s="6" t="str">
        <f aca="false">IF(K2086&gt;1,"Yes","No")</f>
        <v>No</v>
      </c>
      <c r="O2086" s="6" t="s">
        <v>47</v>
      </c>
    </row>
    <row r="2087" customFormat="false" ht="15" hidden="false" customHeight="false" outlineLevel="0" collapsed="false">
      <c r="A2087" s="6" t="s">
        <v>4283</v>
      </c>
      <c r="B2087" s="6" t="s">
        <v>4284</v>
      </c>
      <c r="C2087" s="6" t="s">
        <v>85</v>
      </c>
      <c r="D2087" s="6" t="n">
        <v>37</v>
      </c>
      <c r="E2087" s="6" t="s">
        <v>95</v>
      </c>
      <c r="F2087" s="6" t="s">
        <v>95</v>
      </c>
      <c r="G2087" s="26" t="n">
        <v>46171</v>
      </c>
      <c r="H2087" s="6" t="s">
        <v>78</v>
      </c>
      <c r="I2087" s="26" t="n">
        <f aca="false">_xlfn.MINIFS(Transaction!$C$2:$C$8421,Transaction!$B$2:$B$8421,A2087)</f>
        <v>46211</v>
      </c>
      <c r="J2087" s="26" t="n">
        <f aca="false">_xlfn.MAXIFS(Transaction!$C$2:$C$8421,Transaction!$B$2:$B$8421,A2087)</f>
        <v>46211</v>
      </c>
      <c r="K2087" s="6" t="n">
        <f aca="false">COUNTIF(Transaction!$B$2:$B$8421,A2087)</f>
        <v>1</v>
      </c>
      <c r="L2087" s="10" t="n">
        <f aca="false">SUMIF(Transaction!$B$2:$B$8421,A2087,Transaction!$H$2:$H$8421)</f>
        <v>1856</v>
      </c>
      <c r="M2087" s="6" t="n">
        <f aca="false">Summary!$B$3-J2087</f>
        <v>55</v>
      </c>
      <c r="N2087" s="6" t="str">
        <f aca="false">IF(K2087&gt;1,"Yes","No")</f>
        <v>No</v>
      </c>
      <c r="O2087" s="6" t="s">
        <v>47</v>
      </c>
    </row>
    <row r="2088" customFormat="false" ht="15" hidden="false" customHeight="false" outlineLevel="0" collapsed="false">
      <c r="A2088" s="6" t="s">
        <v>4285</v>
      </c>
      <c r="B2088" s="6" t="s">
        <v>4286</v>
      </c>
      <c r="C2088" s="6" t="s">
        <v>75</v>
      </c>
      <c r="D2088" s="6" t="n">
        <v>21</v>
      </c>
      <c r="E2088" s="6" t="s">
        <v>180</v>
      </c>
      <c r="F2088" s="6" t="s">
        <v>181</v>
      </c>
      <c r="G2088" s="26" t="n">
        <v>46200</v>
      </c>
      <c r="H2088" s="6" t="s">
        <v>88</v>
      </c>
      <c r="I2088" s="26" t="n">
        <f aca="false">_xlfn.MINIFS(Transaction!$C$2:$C$8421,Transaction!$B$2:$B$8421,A2088)</f>
        <v>46257</v>
      </c>
      <c r="J2088" s="26" t="n">
        <f aca="false">_xlfn.MAXIFS(Transaction!$C$2:$C$8421,Transaction!$B$2:$B$8421,A2088)</f>
        <v>46257</v>
      </c>
      <c r="K2088" s="6" t="n">
        <f aca="false">COUNTIF(Transaction!$B$2:$B$8421,A2088)</f>
        <v>1</v>
      </c>
      <c r="L2088" s="10" t="n">
        <f aca="false">SUMIF(Transaction!$B$2:$B$8421,A2088,Transaction!$H$2:$H$8421)</f>
        <v>967</v>
      </c>
      <c r="M2088" s="6" t="n">
        <f aca="false">Summary!$B$3-J2088</f>
        <v>9</v>
      </c>
      <c r="N2088" s="6" t="str">
        <f aca="false">IF(K2088&gt;1,"Yes","No")</f>
        <v>No</v>
      </c>
      <c r="O2088" s="6" t="s">
        <v>47</v>
      </c>
    </row>
    <row r="2089" customFormat="false" ht="15" hidden="false" customHeight="false" outlineLevel="0" collapsed="false">
      <c r="A2089" s="6" t="s">
        <v>4287</v>
      </c>
      <c r="B2089" s="6" t="s">
        <v>4288</v>
      </c>
      <c r="C2089" s="6" t="s">
        <v>75</v>
      </c>
      <c r="D2089" s="6" t="n">
        <v>30</v>
      </c>
      <c r="E2089" s="6" t="s">
        <v>81</v>
      </c>
      <c r="F2089" s="6" t="s">
        <v>82</v>
      </c>
      <c r="G2089" s="26" t="n">
        <v>46065</v>
      </c>
      <c r="H2089" s="6" t="s">
        <v>78</v>
      </c>
      <c r="I2089" s="26" t="n">
        <f aca="false">_xlfn.MINIFS(Transaction!$C$2:$C$8421,Transaction!$B$2:$B$8421,A2089)</f>
        <v>46065</v>
      </c>
      <c r="J2089" s="26" t="n">
        <f aca="false">_xlfn.MAXIFS(Transaction!$C$2:$C$8421,Transaction!$B$2:$B$8421,A2089)</f>
        <v>46065</v>
      </c>
      <c r="K2089" s="6" t="n">
        <f aca="false">COUNTIF(Transaction!$B$2:$B$8421,A2089)</f>
        <v>1</v>
      </c>
      <c r="L2089" s="10" t="n">
        <f aca="false">SUMIF(Transaction!$B$2:$B$8421,A2089,Transaction!$H$2:$H$8421)</f>
        <v>25186</v>
      </c>
      <c r="M2089" s="6" t="n">
        <f aca="false">Summary!$B$3-J2089</f>
        <v>201</v>
      </c>
      <c r="N2089" s="6" t="str">
        <f aca="false">IF(K2089&gt;1,"Yes","No")</f>
        <v>No</v>
      </c>
      <c r="O2089" s="6" t="s">
        <v>49</v>
      </c>
    </row>
    <row r="2090" customFormat="false" ht="15" hidden="false" customHeight="false" outlineLevel="0" collapsed="false">
      <c r="A2090" s="6" t="s">
        <v>4289</v>
      </c>
      <c r="B2090" s="6" t="s">
        <v>4290</v>
      </c>
      <c r="C2090" s="6" t="s">
        <v>85</v>
      </c>
      <c r="D2090" s="6" t="n">
        <v>38</v>
      </c>
      <c r="E2090" s="6" t="s">
        <v>321</v>
      </c>
      <c r="F2090" s="6" t="s">
        <v>321</v>
      </c>
      <c r="G2090" s="26" t="n">
        <v>46049</v>
      </c>
      <c r="H2090" s="6" t="s">
        <v>115</v>
      </c>
      <c r="I2090" s="26" t="n">
        <f aca="false">_xlfn.MINIFS(Transaction!$C$2:$C$8421,Transaction!$B$2:$B$8421,A2090)</f>
        <v>46133</v>
      </c>
      <c r="J2090" s="26" t="n">
        <f aca="false">_xlfn.MAXIFS(Transaction!$C$2:$C$8421,Transaction!$B$2:$B$8421,A2090)</f>
        <v>46133</v>
      </c>
      <c r="K2090" s="6" t="n">
        <f aca="false">COUNTIF(Transaction!$B$2:$B$8421,A2090)</f>
        <v>1</v>
      </c>
      <c r="L2090" s="10" t="n">
        <f aca="false">SUMIF(Transaction!$B$2:$B$8421,A2090,Transaction!$H$2:$H$8421)</f>
        <v>2202</v>
      </c>
      <c r="M2090" s="6" t="n">
        <f aca="false">Summary!$B$3-J2090</f>
        <v>133</v>
      </c>
      <c r="N2090" s="6" t="str">
        <f aca="false">IF(K2090&gt;1,"Yes","No")</f>
        <v>No</v>
      </c>
      <c r="O2090" s="6" t="s">
        <v>48</v>
      </c>
    </row>
    <row r="2091" customFormat="false" ht="15" hidden="false" customHeight="false" outlineLevel="0" collapsed="false">
      <c r="A2091" s="6" t="s">
        <v>4291</v>
      </c>
      <c r="B2091" s="6" t="s">
        <v>4292</v>
      </c>
      <c r="C2091" s="6" t="s">
        <v>75</v>
      </c>
      <c r="D2091" s="6" t="n">
        <v>38</v>
      </c>
      <c r="E2091" s="6" t="s">
        <v>95</v>
      </c>
      <c r="F2091" s="6" t="s">
        <v>95</v>
      </c>
      <c r="G2091" s="26" t="n">
        <v>46206</v>
      </c>
      <c r="H2091" s="6" t="s">
        <v>123</v>
      </c>
      <c r="I2091" s="26" t="n">
        <f aca="false">_xlfn.MINIFS(Transaction!$C$2:$C$8421,Transaction!$B$2:$B$8421,A2091)</f>
        <v>46246</v>
      </c>
      <c r="J2091" s="26" t="n">
        <f aca="false">_xlfn.MAXIFS(Transaction!$C$2:$C$8421,Transaction!$B$2:$B$8421,A2091)</f>
        <v>46246</v>
      </c>
      <c r="K2091" s="6" t="n">
        <f aca="false">COUNTIF(Transaction!$B$2:$B$8421,A2091)</f>
        <v>1</v>
      </c>
      <c r="L2091" s="10" t="n">
        <f aca="false">SUMIF(Transaction!$B$2:$B$8421,A2091,Transaction!$H$2:$H$8421)</f>
        <v>5098</v>
      </c>
      <c r="M2091" s="6" t="n">
        <f aca="false">Summary!$B$3-J2091</f>
        <v>20</v>
      </c>
      <c r="N2091" s="6" t="str">
        <f aca="false">IF(K2091&gt;1,"Yes","No")</f>
        <v>No</v>
      </c>
      <c r="O2091" s="6" t="s">
        <v>47</v>
      </c>
    </row>
    <row r="2092" customFormat="false" ht="15" hidden="false" customHeight="false" outlineLevel="0" collapsed="false">
      <c r="A2092" s="6" t="s">
        <v>4293</v>
      </c>
      <c r="B2092" s="6" t="s">
        <v>4294</v>
      </c>
      <c r="C2092" s="6" t="s">
        <v>75</v>
      </c>
      <c r="D2092" s="6" t="n">
        <v>38</v>
      </c>
      <c r="E2092" s="6" t="s">
        <v>95</v>
      </c>
      <c r="F2092" s="6" t="s">
        <v>95</v>
      </c>
      <c r="G2092" s="26" t="n">
        <v>46030</v>
      </c>
      <c r="H2092" s="6" t="s">
        <v>115</v>
      </c>
      <c r="I2092" s="26" t="n">
        <f aca="false">_xlfn.MINIFS(Transaction!$C$2:$C$8421,Transaction!$B$2:$B$8421,A2092)</f>
        <v>46072</v>
      </c>
      <c r="J2092" s="26" t="n">
        <f aca="false">_xlfn.MAXIFS(Transaction!$C$2:$C$8421,Transaction!$B$2:$B$8421,A2092)</f>
        <v>46193</v>
      </c>
      <c r="K2092" s="6" t="n">
        <f aca="false">COUNTIF(Transaction!$B$2:$B$8421,A2092)</f>
        <v>2</v>
      </c>
      <c r="L2092" s="10" t="n">
        <f aca="false">SUMIF(Transaction!$B$2:$B$8421,A2092,Transaction!$H$2:$H$8421)</f>
        <v>3375</v>
      </c>
      <c r="M2092" s="6" t="n">
        <f aca="false">Summary!$B$3-J2092</f>
        <v>73</v>
      </c>
      <c r="N2092" s="6" t="str">
        <f aca="false">IF(K2092&gt;1,"Yes","No")</f>
        <v>Yes</v>
      </c>
      <c r="O2092" s="6" t="s">
        <v>46</v>
      </c>
    </row>
    <row r="2093" customFormat="false" ht="15" hidden="false" customHeight="false" outlineLevel="0" collapsed="false">
      <c r="A2093" s="6" t="s">
        <v>4295</v>
      </c>
      <c r="B2093" s="6" t="s">
        <v>4296</v>
      </c>
      <c r="C2093" s="6" t="s">
        <v>75</v>
      </c>
      <c r="D2093" s="6" t="n">
        <v>41</v>
      </c>
      <c r="E2093" s="6" t="s">
        <v>95</v>
      </c>
      <c r="F2093" s="6" t="s">
        <v>95</v>
      </c>
      <c r="G2093" s="26" t="n">
        <v>46078</v>
      </c>
      <c r="H2093" s="6" t="s">
        <v>78</v>
      </c>
      <c r="I2093" s="26" t="n">
        <f aca="false">_xlfn.MINIFS(Transaction!$C$2:$C$8421,Transaction!$B$2:$B$8421,A2093)</f>
        <v>46132</v>
      </c>
      <c r="J2093" s="26" t="n">
        <f aca="false">_xlfn.MAXIFS(Transaction!$C$2:$C$8421,Transaction!$B$2:$B$8421,A2093)</f>
        <v>46132</v>
      </c>
      <c r="K2093" s="6" t="n">
        <f aca="false">COUNTIF(Transaction!$B$2:$B$8421,A2093)</f>
        <v>1</v>
      </c>
      <c r="L2093" s="10" t="n">
        <f aca="false">SUMIF(Transaction!$B$2:$B$8421,A2093,Transaction!$H$2:$H$8421)</f>
        <v>589</v>
      </c>
      <c r="M2093" s="6" t="n">
        <f aca="false">Summary!$B$3-J2093</f>
        <v>134</v>
      </c>
      <c r="N2093" s="6" t="str">
        <f aca="false">IF(K2093&gt;1,"Yes","No")</f>
        <v>No</v>
      </c>
      <c r="O2093" s="6" t="s">
        <v>48</v>
      </c>
    </row>
    <row r="2094" customFormat="false" ht="15" hidden="false" customHeight="false" outlineLevel="0" collapsed="false">
      <c r="A2094" s="6" t="s">
        <v>4297</v>
      </c>
      <c r="B2094" s="6" t="s">
        <v>4298</v>
      </c>
      <c r="C2094" s="6" t="s">
        <v>75</v>
      </c>
      <c r="D2094" s="6" t="n">
        <v>29</v>
      </c>
      <c r="E2094" s="6" t="s">
        <v>264</v>
      </c>
      <c r="F2094" s="6" t="s">
        <v>106</v>
      </c>
      <c r="G2094" s="26" t="n">
        <v>46246</v>
      </c>
      <c r="H2094" s="6" t="s">
        <v>123</v>
      </c>
      <c r="I2094" s="26" t="n">
        <f aca="false">_xlfn.MINIFS(Transaction!$C$2:$C$8421,Transaction!$B$2:$B$8421,A2094)</f>
        <v>46252</v>
      </c>
      <c r="J2094" s="26" t="n">
        <f aca="false">_xlfn.MAXIFS(Transaction!$C$2:$C$8421,Transaction!$B$2:$B$8421,A2094)</f>
        <v>46252</v>
      </c>
      <c r="K2094" s="6" t="n">
        <f aca="false">COUNTIF(Transaction!$B$2:$B$8421,A2094)</f>
        <v>1</v>
      </c>
      <c r="L2094" s="10" t="n">
        <f aca="false">SUMIF(Transaction!$B$2:$B$8421,A2094,Transaction!$H$2:$H$8421)</f>
        <v>3666</v>
      </c>
      <c r="M2094" s="6" t="n">
        <f aca="false">Summary!$B$3-J2094</f>
        <v>14</v>
      </c>
      <c r="N2094" s="6" t="str">
        <f aca="false">IF(K2094&gt;1,"Yes","No")</f>
        <v>No</v>
      </c>
      <c r="O2094" s="6" t="s">
        <v>47</v>
      </c>
    </row>
    <row r="2095" customFormat="false" ht="15" hidden="false" customHeight="false" outlineLevel="0" collapsed="false">
      <c r="A2095" s="6" t="s">
        <v>4299</v>
      </c>
      <c r="B2095" s="6" t="s">
        <v>4300</v>
      </c>
      <c r="C2095" s="6" t="s">
        <v>75</v>
      </c>
      <c r="D2095" s="6" t="n">
        <v>24</v>
      </c>
      <c r="E2095" s="6" t="s">
        <v>121</v>
      </c>
      <c r="F2095" s="6" t="s">
        <v>122</v>
      </c>
      <c r="G2095" s="26" t="n">
        <v>46071</v>
      </c>
      <c r="H2095" s="6" t="s">
        <v>88</v>
      </c>
      <c r="I2095" s="26" t="n">
        <f aca="false">_xlfn.MINIFS(Transaction!$C$2:$C$8421,Transaction!$B$2:$B$8421,A2095)</f>
        <v>46110</v>
      </c>
      <c r="J2095" s="26" t="n">
        <f aca="false">_xlfn.MAXIFS(Transaction!$C$2:$C$8421,Transaction!$B$2:$B$8421,A2095)</f>
        <v>46110</v>
      </c>
      <c r="K2095" s="6" t="n">
        <f aca="false">COUNTIF(Transaction!$B$2:$B$8421,A2095)</f>
        <v>1</v>
      </c>
      <c r="L2095" s="10" t="n">
        <f aca="false">SUMIF(Transaction!$B$2:$B$8421,A2095,Transaction!$H$2:$H$8421)</f>
        <v>795</v>
      </c>
      <c r="M2095" s="6" t="n">
        <f aca="false">Summary!$B$3-J2095</f>
        <v>156</v>
      </c>
      <c r="N2095" s="6" t="str">
        <f aca="false">IF(K2095&gt;1,"Yes","No")</f>
        <v>No</v>
      </c>
      <c r="O2095" s="6" t="s">
        <v>49</v>
      </c>
    </row>
    <row r="2096" customFormat="false" ht="15" hidden="false" customHeight="false" outlineLevel="0" collapsed="false">
      <c r="A2096" s="6" t="s">
        <v>4301</v>
      </c>
      <c r="B2096" s="6" t="s">
        <v>4302</v>
      </c>
      <c r="C2096" s="6" t="s">
        <v>85</v>
      </c>
      <c r="D2096" s="6" t="n">
        <v>18</v>
      </c>
      <c r="E2096" s="6" t="s">
        <v>86</v>
      </c>
      <c r="F2096" s="6" t="s">
        <v>87</v>
      </c>
      <c r="G2096" s="26" t="n">
        <v>46076</v>
      </c>
      <c r="H2096" s="6" t="s">
        <v>123</v>
      </c>
      <c r="I2096" s="26" t="n">
        <f aca="false">_xlfn.MINIFS(Transaction!$C$2:$C$8421,Transaction!$B$2:$B$8421,A2096)</f>
        <v>46112</v>
      </c>
      <c r="J2096" s="26" t="n">
        <f aca="false">_xlfn.MAXIFS(Transaction!$C$2:$C$8421,Transaction!$B$2:$B$8421,A2096)</f>
        <v>46235</v>
      </c>
      <c r="K2096" s="6" t="n">
        <f aca="false">COUNTIF(Transaction!$B$2:$B$8421,A2096)</f>
        <v>4</v>
      </c>
      <c r="L2096" s="10" t="n">
        <f aca="false">SUMIF(Transaction!$B$2:$B$8421,A2096,Transaction!$H$2:$H$8421)</f>
        <v>4927</v>
      </c>
      <c r="M2096" s="6" t="n">
        <f aca="false">Summary!$B$3-J2096</f>
        <v>31</v>
      </c>
      <c r="N2096" s="6" t="str">
        <f aca="false">IF(K2096&gt;1,"Yes","No")</f>
        <v>Yes</v>
      </c>
      <c r="O2096" s="6" t="s">
        <v>46</v>
      </c>
    </row>
    <row r="2097" customFormat="false" ht="15" hidden="false" customHeight="false" outlineLevel="0" collapsed="false">
      <c r="A2097" s="6" t="s">
        <v>4303</v>
      </c>
      <c r="B2097" s="6" t="s">
        <v>4304</v>
      </c>
      <c r="C2097" s="6" t="s">
        <v>85</v>
      </c>
      <c r="D2097" s="6" t="n">
        <v>27</v>
      </c>
      <c r="E2097" s="6" t="s">
        <v>95</v>
      </c>
      <c r="F2097" s="6" t="s">
        <v>95</v>
      </c>
      <c r="G2097" s="26" t="n">
        <v>46037</v>
      </c>
      <c r="H2097" s="6" t="s">
        <v>102</v>
      </c>
      <c r="I2097" s="26" t="n">
        <f aca="false">_xlfn.MINIFS(Transaction!$C$2:$C$8421,Transaction!$B$2:$B$8421,A2097)</f>
        <v>46097</v>
      </c>
      <c r="J2097" s="26" t="n">
        <f aca="false">_xlfn.MAXIFS(Transaction!$C$2:$C$8421,Transaction!$B$2:$B$8421,A2097)</f>
        <v>46221</v>
      </c>
      <c r="K2097" s="6" t="n">
        <f aca="false">COUNTIF(Transaction!$B$2:$B$8421,A2097)</f>
        <v>4</v>
      </c>
      <c r="L2097" s="10" t="n">
        <f aca="false">SUMIF(Transaction!$B$2:$B$8421,A2097,Transaction!$H$2:$H$8421)</f>
        <v>10488</v>
      </c>
      <c r="M2097" s="6" t="n">
        <f aca="false">Summary!$B$3-J2097</f>
        <v>45</v>
      </c>
      <c r="N2097" s="6" t="str">
        <f aca="false">IF(K2097&gt;1,"Yes","No")</f>
        <v>Yes</v>
      </c>
      <c r="O2097" s="6" t="s">
        <v>46</v>
      </c>
    </row>
    <row r="2098" customFormat="false" ht="15" hidden="false" customHeight="false" outlineLevel="0" collapsed="false">
      <c r="A2098" s="6" t="s">
        <v>4305</v>
      </c>
      <c r="B2098" s="6" t="s">
        <v>4306</v>
      </c>
      <c r="C2098" s="6" t="s">
        <v>85</v>
      </c>
      <c r="D2098" s="6" t="n">
        <v>33</v>
      </c>
      <c r="E2098" s="6" t="s">
        <v>264</v>
      </c>
      <c r="F2098" s="6" t="s">
        <v>106</v>
      </c>
      <c r="G2098" s="26" t="n">
        <v>46045</v>
      </c>
      <c r="H2098" s="6" t="s">
        <v>88</v>
      </c>
      <c r="I2098" s="26" t="n">
        <f aca="false">_xlfn.MINIFS(Transaction!$C$2:$C$8421,Transaction!$B$2:$B$8421,A2098)</f>
        <v>46065</v>
      </c>
      <c r="J2098" s="26" t="n">
        <f aca="false">_xlfn.MAXIFS(Transaction!$C$2:$C$8421,Transaction!$B$2:$B$8421,A2098)</f>
        <v>46265</v>
      </c>
      <c r="K2098" s="6" t="n">
        <f aca="false">COUNTIF(Transaction!$B$2:$B$8421,A2098)</f>
        <v>8</v>
      </c>
      <c r="L2098" s="10" t="n">
        <f aca="false">SUMIF(Transaction!$B$2:$B$8421,A2098,Transaction!$H$2:$H$8421)</f>
        <v>15314</v>
      </c>
      <c r="M2098" s="6" t="n">
        <f aca="false">Summary!$B$3-J2098</f>
        <v>1</v>
      </c>
      <c r="N2098" s="6" t="str">
        <f aca="false">IF(K2098&gt;1,"Yes","No")</f>
        <v>Yes</v>
      </c>
      <c r="O2098" s="6" t="s">
        <v>45</v>
      </c>
    </row>
    <row r="2099" customFormat="false" ht="15" hidden="false" customHeight="false" outlineLevel="0" collapsed="false">
      <c r="A2099" s="6" t="s">
        <v>4307</v>
      </c>
      <c r="B2099" s="6" t="s">
        <v>4308</v>
      </c>
      <c r="C2099" s="6" t="s">
        <v>75</v>
      </c>
      <c r="D2099" s="6" t="n">
        <v>34</v>
      </c>
      <c r="E2099" s="6" t="s">
        <v>146</v>
      </c>
      <c r="F2099" s="6" t="s">
        <v>147</v>
      </c>
      <c r="G2099" s="26" t="n">
        <v>45996</v>
      </c>
      <c r="H2099" s="6" t="s">
        <v>78</v>
      </c>
      <c r="I2099" s="26" t="n">
        <f aca="false">_xlfn.MINIFS(Transaction!$C$2:$C$8421,Transaction!$B$2:$B$8421,A2099)</f>
        <v>46038</v>
      </c>
      <c r="J2099" s="26" t="n">
        <f aca="false">_xlfn.MAXIFS(Transaction!$C$2:$C$8421,Transaction!$B$2:$B$8421,A2099)</f>
        <v>46263</v>
      </c>
      <c r="K2099" s="6" t="n">
        <f aca="false">COUNTIF(Transaction!$B$2:$B$8421,A2099)</f>
        <v>10</v>
      </c>
      <c r="L2099" s="10" t="n">
        <f aca="false">SUMIF(Transaction!$B$2:$B$8421,A2099,Transaction!$H$2:$H$8421)</f>
        <v>12888</v>
      </c>
      <c r="M2099" s="6" t="n">
        <f aca="false">Summary!$B$3-J2099</f>
        <v>3</v>
      </c>
      <c r="N2099" s="6" t="str">
        <f aca="false">IF(K2099&gt;1,"Yes","No")</f>
        <v>Yes</v>
      </c>
      <c r="O2099" s="6" t="s">
        <v>45</v>
      </c>
    </row>
    <row r="2100" customFormat="false" ht="15" hidden="false" customHeight="false" outlineLevel="0" collapsed="false">
      <c r="A2100" s="6" t="s">
        <v>4309</v>
      </c>
      <c r="B2100" s="6" t="s">
        <v>4310</v>
      </c>
      <c r="C2100" s="6" t="s">
        <v>85</v>
      </c>
      <c r="D2100" s="6" t="n">
        <v>33</v>
      </c>
      <c r="E2100" s="6" t="s">
        <v>86</v>
      </c>
      <c r="F2100" s="6" t="s">
        <v>87</v>
      </c>
      <c r="G2100" s="26" t="n">
        <v>46123</v>
      </c>
      <c r="H2100" s="6" t="s">
        <v>115</v>
      </c>
      <c r="I2100" s="26" t="n">
        <f aca="false">_xlfn.MINIFS(Transaction!$C$2:$C$8421,Transaction!$B$2:$B$8421,A2100)</f>
        <v>46148</v>
      </c>
      <c r="J2100" s="26" t="n">
        <f aca="false">_xlfn.MAXIFS(Transaction!$C$2:$C$8421,Transaction!$B$2:$B$8421,A2100)</f>
        <v>46148</v>
      </c>
      <c r="K2100" s="6" t="n">
        <f aca="false">COUNTIF(Transaction!$B$2:$B$8421,A2100)</f>
        <v>1</v>
      </c>
      <c r="L2100" s="10" t="n">
        <f aca="false">SUMIF(Transaction!$B$2:$B$8421,A2100,Transaction!$H$2:$H$8421)</f>
        <v>782</v>
      </c>
      <c r="M2100" s="6" t="n">
        <f aca="false">Summary!$B$3-J2100</f>
        <v>118</v>
      </c>
      <c r="N2100" s="6" t="str">
        <f aca="false">IF(K2100&gt;1,"Yes","No")</f>
        <v>No</v>
      </c>
      <c r="O2100" s="6" t="s">
        <v>48</v>
      </c>
    </row>
    <row r="2101" customFormat="false" ht="15" hidden="false" customHeight="false" outlineLevel="0" collapsed="false">
      <c r="A2101" s="6" t="s">
        <v>4311</v>
      </c>
      <c r="B2101" s="6" t="s">
        <v>4312</v>
      </c>
      <c r="C2101" s="6" t="s">
        <v>85</v>
      </c>
      <c r="D2101" s="6" t="n">
        <v>31</v>
      </c>
      <c r="E2101" s="6" t="s">
        <v>105</v>
      </c>
      <c r="F2101" s="6" t="s">
        <v>106</v>
      </c>
      <c r="G2101" s="26" t="n">
        <v>45992</v>
      </c>
      <c r="H2101" s="6" t="s">
        <v>115</v>
      </c>
      <c r="I2101" s="26" t="n">
        <f aca="false">_xlfn.MINIFS(Transaction!$C$2:$C$8421,Transaction!$B$2:$B$8421,A2101)</f>
        <v>46027</v>
      </c>
      <c r="J2101" s="26" t="n">
        <f aca="false">_xlfn.MAXIFS(Transaction!$C$2:$C$8421,Transaction!$B$2:$B$8421,A2101)</f>
        <v>46180</v>
      </c>
      <c r="K2101" s="6" t="n">
        <f aca="false">COUNTIF(Transaction!$B$2:$B$8421,A2101)</f>
        <v>2</v>
      </c>
      <c r="L2101" s="10" t="n">
        <f aca="false">SUMIF(Transaction!$B$2:$B$8421,A2101,Transaction!$H$2:$H$8421)</f>
        <v>1335</v>
      </c>
      <c r="M2101" s="6" t="n">
        <f aca="false">Summary!$B$3-J2101</f>
        <v>86</v>
      </c>
      <c r="N2101" s="6" t="str">
        <f aca="false">IF(K2101&gt;1,"Yes","No")</f>
        <v>Yes</v>
      </c>
      <c r="O2101" s="6" t="s">
        <v>46</v>
      </c>
    </row>
    <row r="2102" customFormat="false" ht="15" hidden="false" customHeight="false" outlineLevel="0" collapsed="false">
      <c r="A2102" s="6" t="s">
        <v>4313</v>
      </c>
      <c r="B2102" s="6" t="s">
        <v>4314</v>
      </c>
      <c r="C2102" s="6" t="s">
        <v>85</v>
      </c>
      <c r="D2102" s="6" t="n">
        <v>20</v>
      </c>
      <c r="E2102" s="6" t="s">
        <v>76</v>
      </c>
      <c r="F2102" s="6" t="s">
        <v>77</v>
      </c>
      <c r="G2102" s="26" t="n">
        <v>46107</v>
      </c>
      <c r="H2102" s="6" t="s">
        <v>115</v>
      </c>
      <c r="I2102" s="26" t="n">
        <f aca="false">_xlfn.MINIFS(Transaction!$C$2:$C$8421,Transaction!$B$2:$B$8421,A2102)</f>
        <v>46137</v>
      </c>
      <c r="J2102" s="26" t="n">
        <f aca="false">_xlfn.MAXIFS(Transaction!$C$2:$C$8421,Transaction!$B$2:$B$8421,A2102)</f>
        <v>46261</v>
      </c>
      <c r="K2102" s="6" t="n">
        <f aca="false">COUNTIF(Transaction!$B$2:$B$8421,A2102)</f>
        <v>7</v>
      </c>
      <c r="L2102" s="10" t="n">
        <f aca="false">SUMIF(Transaction!$B$2:$B$8421,A2102,Transaction!$H$2:$H$8421)</f>
        <v>12834</v>
      </c>
      <c r="M2102" s="6" t="n">
        <f aca="false">Summary!$B$3-J2102</f>
        <v>5</v>
      </c>
      <c r="N2102" s="6" t="str">
        <f aca="false">IF(K2102&gt;1,"Yes","No")</f>
        <v>Yes</v>
      </c>
      <c r="O2102" s="6" t="s">
        <v>45</v>
      </c>
    </row>
    <row r="2103" customFormat="false" ht="15" hidden="false" customHeight="false" outlineLevel="0" collapsed="false">
      <c r="A2103" s="6" t="s">
        <v>4315</v>
      </c>
      <c r="B2103" s="6" t="s">
        <v>4316</v>
      </c>
      <c r="C2103" s="6" t="s">
        <v>85</v>
      </c>
      <c r="D2103" s="6" t="n">
        <v>48</v>
      </c>
      <c r="E2103" s="6" t="s">
        <v>321</v>
      </c>
      <c r="F2103" s="6" t="s">
        <v>321</v>
      </c>
      <c r="G2103" s="26" t="n">
        <v>46147</v>
      </c>
      <c r="H2103" s="6" t="s">
        <v>123</v>
      </c>
      <c r="I2103" s="26" t="n">
        <f aca="false">_xlfn.MINIFS(Transaction!$C$2:$C$8421,Transaction!$B$2:$B$8421,A2103)</f>
        <v>46184</v>
      </c>
      <c r="J2103" s="26" t="n">
        <f aca="false">_xlfn.MAXIFS(Transaction!$C$2:$C$8421,Transaction!$B$2:$B$8421,A2103)</f>
        <v>46184</v>
      </c>
      <c r="K2103" s="6" t="n">
        <f aca="false">COUNTIF(Transaction!$B$2:$B$8421,A2103)</f>
        <v>1</v>
      </c>
      <c r="L2103" s="10" t="n">
        <f aca="false">SUMIF(Transaction!$B$2:$B$8421,A2103,Transaction!$H$2:$H$8421)</f>
        <v>966</v>
      </c>
      <c r="M2103" s="6" t="n">
        <f aca="false">Summary!$B$3-J2103</f>
        <v>82</v>
      </c>
      <c r="N2103" s="6" t="str">
        <f aca="false">IF(K2103&gt;1,"Yes","No")</f>
        <v>No</v>
      </c>
      <c r="O2103" s="6" t="s">
        <v>47</v>
      </c>
    </row>
    <row r="2104" customFormat="false" ht="15" hidden="false" customHeight="false" outlineLevel="0" collapsed="false">
      <c r="A2104" s="6" t="s">
        <v>4317</v>
      </c>
      <c r="B2104" s="6" t="s">
        <v>4318</v>
      </c>
      <c r="C2104" s="6" t="s">
        <v>85</v>
      </c>
      <c r="D2104" s="6" t="n">
        <v>41</v>
      </c>
      <c r="E2104" s="6" t="s">
        <v>105</v>
      </c>
      <c r="F2104" s="6" t="s">
        <v>106</v>
      </c>
      <c r="G2104" s="26" t="n">
        <v>46125</v>
      </c>
      <c r="H2104" s="6" t="s">
        <v>115</v>
      </c>
      <c r="I2104" s="26" t="n">
        <f aca="false">_xlfn.MINIFS(Transaction!$C$2:$C$8421,Transaction!$B$2:$B$8421,A2104)</f>
        <v>46144</v>
      </c>
      <c r="J2104" s="26" t="n">
        <f aca="false">_xlfn.MAXIFS(Transaction!$C$2:$C$8421,Transaction!$B$2:$B$8421,A2104)</f>
        <v>46144</v>
      </c>
      <c r="K2104" s="6" t="n">
        <f aca="false">COUNTIF(Transaction!$B$2:$B$8421,A2104)</f>
        <v>1</v>
      </c>
      <c r="L2104" s="10" t="n">
        <f aca="false">SUMIF(Transaction!$B$2:$B$8421,A2104,Transaction!$H$2:$H$8421)</f>
        <v>2548</v>
      </c>
      <c r="M2104" s="6" t="n">
        <f aca="false">Summary!$B$3-J2104</f>
        <v>122</v>
      </c>
      <c r="N2104" s="6" t="str">
        <f aca="false">IF(K2104&gt;1,"Yes","No")</f>
        <v>No</v>
      </c>
      <c r="O2104" s="6" t="s">
        <v>48</v>
      </c>
    </row>
    <row r="2105" customFormat="false" ht="15" hidden="false" customHeight="false" outlineLevel="0" collapsed="false">
      <c r="A2105" s="6" t="s">
        <v>4319</v>
      </c>
      <c r="B2105" s="6" t="s">
        <v>4320</v>
      </c>
      <c r="C2105" s="6" t="s">
        <v>85</v>
      </c>
      <c r="D2105" s="6" t="n">
        <v>35</v>
      </c>
      <c r="E2105" s="6" t="s">
        <v>76</v>
      </c>
      <c r="F2105" s="6" t="s">
        <v>77</v>
      </c>
      <c r="G2105" s="26" t="n">
        <v>46093</v>
      </c>
      <c r="H2105" s="6" t="s">
        <v>92</v>
      </c>
      <c r="I2105" s="26" t="n">
        <f aca="false">_xlfn.MINIFS(Transaction!$C$2:$C$8421,Transaction!$B$2:$B$8421,A2105)</f>
        <v>46116</v>
      </c>
      <c r="J2105" s="26" t="n">
        <f aca="false">_xlfn.MAXIFS(Transaction!$C$2:$C$8421,Transaction!$B$2:$B$8421,A2105)</f>
        <v>46116</v>
      </c>
      <c r="K2105" s="6" t="n">
        <f aca="false">COUNTIF(Transaction!$B$2:$B$8421,A2105)</f>
        <v>1</v>
      </c>
      <c r="L2105" s="10" t="n">
        <f aca="false">SUMIF(Transaction!$B$2:$B$8421,A2105,Transaction!$H$2:$H$8421)</f>
        <v>1768</v>
      </c>
      <c r="M2105" s="6" t="n">
        <f aca="false">Summary!$B$3-J2105</f>
        <v>150</v>
      </c>
      <c r="N2105" s="6" t="str">
        <f aca="false">IF(K2105&gt;1,"Yes","No")</f>
        <v>No</v>
      </c>
      <c r="O2105" s="6" t="s">
        <v>48</v>
      </c>
    </row>
    <row r="2106" customFormat="false" ht="15" hidden="false" customHeight="false" outlineLevel="0" collapsed="false">
      <c r="A2106" s="6" t="s">
        <v>4321</v>
      </c>
      <c r="B2106" s="6" t="s">
        <v>4322</v>
      </c>
      <c r="C2106" s="6" t="s">
        <v>75</v>
      </c>
      <c r="D2106" s="6" t="n">
        <v>31</v>
      </c>
      <c r="E2106" s="6" t="s">
        <v>86</v>
      </c>
      <c r="F2106" s="6" t="s">
        <v>87</v>
      </c>
      <c r="G2106" s="26" t="n">
        <v>46129</v>
      </c>
      <c r="H2106" s="6" t="s">
        <v>78</v>
      </c>
      <c r="I2106" s="26" t="n">
        <f aca="false">_xlfn.MINIFS(Transaction!$C$2:$C$8421,Transaction!$B$2:$B$8421,A2106)</f>
        <v>46135</v>
      </c>
      <c r="J2106" s="26" t="n">
        <f aca="false">_xlfn.MAXIFS(Transaction!$C$2:$C$8421,Transaction!$B$2:$B$8421,A2106)</f>
        <v>46245</v>
      </c>
      <c r="K2106" s="6" t="n">
        <f aca="false">COUNTIF(Transaction!$B$2:$B$8421,A2106)</f>
        <v>2</v>
      </c>
      <c r="L2106" s="10" t="n">
        <f aca="false">SUMIF(Transaction!$B$2:$B$8421,A2106,Transaction!$H$2:$H$8421)</f>
        <v>1503</v>
      </c>
      <c r="M2106" s="6" t="n">
        <f aca="false">Summary!$B$3-J2106</f>
        <v>21</v>
      </c>
      <c r="N2106" s="6" t="str">
        <f aca="false">IF(K2106&gt;1,"Yes","No")</f>
        <v>Yes</v>
      </c>
      <c r="O2106" s="6" t="s">
        <v>46</v>
      </c>
    </row>
    <row r="2107" customFormat="false" ht="15" hidden="false" customHeight="false" outlineLevel="0" collapsed="false">
      <c r="A2107" s="6" t="s">
        <v>4323</v>
      </c>
      <c r="B2107" s="6" t="s">
        <v>4324</v>
      </c>
      <c r="C2107" s="6" t="s">
        <v>85</v>
      </c>
      <c r="D2107" s="6" t="n">
        <v>32</v>
      </c>
      <c r="E2107" s="6" t="s">
        <v>237</v>
      </c>
      <c r="F2107" s="6" t="s">
        <v>87</v>
      </c>
      <c r="G2107" s="26" t="n">
        <v>46061</v>
      </c>
      <c r="H2107" s="6" t="s">
        <v>115</v>
      </c>
      <c r="I2107" s="26" t="n">
        <f aca="false">_xlfn.MINIFS(Transaction!$C$2:$C$8421,Transaction!$B$2:$B$8421,A2107)</f>
        <v>46071</v>
      </c>
      <c r="J2107" s="26" t="n">
        <f aca="false">_xlfn.MAXIFS(Transaction!$C$2:$C$8421,Transaction!$B$2:$B$8421,A2107)</f>
        <v>46071</v>
      </c>
      <c r="K2107" s="6" t="n">
        <f aca="false">COUNTIF(Transaction!$B$2:$B$8421,A2107)</f>
        <v>1</v>
      </c>
      <c r="L2107" s="10" t="n">
        <f aca="false">SUMIF(Transaction!$B$2:$B$8421,A2107,Transaction!$H$2:$H$8421)</f>
        <v>1120</v>
      </c>
      <c r="M2107" s="6" t="n">
        <f aca="false">Summary!$B$3-J2107</f>
        <v>195</v>
      </c>
      <c r="N2107" s="6" t="str">
        <f aca="false">IF(K2107&gt;1,"Yes","No")</f>
        <v>No</v>
      </c>
      <c r="O2107" s="6" t="s">
        <v>49</v>
      </c>
    </row>
    <row r="2108" customFormat="false" ht="15" hidden="false" customHeight="false" outlineLevel="0" collapsed="false">
      <c r="A2108" s="6" t="s">
        <v>4325</v>
      </c>
      <c r="B2108" s="6" t="s">
        <v>4326</v>
      </c>
      <c r="C2108" s="6" t="s">
        <v>75</v>
      </c>
      <c r="D2108" s="6" t="n">
        <v>44</v>
      </c>
      <c r="E2108" s="6" t="s">
        <v>134</v>
      </c>
      <c r="F2108" s="6" t="s">
        <v>135</v>
      </c>
      <c r="G2108" s="26" t="n">
        <v>46050</v>
      </c>
      <c r="H2108" s="6" t="s">
        <v>92</v>
      </c>
      <c r="I2108" s="26" t="n">
        <f aca="false">_xlfn.MINIFS(Transaction!$C$2:$C$8421,Transaction!$B$2:$B$8421,A2108)</f>
        <v>46093</v>
      </c>
      <c r="J2108" s="26" t="n">
        <f aca="false">_xlfn.MAXIFS(Transaction!$C$2:$C$8421,Transaction!$B$2:$B$8421,A2108)</f>
        <v>46256</v>
      </c>
      <c r="K2108" s="6" t="n">
        <f aca="false">COUNTIF(Transaction!$B$2:$B$8421,A2108)</f>
        <v>8</v>
      </c>
      <c r="L2108" s="10" t="n">
        <f aca="false">SUMIF(Transaction!$B$2:$B$8421,A2108,Transaction!$H$2:$H$8421)</f>
        <v>21673</v>
      </c>
      <c r="M2108" s="6" t="n">
        <f aca="false">Summary!$B$3-J2108</f>
        <v>10</v>
      </c>
      <c r="N2108" s="6" t="str">
        <f aca="false">IF(K2108&gt;1,"Yes","No")</f>
        <v>Yes</v>
      </c>
      <c r="O2108" s="6" t="s">
        <v>46</v>
      </c>
    </row>
    <row r="2109" customFormat="false" ht="15" hidden="false" customHeight="false" outlineLevel="0" collapsed="false">
      <c r="A2109" s="6" t="s">
        <v>4327</v>
      </c>
      <c r="B2109" s="6" t="s">
        <v>4328</v>
      </c>
      <c r="C2109" s="6" t="s">
        <v>85</v>
      </c>
      <c r="D2109" s="6" t="n">
        <v>26</v>
      </c>
      <c r="E2109" s="6" t="s">
        <v>118</v>
      </c>
      <c r="F2109" s="6" t="s">
        <v>77</v>
      </c>
      <c r="G2109" s="26" t="n">
        <v>46051</v>
      </c>
      <c r="H2109" s="6" t="s">
        <v>78</v>
      </c>
      <c r="I2109" s="26" t="n">
        <f aca="false">_xlfn.MINIFS(Transaction!$C$2:$C$8421,Transaction!$B$2:$B$8421,A2109)</f>
        <v>46134</v>
      </c>
      <c r="J2109" s="26" t="n">
        <f aca="false">_xlfn.MAXIFS(Transaction!$C$2:$C$8421,Transaction!$B$2:$B$8421,A2109)</f>
        <v>46134</v>
      </c>
      <c r="K2109" s="6" t="n">
        <f aca="false">COUNTIF(Transaction!$B$2:$B$8421,A2109)</f>
        <v>1</v>
      </c>
      <c r="L2109" s="10" t="n">
        <f aca="false">SUMIF(Transaction!$B$2:$B$8421,A2109,Transaction!$H$2:$H$8421)</f>
        <v>1375</v>
      </c>
      <c r="M2109" s="6" t="n">
        <f aca="false">Summary!$B$3-J2109</f>
        <v>132</v>
      </c>
      <c r="N2109" s="6" t="str">
        <f aca="false">IF(K2109&gt;1,"Yes","No")</f>
        <v>No</v>
      </c>
      <c r="O2109" s="6" t="s">
        <v>48</v>
      </c>
    </row>
    <row r="2110" customFormat="false" ht="15" hidden="false" customHeight="false" outlineLevel="0" collapsed="false">
      <c r="A2110" s="6" t="s">
        <v>4329</v>
      </c>
      <c r="B2110" s="6" t="s">
        <v>4330</v>
      </c>
      <c r="C2110" s="6" t="s">
        <v>75</v>
      </c>
      <c r="D2110" s="6" t="n">
        <v>35</v>
      </c>
      <c r="E2110" s="6" t="s">
        <v>176</v>
      </c>
      <c r="F2110" s="6" t="s">
        <v>177</v>
      </c>
      <c r="G2110" s="26" t="n">
        <v>46006</v>
      </c>
      <c r="H2110" s="6" t="s">
        <v>88</v>
      </c>
      <c r="I2110" s="26" t="n">
        <f aca="false">_xlfn.MINIFS(Transaction!$C$2:$C$8421,Transaction!$B$2:$B$8421,A2110)</f>
        <v>46050</v>
      </c>
      <c r="J2110" s="26" t="n">
        <f aca="false">_xlfn.MAXIFS(Transaction!$C$2:$C$8421,Transaction!$B$2:$B$8421,A2110)</f>
        <v>46050</v>
      </c>
      <c r="K2110" s="6" t="n">
        <f aca="false">COUNTIF(Transaction!$B$2:$B$8421,A2110)</f>
        <v>1</v>
      </c>
      <c r="L2110" s="10" t="n">
        <f aca="false">SUMIF(Transaction!$B$2:$B$8421,A2110,Transaction!$H$2:$H$8421)</f>
        <v>912</v>
      </c>
      <c r="M2110" s="6" t="n">
        <f aca="false">Summary!$B$3-J2110</f>
        <v>216</v>
      </c>
      <c r="N2110" s="6" t="str">
        <f aca="false">IF(K2110&gt;1,"Yes","No")</f>
        <v>No</v>
      </c>
      <c r="O2110" s="6" t="s">
        <v>49</v>
      </c>
    </row>
    <row r="2111" customFormat="false" ht="15" hidden="false" customHeight="false" outlineLevel="0" collapsed="false">
      <c r="A2111" s="6" t="s">
        <v>4331</v>
      </c>
      <c r="B2111" s="6" t="s">
        <v>4332</v>
      </c>
      <c r="C2111" s="6" t="s">
        <v>75</v>
      </c>
      <c r="D2111" s="6" t="n">
        <v>31</v>
      </c>
      <c r="E2111" s="6" t="s">
        <v>146</v>
      </c>
      <c r="F2111" s="6" t="s">
        <v>147</v>
      </c>
      <c r="G2111" s="26" t="n">
        <v>46125</v>
      </c>
      <c r="H2111" s="6" t="s">
        <v>115</v>
      </c>
      <c r="I2111" s="26" t="n">
        <f aca="false">_xlfn.MINIFS(Transaction!$C$2:$C$8421,Transaction!$B$2:$B$8421,A2111)</f>
        <v>46168</v>
      </c>
      <c r="J2111" s="26" t="n">
        <f aca="false">_xlfn.MAXIFS(Transaction!$C$2:$C$8421,Transaction!$B$2:$B$8421,A2111)</f>
        <v>46168</v>
      </c>
      <c r="K2111" s="6" t="n">
        <f aca="false">COUNTIF(Transaction!$B$2:$B$8421,A2111)</f>
        <v>1</v>
      </c>
      <c r="L2111" s="10" t="n">
        <f aca="false">SUMIF(Transaction!$B$2:$B$8421,A2111,Transaction!$H$2:$H$8421)</f>
        <v>4843</v>
      </c>
      <c r="M2111" s="6" t="n">
        <f aca="false">Summary!$B$3-J2111</f>
        <v>98</v>
      </c>
      <c r="N2111" s="6" t="str">
        <f aca="false">IF(K2111&gt;1,"Yes","No")</f>
        <v>No</v>
      </c>
      <c r="O2111" s="6" t="s">
        <v>48</v>
      </c>
    </row>
    <row r="2112" customFormat="false" ht="15" hidden="false" customHeight="false" outlineLevel="0" collapsed="false">
      <c r="A2112" s="6" t="s">
        <v>4333</v>
      </c>
      <c r="B2112" s="6" t="s">
        <v>4334</v>
      </c>
      <c r="C2112" s="6" t="s">
        <v>85</v>
      </c>
      <c r="D2112" s="6" t="n">
        <v>21</v>
      </c>
      <c r="E2112" s="6" t="s">
        <v>206</v>
      </c>
      <c r="F2112" s="6" t="s">
        <v>106</v>
      </c>
      <c r="G2112" s="26" t="n">
        <v>46024</v>
      </c>
      <c r="H2112" s="6" t="s">
        <v>102</v>
      </c>
      <c r="I2112" s="26" t="n">
        <f aca="false">_xlfn.MINIFS(Transaction!$C$2:$C$8421,Transaction!$B$2:$B$8421,A2112)</f>
        <v>46070</v>
      </c>
      <c r="J2112" s="26" t="n">
        <f aca="false">_xlfn.MAXIFS(Transaction!$C$2:$C$8421,Transaction!$B$2:$B$8421,A2112)</f>
        <v>46242</v>
      </c>
      <c r="K2112" s="6" t="n">
        <f aca="false">COUNTIF(Transaction!$B$2:$B$8421,A2112)</f>
        <v>7</v>
      </c>
      <c r="L2112" s="10" t="n">
        <f aca="false">SUMIF(Transaction!$B$2:$B$8421,A2112,Transaction!$H$2:$H$8421)</f>
        <v>8004</v>
      </c>
      <c r="M2112" s="6" t="n">
        <f aca="false">Summary!$B$3-J2112</f>
        <v>24</v>
      </c>
      <c r="N2112" s="6" t="str">
        <f aca="false">IF(K2112&gt;1,"Yes","No")</f>
        <v>Yes</v>
      </c>
      <c r="O2112" s="6" t="s">
        <v>45</v>
      </c>
    </row>
    <row r="2113" customFormat="false" ht="15" hidden="false" customHeight="false" outlineLevel="0" collapsed="false">
      <c r="A2113" s="6" t="s">
        <v>4335</v>
      </c>
      <c r="B2113" s="6" t="s">
        <v>4336</v>
      </c>
      <c r="C2113" s="6" t="s">
        <v>85</v>
      </c>
      <c r="D2113" s="6" t="n">
        <v>26</v>
      </c>
      <c r="E2113" s="6" t="s">
        <v>321</v>
      </c>
      <c r="F2113" s="6" t="s">
        <v>321</v>
      </c>
      <c r="G2113" s="26" t="n">
        <v>46043</v>
      </c>
      <c r="H2113" s="6" t="s">
        <v>92</v>
      </c>
      <c r="I2113" s="26" t="n">
        <f aca="false">_xlfn.MINIFS(Transaction!$C$2:$C$8421,Transaction!$B$2:$B$8421,A2113)</f>
        <v>46097</v>
      </c>
      <c r="J2113" s="26" t="n">
        <f aca="false">_xlfn.MAXIFS(Transaction!$C$2:$C$8421,Transaction!$B$2:$B$8421,A2113)</f>
        <v>46097</v>
      </c>
      <c r="K2113" s="6" t="n">
        <f aca="false">COUNTIF(Transaction!$B$2:$B$8421,A2113)</f>
        <v>1</v>
      </c>
      <c r="L2113" s="10" t="n">
        <f aca="false">SUMIF(Transaction!$B$2:$B$8421,A2113,Transaction!$H$2:$H$8421)</f>
        <v>976</v>
      </c>
      <c r="M2113" s="6" t="n">
        <f aca="false">Summary!$B$3-J2113</f>
        <v>169</v>
      </c>
      <c r="N2113" s="6" t="str">
        <f aca="false">IF(K2113&gt;1,"Yes","No")</f>
        <v>No</v>
      </c>
      <c r="O2113" s="6" t="s">
        <v>49</v>
      </c>
    </row>
    <row r="2114" customFormat="false" ht="15" hidden="false" customHeight="false" outlineLevel="0" collapsed="false">
      <c r="A2114" s="6" t="s">
        <v>4337</v>
      </c>
      <c r="B2114" s="6" t="s">
        <v>4338</v>
      </c>
      <c r="C2114" s="6" t="s">
        <v>75</v>
      </c>
      <c r="D2114" s="6" t="n">
        <v>23</v>
      </c>
      <c r="E2114" s="6" t="s">
        <v>146</v>
      </c>
      <c r="F2114" s="6" t="s">
        <v>147</v>
      </c>
      <c r="G2114" s="26" t="n">
        <v>45970</v>
      </c>
      <c r="H2114" s="6" t="s">
        <v>115</v>
      </c>
      <c r="I2114" s="26" t="n">
        <f aca="false">_xlfn.MINIFS(Transaction!$C$2:$C$8421,Transaction!$B$2:$B$8421,A2114)</f>
        <v>46025</v>
      </c>
      <c r="J2114" s="26" t="n">
        <f aca="false">_xlfn.MAXIFS(Transaction!$C$2:$C$8421,Transaction!$B$2:$B$8421,A2114)</f>
        <v>46254</v>
      </c>
      <c r="K2114" s="6" t="n">
        <f aca="false">COUNTIF(Transaction!$B$2:$B$8421,A2114)</f>
        <v>8</v>
      </c>
      <c r="L2114" s="10" t="n">
        <f aca="false">SUMIF(Transaction!$B$2:$B$8421,A2114,Transaction!$H$2:$H$8421)</f>
        <v>15718</v>
      </c>
      <c r="M2114" s="6" t="n">
        <f aca="false">Summary!$B$3-J2114</f>
        <v>12</v>
      </c>
      <c r="N2114" s="6" t="str">
        <f aca="false">IF(K2114&gt;1,"Yes","No")</f>
        <v>Yes</v>
      </c>
      <c r="O2114" s="6" t="s">
        <v>46</v>
      </c>
    </row>
    <row r="2115" customFormat="false" ht="15" hidden="false" customHeight="false" outlineLevel="0" collapsed="false">
      <c r="A2115" s="6" t="s">
        <v>4339</v>
      </c>
      <c r="B2115" s="6" t="s">
        <v>4340</v>
      </c>
      <c r="C2115" s="6" t="s">
        <v>85</v>
      </c>
      <c r="D2115" s="6" t="n">
        <v>35</v>
      </c>
      <c r="E2115" s="6" t="s">
        <v>121</v>
      </c>
      <c r="F2115" s="6" t="s">
        <v>122</v>
      </c>
      <c r="G2115" s="26" t="n">
        <v>46131</v>
      </c>
      <c r="H2115" s="6" t="s">
        <v>102</v>
      </c>
      <c r="I2115" s="26" t="n">
        <f aca="false">_xlfn.MINIFS(Transaction!$C$2:$C$8421,Transaction!$B$2:$B$8421,A2115)</f>
        <v>46144</v>
      </c>
      <c r="J2115" s="26" t="n">
        <f aca="false">_xlfn.MAXIFS(Transaction!$C$2:$C$8421,Transaction!$B$2:$B$8421,A2115)</f>
        <v>46144</v>
      </c>
      <c r="K2115" s="6" t="n">
        <f aca="false">COUNTIF(Transaction!$B$2:$B$8421,A2115)</f>
        <v>1</v>
      </c>
      <c r="L2115" s="10" t="n">
        <f aca="false">SUMIF(Transaction!$B$2:$B$8421,A2115,Transaction!$H$2:$H$8421)</f>
        <v>2349</v>
      </c>
      <c r="M2115" s="6" t="n">
        <f aca="false">Summary!$B$3-J2115</f>
        <v>122</v>
      </c>
      <c r="N2115" s="6" t="str">
        <f aca="false">IF(K2115&gt;1,"Yes","No")</f>
        <v>No</v>
      </c>
      <c r="O2115" s="6" t="s">
        <v>48</v>
      </c>
    </row>
    <row r="2116" customFormat="false" ht="15" hidden="false" customHeight="false" outlineLevel="0" collapsed="false">
      <c r="A2116" s="6" t="s">
        <v>4341</v>
      </c>
      <c r="B2116" s="6" t="s">
        <v>4342</v>
      </c>
      <c r="C2116" s="6" t="s">
        <v>75</v>
      </c>
      <c r="D2116" s="6" t="n">
        <v>34</v>
      </c>
      <c r="E2116" s="6" t="s">
        <v>118</v>
      </c>
      <c r="F2116" s="6" t="s">
        <v>77</v>
      </c>
      <c r="G2116" s="26" t="n">
        <v>46154</v>
      </c>
      <c r="H2116" s="6" t="s">
        <v>92</v>
      </c>
      <c r="I2116" s="26" t="n">
        <f aca="false">_xlfn.MINIFS(Transaction!$C$2:$C$8421,Transaction!$B$2:$B$8421,A2116)</f>
        <v>46186</v>
      </c>
      <c r="J2116" s="26" t="n">
        <f aca="false">_xlfn.MAXIFS(Transaction!$C$2:$C$8421,Transaction!$B$2:$B$8421,A2116)</f>
        <v>46186</v>
      </c>
      <c r="K2116" s="6" t="n">
        <f aca="false">COUNTIF(Transaction!$B$2:$B$8421,A2116)</f>
        <v>1</v>
      </c>
      <c r="L2116" s="10" t="n">
        <f aca="false">SUMIF(Transaction!$B$2:$B$8421,A2116,Transaction!$H$2:$H$8421)</f>
        <v>1277</v>
      </c>
      <c r="M2116" s="6" t="n">
        <f aca="false">Summary!$B$3-J2116</f>
        <v>80</v>
      </c>
      <c r="N2116" s="6" t="str">
        <f aca="false">IF(K2116&gt;1,"Yes","No")</f>
        <v>No</v>
      </c>
      <c r="O2116" s="6" t="s">
        <v>47</v>
      </c>
    </row>
    <row r="2117" customFormat="false" ht="15" hidden="false" customHeight="false" outlineLevel="0" collapsed="false">
      <c r="A2117" s="6" t="s">
        <v>4343</v>
      </c>
      <c r="B2117" s="6" t="s">
        <v>4344</v>
      </c>
      <c r="C2117" s="6" t="s">
        <v>75</v>
      </c>
      <c r="D2117" s="6" t="n">
        <v>18</v>
      </c>
      <c r="E2117" s="6" t="s">
        <v>76</v>
      </c>
      <c r="F2117" s="6" t="s">
        <v>77</v>
      </c>
      <c r="G2117" s="26" t="n">
        <v>46134</v>
      </c>
      <c r="H2117" s="6" t="s">
        <v>123</v>
      </c>
      <c r="I2117" s="26" t="n">
        <f aca="false">_xlfn.MINIFS(Transaction!$C$2:$C$8421,Transaction!$B$2:$B$8421,A2117)</f>
        <v>46135</v>
      </c>
      <c r="J2117" s="26" t="n">
        <f aca="false">_xlfn.MAXIFS(Transaction!$C$2:$C$8421,Transaction!$B$2:$B$8421,A2117)</f>
        <v>46200</v>
      </c>
      <c r="K2117" s="6" t="n">
        <f aca="false">COUNTIF(Transaction!$B$2:$B$8421,A2117)</f>
        <v>3</v>
      </c>
      <c r="L2117" s="10" t="n">
        <f aca="false">SUMIF(Transaction!$B$2:$B$8421,A2117,Transaction!$H$2:$H$8421)</f>
        <v>8802</v>
      </c>
      <c r="M2117" s="6" t="n">
        <f aca="false">Summary!$B$3-J2117</f>
        <v>66</v>
      </c>
      <c r="N2117" s="6" t="str">
        <f aca="false">IF(K2117&gt;1,"Yes","No")</f>
        <v>Yes</v>
      </c>
      <c r="O2117" s="6" t="s">
        <v>46</v>
      </c>
    </row>
    <row r="2118" customFormat="false" ht="15" hidden="false" customHeight="false" outlineLevel="0" collapsed="false">
      <c r="A2118" s="6" t="s">
        <v>4345</v>
      </c>
      <c r="B2118" s="6" t="s">
        <v>4346</v>
      </c>
      <c r="C2118" s="6" t="s">
        <v>85</v>
      </c>
      <c r="D2118" s="6" t="n">
        <v>34</v>
      </c>
      <c r="E2118" s="6" t="s">
        <v>81</v>
      </c>
      <c r="F2118" s="6" t="s">
        <v>82</v>
      </c>
      <c r="G2118" s="26" t="n">
        <v>46045</v>
      </c>
      <c r="H2118" s="6" t="s">
        <v>123</v>
      </c>
      <c r="I2118" s="26" t="n">
        <f aca="false">_xlfn.MINIFS(Transaction!$C$2:$C$8421,Transaction!$B$2:$B$8421,A2118)</f>
        <v>46054</v>
      </c>
      <c r="J2118" s="26" t="n">
        <f aca="false">_xlfn.MAXIFS(Transaction!$C$2:$C$8421,Transaction!$B$2:$B$8421,A2118)</f>
        <v>46196</v>
      </c>
      <c r="K2118" s="6" t="n">
        <f aca="false">COUNTIF(Transaction!$B$2:$B$8421,A2118)</f>
        <v>5</v>
      </c>
      <c r="L2118" s="10" t="n">
        <f aca="false">SUMIF(Transaction!$B$2:$B$8421,A2118,Transaction!$H$2:$H$8421)</f>
        <v>11513</v>
      </c>
      <c r="M2118" s="6" t="n">
        <f aca="false">Summary!$B$3-J2118</f>
        <v>70</v>
      </c>
      <c r="N2118" s="6" t="str">
        <f aca="false">IF(K2118&gt;1,"Yes","No")</f>
        <v>Yes</v>
      </c>
      <c r="O2118" s="6" t="s">
        <v>46</v>
      </c>
    </row>
    <row r="2119" customFormat="false" ht="15" hidden="false" customHeight="false" outlineLevel="0" collapsed="false">
      <c r="A2119" s="6" t="s">
        <v>4347</v>
      </c>
      <c r="B2119" s="6" t="s">
        <v>4348</v>
      </c>
      <c r="C2119" s="6" t="s">
        <v>85</v>
      </c>
      <c r="D2119" s="6" t="n">
        <v>27</v>
      </c>
      <c r="E2119" s="6" t="s">
        <v>95</v>
      </c>
      <c r="F2119" s="6" t="s">
        <v>95</v>
      </c>
      <c r="G2119" s="26" t="n">
        <v>45983</v>
      </c>
      <c r="H2119" s="6" t="s">
        <v>78</v>
      </c>
      <c r="I2119" s="26" t="n">
        <f aca="false">_xlfn.MINIFS(Transaction!$C$2:$C$8421,Transaction!$B$2:$B$8421,A2119)</f>
        <v>46035</v>
      </c>
      <c r="J2119" s="26" t="n">
        <f aca="false">_xlfn.MAXIFS(Transaction!$C$2:$C$8421,Transaction!$B$2:$B$8421,A2119)</f>
        <v>46177</v>
      </c>
      <c r="K2119" s="6" t="n">
        <f aca="false">COUNTIF(Transaction!$B$2:$B$8421,A2119)</f>
        <v>6</v>
      </c>
      <c r="L2119" s="10" t="n">
        <f aca="false">SUMIF(Transaction!$B$2:$B$8421,A2119,Transaction!$H$2:$H$8421)</f>
        <v>29771</v>
      </c>
      <c r="M2119" s="6" t="n">
        <f aca="false">Summary!$B$3-J2119</f>
        <v>89</v>
      </c>
      <c r="N2119" s="6" t="str">
        <f aca="false">IF(K2119&gt;1,"Yes","No")</f>
        <v>Yes</v>
      </c>
      <c r="O2119" s="6" t="s">
        <v>46</v>
      </c>
    </row>
    <row r="2120" customFormat="false" ht="15" hidden="false" customHeight="false" outlineLevel="0" collapsed="false">
      <c r="A2120" s="6" t="s">
        <v>4349</v>
      </c>
      <c r="B2120" s="6" t="s">
        <v>4350</v>
      </c>
      <c r="C2120" s="6" t="s">
        <v>75</v>
      </c>
      <c r="D2120" s="6" t="n">
        <v>34</v>
      </c>
      <c r="E2120" s="6" t="s">
        <v>146</v>
      </c>
      <c r="F2120" s="6" t="s">
        <v>147</v>
      </c>
      <c r="G2120" s="26" t="n">
        <v>46044</v>
      </c>
      <c r="H2120" s="6" t="s">
        <v>115</v>
      </c>
      <c r="I2120" s="26" t="n">
        <f aca="false">_xlfn.MINIFS(Transaction!$C$2:$C$8421,Transaction!$B$2:$B$8421,A2120)</f>
        <v>46044</v>
      </c>
      <c r="J2120" s="26" t="n">
        <f aca="false">_xlfn.MAXIFS(Transaction!$C$2:$C$8421,Transaction!$B$2:$B$8421,A2120)</f>
        <v>46174</v>
      </c>
      <c r="K2120" s="6" t="n">
        <f aca="false">COUNTIF(Transaction!$B$2:$B$8421,A2120)</f>
        <v>3</v>
      </c>
      <c r="L2120" s="10" t="n">
        <f aca="false">SUMIF(Transaction!$B$2:$B$8421,A2120,Transaction!$H$2:$H$8421)</f>
        <v>1799</v>
      </c>
      <c r="M2120" s="6" t="n">
        <f aca="false">Summary!$B$3-J2120</f>
        <v>92</v>
      </c>
      <c r="N2120" s="6" t="str">
        <f aca="false">IF(K2120&gt;1,"Yes","No")</f>
        <v>Yes</v>
      </c>
      <c r="O2120" s="6" t="s">
        <v>46</v>
      </c>
    </row>
    <row r="2121" customFormat="false" ht="15" hidden="false" customHeight="false" outlineLevel="0" collapsed="false">
      <c r="A2121" s="6" t="s">
        <v>4351</v>
      </c>
      <c r="B2121" s="6" t="s">
        <v>4352</v>
      </c>
      <c r="C2121" s="6" t="s">
        <v>85</v>
      </c>
      <c r="D2121" s="6" t="n">
        <v>31</v>
      </c>
      <c r="E2121" s="6" t="s">
        <v>76</v>
      </c>
      <c r="F2121" s="6" t="s">
        <v>77</v>
      </c>
      <c r="G2121" s="26" t="n">
        <v>46110</v>
      </c>
      <c r="H2121" s="6" t="s">
        <v>115</v>
      </c>
      <c r="I2121" s="26" t="n">
        <f aca="false">_xlfn.MINIFS(Transaction!$C$2:$C$8421,Transaction!$B$2:$B$8421,A2121)</f>
        <v>46136</v>
      </c>
      <c r="J2121" s="26" t="n">
        <f aca="false">_xlfn.MAXIFS(Transaction!$C$2:$C$8421,Transaction!$B$2:$B$8421,A2121)</f>
        <v>46136</v>
      </c>
      <c r="K2121" s="6" t="n">
        <f aca="false">COUNTIF(Transaction!$B$2:$B$8421,A2121)</f>
        <v>1</v>
      </c>
      <c r="L2121" s="10" t="n">
        <f aca="false">SUMIF(Transaction!$B$2:$B$8421,A2121,Transaction!$H$2:$H$8421)</f>
        <v>972</v>
      </c>
      <c r="M2121" s="6" t="n">
        <f aca="false">Summary!$B$3-J2121</f>
        <v>130</v>
      </c>
      <c r="N2121" s="6" t="str">
        <f aca="false">IF(K2121&gt;1,"Yes","No")</f>
        <v>No</v>
      </c>
      <c r="O2121" s="6" t="s">
        <v>48</v>
      </c>
    </row>
    <row r="2122" customFormat="false" ht="15" hidden="false" customHeight="false" outlineLevel="0" collapsed="false">
      <c r="A2122" s="6" t="s">
        <v>4353</v>
      </c>
      <c r="B2122" s="6" t="s">
        <v>4354</v>
      </c>
      <c r="C2122" s="6" t="s">
        <v>85</v>
      </c>
      <c r="D2122" s="6" t="n">
        <v>45</v>
      </c>
      <c r="E2122" s="6" t="s">
        <v>206</v>
      </c>
      <c r="F2122" s="6" t="s">
        <v>106</v>
      </c>
      <c r="G2122" s="26" t="n">
        <v>46026</v>
      </c>
      <c r="H2122" s="6" t="s">
        <v>102</v>
      </c>
      <c r="I2122" s="26" t="n">
        <f aca="false">_xlfn.MINIFS(Transaction!$C$2:$C$8421,Transaction!$B$2:$B$8421,A2122)</f>
        <v>46075</v>
      </c>
      <c r="J2122" s="26" t="n">
        <f aca="false">_xlfn.MAXIFS(Transaction!$C$2:$C$8421,Transaction!$B$2:$B$8421,A2122)</f>
        <v>46260</v>
      </c>
      <c r="K2122" s="6" t="n">
        <f aca="false">COUNTIF(Transaction!$B$2:$B$8421,A2122)</f>
        <v>9</v>
      </c>
      <c r="L2122" s="10" t="n">
        <f aca="false">SUMIF(Transaction!$B$2:$B$8421,A2122,Transaction!$H$2:$H$8421)</f>
        <v>11438</v>
      </c>
      <c r="M2122" s="6" t="n">
        <f aca="false">Summary!$B$3-J2122</f>
        <v>6</v>
      </c>
      <c r="N2122" s="6" t="str">
        <f aca="false">IF(K2122&gt;1,"Yes","No")</f>
        <v>Yes</v>
      </c>
      <c r="O2122" s="6" t="s">
        <v>45</v>
      </c>
    </row>
    <row r="2123" customFormat="false" ht="15" hidden="false" customHeight="false" outlineLevel="0" collapsed="false">
      <c r="A2123" s="6" t="s">
        <v>4355</v>
      </c>
      <c r="B2123" s="6" t="s">
        <v>4356</v>
      </c>
      <c r="C2123" s="6" t="s">
        <v>85</v>
      </c>
      <c r="D2123" s="6" t="n">
        <v>40</v>
      </c>
      <c r="E2123" s="6" t="s">
        <v>95</v>
      </c>
      <c r="F2123" s="6" t="s">
        <v>95</v>
      </c>
      <c r="G2123" s="26" t="n">
        <v>46089</v>
      </c>
      <c r="H2123" s="6" t="s">
        <v>115</v>
      </c>
      <c r="I2123" s="26" t="n">
        <f aca="false">_xlfn.MINIFS(Transaction!$C$2:$C$8421,Transaction!$B$2:$B$8421,A2123)</f>
        <v>46153</v>
      </c>
      <c r="J2123" s="26" t="n">
        <f aca="false">_xlfn.MAXIFS(Transaction!$C$2:$C$8421,Transaction!$B$2:$B$8421,A2123)</f>
        <v>46153</v>
      </c>
      <c r="K2123" s="6" t="n">
        <f aca="false">COUNTIF(Transaction!$B$2:$B$8421,A2123)</f>
        <v>1</v>
      </c>
      <c r="L2123" s="10" t="n">
        <f aca="false">SUMIF(Transaction!$B$2:$B$8421,A2123,Transaction!$H$2:$H$8421)</f>
        <v>3132</v>
      </c>
      <c r="M2123" s="6" t="n">
        <f aca="false">Summary!$B$3-J2123</f>
        <v>113</v>
      </c>
      <c r="N2123" s="6" t="str">
        <f aca="false">IF(K2123&gt;1,"Yes","No")</f>
        <v>No</v>
      </c>
      <c r="O2123" s="6" t="s">
        <v>48</v>
      </c>
    </row>
    <row r="2124" customFormat="false" ht="15" hidden="false" customHeight="false" outlineLevel="0" collapsed="false">
      <c r="A2124" s="6" t="s">
        <v>4357</v>
      </c>
      <c r="B2124" s="6" t="s">
        <v>4358</v>
      </c>
      <c r="C2124" s="6" t="s">
        <v>75</v>
      </c>
      <c r="D2124" s="6" t="n">
        <v>36</v>
      </c>
      <c r="E2124" s="6" t="s">
        <v>86</v>
      </c>
      <c r="F2124" s="6" t="s">
        <v>87</v>
      </c>
      <c r="G2124" s="26" t="n">
        <v>46222</v>
      </c>
      <c r="H2124" s="6" t="s">
        <v>102</v>
      </c>
      <c r="I2124" s="26" t="n">
        <f aca="false">_xlfn.MINIFS(Transaction!$C$2:$C$8421,Transaction!$B$2:$B$8421,A2124)</f>
        <v>46254</v>
      </c>
      <c r="J2124" s="26" t="n">
        <f aca="false">_xlfn.MAXIFS(Transaction!$C$2:$C$8421,Transaction!$B$2:$B$8421,A2124)</f>
        <v>46254</v>
      </c>
      <c r="K2124" s="6" t="n">
        <f aca="false">COUNTIF(Transaction!$B$2:$B$8421,A2124)</f>
        <v>1</v>
      </c>
      <c r="L2124" s="10" t="n">
        <f aca="false">SUMIF(Transaction!$B$2:$B$8421,A2124,Transaction!$H$2:$H$8421)</f>
        <v>2535</v>
      </c>
      <c r="M2124" s="6" t="n">
        <f aca="false">Summary!$B$3-J2124</f>
        <v>12</v>
      </c>
      <c r="N2124" s="6" t="str">
        <f aca="false">IF(K2124&gt;1,"Yes","No")</f>
        <v>No</v>
      </c>
      <c r="O2124" s="6" t="s">
        <v>47</v>
      </c>
    </row>
    <row r="2125" customFormat="false" ht="15" hidden="false" customHeight="false" outlineLevel="0" collapsed="false">
      <c r="A2125" s="6" t="s">
        <v>4359</v>
      </c>
      <c r="B2125" s="6" t="s">
        <v>4360</v>
      </c>
      <c r="C2125" s="6" t="s">
        <v>85</v>
      </c>
      <c r="D2125" s="6" t="n">
        <v>27</v>
      </c>
      <c r="E2125" s="6" t="s">
        <v>76</v>
      </c>
      <c r="F2125" s="6" t="s">
        <v>77</v>
      </c>
      <c r="G2125" s="26" t="n">
        <v>46032</v>
      </c>
      <c r="H2125" s="6" t="s">
        <v>78</v>
      </c>
      <c r="I2125" s="26" t="n">
        <f aca="false">_xlfn.MINIFS(Transaction!$C$2:$C$8421,Transaction!$B$2:$B$8421,A2125)</f>
        <v>46112</v>
      </c>
      <c r="J2125" s="26" t="n">
        <f aca="false">_xlfn.MAXIFS(Transaction!$C$2:$C$8421,Transaction!$B$2:$B$8421,A2125)</f>
        <v>46112</v>
      </c>
      <c r="K2125" s="6" t="n">
        <f aca="false">COUNTIF(Transaction!$B$2:$B$8421,A2125)</f>
        <v>1</v>
      </c>
      <c r="L2125" s="10" t="n">
        <f aca="false">SUMIF(Transaction!$B$2:$B$8421,A2125,Transaction!$H$2:$H$8421)</f>
        <v>2751</v>
      </c>
      <c r="M2125" s="6" t="n">
        <f aca="false">Summary!$B$3-J2125</f>
        <v>154</v>
      </c>
      <c r="N2125" s="6" t="str">
        <f aca="false">IF(K2125&gt;1,"Yes","No")</f>
        <v>No</v>
      </c>
      <c r="O2125" s="6" t="s">
        <v>49</v>
      </c>
    </row>
    <row r="2126" customFormat="false" ht="15" hidden="false" customHeight="false" outlineLevel="0" collapsed="false">
      <c r="A2126" s="6" t="s">
        <v>4361</v>
      </c>
      <c r="B2126" s="6" t="s">
        <v>4362</v>
      </c>
      <c r="C2126" s="6" t="s">
        <v>85</v>
      </c>
      <c r="D2126" s="6" t="n">
        <v>54</v>
      </c>
      <c r="E2126" s="6" t="s">
        <v>95</v>
      </c>
      <c r="F2126" s="6" t="s">
        <v>95</v>
      </c>
      <c r="G2126" s="26" t="n">
        <v>46115</v>
      </c>
      <c r="H2126" s="6" t="s">
        <v>123</v>
      </c>
      <c r="I2126" s="26" t="n">
        <f aca="false">_xlfn.MINIFS(Transaction!$C$2:$C$8421,Transaction!$B$2:$B$8421,A2126)</f>
        <v>46166</v>
      </c>
      <c r="J2126" s="26" t="n">
        <f aca="false">_xlfn.MAXIFS(Transaction!$C$2:$C$8421,Transaction!$B$2:$B$8421,A2126)</f>
        <v>46166</v>
      </c>
      <c r="K2126" s="6" t="n">
        <f aca="false">COUNTIF(Transaction!$B$2:$B$8421,A2126)</f>
        <v>1</v>
      </c>
      <c r="L2126" s="10" t="n">
        <f aca="false">SUMIF(Transaction!$B$2:$B$8421,A2126,Transaction!$H$2:$H$8421)</f>
        <v>3666</v>
      </c>
      <c r="M2126" s="6" t="n">
        <f aca="false">Summary!$B$3-J2126</f>
        <v>100</v>
      </c>
      <c r="N2126" s="6" t="str">
        <f aca="false">IF(K2126&gt;1,"Yes","No")</f>
        <v>No</v>
      </c>
      <c r="O2126" s="6" t="s">
        <v>48</v>
      </c>
    </row>
    <row r="2127" customFormat="false" ht="15" hidden="false" customHeight="false" outlineLevel="0" collapsed="false">
      <c r="A2127" s="6" t="s">
        <v>4363</v>
      </c>
      <c r="B2127" s="6" t="s">
        <v>4364</v>
      </c>
      <c r="C2127" s="6" t="s">
        <v>85</v>
      </c>
      <c r="D2127" s="6" t="n">
        <v>42</v>
      </c>
      <c r="E2127" s="6" t="s">
        <v>81</v>
      </c>
      <c r="F2127" s="6" t="s">
        <v>82</v>
      </c>
      <c r="G2127" s="26" t="n">
        <v>45998</v>
      </c>
      <c r="H2127" s="6" t="s">
        <v>115</v>
      </c>
      <c r="I2127" s="26" t="n">
        <f aca="false">_xlfn.MINIFS(Transaction!$C$2:$C$8421,Transaction!$B$2:$B$8421,A2127)</f>
        <v>46077</v>
      </c>
      <c r="J2127" s="26" t="n">
        <f aca="false">_xlfn.MAXIFS(Transaction!$C$2:$C$8421,Transaction!$B$2:$B$8421,A2127)</f>
        <v>46254</v>
      </c>
      <c r="K2127" s="6" t="n">
        <f aca="false">COUNTIF(Transaction!$B$2:$B$8421,A2127)</f>
        <v>2</v>
      </c>
      <c r="L2127" s="10" t="n">
        <f aca="false">SUMIF(Transaction!$B$2:$B$8421,A2127,Transaction!$H$2:$H$8421)</f>
        <v>5164</v>
      </c>
      <c r="M2127" s="6" t="n">
        <f aca="false">Summary!$B$3-J2127</f>
        <v>12</v>
      </c>
      <c r="N2127" s="6" t="str">
        <f aca="false">IF(K2127&gt;1,"Yes","No")</f>
        <v>Yes</v>
      </c>
      <c r="O2127" s="6" t="s">
        <v>46</v>
      </c>
    </row>
    <row r="2128" customFormat="false" ht="15" hidden="false" customHeight="false" outlineLevel="0" collapsed="false">
      <c r="A2128" s="6" t="s">
        <v>4365</v>
      </c>
      <c r="B2128" s="6" t="s">
        <v>4366</v>
      </c>
      <c r="C2128" s="6" t="s">
        <v>75</v>
      </c>
      <c r="D2128" s="6" t="n">
        <v>35</v>
      </c>
      <c r="E2128" s="6" t="s">
        <v>105</v>
      </c>
      <c r="F2128" s="6" t="s">
        <v>106</v>
      </c>
      <c r="G2128" s="26" t="n">
        <v>46087</v>
      </c>
      <c r="H2128" s="6" t="s">
        <v>88</v>
      </c>
      <c r="I2128" s="26" t="n">
        <f aca="false">_xlfn.MINIFS(Transaction!$C$2:$C$8421,Transaction!$B$2:$B$8421,A2128)</f>
        <v>46127</v>
      </c>
      <c r="J2128" s="26" t="n">
        <f aca="false">_xlfn.MAXIFS(Transaction!$C$2:$C$8421,Transaction!$B$2:$B$8421,A2128)</f>
        <v>46127</v>
      </c>
      <c r="K2128" s="6" t="n">
        <f aca="false">COUNTIF(Transaction!$B$2:$B$8421,A2128)</f>
        <v>1</v>
      </c>
      <c r="L2128" s="10" t="n">
        <f aca="false">SUMIF(Transaction!$B$2:$B$8421,A2128,Transaction!$H$2:$H$8421)</f>
        <v>1143</v>
      </c>
      <c r="M2128" s="6" t="n">
        <f aca="false">Summary!$B$3-J2128</f>
        <v>139</v>
      </c>
      <c r="N2128" s="6" t="str">
        <f aca="false">IF(K2128&gt;1,"Yes","No")</f>
        <v>No</v>
      </c>
      <c r="O2128" s="6" t="s">
        <v>48</v>
      </c>
    </row>
    <row r="2129" customFormat="false" ht="15" hidden="false" customHeight="false" outlineLevel="0" collapsed="false">
      <c r="A2129" s="6" t="s">
        <v>4367</v>
      </c>
      <c r="B2129" s="6" t="s">
        <v>4368</v>
      </c>
      <c r="C2129" s="6" t="s">
        <v>75</v>
      </c>
      <c r="D2129" s="6" t="n">
        <v>35</v>
      </c>
      <c r="E2129" s="6" t="s">
        <v>76</v>
      </c>
      <c r="F2129" s="6" t="s">
        <v>77</v>
      </c>
      <c r="G2129" s="26" t="n">
        <v>45992</v>
      </c>
      <c r="H2129" s="6" t="s">
        <v>92</v>
      </c>
      <c r="I2129" s="26" t="n">
        <f aca="false">_xlfn.MINIFS(Transaction!$C$2:$C$8421,Transaction!$B$2:$B$8421,A2129)</f>
        <v>46036</v>
      </c>
      <c r="J2129" s="26" t="n">
        <f aca="false">_xlfn.MAXIFS(Transaction!$C$2:$C$8421,Transaction!$B$2:$B$8421,A2129)</f>
        <v>46036</v>
      </c>
      <c r="K2129" s="6" t="n">
        <f aca="false">COUNTIF(Transaction!$B$2:$B$8421,A2129)</f>
        <v>1</v>
      </c>
      <c r="L2129" s="10" t="n">
        <f aca="false">SUMIF(Transaction!$B$2:$B$8421,A2129,Transaction!$H$2:$H$8421)</f>
        <v>251</v>
      </c>
      <c r="M2129" s="6" t="n">
        <f aca="false">Summary!$B$3-J2129</f>
        <v>230</v>
      </c>
      <c r="N2129" s="6" t="str">
        <f aca="false">IF(K2129&gt;1,"Yes","No")</f>
        <v>No</v>
      </c>
      <c r="O2129" s="6" t="s">
        <v>49</v>
      </c>
    </row>
    <row r="2130" customFormat="false" ht="15" hidden="false" customHeight="false" outlineLevel="0" collapsed="false">
      <c r="A2130" s="6" t="s">
        <v>4369</v>
      </c>
      <c r="B2130" s="6" t="s">
        <v>4370</v>
      </c>
      <c r="C2130" s="6" t="s">
        <v>85</v>
      </c>
      <c r="D2130" s="6" t="n">
        <v>36</v>
      </c>
      <c r="E2130" s="6" t="s">
        <v>176</v>
      </c>
      <c r="F2130" s="6" t="s">
        <v>177</v>
      </c>
      <c r="G2130" s="26" t="n">
        <v>45974</v>
      </c>
      <c r="H2130" s="6" t="s">
        <v>102</v>
      </c>
      <c r="I2130" s="26" t="n">
        <f aca="false">_xlfn.MINIFS(Transaction!$C$2:$C$8421,Transaction!$B$2:$B$8421,A2130)</f>
        <v>46046</v>
      </c>
      <c r="J2130" s="26" t="n">
        <f aca="false">_xlfn.MAXIFS(Transaction!$C$2:$C$8421,Transaction!$B$2:$B$8421,A2130)</f>
        <v>46254</v>
      </c>
      <c r="K2130" s="6" t="n">
        <f aca="false">COUNTIF(Transaction!$B$2:$B$8421,A2130)</f>
        <v>4</v>
      </c>
      <c r="L2130" s="10" t="n">
        <f aca="false">SUMIF(Transaction!$B$2:$B$8421,A2130,Transaction!$H$2:$H$8421)</f>
        <v>3328</v>
      </c>
      <c r="M2130" s="6" t="n">
        <f aca="false">Summary!$B$3-J2130</f>
        <v>12</v>
      </c>
      <c r="N2130" s="6" t="str">
        <f aca="false">IF(K2130&gt;1,"Yes","No")</f>
        <v>Yes</v>
      </c>
      <c r="O2130" s="6" t="s">
        <v>46</v>
      </c>
    </row>
    <row r="2131" customFormat="false" ht="15" hidden="false" customHeight="false" outlineLevel="0" collapsed="false">
      <c r="A2131" s="6" t="s">
        <v>4371</v>
      </c>
      <c r="B2131" s="6" t="s">
        <v>4372</v>
      </c>
      <c r="C2131" s="6" t="s">
        <v>75</v>
      </c>
      <c r="D2131" s="6" t="n">
        <v>44</v>
      </c>
      <c r="E2131" s="6" t="s">
        <v>134</v>
      </c>
      <c r="F2131" s="6" t="s">
        <v>135</v>
      </c>
      <c r="G2131" s="26" t="n">
        <v>46007</v>
      </c>
      <c r="H2131" s="6" t="s">
        <v>92</v>
      </c>
      <c r="I2131" s="26" t="n">
        <f aca="false">_xlfn.MINIFS(Transaction!$C$2:$C$8421,Transaction!$B$2:$B$8421,A2131)</f>
        <v>46069</v>
      </c>
      <c r="J2131" s="26" t="n">
        <f aca="false">_xlfn.MAXIFS(Transaction!$C$2:$C$8421,Transaction!$B$2:$B$8421,A2131)</f>
        <v>46258</v>
      </c>
      <c r="K2131" s="6" t="n">
        <f aca="false">COUNTIF(Transaction!$B$2:$B$8421,A2131)</f>
        <v>9</v>
      </c>
      <c r="L2131" s="10" t="n">
        <f aca="false">SUMIF(Transaction!$B$2:$B$8421,A2131,Transaction!$H$2:$H$8421)</f>
        <v>13780</v>
      </c>
      <c r="M2131" s="6" t="n">
        <f aca="false">Summary!$B$3-J2131</f>
        <v>8</v>
      </c>
      <c r="N2131" s="6" t="str">
        <f aca="false">IF(K2131&gt;1,"Yes","No")</f>
        <v>Yes</v>
      </c>
      <c r="O2131" s="6" t="s">
        <v>45</v>
      </c>
    </row>
    <row r="2132" customFormat="false" ht="15" hidden="false" customHeight="false" outlineLevel="0" collapsed="false">
      <c r="A2132" s="6" t="s">
        <v>4373</v>
      </c>
      <c r="B2132" s="6" t="s">
        <v>4374</v>
      </c>
      <c r="C2132" s="6" t="s">
        <v>75</v>
      </c>
      <c r="D2132" s="6" t="n">
        <v>42</v>
      </c>
      <c r="E2132" s="6" t="s">
        <v>134</v>
      </c>
      <c r="F2132" s="6" t="s">
        <v>135</v>
      </c>
      <c r="G2132" s="26" t="n">
        <v>46028</v>
      </c>
      <c r="H2132" s="6" t="s">
        <v>102</v>
      </c>
      <c r="I2132" s="26" t="n">
        <f aca="false">_xlfn.MINIFS(Transaction!$C$2:$C$8421,Transaction!$B$2:$B$8421,A2132)</f>
        <v>46059</v>
      </c>
      <c r="J2132" s="26" t="n">
        <f aca="false">_xlfn.MAXIFS(Transaction!$C$2:$C$8421,Transaction!$B$2:$B$8421,A2132)</f>
        <v>46262</v>
      </c>
      <c r="K2132" s="6" t="n">
        <f aca="false">COUNTIF(Transaction!$B$2:$B$8421,A2132)</f>
        <v>13</v>
      </c>
      <c r="L2132" s="10" t="n">
        <f aca="false">SUMIF(Transaction!$B$2:$B$8421,A2132,Transaction!$H$2:$H$8421)</f>
        <v>32203</v>
      </c>
      <c r="M2132" s="6" t="n">
        <f aca="false">Summary!$B$3-J2132</f>
        <v>4</v>
      </c>
      <c r="N2132" s="6" t="str">
        <f aca="false">IF(K2132&gt;1,"Yes","No")</f>
        <v>Yes</v>
      </c>
      <c r="O2132" s="6" t="s">
        <v>45</v>
      </c>
    </row>
    <row r="2133" customFormat="false" ht="15" hidden="false" customHeight="false" outlineLevel="0" collapsed="false">
      <c r="A2133" s="6" t="s">
        <v>4375</v>
      </c>
      <c r="B2133" s="6" t="s">
        <v>4376</v>
      </c>
      <c r="C2133" s="6" t="s">
        <v>85</v>
      </c>
      <c r="D2133" s="6" t="n">
        <v>40</v>
      </c>
      <c r="E2133" s="6" t="s">
        <v>134</v>
      </c>
      <c r="F2133" s="6" t="s">
        <v>135</v>
      </c>
      <c r="G2133" s="26" t="n">
        <v>46063</v>
      </c>
      <c r="H2133" s="6" t="s">
        <v>115</v>
      </c>
      <c r="I2133" s="26" t="n">
        <f aca="false">_xlfn.MINIFS(Transaction!$C$2:$C$8421,Transaction!$B$2:$B$8421,A2133)</f>
        <v>46150</v>
      </c>
      <c r="J2133" s="26" t="n">
        <f aca="false">_xlfn.MAXIFS(Transaction!$C$2:$C$8421,Transaction!$B$2:$B$8421,A2133)</f>
        <v>46150</v>
      </c>
      <c r="K2133" s="6" t="n">
        <f aca="false">COUNTIF(Transaction!$B$2:$B$8421,A2133)</f>
        <v>1</v>
      </c>
      <c r="L2133" s="10" t="n">
        <f aca="false">SUMIF(Transaction!$B$2:$B$8421,A2133,Transaction!$H$2:$H$8421)</f>
        <v>2136</v>
      </c>
      <c r="M2133" s="6" t="n">
        <f aca="false">Summary!$B$3-J2133</f>
        <v>116</v>
      </c>
      <c r="N2133" s="6" t="str">
        <f aca="false">IF(K2133&gt;1,"Yes","No")</f>
        <v>No</v>
      </c>
      <c r="O2133" s="6" t="s">
        <v>48</v>
      </c>
    </row>
    <row r="2134" customFormat="false" ht="15" hidden="false" customHeight="false" outlineLevel="0" collapsed="false">
      <c r="A2134" s="6" t="s">
        <v>4377</v>
      </c>
      <c r="B2134" s="6" t="s">
        <v>4378</v>
      </c>
      <c r="C2134" s="6" t="s">
        <v>75</v>
      </c>
      <c r="D2134" s="6" t="n">
        <v>49</v>
      </c>
      <c r="E2134" s="6" t="s">
        <v>76</v>
      </c>
      <c r="F2134" s="6" t="s">
        <v>77</v>
      </c>
      <c r="G2134" s="26" t="n">
        <v>45998</v>
      </c>
      <c r="H2134" s="6" t="s">
        <v>115</v>
      </c>
      <c r="I2134" s="26" t="n">
        <f aca="false">_xlfn.MINIFS(Transaction!$C$2:$C$8421,Transaction!$B$2:$B$8421,A2134)</f>
        <v>46062</v>
      </c>
      <c r="J2134" s="26" t="n">
        <f aca="false">_xlfn.MAXIFS(Transaction!$C$2:$C$8421,Transaction!$B$2:$B$8421,A2134)</f>
        <v>46249</v>
      </c>
      <c r="K2134" s="6" t="n">
        <f aca="false">COUNTIF(Transaction!$B$2:$B$8421,A2134)</f>
        <v>8</v>
      </c>
      <c r="L2134" s="10" t="n">
        <f aca="false">SUMIF(Transaction!$B$2:$B$8421,A2134,Transaction!$H$2:$H$8421)</f>
        <v>9502</v>
      </c>
      <c r="M2134" s="6" t="n">
        <f aca="false">Summary!$B$3-J2134</f>
        <v>17</v>
      </c>
      <c r="N2134" s="6" t="str">
        <f aca="false">IF(K2134&gt;1,"Yes","No")</f>
        <v>Yes</v>
      </c>
      <c r="O2134" s="6" t="s">
        <v>45</v>
      </c>
    </row>
    <row r="2135" customFormat="false" ht="15" hidden="false" customHeight="false" outlineLevel="0" collapsed="false">
      <c r="A2135" s="6" t="s">
        <v>4379</v>
      </c>
      <c r="B2135" s="6" t="s">
        <v>4380</v>
      </c>
      <c r="C2135" s="6" t="s">
        <v>85</v>
      </c>
      <c r="D2135" s="6" t="n">
        <v>34</v>
      </c>
      <c r="E2135" s="6" t="s">
        <v>134</v>
      </c>
      <c r="F2135" s="6" t="s">
        <v>135</v>
      </c>
      <c r="G2135" s="26" t="n">
        <v>46092</v>
      </c>
      <c r="H2135" s="6" t="s">
        <v>102</v>
      </c>
      <c r="I2135" s="26" t="n">
        <f aca="false">_xlfn.MINIFS(Transaction!$C$2:$C$8421,Transaction!$B$2:$B$8421,A2135)</f>
        <v>46138</v>
      </c>
      <c r="J2135" s="26" t="n">
        <f aca="false">_xlfn.MAXIFS(Transaction!$C$2:$C$8421,Transaction!$B$2:$B$8421,A2135)</f>
        <v>46138</v>
      </c>
      <c r="K2135" s="6" t="n">
        <f aca="false">COUNTIF(Transaction!$B$2:$B$8421,A2135)</f>
        <v>1</v>
      </c>
      <c r="L2135" s="10" t="n">
        <f aca="false">SUMIF(Transaction!$B$2:$B$8421,A2135,Transaction!$H$2:$H$8421)</f>
        <v>2948</v>
      </c>
      <c r="M2135" s="6" t="n">
        <f aca="false">Summary!$B$3-J2135</f>
        <v>128</v>
      </c>
      <c r="N2135" s="6" t="str">
        <f aca="false">IF(K2135&gt;1,"Yes","No")</f>
        <v>No</v>
      </c>
      <c r="O2135" s="6" t="s">
        <v>48</v>
      </c>
    </row>
    <row r="2136" customFormat="false" ht="15" hidden="false" customHeight="false" outlineLevel="0" collapsed="false">
      <c r="A2136" s="6" t="s">
        <v>4381</v>
      </c>
      <c r="B2136" s="6" t="s">
        <v>4382</v>
      </c>
      <c r="C2136" s="6" t="s">
        <v>85</v>
      </c>
      <c r="D2136" s="6" t="n">
        <v>24</v>
      </c>
      <c r="E2136" s="6" t="s">
        <v>264</v>
      </c>
      <c r="F2136" s="6" t="s">
        <v>106</v>
      </c>
      <c r="G2136" s="26" t="n">
        <v>46057</v>
      </c>
      <c r="H2136" s="6" t="s">
        <v>88</v>
      </c>
      <c r="I2136" s="26" t="n">
        <f aca="false">_xlfn.MINIFS(Transaction!$C$2:$C$8421,Transaction!$B$2:$B$8421,A2136)</f>
        <v>46114</v>
      </c>
      <c r="J2136" s="26" t="n">
        <f aca="false">_xlfn.MAXIFS(Transaction!$C$2:$C$8421,Transaction!$B$2:$B$8421,A2136)</f>
        <v>46114</v>
      </c>
      <c r="K2136" s="6" t="n">
        <f aca="false">COUNTIF(Transaction!$B$2:$B$8421,A2136)</f>
        <v>1</v>
      </c>
      <c r="L2136" s="10" t="n">
        <f aca="false">SUMIF(Transaction!$B$2:$B$8421,A2136,Transaction!$H$2:$H$8421)</f>
        <v>763</v>
      </c>
      <c r="M2136" s="6" t="n">
        <f aca="false">Summary!$B$3-J2136</f>
        <v>152</v>
      </c>
      <c r="N2136" s="6" t="str">
        <f aca="false">IF(K2136&gt;1,"Yes","No")</f>
        <v>No</v>
      </c>
      <c r="O2136" s="6" t="s">
        <v>48</v>
      </c>
    </row>
    <row r="2137" customFormat="false" ht="15" hidden="false" customHeight="false" outlineLevel="0" collapsed="false">
      <c r="A2137" s="6" t="s">
        <v>4383</v>
      </c>
      <c r="B2137" s="6" t="s">
        <v>4384</v>
      </c>
      <c r="C2137" s="6" t="s">
        <v>75</v>
      </c>
      <c r="D2137" s="6" t="n">
        <v>33</v>
      </c>
      <c r="E2137" s="6" t="s">
        <v>91</v>
      </c>
      <c r="F2137" s="6" t="s">
        <v>77</v>
      </c>
      <c r="G2137" s="26" t="n">
        <v>46009</v>
      </c>
      <c r="H2137" s="6" t="s">
        <v>78</v>
      </c>
      <c r="I2137" s="26" t="n">
        <f aca="false">_xlfn.MINIFS(Transaction!$C$2:$C$8421,Transaction!$B$2:$B$8421,A2137)</f>
        <v>46082</v>
      </c>
      <c r="J2137" s="26" t="n">
        <f aca="false">_xlfn.MAXIFS(Transaction!$C$2:$C$8421,Transaction!$B$2:$B$8421,A2137)</f>
        <v>46082</v>
      </c>
      <c r="K2137" s="6" t="n">
        <f aca="false">COUNTIF(Transaction!$B$2:$B$8421,A2137)</f>
        <v>1</v>
      </c>
      <c r="L2137" s="10" t="n">
        <f aca="false">SUMIF(Transaction!$B$2:$B$8421,A2137,Transaction!$H$2:$H$8421)</f>
        <v>2976</v>
      </c>
      <c r="M2137" s="6" t="n">
        <f aca="false">Summary!$B$3-J2137</f>
        <v>184</v>
      </c>
      <c r="N2137" s="6" t="str">
        <f aca="false">IF(K2137&gt;1,"Yes","No")</f>
        <v>No</v>
      </c>
      <c r="O2137" s="6" t="s">
        <v>49</v>
      </c>
    </row>
    <row r="2138" customFormat="false" ht="15" hidden="false" customHeight="false" outlineLevel="0" collapsed="false">
      <c r="A2138" s="6" t="s">
        <v>4385</v>
      </c>
      <c r="B2138" s="6" t="s">
        <v>4386</v>
      </c>
      <c r="C2138" s="6" t="s">
        <v>75</v>
      </c>
      <c r="D2138" s="6" t="n">
        <v>32</v>
      </c>
      <c r="E2138" s="6" t="s">
        <v>121</v>
      </c>
      <c r="F2138" s="6" t="s">
        <v>122</v>
      </c>
      <c r="G2138" s="26" t="n">
        <v>46153</v>
      </c>
      <c r="H2138" s="6" t="s">
        <v>123</v>
      </c>
      <c r="I2138" s="26" t="n">
        <f aca="false">_xlfn.MINIFS(Transaction!$C$2:$C$8421,Transaction!$B$2:$B$8421,A2138)</f>
        <v>46199</v>
      </c>
      <c r="J2138" s="26" t="n">
        <f aca="false">_xlfn.MAXIFS(Transaction!$C$2:$C$8421,Transaction!$B$2:$B$8421,A2138)</f>
        <v>46199</v>
      </c>
      <c r="K2138" s="6" t="n">
        <f aca="false">COUNTIF(Transaction!$B$2:$B$8421,A2138)</f>
        <v>1</v>
      </c>
      <c r="L2138" s="10" t="n">
        <f aca="false">SUMIF(Transaction!$B$2:$B$8421,A2138,Transaction!$H$2:$H$8421)</f>
        <v>2936</v>
      </c>
      <c r="M2138" s="6" t="n">
        <f aca="false">Summary!$B$3-J2138</f>
        <v>67</v>
      </c>
      <c r="N2138" s="6" t="str">
        <f aca="false">IF(K2138&gt;1,"Yes","No")</f>
        <v>No</v>
      </c>
      <c r="O2138" s="6" t="s">
        <v>47</v>
      </c>
    </row>
    <row r="2139" customFormat="false" ht="15" hidden="false" customHeight="false" outlineLevel="0" collapsed="false">
      <c r="A2139" s="6" t="s">
        <v>4387</v>
      </c>
      <c r="B2139" s="6" t="s">
        <v>4388</v>
      </c>
      <c r="C2139" s="6" t="s">
        <v>75</v>
      </c>
      <c r="D2139" s="6" t="n">
        <v>28</v>
      </c>
      <c r="E2139" s="6" t="s">
        <v>121</v>
      </c>
      <c r="F2139" s="6" t="s">
        <v>122</v>
      </c>
      <c r="G2139" s="26" t="n">
        <v>46092</v>
      </c>
      <c r="H2139" s="6" t="s">
        <v>115</v>
      </c>
      <c r="I2139" s="26" t="n">
        <f aca="false">_xlfn.MINIFS(Transaction!$C$2:$C$8421,Transaction!$B$2:$B$8421,A2139)</f>
        <v>46105</v>
      </c>
      <c r="J2139" s="26" t="n">
        <f aca="false">_xlfn.MAXIFS(Transaction!$C$2:$C$8421,Transaction!$B$2:$B$8421,A2139)</f>
        <v>46214</v>
      </c>
      <c r="K2139" s="6" t="n">
        <f aca="false">COUNTIF(Transaction!$B$2:$B$8421,A2139)</f>
        <v>6</v>
      </c>
      <c r="L2139" s="10" t="n">
        <f aca="false">SUMIF(Transaction!$B$2:$B$8421,A2139,Transaction!$H$2:$H$8421)</f>
        <v>18903</v>
      </c>
      <c r="M2139" s="6" t="n">
        <f aca="false">Summary!$B$3-J2139</f>
        <v>52</v>
      </c>
      <c r="N2139" s="6" t="str">
        <f aca="false">IF(K2139&gt;1,"Yes","No")</f>
        <v>Yes</v>
      </c>
      <c r="O2139" s="6" t="s">
        <v>46</v>
      </c>
    </row>
    <row r="2140" customFormat="false" ht="15" hidden="false" customHeight="false" outlineLevel="0" collapsed="false">
      <c r="A2140" s="6" t="s">
        <v>4389</v>
      </c>
      <c r="B2140" s="6" t="s">
        <v>4390</v>
      </c>
      <c r="C2140" s="6" t="s">
        <v>85</v>
      </c>
      <c r="D2140" s="6" t="n">
        <v>18</v>
      </c>
      <c r="E2140" s="6" t="s">
        <v>81</v>
      </c>
      <c r="F2140" s="6" t="s">
        <v>82</v>
      </c>
      <c r="G2140" s="26" t="n">
        <v>46217</v>
      </c>
      <c r="H2140" s="6" t="s">
        <v>123</v>
      </c>
      <c r="I2140" s="26" t="n">
        <f aca="false">_xlfn.MINIFS(Transaction!$C$2:$C$8421,Transaction!$B$2:$B$8421,A2140)</f>
        <v>46228</v>
      </c>
      <c r="J2140" s="26" t="n">
        <f aca="false">_xlfn.MAXIFS(Transaction!$C$2:$C$8421,Transaction!$B$2:$B$8421,A2140)</f>
        <v>46228</v>
      </c>
      <c r="K2140" s="6" t="n">
        <f aca="false">COUNTIF(Transaction!$B$2:$B$8421,A2140)</f>
        <v>1</v>
      </c>
      <c r="L2140" s="10" t="n">
        <f aca="false">SUMIF(Transaction!$B$2:$B$8421,A2140,Transaction!$H$2:$H$8421)</f>
        <v>2109</v>
      </c>
      <c r="M2140" s="6" t="n">
        <f aca="false">Summary!$B$3-J2140</f>
        <v>38</v>
      </c>
      <c r="N2140" s="6" t="str">
        <f aca="false">IF(K2140&gt;1,"Yes","No")</f>
        <v>No</v>
      </c>
      <c r="O2140" s="6" t="s">
        <v>47</v>
      </c>
    </row>
    <row r="2141" customFormat="false" ht="15" hidden="false" customHeight="false" outlineLevel="0" collapsed="false">
      <c r="A2141" s="6" t="s">
        <v>4391</v>
      </c>
      <c r="B2141" s="6" t="s">
        <v>4392</v>
      </c>
      <c r="C2141" s="6" t="s">
        <v>75</v>
      </c>
      <c r="D2141" s="6" t="n">
        <v>42</v>
      </c>
      <c r="E2141" s="6" t="s">
        <v>76</v>
      </c>
      <c r="F2141" s="6" t="s">
        <v>77</v>
      </c>
      <c r="G2141" s="26" t="n">
        <v>45953</v>
      </c>
      <c r="H2141" s="6" t="s">
        <v>88</v>
      </c>
      <c r="I2141" s="26" t="n">
        <f aca="false">_xlfn.MINIFS(Transaction!$C$2:$C$8421,Transaction!$B$2:$B$8421,A2141)</f>
        <v>46038</v>
      </c>
      <c r="J2141" s="26" t="n">
        <f aca="false">_xlfn.MAXIFS(Transaction!$C$2:$C$8421,Transaction!$B$2:$B$8421,A2141)</f>
        <v>46245</v>
      </c>
      <c r="K2141" s="6" t="n">
        <f aca="false">COUNTIF(Transaction!$B$2:$B$8421,A2141)</f>
        <v>7</v>
      </c>
      <c r="L2141" s="10" t="n">
        <f aca="false">SUMIF(Transaction!$B$2:$B$8421,A2141,Transaction!$H$2:$H$8421)</f>
        <v>13547</v>
      </c>
      <c r="M2141" s="6" t="n">
        <f aca="false">Summary!$B$3-J2141</f>
        <v>21</v>
      </c>
      <c r="N2141" s="6" t="str">
        <f aca="false">IF(K2141&gt;1,"Yes","No")</f>
        <v>Yes</v>
      </c>
      <c r="O2141" s="6" t="s">
        <v>46</v>
      </c>
    </row>
    <row r="2142" customFormat="false" ht="15" hidden="false" customHeight="false" outlineLevel="0" collapsed="false">
      <c r="A2142" s="6" t="s">
        <v>4393</v>
      </c>
      <c r="B2142" s="6" t="s">
        <v>4394</v>
      </c>
      <c r="C2142" s="6" t="s">
        <v>75</v>
      </c>
      <c r="D2142" s="6" t="n">
        <v>43</v>
      </c>
      <c r="E2142" s="6" t="s">
        <v>91</v>
      </c>
      <c r="F2142" s="6" t="s">
        <v>77</v>
      </c>
      <c r="G2142" s="26" t="n">
        <v>46213</v>
      </c>
      <c r="H2142" s="6" t="s">
        <v>102</v>
      </c>
      <c r="I2142" s="26" t="n">
        <f aca="false">_xlfn.MINIFS(Transaction!$C$2:$C$8421,Transaction!$B$2:$B$8421,A2142)</f>
        <v>46254</v>
      </c>
      <c r="J2142" s="26" t="n">
        <f aca="false">_xlfn.MAXIFS(Transaction!$C$2:$C$8421,Transaction!$B$2:$B$8421,A2142)</f>
        <v>46254</v>
      </c>
      <c r="K2142" s="6" t="n">
        <f aca="false">COUNTIF(Transaction!$B$2:$B$8421,A2142)</f>
        <v>1</v>
      </c>
      <c r="L2142" s="10" t="n">
        <f aca="false">SUMIF(Transaction!$B$2:$B$8421,A2142,Transaction!$H$2:$H$8421)</f>
        <v>5098</v>
      </c>
      <c r="M2142" s="6" t="n">
        <f aca="false">Summary!$B$3-J2142</f>
        <v>12</v>
      </c>
      <c r="N2142" s="6" t="str">
        <f aca="false">IF(K2142&gt;1,"Yes","No")</f>
        <v>No</v>
      </c>
      <c r="O2142" s="6" t="s">
        <v>47</v>
      </c>
    </row>
    <row r="2143" customFormat="false" ht="15" hidden="false" customHeight="false" outlineLevel="0" collapsed="false">
      <c r="A2143" s="6" t="s">
        <v>4395</v>
      </c>
      <c r="B2143" s="6" t="s">
        <v>4396</v>
      </c>
      <c r="C2143" s="6" t="s">
        <v>85</v>
      </c>
      <c r="D2143" s="6" t="n">
        <v>24</v>
      </c>
      <c r="E2143" s="6" t="s">
        <v>95</v>
      </c>
      <c r="F2143" s="6" t="s">
        <v>95</v>
      </c>
      <c r="G2143" s="26" t="n">
        <v>46138</v>
      </c>
      <c r="H2143" s="6" t="s">
        <v>92</v>
      </c>
      <c r="I2143" s="26" t="n">
        <f aca="false">_xlfn.MINIFS(Transaction!$C$2:$C$8421,Transaction!$B$2:$B$8421,A2143)</f>
        <v>46173</v>
      </c>
      <c r="J2143" s="26" t="n">
        <f aca="false">_xlfn.MAXIFS(Transaction!$C$2:$C$8421,Transaction!$B$2:$B$8421,A2143)</f>
        <v>46173</v>
      </c>
      <c r="K2143" s="6" t="n">
        <f aca="false">COUNTIF(Transaction!$B$2:$B$8421,A2143)</f>
        <v>1</v>
      </c>
      <c r="L2143" s="10" t="n">
        <f aca="false">SUMIF(Transaction!$B$2:$B$8421,A2143,Transaction!$H$2:$H$8421)</f>
        <v>457</v>
      </c>
      <c r="M2143" s="6" t="n">
        <f aca="false">Summary!$B$3-J2143</f>
        <v>93</v>
      </c>
      <c r="N2143" s="6" t="str">
        <f aca="false">IF(K2143&gt;1,"Yes","No")</f>
        <v>No</v>
      </c>
      <c r="O2143" s="6" t="s">
        <v>48</v>
      </c>
    </row>
    <row r="2144" customFormat="false" ht="15" hidden="false" customHeight="false" outlineLevel="0" collapsed="false">
      <c r="A2144" s="6" t="s">
        <v>4397</v>
      </c>
      <c r="B2144" s="6" t="s">
        <v>4398</v>
      </c>
      <c r="C2144" s="6" t="s">
        <v>75</v>
      </c>
      <c r="D2144" s="6" t="n">
        <v>38</v>
      </c>
      <c r="E2144" s="6" t="s">
        <v>98</v>
      </c>
      <c r="F2144" s="6" t="s">
        <v>99</v>
      </c>
      <c r="G2144" s="26" t="n">
        <v>45995</v>
      </c>
      <c r="H2144" s="6" t="s">
        <v>78</v>
      </c>
      <c r="I2144" s="26" t="n">
        <f aca="false">_xlfn.MINIFS(Transaction!$C$2:$C$8421,Transaction!$B$2:$B$8421,A2144)</f>
        <v>46038</v>
      </c>
      <c r="J2144" s="26" t="n">
        <f aca="false">_xlfn.MAXIFS(Transaction!$C$2:$C$8421,Transaction!$B$2:$B$8421,A2144)</f>
        <v>46247</v>
      </c>
      <c r="K2144" s="6" t="n">
        <f aca="false">COUNTIF(Transaction!$B$2:$B$8421,A2144)</f>
        <v>8</v>
      </c>
      <c r="L2144" s="10" t="n">
        <f aca="false">SUMIF(Transaction!$B$2:$B$8421,A2144,Transaction!$H$2:$H$8421)</f>
        <v>10697</v>
      </c>
      <c r="M2144" s="6" t="n">
        <f aca="false">Summary!$B$3-J2144</f>
        <v>19</v>
      </c>
      <c r="N2144" s="6" t="str">
        <f aca="false">IF(K2144&gt;1,"Yes","No")</f>
        <v>Yes</v>
      </c>
      <c r="O2144" s="6" t="s">
        <v>45</v>
      </c>
    </row>
    <row r="2145" customFormat="false" ht="15" hidden="false" customHeight="false" outlineLevel="0" collapsed="false">
      <c r="A2145" s="6" t="s">
        <v>4399</v>
      </c>
      <c r="B2145" s="6" t="s">
        <v>4400</v>
      </c>
      <c r="C2145" s="6" t="s">
        <v>75</v>
      </c>
      <c r="D2145" s="6" t="n">
        <v>30</v>
      </c>
      <c r="E2145" s="6" t="s">
        <v>98</v>
      </c>
      <c r="F2145" s="6" t="s">
        <v>99</v>
      </c>
      <c r="G2145" s="26" t="n">
        <v>45986</v>
      </c>
      <c r="H2145" s="6" t="s">
        <v>92</v>
      </c>
      <c r="I2145" s="26" t="n">
        <f aca="false">_xlfn.MINIFS(Transaction!$C$2:$C$8421,Transaction!$B$2:$B$8421,A2145)</f>
        <v>46042</v>
      </c>
      <c r="J2145" s="26" t="n">
        <f aca="false">_xlfn.MAXIFS(Transaction!$C$2:$C$8421,Transaction!$B$2:$B$8421,A2145)</f>
        <v>46255</v>
      </c>
      <c r="K2145" s="6" t="n">
        <f aca="false">COUNTIF(Transaction!$B$2:$B$8421,A2145)</f>
        <v>11</v>
      </c>
      <c r="L2145" s="10" t="n">
        <f aca="false">SUMIF(Transaction!$B$2:$B$8421,A2145,Transaction!$H$2:$H$8421)</f>
        <v>17293</v>
      </c>
      <c r="M2145" s="6" t="n">
        <f aca="false">Summary!$B$3-J2145</f>
        <v>11</v>
      </c>
      <c r="N2145" s="6" t="str">
        <f aca="false">IF(K2145&gt;1,"Yes","No")</f>
        <v>Yes</v>
      </c>
      <c r="O2145" s="6" t="s">
        <v>45</v>
      </c>
    </row>
    <row r="2146" customFormat="false" ht="15" hidden="false" customHeight="false" outlineLevel="0" collapsed="false">
      <c r="A2146" s="6" t="s">
        <v>4401</v>
      </c>
      <c r="B2146" s="6" t="s">
        <v>4402</v>
      </c>
      <c r="C2146" s="6" t="s">
        <v>85</v>
      </c>
      <c r="D2146" s="6" t="n">
        <v>30</v>
      </c>
      <c r="E2146" s="6" t="s">
        <v>76</v>
      </c>
      <c r="F2146" s="6" t="s">
        <v>77</v>
      </c>
      <c r="G2146" s="26" t="n">
        <v>46089</v>
      </c>
      <c r="H2146" s="6" t="s">
        <v>78</v>
      </c>
      <c r="I2146" s="26" t="n">
        <f aca="false">_xlfn.MINIFS(Transaction!$C$2:$C$8421,Transaction!$B$2:$B$8421,A2146)</f>
        <v>46165</v>
      </c>
      <c r="J2146" s="26" t="n">
        <f aca="false">_xlfn.MAXIFS(Transaction!$C$2:$C$8421,Transaction!$B$2:$B$8421,A2146)</f>
        <v>46165</v>
      </c>
      <c r="K2146" s="6" t="n">
        <f aca="false">COUNTIF(Transaction!$B$2:$B$8421,A2146)</f>
        <v>1</v>
      </c>
      <c r="L2146" s="10" t="n">
        <f aca="false">SUMIF(Transaction!$B$2:$B$8421,A2146,Transaction!$H$2:$H$8421)</f>
        <v>1566</v>
      </c>
      <c r="M2146" s="6" t="n">
        <f aca="false">Summary!$B$3-J2146</f>
        <v>101</v>
      </c>
      <c r="N2146" s="6" t="str">
        <f aca="false">IF(K2146&gt;1,"Yes","No")</f>
        <v>No</v>
      </c>
      <c r="O2146" s="6" t="s">
        <v>48</v>
      </c>
    </row>
    <row r="2147" customFormat="false" ht="15" hidden="false" customHeight="false" outlineLevel="0" collapsed="false">
      <c r="A2147" s="6" t="s">
        <v>4403</v>
      </c>
      <c r="B2147" s="6" t="s">
        <v>4404</v>
      </c>
      <c r="C2147" s="6" t="s">
        <v>75</v>
      </c>
      <c r="D2147" s="6" t="n">
        <v>53</v>
      </c>
      <c r="E2147" s="6" t="s">
        <v>95</v>
      </c>
      <c r="F2147" s="6" t="s">
        <v>95</v>
      </c>
      <c r="G2147" s="26" t="n">
        <v>46092</v>
      </c>
      <c r="H2147" s="6" t="s">
        <v>115</v>
      </c>
      <c r="I2147" s="26" t="n">
        <f aca="false">_xlfn.MINIFS(Transaction!$C$2:$C$8421,Transaction!$B$2:$B$8421,A2147)</f>
        <v>46100</v>
      </c>
      <c r="J2147" s="26" t="n">
        <f aca="false">_xlfn.MAXIFS(Transaction!$C$2:$C$8421,Transaction!$B$2:$B$8421,A2147)</f>
        <v>46100</v>
      </c>
      <c r="K2147" s="6" t="n">
        <f aca="false">COUNTIF(Transaction!$B$2:$B$8421,A2147)</f>
        <v>1</v>
      </c>
      <c r="L2147" s="10" t="n">
        <f aca="false">SUMIF(Transaction!$B$2:$B$8421,A2147,Transaction!$H$2:$H$8421)</f>
        <v>764</v>
      </c>
      <c r="M2147" s="6" t="n">
        <f aca="false">Summary!$B$3-J2147</f>
        <v>166</v>
      </c>
      <c r="N2147" s="6" t="str">
        <f aca="false">IF(K2147&gt;1,"Yes","No")</f>
        <v>No</v>
      </c>
      <c r="O2147" s="6" t="s">
        <v>49</v>
      </c>
    </row>
    <row r="2148" customFormat="false" ht="15" hidden="false" customHeight="false" outlineLevel="0" collapsed="false">
      <c r="A2148" s="6" t="s">
        <v>4405</v>
      </c>
      <c r="B2148" s="6" t="s">
        <v>4406</v>
      </c>
      <c r="C2148" s="6" t="s">
        <v>75</v>
      </c>
      <c r="D2148" s="6" t="n">
        <v>52</v>
      </c>
      <c r="E2148" s="6" t="s">
        <v>176</v>
      </c>
      <c r="F2148" s="6" t="s">
        <v>177</v>
      </c>
      <c r="G2148" s="26" t="n">
        <v>45994</v>
      </c>
      <c r="H2148" s="6" t="s">
        <v>92</v>
      </c>
      <c r="I2148" s="26" t="n">
        <f aca="false">_xlfn.MINIFS(Transaction!$C$2:$C$8421,Transaction!$B$2:$B$8421,A2148)</f>
        <v>46037</v>
      </c>
      <c r="J2148" s="26" t="n">
        <f aca="false">_xlfn.MAXIFS(Transaction!$C$2:$C$8421,Transaction!$B$2:$B$8421,A2148)</f>
        <v>46234</v>
      </c>
      <c r="K2148" s="6" t="n">
        <f aca="false">COUNTIF(Transaction!$B$2:$B$8421,A2148)</f>
        <v>5</v>
      </c>
      <c r="L2148" s="10" t="n">
        <f aca="false">SUMIF(Transaction!$B$2:$B$8421,A2148,Transaction!$H$2:$H$8421)</f>
        <v>17947</v>
      </c>
      <c r="M2148" s="6" t="n">
        <f aca="false">Summary!$B$3-J2148</f>
        <v>32</v>
      </c>
      <c r="N2148" s="6" t="str">
        <f aca="false">IF(K2148&gt;1,"Yes","No")</f>
        <v>Yes</v>
      </c>
      <c r="O2148" s="6" t="s">
        <v>46</v>
      </c>
    </row>
    <row r="2149" customFormat="false" ht="15" hidden="false" customHeight="false" outlineLevel="0" collapsed="false">
      <c r="A2149" s="6" t="s">
        <v>4407</v>
      </c>
      <c r="B2149" s="6" t="s">
        <v>4408</v>
      </c>
      <c r="C2149" s="6" t="s">
        <v>85</v>
      </c>
      <c r="D2149" s="6" t="n">
        <v>33</v>
      </c>
      <c r="E2149" s="6" t="s">
        <v>321</v>
      </c>
      <c r="F2149" s="6" t="s">
        <v>321</v>
      </c>
      <c r="G2149" s="26" t="n">
        <v>46096</v>
      </c>
      <c r="H2149" s="6" t="s">
        <v>78</v>
      </c>
      <c r="I2149" s="26" t="n">
        <f aca="false">_xlfn.MINIFS(Transaction!$C$2:$C$8421,Transaction!$B$2:$B$8421,A2149)</f>
        <v>46179</v>
      </c>
      <c r="J2149" s="26" t="n">
        <f aca="false">_xlfn.MAXIFS(Transaction!$C$2:$C$8421,Transaction!$B$2:$B$8421,A2149)</f>
        <v>46179</v>
      </c>
      <c r="K2149" s="6" t="n">
        <f aca="false">COUNTIF(Transaction!$B$2:$B$8421,A2149)</f>
        <v>1</v>
      </c>
      <c r="L2149" s="10" t="n">
        <f aca="false">SUMIF(Transaction!$B$2:$B$8421,A2149,Transaction!$H$2:$H$8421)</f>
        <v>1406</v>
      </c>
      <c r="M2149" s="6" t="n">
        <f aca="false">Summary!$B$3-J2149</f>
        <v>87</v>
      </c>
      <c r="N2149" s="6" t="str">
        <f aca="false">IF(K2149&gt;1,"Yes","No")</f>
        <v>No</v>
      </c>
      <c r="O2149" s="6" t="s">
        <v>47</v>
      </c>
    </row>
    <row r="2150" customFormat="false" ht="15" hidden="false" customHeight="false" outlineLevel="0" collapsed="false">
      <c r="A2150" s="6" t="s">
        <v>4409</v>
      </c>
      <c r="B2150" s="6" t="s">
        <v>4410</v>
      </c>
      <c r="C2150" s="6" t="s">
        <v>75</v>
      </c>
      <c r="D2150" s="6" t="n">
        <v>30</v>
      </c>
      <c r="E2150" s="6" t="s">
        <v>237</v>
      </c>
      <c r="F2150" s="6" t="s">
        <v>87</v>
      </c>
      <c r="G2150" s="26" t="n">
        <v>45996</v>
      </c>
      <c r="H2150" s="6" t="s">
        <v>88</v>
      </c>
      <c r="I2150" s="26" t="n">
        <f aca="false">_xlfn.MINIFS(Transaction!$C$2:$C$8421,Transaction!$B$2:$B$8421,A2150)</f>
        <v>46061</v>
      </c>
      <c r="J2150" s="26" t="n">
        <f aca="false">_xlfn.MAXIFS(Transaction!$C$2:$C$8421,Transaction!$B$2:$B$8421,A2150)</f>
        <v>46248</v>
      </c>
      <c r="K2150" s="6" t="n">
        <f aca="false">COUNTIF(Transaction!$B$2:$B$8421,A2150)</f>
        <v>10</v>
      </c>
      <c r="L2150" s="10" t="n">
        <f aca="false">SUMIF(Transaction!$B$2:$B$8421,A2150,Transaction!$H$2:$H$8421)</f>
        <v>20587</v>
      </c>
      <c r="M2150" s="6" t="n">
        <f aca="false">Summary!$B$3-J2150</f>
        <v>18</v>
      </c>
      <c r="N2150" s="6" t="str">
        <f aca="false">IF(K2150&gt;1,"Yes","No")</f>
        <v>Yes</v>
      </c>
      <c r="O2150" s="6" t="s">
        <v>45</v>
      </c>
    </row>
    <row r="2151" customFormat="false" ht="15" hidden="false" customHeight="false" outlineLevel="0" collapsed="false">
      <c r="A2151" s="6" t="s">
        <v>4411</v>
      </c>
      <c r="B2151" s="6" t="s">
        <v>4412</v>
      </c>
      <c r="C2151" s="6" t="s">
        <v>75</v>
      </c>
      <c r="D2151" s="6" t="n">
        <v>35</v>
      </c>
      <c r="E2151" s="6" t="s">
        <v>176</v>
      </c>
      <c r="F2151" s="6" t="s">
        <v>177</v>
      </c>
      <c r="G2151" s="26" t="n">
        <v>46045</v>
      </c>
      <c r="H2151" s="6" t="s">
        <v>88</v>
      </c>
      <c r="I2151" s="26" t="n">
        <f aca="false">_xlfn.MINIFS(Transaction!$C$2:$C$8421,Transaction!$B$2:$B$8421,A2151)</f>
        <v>46062</v>
      </c>
      <c r="J2151" s="26" t="n">
        <f aca="false">_xlfn.MAXIFS(Transaction!$C$2:$C$8421,Transaction!$B$2:$B$8421,A2151)</f>
        <v>46184</v>
      </c>
      <c r="K2151" s="6" t="n">
        <f aca="false">COUNTIF(Transaction!$B$2:$B$8421,A2151)</f>
        <v>5</v>
      </c>
      <c r="L2151" s="10" t="n">
        <f aca="false">SUMIF(Transaction!$B$2:$B$8421,A2151,Transaction!$H$2:$H$8421)</f>
        <v>5076</v>
      </c>
      <c r="M2151" s="6" t="n">
        <f aca="false">Summary!$B$3-J2151</f>
        <v>82</v>
      </c>
      <c r="N2151" s="6" t="str">
        <f aca="false">IF(K2151&gt;1,"Yes","No")</f>
        <v>Yes</v>
      </c>
      <c r="O2151" s="6" t="s">
        <v>46</v>
      </c>
    </row>
    <row r="2152" customFormat="false" ht="15" hidden="false" customHeight="false" outlineLevel="0" collapsed="false">
      <c r="A2152" s="6" t="s">
        <v>4413</v>
      </c>
      <c r="B2152" s="6" t="s">
        <v>4414</v>
      </c>
      <c r="C2152" s="6" t="s">
        <v>85</v>
      </c>
      <c r="D2152" s="6" t="n">
        <v>42</v>
      </c>
      <c r="E2152" s="6" t="s">
        <v>134</v>
      </c>
      <c r="F2152" s="6" t="s">
        <v>135</v>
      </c>
      <c r="G2152" s="26" t="n">
        <v>46182</v>
      </c>
      <c r="H2152" s="6" t="s">
        <v>78</v>
      </c>
      <c r="I2152" s="26" t="n">
        <f aca="false">_xlfn.MINIFS(Transaction!$C$2:$C$8421,Transaction!$B$2:$B$8421,A2152)</f>
        <v>46211</v>
      </c>
      <c r="J2152" s="26" t="n">
        <f aca="false">_xlfn.MAXIFS(Transaction!$C$2:$C$8421,Transaction!$B$2:$B$8421,A2152)</f>
        <v>46211</v>
      </c>
      <c r="K2152" s="6" t="n">
        <f aca="false">COUNTIF(Transaction!$B$2:$B$8421,A2152)</f>
        <v>1</v>
      </c>
      <c r="L2152" s="10" t="n">
        <f aca="false">SUMIF(Transaction!$B$2:$B$8421,A2152,Transaction!$H$2:$H$8421)</f>
        <v>822</v>
      </c>
      <c r="M2152" s="6" t="n">
        <f aca="false">Summary!$B$3-J2152</f>
        <v>55</v>
      </c>
      <c r="N2152" s="6" t="str">
        <f aca="false">IF(K2152&gt;1,"Yes","No")</f>
        <v>No</v>
      </c>
      <c r="O2152" s="6" t="s">
        <v>47</v>
      </c>
    </row>
    <row r="2153" customFormat="false" ht="15" hidden="false" customHeight="false" outlineLevel="0" collapsed="false">
      <c r="A2153" s="6" t="s">
        <v>4415</v>
      </c>
      <c r="B2153" s="6" t="s">
        <v>4416</v>
      </c>
      <c r="C2153" s="6" t="s">
        <v>75</v>
      </c>
      <c r="D2153" s="6" t="n">
        <v>23</v>
      </c>
      <c r="E2153" s="6" t="s">
        <v>81</v>
      </c>
      <c r="F2153" s="6" t="s">
        <v>82</v>
      </c>
      <c r="G2153" s="26" t="n">
        <v>46064</v>
      </c>
      <c r="H2153" s="6" t="s">
        <v>115</v>
      </c>
      <c r="I2153" s="26" t="n">
        <f aca="false">_xlfn.MINIFS(Transaction!$C$2:$C$8421,Transaction!$B$2:$B$8421,A2153)</f>
        <v>46123</v>
      </c>
      <c r="J2153" s="26" t="n">
        <f aca="false">_xlfn.MAXIFS(Transaction!$C$2:$C$8421,Transaction!$B$2:$B$8421,A2153)</f>
        <v>46250</v>
      </c>
      <c r="K2153" s="6" t="n">
        <f aca="false">COUNTIF(Transaction!$B$2:$B$8421,A2153)</f>
        <v>4</v>
      </c>
      <c r="L2153" s="10" t="n">
        <f aca="false">SUMIF(Transaction!$B$2:$B$8421,A2153,Transaction!$H$2:$H$8421)</f>
        <v>8434</v>
      </c>
      <c r="M2153" s="6" t="n">
        <f aca="false">Summary!$B$3-J2153</f>
        <v>16</v>
      </c>
      <c r="N2153" s="6" t="str">
        <f aca="false">IF(K2153&gt;1,"Yes","No")</f>
        <v>Yes</v>
      </c>
      <c r="O2153" s="6" t="s">
        <v>46</v>
      </c>
    </row>
    <row r="2154" customFormat="false" ht="15" hidden="false" customHeight="false" outlineLevel="0" collapsed="false">
      <c r="A2154" s="6" t="s">
        <v>4417</v>
      </c>
      <c r="B2154" s="6" t="s">
        <v>4418</v>
      </c>
      <c r="C2154" s="6" t="s">
        <v>75</v>
      </c>
      <c r="D2154" s="6" t="n">
        <v>35</v>
      </c>
      <c r="E2154" s="6" t="s">
        <v>95</v>
      </c>
      <c r="F2154" s="6" t="s">
        <v>95</v>
      </c>
      <c r="G2154" s="26" t="n">
        <v>46141</v>
      </c>
      <c r="H2154" s="6" t="s">
        <v>102</v>
      </c>
      <c r="I2154" s="26" t="n">
        <f aca="false">_xlfn.MINIFS(Transaction!$C$2:$C$8421,Transaction!$B$2:$B$8421,A2154)</f>
        <v>46194</v>
      </c>
      <c r="J2154" s="26" t="n">
        <f aca="false">_xlfn.MAXIFS(Transaction!$C$2:$C$8421,Transaction!$B$2:$B$8421,A2154)</f>
        <v>46194</v>
      </c>
      <c r="K2154" s="6" t="n">
        <f aca="false">COUNTIF(Transaction!$B$2:$B$8421,A2154)</f>
        <v>1</v>
      </c>
      <c r="L2154" s="10" t="n">
        <f aca="false">SUMIF(Transaction!$B$2:$B$8421,A2154,Transaction!$H$2:$H$8421)</f>
        <v>1180</v>
      </c>
      <c r="M2154" s="6" t="n">
        <f aca="false">Summary!$B$3-J2154</f>
        <v>72</v>
      </c>
      <c r="N2154" s="6" t="str">
        <f aca="false">IF(K2154&gt;1,"Yes","No")</f>
        <v>No</v>
      </c>
      <c r="O2154" s="6" t="s">
        <v>47</v>
      </c>
    </row>
    <row r="2155" customFormat="false" ht="15" hidden="false" customHeight="false" outlineLevel="0" collapsed="false">
      <c r="A2155" s="6" t="s">
        <v>4419</v>
      </c>
      <c r="B2155" s="6" t="s">
        <v>4420</v>
      </c>
      <c r="C2155" s="6" t="s">
        <v>85</v>
      </c>
      <c r="D2155" s="6" t="n">
        <v>42</v>
      </c>
      <c r="E2155" s="6" t="s">
        <v>95</v>
      </c>
      <c r="F2155" s="6" t="s">
        <v>95</v>
      </c>
      <c r="G2155" s="26" t="n">
        <v>46011</v>
      </c>
      <c r="H2155" s="6" t="s">
        <v>115</v>
      </c>
      <c r="I2155" s="26" t="n">
        <f aca="false">_xlfn.MINIFS(Transaction!$C$2:$C$8421,Transaction!$B$2:$B$8421,A2155)</f>
        <v>46091</v>
      </c>
      <c r="J2155" s="26" t="n">
        <f aca="false">_xlfn.MAXIFS(Transaction!$C$2:$C$8421,Transaction!$B$2:$B$8421,A2155)</f>
        <v>46248</v>
      </c>
      <c r="K2155" s="6" t="n">
        <f aca="false">COUNTIF(Transaction!$B$2:$B$8421,A2155)</f>
        <v>8</v>
      </c>
      <c r="L2155" s="10" t="n">
        <f aca="false">SUMIF(Transaction!$B$2:$B$8421,A2155,Transaction!$H$2:$H$8421)</f>
        <v>9007</v>
      </c>
      <c r="M2155" s="6" t="n">
        <f aca="false">Summary!$B$3-J2155</f>
        <v>18</v>
      </c>
      <c r="N2155" s="6" t="str">
        <f aca="false">IF(K2155&gt;1,"Yes","No")</f>
        <v>Yes</v>
      </c>
      <c r="O2155" s="6" t="s">
        <v>45</v>
      </c>
    </row>
    <row r="2156" customFormat="false" ht="15" hidden="false" customHeight="false" outlineLevel="0" collapsed="false">
      <c r="A2156" s="6" t="s">
        <v>4421</v>
      </c>
      <c r="B2156" s="6" t="s">
        <v>4422</v>
      </c>
      <c r="C2156" s="6" t="s">
        <v>85</v>
      </c>
      <c r="D2156" s="6" t="n">
        <v>35</v>
      </c>
      <c r="E2156" s="6" t="s">
        <v>146</v>
      </c>
      <c r="F2156" s="6" t="s">
        <v>147</v>
      </c>
      <c r="G2156" s="26" t="n">
        <v>46159</v>
      </c>
      <c r="H2156" s="6" t="s">
        <v>78</v>
      </c>
      <c r="I2156" s="26" t="n">
        <f aca="false">_xlfn.MINIFS(Transaction!$C$2:$C$8421,Transaction!$B$2:$B$8421,A2156)</f>
        <v>46202</v>
      </c>
      <c r="J2156" s="26" t="n">
        <f aca="false">_xlfn.MAXIFS(Transaction!$C$2:$C$8421,Transaction!$B$2:$B$8421,A2156)</f>
        <v>46202</v>
      </c>
      <c r="K2156" s="6" t="n">
        <f aca="false">COUNTIF(Transaction!$B$2:$B$8421,A2156)</f>
        <v>1</v>
      </c>
      <c r="L2156" s="10" t="n">
        <f aca="false">SUMIF(Transaction!$B$2:$B$8421,A2156,Transaction!$H$2:$H$8421)</f>
        <v>2800</v>
      </c>
      <c r="M2156" s="6" t="n">
        <f aca="false">Summary!$B$3-J2156</f>
        <v>64</v>
      </c>
      <c r="N2156" s="6" t="str">
        <f aca="false">IF(K2156&gt;1,"Yes","No")</f>
        <v>No</v>
      </c>
      <c r="O2156" s="6" t="s">
        <v>47</v>
      </c>
    </row>
    <row r="2157" customFormat="false" ht="15" hidden="false" customHeight="false" outlineLevel="0" collapsed="false">
      <c r="A2157" s="6" t="s">
        <v>4423</v>
      </c>
      <c r="B2157" s="6" t="s">
        <v>4424</v>
      </c>
      <c r="C2157" s="6" t="s">
        <v>75</v>
      </c>
      <c r="D2157" s="6" t="n">
        <v>36</v>
      </c>
      <c r="E2157" s="6" t="s">
        <v>237</v>
      </c>
      <c r="F2157" s="6" t="s">
        <v>87</v>
      </c>
      <c r="G2157" s="26" t="n">
        <v>46038</v>
      </c>
      <c r="H2157" s="6" t="s">
        <v>102</v>
      </c>
      <c r="I2157" s="26" t="n">
        <f aca="false">_xlfn.MINIFS(Transaction!$C$2:$C$8421,Transaction!$B$2:$B$8421,A2157)</f>
        <v>46039</v>
      </c>
      <c r="J2157" s="26" t="n">
        <f aca="false">_xlfn.MAXIFS(Transaction!$C$2:$C$8421,Transaction!$B$2:$B$8421,A2157)</f>
        <v>46188</v>
      </c>
      <c r="K2157" s="6" t="n">
        <f aca="false">COUNTIF(Transaction!$B$2:$B$8421,A2157)</f>
        <v>4</v>
      </c>
      <c r="L2157" s="10" t="n">
        <f aca="false">SUMIF(Transaction!$B$2:$B$8421,A2157,Transaction!$H$2:$H$8421)</f>
        <v>8062</v>
      </c>
      <c r="M2157" s="6" t="n">
        <f aca="false">Summary!$B$3-J2157</f>
        <v>78</v>
      </c>
      <c r="N2157" s="6" t="str">
        <f aca="false">IF(K2157&gt;1,"Yes","No")</f>
        <v>Yes</v>
      </c>
      <c r="O2157" s="6" t="s">
        <v>46</v>
      </c>
    </row>
    <row r="2158" customFormat="false" ht="15" hidden="false" customHeight="false" outlineLevel="0" collapsed="false">
      <c r="A2158" s="6" t="s">
        <v>4425</v>
      </c>
      <c r="B2158" s="6" t="s">
        <v>4426</v>
      </c>
      <c r="C2158" s="6" t="s">
        <v>75</v>
      </c>
      <c r="D2158" s="6" t="n">
        <v>18</v>
      </c>
      <c r="E2158" s="6" t="s">
        <v>121</v>
      </c>
      <c r="F2158" s="6" t="s">
        <v>122</v>
      </c>
      <c r="G2158" s="26" t="n">
        <v>46020</v>
      </c>
      <c r="H2158" s="6" t="s">
        <v>115</v>
      </c>
      <c r="I2158" s="26" t="n">
        <f aca="false">_xlfn.MINIFS(Transaction!$C$2:$C$8421,Transaction!$B$2:$B$8421,A2158)</f>
        <v>46063</v>
      </c>
      <c r="J2158" s="26" t="n">
        <f aca="false">_xlfn.MAXIFS(Transaction!$C$2:$C$8421,Transaction!$B$2:$B$8421,A2158)</f>
        <v>46235</v>
      </c>
      <c r="K2158" s="6" t="n">
        <f aca="false">COUNTIF(Transaction!$B$2:$B$8421,A2158)</f>
        <v>4</v>
      </c>
      <c r="L2158" s="10" t="n">
        <f aca="false">SUMIF(Transaction!$B$2:$B$8421,A2158,Transaction!$H$2:$H$8421)</f>
        <v>5225</v>
      </c>
      <c r="M2158" s="6" t="n">
        <f aca="false">Summary!$B$3-J2158</f>
        <v>31</v>
      </c>
      <c r="N2158" s="6" t="str">
        <f aca="false">IF(K2158&gt;1,"Yes","No")</f>
        <v>Yes</v>
      </c>
      <c r="O2158" s="6" t="s">
        <v>46</v>
      </c>
    </row>
    <row r="2159" customFormat="false" ht="15" hidden="false" customHeight="false" outlineLevel="0" collapsed="false">
      <c r="A2159" s="6" t="s">
        <v>4427</v>
      </c>
      <c r="B2159" s="6" t="s">
        <v>4428</v>
      </c>
      <c r="C2159" s="6" t="s">
        <v>85</v>
      </c>
      <c r="D2159" s="6" t="n">
        <v>42</v>
      </c>
      <c r="E2159" s="6" t="s">
        <v>81</v>
      </c>
      <c r="F2159" s="6" t="s">
        <v>82</v>
      </c>
      <c r="G2159" s="26" t="n">
        <v>46175</v>
      </c>
      <c r="H2159" s="6" t="s">
        <v>78</v>
      </c>
      <c r="I2159" s="26" t="n">
        <f aca="false">_xlfn.MINIFS(Transaction!$C$2:$C$8421,Transaction!$B$2:$B$8421,A2159)</f>
        <v>46213</v>
      </c>
      <c r="J2159" s="26" t="n">
        <f aca="false">_xlfn.MAXIFS(Transaction!$C$2:$C$8421,Transaction!$B$2:$B$8421,A2159)</f>
        <v>46213</v>
      </c>
      <c r="K2159" s="6" t="n">
        <f aca="false">COUNTIF(Transaction!$B$2:$B$8421,A2159)</f>
        <v>1</v>
      </c>
      <c r="L2159" s="10" t="n">
        <f aca="false">SUMIF(Transaction!$B$2:$B$8421,A2159,Transaction!$H$2:$H$8421)</f>
        <v>530</v>
      </c>
      <c r="M2159" s="6" t="n">
        <f aca="false">Summary!$B$3-J2159</f>
        <v>53</v>
      </c>
      <c r="N2159" s="6" t="str">
        <f aca="false">IF(K2159&gt;1,"Yes","No")</f>
        <v>No</v>
      </c>
      <c r="O2159" s="6" t="s">
        <v>47</v>
      </c>
    </row>
    <row r="2160" customFormat="false" ht="15" hidden="false" customHeight="false" outlineLevel="0" collapsed="false">
      <c r="A2160" s="6" t="s">
        <v>4429</v>
      </c>
      <c r="B2160" s="6" t="s">
        <v>4430</v>
      </c>
      <c r="C2160" s="6" t="s">
        <v>85</v>
      </c>
      <c r="D2160" s="6" t="n">
        <v>26</v>
      </c>
      <c r="E2160" s="6" t="s">
        <v>76</v>
      </c>
      <c r="F2160" s="6" t="s">
        <v>77</v>
      </c>
      <c r="G2160" s="26" t="n">
        <v>45981</v>
      </c>
      <c r="H2160" s="6" t="s">
        <v>92</v>
      </c>
      <c r="I2160" s="26" t="n">
        <f aca="false">_xlfn.MINIFS(Transaction!$C$2:$C$8421,Transaction!$B$2:$B$8421,A2160)</f>
        <v>46024</v>
      </c>
      <c r="J2160" s="26" t="n">
        <f aca="false">_xlfn.MAXIFS(Transaction!$C$2:$C$8421,Transaction!$B$2:$B$8421,A2160)</f>
        <v>46256</v>
      </c>
      <c r="K2160" s="6" t="n">
        <f aca="false">COUNTIF(Transaction!$B$2:$B$8421,A2160)</f>
        <v>11</v>
      </c>
      <c r="L2160" s="10" t="n">
        <f aca="false">SUMIF(Transaction!$B$2:$B$8421,A2160,Transaction!$H$2:$H$8421)</f>
        <v>44882</v>
      </c>
      <c r="M2160" s="6" t="n">
        <f aca="false">Summary!$B$3-J2160</f>
        <v>10</v>
      </c>
      <c r="N2160" s="6" t="str">
        <f aca="false">IF(K2160&gt;1,"Yes","No")</f>
        <v>Yes</v>
      </c>
      <c r="O2160" s="6" t="s">
        <v>45</v>
      </c>
    </row>
    <row r="2161" customFormat="false" ht="15" hidden="false" customHeight="false" outlineLevel="0" collapsed="false">
      <c r="A2161" s="6" t="s">
        <v>4431</v>
      </c>
      <c r="B2161" s="6" t="s">
        <v>4432</v>
      </c>
      <c r="C2161" s="6" t="s">
        <v>85</v>
      </c>
      <c r="D2161" s="6" t="n">
        <v>18</v>
      </c>
      <c r="E2161" s="6" t="s">
        <v>176</v>
      </c>
      <c r="F2161" s="6" t="s">
        <v>177</v>
      </c>
      <c r="G2161" s="26" t="n">
        <v>46013</v>
      </c>
      <c r="H2161" s="6" t="s">
        <v>92</v>
      </c>
      <c r="I2161" s="26" t="n">
        <f aca="false">_xlfn.MINIFS(Transaction!$C$2:$C$8421,Transaction!$B$2:$B$8421,A2161)</f>
        <v>46049</v>
      </c>
      <c r="J2161" s="26" t="n">
        <f aca="false">_xlfn.MAXIFS(Transaction!$C$2:$C$8421,Transaction!$B$2:$B$8421,A2161)</f>
        <v>46206</v>
      </c>
      <c r="K2161" s="6" t="n">
        <f aca="false">COUNTIF(Transaction!$B$2:$B$8421,A2161)</f>
        <v>4</v>
      </c>
      <c r="L2161" s="10" t="n">
        <f aca="false">SUMIF(Transaction!$B$2:$B$8421,A2161,Transaction!$H$2:$H$8421)</f>
        <v>7097</v>
      </c>
      <c r="M2161" s="6" t="n">
        <f aca="false">Summary!$B$3-J2161</f>
        <v>60</v>
      </c>
      <c r="N2161" s="6" t="str">
        <f aca="false">IF(K2161&gt;1,"Yes","No")</f>
        <v>Yes</v>
      </c>
      <c r="O2161" s="6" t="s">
        <v>46</v>
      </c>
    </row>
    <row r="2162" customFormat="false" ht="15" hidden="false" customHeight="false" outlineLevel="0" collapsed="false">
      <c r="A2162" s="6" t="s">
        <v>4433</v>
      </c>
      <c r="B2162" s="6" t="s">
        <v>4434</v>
      </c>
      <c r="C2162" s="6" t="s">
        <v>85</v>
      </c>
      <c r="D2162" s="6" t="n">
        <v>18</v>
      </c>
      <c r="E2162" s="6" t="s">
        <v>76</v>
      </c>
      <c r="F2162" s="6" t="s">
        <v>77</v>
      </c>
      <c r="G2162" s="26" t="n">
        <v>46056</v>
      </c>
      <c r="H2162" s="6" t="s">
        <v>115</v>
      </c>
      <c r="I2162" s="26" t="n">
        <f aca="false">_xlfn.MINIFS(Transaction!$C$2:$C$8421,Transaction!$B$2:$B$8421,A2162)</f>
        <v>46072</v>
      </c>
      <c r="J2162" s="26" t="n">
        <f aca="false">_xlfn.MAXIFS(Transaction!$C$2:$C$8421,Transaction!$B$2:$B$8421,A2162)</f>
        <v>46199</v>
      </c>
      <c r="K2162" s="6" t="n">
        <f aca="false">COUNTIF(Transaction!$B$2:$B$8421,A2162)</f>
        <v>2</v>
      </c>
      <c r="L2162" s="10" t="n">
        <f aca="false">SUMIF(Transaction!$B$2:$B$8421,A2162,Transaction!$H$2:$H$8421)</f>
        <v>3229</v>
      </c>
      <c r="M2162" s="6" t="n">
        <f aca="false">Summary!$B$3-J2162</f>
        <v>67</v>
      </c>
      <c r="N2162" s="6" t="str">
        <f aca="false">IF(K2162&gt;1,"Yes","No")</f>
        <v>Yes</v>
      </c>
      <c r="O2162" s="6" t="s">
        <v>46</v>
      </c>
    </row>
    <row r="2163" customFormat="false" ht="15" hidden="false" customHeight="false" outlineLevel="0" collapsed="false">
      <c r="A2163" s="6" t="s">
        <v>4435</v>
      </c>
      <c r="B2163" s="6" t="s">
        <v>4436</v>
      </c>
      <c r="C2163" s="6" t="s">
        <v>75</v>
      </c>
      <c r="D2163" s="6" t="n">
        <v>30</v>
      </c>
      <c r="E2163" s="6" t="s">
        <v>81</v>
      </c>
      <c r="F2163" s="6" t="s">
        <v>82</v>
      </c>
      <c r="G2163" s="26" t="n">
        <v>46014</v>
      </c>
      <c r="H2163" s="6" t="s">
        <v>78</v>
      </c>
      <c r="I2163" s="26" t="n">
        <f aca="false">_xlfn.MINIFS(Transaction!$C$2:$C$8421,Transaction!$B$2:$B$8421,A2163)</f>
        <v>46060</v>
      </c>
      <c r="J2163" s="26" t="n">
        <f aca="false">_xlfn.MAXIFS(Transaction!$C$2:$C$8421,Transaction!$B$2:$B$8421,A2163)</f>
        <v>46060</v>
      </c>
      <c r="K2163" s="6" t="n">
        <f aca="false">COUNTIF(Transaction!$B$2:$B$8421,A2163)</f>
        <v>1</v>
      </c>
      <c r="L2163" s="10" t="n">
        <f aca="false">SUMIF(Transaction!$B$2:$B$8421,A2163,Transaction!$H$2:$H$8421)</f>
        <v>3975</v>
      </c>
      <c r="M2163" s="6" t="n">
        <f aca="false">Summary!$B$3-J2163</f>
        <v>206</v>
      </c>
      <c r="N2163" s="6" t="str">
        <f aca="false">IF(K2163&gt;1,"Yes","No")</f>
        <v>No</v>
      </c>
      <c r="O2163" s="6" t="s">
        <v>49</v>
      </c>
    </row>
    <row r="2164" customFormat="false" ht="15" hidden="false" customHeight="false" outlineLevel="0" collapsed="false">
      <c r="A2164" s="6" t="s">
        <v>4437</v>
      </c>
      <c r="B2164" s="6" t="s">
        <v>4438</v>
      </c>
      <c r="C2164" s="6" t="s">
        <v>85</v>
      </c>
      <c r="D2164" s="6" t="n">
        <v>36</v>
      </c>
      <c r="E2164" s="6" t="s">
        <v>95</v>
      </c>
      <c r="F2164" s="6" t="s">
        <v>95</v>
      </c>
      <c r="G2164" s="26" t="n">
        <v>46057</v>
      </c>
      <c r="H2164" s="6" t="s">
        <v>102</v>
      </c>
      <c r="I2164" s="26" t="n">
        <f aca="false">_xlfn.MINIFS(Transaction!$C$2:$C$8421,Transaction!$B$2:$B$8421,A2164)</f>
        <v>46081</v>
      </c>
      <c r="J2164" s="26" t="n">
        <f aca="false">_xlfn.MAXIFS(Transaction!$C$2:$C$8421,Transaction!$B$2:$B$8421,A2164)</f>
        <v>46222</v>
      </c>
      <c r="K2164" s="6" t="n">
        <f aca="false">COUNTIF(Transaction!$B$2:$B$8421,A2164)</f>
        <v>6</v>
      </c>
      <c r="L2164" s="10" t="n">
        <f aca="false">SUMIF(Transaction!$B$2:$B$8421,A2164,Transaction!$H$2:$H$8421)</f>
        <v>11054</v>
      </c>
      <c r="M2164" s="6" t="n">
        <f aca="false">Summary!$B$3-J2164</f>
        <v>44</v>
      </c>
      <c r="N2164" s="6" t="str">
        <f aca="false">IF(K2164&gt;1,"Yes","No")</f>
        <v>Yes</v>
      </c>
      <c r="O2164" s="6" t="s">
        <v>46</v>
      </c>
    </row>
    <row r="2165" customFormat="false" ht="15" hidden="false" customHeight="false" outlineLevel="0" collapsed="false">
      <c r="A2165" s="6" t="s">
        <v>4439</v>
      </c>
      <c r="B2165" s="6" t="s">
        <v>4440</v>
      </c>
      <c r="C2165" s="6" t="s">
        <v>85</v>
      </c>
      <c r="D2165" s="6" t="n">
        <v>31</v>
      </c>
      <c r="E2165" s="6" t="s">
        <v>86</v>
      </c>
      <c r="F2165" s="6" t="s">
        <v>87</v>
      </c>
      <c r="G2165" s="26" t="n">
        <v>46214</v>
      </c>
      <c r="H2165" s="6" t="s">
        <v>115</v>
      </c>
      <c r="I2165" s="26" t="n">
        <f aca="false">_xlfn.MINIFS(Transaction!$C$2:$C$8421,Transaction!$B$2:$B$8421,A2165)</f>
        <v>46224</v>
      </c>
      <c r="J2165" s="26" t="n">
        <f aca="false">_xlfn.MAXIFS(Transaction!$C$2:$C$8421,Transaction!$B$2:$B$8421,A2165)</f>
        <v>46224</v>
      </c>
      <c r="K2165" s="6" t="n">
        <f aca="false">COUNTIF(Transaction!$B$2:$B$8421,A2165)</f>
        <v>1</v>
      </c>
      <c r="L2165" s="10" t="n">
        <f aca="false">SUMIF(Transaction!$B$2:$B$8421,A2165,Transaction!$H$2:$H$8421)</f>
        <v>1207</v>
      </c>
      <c r="M2165" s="6" t="n">
        <f aca="false">Summary!$B$3-J2165</f>
        <v>42</v>
      </c>
      <c r="N2165" s="6" t="str">
        <f aca="false">IF(K2165&gt;1,"Yes","No")</f>
        <v>No</v>
      </c>
      <c r="O2165" s="6" t="s">
        <v>47</v>
      </c>
    </row>
    <row r="2166" customFormat="false" ht="15" hidden="false" customHeight="false" outlineLevel="0" collapsed="false">
      <c r="A2166" s="6" t="s">
        <v>4441</v>
      </c>
      <c r="B2166" s="6" t="s">
        <v>4442</v>
      </c>
      <c r="C2166" s="6" t="s">
        <v>85</v>
      </c>
      <c r="D2166" s="6" t="n">
        <v>49</v>
      </c>
      <c r="E2166" s="6" t="s">
        <v>76</v>
      </c>
      <c r="F2166" s="6" t="s">
        <v>77</v>
      </c>
      <c r="G2166" s="26" t="n">
        <v>46103</v>
      </c>
      <c r="H2166" s="6" t="s">
        <v>88</v>
      </c>
      <c r="I2166" s="26" t="n">
        <f aca="false">_xlfn.MINIFS(Transaction!$C$2:$C$8421,Transaction!$B$2:$B$8421,A2166)</f>
        <v>46182</v>
      </c>
      <c r="J2166" s="26" t="n">
        <f aca="false">_xlfn.MAXIFS(Transaction!$C$2:$C$8421,Transaction!$B$2:$B$8421,A2166)</f>
        <v>46182</v>
      </c>
      <c r="K2166" s="6" t="n">
        <f aca="false">COUNTIF(Transaction!$B$2:$B$8421,A2166)</f>
        <v>1</v>
      </c>
      <c r="L2166" s="10" t="n">
        <f aca="false">SUMIF(Transaction!$B$2:$B$8421,A2166,Transaction!$H$2:$H$8421)</f>
        <v>744</v>
      </c>
      <c r="M2166" s="6" t="n">
        <f aca="false">Summary!$B$3-J2166</f>
        <v>84</v>
      </c>
      <c r="N2166" s="6" t="str">
        <f aca="false">IF(K2166&gt;1,"Yes","No")</f>
        <v>No</v>
      </c>
      <c r="O2166" s="6" t="s">
        <v>47</v>
      </c>
    </row>
    <row r="2167" customFormat="false" ht="15" hidden="false" customHeight="false" outlineLevel="0" collapsed="false">
      <c r="A2167" s="6" t="s">
        <v>4443</v>
      </c>
      <c r="B2167" s="6" t="s">
        <v>4444</v>
      </c>
      <c r="C2167" s="6" t="s">
        <v>85</v>
      </c>
      <c r="D2167" s="6" t="n">
        <v>28</v>
      </c>
      <c r="E2167" s="6" t="s">
        <v>95</v>
      </c>
      <c r="F2167" s="6" t="s">
        <v>95</v>
      </c>
      <c r="G2167" s="26" t="n">
        <v>46062</v>
      </c>
      <c r="H2167" s="6" t="s">
        <v>123</v>
      </c>
      <c r="I2167" s="26" t="n">
        <f aca="false">_xlfn.MINIFS(Transaction!$C$2:$C$8421,Transaction!$B$2:$B$8421,A2167)</f>
        <v>46088</v>
      </c>
      <c r="J2167" s="26" t="n">
        <f aca="false">_xlfn.MAXIFS(Transaction!$C$2:$C$8421,Transaction!$B$2:$B$8421,A2167)</f>
        <v>46088</v>
      </c>
      <c r="K2167" s="6" t="n">
        <f aca="false">COUNTIF(Transaction!$B$2:$B$8421,A2167)</f>
        <v>1</v>
      </c>
      <c r="L2167" s="10" t="n">
        <f aca="false">SUMIF(Transaction!$B$2:$B$8421,A2167,Transaction!$H$2:$H$8421)</f>
        <v>2039</v>
      </c>
      <c r="M2167" s="6" t="n">
        <f aca="false">Summary!$B$3-J2167</f>
        <v>178</v>
      </c>
      <c r="N2167" s="6" t="str">
        <f aca="false">IF(K2167&gt;1,"Yes","No")</f>
        <v>No</v>
      </c>
      <c r="O2167" s="6" t="s">
        <v>49</v>
      </c>
    </row>
    <row r="2168" customFormat="false" ht="15" hidden="false" customHeight="false" outlineLevel="0" collapsed="false">
      <c r="A2168" s="6" t="s">
        <v>4445</v>
      </c>
      <c r="B2168" s="6" t="s">
        <v>4446</v>
      </c>
      <c r="C2168" s="6" t="s">
        <v>85</v>
      </c>
      <c r="D2168" s="6" t="n">
        <v>18</v>
      </c>
      <c r="E2168" s="6" t="s">
        <v>430</v>
      </c>
      <c r="F2168" s="6" t="s">
        <v>99</v>
      </c>
      <c r="G2168" s="26" t="n">
        <v>46002</v>
      </c>
      <c r="H2168" s="6" t="s">
        <v>102</v>
      </c>
      <c r="I2168" s="26" t="n">
        <f aca="false">_xlfn.MINIFS(Transaction!$C$2:$C$8421,Transaction!$B$2:$B$8421,A2168)</f>
        <v>46049</v>
      </c>
      <c r="J2168" s="26" t="n">
        <f aca="false">_xlfn.MAXIFS(Transaction!$C$2:$C$8421,Transaction!$B$2:$B$8421,A2168)</f>
        <v>46205</v>
      </c>
      <c r="K2168" s="6" t="n">
        <f aca="false">COUNTIF(Transaction!$B$2:$B$8421,A2168)</f>
        <v>5</v>
      </c>
      <c r="L2168" s="10" t="n">
        <f aca="false">SUMIF(Transaction!$B$2:$B$8421,A2168,Transaction!$H$2:$H$8421)</f>
        <v>7096</v>
      </c>
      <c r="M2168" s="6" t="n">
        <f aca="false">Summary!$B$3-J2168</f>
        <v>61</v>
      </c>
      <c r="N2168" s="6" t="str">
        <f aca="false">IF(K2168&gt;1,"Yes","No")</f>
        <v>Yes</v>
      </c>
      <c r="O2168" s="6" t="s">
        <v>46</v>
      </c>
    </row>
    <row r="2169" customFormat="false" ht="15" hidden="false" customHeight="false" outlineLevel="0" collapsed="false">
      <c r="A2169" s="6" t="s">
        <v>4447</v>
      </c>
      <c r="B2169" s="6" t="s">
        <v>4448</v>
      </c>
      <c r="C2169" s="6" t="s">
        <v>85</v>
      </c>
      <c r="D2169" s="6" t="n">
        <v>21</v>
      </c>
      <c r="E2169" s="6" t="s">
        <v>321</v>
      </c>
      <c r="F2169" s="6" t="s">
        <v>321</v>
      </c>
      <c r="G2169" s="26" t="n">
        <v>45973</v>
      </c>
      <c r="H2169" s="6" t="s">
        <v>92</v>
      </c>
      <c r="I2169" s="26" t="n">
        <f aca="false">_xlfn.MINIFS(Transaction!$C$2:$C$8421,Transaction!$B$2:$B$8421,A2169)</f>
        <v>46044</v>
      </c>
      <c r="J2169" s="26" t="n">
        <f aca="false">_xlfn.MAXIFS(Transaction!$C$2:$C$8421,Transaction!$B$2:$B$8421,A2169)</f>
        <v>46218</v>
      </c>
      <c r="K2169" s="6" t="n">
        <f aca="false">COUNTIF(Transaction!$B$2:$B$8421,A2169)</f>
        <v>6</v>
      </c>
      <c r="L2169" s="10" t="n">
        <f aca="false">SUMIF(Transaction!$B$2:$B$8421,A2169,Transaction!$H$2:$H$8421)</f>
        <v>10251</v>
      </c>
      <c r="M2169" s="6" t="n">
        <f aca="false">Summary!$B$3-J2169</f>
        <v>48</v>
      </c>
      <c r="N2169" s="6" t="str">
        <f aca="false">IF(K2169&gt;1,"Yes","No")</f>
        <v>Yes</v>
      </c>
      <c r="O2169" s="6" t="s">
        <v>46</v>
      </c>
    </row>
    <row r="2170" customFormat="false" ht="15" hidden="false" customHeight="false" outlineLevel="0" collapsed="false">
      <c r="A2170" s="6" t="s">
        <v>4449</v>
      </c>
      <c r="B2170" s="6" t="s">
        <v>4450</v>
      </c>
      <c r="C2170" s="6" t="s">
        <v>85</v>
      </c>
      <c r="D2170" s="6" t="n">
        <v>47</v>
      </c>
      <c r="E2170" s="6" t="s">
        <v>95</v>
      </c>
      <c r="F2170" s="6" t="s">
        <v>95</v>
      </c>
      <c r="G2170" s="26" t="n">
        <v>46025</v>
      </c>
      <c r="H2170" s="6" t="s">
        <v>78</v>
      </c>
      <c r="I2170" s="26" t="n">
        <f aca="false">_xlfn.MINIFS(Transaction!$C$2:$C$8421,Transaction!$B$2:$B$8421,A2170)</f>
        <v>46063</v>
      </c>
      <c r="J2170" s="26" t="n">
        <f aca="false">_xlfn.MAXIFS(Transaction!$C$2:$C$8421,Transaction!$B$2:$B$8421,A2170)</f>
        <v>46063</v>
      </c>
      <c r="K2170" s="6" t="n">
        <f aca="false">COUNTIF(Transaction!$B$2:$B$8421,A2170)</f>
        <v>1</v>
      </c>
      <c r="L2170" s="10" t="n">
        <f aca="false">SUMIF(Transaction!$B$2:$B$8421,A2170,Transaction!$H$2:$H$8421)</f>
        <v>4692</v>
      </c>
      <c r="M2170" s="6" t="n">
        <f aca="false">Summary!$B$3-J2170</f>
        <v>203</v>
      </c>
      <c r="N2170" s="6" t="str">
        <f aca="false">IF(K2170&gt;1,"Yes","No")</f>
        <v>No</v>
      </c>
      <c r="O2170" s="6" t="s">
        <v>49</v>
      </c>
    </row>
    <row r="2171" customFormat="false" ht="15" hidden="false" customHeight="false" outlineLevel="0" collapsed="false">
      <c r="A2171" s="6" t="s">
        <v>4451</v>
      </c>
      <c r="B2171" s="6" t="s">
        <v>4452</v>
      </c>
      <c r="C2171" s="6" t="s">
        <v>75</v>
      </c>
      <c r="D2171" s="6" t="n">
        <v>33</v>
      </c>
      <c r="E2171" s="6" t="s">
        <v>98</v>
      </c>
      <c r="F2171" s="6" t="s">
        <v>99</v>
      </c>
      <c r="G2171" s="26" t="n">
        <v>46114</v>
      </c>
      <c r="H2171" s="6" t="s">
        <v>88</v>
      </c>
      <c r="I2171" s="26" t="n">
        <f aca="false">_xlfn.MINIFS(Transaction!$C$2:$C$8421,Transaction!$B$2:$B$8421,A2171)</f>
        <v>46137</v>
      </c>
      <c r="J2171" s="26" t="n">
        <f aca="false">_xlfn.MAXIFS(Transaction!$C$2:$C$8421,Transaction!$B$2:$B$8421,A2171)</f>
        <v>46137</v>
      </c>
      <c r="K2171" s="6" t="n">
        <f aca="false">COUNTIF(Transaction!$B$2:$B$8421,A2171)</f>
        <v>1</v>
      </c>
      <c r="L2171" s="10" t="n">
        <f aca="false">SUMIF(Transaction!$B$2:$B$8421,A2171,Transaction!$H$2:$H$8421)</f>
        <v>390</v>
      </c>
      <c r="M2171" s="6" t="n">
        <f aca="false">Summary!$B$3-J2171</f>
        <v>129</v>
      </c>
      <c r="N2171" s="6" t="str">
        <f aca="false">IF(K2171&gt;1,"Yes","No")</f>
        <v>No</v>
      </c>
      <c r="O2171" s="6" t="s">
        <v>48</v>
      </c>
    </row>
    <row r="2172" customFormat="false" ht="15" hidden="false" customHeight="false" outlineLevel="0" collapsed="false">
      <c r="A2172" s="6" t="s">
        <v>4453</v>
      </c>
      <c r="B2172" s="6" t="s">
        <v>4454</v>
      </c>
      <c r="C2172" s="6" t="s">
        <v>75</v>
      </c>
      <c r="D2172" s="6" t="n">
        <v>33</v>
      </c>
      <c r="E2172" s="6" t="s">
        <v>76</v>
      </c>
      <c r="F2172" s="6" t="s">
        <v>77</v>
      </c>
      <c r="G2172" s="26" t="n">
        <v>46176</v>
      </c>
      <c r="H2172" s="6" t="s">
        <v>123</v>
      </c>
      <c r="I2172" s="26" t="n">
        <f aca="false">_xlfn.MINIFS(Transaction!$C$2:$C$8421,Transaction!$B$2:$B$8421,A2172)</f>
        <v>46223</v>
      </c>
      <c r="J2172" s="26" t="n">
        <f aca="false">_xlfn.MAXIFS(Transaction!$C$2:$C$8421,Transaction!$B$2:$B$8421,A2172)</f>
        <v>46223</v>
      </c>
      <c r="K2172" s="6" t="n">
        <f aca="false">COUNTIF(Transaction!$B$2:$B$8421,A2172)</f>
        <v>1</v>
      </c>
      <c r="L2172" s="10" t="n">
        <f aca="false">SUMIF(Transaction!$B$2:$B$8421,A2172,Transaction!$H$2:$H$8421)</f>
        <v>2598</v>
      </c>
      <c r="M2172" s="6" t="n">
        <f aca="false">Summary!$B$3-J2172</f>
        <v>43</v>
      </c>
      <c r="N2172" s="6" t="str">
        <f aca="false">IF(K2172&gt;1,"Yes","No")</f>
        <v>No</v>
      </c>
      <c r="O2172" s="6" t="s">
        <v>47</v>
      </c>
    </row>
    <row r="2173" customFormat="false" ht="15" hidden="false" customHeight="false" outlineLevel="0" collapsed="false">
      <c r="A2173" s="6" t="s">
        <v>4455</v>
      </c>
      <c r="B2173" s="6" t="s">
        <v>4456</v>
      </c>
      <c r="C2173" s="6" t="s">
        <v>75</v>
      </c>
      <c r="D2173" s="6" t="n">
        <v>38</v>
      </c>
      <c r="E2173" s="6" t="s">
        <v>118</v>
      </c>
      <c r="F2173" s="6" t="s">
        <v>77</v>
      </c>
      <c r="G2173" s="26" t="n">
        <v>46222</v>
      </c>
      <c r="H2173" s="6" t="s">
        <v>115</v>
      </c>
      <c r="I2173" s="26" t="n">
        <f aca="false">_xlfn.MINIFS(Transaction!$C$2:$C$8421,Transaction!$B$2:$B$8421,A2173)</f>
        <v>46245</v>
      </c>
      <c r="J2173" s="26" t="n">
        <f aca="false">_xlfn.MAXIFS(Transaction!$C$2:$C$8421,Transaction!$B$2:$B$8421,A2173)</f>
        <v>46245</v>
      </c>
      <c r="K2173" s="6" t="n">
        <f aca="false">COUNTIF(Transaction!$B$2:$B$8421,A2173)</f>
        <v>1</v>
      </c>
      <c r="L2173" s="10" t="n">
        <f aca="false">SUMIF(Transaction!$B$2:$B$8421,A2173,Transaction!$H$2:$H$8421)</f>
        <v>1192</v>
      </c>
      <c r="M2173" s="6" t="n">
        <f aca="false">Summary!$B$3-J2173</f>
        <v>21</v>
      </c>
      <c r="N2173" s="6" t="str">
        <f aca="false">IF(K2173&gt;1,"Yes","No")</f>
        <v>No</v>
      </c>
      <c r="O2173" s="6" t="s">
        <v>47</v>
      </c>
    </row>
    <row r="2174" customFormat="false" ht="15" hidden="false" customHeight="false" outlineLevel="0" collapsed="false">
      <c r="A2174" s="6" t="s">
        <v>4457</v>
      </c>
      <c r="B2174" s="6" t="s">
        <v>4458</v>
      </c>
      <c r="C2174" s="6" t="s">
        <v>85</v>
      </c>
      <c r="D2174" s="6" t="n">
        <v>28</v>
      </c>
      <c r="E2174" s="6" t="s">
        <v>105</v>
      </c>
      <c r="F2174" s="6" t="s">
        <v>106</v>
      </c>
      <c r="G2174" s="26" t="n">
        <v>45984</v>
      </c>
      <c r="H2174" s="6" t="s">
        <v>102</v>
      </c>
      <c r="I2174" s="26" t="n">
        <f aca="false">_xlfn.MINIFS(Transaction!$C$2:$C$8421,Transaction!$B$2:$B$8421,A2174)</f>
        <v>46042</v>
      </c>
      <c r="J2174" s="26" t="n">
        <f aca="false">_xlfn.MAXIFS(Transaction!$C$2:$C$8421,Transaction!$B$2:$B$8421,A2174)</f>
        <v>46219</v>
      </c>
      <c r="K2174" s="6" t="n">
        <f aca="false">COUNTIF(Transaction!$B$2:$B$8421,A2174)</f>
        <v>5</v>
      </c>
      <c r="L2174" s="10" t="n">
        <f aca="false">SUMIF(Transaction!$B$2:$B$8421,A2174,Transaction!$H$2:$H$8421)</f>
        <v>8027</v>
      </c>
      <c r="M2174" s="6" t="n">
        <f aca="false">Summary!$B$3-J2174</f>
        <v>47</v>
      </c>
      <c r="N2174" s="6" t="str">
        <f aca="false">IF(K2174&gt;1,"Yes","No")</f>
        <v>Yes</v>
      </c>
      <c r="O2174" s="6" t="s">
        <v>46</v>
      </c>
    </row>
    <row r="2175" customFormat="false" ht="15" hidden="false" customHeight="false" outlineLevel="0" collapsed="false">
      <c r="A2175" s="6" t="s">
        <v>4459</v>
      </c>
      <c r="B2175" s="6" t="s">
        <v>4460</v>
      </c>
      <c r="C2175" s="6" t="s">
        <v>85</v>
      </c>
      <c r="D2175" s="6" t="n">
        <v>36</v>
      </c>
      <c r="E2175" s="6" t="s">
        <v>81</v>
      </c>
      <c r="F2175" s="6" t="s">
        <v>82</v>
      </c>
      <c r="G2175" s="26" t="n">
        <v>46173</v>
      </c>
      <c r="H2175" s="6" t="s">
        <v>78</v>
      </c>
      <c r="I2175" s="26" t="n">
        <f aca="false">_xlfn.MINIFS(Transaction!$C$2:$C$8421,Transaction!$B$2:$B$8421,A2175)</f>
        <v>46202</v>
      </c>
      <c r="J2175" s="26" t="n">
        <f aca="false">_xlfn.MAXIFS(Transaction!$C$2:$C$8421,Transaction!$B$2:$B$8421,A2175)</f>
        <v>46214</v>
      </c>
      <c r="K2175" s="6" t="n">
        <f aca="false">COUNTIF(Transaction!$B$2:$B$8421,A2175)</f>
        <v>2</v>
      </c>
      <c r="L2175" s="10" t="n">
        <f aca="false">SUMIF(Transaction!$B$2:$B$8421,A2175,Transaction!$H$2:$H$8421)</f>
        <v>3766</v>
      </c>
      <c r="M2175" s="6" t="n">
        <f aca="false">Summary!$B$3-J2175</f>
        <v>52</v>
      </c>
      <c r="N2175" s="6" t="str">
        <f aca="false">IF(K2175&gt;1,"Yes","No")</f>
        <v>Yes</v>
      </c>
      <c r="O2175" s="6" t="s">
        <v>46</v>
      </c>
    </row>
    <row r="2176" customFormat="false" ht="15" hidden="false" customHeight="false" outlineLevel="0" collapsed="false">
      <c r="A2176" s="6" t="s">
        <v>4461</v>
      </c>
      <c r="B2176" s="6" t="s">
        <v>4462</v>
      </c>
      <c r="C2176" s="6" t="s">
        <v>85</v>
      </c>
      <c r="D2176" s="6" t="n">
        <v>22</v>
      </c>
      <c r="E2176" s="6" t="s">
        <v>95</v>
      </c>
      <c r="F2176" s="6" t="s">
        <v>95</v>
      </c>
      <c r="G2176" s="26" t="n">
        <v>46028</v>
      </c>
      <c r="H2176" s="6" t="s">
        <v>78</v>
      </c>
      <c r="I2176" s="26" t="n">
        <f aca="false">_xlfn.MINIFS(Transaction!$C$2:$C$8421,Transaction!$B$2:$B$8421,A2176)</f>
        <v>46103</v>
      </c>
      <c r="J2176" s="26" t="n">
        <f aca="false">_xlfn.MAXIFS(Transaction!$C$2:$C$8421,Transaction!$B$2:$B$8421,A2176)</f>
        <v>46246</v>
      </c>
      <c r="K2176" s="6" t="n">
        <f aca="false">COUNTIF(Transaction!$B$2:$B$8421,A2176)</f>
        <v>5</v>
      </c>
      <c r="L2176" s="10" t="n">
        <f aca="false">SUMIF(Transaction!$B$2:$B$8421,A2176,Transaction!$H$2:$H$8421)</f>
        <v>9473</v>
      </c>
      <c r="M2176" s="6" t="n">
        <f aca="false">Summary!$B$3-J2176</f>
        <v>20</v>
      </c>
      <c r="N2176" s="6" t="str">
        <f aca="false">IF(K2176&gt;1,"Yes","No")</f>
        <v>Yes</v>
      </c>
      <c r="O2176" s="6" t="s">
        <v>46</v>
      </c>
    </row>
    <row r="2177" customFormat="false" ht="15" hidden="false" customHeight="false" outlineLevel="0" collapsed="false">
      <c r="A2177" s="6" t="s">
        <v>4463</v>
      </c>
      <c r="B2177" s="6" t="s">
        <v>4464</v>
      </c>
      <c r="C2177" s="6" t="s">
        <v>75</v>
      </c>
      <c r="D2177" s="6" t="n">
        <v>18</v>
      </c>
      <c r="E2177" s="6" t="s">
        <v>134</v>
      </c>
      <c r="F2177" s="6" t="s">
        <v>135</v>
      </c>
      <c r="G2177" s="26" t="n">
        <v>46028</v>
      </c>
      <c r="H2177" s="6" t="s">
        <v>78</v>
      </c>
      <c r="I2177" s="26" t="n">
        <f aca="false">_xlfn.MINIFS(Transaction!$C$2:$C$8421,Transaction!$B$2:$B$8421,A2177)</f>
        <v>46041</v>
      </c>
      <c r="J2177" s="26" t="n">
        <f aca="false">_xlfn.MAXIFS(Transaction!$C$2:$C$8421,Transaction!$B$2:$B$8421,A2177)</f>
        <v>46041</v>
      </c>
      <c r="K2177" s="6" t="n">
        <f aca="false">COUNTIF(Transaction!$B$2:$B$8421,A2177)</f>
        <v>1</v>
      </c>
      <c r="L2177" s="10" t="n">
        <f aca="false">SUMIF(Transaction!$B$2:$B$8421,A2177,Transaction!$H$2:$H$8421)</f>
        <v>2039</v>
      </c>
      <c r="M2177" s="6" t="n">
        <f aca="false">Summary!$B$3-J2177</f>
        <v>225</v>
      </c>
      <c r="N2177" s="6" t="str">
        <f aca="false">IF(K2177&gt;1,"Yes","No")</f>
        <v>No</v>
      </c>
      <c r="O2177" s="6" t="s">
        <v>49</v>
      </c>
    </row>
    <row r="2178" customFormat="false" ht="15" hidden="false" customHeight="false" outlineLevel="0" collapsed="false">
      <c r="A2178" s="6" t="s">
        <v>4465</v>
      </c>
      <c r="B2178" s="6" t="s">
        <v>4466</v>
      </c>
      <c r="C2178" s="6" t="s">
        <v>85</v>
      </c>
      <c r="D2178" s="6" t="n">
        <v>30</v>
      </c>
      <c r="E2178" s="6" t="s">
        <v>81</v>
      </c>
      <c r="F2178" s="6" t="s">
        <v>82</v>
      </c>
      <c r="G2178" s="26" t="n">
        <v>46008</v>
      </c>
      <c r="H2178" s="6" t="s">
        <v>123</v>
      </c>
      <c r="I2178" s="26" t="n">
        <f aca="false">_xlfn.MINIFS(Transaction!$C$2:$C$8421,Transaction!$B$2:$B$8421,A2178)</f>
        <v>46038</v>
      </c>
      <c r="J2178" s="26" t="n">
        <f aca="false">_xlfn.MAXIFS(Transaction!$C$2:$C$8421,Transaction!$B$2:$B$8421,A2178)</f>
        <v>46258</v>
      </c>
      <c r="K2178" s="6" t="n">
        <f aca="false">COUNTIF(Transaction!$B$2:$B$8421,A2178)</f>
        <v>9</v>
      </c>
      <c r="L2178" s="10" t="n">
        <f aca="false">SUMIF(Transaction!$B$2:$B$8421,A2178,Transaction!$H$2:$H$8421)</f>
        <v>16366</v>
      </c>
      <c r="M2178" s="6" t="n">
        <f aca="false">Summary!$B$3-J2178</f>
        <v>8</v>
      </c>
      <c r="N2178" s="6" t="str">
        <f aca="false">IF(K2178&gt;1,"Yes","No")</f>
        <v>Yes</v>
      </c>
      <c r="O2178" s="6" t="s">
        <v>45</v>
      </c>
    </row>
    <row r="2179" customFormat="false" ht="15" hidden="false" customHeight="false" outlineLevel="0" collapsed="false">
      <c r="A2179" s="6" t="s">
        <v>4467</v>
      </c>
      <c r="B2179" s="6" t="s">
        <v>4468</v>
      </c>
      <c r="C2179" s="6" t="s">
        <v>75</v>
      </c>
      <c r="D2179" s="6" t="n">
        <v>51</v>
      </c>
      <c r="E2179" s="6" t="s">
        <v>264</v>
      </c>
      <c r="F2179" s="6" t="s">
        <v>106</v>
      </c>
      <c r="G2179" s="26" t="n">
        <v>46166</v>
      </c>
      <c r="H2179" s="6" t="s">
        <v>102</v>
      </c>
      <c r="I2179" s="26" t="n">
        <f aca="false">_xlfn.MINIFS(Transaction!$C$2:$C$8421,Transaction!$B$2:$B$8421,A2179)</f>
        <v>46210</v>
      </c>
      <c r="J2179" s="26" t="n">
        <f aca="false">_xlfn.MAXIFS(Transaction!$C$2:$C$8421,Transaction!$B$2:$B$8421,A2179)</f>
        <v>46210</v>
      </c>
      <c r="K2179" s="6" t="n">
        <f aca="false">COUNTIF(Transaction!$B$2:$B$8421,A2179)</f>
        <v>1</v>
      </c>
      <c r="L2179" s="10" t="n">
        <f aca="false">SUMIF(Transaction!$B$2:$B$8421,A2179,Transaction!$H$2:$H$8421)</f>
        <v>1760</v>
      </c>
      <c r="M2179" s="6" t="n">
        <f aca="false">Summary!$B$3-J2179</f>
        <v>56</v>
      </c>
      <c r="N2179" s="6" t="str">
        <f aca="false">IF(K2179&gt;1,"Yes","No")</f>
        <v>No</v>
      </c>
      <c r="O2179" s="6" t="s">
        <v>47</v>
      </c>
    </row>
    <row r="2180" customFormat="false" ht="15" hidden="false" customHeight="false" outlineLevel="0" collapsed="false">
      <c r="A2180" s="6" t="s">
        <v>4469</v>
      </c>
      <c r="B2180" s="6" t="s">
        <v>4470</v>
      </c>
      <c r="C2180" s="6" t="s">
        <v>75</v>
      </c>
      <c r="D2180" s="6" t="n">
        <v>31</v>
      </c>
      <c r="E2180" s="6" t="s">
        <v>86</v>
      </c>
      <c r="F2180" s="6" t="s">
        <v>87</v>
      </c>
      <c r="G2180" s="26" t="n">
        <v>46220</v>
      </c>
      <c r="H2180" s="6" t="s">
        <v>102</v>
      </c>
      <c r="I2180" s="26" t="n">
        <f aca="false">_xlfn.MINIFS(Transaction!$C$2:$C$8421,Transaction!$B$2:$B$8421,A2180)</f>
        <v>46257</v>
      </c>
      <c r="J2180" s="26" t="n">
        <f aca="false">_xlfn.MAXIFS(Transaction!$C$2:$C$8421,Transaction!$B$2:$B$8421,A2180)</f>
        <v>46257</v>
      </c>
      <c r="K2180" s="6" t="n">
        <f aca="false">COUNTIF(Transaction!$B$2:$B$8421,A2180)</f>
        <v>1</v>
      </c>
      <c r="L2180" s="10" t="n">
        <f aca="false">SUMIF(Transaction!$B$2:$B$8421,A2180,Transaction!$H$2:$H$8421)</f>
        <v>1064</v>
      </c>
      <c r="M2180" s="6" t="n">
        <f aca="false">Summary!$B$3-J2180</f>
        <v>9</v>
      </c>
      <c r="N2180" s="6" t="str">
        <f aca="false">IF(K2180&gt;1,"Yes","No")</f>
        <v>No</v>
      </c>
      <c r="O2180" s="6" t="s">
        <v>47</v>
      </c>
    </row>
    <row r="2181" customFormat="false" ht="15" hidden="false" customHeight="false" outlineLevel="0" collapsed="false">
      <c r="A2181" s="6" t="s">
        <v>4471</v>
      </c>
      <c r="B2181" s="6" t="s">
        <v>4472</v>
      </c>
      <c r="C2181" s="6" t="s">
        <v>75</v>
      </c>
      <c r="D2181" s="6" t="n">
        <v>42</v>
      </c>
      <c r="E2181" s="6" t="s">
        <v>134</v>
      </c>
      <c r="F2181" s="6" t="s">
        <v>135</v>
      </c>
      <c r="G2181" s="26" t="n">
        <v>46084</v>
      </c>
      <c r="H2181" s="6" t="s">
        <v>92</v>
      </c>
      <c r="I2181" s="26" t="n">
        <f aca="false">_xlfn.MINIFS(Transaction!$C$2:$C$8421,Transaction!$B$2:$B$8421,A2181)</f>
        <v>46145</v>
      </c>
      <c r="J2181" s="26" t="n">
        <f aca="false">_xlfn.MAXIFS(Transaction!$C$2:$C$8421,Transaction!$B$2:$B$8421,A2181)</f>
        <v>46261</v>
      </c>
      <c r="K2181" s="6" t="n">
        <f aca="false">COUNTIF(Transaction!$B$2:$B$8421,A2181)</f>
        <v>8</v>
      </c>
      <c r="L2181" s="10" t="n">
        <f aca="false">SUMIF(Transaction!$B$2:$B$8421,A2181,Transaction!$H$2:$H$8421)</f>
        <v>13573</v>
      </c>
      <c r="M2181" s="6" t="n">
        <f aca="false">Summary!$B$3-J2181</f>
        <v>5</v>
      </c>
      <c r="N2181" s="6" t="str">
        <f aca="false">IF(K2181&gt;1,"Yes","No")</f>
        <v>Yes</v>
      </c>
      <c r="O2181" s="6" t="s">
        <v>45</v>
      </c>
    </row>
    <row r="2182" customFormat="false" ht="15" hidden="false" customHeight="false" outlineLevel="0" collapsed="false">
      <c r="A2182" s="6" t="s">
        <v>4473</v>
      </c>
      <c r="B2182" s="6" t="s">
        <v>4474</v>
      </c>
      <c r="C2182" s="6" t="s">
        <v>75</v>
      </c>
      <c r="D2182" s="6" t="n">
        <v>18</v>
      </c>
      <c r="E2182" s="6" t="s">
        <v>176</v>
      </c>
      <c r="F2182" s="6" t="s">
        <v>177</v>
      </c>
      <c r="G2182" s="26" t="n">
        <v>46015</v>
      </c>
      <c r="H2182" s="6" t="s">
        <v>102</v>
      </c>
      <c r="I2182" s="26" t="n">
        <f aca="false">_xlfn.MINIFS(Transaction!$C$2:$C$8421,Transaction!$B$2:$B$8421,A2182)</f>
        <v>46026</v>
      </c>
      <c r="J2182" s="26" t="n">
        <f aca="false">_xlfn.MAXIFS(Transaction!$C$2:$C$8421,Transaction!$B$2:$B$8421,A2182)</f>
        <v>46221</v>
      </c>
      <c r="K2182" s="6" t="n">
        <f aca="false">COUNTIF(Transaction!$B$2:$B$8421,A2182)</f>
        <v>5</v>
      </c>
      <c r="L2182" s="10" t="n">
        <f aca="false">SUMIF(Transaction!$B$2:$B$8421,A2182,Transaction!$H$2:$H$8421)</f>
        <v>6938</v>
      </c>
      <c r="M2182" s="6" t="n">
        <f aca="false">Summary!$B$3-J2182</f>
        <v>45</v>
      </c>
      <c r="N2182" s="6" t="str">
        <f aca="false">IF(K2182&gt;1,"Yes","No")</f>
        <v>Yes</v>
      </c>
      <c r="O2182" s="6" t="s">
        <v>46</v>
      </c>
    </row>
    <row r="2183" customFormat="false" ht="15" hidden="false" customHeight="false" outlineLevel="0" collapsed="false">
      <c r="A2183" s="6" t="s">
        <v>4475</v>
      </c>
      <c r="B2183" s="6" t="s">
        <v>4476</v>
      </c>
      <c r="C2183" s="6" t="s">
        <v>75</v>
      </c>
      <c r="D2183" s="6" t="n">
        <v>31</v>
      </c>
      <c r="E2183" s="6" t="s">
        <v>81</v>
      </c>
      <c r="F2183" s="6" t="s">
        <v>82</v>
      </c>
      <c r="G2183" s="26" t="n">
        <v>46099</v>
      </c>
      <c r="H2183" s="6" t="s">
        <v>123</v>
      </c>
      <c r="I2183" s="26" t="n">
        <f aca="false">_xlfn.MINIFS(Transaction!$C$2:$C$8421,Transaction!$B$2:$B$8421,A2183)</f>
        <v>46138</v>
      </c>
      <c r="J2183" s="26" t="n">
        <f aca="false">_xlfn.MAXIFS(Transaction!$C$2:$C$8421,Transaction!$B$2:$B$8421,A2183)</f>
        <v>46138</v>
      </c>
      <c r="K2183" s="6" t="n">
        <f aca="false">COUNTIF(Transaction!$B$2:$B$8421,A2183)</f>
        <v>1</v>
      </c>
      <c r="L2183" s="10" t="n">
        <f aca="false">SUMIF(Transaction!$B$2:$B$8421,A2183,Transaction!$H$2:$H$8421)</f>
        <v>1987</v>
      </c>
      <c r="M2183" s="6" t="n">
        <f aca="false">Summary!$B$3-J2183</f>
        <v>128</v>
      </c>
      <c r="N2183" s="6" t="str">
        <f aca="false">IF(K2183&gt;1,"Yes","No")</f>
        <v>No</v>
      </c>
      <c r="O2183" s="6" t="s">
        <v>48</v>
      </c>
    </row>
    <row r="2184" customFormat="false" ht="15" hidden="false" customHeight="false" outlineLevel="0" collapsed="false">
      <c r="A2184" s="6" t="s">
        <v>4477</v>
      </c>
      <c r="B2184" s="6" t="s">
        <v>4478</v>
      </c>
      <c r="C2184" s="6" t="s">
        <v>75</v>
      </c>
      <c r="D2184" s="6" t="n">
        <v>46</v>
      </c>
      <c r="E2184" s="6" t="s">
        <v>86</v>
      </c>
      <c r="F2184" s="6" t="s">
        <v>87</v>
      </c>
      <c r="G2184" s="26" t="n">
        <v>45988</v>
      </c>
      <c r="H2184" s="6" t="s">
        <v>102</v>
      </c>
      <c r="I2184" s="26" t="n">
        <f aca="false">_xlfn.MINIFS(Transaction!$C$2:$C$8421,Transaction!$B$2:$B$8421,A2184)</f>
        <v>46031</v>
      </c>
      <c r="J2184" s="26" t="n">
        <f aca="false">_xlfn.MAXIFS(Transaction!$C$2:$C$8421,Transaction!$B$2:$B$8421,A2184)</f>
        <v>46254</v>
      </c>
      <c r="K2184" s="6" t="n">
        <f aca="false">COUNTIF(Transaction!$B$2:$B$8421,A2184)</f>
        <v>4</v>
      </c>
      <c r="L2184" s="10" t="n">
        <f aca="false">SUMIF(Transaction!$B$2:$B$8421,A2184,Transaction!$H$2:$H$8421)</f>
        <v>5414</v>
      </c>
      <c r="M2184" s="6" t="n">
        <f aca="false">Summary!$B$3-J2184</f>
        <v>12</v>
      </c>
      <c r="N2184" s="6" t="str">
        <f aca="false">IF(K2184&gt;1,"Yes","No")</f>
        <v>Yes</v>
      </c>
      <c r="O2184" s="6" t="s">
        <v>46</v>
      </c>
    </row>
    <row r="2185" customFormat="false" ht="15" hidden="false" customHeight="false" outlineLevel="0" collapsed="false">
      <c r="A2185" s="6" t="s">
        <v>4479</v>
      </c>
      <c r="B2185" s="6" t="s">
        <v>4480</v>
      </c>
      <c r="C2185" s="6" t="s">
        <v>75</v>
      </c>
      <c r="D2185" s="6" t="n">
        <v>39</v>
      </c>
      <c r="E2185" s="6" t="s">
        <v>176</v>
      </c>
      <c r="F2185" s="6" t="s">
        <v>177</v>
      </c>
      <c r="G2185" s="26" t="n">
        <v>46061</v>
      </c>
      <c r="H2185" s="6" t="s">
        <v>78</v>
      </c>
      <c r="I2185" s="26" t="n">
        <f aca="false">_xlfn.MINIFS(Transaction!$C$2:$C$8421,Transaction!$B$2:$B$8421,A2185)</f>
        <v>46089</v>
      </c>
      <c r="J2185" s="26" t="n">
        <f aca="false">_xlfn.MAXIFS(Transaction!$C$2:$C$8421,Transaction!$B$2:$B$8421,A2185)</f>
        <v>46089</v>
      </c>
      <c r="K2185" s="6" t="n">
        <f aca="false">COUNTIF(Transaction!$B$2:$B$8421,A2185)</f>
        <v>1</v>
      </c>
      <c r="L2185" s="10" t="n">
        <f aca="false">SUMIF(Transaction!$B$2:$B$8421,A2185,Transaction!$H$2:$H$8421)</f>
        <v>1144</v>
      </c>
      <c r="M2185" s="6" t="n">
        <f aca="false">Summary!$B$3-J2185</f>
        <v>177</v>
      </c>
      <c r="N2185" s="6" t="str">
        <f aca="false">IF(K2185&gt;1,"Yes","No")</f>
        <v>No</v>
      </c>
      <c r="O2185" s="6" t="s">
        <v>49</v>
      </c>
    </row>
    <row r="2186" customFormat="false" ht="15" hidden="false" customHeight="false" outlineLevel="0" collapsed="false">
      <c r="A2186" s="6" t="s">
        <v>4481</v>
      </c>
      <c r="B2186" s="6" t="s">
        <v>4482</v>
      </c>
      <c r="C2186" s="6" t="s">
        <v>85</v>
      </c>
      <c r="D2186" s="6" t="n">
        <v>18</v>
      </c>
      <c r="E2186" s="6" t="s">
        <v>81</v>
      </c>
      <c r="F2186" s="6" t="s">
        <v>82</v>
      </c>
      <c r="G2186" s="26" t="n">
        <v>46008</v>
      </c>
      <c r="H2186" s="6" t="s">
        <v>115</v>
      </c>
      <c r="I2186" s="26" t="n">
        <f aca="false">_xlfn.MINIFS(Transaction!$C$2:$C$8421,Transaction!$B$2:$B$8421,A2186)</f>
        <v>46032</v>
      </c>
      <c r="J2186" s="26" t="n">
        <f aca="false">_xlfn.MAXIFS(Transaction!$C$2:$C$8421,Transaction!$B$2:$B$8421,A2186)</f>
        <v>46255</v>
      </c>
      <c r="K2186" s="6" t="n">
        <f aca="false">COUNTIF(Transaction!$B$2:$B$8421,A2186)</f>
        <v>6</v>
      </c>
      <c r="L2186" s="10" t="n">
        <f aca="false">SUMIF(Transaction!$B$2:$B$8421,A2186,Transaction!$H$2:$H$8421)</f>
        <v>27148</v>
      </c>
      <c r="M2186" s="6" t="n">
        <f aca="false">Summary!$B$3-J2186</f>
        <v>11</v>
      </c>
      <c r="N2186" s="6" t="str">
        <f aca="false">IF(K2186&gt;1,"Yes","No")</f>
        <v>Yes</v>
      </c>
      <c r="O2186" s="6" t="s">
        <v>45</v>
      </c>
    </row>
    <row r="2187" customFormat="false" ht="15" hidden="false" customHeight="false" outlineLevel="0" collapsed="false">
      <c r="A2187" s="6" t="s">
        <v>4483</v>
      </c>
      <c r="B2187" s="6" t="s">
        <v>4484</v>
      </c>
      <c r="C2187" s="6" t="s">
        <v>75</v>
      </c>
      <c r="D2187" s="6" t="n">
        <v>21</v>
      </c>
      <c r="E2187" s="6" t="s">
        <v>81</v>
      </c>
      <c r="F2187" s="6" t="s">
        <v>82</v>
      </c>
      <c r="G2187" s="26" t="n">
        <v>45975</v>
      </c>
      <c r="H2187" s="6" t="s">
        <v>78</v>
      </c>
      <c r="I2187" s="26" t="n">
        <f aca="false">_xlfn.MINIFS(Transaction!$C$2:$C$8421,Transaction!$B$2:$B$8421,A2187)</f>
        <v>46029</v>
      </c>
      <c r="J2187" s="26" t="n">
        <f aca="false">_xlfn.MAXIFS(Transaction!$C$2:$C$8421,Transaction!$B$2:$B$8421,A2187)</f>
        <v>46242</v>
      </c>
      <c r="K2187" s="6" t="n">
        <f aca="false">COUNTIF(Transaction!$B$2:$B$8421,A2187)</f>
        <v>6</v>
      </c>
      <c r="L2187" s="10" t="n">
        <f aca="false">SUMIF(Transaction!$B$2:$B$8421,A2187,Transaction!$H$2:$H$8421)</f>
        <v>6528</v>
      </c>
      <c r="M2187" s="6" t="n">
        <f aca="false">Summary!$B$3-J2187</f>
        <v>24</v>
      </c>
      <c r="N2187" s="6" t="str">
        <f aca="false">IF(K2187&gt;1,"Yes","No")</f>
        <v>Yes</v>
      </c>
      <c r="O2187" s="6" t="s">
        <v>46</v>
      </c>
    </row>
    <row r="2188" customFormat="false" ht="15" hidden="false" customHeight="false" outlineLevel="0" collapsed="false">
      <c r="A2188" s="6" t="s">
        <v>4485</v>
      </c>
      <c r="B2188" s="6" t="s">
        <v>4486</v>
      </c>
      <c r="C2188" s="6" t="s">
        <v>75</v>
      </c>
      <c r="D2188" s="6" t="n">
        <v>26</v>
      </c>
      <c r="E2188" s="6" t="s">
        <v>105</v>
      </c>
      <c r="F2188" s="6" t="s">
        <v>106</v>
      </c>
      <c r="G2188" s="26" t="n">
        <v>46144</v>
      </c>
      <c r="H2188" s="6" t="s">
        <v>78</v>
      </c>
      <c r="I2188" s="26" t="n">
        <f aca="false">_xlfn.MINIFS(Transaction!$C$2:$C$8421,Transaction!$B$2:$B$8421,A2188)</f>
        <v>46147</v>
      </c>
      <c r="J2188" s="26" t="n">
        <f aca="false">_xlfn.MAXIFS(Transaction!$C$2:$C$8421,Transaction!$B$2:$B$8421,A2188)</f>
        <v>46147</v>
      </c>
      <c r="K2188" s="6" t="n">
        <f aca="false">COUNTIF(Transaction!$B$2:$B$8421,A2188)</f>
        <v>1</v>
      </c>
      <c r="L2188" s="10" t="n">
        <f aca="false">SUMIF(Transaction!$B$2:$B$8421,A2188,Transaction!$H$2:$H$8421)</f>
        <v>3960</v>
      </c>
      <c r="M2188" s="6" t="n">
        <f aca="false">Summary!$B$3-J2188</f>
        <v>119</v>
      </c>
      <c r="N2188" s="6" t="str">
        <f aca="false">IF(K2188&gt;1,"Yes","No")</f>
        <v>No</v>
      </c>
      <c r="O2188" s="6" t="s">
        <v>48</v>
      </c>
    </row>
    <row r="2189" customFormat="false" ht="15" hidden="false" customHeight="false" outlineLevel="0" collapsed="false">
      <c r="A2189" s="6" t="s">
        <v>4487</v>
      </c>
      <c r="B2189" s="6" t="s">
        <v>4488</v>
      </c>
      <c r="C2189" s="6" t="s">
        <v>75</v>
      </c>
      <c r="D2189" s="6" t="n">
        <v>21</v>
      </c>
      <c r="E2189" s="6" t="s">
        <v>86</v>
      </c>
      <c r="F2189" s="6" t="s">
        <v>87</v>
      </c>
      <c r="G2189" s="26" t="n">
        <v>45942</v>
      </c>
      <c r="H2189" s="6" t="s">
        <v>115</v>
      </c>
      <c r="I2189" s="26" t="n">
        <f aca="false">_xlfn.MINIFS(Transaction!$C$2:$C$8421,Transaction!$B$2:$B$8421,A2189)</f>
        <v>46029</v>
      </c>
      <c r="J2189" s="26" t="n">
        <f aca="false">_xlfn.MAXIFS(Transaction!$C$2:$C$8421,Transaction!$B$2:$B$8421,A2189)</f>
        <v>46207</v>
      </c>
      <c r="K2189" s="6" t="n">
        <f aca="false">COUNTIF(Transaction!$B$2:$B$8421,A2189)</f>
        <v>6</v>
      </c>
      <c r="L2189" s="10" t="n">
        <f aca="false">SUMIF(Transaction!$B$2:$B$8421,A2189,Transaction!$H$2:$H$8421)</f>
        <v>16556</v>
      </c>
      <c r="M2189" s="6" t="n">
        <f aca="false">Summary!$B$3-J2189</f>
        <v>59</v>
      </c>
      <c r="N2189" s="6" t="str">
        <f aca="false">IF(K2189&gt;1,"Yes","No")</f>
        <v>Yes</v>
      </c>
      <c r="O2189" s="6" t="s">
        <v>46</v>
      </c>
    </row>
    <row r="2190" customFormat="false" ht="15" hidden="false" customHeight="false" outlineLevel="0" collapsed="false">
      <c r="A2190" s="6" t="s">
        <v>4489</v>
      </c>
      <c r="B2190" s="6" t="s">
        <v>4490</v>
      </c>
      <c r="C2190" s="6" t="s">
        <v>85</v>
      </c>
      <c r="D2190" s="6" t="n">
        <v>38</v>
      </c>
      <c r="E2190" s="6" t="s">
        <v>81</v>
      </c>
      <c r="F2190" s="6" t="s">
        <v>82</v>
      </c>
      <c r="G2190" s="26" t="n">
        <v>46178</v>
      </c>
      <c r="H2190" s="6" t="s">
        <v>78</v>
      </c>
      <c r="I2190" s="26" t="n">
        <f aca="false">_xlfn.MINIFS(Transaction!$C$2:$C$8421,Transaction!$B$2:$B$8421,A2190)</f>
        <v>46240</v>
      </c>
      <c r="J2190" s="26" t="n">
        <f aca="false">_xlfn.MAXIFS(Transaction!$C$2:$C$8421,Transaction!$B$2:$B$8421,A2190)</f>
        <v>46240</v>
      </c>
      <c r="K2190" s="6" t="n">
        <f aca="false">COUNTIF(Transaction!$B$2:$B$8421,A2190)</f>
        <v>1</v>
      </c>
      <c r="L2190" s="10" t="n">
        <f aca="false">SUMIF(Transaction!$B$2:$B$8421,A2190,Transaction!$H$2:$H$8421)</f>
        <v>13765</v>
      </c>
      <c r="M2190" s="6" t="n">
        <f aca="false">Summary!$B$3-J2190</f>
        <v>26</v>
      </c>
      <c r="N2190" s="6" t="str">
        <f aca="false">IF(K2190&gt;1,"Yes","No")</f>
        <v>No</v>
      </c>
      <c r="O2190" s="6" t="s">
        <v>47</v>
      </c>
    </row>
    <row r="2191" customFormat="false" ht="15" hidden="false" customHeight="false" outlineLevel="0" collapsed="false">
      <c r="A2191" s="6" t="s">
        <v>4491</v>
      </c>
      <c r="B2191" s="6" t="s">
        <v>4492</v>
      </c>
      <c r="C2191" s="6" t="s">
        <v>75</v>
      </c>
      <c r="D2191" s="6" t="n">
        <v>32</v>
      </c>
      <c r="E2191" s="6" t="s">
        <v>176</v>
      </c>
      <c r="F2191" s="6" t="s">
        <v>177</v>
      </c>
      <c r="G2191" s="26" t="n">
        <v>46082</v>
      </c>
      <c r="H2191" s="6" t="s">
        <v>88</v>
      </c>
      <c r="I2191" s="26" t="n">
        <f aca="false">_xlfn.MINIFS(Transaction!$C$2:$C$8421,Transaction!$B$2:$B$8421,A2191)</f>
        <v>46140</v>
      </c>
      <c r="J2191" s="26" t="n">
        <f aca="false">_xlfn.MAXIFS(Transaction!$C$2:$C$8421,Transaction!$B$2:$B$8421,A2191)</f>
        <v>46140</v>
      </c>
      <c r="K2191" s="6" t="n">
        <f aca="false">COUNTIF(Transaction!$B$2:$B$8421,A2191)</f>
        <v>1</v>
      </c>
      <c r="L2191" s="10" t="n">
        <f aca="false">SUMIF(Transaction!$B$2:$B$8421,A2191,Transaction!$H$2:$H$8421)</f>
        <v>977</v>
      </c>
      <c r="M2191" s="6" t="n">
        <f aca="false">Summary!$B$3-J2191</f>
        <v>126</v>
      </c>
      <c r="N2191" s="6" t="str">
        <f aca="false">IF(K2191&gt;1,"Yes","No")</f>
        <v>No</v>
      </c>
      <c r="O2191" s="6" t="s">
        <v>48</v>
      </c>
    </row>
    <row r="2192" customFormat="false" ht="15" hidden="false" customHeight="false" outlineLevel="0" collapsed="false">
      <c r="A2192" s="6" t="s">
        <v>4493</v>
      </c>
      <c r="B2192" s="6" t="s">
        <v>4494</v>
      </c>
      <c r="C2192" s="6" t="s">
        <v>85</v>
      </c>
      <c r="D2192" s="6" t="n">
        <v>42</v>
      </c>
      <c r="E2192" s="6" t="s">
        <v>95</v>
      </c>
      <c r="F2192" s="6" t="s">
        <v>95</v>
      </c>
      <c r="G2192" s="26" t="n">
        <v>46090</v>
      </c>
      <c r="H2192" s="6" t="s">
        <v>92</v>
      </c>
      <c r="I2192" s="26" t="n">
        <f aca="false">_xlfn.MINIFS(Transaction!$C$2:$C$8421,Transaction!$B$2:$B$8421,A2192)</f>
        <v>46123</v>
      </c>
      <c r="J2192" s="26" t="n">
        <f aca="false">_xlfn.MAXIFS(Transaction!$C$2:$C$8421,Transaction!$B$2:$B$8421,A2192)</f>
        <v>46123</v>
      </c>
      <c r="K2192" s="6" t="n">
        <f aca="false">COUNTIF(Transaction!$B$2:$B$8421,A2192)</f>
        <v>1</v>
      </c>
      <c r="L2192" s="10" t="n">
        <f aca="false">SUMIF(Transaction!$B$2:$B$8421,A2192,Transaction!$H$2:$H$8421)</f>
        <v>1651</v>
      </c>
      <c r="M2192" s="6" t="n">
        <f aca="false">Summary!$B$3-J2192</f>
        <v>143</v>
      </c>
      <c r="N2192" s="6" t="str">
        <f aca="false">IF(K2192&gt;1,"Yes","No")</f>
        <v>No</v>
      </c>
      <c r="O2192" s="6" t="s">
        <v>48</v>
      </c>
    </row>
    <row r="2193" customFormat="false" ht="15" hidden="false" customHeight="false" outlineLevel="0" collapsed="false">
      <c r="A2193" s="6" t="s">
        <v>4495</v>
      </c>
      <c r="B2193" s="6" t="s">
        <v>4496</v>
      </c>
      <c r="C2193" s="6" t="s">
        <v>85</v>
      </c>
      <c r="D2193" s="6" t="n">
        <v>35</v>
      </c>
      <c r="E2193" s="6" t="s">
        <v>95</v>
      </c>
      <c r="F2193" s="6" t="s">
        <v>95</v>
      </c>
      <c r="G2193" s="26" t="n">
        <v>46007</v>
      </c>
      <c r="H2193" s="6" t="s">
        <v>102</v>
      </c>
      <c r="I2193" s="26" t="n">
        <f aca="false">_xlfn.MINIFS(Transaction!$C$2:$C$8421,Transaction!$B$2:$B$8421,A2193)</f>
        <v>46025</v>
      </c>
      <c r="J2193" s="26" t="n">
        <f aca="false">_xlfn.MAXIFS(Transaction!$C$2:$C$8421,Transaction!$B$2:$B$8421,A2193)</f>
        <v>46254</v>
      </c>
      <c r="K2193" s="6" t="n">
        <f aca="false">COUNTIF(Transaction!$B$2:$B$8421,A2193)</f>
        <v>10</v>
      </c>
      <c r="L2193" s="10" t="n">
        <f aca="false">SUMIF(Transaction!$B$2:$B$8421,A2193,Transaction!$H$2:$H$8421)</f>
        <v>39538</v>
      </c>
      <c r="M2193" s="6" t="n">
        <f aca="false">Summary!$B$3-J2193</f>
        <v>12</v>
      </c>
      <c r="N2193" s="6" t="str">
        <f aca="false">IF(K2193&gt;1,"Yes","No")</f>
        <v>Yes</v>
      </c>
      <c r="O2193" s="6" t="s">
        <v>45</v>
      </c>
    </row>
    <row r="2194" customFormat="false" ht="15" hidden="false" customHeight="false" outlineLevel="0" collapsed="false">
      <c r="A2194" s="6" t="s">
        <v>4497</v>
      </c>
      <c r="B2194" s="6" t="s">
        <v>4498</v>
      </c>
      <c r="C2194" s="6" t="s">
        <v>85</v>
      </c>
      <c r="D2194" s="6" t="n">
        <v>25</v>
      </c>
      <c r="E2194" s="6" t="s">
        <v>81</v>
      </c>
      <c r="F2194" s="6" t="s">
        <v>82</v>
      </c>
      <c r="G2194" s="26" t="n">
        <v>46147</v>
      </c>
      <c r="H2194" s="6" t="s">
        <v>102</v>
      </c>
      <c r="I2194" s="26" t="n">
        <f aca="false">_xlfn.MINIFS(Transaction!$C$2:$C$8421,Transaction!$B$2:$B$8421,A2194)</f>
        <v>46218</v>
      </c>
      <c r="J2194" s="26" t="n">
        <f aca="false">_xlfn.MAXIFS(Transaction!$C$2:$C$8421,Transaction!$B$2:$B$8421,A2194)</f>
        <v>46218</v>
      </c>
      <c r="K2194" s="6" t="n">
        <f aca="false">COUNTIF(Transaction!$B$2:$B$8421,A2194)</f>
        <v>1</v>
      </c>
      <c r="L2194" s="10" t="n">
        <f aca="false">SUMIF(Transaction!$B$2:$B$8421,A2194,Transaction!$H$2:$H$8421)</f>
        <v>1452</v>
      </c>
      <c r="M2194" s="6" t="n">
        <f aca="false">Summary!$B$3-J2194</f>
        <v>48</v>
      </c>
      <c r="N2194" s="6" t="str">
        <f aca="false">IF(K2194&gt;1,"Yes","No")</f>
        <v>No</v>
      </c>
      <c r="O2194" s="6" t="s">
        <v>47</v>
      </c>
    </row>
    <row r="2195" customFormat="false" ht="15" hidden="false" customHeight="false" outlineLevel="0" collapsed="false">
      <c r="A2195" s="6" t="s">
        <v>4499</v>
      </c>
      <c r="B2195" s="6" t="s">
        <v>4500</v>
      </c>
      <c r="C2195" s="6" t="s">
        <v>85</v>
      </c>
      <c r="D2195" s="6" t="n">
        <v>31</v>
      </c>
      <c r="E2195" s="6" t="s">
        <v>105</v>
      </c>
      <c r="F2195" s="6" t="s">
        <v>106</v>
      </c>
      <c r="G2195" s="26" t="n">
        <v>46177</v>
      </c>
      <c r="H2195" s="6" t="s">
        <v>115</v>
      </c>
      <c r="I2195" s="26" t="n">
        <f aca="false">_xlfn.MINIFS(Transaction!$C$2:$C$8421,Transaction!$B$2:$B$8421,A2195)</f>
        <v>46203</v>
      </c>
      <c r="J2195" s="26" t="n">
        <f aca="false">_xlfn.MAXIFS(Transaction!$C$2:$C$8421,Transaction!$B$2:$B$8421,A2195)</f>
        <v>46203</v>
      </c>
      <c r="K2195" s="6" t="n">
        <f aca="false">COUNTIF(Transaction!$B$2:$B$8421,A2195)</f>
        <v>1</v>
      </c>
      <c r="L2195" s="10" t="n">
        <f aca="false">SUMIF(Transaction!$B$2:$B$8421,A2195,Transaction!$H$2:$H$8421)</f>
        <v>782</v>
      </c>
      <c r="M2195" s="6" t="n">
        <f aca="false">Summary!$B$3-J2195</f>
        <v>63</v>
      </c>
      <c r="N2195" s="6" t="str">
        <f aca="false">IF(K2195&gt;1,"Yes","No")</f>
        <v>No</v>
      </c>
      <c r="O2195" s="6" t="s">
        <v>47</v>
      </c>
    </row>
    <row r="2196" customFormat="false" ht="15" hidden="false" customHeight="false" outlineLevel="0" collapsed="false">
      <c r="A2196" s="6" t="s">
        <v>4501</v>
      </c>
      <c r="B2196" s="6" t="s">
        <v>4502</v>
      </c>
      <c r="C2196" s="6" t="s">
        <v>85</v>
      </c>
      <c r="D2196" s="6" t="n">
        <v>24</v>
      </c>
      <c r="E2196" s="6" t="s">
        <v>76</v>
      </c>
      <c r="F2196" s="6" t="s">
        <v>77</v>
      </c>
      <c r="G2196" s="26" t="n">
        <v>46131</v>
      </c>
      <c r="H2196" s="6" t="s">
        <v>123</v>
      </c>
      <c r="I2196" s="26" t="n">
        <f aca="false">_xlfn.MINIFS(Transaction!$C$2:$C$8421,Transaction!$B$2:$B$8421,A2196)</f>
        <v>46165</v>
      </c>
      <c r="J2196" s="26" t="n">
        <f aca="false">_xlfn.MAXIFS(Transaction!$C$2:$C$8421,Transaction!$B$2:$B$8421,A2196)</f>
        <v>46240</v>
      </c>
      <c r="K2196" s="6" t="n">
        <f aca="false">COUNTIF(Transaction!$B$2:$B$8421,A2196)</f>
        <v>6</v>
      </c>
      <c r="L2196" s="10" t="n">
        <f aca="false">SUMIF(Transaction!$B$2:$B$8421,A2196,Transaction!$H$2:$H$8421)</f>
        <v>8204</v>
      </c>
      <c r="M2196" s="6" t="n">
        <f aca="false">Summary!$B$3-J2196</f>
        <v>26</v>
      </c>
      <c r="N2196" s="6" t="str">
        <f aca="false">IF(K2196&gt;1,"Yes","No")</f>
        <v>Yes</v>
      </c>
      <c r="O2196" s="6" t="s">
        <v>46</v>
      </c>
    </row>
    <row r="2197" customFormat="false" ht="15" hidden="false" customHeight="false" outlineLevel="0" collapsed="false">
      <c r="A2197" s="6" t="s">
        <v>4503</v>
      </c>
      <c r="B2197" s="6" t="s">
        <v>4504</v>
      </c>
      <c r="C2197" s="6" t="s">
        <v>75</v>
      </c>
      <c r="D2197" s="6" t="n">
        <v>40</v>
      </c>
      <c r="E2197" s="6" t="s">
        <v>81</v>
      </c>
      <c r="F2197" s="6" t="s">
        <v>82</v>
      </c>
      <c r="G2197" s="26" t="n">
        <v>45995</v>
      </c>
      <c r="H2197" s="6" t="s">
        <v>78</v>
      </c>
      <c r="I2197" s="26" t="n">
        <f aca="false">_xlfn.MINIFS(Transaction!$C$2:$C$8421,Transaction!$B$2:$B$8421,A2197)</f>
        <v>46031</v>
      </c>
      <c r="J2197" s="26" t="n">
        <f aca="false">_xlfn.MAXIFS(Transaction!$C$2:$C$8421,Transaction!$B$2:$B$8421,A2197)</f>
        <v>46201</v>
      </c>
      <c r="K2197" s="6" t="n">
        <f aca="false">COUNTIF(Transaction!$B$2:$B$8421,A2197)</f>
        <v>7</v>
      </c>
      <c r="L2197" s="10" t="n">
        <f aca="false">SUMIF(Transaction!$B$2:$B$8421,A2197,Transaction!$H$2:$H$8421)</f>
        <v>14447</v>
      </c>
      <c r="M2197" s="6" t="n">
        <f aca="false">Summary!$B$3-J2197</f>
        <v>65</v>
      </c>
      <c r="N2197" s="6" t="str">
        <f aca="false">IF(K2197&gt;1,"Yes","No")</f>
        <v>Yes</v>
      </c>
      <c r="O2197" s="6" t="s">
        <v>46</v>
      </c>
    </row>
    <row r="2198" customFormat="false" ht="15" hidden="false" customHeight="false" outlineLevel="0" collapsed="false">
      <c r="A2198" s="6" t="s">
        <v>4505</v>
      </c>
      <c r="B2198" s="6" t="s">
        <v>4506</v>
      </c>
      <c r="C2198" s="6" t="s">
        <v>85</v>
      </c>
      <c r="D2198" s="6" t="n">
        <v>31</v>
      </c>
      <c r="E2198" s="6" t="s">
        <v>121</v>
      </c>
      <c r="F2198" s="6" t="s">
        <v>122</v>
      </c>
      <c r="G2198" s="26" t="n">
        <v>45999</v>
      </c>
      <c r="H2198" s="6" t="s">
        <v>115</v>
      </c>
      <c r="I2198" s="26" t="n">
        <f aca="false">_xlfn.MINIFS(Transaction!$C$2:$C$8421,Transaction!$B$2:$B$8421,A2198)</f>
        <v>46028</v>
      </c>
      <c r="J2198" s="26" t="n">
        <f aca="false">_xlfn.MAXIFS(Transaction!$C$2:$C$8421,Transaction!$B$2:$B$8421,A2198)</f>
        <v>46246</v>
      </c>
      <c r="K2198" s="6" t="n">
        <f aca="false">COUNTIF(Transaction!$B$2:$B$8421,A2198)</f>
        <v>9</v>
      </c>
      <c r="L2198" s="10" t="n">
        <f aca="false">SUMIF(Transaction!$B$2:$B$8421,A2198,Transaction!$H$2:$H$8421)</f>
        <v>9962</v>
      </c>
      <c r="M2198" s="6" t="n">
        <f aca="false">Summary!$B$3-J2198</f>
        <v>20</v>
      </c>
      <c r="N2198" s="6" t="str">
        <f aca="false">IF(K2198&gt;1,"Yes","No")</f>
        <v>Yes</v>
      </c>
      <c r="O2198" s="6" t="s">
        <v>45</v>
      </c>
    </row>
    <row r="2199" customFormat="false" ht="15" hidden="false" customHeight="false" outlineLevel="0" collapsed="false">
      <c r="A2199" s="6" t="s">
        <v>4507</v>
      </c>
      <c r="B2199" s="6" t="s">
        <v>4508</v>
      </c>
      <c r="C2199" s="6" t="s">
        <v>85</v>
      </c>
      <c r="D2199" s="6" t="n">
        <v>21</v>
      </c>
      <c r="E2199" s="6" t="s">
        <v>76</v>
      </c>
      <c r="F2199" s="6" t="s">
        <v>77</v>
      </c>
      <c r="G2199" s="26" t="n">
        <v>45982</v>
      </c>
      <c r="H2199" s="6" t="s">
        <v>115</v>
      </c>
      <c r="I2199" s="26" t="n">
        <f aca="false">_xlfn.MINIFS(Transaction!$C$2:$C$8421,Transaction!$B$2:$B$8421,A2199)</f>
        <v>46040</v>
      </c>
      <c r="J2199" s="26" t="n">
        <f aca="false">_xlfn.MAXIFS(Transaction!$C$2:$C$8421,Transaction!$B$2:$B$8421,A2199)</f>
        <v>46040</v>
      </c>
      <c r="K2199" s="6" t="n">
        <f aca="false">COUNTIF(Transaction!$B$2:$B$8421,A2199)</f>
        <v>1</v>
      </c>
      <c r="L2199" s="10" t="n">
        <f aca="false">SUMIF(Transaction!$B$2:$B$8421,A2199,Transaction!$H$2:$H$8421)</f>
        <v>502</v>
      </c>
      <c r="M2199" s="6" t="n">
        <f aca="false">Summary!$B$3-J2199</f>
        <v>226</v>
      </c>
      <c r="N2199" s="6" t="str">
        <f aca="false">IF(K2199&gt;1,"Yes","No")</f>
        <v>No</v>
      </c>
      <c r="O2199" s="6" t="s">
        <v>49</v>
      </c>
    </row>
    <row r="2200" customFormat="false" ht="15" hidden="false" customHeight="false" outlineLevel="0" collapsed="false">
      <c r="A2200" s="6" t="s">
        <v>4509</v>
      </c>
      <c r="B2200" s="6" t="s">
        <v>4510</v>
      </c>
      <c r="C2200" s="6" t="s">
        <v>85</v>
      </c>
      <c r="D2200" s="6" t="n">
        <v>23</v>
      </c>
      <c r="E2200" s="6" t="s">
        <v>91</v>
      </c>
      <c r="F2200" s="6" t="s">
        <v>77</v>
      </c>
      <c r="G2200" s="26" t="n">
        <v>46027</v>
      </c>
      <c r="H2200" s="6" t="s">
        <v>92</v>
      </c>
      <c r="I2200" s="26" t="n">
        <f aca="false">_xlfn.MINIFS(Transaction!$C$2:$C$8421,Transaction!$B$2:$B$8421,A2200)</f>
        <v>46061</v>
      </c>
      <c r="J2200" s="26" t="n">
        <f aca="false">_xlfn.MAXIFS(Transaction!$C$2:$C$8421,Transaction!$B$2:$B$8421,A2200)</f>
        <v>46255</v>
      </c>
      <c r="K2200" s="6" t="n">
        <f aca="false">COUNTIF(Transaction!$B$2:$B$8421,A2200)</f>
        <v>10</v>
      </c>
      <c r="L2200" s="10" t="n">
        <f aca="false">SUMIF(Transaction!$B$2:$B$8421,A2200,Transaction!$H$2:$H$8421)</f>
        <v>57699</v>
      </c>
      <c r="M2200" s="6" t="n">
        <f aca="false">Summary!$B$3-J2200</f>
        <v>11</v>
      </c>
      <c r="N2200" s="6" t="str">
        <f aca="false">IF(K2200&gt;1,"Yes","No")</f>
        <v>Yes</v>
      </c>
      <c r="O2200" s="6" t="s">
        <v>45</v>
      </c>
    </row>
    <row r="2201" customFormat="false" ht="15" hidden="false" customHeight="false" outlineLevel="0" collapsed="false">
      <c r="A2201" s="6" t="s">
        <v>4511</v>
      </c>
      <c r="B2201" s="6" t="s">
        <v>4512</v>
      </c>
      <c r="C2201" s="6" t="s">
        <v>75</v>
      </c>
      <c r="D2201" s="6" t="n">
        <v>28</v>
      </c>
      <c r="E2201" s="6" t="s">
        <v>134</v>
      </c>
      <c r="F2201" s="6" t="s">
        <v>135</v>
      </c>
      <c r="G2201" s="26" t="n">
        <v>46163</v>
      </c>
      <c r="H2201" s="6" t="s">
        <v>102</v>
      </c>
      <c r="I2201" s="26" t="n">
        <f aca="false">_xlfn.MINIFS(Transaction!$C$2:$C$8421,Transaction!$B$2:$B$8421,A2201)</f>
        <v>46163</v>
      </c>
      <c r="J2201" s="26" t="n">
        <f aca="false">_xlfn.MAXIFS(Transaction!$C$2:$C$8421,Transaction!$B$2:$B$8421,A2201)</f>
        <v>46225</v>
      </c>
      <c r="K2201" s="6" t="n">
        <f aca="false">COUNTIF(Transaction!$B$2:$B$8421,A2201)</f>
        <v>4</v>
      </c>
      <c r="L2201" s="10" t="n">
        <f aca="false">SUMIF(Transaction!$B$2:$B$8421,A2201,Transaction!$H$2:$H$8421)</f>
        <v>12163</v>
      </c>
      <c r="M2201" s="6" t="n">
        <f aca="false">Summary!$B$3-J2201</f>
        <v>41</v>
      </c>
      <c r="N2201" s="6" t="str">
        <f aca="false">IF(K2201&gt;1,"Yes","No")</f>
        <v>Yes</v>
      </c>
      <c r="O2201" s="6" t="s">
        <v>46</v>
      </c>
    </row>
    <row r="2202" customFormat="false" ht="15" hidden="false" customHeight="false" outlineLevel="0" collapsed="false">
      <c r="A2202" s="6" t="s">
        <v>4513</v>
      </c>
      <c r="B2202" s="6" t="s">
        <v>4514</v>
      </c>
      <c r="C2202" s="6" t="s">
        <v>85</v>
      </c>
      <c r="D2202" s="6" t="n">
        <v>26</v>
      </c>
      <c r="E2202" s="6" t="s">
        <v>176</v>
      </c>
      <c r="F2202" s="6" t="s">
        <v>177</v>
      </c>
      <c r="G2202" s="26" t="n">
        <v>46137</v>
      </c>
      <c r="H2202" s="6" t="s">
        <v>115</v>
      </c>
      <c r="I2202" s="26" t="n">
        <f aca="false">_xlfn.MINIFS(Transaction!$C$2:$C$8421,Transaction!$B$2:$B$8421,A2202)</f>
        <v>46224</v>
      </c>
      <c r="J2202" s="26" t="n">
        <f aca="false">_xlfn.MAXIFS(Transaction!$C$2:$C$8421,Transaction!$B$2:$B$8421,A2202)</f>
        <v>46224</v>
      </c>
      <c r="K2202" s="6" t="n">
        <f aca="false">COUNTIF(Transaction!$B$2:$B$8421,A2202)</f>
        <v>1</v>
      </c>
      <c r="L2202" s="10" t="n">
        <f aca="false">SUMIF(Transaction!$B$2:$B$8421,A2202,Transaction!$H$2:$H$8421)</f>
        <v>1080</v>
      </c>
      <c r="M2202" s="6" t="n">
        <f aca="false">Summary!$B$3-J2202</f>
        <v>42</v>
      </c>
      <c r="N2202" s="6" t="str">
        <f aca="false">IF(K2202&gt;1,"Yes","No")</f>
        <v>No</v>
      </c>
      <c r="O2202" s="6" t="s">
        <v>47</v>
      </c>
    </row>
    <row r="2203" customFormat="false" ht="15" hidden="false" customHeight="false" outlineLevel="0" collapsed="false">
      <c r="A2203" s="6" t="s">
        <v>4515</v>
      </c>
      <c r="B2203" s="6" t="s">
        <v>4516</v>
      </c>
      <c r="C2203" s="6" t="s">
        <v>75</v>
      </c>
      <c r="D2203" s="6" t="n">
        <v>45</v>
      </c>
      <c r="E2203" s="6" t="s">
        <v>146</v>
      </c>
      <c r="F2203" s="6" t="s">
        <v>147</v>
      </c>
      <c r="G2203" s="26" t="n">
        <v>46022</v>
      </c>
      <c r="H2203" s="6" t="s">
        <v>78</v>
      </c>
      <c r="I2203" s="26" t="n">
        <f aca="false">_xlfn.MINIFS(Transaction!$C$2:$C$8421,Transaction!$B$2:$B$8421,A2203)</f>
        <v>46058</v>
      </c>
      <c r="J2203" s="26" t="n">
        <f aca="false">_xlfn.MAXIFS(Transaction!$C$2:$C$8421,Transaction!$B$2:$B$8421,A2203)</f>
        <v>46058</v>
      </c>
      <c r="K2203" s="6" t="n">
        <f aca="false">COUNTIF(Transaction!$B$2:$B$8421,A2203)</f>
        <v>1</v>
      </c>
      <c r="L2203" s="10" t="n">
        <f aca="false">SUMIF(Transaction!$B$2:$B$8421,A2203,Transaction!$H$2:$H$8421)</f>
        <v>1856</v>
      </c>
      <c r="M2203" s="6" t="n">
        <f aca="false">Summary!$B$3-J2203</f>
        <v>208</v>
      </c>
      <c r="N2203" s="6" t="str">
        <f aca="false">IF(K2203&gt;1,"Yes","No")</f>
        <v>No</v>
      </c>
      <c r="O2203" s="6" t="s">
        <v>49</v>
      </c>
    </row>
    <row r="2204" customFormat="false" ht="15" hidden="false" customHeight="false" outlineLevel="0" collapsed="false">
      <c r="A2204" s="6" t="s">
        <v>4517</v>
      </c>
      <c r="B2204" s="6" t="s">
        <v>4518</v>
      </c>
      <c r="C2204" s="6" t="s">
        <v>85</v>
      </c>
      <c r="D2204" s="6" t="n">
        <v>27</v>
      </c>
      <c r="E2204" s="6" t="s">
        <v>180</v>
      </c>
      <c r="F2204" s="6" t="s">
        <v>181</v>
      </c>
      <c r="G2204" s="26" t="n">
        <v>45993</v>
      </c>
      <c r="H2204" s="6" t="s">
        <v>102</v>
      </c>
      <c r="I2204" s="26" t="n">
        <f aca="false">_xlfn.MINIFS(Transaction!$C$2:$C$8421,Transaction!$B$2:$B$8421,A2204)</f>
        <v>46028</v>
      </c>
      <c r="J2204" s="26" t="n">
        <f aca="false">_xlfn.MAXIFS(Transaction!$C$2:$C$8421,Transaction!$B$2:$B$8421,A2204)</f>
        <v>46230</v>
      </c>
      <c r="K2204" s="6" t="n">
        <f aca="false">COUNTIF(Transaction!$B$2:$B$8421,A2204)</f>
        <v>5</v>
      </c>
      <c r="L2204" s="10" t="n">
        <f aca="false">SUMIF(Transaction!$B$2:$B$8421,A2204,Transaction!$H$2:$H$8421)</f>
        <v>10125</v>
      </c>
      <c r="M2204" s="6" t="n">
        <f aca="false">Summary!$B$3-J2204</f>
        <v>36</v>
      </c>
      <c r="N2204" s="6" t="str">
        <f aca="false">IF(K2204&gt;1,"Yes","No")</f>
        <v>Yes</v>
      </c>
      <c r="O2204" s="6" t="s">
        <v>46</v>
      </c>
    </row>
    <row r="2205" customFormat="false" ht="15" hidden="false" customHeight="false" outlineLevel="0" collapsed="false">
      <c r="A2205" s="6" t="s">
        <v>4519</v>
      </c>
      <c r="B2205" s="6" t="s">
        <v>4520</v>
      </c>
      <c r="C2205" s="6" t="s">
        <v>85</v>
      </c>
      <c r="D2205" s="6" t="n">
        <v>28</v>
      </c>
      <c r="E2205" s="6" t="s">
        <v>91</v>
      </c>
      <c r="F2205" s="6" t="s">
        <v>77</v>
      </c>
      <c r="G2205" s="26" t="n">
        <v>45974</v>
      </c>
      <c r="H2205" s="6" t="s">
        <v>115</v>
      </c>
      <c r="I2205" s="26" t="n">
        <f aca="false">_xlfn.MINIFS(Transaction!$C$2:$C$8421,Transaction!$B$2:$B$8421,A2205)</f>
        <v>46039</v>
      </c>
      <c r="J2205" s="26" t="n">
        <f aca="false">_xlfn.MAXIFS(Transaction!$C$2:$C$8421,Transaction!$B$2:$B$8421,A2205)</f>
        <v>46255</v>
      </c>
      <c r="K2205" s="6" t="n">
        <f aca="false">COUNTIF(Transaction!$B$2:$B$8421,A2205)</f>
        <v>6</v>
      </c>
      <c r="L2205" s="10" t="n">
        <f aca="false">SUMIF(Transaction!$B$2:$B$8421,A2205,Transaction!$H$2:$H$8421)</f>
        <v>8286</v>
      </c>
      <c r="M2205" s="6" t="n">
        <f aca="false">Summary!$B$3-J2205</f>
        <v>11</v>
      </c>
      <c r="N2205" s="6" t="str">
        <f aca="false">IF(K2205&gt;1,"Yes","No")</f>
        <v>Yes</v>
      </c>
      <c r="O2205" s="6" t="s">
        <v>46</v>
      </c>
    </row>
    <row r="2206" customFormat="false" ht="15" hidden="false" customHeight="false" outlineLevel="0" collapsed="false">
      <c r="A2206" s="6" t="s">
        <v>4521</v>
      </c>
      <c r="B2206" s="6" t="s">
        <v>4522</v>
      </c>
      <c r="C2206" s="6" t="s">
        <v>75</v>
      </c>
      <c r="D2206" s="6" t="n">
        <v>48</v>
      </c>
      <c r="E2206" s="6" t="s">
        <v>81</v>
      </c>
      <c r="F2206" s="6" t="s">
        <v>82</v>
      </c>
      <c r="G2206" s="26" t="n">
        <v>46003</v>
      </c>
      <c r="H2206" s="6" t="s">
        <v>115</v>
      </c>
      <c r="I2206" s="26" t="n">
        <f aca="false">_xlfn.MINIFS(Transaction!$C$2:$C$8421,Transaction!$B$2:$B$8421,A2206)</f>
        <v>46026</v>
      </c>
      <c r="J2206" s="26" t="n">
        <f aca="false">_xlfn.MAXIFS(Transaction!$C$2:$C$8421,Transaction!$B$2:$B$8421,A2206)</f>
        <v>46262</v>
      </c>
      <c r="K2206" s="6" t="n">
        <f aca="false">COUNTIF(Transaction!$B$2:$B$8421,A2206)</f>
        <v>9</v>
      </c>
      <c r="L2206" s="10" t="n">
        <f aca="false">SUMIF(Transaction!$B$2:$B$8421,A2206,Transaction!$H$2:$H$8421)</f>
        <v>31553</v>
      </c>
      <c r="M2206" s="6" t="n">
        <f aca="false">Summary!$B$3-J2206</f>
        <v>4</v>
      </c>
      <c r="N2206" s="6" t="str">
        <f aca="false">IF(K2206&gt;1,"Yes","No")</f>
        <v>Yes</v>
      </c>
      <c r="O2206" s="6" t="s">
        <v>45</v>
      </c>
    </row>
    <row r="2207" customFormat="false" ht="15" hidden="false" customHeight="false" outlineLevel="0" collapsed="false">
      <c r="A2207" s="6" t="s">
        <v>4523</v>
      </c>
      <c r="B2207" s="6" t="s">
        <v>4524</v>
      </c>
      <c r="C2207" s="6" t="s">
        <v>85</v>
      </c>
      <c r="D2207" s="6" t="n">
        <v>41</v>
      </c>
      <c r="E2207" s="6" t="s">
        <v>134</v>
      </c>
      <c r="F2207" s="6" t="s">
        <v>135</v>
      </c>
      <c r="G2207" s="26" t="n">
        <v>46193</v>
      </c>
      <c r="H2207" s="6" t="s">
        <v>115</v>
      </c>
      <c r="I2207" s="26" t="n">
        <f aca="false">_xlfn.MINIFS(Transaction!$C$2:$C$8421,Transaction!$B$2:$B$8421,A2207)</f>
        <v>46244</v>
      </c>
      <c r="J2207" s="26" t="n">
        <f aca="false">_xlfn.MAXIFS(Transaction!$C$2:$C$8421,Transaction!$B$2:$B$8421,A2207)</f>
        <v>46244</v>
      </c>
      <c r="K2207" s="6" t="n">
        <f aca="false">COUNTIF(Transaction!$B$2:$B$8421,A2207)</f>
        <v>1</v>
      </c>
      <c r="L2207" s="10" t="n">
        <f aca="false">SUMIF(Transaction!$B$2:$B$8421,A2207,Transaction!$H$2:$H$8421)</f>
        <v>589</v>
      </c>
      <c r="M2207" s="6" t="n">
        <f aca="false">Summary!$B$3-J2207</f>
        <v>22</v>
      </c>
      <c r="N2207" s="6" t="str">
        <f aca="false">IF(K2207&gt;1,"Yes","No")</f>
        <v>No</v>
      </c>
      <c r="O2207" s="6" t="s">
        <v>47</v>
      </c>
    </row>
    <row r="2208" customFormat="false" ht="15" hidden="false" customHeight="false" outlineLevel="0" collapsed="false">
      <c r="A2208" s="6" t="s">
        <v>4525</v>
      </c>
      <c r="B2208" s="6" t="s">
        <v>4526</v>
      </c>
      <c r="C2208" s="6" t="s">
        <v>85</v>
      </c>
      <c r="D2208" s="6" t="n">
        <v>40</v>
      </c>
      <c r="E2208" s="6" t="s">
        <v>237</v>
      </c>
      <c r="F2208" s="6" t="s">
        <v>87</v>
      </c>
      <c r="G2208" s="26" t="n">
        <v>46100</v>
      </c>
      <c r="H2208" s="6" t="s">
        <v>102</v>
      </c>
      <c r="I2208" s="26" t="n">
        <f aca="false">_xlfn.MINIFS(Transaction!$C$2:$C$8421,Transaction!$B$2:$B$8421,A2208)</f>
        <v>46183</v>
      </c>
      <c r="J2208" s="26" t="n">
        <f aca="false">_xlfn.MAXIFS(Transaction!$C$2:$C$8421,Transaction!$B$2:$B$8421,A2208)</f>
        <v>46183</v>
      </c>
      <c r="K2208" s="6" t="n">
        <f aca="false">COUNTIF(Transaction!$B$2:$B$8421,A2208)</f>
        <v>1</v>
      </c>
      <c r="L2208" s="10" t="n">
        <f aca="false">SUMIF(Transaction!$B$2:$B$8421,A2208,Transaction!$H$2:$H$8421)</f>
        <v>2751</v>
      </c>
      <c r="M2208" s="6" t="n">
        <f aca="false">Summary!$B$3-J2208</f>
        <v>83</v>
      </c>
      <c r="N2208" s="6" t="str">
        <f aca="false">IF(K2208&gt;1,"Yes","No")</f>
        <v>No</v>
      </c>
      <c r="O2208" s="6" t="s">
        <v>47</v>
      </c>
    </row>
    <row r="2209" customFormat="false" ht="15" hidden="false" customHeight="false" outlineLevel="0" collapsed="false">
      <c r="A2209" s="6" t="s">
        <v>4527</v>
      </c>
      <c r="B2209" s="6" t="s">
        <v>4528</v>
      </c>
      <c r="C2209" s="6" t="s">
        <v>75</v>
      </c>
      <c r="D2209" s="6" t="n">
        <v>41</v>
      </c>
      <c r="E2209" s="6" t="s">
        <v>86</v>
      </c>
      <c r="F2209" s="6" t="s">
        <v>87</v>
      </c>
      <c r="G2209" s="26" t="n">
        <v>46093</v>
      </c>
      <c r="H2209" s="6" t="s">
        <v>115</v>
      </c>
      <c r="I2209" s="26" t="n">
        <f aca="false">_xlfn.MINIFS(Transaction!$C$2:$C$8421,Transaction!$B$2:$B$8421,A2209)</f>
        <v>46149</v>
      </c>
      <c r="J2209" s="26" t="n">
        <f aca="false">_xlfn.MAXIFS(Transaction!$C$2:$C$8421,Transaction!$B$2:$B$8421,A2209)</f>
        <v>46264</v>
      </c>
      <c r="K2209" s="6" t="n">
        <f aca="false">COUNTIF(Transaction!$B$2:$B$8421,A2209)</f>
        <v>10</v>
      </c>
      <c r="L2209" s="10" t="n">
        <f aca="false">SUMIF(Transaction!$B$2:$B$8421,A2209,Transaction!$H$2:$H$8421)</f>
        <v>17374</v>
      </c>
      <c r="M2209" s="6" t="n">
        <f aca="false">Summary!$B$3-J2209</f>
        <v>2</v>
      </c>
      <c r="N2209" s="6" t="str">
        <f aca="false">IF(K2209&gt;1,"Yes","No")</f>
        <v>Yes</v>
      </c>
      <c r="O2209" s="6" t="s">
        <v>45</v>
      </c>
    </row>
    <row r="2210" customFormat="false" ht="15" hidden="false" customHeight="false" outlineLevel="0" collapsed="false">
      <c r="A2210" s="6" t="s">
        <v>4529</v>
      </c>
      <c r="B2210" s="6" t="s">
        <v>4530</v>
      </c>
      <c r="C2210" s="6" t="s">
        <v>75</v>
      </c>
      <c r="D2210" s="6" t="n">
        <v>25</v>
      </c>
      <c r="E2210" s="6" t="s">
        <v>146</v>
      </c>
      <c r="F2210" s="6" t="s">
        <v>147</v>
      </c>
      <c r="G2210" s="26" t="n">
        <v>46042</v>
      </c>
      <c r="H2210" s="6" t="s">
        <v>115</v>
      </c>
      <c r="I2210" s="26" t="n">
        <f aca="false">_xlfn.MINIFS(Transaction!$C$2:$C$8421,Transaction!$B$2:$B$8421,A2210)</f>
        <v>46049</v>
      </c>
      <c r="J2210" s="26" t="n">
        <f aca="false">_xlfn.MAXIFS(Transaction!$C$2:$C$8421,Transaction!$B$2:$B$8421,A2210)</f>
        <v>46211</v>
      </c>
      <c r="K2210" s="6" t="n">
        <f aca="false">COUNTIF(Transaction!$B$2:$B$8421,A2210)</f>
        <v>3</v>
      </c>
      <c r="L2210" s="10" t="n">
        <f aca="false">SUMIF(Transaction!$B$2:$B$8421,A2210,Transaction!$H$2:$H$8421)</f>
        <v>6709</v>
      </c>
      <c r="M2210" s="6" t="n">
        <f aca="false">Summary!$B$3-J2210</f>
        <v>55</v>
      </c>
      <c r="N2210" s="6" t="str">
        <f aca="false">IF(K2210&gt;1,"Yes","No")</f>
        <v>Yes</v>
      </c>
      <c r="O2210" s="6" t="s">
        <v>46</v>
      </c>
    </row>
    <row r="2211" customFormat="false" ht="15" hidden="false" customHeight="false" outlineLevel="0" collapsed="false">
      <c r="A2211" s="6" t="s">
        <v>4531</v>
      </c>
      <c r="B2211" s="6" t="s">
        <v>4532</v>
      </c>
      <c r="C2211" s="6" t="s">
        <v>75</v>
      </c>
      <c r="D2211" s="6" t="n">
        <v>30</v>
      </c>
      <c r="E2211" s="6" t="s">
        <v>86</v>
      </c>
      <c r="F2211" s="6" t="s">
        <v>87</v>
      </c>
      <c r="G2211" s="26" t="n">
        <v>46028</v>
      </c>
      <c r="H2211" s="6" t="s">
        <v>115</v>
      </c>
      <c r="I2211" s="26" t="n">
        <f aca="false">_xlfn.MINIFS(Transaction!$C$2:$C$8421,Transaction!$B$2:$B$8421,A2211)</f>
        <v>46036</v>
      </c>
      <c r="J2211" s="26" t="n">
        <f aca="false">_xlfn.MAXIFS(Transaction!$C$2:$C$8421,Transaction!$B$2:$B$8421,A2211)</f>
        <v>46214</v>
      </c>
      <c r="K2211" s="6" t="n">
        <f aca="false">COUNTIF(Transaction!$B$2:$B$8421,A2211)</f>
        <v>5</v>
      </c>
      <c r="L2211" s="10" t="n">
        <f aca="false">SUMIF(Transaction!$B$2:$B$8421,A2211,Transaction!$H$2:$H$8421)</f>
        <v>9042</v>
      </c>
      <c r="M2211" s="6" t="n">
        <f aca="false">Summary!$B$3-J2211</f>
        <v>52</v>
      </c>
      <c r="N2211" s="6" t="str">
        <f aca="false">IF(K2211&gt;1,"Yes","No")</f>
        <v>Yes</v>
      </c>
      <c r="O2211" s="6" t="s">
        <v>46</v>
      </c>
    </row>
    <row r="2212" customFormat="false" ht="15" hidden="false" customHeight="false" outlineLevel="0" collapsed="false">
      <c r="A2212" s="6" t="s">
        <v>4533</v>
      </c>
      <c r="B2212" s="6" t="s">
        <v>4534</v>
      </c>
      <c r="C2212" s="6" t="s">
        <v>85</v>
      </c>
      <c r="D2212" s="6" t="n">
        <v>18</v>
      </c>
      <c r="E2212" s="6" t="s">
        <v>91</v>
      </c>
      <c r="F2212" s="6" t="s">
        <v>77</v>
      </c>
      <c r="G2212" s="26" t="n">
        <v>46151</v>
      </c>
      <c r="H2212" s="6" t="s">
        <v>92</v>
      </c>
      <c r="I2212" s="26" t="n">
        <f aca="false">_xlfn.MINIFS(Transaction!$C$2:$C$8421,Transaction!$B$2:$B$8421,A2212)</f>
        <v>46183</v>
      </c>
      <c r="J2212" s="26" t="n">
        <f aca="false">_xlfn.MAXIFS(Transaction!$C$2:$C$8421,Transaction!$B$2:$B$8421,A2212)</f>
        <v>46183</v>
      </c>
      <c r="K2212" s="6" t="n">
        <f aca="false">COUNTIF(Transaction!$B$2:$B$8421,A2212)</f>
        <v>1</v>
      </c>
      <c r="L2212" s="10" t="n">
        <f aca="false">SUMIF(Transaction!$B$2:$B$8421,A2212,Transaction!$H$2:$H$8421)</f>
        <v>5405</v>
      </c>
      <c r="M2212" s="6" t="n">
        <f aca="false">Summary!$B$3-J2212</f>
        <v>83</v>
      </c>
      <c r="N2212" s="6" t="str">
        <f aca="false">IF(K2212&gt;1,"Yes","No")</f>
        <v>No</v>
      </c>
      <c r="O2212" s="6" t="s">
        <v>47</v>
      </c>
    </row>
    <row r="2213" customFormat="false" ht="15" hidden="false" customHeight="false" outlineLevel="0" collapsed="false">
      <c r="A2213" s="6" t="s">
        <v>4535</v>
      </c>
      <c r="B2213" s="6" t="s">
        <v>4536</v>
      </c>
      <c r="C2213" s="6" t="s">
        <v>85</v>
      </c>
      <c r="D2213" s="6" t="n">
        <v>37</v>
      </c>
      <c r="E2213" s="6" t="s">
        <v>91</v>
      </c>
      <c r="F2213" s="6" t="s">
        <v>77</v>
      </c>
      <c r="G2213" s="26" t="n">
        <v>45973</v>
      </c>
      <c r="H2213" s="6" t="s">
        <v>78</v>
      </c>
      <c r="I2213" s="26" t="n">
        <f aca="false">_xlfn.MINIFS(Transaction!$C$2:$C$8421,Transaction!$B$2:$B$8421,A2213)</f>
        <v>46044</v>
      </c>
      <c r="J2213" s="26" t="n">
        <f aca="false">_xlfn.MAXIFS(Transaction!$C$2:$C$8421,Transaction!$B$2:$B$8421,A2213)</f>
        <v>46257</v>
      </c>
      <c r="K2213" s="6" t="n">
        <f aca="false">COUNTIF(Transaction!$B$2:$B$8421,A2213)</f>
        <v>8</v>
      </c>
      <c r="L2213" s="10" t="n">
        <f aca="false">SUMIF(Transaction!$B$2:$B$8421,A2213,Transaction!$H$2:$H$8421)</f>
        <v>18466</v>
      </c>
      <c r="M2213" s="6" t="n">
        <f aca="false">Summary!$B$3-J2213</f>
        <v>9</v>
      </c>
      <c r="N2213" s="6" t="str">
        <f aca="false">IF(K2213&gt;1,"Yes","No")</f>
        <v>Yes</v>
      </c>
      <c r="O2213" s="6" t="s">
        <v>45</v>
      </c>
    </row>
    <row r="2214" customFormat="false" ht="15" hidden="false" customHeight="false" outlineLevel="0" collapsed="false">
      <c r="A2214" s="6" t="s">
        <v>4537</v>
      </c>
      <c r="B2214" s="6" t="s">
        <v>4538</v>
      </c>
      <c r="C2214" s="6" t="s">
        <v>85</v>
      </c>
      <c r="D2214" s="6" t="n">
        <v>37</v>
      </c>
      <c r="E2214" s="6" t="s">
        <v>134</v>
      </c>
      <c r="F2214" s="6" t="s">
        <v>135</v>
      </c>
      <c r="G2214" s="26" t="n">
        <v>46005</v>
      </c>
      <c r="H2214" s="6" t="s">
        <v>92</v>
      </c>
      <c r="I2214" s="26" t="n">
        <f aca="false">_xlfn.MINIFS(Transaction!$C$2:$C$8421,Transaction!$B$2:$B$8421,A2214)</f>
        <v>46023</v>
      </c>
      <c r="J2214" s="26" t="n">
        <f aca="false">_xlfn.MAXIFS(Transaction!$C$2:$C$8421,Transaction!$B$2:$B$8421,A2214)</f>
        <v>46258</v>
      </c>
      <c r="K2214" s="6" t="n">
        <f aca="false">COUNTIF(Transaction!$B$2:$B$8421,A2214)</f>
        <v>10</v>
      </c>
      <c r="L2214" s="10" t="n">
        <f aca="false">SUMIF(Transaction!$B$2:$B$8421,A2214,Transaction!$H$2:$H$8421)</f>
        <v>16536</v>
      </c>
      <c r="M2214" s="6" t="n">
        <f aca="false">Summary!$B$3-J2214</f>
        <v>8</v>
      </c>
      <c r="N2214" s="6" t="str">
        <f aca="false">IF(K2214&gt;1,"Yes","No")</f>
        <v>Yes</v>
      </c>
      <c r="O2214" s="6" t="s">
        <v>45</v>
      </c>
    </row>
    <row r="2215" customFormat="false" ht="15" hidden="false" customHeight="false" outlineLevel="0" collapsed="false">
      <c r="A2215" s="6" t="s">
        <v>4539</v>
      </c>
      <c r="B2215" s="6" t="s">
        <v>4540</v>
      </c>
      <c r="C2215" s="6" t="s">
        <v>75</v>
      </c>
      <c r="D2215" s="6" t="n">
        <v>27</v>
      </c>
      <c r="E2215" s="6" t="s">
        <v>81</v>
      </c>
      <c r="F2215" s="6" t="s">
        <v>82</v>
      </c>
      <c r="G2215" s="26" t="n">
        <v>45967</v>
      </c>
      <c r="H2215" s="6" t="s">
        <v>115</v>
      </c>
      <c r="I2215" s="26" t="n">
        <f aca="false">_xlfn.MINIFS(Transaction!$C$2:$C$8421,Transaction!$B$2:$B$8421,A2215)</f>
        <v>46030</v>
      </c>
      <c r="J2215" s="26" t="n">
        <f aca="false">_xlfn.MAXIFS(Transaction!$C$2:$C$8421,Transaction!$B$2:$B$8421,A2215)</f>
        <v>46188</v>
      </c>
      <c r="K2215" s="6" t="n">
        <f aca="false">COUNTIF(Transaction!$B$2:$B$8421,A2215)</f>
        <v>5</v>
      </c>
      <c r="L2215" s="10" t="n">
        <f aca="false">SUMIF(Transaction!$B$2:$B$8421,A2215,Transaction!$H$2:$H$8421)</f>
        <v>7334</v>
      </c>
      <c r="M2215" s="6" t="n">
        <f aca="false">Summary!$B$3-J2215</f>
        <v>78</v>
      </c>
      <c r="N2215" s="6" t="str">
        <f aca="false">IF(K2215&gt;1,"Yes","No")</f>
        <v>Yes</v>
      </c>
      <c r="O2215" s="6" t="s">
        <v>46</v>
      </c>
    </row>
    <row r="2216" customFormat="false" ht="15" hidden="false" customHeight="false" outlineLevel="0" collapsed="false">
      <c r="A2216" s="6" t="s">
        <v>4541</v>
      </c>
      <c r="B2216" s="6" t="s">
        <v>4542</v>
      </c>
      <c r="C2216" s="6" t="s">
        <v>75</v>
      </c>
      <c r="D2216" s="6" t="n">
        <v>35</v>
      </c>
      <c r="E2216" s="6" t="s">
        <v>105</v>
      </c>
      <c r="F2216" s="6" t="s">
        <v>106</v>
      </c>
      <c r="G2216" s="26" t="n">
        <v>46182</v>
      </c>
      <c r="H2216" s="6" t="s">
        <v>115</v>
      </c>
      <c r="I2216" s="26" t="n">
        <f aca="false">_xlfn.MINIFS(Transaction!$C$2:$C$8421,Transaction!$B$2:$B$8421,A2216)</f>
        <v>46185</v>
      </c>
      <c r="J2216" s="26" t="n">
        <f aca="false">_xlfn.MAXIFS(Transaction!$C$2:$C$8421,Transaction!$B$2:$B$8421,A2216)</f>
        <v>46185</v>
      </c>
      <c r="K2216" s="6" t="n">
        <f aca="false">COUNTIF(Transaction!$B$2:$B$8421,A2216)</f>
        <v>1</v>
      </c>
      <c r="L2216" s="10" t="n">
        <f aca="false">SUMIF(Transaction!$B$2:$B$8421,A2216,Transaction!$H$2:$H$8421)</f>
        <v>1192</v>
      </c>
      <c r="M2216" s="6" t="n">
        <f aca="false">Summary!$B$3-J2216</f>
        <v>81</v>
      </c>
      <c r="N2216" s="6" t="str">
        <f aca="false">IF(K2216&gt;1,"Yes","No")</f>
        <v>No</v>
      </c>
      <c r="O2216" s="6" t="s">
        <v>47</v>
      </c>
    </row>
    <row r="2217" customFormat="false" ht="15" hidden="false" customHeight="false" outlineLevel="0" collapsed="false">
      <c r="A2217" s="6" t="s">
        <v>4543</v>
      </c>
      <c r="B2217" s="6" t="s">
        <v>4544</v>
      </c>
      <c r="C2217" s="6" t="s">
        <v>75</v>
      </c>
      <c r="D2217" s="6" t="n">
        <v>40</v>
      </c>
      <c r="E2217" s="6" t="s">
        <v>76</v>
      </c>
      <c r="F2217" s="6" t="s">
        <v>77</v>
      </c>
      <c r="G2217" s="26" t="n">
        <v>46114</v>
      </c>
      <c r="H2217" s="6" t="s">
        <v>123</v>
      </c>
      <c r="I2217" s="26" t="n">
        <f aca="false">_xlfn.MINIFS(Transaction!$C$2:$C$8421,Transaction!$B$2:$B$8421,A2217)</f>
        <v>46156</v>
      </c>
      <c r="J2217" s="26" t="n">
        <f aca="false">_xlfn.MAXIFS(Transaction!$C$2:$C$8421,Transaction!$B$2:$B$8421,A2217)</f>
        <v>46156</v>
      </c>
      <c r="K2217" s="6" t="n">
        <f aca="false">COUNTIF(Transaction!$B$2:$B$8421,A2217)</f>
        <v>1</v>
      </c>
      <c r="L2217" s="10" t="n">
        <f aca="false">SUMIF(Transaction!$B$2:$B$8421,A2217,Transaction!$H$2:$H$8421)</f>
        <v>1564</v>
      </c>
      <c r="M2217" s="6" t="n">
        <f aca="false">Summary!$B$3-J2217</f>
        <v>110</v>
      </c>
      <c r="N2217" s="6" t="str">
        <f aca="false">IF(K2217&gt;1,"Yes","No")</f>
        <v>No</v>
      </c>
      <c r="O2217" s="6" t="s">
        <v>48</v>
      </c>
    </row>
    <row r="2218" customFormat="false" ht="15" hidden="false" customHeight="false" outlineLevel="0" collapsed="false">
      <c r="A2218" s="6" t="s">
        <v>4545</v>
      </c>
      <c r="B2218" s="6" t="s">
        <v>4546</v>
      </c>
      <c r="C2218" s="6" t="s">
        <v>85</v>
      </c>
      <c r="D2218" s="6" t="n">
        <v>31</v>
      </c>
      <c r="E2218" s="6" t="s">
        <v>98</v>
      </c>
      <c r="F2218" s="6" t="s">
        <v>99</v>
      </c>
      <c r="G2218" s="26" t="n">
        <v>46037</v>
      </c>
      <c r="H2218" s="6" t="s">
        <v>88</v>
      </c>
      <c r="I2218" s="26" t="n">
        <f aca="false">_xlfn.MINIFS(Transaction!$C$2:$C$8421,Transaction!$B$2:$B$8421,A2218)</f>
        <v>46098</v>
      </c>
      <c r="J2218" s="26" t="n">
        <f aca="false">_xlfn.MAXIFS(Transaction!$C$2:$C$8421,Transaction!$B$2:$B$8421,A2218)</f>
        <v>46098</v>
      </c>
      <c r="K2218" s="6" t="n">
        <f aca="false">COUNTIF(Transaction!$B$2:$B$8421,A2218)</f>
        <v>1</v>
      </c>
      <c r="L2218" s="10" t="n">
        <f aca="false">SUMIF(Transaction!$B$2:$B$8421,A2218,Transaction!$H$2:$H$8421)</f>
        <v>1486</v>
      </c>
      <c r="M2218" s="6" t="n">
        <f aca="false">Summary!$B$3-J2218</f>
        <v>168</v>
      </c>
      <c r="N2218" s="6" t="str">
        <f aca="false">IF(K2218&gt;1,"Yes","No")</f>
        <v>No</v>
      </c>
      <c r="O2218" s="6" t="s">
        <v>49</v>
      </c>
    </row>
    <row r="2219" customFormat="false" ht="15" hidden="false" customHeight="false" outlineLevel="0" collapsed="false">
      <c r="A2219" s="6" t="s">
        <v>4547</v>
      </c>
      <c r="B2219" s="6" t="s">
        <v>4548</v>
      </c>
      <c r="C2219" s="6" t="s">
        <v>75</v>
      </c>
      <c r="D2219" s="6" t="n">
        <v>37</v>
      </c>
      <c r="E2219" s="6" t="s">
        <v>76</v>
      </c>
      <c r="F2219" s="6" t="s">
        <v>77</v>
      </c>
      <c r="G2219" s="26" t="n">
        <v>46080</v>
      </c>
      <c r="H2219" s="6" t="s">
        <v>78</v>
      </c>
      <c r="I2219" s="26" t="n">
        <f aca="false">_xlfn.MINIFS(Transaction!$C$2:$C$8421,Transaction!$B$2:$B$8421,A2219)</f>
        <v>46147</v>
      </c>
      <c r="J2219" s="26" t="n">
        <f aca="false">_xlfn.MAXIFS(Transaction!$C$2:$C$8421,Transaction!$B$2:$B$8421,A2219)</f>
        <v>46147</v>
      </c>
      <c r="K2219" s="6" t="n">
        <f aca="false">COUNTIF(Transaction!$B$2:$B$8421,A2219)</f>
        <v>1</v>
      </c>
      <c r="L2219" s="10" t="n">
        <f aca="false">SUMIF(Transaction!$B$2:$B$8421,A2219,Transaction!$H$2:$H$8421)</f>
        <v>2115</v>
      </c>
      <c r="M2219" s="6" t="n">
        <f aca="false">Summary!$B$3-J2219</f>
        <v>119</v>
      </c>
      <c r="N2219" s="6" t="str">
        <f aca="false">IF(K2219&gt;1,"Yes","No")</f>
        <v>No</v>
      </c>
      <c r="O2219" s="6" t="s">
        <v>48</v>
      </c>
    </row>
    <row r="2220" customFormat="false" ht="15" hidden="false" customHeight="false" outlineLevel="0" collapsed="false">
      <c r="A2220" s="6" t="s">
        <v>4549</v>
      </c>
      <c r="B2220" s="6" t="s">
        <v>4550</v>
      </c>
      <c r="C2220" s="6" t="s">
        <v>75</v>
      </c>
      <c r="D2220" s="6" t="n">
        <v>23</v>
      </c>
      <c r="E2220" s="6" t="s">
        <v>86</v>
      </c>
      <c r="F2220" s="6" t="s">
        <v>87</v>
      </c>
      <c r="G2220" s="26" t="n">
        <v>46061</v>
      </c>
      <c r="H2220" s="6" t="s">
        <v>88</v>
      </c>
      <c r="I2220" s="26" t="n">
        <f aca="false">_xlfn.MINIFS(Transaction!$C$2:$C$8421,Transaction!$B$2:$B$8421,A2220)</f>
        <v>46116</v>
      </c>
      <c r="J2220" s="26" t="n">
        <f aca="false">_xlfn.MAXIFS(Transaction!$C$2:$C$8421,Transaction!$B$2:$B$8421,A2220)</f>
        <v>46116</v>
      </c>
      <c r="K2220" s="6" t="n">
        <f aca="false">COUNTIF(Transaction!$B$2:$B$8421,A2220)</f>
        <v>1</v>
      </c>
      <c r="L2220" s="10" t="n">
        <f aca="false">SUMIF(Transaction!$B$2:$B$8421,A2220,Transaction!$H$2:$H$8421)</f>
        <v>1220</v>
      </c>
      <c r="M2220" s="6" t="n">
        <f aca="false">Summary!$B$3-J2220</f>
        <v>150</v>
      </c>
      <c r="N2220" s="6" t="str">
        <f aca="false">IF(K2220&gt;1,"Yes","No")</f>
        <v>No</v>
      </c>
      <c r="O2220" s="6" t="s">
        <v>48</v>
      </c>
    </row>
    <row r="2221" customFormat="false" ht="15" hidden="false" customHeight="false" outlineLevel="0" collapsed="false">
      <c r="A2221" s="6" t="s">
        <v>4551</v>
      </c>
      <c r="B2221" s="6" t="s">
        <v>4552</v>
      </c>
      <c r="C2221" s="6" t="s">
        <v>75</v>
      </c>
      <c r="D2221" s="6" t="n">
        <v>23</v>
      </c>
      <c r="E2221" s="6" t="s">
        <v>91</v>
      </c>
      <c r="F2221" s="6" t="s">
        <v>77</v>
      </c>
      <c r="G2221" s="26" t="n">
        <v>46180</v>
      </c>
      <c r="H2221" s="6" t="s">
        <v>78</v>
      </c>
      <c r="I2221" s="26" t="n">
        <f aca="false">_xlfn.MINIFS(Transaction!$C$2:$C$8421,Transaction!$B$2:$B$8421,A2221)</f>
        <v>46188</v>
      </c>
      <c r="J2221" s="26" t="n">
        <f aca="false">_xlfn.MAXIFS(Transaction!$C$2:$C$8421,Transaction!$B$2:$B$8421,A2221)</f>
        <v>46188</v>
      </c>
      <c r="K2221" s="6" t="n">
        <f aca="false">COUNTIF(Transaction!$B$2:$B$8421,A2221)</f>
        <v>1</v>
      </c>
      <c r="L2221" s="10" t="n">
        <f aca="false">SUMIF(Transaction!$B$2:$B$8421,A2221,Transaction!$H$2:$H$8421)</f>
        <v>976</v>
      </c>
      <c r="M2221" s="6" t="n">
        <f aca="false">Summary!$B$3-J2221</f>
        <v>78</v>
      </c>
      <c r="N2221" s="6" t="str">
        <f aca="false">IF(K2221&gt;1,"Yes","No")</f>
        <v>No</v>
      </c>
      <c r="O2221" s="6" t="s">
        <v>47</v>
      </c>
    </row>
    <row r="2222" customFormat="false" ht="15" hidden="false" customHeight="false" outlineLevel="0" collapsed="false">
      <c r="A2222" s="6" t="s">
        <v>4553</v>
      </c>
      <c r="B2222" s="6" t="s">
        <v>4554</v>
      </c>
      <c r="C2222" s="6" t="s">
        <v>75</v>
      </c>
      <c r="D2222" s="6" t="n">
        <v>40</v>
      </c>
      <c r="E2222" s="6" t="s">
        <v>81</v>
      </c>
      <c r="F2222" s="6" t="s">
        <v>82</v>
      </c>
      <c r="G2222" s="26" t="n">
        <v>46086</v>
      </c>
      <c r="H2222" s="6" t="s">
        <v>115</v>
      </c>
      <c r="I2222" s="26" t="n">
        <f aca="false">_xlfn.MINIFS(Transaction!$C$2:$C$8421,Transaction!$B$2:$B$8421,A2222)</f>
        <v>46100</v>
      </c>
      <c r="J2222" s="26" t="n">
        <f aca="false">_xlfn.MAXIFS(Transaction!$C$2:$C$8421,Transaction!$B$2:$B$8421,A2222)</f>
        <v>46256</v>
      </c>
      <c r="K2222" s="6" t="n">
        <f aca="false">COUNTIF(Transaction!$B$2:$B$8421,A2222)</f>
        <v>8</v>
      </c>
      <c r="L2222" s="10" t="n">
        <f aca="false">SUMIF(Transaction!$B$2:$B$8421,A2222,Transaction!$H$2:$H$8421)</f>
        <v>13906</v>
      </c>
      <c r="M2222" s="6" t="n">
        <f aca="false">Summary!$B$3-J2222</f>
        <v>10</v>
      </c>
      <c r="N2222" s="6" t="str">
        <f aca="false">IF(K2222&gt;1,"Yes","No")</f>
        <v>Yes</v>
      </c>
      <c r="O2222" s="6" t="s">
        <v>46</v>
      </c>
    </row>
    <row r="2223" customFormat="false" ht="15" hidden="false" customHeight="false" outlineLevel="0" collapsed="false">
      <c r="A2223" s="6" t="s">
        <v>4555</v>
      </c>
      <c r="B2223" s="6" t="s">
        <v>4556</v>
      </c>
      <c r="C2223" s="6" t="s">
        <v>75</v>
      </c>
      <c r="D2223" s="6" t="n">
        <v>20</v>
      </c>
      <c r="E2223" s="6" t="s">
        <v>81</v>
      </c>
      <c r="F2223" s="6" t="s">
        <v>82</v>
      </c>
      <c r="G2223" s="26" t="n">
        <v>45958</v>
      </c>
      <c r="H2223" s="6" t="s">
        <v>123</v>
      </c>
      <c r="I2223" s="26" t="n">
        <f aca="false">_xlfn.MINIFS(Transaction!$C$2:$C$8421,Transaction!$B$2:$B$8421,A2223)</f>
        <v>46039</v>
      </c>
      <c r="J2223" s="26" t="n">
        <f aca="false">_xlfn.MAXIFS(Transaction!$C$2:$C$8421,Transaction!$B$2:$B$8421,A2223)</f>
        <v>46264</v>
      </c>
      <c r="K2223" s="6" t="n">
        <f aca="false">COUNTIF(Transaction!$B$2:$B$8421,A2223)</f>
        <v>7</v>
      </c>
      <c r="L2223" s="10" t="n">
        <f aca="false">SUMIF(Transaction!$B$2:$B$8421,A2223,Transaction!$H$2:$H$8421)</f>
        <v>12578</v>
      </c>
      <c r="M2223" s="6" t="n">
        <f aca="false">Summary!$B$3-J2223</f>
        <v>2</v>
      </c>
      <c r="N2223" s="6" t="str">
        <f aca="false">IF(K2223&gt;1,"Yes","No")</f>
        <v>Yes</v>
      </c>
      <c r="O2223" s="6" t="s">
        <v>45</v>
      </c>
    </row>
    <row r="2224" customFormat="false" ht="15" hidden="false" customHeight="false" outlineLevel="0" collapsed="false">
      <c r="A2224" s="6" t="s">
        <v>4557</v>
      </c>
      <c r="B2224" s="6" t="s">
        <v>4558</v>
      </c>
      <c r="C2224" s="6" t="s">
        <v>75</v>
      </c>
      <c r="D2224" s="6" t="n">
        <v>40</v>
      </c>
      <c r="E2224" s="6" t="s">
        <v>121</v>
      </c>
      <c r="F2224" s="6" t="s">
        <v>122</v>
      </c>
      <c r="G2224" s="26" t="n">
        <v>46187</v>
      </c>
      <c r="H2224" s="6" t="s">
        <v>78</v>
      </c>
      <c r="I2224" s="26" t="n">
        <f aca="false">_xlfn.MINIFS(Transaction!$C$2:$C$8421,Transaction!$B$2:$B$8421,A2224)</f>
        <v>46252</v>
      </c>
      <c r="J2224" s="26" t="n">
        <f aca="false">_xlfn.MAXIFS(Transaction!$C$2:$C$8421,Transaction!$B$2:$B$8421,A2224)</f>
        <v>46252</v>
      </c>
      <c r="K2224" s="6" t="n">
        <f aca="false">COUNTIF(Transaction!$B$2:$B$8421,A2224)</f>
        <v>1</v>
      </c>
      <c r="L2224" s="10" t="n">
        <f aca="false">SUMIF(Transaction!$B$2:$B$8421,A2224,Transaction!$H$2:$H$8421)</f>
        <v>1954</v>
      </c>
      <c r="M2224" s="6" t="n">
        <f aca="false">Summary!$B$3-J2224</f>
        <v>14</v>
      </c>
      <c r="N2224" s="6" t="str">
        <f aca="false">IF(K2224&gt;1,"Yes","No")</f>
        <v>No</v>
      </c>
      <c r="O2224" s="6" t="s">
        <v>47</v>
      </c>
    </row>
    <row r="2225" customFormat="false" ht="15" hidden="false" customHeight="false" outlineLevel="0" collapsed="false">
      <c r="A2225" s="6" t="s">
        <v>4559</v>
      </c>
      <c r="B2225" s="6" t="s">
        <v>4560</v>
      </c>
      <c r="C2225" s="6" t="s">
        <v>75</v>
      </c>
      <c r="D2225" s="6" t="n">
        <v>37</v>
      </c>
      <c r="E2225" s="6" t="s">
        <v>81</v>
      </c>
      <c r="F2225" s="6" t="s">
        <v>82</v>
      </c>
      <c r="G2225" s="26" t="n">
        <v>46103</v>
      </c>
      <c r="H2225" s="6" t="s">
        <v>102</v>
      </c>
      <c r="I2225" s="26" t="n">
        <f aca="false">_xlfn.MINIFS(Transaction!$C$2:$C$8421,Transaction!$B$2:$B$8421,A2225)</f>
        <v>46133</v>
      </c>
      <c r="J2225" s="26" t="n">
        <f aca="false">_xlfn.MAXIFS(Transaction!$C$2:$C$8421,Transaction!$B$2:$B$8421,A2225)</f>
        <v>46133</v>
      </c>
      <c r="K2225" s="6" t="n">
        <f aca="false">COUNTIF(Transaction!$B$2:$B$8421,A2225)</f>
        <v>1</v>
      </c>
      <c r="L2225" s="10" t="n">
        <f aca="false">SUMIF(Transaction!$B$2:$B$8421,A2225,Transaction!$H$2:$H$8421)</f>
        <v>3439</v>
      </c>
      <c r="M2225" s="6" t="n">
        <f aca="false">Summary!$B$3-J2225</f>
        <v>133</v>
      </c>
      <c r="N2225" s="6" t="str">
        <f aca="false">IF(K2225&gt;1,"Yes","No")</f>
        <v>No</v>
      </c>
      <c r="O2225" s="6" t="s">
        <v>48</v>
      </c>
    </row>
    <row r="2226" customFormat="false" ht="15" hidden="false" customHeight="false" outlineLevel="0" collapsed="false">
      <c r="A2226" s="6" t="s">
        <v>4561</v>
      </c>
      <c r="B2226" s="6" t="s">
        <v>4562</v>
      </c>
      <c r="C2226" s="6" t="s">
        <v>75</v>
      </c>
      <c r="D2226" s="6" t="n">
        <v>42</v>
      </c>
      <c r="E2226" s="6" t="s">
        <v>86</v>
      </c>
      <c r="F2226" s="6" t="s">
        <v>87</v>
      </c>
      <c r="G2226" s="26" t="n">
        <v>45968</v>
      </c>
      <c r="H2226" s="6" t="s">
        <v>78</v>
      </c>
      <c r="I2226" s="26" t="n">
        <f aca="false">_xlfn.MINIFS(Transaction!$C$2:$C$8421,Transaction!$B$2:$B$8421,A2226)</f>
        <v>46039</v>
      </c>
      <c r="J2226" s="26" t="n">
        <f aca="false">_xlfn.MAXIFS(Transaction!$C$2:$C$8421,Transaction!$B$2:$B$8421,A2226)</f>
        <v>46039</v>
      </c>
      <c r="K2226" s="6" t="n">
        <f aca="false">COUNTIF(Transaction!$B$2:$B$8421,A2226)</f>
        <v>1</v>
      </c>
      <c r="L2226" s="10" t="n">
        <f aca="false">SUMIF(Transaction!$B$2:$B$8421,A2226,Transaction!$H$2:$H$8421)</f>
        <v>2249</v>
      </c>
      <c r="M2226" s="6" t="n">
        <f aca="false">Summary!$B$3-J2226</f>
        <v>227</v>
      </c>
      <c r="N2226" s="6" t="str">
        <f aca="false">IF(K2226&gt;1,"Yes","No")</f>
        <v>No</v>
      </c>
      <c r="O2226" s="6" t="s">
        <v>49</v>
      </c>
    </row>
    <row r="2227" customFormat="false" ht="15" hidden="false" customHeight="false" outlineLevel="0" collapsed="false">
      <c r="A2227" s="6" t="s">
        <v>4563</v>
      </c>
      <c r="B2227" s="6" t="s">
        <v>4564</v>
      </c>
      <c r="C2227" s="6" t="s">
        <v>75</v>
      </c>
      <c r="D2227" s="6" t="n">
        <v>31</v>
      </c>
      <c r="E2227" s="6" t="s">
        <v>95</v>
      </c>
      <c r="F2227" s="6" t="s">
        <v>95</v>
      </c>
      <c r="G2227" s="26" t="n">
        <v>46053</v>
      </c>
      <c r="H2227" s="6" t="s">
        <v>115</v>
      </c>
      <c r="I2227" s="26" t="n">
        <f aca="false">_xlfn.MINIFS(Transaction!$C$2:$C$8421,Transaction!$B$2:$B$8421,A2227)</f>
        <v>46094</v>
      </c>
      <c r="J2227" s="26" t="n">
        <f aca="false">_xlfn.MAXIFS(Transaction!$C$2:$C$8421,Transaction!$B$2:$B$8421,A2227)</f>
        <v>46175</v>
      </c>
      <c r="K2227" s="6" t="n">
        <f aca="false">COUNTIF(Transaction!$B$2:$B$8421,A2227)</f>
        <v>5</v>
      </c>
      <c r="L2227" s="10" t="n">
        <f aca="false">SUMIF(Transaction!$B$2:$B$8421,A2227,Transaction!$H$2:$H$8421)</f>
        <v>7606</v>
      </c>
      <c r="M2227" s="6" t="n">
        <f aca="false">Summary!$B$3-J2227</f>
        <v>91</v>
      </c>
      <c r="N2227" s="6" t="str">
        <f aca="false">IF(K2227&gt;1,"Yes","No")</f>
        <v>Yes</v>
      </c>
      <c r="O2227" s="6" t="s">
        <v>46</v>
      </c>
    </row>
    <row r="2228" customFormat="false" ht="15" hidden="false" customHeight="false" outlineLevel="0" collapsed="false">
      <c r="A2228" s="6" t="s">
        <v>4565</v>
      </c>
      <c r="B2228" s="6" t="s">
        <v>4566</v>
      </c>
      <c r="C2228" s="6" t="s">
        <v>75</v>
      </c>
      <c r="D2228" s="6" t="n">
        <v>42</v>
      </c>
      <c r="E2228" s="6" t="s">
        <v>76</v>
      </c>
      <c r="F2228" s="6" t="s">
        <v>77</v>
      </c>
      <c r="G2228" s="26" t="n">
        <v>46219</v>
      </c>
      <c r="H2228" s="6" t="s">
        <v>115</v>
      </c>
      <c r="I2228" s="26" t="n">
        <f aca="false">_xlfn.MINIFS(Transaction!$C$2:$C$8421,Transaction!$B$2:$B$8421,A2228)</f>
        <v>46256</v>
      </c>
      <c r="J2228" s="26" t="n">
        <f aca="false">_xlfn.MAXIFS(Transaction!$C$2:$C$8421,Transaction!$B$2:$B$8421,A2228)</f>
        <v>46256</v>
      </c>
      <c r="K2228" s="6" t="n">
        <f aca="false">COUNTIF(Transaction!$B$2:$B$8421,A2228)</f>
        <v>1</v>
      </c>
      <c r="L2228" s="10" t="n">
        <f aca="false">SUMIF(Transaction!$B$2:$B$8421,A2228,Transaction!$H$2:$H$8421)</f>
        <v>2039</v>
      </c>
      <c r="M2228" s="6" t="n">
        <f aca="false">Summary!$B$3-J2228</f>
        <v>10</v>
      </c>
      <c r="N2228" s="6" t="str">
        <f aca="false">IF(K2228&gt;1,"Yes","No")</f>
        <v>No</v>
      </c>
      <c r="O2228" s="6" t="s">
        <v>47</v>
      </c>
    </row>
    <row r="2229" customFormat="false" ht="15" hidden="false" customHeight="false" outlineLevel="0" collapsed="false">
      <c r="A2229" s="6" t="s">
        <v>4567</v>
      </c>
      <c r="B2229" s="6" t="s">
        <v>4568</v>
      </c>
      <c r="C2229" s="6" t="s">
        <v>85</v>
      </c>
      <c r="D2229" s="6" t="n">
        <v>47</v>
      </c>
      <c r="E2229" s="6" t="s">
        <v>134</v>
      </c>
      <c r="F2229" s="6" t="s">
        <v>135</v>
      </c>
      <c r="G2229" s="26" t="n">
        <v>46089</v>
      </c>
      <c r="H2229" s="6" t="s">
        <v>92</v>
      </c>
      <c r="I2229" s="26" t="n">
        <f aca="false">_xlfn.MINIFS(Transaction!$C$2:$C$8421,Transaction!$B$2:$B$8421,A2229)</f>
        <v>46139</v>
      </c>
      <c r="J2229" s="26" t="n">
        <f aca="false">_xlfn.MAXIFS(Transaction!$C$2:$C$8421,Transaction!$B$2:$B$8421,A2229)</f>
        <v>46139</v>
      </c>
      <c r="K2229" s="6" t="n">
        <f aca="false">COUNTIF(Transaction!$B$2:$B$8421,A2229)</f>
        <v>1</v>
      </c>
      <c r="L2229" s="10" t="n">
        <f aca="false">SUMIF(Transaction!$B$2:$B$8421,A2229,Transaction!$H$2:$H$8421)</f>
        <v>610</v>
      </c>
      <c r="M2229" s="6" t="n">
        <f aca="false">Summary!$B$3-J2229</f>
        <v>127</v>
      </c>
      <c r="N2229" s="6" t="str">
        <f aca="false">IF(K2229&gt;1,"Yes","No")</f>
        <v>No</v>
      </c>
      <c r="O2229" s="6" t="s">
        <v>48</v>
      </c>
    </row>
    <row r="2230" customFormat="false" ht="15" hidden="false" customHeight="false" outlineLevel="0" collapsed="false">
      <c r="A2230" s="6" t="s">
        <v>4569</v>
      </c>
      <c r="B2230" s="6" t="s">
        <v>4570</v>
      </c>
      <c r="C2230" s="6" t="s">
        <v>85</v>
      </c>
      <c r="D2230" s="6" t="n">
        <v>45</v>
      </c>
      <c r="E2230" s="6" t="s">
        <v>237</v>
      </c>
      <c r="F2230" s="6" t="s">
        <v>87</v>
      </c>
      <c r="G2230" s="26" t="n">
        <v>45987</v>
      </c>
      <c r="H2230" s="6" t="s">
        <v>102</v>
      </c>
      <c r="I2230" s="26" t="n">
        <f aca="false">_xlfn.MINIFS(Transaction!$C$2:$C$8421,Transaction!$B$2:$B$8421,A2230)</f>
        <v>46050</v>
      </c>
      <c r="J2230" s="26" t="n">
        <f aca="false">_xlfn.MAXIFS(Transaction!$C$2:$C$8421,Transaction!$B$2:$B$8421,A2230)</f>
        <v>46050</v>
      </c>
      <c r="K2230" s="6" t="n">
        <f aca="false">COUNTIF(Transaction!$B$2:$B$8421,A2230)</f>
        <v>1</v>
      </c>
      <c r="L2230" s="10" t="n">
        <f aca="false">SUMIF(Transaction!$B$2:$B$8421,A2230,Transaction!$H$2:$H$8421)</f>
        <v>2140</v>
      </c>
      <c r="M2230" s="6" t="n">
        <f aca="false">Summary!$B$3-J2230</f>
        <v>216</v>
      </c>
      <c r="N2230" s="6" t="str">
        <f aca="false">IF(K2230&gt;1,"Yes","No")</f>
        <v>No</v>
      </c>
      <c r="O2230" s="6" t="s">
        <v>49</v>
      </c>
    </row>
    <row r="2231" customFormat="false" ht="15" hidden="false" customHeight="false" outlineLevel="0" collapsed="false">
      <c r="A2231" s="6" t="s">
        <v>4571</v>
      </c>
      <c r="B2231" s="6" t="s">
        <v>4572</v>
      </c>
      <c r="C2231" s="6" t="s">
        <v>85</v>
      </c>
      <c r="D2231" s="6" t="n">
        <v>42</v>
      </c>
      <c r="E2231" s="6" t="s">
        <v>81</v>
      </c>
      <c r="F2231" s="6" t="s">
        <v>82</v>
      </c>
      <c r="G2231" s="26" t="n">
        <v>46105</v>
      </c>
      <c r="H2231" s="6" t="s">
        <v>78</v>
      </c>
      <c r="I2231" s="26" t="n">
        <f aca="false">_xlfn.MINIFS(Transaction!$C$2:$C$8421,Transaction!$B$2:$B$8421,A2231)</f>
        <v>46155</v>
      </c>
      <c r="J2231" s="26" t="n">
        <f aca="false">_xlfn.MAXIFS(Transaction!$C$2:$C$8421,Transaction!$B$2:$B$8421,A2231)</f>
        <v>46246</v>
      </c>
      <c r="K2231" s="6" t="n">
        <f aca="false">COUNTIF(Transaction!$B$2:$B$8421,A2231)</f>
        <v>4</v>
      </c>
      <c r="L2231" s="10" t="n">
        <f aca="false">SUMIF(Transaction!$B$2:$B$8421,A2231,Transaction!$H$2:$H$8421)</f>
        <v>8833</v>
      </c>
      <c r="M2231" s="6" t="n">
        <f aca="false">Summary!$B$3-J2231</f>
        <v>20</v>
      </c>
      <c r="N2231" s="6" t="str">
        <f aca="false">IF(K2231&gt;1,"Yes","No")</f>
        <v>Yes</v>
      </c>
      <c r="O2231" s="6" t="s">
        <v>46</v>
      </c>
    </row>
    <row r="2232" customFormat="false" ht="15" hidden="false" customHeight="false" outlineLevel="0" collapsed="false">
      <c r="A2232" s="6" t="s">
        <v>4573</v>
      </c>
      <c r="B2232" s="6" t="s">
        <v>4574</v>
      </c>
      <c r="C2232" s="6" t="s">
        <v>75</v>
      </c>
      <c r="D2232" s="6" t="n">
        <v>25</v>
      </c>
      <c r="E2232" s="6" t="s">
        <v>95</v>
      </c>
      <c r="F2232" s="6" t="s">
        <v>95</v>
      </c>
      <c r="G2232" s="26" t="n">
        <v>46024</v>
      </c>
      <c r="H2232" s="6" t="s">
        <v>115</v>
      </c>
      <c r="I2232" s="26" t="n">
        <f aca="false">_xlfn.MINIFS(Transaction!$C$2:$C$8421,Transaction!$B$2:$B$8421,A2232)</f>
        <v>46027</v>
      </c>
      <c r="J2232" s="26" t="n">
        <f aca="false">_xlfn.MAXIFS(Transaction!$C$2:$C$8421,Transaction!$B$2:$B$8421,A2232)</f>
        <v>46251</v>
      </c>
      <c r="K2232" s="6" t="n">
        <f aca="false">COUNTIF(Transaction!$B$2:$B$8421,A2232)</f>
        <v>10</v>
      </c>
      <c r="L2232" s="10" t="n">
        <f aca="false">SUMIF(Transaction!$B$2:$B$8421,A2232,Transaction!$H$2:$H$8421)</f>
        <v>50292</v>
      </c>
      <c r="M2232" s="6" t="n">
        <f aca="false">Summary!$B$3-J2232</f>
        <v>15</v>
      </c>
      <c r="N2232" s="6" t="str">
        <f aca="false">IF(K2232&gt;1,"Yes","No")</f>
        <v>Yes</v>
      </c>
      <c r="O2232" s="6" t="s">
        <v>45</v>
      </c>
    </row>
    <row r="2233" customFormat="false" ht="15" hidden="false" customHeight="false" outlineLevel="0" collapsed="false">
      <c r="A2233" s="6" t="s">
        <v>4575</v>
      </c>
      <c r="B2233" s="6" t="s">
        <v>4576</v>
      </c>
      <c r="C2233" s="6" t="s">
        <v>85</v>
      </c>
      <c r="D2233" s="6" t="n">
        <v>25</v>
      </c>
      <c r="E2233" s="6" t="s">
        <v>95</v>
      </c>
      <c r="F2233" s="6" t="s">
        <v>95</v>
      </c>
      <c r="G2233" s="26" t="n">
        <v>46015</v>
      </c>
      <c r="H2233" s="6" t="s">
        <v>123</v>
      </c>
      <c r="I2233" s="26" t="n">
        <f aca="false">_xlfn.MINIFS(Transaction!$C$2:$C$8421,Transaction!$B$2:$B$8421,A2233)</f>
        <v>46103</v>
      </c>
      <c r="J2233" s="26" t="n">
        <f aca="false">_xlfn.MAXIFS(Transaction!$C$2:$C$8421,Transaction!$B$2:$B$8421,A2233)</f>
        <v>46185</v>
      </c>
      <c r="K2233" s="6" t="n">
        <f aca="false">COUNTIF(Transaction!$B$2:$B$8421,A2233)</f>
        <v>3</v>
      </c>
      <c r="L2233" s="10" t="n">
        <f aca="false">SUMIF(Transaction!$B$2:$B$8421,A2233,Transaction!$H$2:$H$8421)</f>
        <v>19522</v>
      </c>
      <c r="M2233" s="6" t="n">
        <f aca="false">Summary!$B$3-J2233</f>
        <v>81</v>
      </c>
      <c r="N2233" s="6" t="str">
        <f aca="false">IF(K2233&gt;1,"Yes","No")</f>
        <v>Yes</v>
      </c>
      <c r="O2233" s="6" t="s">
        <v>46</v>
      </c>
    </row>
    <row r="2234" customFormat="false" ht="15" hidden="false" customHeight="false" outlineLevel="0" collapsed="false">
      <c r="A2234" s="6" t="s">
        <v>4577</v>
      </c>
      <c r="B2234" s="6" t="s">
        <v>4578</v>
      </c>
      <c r="C2234" s="6" t="s">
        <v>75</v>
      </c>
      <c r="D2234" s="6" t="n">
        <v>40</v>
      </c>
      <c r="E2234" s="6" t="s">
        <v>95</v>
      </c>
      <c r="F2234" s="6" t="s">
        <v>95</v>
      </c>
      <c r="G2234" s="26" t="n">
        <v>46061</v>
      </c>
      <c r="H2234" s="6" t="s">
        <v>88</v>
      </c>
      <c r="I2234" s="26" t="n">
        <f aca="false">_xlfn.MINIFS(Transaction!$C$2:$C$8421,Transaction!$B$2:$B$8421,A2234)</f>
        <v>46076</v>
      </c>
      <c r="J2234" s="26" t="n">
        <f aca="false">_xlfn.MAXIFS(Transaction!$C$2:$C$8421,Transaction!$B$2:$B$8421,A2234)</f>
        <v>46076</v>
      </c>
      <c r="K2234" s="6" t="n">
        <f aca="false">COUNTIF(Transaction!$B$2:$B$8421,A2234)</f>
        <v>1</v>
      </c>
      <c r="L2234" s="10" t="n">
        <f aca="false">SUMIF(Transaction!$B$2:$B$8421,A2234,Transaction!$H$2:$H$8421)</f>
        <v>880</v>
      </c>
      <c r="M2234" s="6" t="n">
        <f aca="false">Summary!$B$3-J2234</f>
        <v>190</v>
      </c>
      <c r="N2234" s="6" t="str">
        <f aca="false">IF(K2234&gt;1,"Yes","No")</f>
        <v>No</v>
      </c>
      <c r="O2234" s="6" t="s">
        <v>49</v>
      </c>
    </row>
    <row r="2235" customFormat="false" ht="15" hidden="false" customHeight="false" outlineLevel="0" collapsed="false">
      <c r="A2235" s="6" t="s">
        <v>4579</v>
      </c>
      <c r="B2235" s="6" t="s">
        <v>4580</v>
      </c>
      <c r="C2235" s="6" t="s">
        <v>85</v>
      </c>
      <c r="D2235" s="6" t="n">
        <v>21</v>
      </c>
      <c r="E2235" s="6" t="s">
        <v>430</v>
      </c>
      <c r="F2235" s="6" t="s">
        <v>99</v>
      </c>
      <c r="G2235" s="26" t="n">
        <v>46143</v>
      </c>
      <c r="H2235" s="6" t="s">
        <v>102</v>
      </c>
      <c r="I2235" s="26" t="n">
        <f aca="false">_xlfn.MINIFS(Transaction!$C$2:$C$8421,Transaction!$B$2:$B$8421,A2235)</f>
        <v>46175</v>
      </c>
      <c r="J2235" s="26" t="n">
        <f aca="false">_xlfn.MAXIFS(Transaction!$C$2:$C$8421,Transaction!$B$2:$B$8421,A2235)</f>
        <v>46175</v>
      </c>
      <c r="K2235" s="6" t="n">
        <f aca="false">COUNTIF(Transaction!$B$2:$B$8421,A2235)</f>
        <v>1</v>
      </c>
      <c r="L2235" s="10" t="n">
        <f aca="false">SUMIF(Transaction!$B$2:$B$8421,A2235,Transaction!$H$2:$H$8421)</f>
        <v>1965</v>
      </c>
      <c r="M2235" s="6" t="n">
        <f aca="false">Summary!$B$3-J2235</f>
        <v>91</v>
      </c>
      <c r="N2235" s="6" t="str">
        <f aca="false">IF(K2235&gt;1,"Yes","No")</f>
        <v>No</v>
      </c>
      <c r="O2235" s="6" t="s">
        <v>47</v>
      </c>
    </row>
    <row r="2236" customFormat="false" ht="15" hidden="false" customHeight="false" outlineLevel="0" collapsed="false">
      <c r="A2236" s="6" t="s">
        <v>4581</v>
      </c>
      <c r="B2236" s="6" t="s">
        <v>4582</v>
      </c>
      <c r="C2236" s="6" t="s">
        <v>85</v>
      </c>
      <c r="D2236" s="6" t="n">
        <v>28</v>
      </c>
      <c r="E2236" s="6" t="s">
        <v>176</v>
      </c>
      <c r="F2236" s="6" t="s">
        <v>177</v>
      </c>
      <c r="G2236" s="26" t="n">
        <v>46011</v>
      </c>
      <c r="H2236" s="6" t="s">
        <v>88</v>
      </c>
      <c r="I2236" s="26" t="n">
        <f aca="false">_xlfn.MINIFS(Transaction!$C$2:$C$8421,Transaction!$B$2:$B$8421,A2236)</f>
        <v>46034</v>
      </c>
      <c r="J2236" s="26" t="n">
        <f aca="false">_xlfn.MAXIFS(Transaction!$C$2:$C$8421,Transaction!$B$2:$B$8421,A2236)</f>
        <v>46254</v>
      </c>
      <c r="K2236" s="6" t="n">
        <f aca="false">COUNTIF(Transaction!$B$2:$B$8421,A2236)</f>
        <v>8</v>
      </c>
      <c r="L2236" s="10" t="n">
        <f aca="false">SUMIF(Transaction!$B$2:$B$8421,A2236,Transaction!$H$2:$H$8421)</f>
        <v>22018</v>
      </c>
      <c r="M2236" s="6" t="n">
        <f aca="false">Summary!$B$3-J2236</f>
        <v>12</v>
      </c>
      <c r="N2236" s="6" t="str">
        <f aca="false">IF(K2236&gt;1,"Yes","No")</f>
        <v>Yes</v>
      </c>
      <c r="O2236" s="6" t="s">
        <v>45</v>
      </c>
    </row>
    <row r="2237" customFormat="false" ht="15" hidden="false" customHeight="false" outlineLevel="0" collapsed="false">
      <c r="A2237" s="6" t="s">
        <v>4583</v>
      </c>
      <c r="B2237" s="6" t="s">
        <v>4584</v>
      </c>
      <c r="C2237" s="6" t="s">
        <v>75</v>
      </c>
      <c r="D2237" s="6" t="n">
        <v>24</v>
      </c>
      <c r="E2237" s="6" t="s">
        <v>81</v>
      </c>
      <c r="F2237" s="6" t="s">
        <v>82</v>
      </c>
      <c r="G2237" s="26" t="n">
        <v>46023</v>
      </c>
      <c r="H2237" s="6" t="s">
        <v>115</v>
      </c>
      <c r="I2237" s="26" t="n">
        <f aca="false">_xlfn.MINIFS(Transaction!$C$2:$C$8421,Transaction!$B$2:$B$8421,A2237)</f>
        <v>46063</v>
      </c>
      <c r="J2237" s="26" t="n">
        <f aca="false">_xlfn.MAXIFS(Transaction!$C$2:$C$8421,Transaction!$B$2:$B$8421,A2237)</f>
        <v>46243</v>
      </c>
      <c r="K2237" s="6" t="n">
        <f aca="false">COUNTIF(Transaction!$B$2:$B$8421,A2237)</f>
        <v>8</v>
      </c>
      <c r="L2237" s="10" t="n">
        <f aca="false">SUMIF(Transaction!$B$2:$B$8421,A2237,Transaction!$H$2:$H$8421)</f>
        <v>16937</v>
      </c>
      <c r="M2237" s="6" t="n">
        <f aca="false">Summary!$B$3-J2237</f>
        <v>23</v>
      </c>
      <c r="N2237" s="6" t="str">
        <f aca="false">IF(K2237&gt;1,"Yes","No")</f>
        <v>Yes</v>
      </c>
      <c r="O2237" s="6" t="s">
        <v>45</v>
      </c>
    </row>
    <row r="2238" customFormat="false" ht="15" hidden="false" customHeight="false" outlineLevel="0" collapsed="false">
      <c r="A2238" s="6" t="s">
        <v>4585</v>
      </c>
      <c r="B2238" s="6" t="s">
        <v>4586</v>
      </c>
      <c r="C2238" s="6" t="s">
        <v>75</v>
      </c>
      <c r="D2238" s="6" t="n">
        <v>23</v>
      </c>
      <c r="E2238" s="6" t="s">
        <v>76</v>
      </c>
      <c r="F2238" s="6" t="s">
        <v>77</v>
      </c>
      <c r="G2238" s="26" t="n">
        <v>45997</v>
      </c>
      <c r="H2238" s="6" t="s">
        <v>78</v>
      </c>
      <c r="I2238" s="26" t="n">
        <f aca="false">_xlfn.MINIFS(Transaction!$C$2:$C$8421,Transaction!$B$2:$B$8421,A2238)</f>
        <v>46032</v>
      </c>
      <c r="J2238" s="26" t="n">
        <f aca="false">_xlfn.MAXIFS(Transaction!$C$2:$C$8421,Transaction!$B$2:$B$8421,A2238)</f>
        <v>46184</v>
      </c>
      <c r="K2238" s="6" t="n">
        <f aca="false">COUNTIF(Transaction!$B$2:$B$8421,A2238)</f>
        <v>4</v>
      </c>
      <c r="L2238" s="10" t="n">
        <f aca="false">SUMIF(Transaction!$B$2:$B$8421,A2238,Transaction!$H$2:$H$8421)</f>
        <v>7226</v>
      </c>
      <c r="M2238" s="6" t="n">
        <f aca="false">Summary!$B$3-J2238</f>
        <v>82</v>
      </c>
      <c r="N2238" s="6" t="str">
        <f aca="false">IF(K2238&gt;1,"Yes","No")</f>
        <v>Yes</v>
      </c>
      <c r="O2238" s="6" t="s">
        <v>46</v>
      </c>
    </row>
    <row r="2239" customFormat="false" ht="15" hidden="false" customHeight="false" outlineLevel="0" collapsed="false">
      <c r="A2239" s="6" t="s">
        <v>4587</v>
      </c>
      <c r="B2239" s="6" t="s">
        <v>4588</v>
      </c>
      <c r="C2239" s="6" t="s">
        <v>75</v>
      </c>
      <c r="D2239" s="6" t="n">
        <v>41</v>
      </c>
      <c r="E2239" s="6" t="s">
        <v>76</v>
      </c>
      <c r="F2239" s="6" t="s">
        <v>77</v>
      </c>
      <c r="G2239" s="26" t="n">
        <v>45943</v>
      </c>
      <c r="H2239" s="6" t="s">
        <v>78</v>
      </c>
      <c r="I2239" s="26" t="n">
        <f aca="false">_xlfn.MINIFS(Transaction!$C$2:$C$8421,Transaction!$B$2:$B$8421,A2239)</f>
        <v>46028</v>
      </c>
      <c r="J2239" s="26" t="n">
        <f aca="false">_xlfn.MAXIFS(Transaction!$C$2:$C$8421,Transaction!$B$2:$B$8421,A2239)</f>
        <v>46242</v>
      </c>
      <c r="K2239" s="6" t="n">
        <f aca="false">COUNTIF(Transaction!$B$2:$B$8421,A2239)</f>
        <v>11</v>
      </c>
      <c r="L2239" s="10" t="n">
        <f aca="false">SUMIF(Transaction!$B$2:$B$8421,A2239,Transaction!$H$2:$H$8421)</f>
        <v>17036</v>
      </c>
      <c r="M2239" s="6" t="n">
        <f aca="false">Summary!$B$3-J2239</f>
        <v>24</v>
      </c>
      <c r="N2239" s="6" t="str">
        <f aca="false">IF(K2239&gt;1,"Yes","No")</f>
        <v>Yes</v>
      </c>
      <c r="O2239" s="6" t="s">
        <v>45</v>
      </c>
    </row>
    <row r="2240" customFormat="false" ht="15" hidden="false" customHeight="false" outlineLevel="0" collapsed="false">
      <c r="A2240" s="6" t="s">
        <v>4589</v>
      </c>
      <c r="B2240" s="6" t="s">
        <v>4590</v>
      </c>
      <c r="C2240" s="6" t="s">
        <v>75</v>
      </c>
      <c r="D2240" s="6" t="n">
        <v>44</v>
      </c>
      <c r="E2240" s="6" t="s">
        <v>95</v>
      </c>
      <c r="F2240" s="6" t="s">
        <v>95</v>
      </c>
      <c r="G2240" s="26" t="n">
        <v>45953</v>
      </c>
      <c r="H2240" s="6" t="s">
        <v>78</v>
      </c>
      <c r="I2240" s="26" t="n">
        <f aca="false">_xlfn.MINIFS(Transaction!$C$2:$C$8421,Transaction!$B$2:$B$8421,A2240)</f>
        <v>46035</v>
      </c>
      <c r="J2240" s="26" t="n">
        <f aca="false">_xlfn.MAXIFS(Transaction!$C$2:$C$8421,Transaction!$B$2:$B$8421,A2240)</f>
        <v>46035</v>
      </c>
      <c r="K2240" s="6" t="n">
        <f aca="false">COUNTIF(Transaction!$B$2:$B$8421,A2240)</f>
        <v>1</v>
      </c>
      <c r="L2240" s="10" t="n">
        <f aca="false">SUMIF(Transaction!$B$2:$B$8421,A2240,Transaction!$H$2:$H$8421)</f>
        <v>2229</v>
      </c>
      <c r="M2240" s="6" t="n">
        <f aca="false">Summary!$B$3-J2240</f>
        <v>231</v>
      </c>
      <c r="N2240" s="6" t="str">
        <f aca="false">IF(K2240&gt;1,"Yes","No")</f>
        <v>No</v>
      </c>
      <c r="O2240" s="6" t="s">
        <v>49</v>
      </c>
    </row>
    <row r="2241" customFormat="false" ht="15" hidden="false" customHeight="false" outlineLevel="0" collapsed="false">
      <c r="A2241" s="6" t="s">
        <v>4591</v>
      </c>
      <c r="B2241" s="6" t="s">
        <v>4592</v>
      </c>
      <c r="C2241" s="6" t="s">
        <v>75</v>
      </c>
      <c r="D2241" s="6" t="n">
        <v>28</v>
      </c>
      <c r="E2241" s="6" t="s">
        <v>264</v>
      </c>
      <c r="F2241" s="6" t="s">
        <v>106</v>
      </c>
      <c r="G2241" s="26" t="n">
        <v>46063</v>
      </c>
      <c r="H2241" s="6" t="s">
        <v>92</v>
      </c>
      <c r="I2241" s="26" t="n">
        <f aca="false">_xlfn.MINIFS(Transaction!$C$2:$C$8421,Transaction!$B$2:$B$8421,A2241)</f>
        <v>46104</v>
      </c>
      <c r="J2241" s="26" t="n">
        <f aca="false">_xlfn.MAXIFS(Transaction!$C$2:$C$8421,Transaction!$B$2:$B$8421,A2241)</f>
        <v>46104</v>
      </c>
      <c r="K2241" s="6" t="n">
        <f aca="false">COUNTIF(Transaction!$B$2:$B$8421,A2241)</f>
        <v>1</v>
      </c>
      <c r="L2241" s="10" t="n">
        <f aca="false">SUMIF(Transaction!$B$2:$B$8421,A2241,Transaction!$H$2:$H$8421)</f>
        <v>4078</v>
      </c>
      <c r="M2241" s="6" t="n">
        <f aca="false">Summary!$B$3-J2241</f>
        <v>162</v>
      </c>
      <c r="N2241" s="6" t="str">
        <f aca="false">IF(K2241&gt;1,"Yes","No")</f>
        <v>No</v>
      </c>
      <c r="O2241" s="6" t="s">
        <v>49</v>
      </c>
    </row>
    <row r="2242" customFormat="false" ht="15" hidden="false" customHeight="false" outlineLevel="0" collapsed="false">
      <c r="A2242" s="6" t="s">
        <v>4593</v>
      </c>
      <c r="B2242" s="6" t="s">
        <v>4594</v>
      </c>
      <c r="C2242" s="6" t="s">
        <v>85</v>
      </c>
      <c r="D2242" s="6" t="n">
        <v>36</v>
      </c>
      <c r="E2242" s="6" t="s">
        <v>76</v>
      </c>
      <c r="F2242" s="6" t="s">
        <v>77</v>
      </c>
      <c r="G2242" s="26" t="n">
        <v>45996</v>
      </c>
      <c r="H2242" s="6" t="s">
        <v>123</v>
      </c>
      <c r="I2242" s="26" t="n">
        <f aca="false">_xlfn.MINIFS(Transaction!$C$2:$C$8421,Transaction!$B$2:$B$8421,A2242)</f>
        <v>46058</v>
      </c>
      <c r="J2242" s="26" t="n">
        <f aca="false">_xlfn.MAXIFS(Transaction!$C$2:$C$8421,Transaction!$B$2:$B$8421,A2242)</f>
        <v>46259</v>
      </c>
      <c r="K2242" s="6" t="n">
        <f aca="false">COUNTIF(Transaction!$B$2:$B$8421,A2242)</f>
        <v>7</v>
      </c>
      <c r="L2242" s="10" t="n">
        <f aca="false">SUMIF(Transaction!$B$2:$B$8421,A2242,Transaction!$H$2:$H$8421)</f>
        <v>22604</v>
      </c>
      <c r="M2242" s="6" t="n">
        <f aca="false">Summary!$B$3-J2242</f>
        <v>7</v>
      </c>
      <c r="N2242" s="6" t="str">
        <f aca="false">IF(K2242&gt;1,"Yes","No")</f>
        <v>Yes</v>
      </c>
      <c r="O2242" s="6" t="s">
        <v>45</v>
      </c>
    </row>
    <row r="2243" customFormat="false" ht="15" hidden="false" customHeight="false" outlineLevel="0" collapsed="false">
      <c r="A2243" s="6" t="s">
        <v>4595</v>
      </c>
      <c r="B2243" s="6" t="s">
        <v>4596</v>
      </c>
      <c r="C2243" s="6" t="s">
        <v>75</v>
      </c>
      <c r="D2243" s="6" t="n">
        <v>39</v>
      </c>
      <c r="E2243" s="6" t="s">
        <v>81</v>
      </c>
      <c r="F2243" s="6" t="s">
        <v>82</v>
      </c>
      <c r="G2243" s="26" t="n">
        <v>46175</v>
      </c>
      <c r="H2243" s="6" t="s">
        <v>102</v>
      </c>
      <c r="I2243" s="26" t="n">
        <f aca="false">_xlfn.MINIFS(Transaction!$C$2:$C$8421,Transaction!$B$2:$B$8421,A2243)</f>
        <v>46216</v>
      </c>
      <c r="J2243" s="26" t="n">
        <f aca="false">_xlfn.MAXIFS(Transaction!$C$2:$C$8421,Transaction!$B$2:$B$8421,A2243)</f>
        <v>46216</v>
      </c>
      <c r="K2243" s="6" t="n">
        <f aca="false">COUNTIF(Transaction!$B$2:$B$8421,A2243)</f>
        <v>1</v>
      </c>
      <c r="L2243" s="10" t="n">
        <f aca="false">SUMIF(Transaction!$B$2:$B$8421,A2243,Transaction!$H$2:$H$8421)</f>
        <v>611</v>
      </c>
      <c r="M2243" s="6" t="n">
        <f aca="false">Summary!$B$3-J2243</f>
        <v>50</v>
      </c>
      <c r="N2243" s="6" t="str">
        <f aca="false">IF(K2243&gt;1,"Yes","No")</f>
        <v>No</v>
      </c>
      <c r="O2243" s="6" t="s">
        <v>47</v>
      </c>
    </row>
    <row r="2244" customFormat="false" ht="15" hidden="false" customHeight="false" outlineLevel="0" collapsed="false">
      <c r="A2244" s="6" t="s">
        <v>4597</v>
      </c>
      <c r="B2244" s="6" t="s">
        <v>4598</v>
      </c>
      <c r="C2244" s="6" t="s">
        <v>85</v>
      </c>
      <c r="D2244" s="6" t="n">
        <v>28</v>
      </c>
      <c r="E2244" s="6" t="s">
        <v>76</v>
      </c>
      <c r="F2244" s="6" t="s">
        <v>77</v>
      </c>
      <c r="G2244" s="26" t="n">
        <v>46132</v>
      </c>
      <c r="H2244" s="6" t="s">
        <v>88</v>
      </c>
      <c r="I2244" s="26" t="n">
        <f aca="false">_xlfn.MINIFS(Transaction!$C$2:$C$8421,Transaction!$B$2:$B$8421,A2244)</f>
        <v>46160</v>
      </c>
      <c r="J2244" s="26" t="n">
        <f aca="false">_xlfn.MAXIFS(Transaction!$C$2:$C$8421,Transaction!$B$2:$B$8421,A2244)</f>
        <v>46160</v>
      </c>
      <c r="K2244" s="6" t="n">
        <f aca="false">COUNTIF(Transaction!$B$2:$B$8421,A2244)</f>
        <v>1</v>
      </c>
      <c r="L2244" s="10" t="n">
        <f aca="false">SUMIF(Transaction!$B$2:$B$8421,A2244,Transaction!$H$2:$H$8421)</f>
        <v>11204</v>
      </c>
      <c r="M2244" s="6" t="n">
        <f aca="false">Summary!$B$3-J2244</f>
        <v>106</v>
      </c>
      <c r="N2244" s="6" t="str">
        <f aca="false">IF(K2244&gt;1,"Yes","No")</f>
        <v>No</v>
      </c>
      <c r="O2244" s="6" t="s">
        <v>48</v>
      </c>
    </row>
    <row r="2245" customFormat="false" ht="15" hidden="false" customHeight="false" outlineLevel="0" collapsed="false">
      <c r="A2245" s="6" t="s">
        <v>4599</v>
      </c>
      <c r="B2245" s="6" t="s">
        <v>4600</v>
      </c>
      <c r="C2245" s="6" t="s">
        <v>75</v>
      </c>
      <c r="D2245" s="6" t="n">
        <v>31</v>
      </c>
      <c r="E2245" s="6" t="s">
        <v>81</v>
      </c>
      <c r="F2245" s="6" t="s">
        <v>82</v>
      </c>
      <c r="G2245" s="26" t="n">
        <v>46216</v>
      </c>
      <c r="H2245" s="6" t="s">
        <v>78</v>
      </c>
      <c r="I2245" s="26" t="n">
        <f aca="false">_xlfn.MINIFS(Transaction!$C$2:$C$8421,Transaction!$B$2:$B$8421,A2245)</f>
        <v>46256</v>
      </c>
      <c r="J2245" s="26" t="n">
        <f aca="false">_xlfn.MAXIFS(Transaction!$C$2:$C$8421,Transaction!$B$2:$B$8421,A2245)</f>
        <v>46256</v>
      </c>
      <c r="K2245" s="6" t="n">
        <f aca="false">COUNTIF(Transaction!$B$2:$B$8421,A2245)</f>
        <v>1</v>
      </c>
      <c r="L2245" s="10" t="n">
        <f aca="false">SUMIF(Transaction!$B$2:$B$8421,A2245,Transaction!$H$2:$H$8421)</f>
        <v>1410</v>
      </c>
      <c r="M2245" s="6" t="n">
        <f aca="false">Summary!$B$3-J2245</f>
        <v>10</v>
      </c>
      <c r="N2245" s="6" t="str">
        <f aca="false">IF(K2245&gt;1,"Yes","No")</f>
        <v>No</v>
      </c>
      <c r="O2245" s="6" t="s">
        <v>47</v>
      </c>
    </row>
    <row r="2246" customFormat="false" ht="15" hidden="false" customHeight="false" outlineLevel="0" collapsed="false">
      <c r="A2246" s="6" t="s">
        <v>4601</v>
      </c>
      <c r="B2246" s="6" t="s">
        <v>4602</v>
      </c>
      <c r="C2246" s="6" t="s">
        <v>85</v>
      </c>
      <c r="D2246" s="6" t="n">
        <v>18</v>
      </c>
      <c r="E2246" s="6" t="s">
        <v>146</v>
      </c>
      <c r="F2246" s="6" t="s">
        <v>147</v>
      </c>
      <c r="G2246" s="26" t="n">
        <v>46039</v>
      </c>
      <c r="H2246" s="6" t="s">
        <v>78</v>
      </c>
      <c r="I2246" s="26" t="n">
        <f aca="false">_xlfn.MINIFS(Transaction!$C$2:$C$8421,Transaction!$B$2:$B$8421,A2246)</f>
        <v>46073</v>
      </c>
      <c r="J2246" s="26" t="n">
        <f aca="false">_xlfn.MAXIFS(Transaction!$C$2:$C$8421,Transaction!$B$2:$B$8421,A2246)</f>
        <v>46263</v>
      </c>
      <c r="K2246" s="6" t="n">
        <f aca="false">COUNTIF(Transaction!$B$2:$B$8421,A2246)</f>
        <v>10</v>
      </c>
      <c r="L2246" s="10" t="n">
        <f aca="false">SUMIF(Transaction!$B$2:$B$8421,A2246,Transaction!$H$2:$H$8421)</f>
        <v>13134</v>
      </c>
      <c r="M2246" s="6" t="n">
        <f aca="false">Summary!$B$3-J2246</f>
        <v>3</v>
      </c>
      <c r="N2246" s="6" t="str">
        <f aca="false">IF(K2246&gt;1,"Yes","No")</f>
        <v>Yes</v>
      </c>
      <c r="O2246" s="6" t="s">
        <v>45</v>
      </c>
    </row>
    <row r="2247" customFormat="false" ht="15" hidden="false" customHeight="false" outlineLevel="0" collapsed="false">
      <c r="A2247" s="6" t="s">
        <v>4603</v>
      </c>
      <c r="B2247" s="6" t="s">
        <v>4604</v>
      </c>
      <c r="C2247" s="6" t="s">
        <v>85</v>
      </c>
      <c r="D2247" s="6" t="n">
        <v>20</v>
      </c>
      <c r="E2247" s="6" t="s">
        <v>81</v>
      </c>
      <c r="F2247" s="6" t="s">
        <v>82</v>
      </c>
      <c r="G2247" s="26" t="n">
        <v>46035</v>
      </c>
      <c r="H2247" s="6" t="s">
        <v>78</v>
      </c>
      <c r="I2247" s="26" t="n">
        <f aca="false">_xlfn.MINIFS(Transaction!$C$2:$C$8421,Transaction!$B$2:$B$8421,A2247)</f>
        <v>46074</v>
      </c>
      <c r="J2247" s="26" t="n">
        <f aca="false">_xlfn.MAXIFS(Transaction!$C$2:$C$8421,Transaction!$B$2:$B$8421,A2247)</f>
        <v>46074</v>
      </c>
      <c r="K2247" s="6" t="n">
        <f aca="false">COUNTIF(Transaction!$B$2:$B$8421,A2247)</f>
        <v>1</v>
      </c>
      <c r="L2247" s="10" t="n">
        <f aca="false">SUMIF(Transaction!$B$2:$B$8421,A2247,Transaction!$H$2:$H$8421)</f>
        <v>3344</v>
      </c>
      <c r="M2247" s="6" t="n">
        <f aca="false">Summary!$B$3-J2247</f>
        <v>192</v>
      </c>
      <c r="N2247" s="6" t="str">
        <f aca="false">IF(K2247&gt;1,"Yes","No")</f>
        <v>No</v>
      </c>
      <c r="O2247" s="6" t="s">
        <v>49</v>
      </c>
    </row>
    <row r="2248" customFormat="false" ht="15" hidden="false" customHeight="false" outlineLevel="0" collapsed="false">
      <c r="A2248" s="6" t="s">
        <v>4605</v>
      </c>
      <c r="B2248" s="6" t="s">
        <v>4606</v>
      </c>
      <c r="C2248" s="6" t="s">
        <v>75</v>
      </c>
      <c r="D2248" s="6" t="n">
        <v>27</v>
      </c>
      <c r="E2248" s="6" t="s">
        <v>95</v>
      </c>
      <c r="F2248" s="6" t="s">
        <v>95</v>
      </c>
      <c r="G2248" s="26" t="n">
        <v>46067</v>
      </c>
      <c r="H2248" s="6" t="s">
        <v>78</v>
      </c>
      <c r="I2248" s="26" t="n">
        <f aca="false">_xlfn.MINIFS(Transaction!$C$2:$C$8421,Transaction!$B$2:$B$8421,A2248)</f>
        <v>46086</v>
      </c>
      <c r="J2248" s="26" t="n">
        <f aca="false">_xlfn.MAXIFS(Transaction!$C$2:$C$8421,Transaction!$B$2:$B$8421,A2248)</f>
        <v>46254</v>
      </c>
      <c r="K2248" s="6" t="n">
        <f aca="false">COUNTIF(Transaction!$B$2:$B$8421,A2248)</f>
        <v>8</v>
      </c>
      <c r="L2248" s="10" t="n">
        <f aca="false">SUMIF(Transaction!$B$2:$B$8421,A2248,Transaction!$H$2:$H$8421)</f>
        <v>18360</v>
      </c>
      <c r="M2248" s="6" t="n">
        <f aca="false">Summary!$B$3-J2248</f>
        <v>12</v>
      </c>
      <c r="N2248" s="6" t="str">
        <f aca="false">IF(K2248&gt;1,"Yes","No")</f>
        <v>Yes</v>
      </c>
      <c r="O2248" s="6" t="s">
        <v>45</v>
      </c>
    </row>
    <row r="2249" customFormat="false" ht="15" hidden="false" customHeight="false" outlineLevel="0" collapsed="false">
      <c r="A2249" s="6" t="s">
        <v>4607</v>
      </c>
      <c r="B2249" s="6" t="s">
        <v>4608</v>
      </c>
      <c r="C2249" s="6" t="s">
        <v>75</v>
      </c>
      <c r="D2249" s="6" t="n">
        <v>26</v>
      </c>
      <c r="E2249" s="6" t="s">
        <v>121</v>
      </c>
      <c r="F2249" s="6" t="s">
        <v>122</v>
      </c>
      <c r="G2249" s="26" t="n">
        <v>46117</v>
      </c>
      <c r="H2249" s="6" t="s">
        <v>78</v>
      </c>
      <c r="I2249" s="26" t="n">
        <f aca="false">_xlfn.MINIFS(Transaction!$C$2:$C$8421,Transaction!$B$2:$B$8421,A2249)</f>
        <v>46168</v>
      </c>
      <c r="J2249" s="26" t="n">
        <f aca="false">_xlfn.MAXIFS(Transaction!$C$2:$C$8421,Transaction!$B$2:$B$8421,A2249)</f>
        <v>46168</v>
      </c>
      <c r="K2249" s="6" t="n">
        <f aca="false">COUNTIF(Transaction!$B$2:$B$8421,A2249)</f>
        <v>1</v>
      </c>
      <c r="L2249" s="10" t="n">
        <f aca="false">SUMIF(Transaction!$B$2:$B$8421,A2249,Transaction!$H$2:$H$8421)</f>
        <v>4048</v>
      </c>
      <c r="M2249" s="6" t="n">
        <f aca="false">Summary!$B$3-J2249</f>
        <v>98</v>
      </c>
      <c r="N2249" s="6" t="str">
        <f aca="false">IF(K2249&gt;1,"Yes","No")</f>
        <v>No</v>
      </c>
      <c r="O2249" s="6" t="s">
        <v>48</v>
      </c>
    </row>
    <row r="2250" customFormat="false" ht="15" hidden="false" customHeight="false" outlineLevel="0" collapsed="false">
      <c r="A2250" s="6" t="s">
        <v>4609</v>
      </c>
      <c r="B2250" s="6" t="s">
        <v>4610</v>
      </c>
      <c r="C2250" s="6" t="s">
        <v>85</v>
      </c>
      <c r="D2250" s="6" t="n">
        <v>33</v>
      </c>
      <c r="E2250" s="6" t="s">
        <v>91</v>
      </c>
      <c r="F2250" s="6" t="s">
        <v>77</v>
      </c>
      <c r="G2250" s="26" t="n">
        <v>46087</v>
      </c>
      <c r="H2250" s="6" t="s">
        <v>102</v>
      </c>
      <c r="I2250" s="26" t="n">
        <f aca="false">_xlfn.MINIFS(Transaction!$C$2:$C$8421,Transaction!$B$2:$B$8421,A2250)</f>
        <v>46108</v>
      </c>
      <c r="J2250" s="26" t="n">
        <f aca="false">_xlfn.MAXIFS(Transaction!$C$2:$C$8421,Transaction!$B$2:$B$8421,A2250)</f>
        <v>46175</v>
      </c>
      <c r="K2250" s="6" t="n">
        <f aca="false">COUNTIF(Transaction!$B$2:$B$8421,A2250)</f>
        <v>4</v>
      </c>
      <c r="L2250" s="10" t="n">
        <f aca="false">SUMIF(Transaction!$B$2:$B$8421,A2250,Transaction!$H$2:$H$8421)</f>
        <v>5428</v>
      </c>
      <c r="M2250" s="6" t="n">
        <f aca="false">Summary!$B$3-J2250</f>
        <v>91</v>
      </c>
      <c r="N2250" s="6" t="str">
        <f aca="false">IF(K2250&gt;1,"Yes","No")</f>
        <v>Yes</v>
      </c>
      <c r="O2250" s="6" t="s">
        <v>46</v>
      </c>
    </row>
    <row r="2251" customFormat="false" ht="15" hidden="false" customHeight="false" outlineLevel="0" collapsed="false">
      <c r="A2251" s="6" t="s">
        <v>4611</v>
      </c>
      <c r="B2251" s="6" t="s">
        <v>4612</v>
      </c>
      <c r="C2251" s="6" t="s">
        <v>75</v>
      </c>
      <c r="D2251" s="6" t="n">
        <v>38</v>
      </c>
      <c r="E2251" s="6" t="s">
        <v>95</v>
      </c>
      <c r="F2251" s="6" t="s">
        <v>95</v>
      </c>
      <c r="G2251" s="26" t="n">
        <v>46104</v>
      </c>
      <c r="H2251" s="6" t="s">
        <v>115</v>
      </c>
      <c r="I2251" s="26" t="n">
        <f aca="false">_xlfn.MINIFS(Transaction!$C$2:$C$8421,Transaction!$B$2:$B$8421,A2251)</f>
        <v>46119</v>
      </c>
      <c r="J2251" s="26" t="n">
        <f aca="false">_xlfn.MAXIFS(Transaction!$C$2:$C$8421,Transaction!$B$2:$B$8421,A2251)</f>
        <v>46211</v>
      </c>
      <c r="K2251" s="6" t="n">
        <f aca="false">COUNTIF(Transaction!$B$2:$B$8421,A2251)</f>
        <v>3</v>
      </c>
      <c r="L2251" s="10" t="n">
        <f aca="false">SUMIF(Transaction!$B$2:$B$8421,A2251,Transaction!$H$2:$H$8421)</f>
        <v>2777</v>
      </c>
      <c r="M2251" s="6" t="n">
        <f aca="false">Summary!$B$3-J2251</f>
        <v>55</v>
      </c>
      <c r="N2251" s="6" t="str">
        <f aca="false">IF(K2251&gt;1,"Yes","No")</f>
        <v>Yes</v>
      </c>
      <c r="O2251" s="6" t="s">
        <v>46</v>
      </c>
    </row>
    <row r="2252" customFormat="false" ht="15" hidden="false" customHeight="false" outlineLevel="0" collapsed="false">
      <c r="A2252" s="6" t="s">
        <v>4613</v>
      </c>
      <c r="B2252" s="6" t="s">
        <v>4614</v>
      </c>
      <c r="C2252" s="6" t="s">
        <v>85</v>
      </c>
      <c r="D2252" s="6" t="n">
        <v>53</v>
      </c>
      <c r="E2252" s="6" t="s">
        <v>95</v>
      </c>
      <c r="F2252" s="6" t="s">
        <v>95</v>
      </c>
      <c r="G2252" s="26" t="n">
        <v>46051</v>
      </c>
      <c r="H2252" s="6" t="s">
        <v>102</v>
      </c>
      <c r="I2252" s="26" t="n">
        <f aca="false">_xlfn.MINIFS(Transaction!$C$2:$C$8421,Transaction!$B$2:$B$8421,A2252)</f>
        <v>46117</v>
      </c>
      <c r="J2252" s="26" t="n">
        <f aca="false">_xlfn.MAXIFS(Transaction!$C$2:$C$8421,Transaction!$B$2:$B$8421,A2252)</f>
        <v>46117</v>
      </c>
      <c r="K2252" s="6" t="n">
        <f aca="false">COUNTIF(Transaction!$B$2:$B$8421,A2252)</f>
        <v>1</v>
      </c>
      <c r="L2252" s="10" t="n">
        <f aca="false">SUMIF(Transaction!$B$2:$B$8421,A2252,Transaction!$H$2:$H$8421)</f>
        <v>595</v>
      </c>
      <c r="M2252" s="6" t="n">
        <f aca="false">Summary!$B$3-J2252</f>
        <v>149</v>
      </c>
      <c r="N2252" s="6" t="str">
        <f aca="false">IF(K2252&gt;1,"Yes","No")</f>
        <v>No</v>
      </c>
      <c r="O2252" s="6" t="s">
        <v>48</v>
      </c>
    </row>
    <row r="2253" customFormat="false" ht="15" hidden="false" customHeight="false" outlineLevel="0" collapsed="false">
      <c r="A2253" s="6" t="s">
        <v>4615</v>
      </c>
      <c r="B2253" s="6" t="s">
        <v>4616</v>
      </c>
      <c r="C2253" s="6" t="s">
        <v>85</v>
      </c>
      <c r="D2253" s="6" t="n">
        <v>18</v>
      </c>
      <c r="E2253" s="6" t="s">
        <v>121</v>
      </c>
      <c r="F2253" s="6" t="s">
        <v>122</v>
      </c>
      <c r="G2253" s="26" t="n">
        <v>45979</v>
      </c>
      <c r="H2253" s="6" t="s">
        <v>92</v>
      </c>
      <c r="I2253" s="26" t="n">
        <f aca="false">_xlfn.MINIFS(Transaction!$C$2:$C$8421,Transaction!$B$2:$B$8421,A2253)</f>
        <v>46034</v>
      </c>
      <c r="J2253" s="26" t="n">
        <f aca="false">_xlfn.MAXIFS(Transaction!$C$2:$C$8421,Transaction!$B$2:$B$8421,A2253)</f>
        <v>46250</v>
      </c>
      <c r="K2253" s="6" t="n">
        <f aca="false">COUNTIF(Transaction!$B$2:$B$8421,A2253)</f>
        <v>11</v>
      </c>
      <c r="L2253" s="10" t="n">
        <f aca="false">SUMIF(Transaction!$B$2:$B$8421,A2253,Transaction!$H$2:$H$8421)</f>
        <v>42028</v>
      </c>
      <c r="M2253" s="6" t="n">
        <f aca="false">Summary!$B$3-J2253</f>
        <v>16</v>
      </c>
      <c r="N2253" s="6" t="str">
        <f aca="false">IF(K2253&gt;1,"Yes","No")</f>
        <v>Yes</v>
      </c>
      <c r="O2253" s="6" t="s">
        <v>45</v>
      </c>
    </row>
    <row r="2254" customFormat="false" ht="15" hidden="false" customHeight="false" outlineLevel="0" collapsed="false">
      <c r="A2254" s="6" t="s">
        <v>4617</v>
      </c>
      <c r="B2254" s="6" t="s">
        <v>4618</v>
      </c>
      <c r="C2254" s="6" t="s">
        <v>85</v>
      </c>
      <c r="D2254" s="6" t="n">
        <v>18</v>
      </c>
      <c r="E2254" s="6" t="s">
        <v>91</v>
      </c>
      <c r="F2254" s="6" t="s">
        <v>77</v>
      </c>
      <c r="G2254" s="26" t="n">
        <v>46048</v>
      </c>
      <c r="H2254" s="6" t="s">
        <v>123</v>
      </c>
      <c r="I2254" s="26" t="n">
        <f aca="false">_xlfn.MINIFS(Transaction!$C$2:$C$8421,Transaction!$B$2:$B$8421,A2254)</f>
        <v>46059</v>
      </c>
      <c r="J2254" s="26" t="n">
        <f aca="false">_xlfn.MAXIFS(Transaction!$C$2:$C$8421,Transaction!$B$2:$B$8421,A2254)</f>
        <v>46243</v>
      </c>
      <c r="K2254" s="6" t="n">
        <f aca="false">COUNTIF(Transaction!$B$2:$B$8421,A2254)</f>
        <v>10</v>
      </c>
      <c r="L2254" s="10" t="n">
        <f aca="false">SUMIF(Transaction!$B$2:$B$8421,A2254,Transaction!$H$2:$H$8421)</f>
        <v>21784</v>
      </c>
      <c r="M2254" s="6" t="n">
        <f aca="false">Summary!$B$3-J2254</f>
        <v>23</v>
      </c>
      <c r="N2254" s="6" t="str">
        <f aca="false">IF(K2254&gt;1,"Yes","No")</f>
        <v>Yes</v>
      </c>
      <c r="O2254" s="6" t="s">
        <v>45</v>
      </c>
    </row>
    <row r="2255" customFormat="false" ht="15" hidden="false" customHeight="false" outlineLevel="0" collapsed="false">
      <c r="A2255" s="6" t="s">
        <v>4619</v>
      </c>
      <c r="B2255" s="6" t="s">
        <v>4620</v>
      </c>
      <c r="C2255" s="6" t="s">
        <v>75</v>
      </c>
      <c r="D2255" s="6" t="n">
        <v>41</v>
      </c>
      <c r="E2255" s="6" t="s">
        <v>76</v>
      </c>
      <c r="F2255" s="6" t="s">
        <v>77</v>
      </c>
      <c r="G2255" s="26" t="n">
        <v>45969</v>
      </c>
      <c r="H2255" s="6" t="s">
        <v>123</v>
      </c>
      <c r="I2255" s="26" t="n">
        <f aca="false">_xlfn.MINIFS(Transaction!$C$2:$C$8421,Transaction!$B$2:$B$8421,A2255)</f>
        <v>46048</v>
      </c>
      <c r="J2255" s="26" t="n">
        <f aca="false">_xlfn.MAXIFS(Transaction!$C$2:$C$8421,Transaction!$B$2:$B$8421,A2255)</f>
        <v>46048</v>
      </c>
      <c r="K2255" s="6" t="n">
        <f aca="false">COUNTIF(Transaction!$B$2:$B$8421,A2255)</f>
        <v>1</v>
      </c>
      <c r="L2255" s="10" t="n">
        <f aca="false">SUMIF(Transaction!$B$2:$B$8421,A2255,Transaction!$H$2:$H$8421)</f>
        <v>2751</v>
      </c>
      <c r="M2255" s="6" t="n">
        <f aca="false">Summary!$B$3-J2255</f>
        <v>218</v>
      </c>
      <c r="N2255" s="6" t="str">
        <f aca="false">IF(K2255&gt;1,"Yes","No")</f>
        <v>No</v>
      </c>
      <c r="O2255" s="6" t="s">
        <v>49</v>
      </c>
    </row>
    <row r="2256" customFormat="false" ht="15" hidden="false" customHeight="false" outlineLevel="0" collapsed="false">
      <c r="A2256" s="6" t="s">
        <v>4621</v>
      </c>
      <c r="B2256" s="6" t="s">
        <v>4622</v>
      </c>
      <c r="C2256" s="6" t="s">
        <v>85</v>
      </c>
      <c r="D2256" s="6" t="n">
        <v>20</v>
      </c>
      <c r="E2256" s="6" t="s">
        <v>105</v>
      </c>
      <c r="F2256" s="6" t="s">
        <v>106</v>
      </c>
      <c r="G2256" s="26" t="n">
        <v>46251</v>
      </c>
      <c r="H2256" s="6" t="s">
        <v>115</v>
      </c>
      <c r="I2256" s="26" t="n">
        <f aca="false">_xlfn.MINIFS(Transaction!$C$2:$C$8421,Transaction!$B$2:$B$8421,A2256)</f>
        <v>46263</v>
      </c>
      <c r="J2256" s="26" t="n">
        <f aca="false">_xlfn.MAXIFS(Transaction!$C$2:$C$8421,Transaction!$B$2:$B$8421,A2256)</f>
        <v>46263</v>
      </c>
      <c r="K2256" s="6" t="n">
        <f aca="false">COUNTIF(Transaction!$B$2:$B$8421,A2256)</f>
        <v>1</v>
      </c>
      <c r="L2256" s="10" t="n">
        <f aca="false">SUMIF(Transaction!$B$2:$B$8421,A2256,Transaction!$H$2:$H$8421)</f>
        <v>4322</v>
      </c>
      <c r="M2256" s="6" t="n">
        <f aca="false">Summary!$B$3-J2256</f>
        <v>3</v>
      </c>
      <c r="N2256" s="6" t="str">
        <f aca="false">IF(K2256&gt;1,"Yes","No")</f>
        <v>No</v>
      </c>
      <c r="O2256" s="6" t="s">
        <v>47</v>
      </c>
    </row>
    <row r="2257" customFormat="false" ht="15" hidden="false" customHeight="false" outlineLevel="0" collapsed="false">
      <c r="A2257" s="6" t="s">
        <v>4623</v>
      </c>
      <c r="B2257" s="6" t="s">
        <v>4624</v>
      </c>
      <c r="C2257" s="6" t="s">
        <v>85</v>
      </c>
      <c r="D2257" s="6" t="n">
        <v>43</v>
      </c>
      <c r="E2257" s="6" t="s">
        <v>95</v>
      </c>
      <c r="F2257" s="6" t="s">
        <v>95</v>
      </c>
      <c r="G2257" s="26" t="n">
        <v>45950</v>
      </c>
      <c r="H2257" s="6" t="s">
        <v>88</v>
      </c>
      <c r="I2257" s="26" t="n">
        <f aca="false">_xlfn.MINIFS(Transaction!$C$2:$C$8421,Transaction!$B$2:$B$8421,A2257)</f>
        <v>46030</v>
      </c>
      <c r="J2257" s="26" t="n">
        <f aca="false">_xlfn.MAXIFS(Transaction!$C$2:$C$8421,Transaction!$B$2:$B$8421,A2257)</f>
        <v>46201</v>
      </c>
      <c r="K2257" s="6" t="n">
        <f aca="false">COUNTIF(Transaction!$B$2:$B$8421,A2257)</f>
        <v>4</v>
      </c>
      <c r="L2257" s="10" t="n">
        <f aca="false">SUMIF(Transaction!$B$2:$B$8421,A2257,Transaction!$H$2:$H$8421)</f>
        <v>5201</v>
      </c>
      <c r="M2257" s="6" t="n">
        <f aca="false">Summary!$B$3-J2257</f>
        <v>65</v>
      </c>
      <c r="N2257" s="6" t="str">
        <f aca="false">IF(K2257&gt;1,"Yes","No")</f>
        <v>Yes</v>
      </c>
      <c r="O2257" s="6" t="s">
        <v>46</v>
      </c>
    </row>
    <row r="2258" customFormat="false" ht="15" hidden="false" customHeight="false" outlineLevel="0" collapsed="false">
      <c r="A2258" s="6" t="s">
        <v>4625</v>
      </c>
      <c r="B2258" s="6" t="s">
        <v>4626</v>
      </c>
      <c r="C2258" s="6" t="s">
        <v>75</v>
      </c>
      <c r="D2258" s="6" t="n">
        <v>31</v>
      </c>
      <c r="E2258" s="6" t="s">
        <v>76</v>
      </c>
      <c r="F2258" s="6" t="s">
        <v>77</v>
      </c>
      <c r="G2258" s="26" t="n">
        <v>45983</v>
      </c>
      <c r="H2258" s="6" t="s">
        <v>92</v>
      </c>
      <c r="I2258" s="26" t="n">
        <f aca="false">_xlfn.MINIFS(Transaction!$C$2:$C$8421,Transaction!$B$2:$B$8421,A2258)</f>
        <v>46050</v>
      </c>
      <c r="J2258" s="26" t="n">
        <f aca="false">_xlfn.MAXIFS(Transaction!$C$2:$C$8421,Transaction!$B$2:$B$8421,A2258)</f>
        <v>46229</v>
      </c>
      <c r="K2258" s="6" t="n">
        <f aca="false">COUNTIF(Transaction!$B$2:$B$8421,A2258)</f>
        <v>4</v>
      </c>
      <c r="L2258" s="10" t="n">
        <f aca="false">SUMIF(Transaction!$B$2:$B$8421,A2258,Transaction!$H$2:$H$8421)</f>
        <v>9637</v>
      </c>
      <c r="M2258" s="6" t="n">
        <f aca="false">Summary!$B$3-J2258</f>
        <v>37</v>
      </c>
      <c r="N2258" s="6" t="str">
        <f aca="false">IF(K2258&gt;1,"Yes","No")</f>
        <v>Yes</v>
      </c>
      <c r="O2258" s="6" t="s">
        <v>46</v>
      </c>
    </row>
    <row r="2259" customFormat="false" ht="15" hidden="false" customHeight="false" outlineLevel="0" collapsed="false">
      <c r="A2259" s="6" t="s">
        <v>4627</v>
      </c>
      <c r="B2259" s="6" t="s">
        <v>4628</v>
      </c>
      <c r="C2259" s="6" t="s">
        <v>85</v>
      </c>
      <c r="D2259" s="6" t="n">
        <v>40</v>
      </c>
      <c r="E2259" s="6" t="s">
        <v>176</v>
      </c>
      <c r="F2259" s="6" t="s">
        <v>177</v>
      </c>
      <c r="G2259" s="26" t="n">
        <v>46025</v>
      </c>
      <c r="H2259" s="6" t="s">
        <v>115</v>
      </c>
      <c r="I2259" s="26" t="n">
        <f aca="false">_xlfn.MINIFS(Transaction!$C$2:$C$8421,Transaction!$B$2:$B$8421,A2259)</f>
        <v>46028</v>
      </c>
      <c r="J2259" s="26" t="n">
        <f aca="false">_xlfn.MAXIFS(Transaction!$C$2:$C$8421,Transaction!$B$2:$B$8421,A2259)</f>
        <v>46181</v>
      </c>
      <c r="K2259" s="6" t="n">
        <f aca="false">COUNTIF(Transaction!$B$2:$B$8421,A2259)</f>
        <v>5</v>
      </c>
      <c r="L2259" s="10" t="n">
        <f aca="false">SUMIF(Transaction!$B$2:$B$8421,A2259,Transaction!$H$2:$H$8421)</f>
        <v>26481</v>
      </c>
      <c r="M2259" s="6" t="n">
        <f aca="false">Summary!$B$3-J2259</f>
        <v>85</v>
      </c>
      <c r="N2259" s="6" t="str">
        <f aca="false">IF(K2259&gt;1,"Yes","No")</f>
        <v>Yes</v>
      </c>
      <c r="O2259" s="6" t="s">
        <v>46</v>
      </c>
    </row>
    <row r="2260" customFormat="false" ht="15" hidden="false" customHeight="false" outlineLevel="0" collapsed="false">
      <c r="A2260" s="6" t="s">
        <v>4629</v>
      </c>
      <c r="B2260" s="6" t="s">
        <v>4630</v>
      </c>
      <c r="C2260" s="6" t="s">
        <v>85</v>
      </c>
      <c r="D2260" s="6" t="n">
        <v>41</v>
      </c>
      <c r="E2260" s="6" t="s">
        <v>91</v>
      </c>
      <c r="F2260" s="6" t="s">
        <v>77</v>
      </c>
      <c r="G2260" s="26" t="n">
        <v>46167</v>
      </c>
      <c r="H2260" s="6" t="s">
        <v>92</v>
      </c>
      <c r="I2260" s="26" t="n">
        <f aca="false">_xlfn.MINIFS(Transaction!$C$2:$C$8421,Transaction!$B$2:$B$8421,A2260)</f>
        <v>46242</v>
      </c>
      <c r="J2260" s="26" t="n">
        <f aca="false">_xlfn.MAXIFS(Transaction!$C$2:$C$8421,Transaction!$B$2:$B$8421,A2260)</f>
        <v>46242</v>
      </c>
      <c r="K2260" s="6" t="n">
        <f aca="false">COUNTIF(Transaction!$B$2:$B$8421,A2260)</f>
        <v>1</v>
      </c>
      <c r="L2260" s="10" t="n">
        <f aca="false">SUMIF(Transaction!$B$2:$B$8421,A2260,Transaction!$H$2:$H$8421)</f>
        <v>13256</v>
      </c>
      <c r="M2260" s="6" t="n">
        <f aca="false">Summary!$B$3-J2260</f>
        <v>24</v>
      </c>
      <c r="N2260" s="6" t="str">
        <f aca="false">IF(K2260&gt;1,"Yes","No")</f>
        <v>No</v>
      </c>
      <c r="O2260" s="6" t="s">
        <v>47</v>
      </c>
    </row>
    <row r="2261" customFormat="false" ht="15" hidden="false" customHeight="false" outlineLevel="0" collapsed="false">
      <c r="A2261" s="6" t="s">
        <v>4631</v>
      </c>
      <c r="B2261" s="6" t="s">
        <v>4632</v>
      </c>
      <c r="C2261" s="6" t="s">
        <v>75</v>
      </c>
      <c r="D2261" s="6" t="n">
        <v>33</v>
      </c>
      <c r="E2261" s="6" t="s">
        <v>81</v>
      </c>
      <c r="F2261" s="6" t="s">
        <v>82</v>
      </c>
      <c r="G2261" s="26" t="n">
        <v>46062</v>
      </c>
      <c r="H2261" s="6" t="s">
        <v>102</v>
      </c>
      <c r="I2261" s="26" t="n">
        <f aca="false">_xlfn.MINIFS(Transaction!$C$2:$C$8421,Transaction!$B$2:$B$8421,A2261)</f>
        <v>46109</v>
      </c>
      <c r="J2261" s="26" t="n">
        <f aca="false">_xlfn.MAXIFS(Transaction!$C$2:$C$8421,Transaction!$B$2:$B$8421,A2261)</f>
        <v>46109</v>
      </c>
      <c r="K2261" s="6" t="n">
        <f aca="false">COUNTIF(Transaction!$B$2:$B$8421,A2261)</f>
        <v>1</v>
      </c>
      <c r="L2261" s="10" t="n">
        <f aca="false">SUMIF(Transaction!$B$2:$B$8421,A2261,Transaction!$H$2:$H$8421)</f>
        <v>743</v>
      </c>
      <c r="M2261" s="6" t="n">
        <f aca="false">Summary!$B$3-J2261</f>
        <v>157</v>
      </c>
      <c r="N2261" s="6" t="str">
        <f aca="false">IF(K2261&gt;1,"Yes","No")</f>
        <v>No</v>
      </c>
      <c r="O2261" s="6" t="s">
        <v>49</v>
      </c>
    </row>
    <row r="2262" customFormat="false" ht="15" hidden="false" customHeight="false" outlineLevel="0" collapsed="false">
      <c r="A2262" s="6" t="s">
        <v>4633</v>
      </c>
      <c r="B2262" s="6" t="s">
        <v>4634</v>
      </c>
      <c r="C2262" s="6" t="s">
        <v>75</v>
      </c>
      <c r="D2262" s="6" t="n">
        <v>21</v>
      </c>
      <c r="E2262" s="6" t="s">
        <v>76</v>
      </c>
      <c r="F2262" s="6" t="s">
        <v>77</v>
      </c>
      <c r="G2262" s="26" t="n">
        <v>46013</v>
      </c>
      <c r="H2262" s="6" t="s">
        <v>115</v>
      </c>
      <c r="I2262" s="26" t="n">
        <f aca="false">_xlfn.MINIFS(Transaction!$C$2:$C$8421,Transaction!$B$2:$B$8421,A2262)</f>
        <v>46066</v>
      </c>
      <c r="J2262" s="26" t="n">
        <f aca="false">_xlfn.MAXIFS(Transaction!$C$2:$C$8421,Transaction!$B$2:$B$8421,A2262)</f>
        <v>46066</v>
      </c>
      <c r="K2262" s="6" t="n">
        <f aca="false">COUNTIF(Transaction!$B$2:$B$8421,A2262)</f>
        <v>1</v>
      </c>
      <c r="L2262" s="10" t="n">
        <f aca="false">SUMIF(Transaction!$B$2:$B$8421,A2262,Transaction!$H$2:$H$8421)</f>
        <v>2160</v>
      </c>
      <c r="M2262" s="6" t="n">
        <f aca="false">Summary!$B$3-J2262</f>
        <v>200</v>
      </c>
      <c r="N2262" s="6" t="str">
        <f aca="false">IF(K2262&gt;1,"Yes","No")</f>
        <v>No</v>
      </c>
      <c r="O2262" s="6" t="s">
        <v>49</v>
      </c>
    </row>
    <row r="2263" customFormat="false" ht="15" hidden="false" customHeight="false" outlineLevel="0" collapsed="false">
      <c r="A2263" s="6" t="s">
        <v>4635</v>
      </c>
      <c r="B2263" s="6" t="s">
        <v>4636</v>
      </c>
      <c r="C2263" s="6" t="s">
        <v>85</v>
      </c>
      <c r="D2263" s="6" t="n">
        <v>33</v>
      </c>
      <c r="E2263" s="6" t="s">
        <v>81</v>
      </c>
      <c r="F2263" s="6" t="s">
        <v>82</v>
      </c>
      <c r="G2263" s="26" t="n">
        <v>46090</v>
      </c>
      <c r="H2263" s="6" t="s">
        <v>102</v>
      </c>
      <c r="I2263" s="26" t="n">
        <f aca="false">_xlfn.MINIFS(Transaction!$C$2:$C$8421,Transaction!$B$2:$B$8421,A2263)</f>
        <v>46162</v>
      </c>
      <c r="J2263" s="26" t="n">
        <f aca="false">_xlfn.MAXIFS(Transaction!$C$2:$C$8421,Transaction!$B$2:$B$8421,A2263)</f>
        <v>46162</v>
      </c>
      <c r="K2263" s="6" t="n">
        <f aca="false">COUNTIF(Transaction!$B$2:$B$8421,A2263)</f>
        <v>1</v>
      </c>
      <c r="L2263" s="10" t="n">
        <f aca="false">SUMIF(Transaction!$B$2:$B$8421,A2263,Transaction!$H$2:$H$8421)</f>
        <v>1486</v>
      </c>
      <c r="M2263" s="6" t="n">
        <f aca="false">Summary!$B$3-J2263</f>
        <v>104</v>
      </c>
      <c r="N2263" s="6" t="str">
        <f aca="false">IF(K2263&gt;1,"Yes","No")</f>
        <v>No</v>
      </c>
      <c r="O2263" s="6" t="s">
        <v>48</v>
      </c>
    </row>
    <row r="2264" customFormat="false" ht="15" hidden="false" customHeight="false" outlineLevel="0" collapsed="false">
      <c r="A2264" s="6" t="s">
        <v>4637</v>
      </c>
      <c r="B2264" s="6" t="s">
        <v>4638</v>
      </c>
      <c r="C2264" s="6" t="s">
        <v>75</v>
      </c>
      <c r="D2264" s="6" t="n">
        <v>18</v>
      </c>
      <c r="E2264" s="6" t="s">
        <v>105</v>
      </c>
      <c r="F2264" s="6" t="s">
        <v>106</v>
      </c>
      <c r="G2264" s="26" t="n">
        <v>45980</v>
      </c>
      <c r="H2264" s="6" t="s">
        <v>78</v>
      </c>
      <c r="I2264" s="26" t="n">
        <f aca="false">_xlfn.MINIFS(Transaction!$C$2:$C$8421,Transaction!$B$2:$B$8421,A2264)</f>
        <v>46030</v>
      </c>
      <c r="J2264" s="26" t="n">
        <f aca="false">_xlfn.MAXIFS(Transaction!$C$2:$C$8421,Transaction!$B$2:$B$8421,A2264)</f>
        <v>46248</v>
      </c>
      <c r="K2264" s="6" t="n">
        <f aca="false">COUNTIF(Transaction!$B$2:$B$8421,A2264)</f>
        <v>15</v>
      </c>
      <c r="L2264" s="10" t="n">
        <f aca="false">SUMIF(Transaction!$B$2:$B$8421,A2264,Transaction!$H$2:$H$8421)</f>
        <v>19333</v>
      </c>
      <c r="M2264" s="6" t="n">
        <f aca="false">Summary!$B$3-J2264</f>
        <v>18</v>
      </c>
      <c r="N2264" s="6" t="str">
        <f aca="false">IF(K2264&gt;1,"Yes","No")</f>
        <v>Yes</v>
      </c>
      <c r="O2264" s="6" t="s">
        <v>45</v>
      </c>
    </row>
    <row r="2265" customFormat="false" ht="15" hidden="false" customHeight="false" outlineLevel="0" collapsed="false">
      <c r="A2265" s="6" t="s">
        <v>4639</v>
      </c>
      <c r="B2265" s="6" t="s">
        <v>4640</v>
      </c>
      <c r="C2265" s="6" t="s">
        <v>75</v>
      </c>
      <c r="D2265" s="6" t="n">
        <v>31</v>
      </c>
      <c r="E2265" s="6" t="s">
        <v>76</v>
      </c>
      <c r="F2265" s="6" t="s">
        <v>77</v>
      </c>
      <c r="G2265" s="26" t="n">
        <v>45972</v>
      </c>
      <c r="H2265" s="6" t="s">
        <v>78</v>
      </c>
      <c r="I2265" s="26" t="n">
        <f aca="false">_xlfn.MINIFS(Transaction!$C$2:$C$8421,Transaction!$B$2:$B$8421,A2265)</f>
        <v>46047</v>
      </c>
      <c r="J2265" s="26" t="n">
        <f aca="false">_xlfn.MAXIFS(Transaction!$C$2:$C$8421,Transaction!$B$2:$B$8421,A2265)</f>
        <v>46047</v>
      </c>
      <c r="K2265" s="6" t="n">
        <f aca="false">COUNTIF(Transaction!$B$2:$B$8421,A2265)</f>
        <v>1</v>
      </c>
      <c r="L2265" s="10" t="n">
        <f aca="false">SUMIF(Transaction!$B$2:$B$8421,A2265,Transaction!$H$2:$H$8421)</f>
        <v>2349</v>
      </c>
      <c r="M2265" s="6" t="n">
        <f aca="false">Summary!$B$3-J2265</f>
        <v>219</v>
      </c>
      <c r="N2265" s="6" t="str">
        <f aca="false">IF(K2265&gt;1,"Yes","No")</f>
        <v>No</v>
      </c>
      <c r="O2265" s="6" t="s">
        <v>49</v>
      </c>
    </row>
    <row r="2266" customFormat="false" ht="15" hidden="false" customHeight="false" outlineLevel="0" collapsed="false">
      <c r="A2266" s="6" t="s">
        <v>4641</v>
      </c>
      <c r="B2266" s="6" t="s">
        <v>4642</v>
      </c>
      <c r="C2266" s="6" t="s">
        <v>85</v>
      </c>
      <c r="D2266" s="6" t="n">
        <v>52</v>
      </c>
      <c r="E2266" s="6" t="s">
        <v>237</v>
      </c>
      <c r="F2266" s="6" t="s">
        <v>87</v>
      </c>
      <c r="G2266" s="26" t="n">
        <v>46163</v>
      </c>
      <c r="H2266" s="6" t="s">
        <v>102</v>
      </c>
      <c r="I2266" s="26" t="n">
        <f aca="false">_xlfn.MINIFS(Transaction!$C$2:$C$8421,Transaction!$B$2:$B$8421,A2266)</f>
        <v>46231</v>
      </c>
      <c r="J2266" s="26" t="n">
        <f aca="false">_xlfn.MAXIFS(Transaction!$C$2:$C$8421,Transaction!$B$2:$B$8421,A2266)</f>
        <v>46231</v>
      </c>
      <c r="K2266" s="6" t="n">
        <f aca="false">COUNTIF(Transaction!$B$2:$B$8421,A2266)</f>
        <v>1</v>
      </c>
      <c r="L2266" s="10" t="n">
        <f aca="false">SUMIF(Transaction!$B$2:$B$8421,A2266,Transaction!$H$2:$H$8421)</f>
        <v>753</v>
      </c>
      <c r="M2266" s="6" t="n">
        <f aca="false">Summary!$B$3-J2266</f>
        <v>35</v>
      </c>
      <c r="N2266" s="6" t="str">
        <f aca="false">IF(K2266&gt;1,"Yes","No")</f>
        <v>No</v>
      </c>
      <c r="O2266" s="6" t="s">
        <v>47</v>
      </c>
    </row>
    <row r="2267" customFormat="false" ht="15" hidden="false" customHeight="false" outlineLevel="0" collapsed="false">
      <c r="A2267" s="6" t="s">
        <v>4643</v>
      </c>
      <c r="B2267" s="6" t="s">
        <v>4644</v>
      </c>
      <c r="C2267" s="6" t="s">
        <v>75</v>
      </c>
      <c r="D2267" s="6" t="n">
        <v>24</v>
      </c>
      <c r="E2267" s="6" t="s">
        <v>86</v>
      </c>
      <c r="F2267" s="6" t="s">
        <v>87</v>
      </c>
      <c r="G2267" s="26" t="n">
        <v>45959</v>
      </c>
      <c r="H2267" s="6" t="s">
        <v>123</v>
      </c>
      <c r="I2267" s="26" t="n">
        <f aca="false">_xlfn.MINIFS(Transaction!$C$2:$C$8421,Transaction!$B$2:$B$8421,A2267)</f>
        <v>46033</v>
      </c>
      <c r="J2267" s="26" t="n">
        <f aca="false">_xlfn.MAXIFS(Transaction!$C$2:$C$8421,Transaction!$B$2:$B$8421,A2267)</f>
        <v>46176</v>
      </c>
      <c r="K2267" s="6" t="n">
        <f aca="false">COUNTIF(Transaction!$B$2:$B$8421,A2267)</f>
        <v>6</v>
      </c>
      <c r="L2267" s="10" t="n">
        <f aca="false">SUMIF(Transaction!$B$2:$B$8421,A2267,Transaction!$H$2:$H$8421)</f>
        <v>9738</v>
      </c>
      <c r="M2267" s="6" t="n">
        <f aca="false">Summary!$B$3-J2267</f>
        <v>90</v>
      </c>
      <c r="N2267" s="6" t="str">
        <f aca="false">IF(K2267&gt;1,"Yes","No")</f>
        <v>Yes</v>
      </c>
      <c r="O2267" s="6" t="s">
        <v>46</v>
      </c>
    </row>
    <row r="2268" customFormat="false" ht="15" hidden="false" customHeight="false" outlineLevel="0" collapsed="false">
      <c r="A2268" s="6" t="s">
        <v>4645</v>
      </c>
      <c r="B2268" s="6" t="s">
        <v>4646</v>
      </c>
      <c r="C2268" s="6" t="s">
        <v>85</v>
      </c>
      <c r="D2268" s="6" t="n">
        <v>25</v>
      </c>
      <c r="E2268" s="6" t="s">
        <v>105</v>
      </c>
      <c r="F2268" s="6" t="s">
        <v>106</v>
      </c>
      <c r="G2268" s="26" t="n">
        <v>46147</v>
      </c>
      <c r="H2268" s="6" t="s">
        <v>115</v>
      </c>
      <c r="I2268" s="26" t="n">
        <f aca="false">_xlfn.MINIFS(Transaction!$C$2:$C$8421,Transaction!$B$2:$B$8421,A2268)</f>
        <v>46230</v>
      </c>
      <c r="J2268" s="26" t="n">
        <f aca="false">_xlfn.MAXIFS(Transaction!$C$2:$C$8421,Transaction!$B$2:$B$8421,A2268)</f>
        <v>46230</v>
      </c>
      <c r="K2268" s="6" t="n">
        <f aca="false">COUNTIF(Transaction!$B$2:$B$8421,A2268)</f>
        <v>1</v>
      </c>
      <c r="L2268" s="10" t="n">
        <f aca="false">SUMIF(Transaction!$B$2:$B$8421,A2268,Transaction!$H$2:$H$8421)</f>
        <v>807</v>
      </c>
      <c r="M2268" s="6" t="n">
        <f aca="false">Summary!$B$3-J2268</f>
        <v>36</v>
      </c>
      <c r="N2268" s="6" t="str">
        <f aca="false">IF(K2268&gt;1,"Yes","No")</f>
        <v>No</v>
      </c>
      <c r="O2268" s="6" t="s">
        <v>47</v>
      </c>
    </row>
    <row r="2269" customFormat="false" ht="15" hidden="false" customHeight="false" outlineLevel="0" collapsed="false">
      <c r="A2269" s="6" t="s">
        <v>4647</v>
      </c>
      <c r="B2269" s="6" t="s">
        <v>4648</v>
      </c>
      <c r="C2269" s="6" t="s">
        <v>75</v>
      </c>
      <c r="D2269" s="6" t="n">
        <v>18</v>
      </c>
      <c r="E2269" s="6" t="s">
        <v>81</v>
      </c>
      <c r="F2269" s="6" t="s">
        <v>82</v>
      </c>
      <c r="G2269" s="26" t="n">
        <v>45993</v>
      </c>
      <c r="H2269" s="6" t="s">
        <v>102</v>
      </c>
      <c r="I2269" s="26" t="n">
        <f aca="false">_xlfn.MINIFS(Transaction!$C$2:$C$8421,Transaction!$B$2:$B$8421,A2269)</f>
        <v>46048</v>
      </c>
      <c r="J2269" s="26" t="n">
        <f aca="false">_xlfn.MAXIFS(Transaction!$C$2:$C$8421,Transaction!$B$2:$B$8421,A2269)</f>
        <v>46246</v>
      </c>
      <c r="K2269" s="6" t="n">
        <f aca="false">COUNTIF(Transaction!$B$2:$B$8421,A2269)</f>
        <v>10</v>
      </c>
      <c r="L2269" s="10" t="n">
        <f aca="false">SUMIF(Transaction!$B$2:$B$8421,A2269,Transaction!$H$2:$H$8421)</f>
        <v>54055</v>
      </c>
      <c r="M2269" s="6" t="n">
        <f aca="false">Summary!$B$3-J2269</f>
        <v>20</v>
      </c>
      <c r="N2269" s="6" t="str">
        <f aca="false">IF(K2269&gt;1,"Yes","No")</f>
        <v>Yes</v>
      </c>
      <c r="O2269" s="6" t="s">
        <v>45</v>
      </c>
    </row>
    <row r="2270" customFormat="false" ht="15" hidden="false" customHeight="false" outlineLevel="0" collapsed="false">
      <c r="A2270" s="6" t="s">
        <v>4649</v>
      </c>
      <c r="B2270" s="6" t="s">
        <v>4650</v>
      </c>
      <c r="C2270" s="6" t="s">
        <v>85</v>
      </c>
      <c r="D2270" s="6" t="n">
        <v>36</v>
      </c>
      <c r="E2270" s="6" t="s">
        <v>134</v>
      </c>
      <c r="F2270" s="6" t="s">
        <v>135</v>
      </c>
      <c r="G2270" s="26" t="n">
        <v>46035</v>
      </c>
      <c r="H2270" s="6" t="s">
        <v>115</v>
      </c>
      <c r="I2270" s="26" t="n">
        <f aca="false">_xlfn.MINIFS(Transaction!$C$2:$C$8421,Transaction!$B$2:$B$8421,A2270)</f>
        <v>46077</v>
      </c>
      <c r="J2270" s="26" t="n">
        <f aca="false">_xlfn.MAXIFS(Transaction!$C$2:$C$8421,Transaction!$B$2:$B$8421,A2270)</f>
        <v>46190</v>
      </c>
      <c r="K2270" s="6" t="n">
        <f aca="false">COUNTIF(Transaction!$B$2:$B$8421,A2270)</f>
        <v>5</v>
      </c>
      <c r="L2270" s="10" t="n">
        <f aca="false">SUMIF(Transaction!$B$2:$B$8421,A2270,Transaction!$H$2:$H$8421)</f>
        <v>3634</v>
      </c>
      <c r="M2270" s="6" t="n">
        <f aca="false">Summary!$B$3-J2270</f>
        <v>76</v>
      </c>
      <c r="N2270" s="6" t="str">
        <f aca="false">IF(K2270&gt;1,"Yes","No")</f>
        <v>Yes</v>
      </c>
      <c r="O2270" s="6" t="s">
        <v>46</v>
      </c>
    </row>
    <row r="2271" customFormat="false" ht="15" hidden="false" customHeight="false" outlineLevel="0" collapsed="false">
      <c r="A2271" s="6" t="s">
        <v>4651</v>
      </c>
      <c r="B2271" s="6" t="s">
        <v>4652</v>
      </c>
      <c r="C2271" s="6" t="s">
        <v>85</v>
      </c>
      <c r="D2271" s="6" t="n">
        <v>31</v>
      </c>
      <c r="E2271" s="6" t="s">
        <v>95</v>
      </c>
      <c r="F2271" s="6" t="s">
        <v>95</v>
      </c>
      <c r="G2271" s="26" t="n">
        <v>46137</v>
      </c>
      <c r="H2271" s="6" t="s">
        <v>102</v>
      </c>
      <c r="I2271" s="26" t="n">
        <f aca="false">_xlfn.MINIFS(Transaction!$C$2:$C$8421,Transaction!$B$2:$B$8421,A2271)</f>
        <v>46162</v>
      </c>
      <c r="J2271" s="26" t="n">
        <f aca="false">_xlfn.MAXIFS(Transaction!$C$2:$C$8421,Transaction!$B$2:$B$8421,A2271)</f>
        <v>46162</v>
      </c>
      <c r="K2271" s="6" t="n">
        <f aca="false">COUNTIF(Transaction!$B$2:$B$8421,A2271)</f>
        <v>1</v>
      </c>
      <c r="L2271" s="10" t="n">
        <f aca="false">SUMIF(Transaction!$B$2:$B$8421,A2271,Transaction!$H$2:$H$8421)</f>
        <v>1584</v>
      </c>
      <c r="M2271" s="6" t="n">
        <f aca="false">Summary!$B$3-J2271</f>
        <v>104</v>
      </c>
      <c r="N2271" s="6" t="str">
        <f aca="false">IF(K2271&gt;1,"Yes","No")</f>
        <v>No</v>
      </c>
      <c r="O2271" s="6" t="s">
        <v>48</v>
      </c>
    </row>
    <row r="2272" customFormat="false" ht="15" hidden="false" customHeight="false" outlineLevel="0" collapsed="false">
      <c r="A2272" s="6" t="s">
        <v>4653</v>
      </c>
      <c r="B2272" s="6" t="s">
        <v>4654</v>
      </c>
      <c r="C2272" s="6" t="s">
        <v>85</v>
      </c>
      <c r="D2272" s="6" t="n">
        <v>41</v>
      </c>
      <c r="E2272" s="6" t="s">
        <v>86</v>
      </c>
      <c r="F2272" s="6" t="s">
        <v>87</v>
      </c>
      <c r="G2272" s="26" t="n">
        <v>45979</v>
      </c>
      <c r="H2272" s="6" t="s">
        <v>102</v>
      </c>
      <c r="I2272" s="26" t="n">
        <f aca="false">_xlfn.MINIFS(Transaction!$C$2:$C$8421,Transaction!$B$2:$B$8421,A2272)</f>
        <v>46027</v>
      </c>
      <c r="J2272" s="26" t="n">
        <f aca="false">_xlfn.MAXIFS(Transaction!$C$2:$C$8421,Transaction!$B$2:$B$8421,A2272)</f>
        <v>46195</v>
      </c>
      <c r="K2272" s="6" t="n">
        <f aca="false">COUNTIF(Transaction!$B$2:$B$8421,A2272)</f>
        <v>7</v>
      </c>
      <c r="L2272" s="10" t="n">
        <f aca="false">SUMIF(Transaction!$B$2:$B$8421,A2272,Transaction!$H$2:$H$8421)</f>
        <v>14133</v>
      </c>
      <c r="M2272" s="6" t="n">
        <f aca="false">Summary!$B$3-J2272</f>
        <v>71</v>
      </c>
      <c r="N2272" s="6" t="str">
        <f aca="false">IF(K2272&gt;1,"Yes","No")</f>
        <v>Yes</v>
      </c>
      <c r="O2272" s="6" t="s">
        <v>46</v>
      </c>
    </row>
    <row r="2273" customFormat="false" ht="15" hidden="false" customHeight="false" outlineLevel="0" collapsed="false">
      <c r="A2273" s="6" t="s">
        <v>4655</v>
      </c>
      <c r="B2273" s="6" t="s">
        <v>4656</v>
      </c>
      <c r="C2273" s="6" t="s">
        <v>85</v>
      </c>
      <c r="D2273" s="6" t="n">
        <v>26</v>
      </c>
      <c r="E2273" s="6" t="s">
        <v>140</v>
      </c>
      <c r="F2273" s="6" t="s">
        <v>141</v>
      </c>
      <c r="G2273" s="26" t="n">
        <v>45973</v>
      </c>
      <c r="H2273" s="6" t="s">
        <v>88</v>
      </c>
      <c r="I2273" s="26" t="n">
        <f aca="false">_xlfn.MINIFS(Transaction!$C$2:$C$8421,Transaction!$B$2:$B$8421,A2273)</f>
        <v>46029</v>
      </c>
      <c r="J2273" s="26" t="n">
        <f aca="false">_xlfn.MAXIFS(Transaction!$C$2:$C$8421,Transaction!$B$2:$B$8421,A2273)</f>
        <v>46029</v>
      </c>
      <c r="K2273" s="6" t="n">
        <f aca="false">COUNTIF(Transaction!$B$2:$B$8421,A2273)</f>
        <v>1</v>
      </c>
      <c r="L2273" s="10" t="n">
        <f aca="false">SUMIF(Transaction!$B$2:$B$8421,A2273,Transaction!$H$2:$H$8421)</f>
        <v>1629</v>
      </c>
      <c r="M2273" s="6" t="n">
        <f aca="false">Summary!$B$3-J2273</f>
        <v>237</v>
      </c>
      <c r="N2273" s="6" t="str">
        <f aca="false">IF(K2273&gt;1,"Yes","No")</f>
        <v>No</v>
      </c>
      <c r="O2273" s="6" t="s">
        <v>49</v>
      </c>
    </row>
    <row r="2274" customFormat="false" ht="15" hidden="false" customHeight="false" outlineLevel="0" collapsed="false">
      <c r="A2274" s="6" t="s">
        <v>4657</v>
      </c>
      <c r="B2274" s="6" t="s">
        <v>4658</v>
      </c>
      <c r="C2274" s="6" t="s">
        <v>75</v>
      </c>
      <c r="D2274" s="6" t="n">
        <v>21</v>
      </c>
      <c r="E2274" s="6" t="s">
        <v>95</v>
      </c>
      <c r="F2274" s="6" t="s">
        <v>95</v>
      </c>
      <c r="G2274" s="26" t="n">
        <v>45974</v>
      </c>
      <c r="H2274" s="6" t="s">
        <v>92</v>
      </c>
      <c r="I2274" s="26" t="n">
        <f aca="false">_xlfn.MINIFS(Transaction!$C$2:$C$8421,Transaction!$B$2:$B$8421,A2274)</f>
        <v>46060</v>
      </c>
      <c r="J2274" s="26" t="n">
        <f aca="false">_xlfn.MAXIFS(Transaction!$C$2:$C$8421,Transaction!$B$2:$B$8421,A2274)</f>
        <v>46245</v>
      </c>
      <c r="K2274" s="6" t="n">
        <f aca="false">COUNTIF(Transaction!$B$2:$B$8421,A2274)</f>
        <v>11</v>
      </c>
      <c r="L2274" s="10" t="n">
        <f aca="false">SUMIF(Transaction!$B$2:$B$8421,A2274,Transaction!$H$2:$H$8421)</f>
        <v>42322</v>
      </c>
      <c r="M2274" s="6" t="n">
        <f aca="false">Summary!$B$3-J2274</f>
        <v>21</v>
      </c>
      <c r="N2274" s="6" t="str">
        <f aca="false">IF(K2274&gt;1,"Yes","No")</f>
        <v>Yes</v>
      </c>
      <c r="O2274" s="6" t="s">
        <v>45</v>
      </c>
    </row>
    <row r="2275" customFormat="false" ht="15" hidden="false" customHeight="false" outlineLevel="0" collapsed="false">
      <c r="A2275" s="6" t="s">
        <v>4659</v>
      </c>
      <c r="B2275" s="6" t="s">
        <v>4660</v>
      </c>
      <c r="C2275" s="6" t="s">
        <v>85</v>
      </c>
      <c r="D2275" s="6" t="n">
        <v>38</v>
      </c>
      <c r="E2275" s="6" t="s">
        <v>95</v>
      </c>
      <c r="F2275" s="6" t="s">
        <v>95</v>
      </c>
      <c r="G2275" s="26" t="n">
        <v>45979</v>
      </c>
      <c r="H2275" s="6" t="s">
        <v>123</v>
      </c>
      <c r="I2275" s="26" t="n">
        <f aca="false">_xlfn.MINIFS(Transaction!$C$2:$C$8421,Transaction!$B$2:$B$8421,A2275)</f>
        <v>46054</v>
      </c>
      <c r="J2275" s="26" t="n">
        <f aca="false">_xlfn.MAXIFS(Transaction!$C$2:$C$8421,Transaction!$B$2:$B$8421,A2275)</f>
        <v>46264</v>
      </c>
      <c r="K2275" s="6" t="n">
        <f aca="false">COUNTIF(Transaction!$B$2:$B$8421,A2275)</f>
        <v>8</v>
      </c>
      <c r="L2275" s="10" t="n">
        <f aca="false">SUMIF(Transaction!$B$2:$B$8421,A2275,Transaction!$H$2:$H$8421)</f>
        <v>14922</v>
      </c>
      <c r="M2275" s="6" t="n">
        <f aca="false">Summary!$B$3-J2275</f>
        <v>2</v>
      </c>
      <c r="N2275" s="6" t="str">
        <f aca="false">IF(K2275&gt;1,"Yes","No")</f>
        <v>Yes</v>
      </c>
      <c r="O2275" s="6" t="s">
        <v>45</v>
      </c>
    </row>
    <row r="2276" customFormat="false" ht="15" hidden="false" customHeight="false" outlineLevel="0" collapsed="false">
      <c r="A2276" s="6" t="s">
        <v>4661</v>
      </c>
      <c r="B2276" s="6" t="s">
        <v>4662</v>
      </c>
      <c r="C2276" s="6" t="s">
        <v>75</v>
      </c>
      <c r="D2276" s="6" t="n">
        <v>29</v>
      </c>
      <c r="E2276" s="6" t="s">
        <v>76</v>
      </c>
      <c r="F2276" s="6" t="s">
        <v>77</v>
      </c>
      <c r="G2276" s="26" t="n">
        <v>46084</v>
      </c>
      <c r="H2276" s="6" t="s">
        <v>123</v>
      </c>
      <c r="I2276" s="26" t="n">
        <f aca="false">_xlfn.MINIFS(Transaction!$C$2:$C$8421,Transaction!$B$2:$B$8421,A2276)</f>
        <v>46157</v>
      </c>
      <c r="J2276" s="26" t="n">
        <f aca="false">_xlfn.MAXIFS(Transaction!$C$2:$C$8421,Transaction!$B$2:$B$8421,A2276)</f>
        <v>46157</v>
      </c>
      <c r="K2276" s="6" t="n">
        <f aca="false">COUNTIF(Transaction!$B$2:$B$8421,A2276)</f>
        <v>1</v>
      </c>
      <c r="L2276" s="10" t="n">
        <f aca="false">SUMIF(Transaction!$B$2:$B$8421,A2276,Transaction!$H$2:$H$8421)</f>
        <v>1468</v>
      </c>
      <c r="M2276" s="6" t="n">
        <f aca="false">Summary!$B$3-J2276</f>
        <v>109</v>
      </c>
      <c r="N2276" s="6" t="str">
        <f aca="false">IF(K2276&gt;1,"Yes","No")</f>
        <v>No</v>
      </c>
      <c r="O2276" s="6" t="s">
        <v>48</v>
      </c>
    </row>
    <row r="2277" customFormat="false" ht="15" hidden="false" customHeight="false" outlineLevel="0" collapsed="false">
      <c r="A2277" s="6" t="s">
        <v>4663</v>
      </c>
      <c r="B2277" s="6" t="s">
        <v>4664</v>
      </c>
      <c r="C2277" s="6" t="s">
        <v>75</v>
      </c>
      <c r="D2277" s="6" t="n">
        <v>31</v>
      </c>
      <c r="E2277" s="6" t="s">
        <v>91</v>
      </c>
      <c r="F2277" s="6" t="s">
        <v>77</v>
      </c>
      <c r="G2277" s="26" t="n">
        <v>46172</v>
      </c>
      <c r="H2277" s="6" t="s">
        <v>115</v>
      </c>
      <c r="I2277" s="26" t="n">
        <f aca="false">_xlfn.MINIFS(Transaction!$C$2:$C$8421,Transaction!$B$2:$B$8421,A2277)</f>
        <v>46248</v>
      </c>
      <c r="J2277" s="26" t="n">
        <f aca="false">_xlfn.MAXIFS(Transaction!$C$2:$C$8421,Transaction!$B$2:$B$8421,A2277)</f>
        <v>46248</v>
      </c>
      <c r="K2277" s="6" t="n">
        <f aca="false">COUNTIF(Transaction!$B$2:$B$8421,A2277)</f>
        <v>1</v>
      </c>
      <c r="L2277" s="10" t="n">
        <f aca="false">SUMIF(Transaction!$B$2:$B$8421,A2277,Transaction!$H$2:$H$8421)</f>
        <v>2935</v>
      </c>
      <c r="M2277" s="6" t="n">
        <f aca="false">Summary!$B$3-J2277</f>
        <v>18</v>
      </c>
      <c r="N2277" s="6" t="str">
        <f aca="false">IF(K2277&gt;1,"Yes","No")</f>
        <v>No</v>
      </c>
      <c r="O2277" s="6" t="s">
        <v>47</v>
      </c>
    </row>
    <row r="2278" customFormat="false" ht="15" hidden="false" customHeight="false" outlineLevel="0" collapsed="false">
      <c r="A2278" s="6" t="s">
        <v>4665</v>
      </c>
      <c r="B2278" s="6" t="s">
        <v>4666</v>
      </c>
      <c r="C2278" s="6" t="s">
        <v>75</v>
      </c>
      <c r="D2278" s="6" t="n">
        <v>47</v>
      </c>
      <c r="E2278" s="6" t="s">
        <v>95</v>
      </c>
      <c r="F2278" s="6" t="s">
        <v>95</v>
      </c>
      <c r="G2278" s="26" t="n">
        <v>46044</v>
      </c>
      <c r="H2278" s="6" t="s">
        <v>78</v>
      </c>
      <c r="I2278" s="26" t="n">
        <f aca="false">_xlfn.MINIFS(Transaction!$C$2:$C$8421,Transaction!$B$2:$B$8421,A2278)</f>
        <v>46048</v>
      </c>
      <c r="J2278" s="26" t="n">
        <f aca="false">_xlfn.MAXIFS(Transaction!$C$2:$C$8421,Transaction!$B$2:$B$8421,A2278)</f>
        <v>46048</v>
      </c>
      <c r="K2278" s="6" t="n">
        <f aca="false">COUNTIF(Transaction!$B$2:$B$8421,A2278)</f>
        <v>1</v>
      </c>
      <c r="L2278" s="10" t="n">
        <f aca="false">SUMIF(Transaction!$B$2:$B$8421,A2278,Transaction!$H$2:$H$8421)</f>
        <v>1080</v>
      </c>
      <c r="M2278" s="6" t="n">
        <f aca="false">Summary!$B$3-J2278</f>
        <v>218</v>
      </c>
      <c r="N2278" s="6" t="str">
        <f aca="false">IF(K2278&gt;1,"Yes","No")</f>
        <v>No</v>
      </c>
      <c r="O2278" s="6" t="s">
        <v>49</v>
      </c>
    </row>
    <row r="2279" customFormat="false" ht="15" hidden="false" customHeight="false" outlineLevel="0" collapsed="false">
      <c r="A2279" s="6" t="s">
        <v>4667</v>
      </c>
      <c r="B2279" s="6" t="s">
        <v>4668</v>
      </c>
      <c r="C2279" s="6" t="s">
        <v>75</v>
      </c>
      <c r="D2279" s="6" t="n">
        <v>40</v>
      </c>
      <c r="E2279" s="6" t="s">
        <v>95</v>
      </c>
      <c r="F2279" s="6" t="s">
        <v>95</v>
      </c>
      <c r="G2279" s="26" t="n">
        <v>45969</v>
      </c>
      <c r="H2279" s="6" t="s">
        <v>92</v>
      </c>
      <c r="I2279" s="26" t="n">
        <f aca="false">_xlfn.MINIFS(Transaction!$C$2:$C$8421,Transaction!$B$2:$B$8421,A2279)</f>
        <v>46056</v>
      </c>
      <c r="J2279" s="26" t="n">
        <f aca="false">_xlfn.MAXIFS(Transaction!$C$2:$C$8421,Transaction!$B$2:$B$8421,A2279)</f>
        <v>46223</v>
      </c>
      <c r="K2279" s="6" t="n">
        <f aca="false">COUNTIF(Transaction!$B$2:$B$8421,A2279)</f>
        <v>7</v>
      </c>
      <c r="L2279" s="10" t="n">
        <f aca="false">SUMIF(Transaction!$B$2:$B$8421,A2279,Transaction!$H$2:$H$8421)</f>
        <v>15672</v>
      </c>
      <c r="M2279" s="6" t="n">
        <f aca="false">Summary!$B$3-J2279</f>
        <v>43</v>
      </c>
      <c r="N2279" s="6" t="str">
        <f aca="false">IF(K2279&gt;1,"Yes","No")</f>
        <v>Yes</v>
      </c>
      <c r="O2279" s="6" t="s">
        <v>46</v>
      </c>
    </row>
    <row r="2280" customFormat="false" ht="15" hidden="false" customHeight="false" outlineLevel="0" collapsed="false">
      <c r="A2280" s="6" t="s">
        <v>4669</v>
      </c>
      <c r="B2280" s="6" t="s">
        <v>4670</v>
      </c>
      <c r="C2280" s="6" t="s">
        <v>85</v>
      </c>
      <c r="D2280" s="6" t="n">
        <v>41</v>
      </c>
      <c r="E2280" s="6" t="s">
        <v>81</v>
      </c>
      <c r="F2280" s="6" t="s">
        <v>82</v>
      </c>
      <c r="G2280" s="26" t="n">
        <v>46218</v>
      </c>
      <c r="H2280" s="6" t="s">
        <v>78</v>
      </c>
      <c r="I2280" s="26" t="n">
        <f aca="false">_xlfn.MINIFS(Transaction!$C$2:$C$8421,Transaction!$B$2:$B$8421,A2280)</f>
        <v>46263</v>
      </c>
      <c r="J2280" s="26" t="n">
        <f aca="false">_xlfn.MAXIFS(Transaction!$C$2:$C$8421,Transaction!$B$2:$B$8421,A2280)</f>
        <v>46263</v>
      </c>
      <c r="K2280" s="6" t="n">
        <f aca="false">COUNTIF(Transaction!$B$2:$B$8421,A2280)</f>
        <v>1</v>
      </c>
      <c r="L2280" s="10" t="n">
        <f aca="false">SUMIF(Transaction!$B$2:$B$8421,A2280,Transaction!$H$2:$H$8421)</f>
        <v>1564</v>
      </c>
      <c r="M2280" s="6" t="n">
        <f aca="false">Summary!$B$3-J2280</f>
        <v>3</v>
      </c>
      <c r="N2280" s="6" t="str">
        <f aca="false">IF(K2280&gt;1,"Yes","No")</f>
        <v>No</v>
      </c>
      <c r="O2280" s="6" t="s">
        <v>47</v>
      </c>
    </row>
    <row r="2281" customFormat="false" ht="15" hidden="false" customHeight="false" outlineLevel="0" collapsed="false">
      <c r="A2281" s="6" t="s">
        <v>4671</v>
      </c>
      <c r="B2281" s="6" t="s">
        <v>4672</v>
      </c>
      <c r="C2281" s="6" t="s">
        <v>85</v>
      </c>
      <c r="D2281" s="6" t="n">
        <v>21</v>
      </c>
      <c r="E2281" s="6" t="s">
        <v>134</v>
      </c>
      <c r="F2281" s="6" t="s">
        <v>135</v>
      </c>
      <c r="G2281" s="26" t="n">
        <v>46018</v>
      </c>
      <c r="H2281" s="6" t="s">
        <v>78</v>
      </c>
      <c r="I2281" s="26" t="n">
        <f aca="false">_xlfn.MINIFS(Transaction!$C$2:$C$8421,Transaction!$B$2:$B$8421,A2281)</f>
        <v>46031</v>
      </c>
      <c r="J2281" s="26" t="n">
        <f aca="false">_xlfn.MAXIFS(Transaction!$C$2:$C$8421,Transaction!$B$2:$B$8421,A2281)</f>
        <v>46031</v>
      </c>
      <c r="K2281" s="6" t="n">
        <f aca="false">COUNTIF(Transaction!$B$2:$B$8421,A2281)</f>
        <v>1</v>
      </c>
      <c r="L2281" s="10" t="n">
        <f aca="false">SUMIF(Transaction!$B$2:$B$8421,A2281,Transaction!$H$2:$H$8421)</f>
        <v>782</v>
      </c>
      <c r="M2281" s="6" t="n">
        <f aca="false">Summary!$B$3-J2281</f>
        <v>235</v>
      </c>
      <c r="N2281" s="6" t="str">
        <f aca="false">IF(K2281&gt;1,"Yes","No")</f>
        <v>No</v>
      </c>
      <c r="O2281" s="6" t="s">
        <v>49</v>
      </c>
    </row>
    <row r="2282" customFormat="false" ht="15" hidden="false" customHeight="false" outlineLevel="0" collapsed="false">
      <c r="A2282" s="6" t="s">
        <v>4673</v>
      </c>
      <c r="B2282" s="6" t="s">
        <v>4674</v>
      </c>
      <c r="C2282" s="6" t="s">
        <v>75</v>
      </c>
      <c r="D2282" s="6" t="n">
        <v>47</v>
      </c>
      <c r="E2282" s="6" t="s">
        <v>81</v>
      </c>
      <c r="F2282" s="6" t="s">
        <v>82</v>
      </c>
      <c r="G2282" s="26" t="n">
        <v>46004</v>
      </c>
      <c r="H2282" s="6" t="s">
        <v>102</v>
      </c>
      <c r="I2282" s="26" t="n">
        <f aca="false">_xlfn.MINIFS(Transaction!$C$2:$C$8421,Transaction!$B$2:$B$8421,A2282)</f>
        <v>46046</v>
      </c>
      <c r="J2282" s="26" t="n">
        <f aca="false">_xlfn.MAXIFS(Transaction!$C$2:$C$8421,Transaction!$B$2:$B$8421,A2282)</f>
        <v>46194</v>
      </c>
      <c r="K2282" s="6" t="n">
        <f aca="false">COUNTIF(Transaction!$B$2:$B$8421,A2282)</f>
        <v>5</v>
      </c>
      <c r="L2282" s="10" t="n">
        <f aca="false">SUMIF(Transaction!$B$2:$B$8421,A2282,Transaction!$H$2:$H$8421)</f>
        <v>7971</v>
      </c>
      <c r="M2282" s="6" t="n">
        <f aca="false">Summary!$B$3-J2282</f>
        <v>72</v>
      </c>
      <c r="N2282" s="6" t="str">
        <f aca="false">IF(K2282&gt;1,"Yes","No")</f>
        <v>Yes</v>
      </c>
      <c r="O2282" s="6" t="s">
        <v>46</v>
      </c>
    </row>
    <row r="2283" customFormat="false" ht="15" hidden="false" customHeight="false" outlineLevel="0" collapsed="false">
      <c r="A2283" s="6" t="s">
        <v>4675</v>
      </c>
      <c r="B2283" s="6" t="s">
        <v>4676</v>
      </c>
      <c r="C2283" s="6" t="s">
        <v>75</v>
      </c>
      <c r="D2283" s="6" t="n">
        <v>19</v>
      </c>
      <c r="E2283" s="6" t="s">
        <v>76</v>
      </c>
      <c r="F2283" s="6" t="s">
        <v>77</v>
      </c>
      <c r="G2283" s="26" t="n">
        <v>45957</v>
      </c>
      <c r="H2283" s="6" t="s">
        <v>78</v>
      </c>
      <c r="I2283" s="26" t="n">
        <f aca="false">_xlfn.MINIFS(Transaction!$C$2:$C$8421,Transaction!$B$2:$B$8421,A2283)</f>
        <v>46036</v>
      </c>
      <c r="J2283" s="26" t="n">
        <f aca="false">_xlfn.MAXIFS(Transaction!$C$2:$C$8421,Transaction!$B$2:$B$8421,A2283)</f>
        <v>46258</v>
      </c>
      <c r="K2283" s="6" t="n">
        <f aca="false">COUNTIF(Transaction!$B$2:$B$8421,A2283)</f>
        <v>9</v>
      </c>
      <c r="L2283" s="10" t="n">
        <f aca="false">SUMIF(Transaction!$B$2:$B$8421,A2283,Transaction!$H$2:$H$8421)</f>
        <v>22454</v>
      </c>
      <c r="M2283" s="6" t="n">
        <f aca="false">Summary!$B$3-J2283</f>
        <v>8</v>
      </c>
      <c r="N2283" s="6" t="str">
        <f aca="false">IF(K2283&gt;1,"Yes","No")</f>
        <v>Yes</v>
      </c>
      <c r="O2283" s="6" t="s">
        <v>45</v>
      </c>
    </row>
    <row r="2284" customFormat="false" ht="15" hidden="false" customHeight="false" outlineLevel="0" collapsed="false">
      <c r="A2284" s="6" t="s">
        <v>4677</v>
      </c>
      <c r="B2284" s="6" t="s">
        <v>4678</v>
      </c>
      <c r="C2284" s="6" t="s">
        <v>75</v>
      </c>
      <c r="D2284" s="6" t="n">
        <v>48</v>
      </c>
      <c r="E2284" s="6" t="s">
        <v>86</v>
      </c>
      <c r="F2284" s="6" t="s">
        <v>87</v>
      </c>
      <c r="G2284" s="26" t="n">
        <v>46116</v>
      </c>
      <c r="H2284" s="6" t="s">
        <v>78</v>
      </c>
      <c r="I2284" s="26" t="n">
        <f aca="false">_xlfn.MINIFS(Transaction!$C$2:$C$8421,Transaction!$B$2:$B$8421,A2284)</f>
        <v>46176</v>
      </c>
      <c r="J2284" s="26" t="n">
        <f aca="false">_xlfn.MAXIFS(Transaction!$C$2:$C$8421,Transaction!$B$2:$B$8421,A2284)</f>
        <v>46176</v>
      </c>
      <c r="K2284" s="6" t="n">
        <f aca="false">COUNTIF(Transaction!$B$2:$B$8421,A2284)</f>
        <v>1</v>
      </c>
      <c r="L2284" s="10" t="n">
        <f aca="false">SUMIF(Transaction!$B$2:$B$8421,A2284,Transaction!$H$2:$H$8421)</f>
        <v>936</v>
      </c>
      <c r="M2284" s="6" t="n">
        <f aca="false">Summary!$B$3-J2284</f>
        <v>90</v>
      </c>
      <c r="N2284" s="6" t="str">
        <f aca="false">IF(K2284&gt;1,"Yes","No")</f>
        <v>No</v>
      </c>
      <c r="O2284" s="6" t="s">
        <v>47</v>
      </c>
    </row>
    <row r="2285" customFormat="false" ht="15" hidden="false" customHeight="false" outlineLevel="0" collapsed="false">
      <c r="A2285" s="6" t="s">
        <v>4679</v>
      </c>
      <c r="B2285" s="6" t="s">
        <v>4680</v>
      </c>
      <c r="C2285" s="6" t="s">
        <v>85</v>
      </c>
      <c r="D2285" s="6" t="n">
        <v>23</v>
      </c>
      <c r="E2285" s="6" t="s">
        <v>98</v>
      </c>
      <c r="F2285" s="6" t="s">
        <v>99</v>
      </c>
      <c r="G2285" s="26" t="n">
        <v>46017</v>
      </c>
      <c r="H2285" s="6" t="s">
        <v>123</v>
      </c>
      <c r="I2285" s="26" t="n">
        <f aca="false">_xlfn.MINIFS(Transaction!$C$2:$C$8421,Transaction!$B$2:$B$8421,A2285)</f>
        <v>46034</v>
      </c>
      <c r="J2285" s="26" t="n">
        <f aca="false">_xlfn.MAXIFS(Transaction!$C$2:$C$8421,Transaction!$B$2:$B$8421,A2285)</f>
        <v>46258</v>
      </c>
      <c r="K2285" s="6" t="n">
        <f aca="false">COUNTIF(Transaction!$B$2:$B$8421,A2285)</f>
        <v>8</v>
      </c>
      <c r="L2285" s="10" t="n">
        <f aca="false">SUMIF(Transaction!$B$2:$B$8421,A2285,Transaction!$H$2:$H$8421)</f>
        <v>11171</v>
      </c>
      <c r="M2285" s="6" t="n">
        <f aca="false">Summary!$B$3-J2285</f>
        <v>8</v>
      </c>
      <c r="N2285" s="6" t="str">
        <f aca="false">IF(K2285&gt;1,"Yes","No")</f>
        <v>Yes</v>
      </c>
      <c r="O2285" s="6" t="s">
        <v>45</v>
      </c>
    </row>
    <row r="2286" customFormat="false" ht="15" hidden="false" customHeight="false" outlineLevel="0" collapsed="false">
      <c r="A2286" s="6" t="s">
        <v>4681</v>
      </c>
      <c r="B2286" s="6" t="s">
        <v>4682</v>
      </c>
      <c r="C2286" s="6" t="s">
        <v>75</v>
      </c>
      <c r="D2286" s="6" t="n">
        <v>30</v>
      </c>
      <c r="E2286" s="6" t="s">
        <v>146</v>
      </c>
      <c r="F2286" s="6" t="s">
        <v>147</v>
      </c>
      <c r="G2286" s="26" t="n">
        <v>46221</v>
      </c>
      <c r="H2286" s="6" t="s">
        <v>123</v>
      </c>
      <c r="I2286" s="26" t="n">
        <f aca="false">_xlfn.MINIFS(Transaction!$C$2:$C$8421,Transaction!$B$2:$B$8421,A2286)</f>
        <v>46221</v>
      </c>
      <c r="J2286" s="26" t="n">
        <f aca="false">_xlfn.MAXIFS(Transaction!$C$2:$C$8421,Transaction!$B$2:$B$8421,A2286)</f>
        <v>46221</v>
      </c>
      <c r="K2286" s="6" t="n">
        <f aca="false">COUNTIF(Transaction!$B$2:$B$8421,A2286)</f>
        <v>1</v>
      </c>
      <c r="L2286" s="10" t="n">
        <f aca="false">SUMIF(Transaction!$B$2:$B$8421,A2286,Transaction!$H$2:$H$8421)</f>
        <v>977</v>
      </c>
      <c r="M2286" s="6" t="n">
        <f aca="false">Summary!$B$3-J2286</f>
        <v>45</v>
      </c>
      <c r="N2286" s="6" t="str">
        <f aca="false">IF(K2286&gt;1,"Yes","No")</f>
        <v>No</v>
      </c>
      <c r="O2286" s="6" t="s">
        <v>47</v>
      </c>
    </row>
    <row r="2287" customFormat="false" ht="15" hidden="false" customHeight="false" outlineLevel="0" collapsed="false">
      <c r="A2287" s="6" t="s">
        <v>4683</v>
      </c>
      <c r="B2287" s="6" t="s">
        <v>4684</v>
      </c>
      <c r="C2287" s="6" t="s">
        <v>75</v>
      </c>
      <c r="D2287" s="6" t="n">
        <v>18</v>
      </c>
      <c r="E2287" s="6" t="s">
        <v>91</v>
      </c>
      <c r="F2287" s="6" t="s">
        <v>77</v>
      </c>
      <c r="G2287" s="26" t="n">
        <v>45976</v>
      </c>
      <c r="H2287" s="6" t="s">
        <v>123</v>
      </c>
      <c r="I2287" s="26" t="n">
        <f aca="false">_xlfn.MINIFS(Transaction!$C$2:$C$8421,Transaction!$B$2:$B$8421,A2287)</f>
        <v>46025</v>
      </c>
      <c r="J2287" s="26" t="n">
        <f aca="false">_xlfn.MAXIFS(Transaction!$C$2:$C$8421,Transaction!$B$2:$B$8421,A2287)</f>
        <v>46256</v>
      </c>
      <c r="K2287" s="6" t="n">
        <f aca="false">COUNTIF(Transaction!$B$2:$B$8421,A2287)</f>
        <v>12</v>
      </c>
      <c r="L2287" s="10" t="n">
        <f aca="false">SUMIF(Transaction!$B$2:$B$8421,A2287,Transaction!$H$2:$H$8421)</f>
        <v>34143</v>
      </c>
      <c r="M2287" s="6" t="n">
        <f aca="false">Summary!$B$3-J2287</f>
        <v>10</v>
      </c>
      <c r="N2287" s="6" t="str">
        <f aca="false">IF(K2287&gt;1,"Yes","No")</f>
        <v>Yes</v>
      </c>
      <c r="O2287" s="6" t="s">
        <v>45</v>
      </c>
    </row>
    <row r="2288" customFormat="false" ht="15" hidden="false" customHeight="false" outlineLevel="0" collapsed="false">
      <c r="A2288" s="6" t="s">
        <v>4685</v>
      </c>
      <c r="B2288" s="6" t="s">
        <v>4686</v>
      </c>
      <c r="C2288" s="6" t="s">
        <v>75</v>
      </c>
      <c r="D2288" s="6" t="n">
        <v>32</v>
      </c>
      <c r="E2288" s="6" t="s">
        <v>81</v>
      </c>
      <c r="F2288" s="6" t="s">
        <v>82</v>
      </c>
      <c r="G2288" s="26" t="n">
        <v>46150</v>
      </c>
      <c r="H2288" s="6" t="s">
        <v>102</v>
      </c>
      <c r="I2288" s="26" t="n">
        <f aca="false">_xlfn.MINIFS(Transaction!$C$2:$C$8421,Transaction!$B$2:$B$8421,A2288)</f>
        <v>46178</v>
      </c>
      <c r="J2288" s="26" t="n">
        <f aca="false">_xlfn.MAXIFS(Transaction!$C$2:$C$8421,Transaction!$B$2:$B$8421,A2288)</f>
        <v>46178</v>
      </c>
      <c r="K2288" s="6" t="n">
        <f aca="false">COUNTIF(Transaction!$B$2:$B$8421,A2288)</f>
        <v>1</v>
      </c>
      <c r="L2288" s="10" t="n">
        <f aca="false">SUMIF(Transaction!$B$2:$B$8421,A2288,Transaction!$H$2:$H$8421)</f>
        <v>3439</v>
      </c>
      <c r="M2288" s="6" t="n">
        <f aca="false">Summary!$B$3-J2288</f>
        <v>88</v>
      </c>
      <c r="N2288" s="6" t="str">
        <f aca="false">IF(K2288&gt;1,"Yes","No")</f>
        <v>No</v>
      </c>
      <c r="O2288" s="6" t="s">
        <v>47</v>
      </c>
    </row>
    <row r="2289" customFormat="false" ht="15" hidden="false" customHeight="false" outlineLevel="0" collapsed="false">
      <c r="A2289" s="6" t="s">
        <v>4687</v>
      </c>
      <c r="B2289" s="6" t="s">
        <v>4688</v>
      </c>
      <c r="C2289" s="6" t="s">
        <v>75</v>
      </c>
      <c r="D2289" s="6" t="n">
        <v>18</v>
      </c>
      <c r="E2289" s="6" t="s">
        <v>321</v>
      </c>
      <c r="F2289" s="6" t="s">
        <v>321</v>
      </c>
      <c r="G2289" s="26" t="n">
        <v>46020</v>
      </c>
      <c r="H2289" s="6" t="s">
        <v>88</v>
      </c>
      <c r="I2289" s="26" t="n">
        <f aca="false">_xlfn.MINIFS(Transaction!$C$2:$C$8421,Transaction!$B$2:$B$8421,A2289)</f>
        <v>46046</v>
      </c>
      <c r="J2289" s="26" t="n">
        <f aca="false">_xlfn.MAXIFS(Transaction!$C$2:$C$8421,Transaction!$B$2:$B$8421,A2289)</f>
        <v>46249</v>
      </c>
      <c r="K2289" s="6" t="n">
        <f aca="false">COUNTIF(Transaction!$B$2:$B$8421,A2289)</f>
        <v>10</v>
      </c>
      <c r="L2289" s="10" t="n">
        <f aca="false">SUMIF(Transaction!$B$2:$B$8421,A2289,Transaction!$H$2:$H$8421)</f>
        <v>33557</v>
      </c>
      <c r="M2289" s="6" t="n">
        <f aca="false">Summary!$B$3-J2289</f>
        <v>17</v>
      </c>
      <c r="N2289" s="6" t="str">
        <f aca="false">IF(K2289&gt;1,"Yes","No")</f>
        <v>Yes</v>
      </c>
      <c r="O2289" s="6" t="s">
        <v>45</v>
      </c>
    </row>
    <row r="2290" customFormat="false" ht="15" hidden="false" customHeight="false" outlineLevel="0" collapsed="false">
      <c r="A2290" s="6" t="s">
        <v>4689</v>
      </c>
      <c r="B2290" s="6" t="s">
        <v>4690</v>
      </c>
      <c r="C2290" s="6" t="s">
        <v>85</v>
      </c>
      <c r="D2290" s="6" t="n">
        <v>32</v>
      </c>
      <c r="E2290" s="6" t="s">
        <v>91</v>
      </c>
      <c r="F2290" s="6" t="s">
        <v>77</v>
      </c>
      <c r="G2290" s="26" t="n">
        <v>46230</v>
      </c>
      <c r="H2290" s="6" t="s">
        <v>123</v>
      </c>
      <c r="I2290" s="26" t="n">
        <f aca="false">_xlfn.MINIFS(Transaction!$C$2:$C$8421,Transaction!$B$2:$B$8421,A2290)</f>
        <v>46256</v>
      </c>
      <c r="J2290" s="26" t="n">
        <f aca="false">_xlfn.MAXIFS(Transaction!$C$2:$C$8421,Transaction!$B$2:$B$8421,A2290)</f>
        <v>46256</v>
      </c>
      <c r="K2290" s="6" t="n">
        <f aca="false">COUNTIF(Transaction!$B$2:$B$8421,A2290)</f>
        <v>1</v>
      </c>
      <c r="L2290" s="10" t="n">
        <f aca="false">SUMIF(Transaction!$B$2:$B$8421,A2290,Transaction!$H$2:$H$8421)</f>
        <v>2784</v>
      </c>
      <c r="M2290" s="6" t="n">
        <f aca="false">Summary!$B$3-J2290</f>
        <v>10</v>
      </c>
      <c r="N2290" s="6" t="str">
        <f aca="false">IF(K2290&gt;1,"Yes","No")</f>
        <v>No</v>
      </c>
      <c r="O2290" s="6" t="s">
        <v>47</v>
      </c>
    </row>
    <row r="2291" customFormat="false" ht="15" hidden="false" customHeight="false" outlineLevel="0" collapsed="false">
      <c r="A2291" s="6" t="s">
        <v>4691</v>
      </c>
      <c r="B2291" s="6" t="s">
        <v>4692</v>
      </c>
      <c r="C2291" s="6" t="s">
        <v>85</v>
      </c>
      <c r="D2291" s="6" t="n">
        <v>33</v>
      </c>
      <c r="E2291" s="6" t="s">
        <v>76</v>
      </c>
      <c r="F2291" s="6" t="s">
        <v>77</v>
      </c>
      <c r="G2291" s="26" t="n">
        <v>46088</v>
      </c>
      <c r="H2291" s="6" t="s">
        <v>123</v>
      </c>
      <c r="I2291" s="26" t="n">
        <f aca="false">_xlfn.MINIFS(Transaction!$C$2:$C$8421,Transaction!$B$2:$B$8421,A2291)</f>
        <v>46146</v>
      </c>
      <c r="J2291" s="26" t="n">
        <f aca="false">_xlfn.MAXIFS(Transaction!$C$2:$C$8421,Transaction!$B$2:$B$8421,A2291)</f>
        <v>46146</v>
      </c>
      <c r="K2291" s="6" t="n">
        <f aca="false">COUNTIF(Transaction!$B$2:$B$8421,A2291)</f>
        <v>1</v>
      </c>
      <c r="L2291" s="10" t="n">
        <f aca="false">SUMIF(Transaction!$B$2:$B$8421,A2291,Transaction!$H$2:$H$8421)</f>
        <v>743</v>
      </c>
      <c r="M2291" s="6" t="n">
        <f aca="false">Summary!$B$3-J2291</f>
        <v>120</v>
      </c>
      <c r="N2291" s="6" t="str">
        <f aca="false">IF(K2291&gt;1,"Yes","No")</f>
        <v>No</v>
      </c>
      <c r="O2291" s="6" t="s">
        <v>48</v>
      </c>
    </row>
    <row r="2292" customFormat="false" ht="15" hidden="false" customHeight="false" outlineLevel="0" collapsed="false">
      <c r="A2292" s="6" t="s">
        <v>4693</v>
      </c>
      <c r="B2292" s="6" t="s">
        <v>4694</v>
      </c>
      <c r="C2292" s="6" t="s">
        <v>85</v>
      </c>
      <c r="D2292" s="6" t="n">
        <v>48</v>
      </c>
      <c r="E2292" s="6" t="s">
        <v>146</v>
      </c>
      <c r="F2292" s="6" t="s">
        <v>147</v>
      </c>
      <c r="G2292" s="26" t="n">
        <v>46067</v>
      </c>
      <c r="H2292" s="6" t="s">
        <v>92</v>
      </c>
      <c r="I2292" s="26" t="n">
        <f aca="false">_xlfn.MINIFS(Transaction!$C$2:$C$8421,Transaction!$B$2:$B$8421,A2292)</f>
        <v>46098</v>
      </c>
      <c r="J2292" s="26" t="n">
        <f aca="false">_xlfn.MAXIFS(Transaction!$C$2:$C$8421,Transaction!$B$2:$B$8421,A2292)</f>
        <v>46098</v>
      </c>
      <c r="K2292" s="6" t="n">
        <f aca="false">COUNTIF(Transaction!$B$2:$B$8421,A2292)</f>
        <v>1</v>
      </c>
      <c r="L2292" s="10" t="n">
        <f aca="false">SUMIF(Transaction!$B$2:$B$8421,A2292,Transaction!$H$2:$H$8421)</f>
        <v>1760</v>
      </c>
      <c r="M2292" s="6" t="n">
        <f aca="false">Summary!$B$3-J2292</f>
        <v>168</v>
      </c>
      <c r="N2292" s="6" t="str">
        <f aca="false">IF(K2292&gt;1,"Yes","No")</f>
        <v>No</v>
      </c>
      <c r="O2292" s="6" t="s">
        <v>49</v>
      </c>
    </row>
    <row r="2293" customFormat="false" ht="15" hidden="false" customHeight="false" outlineLevel="0" collapsed="false">
      <c r="A2293" s="6" t="s">
        <v>4695</v>
      </c>
      <c r="B2293" s="6" t="s">
        <v>4696</v>
      </c>
      <c r="C2293" s="6" t="s">
        <v>75</v>
      </c>
      <c r="D2293" s="6" t="n">
        <v>48</v>
      </c>
      <c r="E2293" s="6" t="s">
        <v>86</v>
      </c>
      <c r="F2293" s="6" t="s">
        <v>87</v>
      </c>
      <c r="G2293" s="26" t="n">
        <v>46180</v>
      </c>
      <c r="H2293" s="6" t="s">
        <v>78</v>
      </c>
      <c r="I2293" s="26" t="n">
        <f aca="false">_xlfn.MINIFS(Transaction!$C$2:$C$8421,Transaction!$B$2:$B$8421,A2293)</f>
        <v>46259</v>
      </c>
      <c r="J2293" s="26" t="n">
        <f aca="false">_xlfn.MAXIFS(Transaction!$C$2:$C$8421,Transaction!$B$2:$B$8421,A2293)</f>
        <v>46259</v>
      </c>
      <c r="K2293" s="6" t="n">
        <f aca="false">COUNTIF(Transaction!$B$2:$B$8421,A2293)</f>
        <v>1</v>
      </c>
      <c r="L2293" s="10" t="n">
        <f aca="false">SUMIF(Transaction!$B$2:$B$8421,A2293,Transaction!$H$2:$H$8421)</f>
        <v>3128</v>
      </c>
      <c r="M2293" s="6" t="n">
        <f aca="false">Summary!$B$3-J2293</f>
        <v>7</v>
      </c>
      <c r="N2293" s="6" t="str">
        <f aca="false">IF(K2293&gt;1,"Yes","No")</f>
        <v>No</v>
      </c>
      <c r="O2293" s="6" t="s">
        <v>47</v>
      </c>
    </row>
    <row r="2294" customFormat="false" ht="15" hidden="false" customHeight="false" outlineLevel="0" collapsed="false">
      <c r="A2294" s="6" t="s">
        <v>4697</v>
      </c>
      <c r="B2294" s="6" t="s">
        <v>4698</v>
      </c>
      <c r="C2294" s="6" t="s">
        <v>75</v>
      </c>
      <c r="D2294" s="6" t="n">
        <v>34</v>
      </c>
      <c r="E2294" s="6" t="s">
        <v>134</v>
      </c>
      <c r="F2294" s="6" t="s">
        <v>135</v>
      </c>
      <c r="G2294" s="26" t="n">
        <v>46172</v>
      </c>
      <c r="H2294" s="6" t="s">
        <v>92</v>
      </c>
      <c r="I2294" s="26" t="n">
        <f aca="false">_xlfn.MINIFS(Transaction!$C$2:$C$8421,Transaction!$B$2:$B$8421,A2294)</f>
        <v>46242</v>
      </c>
      <c r="J2294" s="26" t="n">
        <f aca="false">_xlfn.MAXIFS(Transaction!$C$2:$C$8421,Transaction!$B$2:$B$8421,A2294)</f>
        <v>46242</v>
      </c>
      <c r="K2294" s="6" t="n">
        <f aca="false">COUNTIF(Transaction!$B$2:$B$8421,A2294)</f>
        <v>1</v>
      </c>
      <c r="L2294" s="10" t="n">
        <f aca="false">SUMIF(Transaction!$B$2:$B$8421,A2294,Transaction!$H$2:$H$8421)</f>
        <v>8400</v>
      </c>
      <c r="M2294" s="6" t="n">
        <f aca="false">Summary!$B$3-J2294</f>
        <v>24</v>
      </c>
      <c r="N2294" s="6" t="str">
        <f aca="false">IF(K2294&gt;1,"Yes","No")</f>
        <v>No</v>
      </c>
      <c r="O2294" s="6" t="s">
        <v>47</v>
      </c>
    </row>
    <row r="2295" customFormat="false" ht="15" hidden="false" customHeight="false" outlineLevel="0" collapsed="false">
      <c r="A2295" s="6" t="s">
        <v>4699</v>
      </c>
      <c r="B2295" s="6" t="s">
        <v>4700</v>
      </c>
      <c r="C2295" s="6" t="s">
        <v>75</v>
      </c>
      <c r="D2295" s="6" t="n">
        <v>35</v>
      </c>
      <c r="E2295" s="6" t="s">
        <v>76</v>
      </c>
      <c r="F2295" s="6" t="s">
        <v>77</v>
      </c>
      <c r="G2295" s="26" t="n">
        <v>45997</v>
      </c>
      <c r="H2295" s="6" t="s">
        <v>102</v>
      </c>
      <c r="I2295" s="26" t="n">
        <f aca="false">_xlfn.MINIFS(Transaction!$C$2:$C$8421,Transaction!$B$2:$B$8421,A2295)</f>
        <v>46075</v>
      </c>
      <c r="J2295" s="26" t="n">
        <f aca="false">_xlfn.MAXIFS(Transaction!$C$2:$C$8421,Transaction!$B$2:$B$8421,A2295)</f>
        <v>46214</v>
      </c>
      <c r="K2295" s="6" t="n">
        <f aca="false">COUNTIF(Transaction!$B$2:$B$8421,A2295)</f>
        <v>4</v>
      </c>
      <c r="L2295" s="10" t="n">
        <f aca="false">SUMIF(Transaction!$B$2:$B$8421,A2295,Transaction!$H$2:$H$8421)</f>
        <v>5019</v>
      </c>
      <c r="M2295" s="6" t="n">
        <f aca="false">Summary!$B$3-J2295</f>
        <v>52</v>
      </c>
      <c r="N2295" s="6" t="str">
        <f aca="false">IF(K2295&gt;1,"Yes","No")</f>
        <v>Yes</v>
      </c>
      <c r="O2295" s="6" t="s">
        <v>46</v>
      </c>
    </row>
    <row r="2296" customFormat="false" ht="15" hidden="false" customHeight="false" outlineLevel="0" collapsed="false">
      <c r="A2296" s="6" t="s">
        <v>4701</v>
      </c>
      <c r="B2296" s="6" t="s">
        <v>4702</v>
      </c>
      <c r="C2296" s="6" t="s">
        <v>85</v>
      </c>
      <c r="D2296" s="6" t="n">
        <v>32</v>
      </c>
      <c r="E2296" s="6" t="s">
        <v>76</v>
      </c>
      <c r="F2296" s="6" t="s">
        <v>77</v>
      </c>
      <c r="G2296" s="26" t="n">
        <v>46012</v>
      </c>
      <c r="H2296" s="6" t="s">
        <v>123</v>
      </c>
      <c r="I2296" s="26" t="n">
        <f aca="false">_xlfn.MINIFS(Transaction!$C$2:$C$8421,Transaction!$B$2:$B$8421,A2296)</f>
        <v>46057</v>
      </c>
      <c r="J2296" s="26" t="n">
        <f aca="false">_xlfn.MAXIFS(Transaction!$C$2:$C$8421,Transaction!$B$2:$B$8421,A2296)</f>
        <v>46222</v>
      </c>
      <c r="K2296" s="6" t="n">
        <f aca="false">COUNTIF(Transaction!$B$2:$B$8421,A2296)</f>
        <v>7</v>
      </c>
      <c r="L2296" s="10" t="n">
        <f aca="false">SUMIF(Transaction!$B$2:$B$8421,A2296,Transaction!$H$2:$H$8421)</f>
        <v>10958</v>
      </c>
      <c r="M2296" s="6" t="n">
        <f aca="false">Summary!$B$3-J2296</f>
        <v>44</v>
      </c>
      <c r="N2296" s="6" t="str">
        <f aca="false">IF(K2296&gt;1,"Yes","No")</f>
        <v>Yes</v>
      </c>
      <c r="O2296" s="6" t="s">
        <v>46</v>
      </c>
    </row>
    <row r="2297" customFormat="false" ht="15" hidden="false" customHeight="false" outlineLevel="0" collapsed="false">
      <c r="A2297" s="6" t="s">
        <v>4703</v>
      </c>
      <c r="B2297" s="6" t="s">
        <v>4704</v>
      </c>
      <c r="C2297" s="6" t="s">
        <v>75</v>
      </c>
      <c r="D2297" s="6" t="n">
        <v>43</v>
      </c>
      <c r="E2297" s="6" t="s">
        <v>98</v>
      </c>
      <c r="F2297" s="6" t="s">
        <v>99</v>
      </c>
      <c r="G2297" s="26" t="n">
        <v>46066</v>
      </c>
      <c r="H2297" s="6" t="s">
        <v>102</v>
      </c>
      <c r="I2297" s="26" t="n">
        <f aca="false">_xlfn.MINIFS(Transaction!$C$2:$C$8421,Transaction!$B$2:$B$8421,A2297)</f>
        <v>46144</v>
      </c>
      <c r="J2297" s="26" t="n">
        <f aca="false">_xlfn.MAXIFS(Transaction!$C$2:$C$8421,Transaction!$B$2:$B$8421,A2297)</f>
        <v>46251</v>
      </c>
      <c r="K2297" s="6" t="n">
        <f aca="false">COUNTIF(Transaction!$B$2:$B$8421,A2297)</f>
        <v>3</v>
      </c>
      <c r="L2297" s="10" t="n">
        <f aca="false">SUMIF(Transaction!$B$2:$B$8421,A2297,Transaction!$H$2:$H$8421)</f>
        <v>5474</v>
      </c>
      <c r="M2297" s="6" t="n">
        <f aca="false">Summary!$B$3-J2297</f>
        <v>15</v>
      </c>
      <c r="N2297" s="6" t="str">
        <f aca="false">IF(K2297&gt;1,"Yes","No")</f>
        <v>Yes</v>
      </c>
      <c r="O2297" s="6" t="s">
        <v>46</v>
      </c>
    </row>
    <row r="2298" customFormat="false" ht="15" hidden="false" customHeight="false" outlineLevel="0" collapsed="false">
      <c r="A2298" s="6" t="s">
        <v>4705</v>
      </c>
      <c r="B2298" s="6" t="s">
        <v>4706</v>
      </c>
      <c r="C2298" s="6" t="s">
        <v>85</v>
      </c>
      <c r="D2298" s="6" t="n">
        <v>37</v>
      </c>
      <c r="E2298" s="6" t="s">
        <v>81</v>
      </c>
      <c r="F2298" s="6" t="s">
        <v>82</v>
      </c>
      <c r="G2298" s="26" t="n">
        <v>46070</v>
      </c>
      <c r="H2298" s="6" t="s">
        <v>78</v>
      </c>
      <c r="I2298" s="26" t="n">
        <f aca="false">_xlfn.MINIFS(Transaction!$C$2:$C$8421,Transaction!$B$2:$B$8421,A2298)</f>
        <v>46115</v>
      </c>
      <c r="J2298" s="26" t="n">
        <f aca="false">_xlfn.MAXIFS(Transaction!$C$2:$C$8421,Transaction!$B$2:$B$8421,A2298)</f>
        <v>46115</v>
      </c>
      <c r="K2298" s="6" t="n">
        <f aca="false">COUNTIF(Transaction!$B$2:$B$8421,A2298)</f>
        <v>1</v>
      </c>
      <c r="L2298" s="10" t="n">
        <f aca="false">SUMIF(Transaction!$B$2:$B$8421,A2298,Transaction!$H$2:$H$8421)</f>
        <v>2598</v>
      </c>
      <c r="M2298" s="6" t="n">
        <f aca="false">Summary!$B$3-J2298</f>
        <v>151</v>
      </c>
      <c r="N2298" s="6" t="str">
        <f aca="false">IF(K2298&gt;1,"Yes","No")</f>
        <v>No</v>
      </c>
      <c r="O2298" s="6" t="s">
        <v>48</v>
      </c>
    </row>
    <row r="2299" customFormat="false" ht="15" hidden="false" customHeight="false" outlineLevel="0" collapsed="false">
      <c r="A2299" s="6" t="s">
        <v>4707</v>
      </c>
      <c r="B2299" s="6" t="s">
        <v>4708</v>
      </c>
      <c r="C2299" s="6" t="s">
        <v>85</v>
      </c>
      <c r="D2299" s="6" t="n">
        <v>27</v>
      </c>
      <c r="E2299" s="6" t="s">
        <v>95</v>
      </c>
      <c r="F2299" s="6" t="s">
        <v>95</v>
      </c>
      <c r="G2299" s="26" t="n">
        <v>45968</v>
      </c>
      <c r="H2299" s="6" t="s">
        <v>102</v>
      </c>
      <c r="I2299" s="26" t="n">
        <f aca="false">_xlfn.MINIFS(Transaction!$C$2:$C$8421,Transaction!$B$2:$B$8421,A2299)</f>
        <v>46056</v>
      </c>
      <c r="J2299" s="26" t="n">
        <f aca="false">_xlfn.MAXIFS(Transaction!$C$2:$C$8421,Transaction!$B$2:$B$8421,A2299)</f>
        <v>46253</v>
      </c>
      <c r="K2299" s="6" t="n">
        <f aca="false">COUNTIF(Transaction!$B$2:$B$8421,A2299)</f>
        <v>6</v>
      </c>
      <c r="L2299" s="10" t="n">
        <f aca="false">SUMIF(Transaction!$B$2:$B$8421,A2299,Transaction!$H$2:$H$8421)</f>
        <v>13745</v>
      </c>
      <c r="M2299" s="6" t="n">
        <f aca="false">Summary!$B$3-J2299</f>
        <v>13</v>
      </c>
      <c r="N2299" s="6" t="str">
        <f aca="false">IF(K2299&gt;1,"Yes","No")</f>
        <v>Yes</v>
      </c>
      <c r="O2299" s="6" t="s">
        <v>46</v>
      </c>
    </row>
    <row r="2300" customFormat="false" ht="15" hidden="false" customHeight="false" outlineLevel="0" collapsed="false">
      <c r="A2300" s="6" t="s">
        <v>4709</v>
      </c>
      <c r="B2300" s="6" t="s">
        <v>4710</v>
      </c>
      <c r="C2300" s="6" t="s">
        <v>75</v>
      </c>
      <c r="D2300" s="6" t="n">
        <v>42</v>
      </c>
      <c r="E2300" s="6" t="s">
        <v>86</v>
      </c>
      <c r="F2300" s="6" t="s">
        <v>87</v>
      </c>
      <c r="G2300" s="26" t="n">
        <v>45981</v>
      </c>
      <c r="H2300" s="6" t="s">
        <v>78</v>
      </c>
      <c r="I2300" s="26" t="n">
        <f aca="false">_xlfn.MINIFS(Transaction!$C$2:$C$8421,Transaction!$B$2:$B$8421,A2300)</f>
        <v>46048</v>
      </c>
      <c r="J2300" s="26" t="n">
        <f aca="false">_xlfn.MAXIFS(Transaction!$C$2:$C$8421,Transaction!$B$2:$B$8421,A2300)</f>
        <v>46048</v>
      </c>
      <c r="K2300" s="6" t="n">
        <f aca="false">COUNTIF(Transaction!$B$2:$B$8421,A2300)</f>
        <v>1</v>
      </c>
      <c r="L2300" s="10" t="n">
        <f aca="false">SUMIF(Transaction!$B$2:$B$8421,A2300,Transaction!$H$2:$H$8421)</f>
        <v>1768</v>
      </c>
      <c r="M2300" s="6" t="n">
        <f aca="false">Summary!$B$3-J2300</f>
        <v>218</v>
      </c>
      <c r="N2300" s="6" t="str">
        <f aca="false">IF(K2300&gt;1,"Yes","No")</f>
        <v>No</v>
      </c>
      <c r="O2300" s="6" t="s">
        <v>49</v>
      </c>
    </row>
    <row r="2301" customFormat="false" ht="15" hidden="false" customHeight="false" outlineLevel="0" collapsed="false">
      <c r="A2301" s="6" t="s">
        <v>4711</v>
      </c>
      <c r="B2301" s="6" t="s">
        <v>4712</v>
      </c>
      <c r="C2301" s="6" t="s">
        <v>85</v>
      </c>
      <c r="D2301" s="6" t="n">
        <v>36</v>
      </c>
      <c r="E2301" s="6" t="s">
        <v>105</v>
      </c>
      <c r="F2301" s="6" t="s">
        <v>106</v>
      </c>
      <c r="G2301" s="26" t="n">
        <v>46192</v>
      </c>
      <c r="H2301" s="6" t="s">
        <v>88</v>
      </c>
      <c r="I2301" s="26" t="n">
        <f aca="false">_xlfn.MINIFS(Transaction!$C$2:$C$8421,Transaction!$B$2:$B$8421,A2301)</f>
        <v>46244</v>
      </c>
      <c r="J2301" s="26" t="n">
        <f aca="false">_xlfn.MAXIFS(Transaction!$C$2:$C$8421,Transaction!$B$2:$B$8421,A2301)</f>
        <v>46244</v>
      </c>
      <c r="K2301" s="6" t="n">
        <f aca="false">COUNTIF(Transaction!$B$2:$B$8421,A2301)</f>
        <v>1</v>
      </c>
      <c r="L2301" s="10" t="n">
        <f aca="false">SUMIF(Transaction!$B$2:$B$8421,A2301,Transaction!$H$2:$H$8421)</f>
        <v>725</v>
      </c>
      <c r="M2301" s="6" t="n">
        <f aca="false">Summary!$B$3-J2301</f>
        <v>22</v>
      </c>
      <c r="N2301" s="6" t="str">
        <f aca="false">IF(K2301&gt;1,"Yes","No")</f>
        <v>No</v>
      </c>
      <c r="O2301" s="6" t="s">
        <v>47</v>
      </c>
    </row>
    <row r="2302" customFormat="false" ht="15" hidden="false" customHeight="false" outlineLevel="0" collapsed="false">
      <c r="A2302" s="6" t="s">
        <v>4713</v>
      </c>
      <c r="B2302" s="6" t="s">
        <v>4714</v>
      </c>
      <c r="C2302" s="6" t="s">
        <v>85</v>
      </c>
      <c r="D2302" s="6" t="n">
        <v>28</v>
      </c>
      <c r="E2302" s="6" t="s">
        <v>95</v>
      </c>
      <c r="F2302" s="6" t="s">
        <v>95</v>
      </c>
      <c r="G2302" s="26" t="n">
        <v>46115</v>
      </c>
      <c r="H2302" s="6" t="s">
        <v>92</v>
      </c>
      <c r="I2302" s="26" t="n">
        <f aca="false">_xlfn.MINIFS(Transaction!$C$2:$C$8421,Transaction!$B$2:$B$8421,A2302)</f>
        <v>46153</v>
      </c>
      <c r="J2302" s="26" t="n">
        <f aca="false">_xlfn.MAXIFS(Transaction!$C$2:$C$8421,Transaction!$B$2:$B$8421,A2302)</f>
        <v>46153</v>
      </c>
      <c r="K2302" s="6" t="n">
        <f aca="false">COUNTIF(Transaction!$B$2:$B$8421,A2302)</f>
        <v>1</v>
      </c>
      <c r="L2302" s="10" t="n">
        <f aca="false">SUMIF(Transaction!$B$2:$B$8421,A2302,Transaction!$H$2:$H$8421)</f>
        <v>1954</v>
      </c>
      <c r="M2302" s="6" t="n">
        <f aca="false">Summary!$B$3-J2302</f>
        <v>113</v>
      </c>
      <c r="N2302" s="6" t="str">
        <f aca="false">IF(K2302&gt;1,"Yes","No")</f>
        <v>No</v>
      </c>
      <c r="O2302" s="6" t="s">
        <v>48</v>
      </c>
    </row>
    <row r="2303" customFormat="false" ht="15" hidden="false" customHeight="false" outlineLevel="0" collapsed="false">
      <c r="A2303" s="6" t="s">
        <v>4715</v>
      </c>
      <c r="B2303" s="6" t="s">
        <v>4716</v>
      </c>
      <c r="C2303" s="6" t="s">
        <v>85</v>
      </c>
      <c r="D2303" s="6" t="n">
        <v>26</v>
      </c>
      <c r="E2303" s="6" t="s">
        <v>95</v>
      </c>
      <c r="F2303" s="6" t="s">
        <v>95</v>
      </c>
      <c r="G2303" s="26" t="n">
        <v>46009</v>
      </c>
      <c r="H2303" s="6" t="s">
        <v>78</v>
      </c>
      <c r="I2303" s="26" t="n">
        <f aca="false">_xlfn.MINIFS(Transaction!$C$2:$C$8421,Transaction!$B$2:$B$8421,A2303)</f>
        <v>46092</v>
      </c>
      <c r="J2303" s="26" t="n">
        <f aca="false">_xlfn.MAXIFS(Transaction!$C$2:$C$8421,Transaction!$B$2:$B$8421,A2303)</f>
        <v>46092</v>
      </c>
      <c r="K2303" s="6" t="n">
        <f aca="false">COUNTIF(Transaction!$B$2:$B$8421,A2303)</f>
        <v>1</v>
      </c>
      <c r="L2303" s="10" t="n">
        <f aca="false">SUMIF(Transaction!$B$2:$B$8421,A2303,Transaction!$H$2:$H$8421)</f>
        <v>660</v>
      </c>
      <c r="M2303" s="6" t="n">
        <f aca="false">Summary!$B$3-J2303</f>
        <v>174</v>
      </c>
      <c r="N2303" s="6" t="str">
        <f aca="false">IF(K2303&gt;1,"Yes","No")</f>
        <v>No</v>
      </c>
      <c r="O2303" s="6" t="s">
        <v>49</v>
      </c>
    </row>
    <row r="2304" customFormat="false" ht="15" hidden="false" customHeight="false" outlineLevel="0" collapsed="false">
      <c r="A2304" s="6" t="s">
        <v>4717</v>
      </c>
      <c r="B2304" s="6" t="s">
        <v>4718</v>
      </c>
      <c r="C2304" s="6" t="s">
        <v>75</v>
      </c>
      <c r="D2304" s="6" t="n">
        <v>33</v>
      </c>
      <c r="E2304" s="6" t="s">
        <v>180</v>
      </c>
      <c r="F2304" s="6" t="s">
        <v>181</v>
      </c>
      <c r="G2304" s="26" t="n">
        <v>46063</v>
      </c>
      <c r="H2304" s="6" t="s">
        <v>102</v>
      </c>
      <c r="I2304" s="26" t="n">
        <f aca="false">_xlfn.MINIFS(Transaction!$C$2:$C$8421,Transaction!$B$2:$B$8421,A2304)</f>
        <v>46083</v>
      </c>
      <c r="J2304" s="26" t="n">
        <f aca="false">_xlfn.MAXIFS(Transaction!$C$2:$C$8421,Transaction!$B$2:$B$8421,A2304)</f>
        <v>46210</v>
      </c>
      <c r="K2304" s="6" t="n">
        <f aca="false">COUNTIF(Transaction!$B$2:$B$8421,A2304)</f>
        <v>5</v>
      </c>
      <c r="L2304" s="10" t="n">
        <f aca="false">SUMIF(Transaction!$B$2:$B$8421,A2304,Transaction!$H$2:$H$8421)</f>
        <v>18616</v>
      </c>
      <c r="M2304" s="6" t="n">
        <f aca="false">Summary!$B$3-J2304</f>
        <v>56</v>
      </c>
      <c r="N2304" s="6" t="str">
        <f aca="false">IF(K2304&gt;1,"Yes","No")</f>
        <v>Yes</v>
      </c>
      <c r="O2304" s="6" t="s">
        <v>46</v>
      </c>
    </row>
    <row r="2305" customFormat="false" ht="15" hidden="false" customHeight="false" outlineLevel="0" collapsed="false">
      <c r="A2305" s="6" t="s">
        <v>4719</v>
      </c>
      <c r="B2305" s="6" t="s">
        <v>4720</v>
      </c>
      <c r="C2305" s="6" t="s">
        <v>85</v>
      </c>
      <c r="D2305" s="6" t="n">
        <v>29</v>
      </c>
      <c r="E2305" s="6" t="s">
        <v>86</v>
      </c>
      <c r="F2305" s="6" t="s">
        <v>87</v>
      </c>
      <c r="G2305" s="26" t="n">
        <v>46086</v>
      </c>
      <c r="H2305" s="6" t="s">
        <v>102</v>
      </c>
      <c r="I2305" s="26" t="n">
        <f aca="false">_xlfn.MINIFS(Transaction!$C$2:$C$8421,Transaction!$B$2:$B$8421,A2305)</f>
        <v>46160</v>
      </c>
      <c r="J2305" s="26" t="n">
        <f aca="false">_xlfn.MAXIFS(Transaction!$C$2:$C$8421,Transaction!$B$2:$B$8421,A2305)</f>
        <v>46195</v>
      </c>
      <c r="K2305" s="6" t="n">
        <f aca="false">COUNTIF(Transaction!$B$2:$B$8421,A2305)</f>
        <v>3</v>
      </c>
      <c r="L2305" s="10" t="n">
        <f aca="false">SUMIF(Transaction!$B$2:$B$8421,A2305,Transaction!$H$2:$H$8421)</f>
        <v>4231</v>
      </c>
      <c r="M2305" s="6" t="n">
        <f aca="false">Summary!$B$3-J2305</f>
        <v>71</v>
      </c>
      <c r="N2305" s="6" t="str">
        <f aca="false">IF(K2305&gt;1,"Yes","No")</f>
        <v>Yes</v>
      </c>
      <c r="O2305" s="6" t="s">
        <v>46</v>
      </c>
    </row>
    <row r="2306" customFormat="false" ht="15" hidden="false" customHeight="false" outlineLevel="0" collapsed="false">
      <c r="A2306" s="6" t="s">
        <v>4721</v>
      </c>
      <c r="B2306" s="6" t="s">
        <v>4722</v>
      </c>
      <c r="C2306" s="6" t="s">
        <v>85</v>
      </c>
      <c r="D2306" s="6" t="n">
        <v>28</v>
      </c>
      <c r="E2306" s="6" t="s">
        <v>81</v>
      </c>
      <c r="F2306" s="6" t="s">
        <v>82</v>
      </c>
      <c r="G2306" s="26" t="n">
        <v>46069</v>
      </c>
      <c r="H2306" s="6" t="s">
        <v>115</v>
      </c>
      <c r="I2306" s="26" t="n">
        <f aca="false">_xlfn.MINIFS(Transaction!$C$2:$C$8421,Transaction!$B$2:$B$8421,A2306)</f>
        <v>46094</v>
      </c>
      <c r="J2306" s="26" t="n">
        <f aca="false">_xlfn.MAXIFS(Transaction!$C$2:$C$8421,Transaction!$B$2:$B$8421,A2306)</f>
        <v>46094</v>
      </c>
      <c r="K2306" s="6" t="n">
        <f aca="false">COUNTIF(Transaction!$B$2:$B$8421,A2306)</f>
        <v>1</v>
      </c>
      <c r="L2306" s="10" t="n">
        <f aca="false">SUMIF(Transaction!$B$2:$B$8421,A2306,Transaction!$H$2:$H$8421)</f>
        <v>2736</v>
      </c>
      <c r="M2306" s="6" t="n">
        <f aca="false">Summary!$B$3-J2306</f>
        <v>172</v>
      </c>
      <c r="N2306" s="6" t="str">
        <f aca="false">IF(K2306&gt;1,"Yes","No")</f>
        <v>No</v>
      </c>
      <c r="O2306" s="6" t="s">
        <v>49</v>
      </c>
    </row>
    <row r="2307" customFormat="false" ht="15" hidden="false" customHeight="false" outlineLevel="0" collapsed="false">
      <c r="A2307" s="6" t="s">
        <v>4723</v>
      </c>
      <c r="B2307" s="6" t="s">
        <v>4724</v>
      </c>
      <c r="C2307" s="6" t="s">
        <v>85</v>
      </c>
      <c r="D2307" s="6" t="n">
        <v>37</v>
      </c>
      <c r="E2307" s="6" t="s">
        <v>81</v>
      </c>
      <c r="F2307" s="6" t="s">
        <v>82</v>
      </c>
      <c r="G2307" s="26" t="n">
        <v>46019</v>
      </c>
      <c r="H2307" s="6" t="s">
        <v>102</v>
      </c>
      <c r="I2307" s="26" t="n">
        <f aca="false">_xlfn.MINIFS(Transaction!$C$2:$C$8421,Transaction!$B$2:$B$8421,A2307)</f>
        <v>46030</v>
      </c>
      <c r="J2307" s="26" t="n">
        <f aca="false">_xlfn.MAXIFS(Transaction!$C$2:$C$8421,Transaction!$B$2:$B$8421,A2307)</f>
        <v>46030</v>
      </c>
      <c r="K2307" s="6" t="n">
        <f aca="false">COUNTIF(Transaction!$B$2:$B$8421,A2307)</f>
        <v>1</v>
      </c>
      <c r="L2307" s="10" t="n">
        <f aca="false">SUMIF(Transaction!$B$2:$B$8421,A2307,Transaction!$H$2:$H$8421)</f>
        <v>5098</v>
      </c>
      <c r="M2307" s="6" t="n">
        <f aca="false">Summary!$B$3-J2307</f>
        <v>236</v>
      </c>
      <c r="N2307" s="6" t="str">
        <f aca="false">IF(K2307&gt;1,"Yes","No")</f>
        <v>No</v>
      </c>
      <c r="O2307" s="6" t="s">
        <v>49</v>
      </c>
    </row>
    <row r="2308" customFormat="false" ht="15" hidden="false" customHeight="false" outlineLevel="0" collapsed="false">
      <c r="A2308" s="6" t="s">
        <v>4725</v>
      </c>
      <c r="B2308" s="6" t="s">
        <v>4726</v>
      </c>
      <c r="C2308" s="6" t="s">
        <v>75</v>
      </c>
      <c r="D2308" s="6" t="n">
        <v>38</v>
      </c>
      <c r="E2308" s="6" t="s">
        <v>105</v>
      </c>
      <c r="F2308" s="6" t="s">
        <v>106</v>
      </c>
      <c r="G2308" s="26" t="n">
        <v>45979</v>
      </c>
      <c r="H2308" s="6" t="s">
        <v>78</v>
      </c>
      <c r="I2308" s="26" t="n">
        <f aca="false">_xlfn.MINIFS(Transaction!$C$2:$C$8421,Transaction!$B$2:$B$8421,A2308)</f>
        <v>46032</v>
      </c>
      <c r="J2308" s="26" t="n">
        <f aca="false">_xlfn.MAXIFS(Transaction!$C$2:$C$8421,Transaction!$B$2:$B$8421,A2308)</f>
        <v>46242</v>
      </c>
      <c r="K2308" s="6" t="n">
        <f aca="false">COUNTIF(Transaction!$B$2:$B$8421,A2308)</f>
        <v>10</v>
      </c>
      <c r="L2308" s="10" t="n">
        <f aca="false">SUMIF(Transaction!$B$2:$B$8421,A2308,Transaction!$H$2:$H$8421)</f>
        <v>43856</v>
      </c>
      <c r="M2308" s="6" t="n">
        <f aca="false">Summary!$B$3-J2308</f>
        <v>24</v>
      </c>
      <c r="N2308" s="6" t="str">
        <f aca="false">IF(K2308&gt;1,"Yes","No")</f>
        <v>Yes</v>
      </c>
      <c r="O2308" s="6" t="s">
        <v>45</v>
      </c>
    </row>
    <row r="2309" customFormat="false" ht="15" hidden="false" customHeight="false" outlineLevel="0" collapsed="false">
      <c r="A2309" s="6" t="s">
        <v>4727</v>
      </c>
      <c r="B2309" s="6" t="s">
        <v>4728</v>
      </c>
      <c r="C2309" s="6" t="s">
        <v>75</v>
      </c>
      <c r="D2309" s="6" t="n">
        <v>34</v>
      </c>
      <c r="E2309" s="6" t="s">
        <v>95</v>
      </c>
      <c r="F2309" s="6" t="s">
        <v>95</v>
      </c>
      <c r="G2309" s="26" t="n">
        <v>45977</v>
      </c>
      <c r="H2309" s="6" t="s">
        <v>88</v>
      </c>
      <c r="I2309" s="26" t="n">
        <f aca="false">_xlfn.MINIFS(Transaction!$C$2:$C$8421,Transaction!$B$2:$B$8421,A2309)</f>
        <v>46054</v>
      </c>
      <c r="J2309" s="26" t="n">
        <f aca="false">_xlfn.MAXIFS(Transaction!$C$2:$C$8421,Transaction!$B$2:$B$8421,A2309)</f>
        <v>46252</v>
      </c>
      <c r="K2309" s="6" t="n">
        <f aca="false">COUNTIF(Transaction!$B$2:$B$8421,A2309)</f>
        <v>8</v>
      </c>
      <c r="L2309" s="10" t="n">
        <f aca="false">SUMIF(Transaction!$B$2:$B$8421,A2309,Transaction!$H$2:$H$8421)</f>
        <v>13807</v>
      </c>
      <c r="M2309" s="6" t="n">
        <f aca="false">Summary!$B$3-J2309</f>
        <v>14</v>
      </c>
      <c r="N2309" s="6" t="str">
        <f aca="false">IF(K2309&gt;1,"Yes","No")</f>
        <v>Yes</v>
      </c>
      <c r="O2309" s="6" t="s">
        <v>45</v>
      </c>
    </row>
    <row r="2310" customFormat="false" ht="15" hidden="false" customHeight="false" outlineLevel="0" collapsed="false">
      <c r="A2310" s="6" t="s">
        <v>4729</v>
      </c>
      <c r="B2310" s="6" t="s">
        <v>4730</v>
      </c>
      <c r="C2310" s="6" t="s">
        <v>85</v>
      </c>
      <c r="D2310" s="6" t="n">
        <v>55</v>
      </c>
      <c r="E2310" s="6" t="s">
        <v>81</v>
      </c>
      <c r="F2310" s="6" t="s">
        <v>82</v>
      </c>
      <c r="G2310" s="26" t="n">
        <v>46146</v>
      </c>
      <c r="H2310" s="6" t="s">
        <v>92</v>
      </c>
      <c r="I2310" s="26" t="n">
        <f aca="false">_xlfn.MINIFS(Transaction!$C$2:$C$8421,Transaction!$B$2:$B$8421,A2310)</f>
        <v>46219</v>
      </c>
      <c r="J2310" s="26" t="n">
        <f aca="false">_xlfn.MAXIFS(Transaction!$C$2:$C$8421,Transaction!$B$2:$B$8421,A2310)</f>
        <v>46219</v>
      </c>
      <c r="K2310" s="6" t="n">
        <f aca="false">COUNTIF(Transaction!$B$2:$B$8421,A2310)</f>
        <v>1</v>
      </c>
      <c r="L2310" s="10" t="n">
        <f aca="false">SUMIF(Transaction!$B$2:$B$8421,A2310,Transaction!$H$2:$H$8421)</f>
        <v>880</v>
      </c>
      <c r="M2310" s="6" t="n">
        <f aca="false">Summary!$B$3-J2310</f>
        <v>47</v>
      </c>
      <c r="N2310" s="6" t="str">
        <f aca="false">IF(K2310&gt;1,"Yes","No")</f>
        <v>No</v>
      </c>
      <c r="O2310" s="6" t="s">
        <v>47</v>
      </c>
    </row>
    <row r="2311" customFormat="false" ht="15" hidden="false" customHeight="false" outlineLevel="0" collapsed="false">
      <c r="A2311" s="6" t="s">
        <v>4731</v>
      </c>
      <c r="B2311" s="6" t="s">
        <v>4732</v>
      </c>
      <c r="C2311" s="6" t="s">
        <v>85</v>
      </c>
      <c r="D2311" s="6" t="n">
        <v>42</v>
      </c>
      <c r="E2311" s="6" t="s">
        <v>76</v>
      </c>
      <c r="F2311" s="6" t="s">
        <v>77</v>
      </c>
      <c r="G2311" s="26" t="n">
        <v>46203</v>
      </c>
      <c r="H2311" s="6" t="s">
        <v>123</v>
      </c>
      <c r="I2311" s="26" t="n">
        <f aca="false">_xlfn.MINIFS(Transaction!$C$2:$C$8421,Transaction!$B$2:$B$8421,A2311)</f>
        <v>46211</v>
      </c>
      <c r="J2311" s="26" t="n">
        <f aca="false">_xlfn.MAXIFS(Transaction!$C$2:$C$8421,Transaction!$B$2:$B$8421,A2311)</f>
        <v>46211</v>
      </c>
      <c r="K2311" s="6" t="n">
        <f aca="false">COUNTIF(Transaction!$B$2:$B$8421,A2311)</f>
        <v>1</v>
      </c>
      <c r="L2311" s="10" t="n">
        <f aca="false">SUMIF(Transaction!$B$2:$B$8421,A2311,Transaction!$H$2:$H$8421)</f>
        <v>3344</v>
      </c>
      <c r="M2311" s="6" t="n">
        <f aca="false">Summary!$B$3-J2311</f>
        <v>55</v>
      </c>
      <c r="N2311" s="6" t="str">
        <f aca="false">IF(K2311&gt;1,"Yes","No")</f>
        <v>No</v>
      </c>
      <c r="O2311" s="6" t="s">
        <v>47</v>
      </c>
    </row>
    <row r="2312" customFormat="false" ht="15" hidden="false" customHeight="false" outlineLevel="0" collapsed="false">
      <c r="A2312" s="6" t="s">
        <v>4733</v>
      </c>
      <c r="B2312" s="6" t="s">
        <v>4734</v>
      </c>
      <c r="C2312" s="6" t="s">
        <v>75</v>
      </c>
      <c r="D2312" s="6" t="n">
        <v>36</v>
      </c>
      <c r="E2312" s="6" t="s">
        <v>134</v>
      </c>
      <c r="F2312" s="6" t="s">
        <v>135</v>
      </c>
      <c r="G2312" s="26" t="n">
        <v>45966</v>
      </c>
      <c r="H2312" s="6" t="s">
        <v>78</v>
      </c>
      <c r="I2312" s="26" t="n">
        <f aca="false">_xlfn.MINIFS(Transaction!$C$2:$C$8421,Transaction!$B$2:$B$8421,A2312)</f>
        <v>46028</v>
      </c>
      <c r="J2312" s="26" t="n">
        <f aca="false">_xlfn.MAXIFS(Transaction!$C$2:$C$8421,Transaction!$B$2:$B$8421,A2312)</f>
        <v>46028</v>
      </c>
      <c r="K2312" s="6" t="n">
        <f aca="false">COUNTIF(Transaction!$B$2:$B$8421,A2312)</f>
        <v>1</v>
      </c>
      <c r="L2312" s="10" t="n">
        <f aca="false">SUMIF(Transaction!$B$2:$B$8421,A2312,Transaction!$H$2:$H$8421)</f>
        <v>1016</v>
      </c>
      <c r="M2312" s="6" t="n">
        <f aca="false">Summary!$B$3-J2312</f>
        <v>238</v>
      </c>
      <c r="N2312" s="6" t="str">
        <f aca="false">IF(K2312&gt;1,"Yes","No")</f>
        <v>No</v>
      </c>
      <c r="O2312" s="6" t="s">
        <v>49</v>
      </c>
    </row>
    <row r="2313" customFormat="false" ht="15" hidden="false" customHeight="false" outlineLevel="0" collapsed="false">
      <c r="A2313" s="6" t="s">
        <v>4735</v>
      </c>
      <c r="B2313" s="6" t="s">
        <v>4736</v>
      </c>
      <c r="C2313" s="6" t="s">
        <v>85</v>
      </c>
      <c r="D2313" s="6" t="n">
        <v>25</v>
      </c>
      <c r="E2313" s="6" t="s">
        <v>81</v>
      </c>
      <c r="F2313" s="6" t="s">
        <v>82</v>
      </c>
      <c r="G2313" s="26" t="n">
        <v>46058</v>
      </c>
      <c r="H2313" s="6" t="s">
        <v>78</v>
      </c>
      <c r="I2313" s="26" t="n">
        <f aca="false">_xlfn.MINIFS(Transaction!$C$2:$C$8421,Transaction!$B$2:$B$8421,A2313)</f>
        <v>46117</v>
      </c>
      <c r="J2313" s="26" t="n">
        <f aca="false">_xlfn.MAXIFS(Transaction!$C$2:$C$8421,Transaction!$B$2:$B$8421,A2313)</f>
        <v>46117</v>
      </c>
      <c r="K2313" s="6" t="n">
        <f aca="false">COUNTIF(Transaction!$B$2:$B$8421,A2313)</f>
        <v>1</v>
      </c>
      <c r="L2313" s="10" t="n">
        <f aca="false">SUMIF(Transaction!$B$2:$B$8421,A2313,Transaction!$H$2:$H$8421)</f>
        <v>1651</v>
      </c>
      <c r="M2313" s="6" t="n">
        <f aca="false">Summary!$B$3-J2313</f>
        <v>149</v>
      </c>
      <c r="N2313" s="6" t="str">
        <f aca="false">IF(K2313&gt;1,"Yes","No")</f>
        <v>No</v>
      </c>
      <c r="O2313" s="6" t="s">
        <v>48</v>
      </c>
    </row>
    <row r="2314" customFormat="false" ht="15" hidden="false" customHeight="false" outlineLevel="0" collapsed="false">
      <c r="A2314" s="6" t="s">
        <v>4737</v>
      </c>
      <c r="B2314" s="6" t="s">
        <v>4738</v>
      </c>
      <c r="C2314" s="6" t="s">
        <v>75</v>
      </c>
      <c r="D2314" s="6" t="n">
        <v>26</v>
      </c>
      <c r="E2314" s="6" t="s">
        <v>95</v>
      </c>
      <c r="F2314" s="6" t="s">
        <v>95</v>
      </c>
      <c r="G2314" s="26" t="n">
        <v>46211</v>
      </c>
      <c r="H2314" s="6" t="s">
        <v>92</v>
      </c>
      <c r="I2314" s="26" t="n">
        <f aca="false">_xlfn.MINIFS(Transaction!$C$2:$C$8421,Transaction!$B$2:$B$8421,A2314)</f>
        <v>46255</v>
      </c>
      <c r="J2314" s="26" t="n">
        <f aca="false">_xlfn.MAXIFS(Transaction!$C$2:$C$8421,Transaction!$B$2:$B$8421,A2314)</f>
        <v>46255</v>
      </c>
      <c r="K2314" s="6" t="n">
        <f aca="false">COUNTIF(Transaction!$B$2:$B$8421,A2314)</f>
        <v>1</v>
      </c>
      <c r="L2314" s="10" t="n">
        <f aca="false">SUMIF(Transaction!$B$2:$B$8421,A2314,Transaction!$H$2:$H$8421)</f>
        <v>1486</v>
      </c>
      <c r="M2314" s="6" t="n">
        <f aca="false">Summary!$B$3-J2314</f>
        <v>11</v>
      </c>
      <c r="N2314" s="6" t="str">
        <f aca="false">IF(K2314&gt;1,"Yes","No")</f>
        <v>No</v>
      </c>
      <c r="O2314" s="6" t="s">
        <v>47</v>
      </c>
    </row>
    <row r="2315" customFormat="false" ht="15" hidden="false" customHeight="false" outlineLevel="0" collapsed="false">
      <c r="A2315" s="6" t="s">
        <v>4739</v>
      </c>
      <c r="B2315" s="6" t="s">
        <v>4740</v>
      </c>
      <c r="C2315" s="6" t="s">
        <v>85</v>
      </c>
      <c r="D2315" s="6" t="n">
        <v>46</v>
      </c>
      <c r="E2315" s="6" t="s">
        <v>105</v>
      </c>
      <c r="F2315" s="6" t="s">
        <v>106</v>
      </c>
      <c r="G2315" s="26" t="n">
        <v>46032</v>
      </c>
      <c r="H2315" s="6" t="s">
        <v>115</v>
      </c>
      <c r="I2315" s="26" t="n">
        <f aca="false">_xlfn.MINIFS(Transaction!$C$2:$C$8421,Transaction!$B$2:$B$8421,A2315)</f>
        <v>46047</v>
      </c>
      <c r="J2315" s="26" t="n">
        <f aca="false">_xlfn.MAXIFS(Transaction!$C$2:$C$8421,Transaction!$B$2:$B$8421,A2315)</f>
        <v>46256</v>
      </c>
      <c r="K2315" s="6" t="n">
        <f aca="false">COUNTIF(Transaction!$B$2:$B$8421,A2315)</f>
        <v>12</v>
      </c>
      <c r="L2315" s="10" t="n">
        <f aca="false">SUMIF(Transaction!$B$2:$B$8421,A2315,Transaction!$H$2:$H$8421)</f>
        <v>20667</v>
      </c>
      <c r="M2315" s="6" t="n">
        <f aca="false">Summary!$B$3-J2315</f>
        <v>10</v>
      </c>
      <c r="N2315" s="6" t="str">
        <f aca="false">IF(K2315&gt;1,"Yes","No")</f>
        <v>Yes</v>
      </c>
      <c r="O2315" s="6" t="s">
        <v>45</v>
      </c>
    </row>
    <row r="2316" customFormat="false" ht="15" hidden="false" customHeight="false" outlineLevel="0" collapsed="false">
      <c r="A2316" s="6" t="s">
        <v>4741</v>
      </c>
      <c r="B2316" s="6" t="s">
        <v>4742</v>
      </c>
      <c r="C2316" s="6" t="s">
        <v>85</v>
      </c>
      <c r="D2316" s="6" t="n">
        <v>33</v>
      </c>
      <c r="E2316" s="6" t="s">
        <v>76</v>
      </c>
      <c r="F2316" s="6" t="s">
        <v>77</v>
      </c>
      <c r="G2316" s="26" t="n">
        <v>46160</v>
      </c>
      <c r="H2316" s="6" t="s">
        <v>92</v>
      </c>
      <c r="I2316" s="26" t="n">
        <f aca="false">_xlfn.MINIFS(Transaction!$C$2:$C$8421,Transaction!$B$2:$B$8421,A2316)</f>
        <v>46171</v>
      </c>
      <c r="J2316" s="26" t="n">
        <f aca="false">_xlfn.MAXIFS(Transaction!$C$2:$C$8421,Transaction!$B$2:$B$8421,A2316)</f>
        <v>46171</v>
      </c>
      <c r="K2316" s="6" t="n">
        <f aca="false">COUNTIF(Transaction!$B$2:$B$8421,A2316)</f>
        <v>1</v>
      </c>
      <c r="L2316" s="10" t="n">
        <f aca="false">SUMIF(Transaction!$B$2:$B$8421,A2316,Transaction!$H$2:$H$8421)</f>
        <v>3930</v>
      </c>
      <c r="M2316" s="6" t="n">
        <f aca="false">Summary!$B$3-J2316</f>
        <v>95</v>
      </c>
      <c r="N2316" s="6" t="str">
        <f aca="false">IF(K2316&gt;1,"Yes","No")</f>
        <v>No</v>
      </c>
      <c r="O2316" s="6" t="s">
        <v>48</v>
      </c>
    </row>
    <row r="2317" customFormat="false" ht="15" hidden="false" customHeight="false" outlineLevel="0" collapsed="false">
      <c r="A2317" s="6" t="s">
        <v>4743</v>
      </c>
      <c r="B2317" s="6" t="s">
        <v>4744</v>
      </c>
      <c r="C2317" s="6" t="s">
        <v>85</v>
      </c>
      <c r="D2317" s="6" t="n">
        <v>38</v>
      </c>
      <c r="E2317" s="6" t="s">
        <v>95</v>
      </c>
      <c r="F2317" s="6" t="s">
        <v>95</v>
      </c>
      <c r="G2317" s="26" t="n">
        <v>46164</v>
      </c>
      <c r="H2317" s="6" t="s">
        <v>123</v>
      </c>
      <c r="I2317" s="26" t="n">
        <f aca="false">_xlfn.MINIFS(Transaction!$C$2:$C$8421,Transaction!$B$2:$B$8421,A2317)</f>
        <v>46211</v>
      </c>
      <c r="J2317" s="26" t="n">
        <f aca="false">_xlfn.MAXIFS(Transaction!$C$2:$C$8421,Transaction!$B$2:$B$8421,A2317)</f>
        <v>46211</v>
      </c>
      <c r="K2317" s="6" t="n">
        <f aca="false">COUNTIF(Transaction!$B$2:$B$8421,A2317)</f>
        <v>1</v>
      </c>
      <c r="L2317" s="10" t="n">
        <f aca="false">SUMIF(Transaction!$B$2:$B$8421,A2317,Transaction!$H$2:$H$8421)</f>
        <v>2784</v>
      </c>
      <c r="M2317" s="6" t="n">
        <f aca="false">Summary!$B$3-J2317</f>
        <v>55</v>
      </c>
      <c r="N2317" s="6" t="str">
        <f aca="false">IF(K2317&gt;1,"Yes","No")</f>
        <v>No</v>
      </c>
      <c r="O2317" s="6" t="s">
        <v>47</v>
      </c>
    </row>
    <row r="2318" customFormat="false" ht="15" hidden="false" customHeight="false" outlineLevel="0" collapsed="false">
      <c r="A2318" s="6" t="s">
        <v>4745</v>
      </c>
      <c r="B2318" s="6" t="s">
        <v>4746</v>
      </c>
      <c r="C2318" s="6" t="s">
        <v>75</v>
      </c>
      <c r="D2318" s="6" t="n">
        <v>46</v>
      </c>
      <c r="E2318" s="6" t="s">
        <v>95</v>
      </c>
      <c r="F2318" s="6" t="s">
        <v>95</v>
      </c>
      <c r="G2318" s="26" t="n">
        <v>46027</v>
      </c>
      <c r="H2318" s="6" t="s">
        <v>123</v>
      </c>
      <c r="I2318" s="26" t="n">
        <f aca="false">_xlfn.MINIFS(Transaction!$C$2:$C$8421,Transaction!$B$2:$B$8421,A2318)</f>
        <v>46035</v>
      </c>
      <c r="J2318" s="26" t="n">
        <f aca="false">_xlfn.MAXIFS(Transaction!$C$2:$C$8421,Transaction!$B$2:$B$8421,A2318)</f>
        <v>46265</v>
      </c>
      <c r="K2318" s="6" t="n">
        <f aca="false">COUNTIF(Transaction!$B$2:$B$8421,A2318)</f>
        <v>9</v>
      </c>
      <c r="L2318" s="10" t="n">
        <f aca="false">SUMIF(Transaction!$B$2:$B$8421,A2318,Transaction!$H$2:$H$8421)</f>
        <v>16366</v>
      </c>
      <c r="M2318" s="6" t="n">
        <f aca="false">Summary!$B$3-J2318</f>
        <v>1</v>
      </c>
      <c r="N2318" s="6" t="str">
        <f aca="false">IF(K2318&gt;1,"Yes","No")</f>
        <v>Yes</v>
      </c>
      <c r="O2318" s="6" t="s">
        <v>45</v>
      </c>
    </row>
    <row r="2319" customFormat="false" ht="15" hidden="false" customHeight="false" outlineLevel="0" collapsed="false">
      <c r="A2319" s="6" t="s">
        <v>4747</v>
      </c>
      <c r="B2319" s="6" t="s">
        <v>4748</v>
      </c>
      <c r="C2319" s="6" t="s">
        <v>85</v>
      </c>
      <c r="D2319" s="6" t="n">
        <v>25</v>
      </c>
      <c r="E2319" s="6" t="s">
        <v>105</v>
      </c>
      <c r="F2319" s="6" t="s">
        <v>106</v>
      </c>
      <c r="G2319" s="26" t="n">
        <v>45948</v>
      </c>
      <c r="H2319" s="6" t="s">
        <v>78</v>
      </c>
      <c r="I2319" s="26" t="n">
        <f aca="false">_xlfn.MINIFS(Transaction!$C$2:$C$8421,Transaction!$B$2:$B$8421,A2319)</f>
        <v>46024</v>
      </c>
      <c r="J2319" s="26" t="n">
        <f aca="false">_xlfn.MAXIFS(Transaction!$C$2:$C$8421,Transaction!$B$2:$B$8421,A2319)</f>
        <v>46258</v>
      </c>
      <c r="K2319" s="6" t="n">
        <f aca="false">COUNTIF(Transaction!$B$2:$B$8421,A2319)</f>
        <v>8</v>
      </c>
      <c r="L2319" s="10" t="n">
        <f aca="false">SUMIF(Transaction!$B$2:$B$8421,A2319,Transaction!$H$2:$H$8421)</f>
        <v>13069</v>
      </c>
      <c r="M2319" s="6" t="n">
        <f aca="false">Summary!$B$3-J2319</f>
        <v>8</v>
      </c>
      <c r="N2319" s="6" t="str">
        <f aca="false">IF(K2319&gt;1,"Yes","No")</f>
        <v>Yes</v>
      </c>
      <c r="O2319" s="6" t="s">
        <v>46</v>
      </c>
    </row>
    <row r="2320" customFormat="false" ht="15" hidden="false" customHeight="false" outlineLevel="0" collapsed="false">
      <c r="A2320" s="6" t="s">
        <v>4749</v>
      </c>
      <c r="B2320" s="6" t="s">
        <v>4750</v>
      </c>
      <c r="C2320" s="6" t="s">
        <v>75</v>
      </c>
      <c r="D2320" s="6" t="n">
        <v>30</v>
      </c>
      <c r="E2320" s="6" t="s">
        <v>76</v>
      </c>
      <c r="F2320" s="6" t="s">
        <v>77</v>
      </c>
      <c r="G2320" s="26" t="n">
        <v>46035</v>
      </c>
      <c r="H2320" s="6" t="s">
        <v>115</v>
      </c>
      <c r="I2320" s="26" t="n">
        <f aca="false">_xlfn.MINIFS(Transaction!$C$2:$C$8421,Transaction!$B$2:$B$8421,A2320)</f>
        <v>46119</v>
      </c>
      <c r="J2320" s="26" t="n">
        <f aca="false">_xlfn.MAXIFS(Transaction!$C$2:$C$8421,Transaction!$B$2:$B$8421,A2320)</f>
        <v>46119</v>
      </c>
      <c r="K2320" s="6" t="n">
        <f aca="false">COUNTIF(Transaction!$B$2:$B$8421,A2320)</f>
        <v>1</v>
      </c>
      <c r="L2320" s="10" t="n">
        <f aca="false">SUMIF(Transaction!$B$2:$B$8421,A2320,Transaction!$H$2:$H$8421)</f>
        <v>2039</v>
      </c>
      <c r="M2320" s="6" t="n">
        <f aca="false">Summary!$B$3-J2320</f>
        <v>147</v>
      </c>
      <c r="N2320" s="6" t="str">
        <f aca="false">IF(K2320&gt;1,"Yes","No")</f>
        <v>No</v>
      </c>
      <c r="O2320" s="6" t="s">
        <v>48</v>
      </c>
    </row>
    <row r="2321" customFormat="false" ht="15" hidden="false" customHeight="false" outlineLevel="0" collapsed="false">
      <c r="A2321" s="6" t="s">
        <v>4751</v>
      </c>
      <c r="B2321" s="6" t="s">
        <v>4752</v>
      </c>
      <c r="C2321" s="6" t="s">
        <v>75</v>
      </c>
      <c r="D2321" s="6" t="n">
        <v>28</v>
      </c>
      <c r="E2321" s="6" t="s">
        <v>176</v>
      </c>
      <c r="F2321" s="6" t="s">
        <v>177</v>
      </c>
      <c r="G2321" s="26" t="n">
        <v>46164</v>
      </c>
      <c r="H2321" s="6" t="s">
        <v>115</v>
      </c>
      <c r="I2321" s="26" t="n">
        <f aca="false">_xlfn.MINIFS(Transaction!$C$2:$C$8421,Transaction!$B$2:$B$8421,A2321)</f>
        <v>46223</v>
      </c>
      <c r="J2321" s="26" t="n">
        <f aca="false">_xlfn.MAXIFS(Transaction!$C$2:$C$8421,Transaction!$B$2:$B$8421,A2321)</f>
        <v>46223</v>
      </c>
      <c r="K2321" s="6" t="n">
        <f aca="false">COUNTIF(Transaction!$B$2:$B$8421,A2321)</f>
        <v>1</v>
      </c>
      <c r="L2321" s="10" t="n">
        <f aca="false">SUMIF(Transaction!$B$2:$B$8421,A2321,Transaction!$H$2:$H$8421)</f>
        <v>1118</v>
      </c>
      <c r="M2321" s="6" t="n">
        <f aca="false">Summary!$B$3-J2321</f>
        <v>43</v>
      </c>
      <c r="N2321" s="6" t="str">
        <f aca="false">IF(K2321&gt;1,"Yes","No")</f>
        <v>No</v>
      </c>
      <c r="O2321" s="6" t="s">
        <v>47</v>
      </c>
    </row>
    <row r="2322" customFormat="false" ht="15" hidden="false" customHeight="false" outlineLevel="0" collapsed="false">
      <c r="A2322" s="6" t="s">
        <v>4753</v>
      </c>
      <c r="B2322" s="6" t="s">
        <v>4754</v>
      </c>
      <c r="C2322" s="6" t="s">
        <v>75</v>
      </c>
      <c r="D2322" s="6" t="n">
        <v>28</v>
      </c>
      <c r="E2322" s="6" t="s">
        <v>81</v>
      </c>
      <c r="F2322" s="6" t="s">
        <v>82</v>
      </c>
      <c r="G2322" s="26" t="n">
        <v>46108</v>
      </c>
      <c r="H2322" s="6" t="s">
        <v>78</v>
      </c>
      <c r="I2322" s="26" t="n">
        <f aca="false">_xlfn.MINIFS(Transaction!$C$2:$C$8421,Transaction!$B$2:$B$8421,A2322)</f>
        <v>46178</v>
      </c>
      <c r="J2322" s="26" t="n">
        <f aca="false">_xlfn.MAXIFS(Transaction!$C$2:$C$8421,Transaction!$B$2:$B$8421,A2322)</f>
        <v>46178</v>
      </c>
      <c r="K2322" s="6" t="n">
        <f aca="false">COUNTIF(Transaction!$B$2:$B$8421,A2322)</f>
        <v>1</v>
      </c>
      <c r="L2322" s="10" t="n">
        <f aca="false">SUMIF(Transaction!$B$2:$B$8421,A2322,Transaction!$H$2:$H$8421)</f>
        <v>1080</v>
      </c>
      <c r="M2322" s="6" t="n">
        <f aca="false">Summary!$B$3-J2322</f>
        <v>88</v>
      </c>
      <c r="N2322" s="6" t="str">
        <f aca="false">IF(K2322&gt;1,"Yes","No")</f>
        <v>No</v>
      </c>
      <c r="O2322" s="6" t="s">
        <v>47</v>
      </c>
    </row>
    <row r="2323" customFormat="false" ht="15" hidden="false" customHeight="false" outlineLevel="0" collapsed="false">
      <c r="A2323" s="6" t="s">
        <v>4755</v>
      </c>
      <c r="B2323" s="6" t="s">
        <v>4756</v>
      </c>
      <c r="C2323" s="6" t="s">
        <v>75</v>
      </c>
      <c r="D2323" s="6" t="n">
        <v>21</v>
      </c>
      <c r="E2323" s="6" t="s">
        <v>86</v>
      </c>
      <c r="F2323" s="6" t="s">
        <v>87</v>
      </c>
      <c r="G2323" s="26" t="n">
        <v>46010</v>
      </c>
      <c r="H2323" s="6" t="s">
        <v>102</v>
      </c>
      <c r="I2323" s="26" t="n">
        <f aca="false">_xlfn.MINIFS(Transaction!$C$2:$C$8421,Transaction!$B$2:$B$8421,A2323)</f>
        <v>46086</v>
      </c>
      <c r="J2323" s="26" t="n">
        <f aca="false">_xlfn.MAXIFS(Transaction!$C$2:$C$8421,Transaction!$B$2:$B$8421,A2323)</f>
        <v>46086</v>
      </c>
      <c r="K2323" s="6" t="n">
        <f aca="false">COUNTIF(Transaction!$B$2:$B$8421,A2323)</f>
        <v>1</v>
      </c>
      <c r="L2323" s="10" t="n">
        <f aca="false">SUMIF(Transaction!$B$2:$B$8421,A2323,Transaction!$H$2:$H$8421)</f>
        <v>733</v>
      </c>
      <c r="M2323" s="6" t="n">
        <f aca="false">Summary!$B$3-J2323</f>
        <v>180</v>
      </c>
      <c r="N2323" s="6" t="str">
        <f aca="false">IF(K2323&gt;1,"Yes","No")</f>
        <v>No</v>
      </c>
      <c r="O2323" s="6" t="s">
        <v>49</v>
      </c>
    </row>
    <row r="2324" customFormat="false" ht="15" hidden="false" customHeight="false" outlineLevel="0" collapsed="false">
      <c r="A2324" s="6" t="s">
        <v>4757</v>
      </c>
      <c r="B2324" s="6" t="s">
        <v>4758</v>
      </c>
      <c r="C2324" s="6" t="s">
        <v>75</v>
      </c>
      <c r="D2324" s="6" t="n">
        <v>28</v>
      </c>
      <c r="E2324" s="6" t="s">
        <v>121</v>
      </c>
      <c r="F2324" s="6" t="s">
        <v>122</v>
      </c>
      <c r="G2324" s="26" t="n">
        <v>46140</v>
      </c>
      <c r="H2324" s="6" t="s">
        <v>78</v>
      </c>
      <c r="I2324" s="26" t="n">
        <f aca="false">_xlfn.MINIFS(Transaction!$C$2:$C$8421,Transaction!$B$2:$B$8421,A2324)</f>
        <v>46226</v>
      </c>
      <c r="J2324" s="26" t="n">
        <f aca="false">_xlfn.MAXIFS(Transaction!$C$2:$C$8421,Transaction!$B$2:$B$8421,A2324)</f>
        <v>46226</v>
      </c>
      <c r="K2324" s="6" t="n">
        <f aca="false">COUNTIF(Transaction!$B$2:$B$8421,A2324)</f>
        <v>1</v>
      </c>
      <c r="L2324" s="10" t="n">
        <f aca="false">SUMIF(Transaction!$B$2:$B$8421,A2324,Transaction!$H$2:$H$8421)</f>
        <v>166</v>
      </c>
      <c r="M2324" s="6" t="n">
        <f aca="false">Summary!$B$3-J2324</f>
        <v>40</v>
      </c>
      <c r="N2324" s="6" t="str">
        <f aca="false">IF(K2324&gt;1,"Yes","No")</f>
        <v>No</v>
      </c>
      <c r="O2324" s="6" t="s">
        <v>47</v>
      </c>
    </row>
    <row r="2325" customFormat="false" ht="15" hidden="false" customHeight="false" outlineLevel="0" collapsed="false">
      <c r="A2325" s="6" t="s">
        <v>4759</v>
      </c>
      <c r="B2325" s="6" t="s">
        <v>4760</v>
      </c>
      <c r="C2325" s="6" t="s">
        <v>75</v>
      </c>
      <c r="D2325" s="6" t="n">
        <v>28</v>
      </c>
      <c r="E2325" s="6" t="s">
        <v>81</v>
      </c>
      <c r="F2325" s="6" t="s">
        <v>82</v>
      </c>
      <c r="G2325" s="26" t="n">
        <v>45987</v>
      </c>
      <c r="H2325" s="6" t="s">
        <v>88</v>
      </c>
      <c r="I2325" s="26" t="n">
        <f aca="false">_xlfn.MINIFS(Transaction!$C$2:$C$8421,Transaction!$B$2:$B$8421,A2325)</f>
        <v>46044</v>
      </c>
      <c r="J2325" s="26" t="n">
        <f aca="false">_xlfn.MAXIFS(Transaction!$C$2:$C$8421,Transaction!$B$2:$B$8421,A2325)</f>
        <v>46247</v>
      </c>
      <c r="K2325" s="6" t="n">
        <f aca="false">COUNTIF(Transaction!$B$2:$B$8421,A2325)</f>
        <v>11</v>
      </c>
      <c r="L2325" s="10" t="n">
        <f aca="false">SUMIF(Transaction!$B$2:$B$8421,A2325,Transaction!$H$2:$H$8421)</f>
        <v>16223</v>
      </c>
      <c r="M2325" s="6" t="n">
        <f aca="false">Summary!$B$3-J2325</f>
        <v>19</v>
      </c>
      <c r="N2325" s="6" t="str">
        <f aca="false">IF(K2325&gt;1,"Yes","No")</f>
        <v>Yes</v>
      </c>
      <c r="O2325" s="6" t="s">
        <v>45</v>
      </c>
    </row>
    <row r="2326" customFormat="false" ht="15" hidden="false" customHeight="false" outlineLevel="0" collapsed="false">
      <c r="A2326" s="6" t="s">
        <v>4761</v>
      </c>
      <c r="B2326" s="6" t="s">
        <v>4762</v>
      </c>
      <c r="C2326" s="6" t="s">
        <v>85</v>
      </c>
      <c r="D2326" s="6" t="n">
        <v>28</v>
      </c>
      <c r="E2326" s="6" t="s">
        <v>91</v>
      </c>
      <c r="F2326" s="6" t="s">
        <v>77</v>
      </c>
      <c r="G2326" s="26" t="n">
        <v>46034</v>
      </c>
      <c r="H2326" s="6" t="s">
        <v>78</v>
      </c>
      <c r="I2326" s="26" t="n">
        <f aca="false">_xlfn.MINIFS(Transaction!$C$2:$C$8421,Transaction!$B$2:$B$8421,A2326)</f>
        <v>46039</v>
      </c>
      <c r="J2326" s="26" t="n">
        <f aca="false">_xlfn.MAXIFS(Transaction!$C$2:$C$8421,Transaction!$B$2:$B$8421,A2326)</f>
        <v>46253</v>
      </c>
      <c r="K2326" s="6" t="n">
        <f aca="false">COUNTIF(Transaction!$B$2:$B$8421,A2326)</f>
        <v>7</v>
      </c>
      <c r="L2326" s="10" t="n">
        <f aca="false">SUMIF(Transaction!$B$2:$B$8421,A2326,Transaction!$H$2:$H$8421)</f>
        <v>16519</v>
      </c>
      <c r="M2326" s="6" t="n">
        <f aca="false">Summary!$B$3-J2326</f>
        <v>13</v>
      </c>
      <c r="N2326" s="6" t="str">
        <f aca="false">IF(K2326&gt;1,"Yes","No")</f>
        <v>Yes</v>
      </c>
      <c r="O2326" s="6" t="s">
        <v>45</v>
      </c>
    </row>
    <row r="2327" customFormat="false" ht="15" hidden="false" customHeight="false" outlineLevel="0" collapsed="false">
      <c r="A2327" s="6" t="s">
        <v>4763</v>
      </c>
      <c r="B2327" s="6" t="s">
        <v>4764</v>
      </c>
      <c r="C2327" s="6" t="s">
        <v>85</v>
      </c>
      <c r="D2327" s="6" t="n">
        <v>26</v>
      </c>
      <c r="E2327" s="6" t="s">
        <v>121</v>
      </c>
      <c r="F2327" s="6" t="s">
        <v>122</v>
      </c>
      <c r="G2327" s="26" t="n">
        <v>46054</v>
      </c>
      <c r="H2327" s="6" t="s">
        <v>92</v>
      </c>
      <c r="I2327" s="26" t="n">
        <f aca="false">_xlfn.MINIFS(Transaction!$C$2:$C$8421,Transaction!$B$2:$B$8421,A2327)</f>
        <v>46121</v>
      </c>
      <c r="J2327" s="26" t="n">
        <f aca="false">_xlfn.MAXIFS(Transaction!$C$2:$C$8421,Transaction!$B$2:$B$8421,A2327)</f>
        <v>46193</v>
      </c>
      <c r="K2327" s="6" t="n">
        <f aca="false">COUNTIF(Transaction!$B$2:$B$8421,A2327)</f>
        <v>5</v>
      </c>
      <c r="L2327" s="10" t="n">
        <f aca="false">SUMIF(Transaction!$B$2:$B$8421,A2327,Transaction!$H$2:$H$8421)</f>
        <v>8193</v>
      </c>
      <c r="M2327" s="6" t="n">
        <f aca="false">Summary!$B$3-J2327</f>
        <v>73</v>
      </c>
      <c r="N2327" s="6" t="str">
        <f aca="false">IF(K2327&gt;1,"Yes","No")</f>
        <v>Yes</v>
      </c>
      <c r="O2327" s="6" t="s">
        <v>46</v>
      </c>
    </row>
    <row r="2328" customFormat="false" ht="15" hidden="false" customHeight="false" outlineLevel="0" collapsed="false">
      <c r="A2328" s="6" t="s">
        <v>4765</v>
      </c>
      <c r="B2328" s="6" t="s">
        <v>4766</v>
      </c>
      <c r="C2328" s="6" t="s">
        <v>85</v>
      </c>
      <c r="D2328" s="6" t="n">
        <v>47</v>
      </c>
      <c r="E2328" s="6" t="s">
        <v>105</v>
      </c>
      <c r="F2328" s="6" t="s">
        <v>106</v>
      </c>
      <c r="G2328" s="26" t="n">
        <v>45945</v>
      </c>
      <c r="H2328" s="6" t="s">
        <v>115</v>
      </c>
      <c r="I2328" s="26" t="n">
        <f aca="false">_xlfn.MINIFS(Transaction!$C$2:$C$8421,Transaction!$B$2:$B$8421,A2328)</f>
        <v>46028</v>
      </c>
      <c r="J2328" s="26" t="n">
        <f aca="false">_xlfn.MAXIFS(Transaction!$C$2:$C$8421,Transaction!$B$2:$B$8421,A2328)</f>
        <v>46181</v>
      </c>
      <c r="K2328" s="6" t="n">
        <f aca="false">COUNTIF(Transaction!$B$2:$B$8421,A2328)</f>
        <v>4</v>
      </c>
      <c r="L2328" s="10" t="n">
        <f aca="false">SUMIF(Transaction!$B$2:$B$8421,A2328,Transaction!$H$2:$H$8421)</f>
        <v>2516</v>
      </c>
      <c r="M2328" s="6" t="n">
        <f aca="false">Summary!$B$3-J2328</f>
        <v>85</v>
      </c>
      <c r="N2328" s="6" t="str">
        <f aca="false">IF(K2328&gt;1,"Yes","No")</f>
        <v>Yes</v>
      </c>
      <c r="O2328" s="6" t="s">
        <v>46</v>
      </c>
    </row>
    <row r="2329" customFormat="false" ht="15" hidden="false" customHeight="false" outlineLevel="0" collapsed="false">
      <c r="A2329" s="6" t="s">
        <v>4767</v>
      </c>
      <c r="B2329" s="6" t="s">
        <v>4768</v>
      </c>
      <c r="C2329" s="6" t="s">
        <v>75</v>
      </c>
      <c r="D2329" s="6" t="n">
        <v>36</v>
      </c>
      <c r="E2329" s="6" t="s">
        <v>134</v>
      </c>
      <c r="F2329" s="6" t="s">
        <v>135</v>
      </c>
      <c r="G2329" s="26" t="n">
        <v>46108</v>
      </c>
      <c r="H2329" s="6" t="s">
        <v>115</v>
      </c>
      <c r="I2329" s="26" t="n">
        <f aca="false">_xlfn.MINIFS(Transaction!$C$2:$C$8421,Transaction!$B$2:$B$8421,A2329)</f>
        <v>46163</v>
      </c>
      <c r="J2329" s="26" t="n">
        <f aca="false">_xlfn.MAXIFS(Transaction!$C$2:$C$8421,Transaction!$B$2:$B$8421,A2329)</f>
        <v>46163</v>
      </c>
      <c r="K2329" s="6" t="n">
        <f aca="false">COUNTIF(Transaction!$B$2:$B$8421,A2329)</f>
        <v>1</v>
      </c>
      <c r="L2329" s="10" t="n">
        <f aca="false">SUMIF(Transaction!$B$2:$B$8421,A2329,Transaction!$H$2:$H$8421)</f>
        <v>2936</v>
      </c>
      <c r="M2329" s="6" t="n">
        <f aca="false">Summary!$B$3-J2329</f>
        <v>103</v>
      </c>
      <c r="N2329" s="6" t="str">
        <f aca="false">IF(K2329&gt;1,"Yes","No")</f>
        <v>No</v>
      </c>
      <c r="O2329" s="6" t="s">
        <v>48</v>
      </c>
    </row>
    <row r="2330" customFormat="false" ht="15" hidden="false" customHeight="false" outlineLevel="0" collapsed="false">
      <c r="A2330" s="6" t="s">
        <v>4769</v>
      </c>
      <c r="B2330" s="6" t="s">
        <v>4770</v>
      </c>
      <c r="C2330" s="6" t="s">
        <v>75</v>
      </c>
      <c r="D2330" s="6" t="n">
        <v>23</v>
      </c>
      <c r="E2330" s="6" t="s">
        <v>86</v>
      </c>
      <c r="F2330" s="6" t="s">
        <v>87</v>
      </c>
      <c r="G2330" s="26" t="n">
        <v>46061</v>
      </c>
      <c r="H2330" s="6" t="s">
        <v>123</v>
      </c>
      <c r="I2330" s="26" t="n">
        <f aca="false">_xlfn.MINIFS(Transaction!$C$2:$C$8421,Transaction!$B$2:$B$8421,A2330)</f>
        <v>46063</v>
      </c>
      <c r="J2330" s="26" t="n">
        <f aca="false">_xlfn.MAXIFS(Transaction!$C$2:$C$8421,Transaction!$B$2:$B$8421,A2330)</f>
        <v>46245</v>
      </c>
      <c r="K2330" s="6" t="n">
        <f aca="false">COUNTIF(Transaction!$B$2:$B$8421,A2330)</f>
        <v>7</v>
      </c>
      <c r="L2330" s="10" t="n">
        <f aca="false">SUMIF(Transaction!$B$2:$B$8421,A2330,Transaction!$H$2:$H$8421)</f>
        <v>10062</v>
      </c>
      <c r="M2330" s="6" t="n">
        <f aca="false">Summary!$B$3-J2330</f>
        <v>21</v>
      </c>
      <c r="N2330" s="6" t="str">
        <f aca="false">IF(K2330&gt;1,"Yes","No")</f>
        <v>Yes</v>
      </c>
      <c r="O2330" s="6" t="s">
        <v>45</v>
      </c>
    </row>
    <row r="2331" customFormat="false" ht="15" hidden="false" customHeight="false" outlineLevel="0" collapsed="false">
      <c r="A2331" s="6" t="s">
        <v>4771</v>
      </c>
      <c r="B2331" s="6" t="s">
        <v>4772</v>
      </c>
      <c r="C2331" s="6" t="s">
        <v>85</v>
      </c>
      <c r="D2331" s="6" t="n">
        <v>38</v>
      </c>
      <c r="E2331" s="6" t="s">
        <v>237</v>
      </c>
      <c r="F2331" s="6" t="s">
        <v>87</v>
      </c>
      <c r="G2331" s="26" t="n">
        <v>46016</v>
      </c>
      <c r="H2331" s="6" t="s">
        <v>78</v>
      </c>
      <c r="I2331" s="26" t="n">
        <f aca="false">_xlfn.MINIFS(Transaction!$C$2:$C$8421,Transaction!$B$2:$B$8421,A2331)</f>
        <v>46026</v>
      </c>
      <c r="J2331" s="26" t="n">
        <f aca="false">_xlfn.MAXIFS(Transaction!$C$2:$C$8421,Transaction!$B$2:$B$8421,A2331)</f>
        <v>46260</v>
      </c>
      <c r="K2331" s="6" t="n">
        <f aca="false">COUNTIF(Transaction!$B$2:$B$8421,A2331)</f>
        <v>11</v>
      </c>
      <c r="L2331" s="10" t="n">
        <f aca="false">SUMIF(Transaction!$B$2:$B$8421,A2331,Transaction!$H$2:$H$8421)</f>
        <v>16964</v>
      </c>
      <c r="M2331" s="6" t="n">
        <f aca="false">Summary!$B$3-J2331</f>
        <v>6</v>
      </c>
      <c r="N2331" s="6" t="str">
        <f aca="false">IF(K2331&gt;1,"Yes","No")</f>
        <v>Yes</v>
      </c>
      <c r="O2331" s="6" t="s">
        <v>45</v>
      </c>
    </row>
    <row r="2332" customFormat="false" ht="15" hidden="false" customHeight="false" outlineLevel="0" collapsed="false">
      <c r="A2332" s="6" t="s">
        <v>4773</v>
      </c>
      <c r="B2332" s="6" t="s">
        <v>4774</v>
      </c>
      <c r="C2332" s="6" t="s">
        <v>85</v>
      </c>
      <c r="D2332" s="6" t="n">
        <v>32</v>
      </c>
      <c r="E2332" s="6" t="s">
        <v>98</v>
      </c>
      <c r="F2332" s="6" t="s">
        <v>99</v>
      </c>
      <c r="G2332" s="26" t="n">
        <v>46046</v>
      </c>
      <c r="H2332" s="6" t="s">
        <v>102</v>
      </c>
      <c r="I2332" s="26" t="n">
        <f aca="false">_xlfn.MINIFS(Transaction!$C$2:$C$8421,Transaction!$B$2:$B$8421,A2332)</f>
        <v>46076</v>
      </c>
      <c r="J2332" s="26" t="n">
        <f aca="false">_xlfn.MAXIFS(Transaction!$C$2:$C$8421,Transaction!$B$2:$B$8421,A2332)</f>
        <v>46076</v>
      </c>
      <c r="K2332" s="6" t="n">
        <f aca="false">COUNTIF(Transaction!$B$2:$B$8421,A2332)</f>
        <v>1</v>
      </c>
      <c r="L2332" s="10" t="n">
        <f aca="false">SUMIF(Transaction!$B$2:$B$8421,A2332,Transaction!$H$2:$H$8421)</f>
        <v>1325</v>
      </c>
      <c r="M2332" s="6" t="n">
        <f aca="false">Summary!$B$3-J2332</f>
        <v>190</v>
      </c>
      <c r="N2332" s="6" t="str">
        <f aca="false">IF(K2332&gt;1,"Yes","No")</f>
        <v>No</v>
      </c>
      <c r="O2332" s="6" t="s">
        <v>49</v>
      </c>
    </row>
    <row r="2333" customFormat="false" ht="15" hidden="false" customHeight="false" outlineLevel="0" collapsed="false">
      <c r="A2333" s="6" t="s">
        <v>4775</v>
      </c>
      <c r="B2333" s="6" t="s">
        <v>4776</v>
      </c>
      <c r="C2333" s="6" t="s">
        <v>85</v>
      </c>
      <c r="D2333" s="6" t="n">
        <v>21</v>
      </c>
      <c r="E2333" s="6" t="s">
        <v>430</v>
      </c>
      <c r="F2333" s="6" t="s">
        <v>99</v>
      </c>
      <c r="G2333" s="26" t="n">
        <v>45966</v>
      </c>
      <c r="H2333" s="6" t="s">
        <v>92</v>
      </c>
      <c r="I2333" s="26" t="n">
        <f aca="false">_xlfn.MINIFS(Transaction!$C$2:$C$8421,Transaction!$B$2:$B$8421,A2333)</f>
        <v>46054</v>
      </c>
      <c r="J2333" s="26" t="n">
        <f aca="false">_xlfn.MAXIFS(Transaction!$C$2:$C$8421,Transaction!$B$2:$B$8421,A2333)</f>
        <v>46258</v>
      </c>
      <c r="K2333" s="6" t="n">
        <f aca="false">COUNTIF(Transaction!$B$2:$B$8421,A2333)</f>
        <v>4</v>
      </c>
      <c r="L2333" s="10" t="n">
        <f aca="false">SUMIF(Transaction!$B$2:$B$8421,A2333,Transaction!$H$2:$H$8421)</f>
        <v>6071</v>
      </c>
      <c r="M2333" s="6" t="n">
        <f aca="false">Summary!$B$3-J2333</f>
        <v>8</v>
      </c>
      <c r="N2333" s="6" t="str">
        <f aca="false">IF(K2333&gt;1,"Yes","No")</f>
        <v>Yes</v>
      </c>
      <c r="O2333" s="6" t="s">
        <v>46</v>
      </c>
    </row>
    <row r="2334" customFormat="false" ht="15" hidden="false" customHeight="false" outlineLevel="0" collapsed="false">
      <c r="A2334" s="6" t="s">
        <v>4777</v>
      </c>
      <c r="B2334" s="6" t="s">
        <v>4778</v>
      </c>
      <c r="C2334" s="6" t="s">
        <v>85</v>
      </c>
      <c r="D2334" s="6" t="n">
        <v>43</v>
      </c>
      <c r="E2334" s="6" t="s">
        <v>134</v>
      </c>
      <c r="F2334" s="6" t="s">
        <v>135</v>
      </c>
      <c r="G2334" s="26" t="n">
        <v>45964</v>
      </c>
      <c r="H2334" s="6" t="s">
        <v>78</v>
      </c>
      <c r="I2334" s="26" t="n">
        <f aca="false">_xlfn.MINIFS(Transaction!$C$2:$C$8421,Transaction!$B$2:$B$8421,A2334)</f>
        <v>46052</v>
      </c>
      <c r="J2334" s="26" t="n">
        <f aca="false">_xlfn.MAXIFS(Transaction!$C$2:$C$8421,Transaction!$B$2:$B$8421,A2334)</f>
        <v>46250</v>
      </c>
      <c r="K2334" s="6" t="n">
        <f aca="false">COUNTIF(Transaction!$B$2:$B$8421,A2334)</f>
        <v>9</v>
      </c>
      <c r="L2334" s="10" t="n">
        <f aca="false">SUMIF(Transaction!$B$2:$B$8421,A2334,Transaction!$H$2:$H$8421)</f>
        <v>15089</v>
      </c>
      <c r="M2334" s="6" t="n">
        <f aca="false">Summary!$B$3-J2334</f>
        <v>16</v>
      </c>
      <c r="N2334" s="6" t="str">
        <f aca="false">IF(K2334&gt;1,"Yes","No")</f>
        <v>Yes</v>
      </c>
      <c r="O2334" s="6" t="s">
        <v>45</v>
      </c>
    </row>
    <row r="2335" customFormat="false" ht="15" hidden="false" customHeight="false" outlineLevel="0" collapsed="false">
      <c r="A2335" s="6" t="s">
        <v>4779</v>
      </c>
      <c r="B2335" s="6" t="s">
        <v>4780</v>
      </c>
      <c r="C2335" s="6" t="s">
        <v>85</v>
      </c>
      <c r="D2335" s="6" t="n">
        <v>38</v>
      </c>
      <c r="E2335" s="6" t="s">
        <v>176</v>
      </c>
      <c r="F2335" s="6" t="s">
        <v>177</v>
      </c>
      <c r="G2335" s="26" t="n">
        <v>46022</v>
      </c>
      <c r="H2335" s="6" t="s">
        <v>115</v>
      </c>
      <c r="I2335" s="26" t="n">
        <f aca="false">_xlfn.MINIFS(Transaction!$C$2:$C$8421,Transaction!$B$2:$B$8421,A2335)</f>
        <v>46047</v>
      </c>
      <c r="J2335" s="26" t="n">
        <f aca="false">_xlfn.MAXIFS(Transaction!$C$2:$C$8421,Transaction!$B$2:$B$8421,A2335)</f>
        <v>46265</v>
      </c>
      <c r="K2335" s="6" t="n">
        <f aca="false">COUNTIF(Transaction!$B$2:$B$8421,A2335)</f>
        <v>9</v>
      </c>
      <c r="L2335" s="10" t="n">
        <f aca="false">SUMIF(Transaction!$B$2:$B$8421,A2335,Transaction!$H$2:$H$8421)</f>
        <v>20088</v>
      </c>
      <c r="M2335" s="6" t="n">
        <f aca="false">Summary!$B$3-J2335</f>
        <v>1</v>
      </c>
      <c r="N2335" s="6" t="str">
        <f aca="false">IF(K2335&gt;1,"Yes","No")</f>
        <v>Yes</v>
      </c>
      <c r="O2335" s="6" t="s">
        <v>45</v>
      </c>
    </row>
    <row r="2336" customFormat="false" ht="15" hidden="false" customHeight="false" outlineLevel="0" collapsed="false">
      <c r="A2336" s="6" t="s">
        <v>4781</v>
      </c>
      <c r="B2336" s="6" t="s">
        <v>4782</v>
      </c>
      <c r="C2336" s="6" t="s">
        <v>85</v>
      </c>
      <c r="D2336" s="6" t="n">
        <v>33</v>
      </c>
      <c r="E2336" s="6" t="s">
        <v>134</v>
      </c>
      <c r="F2336" s="6" t="s">
        <v>135</v>
      </c>
      <c r="G2336" s="26" t="n">
        <v>46223</v>
      </c>
      <c r="H2336" s="6" t="s">
        <v>88</v>
      </c>
      <c r="I2336" s="26" t="n">
        <f aca="false">_xlfn.MINIFS(Transaction!$C$2:$C$8421,Transaction!$B$2:$B$8421,A2336)</f>
        <v>46238</v>
      </c>
      <c r="J2336" s="26" t="n">
        <f aca="false">_xlfn.MAXIFS(Transaction!$C$2:$C$8421,Transaction!$B$2:$B$8421,A2336)</f>
        <v>46238</v>
      </c>
      <c r="K2336" s="6" t="n">
        <f aca="false">COUNTIF(Transaction!$B$2:$B$8421,A2336)</f>
        <v>1</v>
      </c>
      <c r="L2336" s="10" t="n">
        <f aca="false">SUMIF(Transaction!$B$2:$B$8421,A2336,Transaction!$H$2:$H$8421)</f>
        <v>1110</v>
      </c>
      <c r="M2336" s="6" t="n">
        <f aca="false">Summary!$B$3-J2336</f>
        <v>28</v>
      </c>
      <c r="N2336" s="6" t="str">
        <f aca="false">IF(K2336&gt;1,"Yes","No")</f>
        <v>No</v>
      </c>
      <c r="O2336" s="6" t="s">
        <v>47</v>
      </c>
    </row>
    <row r="2337" customFormat="false" ht="15" hidden="false" customHeight="false" outlineLevel="0" collapsed="false">
      <c r="A2337" s="6" t="s">
        <v>4783</v>
      </c>
      <c r="B2337" s="6" t="s">
        <v>4784</v>
      </c>
      <c r="C2337" s="6" t="s">
        <v>75</v>
      </c>
      <c r="D2337" s="6" t="n">
        <v>39</v>
      </c>
      <c r="E2337" s="6" t="s">
        <v>95</v>
      </c>
      <c r="F2337" s="6" t="s">
        <v>95</v>
      </c>
      <c r="G2337" s="26" t="n">
        <v>45967</v>
      </c>
      <c r="H2337" s="6" t="s">
        <v>92</v>
      </c>
      <c r="I2337" s="26" t="n">
        <f aca="false">_xlfn.MINIFS(Transaction!$C$2:$C$8421,Transaction!$B$2:$B$8421,A2337)</f>
        <v>46037</v>
      </c>
      <c r="J2337" s="26" t="n">
        <f aca="false">_xlfn.MAXIFS(Transaction!$C$2:$C$8421,Transaction!$B$2:$B$8421,A2337)</f>
        <v>46259</v>
      </c>
      <c r="K2337" s="6" t="n">
        <f aca="false">COUNTIF(Transaction!$B$2:$B$8421,A2337)</f>
        <v>9</v>
      </c>
      <c r="L2337" s="10" t="n">
        <f aca="false">SUMIF(Transaction!$B$2:$B$8421,A2337,Transaction!$H$2:$H$8421)</f>
        <v>16538</v>
      </c>
      <c r="M2337" s="6" t="n">
        <f aca="false">Summary!$B$3-J2337</f>
        <v>7</v>
      </c>
      <c r="N2337" s="6" t="str">
        <f aca="false">IF(K2337&gt;1,"Yes","No")</f>
        <v>Yes</v>
      </c>
      <c r="O2337" s="6" t="s">
        <v>45</v>
      </c>
    </row>
    <row r="2338" customFormat="false" ht="15" hidden="false" customHeight="false" outlineLevel="0" collapsed="false">
      <c r="A2338" s="6" t="s">
        <v>4785</v>
      </c>
      <c r="B2338" s="6" t="s">
        <v>4786</v>
      </c>
      <c r="C2338" s="6" t="s">
        <v>75</v>
      </c>
      <c r="D2338" s="6" t="n">
        <v>47</v>
      </c>
      <c r="E2338" s="6" t="s">
        <v>95</v>
      </c>
      <c r="F2338" s="6" t="s">
        <v>95</v>
      </c>
      <c r="G2338" s="26" t="n">
        <v>46017</v>
      </c>
      <c r="H2338" s="6" t="s">
        <v>78</v>
      </c>
      <c r="I2338" s="26" t="n">
        <f aca="false">_xlfn.MINIFS(Transaction!$C$2:$C$8421,Transaction!$B$2:$B$8421,A2338)</f>
        <v>46103</v>
      </c>
      <c r="J2338" s="26" t="n">
        <f aca="false">_xlfn.MAXIFS(Transaction!$C$2:$C$8421,Transaction!$B$2:$B$8421,A2338)</f>
        <v>46103</v>
      </c>
      <c r="K2338" s="6" t="n">
        <f aca="false">COUNTIF(Transaction!$B$2:$B$8421,A2338)</f>
        <v>1</v>
      </c>
      <c r="L2338" s="10" t="n">
        <f aca="false">SUMIF(Transaction!$B$2:$B$8421,A2338,Transaction!$H$2:$H$8421)</f>
        <v>5364</v>
      </c>
      <c r="M2338" s="6" t="n">
        <f aca="false">Summary!$B$3-J2338</f>
        <v>163</v>
      </c>
      <c r="N2338" s="6" t="str">
        <f aca="false">IF(K2338&gt;1,"Yes","No")</f>
        <v>No</v>
      </c>
      <c r="O2338" s="6" t="s">
        <v>49</v>
      </c>
    </row>
    <row r="2339" customFormat="false" ht="15" hidden="false" customHeight="false" outlineLevel="0" collapsed="false">
      <c r="A2339" s="6" t="s">
        <v>4787</v>
      </c>
      <c r="B2339" s="6" t="s">
        <v>4788</v>
      </c>
      <c r="C2339" s="6" t="s">
        <v>85</v>
      </c>
      <c r="D2339" s="6" t="n">
        <v>56</v>
      </c>
      <c r="E2339" s="6" t="s">
        <v>121</v>
      </c>
      <c r="F2339" s="6" t="s">
        <v>122</v>
      </c>
      <c r="G2339" s="26" t="n">
        <v>45987</v>
      </c>
      <c r="H2339" s="6" t="s">
        <v>102</v>
      </c>
      <c r="I2339" s="26" t="n">
        <f aca="false">_xlfn.MINIFS(Transaction!$C$2:$C$8421,Transaction!$B$2:$B$8421,A2339)</f>
        <v>46041</v>
      </c>
      <c r="J2339" s="26" t="n">
        <f aca="false">_xlfn.MAXIFS(Transaction!$C$2:$C$8421,Transaction!$B$2:$B$8421,A2339)</f>
        <v>46251</v>
      </c>
      <c r="K2339" s="6" t="n">
        <f aca="false">COUNTIF(Transaction!$B$2:$B$8421,A2339)</f>
        <v>7</v>
      </c>
      <c r="L2339" s="10" t="n">
        <f aca="false">SUMIF(Transaction!$B$2:$B$8421,A2339,Transaction!$H$2:$H$8421)</f>
        <v>13144</v>
      </c>
      <c r="M2339" s="6" t="n">
        <f aca="false">Summary!$B$3-J2339</f>
        <v>15</v>
      </c>
      <c r="N2339" s="6" t="str">
        <f aca="false">IF(K2339&gt;1,"Yes","No")</f>
        <v>Yes</v>
      </c>
      <c r="O2339" s="6" t="s">
        <v>45</v>
      </c>
    </row>
    <row r="2340" customFormat="false" ht="15" hidden="false" customHeight="false" outlineLevel="0" collapsed="false">
      <c r="A2340" s="6" t="s">
        <v>4789</v>
      </c>
      <c r="B2340" s="6" t="s">
        <v>4790</v>
      </c>
      <c r="C2340" s="6" t="s">
        <v>75</v>
      </c>
      <c r="D2340" s="6" t="n">
        <v>29</v>
      </c>
      <c r="E2340" s="6" t="s">
        <v>76</v>
      </c>
      <c r="F2340" s="6" t="s">
        <v>77</v>
      </c>
      <c r="G2340" s="26" t="n">
        <v>46152</v>
      </c>
      <c r="H2340" s="6" t="s">
        <v>88</v>
      </c>
      <c r="I2340" s="26" t="n">
        <f aca="false">_xlfn.MINIFS(Transaction!$C$2:$C$8421,Transaction!$B$2:$B$8421,A2340)</f>
        <v>46224</v>
      </c>
      <c r="J2340" s="26" t="n">
        <f aca="false">_xlfn.MAXIFS(Transaction!$C$2:$C$8421,Transaction!$B$2:$B$8421,A2340)</f>
        <v>46224</v>
      </c>
      <c r="K2340" s="6" t="n">
        <f aca="false">COUNTIF(Transaction!$B$2:$B$8421,A2340)</f>
        <v>1</v>
      </c>
      <c r="L2340" s="10" t="n">
        <f aca="false">SUMIF(Transaction!$B$2:$B$8421,A2340,Transaction!$H$2:$H$8421)</f>
        <v>2346</v>
      </c>
      <c r="M2340" s="6" t="n">
        <f aca="false">Summary!$B$3-J2340</f>
        <v>42</v>
      </c>
      <c r="N2340" s="6" t="str">
        <f aca="false">IF(K2340&gt;1,"Yes","No")</f>
        <v>No</v>
      </c>
      <c r="O2340" s="6" t="s">
        <v>47</v>
      </c>
    </row>
    <row r="2341" customFormat="false" ht="15" hidden="false" customHeight="false" outlineLevel="0" collapsed="false">
      <c r="A2341" s="6" t="s">
        <v>4791</v>
      </c>
      <c r="B2341" s="6" t="s">
        <v>4792</v>
      </c>
      <c r="C2341" s="6" t="s">
        <v>75</v>
      </c>
      <c r="D2341" s="6" t="n">
        <v>49</v>
      </c>
      <c r="E2341" s="6" t="s">
        <v>95</v>
      </c>
      <c r="F2341" s="6" t="s">
        <v>95</v>
      </c>
      <c r="G2341" s="26" t="n">
        <v>46040</v>
      </c>
      <c r="H2341" s="6" t="s">
        <v>78</v>
      </c>
      <c r="I2341" s="26" t="n">
        <f aca="false">_xlfn.MINIFS(Transaction!$C$2:$C$8421,Transaction!$B$2:$B$8421,A2341)</f>
        <v>46066</v>
      </c>
      <c r="J2341" s="26" t="n">
        <f aca="false">_xlfn.MAXIFS(Transaction!$C$2:$C$8421,Transaction!$B$2:$B$8421,A2341)</f>
        <v>46066</v>
      </c>
      <c r="K2341" s="6" t="n">
        <f aca="false">COUNTIF(Transaction!$B$2:$B$8421,A2341)</f>
        <v>1</v>
      </c>
      <c r="L2341" s="10" t="n">
        <f aca="false">SUMIF(Transaction!$B$2:$B$8421,A2341,Transaction!$H$2:$H$8421)</f>
        <v>528</v>
      </c>
      <c r="M2341" s="6" t="n">
        <f aca="false">Summary!$B$3-J2341</f>
        <v>200</v>
      </c>
      <c r="N2341" s="6" t="str">
        <f aca="false">IF(K2341&gt;1,"Yes","No")</f>
        <v>No</v>
      </c>
      <c r="O2341" s="6" t="s">
        <v>49</v>
      </c>
    </row>
    <row r="2342" customFormat="false" ht="15" hidden="false" customHeight="false" outlineLevel="0" collapsed="false">
      <c r="A2342" s="6" t="s">
        <v>4793</v>
      </c>
      <c r="B2342" s="6" t="s">
        <v>4794</v>
      </c>
      <c r="C2342" s="6" t="s">
        <v>85</v>
      </c>
      <c r="D2342" s="6" t="n">
        <v>37</v>
      </c>
      <c r="E2342" s="6" t="s">
        <v>76</v>
      </c>
      <c r="F2342" s="6" t="s">
        <v>77</v>
      </c>
      <c r="G2342" s="26" t="n">
        <v>46089</v>
      </c>
      <c r="H2342" s="6" t="s">
        <v>115</v>
      </c>
      <c r="I2342" s="26" t="n">
        <f aca="false">_xlfn.MINIFS(Transaction!$C$2:$C$8421,Transaction!$B$2:$B$8421,A2342)</f>
        <v>46152</v>
      </c>
      <c r="J2342" s="26" t="n">
        <f aca="false">_xlfn.MAXIFS(Transaction!$C$2:$C$8421,Transaction!$B$2:$B$8421,A2342)</f>
        <v>46249</v>
      </c>
      <c r="K2342" s="6" t="n">
        <f aca="false">COUNTIF(Transaction!$B$2:$B$8421,A2342)</f>
        <v>2</v>
      </c>
      <c r="L2342" s="10" t="n">
        <f aca="false">SUMIF(Transaction!$B$2:$B$8421,A2342,Transaction!$H$2:$H$8421)</f>
        <v>7186</v>
      </c>
      <c r="M2342" s="6" t="n">
        <f aca="false">Summary!$B$3-J2342</f>
        <v>17</v>
      </c>
      <c r="N2342" s="6" t="str">
        <f aca="false">IF(K2342&gt;1,"Yes","No")</f>
        <v>Yes</v>
      </c>
      <c r="O2342" s="6" t="s">
        <v>46</v>
      </c>
    </row>
    <row r="2343" customFormat="false" ht="15" hidden="false" customHeight="false" outlineLevel="0" collapsed="false">
      <c r="A2343" s="6" t="s">
        <v>4795</v>
      </c>
      <c r="B2343" s="6" t="s">
        <v>4796</v>
      </c>
      <c r="C2343" s="6" t="s">
        <v>85</v>
      </c>
      <c r="D2343" s="6" t="n">
        <v>35</v>
      </c>
      <c r="E2343" s="6" t="s">
        <v>76</v>
      </c>
      <c r="F2343" s="6" t="s">
        <v>77</v>
      </c>
      <c r="G2343" s="26" t="n">
        <v>46077</v>
      </c>
      <c r="H2343" s="6" t="s">
        <v>115</v>
      </c>
      <c r="I2343" s="26" t="n">
        <f aca="false">_xlfn.MINIFS(Transaction!$C$2:$C$8421,Transaction!$B$2:$B$8421,A2343)</f>
        <v>46167</v>
      </c>
      <c r="J2343" s="26" t="n">
        <f aca="false">_xlfn.MAXIFS(Transaction!$C$2:$C$8421,Transaction!$B$2:$B$8421,A2343)</f>
        <v>46252</v>
      </c>
      <c r="K2343" s="6" t="n">
        <f aca="false">COUNTIF(Transaction!$B$2:$B$8421,A2343)</f>
        <v>4</v>
      </c>
      <c r="L2343" s="10" t="n">
        <f aca="false">SUMIF(Transaction!$B$2:$B$8421,A2343,Transaction!$H$2:$H$8421)</f>
        <v>9053</v>
      </c>
      <c r="M2343" s="6" t="n">
        <f aca="false">Summary!$B$3-J2343</f>
        <v>14</v>
      </c>
      <c r="N2343" s="6" t="str">
        <f aca="false">IF(K2343&gt;1,"Yes","No")</f>
        <v>Yes</v>
      </c>
      <c r="O2343" s="6" t="s">
        <v>46</v>
      </c>
    </row>
    <row r="2344" customFormat="false" ht="15" hidden="false" customHeight="false" outlineLevel="0" collapsed="false">
      <c r="A2344" s="6" t="s">
        <v>4797</v>
      </c>
      <c r="B2344" s="6" t="s">
        <v>4798</v>
      </c>
      <c r="C2344" s="6" t="s">
        <v>85</v>
      </c>
      <c r="D2344" s="6" t="n">
        <v>32</v>
      </c>
      <c r="E2344" s="6" t="s">
        <v>321</v>
      </c>
      <c r="F2344" s="6" t="s">
        <v>321</v>
      </c>
      <c r="G2344" s="26" t="n">
        <v>46039</v>
      </c>
      <c r="H2344" s="6" t="s">
        <v>123</v>
      </c>
      <c r="I2344" s="26" t="n">
        <f aca="false">_xlfn.MINIFS(Transaction!$C$2:$C$8421,Transaction!$B$2:$B$8421,A2344)</f>
        <v>46091</v>
      </c>
      <c r="J2344" s="26" t="n">
        <f aca="false">_xlfn.MAXIFS(Transaction!$C$2:$C$8421,Transaction!$B$2:$B$8421,A2344)</f>
        <v>46198</v>
      </c>
      <c r="K2344" s="6" t="n">
        <f aca="false">COUNTIF(Transaction!$B$2:$B$8421,A2344)</f>
        <v>5</v>
      </c>
      <c r="L2344" s="10" t="n">
        <f aca="false">SUMIF(Transaction!$B$2:$B$8421,A2344,Transaction!$H$2:$H$8421)</f>
        <v>5539</v>
      </c>
      <c r="M2344" s="6" t="n">
        <f aca="false">Summary!$B$3-J2344</f>
        <v>68</v>
      </c>
      <c r="N2344" s="6" t="str">
        <f aca="false">IF(K2344&gt;1,"Yes","No")</f>
        <v>Yes</v>
      </c>
      <c r="O2344" s="6" t="s">
        <v>46</v>
      </c>
    </row>
    <row r="2345" customFormat="false" ht="15" hidden="false" customHeight="false" outlineLevel="0" collapsed="false">
      <c r="A2345" s="6" t="s">
        <v>4799</v>
      </c>
      <c r="B2345" s="6" t="s">
        <v>4800</v>
      </c>
      <c r="C2345" s="6" t="s">
        <v>85</v>
      </c>
      <c r="D2345" s="6" t="n">
        <v>47</v>
      </c>
      <c r="E2345" s="6" t="s">
        <v>91</v>
      </c>
      <c r="F2345" s="6" t="s">
        <v>77</v>
      </c>
      <c r="G2345" s="26" t="n">
        <v>46154</v>
      </c>
      <c r="H2345" s="6" t="s">
        <v>78</v>
      </c>
      <c r="I2345" s="26" t="n">
        <f aca="false">_xlfn.MINIFS(Transaction!$C$2:$C$8421,Transaction!$B$2:$B$8421,A2345)</f>
        <v>46232</v>
      </c>
      <c r="J2345" s="26" t="n">
        <f aca="false">_xlfn.MAXIFS(Transaction!$C$2:$C$8421,Transaction!$B$2:$B$8421,A2345)</f>
        <v>46232</v>
      </c>
      <c r="K2345" s="6" t="n">
        <f aca="false">COUNTIF(Transaction!$B$2:$B$8421,A2345)</f>
        <v>1</v>
      </c>
      <c r="L2345" s="10" t="n">
        <f aca="false">SUMIF(Transaction!$B$2:$B$8421,A2345,Transaction!$H$2:$H$8421)</f>
        <v>2202</v>
      </c>
      <c r="M2345" s="6" t="n">
        <f aca="false">Summary!$B$3-J2345</f>
        <v>34</v>
      </c>
      <c r="N2345" s="6" t="str">
        <f aca="false">IF(K2345&gt;1,"Yes","No")</f>
        <v>No</v>
      </c>
      <c r="O2345" s="6" t="s">
        <v>47</v>
      </c>
    </row>
    <row r="2346" customFormat="false" ht="15" hidden="false" customHeight="false" outlineLevel="0" collapsed="false">
      <c r="A2346" s="6" t="s">
        <v>4801</v>
      </c>
      <c r="B2346" s="6" t="s">
        <v>4802</v>
      </c>
      <c r="C2346" s="6" t="s">
        <v>75</v>
      </c>
      <c r="D2346" s="6" t="n">
        <v>27</v>
      </c>
      <c r="E2346" s="6" t="s">
        <v>134</v>
      </c>
      <c r="F2346" s="6" t="s">
        <v>135</v>
      </c>
      <c r="G2346" s="26" t="n">
        <v>46110</v>
      </c>
      <c r="H2346" s="6" t="s">
        <v>78</v>
      </c>
      <c r="I2346" s="26" t="n">
        <f aca="false">_xlfn.MINIFS(Transaction!$C$2:$C$8421,Transaction!$B$2:$B$8421,A2346)</f>
        <v>46179</v>
      </c>
      <c r="J2346" s="26" t="n">
        <f aca="false">_xlfn.MAXIFS(Transaction!$C$2:$C$8421,Transaction!$B$2:$B$8421,A2346)</f>
        <v>46179</v>
      </c>
      <c r="K2346" s="6" t="n">
        <f aca="false">COUNTIF(Transaction!$B$2:$B$8421,A2346)</f>
        <v>1</v>
      </c>
      <c r="L2346" s="10" t="n">
        <f aca="false">SUMIF(Transaction!$B$2:$B$8421,A2346,Transaction!$H$2:$H$8421)</f>
        <v>1410</v>
      </c>
      <c r="M2346" s="6" t="n">
        <f aca="false">Summary!$B$3-J2346</f>
        <v>87</v>
      </c>
      <c r="N2346" s="6" t="str">
        <f aca="false">IF(K2346&gt;1,"Yes","No")</f>
        <v>No</v>
      </c>
      <c r="O2346" s="6" t="s">
        <v>47</v>
      </c>
    </row>
    <row r="2347" customFormat="false" ht="15" hidden="false" customHeight="false" outlineLevel="0" collapsed="false">
      <c r="A2347" s="6" t="s">
        <v>4803</v>
      </c>
      <c r="B2347" s="6" t="s">
        <v>4804</v>
      </c>
      <c r="C2347" s="6" t="s">
        <v>75</v>
      </c>
      <c r="D2347" s="6" t="n">
        <v>41</v>
      </c>
      <c r="E2347" s="6" t="s">
        <v>95</v>
      </c>
      <c r="F2347" s="6" t="s">
        <v>95</v>
      </c>
      <c r="G2347" s="26" t="n">
        <v>46204</v>
      </c>
      <c r="H2347" s="6" t="s">
        <v>115</v>
      </c>
      <c r="I2347" s="26" t="n">
        <f aca="false">_xlfn.MINIFS(Transaction!$C$2:$C$8421,Transaction!$B$2:$B$8421,A2347)</f>
        <v>46250</v>
      </c>
      <c r="J2347" s="26" t="n">
        <f aca="false">_xlfn.MAXIFS(Transaction!$C$2:$C$8421,Transaction!$B$2:$B$8421,A2347)</f>
        <v>46250</v>
      </c>
      <c r="K2347" s="6" t="n">
        <f aca="false">COUNTIF(Transaction!$B$2:$B$8421,A2347)</f>
        <v>1</v>
      </c>
      <c r="L2347" s="10" t="n">
        <f aca="false">SUMIF(Transaction!$B$2:$B$8421,A2347,Transaction!$H$2:$H$8421)</f>
        <v>457</v>
      </c>
      <c r="M2347" s="6" t="n">
        <f aca="false">Summary!$B$3-J2347</f>
        <v>16</v>
      </c>
      <c r="N2347" s="6" t="str">
        <f aca="false">IF(K2347&gt;1,"Yes","No")</f>
        <v>No</v>
      </c>
      <c r="O2347" s="6" t="s">
        <v>47</v>
      </c>
    </row>
    <row r="2348" customFormat="false" ht="15" hidden="false" customHeight="false" outlineLevel="0" collapsed="false">
      <c r="A2348" s="6" t="s">
        <v>4805</v>
      </c>
      <c r="B2348" s="6" t="s">
        <v>4806</v>
      </c>
      <c r="C2348" s="6" t="s">
        <v>85</v>
      </c>
      <c r="D2348" s="6" t="n">
        <v>43</v>
      </c>
      <c r="E2348" s="6" t="s">
        <v>237</v>
      </c>
      <c r="F2348" s="6" t="s">
        <v>87</v>
      </c>
      <c r="G2348" s="26" t="n">
        <v>46133</v>
      </c>
      <c r="H2348" s="6" t="s">
        <v>102</v>
      </c>
      <c r="I2348" s="26" t="n">
        <f aca="false">_xlfn.MINIFS(Transaction!$C$2:$C$8421,Transaction!$B$2:$B$8421,A2348)</f>
        <v>46140</v>
      </c>
      <c r="J2348" s="26" t="n">
        <f aca="false">_xlfn.MAXIFS(Transaction!$C$2:$C$8421,Transaction!$B$2:$B$8421,A2348)</f>
        <v>46140</v>
      </c>
      <c r="K2348" s="6" t="n">
        <f aca="false">COUNTIF(Transaction!$B$2:$B$8421,A2348)</f>
        <v>1</v>
      </c>
      <c r="L2348" s="10" t="n">
        <f aca="false">SUMIF(Transaction!$B$2:$B$8421,A2348,Transaction!$H$2:$H$8421)</f>
        <v>746</v>
      </c>
      <c r="M2348" s="6" t="n">
        <f aca="false">Summary!$B$3-J2348</f>
        <v>126</v>
      </c>
      <c r="N2348" s="6" t="str">
        <f aca="false">IF(K2348&gt;1,"Yes","No")</f>
        <v>No</v>
      </c>
      <c r="O2348" s="6" t="s">
        <v>48</v>
      </c>
    </row>
    <row r="2349" customFormat="false" ht="15" hidden="false" customHeight="false" outlineLevel="0" collapsed="false">
      <c r="A2349" s="6" t="s">
        <v>4807</v>
      </c>
      <c r="B2349" s="6" t="s">
        <v>4808</v>
      </c>
      <c r="C2349" s="6" t="s">
        <v>85</v>
      </c>
      <c r="D2349" s="6" t="n">
        <v>36</v>
      </c>
      <c r="E2349" s="6" t="s">
        <v>76</v>
      </c>
      <c r="F2349" s="6" t="s">
        <v>77</v>
      </c>
      <c r="G2349" s="26" t="n">
        <v>46083</v>
      </c>
      <c r="H2349" s="6" t="s">
        <v>78</v>
      </c>
      <c r="I2349" s="26" t="n">
        <f aca="false">_xlfn.MINIFS(Transaction!$C$2:$C$8421,Transaction!$B$2:$B$8421,A2349)</f>
        <v>46148</v>
      </c>
      <c r="J2349" s="26" t="n">
        <f aca="false">_xlfn.MAXIFS(Transaction!$C$2:$C$8421,Transaction!$B$2:$B$8421,A2349)</f>
        <v>46148</v>
      </c>
      <c r="K2349" s="6" t="n">
        <f aca="false">COUNTIF(Transaction!$B$2:$B$8421,A2349)</f>
        <v>1</v>
      </c>
      <c r="L2349" s="10" t="n">
        <f aca="false">SUMIF(Transaction!$B$2:$B$8421,A2349,Transaction!$H$2:$H$8421)</f>
        <v>884</v>
      </c>
      <c r="M2349" s="6" t="n">
        <f aca="false">Summary!$B$3-J2349</f>
        <v>118</v>
      </c>
      <c r="N2349" s="6" t="str">
        <f aca="false">IF(K2349&gt;1,"Yes","No")</f>
        <v>No</v>
      </c>
      <c r="O2349" s="6" t="s">
        <v>48</v>
      </c>
    </row>
    <row r="2350" customFormat="false" ht="15" hidden="false" customHeight="false" outlineLevel="0" collapsed="false">
      <c r="A2350" s="6" t="s">
        <v>4809</v>
      </c>
      <c r="B2350" s="6" t="s">
        <v>4810</v>
      </c>
      <c r="C2350" s="6" t="s">
        <v>85</v>
      </c>
      <c r="D2350" s="6" t="n">
        <v>29</v>
      </c>
      <c r="E2350" s="6" t="s">
        <v>126</v>
      </c>
      <c r="F2350" s="6" t="s">
        <v>127</v>
      </c>
      <c r="G2350" s="26" t="n">
        <v>46053</v>
      </c>
      <c r="H2350" s="6" t="s">
        <v>102</v>
      </c>
      <c r="I2350" s="26" t="n">
        <f aca="false">_xlfn.MINIFS(Transaction!$C$2:$C$8421,Transaction!$B$2:$B$8421,A2350)</f>
        <v>46053</v>
      </c>
      <c r="J2350" s="26" t="n">
        <f aca="false">_xlfn.MAXIFS(Transaction!$C$2:$C$8421,Transaction!$B$2:$B$8421,A2350)</f>
        <v>46053</v>
      </c>
      <c r="K2350" s="6" t="n">
        <f aca="false">COUNTIF(Transaction!$B$2:$B$8421,A2350)</f>
        <v>1</v>
      </c>
      <c r="L2350" s="10" t="n">
        <f aca="false">SUMIF(Transaction!$B$2:$B$8421,A2350,Transaction!$H$2:$H$8421)</f>
        <v>2936</v>
      </c>
      <c r="M2350" s="6" t="n">
        <f aca="false">Summary!$B$3-J2350</f>
        <v>213</v>
      </c>
      <c r="N2350" s="6" t="str">
        <f aca="false">IF(K2350&gt;1,"Yes","No")</f>
        <v>No</v>
      </c>
      <c r="O2350" s="6" t="s">
        <v>49</v>
      </c>
    </row>
    <row r="2351" customFormat="false" ht="15" hidden="false" customHeight="false" outlineLevel="0" collapsed="false">
      <c r="A2351" s="6" t="s">
        <v>4811</v>
      </c>
      <c r="B2351" s="6" t="s">
        <v>4812</v>
      </c>
      <c r="C2351" s="6" t="s">
        <v>75</v>
      </c>
      <c r="D2351" s="6" t="n">
        <v>50</v>
      </c>
      <c r="E2351" s="6" t="s">
        <v>121</v>
      </c>
      <c r="F2351" s="6" t="s">
        <v>122</v>
      </c>
      <c r="G2351" s="26" t="n">
        <v>46006</v>
      </c>
      <c r="H2351" s="6" t="s">
        <v>115</v>
      </c>
      <c r="I2351" s="26" t="n">
        <f aca="false">_xlfn.MINIFS(Transaction!$C$2:$C$8421,Transaction!$B$2:$B$8421,A2351)</f>
        <v>46087</v>
      </c>
      <c r="J2351" s="26" t="n">
        <f aca="false">_xlfn.MAXIFS(Transaction!$C$2:$C$8421,Transaction!$B$2:$B$8421,A2351)</f>
        <v>46087</v>
      </c>
      <c r="K2351" s="6" t="n">
        <f aca="false">COUNTIF(Transaction!$B$2:$B$8421,A2351)</f>
        <v>1</v>
      </c>
      <c r="L2351" s="10" t="n">
        <f aca="false">SUMIF(Transaction!$B$2:$B$8421,A2351,Transaction!$H$2:$H$8421)</f>
        <v>1178</v>
      </c>
      <c r="M2351" s="6" t="n">
        <f aca="false">Summary!$B$3-J2351</f>
        <v>179</v>
      </c>
      <c r="N2351" s="6" t="str">
        <f aca="false">IF(K2351&gt;1,"Yes","No")</f>
        <v>No</v>
      </c>
      <c r="O2351" s="6" t="s">
        <v>49</v>
      </c>
    </row>
    <row r="2352" customFormat="false" ht="15" hidden="false" customHeight="false" outlineLevel="0" collapsed="false">
      <c r="A2352" s="6" t="s">
        <v>4813</v>
      </c>
      <c r="B2352" s="6" t="s">
        <v>4814</v>
      </c>
      <c r="C2352" s="6" t="s">
        <v>85</v>
      </c>
      <c r="D2352" s="6" t="n">
        <v>29</v>
      </c>
      <c r="E2352" s="6" t="s">
        <v>86</v>
      </c>
      <c r="F2352" s="6" t="s">
        <v>87</v>
      </c>
      <c r="G2352" s="26" t="n">
        <v>46147</v>
      </c>
      <c r="H2352" s="6" t="s">
        <v>88</v>
      </c>
      <c r="I2352" s="26" t="n">
        <f aca="false">_xlfn.MINIFS(Transaction!$C$2:$C$8421,Transaction!$B$2:$B$8421,A2352)</f>
        <v>46204</v>
      </c>
      <c r="J2352" s="26" t="n">
        <f aca="false">_xlfn.MAXIFS(Transaction!$C$2:$C$8421,Transaction!$B$2:$B$8421,A2352)</f>
        <v>46204</v>
      </c>
      <c r="K2352" s="6" t="n">
        <f aca="false">COUNTIF(Transaction!$B$2:$B$8421,A2352)</f>
        <v>1</v>
      </c>
      <c r="L2352" s="10" t="n">
        <f aca="false">SUMIF(Transaction!$B$2:$B$8421,A2352,Transaction!$H$2:$H$8421)</f>
        <v>2820</v>
      </c>
      <c r="M2352" s="6" t="n">
        <f aca="false">Summary!$B$3-J2352</f>
        <v>62</v>
      </c>
      <c r="N2352" s="6" t="str">
        <f aca="false">IF(K2352&gt;1,"Yes","No")</f>
        <v>No</v>
      </c>
      <c r="O2352" s="6" t="s">
        <v>47</v>
      </c>
    </row>
    <row r="2353" customFormat="false" ht="15" hidden="false" customHeight="false" outlineLevel="0" collapsed="false">
      <c r="A2353" s="6" t="s">
        <v>4815</v>
      </c>
      <c r="B2353" s="6" t="s">
        <v>4816</v>
      </c>
      <c r="C2353" s="6" t="s">
        <v>85</v>
      </c>
      <c r="D2353" s="6" t="n">
        <v>41</v>
      </c>
      <c r="E2353" s="6" t="s">
        <v>86</v>
      </c>
      <c r="F2353" s="6" t="s">
        <v>87</v>
      </c>
      <c r="G2353" s="26" t="n">
        <v>45976</v>
      </c>
      <c r="H2353" s="6" t="s">
        <v>78</v>
      </c>
      <c r="I2353" s="26" t="n">
        <f aca="false">_xlfn.MINIFS(Transaction!$C$2:$C$8421,Transaction!$B$2:$B$8421,A2353)</f>
        <v>46038</v>
      </c>
      <c r="J2353" s="26" t="n">
        <f aca="false">_xlfn.MAXIFS(Transaction!$C$2:$C$8421,Transaction!$B$2:$B$8421,A2353)</f>
        <v>46197</v>
      </c>
      <c r="K2353" s="6" t="n">
        <f aca="false">COUNTIF(Transaction!$B$2:$B$8421,A2353)</f>
        <v>4</v>
      </c>
      <c r="L2353" s="10" t="n">
        <f aca="false">SUMIF(Transaction!$B$2:$B$8421,A2353,Transaction!$H$2:$H$8421)</f>
        <v>5940</v>
      </c>
      <c r="M2353" s="6" t="n">
        <f aca="false">Summary!$B$3-J2353</f>
        <v>69</v>
      </c>
      <c r="N2353" s="6" t="str">
        <f aca="false">IF(K2353&gt;1,"Yes","No")</f>
        <v>Yes</v>
      </c>
      <c r="O2353" s="6" t="s">
        <v>46</v>
      </c>
    </row>
    <row r="2354" customFormat="false" ht="15" hidden="false" customHeight="false" outlineLevel="0" collapsed="false">
      <c r="A2354" s="6" t="s">
        <v>4817</v>
      </c>
      <c r="B2354" s="6" t="s">
        <v>4818</v>
      </c>
      <c r="C2354" s="6" t="s">
        <v>85</v>
      </c>
      <c r="D2354" s="6" t="n">
        <v>34</v>
      </c>
      <c r="E2354" s="6" t="s">
        <v>121</v>
      </c>
      <c r="F2354" s="6" t="s">
        <v>122</v>
      </c>
      <c r="G2354" s="26" t="n">
        <v>46048</v>
      </c>
      <c r="H2354" s="6" t="s">
        <v>115</v>
      </c>
      <c r="I2354" s="26" t="n">
        <f aca="false">_xlfn.MINIFS(Transaction!$C$2:$C$8421,Transaction!$B$2:$B$8421,A2354)</f>
        <v>46053</v>
      </c>
      <c r="J2354" s="26" t="n">
        <f aca="false">_xlfn.MAXIFS(Transaction!$C$2:$C$8421,Transaction!$B$2:$B$8421,A2354)</f>
        <v>46235</v>
      </c>
      <c r="K2354" s="6" t="n">
        <f aca="false">COUNTIF(Transaction!$B$2:$B$8421,A2354)</f>
        <v>5</v>
      </c>
      <c r="L2354" s="10" t="n">
        <f aca="false">SUMIF(Transaction!$B$2:$B$8421,A2354,Transaction!$H$2:$H$8421)</f>
        <v>6443</v>
      </c>
      <c r="M2354" s="6" t="n">
        <f aca="false">Summary!$B$3-J2354</f>
        <v>31</v>
      </c>
      <c r="N2354" s="6" t="str">
        <f aca="false">IF(K2354&gt;1,"Yes","No")</f>
        <v>Yes</v>
      </c>
      <c r="O2354" s="6" t="s">
        <v>46</v>
      </c>
    </row>
    <row r="2355" customFormat="false" ht="15" hidden="false" customHeight="false" outlineLevel="0" collapsed="false">
      <c r="A2355" s="6" t="s">
        <v>4819</v>
      </c>
      <c r="B2355" s="6" t="s">
        <v>4820</v>
      </c>
      <c r="C2355" s="6" t="s">
        <v>85</v>
      </c>
      <c r="D2355" s="6" t="n">
        <v>27</v>
      </c>
      <c r="E2355" s="6" t="s">
        <v>121</v>
      </c>
      <c r="F2355" s="6" t="s">
        <v>122</v>
      </c>
      <c r="G2355" s="26" t="n">
        <v>46164</v>
      </c>
      <c r="H2355" s="6" t="s">
        <v>115</v>
      </c>
      <c r="I2355" s="26" t="n">
        <f aca="false">_xlfn.MINIFS(Transaction!$C$2:$C$8421,Transaction!$B$2:$B$8421,A2355)</f>
        <v>46229</v>
      </c>
      <c r="J2355" s="26" t="n">
        <f aca="false">_xlfn.MAXIFS(Transaction!$C$2:$C$8421,Transaction!$B$2:$B$8421,A2355)</f>
        <v>46235</v>
      </c>
      <c r="K2355" s="6" t="n">
        <f aca="false">COUNTIF(Transaction!$B$2:$B$8421,A2355)</f>
        <v>2</v>
      </c>
      <c r="L2355" s="10" t="n">
        <f aca="false">SUMIF(Transaction!$B$2:$B$8421,A2355,Transaction!$H$2:$H$8421)</f>
        <v>13212</v>
      </c>
      <c r="M2355" s="6" t="n">
        <f aca="false">Summary!$B$3-J2355</f>
        <v>31</v>
      </c>
      <c r="N2355" s="6" t="str">
        <f aca="false">IF(K2355&gt;1,"Yes","No")</f>
        <v>Yes</v>
      </c>
      <c r="O2355" s="6" t="s">
        <v>46</v>
      </c>
    </row>
    <row r="2356" customFormat="false" ht="15" hidden="false" customHeight="false" outlineLevel="0" collapsed="false">
      <c r="A2356" s="6" t="s">
        <v>4821</v>
      </c>
      <c r="B2356" s="6" t="s">
        <v>4822</v>
      </c>
      <c r="C2356" s="6" t="s">
        <v>75</v>
      </c>
      <c r="D2356" s="6" t="n">
        <v>45</v>
      </c>
      <c r="E2356" s="6" t="s">
        <v>264</v>
      </c>
      <c r="F2356" s="6" t="s">
        <v>106</v>
      </c>
      <c r="G2356" s="26" t="n">
        <v>46028</v>
      </c>
      <c r="H2356" s="6" t="s">
        <v>115</v>
      </c>
      <c r="I2356" s="26" t="n">
        <f aca="false">_xlfn.MINIFS(Transaction!$C$2:$C$8421,Transaction!$B$2:$B$8421,A2356)</f>
        <v>46070</v>
      </c>
      <c r="J2356" s="26" t="n">
        <f aca="false">_xlfn.MAXIFS(Transaction!$C$2:$C$8421,Transaction!$B$2:$B$8421,A2356)</f>
        <v>46070</v>
      </c>
      <c r="K2356" s="6" t="n">
        <f aca="false">COUNTIF(Transaction!$B$2:$B$8421,A2356)</f>
        <v>1</v>
      </c>
      <c r="L2356" s="10" t="n">
        <f aca="false">SUMIF(Transaction!$B$2:$B$8421,A2356,Transaction!$H$2:$H$8421)</f>
        <v>1856</v>
      </c>
      <c r="M2356" s="6" t="n">
        <f aca="false">Summary!$B$3-J2356</f>
        <v>196</v>
      </c>
      <c r="N2356" s="6" t="str">
        <f aca="false">IF(K2356&gt;1,"Yes","No")</f>
        <v>No</v>
      </c>
      <c r="O2356" s="6" t="s">
        <v>49</v>
      </c>
    </row>
    <row r="2357" customFormat="false" ht="15" hidden="false" customHeight="false" outlineLevel="0" collapsed="false">
      <c r="A2357" s="6" t="s">
        <v>4823</v>
      </c>
      <c r="B2357" s="6" t="s">
        <v>4824</v>
      </c>
      <c r="C2357" s="6" t="s">
        <v>75</v>
      </c>
      <c r="D2357" s="6" t="n">
        <v>31</v>
      </c>
      <c r="E2357" s="6" t="s">
        <v>121</v>
      </c>
      <c r="F2357" s="6" t="s">
        <v>122</v>
      </c>
      <c r="G2357" s="26" t="n">
        <v>46006</v>
      </c>
      <c r="H2357" s="6" t="s">
        <v>78</v>
      </c>
      <c r="I2357" s="26" t="n">
        <f aca="false">_xlfn.MINIFS(Transaction!$C$2:$C$8421,Transaction!$B$2:$B$8421,A2357)</f>
        <v>46076</v>
      </c>
      <c r="J2357" s="26" t="n">
        <f aca="false">_xlfn.MAXIFS(Transaction!$C$2:$C$8421,Transaction!$B$2:$B$8421,A2357)</f>
        <v>46076</v>
      </c>
      <c r="K2357" s="6" t="n">
        <f aca="false">COUNTIF(Transaction!$B$2:$B$8421,A2357)</f>
        <v>1</v>
      </c>
      <c r="L2357" s="10" t="n">
        <f aca="false">SUMIF(Transaction!$B$2:$B$8421,A2357,Transaction!$H$2:$H$8421)</f>
        <v>884</v>
      </c>
      <c r="M2357" s="6" t="n">
        <f aca="false">Summary!$B$3-J2357</f>
        <v>190</v>
      </c>
      <c r="N2357" s="6" t="str">
        <f aca="false">IF(K2357&gt;1,"Yes","No")</f>
        <v>No</v>
      </c>
      <c r="O2357" s="6" t="s">
        <v>49</v>
      </c>
    </row>
    <row r="2358" customFormat="false" ht="15" hidden="false" customHeight="false" outlineLevel="0" collapsed="false">
      <c r="A2358" s="6" t="s">
        <v>4825</v>
      </c>
      <c r="B2358" s="6" t="s">
        <v>4826</v>
      </c>
      <c r="C2358" s="6" t="s">
        <v>75</v>
      </c>
      <c r="D2358" s="6" t="n">
        <v>21</v>
      </c>
      <c r="E2358" s="6" t="s">
        <v>86</v>
      </c>
      <c r="F2358" s="6" t="s">
        <v>87</v>
      </c>
      <c r="G2358" s="26" t="n">
        <v>46023</v>
      </c>
      <c r="H2358" s="6" t="s">
        <v>92</v>
      </c>
      <c r="I2358" s="26" t="n">
        <f aca="false">_xlfn.MINIFS(Transaction!$C$2:$C$8421,Transaction!$B$2:$B$8421,A2358)</f>
        <v>46057</v>
      </c>
      <c r="J2358" s="26" t="n">
        <f aca="false">_xlfn.MAXIFS(Transaction!$C$2:$C$8421,Transaction!$B$2:$B$8421,A2358)</f>
        <v>46189</v>
      </c>
      <c r="K2358" s="6" t="n">
        <f aca="false">COUNTIF(Transaction!$B$2:$B$8421,A2358)</f>
        <v>3</v>
      </c>
      <c r="L2358" s="10" t="n">
        <f aca="false">SUMIF(Transaction!$B$2:$B$8421,A2358,Transaction!$H$2:$H$8421)</f>
        <v>11453</v>
      </c>
      <c r="M2358" s="6" t="n">
        <f aca="false">Summary!$B$3-J2358</f>
        <v>77</v>
      </c>
      <c r="N2358" s="6" t="str">
        <f aca="false">IF(K2358&gt;1,"Yes","No")</f>
        <v>Yes</v>
      </c>
      <c r="O2358" s="6" t="s">
        <v>46</v>
      </c>
    </row>
    <row r="2359" customFormat="false" ht="15" hidden="false" customHeight="false" outlineLevel="0" collapsed="false">
      <c r="A2359" s="6" t="s">
        <v>4827</v>
      </c>
      <c r="B2359" s="6" t="s">
        <v>4828</v>
      </c>
      <c r="C2359" s="6" t="s">
        <v>75</v>
      </c>
      <c r="D2359" s="6" t="n">
        <v>37</v>
      </c>
      <c r="E2359" s="6" t="s">
        <v>81</v>
      </c>
      <c r="F2359" s="6" t="s">
        <v>82</v>
      </c>
      <c r="G2359" s="26" t="n">
        <v>46167</v>
      </c>
      <c r="H2359" s="6" t="s">
        <v>88</v>
      </c>
      <c r="I2359" s="26" t="n">
        <f aca="false">_xlfn.MINIFS(Transaction!$C$2:$C$8421,Transaction!$B$2:$B$8421,A2359)</f>
        <v>46242</v>
      </c>
      <c r="J2359" s="26" t="n">
        <f aca="false">_xlfn.MAXIFS(Transaction!$C$2:$C$8421,Transaction!$B$2:$B$8421,A2359)</f>
        <v>46242</v>
      </c>
      <c r="K2359" s="6" t="n">
        <f aca="false">COUNTIF(Transaction!$B$2:$B$8421,A2359)</f>
        <v>1</v>
      </c>
      <c r="L2359" s="10" t="n">
        <f aca="false">SUMIF(Transaction!$B$2:$B$8421,A2359,Transaction!$H$2:$H$8421)</f>
        <v>1255</v>
      </c>
      <c r="M2359" s="6" t="n">
        <f aca="false">Summary!$B$3-J2359</f>
        <v>24</v>
      </c>
      <c r="N2359" s="6" t="str">
        <f aca="false">IF(K2359&gt;1,"Yes","No")</f>
        <v>No</v>
      </c>
      <c r="O2359" s="6" t="s">
        <v>47</v>
      </c>
    </row>
    <row r="2360" customFormat="false" ht="15" hidden="false" customHeight="false" outlineLevel="0" collapsed="false">
      <c r="A2360" s="6" t="s">
        <v>4829</v>
      </c>
      <c r="B2360" s="6" t="s">
        <v>4830</v>
      </c>
      <c r="C2360" s="6" t="s">
        <v>75</v>
      </c>
      <c r="D2360" s="6" t="n">
        <v>22</v>
      </c>
      <c r="E2360" s="6" t="s">
        <v>81</v>
      </c>
      <c r="F2360" s="6" t="s">
        <v>82</v>
      </c>
      <c r="G2360" s="26" t="n">
        <v>46139</v>
      </c>
      <c r="H2360" s="6" t="s">
        <v>115</v>
      </c>
      <c r="I2360" s="26" t="n">
        <f aca="false">_xlfn.MINIFS(Transaction!$C$2:$C$8421,Transaction!$B$2:$B$8421,A2360)</f>
        <v>46205</v>
      </c>
      <c r="J2360" s="26" t="n">
        <f aca="false">_xlfn.MAXIFS(Transaction!$C$2:$C$8421,Transaction!$B$2:$B$8421,A2360)</f>
        <v>46205</v>
      </c>
      <c r="K2360" s="6" t="n">
        <f aca="false">COUNTIF(Transaction!$B$2:$B$8421,A2360)</f>
        <v>1</v>
      </c>
      <c r="L2360" s="10" t="n">
        <f aca="false">SUMIF(Transaction!$B$2:$B$8421,A2360,Transaction!$H$2:$H$8421)</f>
        <v>530</v>
      </c>
      <c r="M2360" s="6" t="n">
        <f aca="false">Summary!$B$3-J2360</f>
        <v>61</v>
      </c>
      <c r="N2360" s="6" t="str">
        <f aca="false">IF(K2360&gt;1,"Yes","No")</f>
        <v>No</v>
      </c>
      <c r="O2360" s="6" t="s">
        <v>47</v>
      </c>
    </row>
    <row r="2361" customFormat="false" ht="15" hidden="false" customHeight="false" outlineLevel="0" collapsed="false">
      <c r="A2361" s="6" t="s">
        <v>4831</v>
      </c>
      <c r="B2361" s="6" t="s">
        <v>4832</v>
      </c>
      <c r="C2361" s="6" t="s">
        <v>75</v>
      </c>
      <c r="D2361" s="6" t="n">
        <v>28</v>
      </c>
      <c r="E2361" s="6" t="s">
        <v>95</v>
      </c>
      <c r="F2361" s="6" t="s">
        <v>95</v>
      </c>
      <c r="G2361" s="26" t="n">
        <v>46185</v>
      </c>
      <c r="H2361" s="6" t="s">
        <v>115</v>
      </c>
      <c r="I2361" s="26" t="n">
        <f aca="false">_xlfn.MINIFS(Transaction!$C$2:$C$8421,Transaction!$B$2:$B$8421,A2361)</f>
        <v>46188</v>
      </c>
      <c r="J2361" s="26" t="n">
        <f aca="false">_xlfn.MAXIFS(Transaction!$C$2:$C$8421,Transaction!$B$2:$B$8421,A2361)</f>
        <v>46188</v>
      </c>
      <c r="K2361" s="6" t="n">
        <f aca="false">COUNTIF(Transaction!$B$2:$B$8421,A2361)</f>
        <v>1</v>
      </c>
      <c r="L2361" s="10" t="n">
        <f aca="false">SUMIF(Transaction!$B$2:$B$8421,A2361,Transaction!$H$2:$H$8421)</f>
        <v>1528</v>
      </c>
      <c r="M2361" s="6" t="n">
        <f aca="false">Summary!$B$3-J2361</f>
        <v>78</v>
      </c>
      <c r="N2361" s="6" t="str">
        <f aca="false">IF(K2361&gt;1,"Yes","No")</f>
        <v>No</v>
      </c>
      <c r="O2361" s="6" t="s">
        <v>47</v>
      </c>
    </row>
    <row r="2362" customFormat="false" ht="15" hidden="false" customHeight="false" outlineLevel="0" collapsed="false">
      <c r="A2362" s="6" t="s">
        <v>4833</v>
      </c>
      <c r="B2362" s="6" t="s">
        <v>4834</v>
      </c>
      <c r="C2362" s="6" t="s">
        <v>75</v>
      </c>
      <c r="D2362" s="6" t="n">
        <v>38</v>
      </c>
      <c r="E2362" s="6" t="s">
        <v>81</v>
      </c>
      <c r="F2362" s="6" t="s">
        <v>82</v>
      </c>
      <c r="G2362" s="26" t="n">
        <v>46136</v>
      </c>
      <c r="H2362" s="6" t="s">
        <v>78</v>
      </c>
      <c r="I2362" s="26" t="n">
        <f aca="false">_xlfn.MINIFS(Transaction!$C$2:$C$8421,Transaction!$B$2:$B$8421,A2362)</f>
        <v>46217</v>
      </c>
      <c r="J2362" s="26" t="n">
        <f aca="false">_xlfn.MAXIFS(Transaction!$C$2:$C$8421,Transaction!$B$2:$B$8421,A2362)</f>
        <v>46217</v>
      </c>
      <c r="K2362" s="6" t="n">
        <f aca="false">COUNTIF(Transaction!$B$2:$B$8421,A2362)</f>
        <v>1</v>
      </c>
      <c r="L2362" s="10" t="n">
        <f aca="false">SUMIF(Transaction!$B$2:$B$8421,A2362,Transaction!$H$2:$H$8421)</f>
        <v>5895</v>
      </c>
      <c r="M2362" s="6" t="n">
        <f aca="false">Summary!$B$3-J2362</f>
        <v>49</v>
      </c>
      <c r="N2362" s="6" t="str">
        <f aca="false">IF(K2362&gt;1,"Yes","No")</f>
        <v>No</v>
      </c>
      <c r="O2362" s="6" t="s">
        <v>47</v>
      </c>
    </row>
    <row r="2363" customFormat="false" ht="15" hidden="false" customHeight="false" outlineLevel="0" collapsed="false">
      <c r="A2363" s="6" t="s">
        <v>4835</v>
      </c>
      <c r="B2363" s="6" t="s">
        <v>4836</v>
      </c>
      <c r="C2363" s="6" t="s">
        <v>85</v>
      </c>
      <c r="D2363" s="6" t="n">
        <v>35</v>
      </c>
      <c r="E2363" s="6" t="s">
        <v>180</v>
      </c>
      <c r="F2363" s="6" t="s">
        <v>181</v>
      </c>
      <c r="G2363" s="26" t="n">
        <v>46011</v>
      </c>
      <c r="H2363" s="6" t="s">
        <v>102</v>
      </c>
      <c r="I2363" s="26" t="n">
        <f aca="false">_xlfn.MINIFS(Transaction!$C$2:$C$8421,Transaction!$B$2:$B$8421,A2363)</f>
        <v>46092</v>
      </c>
      <c r="J2363" s="26" t="n">
        <f aca="false">_xlfn.MAXIFS(Transaction!$C$2:$C$8421,Transaction!$B$2:$B$8421,A2363)</f>
        <v>46191</v>
      </c>
      <c r="K2363" s="6" t="n">
        <f aca="false">COUNTIF(Transaction!$B$2:$B$8421,A2363)</f>
        <v>4</v>
      </c>
      <c r="L2363" s="10" t="n">
        <f aca="false">SUMIF(Transaction!$B$2:$B$8421,A2363,Transaction!$H$2:$H$8421)</f>
        <v>5329</v>
      </c>
      <c r="M2363" s="6" t="n">
        <f aca="false">Summary!$B$3-J2363</f>
        <v>75</v>
      </c>
      <c r="N2363" s="6" t="str">
        <f aca="false">IF(K2363&gt;1,"Yes","No")</f>
        <v>Yes</v>
      </c>
      <c r="O2363" s="6" t="s">
        <v>46</v>
      </c>
    </row>
    <row r="2364" customFormat="false" ht="15" hidden="false" customHeight="false" outlineLevel="0" collapsed="false">
      <c r="A2364" s="6" t="s">
        <v>4837</v>
      </c>
      <c r="B2364" s="6" t="s">
        <v>4838</v>
      </c>
      <c r="C2364" s="6" t="s">
        <v>85</v>
      </c>
      <c r="D2364" s="6" t="n">
        <v>25</v>
      </c>
      <c r="E2364" s="6" t="s">
        <v>76</v>
      </c>
      <c r="F2364" s="6" t="s">
        <v>77</v>
      </c>
      <c r="G2364" s="26" t="n">
        <v>46150</v>
      </c>
      <c r="H2364" s="6" t="s">
        <v>123</v>
      </c>
      <c r="I2364" s="26" t="n">
        <f aca="false">_xlfn.MINIFS(Transaction!$C$2:$C$8421,Transaction!$B$2:$B$8421,A2364)</f>
        <v>46150</v>
      </c>
      <c r="J2364" s="26" t="n">
        <f aca="false">_xlfn.MAXIFS(Transaction!$C$2:$C$8421,Transaction!$B$2:$B$8421,A2364)</f>
        <v>46150</v>
      </c>
      <c r="K2364" s="6" t="n">
        <f aca="false">COUNTIF(Transaction!$B$2:$B$8421,A2364)</f>
        <v>1</v>
      </c>
      <c r="L2364" s="10" t="n">
        <f aca="false">SUMIF(Transaction!$B$2:$B$8421,A2364,Transaction!$H$2:$H$8421)</f>
        <v>1277</v>
      </c>
      <c r="M2364" s="6" t="n">
        <f aca="false">Summary!$B$3-J2364</f>
        <v>116</v>
      </c>
      <c r="N2364" s="6" t="str">
        <f aca="false">IF(K2364&gt;1,"Yes","No")</f>
        <v>No</v>
      </c>
      <c r="O2364" s="6" t="s">
        <v>48</v>
      </c>
    </row>
    <row r="2365" customFormat="false" ht="15" hidden="false" customHeight="false" outlineLevel="0" collapsed="false">
      <c r="A2365" s="6" t="s">
        <v>4839</v>
      </c>
      <c r="B2365" s="6" t="s">
        <v>4840</v>
      </c>
      <c r="C2365" s="6" t="s">
        <v>75</v>
      </c>
      <c r="D2365" s="6" t="n">
        <v>43</v>
      </c>
      <c r="E2365" s="6" t="s">
        <v>321</v>
      </c>
      <c r="F2365" s="6" t="s">
        <v>321</v>
      </c>
      <c r="G2365" s="26" t="n">
        <v>46035</v>
      </c>
      <c r="H2365" s="6" t="s">
        <v>92</v>
      </c>
      <c r="I2365" s="26" t="n">
        <f aca="false">_xlfn.MINIFS(Transaction!$C$2:$C$8421,Transaction!$B$2:$B$8421,A2365)</f>
        <v>46075</v>
      </c>
      <c r="J2365" s="26" t="n">
        <f aca="false">_xlfn.MAXIFS(Transaction!$C$2:$C$8421,Transaction!$B$2:$B$8421,A2365)</f>
        <v>46250</v>
      </c>
      <c r="K2365" s="6" t="n">
        <f aca="false">COUNTIF(Transaction!$B$2:$B$8421,A2365)</f>
        <v>9</v>
      </c>
      <c r="L2365" s="10" t="n">
        <f aca="false">SUMIF(Transaction!$B$2:$B$8421,A2365,Transaction!$H$2:$H$8421)</f>
        <v>18215</v>
      </c>
      <c r="M2365" s="6" t="n">
        <f aca="false">Summary!$B$3-J2365</f>
        <v>16</v>
      </c>
      <c r="N2365" s="6" t="str">
        <f aca="false">IF(K2365&gt;1,"Yes","No")</f>
        <v>Yes</v>
      </c>
      <c r="O2365" s="6" t="s">
        <v>45</v>
      </c>
    </row>
    <row r="2366" customFormat="false" ht="15" hidden="false" customHeight="false" outlineLevel="0" collapsed="false">
      <c r="A2366" s="6" t="s">
        <v>4841</v>
      </c>
      <c r="B2366" s="6" t="s">
        <v>4842</v>
      </c>
      <c r="C2366" s="6" t="s">
        <v>75</v>
      </c>
      <c r="D2366" s="6" t="n">
        <v>38</v>
      </c>
      <c r="E2366" s="6" t="s">
        <v>95</v>
      </c>
      <c r="F2366" s="6" t="s">
        <v>95</v>
      </c>
      <c r="G2366" s="26" t="n">
        <v>45980</v>
      </c>
      <c r="H2366" s="6" t="s">
        <v>78</v>
      </c>
      <c r="I2366" s="26" t="n">
        <f aca="false">_xlfn.MINIFS(Transaction!$C$2:$C$8421,Transaction!$B$2:$B$8421,A2366)</f>
        <v>46035</v>
      </c>
      <c r="J2366" s="26" t="n">
        <f aca="false">_xlfn.MAXIFS(Transaction!$C$2:$C$8421,Transaction!$B$2:$B$8421,A2366)</f>
        <v>46245</v>
      </c>
      <c r="K2366" s="6" t="n">
        <f aca="false">COUNTIF(Transaction!$B$2:$B$8421,A2366)</f>
        <v>7</v>
      </c>
      <c r="L2366" s="10" t="n">
        <f aca="false">SUMIF(Transaction!$B$2:$B$8421,A2366,Transaction!$H$2:$H$8421)</f>
        <v>15189</v>
      </c>
      <c r="M2366" s="6" t="n">
        <f aca="false">Summary!$B$3-J2366</f>
        <v>21</v>
      </c>
      <c r="N2366" s="6" t="str">
        <f aca="false">IF(K2366&gt;1,"Yes","No")</f>
        <v>Yes</v>
      </c>
      <c r="O2366" s="6" t="s">
        <v>45</v>
      </c>
    </row>
    <row r="2367" customFormat="false" ht="15" hidden="false" customHeight="false" outlineLevel="0" collapsed="false">
      <c r="A2367" s="6" t="s">
        <v>4843</v>
      </c>
      <c r="B2367" s="6" t="s">
        <v>4844</v>
      </c>
      <c r="C2367" s="6" t="s">
        <v>75</v>
      </c>
      <c r="D2367" s="6" t="n">
        <v>19</v>
      </c>
      <c r="E2367" s="6" t="s">
        <v>81</v>
      </c>
      <c r="F2367" s="6" t="s">
        <v>82</v>
      </c>
      <c r="G2367" s="26" t="n">
        <v>46054</v>
      </c>
      <c r="H2367" s="6" t="s">
        <v>88</v>
      </c>
      <c r="I2367" s="26" t="n">
        <f aca="false">_xlfn.MINIFS(Transaction!$C$2:$C$8421,Transaction!$B$2:$B$8421,A2367)</f>
        <v>46085</v>
      </c>
      <c r="J2367" s="26" t="n">
        <f aca="false">_xlfn.MAXIFS(Transaction!$C$2:$C$8421,Transaction!$B$2:$B$8421,A2367)</f>
        <v>46191</v>
      </c>
      <c r="K2367" s="6" t="n">
        <f aca="false">COUNTIF(Transaction!$B$2:$B$8421,A2367)</f>
        <v>5</v>
      </c>
      <c r="L2367" s="10" t="n">
        <f aca="false">SUMIF(Transaction!$B$2:$B$8421,A2367,Transaction!$H$2:$H$8421)</f>
        <v>7114</v>
      </c>
      <c r="M2367" s="6" t="n">
        <f aca="false">Summary!$B$3-J2367</f>
        <v>75</v>
      </c>
      <c r="N2367" s="6" t="str">
        <f aca="false">IF(K2367&gt;1,"Yes","No")</f>
        <v>Yes</v>
      </c>
      <c r="O2367" s="6" t="s">
        <v>46</v>
      </c>
    </row>
    <row r="2368" customFormat="false" ht="15" hidden="false" customHeight="false" outlineLevel="0" collapsed="false">
      <c r="A2368" s="6" t="s">
        <v>4845</v>
      </c>
      <c r="B2368" s="6" t="s">
        <v>4846</v>
      </c>
      <c r="C2368" s="6" t="s">
        <v>85</v>
      </c>
      <c r="D2368" s="6" t="n">
        <v>23</v>
      </c>
      <c r="E2368" s="6" t="s">
        <v>81</v>
      </c>
      <c r="F2368" s="6" t="s">
        <v>82</v>
      </c>
      <c r="G2368" s="26" t="n">
        <v>46100</v>
      </c>
      <c r="H2368" s="6" t="s">
        <v>115</v>
      </c>
      <c r="I2368" s="26" t="n">
        <f aca="false">_xlfn.MINIFS(Transaction!$C$2:$C$8421,Transaction!$B$2:$B$8421,A2368)</f>
        <v>46105</v>
      </c>
      <c r="J2368" s="26" t="n">
        <f aca="false">_xlfn.MAXIFS(Transaction!$C$2:$C$8421,Transaction!$B$2:$B$8421,A2368)</f>
        <v>46105</v>
      </c>
      <c r="K2368" s="6" t="n">
        <f aca="false">COUNTIF(Transaction!$B$2:$B$8421,A2368)</f>
        <v>1</v>
      </c>
      <c r="L2368" s="10" t="n">
        <f aca="false">SUMIF(Transaction!$B$2:$B$8421,A2368,Transaction!$H$2:$H$8421)</f>
        <v>782</v>
      </c>
      <c r="M2368" s="6" t="n">
        <f aca="false">Summary!$B$3-J2368</f>
        <v>161</v>
      </c>
      <c r="N2368" s="6" t="str">
        <f aca="false">IF(K2368&gt;1,"Yes","No")</f>
        <v>No</v>
      </c>
      <c r="O2368" s="6" t="s">
        <v>49</v>
      </c>
    </row>
    <row r="2369" customFormat="false" ht="15" hidden="false" customHeight="false" outlineLevel="0" collapsed="false">
      <c r="A2369" s="6" t="s">
        <v>4847</v>
      </c>
      <c r="B2369" s="6" t="s">
        <v>4848</v>
      </c>
      <c r="C2369" s="6" t="s">
        <v>85</v>
      </c>
      <c r="D2369" s="6" t="n">
        <v>52</v>
      </c>
      <c r="E2369" s="6" t="s">
        <v>176</v>
      </c>
      <c r="F2369" s="6" t="s">
        <v>177</v>
      </c>
      <c r="G2369" s="26" t="n">
        <v>46107</v>
      </c>
      <c r="H2369" s="6" t="s">
        <v>78</v>
      </c>
      <c r="I2369" s="26" t="n">
        <f aca="false">_xlfn.MINIFS(Transaction!$C$2:$C$8421,Transaction!$B$2:$B$8421,A2369)</f>
        <v>46181</v>
      </c>
      <c r="J2369" s="26" t="n">
        <f aca="false">_xlfn.MAXIFS(Transaction!$C$2:$C$8421,Transaction!$B$2:$B$8421,A2369)</f>
        <v>46217</v>
      </c>
      <c r="K2369" s="6" t="n">
        <f aca="false">COUNTIF(Transaction!$B$2:$B$8421,A2369)</f>
        <v>3</v>
      </c>
      <c r="L2369" s="10" t="n">
        <f aca="false">SUMIF(Transaction!$B$2:$B$8421,A2369,Transaction!$H$2:$H$8421)</f>
        <v>6468</v>
      </c>
      <c r="M2369" s="6" t="n">
        <f aca="false">Summary!$B$3-J2369</f>
        <v>49</v>
      </c>
      <c r="N2369" s="6" t="str">
        <f aca="false">IF(K2369&gt;1,"Yes","No")</f>
        <v>Yes</v>
      </c>
      <c r="O2369" s="6" t="s">
        <v>46</v>
      </c>
    </row>
    <row r="2370" customFormat="false" ht="15" hidden="false" customHeight="false" outlineLevel="0" collapsed="false">
      <c r="A2370" s="6" t="s">
        <v>4849</v>
      </c>
      <c r="B2370" s="6" t="s">
        <v>4850</v>
      </c>
      <c r="C2370" s="6" t="s">
        <v>85</v>
      </c>
      <c r="D2370" s="6" t="n">
        <v>26</v>
      </c>
      <c r="E2370" s="6" t="s">
        <v>321</v>
      </c>
      <c r="F2370" s="6" t="s">
        <v>321</v>
      </c>
      <c r="G2370" s="26" t="n">
        <v>45965</v>
      </c>
      <c r="H2370" s="6" t="s">
        <v>92</v>
      </c>
      <c r="I2370" s="26" t="n">
        <f aca="false">_xlfn.MINIFS(Transaction!$C$2:$C$8421,Transaction!$B$2:$B$8421,A2370)</f>
        <v>46024</v>
      </c>
      <c r="J2370" s="26" t="n">
        <f aca="false">_xlfn.MAXIFS(Transaction!$C$2:$C$8421,Transaction!$B$2:$B$8421,A2370)</f>
        <v>46244</v>
      </c>
      <c r="K2370" s="6" t="n">
        <f aca="false">COUNTIF(Transaction!$B$2:$B$8421,A2370)</f>
        <v>7</v>
      </c>
      <c r="L2370" s="10" t="n">
        <f aca="false">SUMIF(Transaction!$B$2:$B$8421,A2370,Transaction!$H$2:$H$8421)</f>
        <v>16666</v>
      </c>
      <c r="M2370" s="6" t="n">
        <f aca="false">Summary!$B$3-J2370</f>
        <v>22</v>
      </c>
      <c r="N2370" s="6" t="str">
        <f aca="false">IF(K2370&gt;1,"Yes","No")</f>
        <v>Yes</v>
      </c>
      <c r="O2370" s="6" t="s">
        <v>45</v>
      </c>
    </row>
    <row r="2371" customFormat="false" ht="15" hidden="false" customHeight="false" outlineLevel="0" collapsed="false">
      <c r="A2371" s="6" t="s">
        <v>4851</v>
      </c>
      <c r="B2371" s="6" t="s">
        <v>4852</v>
      </c>
      <c r="C2371" s="6" t="s">
        <v>85</v>
      </c>
      <c r="D2371" s="6" t="n">
        <v>41</v>
      </c>
      <c r="E2371" s="6" t="s">
        <v>91</v>
      </c>
      <c r="F2371" s="6" t="s">
        <v>77</v>
      </c>
      <c r="G2371" s="26" t="n">
        <v>46135</v>
      </c>
      <c r="H2371" s="6" t="s">
        <v>92</v>
      </c>
      <c r="I2371" s="26" t="n">
        <f aca="false">_xlfn.MINIFS(Transaction!$C$2:$C$8421,Transaction!$B$2:$B$8421,A2371)</f>
        <v>46218</v>
      </c>
      <c r="J2371" s="26" t="n">
        <f aca="false">_xlfn.MAXIFS(Transaction!$C$2:$C$8421,Transaction!$B$2:$B$8421,A2371)</f>
        <v>46218</v>
      </c>
      <c r="K2371" s="6" t="n">
        <f aca="false">COUNTIF(Transaction!$B$2:$B$8421,A2371)</f>
        <v>1</v>
      </c>
      <c r="L2371" s="10" t="n">
        <f aca="false">SUMIF(Transaction!$B$2:$B$8421,A2371,Transaction!$H$2:$H$8421)</f>
        <v>784</v>
      </c>
      <c r="M2371" s="6" t="n">
        <f aca="false">Summary!$B$3-J2371</f>
        <v>48</v>
      </c>
      <c r="N2371" s="6" t="str">
        <f aca="false">IF(K2371&gt;1,"Yes","No")</f>
        <v>No</v>
      </c>
      <c r="O2371" s="6" t="s">
        <v>47</v>
      </c>
    </row>
    <row r="2372" customFormat="false" ht="15" hidden="false" customHeight="false" outlineLevel="0" collapsed="false">
      <c r="A2372" s="6" t="s">
        <v>4853</v>
      </c>
      <c r="B2372" s="6" t="s">
        <v>4854</v>
      </c>
      <c r="C2372" s="6" t="s">
        <v>85</v>
      </c>
      <c r="D2372" s="6" t="n">
        <v>34</v>
      </c>
      <c r="E2372" s="6" t="s">
        <v>98</v>
      </c>
      <c r="F2372" s="6" t="s">
        <v>99</v>
      </c>
      <c r="G2372" s="26" t="n">
        <v>46202</v>
      </c>
      <c r="H2372" s="6" t="s">
        <v>115</v>
      </c>
      <c r="I2372" s="26" t="n">
        <f aca="false">_xlfn.MINIFS(Transaction!$C$2:$C$8421,Transaction!$B$2:$B$8421,A2372)</f>
        <v>46212</v>
      </c>
      <c r="J2372" s="26" t="n">
        <f aca="false">_xlfn.MAXIFS(Transaction!$C$2:$C$8421,Transaction!$B$2:$B$8421,A2372)</f>
        <v>46212</v>
      </c>
      <c r="K2372" s="6" t="n">
        <f aca="false">COUNTIF(Transaction!$B$2:$B$8421,A2372)</f>
        <v>1</v>
      </c>
      <c r="L2372" s="10" t="n">
        <f aca="false">SUMIF(Transaction!$B$2:$B$8421,A2372,Transaction!$H$2:$H$8421)</f>
        <v>1468</v>
      </c>
      <c r="M2372" s="6" t="n">
        <f aca="false">Summary!$B$3-J2372</f>
        <v>54</v>
      </c>
      <c r="N2372" s="6" t="str">
        <f aca="false">IF(K2372&gt;1,"Yes","No")</f>
        <v>No</v>
      </c>
      <c r="O2372" s="6" t="s">
        <v>47</v>
      </c>
    </row>
    <row r="2373" customFormat="false" ht="15" hidden="false" customHeight="false" outlineLevel="0" collapsed="false">
      <c r="A2373" s="6" t="s">
        <v>4855</v>
      </c>
      <c r="B2373" s="6" t="s">
        <v>4856</v>
      </c>
      <c r="C2373" s="6" t="s">
        <v>75</v>
      </c>
      <c r="D2373" s="6" t="n">
        <v>43</v>
      </c>
      <c r="E2373" s="6" t="s">
        <v>105</v>
      </c>
      <c r="F2373" s="6" t="s">
        <v>106</v>
      </c>
      <c r="G2373" s="26" t="n">
        <v>46226</v>
      </c>
      <c r="H2373" s="6" t="s">
        <v>78</v>
      </c>
      <c r="I2373" s="26" t="n">
        <f aca="false">_xlfn.MINIFS(Transaction!$C$2:$C$8421,Transaction!$B$2:$B$8421,A2373)</f>
        <v>46244</v>
      </c>
      <c r="J2373" s="26" t="n">
        <f aca="false">_xlfn.MAXIFS(Transaction!$C$2:$C$8421,Transaction!$B$2:$B$8421,A2373)</f>
        <v>46244</v>
      </c>
      <c r="K2373" s="6" t="n">
        <f aca="false">COUNTIF(Transaction!$B$2:$B$8421,A2373)</f>
        <v>1</v>
      </c>
      <c r="L2373" s="10" t="n">
        <f aca="false">SUMIF(Transaction!$B$2:$B$8421,A2373,Transaction!$H$2:$H$8421)</f>
        <v>2249</v>
      </c>
      <c r="M2373" s="6" t="n">
        <f aca="false">Summary!$B$3-J2373</f>
        <v>22</v>
      </c>
      <c r="N2373" s="6" t="str">
        <f aca="false">IF(K2373&gt;1,"Yes","No")</f>
        <v>No</v>
      </c>
      <c r="O2373" s="6" t="s">
        <v>47</v>
      </c>
    </row>
    <row r="2374" customFormat="false" ht="15" hidden="false" customHeight="false" outlineLevel="0" collapsed="false">
      <c r="A2374" s="6" t="s">
        <v>4857</v>
      </c>
      <c r="B2374" s="6" t="s">
        <v>4858</v>
      </c>
      <c r="C2374" s="6" t="s">
        <v>85</v>
      </c>
      <c r="D2374" s="6" t="n">
        <v>24</v>
      </c>
      <c r="E2374" s="6" t="s">
        <v>118</v>
      </c>
      <c r="F2374" s="6" t="s">
        <v>77</v>
      </c>
      <c r="G2374" s="26" t="n">
        <v>46054</v>
      </c>
      <c r="H2374" s="6" t="s">
        <v>92</v>
      </c>
      <c r="I2374" s="26" t="n">
        <f aca="false">_xlfn.MINIFS(Transaction!$C$2:$C$8421,Transaction!$B$2:$B$8421,A2374)</f>
        <v>46102</v>
      </c>
      <c r="J2374" s="26" t="n">
        <f aca="false">_xlfn.MAXIFS(Transaction!$C$2:$C$8421,Transaction!$B$2:$B$8421,A2374)</f>
        <v>46102</v>
      </c>
      <c r="K2374" s="6" t="n">
        <f aca="false">COUNTIF(Transaction!$B$2:$B$8421,A2374)</f>
        <v>1</v>
      </c>
      <c r="L2374" s="10" t="n">
        <f aca="false">SUMIF(Transaction!$B$2:$B$8421,A2374,Transaction!$H$2:$H$8421)</f>
        <v>972</v>
      </c>
      <c r="M2374" s="6" t="n">
        <f aca="false">Summary!$B$3-J2374</f>
        <v>164</v>
      </c>
      <c r="N2374" s="6" t="str">
        <f aca="false">IF(K2374&gt;1,"Yes","No")</f>
        <v>No</v>
      </c>
      <c r="O2374" s="6" t="s">
        <v>49</v>
      </c>
    </row>
    <row r="2375" customFormat="false" ht="15" hidden="false" customHeight="false" outlineLevel="0" collapsed="false">
      <c r="A2375" s="6" t="s">
        <v>4859</v>
      </c>
      <c r="B2375" s="6" t="s">
        <v>4860</v>
      </c>
      <c r="C2375" s="6" t="s">
        <v>75</v>
      </c>
      <c r="D2375" s="6" t="n">
        <v>36</v>
      </c>
      <c r="E2375" s="6" t="s">
        <v>264</v>
      </c>
      <c r="F2375" s="6" t="s">
        <v>106</v>
      </c>
      <c r="G2375" s="26" t="n">
        <v>45984</v>
      </c>
      <c r="H2375" s="6" t="s">
        <v>115</v>
      </c>
      <c r="I2375" s="26" t="n">
        <f aca="false">_xlfn.MINIFS(Transaction!$C$2:$C$8421,Transaction!$B$2:$B$8421,A2375)</f>
        <v>46065</v>
      </c>
      <c r="J2375" s="26" t="n">
        <f aca="false">_xlfn.MAXIFS(Transaction!$C$2:$C$8421,Transaction!$B$2:$B$8421,A2375)</f>
        <v>46252</v>
      </c>
      <c r="K2375" s="6" t="n">
        <f aca="false">COUNTIF(Transaction!$B$2:$B$8421,A2375)</f>
        <v>13</v>
      </c>
      <c r="L2375" s="10" t="n">
        <f aca="false">SUMIF(Transaction!$B$2:$B$8421,A2375,Transaction!$H$2:$H$8421)</f>
        <v>33578</v>
      </c>
      <c r="M2375" s="6" t="n">
        <f aca="false">Summary!$B$3-J2375</f>
        <v>14</v>
      </c>
      <c r="N2375" s="6" t="str">
        <f aca="false">IF(K2375&gt;1,"Yes","No")</f>
        <v>Yes</v>
      </c>
      <c r="O2375" s="6" t="s">
        <v>45</v>
      </c>
    </row>
    <row r="2376" customFormat="false" ht="15" hidden="false" customHeight="false" outlineLevel="0" collapsed="false">
      <c r="A2376" s="6" t="s">
        <v>4861</v>
      </c>
      <c r="B2376" s="6" t="s">
        <v>4862</v>
      </c>
      <c r="C2376" s="6" t="s">
        <v>75</v>
      </c>
      <c r="D2376" s="6" t="n">
        <v>30</v>
      </c>
      <c r="E2376" s="6" t="s">
        <v>264</v>
      </c>
      <c r="F2376" s="6" t="s">
        <v>106</v>
      </c>
      <c r="G2376" s="26" t="n">
        <v>46171</v>
      </c>
      <c r="H2376" s="6" t="s">
        <v>115</v>
      </c>
      <c r="I2376" s="26" t="n">
        <f aca="false">_xlfn.MINIFS(Transaction!$C$2:$C$8421,Transaction!$B$2:$B$8421,A2376)</f>
        <v>46172</v>
      </c>
      <c r="J2376" s="26" t="n">
        <f aca="false">_xlfn.MAXIFS(Transaction!$C$2:$C$8421,Transaction!$B$2:$B$8421,A2376)</f>
        <v>46172</v>
      </c>
      <c r="K2376" s="6" t="n">
        <f aca="false">COUNTIF(Transaction!$B$2:$B$8421,A2376)</f>
        <v>1</v>
      </c>
      <c r="L2376" s="10" t="n">
        <f aca="false">SUMIF(Transaction!$B$2:$B$8421,A2376,Transaction!$H$2:$H$8421)</f>
        <v>2348</v>
      </c>
      <c r="M2376" s="6" t="n">
        <f aca="false">Summary!$B$3-J2376</f>
        <v>94</v>
      </c>
      <c r="N2376" s="6" t="str">
        <f aca="false">IF(K2376&gt;1,"Yes","No")</f>
        <v>No</v>
      </c>
      <c r="O2376" s="6" t="s">
        <v>48</v>
      </c>
    </row>
    <row r="2377" customFormat="false" ht="15" hidden="false" customHeight="false" outlineLevel="0" collapsed="false">
      <c r="A2377" s="6" t="s">
        <v>4863</v>
      </c>
      <c r="B2377" s="6" t="s">
        <v>4864</v>
      </c>
      <c r="C2377" s="6" t="s">
        <v>75</v>
      </c>
      <c r="D2377" s="6" t="n">
        <v>34</v>
      </c>
      <c r="E2377" s="6" t="s">
        <v>86</v>
      </c>
      <c r="F2377" s="6" t="s">
        <v>87</v>
      </c>
      <c r="G2377" s="26" t="n">
        <v>45957</v>
      </c>
      <c r="H2377" s="6" t="s">
        <v>115</v>
      </c>
      <c r="I2377" s="26" t="n">
        <f aca="false">_xlfn.MINIFS(Transaction!$C$2:$C$8421,Transaction!$B$2:$B$8421,A2377)</f>
        <v>46030</v>
      </c>
      <c r="J2377" s="26" t="n">
        <f aca="false">_xlfn.MAXIFS(Transaction!$C$2:$C$8421,Transaction!$B$2:$B$8421,A2377)</f>
        <v>46255</v>
      </c>
      <c r="K2377" s="6" t="n">
        <f aca="false">COUNTIF(Transaction!$B$2:$B$8421,A2377)</f>
        <v>8</v>
      </c>
      <c r="L2377" s="10" t="n">
        <f aca="false">SUMIF(Transaction!$B$2:$B$8421,A2377,Transaction!$H$2:$H$8421)</f>
        <v>19081</v>
      </c>
      <c r="M2377" s="6" t="n">
        <f aca="false">Summary!$B$3-J2377</f>
        <v>11</v>
      </c>
      <c r="N2377" s="6" t="str">
        <f aca="false">IF(K2377&gt;1,"Yes","No")</f>
        <v>Yes</v>
      </c>
      <c r="O2377" s="6" t="s">
        <v>45</v>
      </c>
    </row>
    <row r="2378" customFormat="false" ht="15" hidden="false" customHeight="false" outlineLevel="0" collapsed="false">
      <c r="A2378" s="6" t="s">
        <v>4865</v>
      </c>
      <c r="B2378" s="6" t="s">
        <v>4866</v>
      </c>
      <c r="C2378" s="6" t="s">
        <v>85</v>
      </c>
      <c r="D2378" s="6" t="n">
        <v>38</v>
      </c>
      <c r="E2378" s="6" t="s">
        <v>95</v>
      </c>
      <c r="F2378" s="6" t="s">
        <v>95</v>
      </c>
      <c r="G2378" s="26" t="n">
        <v>46092</v>
      </c>
      <c r="H2378" s="6" t="s">
        <v>102</v>
      </c>
      <c r="I2378" s="26" t="n">
        <f aca="false">_xlfn.MINIFS(Transaction!$C$2:$C$8421,Transaction!$B$2:$B$8421,A2378)</f>
        <v>46115</v>
      </c>
      <c r="J2378" s="26" t="n">
        <f aca="false">_xlfn.MAXIFS(Transaction!$C$2:$C$8421,Transaction!$B$2:$B$8421,A2378)</f>
        <v>46115</v>
      </c>
      <c r="K2378" s="6" t="n">
        <f aca="false">COUNTIF(Transaction!$B$2:$B$8421,A2378)</f>
        <v>1</v>
      </c>
      <c r="L2378" s="10" t="n">
        <f aca="false">SUMIF(Transaction!$B$2:$B$8421,A2378,Transaction!$H$2:$H$8421)</f>
        <v>1868</v>
      </c>
      <c r="M2378" s="6" t="n">
        <f aca="false">Summary!$B$3-J2378</f>
        <v>151</v>
      </c>
      <c r="N2378" s="6" t="str">
        <f aca="false">IF(K2378&gt;1,"Yes","No")</f>
        <v>No</v>
      </c>
      <c r="O2378" s="6" t="s">
        <v>48</v>
      </c>
    </row>
    <row r="2379" customFormat="false" ht="15" hidden="false" customHeight="false" outlineLevel="0" collapsed="false">
      <c r="A2379" s="6" t="s">
        <v>4867</v>
      </c>
      <c r="B2379" s="6" t="s">
        <v>4868</v>
      </c>
      <c r="C2379" s="6" t="s">
        <v>75</v>
      </c>
      <c r="D2379" s="6" t="n">
        <v>38</v>
      </c>
      <c r="E2379" s="6" t="s">
        <v>86</v>
      </c>
      <c r="F2379" s="6" t="s">
        <v>87</v>
      </c>
      <c r="G2379" s="26" t="n">
        <v>46222</v>
      </c>
      <c r="H2379" s="6" t="s">
        <v>115</v>
      </c>
      <c r="I2379" s="26" t="n">
        <f aca="false">_xlfn.MINIFS(Transaction!$C$2:$C$8421,Transaction!$B$2:$B$8421,A2379)</f>
        <v>46238</v>
      </c>
      <c r="J2379" s="26" t="n">
        <f aca="false">_xlfn.MAXIFS(Transaction!$C$2:$C$8421,Transaction!$B$2:$B$8421,A2379)</f>
        <v>46239</v>
      </c>
      <c r="K2379" s="6" t="n">
        <f aca="false">COUNTIF(Transaction!$B$2:$B$8421,A2379)</f>
        <v>2</v>
      </c>
      <c r="L2379" s="10" t="n">
        <f aca="false">SUMIF(Transaction!$B$2:$B$8421,A2379,Transaction!$H$2:$H$8421)</f>
        <v>12576</v>
      </c>
      <c r="M2379" s="6" t="n">
        <f aca="false">Summary!$B$3-J2379</f>
        <v>27</v>
      </c>
      <c r="N2379" s="6" t="str">
        <f aca="false">IF(K2379&gt;1,"Yes","No")</f>
        <v>Yes</v>
      </c>
      <c r="O2379" s="6" t="s">
        <v>46</v>
      </c>
    </row>
    <row r="2380" customFormat="false" ht="15" hidden="false" customHeight="false" outlineLevel="0" collapsed="false">
      <c r="A2380" s="6" t="s">
        <v>4869</v>
      </c>
      <c r="B2380" s="6" t="s">
        <v>4870</v>
      </c>
      <c r="C2380" s="6" t="s">
        <v>85</v>
      </c>
      <c r="D2380" s="6" t="n">
        <v>27</v>
      </c>
      <c r="E2380" s="6" t="s">
        <v>264</v>
      </c>
      <c r="F2380" s="6" t="s">
        <v>106</v>
      </c>
      <c r="G2380" s="26" t="n">
        <v>46123</v>
      </c>
      <c r="H2380" s="6" t="s">
        <v>78</v>
      </c>
      <c r="I2380" s="26" t="n">
        <f aca="false">_xlfn.MINIFS(Transaction!$C$2:$C$8421,Transaction!$B$2:$B$8421,A2380)</f>
        <v>46142</v>
      </c>
      <c r="J2380" s="26" t="n">
        <f aca="false">_xlfn.MAXIFS(Transaction!$C$2:$C$8421,Transaction!$B$2:$B$8421,A2380)</f>
        <v>46142</v>
      </c>
      <c r="K2380" s="6" t="n">
        <f aca="false">COUNTIF(Transaction!$B$2:$B$8421,A2380)</f>
        <v>1</v>
      </c>
      <c r="L2380" s="10" t="n">
        <f aca="false">SUMIF(Transaction!$B$2:$B$8421,A2380,Transaction!$H$2:$H$8421)</f>
        <v>1954</v>
      </c>
      <c r="M2380" s="6" t="n">
        <f aca="false">Summary!$B$3-J2380</f>
        <v>124</v>
      </c>
      <c r="N2380" s="6" t="str">
        <f aca="false">IF(K2380&gt;1,"Yes","No")</f>
        <v>No</v>
      </c>
      <c r="O2380" s="6" t="s">
        <v>48</v>
      </c>
    </row>
    <row r="2381" customFormat="false" ht="15" hidden="false" customHeight="false" outlineLevel="0" collapsed="false">
      <c r="A2381" s="6" t="s">
        <v>4871</v>
      </c>
      <c r="B2381" s="6" t="s">
        <v>4872</v>
      </c>
      <c r="C2381" s="6" t="s">
        <v>75</v>
      </c>
      <c r="D2381" s="6" t="n">
        <v>30</v>
      </c>
      <c r="E2381" s="6" t="s">
        <v>95</v>
      </c>
      <c r="F2381" s="6" t="s">
        <v>95</v>
      </c>
      <c r="G2381" s="26" t="n">
        <v>46134</v>
      </c>
      <c r="H2381" s="6" t="s">
        <v>78</v>
      </c>
      <c r="I2381" s="26" t="n">
        <f aca="false">_xlfn.MINIFS(Transaction!$C$2:$C$8421,Transaction!$B$2:$B$8421,A2381)</f>
        <v>46209</v>
      </c>
      <c r="J2381" s="26" t="n">
        <f aca="false">_xlfn.MAXIFS(Transaction!$C$2:$C$8421,Transaction!$B$2:$B$8421,A2381)</f>
        <v>46209</v>
      </c>
      <c r="K2381" s="6" t="n">
        <f aca="false">COUNTIF(Transaction!$B$2:$B$8421,A2381)</f>
        <v>1</v>
      </c>
      <c r="L2381" s="10" t="n">
        <f aca="false">SUMIF(Transaction!$B$2:$B$8421,A2381,Transaction!$H$2:$H$8421)</f>
        <v>703</v>
      </c>
      <c r="M2381" s="6" t="n">
        <f aca="false">Summary!$B$3-J2381</f>
        <v>57</v>
      </c>
      <c r="N2381" s="6" t="str">
        <f aca="false">IF(K2381&gt;1,"Yes","No")</f>
        <v>No</v>
      </c>
      <c r="O2381" s="6" t="s">
        <v>47</v>
      </c>
    </row>
    <row r="2382" customFormat="false" ht="15" hidden="false" customHeight="false" outlineLevel="0" collapsed="false">
      <c r="A2382" s="6" t="s">
        <v>4873</v>
      </c>
      <c r="B2382" s="6" t="s">
        <v>4874</v>
      </c>
      <c r="C2382" s="6" t="s">
        <v>85</v>
      </c>
      <c r="D2382" s="6" t="n">
        <v>21</v>
      </c>
      <c r="E2382" s="6" t="s">
        <v>91</v>
      </c>
      <c r="F2382" s="6" t="s">
        <v>77</v>
      </c>
      <c r="G2382" s="26" t="n">
        <v>46041</v>
      </c>
      <c r="H2382" s="6" t="s">
        <v>88</v>
      </c>
      <c r="I2382" s="26" t="n">
        <f aca="false">_xlfn.MINIFS(Transaction!$C$2:$C$8421,Transaction!$B$2:$B$8421,A2382)</f>
        <v>46115</v>
      </c>
      <c r="J2382" s="26" t="n">
        <f aca="false">_xlfn.MAXIFS(Transaction!$C$2:$C$8421,Transaction!$B$2:$B$8421,A2382)</f>
        <v>46115</v>
      </c>
      <c r="K2382" s="6" t="n">
        <f aca="false">COUNTIF(Transaction!$B$2:$B$8421,A2382)</f>
        <v>1</v>
      </c>
      <c r="L2382" s="10" t="n">
        <f aca="false">SUMIF(Transaction!$B$2:$B$8421,A2382,Transaction!$H$2:$H$8421)</f>
        <v>1835</v>
      </c>
      <c r="M2382" s="6" t="n">
        <f aca="false">Summary!$B$3-J2382</f>
        <v>151</v>
      </c>
      <c r="N2382" s="6" t="str">
        <f aca="false">IF(K2382&gt;1,"Yes","No")</f>
        <v>No</v>
      </c>
      <c r="O2382" s="6" t="s">
        <v>48</v>
      </c>
    </row>
    <row r="2383" customFormat="false" ht="15" hidden="false" customHeight="false" outlineLevel="0" collapsed="false">
      <c r="A2383" s="6" t="s">
        <v>4875</v>
      </c>
      <c r="B2383" s="6" t="s">
        <v>4876</v>
      </c>
      <c r="C2383" s="6" t="s">
        <v>75</v>
      </c>
      <c r="D2383" s="6" t="n">
        <v>36</v>
      </c>
      <c r="E2383" s="6" t="s">
        <v>134</v>
      </c>
      <c r="F2383" s="6" t="s">
        <v>135</v>
      </c>
      <c r="G2383" s="26" t="n">
        <v>46026</v>
      </c>
      <c r="H2383" s="6" t="s">
        <v>92</v>
      </c>
      <c r="I2383" s="26" t="n">
        <f aca="false">_xlfn.MINIFS(Transaction!$C$2:$C$8421,Transaction!$B$2:$B$8421,A2383)</f>
        <v>46087</v>
      </c>
      <c r="J2383" s="26" t="n">
        <f aca="false">_xlfn.MAXIFS(Transaction!$C$2:$C$8421,Transaction!$B$2:$B$8421,A2383)</f>
        <v>46087</v>
      </c>
      <c r="K2383" s="6" t="n">
        <f aca="false">COUNTIF(Transaction!$B$2:$B$8421,A2383)</f>
        <v>1</v>
      </c>
      <c r="L2383" s="10" t="n">
        <f aca="false">SUMIF(Transaction!$B$2:$B$8421,A2383,Transaction!$H$2:$H$8421)</f>
        <v>1835</v>
      </c>
      <c r="M2383" s="6" t="n">
        <f aca="false">Summary!$B$3-J2383</f>
        <v>179</v>
      </c>
      <c r="N2383" s="6" t="str">
        <f aca="false">IF(K2383&gt;1,"Yes","No")</f>
        <v>No</v>
      </c>
      <c r="O2383" s="6" t="s">
        <v>49</v>
      </c>
    </row>
    <row r="2384" customFormat="false" ht="15" hidden="false" customHeight="false" outlineLevel="0" collapsed="false">
      <c r="A2384" s="6" t="s">
        <v>4877</v>
      </c>
      <c r="B2384" s="6" t="s">
        <v>4878</v>
      </c>
      <c r="C2384" s="6" t="s">
        <v>85</v>
      </c>
      <c r="D2384" s="6" t="n">
        <v>38</v>
      </c>
      <c r="E2384" s="6" t="s">
        <v>95</v>
      </c>
      <c r="F2384" s="6" t="s">
        <v>95</v>
      </c>
      <c r="G2384" s="26" t="n">
        <v>46076</v>
      </c>
      <c r="H2384" s="6" t="s">
        <v>115</v>
      </c>
      <c r="I2384" s="26" t="n">
        <f aca="false">_xlfn.MINIFS(Transaction!$C$2:$C$8421,Transaction!$B$2:$B$8421,A2384)</f>
        <v>46152</v>
      </c>
      <c r="J2384" s="26" t="n">
        <f aca="false">_xlfn.MAXIFS(Transaction!$C$2:$C$8421,Transaction!$B$2:$B$8421,A2384)</f>
        <v>46256</v>
      </c>
      <c r="K2384" s="6" t="n">
        <f aca="false">COUNTIF(Transaction!$B$2:$B$8421,A2384)</f>
        <v>3</v>
      </c>
      <c r="L2384" s="10" t="n">
        <f aca="false">SUMIF(Transaction!$B$2:$B$8421,A2384,Transaction!$H$2:$H$8421)</f>
        <v>43107</v>
      </c>
      <c r="M2384" s="6" t="n">
        <f aca="false">Summary!$B$3-J2384</f>
        <v>10</v>
      </c>
      <c r="N2384" s="6" t="str">
        <f aca="false">IF(K2384&gt;1,"Yes","No")</f>
        <v>Yes</v>
      </c>
      <c r="O2384" s="6" t="s">
        <v>46</v>
      </c>
    </row>
    <row r="2385" customFormat="false" ht="15" hidden="false" customHeight="false" outlineLevel="0" collapsed="false">
      <c r="A2385" s="6" t="s">
        <v>4879</v>
      </c>
      <c r="B2385" s="6" t="s">
        <v>4880</v>
      </c>
      <c r="C2385" s="6" t="s">
        <v>85</v>
      </c>
      <c r="D2385" s="6" t="n">
        <v>29</v>
      </c>
      <c r="E2385" s="6" t="s">
        <v>95</v>
      </c>
      <c r="F2385" s="6" t="s">
        <v>95</v>
      </c>
      <c r="G2385" s="26" t="n">
        <v>46207</v>
      </c>
      <c r="H2385" s="6" t="s">
        <v>115</v>
      </c>
      <c r="I2385" s="26" t="n">
        <f aca="false">_xlfn.MINIFS(Transaction!$C$2:$C$8421,Transaction!$B$2:$B$8421,A2385)</f>
        <v>46251</v>
      </c>
      <c r="J2385" s="26" t="n">
        <f aca="false">_xlfn.MAXIFS(Transaction!$C$2:$C$8421,Transaction!$B$2:$B$8421,A2385)</f>
        <v>46251</v>
      </c>
      <c r="K2385" s="6" t="n">
        <f aca="false">COUNTIF(Transaction!$B$2:$B$8421,A2385)</f>
        <v>1</v>
      </c>
      <c r="L2385" s="10" t="n">
        <f aca="false">SUMIF(Transaction!$B$2:$B$8421,A2385,Transaction!$H$2:$H$8421)</f>
        <v>1322</v>
      </c>
      <c r="M2385" s="6" t="n">
        <f aca="false">Summary!$B$3-J2385</f>
        <v>15</v>
      </c>
      <c r="N2385" s="6" t="str">
        <f aca="false">IF(K2385&gt;1,"Yes","No")</f>
        <v>No</v>
      </c>
      <c r="O2385" s="6" t="s">
        <v>47</v>
      </c>
    </row>
    <row r="2386" customFormat="false" ht="15" hidden="false" customHeight="false" outlineLevel="0" collapsed="false">
      <c r="A2386" s="6" t="s">
        <v>4881</v>
      </c>
      <c r="B2386" s="6" t="s">
        <v>4882</v>
      </c>
      <c r="C2386" s="6" t="s">
        <v>85</v>
      </c>
      <c r="D2386" s="6" t="n">
        <v>36</v>
      </c>
      <c r="E2386" s="6" t="s">
        <v>146</v>
      </c>
      <c r="F2386" s="6" t="s">
        <v>147</v>
      </c>
      <c r="G2386" s="26" t="n">
        <v>46138</v>
      </c>
      <c r="H2386" s="6" t="s">
        <v>92</v>
      </c>
      <c r="I2386" s="26" t="n">
        <f aca="false">_xlfn.MINIFS(Transaction!$C$2:$C$8421,Transaction!$B$2:$B$8421,A2386)</f>
        <v>46171</v>
      </c>
      <c r="J2386" s="26" t="n">
        <f aca="false">_xlfn.MAXIFS(Transaction!$C$2:$C$8421,Transaction!$B$2:$B$8421,A2386)</f>
        <v>46171</v>
      </c>
      <c r="K2386" s="6" t="n">
        <f aca="false">COUNTIF(Transaction!$B$2:$B$8421,A2386)</f>
        <v>1</v>
      </c>
      <c r="L2386" s="10" t="n">
        <f aca="false">SUMIF(Transaction!$B$2:$B$8421,A2386,Transaction!$H$2:$H$8421)</f>
        <v>928</v>
      </c>
      <c r="M2386" s="6" t="n">
        <f aca="false">Summary!$B$3-J2386</f>
        <v>95</v>
      </c>
      <c r="N2386" s="6" t="str">
        <f aca="false">IF(K2386&gt;1,"Yes","No")</f>
        <v>No</v>
      </c>
      <c r="O2386" s="6" t="s">
        <v>48</v>
      </c>
    </row>
    <row r="2387" customFormat="false" ht="15" hidden="false" customHeight="false" outlineLevel="0" collapsed="false">
      <c r="A2387" s="6" t="s">
        <v>4883</v>
      </c>
      <c r="B2387" s="6" t="s">
        <v>4884</v>
      </c>
      <c r="C2387" s="6" t="s">
        <v>75</v>
      </c>
      <c r="D2387" s="6" t="n">
        <v>50</v>
      </c>
      <c r="E2387" s="6" t="s">
        <v>91</v>
      </c>
      <c r="F2387" s="6" t="s">
        <v>77</v>
      </c>
      <c r="G2387" s="26" t="n">
        <v>46167</v>
      </c>
      <c r="H2387" s="6" t="s">
        <v>123</v>
      </c>
      <c r="I2387" s="26" t="n">
        <f aca="false">_xlfn.MINIFS(Transaction!$C$2:$C$8421,Transaction!$B$2:$B$8421,A2387)</f>
        <v>46181</v>
      </c>
      <c r="J2387" s="26" t="n">
        <f aca="false">_xlfn.MAXIFS(Transaction!$C$2:$C$8421,Transaction!$B$2:$B$8421,A2387)</f>
        <v>46181</v>
      </c>
      <c r="K2387" s="6" t="n">
        <f aca="false">COUNTIF(Transaction!$B$2:$B$8421,A2387)</f>
        <v>1</v>
      </c>
      <c r="L2387" s="10" t="n">
        <f aca="false">SUMIF(Transaction!$B$2:$B$8421,A2387,Transaction!$H$2:$H$8421)</f>
        <v>3520</v>
      </c>
      <c r="M2387" s="6" t="n">
        <f aca="false">Summary!$B$3-J2387</f>
        <v>85</v>
      </c>
      <c r="N2387" s="6" t="str">
        <f aca="false">IF(K2387&gt;1,"Yes","No")</f>
        <v>No</v>
      </c>
      <c r="O2387" s="6" t="s">
        <v>47</v>
      </c>
    </row>
    <row r="2388" customFormat="false" ht="15" hidden="false" customHeight="false" outlineLevel="0" collapsed="false">
      <c r="A2388" s="6" t="s">
        <v>4885</v>
      </c>
      <c r="B2388" s="6" t="s">
        <v>4886</v>
      </c>
      <c r="C2388" s="6" t="s">
        <v>75</v>
      </c>
      <c r="D2388" s="6" t="n">
        <v>20</v>
      </c>
      <c r="E2388" s="6" t="s">
        <v>81</v>
      </c>
      <c r="F2388" s="6" t="s">
        <v>82</v>
      </c>
      <c r="G2388" s="26" t="n">
        <v>46053</v>
      </c>
      <c r="H2388" s="6" t="s">
        <v>102</v>
      </c>
      <c r="I2388" s="26" t="n">
        <f aca="false">_xlfn.MINIFS(Transaction!$C$2:$C$8421,Transaction!$B$2:$B$8421,A2388)</f>
        <v>46078</v>
      </c>
      <c r="J2388" s="26" t="n">
        <f aca="false">_xlfn.MAXIFS(Transaction!$C$2:$C$8421,Transaction!$B$2:$B$8421,A2388)</f>
        <v>46219</v>
      </c>
      <c r="K2388" s="6" t="n">
        <f aca="false">COUNTIF(Transaction!$B$2:$B$8421,A2388)</f>
        <v>6</v>
      </c>
      <c r="L2388" s="10" t="n">
        <f aca="false">SUMIF(Transaction!$B$2:$B$8421,A2388,Transaction!$H$2:$H$8421)</f>
        <v>12673</v>
      </c>
      <c r="M2388" s="6" t="n">
        <f aca="false">Summary!$B$3-J2388</f>
        <v>47</v>
      </c>
      <c r="N2388" s="6" t="str">
        <f aca="false">IF(K2388&gt;1,"Yes","No")</f>
        <v>Yes</v>
      </c>
      <c r="O2388" s="6" t="s">
        <v>46</v>
      </c>
    </row>
    <row r="2389" customFormat="false" ht="15" hidden="false" customHeight="false" outlineLevel="0" collapsed="false">
      <c r="A2389" s="6" t="s">
        <v>4887</v>
      </c>
      <c r="B2389" s="6" t="s">
        <v>4888</v>
      </c>
      <c r="C2389" s="6" t="s">
        <v>75</v>
      </c>
      <c r="D2389" s="6" t="n">
        <v>45</v>
      </c>
      <c r="E2389" s="6" t="s">
        <v>105</v>
      </c>
      <c r="F2389" s="6" t="s">
        <v>106</v>
      </c>
      <c r="G2389" s="26" t="n">
        <v>46138</v>
      </c>
      <c r="H2389" s="6" t="s">
        <v>102</v>
      </c>
      <c r="I2389" s="26" t="n">
        <f aca="false">_xlfn.MINIFS(Transaction!$C$2:$C$8421,Transaction!$B$2:$B$8421,A2389)</f>
        <v>46223</v>
      </c>
      <c r="J2389" s="26" t="n">
        <f aca="false">_xlfn.MAXIFS(Transaction!$C$2:$C$8421,Transaction!$B$2:$B$8421,A2389)</f>
        <v>46223</v>
      </c>
      <c r="K2389" s="6" t="n">
        <f aca="false">COUNTIF(Transaction!$B$2:$B$8421,A2389)</f>
        <v>1</v>
      </c>
      <c r="L2389" s="10" t="n">
        <f aca="false">SUMIF(Transaction!$B$2:$B$8421,A2389,Transaction!$H$2:$H$8421)</f>
        <v>367</v>
      </c>
      <c r="M2389" s="6" t="n">
        <f aca="false">Summary!$B$3-J2389</f>
        <v>43</v>
      </c>
      <c r="N2389" s="6" t="str">
        <f aca="false">IF(K2389&gt;1,"Yes","No")</f>
        <v>No</v>
      </c>
      <c r="O2389" s="6" t="s">
        <v>47</v>
      </c>
    </row>
    <row r="2390" customFormat="false" ht="15" hidden="false" customHeight="false" outlineLevel="0" collapsed="false">
      <c r="A2390" s="6" t="s">
        <v>4889</v>
      </c>
      <c r="B2390" s="6" t="s">
        <v>4890</v>
      </c>
      <c r="C2390" s="6" t="s">
        <v>75</v>
      </c>
      <c r="D2390" s="6" t="n">
        <v>23</v>
      </c>
      <c r="E2390" s="6" t="s">
        <v>118</v>
      </c>
      <c r="F2390" s="6" t="s">
        <v>77</v>
      </c>
      <c r="G2390" s="26" t="n">
        <v>46257</v>
      </c>
      <c r="H2390" s="6" t="s">
        <v>78</v>
      </c>
      <c r="I2390" s="26" t="n">
        <f aca="false">_xlfn.MINIFS(Transaction!$C$2:$C$8421,Transaction!$B$2:$B$8421,A2390)</f>
        <v>46265</v>
      </c>
      <c r="J2390" s="26" t="n">
        <f aca="false">_xlfn.MAXIFS(Transaction!$C$2:$C$8421,Transaction!$B$2:$B$8421,A2390)</f>
        <v>46265</v>
      </c>
      <c r="K2390" s="6" t="n">
        <f aca="false">COUNTIF(Transaction!$B$2:$B$8421,A2390)</f>
        <v>1</v>
      </c>
      <c r="L2390" s="10" t="n">
        <f aca="false">SUMIF(Transaction!$B$2:$B$8421,A2390,Transaction!$H$2:$H$8421)</f>
        <v>707</v>
      </c>
      <c r="M2390" s="6" t="n">
        <f aca="false">Summary!$B$3-J2390</f>
        <v>1</v>
      </c>
      <c r="N2390" s="6" t="str">
        <f aca="false">IF(K2390&gt;1,"Yes","No")</f>
        <v>No</v>
      </c>
      <c r="O2390" s="6" t="s">
        <v>47</v>
      </c>
    </row>
    <row r="2391" customFormat="false" ht="15" hidden="false" customHeight="false" outlineLevel="0" collapsed="false">
      <c r="A2391" s="6" t="s">
        <v>4891</v>
      </c>
      <c r="B2391" s="6" t="s">
        <v>4892</v>
      </c>
      <c r="C2391" s="6" t="s">
        <v>85</v>
      </c>
      <c r="D2391" s="6" t="n">
        <v>49</v>
      </c>
      <c r="E2391" s="6" t="s">
        <v>95</v>
      </c>
      <c r="F2391" s="6" t="s">
        <v>95</v>
      </c>
      <c r="G2391" s="26" t="n">
        <v>46014</v>
      </c>
      <c r="H2391" s="6" t="s">
        <v>115</v>
      </c>
      <c r="I2391" s="26" t="n">
        <f aca="false">_xlfn.MINIFS(Transaction!$C$2:$C$8421,Transaction!$B$2:$B$8421,A2391)</f>
        <v>46071</v>
      </c>
      <c r="J2391" s="26" t="n">
        <f aca="false">_xlfn.MAXIFS(Transaction!$C$2:$C$8421,Transaction!$B$2:$B$8421,A2391)</f>
        <v>46264</v>
      </c>
      <c r="K2391" s="6" t="n">
        <f aca="false">COUNTIF(Transaction!$B$2:$B$8421,A2391)</f>
        <v>15</v>
      </c>
      <c r="L2391" s="10" t="n">
        <f aca="false">SUMIF(Transaction!$B$2:$B$8421,A2391,Transaction!$H$2:$H$8421)</f>
        <v>33263</v>
      </c>
      <c r="M2391" s="6" t="n">
        <f aca="false">Summary!$B$3-J2391</f>
        <v>2</v>
      </c>
      <c r="N2391" s="6" t="str">
        <f aca="false">IF(K2391&gt;1,"Yes","No")</f>
        <v>Yes</v>
      </c>
      <c r="O2391" s="6" t="s">
        <v>45</v>
      </c>
    </row>
    <row r="2392" customFormat="false" ht="15" hidden="false" customHeight="false" outlineLevel="0" collapsed="false">
      <c r="A2392" s="6" t="s">
        <v>4893</v>
      </c>
      <c r="B2392" s="6" t="s">
        <v>4894</v>
      </c>
      <c r="C2392" s="6" t="s">
        <v>85</v>
      </c>
      <c r="D2392" s="6" t="n">
        <v>30</v>
      </c>
      <c r="E2392" s="6" t="s">
        <v>105</v>
      </c>
      <c r="F2392" s="6" t="s">
        <v>106</v>
      </c>
      <c r="G2392" s="26" t="n">
        <v>46220</v>
      </c>
      <c r="H2392" s="6" t="s">
        <v>115</v>
      </c>
      <c r="I2392" s="26" t="n">
        <f aca="false">_xlfn.MINIFS(Transaction!$C$2:$C$8421,Transaction!$B$2:$B$8421,A2392)</f>
        <v>46238</v>
      </c>
      <c r="J2392" s="26" t="n">
        <f aca="false">_xlfn.MAXIFS(Transaction!$C$2:$C$8421,Transaction!$B$2:$B$8421,A2392)</f>
        <v>46238</v>
      </c>
      <c r="K2392" s="6" t="n">
        <f aca="false">COUNTIF(Transaction!$B$2:$B$8421,A2392)</f>
        <v>1</v>
      </c>
      <c r="L2392" s="10" t="n">
        <f aca="false">SUMIF(Transaction!$B$2:$B$8421,A2392,Transaction!$H$2:$H$8421)</f>
        <v>1308</v>
      </c>
      <c r="M2392" s="6" t="n">
        <f aca="false">Summary!$B$3-J2392</f>
        <v>28</v>
      </c>
      <c r="N2392" s="6" t="str">
        <f aca="false">IF(K2392&gt;1,"Yes","No")</f>
        <v>No</v>
      </c>
      <c r="O2392" s="6" t="s">
        <v>47</v>
      </c>
    </row>
    <row r="2393" customFormat="false" ht="15" hidden="false" customHeight="false" outlineLevel="0" collapsed="false">
      <c r="A2393" s="6" t="s">
        <v>4895</v>
      </c>
      <c r="B2393" s="6" t="s">
        <v>4896</v>
      </c>
      <c r="C2393" s="6" t="s">
        <v>75</v>
      </c>
      <c r="D2393" s="6" t="n">
        <v>37</v>
      </c>
      <c r="E2393" s="6" t="s">
        <v>98</v>
      </c>
      <c r="F2393" s="6" t="s">
        <v>99</v>
      </c>
      <c r="G2393" s="26" t="n">
        <v>46152</v>
      </c>
      <c r="H2393" s="6" t="s">
        <v>78</v>
      </c>
      <c r="I2393" s="26" t="n">
        <f aca="false">_xlfn.MINIFS(Transaction!$C$2:$C$8421,Transaction!$B$2:$B$8421,A2393)</f>
        <v>46196</v>
      </c>
      <c r="J2393" s="26" t="n">
        <f aca="false">_xlfn.MAXIFS(Transaction!$C$2:$C$8421,Transaction!$B$2:$B$8421,A2393)</f>
        <v>46196</v>
      </c>
      <c r="K2393" s="6" t="n">
        <f aca="false">COUNTIF(Transaction!$B$2:$B$8421,A2393)</f>
        <v>1</v>
      </c>
      <c r="L2393" s="10" t="n">
        <f aca="false">SUMIF(Transaction!$B$2:$B$8421,A2393,Transaction!$H$2:$H$8421)</f>
        <v>2653</v>
      </c>
      <c r="M2393" s="6" t="n">
        <f aca="false">Summary!$B$3-J2393</f>
        <v>70</v>
      </c>
      <c r="N2393" s="6" t="str">
        <f aca="false">IF(K2393&gt;1,"Yes","No")</f>
        <v>No</v>
      </c>
      <c r="O2393" s="6" t="s">
        <v>47</v>
      </c>
    </row>
    <row r="2394" customFormat="false" ht="15" hidden="false" customHeight="false" outlineLevel="0" collapsed="false">
      <c r="A2394" s="6" t="s">
        <v>4897</v>
      </c>
      <c r="B2394" s="6" t="s">
        <v>4898</v>
      </c>
      <c r="C2394" s="6" t="s">
        <v>75</v>
      </c>
      <c r="D2394" s="6" t="n">
        <v>51</v>
      </c>
      <c r="E2394" s="6" t="s">
        <v>81</v>
      </c>
      <c r="F2394" s="6" t="s">
        <v>82</v>
      </c>
      <c r="G2394" s="26" t="n">
        <v>46059</v>
      </c>
      <c r="H2394" s="6" t="s">
        <v>78</v>
      </c>
      <c r="I2394" s="26" t="n">
        <f aca="false">_xlfn.MINIFS(Transaction!$C$2:$C$8421,Transaction!$B$2:$B$8421,A2394)</f>
        <v>46139</v>
      </c>
      <c r="J2394" s="26" t="n">
        <f aca="false">_xlfn.MAXIFS(Transaction!$C$2:$C$8421,Transaction!$B$2:$B$8421,A2394)</f>
        <v>46139</v>
      </c>
      <c r="K2394" s="6" t="n">
        <f aca="false">COUNTIF(Transaction!$B$2:$B$8421,A2394)</f>
        <v>1</v>
      </c>
      <c r="L2394" s="10" t="n">
        <f aca="false">SUMIF(Transaction!$B$2:$B$8421,A2394,Transaction!$H$2:$H$8421)</f>
        <v>20395</v>
      </c>
      <c r="M2394" s="6" t="n">
        <f aca="false">Summary!$B$3-J2394</f>
        <v>127</v>
      </c>
      <c r="N2394" s="6" t="str">
        <f aca="false">IF(K2394&gt;1,"Yes","No")</f>
        <v>No</v>
      </c>
      <c r="O2394" s="6" t="s">
        <v>48</v>
      </c>
    </row>
    <row r="2395" customFormat="false" ht="15" hidden="false" customHeight="false" outlineLevel="0" collapsed="false">
      <c r="A2395" s="6" t="s">
        <v>4899</v>
      </c>
      <c r="B2395" s="6" t="s">
        <v>4900</v>
      </c>
      <c r="C2395" s="6" t="s">
        <v>75</v>
      </c>
      <c r="D2395" s="6" t="n">
        <v>27</v>
      </c>
      <c r="E2395" s="6" t="s">
        <v>76</v>
      </c>
      <c r="F2395" s="6" t="s">
        <v>77</v>
      </c>
      <c r="G2395" s="26" t="n">
        <v>46014</v>
      </c>
      <c r="H2395" s="6" t="s">
        <v>78</v>
      </c>
      <c r="I2395" s="26" t="n">
        <f aca="false">_xlfn.MINIFS(Transaction!$C$2:$C$8421,Transaction!$B$2:$B$8421,A2395)</f>
        <v>46070</v>
      </c>
      <c r="J2395" s="26" t="n">
        <f aca="false">_xlfn.MAXIFS(Transaction!$C$2:$C$8421,Transaction!$B$2:$B$8421,A2395)</f>
        <v>46224</v>
      </c>
      <c r="K2395" s="6" t="n">
        <f aca="false">COUNTIF(Transaction!$B$2:$B$8421,A2395)</f>
        <v>4</v>
      </c>
      <c r="L2395" s="10" t="n">
        <f aca="false">SUMIF(Transaction!$B$2:$B$8421,A2395,Transaction!$H$2:$H$8421)</f>
        <v>8174</v>
      </c>
      <c r="M2395" s="6" t="n">
        <f aca="false">Summary!$B$3-J2395</f>
        <v>42</v>
      </c>
      <c r="N2395" s="6" t="str">
        <f aca="false">IF(K2395&gt;1,"Yes","No")</f>
        <v>Yes</v>
      </c>
      <c r="O2395" s="6" t="s">
        <v>46</v>
      </c>
    </row>
    <row r="2396" customFormat="false" ht="15" hidden="false" customHeight="false" outlineLevel="0" collapsed="false">
      <c r="A2396" s="6" t="s">
        <v>4901</v>
      </c>
      <c r="B2396" s="6" t="s">
        <v>4902</v>
      </c>
      <c r="C2396" s="6" t="s">
        <v>85</v>
      </c>
      <c r="D2396" s="6" t="n">
        <v>44</v>
      </c>
      <c r="E2396" s="6" t="s">
        <v>121</v>
      </c>
      <c r="F2396" s="6" t="s">
        <v>122</v>
      </c>
      <c r="G2396" s="26" t="n">
        <v>45939</v>
      </c>
      <c r="H2396" s="6" t="s">
        <v>115</v>
      </c>
      <c r="I2396" s="26" t="n">
        <f aca="false">_xlfn.MINIFS(Transaction!$C$2:$C$8421,Transaction!$B$2:$B$8421,A2396)</f>
        <v>46024</v>
      </c>
      <c r="J2396" s="26" t="n">
        <f aca="false">_xlfn.MAXIFS(Transaction!$C$2:$C$8421,Transaction!$B$2:$B$8421,A2396)</f>
        <v>46195</v>
      </c>
      <c r="K2396" s="6" t="n">
        <f aca="false">COUNTIF(Transaction!$B$2:$B$8421,A2396)</f>
        <v>3</v>
      </c>
      <c r="L2396" s="10" t="n">
        <f aca="false">SUMIF(Transaction!$B$2:$B$8421,A2396,Transaction!$H$2:$H$8421)</f>
        <v>7124</v>
      </c>
      <c r="M2396" s="6" t="n">
        <f aca="false">Summary!$B$3-J2396</f>
        <v>71</v>
      </c>
      <c r="N2396" s="6" t="str">
        <f aca="false">IF(K2396&gt;1,"Yes","No")</f>
        <v>Yes</v>
      </c>
      <c r="O2396" s="6" t="s">
        <v>46</v>
      </c>
    </row>
    <row r="2397" customFormat="false" ht="15" hidden="false" customHeight="false" outlineLevel="0" collapsed="false">
      <c r="A2397" s="6" t="s">
        <v>4903</v>
      </c>
      <c r="B2397" s="6" t="s">
        <v>4904</v>
      </c>
      <c r="C2397" s="6" t="s">
        <v>85</v>
      </c>
      <c r="D2397" s="6" t="n">
        <v>32</v>
      </c>
      <c r="E2397" s="6" t="s">
        <v>81</v>
      </c>
      <c r="F2397" s="6" t="s">
        <v>82</v>
      </c>
      <c r="G2397" s="26" t="n">
        <v>46166</v>
      </c>
      <c r="H2397" s="6" t="s">
        <v>115</v>
      </c>
      <c r="I2397" s="26" t="n">
        <f aca="false">_xlfn.MINIFS(Transaction!$C$2:$C$8421,Transaction!$B$2:$B$8421,A2397)</f>
        <v>46182</v>
      </c>
      <c r="J2397" s="26" t="n">
        <f aca="false">_xlfn.MAXIFS(Transaction!$C$2:$C$8421,Transaction!$B$2:$B$8421,A2397)</f>
        <v>46182</v>
      </c>
      <c r="K2397" s="6" t="n">
        <f aca="false">COUNTIF(Transaction!$B$2:$B$8421,A2397)</f>
        <v>1</v>
      </c>
      <c r="L2397" s="10" t="n">
        <f aca="false">SUMIF(Transaction!$B$2:$B$8421,A2397,Transaction!$H$2:$H$8421)</f>
        <v>3670</v>
      </c>
      <c r="M2397" s="6" t="n">
        <f aca="false">Summary!$B$3-J2397</f>
        <v>84</v>
      </c>
      <c r="N2397" s="6" t="str">
        <f aca="false">IF(K2397&gt;1,"Yes","No")</f>
        <v>No</v>
      </c>
      <c r="O2397" s="6" t="s">
        <v>47</v>
      </c>
    </row>
    <row r="2398" customFormat="false" ht="15" hidden="false" customHeight="false" outlineLevel="0" collapsed="false">
      <c r="A2398" s="6" t="s">
        <v>4905</v>
      </c>
      <c r="B2398" s="6" t="s">
        <v>4906</v>
      </c>
      <c r="C2398" s="6" t="s">
        <v>85</v>
      </c>
      <c r="D2398" s="6" t="n">
        <v>44</v>
      </c>
      <c r="E2398" s="6" t="s">
        <v>430</v>
      </c>
      <c r="F2398" s="6" t="s">
        <v>99</v>
      </c>
      <c r="G2398" s="26" t="n">
        <v>45945</v>
      </c>
      <c r="H2398" s="6" t="s">
        <v>102</v>
      </c>
      <c r="I2398" s="26" t="n">
        <f aca="false">_xlfn.MINIFS(Transaction!$C$2:$C$8421,Transaction!$B$2:$B$8421,A2398)</f>
        <v>46035</v>
      </c>
      <c r="J2398" s="26" t="n">
        <f aca="false">_xlfn.MAXIFS(Transaction!$C$2:$C$8421,Transaction!$B$2:$B$8421,A2398)</f>
        <v>46198</v>
      </c>
      <c r="K2398" s="6" t="n">
        <f aca="false">COUNTIF(Transaction!$B$2:$B$8421,A2398)</f>
        <v>3</v>
      </c>
      <c r="L2398" s="10" t="n">
        <f aca="false">SUMIF(Transaction!$B$2:$B$8421,A2398,Transaction!$H$2:$H$8421)</f>
        <v>4297</v>
      </c>
      <c r="M2398" s="6" t="n">
        <f aca="false">Summary!$B$3-J2398</f>
        <v>68</v>
      </c>
      <c r="N2398" s="6" t="str">
        <f aca="false">IF(K2398&gt;1,"Yes","No")</f>
        <v>Yes</v>
      </c>
      <c r="O2398" s="6" t="s">
        <v>46</v>
      </c>
    </row>
    <row r="2399" customFormat="false" ht="15" hidden="false" customHeight="false" outlineLevel="0" collapsed="false">
      <c r="A2399" s="6" t="s">
        <v>4907</v>
      </c>
      <c r="B2399" s="6" t="s">
        <v>4908</v>
      </c>
      <c r="C2399" s="6" t="s">
        <v>75</v>
      </c>
      <c r="D2399" s="6" t="n">
        <v>39</v>
      </c>
      <c r="E2399" s="6" t="s">
        <v>76</v>
      </c>
      <c r="F2399" s="6" t="s">
        <v>77</v>
      </c>
      <c r="G2399" s="26" t="n">
        <v>46009</v>
      </c>
      <c r="H2399" s="6" t="s">
        <v>123</v>
      </c>
      <c r="I2399" s="26" t="n">
        <f aca="false">_xlfn.MINIFS(Transaction!$C$2:$C$8421,Transaction!$B$2:$B$8421,A2399)</f>
        <v>46028</v>
      </c>
      <c r="J2399" s="26" t="n">
        <f aca="false">_xlfn.MAXIFS(Transaction!$C$2:$C$8421,Transaction!$B$2:$B$8421,A2399)</f>
        <v>46262</v>
      </c>
      <c r="K2399" s="6" t="n">
        <f aca="false">COUNTIF(Transaction!$B$2:$B$8421,A2399)</f>
        <v>9</v>
      </c>
      <c r="L2399" s="10" t="n">
        <f aca="false">SUMIF(Transaction!$B$2:$B$8421,A2399,Transaction!$H$2:$H$8421)</f>
        <v>15201</v>
      </c>
      <c r="M2399" s="6" t="n">
        <f aca="false">Summary!$B$3-J2399</f>
        <v>4</v>
      </c>
      <c r="N2399" s="6" t="str">
        <f aca="false">IF(K2399&gt;1,"Yes","No")</f>
        <v>Yes</v>
      </c>
      <c r="O2399" s="6" t="s">
        <v>45</v>
      </c>
    </row>
    <row r="2400" customFormat="false" ht="15" hidden="false" customHeight="false" outlineLevel="0" collapsed="false">
      <c r="A2400" s="6" t="s">
        <v>4909</v>
      </c>
      <c r="B2400" s="6" t="s">
        <v>4910</v>
      </c>
      <c r="C2400" s="6" t="s">
        <v>75</v>
      </c>
      <c r="D2400" s="6" t="n">
        <v>32</v>
      </c>
      <c r="E2400" s="6" t="s">
        <v>95</v>
      </c>
      <c r="F2400" s="6" t="s">
        <v>95</v>
      </c>
      <c r="G2400" s="26" t="n">
        <v>46023</v>
      </c>
      <c r="H2400" s="6" t="s">
        <v>78</v>
      </c>
      <c r="I2400" s="26" t="n">
        <f aca="false">_xlfn.MINIFS(Transaction!$C$2:$C$8421,Transaction!$B$2:$B$8421,A2400)</f>
        <v>46072</v>
      </c>
      <c r="J2400" s="26" t="n">
        <f aca="false">_xlfn.MAXIFS(Transaction!$C$2:$C$8421,Transaction!$B$2:$B$8421,A2400)</f>
        <v>46253</v>
      </c>
      <c r="K2400" s="6" t="n">
        <f aca="false">COUNTIF(Transaction!$B$2:$B$8421,A2400)</f>
        <v>11</v>
      </c>
      <c r="L2400" s="10" t="n">
        <f aca="false">SUMIF(Transaction!$B$2:$B$8421,A2400,Transaction!$H$2:$H$8421)</f>
        <v>13913</v>
      </c>
      <c r="M2400" s="6" t="n">
        <f aca="false">Summary!$B$3-J2400</f>
        <v>13</v>
      </c>
      <c r="N2400" s="6" t="str">
        <f aca="false">IF(K2400&gt;1,"Yes","No")</f>
        <v>Yes</v>
      </c>
      <c r="O2400" s="6" t="s">
        <v>45</v>
      </c>
    </row>
    <row r="2401" customFormat="false" ht="15" hidden="false" customHeight="false" outlineLevel="0" collapsed="false">
      <c r="A2401" s="6" t="s">
        <v>4911</v>
      </c>
      <c r="B2401" s="6" t="s">
        <v>4912</v>
      </c>
      <c r="C2401" s="6" t="s">
        <v>85</v>
      </c>
      <c r="D2401" s="6" t="n">
        <v>18</v>
      </c>
      <c r="E2401" s="6" t="s">
        <v>95</v>
      </c>
      <c r="F2401" s="6" t="s">
        <v>95</v>
      </c>
      <c r="G2401" s="26" t="n">
        <v>46009</v>
      </c>
      <c r="H2401" s="6" t="s">
        <v>92</v>
      </c>
      <c r="I2401" s="26" t="n">
        <f aca="false">_xlfn.MINIFS(Transaction!$C$2:$C$8421,Transaction!$B$2:$B$8421,A2401)</f>
        <v>46043</v>
      </c>
      <c r="J2401" s="26" t="n">
        <f aca="false">_xlfn.MAXIFS(Transaction!$C$2:$C$8421,Transaction!$B$2:$B$8421,A2401)</f>
        <v>46250</v>
      </c>
      <c r="K2401" s="6" t="n">
        <f aca="false">COUNTIF(Transaction!$B$2:$B$8421,A2401)</f>
        <v>5</v>
      </c>
      <c r="L2401" s="10" t="n">
        <f aca="false">SUMIF(Transaction!$B$2:$B$8421,A2401,Transaction!$H$2:$H$8421)</f>
        <v>9026</v>
      </c>
      <c r="M2401" s="6" t="n">
        <f aca="false">Summary!$B$3-J2401</f>
        <v>16</v>
      </c>
      <c r="N2401" s="6" t="str">
        <f aca="false">IF(K2401&gt;1,"Yes","No")</f>
        <v>Yes</v>
      </c>
      <c r="O2401" s="6" t="s">
        <v>46</v>
      </c>
    </row>
    <row r="2402" customFormat="false" ht="15" hidden="false" customHeight="false" outlineLevel="0" collapsed="false">
      <c r="A2402" s="6" t="s">
        <v>4913</v>
      </c>
      <c r="B2402" s="6" t="s">
        <v>4914</v>
      </c>
      <c r="C2402" s="6" t="s">
        <v>75</v>
      </c>
      <c r="D2402" s="6" t="n">
        <v>38</v>
      </c>
      <c r="E2402" s="6" t="s">
        <v>95</v>
      </c>
      <c r="F2402" s="6" t="s">
        <v>95</v>
      </c>
      <c r="G2402" s="26" t="n">
        <v>46031</v>
      </c>
      <c r="H2402" s="6" t="s">
        <v>78</v>
      </c>
      <c r="I2402" s="26" t="n">
        <f aca="false">_xlfn.MINIFS(Transaction!$C$2:$C$8421,Transaction!$B$2:$B$8421,A2402)</f>
        <v>46082</v>
      </c>
      <c r="J2402" s="26" t="n">
        <f aca="false">_xlfn.MAXIFS(Transaction!$C$2:$C$8421,Transaction!$B$2:$B$8421,A2402)</f>
        <v>46082</v>
      </c>
      <c r="K2402" s="6" t="n">
        <f aca="false">COUNTIF(Transaction!$B$2:$B$8421,A2402)</f>
        <v>1</v>
      </c>
      <c r="L2402" s="10" t="n">
        <f aca="false">SUMIF(Transaction!$B$2:$B$8421,A2402,Transaction!$H$2:$H$8421)</f>
        <v>2229</v>
      </c>
      <c r="M2402" s="6" t="n">
        <f aca="false">Summary!$B$3-J2402</f>
        <v>184</v>
      </c>
      <c r="N2402" s="6" t="str">
        <f aca="false">IF(K2402&gt;1,"Yes","No")</f>
        <v>No</v>
      </c>
      <c r="O2402" s="6" t="s">
        <v>49</v>
      </c>
    </row>
    <row r="2403" customFormat="false" ht="15" hidden="false" customHeight="false" outlineLevel="0" collapsed="false">
      <c r="A2403" s="6" t="s">
        <v>4915</v>
      </c>
      <c r="B2403" s="6" t="s">
        <v>4916</v>
      </c>
      <c r="C2403" s="6" t="s">
        <v>75</v>
      </c>
      <c r="D2403" s="6" t="n">
        <v>36</v>
      </c>
      <c r="E2403" s="6" t="s">
        <v>430</v>
      </c>
      <c r="F2403" s="6" t="s">
        <v>99</v>
      </c>
      <c r="G2403" s="26" t="n">
        <v>46040</v>
      </c>
      <c r="H2403" s="6" t="s">
        <v>78</v>
      </c>
      <c r="I2403" s="26" t="n">
        <f aca="false">_xlfn.MINIFS(Transaction!$C$2:$C$8421,Transaction!$B$2:$B$8421,A2403)</f>
        <v>46071</v>
      </c>
      <c r="J2403" s="26" t="n">
        <f aca="false">_xlfn.MAXIFS(Transaction!$C$2:$C$8421,Transaction!$B$2:$B$8421,A2403)</f>
        <v>46071</v>
      </c>
      <c r="K2403" s="6" t="n">
        <f aca="false">COUNTIF(Transaction!$B$2:$B$8421,A2403)</f>
        <v>1</v>
      </c>
      <c r="L2403" s="10" t="n">
        <f aca="false">SUMIF(Transaction!$B$2:$B$8421,A2403,Transaction!$H$2:$H$8421)</f>
        <v>977</v>
      </c>
      <c r="M2403" s="6" t="n">
        <f aca="false">Summary!$B$3-J2403</f>
        <v>195</v>
      </c>
      <c r="N2403" s="6" t="str">
        <f aca="false">IF(K2403&gt;1,"Yes","No")</f>
        <v>No</v>
      </c>
      <c r="O2403" s="6" t="s">
        <v>49</v>
      </c>
    </row>
    <row r="2404" customFormat="false" ht="15" hidden="false" customHeight="false" outlineLevel="0" collapsed="false">
      <c r="A2404" s="6" t="s">
        <v>4917</v>
      </c>
      <c r="B2404" s="6" t="s">
        <v>4918</v>
      </c>
      <c r="C2404" s="6" t="s">
        <v>75</v>
      </c>
      <c r="D2404" s="6" t="n">
        <v>39</v>
      </c>
      <c r="E2404" s="6" t="s">
        <v>105</v>
      </c>
      <c r="F2404" s="6" t="s">
        <v>106</v>
      </c>
      <c r="G2404" s="26" t="n">
        <v>46083</v>
      </c>
      <c r="H2404" s="6" t="s">
        <v>123</v>
      </c>
      <c r="I2404" s="26" t="n">
        <f aca="false">_xlfn.MINIFS(Transaction!$C$2:$C$8421,Transaction!$B$2:$B$8421,A2404)</f>
        <v>46171</v>
      </c>
      <c r="J2404" s="26" t="n">
        <f aca="false">_xlfn.MAXIFS(Transaction!$C$2:$C$8421,Transaction!$B$2:$B$8421,A2404)</f>
        <v>46171</v>
      </c>
      <c r="K2404" s="6" t="n">
        <f aca="false">COUNTIF(Transaction!$B$2:$B$8421,A2404)</f>
        <v>1</v>
      </c>
      <c r="L2404" s="10" t="n">
        <f aca="false">SUMIF(Transaction!$B$2:$B$8421,A2404,Transaction!$H$2:$H$8421)</f>
        <v>2935</v>
      </c>
      <c r="M2404" s="6" t="n">
        <f aca="false">Summary!$B$3-J2404</f>
        <v>95</v>
      </c>
      <c r="N2404" s="6" t="str">
        <f aca="false">IF(K2404&gt;1,"Yes","No")</f>
        <v>No</v>
      </c>
      <c r="O2404" s="6" t="s">
        <v>48</v>
      </c>
    </row>
    <row r="2405" customFormat="false" ht="15" hidden="false" customHeight="false" outlineLevel="0" collapsed="false">
      <c r="A2405" s="6" t="s">
        <v>4919</v>
      </c>
      <c r="B2405" s="6" t="s">
        <v>4920</v>
      </c>
      <c r="C2405" s="6" t="s">
        <v>75</v>
      </c>
      <c r="D2405" s="6" t="n">
        <v>34</v>
      </c>
      <c r="E2405" s="6" t="s">
        <v>105</v>
      </c>
      <c r="F2405" s="6" t="s">
        <v>106</v>
      </c>
      <c r="G2405" s="26" t="n">
        <v>46012</v>
      </c>
      <c r="H2405" s="6" t="s">
        <v>78</v>
      </c>
      <c r="I2405" s="26" t="n">
        <f aca="false">_xlfn.MINIFS(Transaction!$C$2:$C$8421,Transaction!$B$2:$B$8421,A2405)</f>
        <v>46031</v>
      </c>
      <c r="J2405" s="26" t="n">
        <f aca="false">_xlfn.MAXIFS(Transaction!$C$2:$C$8421,Transaction!$B$2:$B$8421,A2405)</f>
        <v>46220</v>
      </c>
      <c r="K2405" s="6" t="n">
        <f aca="false">COUNTIF(Transaction!$B$2:$B$8421,A2405)</f>
        <v>6</v>
      </c>
      <c r="L2405" s="10" t="n">
        <f aca="false">SUMIF(Transaction!$B$2:$B$8421,A2405,Transaction!$H$2:$H$8421)</f>
        <v>9543</v>
      </c>
      <c r="M2405" s="6" t="n">
        <f aca="false">Summary!$B$3-J2405</f>
        <v>46</v>
      </c>
      <c r="N2405" s="6" t="str">
        <f aca="false">IF(K2405&gt;1,"Yes","No")</f>
        <v>Yes</v>
      </c>
      <c r="O2405" s="6" t="s">
        <v>46</v>
      </c>
    </row>
    <row r="2406" customFormat="false" ht="15" hidden="false" customHeight="false" outlineLevel="0" collapsed="false">
      <c r="A2406" s="6" t="s">
        <v>4921</v>
      </c>
      <c r="B2406" s="6" t="s">
        <v>4922</v>
      </c>
      <c r="C2406" s="6" t="s">
        <v>75</v>
      </c>
      <c r="D2406" s="6" t="n">
        <v>29</v>
      </c>
      <c r="E2406" s="6" t="s">
        <v>86</v>
      </c>
      <c r="F2406" s="6" t="s">
        <v>87</v>
      </c>
      <c r="G2406" s="26" t="n">
        <v>46032</v>
      </c>
      <c r="H2406" s="6" t="s">
        <v>78</v>
      </c>
      <c r="I2406" s="26" t="n">
        <f aca="false">_xlfn.MINIFS(Transaction!$C$2:$C$8421,Transaction!$B$2:$B$8421,A2406)</f>
        <v>46111</v>
      </c>
      <c r="J2406" s="26" t="n">
        <f aca="false">_xlfn.MAXIFS(Transaction!$C$2:$C$8421,Transaction!$B$2:$B$8421,A2406)</f>
        <v>46195</v>
      </c>
      <c r="K2406" s="6" t="n">
        <f aca="false">COUNTIF(Transaction!$B$2:$B$8421,A2406)</f>
        <v>4</v>
      </c>
      <c r="L2406" s="10" t="n">
        <f aca="false">SUMIF(Transaction!$B$2:$B$8421,A2406,Transaction!$H$2:$H$8421)</f>
        <v>9574</v>
      </c>
      <c r="M2406" s="6" t="n">
        <f aca="false">Summary!$B$3-J2406</f>
        <v>71</v>
      </c>
      <c r="N2406" s="6" t="str">
        <f aca="false">IF(K2406&gt;1,"Yes","No")</f>
        <v>Yes</v>
      </c>
      <c r="O2406" s="6" t="s">
        <v>46</v>
      </c>
    </row>
    <row r="2407" customFormat="false" ht="15" hidden="false" customHeight="false" outlineLevel="0" collapsed="false">
      <c r="A2407" s="6" t="s">
        <v>4923</v>
      </c>
      <c r="B2407" s="6" t="s">
        <v>4924</v>
      </c>
      <c r="C2407" s="6" t="s">
        <v>75</v>
      </c>
      <c r="D2407" s="6" t="n">
        <v>27</v>
      </c>
      <c r="E2407" s="6" t="s">
        <v>321</v>
      </c>
      <c r="F2407" s="6" t="s">
        <v>321</v>
      </c>
      <c r="G2407" s="26" t="n">
        <v>46043</v>
      </c>
      <c r="H2407" s="6" t="s">
        <v>78</v>
      </c>
      <c r="I2407" s="26" t="n">
        <f aca="false">_xlfn.MINIFS(Transaction!$C$2:$C$8421,Transaction!$B$2:$B$8421,A2407)</f>
        <v>46080</v>
      </c>
      <c r="J2407" s="26" t="n">
        <f aca="false">_xlfn.MAXIFS(Transaction!$C$2:$C$8421,Transaction!$B$2:$B$8421,A2407)</f>
        <v>46080</v>
      </c>
      <c r="K2407" s="6" t="n">
        <f aca="false">COUNTIF(Transaction!$B$2:$B$8421,A2407)</f>
        <v>1</v>
      </c>
      <c r="L2407" s="10" t="n">
        <f aca="false">SUMIF(Transaction!$B$2:$B$8421,A2407,Transaction!$H$2:$H$8421)</f>
        <v>1080</v>
      </c>
      <c r="M2407" s="6" t="n">
        <f aca="false">Summary!$B$3-J2407</f>
        <v>186</v>
      </c>
      <c r="N2407" s="6" t="str">
        <f aca="false">IF(K2407&gt;1,"Yes","No")</f>
        <v>No</v>
      </c>
      <c r="O2407" s="6" t="s">
        <v>49</v>
      </c>
    </row>
    <row r="2408" customFormat="false" ht="15" hidden="false" customHeight="false" outlineLevel="0" collapsed="false">
      <c r="A2408" s="6" t="s">
        <v>4925</v>
      </c>
      <c r="B2408" s="6" t="s">
        <v>4926</v>
      </c>
      <c r="C2408" s="6" t="s">
        <v>75</v>
      </c>
      <c r="D2408" s="6" t="n">
        <v>22</v>
      </c>
      <c r="E2408" s="6" t="s">
        <v>121</v>
      </c>
      <c r="F2408" s="6" t="s">
        <v>122</v>
      </c>
      <c r="G2408" s="26" t="n">
        <v>46065</v>
      </c>
      <c r="H2408" s="6" t="s">
        <v>102</v>
      </c>
      <c r="I2408" s="26" t="n">
        <f aca="false">_xlfn.MINIFS(Transaction!$C$2:$C$8421,Transaction!$B$2:$B$8421,A2408)</f>
        <v>46113</v>
      </c>
      <c r="J2408" s="26" t="n">
        <f aca="false">_xlfn.MAXIFS(Transaction!$C$2:$C$8421,Transaction!$B$2:$B$8421,A2408)</f>
        <v>46244</v>
      </c>
      <c r="K2408" s="6" t="n">
        <f aca="false">COUNTIF(Transaction!$B$2:$B$8421,A2408)</f>
        <v>4</v>
      </c>
      <c r="L2408" s="10" t="n">
        <f aca="false">SUMIF(Transaction!$B$2:$B$8421,A2408,Transaction!$H$2:$H$8421)</f>
        <v>6337</v>
      </c>
      <c r="M2408" s="6" t="n">
        <f aca="false">Summary!$B$3-J2408</f>
        <v>22</v>
      </c>
      <c r="N2408" s="6" t="str">
        <f aca="false">IF(K2408&gt;1,"Yes","No")</f>
        <v>Yes</v>
      </c>
      <c r="O2408" s="6" t="s">
        <v>46</v>
      </c>
    </row>
    <row r="2409" customFormat="false" ht="15" hidden="false" customHeight="false" outlineLevel="0" collapsed="false">
      <c r="A2409" s="6" t="s">
        <v>4927</v>
      </c>
      <c r="B2409" s="6" t="s">
        <v>4928</v>
      </c>
      <c r="C2409" s="6" t="s">
        <v>75</v>
      </c>
      <c r="D2409" s="6" t="n">
        <v>22</v>
      </c>
      <c r="E2409" s="6" t="s">
        <v>134</v>
      </c>
      <c r="F2409" s="6" t="s">
        <v>135</v>
      </c>
      <c r="G2409" s="26" t="n">
        <v>46219</v>
      </c>
      <c r="H2409" s="6" t="s">
        <v>115</v>
      </c>
      <c r="I2409" s="26" t="n">
        <f aca="false">_xlfn.MINIFS(Transaction!$C$2:$C$8421,Transaction!$B$2:$B$8421,A2409)</f>
        <v>46265</v>
      </c>
      <c r="J2409" s="26" t="n">
        <f aca="false">_xlfn.MAXIFS(Transaction!$C$2:$C$8421,Transaction!$B$2:$B$8421,A2409)</f>
        <v>46265</v>
      </c>
      <c r="K2409" s="6" t="n">
        <f aca="false">COUNTIF(Transaction!$B$2:$B$8421,A2409)</f>
        <v>1</v>
      </c>
      <c r="L2409" s="10" t="n">
        <f aca="false">SUMIF(Transaction!$B$2:$B$8421,A2409,Transaction!$H$2:$H$8421)</f>
        <v>2932</v>
      </c>
      <c r="M2409" s="6" t="n">
        <f aca="false">Summary!$B$3-J2409</f>
        <v>1</v>
      </c>
      <c r="N2409" s="6" t="str">
        <f aca="false">IF(K2409&gt;1,"Yes","No")</f>
        <v>No</v>
      </c>
      <c r="O2409" s="6" t="s">
        <v>47</v>
      </c>
    </row>
    <row r="2410" customFormat="false" ht="15" hidden="false" customHeight="false" outlineLevel="0" collapsed="false">
      <c r="A2410" s="6" t="s">
        <v>4929</v>
      </c>
      <c r="B2410" s="6" t="s">
        <v>4930</v>
      </c>
      <c r="C2410" s="6" t="s">
        <v>75</v>
      </c>
      <c r="D2410" s="6" t="n">
        <v>39</v>
      </c>
      <c r="E2410" s="6" t="s">
        <v>430</v>
      </c>
      <c r="F2410" s="6" t="s">
        <v>99</v>
      </c>
      <c r="G2410" s="26" t="n">
        <v>46178</v>
      </c>
      <c r="H2410" s="6" t="s">
        <v>78</v>
      </c>
      <c r="I2410" s="26" t="n">
        <f aca="false">_xlfn.MINIFS(Transaction!$C$2:$C$8421,Transaction!$B$2:$B$8421,A2410)</f>
        <v>46186</v>
      </c>
      <c r="J2410" s="26" t="n">
        <f aca="false">_xlfn.MAXIFS(Transaction!$C$2:$C$8421,Transaction!$B$2:$B$8421,A2410)</f>
        <v>46186</v>
      </c>
      <c r="K2410" s="6" t="n">
        <f aca="false">COUNTIF(Transaction!$B$2:$B$8421,A2410)</f>
        <v>1</v>
      </c>
      <c r="L2410" s="10" t="n">
        <f aca="false">SUMIF(Transaction!$B$2:$B$8421,A2410,Transaction!$H$2:$H$8421)</f>
        <v>534</v>
      </c>
      <c r="M2410" s="6" t="n">
        <f aca="false">Summary!$B$3-J2410</f>
        <v>80</v>
      </c>
      <c r="N2410" s="6" t="str">
        <f aca="false">IF(K2410&gt;1,"Yes","No")</f>
        <v>No</v>
      </c>
      <c r="O2410" s="6" t="s">
        <v>47</v>
      </c>
    </row>
    <row r="2411" customFormat="false" ht="15" hidden="false" customHeight="false" outlineLevel="0" collapsed="false">
      <c r="A2411" s="6" t="s">
        <v>4931</v>
      </c>
      <c r="B2411" s="6" t="s">
        <v>4932</v>
      </c>
      <c r="C2411" s="6" t="s">
        <v>85</v>
      </c>
      <c r="D2411" s="6" t="n">
        <v>33</v>
      </c>
      <c r="E2411" s="6" t="s">
        <v>95</v>
      </c>
      <c r="F2411" s="6" t="s">
        <v>95</v>
      </c>
      <c r="G2411" s="26" t="n">
        <v>46032</v>
      </c>
      <c r="H2411" s="6" t="s">
        <v>78</v>
      </c>
      <c r="I2411" s="26" t="n">
        <f aca="false">_xlfn.MINIFS(Transaction!$C$2:$C$8421,Transaction!$B$2:$B$8421,A2411)</f>
        <v>46045</v>
      </c>
      <c r="J2411" s="26" t="n">
        <f aca="false">_xlfn.MAXIFS(Transaction!$C$2:$C$8421,Transaction!$B$2:$B$8421,A2411)</f>
        <v>46045</v>
      </c>
      <c r="K2411" s="6" t="n">
        <f aca="false">COUNTIF(Transaction!$B$2:$B$8421,A2411)</f>
        <v>1</v>
      </c>
      <c r="L2411" s="10" t="n">
        <f aca="false">SUMIF(Transaction!$B$2:$B$8421,A2411,Transaction!$H$2:$H$8421)</f>
        <v>559</v>
      </c>
      <c r="M2411" s="6" t="n">
        <f aca="false">Summary!$B$3-J2411</f>
        <v>221</v>
      </c>
      <c r="N2411" s="6" t="str">
        <f aca="false">IF(K2411&gt;1,"Yes","No")</f>
        <v>No</v>
      </c>
      <c r="O2411" s="6" t="s">
        <v>49</v>
      </c>
    </row>
    <row r="2412" customFormat="false" ht="15" hidden="false" customHeight="false" outlineLevel="0" collapsed="false">
      <c r="A2412" s="6" t="s">
        <v>4933</v>
      </c>
      <c r="B2412" s="6" t="s">
        <v>4934</v>
      </c>
      <c r="C2412" s="6" t="s">
        <v>75</v>
      </c>
      <c r="D2412" s="6" t="n">
        <v>18</v>
      </c>
      <c r="E2412" s="6" t="s">
        <v>180</v>
      </c>
      <c r="F2412" s="6" t="s">
        <v>181</v>
      </c>
      <c r="G2412" s="26" t="n">
        <v>46032</v>
      </c>
      <c r="H2412" s="6" t="s">
        <v>115</v>
      </c>
      <c r="I2412" s="26" t="n">
        <f aca="false">_xlfn.MINIFS(Transaction!$C$2:$C$8421,Transaction!$B$2:$B$8421,A2412)</f>
        <v>46075</v>
      </c>
      <c r="J2412" s="26" t="n">
        <f aca="false">_xlfn.MAXIFS(Transaction!$C$2:$C$8421,Transaction!$B$2:$B$8421,A2412)</f>
        <v>46241</v>
      </c>
      <c r="K2412" s="6" t="n">
        <f aca="false">COUNTIF(Transaction!$B$2:$B$8421,A2412)</f>
        <v>3</v>
      </c>
      <c r="L2412" s="10" t="n">
        <f aca="false">SUMIF(Transaction!$B$2:$B$8421,A2412,Transaction!$H$2:$H$8421)</f>
        <v>4882</v>
      </c>
      <c r="M2412" s="6" t="n">
        <f aca="false">Summary!$B$3-J2412</f>
        <v>25</v>
      </c>
      <c r="N2412" s="6" t="str">
        <f aca="false">IF(K2412&gt;1,"Yes","No")</f>
        <v>Yes</v>
      </c>
      <c r="O2412" s="6" t="s">
        <v>46</v>
      </c>
    </row>
    <row r="2413" customFormat="false" ht="15" hidden="false" customHeight="false" outlineLevel="0" collapsed="false">
      <c r="A2413" s="6" t="s">
        <v>4935</v>
      </c>
      <c r="B2413" s="6" t="s">
        <v>4936</v>
      </c>
      <c r="C2413" s="6" t="s">
        <v>85</v>
      </c>
      <c r="D2413" s="6" t="n">
        <v>38</v>
      </c>
      <c r="E2413" s="6" t="s">
        <v>86</v>
      </c>
      <c r="F2413" s="6" t="s">
        <v>87</v>
      </c>
      <c r="G2413" s="26" t="n">
        <v>45999</v>
      </c>
      <c r="H2413" s="6" t="s">
        <v>115</v>
      </c>
      <c r="I2413" s="26" t="n">
        <f aca="false">_xlfn.MINIFS(Transaction!$C$2:$C$8421,Transaction!$B$2:$B$8421,A2413)</f>
        <v>46058</v>
      </c>
      <c r="J2413" s="26" t="n">
        <f aca="false">_xlfn.MAXIFS(Transaction!$C$2:$C$8421,Transaction!$B$2:$B$8421,A2413)</f>
        <v>46242</v>
      </c>
      <c r="K2413" s="6" t="n">
        <f aca="false">COUNTIF(Transaction!$B$2:$B$8421,A2413)</f>
        <v>8</v>
      </c>
      <c r="L2413" s="10" t="n">
        <f aca="false">SUMIF(Transaction!$B$2:$B$8421,A2413,Transaction!$H$2:$H$8421)</f>
        <v>8946</v>
      </c>
      <c r="M2413" s="6" t="n">
        <f aca="false">Summary!$B$3-J2413</f>
        <v>24</v>
      </c>
      <c r="N2413" s="6" t="str">
        <f aca="false">IF(K2413&gt;1,"Yes","No")</f>
        <v>Yes</v>
      </c>
      <c r="O2413" s="6" t="s">
        <v>45</v>
      </c>
    </row>
    <row r="2414" customFormat="false" ht="15" hidden="false" customHeight="false" outlineLevel="0" collapsed="false">
      <c r="A2414" s="6" t="s">
        <v>4937</v>
      </c>
      <c r="B2414" s="6" t="s">
        <v>4938</v>
      </c>
      <c r="C2414" s="6" t="s">
        <v>85</v>
      </c>
      <c r="D2414" s="6" t="n">
        <v>26</v>
      </c>
      <c r="E2414" s="6" t="s">
        <v>76</v>
      </c>
      <c r="F2414" s="6" t="s">
        <v>77</v>
      </c>
      <c r="G2414" s="26" t="n">
        <v>45945</v>
      </c>
      <c r="H2414" s="6" t="s">
        <v>115</v>
      </c>
      <c r="I2414" s="26" t="n">
        <f aca="false">_xlfn.MINIFS(Transaction!$C$2:$C$8421,Transaction!$B$2:$B$8421,A2414)</f>
        <v>46034</v>
      </c>
      <c r="J2414" s="26" t="n">
        <f aca="false">_xlfn.MAXIFS(Transaction!$C$2:$C$8421,Transaction!$B$2:$B$8421,A2414)</f>
        <v>46196</v>
      </c>
      <c r="K2414" s="6" t="n">
        <f aca="false">COUNTIF(Transaction!$B$2:$B$8421,A2414)</f>
        <v>5</v>
      </c>
      <c r="L2414" s="10" t="n">
        <f aca="false">SUMIF(Transaction!$B$2:$B$8421,A2414,Transaction!$H$2:$H$8421)</f>
        <v>4457</v>
      </c>
      <c r="M2414" s="6" t="n">
        <f aca="false">Summary!$B$3-J2414</f>
        <v>70</v>
      </c>
      <c r="N2414" s="6" t="str">
        <f aca="false">IF(K2414&gt;1,"Yes","No")</f>
        <v>Yes</v>
      </c>
      <c r="O2414" s="6" t="s">
        <v>46</v>
      </c>
    </row>
    <row r="2415" customFormat="false" ht="15" hidden="false" customHeight="false" outlineLevel="0" collapsed="false">
      <c r="A2415" s="6" t="s">
        <v>4939</v>
      </c>
      <c r="B2415" s="6" t="s">
        <v>4940</v>
      </c>
      <c r="C2415" s="6" t="s">
        <v>75</v>
      </c>
      <c r="D2415" s="6" t="n">
        <v>38</v>
      </c>
      <c r="E2415" s="6" t="s">
        <v>76</v>
      </c>
      <c r="F2415" s="6" t="s">
        <v>77</v>
      </c>
      <c r="G2415" s="26" t="n">
        <v>46179</v>
      </c>
      <c r="H2415" s="6" t="s">
        <v>123</v>
      </c>
      <c r="I2415" s="26" t="n">
        <f aca="false">_xlfn.MINIFS(Transaction!$C$2:$C$8421,Transaction!$B$2:$B$8421,A2415)</f>
        <v>46243</v>
      </c>
      <c r="J2415" s="26" t="n">
        <f aca="false">_xlfn.MAXIFS(Transaction!$C$2:$C$8421,Transaction!$B$2:$B$8421,A2415)</f>
        <v>46243</v>
      </c>
      <c r="K2415" s="6" t="n">
        <f aca="false">COUNTIF(Transaction!$B$2:$B$8421,A2415)</f>
        <v>1</v>
      </c>
      <c r="L2415" s="10" t="n">
        <f aca="false">SUMIF(Transaction!$B$2:$B$8421,A2415,Transaction!$H$2:$H$8421)</f>
        <v>2346</v>
      </c>
      <c r="M2415" s="6" t="n">
        <f aca="false">Summary!$B$3-J2415</f>
        <v>23</v>
      </c>
      <c r="N2415" s="6" t="str">
        <f aca="false">IF(K2415&gt;1,"Yes","No")</f>
        <v>No</v>
      </c>
      <c r="O2415" s="6" t="s">
        <v>47</v>
      </c>
    </row>
    <row r="2416" customFormat="false" ht="15" hidden="false" customHeight="false" outlineLevel="0" collapsed="false">
      <c r="A2416" s="6" t="s">
        <v>4941</v>
      </c>
      <c r="B2416" s="6" t="s">
        <v>4942</v>
      </c>
      <c r="C2416" s="6" t="s">
        <v>85</v>
      </c>
      <c r="D2416" s="6" t="n">
        <v>36</v>
      </c>
      <c r="E2416" s="6" t="s">
        <v>95</v>
      </c>
      <c r="F2416" s="6" t="s">
        <v>95</v>
      </c>
      <c r="G2416" s="26" t="n">
        <v>46145</v>
      </c>
      <c r="H2416" s="6" t="s">
        <v>123</v>
      </c>
      <c r="I2416" s="26" t="n">
        <f aca="false">_xlfn.MINIFS(Transaction!$C$2:$C$8421,Transaction!$B$2:$B$8421,A2416)</f>
        <v>46190</v>
      </c>
      <c r="J2416" s="26" t="n">
        <f aca="false">_xlfn.MAXIFS(Transaction!$C$2:$C$8421,Transaction!$B$2:$B$8421,A2416)</f>
        <v>46190</v>
      </c>
      <c r="K2416" s="6" t="n">
        <f aca="false">COUNTIF(Transaction!$B$2:$B$8421,A2416)</f>
        <v>1</v>
      </c>
      <c r="L2416" s="10" t="n">
        <f aca="false">SUMIF(Transaction!$B$2:$B$8421,A2416,Transaction!$H$2:$H$8421)</f>
        <v>4280</v>
      </c>
      <c r="M2416" s="6" t="n">
        <f aca="false">Summary!$B$3-J2416</f>
        <v>76</v>
      </c>
      <c r="N2416" s="6" t="str">
        <f aca="false">IF(K2416&gt;1,"Yes","No")</f>
        <v>No</v>
      </c>
      <c r="O2416" s="6" t="s">
        <v>47</v>
      </c>
    </row>
    <row r="2417" customFormat="false" ht="15" hidden="false" customHeight="false" outlineLevel="0" collapsed="false">
      <c r="A2417" s="6" t="s">
        <v>4943</v>
      </c>
      <c r="B2417" s="6" t="s">
        <v>4944</v>
      </c>
      <c r="C2417" s="6" t="s">
        <v>75</v>
      </c>
      <c r="D2417" s="6" t="n">
        <v>43</v>
      </c>
      <c r="E2417" s="6" t="s">
        <v>81</v>
      </c>
      <c r="F2417" s="6" t="s">
        <v>82</v>
      </c>
      <c r="G2417" s="26" t="n">
        <v>45967</v>
      </c>
      <c r="H2417" s="6" t="s">
        <v>115</v>
      </c>
      <c r="I2417" s="26" t="n">
        <f aca="false">_xlfn.MINIFS(Transaction!$C$2:$C$8421,Transaction!$B$2:$B$8421,A2417)</f>
        <v>46046</v>
      </c>
      <c r="J2417" s="26" t="n">
        <f aca="false">_xlfn.MAXIFS(Transaction!$C$2:$C$8421,Transaction!$B$2:$B$8421,A2417)</f>
        <v>46219</v>
      </c>
      <c r="K2417" s="6" t="n">
        <f aca="false">COUNTIF(Transaction!$B$2:$B$8421,A2417)</f>
        <v>5</v>
      </c>
      <c r="L2417" s="10" t="n">
        <f aca="false">SUMIF(Transaction!$B$2:$B$8421,A2417,Transaction!$H$2:$H$8421)</f>
        <v>5639</v>
      </c>
      <c r="M2417" s="6" t="n">
        <f aca="false">Summary!$B$3-J2417</f>
        <v>47</v>
      </c>
      <c r="N2417" s="6" t="str">
        <f aca="false">IF(K2417&gt;1,"Yes","No")</f>
        <v>Yes</v>
      </c>
      <c r="O2417" s="6" t="s">
        <v>46</v>
      </c>
    </row>
    <row r="2418" customFormat="false" ht="15" hidden="false" customHeight="false" outlineLevel="0" collapsed="false">
      <c r="A2418" s="6" t="s">
        <v>4945</v>
      </c>
      <c r="B2418" s="6" t="s">
        <v>4946</v>
      </c>
      <c r="C2418" s="6" t="s">
        <v>75</v>
      </c>
      <c r="D2418" s="6" t="n">
        <v>41</v>
      </c>
      <c r="E2418" s="6" t="s">
        <v>91</v>
      </c>
      <c r="F2418" s="6" t="s">
        <v>77</v>
      </c>
      <c r="G2418" s="26" t="n">
        <v>46122</v>
      </c>
      <c r="H2418" s="6" t="s">
        <v>123</v>
      </c>
      <c r="I2418" s="26" t="n">
        <f aca="false">_xlfn.MINIFS(Transaction!$C$2:$C$8421,Transaction!$B$2:$B$8421,A2418)</f>
        <v>46181</v>
      </c>
      <c r="J2418" s="26" t="n">
        <f aca="false">_xlfn.MAXIFS(Transaction!$C$2:$C$8421,Transaction!$B$2:$B$8421,A2418)</f>
        <v>46181</v>
      </c>
      <c r="K2418" s="6" t="n">
        <f aca="false">COUNTIF(Transaction!$B$2:$B$8421,A2418)</f>
        <v>1</v>
      </c>
      <c r="L2418" s="10" t="n">
        <f aca="false">SUMIF(Transaction!$B$2:$B$8421,A2418,Transaction!$H$2:$H$8421)</f>
        <v>2640</v>
      </c>
      <c r="M2418" s="6" t="n">
        <f aca="false">Summary!$B$3-J2418</f>
        <v>85</v>
      </c>
      <c r="N2418" s="6" t="str">
        <f aca="false">IF(K2418&gt;1,"Yes","No")</f>
        <v>No</v>
      </c>
      <c r="O2418" s="6" t="s">
        <v>47</v>
      </c>
    </row>
    <row r="2419" customFormat="false" ht="15" hidden="false" customHeight="false" outlineLevel="0" collapsed="false">
      <c r="A2419" s="6" t="s">
        <v>4947</v>
      </c>
      <c r="B2419" s="6" t="s">
        <v>4948</v>
      </c>
      <c r="C2419" s="6" t="s">
        <v>75</v>
      </c>
      <c r="D2419" s="6" t="n">
        <v>30</v>
      </c>
      <c r="E2419" s="6" t="s">
        <v>95</v>
      </c>
      <c r="F2419" s="6" t="s">
        <v>95</v>
      </c>
      <c r="G2419" s="26" t="n">
        <v>46043</v>
      </c>
      <c r="H2419" s="6" t="s">
        <v>78</v>
      </c>
      <c r="I2419" s="26" t="n">
        <f aca="false">_xlfn.MINIFS(Transaction!$C$2:$C$8421,Transaction!$B$2:$B$8421,A2419)</f>
        <v>46069</v>
      </c>
      <c r="J2419" s="26" t="n">
        <f aca="false">_xlfn.MAXIFS(Transaction!$C$2:$C$8421,Transaction!$B$2:$B$8421,A2419)</f>
        <v>46177</v>
      </c>
      <c r="K2419" s="6" t="n">
        <f aca="false">COUNTIF(Transaction!$B$2:$B$8421,A2419)</f>
        <v>2</v>
      </c>
      <c r="L2419" s="10" t="n">
        <f aca="false">SUMIF(Transaction!$B$2:$B$8421,A2419,Transaction!$H$2:$H$8421)</f>
        <v>2054</v>
      </c>
      <c r="M2419" s="6" t="n">
        <f aca="false">Summary!$B$3-J2419</f>
        <v>89</v>
      </c>
      <c r="N2419" s="6" t="str">
        <f aca="false">IF(K2419&gt;1,"Yes","No")</f>
        <v>Yes</v>
      </c>
      <c r="O2419" s="6" t="s">
        <v>46</v>
      </c>
    </row>
    <row r="2420" customFormat="false" ht="15" hidden="false" customHeight="false" outlineLevel="0" collapsed="false">
      <c r="A2420" s="6" t="s">
        <v>4949</v>
      </c>
      <c r="B2420" s="6" t="s">
        <v>4950</v>
      </c>
      <c r="C2420" s="6" t="s">
        <v>75</v>
      </c>
      <c r="D2420" s="6" t="n">
        <v>28</v>
      </c>
      <c r="E2420" s="6" t="s">
        <v>81</v>
      </c>
      <c r="F2420" s="6" t="s">
        <v>82</v>
      </c>
      <c r="G2420" s="26" t="n">
        <v>46072</v>
      </c>
      <c r="H2420" s="6" t="s">
        <v>78</v>
      </c>
      <c r="I2420" s="26" t="n">
        <f aca="false">_xlfn.MINIFS(Transaction!$C$2:$C$8421,Transaction!$B$2:$B$8421,A2420)</f>
        <v>46096</v>
      </c>
      <c r="J2420" s="26" t="n">
        <f aca="false">_xlfn.MAXIFS(Transaction!$C$2:$C$8421,Transaction!$B$2:$B$8421,A2420)</f>
        <v>46096</v>
      </c>
      <c r="K2420" s="6" t="n">
        <f aca="false">COUNTIF(Transaction!$B$2:$B$8421,A2420)</f>
        <v>1</v>
      </c>
      <c r="L2420" s="10" t="n">
        <f aca="false">SUMIF(Transaction!$B$2:$B$8421,A2420,Transaction!$H$2:$H$8421)</f>
        <v>1503</v>
      </c>
      <c r="M2420" s="6" t="n">
        <f aca="false">Summary!$B$3-J2420</f>
        <v>170</v>
      </c>
      <c r="N2420" s="6" t="str">
        <f aca="false">IF(K2420&gt;1,"Yes","No")</f>
        <v>No</v>
      </c>
      <c r="O2420" s="6" t="s">
        <v>49</v>
      </c>
    </row>
    <row r="2421" customFormat="false" ht="15" hidden="false" customHeight="false" outlineLevel="0" collapsed="false">
      <c r="A2421" s="6" t="s">
        <v>4951</v>
      </c>
      <c r="B2421" s="6" t="s">
        <v>4952</v>
      </c>
      <c r="C2421" s="6" t="s">
        <v>75</v>
      </c>
      <c r="D2421" s="6" t="n">
        <v>28</v>
      </c>
      <c r="E2421" s="6" t="s">
        <v>81</v>
      </c>
      <c r="F2421" s="6" t="s">
        <v>82</v>
      </c>
      <c r="G2421" s="26" t="n">
        <v>46004</v>
      </c>
      <c r="H2421" s="6" t="s">
        <v>78</v>
      </c>
      <c r="I2421" s="26" t="n">
        <f aca="false">_xlfn.MINIFS(Transaction!$C$2:$C$8421,Transaction!$B$2:$B$8421,A2421)</f>
        <v>46072</v>
      </c>
      <c r="J2421" s="26" t="n">
        <f aca="false">_xlfn.MAXIFS(Transaction!$C$2:$C$8421,Transaction!$B$2:$B$8421,A2421)</f>
        <v>46174</v>
      </c>
      <c r="K2421" s="6" t="n">
        <f aca="false">COUNTIF(Transaction!$B$2:$B$8421,A2421)</f>
        <v>5</v>
      </c>
      <c r="L2421" s="10" t="n">
        <f aca="false">SUMIF(Transaction!$B$2:$B$8421,A2421,Transaction!$H$2:$H$8421)</f>
        <v>7257</v>
      </c>
      <c r="M2421" s="6" t="n">
        <f aca="false">Summary!$B$3-J2421</f>
        <v>92</v>
      </c>
      <c r="N2421" s="6" t="str">
        <f aca="false">IF(K2421&gt;1,"Yes","No")</f>
        <v>Yes</v>
      </c>
      <c r="O2421" s="6" t="s">
        <v>46</v>
      </c>
    </row>
    <row r="2422" customFormat="false" ht="15" hidden="false" customHeight="false" outlineLevel="0" collapsed="false">
      <c r="A2422" s="6" t="s">
        <v>4953</v>
      </c>
      <c r="B2422" s="6" t="s">
        <v>4954</v>
      </c>
      <c r="C2422" s="6" t="s">
        <v>85</v>
      </c>
      <c r="D2422" s="6" t="n">
        <v>47</v>
      </c>
      <c r="E2422" s="6" t="s">
        <v>146</v>
      </c>
      <c r="F2422" s="6" t="s">
        <v>147</v>
      </c>
      <c r="G2422" s="26" t="n">
        <v>46072</v>
      </c>
      <c r="H2422" s="6" t="s">
        <v>123</v>
      </c>
      <c r="I2422" s="26" t="n">
        <f aca="false">_xlfn.MINIFS(Transaction!$C$2:$C$8421,Transaction!$B$2:$B$8421,A2422)</f>
        <v>46135</v>
      </c>
      <c r="J2422" s="26" t="n">
        <f aca="false">_xlfn.MAXIFS(Transaction!$C$2:$C$8421,Transaction!$B$2:$B$8421,A2422)</f>
        <v>46135</v>
      </c>
      <c r="K2422" s="6" t="n">
        <f aca="false">COUNTIF(Transaction!$B$2:$B$8421,A2422)</f>
        <v>1</v>
      </c>
      <c r="L2422" s="10" t="n">
        <f aca="false">SUMIF(Transaction!$B$2:$B$8421,A2422,Transaction!$H$2:$H$8421)</f>
        <v>1486</v>
      </c>
      <c r="M2422" s="6" t="n">
        <f aca="false">Summary!$B$3-J2422</f>
        <v>131</v>
      </c>
      <c r="N2422" s="6" t="str">
        <f aca="false">IF(K2422&gt;1,"Yes","No")</f>
        <v>No</v>
      </c>
      <c r="O2422" s="6" t="s">
        <v>48</v>
      </c>
    </row>
    <row r="2423" customFormat="false" ht="15" hidden="false" customHeight="false" outlineLevel="0" collapsed="false">
      <c r="A2423" s="6" t="s">
        <v>4955</v>
      </c>
      <c r="B2423" s="6" t="s">
        <v>4956</v>
      </c>
      <c r="C2423" s="6" t="s">
        <v>75</v>
      </c>
      <c r="D2423" s="6" t="n">
        <v>21</v>
      </c>
      <c r="E2423" s="6" t="s">
        <v>86</v>
      </c>
      <c r="F2423" s="6" t="s">
        <v>87</v>
      </c>
      <c r="G2423" s="26" t="n">
        <v>45997</v>
      </c>
      <c r="H2423" s="6" t="s">
        <v>78</v>
      </c>
      <c r="I2423" s="26" t="n">
        <f aca="false">_xlfn.MINIFS(Transaction!$C$2:$C$8421,Transaction!$B$2:$B$8421,A2423)</f>
        <v>46041</v>
      </c>
      <c r="J2423" s="26" t="n">
        <f aca="false">_xlfn.MAXIFS(Transaction!$C$2:$C$8421,Transaction!$B$2:$B$8421,A2423)</f>
        <v>46187</v>
      </c>
      <c r="K2423" s="6" t="n">
        <f aca="false">COUNTIF(Transaction!$B$2:$B$8421,A2423)</f>
        <v>5</v>
      </c>
      <c r="L2423" s="10" t="n">
        <f aca="false">SUMIF(Transaction!$B$2:$B$8421,A2423,Transaction!$H$2:$H$8421)</f>
        <v>11553</v>
      </c>
      <c r="M2423" s="6" t="n">
        <f aca="false">Summary!$B$3-J2423</f>
        <v>79</v>
      </c>
      <c r="N2423" s="6" t="str">
        <f aca="false">IF(K2423&gt;1,"Yes","No")</f>
        <v>Yes</v>
      </c>
      <c r="O2423" s="6" t="s">
        <v>46</v>
      </c>
    </row>
    <row r="2424" customFormat="false" ht="15" hidden="false" customHeight="false" outlineLevel="0" collapsed="false">
      <c r="A2424" s="6" t="s">
        <v>4957</v>
      </c>
      <c r="B2424" s="6" t="s">
        <v>4958</v>
      </c>
      <c r="C2424" s="6" t="s">
        <v>75</v>
      </c>
      <c r="D2424" s="6" t="n">
        <v>29</v>
      </c>
      <c r="E2424" s="6" t="s">
        <v>81</v>
      </c>
      <c r="F2424" s="6" t="s">
        <v>82</v>
      </c>
      <c r="G2424" s="26" t="n">
        <v>46174</v>
      </c>
      <c r="H2424" s="6" t="s">
        <v>78</v>
      </c>
      <c r="I2424" s="26" t="n">
        <f aca="false">_xlfn.MINIFS(Transaction!$C$2:$C$8421,Transaction!$B$2:$B$8421,A2424)</f>
        <v>46238</v>
      </c>
      <c r="J2424" s="26" t="n">
        <f aca="false">_xlfn.MAXIFS(Transaction!$C$2:$C$8421,Transaction!$B$2:$B$8421,A2424)</f>
        <v>46238</v>
      </c>
      <c r="K2424" s="6" t="n">
        <f aca="false">COUNTIF(Transaction!$B$2:$B$8421,A2424)</f>
        <v>1</v>
      </c>
      <c r="L2424" s="10" t="n">
        <f aca="false">SUMIF(Transaction!$B$2:$B$8421,A2424,Transaction!$H$2:$H$8421)</f>
        <v>976</v>
      </c>
      <c r="M2424" s="6" t="n">
        <f aca="false">Summary!$B$3-J2424</f>
        <v>28</v>
      </c>
      <c r="N2424" s="6" t="str">
        <f aca="false">IF(K2424&gt;1,"Yes","No")</f>
        <v>No</v>
      </c>
      <c r="O2424" s="6" t="s">
        <v>47</v>
      </c>
    </row>
    <row r="2425" customFormat="false" ht="15" hidden="false" customHeight="false" outlineLevel="0" collapsed="false">
      <c r="A2425" s="6" t="s">
        <v>4959</v>
      </c>
      <c r="B2425" s="6" t="s">
        <v>4960</v>
      </c>
      <c r="C2425" s="6" t="s">
        <v>85</v>
      </c>
      <c r="D2425" s="6" t="n">
        <v>38</v>
      </c>
      <c r="E2425" s="6" t="s">
        <v>91</v>
      </c>
      <c r="F2425" s="6" t="s">
        <v>77</v>
      </c>
      <c r="G2425" s="26" t="n">
        <v>46173</v>
      </c>
      <c r="H2425" s="6" t="s">
        <v>115</v>
      </c>
      <c r="I2425" s="26" t="n">
        <f aca="false">_xlfn.MINIFS(Transaction!$C$2:$C$8421,Transaction!$B$2:$B$8421,A2425)</f>
        <v>46240</v>
      </c>
      <c r="J2425" s="26" t="n">
        <f aca="false">_xlfn.MAXIFS(Transaction!$C$2:$C$8421,Transaction!$B$2:$B$8421,A2425)</f>
        <v>46240</v>
      </c>
      <c r="K2425" s="6" t="n">
        <f aca="false">COUNTIF(Transaction!$B$2:$B$8421,A2425)</f>
        <v>1</v>
      </c>
      <c r="L2425" s="10" t="n">
        <f aca="false">SUMIF(Transaction!$B$2:$B$8421,A2425,Transaction!$H$2:$H$8421)</f>
        <v>589</v>
      </c>
      <c r="M2425" s="6" t="n">
        <f aca="false">Summary!$B$3-J2425</f>
        <v>26</v>
      </c>
      <c r="N2425" s="6" t="str">
        <f aca="false">IF(K2425&gt;1,"Yes","No")</f>
        <v>No</v>
      </c>
      <c r="O2425" s="6" t="s">
        <v>47</v>
      </c>
    </row>
    <row r="2426" customFormat="false" ht="15" hidden="false" customHeight="false" outlineLevel="0" collapsed="false">
      <c r="A2426" s="6" t="s">
        <v>4961</v>
      </c>
      <c r="B2426" s="6" t="s">
        <v>4962</v>
      </c>
      <c r="C2426" s="6" t="s">
        <v>85</v>
      </c>
      <c r="D2426" s="6" t="n">
        <v>22</v>
      </c>
      <c r="E2426" s="6" t="s">
        <v>134</v>
      </c>
      <c r="F2426" s="6" t="s">
        <v>135</v>
      </c>
      <c r="G2426" s="26" t="n">
        <v>46033</v>
      </c>
      <c r="H2426" s="6" t="s">
        <v>123</v>
      </c>
      <c r="I2426" s="26" t="n">
        <f aca="false">_xlfn.MINIFS(Transaction!$C$2:$C$8421,Transaction!$B$2:$B$8421,A2426)</f>
        <v>46099</v>
      </c>
      <c r="J2426" s="26" t="n">
        <f aca="false">_xlfn.MAXIFS(Transaction!$C$2:$C$8421,Transaction!$B$2:$B$8421,A2426)</f>
        <v>46252</v>
      </c>
      <c r="K2426" s="6" t="n">
        <f aca="false">COUNTIF(Transaction!$B$2:$B$8421,A2426)</f>
        <v>4</v>
      </c>
      <c r="L2426" s="10" t="n">
        <f aca="false">SUMIF(Transaction!$B$2:$B$8421,A2426,Transaction!$H$2:$H$8421)</f>
        <v>10391</v>
      </c>
      <c r="M2426" s="6" t="n">
        <f aca="false">Summary!$B$3-J2426</f>
        <v>14</v>
      </c>
      <c r="N2426" s="6" t="str">
        <f aca="false">IF(K2426&gt;1,"Yes","No")</f>
        <v>Yes</v>
      </c>
      <c r="O2426" s="6" t="s">
        <v>46</v>
      </c>
    </row>
    <row r="2427" customFormat="false" ht="15" hidden="false" customHeight="false" outlineLevel="0" collapsed="false">
      <c r="A2427" s="6" t="s">
        <v>4963</v>
      </c>
      <c r="B2427" s="6" t="s">
        <v>4964</v>
      </c>
      <c r="C2427" s="6" t="s">
        <v>85</v>
      </c>
      <c r="D2427" s="6" t="n">
        <v>24</v>
      </c>
      <c r="E2427" s="6" t="s">
        <v>98</v>
      </c>
      <c r="F2427" s="6" t="s">
        <v>99</v>
      </c>
      <c r="G2427" s="26" t="n">
        <v>46096</v>
      </c>
      <c r="H2427" s="6" t="s">
        <v>92</v>
      </c>
      <c r="I2427" s="26" t="n">
        <f aca="false">_xlfn.MINIFS(Transaction!$C$2:$C$8421,Transaction!$B$2:$B$8421,A2427)</f>
        <v>46179</v>
      </c>
      <c r="J2427" s="26" t="n">
        <f aca="false">_xlfn.MAXIFS(Transaction!$C$2:$C$8421,Transaction!$B$2:$B$8421,A2427)</f>
        <v>46179</v>
      </c>
      <c r="K2427" s="6" t="n">
        <f aca="false">COUNTIF(Transaction!$B$2:$B$8421,A2427)</f>
        <v>1</v>
      </c>
      <c r="L2427" s="10" t="n">
        <f aca="false">SUMIF(Transaction!$B$2:$B$8421,A2427,Transaction!$H$2:$H$8421)</f>
        <v>782</v>
      </c>
      <c r="M2427" s="6" t="n">
        <f aca="false">Summary!$B$3-J2427</f>
        <v>87</v>
      </c>
      <c r="N2427" s="6" t="str">
        <f aca="false">IF(K2427&gt;1,"Yes","No")</f>
        <v>No</v>
      </c>
      <c r="O2427" s="6" t="s">
        <v>47</v>
      </c>
    </row>
    <row r="2428" customFormat="false" ht="15" hidden="false" customHeight="false" outlineLevel="0" collapsed="false">
      <c r="A2428" s="6" t="s">
        <v>4965</v>
      </c>
      <c r="B2428" s="6" t="s">
        <v>4966</v>
      </c>
      <c r="C2428" s="6" t="s">
        <v>85</v>
      </c>
      <c r="D2428" s="6" t="n">
        <v>20</v>
      </c>
      <c r="E2428" s="6" t="s">
        <v>98</v>
      </c>
      <c r="F2428" s="6" t="s">
        <v>99</v>
      </c>
      <c r="G2428" s="26" t="n">
        <v>46018</v>
      </c>
      <c r="H2428" s="6" t="s">
        <v>78</v>
      </c>
      <c r="I2428" s="26" t="n">
        <f aca="false">_xlfn.MINIFS(Transaction!$C$2:$C$8421,Transaction!$B$2:$B$8421,A2428)</f>
        <v>46088</v>
      </c>
      <c r="J2428" s="26" t="n">
        <f aca="false">_xlfn.MAXIFS(Transaction!$C$2:$C$8421,Transaction!$B$2:$B$8421,A2428)</f>
        <v>46195</v>
      </c>
      <c r="K2428" s="6" t="n">
        <f aca="false">COUNTIF(Transaction!$B$2:$B$8421,A2428)</f>
        <v>5</v>
      </c>
      <c r="L2428" s="10" t="n">
        <f aca="false">SUMIF(Transaction!$B$2:$B$8421,A2428,Transaction!$H$2:$H$8421)</f>
        <v>9922</v>
      </c>
      <c r="M2428" s="6" t="n">
        <f aca="false">Summary!$B$3-J2428</f>
        <v>71</v>
      </c>
      <c r="N2428" s="6" t="str">
        <f aca="false">IF(K2428&gt;1,"Yes","No")</f>
        <v>Yes</v>
      </c>
      <c r="O2428" s="6" t="s">
        <v>46</v>
      </c>
    </row>
    <row r="2429" customFormat="false" ht="15" hidden="false" customHeight="false" outlineLevel="0" collapsed="false">
      <c r="A2429" s="6" t="s">
        <v>4967</v>
      </c>
      <c r="B2429" s="6" t="s">
        <v>4968</v>
      </c>
      <c r="C2429" s="6" t="s">
        <v>85</v>
      </c>
      <c r="D2429" s="6" t="n">
        <v>37</v>
      </c>
      <c r="E2429" s="6" t="s">
        <v>321</v>
      </c>
      <c r="F2429" s="6" t="s">
        <v>321</v>
      </c>
      <c r="G2429" s="26" t="n">
        <v>45978</v>
      </c>
      <c r="H2429" s="6" t="s">
        <v>123</v>
      </c>
      <c r="I2429" s="26" t="n">
        <f aca="false">_xlfn.MINIFS(Transaction!$C$2:$C$8421,Transaction!$B$2:$B$8421,A2429)</f>
        <v>46059</v>
      </c>
      <c r="J2429" s="26" t="n">
        <f aca="false">_xlfn.MAXIFS(Transaction!$C$2:$C$8421,Transaction!$B$2:$B$8421,A2429)</f>
        <v>46237</v>
      </c>
      <c r="K2429" s="6" t="n">
        <f aca="false">COUNTIF(Transaction!$B$2:$B$8421,A2429)</f>
        <v>5</v>
      </c>
      <c r="L2429" s="10" t="n">
        <f aca="false">SUMIF(Transaction!$B$2:$B$8421,A2429,Transaction!$H$2:$H$8421)</f>
        <v>21231</v>
      </c>
      <c r="M2429" s="6" t="n">
        <f aca="false">Summary!$B$3-J2429</f>
        <v>29</v>
      </c>
      <c r="N2429" s="6" t="str">
        <f aca="false">IF(K2429&gt;1,"Yes","No")</f>
        <v>Yes</v>
      </c>
      <c r="O2429" s="6" t="s">
        <v>46</v>
      </c>
    </row>
    <row r="2430" customFormat="false" ht="15" hidden="false" customHeight="false" outlineLevel="0" collapsed="false">
      <c r="A2430" s="6" t="s">
        <v>4969</v>
      </c>
      <c r="B2430" s="6" t="s">
        <v>4970</v>
      </c>
      <c r="C2430" s="6" t="s">
        <v>75</v>
      </c>
      <c r="D2430" s="6" t="n">
        <v>20</v>
      </c>
      <c r="E2430" s="6" t="s">
        <v>134</v>
      </c>
      <c r="F2430" s="6" t="s">
        <v>135</v>
      </c>
      <c r="G2430" s="26" t="n">
        <v>46157</v>
      </c>
      <c r="H2430" s="6" t="s">
        <v>78</v>
      </c>
      <c r="I2430" s="26" t="n">
        <f aca="false">_xlfn.MINIFS(Transaction!$C$2:$C$8421,Transaction!$B$2:$B$8421,A2430)</f>
        <v>46228</v>
      </c>
      <c r="J2430" s="26" t="n">
        <f aca="false">_xlfn.MAXIFS(Transaction!$C$2:$C$8421,Transaction!$B$2:$B$8421,A2430)</f>
        <v>46228</v>
      </c>
      <c r="K2430" s="6" t="n">
        <f aca="false">COUNTIF(Transaction!$B$2:$B$8421,A2430)</f>
        <v>1</v>
      </c>
      <c r="L2430" s="10" t="n">
        <f aca="false">SUMIF(Transaction!$B$2:$B$8421,A2430,Transaction!$H$2:$H$8421)</f>
        <v>1062</v>
      </c>
      <c r="M2430" s="6" t="n">
        <f aca="false">Summary!$B$3-J2430</f>
        <v>38</v>
      </c>
      <c r="N2430" s="6" t="str">
        <f aca="false">IF(K2430&gt;1,"Yes","No")</f>
        <v>No</v>
      </c>
      <c r="O2430" s="6" t="s">
        <v>47</v>
      </c>
    </row>
    <row r="2431" customFormat="false" ht="15" hidden="false" customHeight="false" outlineLevel="0" collapsed="false">
      <c r="A2431" s="6" t="s">
        <v>4971</v>
      </c>
      <c r="B2431" s="6" t="s">
        <v>4972</v>
      </c>
      <c r="C2431" s="6" t="s">
        <v>75</v>
      </c>
      <c r="D2431" s="6" t="n">
        <v>20</v>
      </c>
      <c r="E2431" s="6" t="s">
        <v>146</v>
      </c>
      <c r="F2431" s="6" t="s">
        <v>147</v>
      </c>
      <c r="G2431" s="26" t="n">
        <v>46212</v>
      </c>
      <c r="H2431" s="6" t="s">
        <v>115</v>
      </c>
      <c r="I2431" s="26" t="n">
        <f aca="false">_xlfn.MINIFS(Transaction!$C$2:$C$8421,Transaction!$B$2:$B$8421,A2431)</f>
        <v>46257</v>
      </c>
      <c r="J2431" s="26" t="n">
        <f aca="false">_xlfn.MAXIFS(Transaction!$C$2:$C$8421,Transaction!$B$2:$B$8421,A2431)</f>
        <v>46257</v>
      </c>
      <c r="K2431" s="6" t="n">
        <f aca="false">COUNTIF(Transaction!$B$2:$B$8421,A2431)</f>
        <v>1</v>
      </c>
      <c r="L2431" s="10" t="n">
        <f aca="false">SUMIF(Transaction!$B$2:$B$8421,A2431,Transaction!$H$2:$H$8421)</f>
        <v>1468</v>
      </c>
      <c r="M2431" s="6" t="n">
        <f aca="false">Summary!$B$3-J2431</f>
        <v>9</v>
      </c>
      <c r="N2431" s="6" t="str">
        <f aca="false">IF(K2431&gt;1,"Yes","No")</f>
        <v>No</v>
      </c>
      <c r="O2431" s="6" t="s">
        <v>47</v>
      </c>
    </row>
    <row r="2432" customFormat="false" ht="15" hidden="false" customHeight="false" outlineLevel="0" collapsed="false">
      <c r="A2432" s="6" t="s">
        <v>4973</v>
      </c>
      <c r="B2432" s="6" t="s">
        <v>4974</v>
      </c>
      <c r="C2432" s="6" t="s">
        <v>75</v>
      </c>
      <c r="D2432" s="6" t="n">
        <v>42</v>
      </c>
      <c r="E2432" s="6" t="s">
        <v>134</v>
      </c>
      <c r="F2432" s="6" t="s">
        <v>135</v>
      </c>
      <c r="G2432" s="26" t="n">
        <v>45962</v>
      </c>
      <c r="H2432" s="6" t="s">
        <v>102</v>
      </c>
      <c r="I2432" s="26" t="n">
        <f aca="false">_xlfn.MINIFS(Transaction!$C$2:$C$8421,Transaction!$B$2:$B$8421,A2432)</f>
        <v>46028</v>
      </c>
      <c r="J2432" s="26" t="n">
        <f aca="false">_xlfn.MAXIFS(Transaction!$C$2:$C$8421,Transaction!$B$2:$B$8421,A2432)</f>
        <v>46260</v>
      </c>
      <c r="K2432" s="6" t="n">
        <f aca="false">COUNTIF(Transaction!$B$2:$B$8421,A2432)</f>
        <v>9</v>
      </c>
      <c r="L2432" s="10" t="n">
        <f aca="false">SUMIF(Transaction!$B$2:$B$8421,A2432,Transaction!$H$2:$H$8421)</f>
        <v>14135</v>
      </c>
      <c r="M2432" s="6" t="n">
        <f aca="false">Summary!$B$3-J2432</f>
        <v>6</v>
      </c>
      <c r="N2432" s="6" t="str">
        <f aca="false">IF(K2432&gt;1,"Yes","No")</f>
        <v>Yes</v>
      </c>
      <c r="O2432" s="6" t="s">
        <v>45</v>
      </c>
    </row>
    <row r="2433" customFormat="false" ht="15" hidden="false" customHeight="false" outlineLevel="0" collapsed="false">
      <c r="A2433" s="6" t="s">
        <v>4975</v>
      </c>
      <c r="B2433" s="6" t="s">
        <v>4976</v>
      </c>
      <c r="C2433" s="6" t="s">
        <v>85</v>
      </c>
      <c r="D2433" s="6" t="n">
        <v>18</v>
      </c>
      <c r="E2433" s="6" t="s">
        <v>118</v>
      </c>
      <c r="F2433" s="6" t="s">
        <v>77</v>
      </c>
      <c r="G2433" s="26" t="n">
        <v>46168</v>
      </c>
      <c r="H2433" s="6" t="s">
        <v>78</v>
      </c>
      <c r="I2433" s="26" t="n">
        <f aca="false">_xlfn.MINIFS(Transaction!$C$2:$C$8421,Transaction!$B$2:$B$8421,A2433)</f>
        <v>46172</v>
      </c>
      <c r="J2433" s="26" t="n">
        <f aca="false">_xlfn.MAXIFS(Transaction!$C$2:$C$8421,Transaction!$B$2:$B$8421,A2433)</f>
        <v>46172</v>
      </c>
      <c r="K2433" s="6" t="n">
        <f aca="false">COUNTIF(Transaction!$B$2:$B$8421,A2433)</f>
        <v>1</v>
      </c>
      <c r="L2433" s="10" t="n">
        <f aca="false">SUMIF(Transaction!$B$2:$B$8421,A2433,Transaction!$H$2:$H$8421)</f>
        <v>1080</v>
      </c>
      <c r="M2433" s="6" t="n">
        <f aca="false">Summary!$B$3-J2433</f>
        <v>94</v>
      </c>
      <c r="N2433" s="6" t="str">
        <f aca="false">IF(K2433&gt;1,"Yes","No")</f>
        <v>No</v>
      </c>
      <c r="O2433" s="6" t="s">
        <v>48</v>
      </c>
    </row>
    <row r="2434" customFormat="false" ht="15" hidden="false" customHeight="false" outlineLevel="0" collapsed="false">
      <c r="A2434" s="6" t="s">
        <v>4977</v>
      </c>
      <c r="B2434" s="6" t="s">
        <v>4978</v>
      </c>
      <c r="C2434" s="6" t="s">
        <v>75</v>
      </c>
      <c r="D2434" s="6" t="n">
        <v>27</v>
      </c>
      <c r="E2434" s="6" t="s">
        <v>321</v>
      </c>
      <c r="F2434" s="6" t="s">
        <v>321</v>
      </c>
      <c r="G2434" s="26" t="n">
        <v>46055</v>
      </c>
      <c r="H2434" s="6" t="s">
        <v>92</v>
      </c>
      <c r="I2434" s="26" t="n">
        <f aca="false">_xlfn.MINIFS(Transaction!$C$2:$C$8421,Transaction!$B$2:$B$8421,A2434)</f>
        <v>46086</v>
      </c>
      <c r="J2434" s="26" t="n">
        <f aca="false">_xlfn.MAXIFS(Transaction!$C$2:$C$8421,Transaction!$B$2:$B$8421,A2434)</f>
        <v>46086</v>
      </c>
      <c r="K2434" s="6" t="n">
        <f aca="false">COUNTIF(Transaction!$B$2:$B$8421,A2434)</f>
        <v>1</v>
      </c>
      <c r="L2434" s="10" t="n">
        <f aca="false">SUMIF(Transaction!$B$2:$B$8421,A2434,Transaction!$H$2:$H$8421)</f>
        <v>884</v>
      </c>
      <c r="M2434" s="6" t="n">
        <f aca="false">Summary!$B$3-J2434</f>
        <v>180</v>
      </c>
      <c r="N2434" s="6" t="str">
        <f aca="false">IF(K2434&gt;1,"Yes","No")</f>
        <v>No</v>
      </c>
      <c r="O2434" s="6" t="s">
        <v>49</v>
      </c>
    </row>
    <row r="2435" customFormat="false" ht="15" hidden="false" customHeight="false" outlineLevel="0" collapsed="false">
      <c r="A2435" s="6" t="s">
        <v>4979</v>
      </c>
      <c r="B2435" s="6" t="s">
        <v>4980</v>
      </c>
      <c r="C2435" s="6" t="s">
        <v>85</v>
      </c>
      <c r="D2435" s="6" t="n">
        <v>33</v>
      </c>
      <c r="E2435" s="6" t="s">
        <v>176</v>
      </c>
      <c r="F2435" s="6" t="s">
        <v>177</v>
      </c>
      <c r="G2435" s="26" t="n">
        <v>46063</v>
      </c>
      <c r="H2435" s="6" t="s">
        <v>78</v>
      </c>
      <c r="I2435" s="26" t="n">
        <f aca="false">_xlfn.MINIFS(Transaction!$C$2:$C$8421,Transaction!$B$2:$B$8421,A2435)</f>
        <v>46063</v>
      </c>
      <c r="J2435" s="26" t="n">
        <f aca="false">_xlfn.MAXIFS(Transaction!$C$2:$C$8421,Transaction!$B$2:$B$8421,A2435)</f>
        <v>46244</v>
      </c>
      <c r="K2435" s="6" t="n">
        <f aca="false">COUNTIF(Transaction!$B$2:$B$8421,A2435)</f>
        <v>8</v>
      </c>
      <c r="L2435" s="10" t="n">
        <f aca="false">SUMIF(Transaction!$B$2:$B$8421,A2435,Transaction!$H$2:$H$8421)</f>
        <v>19497</v>
      </c>
      <c r="M2435" s="6" t="n">
        <f aca="false">Summary!$B$3-J2435</f>
        <v>22</v>
      </c>
      <c r="N2435" s="6" t="str">
        <f aca="false">IF(K2435&gt;1,"Yes","No")</f>
        <v>Yes</v>
      </c>
      <c r="O2435" s="6" t="s">
        <v>45</v>
      </c>
    </row>
    <row r="2436" customFormat="false" ht="15" hidden="false" customHeight="false" outlineLevel="0" collapsed="false">
      <c r="A2436" s="6" t="s">
        <v>4981</v>
      </c>
      <c r="B2436" s="6" t="s">
        <v>4982</v>
      </c>
      <c r="C2436" s="6" t="s">
        <v>75</v>
      </c>
      <c r="D2436" s="6" t="n">
        <v>27</v>
      </c>
      <c r="E2436" s="6" t="s">
        <v>91</v>
      </c>
      <c r="F2436" s="6" t="s">
        <v>77</v>
      </c>
      <c r="G2436" s="26" t="n">
        <v>46144</v>
      </c>
      <c r="H2436" s="6" t="s">
        <v>123</v>
      </c>
      <c r="I2436" s="26" t="n">
        <f aca="false">_xlfn.MINIFS(Transaction!$C$2:$C$8421,Transaction!$B$2:$B$8421,A2436)</f>
        <v>46150</v>
      </c>
      <c r="J2436" s="26" t="n">
        <f aca="false">_xlfn.MAXIFS(Transaction!$C$2:$C$8421,Transaction!$B$2:$B$8421,A2436)</f>
        <v>46150</v>
      </c>
      <c r="K2436" s="6" t="n">
        <f aca="false">COUNTIF(Transaction!$B$2:$B$8421,A2436)</f>
        <v>1</v>
      </c>
      <c r="L2436" s="10" t="n">
        <f aca="false">SUMIF(Transaction!$B$2:$B$8421,A2436,Transaction!$H$2:$H$8421)</f>
        <v>1602</v>
      </c>
      <c r="M2436" s="6" t="n">
        <f aca="false">Summary!$B$3-J2436</f>
        <v>116</v>
      </c>
      <c r="N2436" s="6" t="str">
        <f aca="false">IF(K2436&gt;1,"Yes","No")</f>
        <v>No</v>
      </c>
      <c r="O2436" s="6" t="s">
        <v>48</v>
      </c>
    </row>
    <row r="2437" customFormat="false" ht="15" hidden="false" customHeight="false" outlineLevel="0" collapsed="false">
      <c r="A2437" s="6" t="s">
        <v>4983</v>
      </c>
      <c r="B2437" s="6" t="s">
        <v>4984</v>
      </c>
      <c r="C2437" s="6" t="s">
        <v>75</v>
      </c>
      <c r="D2437" s="6" t="n">
        <v>29</v>
      </c>
      <c r="E2437" s="6" t="s">
        <v>76</v>
      </c>
      <c r="F2437" s="6" t="s">
        <v>77</v>
      </c>
      <c r="G2437" s="26" t="n">
        <v>46008</v>
      </c>
      <c r="H2437" s="6" t="s">
        <v>102</v>
      </c>
      <c r="I2437" s="26" t="n">
        <f aca="false">_xlfn.MINIFS(Transaction!$C$2:$C$8421,Transaction!$B$2:$B$8421,A2437)</f>
        <v>46057</v>
      </c>
      <c r="J2437" s="26" t="n">
        <f aca="false">_xlfn.MAXIFS(Transaction!$C$2:$C$8421,Transaction!$B$2:$B$8421,A2437)</f>
        <v>46178</v>
      </c>
      <c r="K2437" s="6" t="n">
        <f aca="false">COUNTIF(Transaction!$B$2:$B$8421,A2437)</f>
        <v>2</v>
      </c>
      <c r="L2437" s="10" t="n">
        <f aca="false">SUMIF(Transaction!$B$2:$B$8421,A2437,Transaction!$H$2:$H$8421)</f>
        <v>5245</v>
      </c>
      <c r="M2437" s="6" t="n">
        <f aca="false">Summary!$B$3-J2437</f>
        <v>88</v>
      </c>
      <c r="N2437" s="6" t="str">
        <f aca="false">IF(K2437&gt;1,"Yes","No")</f>
        <v>Yes</v>
      </c>
      <c r="O2437" s="6" t="s">
        <v>46</v>
      </c>
    </row>
    <row r="2438" customFormat="false" ht="15" hidden="false" customHeight="false" outlineLevel="0" collapsed="false">
      <c r="A2438" s="6" t="s">
        <v>4985</v>
      </c>
      <c r="B2438" s="6" t="s">
        <v>4986</v>
      </c>
      <c r="C2438" s="6" t="s">
        <v>75</v>
      </c>
      <c r="D2438" s="6" t="n">
        <v>38</v>
      </c>
      <c r="E2438" s="6" t="s">
        <v>76</v>
      </c>
      <c r="F2438" s="6" t="s">
        <v>77</v>
      </c>
      <c r="G2438" s="26" t="n">
        <v>46102</v>
      </c>
      <c r="H2438" s="6" t="s">
        <v>88</v>
      </c>
      <c r="I2438" s="26" t="n">
        <f aca="false">_xlfn.MINIFS(Transaction!$C$2:$C$8421,Transaction!$B$2:$B$8421,A2438)</f>
        <v>46126</v>
      </c>
      <c r="J2438" s="26" t="n">
        <f aca="false">_xlfn.MAXIFS(Transaction!$C$2:$C$8421,Transaction!$B$2:$B$8421,A2438)</f>
        <v>46126</v>
      </c>
      <c r="K2438" s="6" t="n">
        <f aca="false">COUNTIF(Transaction!$B$2:$B$8421,A2438)</f>
        <v>1</v>
      </c>
      <c r="L2438" s="10" t="n">
        <f aca="false">SUMIF(Transaction!$B$2:$B$8421,A2438,Transaction!$H$2:$H$8421)</f>
        <v>1220</v>
      </c>
      <c r="M2438" s="6" t="n">
        <f aca="false">Summary!$B$3-J2438</f>
        <v>140</v>
      </c>
      <c r="N2438" s="6" t="str">
        <f aca="false">IF(K2438&gt;1,"Yes","No")</f>
        <v>No</v>
      </c>
      <c r="O2438" s="6" t="s">
        <v>48</v>
      </c>
    </row>
    <row r="2439" customFormat="false" ht="15" hidden="false" customHeight="false" outlineLevel="0" collapsed="false">
      <c r="A2439" s="6" t="s">
        <v>4987</v>
      </c>
      <c r="B2439" s="6" t="s">
        <v>4988</v>
      </c>
      <c r="C2439" s="6" t="s">
        <v>85</v>
      </c>
      <c r="D2439" s="6" t="n">
        <v>24</v>
      </c>
      <c r="E2439" s="6" t="s">
        <v>237</v>
      </c>
      <c r="F2439" s="6" t="s">
        <v>87</v>
      </c>
      <c r="G2439" s="26" t="n">
        <v>46187</v>
      </c>
      <c r="H2439" s="6" t="s">
        <v>115</v>
      </c>
      <c r="I2439" s="26" t="n">
        <f aca="false">_xlfn.MINIFS(Transaction!$C$2:$C$8421,Transaction!$B$2:$B$8421,A2439)</f>
        <v>46252</v>
      </c>
      <c r="J2439" s="26" t="n">
        <f aca="false">_xlfn.MAXIFS(Transaction!$C$2:$C$8421,Transaction!$B$2:$B$8421,A2439)</f>
        <v>46252</v>
      </c>
      <c r="K2439" s="6" t="n">
        <f aca="false">COUNTIF(Transaction!$B$2:$B$8421,A2439)</f>
        <v>1</v>
      </c>
      <c r="L2439" s="10" t="n">
        <f aca="false">SUMIF(Transaction!$B$2:$B$8421,A2439,Transaction!$H$2:$H$8421)</f>
        <v>972</v>
      </c>
      <c r="M2439" s="6" t="n">
        <f aca="false">Summary!$B$3-J2439</f>
        <v>14</v>
      </c>
      <c r="N2439" s="6" t="str">
        <f aca="false">IF(K2439&gt;1,"Yes","No")</f>
        <v>No</v>
      </c>
      <c r="O2439" s="6" t="s">
        <v>47</v>
      </c>
    </row>
    <row r="2440" customFormat="false" ht="15" hidden="false" customHeight="false" outlineLevel="0" collapsed="false">
      <c r="A2440" s="6" t="s">
        <v>4989</v>
      </c>
      <c r="B2440" s="6" t="s">
        <v>4990</v>
      </c>
      <c r="C2440" s="6" t="s">
        <v>75</v>
      </c>
      <c r="D2440" s="6" t="n">
        <v>38</v>
      </c>
      <c r="E2440" s="6" t="s">
        <v>98</v>
      </c>
      <c r="F2440" s="6" t="s">
        <v>99</v>
      </c>
      <c r="G2440" s="26" t="n">
        <v>46015</v>
      </c>
      <c r="H2440" s="6" t="s">
        <v>115</v>
      </c>
      <c r="I2440" s="26" t="n">
        <f aca="false">_xlfn.MINIFS(Transaction!$C$2:$C$8421,Transaction!$B$2:$B$8421,A2440)</f>
        <v>46068</v>
      </c>
      <c r="J2440" s="26" t="n">
        <f aca="false">_xlfn.MAXIFS(Transaction!$C$2:$C$8421,Transaction!$B$2:$B$8421,A2440)</f>
        <v>46068</v>
      </c>
      <c r="K2440" s="6" t="n">
        <f aca="false">COUNTIF(Transaction!$B$2:$B$8421,A2440)</f>
        <v>1</v>
      </c>
      <c r="L2440" s="10" t="n">
        <f aca="false">SUMIF(Transaction!$B$2:$B$8421,A2440,Transaction!$H$2:$H$8421)</f>
        <v>976</v>
      </c>
      <c r="M2440" s="6" t="n">
        <f aca="false">Summary!$B$3-J2440</f>
        <v>198</v>
      </c>
      <c r="N2440" s="6" t="str">
        <f aca="false">IF(K2440&gt;1,"Yes","No")</f>
        <v>No</v>
      </c>
      <c r="O2440" s="6" t="s">
        <v>49</v>
      </c>
    </row>
    <row r="2441" customFormat="false" ht="15" hidden="false" customHeight="false" outlineLevel="0" collapsed="false">
      <c r="A2441" s="6" t="s">
        <v>4991</v>
      </c>
      <c r="B2441" s="6" t="s">
        <v>4992</v>
      </c>
      <c r="C2441" s="6" t="s">
        <v>75</v>
      </c>
      <c r="D2441" s="6" t="n">
        <v>37</v>
      </c>
      <c r="E2441" s="6" t="s">
        <v>95</v>
      </c>
      <c r="F2441" s="6" t="s">
        <v>95</v>
      </c>
      <c r="G2441" s="26" t="n">
        <v>46104</v>
      </c>
      <c r="H2441" s="6" t="s">
        <v>102</v>
      </c>
      <c r="I2441" s="26" t="n">
        <f aca="false">_xlfn.MINIFS(Transaction!$C$2:$C$8421,Transaction!$B$2:$B$8421,A2441)</f>
        <v>46149</v>
      </c>
      <c r="J2441" s="26" t="n">
        <f aca="false">_xlfn.MAXIFS(Transaction!$C$2:$C$8421,Transaction!$B$2:$B$8421,A2441)</f>
        <v>46149</v>
      </c>
      <c r="K2441" s="6" t="n">
        <f aca="false">COUNTIF(Transaction!$B$2:$B$8421,A2441)</f>
        <v>1</v>
      </c>
      <c r="L2441" s="10" t="n">
        <f aca="false">SUMIF(Transaction!$B$2:$B$8421,A2441,Transaction!$H$2:$H$8421)</f>
        <v>3132</v>
      </c>
      <c r="M2441" s="6" t="n">
        <f aca="false">Summary!$B$3-J2441</f>
        <v>117</v>
      </c>
      <c r="N2441" s="6" t="str">
        <f aca="false">IF(K2441&gt;1,"Yes","No")</f>
        <v>No</v>
      </c>
      <c r="O2441" s="6" t="s">
        <v>48</v>
      </c>
    </row>
    <row r="2442" customFormat="false" ht="15" hidden="false" customHeight="false" outlineLevel="0" collapsed="false">
      <c r="A2442" s="6" t="s">
        <v>4993</v>
      </c>
      <c r="B2442" s="6" t="s">
        <v>4994</v>
      </c>
      <c r="C2442" s="6" t="s">
        <v>85</v>
      </c>
      <c r="D2442" s="6" t="n">
        <v>26</v>
      </c>
      <c r="E2442" s="6" t="s">
        <v>176</v>
      </c>
      <c r="F2442" s="6" t="s">
        <v>177</v>
      </c>
      <c r="G2442" s="26" t="n">
        <v>46121</v>
      </c>
      <c r="H2442" s="6" t="s">
        <v>78</v>
      </c>
      <c r="I2442" s="26" t="n">
        <f aca="false">_xlfn.MINIFS(Transaction!$C$2:$C$8421,Transaction!$B$2:$B$8421,A2442)</f>
        <v>46196</v>
      </c>
      <c r="J2442" s="26" t="n">
        <f aca="false">_xlfn.MAXIFS(Transaction!$C$2:$C$8421,Transaction!$B$2:$B$8421,A2442)</f>
        <v>46196</v>
      </c>
      <c r="K2442" s="6" t="n">
        <f aca="false">COUNTIF(Transaction!$B$2:$B$8421,A2442)</f>
        <v>1</v>
      </c>
      <c r="L2442" s="10" t="n">
        <f aca="false">SUMIF(Transaction!$B$2:$B$8421,A2442,Transaction!$H$2:$H$8421)</f>
        <v>2346</v>
      </c>
      <c r="M2442" s="6" t="n">
        <f aca="false">Summary!$B$3-J2442</f>
        <v>70</v>
      </c>
      <c r="N2442" s="6" t="str">
        <f aca="false">IF(K2442&gt;1,"Yes","No")</f>
        <v>No</v>
      </c>
      <c r="O2442" s="6" t="s">
        <v>47</v>
      </c>
    </row>
    <row r="2443" customFormat="false" ht="15" hidden="false" customHeight="false" outlineLevel="0" collapsed="false">
      <c r="A2443" s="6" t="s">
        <v>4995</v>
      </c>
      <c r="B2443" s="6" t="s">
        <v>4996</v>
      </c>
      <c r="C2443" s="6" t="s">
        <v>75</v>
      </c>
      <c r="D2443" s="6" t="n">
        <v>40</v>
      </c>
      <c r="E2443" s="6" t="s">
        <v>91</v>
      </c>
      <c r="F2443" s="6" t="s">
        <v>77</v>
      </c>
      <c r="G2443" s="26" t="n">
        <v>46006</v>
      </c>
      <c r="H2443" s="6" t="s">
        <v>102</v>
      </c>
      <c r="I2443" s="26" t="n">
        <f aca="false">_xlfn.MINIFS(Transaction!$C$2:$C$8421,Transaction!$B$2:$B$8421,A2443)</f>
        <v>46084</v>
      </c>
      <c r="J2443" s="26" t="n">
        <f aca="false">_xlfn.MAXIFS(Transaction!$C$2:$C$8421,Transaction!$B$2:$B$8421,A2443)</f>
        <v>46185</v>
      </c>
      <c r="K2443" s="6" t="n">
        <f aca="false">COUNTIF(Transaction!$B$2:$B$8421,A2443)</f>
        <v>3</v>
      </c>
      <c r="L2443" s="10" t="n">
        <f aca="false">SUMIF(Transaction!$B$2:$B$8421,A2443,Transaction!$H$2:$H$8421)</f>
        <v>4320</v>
      </c>
      <c r="M2443" s="6" t="n">
        <f aca="false">Summary!$B$3-J2443</f>
        <v>81</v>
      </c>
      <c r="N2443" s="6" t="str">
        <f aca="false">IF(K2443&gt;1,"Yes","No")</f>
        <v>Yes</v>
      </c>
      <c r="O2443" s="6" t="s">
        <v>46</v>
      </c>
    </row>
    <row r="2444" customFormat="false" ht="15" hidden="false" customHeight="false" outlineLevel="0" collapsed="false">
      <c r="A2444" s="6" t="s">
        <v>4997</v>
      </c>
      <c r="B2444" s="6" t="s">
        <v>4998</v>
      </c>
      <c r="C2444" s="6" t="s">
        <v>85</v>
      </c>
      <c r="D2444" s="6" t="n">
        <v>26</v>
      </c>
      <c r="E2444" s="6" t="s">
        <v>134</v>
      </c>
      <c r="F2444" s="6" t="s">
        <v>135</v>
      </c>
      <c r="G2444" s="26" t="n">
        <v>46249</v>
      </c>
      <c r="H2444" s="6" t="s">
        <v>78</v>
      </c>
      <c r="I2444" s="26" t="n">
        <f aca="false">_xlfn.MINIFS(Transaction!$C$2:$C$8421,Transaction!$B$2:$B$8421,A2444)</f>
        <v>46261</v>
      </c>
      <c r="J2444" s="26" t="n">
        <f aca="false">_xlfn.MAXIFS(Transaction!$C$2:$C$8421,Transaction!$B$2:$B$8421,A2444)</f>
        <v>46261</v>
      </c>
      <c r="K2444" s="6" t="n">
        <f aca="false">COUNTIF(Transaction!$B$2:$B$8421,A2444)</f>
        <v>1</v>
      </c>
      <c r="L2444" s="10" t="n">
        <f aca="false">SUMIF(Transaction!$B$2:$B$8421,A2444,Transaction!$H$2:$H$8421)</f>
        <v>1524</v>
      </c>
      <c r="M2444" s="6" t="n">
        <f aca="false">Summary!$B$3-J2444</f>
        <v>5</v>
      </c>
      <c r="N2444" s="6" t="str">
        <f aca="false">IF(K2444&gt;1,"Yes","No")</f>
        <v>No</v>
      </c>
      <c r="O2444" s="6" t="s">
        <v>47</v>
      </c>
    </row>
    <row r="2445" customFormat="false" ht="15" hidden="false" customHeight="false" outlineLevel="0" collapsed="false">
      <c r="A2445" s="6" t="s">
        <v>4999</v>
      </c>
      <c r="B2445" s="6" t="s">
        <v>5000</v>
      </c>
      <c r="C2445" s="6" t="s">
        <v>85</v>
      </c>
      <c r="D2445" s="6" t="n">
        <v>31</v>
      </c>
      <c r="E2445" s="6" t="s">
        <v>76</v>
      </c>
      <c r="F2445" s="6" t="s">
        <v>77</v>
      </c>
      <c r="G2445" s="26" t="n">
        <v>46001</v>
      </c>
      <c r="H2445" s="6" t="s">
        <v>123</v>
      </c>
      <c r="I2445" s="26" t="n">
        <f aca="false">_xlfn.MINIFS(Transaction!$C$2:$C$8421,Transaction!$B$2:$B$8421,A2445)</f>
        <v>46058</v>
      </c>
      <c r="J2445" s="26" t="n">
        <f aca="false">_xlfn.MAXIFS(Transaction!$C$2:$C$8421,Transaction!$B$2:$B$8421,A2445)</f>
        <v>46058</v>
      </c>
      <c r="K2445" s="6" t="n">
        <f aca="false">COUNTIF(Transaction!$B$2:$B$8421,A2445)</f>
        <v>1</v>
      </c>
      <c r="L2445" s="10" t="n">
        <f aca="false">SUMIF(Transaction!$B$2:$B$8421,A2445,Transaction!$H$2:$H$8421)</f>
        <v>3243</v>
      </c>
      <c r="M2445" s="6" t="n">
        <f aca="false">Summary!$B$3-J2445</f>
        <v>208</v>
      </c>
      <c r="N2445" s="6" t="str">
        <f aca="false">IF(K2445&gt;1,"Yes","No")</f>
        <v>No</v>
      </c>
      <c r="O2445" s="6" t="s">
        <v>49</v>
      </c>
    </row>
    <row r="2446" customFormat="false" ht="15" hidden="false" customHeight="false" outlineLevel="0" collapsed="false">
      <c r="A2446" s="6" t="s">
        <v>5001</v>
      </c>
      <c r="B2446" s="6" t="s">
        <v>5002</v>
      </c>
      <c r="C2446" s="6" t="s">
        <v>75</v>
      </c>
      <c r="D2446" s="6" t="n">
        <v>29</v>
      </c>
      <c r="E2446" s="6" t="s">
        <v>95</v>
      </c>
      <c r="F2446" s="6" t="s">
        <v>95</v>
      </c>
      <c r="G2446" s="26" t="n">
        <v>46204</v>
      </c>
      <c r="H2446" s="6" t="s">
        <v>78</v>
      </c>
      <c r="I2446" s="26" t="n">
        <f aca="false">_xlfn.MINIFS(Transaction!$C$2:$C$8421,Transaction!$B$2:$B$8421,A2446)</f>
        <v>46230</v>
      </c>
      <c r="J2446" s="26" t="n">
        <f aca="false">_xlfn.MAXIFS(Transaction!$C$2:$C$8421,Transaction!$B$2:$B$8421,A2446)</f>
        <v>46230</v>
      </c>
      <c r="K2446" s="6" t="n">
        <f aca="false">COUNTIF(Transaction!$B$2:$B$8421,A2446)</f>
        <v>1</v>
      </c>
      <c r="L2446" s="10" t="n">
        <f aca="false">SUMIF(Transaction!$B$2:$B$8421,A2446,Transaction!$H$2:$H$8421)</f>
        <v>1785</v>
      </c>
      <c r="M2446" s="6" t="n">
        <f aca="false">Summary!$B$3-J2446</f>
        <v>36</v>
      </c>
      <c r="N2446" s="6" t="str">
        <f aca="false">IF(K2446&gt;1,"Yes","No")</f>
        <v>No</v>
      </c>
      <c r="O2446" s="6" t="s">
        <v>47</v>
      </c>
    </row>
    <row r="2447" customFormat="false" ht="15" hidden="false" customHeight="false" outlineLevel="0" collapsed="false">
      <c r="A2447" s="6" t="s">
        <v>5003</v>
      </c>
      <c r="B2447" s="6" t="s">
        <v>5004</v>
      </c>
      <c r="C2447" s="6" t="s">
        <v>85</v>
      </c>
      <c r="D2447" s="6" t="n">
        <v>26</v>
      </c>
      <c r="E2447" s="6" t="s">
        <v>237</v>
      </c>
      <c r="F2447" s="6" t="s">
        <v>87</v>
      </c>
      <c r="G2447" s="26" t="n">
        <v>46216</v>
      </c>
      <c r="H2447" s="6" t="s">
        <v>92</v>
      </c>
      <c r="I2447" s="26" t="n">
        <f aca="false">_xlfn.MINIFS(Transaction!$C$2:$C$8421,Transaction!$B$2:$B$8421,A2447)</f>
        <v>46251</v>
      </c>
      <c r="J2447" s="26" t="n">
        <f aca="false">_xlfn.MAXIFS(Transaction!$C$2:$C$8421,Transaction!$B$2:$B$8421,A2447)</f>
        <v>46251</v>
      </c>
      <c r="K2447" s="6" t="n">
        <f aca="false">COUNTIF(Transaction!$B$2:$B$8421,A2447)</f>
        <v>1</v>
      </c>
      <c r="L2447" s="10" t="n">
        <f aca="false">SUMIF(Transaction!$B$2:$B$8421,A2447,Transaction!$H$2:$H$8421)</f>
        <v>1670</v>
      </c>
      <c r="M2447" s="6" t="n">
        <f aca="false">Summary!$B$3-J2447</f>
        <v>15</v>
      </c>
      <c r="N2447" s="6" t="str">
        <f aca="false">IF(K2447&gt;1,"Yes","No")</f>
        <v>No</v>
      </c>
      <c r="O2447" s="6" t="s">
        <v>47</v>
      </c>
    </row>
    <row r="2448" customFormat="false" ht="15" hidden="false" customHeight="false" outlineLevel="0" collapsed="false">
      <c r="A2448" s="6" t="s">
        <v>5005</v>
      </c>
      <c r="B2448" s="6" t="s">
        <v>5006</v>
      </c>
      <c r="C2448" s="6" t="s">
        <v>85</v>
      </c>
      <c r="D2448" s="6" t="n">
        <v>34</v>
      </c>
      <c r="E2448" s="6" t="s">
        <v>176</v>
      </c>
      <c r="F2448" s="6" t="s">
        <v>177</v>
      </c>
      <c r="G2448" s="26" t="n">
        <v>46223</v>
      </c>
      <c r="H2448" s="6" t="s">
        <v>78</v>
      </c>
      <c r="I2448" s="26" t="n">
        <f aca="false">_xlfn.MINIFS(Transaction!$C$2:$C$8421,Transaction!$B$2:$B$8421,A2448)</f>
        <v>46240</v>
      </c>
      <c r="J2448" s="26" t="n">
        <f aca="false">_xlfn.MAXIFS(Transaction!$C$2:$C$8421,Transaction!$B$2:$B$8421,A2448)</f>
        <v>46240</v>
      </c>
      <c r="K2448" s="6" t="n">
        <f aca="false">COUNTIF(Transaction!$B$2:$B$8421,A2448)</f>
        <v>1</v>
      </c>
      <c r="L2448" s="10" t="n">
        <f aca="false">SUMIF(Transaction!$B$2:$B$8421,A2448,Transaction!$H$2:$H$8421)</f>
        <v>4843</v>
      </c>
      <c r="M2448" s="6" t="n">
        <f aca="false">Summary!$B$3-J2448</f>
        <v>26</v>
      </c>
      <c r="N2448" s="6" t="str">
        <f aca="false">IF(K2448&gt;1,"Yes","No")</f>
        <v>No</v>
      </c>
      <c r="O2448" s="6" t="s">
        <v>47</v>
      </c>
    </row>
    <row r="2449" customFormat="false" ht="15" hidden="false" customHeight="false" outlineLevel="0" collapsed="false">
      <c r="A2449" s="6" t="s">
        <v>5007</v>
      </c>
      <c r="B2449" s="6" t="s">
        <v>5008</v>
      </c>
      <c r="C2449" s="6" t="s">
        <v>75</v>
      </c>
      <c r="D2449" s="6" t="n">
        <v>18</v>
      </c>
      <c r="E2449" s="6" t="s">
        <v>76</v>
      </c>
      <c r="F2449" s="6" t="s">
        <v>77</v>
      </c>
      <c r="G2449" s="26" t="n">
        <v>45960</v>
      </c>
      <c r="H2449" s="6" t="s">
        <v>78</v>
      </c>
      <c r="I2449" s="26" t="n">
        <f aca="false">_xlfn.MINIFS(Transaction!$C$2:$C$8421,Transaction!$B$2:$B$8421,A2449)</f>
        <v>46032</v>
      </c>
      <c r="J2449" s="26" t="n">
        <f aca="false">_xlfn.MAXIFS(Transaction!$C$2:$C$8421,Transaction!$B$2:$B$8421,A2449)</f>
        <v>46254</v>
      </c>
      <c r="K2449" s="6" t="n">
        <f aca="false">COUNTIF(Transaction!$B$2:$B$8421,A2449)</f>
        <v>9</v>
      </c>
      <c r="L2449" s="10" t="n">
        <f aca="false">SUMIF(Transaction!$B$2:$B$8421,A2449,Transaction!$H$2:$H$8421)</f>
        <v>11318</v>
      </c>
      <c r="M2449" s="6" t="n">
        <f aca="false">Summary!$B$3-J2449</f>
        <v>12</v>
      </c>
      <c r="N2449" s="6" t="str">
        <f aca="false">IF(K2449&gt;1,"Yes","No")</f>
        <v>Yes</v>
      </c>
      <c r="O2449" s="6" t="s">
        <v>45</v>
      </c>
    </row>
    <row r="2450" customFormat="false" ht="15" hidden="false" customHeight="false" outlineLevel="0" collapsed="false">
      <c r="A2450" s="6" t="s">
        <v>5009</v>
      </c>
      <c r="B2450" s="6" t="s">
        <v>5010</v>
      </c>
      <c r="C2450" s="6" t="s">
        <v>75</v>
      </c>
      <c r="D2450" s="6" t="n">
        <v>26</v>
      </c>
      <c r="E2450" s="6" t="s">
        <v>81</v>
      </c>
      <c r="F2450" s="6" t="s">
        <v>82</v>
      </c>
      <c r="G2450" s="26" t="n">
        <v>46040</v>
      </c>
      <c r="H2450" s="6" t="s">
        <v>88</v>
      </c>
      <c r="I2450" s="26" t="n">
        <f aca="false">_xlfn.MINIFS(Transaction!$C$2:$C$8421,Transaction!$B$2:$B$8421,A2450)</f>
        <v>46120</v>
      </c>
      <c r="J2450" s="26" t="n">
        <f aca="false">_xlfn.MAXIFS(Transaction!$C$2:$C$8421,Transaction!$B$2:$B$8421,A2450)</f>
        <v>46120</v>
      </c>
      <c r="K2450" s="6" t="n">
        <f aca="false">COUNTIF(Transaction!$B$2:$B$8421,A2450)</f>
        <v>1</v>
      </c>
      <c r="L2450" s="10" t="n">
        <f aca="false">SUMIF(Transaction!$B$2:$B$8421,A2450,Transaction!$H$2:$H$8421)</f>
        <v>785</v>
      </c>
      <c r="M2450" s="6" t="n">
        <f aca="false">Summary!$B$3-J2450</f>
        <v>146</v>
      </c>
      <c r="N2450" s="6" t="str">
        <f aca="false">IF(K2450&gt;1,"Yes","No")</f>
        <v>No</v>
      </c>
      <c r="O2450" s="6" t="s">
        <v>48</v>
      </c>
    </row>
    <row r="2451" customFormat="false" ht="15" hidden="false" customHeight="false" outlineLevel="0" collapsed="false">
      <c r="A2451" s="6" t="s">
        <v>5011</v>
      </c>
      <c r="B2451" s="6" t="s">
        <v>5012</v>
      </c>
      <c r="C2451" s="6" t="s">
        <v>85</v>
      </c>
      <c r="D2451" s="6" t="n">
        <v>29</v>
      </c>
      <c r="E2451" s="6" t="s">
        <v>81</v>
      </c>
      <c r="F2451" s="6" t="s">
        <v>82</v>
      </c>
      <c r="G2451" s="26" t="n">
        <v>46017</v>
      </c>
      <c r="H2451" s="6" t="s">
        <v>78</v>
      </c>
      <c r="I2451" s="26" t="n">
        <f aca="false">_xlfn.MINIFS(Transaction!$C$2:$C$8421,Transaction!$B$2:$B$8421,A2451)</f>
        <v>46089</v>
      </c>
      <c r="J2451" s="26" t="n">
        <f aca="false">_xlfn.MAXIFS(Transaction!$C$2:$C$8421,Transaction!$B$2:$B$8421,A2451)</f>
        <v>46212</v>
      </c>
      <c r="K2451" s="6" t="n">
        <f aca="false">COUNTIF(Transaction!$B$2:$B$8421,A2451)</f>
        <v>4</v>
      </c>
      <c r="L2451" s="10" t="n">
        <f aca="false">SUMIF(Transaction!$B$2:$B$8421,A2451,Transaction!$H$2:$H$8421)</f>
        <v>3690</v>
      </c>
      <c r="M2451" s="6" t="n">
        <f aca="false">Summary!$B$3-J2451</f>
        <v>54</v>
      </c>
      <c r="N2451" s="6" t="str">
        <f aca="false">IF(K2451&gt;1,"Yes","No")</f>
        <v>Yes</v>
      </c>
      <c r="O2451" s="6" t="s">
        <v>46</v>
      </c>
    </row>
    <row r="2452" customFormat="false" ht="15" hidden="false" customHeight="false" outlineLevel="0" collapsed="false">
      <c r="A2452" s="6" t="s">
        <v>5013</v>
      </c>
      <c r="B2452" s="6" t="s">
        <v>5014</v>
      </c>
      <c r="C2452" s="6" t="s">
        <v>75</v>
      </c>
      <c r="D2452" s="6" t="n">
        <v>38</v>
      </c>
      <c r="E2452" s="6" t="s">
        <v>105</v>
      </c>
      <c r="F2452" s="6" t="s">
        <v>106</v>
      </c>
      <c r="G2452" s="26" t="n">
        <v>46131</v>
      </c>
      <c r="H2452" s="6" t="s">
        <v>102</v>
      </c>
      <c r="I2452" s="26" t="n">
        <f aca="false">_xlfn.MINIFS(Transaction!$C$2:$C$8421,Transaction!$B$2:$B$8421,A2452)</f>
        <v>46151</v>
      </c>
      <c r="J2452" s="26" t="n">
        <f aca="false">_xlfn.MAXIFS(Transaction!$C$2:$C$8421,Transaction!$B$2:$B$8421,A2452)</f>
        <v>46151</v>
      </c>
      <c r="K2452" s="6" t="n">
        <f aca="false">COUNTIF(Transaction!$B$2:$B$8421,A2452)</f>
        <v>1</v>
      </c>
      <c r="L2452" s="10" t="n">
        <f aca="false">SUMIF(Transaction!$B$2:$B$8421,A2452,Transaction!$H$2:$H$8421)</f>
        <v>2476</v>
      </c>
      <c r="M2452" s="6" t="n">
        <f aca="false">Summary!$B$3-J2452</f>
        <v>115</v>
      </c>
      <c r="N2452" s="6" t="str">
        <f aca="false">IF(K2452&gt;1,"Yes","No")</f>
        <v>No</v>
      </c>
      <c r="O2452" s="6" t="s">
        <v>48</v>
      </c>
    </row>
    <row r="2453" customFormat="false" ht="15" hidden="false" customHeight="false" outlineLevel="0" collapsed="false">
      <c r="A2453" s="6" t="s">
        <v>5015</v>
      </c>
      <c r="B2453" s="6" t="s">
        <v>5016</v>
      </c>
      <c r="C2453" s="6" t="s">
        <v>85</v>
      </c>
      <c r="D2453" s="6" t="n">
        <v>36</v>
      </c>
      <c r="E2453" s="6" t="s">
        <v>86</v>
      </c>
      <c r="F2453" s="6" t="s">
        <v>87</v>
      </c>
      <c r="G2453" s="26" t="n">
        <v>46022</v>
      </c>
      <c r="H2453" s="6" t="s">
        <v>88</v>
      </c>
      <c r="I2453" s="26" t="n">
        <f aca="false">_xlfn.MINIFS(Transaction!$C$2:$C$8421,Transaction!$B$2:$B$8421,A2453)</f>
        <v>46044</v>
      </c>
      <c r="J2453" s="26" t="n">
        <f aca="false">_xlfn.MAXIFS(Transaction!$C$2:$C$8421,Transaction!$B$2:$B$8421,A2453)</f>
        <v>46244</v>
      </c>
      <c r="K2453" s="6" t="n">
        <f aca="false">COUNTIF(Transaction!$B$2:$B$8421,A2453)</f>
        <v>12</v>
      </c>
      <c r="L2453" s="10" t="n">
        <f aca="false">SUMIF(Transaction!$B$2:$B$8421,A2453,Transaction!$H$2:$H$8421)</f>
        <v>21500</v>
      </c>
      <c r="M2453" s="6" t="n">
        <f aca="false">Summary!$B$3-J2453</f>
        <v>22</v>
      </c>
      <c r="N2453" s="6" t="str">
        <f aca="false">IF(K2453&gt;1,"Yes","No")</f>
        <v>Yes</v>
      </c>
      <c r="O2453" s="6" t="s">
        <v>45</v>
      </c>
    </row>
    <row r="2454" customFormat="false" ht="15" hidden="false" customHeight="false" outlineLevel="0" collapsed="false">
      <c r="A2454" s="6" t="s">
        <v>5017</v>
      </c>
      <c r="B2454" s="6" t="s">
        <v>5018</v>
      </c>
      <c r="C2454" s="6" t="s">
        <v>85</v>
      </c>
      <c r="D2454" s="6" t="n">
        <v>29</v>
      </c>
      <c r="E2454" s="6" t="s">
        <v>146</v>
      </c>
      <c r="F2454" s="6" t="s">
        <v>147</v>
      </c>
      <c r="G2454" s="26" t="n">
        <v>46108</v>
      </c>
      <c r="H2454" s="6" t="s">
        <v>123</v>
      </c>
      <c r="I2454" s="26" t="n">
        <f aca="false">_xlfn.MINIFS(Transaction!$C$2:$C$8421,Transaction!$B$2:$B$8421,A2454)</f>
        <v>46130</v>
      </c>
      <c r="J2454" s="26" t="n">
        <f aca="false">_xlfn.MAXIFS(Transaction!$C$2:$C$8421,Transaction!$B$2:$B$8421,A2454)</f>
        <v>46130</v>
      </c>
      <c r="K2454" s="6" t="n">
        <f aca="false">COUNTIF(Transaction!$B$2:$B$8421,A2454)</f>
        <v>1</v>
      </c>
      <c r="L2454" s="10" t="n">
        <f aca="false">SUMIF(Transaction!$B$2:$B$8421,A2454,Transaction!$H$2:$H$8421)</f>
        <v>2948</v>
      </c>
      <c r="M2454" s="6" t="n">
        <f aca="false">Summary!$B$3-J2454</f>
        <v>136</v>
      </c>
      <c r="N2454" s="6" t="str">
        <f aca="false">IF(K2454&gt;1,"Yes","No")</f>
        <v>No</v>
      </c>
      <c r="O2454" s="6" t="s">
        <v>48</v>
      </c>
    </row>
    <row r="2455" customFormat="false" ht="15" hidden="false" customHeight="false" outlineLevel="0" collapsed="false">
      <c r="A2455" s="6" t="s">
        <v>5019</v>
      </c>
      <c r="B2455" s="6" t="s">
        <v>5020</v>
      </c>
      <c r="C2455" s="6" t="s">
        <v>75</v>
      </c>
      <c r="D2455" s="6" t="n">
        <v>47</v>
      </c>
      <c r="E2455" s="6" t="s">
        <v>321</v>
      </c>
      <c r="F2455" s="6" t="s">
        <v>321</v>
      </c>
      <c r="G2455" s="26" t="n">
        <v>46076</v>
      </c>
      <c r="H2455" s="6" t="s">
        <v>102</v>
      </c>
      <c r="I2455" s="26" t="n">
        <f aca="false">_xlfn.MINIFS(Transaction!$C$2:$C$8421,Transaction!$B$2:$B$8421,A2455)</f>
        <v>46137</v>
      </c>
      <c r="J2455" s="26" t="n">
        <f aca="false">_xlfn.MAXIFS(Transaction!$C$2:$C$8421,Transaction!$B$2:$B$8421,A2455)</f>
        <v>46137</v>
      </c>
      <c r="K2455" s="6" t="n">
        <f aca="false">COUNTIF(Transaction!$B$2:$B$8421,A2455)</f>
        <v>1</v>
      </c>
      <c r="L2455" s="10" t="n">
        <f aca="false">SUMIF(Transaction!$B$2:$B$8421,A2455,Transaction!$H$2:$H$8421)</f>
        <v>1120</v>
      </c>
      <c r="M2455" s="6" t="n">
        <f aca="false">Summary!$B$3-J2455</f>
        <v>129</v>
      </c>
      <c r="N2455" s="6" t="str">
        <f aca="false">IF(K2455&gt;1,"Yes","No")</f>
        <v>No</v>
      </c>
      <c r="O2455" s="6" t="s">
        <v>48</v>
      </c>
    </row>
    <row r="2456" customFormat="false" ht="15" hidden="false" customHeight="false" outlineLevel="0" collapsed="false">
      <c r="A2456" s="6" t="s">
        <v>5021</v>
      </c>
      <c r="B2456" s="6" t="s">
        <v>5022</v>
      </c>
      <c r="C2456" s="6" t="s">
        <v>75</v>
      </c>
      <c r="D2456" s="6" t="n">
        <v>21</v>
      </c>
      <c r="E2456" s="6" t="s">
        <v>118</v>
      </c>
      <c r="F2456" s="6" t="s">
        <v>77</v>
      </c>
      <c r="G2456" s="26" t="n">
        <v>45990</v>
      </c>
      <c r="H2456" s="6" t="s">
        <v>78</v>
      </c>
      <c r="I2456" s="26" t="n">
        <f aca="false">_xlfn.MINIFS(Transaction!$C$2:$C$8421,Transaction!$B$2:$B$8421,A2456)</f>
        <v>46042</v>
      </c>
      <c r="J2456" s="26" t="n">
        <f aca="false">_xlfn.MAXIFS(Transaction!$C$2:$C$8421,Transaction!$B$2:$B$8421,A2456)</f>
        <v>46208</v>
      </c>
      <c r="K2456" s="6" t="n">
        <f aca="false">COUNTIF(Transaction!$B$2:$B$8421,A2456)</f>
        <v>3</v>
      </c>
      <c r="L2456" s="10" t="n">
        <f aca="false">SUMIF(Transaction!$B$2:$B$8421,A2456,Transaction!$H$2:$H$8421)</f>
        <v>11158</v>
      </c>
      <c r="M2456" s="6" t="n">
        <f aca="false">Summary!$B$3-J2456</f>
        <v>58</v>
      </c>
      <c r="N2456" s="6" t="str">
        <f aca="false">IF(K2456&gt;1,"Yes","No")</f>
        <v>Yes</v>
      </c>
      <c r="O2456" s="6" t="s">
        <v>46</v>
      </c>
    </row>
    <row r="2457" customFormat="false" ht="15" hidden="false" customHeight="false" outlineLevel="0" collapsed="false">
      <c r="A2457" s="6" t="s">
        <v>5023</v>
      </c>
      <c r="B2457" s="6" t="s">
        <v>5024</v>
      </c>
      <c r="C2457" s="6" t="s">
        <v>75</v>
      </c>
      <c r="D2457" s="6" t="n">
        <v>32</v>
      </c>
      <c r="E2457" s="6" t="s">
        <v>95</v>
      </c>
      <c r="F2457" s="6" t="s">
        <v>95</v>
      </c>
      <c r="G2457" s="26" t="n">
        <v>45960</v>
      </c>
      <c r="H2457" s="6" t="s">
        <v>78</v>
      </c>
      <c r="I2457" s="26" t="n">
        <f aca="false">_xlfn.MINIFS(Transaction!$C$2:$C$8421,Transaction!$B$2:$B$8421,A2457)</f>
        <v>46038</v>
      </c>
      <c r="J2457" s="26" t="n">
        <f aca="false">_xlfn.MAXIFS(Transaction!$C$2:$C$8421,Transaction!$B$2:$B$8421,A2457)</f>
        <v>46038</v>
      </c>
      <c r="K2457" s="6" t="n">
        <f aca="false">COUNTIF(Transaction!$B$2:$B$8421,A2457)</f>
        <v>1</v>
      </c>
      <c r="L2457" s="10" t="n">
        <f aca="false">SUMIF(Transaction!$B$2:$B$8421,A2457,Transaction!$H$2:$H$8421)</f>
        <v>590</v>
      </c>
      <c r="M2457" s="6" t="n">
        <f aca="false">Summary!$B$3-J2457</f>
        <v>228</v>
      </c>
      <c r="N2457" s="6" t="str">
        <f aca="false">IF(K2457&gt;1,"Yes","No")</f>
        <v>No</v>
      </c>
      <c r="O2457" s="6" t="s">
        <v>49</v>
      </c>
    </row>
    <row r="2458" customFormat="false" ht="15" hidden="false" customHeight="false" outlineLevel="0" collapsed="false">
      <c r="A2458" s="6" t="s">
        <v>5025</v>
      </c>
      <c r="B2458" s="6" t="s">
        <v>5026</v>
      </c>
      <c r="C2458" s="6" t="s">
        <v>75</v>
      </c>
      <c r="D2458" s="6" t="n">
        <v>34</v>
      </c>
      <c r="E2458" s="6" t="s">
        <v>140</v>
      </c>
      <c r="F2458" s="6" t="s">
        <v>141</v>
      </c>
      <c r="G2458" s="26" t="n">
        <v>46237</v>
      </c>
      <c r="H2458" s="6" t="s">
        <v>78</v>
      </c>
      <c r="I2458" s="26" t="n">
        <f aca="false">_xlfn.MINIFS(Transaction!$C$2:$C$8421,Transaction!$B$2:$B$8421,A2458)</f>
        <v>46261</v>
      </c>
      <c r="J2458" s="26" t="n">
        <f aca="false">_xlfn.MAXIFS(Transaction!$C$2:$C$8421,Transaction!$B$2:$B$8421,A2458)</f>
        <v>46261</v>
      </c>
      <c r="K2458" s="6" t="n">
        <f aca="false">COUNTIF(Transaction!$B$2:$B$8421,A2458)</f>
        <v>1</v>
      </c>
      <c r="L2458" s="10" t="n">
        <f aca="false">SUMIF(Transaction!$B$2:$B$8421,A2458,Transaction!$H$2:$H$8421)</f>
        <v>2548</v>
      </c>
      <c r="M2458" s="6" t="n">
        <f aca="false">Summary!$B$3-J2458</f>
        <v>5</v>
      </c>
      <c r="N2458" s="6" t="str">
        <f aca="false">IF(K2458&gt;1,"Yes","No")</f>
        <v>No</v>
      </c>
      <c r="O2458" s="6" t="s">
        <v>47</v>
      </c>
    </row>
    <row r="2459" customFormat="false" ht="15" hidden="false" customHeight="false" outlineLevel="0" collapsed="false">
      <c r="A2459" s="6" t="s">
        <v>5027</v>
      </c>
      <c r="B2459" s="6" t="s">
        <v>5028</v>
      </c>
      <c r="C2459" s="6" t="s">
        <v>75</v>
      </c>
      <c r="D2459" s="6" t="n">
        <v>22</v>
      </c>
      <c r="E2459" s="6" t="s">
        <v>206</v>
      </c>
      <c r="F2459" s="6" t="s">
        <v>106</v>
      </c>
      <c r="G2459" s="26" t="n">
        <v>46019</v>
      </c>
      <c r="H2459" s="6" t="s">
        <v>88</v>
      </c>
      <c r="I2459" s="26" t="n">
        <f aca="false">_xlfn.MINIFS(Transaction!$C$2:$C$8421,Transaction!$B$2:$B$8421,A2459)</f>
        <v>46030</v>
      </c>
      <c r="J2459" s="26" t="n">
        <f aca="false">_xlfn.MAXIFS(Transaction!$C$2:$C$8421,Transaction!$B$2:$B$8421,A2459)</f>
        <v>46262</v>
      </c>
      <c r="K2459" s="6" t="n">
        <f aca="false">COUNTIF(Transaction!$B$2:$B$8421,A2459)</f>
        <v>7</v>
      </c>
      <c r="L2459" s="10" t="n">
        <f aca="false">SUMIF(Transaction!$B$2:$B$8421,A2459,Transaction!$H$2:$H$8421)</f>
        <v>11302</v>
      </c>
      <c r="M2459" s="6" t="n">
        <f aca="false">Summary!$B$3-J2459</f>
        <v>4</v>
      </c>
      <c r="N2459" s="6" t="str">
        <f aca="false">IF(K2459&gt;1,"Yes","No")</f>
        <v>Yes</v>
      </c>
      <c r="O2459" s="6" t="s">
        <v>45</v>
      </c>
    </row>
    <row r="2460" customFormat="false" ht="15" hidden="false" customHeight="false" outlineLevel="0" collapsed="false">
      <c r="A2460" s="6" t="s">
        <v>5029</v>
      </c>
      <c r="B2460" s="6" t="s">
        <v>5030</v>
      </c>
      <c r="C2460" s="6" t="s">
        <v>85</v>
      </c>
      <c r="D2460" s="6" t="n">
        <v>21</v>
      </c>
      <c r="E2460" s="6" t="s">
        <v>81</v>
      </c>
      <c r="F2460" s="6" t="s">
        <v>82</v>
      </c>
      <c r="G2460" s="26" t="n">
        <v>46110</v>
      </c>
      <c r="H2460" s="6" t="s">
        <v>88</v>
      </c>
      <c r="I2460" s="26" t="n">
        <f aca="false">_xlfn.MINIFS(Transaction!$C$2:$C$8421,Transaction!$B$2:$B$8421,A2460)</f>
        <v>46166</v>
      </c>
      <c r="J2460" s="26" t="n">
        <f aca="false">_xlfn.MAXIFS(Transaction!$C$2:$C$8421,Transaction!$B$2:$B$8421,A2460)</f>
        <v>46166</v>
      </c>
      <c r="K2460" s="6" t="n">
        <f aca="false">COUNTIF(Transaction!$B$2:$B$8421,A2460)</f>
        <v>1</v>
      </c>
      <c r="L2460" s="10" t="n">
        <f aca="false">SUMIF(Transaction!$B$2:$B$8421,A2460,Transaction!$H$2:$H$8421)</f>
        <v>1835</v>
      </c>
      <c r="M2460" s="6" t="n">
        <f aca="false">Summary!$B$3-J2460</f>
        <v>100</v>
      </c>
      <c r="N2460" s="6" t="str">
        <f aca="false">IF(K2460&gt;1,"Yes","No")</f>
        <v>No</v>
      </c>
      <c r="O2460" s="6" t="s">
        <v>48</v>
      </c>
    </row>
    <row r="2461" customFormat="false" ht="15" hidden="false" customHeight="false" outlineLevel="0" collapsed="false">
      <c r="A2461" s="6" t="s">
        <v>5031</v>
      </c>
      <c r="B2461" s="6" t="s">
        <v>5032</v>
      </c>
      <c r="C2461" s="6" t="s">
        <v>85</v>
      </c>
      <c r="D2461" s="6" t="n">
        <v>35</v>
      </c>
      <c r="E2461" s="6" t="s">
        <v>86</v>
      </c>
      <c r="F2461" s="6" t="s">
        <v>87</v>
      </c>
      <c r="G2461" s="26" t="n">
        <v>46048</v>
      </c>
      <c r="H2461" s="6" t="s">
        <v>123</v>
      </c>
      <c r="I2461" s="26" t="n">
        <f aca="false">_xlfn.MINIFS(Transaction!$C$2:$C$8421,Transaction!$B$2:$B$8421,A2461)</f>
        <v>46055</v>
      </c>
      <c r="J2461" s="26" t="n">
        <f aca="false">_xlfn.MAXIFS(Transaction!$C$2:$C$8421,Transaction!$B$2:$B$8421,A2461)</f>
        <v>46240</v>
      </c>
      <c r="K2461" s="6" t="n">
        <f aca="false">COUNTIF(Transaction!$B$2:$B$8421,A2461)</f>
        <v>8</v>
      </c>
      <c r="L2461" s="10" t="n">
        <f aca="false">SUMIF(Transaction!$B$2:$B$8421,A2461,Transaction!$H$2:$H$8421)</f>
        <v>50583</v>
      </c>
      <c r="M2461" s="6" t="n">
        <f aca="false">Summary!$B$3-J2461</f>
        <v>26</v>
      </c>
      <c r="N2461" s="6" t="str">
        <f aca="false">IF(K2461&gt;1,"Yes","No")</f>
        <v>Yes</v>
      </c>
      <c r="O2461" s="6" t="s">
        <v>46</v>
      </c>
    </row>
    <row r="2462" customFormat="false" ht="15" hidden="false" customHeight="false" outlineLevel="0" collapsed="false">
      <c r="A2462" s="6" t="s">
        <v>5033</v>
      </c>
      <c r="B2462" s="6" t="s">
        <v>5034</v>
      </c>
      <c r="C2462" s="6" t="s">
        <v>85</v>
      </c>
      <c r="D2462" s="6" t="n">
        <v>28</v>
      </c>
      <c r="E2462" s="6" t="s">
        <v>81</v>
      </c>
      <c r="F2462" s="6" t="s">
        <v>82</v>
      </c>
      <c r="G2462" s="26" t="n">
        <v>46087</v>
      </c>
      <c r="H2462" s="6" t="s">
        <v>115</v>
      </c>
      <c r="I2462" s="26" t="n">
        <f aca="false">_xlfn.MINIFS(Transaction!$C$2:$C$8421,Transaction!$B$2:$B$8421,A2462)</f>
        <v>46117</v>
      </c>
      <c r="J2462" s="26" t="n">
        <f aca="false">_xlfn.MAXIFS(Transaction!$C$2:$C$8421,Transaction!$B$2:$B$8421,A2462)</f>
        <v>46206</v>
      </c>
      <c r="K2462" s="6" t="n">
        <f aca="false">COUNTIF(Transaction!$B$2:$B$8421,A2462)</f>
        <v>6</v>
      </c>
      <c r="L2462" s="10" t="n">
        <f aca="false">SUMIF(Transaction!$B$2:$B$8421,A2462,Transaction!$H$2:$H$8421)</f>
        <v>7971</v>
      </c>
      <c r="M2462" s="6" t="n">
        <f aca="false">Summary!$B$3-J2462</f>
        <v>60</v>
      </c>
      <c r="N2462" s="6" t="str">
        <f aca="false">IF(K2462&gt;1,"Yes","No")</f>
        <v>Yes</v>
      </c>
      <c r="O2462" s="6" t="s">
        <v>46</v>
      </c>
    </row>
    <row r="2463" customFormat="false" ht="15" hidden="false" customHeight="false" outlineLevel="0" collapsed="false">
      <c r="A2463" s="6" t="s">
        <v>5035</v>
      </c>
      <c r="B2463" s="6" t="s">
        <v>5036</v>
      </c>
      <c r="C2463" s="6" t="s">
        <v>75</v>
      </c>
      <c r="D2463" s="6" t="n">
        <v>42</v>
      </c>
      <c r="E2463" s="6" t="s">
        <v>86</v>
      </c>
      <c r="F2463" s="6" t="s">
        <v>87</v>
      </c>
      <c r="G2463" s="26" t="n">
        <v>45980</v>
      </c>
      <c r="H2463" s="6" t="s">
        <v>88</v>
      </c>
      <c r="I2463" s="26" t="n">
        <f aca="false">_xlfn.MINIFS(Transaction!$C$2:$C$8421,Transaction!$B$2:$B$8421,A2463)</f>
        <v>46030</v>
      </c>
      <c r="J2463" s="26" t="n">
        <f aca="false">_xlfn.MAXIFS(Transaction!$C$2:$C$8421,Transaction!$B$2:$B$8421,A2463)</f>
        <v>46249</v>
      </c>
      <c r="K2463" s="6" t="n">
        <f aca="false">COUNTIF(Transaction!$B$2:$B$8421,A2463)</f>
        <v>9</v>
      </c>
      <c r="L2463" s="10" t="n">
        <f aca="false">SUMIF(Transaction!$B$2:$B$8421,A2463,Transaction!$H$2:$H$8421)</f>
        <v>30803</v>
      </c>
      <c r="M2463" s="6" t="n">
        <f aca="false">Summary!$B$3-J2463</f>
        <v>17</v>
      </c>
      <c r="N2463" s="6" t="str">
        <f aca="false">IF(K2463&gt;1,"Yes","No")</f>
        <v>Yes</v>
      </c>
      <c r="O2463" s="6" t="s">
        <v>45</v>
      </c>
    </row>
    <row r="2464" customFormat="false" ht="15" hidden="false" customHeight="false" outlineLevel="0" collapsed="false">
      <c r="A2464" s="6" t="s">
        <v>5037</v>
      </c>
      <c r="B2464" s="6" t="s">
        <v>5038</v>
      </c>
      <c r="C2464" s="6" t="s">
        <v>85</v>
      </c>
      <c r="D2464" s="6" t="n">
        <v>28</v>
      </c>
      <c r="E2464" s="6" t="s">
        <v>81</v>
      </c>
      <c r="F2464" s="6" t="s">
        <v>82</v>
      </c>
      <c r="G2464" s="26" t="n">
        <v>45946</v>
      </c>
      <c r="H2464" s="6" t="s">
        <v>115</v>
      </c>
      <c r="I2464" s="26" t="n">
        <f aca="false">_xlfn.MINIFS(Transaction!$C$2:$C$8421,Transaction!$B$2:$B$8421,A2464)</f>
        <v>46029</v>
      </c>
      <c r="J2464" s="26" t="n">
        <f aca="false">_xlfn.MAXIFS(Transaction!$C$2:$C$8421,Transaction!$B$2:$B$8421,A2464)</f>
        <v>46218</v>
      </c>
      <c r="K2464" s="6" t="n">
        <f aca="false">COUNTIF(Transaction!$B$2:$B$8421,A2464)</f>
        <v>7</v>
      </c>
      <c r="L2464" s="10" t="n">
        <f aca="false">SUMIF(Transaction!$B$2:$B$8421,A2464,Transaction!$H$2:$H$8421)</f>
        <v>14556</v>
      </c>
      <c r="M2464" s="6" t="n">
        <f aca="false">Summary!$B$3-J2464</f>
        <v>48</v>
      </c>
      <c r="N2464" s="6" t="str">
        <f aca="false">IF(K2464&gt;1,"Yes","No")</f>
        <v>Yes</v>
      </c>
      <c r="O2464" s="6" t="s">
        <v>46</v>
      </c>
    </row>
    <row r="2465" customFormat="false" ht="15" hidden="false" customHeight="false" outlineLevel="0" collapsed="false">
      <c r="A2465" s="6" t="s">
        <v>5039</v>
      </c>
      <c r="B2465" s="6" t="s">
        <v>5040</v>
      </c>
      <c r="C2465" s="6" t="s">
        <v>75</v>
      </c>
      <c r="D2465" s="6" t="n">
        <v>29</v>
      </c>
      <c r="E2465" s="6" t="s">
        <v>91</v>
      </c>
      <c r="F2465" s="6" t="s">
        <v>77</v>
      </c>
      <c r="G2465" s="26" t="n">
        <v>46124</v>
      </c>
      <c r="H2465" s="6" t="s">
        <v>115</v>
      </c>
      <c r="I2465" s="26" t="n">
        <f aca="false">_xlfn.MINIFS(Transaction!$C$2:$C$8421,Transaction!$B$2:$B$8421,A2465)</f>
        <v>46125</v>
      </c>
      <c r="J2465" s="26" t="n">
        <f aca="false">_xlfn.MAXIFS(Transaction!$C$2:$C$8421,Transaction!$B$2:$B$8421,A2465)</f>
        <v>46125</v>
      </c>
      <c r="K2465" s="6" t="n">
        <f aca="false">COUNTIF(Transaction!$B$2:$B$8421,A2465)</f>
        <v>1</v>
      </c>
      <c r="L2465" s="10" t="n">
        <f aca="false">SUMIF(Transaction!$B$2:$B$8421,A2465,Transaction!$H$2:$H$8421)</f>
        <v>782</v>
      </c>
      <c r="M2465" s="6" t="n">
        <f aca="false">Summary!$B$3-J2465</f>
        <v>141</v>
      </c>
      <c r="N2465" s="6" t="str">
        <f aca="false">IF(K2465&gt;1,"Yes","No")</f>
        <v>No</v>
      </c>
      <c r="O2465" s="6" t="s">
        <v>48</v>
      </c>
    </row>
    <row r="2466" customFormat="false" ht="15" hidden="false" customHeight="false" outlineLevel="0" collapsed="false">
      <c r="A2466" s="6" t="s">
        <v>5041</v>
      </c>
      <c r="B2466" s="6" t="s">
        <v>5042</v>
      </c>
      <c r="C2466" s="6" t="s">
        <v>75</v>
      </c>
      <c r="D2466" s="6" t="n">
        <v>45</v>
      </c>
      <c r="E2466" s="6" t="s">
        <v>76</v>
      </c>
      <c r="F2466" s="6" t="s">
        <v>77</v>
      </c>
      <c r="G2466" s="26" t="n">
        <v>46124</v>
      </c>
      <c r="H2466" s="6" t="s">
        <v>78</v>
      </c>
      <c r="I2466" s="26" t="n">
        <f aca="false">_xlfn.MINIFS(Transaction!$C$2:$C$8421,Transaction!$B$2:$B$8421,A2466)</f>
        <v>46173</v>
      </c>
      <c r="J2466" s="26" t="n">
        <f aca="false">_xlfn.MAXIFS(Transaction!$C$2:$C$8421,Transaction!$B$2:$B$8421,A2466)</f>
        <v>46173</v>
      </c>
      <c r="K2466" s="6" t="n">
        <f aca="false">COUNTIF(Transaction!$B$2:$B$8421,A2466)</f>
        <v>1</v>
      </c>
      <c r="L2466" s="10" t="n">
        <f aca="false">SUMIF(Transaction!$B$2:$B$8421,A2466,Transaction!$H$2:$H$8421)</f>
        <v>3243</v>
      </c>
      <c r="M2466" s="6" t="n">
        <f aca="false">Summary!$B$3-J2466</f>
        <v>93</v>
      </c>
      <c r="N2466" s="6" t="str">
        <f aca="false">IF(K2466&gt;1,"Yes","No")</f>
        <v>No</v>
      </c>
      <c r="O2466" s="6" t="s">
        <v>48</v>
      </c>
    </row>
    <row r="2467" customFormat="false" ht="15" hidden="false" customHeight="false" outlineLevel="0" collapsed="false">
      <c r="A2467" s="6" t="s">
        <v>5043</v>
      </c>
      <c r="B2467" s="6" t="s">
        <v>5044</v>
      </c>
      <c r="C2467" s="6" t="s">
        <v>85</v>
      </c>
      <c r="D2467" s="6" t="n">
        <v>22</v>
      </c>
      <c r="E2467" s="6" t="s">
        <v>134</v>
      </c>
      <c r="F2467" s="6" t="s">
        <v>135</v>
      </c>
      <c r="G2467" s="26" t="n">
        <v>46049</v>
      </c>
      <c r="H2467" s="6" t="s">
        <v>78</v>
      </c>
      <c r="I2467" s="26" t="n">
        <f aca="false">_xlfn.MINIFS(Transaction!$C$2:$C$8421,Transaction!$B$2:$B$8421,A2467)</f>
        <v>46094</v>
      </c>
      <c r="J2467" s="26" t="n">
        <f aca="false">_xlfn.MAXIFS(Transaction!$C$2:$C$8421,Transaction!$B$2:$B$8421,A2467)</f>
        <v>46260</v>
      </c>
      <c r="K2467" s="6" t="n">
        <f aca="false">COUNTIF(Transaction!$B$2:$B$8421,A2467)</f>
        <v>8</v>
      </c>
      <c r="L2467" s="10" t="n">
        <f aca="false">SUMIF(Transaction!$B$2:$B$8421,A2467,Transaction!$H$2:$H$8421)</f>
        <v>14893</v>
      </c>
      <c r="M2467" s="6" t="n">
        <f aca="false">Summary!$B$3-J2467</f>
        <v>6</v>
      </c>
      <c r="N2467" s="6" t="str">
        <f aca="false">IF(K2467&gt;1,"Yes","No")</f>
        <v>Yes</v>
      </c>
      <c r="O2467" s="6" t="s">
        <v>45</v>
      </c>
    </row>
    <row r="2468" customFormat="false" ht="15" hidden="false" customHeight="false" outlineLevel="0" collapsed="false">
      <c r="A2468" s="6" t="s">
        <v>5045</v>
      </c>
      <c r="B2468" s="6" t="s">
        <v>5046</v>
      </c>
      <c r="C2468" s="6" t="s">
        <v>75</v>
      </c>
      <c r="D2468" s="6" t="n">
        <v>33</v>
      </c>
      <c r="E2468" s="6" t="s">
        <v>86</v>
      </c>
      <c r="F2468" s="6" t="s">
        <v>87</v>
      </c>
      <c r="G2468" s="26" t="n">
        <v>46095</v>
      </c>
      <c r="H2468" s="6" t="s">
        <v>115</v>
      </c>
      <c r="I2468" s="26" t="n">
        <f aca="false">_xlfn.MINIFS(Transaction!$C$2:$C$8421,Transaction!$B$2:$B$8421,A2468)</f>
        <v>46176</v>
      </c>
      <c r="J2468" s="26" t="n">
        <f aca="false">_xlfn.MAXIFS(Transaction!$C$2:$C$8421,Transaction!$B$2:$B$8421,A2468)</f>
        <v>46176</v>
      </c>
      <c r="K2468" s="6" t="n">
        <f aca="false">COUNTIF(Transaction!$B$2:$B$8421,A2468)</f>
        <v>1</v>
      </c>
      <c r="L2468" s="10" t="n">
        <f aca="false">SUMIF(Transaction!$B$2:$B$8421,A2468,Transaction!$H$2:$H$8421)</f>
        <v>1584</v>
      </c>
      <c r="M2468" s="6" t="n">
        <f aca="false">Summary!$B$3-J2468</f>
        <v>90</v>
      </c>
      <c r="N2468" s="6" t="str">
        <f aca="false">IF(K2468&gt;1,"Yes","No")</f>
        <v>No</v>
      </c>
      <c r="O2468" s="6" t="s">
        <v>47</v>
      </c>
    </row>
    <row r="2469" customFormat="false" ht="15" hidden="false" customHeight="false" outlineLevel="0" collapsed="false">
      <c r="A2469" s="6" t="s">
        <v>5047</v>
      </c>
      <c r="B2469" s="6" t="s">
        <v>5048</v>
      </c>
      <c r="C2469" s="6" t="s">
        <v>85</v>
      </c>
      <c r="D2469" s="6" t="n">
        <v>42</v>
      </c>
      <c r="E2469" s="6" t="s">
        <v>121</v>
      </c>
      <c r="F2469" s="6" t="s">
        <v>122</v>
      </c>
      <c r="G2469" s="26" t="n">
        <v>46070</v>
      </c>
      <c r="H2469" s="6" t="s">
        <v>88</v>
      </c>
      <c r="I2469" s="26" t="n">
        <f aca="false">_xlfn.MINIFS(Transaction!$C$2:$C$8421,Transaction!$B$2:$B$8421,A2469)</f>
        <v>46130</v>
      </c>
      <c r="J2469" s="26" t="n">
        <f aca="false">_xlfn.MAXIFS(Transaction!$C$2:$C$8421,Transaction!$B$2:$B$8421,A2469)</f>
        <v>46189</v>
      </c>
      <c r="K2469" s="6" t="n">
        <f aca="false">COUNTIF(Transaction!$B$2:$B$8421,A2469)</f>
        <v>4</v>
      </c>
      <c r="L2469" s="10" t="n">
        <f aca="false">SUMIF(Transaction!$B$2:$B$8421,A2469,Transaction!$H$2:$H$8421)</f>
        <v>6002</v>
      </c>
      <c r="M2469" s="6" t="n">
        <f aca="false">Summary!$B$3-J2469</f>
        <v>77</v>
      </c>
      <c r="N2469" s="6" t="str">
        <f aca="false">IF(K2469&gt;1,"Yes","No")</f>
        <v>Yes</v>
      </c>
      <c r="O2469" s="6" t="s">
        <v>46</v>
      </c>
    </row>
    <row r="2470" customFormat="false" ht="15" hidden="false" customHeight="false" outlineLevel="0" collapsed="false">
      <c r="A2470" s="6" t="s">
        <v>5049</v>
      </c>
      <c r="B2470" s="6" t="s">
        <v>5050</v>
      </c>
      <c r="C2470" s="6" t="s">
        <v>75</v>
      </c>
      <c r="D2470" s="6" t="n">
        <v>33</v>
      </c>
      <c r="E2470" s="6" t="s">
        <v>95</v>
      </c>
      <c r="F2470" s="6" t="s">
        <v>95</v>
      </c>
      <c r="G2470" s="26" t="n">
        <v>46147</v>
      </c>
      <c r="H2470" s="6" t="s">
        <v>102</v>
      </c>
      <c r="I2470" s="26" t="n">
        <f aca="false">_xlfn.MINIFS(Transaction!$C$2:$C$8421,Transaction!$B$2:$B$8421,A2470)</f>
        <v>46147</v>
      </c>
      <c r="J2470" s="26" t="n">
        <f aca="false">_xlfn.MAXIFS(Transaction!$C$2:$C$8421,Transaction!$B$2:$B$8421,A2470)</f>
        <v>46147</v>
      </c>
      <c r="K2470" s="6" t="n">
        <f aca="false">COUNTIF(Transaction!$B$2:$B$8421,A2470)</f>
        <v>1</v>
      </c>
      <c r="L2470" s="10" t="n">
        <f aca="false">SUMIF(Transaction!$B$2:$B$8421,A2470,Transaction!$H$2:$H$8421)</f>
        <v>2294</v>
      </c>
      <c r="M2470" s="6" t="n">
        <f aca="false">Summary!$B$3-J2470</f>
        <v>119</v>
      </c>
      <c r="N2470" s="6" t="str">
        <f aca="false">IF(K2470&gt;1,"Yes","No")</f>
        <v>No</v>
      </c>
      <c r="O2470" s="6" t="s">
        <v>48</v>
      </c>
    </row>
    <row r="2471" customFormat="false" ht="15" hidden="false" customHeight="false" outlineLevel="0" collapsed="false">
      <c r="A2471" s="6" t="s">
        <v>5051</v>
      </c>
      <c r="B2471" s="6" t="s">
        <v>5052</v>
      </c>
      <c r="C2471" s="6" t="s">
        <v>75</v>
      </c>
      <c r="D2471" s="6" t="n">
        <v>28</v>
      </c>
      <c r="E2471" s="6" t="s">
        <v>98</v>
      </c>
      <c r="F2471" s="6" t="s">
        <v>99</v>
      </c>
      <c r="G2471" s="26" t="n">
        <v>46172</v>
      </c>
      <c r="H2471" s="6" t="s">
        <v>115</v>
      </c>
      <c r="I2471" s="26" t="n">
        <f aca="false">_xlfn.MINIFS(Transaction!$C$2:$C$8421,Transaction!$B$2:$B$8421,A2471)</f>
        <v>46233</v>
      </c>
      <c r="J2471" s="26" t="n">
        <f aca="false">_xlfn.MAXIFS(Transaction!$C$2:$C$8421,Transaction!$B$2:$B$8421,A2471)</f>
        <v>46233</v>
      </c>
      <c r="K2471" s="6" t="n">
        <f aca="false">COUNTIF(Transaction!$B$2:$B$8421,A2471)</f>
        <v>1</v>
      </c>
      <c r="L2471" s="10" t="n">
        <f aca="false">SUMIF(Transaction!$B$2:$B$8421,A2471,Transaction!$H$2:$H$8421)</f>
        <v>4106</v>
      </c>
      <c r="M2471" s="6" t="n">
        <f aca="false">Summary!$B$3-J2471</f>
        <v>33</v>
      </c>
      <c r="N2471" s="6" t="str">
        <f aca="false">IF(K2471&gt;1,"Yes","No")</f>
        <v>No</v>
      </c>
      <c r="O2471" s="6" t="s">
        <v>47</v>
      </c>
    </row>
    <row r="2472" customFormat="false" ht="15" hidden="false" customHeight="false" outlineLevel="0" collapsed="false">
      <c r="A2472" s="6" t="s">
        <v>5053</v>
      </c>
      <c r="B2472" s="6" t="s">
        <v>5054</v>
      </c>
      <c r="C2472" s="6" t="s">
        <v>75</v>
      </c>
      <c r="D2472" s="6" t="n">
        <v>42</v>
      </c>
      <c r="E2472" s="6" t="s">
        <v>76</v>
      </c>
      <c r="F2472" s="6" t="s">
        <v>77</v>
      </c>
      <c r="G2472" s="26" t="n">
        <v>46141</v>
      </c>
      <c r="H2472" s="6" t="s">
        <v>78</v>
      </c>
      <c r="I2472" s="26" t="n">
        <f aca="false">_xlfn.MINIFS(Transaction!$C$2:$C$8421,Transaction!$B$2:$B$8421,A2472)</f>
        <v>46146</v>
      </c>
      <c r="J2472" s="26" t="n">
        <f aca="false">_xlfn.MAXIFS(Transaction!$C$2:$C$8421,Transaction!$B$2:$B$8421,A2472)</f>
        <v>46146</v>
      </c>
      <c r="K2472" s="6" t="n">
        <f aca="false">COUNTIF(Transaction!$B$2:$B$8421,A2472)</f>
        <v>1</v>
      </c>
      <c r="L2472" s="10" t="n">
        <f aca="false">SUMIF(Transaction!$B$2:$B$8421,A2472,Transaction!$H$2:$H$8421)</f>
        <v>928</v>
      </c>
      <c r="M2472" s="6" t="n">
        <f aca="false">Summary!$B$3-J2472</f>
        <v>120</v>
      </c>
      <c r="N2472" s="6" t="str">
        <f aca="false">IF(K2472&gt;1,"Yes","No")</f>
        <v>No</v>
      </c>
      <c r="O2472" s="6" t="s">
        <v>48</v>
      </c>
    </row>
    <row r="2473" customFormat="false" ht="15" hidden="false" customHeight="false" outlineLevel="0" collapsed="false">
      <c r="A2473" s="6" t="s">
        <v>5055</v>
      </c>
      <c r="B2473" s="6" t="s">
        <v>5056</v>
      </c>
      <c r="C2473" s="6" t="s">
        <v>75</v>
      </c>
      <c r="D2473" s="6" t="n">
        <v>18</v>
      </c>
      <c r="E2473" s="6" t="s">
        <v>180</v>
      </c>
      <c r="F2473" s="6" t="s">
        <v>181</v>
      </c>
      <c r="G2473" s="26" t="n">
        <v>46064</v>
      </c>
      <c r="H2473" s="6" t="s">
        <v>115</v>
      </c>
      <c r="I2473" s="26" t="n">
        <f aca="false">_xlfn.MINIFS(Transaction!$C$2:$C$8421,Transaction!$B$2:$B$8421,A2473)</f>
        <v>46075</v>
      </c>
      <c r="J2473" s="26" t="n">
        <f aca="false">_xlfn.MAXIFS(Transaction!$C$2:$C$8421,Transaction!$B$2:$B$8421,A2473)</f>
        <v>46246</v>
      </c>
      <c r="K2473" s="6" t="n">
        <f aca="false">COUNTIF(Transaction!$B$2:$B$8421,A2473)</f>
        <v>7</v>
      </c>
      <c r="L2473" s="10" t="n">
        <f aca="false">SUMIF(Transaction!$B$2:$B$8421,A2473,Transaction!$H$2:$H$8421)</f>
        <v>8529</v>
      </c>
      <c r="M2473" s="6" t="n">
        <f aca="false">Summary!$B$3-J2473</f>
        <v>20</v>
      </c>
      <c r="N2473" s="6" t="str">
        <f aca="false">IF(K2473&gt;1,"Yes","No")</f>
        <v>Yes</v>
      </c>
      <c r="O2473" s="6" t="s">
        <v>46</v>
      </c>
    </row>
    <row r="2474" customFormat="false" ht="15" hidden="false" customHeight="false" outlineLevel="0" collapsed="false">
      <c r="A2474" s="6" t="s">
        <v>5057</v>
      </c>
      <c r="B2474" s="6" t="s">
        <v>5058</v>
      </c>
      <c r="C2474" s="6" t="s">
        <v>75</v>
      </c>
      <c r="D2474" s="6" t="n">
        <v>31</v>
      </c>
      <c r="E2474" s="6" t="s">
        <v>76</v>
      </c>
      <c r="F2474" s="6" t="s">
        <v>77</v>
      </c>
      <c r="G2474" s="26" t="n">
        <v>46118</v>
      </c>
      <c r="H2474" s="6" t="s">
        <v>78</v>
      </c>
      <c r="I2474" s="26" t="n">
        <f aca="false">_xlfn.MINIFS(Transaction!$C$2:$C$8421,Transaction!$B$2:$B$8421,A2474)</f>
        <v>46194</v>
      </c>
      <c r="J2474" s="26" t="n">
        <f aca="false">_xlfn.MAXIFS(Transaction!$C$2:$C$8421,Transaction!$B$2:$B$8421,A2474)</f>
        <v>46194</v>
      </c>
      <c r="K2474" s="6" t="n">
        <f aca="false">COUNTIF(Transaction!$B$2:$B$8421,A2474)</f>
        <v>1</v>
      </c>
      <c r="L2474" s="10" t="n">
        <f aca="false">SUMIF(Transaction!$B$2:$B$8421,A2474,Transaction!$H$2:$H$8421)</f>
        <v>1564</v>
      </c>
      <c r="M2474" s="6" t="n">
        <f aca="false">Summary!$B$3-J2474</f>
        <v>72</v>
      </c>
      <c r="N2474" s="6" t="str">
        <f aca="false">IF(K2474&gt;1,"Yes","No")</f>
        <v>No</v>
      </c>
      <c r="O2474" s="6" t="s">
        <v>47</v>
      </c>
    </row>
    <row r="2475" customFormat="false" ht="15" hidden="false" customHeight="false" outlineLevel="0" collapsed="false">
      <c r="A2475" s="6" t="s">
        <v>5059</v>
      </c>
      <c r="B2475" s="6" t="s">
        <v>5060</v>
      </c>
      <c r="C2475" s="6" t="s">
        <v>85</v>
      </c>
      <c r="D2475" s="6" t="n">
        <v>25</v>
      </c>
      <c r="E2475" s="6" t="s">
        <v>237</v>
      </c>
      <c r="F2475" s="6" t="s">
        <v>87</v>
      </c>
      <c r="G2475" s="26" t="n">
        <v>46061</v>
      </c>
      <c r="H2475" s="6" t="s">
        <v>123</v>
      </c>
      <c r="I2475" s="26" t="n">
        <f aca="false">_xlfn.MINIFS(Transaction!$C$2:$C$8421,Transaction!$B$2:$B$8421,A2475)</f>
        <v>46110</v>
      </c>
      <c r="J2475" s="26" t="n">
        <f aca="false">_xlfn.MAXIFS(Transaction!$C$2:$C$8421,Transaction!$B$2:$B$8421,A2475)</f>
        <v>46185</v>
      </c>
      <c r="K2475" s="6" t="n">
        <f aca="false">COUNTIF(Transaction!$B$2:$B$8421,A2475)</f>
        <v>3</v>
      </c>
      <c r="L2475" s="10" t="n">
        <f aca="false">SUMIF(Transaction!$B$2:$B$8421,A2475,Transaction!$H$2:$H$8421)</f>
        <v>6036</v>
      </c>
      <c r="M2475" s="6" t="n">
        <f aca="false">Summary!$B$3-J2475</f>
        <v>81</v>
      </c>
      <c r="N2475" s="6" t="str">
        <f aca="false">IF(K2475&gt;1,"Yes","No")</f>
        <v>Yes</v>
      </c>
      <c r="O2475" s="6" t="s">
        <v>46</v>
      </c>
    </row>
    <row r="2476" customFormat="false" ht="15" hidden="false" customHeight="false" outlineLevel="0" collapsed="false">
      <c r="A2476" s="6" t="s">
        <v>5061</v>
      </c>
      <c r="B2476" s="6" t="s">
        <v>5062</v>
      </c>
      <c r="C2476" s="6" t="s">
        <v>85</v>
      </c>
      <c r="D2476" s="6" t="n">
        <v>34</v>
      </c>
      <c r="E2476" s="6" t="s">
        <v>237</v>
      </c>
      <c r="F2476" s="6" t="s">
        <v>87</v>
      </c>
      <c r="G2476" s="26" t="n">
        <v>46006</v>
      </c>
      <c r="H2476" s="6" t="s">
        <v>78</v>
      </c>
      <c r="I2476" s="26" t="n">
        <f aca="false">_xlfn.MINIFS(Transaction!$C$2:$C$8421,Transaction!$B$2:$B$8421,A2476)</f>
        <v>46033</v>
      </c>
      <c r="J2476" s="26" t="n">
        <f aca="false">_xlfn.MAXIFS(Transaction!$C$2:$C$8421,Transaction!$B$2:$B$8421,A2476)</f>
        <v>46255</v>
      </c>
      <c r="K2476" s="6" t="n">
        <f aca="false">COUNTIF(Transaction!$B$2:$B$8421,A2476)</f>
        <v>7</v>
      </c>
      <c r="L2476" s="10" t="n">
        <f aca="false">SUMIF(Transaction!$B$2:$B$8421,A2476,Transaction!$H$2:$H$8421)</f>
        <v>27694</v>
      </c>
      <c r="M2476" s="6" t="n">
        <f aca="false">Summary!$B$3-J2476</f>
        <v>11</v>
      </c>
      <c r="N2476" s="6" t="str">
        <f aca="false">IF(K2476&gt;1,"Yes","No")</f>
        <v>Yes</v>
      </c>
      <c r="O2476" s="6" t="s">
        <v>45</v>
      </c>
    </row>
    <row r="2477" customFormat="false" ht="15" hidden="false" customHeight="false" outlineLevel="0" collapsed="false">
      <c r="A2477" s="6" t="s">
        <v>5063</v>
      </c>
      <c r="B2477" s="6" t="s">
        <v>5064</v>
      </c>
      <c r="C2477" s="6" t="s">
        <v>75</v>
      </c>
      <c r="D2477" s="6" t="n">
        <v>30</v>
      </c>
      <c r="E2477" s="6" t="s">
        <v>121</v>
      </c>
      <c r="F2477" s="6" t="s">
        <v>122</v>
      </c>
      <c r="G2477" s="26" t="n">
        <v>45965</v>
      </c>
      <c r="H2477" s="6" t="s">
        <v>123</v>
      </c>
      <c r="I2477" s="26" t="n">
        <f aca="false">_xlfn.MINIFS(Transaction!$C$2:$C$8421,Transaction!$B$2:$B$8421,A2477)</f>
        <v>46027</v>
      </c>
      <c r="J2477" s="26" t="n">
        <f aca="false">_xlfn.MAXIFS(Transaction!$C$2:$C$8421,Transaction!$B$2:$B$8421,A2477)</f>
        <v>46253</v>
      </c>
      <c r="K2477" s="6" t="n">
        <f aca="false">COUNTIF(Transaction!$B$2:$B$8421,A2477)</f>
        <v>4</v>
      </c>
      <c r="L2477" s="10" t="n">
        <f aca="false">SUMIF(Transaction!$B$2:$B$8421,A2477,Transaction!$H$2:$H$8421)</f>
        <v>7661</v>
      </c>
      <c r="M2477" s="6" t="n">
        <f aca="false">Summary!$B$3-J2477</f>
        <v>13</v>
      </c>
      <c r="N2477" s="6" t="str">
        <f aca="false">IF(K2477&gt;1,"Yes","No")</f>
        <v>Yes</v>
      </c>
      <c r="O2477" s="6" t="s">
        <v>46</v>
      </c>
    </row>
    <row r="2478" customFormat="false" ht="15" hidden="false" customHeight="false" outlineLevel="0" collapsed="false">
      <c r="A2478" s="6" t="s">
        <v>5065</v>
      </c>
      <c r="B2478" s="6" t="s">
        <v>5066</v>
      </c>
      <c r="C2478" s="6" t="s">
        <v>85</v>
      </c>
      <c r="D2478" s="6" t="n">
        <v>27</v>
      </c>
      <c r="E2478" s="6" t="s">
        <v>264</v>
      </c>
      <c r="F2478" s="6" t="s">
        <v>106</v>
      </c>
      <c r="G2478" s="26" t="n">
        <v>46126</v>
      </c>
      <c r="H2478" s="6" t="s">
        <v>115</v>
      </c>
      <c r="I2478" s="26" t="n">
        <f aca="false">_xlfn.MINIFS(Transaction!$C$2:$C$8421,Transaction!$B$2:$B$8421,A2478)</f>
        <v>46140</v>
      </c>
      <c r="J2478" s="26" t="n">
        <f aca="false">_xlfn.MAXIFS(Transaction!$C$2:$C$8421,Transaction!$B$2:$B$8421,A2478)</f>
        <v>46140</v>
      </c>
      <c r="K2478" s="6" t="n">
        <f aca="false">COUNTIF(Transaction!$B$2:$B$8421,A2478)</f>
        <v>1</v>
      </c>
      <c r="L2478" s="10" t="n">
        <f aca="false">SUMIF(Transaction!$B$2:$B$8421,A2478,Transaction!$H$2:$H$8421)</f>
        <v>2232</v>
      </c>
      <c r="M2478" s="6" t="n">
        <f aca="false">Summary!$B$3-J2478</f>
        <v>126</v>
      </c>
      <c r="N2478" s="6" t="str">
        <f aca="false">IF(K2478&gt;1,"Yes","No")</f>
        <v>No</v>
      </c>
      <c r="O2478" s="6" t="s">
        <v>48</v>
      </c>
    </row>
    <row r="2479" customFormat="false" ht="15" hidden="false" customHeight="false" outlineLevel="0" collapsed="false">
      <c r="A2479" s="6" t="s">
        <v>5067</v>
      </c>
      <c r="B2479" s="6" t="s">
        <v>5068</v>
      </c>
      <c r="C2479" s="6" t="s">
        <v>75</v>
      </c>
      <c r="D2479" s="6" t="n">
        <v>40</v>
      </c>
      <c r="E2479" s="6" t="s">
        <v>76</v>
      </c>
      <c r="F2479" s="6" t="s">
        <v>77</v>
      </c>
      <c r="G2479" s="26" t="n">
        <v>46143</v>
      </c>
      <c r="H2479" s="6" t="s">
        <v>92</v>
      </c>
      <c r="I2479" s="26" t="n">
        <f aca="false">_xlfn.MINIFS(Transaction!$C$2:$C$8421,Transaction!$B$2:$B$8421,A2479)</f>
        <v>46220</v>
      </c>
      <c r="J2479" s="26" t="n">
        <f aca="false">_xlfn.MAXIFS(Transaction!$C$2:$C$8421,Transaction!$B$2:$B$8421,A2479)</f>
        <v>46220</v>
      </c>
      <c r="K2479" s="6" t="n">
        <f aca="false">COUNTIF(Transaction!$B$2:$B$8421,A2479)</f>
        <v>1</v>
      </c>
      <c r="L2479" s="10" t="n">
        <f aca="false">SUMIF(Transaction!$B$2:$B$8421,A2479,Transaction!$H$2:$H$8421)</f>
        <v>2202</v>
      </c>
      <c r="M2479" s="6" t="n">
        <f aca="false">Summary!$B$3-J2479</f>
        <v>46</v>
      </c>
      <c r="N2479" s="6" t="str">
        <f aca="false">IF(K2479&gt;1,"Yes","No")</f>
        <v>No</v>
      </c>
      <c r="O2479" s="6" t="s">
        <v>47</v>
      </c>
    </row>
    <row r="2480" customFormat="false" ht="15" hidden="false" customHeight="false" outlineLevel="0" collapsed="false">
      <c r="A2480" s="6" t="s">
        <v>5069</v>
      </c>
      <c r="B2480" s="6" t="s">
        <v>5070</v>
      </c>
      <c r="C2480" s="6" t="s">
        <v>85</v>
      </c>
      <c r="D2480" s="6" t="n">
        <v>34</v>
      </c>
      <c r="E2480" s="6" t="s">
        <v>176</v>
      </c>
      <c r="F2480" s="6" t="s">
        <v>177</v>
      </c>
      <c r="G2480" s="26" t="n">
        <v>46065</v>
      </c>
      <c r="H2480" s="6" t="s">
        <v>115</v>
      </c>
      <c r="I2480" s="26" t="n">
        <f aca="false">_xlfn.MINIFS(Transaction!$C$2:$C$8421,Transaction!$B$2:$B$8421,A2480)</f>
        <v>46127</v>
      </c>
      <c r="J2480" s="26" t="n">
        <f aca="false">_xlfn.MAXIFS(Transaction!$C$2:$C$8421,Transaction!$B$2:$B$8421,A2480)</f>
        <v>46127</v>
      </c>
      <c r="K2480" s="6" t="n">
        <f aca="false">COUNTIF(Transaction!$B$2:$B$8421,A2480)</f>
        <v>1</v>
      </c>
      <c r="L2480" s="10" t="n">
        <f aca="false">SUMIF(Transaction!$B$2:$B$8421,A2480,Transaction!$H$2:$H$8421)</f>
        <v>1741</v>
      </c>
      <c r="M2480" s="6" t="n">
        <f aca="false">Summary!$B$3-J2480</f>
        <v>139</v>
      </c>
      <c r="N2480" s="6" t="str">
        <f aca="false">IF(K2480&gt;1,"Yes","No")</f>
        <v>No</v>
      </c>
      <c r="O2480" s="6" t="s">
        <v>48</v>
      </c>
    </row>
    <row r="2481" customFormat="false" ht="15" hidden="false" customHeight="false" outlineLevel="0" collapsed="false">
      <c r="A2481" s="6" t="s">
        <v>5071</v>
      </c>
      <c r="B2481" s="6" t="s">
        <v>5072</v>
      </c>
      <c r="C2481" s="6" t="s">
        <v>75</v>
      </c>
      <c r="D2481" s="6" t="n">
        <v>36</v>
      </c>
      <c r="E2481" s="6" t="s">
        <v>86</v>
      </c>
      <c r="F2481" s="6" t="s">
        <v>87</v>
      </c>
      <c r="G2481" s="26" t="n">
        <v>46091</v>
      </c>
      <c r="H2481" s="6" t="s">
        <v>115</v>
      </c>
      <c r="I2481" s="26" t="n">
        <f aca="false">_xlfn.MINIFS(Transaction!$C$2:$C$8421,Transaction!$B$2:$B$8421,A2481)</f>
        <v>46158</v>
      </c>
      <c r="J2481" s="26" t="n">
        <f aca="false">_xlfn.MAXIFS(Transaction!$C$2:$C$8421,Transaction!$B$2:$B$8421,A2481)</f>
        <v>46158</v>
      </c>
      <c r="K2481" s="6" t="n">
        <f aca="false">COUNTIF(Transaction!$B$2:$B$8421,A2481)</f>
        <v>1</v>
      </c>
      <c r="L2481" s="10" t="n">
        <f aca="false">SUMIF(Transaction!$B$2:$B$8421,A2481,Transaction!$H$2:$H$8421)</f>
        <v>1026</v>
      </c>
      <c r="M2481" s="6" t="n">
        <f aca="false">Summary!$B$3-J2481</f>
        <v>108</v>
      </c>
      <c r="N2481" s="6" t="str">
        <f aca="false">IF(K2481&gt;1,"Yes","No")</f>
        <v>No</v>
      </c>
      <c r="O2481" s="6" t="s">
        <v>48</v>
      </c>
    </row>
    <row r="2482" customFormat="false" ht="15" hidden="false" customHeight="false" outlineLevel="0" collapsed="false">
      <c r="A2482" s="6" t="s">
        <v>5073</v>
      </c>
      <c r="B2482" s="6" t="s">
        <v>5074</v>
      </c>
      <c r="C2482" s="6" t="s">
        <v>75</v>
      </c>
      <c r="D2482" s="6" t="n">
        <v>40</v>
      </c>
      <c r="E2482" s="6" t="s">
        <v>81</v>
      </c>
      <c r="F2482" s="6" t="s">
        <v>82</v>
      </c>
      <c r="G2482" s="26" t="n">
        <v>45997</v>
      </c>
      <c r="H2482" s="6" t="s">
        <v>115</v>
      </c>
      <c r="I2482" s="26" t="n">
        <f aca="false">_xlfn.MINIFS(Transaction!$C$2:$C$8421,Transaction!$B$2:$B$8421,A2482)</f>
        <v>46052</v>
      </c>
      <c r="J2482" s="26" t="n">
        <f aca="false">_xlfn.MAXIFS(Transaction!$C$2:$C$8421,Transaction!$B$2:$B$8421,A2482)</f>
        <v>46258</v>
      </c>
      <c r="K2482" s="6" t="n">
        <f aca="false">COUNTIF(Transaction!$B$2:$B$8421,A2482)</f>
        <v>13</v>
      </c>
      <c r="L2482" s="10" t="n">
        <f aca="false">SUMIF(Transaction!$B$2:$B$8421,A2482,Transaction!$H$2:$H$8421)</f>
        <v>30835</v>
      </c>
      <c r="M2482" s="6" t="n">
        <f aca="false">Summary!$B$3-J2482</f>
        <v>8</v>
      </c>
      <c r="N2482" s="6" t="str">
        <f aca="false">IF(K2482&gt;1,"Yes","No")</f>
        <v>Yes</v>
      </c>
      <c r="O2482" s="6" t="s">
        <v>45</v>
      </c>
    </row>
    <row r="2483" customFormat="false" ht="15" hidden="false" customHeight="false" outlineLevel="0" collapsed="false">
      <c r="A2483" s="6" t="s">
        <v>5075</v>
      </c>
      <c r="B2483" s="6" t="s">
        <v>5076</v>
      </c>
      <c r="C2483" s="6" t="s">
        <v>75</v>
      </c>
      <c r="D2483" s="6" t="n">
        <v>18</v>
      </c>
      <c r="E2483" s="6" t="s">
        <v>134</v>
      </c>
      <c r="F2483" s="6" t="s">
        <v>135</v>
      </c>
      <c r="G2483" s="26" t="n">
        <v>45984</v>
      </c>
      <c r="H2483" s="6" t="s">
        <v>115</v>
      </c>
      <c r="I2483" s="26" t="n">
        <f aca="false">_xlfn.MINIFS(Transaction!$C$2:$C$8421,Transaction!$B$2:$B$8421,A2483)</f>
        <v>46034</v>
      </c>
      <c r="J2483" s="26" t="n">
        <f aca="false">_xlfn.MAXIFS(Transaction!$C$2:$C$8421,Transaction!$B$2:$B$8421,A2483)</f>
        <v>46034</v>
      </c>
      <c r="K2483" s="6" t="n">
        <f aca="false">COUNTIF(Transaction!$B$2:$B$8421,A2483)</f>
        <v>1</v>
      </c>
      <c r="L2483" s="10" t="n">
        <f aca="false">SUMIF(Transaction!$B$2:$B$8421,A2483,Transaction!$H$2:$H$8421)</f>
        <v>1856</v>
      </c>
      <c r="M2483" s="6" t="n">
        <f aca="false">Summary!$B$3-J2483</f>
        <v>232</v>
      </c>
      <c r="N2483" s="6" t="str">
        <f aca="false">IF(K2483&gt;1,"Yes","No")</f>
        <v>No</v>
      </c>
      <c r="O2483" s="6" t="s">
        <v>49</v>
      </c>
    </row>
    <row r="2484" customFormat="false" ht="15" hidden="false" customHeight="false" outlineLevel="0" collapsed="false">
      <c r="A2484" s="6" t="s">
        <v>5077</v>
      </c>
      <c r="B2484" s="6" t="s">
        <v>5078</v>
      </c>
      <c r="C2484" s="6" t="s">
        <v>75</v>
      </c>
      <c r="D2484" s="6" t="n">
        <v>30</v>
      </c>
      <c r="E2484" s="6" t="s">
        <v>95</v>
      </c>
      <c r="F2484" s="6" t="s">
        <v>95</v>
      </c>
      <c r="G2484" s="26" t="n">
        <v>46014</v>
      </c>
      <c r="H2484" s="6" t="s">
        <v>102</v>
      </c>
      <c r="I2484" s="26" t="n">
        <f aca="false">_xlfn.MINIFS(Transaction!$C$2:$C$8421,Transaction!$B$2:$B$8421,A2484)</f>
        <v>46032</v>
      </c>
      <c r="J2484" s="26" t="n">
        <f aca="false">_xlfn.MAXIFS(Transaction!$C$2:$C$8421,Transaction!$B$2:$B$8421,A2484)</f>
        <v>46032</v>
      </c>
      <c r="K2484" s="6" t="n">
        <f aca="false">COUNTIF(Transaction!$B$2:$B$8421,A2484)</f>
        <v>1</v>
      </c>
      <c r="L2484" s="10" t="n">
        <f aca="false">SUMIF(Transaction!$B$2:$B$8421,A2484,Transaction!$H$2:$H$8421)</f>
        <v>1965</v>
      </c>
      <c r="M2484" s="6" t="n">
        <f aca="false">Summary!$B$3-J2484</f>
        <v>234</v>
      </c>
      <c r="N2484" s="6" t="str">
        <f aca="false">IF(K2484&gt;1,"Yes","No")</f>
        <v>No</v>
      </c>
      <c r="O2484" s="6" t="s">
        <v>49</v>
      </c>
    </row>
    <row r="2485" customFormat="false" ht="15" hidden="false" customHeight="false" outlineLevel="0" collapsed="false">
      <c r="A2485" s="6" t="s">
        <v>5079</v>
      </c>
      <c r="B2485" s="6" t="s">
        <v>5080</v>
      </c>
      <c r="C2485" s="6" t="s">
        <v>85</v>
      </c>
      <c r="D2485" s="6" t="n">
        <v>31</v>
      </c>
      <c r="E2485" s="6" t="s">
        <v>91</v>
      </c>
      <c r="F2485" s="6" t="s">
        <v>77</v>
      </c>
      <c r="G2485" s="26" t="n">
        <v>45983</v>
      </c>
      <c r="H2485" s="6" t="s">
        <v>102</v>
      </c>
      <c r="I2485" s="26" t="n">
        <f aca="false">_xlfn.MINIFS(Transaction!$C$2:$C$8421,Transaction!$B$2:$B$8421,A2485)</f>
        <v>46027</v>
      </c>
      <c r="J2485" s="26" t="n">
        <f aca="false">_xlfn.MAXIFS(Transaction!$C$2:$C$8421,Transaction!$B$2:$B$8421,A2485)</f>
        <v>46245</v>
      </c>
      <c r="K2485" s="6" t="n">
        <f aca="false">COUNTIF(Transaction!$B$2:$B$8421,A2485)</f>
        <v>8</v>
      </c>
      <c r="L2485" s="10" t="n">
        <f aca="false">SUMIF(Transaction!$B$2:$B$8421,A2485,Transaction!$H$2:$H$8421)</f>
        <v>10368</v>
      </c>
      <c r="M2485" s="6" t="n">
        <f aca="false">Summary!$B$3-J2485</f>
        <v>21</v>
      </c>
      <c r="N2485" s="6" t="str">
        <f aca="false">IF(K2485&gt;1,"Yes","No")</f>
        <v>Yes</v>
      </c>
      <c r="O2485" s="6" t="s">
        <v>45</v>
      </c>
    </row>
    <row r="2486" customFormat="false" ht="15" hidden="false" customHeight="false" outlineLevel="0" collapsed="false">
      <c r="A2486" s="6" t="s">
        <v>5081</v>
      </c>
      <c r="B2486" s="6" t="s">
        <v>5082</v>
      </c>
      <c r="C2486" s="6" t="s">
        <v>75</v>
      </c>
      <c r="D2486" s="6" t="n">
        <v>40</v>
      </c>
      <c r="E2486" s="6" t="s">
        <v>91</v>
      </c>
      <c r="F2486" s="6" t="s">
        <v>77</v>
      </c>
      <c r="G2486" s="26" t="n">
        <v>46009</v>
      </c>
      <c r="H2486" s="6" t="s">
        <v>102</v>
      </c>
      <c r="I2486" s="26" t="n">
        <f aca="false">_xlfn.MINIFS(Transaction!$C$2:$C$8421,Transaction!$B$2:$B$8421,A2486)</f>
        <v>46065</v>
      </c>
      <c r="J2486" s="26" t="n">
        <f aca="false">_xlfn.MAXIFS(Transaction!$C$2:$C$8421,Transaction!$B$2:$B$8421,A2486)</f>
        <v>46065</v>
      </c>
      <c r="K2486" s="6" t="n">
        <f aca="false">COUNTIF(Transaction!$B$2:$B$8421,A2486)</f>
        <v>1</v>
      </c>
      <c r="L2486" s="10" t="n">
        <f aca="false">SUMIF(Transaction!$B$2:$B$8421,A2486,Transaction!$H$2:$H$8421)</f>
        <v>2972</v>
      </c>
      <c r="M2486" s="6" t="n">
        <f aca="false">Summary!$B$3-J2486</f>
        <v>201</v>
      </c>
      <c r="N2486" s="6" t="str">
        <f aca="false">IF(K2486&gt;1,"Yes","No")</f>
        <v>No</v>
      </c>
      <c r="O2486" s="6" t="s">
        <v>49</v>
      </c>
    </row>
    <row r="2487" customFormat="false" ht="15" hidden="false" customHeight="false" outlineLevel="0" collapsed="false">
      <c r="A2487" s="6" t="s">
        <v>5083</v>
      </c>
      <c r="B2487" s="6" t="s">
        <v>5084</v>
      </c>
      <c r="C2487" s="6" t="s">
        <v>75</v>
      </c>
      <c r="D2487" s="6" t="n">
        <v>18</v>
      </c>
      <c r="E2487" s="6" t="s">
        <v>95</v>
      </c>
      <c r="F2487" s="6" t="s">
        <v>95</v>
      </c>
      <c r="G2487" s="26" t="n">
        <v>46131</v>
      </c>
      <c r="H2487" s="6" t="s">
        <v>102</v>
      </c>
      <c r="I2487" s="26" t="n">
        <f aca="false">_xlfn.MINIFS(Transaction!$C$2:$C$8421,Transaction!$B$2:$B$8421,A2487)</f>
        <v>46201</v>
      </c>
      <c r="J2487" s="26" t="n">
        <f aca="false">_xlfn.MAXIFS(Transaction!$C$2:$C$8421,Transaction!$B$2:$B$8421,A2487)</f>
        <v>46201</v>
      </c>
      <c r="K2487" s="6" t="n">
        <f aca="false">COUNTIF(Transaction!$B$2:$B$8421,A2487)</f>
        <v>1</v>
      </c>
      <c r="L2487" s="10" t="n">
        <f aca="false">SUMIF(Transaction!$B$2:$B$8421,A2487,Transaction!$H$2:$H$8421)</f>
        <v>1835</v>
      </c>
      <c r="M2487" s="6" t="n">
        <f aca="false">Summary!$B$3-J2487</f>
        <v>65</v>
      </c>
      <c r="N2487" s="6" t="str">
        <f aca="false">IF(K2487&gt;1,"Yes","No")</f>
        <v>No</v>
      </c>
      <c r="O2487" s="6" t="s">
        <v>47</v>
      </c>
    </row>
    <row r="2488" customFormat="false" ht="15" hidden="false" customHeight="false" outlineLevel="0" collapsed="false">
      <c r="A2488" s="6" t="s">
        <v>5085</v>
      </c>
      <c r="B2488" s="6" t="s">
        <v>5086</v>
      </c>
      <c r="C2488" s="6" t="s">
        <v>85</v>
      </c>
      <c r="D2488" s="6" t="n">
        <v>37</v>
      </c>
      <c r="E2488" s="6" t="s">
        <v>91</v>
      </c>
      <c r="F2488" s="6" t="s">
        <v>77</v>
      </c>
      <c r="G2488" s="26" t="n">
        <v>46148</v>
      </c>
      <c r="H2488" s="6" t="s">
        <v>92</v>
      </c>
      <c r="I2488" s="26" t="n">
        <f aca="false">_xlfn.MINIFS(Transaction!$C$2:$C$8421,Transaction!$B$2:$B$8421,A2488)</f>
        <v>46208</v>
      </c>
      <c r="J2488" s="26" t="n">
        <f aca="false">_xlfn.MAXIFS(Transaction!$C$2:$C$8421,Transaction!$B$2:$B$8421,A2488)</f>
        <v>46208</v>
      </c>
      <c r="K2488" s="6" t="n">
        <f aca="false">COUNTIF(Transaction!$B$2:$B$8421,A2488)</f>
        <v>1</v>
      </c>
      <c r="L2488" s="10" t="n">
        <f aca="false">SUMIF(Transaction!$B$2:$B$8421,A2488,Transaction!$H$2:$H$8421)</f>
        <v>4912</v>
      </c>
      <c r="M2488" s="6" t="n">
        <f aca="false">Summary!$B$3-J2488</f>
        <v>58</v>
      </c>
      <c r="N2488" s="6" t="str">
        <f aca="false">IF(K2488&gt;1,"Yes","No")</f>
        <v>No</v>
      </c>
      <c r="O2488" s="6" t="s">
        <v>47</v>
      </c>
    </row>
    <row r="2489" customFormat="false" ht="15" hidden="false" customHeight="false" outlineLevel="0" collapsed="false">
      <c r="A2489" s="6" t="s">
        <v>5087</v>
      </c>
      <c r="B2489" s="6" t="s">
        <v>5088</v>
      </c>
      <c r="C2489" s="6" t="s">
        <v>85</v>
      </c>
      <c r="D2489" s="6" t="n">
        <v>43</v>
      </c>
      <c r="E2489" s="6" t="s">
        <v>321</v>
      </c>
      <c r="F2489" s="6" t="s">
        <v>321</v>
      </c>
      <c r="G2489" s="26" t="n">
        <v>46185</v>
      </c>
      <c r="H2489" s="6" t="s">
        <v>78</v>
      </c>
      <c r="I2489" s="26" t="n">
        <f aca="false">_xlfn.MINIFS(Transaction!$C$2:$C$8421,Transaction!$B$2:$B$8421,A2489)</f>
        <v>46217</v>
      </c>
      <c r="J2489" s="26" t="n">
        <f aca="false">_xlfn.MAXIFS(Transaction!$C$2:$C$8421,Transaction!$B$2:$B$8421,A2489)</f>
        <v>46217</v>
      </c>
      <c r="K2489" s="6" t="n">
        <f aca="false">COUNTIF(Transaction!$B$2:$B$8421,A2489)</f>
        <v>1</v>
      </c>
      <c r="L2489" s="10" t="n">
        <f aca="false">SUMIF(Transaction!$B$2:$B$8421,A2489,Transaction!$H$2:$H$8421)</f>
        <v>2548</v>
      </c>
      <c r="M2489" s="6" t="n">
        <f aca="false">Summary!$B$3-J2489</f>
        <v>49</v>
      </c>
      <c r="N2489" s="6" t="str">
        <f aca="false">IF(K2489&gt;1,"Yes","No")</f>
        <v>No</v>
      </c>
      <c r="O2489" s="6" t="s">
        <v>47</v>
      </c>
    </row>
    <row r="2490" customFormat="false" ht="15" hidden="false" customHeight="false" outlineLevel="0" collapsed="false">
      <c r="A2490" s="6" t="s">
        <v>5089</v>
      </c>
      <c r="B2490" s="6" t="s">
        <v>5090</v>
      </c>
      <c r="C2490" s="6" t="s">
        <v>85</v>
      </c>
      <c r="D2490" s="6" t="n">
        <v>29</v>
      </c>
      <c r="E2490" s="6" t="s">
        <v>91</v>
      </c>
      <c r="F2490" s="6" t="s">
        <v>77</v>
      </c>
      <c r="G2490" s="26" t="n">
        <v>46063</v>
      </c>
      <c r="H2490" s="6" t="s">
        <v>92</v>
      </c>
      <c r="I2490" s="26" t="n">
        <f aca="false">_xlfn.MINIFS(Transaction!$C$2:$C$8421,Transaction!$B$2:$B$8421,A2490)</f>
        <v>46150</v>
      </c>
      <c r="J2490" s="26" t="n">
        <f aca="false">_xlfn.MAXIFS(Transaction!$C$2:$C$8421,Transaction!$B$2:$B$8421,A2490)</f>
        <v>46248</v>
      </c>
      <c r="K2490" s="6" t="n">
        <f aca="false">COUNTIF(Transaction!$B$2:$B$8421,A2490)</f>
        <v>5</v>
      </c>
      <c r="L2490" s="10" t="n">
        <f aca="false">SUMIF(Transaction!$B$2:$B$8421,A2490,Transaction!$H$2:$H$8421)</f>
        <v>6642</v>
      </c>
      <c r="M2490" s="6" t="n">
        <f aca="false">Summary!$B$3-J2490</f>
        <v>18</v>
      </c>
      <c r="N2490" s="6" t="str">
        <f aca="false">IF(K2490&gt;1,"Yes","No")</f>
        <v>Yes</v>
      </c>
      <c r="O2490" s="6" t="s">
        <v>46</v>
      </c>
    </row>
    <row r="2491" customFormat="false" ht="15" hidden="false" customHeight="false" outlineLevel="0" collapsed="false">
      <c r="A2491" s="6" t="s">
        <v>5091</v>
      </c>
      <c r="B2491" s="6" t="s">
        <v>5092</v>
      </c>
      <c r="C2491" s="6" t="s">
        <v>85</v>
      </c>
      <c r="D2491" s="6" t="n">
        <v>39</v>
      </c>
      <c r="E2491" s="6" t="s">
        <v>76</v>
      </c>
      <c r="F2491" s="6" t="s">
        <v>77</v>
      </c>
      <c r="G2491" s="26" t="n">
        <v>46077</v>
      </c>
      <c r="H2491" s="6" t="s">
        <v>102</v>
      </c>
      <c r="I2491" s="26" t="n">
        <f aca="false">_xlfn.MINIFS(Transaction!$C$2:$C$8421,Transaction!$B$2:$B$8421,A2491)</f>
        <v>46130</v>
      </c>
      <c r="J2491" s="26" t="n">
        <f aca="false">_xlfn.MAXIFS(Transaction!$C$2:$C$8421,Transaction!$B$2:$B$8421,A2491)</f>
        <v>46130</v>
      </c>
      <c r="K2491" s="6" t="n">
        <f aca="false">COUNTIF(Transaction!$B$2:$B$8421,A2491)</f>
        <v>1</v>
      </c>
      <c r="L2491" s="10" t="n">
        <f aca="false">SUMIF(Transaction!$B$2:$B$8421,A2491,Transaction!$H$2:$H$8421)</f>
        <v>1191</v>
      </c>
      <c r="M2491" s="6" t="n">
        <f aca="false">Summary!$B$3-J2491</f>
        <v>136</v>
      </c>
      <c r="N2491" s="6" t="str">
        <f aca="false">IF(K2491&gt;1,"Yes","No")</f>
        <v>No</v>
      </c>
      <c r="O2491" s="6" t="s">
        <v>48</v>
      </c>
    </row>
    <row r="2492" customFormat="false" ht="15" hidden="false" customHeight="false" outlineLevel="0" collapsed="false">
      <c r="A2492" s="6" t="s">
        <v>5093</v>
      </c>
      <c r="B2492" s="6" t="s">
        <v>5094</v>
      </c>
      <c r="C2492" s="6" t="s">
        <v>85</v>
      </c>
      <c r="D2492" s="6" t="n">
        <v>31</v>
      </c>
      <c r="E2492" s="6" t="s">
        <v>134</v>
      </c>
      <c r="F2492" s="6" t="s">
        <v>135</v>
      </c>
      <c r="G2492" s="26" t="n">
        <v>46044</v>
      </c>
      <c r="H2492" s="6" t="s">
        <v>115</v>
      </c>
      <c r="I2492" s="26" t="n">
        <f aca="false">_xlfn.MINIFS(Transaction!$C$2:$C$8421,Transaction!$B$2:$B$8421,A2492)</f>
        <v>46044</v>
      </c>
      <c r="J2492" s="26" t="n">
        <f aca="false">_xlfn.MAXIFS(Transaction!$C$2:$C$8421,Transaction!$B$2:$B$8421,A2492)</f>
        <v>46193</v>
      </c>
      <c r="K2492" s="6" t="n">
        <f aca="false">COUNTIF(Transaction!$B$2:$B$8421,A2492)</f>
        <v>4</v>
      </c>
      <c r="L2492" s="10" t="n">
        <f aca="false">SUMIF(Transaction!$B$2:$B$8421,A2492,Transaction!$H$2:$H$8421)</f>
        <v>5838</v>
      </c>
      <c r="M2492" s="6" t="n">
        <f aca="false">Summary!$B$3-J2492</f>
        <v>73</v>
      </c>
      <c r="N2492" s="6" t="str">
        <f aca="false">IF(K2492&gt;1,"Yes","No")</f>
        <v>Yes</v>
      </c>
      <c r="O2492" s="6" t="s">
        <v>46</v>
      </c>
    </row>
    <row r="2493" customFormat="false" ht="15" hidden="false" customHeight="false" outlineLevel="0" collapsed="false">
      <c r="A2493" s="6" t="s">
        <v>5095</v>
      </c>
      <c r="B2493" s="6" t="s">
        <v>5096</v>
      </c>
      <c r="C2493" s="6" t="s">
        <v>85</v>
      </c>
      <c r="D2493" s="6" t="n">
        <v>38</v>
      </c>
      <c r="E2493" s="6" t="s">
        <v>105</v>
      </c>
      <c r="F2493" s="6" t="s">
        <v>106</v>
      </c>
      <c r="G2493" s="26" t="n">
        <v>46124</v>
      </c>
      <c r="H2493" s="6" t="s">
        <v>102</v>
      </c>
      <c r="I2493" s="26" t="n">
        <f aca="false">_xlfn.MINIFS(Transaction!$C$2:$C$8421,Transaction!$B$2:$B$8421,A2493)</f>
        <v>46179</v>
      </c>
      <c r="J2493" s="26" t="n">
        <f aca="false">_xlfn.MAXIFS(Transaction!$C$2:$C$8421,Transaction!$B$2:$B$8421,A2493)</f>
        <v>46179</v>
      </c>
      <c r="K2493" s="6" t="n">
        <f aca="false">COUNTIF(Transaction!$B$2:$B$8421,A2493)</f>
        <v>1</v>
      </c>
      <c r="L2493" s="10" t="n">
        <f aca="false">SUMIF(Transaction!$B$2:$B$8421,A2493,Transaction!$H$2:$H$8421)</f>
        <v>967</v>
      </c>
      <c r="M2493" s="6" t="n">
        <f aca="false">Summary!$B$3-J2493</f>
        <v>87</v>
      </c>
      <c r="N2493" s="6" t="str">
        <f aca="false">IF(K2493&gt;1,"Yes","No")</f>
        <v>No</v>
      </c>
      <c r="O2493" s="6" t="s">
        <v>47</v>
      </c>
    </row>
    <row r="2494" customFormat="false" ht="15" hidden="false" customHeight="false" outlineLevel="0" collapsed="false">
      <c r="A2494" s="6" t="s">
        <v>5097</v>
      </c>
      <c r="B2494" s="6" t="s">
        <v>5098</v>
      </c>
      <c r="C2494" s="6" t="s">
        <v>75</v>
      </c>
      <c r="D2494" s="6" t="n">
        <v>42</v>
      </c>
      <c r="E2494" s="6" t="s">
        <v>95</v>
      </c>
      <c r="F2494" s="6" t="s">
        <v>95</v>
      </c>
      <c r="G2494" s="26" t="n">
        <v>46054</v>
      </c>
      <c r="H2494" s="6" t="s">
        <v>115</v>
      </c>
      <c r="I2494" s="26" t="n">
        <f aca="false">_xlfn.MINIFS(Transaction!$C$2:$C$8421,Transaction!$B$2:$B$8421,A2494)</f>
        <v>46055</v>
      </c>
      <c r="J2494" s="26" t="n">
        <f aca="false">_xlfn.MAXIFS(Transaction!$C$2:$C$8421,Transaction!$B$2:$B$8421,A2494)</f>
        <v>46258</v>
      </c>
      <c r="K2494" s="6" t="n">
        <f aca="false">COUNTIF(Transaction!$B$2:$B$8421,A2494)</f>
        <v>9</v>
      </c>
      <c r="L2494" s="10" t="n">
        <f aca="false">SUMIF(Transaction!$B$2:$B$8421,A2494,Transaction!$H$2:$H$8421)</f>
        <v>8600</v>
      </c>
      <c r="M2494" s="6" t="n">
        <f aca="false">Summary!$B$3-J2494</f>
        <v>8</v>
      </c>
      <c r="N2494" s="6" t="str">
        <f aca="false">IF(K2494&gt;1,"Yes","No")</f>
        <v>Yes</v>
      </c>
      <c r="O2494" s="6" t="s">
        <v>45</v>
      </c>
    </row>
    <row r="2495" customFormat="false" ht="15" hidden="false" customHeight="false" outlineLevel="0" collapsed="false">
      <c r="A2495" s="6" t="s">
        <v>5099</v>
      </c>
      <c r="B2495" s="6" t="s">
        <v>5100</v>
      </c>
      <c r="C2495" s="6" t="s">
        <v>75</v>
      </c>
      <c r="D2495" s="6" t="n">
        <v>37</v>
      </c>
      <c r="E2495" s="6" t="s">
        <v>134</v>
      </c>
      <c r="F2495" s="6" t="s">
        <v>135</v>
      </c>
      <c r="G2495" s="26" t="n">
        <v>45979</v>
      </c>
      <c r="H2495" s="6" t="s">
        <v>115</v>
      </c>
      <c r="I2495" s="26" t="n">
        <f aca="false">_xlfn.MINIFS(Transaction!$C$2:$C$8421,Transaction!$B$2:$B$8421,A2495)</f>
        <v>46057</v>
      </c>
      <c r="J2495" s="26" t="n">
        <f aca="false">_xlfn.MAXIFS(Transaction!$C$2:$C$8421,Transaction!$B$2:$B$8421,A2495)</f>
        <v>46259</v>
      </c>
      <c r="K2495" s="6" t="n">
        <f aca="false">COUNTIF(Transaction!$B$2:$B$8421,A2495)</f>
        <v>8</v>
      </c>
      <c r="L2495" s="10" t="n">
        <f aca="false">SUMIF(Transaction!$B$2:$B$8421,A2495,Transaction!$H$2:$H$8421)</f>
        <v>16329</v>
      </c>
      <c r="M2495" s="6" t="n">
        <f aca="false">Summary!$B$3-J2495</f>
        <v>7</v>
      </c>
      <c r="N2495" s="6" t="str">
        <f aca="false">IF(K2495&gt;1,"Yes","No")</f>
        <v>Yes</v>
      </c>
      <c r="O2495" s="6" t="s">
        <v>45</v>
      </c>
    </row>
    <row r="2496" customFormat="false" ht="15" hidden="false" customHeight="false" outlineLevel="0" collapsed="false">
      <c r="A2496" s="6" t="s">
        <v>5101</v>
      </c>
      <c r="B2496" s="6" t="s">
        <v>5102</v>
      </c>
      <c r="C2496" s="6" t="s">
        <v>75</v>
      </c>
      <c r="D2496" s="6" t="n">
        <v>49</v>
      </c>
      <c r="E2496" s="6" t="s">
        <v>237</v>
      </c>
      <c r="F2496" s="6" t="s">
        <v>87</v>
      </c>
      <c r="G2496" s="26" t="n">
        <v>46130</v>
      </c>
      <c r="H2496" s="6" t="s">
        <v>115</v>
      </c>
      <c r="I2496" s="26" t="n">
        <f aca="false">_xlfn.MINIFS(Transaction!$C$2:$C$8421,Transaction!$B$2:$B$8421,A2496)</f>
        <v>46161</v>
      </c>
      <c r="J2496" s="26" t="n">
        <f aca="false">_xlfn.MAXIFS(Transaction!$C$2:$C$8421,Transaction!$B$2:$B$8421,A2496)</f>
        <v>46161</v>
      </c>
      <c r="K2496" s="6" t="n">
        <f aca="false">COUNTIF(Transaction!$B$2:$B$8421,A2496)</f>
        <v>1</v>
      </c>
      <c r="L2496" s="10" t="n">
        <f aca="false">SUMIF(Transaction!$B$2:$B$8421,A2496,Transaction!$H$2:$H$8421)</f>
        <v>397</v>
      </c>
      <c r="M2496" s="6" t="n">
        <f aca="false">Summary!$B$3-J2496</f>
        <v>105</v>
      </c>
      <c r="N2496" s="6" t="str">
        <f aca="false">IF(K2496&gt;1,"Yes","No")</f>
        <v>No</v>
      </c>
      <c r="O2496" s="6" t="s">
        <v>48</v>
      </c>
    </row>
    <row r="2497" customFormat="false" ht="15" hidden="false" customHeight="false" outlineLevel="0" collapsed="false">
      <c r="A2497" s="6" t="s">
        <v>5103</v>
      </c>
      <c r="B2497" s="6" t="s">
        <v>5104</v>
      </c>
      <c r="C2497" s="6" t="s">
        <v>75</v>
      </c>
      <c r="D2497" s="6" t="n">
        <v>26</v>
      </c>
      <c r="E2497" s="6" t="s">
        <v>134</v>
      </c>
      <c r="F2497" s="6" t="s">
        <v>135</v>
      </c>
      <c r="G2497" s="26" t="n">
        <v>46118</v>
      </c>
      <c r="H2497" s="6" t="s">
        <v>78</v>
      </c>
      <c r="I2497" s="26" t="n">
        <f aca="false">_xlfn.MINIFS(Transaction!$C$2:$C$8421,Transaction!$B$2:$B$8421,A2497)</f>
        <v>46188</v>
      </c>
      <c r="J2497" s="26" t="n">
        <f aca="false">_xlfn.MAXIFS(Transaction!$C$2:$C$8421,Transaction!$B$2:$B$8421,A2497)</f>
        <v>46188</v>
      </c>
      <c r="K2497" s="6" t="n">
        <f aca="false">COUNTIF(Transaction!$B$2:$B$8421,A2497)</f>
        <v>1</v>
      </c>
      <c r="L2497" s="10" t="n">
        <f aca="false">SUMIF(Transaction!$B$2:$B$8421,A2497,Transaction!$H$2:$H$8421)</f>
        <v>2800</v>
      </c>
      <c r="M2497" s="6" t="n">
        <f aca="false">Summary!$B$3-J2497</f>
        <v>78</v>
      </c>
      <c r="N2497" s="6" t="str">
        <f aca="false">IF(K2497&gt;1,"Yes","No")</f>
        <v>No</v>
      </c>
      <c r="O2497" s="6" t="s">
        <v>47</v>
      </c>
    </row>
    <row r="2498" customFormat="false" ht="15" hidden="false" customHeight="false" outlineLevel="0" collapsed="false">
      <c r="A2498" s="6" t="s">
        <v>5105</v>
      </c>
      <c r="B2498" s="6" t="s">
        <v>5106</v>
      </c>
      <c r="C2498" s="6" t="s">
        <v>85</v>
      </c>
      <c r="D2498" s="6" t="n">
        <v>41</v>
      </c>
      <c r="E2498" s="6" t="s">
        <v>146</v>
      </c>
      <c r="F2498" s="6" t="s">
        <v>147</v>
      </c>
      <c r="G2498" s="26" t="n">
        <v>46163</v>
      </c>
      <c r="H2498" s="6" t="s">
        <v>92</v>
      </c>
      <c r="I2498" s="26" t="n">
        <f aca="false">_xlfn.MINIFS(Transaction!$C$2:$C$8421,Transaction!$B$2:$B$8421,A2498)</f>
        <v>46172</v>
      </c>
      <c r="J2498" s="26" t="n">
        <f aca="false">_xlfn.MAXIFS(Transaction!$C$2:$C$8421,Transaction!$B$2:$B$8421,A2498)</f>
        <v>46172</v>
      </c>
      <c r="K2498" s="6" t="n">
        <f aca="false">COUNTIF(Transaction!$B$2:$B$8421,A2498)</f>
        <v>1</v>
      </c>
      <c r="L2498" s="10" t="n">
        <f aca="false">SUMIF(Transaction!$B$2:$B$8421,A2498,Transaction!$H$2:$H$8421)</f>
        <v>1394</v>
      </c>
      <c r="M2498" s="6" t="n">
        <f aca="false">Summary!$B$3-J2498</f>
        <v>94</v>
      </c>
      <c r="N2498" s="6" t="str">
        <f aca="false">IF(K2498&gt;1,"Yes","No")</f>
        <v>No</v>
      </c>
      <c r="O2498" s="6" t="s">
        <v>48</v>
      </c>
    </row>
    <row r="2499" customFormat="false" ht="15" hidden="false" customHeight="false" outlineLevel="0" collapsed="false">
      <c r="A2499" s="6" t="s">
        <v>5107</v>
      </c>
      <c r="B2499" s="6" t="s">
        <v>5108</v>
      </c>
      <c r="C2499" s="6" t="s">
        <v>85</v>
      </c>
      <c r="D2499" s="6" t="n">
        <v>54</v>
      </c>
      <c r="E2499" s="6" t="s">
        <v>321</v>
      </c>
      <c r="F2499" s="6" t="s">
        <v>321</v>
      </c>
      <c r="G2499" s="26" t="n">
        <v>46021</v>
      </c>
      <c r="H2499" s="6" t="s">
        <v>115</v>
      </c>
      <c r="I2499" s="26" t="n">
        <f aca="false">_xlfn.MINIFS(Transaction!$C$2:$C$8421,Transaction!$B$2:$B$8421,A2499)</f>
        <v>46027</v>
      </c>
      <c r="J2499" s="26" t="n">
        <f aca="false">_xlfn.MAXIFS(Transaction!$C$2:$C$8421,Transaction!$B$2:$B$8421,A2499)</f>
        <v>46197</v>
      </c>
      <c r="K2499" s="6" t="n">
        <f aca="false">COUNTIF(Transaction!$B$2:$B$8421,A2499)</f>
        <v>7</v>
      </c>
      <c r="L2499" s="10" t="n">
        <f aca="false">SUMIF(Transaction!$B$2:$B$8421,A2499,Transaction!$H$2:$H$8421)</f>
        <v>16707</v>
      </c>
      <c r="M2499" s="6" t="n">
        <f aca="false">Summary!$B$3-J2499</f>
        <v>69</v>
      </c>
      <c r="N2499" s="6" t="str">
        <f aca="false">IF(K2499&gt;1,"Yes","No")</f>
        <v>Yes</v>
      </c>
      <c r="O2499" s="6" t="s">
        <v>46</v>
      </c>
    </row>
    <row r="2500" customFormat="false" ht="15" hidden="false" customHeight="false" outlineLevel="0" collapsed="false">
      <c r="A2500" s="6" t="s">
        <v>5109</v>
      </c>
      <c r="B2500" s="6" t="s">
        <v>5110</v>
      </c>
      <c r="C2500" s="6" t="s">
        <v>75</v>
      </c>
      <c r="D2500" s="6" t="n">
        <v>31</v>
      </c>
      <c r="E2500" s="6" t="s">
        <v>81</v>
      </c>
      <c r="F2500" s="6" t="s">
        <v>82</v>
      </c>
      <c r="G2500" s="26" t="n">
        <v>45999</v>
      </c>
      <c r="H2500" s="6" t="s">
        <v>102</v>
      </c>
      <c r="I2500" s="26" t="n">
        <f aca="false">_xlfn.MINIFS(Transaction!$C$2:$C$8421,Transaction!$B$2:$B$8421,A2500)</f>
        <v>46028</v>
      </c>
      <c r="J2500" s="26" t="n">
        <f aca="false">_xlfn.MAXIFS(Transaction!$C$2:$C$8421,Transaction!$B$2:$B$8421,A2500)</f>
        <v>46028</v>
      </c>
      <c r="K2500" s="6" t="n">
        <f aca="false">COUNTIF(Transaction!$B$2:$B$8421,A2500)</f>
        <v>1</v>
      </c>
      <c r="L2500" s="10" t="n">
        <f aca="false">SUMIF(Transaction!$B$2:$B$8421,A2500,Transaction!$H$2:$H$8421)</f>
        <v>1144</v>
      </c>
      <c r="M2500" s="6" t="n">
        <f aca="false">Summary!$B$3-J2500</f>
        <v>238</v>
      </c>
      <c r="N2500" s="6" t="str">
        <f aca="false">IF(K2500&gt;1,"Yes","No")</f>
        <v>No</v>
      </c>
      <c r="O2500" s="6" t="s">
        <v>49</v>
      </c>
    </row>
    <row r="2501" customFormat="false" ht="15" hidden="false" customHeight="false" outlineLevel="0" collapsed="false">
      <c r="A2501" s="6" t="s">
        <v>5111</v>
      </c>
      <c r="B2501" s="6" t="s">
        <v>5112</v>
      </c>
      <c r="C2501" s="6" t="s">
        <v>75</v>
      </c>
      <c r="D2501" s="6" t="n">
        <v>31</v>
      </c>
      <c r="E2501" s="6" t="s">
        <v>176</v>
      </c>
      <c r="F2501" s="6" t="s">
        <v>177</v>
      </c>
      <c r="G2501" s="26" t="n">
        <v>46009</v>
      </c>
      <c r="H2501" s="6" t="s">
        <v>102</v>
      </c>
      <c r="I2501" s="26" t="n">
        <f aca="false">_xlfn.MINIFS(Transaction!$C$2:$C$8421,Transaction!$B$2:$B$8421,A2501)</f>
        <v>46090</v>
      </c>
      <c r="J2501" s="26" t="n">
        <f aca="false">_xlfn.MAXIFS(Transaction!$C$2:$C$8421,Transaction!$B$2:$B$8421,A2501)</f>
        <v>46090</v>
      </c>
      <c r="K2501" s="6" t="n">
        <f aca="false">COUNTIF(Transaction!$B$2:$B$8421,A2501)</f>
        <v>1</v>
      </c>
      <c r="L2501" s="10" t="n">
        <f aca="false">SUMIF(Transaction!$B$2:$B$8421,A2501,Transaction!$H$2:$H$8421)</f>
        <v>2140</v>
      </c>
      <c r="M2501" s="6" t="n">
        <f aca="false">Summary!$B$3-J2501</f>
        <v>176</v>
      </c>
      <c r="N2501" s="6" t="str">
        <f aca="false">IF(K2501&gt;1,"Yes","No")</f>
        <v>No</v>
      </c>
      <c r="O2501" s="6" t="s">
        <v>49</v>
      </c>
    </row>
  </sheetData>
  <autoFilter ref="A1:O2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4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3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18"/>
  </cols>
  <sheetData>
    <row r="1" customFormat="false" ht="30" hidden="false" customHeight="true" outlineLevel="0" collapsed="false">
      <c r="A1" s="25" t="s">
        <v>5113</v>
      </c>
      <c r="B1" s="25" t="s">
        <v>58</v>
      </c>
      <c r="C1" s="25" t="s">
        <v>5114</v>
      </c>
      <c r="D1" s="25" t="s">
        <v>5115</v>
      </c>
      <c r="E1" s="25" t="s">
        <v>13</v>
      </c>
      <c r="F1" s="25" t="s">
        <v>5116</v>
      </c>
      <c r="G1" s="25" t="s">
        <v>5117</v>
      </c>
      <c r="H1" s="25" t="s">
        <v>5118</v>
      </c>
      <c r="I1" s="25" t="s">
        <v>5119</v>
      </c>
    </row>
    <row r="2" customFormat="false" ht="15" hidden="false" customHeight="false" outlineLevel="0" collapsed="false">
      <c r="A2" s="6" t="s">
        <v>5120</v>
      </c>
      <c r="B2" s="6" t="s">
        <v>3157</v>
      </c>
      <c r="C2" s="26" t="n">
        <v>46023</v>
      </c>
      <c r="D2" s="6" t="s">
        <v>5121</v>
      </c>
      <c r="E2" s="6" t="s">
        <v>22</v>
      </c>
      <c r="F2" s="6" t="n">
        <v>1</v>
      </c>
      <c r="G2" s="10" t="n">
        <v>977</v>
      </c>
      <c r="H2" s="10" t="n">
        <f aca="false">F2*G2</f>
        <v>977</v>
      </c>
      <c r="I2" s="6" t="s">
        <v>5122</v>
      </c>
    </row>
    <row r="3" customFormat="false" ht="15" hidden="false" customHeight="false" outlineLevel="0" collapsed="false">
      <c r="A3" s="6" t="s">
        <v>5123</v>
      </c>
      <c r="B3" s="6" t="s">
        <v>2011</v>
      </c>
      <c r="C3" s="26" t="n">
        <v>46023</v>
      </c>
      <c r="D3" s="6" t="s">
        <v>5124</v>
      </c>
      <c r="E3" s="6" t="s">
        <v>21</v>
      </c>
      <c r="F3" s="6" t="n">
        <v>2</v>
      </c>
      <c r="G3" s="10" t="n">
        <v>3095</v>
      </c>
      <c r="H3" s="10" t="n">
        <f aca="false">F3*G3</f>
        <v>6190</v>
      </c>
      <c r="I3" s="6" t="s">
        <v>5125</v>
      </c>
    </row>
    <row r="4" customFormat="false" ht="15" hidden="false" customHeight="false" outlineLevel="0" collapsed="false">
      <c r="A4" s="6" t="s">
        <v>5126</v>
      </c>
      <c r="B4" s="6" t="s">
        <v>3437</v>
      </c>
      <c r="C4" s="26" t="n">
        <v>46023</v>
      </c>
      <c r="D4" s="6" t="s">
        <v>5127</v>
      </c>
      <c r="E4" s="6" t="s">
        <v>21</v>
      </c>
      <c r="F4" s="6" t="n">
        <v>2</v>
      </c>
      <c r="G4" s="10" t="n">
        <v>839</v>
      </c>
      <c r="H4" s="10" t="n">
        <f aca="false">F4*G4</f>
        <v>1678</v>
      </c>
      <c r="I4" s="6" t="s">
        <v>5122</v>
      </c>
    </row>
    <row r="5" customFormat="false" ht="15" hidden="false" customHeight="false" outlineLevel="0" collapsed="false">
      <c r="A5" s="6" t="s">
        <v>5128</v>
      </c>
      <c r="B5" s="6" t="s">
        <v>2963</v>
      </c>
      <c r="C5" s="26" t="n">
        <v>46023</v>
      </c>
      <c r="D5" s="6" t="s">
        <v>5129</v>
      </c>
      <c r="E5" s="6" t="s">
        <v>21</v>
      </c>
      <c r="F5" s="6" t="n">
        <v>1</v>
      </c>
      <c r="G5" s="10" t="n">
        <v>589</v>
      </c>
      <c r="H5" s="10" t="n">
        <f aca="false">F5*G5</f>
        <v>589</v>
      </c>
      <c r="I5" s="6" t="s">
        <v>5130</v>
      </c>
    </row>
    <row r="6" customFormat="false" ht="15" hidden="false" customHeight="false" outlineLevel="0" collapsed="false">
      <c r="A6" s="6" t="s">
        <v>5131</v>
      </c>
      <c r="B6" s="6" t="s">
        <v>3067</v>
      </c>
      <c r="C6" s="26" t="n">
        <v>46023</v>
      </c>
      <c r="D6" s="6" t="s">
        <v>5132</v>
      </c>
      <c r="E6" s="6" t="s">
        <v>23</v>
      </c>
      <c r="F6" s="6" t="n">
        <v>1</v>
      </c>
      <c r="G6" s="10" t="n">
        <v>325</v>
      </c>
      <c r="H6" s="10" t="n">
        <f aca="false">F6*G6</f>
        <v>325</v>
      </c>
      <c r="I6" s="6" t="s">
        <v>5133</v>
      </c>
    </row>
    <row r="7" customFormat="false" ht="15" hidden="false" customHeight="false" outlineLevel="0" collapsed="false">
      <c r="A7" s="6" t="s">
        <v>5134</v>
      </c>
      <c r="B7" s="6" t="s">
        <v>1351</v>
      </c>
      <c r="C7" s="26" t="n">
        <v>46023</v>
      </c>
      <c r="D7" s="6" t="s">
        <v>5135</v>
      </c>
      <c r="E7" s="6" t="s">
        <v>23</v>
      </c>
      <c r="F7" s="6" t="n">
        <v>4</v>
      </c>
      <c r="G7" s="10" t="n">
        <v>441</v>
      </c>
      <c r="H7" s="10" t="n">
        <f aca="false">F7*G7</f>
        <v>1764</v>
      </c>
      <c r="I7" s="6" t="s">
        <v>5125</v>
      </c>
    </row>
    <row r="8" customFormat="false" ht="15" hidden="false" customHeight="false" outlineLevel="0" collapsed="false">
      <c r="A8" s="6" t="s">
        <v>5136</v>
      </c>
      <c r="B8" s="6" t="s">
        <v>3953</v>
      </c>
      <c r="C8" s="26" t="n">
        <v>46023</v>
      </c>
      <c r="D8" s="6" t="s">
        <v>5137</v>
      </c>
      <c r="E8" s="6" t="s">
        <v>21</v>
      </c>
      <c r="F8" s="6" t="n">
        <v>1</v>
      </c>
      <c r="G8" s="10" t="n">
        <v>1768</v>
      </c>
      <c r="H8" s="10" t="n">
        <f aca="false">F8*G8</f>
        <v>1768</v>
      </c>
      <c r="I8" s="6" t="s">
        <v>5122</v>
      </c>
    </row>
    <row r="9" customFormat="false" ht="15" hidden="false" customHeight="false" outlineLevel="0" collapsed="false">
      <c r="A9" s="6" t="s">
        <v>5138</v>
      </c>
      <c r="B9" s="6" t="s">
        <v>3015</v>
      </c>
      <c r="C9" s="26" t="n">
        <v>46023</v>
      </c>
      <c r="D9" s="6" t="s">
        <v>5139</v>
      </c>
      <c r="E9" s="6" t="s">
        <v>23</v>
      </c>
      <c r="F9" s="6" t="n">
        <v>4</v>
      </c>
      <c r="G9" s="10" t="n">
        <v>265</v>
      </c>
      <c r="H9" s="10" t="n">
        <f aca="false">F9*G9</f>
        <v>1060</v>
      </c>
      <c r="I9" s="6" t="s">
        <v>5122</v>
      </c>
    </row>
    <row r="10" customFormat="false" ht="15" hidden="false" customHeight="false" outlineLevel="0" collapsed="false">
      <c r="A10" s="6" t="s">
        <v>5140</v>
      </c>
      <c r="B10" s="6" t="s">
        <v>2125</v>
      </c>
      <c r="C10" s="26" t="n">
        <v>46023</v>
      </c>
      <c r="D10" s="6" t="s">
        <v>5141</v>
      </c>
      <c r="E10" s="6" t="s">
        <v>20</v>
      </c>
      <c r="F10" s="6" t="n">
        <v>1</v>
      </c>
      <c r="G10" s="10" t="n">
        <v>1835</v>
      </c>
      <c r="H10" s="10" t="n">
        <f aca="false">F10*G10</f>
        <v>1835</v>
      </c>
      <c r="I10" s="6" t="s">
        <v>5125</v>
      </c>
    </row>
    <row r="11" customFormat="false" ht="15" hidden="false" customHeight="false" outlineLevel="0" collapsed="false">
      <c r="A11" s="6" t="s">
        <v>5142</v>
      </c>
      <c r="B11" s="6" t="s">
        <v>533</v>
      </c>
      <c r="C11" s="26" t="n">
        <v>46023</v>
      </c>
      <c r="D11" s="6" t="s">
        <v>5143</v>
      </c>
      <c r="E11" s="6" t="s">
        <v>21</v>
      </c>
      <c r="F11" s="6" t="n">
        <v>1</v>
      </c>
      <c r="G11" s="10" t="n">
        <v>1061</v>
      </c>
      <c r="H11" s="10" t="n">
        <f aca="false">F11*G11</f>
        <v>1061</v>
      </c>
      <c r="I11" s="6" t="s">
        <v>5122</v>
      </c>
    </row>
    <row r="12" customFormat="false" ht="15" hidden="false" customHeight="false" outlineLevel="0" collapsed="false">
      <c r="A12" s="6" t="s">
        <v>5144</v>
      </c>
      <c r="B12" s="6" t="s">
        <v>2017</v>
      </c>
      <c r="C12" s="26" t="n">
        <v>46023</v>
      </c>
      <c r="D12" s="6" t="s">
        <v>5145</v>
      </c>
      <c r="E12" s="6" t="s">
        <v>21</v>
      </c>
      <c r="F12" s="6" t="n">
        <v>1</v>
      </c>
      <c r="G12" s="10" t="n">
        <v>1277</v>
      </c>
      <c r="H12" s="10" t="n">
        <f aca="false">F12*G12</f>
        <v>1277</v>
      </c>
      <c r="I12" s="6" t="s">
        <v>5130</v>
      </c>
    </row>
    <row r="13" customFormat="false" ht="15" hidden="false" customHeight="false" outlineLevel="0" collapsed="false">
      <c r="A13" s="6" t="s">
        <v>5146</v>
      </c>
      <c r="B13" s="6" t="s">
        <v>1477</v>
      </c>
      <c r="C13" s="26" t="n">
        <v>46023</v>
      </c>
      <c r="D13" s="6" t="s">
        <v>5147</v>
      </c>
      <c r="E13" s="6" t="s">
        <v>24</v>
      </c>
      <c r="F13" s="6" t="n">
        <v>1</v>
      </c>
      <c r="G13" s="10" t="n">
        <v>661</v>
      </c>
      <c r="H13" s="10" t="n">
        <f aca="false">F13*G13</f>
        <v>661</v>
      </c>
      <c r="I13" s="6" t="s">
        <v>5148</v>
      </c>
    </row>
    <row r="14" customFormat="false" ht="15" hidden="false" customHeight="false" outlineLevel="0" collapsed="false">
      <c r="A14" s="6" t="s">
        <v>5149</v>
      </c>
      <c r="B14" s="6" t="s">
        <v>2585</v>
      </c>
      <c r="C14" s="26" t="n">
        <v>46023</v>
      </c>
      <c r="D14" s="6" t="s">
        <v>5150</v>
      </c>
      <c r="E14" s="6" t="s">
        <v>24</v>
      </c>
      <c r="F14" s="6" t="n">
        <v>2</v>
      </c>
      <c r="G14" s="10" t="n">
        <v>508</v>
      </c>
      <c r="H14" s="10" t="n">
        <f aca="false">F14*G14</f>
        <v>1016</v>
      </c>
      <c r="I14" s="6" t="s">
        <v>5122</v>
      </c>
    </row>
    <row r="15" customFormat="false" ht="15" hidden="false" customHeight="false" outlineLevel="0" collapsed="false">
      <c r="A15" s="6" t="s">
        <v>5151</v>
      </c>
      <c r="B15" s="6" t="s">
        <v>1447</v>
      </c>
      <c r="C15" s="26" t="n">
        <v>46023</v>
      </c>
      <c r="D15" s="6" t="s">
        <v>5152</v>
      </c>
      <c r="E15" s="6" t="s">
        <v>22</v>
      </c>
      <c r="F15" s="6" t="n">
        <v>2</v>
      </c>
      <c r="G15" s="10" t="n">
        <v>1672</v>
      </c>
      <c r="H15" s="10" t="n">
        <f aca="false">F15*G15</f>
        <v>3344</v>
      </c>
      <c r="I15" s="6" t="s">
        <v>5122</v>
      </c>
    </row>
    <row r="16" customFormat="false" ht="15" hidden="false" customHeight="false" outlineLevel="0" collapsed="false">
      <c r="A16" s="6" t="s">
        <v>5153</v>
      </c>
      <c r="B16" s="6" t="s">
        <v>563</v>
      </c>
      <c r="C16" s="26" t="n">
        <v>46023</v>
      </c>
      <c r="D16" s="6" t="s">
        <v>5154</v>
      </c>
      <c r="E16" s="6" t="s">
        <v>21</v>
      </c>
      <c r="F16" s="6" t="n">
        <v>1</v>
      </c>
      <c r="G16" s="10" t="n">
        <v>785</v>
      </c>
      <c r="H16" s="10" t="n">
        <f aca="false">F16*G16</f>
        <v>785</v>
      </c>
      <c r="I16" s="6" t="s">
        <v>5125</v>
      </c>
    </row>
    <row r="17" customFormat="false" ht="15" hidden="false" customHeight="false" outlineLevel="0" collapsed="false">
      <c r="A17" s="6" t="s">
        <v>5155</v>
      </c>
      <c r="B17" s="6" t="s">
        <v>2751</v>
      </c>
      <c r="C17" s="26" t="n">
        <v>46023</v>
      </c>
      <c r="D17" s="6" t="s">
        <v>5156</v>
      </c>
      <c r="E17" s="6" t="s">
        <v>21</v>
      </c>
      <c r="F17" s="6" t="n">
        <v>1</v>
      </c>
      <c r="G17" s="10" t="n">
        <v>2161</v>
      </c>
      <c r="H17" s="10" t="n">
        <f aca="false">F17*G17</f>
        <v>2161</v>
      </c>
      <c r="I17" s="6" t="s">
        <v>5122</v>
      </c>
    </row>
    <row r="18" customFormat="false" ht="15" hidden="false" customHeight="false" outlineLevel="0" collapsed="false">
      <c r="A18" s="6" t="s">
        <v>5157</v>
      </c>
      <c r="B18" s="6" t="s">
        <v>250</v>
      </c>
      <c r="C18" s="26" t="n">
        <v>46023</v>
      </c>
      <c r="D18" s="6" t="s">
        <v>5158</v>
      </c>
      <c r="E18" s="6" t="s">
        <v>24</v>
      </c>
      <c r="F18" s="6" t="n">
        <v>1</v>
      </c>
      <c r="G18" s="10" t="n">
        <v>411</v>
      </c>
      <c r="H18" s="10" t="n">
        <f aca="false">F18*G18</f>
        <v>411</v>
      </c>
      <c r="I18" s="6" t="s">
        <v>5125</v>
      </c>
    </row>
    <row r="19" customFormat="false" ht="15" hidden="false" customHeight="false" outlineLevel="0" collapsed="false">
      <c r="A19" s="6" t="s">
        <v>5159</v>
      </c>
      <c r="B19" s="6" t="s">
        <v>3317</v>
      </c>
      <c r="C19" s="26" t="n">
        <v>46023</v>
      </c>
      <c r="D19" s="6" t="s">
        <v>5160</v>
      </c>
      <c r="E19" s="6" t="s">
        <v>21</v>
      </c>
      <c r="F19" s="6" t="n">
        <v>2</v>
      </c>
      <c r="G19" s="10" t="n">
        <v>2476</v>
      </c>
      <c r="H19" s="10" t="n">
        <f aca="false">F19*G19</f>
        <v>4952</v>
      </c>
      <c r="I19" s="6" t="s">
        <v>5133</v>
      </c>
    </row>
    <row r="20" customFormat="false" ht="15" hidden="false" customHeight="false" outlineLevel="0" collapsed="false">
      <c r="A20" s="6" t="s">
        <v>5161</v>
      </c>
      <c r="B20" s="6" t="s">
        <v>4537</v>
      </c>
      <c r="C20" s="26" t="n">
        <v>46023</v>
      </c>
      <c r="D20" s="6" t="s">
        <v>5147</v>
      </c>
      <c r="E20" s="6" t="s">
        <v>24</v>
      </c>
      <c r="F20" s="6" t="n">
        <v>2</v>
      </c>
      <c r="G20" s="10" t="n">
        <v>628</v>
      </c>
      <c r="H20" s="10" t="n">
        <f aca="false">F20*G20</f>
        <v>1256</v>
      </c>
      <c r="I20" s="6" t="s">
        <v>5148</v>
      </c>
    </row>
    <row r="21" customFormat="false" ht="15" hidden="false" customHeight="false" outlineLevel="0" collapsed="false">
      <c r="A21" s="6" t="s">
        <v>5162</v>
      </c>
      <c r="B21" s="6" t="s">
        <v>192</v>
      </c>
      <c r="C21" s="26" t="n">
        <v>46023</v>
      </c>
      <c r="D21" s="6" t="s">
        <v>5163</v>
      </c>
      <c r="E21" s="6" t="s">
        <v>23</v>
      </c>
      <c r="F21" s="6" t="n">
        <v>3</v>
      </c>
      <c r="G21" s="10" t="n">
        <v>783</v>
      </c>
      <c r="H21" s="10" t="n">
        <f aca="false">F21*G21</f>
        <v>2349</v>
      </c>
      <c r="I21" s="6" t="s">
        <v>5122</v>
      </c>
    </row>
    <row r="22" customFormat="false" ht="15" hidden="false" customHeight="false" outlineLevel="0" collapsed="false">
      <c r="A22" s="6" t="s">
        <v>5164</v>
      </c>
      <c r="B22" s="6" t="s">
        <v>1111</v>
      </c>
      <c r="C22" s="26" t="n">
        <v>46024</v>
      </c>
      <c r="D22" s="6" t="s">
        <v>5165</v>
      </c>
      <c r="E22" s="6" t="s">
        <v>22</v>
      </c>
      <c r="F22" s="6" t="n">
        <v>2</v>
      </c>
      <c r="G22" s="10" t="n">
        <v>880</v>
      </c>
      <c r="H22" s="10" t="n">
        <f aca="false">F22*G22</f>
        <v>1760</v>
      </c>
      <c r="I22" s="6" t="s">
        <v>5125</v>
      </c>
    </row>
    <row r="23" customFormat="false" ht="15" hidden="false" customHeight="false" outlineLevel="0" collapsed="false">
      <c r="A23" s="6" t="s">
        <v>5166</v>
      </c>
      <c r="B23" s="6" t="s">
        <v>1935</v>
      </c>
      <c r="C23" s="26" t="n">
        <v>46024</v>
      </c>
      <c r="D23" s="6" t="s">
        <v>5167</v>
      </c>
      <c r="E23" s="6" t="s">
        <v>22</v>
      </c>
      <c r="F23" s="6" t="n">
        <v>4</v>
      </c>
      <c r="G23" s="10" t="n">
        <v>703</v>
      </c>
      <c r="H23" s="10" t="n">
        <f aca="false">F23*G23</f>
        <v>2812</v>
      </c>
      <c r="I23" s="6" t="s">
        <v>5130</v>
      </c>
    </row>
    <row r="24" customFormat="false" ht="15" hidden="false" customHeight="false" outlineLevel="0" collapsed="false">
      <c r="A24" s="6" t="s">
        <v>5168</v>
      </c>
      <c r="B24" s="6" t="s">
        <v>2761</v>
      </c>
      <c r="C24" s="26" t="n">
        <v>46024</v>
      </c>
      <c r="D24" s="6" t="s">
        <v>5169</v>
      </c>
      <c r="E24" s="6" t="s">
        <v>20</v>
      </c>
      <c r="F24" s="6" t="n">
        <v>2</v>
      </c>
      <c r="G24" s="10" t="n">
        <v>5098</v>
      </c>
      <c r="H24" s="10" t="n">
        <f aca="false">F24*G24</f>
        <v>10196</v>
      </c>
      <c r="I24" s="6" t="s">
        <v>5122</v>
      </c>
    </row>
    <row r="25" customFormat="false" ht="15" hidden="false" customHeight="false" outlineLevel="0" collapsed="false">
      <c r="A25" s="6" t="s">
        <v>5170</v>
      </c>
      <c r="B25" s="6" t="s">
        <v>4849</v>
      </c>
      <c r="C25" s="26" t="n">
        <v>46024</v>
      </c>
      <c r="D25" s="6" t="s">
        <v>5171</v>
      </c>
      <c r="E25" s="6" t="s">
        <v>23</v>
      </c>
      <c r="F25" s="6" t="n">
        <v>4</v>
      </c>
      <c r="G25" s="10" t="n">
        <v>734</v>
      </c>
      <c r="H25" s="10" t="n">
        <f aca="false">F25*G25</f>
        <v>2936</v>
      </c>
      <c r="I25" s="6" t="s">
        <v>5125</v>
      </c>
    </row>
    <row r="26" customFormat="false" ht="15" hidden="false" customHeight="false" outlineLevel="0" collapsed="false">
      <c r="A26" s="6" t="s">
        <v>5172</v>
      </c>
      <c r="B26" s="6" t="s">
        <v>4165</v>
      </c>
      <c r="C26" s="26" t="n">
        <v>46024</v>
      </c>
      <c r="D26" s="6" t="s">
        <v>5160</v>
      </c>
      <c r="E26" s="6" t="s">
        <v>21</v>
      </c>
      <c r="F26" s="6" t="n">
        <v>1</v>
      </c>
      <c r="G26" s="10" t="n">
        <v>2614</v>
      </c>
      <c r="H26" s="10" t="n">
        <f aca="false">F26*G26</f>
        <v>2614</v>
      </c>
      <c r="I26" s="6" t="s">
        <v>5173</v>
      </c>
    </row>
    <row r="27" customFormat="false" ht="15" hidden="false" customHeight="false" outlineLevel="0" collapsed="false">
      <c r="A27" s="6" t="s">
        <v>5174</v>
      </c>
      <c r="B27" s="6" t="s">
        <v>2555</v>
      </c>
      <c r="C27" s="26" t="n">
        <v>46024</v>
      </c>
      <c r="D27" s="6" t="s">
        <v>5175</v>
      </c>
      <c r="E27" s="6" t="s">
        <v>24</v>
      </c>
      <c r="F27" s="6" t="n">
        <v>2</v>
      </c>
      <c r="G27" s="10" t="n">
        <v>610</v>
      </c>
      <c r="H27" s="10" t="n">
        <f aca="false">F27*G27</f>
        <v>1220</v>
      </c>
      <c r="I27" s="6" t="s">
        <v>5148</v>
      </c>
    </row>
    <row r="28" customFormat="false" ht="15" hidden="false" customHeight="false" outlineLevel="0" collapsed="false">
      <c r="A28" s="6" t="s">
        <v>5176</v>
      </c>
      <c r="B28" s="6" t="s">
        <v>3445</v>
      </c>
      <c r="C28" s="26" t="n">
        <v>46024</v>
      </c>
      <c r="D28" s="6" t="s">
        <v>5165</v>
      </c>
      <c r="E28" s="6" t="s">
        <v>22</v>
      </c>
      <c r="F28" s="6" t="n">
        <v>2</v>
      </c>
      <c r="G28" s="10" t="n">
        <v>977</v>
      </c>
      <c r="H28" s="10" t="n">
        <f aca="false">F28*G28</f>
        <v>1954</v>
      </c>
      <c r="I28" s="6" t="s">
        <v>5122</v>
      </c>
    </row>
    <row r="29" customFormat="false" ht="15" hidden="false" customHeight="false" outlineLevel="0" collapsed="false">
      <c r="A29" s="6" t="s">
        <v>5177</v>
      </c>
      <c r="B29" s="6" t="s">
        <v>1887</v>
      </c>
      <c r="C29" s="26" t="n">
        <v>46024</v>
      </c>
      <c r="D29" s="6" t="s">
        <v>5121</v>
      </c>
      <c r="E29" s="6" t="s">
        <v>22</v>
      </c>
      <c r="F29" s="6" t="n">
        <v>4</v>
      </c>
      <c r="G29" s="10" t="n">
        <v>977</v>
      </c>
      <c r="H29" s="10" t="n">
        <f aca="false">F29*G29</f>
        <v>3908</v>
      </c>
      <c r="I29" s="6" t="s">
        <v>5122</v>
      </c>
    </row>
    <row r="30" customFormat="false" ht="15" hidden="false" customHeight="false" outlineLevel="0" collapsed="false">
      <c r="A30" s="6" t="s">
        <v>5178</v>
      </c>
      <c r="B30" s="6" t="s">
        <v>4747</v>
      </c>
      <c r="C30" s="26" t="n">
        <v>46024</v>
      </c>
      <c r="D30" s="6" t="s">
        <v>5167</v>
      </c>
      <c r="E30" s="6" t="s">
        <v>22</v>
      </c>
      <c r="F30" s="6" t="n">
        <v>2</v>
      </c>
      <c r="G30" s="10" t="n">
        <v>703</v>
      </c>
      <c r="H30" s="10" t="n">
        <f aca="false">F30*G30</f>
        <v>1406</v>
      </c>
      <c r="I30" s="6" t="s">
        <v>5122</v>
      </c>
    </row>
    <row r="31" customFormat="false" ht="15" hidden="false" customHeight="false" outlineLevel="0" collapsed="false">
      <c r="A31" s="6" t="s">
        <v>5179</v>
      </c>
      <c r="B31" s="6" t="s">
        <v>3827</v>
      </c>
      <c r="C31" s="26" t="n">
        <v>46024</v>
      </c>
      <c r="D31" s="6" t="s">
        <v>5180</v>
      </c>
      <c r="E31" s="6" t="s">
        <v>24</v>
      </c>
      <c r="F31" s="6" t="n">
        <v>2</v>
      </c>
      <c r="G31" s="10" t="n">
        <v>1987</v>
      </c>
      <c r="H31" s="10" t="n">
        <f aca="false">F31*G31</f>
        <v>3974</v>
      </c>
      <c r="I31" s="6" t="s">
        <v>5130</v>
      </c>
    </row>
    <row r="32" customFormat="false" ht="15" hidden="false" customHeight="false" outlineLevel="0" collapsed="false">
      <c r="A32" s="6" t="s">
        <v>5181</v>
      </c>
      <c r="B32" s="6" t="s">
        <v>1021</v>
      </c>
      <c r="C32" s="26" t="n">
        <v>46024</v>
      </c>
      <c r="D32" s="6" t="s">
        <v>5182</v>
      </c>
      <c r="E32" s="6" t="s">
        <v>23</v>
      </c>
      <c r="F32" s="6" t="n">
        <v>1</v>
      </c>
      <c r="G32" s="10" t="n">
        <v>349</v>
      </c>
      <c r="H32" s="10" t="n">
        <f aca="false">F32*G32</f>
        <v>349</v>
      </c>
      <c r="I32" s="6" t="s">
        <v>5122</v>
      </c>
    </row>
    <row r="33" customFormat="false" ht="15" hidden="false" customHeight="false" outlineLevel="0" collapsed="false">
      <c r="A33" s="6" t="s">
        <v>5183</v>
      </c>
      <c r="B33" s="6" t="s">
        <v>3165</v>
      </c>
      <c r="C33" s="26" t="n">
        <v>46024</v>
      </c>
      <c r="D33" s="6" t="s">
        <v>5171</v>
      </c>
      <c r="E33" s="6" t="s">
        <v>23</v>
      </c>
      <c r="F33" s="6" t="n">
        <v>3</v>
      </c>
      <c r="G33" s="10" t="n">
        <v>734</v>
      </c>
      <c r="H33" s="10" t="n">
        <f aca="false">F33*G33</f>
        <v>2202</v>
      </c>
      <c r="I33" s="6" t="s">
        <v>5130</v>
      </c>
    </row>
    <row r="34" customFormat="false" ht="15" hidden="false" customHeight="false" outlineLevel="0" collapsed="false">
      <c r="A34" s="6" t="s">
        <v>5184</v>
      </c>
      <c r="B34" s="6" t="s">
        <v>4091</v>
      </c>
      <c r="C34" s="26" t="n">
        <v>46024</v>
      </c>
      <c r="D34" s="6" t="s">
        <v>5185</v>
      </c>
      <c r="E34" s="6" t="s">
        <v>24</v>
      </c>
      <c r="F34" s="6" t="n">
        <v>3</v>
      </c>
      <c r="G34" s="10" t="n">
        <v>2140</v>
      </c>
      <c r="H34" s="10" t="n">
        <f aca="false">F34*G34</f>
        <v>6420</v>
      </c>
      <c r="I34" s="6" t="s">
        <v>5122</v>
      </c>
    </row>
    <row r="35" customFormat="false" ht="15" hidden="false" customHeight="false" outlineLevel="0" collapsed="false">
      <c r="A35" s="6" t="s">
        <v>5186</v>
      </c>
      <c r="B35" s="6" t="s">
        <v>733</v>
      </c>
      <c r="C35" s="26" t="n">
        <v>46024</v>
      </c>
      <c r="D35" s="6" t="s">
        <v>5158</v>
      </c>
      <c r="E35" s="6" t="s">
        <v>24</v>
      </c>
      <c r="F35" s="6" t="n">
        <v>2</v>
      </c>
      <c r="G35" s="10" t="n">
        <v>433</v>
      </c>
      <c r="H35" s="10" t="n">
        <f aca="false">F35*G35</f>
        <v>866</v>
      </c>
      <c r="I35" s="6" t="s">
        <v>5122</v>
      </c>
    </row>
    <row r="36" customFormat="false" ht="15" hidden="false" customHeight="false" outlineLevel="0" collapsed="false">
      <c r="A36" s="6" t="s">
        <v>5187</v>
      </c>
      <c r="B36" s="6" t="s">
        <v>3719</v>
      </c>
      <c r="C36" s="26" t="n">
        <v>46024</v>
      </c>
      <c r="D36" s="6" t="s">
        <v>5188</v>
      </c>
      <c r="E36" s="6" t="s">
        <v>24</v>
      </c>
      <c r="F36" s="6" t="n">
        <v>2</v>
      </c>
      <c r="G36" s="10" t="n">
        <v>967</v>
      </c>
      <c r="H36" s="10" t="n">
        <f aca="false">F36*G36</f>
        <v>1934</v>
      </c>
      <c r="I36" s="6" t="s">
        <v>5133</v>
      </c>
    </row>
    <row r="37" customFormat="false" ht="15" hidden="false" customHeight="false" outlineLevel="0" collapsed="false">
      <c r="A37" s="6" t="s">
        <v>5189</v>
      </c>
      <c r="B37" s="6" t="s">
        <v>2459</v>
      </c>
      <c r="C37" s="26" t="n">
        <v>46024</v>
      </c>
      <c r="D37" s="6" t="s">
        <v>5190</v>
      </c>
      <c r="E37" s="6" t="s">
        <v>24</v>
      </c>
      <c r="F37" s="6" t="n">
        <v>2</v>
      </c>
      <c r="G37" s="10" t="n">
        <v>610</v>
      </c>
      <c r="H37" s="10" t="n">
        <f aca="false">F37*G37</f>
        <v>1220</v>
      </c>
      <c r="I37" s="6" t="s">
        <v>5148</v>
      </c>
    </row>
    <row r="38" customFormat="false" ht="15" hidden="false" customHeight="false" outlineLevel="0" collapsed="false">
      <c r="A38" s="6" t="s">
        <v>5191</v>
      </c>
      <c r="B38" s="6" t="s">
        <v>2123</v>
      </c>
      <c r="C38" s="26" t="n">
        <v>46024</v>
      </c>
      <c r="D38" s="6" t="s">
        <v>5192</v>
      </c>
      <c r="E38" s="6" t="s">
        <v>20</v>
      </c>
      <c r="F38" s="6" t="n">
        <v>1</v>
      </c>
      <c r="G38" s="10" t="n">
        <v>4078</v>
      </c>
      <c r="H38" s="10" t="n">
        <f aca="false">F38*G38</f>
        <v>4078</v>
      </c>
      <c r="I38" s="6" t="s">
        <v>5148</v>
      </c>
    </row>
    <row r="39" customFormat="false" ht="15" hidden="false" customHeight="false" outlineLevel="0" collapsed="false">
      <c r="A39" s="6" t="s">
        <v>5193</v>
      </c>
      <c r="B39" s="6" t="s">
        <v>1945</v>
      </c>
      <c r="C39" s="26" t="n">
        <v>46024</v>
      </c>
      <c r="D39" s="6" t="s">
        <v>5194</v>
      </c>
      <c r="E39" s="6" t="s">
        <v>22</v>
      </c>
      <c r="F39" s="6" t="n">
        <v>1</v>
      </c>
      <c r="G39" s="10" t="n">
        <v>1936</v>
      </c>
      <c r="H39" s="10" t="n">
        <f aca="false">F39*G39</f>
        <v>1936</v>
      </c>
      <c r="I39" s="6" t="s">
        <v>5130</v>
      </c>
    </row>
    <row r="40" customFormat="false" ht="15" hidden="false" customHeight="false" outlineLevel="0" collapsed="false">
      <c r="A40" s="6" t="s">
        <v>5195</v>
      </c>
      <c r="B40" s="6" t="s">
        <v>475</v>
      </c>
      <c r="C40" s="26" t="n">
        <v>46024</v>
      </c>
      <c r="D40" s="6" t="s">
        <v>5150</v>
      </c>
      <c r="E40" s="6" t="s">
        <v>24</v>
      </c>
      <c r="F40" s="6" t="n">
        <v>1</v>
      </c>
      <c r="G40" s="10" t="n">
        <v>508</v>
      </c>
      <c r="H40" s="10" t="n">
        <f aca="false">F40*G40</f>
        <v>508</v>
      </c>
      <c r="I40" s="6" t="s">
        <v>5122</v>
      </c>
    </row>
    <row r="41" customFormat="false" ht="15" hidden="false" customHeight="false" outlineLevel="0" collapsed="false">
      <c r="A41" s="6" t="s">
        <v>5196</v>
      </c>
      <c r="B41" s="6" t="s">
        <v>4901</v>
      </c>
      <c r="C41" s="26" t="n">
        <v>46024</v>
      </c>
      <c r="D41" s="6" t="s">
        <v>5197</v>
      </c>
      <c r="E41" s="6" t="s">
        <v>21</v>
      </c>
      <c r="F41" s="6" t="n">
        <v>1</v>
      </c>
      <c r="G41" s="10" t="n">
        <v>1026</v>
      </c>
      <c r="H41" s="10" t="n">
        <f aca="false">F41*G41</f>
        <v>1026</v>
      </c>
      <c r="I41" s="6" t="s">
        <v>5130</v>
      </c>
    </row>
    <row r="42" customFormat="false" ht="15" hidden="false" customHeight="false" outlineLevel="0" collapsed="false">
      <c r="A42" s="6" t="s">
        <v>5198</v>
      </c>
      <c r="B42" s="6" t="s">
        <v>4429</v>
      </c>
      <c r="C42" s="26" t="n">
        <v>46024</v>
      </c>
      <c r="D42" s="6" t="s">
        <v>5167</v>
      </c>
      <c r="E42" s="6" t="s">
        <v>22</v>
      </c>
      <c r="F42" s="6" t="n">
        <v>3</v>
      </c>
      <c r="G42" s="10" t="n">
        <v>743</v>
      </c>
      <c r="H42" s="10" t="n">
        <f aca="false">F42*G42</f>
        <v>2229</v>
      </c>
      <c r="I42" s="6" t="s">
        <v>5122</v>
      </c>
    </row>
    <row r="43" customFormat="false" ht="15" hidden="false" customHeight="false" outlineLevel="0" collapsed="false">
      <c r="A43" s="6" t="s">
        <v>5199</v>
      </c>
      <c r="B43" s="6" t="s">
        <v>3041</v>
      </c>
      <c r="C43" s="26" t="n">
        <v>46024</v>
      </c>
      <c r="D43" s="6" t="s">
        <v>5200</v>
      </c>
      <c r="E43" s="6" t="s">
        <v>24</v>
      </c>
      <c r="F43" s="6" t="n">
        <v>1</v>
      </c>
      <c r="G43" s="10" t="n">
        <v>763</v>
      </c>
      <c r="H43" s="10" t="n">
        <f aca="false">F43*G43</f>
        <v>763</v>
      </c>
      <c r="I43" s="6" t="s">
        <v>5122</v>
      </c>
    </row>
    <row r="44" customFormat="false" ht="15" hidden="false" customHeight="false" outlineLevel="0" collapsed="false">
      <c r="A44" s="6" t="s">
        <v>5201</v>
      </c>
      <c r="B44" s="6" t="s">
        <v>2485</v>
      </c>
      <c r="C44" s="26" t="n">
        <v>46024</v>
      </c>
      <c r="D44" s="6" t="s">
        <v>5202</v>
      </c>
      <c r="E44" s="6" t="s">
        <v>23</v>
      </c>
      <c r="F44" s="6" t="n">
        <v>2</v>
      </c>
      <c r="G44" s="10" t="n">
        <v>245</v>
      </c>
      <c r="H44" s="10" t="n">
        <f aca="false">F44*G44</f>
        <v>490</v>
      </c>
      <c r="I44" s="6" t="s">
        <v>5148</v>
      </c>
    </row>
    <row r="45" customFormat="false" ht="15" hidden="false" customHeight="false" outlineLevel="0" collapsed="false">
      <c r="A45" s="6" t="s">
        <v>5203</v>
      </c>
      <c r="B45" s="6" t="s">
        <v>513</v>
      </c>
      <c r="C45" s="26" t="n">
        <v>46024</v>
      </c>
      <c r="D45" s="6" t="s">
        <v>5167</v>
      </c>
      <c r="E45" s="6" t="s">
        <v>22</v>
      </c>
      <c r="F45" s="6" t="n">
        <v>1</v>
      </c>
      <c r="G45" s="10" t="n">
        <v>782</v>
      </c>
      <c r="H45" s="10" t="n">
        <f aca="false">F45*G45</f>
        <v>782</v>
      </c>
      <c r="I45" s="6" t="s">
        <v>5173</v>
      </c>
    </row>
    <row r="46" customFormat="false" ht="15" hidden="false" customHeight="false" outlineLevel="0" collapsed="false">
      <c r="A46" s="6" t="s">
        <v>5204</v>
      </c>
      <c r="B46" s="6" t="s">
        <v>3803</v>
      </c>
      <c r="C46" s="26" t="n">
        <v>46024</v>
      </c>
      <c r="D46" s="6" t="s">
        <v>5180</v>
      </c>
      <c r="E46" s="6" t="s">
        <v>24</v>
      </c>
      <c r="F46" s="6" t="n">
        <v>2</v>
      </c>
      <c r="G46" s="10" t="n">
        <v>1788</v>
      </c>
      <c r="H46" s="10" t="n">
        <f aca="false">F46*G46</f>
        <v>3576</v>
      </c>
      <c r="I46" s="6" t="s">
        <v>5133</v>
      </c>
    </row>
    <row r="47" customFormat="false" ht="15" hidden="false" customHeight="false" outlineLevel="0" collapsed="false">
      <c r="A47" s="6" t="s">
        <v>5205</v>
      </c>
      <c r="B47" s="6" t="s">
        <v>3451</v>
      </c>
      <c r="C47" s="26" t="n">
        <v>46024</v>
      </c>
      <c r="D47" s="6" t="s">
        <v>5137</v>
      </c>
      <c r="E47" s="6" t="s">
        <v>21</v>
      </c>
      <c r="F47" s="6" t="n">
        <v>3</v>
      </c>
      <c r="G47" s="10" t="n">
        <v>1768</v>
      </c>
      <c r="H47" s="10" t="n">
        <f aca="false">F47*G47</f>
        <v>5304</v>
      </c>
      <c r="I47" s="6" t="s">
        <v>5148</v>
      </c>
    </row>
    <row r="48" customFormat="false" ht="15" hidden="false" customHeight="false" outlineLevel="0" collapsed="false">
      <c r="A48" s="6" t="s">
        <v>5206</v>
      </c>
      <c r="B48" s="6" t="s">
        <v>1879</v>
      </c>
      <c r="C48" s="26" t="n">
        <v>46024</v>
      </c>
      <c r="D48" s="6" t="s">
        <v>5207</v>
      </c>
      <c r="E48" s="6" t="s">
        <v>20</v>
      </c>
      <c r="F48" s="6" t="n">
        <v>1</v>
      </c>
      <c r="G48" s="10" t="n">
        <v>1258</v>
      </c>
      <c r="H48" s="10" t="n">
        <f aca="false">F48*G48</f>
        <v>1258</v>
      </c>
      <c r="I48" s="6" t="s">
        <v>5148</v>
      </c>
    </row>
    <row r="49" customFormat="false" ht="15" hidden="false" customHeight="false" outlineLevel="0" collapsed="false">
      <c r="A49" s="6" t="s">
        <v>5208</v>
      </c>
      <c r="B49" s="6" t="s">
        <v>2445</v>
      </c>
      <c r="C49" s="26" t="n">
        <v>46024</v>
      </c>
      <c r="D49" s="6" t="s">
        <v>5121</v>
      </c>
      <c r="E49" s="6" t="s">
        <v>22</v>
      </c>
      <c r="F49" s="6" t="n">
        <v>3</v>
      </c>
      <c r="G49" s="10" t="n">
        <v>928</v>
      </c>
      <c r="H49" s="10" t="n">
        <f aca="false">F49*G49</f>
        <v>2784</v>
      </c>
      <c r="I49" s="6" t="s">
        <v>5125</v>
      </c>
    </row>
    <row r="50" customFormat="false" ht="15" hidden="false" customHeight="false" outlineLevel="0" collapsed="false">
      <c r="A50" s="6" t="s">
        <v>5209</v>
      </c>
      <c r="B50" s="6" t="s">
        <v>3093</v>
      </c>
      <c r="C50" s="26" t="n">
        <v>46024</v>
      </c>
      <c r="D50" s="6" t="s">
        <v>5163</v>
      </c>
      <c r="E50" s="6" t="s">
        <v>23</v>
      </c>
      <c r="F50" s="6" t="n">
        <v>2</v>
      </c>
      <c r="G50" s="10" t="n">
        <v>744</v>
      </c>
      <c r="H50" s="10" t="n">
        <f aca="false">F50*G50</f>
        <v>1488</v>
      </c>
      <c r="I50" s="6" t="s">
        <v>5125</v>
      </c>
    </row>
    <row r="51" customFormat="false" ht="15" hidden="false" customHeight="false" outlineLevel="0" collapsed="false">
      <c r="A51" s="6" t="s">
        <v>5210</v>
      </c>
      <c r="B51" s="6" t="s">
        <v>1903</v>
      </c>
      <c r="C51" s="26" t="n">
        <v>46025</v>
      </c>
      <c r="D51" s="6" t="s">
        <v>5132</v>
      </c>
      <c r="E51" s="6" t="s">
        <v>23</v>
      </c>
      <c r="F51" s="6" t="n">
        <v>3</v>
      </c>
      <c r="G51" s="10" t="n">
        <v>342</v>
      </c>
      <c r="H51" s="10" t="n">
        <f aca="false">F51*G51</f>
        <v>1026</v>
      </c>
      <c r="I51" s="6" t="s">
        <v>5148</v>
      </c>
    </row>
    <row r="52" customFormat="false" ht="15" hidden="false" customHeight="false" outlineLevel="0" collapsed="false">
      <c r="A52" s="6" t="s">
        <v>5211</v>
      </c>
      <c r="B52" s="6" t="s">
        <v>1963</v>
      </c>
      <c r="C52" s="26" t="n">
        <v>46025</v>
      </c>
      <c r="D52" s="6" t="s">
        <v>5167</v>
      </c>
      <c r="E52" s="6" t="s">
        <v>22</v>
      </c>
      <c r="F52" s="6" t="n">
        <v>1</v>
      </c>
      <c r="G52" s="10" t="n">
        <v>782</v>
      </c>
      <c r="H52" s="10" t="n">
        <f aca="false">F52*G52</f>
        <v>782</v>
      </c>
      <c r="I52" s="6" t="s">
        <v>5122</v>
      </c>
    </row>
    <row r="53" customFormat="false" ht="15" hidden="false" customHeight="false" outlineLevel="0" collapsed="false">
      <c r="A53" s="6" t="s">
        <v>5212</v>
      </c>
      <c r="B53" s="6" t="s">
        <v>1041</v>
      </c>
      <c r="C53" s="26" t="n">
        <v>46025</v>
      </c>
      <c r="D53" s="6" t="s">
        <v>5167</v>
      </c>
      <c r="E53" s="6" t="s">
        <v>22</v>
      </c>
      <c r="F53" s="6" t="n">
        <v>1</v>
      </c>
      <c r="G53" s="10" t="n">
        <v>702</v>
      </c>
      <c r="H53" s="10" t="n">
        <f aca="false">F53*G53</f>
        <v>702</v>
      </c>
      <c r="I53" s="6" t="s">
        <v>5122</v>
      </c>
    </row>
    <row r="54" customFormat="false" ht="15" hidden="false" customHeight="false" outlineLevel="0" collapsed="false">
      <c r="A54" s="6" t="s">
        <v>5213</v>
      </c>
      <c r="B54" s="6" t="s">
        <v>2853</v>
      </c>
      <c r="C54" s="26" t="n">
        <v>46025</v>
      </c>
      <c r="D54" s="6" t="s">
        <v>5214</v>
      </c>
      <c r="E54" s="6" t="s">
        <v>20</v>
      </c>
      <c r="F54" s="6" t="n">
        <v>2</v>
      </c>
      <c r="G54" s="10" t="n">
        <v>2039</v>
      </c>
      <c r="H54" s="10" t="n">
        <f aca="false">F54*G54</f>
        <v>4078</v>
      </c>
      <c r="I54" s="6" t="s">
        <v>5122</v>
      </c>
    </row>
    <row r="55" customFormat="false" ht="15" hidden="false" customHeight="false" outlineLevel="0" collapsed="false">
      <c r="A55" s="6" t="s">
        <v>5215</v>
      </c>
      <c r="B55" s="6" t="s">
        <v>659</v>
      </c>
      <c r="C55" s="26" t="n">
        <v>46025</v>
      </c>
      <c r="D55" s="6" t="s">
        <v>5216</v>
      </c>
      <c r="E55" s="6" t="s">
        <v>23</v>
      </c>
      <c r="F55" s="6" t="n">
        <v>4</v>
      </c>
      <c r="G55" s="10" t="n">
        <v>587</v>
      </c>
      <c r="H55" s="10" t="n">
        <f aca="false">F55*G55</f>
        <v>2348</v>
      </c>
      <c r="I55" s="6" t="s">
        <v>5130</v>
      </c>
    </row>
    <row r="56" customFormat="false" ht="15" hidden="false" customHeight="false" outlineLevel="0" collapsed="false">
      <c r="A56" s="6" t="s">
        <v>5217</v>
      </c>
      <c r="B56" s="6" t="s">
        <v>599</v>
      </c>
      <c r="C56" s="26" t="n">
        <v>46025</v>
      </c>
      <c r="D56" s="6" t="s">
        <v>5218</v>
      </c>
      <c r="E56" s="6" t="s">
        <v>23</v>
      </c>
      <c r="F56" s="6" t="n">
        <v>2</v>
      </c>
      <c r="G56" s="10" t="n">
        <v>148</v>
      </c>
      <c r="H56" s="10" t="n">
        <f aca="false">F56*G56</f>
        <v>296</v>
      </c>
      <c r="I56" s="6" t="s">
        <v>5130</v>
      </c>
    </row>
    <row r="57" customFormat="false" ht="15" hidden="false" customHeight="false" outlineLevel="0" collapsed="false">
      <c r="A57" s="6" t="s">
        <v>5219</v>
      </c>
      <c r="B57" s="6" t="s">
        <v>723</v>
      </c>
      <c r="C57" s="26" t="n">
        <v>46025</v>
      </c>
      <c r="D57" s="6" t="s">
        <v>5220</v>
      </c>
      <c r="E57" s="6" t="s">
        <v>24</v>
      </c>
      <c r="F57" s="6" t="n">
        <v>1</v>
      </c>
      <c r="G57" s="10" t="n">
        <v>1120</v>
      </c>
      <c r="H57" s="10" t="n">
        <f aca="false">F57*G57</f>
        <v>1120</v>
      </c>
      <c r="I57" s="6" t="s">
        <v>5122</v>
      </c>
    </row>
    <row r="58" customFormat="false" ht="15" hidden="false" customHeight="false" outlineLevel="0" collapsed="false">
      <c r="A58" s="6" t="s">
        <v>5221</v>
      </c>
      <c r="B58" s="6" t="s">
        <v>3799</v>
      </c>
      <c r="C58" s="26" t="n">
        <v>46025</v>
      </c>
      <c r="D58" s="6" t="s">
        <v>5171</v>
      </c>
      <c r="E58" s="6" t="s">
        <v>23</v>
      </c>
      <c r="F58" s="6" t="n">
        <v>4</v>
      </c>
      <c r="G58" s="10" t="n">
        <v>734</v>
      </c>
      <c r="H58" s="10" t="n">
        <f aca="false">F58*G58</f>
        <v>2936</v>
      </c>
      <c r="I58" s="6" t="s">
        <v>5122</v>
      </c>
    </row>
    <row r="59" customFormat="false" ht="15" hidden="false" customHeight="false" outlineLevel="0" collapsed="false">
      <c r="A59" s="6" t="s">
        <v>5222</v>
      </c>
      <c r="B59" s="6" t="s">
        <v>233</v>
      </c>
      <c r="C59" s="26" t="n">
        <v>46025</v>
      </c>
      <c r="D59" s="6" t="s">
        <v>5127</v>
      </c>
      <c r="E59" s="6" t="s">
        <v>21</v>
      </c>
      <c r="F59" s="6" t="n">
        <v>1</v>
      </c>
      <c r="G59" s="10" t="n">
        <v>884</v>
      </c>
      <c r="H59" s="10" t="n">
        <f aca="false">F59*G59</f>
        <v>884</v>
      </c>
      <c r="I59" s="6" t="s">
        <v>5122</v>
      </c>
    </row>
    <row r="60" customFormat="false" ht="15" hidden="false" customHeight="false" outlineLevel="0" collapsed="false">
      <c r="A60" s="6" t="s">
        <v>5223</v>
      </c>
      <c r="B60" s="6" t="s">
        <v>1081</v>
      </c>
      <c r="C60" s="26" t="n">
        <v>46025</v>
      </c>
      <c r="D60" s="6" t="s">
        <v>5224</v>
      </c>
      <c r="E60" s="6" t="s">
        <v>23</v>
      </c>
      <c r="F60" s="6" t="n">
        <v>5</v>
      </c>
      <c r="G60" s="10" t="n">
        <v>195</v>
      </c>
      <c r="H60" s="10" t="n">
        <f aca="false">F60*G60</f>
        <v>975</v>
      </c>
      <c r="I60" s="6" t="s">
        <v>5122</v>
      </c>
    </row>
    <row r="61" customFormat="false" ht="15" hidden="false" customHeight="false" outlineLevel="0" collapsed="false">
      <c r="A61" s="6" t="s">
        <v>5225</v>
      </c>
      <c r="B61" s="6" t="s">
        <v>4495</v>
      </c>
      <c r="C61" s="26" t="n">
        <v>46025</v>
      </c>
      <c r="D61" s="6" t="s">
        <v>5226</v>
      </c>
      <c r="E61" s="6" t="s">
        <v>24</v>
      </c>
      <c r="F61" s="6" t="n">
        <v>1</v>
      </c>
      <c r="G61" s="10" t="n">
        <v>457</v>
      </c>
      <c r="H61" s="10" t="n">
        <f aca="false">F61*G61</f>
        <v>457</v>
      </c>
      <c r="I61" s="6" t="s">
        <v>5122</v>
      </c>
    </row>
    <row r="62" customFormat="false" ht="15" hidden="false" customHeight="false" outlineLevel="0" collapsed="false">
      <c r="A62" s="6" t="s">
        <v>5227</v>
      </c>
      <c r="B62" s="6" t="s">
        <v>2565</v>
      </c>
      <c r="C62" s="26" t="n">
        <v>46025</v>
      </c>
      <c r="D62" s="6" t="s">
        <v>5214</v>
      </c>
      <c r="E62" s="6" t="s">
        <v>20</v>
      </c>
      <c r="F62" s="6" t="n">
        <v>1</v>
      </c>
      <c r="G62" s="10" t="n">
        <v>2039</v>
      </c>
      <c r="H62" s="10" t="n">
        <f aca="false">F62*G62</f>
        <v>2039</v>
      </c>
      <c r="I62" s="6" t="s">
        <v>5122</v>
      </c>
    </row>
    <row r="63" customFormat="false" ht="15" hidden="false" customHeight="false" outlineLevel="0" collapsed="false">
      <c r="A63" s="6" t="s">
        <v>5228</v>
      </c>
      <c r="B63" s="6" t="s">
        <v>1281</v>
      </c>
      <c r="C63" s="26" t="n">
        <v>46025</v>
      </c>
      <c r="D63" s="6" t="s">
        <v>5171</v>
      </c>
      <c r="E63" s="6" t="s">
        <v>23</v>
      </c>
      <c r="F63" s="6" t="n">
        <v>4</v>
      </c>
      <c r="G63" s="10" t="n">
        <v>734</v>
      </c>
      <c r="H63" s="10" t="n">
        <f aca="false">F63*G63</f>
        <v>2936</v>
      </c>
      <c r="I63" s="6" t="s">
        <v>5133</v>
      </c>
    </row>
    <row r="64" customFormat="false" ht="15" hidden="false" customHeight="false" outlineLevel="0" collapsed="false">
      <c r="A64" s="6" t="s">
        <v>5229</v>
      </c>
      <c r="B64" s="6" t="s">
        <v>4337</v>
      </c>
      <c r="C64" s="26" t="n">
        <v>46025</v>
      </c>
      <c r="D64" s="6" t="s">
        <v>5158</v>
      </c>
      <c r="E64" s="6" t="s">
        <v>24</v>
      </c>
      <c r="F64" s="6" t="n">
        <v>1</v>
      </c>
      <c r="G64" s="10" t="n">
        <v>433</v>
      </c>
      <c r="H64" s="10" t="n">
        <f aca="false">F64*G64</f>
        <v>433</v>
      </c>
      <c r="I64" s="6" t="s">
        <v>5125</v>
      </c>
    </row>
    <row r="65" customFormat="false" ht="15" hidden="false" customHeight="false" outlineLevel="0" collapsed="false">
      <c r="A65" s="6" t="s">
        <v>5230</v>
      </c>
      <c r="B65" s="6" t="s">
        <v>3907</v>
      </c>
      <c r="C65" s="26" t="n">
        <v>46025</v>
      </c>
      <c r="D65" s="6" t="s">
        <v>5129</v>
      </c>
      <c r="E65" s="6" t="s">
        <v>21</v>
      </c>
      <c r="F65" s="6" t="n">
        <v>1</v>
      </c>
      <c r="G65" s="10" t="n">
        <v>530</v>
      </c>
      <c r="H65" s="10" t="n">
        <f aca="false">F65*G65</f>
        <v>530</v>
      </c>
      <c r="I65" s="6" t="s">
        <v>5122</v>
      </c>
    </row>
    <row r="66" customFormat="false" ht="15" hidden="false" customHeight="false" outlineLevel="0" collapsed="false">
      <c r="A66" s="6" t="s">
        <v>5231</v>
      </c>
      <c r="B66" s="6" t="s">
        <v>1955</v>
      </c>
      <c r="C66" s="26" t="n">
        <v>46025</v>
      </c>
      <c r="D66" s="6" t="s">
        <v>5232</v>
      </c>
      <c r="E66" s="6" t="s">
        <v>23</v>
      </c>
      <c r="F66" s="6" t="n">
        <v>2</v>
      </c>
      <c r="G66" s="10" t="n">
        <v>195</v>
      </c>
      <c r="H66" s="10" t="n">
        <f aca="false">F66*G66</f>
        <v>390</v>
      </c>
      <c r="I66" s="6" t="s">
        <v>5122</v>
      </c>
    </row>
    <row r="67" customFormat="false" ht="15" hidden="false" customHeight="false" outlineLevel="0" collapsed="false">
      <c r="A67" s="6" t="s">
        <v>5233</v>
      </c>
      <c r="B67" s="6" t="s">
        <v>1337</v>
      </c>
      <c r="C67" s="26" t="n">
        <v>46025</v>
      </c>
      <c r="D67" s="6" t="s">
        <v>5167</v>
      </c>
      <c r="E67" s="6" t="s">
        <v>22</v>
      </c>
      <c r="F67" s="6" t="n">
        <v>1</v>
      </c>
      <c r="G67" s="10" t="n">
        <v>743</v>
      </c>
      <c r="H67" s="10" t="n">
        <f aca="false">F67*G67</f>
        <v>743</v>
      </c>
      <c r="I67" s="6" t="s">
        <v>5122</v>
      </c>
    </row>
    <row r="68" customFormat="false" ht="15" hidden="false" customHeight="false" outlineLevel="0" collapsed="false">
      <c r="A68" s="6" t="s">
        <v>5234</v>
      </c>
      <c r="B68" s="6" t="s">
        <v>4683</v>
      </c>
      <c r="C68" s="26" t="n">
        <v>46025</v>
      </c>
      <c r="D68" s="6" t="s">
        <v>5235</v>
      </c>
      <c r="E68" s="6" t="s">
        <v>21</v>
      </c>
      <c r="F68" s="6" t="n">
        <v>2</v>
      </c>
      <c r="G68" s="10" t="n">
        <v>1670</v>
      </c>
      <c r="H68" s="10" t="n">
        <f aca="false">F68*G68</f>
        <v>3340</v>
      </c>
      <c r="I68" s="6" t="s">
        <v>5133</v>
      </c>
    </row>
    <row r="69" customFormat="false" ht="15" hidden="false" customHeight="false" outlineLevel="0" collapsed="false">
      <c r="A69" s="6" t="s">
        <v>5236</v>
      </c>
      <c r="B69" s="6" t="s">
        <v>3791</v>
      </c>
      <c r="C69" s="26" t="n">
        <v>46025</v>
      </c>
      <c r="D69" s="6" t="s">
        <v>5237</v>
      </c>
      <c r="E69" s="6" t="s">
        <v>24</v>
      </c>
      <c r="F69" s="6" t="n">
        <v>3</v>
      </c>
      <c r="G69" s="10" t="n">
        <v>1833</v>
      </c>
      <c r="H69" s="10" t="n">
        <f aca="false">F69*G69</f>
        <v>5499</v>
      </c>
      <c r="I69" s="6" t="s">
        <v>5122</v>
      </c>
    </row>
    <row r="70" customFormat="false" ht="15" hidden="false" customHeight="false" outlineLevel="0" collapsed="false">
      <c r="A70" s="6" t="s">
        <v>5238</v>
      </c>
      <c r="B70" s="6" t="s">
        <v>2911</v>
      </c>
      <c r="C70" s="26" t="n">
        <v>46025</v>
      </c>
      <c r="D70" s="6" t="s">
        <v>5171</v>
      </c>
      <c r="E70" s="6" t="s">
        <v>23</v>
      </c>
      <c r="F70" s="6" t="n">
        <v>2</v>
      </c>
      <c r="G70" s="10" t="n">
        <v>734</v>
      </c>
      <c r="H70" s="10" t="n">
        <f aca="false">F70*G70</f>
        <v>1468</v>
      </c>
      <c r="I70" s="6" t="s">
        <v>5130</v>
      </c>
    </row>
    <row r="71" customFormat="false" ht="15" hidden="false" customHeight="false" outlineLevel="0" collapsed="false">
      <c r="A71" s="6" t="s">
        <v>5239</v>
      </c>
      <c r="B71" s="6" t="s">
        <v>881</v>
      </c>
      <c r="C71" s="26" t="n">
        <v>46025</v>
      </c>
      <c r="D71" s="6" t="s">
        <v>5240</v>
      </c>
      <c r="E71" s="6" t="s">
        <v>20</v>
      </c>
      <c r="F71" s="6" t="n">
        <v>1</v>
      </c>
      <c r="G71" s="10" t="n">
        <v>4588</v>
      </c>
      <c r="H71" s="10" t="n">
        <f aca="false">F71*G71</f>
        <v>4588</v>
      </c>
      <c r="I71" s="6" t="s">
        <v>5130</v>
      </c>
    </row>
    <row r="72" customFormat="false" ht="15" hidden="false" customHeight="false" outlineLevel="0" collapsed="false">
      <c r="A72" s="6" t="s">
        <v>5241</v>
      </c>
      <c r="B72" s="6" t="s">
        <v>4019</v>
      </c>
      <c r="C72" s="26" t="n">
        <v>46025</v>
      </c>
      <c r="D72" s="6" t="s">
        <v>5242</v>
      </c>
      <c r="E72" s="6" t="s">
        <v>23</v>
      </c>
      <c r="F72" s="6" t="n">
        <v>1</v>
      </c>
      <c r="G72" s="10" t="n">
        <v>354</v>
      </c>
      <c r="H72" s="10" t="n">
        <f aca="false">F72*G72</f>
        <v>354</v>
      </c>
      <c r="I72" s="6" t="s">
        <v>5130</v>
      </c>
    </row>
    <row r="73" customFormat="false" ht="15" hidden="false" customHeight="false" outlineLevel="0" collapsed="false">
      <c r="A73" s="6" t="s">
        <v>5243</v>
      </c>
      <c r="B73" s="6" t="s">
        <v>1653</v>
      </c>
      <c r="C73" s="26" t="n">
        <v>46025</v>
      </c>
      <c r="D73" s="6" t="s">
        <v>5165</v>
      </c>
      <c r="E73" s="6" t="s">
        <v>22</v>
      </c>
      <c r="F73" s="6" t="n">
        <v>2</v>
      </c>
      <c r="G73" s="10" t="n">
        <v>977</v>
      </c>
      <c r="H73" s="10" t="n">
        <f aca="false">F73*G73</f>
        <v>1954</v>
      </c>
      <c r="I73" s="6" t="s">
        <v>5148</v>
      </c>
    </row>
    <row r="74" customFormat="false" ht="15" hidden="false" customHeight="false" outlineLevel="0" collapsed="false">
      <c r="A74" s="6" t="s">
        <v>5244</v>
      </c>
      <c r="B74" s="6" t="s">
        <v>1101</v>
      </c>
      <c r="C74" s="26" t="n">
        <v>46025</v>
      </c>
      <c r="D74" s="6" t="s">
        <v>5245</v>
      </c>
      <c r="E74" s="6" t="s">
        <v>21</v>
      </c>
      <c r="F74" s="6" t="n">
        <v>1</v>
      </c>
      <c r="G74" s="10" t="n">
        <v>2211</v>
      </c>
      <c r="H74" s="10" t="n">
        <f aca="false">F74*G74</f>
        <v>2211</v>
      </c>
      <c r="I74" s="6" t="s">
        <v>5122</v>
      </c>
    </row>
    <row r="75" customFormat="false" ht="15" hidden="false" customHeight="false" outlineLevel="0" collapsed="false">
      <c r="A75" s="6" t="s">
        <v>5246</v>
      </c>
      <c r="B75" s="6" t="s">
        <v>1663</v>
      </c>
      <c r="C75" s="26" t="n">
        <v>46026</v>
      </c>
      <c r="D75" s="6" t="s">
        <v>5127</v>
      </c>
      <c r="E75" s="6" t="s">
        <v>21</v>
      </c>
      <c r="F75" s="6" t="n">
        <v>1</v>
      </c>
      <c r="G75" s="10" t="n">
        <v>796</v>
      </c>
      <c r="H75" s="10" t="n">
        <f aca="false">F75*G75</f>
        <v>796</v>
      </c>
      <c r="I75" s="6" t="s">
        <v>5148</v>
      </c>
    </row>
    <row r="76" customFormat="false" ht="15" hidden="false" customHeight="false" outlineLevel="0" collapsed="false">
      <c r="A76" s="6" t="s">
        <v>5247</v>
      </c>
      <c r="B76" s="6" t="s">
        <v>2423</v>
      </c>
      <c r="C76" s="26" t="n">
        <v>46026</v>
      </c>
      <c r="D76" s="6" t="s">
        <v>5216</v>
      </c>
      <c r="E76" s="6" t="s">
        <v>23</v>
      </c>
      <c r="F76" s="6" t="n">
        <v>3</v>
      </c>
      <c r="G76" s="10" t="n">
        <v>528</v>
      </c>
      <c r="H76" s="10" t="n">
        <f aca="false">F76*G76</f>
        <v>1584</v>
      </c>
      <c r="I76" s="6" t="s">
        <v>5122</v>
      </c>
    </row>
    <row r="77" customFormat="false" ht="15" hidden="false" customHeight="false" outlineLevel="0" collapsed="false">
      <c r="A77" s="6" t="s">
        <v>5248</v>
      </c>
      <c r="B77" s="6" t="s">
        <v>689</v>
      </c>
      <c r="C77" s="26" t="n">
        <v>46026</v>
      </c>
      <c r="D77" s="6" t="s">
        <v>5165</v>
      </c>
      <c r="E77" s="6" t="s">
        <v>22</v>
      </c>
      <c r="F77" s="6" t="n">
        <v>1</v>
      </c>
      <c r="G77" s="10" t="n">
        <v>977</v>
      </c>
      <c r="H77" s="10" t="n">
        <f aca="false">F77*G77</f>
        <v>977</v>
      </c>
      <c r="I77" s="6" t="s">
        <v>5122</v>
      </c>
    </row>
    <row r="78" customFormat="false" ht="15" hidden="false" customHeight="false" outlineLevel="0" collapsed="false">
      <c r="A78" s="6" t="s">
        <v>5249</v>
      </c>
      <c r="B78" s="6" t="s">
        <v>2869</v>
      </c>
      <c r="C78" s="26" t="n">
        <v>46026</v>
      </c>
      <c r="D78" s="6" t="s">
        <v>5175</v>
      </c>
      <c r="E78" s="6" t="s">
        <v>24</v>
      </c>
      <c r="F78" s="6" t="n">
        <v>1</v>
      </c>
      <c r="G78" s="10" t="n">
        <v>610</v>
      </c>
      <c r="H78" s="10" t="n">
        <f aca="false">F78*G78</f>
        <v>610</v>
      </c>
      <c r="I78" s="6" t="s">
        <v>5122</v>
      </c>
    </row>
    <row r="79" customFormat="false" ht="15" hidden="false" customHeight="false" outlineLevel="0" collapsed="false">
      <c r="A79" s="6" t="s">
        <v>5250</v>
      </c>
      <c r="B79" s="6" t="s">
        <v>3543</v>
      </c>
      <c r="C79" s="26" t="n">
        <v>46026</v>
      </c>
      <c r="D79" s="6" t="s">
        <v>5163</v>
      </c>
      <c r="E79" s="6" t="s">
        <v>23</v>
      </c>
      <c r="F79" s="6" t="n">
        <v>1</v>
      </c>
      <c r="G79" s="10" t="n">
        <v>783</v>
      </c>
      <c r="H79" s="10" t="n">
        <f aca="false">F79*G79</f>
        <v>783</v>
      </c>
      <c r="I79" s="6" t="s">
        <v>5122</v>
      </c>
    </row>
    <row r="80" customFormat="false" ht="15" hidden="false" customHeight="false" outlineLevel="0" collapsed="false">
      <c r="A80" s="6" t="s">
        <v>5251</v>
      </c>
      <c r="B80" s="6" t="s">
        <v>3975</v>
      </c>
      <c r="C80" s="26" t="n">
        <v>46026</v>
      </c>
      <c r="D80" s="6" t="s">
        <v>5167</v>
      </c>
      <c r="E80" s="6" t="s">
        <v>22</v>
      </c>
      <c r="F80" s="6" t="n">
        <v>1</v>
      </c>
      <c r="G80" s="10" t="n">
        <v>782</v>
      </c>
      <c r="H80" s="10" t="n">
        <f aca="false">F80*G80</f>
        <v>782</v>
      </c>
      <c r="I80" s="6" t="s">
        <v>5130</v>
      </c>
    </row>
    <row r="81" customFormat="false" ht="15" hidden="false" customHeight="false" outlineLevel="0" collapsed="false">
      <c r="A81" s="6" t="s">
        <v>5252</v>
      </c>
      <c r="B81" s="6" t="s">
        <v>1137</v>
      </c>
      <c r="C81" s="26" t="n">
        <v>46026</v>
      </c>
      <c r="D81" s="6" t="s">
        <v>5167</v>
      </c>
      <c r="E81" s="6" t="s">
        <v>22</v>
      </c>
      <c r="F81" s="6" t="n">
        <v>1</v>
      </c>
      <c r="G81" s="10" t="n">
        <v>743</v>
      </c>
      <c r="H81" s="10" t="n">
        <f aca="false">F81*G81</f>
        <v>743</v>
      </c>
      <c r="I81" s="6" t="s">
        <v>5130</v>
      </c>
    </row>
    <row r="82" customFormat="false" ht="15" hidden="false" customHeight="false" outlineLevel="0" collapsed="false">
      <c r="A82" s="6" t="s">
        <v>5253</v>
      </c>
      <c r="B82" s="6" t="s">
        <v>3125</v>
      </c>
      <c r="C82" s="26" t="n">
        <v>46026</v>
      </c>
      <c r="D82" s="6" t="s">
        <v>5182</v>
      </c>
      <c r="E82" s="6" t="s">
        <v>23</v>
      </c>
      <c r="F82" s="6" t="n">
        <v>1</v>
      </c>
      <c r="G82" s="10" t="n">
        <v>367</v>
      </c>
      <c r="H82" s="10" t="n">
        <f aca="false">F82*G82</f>
        <v>367</v>
      </c>
      <c r="I82" s="6" t="s">
        <v>5122</v>
      </c>
    </row>
    <row r="83" customFormat="false" ht="15" hidden="false" customHeight="false" outlineLevel="0" collapsed="false">
      <c r="A83" s="6" t="s">
        <v>5254</v>
      </c>
      <c r="B83" s="6" t="s">
        <v>749</v>
      </c>
      <c r="C83" s="26" t="n">
        <v>46026</v>
      </c>
      <c r="D83" s="6" t="s">
        <v>5185</v>
      </c>
      <c r="E83" s="6" t="s">
        <v>24</v>
      </c>
      <c r="F83" s="6" t="n">
        <v>3</v>
      </c>
      <c r="G83" s="10" t="n">
        <v>2140</v>
      </c>
      <c r="H83" s="10" t="n">
        <f aca="false">F83*G83</f>
        <v>6420</v>
      </c>
      <c r="I83" s="6" t="s">
        <v>5122</v>
      </c>
    </row>
    <row r="84" customFormat="false" ht="15" hidden="false" customHeight="false" outlineLevel="0" collapsed="false">
      <c r="A84" s="6" t="s">
        <v>5255</v>
      </c>
      <c r="B84" s="6" t="s">
        <v>621</v>
      </c>
      <c r="C84" s="26" t="n">
        <v>46026</v>
      </c>
      <c r="D84" s="6" t="s">
        <v>5158</v>
      </c>
      <c r="E84" s="6" t="s">
        <v>24</v>
      </c>
      <c r="F84" s="6" t="n">
        <v>3</v>
      </c>
      <c r="G84" s="10" t="n">
        <v>433</v>
      </c>
      <c r="H84" s="10" t="n">
        <f aca="false">F84*G84</f>
        <v>1299</v>
      </c>
      <c r="I84" s="6" t="s">
        <v>5122</v>
      </c>
    </row>
    <row r="85" customFormat="false" ht="15" hidden="false" customHeight="false" outlineLevel="0" collapsed="false">
      <c r="A85" s="6" t="s">
        <v>5256</v>
      </c>
      <c r="B85" s="6" t="s">
        <v>277</v>
      </c>
      <c r="C85" s="26" t="n">
        <v>46026</v>
      </c>
      <c r="D85" s="6" t="s">
        <v>5257</v>
      </c>
      <c r="E85" s="6" t="s">
        <v>22</v>
      </c>
      <c r="F85" s="6" t="n">
        <v>1</v>
      </c>
      <c r="G85" s="10" t="n">
        <v>2137</v>
      </c>
      <c r="H85" s="10" t="n">
        <f aca="false">F85*G85</f>
        <v>2137</v>
      </c>
      <c r="I85" s="6" t="s">
        <v>5125</v>
      </c>
    </row>
    <row r="86" customFormat="false" ht="15" hidden="false" customHeight="false" outlineLevel="0" collapsed="false">
      <c r="A86" s="6" t="s">
        <v>5258</v>
      </c>
      <c r="B86" s="6" t="s">
        <v>4473</v>
      </c>
      <c r="C86" s="26" t="n">
        <v>46026</v>
      </c>
      <c r="D86" s="6" t="s">
        <v>5259</v>
      </c>
      <c r="E86" s="6" t="s">
        <v>22</v>
      </c>
      <c r="F86" s="6" t="n">
        <v>1</v>
      </c>
      <c r="G86" s="10" t="n">
        <v>1486</v>
      </c>
      <c r="H86" s="10" t="n">
        <f aca="false">F86*G86</f>
        <v>1486</v>
      </c>
      <c r="I86" s="6" t="s">
        <v>5130</v>
      </c>
    </row>
    <row r="87" customFormat="false" ht="15" hidden="false" customHeight="false" outlineLevel="0" collapsed="false">
      <c r="A87" s="6" t="s">
        <v>5260</v>
      </c>
      <c r="B87" s="6" t="s">
        <v>2115</v>
      </c>
      <c r="C87" s="26" t="n">
        <v>46026</v>
      </c>
      <c r="D87" s="6" t="s">
        <v>5261</v>
      </c>
      <c r="E87" s="6" t="s">
        <v>23</v>
      </c>
      <c r="F87" s="6" t="n">
        <v>1</v>
      </c>
      <c r="G87" s="10" t="n">
        <v>166</v>
      </c>
      <c r="H87" s="10" t="n">
        <f aca="false">F87*G87</f>
        <v>166</v>
      </c>
      <c r="I87" s="6" t="s">
        <v>5148</v>
      </c>
    </row>
    <row r="88" customFormat="false" ht="15" hidden="false" customHeight="false" outlineLevel="0" collapsed="false">
      <c r="A88" s="6" t="s">
        <v>5262</v>
      </c>
      <c r="B88" s="6" t="s">
        <v>4771</v>
      </c>
      <c r="C88" s="26" t="n">
        <v>46026</v>
      </c>
      <c r="D88" s="6" t="s">
        <v>5259</v>
      </c>
      <c r="E88" s="6" t="s">
        <v>22</v>
      </c>
      <c r="F88" s="6" t="n">
        <v>1</v>
      </c>
      <c r="G88" s="10" t="n">
        <v>1564</v>
      </c>
      <c r="H88" s="10" t="n">
        <f aca="false">F88*G88</f>
        <v>1564</v>
      </c>
      <c r="I88" s="6" t="s">
        <v>5125</v>
      </c>
    </row>
    <row r="89" customFormat="false" ht="15" hidden="false" customHeight="false" outlineLevel="0" collapsed="false">
      <c r="A89" s="6" t="s">
        <v>5263</v>
      </c>
      <c r="B89" s="6" t="s">
        <v>1703</v>
      </c>
      <c r="C89" s="26" t="n">
        <v>46026</v>
      </c>
      <c r="D89" s="6" t="s">
        <v>5165</v>
      </c>
      <c r="E89" s="6" t="s">
        <v>22</v>
      </c>
      <c r="F89" s="6" t="n">
        <v>1</v>
      </c>
      <c r="G89" s="10" t="n">
        <v>880</v>
      </c>
      <c r="H89" s="10" t="n">
        <f aca="false">F89*G89</f>
        <v>880</v>
      </c>
      <c r="I89" s="6" t="s">
        <v>5148</v>
      </c>
    </row>
    <row r="90" customFormat="false" ht="15" hidden="false" customHeight="false" outlineLevel="0" collapsed="false">
      <c r="A90" s="6" t="s">
        <v>5264</v>
      </c>
      <c r="B90" s="6" t="s">
        <v>4521</v>
      </c>
      <c r="C90" s="26" t="n">
        <v>46026</v>
      </c>
      <c r="D90" s="6" t="s">
        <v>5167</v>
      </c>
      <c r="E90" s="6" t="s">
        <v>22</v>
      </c>
      <c r="F90" s="6" t="n">
        <v>1</v>
      </c>
      <c r="G90" s="10" t="n">
        <v>743</v>
      </c>
      <c r="H90" s="10" t="n">
        <f aca="false">F90*G90</f>
        <v>743</v>
      </c>
      <c r="I90" s="6" t="s">
        <v>5122</v>
      </c>
    </row>
    <row r="91" customFormat="false" ht="15" hidden="false" customHeight="false" outlineLevel="0" collapsed="false">
      <c r="A91" s="6" t="s">
        <v>5265</v>
      </c>
      <c r="B91" s="6" t="s">
        <v>1811</v>
      </c>
      <c r="C91" s="26" t="n">
        <v>46026</v>
      </c>
      <c r="D91" s="6" t="s">
        <v>5127</v>
      </c>
      <c r="E91" s="6" t="s">
        <v>21</v>
      </c>
      <c r="F91" s="6" t="n">
        <v>1</v>
      </c>
      <c r="G91" s="10" t="n">
        <v>839</v>
      </c>
      <c r="H91" s="10" t="n">
        <f aca="false">F91*G91</f>
        <v>839</v>
      </c>
      <c r="I91" s="6" t="s">
        <v>5122</v>
      </c>
    </row>
    <row r="92" customFormat="false" ht="15" hidden="false" customHeight="false" outlineLevel="0" collapsed="false">
      <c r="A92" s="6" t="s">
        <v>5266</v>
      </c>
      <c r="B92" s="6" t="s">
        <v>2289</v>
      </c>
      <c r="C92" s="26" t="n">
        <v>46026</v>
      </c>
      <c r="D92" s="6" t="s">
        <v>5216</v>
      </c>
      <c r="E92" s="6" t="s">
        <v>23</v>
      </c>
      <c r="F92" s="6" t="n">
        <v>5</v>
      </c>
      <c r="G92" s="10" t="n">
        <v>528</v>
      </c>
      <c r="H92" s="10" t="n">
        <f aca="false">F92*G92</f>
        <v>2640</v>
      </c>
      <c r="I92" s="6" t="s">
        <v>5122</v>
      </c>
    </row>
    <row r="93" customFormat="false" ht="15" hidden="false" customHeight="false" outlineLevel="0" collapsed="false">
      <c r="A93" s="6" t="s">
        <v>5267</v>
      </c>
      <c r="B93" s="6" t="s">
        <v>3785</v>
      </c>
      <c r="C93" s="26" t="n">
        <v>46026</v>
      </c>
      <c r="D93" s="6" t="s">
        <v>5167</v>
      </c>
      <c r="E93" s="6" t="s">
        <v>22</v>
      </c>
      <c r="F93" s="6" t="n">
        <v>1</v>
      </c>
      <c r="G93" s="10" t="n">
        <v>781</v>
      </c>
      <c r="H93" s="10" t="n">
        <f aca="false">F93*G93</f>
        <v>781</v>
      </c>
      <c r="I93" s="6" t="s">
        <v>5125</v>
      </c>
    </row>
    <row r="94" customFormat="false" ht="15" hidden="false" customHeight="false" outlineLevel="0" collapsed="false">
      <c r="A94" s="6" t="s">
        <v>5268</v>
      </c>
      <c r="B94" s="6" t="s">
        <v>1089</v>
      </c>
      <c r="C94" s="26" t="n">
        <v>46026</v>
      </c>
      <c r="D94" s="6" t="s">
        <v>5269</v>
      </c>
      <c r="E94" s="6" t="s">
        <v>22</v>
      </c>
      <c r="F94" s="6" t="n">
        <v>2</v>
      </c>
      <c r="G94" s="10" t="n">
        <v>1271</v>
      </c>
      <c r="H94" s="10" t="n">
        <f aca="false">F94*G94</f>
        <v>2542</v>
      </c>
      <c r="I94" s="6" t="s">
        <v>5133</v>
      </c>
    </row>
    <row r="95" customFormat="false" ht="15" hidden="false" customHeight="false" outlineLevel="0" collapsed="false">
      <c r="A95" s="6" t="s">
        <v>5270</v>
      </c>
      <c r="B95" s="6" t="s">
        <v>2807</v>
      </c>
      <c r="C95" s="26" t="n">
        <v>46026</v>
      </c>
      <c r="D95" s="6" t="s">
        <v>5129</v>
      </c>
      <c r="E95" s="6" t="s">
        <v>21</v>
      </c>
      <c r="F95" s="6" t="n">
        <v>1</v>
      </c>
      <c r="G95" s="10" t="n">
        <v>589</v>
      </c>
      <c r="H95" s="10" t="n">
        <f aca="false">F95*G95</f>
        <v>589</v>
      </c>
      <c r="I95" s="6" t="s">
        <v>5122</v>
      </c>
    </row>
    <row r="96" customFormat="false" ht="15" hidden="false" customHeight="false" outlineLevel="0" collapsed="false">
      <c r="A96" s="6" t="s">
        <v>5271</v>
      </c>
      <c r="B96" s="6" t="s">
        <v>1189</v>
      </c>
      <c r="C96" s="26" t="n">
        <v>46027</v>
      </c>
      <c r="D96" s="6" t="s">
        <v>5129</v>
      </c>
      <c r="E96" s="6" t="s">
        <v>21</v>
      </c>
      <c r="F96" s="6" t="n">
        <v>1</v>
      </c>
      <c r="G96" s="10" t="n">
        <v>589</v>
      </c>
      <c r="H96" s="10" t="n">
        <f aca="false">F96*G96</f>
        <v>589</v>
      </c>
      <c r="I96" s="6" t="s">
        <v>5130</v>
      </c>
    </row>
    <row r="97" customFormat="false" ht="15" hidden="false" customHeight="false" outlineLevel="0" collapsed="false">
      <c r="A97" s="6" t="s">
        <v>5272</v>
      </c>
      <c r="B97" s="6" t="s">
        <v>4573</v>
      </c>
      <c r="C97" s="26" t="n">
        <v>46027</v>
      </c>
      <c r="D97" s="6" t="s">
        <v>5273</v>
      </c>
      <c r="E97" s="6" t="s">
        <v>23</v>
      </c>
      <c r="F97" s="6" t="n">
        <v>5</v>
      </c>
      <c r="G97" s="10" t="n">
        <v>228</v>
      </c>
      <c r="H97" s="10" t="n">
        <f aca="false">F97*G97</f>
        <v>1140</v>
      </c>
      <c r="I97" s="6" t="s">
        <v>5122</v>
      </c>
    </row>
    <row r="98" customFormat="false" ht="15" hidden="false" customHeight="false" outlineLevel="0" collapsed="false">
      <c r="A98" s="6" t="s">
        <v>5274</v>
      </c>
      <c r="B98" s="6" t="s">
        <v>2995</v>
      </c>
      <c r="C98" s="26" t="n">
        <v>46027</v>
      </c>
      <c r="D98" s="6" t="s">
        <v>5192</v>
      </c>
      <c r="E98" s="6" t="s">
        <v>20</v>
      </c>
      <c r="F98" s="6" t="n">
        <v>1</v>
      </c>
      <c r="G98" s="10" t="n">
        <v>4078</v>
      </c>
      <c r="H98" s="10" t="n">
        <f aca="false">F98*G98</f>
        <v>4078</v>
      </c>
      <c r="I98" s="6" t="s">
        <v>5122</v>
      </c>
    </row>
    <row r="99" customFormat="false" ht="15" hidden="false" customHeight="false" outlineLevel="0" collapsed="false">
      <c r="A99" s="6" t="s">
        <v>5275</v>
      </c>
      <c r="B99" s="6" t="s">
        <v>695</v>
      </c>
      <c r="C99" s="26" t="n">
        <v>46027</v>
      </c>
      <c r="D99" s="6" t="s">
        <v>5163</v>
      </c>
      <c r="E99" s="6" t="s">
        <v>23</v>
      </c>
      <c r="F99" s="6" t="n">
        <v>3</v>
      </c>
      <c r="G99" s="10" t="n">
        <v>744</v>
      </c>
      <c r="H99" s="10" t="n">
        <f aca="false">F99*G99</f>
        <v>2232</v>
      </c>
      <c r="I99" s="6" t="s">
        <v>5122</v>
      </c>
    </row>
    <row r="100" customFormat="false" ht="15" hidden="false" customHeight="false" outlineLevel="0" collapsed="false">
      <c r="A100" s="6" t="s">
        <v>5276</v>
      </c>
      <c r="B100" s="6" t="s">
        <v>4653</v>
      </c>
      <c r="C100" s="26" t="n">
        <v>46027</v>
      </c>
      <c r="D100" s="6" t="s">
        <v>5277</v>
      </c>
      <c r="E100" s="6" t="s">
        <v>22</v>
      </c>
      <c r="F100" s="6" t="n">
        <v>2</v>
      </c>
      <c r="G100" s="10" t="n">
        <v>2738</v>
      </c>
      <c r="H100" s="10" t="n">
        <f aca="false">F100*G100</f>
        <v>5476</v>
      </c>
      <c r="I100" s="6" t="s">
        <v>5148</v>
      </c>
    </row>
    <row r="101" customFormat="false" ht="15" hidden="false" customHeight="false" outlineLevel="0" collapsed="false">
      <c r="A101" s="6" t="s">
        <v>5278</v>
      </c>
      <c r="B101" s="6" t="s">
        <v>3441</v>
      </c>
      <c r="C101" s="26" t="n">
        <v>46027</v>
      </c>
      <c r="D101" s="6" t="s">
        <v>5158</v>
      </c>
      <c r="E101" s="6" t="s">
        <v>24</v>
      </c>
      <c r="F101" s="6" t="n">
        <v>2</v>
      </c>
      <c r="G101" s="10" t="n">
        <v>433</v>
      </c>
      <c r="H101" s="10" t="n">
        <f aca="false">F101*G101</f>
        <v>866</v>
      </c>
      <c r="I101" s="6" t="s">
        <v>5122</v>
      </c>
    </row>
    <row r="102" customFormat="false" ht="15" hidden="false" customHeight="false" outlineLevel="0" collapsed="false">
      <c r="A102" s="6" t="s">
        <v>5279</v>
      </c>
      <c r="B102" s="6" t="s">
        <v>3041</v>
      </c>
      <c r="C102" s="26" t="n">
        <v>46027</v>
      </c>
      <c r="D102" s="6" t="s">
        <v>5121</v>
      </c>
      <c r="E102" s="6" t="s">
        <v>22</v>
      </c>
      <c r="F102" s="6" t="n">
        <v>1</v>
      </c>
      <c r="G102" s="10" t="n">
        <v>977</v>
      </c>
      <c r="H102" s="10" t="n">
        <f aca="false">F102*G102</f>
        <v>977</v>
      </c>
      <c r="I102" s="6" t="s">
        <v>5122</v>
      </c>
    </row>
    <row r="103" customFormat="false" ht="15" hidden="false" customHeight="false" outlineLevel="0" collapsed="false">
      <c r="A103" s="6" t="s">
        <v>5280</v>
      </c>
      <c r="B103" s="6" t="s">
        <v>1057</v>
      </c>
      <c r="C103" s="26" t="n">
        <v>46027</v>
      </c>
      <c r="D103" s="6" t="s">
        <v>5281</v>
      </c>
      <c r="E103" s="6" t="s">
        <v>24</v>
      </c>
      <c r="F103" s="6" t="n">
        <v>3</v>
      </c>
      <c r="G103" s="10" t="n">
        <v>814</v>
      </c>
      <c r="H103" s="10" t="n">
        <f aca="false">F103*G103</f>
        <v>2442</v>
      </c>
      <c r="I103" s="6" t="s">
        <v>5122</v>
      </c>
    </row>
    <row r="104" customFormat="false" ht="15" hidden="false" customHeight="false" outlineLevel="0" collapsed="false">
      <c r="A104" s="6" t="s">
        <v>5282</v>
      </c>
      <c r="B104" s="6" t="s">
        <v>2055</v>
      </c>
      <c r="C104" s="26" t="n">
        <v>46027</v>
      </c>
      <c r="D104" s="6" t="s">
        <v>5185</v>
      </c>
      <c r="E104" s="6" t="s">
        <v>24</v>
      </c>
      <c r="F104" s="6" t="n">
        <v>2</v>
      </c>
      <c r="G104" s="10" t="n">
        <v>1926</v>
      </c>
      <c r="H104" s="10" t="n">
        <f aca="false">F104*G104</f>
        <v>3852</v>
      </c>
      <c r="I104" s="6" t="s">
        <v>5125</v>
      </c>
    </row>
    <row r="105" customFormat="false" ht="15" hidden="false" customHeight="false" outlineLevel="0" collapsed="false">
      <c r="A105" s="6" t="s">
        <v>5283</v>
      </c>
      <c r="B105" s="6" t="s">
        <v>1015</v>
      </c>
      <c r="C105" s="26" t="n">
        <v>46027</v>
      </c>
      <c r="D105" s="6" t="s">
        <v>5135</v>
      </c>
      <c r="E105" s="6" t="s">
        <v>23</v>
      </c>
      <c r="F105" s="6" t="n">
        <v>3</v>
      </c>
      <c r="G105" s="10" t="n">
        <v>441</v>
      </c>
      <c r="H105" s="10" t="n">
        <f aca="false">F105*G105</f>
        <v>1323</v>
      </c>
      <c r="I105" s="6" t="s">
        <v>5125</v>
      </c>
    </row>
    <row r="106" customFormat="false" ht="15" hidden="false" customHeight="false" outlineLevel="0" collapsed="false">
      <c r="A106" s="6" t="s">
        <v>5284</v>
      </c>
      <c r="B106" s="6" t="s">
        <v>3197</v>
      </c>
      <c r="C106" s="26" t="n">
        <v>46027</v>
      </c>
      <c r="D106" s="6" t="s">
        <v>5158</v>
      </c>
      <c r="E106" s="6" t="s">
        <v>24</v>
      </c>
      <c r="F106" s="6" t="n">
        <v>3</v>
      </c>
      <c r="G106" s="10" t="n">
        <v>390</v>
      </c>
      <c r="H106" s="10" t="n">
        <f aca="false">F106*G106</f>
        <v>1170</v>
      </c>
      <c r="I106" s="6" t="s">
        <v>5122</v>
      </c>
    </row>
    <row r="107" customFormat="false" ht="15" hidden="false" customHeight="false" outlineLevel="0" collapsed="false">
      <c r="A107" s="6" t="s">
        <v>5285</v>
      </c>
      <c r="B107" s="6" t="s">
        <v>4109</v>
      </c>
      <c r="C107" s="26" t="n">
        <v>46027</v>
      </c>
      <c r="D107" s="6" t="s">
        <v>5165</v>
      </c>
      <c r="E107" s="6" t="s">
        <v>22</v>
      </c>
      <c r="F107" s="6" t="n">
        <v>1</v>
      </c>
      <c r="G107" s="10" t="n">
        <v>977</v>
      </c>
      <c r="H107" s="10" t="n">
        <f aca="false">F107*G107</f>
        <v>977</v>
      </c>
      <c r="I107" s="6" t="s">
        <v>5122</v>
      </c>
    </row>
    <row r="108" customFormat="false" ht="15" hidden="false" customHeight="false" outlineLevel="0" collapsed="false">
      <c r="A108" s="6" t="s">
        <v>5286</v>
      </c>
      <c r="B108" s="6" t="s">
        <v>4311</v>
      </c>
      <c r="C108" s="26" t="n">
        <v>46027</v>
      </c>
      <c r="D108" s="6" t="s">
        <v>5154</v>
      </c>
      <c r="E108" s="6" t="s">
        <v>21</v>
      </c>
      <c r="F108" s="6" t="n">
        <v>1</v>
      </c>
      <c r="G108" s="10" t="n">
        <v>746</v>
      </c>
      <c r="H108" s="10" t="n">
        <f aca="false">F108*G108</f>
        <v>746</v>
      </c>
      <c r="I108" s="6" t="s">
        <v>5125</v>
      </c>
    </row>
    <row r="109" customFormat="false" ht="15" hidden="false" customHeight="false" outlineLevel="0" collapsed="false">
      <c r="A109" s="6" t="s">
        <v>5287</v>
      </c>
      <c r="B109" s="6" t="s">
        <v>1777</v>
      </c>
      <c r="C109" s="26" t="n">
        <v>46027</v>
      </c>
      <c r="D109" s="6" t="s">
        <v>5158</v>
      </c>
      <c r="E109" s="6" t="s">
        <v>24</v>
      </c>
      <c r="F109" s="6" t="n">
        <v>2</v>
      </c>
      <c r="G109" s="10" t="n">
        <v>390</v>
      </c>
      <c r="H109" s="10" t="n">
        <f aca="false">F109*G109</f>
        <v>780</v>
      </c>
      <c r="I109" s="6" t="s">
        <v>5122</v>
      </c>
    </row>
    <row r="110" customFormat="false" ht="15" hidden="false" customHeight="false" outlineLevel="0" collapsed="false">
      <c r="A110" s="6" t="s">
        <v>5288</v>
      </c>
      <c r="B110" s="6" t="s">
        <v>593</v>
      </c>
      <c r="C110" s="26" t="n">
        <v>46027</v>
      </c>
      <c r="D110" s="6" t="s">
        <v>5163</v>
      </c>
      <c r="E110" s="6" t="s">
        <v>23</v>
      </c>
      <c r="F110" s="6" t="n">
        <v>2</v>
      </c>
      <c r="G110" s="10" t="n">
        <v>783</v>
      </c>
      <c r="H110" s="10" t="n">
        <f aca="false">F110*G110</f>
        <v>1566</v>
      </c>
      <c r="I110" s="6" t="s">
        <v>5122</v>
      </c>
    </row>
    <row r="111" customFormat="false" ht="15" hidden="false" customHeight="false" outlineLevel="0" collapsed="false">
      <c r="A111" s="6" t="s">
        <v>5289</v>
      </c>
      <c r="B111" s="6" t="s">
        <v>3373</v>
      </c>
      <c r="C111" s="26" t="n">
        <v>46027</v>
      </c>
      <c r="D111" s="6" t="s">
        <v>5290</v>
      </c>
      <c r="E111" s="6" t="s">
        <v>23</v>
      </c>
      <c r="F111" s="6" t="n">
        <v>3</v>
      </c>
      <c r="G111" s="10" t="n">
        <v>118</v>
      </c>
      <c r="H111" s="10" t="n">
        <f aca="false">F111*G111</f>
        <v>354</v>
      </c>
      <c r="I111" s="6" t="s">
        <v>5148</v>
      </c>
    </row>
    <row r="112" customFormat="false" ht="15" hidden="false" customHeight="false" outlineLevel="0" collapsed="false">
      <c r="A112" s="6" t="s">
        <v>5291</v>
      </c>
      <c r="B112" s="6" t="s">
        <v>2827</v>
      </c>
      <c r="C112" s="26" t="n">
        <v>46027</v>
      </c>
      <c r="D112" s="6" t="s">
        <v>5292</v>
      </c>
      <c r="E112" s="6" t="s">
        <v>21</v>
      </c>
      <c r="F112" s="6" t="n">
        <v>2</v>
      </c>
      <c r="G112" s="10" t="n">
        <v>6192</v>
      </c>
      <c r="H112" s="10" t="n">
        <f aca="false">F112*G112</f>
        <v>12384</v>
      </c>
      <c r="I112" s="6" t="s">
        <v>5148</v>
      </c>
    </row>
    <row r="113" customFormat="false" ht="15" hidden="false" customHeight="false" outlineLevel="0" collapsed="false">
      <c r="A113" s="6" t="s">
        <v>5293</v>
      </c>
      <c r="B113" s="6" t="s">
        <v>5107</v>
      </c>
      <c r="C113" s="26" t="n">
        <v>46027</v>
      </c>
      <c r="D113" s="6" t="s">
        <v>5167</v>
      </c>
      <c r="E113" s="6" t="s">
        <v>22</v>
      </c>
      <c r="F113" s="6" t="n">
        <v>3</v>
      </c>
      <c r="G113" s="10" t="n">
        <v>743</v>
      </c>
      <c r="H113" s="10" t="n">
        <f aca="false">F113*G113</f>
        <v>2229</v>
      </c>
      <c r="I113" s="6" t="s">
        <v>5122</v>
      </c>
    </row>
    <row r="114" customFormat="false" ht="15" hidden="false" customHeight="false" outlineLevel="0" collapsed="false">
      <c r="A114" s="6" t="s">
        <v>5294</v>
      </c>
      <c r="B114" s="6" t="s">
        <v>3399</v>
      </c>
      <c r="C114" s="26" t="n">
        <v>46027</v>
      </c>
      <c r="D114" s="6" t="s">
        <v>5167</v>
      </c>
      <c r="E114" s="6" t="s">
        <v>22</v>
      </c>
      <c r="F114" s="6" t="n">
        <v>2</v>
      </c>
      <c r="G114" s="10" t="n">
        <v>782</v>
      </c>
      <c r="H114" s="10" t="n">
        <f aca="false">F114*G114</f>
        <v>1564</v>
      </c>
      <c r="I114" s="6" t="s">
        <v>5125</v>
      </c>
    </row>
    <row r="115" customFormat="false" ht="15" hidden="false" customHeight="false" outlineLevel="0" collapsed="false">
      <c r="A115" s="6" t="s">
        <v>5295</v>
      </c>
      <c r="B115" s="6" t="s">
        <v>3529</v>
      </c>
      <c r="C115" s="26" t="n">
        <v>46027</v>
      </c>
      <c r="D115" s="6" t="s">
        <v>5259</v>
      </c>
      <c r="E115" s="6" t="s">
        <v>22</v>
      </c>
      <c r="F115" s="6" t="n">
        <v>1</v>
      </c>
      <c r="G115" s="10" t="n">
        <v>1408</v>
      </c>
      <c r="H115" s="10" t="n">
        <f aca="false">F115*G115</f>
        <v>1408</v>
      </c>
      <c r="I115" s="6" t="s">
        <v>5148</v>
      </c>
    </row>
    <row r="116" customFormat="false" ht="15" hidden="false" customHeight="false" outlineLevel="0" collapsed="false">
      <c r="A116" s="6" t="s">
        <v>5296</v>
      </c>
      <c r="B116" s="6" t="s">
        <v>965</v>
      </c>
      <c r="C116" s="26" t="n">
        <v>46027</v>
      </c>
      <c r="D116" s="6" t="s">
        <v>5135</v>
      </c>
      <c r="E116" s="6" t="s">
        <v>23</v>
      </c>
      <c r="F116" s="6" t="n">
        <v>5</v>
      </c>
      <c r="G116" s="10" t="n">
        <v>441</v>
      </c>
      <c r="H116" s="10" t="n">
        <f aca="false">F116*G116</f>
        <v>2205</v>
      </c>
      <c r="I116" s="6" t="s">
        <v>5130</v>
      </c>
    </row>
    <row r="117" customFormat="false" ht="15" hidden="false" customHeight="false" outlineLevel="0" collapsed="false">
      <c r="A117" s="6" t="s">
        <v>5297</v>
      </c>
      <c r="B117" s="6" t="s">
        <v>457</v>
      </c>
      <c r="C117" s="26" t="n">
        <v>46027</v>
      </c>
      <c r="D117" s="6" t="s">
        <v>5298</v>
      </c>
      <c r="E117" s="6" t="s">
        <v>23</v>
      </c>
      <c r="F117" s="6" t="n">
        <v>1</v>
      </c>
      <c r="G117" s="10" t="n">
        <v>293</v>
      </c>
      <c r="H117" s="10" t="n">
        <f aca="false">F117*G117</f>
        <v>293</v>
      </c>
      <c r="I117" s="6" t="s">
        <v>5122</v>
      </c>
    </row>
    <row r="118" customFormat="false" ht="15" hidden="false" customHeight="false" outlineLevel="0" collapsed="false">
      <c r="A118" s="6" t="s">
        <v>5299</v>
      </c>
      <c r="B118" s="6" t="s">
        <v>997</v>
      </c>
      <c r="C118" s="26" t="n">
        <v>46027</v>
      </c>
      <c r="D118" s="6" t="s">
        <v>5121</v>
      </c>
      <c r="E118" s="6" t="s">
        <v>22</v>
      </c>
      <c r="F118" s="6" t="n">
        <v>1</v>
      </c>
      <c r="G118" s="10" t="n">
        <v>880</v>
      </c>
      <c r="H118" s="10" t="n">
        <f aca="false">F118*G118</f>
        <v>880</v>
      </c>
      <c r="I118" s="6" t="s">
        <v>5122</v>
      </c>
    </row>
    <row r="119" customFormat="false" ht="15" hidden="false" customHeight="false" outlineLevel="0" collapsed="false">
      <c r="A119" s="6" t="s">
        <v>5300</v>
      </c>
      <c r="B119" s="6" t="s">
        <v>5079</v>
      </c>
      <c r="C119" s="26" t="n">
        <v>46027</v>
      </c>
      <c r="D119" s="6" t="s">
        <v>5129</v>
      </c>
      <c r="E119" s="6" t="s">
        <v>21</v>
      </c>
      <c r="F119" s="6" t="n">
        <v>1</v>
      </c>
      <c r="G119" s="10" t="n">
        <v>589</v>
      </c>
      <c r="H119" s="10" t="n">
        <f aca="false">F119*G119</f>
        <v>589</v>
      </c>
      <c r="I119" s="6" t="s">
        <v>5122</v>
      </c>
    </row>
    <row r="120" customFormat="false" ht="15" hidden="false" customHeight="false" outlineLevel="0" collapsed="false">
      <c r="A120" s="6" t="s">
        <v>5301</v>
      </c>
      <c r="B120" s="6" t="s">
        <v>4195</v>
      </c>
      <c r="C120" s="26" t="n">
        <v>46027</v>
      </c>
      <c r="D120" s="6" t="s">
        <v>5167</v>
      </c>
      <c r="E120" s="6" t="s">
        <v>22</v>
      </c>
      <c r="F120" s="6" t="n">
        <v>2</v>
      </c>
      <c r="G120" s="10" t="n">
        <v>782</v>
      </c>
      <c r="H120" s="10" t="n">
        <f aca="false">F120*G120</f>
        <v>1564</v>
      </c>
      <c r="I120" s="6" t="s">
        <v>5122</v>
      </c>
    </row>
    <row r="121" customFormat="false" ht="15" hidden="false" customHeight="false" outlineLevel="0" collapsed="false">
      <c r="A121" s="6" t="s">
        <v>5302</v>
      </c>
      <c r="B121" s="6" t="s">
        <v>4155</v>
      </c>
      <c r="C121" s="26" t="n">
        <v>46027</v>
      </c>
      <c r="D121" s="6" t="s">
        <v>5303</v>
      </c>
      <c r="E121" s="6" t="s">
        <v>22</v>
      </c>
      <c r="F121" s="6" t="n">
        <v>2</v>
      </c>
      <c r="G121" s="10" t="n">
        <v>2445</v>
      </c>
      <c r="H121" s="10" t="n">
        <f aca="false">F121*G121</f>
        <v>4890</v>
      </c>
      <c r="I121" s="6" t="s">
        <v>5173</v>
      </c>
    </row>
    <row r="122" customFormat="false" ht="15" hidden="false" customHeight="false" outlineLevel="0" collapsed="false">
      <c r="A122" s="6" t="s">
        <v>5304</v>
      </c>
      <c r="B122" s="6" t="s">
        <v>5063</v>
      </c>
      <c r="C122" s="26" t="n">
        <v>46027</v>
      </c>
      <c r="D122" s="6" t="s">
        <v>5305</v>
      </c>
      <c r="E122" s="6" t="s">
        <v>20</v>
      </c>
      <c r="F122" s="6" t="n">
        <v>2</v>
      </c>
      <c r="G122" s="10" t="n">
        <v>1468</v>
      </c>
      <c r="H122" s="10" t="n">
        <f aca="false">F122*G122</f>
        <v>2936</v>
      </c>
      <c r="I122" s="6" t="s">
        <v>5148</v>
      </c>
    </row>
    <row r="123" customFormat="false" ht="15" hidden="false" customHeight="false" outlineLevel="0" collapsed="false">
      <c r="A123" s="6" t="s">
        <v>5306</v>
      </c>
      <c r="B123" s="6" t="s">
        <v>4267</v>
      </c>
      <c r="C123" s="26" t="n">
        <v>46027</v>
      </c>
      <c r="D123" s="6" t="s">
        <v>5273</v>
      </c>
      <c r="E123" s="6" t="s">
        <v>23</v>
      </c>
      <c r="F123" s="6" t="n">
        <v>1</v>
      </c>
      <c r="G123" s="10" t="n">
        <v>239</v>
      </c>
      <c r="H123" s="10" t="n">
        <f aca="false">F123*G123</f>
        <v>239</v>
      </c>
      <c r="I123" s="6" t="s">
        <v>5148</v>
      </c>
    </row>
    <row r="124" customFormat="false" ht="15" hidden="false" customHeight="false" outlineLevel="0" collapsed="false">
      <c r="A124" s="6" t="s">
        <v>5307</v>
      </c>
      <c r="B124" s="6" t="s">
        <v>431</v>
      </c>
      <c r="C124" s="26" t="n">
        <v>46027</v>
      </c>
      <c r="D124" s="6" t="s">
        <v>5257</v>
      </c>
      <c r="E124" s="6" t="s">
        <v>22</v>
      </c>
      <c r="F124" s="6" t="n">
        <v>1</v>
      </c>
      <c r="G124" s="10" t="n">
        <v>2249</v>
      </c>
      <c r="H124" s="10" t="n">
        <f aca="false">F124*G124</f>
        <v>2249</v>
      </c>
      <c r="I124" s="6" t="s">
        <v>5130</v>
      </c>
    </row>
    <row r="125" customFormat="false" ht="15" hidden="false" customHeight="false" outlineLevel="0" collapsed="false">
      <c r="A125" s="6" t="s">
        <v>5308</v>
      </c>
      <c r="B125" s="6" t="s">
        <v>1807</v>
      </c>
      <c r="C125" s="26" t="n">
        <v>46027</v>
      </c>
      <c r="D125" s="6" t="s">
        <v>5237</v>
      </c>
      <c r="E125" s="6" t="s">
        <v>24</v>
      </c>
      <c r="F125" s="6" t="n">
        <v>3</v>
      </c>
      <c r="G125" s="10" t="n">
        <v>1650</v>
      </c>
      <c r="H125" s="10" t="n">
        <f aca="false">F125*G125</f>
        <v>4950</v>
      </c>
      <c r="I125" s="6" t="s">
        <v>5133</v>
      </c>
    </row>
    <row r="126" customFormat="false" ht="15" hidden="false" customHeight="false" outlineLevel="0" collapsed="false">
      <c r="A126" s="6" t="s">
        <v>5309</v>
      </c>
      <c r="B126" s="6" t="s">
        <v>2839</v>
      </c>
      <c r="C126" s="26" t="n">
        <v>46027</v>
      </c>
      <c r="D126" s="6" t="s">
        <v>5121</v>
      </c>
      <c r="E126" s="6" t="s">
        <v>22</v>
      </c>
      <c r="F126" s="6" t="n">
        <v>1</v>
      </c>
      <c r="G126" s="10" t="n">
        <v>977</v>
      </c>
      <c r="H126" s="10" t="n">
        <f aca="false">F126*G126</f>
        <v>977</v>
      </c>
      <c r="I126" s="6" t="s">
        <v>5122</v>
      </c>
    </row>
    <row r="127" customFormat="false" ht="15" hidden="false" customHeight="false" outlineLevel="0" collapsed="false">
      <c r="A127" s="6" t="s">
        <v>5310</v>
      </c>
      <c r="B127" s="6" t="s">
        <v>4627</v>
      </c>
      <c r="C127" s="26" t="n">
        <v>46028</v>
      </c>
      <c r="D127" s="6" t="s">
        <v>5167</v>
      </c>
      <c r="E127" s="6" t="s">
        <v>22</v>
      </c>
      <c r="F127" s="6" t="n">
        <v>1</v>
      </c>
      <c r="G127" s="10" t="n">
        <v>743</v>
      </c>
      <c r="H127" s="10" t="n">
        <f aca="false">F127*G127</f>
        <v>743</v>
      </c>
      <c r="I127" s="6" t="s">
        <v>5148</v>
      </c>
    </row>
    <row r="128" customFormat="false" ht="15" hidden="false" customHeight="false" outlineLevel="0" collapsed="false">
      <c r="A128" s="6" t="s">
        <v>5311</v>
      </c>
      <c r="B128" s="6" t="s">
        <v>539</v>
      </c>
      <c r="C128" s="26" t="n">
        <v>46028</v>
      </c>
      <c r="D128" s="6" t="s">
        <v>5200</v>
      </c>
      <c r="E128" s="6" t="s">
        <v>24</v>
      </c>
      <c r="F128" s="6" t="n">
        <v>1</v>
      </c>
      <c r="G128" s="10" t="n">
        <v>763</v>
      </c>
      <c r="H128" s="10" t="n">
        <f aca="false">F128*G128</f>
        <v>763</v>
      </c>
      <c r="I128" s="6" t="s">
        <v>5148</v>
      </c>
    </row>
    <row r="129" customFormat="false" ht="15" hidden="false" customHeight="false" outlineLevel="0" collapsed="false">
      <c r="A129" s="6" t="s">
        <v>5312</v>
      </c>
      <c r="B129" s="6" t="s">
        <v>4077</v>
      </c>
      <c r="C129" s="26" t="n">
        <v>46028</v>
      </c>
      <c r="D129" s="6" t="s">
        <v>5313</v>
      </c>
      <c r="E129" s="6" t="s">
        <v>22</v>
      </c>
      <c r="F129" s="6" t="n">
        <v>2</v>
      </c>
      <c r="G129" s="10" t="n">
        <v>1760</v>
      </c>
      <c r="H129" s="10" t="n">
        <f aca="false">F129*G129</f>
        <v>3520</v>
      </c>
      <c r="I129" s="6" t="s">
        <v>5122</v>
      </c>
    </row>
    <row r="130" customFormat="false" ht="15" hidden="false" customHeight="false" outlineLevel="0" collapsed="false">
      <c r="A130" s="6" t="s">
        <v>5314</v>
      </c>
      <c r="B130" s="6" t="s">
        <v>2169</v>
      </c>
      <c r="C130" s="26" t="n">
        <v>46028</v>
      </c>
      <c r="D130" s="6" t="s">
        <v>5163</v>
      </c>
      <c r="E130" s="6" t="s">
        <v>23</v>
      </c>
      <c r="F130" s="6" t="n">
        <v>3</v>
      </c>
      <c r="G130" s="10" t="n">
        <v>705</v>
      </c>
      <c r="H130" s="10" t="n">
        <f aca="false">F130*G130</f>
        <v>2115</v>
      </c>
      <c r="I130" s="6" t="s">
        <v>5148</v>
      </c>
    </row>
    <row r="131" customFormat="false" ht="15" hidden="false" customHeight="false" outlineLevel="0" collapsed="false">
      <c r="A131" s="6" t="s">
        <v>5315</v>
      </c>
      <c r="B131" s="6" t="s">
        <v>725</v>
      </c>
      <c r="C131" s="26" t="n">
        <v>46028</v>
      </c>
      <c r="D131" s="6" t="s">
        <v>5316</v>
      </c>
      <c r="E131" s="6" t="s">
        <v>23</v>
      </c>
      <c r="F131" s="6" t="n">
        <v>3</v>
      </c>
      <c r="G131" s="10" t="n">
        <v>260</v>
      </c>
      <c r="H131" s="10" t="n">
        <f aca="false">F131*G131</f>
        <v>780</v>
      </c>
      <c r="I131" s="6" t="s">
        <v>5122</v>
      </c>
    </row>
    <row r="132" customFormat="false" ht="15" hidden="false" customHeight="false" outlineLevel="0" collapsed="false">
      <c r="A132" s="6" t="s">
        <v>5317</v>
      </c>
      <c r="B132" s="6" t="s">
        <v>2065</v>
      </c>
      <c r="C132" s="26" t="n">
        <v>46028</v>
      </c>
      <c r="D132" s="6" t="s">
        <v>5318</v>
      </c>
      <c r="E132" s="6" t="s">
        <v>20</v>
      </c>
      <c r="F132" s="6" t="n">
        <v>1</v>
      </c>
      <c r="G132" s="10" t="n">
        <v>1529</v>
      </c>
      <c r="H132" s="10" t="n">
        <f aca="false">F132*G132</f>
        <v>1529</v>
      </c>
      <c r="I132" s="6" t="s">
        <v>5148</v>
      </c>
    </row>
    <row r="133" customFormat="false" ht="15" hidden="false" customHeight="false" outlineLevel="0" collapsed="false">
      <c r="A133" s="6" t="s">
        <v>5319</v>
      </c>
      <c r="B133" s="6" t="s">
        <v>523</v>
      </c>
      <c r="C133" s="26" t="n">
        <v>46028</v>
      </c>
      <c r="D133" s="6" t="s">
        <v>5165</v>
      </c>
      <c r="E133" s="6" t="s">
        <v>22</v>
      </c>
      <c r="F133" s="6" t="n">
        <v>2</v>
      </c>
      <c r="G133" s="10" t="n">
        <v>977</v>
      </c>
      <c r="H133" s="10" t="n">
        <f aca="false">F133*G133</f>
        <v>1954</v>
      </c>
      <c r="I133" s="6" t="s">
        <v>5122</v>
      </c>
    </row>
    <row r="134" customFormat="false" ht="15" hidden="false" customHeight="false" outlineLevel="0" collapsed="false">
      <c r="A134" s="6" t="s">
        <v>5320</v>
      </c>
      <c r="B134" s="6" t="s">
        <v>3533</v>
      </c>
      <c r="C134" s="26" t="n">
        <v>46028</v>
      </c>
      <c r="D134" s="6" t="s">
        <v>5313</v>
      </c>
      <c r="E134" s="6" t="s">
        <v>22</v>
      </c>
      <c r="F134" s="6" t="n">
        <v>3</v>
      </c>
      <c r="G134" s="10" t="n">
        <v>1760</v>
      </c>
      <c r="H134" s="10" t="n">
        <f aca="false">F134*G134</f>
        <v>5280</v>
      </c>
      <c r="I134" s="6" t="s">
        <v>5148</v>
      </c>
    </row>
    <row r="135" customFormat="false" ht="15" hidden="false" customHeight="false" outlineLevel="0" collapsed="false">
      <c r="A135" s="6" t="s">
        <v>5321</v>
      </c>
      <c r="B135" s="6" t="s">
        <v>2155</v>
      </c>
      <c r="C135" s="26" t="n">
        <v>46028</v>
      </c>
      <c r="D135" s="6" t="s">
        <v>5152</v>
      </c>
      <c r="E135" s="6" t="s">
        <v>22</v>
      </c>
      <c r="F135" s="6" t="n">
        <v>3</v>
      </c>
      <c r="G135" s="10" t="n">
        <v>1672</v>
      </c>
      <c r="H135" s="10" t="n">
        <f aca="false">F135*G135</f>
        <v>5016</v>
      </c>
      <c r="I135" s="6" t="s">
        <v>5122</v>
      </c>
    </row>
    <row r="136" customFormat="false" ht="15" hidden="false" customHeight="false" outlineLevel="0" collapsed="false">
      <c r="A136" s="6" t="s">
        <v>5322</v>
      </c>
      <c r="B136" s="6" t="s">
        <v>5109</v>
      </c>
      <c r="C136" s="26" t="n">
        <v>46028</v>
      </c>
      <c r="D136" s="6" t="s">
        <v>5269</v>
      </c>
      <c r="E136" s="6" t="s">
        <v>22</v>
      </c>
      <c r="F136" s="6" t="n">
        <v>1</v>
      </c>
      <c r="G136" s="10" t="n">
        <v>1144</v>
      </c>
      <c r="H136" s="10" t="n">
        <f aca="false">F136*G136</f>
        <v>1144</v>
      </c>
      <c r="I136" s="6" t="s">
        <v>5173</v>
      </c>
    </row>
    <row r="137" customFormat="false" ht="15" hidden="false" customHeight="false" outlineLevel="0" collapsed="false">
      <c r="A137" s="6" t="s">
        <v>5323</v>
      </c>
      <c r="B137" s="6" t="s">
        <v>2059</v>
      </c>
      <c r="C137" s="26" t="n">
        <v>46028</v>
      </c>
      <c r="D137" s="6" t="s">
        <v>5121</v>
      </c>
      <c r="E137" s="6" t="s">
        <v>22</v>
      </c>
      <c r="F137" s="6" t="n">
        <v>4</v>
      </c>
      <c r="G137" s="10" t="n">
        <v>977</v>
      </c>
      <c r="H137" s="10" t="n">
        <f aca="false">F137*G137</f>
        <v>3908</v>
      </c>
      <c r="I137" s="6" t="s">
        <v>5122</v>
      </c>
    </row>
    <row r="138" customFormat="false" ht="15" hidden="false" customHeight="false" outlineLevel="0" collapsed="false">
      <c r="A138" s="6" t="s">
        <v>5324</v>
      </c>
      <c r="B138" s="6" t="s">
        <v>4765</v>
      </c>
      <c r="C138" s="26" t="n">
        <v>46028</v>
      </c>
      <c r="D138" s="6" t="s">
        <v>5139</v>
      </c>
      <c r="E138" s="6" t="s">
        <v>23</v>
      </c>
      <c r="F138" s="6" t="n">
        <v>1</v>
      </c>
      <c r="G138" s="10" t="n">
        <v>278</v>
      </c>
      <c r="H138" s="10" t="n">
        <f aca="false">F138*G138</f>
        <v>278</v>
      </c>
      <c r="I138" s="6" t="s">
        <v>5122</v>
      </c>
    </row>
    <row r="139" customFormat="false" ht="15" hidden="false" customHeight="false" outlineLevel="0" collapsed="false">
      <c r="A139" s="6" t="s">
        <v>5325</v>
      </c>
      <c r="B139" s="6" t="s">
        <v>3197</v>
      </c>
      <c r="C139" s="26" t="n">
        <v>46028</v>
      </c>
      <c r="D139" s="6" t="s">
        <v>5326</v>
      </c>
      <c r="E139" s="6" t="s">
        <v>22</v>
      </c>
      <c r="F139" s="6" t="n">
        <v>1</v>
      </c>
      <c r="G139" s="10" t="n">
        <v>1466</v>
      </c>
      <c r="H139" s="10" t="n">
        <f aca="false">F139*G139</f>
        <v>1466</v>
      </c>
      <c r="I139" s="6" t="s">
        <v>5130</v>
      </c>
    </row>
    <row r="140" customFormat="false" ht="15" hidden="false" customHeight="false" outlineLevel="0" collapsed="false">
      <c r="A140" s="6" t="s">
        <v>5327</v>
      </c>
      <c r="B140" s="6" t="s">
        <v>1277</v>
      </c>
      <c r="C140" s="26" t="n">
        <v>46028</v>
      </c>
      <c r="D140" s="6" t="s">
        <v>5188</v>
      </c>
      <c r="E140" s="6" t="s">
        <v>24</v>
      </c>
      <c r="F140" s="6" t="n">
        <v>1</v>
      </c>
      <c r="G140" s="10" t="n">
        <v>1018</v>
      </c>
      <c r="H140" s="10" t="n">
        <f aca="false">F140*G140</f>
        <v>1018</v>
      </c>
      <c r="I140" s="6" t="s">
        <v>5122</v>
      </c>
    </row>
    <row r="141" customFormat="false" ht="15" hidden="false" customHeight="false" outlineLevel="0" collapsed="false">
      <c r="A141" s="6" t="s">
        <v>5328</v>
      </c>
      <c r="B141" s="6" t="s">
        <v>1263</v>
      </c>
      <c r="C141" s="26" t="n">
        <v>46028</v>
      </c>
      <c r="D141" s="6" t="s">
        <v>5169</v>
      </c>
      <c r="E141" s="6" t="s">
        <v>20</v>
      </c>
      <c r="F141" s="6" t="n">
        <v>1</v>
      </c>
      <c r="G141" s="10" t="n">
        <v>4843</v>
      </c>
      <c r="H141" s="10" t="n">
        <f aca="false">F141*G141</f>
        <v>4843</v>
      </c>
      <c r="I141" s="6" t="s">
        <v>5148</v>
      </c>
    </row>
    <row r="142" customFormat="false" ht="15" hidden="false" customHeight="false" outlineLevel="0" collapsed="false">
      <c r="A142" s="6" t="s">
        <v>5329</v>
      </c>
      <c r="B142" s="6" t="s">
        <v>4733</v>
      </c>
      <c r="C142" s="26" t="n">
        <v>46028</v>
      </c>
      <c r="D142" s="6" t="s">
        <v>5150</v>
      </c>
      <c r="E142" s="6" t="s">
        <v>24</v>
      </c>
      <c r="F142" s="6" t="n">
        <v>2</v>
      </c>
      <c r="G142" s="10" t="n">
        <v>508</v>
      </c>
      <c r="H142" s="10" t="n">
        <f aca="false">F142*G142</f>
        <v>1016</v>
      </c>
      <c r="I142" s="6" t="s">
        <v>5130</v>
      </c>
    </row>
    <row r="143" customFormat="false" ht="15" hidden="false" customHeight="false" outlineLevel="0" collapsed="false">
      <c r="A143" s="6" t="s">
        <v>5330</v>
      </c>
      <c r="B143" s="6" t="s">
        <v>3535</v>
      </c>
      <c r="C143" s="26" t="n">
        <v>46028</v>
      </c>
      <c r="D143" s="6" t="s">
        <v>5242</v>
      </c>
      <c r="E143" s="6" t="s">
        <v>23</v>
      </c>
      <c r="F143" s="6" t="n">
        <v>2</v>
      </c>
      <c r="G143" s="10" t="n">
        <v>372</v>
      </c>
      <c r="H143" s="10" t="n">
        <f aca="false">F143*G143</f>
        <v>744</v>
      </c>
      <c r="I143" s="6" t="s">
        <v>5133</v>
      </c>
    </row>
    <row r="144" customFormat="false" ht="15" hidden="false" customHeight="false" outlineLevel="0" collapsed="false">
      <c r="A144" s="6" t="s">
        <v>5331</v>
      </c>
      <c r="B144" s="6" t="s">
        <v>565</v>
      </c>
      <c r="C144" s="26" t="n">
        <v>46028</v>
      </c>
      <c r="D144" s="6" t="s">
        <v>5167</v>
      </c>
      <c r="E144" s="6" t="s">
        <v>22</v>
      </c>
      <c r="F144" s="6" t="n">
        <v>1</v>
      </c>
      <c r="G144" s="10" t="n">
        <v>782</v>
      </c>
      <c r="H144" s="10" t="n">
        <f aca="false">F144*G144</f>
        <v>782</v>
      </c>
      <c r="I144" s="6" t="s">
        <v>5148</v>
      </c>
    </row>
    <row r="145" customFormat="false" ht="15" hidden="false" customHeight="false" outlineLevel="0" collapsed="false">
      <c r="A145" s="6" t="s">
        <v>5332</v>
      </c>
      <c r="B145" s="6" t="s">
        <v>3331</v>
      </c>
      <c r="C145" s="26" t="n">
        <v>46028</v>
      </c>
      <c r="D145" s="6" t="s">
        <v>5165</v>
      </c>
      <c r="E145" s="6" t="s">
        <v>22</v>
      </c>
      <c r="F145" s="6" t="n">
        <v>1</v>
      </c>
      <c r="G145" s="10" t="n">
        <v>976</v>
      </c>
      <c r="H145" s="10" t="n">
        <f aca="false">F145*G145</f>
        <v>976</v>
      </c>
      <c r="I145" s="6" t="s">
        <v>5122</v>
      </c>
    </row>
    <row r="146" customFormat="false" ht="15" hidden="false" customHeight="false" outlineLevel="0" collapsed="false">
      <c r="A146" s="6" t="s">
        <v>5333</v>
      </c>
      <c r="B146" s="6" t="s">
        <v>4505</v>
      </c>
      <c r="C146" s="26" t="n">
        <v>46028</v>
      </c>
      <c r="D146" s="6" t="s">
        <v>5259</v>
      </c>
      <c r="E146" s="6" t="s">
        <v>22</v>
      </c>
      <c r="F146" s="6" t="n">
        <v>1</v>
      </c>
      <c r="G146" s="10" t="n">
        <v>1563</v>
      </c>
      <c r="H146" s="10" t="n">
        <f aca="false">F146*G146</f>
        <v>1563</v>
      </c>
      <c r="I146" s="6" t="s">
        <v>5130</v>
      </c>
    </row>
    <row r="147" customFormat="false" ht="15" hidden="false" customHeight="false" outlineLevel="0" collapsed="false">
      <c r="A147" s="6" t="s">
        <v>5334</v>
      </c>
      <c r="B147" s="6" t="s">
        <v>4091</v>
      </c>
      <c r="C147" s="26" t="n">
        <v>46028</v>
      </c>
      <c r="D147" s="6" t="s">
        <v>5167</v>
      </c>
      <c r="E147" s="6" t="s">
        <v>22</v>
      </c>
      <c r="F147" s="6" t="n">
        <v>1</v>
      </c>
      <c r="G147" s="10" t="n">
        <v>703</v>
      </c>
      <c r="H147" s="10" t="n">
        <f aca="false">F147*G147</f>
        <v>703</v>
      </c>
      <c r="I147" s="6" t="s">
        <v>5148</v>
      </c>
    </row>
    <row r="148" customFormat="false" ht="15" hidden="false" customHeight="false" outlineLevel="0" collapsed="false">
      <c r="A148" s="6" t="s">
        <v>5335</v>
      </c>
      <c r="B148" s="6" t="s">
        <v>1713</v>
      </c>
      <c r="C148" s="26" t="n">
        <v>46028</v>
      </c>
      <c r="D148" s="6" t="s">
        <v>5185</v>
      </c>
      <c r="E148" s="6" t="s">
        <v>24</v>
      </c>
      <c r="F148" s="6" t="n">
        <v>2</v>
      </c>
      <c r="G148" s="10" t="n">
        <v>2033</v>
      </c>
      <c r="H148" s="10" t="n">
        <f aca="false">F148*G148</f>
        <v>4066</v>
      </c>
      <c r="I148" s="6" t="s">
        <v>5148</v>
      </c>
    </row>
    <row r="149" customFormat="false" ht="15" hidden="false" customHeight="false" outlineLevel="0" collapsed="false">
      <c r="A149" s="6" t="s">
        <v>5336</v>
      </c>
      <c r="B149" s="6" t="s">
        <v>4587</v>
      </c>
      <c r="C149" s="26" t="n">
        <v>46028</v>
      </c>
      <c r="D149" s="6" t="s">
        <v>5200</v>
      </c>
      <c r="E149" s="6" t="s">
        <v>24</v>
      </c>
      <c r="F149" s="6" t="n">
        <v>1</v>
      </c>
      <c r="G149" s="10" t="n">
        <v>763</v>
      </c>
      <c r="H149" s="10" t="n">
        <f aca="false">F149*G149</f>
        <v>763</v>
      </c>
      <c r="I149" s="6" t="s">
        <v>5122</v>
      </c>
    </row>
    <row r="150" customFormat="false" ht="15" hidden="false" customHeight="false" outlineLevel="0" collapsed="false">
      <c r="A150" s="6" t="s">
        <v>5337</v>
      </c>
      <c r="B150" s="6" t="s">
        <v>4973</v>
      </c>
      <c r="C150" s="26" t="n">
        <v>46028</v>
      </c>
      <c r="D150" s="6" t="s">
        <v>5121</v>
      </c>
      <c r="E150" s="6" t="s">
        <v>22</v>
      </c>
      <c r="F150" s="6" t="n">
        <v>1</v>
      </c>
      <c r="G150" s="10" t="n">
        <v>977</v>
      </c>
      <c r="H150" s="10" t="n">
        <f aca="false">F150*G150</f>
        <v>977</v>
      </c>
      <c r="I150" s="6" t="s">
        <v>5122</v>
      </c>
    </row>
    <row r="151" customFormat="false" ht="15" hidden="false" customHeight="false" outlineLevel="0" collapsed="false">
      <c r="A151" s="6" t="s">
        <v>5338</v>
      </c>
      <c r="B151" s="6" t="s">
        <v>435</v>
      </c>
      <c r="C151" s="26" t="n">
        <v>46028</v>
      </c>
      <c r="D151" s="6" t="s">
        <v>5339</v>
      </c>
      <c r="E151" s="6" t="s">
        <v>24</v>
      </c>
      <c r="F151" s="6" t="n">
        <v>1</v>
      </c>
      <c r="G151" s="10" t="n">
        <v>509</v>
      </c>
      <c r="H151" s="10" t="n">
        <f aca="false">F151*G151</f>
        <v>509</v>
      </c>
      <c r="I151" s="6" t="s">
        <v>5122</v>
      </c>
    </row>
    <row r="152" customFormat="false" ht="15" hidden="false" customHeight="false" outlineLevel="0" collapsed="false">
      <c r="A152" s="6" t="s">
        <v>5340</v>
      </c>
      <c r="B152" s="6" t="s">
        <v>3441</v>
      </c>
      <c r="C152" s="26" t="n">
        <v>46028</v>
      </c>
      <c r="D152" s="6" t="s">
        <v>5259</v>
      </c>
      <c r="E152" s="6" t="s">
        <v>22</v>
      </c>
      <c r="F152" s="6" t="n">
        <v>1</v>
      </c>
      <c r="G152" s="10" t="n">
        <v>1408</v>
      </c>
      <c r="H152" s="10" t="n">
        <f aca="false">F152*G152</f>
        <v>1408</v>
      </c>
      <c r="I152" s="6" t="s">
        <v>5122</v>
      </c>
    </row>
    <row r="153" customFormat="false" ht="15" hidden="false" customHeight="false" outlineLevel="0" collapsed="false">
      <c r="A153" s="6" t="s">
        <v>5341</v>
      </c>
      <c r="B153" s="6" t="s">
        <v>4907</v>
      </c>
      <c r="C153" s="26" t="n">
        <v>46028</v>
      </c>
      <c r="D153" s="6" t="s">
        <v>5165</v>
      </c>
      <c r="E153" s="6" t="s">
        <v>22</v>
      </c>
      <c r="F153" s="6" t="n">
        <v>1</v>
      </c>
      <c r="G153" s="10" t="n">
        <v>928</v>
      </c>
      <c r="H153" s="10" t="n">
        <f aca="false">F153*G153</f>
        <v>928</v>
      </c>
      <c r="I153" s="6" t="s">
        <v>5148</v>
      </c>
    </row>
    <row r="154" customFormat="false" ht="15" hidden="false" customHeight="false" outlineLevel="0" collapsed="false">
      <c r="A154" s="6" t="s">
        <v>5342</v>
      </c>
      <c r="B154" s="6" t="s">
        <v>4517</v>
      </c>
      <c r="C154" s="26" t="n">
        <v>46028</v>
      </c>
      <c r="D154" s="6" t="s">
        <v>5121</v>
      </c>
      <c r="E154" s="6" t="s">
        <v>22</v>
      </c>
      <c r="F154" s="6" t="n">
        <v>1</v>
      </c>
      <c r="G154" s="10" t="n">
        <v>977</v>
      </c>
      <c r="H154" s="10" t="n">
        <f aca="false">F154*G154</f>
        <v>977</v>
      </c>
      <c r="I154" s="6" t="s">
        <v>5122</v>
      </c>
    </row>
    <row r="155" customFormat="false" ht="15" hidden="false" customHeight="false" outlineLevel="0" collapsed="false">
      <c r="A155" s="6" t="s">
        <v>5343</v>
      </c>
      <c r="B155" s="6" t="s">
        <v>497</v>
      </c>
      <c r="C155" s="26" t="n">
        <v>46028</v>
      </c>
      <c r="D155" s="6" t="s">
        <v>5171</v>
      </c>
      <c r="E155" s="6" t="s">
        <v>23</v>
      </c>
      <c r="F155" s="6" t="n">
        <v>4</v>
      </c>
      <c r="G155" s="10" t="n">
        <v>734</v>
      </c>
      <c r="H155" s="10" t="n">
        <f aca="false">F155*G155</f>
        <v>2936</v>
      </c>
      <c r="I155" s="6" t="s">
        <v>5148</v>
      </c>
    </row>
    <row r="156" customFormat="false" ht="15" hidden="false" customHeight="false" outlineLevel="0" collapsed="false">
      <c r="A156" s="6" t="s">
        <v>5344</v>
      </c>
      <c r="B156" s="6" t="s">
        <v>2243</v>
      </c>
      <c r="C156" s="26" t="n">
        <v>46028</v>
      </c>
      <c r="D156" s="6" t="s">
        <v>5345</v>
      </c>
      <c r="E156" s="6" t="s">
        <v>23</v>
      </c>
      <c r="F156" s="6" t="n">
        <v>5</v>
      </c>
      <c r="G156" s="10" t="n">
        <v>436</v>
      </c>
      <c r="H156" s="10" t="n">
        <f aca="false">F156*G156</f>
        <v>2180</v>
      </c>
      <c r="I156" s="6" t="s">
        <v>5148</v>
      </c>
    </row>
    <row r="157" customFormat="false" ht="15" hidden="false" customHeight="false" outlineLevel="0" collapsed="false">
      <c r="A157" s="6" t="s">
        <v>5346</v>
      </c>
      <c r="B157" s="6" t="s">
        <v>1535</v>
      </c>
      <c r="C157" s="26" t="n">
        <v>46028</v>
      </c>
      <c r="D157" s="6" t="s">
        <v>5207</v>
      </c>
      <c r="E157" s="6" t="s">
        <v>20</v>
      </c>
      <c r="F157" s="6" t="n">
        <v>1</v>
      </c>
      <c r="G157" s="10" t="n">
        <v>1325</v>
      </c>
      <c r="H157" s="10" t="n">
        <f aca="false">F157*G157</f>
        <v>1325</v>
      </c>
      <c r="I157" s="6" t="s">
        <v>5122</v>
      </c>
    </row>
    <row r="158" customFormat="false" ht="15" hidden="false" customHeight="false" outlineLevel="0" collapsed="false">
      <c r="A158" s="6" t="s">
        <v>5347</v>
      </c>
      <c r="B158" s="6" t="s">
        <v>2223</v>
      </c>
      <c r="C158" s="26" t="n">
        <v>46028</v>
      </c>
      <c r="D158" s="6" t="s">
        <v>5259</v>
      </c>
      <c r="E158" s="6" t="s">
        <v>22</v>
      </c>
      <c r="F158" s="6" t="n">
        <v>3</v>
      </c>
      <c r="G158" s="10" t="n">
        <v>1564</v>
      </c>
      <c r="H158" s="10" t="n">
        <f aca="false">F158*G158</f>
        <v>4692</v>
      </c>
      <c r="I158" s="6" t="s">
        <v>5122</v>
      </c>
    </row>
    <row r="159" customFormat="false" ht="15" hidden="false" customHeight="false" outlineLevel="0" collapsed="false">
      <c r="A159" s="6" t="s">
        <v>5348</v>
      </c>
      <c r="B159" s="6" t="s">
        <v>905</v>
      </c>
      <c r="C159" s="26" t="n">
        <v>46028</v>
      </c>
      <c r="D159" s="6" t="s">
        <v>5167</v>
      </c>
      <c r="E159" s="6" t="s">
        <v>22</v>
      </c>
      <c r="F159" s="6" t="n">
        <v>3</v>
      </c>
      <c r="G159" s="10" t="n">
        <v>782</v>
      </c>
      <c r="H159" s="10" t="n">
        <f aca="false">F159*G159</f>
        <v>2346</v>
      </c>
      <c r="I159" s="6" t="s">
        <v>5130</v>
      </c>
    </row>
    <row r="160" customFormat="false" ht="15" hidden="false" customHeight="false" outlineLevel="0" collapsed="false">
      <c r="A160" s="6" t="s">
        <v>5349</v>
      </c>
      <c r="B160" s="6" t="s">
        <v>4141</v>
      </c>
      <c r="C160" s="26" t="n">
        <v>46029</v>
      </c>
      <c r="D160" s="6" t="s">
        <v>5237</v>
      </c>
      <c r="E160" s="6" t="s">
        <v>24</v>
      </c>
      <c r="F160" s="6" t="n">
        <v>3</v>
      </c>
      <c r="G160" s="10" t="n">
        <v>1741</v>
      </c>
      <c r="H160" s="10" t="n">
        <f aca="false">F160*G160</f>
        <v>5223</v>
      </c>
      <c r="I160" s="6" t="s">
        <v>5148</v>
      </c>
    </row>
    <row r="161" customFormat="false" ht="15" hidden="false" customHeight="false" outlineLevel="0" collapsed="false">
      <c r="A161" s="6" t="s">
        <v>5350</v>
      </c>
      <c r="B161" s="6" t="s">
        <v>743</v>
      </c>
      <c r="C161" s="26" t="n">
        <v>46029</v>
      </c>
      <c r="D161" s="6" t="s">
        <v>5163</v>
      </c>
      <c r="E161" s="6" t="s">
        <v>23</v>
      </c>
      <c r="F161" s="6" t="n">
        <v>4</v>
      </c>
      <c r="G161" s="10" t="n">
        <v>783</v>
      </c>
      <c r="H161" s="10" t="n">
        <f aca="false">F161*G161</f>
        <v>3132</v>
      </c>
      <c r="I161" s="6" t="s">
        <v>5148</v>
      </c>
    </row>
    <row r="162" customFormat="false" ht="15" hidden="false" customHeight="false" outlineLevel="0" collapsed="false">
      <c r="A162" s="6" t="s">
        <v>5351</v>
      </c>
      <c r="B162" s="6" t="s">
        <v>4217</v>
      </c>
      <c r="C162" s="26" t="n">
        <v>46029</v>
      </c>
      <c r="D162" s="6" t="s">
        <v>5235</v>
      </c>
      <c r="E162" s="6" t="s">
        <v>21</v>
      </c>
      <c r="F162" s="6" t="n">
        <v>2</v>
      </c>
      <c r="G162" s="10" t="n">
        <v>1670</v>
      </c>
      <c r="H162" s="10" t="n">
        <f aca="false">F162*G162</f>
        <v>3340</v>
      </c>
      <c r="I162" s="6" t="s">
        <v>5122</v>
      </c>
    </row>
    <row r="163" customFormat="false" ht="15" hidden="false" customHeight="false" outlineLevel="0" collapsed="false">
      <c r="A163" s="6" t="s">
        <v>5352</v>
      </c>
      <c r="B163" s="6" t="s">
        <v>4655</v>
      </c>
      <c r="C163" s="26" t="n">
        <v>46029</v>
      </c>
      <c r="D163" s="6" t="s">
        <v>5353</v>
      </c>
      <c r="E163" s="6" t="s">
        <v>24</v>
      </c>
      <c r="F163" s="6" t="n">
        <v>1</v>
      </c>
      <c r="G163" s="10" t="n">
        <v>1629</v>
      </c>
      <c r="H163" s="10" t="n">
        <f aca="false">F163*G163</f>
        <v>1629</v>
      </c>
      <c r="I163" s="6" t="s">
        <v>5125</v>
      </c>
    </row>
    <row r="164" customFormat="false" ht="15" hidden="false" customHeight="false" outlineLevel="0" collapsed="false">
      <c r="A164" s="6" t="s">
        <v>5354</v>
      </c>
      <c r="B164" s="6" t="s">
        <v>4487</v>
      </c>
      <c r="C164" s="26" t="n">
        <v>46029</v>
      </c>
      <c r="D164" s="6" t="s">
        <v>5200</v>
      </c>
      <c r="E164" s="6" t="s">
        <v>24</v>
      </c>
      <c r="F164" s="6" t="n">
        <v>4</v>
      </c>
      <c r="G164" s="10" t="n">
        <v>763</v>
      </c>
      <c r="H164" s="10" t="n">
        <f aca="false">F164*G164</f>
        <v>3052</v>
      </c>
      <c r="I164" s="6" t="s">
        <v>5122</v>
      </c>
    </row>
    <row r="165" customFormat="false" ht="15" hidden="false" customHeight="false" outlineLevel="0" collapsed="false">
      <c r="A165" s="6" t="s">
        <v>5355</v>
      </c>
      <c r="B165" s="6" t="s">
        <v>5037</v>
      </c>
      <c r="C165" s="26" t="n">
        <v>46029</v>
      </c>
      <c r="D165" s="6" t="s">
        <v>5135</v>
      </c>
      <c r="E165" s="6" t="s">
        <v>23</v>
      </c>
      <c r="F165" s="6" t="n">
        <v>3</v>
      </c>
      <c r="G165" s="10" t="n">
        <v>441</v>
      </c>
      <c r="H165" s="10" t="n">
        <f aca="false">F165*G165</f>
        <v>1323</v>
      </c>
      <c r="I165" s="6" t="s">
        <v>5122</v>
      </c>
    </row>
    <row r="166" customFormat="false" ht="15" hidden="false" customHeight="false" outlineLevel="0" collapsed="false">
      <c r="A166" s="6" t="s">
        <v>5356</v>
      </c>
      <c r="B166" s="6" t="s">
        <v>761</v>
      </c>
      <c r="C166" s="26" t="n">
        <v>46029</v>
      </c>
      <c r="D166" s="6" t="s">
        <v>5357</v>
      </c>
      <c r="E166" s="6" t="s">
        <v>23</v>
      </c>
      <c r="F166" s="6" t="n">
        <v>3</v>
      </c>
      <c r="G166" s="10" t="n">
        <v>534</v>
      </c>
      <c r="H166" s="10" t="n">
        <f aca="false">F166*G166</f>
        <v>1602</v>
      </c>
      <c r="I166" s="6" t="s">
        <v>5148</v>
      </c>
    </row>
    <row r="167" customFormat="false" ht="15" hidden="false" customHeight="false" outlineLevel="0" collapsed="false">
      <c r="A167" s="6" t="s">
        <v>5358</v>
      </c>
      <c r="B167" s="6" t="s">
        <v>2571</v>
      </c>
      <c r="C167" s="26" t="n">
        <v>46029</v>
      </c>
      <c r="D167" s="6" t="s">
        <v>5345</v>
      </c>
      <c r="E167" s="6" t="s">
        <v>23</v>
      </c>
      <c r="F167" s="6" t="n">
        <v>4</v>
      </c>
      <c r="G167" s="10" t="n">
        <v>436</v>
      </c>
      <c r="H167" s="10" t="n">
        <f aca="false">F167*G167</f>
        <v>1744</v>
      </c>
      <c r="I167" s="6" t="s">
        <v>5122</v>
      </c>
    </row>
    <row r="168" customFormat="false" ht="15" hidden="false" customHeight="false" outlineLevel="0" collapsed="false">
      <c r="A168" s="6" t="s">
        <v>5359</v>
      </c>
      <c r="B168" s="6" t="s">
        <v>519</v>
      </c>
      <c r="C168" s="26" t="n">
        <v>46029</v>
      </c>
      <c r="D168" s="6" t="s">
        <v>5216</v>
      </c>
      <c r="E168" s="6" t="s">
        <v>23</v>
      </c>
      <c r="F168" s="6" t="n">
        <v>2</v>
      </c>
      <c r="G168" s="10" t="n">
        <v>587</v>
      </c>
      <c r="H168" s="10" t="n">
        <f aca="false">F168*G168</f>
        <v>1174</v>
      </c>
      <c r="I168" s="6" t="s">
        <v>5148</v>
      </c>
    </row>
    <row r="169" customFormat="false" ht="15" hidden="false" customHeight="false" outlineLevel="0" collapsed="false">
      <c r="A169" s="6" t="s">
        <v>5360</v>
      </c>
      <c r="B169" s="6" t="s">
        <v>297</v>
      </c>
      <c r="C169" s="26" t="n">
        <v>46029</v>
      </c>
      <c r="D169" s="6" t="s">
        <v>5237</v>
      </c>
      <c r="E169" s="6" t="s">
        <v>24</v>
      </c>
      <c r="F169" s="6" t="n">
        <v>2</v>
      </c>
      <c r="G169" s="10" t="n">
        <v>1833</v>
      </c>
      <c r="H169" s="10" t="n">
        <f aca="false">F169*G169</f>
        <v>3666</v>
      </c>
      <c r="I169" s="6" t="s">
        <v>5122</v>
      </c>
    </row>
    <row r="170" customFormat="false" ht="15" hidden="false" customHeight="false" outlineLevel="0" collapsed="false">
      <c r="A170" s="6" t="s">
        <v>5361</v>
      </c>
      <c r="B170" s="6" t="s">
        <v>2881</v>
      </c>
      <c r="C170" s="26" t="n">
        <v>46029</v>
      </c>
      <c r="D170" s="6" t="s">
        <v>5257</v>
      </c>
      <c r="E170" s="6" t="s">
        <v>22</v>
      </c>
      <c r="F170" s="6" t="n">
        <v>2</v>
      </c>
      <c r="G170" s="10" t="n">
        <v>2249</v>
      </c>
      <c r="H170" s="10" t="n">
        <f aca="false">F170*G170</f>
        <v>4498</v>
      </c>
      <c r="I170" s="6" t="s">
        <v>5122</v>
      </c>
    </row>
    <row r="171" customFormat="false" ht="15" hidden="false" customHeight="false" outlineLevel="0" collapsed="false">
      <c r="A171" s="6" t="s">
        <v>5362</v>
      </c>
      <c r="B171" s="6" t="s">
        <v>2053</v>
      </c>
      <c r="C171" s="26" t="n">
        <v>46029</v>
      </c>
      <c r="D171" s="6" t="s">
        <v>5235</v>
      </c>
      <c r="E171" s="6" t="s">
        <v>21</v>
      </c>
      <c r="F171" s="6" t="n">
        <v>1</v>
      </c>
      <c r="G171" s="10" t="n">
        <v>1670</v>
      </c>
      <c r="H171" s="10" t="n">
        <f aca="false">F171*G171</f>
        <v>1670</v>
      </c>
      <c r="I171" s="6" t="s">
        <v>5122</v>
      </c>
    </row>
    <row r="172" customFormat="false" ht="15" hidden="false" customHeight="false" outlineLevel="0" collapsed="false">
      <c r="A172" s="6" t="s">
        <v>5363</v>
      </c>
      <c r="B172" s="6" t="s">
        <v>2041</v>
      </c>
      <c r="C172" s="26" t="n">
        <v>46029</v>
      </c>
      <c r="D172" s="6" t="s">
        <v>5167</v>
      </c>
      <c r="E172" s="6" t="s">
        <v>22</v>
      </c>
      <c r="F172" s="6" t="n">
        <v>2</v>
      </c>
      <c r="G172" s="10" t="n">
        <v>703</v>
      </c>
      <c r="H172" s="10" t="n">
        <f aca="false">F172*G172</f>
        <v>1406</v>
      </c>
      <c r="I172" s="6" t="s">
        <v>5122</v>
      </c>
    </row>
    <row r="173" customFormat="false" ht="15" hidden="false" customHeight="false" outlineLevel="0" collapsed="false">
      <c r="A173" s="6" t="s">
        <v>5364</v>
      </c>
      <c r="B173" s="6" t="s">
        <v>3903</v>
      </c>
      <c r="C173" s="26" t="n">
        <v>46029</v>
      </c>
      <c r="D173" s="6" t="s">
        <v>5167</v>
      </c>
      <c r="E173" s="6" t="s">
        <v>22</v>
      </c>
      <c r="F173" s="6" t="n">
        <v>1</v>
      </c>
      <c r="G173" s="10" t="n">
        <v>703</v>
      </c>
      <c r="H173" s="10" t="n">
        <f aca="false">F173*G173</f>
        <v>703</v>
      </c>
      <c r="I173" s="6" t="s">
        <v>5130</v>
      </c>
    </row>
    <row r="174" customFormat="false" ht="15" hidden="false" customHeight="false" outlineLevel="0" collapsed="false">
      <c r="A174" s="6" t="s">
        <v>5365</v>
      </c>
      <c r="B174" s="6" t="s">
        <v>396</v>
      </c>
      <c r="C174" s="26" t="n">
        <v>46029</v>
      </c>
      <c r="D174" s="6" t="s">
        <v>5167</v>
      </c>
      <c r="E174" s="6" t="s">
        <v>22</v>
      </c>
      <c r="F174" s="6" t="n">
        <v>3</v>
      </c>
      <c r="G174" s="10" t="n">
        <v>782</v>
      </c>
      <c r="H174" s="10" t="n">
        <f aca="false">F174*G174</f>
        <v>2346</v>
      </c>
      <c r="I174" s="6" t="s">
        <v>5125</v>
      </c>
    </row>
    <row r="175" customFormat="false" ht="15" hidden="false" customHeight="false" outlineLevel="0" collapsed="false">
      <c r="A175" s="6" t="s">
        <v>5366</v>
      </c>
      <c r="B175" s="6" t="s">
        <v>2423</v>
      </c>
      <c r="C175" s="26" t="n">
        <v>46029</v>
      </c>
      <c r="D175" s="6" t="s">
        <v>5156</v>
      </c>
      <c r="E175" s="6" t="s">
        <v>21</v>
      </c>
      <c r="F175" s="6" t="n">
        <v>1</v>
      </c>
      <c r="G175" s="10" t="n">
        <v>2161</v>
      </c>
      <c r="H175" s="10" t="n">
        <f aca="false">F175*G175</f>
        <v>2161</v>
      </c>
      <c r="I175" s="6" t="s">
        <v>5148</v>
      </c>
    </row>
    <row r="176" customFormat="false" ht="15" hidden="false" customHeight="false" outlineLevel="0" collapsed="false">
      <c r="A176" s="6" t="s">
        <v>5367</v>
      </c>
      <c r="B176" s="6" t="s">
        <v>1113</v>
      </c>
      <c r="C176" s="26" t="n">
        <v>46029</v>
      </c>
      <c r="D176" s="6" t="s">
        <v>5281</v>
      </c>
      <c r="E176" s="6" t="s">
        <v>24</v>
      </c>
      <c r="F176" s="6" t="n">
        <v>2</v>
      </c>
      <c r="G176" s="10" t="n">
        <v>773</v>
      </c>
      <c r="H176" s="10" t="n">
        <f aca="false">F176*G176</f>
        <v>1546</v>
      </c>
      <c r="I176" s="6" t="s">
        <v>5125</v>
      </c>
    </row>
    <row r="177" customFormat="false" ht="15" hidden="false" customHeight="false" outlineLevel="0" collapsed="false">
      <c r="A177" s="6" t="s">
        <v>5368</v>
      </c>
      <c r="B177" s="6" t="s">
        <v>969</v>
      </c>
      <c r="C177" s="26" t="n">
        <v>46029</v>
      </c>
      <c r="D177" s="6" t="s">
        <v>5357</v>
      </c>
      <c r="E177" s="6" t="s">
        <v>23</v>
      </c>
      <c r="F177" s="6" t="n">
        <v>1</v>
      </c>
      <c r="G177" s="10" t="n">
        <v>534</v>
      </c>
      <c r="H177" s="10" t="n">
        <f aca="false">F177*G177</f>
        <v>534</v>
      </c>
      <c r="I177" s="6" t="s">
        <v>5130</v>
      </c>
    </row>
    <row r="178" customFormat="false" ht="15" hidden="false" customHeight="false" outlineLevel="0" collapsed="false">
      <c r="A178" s="6" t="s">
        <v>5369</v>
      </c>
      <c r="B178" s="6" t="s">
        <v>1061</v>
      </c>
      <c r="C178" s="26" t="n">
        <v>46029</v>
      </c>
      <c r="D178" s="6" t="s">
        <v>5242</v>
      </c>
      <c r="E178" s="6" t="s">
        <v>23</v>
      </c>
      <c r="F178" s="6" t="n">
        <v>3</v>
      </c>
      <c r="G178" s="10" t="n">
        <v>372</v>
      </c>
      <c r="H178" s="10" t="n">
        <f aca="false">F178*G178</f>
        <v>1116</v>
      </c>
      <c r="I178" s="6" t="s">
        <v>5130</v>
      </c>
    </row>
    <row r="179" customFormat="false" ht="15" hidden="false" customHeight="false" outlineLevel="0" collapsed="false">
      <c r="A179" s="6" t="s">
        <v>5370</v>
      </c>
      <c r="B179" s="6" t="s">
        <v>2215</v>
      </c>
      <c r="C179" s="26" t="n">
        <v>46029</v>
      </c>
      <c r="D179" s="6" t="s">
        <v>5245</v>
      </c>
      <c r="E179" s="6" t="s">
        <v>21</v>
      </c>
      <c r="F179" s="6" t="n">
        <v>1</v>
      </c>
      <c r="G179" s="10" t="n">
        <v>2211</v>
      </c>
      <c r="H179" s="10" t="n">
        <f aca="false">F179*G179</f>
        <v>2211</v>
      </c>
      <c r="I179" s="6" t="s">
        <v>5122</v>
      </c>
    </row>
    <row r="180" customFormat="false" ht="15" hidden="false" customHeight="false" outlineLevel="0" collapsed="false">
      <c r="A180" s="6" t="s">
        <v>5371</v>
      </c>
      <c r="B180" s="6" t="s">
        <v>3429</v>
      </c>
      <c r="C180" s="26" t="n">
        <v>46029</v>
      </c>
      <c r="D180" s="6" t="s">
        <v>5132</v>
      </c>
      <c r="E180" s="6" t="s">
        <v>23</v>
      </c>
      <c r="F180" s="6" t="n">
        <v>5</v>
      </c>
      <c r="G180" s="10" t="n">
        <v>342</v>
      </c>
      <c r="H180" s="10" t="n">
        <f aca="false">F180*G180</f>
        <v>1710</v>
      </c>
      <c r="I180" s="6" t="s">
        <v>5173</v>
      </c>
    </row>
    <row r="181" customFormat="false" ht="15" hidden="false" customHeight="false" outlineLevel="0" collapsed="false">
      <c r="A181" s="6" t="s">
        <v>5372</v>
      </c>
      <c r="B181" s="6" t="s">
        <v>1089</v>
      </c>
      <c r="C181" s="26" t="n">
        <v>46029</v>
      </c>
      <c r="D181" s="6" t="s">
        <v>5259</v>
      </c>
      <c r="E181" s="6" t="s">
        <v>22</v>
      </c>
      <c r="F181" s="6" t="n">
        <v>1</v>
      </c>
      <c r="G181" s="10" t="n">
        <v>1564</v>
      </c>
      <c r="H181" s="10" t="n">
        <f aca="false">F181*G181</f>
        <v>1564</v>
      </c>
      <c r="I181" s="6" t="s">
        <v>5148</v>
      </c>
    </row>
    <row r="182" customFormat="false" ht="15" hidden="false" customHeight="false" outlineLevel="0" collapsed="false">
      <c r="A182" s="6" t="s">
        <v>5373</v>
      </c>
      <c r="B182" s="6" t="s">
        <v>1473</v>
      </c>
      <c r="C182" s="26" t="n">
        <v>46029</v>
      </c>
      <c r="D182" s="6" t="s">
        <v>5182</v>
      </c>
      <c r="E182" s="6" t="s">
        <v>23</v>
      </c>
      <c r="F182" s="6" t="n">
        <v>4</v>
      </c>
      <c r="G182" s="10" t="n">
        <v>349</v>
      </c>
      <c r="H182" s="10" t="n">
        <f aca="false">F182*G182</f>
        <v>1396</v>
      </c>
      <c r="I182" s="6" t="s">
        <v>5148</v>
      </c>
    </row>
    <row r="183" customFormat="false" ht="15" hidden="false" customHeight="false" outlineLevel="0" collapsed="false">
      <c r="A183" s="6" t="s">
        <v>5374</v>
      </c>
      <c r="B183" s="6" t="s">
        <v>4907</v>
      </c>
      <c r="C183" s="26" t="n">
        <v>46029</v>
      </c>
      <c r="D183" s="6" t="s">
        <v>5167</v>
      </c>
      <c r="E183" s="6" t="s">
        <v>22</v>
      </c>
      <c r="F183" s="6" t="n">
        <v>1</v>
      </c>
      <c r="G183" s="10" t="n">
        <v>743</v>
      </c>
      <c r="H183" s="10" t="n">
        <f aca="false">F183*G183</f>
        <v>743</v>
      </c>
      <c r="I183" s="6" t="s">
        <v>5148</v>
      </c>
    </row>
    <row r="184" customFormat="false" ht="15" hidden="false" customHeight="false" outlineLevel="0" collapsed="false">
      <c r="A184" s="6" t="s">
        <v>5375</v>
      </c>
      <c r="B184" s="6" t="s">
        <v>3891</v>
      </c>
      <c r="C184" s="26" t="n">
        <v>46029</v>
      </c>
      <c r="D184" s="6" t="s">
        <v>5167</v>
      </c>
      <c r="E184" s="6" t="s">
        <v>22</v>
      </c>
      <c r="F184" s="6" t="n">
        <v>1</v>
      </c>
      <c r="G184" s="10" t="n">
        <v>782</v>
      </c>
      <c r="H184" s="10" t="n">
        <f aca="false">F184*G184</f>
        <v>782</v>
      </c>
      <c r="I184" s="6" t="s">
        <v>5130</v>
      </c>
    </row>
    <row r="185" customFormat="false" ht="15" hidden="false" customHeight="false" outlineLevel="0" collapsed="false">
      <c r="A185" s="6" t="s">
        <v>5376</v>
      </c>
      <c r="B185" s="6" t="s">
        <v>2925</v>
      </c>
      <c r="C185" s="26" t="n">
        <v>46029</v>
      </c>
      <c r="D185" s="6" t="s">
        <v>5167</v>
      </c>
      <c r="E185" s="6" t="s">
        <v>22</v>
      </c>
      <c r="F185" s="6" t="n">
        <v>2</v>
      </c>
      <c r="G185" s="10" t="n">
        <v>782</v>
      </c>
      <c r="H185" s="10" t="n">
        <f aca="false">F185*G185</f>
        <v>1564</v>
      </c>
      <c r="I185" s="6" t="s">
        <v>5130</v>
      </c>
    </row>
    <row r="186" customFormat="false" ht="15" hidden="false" customHeight="false" outlineLevel="0" collapsed="false">
      <c r="A186" s="6" t="s">
        <v>5377</v>
      </c>
      <c r="B186" s="6" t="s">
        <v>1005</v>
      </c>
      <c r="C186" s="26" t="n">
        <v>46029</v>
      </c>
      <c r="D186" s="6" t="s">
        <v>5167</v>
      </c>
      <c r="E186" s="6" t="s">
        <v>22</v>
      </c>
      <c r="F186" s="6" t="n">
        <v>1</v>
      </c>
      <c r="G186" s="10" t="n">
        <v>782</v>
      </c>
      <c r="H186" s="10" t="n">
        <f aca="false">F186*G186</f>
        <v>782</v>
      </c>
      <c r="I186" s="6" t="s">
        <v>5173</v>
      </c>
    </row>
    <row r="187" customFormat="false" ht="15" hidden="false" customHeight="false" outlineLevel="0" collapsed="false">
      <c r="A187" s="6" t="s">
        <v>5378</v>
      </c>
      <c r="B187" s="6" t="s">
        <v>4483</v>
      </c>
      <c r="C187" s="26" t="n">
        <v>46029</v>
      </c>
      <c r="D187" s="6" t="s">
        <v>5129</v>
      </c>
      <c r="E187" s="6" t="s">
        <v>21</v>
      </c>
      <c r="F187" s="6" t="n">
        <v>2</v>
      </c>
      <c r="G187" s="10" t="n">
        <v>530</v>
      </c>
      <c r="H187" s="10" t="n">
        <f aca="false">F187*G187</f>
        <v>1060</v>
      </c>
      <c r="I187" s="6" t="s">
        <v>5122</v>
      </c>
    </row>
    <row r="188" customFormat="false" ht="15" hidden="false" customHeight="false" outlineLevel="0" collapsed="false">
      <c r="A188" s="6" t="s">
        <v>5379</v>
      </c>
      <c r="B188" s="6" t="s">
        <v>1263</v>
      </c>
      <c r="C188" s="26" t="n">
        <v>46029</v>
      </c>
      <c r="D188" s="6" t="s">
        <v>5197</v>
      </c>
      <c r="E188" s="6" t="s">
        <v>21</v>
      </c>
      <c r="F188" s="6" t="n">
        <v>2</v>
      </c>
      <c r="G188" s="10" t="n">
        <v>1080</v>
      </c>
      <c r="H188" s="10" t="n">
        <f aca="false">F188*G188</f>
        <v>2160</v>
      </c>
      <c r="I188" s="6" t="s">
        <v>5125</v>
      </c>
    </row>
    <row r="189" customFormat="false" ht="15" hidden="false" customHeight="false" outlineLevel="0" collapsed="false">
      <c r="A189" s="6" t="s">
        <v>5380</v>
      </c>
      <c r="B189" s="6" t="s">
        <v>1231</v>
      </c>
      <c r="C189" s="26" t="n">
        <v>46029</v>
      </c>
      <c r="D189" s="6" t="s">
        <v>5137</v>
      </c>
      <c r="E189" s="6" t="s">
        <v>21</v>
      </c>
      <c r="F189" s="6" t="n">
        <v>1</v>
      </c>
      <c r="G189" s="10" t="n">
        <v>1768</v>
      </c>
      <c r="H189" s="10" t="n">
        <f aca="false">F189*G189</f>
        <v>1768</v>
      </c>
      <c r="I189" s="6" t="s">
        <v>5125</v>
      </c>
    </row>
    <row r="190" customFormat="false" ht="15" hidden="false" customHeight="false" outlineLevel="0" collapsed="false">
      <c r="A190" s="6" t="s">
        <v>5381</v>
      </c>
      <c r="B190" s="6" t="s">
        <v>1079</v>
      </c>
      <c r="C190" s="26" t="n">
        <v>46029</v>
      </c>
      <c r="D190" s="6" t="s">
        <v>5171</v>
      </c>
      <c r="E190" s="6" t="s">
        <v>23</v>
      </c>
      <c r="F190" s="6" t="n">
        <v>3</v>
      </c>
      <c r="G190" s="10" t="n">
        <v>734</v>
      </c>
      <c r="H190" s="10" t="n">
        <f aca="false">F190*G190</f>
        <v>2202</v>
      </c>
      <c r="I190" s="6" t="s">
        <v>5130</v>
      </c>
    </row>
    <row r="191" customFormat="false" ht="15" hidden="false" customHeight="false" outlineLevel="0" collapsed="false">
      <c r="A191" s="6" t="s">
        <v>5382</v>
      </c>
      <c r="B191" s="6" t="s">
        <v>843</v>
      </c>
      <c r="C191" s="26" t="n">
        <v>46029</v>
      </c>
      <c r="D191" s="6" t="s">
        <v>5383</v>
      </c>
      <c r="E191" s="6" t="s">
        <v>20</v>
      </c>
      <c r="F191" s="6" t="n">
        <v>1</v>
      </c>
      <c r="G191" s="10" t="n">
        <v>1120</v>
      </c>
      <c r="H191" s="10" t="n">
        <f aca="false">F191*G191</f>
        <v>1120</v>
      </c>
      <c r="I191" s="6" t="s">
        <v>5130</v>
      </c>
    </row>
    <row r="192" customFormat="false" ht="15" hidden="false" customHeight="false" outlineLevel="0" collapsed="false">
      <c r="A192" s="6" t="s">
        <v>5384</v>
      </c>
      <c r="B192" s="6" t="s">
        <v>342</v>
      </c>
      <c r="C192" s="26" t="n">
        <v>46029</v>
      </c>
      <c r="D192" s="6" t="s">
        <v>5207</v>
      </c>
      <c r="E192" s="6" t="s">
        <v>20</v>
      </c>
      <c r="F192" s="6" t="n">
        <v>1</v>
      </c>
      <c r="G192" s="10" t="n">
        <v>1325</v>
      </c>
      <c r="H192" s="10" t="n">
        <f aca="false">F192*G192</f>
        <v>1325</v>
      </c>
      <c r="I192" s="6" t="s">
        <v>5122</v>
      </c>
    </row>
    <row r="193" customFormat="false" ht="15" hidden="false" customHeight="false" outlineLevel="0" collapsed="false">
      <c r="A193" s="6" t="s">
        <v>5385</v>
      </c>
      <c r="B193" s="6" t="s">
        <v>1031</v>
      </c>
      <c r="C193" s="26" t="n">
        <v>46030</v>
      </c>
      <c r="D193" s="6" t="s">
        <v>5175</v>
      </c>
      <c r="E193" s="6" t="s">
        <v>24</v>
      </c>
      <c r="F193" s="6" t="n">
        <v>2</v>
      </c>
      <c r="G193" s="10" t="n">
        <v>610</v>
      </c>
      <c r="H193" s="10" t="n">
        <f aca="false">F193*G193</f>
        <v>1220</v>
      </c>
      <c r="I193" s="6" t="s">
        <v>5130</v>
      </c>
    </row>
    <row r="194" customFormat="false" ht="15" hidden="false" customHeight="false" outlineLevel="0" collapsed="false">
      <c r="A194" s="6" t="s">
        <v>5386</v>
      </c>
      <c r="B194" s="6" t="s">
        <v>4723</v>
      </c>
      <c r="C194" s="26" t="n">
        <v>46030</v>
      </c>
      <c r="D194" s="6" t="s">
        <v>5169</v>
      </c>
      <c r="E194" s="6" t="s">
        <v>20</v>
      </c>
      <c r="F194" s="6" t="n">
        <v>1</v>
      </c>
      <c r="G194" s="10" t="n">
        <v>5098</v>
      </c>
      <c r="H194" s="10" t="n">
        <f aca="false">F194*G194</f>
        <v>5098</v>
      </c>
      <c r="I194" s="6" t="s">
        <v>5122</v>
      </c>
    </row>
    <row r="195" customFormat="false" ht="15" hidden="false" customHeight="false" outlineLevel="0" collapsed="false">
      <c r="A195" s="6" t="s">
        <v>5387</v>
      </c>
      <c r="B195" s="6" t="s">
        <v>1517</v>
      </c>
      <c r="C195" s="26" t="n">
        <v>46030</v>
      </c>
      <c r="D195" s="6" t="s">
        <v>5156</v>
      </c>
      <c r="E195" s="6" t="s">
        <v>21</v>
      </c>
      <c r="F195" s="6" t="n">
        <v>1</v>
      </c>
      <c r="G195" s="10" t="n">
        <v>1945</v>
      </c>
      <c r="H195" s="10" t="n">
        <f aca="false">F195*G195</f>
        <v>1945</v>
      </c>
      <c r="I195" s="6" t="s">
        <v>5148</v>
      </c>
    </row>
    <row r="196" customFormat="false" ht="15" hidden="false" customHeight="false" outlineLevel="0" collapsed="false">
      <c r="A196" s="6" t="s">
        <v>5388</v>
      </c>
      <c r="B196" s="6" t="s">
        <v>4863</v>
      </c>
      <c r="C196" s="26" t="n">
        <v>46030</v>
      </c>
      <c r="D196" s="6" t="s">
        <v>5235</v>
      </c>
      <c r="E196" s="6" t="s">
        <v>21</v>
      </c>
      <c r="F196" s="6" t="n">
        <v>2</v>
      </c>
      <c r="G196" s="10" t="n">
        <v>1586</v>
      </c>
      <c r="H196" s="10" t="n">
        <f aca="false">F196*G196</f>
        <v>3172</v>
      </c>
      <c r="I196" s="6" t="s">
        <v>5148</v>
      </c>
    </row>
    <row r="197" customFormat="false" ht="15" hidden="false" customHeight="false" outlineLevel="0" collapsed="false">
      <c r="A197" s="6" t="s">
        <v>5389</v>
      </c>
      <c r="B197" s="6" t="s">
        <v>5027</v>
      </c>
      <c r="C197" s="26" t="n">
        <v>46030</v>
      </c>
      <c r="D197" s="6" t="s">
        <v>5139</v>
      </c>
      <c r="E197" s="6" t="s">
        <v>23</v>
      </c>
      <c r="F197" s="6" t="n">
        <v>1</v>
      </c>
      <c r="G197" s="10" t="n">
        <v>278</v>
      </c>
      <c r="H197" s="10" t="n">
        <f aca="false">F197*G197</f>
        <v>278</v>
      </c>
      <c r="I197" s="6" t="s">
        <v>5122</v>
      </c>
    </row>
    <row r="198" customFormat="false" ht="15" hidden="false" customHeight="false" outlineLevel="0" collapsed="false">
      <c r="A198" s="6" t="s">
        <v>5390</v>
      </c>
      <c r="B198" s="6" t="s">
        <v>2851</v>
      </c>
      <c r="C198" s="26" t="n">
        <v>46030</v>
      </c>
      <c r="D198" s="6" t="s">
        <v>5171</v>
      </c>
      <c r="E198" s="6" t="s">
        <v>23</v>
      </c>
      <c r="F198" s="6" t="n">
        <v>1</v>
      </c>
      <c r="G198" s="10" t="n">
        <v>697</v>
      </c>
      <c r="H198" s="10" t="n">
        <f aca="false">F198*G198</f>
        <v>697</v>
      </c>
      <c r="I198" s="6" t="s">
        <v>5122</v>
      </c>
    </row>
    <row r="199" customFormat="false" ht="15" hidden="false" customHeight="false" outlineLevel="0" collapsed="false">
      <c r="A199" s="6" t="s">
        <v>5391</v>
      </c>
      <c r="B199" s="6" t="s">
        <v>2327</v>
      </c>
      <c r="C199" s="26" t="n">
        <v>46030</v>
      </c>
      <c r="D199" s="6" t="s">
        <v>5357</v>
      </c>
      <c r="E199" s="6" t="s">
        <v>23</v>
      </c>
      <c r="F199" s="6" t="n">
        <v>2</v>
      </c>
      <c r="G199" s="10" t="n">
        <v>481</v>
      </c>
      <c r="H199" s="10" t="n">
        <f aca="false">F199*G199</f>
        <v>962</v>
      </c>
      <c r="I199" s="6" t="s">
        <v>5148</v>
      </c>
    </row>
    <row r="200" customFormat="false" ht="15" hidden="false" customHeight="false" outlineLevel="0" collapsed="false">
      <c r="A200" s="6" t="s">
        <v>5392</v>
      </c>
      <c r="B200" s="6" t="s">
        <v>2779</v>
      </c>
      <c r="C200" s="26" t="n">
        <v>46030</v>
      </c>
      <c r="D200" s="6" t="s">
        <v>5121</v>
      </c>
      <c r="E200" s="6" t="s">
        <v>22</v>
      </c>
      <c r="F200" s="6" t="n">
        <v>3</v>
      </c>
      <c r="G200" s="10" t="n">
        <v>977</v>
      </c>
      <c r="H200" s="10" t="n">
        <f aca="false">F200*G200</f>
        <v>2931</v>
      </c>
      <c r="I200" s="6" t="s">
        <v>5122</v>
      </c>
    </row>
    <row r="201" customFormat="false" ht="15" hidden="false" customHeight="false" outlineLevel="0" collapsed="false">
      <c r="A201" s="6" t="s">
        <v>5393</v>
      </c>
      <c r="B201" s="6" t="s">
        <v>4083</v>
      </c>
      <c r="C201" s="26" t="n">
        <v>46030</v>
      </c>
      <c r="D201" s="6" t="s">
        <v>5345</v>
      </c>
      <c r="E201" s="6" t="s">
        <v>23</v>
      </c>
      <c r="F201" s="6" t="n">
        <v>2</v>
      </c>
      <c r="G201" s="10" t="n">
        <v>436</v>
      </c>
      <c r="H201" s="10" t="n">
        <f aca="false">F201*G201</f>
        <v>872</v>
      </c>
      <c r="I201" s="6" t="s">
        <v>5148</v>
      </c>
    </row>
    <row r="202" customFormat="false" ht="15" hidden="false" customHeight="false" outlineLevel="0" collapsed="false">
      <c r="A202" s="6" t="s">
        <v>5394</v>
      </c>
      <c r="B202" s="6" t="s">
        <v>3603</v>
      </c>
      <c r="C202" s="26" t="n">
        <v>46030</v>
      </c>
      <c r="D202" s="6" t="s">
        <v>5259</v>
      </c>
      <c r="E202" s="6" t="s">
        <v>22</v>
      </c>
      <c r="F202" s="6" t="n">
        <v>2</v>
      </c>
      <c r="G202" s="10" t="n">
        <v>1408</v>
      </c>
      <c r="H202" s="10" t="n">
        <f aca="false">F202*G202</f>
        <v>2816</v>
      </c>
      <c r="I202" s="6" t="s">
        <v>5125</v>
      </c>
    </row>
    <row r="203" customFormat="false" ht="15" hidden="false" customHeight="false" outlineLevel="0" collapsed="false">
      <c r="A203" s="6" t="s">
        <v>5395</v>
      </c>
      <c r="B203" s="6" t="s">
        <v>4623</v>
      </c>
      <c r="C203" s="26" t="n">
        <v>46030</v>
      </c>
      <c r="D203" s="6" t="s">
        <v>5180</v>
      </c>
      <c r="E203" s="6" t="s">
        <v>24</v>
      </c>
      <c r="F203" s="6" t="n">
        <v>1</v>
      </c>
      <c r="G203" s="10" t="n">
        <v>1789</v>
      </c>
      <c r="H203" s="10" t="n">
        <f aca="false">F203*G203</f>
        <v>1789</v>
      </c>
      <c r="I203" s="6" t="s">
        <v>5130</v>
      </c>
    </row>
    <row r="204" customFormat="false" ht="15" hidden="false" customHeight="false" outlineLevel="0" collapsed="false">
      <c r="A204" s="6" t="s">
        <v>5396</v>
      </c>
      <c r="B204" s="6" t="s">
        <v>3199</v>
      </c>
      <c r="C204" s="26" t="n">
        <v>46030</v>
      </c>
      <c r="D204" s="6" t="s">
        <v>5137</v>
      </c>
      <c r="E204" s="6" t="s">
        <v>21</v>
      </c>
      <c r="F204" s="6" t="n">
        <v>1</v>
      </c>
      <c r="G204" s="10" t="n">
        <v>1592</v>
      </c>
      <c r="H204" s="10" t="n">
        <f aca="false">F204*G204</f>
        <v>1592</v>
      </c>
      <c r="I204" s="6" t="s">
        <v>5122</v>
      </c>
    </row>
    <row r="205" customFormat="false" ht="15" hidden="false" customHeight="false" outlineLevel="0" collapsed="false">
      <c r="A205" s="6" t="s">
        <v>5397</v>
      </c>
      <c r="B205" s="6" t="s">
        <v>2899</v>
      </c>
      <c r="C205" s="26" t="n">
        <v>46030</v>
      </c>
      <c r="D205" s="6" t="s">
        <v>5398</v>
      </c>
      <c r="E205" s="6" t="s">
        <v>24</v>
      </c>
      <c r="F205" s="6" t="n">
        <v>2</v>
      </c>
      <c r="G205" s="10" t="n">
        <v>549</v>
      </c>
      <c r="H205" s="10" t="n">
        <f aca="false">F205*G205</f>
        <v>1098</v>
      </c>
      <c r="I205" s="6" t="s">
        <v>5125</v>
      </c>
    </row>
    <row r="206" customFormat="false" ht="15" hidden="false" customHeight="false" outlineLevel="0" collapsed="false">
      <c r="A206" s="6" t="s">
        <v>5399</v>
      </c>
      <c r="B206" s="6" t="s">
        <v>3497</v>
      </c>
      <c r="C206" s="26" t="n">
        <v>46030</v>
      </c>
      <c r="D206" s="6" t="s">
        <v>5135</v>
      </c>
      <c r="E206" s="6" t="s">
        <v>23</v>
      </c>
      <c r="F206" s="6" t="n">
        <v>5</v>
      </c>
      <c r="G206" s="10" t="n">
        <v>441</v>
      </c>
      <c r="H206" s="10" t="n">
        <f aca="false">F206*G206</f>
        <v>2205</v>
      </c>
      <c r="I206" s="6" t="s">
        <v>5130</v>
      </c>
    </row>
    <row r="207" customFormat="false" ht="15" hidden="false" customHeight="false" outlineLevel="0" collapsed="false">
      <c r="A207" s="6" t="s">
        <v>5400</v>
      </c>
      <c r="B207" s="6" t="s">
        <v>4637</v>
      </c>
      <c r="C207" s="26" t="n">
        <v>46030</v>
      </c>
      <c r="D207" s="6" t="s">
        <v>5121</v>
      </c>
      <c r="E207" s="6" t="s">
        <v>22</v>
      </c>
      <c r="F207" s="6" t="n">
        <v>1</v>
      </c>
      <c r="G207" s="10" t="n">
        <v>880</v>
      </c>
      <c r="H207" s="10" t="n">
        <f aca="false">F207*G207</f>
        <v>880</v>
      </c>
      <c r="I207" s="6" t="s">
        <v>5130</v>
      </c>
    </row>
    <row r="208" customFormat="false" ht="15" hidden="false" customHeight="false" outlineLevel="0" collapsed="false">
      <c r="A208" s="6" t="s">
        <v>5401</v>
      </c>
      <c r="B208" s="6" t="s">
        <v>2181</v>
      </c>
      <c r="C208" s="26" t="n">
        <v>46030</v>
      </c>
      <c r="D208" s="6" t="s">
        <v>5163</v>
      </c>
      <c r="E208" s="6" t="s">
        <v>23</v>
      </c>
      <c r="F208" s="6" t="n">
        <v>3</v>
      </c>
      <c r="G208" s="10" t="n">
        <v>705</v>
      </c>
      <c r="H208" s="10" t="n">
        <f aca="false">F208*G208</f>
        <v>2115</v>
      </c>
      <c r="I208" s="6" t="s">
        <v>5122</v>
      </c>
    </row>
    <row r="209" customFormat="false" ht="15" hidden="false" customHeight="false" outlineLevel="0" collapsed="false">
      <c r="A209" s="6" t="s">
        <v>5402</v>
      </c>
      <c r="B209" s="6" t="s">
        <v>2055</v>
      </c>
      <c r="C209" s="26" t="n">
        <v>46030</v>
      </c>
      <c r="D209" s="6" t="s">
        <v>5207</v>
      </c>
      <c r="E209" s="6" t="s">
        <v>20</v>
      </c>
      <c r="F209" s="6" t="n">
        <v>1</v>
      </c>
      <c r="G209" s="10" t="n">
        <v>1258</v>
      </c>
      <c r="H209" s="10" t="n">
        <f aca="false">F209*G209</f>
        <v>1258</v>
      </c>
      <c r="I209" s="6" t="s">
        <v>5148</v>
      </c>
    </row>
    <row r="210" customFormat="false" ht="15" hidden="false" customHeight="false" outlineLevel="0" collapsed="false">
      <c r="A210" s="6" t="s">
        <v>5403</v>
      </c>
      <c r="B210" s="6" t="s">
        <v>3569</v>
      </c>
      <c r="C210" s="26" t="n">
        <v>46030</v>
      </c>
      <c r="D210" s="6" t="s">
        <v>5257</v>
      </c>
      <c r="E210" s="6" t="s">
        <v>22</v>
      </c>
      <c r="F210" s="6" t="n">
        <v>1</v>
      </c>
      <c r="G210" s="10" t="n">
        <v>2248</v>
      </c>
      <c r="H210" s="10" t="n">
        <f aca="false">F210*G210</f>
        <v>2248</v>
      </c>
      <c r="I210" s="6" t="s">
        <v>5122</v>
      </c>
    </row>
    <row r="211" customFormat="false" ht="15" hidden="false" customHeight="false" outlineLevel="0" collapsed="false">
      <c r="A211" s="6" t="s">
        <v>5404</v>
      </c>
      <c r="B211" s="6" t="s">
        <v>4505</v>
      </c>
      <c r="C211" s="26" t="n">
        <v>46030</v>
      </c>
      <c r="D211" s="6" t="s">
        <v>5345</v>
      </c>
      <c r="E211" s="6" t="s">
        <v>23</v>
      </c>
      <c r="F211" s="6" t="n">
        <v>1</v>
      </c>
      <c r="G211" s="10" t="n">
        <v>436</v>
      </c>
      <c r="H211" s="10" t="n">
        <f aca="false">F211*G211</f>
        <v>436</v>
      </c>
      <c r="I211" s="6" t="s">
        <v>5130</v>
      </c>
    </row>
    <row r="212" customFormat="false" ht="15" hidden="false" customHeight="false" outlineLevel="0" collapsed="false">
      <c r="A212" s="6" t="s">
        <v>5405</v>
      </c>
      <c r="B212" s="6" t="s">
        <v>5035</v>
      </c>
      <c r="C212" s="26" t="n">
        <v>46030</v>
      </c>
      <c r="D212" s="6" t="s">
        <v>5190</v>
      </c>
      <c r="E212" s="6" t="s">
        <v>24</v>
      </c>
      <c r="F212" s="6" t="n">
        <v>1</v>
      </c>
      <c r="G212" s="10" t="n">
        <v>549</v>
      </c>
      <c r="H212" s="10" t="n">
        <f aca="false">F212*G212</f>
        <v>549</v>
      </c>
      <c r="I212" s="6" t="s">
        <v>5122</v>
      </c>
    </row>
    <row r="213" customFormat="false" ht="15" hidden="false" customHeight="false" outlineLevel="0" collapsed="false">
      <c r="A213" s="6" t="s">
        <v>5406</v>
      </c>
      <c r="B213" s="6" t="s">
        <v>3189</v>
      </c>
      <c r="C213" s="26" t="n">
        <v>46030</v>
      </c>
      <c r="D213" s="6" t="s">
        <v>5269</v>
      </c>
      <c r="E213" s="6" t="s">
        <v>22</v>
      </c>
      <c r="F213" s="6" t="n">
        <v>1</v>
      </c>
      <c r="G213" s="10" t="n">
        <v>1207</v>
      </c>
      <c r="H213" s="10" t="n">
        <f aca="false">F213*G213</f>
        <v>1207</v>
      </c>
      <c r="I213" s="6" t="s">
        <v>5122</v>
      </c>
    </row>
    <row r="214" customFormat="false" ht="15" hidden="false" customHeight="false" outlineLevel="0" collapsed="false">
      <c r="A214" s="6" t="s">
        <v>5407</v>
      </c>
      <c r="B214" s="6" t="s">
        <v>1903</v>
      </c>
      <c r="C214" s="26" t="n">
        <v>46030</v>
      </c>
      <c r="D214" s="6" t="s">
        <v>5235</v>
      </c>
      <c r="E214" s="6" t="s">
        <v>21</v>
      </c>
      <c r="F214" s="6" t="n">
        <v>2</v>
      </c>
      <c r="G214" s="10" t="n">
        <v>1670</v>
      </c>
      <c r="H214" s="10" t="n">
        <f aca="false">F214*G214</f>
        <v>3340</v>
      </c>
      <c r="I214" s="6" t="s">
        <v>5133</v>
      </c>
    </row>
    <row r="215" customFormat="false" ht="15" hidden="false" customHeight="false" outlineLevel="0" collapsed="false">
      <c r="A215" s="6" t="s">
        <v>5408</v>
      </c>
      <c r="B215" s="6" t="s">
        <v>3987</v>
      </c>
      <c r="C215" s="26" t="n">
        <v>46030</v>
      </c>
      <c r="D215" s="6" t="s">
        <v>5232</v>
      </c>
      <c r="E215" s="6" t="s">
        <v>23</v>
      </c>
      <c r="F215" s="6" t="n">
        <v>3</v>
      </c>
      <c r="G215" s="10" t="n">
        <v>206</v>
      </c>
      <c r="H215" s="10" t="n">
        <f aca="false">F215*G215</f>
        <v>618</v>
      </c>
      <c r="I215" s="6" t="s">
        <v>5122</v>
      </c>
    </row>
    <row r="216" customFormat="false" ht="15" hidden="false" customHeight="false" outlineLevel="0" collapsed="false">
      <c r="A216" s="6" t="s">
        <v>5409</v>
      </c>
      <c r="B216" s="6" t="s">
        <v>4037</v>
      </c>
      <c r="C216" s="26" t="n">
        <v>46030</v>
      </c>
      <c r="D216" s="6" t="s">
        <v>5410</v>
      </c>
      <c r="E216" s="6" t="s">
        <v>20</v>
      </c>
      <c r="F216" s="6" t="n">
        <v>2</v>
      </c>
      <c r="G216" s="10" t="n">
        <v>2421</v>
      </c>
      <c r="H216" s="10" t="n">
        <f aca="false">F216*G216</f>
        <v>4842</v>
      </c>
      <c r="I216" s="6" t="s">
        <v>5130</v>
      </c>
    </row>
    <row r="217" customFormat="false" ht="15" hidden="false" customHeight="false" outlineLevel="0" collapsed="false">
      <c r="A217" s="6" t="s">
        <v>5411</v>
      </c>
      <c r="B217" s="6" t="s">
        <v>4539</v>
      </c>
      <c r="C217" s="26" t="n">
        <v>46030</v>
      </c>
      <c r="D217" s="6" t="s">
        <v>5139</v>
      </c>
      <c r="E217" s="6" t="s">
        <v>23</v>
      </c>
      <c r="F217" s="6" t="n">
        <v>2</v>
      </c>
      <c r="G217" s="10" t="n">
        <v>279</v>
      </c>
      <c r="H217" s="10" t="n">
        <f aca="false">F217*G217</f>
        <v>558</v>
      </c>
      <c r="I217" s="6" t="s">
        <v>5130</v>
      </c>
    </row>
    <row r="218" customFormat="false" ht="15" hidden="false" customHeight="false" outlineLevel="0" collapsed="false">
      <c r="A218" s="6" t="s">
        <v>5412</v>
      </c>
      <c r="B218" s="6" t="s">
        <v>433</v>
      </c>
      <c r="C218" s="26" t="n">
        <v>46030</v>
      </c>
      <c r="D218" s="6" t="s">
        <v>5163</v>
      </c>
      <c r="E218" s="6" t="s">
        <v>23</v>
      </c>
      <c r="F218" s="6" t="n">
        <v>3</v>
      </c>
      <c r="G218" s="10" t="n">
        <v>783</v>
      </c>
      <c r="H218" s="10" t="n">
        <f aca="false">F218*G218</f>
        <v>2349</v>
      </c>
      <c r="I218" s="6" t="s">
        <v>5148</v>
      </c>
    </row>
    <row r="219" customFormat="false" ht="15" hidden="false" customHeight="false" outlineLevel="0" collapsed="false">
      <c r="A219" s="6" t="s">
        <v>5413</v>
      </c>
      <c r="B219" s="6" t="s">
        <v>775</v>
      </c>
      <c r="C219" s="26" t="n">
        <v>46030</v>
      </c>
      <c r="D219" s="6" t="s">
        <v>5192</v>
      </c>
      <c r="E219" s="6" t="s">
        <v>20</v>
      </c>
      <c r="F219" s="6" t="n">
        <v>2</v>
      </c>
      <c r="G219" s="10" t="n">
        <v>3670</v>
      </c>
      <c r="H219" s="10" t="n">
        <f aca="false">F219*G219</f>
        <v>7340</v>
      </c>
      <c r="I219" s="6" t="s">
        <v>5122</v>
      </c>
    </row>
    <row r="220" customFormat="false" ht="15" hidden="false" customHeight="false" outlineLevel="0" collapsed="false">
      <c r="A220" s="6" t="s">
        <v>5414</v>
      </c>
      <c r="B220" s="6" t="s">
        <v>3317</v>
      </c>
      <c r="C220" s="26" t="n">
        <v>46030</v>
      </c>
      <c r="D220" s="6" t="s">
        <v>5143</v>
      </c>
      <c r="E220" s="6" t="s">
        <v>21</v>
      </c>
      <c r="F220" s="6" t="n">
        <v>1</v>
      </c>
      <c r="G220" s="10" t="n">
        <v>1179</v>
      </c>
      <c r="H220" s="10" t="n">
        <f aca="false">F220*G220</f>
        <v>1179</v>
      </c>
      <c r="I220" s="6" t="s">
        <v>5130</v>
      </c>
    </row>
    <row r="221" customFormat="false" ht="15" hidden="false" customHeight="false" outlineLevel="0" collapsed="false">
      <c r="A221" s="6" t="s">
        <v>5415</v>
      </c>
      <c r="B221" s="6" t="s">
        <v>693</v>
      </c>
      <c r="C221" s="26" t="n">
        <v>46030</v>
      </c>
      <c r="D221" s="6" t="s">
        <v>5160</v>
      </c>
      <c r="E221" s="6" t="s">
        <v>21</v>
      </c>
      <c r="F221" s="6" t="n">
        <v>1</v>
      </c>
      <c r="G221" s="10" t="n">
        <v>2476</v>
      </c>
      <c r="H221" s="10" t="n">
        <f aca="false">F221*G221</f>
        <v>2476</v>
      </c>
      <c r="I221" s="6" t="s">
        <v>5122</v>
      </c>
    </row>
    <row r="222" customFormat="false" ht="15" hidden="false" customHeight="false" outlineLevel="0" collapsed="false">
      <c r="A222" s="6" t="s">
        <v>5416</v>
      </c>
      <c r="B222" s="6" t="s">
        <v>2077</v>
      </c>
      <c r="C222" s="26" t="n">
        <v>46030</v>
      </c>
      <c r="D222" s="6" t="s">
        <v>5220</v>
      </c>
      <c r="E222" s="6" t="s">
        <v>24</v>
      </c>
      <c r="F222" s="6" t="n">
        <v>1</v>
      </c>
      <c r="G222" s="10" t="n">
        <v>1120</v>
      </c>
      <c r="H222" s="10" t="n">
        <f aca="false">F222*G222</f>
        <v>1120</v>
      </c>
      <c r="I222" s="6" t="s">
        <v>5122</v>
      </c>
    </row>
    <row r="223" customFormat="false" ht="15" hidden="false" customHeight="false" outlineLevel="0" collapsed="false">
      <c r="A223" s="6" t="s">
        <v>5417</v>
      </c>
      <c r="B223" s="6" t="s">
        <v>2991</v>
      </c>
      <c r="C223" s="26" t="n">
        <v>46031</v>
      </c>
      <c r="D223" s="6" t="s">
        <v>5313</v>
      </c>
      <c r="E223" s="6" t="s">
        <v>22</v>
      </c>
      <c r="F223" s="6" t="n">
        <v>1</v>
      </c>
      <c r="G223" s="10" t="n">
        <v>1760</v>
      </c>
      <c r="H223" s="10" t="n">
        <f aca="false">F223*G223</f>
        <v>1760</v>
      </c>
      <c r="I223" s="6" t="s">
        <v>5133</v>
      </c>
    </row>
    <row r="224" customFormat="false" ht="15" hidden="false" customHeight="false" outlineLevel="0" collapsed="false">
      <c r="A224" s="6" t="s">
        <v>5418</v>
      </c>
      <c r="B224" s="6" t="s">
        <v>1015</v>
      </c>
      <c r="C224" s="26" t="n">
        <v>46031</v>
      </c>
      <c r="D224" s="6" t="s">
        <v>5200</v>
      </c>
      <c r="E224" s="6" t="s">
        <v>24</v>
      </c>
      <c r="F224" s="6" t="n">
        <v>1</v>
      </c>
      <c r="G224" s="10" t="n">
        <v>763</v>
      </c>
      <c r="H224" s="10" t="n">
        <f aca="false">F224*G224</f>
        <v>763</v>
      </c>
      <c r="I224" s="6" t="s">
        <v>5122</v>
      </c>
    </row>
    <row r="225" customFormat="false" ht="15" hidden="false" customHeight="false" outlineLevel="0" collapsed="false">
      <c r="A225" s="6" t="s">
        <v>5419</v>
      </c>
      <c r="B225" s="6" t="s">
        <v>1089</v>
      </c>
      <c r="C225" s="26" t="n">
        <v>46031</v>
      </c>
      <c r="D225" s="6" t="s">
        <v>5132</v>
      </c>
      <c r="E225" s="6" t="s">
        <v>23</v>
      </c>
      <c r="F225" s="6" t="n">
        <v>5</v>
      </c>
      <c r="G225" s="10" t="n">
        <v>325</v>
      </c>
      <c r="H225" s="10" t="n">
        <f aca="false">F225*G225</f>
        <v>1625</v>
      </c>
      <c r="I225" s="6" t="s">
        <v>5148</v>
      </c>
    </row>
    <row r="226" customFormat="false" ht="15" hidden="false" customHeight="false" outlineLevel="0" collapsed="false">
      <c r="A226" s="6" t="s">
        <v>5420</v>
      </c>
      <c r="B226" s="6" t="s">
        <v>1325</v>
      </c>
      <c r="C226" s="26" t="n">
        <v>46031</v>
      </c>
      <c r="D226" s="6" t="s">
        <v>5261</v>
      </c>
      <c r="E226" s="6" t="s">
        <v>23</v>
      </c>
      <c r="F226" s="6" t="n">
        <v>1</v>
      </c>
      <c r="G226" s="10" t="n">
        <v>174</v>
      </c>
      <c r="H226" s="10" t="n">
        <f aca="false">F226*G226</f>
        <v>174</v>
      </c>
      <c r="I226" s="6" t="s">
        <v>5173</v>
      </c>
    </row>
    <row r="227" customFormat="false" ht="15" hidden="false" customHeight="false" outlineLevel="0" collapsed="false">
      <c r="A227" s="6" t="s">
        <v>5421</v>
      </c>
      <c r="B227" s="6" t="s">
        <v>3563</v>
      </c>
      <c r="C227" s="26" t="n">
        <v>46031</v>
      </c>
      <c r="D227" s="6" t="s">
        <v>5298</v>
      </c>
      <c r="E227" s="6" t="s">
        <v>23</v>
      </c>
      <c r="F227" s="6" t="n">
        <v>2</v>
      </c>
      <c r="G227" s="10" t="n">
        <v>293</v>
      </c>
      <c r="H227" s="10" t="n">
        <f aca="false">F227*G227</f>
        <v>586</v>
      </c>
      <c r="I227" s="6" t="s">
        <v>5130</v>
      </c>
    </row>
    <row r="228" customFormat="false" ht="15" hidden="false" customHeight="false" outlineLevel="0" collapsed="false">
      <c r="A228" s="6" t="s">
        <v>5422</v>
      </c>
      <c r="B228" s="6" t="s">
        <v>2849</v>
      </c>
      <c r="C228" s="26" t="n">
        <v>46031</v>
      </c>
      <c r="D228" s="6" t="s">
        <v>5423</v>
      </c>
      <c r="E228" s="6" t="s">
        <v>21</v>
      </c>
      <c r="F228" s="6" t="n">
        <v>2</v>
      </c>
      <c r="G228" s="10" t="n">
        <v>2918</v>
      </c>
      <c r="H228" s="10" t="n">
        <f aca="false">F228*G228</f>
        <v>5836</v>
      </c>
      <c r="I228" s="6" t="s">
        <v>5148</v>
      </c>
    </row>
    <row r="229" customFormat="false" ht="15" hidden="false" customHeight="false" outlineLevel="0" collapsed="false">
      <c r="A229" s="6" t="s">
        <v>5424</v>
      </c>
      <c r="B229" s="6" t="s">
        <v>4671</v>
      </c>
      <c r="C229" s="26" t="n">
        <v>46031</v>
      </c>
      <c r="D229" s="6" t="s">
        <v>5167</v>
      </c>
      <c r="E229" s="6" t="s">
        <v>22</v>
      </c>
      <c r="F229" s="6" t="n">
        <v>1</v>
      </c>
      <c r="G229" s="10" t="n">
        <v>782</v>
      </c>
      <c r="H229" s="10" t="n">
        <f aca="false">F229*G229</f>
        <v>782</v>
      </c>
      <c r="I229" s="6" t="s">
        <v>5122</v>
      </c>
    </row>
    <row r="230" customFormat="false" ht="15" hidden="false" customHeight="false" outlineLevel="0" collapsed="false">
      <c r="A230" s="6" t="s">
        <v>5425</v>
      </c>
      <c r="B230" s="6" t="s">
        <v>2183</v>
      </c>
      <c r="C230" s="26" t="n">
        <v>46031</v>
      </c>
      <c r="D230" s="6" t="s">
        <v>5163</v>
      </c>
      <c r="E230" s="6" t="s">
        <v>23</v>
      </c>
      <c r="F230" s="6" t="n">
        <v>2</v>
      </c>
      <c r="G230" s="10" t="n">
        <v>783</v>
      </c>
      <c r="H230" s="10" t="n">
        <f aca="false">F230*G230</f>
        <v>1566</v>
      </c>
      <c r="I230" s="6" t="s">
        <v>5148</v>
      </c>
    </row>
    <row r="231" customFormat="false" ht="15" hidden="false" customHeight="false" outlineLevel="0" collapsed="false">
      <c r="A231" s="6" t="s">
        <v>5426</v>
      </c>
      <c r="B231" s="6" t="s">
        <v>659</v>
      </c>
      <c r="C231" s="26" t="n">
        <v>46031</v>
      </c>
      <c r="D231" s="6" t="s">
        <v>5165</v>
      </c>
      <c r="E231" s="6" t="s">
        <v>22</v>
      </c>
      <c r="F231" s="6" t="n">
        <v>1</v>
      </c>
      <c r="G231" s="10" t="n">
        <v>928</v>
      </c>
      <c r="H231" s="10" t="n">
        <f aca="false">F231*G231</f>
        <v>928</v>
      </c>
      <c r="I231" s="6" t="s">
        <v>5130</v>
      </c>
    </row>
    <row r="232" customFormat="false" ht="15" hidden="false" customHeight="false" outlineLevel="0" collapsed="false">
      <c r="A232" s="6" t="s">
        <v>5427</v>
      </c>
      <c r="B232" s="6" t="s">
        <v>380</v>
      </c>
      <c r="C232" s="26" t="n">
        <v>46031</v>
      </c>
      <c r="D232" s="6" t="s">
        <v>5145</v>
      </c>
      <c r="E232" s="6" t="s">
        <v>21</v>
      </c>
      <c r="F232" s="6" t="n">
        <v>2</v>
      </c>
      <c r="G232" s="10" t="n">
        <v>1149</v>
      </c>
      <c r="H232" s="10" t="n">
        <f aca="false">F232*G232</f>
        <v>2298</v>
      </c>
      <c r="I232" s="6" t="s">
        <v>5130</v>
      </c>
    </row>
    <row r="233" customFormat="false" ht="15" hidden="false" customHeight="false" outlineLevel="0" collapsed="false">
      <c r="A233" s="6" t="s">
        <v>5428</v>
      </c>
      <c r="B233" s="6" t="s">
        <v>4919</v>
      </c>
      <c r="C233" s="26" t="n">
        <v>46031</v>
      </c>
      <c r="D233" s="6" t="s">
        <v>5171</v>
      </c>
      <c r="E233" s="6" t="s">
        <v>23</v>
      </c>
      <c r="F233" s="6" t="n">
        <v>4</v>
      </c>
      <c r="G233" s="10" t="n">
        <v>734</v>
      </c>
      <c r="H233" s="10" t="n">
        <f aca="false">F233*G233</f>
        <v>2936</v>
      </c>
      <c r="I233" s="6" t="s">
        <v>5130</v>
      </c>
    </row>
    <row r="234" customFormat="false" ht="15" hidden="false" customHeight="false" outlineLevel="0" collapsed="false">
      <c r="A234" s="6" t="s">
        <v>5429</v>
      </c>
      <c r="B234" s="6" t="s">
        <v>4863</v>
      </c>
      <c r="C234" s="26" t="n">
        <v>46031</v>
      </c>
      <c r="D234" s="6" t="s">
        <v>5313</v>
      </c>
      <c r="E234" s="6" t="s">
        <v>22</v>
      </c>
      <c r="F234" s="6" t="n">
        <v>2</v>
      </c>
      <c r="G234" s="10" t="n">
        <v>1760</v>
      </c>
      <c r="H234" s="10" t="n">
        <f aca="false">F234*G234</f>
        <v>3520</v>
      </c>
      <c r="I234" s="6" t="s">
        <v>5148</v>
      </c>
    </row>
    <row r="235" customFormat="false" ht="15" hidden="false" customHeight="false" outlineLevel="0" collapsed="false">
      <c r="A235" s="6" t="s">
        <v>5430</v>
      </c>
      <c r="B235" s="6" t="s">
        <v>4477</v>
      </c>
      <c r="C235" s="26" t="n">
        <v>46031</v>
      </c>
      <c r="D235" s="6" t="s">
        <v>5339</v>
      </c>
      <c r="E235" s="6" t="s">
        <v>24</v>
      </c>
      <c r="F235" s="6" t="n">
        <v>2</v>
      </c>
      <c r="G235" s="10" t="n">
        <v>508</v>
      </c>
      <c r="H235" s="10" t="n">
        <f aca="false">F235*G235</f>
        <v>1016</v>
      </c>
      <c r="I235" s="6" t="s">
        <v>5122</v>
      </c>
    </row>
    <row r="236" customFormat="false" ht="15" hidden="false" customHeight="false" outlineLevel="0" collapsed="false">
      <c r="A236" s="6" t="s">
        <v>5431</v>
      </c>
      <c r="B236" s="6" t="s">
        <v>2399</v>
      </c>
      <c r="C236" s="26" t="n">
        <v>46031</v>
      </c>
      <c r="D236" s="6" t="s">
        <v>5165</v>
      </c>
      <c r="E236" s="6" t="s">
        <v>22</v>
      </c>
      <c r="F236" s="6" t="n">
        <v>2</v>
      </c>
      <c r="G236" s="10" t="n">
        <v>977</v>
      </c>
      <c r="H236" s="10" t="n">
        <f aca="false">F236*G236</f>
        <v>1954</v>
      </c>
      <c r="I236" s="6" t="s">
        <v>5122</v>
      </c>
    </row>
    <row r="237" customFormat="false" ht="15" hidden="false" customHeight="false" outlineLevel="0" collapsed="false">
      <c r="A237" s="6" t="s">
        <v>5432</v>
      </c>
      <c r="B237" s="6" t="s">
        <v>2637</v>
      </c>
      <c r="C237" s="26" t="n">
        <v>46031</v>
      </c>
      <c r="D237" s="6" t="s">
        <v>5167</v>
      </c>
      <c r="E237" s="6" t="s">
        <v>22</v>
      </c>
      <c r="F237" s="6" t="n">
        <v>2</v>
      </c>
      <c r="G237" s="10" t="n">
        <v>743</v>
      </c>
      <c r="H237" s="10" t="n">
        <f aca="false">F237*G237</f>
        <v>1486</v>
      </c>
      <c r="I237" s="6" t="s">
        <v>5133</v>
      </c>
    </row>
    <row r="238" customFormat="false" ht="15" hidden="false" customHeight="false" outlineLevel="0" collapsed="false">
      <c r="A238" s="6" t="s">
        <v>5433</v>
      </c>
      <c r="B238" s="6" t="s">
        <v>3465</v>
      </c>
      <c r="C238" s="26" t="n">
        <v>46031</v>
      </c>
      <c r="D238" s="6" t="s">
        <v>5216</v>
      </c>
      <c r="E238" s="6" t="s">
        <v>23</v>
      </c>
      <c r="F238" s="6" t="n">
        <v>5</v>
      </c>
      <c r="G238" s="10" t="n">
        <v>528</v>
      </c>
      <c r="H238" s="10" t="n">
        <f aca="false">F238*G238</f>
        <v>2640</v>
      </c>
      <c r="I238" s="6" t="s">
        <v>5133</v>
      </c>
    </row>
    <row r="239" customFormat="false" ht="15" hidden="false" customHeight="false" outlineLevel="0" collapsed="false">
      <c r="A239" s="6" t="s">
        <v>5434</v>
      </c>
      <c r="B239" s="6" t="s">
        <v>2005</v>
      </c>
      <c r="C239" s="26" t="n">
        <v>46031</v>
      </c>
      <c r="D239" s="6" t="s">
        <v>5156</v>
      </c>
      <c r="E239" s="6" t="s">
        <v>21</v>
      </c>
      <c r="F239" s="6" t="n">
        <v>1</v>
      </c>
      <c r="G239" s="10" t="n">
        <v>2053</v>
      </c>
      <c r="H239" s="10" t="n">
        <f aca="false">F239*G239</f>
        <v>2053</v>
      </c>
      <c r="I239" s="6" t="s">
        <v>5148</v>
      </c>
    </row>
    <row r="240" customFormat="false" ht="15" hidden="false" customHeight="false" outlineLevel="0" collapsed="false">
      <c r="A240" s="6" t="s">
        <v>5435</v>
      </c>
      <c r="B240" s="6" t="s">
        <v>4503</v>
      </c>
      <c r="C240" s="26" t="n">
        <v>46031</v>
      </c>
      <c r="D240" s="6" t="s">
        <v>5135</v>
      </c>
      <c r="E240" s="6" t="s">
        <v>23</v>
      </c>
      <c r="F240" s="6" t="n">
        <v>2</v>
      </c>
      <c r="G240" s="10" t="n">
        <v>419</v>
      </c>
      <c r="H240" s="10" t="n">
        <f aca="false">F240*G240</f>
        <v>838</v>
      </c>
      <c r="I240" s="6" t="s">
        <v>5148</v>
      </c>
    </row>
    <row r="241" customFormat="false" ht="15" hidden="false" customHeight="false" outlineLevel="0" collapsed="false">
      <c r="A241" s="6" t="s">
        <v>5436</v>
      </c>
      <c r="B241" s="6" t="s">
        <v>843</v>
      </c>
      <c r="C241" s="26" t="n">
        <v>46031</v>
      </c>
      <c r="D241" s="6" t="s">
        <v>5165</v>
      </c>
      <c r="E241" s="6" t="s">
        <v>22</v>
      </c>
      <c r="F241" s="6" t="n">
        <v>2</v>
      </c>
      <c r="G241" s="10" t="n">
        <v>928</v>
      </c>
      <c r="H241" s="10" t="n">
        <f aca="false">F241*G241</f>
        <v>1856</v>
      </c>
      <c r="I241" s="6" t="s">
        <v>5130</v>
      </c>
    </row>
    <row r="242" customFormat="false" ht="15" hidden="false" customHeight="false" outlineLevel="0" collapsed="false">
      <c r="A242" s="6" t="s">
        <v>5437</v>
      </c>
      <c r="B242" s="6" t="s">
        <v>3711</v>
      </c>
      <c r="C242" s="26" t="n">
        <v>46031</v>
      </c>
      <c r="D242" s="6" t="s">
        <v>5192</v>
      </c>
      <c r="E242" s="6" t="s">
        <v>20</v>
      </c>
      <c r="F242" s="6" t="n">
        <v>1</v>
      </c>
      <c r="G242" s="10" t="n">
        <v>4078</v>
      </c>
      <c r="H242" s="10" t="n">
        <f aca="false">F242*G242</f>
        <v>4078</v>
      </c>
      <c r="I242" s="6" t="s">
        <v>5130</v>
      </c>
    </row>
    <row r="243" customFormat="false" ht="15" hidden="false" customHeight="false" outlineLevel="0" collapsed="false">
      <c r="A243" s="6" t="s">
        <v>5438</v>
      </c>
      <c r="B243" s="6" t="s">
        <v>4033</v>
      </c>
      <c r="C243" s="26" t="n">
        <v>46031</v>
      </c>
      <c r="D243" s="6" t="s">
        <v>5167</v>
      </c>
      <c r="E243" s="6" t="s">
        <v>22</v>
      </c>
      <c r="F243" s="6" t="n">
        <v>2</v>
      </c>
      <c r="G243" s="10" t="n">
        <v>782</v>
      </c>
      <c r="H243" s="10" t="n">
        <f aca="false">F243*G243</f>
        <v>1564</v>
      </c>
      <c r="I243" s="6" t="s">
        <v>5148</v>
      </c>
    </row>
    <row r="244" customFormat="false" ht="15" hidden="false" customHeight="false" outlineLevel="0" collapsed="false">
      <c r="A244" s="6" t="s">
        <v>5439</v>
      </c>
      <c r="B244" s="6" t="s">
        <v>1699</v>
      </c>
      <c r="C244" s="26" t="n">
        <v>46031</v>
      </c>
      <c r="D244" s="6" t="s">
        <v>5160</v>
      </c>
      <c r="E244" s="6" t="s">
        <v>21</v>
      </c>
      <c r="F244" s="6" t="n">
        <v>1</v>
      </c>
      <c r="G244" s="10" t="n">
        <v>2751</v>
      </c>
      <c r="H244" s="10" t="n">
        <f aca="false">F244*G244</f>
        <v>2751</v>
      </c>
      <c r="I244" s="6" t="s">
        <v>5130</v>
      </c>
    </row>
    <row r="245" customFormat="false" ht="15" hidden="false" customHeight="false" outlineLevel="0" collapsed="false">
      <c r="A245" s="6" t="s">
        <v>5440</v>
      </c>
      <c r="B245" s="6" t="s">
        <v>2003</v>
      </c>
      <c r="C245" s="26" t="n">
        <v>46031</v>
      </c>
      <c r="D245" s="6" t="s">
        <v>5182</v>
      </c>
      <c r="E245" s="6" t="s">
        <v>23</v>
      </c>
      <c r="F245" s="6" t="n">
        <v>1</v>
      </c>
      <c r="G245" s="10" t="n">
        <v>367</v>
      </c>
      <c r="H245" s="10" t="n">
        <f aca="false">F245*G245</f>
        <v>367</v>
      </c>
      <c r="I245" s="6" t="s">
        <v>5148</v>
      </c>
    </row>
    <row r="246" customFormat="false" ht="15" hidden="false" customHeight="false" outlineLevel="0" collapsed="false">
      <c r="A246" s="6" t="s">
        <v>5441</v>
      </c>
      <c r="B246" s="6" t="s">
        <v>673</v>
      </c>
      <c r="C246" s="26" t="n">
        <v>46031</v>
      </c>
      <c r="D246" s="6" t="s">
        <v>5163</v>
      </c>
      <c r="E246" s="6" t="s">
        <v>23</v>
      </c>
      <c r="F246" s="6" t="n">
        <v>3</v>
      </c>
      <c r="G246" s="10" t="n">
        <v>783</v>
      </c>
      <c r="H246" s="10" t="n">
        <f aca="false">F246*G246</f>
        <v>2349</v>
      </c>
      <c r="I246" s="6" t="s">
        <v>5133</v>
      </c>
    </row>
    <row r="247" customFormat="false" ht="15" hidden="false" customHeight="false" outlineLevel="0" collapsed="false">
      <c r="A247" s="6" t="s">
        <v>5442</v>
      </c>
      <c r="B247" s="6" t="s">
        <v>1803</v>
      </c>
      <c r="C247" s="26" t="n">
        <v>46031</v>
      </c>
      <c r="D247" s="6" t="s">
        <v>5216</v>
      </c>
      <c r="E247" s="6" t="s">
        <v>23</v>
      </c>
      <c r="F247" s="6" t="n">
        <v>2</v>
      </c>
      <c r="G247" s="10" t="n">
        <v>558</v>
      </c>
      <c r="H247" s="10" t="n">
        <f aca="false">F247*G247</f>
        <v>1116</v>
      </c>
      <c r="I247" s="6" t="s">
        <v>5130</v>
      </c>
    </row>
    <row r="248" customFormat="false" ht="15" hidden="false" customHeight="false" outlineLevel="0" collapsed="false">
      <c r="A248" s="6" t="s">
        <v>5443</v>
      </c>
      <c r="B248" s="6" t="s">
        <v>1143</v>
      </c>
      <c r="C248" s="26" t="n">
        <v>46032</v>
      </c>
      <c r="D248" s="6" t="s">
        <v>5150</v>
      </c>
      <c r="E248" s="6" t="s">
        <v>24</v>
      </c>
      <c r="F248" s="6" t="n">
        <v>1</v>
      </c>
      <c r="G248" s="10" t="n">
        <v>508</v>
      </c>
      <c r="H248" s="10" t="n">
        <f aca="false">F248*G248</f>
        <v>508</v>
      </c>
      <c r="I248" s="6" t="s">
        <v>5148</v>
      </c>
    </row>
    <row r="249" customFormat="false" ht="15" hidden="false" customHeight="false" outlineLevel="0" collapsed="false">
      <c r="A249" s="6" t="s">
        <v>5444</v>
      </c>
      <c r="B249" s="6" t="s">
        <v>989</v>
      </c>
      <c r="C249" s="26" t="n">
        <v>46032</v>
      </c>
      <c r="D249" s="6" t="s">
        <v>5303</v>
      </c>
      <c r="E249" s="6" t="s">
        <v>22</v>
      </c>
      <c r="F249" s="6" t="n">
        <v>1</v>
      </c>
      <c r="G249" s="10" t="n">
        <v>2445</v>
      </c>
      <c r="H249" s="10" t="n">
        <f aca="false">F249*G249</f>
        <v>2445</v>
      </c>
      <c r="I249" s="6" t="s">
        <v>5148</v>
      </c>
    </row>
    <row r="250" customFormat="false" ht="15" hidden="false" customHeight="false" outlineLevel="0" collapsed="false">
      <c r="A250" s="6" t="s">
        <v>5445</v>
      </c>
      <c r="B250" s="6" t="s">
        <v>547</v>
      </c>
      <c r="C250" s="26" t="n">
        <v>46032</v>
      </c>
      <c r="D250" s="6" t="s">
        <v>5163</v>
      </c>
      <c r="E250" s="6" t="s">
        <v>23</v>
      </c>
      <c r="F250" s="6" t="n">
        <v>3</v>
      </c>
      <c r="G250" s="10" t="n">
        <v>783</v>
      </c>
      <c r="H250" s="10" t="n">
        <f aca="false">F250*G250</f>
        <v>2349</v>
      </c>
      <c r="I250" s="6" t="s">
        <v>5125</v>
      </c>
    </row>
    <row r="251" customFormat="false" ht="15" hidden="false" customHeight="false" outlineLevel="0" collapsed="false">
      <c r="A251" s="6" t="s">
        <v>5446</v>
      </c>
      <c r="B251" s="6" t="s">
        <v>1085</v>
      </c>
      <c r="C251" s="26" t="n">
        <v>46032</v>
      </c>
      <c r="D251" s="6" t="s">
        <v>5165</v>
      </c>
      <c r="E251" s="6" t="s">
        <v>22</v>
      </c>
      <c r="F251" s="6" t="n">
        <v>1</v>
      </c>
      <c r="G251" s="10" t="n">
        <v>928</v>
      </c>
      <c r="H251" s="10" t="n">
        <f aca="false">F251*G251</f>
        <v>928</v>
      </c>
      <c r="I251" s="6" t="s">
        <v>5148</v>
      </c>
    </row>
    <row r="252" customFormat="false" ht="15" hidden="false" customHeight="false" outlineLevel="0" collapsed="false">
      <c r="A252" s="6" t="s">
        <v>5447</v>
      </c>
      <c r="B252" s="6" t="s">
        <v>2131</v>
      </c>
      <c r="C252" s="26" t="n">
        <v>46032</v>
      </c>
      <c r="D252" s="6" t="s">
        <v>5216</v>
      </c>
      <c r="E252" s="6" t="s">
        <v>23</v>
      </c>
      <c r="F252" s="6" t="n">
        <v>4</v>
      </c>
      <c r="G252" s="10" t="n">
        <v>528</v>
      </c>
      <c r="H252" s="10" t="n">
        <f aca="false">F252*G252</f>
        <v>2112</v>
      </c>
      <c r="I252" s="6" t="s">
        <v>5122</v>
      </c>
    </row>
    <row r="253" customFormat="false" ht="15" hidden="false" customHeight="false" outlineLevel="0" collapsed="false">
      <c r="A253" s="6" t="s">
        <v>5448</v>
      </c>
      <c r="B253" s="6" t="s">
        <v>3515</v>
      </c>
      <c r="C253" s="26" t="n">
        <v>46032</v>
      </c>
      <c r="D253" s="6" t="s">
        <v>5200</v>
      </c>
      <c r="E253" s="6" t="s">
        <v>24</v>
      </c>
      <c r="F253" s="6" t="n">
        <v>2</v>
      </c>
      <c r="G253" s="10" t="n">
        <v>763</v>
      </c>
      <c r="H253" s="10" t="n">
        <f aca="false">F253*G253</f>
        <v>1526</v>
      </c>
      <c r="I253" s="6" t="s">
        <v>5130</v>
      </c>
    </row>
    <row r="254" customFormat="false" ht="15" hidden="false" customHeight="false" outlineLevel="0" collapsed="false">
      <c r="A254" s="6" t="s">
        <v>5449</v>
      </c>
      <c r="B254" s="6" t="s">
        <v>3451</v>
      </c>
      <c r="C254" s="26" t="n">
        <v>46032</v>
      </c>
      <c r="D254" s="6" t="s">
        <v>5167</v>
      </c>
      <c r="E254" s="6" t="s">
        <v>22</v>
      </c>
      <c r="F254" s="6" t="n">
        <v>1</v>
      </c>
      <c r="G254" s="10" t="n">
        <v>781</v>
      </c>
      <c r="H254" s="10" t="n">
        <f aca="false">F254*G254</f>
        <v>781</v>
      </c>
      <c r="I254" s="6" t="s">
        <v>5148</v>
      </c>
    </row>
    <row r="255" customFormat="false" ht="15" hidden="false" customHeight="false" outlineLevel="0" collapsed="false">
      <c r="A255" s="6" t="s">
        <v>5450</v>
      </c>
      <c r="B255" s="6" t="s">
        <v>340</v>
      </c>
      <c r="C255" s="26" t="n">
        <v>46032</v>
      </c>
      <c r="D255" s="6" t="s">
        <v>5220</v>
      </c>
      <c r="E255" s="6" t="s">
        <v>24</v>
      </c>
      <c r="F255" s="6" t="n">
        <v>3</v>
      </c>
      <c r="G255" s="10" t="n">
        <v>1120</v>
      </c>
      <c r="H255" s="10" t="n">
        <f aca="false">F255*G255</f>
        <v>3360</v>
      </c>
      <c r="I255" s="6" t="s">
        <v>5122</v>
      </c>
    </row>
    <row r="256" customFormat="false" ht="15" hidden="false" customHeight="false" outlineLevel="0" collapsed="false">
      <c r="A256" s="6" t="s">
        <v>5451</v>
      </c>
      <c r="B256" s="6" t="s">
        <v>2405</v>
      </c>
      <c r="C256" s="26" t="n">
        <v>46032</v>
      </c>
      <c r="D256" s="6" t="s">
        <v>5226</v>
      </c>
      <c r="E256" s="6" t="s">
        <v>24</v>
      </c>
      <c r="F256" s="6" t="n">
        <v>1</v>
      </c>
      <c r="G256" s="10" t="n">
        <v>413</v>
      </c>
      <c r="H256" s="10" t="n">
        <f aca="false">F256*G256</f>
        <v>413</v>
      </c>
      <c r="I256" s="6" t="s">
        <v>5173</v>
      </c>
    </row>
    <row r="257" customFormat="false" ht="15" hidden="false" customHeight="false" outlineLevel="0" collapsed="false">
      <c r="A257" s="6" t="s">
        <v>5452</v>
      </c>
      <c r="B257" s="6" t="s">
        <v>2559</v>
      </c>
      <c r="C257" s="26" t="n">
        <v>46032</v>
      </c>
      <c r="D257" s="6" t="s">
        <v>5167</v>
      </c>
      <c r="E257" s="6" t="s">
        <v>22</v>
      </c>
      <c r="F257" s="6" t="n">
        <v>2</v>
      </c>
      <c r="G257" s="10" t="n">
        <v>782</v>
      </c>
      <c r="H257" s="10" t="n">
        <f aca="false">F257*G257</f>
        <v>1564</v>
      </c>
      <c r="I257" s="6" t="s">
        <v>5148</v>
      </c>
    </row>
    <row r="258" customFormat="false" ht="15" hidden="false" customHeight="false" outlineLevel="0" collapsed="false">
      <c r="A258" s="6" t="s">
        <v>5453</v>
      </c>
      <c r="B258" s="6" t="s">
        <v>695</v>
      </c>
      <c r="C258" s="26" t="n">
        <v>46032</v>
      </c>
      <c r="D258" s="6" t="s">
        <v>5318</v>
      </c>
      <c r="E258" s="6" t="s">
        <v>20</v>
      </c>
      <c r="F258" s="6" t="n">
        <v>1</v>
      </c>
      <c r="G258" s="10" t="n">
        <v>1376</v>
      </c>
      <c r="H258" s="10" t="n">
        <f aca="false">F258*G258</f>
        <v>1376</v>
      </c>
      <c r="I258" s="6" t="s">
        <v>5122</v>
      </c>
    </row>
    <row r="259" customFormat="false" ht="15" hidden="false" customHeight="false" outlineLevel="0" collapsed="false">
      <c r="A259" s="6" t="s">
        <v>5454</v>
      </c>
      <c r="B259" s="6" t="s">
        <v>2141</v>
      </c>
      <c r="C259" s="26" t="n">
        <v>46032</v>
      </c>
      <c r="D259" s="6" t="s">
        <v>5269</v>
      </c>
      <c r="E259" s="6" t="s">
        <v>22</v>
      </c>
      <c r="F259" s="6" t="n">
        <v>2</v>
      </c>
      <c r="G259" s="10" t="n">
        <v>1271</v>
      </c>
      <c r="H259" s="10" t="n">
        <f aca="false">F259*G259</f>
        <v>2542</v>
      </c>
      <c r="I259" s="6" t="s">
        <v>5130</v>
      </c>
    </row>
    <row r="260" customFormat="false" ht="15" hidden="false" customHeight="false" outlineLevel="0" collapsed="false">
      <c r="A260" s="6" t="s">
        <v>5455</v>
      </c>
      <c r="B260" s="6" t="s">
        <v>1079</v>
      </c>
      <c r="C260" s="26" t="n">
        <v>46032</v>
      </c>
      <c r="D260" s="6" t="s">
        <v>5456</v>
      </c>
      <c r="E260" s="6" t="s">
        <v>24</v>
      </c>
      <c r="F260" s="6" t="n">
        <v>2</v>
      </c>
      <c r="G260" s="10" t="n">
        <v>912</v>
      </c>
      <c r="H260" s="10" t="n">
        <f aca="false">F260*G260</f>
        <v>1824</v>
      </c>
      <c r="I260" s="6" t="s">
        <v>5122</v>
      </c>
    </row>
    <row r="261" customFormat="false" ht="15" hidden="false" customHeight="false" outlineLevel="0" collapsed="false">
      <c r="A261" s="6" t="s">
        <v>5457</v>
      </c>
      <c r="B261" s="6" t="s">
        <v>973</v>
      </c>
      <c r="C261" s="26" t="n">
        <v>46032</v>
      </c>
      <c r="D261" s="6" t="s">
        <v>5458</v>
      </c>
      <c r="E261" s="6" t="s">
        <v>24</v>
      </c>
      <c r="F261" s="6" t="n">
        <v>2</v>
      </c>
      <c r="G261" s="10" t="n">
        <v>559</v>
      </c>
      <c r="H261" s="10" t="n">
        <f aca="false">F261*G261</f>
        <v>1118</v>
      </c>
      <c r="I261" s="6" t="s">
        <v>5148</v>
      </c>
    </row>
    <row r="262" customFormat="false" ht="15" hidden="false" customHeight="false" outlineLevel="0" collapsed="false">
      <c r="A262" s="6" t="s">
        <v>5459</v>
      </c>
      <c r="B262" s="6" t="s">
        <v>5007</v>
      </c>
      <c r="C262" s="26" t="n">
        <v>46032</v>
      </c>
      <c r="D262" s="6" t="s">
        <v>5460</v>
      </c>
      <c r="E262" s="6" t="s">
        <v>24</v>
      </c>
      <c r="F262" s="6" t="n">
        <v>1</v>
      </c>
      <c r="G262" s="10" t="n">
        <v>555</v>
      </c>
      <c r="H262" s="10" t="n">
        <f aca="false">F262*G262</f>
        <v>555</v>
      </c>
      <c r="I262" s="6" t="s">
        <v>5122</v>
      </c>
    </row>
    <row r="263" customFormat="false" ht="15" hidden="false" customHeight="false" outlineLevel="0" collapsed="false">
      <c r="A263" s="6" t="s">
        <v>5461</v>
      </c>
      <c r="B263" s="6" t="s">
        <v>3617</v>
      </c>
      <c r="C263" s="26" t="n">
        <v>46032</v>
      </c>
      <c r="D263" s="6" t="s">
        <v>5220</v>
      </c>
      <c r="E263" s="6" t="s">
        <v>24</v>
      </c>
      <c r="F263" s="6" t="n">
        <v>1</v>
      </c>
      <c r="G263" s="10" t="n">
        <v>1009</v>
      </c>
      <c r="H263" s="10" t="n">
        <f aca="false">F263*G263</f>
        <v>1009</v>
      </c>
      <c r="I263" s="6" t="s">
        <v>5122</v>
      </c>
    </row>
    <row r="264" customFormat="false" ht="15" hidden="false" customHeight="false" outlineLevel="0" collapsed="false">
      <c r="A264" s="6" t="s">
        <v>5462</v>
      </c>
      <c r="B264" s="6" t="s">
        <v>2619</v>
      </c>
      <c r="C264" s="26" t="n">
        <v>46032</v>
      </c>
      <c r="D264" s="6" t="s">
        <v>5160</v>
      </c>
      <c r="E264" s="6" t="s">
        <v>21</v>
      </c>
      <c r="F264" s="6" t="n">
        <v>1</v>
      </c>
      <c r="G264" s="10" t="n">
        <v>2751</v>
      </c>
      <c r="H264" s="10" t="n">
        <f aca="false">F264*G264</f>
        <v>2751</v>
      </c>
      <c r="I264" s="6" t="s">
        <v>5122</v>
      </c>
    </row>
    <row r="265" customFormat="false" ht="15" hidden="false" customHeight="false" outlineLevel="0" collapsed="false">
      <c r="A265" s="6" t="s">
        <v>5463</v>
      </c>
      <c r="B265" s="6" t="s">
        <v>1577</v>
      </c>
      <c r="C265" s="26" t="n">
        <v>46032</v>
      </c>
      <c r="D265" s="6" t="s">
        <v>5185</v>
      </c>
      <c r="E265" s="6" t="s">
        <v>24</v>
      </c>
      <c r="F265" s="6" t="n">
        <v>1</v>
      </c>
      <c r="G265" s="10" t="n">
        <v>1926</v>
      </c>
      <c r="H265" s="10" t="n">
        <f aca="false">F265*G265</f>
        <v>1926</v>
      </c>
      <c r="I265" s="6" t="s">
        <v>5148</v>
      </c>
    </row>
    <row r="266" customFormat="false" ht="15" hidden="false" customHeight="false" outlineLevel="0" collapsed="false">
      <c r="A266" s="6" t="s">
        <v>5464</v>
      </c>
      <c r="B266" s="6" t="s">
        <v>4481</v>
      </c>
      <c r="C266" s="26" t="n">
        <v>46032</v>
      </c>
      <c r="D266" s="6" t="s">
        <v>5167</v>
      </c>
      <c r="E266" s="6" t="s">
        <v>22</v>
      </c>
      <c r="F266" s="6" t="n">
        <v>1</v>
      </c>
      <c r="G266" s="10" t="n">
        <v>703</v>
      </c>
      <c r="H266" s="10" t="n">
        <f aca="false">F266*G266</f>
        <v>703</v>
      </c>
      <c r="I266" s="6" t="s">
        <v>5133</v>
      </c>
    </row>
    <row r="267" customFormat="false" ht="15" hidden="false" customHeight="false" outlineLevel="0" collapsed="false">
      <c r="A267" s="6" t="s">
        <v>5465</v>
      </c>
      <c r="B267" s="6" t="s">
        <v>5077</v>
      </c>
      <c r="C267" s="26" t="n">
        <v>46032</v>
      </c>
      <c r="D267" s="6" t="s">
        <v>5466</v>
      </c>
      <c r="E267" s="6" t="s">
        <v>21</v>
      </c>
      <c r="F267" s="6" t="n">
        <v>1</v>
      </c>
      <c r="G267" s="10" t="n">
        <v>1965</v>
      </c>
      <c r="H267" s="10" t="n">
        <f aca="false">F267*G267</f>
        <v>1965</v>
      </c>
      <c r="I267" s="6" t="s">
        <v>5130</v>
      </c>
    </row>
    <row r="268" customFormat="false" ht="15" hidden="false" customHeight="false" outlineLevel="0" collapsed="false">
      <c r="A268" s="6" t="s">
        <v>5467</v>
      </c>
      <c r="B268" s="6" t="s">
        <v>3477</v>
      </c>
      <c r="C268" s="26" t="n">
        <v>46032</v>
      </c>
      <c r="D268" s="6" t="s">
        <v>5190</v>
      </c>
      <c r="E268" s="6" t="s">
        <v>24</v>
      </c>
      <c r="F268" s="6" t="n">
        <v>1</v>
      </c>
      <c r="G268" s="10" t="n">
        <v>550</v>
      </c>
      <c r="H268" s="10" t="n">
        <f aca="false">F268*G268</f>
        <v>550</v>
      </c>
      <c r="I268" s="6" t="s">
        <v>5122</v>
      </c>
    </row>
    <row r="269" customFormat="false" ht="15" hidden="false" customHeight="false" outlineLevel="0" collapsed="false">
      <c r="A269" s="6" t="s">
        <v>5468</v>
      </c>
      <c r="B269" s="6" t="s">
        <v>3985</v>
      </c>
      <c r="C269" s="26" t="n">
        <v>46032</v>
      </c>
      <c r="D269" s="6" t="s">
        <v>5197</v>
      </c>
      <c r="E269" s="6" t="s">
        <v>21</v>
      </c>
      <c r="F269" s="6" t="n">
        <v>1</v>
      </c>
      <c r="G269" s="10" t="n">
        <v>1080</v>
      </c>
      <c r="H269" s="10" t="n">
        <f aca="false">F269*G269</f>
        <v>1080</v>
      </c>
      <c r="I269" s="6" t="s">
        <v>5148</v>
      </c>
    </row>
    <row r="270" customFormat="false" ht="15" hidden="false" customHeight="false" outlineLevel="0" collapsed="false">
      <c r="A270" s="6" t="s">
        <v>5469</v>
      </c>
      <c r="B270" s="6" t="s">
        <v>2367</v>
      </c>
      <c r="C270" s="26" t="n">
        <v>46032</v>
      </c>
      <c r="D270" s="6" t="s">
        <v>5163</v>
      </c>
      <c r="E270" s="6" t="s">
        <v>23</v>
      </c>
      <c r="F270" s="6" t="n">
        <v>1</v>
      </c>
      <c r="G270" s="10" t="n">
        <v>744</v>
      </c>
      <c r="H270" s="10" t="n">
        <f aca="false">F270*G270</f>
        <v>744</v>
      </c>
      <c r="I270" s="6" t="s">
        <v>5122</v>
      </c>
    </row>
    <row r="271" customFormat="false" ht="15" hidden="false" customHeight="false" outlineLevel="0" collapsed="false">
      <c r="A271" s="6" t="s">
        <v>5470</v>
      </c>
      <c r="B271" s="6" t="s">
        <v>2265</v>
      </c>
      <c r="C271" s="26" t="n">
        <v>46032</v>
      </c>
      <c r="D271" s="6" t="s">
        <v>5261</v>
      </c>
      <c r="E271" s="6" t="s">
        <v>23</v>
      </c>
      <c r="F271" s="6" t="n">
        <v>2</v>
      </c>
      <c r="G271" s="10" t="n">
        <v>167</v>
      </c>
      <c r="H271" s="10" t="n">
        <f aca="false">F271*G271</f>
        <v>334</v>
      </c>
      <c r="I271" s="6" t="s">
        <v>5130</v>
      </c>
    </row>
    <row r="272" customFormat="false" ht="15" hidden="false" customHeight="false" outlineLevel="0" collapsed="false">
      <c r="A272" s="6" t="s">
        <v>5471</v>
      </c>
      <c r="B272" s="6" t="s">
        <v>975</v>
      </c>
      <c r="C272" s="26" t="n">
        <v>46032</v>
      </c>
      <c r="D272" s="6" t="s">
        <v>5214</v>
      </c>
      <c r="E272" s="6" t="s">
        <v>20</v>
      </c>
      <c r="F272" s="6" t="n">
        <v>1</v>
      </c>
      <c r="G272" s="10" t="n">
        <v>1835</v>
      </c>
      <c r="H272" s="10" t="n">
        <f aca="false">F272*G272</f>
        <v>1835</v>
      </c>
      <c r="I272" s="6" t="s">
        <v>5125</v>
      </c>
    </row>
    <row r="273" customFormat="false" ht="15" hidden="false" customHeight="false" outlineLevel="0" collapsed="false">
      <c r="A273" s="6" t="s">
        <v>5472</v>
      </c>
      <c r="B273" s="6" t="s">
        <v>4725</v>
      </c>
      <c r="C273" s="26" t="n">
        <v>46032</v>
      </c>
      <c r="D273" s="6" t="s">
        <v>5141</v>
      </c>
      <c r="E273" s="6" t="s">
        <v>20</v>
      </c>
      <c r="F273" s="6" t="n">
        <v>1</v>
      </c>
      <c r="G273" s="10" t="n">
        <v>1835</v>
      </c>
      <c r="H273" s="10" t="n">
        <f aca="false">F273*G273</f>
        <v>1835</v>
      </c>
      <c r="I273" s="6" t="s">
        <v>5122</v>
      </c>
    </row>
    <row r="274" customFormat="false" ht="15" hidden="false" customHeight="false" outlineLevel="0" collapsed="false">
      <c r="A274" s="6" t="s">
        <v>5473</v>
      </c>
      <c r="B274" s="6" t="s">
        <v>3211</v>
      </c>
      <c r="C274" s="26" t="n">
        <v>46032</v>
      </c>
      <c r="D274" s="6" t="s">
        <v>5180</v>
      </c>
      <c r="E274" s="6" t="s">
        <v>24</v>
      </c>
      <c r="F274" s="6" t="n">
        <v>3</v>
      </c>
      <c r="G274" s="10" t="n">
        <v>1788</v>
      </c>
      <c r="H274" s="10" t="n">
        <f aca="false">F274*G274</f>
        <v>5364</v>
      </c>
      <c r="I274" s="6" t="s">
        <v>5122</v>
      </c>
    </row>
    <row r="275" customFormat="false" ht="15" hidden="false" customHeight="false" outlineLevel="0" collapsed="false">
      <c r="A275" s="6" t="s">
        <v>5474</v>
      </c>
      <c r="B275" s="6" t="s">
        <v>2277</v>
      </c>
      <c r="C275" s="26" t="n">
        <v>46032</v>
      </c>
      <c r="D275" s="6" t="s">
        <v>5171</v>
      </c>
      <c r="E275" s="6" t="s">
        <v>23</v>
      </c>
      <c r="F275" s="6" t="n">
        <v>2</v>
      </c>
      <c r="G275" s="10" t="n">
        <v>661</v>
      </c>
      <c r="H275" s="10" t="n">
        <f aca="false">F275*G275</f>
        <v>1322</v>
      </c>
      <c r="I275" s="6" t="s">
        <v>5148</v>
      </c>
    </row>
    <row r="276" customFormat="false" ht="15" hidden="false" customHeight="false" outlineLevel="0" collapsed="false">
      <c r="A276" s="6" t="s">
        <v>5475</v>
      </c>
      <c r="B276" s="6" t="s">
        <v>1875</v>
      </c>
      <c r="C276" s="26" t="n">
        <v>46032</v>
      </c>
      <c r="D276" s="6" t="s">
        <v>5345</v>
      </c>
      <c r="E276" s="6" t="s">
        <v>23</v>
      </c>
      <c r="F276" s="6" t="n">
        <v>1</v>
      </c>
      <c r="G276" s="10" t="n">
        <v>436</v>
      </c>
      <c r="H276" s="10" t="n">
        <f aca="false">F276*G276</f>
        <v>436</v>
      </c>
      <c r="I276" s="6" t="s">
        <v>5133</v>
      </c>
    </row>
    <row r="277" customFormat="false" ht="15" hidden="false" customHeight="false" outlineLevel="0" collapsed="false">
      <c r="A277" s="6" t="s">
        <v>5476</v>
      </c>
      <c r="B277" s="6" t="s">
        <v>4585</v>
      </c>
      <c r="C277" s="26" t="n">
        <v>46032</v>
      </c>
      <c r="D277" s="6" t="s">
        <v>5216</v>
      </c>
      <c r="E277" s="6" t="s">
        <v>23</v>
      </c>
      <c r="F277" s="6" t="n">
        <v>3</v>
      </c>
      <c r="G277" s="10" t="n">
        <v>587</v>
      </c>
      <c r="H277" s="10" t="n">
        <f aca="false">F277*G277</f>
        <v>1761</v>
      </c>
      <c r="I277" s="6" t="s">
        <v>5148</v>
      </c>
    </row>
    <row r="278" customFormat="false" ht="15" hidden="false" customHeight="false" outlineLevel="0" collapsed="false">
      <c r="A278" s="6" t="s">
        <v>5477</v>
      </c>
      <c r="B278" s="6" t="s">
        <v>4265</v>
      </c>
      <c r="C278" s="26" t="n">
        <v>46032</v>
      </c>
      <c r="D278" s="6" t="s">
        <v>5163</v>
      </c>
      <c r="E278" s="6" t="s">
        <v>23</v>
      </c>
      <c r="F278" s="6" t="n">
        <v>1</v>
      </c>
      <c r="G278" s="10" t="n">
        <v>744</v>
      </c>
      <c r="H278" s="10" t="n">
        <f aca="false">F278*G278</f>
        <v>744</v>
      </c>
      <c r="I278" s="6" t="s">
        <v>5122</v>
      </c>
    </row>
    <row r="279" customFormat="false" ht="15" hidden="false" customHeight="false" outlineLevel="0" collapsed="false">
      <c r="A279" s="6" t="s">
        <v>5478</v>
      </c>
      <c r="B279" s="6" t="s">
        <v>2813</v>
      </c>
      <c r="C279" s="26" t="n">
        <v>46032</v>
      </c>
      <c r="D279" s="6" t="s">
        <v>5154</v>
      </c>
      <c r="E279" s="6" t="s">
        <v>21</v>
      </c>
      <c r="F279" s="6" t="n">
        <v>1</v>
      </c>
      <c r="G279" s="10" t="n">
        <v>785</v>
      </c>
      <c r="H279" s="10" t="n">
        <f aca="false">F279*G279</f>
        <v>785</v>
      </c>
      <c r="I279" s="6" t="s">
        <v>5122</v>
      </c>
    </row>
    <row r="280" customFormat="false" ht="15" hidden="false" customHeight="false" outlineLevel="0" collapsed="false">
      <c r="A280" s="6" t="s">
        <v>5479</v>
      </c>
      <c r="B280" s="6" t="s">
        <v>1031</v>
      </c>
      <c r="C280" s="26" t="n">
        <v>46033</v>
      </c>
      <c r="D280" s="6" t="s">
        <v>5357</v>
      </c>
      <c r="E280" s="6" t="s">
        <v>23</v>
      </c>
      <c r="F280" s="6" t="n">
        <v>4</v>
      </c>
      <c r="G280" s="10" t="n">
        <v>534</v>
      </c>
      <c r="H280" s="10" t="n">
        <f aca="false">F280*G280</f>
        <v>2136</v>
      </c>
      <c r="I280" s="6" t="s">
        <v>5122</v>
      </c>
    </row>
    <row r="281" customFormat="false" ht="15" hidden="false" customHeight="false" outlineLevel="0" collapsed="false">
      <c r="A281" s="6" t="s">
        <v>5480</v>
      </c>
      <c r="B281" s="6" t="s">
        <v>2537</v>
      </c>
      <c r="C281" s="26" t="n">
        <v>46033</v>
      </c>
      <c r="D281" s="6" t="s">
        <v>5127</v>
      </c>
      <c r="E281" s="6" t="s">
        <v>21</v>
      </c>
      <c r="F281" s="6" t="n">
        <v>2</v>
      </c>
      <c r="G281" s="10" t="n">
        <v>884</v>
      </c>
      <c r="H281" s="10" t="n">
        <f aca="false">F281*G281</f>
        <v>1768</v>
      </c>
      <c r="I281" s="6" t="s">
        <v>5125</v>
      </c>
    </row>
    <row r="282" customFormat="false" ht="15" hidden="false" customHeight="false" outlineLevel="0" collapsed="false">
      <c r="A282" s="6" t="s">
        <v>5481</v>
      </c>
      <c r="B282" s="6" t="s">
        <v>2861</v>
      </c>
      <c r="C282" s="26" t="n">
        <v>46033</v>
      </c>
      <c r="D282" s="6" t="s">
        <v>5482</v>
      </c>
      <c r="E282" s="6" t="s">
        <v>23</v>
      </c>
      <c r="F282" s="6" t="n">
        <v>1</v>
      </c>
      <c r="G282" s="10" t="n">
        <v>269</v>
      </c>
      <c r="H282" s="10" t="n">
        <f aca="false">F282*G282</f>
        <v>269</v>
      </c>
      <c r="I282" s="6" t="s">
        <v>5122</v>
      </c>
    </row>
    <row r="283" customFormat="false" ht="15" hidden="false" customHeight="false" outlineLevel="0" collapsed="false">
      <c r="A283" s="6" t="s">
        <v>5483</v>
      </c>
      <c r="B283" s="6" t="s">
        <v>1903</v>
      </c>
      <c r="C283" s="26" t="n">
        <v>46033</v>
      </c>
      <c r="D283" s="6" t="s">
        <v>5137</v>
      </c>
      <c r="E283" s="6" t="s">
        <v>21</v>
      </c>
      <c r="F283" s="6" t="n">
        <v>1</v>
      </c>
      <c r="G283" s="10" t="n">
        <v>1768</v>
      </c>
      <c r="H283" s="10" t="n">
        <f aca="false">F283*G283</f>
        <v>1768</v>
      </c>
      <c r="I283" s="6" t="s">
        <v>5122</v>
      </c>
    </row>
    <row r="284" customFormat="false" ht="15" hidden="false" customHeight="false" outlineLevel="0" collapsed="false">
      <c r="A284" s="6" t="s">
        <v>5484</v>
      </c>
      <c r="B284" s="6" t="s">
        <v>1109</v>
      </c>
      <c r="C284" s="26" t="n">
        <v>46033</v>
      </c>
      <c r="D284" s="6" t="s">
        <v>5135</v>
      </c>
      <c r="E284" s="6" t="s">
        <v>23</v>
      </c>
      <c r="F284" s="6" t="n">
        <v>1</v>
      </c>
      <c r="G284" s="10" t="n">
        <v>441</v>
      </c>
      <c r="H284" s="10" t="n">
        <f aca="false">F284*G284</f>
        <v>441</v>
      </c>
      <c r="I284" s="6" t="s">
        <v>5122</v>
      </c>
    </row>
    <row r="285" customFormat="false" ht="15" hidden="false" customHeight="false" outlineLevel="0" collapsed="false">
      <c r="A285" s="6" t="s">
        <v>5485</v>
      </c>
      <c r="B285" s="6" t="s">
        <v>2205</v>
      </c>
      <c r="C285" s="26" t="n">
        <v>46033</v>
      </c>
      <c r="D285" s="6" t="s">
        <v>5163</v>
      </c>
      <c r="E285" s="6" t="s">
        <v>23</v>
      </c>
      <c r="F285" s="6" t="n">
        <v>4</v>
      </c>
      <c r="G285" s="10" t="n">
        <v>705</v>
      </c>
      <c r="H285" s="10" t="n">
        <f aca="false">F285*G285</f>
        <v>2820</v>
      </c>
      <c r="I285" s="6" t="s">
        <v>5122</v>
      </c>
    </row>
    <row r="286" customFormat="false" ht="15" hidden="false" customHeight="false" outlineLevel="0" collapsed="false">
      <c r="A286" s="6" t="s">
        <v>5486</v>
      </c>
      <c r="B286" s="6" t="s">
        <v>5061</v>
      </c>
      <c r="C286" s="26" t="n">
        <v>46033</v>
      </c>
      <c r="D286" s="6" t="s">
        <v>5339</v>
      </c>
      <c r="E286" s="6" t="s">
        <v>24</v>
      </c>
      <c r="F286" s="6" t="n">
        <v>3</v>
      </c>
      <c r="G286" s="10" t="n">
        <v>508</v>
      </c>
      <c r="H286" s="10" t="n">
        <f aca="false">F286*G286</f>
        <v>1524</v>
      </c>
      <c r="I286" s="6" t="s">
        <v>5148</v>
      </c>
    </row>
    <row r="287" customFormat="false" ht="15" hidden="false" customHeight="false" outlineLevel="0" collapsed="false">
      <c r="A287" s="6" t="s">
        <v>5487</v>
      </c>
      <c r="B287" s="6" t="s">
        <v>505</v>
      </c>
      <c r="C287" s="26" t="n">
        <v>46033</v>
      </c>
      <c r="D287" s="6" t="s">
        <v>5488</v>
      </c>
      <c r="E287" s="6" t="s">
        <v>24</v>
      </c>
      <c r="F287" s="6" t="n">
        <v>1</v>
      </c>
      <c r="G287" s="10" t="n">
        <v>779</v>
      </c>
      <c r="H287" s="10" t="n">
        <f aca="false">F287*G287</f>
        <v>779</v>
      </c>
      <c r="I287" s="6" t="s">
        <v>5125</v>
      </c>
    </row>
    <row r="288" customFormat="false" ht="15" hidden="false" customHeight="false" outlineLevel="0" collapsed="false">
      <c r="A288" s="6" t="s">
        <v>5489</v>
      </c>
      <c r="B288" s="6" t="s">
        <v>3199</v>
      </c>
      <c r="C288" s="26" t="n">
        <v>46033</v>
      </c>
      <c r="D288" s="6" t="s">
        <v>5165</v>
      </c>
      <c r="E288" s="6" t="s">
        <v>22</v>
      </c>
      <c r="F288" s="6" t="n">
        <v>1</v>
      </c>
      <c r="G288" s="10" t="n">
        <v>928</v>
      </c>
      <c r="H288" s="10" t="n">
        <f aca="false">F288*G288</f>
        <v>928</v>
      </c>
      <c r="I288" s="6" t="s">
        <v>5122</v>
      </c>
    </row>
    <row r="289" customFormat="false" ht="15" hidden="false" customHeight="false" outlineLevel="0" collapsed="false">
      <c r="A289" s="6" t="s">
        <v>5490</v>
      </c>
      <c r="B289" s="6" t="s">
        <v>3721</v>
      </c>
      <c r="C289" s="26" t="n">
        <v>46033</v>
      </c>
      <c r="D289" s="6" t="s">
        <v>5273</v>
      </c>
      <c r="E289" s="6" t="s">
        <v>23</v>
      </c>
      <c r="F289" s="6" t="n">
        <v>2</v>
      </c>
      <c r="G289" s="10" t="n">
        <v>240</v>
      </c>
      <c r="H289" s="10" t="n">
        <f aca="false">F289*G289</f>
        <v>480</v>
      </c>
      <c r="I289" s="6" t="s">
        <v>5130</v>
      </c>
    </row>
    <row r="290" customFormat="false" ht="15" hidden="false" customHeight="false" outlineLevel="0" collapsed="false">
      <c r="A290" s="6" t="s">
        <v>5491</v>
      </c>
      <c r="B290" s="6" t="s">
        <v>4643</v>
      </c>
      <c r="C290" s="26" t="n">
        <v>46033</v>
      </c>
      <c r="D290" s="6" t="s">
        <v>5269</v>
      </c>
      <c r="E290" s="6" t="s">
        <v>22</v>
      </c>
      <c r="F290" s="6" t="n">
        <v>3</v>
      </c>
      <c r="G290" s="10" t="n">
        <v>1207</v>
      </c>
      <c r="H290" s="10" t="n">
        <f aca="false">F290*G290</f>
        <v>3621</v>
      </c>
      <c r="I290" s="6" t="s">
        <v>5122</v>
      </c>
    </row>
    <row r="291" customFormat="false" ht="15" hidden="false" customHeight="false" outlineLevel="0" collapsed="false">
      <c r="A291" s="6" t="s">
        <v>5492</v>
      </c>
      <c r="B291" s="6" t="s">
        <v>4637</v>
      </c>
      <c r="C291" s="26" t="n">
        <v>46033</v>
      </c>
      <c r="D291" s="6" t="s">
        <v>5163</v>
      </c>
      <c r="E291" s="6" t="s">
        <v>23</v>
      </c>
      <c r="F291" s="6" t="n">
        <v>1</v>
      </c>
      <c r="G291" s="10" t="n">
        <v>783</v>
      </c>
      <c r="H291" s="10" t="n">
        <f aca="false">F291*G291</f>
        <v>783</v>
      </c>
      <c r="I291" s="6" t="s">
        <v>5130</v>
      </c>
    </row>
    <row r="292" customFormat="false" ht="15" hidden="false" customHeight="false" outlineLevel="0" collapsed="false">
      <c r="A292" s="6" t="s">
        <v>5493</v>
      </c>
      <c r="B292" s="6" t="s">
        <v>1311</v>
      </c>
      <c r="C292" s="26" t="n">
        <v>46033</v>
      </c>
      <c r="D292" s="6" t="s">
        <v>5121</v>
      </c>
      <c r="E292" s="6" t="s">
        <v>22</v>
      </c>
      <c r="F292" s="6" t="n">
        <v>1</v>
      </c>
      <c r="G292" s="10" t="n">
        <v>880</v>
      </c>
      <c r="H292" s="10" t="n">
        <f aca="false">F292*G292</f>
        <v>880</v>
      </c>
      <c r="I292" s="6" t="s">
        <v>5122</v>
      </c>
    </row>
    <row r="293" customFormat="false" ht="15" hidden="false" customHeight="false" outlineLevel="0" collapsed="false">
      <c r="A293" s="6" t="s">
        <v>5494</v>
      </c>
      <c r="B293" s="6" t="s">
        <v>3757</v>
      </c>
      <c r="C293" s="26" t="n">
        <v>46033</v>
      </c>
      <c r="D293" s="6" t="s">
        <v>5167</v>
      </c>
      <c r="E293" s="6" t="s">
        <v>22</v>
      </c>
      <c r="F293" s="6" t="n">
        <v>1</v>
      </c>
      <c r="G293" s="10" t="n">
        <v>702</v>
      </c>
      <c r="H293" s="10" t="n">
        <f aca="false">F293*G293</f>
        <v>702</v>
      </c>
      <c r="I293" s="6" t="s">
        <v>5122</v>
      </c>
    </row>
    <row r="294" customFormat="false" ht="15" hidden="false" customHeight="false" outlineLevel="0" collapsed="false">
      <c r="A294" s="6" t="s">
        <v>5495</v>
      </c>
      <c r="B294" s="6" t="s">
        <v>2551</v>
      </c>
      <c r="C294" s="26" t="n">
        <v>46033</v>
      </c>
      <c r="D294" s="6" t="s">
        <v>5121</v>
      </c>
      <c r="E294" s="6" t="s">
        <v>22</v>
      </c>
      <c r="F294" s="6" t="n">
        <v>3</v>
      </c>
      <c r="G294" s="10" t="n">
        <v>977</v>
      </c>
      <c r="H294" s="10" t="n">
        <f aca="false">F294*G294</f>
        <v>2931</v>
      </c>
      <c r="I294" s="6" t="s">
        <v>5148</v>
      </c>
    </row>
    <row r="295" customFormat="false" ht="15" hidden="false" customHeight="false" outlineLevel="0" collapsed="false">
      <c r="A295" s="6" t="s">
        <v>5496</v>
      </c>
      <c r="B295" s="6" t="s">
        <v>3583</v>
      </c>
      <c r="C295" s="26" t="n">
        <v>46033</v>
      </c>
      <c r="D295" s="6" t="s">
        <v>5182</v>
      </c>
      <c r="E295" s="6" t="s">
        <v>23</v>
      </c>
      <c r="F295" s="6" t="n">
        <v>3</v>
      </c>
      <c r="G295" s="10" t="n">
        <v>331</v>
      </c>
      <c r="H295" s="10" t="n">
        <f aca="false">F295*G295</f>
        <v>993</v>
      </c>
      <c r="I295" s="6" t="s">
        <v>5148</v>
      </c>
    </row>
    <row r="296" customFormat="false" ht="15" hidden="false" customHeight="false" outlineLevel="0" collapsed="false">
      <c r="A296" s="6" t="s">
        <v>5497</v>
      </c>
      <c r="B296" s="6" t="s">
        <v>1051</v>
      </c>
      <c r="C296" s="26" t="n">
        <v>46033</v>
      </c>
      <c r="D296" s="6" t="s">
        <v>5226</v>
      </c>
      <c r="E296" s="6" t="s">
        <v>24</v>
      </c>
      <c r="F296" s="6" t="n">
        <v>1</v>
      </c>
      <c r="G296" s="10" t="n">
        <v>457</v>
      </c>
      <c r="H296" s="10" t="n">
        <f aca="false">F296*G296</f>
        <v>457</v>
      </c>
      <c r="I296" s="6" t="s">
        <v>5148</v>
      </c>
    </row>
    <row r="297" customFormat="false" ht="15" hidden="false" customHeight="false" outlineLevel="0" collapsed="false">
      <c r="A297" s="6" t="s">
        <v>5498</v>
      </c>
      <c r="B297" s="6" t="s">
        <v>1819</v>
      </c>
      <c r="C297" s="26" t="n">
        <v>46033</v>
      </c>
      <c r="D297" s="6" t="s">
        <v>5165</v>
      </c>
      <c r="E297" s="6" t="s">
        <v>22</v>
      </c>
      <c r="F297" s="6" t="n">
        <v>1</v>
      </c>
      <c r="G297" s="10" t="n">
        <v>880</v>
      </c>
      <c r="H297" s="10" t="n">
        <f aca="false">F297*G297</f>
        <v>880</v>
      </c>
      <c r="I297" s="6" t="s">
        <v>5122</v>
      </c>
    </row>
    <row r="298" customFormat="false" ht="15" hidden="false" customHeight="false" outlineLevel="0" collapsed="false">
      <c r="A298" s="6" t="s">
        <v>5499</v>
      </c>
      <c r="B298" s="6" t="s">
        <v>1887</v>
      </c>
      <c r="C298" s="26" t="n">
        <v>46033</v>
      </c>
      <c r="D298" s="6" t="s">
        <v>5171</v>
      </c>
      <c r="E298" s="6" t="s">
        <v>23</v>
      </c>
      <c r="F298" s="6" t="n">
        <v>1</v>
      </c>
      <c r="G298" s="10" t="n">
        <v>733</v>
      </c>
      <c r="H298" s="10" t="n">
        <f aca="false">F298*G298</f>
        <v>733</v>
      </c>
      <c r="I298" s="6" t="s">
        <v>5122</v>
      </c>
    </row>
    <row r="299" customFormat="false" ht="15" hidden="false" customHeight="false" outlineLevel="0" collapsed="false">
      <c r="A299" s="6" t="s">
        <v>5500</v>
      </c>
      <c r="B299" s="6" t="s">
        <v>1539</v>
      </c>
      <c r="C299" s="26" t="n">
        <v>46033</v>
      </c>
      <c r="D299" s="6" t="s">
        <v>5167</v>
      </c>
      <c r="E299" s="6" t="s">
        <v>22</v>
      </c>
      <c r="F299" s="6" t="n">
        <v>4</v>
      </c>
      <c r="G299" s="10" t="n">
        <v>782</v>
      </c>
      <c r="H299" s="10" t="n">
        <f aca="false">F299*G299</f>
        <v>3128</v>
      </c>
      <c r="I299" s="6" t="s">
        <v>5125</v>
      </c>
    </row>
    <row r="300" customFormat="false" ht="15" hidden="false" customHeight="false" outlineLevel="0" collapsed="false">
      <c r="A300" s="6" t="s">
        <v>5501</v>
      </c>
      <c r="B300" s="6" t="s">
        <v>1517</v>
      </c>
      <c r="C300" s="26" t="n">
        <v>46033</v>
      </c>
      <c r="D300" s="6" t="s">
        <v>5410</v>
      </c>
      <c r="E300" s="6" t="s">
        <v>20</v>
      </c>
      <c r="F300" s="6" t="n">
        <v>1</v>
      </c>
      <c r="G300" s="10" t="n">
        <v>2548</v>
      </c>
      <c r="H300" s="10" t="n">
        <f aca="false">F300*G300</f>
        <v>2548</v>
      </c>
      <c r="I300" s="6" t="s">
        <v>5148</v>
      </c>
    </row>
    <row r="301" customFormat="false" ht="15" hidden="false" customHeight="false" outlineLevel="0" collapsed="false">
      <c r="A301" s="6" t="s">
        <v>5502</v>
      </c>
      <c r="B301" s="6" t="s">
        <v>3177</v>
      </c>
      <c r="C301" s="26" t="n">
        <v>46033</v>
      </c>
      <c r="D301" s="6" t="s">
        <v>5207</v>
      </c>
      <c r="E301" s="6" t="s">
        <v>20</v>
      </c>
      <c r="F301" s="6" t="n">
        <v>1</v>
      </c>
      <c r="G301" s="10" t="n">
        <v>1192</v>
      </c>
      <c r="H301" s="10" t="n">
        <f aca="false">F301*G301</f>
        <v>1192</v>
      </c>
      <c r="I301" s="6" t="s">
        <v>5148</v>
      </c>
    </row>
    <row r="302" customFormat="false" ht="15" hidden="false" customHeight="false" outlineLevel="0" collapsed="false">
      <c r="A302" s="6" t="s">
        <v>5503</v>
      </c>
      <c r="B302" s="6" t="s">
        <v>3741</v>
      </c>
      <c r="C302" s="26" t="n">
        <v>46033</v>
      </c>
      <c r="D302" s="6" t="s">
        <v>5237</v>
      </c>
      <c r="E302" s="6" t="s">
        <v>24</v>
      </c>
      <c r="F302" s="6" t="n">
        <v>1</v>
      </c>
      <c r="G302" s="10" t="n">
        <v>1741</v>
      </c>
      <c r="H302" s="10" t="n">
        <f aca="false">F302*G302</f>
        <v>1741</v>
      </c>
      <c r="I302" s="6" t="s">
        <v>5122</v>
      </c>
    </row>
    <row r="303" customFormat="false" ht="15" hidden="false" customHeight="false" outlineLevel="0" collapsed="false">
      <c r="A303" s="6" t="s">
        <v>5504</v>
      </c>
      <c r="B303" s="6" t="s">
        <v>1263</v>
      </c>
      <c r="C303" s="26" t="n">
        <v>46033</v>
      </c>
      <c r="D303" s="6" t="s">
        <v>5292</v>
      </c>
      <c r="E303" s="6" t="s">
        <v>21</v>
      </c>
      <c r="F303" s="6" t="n">
        <v>1</v>
      </c>
      <c r="G303" s="10" t="n">
        <v>6536</v>
      </c>
      <c r="H303" s="10" t="n">
        <f aca="false">F303*G303</f>
        <v>6536</v>
      </c>
      <c r="I303" s="6" t="s">
        <v>5122</v>
      </c>
    </row>
    <row r="304" customFormat="false" ht="15" hidden="false" customHeight="false" outlineLevel="0" collapsed="false">
      <c r="A304" s="6" t="s">
        <v>5505</v>
      </c>
      <c r="B304" s="6" t="s">
        <v>4765</v>
      </c>
      <c r="C304" s="26" t="n">
        <v>46034</v>
      </c>
      <c r="D304" s="6" t="s">
        <v>5132</v>
      </c>
      <c r="E304" s="6" t="s">
        <v>23</v>
      </c>
      <c r="F304" s="6" t="n">
        <v>1</v>
      </c>
      <c r="G304" s="10" t="n">
        <v>341</v>
      </c>
      <c r="H304" s="10" t="n">
        <f aca="false">F304*G304</f>
        <v>341</v>
      </c>
      <c r="I304" s="6" t="s">
        <v>5122</v>
      </c>
    </row>
    <row r="305" customFormat="false" ht="15" hidden="false" customHeight="false" outlineLevel="0" collapsed="false">
      <c r="A305" s="6" t="s">
        <v>5506</v>
      </c>
      <c r="B305" s="6" t="s">
        <v>969</v>
      </c>
      <c r="C305" s="26" t="n">
        <v>46034</v>
      </c>
      <c r="D305" s="6" t="s">
        <v>5121</v>
      </c>
      <c r="E305" s="6" t="s">
        <v>22</v>
      </c>
      <c r="F305" s="6" t="n">
        <v>1</v>
      </c>
      <c r="G305" s="10" t="n">
        <v>928</v>
      </c>
      <c r="H305" s="10" t="n">
        <f aca="false">F305*G305</f>
        <v>928</v>
      </c>
      <c r="I305" s="6" t="s">
        <v>5173</v>
      </c>
    </row>
    <row r="306" customFormat="false" ht="15" hidden="false" customHeight="false" outlineLevel="0" collapsed="false">
      <c r="A306" s="6" t="s">
        <v>5507</v>
      </c>
      <c r="B306" s="6" t="s">
        <v>3073</v>
      </c>
      <c r="C306" s="26" t="n">
        <v>46034</v>
      </c>
      <c r="D306" s="6" t="s">
        <v>5154</v>
      </c>
      <c r="E306" s="6" t="s">
        <v>21</v>
      </c>
      <c r="F306" s="6" t="n">
        <v>1</v>
      </c>
      <c r="G306" s="10" t="n">
        <v>785</v>
      </c>
      <c r="H306" s="10" t="n">
        <f aca="false">F306*G306</f>
        <v>785</v>
      </c>
      <c r="I306" s="6" t="s">
        <v>5148</v>
      </c>
    </row>
    <row r="307" customFormat="false" ht="15" hidden="false" customHeight="false" outlineLevel="0" collapsed="false">
      <c r="A307" s="6" t="s">
        <v>5508</v>
      </c>
      <c r="B307" s="6" t="s">
        <v>3449</v>
      </c>
      <c r="C307" s="26" t="n">
        <v>46034</v>
      </c>
      <c r="D307" s="6" t="s">
        <v>5165</v>
      </c>
      <c r="E307" s="6" t="s">
        <v>22</v>
      </c>
      <c r="F307" s="6" t="n">
        <v>1</v>
      </c>
      <c r="G307" s="10" t="n">
        <v>977</v>
      </c>
      <c r="H307" s="10" t="n">
        <f aca="false">F307*G307</f>
        <v>977</v>
      </c>
      <c r="I307" s="6" t="s">
        <v>5122</v>
      </c>
    </row>
    <row r="308" customFormat="false" ht="15" hidden="false" customHeight="false" outlineLevel="0" collapsed="false">
      <c r="A308" s="6" t="s">
        <v>5509</v>
      </c>
      <c r="B308" s="6" t="s">
        <v>1623</v>
      </c>
      <c r="C308" s="26" t="n">
        <v>46034</v>
      </c>
      <c r="D308" s="6" t="s">
        <v>5127</v>
      </c>
      <c r="E308" s="6" t="s">
        <v>21</v>
      </c>
      <c r="F308" s="6" t="n">
        <v>2</v>
      </c>
      <c r="G308" s="10" t="n">
        <v>795</v>
      </c>
      <c r="H308" s="10" t="n">
        <f aca="false">F308*G308</f>
        <v>1590</v>
      </c>
      <c r="I308" s="6" t="s">
        <v>5122</v>
      </c>
    </row>
    <row r="309" customFormat="false" ht="15" hidden="false" customHeight="false" outlineLevel="0" collapsed="false">
      <c r="A309" s="6" t="s">
        <v>5510</v>
      </c>
      <c r="B309" s="6" t="s">
        <v>2135</v>
      </c>
      <c r="C309" s="26" t="n">
        <v>46034</v>
      </c>
      <c r="D309" s="6" t="s">
        <v>5129</v>
      </c>
      <c r="E309" s="6" t="s">
        <v>21</v>
      </c>
      <c r="F309" s="6" t="n">
        <v>3</v>
      </c>
      <c r="G309" s="10" t="n">
        <v>589</v>
      </c>
      <c r="H309" s="10" t="n">
        <f aca="false">F309*G309</f>
        <v>1767</v>
      </c>
      <c r="I309" s="6" t="s">
        <v>5148</v>
      </c>
    </row>
    <row r="310" customFormat="false" ht="15" hidden="false" customHeight="false" outlineLevel="0" collapsed="false">
      <c r="A310" s="6" t="s">
        <v>5511</v>
      </c>
      <c r="B310" s="6" t="s">
        <v>1883</v>
      </c>
      <c r="C310" s="26" t="n">
        <v>46034</v>
      </c>
      <c r="D310" s="6" t="s">
        <v>5154</v>
      </c>
      <c r="E310" s="6" t="s">
        <v>21</v>
      </c>
      <c r="F310" s="6" t="n">
        <v>1</v>
      </c>
      <c r="G310" s="10" t="n">
        <v>707</v>
      </c>
      <c r="H310" s="10" t="n">
        <f aca="false">F310*G310</f>
        <v>707</v>
      </c>
      <c r="I310" s="6" t="s">
        <v>5148</v>
      </c>
    </row>
    <row r="311" customFormat="false" ht="15" hidden="false" customHeight="false" outlineLevel="0" collapsed="false">
      <c r="A311" s="6" t="s">
        <v>5512</v>
      </c>
      <c r="B311" s="6" t="s">
        <v>2487</v>
      </c>
      <c r="C311" s="26" t="n">
        <v>46034</v>
      </c>
      <c r="D311" s="6" t="s">
        <v>5298</v>
      </c>
      <c r="E311" s="6" t="s">
        <v>23</v>
      </c>
      <c r="F311" s="6" t="n">
        <v>3</v>
      </c>
      <c r="G311" s="10" t="n">
        <v>293</v>
      </c>
      <c r="H311" s="10" t="n">
        <f aca="false">F311*G311</f>
        <v>879</v>
      </c>
      <c r="I311" s="6" t="s">
        <v>5125</v>
      </c>
    </row>
    <row r="312" customFormat="false" ht="15" hidden="false" customHeight="false" outlineLevel="0" collapsed="false">
      <c r="A312" s="6" t="s">
        <v>5513</v>
      </c>
      <c r="B312" s="6" t="s">
        <v>4083</v>
      </c>
      <c r="C312" s="26" t="n">
        <v>46034</v>
      </c>
      <c r="D312" s="6" t="s">
        <v>5167</v>
      </c>
      <c r="E312" s="6" t="s">
        <v>22</v>
      </c>
      <c r="F312" s="6" t="n">
        <v>1</v>
      </c>
      <c r="G312" s="10" t="n">
        <v>781</v>
      </c>
      <c r="H312" s="10" t="n">
        <f aca="false">F312*G312</f>
        <v>781</v>
      </c>
      <c r="I312" s="6" t="s">
        <v>5122</v>
      </c>
    </row>
    <row r="313" customFormat="false" ht="15" hidden="false" customHeight="false" outlineLevel="0" collapsed="false">
      <c r="A313" s="6" t="s">
        <v>5514</v>
      </c>
      <c r="B313" s="6" t="s">
        <v>5075</v>
      </c>
      <c r="C313" s="26" t="n">
        <v>46034</v>
      </c>
      <c r="D313" s="6" t="s">
        <v>5121</v>
      </c>
      <c r="E313" s="6" t="s">
        <v>22</v>
      </c>
      <c r="F313" s="6" t="n">
        <v>2</v>
      </c>
      <c r="G313" s="10" t="n">
        <v>928</v>
      </c>
      <c r="H313" s="10" t="n">
        <f aca="false">F313*G313</f>
        <v>1856</v>
      </c>
      <c r="I313" s="6" t="s">
        <v>5122</v>
      </c>
    </row>
    <row r="314" customFormat="false" ht="15" hidden="false" customHeight="false" outlineLevel="0" collapsed="false">
      <c r="A314" s="6" t="s">
        <v>5515</v>
      </c>
      <c r="B314" s="6" t="s">
        <v>4277</v>
      </c>
      <c r="C314" s="26" t="n">
        <v>46034</v>
      </c>
      <c r="D314" s="6" t="s">
        <v>5192</v>
      </c>
      <c r="E314" s="6" t="s">
        <v>20</v>
      </c>
      <c r="F314" s="6" t="n">
        <v>1</v>
      </c>
      <c r="G314" s="10" t="n">
        <v>3874</v>
      </c>
      <c r="H314" s="10" t="n">
        <f aca="false">F314*G314</f>
        <v>3874</v>
      </c>
      <c r="I314" s="6" t="s">
        <v>5122</v>
      </c>
    </row>
    <row r="315" customFormat="false" ht="15" hidden="false" customHeight="false" outlineLevel="0" collapsed="false">
      <c r="A315" s="6" t="s">
        <v>5516</v>
      </c>
      <c r="B315" s="6" t="s">
        <v>4581</v>
      </c>
      <c r="C315" s="26" t="n">
        <v>46034</v>
      </c>
      <c r="D315" s="6" t="s">
        <v>5154</v>
      </c>
      <c r="E315" s="6" t="s">
        <v>21</v>
      </c>
      <c r="F315" s="6" t="n">
        <v>1</v>
      </c>
      <c r="G315" s="10" t="n">
        <v>746</v>
      </c>
      <c r="H315" s="10" t="n">
        <f aca="false">F315*G315</f>
        <v>746</v>
      </c>
      <c r="I315" s="6" t="s">
        <v>5148</v>
      </c>
    </row>
    <row r="316" customFormat="false" ht="15" hidden="false" customHeight="false" outlineLevel="0" collapsed="false">
      <c r="A316" s="6" t="s">
        <v>5517</v>
      </c>
      <c r="B316" s="6" t="s">
        <v>4173</v>
      </c>
      <c r="C316" s="26" t="n">
        <v>46034</v>
      </c>
      <c r="D316" s="6" t="s">
        <v>5182</v>
      </c>
      <c r="E316" s="6" t="s">
        <v>23</v>
      </c>
      <c r="F316" s="6" t="n">
        <v>5</v>
      </c>
      <c r="G316" s="10" t="n">
        <v>331</v>
      </c>
      <c r="H316" s="10" t="n">
        <f aca="false">F316*G316</f>
        <v>1655</v>
      </c>
      <c r="I316" s="6" t="s">
        <v>5148</v>
      </c>
    </row>
    <row r="317" customFormat="false" ht="15" hidden="false" customHeight="false" outlineLevel="0" collapsed="false">
      <c r="A317" s="6" t="s">
        <v>5518</v>
      </c>
      <c r="B317" s="6" t="s">
        <v>4109</v>
      </c>
      <c r="C317" s="26" t="n">
        <v>46034</v>
      </c>
      <c r="D317" s="6" t="s">
        <v>5357</v>
      </c>
      <c r="E317" s="6" t="s">
        <v>23</v>
      </c>
      <c r="F317" s="6" t="n">
        <v>2</v>
      </c>
      <c r="G317" s="10" t="n">
        <v>481</v>
      </c>
      <c r="H317" s="10" t="n">
        <f aca="false">F317*G317</f>
        <v>962</v>
      </c>
      <c r="I317" s="6" t="s">
        <v>5125</v>
      </c>
    </row>
    <row r="318" customFormat="false" ht="15" hidden="false" customHeight="false" outlineLevel="0" collapsed="false">
      <c r="A318" s="6" t="s">
        <v>5519</v>
      </c>
      <c r="B318" s="6" t="s">
        <v>543</v>
      </c>
      <c r="C318" s="26" t="n">
        <v>46034</v>
      </c>
      <c r="D318" s="6" t="s">
        <v>5163</v>
      </c>
      <c r="E318" s="6" t="s">
        <v>23</v>
      </c>
      <c r="F318" s="6" t="n">
        <v>3</v>
      </c>
      <c r="G318" s="10" t="n">
        <v>744</v>
      </c>
      <c r="H318" s="10" t="n">
        <f aca="false">F318*G318</f>
        <v>2232</v>
      </c>
      <c r="I318" s="6" t="s">
        <v>5122</v>
      </c>
    </row>
    <row r="319" customFormat="false" ht="15" hidden="false" customHeight="false" outlineLevel="0" collapsed="false">
      <c r="A319" s="6" t="s">
        <v>5520</v>
      </c>
      <c r="B319" s="6" t="s">
        <v>3423</v>
      </c>
      <c r="C319" s="26" t="n">
        <v>46034</v>
      </c>
      <c r="D319" s="6" t="s">
        <v>5482</v>
      </c>
      <c r="E319" s="6" t="s">
        <v>23</v>
      </c>
      <c r="F319" s="6" t="n">
        <v>2</v>
      </c>
      <c r="G319" s="10" t="n">
        <v>269</v>
      </c>
      <c r="H319" s="10" t="n">
        <f aca="false">F319*G319</f>
        <v>538</v>
      </c>
      <c r="I319" s="6" t="s">
        <v>5133</v>
      </c>
    </row>
    <row r="320" customFormat="false" ht="15" hidden="false" customHeight="false" outlineLevel="0" collapsed="false">
      <c r="A320" s="6" t="s">
        <v>5521</v>
      </c>
      <c r="B320" s="6" t="s">
        <v>4615</v>
      </c>
      <c r="C320" s="26" t="n">
        <v>46034</v>
      </c>
      <c r="D320" s="6" t="s">
        <v>5522</v>
      </c>
      <c r="E320" s="6" t="s">
        <v>21</v>
      </c>
      <c r="F320" s="6" t="n">
        <v>2</v>
      </c>
      <c r="G320" s="10" t="n">
        <v>12138</v>
      </c>
      <c r="H320" s="10" t="n">
        <f aca="false">F320*G320</f>
        <v>24276</v>
      </c>
      <c r="I320" s="6" t="s">
        <v>5148</v>
      </c>
    </row>
    <row r="321" customFormat="false" ht="15" hidden="false" customHeight="false" outlineLevel="0" collapsed="false">
      <c r="A321" s="6" t="s">
        <v>5523</v>
      </c>
      <c r="B321" s="6" t="s">
        <v>4937</v>
      </c>
      <c r="C321" s="26" t="n">
        <v>46034</v>
      </c>
      <c r="D321" s="6" t="s">
        <v>5261</v>
      </c>
      <c r="E321" s="6" t="s">
        <v>23</v>
      </c>
      <c r="F321" s="6" t="n">
        <v>2</v>
      </c>
      <c r="G321" s="10" t="n">
        <v>175</v>
      </c>
      <c r="H321" s="10" t="n">
        <f aca="false">F321*G321</f>
        <v>350</v>
      </c>
      <c r="I321" s="6" t="s">
        <v>5125</v>
      </c>
    </row>
    <row r="322" customFormat="false" ht="15" hidden="false" customHeight="false" outlineLevel="0" collapsed="false">
      <c r="A322" s="6" t="s">
        <v>5524</v>
      </c>
      <c r="B322" s="6" t="s">
        <v>1071</v>
      </c>
      <c r="C322" s="26" t="n">
        <v>46034</v>
      </c>
      <c r="D322" s="6" t="s">
        <v>5188</v>
      </c>
      <c r="E322" s="6" t="s">
        <v>24</v>
      </c>
      <c r="F322" s="6" t="n">
        <v>2</v>
      </c>
      <c r="G322" s="10" t="n">
        <v>967</v>
      </c>
      <c r="H322" s="10" t="n">
        <f aca="false">F322*G322</f>
        <v>1934</v>
      </c>
      <c r="I322" s="6" t="s">
        <v>5173</v>
      </c>
    </row>
    <row r="323" customFormat="false" ht="15" hidden="false" customHeight="false" outlineLevel="0" collapsed="false">
      <c r="A323" s="6" t="s">
        <v>5525</v>
      </c>
      <c r="B323" s="6" t="s">
        <v>3965</v>
      </c>
      <c r="C323" s="26" t="n">
        <v>46034</v>
      </c>
      <c r="D323" s="6" t="s">
        <v>5167</v>
      </c>
      <c r="E323" s="6" t="s">
        <v>22</v>
      </c>
      <c r="F323" s="6" t="n">
        <v>1</v>
      </c>
      <c r="G323" s="10" t="n">
        <v>703</v>
      </c>
      <c r="H323" s="10" t="n">
        <f aca="false">F323*G323</f>
        <v>703</v>
      </c>
      <c r="I323" s="6" t="s">
        <v>5148</v>
      </c>
    </row>
    <row r="324" customFormat="false" ht="15" hidden="false" customHeight="false" outlineLevel="0" collapsed="false">
      <c r="A324" s="6" t="s">
        <v>5526</v>
      </c>
      <c r="B324" s="6" t="s">
        <v>366</v>
      </c>
      <c r="C324" s="26" t="n">
        <v>46034</v>
      </c>
      <c r="D324" s="6" t="s">
        <v>5339</v>
      </c>
      <c r="E324" s="6" t="s">
        <v>24</v>
      </c>
      <c r="F324" s="6" t="n">
        <v>1</v>
      </c>
      <c r="G324" s="10" t="n">
        <v>508</v>
      </c>
      <c r="H324" s="10" t="n">
        <f aca="false">F324*G324</f>
        <v>508</v>
      </c>
      <c r="I324" s="6" t="s">
        <v>5148</v>
      </c>
    </row>
    <row r="325" customFormat="false" ht="15" hidden="false" customHeight="false" outlineLevel="0" collapsed="false">
      <c r="A325" s="6" t="s">
        <v>5527</v>
      </c>
      <c r="B325" s="6" t="s">
        <v>1123</v>
      </c>
      <c r="C325" s="26" t="n">
        <v>46034</v>
      </c>
      <c r="D325" s="6" t="s">
        <v>5185</v>
      </c>
      <c r="E325" s="6" t="s">
        <v>24</v>
      </c>
      <c r="F325" s="6" t="n">
        <v>2</v>
      </c>
      <c r="G325" s="10" t="n">
        <v>2033</v>
      </c>
      <c r="H325" s="10" t="n">
        <f aca="false">F325*G325</f>
        <v>4066</v>
      </c>
      <c r="I325" s="6" t="s">
        <v>5148</v>
      </c>
    </row>
    <row r="326" customFormat="false" ht="15" hidden="false" customHeight="false" outlineLevel="0" collapsed="false">
      <c r="A326" s="6" t="s">
        <v>5528</v>
      </c>
      <c r="B326" s="6" t="s">
        <v>3761</v>
      </c>
      <c r="C326" s="26" t="n">
        <v>46034</v>
      </c>
      <c r="D326" s="6" t="s">
        <v>5188</v>
      </c>
      <c r="E326" s="6" t="s">
        <v>24</v>
      </c>
      <c r="F326" s="6" t="n">
        <v>1</v>
      </c>
      <c r="G326" s="10" t="n">
        <v>916</v>
      </c>
      <c r="H326" s="10" t="n">
        <f aca="false">F326*G326</f>
        <v>916</v>
      </c>
      <c r="I326" s="6" t="s">
        <v>5122</v>
      </c>
    </row>
    <row r="327" customFormat="false" ht="15" hidden="false" customHeight="false" outlineLevel="0" collapsed="false">
      <c r="A327" s="6" t="s">
        <v>5529</v>
      </c>
      <c r="B327" s="6" t="s">
        <v>315</v>
      </c>
      <c r="C327" s="26" t="n">
        <v>46034</v>
      </c>
      <c r="D327" s="6" t="s">
        <v>5482</v>
      </c>
      <c r="E327" s="6" t="s">
        <v>23</v>
      </c>
      <c r="F327" s="6" t="n">
        <v>4</v>
      </c>
      <c r="G327" s="10" t="n">
        <v>256</v>
      </c>
      <c r="H327" s="10" t="n">
        <f aca="false">F327*G327</f>
        <v>1024</v>
      </c>
      <c r="I327" s="6" t="s">
        <v>5125</v>
      </c>
    </row>
    <row r="328" customFormat="false" ht="15" hidden="false" customHeight="false" outlineLevel="0" collapsed="false">
      <c r="A328" s="6" t="s">
        <v>5530</v>
      </c>
      <c r="B328" s="6" t="s">
        <v>3207</v>
      </c>
      <c r="C328" s="26" t="n">
        <v>46034</v>
      </c>
      <c r="D328" s="6" t="s">
        <v>5281</v>
      </c>
      <c r="E328" s="6" t="s">
        <v>24</v>
      </c>
      <c r="F328" s="6" t="n">
        <v>1</v>
      </c>
      <c r="G328" s="10" t="n">
        <v>773</v>
      </c>
      <c r="H328" s="10" t="n">
        <f aca="false">F328*G328</f>
        <v>773</v>
      </c>
      <c r="I328" s="6" t="s">
        <v>5122</v>
      </c>
    </row>
    <row r="329" customFormat="false" ht="15" hidden="false" customHeight="false" outlineLevel="0" collapsed="false">
      <c r="A329" s="6" t="s">
        <v>5531</v>
      </c>
      <c r="B329" s="6" t="s">
        <v>2047</v>
      </c>
      <c r="C329" s="26" t="n">
        <v>46034</v>
      </c>
      <c r="D329" s="6" t="s">
        <v>5326</v>
      </c>
      <c r="E329" s="6" t="s">
        <v>22</v>
      </c>
      <c r="F329" s="6" t="n">
        <v>1</v>
      </c>
      <c r="G329" s="10" t="n">
        <v>1466</v>
      </c>
      <c r="H329" s="10" t="n">
        <f aca="false">F329*G329</f>
        <v>1466</v>
      </c>
      <c r="I329" s="6" t="s">
        <v>5125</v>
      </c>
    </row>
    <row r="330" customFormat="false" ht="15" hidden="false" customHeight="false" outlineLevel="0" collapsed="false">
      <c r="A330" s="6" t="s">
        <v>5532</v>
      </c>
      <c r="B330" s="6" t="s">
        <v>4679</v>
      </c>
      <c r="C330" s="26" t="n">
        <v>46034</v>
      </c>
      <c r="D330" s="6" t="s">
        <v>5226</v>
      </c>
      <c r="E330" s="6" t="s">
        <v>24</v>
      </c>
      <c r="F330" s="6" t="n">
        <v>1</v>
      </c>
      <c r="G330" s="10" t="n">
        <v>457</v>
      </c>
      <c r="H330" s="10" t="n">
        <f aca="false">F330*G330</f>
        <v>457</v>
      </c>
      <c r="I330" s="6" t="s">
        <v>5122</v>
      </c>
    </row>
    <row r="331" customFormat="false" ht="15" hidden="false" customHeight="false" outlineLevel="0" collapsed="false">
      <c r="A331" s="6" t="s">
        <v>5533</v>
      </c>
      <c r="B331" s="6" t="s">
        <v>4905</v>
      </c>
      <c r="C331" s="26" t="n">
        <v>46035</v>
      </c>
      <c r="D331" s="6" t="s">
        <v>5171</v>
      </c>
      <c r="E331" s="6" t="s">
        <v>23</v>
      </c>
      <c r="F331" s="6" t="n">
        <v>1</v>
      </c>
      <c r="G331" s="10" t="n">
        <v>734</v>
      </c>
      <c r="H331" s="10" t="n">
        <f aca="false">F331*G331</f>
        <v>734</v>
      </c>
      <c r="I331" s="6" t="s">
        <v>5122</v>
      </c>
    </row>
    <row r="332" customFormat="false" ht="15" hidden="false" customHeight="false" outlineLevel="0" collapsed="false">
      <c r="A332" s="6" t="s">
        <v>5534</v>
      </c>
      <c r="B332" s="6" t="s">
        <v>4477</v>
      </c>
      <c r="C332" s="26" t="n">
        <v>46035</v>
      </c>
      <c r="D332" s="6" t="s">
        <v>5242</v>
      </c>
      <c r="E332" s="6" t="s">
        <v>23</v>
      </c>
      <c r="F332" s="6" t="n">
        <v>5</v>
      </c>
      <c r="G332" s="10" t="n">
        <v>354</v>
      </c>
      <c r="H332" s="10" t="n">
        <f aca="false">F332*G332</f>
        <v>1770</v>
      </c>
      <c r="I332" s="6" t="s">
        <v>5122</v>
      </c>
    </row>
    <row r="333" customFormat="false" ht="15" hidden="false" customHeight="false" outlineLevel="0" collapsed="false">
      <c r="A333" s="6" t="s">
        <v>5535</v>
      </c>
      <c r="B333" s="6" t="s">
        <v>1563</v>
      </c>
      <c r="C333" s="26" t="n">
        <v>46035</v>
      </c>
      <c r="D333" s="6" t="s">
        <v>5214</v>
      </c>
      <c r="E333" s="6" t="s">
        <v>20</v>
      </c>
      <c r="F333" s="6" t="n">
        <v>1</v>
      </c>
      <c r="G333" s="10" t="n">
        <v>1835</v>
      </c>
      <c r="H333" s="10" t="n">
        <f aca="false">F333*G333</f>
        <v>1835</v>
      </c>
      <c r="I333" s="6" t="s">
        <v>5122</v>
      </c>
    </row>
    <row r="334" customFormat="false" ht="15" hidden="false" customHeight="false" outlineLevel="0" collapsed="false">
      <c r="A334" s="6" t="s">
        <v>5536</v>
      </c>
      <c r="B334" s="6" t="s">
        <v>4841</v>
      </c>
      <c r="C334" s="26" t="n">
        <v>46035</v>
      </c>
      <c r="D334" s="6" t="s">
        <v>5488</v>
      </c>
      <c r="E334" s="6" t="s">
        <v>24</v>
      </c>
      <c r="F334" s="6" t="n">
        <v>1</v>
      </c>
      <c r="G334" s="10" t="n">
        <v>823</v>
      </c>
      <c r="H334" s="10" t="n">
        <f aca="false">F334*G334</f>
        <v>823</v>
      </c>
      <c r="I334" s="6" t="s">
        <v>5122</v>
      </c>
    </row>
    <row r="335" customFormat="false" ht="15" hidden="false" customHeight="false" outlineLevel="0" collapsed="false">
      <c r="A335" s="6" t="s">
        <v>5537</v>
      </c>
      <c r="B335" s="6" t="s">
        <v>4849</v>
      </c>
      <c r="C335" s="26" t="n">
        <v>46035</v>
      </c>
      <c r="D335" s="6" t="s">
        <v>5538</v>
      </c>
      <c r="E335" s="6" t="s">
        <v>21</v>
      </c>
      <c r="F335" s="6" t="n">
        <v>1</v>
      </c>
      <c r="G335" s="10" t="n">
        <v>5405</v>
      </c>
      <c r="H335" s="10" t="n">
        <f aca="false">F335*G335</f>
        <v>5405</v>
      </c>
      <c r="I335" s="6" t="s">
        <v>5122</v>
      </c>
    </row>
    <row r="336" customFormat="false" ht="15" hidden="false" customHeight="false" outlineLevel="0" collapsed="false">
      <c r="A336" s="6" t="s">
        <v>5539</v>
      </c>
      <c r="B336" s="6" t="s">
        <v>3597</v>
      </c>
      <c r="C336" s="26" t="n">
        <v>46035</v>
      </c>
      <c r="D336" s="6" t="s">
        <v>5156</v>
      </c>
      <c r="E336" s="6" t="s">
        <v>21</v>
      </c>
      <c r="F336" s="6" t="n">
        <v>1</v>
      </c>
      <c r="G336" s="10" t="n">
        <v>2161</v>
      </c>
      <c r="H336" s="10" t="n">
        <f aca="false">F336*G336</f>
        <v>2161</v>
      </c>
      <c r="I336" s="6" t="s">
        <v>5122</v>
      </c>
    </row>
    <row r="337" customFormat="false" ht="15" hidden="false" customHeight="false" outlineLevel="0" collapsed="false">
      <c r="A337" s="6" t="s">
        <v>5540</v>
      </c>
      <c r="B337" s="6" t="s">
        <v>3235</v>
      </c>
      <c r="C337" s="26" t="n">
        <v>46035</v>
      </c>
      <c r="D337" s="6" t="s">
        <v>5171</v>
      </c>
      <c r="E337" s="6" t="s">
        <v>23</v>
      </c>
      <c r="F337" s="6" t="n">
        <v>5</v>
      </c>
      <c r="G337" s="10" t="n">
        <v>661</v>
      </c>
      <c r="H337" s="10" t="n">
        <f aca="false">F337*G337</f>
        <v>3305</v>
      </c>
      <c r="I337" s="6" t="s">
        <v>5122</v>
      </c>
    </row>
    <row r="338" customFormat="false" ht="15" hidden="false" customHeight="false" outlineLevel="0" collapsed="false">
      <c r="A338" s="6" t="s">
        <v>5541</v>
      </c>
      <c r="B338" s="6" t="s">
        <v>4745</v>
      </c>
      <c r="C338" s="26" t="n">
        <v>46035</v>
      </c>
      <c r="D338" s="6" t="s">
        <v>5165</v>
      </c>
      <c r="E338" s="6" t="s">
        <v>22</v>
      </c>
      <c r="F338" s="6" t="n">
        <v>1</v>
      </c>
      <c r="G338" s="10" t="n">
        <v>928</v>
      </c>
      <c r="H338" s="10" t="n">
        <f aca="false">F338*G338</f>
        <v>928</v>
      </c>
      <c r="I338" s="6" t="s">
        <v>5122</v>
      </c>
    </row>
    <row r="339" customFormat="false" ht="15" hidden="false" customHeight="false" outlineLevel="0" collapsed="false">
      <c r="A339" s="6" t="s">
        <v>5542</v>
      </c>
      <c r="B339" s="6" t="s">
        <v>4589</v>
      </c>
      <c r="C339" s="26" t="n">
        <v>46035</v>
      </c>
      <c r="D339" s="6" t="s">
        <v>5167</v>
      </c>
      <c r="E339" s="6" t="s">
        <v>22</v>
      </c>
      <c r="F339" s="6" t="n">
        <v>3</v>
      </c>
      <c r="G339" s="10" t="n">
        <v>743</v>
      </c>
      <c r="H339" s="10" t="n">
        <f aca="false">F339*G339</f>
        <v>2229</v>
      </c>
      <c r="I339" s="6" t="s">
        <v>5148</v>
      </c>
    </row>
    <row r="340" customFormat="false" ht="15" hidden="false" customHeight="false" outlineLevel="0" collapsed="false">
      <c r="A340" s="6" t="s">
        <v>5543</v>
      </c>
      <c r="B340" s="6" t="s">
        <v>3079</v>
      </c>
      <c r="C340" s="26" t="n">
        <v>46035</v>
      </c>
      <c r="D340" s="6" t="s">
        <v>5121</v>
      </c>
      <c r="E340" s="6" t="s">
        <v>22</v>
      </c>
      <c r="F340" s="6" t="n">
        <v>1</v>
      </c>
      <c r="G340" s="10" t="n">
        <v>977</v>
      </c>
      <c r="H340" s="10" t="n">
        <f aca="false">F340*G340</f>
        <v>977</v>
      </c>
      <c r="I340" s="6" t="s">
        <v>5122</v>
      </c>
    </row>
    <row r="341" customFormat="false" ht="15" hidden="false" customHeight="false" outlineLevel="0" collapsed="false">
      <c r="A341" s="6" t="s">
        <v>5544</v>
      </c>
      <c r="B341" s="6" t="s">
        <v>4071</v>
      </c>
      <c r="C341" s="26" t="n">
        <v>46035</v>
      </c>
      <c r="D341" s="6" t="s">
        <v>5175</v>
      </c>
      <c r="E341" s="6" t="s">
        <v>24</v>
      </c>
      <c r="F341" s="6" t="n">
        <v>4</v>
      </c>
      <c r="G341" s="10" t="n">
        <v>580</v>
      </c>
      <c r="H341" s="10" t="n">
        <f aca="false">F341*G341</f>
        <v>2320</v>
      </c>
      <c r="I341" s="6" t="s">
        <v>5122</v>
      </c>
    </row>
    <row r="342" customFormat="false" ht="15" hidden="false" customHeight="false" outlineLevel="0" collapsed="false">
      <c r="A342" s="6" t="s">
        <v>5545</v>
      </c>
      <c r="B342" s="6" t="s">
        <v>791</v>
      </c>
      <c r="C342" s="26" t="n">
        <v>46035</v>
      </c>
      <c r="D342" s="6" t="s">
        <v>5141</v>
      </c>
      <c r="E342" s="6" t="s">
        <v>20</v>
      </c>
      <c r="F342" s="6" t="n">
        <v>1</v>
      </c>
      <c r="G342" s="10" t="n">
        <v>1743</v>
      </c>
      <c r="H342" s="10" t="n">
        <f aca="false">F342*G342</f>
        <v>1743</v>
      </c>
      <c r="I342" s="6" t="s">
        <v>5148</v>
      </c>
    </row>
    <row r="343" customFormat="false" ht="15" hidden="false" customHeight="false" outlineLevel="0" collapsed="false">
      <c r="A343" s="6" t="s">
        <v>5546</v>
      </c>
      <c r="B343" s="6" t="s">
        <v>2989</v>
      </c>
      <c r="C343" s="26" t="n">
        <v>46035</v>
      </c>
      <c r="D343" s="6" t="s">
        <v>5259</v>
      </c>
      <c r="E343" s="6" t="s">
        <v>22</v>
      </c>
      <c r="F343" s="6" t="n">
        <v>1</v>
      </c>
      <c r="G343" s="10" t="n">
        <v>1564</v>
      </c>
      <c r="H343" s="10" t="n">
        <f aca="false">F343*G343</f>
        <v>1564</v>
      </c>
      <c r="I343" s="6" t="s">
        <v>5133</v>
      </c>
    </row>
    <row r="344" customFormat="false" ht="15" hidden="false" customHeight="false" outlineLevel="0" collapsed="false">
      <c r="A344" s="6" t="s">
        <v>5547</v>
      </c>
      <c r="B344" s="6" t="s">
        <v>2115</v>
      </c>
      <c r="C344" s="26" t="n">
        <v>46035</v>
      </c>
      <c r="D344" s="6" t="s">
        <v>5423</v>
      </c>
      <c r="E344" s="6" t="s">
        <v>21</v>
      </c>
      <c r="F344" s="6" t="n">
        <v>1</v>
      </c>
      <c r="G344" s="10" t="n">
        <v>3243</v>
      </c>
      <c r="H344" s="10" t="n">
        <f aca="false">F344*G344</f>
        <v>3243</v>
      </c>
      <c r="I344" s="6" t="s">
        <v>5122</v>
      </c>
    </row>
    <row r="345" customFormat="false" ht="15" hidden="false" customHeight="false" outlineLevel="0" collapsed="false">
      <c r="A345" s="6" t="s">
        <v>5548</v>
      </c>
      <c r="B345" s="6" t="s">
        <v>2163</v>
      </c>
      <c r="C345" s="26" t="n">
        <v>46035</v>
      </c>
      <c r="D345" s="6" t="s">
        <v>5171</v>
      </c>
      <c r="E345" s="6" t="s">
        <v>23</v>
      </c>
      <c r="F345" s="6" t="n">
        <v>4</v>
      </c>
      <c r="G345" s="10" t="n">
        <v>697</v>
      </c>
      <c r="H345" s="10" t="n">
        <f aca="false">F345*G345</f>
        <v>2788</v>
      </c>
      <c r="I345" s="6" t="s">
        <v>5122</v>
      </c>
    </row>
    <row r="346" customFormat="false" ht="15" hidden="false" customHeight="false" outlineLevel="0" collapsed="false">
      <c r="A346" s="6" t="s">
        <v>5549</v>
      </c>
      <c r="B346" s="6" t="s">
        <v>4347</v>
      </c>
      <c r="C346" s="26" t="n">
        <v>46035</v>
      </c>
      <c r="D346" s="6" t="s">
        <v>5345</v>
      </c>
      <c r="E346" s="6" t="s">
        <v>23</v>
      </c>
      <c r="F346" s="6" t="n">
        <v>2</v>
      </c>
      <c r="G346" s="10" t="n">
        <v>436</v>
      </c>
      <c r="H346" s="10" t="n">
        <f aca="false">F346*G346</f>
        <v>872</v>
      </c>
      <c r="I346" s="6" t="s">
        <v>5133</v>
      </c>
    </row>
    <row r="347" customFormat="false" ht="15" hidden="false" customHeight="false" outlineLevel="0" collapsed="false">
      <c r="A347" s="6" t="s">
        <v>5550</v>
      </c>
      <c r="B347" s="6" t="s">
        <v>1679</v>
      </c>
      <c r="C347" s="26" t="n">
        <v>46035</v>
      </c>
      <c r="D347" s="6" t="s">
        <v>5129</v>
      </c>
      <c r="E347" s="6" t="s">
        <v>21</v>
      </c>
      <c r="F347" s="6" t="n">
        <v>1</v>
      </c>
      <c r="G347" s="10" t="n">
        <v>530</v>
      </c>
      <c r="H347" s="10" t="n">
        <f aca="false">F347*G347</f>
        <v>530</v>
      </c>
      <c r="I347" s="6" t="s">
        <v>5130</v>
      </c>
    </row>
    <row r="348" customFormat="false" ht="15" hidden="false" customHeight="false" outlineLevel="0" collapsed="false">
      <c r="A348" s="6" t="s">
        <v>5551</v>
      </c>
      <c r="B348" s="6" t="s">
        <v>1931</v>
      </c>
      <c r="C348" s="26" t="n">
        <v>46035</v>
      </c>
      <c r="D348" s="6" t="s">
        <v>5281</v>
      </c>
      <c r="E348" s="6" t="s">
        <v>24</v>
      </c>
      <c r="F348" s="6" t="n">
        <v>1</v>
      </c>
      <c r="G348" s="10" t="n">
        <v>815</v>
      </c>
      <c r="H348" s="10" t="n">
        <f aca="false">F348*G348</f>
        <v>815</v>
      </c>
      <c r="I348" s="6" t="s">
        <v>5148</v>
      </c>
    </row>
    <row r="349" customFormat="false" ht="15" hidden="false" customHeight="false" outlineLevel="0" collapsed="false">
      <c r="A349" s="6" t="s">
        <v>5552</v>
      </c>
      <c r="B349" s="6" t="s">
        <v>2325</v>
      </c>
      <c r="C349" s="26" t="n">
        <v>46035</v>
      </c>
      <c r="D349" s="6" t="s">
        <v>5357</v>
      </c>
      <c r="E349" s="6" t="s">
        <v>23</v>
      </c>
      <c r="F349" s="6" t="n">
        <v>1</v>
      </c>
      <c r="G349" s="10" t="n">
        <v>534</v>
      </c>
      <c r="H349" s="10" t="n">
        <f aca="false">F349*G349</f>
        <v>534</v>
      </c>
      <c r="I349" s="6" t="s">
        <v>5125</v>
      </c>
    </row>
    <row r="350" customFormat="false" ht="15" hidden="false" customHeight="false" outlineLevel="0" collapsed="false">
      <c r="A350" s="6" t="s">
        <v>5553</v>
      </c>
      <c r="B350" s="6" t="s">
        <v>3317</v>
      </c>
      <c r="C350" s="26" t="n">
        <v>46035</v>
      </c>
      <c r="D350" s="6" t="s">
        <v>5175</v>
      </c>
      <c r="E350" s="6" t="s">
        <v>24</v>
      </c>
      <c r="F350" s="6" t="n">
        <v>2</v>
      </c>
      <c r="G350" s="10" t="n">
        <v>610</v>
      </c>
      <c r="H350" s="10" t="n">
        <f aca="false">F350*G350</f>
        <v>1220</v>
      </c>
      <c r="I350" s="6" t="s">
        <v>5122</v>
      </c>
    </row>
    <row r="351" customFormat="false" ht="15" hidden="false" customHeight="false" outlineLevel="0" collapsed="false">
      <c r="A351" s="6" t="s">
        <v>5554</v>
      </c>
      <c r="B351" s="6" t="s">
        <v>725</v>
      </c>
      <c r="C351" s="26" t="n">
        <v>46035</v>
      </c>
      <c r="D351" s="6" t="s">
        <v>5318</v>
      </c>
      <c r="E351" s="6" t="s">
        <v>20</v>
      </c>
      <c r="F351" s="6" t="n">
        <v>1</v>
      </c>
      <c r="G351" s="10" t="n">
        <v>1529</v>
      </c>
      <c r="H351" s="10" t="n">
        <f aca="false">F351*G351</f>
        <v>1529</v>
      </c>
      <c r="I351" s="6" t="s">
        <v>5122</v>
      </c>
    </row>
    <row r="352" customFormat="false" ht="15" hidden="false" customHeight="false" outlineLevel="0" collapsed="false">
      <c r="A352" s="6" t="s">
        <v>5555</v>
      </c>
      <c r="B352" s="6" t="s">
        <v>3141</v>
      </c>
      <c r="C352" s="26" t="n">
        <v>46035</v>
      </c>
      <c r="D352" s="6" t="s">
        <v>5145</v>
      </c>
      <c r="E352" s="6" t="s">
        <v>21</v>
      </c>
      <c r="F352" s="6" t="n">
        <v>1</v>
      </c>
      <c r="G352" s="10" t="n">
        <v>1277</v>
      </c>
      <c r="H352" s="10" t="n">
        <f aca="false">F352*G352</f>
        <v>1277</v>
      </c>
      <c r="I352" s="6" t="s">
        <v>5133</v>
      </c>
    </row>
    <row r="353" customFormat="false" ht="15" hidden="false" customHeight="false" outlineLevel="0" collapsed="false">
      <c r="A353" s="6" t="s">
        <v>5556</v>
      </c>
      <c r="B353" s="6" t="s">
        <v>1843</v>
      </c>
      <c r="C353" s="26" t="n">
        <v>46035</v>
      </c>
      <c r="D353" s="6" t="s">
        <v>5216</v>
      </c>
      <c r="E353" s="6" t="s">
        <v>23</v>
      </c>
      <c r="F353" s="6" t="n">
        <v>2</v>
      </c>
      <c r="G353" s="10" t="n">
        <v>587</v>
      </c>
      <c r="H353" s="10" t="n">
        <f aca="false">F353*G353</f>
        <v>1174</v>
      </c>
      <c r="I353" s="6" t="s">
        <v>5122</v>
      </c>
    </row>
    <row r="354" customFormat="false" ht="15" hidden="false" customHeight="false" outlineLevel="0" collapsed="false">
      <c r="A354" s="6" t="s">
        <v>5557</v>
      </c>
      <c r="B354" s="6" t="s">
        <v>4255</v>
      </c>
      <c r="C354" s="26" t="n">
        <v>46035</v>
      </c>
      <c r="D354" s="6" t="s">
        <v>5121</v>
      </c>
      <c r="E354" s="6" t="s">
        <v>22</v>
      </c>
      <c r="F354" s="6" t="n">
        <v>1</v>
      </c>
      <c r="G354" s="10" t="n">
        <v>977</v>
      </c>
      <c r="H354" s="10" t="n">
        <f aca="false">F354*G354</f>
        <v>977</v>
      </c>
      <c r="I354" s="6" t="s">
        <v>5148</v>
      </c>
    </row>
    <row r="355" customFormat="false" ht="15" hidden="false" customHeight="false" outlineLevel="0" collapsed="false">
      <c r="A355" s="6" t="s">
        <v>5558</v>
      </c>
      <c r="B355" s="6" t="s">
        <v>3219</v>
      </c>
      <c r="C355" s="26" t="n">
        <v>46035</v>
      </c>
      <c r="D355" s="6" t="s">
        <v>5232</v>
      </c>
      <c r="E355" s="6" t="s">
        <v>23</v>
      </c>
      <c r="F355" s="6" t="n">
        <v>1</v>
      </c>
      <c r="G355" s="10" t="n">
        <v>195</v>
      </c>
      <c r="H355" s="10" t="n">
        <f aca="false">F355*G355</f>
        <v>195</v>
      </c>
      <c r="I355" s="6" t="s">
        <v>5122</v>
      </c>
    </row>
    <row r="356" customFormat="false" ht="15" hidden="false" customHeight="false" outlineLevel="0" collapsed="false">
      <c r="A356" s="6" t="s">
        <v>5559</v>
      </c>
      <c r="B356" s="6" t="s">
        <v>1501</v>
      </c>
      <c r="C356" s="26" t="n">
        <v>46035</v>
      </c>
      <c r="D356" s="6" t="s">
        <v>5182</v>
      </c>
      <c r="E356" s="6" t="s">
        <v>23</v>
      </c>
      <c r="F356" s="6" t="n">
        <v>3</v>
      </c>
      <c r="G356" s="10" t="n">
        <v>367</v>
      </c>
      <c r="H356" s="10" t="n">
        <f aca="false">F356*G356</f>
        <v>1101</v>
      </c>
      <c r="I356" s="6" t="s">
        <v>5148</v>
      </c>
    </row>
    <row r="357" customFormat="false" ht="15" hidden="false" customHeight="false" outlineLevel="0" collapsed="false">
      <c r="A357" s="6" t="s">
        <v>5560</v>
      </c>
      <c r="B357" s="6" t="s">
        <v>3169</v>
      </c>
      <c r="C357" s="26" t="n">
        <v>46035</v>
      </c>
      <c r="D357" s="6" t="s">
        <v>5561</v>
      </c>
      <c r="E357" s="6" t="s">
        <v>20</v>
      </c>
      <c r="F357" s="6" t="n">
        <v>1</v>
      </c>
      <c r="G357" s="10" t="n">
        <v>3364</v>
      </c>
      <c r="H357" s="10" t="n">
        <f aca="false">F357*G357</f>
        <v>3364</v>
      </c>
      <c r="I357" s="6" t="s">
        <v>5130</v>
      </c>
    </row>
    <row r="358" customFormat="false" ht="15" hidden="false" customHeight="false" outlineLevel="0" collapsed="false">
      <c r="A358" s="6" t="s">
        <v>5562</v>
      </c>
      <c r="B358" s="6" t="s">
        <v>4675</v>
      </c>
      <c r="C358" s="26" t="n">
        <v>46036</v>
      </c>
      <c r="D358" s="6" t="s">
        <v>5163</v>
      </c>
      <c r="E358" s="6" t="s">
        <v>23</v>
      </c>
      <c r="F358" s="6" t="n">
        <v>3</v>
      </c>
      <c r="G358" s="10" t="n">
        <v>783</v>
      </c>
      <c r="H358" s="10" t="n">
        <f aca="false">F358*G358</f>
        <v>2349</v>
      </c>
      <c r="I358" s="6" t="s">
        <v>5148</v>
      </c>
    </row>
    <row r="359" customFormat="false" ht="15" hidden="false" customHeight="false" outlineLevel="0" collapsed="false">
      <c r="A359" s="6" t="s">
        <v>5563</v>
      </c>
      <c r="B359" s="6" t="s">
        <v>1687</v>
      </c>
      <c r="C359" s="26" t="n">
        <v>46036</v>
      </c>
      <c r="D359" s="6" t="s">
        <v>5167</v>
      </c>
      <c r="E359" s="6" t="s">
        <v>22</v>
      </c>
      <c r="F359" s="6" t="n">
        <v>3</v>
      </c>
      <c r="G359" s="10" t="n">
        <v>743</v>
      </c>
      <c r="H359" s="10" t="n">
        <f aca="false">F359*G359</f>
        <v>2229</v>
      </c>
      <c r="I359" s="6" t="s">
        <v>5122</v>
      </c>
    </row>
    <row r="360" customFormat="false" ht="15" hidden="false" customHeight="false" outlineLevel="0" collapsed="false">
      <c r="A360" s="6" t="s">
        <v>5564</v>
      </c>
      <c r="B360" s="6" t="s">
        <v>1793</v>
      </c>
      <c r="C360" s="26" t="n">
        <v>46036</v>
      </c>
      <c r="D360" s="6" t="s">
        <v>5121</v>
      </c>
      <c r="E360" s="6" t="s">
        <v>22</v>
      </c>
      <c r="F360" s="6" t="n">
        <v>1</v>
      </c>
      <c r="G360" s="10" t="n">
        <v>879</v>
      </c>
      <c r="H360" s="10" t="n">
        <f aca="false">F360*G360</f>
        <v>879</v>
      </c>
      <c r="I360" s="6" t="s">
        <v>5133</v>
      </c>
    </row>
    <row r="361" customFormat="false" ht="15" hidden="false" customHeight="false" outlineLevel="0" collapsed="false">
      <c r="A361" s="6" t="s">
        <v>5565</v>
      </c>
      <c r="B361" s="6" t="s">
        <v>2935</v>
      </c>
      <c r="C361" s="26" t="n">
        <v>46036</v>
      </c>
      <c r="D361" s="6" t="s">
        <v>5200</v>
      </c>
      <c r="E361" s="6" t="s">
        <v>24</v>
      </c>
      <c r="F361" s="6" t="n">
        <v>2</v>
      </c>
      <c r="G361" s="10" t="n">
        <v>725</v>
      </c>
      <c r="H361" s="10" t="n">
        <f aca="false">F361*G361</f>
        <v>1450</v>
      </c>
      <c r="I361" s="6" t="s">
        <v>5173</v>
      </c>
    </row>
    <row r="362" customFormat="false" ht="15" hidden="false" customHeight="false" outlineLevel="0" collapsed="false">
      <c r="A362" s="6" t="s">
        <v>5566</v>
      </c>
      <c r="B362" s="6" t="s">
        <v>1589</v>
      </c>
      <c r="C362" s="26" t="n">
        <v>46036</v>
      </c>
      <c r="D362" s="6" t="s">
        <v>5298</v>
      </c>
      <c r="E362" s="6" t="s">
        <v>23</v>
      </c>
      <c r="F362" s="6" t="n">
        <v>1</v>
      </c>
      <c r="G362" s="10" t="n">
        <v>278</v>
      </c>
      <c r="H362" s="10" t="n">
        <f aca="false">F362*G362</f>
        <v>278</v>
      </c>
      <c r="I362" s="6" t="s">
        <v>5122</v>
      </c>
    </row>
    <row r="363" customFormat="false" ht="15" hidden="false" customHeight="false" outlineLevel="0" collapsed="false">
      <c r="A363" s="6" t="s">
        <v>5567</v>
      </c>
      <c r="B363" s="6" t="s">
        <v>619</v>
      </c>
      <c r="C363" s="26" t="n">
        <v>46036</v>
      </c>
      <c r="D363" s="6" t="s">
        <v>5127</v>
      </c>
      <c r="E363" s="6" t="s">
        <v>21</v>
      </c>
      <c r="F363" s="6" t="n">
        <v>1</v>
      </c>
      <c r="G363" s="10" t="n">
        <v>884</v>
      </c>
      <c r="H363" s="10" t="n">
        <f aca="false">F363*G363</f>
        <v>884</v>
      </c>
      <c r="I363" s="6" t="s">
        <v>5122</v>
      </c>
    </row>
    <row r="364" customFormat="false" ht="15" hidden="false" customHeight="false" outlineLevel="0" collapsed="false">
      <c r="A364" s="6" t="s">
        <v>5568</v>
      </c>
      <c r="B364" s="6" t="s">
        <v>2273</v>
      </c>
      <c r="C364" s="26" t="n">
        <v>46036</v>
      </c>
      <c r="D364" s="6" t="s">
        <v>5167</v>
      </c>
      <c r="E364" s="6" t="s">
        <v>22</v>
      </c>
      <c r="F364" s="6" t="n">
        <v>1</v>
      </c>
      <c r="G364" s="10" t="n">
        <v>742</v>
      </c>
      <c r="H364" s="10" t="n">
        <f aca="false">F364*G364</f>
        <v>742</v>
      </c>
      <c r="I364" s="6" t="s">
        <v>5130</v>
      </c>
    </row>
    <row r="365" customFormat="false" ht="15" hidden="false" customHeight="false" outlineLevel="0" collapsed="false">
      <c r="A365" s="6" t="s">
        <v>5569</v>
      </c>
      <c r="B365" s="6" t="s">
        <v>2417</v>
      </c>
      <c r="C365" s="26" t="n">
        <v>46036</v>
      </c>
      <c r="D365" s="6" t="s">
        <v>5129</v>
      </c>
      <c r="E365" s="6" t="s">
        <v>21</v>
      </c>
      <c r="F365" s="6" t="n">
        <v>1</v>
      </c>
      <c r="G365" s="10" t="n">
        <v>589</v>
      </c>
      <c r="H365" s="10" t="n">
        <f aca="false">F365*G365</f>
        <v>589</v>
      </c>
      <c r="I365" s="6" t="s">
        <v>5173</v>
      </c>
    </row>
    <row r="366" customFormat="false" ht="15" hidden="false" customHeight="false" outlineLevel="0" collapsed="false">
      <c r="A366" s="6" t="s">
        <v>5570</v>
      </c>
      <c r="B366" s="6" t="s">
        <v>4531</v>
      </c>
      <c r="C366" s="26" t="n">
        <v>46036</v>
      </c>
      <c r="D366" s="6" t="s">
        <v>5137</v>
      </c>
      <c r="E366" s="6" t="s">
        <v>21</v>
      </c>
      <c r="F366" s="6" t="n">
        <v>2</v>
      </c>
      <c r="G366" s="10" t="n">
        <v>1768</v>
      </c>
      <c r="H366" s="10" t="n">
        <f aca="false">F366*G366</f>
        <v>3536</v>
      </c>
      <c r="I366" s="6" t="s">
        <v>5125</v>
      </c>
    </row>
    <row r="367" customFormat="false" ht="15" hidden="false" customHeight="false" outlineLevel="0" collapsed="false">
      <c r="A367" s="6" t="s">
        <v>5571</v>
      </c>
      <c r="B367" s="6" t="s">
        <v>2155</v>
      </c>
      <c r="C367" s="26" t="n">
        <v>46036</v>
      </c>
      <c r="D367" s="6" t="s">
        <v>5316</v>
      </c>
      <c r="E367" s="6" t="s">
        <v>23</v>
      </c>
      <c r="F367" s="6" t="n">
        <v>4</v>
      </c>
      <c r="G367" s="10" t="n">
        <v>247</v>
      </c>
      <c r="H367" s="10" t="n">
        <f aca="false">F367*G367</f>
        <v>988</v>
      </c>
      <c r="I367" s="6" t="s">
        <v>5173</v>
      </c>
    </row>
    <row r="368" customFormat="false" ht="15" hidden="false" customHeight="false" outlineLevel="0" collapsed="false">
      <c r="A368" s="6" t="s">
        <v>5572</v>
      </c>
      <c r="B368" s="6" t="s">
        <v>4003</v>
      </c>
      <c r="C368" s="26" t="n">
        <v>46036</v>
      </c>
      <c r="D368" s="6" t="s">
        <v>5167</v>
      </c>
      <c r="E368" s="6" t="s">
        <v>22</v>
      </c>
      <c r="F368" s="6" t="n">
        <v>2</v>
      </c>
      <c r="G368" s="10" t="n">
        <v>782</v>
      </c>
      <c r="H368" s="10" t="n">
        <f aca="false">F368*G368</f>
        <v>1564</v>
      </c>
      <c r="I368" s="6" t="s">
        <v>5148</v>
      </c>
    </row>
    <row r="369" customFormat="false" ht="15" hidden="false" customHeight="false" outlineLevel="0" collapsed="false">
      <c r="A369" s="6" t="s">
        <v>5573</v>
      </c>
      <c r="B369" s="6" t="s">
        <v>3257</v>
      </c>
      <c r="C369" s="26" t="n">
        <v>46036</v>
      </c>
      <c r="D369" s="6" t="s">
        <v>5121</v>
      </c>
      <c r="E369" s="6" t="s">
        <v>22</v>
      </c>
      <c r="F369" s="6" t="n">
        <v>2</v>
      </c>
      <c r="G369" s="10" t="n">
        <v>977</v>
      </c>
      <c r="H369" s="10" t="n">
        <f aca="false">F369*G369</f>
        <v>1954</v>
      </c>
      <c r="I369" s="6" t="s">
        <v>5148</v>
      </c>
    </row>
    <row r="370" customFormat="false" ht="15" hidden="false" customHeight="false" outlineLevel="0" collapsed="false">
      <c r="A370" s="6" t="s">
        <v>5574</v>
      </c>
      <c r="B370" s="6" t="s">
        <v>2743</v>
      </c>
      <c r="C370" s="26" t="n">
        <v>46036</v>
      </c>
      <c r="D370" s="6" t="s">
        <v>5235</v>
      </c>
      <c r="E370" s="6" t="s">
        <v>21</v>
      </c>
      <c r="F370" s="6" t="n">
        <v>1</v>
      </c>
      <c r="G370" s="10" t="n">
        <v>1586</v>
      </c>
      <c r="H370" s="10" t="n">
        <f aca="false">F370*G370</f>
        <v>1586</v>
      </c>
      <c r="I370" s="6" t="s">
        <v>5122</v>
      </c>
    </row>
    <row r="371" customFormat="false" ht="15" hidden="false" customHeight="false" outlineLevel="0" collapsed="false">
      <c r="A371" s="6" t="s">
        <v>5575</v>
      </c>
      <c r="B371" s="6" t="s">
        <v>3013</v>
      </c>
      <c r="C371" s="26" t="n">
        <v>46036</v>
      </c>
      <c r="D371" s="6" t="s">
        <v>5165</v>
      </c>
      <c r="E371" s="6" t="s">
        <v>22</v>
      </c>
      <c r="F371" s="6" t="n">
        <v>1</v>
      </c>
      <c r="G371" s="10" t="n">
        <v>927</v>
      </c>
      <c r="H371" s="10" t="n">
        <f aca="false">F371*G371</f>
        <v>927</v>
      </c>
      <c r="I371" s="6" t="s">
        <v>5125</v>
      </c>
    </row>
    <row r="372" customFormat="false" ht="15" hidden="false" customHeight="false" outlineLevel="0" collapsed="false">
      <c r="A372" s="6" t="s">
        <v>5576</v>
      </c>
      <c r="B372" s="6" t="s">
        <v>1623</v>
      </c>
      <c r="C372" s="26" t="n">
        <v>46036</v>
      </c>
      <c r="D372" s="6" t="s">
        <v>5121</v>
      </c>
      <c r="E372" s="6" t="s">
        <v>22</v>
      </c>
      <c r="F372" s="6" t="n">
        <v>1</v>
      </c>
      <c r="G372" s="10" t="n">
        <v>880</v>
      </c>
      <c r="H372" s="10" t="n">
        <f aca="false">F372*G372</f>
        <v>880</v>
      </c>
      <c r="I372" s="6" t="s">
        <v>5133</v>
      </c>
    </row>
    <row r="373" customFormat="false" ht="15" hidden="false" customHeight="false" outlineLevel="0" collapsed="false">
      <c r="A373" s="6" t="s">
        <v>5577</v>
      </c>
      <c r="B373" s="6" t="s">
        <v>2427</v>
      </c>
      <c r="C373" s="26" t="n">
        <v>46036</v>
      </c>
      <c r="D373" s="6" t="s">
        <v>5220</v>
      </c>
      <c r="E373" s="6" t="s">
        <v>24</v>
      </c>
      <c r="F373" s="6" t="n">
        <v>1</v>
      </c>
      <c r="G373" s="10" t="n">
        <v>1120</v>
      </c>
      <c r="H373" s="10" t="n">
        <f aca="false">F373*G373</f>
        <v>1120</v>
      </c>
      <c r="I373" s="6" t="s">
        <v>5148</v>
      </c>
    </row>
    <row r="374" customFormat="false" ht="15" hidden="false" customHeight="false" outlineLevel="0" collapsed="false">
      <c r="A374" s="6" t="s">
        <v>5578</v>
      </c>
      <c r="B374" s="6" t="s">
        <v>246</v>
      </c>
      <c r="C374" s="26" t="n">
        <v>46036</v>
      </c>
      <c r="D374" s="6" t="s">
        <v>5127</v>
      </c>
      <c r="E374" s="6" t="s">
        <v>21</v>
      </c>
      <c r="F374" s="6" t="n">
        <v>1</v>
      </c>
      <c r="G374" s="10" t="n">
        <v>884</v>
      </c>
      <c r="H374" s="10" t="n">
        <f aca="false">F374*G374</f>
        <v>884</v>
      </c>
      <c r="I374" s="6" t="s">
        <v>5122</v>
      </c>
    </row>
    <row r="375" customFormat="false" ht="15" hidden="false" customHeight="false" outlineLevel="0" collapsed="false">
      <c r="A375" s="6" t="s">
        <v>5579</v>
      </c>
      <c r="B375" s="6" t="s">
        <v>1711</v>
      </c>
      <c r="C375" s="26" t="n">
        <v>46036</v>
      </c>
      <c r="D375" s="6" t="s">
        <v>5220</v>
      </c>
      <c r="E375" s="6" t="s">
        <v>24</v>
      </c>
      <c r="F375" s="6" t="n">
        <v>2</v>
      </c>
      <c r="G375" s="10" t="n">
        <v>1064</v>
      </c>
      <c r="H375" s="10" t="n">
        <f aca="false">F375*G375</f>
        <v>2128</v>
      </c>
      <c r="I375" s="6" t="s">
        <v>5122</v>
      </c>
    </row>
    <row r="376" customFormat="false" ht="15" hidden="false" customHeight="false" outlineLevel="0" collapsed="false">
      <c r="A376" s="6" t="s">
        <v>5580</v>
      </c>
      <c r="B376" s="6" t="s">
        <v>1345</v>
      </c>
      <c r="C376" s="26" t="n">
        <v>46036</v>
      </c>
      <c r="D376" s="6" t="s">
        <v>5259</v>
      </c>
      <c r="E376" s="6" t="s">
        <v>22</v>
      </c>
      <c r="F376" s="6" t="n">
        <v>2</v>
      </c>
      <c r="G376" s="10" t="n">
        <v>1564</v>
      </c>
      <c r="H376" s="10" t="n">
        <f aca="false">F376*G376</f>
        <v>3128</v>
      </c>
      <c r="I376" s="6" t="s">
        <v>5133</v>
      </c>
    </row>
    <row r="377" customFormat="false" ht="15" hidden="false" customHeight="false" outlineLevel="0" collapsed="false">
      <c r="A377" s="6" t="s">
        <v>5581</v>
      </c>
      <c r="B377" s="6" t="s">
        <v>2413</v>
      </c>
      <c r="C377" s="26" t="n">
        <v>46036</v>
      </c>
      <c r="D377" s="6" t="s">
        <v>5135</v>
      </c>
      <c r="E377" s="6" t="s">
        <v>23</v>
      </c>
      <c r="F377" s="6" t="n">
        <v>1</v>
      </c>
      <c r="G377" s="10" t="n">
        <v>397</v>
      </c>
      <c r="H377" s="10" t="n">
        <f aca="false">F377*G377</f>
        <v>397</v>
      </c>
      <c r="I377" s="6" t="s">
        <v>5130</v>
      </c>
    </row>
    <row r="378" customFormat="false" ht="15" hidden="false" customHeight="false" outlineLevel="0" collapsed="false">
      <c r="A378" s="6" t="s">
        <v>5582</v>
      </c>
      <c r="B378" s="6" t="s">
        <v>2827</v>
      </c>
      <c r="C378" s="26" t="n">
        <v>46036</v>
      </c>
      <c r="D378" s="6" t="s">
        <v>5357</v>
      </c>
      <c r="E378" s="6" t="s">
        <v>23</v>
      </c>
      <c r="F378" s="6" t="n">
        <v>3</v>
      </c>
      <c r="G378" s="10" t="n">
        <v>534</v>
      </c>
      <c r="H378" s="10" t="n">
        <f aca="false">F378*G378</f>
        <v>1602</v>
      </c>
      <c r="I378" s="6" t="s">
        <v>5122</v>
      </c>
    </row>
    <row r="379" customFormat="false" ht="15" hidden="false" customHeight="false" outlineLevel="0" collapsed="false">
      <c r="A379" s="6" t="s">
        <v>5583</v>
      </c>
      <c r="B379" s="6" t="s">
        <v>4367</v>
      </c>
      <c r="C379" s="26" t="n">
        <v>46036</v>
      </c>
      <c r="D379" s="6" t="s">
        <v>5139</v>
      </c>
      <c r="E379" s="6" t="s">
        <v>23</v>
      </c>
      <c r="F379" s="6" t="n">
        <v>1</v>
      </c>
      <c r="G379" s="10" t="n">
        <v>251</v>
      </c>
      <c r="H379" s="10" t="n">
        <f aca="false">F379*G379</f>
        <v>251</v>
      </c>
      <c r="I379" s="6" t="s">
        <v>5130</v>
      </c>
    </row>
    <row r="380" customFormat="false" ht="15" hidden="false" customHeight="false" outlineLevel="0" collapsed="false">
      <c r="A380" s="6" t="s">
        <v>5584</v>
      </c>
      <c r="B380" s="6" t="s">
        <v>1225</v>
      </c>
      <c r="C380" s="26" t="n">
        <v>46036</v>
      </c>
      <c r="D380" s="6" t="s">
        <v>5259</v>
      </c>
      <c r="E380" s="6" t="s">
        <v>22</v>
      </c>
      <c r="F380" s="6" t="n">
        <v>1</v>
      </c>
      <c r="G380" s="10" t="n">
        <v>1564</v>
      </c>
      <c r="H380" s="10" t="n">
        <f aca="false">F380*G380</f>
        <v>1564</v>
      </c>
      <c r="I380" s="6" t="s">
        <v>5122</v>
      </c>
    </row>
    <row r="381" customFormat="false" ht="15" hidden="false" customHeight="false" outlineLevel="0" collapsed="false">
      <c r="A381" s="6" t="s">
        <v>5585</v>
      </c>
      <c r="B381" s="6" t="s">
        <v>453</v>
      </c>
      <c r="C381" s="26" t="n">
        <v>46037</v>
      </c>
      <c r="D381" s="6" t="s">
        <v>5180</v>
      </c>
      <c r="E381" s="6" t="s">
        <v>24</v>
      </c>
      <c r="F381" s="6" t="n">
        <v>1</v>
      </c>
      <c r="G381" s="10" t="n">
        <v>1788</v>
      </c>
      <c r="H381" s="10" t="n">
        <f aca="false">F381*G381</f>
        <v>1788</v>
      </c>
      <c r="I381" s="6" t="s">
        <v>5122</v>
      </c>
    </row>
    <row r="382" customFormat="false" ht="15" hidden="false" customHeight="false" outlineLevel="0" collapsed="false">
      <c r="A382" s="6" t="s">
        <v>5586</v>
      </c>
      <c r="B382" s="6" t="s">
        <v>2077</v>
      </c>
      <c r="C382" s="26" t="n">
        <v>46037</v>
      </c>
      <c r="D382" s="6" t="s">
        <v>5163</v>
      </c>
      <c r="E382" s="6" t="s">
        <v>23</v>
      </c>
      <c r="F382" s="6" t="n">
        <v>2</v>
      </c>
      <c r="G382" s="10" t="n">
        <v>705</v>
      </c>
      <c r="H382" s="10" t="n">
        <f aca="false">F382*G382</f>
        <v>1410</v>
      </c>
      <c r="I382" s="6" t="s">
        <v>5122</v>
      </c>
    </row>
    <row r="383" customFormat="false" ht="15" hidden="false" customHeight="false" outlineLevel="0" collapsed="false">
      <c r="A383" s="6" t="s">
        <v>5587</v>
      </c>
      <c r="B383" s="6" t="s">
        <v>4213</v>
      </c>
      <c r="C383" s="26" t="n">
        <v>46037</v>
      </c>
      <c r="D383" s="6" t="s">
        <v>5588</v>
      </c>
      <c r="E383" s="6" t="s">
        <v>21</v>
      </c>
      <c r="F383" s="6" t="n">
        <v>2</v>
      </c>
      <c r="G383" s="10" t="n">
        <v>10615</v>
      </c>
      <c r="H383" s="10" t="n">
        <f aca="false">F383*G383</f>
        <v>21230</v>
      </c>
      <c r="I383" s="6" t="s">
        <v>5122</v>
      </c>
    </row>
    <row r="384" customFormat="false" ht="15" hidden="false" customHeight="false" outlineLevel="0" collapsed="false">
      <c r="A384" s="6" t="s">
        <v>5589</v>
      </c>
      <c r="B384" s="6" t="s">
        <v>2537</v>
      </c>
      <c r="C384" s="26" t="n">
        <v>46037</v>
      </c>
      <c r="D384" s="6" t="s">
        <v>5224</v>
      </c>
      <c r="E384" s="6" t="s">
        <v>23</v>
      </c>
      <c r="F384" s="6" t="n">
        <v>1</v>
      </c>
      <c r="G384" s="10" t="n">
        <v>195</v>
      </c>
      <c r="H384" s="10" t="n">
        <f aca="false">F384*G384</f>
        <v>195</v>
      </c>
      <c r="I384" s="6" t="s">
        <v>5173</v>
      </c>
    </row>
    <row r="385" customFormat="false" ht="15" hidden="false" customHeight="false" outlineLevel="0" collapsed="false">
      <c r="A385" s="6" t="s">
        <v>5590</v>
      </c>
      <c r="B385" s="6" t="s">
        <v>4217</v>
      </c>
      <c r="C385" s="26" t="n">
        <v>46037</v>
      </c>
      <c r="D385" s="6" t="s">
        <v>5165</v>
      </c>
      <c r="E385" s="6" t="s">
        <v>22</v>
      </c>
      <c r="F385" s="6" t="n">
        <v>2</v>
      </c>
      <c r="G385" s="10" t="n">
        <v>880</v>
      </c>
      <c r="H385" s="10" t="n">
        <f aca="false">F385*G385</f>
        <v>1760</v>
      </c>
      <c r="I385" s="6" t="s">
        <v>5130</v>
      </c>
    </row>
    <row r="386" customFormat="false" ht="15" hidden="false" customHeight="false" outlineLevel="0" collapsed="false">
      <c r="A386" s="6" t="s">
        <v>5591</v>
      </c>
      <c r="B386" s="6" t="s">
        <v>3627</v>
      </c>
      <c r="C386" s="26" t="n">
        <v>46037</v>
      </c>
      <c r="D386" s="6" t="s">
        <v>5165</v>
      </c>
      <c r="E386" s="6" t="s">
        <v>22</v>
      </c>
      <c r="F386" s="6" t="n">
        <v>2</v>
      </c>
      <c r="G386" s="10" t="n">
        <v>977</v>
      </c>
      <c r="H386" s="10" t="n">
        <f aca="false">F386*G386</f>
        <v>1954</v>
      </c>
      <c r="I386" s="6" t="s">
        <v>5122</v>
      </c>
    </row>
    <row r="387" customFormat="false" ht="15" hidden="false" customHeight="false" outlineLevel="0" collapsed="false">
      <c r="A387" s="6" t="s">
        <v>5592</v>
      </c>
      <c r="B387" s="6" t="s">
        <v>4783</v>
      </c>
      <c r="C387" s="26" t="n">
        <v>46037</v>
      </c>
      <c r="D387" s="6" t="s">
        <v>5135</v>
      </c>
      <c r="E387" s="6" t="s">
        <v>23</v>
      </c>
      <c r="F387" s="6" t="n">
        <v>3</v>
      </c>
      <c r="G387" s="10" t="n">
        <v>441</v>
      </c>
      <c r="H387" s="10" t="n">
        <f aca="false">F387*G387</f>
        <v>1323</v>
      </c>
      <c r="I387" s="6" t="s">
        <v>5173</v>
      </c>
    </row>
    <row r="388" customFormat="false" ht="15" hidden="false" customHeight="false" outlineLevel="0" collapsed="false">
      <c r="A388" s="6" t="s">
        <v>5593</v>
      </c>
      <c r="B388" s="6" t="s">
        <v>3207</v>
      </c>
      <c r="C388" s="26" t="n">
        <v>46037</v>
      </c>
      <c r="D388" s="6" t="s">
        <v>5273</v>
      </c>
      <c r="E388" s="6" t="s">
        <v>23</v>
      </c>
      <c r="F388" s="6" t="n">
        <v>3</v>
      </c>
      <c r="G388" s="10" t="n">
        <v>240</v>
      </c>
      <c r="H388" s="10" t="n">
        <f aca="false">F388*G388</f>
        <v>720</v>
      </c>
      <c r="I388" s="6" t="s">
        <v>5122</v>
      </c>
    </row>
    <row r="389" customFormat="false" ht="15" hidden="false" customHeight="false" outlineLevel="0" collapsed="false">
      <c r="A389" s="6" t="s">
        <v>5594</v>
      </c>
      <c r="B389" s="6" t="s">
        <v>4679</v>
      </c>
      <c r="C389" s="26" t="n">
        <v>46037</v>
      </c>
      <c r="D389" s="6" t="s">
        <v>5180</v>
      </c>
      <c r="E389" s="6" t="s">
        <v>24</v>
      </c>
      <c r="F389" s="6" t="n">
        <v>2</v>
      </c>
      <c r="G389" s="10" t="n">
        <v>1987</v>
      </c>
      <c r="H389" s="10" t="n">
        <f aca="false">F389*G389</f>
        <v>3974</v>
      </c>
      <c r="I389" s="6" t="s">
        <v>5125</v>
      </c>
    </row>
    <row r="390" customFormat="false" ht="15" hidden="false" customHeight="false" outlineLevel="0" collapsed="false">
      <c r="A390" s="6" t="s">
        <v>5595</v>
      </c>
      <c r="B390" s="6" t="s">
        <v>3755</v>
      </c>
      <c r="C390" s="26" t="n">
        <v>46037</v>
      </c>
      <c r="D390" s="6" t="s">
        <v>5165</v>
      </c>
      <c r="E390" s="6" t="s">
        <v>22</v>
      </c>
      <c r="F390" s="6" t="n">
        <v>3</v>
      </c>
      <c r="G390" s="10" t="n">
        <v>928</v>
      </c>
      <c r="H390" s="10" t="n">
        <f aca="false">F390*G390</f>
        <v>2784</v>
      </c>
      <c r="I390" s="6" t="s">
        <v>5122</v>
      </c>
    </row>
    <row r="391" customFormat="false" ht="15" hidden="false" customHeight="false" outlineLevel="0" collapsed="false">
      <c r="A391" s="6" t="s">
        <v>5596</v>
      </c>
      <c r="B391" s="6" t="s">
        <v>1667</v>
      </c>
      <c r="C391" s="26" t="n">
        <v>46037</v>
      </c>
      <c r="D391" s="6" t="s">
        <v>5163</v>
      </c>
      <c r="E391" s="6" t="s">
        <v>23</v>
      </c>
      <c r="F391" s="6" t="n">
        <v>2</v>
      </c>
      <c r="G391" s="10" t="n">
        <v>705</v>
      </c>
      <c r="H391" s="10" t="n">
        <f aca="false">F391*G391</f>
        <v>1410</v>
      </c>
      <c r="I391" s="6" t="s">
        <v>5125</v>
      </c>
    </row>
    <row r="392" customFormat="false" ht="15" hidden="false" customHeight="false" outlineLevel="0" collapsed="false">
      <c r="A392" s="6" t="s">
        <v>5597</v>
      </c>
      <c r="B392" s="6" t="s">
        <v>1803</v>
      </c>
      <c r="C392" s="26" t="n">
        <v>46037</v>
      </c>
      <c r="D392" s="6" t="s">
        <v>5141</v>
      </c>
      <c r="E392" s="6" t="s">
        <v>20</v>
      </c>
      <c r="F392" s="6" t="n">
        <v>1</v>
      </c>
      <c r="G392" s="10" t="n">
        <v>1835</v>
      </c>
      <c r="H392" s="10" t="n">
        <f aca="false">F392*G392</f>
        <v>1835</v>
      </c>
      <c r="I392" s="6" t="s">
        <v>5122</v>
      </c>
    </row>
    <row r="393" customFormat="false" ht="15" hidden="false" customHeight="false" outlineLevel="0" collapsed="false">
      <c r="A393" s="6" t="s">
        <v>5598</v>
      </c>
      <c r="B393" s="6" t="s">
        <v>2861</v>
      </c>
      <c r="C393" s="26" t="n">
        <v>46037</v>
      </c>
      <c r="D393" s="6" t="s">
        <v>5165</v>
      </c>
      <c r="E393" s="6" t="s">
        <v>22</v>
      </c>
      <c r="F393" s="6" t="n">
        <v>1</v>
      </c>
      <c r="G393" s="10" t="n">
        <v>928</v>
      </c>
      <c r="H393" s="10" t="n">
        <f aca="false">F393*G393</f>
        <v>928</v>
      </c>
      <c r="I393" s="6" t="s">
        <v>5130</v>
      </c>
    </row>
    <row r="394" customFormat="false" ht="15" hidden="false" customHeight="false" outlineLevel="0" collapsed="false">
      <c r="A394" s="6" t="s">
        <v>5599</v>
      </c>
      <c r="B394" s="6" t="s">
        <v>1057</v>
      </c>
      <c r="C394" s="26" t="n">
        <v>46037</v>
      </c>
      <c r="D394" s="6" t="s">
        <v>5137</v>
      </c>
      <c r="E394" s="6" t="s">
        <v>21</v>
      </c>
      <c r="F394" s="6" t="n">
        <v>1</v>
      </c>
      <c r="G394" s="10" t="n">
        <v>1768</v>
      </c>
      <c r="H394" s="10" t="n">
        <f aca="false">F394*G394</f>
        <v>1768</v>
      </c>
      <c r="I394" s="6" t="s">
        <v>5122</v>
      </c>
    </row>
    <row r="395" customFormat="false" ht="15" hidden="false" customHeight="false" outlineLevel="0" collapsed="false">
      <c r="A395" s="6" t="s">
        <v>5600</v>
      </c>
      <c r="B395" s="6" t="s">
        <v>3257</v>
      </c>
      <c r="C395" s="26" t="n">
        <v>46037</v>
      </c>
      <c r="D395" s="6" t="s">
        <v>5167</v>
      </c>
      <c r="E395" s="6" t="s">
        <v>22</v>
      </c>
      <c r="F395" s="6" t="n">
        <v>1</v>
      </c>
      <c r="G395" s="10" t="n">
        <v>703</v>
      </c>
      <c r="H395" s="10" t="n">
        <f aca="false">F395*G395</f>
        <v>703</v>
      </c>
      <c r="I395" s="6" t="s">
        <v>5125</v>
      </c>
    </row>
    <row r="396" customFormat="false" ht="15" hidden="false" customHeight="false" outlineLevel="0" collapsed="false">
      <c r="A396" s="6" t="s">
        <v>5601</v>
      </c>
      <c r="B396" s="6" t="s">
        <v>3035</v>
      </c>
      <c r="C396" s="26" t="n">
        <v>46037</v>
      </c>
      <c r="D396" s="6" t="s">
        <v>5171</v>
      </c>
      <c r="E396" s="6" t="s">
        <v>23</v>
      </c>
      <c r="F396" s="6" t="n">
        <v>5</v>
      </c>
      <c r="G396" s="10" t="n">
        <v>734</v>
      </c>
      <c r="H396" s="10" t="n">
        <f aca="false">F396*G396</f>
        <v>3670</v>
      </c>
      <c r="I396" s="6" t="s">
        <v>5122</v>
      </c>
    </row>
    <row r="397" customFormat="false" ht="15" hidden="false" customHeight="false" outlineLevel="0" collapsed="false">
      <c r="A397" s="6" t="s">
        <v>5602</v>
      </c>
      <c r="B397" s="6" t="s">
        <v>3579</v>
      </c>
      <c r="C397" s="26" t="n">
        <v>46037</v>
      </c>
      <c r="D397" s="6" t="s">
        <v>5156</v>
      </c>
      <c r="E397" s="6" t="s">
        <v>21</v>
      </c>
      <c r="F397" s="6" t="n">
        <v>1</v>
      </c>
      <c r="G397" s="10" t="n">
        <v>2161</v>
      </c>
      <c r="H397" s="10" t="n">
        <f aca="false">F397*G397</f>
        <v>2161</v>
      </c>
      <c r="I397" s="6" t="s">
        <v>5173</v>
      </c>
    </row>
    <row r="398" customFormat="false" ht="15" hidden="false" customHeight="false" outlineLevel="0" collapsed="false">
      <c r="A398" s="6" t="s">
        <v>5603</v>
      </c>
      <c r="B398" s="6" t="s">
        <v>4405</v>
      </c>
      <c r="C398" s="26" t="n">
        <v>46037</v>
      </c>
      <c r="D398" s="6" t="s">
        <v>5423</v>
      </c>
      <c r="E398" s="6" t="s">
        <v>21</v>
      </c>
      <c r="F398" s="6" t="n">
        <v>2</v>
      </c>
      <c r="G398" s="10" t="n">
        <v>3081</v>
      </c>
      <c r="H398" s="10" t="n">
        <f aca="false">F398*G398</f>
        <v>6162</v>
      </c>
      <c r="I398" s="6" t="s">
        <v>5122</v>
      </c>
    </row>
    <row r="399" customFormat="false" ht="15" hidden="false" customHeight="false" outlineLevel="0" collapsed="false">
      <c r="A399" s="6" t="s">
        <v>5604</v>
      </c>
      <c r="B399" s="6" t="s">
        <v>1911</v>
      </c>
      <c r="C399" s="26" t="n">
        <v>46037</v>
      </c>
      <c r="D399" s="6" t="s">
        <v>5398</v>
      </c>
      <c r="E399" s="6" t="s">
        <v>24</v>
      </c>
      <c r="F399" s="6" t="n">
        <v>2</v>
      </c>
      <c r="G399" s="10" t="n">
        <v>580</v>
      </c>
      <c r="H399" s="10" t="n">
        <f aca="false">F399*G399</f>
        <v>1160</v>
      </c>
      <c r="I399" s="6" t="s">
        <v>5148</v>
      </c>
    </row>
    <row r="400" customFormat="false" ht="15" hidden="false" customHeight="false" outlineLevel="0" collapsed="false">
      <c r="A400" s="6" t="s">
        <v>5605</v>
      </c>
      <c r="B400" s="6" t="s">
        <v>581</v>
      </c>
      <c r="C400" s="26" t="n">
        <v>46037</v>
      </c>
      <c r="D400" s="6" t="s">
        <v>5269</v>
      </c>
      <c r="E400" s="6" t="s">
        <v>22</v>
      </c>
      <c r="F400" s="6" t="n">
        <v>1</v>
      </c>
      <c r="G400" s="10" t="n">
        <v>1271</v>
      </c>
      <c r="H400" s="10" t="n">
        <f aca="false">F400*G400</f>
        <v>1271</v>
      </c>
      <c r="I400" s="6" t="s">
        <v>5148</v>
      </c>
    </row>
    <row r="401" customFormat="false" ht="15" hidden="false" customHeight="false" outlineLevel="0" collapsed="false">
      <c r="A401" s="6" t="s">
        <v>5606</v>
      </c>
      <c r="B401" s="6" t="s">
        <v>2759</v>
      </c>
      <c r="C401" s="26" t="n">
        <v>46037</v>
      </c>
      <c r="D401" s="6" t="s">
        <v>5143</v>
      </c>
      <c r="E401" s="6" t="s">
        <v>21</v>
      </c>
      <c r="F401" s="6" t="n">
        <v>1</v>
      </c>
      <c r="G401" s="10" t="n">
        <v>1179</v>
      </c>
      <c r="H401" s="10" t="n">
        <f aca="false">F401*G401</f>
        <v>1179</v>
      </c>
      <c r="I401" s="6" t="s">
        <v>5173</v>
      </c>
    </row>
    <row r="402" customFormat="false" ht="15" hidden="false" customHeight="false" outlineLevel="0" collapsed="false">
      <c r="A402" s="6" t="s">
        <v>5607</v>
      </c>
      <c r="B402" s="6" t="s">
        <v>723</v>
      </c>
      <c r="C402" s="26" t="n">
        <v>46037</v>
      </c>
      <c r="D402" s="6" t="s">
        <v>5345</v>
      </c>
      <c r="E402" s="6" t="s">
        <v>23</v>
      </c>
      <c r="F402" s="6" t="n">
        <v>2</v>
      </c>
      <c r="G402" s="10" t="n">
        <v>414</v>
      </c>
      <c r="H402" s="10" t="n">
        <f aca="false">F402*G402</f>
        <v>828</v>
      </c>
      <c r="I402" s="6" t="s">
        <v>5122</v>
      </c>
    </row>
    <row r="403" customFormat="false" ht="15" hidden="false" customHeight="false" outlineLevel="0" collapsed="false">
      <c r="A403" s="6" t="s">
        <v>5608</v>
      </c>
      <c r="B403" s="6" t="s">
        <v>2405</v>
      </c>
      <c r="C403" s="26" t="n">
        <v>46038</v>
      </c>
      <c r="D403" s="6" t="s">
        <v>5132</v>
      </c>
      <c r="E403" s="6" t="s">
        <v>23</v>
      </c>
      <c r="F403" s="6" t="n">
        <v>1</v>
      </c>
      <c r="G403" s="10" t="n">
        <v>342</v>
      </c>
      <c r="H403" s="10" t="n">
        <f aca="false">F403*G403</f>
        <v>342</v>
      </c>
      <c r="I403" s="6" t="s">
        <v>5148</v>
      </c>
    </row>
    <row r="404" customFormat="false" ht="15" hidden="false" customHeight="false" outlineLevel="0" collapsed="false">
      <c r="A404" s="6" t="s">
        <v>5609</v>
      </c>
      <c r="B404" s="6" t="s">
        <v>5023</v>
      </c>
      <c r="C404" s="26" t="n">
        <v>46038</v>
      </c>
      <c r="D404" s="6" t="s">
        <v>5129</v>
      </c>
      <c r="E404" s="6" t="s">
        <v>21</v>
      </c>
      <c r="F404" s="6" t="n">
        <v>1</v>
      </c>
      <c r="G404" s="10" t="n">
        <v>590</v>
      </c>
      <c r="H404" s="10" t="n">
        <f aca="false">F404*G404</f>
        <v>590</v>
      </c>
      <c r="I404" s="6" t="s">
        <v>5130</v>
      </c>
    </row>
    <row r="405" customFormat="false" ht="15" hidden="false" customHeight="false" outlineLevel="0" collapsed="false">
      <c r="A405" s="6" t="s">
        <v>5610</v>
      </c>
      <c r="B405" s="6" t="s">
        <v>3449</v>
      </c>
      <c r="C405" s="26" t="n">
        <v>46038</v>
      </c>
      <c r="D405" s="6" t="s">
        <v>5357</v>
      </c>
      <c r="E405" s="6" t="s">
        <v>23</v>
      </c>
      <c r="F405" s="6" t="n">
        <v>5</v>
      </c>
      <c r="G405" s="10" t="n">
        <v>534</v>
      </c>
      <c r="H405" s="10" t="n">
        <f aca="false">F405*G405</f>
        <v>2670</v>
      </c>
      <c r="I405" s="6" t="s">
        <v>5122</v>
      </c>
    </row>
    <row r="406" customFormat="false" ht="15" hidden="false" customHeight="false" outlineLevel="0" collapsed="false">
      <c r="A406" s="6" t="s">
        <v>5611</v>
      </c>
      <c r="B406" s="6" t="s">
        <v>3073</v>
      </c>
      <c r="C406" s="26" t="n">
        <v>46038</v>
      </c>
      <c r="D406" s="6" t="s">
        <v>5167</v>
      </c>
      <c r="E406" s="6" t="s">
        <v>22</v>
      </c>
      <c r="F406" s="6" t="n">
        <v>1</v>
      </c>
      <c r="G406" s="10" t="n">
        <v>702</v>
      </c>
      <c r="H406" s="10" t="n">
        <f aca="false">F406*G406</f>
        <v>702</v>
      </c>
      <c r="I406" s="6" t="s">
        <v>5173</v>
      </c>
    </row>
    <row r="407" customFormat="false" ht="15" hidden="false" customHeight="false" outlineLevel="0" collapsed="false">
      <c r="A407" s="6" t="s">
        <v>5612</v>
      </c>
      <c r="B407" s="6" t="s">
        <v>4473</v>
      </c>
      <c r="C407" s="26" t="n">
        <v>46038</v>
      </c>
      <c r="D407" s="6" t="s">
        <v>5121</v>
      </c>
      <c r="E407" s="6" t="s">
        <v>22</v>
      </c>
      <c r="F407" s="6" t="n">
        <v>1</v>
      </c>
      <c r="G407" s="10" t="n">
        <v>880</v>
      </c>
      <c r="H407" s="10" t="n">
        <f aca="false">F407*G407</f>
        <v>880</v>
      </c>
      <c r="I407" s="6" t="s">
        <v>5173</v>
      </c>
    </row>
    <row r="408" customFormat="false" ht="15" hidden="false" customHeight="false" outlineLevel="0" collapsed="false">
      <c r="A408" s="6" t="s">
        <v>5613</v>
      </c>
      <c r="B408" s="6" t="s">
        <v>2559</v>
      </c>
      <c r="C408" s="26" t="n">
        <v>46038</v>
      </c>
      <c r="D408" s="6" t="s">
        <v>5269</v>
      </c>
      <c r="E408" s="6" t="s">
        <v>22</v>
      </c>
      <c r="F408" s="6" t="n">
        <v>1</v>
      </c>
      <c r="G408" s="10" t="n">
        <v>1144</v>
      </c>
      <c r="H408" s="10" t="n">
        <f aca="false">F408*G408</f>
        <v>1144</v>
      </c>
      <c r="I408" s="6" t="s">
        <v>5148</v>
      </c>
    </row>
    <row r="409" customFormat="false" ht="15" hidden="false" customHeight="false" outlineLevel="0" collapsed="false">
      <c r="A409" s="6" t="s">
        <v>5614</v>
      </c>
      <c r="B409" s="6" t="s">
        <v>1217</v>
      </c>
      <c r="C409" s="26" t="n">
        <v>46038</v>
      </c>
      <c r="D409" s="6" t="s">
        <v>5216</v>
      </c>
      <c r="E409" s="6" t="s">
        <v>23</v>
      </c>
      <c r="F409" s="6" t="n">
        <v>5</v>
      </c>
      <c r="G409" s="10" t="n">
        <v>528</v>
      </c>
      <c r="H409" s="10" t="n">
        <f aca="false">F409*G409</f>
        <v>2640</v>
      </c>
      <c r="I409" s="6" t="s">
        <v>5122</v>
      </c>
    </row>
    <row r="410" customFormat="false" ht="15" hidden="false" customHeight="false" outlineLevel="0" collapsed="false">
      <c r="A410" s="6" t="s">
        <v>5615</v>
      </c>
      <c r="B410" s="6" t="s">
        <v>951</v>
      </c>
      <c r="C410" s="26" t="n">
        <v>46038</v>
      </c>
      <c r="D410" s="6" t="s">
        <v>5141</v>
      </c>
      <c r="E410" s="6" t="s">
        <v>20</v>
      </c>
      <c r="F410" s="6" t="n">
        <v>1</v>
      </c>
      <c r="G410" s="10" t="n">
        <v>1835</v>
      </c>
      <c r="H410" s="10" t="n">
        <f aca="false">F410*G410</f>
        <v>1835</v>
      </c>
      <c r="I410" s="6" t="s">
        <v>5122</v>
      </c>
    </row>
    <row r="411" customFormat="false" ht="15" hidden="false" customHeight="false" outlineLevel="0" collapsed="false">
      <c r="A411" s="6" t="s">
        <v>5616</v>
      </c>
      <c r="B411" s="6" t="s">
        <v>4397</v>
      </c>
      <c r="C411" s="26" t="n">
        <v>46038</v>
      </c>
      <c r="D411" s="6" t="s">
        <v>5147</v>
      </c>
      <c r="E411" s="6" t="s">
        <v>24</v>
      </c>
      <c r="F411" s="6" t="n">
        <v>1</v>
      </c>
      <c r="G411" s="10" t="n">
        <v>628</v>
      </c>
      <c r="H411" s="10" t="n">
        <f aca="false">F411*G411</f>
        <v>628</v>
      </c>
      <c r="I411" s="6" t="s">
        <v>5148</v>
      </c>
    </row>
    <row r="412" customFormat="false" ht="15" hidden="false" customHeight="false" outlineLevel="0" collapsed="false">
      <c r="A412" s="6" t="s">
        <v>5617</v>
      </c>
      <c r="B412" s="6" t="s">
        <v>1059</v>
      </c>
      <c r="C412" s="26" t="n">
        <v>46038</v>
      </c>
      <c r="D412" s="6" t="s">
        <v>5488</v>
      </c>
      <c r="E412" s="6" t="s">
        <v>24</v>
      </c>
      <c r="F412" s="6" t="n">
        <v>1</v>
      </c>
      <c r="G412" s="10" t="n">
        <v>823</v>
      </c>
      <c r="H412" s="10" t="n">
        <f aca="false">F412*G412</f>
        <v>823</v>
      </c>
      <c r="I412" s="6" t="s">
        <v>5130</v>
      </c>
    </row>
    <row r="413" customFormat="false" ht="15" hidden="false" customHeight="false" outlineLevel="0" collapsed="false">
      <c r="A413" s="6" t="s">
        <v>5618</v>
      </c>
      <c r="B413" s="6" t="s">
        <v>4465</v>
      </c>
      <c r="C413" s="26" t="n">
        <v>46038</v>
      </c>
      <c r="D413" s="6" t="s">
        <v>5171</v>
      </c>
      <c r="E413" s="6" t="s">
        <v>23</v>
      </c>
      <c r="F413" s="6" t="n">
        <v>2</v>
      </c>
      <c r="G413" s="10" t="n">
        <v>734</v>
      </c>
      <c r="H413" s="10" t="n">
        <f aca="false">F413*G413</f>
        <v>1468</v>
      </c>
      <c r="I413" s="6" t="s">
        <v>5148</v>
      </c>
    </row>
    <row r="414" customFormat="false" ht="15" hidden="false" customHeight="false" outlineLevel="0" collapsed="false">
      <c r="A414" s="6" t="s">
        <v>5619</v>
      </c>
      <c r="B414" s="6" t="s">
        <v>3177</v>
      </c>
      <c r="C414" s="26" t="n">
        <v>46038</v>
      </c>
      <c r="D414" s="6" t="s">
        <v>5163</v>
      </c>
      <c r="E414" s="6" t="s">
        <v>23</v>
      </c>
      <c r="F414" s="6" t="n">
        <v>1</v>
      </c>
      <c r="G414" s="10" t="n">
        <v>744</v>
      </c>
      <c r="H414" s="10" t="n">
        <f aca="false">F414*G414</f>
        <v>744</v>
      </c>
      <c r="I414" s="6" t="s">
        <v>5122</v>
      </c>
    </row>
    <row r="415" customFormat="false" ht="15" hidden="false" customHeight="false" outlineLevel="0" collapsed="false">
      <c r="A415" s="6" t="s">
        <v>5620</v>
      </c>
      <c r="B415" s="6" t="s">
        <v>973</v>
      </c>
      <c r="C415" s="26" t="n">
        <v>46038</v>
      </c>
      <c r="D415" s="6" t="s">
        <v>5190</v>
      </c>
      <c r="E415" s="6" t="s">
        <v>24</v>
      </c>
      <c r="F415" s="6" t="n">
        <v>1</v>
      </c>
      <c r="G415" s="10" t="n">
        <v>580</v>
      </c>
      <c r="H415" s="10" t="n">
        <f aca="false">F415*G415</f>
        <v>580</v>
      </c>
      <c r="I415" s="6" t="s">
        <v>5130</v>
      </c>
    </row>
    <row r="416" customFormat="false" ht="15" hidden="false" customHeight="false" outlineLevel="0" collapsed="false">
      <c r="A416" s="6" t="s">
        <v>5621</v>
      </c>
      <c r="B416" s="6" t="s">
        <v>3893</v>
      </c>
      <c r="C416" s="26" t="n">
        <v>46038</v>
      </c>
      <c r="D416" s="6" t="s">
        <v>5139</v>
      </c>
      <c r="E416" s="6" t="s">
        <v>23</v>
      </c>
      <c r="F416" s="6" t="n">
        <v>2</v>
      </c>
      <c r="G416" s="10" t="n">
        <v>251</v>
      </c>
      <c r="H416" s="10" t="n">
        <f aca="false">F416*G416</f>
        <v>502</v>
      </c>
      <c r="I416" s="6" t="s">
        <v>5148</v>
      </c>
    </row>
    <row r="417" customFormat="false" ht="15" hidden="false" customHeight="false" outlineLevel="0" collapsed="false">
      <c r="A417" s="6" t="s">
        <v>5622</v>
      </c>
      <c r="B417" s="6" t="s">
        <v>4391</v>
      </c>
      <c r="C417" s="26" t="n">
        <v>46038</v>
      </c>
      <c r="D417" s="6" t="s">
        <v>5121</v>
      </c>
      <c r="E417" s="6" t="s">
        <v>22</v>
      </c>
      <c r="F417" s="6" t="n">
        <v>2</v>
      </c>
      <c r="G417" s="10" t="n">
        <v>977</v>
      </c>
      <c r="H417" s="10" t="n">
        <f aca="false">F417*G417</f>
        <v>1954</v>
      </c>
      <c r="I417" s="6" t="s">
        <v>5148</v>
      </c>
    </row>
    <row r="418" customFormat="false" ht="15" hidden="false" customHeight="false" outlineLevel="0" collapsed="false">
      <c r="A418" s="6" t="s">
        <v>5623</v>
      </c>
      <c r="B418" s="6" t="s">
        <v>1831</v>
      </c>
      <c r="C418" s="26" t="n">
        <v>46038</v>
      </c>
      <c r="D418" s="6" t="s">
        <v>5298</v>
      </c>
      <c r="E418" s="6" t="s">
        <v>23</v>
      </c>
      <c r="F418" s="6" t="n">
        <v>2</v>
      </c>
      <c r="G418" s="10" t="n">
        <v>264</v>
      </c>
      <c r="H418" s="10" t="n">
        <f aca="false">F418*G418</f>
        <v>528</v>
      </c>
      <c r="I418" s="6" t="s">
        <v>5133</v>
      </c>
    </row>
    <row r="419" customFormat="false" ht="15" hidden="false" customHeight="false" outlineLevel="0" collapsed="false">
      <c r="A419" s="6" t="s">
        <v>5624</v>
      </c>
      <c r="B419" s="6" t="s">
        <v>1965</v>
      </c>
      <c r="C419" s="26" t="n">
        <v>46038</v>
      </c>
      <c r="D419" s="6" t="s">
        <v>5135</v>
      </c>
      <c r="E419" s="6" t="s">
        <v>23</v>
      </c>
      <c r="F419" s="6" t="n">
        <v>3</v>
      </c>
      <c r="G419" s="10" t="n">
        <v>397</v>
      </c>
      <c r="H419" s="10" t="n">
        <f aca="false">F419*G419</f>
        <v>1191</v>
      </c>
      <c r="I419" s="6" t="s">
        <v>5122</v>
      </c>
    </row>
    <row r="420" customFormat="false" ht="15" hidden="false" customHeight="false" outlineLevel="0" collapsed="false">
      <c r="A420" s="6" t="s">
        <v>5625</v>
      </c>
      <c r="B420" s="6" t="s">
        <v>3753</v>
      </c>
      <c r="C420" s="26" t="n">
        <v>46038</v>
      </c>
      <c r="D420" s="6" t="s">
        <v>5235</v>
      </c>
      <c r="E420" s="6" t="s">
        <v>21</v>
      </c>
      <c r="F420" s="6" t="n">
        <v>1</v>
      </c>
      <c r="G420" s="10" t="n">
        <v>1586</v>
      </c>
      <c r="H420" s="10" t="n">
        <f aca="false">F420*G420</f>
        <v>1586</v>
      </c>
      <c r="I420" s="6" t="s">
        <v>5122</v>
      </c>
    </row>
    <row r="421" customFormat="false" ht="15" hidden="false" customHeight="false" outlineLevel="0" collapsed="false">
      <c r="A421" s="6" t="s">
        <v>5626</v>
      </c>
      <c r="B421" s="6" t="s">
        <v>1737</v>
      </c>
      <c r="C421" s="26" t="n">
        <v>46038</v>
      </c>
      <c r="D421" s="6" t="s">
        <v>5154</v>
      </c>
      <c r="E421" s="6" t="s">
        <v>21</v>
      </c>
      <c r="F421" s="6" t="n">
        <v>1</v>
      </c>
      <c r="G421" s="10" t="n">
        <v>785</v>
      </c>
      <c r="H421" s="10" t="n">
        <f aca="false">F421*G421</f>
        <v>785</v>
      </c>
      <c r="I421" s="6" t="s">
        <v>5148</v>
      </c>
    </row>
    <row r="422" customFormat="false" ht="15" hidden="false" customHeight="false" outlineLevel="0" collapsed="false">
      <c r="A422" s="6" t="s">
        <v>5627</v>
      </c>
      <c r="B422" s="6" t="s">
        <v>4307</v>
      </c>
      <c r="C422" s="26" t="n">
        <v>46038</v>
      </c>
      <c r="D422" s="6" t="s">
        <v>5156</v>
      </c>
      <c r="E422" s="6" t="s">
        <v>21</v>
      </c>
      <c r="F422" s="6" t="n">
        <v>1</v>
      </c>
      <c r="G422" s="10" t="n">
        <v>2161</v>
      </c>
      <c r="H422" s="10" t="n">
        <f aca="false">F422*G422</f>
        <v>2161</v>
      </c>
      <c r="I422" s="6" t="s">
        <v>5122</v>
      </c>
    </row>
    <row r="423" customFormat="false" ht="15" hidden="false" customHeight="false" outlineLevel="0" collapsed="false">
      <c r="A423" s="6" t="s">
        <v>5628</v>
      </c>
      <c r="B423" s="6" t="s">
        <v>2909</v>
      </c>
      <c r="C423" s="26" t="n">
        <v>46038</v>
      </c>
      <c r="D423" s="6" t="s">
        <v>5460</v>
      </c>
      <c r="E423" s="6" t="s">
        <v>24</v>
      </c>
      <c r="F423" s="6" t="n">
        <v>1</v>
      </c>
      <c r="G423" s="10" t="n">
        <v>555</v>
      </c>
      <c r="H423" s="10" t="n">
        <f aca="false">F423*G423</f>
        <v>555</v>
      </c>
      <c r="I423" s="6" t="s">
        <v>5122</v>
      </c>
    </row>
    <row r="424" customFormat="false" ht="15" hidden="false" customHeight="false" outlineLevel="0" collapsed="false">
      <c r="A424" s="6" t="s">
        <v>5629</v>
      </c>
      <c r="B424" s="6" t="s">
        <v>803</v>
      </c>
      <c r="C424" s="26" t="n">
        <v>46038</v>
      </c>
      <c r="D424" s="6" t="s">
        <v>5167</v>
      </c>
      <c r="E424" s="6" t="s">
        <v>22</v>
      </c>
      <c r="F424" s="6" t="n">
        <v>1</v>
      </c>
      <c r="G424" s="10" t="n">
        <v>782</v>
      </c>
      <c r="H424" s="10" t="n">
        <f aca="false">F424*G424</f>
        <v>782</v>
      </c>
      <c r="I424" s="6" t="s">
        <v>5148</v>
      </c>
    </row>
    <row r="425" customFormat="false" ht="15" hidden="false" customHeight="false" outlineLevel="0" collapsed="false">
      <c r="A425" s="6" t="s">
        <v>5630</v>
      </c>
      <c r="B425" s="6" t="s">
        <v>879</v>
      </c>
      <c r="C425" s="26" t="n">
        <v>46038</v>
      </c>
      <c r="D425" s="6" t="s">
        <v>5458</v>
      </c>
      <c r="E425" s="6" t="s">
        <v>24</v>
      </c>
      <c r="F425" s="6" t="n">
        <v>1</v>
      </c>
      <c r="G425" s="10" t="n">
        <v>559</v>
      </c>
      <c r="H425" s="10" t="n">
        <f aca="false">F425*G425</f>
        <v>559</v>
      </c>
      <c r="I425" s="6" t="s">
        <v>5122</v>
      </c>
    </row>
    <row r="426" customFormat="false" ht="15" hidden="false" customHeight="false" outlineLevel="0" collapsed="false">
      <c r="A426" s="6" t="s">
        <v>5631</v>
      </c>
      <c r="B426" s="6" t="s">
        <v>431</v>
      </c>
      <c r="C426" s="26" t="n">
        <v>46038</v>
      </c>
      <c r="D426" s="6" t="s">
        <v>5129</v>
      </c>
      <c r="E426" s="6" t="s">
        <v>21</v>
      </c>
      <c r="F426" s="6" t="n">
        <v>1</v>
      </c>
      <c r="G426" s="10" t="n">
        <v>559</v>
      </c>
      <c r="H426" s="10" t="n">
        <f aca="false">F426*G426</f>
        <v>559</v>
      </c>
      <c r="I426" s="6" t="s">
        <v>5148</v>
      </c>
    </row>
    <row r="427" customFormat="false" ht="15" hidden="false" customHeight="false" outlineLevel="0" collapsed="false">
      <c r="A427" s="6" t="s">
        <v>5632</v>
      </c>
      <c r="B427" s="6" t="s">
        <v>4815</v>
      </c>
      <c r="C427" s="26" t="n">
        <v>46038</v>
      </c>
      <c r="D427" s="6" t="s">
        <v>5167</v>
      </c>
      <c r="E427" s="6" t="s">
        <v>22</v>
      </c>
      <c r="F427" s="6" t="n">
        <v>3</v>
      </c>
      <c r="G427" s="10" t="n">
        <v>782</v>
      </c>
      <c r="H427" s="10" t="n">
        <f aca="false">F427*G427</f>
        <v>2346</v>
      </c>
      <c r="I427" s="6" t="s">
        <v>5122</v>
      </c>
    </row>
    <row r="428" customFormat="false" ht="15" hidden="false" customHeight="false" outlineLevel="0" collapsed="false">
      <c r="A428" s="6" t="s">
        <v>5633</v>
      </c>
      <c r="B428" s="6" t="s">
        <v>1955</v>
      </c>
      <c r="C428" s="26" t="n">
        <v>46038</v>
      </c>
      <c r="D428" s="6" t="s">
        <v>5154</v>
      </c>
      <c r="E428" s="6" t="s">
        <v>21</v>
      </c>
      <c r="F428" s="6" t="n">
        <v>1</v>
      </c>
      <c r="G428" s="10" t="n">
        <v>785</v>
      </c>
      <c r="H428" s="10" t="n">
        <f aca="false">F428*G428</f>
        <v>785</v>
      </c>
      <c r="I428" s="6" t="s">
        <v>5122</v>
      </c>
    </row>
    <row r="429" customFormat="false" ht="15" hidden="false" customHeight="false" outlineLevel="0" collapsed="false">
      <c r="A429" s="6" t="s">
        <v>5634</v>
      </c>
      <c r="B429" s="6" t="s">
        <v>1133</v>
      </c>
      <c r="C429" s="26" t="n">
        <v>46038</v>
      </c>
      <c r="D429" s="6" t="s">
        <v>5353</v>
      </c>
      <c r="E429" s="6" t="s">
        <v>24</v>
      </c>
      <c r="F429" s="6" t="n">
        <v>2</v>
      </c>
      <c r="G429" s="10" t="n">
        <v>1466</v>
      </c>
      <c r="H429" s="10" t="n">
        <f aca="false">F429*G429</f>
        <v>2932</v>
      </c>
      <c r="I429" s="6" t="s">
        <v>5148</v>
      </c>
    </row>
    <row r="430" customFormat="false" ht="15" hidden="false" customHeight="false" outlineLevel="0" collapsed="false">
      <c r="A430" s="6" t="s">
        <v>5635</v>
      </c>
      <c r="B430" s="6" t="s">
        <v>4573</v>
      </c>
      <c r="C430" s="26" t="n">
        <v>46038</v>
      </c>
      <c r="D430" s="6" t="s">
        <v>5460</v>
      </c>
      <c r="E430" s="6" t="s">
        <v>24</v>
      </c>
      <c r="F430" s="6" t="n">
        <v>2</v>
      </c>
      <c r="G430" s="10" t="n">
        <v>528</v>
      </c>
      <c r="H430" s="10" t="n">
        <f aca="false">F430*G430</f>
        <v>1056</v>
      </c>
      <c r="I430" s="6" t="s">
        <v>5122</v>
      </c>
    </row>
    <row r="431" customFormat="false" ht="15" hidden="false" customHeight="false" outlineLevel="0" collapsed="false">
      <c r="A431" s="6" t="s">
        <v>5636</v>
      </c>
      <c r="B431" s="6" t="s">
        <v>2033</v>
      </c>
      <c r="C431" s="26" t="n">
        <v>46038</v>
      </c>
      <c r="D431" s="6" t="s">
        <v>5121</v>
      </c>
      <c r="E431" s="6" t="s">
        <v>22</v>
      </c>
      <c r="F431" s="6" t="n">
        <v>2</v>
      </c>
      <c r="G431" s="10" t="n">
        <v>880</v>
      </c>
      <c r="H431" s="10" t="n">
        <f aca="false">F431*G431</f>
        <v>1760</v>
      </c>
      <c r="I431" s="6" t="s">
        <v>5122</v>
      </c>
    </row>
    <row r="432" customFormat="false" ht="15" hidden="false" customHeight="false" outlineLevel="0" collapsed="false">
      <c r="A432" s="6" t="s">
        <v>5637</v>
      </c>
      <c r="B432" s="6" t="s">
        <v>4275</v>
      </c>
      <c r="C432" s="26" t="n">
        <v>46039</v>
      </c>
      <c r="D432" s="6" t="s">
        <v>5160</v>
      </c>
      <c r="E432" s="6" t="s">
        <v>21</v>
      </c>
      <c r="F432" s="6" t="n">
        <v>1</v>
      </c>
      <c r="G432" s="10" t="n">
        <v>2751</v>
      </c>
      <c r="H432" s="10" t="n">
        <f aca="false">F432*G432</f>
        <v>2751</v>
      </c>
      <c r="I432" s="6" t="s">
        <v>5130</v>
      </c>
    </row>
    <row r="433" customFormat="false" ht="15" hidden="false" customHeight="false" outlineLevel="0" collapsed="false">
      <c r="A433" s="6" t="s">
        <v>5638</v>
      </c>
      <c r="B433" s="6" t="s">
        <v>4519</v>
      </c>
      <c r="C433" s="26" t="n">
        <v>46039</v>
      </c>
      <c r="D433" s="6" t="s">
        <v>5132</v>
      </c>
      <c r="E433" s="6" t="s">
        <v>23</v>
      </c>
      <c r="F433" s="6" t="n">
        <v>2</v>
      </c>
      <c r="G433" s="10" t="n">
        <v>308</v>
      </c>
      <c r="H433" s="10" t="n">
        <f aca="false">F433*G433</f>
        <v>616</v>
      </c>
      <c r="I433" s="6" t="s">
        <v>5122</v>
      </c>
    </row>
    <row r="434" customFormat="false" ht="15" hidden="false" customHeight="false" outlineLevel="0" collapsed="false">
      <c r="A434" s="6" t="s">
        <v>5639</v>
      </c>
      <c r="B434" s="6" t="s">
        <v>3481</v>
      </c>
      <c r="C434" s="26" t="n">
        <v>46039</v>
      </c>
      <c r="D434" s="6" t="s">
        <v>5353</v>
      </c>
      <c r="E434" s="6" t="s">
        <v>24</v>
      </c>
      <c r="F434" s="6" t="n">
        <v>3</v>
      </c>
      <c r="G434" s="10" t="n">
        <v>1629</v>
      </c>
      <c r="H434" s="10" t="n">
        <f aca="false">F434*G434</f>
        <v>4887</v>
      </c>
      <c r="I434" s="6" t="s">
        <v>5122</v>
      </c>
    </row>
    <row r="435" customFormat="false" ht="15" hidden="false" customHeight="false" outlineLevel="0" collapsed="false">
      <c r="A435" s="6" t="s">
        <v>5640</v>
      </c>
      <c r="B435" s="6" t="s">
        <v>4561</v>
      </c>
      <c r="C435" s="26" t="n">
        <v>46039</v>
      </c>
      <c r="D435" s="6" t="s">
        <v>5641</v>
      </c>
      <c r="E435" s="6" t="s">
        <v>22</v>
      </c>
      <c r="F435" s="6" t="n">
        <v>1</v>
      </c>
      <c r="G435" s="10" t="n">
        <v>2249</v>
      </c>
      <c r="H435" s="10" t="n">
        <f aca="false">F435*G435</f>
        <v>2249</v>
      </c>
      <c r="I435" s="6" t="s">
        <v>5133</v>
      </c>
    </row>
    <row r="436" customFormat="false" ht="15" hidden="false" customHeight="false" outlineLevel="0" collapsed="false">
      <c r="A436" s="6" t="s">
        <v>5642</v>
      </c>
      <c r="B436" s="6" t="s">
        <v>2963</v>
      </c>
      <c r="C436" s="26" t="n">
        <v>46039</v>
      </c>
      <c r="D436" s="6" t="s">
        <v>5160</v>
      </c>
      <c r="E436" s="6" t="s">
        <v>21</v>
      </c>
      <c r="F436" s="6" t="n">
        <v>2</v>
      </c>
      <c r="G436" s="10" t="n">
        <v>2614</v>
      </c>
      <c r="H436" s="10" t="n">
        <f aca="false">F436*G436</f>
        <v>5228</v>
      </c>
      <c r="I436" s="6" t="s">
        <v>5125</v>
      </c>
    </row>
    <row r="437" customFormat="false" ht="15" hidden="false" customHeight="false" outlineLevel="0" collapsed="false">
      <c r="A437" s="6" t="s">
        <v>5643</v>
      </c>
      <c r="B437" s="6" t="s">
        <v>803</v>
      </c>
      <c r="C437" s="26" t="n">
        <v>46039</v>
      </c>
      <c r="D437" s="6" t="s">
        <v>5127</v>
      </c>
      <c r="E437" s="6" t="s">
        <v>21</v>
      </c>
      <c r="F437" s="6" t="n">
        <v>1</v>
      </c>
      <c r="G437" s="10" t="n">
        <v>795</v>
      </c>
      <c r="H437" s="10" t="n">
        <f aca="false">F437*G437</f>
        <v>795</v>
      </c>
      <c r="I437" s="6" t="s">
        <v>5122</v>
      </c>
    </row>
    <row r="438" customFormat="false" ht="15" hidden="false" customHeight="false" outlineLevel="0" collapsed="false">
      <c r="A438" s="6" t="s">
        <v>5644</v>
      </c>
      <c r="B438" s="6" t="s">
        <v>4119</v>
      </c>
      <c r="C438" s="26" t="n">
        <v>46039</v>
      </c>
      <c r="D438" s="6" t="s">
        <v>5345</v>
      </c>
      <c r="E438" s="6" t="s">
        <v>23</v>
      </c>
      <c r="F438" s="6" t="n">
        <v>4</v>
      </c>
      <c r="G438" s="10" t="n">
        <v>436</v>
      </c>
      <c r="H438" s="10" t="n">
        <f aca="false">F438*G438</f>
        <v>1744</v>
      </c>
      <c r="I438" s="6" t="s">
        <v>5125</v>
      </c>
    </row>
    <row r="439" customFormat="false" ht="15" hidden="false" customHeight="false" outlineLevel="0" collapsed="false">
      <c r="A439" s="6" t="s">
        <v>5645</v>
      </c>
      <c r="B439" s="6" t="s">
        <v>2445</v>
      </c>
      <c r="C439" s="26" t="n">
        <v>46039</v>
      </c>
      <c r="D439" s="6" t="s">
        <v>5190</v>
      </c>
      <c r="E439" s="6" t="s">
        <v>24</v>
      </c>
      <c r="F439" s="6" t="n">
        <v>4</v>
      </c>
      <c r="G439" s="10" t="n">
        <v>549</v>
      </c>
      <c r="H439" s="10" t="n">
        <f aca="false">F439*G439</f>
        <v>2196</v>
      </c>
      <c r="I439" s="6" t="s">
        <v>5148</v>
      </c>
    </row>
    <row r="440" customFormat="false" ht="15" hidden="false" customHeight="false" outlineLevel="0" collapsed="false">
      <c r="A440" s="6" t="s">
        <v>5646</v>
      </c>
      <c r="B440" s="6" t="s">
        <v>1325</v>
      </c>
      <c r="C440" s="26" t="n">
        <v>46039</v>
      </c>
      <c r="D440" s="6" t="s">
        <v>5167</v>
      </c>
      <c r="E440" s="6" t="s">
        <v>22</v>
      </c>
      <c r="F440" s="6" t="n">
        <v>1</v>
      </c>
      <c r="G440" s="10" t="n">
        <v>782</v>
      </c>
      <c r="H440" s="10" t="n">
        <f aca="false">F440*G440</f>
        <v>782</v>
      </c>
      <c r="I440" s="6" t="s">
        <v>5148</v>
      </c>
    </row>
    <row r="441" customFormat="false" ht="15" hidden="false" customHeight="false" outlineLevel="0" collapsed="false">
      <c r="A441" s="6" t="s">
        <v>5647</v>
      </c>
      <c r="B441" s="6" t="s">
        <v>4761</v>
      </c>
      <c r="C441" s="26" t="n">
        <v>46039</v>
      </c>
      <c r="D441" s="6" t="s">
        <v>5158</v>
      </c>
      <c r="E441" s="6" t="s">
        <v>24</v>
      </c>
      <c r="F441" s="6" t="n">
        <v>1</v>
      </c>
      <c r="G441" s="10" t="n">
        <v>433</v>
      </c>
      <c r="H441" s="10" t="n">
        <f aca="false">F441*G441</f>
        <v>433</v>
      </c>
      <c r="I441" s="6" t="s">
        <v>5122</v>
      </c>
    </row>
    <row r="442" customFormat="false" ht="15" hidden="false" customHeight="false" outlineLevel="0" collapsed="false">
      <c r="A442" s="6" t="s">
        <v>5648</v>
      </c>
      <c r="B442" s="6" t="s">
        <v>3273</v>
      </c>
      <c r="C442" s="26" t="n">
        <v>46039</v>
      </c>
      <c r="D442" s="6" t="s">
        <v>5216</v>
      </c>
      <c r="E442" s="6" t="s">
        <v>23</v>
      </c>
      <c r="F442" s="6" t="n">
        <v>3</v>
      </c>
      <c r="G442" s="10" t="n">
        <v>587</v>
      </c>
      <c r="H442" s="10" t="n">
        <f aca="false">F442*G442</f>
        <v>1761</v>
      </c>
      <c r="I442" s="6" t="s">
        <v>5130</v>
      </c>
    </row>
    <row r="443" customFormat="false" ht="15" hidden="false" customHeight="false" outlineLevel="0" collapsed="false">
      <c r="A443" s="6" t="s">
        <v>5649</v>
      </c>
      <c r="B443" s="6" t="s">
        <v>4015</v>
      </c>
      <c r="C443" s="26" t="n">
        <v>46039</v>
      </c>
      <c r="D443" s="6" t="s">
        <v>5460</v>
      </c>
      <c r="E443" s="6" t="s">
        <v>24</v>
      </c>
      <c r="F443" s="6" t="n">
        <v>1</v>
      </c>
      <c r="G443" s="10" t="n">
        <v>555</v>
      </c>
      <c r="H443" s="10" t="n">
        <f aca="false">F443*G443</f>
        <v>555</v>
      </c>
      <c r="I443" s="6" t="s">
        <v>5122</v>
      </c>
    </row>
    <row r="444" customFormat="false" ht="15" hidden="false" customHeight="false" outlineLevel="0" collapsed="false">
      <c r="A444" s="6" t="s">
        <v>5650</v>
      </c>
      <c r="B444" s="6" t="s">
        <v>1887</v>
      </c>
      <c r="C444" s="26" t="n">
        <v>46039</v>
      </c>
      <c r="D444" s="6" t="s">
        <v>5171</v>
      </c>
      <c r="E444" s="6" t="s">
        <v>23</v>
      </c>
      <c r="F444" s="6" t="n">
        <v>2</v>
      </c>
      <c r="G444" s="10" t="n">
        <v>734</v>
      </c>
      <c r="H444" s="10" t="n">
        <f aca="false">F444*G444</f>
        <v>1468</v>
      </c>
      <c r="I444" s="6" t="s">
        <v>5133</v>
      </c>
    </row>
    <row r="445" customFormat="false" ht="15" hidden="false" customHeight="false" outlineLevel="0" collapsed="false">
      <c r="A445" s="6" t="s">
        <v>5651</v>
      </c>
      <c r="B445" s="6" t="s">
        <v>519</v>
      </c>
      <c r="C445" s="26" t="n">
        <v>46039</v>
      </c>
      <c r="D445" s="6" t="s">
        <v>5167</v>
      </c>
      <c r="E445" s="6" t="s">
        <v>22</v>
      </c>
      <c r="F445" s="6" t="n">
        <v>1</v>
      </c>
      <c r="G445" s="10" t="n">
        <v>782</v>
      </c>
      <c r="H445" s="10" t="n">
        <f aca="false">F445*G445</f>
        <v>782</v>
      </c>
      <c r="I445" s="6" t="s">
        <v>5148</v>
      </c>
    </row>
    <row r="446" customFormat="false" ht="15" hidden="false" customHeight="false" outlineLevel="0" collapsed="false">
      <c r="A446" s="6" t="s">
        <v>5652</v>
      </c>
      <c r="B446" s="6" t="s">
        <v>1621</v>
      </c>
      <c r="C446" s="26" t="n">
        <v>46039</v>
      </c>
      <c r="D446" s="6" t="s">
        <v>5169</v>
      </c>
      <c r="E446" s="6" t="s">
        <v>20</v>
      </c>
      <c r="F446" s="6" t="n">
        <v>1</v>
      </c>
      <c r="G446" s="10" t="n">
        <v>5098</v>
      </c>
      <c r="H446" s="10" t="n">
        <f aca="false">F446*G446</f>
        <v>5098</v>
      </c>
      <c r="I446" s="6" t="s">
        <v>5148</v>
      </c>
    </row>
    <row r="447" customFormat="false" ht="15" hidden="false" customHeight="false" outlineLevel="0" collapsed="false">
      <c r="A447" s="6" t="s">
        <v>5653</v>
      </c>
      <c r="B447" s="6" t="s">
        <v>4241</v>
      </c>
      <c r="C447" s="26" t="n">
        <v>46039</v>
      </c>
      <c r="D447" s="6" t="s">
        <v>5182</v>
      </c>
      <c r="E447" s="6" t="s">
        <v>23</v>
      </c>
      <c r="F447" s="6" t="n">
        <v>2</v>
      </c>
      <c r="G447" s="10" t="n">
        <v>331</v>
      </c>
      <c r="H447" s="10" t="n">
        <f aca="false">F447*G447</f>
        <v>662</v>
      </c>
      <c r="I447" s="6" t="s">
        <v>5122</v>
      </c>
    </row>
    <row r="448" customFormat="false" ht="15" hidden="false" customHeight="false" outlineLevel="0" collapsed="false">
      <c r="A448" s="6" t="s">
        <v>5654</v>
      </c>
      <c r="B448" s="6" t="s">
        <v>2311</v>
      </c>
      <c r="C448" s="26" t="n">
        <v>46039</v>
      </c>
      <c r="D448" s="6" t="s">
        <v>5163</v>
      </c>
      <c r="E448" s="6" t="s">
        <v>23</v>
      </c>
      <c r="F448" s="6" t="n">
        <v>3</v>
      </c>
      <c r="G448" s="10" t="n">
        <v>783</v>
      </c>
      <c r="H448" s="10" t="n">
        <f aca="false">F448*G448</f>
        <v>2349</v>
      </c>
      <c r="I448" s="6" t="s">
        <v>5122</v>
      </c>
    </row>
    <row r="449" customFormat="false" ht="15" hidden="false" customHeight="false" outlineLevel="0" collapsed="false">
      <c r="A449" s="6" t="s">
        <v>5655</v>
      </c>
      <c r="B449" s="6" t="s">
        <v>1083</v>
      </c>
      <c r="C449" s="26" t="n">
        <v>46039</v>
      </c>
      <c r="D449" s="6" t="s">
        <v>5180</v>
      </c>
      <c r="E449" s="6" t="s">
        <v>24</v>
      </c>
      <c r="F449" s="6" t="n">
        <v>2</v>
      </c>
      <c r="G449" s="10" t="n">
        <v>1987</v>
      </c>
      <c r="H449" s="10" t="n">
        <f aca="false">F449*G449</f>
        <v>3974</v>
      </c>
      <c r="I449" s="6" t="s">
        <v>5122</v>
      </c>
    </row>
    <row r="450" customFormat="false" ht="15" hidden="false" customHeight="false" outlineLevel="0" collapsed="false">
      <c r="A450" s="6" t="s">
        <v>5656</v>
      </c>
      <c r="B450" s="6" t="s">
        <v>4555</v>
      </c>
      <c r="C450" s="26" t="n">
        <v>46039</v>
      </c>
      <c r="D450" s="6" t="s">
        <v>5180</v>
      </c>
      <c r="E450" s="6" t="s">
        <v>24</v>
      </c>
      <c r="F450" s="6" t="n">
        <v>1</v>
      </c>
      <c r="G450" s="10" t="n">
        <v>1987</v>
      </c>
      <c r="H450" s="10" t="n">
        <f aca="false">F450*G450</f>
        <v>1987</v>
      </c>
      <c r="I450" s="6" t="s">
        <v>5122</v>
      </c>
    </row>
    <row r="451" customFormat="false" ht="15" hidden="false" customHeight="false" outlineLevel="0" collapsed="false">
      <c r="A451" s="6" t="s">
        <v>5657</v>
      </c>
      <c r="B451" s="6" t="s">
        <v>3951</v>
      </c>
      <c r="C451" s="26" t="n">
        <v>46039</v>
      </c>
      <c r="D451" s="6" t="s">
        <v>5242</v>
      </c>
      <c r="E451" s="6" t="s">
        <v>23</v>
      </c>
      <c r="F451" s="6" t="n">
        <v>5</v>
      </c>
      <c r="G451" s="10" t="n">
        <v>372</v>
      </c>
      <c r="H451" s="10" t="n">
        <f aca="false">F451*G451</f>
        <v>1860</v>
      </c>
      <c r="I451" s="6" t="s">
        <v>5122</v>
      </c>
    </row>
    <row r="452" customFormat="false" ht="15" hidden="false" customHeight="false" outlineLevel="0" collapsed="false">
      <c r="A452" s="6" t="s">
        <v>5658</v>
      </c>
      <c r="B452" s="6" t="s">
        <v>374</v>
      </c>
      <c r="C452" s="26" t="n">
        <v>46039</v>
      </c>
      <c r="D452" s="6" t="s">
        <v>5160</v>
      </c>
      <c r="E452" s="6" t="s">
        <v>21</v>
      </c>
      <c r="F452" s="6" t="n">
        <v>1</v>
      </c>
      <c r="G452" s="10" t="n">
        <v>2615</v>
      </c>
      <c r="H452" s="10" t="n">
        <f aca="false">F452*G452</f>
        <v>2615</v>
      </c>
      <c r="I452" s="6" t="s">
        <v>5130</v>
      </c>
    </row>
    <row r="453" customFormat="false" ht="15" hidden="false" customHeight="false" outlineLevel="0" collapsed="false">
      <c r="A453" s="6" t="s">
        <v>5659</v>
      </c>
      <c r="B453" s="6" t="s">
        <v>4423</v>
      </c>
      <c r="C453" s="26" t="n">
        <v>46039</v>
      </c>
      <c r="D453" s="6" t="s">
        <v>5121</v>
      </c>
      <c r="E453" s="6" t="s">
        <v>22</v>
      </c>
      <c r="F453" s="6" t="n">
        <v>2</v>
      </c>
      <c r="G453" s="10" t="n">
        <v>880</v>
      </c>
      <c r="H453" s="10" t="n">
        <f aca="false">F453*G453</f>
        <v>1760</v>
      </c>
      <c r="I453" s="6" t="s">
        <v>5122</v>
      </c>
    </row>
    <row r="454" customFormat="false" ht="15" hidden="false" customHeight="false" outlineLevel="0" collapsed="false">
      <c r="A454" s="6" t="s">
        <v>5660</v>
      </c>
      <c r="B454" s="6" t="s">
        <v>2531</v>
      </c>
      <c r="C454" s="26" t="n">
        <v>46039</v>
      </c>
      <c r="D454" s="6" t="s">
        <v>5200</v>
      </c>
      <c r="E454" s="6" t="s">
        <v>24</v>
      </c>
      <c r="F454" s="6" t="n">
        <v>1</v>
      </c>
      <c r="G454" s="10" t="n">
        <v>763</v>
      </c>
      <c r="H454" s="10" t="n">
        <f aca="false">F454*G454</f>
        <v>763</v>
      </c>
      <c r="I454" s="6" t="s">
        <v>5125</v>
      </c>
    </row>
    <row r="455" customFormat="false" ht="15" hidden="false" customHeight="false" outlineLevel="0" collapsed="false">
      <c r="A455" s="6" t="s">
        <v>5661</v>
      </c>
      <c r="B455" s="6" t="s">
        <v>2593</v>
      </c>
      <c r="C455" s="26" t="n">
        <v>46039</v>
      </c>
      <c r="D455" s="6" t="s">
        <v>5273</v>
      </c>
      <c r="E455" s="6" t="s">
        <v>23</v>
      </c>
      <c r="F455" s="6" t="n">
        <v>1</v>
      </c>
      <c r="G455" s="10" t="n">
        <v>228</v>
      </c>
      <c r="H455" s="10" t="n">
        <f aca="false">F455*G455</f>
        <v>228</v>
      </c>
      <c r="I455" s="6" t="s">
        <v>5130</v>
      </c>
    </row>
    <row r="456" customFormat="false" ht="15" hidden="false" customHeight="false" outlineLevel="0" collapsed="false">
      <c r="A456" s="6" t="s">
        <v>5662</v>
      </c>
      <c r="B456" s="6" t="s">
        <v>2899</v>
      </c>
      <c r="C456" s="26" t="n">
        <v>46039</v>
      </c>
      <c r="D456" s="6" t="s">
        <v>5345</v>
      </c>
      <c r="E456" s="6" t="s">
        <v>23</v>
      </c>
      <c r="F456" s="6" t="n">
        <v>2</v>
      </c>
      <c r="G456" s="10" t="n">
        <v>414</v>
      </c>
      <c r="H456" s="10" t="n">
        <f aca="false">F456*G456</f>
        <v>828</v>
      </c>
      <c r="I456" s="6" t="s">
        <v>5148</v>
      </c>
    </row>
    <row r="457" customFormat="false" ht="15" hidden="false" customHeight="false" outlineLevel="0" collapsed="false">
      <c r="A457" s="6" t="s">
        <v>5663</v>
      </c>
      <c r="B457" s="6" t="s">
        <v>1709</v>
      </c>
      <c r="C457" s="26" t="n">
        <v>46040</v>
      </c>
      <c r="D457" s="6" t="s">
        <v>5216</v>
      </c>
      <c r="E457" s="6" t="s">
        <v>23</v>
      </c>
      <c r="F457" s="6" t="n">
        <v>2</v>
      </c>
      <c r="G457" s="10" t="n">
        <v>528</v>
      </c>
      <c r="H457" s="10" t="n">
        <f aca="false">F457*G457</f>
        <v>1056</v>
      </c>
      <c r="I457" s="6" t="s">
        <v>5133</v>
      </c>
    </row>
    <row r="458" customFormat="false" ht="15" hidden="false" customHeight="false" outlineLevel="0" collapsed="false">
      <c r="A458" s="6" t="s">
        <v>5664</v>
      </c>
      <c r="B458" s="6" t="s">
        <v>4615</v>
      </c>
      <c r="C458" s="26" t="n">
        <v>46040</v>
      </c>
      <c r="D458" s="6" t="s">
        <v>5298</v>
      </c>
      <c r="E458" s="6" t="s">
        <v>23</v>
      </c>
      <c r="F458" s="6" t="n">
        <v>3</v>
      </c>
      <c r="G458" s="10" t="n">
        <v>264</v>
      </c>
      <c r="H458" s="10" t="n">
        <f aca="false">F458*G458</f>
        <v>792</v>
      </c>
      <c r="I458" s="6" t="s">
        <v>5125</v>
      </c>
    </row>
    <row r="459" customFormat="false" ht="15" hidden="false" customHeight="false" outlineLevel="0" collapsed="false">
      <c r="A459" s="6" t="s">
        <v>5665</v>
      </c>
      <c r="B459" s="6" t="s">
        <v>3007</v>
      </c>
      <c r="C459" s="26" t="n">
        <v>46040</v>
      </c>
      <c r="D459" s="6" t="s">
        <v>5202</v>
      </c>
      <c r="E459" s="6" t="s">
        <v>23</v>
      </c>
      <c r="F459" s="6" t="n">
        <v>1</v>
      </c>
      <c r="G459" s="10" t="n">
        <v>245</v>
      </c>
      <c r="H459" s="10" t="n">
        <f aca="false">F459*G459</f>
        <v>245</v>
      </c>
      <c r="I459" s="6" t="s">
        <v>5133</v>
      </c>
    </row>
    <row r="460" customFormat="false" ht="15" hidden="false" customHeight="false" outlineLevel="0" collapsed="false">
      <c r="A460" s="6" t="s">
        <v>5666</v>
      </c>
      <c r="B460" s="6" t="s">
        <v>1163</v>
      </c>
      <c r="C460" s="26" t="n">
        <v>46040</v>
      </c>
      <c r="D460" s="6" t="s">
        <v>5466</v>
      </c>
      <c r="E460" s="6" t="s">
        <v>21</v>
      </c>
      <c r="F460" s="6" t="n">
        <v>1</v>
      </c>
      <c r="G460" s="10" t="n">
        <v>1768</v>
      </c>
      <c r="H460" s="10" t="n">
        <f aca="false">F460*G460</f>
        <v>1768</v>
      </c>
      <c r="I460" s="6" t="s">
        <v>5125</v>
      </c>
    </row>
    <row r="461" customFormat="false" ht="15" hidden="false" customHeight="false" outlineLevel="0" collapsed="false">
      <c r="A461" s="6" t="s">
        <v>5667</v>
      </c>
      <c r="B461" s="6" t="s">
        <v>765</v>
      </c>
      <c r="C461" s="26" t="n">
        <v>46040</v>
      </c>
      <c r="D461" s="6" t="s">
        <v>5171</v>
      </c>
      <c r="E461" s="6" t="s">
        <v>23</v>
      </c>
      <c r="F461" s="6" t="n">
        <v>3</v>
      </c>
      <c r="G461" s="10" t="n">
        <v>734</v>
      </c>
      <c r="H461" s="10" t="n">
        <f aca="false">F461*G461</f>
        <v>2202</v>
      </c>
      <c r="I461" s="6" t="s">
        <v>5148</v>
      </c>
    </row>
    <row r="462" customFormat="false" ht="15" hidden="false" customHeight="false" outlineLevel="0" collapsed="false">
      <c r="A462" s="6" t="s">
        <v>5668</v>
      </c>
      <c r="B462" s="6" t="s">
        <v>2003</v>
      </c>
      <c r="C462" s="26" t="n">
        <v>46040</v>
      </c>
      <c r="D462" s="6" t="s">
        <v>5220</v>
      </c>
      <c r="E462" s="6" t="s">
        <v>24</v>
      </c>
      <c r="F462" s="6" t="n">
        <v>3</v>
      </c>
      <c r="G462" s="10" t="n">
        <v>1008</v>
      </c>
      <c r="H462" s="10" t="n">
        <f aca="false">F462*G462</f>
        <v>3024</v>
      </c>
      <c r="I462" s="6" t="s">
        <v>5133</v>
      </c>
    </row>
    <row r="463" customFormat="false" ht="15" hidden="false" customHeight="false" outlineLevel="0" collapsed="false">
      <c r="A463" s="6" t="s">
        <v>5669</v>
      </c>
      <c r="B463" s="6" t="s">
        <v>3463</v>
      </c>
      <c r="C463" s="26" t="n">
        <v>46040</v>
      </c>
      <c r="D463" s="6" t="s">
        <v>5460</v>
      </c>
      <c r="E463" s="6" t="s">
        <v>24</v>
      </c>
      <c r="F463" s="6" t="n">
        <v>3</v>
      </c>
      <c r="G463" s="10" t="n">
        <v>528</v>
      </c>
      <c r="H463" s="10" t="n">
        <f aca="false">F463*G463</f>
        <v>1584</v>
      </c>
      <c r="I463" s="6" t="s">
        <v>5148</v>
      </c>
    </row>
    <row r="464" customFormat="false" ht="15" hidden="false" customHeight="false" outlineLevel="0" collapsed="false">
      <c r="A464" s="6" t="s">
        <v>5670</v>
      </c>
      <c r="B464" s="6" t="s">
        <v>921</v>
      </c>
      <c r="C464" s="26" t="n">
        <v>46040</v>
      </c>
      <c r="D464" s="6" t="s">
        <v>5185</v>
      </c>
      <c r="E464" s="6" t="s">
        <v>24</v>
      </c>
      <c r="F464" s="6" t="n">
        <v>1</v>
      </c>
      <c r="G464" s="10" t="n">
        <v>2033</v>
      </c>
      <c r="H464" s="10" t="n">
        <f aca="false">F464*G464</f>
        <v>2033</v>
      </c>
      <c r="I464" s="6" t="s">
        <v>5122</v>
      </c>
    </row>
    <row r="465" customFormat="false" ht="15" hidden="false" customHeight="false" outlineLevel="0" collapsed="false">
      <c r="A465" s="6" t="s">
        <v>5671</v>
      </c>
      <c r="B465" s="6" t="s">
        <v>679</v>
      </c>
      <c r="C465" s="26" t="n">
        <v>46040</v>
      </c>
      <c r="D465" s="6" t="s">
        <v>5180</v>
      </c>
      <c r="E465" s="6" t="s">
        <v>24</v>
      </c>
      <c r="F465" s="6" t="n">
        <v>1</v>
      </c>
      <c r="G465" s="10" t="n">
        <v>1987</v>
      </c>
      <c r="H465" s="10" t="n">
        <f aca="false">F465*G465</f>
        <v>1987</v>
      </c>
      <c r="I465" s="6" t="s">
        <v>5125</v>
      </c>
    </row>
    <row r="466" customFormat="false" ht="15" hidden="false" customHeight="false" outlineLevel="0" collapsed="false">
      <c r="A466" s="6" t="s">
        <v>5672</v>
      </c>
      <c r="B466" s="6" t="s">
        <v>4507</v>
      </c>
      <c r="C466" s="26" t="n">
        <v>46040</v>
      </c>
      <c r="D466" s="6" t="s">
        <v>5139</v>
      </c>
      <c r="E466" s="6" t="s">
        <v>23</v>
      </c>
      <c r="F466" s="6" t="n">
        <v>2</v>
      </c>
      <c r="G466" s="10" t="n">
        <v>251</v>
      </c>
      <c r="H466" s="10" t="n">
        <f aca="false">F466*G466</f>
        <v>502</v>
      </c>
      <c r="I466" s="6" t="s">
        <v>5130</v>
      </c>
    </row>
    <row r="467" customFormat="false" ht="15" hidden="false" customHeight="false" outlineLevel="0" collapsed="false">
      <c r="A467" s="6" t="s">
        <v>5673</v>
      </c>
      <c r="B467" s="6" t="s">
        <v>1789</v>
      </c>
      <c r="C467" s="26" t="n">
        <v>46040</v>
      </c>
      <c r="D467" s="6" t="s">
        <v>5383</v>
      </c>
      <c r="E467" s="6" t="s">
        <v>20</v>
      </c>
      <c r="F467" s="6" t="n">
        <v>1</v>
      </c>
      <c r="G467" s="10" t="n">
        <v>1065</v>
      </c>
      <c r="H467" s="10" t="n">
        <f aca="false">F467*G467</f>
        <v>1065</v>
      </c>
      <c r="I467" s="6" t="s">
        <v>5125</v>
      </c>
    </row>
    <row r="468" customFormat="false" ht="15" hidden="false" customHeight="false" outlineLevel="0" collapsed="false">
      <c r="A468" s="6" t="s">
        <v>5674</v>
      </c>
      <c r="B468" s="6" t="s">
        <v>1793</v>
      </c>
      <c r="C468" s="26" t="n">
        <v>46040</v>
      </c>
      <c r="D468" s="6" t="s">
        <v>5357</v>
      </c>
      <c r="E468" s="6" t="s">
        <v>23</v>
      </c>
      <c r="F468" s="6" t="n">
        <v>1</v>
      </c>
      <c r="G468" s="10" t="n">
        <v>534</v>
      </c>
      <c r="H468" s="10" t="n">
        <f aca="false">F468*G468</f>
        <v>534</v>
      </c>
      <c r="I468" s="6" t="s">
        <v>5122</v>
      </c>
    </row>
    <row r="469" customFormat="false" ht="15" hidden="false" customHeight="false" outlineLevel="0" collapsed="false">
      <c r="A469" s="6" t="s">
        <v>5675</v>
      </c>
      <c r="B469" s="6" t="s">
        <v>2491</v>
      </c>
      <c r="C469" s="26" t="n">
        <v>46040</v>
      </c>
      <c r="D469" s="6" t="s">
        <v>5139</v>
      </c>
      <c r="E469" s="6" t="s">
        <v>23</v>
      </c>
      <c r="F469" s="6" t="n">
        <v>1</v>
      </c>
      <c r="G469" s="10" t="n">
        <v>278</v>
      </c>
      <c r="H469" s="10" t="n">
        <f aca="false">F469*G469</f>
        <v>278</v>
      </c>
      <c r="I469" s="6" t="s">
        <v>5133</v>
      </c>
    </row>
    <row r="470" customFormat="false" ht="15" hidden="false" customHeight="false" outlineLevel="0" collapsed="false">
      <c r="A470" s="6" t="s">
        <v>5676</v>
      </c>
      <c r="B470" s="6" t="s">
        <v>4205</v>
      </c>
      <c r="C470" s="26" t="n">
        <v>46040</v>
      </c>
      <c r="D470" s="6" t="s">
        <v>5156</v>
      </c>
      <c r="E470" s="6" t="s">
        <v>21</v>
      </c>
      <c r="F470" s="6" t="n">
        <v>1</v>
      </c>
      <c r="G470" s="10" t="n">
        <v>2161</v>
      </c>
      <c r="H470" s="10" t="n">
        <f aca="false">F470*G470</f>
        <v>2161</v>
      </c>
      <c r="I470" s="6" t="s">
        <v>5148</v>
      </c>
    </row>
    <row r="471" customFormat="false" ht="15" hidden="false" customHeight="false" outlineLevel="0" collapsed="false">
      <c r="A471" s="6" t="s">
        <v>5677</v>
      </c>
      <c r="B471" s="6" t="s">
        <v>1259</v>
      </c>
      <c r="C471" s="26" t="n">
        <v>46040</v>
      </c>
      <c r="D471" s="6" t="s">
        <v>5124</v>
      </c>
      <c r="E471" s="6" t="s">
        <v>21</v>
      </c>
      <c r="F471" s="6" t="n">
        <v>1</v>
      </c>
      <c r="G471" s="10" t="n">
        <v>3095</v>
      </c>
      <c r="H471" s="10" t="n">
        <f aca="false">F471*G471</f>
        <v>3095</v>
      </c>
      <c r="I471" s="6" t="s">
        <v>5122</v>
      </c>
    </row>
    <row r="472" customFormat="false" ht="15" hidden="false" customHeight="false" outlineLevel="0" collapsed="false">
      <c r="A472" s="6" t="s">
        <v>5678</v>
      </c>
      <c r="B472" s="6" t="s">
        <v>709</v>
      </c>
      <c r="C472" s="26" t="n">
        <v>46040</v>
      </c>
      <c r="D472" s="6" t="s">
        <v>5458</v>
      </c>
      <c r="E472" s="6" t="s">
        <v>24</v>
      </c>
      <c r="F472" s="6" t="n">
        <v>4</v>
      </c>
      <c r="G472" s="10" t="n">
        <v>559</v>
      </c>
      <c r="H472" s="10" t="n">
        <f aca="false">F472*G472</f>
        <v>2236</v>
      </c>
      <c r="I472" s="6" t="s">
        <v>5122</v>
      </c>
    </row>
    <row r="473" customFormat="false" ht="15" hidden="false" customHeight="false" outlineLevel="0" collapsed="false">
      <c r="A473" s="6" t="s">
        <v>5679</v>
      </c>
      <c r="B473" s="6" t="s">
        <v>1271</v>
      </c>
      <c r="C473" s="26" t="n">
        <v>46040</v>
      </c>
      <c r="D473" s="6" t="s">
        <v>5121</v>
      </c>
      <c r="E473" s="6" t="s">
        <v>22</v>
      </c>
      <c r="F473" s="6" t="n">
        <v>1</v>
      </c>
      <c r="G473" s="10" t="n">
        <v>977</v>
      </c>
      <c r="H473" s="10" t="n">
        <f aca="false">F473*G473</f>
        <v>977</v>
      </c>
      <c r="I473" s="6" t="s">
        <v>5122</v>
      </c>
    </row>
    <row r="474" customFormat="false" ht="15" hidden="false" customHeight="false" outlineLevel="0" collapsed="false">
      <c r="A474" s="6" t="s">
        <v>5680</v>
      </c>
      <c r="B474" s="6" t="s">
        <v>2141</v>
      </c>
      <c r="C474" s="26" t="n">
        <v>46040</v>
      </c>
      <c r="D474" s="6" t="s">
        <v>5235</v>
      </c>
      <c r="E474" s="6" t="s">
        <v>21</v>
      </c>
      <c r="F474" s="6" t="n">
        <v>1</v>
      </c>
      <c r="G474" s="10" t="n">
        <v>1670</v>
      </c>
      <c r="H474" s="10" t="n">
        <f aca="false">F474*G474</f>
        <v>1670</v>
      </c>
      <c r="I474" s="6" t="s">
        <v>5148</v>
      </c>
    </row>
    <row r="475" customFormat="false" ht="15" hidden="false" customHeight="false" outlineLevel="0" collapsed="false">
      <c r="A475" s="6" t="s">
        <v>5681</v>
      </c>
      <c r="B475" s="6" t="s">
        <v>3177</v>
      </c>
      <c r="C475" s="26" t="n">
        <v>46040</v>
      </c>
      <c r="D475" s="6" t="s">
        <v>5165</v>
      </c>
      <c r="E475" s="6" t="s">
        <v>22</v>
      </c>
      <c r="F475" s="6" t="n">
        <v>2</v>
      </c>
      <c r="G475" s="10" t="n">
        <v>928</v>
      </c>
      <c r="H475" s="10" t="n">
        <f aca="false">F475*G475</f>
        <v>1856</v>
      </c>
      <c r="I475" s="6" t="s">
        <v>5122</v>
      </c>
    </row>
    <row r="476" customFormat="false" ht="15" hidden="false" customHeight="false" outlineLevel="0" collapsed="false">
      <c r="A476" s="6" t="s">
        <v>5682</v>
      </c>
      <c r="B476" s="6" t="s">
        <v>4521</v>
      </c>
      <c r="C476" s="26" t="n">
        <v>46040</v>
      </c>
      <c r="D476" s="6" t="s">
        <v>5683</v>
      </c>
      <c r="E476" s="6" t="s">
        <v>22</v>
      </c>
      <c r="F476" s="6" t="n">
        <v>1</v>
      </c>
      <c r="G476" s="10" t="n">
        <v>1671</v>
      </c>
      <c r="H476" s="10" t="n">
        <f aca="false">F476*G476</f>
        <v>1671</v>
      </c>
      <c r="I476" s="6" t="s">
        <v>5173</v>
      </c>
    </row>
    <row r="477" customFormat="false" ht="15" hidden="false" customHeight="false" outlineLevel="0" collapsed="false">
      <c r="A477" s="6" t="s">
        <v>5684</v>
      </c>
      <c r="B477" s="6" t="s">
        <v>733</v>
      </c>
      <c r="C477" s="26" t="n">
        <v>46040</v>
      </c>
      <c r="D477" s="6" t="s">
        <v>5561</v>
      </c>
      <c r="E477" s="6" t="s">
        <v>20</v>
      </c>
      <c r="F477" s="6" t="n">
        <v>1</v>
      </c>
      <c r="G477" s="10" t="n">
        <v>3196</v>
      </c>
      <c r="H477" s="10" t="n">
        <f aca="false">F477*G477</f>
        <v>3196</v>
      </c>
      <c r="I477" s="6" t="s">
        <v>5122</v>
      </c>
    </row>
    <row r="478" customFormat="false" ht="15" hidden="false" customHeight="false" outlineLevel="0" collapsed="false">
      <c r="A478" s="6" t="s">
        <v>5685</v>
      </c>
      <c r="B478" s="6" t="s">
        <v>1279</v>
      </c>
      <c r="C478" s="26" t="n">
        <v>46040</v>
      </c>
      <c r="D478" s="6" t="s">
        <v>5167</v>
      </c>
      <c r="E478" s="6" t="s">
        <v>22</v>
      </c>
      <c r="F478" s="6" t="n">
        <v>2</v>
      </c>
      <c r="G478" s="10" t="n">
        <v>782</v>
      </c>
      <c r="H478" s="10" t="n">
        <f aca="false">F478*G478</f>
        <v>1564</v>
      </c>
      <c r="I478" s="6" t="s">
        <v>5122</v>
      </c>
    </row>
    <row r="479" customFormat="false" ht="15" hidden="false" customHeight="false" outlineLevel="0" collapsed="false">
      <c r="A479" s="6" t="s">
        <v>5686</v>
      </c>
      <c r="B479" s="6" t="s">
        <v>3441</v>
      </c>
      <c r="C479" s="26" t="n">
        <v>46040</v>
      </c>
      <c r="D479" s="6" t="s">
        <v>5687</v>
      </c>
      <c r="E479" s="6" t="s">
        <v>20</v>
      </c>
      <c r="F479" s="6" t="n">
        <v>1</v>
      </c>
      <c r="G479" s="10" t="n">
        <v>2039</v>
      </c>
      <c r="H479" s="10" t="n">
        <f aca="false">F479*G479</f>
        <v>2039</v>
      </c>
      <c r="I479" s="6" t="s">
        <v>5148</v>
      </c>
    </row>
    <row r="480" customFormat="false" ht="15" hidden="false" customHeight="false" outlineLevel="0" collapsed="false">
      <c r="A480" s="6" t="s">
        <v>5688</v>
      </c>
      <c r="B480" s="6" t="s">
        <v>3943</v>
      </c>
      <c r="C480" s="26" t="n">
        <v>46040</v>
      </c>
      <c r="D480" s="6" t="s">
        <v>5398</v>
      </c>
      <c r="E480" s="6" t="s">
        <v>24</v>
      </c>
      <c r="F480" s="6" t="n">
        <v>3</v>
      </c>
      <c r="G480" s="10" t="n">
        <v>610</v>
      </c>
      <c r="H480" s="10" t="n">
        <f aca="false">F480*G480</f>
        <v>1830</v>
      </c>
      <c r="I480" s="6" t="s">
        <v>5122</v>
      </c>
    </row>
    <row r="481" customFormat="false" ht="15" hidden="false" customHeight="false" outlineLevel="0" collapsed="false">
      <c r="A481" s="6" t="s">
        <v>5689</v>
      </c>
      <c r="B481" s="6" t="s">
        <v>593</v>
      </c>
      <c r="C481" s="26" t="n">
        <v>46040</v>
      </c>
      <c r="D481" s="6" t="s">
        <v>5167</v>
      </c>
      <c r="E481" s="6" t="s">
        <v>22</v>
      </c>
      <c r="F481" s="6" t="n">
        <v>2</v>
      </c>
      <c r="G481" s="10" t="n">
        <v>703</v>
      </c>
      <c r="H481" s="10" t="n">
        <f aca="false">F481*G481</f>
        <v>1406</v>
      </c>
      <c r="I481" s="6" t="s">
        <v>5122</v>
      </c>
    </row>
    <row r="482" customFormat="false" ht="15" hidden="false" customHeight="false" outlineLevel="0" collapsed="false">
      <c r="A482" s="6" t="s">
        <v>5690</v>
      </c>
      <c r="B482" s="6" t="s">
        <v>4787</v>
      </c>
      <c r="C482" s="26" t="n">
        <v>46041</v>
      </c>
      <c r="D482" s="6" t="s">
        <v>5691</v>
      </c>
      <c r="E482" s="6" t="s">
        <v>21</v>
      </c>
      <c r="F482" s="6" t="n">
        <v>1</v>
      </c>
      <c r="G482" s="10" t="n">
        <v>5897</v>
      </c>
      <c r="H482" s="10" t="n">
        <f aca="false">F482*G482</f>
        <v>5897</v>
      </c>
      <c r="I482" s="6" t="s">
        <v>5122</v>
      </c>
    </row>
    <row r="483" customFormat="false" ht="15" hidden="false" customHeight="false" outlineLevel="0" collapsed="false">
      <c r="A483" s="6" t="s">
        <v>5692</v>
      </c>
      <c r="B483" s="6" t="s">
        <v>4955</v>
      </c>
      <c r="C483" s="26" t="n">
        <v>46041</v>
      </c>
      <c r="D483" s="6" t="s">
        <v>5165</v>
      </c>
      <c r="E483" s="6" t="s">
        <v>22</v>
      </c>
      <c r="F483" s="6" t="n">
        <v>4</v>
      </c>
      <c r="G483" s="10" t="n">
        <v>977</v>
      </c>
      <c r="H483" s="10" t="n">
        <f aca="false">F483*G483</f>
        <v>3908</v>
      </c>
      <c r="I483" s="6" t="s">
        <v>5130</v>
      </c>
    </row>
    <row r="484" customFormat="false" ht="15" hidden="false" customHeight="false" outlineLevel="0" collapsed="false">
      <c r="A484" s="6" t="s">
        <v>5693</v>
      </c>
      <c r="B484" s="6" t="s">
        <v>2141</v>
      </c>
      <c r="C484" s="26" t="n">
        <v>46041</v>
      </c>
      <c r="D484" s="6" t="s">
        <v>5561</v>
      </c>
      <c r="E484" s="6" t="s">
        <v>20</v>
      </c>
      <c r="F484" s="6" t="n">
        <v>1</v>
      </c>
      <c r="G484" s="10" t="n">
        <v>3028</v>
      </c>
      <c r="H484" s="10" t="n">
        <f aca="false">F484*G484</f>
        <v>3028</v>
      </c>
      <c r="I484" s="6" t="s">
        <v>5122</v>
      </c>
    </row>
    <row r="485" customFormat="false" ht="15" hidden="false" customHeight="false" outlineLevel="0" collapsed="false">
      <c r="A485" s="6" t="s">
        <v>5694</v>
      </c>
      <c r="B485" s="6" t="s">
        <v>221</v>
      </c>
      <c r="C485" s="26" t="n">
        <v>46041</v>
      </c>
      <c r="D485" s="6" t="s">
        <v>5171</v>
      </c>
      <c r="E485" s="6" t="s">
        <v>23</v>
      </c>
      <c r="F485" s="6" t="n">
        <v>3</v>
      </c>
      <c r="G485" s="10" t="n">
        <v>697</v>
      </c>
      <c r="H485" s="10" t="n">
        <f aca="false">F485*G485</f>
        <v>2091</v>
      </c>
      <c r="I485" s="6" t="s">
        <v>5122</v>
      </c>
    </row>
    <row r="486" customFormat="false" ht="15" hidden="false" customHeight="false" outlineLevel="0" collapsed="false">
      <c r="A486" s="6" t="s">
        <v>5695</v>
      </c>
      <c r="B486" s="6" t="s">
        <v>781</v>
      </c>
      <c r="C486" s="26" t="n">
        <v>46041</v>
      </c>
      <c r="D486" s="6" t="s">
        <v>5561</v>
      </c>
      <c r="E486" s="6" t="s">
        <v>20</v>
      </c>
      <c r="F486" s="6" t="n">
        <v>1</v>
      </c>
      <c r="G486" s="10" t="n">
        <v>3364</v>
      </c>
      <c r="H486" s="10" t="n">
        <f aca="false">F486*G486</f>
        <v>3364</v>
      </c>
      <c r="I486" s="6" t="s">
        <v>5148</v>
      </c>
    </row>
    <row r="487" customFormat="false" ht="15" hidden="false" customHeight="false" outlineLevel="0" collapsed="false">
      <c r="A487" s="6" t="s">
        <v>5696</v>
      </c>
      <c r="B487" s="6" t="s">
        <v>3007</v>
      </c>
      <c r="C487" s="26" t="n">
        <v>46041</v>
      </c>
      <c r="D487" s="6" t="s">
        <v>5466</v>
      </c>
      <c r="E487" s="6" t="s">
        <v>21</v>
      </c>
      <c r="F487" s="6" t="n">
        <v>1</v>
      </c>
      <c r="G487" s="10" t="n">
        <v>1965</v>
      </c>
      <c r="H487" s="10" t="n">
        <f aca="false">F487*G487</f>
        <v>1965</v>
      </c>
      <c r="I487" s="6" t="s">
        <v>5148</v>
      </c>
    </row>
    <row r="488" customFormat="false" ht="15" hidden="false" customHeight="false" outlineLevel="0" collapsed="false">
      <c r="A488" s="6" t="s">
        <v>5697</v>
      </c>
      <c r="B488" s="6" t="s">
        <v>3715</v>
      </c>
      <c r="C488" s="26" t="n">
        <v>46041</v>
      </c>
      <c r="D488" s="6" t="s">
        <v>5185</v>
      </c>
      <c r="E488" s="6" t="s">
        <v>24</v>
      </c>
      <c r="F488" s="6" t="n">
        <v>3</v>
      </c>
      <c r="G488" s="10" t="n">
        <v>2140</v>
      </c>
      <c r="H488" s="10" t="n">
        <f aca="false">F488*G488</f>
        <v>6420</v>
      </c>
      <c r="I488" s="6" t="s">
        <v>5125</v>
      </c>
    </row>
    <row r="489" customFormat="false" ht="15" hidden="false" customHeight="false" outlineLevel="0" collapsed="false">
      <c r="A489" s="6" t="s">
        <v>5698</v>
      </c>
      <c r="B489" s="6" t="s">
        <v>2065</v>
      </c>
      <c r="C489" s="26" t="n">
        <v>46041</v>
      </c>
      <c r="D489" s="6" t="s">
        <v>5171</v>
      </c>
      <c r="E489" s="6" t="s">
        <v>23</v>
      </c>
      <c r="F489" s="6" t="n">
        <v>2</v>
      </c>
      <c r="G489" s="10" t="n">
        <v>734</v>
      </c>
      <c r="H489" s="10" t="n">
        <f aca="false">F489*G489</f>
        <v>1468</v>
      </c>
      <c r="I489" s="6" t="s">
        <v>5122</v>
      </c>
    </row>
    <row r="490" customFormat="false" ht="15" hidden="false" customHeight="false" outlineLevel="0" collapsed="false">
      <c r="A490" s="6" t="s">
        <v>5699</v>
      </c>
      <c r="B490" s="6" t="s">
        <v>4463</v>
      </c>
      <c r="C490" s="26" t="n">
        <v>46041</v>
      </c>
      <c r="D490" s="6" t="s">
        <v>5687</v>
      </c>
      <c r="E490" s="6" t="s">
        <v>20</v>
      </c>
      <c r="F490" s="6" t="n">
        <v>1</v>
      </c>
      <c r="G490" s="10" t="n">
        <v>2039</v>
      </c>
      <c r="H490" s="10" t="n">
        <f aca="false">F490*G490</f>
        <v>2039</v>
      </c>
      <c r="I490" s="6" t="s">
        <v>5122</v>
      </c>
    </row>
    <row r="491" customFormat="false" ht="15" hidden="false" customHeight="false" outlineLevel="0" collapsed="false">
      <c r="A491" s="6" t="s">
        <v>5700</v>
      </c>
      <c r="B491" s="6" t="s">
        <v>2751</v>
      </c>
      <c r="C491" s="26" t="n">
        <v>46041</v>
      </c>
      <c r="D491" s="6" t="s">
        <v>5156</v>
      </c>
      <c r="E491" s="6" t="s">
        <v>21</v>
      </c>
      <c r="F491" s="6" t="n">
        <v>1</v>
      </c>
      <c r="G491" s="10" t="n">
        <v>1945</v>
      </c>
      <c r="H491" s="10" t="n">
        <f aca="false">F491*G491</f>
        <v>1945</v>
      </c>
      <c r="I491" s="6" t="s">
        <v>5125</v>
      </c>
    </row>
    <row r="492" customFormat="false" ht="15" hidden="false" customHeight="false" outlineLevel="0" collapsed="false">
      <c r="A492" s="6" t="s">
        <v>5701</v>
      </c>
      <c r="B492" s="6" t="s">
        <v>2157</v>
      </c>
      <c r="C492" s="26" t="n">
        <v>46041</v>
      </c>
      <c r="D492" s="6" t="s">
        <v>5423</v>
      </c>
      <c r="E492" s="6" t="s">
        <v>21</v>
      </c>
      <c r="F492" s="6" t="n">
        <v>1</v>
      </c>
      <c r="G492" s="10" t="n">
        <v>2918</v>
      </c>
      <c r="H492" s="10" t="n">
        <f aca="false">F492*G492</f>
        <v>2918</v>
      </c>
      <c r="I492" s="6" t="s">
        <v>5122</v>
      </c>
    </row>
    <row r="493" customFormat="false" ht="15" hidden="false" customHeight="false" outlineLevel="0" collapsed="false">
      <c r="A493" s="6" t="s">
        <v>5702</v>
      </c>
      <c r="B493" s="6" t="s">
        <v>1421</v>
      </c>
      <c r="C493" s="26" t="n">
        <v>46041</v>
      </c>
      <c r="D493" s="6" t="s">
        <v>5167</v>
      </c>
      <c r="E493" s="6" t="s">
        <v>22</v>
      </c>
      <c r="F493" s="6" t="n">
        <v>3</v>
      </c>
      <c r="G493" s="10" t="n">
        <v>782</v>
      </c>
      <c r="H493" s="10" t="n">
        <f aca="false">F493*G493</f>
        <v>2346</v>
      </c>
      <c r="I493" s="6" t="s">
        <v>5122</v>
      </c>
    </row>
    <row r="494" customFormat="false" ht="15" hidden="false" customHeight="false" outlineLevel="0" collapsed="false">
      <c r="A494" s="6" t="s">
        <v>5703</v>
      </c>
      <c r="B494" s="6" t="s">
        <v>4165</v>
      </c>
      <c r="C494" s="26" t="n">
        <v>46041</v>
      </c>
      <c r="D494" s="6" t="s">
        <v>5171</v>
      </c>
      <c r="E494" s="6" t="s">
        <v>23</v>
      </c>
      <c r="F494" s="6" t="n">
        <v>3</v>
      </c>
      <c r="G494" s="10" t="n">
        <v>734</v>
      </c>
      <c r="H494" s="10" t="n">
        <f aca="false">F494*G494</f>
        <v>2202</v>
      </c>
      <c r="I494" s="6" t="s">
        <v>5122</v>
      </c>
    </row>
    <row r="495" customFormat="false" ht="15" hidden="false" customHeight="false" outlineLevel="0" collapsed="false">
      <c r="A495" s="6" t="s">
        <v>5704</v>
      </c>
      <c r="B495" s="6" t="s">
        <v>4259</v>
      </c>
      <c r="C495" s="26" t="n">
        <v>46041</v>
      </c>
      <c r="D495" s="6" t="s">
        <v>5167</v>
      </c>
      <c r="E495" s="6" t="s">
        <v>22</v>
      </c>
      <c r="F495" s="6" t="n">
        <v>2</v>
      </c>
      <c r="G495" s="10" t="n">
        <v>703</v>
      </c>
      <c r="H495" s="10" t="n">
        <f aca="false">F495*G495</f>
        <v>1406</v>
      </c>
      <c r="I495" s="6" t="s">
        <v>5148</v>
      </c>
    </row>
    <row r="496" customFormat="false" ht="15" hidden="false" customHeight="false" outlineLevel="0" collapsed="false">
      <c r="A496" s="6" t="s">
        <v>5705</v>
      </c>
      <c r="B496" s="6" t="s">
        <v>2827</v>
      </c>
      <c r="C496" s="26" t="n">
        <v>46041</v>
      </c>
      <c r="D496" s="6" t="s">
        <v>5165</v>
      </c>
      <c r="E496" s="6" t="s">
        <v>22</v>
      </c>
      <c r="F496" s="6" t="n">
        <v>3</v>
      </c>
      <c r="G496" s="10" t="n">
        <v>977</v>
      </c>
      <c r="H496" s="10" t="n">
        <f aca="false">F496*G496</f>
        <v>2931</v>
      </c>
      <c r="I496" s="6" t="s">
        <v>5125</v>
      </c>
    </row>
    <row r="497" customFormat="false" ht="15" hidden="false" customHeight="false" outlineLevel="0" collapsed="false">
      <c r="A497" s="6" t="s">
        <v>5706</v>
      </c>
      <c r="B497" s="6" t="s">
        <v>845</v>
      </c>
      <c r="C497" s="26" t="n">
        <v>46041</v>
      </c>
      <c r="D497" s="6" t="s">
        <v>5707</v>
      </c>
      <c r="E497" s="6" t="s">
        <v>22</v>
      </c>
      <c r="F497" s="6" t="n">
        <v>1</v>
      </c>
      <c r="G497" s="10" t="n">
        <v>2445</v>
      </c>
      <c r="H497" s="10" t="n">
        <f aca="false">F497*G497</f>
        <v>2445</v>
      </c>
      <c r="I497" s="6" t="s">
        <v>5122</v>
      </c>
    </row>
    <row r="498" customFormat="false" ht="15" hidden="false" customHeight="false" outlineLevel="0" collapsed="false">
      <c r="A498" s="6" t="s">
        <v>5708</v>
      </c>
      <c r="B498" s="6" t="s">
        <v>4091</v>
      </c>
      <c r="C498" s="26" t="n">
        <v>46041</v>
      </c>
      <c r="D498" s="6" t="s">
        <v>5242</v>
      </c>
      <c r="E498" s="6" t="s">
        <v>23</v>
      </c>
      <c r="F498" s="6" t="n">
        <v>3</v>
      </c>
      <c r="G498" s="10" t="n">
        <v>372</v>
      </c>
      <c r="H498" s="10" t="n">
        <f aca="false">F498*G498</f>
        <v>1116</v>
      </c>
      <c r="I498" s="6" t="s">
        <v>5122</v>
      </c>
    </row>
    <row r="499" customFormat="false" ht="15" hidden="false" customHeight="false" outlineLevel="0" collapsed="false">
      <c r="A499" s="6" t="s">
        <v>5709</v>
      </c>
      <c r="B499" s="6" t="s">
        <v>1981</v>
      </c>
      <c r="C499" s="26" t="n">
        <v>46041</v>
      </c>
      <c r="D499" s="6" t="s">
        <v>5192</v>
      </c>
      <c r="E499" s="6" t="s">
        <v>20</v>
      </c>
      <c r="F499" s="6" t="n">
        <v>1</v>
      </c>
      <c r="G499" s="10" t="n">
        <v>4078</v>
      </c>
      <c r="H499" s="10" t="n">
        <f aca="false">F499*G499</f>
        <v>4078</v>
      </c>
      <c r="I499" s="6" t="s">
        <v>5148</v>
      </c>
    </row>
    <row r="500" customFormat="false" ht="15" hidden="false" customHeight="false" outlineLevel="0" collapsed="false">
      <c r="A500" s="6" t="s">
        <v>5710</v>
      </c>
      <c r="B500" s="6" t="s">
        <v>4145</v>
      </c>
      <c r="C500" s="26" t="n">
        <v>46041</v>
      </c>
      <c r="D500" s="6" t="s">
        <v>5197</v>
      </c>
      <c r="E500" s="6" t="s">
        <v>21</v>
      </c>
      <c r="F500" s="6" t="n">
        <v>1</v>
      </c>
      <c r="G500" s="10" t="n">
        <v>1080</v>
      </c>
      <c r="H500" s="10" t="n">
        <f aca="false">F500*G500</f>
        <v>1080</v>
      </c>
      <c r="I500" s="6" t="s">
        <v>5122</v>
      </c>
    </row>
    <row r="501" customFormat="false" ht="15" hidden="false" customHeight="false" outlineLevel="0" collapsed="false">
      <c r="A501" s="6" t="s">
        <v>5711</v>
      </c>
      <c r="B501" s="6" t="s">
        <v>451</v>
      </c>
      <c r="C501" s="26" t="n">
        <v>46041</v>
      </c>
      <c r="D501" s="6" t="s">
        <v>5220</v>
      </c>
      <c r="E501" s="6" t="s">
        <v>24</v>
      </c>
      <c r="F501" s="6" t="n">
        <v>2</v>
      </c>
      <c r="G501" s="10" t="n">
        <v>1008</v>
      </c>
      <c r="H501" s="10" t="n">
        <f aca="false">F501*G501</f>
        <v>2016</v>
      </c>
      <c r="I501" s="6" t="s">
        <v>5122</v>
      </c>
    </row>
    <row r="502" customFormat="false" ht="15" hidden="false" customHeight="false" outlineLevel="0" collapsed="false">
      <c r="A502" s="6" t="s">
        <v>5712</v>
      </c>
      <c r="B502" s="6" t="s">
        <v>3941</v>
      </c>
      <c r="C502" s="26" t="n">
        <v>46042</v>
      </c>
      <c r="D502" s="6" t="s">
        <v>5175</v>
      </c>
      <c r="E502" s="6" t="s">
        <v>24</v>
      </c>
      <c r="F502" s="6" t="n">
        <v>2</v>
      </c>
      <c r="G502" s="10" t="n">
        <v>549</v>
      </c>
      <c r="H502" s="10" t="n">
        <f aca="false">F502*G502</f>
        <v>1098</v>
      </c>
      <c r="I502" s="6" t="s">
        <v>5122</v>
      </c>
    </row>
    <row r="503" customFormat="false" ht="15" hidden="false" customHeight="false" outlineLevel="0" collapsed="false">
      <c r="A503" s="6" t="s">
        <v>5713</v>
      </c>
      <c r="B503" s="6" t="s">
        <v>2621</v>
      </c>
      <c r="C503" s="26" t="n">
        <v>46042</v>
      </c>
      <c r="D503" s="6" t="s">
        <v>5165</v>
      </c>
      <c r="E503" s="6" t="s">
        <v>22</v>
      </c>
      <c r="F503" s="6" t="n">
        <v>2</v>
      </c>
      <c r="G503" s="10" t="n">
        <v>977</v>
      </c>
      <c r="H503" s="10" t="n">
        <f aca="false">F503*G503</f>
        <v>1954</v>
      </c>
      <c r="I503" s="6" t="s">
        <v>5122</v>
      </c>
    </row>
    <row r="504" customFormat="false" ht="15" hidden="false" customHeight="false" outlineLevel="0" collapsed="false">
      <c r="A504" s="6" t="s">
        <v>5714</v>
      </c>
      <c r="B504" s="6" t="s">
        <v>4045</v>
      </c>
      <c r="C504" s="26" t="n">
        <v>46042</v>
      </c>
      <c r="D504" s="6" t="s">
        <v>5167</v>
      </c>
      <c r="E504" s="6" t="s">
        <v>22</v>
      </c>
      <c r="F504" s="6" t="n">
        <v>1</v>
      </c>
      <c r="G504" s="10" t="n">
        <v>703</v>
      </c>
      <c r="H504" s="10" t="n">
        <f aca="false">F504*G504</f>
        <v>703</v>
      </c>
      <c r="I504" s="6" t="s">
        <v>5122</v>
      </c>
    </row>
    <row r="505" customFormat="false" ht="15" hidden="false" customHeight="false" outlineLevel="0" collapsed="false">
      <c r="A505" s="6" t="s">
        <v>5715</v>
      </c>
      <c r="B505" s="6" t="s">
        <v>463</v>
      </c>
      <c r="C505" s="26" t="n">
        <v>46042</v>
      </c>
      <c r="D505" s="6" t="s">
        <v>5167</v>
      </c>
      <c r="E505" s="6" t="s">
        <v>22</v>
      </c>
      <c r="F505" s="6" t="n">
        <v>2</v>
      </c>
      <c r="G505" s="10" t="n">
        <v>782</v>
      </c>
      <c r="H505" s="10" t="n">
        <f aca="false">F505*G505</f>
        <v>1564</v>
      </c>
      <c r="I505" s="6" t="s">
        <v>5122</v>
      </c>
    </row>
    <row r="506" customFormat="false" ht="15" hidden="false" customHeight="false" outlineLevel="0" collapsed="false">
      <c r="A506" s="6" t="s">
        <v>5716</v>
      </c>
      <c r="B506" s="6" t="s">
        <v>5021</v>
      </c>
      <c r="C506" s="26" t="n">
        <v>46042</v>
      </c>
      <c r="D506" s="6" t="s">
        <v>5216</v>
      </c>
      <c r="E506" s="6" t="s">
        <v>23</v>
      </c>
      <c r="F506" s="6" t="n">
        <v>5</v>
      </c>
      <c r="G506" s="10" t="n">
        <v>587</v>
      </c>
      <c r="H506" s="10" t="n">
        <f aca="false">F506*G506</f>
        <v>2935</v>
      </c>
      <c r="I506" s="6" t="s">
        <v>5122</v>
      </c>
    </row>
    <row r="507" customFormat="false" ht="15" hidden="false" customHeight="false" outlineLevel="0" collapsed="false">
      <c r="A507" s="6" t="s">
        <v>5717</v>
      </c>
      <c r="B507" s="6" t="s">
        <v>2273</v>
      </c>
      <c r="C507" s="26" t="n">
        <v>46042</v>
      </c>
      <c r="D507" s="6" t="s">
        <v>5214</v>
      </c>
      <c r="E507" s="6" t="s">
        <v>20</v>
      </c>
      <c r="F507" s="6" t="n">
        <v>1</v>
      </c>
      <c r="G507" s="10" t="n">
        <v>1937</v>
      </c>
      <c r="H507" s="10" t="n">
        <f aca="false">F507*G507</f>
        <v>1937</v>
      </c>
      <c r="I507" s="6" t="s">
        <v>5125</v>
      </c>
    </row>
    <row r="508" customFormat="false" ht="15" hidden="false" customHeight="false" outlineLevel="0" collapsed="false">
      <c r="A508" s="6" t="s">
        <v>5718</v>
      </c>
      <c r="B508" s="6" t="s">
        <v>3323</v>
      </c>
      <c r="C508" s="26" t="n">
        <v>46042</v>
      </c>
      <c r="D508" s="6" t="s">
        <v>5132</v>
      </c>
      <c r="E508" s="6" t="s">
        <v>23</v>
      </c>
      <c r="F508" s="6" t="n">
        <v>3</v>
      </c>
      <c r="G508" s="10" t="n">
        <v>342</v>
      </c>
      <c r="H508" s="10" t="n">
        <f aca="false">F508*G508</f>
        <v>1026</v>
      </c>
      <c r="I508" s="6" t="s">
        <v>5130</v>
      </c>
    </row>
    <row r="509" customFormat="false" ht="15" hidden="false" customHeight="false" outlineLevel="0" collapsed="false">
      <c r="A509" s="6" t="s">
        <v>5719</v>
      </c>
      <c r="B509" s="6" t="s">
        <v>4015</v>
      </c>
      <c r="C509" s="26" t="n">
        <v>46042</v>
      </c>
      <c r="D509" s="6" t="s">
        <v>5216</v>
      </c>
      <c r="E509" s="6" t="s">
        <v>23</v>
      </c>
      <c r="F509" s="6" t="n">
        <v>4</v>
      </c>
      <c r="G509" s="10" t="n">
        <v>528</v>
      </c>
      <c r="H509" s="10" t="n">
        <f aca="false">F509*G509</f>
        <v>2112</v>
      </c>
      <c r="I509" s="6" t="s">
        <v>5130</v>
      </c>
    </row>
    <row r="510" customFormat="false" ht="15" hidden="false" customHeight="false" outlineLevel="0" collapsed="false">
      <c r="A510" s="6" t="s">
        <v>5720</v>
      </c>
      <c r="B510" s="6" t="s">
        <v>4457</v>
      </c>
      <c r="C510" s="26" t="n">
        <v>46042</v>
      </c>
      <c r="D510" s="6" t="s">
        <v>5214</v>
      </c>
      <c r="E510" s="6" t="s">
        <v>20</v>
      </c>
      <c r="F510" s="6" t="n">
        <v>1</v>
      </c>
      <c r="G510" s="10" t="n">
        <v>2039</v>
      </c>
      <c r="H510" s="10" t="n">
        <f aca="false">F510*G510</f>
        <v>2039</v>
      </c>
      <c r="I510" s="6" t="s">
        <v>5173</v>
      </c>
    </row>
    <row r="511" customFormat="false" ht="15" hidden="false" customHeight="false" outlineLevel="0" collapsed="false">
      <c r="A511" s="6" t="s">
        <v>5721</v>
      </c>
      <c r="B511" s="6" t="s">
        <v>4745</v>
      </c>
      <c r="C511" s="26" t="n">
        <v>46042</v>
      </c>
      <c r="D511" s="6" t="s">
        <v>5160</v>
      </c>
      <c r="E511" s="6" t="s">
        <v>21</v>
      </c>
      <c r="F511" s="6" t="n">
        <v>1</v>
      </c>
      <c r="G511" s="10" t="n">
        <v>2751</v>
      </c>
      <c r="H511" s="10" t="n">
        <f aca="false">F511*G511</f>
        <v>2751</v>
      </c>
      <c r="I511" s="6" t="s">
        <v>5122</v>
      </c>
    </row>
    <row r="512" customFormat="false" ht="15" hidden="false" customHeight="false" outlineLevel="0" collapsed="false">
      <c r="A512" s="6" t="s">
        <v>5722</v>
      </c>
      <c r="B512" s="6" t="s">
        <v>1819</v>
      </c>
      <c r="C512" s="26" t="n">
        <v>46042</v>
      </c>
      <c r="D512" s="6" t="s">
        <v>5423</v>
      </c>
      <c r="E512" s="6" t="s">
        <v>21</v>
      </c>
      <c r="F512" s="6" t="n">
        <v>3</v>
      </c>
      <c r="G512" s="10" t="n">
        <v>3243</v>
      </c>
      <c r="H512" s="10" t="n">
        <f aca="false">F512*G512</f>
        <v>9729</v>
      </c>
      <c r="I512" s="6" t="s">
        <v>5125</v>
      </c>
    </row>
    <row r="513" customFormat="false" ht="15" hidden="false" customHeight="false" outlineLevel="0" collapsed="false">
      <c r="A513" s="6" t="s">
        <v>5723</v>
      </c>
      <c r="B513" s="6" t="s">
        <v>1081</v>
      </c>
      <c r="C513" s="26" t="n">
        <v>46042</v>
      </c>
      <c r="D513" s="6" t="s">
        <v>5145</v>
      </c>
      <c r="E513" s="6" t="s">
        <v>21</v>
      </c>
      <c r="F513" s="6" t="n">
        <v>1</v>
      </c>
      <c r="G513" s="10" t="n">
        <v>1277</v>
      </c>
      <c r="H513" s="10" t="n">
        <f aca="false">F513*G513</f>
        <v>1277</v>
      </c>
      <c r="I513" s="6" t="s">
        <v>5130</v>
      </c>
    </row>
    <row r="514" customFormat="false" ht="15" hidden="false" customHeight="false" outlineLevel="0" collapsed="false">
      <c r="A514" s="6" t="s">
        <v>5724</v>
      </c>
      <c r="B514" s="6" t="s">
        <v>4465</v>
      </c>
      <c r="C514" s="26" t="n">
        <v>46042</v>
      </c>
      <c r="D514" s="6" t="s">
        <v>5245</v>
      </c>
      <c r="E514" s="6" t="s">
        <v>21</v>
      </c>
      <c r="F514" s="6" t="n">
        <v>1</v>
      </c>
      <c r="G514" s="10" t="n">
        <v>2456</v>
      </c>
      <c r="H514" s="10" t="n">
        <f aca="false">F514*G514</f>
        <v>2456</v>
      </c>
      <c r="I514" s="6" t="s">
        <v>5122</v>
      </c>
    </row>
    <row r="515" customFormat="false" ht="15" hidden="false" customHeight="false" outlineLevel="0" collapsed="false">
      <c r="A515" s="6" t="s">
        <v>5725</v>
      </c>
      <c r="B515" s="6" t="s">
        <v>3773</v>
      </c>
      <c r="C515" s="26" t="n">
        <v>46042</v>
      </c>
      <c r="D515" s="6" t="s">
        <v>5182</v>
      </c>
      <c r="E515" s="6" t="s">
        <v>23</v>
      </c>
      <c r="F515" s="6" t="n">
        <v>5</v>
      </c>
      <c r="G515" s="10" t="n">
        <v>331</v>
      </c>
      <c r="H515" s="10" t="n">
        <f aca="false">F515*G515</f>
        <v>1655</v>
      </c>
      <c r="I515" s="6" t="s">
        <v>5122</v>
      </c>
    </row>
    <row r="516" customFormat="false" ht="15" hidden="false" customHeight="false" outlineLevel="0" collapsed="false">
      <c r="A516" s="6" t="s">
        <v>5726</v>
      </c>
      <c r="B516" s="6" t="s">
        <v>3275</v>
      </c>
      <c r="C516" s="26" t="n">
        <v>46042</v>
      </c>
      <c r="D516" s="6" t="s">
        <v>5154</v>
      </c>
      <c r="E516" s="6" t="s">
        <v>21</v>
      </c>
      <c r="F516" s="6" t="n">
        <v>2</v>
      </c>
      <c r="G516" s="10" t="n">
        <v>785</v>
      </c>
      <c r="H516" s="10" t="n">
        <f aca="false">F516*G516</f>
        <v>1570</v>
      </c>
      <c r="I516" s="6" t="s">
        <v>5130</v>
      </c>
    </row>
    <row r="517" customFormat="false" ht="15" hidden="false" customHeight="false" outlineLevel="0" collapsed="false">
      <c r="A517" s="6" t="s">
        <v>5727</v>
      </c>
      <c r="B517" s="6" t="s">
        <v>382</v>
      </c>
      <c r="C517" s="26" t="n">
        <v>46042</v>
      </c>
      <c r="D517" s="6" t="s">
        <v>5165</v>
      </c>
      <c r="E517" s="6" t="s">
        <v>22</v>
      </c>
      <c r="F517" s="6" t="n">
        <v>1</v>
      </c>
      <c r="G517" s="10" t="n">
        <v>976</v>
      </c>
      <c r="H517" s="10" t="n">
        <f aca="false">F517*G517</f>
        <v>976</v>
      </c>
      <c r="I517" s="6" t="s">
        <v>5122</v>
      </c>
    </row>
    <row r="518" customFormat="false" ht="15" hidden="false" customHeight="false" outlineLevel="0" collapsed="false">
      <c r="A518" s="6" t="s">
        <v>5728</v>
      </c>
      <c r="B518" s="6" t="s">
        <v>1047</v>
      </c>
      <c r="C518" s="26" t="n">
        <v>46042</v>
      </c>
      <c r="D518" s="6" t="s">
        <v>5167</v>
      </c>
      <c r="E518" s="6" t="s">
        <v>22</v>
      </c>
      <c r="F518" s="6" t="n">
        <v>3</v>
      </c>
      <c r="G518" s="10" t="n">
        <v>782</v>
      </c>
      <c r="H518" s="10" t="n">
        <f aca="false">F518*G518</f>
        <v>2346</v>
      </c>
      <c r="I518" s="6" t="s">
        <v>5133</v>
      </c>
    </row>
    <row r="519" customFormat="false" ht="15" hidden="false" customHeight="false" outlineLevel="0" collapsed="false">
      <c r="A519" s="6" t="s">
        <v>5729</v>
      </c>
      <c r="B519" s="6" t="s">
        <v>1089</v>
      </c>
      <c r="C519" s="26" t="n">
        <v>46042</v>
      </c>
      <c r="D519" s="6" t="s">
        <v>5121</v>
      </c>
      <c r="E519" s="6" t="s">
        <v>22</v>
      </c>
      <c r="F519" s="6" t="n">
        <v>4</v>
      </c>
      <c r="G519" s="10" t="n">
        <v>977</v>
      </c>
      <c r="H519" s="10" t="n">
        <f aca="false">F519*G519</f>
        <v>3908</v>
      </c>
      <c r="I519" s="6" t="s">
        <v>5122</v>
      </c>
    </row>
    <row r="520" customFormat="false" ht="15" hidden="false" customHeight="false" outlineLevel="0" collapsed="false">
      <c r="A520" s="6" t="s">
        <v>5730</v>
      </c>
      <c r="B520" s="6" t="s">
        <v>4119</v>
      </c>
      <c r="C520" s="26" t="n">
        <v>46042</v>
      </c>
      <c r="D520" s="6" t="s">
        <v>5182</v>
      </c>
      <c r="E520" s="6" t="s">
        <v>23</v>
      </c>
      <c r="F520" s="6" t="n">
        <v>4</v>
      </c>
      <c r="G520" s="10" t="n">
        <v>367</v>
      </c>
      <c r="H520" s="10" t="n">
        <f aca="false">F520*G520</f>
        <v>1468</v>
      </c>
      <c r="I520" s="6" t="s">
        <v>5122</v>
      </c>
    </row>
    <row r="521" customFormat="false" ht="15" hidden="false" customHeight="false" outlineLevel="0" collapsed="false">
      <c r="A521" s="6" t="s">
        <v>5731</v>
      </c>
      <c r="B521" s="6" t="s">
        <v>1953</v>
      </c>
      <c r="C521" s="26" t="n">
        <v>46042</v>
      </c>
      <c r="D521" s="6" t="s">
        <v>5152</v>
      </c>
      <c r="E521" s="6" t="s">
        <v>22</v>
      </c>
      <c r="F521" s="6" t="n">
        <v>2</v>
      </c>
      <c r="G521" s="10" t="n">
        <v>1760</v>
      </c>
      <c r="H521" s="10" t="n">
        <f aca="false">F521*G521</f>
        <v>3520</v>
      </c>
      <c r="I521" s="6" t="s">
        <v>5130</v>
      </c>
    </row>
    <row r="522" customFormat="false" ht="15" hidden="false" customHeight="false" outlineLevel="0" collapsed="false">
      <c r="A522" s="6" t="s">
        <v>5732</v>
      </c>
      <c r="B522" s="6" t="s">
        <v>587</v>
      </c>
      <c r="C522" s="26" t="n">
        <v>46042</v>
      </c>
      <c r="D522" s="6" t="s">
        <v>5180</v>
      </c>
      <c r="E522" s="6" t="s">
        <v>24</v>
      </c>
      <c r="F522" s="6" t="n">
        <v>2</v>
      </c>
      <c r="G522" s="10" t="n">
        <v>1788</v>
      </c>
      <c r="H522" s="10" t="n">
        <f aca="false">F522*G522</f>
        <v>3576</v>
      </c>
      <c r="I522" s="6" t="s">
        <v>5122</v>
      </c>
    </row>
    <row r="523" customFormat="false" ht="15" hidden="false" customHeight="false" outlineLevel="0" collapsed="false">
      <c r="A523" s="6" t="s">
        <v>5733</v>
      </c>
      <c r="B523" s="6" t="s">
        <v>3713</v>
      </c>
      <c r="C523" s="26" t="n">
        <v>46042</v>
      </c>
      <c r="D523" s="6" t="s">
        <v>5171</v>
      </c>
      <c r="E523" s="6" t="s">
        <v>23</v>
      </c>
      <c r="F523" s="6" t="n">
        <v>4</v>
      </c>
      <c r="G523" s="10" t="n">
        <v>697</v>
      </c>
      <c r="H523" s="10" t="n">
        <f aca="false">F523*G523</f>
        <v>2788</v>
      </c>
      <c r="I523" s="6" t="s">
        <v>5122</v>
      </c>
    </row>
    <row r="524" customFormat="false" ht="15" hidden="false" customHeight="false" outlineLevel="0" collapsed="false">
      <c r="A524" s="6" t="s">
        <v>5734</v>
      </c>
      <c r="B524" s="6" t="s">
        <v>3515</v>
      </c>
      <c r="C524" s="26" t="n">
        <v>46042</v>
      </c>
      <c r="D524" s="6" t="s">
        <v>5242</v>
      </c>
      <c r="E524" s="6" t="s">
        <v>23</v>
      </c>
      <c r="F524" s="6" t="n">
        <v>1</v>
      </c>
      <c r="G524" s="10" t="n">
        <v>372</v>
      </c>
      <c r="H524" s="10" t="n">
        <f aca="false">F524*G524</f>
        <v>372</v>
      </c>
      <c r="I524" s="6" t="s">
        <v>5122</v>
      </c>
    </row>
    <row r="525" customFormat="false" ht="15" hidden="false" customHeight="false" outlineLevel="0" collapsed="false">
      <c r="A525" s="6" t="s">
        <v>5735</v>
      </c>
      <c r="B525" s="6" t="s">
        <v>853</v>
      </c>
      <c r="C525" s="26" t="n">
        <v>46042</v>
      </c>
      <c r="D525" s="6" t="s">
        <v>5154</v>
      </c>
      <c r="E525" s="6" t="s">
        <v>21</v>
      </c>
      <c r="F525" s="6" t="n">
        <v>1</v>
      </c>
      <c r="G525" s="10" t="n">
        <v>746</v>
      </c>
      <c r="H525" s="10" t="n">
        <f aca="false">F525*G525</f>
        <v>746</v>
      </c>
      <c r="I525" s="6" t="s">
        <v>5148</v>
      </c>
    </row>
    <row r="526" customFormat="false" ht="15" hidden="false" customHeight="false" outlineLevel="0" collapsed="false">
      <c r="A526" s="6" t="s">
        <v>5736</v>
      </c>
      <c r="B526" s="6" t="s">
        <v>1351</v>
      </c>
      <c r="C526" s="26" t="n">
        <v>46042</v>
      </c>
      <c r="D526" s="6" t="s">
        <v>5127</v>
      </c>
      <c r="E526" s="6" t="s">
        <v>21</v>
      </c>
      <c r="F526" s="6" t="n">
        <v>1</v>
      </c>
      <c r="G526" s="10" t="n">
        <v>839</v>
      </c>
      <c r="H526" s="10" t="n">
        <f aca="false">F526*G526</f>
        <v>839</v>
      </c>
      <c r="I526" s="6" t="s">
        <v>5148</v>
      </c>
    </row>
    <row r="527" customFormat="false" ht="15" hidden="false" customHeight="false" outlineLevel="0" collapsed="false">
      <c r="A527" s="6" t="s">
        <v>5737</v>
      </c>
      <c r="B527" s="6" t="s">
        <v>3437</v>
      </c>
      <c r="C527" s="26" t="n">
        <v>46042</v>
      </c>
      <c r="D527" s="6" t="s">
        <v>5456</v>
      </c>
      <c r="E527" s="6" t="s">
        <v>24</v>
      </c>
      <c r="F527" s="6" t="n">
        <v>1</v>
      </c>
      <c r="G527" s="10" t="n">
        <v>821</v>
      </c>
      <c r="H527" s="10" t="n">
        <f aca="false">F527*G527</f>
        <v>821</v>
      </c>
      <c r="I527" s="6" t="s">
        <v>5122</v>
      </c>
    </row>
    <row r="528" customFormat="false" ht="15" hidden="false" customHeight="false" outlineLevel="0" collapsed="false">
      <c r="A528" s="6" t="s">
        <v>5738</v>
      </c>
      <c r="B528" s="6" t="s">
        <v>3875</v>
      </c>
      <c r="C528" s="26" t="n">
        <v>46042</v>
      </c>
      <c r="D528" s="6" t="s">
        <v>5127</v>
      </c>
      <c r="E528" s="6" t="s">
        <v>21</v>
      </c>
      <c r="F528" s="6" t="n">
        <v>2</v>
      </c>
      <c r="G528" s="10" t="n">
        <v>884</v>
      </c>
      <c r="H528" s="10" t="n">
        <f aca="false">F528*G528</f>
        <v>1768</v>
      </c>
      <c r="I528" s="6" t="s">
        <v>5122</v>
      </c>
    </row>
    <row r="529" customFormat="false" ht="15" hidden="false" customHeight="false" outlineLevel="0" collapsed="false">
      <c r="A529" s="6" t="s">
        <v>5739</v>
      </c>
      <c r="B529" s="6" t="s">
        <v>937</v>
      </c>
      <c r="C529" s="26" t="n">
        <v>46042</v>
      </c>
      <c r="D529" s="6" t="s">
        <v>5171</v>
      </c>
      <c r="E529" s="6" t="s">
        <v>23</v>
      </c>
      <c r="F529" s="6" t="n">
        <v>2</v>
      </c>
      <c r="G529" s="10" t="n">
        <v>734</v>
      </c>
      <c r="H529" s="10" t="n">
        <f aca="false">F529*G529</f>
        <v>1468</v>
      </c>
      <c r="I529" s="6" t="s">
        <v>5148</v>
      </c>
    </row>
    <row r="530" customFormat="false" ht="15" hidden="false" customHeight="false" outlineLevel="0" collapsed="false">
      <c r="A530" s="6" t="s">
        <v>5740</v>
      </c>
      <c r="B530" s="6" t="s">
        <v>2487</v>
      </c>
      <c r="C530" s="26" t="n">
        <v>46042</v>
      </c>
      <c r="D530" s="6" t="s">
        <v>5316</v>
      </c>
      <c r="E530" s="6" t="s">
        <v>23</v>
      </c>
      <c r="F530" s="6" t="n">
        <v>2</v>
      </c>
      <c r="G530" s="10" t="n">
        <v>247</v>
      </c>
      <c r="H530" s="10" t="n">
        <f aca="false">F530*G530</f>
        <v>494</v>
      </c>
      <c r="I530" s="6" t="s">
        <v>5125</v>
      </c>
    </row>
    <row r="531" customFormat="false" ht="15" hidden="false" customHeight="false" outlineLevel="0" collapsed="false">
      <c r="A531" s="6" t="s">
        <v>5741</v>
      </c>
      <c r="B531" s="6" t="s">
        <v>4399</v>
      </c>
      <c r="C531" s="26" t="n">
        <v>46042</v>
      </c>
      <c r="D531" s="6" t="s">
        <v>5165</v>
      </c>
      <c r="E531" s="6" t="s">
        <v>22</v>
      </c>
      <c r="F531" s="6" t="n">
        <v>1</v>
      </c>
      <c r="G531" s="10" t="n">
        <v>977</v>
      </c>
      <c r="H531" s="10" t="n">
        <f aca="false">F531*G531</f>
        <v>977</v>
      </c>
      <c r="I531" s="6" t="s">
        <v>5130</v>
      </c>
    </row>
    <row r="532" customFormat="false" ht="15" hidden="false" customHeight="false" outlineLevel="0" collapsed="false">
      <c r="A532" s="6" t="s">
        <v>5742</v>
      </c>
      <c r="B532" s="6" t="s">
        <v>1463</v>
      </c>
      <c r="C532" s="26" t="n">
        <v>46043</v>
      </c>
      <c r="D532" s="6" t="s">
        <v>5167</v>
      </c>
      <c r="E532" s="6" t="s">
        <v>22</v>
      </c>
      <c r="F532" s="6" t="n">
        <v>1</v>
      </c>
      <c r="G532" s="10" t="n">
        <v>782</v>
      </c>
      <c r="H532" s="10" t="n">
        <f aca="false">F532*G532</f>
        <v>782</v>
      </c>
      <c r="I532" s="6" t="s">
        <v>5122</v>
      </c>
    </row>
    <row r="533" customFormat="false" ht="15" hidden="false" customHeight="false" outlineLevel="0" collapsed="false">
      <c r="A533" s="6" t="s">
        <v>5743</v>
      </c>
      <c r="B533" s="6" t="s">
        <v>4911</v>
      </c>
      <c r="C533" s="26" t="n">
        <v>46043</v>
      </c>
      <c r="D533" s="6" t="s">
        <v>5216</v>
      </c>
      <c r="E533" s="6" t="s">
        <v>23</v>
      </c>
      <c r="F533" s="6" t="n">
        <v>3</v>
      </c>
      <c r="G533" s="10" t="n">
        <v>587</v>
      </c>
      <c r="H533" s="10" t="n">
        <f aca="false">F533*G533</f>
        <v>1761</v>
      </c>
      <c r="I533" s="6" t="s">
        <v>5148</v>
      </c>
    </row>
    <row r="534" customFormat="false" ht="15" hidden="false" customHeight="false" outlineLevel="0" collapsed="false">
      <c r="A534" s="6" t="s">
        <v>5744</v>
      </c>
      <c r="B534" s="6" t="s">
        <v>2243</v>
      </c>
      <c r="C534" s="26" t="n">
        <v>46043</v>
      </c>
      <c r="D534" s="6" t="s">
        <v>5129</v>
      </c>
      <c r="E534" s="6" t="s">
        <v>21</v>
      </c>
      <c r="F534" s="6" t="n">
        <v>2</v>
      </c>
      <c r="G534" s="10" t="n">
        <v>589</v>
      </c>
      <c r="H534" s="10" t="n">
        <f aca="false">F534*G534</f>
        <v>1178</v>
      </c>
      <c r="I534" s="6" t="s">
        <v>5125</v>
      </c>
    </row>
    <row r="535" customFormat="false" ht="15" hidden="false" customHeight="false" outlineLevel="0" collapsed="false">
      <c r="A535" s="6" t="s">
        <v>5745</v>
      </c>
      <c r="B535" s="6" t="s">
        <v>3951</v>
      </c>
      <c r="C535" s="26" t="n">
        <v>46043</v>
      </c>
      <c r="D535" s="6" t="s">
        <v>5171</v>
      </c>
      <c r="E535" s="6" t="s">
        <v>23</v>
      </c>
      <c r="F535" s="6" t="n">
        <v>4</v>
      </c>
      <c r="G535" s="10" t="n">
        <v>697</v>
      </c>
      <c r="H535" s="10" t="n">
        <f aca="false">F535*G535</f>
        <v>2788</v>
      </c>
      <c r="I535" s="6" t="s">
        <v>5122</v>
      </c>
    </row>
    <row r="536" customFormat="false" ht="15" hidden="false" customHeight="false" outlineLevel="0" collapsed="false">
      <c r="A536" s="6" t="s">
        <v>5746</v>
      </c>
      <c r="B536" s="6" t="s">
        <v>553</v>
      </c>
      <c r="C536" s="26" t="n">
        <v>46043</v>
      </c>
      <c r="D536" s="6" t="s">
        <v>5326</v>
      </c>
      <c r="E536" s="6" t="s">
        <v>22</v>
      </c>
      <c r="F536" s="6" t="n">
        <v>1</v>
      </c>
      <c r="G536" s="10" t="n">
        <v>1392</v>
      </c>
      <c r="H536" s="10" t="n">
        <f aca="false">F536*G536</f>
        <v>1392</v>
      </c>
      <c r="I536" s="6" t="s">
        <v>5130</v>
      </c>
    </row>
    <row r="537" customFormat="false" ht="15" hidden="false" customHeight="false" outlineLevel="0" collapsed="false">
      <c r="A537" s="6" t="s">
        <v>5747</v>
      </c>
      <c r="B537" s="6" t="s">
        <v>295</v>
      </c>
      <c r="C537" s="26" t="n">
        <v>46043</v>
      </c>
      <c r="D537" s="6" t="s">
        <v>5163</v>
      </c>
      <c r="E537" s="6" t="s">
        <v>23</v>
      </c>
      <c r="F537" s="6" t="n">
        <v>4</v>
      </c>
      <c r="G537" s="10" t="n">
        <v>744</v>
      </c>
      <c r="H537" s="10" t="n">
        <f aca="false">F537*G537</f>
        <v>2976</v>
      </c>
      <c r="I537" s="6" t="s">
        <v>5148</v>
      </c>
    </row>
    <row r="538" customFormat="false" ht="15" hidden="false" customHeight="false" outlineLevel="0" collapsed="false">
      <c r="A538" s="6" t="s">
        <v>5748</v>
      </c>
      <c r="B538" s="6" t="s">
        <v>4039</v>
      </c>
      <c r="C538" s="26" t="n">
        <v>46043</v>
      </c>
      <c r="D538" s="6" t="s">
        <v>5749</v>
      </c>
      <c r="E538" s="6" t="s">
        <v>20</v>
      </c>
      <c r="F538" s="6" t="n">
        <v>1</v>
      </c>
      <c r="G538" s="10" t="n">
        <v>814</v>
      </c>
      <c r="H538" s="10" t="n">
        <f aca="false">F538*G538</f>
        <v>814</v>
      </c>
      <c r="I538" s="6" t="s">
        <v>5148</v>
      </c>
    </row>
    <row r="539" customFormat="false" ht="15" hidden="false" customHeight="false" outlineLevel="0" collapsed="false">
      <c r="A539" s="6" t="s">
        <v>5750</v>
      </c>
      <c r="B539" s="6" t="s">
        <v>489</v>
      </c>
      <c r="C539" s="26" t="n">
        <v>46043</v>
      </c>
      <c r="D539" s="6" t="s">
        <v>5165</v>
      </c>
      <c r="E539" s="6" t="s">
        <v>22</v>
      </c>
      <c r="F539" s="6" t="n">
        <v>1</v>
      </c>
      <c r="G539" s="10" t="n">
        <v>880</v>
      </c>
      <c r="H539" s="10" t="n">
        <f aca="false">F539*G539</f>
        <v>880</v>
      </c>
      <c r="I539" s="6" t="s">
        <v>5148</v>
      </c>
    </row>
    <row r="540" customFormat="false" ht="15" hidden="false" customHeight="false" outlineLevel="0" collapsed="false">
      <c r="A540" s="6" t="s">
        <v>5751</v>
      </c>
      <c r="B540" s="6" t="s">
        <v>3485</v>
      </c>
      <c r="C540" s="26" t="n">
        <v>46043</v>
      </c>
      <c r="D540" s="6" t="s">
        <v>5163</v>
      </c>
      <c r="E540" s="6" t="s">
        <v>23</v>
      </c>
      <c r="F540" s="6" t="n">
        <v>2</v>
      </c>
      <c r="G540" s="10" t="n">
        <v>783</v>
      </c>
      <c r="H540" s="10" t="n">
        <f aca="false">F540*G540</f>
        <v>1566</v>
      </c>
      <c r="I540" s="6" t="s">
        <v>5148</v>
      </c>
    </row>
    <row r="541" customFormat="false" ht="15" hidden="false" customHeight="false" outlineLevel="0" collapsed="false">
      <c r="A541" s="6" t="s">
        <v>5752</v>
      </c>
      <c r="B541" s="6" t="s">
        <v>491</v>
      </c>
      <c r="C541" s="26" t="n">
        <v>46043</v>
      </c>
      <c r="D541" s="6" t="s">
        <v>5121</v>
      </c>
      <c r="E541" s="6" t="s">
        <v>22</v>
      </c>
      <c r="F541" s="6" t="n">
        <v>2</v>
      </c>
      <c r="G541" s="10" t="n">
        <v>928</v>
      </c>
      <c r="H541" s="10" t="n">
        <f aca="false">F541*G541</f>
        <v>1856</v>
      </c>
      <c r="I541" s="6" t="s">
        <v>5148</v>
      </c>
    </row>
    <row r="542" customFormat="false" ht="15" hidden="false" customHeight="false" outlineLevel="0" collapsed="false">
      <c r="A542" s="6" t="s">
        <v>5753</v>
      </c>
      <c r="B542" s="6" t="s">
        <v>190</v>
      </c>
      <c r="C542" s="26" t="n">
        <v>46043</v>
      </c>
      <c r="D542" s="6" t="s">
        <v>5163</v>
      </c>
      <c r="E542" s="6" t="s">
        <v>23</v>
      </c>
      <c r="F542" s="6" t="n">
        <v>4</v>
      </c>
      <c r="G542" s="10" t="n">
        <v>705</v>
      </c>
      <c r="H542" s="10" t="n">
        <f aca="false">F542*G542</f>
        <v>2820</v>
      </c>
      <c r="I542" s="6" t="s">
        <v>5122</v>
      </c>
    </row>
    <row r="543" customFormat="false" ht="15" hidden="false" customHeight="false" outlineLevel="0" collapsed="false">
      <c r="A543" s="6" t="s">
        <v>5754</v>
      </c>
      <c r="B543" s="6" t="s">
        <v>3933</v>
      </c>
      <c r="C543" s="26" t="n">
        <v>46043</v>
      </c>
      <c r="D543" s="6" t="s">
        <v>5202</v>
      </c>
      <c r="E543" s="6" t="s">
        <v>23</v>
      </c>
      <c r="F543" s="6" t="n">
        <v>3</v>
      </c>
      <c r="G543" s="10" t="n">
        <v>220</v>
      </c>
      <c r="H543" s="10" t="n">
        <f aca="false">F543*G543</f>
        <v>660</v>
      </c>
      <c r="I543" s="6" t="s">
        <v>5148</v>
      </c>
    </row>
    <row r="544" customFormat="false" ht="15" hidden="false" customHeight="false" outlineLevel="0" collapsed="false">
      <c r="A544" s="6" t="s">
        <v>5755</v>
      </c>
      <c r="B544" s="6" t="s">
        <v>4267</v>
      </c>
      <c r="C544" s="26" t="n">
        <v>46043</v>
      </c>
      <c r="D544" s="6" t="s">
        <v>5353</v>
      </c>
      <c r="E544" s="6" t="s">
        <v>24</v>
      </c>
      <c r="F544" s="6" t="n">
        <v>2</v>
      </c>
      <c r="G544" s="10" t="n">
        <v>1466</v>
      </c>
      <c r="H544" s="10" t="n">
        <f aca="false">F544*G544</f>
        <v>2932</v>
      </c>
      <c r="I544" s="6" t="s">
        <v>5130</v>
      </c>
    </row>
    <row r="545" customFormat="false" ht="15" hidden="false" customHeight="false" outlineLevel="0" collapsed="false">
      <c r="A545" s="6" t="s">
        <v>5756</v>
      </c>
      <c r="B545" s="6" t="s">
        <v>3663</v>
      </c>
      <c r="C545" s="26" t="n">
        <v>46043</v>
      </c>
      <c r="D545" s="6" t="s">
        <v>5171</v>
      </c>
      <c r="E545" s="6" t="s">
        <v>23</v>
      </c>
      <c r="F545" s="6" t="n">
        <v>1</v>
      </c>
      <c r="G545" s="10" t="n">
        <v>697</v>
      </c>
      <c r="H545" s="10" t="n">
        <f aca="false">F545*G545</f>
        <v>697</v>
      </c>
      <c r="I545" s="6" t="s">
        <v>5130</v>
      </c>
    </row>
    <row r="546" customFormat="false" ht="15" hidden="false" customHeight="false" outlineLevel="0" collapsed="false">
      <c r="A546" s="6" t="s">
        <v>5757</v>
      </c>
      <c r="B546" s="6" t="s">
        <v>863</v>
      </c>
      <c r="C546" s="26" t="n">
        <v>46043</v>
      </c>
      <c r="D546" s="6" t="s">
        <v>5707</v>
      </c>
      <c r="E546" s="6" t="s">
        <v>22</v>
      </c>
      <c r="F546" s="6" t="n">
        <v>3</v>
      </c>
      <c r="G546" s="10" t="n">
        <v>2445</v>
      </c>
      <c r="H546" s="10" t="n">
        <f aca="false">F546*G546</f>
        <v>7335</v>
      </c>
      <c r="I546" s="6" t="s">
        <v>5122</v>
      </c>
    </row>
    <row r="547" customFormat="false" ht="15" hidden="false" customHeight="false" outlineLevel="0" collapsed="false">
      <c r="A547" s="6" t="s">
        <v>5758</v>
      </c>
      <c r="B547" s="6" t="s">
        <v>2053</v>
      </c>
      <c r="C547" s="26" t="n">
        <v>46043</v>
      </c>
      <c r="D547" s="6" t="s">
        <v>5245</v>
      </c>
      <c r="E547" s="6" t="s">
        <v>21</v>
      </c>
      <c r="F547" s="6" t="n">
        <v>2</v>
      </c>
      <c r="G547" s="10" t="n">
        <v>2456</v>
      </c>
      <c r="H547" s="10" t="n">
        <f aca="false">F547*G547</f>
        <v>4912</v>
      </c>
      <c r="I547" s="6" t="s">
        <v>5122</v>
      </c>
    </row>
    <row r="548" customFormat="false" ht="15" hidden="false" customHeight="false" outlineLevel="0" collapsed="false">
      <c r="A548" s="6" t="s">
        <v>5759</v>
      </c>
      <c r="B548" s="6" t="s">
        <v>1465</v>
      </c>
      <c r="C548" s="26" t="n">
        <v>46043</v>
      </c>
      <c r="D548" s="6" t="s">
        <v>5141</v>
      </c>
      <c r="E548" s="6" t="s">
        <v>20</v>
      </c>
      <c r="F548" s="6" t="n">
        <v>1</v>
      </c>
      <c r="G548" s="10" t="n">
        <v>1651</v>
      </c>
      <c r="H548" s="10" t="n">
        <f aca="false">F548*G548</f>
        <v>1651</v>
      </c>
      <c r="I548" s="6" t="s">
        <v>5130</v>
      </c>
    </row>
    <row r="549" customFormat="false" ht="15" hidden="false" customHeight="false" outlineLevel="0" collapsed="false">
      <c r="A549" s="6" t="s">
        <v>5760</v>
      </c>
      <c r="B549" s="6" t="s">
        <v>3249</v>
      </c>
      <c r="C549" s="26" t="n">
        <v>46043</v>
      </c>
      <c r="D549" s="6" t="s">
        <v>5456</v>
      </c>
      <c r="E549" s="6" t="s">
        <v>24</v>
      </c>
      <c r="F549" s="6" t="n">
        <v>1</v>
      </c>
      <c r="G549" s="10" t="n">
        <v>866</v>
      </c>
      <c r="H549" s="10" t="n">
        <f aca="false">F549*G549</f>
        <v>866</v>
      </c>
      <c r="I549" s="6" t="s">
        <v>5122</v>
      </c>
    </row>
    <row r="550" customFormat="false" ht="15" hidden="false" customHeight="false" outlineLevel="0" collapsed="false">
      <c r="A550" s="6" t="s">
        <v>5761</v>
      </c>
      <c r="B550" s="6" t="s">
        <v>691</v>
      </c>
      <c r="C550" s="26" t="n">
        <v>46043</v>
      </c>
      <c r="D550" s="6" t="s">
        <v>5762</v>
      </c>
      <c r="E550" s="6" t="s">
        <v>22</v>
      </c>
      <c r="F550" s="6" t="n">
        <v>1</v>
      </c>
      <c r="G550" s="10" t="n">
        <v>3423</v>
      </c>
      <c r="H550" s="10" t="n">
        <f aca="false">F550*G550</f>
        <v>3423</v>
      </c>
      <c r="I550" s="6" t="s">
        <v>5148</v>
      </c>
    </row>
    <row r="551" customFormat="false" ht="15" hidden="false" customHeight="false" outlineLevel="0" collapsed="false">
      <c r="A551" s="6" t="s">
        <v>5763</v>
      </c>
      <c r="B551" s="6" t="s">
        <v>3589</v>
      </c>
      <c r="C551" s="26" t="n">
        <v>46043</v>
      </c>
      <c r="D551" s="6" t="s">
        <v>5165</v>
      </c>
      <c r="E551" s="6" t="s">
        <v>22</v>
      </c>
      <c r="F551" s="6" t="n">
        <v>2</v>
      </c>
      <c r="G551" s="10" t="n">
        <v>977</v>
      </c>
      <c r="H551" s="10" t="n">
        <f aca="false">F551*G551</f>
        <v>1954</v>
      </c>
      <c r="I551" s="6" t="s">
        <v>5122</v>
      </c>
    </row>
    <row r="552" customFormat="false" ht="15" hidden="false" customHeight="false" outlineLevel="0" collapsed="false">
      <c r="A552" s="6" t="s">
        <v>5764</v>
      </c>
      <c r="B552" s="6" t="s">
        <v>5093</v>
      </c>
      <c r="C552" s="26" t="n">
        <v>46044</v>
      </c>
      <c r="D552" s="6" t="s">
        <v>5353</v>
      </c>
      <c r="E552" s="6" t="s">
        <v>24</v>
      </c>
      <c r="F552" s="6" t="n">
        <v>1</v>
      </c>
      <c r="G552" s="10" t="n">
        <v>1466</v>
      </c>
      <c r="H552" s="10" t="n">
        <f aca="false">F552*G552</f>
        <v>1466</v>
      </c>
      <c r="I552" s="6" t="s">
        <v>5148</v>
      </c>
    </row>
    <row r="553" customFormat="false" ht="15" hidden="false" customHeight="false" outlineLevel="0" collapsed="false">
      <c r="A553" s="6" t="s">
        <v>5765</v>
      </c>
      <c r="B553" s="6" t="s">
        <v>3731</v>
      </c>
      <c r="C553" s="26" t="n">
        <v>46044</v>
      </c>
      <c r="D553" s="6" t="s">
        <v>5169</v>
      </c>
      <c r="E553" s="6" t="s">
        <v>20</v>
      </c>
      <c r="F553" s="6" t="n">
        <v>1</v>
      </c>
      <c r="G553" s="10" t="n">
        <v>5098</v>
      </c>
      <c r="H553" s="10" t="n">
        <f aca="false">F553*G553</f>
        <v>5098</v>
      </c>
      <c r="I553" s="6" t="s">
        <v>5122</v>
      </c>
    </row>
    <row r="554" customFormat="false" ht="15" hidden="false" customHeight="false" outlineLevel="0" collapsed="false">
      <c r="A554" s="6" t="s">
        <v>5766</v>
      </c>
      <c r="B554" s="6" t="s">
        <v>2739</v>
      </c>
      <c r="C554" s="26" t="n">
        <v>46044</v>
      </c>
      <c r="D554" s="6" t="s">
        <v>5163</v>
      </c>
      <c r="E554" s="6" t="s">
        <v>23</v>
      </c>
      <c r="F554" s="6" t="n">
        <v>1</v>
      </c>
      <c r="G554" s="10" t="n">
        <v>783</v>
      </c>
      <c r="H554" s="10" t="n">
        <f aca="false">F554*G554</f>
        <v>783</v>
      </c>
      <c r="I554" s="6" t="s">
        <v>5125</v>
      </c>
    </row>
    <row r="555" customFormat="false" ht="15" hidden="false" customHeight="false" outlineLevel="0" collapsed="false">
      <c r="A555" s="6" t="s">
        <v>5767</v>
      </c>
      <c r="B555" s="6" t="s">
        <v>1299</v>
      </c>
      <c r="C555" s="26" t="n">
        <v>46044</v>
      </c>
      <c r="D555" s="6" t="s">
        <v>5269</v>
      </c>
      <c r="E555" s="6" t="s">
        <v>22</v>
      </c>
      <c r="F555" s="6" t="n">
        <v>2</v>
      </c>
      <c r="G555" s="10" t="n">
        <v>1271</v>
      </c>
      <c r="H555" s="10" t="n">
        <f aca="false">F555*G555</f>
        <v>2542</v>
      </c>
      <c r="I555" s="6" t="s">
        <v>5122</v>
      </c>
    </row>
    <row r="556" customFormat="false" ht="15" hidden="false" customHeight="false" outlineLevel="0" collapsed="false">
      <c r="A556" s="6" t="s">
        <v>5768</v>
      </c>
      <c r="B556" s="6" t="s">
        <v>3207</v>
      </c>
      <c r="C556" s="26" t="n">
        <v>46044</v>
      </c>
      <c r="D556" s="6" t="s">
        <v>5127</v>
      </c>
      <c r="E556" s="6" t="s">
        <v>21</v>
      </c>
      <c r="F556" s="6" t="n">
        <v>1</v>
      </c>
      <c r="G556" s="10" t="n">
        <v>796</v>
      </c>
      <c r="H556" s="10" t="n">
        <f aca="false">F556*G556</f>
        <v>796</v>
      </c>
      <c r="I556" s="6" t="s">
        <v>5173</v>
      </c>
    </row>
    <row r="557" customFormat="false" ht="15" hidden="false" customHeight="false" outlineLevel="0" collapsed="false">
      <c r="A557" s="6" t="s">
        <v>5769</v>
      </c>
      <c r="B557" s="6" t="s">
        <v>2041</v>
      </c>
      <c r="C557" s="26" t="n">
        <v>46044</v>
      </c>
      <c r="D557" s="6" t="s">
        <v>5398</v>
      </c>
      <c r="E557" s="6" t="s">
        <v>24</v>
      </c>
      <c r="F557" s="6" t="n">
        <v>1</v>
      </c>
      <c r="G557" s="10" t="n">
        <v>549</v>
      </c>
      <c r="H557" s="10" t="n">
        <f aca="false">F557*G557</f>
        <v>549</v>
      </c>
      <c r="I557" s="6" t="s">
        <v>5122</v>
      </c>
    </row>
    <row r="558" customFormat="false" ht="15" hidden="false" customHeight="false" outlineLevel="0" collapsed="false">
      <c r="A558" s="6" t="s">
        <v>5770</v>
      </c>
      <c r="B558" s="6" t="s">
        <v>733</v>
      </c>
      <c r="C558" s="26" t="n">
        <v>46044</v>
      </c>
      <c r="D558" s="6" t="s">
        <v>5456</v>
      </c>
      <c r="E558" s="6" t="s">
        <v>24</v>
      </c>
      <c r="F558" s="6" t="n">
        <v>1</v>
      </c>
      <c r="G558" s="10" t="n">
        <v>867</v>
      </c>
      <c r="H558" s="10" t="n">
        <f aca="false">F558*G558</f>
        <v>867</v>
      </c>
      <c r="I558" s="6" t="s">
        <v>5130</v>
      </c>
    </row>
    <row r="559" customFormat="false" ht="15" hidden="false" customHeight="false" outlineLevel="0" collapsed="false">
      <c r="A559" s="6" t="s">
        <v>5771</v>
      </c>
      <c r="B559" s="6" t="s">
        <v>4349</v>
      </c>
      <c r="C559" s="26" t="n">
        <v>46044</v>
      </c>
      <c r="D559" s="6" t="s">
        <v>5154</v>
      </c>
      <c r="E559" s="6" t="s">
        <v>21</v>
      </c>
      <c r="F559" s="6" t="n">
        <v>1</v>
      </c>
      <c r="G559" s="10" t="n">
        <v>785</v>
      </c>
      <c r="H559" s="10" t="n">
        <f aca="false">F559*G559</f>
        <v>785</v>
      </c>
      <c r="I559" s="6" t="s">
        <v>5122</v>
      </c>
    </row>
    <row r="560" customFormat="false" ht="15" hidden="false" customHeight="false" outlineLevel="0" collapsed="false">
      <c r="A560" s="6" t="s">
        <v>5772</v>
      </c>
      <c r="B560" s="6" t="s">
        <v>1017</v>
      </c>
      <c r="C560" s="26" t="n">
        <v>46044</v>
      </c>
      <c r="D560" s="6" t="s">
        <v>5167</v>
      </c>
      <c r="E560" s="6" t="s">
        <v>22</v>
      </c>
      <c r="F560" s="6" t="n">
        <v>1</v>
      </c>
      <c r="G560" s="10" t="n">
        <v>782</v>
      </c>
      <c r="H560" s="10" t="n">
        <f aca="false">F560*G560</f>
        <v>782</v>
      </c>
      <c r="I560" s="6" t="s">
        <v>5133</v>
      </c>
    </row>
    <row r="561" customFormat="false" ht="15" hidden="false" customHeight="false" outlineLevel="0" collapsed="false">
      <c r="A561" s="6" t="s">
        <v>5773</v>
      </c>
      <c r="B561" s="6" t="s">
        <v>1637</v>
      </c>
      <c r="C561" s="26" t="n">
        <v>46044</v>
      </c>
      <c r="D561" s="6" t="s">
        <v>5171</v>
      </c>
      <c r="E561" s="6" t="s">
        <v>23</v>
      </c>
      <c r="F561" s="6" t="n">
        <v>2</v>
      </c>
      <c r="G561" s="10" t="n">
        <v>734</v>
      </c>
      <c r="H561" s="10" t="n">
        <f aca="false">F561*G561</f>
        <v>1468</v>
      </c>
      <c r="I561" s="6" t="s">
        <v>5130</v>
      </c>
    </row>
    <row r="562" customFormat="false" ht="15" hidden="false" customHeight="false" outlineLevel="0" collapsed="false">
      <c r="A562" s="6" t="s">
        <v>5774</v>
      </c>
      <c r="B562" s="6" t="s">
        <v>3761</v>
      </c>
      <c r="C562" s="26" t="n">
        <v>46044</v>
      </c>
      <c r="D562" s="6" t="s">
        <v>5345</v>
      </c>
      <c r="E562" s="6" t="s">
        <v>23</v>
      </c>
      <c r="F562" s="6" t="n">
        <v>3</v>
      </c>
      <c r="G562" s="10" t="n">
        <v>436</v>
      </c>
      <c r="H562" s="10" t="n">
        <f aca="false">F562*G562</f>
        <v>1308</v>
      </c>
      <c r="I562" s="6" t="s">
        <v>5148</v>
      </c>
    </row>
    <row r="563" customFormat="false" ht="15" hidden="false" customHeight="false" outlineLevel="0" collapsed="false">
      <c r="A563" s="6" t="s">
        <v>5775</v>
      </c>
      <c r="B563" s="6" t="s">
        <v>3077</v>
      </c>
      <c r="C563" s="26" t="n">
        <v>46044</v>
      </c>
      <c r="D563" s="6" t="s">
        <v>5167</v>
      </c>
      <c r="E563" s="6" t="s">
        <v>22</v>
      </c>
      <c r="F563" s="6" t="n">
        <v>1</v>
      </c>
      <c r="G563" s="10" t="n">
        <v>703</v>
      </c>
      <c r="H563" s="10" t="n">
        <f aca="false">F563*G563</f>
        <v>703</v>
      </c>
      <c r="I563" s="6" t="s">
        <v>5122</v>
      </c>
    </row>
    <row r="564" customFormat="false" ht="15" hidden="false" customHeight="false" outlineLevel="0" collapsed="false">
      <c r="A564" s="6" t="s">
        <v>5776</v>
      </c>
      <c r="B564" s="6" t="s">
        <v>2775</v>
      </c>
      <c r="C564" s="26" t="n">
        <v>46044</v>
      </c>
      <c r="D564" s="6" t="s">
        <v>5137</v>
      </c>
      <c r="E564" s="6" t="s">
        <v>21</v>
      </c>
      <c r="F564" s="6" t="n">
        <v>1</v>
      </c>
      <c r="G564" s="10" t="n">
        <v>1680</v>
      </c>
      <c r="H564" s="10" t="n">
        <f aca="false">F564*G564</f>
        <v>1680</v>
      </c>
      <c r="I564" s="6" t="s">
        <v>5122</v>
      </c>
    </row>
    <row r="565" customFormat="false" ht="15" hidden="false" customHeight="false" outlineLevel="0" collapsed="false">
      <c r="A565" s="6" t="s">
        <v>5777</v>
      </c>
      <c r="B565" s="6" t="s">
        <v>1155</v>
      </c>
      <c r="C565" s="26" t="n">
        <v>46044</v>
      </c>
      <c r="D565" s="6" t="s">
        <v>5326</v>
      </c>
      <c r="E565" s="6" t="s">
        <v>22</v>
      </c>
      <c r="F565" s="6" t="n">
        <v>2</v>
      </c>
      <c r="G565" s="10" t="n">
        <v>1393</v>
      </c>
      <c r="H565" s="10" t="n">
        <f aca="false">F565*G565</f>
        <v>2786</v>
      </c>
      <c r="I565" s="6" t="s">
        <v>5130</v>
      </c>
    </row>
    <row r="566" customFormat="false" ht="15" hidden="false" customHeight="false" outlineLevel="0" collapsed="false">
      <c r="A566" s="6" t="s">
        <v>5778</v>
      </c>
      <c r="B566" s="6" t="s">
        <v>1459</v>
      </c>
      <c r="C566" s="26" t="n">
        <v>46044</v>
      </c>
      <c r="D566" s="6" t="s">
        <v>5488</v>
      </c>
      <c r="E566" s="6" t="s">
        <v>24</v>
      </c>
      <c r="F566" s="6" t="n">
        <v>4</v>
      </c>
      <c r="G566" s="10" t="n">
        <v>866</v>
      </c>
      <c r="H566" s="10" t="n">
        <f aca="false">F566*G566</f>
        <v>3464</v>
      </c>
      <c r="I566" s="6" t="s">
        <v>5125</v>
      </c>
    </row>
    <row r="567" customFormat="false" ht="15" hidden="false" customHeight="false" outlineLevel="0" collapsed="false">
      <c r="A567" s="6" t="s">
        <v>5779</v>
      </c>
      <c r="B567" s="6" t="s">
        <v>4535</v>
      </c>
      <c r="C567" s="26" t="n">
        <v>46044</v>
      </c>
      <c r="D567" s="6" t="s">
        <v>5237</v>
      </c>
      <c r="E567" s="6" t="s">
        <v>24</v>
      </c>
      <c r="F567" s="6" t="n">
        <v>1</v>
      </c>
      <c r="G567" s="10" t="n">
        <v>1650</v>
      </c>
      <c r="H567" s="10" t="n">
        <f aca="false">F567*G567</f>
        <v>1650</v>
      </c>
      <c r="I567" s="6" t="s">
        <v>5122</v>
      </c>
    </row>
    <row r="568" customFormat="false" ht="15" hidden="false" customHeight="false" outlineLevel="0" collapsed="false">
      <c r="A568" s="6" t="s">
        <v>5780</v>
      </c>
      <c r="B568" s="6" t="s">
        <v>2973</v>
      </c>
      <c r="C568" s="26" t="n">
        <v>46044</v>
      </c>
      <c r="D568" s="6" t="s">
        <v>5240</v>
      </c>
      <c r="E568" s="6" t="s">
        <v>20</v>
      </c>
      <c r="F568" s="6" t="n">
        <v>1</v>
      </c>
      <c r="G568" s="10" t="n">
        <v>5098</v>
      </c>
      <c r="H568" s="10" t="n">
        <f aca="false">F568*G568</f>
        <v>5098</v>
      </c>
      <c r="I568" s="6" t="s">
        <v>5133</v>
      </c>
    </row>
    <row r="569" customFormat="false" ht="15" hidden="false" customHeight="false" outlineLevel="0" collapsed="false">
      <c r="A569" s="6" t="s">
        <v>5781</v>
      </c>
      <c r="B569" s="6" t="s">
        <v>2505</v>
      </c>
      <c r="C569" s="26" t="n">
        <v>46044</v>
      </c>
      <c r="D569" s="6" t="s">
        <v>5357</v>
      </c>
      <c r="E569" s="6" t="s">
        <v>23</v>
      </c>
      <c r="F569" s="6" t="n">
        <v>1</v>
      </c>
      <c r="G569" s="10" t="n">
        <v>534</v>
      </c>
      <c r="H569" s="10" t="n">
        <f aca="false">F569*G569</f>
        <v>534</v>
      </c>
      <c r="I569" s="6" t="s">
        <v>5130</v>
      </c>
    </row>
    <row r="570" customFormat="false" ht="15" hidden="false" customHeight="false" outlineLevel="0" collapsed="false">
      <c r="A570" s="6" t="s">
        <v>5782</v>
      </c>
      <c r="B570" s="6" t="s">
        <v>2263</v>
      </c>
      <c r="C570" s="26" t="n">
        <v>46044</v>
      </c>
      <c r="D570" s="6" t="s">
        <v>5154</v>
      </c>
      <c r="E570" s="6" t="s">
        <v>21</v>
      </c>
      <c r="F570" s="6" t="n">
        <v>1</v>
      </c>
      <c r="G570" s="10" t="n">
        <v>785</v>
      </c>
      <c r="H570" s="10" t="n">
        <f aca="false">F570*G570</f>
        <v>785</v>
      </c>
      <c r="I570" s="6" t="s">
        <v>5122</v>
      </c>
    </row>
    <row r="571" customFormat="false" ht="15" hidden="false" customHeight="false" outlineLevel="0" collapsed="false">
      <c r="A571" s="6" t="s">
        <v>5783</v>
      </c>
      <c r="B571" s="6" t="s">
        <v>459</v>
      </c>
      <c r="C571" s="26" t="n">
        <v>46044</v>
      </c>
      <c r="D571" s="6" t="s">
        <v>5313</v>
      </c>
      <c r="E571" s="6" t="s">
        <v>22</v>
      </c>
      <c r="F571" s="6" t="n">
        <v>1</v>
      </c>
      <c r="G571" s="10" t="n">
        <v>1760</v>
      </c>
      <c r="H571" s="10" t="n">
        <f aca="false">F571*G571</f>
        <v>1760</v>
      </c>
      <c r="I571" s="6" t="s">
        <v>5148</v>
      </c>
    </row>
    <row r="572" customFormat="false" ht="15" hidden="false" customHeight="false" outlineLevel="0" collapsed="false">
      <c r="A572" s="6" t="s">
        <v>5784</v>
      </c>
      <c r="B572" s="6" t="s">
        <v>416</v>
      </c>
      <c r="C572" s="26" t="n">
        <v>46044</v>
      </c>
      <c r="D572" s="6" t="s">
        <v>5135</v>
      </c>
      <c r="E572" s="6" t="s">
        <v>23</v>
      </c>
      <c r="F572" s="6" t="n">
        <v>2</v>
      </c>
      <c r="G572" s="10" t="n">
        <v>441</v>
      </c>
      <c r="H572" s="10" t="n">
        <f aca="false">F572*G572</f>
        <v>882</v>
      </c>
      <c r="I572" s="6" t="s">
        <v>5148</v>
      </c>
    </row>
    <row r="573" customFormat="false" ht="15" hidden="false" customHeight="false" outlineLevel="0" collapsed="false">
      <c r="A573" s="6" t="s">
        <v>5785</v>
      </c>
      <c r="B573" s="6" t="s">
        <v>1325</v>
      </c>
      <c r="C573" s="26" t="n">
        <v>46044</v>
      </c>
      <c r="D573" s="6" t="s">
        <v>5171</v>
      </c>
      <c r="E573" s="6" t="s">
        <v>23</v>
      </c>
      <c r="F573" s="6" t="n">
        <v>4</v>
      </c>
      <c r="G573" s="10" t="n">
        <v>697</v>
      </c>
      <c r="H573" s="10" t="n">
        <f aca="false">F573*G573</f>
        <v>2788</v>
      </c>
      <c r="I573" s="6" t="s">
        <v>5148</v>
      </c>
    </row>
    <row r="574" customFormat="false" ht="15" hidden="false" customHeight="false" outlineLevel="0" collapsed="false">
      <c r="A574" s="6" t="s">
        <v>5786</v>
      </c>
      <c r="B574" s="6" t="s">
        <v>3691</v>
      </c>
      <c r="C574" s="26" t="n">
        <v>46044</v>
      </c>
      <c r="D574" s="6" t="s">
        <v>5163</v>
      </c>
      <c r="E574" s="6" t="s">
        <v>23</v>
      </c>
      <c r="F574" s="6" t="n">
        <v>5</v>
      </c>
      <c r="G574" s="10" t="n">
        <v>783</v>
      </c>
      <c r="H574" s="10" t="n">
        <f aca="false">F574*G574</f>
        <v>3915</v>
      </c>
      <c r="I574" s="6" t="s">
        <v>5122</v>
      </c>
    </row>
    <row r="575" customFormat="false" ht="15" hidden="false" customHeight="false" outlineLevel="0" collapsed="false">
      <c r="A575" s="6" t="s">
        <v>5787</v>
      </c>
      <c r="B575" s="6" t="s">
        <v>2185</v>
      </c>
      <c r="C575" s="26" t="n">
        <v>46044</v>
      </c>
      <c r="D575" s="6" t="s">
        <v>5318</v>
      </c>
      <c r="E575" s="6" t="s">
        <v>20</v>
      </c>
      <c r="F575" s="6" t="n">
        <v>1</v>
      </c>
      <c r="G575" s="10" t="n">
        <v>1376</v>
      </c>
      <c r="H575" s="10" t="n">
        <f aca="false">F575*G575</f>
        <v>1376</v>
      </c>
      <c r="I575" s="6" t="s">
        <v>5122</v>
      </c>
    </row>
    <row r="576" customFormat="false" ht="15" hidden="false" customHeight="false" outlineLevel="0" collapsed="false">
      <c r="A576" s="6" t="s">
        <v>5788</v>
      </c>
      <c r="B576" s="6" t="s">
        <v>4615</v>
      </c>
      <c r="C576" s="26" t="n">
        <v>46044</v>
      </c>
      <c r="D576" s="6" t="s">
        <v>5150</v>
      </c>
      <c r="E576" s="6" t="s">
        <v>24</v>
      </c>
      <c r="F576" s="6" t="n">
        <v>1</v>
      </c>
      <c r="G576" s="10" t="n">
        <v>508</v>
      </c>
      <c r="H576" s="10" t="n">
        <f aca="false">F576*G576</f>
        <v>508</v>
      </c>
      <c r="I576" s="6" t="s">
        <v>5148</v>
      </c>
    </row>
    <row r="577" customFormat="false" ht="15" hidden="false" customHeight="false" outlineLevel="0" collapsed="false">
      <c r="A577" s="6" t="s">
        <v>5789</v>
      </c>
      <c r="B577" s="6" t="s">
        <v>4447</v>
      </c>
      <c r="C577" s="26" t="n">
        <v>46044</v>
      </c>
      <c r="D577" s="6" t="s">
        <v>5214</v>
      </c>
      <c r="E577" s="6" t="s">
        <v>20</v>
      </c>
      <c r="F577" s="6" t="n">
        <v>2</v>
      </c>
      <c r="G577" s="10" t="n">
        <v>1835</v>
      </c>
      <c r="H577" s="10" t="n">
        <f aca="false">F577*G577</f>
        <v>3670</v>
      </c>
      <c r="I577" s="6" t="s">
        <v>5125</v>
      </c>
    </row>
    <row r="578" customFormat="false" ht="15" hidden="false" customHeight="false" outlineLevel="0" collapsed="false">
      <c r="A578" s="6" t="s">
        <v>5790</v>
      </c>
      <c r="B578" s="6" t="s">
        <v>2391</v>
      </c>
      <c r="C578" s="26" t="n">
        <v>46044</v>
      </c>
      <c r="D578" s="6" t="s">
        <v>5154</v>
      </c>
      <c r="E578" s="6" t="s">
        <v>21</v>
      </c>
      <c r="F578" s="6" t="n">
        <v>2</v>
      </c>
      <c r="G578" s="10" t="n">
        <v>707</v>
      </c>
      <c r="H578" s="10" t="n">
        <f aca="false">F578*G578</f>
        <v>1414</v>
      </c>
      <c r="I578" s="6" t="s">
        <v>5122</v>
      </c>
    </row>
    <row r="579" customFormat="false" ht="15" hidden="false" customHeight="false" outlineLevel="0" collapsed="false">
      <c r="A579" s="6" t="s">
        <v>5791</v>
      </c>
      <c r="B579" s="6" t="s">
        <v>4759</v>
      </c>
      <c r="C579" s="26" t="n">
        <v>46044</v>
      </c>
      <c r="D579" s="6" t="s">
        <v>5154</v>
      </c>
      <c r="E579" s="6" t="s">
        <v>21</v>
      </c>
      <c r="F579" s="6" t="n">
        <v>2</v>
      </c>
      <c r="G579" s="10" t="n">
        <v>785</v>
      </c>
      <c r="H579" s="10" t="n">
        <f aca="false">F579*G579</f>
        <v>1570</v>
      </c>
      <c r="I579" s="6" t="s">
        <v>5133</v>
      </c>
    </row>
    <row r="580" customFormat="false" ht="15" hidden="false" customHeight="false" outlineLevel="0" collapsed="false">
      <c r="A580" s="6" t="s">
        <v>5792</v>
      </c>
      <c r="B580" s="6" t="s">
        <v>4505</v>
      </c>
      <c r="C580" s="26" t="n">
        <v>46044</v>
      </c>
      <c r="D580" s="6" t="s">
        <v>5197</v>
      </c>
      <c r="E580" s="6" t="s">
        <v>21</v>
      </c>
      <c r="F580" s="6" t="n">
        <v>2</v>
      </c>
      <c r="G580" s="10" t="n">
        <v>1026</v>
      </c>
      <c r="H580" s="10" t="n">
        <f aca="false">F580*G580</f>
        <v>2052</v>
      </c>
      <c r="I580" s="6" t="s">
        <v>5148</v>
      </c>
    </row>
    <row r="581" customFormat="false" ht="15" hidden="false" customHeight="false" outlineLevel="0" collapsed="false">
      <c r="A581" s="6" t="s">
        <v>5793</v>
      </c>
      <c r="B581" s="6" t="s">
        <v>5015</v>
      </c>
      <c r="C581" s="26" t="n">
        <v>46044</v>
      </c>
      <c r="D581" s="6" t="s">
        <v>5171</v>
      </c>
      <c r="E581" s="6" t="s">
        <v>23</v>
      </c>
      <c r="F581" s="6" t="n">
        <v>2</v>
      </c>
      <c r="G581" s="10" t="n">
        <v>661</v>
      </c>
      <c r="H581" s="10" t="n">
        <f aca="false">F581*G581</f>
        <v>1322</v>
      </c>
      <c r="I581" s="6" t="s">
        <v>5133</v>
      </c>
    </row>
    <row r="582" customFormat="false" ht="15" hidden="false" customHeight="false" outlineLevel="0" collapsed="false">
      <c r="A582" s="6" t="s">
        <v>5794</v>
      </c>
      <c r="B582" s="6" t="s">
        <v>2843</v>
      </c>
      <c r="C582" s="26" t="n">
        <v>46044</v>
      </c>
      <c r="D582" s="6" t="s">
        <v>5182</v>
      </c>
      <c r="E582" s="6" t="s">
        <v>23</v>
      </c>
      <c r="F582" s="6" t="n">
        <v>2</v>
      </c>
      <c r="G582" s="10" t="n">
        <v>367</v>
      </c>
      <c r="H582" s="10" t="n">
        <f aca="false">F582*G582</f>
        <v>734</v>
      </c>
      <c r="I582" s="6" t="s">
        <v>5122</v>
      </c>
    </row>
    <row r="583" customFormat="false" ht="15" hidden="false" customHeight="false" outlineLevel="0" collapsed="false">
      <c r="A583" s="6" t="s">
        <v>5795</v>
      </c>
      <c r="B583" s="6" t="s">
        <v>4105</v>
      </c>
      <c r="C583" s="26" t="n">
        <v>46045</v>
      </c>
      <c r="D583" s="6" t="s">
        <v>5129</v>
      </c>
      <c r="E583" s="6" t="s">
        <v>21</v>
      </c>
      <c r="F583" s="6" t="n">
        <v>1</v>
      </c>
      <c r="G583" s="10" t="n">
        <v>559</v>
      </c>
      <c r="H583" s="10" t="n">
        <f aca="false">F583*G583</f>
        <v>559</v>
      </c>
      <c r="I583" s="6" t="s">
        <v>5122</v>
      </c>
    </row>
    <row r="584" customFormat="false" ht="15" hidden="false" customHeight="false" outlineLevel="0" collapsed="false">
      <c r="A584" s="6" t="s">
        <v>5796</v>
      </c>
      <c r="B584" s="6" t="s">
        <v>1369</v>
      </c>
      <c r="C584" s="26" t="n">
        <v>46045</v>
      </c>
      <c r="D584" s="6" t="s">
        <v>5456</v>
      </c>
      <c r="E584" s="6" t="s">
        <v>24</v>
      </c>
      <c r="F584" s="6" t="n">
        <v>2</v>
      </c>
      <c r="G584" s="10" t="n">
        <v>912</v>
      </c>
      <c r="H584" s="10" t="n">
        <f aca="false">F584*G584</f>
        <v>1824</v>
      </c>
      <c r="I584" s="6" t="s">
        <v>5122</v>
      </c>
    </row>
    <row r="585" customFormat="false" ht="15" hidden="false" customHeight="false" outlineLevel="0" collapsed="false">
      <c r="A585" s="6" t="s">
        <v>5797</v>
      </c>
      <c r="B585" s="6" t="s">
        <v>941</v>
      </c>
      <c r="C585" s="26" t="n">
        <v>46045</v>
      </c>
      <c r="D585" s="6" t="s">
        <v>5345</v>
      </c>
      <c r="E585" s="6" t="s">
        <v>23</v>
      </c>
      <c r="F585" s="6" t="n">
        <v>4</v>
      </c>
      <c r="G585" s="10" t="n">
        <v>436</v>
      </c>
      <c r="H585" s="10" t="n">
        <f aca="false">F585*G585</f>
        <v>1744</v>
      </c>
      <c r="I585" s="6" t="s">
        <v>5122</v>
      </c>
    </row>
    <row r="586" customFormat="false" ht="15" hidden="false" customHeight="false" outlineLevel="0" collapsed="false">
      <c r="A586" s="6" t="s">
        <v>5798</v>
      </c>
      <c r="B586" s="6" t="s">
        <v>3511</v>
      </c>
      <c r="C586" s="26" t="n">
        <v>46045</v>
      </c>
      <c r="D586" s="6" t="s">
        <v>5129</v>
      </c>
      <c r="E586" s="6" t="s">
        <v>21</v>
      </c>
      <c r="F586" s="6" t="n">
        <v>1</v>
      </c>
      <c r="G586" s="10" t="n">
        <v>559</v>
      </c>
      <c r="H586" s="10" t="n">
        <f aca="false">F586*G586</f>
        <v>559</v>
      </c>
      <c r="I586" s="6" t="s">
        <v>5125</v>
      </c>
    </row>
    <row r="587" customFormat="false" ht="15" hidden="false" customHeight="false" outlineLevel="0" collapsed="false">
      <c r="A587" s="6" t="s">
        <v>5799</v>
      </c>
      <c r="B587" s="6" t="s">
        <v>1255</v>
      </c>
      <c r="C587" s="26" t="n">
        <v>46045</v>
      </c>
      <c r="D587" s="6" t="s">
        <v>5163</v>
      </c>
      <c r="E587" s="6" t="s">
        <v>23</v>
      </c>
      <c r="F587" s="6" t="n">
        <v>4</v>
      </c>
      <c r="G587" s="10" t="n">
        <v>783</v>
      </c>
      <c r="H587" s="10" t="n">
        <f aca="false">F587*G587</f>
        <v>3132</v>
      </c>
      <c r="I587" s="6" t="s">
        <v>5148</v>
      </c>
    </row>
    <row r="588" customFormat="false" ht="15" hidden="false" customHeight="false" outlineLevel="0" collapsed="false">
      <c r="A588" s="6" t="s">
        <v>5800</v>
      </c>
      <c r="B588" s="6" t="s">
        <v>3405</v>
      </c>
      <c r="C588" s="26" t="n">
        <v>46045</v>
      </c>
      <c r="D588" s="6" t="s">
        <v>5135</v>
      </c>
      <c r="E588" s="6" t="s">
        <v>23</v>
      </c>
      <c r="F588" s="6" t="n">
        <v>4</v>
      </c>
      <c r="G588" s="10" t="n">
        <v>397</v>
      </c>
      <c r="H588" s="10" t="n">
        <f aca="false">F588*G588</f>
        <v>1588</v>
      </c>
      <c r="I588" s="6" t="s">
        <v>5130</v>
      </c>
    </row>
    <row r="589" customFormat="false" ht="15" hidden="false" customHeight="false" outlineLevel="0" collapsed="false">
      <c r="A589" s="6" t="s">
        <v>5801</v>
      </c>
      <c r="B589" s="6" t="s">
        <v>1447</v>
      </c>
      <c r="C589" s="26" t="n">
        <v>46045</v>
      </c>
      <c r="D589" s="6" t="s">
        <v>5141</v>
      </c>
      <c r="E589" s="6" t="s">
        <v>20</v>
      </c>
      <c r="F589" s="6" t="n">
        <v>1</v>
      </c>
      <c r="G589" s="10" t="n">
        <v>1835</v>
      </c>
      <c r="H589" s="10" t="n">
        <f aca="false">F589*G589</f>
        <v>1835</v>
      </c>
      <c r="I589" s="6" t="s">
        <v>5122</v>
      </c>
    </row>
    <row r="590" customFormat="false" ht="15" hidden="false" customHeight="false" outlineLevel="0" collapsed="false">
      <c r="A590" s="6" t="s">
        <v>5802</v>
      </c>
      <c r="B590" s="6" t="s">
        <v>4931</v>
      </c>
      <c r="C590" s="26" t="n">
        <v>46045</v>
      </c>
      <c r="D590" s="6" t="s">
        <v>5129</v>
      </c>
      <c r="E590" s="6" t="s">
        <v>21</v>
      </c>
      <c r="F590" s="6" t="n">
        <v>1</v>
      </c>
      <c r="G590" s="10" t="n">
        <v>559</v>
      </c>
      <c r="H590" s="10" t="n">
        <f aca="false">F590*G590</f>
        <v>559</v>
      </c>
      <c r="I590" s="6" t="s">
        <v>5148</v>
      </c>
    </row>
    <row r="591" customFormat="false" ht="15" hidden="false" customHeight="false" outlineLevel="0" collapsed="false">
      <c r="A591" s="6" t="s">
        <v>5803</v>
      </c>
      <c r="B591" s="6" t="s">
        <v>4907</v>
      </c>
      <c r="C591" s="26" t="n">
        <v>46045</v>
      </c>
      <c r="D591" s="6" t="s">
        <v>5127</v>
      </c>
      <c r="E591" s="6" t="s">
        <v>21</v>
      </c>
      <c r="F591" s="6" t="n">
        <v>2</v>
      </c>
      <c r="G591" s="10" t="n">
        <v>839</v>
      </c>
      <c r="H591" s="10" t="n">
        <f aca="false">F591*G591</f>
        <v>1678</v>
      </c>
      <c r="I591" s="6" t="s">
        <v>5122</v>
      </c>
    </row>
    <row r="592" customFormat="false" ht="15" hidden="false" customHeight="false" outlineLevel="0" collapsed="false">
      <c r="A592" s="6" t="s">
        <v>5804</v>
      </c>
      <c r="B592" s="6" t="s">
        <v>3153</v>
      </c>
      <c r="C592" s="26" t="n">
        <v>46045</v>
      </c>
      <c r="D592" s="6" t="s">
        <v>5188</v>
      </c>
      <c r="E592" s="6" t="s">
        <v>24</v>
      </c>
      <c r="F592" s="6" t="n">
        <v>4</v>
      </c>
      <c r="G592" s="10" t="n">
        <v>916</v>
      </c>
      <c r="H592" s="10" t="n">
        <f aca="false">F592*G592</f>
        <v>3664</v>
      </c>
      <c r="I592" s="6" t="s">
        <v>5148</v>
      </c>
    </row>
    <row r="593" customFormat="false" ht="15" hidden="false" customHeight="false" outlineLevel="0" collapsed="false">
      <c r="A593" s="6" t="s">
        <v>5805</v>
      </c>
      <c r="B593" s="6" t="s">
        <v>3727</v>
      </c>
      <c r="C593" s="26" t="n">
        <v>46045</v>
      </c>
      <c r="D593" s="6" t="s">
        <v>5237</v>
      </c>
      <c r="E593" s="6" t="s">
        <v>24</v>
      </c>
      <c r="F593" s="6" t="n">
        <v>2</v>
      </c>
      <c r="G593" s="10" t="n">
        <v>1833</v>
      </c>
      <c r="H593" s="10" t="n">
        <f aca="false">F593*G593</f>
        <v>3666</v>
      </c>
      <c r="I593" s="6" t="s">
        <v>5133</v>
      </c>
    </row>
    <row r="594" customFormat="false" ht="15" hidden="false" customHeight="false" outlineLevel="0" collapsed="false">
      <c r="A594" s="6" t="s">
        <v>5806</v>
      </c>
      <c r="B594" s="6" t="s">
        <v>563</v>
      </c>
      <c r="C594" s="26" t="n">
        <v>46045</v>
      </c>
      <c r="D594" s="6" t="s">
        <v>5807</v>
      </c>
      <c r="E594" s="6" t="s">
        <v>20</v>
      </c>
      <c r="F594" s="6" t="n">
        <v>1</v>
      </c>
      <c r="G594" s="10" t="n">
        <v>15296</v>
      </c>
      <c r="H594" s="10" t="n">
        <f aca="false">F594*G594</f>
        <v>15296</v>
      </c>
      <c r="I594" s="6" t="s">
        <v>5148</v>
      </c>
    </row>
    <row r="595" customFormat="false" ht="15" hidden="false" customHeight="false" outlineLevel="0" collapsed="false">
      <c r="A595" s="6" t="s">
        <v>5808</v>
      </c>
      <c r="B595" s="6" t="s">
        <v>4653</v>
      </c>
      <c r="C595" s="26" t="n">
        <v>46045</v>
      </c>
      <c r="D595" s="6" t="s">
        <v>5163</v>
      </c>
      <c r="E595" s="6" t="s">
        <v>23</v>
      </c>
      <c r="F595" s="6" t="n">
        <v>1</v>
      </c>
      <c r="G595" s="10" t="n">
        <v>782</v>
      </c>
      <c r="H595" s="10" t="n">
        <f aca="false">F595*G595</f>
        <v>782</v>
      </c>
      <c r="I595" s="6" t="s">
        <v>5133</v>
      </c>
    </row>
    <row r="596" customFormat="false" ht="15" hidden="false" customHeight="false" outlineLevel="0" collapsed="false">
      <c r="A596" s="6" t="s">
        <v>5809</v>
      </c>
      <c r="B596" s="6" t="s">
        <v>1351</v>
      </c>
      <c r="C596" s="26" t="n">
        <v>46045</v>
      </c>
      <c r="D596" s="6" t="s">
        <v>5220</v>
      </c>
      <c r="E596" s="6" t="s">
        <v>24</v>
      </c>
      <c r="F596" s="6" t="n">
        <v>4</v>
      </c>
      <c r="G596" s="10" t="n">
        <v>1008</v>
      </c>
      <c r="H596" s="10" t="n">
        <f aca="false">F596*G596</f>
        <v>4032</v>
      </c>
      <c r="I596" s="6" t="s">
        <v>5130</v>
      </c>
    </row>
    <row r="597" customFormat="false" ht="15" hidden="false" customHeight="false" outlineLevel="0" collapsed="false">
      <c r="A597" s="6" t="s">
        <v>5810</v>
      </c>
      <c r="B597" s="6" t="s">
        <v>3887</v>
      </c>
      <c r="C597" s="26" t="n">
        <v>46045</v>
      </c>
      <c r="D597" s="6" t="s">
        <v>5192</v>
      </c>
      <c r="E597" s="6" t="s">
        <v>20</v>
      </c>
      <c r="F597" s="6" t="n">
        <v>1</v>
      </c>
      <c r="G597" s="10" t="n">
        <v>3874</v>
      </c>
      <c r="H597" s="10" t="n">
        <f aca="false">F597*G597</f>
        <v>3874</v>
      </c>
      <c r="I597" s="6" t="s">
        <v>5122</v>
      </c>
    </row>
    <row r="598" customFormat="false" ht="15" hidden="false" customHeight="false" outlineLevel="0" collapsed="false">
      <c r="A598" s="6" t="s">
        <v>5811</v>
      </c>
      <c r="B598" s="6" t="s">
        <v>3859</v>
      </c>
      <c r="C598" s="26" t="n">
        <v>46045</v>
      </c>
      <c r="D598" s="6" t="s">
        <v>5163</v>
      </c>
      <c r="E598" s="6" t="s">
        <v>23</v>
      </c>
      <c r="F598" s="6" t="n">
        <v>3</v>
      </c>
      <c r="G598" s="10" t="n">
        <v>783</v>
      </c>
      <c r="H598" s="10" t="n">
        <f aca="false">F598*G598</f>
        <v>2349</v>
      </c>
      <c r="I598" s="6" t="s">
        <v>5122</v>
      </c>
    </row>
    <row r="599" customFormat="false" ht="15" hidden="false" customHeight="false" outlineLevel="0" collapsed="false">
      <c r="A599" s="6" t="s">
        <v>5812</v>
      </c>
      <c r="B599" s="6" t="s">
        <v>3799</v>
      </c>
      <c r="C599" s="26" t="n">
        <v>46045</v>
      </c>
      <c r="D599" s="6" t="s">
        <v>5141</v>
      </c>
      <c r="E599" s="6" t="s">
        <v>20</v>
      </c>
      <c r="F599" s="6" t="n">
        <v>1</v>
      </c>
      <c r="G599" s="10" t="n">
        <v>1835</v>
      </c>
      <c r="H599" s="10" t="n">
        <f aca="false">F599*G599</f>
        <v>1835</v>
      </c>
      <c r="I599" s="6" t="s">
        <v>5125</v>
      </c>
    </row>
    <row r="600" customFormat="false" ht="15" hidden="false" customHeight="false" outlineLevel="0" collapsed="false">
      <c r="A600" s="6" t="s">
        <v>5813</v>
      </c>
      <c r="B600" s="6" t="s">
        <v>3941</v>
      </c>
      <c r="C600" s="26" t="n">
        <v>46045</v>
      </c>
      <c r="D600" s="6" t="s">
        <v>5167</v>
      </c>
      <c r="E600" s="6" t="s">
        <v>22</v>
      </c>
      <c r="F600" s="6" t="n">
        <v>1</v>
      </c>
      <c r="G600" s="10" t="n">
        <v>703</v>
      </c>
      <c r="H600" s="10" t="n">
        <f aca="false">F600*G600</f>
        <v>703</v>
      </c>
      <c r="I600" s="6" t="s">
        <v>5148</v>
      </c>
    </row>
    <row r="601" customFormat="false" ht="15" hidden="false" customHeight="false" outlineLevel="0" collapsed="false">
      <c r="A601" s="6" t="s">
        <v>5814</v>
      </c>
      <c r="B601" s="6" t="s">
        <v>1487</v>
      </c>
      <c r="C601" s="26" t="n">
        <v>46045</v>
      </c>
      <c r="D601" s="6" t="s">
        <v>5216</v>
      </c>
      <c r="E601" s="6" t="s">
        <v>23</v>
      </c>
      <c r="F601" s="6" t="n">
        <v>2</v>
      </c>
      <c r="G601" s="10" t="n">
        <v>587</v>
      </c>
      <c r="H601" s="10" t="n">
        <f aca="false">F601*G601</f>
        <v>1174</v>
      </c>
      <c r="I601" s="6" t="s">
        <v>5173</v>
      </c>
    </row>
    <row r="602" customFormat="false" ht="15" hidden="false" customHeight="false" outlineLevel="0" collapsed="false">
      <c r="A602" s="6" t="s">
        <v>5815</v>
      </c>
      <c r="B602" s="6" t="s">
        <v>422</v>
      </c>
      <c r="C602" s="26" t="n">
        <v>46045</v>
      </c>
      <c r="D602" s="6" t="s">
        <v>5135</v>
      </c>
      <c r="E602" s="6" t="s">
        <v>23</v>
      </c>
      <c r="F602" s="6" t="n">
        <v>3</v>
      </c>
      <c r="G602" s="10" t="n">
        <v>397</v>
      </c>
      <c r="H602" s="10" t="n">
        <f aca="false">F602*G602</f>
        <v>1191</v>
      </c>
      <c r="I602" s="6" t="s">
        <v>5122</v>
      </c>
    </row>
    <row r="603" customFormat="false" ht="15" hidden="false" customHeight="false" outlineLevel="0" collapsed="false">
      <c r="A603" s="6" t="s">
        <v>5816</v>
      </c>
      <c r="B603" s="6" t="s">
        <v>4429</v>
      </c>
      <c r="C603" s="26" t="n">
        <v>46045</v>
      </c>
      <c r="D603" s="6" t="s">
        <v>5235</v>
      </c>
      <c r="E603" s="6" t="s">
        <v>21</v>
      </c>
      <c r="F603" s="6" t="n">
        <v>1</v>
      </c>
      <c r="G603" s="10" t="n">
        <v>1670</v>
      </c>
      <c r="H603" s="10" t="n">
        <f aca="false">F603*G603</f>
        <v>1670</v>
      </c>
      <c r="I603" s="6" t="s">
        <v>5148</v>
      </c>
    </row>
    <row r="604" customFormat="false" ht="15" hidden="false" customHeight="false" outlineLevel="0" collapsed="false">
      <c r="A604" s="6" t="s">
        <v>5817</v>
      </c>
      <c r="B604" s="6" t="s">
        <v>1393</v>
      </c>
      <c r="C604" s="26" t="n">
        <v>46045</v>
      </c>
      <c r="D604" s="6" t="s">
        <v>5154</v>
      </c>
      <c r="E604" s="6" t="s">
        <v>21</v>
      </c>
      <c r="F604" s="6" t="n">
        <v>1</v>
      </c>
      <c r="G604" s="10" t="n">
        <v>785</v>
      </c>
      <c r="H604" s="10" t="n">
        <f aca="false">F604*G604</f>
        <v>785</v>
      </c>
      <c r="I604" s="6" t="s">
        <v>5130</v>
      </c>
    </row>
    <row r="605" customFormat="false" ht="15" hidden="false" customHeight="false" outlineLevel="0" collapsed="false">
      <c r="A605" s="6" t="s">
        <v>5818</v>
      </c>
      <c r="B605" s="6" t="s">
        <v>4175</v>
      </c>
      <c r="C605" s="26" t="n">
        <v>46046</v>
      </c>
      <c r="D605" s="6" t="s">
        <v>5460</v>
      </c>
      <c r="E605" s="6" t="s">
        <v>24</v>
      </c>
      <c r="F605" s="6" t="n">
        <v>1</v>
      </c>
      <c r="G605" s="10" t="n">
        <v>555</v>
      </c>
      <c r="H605" s="10" t="n">
        <f aca="false">F605*G605</f>
        <v>555</v>
      </c>
      <c r="I605" s="6" t="s">
        <v>5130</v>
      </c>
    </row>
    <row r="606" customFormat="false" ht="15" hidden="false" customHeight="false" outlineLevel="0" collapsed="false">
      <c r="A606" s="6" t="s">
        <v>5819</v>
      </c>
      <c r="B606" s="6" t="s">
        <v>3067</v>
      </c>
      <c r="C606" s="26" t="n">
        <v>46046</v>
      </c>
      <c r="D606" s="6" t="s">
        <v>5326</v>
      </c>
      <c r="E606" s="6" t="s">
        <v>22</v>
      </c>
      <c r="F606" s="6" t="n">
        <v>3</v>
      </c>
      <c r="G606" s="10" t="n">
        <v>1466</v>
      </c>
      <c r="H606" s="10" t="n">
        <f aca="false">F606*G606</f>
        <v>4398</v>
      </c>
      <c r="I606" s="6" t="s">
        <v>5148</v>
      </c>
    </row>
    <row r="607" customFormat="false" ht="15" hidden="false" customHeight="false" outlineLevel="0" collapsed="false">
      <c r="A607" s="6" t="s">
        <v>5820</v>
      </c>
      <c r="B607" s="6" t="s">
        <v>4521</v>
      </c>
      <c r="C607" s="26" t="n">
        <v>46046</v>
      </c>
      <c r="D607" s="6" t="s">
        <v>5357</v>
      </c>
      <c r="E607" s="6" t="s">
        <v>23</v>
      </c>
      <c r="F607" s="6" t="n">
        <v>1</v>
      </c>
      <c r="G607" s="10" t="n">
        <v>533</v>
      </c>
      <c r="H607" s="10" t="n">
        <f aca="false">F607*G607</f>
        <v>533</v>
      </c>
      <c r="I607" s="6" t="s">
        <v>5122</v>
      </c>
    </row>
    <row r="608" customFormat="false" ht="15" hidden="false" customHeight="false" outlineLevel="0" collapsed="false">
      <c r="A608" s="6" t="s">
        <v>5821</v>
      </c>
      <c r="B608" s="6" t="s">
        <v>5093</v>
      </c>
      <c r="C608" s="26" t="n">
        <v>46046</v>
      </c>
      <c r="D608" s="6" t="s">
        <v>5357</v>
      </c>
      <c r="E608" s="6" t="s">
        <v>23</v>
      </c>
      <c r="F608" s="6" t="n">
        <v>1</v>
      </c>
      <c r="G608" s="10" t="n">
        <v>507</v>
      </c>
      <c r="H608" s="10" t="n">
        <f aca="false">F608*G608</f>
        <v>507</v>
      </c>
      <c r="I608" s="6" t="s">
        <v>5122</v>
      </c>
    </row>
    <row r="609" customFormat="false" ht="15" hidden="false" customHeight="false" outlineLevel="0" collapsed="false">
      <c r="A609" s="6" t="s">
        <v>5822</v>
      </c>
      <c r="B609" s="6" t="s">
        <v>4673</v>
      </c>
      <c r="C609" s="26" t="n">
        <v>46046</v>
      </c>
      <c r="D609" s="6" t="s">
        <v>5167</v>
      </c>
      <c r="E609" s="6" t="s">
        <v>22</v>
      </c>
      <c r="F609" s="6" t="n">
        <v>2</v>
      </c>
      <c r="G609" s="10" t="n">
        <v>782</v>
      </c>
      <c r="H609" s="10" t="n">
        <f aca="false">F609*G609</f>
        <v>1564</v>
      </c>
      <c r="I609" s="6" t="s">
        <v>5148</v>
      </c>
    </row>
    <row r="610" customFormat="false" ht="15" hidden="false" customHeight="false" outlineLevel="0" collapsed="false">
      <c r="A610" s="6" t="s">
        <v>5823</v>
      </c>
      <c r="B610" s="6" t="s">
        <v>879</v>
      </c>
      <c r="C610" s="26" t="n">
        <v>46046</v>
      </c>
      <c r="D610" s="6" t="s">
        <v>5163</v>
      </c>
      <c r="E610" s="6" t="s">
        <v>23</v>
      </c>
      <c r="F610" s="6" t="n">
        <v>2</v>
      </c>
      <c r="G610" s="10" t="n">
        <v>705</v>
      </c>
      <c r="H610" s="10" t="n">
        <f aca="false">F610*G610</f>
        <v>1410</v>
      </c>
      <c r="I610" s="6" t="s">
        <v>5122</v>
      </c>
    </row>
    <row r="611" customFormat="false" ht="15" hidden="false" customHeight="false" outlineLevel="0" collapsed="false">
      <c r="A611" s="6" t="s">
        <v>5824</v>
      </c>
      <c r="B611" s="6" t="s">
        <v>4687</v>
      </c>
      <c r="C611" s="26" t="n">
        <v>46046</v>
      </c>
      <c r="D611" s="6" t="s">
        <v>5167</v>
      </c>
      <c r="E611" s="6" t="s">
        <v>22</v>
      </c>
      <c r="F611" s="6" t="n">
        <v>1</v>
      </c>
      <c r="G611" s="10" t="n">
        <v>782</v>
      </c>
      <c r="H611" s="10" t="n">
        <f aca="false">F611*G611</f>
        <v>782</v>
      </c>
      <c r="I611" s="6" t="s">
        <v>5125</v>
      </c>
    </row>
    <row r="612" customFormat="false" ht="15" hidden="false" customHeight="false" outlineLevel="0" collapsed="false">
      <c r="A612" s="6" t="s">
        <v>5825</v>
      </c>
      <c r="B612" s="6" t="s">
        <v>601</v>
      </c>
      <c r="C612" s="26" t="n">
        <v>46046</v>
      </c>
      <c r="D612" s="6" t="s">
        <v>5188</v>
      </c>
      <c r="E612" s="6" t="s">
        <v>24</v>
      </c>
      <c r="F612" s="6" t="n">
        <v>1</v>
      </c>
      <c r="G612" s="10" t="n">
        <v>1018</v>
      </c>
      <c r="H612" s="10" t="n">
        <f aca="false">F612*G612</f>
        <v>1018</v>
      </c>
      <c r="I612" s="6" t="s">
        <v>5173</v>
      </c>
    </row>
    <row r="613" customFormat="false" ht="15" hidden="false" customHeight="false" outlineLevel="0" collapsed="false">
      <c r="A613" s="6" t="s">
        <v>5826</v>
      </c>
      <c r="B613" s="6" t="s">
        <v>473</v>
      </c>
      <c r="C613" s="26" t="n">
        <v>46046</v>
      </c>
      <c r="D613" s="6" t="s">
        <v>5214</v>
      </c>
      <c r="E613" s="6" t="s">
        <v>20</v>
      </c>
      <c r="F613" s="6" t="n">
        <v>1</v>
      </c>
      <c r="G613" s="10" t="n">
        <v>2039</v>
      </c>
      <c r="H613" s="10" t="n">
        <f aca="false">F613*G613</f>
        <v>2039</v>
      </c>
      <c r="I613" s="6" t="s">
        <v>5122</v>
      </c>
    </row>
    <row r="614" customFormat="false" ht="15" hidden="false" customHeight="false" outlineLevel="0" collapsed="false">
      <c r="A614" s="6" t="s">
        <v>5827</v>
      </c>
      <c r="B614" s="6" t="s">
        <v>4369</v>
      </c>
      <c r="C614" s="26" t="n">
        <v>46046</v>
      </c>
      <c r="D614" s="6" t="s">
        <v>5339</v>
      </c>
      <c r="E614" s="6" t="s">
        <v>24</v>
      </c>
      <c r="F614" s="6" t="n">
        <v>1</v>
      </c>
      <c r="G614" s="10" t="n">
        <v>459</v>
      </c>
      <c r="H614" s="10" t="n">
        <f aca="false">F614*G614</f>
        <v>459</v>
      </c>
      <c r="I614" s="6" t="s">
        <v>5122</v>
      </c>
    </row>
    <row r="615" customFormat="false" ht="15" hidden="false" customHeight="false" outlineLevel="0" collapsed="false">
      <c r="A615" s="6" t="s">
        <v>5828</v>
      </c>
      <c r="B615" s="6" t="s">
        <v>4943</v>
      </c>
      <c r="C615" s="26" t="n">
        <v>46046</v>
      </c>
      <c r="D615" s="6" t="s">
        <v>5167</v>
      </c>
      <c r="E615" s="6" t="s">
        <v>22</v>
      </c>
      <c r="F615" s="6" t="n">
        <v>1</v>
      </c>
      <c r="G615" s="10" t="n">
        <v>782</v>
      </c>
      <c r="H615" s="10" t="n">
        <f aca="false">F615*G615</f>
        <v>782</v>
      </c>
      <c r="I615" s="6" t="s">
        <v>5130</v>
      </c>
    </row>
    <row r="616" customFormat="false" ht="15" hidden="false" customHeight="false" outlineLevel="0" collapsed="false">
      <c r="A616" s="6" t="s">
        <v>5829</v>
      </c>
      <c r="B616" s="6" t="s">
        <v>2565</v>
      </c>
      <c r="C616" s="26" t="n">
        <v>46046</v>
      </c>
      <c r="D616" s="6" t="s">
        <v>5357</v>
      </c>
      <c r="E616" s="6" t="s">
        <v>23</v>
      </c>
      <c r="F616" s="6" t="n">
        <v>2</v>
      </c>
      <c r="G616" s="10" t="n">
        <v>534</v>
      </c>
      <c r="H616" s="10" t="n">
        <f aca="false">F616*G616</f>
        <v>1068</v>
      </c>
      <c r="I616" s="6" t="s">
        <v>5122</v>
      </c>
    </row>
    <row r="617" customFormat="false" ht="15" hidden="false" customHeight="false" outlineLevel="0" collapsed="false">
      <c r="A617" s="6" t="s">
        <v>5830</v>
      </c>
      <c r="B617" s="6" t="s">
        <v>2537</v>
      </c>
      <c r="C617" s="26" t="n">
        <v>46046</v>
      </c>
      <c r="D617" s="6" t="s">
        <v>5194</v>
      </c>
      <c r="E617" s="6" t="s">
        <v>22</v>
      </c>
      <c r="F617" s="6" t="n">
        <v>1</v>
      </c>
      <c r="G617" s="10" t="n">
        <v>1936</v>
      </c>
      <c r="H617" s="10" t="n">
        <f aca="false">F617*G617</f>
        <v>1936</v>
      </c>
      <c r="I617" s="6" t="s">
        <v>5148</v>
      </c>
    </row>
    <row r="618" customFormat="false" ht="15" hidden="false" customHeight="false" outlineLevel="0" collapsed="false">
      <c r="A618" s="6" t="s">
        <v>5831</v>
      </c>
      <c r="B618" s="6" t="s">
        <v>739</v>
      </c>
      <c r="C618" s="26" t="n">
        <v>46046</v>
      </c>
      <c r="D618" s="6" t="s">
        <v>5154</v>
      </c>
      <c r="E618" s="6" t="s">
        <v>21</v>
      </c>
      <c r="F618" s="6" t="n">
        <v>2</v>
      </c>
      <c r="G618" s="10" t="n">
        <v>746</v>
      </c>
      <c r="H618" s="10" t="n">
        <f aca="false">F618*G618</f>
        <v>1492</v>
      </c>
      <c r="I618" s="6" t="s">
        <v>5173</v>
      </c>
    </row>
    <row r="619" customFormat="false" ht="15" hidden="false" customHeight="false" outlineLevel="0" collapsed="false">
      <c r="A619" s="6" t="s">
        <v>5832</v>
      </c>
      <c r="B619" s="6" t="s">
        <v>533</v>
      </c>
      <c r="C619" s="26" t="n">
        <v>46046</v>
      </c>
      <c r="D619" s="6" t="s">
        <v>5167</v>
      </c>
      <c r="E619" s="6" t="s">
        <v>22</v>
      </c>
      <c r="F619" s="6" t="n">
        <v>2</v>
      </c>
      <c r="G619" s="10" t="n">
        <v>782</v>
      </c>
      <c r="H619" s="10" t="n">
        <f aca="false">F619*G619</f>
        <v>1564</v>
      </c>
      <c r="I619" s="6" t="s">
        <v>5130</v>
      </c>
    </row>
    <row r="620" customFormat="false" ht="15" hidden="false" customHeight="false" outlineLevel="0" collapsed="false">
      <c r="A620" s="6" t="s">
        <v>5833</v>
      </c>
      <c r="B620" s="6" t="s">
        <v>541</v>
      </c>
      <c r="C620" s="26" t="n">
        <v>46046</v>
      </c>
      <c r="D620" s="6" t="s">
        <v>5216</v>
      </c>
      <c r="E620" s="6" t="s">
        <v>23</v>
      </c>
      <c r="F620" s="6" t="n">
        <v>2</v>
      </c>
      <c r="G620" s="10" t="n">
        <v>558</v>
      </c>
      <c r="H620" s="10" t="n">
        <f aca="false">F620*G620</f>
        <v>1116</v>
      </c>
      <c r="I620" s="6" t="s">
        <v>5133</v>
      </c>
    </row>
    <row r="621" customFormat="false" ht="15" hidden="false" customHeight="false" outlineLevel="0" collapsed="false">
      <c r="A621" s="6" t="s">
        <v>5834</v>
      </c>
      <c r="B621" s="6" t="s">
        <v>1677</v>
      </c>
      <c r="C621" s="26" t="n">
        <v>46046</v>
      </c>
      <c r="D621" s="6" t="s">
        <v>5216</v>
      </c>
      <c r="E621" s="6" t="s">
        <v>23</v>
      </c>
      <c r="F621" s="6" t="n">
        <v>1</v>
      </c>
      <c r="G621" s="10" t="n">
        <v>558</v>
      </c>
      <c r="H621" s="10" t="n">
        <f aca="false">F621*G621</f>
        <v>558</v>
      </c>
      <c r="I621" s="6" t="s">
        <v>5148</v>
      </c>
    </row>
    <row r="622" customFormat="false" ht="15" hidden="false" customHeight="false" outlineLevel="0" collapsed="false">
      <c r="A622" s="6" t="s">
        <v>5835</v>
      </c>
      <c r="B622" s="6" t="s">
        <v>4653</v>
      </c>
      <c r="C622" s="26" t="n">
        <v>46046</v>
      </c>
      <c r="D622" s="6" t="s">
        <v>5171</v>
      </c>
      <c r="E622" s="6" t="s">
        <v>23</v>
      </c>
      <c r="F622" s="6" t="n">
        <v>2</v>
      </c>
      <c r="G622" s="10" t="n">
        <v>661</v>
      </c>
      <c r="H622" s="10" t="n">
        <f aca="false">F622*G622</f>
        <v>1322</v>
      </c>
      <c r="I622" s="6" t="s">
        <v>5122</v>
      </c>
    </row>
    <row r="623" customFormat="false" ht="15" hidden="false" customHeight="false" outlineLevel="0" collapsed="false">
      <c r="A623" s="6" t="s">
        <v>5836</v>
      </c>
      <c r="B623" s="6" t="s">
        <v>2087</v>
      </c>
      <c r="C623" s="26" t="n">
        <v>46046</v>
      </c>
      <c r="D623" s="6" t="s">
        <v>5837</v>
      </c>
      <c r="E623" s="6" t="s">
        <v>21</v>
      </c>
      <c r="F623" s="6" t="n">
        <v>1</v>
      </c>
      <c r="G623" s="10" t="n">
        <v>2948</v>
      </c>
      <c r="H623" s="10" t="n">
        <f aca="false">F623*G623</f>
        <v>2948</v>
      </c>
      <c r="I623" s="6" t="s">
        <v>5148</v>
      </c>
    </row>
    <row r="624" customFormat="false" ht="15" hidden="false" customHeight="false" outlineLevel="0" collapsed="false">
      <c r="A624" s="6" t="s">
        <v>5838</v>
      </c>
      <c r="B624" s="6" t="s">
        <v>597</v>
      </c>
      <c r="C624" s="26" t="n">
        <v>46046</v>
      </c>
      <c r="D624" s="6" t="s">
        <v>5132</v>
      </c>
      <c r="E624" s="6" t="s">
        <v>23</v>
      </c>
      <c r="F624" s="6" t="n">
        <v>5</v>
      </c>
      <c r="G624" s="10" t="n">
        <v>325</v>
      </c>
      <c r="H624" s="10" t="n">
        <f aca="false">F624*G624</f>
        <v>1625</v>
      </c>
      <c r="I624" s="6" t="s">
        <v>5125</v>
      </c>
    </row>
    <row r="625" customFormat="false" ht="15" hidden="false" customHeight="false" outlineLevel="0" collapsed="false">
      <c r="A625" s="6" t="s">
        <v>5839</v>
      </c>
      <c r="B625" s="6" t="s">
        <v>677</v>
      </c>
      <c r="C625" s="26" t="n">
        <v>46046</v>
      </c>
      <c r="D625" s="6" t="s">
        <v>5220</v>
      </c>
      <c r="E625" s="6" t="s">
        <v>24</v>
      </c>
      <c r="F625" s="6" t="n">
        <v>3</v>
      </c>
      <c r="G625" s="10" t="n">
        <v>1120</v>
      </c>
      <c r="H625" s="10" t="n">
        <f aca="false">F625*G625</f>
        <v>3360</v>
      </c>
      <c r="I625" s="6" t="s">
        <v>5173</v>
      </c>
    </row>
    <row r="626" customFormat="false" ht="15" hidden="false" customHeight="false" outlineLevel="0" collapsed="false">
      <c r="A626" s="6" t="s">
        <v>5840</v>
      </c>
      <c r="B626" s="6" t="s">
        <v>3317</v>
      </c>
      <c r="C626" s="26" t="n">
        <v>46046</v>
      </c>
      <c r="D626" s="6" t="s">
        <v>5163</v>
      </c>
      <c r="E626" s="6" t="s">
        <v>23</v>
      </c>
      <c r="F626" s="6" t="n">
        <v>1</v>
      </c>
      <c r="G626" s="10" t="n">
        <v>704</v>
      </c>
      <c r="H626" s="10" t="n">
        <f aca="false">F626*G626</f>
        <v>704</v>
      </c>
      <c r="I626" s="6" t="s">
        <v>5122</v>
      </c>
    </row>
    <row r="627" customFormat="false" ht="15" hidden="false" customHeight="false" outlineLevel="0" collapsed="false">
      <c r="A627" s="6" t="s">
        <v>5841</v>
      </c>
      <c r="B627" s="6" t="s">
        <v>1319</v>
      </c>
      <c r="C627" s="26" t="n">
        <v>46046</v>
      </c>
      <c r="D627" s="6" t="s">
        <v>5216</v>
      </c>
      <c r="E627" s="6" t="s">
        <v>23</v>
      </c>
      <c r="F627" s="6" t="n">
        <v>5</v>
      </c>
      <c r="G627" s="10" t="n">
        <v>587</v>
      </c>
      <c r="H627" s="10" t="n">
        <f aca="false">F627*G627</f>
        <v>2935</v>
      </c>
      <c r="I627" s="6" t="s">
        <v>5122</v>
      </c>
    </row>
    <row r="628" customFormat="false" ht="15" hidden="false" customHeight="false" outlineLevel="0" collapsed="false">
      <c r="A628" s="6" t="s">
        <v>5842</v>
      </c>
      <c r="B628" s="6" t="s">
        <v>891</v>
      </c>
      <c r="C628" s="26" t="n">
        <v>46046</v>
      </c>
      <c r="D628" s="6" t="s">
        <v>5837</v>
      </c>
      <c r="E628" s="6" t="s">
        <v>21</v>
      </c>
      <c r="F628" s="6" t="n">
        <v>1</v>
      </c>
      <c r="G628" s="10" t="n">
        <v>2800</v>
      </c>
      <c r="H628" s="10" t="n">
        <f aca="false">F628*G628</f>
        <v>2800</v>
      </c>
      <c r="I628" s="6" t="s">
        <v>5133</v>
      </c>
    </row>
    <row r="629" customFormat="false" ht="15" hidden="false" customHeight="false" outlineLevel="0" collapsed="false">
      <c r="A629" s="6" t="s">
        <v>5843</v>
      </c>
      <c r="B629" s="6" t="s">
        <v>358</v>
      </c>
      <c r="C629" s="26" t="n">
        <v>46046</v>
      </c>
      <c r="D629" s="6" t="s">
        <v>5313</v>
      </c>
      <c r="E629" s="6" t="s">
        <v>22</v>
      </c>
      <c r="F629" s="6" t="n">
        <v>2</v>
      </c>
      <c r="G629" s="10" t="n">
        <v>1760</v>
      </c>
      <c r="H629" s="10" t="n">
        <f aca="false">F629*G629</f>
        <v>3520</v>
      </c>
      <c r="I629" s="6" t="s">
        <v>5122</v>
      </c>
    </row>
    <row r="630" customFormat="false" ht="15" hidden="false" customHeight="false" outlineLevel="0" collapsed="false">
      <c r="A630" s="6" t="s">
        <v>5844</v>
      </c>
      <c r="B630" s="6" t="s">
        <v>3609</v>
      </c>
      <c r="C630" s="26" t="n">
        <v>46046</v>
      </c>
      <c r="D630" s="6" t="s">
        <v>5163</v>
      </c>
      <c r="E630" s="6" t="s">
        <v>23</v>
      </c>
      <c r="F630" s="6" t="n">
        <v>1</v>
      </c>
      <c r="G630" s="10" t="n">
        <v>705</v>
      </c>
      <c r="H630" s="10" t="n">
        <f aca="false">F630*G630</f>
        <v>705</v>
      </c>
      <c r="I630" s="6" t="s">
        <v>5122</v>
      </c>
    </row>
    <row r="631" customFormat="false" ht="15" hidden="false" customHeight="false" outlineLevel="0" collapsed="false">
      <c r="A631" s="6" t="s">
        <v>5845</v>
      </c>
      <c r="B631" s="6" t="s">
        <v>192</v>
      </c>
      <c r="C631" s="26" t="n">
        <v>46046</v>
      </c>
      <c r="D631" s="6" t="s">
        <v>5171</v>
      </c>
      <c r="E631" s="6" t="s">
        <v>23</v>
      </c>
      <c r="F631" s="6" t="n">
        <v>1</v>
      </c>
      <c r="G631" s="10" t="n">
        <v>733</v>
      </c>
      <c r="H631" s="10" t="n">
        <f aca="false">F631*G631</f>
        <v>733</v>
      </c>
      <c r="I631" s="6" t="s">
        <v>5122</v>
      </c>
    </row>
    <row r="632" customFormat="false" ht="15" hidden="false" customHeight="false" outlineLevel="0" collapsed="false">
      <c r="A632" s="6" t="s">
        <v>5846</v>
      </c>
      <c r="B632" s="6" t="s">
        <v>703</v>
      </c>
      <c r="C632" s="26" t="n">
        <v>46046</v>
      </c>
      <c r="D632" s="6" t="s">
        <v>5298</v>
      </c>
      <c r="E632" s="6" t="s">
        <v>23</v>
      </c>
      <c r="F632" s="6" t="n">
        <v>3</v>
      </c>
      <c r="G632" s="10" t="n">
        <v>293</v>
      </c>
      <c r="H632" s="10" t="n">
        <f aca="false">F632*G632</f>
        <v>879</v>
      </c>
      <c r="I632" s="6" t="s">
        <v>5122</v>
      </c>
    </row>
    <row r="633" customFormat="false" ht="15" hidden="false" customHeight="false" outlineLevel="0" collapsed="false">
      <c r="A633" s="6" t="s">
        <v>5847</v>
      </c>
      <c r="B633" s="6" t="s">
        <v>4199</v>
      </c>
      <c r="C633" s="26" t="n">
        <v>46046</v>
      </c>
      <c r="D633" s="6" t="s">
        <v>5121</v>
      </c>
      <c r="E633" s="6" t="s">
        <v>22</v>
      </c>
      <c r="F633" s="6" t="n">
        <v>1</v>
      </c>
      <c r="G633" s="10" t="n">
        <v>879</v>
      </c>
      <c r="H633" s="10" t="n">
        <f aca="false">F633*G633</f>
        <v>879</v>
      </c>
      <c r="I633" s="6" t="s">
        <v>5122</v>
      </c>
    </row>
    <row r="634" customFormat="false" ht="15" hidden="false" customHeight="false" outlineLevel="0" collapsed="false">
      <c r="A634" s="6" t="s">
        <v>5848</v>
      </c>
      <c r="B634" s="6" t="s">
        <v>1755</v>
      </c>
      <c r="C634" s="26" t="n">
        <v>46046</v>
      </c>
      <c r="D634" s="6" t="s">
        <v>5410</v>
      </c>
      <c r="E634" s="6" t="s">
        <v>20</v>
      </c>
      <c r="F634" s="6" t="n">
        <v>1</v>
      </c>
      <c r="G634" s="10" t="n">
        <v>2547</v>
      </c>
      <c r="H634" s="10" t="n">
        <f aca="false">F634*G634</f>
        <v>2547</v>
      </c>
      <c r="I634" s="6" t="s">
        <v>5122</v>
      </c>
    </row>
    <row r="635" customFormat="false" ht="15" hidden="false" customHeight="false" outlineLevel="0" collapsed="false">
      <c r="A635" s="6" t="s">
        <v>5849</v>
      </c>
      <c r="B635" s="6" t="s">
        <v>2481</v>
      </c>
      <c r="C635" s="26" t="n">
        <v>46046</v>
      </c>
      <c r="D635" s="6" t="s">
        <v>5242</v>
      </c>
      <c r="E635" s="6" t="s">
        <v>23</v>
      </c>
      <c r="F635" s="6" t="n">
        <v>4</v>
      </c>
      <c r="G635" s="10" t="n">
        <v>372</v>
      </c>
      <c r="H635" s="10" t="n">
        <f aca="false">F635*G635</f>
        <v>1488</v>
      </c>
      <c r="I635" s="6" t="s">
        <v>5122</v>
      </c>
    </row>
    <row r="636" customFormat="false" ht="15" hidden="false" customHeight="false" outlineLevel="0" collapsed="false">
      <c r="A636" s="6" t="s">
        <v>5850</v>
      </c>
      <c r="B636" s="6" t="s">
        <v>4157</v>
      </c>
      <c r="C636" s="26" t="n">
        <v>46046</v>
      </c>
      <c r="D636" s="6" t="s">
        <v>5163</v>
      </c>
      <c r="E636" s="6" t="s">
        <v>23</v>
      </c>
      <c r="F636" s="6" t="n">
        <v>3</v>
      </c>
      <c r="G636" s="10" t="n">
        <v>705</v>
      </c>
      <c r="H636" s="10" t="n">
        <f aca="false">F636*G636</f>
        <v>2115</v>
      </c>
      <c r="I636" s="6" t="s">
        <v>5125</v>
      </c>
    </row>
    <row r="637" customFormat="false" ht="15" hidden="false" customHeight="false" outlineLevel="0" collapsed="false">
      <c r="A637" s="6" t="s">
        <v>5851</v>
      </c>
      <c r="B637" s="6" t="s">
        <v>3681</v>
      </c>
      <c r="C637" s="26" t="n">
        <v>46047</v>
      </c>
      <c r="D637" s="6" t="s">
        <v>5357</v>
      </c>
      <c r="E637" s="6" t="s">
        <v>23</v>
      </c>
      <c r="F637" s="6" t="n">
        <v>3</v>
      </c>
      <c r="G637" s="10" t="n">
        <v>507</v>
      </c>
      <c r="H637" s="10" t="n">
        <f aca="false">F637*G637</f>
        <v>1521</v>
      </c>
      <c r="I637" s="6" t="s">
        <v>5122</v>
      </c>
    </row>
    <row r="638" customFormat="false" ht="15" hidden="false" customHeight="false" outlineLevel="0" collapsed="false">
      <c r="A638" s="6" t="s">
        <v>5852</v>
      </c>
      <c r="B638" s="6" t="s">
        <v>4029</v>
      </c>
      <c r="C638" s="26" t="n">
        <v>46047</v>
      </c>
      <c r="D638" s="6" t="s">
        <v>5242</v>
      </c>
      <c r="E638" s="6" t="s">
        <v>23</v>
      </c>
      <c r="F638" s="6" t="n">
        <v>3</v>
      </c>
      <c r="G638" s="10" t="n">
        <v>372</v>
      </c>
      <c r="H638" s="10" t="n">
        <f aca="false">F638*G638</f>
        <v>1116</v>
      </c>
      <c r="I638" s="6" t="s">
        <v>5122</v>
      </c>
    </row>
    <row r="639" customFormat="false" ht="15" hidden="false" customHeight="false" outlineLevel="0" collapsed="false">
      <c r="A639" s="6" t="s">
        <v>5853</v>
      </c>
      <c r="B639" s="6" t="s">
        <v>2047</v>
      </c>
      <c r="C639" s="26" t="n">
        <v>46047</v>
      </c>
      <c r="D639" s="6" t="s">
        <v>5167</v>
      </c>
      <c r="E639" s="6" t="s">
        <v>22</v>
      </c>
      <c r="F639" s="6" t="n">
        <v>1</v>
      </c>
      <c r="G639" s="10" t="n">
        <v>703</v>
      </c>
      <c r="H639" s="10" t="n">
        <f aca="false">F639*G639</f>
        <v>703</v>
      </c>
      <c r="I639" s="6" t="s">
        <v>5122</v>
      </c>
    </row>
    <row r="640" customFormat="false" ht="15" hidden="false" customHeight="false" outlineLevel="0" collapsed="false">
      <c r="A640" s="6" t="s">
        <v>5854</v>
      </c>
      <c r="B640" s="6" t="s">
        <v>1211</v>
      </c>
      <c r="C640" s="26" t="n">
        <v>46047</v>
      </c>
      <c r="D640" s="6" t="s">
        <v>5121</v>
      </c>
      <c r="E640" s="6" t="s">
        <v>22</v>
      </c>
      <c r="F640" s="6" t="n">
        <v>1</v>
      </c>
      <c r="G640" s="10" t="n">
        <v>928</v>
      </c>
      <c r="H640" s="10" t="n">
        <f aca="false">F640*G640</f>
        <v>928</v>
      </c>
      <c r="I640" s="6" t="s">
        <v>5122</v>
      </c>
    </row>
    <row r="641" customFormat="false" ht="15" hidden="false" customHeight="false" outlineLevel="0" collapsed="false">
      <c r="A641" s="6" t="s">
        <v>5855</v>
      </c>
      <c r="B641" s="6" t="s">
        <v>4739</v>
      </c>
      <c r="C641" s="26" t="n">
        <v>46047</v>
      </c>
      <c r="D641" s="6" t="s">
        <v>5269</v>
      </c>
      <c r="E641" s="6" t="s">
        <v>22</v>
      </c>
      <c r="F641" s="6" t="n">
        <v>2</v>
      </c>
      <c r="G641" s="10" t="n">
        <v>1271</v>
      </c>
      <c r="H641" s="10" t="n">
        <f aca="false">F641*G641</f>
        <v>2542</v>
      </c>
      <c r="I641" s="6" t="s">
        <v>5122</v>
      </c>
    </row>
    <row r="642" customFormat="false" ht="15" hidden="false" customHeight="false" outlineLevel="0" collapsed="false">
      <c r="A642" s="6" t="s">
        <v>5856</v>
      </c>
      <c r="B642" s="6" t="s">
        <v>4779</v>
      </c>
      <c r="C642" s="26" t="n">
        <v>46047</v>
      </c>
      <c r="D642" s="6" t="s">
        <v>5165</v>
      </c>
      <c r="E642" s="6" t="s">
        <v>22</v>
      </c>
      <c r="F642" s="6" t="n">
        <v>2</v>
      </c>
      <c r="G642" s="10" t="n">
        <v>977</v>
      </c>
      <c r="H642" s="10" t="n">
        <f aca="false">F642*G642</f>
        <v>1954</v>
      </c>
      <c r="I642" s="6" t="s">
        <v>5122</v>
      </c>
    </row>
    <row r="643" customFormat="false" ht="15" hidden="false" customHeight="false" outlineLevel="0" collapsed="false">
      <c r="A643" s="6" t="s">
        <v>5857</v>
      </c>
      <c r="B643" s="6" t="s">
        <v>213</v>
      </c>
      <c r="C643" s="26" t="n">
        <v>46047</v>
      </c>
      <c r="D643" s="6" t="s">
        <v>5226</v>
      </c>
      <c r="E643" s="6" t="s">
        <v>24</v>
      </c>
      <c r="F643" s="6" t="n">
        <v>4</v>
      </c>
      <c r="G643" s="10" t="n">
        <v>457</v>
      </c>
      <c r="H643" s="10" t="n">
        <f aca="false">F643*G643</f>
        <v>1828</v>
      </c>
      <c r="I643" s="6" t="s">
        <v>5130</v>
      </c>
    </row>
    <row r="644" customFormat="false" ht="15" hidden="false" customHeight="false" outlineLevel="0" collapsed="false">
      <c r="A644" s="6" t="s">
        <v>5858</v>
      </c>
      <c r="B644" s="6" t="s">
        <v>4039</v>
      </c>
      <c r="C644" s="26" t="n">
        <v>46047</v>
      </c>
      <c r="D644" s="6" t="s">
        <v>5158</v>
      </c>
      <c r="E644" s="6" t="s">
        <v>24</v>
      </c>
      <c r="F644" s="6" t="n">
        <v>1</v>
      </c>
      <c r="G644" s="10" t="n">
        <v>390</v>
      </c>
      <c r="H644" s="10" t="n">
        <f aca="false">F644*G644</f>
        <v>390</v>
      </c>
      <c r="I644" s="6" t="s">
        <v>5125</v>
      </c>
    </row>
    <row r="645" customFormat="false" ht="15" hidden="false" customHeight="false" outlineLevel="0" collapsed="false">
      <c r="A645" s="6" t="s">
        <v>5859</v>
      </c>
      <c r="B645" s="6" t="s">
        <v>5035</v>
      </c>
      <c r="C645" s="26" t="n">
        <v>46047</v>
      </c>
      <c r="D645" s="6" t="s">
        <v>5143</v>
      </c>
      <c r="E645" s="6" t="s">
        <v>21</v>
      </c>
      <c r="F645" s="6" t="n">
        <v>1</v>
      </c>
      <c r="G645" s="10" t="n">
        <v>1179</v>
      </c>
      <c r="H645" s="10" t="n">
        <f aca="false">F645*G645</f>
        <v>1179</v>
      </c>
      <c r="I645" s="6" t="s">
        <v>5122</v>
      </c>
    </row>
    <row r="646" customFormat="false" ht="15" hidden="false" customHeight="false" outlineLevel="0" collapsed="false">
      <c r="A646" s="6" t="s">
        <v>5860</v>
      </c>
      <c r="B646" s="6" t="s">
        <v>3257</v>
      </c>
      <c r="C646" s="26" t="n">
        <v>46047</v>
      </c>
      <c r="D646" s="6" t="s">
        <v>5121</v>
      </c>
      <c r="E646" s="6" t="s">
        <v>22</v>
      </c>
      <c r="F646" s="6" t="n">
        <v>2</v>
      </c>
      <c r="G646" s="10" t="n">
        <v>977</v>
      </c>
      <c r="H646" s="10" t="n">
        <f aca="false">F646*G646</f>
        <v>1954</v>
      </c>
      <c r="I646" s="6" t="s">
        <v>5125</v>
      </c>
    </row>
    <row r="647" customFormat="false" ht="15" hidden="false" customHeight="false" outlineLevel="0" collapsed="false">
      <c r="A647" s="6" t="s">
        <v>5861</v>
      </c>
      <c r="B647" s="6" t="s">
        <v>779</v>
      </c>
      <c r="C647" s="26" t="n">
        <v>46047</v>
      </c>
      <c r="D647" s="6" t="s">
        <v>5147</v>
      </c>
      <c r="E647" s="6" t="s">
        <v>24</v>
      </c>
      <c r="F647" s="6" t="n">
        <v>3</v>
      </c>
      <c r="G647" s="10" t="n">
        <v>595</v>
      </c>
      <c r="H647" s="10" t="n">
        <f aca="false">F647*G647</f>
        <v>1785</v>
      </c>
      <c r="I647" s="6" t="s">
        <v>5130</v>
      </c>
    </row>
    <row r="648" customFormat="false" ht="15" hidden="false" customHeight="false" outlineLevel="0" collapsed="false">
      <c r="A648" s="6" t="s">
        <v>5862</v>
      </c>
      <c r="B648" s="6" t="s">
        <v>3887</v>
      </c>
      <c r="C648" s="26" t="n">
        <v>46047</v>
      </c>
      <c r="D648" s="6" t="s">
        <v>5863</v>
      </c>
      <c r="E648" s="6" t="s">
        <v>20</v>
      </c>
      <c r="F648" s="6" t="n">
        <v>1</v>
      </c>
      <c r="G648" s="10" t="n">
        <v>20395</v>
      </c>
      <c r="H648" s="10" t="n">
        <f aca="false">F648*G648</f>
        <v>20395</v>
      </c>
      <c r="I648" s="6" t="s">
        <v>5122</v>
      </c>
    </row>
    <row r="649" customFormat="false" ht="15" hidden="false" customHeight="false" outlineLevel="0" collapsed="false">
      <c r="A649" s="6" t="s">
        <v>5864</v>
      </c>
      <c r="B649" s="6" t="s">
        <v>1499</v>
      </c>
      <c r="C649" s="26" t="n">
        <v>46047</v>
      </c>
      <c r="D649" s="6" t="s">
        <v>5185</v>
      </c>
      <c r="E649" s="6" t="s">
        <v>24</v>
      </c>
      <c r="F649" s="6" t="n">
        <v>3</v>
      </c>
      <c r="G649" s="10" t="n">
        <v>1926</v>
      </c>
      <c r="H649" s="10" t="n">
        <f aca="false">F649*G649</f>
        <v>5778</v>
      </c>
      <c r="I649" s="6" t="s">
        <v>5122</v>
      </c>
    </row>
    <row r="650" customFormat="false" ht="15" hidden="false" customHeight="false" outlineLevel="0" collapsed="false">
      <c r="A650" s="6" t="s">
        <v>5865</v>
      </c>
      <c r="B650" s="6" t="s">
        <v>861</v>
      </c>
      <c r="C650" s="26" t="n">
        <v>46047</v>
      </c>
      <c r="D650" s="6" t="s">
        <v>5226</v>
      </c>
      <c r="E650" s="6" t="s">
        <v>24</v>
      </c>
      <c r="F650" s="6" t="n">
        <v>1</v>
      </c>
      <c r="G650" s="10" t="n">
        <v>435</v>
      </c>
      <c r="H650" s="10" t="n">
        <f aca="false">F650*G650</f>
        <v>435</v>
      </c>
      <c r="I650" s="6" t="s">
        <v>5122</v>
      </c>
    </row>
    <row r="651" customFormat="false" ht="15" hidden="false" customHeight="false" outlineLevel="0" collapsed="false">
      <c r="A651" s="6" t="s">
        <v>5866</v>
      </c>
      <c r="B651" s="6" t="s">
        <v>793</v>
      </c>
      <c r="C651" s="26" t="n">
        <v>46047</v>
      </c>
      <c r="D651" s="6" t="s">
        <v>5423</v>
      </c>
      <c r="E651" s="6" t="s">
        <v>21</v>
      </c>
      <c r="F651" s="6" t="n">
        <v>1</v>
      </c>
      <c r="G651" s="10" t="n">
        <v>3243</v>
      </c>
      <c r="H651" s="10" t="n">
        <f aca="false">F651*G651</f>
        <v>3243</v>
      </c>
      <c r="I651" s="6" t="s">
        <v>5130</v>
      </c>
    </row>
    <row r="652" customFormat="false" ht="15" hidden="false" customHeight="false" outlineLevel="0" collapsed="false">
      <c r="A652" s="6" t="s">
        <v>5867</v>
      </c>
      <c r="B652" s="6" t="s">
        <v>1313</v>
      </c>
      <c r="C652" s="26" t="n">
        <v>46047</v>
      </c>
      <c r="D652" s="6" t="s">
        <v>5345</v>
      </c>
      <c r="E652" s="6" t="s">
        <v>23</v>
      </c>
      <c r="F652" s="6" t="n">
        <v>3</v>
      </c>
      <c r="G652" s="10" t="n">
        <v>414</v>
      </c>
      <c r="H652" s="10" t="n">
        <f aca="false">F652*G652</f>
        <v>1242</v>
      </c>
      <c r="I652" s="6" t="s">
        <v>5122</v>
      </c>
    </row>
    <row r="653" customFormat="false" ht="15" hidden="false" customHeight="false" outlineLevel="0" collapsed="false">
      <c r="A653" s="6" t="s">
        <v>5868</v>
      </c>
      <c r="B653" s="6" t="s">
        <v>773</v>
      </c>
      <c r="C653" s="26" t="n">
        <v>46047</v>
      </c>
      <c r="D653" s="6" t="s">
        <v>5145</v>
      </c>
      <c r="E653" s="6" t="s">
        <v>21</v>
      </c>
      <c r="F653" s="6" t="n">
        <v>1</v>
      </c>
      <c r="G653" s="10" t="n">
        <v>1213</v>
      </c>
      <c r="H653" s="10" t="n">
        <f aca="false">F653*G653</f>
        <v>1213</v>
      </c>
      <c r="I653" s="6" t="s">
        <v>5148</v>
      </c>
    </row>
    <row r="654" customFormat="false" ht="15" hidden="false" customHeight="false" outlineLevel="0" collapsed="false">
      <c r="A654" s="6" t="s">
        <v>5869</v>
      </c>
      <c r="B654" s="6" t="s">
        <v>4273</v>
      </c>
      <c r="C654" s="26" t="n">
        <v>46047</v>
      </c>
      <c r="D654" s="6" t="s">
        <v>5160</v>
      </c>
      <c r="E654" s="6" t="s">
        <v>21</v>
      </c>
      <c r="F654" s="6" t="n">
        <v>1</v>
      </c>
      <c r="G654" s="10" t="n">
        <v>2476</v>
      </c>
      <c r="H654" s="10" t="n">
        <f aca="false">F654*G654</f>
        <v>2476</v>
      </c>
      <c r="I654" s="6" t="s">
        <v>5173</v>
      </c>
    </row>
    <row r="655" customFormat="false" ht="15" hidden="false" customHeight="false" outlineLevel="0" collapsed="false">
      <c r="A655" s="6" t="s">
        <v>5870</v>
      </c>
      <c r="B655" s="6" t="s">
        <v>4259</v>
      </c>
      <c r="C655" s="26" t="n">
        <v>46047</v>
      </c>
      <c r="D655" s="6" t="s">
        <v>5687</v>
      </c>
      <c r="E655" s="6" t="s">
        <v>20</v>
      </c>
      <c r="F655" s="6" t="n">
        <v>1</v>
      </c>
      <c r="G655" s="10" t="n">
        <v>1835</v>
      </c>
      <c r="H655" s="10" t="n">
        <f aca="false">F655*G655</f>
        <v>1835</v>
      </c>
      <c r="I655" s="6" t="s">
        <v>5122</v>
      </c>
    </row>
    <row r="656" customFormat="false" ht="15" hidden="false" customHeight="false" outlineLevel="0" collapsed="false">
      <c r="A656" s="6" t="s">
        <v>5871</v>
      </c>
      <c r="B656" s="6" t="s">
        <v>1023</v>
      </c>
      <c r="C656" s="26" t="n">
        <v>46047</v>
      </c>
      <c r="D656" s="6" t="s">
        <v>5522</v>
      </c>
      <c r="E656" s="6" t="s">
        <v>21</v>
      </c>
      <c r="F656" s="6" t="n">
        <v>1</v>
      </c>
      <c r="G656" s="10" t="n">
        <v>12777</v>
      </c>
      <c r="H656" s="10" t="n">
        <f aca="false">F656*G656</f>
        <v>12777</v>
      </c>
      <c r="I656" s="6" t="s">
        <v>5130</v>
      </c>
    </row>
    <row r="657" customFormat="false" ht="15" hidden="false" customHeight="false" outlineLevel="0" collapsed="false">
      <c r="A657" s="6" t="s">
        <v>5872</v>
      </c>
      <c r="B657" s="6" t="s">
        <v>1067</v>
      </c>
      <c r="C657" s="26" t="n">
        <v>46047</v>
      </c>
      <c r="D657" s="6" t="s">
        <v>5163</v>
      </c>
      <c r="E657" s="6" t="s">
        <v>23</v>
      </c>
      <c r="F657" s="6" t="n">
        <v>3</v>
      </c>
      <c r="G657" s="10" t="n">
        <v>744</v>
      </c>
      <c r="H657" s="10" t="n">
        <f aca="false">F657*G657</f>
        <v>2232</v>
      </c>
      <c r="I657" s="6" t="s">
        <v>5148</v>
      </c>
    </row>
    <row r="658" customFormat="false" ht="15" hidden="false" customHeight="false" outlineLevel="0" collapsed="false">
      <c r="A658" s="6" t="s">
        <v>5873</v>
      </c>
      <c r="B658" s="6" t="s">
        <v>3753</v>
      </c>
      <c r="C658" s="26" t="n">
        <v>46047</v>
      </c>
      <c r="D658" s="6" t="s">
        <v>5345</v>
      </c>
      <c r="E658" s="6" t="s">
        <v>23</v>
      </c>
      <c r="F658" s="6" t="n">
        <v>3</v>
      </c>
      <c r="G658" s="10" t="n">
        <v>436</v>
      </c>
      <c r="H658" s="10" t="n">
        <f aca="false">F658*G658</f>
        <v>1308</v>
      </c>
      <c r="I658" s="6" t="s">
        <v>5148</v>
      </c>
    </row>
    <row r="659" customFormat="false" ht="15" hidden="false" customHeight="false" outlineLevel="0" collapsed="false">
      <c r="A659" s="6" t="s">
        <v>5874</v>
      </c>
      <c r="B659" s="6" t="s">
        <v>4639</v>
      </c>
      <c r="C659" s="26" t="n">
        <v>46047</v>
      </c>
      <c r="D659" s="6" t="s">
        <v>5163</v>
      </c>
      <c r="E659" s="6" t="s">
        <v>23</v>
      </c>
      <c r="F659" s="6" t="n">
        <v>3</v>
      </c>
      <c r="G659" s="10" t="n">
        <v>783</v>
      </c>
      <c r="H659" s="10" t="n">
        <f aca="false">F659*G659</f>
        <v>2349</v>
      </c>
      <c r="I659" s="6" t="s">
        <v>5130</v>
      </c>
    </row>
    <row r="660" customFormat="false" ht="15" hidden="false" customHeight="false" outlineLevel="0" collapsed="false">
      <c r="A660" s="6" t="s">
        <v>5875</v>
      </c>
      <c r="B660" s="6" t="s">
        <v>3579</v>
      </c>
      <c r="C660" s="26" t="n">
        <v>46047</v>
      </c>
      <c r="D660" s="6" t="s">
        <v>5139</v>
      </c>
      <c r="E660" s="6" t="s">
        <v>23</v>
      </c>
      <c r="F660" s="6" t="n">
        <v>2</v>
      </c>
      <c r="G660" s="10" t="n">
        <v>251</v>
      </c>
      <c r="H660" s="10" t="n">
        <f aca="false">F660*G660</f>
        <v>502</v>
      </c>
      <c r="I660" s="6" t="s">
        <v>5122</v>
      </c>
    </row>
    <row r="661" customFormat="false" ht="15" hidden="false" customHeight="false" outlineLevel="0" collapsed="false">
      <c r="A661" s="6" t="s">
        <v>5876</v>
      </c>
      <c r="B661" s="6" t="s">
        <v>3113</v>
      </c>
      <c r="C661" s="26" t="n">
        <v>46047</v>
      </c>
      <c r="D661" s="6" t="s">
        <v>5154</v>
      </c>
      <c r="E661" s="6" t="s">
        <v>21</v>
      </c>
      <c r="F661" s="6" t="n">
        <v>2</v>
      </c>
      <c r="G661" s="10" t="n">
        <v>707</v>
      </c>
      <c r="H661" s="10" t="n">
        <f aca="false">F661*G661</f>
        <v>1414</v>
      </c>
      <c r="I661" s="6" t="s">
        <v>5130</v>
      </c>
    </row>
    <row r="662" customFormat="false" ht="15" hidden="false" customHeight="false" outlineLevel="0" collapsed="false">
      <c r="A662" s="6" t="s">
        <v>5877</v>
      </c>
      <c r="B662" s="6" t="s">
        <v>3537</v>
      </c>
      <c r="C662" s="26" t="n">
        <v>46048</v>
      </c>
      <c r="D662" s="6" t="s">
        <v>5456</v>
      </c>
      <c r="E662" s="6" t="s">
        <v>24</v>
      </c>
      <c r="F662" s="6" t="n">
        <v>2</v>
      </c>
      <c r="G662" s="10" t="n">
        <v>912</v>
      </c>
      <c r="H662" s="10" t="n">
        <f aca="false">F662*G662</f>
        <v>1824</v>
      </c>
      <c r="I662" s="6" t="s">
        <v>5122</v>
      </c>
    </row>
    <row r="663" customFormat="false" ht="15" hidden="false" customHeight="false" outlineLevel="0" collapsed="false">
      <c r="A663" s="6" t="s">
        <v>5878</v>
      </c>
      <c r="B663" s="6" t="s">
        <v>801</v>
      </c>
      <c r="C663" s="26" t="n">
        <v>46048</v>
      </c>
      <c r="D663" s="6" t="s">
        <v>5192</v>
      </c>
      <c r="E663" s="6" t="s">
        <v>20</v>
      </c>
      <c r="F663" s="6" t="n">
        <v>1</v>
      </c>
      <c r="G663" s="10" t="n">
        <v>4078</v>
      </c>
      <c r="H663" s="10" t="n">
        <f aca="false">F663*G663</f>
        <v>4078</v>
      </c>
      <c r="I663" s="6" t="s">
        <v>5125</v>
      </c>
    </row>
    <row r="664" customFormat="false" ht="15" hidden="false" customHeight="false" outlineLevel="0" collapsed="false">
      <c r="A664" s="6" t="s">
        <v>5879</v>
      </c>
      <c r="B664" s="6" t="s">
        <v>2605</v>
      </c>
      <c r="C664" s="26" t="n">
        <v>46048</v>
      </c>
      <c r="D664" s="6" t="s">
        <v>5235</v>
      </c>
      <c r="E664" s="6" t="s">
        <v>21</v>
      </c>
      <c r="F664" s="6" t="n">
        <v>1</v>
      </c>
      <c r="G664" s="10" t="n">
        <v>1671</v>
      </c>
      <c r="H664" s="10" t="n">
        <f aca="false">F664*G664</f>
        <v>1671</v>
      </c>
      <c r="I664" s="6" t="s">
        <v>5122</v>
      </c>
    </row>
    <row r="665" customFormat="false" ht="15" hidden="false" customHeight="false" outlineLevel="0" collapsed="false">
      <c r="A665" s="6" t="s">
        <v>5880</v>
      </c>
      <c r="B665" s="6" t="s">
        <v>1133</v>
      </c>
      <c r="C665" s="26" t="n">
        <v>46048</v>
      </c>
      <c r="D665" s="6" t="s">
        <v>5143</v>
      </c>
      <c r="E665" s="6" t="s">
        <v>21</v>
      </c>
      <c r="F665" s="6" t="n">
        <v>2</v>
      </c>
      <c r="G665" s="10" t="n">
        <v>1120</v>
      </c>
      <c r="H665" s="10" t="n">
        <f aca="false">F665*G665</f>
        <v>2240</v>
      </c>
      <c r="I665" s="6" t="s">
        <v>5122</v>
      </c>
    </row>
    <row r="666" customFormat="false" ht="15" hidden="false" customHeight="false" outlineLevel="0" collapsed="false">
      <c r="A666" s="6" t="s">
        <v>5881</v>
      </c>
      <c r="B666" s="6" t="s">
        <v>424</v>
      </c>
      <c r="C666" s="26" t="n">
        <v>46048</v>
      </c>
      <c r="D666" s="6" t="s">
        <v>5127</v>
      </c>
      <c r="E666" s="6" t="s">
        <v>21</v>
      </c>
      <c r="F666" s="6" t="n">
        <v>1</v>
      </c>
      <c r="G666" s="10" t="n">
        <v>884</v>
      </c>
      <c r="H666" s="10" t="n">
        <f aca="false">F666*G666</f>
        <v>884</v>
      </c>
      <c r="I666" s="6" t="s">
        <v>5122</v>
      </c>
    </row>
    <row r="667" customFormat="false" ht="15" hidden="false" customHeight="false" outlineLevel="0" collapsed="false">
      <c r="A667" s="6" t="s">
        <v>5882</v>
      </c>
      <c r="B667" s="6" t="s">
        <v>4665</v>
      </c>
      <c r="C667" s="26" t="n">
        <v>46048</v>
      </c>
      <c r="D667" s="6" t="s">
        <v>5197</v>
      </c>
      <c r="E667" s="6" t="s">
        <v>21</v>
      </c>
      <c r="F667" s="6" t="n">
        <v>1</v>
      </c>
      <c r="G667" s="10" t="n">
        <v>1080</v>
      </c>
      <c r="H667" s="10" t="n">
        <f aca="false">F667*G667</f>
        <v>1080</v>
      </c>
      <c r="I667" s="6" t="s">
        <v>5122</v>
      </c>
    </row>
    <row r="668" customFormat="false" ht="15" hidden="false" customHeight="false" outlineLevel="0" collapsed="false">
      <c r="A668" s="6" t="s">
        <v>5883</v>
      </c>
      <c r="B668" s="6" t="s">
        <v>4619</v>
      </c>
      <c r="C668" s="26" t="n">
        <v>46048</v>
      </c>
      <c r="D668" s="6" t="s">
        <v>5160</v>
      </c>
      <c r="E668" s="6" t="s">
        <v>21</v>
      </c>
      <c r="F668" s="6" t="n">
        <v>1</v>
      </c>
      <c r="G668" s="10" t="n">
        <v>2751</v>
      </c>
      <c r="H668" s="10" t="n">
        <f aca="false">F668*G668</f>
        <v>2751</v>
      </c>
      <c r="I668" s="6" t="s">
        <v>5148</v>
      </c>
    </row>
    <row r="669" customFormat="false" ht="15" hidden="false" customHeight="false" outlineLevel="0" collapsed="false">
      <c r="A669" s="6" t="s">
        <v>5884</v>
      </c>
      <c r="B669" s="6" t="s">
        <v>1777</v>
      </c>
      <c r="C669" s="26" t="n">
        <v>46048</v>
      </c>
      <c r="D669" s="6" t="s">
        <v>5163</v>
      </c>
      <c r="E669" s="6" t="s">
        <v>23</v>
      </c>
      <c r="F669" s="6" t="n">
        <v>3</v>
      </c>
      <c r="G669" s="10" t="n">
        <v>744</v>
      </c>
      <c r="H669" s="10" t="n">
        <f aca="false">F669*G669</f>
        <v>2232</v>
      </c>
      <c r="I669" s="6" t="s">
        <v>5122</v>
      </c>
    </row>
    <row r="670" customFormat="false" ht="15" hidden="false" customHeight="false" outlineLevel="0" collapsed="false">
      <c r="A670" s="6" t="s">
        <v>5885</v>
      </c>
      <c r="B670" s="6" t="s">
        <v>1641</v>
      </c>
      <c r="C670" s="26" t="n">
        <v>46048</v>
      </c>
      <c r="D670" s="6" t="s">
        <v>5326</v>
      </c>
      <c r="E670" s="6" t="s">
        <v>22</v>
      </c>
      <c r="F670" s="6" t="n">
        <v>3</v>
      </c>
      <c r="G670" s="10" t="n">
        <v>1466</v>
      </c>
      <c r="H670" s="10" t="n">
        <f aca="false">F670*G670</f>
        <v>4398</v>
      </c>
      <c r="I670" s="6" t="s">
        <v>5125</v>
      </c>
    </row>
    <row r="671" customFormat="false" ht="15" hidden="false" customHeight="false" outlineLevel="0" collapsed="false">
      <c r="A671" s="6" t="s">
        <v>5886</v>
      </c>
      <c r="B671" s="6" t="s">
        <v>4487</v>
      </c>
      <c r="C671" s="26" t="n">
        <v>46048</v>
      </c>
      <c r="D671" s="6" t="s">
        <v>5180</v>
      </c>
      <c r="E671" s="6" t="s">
        <v>24</v>
      </c>
      <c r="F671" s="6" t="n">
        <v>1</v>
      </c>
      <c r="G671" s="10" t="n">
        <v>1889</v>
      </c>
      <c r="H671" s="10" t="n">
        <f aca="false">F671*G671</f>
        <v>1889</v>
      </c>
      <c r="I671" s="6" t="s">
        <v>5122</v>
      </c>
    </row>
    <row r="672" customFormat="false" ht="15" hidden="false" customHeight="false" outlineLevel="0" collapsed="false">
      <c r="A672" s="6" t="s">
        <v>5887</v>
      </c>
      <c r="B672" s="6" t="s">
        <v>3063</v>
      </c>
      <c r="C672" s="26" t="n">
        <v>46048</v>
      </c>
      <c r="D672" s="6" t="s">
        <v>5165</v>
      </c>
      <c r="E672" s="6" t="s">
        <v>22</v>
      </c>
      <c r="F672" s="6" t="n">
        <v>2</v>
      </c>
      <c r="G672" s="10" t="n">
        <v>977</v>
      </c>
      <c r="H672" s="10" t="n">
        <f aca="false">F672*G672</f>
        <v>1954</v>
      </c>
      <c r="I672" s="6" t="s">
        <v>5125</v>
      </c>
    </row>
    <row r="673" customFormat="false" ht="15" hidden="false" customHeight="false" outlineLevel="0" collapsed="false">
      <c r="A673" s="6" t="s">
        <v>5888</v>
      </c>
      <c r="B673" s="6" t="s">
        <v>128</v>
      </c>
      <c r="C673" s="26" t="n">
        <v>46048</v>
      </c>
      <c r="D673" s="6" t="s">
        <v>5171</v>
      </c>
      <c r="E673" s="6" t="s">
        <v>23</v>
      </c>
      <c r="F673" s="6" t="n">
        <v>2</v>
      </c>
      <c r="G673" s="10" t="n">
        <v>697</v>
      </c>
      <c r="H673" s="10" t="n">
        <f aca="false">F673*G673</f>
        <v>1394</v>
      </c>
      <c r="I673" s="6" t="s">
        <v>5122</v>
      </c>
    </row>
    <row r="674" customFormat="false" ht="15" hidden="false" customHeight="false" outlineLevel="0" collapsed="false">
      <c r="A674" s="6" t="s">
        <v>5889</v>
      </c>
      <c r="B674" s="6" t="s">
        <v>1043</v>
      </c>
      <c r="C674" s="26" t="n">
        <v>46048</v>
      </c>
      <c r="D674" s="6" t="s">
        <v>5807</v>
      </c>
      <c r="E674" s="6" t="s">
        <v>20</v>
      </c>
      <c r="F674" s="6" t="n">
        <v>1</v>
      </c>
      <c r="G674" s="10" t="n">
        <v>15296</v>
      </c>
      <c r="H674" s="10" t="n">
        <f aca="false">F674*G674</f>
        <v>15296</v>
      </c>
      <c r="I674" s="6" t="s">
        <v>5130</v>
      </c>
    </row>
    <row r="675" customFormat="false" ht="15" hidden="false" customHeight="false" outlineLevel="0" collapsed="false">
      <c r="A675" s="6" t="s">
        <v>5890</v>
      </c>
      <c r="B675" s="6" t="s">
        <v>1077</v>
      </c>
      <c r="C675" s="26" t="n">
        <v>46048</v>
      </c>
      <c r="D675" s="6" t="s">
        <v>5357</v>
      </c>
      <c r="E675" s="6" t="s">
        <v>23</v>
      </c>
      <c r="F675" s="6" t="n">
        <v>2</v>
      </c>
      <c r="G675" s="10" t="n">
        <v>534</v>
      </c>
      <c r="H675" s="10" t="n">
        <f aca="false">F675*G675</f>
        <v>1068</v>
      </c>
      <c r="I675" s="6" t="s">
        <v>5130</v>
      </c>
    </row>
    <row r="676" customFormat="false" ht="15" hidden="false" customHeight="false" outlineLevel="0" collapsed="false">
      <c r="A676" s="6" t="s">
        <v>5891</v>
      </c>
      <c r="B676" s="6" t="s">
        <v>346</v>
      </c>
      <c r="C676" s="26" t="n">
        <v>46048</v>
      </c>
      <c r="D676" s="6" t="s">
        <v>5163</v>
      </c>
      <c r="E676" s="6" t="s">
        <v>23</v>
      </c>
      <c r="F676" s="6" t="n">
        <v>3</v>
      </c>
      <c r="G676" s="10" t="n">
        <v>783</v>
      </c>
      <c r="H676" s="10" t="n">
        <f aca="false">F676*G676</f>
        <v>2349</v>
      </c>
      <c r="I676" s="6" t="s">
        <v>5148</v>
      </c>
    </row>
    <row r="677" customFormat="false" ht="15" hidden="false" customHeight="false" outlineLevel="0" collapsed="false">
      <c r="A677" s="6" t="s">
        <v>5892</v>
      </c>
      <c r="B677" s="6" t="s">
        <v>4207</v>
      </c>
      <c r="C677" s="26" t="n">
        <v>46048</v>
      </c>
      <c r="D677" s="6" t="s">
        <v>5749</v>
      </c>
      <c r="E677" s="6" t="s">
        <v>20</v>
      </c>
      <c r="F677" s="6" t="n">
        <v>1</v>
      </c>
      <c r="G677" s="10" t="n">
        <v>815</v>
      </c>
      <c r="H677" s="10" t="n">
        <f aca="false">F677*G677</f>
        <v>815</v>
      </c>
      <c r="I677" s="6" t="s">
        <v>5148</v>
      </c>
    </row>
    <row r="678" customFormat="false" ht="15" hidden="false" customHeight="false" outlineLevel="0" collapsed="false">
      <c r="A678" s="6" t="s">
        <v>5893</v>
      </c>
      <c r="B678" s="6" t="s">
        <v>4709</v>
      </c>
      <c r="C678" s="26" t="n">
        <v>46048</v>
      </c>
      <c r="D678" s="6" t="s">
        <v>5137</v>
      </c>
      <c r="E678" s="6" t="s">
        <v>21</v>
      </c>
      <c r="F678" s="6" t="n">
        <v>1</v>
      </c>
      <c r="G678" s="10" t="n">
        <v>1768</v>
      </c>
      <c r="H678" s="10" t="n">
        <f aca="false">F678*G678</f>
        <v>1768</v>
      </c>
      <c r="I678" s="6" t="s">
        <v>5148</v>
      </c>
    </row>
    <row r="679" customFormat="false" ht="15" hidden="false" customHeight="false" outlineLevel="0" collapsed="false">
      <c r="A679" s="6" t="s">
        <v>5894</v>
      </c>
      <c r="B679" s="6" t="s">
        <v>4779</v>
      </c>
      <c r="C679" s="26" t="n">
        <v>46048</v>
      </c>
      <c r="D679" s="6" t="s">
        <v>5156</v>
      </c>
      <c r="E679" s="6" t="s">
        <v>21</v>
      </c>
      <c r="F679" s="6" t="n">
        <v>1</v>
      </c>
      <c r="G679" s="10" t="n">
        <v>2162</v>
      </c>
      <c r="H679" s="10" t="n">
        <f aca="false">F679*G679</f>
        <v>2162</v>
      </c>
      <c r="I679" s="6" t="s">
        <v>5125</v>
      </c>
    </row>
    <row r="680" customFormat="false" ht="15" hidden="false" customHeight="false" outlineLevel="0" collapsed="false">
      <c r="A680" s="6" t="s">
        <v>5895</v>
      </c>
      <c r="B680" s="6" t="s">
        <v>837</v>
      </c>
      <c r="C680" s="26" t="n">
        <v>46048</v>
      </c>
      <c r="D680" s="6" t="s">
        <v>5345</v>
      </c>
      <c r="E680" s="6" t="s">
        <v>23</v>
      </c>
      <c r="F680" s="6" t="n">
        <v>3</v>
      </c>
      <c r="G680" s="10" t="n">
        <v>436</v>
      </c>
      <c r="H680" s="10" t="n">
        <f aca="false">F680*G680</f>
        <v>1308</v>
      </c>
      <c r="I680" s="6" t="s">
        <v>5122</v>
      </c>
    </row>
    <row r="681" customFormat="false" ht="15" hidden="false" customHeight="false" outlineLevel="0" collapsed="false">
      <c r="A681" s="6" t="s">
        <v>5896</v>
      </c>
      <c r="B681" s="6" t="s">
        <v>262</v>
      </c>
      <c r="C681" s="26" t="n">
        <v>46048</v>
      </c>
      <c r="D681" s="6" t="s">
        <v>5175</v>
      </c>
      <c r="E681" s="6" t="s">
        <v>24</v>
      </c>
      <c r="F681" s="6" t="n">
        <v>3</v>
      </c>
      <c r="G681" s="10" t="n">
        <v>610</v>
      </c>
      <c r="H681" s="10" t="n">
        <f aca="false">F681*G681</f>
        <v>1830</v>
      </c>
      <c r="I681" s="6" t="s">
        <v>5125</v>
      </c>
    </row>
    <row r="682" customFormat="false" ht="15" hidden="false" customHeight="false" outlineLevel="0" collapsed="false">
      <c r="A682" s="6" t="s">
        <v>5897</v>
      </c>
      <c r="B682" s="6" t="s">
        <v>4647</v>
      </c>
      <c r="C682" s="26" t="n">
        <v>46048</v>
      </c>
      <c r="D682" s="6" t="s">
        <v>5150</v>
      </c>
      <c r="E682" s="6" t="s">
        <v>24</v>
      </c>
      <c r="F682" s="6" t="n">
        <v>1</v>
      </c>
      <c r="G682" s="10" t="n">
        <v>508</v>
      </c>
      <c r="H682" s="10" t="n">
        <f aca="false">F682*G682</f>
        <v>508</v>
      </c>
      <c r="I682" s="6" t="s">
        <v>5130</v>
      </c>
    </row>
    <row r="683" customFormat="false" ht="15" hidden="false" customHeight="false" outlineLevel="0" collapsed="false">
      <c r="A683" s="6" t="s">
        <v>5898</v>
      </c>
      <c r="B683" s="6" t="s">
        <v>703</v>
      </c>
      <c r="C683" s="26" t="n">
        <v>46048</v>
      </c>
      <c r="D683" s="6" t="s">
        <v>5357</v>
      </c>
      <c r="E683" s="6" t="s">
        <v>23</v>
      </c>
      <c r="F683" s="6" t="n">
        <v>2</v>
      </c>
      <c r="G683" s="10" t="n">
        <v>534</v>
      </c>
      <c r="H683" s="10" t="n">
        <f aca="false">F683*G683</f>
        <v>1068</v>
      </c>
      <c r="I683" s="6" t="s">
        <v>5148</v>
      </c>
    </row>
    <row r="684" customFormat="false" ht="15" hidden="false" customHeight="false" outlineLevel="0" collapsed="false">
      <c r="A684" s="6" t="s">
        <v>5899</v>
      </c>
      <c r="B684" s="6" t="s">
        <v>1341</v>
      </c>
      <c r="C684" s="26" t="n">
        <v>46048</v>
      </c>
      <c r="D684" s="6" t="s">
        <v>5152</v>
      </c>
      <c r="E684" s="6" t="s">
        <v>22</v>
      </c>
      <c r="F684" s="6" t="n">
        <v>1</v>
      </c>
      <c r="G684" s="10" t="n">
        <v>1760</v>
      </c>
      <c r="H684" s="10" t="n">
        <f aca="false">F684*G684</f>
        <v>1760</v>
      </c>
      <c r="I684" s="6" t="s">
        <v>5122</v>
      </c>
    </row>
    <row r="685" customFormat="false" ht="15" hidden="false" customHeight="false" outlineLevel="0" collapsed="false">
      <c r="A685" s="6" t="s">
        <v>5900</v>
      </c>
      <c r="B685" s="6" t="s">
        <v>1823</v>
      </c>
      <c r="C685" s="26" t="n">
        <v>46048</v>
      </c>
      <c r="D685" s="6" t="s">
        <v>5167</v>
      </c>
      <c r="E685" s="6" t="s">
        <v>22</v>
      </c>
      <c r="F685" s="6" t="n">
        <v>1</v>
      </c>
      <c r="G685" s="10" t="n">
        <v>782</v>
      </c>
      <c r="H685" s="10" t="n">
        <f aca="false">F685*G685</f>
        <v>782</v>
      </c>
      <c r="I685" s="6" t="s">
        <v>5130</v>
      </c>
    </row>
    <row r="686" customFormat="false" ht="15" hidden="false" customHeight="false" outlineLevel="0" collapsed="false">
      <c r="A686" s="6" t="s">
        <v>5901</v>
      </c>
      <c r="B686" s="6" t="s">
        <v>1369</v>
      </c>
      <c r="C686" s="26" t="n">
        <v>46048</v>
      </c>
      <c r="D686" s="6" t="s">
        <v>5121</v>
      </c>
      <c r="E686" s="6" t="s">
        <v>22</v>
      </c>
      <c r="F686" s="6" t="n">
        <v>2</v>
      </c>
      <c r="G686" s="10" t="n">
        <v>977</v>
      </c>
      <c r="H686" s="10" t="n">
        <f aca="false">F686*G686</f>
        <v>1954</v>
      </c>
      <c r="I686" s="6" t="s">
        <v>5148</v>
      </c>
    </row>
    <row r="687" customFormat="false" ht="15" hidden="false" customHeight="false" outlineLevel="0" collapsed="false">
      <c r="A687" s="6" t="s">
        <v>5902</v>
      </c>
      <c r="B687" s="6" t="s">
        <v>1383</v>
      </c>
      <c r="C687" s="26" t="n">
        <v>46048</v>
      </c>
      <c r="D687" s="6" t="s">
        <v>5154</v>
      </c>
      <c r="E687" s="6" t="s">
        <v>21</v>
      </c>
      <c r="F687" s="6" t="n">
        <v>1</v>
      </c>
      <c r="G687" s="10" t="n">
        <v>785</v>
      </c>
      <c r="H687" s="10" t="n">
        <f aca="false">F687*G687</f>
        <v>785</v>
      </c>
      <c r="I687" s="6" t="s">
        <v>5125</v>
      </c>
    </row>
    <row r="688" customFormat="false" ht="15" hidden="false" customHeight="false" outlineLevel="0" collapsed="false">
      <c r="A688" s="6" t="s">
        <v>5903</v>
      </c>
      <c r="B688" s="6" t="s">
        <v>3159</v>
      </c>
      <c r="C688" s="26" t="n">
        <v>46048</v>
      </c>
      <c r="D688" s="6" t="s">
        <v>5561</v>
      </c>
      <c r="E688" s="6" t="s">
        <v>20</v>
      </c>
      <c r="F688" s="6" t="n">
        <v>1</v>
      </c>
      <c r="G688" s="10" t="n">
        <v>3196</v>
      </c>
      <c r="H688" s="10" t="n">
        <f aca="false">F688*G688</f>
        <v>3196</v>
      </c>
      <c r="I688" s="6" t="s">
        <v>5122</v>
      </c>
    </row>
    <row r="689" customFormat="false" ht="15" hidden="false" customHeight="false" outlineLevel="0" collapsed="false">
      <c r="A689" s="6" t="s">
        <v>5904</v>
      </c>
      <c r="B689" s="6" t="s">
        <v>2421</v>
      </c>
      <c r="C689" s="26" t="n">
        <v>46048</v>
      </c>
      <c r="D689" s="6" t="s">
        <v>5281</v>
      </c>
      <c r="E689" s="6" t="s">
        <v>24</v>
      </c>
      <c r="F689" s="6" t="n">
        <v>2</v>
      </c>
      <c r="G689" s="10" t="n">
        <v>773</v>
      </c>
      <c r="H689" s="10" t="n">
        <f aca="false">F689*G689</f>
        <v>1546</v>
      </c>
      <c r="I689" s="6" t="s">
        <v>5122</v>
      </c>
    </row>
    <row r="690" customFormat="false" ht="15" hidden="false" customHeight="false" outlineLevel="0" collapsed="false">
      <c r="A690" s="6" t="s">
        <v>5905</v>
      </c>
      <c r="B690" s="6" t="s">
        <v>2693</v>
      </c>
      <c r="C690" s="26" t="n">
        <v>46048</v>
      </c>
      <c r="D690" s="6" t="s">
        <v>5906</v>
      </c>
      <c r="E690" s="6" t="s">
        <v>20</v>
      </c>
      <c r="F690" s="6" t="n">
        <v>1</v>
      </c>
      <c r="G690" s="10" t="n">
        <v>56087</v>
      </c>
      <c r="H690" s="10" t="n">
        <f aca="false">F690*G690</f>
        <v>56087</v>
      </c>
      <c r="I690" s="6" t="s">
        <v>5125</v>
      </c>
    </row>
    <row r="691" customFormat="false" ht="15" hidden="false" customHeight="false" outlineLevel="0" collapsed="false">
      <c r="A691" s="6" t="s">
        <v>5907</v>
      </c>
      <c r="B691" s="6" t="s">
        <v>1871</v>
      </c>
      <c r="C691" s="26" t="n">
        <v>46048</v>
      </c>
      <c r="D691" s="6" t="s">
        <v>5357</v>
      </c>
      <c r="E691" s="6" t="s">
        <v>23</v>
      </c>
      <c r="F691" s="6" t="n">
        <v>2</v>
      </c>
      <c r="G691" s="10" t="n">
        <v>534</v>
      </c>
      <c r="H691" s="10" t="n">
        <f aca="false">F691*G691</f>
        <v>1068</v>
      </c>
      <c r="I691" s="6" t="s">
        <v>5122</v>
      </c>
    </row>
    <row r="692" customFormat="false" ht="15" hidden="false" customHeight="false" outlineLevel="0" collapsed="false">
      <c r="A692" s="6" t="s">
        <v>5908</v>
      </c>
      <c r="B692" s="6" t="s">
        <v>1069</v>
      </c>
      <c r="C692" s="26" t="n">
        <v>46048</v>
      </c>
      <c r="D692" s="6" t="s">
        <v>5143</v>
      </c>
      <c r="E692" s="6" t="s">
        <v>21</v>
      </c>
      <c r="F692" s="6" t="n">
        <v>1</v>
      </c>
      <c r="G692" s="10" t="n">
        <v>1179</v>
      </c>
      <c r="H692" s="10" t="n">
        <f aca="false">F692*G692</f>
        <v>1179</v>
      </c>
      <c r="I692" s="6" t="s">
        <v>5148</v>
      </c>
    </row>
    <row r="693" customFormat="false" ht="15" hidden="false" customHeight="false" outlineLevel="0" collapsed="false">
      <c r="A693" s="6" t="s">
        <v>5909</v>
      </c>
      <c r="B693" s="6" t="s">
        <v>4115</v>
      </c>
      <c r="C693" s="26" t="n">
        <v>46048</v>
      </c>
      <c r="D693" s="6" t="s">
        <v>5232</v>
      </c>
      <c r="E693" s="6" t="s">
        <v>23</v>
      </c>
      <c r="F693" s="6" t="n">
        <v>5</v>
      </c>
      <c r="G693" s="10" t="n">
        <v>206</v>
      </c>
      <c r="H693" s="10" t="n">
        <f aca="false">F693*G693</f>
        <v>1030</v>
      </c>
      <c r="I693" s="6" t="s">
        <v>5122</v>
      </c>
    </row>
    <row r="694" customFormat="false" ht="15" hidden="false" customHeight="false" outlineLevel="0" collapsed="false">
      <c r="A694" s="6" t="s">
        <v>5910</v>
      </c>
      <c r="B694" s="6" t="s">
        <v>3441</v>
      </c>
      <c r="C694" s="26" t="n">
        <v>46048</v>
      </c>
      <c r="D694" s="6" t="s">
        <v>5318</v>
      </c>
      <c r="E694" s="6" t="s">
        <v>20</v>
      </c>
      <c r="F694" s="6" t="n">
        <v>1</v>
      </c>
      <c r="G694" s="10" t="n">
        <v>1528</v>
      </c>
      <c r="H694" s="10" t="n">
        <f aca="false">F694*G694</f>
        <v>1528</v>
      </c>
      <c r="I694" s="6" t="s">
        <v>5148</v>
      </c>
    </row>
    <row r="695" customFormat="false" ht="15" hidden="false" customHeight="false" outlineLevel="0" collapsed="false">
      <c r="A695" s="6" t="s">
        <v>5911</v>
      </c>
      <c r="B695" s="6" t="s">
        <v>4477</v>
      </c>
      <c r="C695" s="26" t="n">
        <v>46048</v>
      </c>
      <c r="D695" s="6" t="s">
        <v>5353</v>
      </c>
      <c r="E695" s="6" t="s">
        <v>24</v>
      </c>
      <c r="F695" s="6" t="n">
        <v>1</v>
      </c>
      <c r="G695" s="10" t="n">
        <v>1548</v>
      </c>
      <c r="H695" s="10" t="n">
        <f aca="false">F695*G695</f>
        <v>1548</v>
      </c>
      <c r="I695" s="6" t="s">
        <v>5148</v>
      </c>
    </row>
    <row r="696" customFormat="false" ht="15" hidden="false" customHeight="false" outlineLevel="0" collapsed="false">
      <c r="A696" s="6" t="s">
        <v>5912</v>
      </c>
      <c r="B696" s="6" t="s">
        <v>174</v>
      </c>
      <c r="C696" s="26" t="n">
        <v>46048</v>
      </c>
      <c r="D696" s="6" t="s">
        <v>5150</v>
      </c>
      <c r="E696" s="6" t="s">
        <v>24</v>
      </c>
      <c r="F696" s="6" t="n">
        <v>3</v>
      </c>
      <c r="G696" s="10" t="n">
        <v>508</v>
      </c>
      <c r="H696" s="10" t="n">
        <f aca="false">F696*G696</f>
        <v>1524</v>
      </c>
      <c r="I696" s="6" t="s">
        <v>5148</v>
      </c>
    </row>
    <row r="697" customFormat="false" ht="15" hidden="false" customHeight="false" outlineLevel="0" collapsed="false">
      <c r="A697" s="6" t="s">
        <v>5913</v>
      </c>
      <c r="B697" s="6" t="s">
        <v>4337</v>
      </c>
      <c r="C697" s="26" t="n">
        <v>46048</v>
      </c>
      <c r="D697" s="6" t="s">
        <v>5171</v>
      </c>
      <c r="E697" s="6" t="s">
        <v>23</v>
      </c>
      <c r="F697" s="6" t="n">
        <v>2</v>
      </c>
      <c r="G697" s="10" t="n">
        <v>734</v>
      </c>
      <c r="H697" s="10" t="n">
        <f aca="false">F697*G697</f>
        <v>1468</v>
      </c>
      <c r="I697" s="6" t="s">
        <v>5133</v>
      </c>
    </row>
    <row r="698" customFormat="false" ht="15" hidden="false" customHeight="false" outlineLevel="0" collapsed="false">
      <c r="A698" s="6" t="s">
        <v>5914</v>
      </c>
      <c r="B698" s="6" t="s">
        <v>3143</v>
      </c>
      <c r="C698" s="26" t="n">
        <v>46049</v>
      </c>
      <c r="D698" s="6" t="s">
        <v>5154</v>
      </c>
      <c r="E698" s="6" t="s">
        <v>21</v>
      </c>
      <c r="F698" s="6" t="n">
        <v>2</v>
      </c>
      <c r="G698" s="10" t="n">
        <v>785</v>
      </c>
      <c r="H698" s="10" t="n">
        <f aca="false">F698*G698</f>
        <v>1570</v>
      </c>
      <c r="I698" s="6" t="s">
        <v>5125</v>
      </c>
    </row>
    <row r="699" customFormat="false" ht="15" hidden="false" customHeight="false" outlineLevel="0" collapsed="false">
      <c r="A699" s="6" t="s">
        <v>5915</v>
      </c>
      <c r="B699" s="6" t="s">
        <v>5037</v>
      </c>
      <c r="C699" s="26" t="n">
        <v>46049</v>
      </c>
      <c r="D699" s="6" t="s">
        <v>5188</v>
      </c>
      <c r="E699" s="6" t="s">
        <v>24</v>
      </c>
      <c r="F699" s="6" t="n">
        <v>4</v>
      </c>
      <c r="G699" s="10" t="n">
        <v>916</v>
      </c>
      <c r="H699" s="10" t="n">
        <f aca="false">F699*G699</f>
        <v>3664</v>
      </c>
      <c r="I699" s="6" t="s">
        <v>5130</v>
      </c>
    </row>
    <row r="700" customFormat="false" ht="15" hidden="false" customHeight="false" outlineLevel="0" collapsed="false">
      <c r="A700" s="6" t="s">
        <v>5916</v>
      </c>
      <c r="B700" s="6" t="s">
        <v>2403</v>
      </c>
      <c r="C700" s="26" t="n">
        <v>46049</v>
      </c>
      <c r="D700" s="6" t="s">
        <v>5167</v>
      </c>
      <c r="E700" s="6" t="s">
        <v>22</v>
      </c>
      <c r="F700" s="6" t="n">
        <v>3</v>
      </c>
      <c r="G700" s="10" t="n">
        <v>782</v>
      </c>
      <c r="H700" s="10" t="n">
        <f aca="false">F700*G700</f>
        <v>2346</v>
      </c>
      <c r="I700" s="6" t="s">
        <v>5148</v>
      </c>
    </row>
    <row r="701" customFormat="false" ht="15" hidden="false" customHeight="false" outlineLevel="0" collapsed="false">
      <c r="A701" s="6" t="s">
        <v>5917</v>
      </c>
      <c r="B701" s="6" t="s">
        <v>913</v>
      </c>
      <c r="C701" s="26" t="n">
        <v>46049</v>
      </c>
      <c r="D701" s="6" t="s">
        <v>5167</v>
      </c>
      <c r="E701" s="6" t="s">
        <v>22</v>
      </c>
      <c r="F701" s="6" t="n">
        <v>2</v>
      </c>
      <c r="G701" s="10" t="n">
        <v>782</v>
      </c>
      <c r="H701" s="10" t="n">
        <f aca="false">F701*G701</f>
        <v>1564</v>
      </c>
      <c r="I701" s="6" t="s">
        <v>5130</v>
      </c>
    </row>
    <row r="702" customFormat="false" ht="15" hidden="false" customHeight="false" outlineLevel="0" collapsed="false">
      <c r="A702" s="6" t="s">
        <v>5918</v>
      </c>
      <c r="B702" s="6" t="s">
        <v>3063</v>
      </c>
      <c r="C702" s="26" t="n">
        <v>46049</v>
      </c>
      <c r="D702" s="6" t="s">
        <v>5145</v>
      </c>
      <c r="E702" s="6" t="s">
        <v>21</v>
      </c>
      <c r="F702" s="6" t="n">
        <v>1</v>
      </c>
      <c r="G702" s="10" t="n">
        <v>1149</v>
      </c>
      <c r="H702" s="10" t="n">
        <f aca="false">F702*G702</f>
        <v>1149</v>
      </c>
      <c r="I702" s="6" t="s">
        <v>5148</v>
      </c>
    </row>
    <row r="703" customFormat="false" ht="15" hidden="false" customHeight="false" outlineLevel="0" collapsed="false">
      <c r="A703" s="6" t="s">
        <v>5919</v>
      </c>
      <c r="B703" s="6" t="s">
        <v>2483</v>
      </c>
      <c r="C703" s="26" t="n">
        <v>46049</v>
      </c>
      <c r="D703" s="6" t="s">
        <v>5687</v>
      </c>
      <c r="E703" s="6" t="s">
        <v>20</v>
      </c>
      <c r="F703" s="6" t="n">
        <v>1</v>
      </c>
      <c r="G703" s="10" t="n">
        <v>2039</v>
      </c>
      <c r="H703" s="10" t="n">
        <f aca="false">F703*G703</f>
        <v>2039</v>
      </c>
      <c r="I703" s="6" t="s">
        <v>5130</v>
      </c>
    </row>
    <row r="704" customFormat="false" ht="15" hidden="false" customHeight="false" outlineLevel="0" collapsed="false">
      <c r="A704" s="6" t="s">
        <v>5920</v>
      </c>
      <c r="B704" s="6" t="s">
        <v>368</v>
      </c>
      <c r="C704" s="26" t="n">
        <v>46049</v>
      </c>
      <c r="D704" s="6" t="s">
        <v>5313</v>
      </c>
      <c r="E704" s="6" t="s">
        <v>22</v>
      </c>
      <c r="F704" s="6" t="n">
        <v>2</v>
      </c>
      <c r="G704" s="10" t="n">
        <v>1760</v>
      </c>
      <c r="H704" s="10" t="n">
        <f aca="false">F704*G704</f>
        <v>3520</v>
      </c>
      <c r="I704" s="6" t="s">
        <v>5133</v>
      </c>
    </row>
    <row r="705" customFormat="false" ht="15" hidden="false" customHeight="false" outlineLevel="0" collapsed="false">
      <c r="A705" s="6" t="s">
        <v>5921</v>
      </c>
      <c r="B705" s="6" t="s">
        <v>2291</v>
      </c>
      <c r="C705" s="26" t="n">
        <v>46049</v>
      </c>
      <c r="D705" s="6" t="s">
        <v>5127</v>
      </c>
      <c r="E705" s="6" t="s">
        <v>21</v>
      </c>
      <c r="F705" s="6" t="n">
        <v>3</v>
      </c>
      <c r="G705" s="10" t="n">
        <v>884</v>
      </c>
      <c r="H705" s="10" t="n">
        <f aca="false">F705*G705</f>
        <v>2652</v>
      </c>
      <c r="I705" s="6" t="s">
        <v>5148</v>
      </c>
    </row>
    <row r="706" customFormat="false" ht="15" hidden="false" customHeight="false" outlineLevel="0" collapsed="false">
      <c r="A706" s="6" t="s">
        <v>5922</v>
      </c>
      <c r="B706" s="6" t="s">
        <v>589</v>
      </c>
      <c r="C706" s="26" t="n">
        <v>46049</v>
      </c>
      <c r="D706" s="6" t="s">
        <v>5129</v>
      </c>
      <c r="E706" s="6" t="s">
        <v>21</v>
      </c>
      <c r="F706" s="6" t="n">
        <v>1</v>
      </c>
      <c r="G706" s="10" t="n">
        <v>589</v>
      </c>
      <c r="H706" s="10" t="n">
        <f aca="false">F706*G706</f>
        <v>589</v>
      </c>
      <c r="I706" s="6" t="s">
        <v>5148</v>
      </c>
    </row>
    <row r="707" customFormat="false" ht="15" hidden="false" customHeight="false" outlineLevel="0" collapsed="false">
      <c r="A707" s="6" t="s">
        <v>5923</v>
      </c>
      <c r="B707" s="6" t="s">
        <v>4431</v>
      </c>
      <c r="C707" s="26" t="n">
        <v>46049</v>
      </c>
      <c r="D707" s="6" t="s">
        <v>5175</v>
      </c>
      <c r="E707" s="6" t="s">
        <v>24</v>
      </c>
      <c r="F707" s="6" t="n">
        <v>3</v>
      </c>
      <c r="G707" s="10" t="n">
        <v>610</v>
      </c>
      <c r="H707" s="10" t="n">
        <f aca="false">F707*G707</f>
        <v>1830</v>
      </c>
      <c r="I707" s="6" t="s">
        <v>5148</v>
      </c>
    </row>
    <row r="708" customFormat="false" ht="15" hidden="false" customHeight="false" outlineLevel="0" collapsed="false">
      <c r="A708" s="6" t="s">
        <v>5924</v>
      </c>
      <c r="B708" s="6" t="s">
        <v>1819</v>
      </c>
      <c r="C708" s="26" t="n">
        <v>46049</v>
      </c>
      <c r="D708" s="6" t="s">
        <v>5456</v>
      </c>
      <c r="E708" s="6" t="s">
        <v>24</v>
      </c>
      <c r="F708" s="6" t="n">
        <v>1</v>
      </c>
      <c r="G708" s="10" t="n">
        <v>912</v>
      </c>
      <c r="H708" s="10" t="n">
        <f aca="false">F708*G708</f>
        <v>912</v>
      </c>
      <c r="I708" s="6" t="s">
        <v>5148</v>
      </c>
    </row>
    <row r="709" customFormat="false" ht="15" hidden="false" customHeight="false" outlineLevel="0" collapsed="false">
      <c r="A709" s="6" t="s">
        <v>5925</v>
      </c>
      <c r="B709" s="6" t="s">
        <v>4573</v>
      </c>
      <c r="C709" s="26" t="n">
        <v>46049</v>
      </c>
      <c r="D709" s="6" t="s">
        <v>5167</v>
      </c>
      <c r="E709" s="6" t="s">
        <v>22</v>
      </c>
      <c r="F709" s="6" t="n">
        <v>3</v>
      </c>
      <c r="G709" s="10" t="n">
        <v>782</v>
      </c>
      <c r="H709" s="10" t="n">
        <f aca="false">F709*G709</f>
        <v>2346</v>
      </c>
      <c r="I709" s="6" t="s">
        <v>5122</v>
      </c>
    </row>
    <row r="710" customFormat="false" ht="15" hidden="false" customHeight="false" outlineLevel="0" collapsed="false">
      <c r="A710" s="6" t="s">
        <v>5926</v>
      </c>
      <c r="B710" s="6" t="s">
        <v>3825</v>
      </c>
      <c r="C710" s="26" t="n">
        <v>46049</v>
      </c>
      <c r="D710" s="6" t="s">
        <v>5165</v>
      </c>
      <c r="E710" s="6" t="s">
        <v>22</v>
      </c>
      <c r="F710" s="6" t="n">
        <v>1</v>
      </c>
      <c r="G710" s="10" t="n">
        <v>880</v>
      </c>
      <c r="H710" s="10" t="n">
        <f aca="false">F710*G710</f>
        <v>880</v>
      </c>
      <c r="I710" s="6" t="s">
        <v>5122</v>
      </c>
    </row>
    <row r="711" customFormat="false" ht="15" hidden="false" customHeight="false" outlineLevel="0" collapsed="false">
      <c r="A711" s="6" t="s">
        <v>5927</v>
      </c>
      <c r="B711" s="6" t="s">
        <v>4445</v>
      </c>
      <c r="C711" s="26" t="n">
        <v>46049</v>
      </c>
      <c r="D711" s="6" t="s">
        <v>5345</v>
      </c>
      <c r="E711" s="6" t="s">
        <v>23</v>
      </c>
      <c r="F711" s="6" t="n">
        <v>2</v>
      </c>
      <c r="G711" s="10" t="n">
        <v>436</v>
      </c>
      <c r="H711" s="10" t="n">
        <f aca="false">F711*G711</f>
        <v>872</v>
      </c>
      <c r="I711" s="6" t="s">
        <v>5130</v>
      </c>
    </row>
    <row r="712" customFormat="false" ht="15" hidden="false" customHeight="false" outlineLevel="0" collapsed="false">
      <c r="A712" s="6" t="s">
        <v>5928</v>
      </c>
      <c r="B712" s="6" t="s">
        <v>362</v>
      </c>
      <c r="C712" s="26" t="n">
        <v>46049</v>
      </c>
      <c r="D712" s="6" t="s">
        <v>5135</v>
      </c>
      <c r="E712" s="6" t="s">
        <v>23</v>
      </c>
      <c r="F712" s="6" t="n">
        <v>1</v>
      </c>
      <c r="G712" s="10" t="n">
        <v>396</v>
      </c>
      <c r="H712" s="10" t="n">
        <f aca="false">F712*G712</f>
        <v>396</v>
      </c>
      <c r="I712" s="6" t="s">
        <v>5173</v>
      </c>
    </row>
    <row r="713" customFormat="false" ht="15" hidden="false" customHeight="false" outlineLevel="0" collapsed="false">
      <c r="A713" s="6" t="s">
        <v>5929</v>
      </c>
      <c r="B713" s="6" t="s">
        <v>3371</v>
      </c>
      <c r="C713" s="26" t="n">
        <v>46049</v>
      </c>
      <c r="D713" s="6" t="s">
        <v>5121</v>
      </c>
      <c r="E713" s="6" t="s">
        <v>22</v>
      </c>
      <c r="F713" s="6" t="n">
        <v>3</v>
      </c>
      <c r="G713" s="10" t="n">
        <v>977</v>
      </c>
      <c r="H713" s="10" t="n">
        <f aca="false">F713*G713</f>
        <v>2931</v>
      </c>
      <c r="I713" s="6" t="s">
        <v>5122</v>
      </c>
    </row>
    <row r="714" customFormat="false" ht="15" hidden="false" customHeight="false" outlineLevel="0" collapsed="false">
      <c r="A714" s="6" t="s">
        <v>5930</v>
      </c>
      <c r="B714" s="6" t="s">
        <v>1189</v>
      </c>
      <c r="C714" s="26" t="n">
        <v>46049</v>
      </c>
      <c r="D714" s="6" t="s">
        <v>5237</v>
      </c>
      <c r="E714" s="6" t="s">
        <v>24</v>
      </c>
      <c r="F714" s="6" t="n">
        <v>1</v>
      </c>
      <c r="G714" s="10" t="n">
        <v>1833</v>
      </c>
      <c r="H714" s="10" t="n">
        <f aca="false">F714*G714</f>
        <v>1833</v>
      </c>
      <c r="I714" s="6" t="s">
        <v>5130</v>
      </c>
    </row>
    <row r="715" customFormat="false" ht="15" hidden="false" customHeight="false" outlineLevel="0" collapsed="false">
      <c r="A715" s="6" t="s">
        <v>5931</v>
      </c>
      <c r="B715" s="6" t="s">
        <v>1779</v>
      </c>
      <c r="C715" s="26" t="n">
        <v>46049</v>
      </c>
      <c r="D715" s="6" t="s">
        <v>5171</v>
      </c>
      <c r="E715" s="6" t="s">
        <v>23</v>
      </c>
      <c r="F715" s="6" t="n">
        <v>2</v>
      </c>
      <c r="G715" s="10" t="n">
        <v>734</v>
      </c>
      <c r="H715" s="10" t="n">
        <f aca="false">F715*G715</f>
        <v>1468</v>
      </c>
      <c r="I715" s="6" t="s">
        <v>5148</v>
      </c>
    </row>
    <row r="716" customFormat="false" ht="15" hidden="false" customHeight="false" outlineLevel="0" collapsed="false">
      <c r="A716" s="6" t="s">
        <v>5932</v>
      </c>
      <c r="B716" s="6" t="s">
        <v>246</v>
      </c>
      <c r="C716" s="26" t="n">
        <v>46049</v>
      </c>
      <c r="D716" s="6" t="s">
        <v>5124</v>
      </c>
      <c r="E716" s="6" t="s">
        <v>21</v>
      </c>
      <c r="F716" s="6" t="n">
        <v>1</v>
      </c>
      <c r="G716" s="10" t="n">
        <v>3439</v>
      </c>
      <c r="H716" s="10" t="n">
        <f aca="false">F716*G716</f>
        <v>3439</v>
      </c>
      <c r="I716" s="6" t="s">
        <v>5125</v>
      </c>
    </row>
    <row r="717" customFormat="false" ht="15" hidden="false" customHeight="false" outlineLevel="0" collapsed="false">
      <c r="A717" s="6" t="s">
        <v>5933</v>
      </c>
      <c r="B717" s="6" t="s">
        <v>4181</v>
      </c>
      <c r="C717" s="26" t="n">
        <v>46049</v>
      </c>
      <c r="D717" s="6" t="s">
        <v>5145</v>
      </c>
      <c r="E717" s="6" t="s">
        <v>21</v>
      </c>
      <c r="F717" s="6" t="n">
        <v>2</v>
      </c>
      <c r="G717" s="10" t="n">
        <v>1213</v>
      </c>
      <c r="H717" s="10" t="n">
        <f aca="false">F717*G717</f>
        <v>2426</v>
      </c>
      <c r="I717" s="6" t="s">
        <v>5122</v>
      </c>
    </row>
    <row r="718" customFormat="false" ht="15" hidden="false" customHeight="false" outlineLevel="0" collapsed="false">
      <c r="A718" s="6" t="s">
        <v>5934</v>
      </c>
      <c r="B718" s="6" t="s">
        <v>4529</v>
      </c>
      <c r="C718" s="26" t="n">
        <v>46049</v>
      </c>
      <c r="D718" s="6" t="s">
        <v>5245</v>
      </c>
      <c r="E718" s="6" t="s">
        <v>21</v>
      </c>
      <c r="F718" s="6" t="n">
        <v>1</v>
      </c>
      <c r="G718" s="10" t="n">
        <v>2334</v>
      </c>
      <c r="H718" s="10" t="n">
        <f aca="false">F718*G718</f>
        <v>2334</v>
      </c>
      <c r="I718" s="6" t="s">
        <v>5133</v>
      </c>
    </row>
    <row r="719" customFormat="false" ht="15" hidden="false" customHeight="false" outlineLevel="0" collapsed="false">
      <c r="A719" s="6" t="s">
        <v>5935</v>
      </c>
      <c r="B719" s="6" t="s">
        <v>637</v>
      </c>
      <c r="C719" s="26" t="n">
        <v>46049</v>
      </c>
      <c r="D719" s="6" t="s">
        <v>5707</v>
      </c>
      <c r="E719" s="6" t="s">
        <v>22</v>
      </c>
      <c r="F719" s="6" t="n">
        <v>3</v>
      </c>
      <c r="G719" s="10" t="n">
        <v>2322</v>
      </c>
      <c r="H719" s="10" t="n">
        <f aca="false">F719*G719</f>
        <v>6966</v>
      </c>
      <c r="I719" s="6" t="s">
        <v>5148</v>
      </c>
    </row>
    <row r="720" customFormat="false" ht="15" hidden="false" customHeight="false" outlineLevel="0" collapsed="false">
      <c r="A720" s="6" t="s">
        <v>5936</v>
      </c>
      <c r="B720" s="6" t="s">
        <v>2747</v>
      </c>
      <c r="C720" s="26" t="n">
        <v>46049</v>
      </c>
      <c r="D720" s="6" t="s">
        <v>5147</v>
      </c>
      <c r="E720" s="6" t="s">
        <v>24</v>
      </c>
      <c r="F720" s="6" t="n">
        <v>1</v>
      </c>
      <c r="G720" s="10" t="n">
        <v>595</v>
      </c>
      <c r="H720" s="10" t="n">
        <f aca="false">F720*G720</f>
        <v>595</v>
      </c>
      <c r="I720" s="6" t="s">
        <v>5148</v>
      </c>
    </row>
    <row r="721" customFormat="false" ht="15" hidden="false" customHeight="false" outlineLevel="0" collapsed="false">
      <c r="A721" s="6" t="s">
        <v>5937</v>
      </c>
      <c r="B721" s="6" t="s">
        <v>1631</v>
      </c>
      <c r="C721" s="26" t="n">
        <v>46049</v>
      </c>
      <c r="D721" s="6" t="s">
        <v>5163</v>
      </c>
      <c r="E721" s="6" t="s">
        <v>23</v>
      </c>
      <c r="F721" s="6" t="n">
        <v>3</v>
      </c>
      <c r="G721" s="10" t="n">
        <v>783</v>
      </c>
      <c r="H721" s="10" t="n">
        <f aca="false">F721*G721</f>
        <v>2349</v>
      </c>
      <c r="I721" s="6" t="s">
        <v>5148</v>
      </c>
    </row>
    <row r="722" customFormat="false" ht="15" hidden="false" customHeight="false" outlineLevel="0" collapsed="false">
      <c r="A722" s="6" t="s">
        <v>5938</v>
      </c>
      <c r="B722" s="6" t="s">
        <v>4141</v>
      </c>
      <c r="C722" s="26" t="n">
        <v>46049</v>
      </c>
      <c r="D722" s="6" t="s">
        <v>5318</v>
      </c>
      <c r="E722" s="6" t="s">
        <v>20</v>
      </c>
      <c r="F722" s="6" t="n">
        <v>1</v>
      </c>
      <c r="G722" s="10" t="n">
        <v>1529</v>
      </c>
      <c r="H722" s="10" t="n">
        <f aca="false">F722*G722</f>
        <v>1529</v>
      </c>
      <c r="I722" s="6" t="s">
        <v>5122</v>
      </c>
    </row>
    <row r="723" customFormat="false" ht="15" hidden="false" customHeight="false" outlineLevel="0" collapsed="false">
      <c r="A723" s="6" t="s">
        <v>5939</v>
      </c>
      <c r="B723" s="6" t="s">
        <v>5015</v>
      </c>
      <c r="C723" s="26" t="n">
        <v>46049</v>
      </c>
      <c r="D723" s="6" t="s">
        <v>5165</v>
      </c>
      <c r="E723" s="6" t="s">
        <v>22</v>
      </c>
      <c r="F723" s="6" t="n">
        <v>3</v>
      </c>
      <c r="G723" s="10" t="n">
        <v>977</v>
      </c>
      <c r="H723" s="10" t="n">
        <f aca="false">F723*G723</f>
        <v>2931</v>
      </c>
      <c r="I723" s="6" t="s">
        <v>5173</v>
      </c>
    </row>
    <row r="724" customFormat="false" ht="15" hidden="false" customHeight="false" outlineLevel="0" collapsed="false">
      <c r="A724" s="6" t="s">
        <v>5940</v>
      </c>
      <c r="B724" s="6" t="s">
        <v>519</v>
      </c>
      <c r="C724" s="26" t="n">
        <v>46049</v>
      </c>
      <c r="D724" s="6" t="s">
        <v>5200</v>
      </c>
      <c r="E724" s="6" t="s">
        <v>24</v>
      </c>
      <c r="F724" s="6" t="n">
        <v>3</v>
      </c>
      <c r="G724" s="10" t="n">
        <v>763</v>
      </c>
      <c r="H724" s="10" t="n">
        <f aca="false">F724*G724</f>
        <v>2289</v>
      </c>
      <c r="I724" s="6" t="s">
        <v>5148</v>
      </c>
    </row>
    <row r="725" customFormat="false" ht="15" hidden="false" customHeight="false" outlineLevel="0" collapsed="false">
      <c r="A725" s="6" t="s">
        <v>5941</v>
      </c>
      <c r="B725" s="6" t="s">
        <v>2995</v>
      </c>
      <c r="C725" s="26" t="n">
        <v>46049</v>
      </c>
      <c r="D725" s="6" t="s">
        <v>5121</v>
      </c>
      <c r="E725" s="6" t="s">
        <v>22</v>
      </c>
      <c r="F725" s="6" t="n">
        <v>1</v>
      </c>
      <c r="G725" s="10" t="n">
        <v>977</v>
      </c>
      <c r="H725" s="10" t="n">
        <f aca="false">F725*G725</f>
        <v>977</v>
      </c>
      <c r="I725" s="6" t="s">
        <v>5122</v>
      </c>
    </row>
    <row r="726" customFormat="false" ht="15" hidden="false" customHeight="false" outlineLevel="0" collapsed="false">
      <c r="A726" s="6" t="s">
        <v>5942</v>
      </c>
      <c r="B726" s="6" t="s">
        <v>3947</v>
      </c>
      <c r="C726" s="26" t="n">
        <v>46049</v>
      </c>
      <c r="D726" s="6" t="s">
        <v>5235</v>
      </c>
      <c r="E726" s="6" t="s">
        <v>21</v>
      </c>
      <c r="F726" s="6" t="n">
        <v>1</v>
      </c>
      <c r="G726" s="10" t="n">
        <v>1670</v>
      </c>
      <c r="H726" s="10" t="n">
        <f aca="false">F726*G726</f>
        <v>1670</v>
      </c>
      <c r="I726" s="6" t="s">
        <v>5148</v>
      </c>
    </row>
    <row r="727" customFormat="false" ht="15" hidden="false" customHeight="false" outlineLevel="0" collapsed="false">
      <c r="A727" s="6" t="s">
        <v>5943</v>
      </c>
      <c r="B727" s="6" t="s">
        <v>358</v>
      </c>
      <c r="C727" s="26" t="n">
        <v>46049</v>
      </c>
      <c r="D727" s="6" t="s">
        <v>5169</v>
      </c>
      <c r="E727" s="6" t="s">
        <v>20</v>
      </c>
      <c r="F727" s="6" t="n">
        <v>1</v>
      </c>
      <c r="G727" s="10" t="n">
        <v>4588</v>
      </c>
      <c r="H727" s="10" t="n">
        <f aca="false">F727*G727</f>
        <v>4588</v>
      </c>
      <c r="I727" s="6" t="s">
        <v>5125</v>
      </c>
    </row>
    <row r="728" customFormat="false" ht="15" hidden="false" customHeight="false" outlineLevel="0" collapsed="false">
      <c r="A728" s="6" t="s">
        <v>5944</v>
      </c>
      <c r="B728" s="6" t="s">
        <v>170</v>
      </c>
      <c r="C728" s="26" t="n">
        <v>46049</v>
      </c>
      <c r="D728" s="6" t="s">
        <v>5202</v>
      </c>
      <c r="E728" s="6" t="s">
        <v>23</v>
      </c>
      <c r="F728" s="6" t="n">
        <v>5</v>
      </c>
      <c r="G728" s="10" t="n">
        <v>245</v>
      </c>
      <c r="H728" s="10" t="n">
        <f aca="false">F728*G728</f>
        <v>1225</v>
      </c>
      <c r="I728" s="6" t="s">
        <v>5122</v>
      </c>
    </row>
    <row r="729" customFormat="false" ht="15" hidden="false" customHeight="false" outlineLevel="0" collapsed="false">
      <c r="A729" s="6" t="s">
        <v>5945</v>
      </c>
      <c r="B729" s="6" t="s">
        <v>1295</v>
      </c>
      <c r="C729" s="26" t="n">
        <v>46049</v>
      </c>
      <c r="D729" s="6" t="s">
        <v>5458</v>
      </c>
      <c r="E729" s="6" t="s">
        <v>24</v>
      </c>
      <c r="F729" s="6" t="n">
        <v>1</v>
      </c>
      <c r="G729" s="10" t="n">
        <v>503</v>
      </c>
      <c r="H729" s="10" t="n">
        <f aca="false">F729*G729</f>
        <v>503</v>
      </c>
      <c r="I729" s="6" t="s">
        <v>5133</v>
      </c>
    </row>
    <row r="730" customFormat="false" ht="15" hidden="false" customHeight="false" outlineLevel="0" collapsed="false">
      <c r="A730" s="6" t="s">
        <v>5946</v>
      </c>
      <c r="B730" s="6" t="s">
        <v>1777</v>
      </c>
      <c r="C730" s="26" t="n">
        <v>46049</v>
      </c>
      <c r="D730" s="6" t="s">
        <v>5182</v>
      </c>
      <c r="E730" s="6" t="s">
        <v>23</v>
      </c>
      <c r="F730" s="6" t="n">
        <v>3</v>
      </c>
      <c r="G730" s="10" t="n">
        <v>349</v>
      </c>
      <c r="H730" s="10" t="n">
        <f aca="false">F730*G730</f>
        <v>1047</v>
      </c>
      <c r="I730" s="6" t="s">
        <v>5122</v>
      </c>
    </row>
    <row r="731" customFormat="false" ht="15" hidden="false" customHeight="false" outlineLevel="0" collapsed="false">
      <c r="A731" s="6" t="s">
        <v>5947</v>
      </c>
      <c r="B731" s="6" t="s">
        <v>354</v>
      </c>
      <c r="C731" s="26" t="n">
        <v>46049</v>
      </c>
      <c r="D731" s="6" t="s">
        <v>5171</v>
      </c>
      <c r="E731" s="6" t="s">
        <v>23</v>
      </c>
      <c r="F731" s="6" t="n">
        <v>2</v>
      </c>
      <c r="G731" s="10" t="n">
        <v>734</v>
      </c>
      <c r="H731" s="10" t="n">
        <f aca="false">F731*G731</f>
        <v>1468</v>
      </c>
      <c r="I731" s="6" t="s">
        <v>5148</v>
      </c>
    </row>
    <row r="732" customFormat="false" ht="15" hidden="false" customHeight="false" outlineLevel="0" collapsed="false">
      <c r="A732" s="6" t="s">
        <v>5948</v>
      </c>
      <c r="B732" s="6" t="s">
        <v>1309</v>
      </c>
      <c r="C732" s="26" t="n">
        <v>46050</v>
      </c>
      <c r="D732" s="6" t="s">
        <v>5171</v>
      </c>
      <c r="E732" s="6" t="s">
        <v>23</v>
      </c>
      <c r="F732" s="6" t="n">
        <v>5</v>
      </c>
      <c r="G732" s="10" t="n">
        <v>734</v>
      </c>
      <c r="H732" s="10" t="n">
        <f aca="false">F732*G732</f>
        <v>3670</v>
      </c>
      <c r="I732" s="6" t="s">
        <v>5148</v>
      </c>
    </row>
    <row r="733" customFormat="false" ht="15" hidden="false" customHeight="false" outlineLevel="0" collapsed="false">
      <c r="A733" s="6" t="s">
        <v>5949</v>
      </c>
      <c r="B733" s="6" t="s">
        <v>755</v>
      </c>
      <c r="C733" s="26" t="n">
        <v>46050</v>
      </c>
      <c r="D733" s="6" t="s">
        <v>5160</v>
      </c>
      <c r="E733" s="6" t="s">
        <v>21</v>
      </c>
      <c r="F733" s="6" t="n">
        <v>1</v>
      </c>
      <c r="G733" s="10" t="n">
        <v>2751</v>
      </c>
      <c r="H733" s="10" t="n">
        <f aca="false">F733*G733</f>
        <v>2751</v>
      </c>
      <c r="I733" s="6" t="s">
        <v>5122</v>
      </c>
    </row>
    <row r="734" customFormat="false" ht="15" hidden="false" customHeight="false" outlineLevel="0" collapsed="false">
      <c r="A734" s="6" t="s">
        <v>5950</v>
      </c>
      <c r="B734" s="6" t="s">
        <v>4205</v>
      </c>
      <c r="C734" s="26" t="n">
        <v>46050</v>
      </c>
      <c r="D734" s="6" t="s">
        <v>5132</v>
      </c>
      <c r="E734" s="6" t="s">
        <v>23</v>
      </c>
      <c r="F734" s="6" t="n">
        <v>3</v>
      </c>
      <c r="G734" s="10" t="n">
        <v>308</v>
      </c>
      <c r="H734" s="10" t="n">
        <f aca="false">F734*G734</f>
        <v>924</v>
      </c>
      <c r="I734" s="6" t="s">
        <v>5173</v>
      </c>
    </row>
    <row r="735" customFormat="false" ht="15" hidden="false" customHeight="false" outlineLevel="0" collapsed="false">
      <c r="A735" s="6" t="s">
        <v>5951</v>
      </c>
      <c r="B735" s="6" t="s">
        <v>3925</v>
      </c>
      <c r="C735" s="26" t="n">
        <v>46050</v>
      </c>
      <c r="D735" s="6" t="s">
        <v>5185</v>
      </c>
      <c r="E735" s="6" t="s">
        <v>24</v>
      </c>
      <c r="F735" s="6" t="n">
        <v>2</v>
      </c>
      <c r="G735" s="10" t="n">
        <v>2033</v>
      </c>
      <c r="H735" s="10" t="n">
        <f aca="false">F735*G735</f>
        <v>4066</v>
      </c>
      <c r="I735" s="6" t="s">
        <v>5148</v>
      </c>
    </row>
    <row r="736" customFormat="false" ht="15" hidden="false" customHeight="false" outlineLevel="0" collapsed="false">
      <c r="A736" s="6" t="s">
        <v>5952</v>
      </c>
      <c r="B736" s="6" t="s">
        <v>853</v>
      </c>
      <c r="C736" s="26" t="n">
        <v>46050</v>
      </c>
      <c r="D736" s="6" t="s">
        <v>5163</v>
      </c>
      <c r="E736" s="6" t="s">
        <v>23</v>
      </c>
      <c r="F736" s="6" t="n">
        <v>2</v>
      </c>
      <c r="G736" s="10" t="n">
        <v>783</v>
      </c>
      <c r="H736" s="10" t="n">
        <f aca="false">F736*G736</f>
        <v>1566</v>
      </c>
      <c r="I736" s="6" t="s">
        <v>5148</v>
      </c>
    </row>
    <row r="737" customFormat="false" ht="15" hidden="false" customHeight="false" outlineLevel="0" collapsed="false">
      <c r="A737" s="6" t="s">
        <v>5953</v>
      </c>
      <c r="B737" s="6" t="s">
        <v>4131</v>
      </c>
      <c r="C737" s="26" t="n">
        <v>46050</v>
      </c>
      <c r="D737" s="6" t="s">
        <v>5357</v>
      </c>
      <c r="E737" s="6" t="s">
        <v>23</v>
      </c>
      <c r="F737" s="6" t="n">
        <v>3</v>
      </c>
      <c r="G737" s="10" t="n">
        <v>534</v>
      </c>
      <c r="H737" s="10" t="n">
        <f aca="false">F737*G737</f>
        <v>1602</v>
      </c>
      <c r="I737" s="6" t="s">
        <v>5122</v>
      </c>
    </row>
    <row r="738" customFormat="false" ht="15" hidden="false" customHeight="false" outlineLevel="0" collapsed="false">
      <c r="A738" s="6" t="s">
        <v>5954</v>
      </c>
      <c r="B738" s="6" t="s">
        <v>4569</v>
      </c>
      <c r="C738" s="26" t="n">
        <v>46050</v>
      </c>
      <c r="D738" s="6" t="s">
        <v>5185</v>
      </c>
      <c r="E738" s="6" t="s">
        <v>24</v>
      </c>
      <c r="F738" s="6" t="n">
        <v>1</v>
      </c>
      <c r="G738" s="10" t="n">
        <v>2140</v>
      </c>
      <c r="H738" s="10" t="n">
        <f aca="false">F738*G738</f>
        <v>2140</v>
      </c>
      <c r="I738" s="6" t="s">
        <v>5173</v>
      </c>
    </row>
    <row r="739" customFormat="false" ht="15" hidden="false" customHeight="false" outlineLevel="0" collapsed="false">
      <c r="A739" s="6" t="s">
        <v>5955</v>
      </c>
      <c r="B739" s="6" t="s">
        <v>4329</v>
      </c>
      <c r="C739" s="26" t="n">
        <v>46050</v>
      </c>
      <c r="D739" s="6" t="s">
        <v>5456</v>
      </c>
      <c r="E739" s="6" t="s">
        <v>24</v>
      </c>
      <c r="F739" s="6" t="n">
        <v>1</v>
      </c>
      <c r="G739" s="10" t="n">
        <v>912</v>
      </c>
      <c r="H739" s="10" t="n">
        <f aca="false">F739*G739</f>
        <v>912</v>
      </c>
      <c r="I739" s="6" t="s">
        <v>5125</v>
      </c>
    </row>
    <row r="740" customFormat="false" ht="15" hidden="false" customHeight="false" outlineLevel="0" collapsed="false">
      <c r="A740" s="6" t="s">
        <v>5956</v>
      </c>
      <c r="B740" s="6" t="s">
        <v>4307</v>
      </c>
      <c r="C740" s="26" t="n">
        <v>46050</v>
      </c>
      <c r="D740" s="6" t="s">
        <v>5167</v>
      </c>
      <c r="E740" s="6" t="s">
        <v>22</v>
      </c>
      <c r="F740" s="6" t="n">
        <v>1</v>
      </c>
      <c r="G740" s="10" t="n">
        <v>782</v>
      </c>
      <c r="H740" s="10" t="n">
        <f aca="false">F740*G740</f>
        <v>782</v>
      </c>
      <c r="I740" s="6" t="s">
        <v>5130</v>
      </c>
    </row>
    <row r="741" customFormat="false" ht="15" hidden="false" customHeight="false" outlineLevel="0" collapsed="false">
      <c r="A741" s="6" t="s">
        <v>5957</v>
      </c>
      <c r="B741" s="6" t="s">
        <v>837</v>
      </c>
      <c r="C741" s="26" t="n">
        <v>46050</v>
      </c>
      <c r="D741" s="6" t="s">
        <v>5214</v>
      </c>
      <c r="E741" s="6" t="s">
        <v>20</v>
      </c>
      <c r="F741" s="6" t="n">
        <v>2</v>
      </c>
      <c r="G741" s="10" t="n">
        <v>2039</v>
      </c>
      <c r="H741" s="10" t="n">
        <f aca="false">F741*G741</f>
        <v>4078</v>
      </c>
      <c r="I741" s="6" t="s">
        <v>5122</v>
      </c>
    </row>
    <row r="742" customFormat="false" ht="15" hidden="false" customHeight="false" outlineLevel="0" collapsed="false">
      <c r="A742" s="6" t="s">
        <v>5958</v>
      </c>
      <c r="B742" s="6" t="s">
        <v>3459</v>
      </c>
      <c r="C742" s="26" t="n">
        <v>46050</v>
      </c>
      <c r="D742" s="6" t="s">
        <v>5207</v>
      </c>
      <c r="E742" s="6" t="s">
        <v>20</v>
      </c>
      <c r="F742" s="6" t="n">
        <v>1</v>
      </c>
      <c r="G742" s="10" t="n">
        <v>1258</v>
      </c>
      <c r="H742" s="10" t="n">
        <f aca="false">F742*G742</f>
        <v>1258</v>
      </c>
      <c r="I742" s="6" t="s">
        <v>5148</v>
      </c>
    </row>
    <row r="743" customFormat="false" ht="15" hidden="false" customHeight="false" outlineLevel="0" collapsed="false">
      <c r="A743" s="6" t="s">
        <v>5959</v>
      </c>
      <c r="B743" s="6" t="s">
        <v>2311</v>
      </c>
      <c r="C743" s="26" t="n">
        <v>46050</v>
      </c>
      <c r="D743" s="6" t="s">
        <v>5837</v>
      </c>
      <c r="E743" s="6" t="s">
        <v>21</v>
      </c>
      <c r="F743" s="6" t="n">
        <v>2</v>
      </c>
      <c r="G743" s="10" t="n">
        <v>2948</v>
      </c>
      <c r="H743" s="10" t="n">
        <f aca="false">F743*G743</f>
        <v>5896</v>
      </c>
      <c r="I743" s="6" t="s">
        <v>5122</v>
      </c>
    </row>
    <row r="744" customFormat="false" ht="15" hidden="false" customHeight="false" outlineLevel="0" collapsed="false">
      <c r="A744" s="6" t="s">
        <v>5960</v>
      </c>
      <c r="B744" s="6" t="s">
        <v>3311</v>
      </c>
      <c r="C744" s="26" t="n">
        <v>46050</v>
      </c>
      <c r="D744" s="6" t="s">
        <v>5156</v>
      </c>
      <c r="E744" s="6" t="s">
        <v>21</v>
      </c>
      <c r="F744" s="6" t="n">
        <v>1</v>
      </c>
      <c r="G744" s="10" t="n">
        <v>2054</v>
      </c>
      <c r="H744" s="10" t="n">
        <f aca="false">F744*G744</f>
        <v>2054</v>
      </c>
      <c r="I744" s="6" t="s">
        <v>5130</v>
      </c>
    </row>
    <row r="745" customFormat="false" ht="15" hidden="false" customHeight="false" outlineLevel="0" collapsed="false">
      <c r="A745" s="6" t="s">
        <v>5961</v>
      </c>
      <c r="B745" s="6" t="s">
        <v>3525</v>
      </c>
      <c r="C745" s="26" t="n">
        <v>46050</v>
      </c>
      <c r="D745" s="6" t="s">
        <v>5124</v>
      </c>
      <c r="E745" s="6" t="s">
        <v>21</v>
      </c>
      <c r="F745" s="6" t="n">
        <v>1</v>
      </c>
      <c r="G745" s="10" t="n">
        <v>3267</v>
      </c>
      <c r="H745" s="10" t="n">
        <f aca="false">F745*G745</f>
        <v>3267</v>
      </c>
      <c r="I745" s="6" t="s">
        <v>5130</v>
      </c>
    </row>
    <row r="746" customFormat="false" ht="15" hidden="false" customHeight="false" outlineLevel="0" collapsed="false">
      <c r="A746" s="6" t="s">
        <v>5962</v>
      </c>
      <c r="B746" s="6" t="s">
        <v>1731</v>
      </c>
      <c r="C746" s="26" t="n">
        <v>46050</v>
      </c>
      <c r="D746" s="6" t="s">
        <v>5235</v>
      </c>
      <c r="E746" s="6" t="s">
        <v>21</v>
      </c>
      <c r="F746" s="6" t="n">
        <v>1</v>
      </c>
      <c r="G746" s="10" t="n">
        <v>1586</v>
      </c>
      <c r="H746" s="10" t="n">
        <f aca="false">F746*G746</f>
        <v>1586</v>
      </c>
      <c r="I746" s="6" t="s">
        <v>5148</v>
      </c>
    </row>
    <row r="747" customFormat="false" ht="15" hidden="false" customHeight="false" outlineLevel="0" collapsed="false">
      <c r="A747" s="6" t="s">
        <v>5963</v>
      </c>
      <c r="B747" s="6" t="s">
        <v>1805</v>
      </c>
      <c r="C747" s="26" t="n">
        <v>46050</v>
      </c>
      <c r="D747" s="6" t="s">
        <v>5165</v>
      </c>
      <c r="E747" s="6" t="s">
        <v>22</v>
      </c>
      <c r="F747" s="6" t="n">
        <v>1</v>
      </c>
      <c r="G747" s="10" t="n">
        <v>976</v>
      </c>
      <c r="H747" s="10" t="n">
        <f aca="false">F747*G747</f>
        <v>976</v>
      </c>
      <c r="I747" s="6" t="s">
        <v>5173</v>
      </c>
    </row>
    <row r="748" customFormat="false" ht="15" hidden="false" customHeight="false" outlineLevel="0" collapsed="false">
      <c r="A748" s="6" t="s">
        <v>5964</v>
      </c>
      <c r="B748" s="6" t="s">
        <v>366</v>
      </c>
      <c r="C748" s="26" t="n">
        <v>46050</v>
      </c>
      <c r="D748" s="6" t="s">
        <v>5353</v>
      </c>
      <c r="E748" s="6" t="s">
        <v>24</v>
      </c>
      <c r="F748" s="6" t="n">
        <v>3</v>
      </c>
      <c r="G748" s="10" t="n">
        <v>1548</v>
      </c>
      <c r="H748" s="10" t="n">
        <f aca="false">F748*G748</f>
        <v>4644</v>
      </c>
      <c r="I748" s="6" t="s">
        <v>5148</v>
      </c>
    </row>
    <row r="749" customFormat="false" ht="15" hidden="false" customHeight="false" outlineLevel="0" collapsed="false">
      <c r="A749" s="6" t="s">
        <v>5965</v>
      </c>
      <c r="B749" s="6" t="s">
        <v>4119</v>
      </c>
      <c r="C749" s="26" t="n">
        <v>46050</v>
      </c>
      <c r="D749" s="6" t="s">
        <v>5139</v>
      </c>
      <c r="E749" s="6" t="s">
        <v>23</v>
      </c>
      <c r="F749" s="6" t="n">
        <v>2</v>
      </c>
      <c r="G749" s="10" t="n">
        <v>265</v>
      </c>
      <c r="H749" s="10" t="n">
        <f aca="false">F749*G749</f>
        <v>530</v>
      </c>
      <c r="I749" s="6" t="s">
        <v>5148</v>
      </c>
    </row>
    <row r="750" customFormat="false" ht="15" hidden="false" customHeight="false" outlineLevel="0" collapsed="false">
      <c r="A750" s="6" t="s">
        <v>5966</v>
      </c>
      <c r="B750" s="6" t="s">
        <v>549</v>
      </c>
      <c r="C750" s="26" t="n">
        <v>46050</v>
      </c>
      <c r="D750" s="6" t="s">
        <v>5132</v>
      </c>
      <c r="E750" s="6" t="s">
        <v>23</v>
      </c>
      <c r="F750" s="6" t="n">
        <v>1</v>
      </c>
      <c r="G750" s="10" t="n">
        <v>308</v>
      </c>
      <c r="H750" s="10" t="n">
        <f aca="false">F750*G750</f>
        <v>308</v>
      </c>
      <c r="I750" s="6" t="s">
        <v>5122</v>
      </c>
    </row>
    <row r="751" customFormat="false" ht="15" hidden="false" customHeight="false" outlineLevel="0" collapsed="false">
      <c r="A751" s="6" t="s">
        <v>5967</v>
      </c>
      <c r="B751" s="6" t="s">
        <v>905</v>
      </c>
      <c r="C751" s="26" t="n">
        <v>46050</v>
      </c>
      <c r="D751" s="6" t="s">
        <v>5182</v>
      </c>
      <c r="E751" s="6" t="s">
        <v>23</v>
      </c>
      <c r="F751" s="6" t="n">
        <v>2</v>
      </c>
      <c r="G751" s="10" t="n">
        <v>367</v>
      </c>
      <c r="H751" s="10" t="n">
        <f aca="false">F751*G751</f>
        <v>734</v>
      </c>
      <c r="I751" s="6" t="s">
        <v>5122</v>
      </c>
    </row>
    <row r="752" customFormat="false" ht="15" hidden="false" customHeight="false" outlineLevel="0" collapsed="false">
      <c r="A752" s="6" t="s">
        <v>5968</v>
      </c>
      <c r="B752" s="6" t="s">
        <v>1823</v>
      </c>
      <c r="C752" s="26" t="n">
        <v>46050</v>
      </c>
      <c r="D752" s="6" t="s">
        <v>5216</v>
      </c>
      <c r="E752" s="6" t="s">
        <v>23</v>
      </c>
      <c r="F752" s="6" t="n">
        <v>4</v>
      </c>
      <c r="G752" s="10" t="n">
        <v>587</v>
      </c>
      <c r="H752" s="10" t="n">
        <f aca="false">F752*G752</f>
        <v>2348</v>
      </c>
      <c r="I752" s="6" t="s">
        <v>5148</v>
      </c>
    </row>
    <row r="753" customFormat="false" ht="15" hidden="false" customHeight="false" outlineLevel="0" collapsed="false">
      <c r="A753" s="6" t="s">
        <v>5969</v>
      </c>
      <c r="B753" s="6" t="s">
        <v>743</v>
      </c>
      <c r="C753" s="26" t="n">
        <v>46050</v>
      </c>
      <c r="D753" s="6" t="s">
        <v>5214</v>
      </c>
      <c r="E753" s="6" t="s">
        <v>20</v>
      </c>
      <c r="F753" s="6" t="n">
        <v>1</v>
      </c>
      <c r="G753" s="10" t="n">
        <v>1835</v>
      </c>
      <c r="H753" s="10" t="n">
        <f aca="false">F753*G753</f>
        <v>1835</v>
      </c>
      <c r="I753" s="6" t="s">
        <v>5148</v>
      </c>
    </row>
    <row r="754" customFormat="false" ht="15" hidden="false" customHeight="false" outlineLevel="0" collapsed="false">
      <c r="A754" s="6" t="s">
        <v>5970</v>
      </c>
      <c r="B754" s="6" t="s">
        <v>461</v>
      </c>
      <c r="C754" s="26" t="n">
        <v>46050</v>
      </c>
      <c r="D754" s="6" t="s">
        <v>5691</v>
      </c>
      <c r="E754" s="6" t="s">
        <v>21</v>
      </c>
      <c r="F754" s="6" t="n">
        <v>1</v>
      </c>
      <c r="G754" s="10" t="n">
        <v>5897</v>
      </c>
      <c r="H754" s="10" t="n">
        <f aca="false">F754*G754</f>
        <v>5897</v>
      </c>
      <c r="I754" s="6" t="s">
        <v>5130</v>
      </c>
    </row>
    <row r="755" customFormat="false" ht="15" hidden="false" customHeight="false" outlineLevel="0" collapsed="false">
      <c r="A755" s="6" t="s">
        <v>5971</v>
      </c>
      <c r="B755" s="6" t="s">
        <v>4761</v>
      </c>
      <c r="C755" s="26" t="n">
        <v>46050</v>
      </c>
      <c r="D755" s="6" t="s">
        <v>5169</v>
      </c>
      <c r="E755" s="6" t="s">
        <v>20</v>
      </c>
      <c r="F755" s="6" t="n">
        <v>1</v>
      </c>
      <c r="G755" s="10" t="n">
        <v>5098</v>
      </c>
      <c r="H755" s="10" t="n">
        <f aca="false">F755*G755</f>
        <v>5098</v>
      </c>
      <c r="I755" s="6" t="s">
        <v>5122</v>
      </c>
    </row>
    <row r="756" customFormat="false" ht="15" hidden="false" customHeight="false" outlineLevel="0" collapsed="false">
      <c r="A756" s="6" t="s">
        <v>5972</v>
      </c>
      <c r="B756" s="6" t="s">
        <v>4015</v>
      </c>
      <c r="C756" s="26" t="n">
        <v>46050</v>
      </c>
      <c r="D756" s="6" t="s">
        <v>5216</v>
      </c>
      <c r="E756" s="6" t="s">
        <v>23</v>
      </c>
      <c r="F756" s="6" t="n">
        <v>1</v>
      </c>
      <c r="G756" s="10" t="n">
        <v>558</v>
      </c>
      <c r="H756" s="10" t="n">
        <f aca="false">F756*G756</f>
        <v>558</v>
      </c>
      <c r="I756" s="6" t="s">
        <v>5133</v>
      </c>
    </row>
    <row r="757" customFormat="false" ht="15" hidden="false" customHeight="false" outlineLevel="0" collapsed="false">
      <c r="A757" s="6" t="s">
        <v>5973</v>
      </c>
      <c r="B757" s="6" t="s">
        <v>2345</v>
      </c>
      <c r="C757" s="26" t="n">
        <v>46050</v>
      </c>
      <c r="D757" s="6" t="s">
        <v>5353</v>
      </c>
      <c r="E757" s="6" t="s">
        <v>24</v>
      </c>
      <c r="F757" s="6" t="n">
        <v>2</v>
      </c>
      <c r="G757" s="10" t="n">
        <v>1629</v>
      </c>
      <c r="H757" s="10" t="n">
        <f aca="false">F757*G757</f>
        <v>3258</v>
      </c>
      <c r="I757" s="6" t="s">
        <v>5125</v>
      </c>
    </row>
    <row r="758" customFormat="false" ht="15" hidden="false" customHeight="false" outlineLevel="0" collapsed="false">
      <c r="A758" s="6" t="s">
        <v>5974</v>
      </c>
      <c r="B758" s="6" t="s">
        <v>3005</v>
      </c>
      <c r="C758" s="26" t="n">
        <v>46050</v>
      </c>
      <c r="D758" s="6" t="s">
        <v>5121</v>
      </c>
      <c r="E758" s="6" t="s">
        <v>22</v>
      </c>
      <c r="F758" s="6" t="n">
        <v>2</v>
      </c>
      <c r="G758" s="10" t="n">
        <v>928</v>
      </c>
      <c r="H758" s="10" t="n">
        <f aca="false">F758*G758</f>
        <v>1856</v>
      </c>
      <c r="I758" s="6" t="s">
        <v>5122</v>
      </c>
    </row>
    <row r="759" customFormat="false" ht="15" hidden="false" customHeight="false" outlineLevel="0" collapsed="false">
      <c r="A759" s="6" t="s">
        <v>5975</v>
      </c>
      <c r="B759" s="6" t="s">
        <v>989</v>
      </c>
      <c r="C759" s="26" t="n">
        <v>46050</v>
      </c>
      <c r="D759" s="6" t="s">
        <v>5261</v>
      </c>
      <c r="E759" s="6" t="s">
        <v>23</v>
      </c>
      <c r="F759" s="6" t="n">
        <v>3</v>
      </c>
      <c r="G759" s="10" t="n">
        <v>175</v>
      </c>
      <c r="H759" s="10" t="n">
        <f aca="false">F759*G759</f>
        <v>525</v>
      </c>
      <c r="I759" s="6" t="s">
        <v>5148</v>
      </c>
    </row>
    <row r="760" customFormat="false" ht="15" hidden="false" customHeight="false" outlineLevel="0" collapsed="false">
      <c r="A760" s="6" t="s">
        <v>5976</v>
      </c>
      <c r="B760" s="6" t="s">
        <v>4625</v>
      </c>
      <c r="C760" s="26" t="n">
        <v>46050</v>
      </c>
      <c r="D760" s="6" t="s">
        <v>5216</v>
      </c>
      <c r="E760" s="6" t="s">
        <v>23</v>
      </c>
      <c r="F760" s="6" t="n">
        <v>5</v>
      </c>
      <c r="G760" s="10" t="n">
        <v>587</v>
      </c>
      <c r="H760" s="10" t="n">
        <f aca="false">F760*G760</f>
        <v>2935</v>
      </c>
      <c r="I760" s="6" t="s">
        <v>5122</v>
      </c>
    </row>
    <row r="761" customFormat="false" ht="15" hidden="false" customHeight="false" outlineLevel="0" collapsed="false">
      <c r="A761" s="6" t="s">
        <v>5977</v>
      </c>
      <c r="B761" s="6" t="s">
        <v>4245</v>
      </c>
      <c r="C761" s="26" t="n">
        <v>46050</v>
      </c>
      <c r="D761" s="6" t="s">
        <v>5237</v>
      </c>
      <c r="E761" s="6" t="s">
        <v>24</v>
      </c>
      <c r="F761" s="6" t="n">
        <v>1</v>
      </c>
      <c r="G761" s="10" t="n">
        <v>1834</v>
      </c>
      <c r="H761" s="10" t="n">
        <f aca="false">F761*G761</f>
        <v>1834</v>
      </c>
      <c r="I761" s="6" t="s">
        <v>5130</v>
      </c>
    </row>
    <row r="762" customFormat="false" ht="15" hidden="false" customHeight="false" outlineLevel="0" collapsed="false">
      <c r="A762" s="6" t="s">
        <v>5978</v>
      </c>
      <c r="B762" s="6" t="s">
        <v>1993</v>
      </c>
      <c r="C762" s="26" t="n">
        <v>46050</v>
      </c>
      <c r="D762" s="6" t="s">
        <v>5167</v>
      </c>
      <c r="E762" s="6" t="s">
        <v>22</v>
      </c>
      <c r="F762" s="6" t="n">
        <v>3</v>
      </c>
      <c r="G762" s="10" t="n">
        <v>782</v>
      </c>
      <c r="H762" s="10" t="n">
        <f aca="false">F762*G762</f>
        <v>2346</v>
      </c>
      <c r="I762" s="6" t="s">
        <v>5122</v>
      </c>
    </row>
    <row r="763" customFormat="false" ht="15" hidden="false" customHeight="false" outlineLevel="0" collapsed="false">
      <c r="A763" s="6" t="s">
        <v>5979</v>
      </c>
      <c r="B763" s="6" t="s">
        <v>953</v>
      </c>
      <c r="C763" s="26" t="n">
        <v>46050</v>
      </c>
      <c r="D763" s="6" t="s">
        <v>5171</v>
      </c>
      <c r="E763" s="6" t="s">
        <v>23</v>
      </c>
      <c r="F763" s="6" t="n">
        <v>2</v>
      </c>
      <c r="G763" s="10" t="n">
        <v>697</v>
      </c>
      <c r="H763" s="10" t="n">
        <f aca="false">F763*G763</f>
        <v>1394</v>
      </c>
      <c r="I763" s="6" t="s">
        <v>5148</v>
      </c>
    </row>
    <row r="764" customFormat="false" ht="15" hidden="false" customHeight="false" outlineLevel="0" collapsed="false">
      <c r="A764" s="6" t="s">
        <v>5980</v>
      </c>
      <c r="B764" s="6" t="s">
        <v>1225</v>
      </c>
      <c r="C764" s="26" t="n">
        <v>46051</v>
      </c>
      <c r="D764" s="6" t="s">
        <v>5762</v>
      </c>
      <c r="E764" s="6" t="s">
        <v>22</v>
      </c>
      <c r="F764" s="6" t="n">
        <v>1</v>
      </c>
      <c r="G764" s="10" t="n">
        <v>3423</v>
      </c>
      <c r="H764" s="10" t="n">
        <f aca="false">F764*G764</f>
        <v>3423</v>
      </c>
      <c r="I764" s="6" t="s">
        <v>5122</v>
      </c>
    </row>
    <row r="765" customFormat="false" ht="15" hidden="false" customHeight="false" outlineLevel="0" collapsed="false">
      <c r="A765" s="6" t="s">
        <v>5981</v>
      </c>
      <c r="B765" s="6" t="s">
        <v>2705</v>
      </c>
      <c r="C765" s="26" t="n">
        <v>46051</v>
      </c>
      <c r="D765" s="6" t="s">
        <v>5749</v>
      </c>
      <c r="E765" s="6" t="s">
        <v>20</v>
      </c>
      <c r="F765" s="6" t="n">
        <v>2</v>
      </c>
      <c r="G765" s="10" t="n">
        <v>815</v>
      </c>
      <c r="H765" s="10" t="n">
        <f aca="false">F765*G765</f>
        <v>1630</v>
      </c>
      <c r="I765" s="6" t="s">
        <v>5122</v>
      </c>
    </row>
    <row r="766" customFormat="false" ht="15" hidden="false" customHeight="false" outlineLevel="0" collapsed="false">
      <c r="A766" s="6" t="s">
        <v>5982</v>
      </c>
      <c r="B766" s="6" t="s">
        <v>4141</v>
      </c>
      <c r="C766" s="26" t="n">
        <v>46051</v>
      </c>
      <c r="D766" s="6" t="s">
        <v>5281</v>
      </c>
      <c r="E766" s="6" t="s">
        <v>24</v>
      </c>
      <c r="F766" s="6" t="n">
        <v>1</v>
      </c>
      <c r="G766" s="10" t="n">
        <v>814</v>
      </c>
      <c r="H766" s="10" t="n">
        <f aca="false">F766*G766</f>
        <v>814</v>
      </c>
      <c r="I766" s="6" t="s">
        <v>5122</v>
      </c>
    </row>
    <row r="767" customFormat="false" ht="15" hidden="false" customHeight="false" outlineLevel="0" collapsed="false">
      <c r="A767" s="6" t="s">
        <v>5983</v>
      </c>
      <c r="B767" s="6" t="s">
        <v>2669</v>
      </c>
      <c r="C767" s="26" t="n">
        <v>46051</v>
      </c>
      <c r="D767" s="6" t="s">
        <v>5237</v>
      </c>
      <c r="E767" s="6" t="s">
        <v>24</v>
      </c>
      <c r="F767" s="6" t="n">
        <v>1</v>
      </c>
      <c r="G767" s="10" t="n">
        <v>1833</v>
      </c>
      <c r="H767" s="10" t="n">
        <f aca="false">F767*G767</f>
        <v>1833</v>
      </c>
      <c r="I767" s="6" t="s">
        <v>5130</v>
      </c>
    </row>
    <row r="768" customFormat="false" ht="15" hidden="false" customHeight="false" outlineLevel="0" collapsed="false">
      <c r="A768" s="6" t="s">
        <v>5984</v>
      </c>
      <c r="B768" s="6" t="s">
        <v>895</v>
      </c>
      <c r="C768" s="26" t="n">
        <v>46051</v>
      </c>
      <c r="D768" s="6" t="s">
        <v>5127</v>
      </c>
      <c r="E768" s="6" t="s">
        <v>21</v>
      </c>
      <c r="F768" s="6" t="n">
        <v>2</v>
      </c>
      <c r="G768" s="10" t="n">
        <v>884</v>
      </c>
      <c r="H768" s="10" t="n">
        <f aca="false">F768*G768</f>
        <v>1768</v>
      </c>
      <c r="I768" s="6" t="s">
        <v>5148</v>
      </c>
    </row>
    <row r="769" customFormat="false" ht="15" hidden="false" customHeight="false" outlineLevel="0" collapsed="false">
      <c r="A769" s="6" t="s">
        <v>5985</v>
      </c>
      <c r="B769" s="6" t="s">
        <v>4241</v>
      </c>
      <c r="C769" s="26" t="n">
        <v>46051</v>
      </c>
      <c r="D769" s="6" t="s">
        <v>5200</v>
      </c>
      <c r="E769" s="6" t="s">
        <v>24</v>
      </c>
      <c r="F769" s="6" t="n">
        <v>1</v>
      </c>
      <c r="G769" s="10" t="n">
        <v>764</v>
      </c>
      <c r="H769" s="10" t="n">
        <f aca="false">F769*G769</f>
        <v>764</v>
      </c>
      <c r="I769" s="6" t="s">
        <v>5130</v>
      </c>
    </row>
    <row r="770" customFormat="false" ht="15" hidden="false" customHeight="false" outlineLevel="0" collapsed="false">
      <c r="A770" s="6" t="s">
        <v>5986</v>
      </c>
      <c r="B770" s="6" t="s">
        <v>4227</v>
      </c>
      <c r="C770" s="26" t="n">
        <v>46051</v>
      </c>
      <c r="D770" s="6" t="s">
        <v>5197</v>
      </c>
      <c r="E770" s="6" t="s">
        <v>21</v>
      </c>
      <c r="F770" s="6" t="n">
        <v>2</v>
      </c>
      <c r="G770" s="10" t="n">
        <v>1026</v>
      </c>
      <c r="H770" s="10" t="n">
        <f aca="false">F770*G770</f>
        <v>2052</v>
      </c>
      <c r="I770" s="6" t="s">
        <v>5122</v>
      </c>
    </row>
    <row r="771" customFormat="false" ht="15" hidden="false" customHeight="false" outlineLevel="0" collapsed="false">
      <c r="A771" s="6" t="s">
        <v>5987</v>
      </c>
      <c r="B771" s="6" t="s">
        <v>1043</v>
      </c>
      <c r="C771" s="26" t="n">
        <v>46051</v>
      </c>
      <c r="D771" s="6" t="s">
        <v>5837</v>
      </c>
      <c r="E771" s="6" t="s">
        <v>21</v>
      </c>
      <c r="F771" s="6" t="n">
        <v>1</v>
      </c>
      <c r="G771" s="10" t="n">
        <v>2948</v>
      </c>
      <c r="H771" s="10" t="n">
        <f aca="false">F771*G771</f>
        <v>2948</v>
      </c>
      <c r="I771" s="6" t="s">
        <v>5125</v>
      </c>
    </row>
    <row r="772" customFormat="false" ht="15" hidden="false" customHeight="false" outlineLevel="0" collapsed="false">
      <c r="A772" s="6" t="s">
        <v>5988</v>
      </c>
      <c r="B772" s="6" t="s">
        <v>847</v>
      </c>
      <c r="C772" s="26" t="n">
        <v>46051</v>
      </c>
      <c r="D772" s="6" t="s">
        <v>5269</v>
      </c>
      <c r="E772" s="6" t="s">
        <v>22</v>
      </c>
      <c r="F772" s="6" t="n">
        <v>2</v>
      </c>
      <c r="G772" s="10" t="n">
        <v>1271</v>
      </c>
      <c r="H772" s="10" t="n">
        <f aca="false">F772*G772</f>
        <v>2542</v>
      </c>
      <c r="I772" s="6" t="s">
        <v>5130</v>
      </c>
    </row>
    <row r="773" customFormat="false" ht="15" hidden="false" customHeight="false" outlineLevel="0" collapsed="false">
      <c r="A773" s="6" t="s">
        <v>5989</v>
      </c>
      <c r="B773" s="6" t="s">
        <v>2143</v>
      </c>
      <c r="C773" s="26" t="n">
        <v>46051</v>
      </c>
      <c r="D773" s="6" t="s">
        <v>5345</v>
      </c>
      <c r="E773" s="6" t="s">
        <v>23</v>
      </c>
      <c r="F773" s="6" t="n">
        <v>3</v>
      </c>
      <c r="G773" s="10" t="n">
        <v>436</v>
      </c>
      <c r="H773" s="10" t="n">
        <f aca="false">F773*G773</f>
        <v>1308</v>
      </c>
      <c r="I773" s="6" t="s">
        <v>5122</v>
      </c>
    </row>
    <row r="774" customFormat="false" ht="15" hidden="false" customHeight="false" outlineLevel="0" collapsed="false">
      <c r="A774" s="6" t="s">
        <v>5990</v>
      </c>
      <c r="B774" s="6" t="s">
        <v>1345</v>
      </c>
      <c r="C774" s="26" t="n">
        <v>46051</v>
      </c>
      <c r="D774" s="6" t="s">
        <v>5837</v>
      </c>
      <c r="E774" s="6" t="s">
        <v>21</v>
      </c>
      <c r="F774" s="6" t="n">
        <v>1</v>
      </c>
      <c r="G774" s="10" t="n">
        <v>2948</v>
      </c>
      <c r="H774" s="10" t="n">
        <f aca="false">F774*G774</f>
        <v>2948</v>
      </c>
      <c r="I774" s="6" t="s">
        <v>5122</v>
      </c>
    </row>
    <row r="775" customFormat="false" ht="15" hidden="false" customHeight="false" outlineLevel="0" collapsed="false">
      <c r="A775" s="6" t="s">
        <v>5991</v>
      </c>
      <c r="B775" s="6" t="s">
        <v>368</v>
      </c>
      <c r="C775" s="26" t="n">
        <v>46051</v>
      </c>
      <c r="D775" s="6" t="s">
        <v>5216</v>
      </c>
      <c r="E775" s="6" t="s">
        <v>23</v>
      </c>
      <c r="F775" s="6" t="n">
        <v>2</v>
      </c>
      <c r="G775" s="10" t="n">
        <v>587</v>
      </c>
      <c r="H775" s="10" t="n">
        <f aca="false">F775*G775</f>
        <v>1174</v>
      </c>
      <c r="I775" s="6" t="s">
        <v>5122</v>
      </c>
    </row>
    <row r="776" customFormat="false" ht="15" hidden="false" customHeight="false" outlineLevel="0" collapsed="false">
      <c r="A776" s="6" t="s">
        <v>5992</v>
      </c>
      <c r="B776" s="6" t="s">
        <v>4259</v>
      </c>
      <c r="C776" s="26" t="n">
        <v>46051</v>
      </c>
      <c r="D776" s="6" t="s">
        <v>5167</v>
      </c>
      <c r="E776" s="6" t="s">
        <v>22</v>
      </c>
      <c r="F776" s="6" t="n">
        <v>1</v>
      </c>
      <c r="G776" s="10" t="n">
        <v>782</v>
      </c>
      <c r="H776" s="10" t="n">
        <f aca="false">F776*G776</f>
        <v>782</v>
      </c>
      <c r="I776" s="6" t="s">
        <v>5148</v>
      </c>
    </row>
    <row r="777" customFormat="false" ht="15" hidden="false" customHeight="false" outlineLevel="0" collapsed="false">
      <c r="A777" s="6" t="s">
        <v>5993</v>
      </c>
      <c r="B777" s="6" t="s">
        <v>2105</v>
      </c>
      <c r="C777" s="26" t="n">
        <v>46051</v>
      </c>
      <c r="D777" s="6" t="s">
        <v>5121</v>
      </c>
      <c r="E777" s="6" t="s">
        <v>22</v>
      </c>
      <c r="F777" s="6" t="n">
        <v>2</v>
      </c>
      <c r="G777" s="10" t="n">
        <v>880</v>
      </c>
      <c r="H777" s="10" t="n">
        <f aca="false">F777*G777</f>
        <v>1760</v>
      </c>
      <c r="I777" s="6" t="s">
        <v>5122</v>
      </c>
    </row>
    <row r="778" customFormat="false" ht="15" hidden="false" customHeight="false" outlineLevel="0" collapsed="false">
      <c r="A778" s="6" t="s">
        <v>5994</v>
      </c>
      <c r="B778" s="6" t="s">
        <v>1719</v>
      </c>
      <c r="C778" s="26" t="n">
        <v>46051</v>
      </c>
      <c r="D778" s="6" t="s">
        <v>5466</v>
      </c>
      <c r="E778" s="6" t="s">
        <v>21</v>
      </c>
      <c r="F778" s="6" t="n">
        <v>1</v>
      </c>
      <c r="G778" s="10" t="n">
        <v>1965</v>
      </c>
      <c r="H778" s="10" t="n">
        <f aca="false">F778*G778</f>
        <v>1965</v>
      </c>
      <c r="I778" s="6" t="s">
        <v>5122</v>
      </c>
    </row>
    <row r="779" customFormat="false" ht="15" hidden="false" customHeight="false" outlineLevel="0" collapsed="false">
      <c r="A779" s="6" t="s">
        <v>5995</v>
      </c>
      <c r="B779" s="6" t="s">
        <v>4539</v>
      </c>
      <c r="C779" s="26" t="n">
        <v>46051</v>
      </c>
      <c r="D779" s="6" t="s">
        <v>5163</v>
      </c>
      <c r="E779" s="6" t="s">
        <v>23</v>
      </c>
      <c r="F779" s="6" t="n">
        <v>4</v>
      </c>
      <c r="G779" s="10" t="n">
        <v>783</v>
      </c>
      <c r="H779" s="10" t="n">
        <f aca="false">F779*G779</f>
        <v>3132</v>
      </c>
      <c r="I779" s="6" t="s">
        <v>5122</v>
      </c>
    </row>
    <row r="780" customFormat="false" ht="15" hidden="false" customHeight="false" outlineLevel="0" collapsed="false">
      <c r="A780" s="6" t="s">
        <v>5996</v>
      </c>
      <c r="B780" s="6" t="s">
        <v>2799</v>
      </c>
      <c r="C780" s="26" t="n">
        <v>46051</v>
      </c>
      <c r="D780" s="6" t="s">
        <v>5197</v>
      </c>
      <c r="E780" s="6" t="s">
        <v>21</v>
      </c>
      <c r="F780" s="6" t="n">
        <v>1</v>
      </c>
      <c r="G780" s="10" t="n">
        <v>973</v>
      </c>
      <c r="H780" s="10" t="n">
        <f aca="false">F780*G780</f>
        <v>973</v>
      </c>
      <c r="I780" s="6" t="s">
        <v>5122</v>
      </c>
    </row>
    <row r="781" customFormat="false" ht="15" hidden="false" customHeight="false" outlineLevel="0" collapsed="false">
      <c r="A781" s="6" t="s">
        <v>5997</v>
      </c>
      <c r="B781" s="6" t="s">
        <v>2469</v>
      </c>
      <c r="C781" s="26" t="n">
        <v>46051</v>
      </c>
      <c r="D781" s="6" t="s">
        <v>5121</v>
      </c>
      <c r="E781" s="6" t="s">
        <v>22</v>
      </c>
      <c r="F781" s="6" t="n">
        <v>2</v>
      </c>
      <c r="G781" s="10" t="n">
        <v>928</v>
      </c>
      <c r="H781" s="10" t="n">
        <f aca="false">F781*G781</f>
        <v>1856</v>
      </c>
      <c r="I781" s="6" t="s">
        <v>5148</v>
      </c>
    </row>
    <row r="782" customFormat="false" ht="15" hidden="false" customHeight="false" outlineLevel="0" collapsed="false">
      <c r="A782" s="6" t="s">
        <v>5998</v>
      </c>
      <c r="B782" s="6" t="s">
        <v>3015</v>
      </c>
      <c r="C782" s="26" t="n">
        <v>46051</v>
      </c>
      <c r="D782" s="6" t="s">
        <v>5163</v>
      </c>
      <c r="E782" s="6" t="s">
        <v>23</v>
      </c>
      <c r="F782" s="6" t="n">
        <v>3</v>
      </c>
      <c r="G782" s="10" t="n">
        <v>705</v>
      </c>
      <c r="H782" s="10" t="n">
        <f aca="false">F782*G782</f>
        <v>2115</v>
      </c>
      <c r="I782" s="6" t="s">
        <v>5148</v>
      </c>
    </row>
    <row r="783" customFormat="false" ht="15" hidden="false" customHeight="false" outlineLevel="0" collapsed="false">
      <c r="A783" s="6" t="s">
        <v>5999</v>
      </c>
      <c r="B783" s="6" t="s">
        <v>3721</v>
      </c>
      <c r="C783" s="26" t="n">
        <v>46051</v>
      </c>
      <c r="D783" s="6" t="s">
        <v>5167</v>
      </c>
      <c r="E783" s="6" t="s">
        <v>22</v>
      </c>
      <c r="F783" s="6" t="n">
        <v>1</v>
      </c>
      <c r="G783" s="10" t="n">
        <v>782</v>
      </c>
      <c r="H783" s="10" t="n">
        <f aca="false">F783*G783</f>
        <v>782</v>
      </c>
      <c r="I783" s="6" t="s">
        <v>5130</v>
      </c>
    </row>
    <row r="784" customFormat="false" ht="15" hidden="false" customHeight="false" outlineLevel="0" collapsed="false">
      <c r="A784" s="6" t="s">
        <v>6000</v>
      </c>
      <c r="B784" s="6" t="s">
        <v>4273</v>
      </c>
      <c r="C784" s="26" t="n">
        <v>46051</v>
      </c>
      <c r="D784" s="6" t="s">
        <v>5683</v>
      </c>
      <c r="E784" s="6" t="s">
        <v>22</v>
      </c>
      <c r="F784" s="6" t="n">
        <v>1</v>
      </c>
      <c r="G784" s="10" t="n">
        <v>1584</v>
      </c>
      <c r="H784" s="10" t="n">
        <f aca="false">F784*G784</f>
        <v>1584</v>
      </c>
      <c r="I784" s="6" t="s">
        <v>5122</v>
      </c>
    </row>
    <row r="785" customFormat="false" ht="15" hidden="false" customHeight="false" outlineLevel="0" collapsed="false">
      <c r="A785" s="6" t="s">
        <v>6001</v>
      </c>
      <c r="B785" s="6" t="s">
        <v>2259</v>
      </c>
      <c r="C785" s="26" t="n">
        <v>46051</v>
      </c>
      <c r="D785" s="6" t="s">
        <v>5281</v>
      </c>
      <c r="E785" s="6" t="s">
        <v>24</v>
      </c>
      <c r="F785" s="6" t="n">
        <v>1</v>
      </c>
      <c r="G785" s="10" t="n">
        <v>773</v>
      </c>
      <c r="H785" s="10" t="n">
        <f aca="false">F785*G785</f>
        <v>773</v>
      </c>
      <c r="I785" s="6" t="s">
        <v>5148</v>
      </c>
    </row>
    <row r="786" customFormat="false" ht="15" hidden="false" customHeight="false" outlineLevel="0" collapsed="false">
      <c r="A786" s="6" t="s">
        <v>6002</v>
      </c>
      <c r="B786" s="6" t="s">
        <v>4107</v>
      </c>
      <c r="C786" s="26" t="n">
        <v>46052</v>
      </c>
      <c r="D786" s="6" t="s">
        <v>5269</v>
      </c>
      <c r="E786" s="6" t="s">
        <v>22</v>
      </c>
      <c r="F786" s="6" t="n">
        <v>2</v>
      </c>
      <c r="G786" s="10" t="n">
        <v>1144</v>
      </c>
      <c r="H786" s="10" t="n">
        <f aca="false">F786*G786</f>
        <v>2288</v>
      </c>
      <c r="I786" s="6" t="s">
        <v>5148</v>
      </c>
    </row>
    <row r="787" customFormat="false" ht="15" hidden="false" customHeight="false" outlineLevel="0" collapsed="false">
      <c r="A787" s="6" t="s">
        <v>6003</v>
      </c>
      <c r="B787" s="6" t="s">
        <v>390</v>
      </c>
      <c r="C787" s="26" t="n">
        <v>46052</v>
      </c>
      <c r="D787" s="6" t="s">
        <v>5175</v>
      </c>
      <c r="E787" s="6" t="s">
        <v>24</v>
      </c>
      <c r="F787" s="6" t="n">
        <v>1</v>
      </c>
      <c r="G787" s="10" t="n">
        <v>580</v>
      </c>
      <c r="H787" s="10" t="n">
        <f aca="false">F787*G787</f>
        <v>580</v>
      </c>
      <c r="I787" s="6" t="s">
        <v>5125</v>
      </c>
    </row>
    <row r="788" customFormat="false" ht="15" hidden="false" customHeight="false" outlineLevel="0" collapsed="false">
      <c r="A788" s="6" t="s">
        <v>6004</v>
      </c>
      <c r="B788" s="6" t="s">
        <v>5073</v>
      </c>
      <c r="C788" s="26" t="n">
        <v>46052</v>
      </c>
      <c r="D788" s="6" t="s">
        <v>5143</v>
      </c>
      <c r="E788" s="6" t="s">
        <v>21</v>
      </c>
      <c r="F788" s="6" t="n">
        <v>1</v>
      </c>
      <c r="G788" s="10" t="n">
        <v>1061</v>
      </c>
      <c r="H788" s="10" t="n">
        <f aca="false">F788*G788</f>
        <v>1061</v>
      </c>
      <c r="I788" s="6" t="s">
        <v>5173</v>
      </c>
    </row>
    <row r="789" customFormat="false" ht="15" hidden="false" customHeight="false" outlineLevel="0" collapsed="false">
      <c r="A789" s="6" t="s">
        <v>6005</v>
      </c>
      <c r="B789" s="6" t="s">
        <v>1533</v>
      </c>
      <c r="C789" s="26" t="n">
        <v>46052</v>
      </c>
      <c r="D789" s="6" t="s">
        <v>5345</v>
      </c>
      <c r="E789" s="6" t="s">
        <v>23</v>
      </c>
      <c r="F789" s="6" t="n">
        <v>5</v>
      </c>
      <c r="G789" s="10" t="n">
        <v>392</v>
      </c>
      <c r="H789" s="10" t="n">
        <f aca="false">F789*G789</f>
        <v>1960</v>
      </c>
      <c r="I789" s="6" t="s">
        <v>5122</v>
      </c>
    </row>
    <row r="790" customFormat="false" ht="15" hidden="false" customHeight="false" outlineLevel="0" collapsed="false">
      <c r="A790" s="6" t="s">
        <v>6006</v>
      </c>
      <c r="B790" s="6" t="s">
        <v>2241</v>
      </c>
      <c r="C790" s="26" t="n">
        <v>46052</v>
      </c>
      <c r="D790" s="6" t="s">
        <v>5357</v>
      </c>
      <c r="E790" s="6" t="s">
        <v>23</v>
      </c>
      <c r="F790" s="6" t="n">
        <v>2</v>
      </c>
      <c r="G790" s="10" t="n">
        <v>534</v>
      </c>
      <c r="H790" s="10" t="n">
        <f aca="false">F790*G790</f>
        <v>1068</v>
      </c>
      <c r="I790" s="6" t="s">
        <v>5122</v>
      </c>
    </row>
    <row r="791" customFormat="false" ht="15" hidden="false" customHeight="false" outlineLevel="0" collapsed="false">
      <c r="A791" s="6" t="s">
        <v>6007</v>
      </c>
      <c r="B791" s="6" t="s">
        <v>2175</v>
      </c>
      <c r="C791" s="26" t="n">
        <v>46052</v>
      </c>
      <c r="D791" s="6" t="s">
        <v>5357</v>
      </c>
      <c r="E791" s="6" t="s">
        <v>23</v>
      </c>
      <c r="F791" s="6" t="n">
        <v>2</v>
      </c>
      <c r="G791" s="10" t="n">
        <v>481</v>
      </c>
      <c r="H791" s="10" t="n">
        <f aca="false">F791*G791</f>
        <v>962</v>
      </c>
      <c r="I791" s="6" t="s">
        <v>5122</v>
      </c>
    </row>
    <row r="792" customFormat="false" ht="15" hidden="false" customHeight="false" outlineLevel="0" collapsed="false">
      <c r="A792" s="6" t="s">
        <v>6008</v>
      </c>
      <c r="B792" s="6" t="s">
        <v>1811</v>
      </c>
      <c r="C792" s="26" t="n">
        <v>46052</v>
      </c>
      <c r="D792" s="6" t="s">
        <v>5135</v>
      </c>
      <c r="E792" s="6" t="s">
        <v>23</v>
      </c>
      <c r="F792" s="6" t="n">
        <v>4</v>
      </c>
      <c r="G792" s="10" t="n">
        <v>441</v>
      </c>
      <c r="H792" s="10" t="n">
        <f aca="false">F792*G792</f>
        <v>1764</v>
      </c>
      <c r="I792" s="6" t="s">
        <v>5122</v>
      </c>
    </row>
    <row r="793" customFormat="false" ht="15" hidden="false" customHeight="false" outlineLevel="0" collapsed="false">
      <c r="A793" s="6" t="s">
        <v>6009</v>
      </c>
      <c r="B793" s="6" t="s">
        <v>1731</v>
      </c>
      <c r="C793" s="26" t="n">
        <v>46052</v>
      </c>
      <c r="D793" s="6" t="s">
        <v>5152</v>
      </c>
      <c r="E793" s="6" t="s">
        <v>22</v>
      </c>
      <c r="F793" s="6" t="n">
        <v>2</v>
      </c>
      <c r="G793" s="10" t="n">
        <v>1672</v>
      </c>
      <c r="H793" s="10" t="n">
        <f aca="false">F793*G793</f>
        <v>3344</v>
      </c>
      <c r="I793" s="6" t="s">
        <v>5148</v>
      </c>
    </row>
    <row r="794" customFormat="false" ht="15" hidden="false" customHeight="false" outlineLevel="0" collapsed="false">
      <c r="A794" s="6" t="s">
        <v>6010</v>
      </c>
      <c r="B794" s="6" t="s">
        <v>459</v>
      </c>
      <c r="C794" s="26" t="n">
        <v>46052</v>
      </c>
      <c r="D794" s="6" t="s">
        <v>5216</v>
      </c>
      <c r="E794" s="6" t="s">
        <v>23</v>
      </c>
      <c r="F794" s="6" t="n">
        <v>4</v>
      </c>
      <c r="G794" s="10" t="n">
        <v>587</v>
      </c>
      <c r="H794" s="10" t="n">
        <f aca="false">F794*G794</f>
        <v>2348</v>
      </c>
      <c r="I794" s="6" t="s">
        <v>5133</v>
      </c>
    </row>
    <row r="795" customFormat="false" ht="15" hidden="false" customHeight="false" outlineLevel="0" collapsed="false">
      <c r="A795" s="6" t="s">
        <v>6011</v>
      </c>
      <c r="B795" s="6" t="s">
        <v>709</v>
      </c>
      <c r="C795" s="26" t="n">
        <v>46052</v>
      </c>
      <c r="D795" s="6" t="s">
        <v>5305</v>
      </c>
      <c r="E795" s="6" t="s">
        <v>20</v>
      </c>
      <c r="F795" s="6" t="n">
        <v>1</v>
      </c>
      <c r="G795" s="10" t="n">
        <v>1631</v>
      </c>
      <c r="H795" s="10" t="n">
        <f aca="false">F795*G795</f>
        <v>1631</v>
      </c>
      <c r="I795" s="6" t="s">
        <v>5122</v>
      </c>
    </row>
    <row r="796" customFormat="false" ht="15" hidden="false" customHeight="false" outlineLevel="0" collapsed="false">
      <c r="A796" s="6" t="s">
        <v>6012</v>
      </c>
      <c r="B796" s="6" t="s">
        <v>3067</v>
      </c>
      <c r="C796" s="26" t="n">
        <v>46052</v>
      </c>
      <c r="D796" s="6" t="s">
        <v>5316</v>
      </c>
      <c r="E796" s="6" t="s">
        <v>23</v>
      </c>
      <c r="F796" s="6" t="n">
        <v>2</v>
      </c>
      <c r="G796" s="10" t="n">
        <v>247</v>
      </c>
      <c r="H796" s="10" t="n">
        <f aca="false">F796*G796</f>
        <v>494</v>
      </c>
      <c r="I796" s="6" t="s">
        <v>5122</v>
      </c>
    </row>
    <row r="797" customFormat="false" ht="15" hidden="false" customHeight="false" outlineLevel="0" collapsed="false">
      <c r="A797" s="6" t="s">
        <v>6013</v>
      </c>
      <c r="B797" s="6" t="s">
        <v>3087</v>
      </c>
      <c r="C797" s="26" t="n">
        <v>46052</v>
      </c>
      <c r="D797" s="6" t="s">
        <v>5154</v>
      </c>
      <c r="E797" s="6" t="s">
        <v>21</v>
      </c>
      <c r="F797" s="6" t="n">
        <v>1</v>
      </c>
      <c r="G797" s="10" t="n">
        <v>746</v>
      </c>
      <c r="H797" s="10" t="n">
        <f aca="false">F797*G797</f>
        <v>746</v>
      </c>
      <c r="I797" s="6" t="s">
        <v>5173</v>
      </c>
    </row>
    <row r="798" customFormat="false" ht="15" hidden="false" customHeight="false" outlineLevel="0" collapsed="false">
      <c r="A798" s="6" t="s">
        <v>6014</v>
      </c>
      <c r="B798" s="6" t="s">
        <v>2925</v>
      </c>
      <c r="C798" s="26" t="n">
        <v>46052</v>
      </c>
      <c r="D798" s="6" t="s">
        <v>5269</v>
      </c>
      <c r="E798" s="6" t="s">
        <v>22</v>
      </c>
      <c r="F798" s="6" t="n">
        <v>1</v>
      </c>
      <c r="G798" s="10" t="n">
        <v>1271</v>
      </c>
      <c r="H798" s="10" t="n">
        <f aca="false">F798*G798</f>
        <v>1271</v>
      </c>
      <c r="I798" s="6" t="s">
        <v>5130</v>
      </c>
    </row>
    <row r="799" customFormat="false" ht="15" hidden="false" customHeight="false" outlineLevel="0" collapsed="false">
      <c r="A799" s="6" t="s">
        <v>6015</v>
      </c>
      <c r="B799" s="6" t="s">
        <v>1875</v>
      </c>
      <c r="C799" s="26" t="n">
        <v>46052</v>
      </c>
      <c r="D799" s="6" t="s">
        <v>5192</v>
      </c>
      <c r="E799" s="6" t="s">
        <v>20</v>
      </c>
      <c r="F799" s="6" t="n">
        <v>1</v>
      </c>
      <c r="G799" s="10" t="n">
        <v>4078</v>
      </c>
      <c r="H799" s="10" t="n">
        <f aca="false">F799*G799</f>
        <v>4078</v>
      </c>
      <c r="I799" s="6" t="s">
        <v>5130</v>
      </c>
    </row>
    <row r="800" customFormat="false" ht="15" hidden="false" customHeight="false" outlineLevel="0" collapsed="false">
      <c r="A800" s="6" t="s">
        <v>6016</v>
      </c>
      <c r="B800" s="6" t="s">
        <v>3523</v>
      </c>
      <c r="C800" s="26" t="n">
        <v>46052</v>
      </c>
      <c r="D800" s="6" t="s">
        <v>5171</v>
      </c>
      <c r="E800" s="6" t="s">
        <v>23</v>
      </c>
      <c r="F800" s="6" t="n">
        <v>5</v>
      </c>
      <c r="G800" s="10" t="n">
        <v>734</v>
      </c>
      <c r="H800" s="10" t="n">
        <f aca="false">F800*G800</f>
        <v>3670</v>
      </c>
      <c r="I800" s="6" t="s">
        <v>5148</v>
      </c>
    </row>
    <row r="801" customFormat="false" ht="15" hidden="false" customHeight="false" outlineLevel="0" collapsed="false">
      <c r="A801" s="6" t="s">
        <v>6017</v>
      </c>
      <c r="B801" s="6" t="s">
        <v>599</v>
      </c>
      <c r="C801" s="26" t="n">
        <v>46052</v>
      </c>
      <c r="D801" s="6" t="s">
        <v>5175</v>
      </c>
      <c r="E801" s="6" t="s">
        <v>24</v>
      </c>
      <c r="F801" s="6" t="n">
        <v>1</v>
      </c>
      <c r="G801" s="10" t="n">
        <v>611</v>
      </c>
      <c r="H801" s="10" t="n">
        <f aca="false">F801*G801</f>
        <v>611</v>
      </c>
      <c r="I801" s="6" t="s">
        <v>5148</v>
      </c>
    </row>
    <row r="802" customFormat="false" ht="15" hidden="false" customHeight="false" outlineLevel="0" collapsed="false">
      <c r="A802" s="6" t="s">
        <v>6018</v>
      </c>
      <c r="B802" s="6" t="s">
        <v>3541</v>
      </c>
      <c r="C802" s="26" t="n">
        <v>46052</v>
      </c>
      <c r="D802" s="6" t="s">
        <v>5163</v>
      </c>
      <c r="E802" s="6" t="s">
        <v>23</v>
      </c>
      <c r="F802" s="6" t="n">
        <v>3</v>
      </c>
      <c r="G802" s="10" t="n">
        <v>783</v>
      </c>
      <c r="H802" s="10" t="n">
        <f aca="false">F802*G802</f>
        <v>2349</v>
      </c>
      <c r="I802" s="6" t="s">
        <v>5148</v>
      </c>
    </row>
    <row r="803" customFormat="false" ht="15" hidden="false" customHeight="false" outlineLevel="0" collapsed="false">
      <c r="A803" s="6" t="s">
        <v>6019</v>
      </c>
      <c r="B803" s="6" t="s">
        <v>1487</v>
      </c>
      <c r="C803" s="26" t="n">
        <v>46052</v>
      </c>
      <c r="D803" s="6" t="s">
        <v>5163</v>
      </c>
      <c r="E803" s="6" t="s">
        <v>23</v>
      </c>
      <c r="F803" s="6" t="n">
        <v>5</v>
      </c>
      <c r="G803" s="10" t="n">
        <v>783</v>
      </c>
      <c r="H803" s="10" t="n">
        <f aca="false">F803*G803</f>
        <v>3915</v>
      </c>
      <c r="I803" s="6" t="s">
        <v>5133</v>
      </c>
    </row>
    <row r="804" customFormat="false" ht="15" hidden="false" customHeight="false" outlineLevel="0" collapsed="false">
      <c r="A804" s="6" t="s">
        <v>6020</v>
      </c>
      <c r="B804" s="6" t="s">
        <v>4117</v>
      </c>
      <c r="C804" s="26" t="n">
        <v>46052</v>
      </c>
      <c r="D804" s="6" t="s">
        <v>5357</v>
      </c>
      <c r="E804" s="6" t="s">
        <v>23</v>
      </c>
      <c r="F804" s="6" t="n">
        <v>1</v>
      </c>
      <c r="G804" s="10" t="n">
        <v>507</v>
      </c>
      <c r="H804" s="10" t="n">
        <f aca="false">F804*G804</f>
        <v>507</v>
      </c>
      <c r="I804" s="6" t="s">
        <v>5122</v>
      </c>
    </row>
    <row r="805" customFormat="false" ht="15" hidden="false" customHeight="false" outlineLevel="0" collapsed="false">
      <c r="A805" s="6" t="s">
        <v>6021</v>
      </c>
      <c r="B805" s="6" t="s">
        <v>3321</v>
      </c>
      <c r="C805" s="26" t="n">
        <v>46052</v>
      </c>
      <c r="D805" s="6" t="s">
        <v>5154</v>
      </c>
      <c r="E805" s="6" t="s">
        <v>21</v>
      </c>
      <c r="F805" s="6" t="n">
        <v>1</v>
      </c>
      <c r="G805" s="10" t="n">
        <v>785</v>
      </c>
      <c r="H805" s="10" t="n">
        <f aca="false">F805*G805</f>
        <v>785</v>
      </c>
      <c r="I805" s="6" t="s">
        <v>5122</v>
      </c>
    </row>
    <row r="806" customFormat="false" ht="15" hidden="false" customHeight="false" outlineLevel="0" collapsed="false">
      <c r="A806" s="6" t="s">
        <v>6022</v>
      </c>
      <c r="B806" s="6" t="s">
        <v>1655</v>
      </c>
      <c r="C806" s="26" t="n">
        <v>46052</v>
      </c>
      <c r="D806" s="6" t="s">
        <v>5687</v>
      </c>
      <c r="E806" s="6" t="s">
        <v>20</v>
      </c>
      <c r="F806" s="6" t="n">
        <v>3</v>
      </c>
      <c r="G806" s="10" t="n">
        <v>2039</v>
      </c>
      <c r="H806" s="10" t="n">
        <f aca="false">F806*G806</f>
        <v>6117</v>
      </c>
      <c r="I806" s="6" t="s">
        <v>5130</v>
      </c>
    </row>
    <row r="807" customFormat="false" ht="15" hidden="false" customHeight="false" outlineLevel="0" collapsed="false">
      <c r="A807" s="6" t="s">
        <v>6023</v>
      </c>
      <c r="B807" s="6" t="s">
        <v>4777</v>
      </c>
      <c r="C807" s="26" t="n">
        <v>46052</v>
      </c>
      <c r="D807" s="6" t="s">
        <v>5132</v>
      </c>
      <c r="E807" s="6" t="s">
        <v>23</v>
      </c>
      <c r="F807" s="6" t="n">
        <v>2</v>
      </c>
      <c r="G807" s="10" t="n">
        <v>342</v>
      </c>
      <c r="H807" s="10" t="n">
        <f aca="false">F807*G807</f>
        <v>684</v>
      </c>
      <c r="I807" s="6" t="s">
        <v>5122</v>
      </c>
    </row>
    <row r="808" customFormat="false" ht="15" hidden="false" customHeight="false" outlineLevel="0" collapsed="false">
      <c r="A808" s="6" t="s">
        <v>6024</v>
      </c>
      <c r="B808" s="6" t="s">
        <v>3891</v>
      </c>
      <c r="C808" s="26" t="n">
        <v>46052</v>
      </c>
      <c r="D808" s="6" t="s">
        <v>5135</v>
      </c>
      <c r="E808" s="6" t="s">
        <v>23</v>
      </c>
      <c r="F808" s="6" t="n">
        <v>2</v>
      </c>
      <c r="G808" s="10" t="n">
        <v>397</v>
      </c>
      <c r="H808" s="10" t="n">
        <f aca="false">F808*G808</f>
        <v>794</v>
      </c>
      <c r="I808" s="6" t="s">
        <v>5122</v>
      </c>
    </row>
    <row r="809" customFormat="false" ht="15" hidden="false" customHeight="false" outlineLevel="0" collapsed="false">
      <c r="A809" s="6" t="s">
        <v>6025</v>
      </c>
      <c r="B809" s="6" t="s">
        <v>3113</v>
      </c>
      <c r="C809" s="26" t="n">
        <v>46052</v>
      </c>
      <c r="D809" s="6" t="s">
        <v>5561</v>
      </c>
      <c r="E809" s="6" t="s">
        <v>20</v>
      </c>
      <c r="F809" s="6" t="n">
        <v>1</v>
      </c>
      <c r="G809" s="10" t="n">
        <v>3364</v>
      </c>
      <c r="H809" s="10" t="n">
        <f aca="false">F809*G809</f>
        <v>3364</v>
      </c>
      <c r="I809" s="6" t="s">
        <v>5122</v>
      </c>
    </row>
    <row r="810" customFormat="false" ht="15" hidden="false" customHeight="false" outlineLevel="0" collapsed="false">
      <c r="A810" s="6" t="s">
        <v>6026</v>
      </c>
      <c r="B810" s="6" t="s">
        <v>3219</v>
      </c>
      <c r="C810" s="26" t="n">
        <v>46052</v>
      </c>
      <c r="D810" s="6" t="s">
        <v>5837</v>
      </c>
      <c r="E810" s="6" t="s">
        <v>21</v>
      </c>
      <c r="F810" s="6" t="n">
        <v>1</v>
      </c>
      <c r="G810" s="10" t="n">
        <v>2653</v>
      </c>
      <c r="H810" s="10" t="n">
        <f aca="false">F810*G810</f>
        <v>2653</v>
      </c>
      <c r="I810" s="6" t="s">
        <v>5148</v>
      </c>
    </row>
    <row r="811" customFormat="false" ht="15" hidden="false" customHeight="false" outlineLevel="0" collapsed="false">
      <c r="A811" s="6" t="s">
        <v>6027</v>
      </c>
      <c r="B811" s="6" t="s">
        <v>3177</v>
      </c>
      <c r="C811" s="26" t="n">
        <v>46052</v>
      </c>
      <c r="D811" s="6" t="s">
        <v>5143</v>
      </c>
      <c r="E811" s="6" t="s">
        <v>21</v>
      </c>
      <c r="F811" s="6" t="n">
        <v>1</v>
      </c>
      <c r="G811" s="10" t="n">
        <v>1179</v>
      </c>
      <c r="H811" s="10" t="n">
        <f aca="false">F811*G811</f>
        <v>1179</v>
      </c>
      <c r="I811" s="6" t="s">
        <v>5122</v>
      </c>
    </row>
    <row r="812" customFormat="false" ht="15" hidden="false" customHeight="false" outlineLevel="0" collapsed="false">
      <c r="A812" s="6" t="s">
        <v>6028</v>
      </c>
      <c r="B812" s="6" t="s">
        <v>3789</v>
      </c>
      <c r="C812" s="26" t="n">
        <v>46053</v>
      </c>
      <c r="D812" s="6" t="s">
        <v>5259</v>
      </c>
      <c r="E812" s="6" t="s">
        <v>22</v>
      </c>
      <c r="F812" s="6" t="n">
        <v>1</v>
      </c>
      <c r="G812" s="10" t="n">
        <v>1564</v>
      </c>
      <c r="H812" s="10" t="n">
        <f aca="false">F812*G812</f>
        <v>1564</v>
      </c>
      <c r="I812" s="6" t="s">
        <v>5130</v>
      </c>
    </row>
    <row r="813" customFormat="false" ht="15" hidden="false" customHeight="false" outlineLevel="0" collapsed="false">
      <c r="A813" s="6" t="s">
        <v>6029</v>
      </c>
      <c r="B813" s="6" t="s">
        <v>1993</v>
      </c>
      <c r="C813" s="26" t="n">
        <v>46053</v>
      </c>
      <c r="D813" s="6" t="s">
        <v>5214</v>
      </c>
      <c r="E813" s="6" t="s">
        <v>20</v>
      </c>
      <c r="F813" s="6" t="n">
        <v>1</v>
      </c>
      <c r="G813" s="10" t="n">
        <v>2038</v>
      </c>
      <c r="H813" s="10" t="n">
        <f aca="false">F813*G813</f>
        <v>2038</v>
      </c>
      <c r="I813" s="6" t="s">
        <v>5173</v>
      </c>
    </row>
    <row r="814" customFormat="false" ht="15" hidden="false" customHeight="false" outlineLevel="0" collapsed="false">
      <c r="A814" s="6" t="s">
        <v>6030</v>
      </c>
      <c r="B814" s="6" t="s">
        <v>1481</v>
      </c>
      <c r="C814" s="26" t="n">
        <v>46053</v>
      </c>
      <c r="D814" s="6" t="s">
        <v>5167</v>
      </c>
      <c r="E814" s="6" t="s">
        <v>22</v>
      </c>
      <c r="F814" s="6" t="n">
        <v>1</v>
      </c>
      <c r="G814" s="10" t="n">
        <v>743</v>
      </c>
      <c r="H814" s="10" t="n">
        <f aca="false">F814*G814</f>
        <v>743</v>
      </c>
      <c r="I814" s="6" t="s">
        <v>5122</v>
      </c>
    </row>
    <row r="815" customFormat="false" ht="15" hidden="false" customHeight="false" outlineLevel="0" collapsed="false">
      <c r="A815" s="6" t="s">
        <v>6031</v>
      </c>
      <c r="B815" s="6" t="s">
        <v>2743</v>
      </c>
      <c r="C815" s="26" t="n">
        <v>46053</v>
      </c>
      <c r="D815" s="6" t="s">
        <v>5458</v>
      </c>
      <c r="E815" s="6" t="s">
        <v>24</v>
      </c>
      <c r="F815" s="6" t="n">
        <v>1</v>
      </c>
      <c r="G815" s="10" t="n">
        <v>531</v>
      </c>
      <c r="H815" s="10" t="n">
        <f aca="false">F815*G815</f>
        <v>531</v>
      </c>
      <c r="I815" s="6" t="s">
        <v>5130</v>
      </c>
    </row>
    <row r="816" customFormat="false" ht="15" hidden="false" customHeight="false" outlineLevel="0" collapsed="false">
      <c r="A816" s="6" t="s">
        <v>6032</v>
      </c>
      <c r="B816" s="6" t="s">
        <v>1113</v>
      </c>
      <c r="C816" s="26" t="n">
        <v>46053</v>
      </c>
      <c r="D816" s="6" t="s">
        <v>5132</v>
      </c>
      <c r="E816" s="6" t="s">
        <v>23</v>
      </c>
      <c r="F816" s="6" t="n">
        <v>4</v>
      </c>
      <c r="G816" s="10" t="n">
        <v>325</v>
      </c>
      <c r="H816" s="10" t="n">
        <f aca="false">F816*G816</f>
        <v>1300</v>
      </c>
      <c r="I816" s="6" t="s">
        <v>5133</v>
      </c>
    </row>
    <row r="817" customFormat="false" ht="15" hidden="false" customHeight="false" outlineLevel="0" collapsed="false">
      <c r="A817" s="6" t="s">
        <v>6033</v>
      </c>
      <c r="B817" s="6" t="s">
        <v>1793</v>
      </c>
      <c r="C817" s="26" t="n">
        <v>46053</v>
      </c>
      <c r="D817" s="6" t="s">
        <v>5163</v>
      </c>
      <c r="E817" s="6" t="s">
        <v>23</v>
      </c>
      <c r="F817" s="6" t="n">
        <v>5</v>
      </c>
      <c r="G817" s="10" t="n">
        <v>783</v>
      </c>
      <c r="H817" s="10" t="n">
        <f aca="false">F817*G817</f>
        <v>3915</v>
      </c>
      <c r="I817" s="6" t="s">
        <v>5130</v>
      </c>
    </row>
    <row r="818" customFormat="false" ht="15" hidden="false" customHeight="false" outlineLevel="0" collapsed="false">
      <c r="A818" s="6" t="s">
        <v>6034</v>
      </c>
      <c r="B818" s="6" t="s">
        <v>2037</v>
      </c>
      <c r="C818" s="26" t="n">
        <v>46053</v>
      </c>
      <c r="D818" s="6" t="s">
        <v>5318</v>
      </c>
      <c r="E818" s="6" t="s">
        <v>20</v>
      </c>
      <c r="F818" s="6" t="n">
        <v>1</v>
      </c>
      <c r="G818" s="10" t="n">
        <v>1529</v>
      </c>
      <c r="H818" s="10" t="n">
        <f aca="false">F818*G818</f>
        <v>1529</v>
      </c>
      <c r="I818" s="6" t="s">
        <v>5130</v>
      </c>
    </row>
    <row r="819" customFormat="false" ht="15" hidden="false" customHeight="false" outlineLevel="0" collapsed="false">
      <c r="A819" s="6" t="s">
        <v>6035</v>
      </c>
      <c r="B819" s="6" t="s">
        <v>4809</v>
      </c>
      <c r="C819" s="26" t="n">
        <v>46053</v>
      </c>
      <c r="D819" s="6" t="s">
        <v>5171</v>
      </c>
      <c r="E819" s="6" t="s">
        <v>23</v>
      </c>
      <c r="F819" s="6" t="n">
        <v>4</v>
      </c>
      <c r="G819" s="10" t="n">
        <v>734</v>
      </c>
      <c r="H819" s="10" t="n">
        <f aca="false">F819*G819</f>
        <v>2936</v>
      </c>
      <c r="I819" s="6" t="s">
        <v>5125</v>
      </c>
    </row>
    <row r="820" customFormat="false" ht="15" hidden="false" customHeight="false" outlineLevel="0" collapsed="false">
      <c r="A820" s="6" t="s">
        <v>6036</v>
      </c>
      <c r="B820" s="6" t="s">
        <v>3317</v>
      </c>
      <c r="C820" s="26" t="n">
        <v>46053</v>
      </c>
      <c r="D820" s="6" t="s">
        <v>5423</v>
      </c>
      <c r="E820" s="6" t="s">
        <v>21</v>
      </c>
      <c r="F820" s="6" t="n">
        <v>2</v>
      </c>
      <c r="G820" s="10" t="n">
        <v>3243</v>
      </c>
      <c r="H820" s="10" t="n">
        <f aca="false">F820*G820</f>
        <v>6486</v>
      </c>
      <c r="I820" s="6" t="s">
        <v>5148</v>
      </c>
    </row>
    <row r="821" customFormat="false" ht="15" hidden="false" customHeight="false" outlineLevel="0" collapsed="false">
      <c r="A821" s="6" t="s">
        <v>6037</v>
      </c>
      <c r="B821" s="6" t="s">
        <v>2115</v>
      </c>
      <c r="C821" s="26" t="n">
        <v>46053</v>
      </c>
      <c r="D821" s="6" t="s">
        <v>5147</v>
      </c>
      <c r="E821" s="6" t="s">
        <v>24</v>
      </c>
      <c r="F821" s="6" t="n">
        <v>1</v>
      </c>
      <c r="G821" s="10" t="n">
        <v>628</v>
      </c>
      <c r="H821" s="10" t="n">
        <f aca="false">F821*G821</f>
        <v>628</v>
      </c>
      <c r="I821" s="6" t="s">
        <v>5125</v>
      </c>
    </row>
    <row r="822" customFormat="false" ht="15" hidden="false" customHeight="false" outlineLevel="0" collapsed="false">
      <c r="A822" s="6" t="s">
        <v>6038</v>
      </c>
      <c r="B822" s="6" t="s">
        <v>3859</v>
      </c>
      <c r="C822" s="26" t="n">
        <v>46053</v>
      </c>
      <c r="D822" s="6" t="s">
        <v>5207</v>
      </c>
      <c r="E822" s="6" t="s">
        <v>20</v>
      </c>
      <c r="F822" s="6" t="n">
        <v>1</v>
      </c>
      <c r="G822" s="10" t="n">
        <v>1325</v>
      </c>
      <c r="H822" s="10" t="n">
        <f aca="false">F822*G822</f>
        <v>1325</v>
      </c>
      <c r="I822" s="6" t="s">
        <v>5122</v>
      </c>
    </row>
    <row r="823" customFormat="false" ht="15" hidden="false" customHeight="false" outlineLevel="0" collapsed="false">
      <c r="A823" s="6" t="s">
        <v>6039</v>
      </c>
      <c r="B823" s="6" t="s">
        <v>4817</v>
      </c>
      <c r="C823" s="26" t="n">
        <v>46053</v>
      </c>
      <c r="D823" s="6" t="s">
        <v>5171</v>
      </c>
      <c r="E823" s="6" t="s">
        <v>23</v>
      </c>
      <c r="F823" s="6" t="n">
        <v>3</v>
      </c>
      <c r="G823" s="10" t="n">
        <v>734</v>
      </c>
      <c r="H823" s="10" t="n">
        <f aca="false">F823*G823</f>
        <v>2202</v>
      </c>
      <c r="I823" s="6" t="s">
        <v>5173</v>
      </c>
    </row>
    <row r="824" customFormat="false" ht="15" hidden="false" customHeight="false" outlineLevel="0" collapsed="false">
      <c r="A824" s="6" t="s">
        <v>6040</v>
      </c>
      <c r="B824" s="6" t="s">
        <v>136</v>
      </c>
      <c r="C824" s="26" t="n">
        <v>46053</v>
      </c>
      <c r="D824" s="6" t="s">
        <v>5167</v>
      </c>
      <c r="E824" s="6" t="s">
        <v>22</v>
      </c>
      <c r="F824" s="6" t="n">
        <v>1</v>
      </c>
      <c r="G824" s="10" t="n">
        <v>743</v>
      </c>
      <c r="H824" s="10" t="n">
        <f aca="false">F824*G824</f>
        <v>743</v>
      </c>
      <c r="I824" s="6" t="s">
        <v>5122</v>
      </c>
    </row>
    <row r="825" customFormat="false" ht="15" hidden="false" customHeight="false" outlineLevel="0" collapsed="false">
      <c r="A825" s="6" t="s">
        <v>6041</v>
      </c>
      <c r="B825" s="6" t="s">
        <v>479</v>
      </c>
      <c r="C825" s="26" t="n">
        <v>46053</v>
      </c>
      <c r="D825" s="6" t="s">
        <v>5216</v>
      </c>
      <c r="E825" s="6" t="s">
        <v>23</v>
      </c>
      <c r="F825" s="6" t="n">
        <v>1</v>
      </c>
      <c r="G825" s="10" t="n">
        <v>586</v>
      </c>
      <c r="H825" s="10" t="n">
        <f aca="false">F825*G825</f>
        <v>586</v>
      </c>
      <c r="I825" s="6" t="s">
        <v>5125</v>
      </c>
    </row>
    <row r="826" customFormat="false" ht="15" hidden="false" customHeight="false" outlineLevel="0" collapsed="false">
      <c r="A826" s="6" t="s">
        <v>6042</v>
      </c>
      <c r="B826" s="6" t="s">
        <v>2023</v>
      </c>
      <c r="C826" s="26" t="n">
        <v>46053</v>
      </c>
      <c r="D826" s="6" t="s">
        <v>5171</v>
      </c>
      <c r="E826" s="6" t="s">
        <v>23</v>
      </c>
      <c r="F826" s="6" t="n">
        <v>3</v>
      </c>
      <c r="G826" s="10" t="n">
        <v>734</v>
      </c>
      <c r="H826" s="10" t="n">
        <f aca="false">F826*G826</f>
        <v>2202</v>
      </c>
      <c r="I826" s="6" t="s">
        <v>5130</v>
      </c>
    </row>
    <row r="827" customFormat="false" ht="15" hidden="false" customHeight="false" outlineLevel="0" collapsed="false">
      <c r="A827" s="6" t="s">
        <v>6043</v>
      </c>
      <c r="B827" s="6" t="s">
        <v>3055</v>
      </c>
      <c r="C827" s="26" t="n">
        <v>46053</v>
      </c>
      <c r="D827" s="6" t="s">
        <v>5488</v>
      </c>
      <c r="E827" s="6" t="s">
        <v>24</v>
      </c>
      <c r="F827" s="6" t="n">
        <v>1</v>
      </c>
      <c r="G827" s="10" t="n">
        <v>866</v>
      </c>
      <c r="H827" s="10" t="n">
        <f aca="false">F827*G827</f>
        <v>866</v>
      </c>
      <c r="I827" s="6" t="s">
        <v>5122</v>
      </c>
    </row>
    <row r="828" customFormat="false" ht="15" hidden="false" customHeight="false" outlineLevel="0" collapsed="false">
      <c r="A828" s="6" t="s">
        <v>6044</v>
      </c>
      <c r="B828" s="6" t="s">
        <v>4221</v>
      </c>
      <c r="C828" s="26" t="n">
        <v>46053</v>
      </c>
      <c r="D828" s="6" t="s">
        <v>5488</v>
      </c>
      <c r="E828" s="6" t="s">
        <v>24</v>
      </c>
      <c r="F828" s="6" t="n">
        <v>1</v>
      </c>
      <c r="G828" s="10" t="n">
        <v>780</v>
      </c>
      <c r="H828" s="10" t="n">
        <f aca="false">F828*G828</f>
        <v>780</v>
      </c>
      <c r="I828" s="6" t="s">
        <v>5122</v>
      </c>
    </row>
    <row r="829" customFormat="false" ht="15" hidden="false" customHeight="false" outlineLevel="0" collapsed="false">
      <c r="A829" s="6" t="s">
        <v>6045</v>
      </c>
      <c r="B829" s="6" t="s">
        <v>1723</v>
      </c>
      <c r="C829" s="26" t="n">
        <v>46053</v>
      </c>
      <c r="D829" s="6" t="s">
        <v>6046</v>
      </c>
      <c r="E829" s="6" t="s">
        <v>22</v>
      </c>
      <c r="F829" s="6" t="n">
        <v>1</v>
      </c>
      <c r="G829" s="10" t="n">
        <v>4401</v>
      </c>
      <c r="H829" s="10" t="n">
        <f aca="false">F829*G829</f>
        <v>4401</v>
      </c>
      <c r="I829" s="6" t="s">
        <v>5148</v>
      </c>
    </row>
    <row r="830" customFormat="false" ht="15" hidden="false" customHeight="false" outlineLevel="0" collapsed="false">
      <c r="A830" s="6" t="s">
        <v>6047</v>
      </c>
      <c r="B830" s="6" t="s">
        <v>2509</v>
      </c>
      <c r="C830" s="26" t="n">
        <v>46053</v>
      </c>
      <c r="D830" s="6" t="s">
        <v>5316</v>
      </c>
      <c r="E830" s="6" t="s">
        <v>23</v>
      </c>
      <c r="F830" s="6" t="n">
        <v>3</v>
      </c>
      <c r="G830" s="10" t="n">
        <v>260</v>
      </c>
      <c r="H830" s="10" t="n">
        <f aca="false">F830*G830</f>
        <v>780</v>
      </c>
      <c r="I830" s="6" t="s">
        <v>5122</v>
      </c>
    </row>
    <row r="831" customFormat="false" ht="15" hidden="false" customHeight="false" outlineLevel="0" collapsed="false">
      <c r="A831" s="6" t="s">
        <v>6048</v>
      </c>
      <c r="B831" s="6" t="s">
        <v>3225</v>
      </c>
      <c r="C831" s="26" t="n">
        <v>46053</v>
      </c>
      <c r="D831" s="6" t="s">
        <v>5163</v>
      </c>
      <c r="E831" s="6" t="s">
        <v>23</v>
      </c>
      <c r="F831" s="6" t="n">
        <v>3</v>
      </c>
      <c r="G831" s="10" t="n">
        <v>783</v>
      </c>
      <c r="H831" s="10" t="n">
        <f aca="false">F831*G831</f>
        <v>2349</v>
      </c>
      <c r="I831" s="6" t="s">
        <v>5122</v>
      </c>
    </row>
    <row r="832" customFormat="false" ht="15" hidden="false" customHeight="false" outlineLevel="0" collapsed="false">
      <c r="A832" s="6" t="s">
        <v>6049</v>
      </c>
      <c r="B832" s="6" t="s">
        <v>3247</v>
      </c>
      <c r="C832" s="26" t="n">
        <v>46053</v>
      </c>
      <c r="D832" s="6" t="s">
        <v>5169</v>
      </c>
      <c r="E832" s="6" t="s">
        <v>20</v>
      </c>
      <c r="F832" s="6" t="n">
        <v>1</v>
      </c>
      <c r="G832" s="10" t="n">
        <v>5098</v>
      </c>
      <c r="H832" s="10" t="n">
        <f aca="false">F832*G832</f>
        <v>5098</v>
      </c>
      <c r="I832" s="6" t="s">
        <v>5133</v>
      </c>
    </row>
    <row r="833" customFormat="false" ht="15" hidden="false" customHeight="false" outlineLevel="0" collapsed="false">
      <c r="A833" s="6" t="s">
        <v>6050</v>
      </c>
      <c r="B833" s="6" t="s">
        <v>2559</v>
      </c>
      <c r="C833" s="26" t="n">
        <v>46053</v>
      </c>
      <c r="D833" s="6" t="s">
        <v>5482</v>
      </c>
      <c r="E833" s="6" t="s">
        <v>23</v>
      </c>
      <c r="F833" s="6" t="n">
        <v>1</v>
      </c>
      <c r="G833" s="10" t="n">
        <v>242</v>
      </c>
      <c r="H833" s="10" t="n">
        <f aca="false">F833*G833</f>
        <v>242</v>
      </c>
      <c r="I833" s="6" t="s">
        <v>5148</v>
      </c>
    </row>
    <row r="834" customFormat="false" ht="15" hidden="false" customHeight="false" outlineLevel="0" collapsed="false">
      <c r="A834" s="6" t="s">
        <v>6051</v>
      </c>
      <c r="B834" s="6" t="s">
        <v>3367</v>
      </c>
      <c r="C834" s="26" t="n">
        <v>46053</v>
      </c>
      <c r="D834" s="6" t="s">
        <v>5245</v>
      </c>
      <c r="E834" s="6" t="s">
        <v>21</v>
      </c>
      <c r="F834" s="6" t="n">
        <v>1</v>
      </c>
      <c r="G834" s="10" t="n">
        <v>2456</v>
      </c>
      <c r="H834" s="10" t="n">
        <f aca="false">F834*G834</f>
        <v>2456</v>
      </c>
      <c r="I834" s="6" t="s">
        <v>5130</v>
      </c>
    </row>
    <row r="835" customFormat="false" ht="15" hidden="false" customHeight="false" outlineLevel="0" collapsed="false">
      <c r="A835" s="6" t="s">
        <v>6052</v>
      </c>
      <c r="B835" s="6" t="s">
        <v>4165</v>
      </c>
      <c r="C835" s="26" t="n">
        <v>46053</v>
      </c>
      <c r="D835" s="6" t="s">
        <v>5167</v>
      </c>
      <c r="E835" s="6" t="s">
        <v>22</v>
      </c>
      <c r="F835" s="6" t="n">
        <v>2</v>
      </c>
      <c r="G835" s="10" t="n">
        <v>743</v>
      </c>
      <c r="H835" s="10" t="n">
        <f aca="false">F835*G835</f>
        <v>1486</v>
      </c>
      <c r="I835" s="6" t="s">
        <v>5122</v>
      </c>
    </row>
    <row r="836" customFormat="false" ht="15" hidden="false" customHeight="false" outlineLevel="0" collapsed="false">
      <c r="A836" s="6" t="s">
        <v>6053</v>
      </c>
      <c r="B836" s="6" t="s">
        <v>433</v>
      </c>
      <c r="C836" s="26" t="n">
        <v>46053</v>
      </c>
      <c r="D836" s="6" t="s">
        <v>5167</v>
      </c>
      <c r="E836" s="6" t="s">
        <v>22</v>
      </c>
      <c r="F836" s="6" t="n">
        <v>2</v>
      </c>
      <c r="G836" s="10" t="n">
        <v>782</v>
      </c>
      <c r="H836" s="10" t="n">
        <f aca="false">F836*G836</f>
        <v>1564</v>
      </c>
      <c r="I836" s="6" t="s">
        <v>5130</v>
      </c>
    </row>
    <row r="837" customFormat="false" ht="15" hidden="false" customHeight="false" outlineLevel="0" collapsed="false">
      <c r="A837" s="6" t="s">
        <v>6054</v>
      </c>
      <c r="B837" s="6" t="s">
        <v>1447</v>
      </c>
      <c r="C837" s="26" t="n">
        <v>46053</v>
      </c>
      <c r="D837" s="6" t="s">
        <v>5235</v>
      </c>
      <c r="E837" s="6" t="s">
        <v>21</v>
      </c>
      <c r="F837" s="6" t="n">
        <v>1</v>
      </c>
      <c r="G837" s="10" t="n">
        <v>1503</v>
      </c>
      <c r="H837" s="10" t="n">
        <f aca="false">F837*G837</f>
        <v>1503</v>
      </c>
      <c r="I837" s="6" t="s">
        <v>5148</v>
      </c>
    </row>
    <row r="838" customFormat="false" ht="15" hidden="false" customHeight="false" outlineLevel="0" collapsed="false">
      <c r="A838" s="6" t="s">
        <v>6055</v>
      </c>
      <c r="B838" s="6" t="s">
        <v>4085</v>
      </c>
      <c r="C838" s="26" t="n">
        <v>46053</v>
      </c>
      <c r="D838" s="6" t="s">
        <v>5259</v>
      </c>
      <c r="E838" s="6" t="s">
        <v>22</v>
      </c>
      <c r="F838" s="6" t="n">
        <v>1</v>
      </c>
      <c r="G838" s="10" t="n">
        <v>1564</v>
      </c>
      <c r="H838" s="10" t="n">
        <f aca="false">F838*G838</f>
        <v>1564</v>
      </c>
      <c r="I838" s="6" t="s">
        <v>5122</v>
      </c>
    </row>
    <row r="839" customFormat="false" ht="15" hidden="false" customHeight="false" outlineLevel="0" collapsed="false">
      <c r="A839" s="6" t="s">
        <v>6056</v>
      </c>
      <c r="B839" s="6" t="s">
        <v>529</v>
      </c>
      <c r="C839" s="26" t="n">
        <v>46053</v>
      </c>
      <c r="D839" s="6" t="s">
        <v>5316</v>
      </c>
      <c r="E839" s="6" t="s">
        <v>23</v>
      </c>
      <c r="F839" s="6" t="n">
        <v>1</v>
      </c>
      <c r="G839" s="10" t="n">
        <v>246</v>
      </c>
      <c r="H839" s="10" t="n">
        <f aca="false">F839*G839</f>
        <v>246</v>
      </c>
      <c r="I839" s="6" t="s">
        <v>5122</v>
      </c>
    </row>
    <row r="840" customFormat="false" ht="15" hidden="false" customHeight="false" outlineLevel="0" collapsed="false">
      <c r="A840" s="6" t="s">
        <v>6057</v>
      </c>
      <c r="B840" s="6" t="s">
        <v>563</v>
      </c>
      <c r="C840" s="26" t="n">
        <v>46053</v>
      </c>
      <c r="D840" s="6" t="s">
        <v>5167</v>
      </c>
      <c r="E840" s="6" t="s">
        <v>22</v>
      </c>
      <c r="F840" s="6" t="n">
        <v>2</v>
      </c>
      <c r="G840" s="10" t="n">
        <v>782</v>
      </c>
      <c r="H840" s="10" t="n">
        <f aca="false">F840*G840</f>
        <v>1564</v>
      </c>
      <c r="I840" s="6" t="s">
        <v>5122</v>
      </c>
    </row>
    <row r="841" customFormat="false" ht="15" hidden="false" customHeight="false" outlineLevel="0" collapsed="false">
      <c r="A841" s="6" t="s">
        <v>6058</v>
      </c>
      <c r="B841" s="6" t="s">
        <v>1833</v>
      </c>
      <c r="C841" s="26" t="n">
        <v>46053</v>
      </c>
      <c r="D841" s="6" t="s">
        <v>5456</v>
      </c>
      <c r="E841" s="6" t="s">
        <v>24</v>
      </c>
      <c r="F841" s="6" t="n">
        <v>3</v>
      </c>
      <c r="G841" s="10" t="n">
        <v>866</v>
      </c>
      <c r="H841" s="10" t="n">
        <f aca="false">F841*G841</f>
        <v>2598</v>
      </c>
      <c r="I841" s="6" t="s">
        <v>5122</v>
      </c>
    </row>
    <row r="842" customFormat="false" ht="15" hidden="false" customHeight="false" outlineLevel="0" collapsed="false">
      <c r="A842" s="6" t="s">
        <v>6059</v>
      </c>
      <c r="B842" s="6" t="s">
        <v>1621</v>
      </c>
      <c r="C842" s="26" t="n">
        <v>46053</v>
      </c>
      <c r="D842" s="6" t="s">
        <v>5165</v>
      </c>
      <c r="E842" s="6" t="s">
        <v>22</v>
      </c>
      <c r="F842" s="6" t="n">
        <v>1</v>
      </c>
      <c r="G842" s="10" t="n">
        <v>977</v>
      </c>
      <c r="H842" s="10" t="n">
        <f aca="false">F842*G842</f>
        <v>977</v>
      </c>
      <c r="I842" s="6" t="s">
        <v>5148</v>
      </c>
    </row>
    <row r="843" customFormat="false" ht="15" hidden="false" customHeight="false" outlineLevel="0" collapsed="false">
      <c r="A843" s="6" t="s">
        <v>6060</v>
      </c>
      <c r="B843" s="6" t="s">
        <v>1483</v>
      </c>
      <c r="C843" s="26" t="n">
        <v>46053</v>
      </c>
      <c r="D843" s="6" t="s">
        <v>5235</v>
      </c>
      <c r="E843" s="6" t="s">
        <v>21</v>
      </c>
      <c r="F843" s="6" t="n">
        <v>1</v>
      </c>
      <c r="G843" s="10" t="n">
        <v>1670</v>
      </c>
      <c r="H843" s="10" t="n">
        <f aca="false">F843*G843</f>
        <v>1670</v>
      </c>
      <c r="I843" s="6" t="s">
        <v>5122</v>
      </c>
    </row>
    <row r="844" customFormat="false" ht="15" hidden="false" customHeight="false" outlineLevel="0" collapsed="false">
      <c r="A844" s="6" t="s">
        <v>6061</v>
      </c>
      <c r="B844" s="6" t="s">
        <v>1577</v>
      </c>
      <c r="C844" s="26" t="n">
        <v>46053</v>
      </c>
      <c r="D844" s="6" t="s">
        <v>5167</v>
      </c>
      <c r="E844" s="6" t="s">
        <v>22</v>
      </c>
      <c r="F844" s="6" t="n">
        <v>1</v>
      </c>
      <c r="G844" s="10" t="n">
        <v>743</v>
      </c>
      <c r="H844" s="10" t="n">
        <f aca="false">F844*G844</f>
        <v>743</v>
      </c>
      <c r="I844" s="6" t="s">
        <v>5130</v>
      </c>
    </row>
    <row r="845" customFormat="false" ht="15" hidden="false" customHeight="false" outlineLevel="0" collapsed="false">
      <c r="A845" s="6" t="s">
        <v>6062</v>
      </c>
      <c r="B845" s="6" t="s">
        <v>1935</v>
      </c>
      <c r="C845" s="26" t="n">
        <v>46053</v>
      </c>
      <c r="D845" s="6" t="s">
        <v>5242</v>
      </c>
      <c r="E845" s="6" t="s">
        <v>23</v>
      </c>
      <c r="F845" s="6" t="n">
        <v>2</v>
      </c>
      <c r="G845" s="10" t="n">
        <v>372</v>
      </c>
      <c r="H845" s="10" t="n">
        <f aca="false">F845*G845</f>
        <v>744</v>
      </c>
      <c r="I845" s="6" t="s">
        <v>5122</v>
      </c>
    </row>
    <row r="846" customFormat="false" ht="15" hidden="false" customHeight="false" outlineLevel="0" collapsed="false">
      <c r="A846" s="6" t="s">
        <v>6063</v>
      </c>
      <c r="B846" s="6" t="s">
        <v>2735</v>
      </c>
      <c r="C846" s="26" t="n">
        <v>46053</v>
      </c>
      <c r="D846" s="6" t="s">
        <v>5165</v>
      </c>
      <c r="E846" s="6" t="s">
        <v>22</v>
      </c>
      <c r="F846" s="6" t="n">
        <v>1</v>
      </c>
      <c r="G846" s="10" t="n">
        <v>977</v>
      </c>
      <c r="H846" s="10" t="n">
        <f aca="false">F846*G846</f>
        <v>977</v>
      </c>
      <c r="I846" s="6" t="s">
        <v>5148</v>
      </c>
    </row>
    <row r="847" customFormat="false" ht="15" hidden="false" customHeight="false" outlineLevel="0" collapsed="false">
      <c r="A847" s="6" t="s">
        <v>6064</v>
      </c>
      <c r="B847" s="6" t="s">
        <v>374</v>
      </c>
      <c r="C847" s="26" t="n">
        <v>46053</v>
      </c>
      <c r="D847" s="6" t="s">
        <v>5167</v>
      </c>
      <c r="E847" s="6" t="s">
        <v>22</v>
      </c>
      <c r="F847" s="6" t="n">
        <v>1</v>
      </c>
      <c r="G847" s="10" t="n">
        <v>703</v>
      </c>
      <c r="H847" s="10" t="n">
        <f aca="false">F847*G847</f>
        <v>703</v>
      </c>
      <c r="I847" s="6" t="s">
        <v>5130</v>
      </c>
    </row>
    <row r="848" customFormat="false" ht="15" hidden="false" customHeight="false" outlineLevel="0" collapsed="false">
      <c r="A848" s="6" t="s">
        <v>6065</v>
      </c>
      <c r="B848" s="6" t="s">
        <v>4775</v>
      </c>
      <c r="C848" s="26" t="n">
        <v>46054</v>
      </c>
      <c r="D848" s="6" t="s">
        <v>5339</v>
      </c>
      <c r="E848" s="6" t="s">
        <v>24</v>
      </c>
      <c r="F848" s="6" t="n">
        <v>2</v>
      </c>
      <c r="G848" s="10" t="n">
        <v>508</v>
      </c>
      <c r="H848" s="10" t="n">
        <f aca="false">F848*G848</f>
        <v>1016</v>
      </c>
      <c r="I848" s="6" t="s">
        <v>5148</v>
      </c>
    </row>
    <row r="849" customFormat="false" ht="15" hidden="false" customHeight="false" outlineLevel="0" collapsed="false">
      <c r="A849" s="6" t="s">
        <v>6066</v>
      </c>
      <c r="B849" s="6" t="s">
        <v>1017</v>
      </c>
      <c r="C849" s="26" t="n">
        <v>46054</v>
      </c>
      <c r="D849" s="6" t="s">
        <v>5180</v>
      </c>
      <c r="E849" s="6" t="s">
        <v>24</v>
      </c>
      <c r="F849" s="6" t="n">
        <v>2</v>
      </c>
      <c r="G849" s="10" t="n">
        <v>1788</v>
      </c>
      <c r="H849" s="10" t="n">
        <f aca="false">F849*G849</f>
        <v>3576</v>
      </c>
      <c r="I849" s="6" t="s">
        <v>5125</v>
      </c>
    </row>
    <row r="850" customFormat="false" ht="15" hidden="false" customHeight="false" outlineLevel="0" collapsed="false">
      <c r="A850" s="6" t="s">
        <v>6067</v>
      </c>
      <c r="B850" s="6" t="s">
        <v>1513</v>
      </c>
      <c r="C850" s="26" t="n">
        <v>46054</v>
      </c>
      <c r="D850" s="6" t="s">
        <v>5687</v>
      </c>
      <c r="E850" s="6" t="s">
        <v>20</v>
      </c>
      <c r="F850" s="6" t="n">
        <v>1</v>
      </c>
      <c r="G850" s="10" t="n">
        <v>1937</v>
      </c>
      <c r="H850" s="10" t="n">
        <f aca="false">F850*G850</f>
        <v>1937</v>
      </c>
      <c r="I850" s="6" t="s">
        <v>5148</v>
      </c>
    </row>
    <row r="851" customFormat="false" ht="15" hidden="false" customHeight="false" outlineLevel="0" collapsed="false">
      <c r="A851" s="6" t="s">
        <v>6068</v>
      </c>
      <c r="B851" s="6" t="s">
        <v>200</v>
      </c>
      <c r="C851" s="26" t="n">
        <v>46054</v>
      </c>
      <c r="D851" s="6" t="s">
        <v>5156</v>
      </c>
      <c r="E851" s="6" t="s">
        <v>21</v>
      </c>
      <c r="F851" s="6" t="n">
        <v>2</v>
      </c>
      <c r="G851" s="10" t="n">
        <v>2161</v>
      </c>
      <c r="H851" s="10" t="n">
        <f aca="false">F851*G851</f>
        <v>4322</v>
      </c>
      <c r="I851" s="6" t="s">
        <v>5122</v>
      </c>
    </row>
    <row r="852" customFormat="false" ht="15" hidden="false" customHeight="false" outlineLevel="0" collapsed="false">
      <c r="A852" s="6" t="s">
        <v>6069</v>
      </c>
      <c r="B852" s="6" t="s">
        <v>2183</v>
      </c>
      <c r="C852" s="26" t="n">
        <v>46054</v>
      </c>
      <c r="D852" s="6" t="s">
        <v>5269</v>
      </c>
      <c r="E852" s="6" t="s">
        <v>22</v>
      </c>
      <c r="F852" s="6" t="n">
        <v>1</v>
      </c>
      <c r="G852" s="10" t="n">
        <v>1271</v>
      </c>
      <c r="H852" s="10" t="n">
        <f aca="false">F852*G852</f>
        <v>1271</v>
      </c>
      <c r="I852" s="6" t="s">
        <v>5148</v>
      </c>
    </row>
    <row r="853" customFormat="false" ht="15" hidden="false" customHeight="false" outlineLevel="0" collapsed="false">
      <c r="A853" s="6" t="s">
        <v>6070</v>
      </c>
      <c r="B853" s="6" t="s">
        <v>4659</v>
      </c>
      <c r="C853" s="26" t="n">
        <v>46054</v>
      </c>
      <c r="D853" s="6" t="s">
        <v>5410</v>
      </c>
      <c r="E853" s="6" t="s">
        <v>20</v>
      </c>
      <c r="F853" s="6" t="n">
        <v>1</v>
      </c>
      <c r="G853" s="10" t="n">
        <v>2548</v>
      </c>
      <c r="H853" s="10" t="n">
        <f aca="false">F853*G853</f>
        <v>2548</v>
      </c>
      <c r="I853" s="6" t="s">
        <v>5122</v>
      </c>
    </row>
    <row r="854" customFormat="false" ht="15" hidden="false" customHeight="false" outlineLevel="0" collapsed="false">
      <c r="A854" s="6" t="s">
        <v>6071</v>
      </c>
      <c r="B854" s="6" t="s">
        <v>1695</v>
      </c>
      <c r="C854" s="26" t="n">
        <v>46054</v>
      </c>
      <c r="D854" s="6" t="s">
        <v>5129</v>
      </c>
      <c r="E854" s="6" t="s">
        <v>21</v>
      </c>
      <c r="F854" s="6" t="n">
        <v>1</v>
      </c>
      <c r="G854" s="10" t="n">
        <v>530</v>
      </c>
      <c r="H854" s="10" t="n">
        <f aca="false">F854*G854</f>
        <v>530</v>
      </c>
      <c r="I854" s="6" t="s">
        <v>5148</v>
      </c>
    </row>
    <row r="855" customFormat="false" ht="15" hidden="false" customHeight="false" outlineLevel="0" collapsed="false">
      <c r="A855" s="6" t="s">
        <v>6072</v>
      </c>
      <c r="B855" s="6" t="s">
        <v>1325</v>
      </c>
      <c r="C855" s="26" t="n">
        <v>46054</v>
      </c>
      <c r="D855" s="6" t="s">
        <v>5185</v>
      </c>
      <c r="E855" s="6" t="s">
        <v>24</v>
      </c>
      <c r="F855" s="6" t="n">
        <v>2</v>
      </c>
      <c r="G855" s="10" t="n">
        <v>2033</v>
      </c>
      <c r="H855" s="10" t="n">
        <f aca="false">F855*G855</f>
        <v>4066</v>
      </c>
      <c r="I855" s="6" t="s">
        <v>5148</v>
      </c>
    </row>
    <row r="856" customFormat="false" ht="15" hidden="false" customHeight="false" outlineLevel="0" collapsed="false">
      <c r="A856" s="6" t="s">
        <v>6073</v>
      </c>
      <c r="B856" s="6" t="s">
        <v>2175</v>
      </c>
      <c r="C856" s="26" t="n">
        <v>46054</v>
      </c>
      <c r="D856" s="6" t="s">
        <v>5357</v>
      </c>
      <c r="E856" s="6" t="s">
        <v>23</v>
      </c>
      <c r="F856" s="6" t="n">
        <v>3</v>
      </c>
      <c r="G856" s="10" t="n">
        <v>534</v>
      </c>
      <c r="H856" s="10" t="n">
        <f aca="false">F856*G856</f>
        <v>1602</v>
      </c>
      <c r="I856" s="6" t="s">
        <v>5122</v>
      </c>
    </row>
    <row r="857" customFormat="false" ht="15" hidden="false" customHeight="false" outlineLevel="0" collapsed="false">
      <c r="A857" s="6" t="s">
        <v>6074</v>
      </c>
      <c r="B857" s="6" t="s">
        <v>4727</v>
      </c>
      <c r="C857" s="26" t="n">
        <v>46054</v>
      </c>
      <c r="D857" s="6" t="s">
        <v>5165</v>
      </c>
      <c r="E857" s="6" t="s">
        <v>22</v>
      </c>
      <c r="F857" s="6" t="n">
        <v>2</v>
      </c>
      <c r="G857" s="10" t="n">
        <v>880</v>
      </c>
      <c r="H857" s="10" t="n">
        <f aca="false">F857*G857</f>
        <v>1760</v>
      </c>
      <c r="I857" s="6" t="s">
        <v>5173</v>
      </c>
    </row>
    <row r="858" customFormat="false" ht="15" hidden="false" customHeight="false" outlineLevel="0" collapsed="false">
      <c r="A858" s="6" t="s">
        <v>6075</v>
      </c>
      <c r="B858" s="6" t="s">
        <v>3803</v>
      </c>
      <c r="C858" s="26" t="n">
        <v>46054</v>
      </c>
      <c r="D858" s="6" t="s">
        <v>5158</v>
      </c>
      <c r="E858" s="6" t="s">
        <v>24</v>
      </c>
      <c r="F858" s="6" t="n">
        <v>1</v>
      </c>
      <c r="G858" s="10" t="n">
        <v>433</v>
      </c>
      <c r="H858" s="10" t="n">
        <f aca="false">F858*G858</f>
        <v>433</v>
      </c>
      <c r="I858" s="6" t="s">
        <v>5125</v>
      </c>
    </row>
    <row r="859" customFormat="false" ht="15" hidden="false" customHeight="false" outlineLevel="0" collapsed="false">
      <c r="A859" s="6" t="s">
        <v>6076</v>
      </c>
      <c r="B859" s="6" t="s">
        <v>721</v>
      </c>
      <c r="C859" s="26" t="n">
        <v>46054</v>
      </c>
      <c r="D859" s="6" t="s">
        <v>5200</v>
      </c>
      <c r="E859" s="6" t="s">
        <v>24</v>
      </c>
      <c r="F859" s="6" t="n">
        <v>2</v>
      </c>
      <c r="G859" s="10" t="n">
        <v>725</v>
      </c>
      <c r="H859" s="10" t="n">
        <f aca="false">F859*G859</f>
        <v>1450</v>
      </c>
      <c r="I859" s="6" t="s">
        <v>5148</v>
      </c>
    </row>
    <row r="860" customFormat="false" ht="15" hidden="false" customHeight="false" outlineLevel="0" collapsed="false">
      <c r="A860" s="6" t="s">
        <v>6077</v>
      </c>
      <c r="B860" s="6" t="s">
        <v>3205</v>
      </c>
      <c r="C860" s="26" t="n">
        <v>46054</v>
      </c>
      <c r="D860" s="6" t="s">
        <v>5216</v>
      </c>
      <c r="E860" s="6" t="s">
        <v>23</v>
      </c>
      <c r="F860" s="6" t="n">
        <v>3</v>
      </c>
      <c r="G860" s="10" t="n">
        <v>558</v>
      </c>
      <c r="H860" s="10" t="n">
        <f aca="false">F860*G860</f>
        <v>1674</v>
      </c>
      <c r="I860" s="6" t="s">
        <v>5122</v>
      </c>
    </row>
    <row r="861" customFormat="false" ht="15" hidden="false" customHeight="false" outlineLevel="0" collapsed="false">
      <c r="A861" s="6" t="s">
        <v>6078</v>
      </c>
      <c r="B861" s="6" t="s">
        <v>3447</v>
      </c>
      <c r="C861" s="26" t="n">
        <v>46054</v>
      </c>
      <c r="D861" s="6" t="s">
        <v>5171</v>
      </c>
      <c r="E861" s="6" t="s">
        <v>23</v>
      </c>
      <c r="F861" s="6" t="n">
        <v>3</v>
      </c>
      <c r="G861" s="10" t="n">
        <v>734</v>
      </c>
      <c r="H861" s="10" t="n">
        <f aca="false">F861*G861</f>
        <v>2202</v>
      </c>
      <c r="I861" s="6" t="s">
        <v>5122</v>
      </c>
    </row>
    <row r="862" customFormat="false" ht="15" hidden="false" customHeight="false" outlineLevel="0" collapsed="false">
      <c r="A862" s="6" t="s">
        <v>6079</v>
      </c>
      <c r="B862" s="6" t="s">
        <v>1499</v>
      </c>
      <c r="C862" s="26" t="n">
        <v>46054</v>
      </c>
      <c r="D862" s="6" t="s">
        <v>5167</v>
      </c>
      <c r="E862" s="6" t="s">
        <v>22</v>
      </c>
      <c r="F862" s="6" t="n">
        <v>2</v>
      </c>
      <c r="G862" s="10" t="n">
        <v>743</v>
      </c>
      <c r="H862" s="10" t="n">
        <f aca="false">F862*G862</f>
        <v>1486</v>
      </c>
      <c r="I862" s="6" t="s">
        <v>5122</v>
      </c>
    </row>
    <row r="863" customFormat="false" ht="15" hidden="false" customHeight="false" outlineLevel="0" collapsed="false">
      <c r="A863" s="6" t="s">
        <v>6080</v>
      </c>
      <c r="B863" s="6" t="s">
        <v>4787</v>
      </c>
      <c r="C863" s="26" t="n">
        <v>46054</v>
      </c>
      <c r="D863" s="6" t="s">
        <v>5135</v>
      </c>
      <c r="E863" s="6" t="s">
        <v>23</v>
      </c>
      <c r="F863" s="6" t="n">
        <v>3</v>
      </c>
      <c r="G863" s="10" t="n">
        <v>419</v>
      </c>
      <c r="H863" s="10" t="n">
        <f aca="false">F863*G863</f>
        <v>1257</v>
      </c>
      <c r="I863" s="6" t="s">
        <v>5122</v>
      </c>
    </row>
    <row r="864" customFormat="false" ht="15" hidden="false" customHeight="false" outlineLevel="0" collapsed="false">
      <c r="A864" s="6" t="s">
        <v>6081</v>
      </c>
      <c r="B864" s="6" t="s">
        <v>3125</v>
      </c>
      <c r="C864" s="26" t="n">
        <v>46054</v>
      </c>
      <c r="D864" s="6" t="s">
        <v>5135</v>
      </c>
      <c r="E864" s="6" t="s">
        <v>23</v>
      </c>
      <c r="F864" s="6" t="n">
        <v>2</v>
      </c>
      <c r="G864" s="10" t="n">
        <v>441</v>
      </c>
      <c r="H864" s="10" t="n">
        <f aca="false">F864*G864</f>
        <v>882</v>
      </c>
      <c r="I864" s="6" t="s">
        <v>5148</v>
      </c>
    </row>
    <row r="865" customFormat="false" ht="15" hidden="false" customHeight="false" outlineLevel="0" collapsed="false">
      <c r="A865" s="6" t="s">
        <v>6082</v>
      </c>
      <c r="B865" s="6" t="s">
        <v>4345</v>
      </c>
      <c r="C865" s="26" t="n">
        <v>46054</v>
      </c>
      <c r="D865" s="6" t="s">
        <v>5242</v>
      </c>
      <c r="E865" s="6" t="s">
        <v>23</v>
      </c>
      <c r="F865" s="6" t="n">
        <v>4</v>
      </c>
      <c r="G865" s="10" t="n">
        <v>372</v>
      </c>
      <c r="H865" s="10" t="n">
        <f aca="false">F865*G865</f>
        <v>1488</v>
      </c>
      <c r="I865" s="6" t="s">
        <v>5125</v>
      </c>
    </row>
    <row r="866" customFormat="false" ht="15" hidden="false" customHeight="false" outlineLevel="0" collapsed="false">
      <c r="A866" s="6" t="s">
        <v>6083</v>
      </c>
      <c r="B866" s="6" t="s">
        <v>4207</v>
      </c>
      <c r="C866" s="26" t="n">
        <v>46054</v>
      </c>
      <c r="D866" s="6" t="s">
        <v>5143</v>
      </c>
      <c r="E866" s="6" t="s">
        <v>21</v>
      </c>
      <c r="F866" s="6" t="n">
        <v>3</v>
      </c>
      <c r="G866" s="10" t="n">
        <v>1061</v>
      </c>
      <c r="H866" s="10" t="n">
        <f aca="false">F866*G866</f>
        <v>3183</v>
      </c>
      <c r="I866" s="6" t="s">
        <v>5122</v>
      </c>
    </row>
    <row r="867" customFormat="false" ht="15" hidden="false" customHeight="false" outlineLevel="0" collapsed="false">
      <c r="A867" s="6" t="s">
        <v>6084</v>
      </c>
      <c r="B867" s="6" t="s">
        <v>1465</v>
      </c>
      <c r="C867" s="26" t="n">
        <v>46054</v>
      </c>
      <c r="D867" s="6" t="s">
        <v>5165</v>
      </c>
      <c r="E867" s="6" t="s">
        <v>22</v>
      </c>
      <c r="F867" s="6" t="n">
        <v>2</v>
      </c>
      <c r="G867" s="10" t="n">
        <v>977</v>
      </c>
      <c r="H867" s="10" t="n">
        <f aca="false">F867*G867</f>
        <v>1954</v>
      </c>
      <c r="I867" s="6" t="s">
        <v>5122</v>
      </c>
    </row>
    <row r="868" customFormat="false" ht="15" hidden="false" customHeight="false" outlineLevel="0" collapsed="false">
      <c r="A868" s="6" t="s">
        <v>6085</v>
      </c>
      <c r="B868" s="6" t="s">
        <v>293</v>
      </c>
      <c r="C868" s="26" t="n">
        <v>46054</v>
      </c>
      <c r="D868" s="6" t="s">
        <v>5318</v>
      </c>
      <c r="E868" s="6" t="s">
        <v>20</v>
      </c>
      <c r="F868" s="6" t="n">
        <v>1</v>
      </c>
      <c r="G868" s="10" t="n">
        <v>1529</v>
      </c>
      <c r="H868" s="10" t="n">
        <f aca="false">F868*G868</f>
        <v>1529</v>
      </c>
      <c r="I868" s="6" t="s">
        <v>5130</v>
      </c>
    </row>
    <row r="869" customFormat="false" ht="15" hidden="false" customHeight="false" outlineLevel="0" collapsed="false">
      <c r="A869" s="6" t="s">
        <v>6086</v>
      </c>
      <c r="B869" s="6" t="s">
        <v>1231</v>
      </c>
      <c r="C869" s="26" t="n">
        <v>46054</v>
      </c>
      <c r="D869" s="6" t="s">
        <v>5171</v>
      </c>
      <c r="E869" s="6" t="s">
        <v>23</v>
      </c>
      <c r="F869" s="6" t="n">
        <v>2</v>
      </c>
      <c r="G869" s="10" t="n">
        <v>697</v>
      </c>
      <c r="H869" s="10" t="n">
        <f aca="false">F869*G869</f>
        <v>1394</v>
      </c>
      <c r="I869" s="6" t="s">
        <v>5130</v>
      </c>
    </row>
    <row r="870" customFormat="false" ht="15" hidden="false" customHeight="false" outlineLevel="0" collapsed="false">
      <c r="A870" s="6" t="s">
        <v>6087</v>
      </c>
      <c r="B870" s="6" t="s">
        <v>3725</v>
      </c>
      <c r="C870" s="26" t="n">
        <v>46054</v>
      </c>
      <c r="D870" s="6" t="s">
        <v>5357</v>
      </c>
      <c r="E870" s="6" t="s">
        <v>23</v>
      </c>
      <c r="F870" s="6" t="n">
        <v>2</v>
      </c>
      <c r="G870" s="10" t="n">
        <v>534</v>
      </c>
      <c r="H870" s="10" t="n">
        <f aca="false">F870*G870</f>
        <v>1068</v>
      </c>
      <c r="I870" s="6" t="s">
        <v>5125</v>
      </c>
    </row>
    <row r="871" customFormat="false" ht="15" hidden="false" customHeight="false" outlineLevel="0" collapsed="false">
      <c r="A871" s="6" t="s">
        <v>6088</v>
      </c>
      <c r="B871" s="6" t="s">
        <v>3247</v>
      </c>
      <c r="C871" s="26" t="n">
        <v>46054</v>
      </c>
      <c r="D871" s="6" t="s">
        <v>5326</v>
      </c>
      <c r="E871" s="6" t="s">
        <v>22</v>
      </c>
      <c r="F871" s="6" t="n">
        <v>2</v>
      </c>
      <c r="G871" s="10" t="n">
        <v>1466</v>
      </c>
      <c r="H871" s="10" t="n">
        <f aca="false">F871*G871</f>
        <v>2932</v>
      </c>
      <c r="I871" s="6" t="s">
        <v>5173</v>
      </c>
    </row>
    <row r="872" customFormat="false" ht="15" hidden="false" customHeight="false" outlineLevel="0" collapsed="false">
      <c r="A872" s="6" t="s">
        <v>6089</v>
      </c>
      <c r="B872" s="6" t="s">
        <v>1755</v>
      </c>
      <c r="C872" s="26" t="n">
        <v>46054</v>
      </c>
      <c r="D872" s="6" t="s">
        <v>5410</v>
      </c>
      <c r="E872" s="6" t="s">
        <v>20</v>
      </c>
      <c r="F872" s="6" t="n">
        <v>1</v>
      </c>
      <c r="G872" s="10" t="n">
        <v>2547</v>
      </c>
      <c r="H872" s="10" t="n">
        <f aca="false">F872*G872</f>
        <v>2547</v>
      </c>
      <c r="I872" s="6" t="s">
        <v>5122</v>
      </c>
    </row>
    <row r="873" customFormat="false" ht="15" hidden="false" customHeight="false" outlineLevel="0" collapsed="false">
      <c r="A873" s="6" t="s">
        <v>6090</v>
      </c>
      <c r="B873" s="6" t="s">
        <v>4841</v>
      </c>
      <c r="C873" s="26" t="n">
        <v>46054</v>
      </c>
      <c r="D873" s="6" t="s">
        <v>5216</v>
      </c>
      <c r="E873" s="6" t="s">
        <v>23</v>
      </c>
      <c r="F873" s="6" t="n">
        <v>4</v>
      </c>
      <c r="G873" s="10" t="n">
        <v>587</v>
      </c>
      <c r="H873" s="10" t="n">
        <f aca="false">F873*G873</f>
        <v>2348</v>
      </c>
      <c r="I873" s="6" t="s">
        <v>5122</v>
      </c>
    </row>
    <row r="874" customFormat="false" ht="15" hidden="false" customHeight="false" outlineLevel="0" collapsed="false">
      <c r="A874" s="6" t="s">
        <v>6091</v>
      </c>
      <c r="B874" s="6" t="s">
        <v>1831</v>
      </c>
      <c r="C874" s="26" t="n">
        <v>46054</v>
      </c>
      <c r="D874" s="6" t="s">
        <v>5273</v>
      </c>
      <c r="E874" s="6" t="s">
        <v>23</v>
      </c>
      <c r="F874" s="6" t="n">
        <v>4</v>
      </c>
      <c r="G874" s="10" t="n">
        <v>240</v>
      </c>
      <c r="H874" s="10" t="n">
        <f aca="false">F874*G874</f>
        <v>960</v>
      </c>
      <c r="I874" s="6" t="s">
        <v>5122</v>
      </c>
    </row>
    <row r="875" customFormat="false" ht="15" hidden="false" customHeight="false" outlineLevel="0" collapsed="false">
      <c r="A875" s="6" t="s">
        <v>6092</v>
      </c>
      <c r="B875" s="6" t="s">
        <v>4955</v>
      </c>
      <c r="C875" s="26" t="n">
        <v>46054</v>
      </c>
      <c r="D875" s="6" t="s">
        <v>5167</v>
      </c>
      <c r="E875" s="6" t="s">
        <v>22</v>
      </c>
      <c r="F875" s="6" t="n">
        <v>4</v>
      </c>
      <c r="G875" s="10" t="n">
        <v>743</v>
      </c>
      <c r="H875" s="10" t="n">
        <f aca="false">F875*G875</f>
        <v>2972</v>
      </c>
      <c r="I875" s="6" t="s">
        <v>5122</v>
      </c>
    </row>
    <row r="876" customFormat="false" ht="15" hidden="false" customHeight="false" outlineLevel="0" collapsed="false">
      <c r="A876" s="6" t="s">
        <v>6093</v>
      </c>
      <c r="B876" s="6" t="s">
        <v>689</v>
      </c>
      <c r="C876" s="26" t="n">
        <v>46054</v>
      </c>
      <c r="D876" s="6" t="s">
        <v>5687</v>
      </c>
      <c r="E876" s="6" t="s">
        <v>20</v>
      </c>
      <c r="F876" s="6" t="n">
        <v>1</v>
      </c>
      <c r="G876" s="10" t="n">
        <v>1835</v>
      </c>
      <c r="H876" s="10" t="n">
        <f aca="false">F876*G876</f>
        <v>1835</v>
      </c>
      <c r="I876" s="6" t="s">
        <v>5122</v>
      </c>
    </row>
    <row r="877" customFormat="false" ht="15" hidden="false" customHeight="false" outlineLevel="0" collapsed="false">
      <c r="A877" s="6" t="s">
        <v>6094</v>
      </c>
      <c r="B877" s="6" t="s">
        <v>3901</v>
      </c>
      <c r="C877" s="26" t="n">
        <v>46054</v>
      </c>
      <c r="D877" s="6" t="s">
        <v>5683</v>
      </c>
      <c r="E877" s="6" t="s">
        <v>22</v>
      </c>
      <c r="F877" s="6" t="n">
        <v>3</v>
      </c>
      <c r="G877" s="10" t="n">
        <v>1760</v>
      </c>
      <c r="H877" s="10" t="n">
        <f aca="false">F877*G877</f>
        <v>5280</v>
      </c>
      <c r="I877" s="6" t="s">
        <v>5125</v>
      </c>
    </row>
    <row r="878" customFormat="false" ht="15" hidden="false" customHeight="false" outlineLevel="0" collapsed="false">
      <c r="A878" s="6" t="s">
        <v>6095</v>
      </c>
      <c r="B878" s="6" t="s">
        <v>2743</v>
      </c>
      <c r="C878" s="26" t="n">
        <v>46055</v>
      </c>
      <c r="D878" s="6" t="s">
        <v>5226</v>
      </c>
      <c r="E878" s="6" t="s">
        <v>24</v>
      </c>
      <c r="F878" s="6" t="n">
        <v>1</v>
      </c>
      <c r="G878" s="10" t="n">
        <v>457</v>
      </c>
      <c r="H878" s="10" t="n">
        <f aca="false">F878*G878</f>
        <v>457</v>
      </c>
      <c r="I878" s="6" t="s">
        <v>5125</v>
      </c>
    </row>
    <row r="879" customFormat="false" ht="15" hidden="false" customHeight="false" outlineLevel="0" collapsed="false">
      <c r="A879" s="6" t="s">
        <v>6096</v>
      </c>
      <c r="B879" s="6" t="s">
        <v>2823</v>
      </c>
      <c r="C879" s="26" t="n">
        <v>46055</v>
      </c>
      <c r="D879" s="6" t="s">
        <v>5216</v>
      </c>
      <c r="E879" s="6" t="s">
        <v>23</v>
      </c>
      <c r="F879" s="6" t="n">
        <v>3</v>
      </c>
      <c r="G879" s="10" t="n">
        <v>587</v>
      </c>
      <c r="H879" s="10" t="n">
        <f aca="false">F879*G879</f>
        <v>1761</v>
      </c>
      <c r="I879" s="6" t="s">
        <v>5122</v>
      </c>
    </row>
    <row r="880" customFormat="false" ht="15" hidden="false" customHeight="false" outlineLevel="0" collapsed="false">
      <c r="A880" s="6" t="s">
        <v>6097</v>
      </c>
      <c r="B880" s="6" t="s">
        <v>2093</v>
      </c>
      <c r="C880" s="26" t="n">
        <v>46055</v>
      </c>
      <c r="D880" s="6" t="s">
        <v>5185</v>
      </c>
      <c r="E880" s="6" t="s">
        <v>24</v>
      </c>
      <c r="F880" s="6" t="n">
        <v>1</v>
      </c>
      <c r="G880" s="10" t="n">
        <v>2033</v>
      </c>
      <c r="H880" s="10" t="n">
        <f aca="false">F880*G880</f>
        <v>2033</v>
      </c>
      <c r="I880" s="6" t="s">
        <v>5148</v>
      </c>
    </row>
    <row r="881" customFormat="false" ht="15" hidden="false" customHeight="false" outlineLevel="0" collapsed="false">
      <c r="A881" s="6" t="s">
        <v>6098</v>
      </c>
      <c r="B881" s="6" t="s">
        <v>4615</v>
      </c>
      <c r="C881" s="26" t="n">
        <v>46055</v>
      </c>
      <c r="D881" s="6" t="s">
        <v>5245</v>
      </c>
      <c r="E881" s="6" t="s">
        <v>21</v>
      </c>
      <c r="F881" s="6" t="n">
        <v>2</v>
      </c>
      <c r="G881" s="10" t="n">
        <v>2456</v>
      </c>
      <c r="H881" s="10" t="n">
        <f aca="false">F881*G881</f>
        <v>4912</v>
      </c>
      <c r="I881" s="6" t="s">
        <v>5133</v>
      </c>
    </row>
    <row r="882" customFormat="false" ht="15" hidden="false" customHeight="false" outlineLevel="0" collapsed="false">
      <c r="A882" s="6" t="s">
        <v>6099</v>
      </c>
      <c r="B882" s="6" t="s">
        <v>543</v>
      </c>
      <c r="C882" s="26" t="n">
        <v>46055</v>
      </c>
      <c r="D882" s="6" t="s">
        <v>5165</v>
      </c>
      <c r="E882" s="6" t="s">
        <v>22</v>
      </c>
      <c r="F882" s="6" t="n">
        <v>1</v>
      </c>
      <c r="G882" s="10" t="n">
        <v>977</v>
      </c>
      <c r="H882" s="10" t="n">
        <f aca="false">F882*G882</f>
        <v>977</v>
      </c>
      <c r="I882" s="6" t="s">
        <v>5125</v>
      </c>
    </row>
    <row r="883" customFormat="false" ht="15" hidden="false" customHeight="false" outlineLevel="0" collapsed="false">
      <c r="A883" s="6" t="s">
        <v>6100</v>
      </c>
      <c r="B883" s="6" t="s">
        <v>1155</v>
      </c>
      <c r="C883" s="26" t="n">
        <v>46055</v>
      </c>
      <c r="D883" s="6" t="s">
        <v>6101</v>
      </c>
      <c r="E883" s="6" t="s">
        <v>20</v>
      </c>
      <c r="F883" s="6" t="n">
        <v>1</v>
      </c>
      <c r="G883" s="10" t="n">
        <v>22434</v>
      </c>
      <c r="H883" s="10" t="n">
        <f aca="false">F883*G883</f>
        <v>22434</v>
      </c>
      <c r="I883" s="6" t="s">
        <v>5133</v>
      </c>
    </row>
    <row r="884" customFormat="false" ht="15" hidden="false" customHeight="false" outlineLevel="0" collapsed="false">
      <c r="A884" s="6" t="s">
        <v>6102</v>
      </c>
      <c r="B884" s="6" t="s">
        <v>2123</v>
      </c>
      <c r="C884" s="26" t="n">
        <v>46055</v>
      </c>
      <c r="D884" s="6" t="s">
        <v>5298</v>
      </c>
      <c r="E884" s="6" t="s">
        <v>23</v>
      </c>
      <c r="F884" s="6" t="n">
        <v>3</v>
      </c>
      <c r="G884" s="10" t="n">
        <v>293</v>
      </c>
      <c r="H884" s="10" t="n">
        <f aca="false">F884*G884</f>
        <v>879</v>
      </c>
      <c r="I884" s="6" t="s">
        <v>5173</v>
      </c>
    </row>
    <row r="885" customFormat="false" ht="15" hidden="false" customHeight="false" outlineLevel="0" collapsed="false">
      <c r="A885" s="6" t="s">
        <v>6103</v>
      </c>
      <c r="B885" s="6" t="s">
        <v>1245</v>
      </c>
      <c r="C885" s="26" t="n">
        <v>46055</v>
      </c>
      <c r="D885" s="6" t="s">
        <v>5167</v>
      </c>
      <c r="E885" s="6" t="s">
        <v>22</v>
      </c>
      <c r="F885" s="6" t="n">
        <v>2</v>
      </c>
      <c r="G885" s="10" t="n">
        <v>743</v>
      </c>
      <c r="H885" s="10" t="n">
        <f aca="false">F885*G885</f>
        <v>1486</v>
      </c>
      <c r="I885" s="6" t="s">
        <v>5125</v>
      </c>
    </row>
    <row r="886" customFormat="false" ht="15" hidden="false" customHeight="false" outlineLevel="0" collapsed="false">
      <c r="A886" s="6" t="s">
        <v>6104</v>
      </c>
      <c r="B886" s="6" t="s">
        <v>4221</v>
      </c>
      <c r="C886" s="26" t="n">
        <v>46055</v>
      </c>
      <c r="D886" s="6" t="s">
        <v>5163</v>
      </c>
      <c r="E886" s="6" t="s">
        <v>23</v>
      </c>
      <c r="F886" s="6" t="n">
        <v>2</v>
      </c>
      <c r="G886" s="10" t="n">
        <v>783</v>
      </c>
      <c r="H886" s="10" t="n">
        <f aca="false">F886*G886</f>
        <v>1566</v>
      </c>
      <c r="I886" s="6" t="s">
        <v>5125</v>
      </c>
    </row>
    <row r="887" customFormat="false" ht="15" hidden="false" customHeight="false" outlineLevel="0" collapsed="false">
      <c r="A887" s="6" t="s">
        <v>6105</v>
      </c>
      <c r="B887" s="6" t="s">
        <v>1843</v>
      </c>
      <c r="C887" s="26" t="n">
        <v>46055</v>
      </c>
      <c r="D887" s="6" t="s">
        <v>5150</v>
      </c>
      <c r="E887" s="6" t="s">
        <v>24</v>
      </c>
      <c r="F887" s="6" t="n">
        <v>1</v>
      </c>
      <c r="G887" s="10" t="n">
        <v>483</v>
      </c>
      <c r="H887" s="10" t="n">
        <f aca="false">F887*G887</f>
        <v>483</v>
      </c>
      <c r="I887" s="6" t="s">
        <v>5122</v>
      </c>
    </row>
    <row r="888" customFormat="false" ht="15" hidden="false" customHeight="false" outlineLevel="0" collapsed="false">
      <c r="A888" s="6" t="s">
        <v>6106</v>
      </c>
      <c r="B888" s="6" t="s">
        <v>2115</v>
      </c>
      <c r="C888" s="26" t="n">
        <v>46055</v>
      </c>
      <c r="D888" s="6" t="s">
        <v>5135</v>
      </c>
      <c r="E888" s="6" t="s">
        <v>23</v>
      </c>
      <c r="F888" s="6" t="n">
        <v>2</v>
      </c>
      <c r="G888" s="10" t="n">
        <v>419</v>
      </c>
      <c r="H888" s="10" t="n">
        <f aca="false">F888*G888</f>
        <v>838</v>
      </c>
      <c r="I888" s="6" t="s">
        <v>5125</v>
      </c>
    </row>
    <row r="889" customFormat="false" ht="15" hidden="false" customHeight="false" outlineLevel="0" collapsed="false">
      <c r="A889" s="6" t="s">
        <v>6107</v>
      </c>
      <c r="B889" s="6" t="s">
        <v>5097</v>
      </c>
      <c r="C889" s="26" t="n">
        <v>46055</v>
      </c>
      <c r="D889" s="6" t="s">
        <v>5132</v>
      </c>
      <c r="E889" s="6" t="s">
        <v>23</v>
      </c>
      <c r="F889" s="6" t="n">
        <v>3</v>
      </c>
      <c r="G889" s="10" t="n">
        <v>342</v>
      </c>
      <c r="H889" s="10" t="n">
        <f aca="false">F889*G889</f>
        <v>1026</v>
      </c>
      <c r="I889" s="6" t="s">
        <v>5130</v>
      </c>
    </row>
    <row r="890" customFormat="false" ht="15" hidden="false" customHeight="false" outlineLevel="0" collapsed="false">
      <c r="A890" s="6" t="s">
        <v>6108</v>
      </c>
      <c r="B890" s="6" t="s">
        <v>5031</v>
      </c>
      <c r="C890" s="26" t="n">
        <v>46055</v>
      </c>
      <c r="D890" s="6" t="s">
        <v>6109</v>
      </c>
      <c r="E890" s="6" t="s">
        <v>20</v>
      </c>
      <c r="F890" s="6" t="n">
        <v>1</v>
      </c>
      <c r="G890" s="10" t="n">
        <v>41657</v>
      </c>
      <c r="H890" s="10" t="n">
        <f aca="false">F890*G890</f>
        <v>41657</v>
      </c>
      <c r="I890" s="6" t="s">
        <v>5122</v>
      </c>
    </row>
    <row r="891" customFormat="false" ht="15" hidden="false" customHeight="false" outlineLevel="0" collapsed="false">
      <c r="A891" s="6" t="s">
        <v>6110</v>
      </c>
      <c r="B891" s="6" t="s">
        <v>4131</v>
      </c>
      <c r="C891" s="26" t="n">
        <v>46055</v>
      </c>
      <c r="D891" s="6" t="s">
        <v>5167</v>
      </c>
      <c r="E891" s="6" t="s">
        <v>22</v>
      </c>
      <c r="F891" s="6" t="n">
        <v>1</v>
      </c>
      <c r="G891" s="10" t="n">
        <v>703</v>
      </c>
      <c r="H891" s="10" t="n">
        <f aca="false">F891*G891</f>
        <v>703</v>
      </c>
      <c r="I891" s="6" t="s">
        <v>5125</v>
      </c>
    </row>
    <row r="892" customFormat="false" ht="15" hidden="false" customHeight="false" outlineLevel="0" collapsed="false">
      <c r="A892" s="6" t="s">
        <v>6111</v>
      </c>
      <c r="B892" s="6" t="s">
        <v>3211</v>
      </c>
      <c r="C892" s="26" t="n">
        <v>46055</v>
      </c>
      <c r="D892" s="6" t="s">
        <v>5197</v>
      </c>
      <c r="E892" s="6" t="s">
        <v>21</v>
      </c>
      <c r="F892" s="6" t="n">
        <v>2</v>
      </c>
      <c r="G892" s="10" t="n">
        <v>1080</v>
      </c>
      <c r="H892" s="10" t="n">
        <f aca="false">F892*G892</f>
        <v>2160</v>
      </c>
      <c r="I892" s="6" t="s">
        <v>5122</v>
      </c>
    </row>
    <row r="893" customFormat="false" ht="15" hidden="false" customHeight="false" outlineLevel="0" collapsed="false">
      <c r="A893" s="6" t="s">
        <v>6112</v>
      </c>
      <c r="B893" s="6" t="s">
        <v>235</v>
      </c>
      <c r="C893" s="26" t="n">
        <v>46055</v>
      </c>
      <c r="D893" s="6" t="s">
        <v>5538</v>
      </c>
      <c r="E893" s="6" t="s">
        <v>21</v>
      </c>
      <c r="F893" s="6" t="n">
        <v>1</v>
      </c>
      <c r="G893" s="10" t="n">
        <v>5135</v>
      </c>
      <c r="H893" s="10" t="n">
        <f aca="false">F893*G893</f>
        <v>5135</v>
      </c>
      <c r="I893" s="6" t="s">
        <v>5122</v>
      </c>
    </row>
    <row r="894" customFormat="false" ht="15" hidden="false" customHeight="false" outlineLevel="0" collapsed="false">
      <c r="A894" s="6" t="s">
        <v>6113</v>
      </c>
      <c r="B894" s="6" t="s">
        <v>2405</v>
      </c>
      <c r="C894" s="26" t="n">
        <v>46055</v>
      </c>
      <c r="D894" s="6" t="s">
        <v>6114</v>
      </c>
      <c r="E894" s="6" t="s">
        <v>20</v>
      </c>
      <c r="F894" s="6" t="n">
        <v>1</v>
      </c>
      <c r="G894" s="10" t="n">
        <v>13256</v>
      </c>
      <c r="H894" s="10" t="n">
        <f aca="false">F894*G894</f>
        <v>13256</v>
      </c>
      <c r="I894" s="6" t="s">
        <v>5130</v>
      </c>
    </row>
    <row r="895" customFormat="false" ht="15" hidden="false" customHeight="false" outlineLevel="0" collapsed="false">
      <c r="A895" s="6" t="s">
        <v>6115</v>
      </c>
      <c r="B895" s="6" t="s">
        <v>2363</v>
      </c>
      <c r="C895" s="26" t="n">
        <v>46055</v>
      </c>
      <c r="D895" s="6" t="s">
        <v>5357</v>
      </c>
      <c r="E895" s="6" t="s">
        <v>23</v>
      </c>
      <c r="F895" s="6" t="n">
        <v>2</v>
      </c>
      <c r="G895" s="10" t="n">
        <v>534</v>
      </c>
      <c r="H895" s="10" t="n">
        <f aca="false">F895*G895</f>
        <v>1068</v>
      </c>
      <c r="I895" s="6" t="s">
        <v>5122</v>
      </c>
    </row>
    <row r="896" customFormat="false" ht="15" hidden="false" customHeight="false" outlineLevel="0" collapsed="false">
      <c r="A896" s="6" t="s">
        <v>6116</v>
      </c>
      <c r="B896" s="6" t="s">
        <v>2243</v>
      </c>
      <c r="C896" s="26" t="n">
        <v>46055</v>
      </c>
      <c r="D896" s="6" t="s">
        <v>5154</v>
      </c>
      <c r="E896" s="6" t="s">
        <v>21</v>
      </c>
      <c r="F896" s="6" t="n">
        <v>1</v>
      </c>
      <c r="G896" s="10" t="n">
        <v>785</v>
      </c>
      <c r="H896" s="10" t="n">
        <f aca="false">F896*G896</f>
        <v>785</v>
      </c>
      <c r="I896" s="6" t="s">
        <v>5122</v>
      </c>
    </row>
    <row r="897" customFormat="false" ht="15" hidden="false" customHeight="false" outlineLevel="0" collapsed="false">
      <c r="A897" s="6" t="s">
        <v>6117</v>
      </c>
      <c r="B897" s="6" t="s">
        <v>2381</v>
      </c>
      <c r="C897" s="26" t="n">
        <v>46055</v>
      </c>
      <c r="D897" s="6" t="s">
        <v>5167</v>
      </c>
      <c r="E897" s="6" t="s">
        <v>22</v>
      </c>
      <c r="F897" s="6" t="n">
        <v>2</v>
      </c>
      <c r="G897" s="10" t="n">
        <v>703</v>
      </c>
      <c r="H897" s="10" t="n">
        <f aca="false">F897*G897</f>
        <v>1406</v>
      </c>
      <c r="I897" s="6" t="s">
        <v>5130</v>
      </c>
    </row>
    <row r="898" customFormat="false" ht="15" hidden="false" customHeight="false" outlineLevel="0" collapsed="false">
      <c r="A898" s="6" t="s">
        <v>6118</v>
      </c>
      <c r="B898" s="6" t="s">
        <v>485</v>
      </c>
      <c r="C898" s="26" t="n">
        <v>46055</v>
      </c>
      <c r="D898" s="6" t="s">
        <v>5121</v>
      </c>
      <c r="E898" s="6" t="s">
        <v>22</v>
      </c>
      <c r="F898" s="6" t="n">
        <v>1</v>
      </c>
      <c r="G898" s="10" t="n">
        <v>977</v>
      </c>
      <c r="H898" s="10" t="n">
        <f aca="false">F898*G898</f>
        <v>977</v>
      </c>
      <c r="I898" s="6" t="s">
        <v>5122</v>
      </c>
    </row>
    <row r="899" customFormat="false" ht="15" hidden="false" customHeight="false" outlineLevel="0" collapsed="false">
      <c r="A899" s="6" t="s">
        <v>6119</v>
      </c>
      <c r="B899" s="6" t="s">
        <v>4183</v>
      </c>
      <c r="C899" s="26" t="n">
        <v>46055</v>
      </c>
      <c r="D899" s="6" t="s">
        <v>5145</v>
      </c>
      <c r="E899" s="6" t="s">
        <v>21</v>
      </c>
      <c r="F899" s="6" t="n">
        <v>1</v>
      </c>
      <c r="G899" s="10" t="n">
        <v>1277</v>
      </c>
      <c r="H899" s="10" t="n">
        <f aca="false">F899*G899</f>
        <v>1277</v>
      </c>
      <c r="I899" s="6" t="s">
        <v>5148</v>
      </c>
    </row>
    <row r="900" customFormat="false" ht="15" hidden="false" customHeight="false" outlineLevel="0" collapsed="false">
      <c r="A900" s="6" t="s">
        <v>6120</v>
      </c>
      <c r="B900" s="6" t="s">
        <v>4017</v>
      </c>
      <c r="C900" s="26" t="n">
        <v>46055</v>
      </c>
      <c r="D900" s="6" t="s">
        <v>5242</v>
      </c>
      <c r="E900" s="6" t="s">
        <v>23</v>
      </c>
      <c r="F900" s="6" t="n">
        <v>5</v>
      </c>
      <c r="G900" s="10" t="n">
        <v>372</v>
      </c>
      <c r="H900" s="10" t="n">
        <f aca="false">F900*G900</f>
        <v>1860</v>
      </c>
      <c r="I900" s="6" t="s">
        <v>5148</v>
      </c>
    </row>
    <row r="901" customFormat="false" ht="15" hidden="false" customHeight="false" outlineLevel="0" collapsed="false">
      <c r="A901" s="6" t="s">
        <v>6121</v>
      </c>
      <c r="B901" s="6" t="s">
        <v>324</v>
      </c>
      <c r="C901" s="26" t="n">
        <v>46055</v>
      </c>
      <c r="D901" s="6" t="s">
        <v>5197</v>
      </c>
      <c r="E901" s="6" t="s">
        <v>21</v>
      </c>
      <c r="F901" s="6" t="n">
        <v>2</v>
      </c>
      <c r="G901" s="10" t="n">
        <v>1080</v>
      </c>
      <c r="H901" s="10" t="n">
        <f aca="false">F901*G901</f>
        <v>2160</v>
      </c>
      <c r="I901" s="6" t="s">
        <v>5122</v>
      </c>
    </row>
    <row r="902" customFormat="false" ht="15" hidden="false" customHeight="false" outlineLevel="0" collapsed="false">
      <c r="A902" s="6" t="s">
        <v>6122</v>
      </c>
      <c r="B902" s="6" t="s">
        <v>4687</v>
      </c>
      <c r="C902" s="26" t="n">
        <v>46055</v>
      </c>
      <c r="D902" s="6" t="s">
        <v>5160</v>
      </c>
      <c r="E902" s="6" t="s">
        <v>21</v>
      </c>
      <c r="F902" s="6" t="n">
        <v>1</v>
      </c>
      <c r="G902" s="10" t="n">
        <v>2476</v>
      </c>
      <c r="H902" s="10" t="n">
        <f aca="false">F902*G902</f>
        <v>2476</v>
      </c>
      <c r="I902" s="6" t="s">
        <v>5148</v>
      </c>
    </row>
    <row r="903" customFormat="false" ht="15" hidden="false" customHeight="false" outlineLevel="0" collapsed="false">
      <c r="A903" s="6" t="s">
        <v>6123</v>
      </c>
      <c r="B903" s="6" t="s">
        <v>3603</v>
      </c>
      <c r="C903" s="26" t="n">
        <v>46055</v>
      </c>
      <c r="D903" s="6" t="s">
        <v>5180</v>
      </c>
      <c r="E903" s="6" t="s">
        <v>24</v>
      </c>
      <c r="F903" s="6" t="n">
        <v>2</v>
      </c>
      <c r="G903" s="10" t="n">
        <v>1987</v>
      </c>
      <c r="H903" s="10" t="n">
        <f aca="false">F903*G903</f>
        <v>3974</v>
      </c>
      <c r="I903" s="6" t="s">
        <v>5122</v>
      </c>
    </row>
    <row r="904" customFormat="false" ht="15" hidden="false" customHeight="false" outlineLevel="0" collapsed="false">
      <c r="A904" s="6" t="s">
        <v>6124</v>
      </c>
      <c r="B904" s="6" t="s">
        <v>1083</v>
      </c>
      <c r="C904" s="26" t="n">
        <v>46055</v>
      </c>
      <c r="D904" s="6" t="s">
        <v>5237</v>
      </c>
      <c r="E904" s="6" t="s">
        <v>24</v>
      </c>
      <c r="F904" s="6" t="n">
        <v>4</v>
      </c>
      <c r="G904" s="10" t="n">
        <v>1833</v>
      </c>
      <c r="H904" s="10" t="n">
        <f aca="false">F904*G904</f>
        <v>7332</v>
      </c>
      <c r="I904" s="6" t="s">
        <v>5148</v>
      </c>
    </row>
    <row r="905" customFormat="false" ht="15" hidden="false" customHeight="false" outlineLevel="0" collapsed="false">
      <c r="A905" s="6" t="s">
        <v>6125</v>
      </c>
      <c r="B905" s="6" t="s">
        <v>2089</v>
      </c>
      <c r="C905" s="26" t="n">
        <v>46055</v>
      </c>
      <c r="D905" s="6" t="s">
        <v>5216</v>
      </c>
      <c r="E905" s="6" t="s">
        <v>23</v>
      </c>
      <c r="F905" s="6" t="n">
        <v>2</v>
      </c>
      <c r="G905" s="10" t="n">
        <v>558</v>
      </c>
      <c r="H905" s="10" t="n">
        <f aca="false">F905*G905</f>
        <v>1116</v>
      </c>
      <c r="I905" s="6" t="s">
        <v>5122</v>
      </c>
    </row>
    <row r="906" customFormat="false" ht="15" hidden="false" customHeight="false" outlineLevel="0" collapsed="false">
      <c r="A906" s="6" t="s">
        <v>6126</v>
      </c>
      <c r="B906" s="6" t="s">
        <v>2753</v>
      </c>
      <c r="C906" s="26" t="n">
        <v>46056</v>
      </c>
      <c r="D906" s="6" t="s">
        <v>5298</v>
      </c>
      <c r="E906" s="6" t="s">
        <v>23</v>
      </c>
      <c r="F906" s="6" t="n">
        <v>2</v>
      </c>
      <c r="G906" s="10" t="n">
        <v>278</v>
      </c>
      <c r="H906" s="10" t="n">
        <f aca="false">F906*G906</f>
        <v>556</v>
      </c>
      <c r="I906" s="6" t="s">
        <v>5130</v>
      </c>
    </row>
    <row r="907" customFormat="false" ht="15" hidden="false" customHeight="false" outlineLevel="0" collapsed="false">
      <c r="A907" s="6" t="s">
        <v>6127</v>
      </c>
      <c r="B907" s="6" t="s">
        <v>3749</v>
      </c>
      <c r="C907" s="26" t="n">
        <v>46056</v>
      </c>
      <c r="D907" s="6" t="s">
        <v>5143</v>
      </c>
      <c r="E907" s="6" t="s">
        <v>21</v>
      </c>
      <c r="F907" s="6" t="n">
        <v>1</v>
      </c>
      <c r="G907" s="10" t="n">
        <v>1179</v>
      </c>
      <c r="H907" s="10" t="n">
        <f aca="false">F907*G907</f>
        <v>1179</v>
      </c>
      <c r="I907" s="6" t="s">
        <v>5148</v>
      </c>
    </row>
    <row r="908" customFormat="false" ht="15" hidden="false" customHeight="false" outlineLevel="0" collapsed="false">
      <c r="A908" s="6" t="s">
        <v>6128</v>
      </c>
      <c r="B908" s="6" t="s">
        <v>1753</v>
      </c>
      <c r="C908" s="26" t="n">
        <v>46056</v>
      </c>
      <c r="D908" s="6" t="s">
        <v>5121</v>
      </c>
      <c r="E908" s="6" t="s">
        <v>22</v>
      </c>
      <c r="F908" s="6" t="n">
        <v>1</v>
      </c>
      <c r="G908" s="10" t="n">
        <v>880</v>
      </c>
      <c r="H908" s="10" t="n">
        <f aca="false">F908*G908</f>
        <v>880</v>
      </c>
      <c r="I908" s="6" t="s">
        <v>5125</v>
      </c>
    </row>
    <row r="909" customFormat="false" ht="15" hidden="false" customHeight="false" outlineLevel="0" collapsed="false">
      <c r="A909" s="6" t="s">
        <v>6129</v>
      </c>
      <c r="B909" s="6" t="s">
        <v>3145</v>
      </c>
      <c r="C909" s="26" t="n">
        <v>46056</v>
      </c>
      <c r="D909" s="6" t="s">
        <v>5121</v>
      </c>
      <c r="E909" s="6" t="s">
        <v>22</v>
      </c>
      <c r="F909" s="6" t="n">
        <v>3</v>
      </c>
      <c r="G909" s="10" t="n">
        <v>928</v>
      </c>
      <c r="H909" s="10" t="n">
        <f aca="false">F909*G909</f>
        <v>2784</v>
      </c>
      <c r="I909" s="6" t="s">
        <v>5122</v>
      </c>
    </row>
    <row r="910" customFormat="false" ht="15" hidden="false" customHeight="false" outlineLevel="0" collapsed="false">
      <c r="A910" s="6" t="s">
        <v>6130</v>
      </c>
      <c r="B910" s="6" t="s">
        <v>4213</v>
      </c>
      <c r="C910" s="26" t="n">
        <v>46056</v>
      </c>
      <c r="D910" s="6" t="s">
        <v>5143</v>
      </c>
      <c r="E910" s="6" t="s">
        <v>21</v>
      </c>
      <c r="F910" s="6" t="n">
        <v>2</v>
      </c>
      <c r="G910" s="10" t="n">
        <v>1179</v>
      </c>
      <c r="H910" s="10" t="n">
        <f aca="false">F910*G910</f>
        <v>2358</v>
      </c>
      <c r="I910" s="6" t="s">
        <v>5130</v>
      </c>
    </row>
    <row r="911" customFormat="false" ht="15" hidden="false" customHeight="false" outlineLevel="0" collapsed="false">
      <c r="A911" s="6" t="s">
        <v>6131</v>
      </c>
      <c r="B911" s="6" t="s">
        <v>4707</v>
      </c>
      <c r="C911" s="26" t="n">
        <v>46056</v>
      </c>
      <c r="D911" s="6" t="s">
        <v>5303</v>
      </c>
      <c r="E911" s="6" t="s">
        <v>22</v>
      </c>
      <c r="F911" s="6" t="n">
        <v>1</v>
      </c>
      <c r="G911" s="10" t="n">
        <v>2445</v>
      </c>
      <c r="H911" s="10" t="n">
        <f aca="false">F911*G911</f>
        <v>2445</v>
      </c>
      <c r="I911" s="6" t="s">
        <v>5173</v>
      </c>
    </row>
    <row r="912" customFormat="false" ht="15" hidden="false" customHeight="false" outlineLevel="0" collapsed="false">
      <c r="A912" s="6" t="s">
        <v>6132</v>
      </c>
      <c r="B912" s="6" t="s">
        <v>1845</v>
      </c>
      <c r="C912" s="26" t="n">
        <v>46056</v>
      </c>
      <c r="D912" s="6" t="s">
        <v>5214</v>
      </c>
      <c r="E912" s="6" t="s">
        <v>20</v>
      </c>
      <c r="F912" s="6" t="n">
        <v>1</v>
      </c>
      <c r="G912" s="10" t="n">
        <v>2039</v>
      </c>
      <c r="H912" s="10" t="n">
        <f aca="false">F912*G912</f>
        <v>2039</v>
      </c>
      <c r="I912" s="6" t="s">
        <v>5148</v>
      </c>
    </row>
    <row r="913" customFormat="false" ht="15" hidden="false" customHeight="false" outlineLevel="0" collapsed="false">
      <c r="A913" s="6" t="s">
        <v>6133</v>
      </c>
      <c r="B913" s="6" t="s">
        <v>3901</v>
      </c>
      <c r="C913" s="26" t="n">
        <v>46056</v>
      </c>
      <c r="D913" s="6" t="s">
        <v>5167</v>
      </c>
      <c r="E913" s="6" t="s">
        <v>22</v>
      </c>
      <c r="F913" s="6" t="n">
        <v>1</v>
      </c>
      <c r="G913" s="10" t="n">
        <v>782</v>
      </c>
      <c r="H913" s="10" t="n">
        <f aca="false">F913*G913</f>
        <v>782</v>
      </c>
      <c r="I913" s="6" t="s">
        <v>5148</v>
      </c>
    </row>
    <row r="914" customFormat="false" ht="15" hidden="false" customHeight="false" outlineLevel="0" collapsed="false">
      <c r="A914" s="6" t="s">
        <v>6134</v>
      </c>
      <c r="B914" s="6" t="s">
        <v>4217</v>
      </c>
      <c r="C914" s="26" t="n">
        <v>46056</v>
      </c>
      <c r="D914" s="6" t="s">
        <v>5163</v>
      </c>
      <c r="E914" s="6" t="s">
        <v>23</v>
      </c>
      <c r="F914" s="6" t="n">
        <v>3</v>
      </c>
      <c r="G914" s="10" t="n">
        <v>783</v>
      </c>
      <c r="H914" s="10" t="n">
        <f aca="false">F914*G914</f>
        <v>2349</v>
      </c>
      <c r="I914" s="6" t="s">
        <v>5125</v>
      </c>
    </row>
    <row r="915" customFormat="false" ht="15" hidden="false" customHeight="false" outlineLevel="0" collapsed="false">
      <c r="A915" s="6" t="s">
        <v>6135</v>
      </c>
      <c r="B915" s="6" t="s">
        <v>1841</v>
      </c>
      <c r="C915" s="26" t="n">
        <v>46056</v>
      </c>
      <c r="D915" s="6" t="s">
        <v>5167</v>
      </c>
      <c r="E915" s="6" t="s">
        <v>22</v>
      </c>
      <c r="F915" s="6" t="n">
        <v>2</v>
      </c>
      <c r="G915" s="10" t="n">
        <v>782</v>
      </c>
      <c r="H915" s="10" t="n">
        <f aca="false">F915*G915</f>
        <v>1564</v>
      </c>
      <c r="I915" s="6" t="s">
        <v>5148</v>
      </c>
    </row>
    <row r="916" customFormat="false" ht="15" hidden="false" customHeight="false" outlineLevel="0" collapsed="false">
      <c r="A916" s="6" t="s">
        <v>6136</v>
      </c>
      <c r="B916" s="6" t="s">
        <v>4399</v>
      </c>
      <c r="C916" s="26" t="n">
        <v>46056</v>
      </c>
      <c r="D916" s="6" t="s">
        <v>5180</v>
      </c>
      <c r="E916" s="6" t="s">
        <v>24</v>
      </c>
      <c r="F916" s="6" t="n">
        <v>1</v>
      </c>
      <c r="G916" s="10" t="n">
        <v>1788</v>
      </c>
      <c r="H916" s="10" t="n">
        <f aca="false">F916*G916</f>
        <v>1788</v>
      </c>
      <c r="I916" s="6" t="s">
        <v>5122</v>
      </c>
    </row>
    <row r="917" customFormat="false" ht="15" hidden="false" customHeight="false" outlineLevel="0" collapsed="false">
      <c r="A917" s="6" t="s">
        <v>6137</v>
      </c>
      <c r="B917" s="6" t="s">
        <v>2841</v>
      </c>
      <c r="C917" s="26" t="n">
        <v>46056</v>
      </c>
      <c r="D917" s="6" t="s">
        <v>5298</v>
      </c>
      <c r="E917" s="6" t="s">
        <v>23</v>
      </c>
      <c r="F917" s="6" t="n">
        <v>3</v>
      </c>
      <c r="G917" s="10" t="n">
        <v>293</v>
      </c>
      <c r="H917" s="10" t="n">
        <f aca="false">F917*G917</f>
        <v>879</v>
      </c>
      <c r="I917" s="6" t="s">
        <v>5122</v>
      </c>
    </row>
    <row r="918" customFormat="false" ht="15" hidden="false" customHeight="false" outlineLevel="0" collapsed="false">
      <c r="A918" s="6" t="s">
        <v>6138</v>
      </c>
      <c r="B918" s="6" t="s">
        <v>2843</v>
      </c>
      <c r="C918" s="26" t="n">
        <v>46056</v>
      </c>
      <c r="D918" s="6" t="s">
        <v>5171</v>
      </c>
      <c r="E918" s="6" t="s">
        <v>23</v>
      </c>
      <c r="F918" s="6" t="n">
        <v>1</v>
      </c>
      <c r="G918" s="10" t="n">
        <v>661</v>
      </c>
      <c r="H918" s="10" t="n">
        <f aca="false">F918*G918</f>
        <v>661</v>
      </c>
      <c r="I918" s="6" t="s">
        <v>5133</v>
      </c>
    </row>
    <row r="919" customFormat="false" ht="15" hidden="false" customHeight="false" outlineLevel="0" collapsed="false">
      <c r="A919" s="6" t="s">
        <v>6139</v>
      </c>
      <c r="B919" s="6" t="s">
        <v>1983</v>
      </c>
      <c r="C919" s="26" t="n">
        <v>46056</v>
      </c>
      <c r="D919" s="6" t="s">
        <v>5237</v>
      </c>
      <c r="E919" s="6" t="s">
        <v>24</v>
      </c>
      <c r="F919" s="6" t="n">
        <v>1</v>
      </c>
      <c r="G919" s="10" t="n">
        <v>1833</v>
      </c>
      <c r="H919" s="10" t="n">
        <f aca="false">F919*G919</f>
        <v>1833</v>
      </c>
      <c r="I919" s="6" t="s">
        <v>5122</v>
      </c>
    </row>
    <row r="920" customFormat="false" ht="15" hidden="false" customHeight="false" outlineLevel="0" collapsed="false">
      <c r="A920" s="6" t="s">
        <v>6140</v>
      </c>
      <c r="B920" s="6" t="s">
        <v>1047</v>
      </c>
      <c r="C920" s="26" t="n">
        <v>46056</v>
      </c>
      <c r="D920" s="6" t="s">
        <v>5466</v>
      </c>
      <c r="E920" s="6" t="s">
        <v>21</v>
      </c>
      <c r="F920" s="6" t="n">
        <v>1</v>
      </c>
      <c r="G920" s="10" t="n">
        <v>1867</v>
      </c>
      <c r="H920" s="10" t="n">
        <f aca="false">F920*G920</f>
        <v>1867</v>
      </c>
      <c r="I920" s="6" t="s">
        <v>5122</v>
      </c>
    </row>
    <row r="921" customFormat="false" ht="15" hidden="false" customHeight="false" outlineLevel="0" collapsed="false">
      <c r="A921" s="6" t="s">
        <v>6141</v>
      </c>
      <c r="B921" s="6" t="s">
        <v>428</v>
      </c>
      <c r="C921" s="26" t="n">
        <v>46056</v>
      </c>
      <c r="D921" s="6" t="s">
        <v>5154</v>
      </c>
      <c r="E921" s="6" t="s">
        <v>21</v>
      </c>
      <c r="F921" s="6" t="n">
        <v>2</v>
      </c>
      <c r="G921" s="10" t="n">
        <v>746</v>
      </c>
      <c r="H921" s="10" t="n">
        <f aca="false">F921*G921</f>
        <v>1492</v>
      </c>
      <c r="I921" s="6" t="s">
        <v>5122</v>
      </c>
    </row>
    <row r="922" customFormat="false" ht="15" hidden="false" customHeight="false" outlineLevel="0" collapsed="false">
      <c r="A922" s="6" t="s">
        <v>6142</v>
      </c>
      <c r="B922" s="6" t="s">
        <v>4017</v>
      </c>
      <c r="C922" s="26" t="n">
        <v>46056</v>
      </c>
      <c r="D922" s="6" t="s">
        <v>5163</v>
      </c>
      <c r="E922" s="6" t="s">
        <v>23</v>
      </c>
      <c r="F922" s="6" t="n">
        <v>2</v>
      </c>
      <c r="G922" s="10" t="n">
        <v>705</v>
      </c>
      <c r="H922" s="10" t="n">
        <f aca="false">F922*G922</f>
        <v>1410</v>
      </c>
      <c r="I922" s="6" t="s">
        <v>5122</v>
      </c>
    </row>
    <row r="923" customFormat="false" ht="15" hidden="false" customHeight="false" outlineLevel="0" collapsed="false">
      <c r="A923" s="6" t="s">
        <v>6143</v>
      </c>
      <c r="B923" s="6" t="s">
        <v>743</v>
      </c>
      <c r="C923" s="26" t="n">
        <v>46056</v>
      </c>
      <c r="D923" s="6" t="s">
        <v>5273</v>
      </c>
      <c r="E923" s="6" t="s">
        <v>23</v>
      </c>
      <c r="F923" s="6" t="n">
        <v>5</v>
      </c>
      <c r="G923" s="10" t="n">
        <v>240</v>
      </c>
      <c r="H923" s="10" t="n">
        <f aca="false">F923*G923</f>
        <v>1200</v>
      </c>
      <c r="I923" s="6" t="s">
        <v>5122</v>
      </c>
    </row>
    <row r="924" customFormat="false" ht="15" hidden="false" customHeight="false" outlineLevel="0" collapsed="false">
      <c r="A924" s="6" t="s">
        <v>6144</v>
      </c>
      <c r="B924" s="6" t="s">
        <v>5007</v>
      </c>
      <c r="C924" s="26" t="n">
        <v>46056</v>
      </c>
      <c r="D924" s="6" t="s">
        <v>5216</v>
      </c>
      <c r="E924" s="6" t="s">
        <v>23</v>
      </c>
      <c r="F924" s="6" t="n">
        <v>1</v>
      </c>
      <c r="G924" s="10" t="n">
        <v>587</v>
      </c>
      <c r="H924" s="10" t="n">
        <f aca="false">F924*G924</f>
        <v>587</v>
      </c>
      <c r="I924" s="6" t="s">
        <v>5122</v>
      </c>
    </row>
    <row r="925" customFormat="false" ht="15" hidden="false" customHeight="false" outlineLevel="0" collapsed="false">
      <c r="A925" s="6" t="s">
        <v>6145</v>
      </c>
      <c r="B925" s="6" t="s">
        <v>4667</v>
      </c>
      <c r="C925" s="26" t="n">
        <v>46056</v>
      </c>
      <c r="D925" s="6" t="s">
        <v>5167</v>
      </c>
      <c r="E925" s="6" t="s">
        <v>22</v>
      </c>
      <c r="F925" s="6" t="n">
        <v>1</v>
      </c>
      <c r="G925" s="10" t="n">
        <v>782</v>
      </c>
      <c r="H925" s="10" t="n">
        <f aca="false">F925*G925</f>
        <v>782</v>
      </c>
      <c r="I925" s="6" t="s">
        <v>5122</v>
      </c>
    </row>
    <row r="926" customFormat="false" ht="15" hidden="false" customHeight="false" outlineLevel="0" collapsed="false">
      <c r="A926" s="6" t="s">
        <v>6146</v>
      </c>
      <c r="B926" s="6" t="s">
        <v>5107</v>
      </c>
      <c r="C926" s="26" t="n">
        <v>46056</v>
      </c>
      <c r="D926" s="6" t="s">
        <v>5749</v>
      </c>
      <c r="E926" s="6" t="s">
        <v>20</v>
      </c>
      <c r="F926" s="6" t="n">
        <v>2</v>
      </c>
      <c r="G926" s="10" t="n">
        <v>815</v>
      </c>
      <c r="H926" s="10" t="n">
        <f aca="false">F926*G926</f>
        <v>1630</v>
      </c>
      <c r="I926" s="6" t="s">
        <v>5122</v>
      </c>
    </row>
    <row r="927" customFormat="false" ht="15" hidden="false" customHeight="false" outlineLevel="0" collapsed="false">
      <c r="A927" s="6" t="s">
        <v>6147</v>
      </c>
      <c r="B927" s="6" t="s">
        <v>2521</v>
      </c>
      <c r="C927" s="26" t="n">
        <v>46056</v>
      </c>
      <c r="D927" s="6" t="s">
        <v>5129</v>
      </c>
      <c r="E927" s="6" t="s">
        <v>21</v>
      </c>
      <c r="F927" s="6" t="n">
        <v>1</v>
      </c>
      <c r="G927" s="10" t="n">
        <v>530</v>
      </c>
      <c r="H927" s="10" t="n">
        <f aca="false">F927*G927</f>
        <v>530</v>
      </c>
      <c r="I927" s="6" t="s">
        <v>5122</v>
      </c>
    </row>
    <row r="928" customFormat="false" ht="15" hidden="false" customHeight="false" outlineLevel="0" collapsed="false">
      <c r="A928" s="6" t="s">
        <v>6148</v>
      </c>
      <c r="B928" s="6" t="s">
        <v>803</v>
      </c>
      <c r="C928" s="26" t="n">
        <v>46056</v>
      </c>
      <c r="D928" s="6" t="s">
        <v>6149</v>
      </c>
      <c r="E928" s="6" t="s">
        <v>20</v>
      </c>
      <c r="F928" s="6" t="n">
        <v>1</v>
      </c>
      <c r="G928" s="10" t="n">
        <v>28553</v>
      </c>
      <c r="H928" s="10" t="n">
        <f aca="false">F928*G928</f>
        <v>28553</v>
      </c>
      <c r="I928" s="6" t="s">
        <v>5122</v>
      </c>
    </row>
    <row r="929" customFormat="false" ht="15" hidden="false" customHeight="false" outlineLevel="0" collapsed="false">
      <c r="A929" s="6" t="s">
        <v>6150</v>
      </c>
      <c r="B929" s="6" t="s">
        <v>1887</v>
      </c>
      <c r="C929" s="26" t="n">
        <v>46057</v>
      </c>
      <c r="D929" s="6" t="s">
        <v>5326</v>
      </c>
      <c r="E929" s="6" t="s">
        <v>22</v>
      </c>
      <c r="F929" s="6" t="n">
        <v>2</v>
      </c>
      <c r="G929" s="10" t="n">
        <v>1466</v>
      </c>
      <c r="H929" s="10" t="n">
        <f aca="false">F929*G929</f>
        <v>2932</v>
      </c>
      <c r="I929" s="6" t="s">
        <v>5122</v>
      </c>
    </row>
    <row r="930" customFormat="false" ht="15" hidden="false" customHeight="false" outlineLevel="0" collapsed="false">
      <c r="A930" s="6" t="s">
        <v>6151</v>
      </c>
      <c r="B930" s="6" t="s">
        <v>1875</v>
      </c>
      <c r="C930" s="26" t="n">
        <v>46057</v>
      </c>
      <c r="D930" s="6" t="s">
        <v>5261</v>
      </c>
      <c r="E930" s="6" t="s">
        <v>23</v>
      </c>
      <c r="F930" s="6" t="n">
        <v>3</v>
      </c>
      <c r="G930" s="10" t="n">
        <v>175</v>
      </c>
      <c r="H930" s="10" t="n">
        <f aca="false">F930*G930</f>
        <v>525</v>
      </c>
      <c r="I930" s="6" t="s">
        <v>5130</v>
      </c>
    </row>
    <row r="931" customFormat="false" ht="15" hidden="false" customHeight="false" outlineLevel="0" collapsed="false">
      <c r="A931" s="6" t="s">
        <v>6152</v>
      </c>
      <c r="B931" s="6" t="s">
        <v>1447</v>
      </c>
      <c r="C931" s="26" t="n">
        <v>46057</v>
      </c>
      <c r="D931" s="6" t="s">
        <v>5345</v>
      </c>
      <c r="E931" s="6" t="s">
        <v>23</v>
      </c>
      <c r="F931" s="6" t="n">
        <v>3</v>
      </c>
      <c r="G931" s="10" t="n">
        <v>436</v>
      </c>
      <c r="H931" s="10" t="n">
        <f aca="false">F931*G931</f>
        <v>1308</v>
      </c>
      <c r="I931" s="6" t="s">
        <v>5125</v>
      </c>
    </row>
    <row r="932" customFormat="false" ht="15" hidden="false" customHeight="false" outlineLevel="0" collapsed="false">
      <c r="A932" s="6" t="s">
        <v>6153</v>
      </c>
      <c r="B932" s="6" t="s">
        <v>3991</v>
      </c>
      <c r="C932" s="26" t="n">
        <v>46057</v>
      </c>
      <c r="D932" s="6" t="s">
        <v>5216</v>
      </c>
      <c r="E932" s="6" t="s">
        <v>23</v>
      </c>
      <c r="F932" s="6" t="n">
        <v>1</v>
      </c>
      <c r="G932" s="10" t="n">
        <v>528</v>
      </c>
      <c r="H932" s="10" t="n">
        <f aca="false">F932*G932</f>
        <v>528</v>
      </c>
      <c r="I932" s="6" t="s">
        <v>5148</v>
      </c>
    </row>
    <row r="933" customFormat="false" ht="15" hidden="false" customHeight="false" outlineLevel="0" collapsed="false">
      <c r="A933" s="6" t="s">
        <v>6154</v>
      </c>
      <c r="B933" s="6" t="s">
        <v>2059</v>
      </c>
      <c r="C933" s="26" t="n">
        <v>46057</v>
      </c>
      <c r="D933" s="6" t="s">
        <v>5129</v>
      </c>
      <c r="E933" s="6" t="s">
        <v>21</v>
      </c>
      <c r="F933" s="6" t="n">
        <v>2</v>
      </c>
      <c r="G933" s="10" t="n">
        <v>589</v>
      </c>
      <c r="H933" s="10" t="n">
        <f aca="false">F933*G933</f>
        <v>1178</v>
      </c>
      <c r="I933" s="6" t="s">
        <v>5122</v>
      </c>
    </row>
    <row r="934" customFormat="false" ht="15" hidden="false" customHeight="false" outlineLevel="0" collapsed="false">
      <c r="A934" s="6" t="s">
        <v>6155</v>
      </c>
      <c r="B934" s="6" t="s">
        <v>2527</v>
      </c>
      <c r="C934" s="26" t="n">
        <v>46057</v>
      </c>
      <c r="D934" s="6" t="s">
        <v>5132</v>
      </c>
      <c r="E934" s="6" t="s">
        <v>23</v>
      </c>
      <c r="F934" s="6" t="n">
        <v>2</v>
      </c>
      <c r="G934" s="10" t="n">
        <v>325</v>
      </c>
      <c r="H934" s="10" t="n">
        <f aca="false">F934*G934</f>
        <v>650</v>
      </c>
      <c r="I934" s="6" t="s">
        <v>5130</v>
      </c>
    </row>
    <row r="935" customFormat="false" ht="15" hidden="false" customHeight="false" outlineLevel="0" collapsed="false">
      <c r="A935" s="6" t="s">
        <v>6156</v>
      </c>
      <c r="B935" s="6" t="s">
        <v>3725</v>
      </c>
      <c r="C935" s="26" t="n">
        <v>46057</v>
      </c>
      <c r="D935" s="6" t="s">
        <v>5135</v>
      </c>
      <c r="E935" s="6" t="s">
        <v>23</v>
      </c>
      <c r="F935" s="6" t="n">
        <v>3</v>
      </c>
      <c r="G935" s="10" t="n">
        <v>441</v>
      </c>
      <c r="H935" s="10" t="n">
        <f aca="false">F935*G935</f>
        <v>1323</v>
      </c>
      <c r="I935" s="6" t="s">
        <v>5122</v>
      </c>
    </row>
    <row r="936" customFormat="false" ht="15" hidden="false" customHeight="false" outlineLevel="0" collapsed="false">
      <c r="A936" s="6" t="s">
        <v>6157</v>
      </c>
      <c r="B936" s="6" t="s">
        <v>4701</v>
      </c>
      <c r="C936" s="26" t="n">
        <v>46057</v>
      </c>
      <c r="D936" s="6" t="s">
        <v>5121</v>
      </c>
      <c r="E936" s="6" t="s">
        <v>22</v>
      </c>
      <c r="F936" s="6" t="n">
        <v>1</v>
      </c>
      <c r="G936" s="10" t="n">
        <v>977</v>
      </c>
      <c r="H936" s="10" t="n">
        <f aca="false">F936*G936</f>
        <v>977</v>
      </c>
      <c r="I936" s="6" t="s">
        <v>5148</v>
      </c>
    </row>
    <row r="937" customFormat="false" ht="15" hidden="false" customHeight="false" outlineLevel="0" collapsed="false">
      <c r="A937" s="6" t="s">
        <v>6158</v>
      </c>
      <c r="B937" s="6" t="s">
        <v>1515</v>
      </c>
      <c r="C937" s="26" t="n">
        <v>46057</v>
      </c>
      <c r="D937" s="6" t="s">
        <v>5165</v>
      </c>
      <c r="E937" s="6" t="s">
        <v>22</v>
      </c>
      <c r="F937" s="6" t="n">
        <v>3</v>
      </c>
      <c r="G937" s="10" t="n">
        <v>977</v>
      </c>
      <c r="H937" s="10" t="n">
        <f aca="false">F937*G937</f>
        <v>2931</v>
      </c>
      <c r="I937" s="6" t="s">
        <v>5122</v>
      </c>
    </row>
    <row r="938" customFormat="false" ht="15" hidden="false" customHeight="false" outlineLevel="0" collapsed="false">
      <c r="A938" s="6" t="s">
        <v>6159</v>
      </c>
      <c r="B938" s="6" t="s">
        <v>3957</v>
      </c>
      <c r="C938" s="26" t="n">
        <v>46057</v>
      </c>
      <c r="D938" s="6" t="s">
        <v>5167</v>
      </c>
      <c r="E938" s="6" t="s">
        <v>22</v>
      </c>
      <c r="F938" s="6" t="n">
        <v>2</v>
      </c>
      <c r="G938" s="10" t="n">
        <v>782</v>
      </c>
      <c r="H938" s="10" t="n">
        <f aca="false">F938*G938</f>
        <v>1564</v>
      </c>
      <c r="I938" s="6" t="s">
        <v>5122</v>
      </c>
    </row>
    <row r="939" customFormat="false" ht="15" hidden="false" customHeight="false" outlineLevel="0" collapsed="false">
      <c r="A939" s="6" t="s">
        <v>6160</v>
      </c>
      <c r="B939" s="6" t="s">
        <v>2489</v>
      </c>
      <c r="C939" s="26" t="n">
        <v>46057</v>
      </c>
      <c r="D939" s="6" t="s">
        <v>5182</v>
      </c>
      <c r="E939" s="6" t="s">
        <v>23</v>
      </c>
      <c r="F939" s="6" t="n">
        <v>3</v>
      </c>
      <c r="G939" s="10" t="n">
        <v>367</v>
      </c>
      <c r="H939" s="10" t="n">
        <f aca="false">F939*G939</f>
        <v>1101</v>
      </c>
      <c r="I939" s="6" t="s">
        <v>5125</v>
      </c>
    </row>
    <row r="940" customFormat="false" ht="15" hidden="false" customHeight="false" outlineLevel="0" collapsed="false">
      <c r="A940" s="6" t="s">
        <v>6161</v>
      </c>
      <c r="B940" s="6" t="s">
        <v>3133</v>
      </c>
      <c r="C940" s="26" t="n">
        <v>46057</v>
      </c>
      <c r="D940" s="6" t="s">
        <v>5240</v>
      </c>
      <c r="E940" s="6" t="s">
        <v>20</v>
      </c>
      <c r="F940" s="6" t="n">
        <v>1</v>
      </c>
      <c r="G940" s="10" t="n">
        <v>4843</v>
      </c>
      <c r="H940" s="10" t="n">
        <f aca="false">F940*G940</f>
        <v>4843</v>
      </c>
      <c r="I940" s="6" t="s">
        <v>5122</v>
      </c>
    </row>
    <row r="941" customFormat="false" ht="15" hidden="false" customHeight="false" outlineLevel="0" collapsed="false">
      <c r="A941" s="6" t="s">
        <v>6162</v>
      </c>
      <c r="B941" s="6" t="s">
        <v>1601</v>
      </c>
      <c r="C941" s="26" t="n">
        <v>46057</v>
      </c>
      <c r="D941" s="6" t="s">
        <v>5145</v>
      </c>
      <c r="E941" s="6" t="s">
        <v>21</v>
      </c>
      <c r="F941" s="6" t="n">
        <v>1</v>
      </c>
      <c r="G941" s="10" t="n">
        <v>1149</v>
      </c>
      <c r="H941" s="10" t="n">
        <f aca="false">F941*G941</f>
        <v>1149</v>
      </c>
      <c r="I941" s="6" t="s">
        <v>5148</v>
      </c>
    </row>
    <row r="942" customFormat="false" ht="15" hidden="false" customHeight="false" outlineLevel="0" collapsed="false">
      <c r="A942" s="6" t="s">
        <v>6163</v>
      </c>
      <c r="B942" s="6" t="s">
        <v>1313</v>
      </c>
      <c r="C942" s="26" t="n">
        <v>46057</v>
      </c>
      <c r="D942" s="6" t="s">
        <v>5269</v>
      </c>
      <c r="E942" s="6" t="s">
        <v>22</v>
      </c>
      <c r="F942" s="6" t="n">
        <v>2</v>
      </c>
      <c r="G942" s="10" t="n">
        <v>1271</v>
      </c>
      <c r="H942" s="10" t="n">
        <f aca="false">F942*G942</f>
        <v>2542</v>
      </c>
      <c r="I942" s="6" t="s">
        <v>5125</v>
      </c>
    </row>
    <row r="943" customFormat="false" ht="15" hidden="false" customHeight="false" outlineLevel="0" collapsed="false">
      <c r="A943" s="6" t="s">
        <v>6164</v>
      </c>
      <c r="B943" s="6" t="s">
        <v>519</v>
      </c>
      <c r="C943" s="26" t="n">
        <v>46057</v>
      </c>
      <c r="D943" s="6" t="s">
        <v>5141</v>
      </c>
      <c r="E943" s="6" t="s">
        <v>20</v>
      </c>
      <c r="F943" s="6" t="n">
        <v>1</v>
      </c>
      <c r="G943" s="10" t="n">
        <v>1742</v>
      </c>
      <c r="H943" s="10" t="n">
        <f aca="false">F943*G943</f>
        <v>1742</v>
      </c>
      <c r="I943" s="6" t="s">
        <v>5122</v>
      </c>
    </row>
    <row r="944" customFormat="false" ht="15" hidden="false" customHeight="false" outlineLevel="0" collapsed="false">
      <c r="A944" s="6" t="s">
        <v>6165</v>
      </c>
      <c r="B944" s="6" t="s">
        <v>451</v>
      </c>
      <c r="C944" s="26" t="n">
        <v>46057</v>
      </c>
      <c r="D944" s="6" t="s">
        <v>5167</v>
      </c>
      <c r="E944" s="6" t="s">
        <v>22</v>
      </c>
      <c r="F944" s="6" t="n">
        <v>2</v>
      </c>
      <c r="G944" s="10" t="n">
        <v>703</v>
      </c>
      <c r="H944" s="10" t="n">
        <f aca="false">F944*G944</f>
        <v>1406</v>
      </c>
      <c r="I944" s="6" t="s">
        <v>5122</v>
      </c>
    </row>
    <row r="945" customFormat="false" ht="15" hidden="false" customHeight="false" outlineLevel="0" collapsed="false">
      <c r="A945" s="6" t="s">
        <v>6166</v>
      </c>
      <c r="B945" s="6" t="s">
        <v>4825</v>
      </c>
      <c r="C945" s="26" t="n">
        <v>46057</v>
      </c>
      <c r="D945" s="6" t="s">
        <v>5538</v>
      </c>
      <c r="E945" s="6" t="s">
        <v>21</v>
      </c>
      <c r="F945" s="6" t="n">
        <v>1</v>
      </c>
      <c r="G945" s="10" t="n">
        <v>5405</v>
      </c>
      <c r="H945" s="10" t="n">
        <f aca="false">F945*G945</f>
        <v>5405</v>
      </c>
      <c r="I945" s="6" t="s">
        <v>5122</v>
      </c>
    </row>
    <row r="946" customFormat="false" ht="15" hidden="false" customHeight="false" outlineLevel="0" collapsed="false">
      <c r="A946" s="6" t="s">
        <v>6167</v>
      </c>
      <c r="B946" s="6" t="s">
        <v>2735</v>
      </c>
      <c r="C946" s="26" t="n">
        <v>46057</v>
      </c>
      <c r="D946" s="6" t="s">
        <v>5863</v>
      </c>
      <c r="E946" s="6" t="s">
        <v>20</v>
      </c>
      <c r="F946" s="6" t="n">
        <v>1</v>
      </c>
      <c r="G946" s="10" t="n">
        <v>18354</v>
      </c>
      <c r="H946" s="10" t="n">
        <f aca="false">F946*G946</f>
        <v>18354</v>
      </c>
      <c r="I946" s="6" t="s">
        <v>5125</v>
      </c>
    </row>
    <row r="947" customFormat="false" ht="15" hidden="false" customHeight="false" outlineLevel="0" collapsed="false">
      <c r="A947" s="6" t="s">
        <v>6168</v>
      </c>
      <c r="B947" s="6" t="s">
        <v>4943</v>
      </c>
      <c r="C947" s="26" t="n">
        <v>46057</v>
      </c>
      <c r="D947" s="6" t="s">
        <v>5466</v>
      </c>
      <c r="E947" s="6" t="s">
        <v>21</v>
      </c>
      <c r="F947" s="6" t="n">
        <v>1</v>
      </c>
      <c r="G947" s="10" t="n">
        <v>1768</v>
      </c>
      <c r="H947" s="10" t="n">
        <f aca="false">F947*G947</f>
        <v>1768</v>
      </c>
      <c r="I947" s="6" t="s">
        <v>5148</v>
      </c>
    </row>
    <row r="948" customFormat="false" ht="15" hidden="false" customHeight="false" outlineLevel="0" collapsed="false">
      <c r="A948" s="6" t="s">
        <v>6169</v>
      </c>
      <c r="B948" s="6" t="s">
        <v>2009</v>
      </c>
      <c r="C948" s="26" t="n">
        <v>46057</v>
      </c>
      <c r="D948" s="6" t="s">
        <v>5135</v>
      </c>
      <c r="E948" s="6" t="s">
        <v>23</v>
      </c>
      <c r="F948" s="6" t="n">
        <v>3</v>
      </c>
      <c r="G948" s="10" t="n">
        <v>397</v>
      </c>
      <c r="H948" s="10" t="n">
        <f aca="false">F948*G948</f>
        <v>1191</v>
      </c>
      <c r="I948" s="6" t="s">
        <v>5148</v>
      </c>
    </row>
    <row r="949" customFormat="false" ht="15" hidden="false" customHeight="false" outlineLevel="0" collapsed="false">
      <c r="A949" s="6" t="s">
        <v>6170</v>
      </c>
      <c r="B949" s="6" t="s">
        <v>1571</v>
      </c>
      <c r="C949" s="26" t="n">
        <v>46057</v>
      </c>
      <c r="D949" s="6" t="s">
        <v>5127</v>
      </c>
      <c r="E949" s="6" t="s">
        <v>21</v>
      </c>
      <c r="F949" s="6" t="n">
        <v>3</v>
      </c>
      <c r="G949" s="10" t="n">
        <v>839</v>
      </c>
      <c r="H949" s="10" t="n">
        <f aca="false">F949*G949</f>
        <v>2517</v>
      </c>
      <c r="I949" s="6" t="s">
        <v>5122</v>
      </c>
    </row>
    <row r="950" customFormat="false" ht="15" hidden="false" customHeight="false" outlineLevel="0" collapsed="false">
      <c r="A950" s="6" t="s">
        <v>6171</v>
      </c>
      <c r="B950" s="6" t="s">
        <v>1807</v>
      </c>
      <c r="C950" s="26" t="n">
        <v>46057</v>
      </c>
      <c r="D950" s="6" t="s">
        <v>5165</v>
      </c>
      <c r="E950" s="6" t="s">
        <v>22</v>
      </c>
      <c r="F950" s="6" t="n">
        <v>2</v>
      </c>
      <c r="G950" s="10" t="n">
        <v>977</v>
      </c>
      <c r="H950" s="10" t="n">
        <f aca="false">F950*G950</f>
        <v>1954</v>
      </c>
      <c r="I950" s="6" t="s">
        <v>5122</v>
      </c>
    </row>
    <row r="951" customFormat="false" ht="15" hidden="false" customHeight="false" outlineLevel="0" collapsed="false">
      <c r="A951" s="6" t="s">
        <v>6172</v>
      </c>
      <c r="B951" s="6" t="s">
        <v>1245</v>
      </c>
      <c r="C951" s="26" t="n">
        <v>46057</v>
      </c>
      <c r="D951" s="6" t="s">
        <v>5538</v>
      </c>
      <c r="E951" s="6" t="s">
        <v>21</v>
      </c>
      <c r="F951" s="6" t="n">
        <v>1</v>
      </c>
      <c r="G951" s="10" t="n">
        <v>5405</v>
      </c>
      <c r="H951" s="10" t="n">
        <f aca="false">F951*G951</f>
        <v>5405</v>
      </c>
      <c r="I951" s="6" t="s">
        <v>5173</v>
      </c>
    </row>
    <row r="952" customFormat="false" ht="15" hidden="false" customHeight="false" outlineLevel="0" collapsed="false">
      <c r="A952" s="6" t="s">
        <v>6173</v>
      </c>
      <c r="B952" s="6" t="s">
        <v>258</v>
      </c>
      <c r="C952" s="26" t="n">
        <v>46057</v>
      </c>
      <c r="D952" s="6" t="s">
        <v>5345</v>
      </c>
      <c r="E952" s="6" t="s">
        <v>23</v>
      </c>
      <c r="F952" s="6" t="n">
        <v>1</v>
      </c>
      <c r="G952" s="10" t="n">
        <v>435</v>
      </c>
      <c r="H952" s="10" t="n">
        <f aca="false">F952*G952</f>
        <v>435</v>
      </c>
      <c r="I952" s="6" t="s">
        <v>5130</v>
      </c>
    </row>
    <row r="953" customFormat="false" ht="15" hidden="false" customHeight="false" outlineLevel="0" collapsed="false">
      <c r="A953" s="6" t="s">
        <v>6174</v>
      </c>
      <c r="B953" s="6" t="s">
        <v>3741</v>
      </c>
      <c r="C953" s="26" t="n">
        <v>46057</v>
      </c>
      <c r="D953" s="6" t="s">
        <v>5171</v>
      </c>
      <c r="E953" s="6" t="s">
        <v>23</v>
      </c>
      <c r="F953" s="6" t="n">
        <v>2</v>
      </c>
      <c r="G953" s="10" t="n">
        <v>734</v>
      </c>
      <c r="H953" s="10" t="n">
        <f aca="false">F953*G953</f>
        <v>1468</v>
      </c>
      <c r="I953" s="6" t="s">
        <v>5148</v>
      </c>
    </row>
    <row r="954" customFormat="false" ht="15" hidden="false" customHeight="false" outlineLevel="0" collapsed="false">
      <c r="A954" s="6" t="s">
        <v>6175</v>
      </c>
      <c r="B954" s="6" t="s">
        <v>3537</v>
      </c>
      <c r="C954" s="26" t="n">
        <v>46057</v>
      </c>
      <c r="D954" s="6" t="s">
        <v>5237</v>
      </c>
      <c r="E954" s="6" t="s">
        <v>24</v>
      </c>
      <c r="F954" s="6" t="n">
        <v>2</v>
      </c>
      <c r="G954" s="10" t="n">
        <v>1741</v>
      </c>
      <c r="H954" s="10" t="n">
        <f aca="false">F954*G954</f>
        <v>3482</v>
      </c>
      <c r="I954" s="6" t="s">
        <v>5133</v>
      </c>
    </row>
    <row r="955" customFormat="false" ht="15" hidden="false" customHeight="false" outlineLevel="0" collapsed="false">
      <c r="A955" s="6" t="s">
        <v>6176</v>
      </c>
      <c r="B955" s="6" t="s">
        <v>4615</v>
      </c>
      <c r="C955" s="26" t="n">
        <v>46057</v>
      </c>
      <c r="D955" s="6" t="s">
        <v>5175</v>
      </c>
      <c r="E955" s="6" t="s">
        <v>24</v>
      </c>
      <c r="F955" s="6" t="n">
        <v>1</v>
      </c>
      <c r="G955" s="10" t="n">
        <v>580</v>
      </c>
      <c r="H955" s="10" t="n">
        <f aca="false">F955*G955</f>
        <v>580</v>
      </c>
      <c r="I955" s="6" t="s">
        <v>5130</v>
      </c>
    </row>
    <row r="956" customFormat="false" ht="15" hidden="false" customHeight="false" outlineLevel="0" collapsed="false">
      <c r="A956" s="6" t="s">
        <v>6177</v>
      </c>
      <c r="B956" s="6" t="s">
        <v>5099</v>
      </c>
      <c r="C956" s="26" t="n">
        <v>46057</v>
      </c>
      <c r="D956" s="6" t="s">
        <v>5423</v>
      </c>
      <c r="E956" s="6" t="s">
        <v>21</v>
      </c>
      <c r="F956" s="6" t="n">
        <v>1</v>
      </c>
      <c r="G956" s="10" t="n">
        <v>3243</v>
      </c>
      <c r="H956" s="10" t="n">
        <f aca="false">F956*G956</f>
        <v>3243</v>
      </c>
      <c r="I956" s="6" t="s">
        <v>5130</v>
      </c>
    </row>
    <row r="957" customFormat="false" ht="15" hidden="false" customHeight="false" outlineLevel="0" collapsed="false">
      <c r="A957" s="6" t="s">
        <v>6178</v>
      </c>
      <c r="B957" s="6" t="s">
        <v>3417</v>
      </c>
      <c r="C957" s="26" t="n">
        <v>46057</v>
      </c>
      <c r="D957" s="6" t="s">
        <v>5192</v>
      </c>
      <c r="E957" s="6" t="s">
        <v>20</v>
      </c>
      <c r="F957" s="6" t="n">
        <v>1</v>
      </c>
      <c r="G957" s="10" t="n">
        <v>3874</v>
      </c>
      <c r="H957" s="10" t="n">
        <f aca="false">F957*G957</f>
        <v>3874</v>
      </c>
      <c r="I957" s="6" t="s">
        <v>5122</v>
      </c>
    </row>
    <row r="958" customFormat="false" ht="15" hidden="false" customHeight="false" outlineLevel="0" collapsed="false">
      <c r="A958" s="6" t="s">
        <v>6179</v>
      </c>
      <c r="B958" s="6" t="s">
        <v>1249</v>
      </c>
      <c r="C958" s="26" t="n">
        <v>46057</v>
      </c>
      <c r="D958" s="6" t="s">
        <v>5147</v>
      </c>
      <c r="E958" s="6" t="s">
        <v>24</v>
      </c>
      <c r="F958" s="6" t="n">
        <v>1</v>
      </c>
      <c r="G958" s="10" t="n">
        <v>661</v>
      </c>
      <c r="H958" s="10" t="n">
        <f aca="false">F958*G958</f>
        <v>661</v>
      </c>
      <c r="I958" s="6" t="s">
        <v>5125</v>
      </c>
    </row>
    <row r="959" customFormat="false" ht="15" hidden="false" customHeight="false" outlineLevel="0" collapsed="false">
      <c r="A959" s="6" t="s">
        <v>6180</v>
      </c>
      <c r="B959" s="6" t="s">
        <v>4983</v>
      </c>
      <c r="C959" s="26" t="n">
        <v>46057</v>
      </c>
      <c r="D959" s="6" t="s">
        <v>5269</v>
      </c>
      <c r="E959" s="6" t="s">
        <v>22</v>
      </c>
      <c r="F959" s="6" t="n">
        <v>1</v>
      </c>
      <c r="G959" s="10" t="n">
        <v>1271</v>
      </c>
      <c r="H959" s="10" t="n">
        <f aca="false">F959*G959</f>
        <v>1271</v>
      </c>
      <c r="I959" s="6" t="s">
        <v>5122</v>
      </c>
    </row>
    <row r="960" customFormat="false" ht="15" hidden="false" customHeight="false" outlineLevel="0" collapsed="false">
      <c r="A960" s="6" t="s">
        <v>6181</v>
      </c>
      <c r="B960" s="6" t="s">
        <v>4131</v>
      </c>
      <c r="C960" s="26" t="n">
        <v>46057</v>
      </c>
      <c r="D960" s="6" t="s">
        <v>5160</v>
      </c>
      <c r="E960" s="6" t="s">
        <v>21</v>
      </c>
      <c r="F960" s="6" t="n">
        <v>1</v>
      </c>
      <c r="G960" s="10" t="n">
        <v>2751</v>
      </c>
      <c r="H960" s="10" t="n">
        <f aca="false">F960*G960</f>
        <v>2751</v>
      </c>
      <c r="I960" s="6" t="s">
        <v>5125</v>
      </c>
    </row>
    <row r="961" customFormat="false" ht="15" hidden="false" customHeight="false" outlineLevel="0" collapsed="false">
      <c r="A961" s="6" t="s">
        <v>6182</v>
      </c>
      <c r="B961" s="6" t="s">
        <v>1097</v>
      </c>
      <c r="C961" s="26" t="n">
        <v>46057</v>
      </c>
      <c r="D961" s="6" t="s">
        <v>5242</v>
      </c>
      <c r="E961" s="6" t="s">
        <v>23</v>
      </c>
      <c r="F961" s="6" t="n">
        <v>2</v>
      </c>
      <c r="G961" s="10" t="n">
        <v>372</v>
      </c>
      <c r="H961" s="10" t="n">
        <f aca="false">F961*G961</f>
        <v>744</v>
      </c>
      <c r="I961" s="6" t="s">
        <v>5122</v>
      </c>
    </row>
    <row r="962" customFormat="false" ht="15" hidden="false" customHeight="false" outlineLevel="0" collapsed="false">
      <c r="A962" s="6" t="s">
        <v>6183</v>
      </c>
      <c r="B962" s="6" t="s">
        <v>4627</v>
      </c>
      <c r="C962" s="26" t="n">
        <v>46057</v>
      </c>
      <c r="D962" s="6" t="s">
        <v>5538</v>
      </c>
      <c r="E962" s="6" t="s">
        <v>21</v>
      </c>
      <c r="F962" s="6" t="n">
        <v>1</v>
      </c>
      <c r="G962" s="10" t="n">
        <v>4865</v>
      </c>
      <c r="H962" s="10" t="n">
        <f aca="false">F962*G962</f>
        <v>4865</v>
      </c>
      <c r="I962" s="6" t="s">
        <v>5130</v>
      </c>
    </row>
    <row r="963" customFormat="false" ht="15" hidden="false" customHeight="false" outlineLevel="0" collapsed="false">
      <c r="A963" s="6" t="s">
        <v>6184</v>
      </c>
      <c r="B963" s="6" t="s">
        <v>1065</v>
      </c>
      <c r="C963" s="26" t="n">
        <v>46058</v>
      </c>
      <c r="D963" s="6" t="s">
        <v>5154</v>
      </c>
      <c r="E963" s="6" t="s">
        <v>21</v>
      </c>
      <c r="F963" s="6" t="n">
        <v>1</v>
      </c>
      <c r="G963" s="10" t="n">
        <v>785</v>
      </c>
      <c r="H963" s="10" t="n">
        <f aca="false">F963*G963</f>
        <v>785</v>
      </c>
      <c r="I963" s="6" t="s">
        <v>5125</v>
      </c>
    </row>
    <row r="964" customFormat="false" ht="15" hidden="false" customHeight="false" outlineLevel="0" collapsed="false">
      <c r="A964" s="6" t="s">
        <v>6185</v>
      </c>
      <c r="B964" s="6" t="s">
        <v>4935</v>
      </c>
      <c r="C964" s="26" t="n">
        <v>46058</v>
      </c>
      <c r="D964" s="6" t="s">
        <v>5488</v>
      </c>
      <c r="E964" s="6" t="s">
        <v>24</v>
      </c>
      <c r="F964" s="6" t="n">
        <v>1</v>
      </c>
      <c r="G964" s="10" t="n">
        <v>866</v>
      </c>
      <c r="H964" s="10" t="n">
        <f aca="false">F964*G964</f>
        <v>866</v>
      </c>
      <c r="I964" s="6" t="s">
        <v>5148</v>
      </c>
    </row>
    <row r="965" customFormat="false" ht="15" hidden="false" customHeight="false" outlineLevel="0" collapsed="false">
      <c r="A965" s="6" t="s">
        <v>6186</v>
      </c>
      <c r="B965" s="6" t="s">
        <v>1491</v>
      </c>
      <c r="C965" s="26" t="n">
        <v>46058</v>
      </c>
      <c r="D965" s="6" t="s">
        <v>5163</v>
      </c>
      <c r="E965" s="6" t="s">
        <v>23</v>
      </c>
      <c r="F965" s="6" t="n">
        <v>3</v>
      </c>
      <c r="G965" s="10" t="n">
        <v>744</v>
      </c>
      <c r="H965" s="10" t="n">
        <f aca="false">F965*G965</f>
        <v>2232</v>
      </c>
      <c r="I965" s="6" t="s">
        <v>5173</v>
      </c>
    </row>
    <row r="966" customFormat="false" ht="15" hidden="false" customHeight="false" outlineLevel="0" collapsed="false">
      <c r="A966" s="6" t="s">
        <v>6187</v>
      </c>
      <c r="B966" s="6" t="s">
        <v>1911</v>
      </c>
      <c r="C966" s="26" t="n">
        <v>46058</v>
      </c>
      <c r="D966" s="6" t="s">
        <v>5167</v>
      </c>
      <c r="E966" s="6" t="s">
        <v>22</v>
      </c>
      <c r="F966" s="6" t="n">
        <v>1</v>
      </c>
      <c r="G966" s="10" t="n">
        <v>782</v>
      </c>
      <c r="H966" s="10" t="n">
        <f aca="false">F966*G966</f>
        <v>782</v>
      </c>
      <c r="I966" s="6" t="s">
        <v>5122</v>
      </c>
    </row>
    <row r="967" customFormat="false" ht="15" hidden="false" customHeight="false" outlineLevel="0" collapsed="false">
      <c r="A967" s="6" t="s">
        <v>6188</v>
      </c>
      <c r="B967" s="6" t="s">
        <v>4999</v>
      </c>
      <c r="C967" s="26" t="n">
        <v>46058</v>
      </c>
      <c r="D967" s="6" t="s">
        <v>5423</v>
      </c>
      <c r="E967" s="6" t="s">
        <v>21</v>
      </c>
      <c r="F967" s="6" t="n">
        <v>1</v>
      </c>
      <c r="G967" s="10" t="n">
        <v>3243</v>
      </c>
      <c r="H967" s="10" t="n">
        <f aca="false">F967*G967</f>
        <v>3243</v>
      </c>
      <c r="I967" s="6" t="s">
        <v>5122</v>
      </c>
    </row>
    <row r="968" customFormat="false" ht="15" hidden="false" customHeight="false" outlineLevel="0" collapsed="false">
      <c r="A968" s="6" t="s">
        <v>6189</v>
      </c>
      <c r="B968" s="6" t="s">
        <v>138</v>
      </c>
      <c r="C968" s="26" t="n">
        <v>46058</v>
      </c>
      <c r="D968" s="6" t="s">
        <v>5167</v>
      </c>
      <c r="E968" s="6" t="s">
        <v>22</v>
      </c>
      <c r="F968" s="6" t="n">
        <v>1</v>
      </c>
      <c r="G968" s="10" t="n">
        <v>782</v>
      </c>
      <c r="H968" s="10" t="n">
        <f aca="false">F968*G968</f>
        <v>782</v>
      </c>
      <c r="I968" s="6" t="s">
        <v>5125</v>
      </c>
    </row>
    <row r="969" customFormat="false" ht="15" hidden="false" customHeight="false" outlineLevel="0" collapsed="false">
      <c r="A969" s="6" t="s">
        <v>6190</v>
      </c>
      <c r="B969" s="6" t="s">
        <v>705</v>
      </c>
      <c r="C969" s="26" t="n">
        <v>46058</v>
      </c>
      <c r="D969" s="6" t="s">
        <v>5132</v>
      </c>
      <c r="E969" s="6" t="s">
        <v>23</v>
      </c>
      <c r="F969" s="6" t="n">
        <v>2</v>
      </c>
      <c r="G969" s="10" t="n">
        <v>342</v>
      </c>
      <c r="H969" s="10" t="n">
        <f aca="false">F969*G969</f>
        <v>684</v>
      </c>
      <c r="I969" s="6" t="s">
        <v>5122</v>
      </c>
    </row>
    <row r="970" customFormat="false" ht="15" hidden="false" customHeight="false" outlineLevel="0" collapsed="false">
      <c r="A970" s="6" t="s">
        <v>6191</v>
      </c>
      <c r="B970" s="6" t="s">
        <v>1749</v>
      </c>
      <c r="C970" s="26" t="n">
        <v>46058</v>
      </c>
      <c r="D970" s="6" t="s">
        <v>5277</v>
      </c>
      <c r="E970" s="6" t="s">
        <v>22</v>
      </c>
      <c r="F970" s="6" t="n">
        <v>3</v>
      </c>
      <c r="G970" s="10" t="n">
        <v>2738</v>
      </c>
      <c r="H970" s="10" t="n">
        <f aca="false">F970*G970</f>
        <v>8214</v>
      </c>
      <c r="I970" s="6" t="s">
        <v>5125</v>
      </c>
    </row>
    <row r="971" customFormat="false" ht="15" hidden="false" customHeight="false" outlineLevel="0" collapsed="false">
      <c r="A971" s="6" t="s">
        <v>6192</v>
      </c>
      <c r="B971" s="6" t="s">
        <v>4593</v>
      </c>
      <c r="C971" s="26" t="n">
        <v>46058</v>
      </c>
      <c r="D971" s="6" t="s">
        <v>5167</v>
      </c>
      <c r="E971" s="6" t="s">
        <v>22</v>
      </c>
      <c r="F971" s="6" t="n">
        <v>1</v>
      </c>
      <c r="G971" s="10" t="n">
        <v>782</v>
      </c>
      <c r="H971" s="10" t="n">
        <f aca="false">F971*G971</f>
        <v>782</v>
      </c>
      <c r="I971" s="6" t="s">
        <v>5122</v>
      </c>
    </row>
    <row r="972" customFormat="false" ht="15" hidden="false" customHeight="false" outlineLevel="0" collapsed="false">
      <c r="A972" s="6" t="s">
        <v>6193</v>
      </c>
      <c r="B972" s="6" t="s">
        <v>4119</v>
      </c>
      <c r="C972" s="26" t="n">
        <v>46058</v>
      </c>
      <c r="D972" s="6" t="s">
        <v>5147</v>
      </c>
      <c r="E972" s="6" t="s">
        <v>24</v>
      </c>
      <c r="F972" s="6" t="n">
        <v>2</v>
      </c>
      <c r="G972" s="10" t="n">
        <v>628</v>
      </c>
      <c r="H972" s="10" t="n">
        <f aca="false">F972*G972</f>
        <v>1256</v>
      </c>
      <c r="I972" s="6" t="s">
        <v>5122</v>
      </c>
    </row>
    <row r="973" customFormat="false" ht="15" hidden="false" customHeight="false" outlineLevel="0" collapsed="false">
      <c r="A973" s="6" t="s">
        <v>6194</v>
      </c>
      <c r="B973" s="6" t="s">
        <v>2829</v>
      </c>
      <c r="C973" s="26" t="n">
        <v>46058</v>
      </c>
      <c r="D973" s="6" t="s">
        <v>5154</v>
      </c>
      <c r="E973" s="6" t="s">
        <v>21</v>
      </c>
      <c r="F973" s="6" t="n">
        <v>2</v>
      </c>
      <c r="G973" s="10" t="n">
        <v>785</v>
      </c>
      <c r="H973" s="10" t="n">
        <f aca="false">F973*G973</f>
        <v>1570</v>
      </c>
      <c r="I973" s="6" t="s">
        <v>5148</v>
      </c>
    </row>
    <row r="974" customFormat="false" ht="15" hidden="false" customHeight="false" outlineLevel="0" collapsed="false">
      <c r="A974" s="6" t="s">
        <v>6195</v>
      </c>
      <c r="B974" s="6" t="s">
        <v>473</v>
      </c>
      <c r="C974" s="26" t="n">
        <v>46058</v>
      </c>
      <c r="D974" s="6" t="s">
        <v>5121</v>
      </c>
      <c r="E974" s="6" t="s">
        <v>22</v>
      </c>
      <c r="F974" s="6" t="n">
        <v>2</v>
      </c>
      <c r="G974" s="10" t="n">
        <v>977</v>
      </c>
      <c r="H974" s="10" t="n">
        <f aca="false">F974*G974</f>
        <v>1954</v>
      </c>
      <c r="I974" s="6" t="s">
        <v>5122</v>
      </c>
    </row>
    <row r="975" customFormat="false" ht="15" hidden="false" customHeight="false" outlineLevel="0" collapsed="false">
      <c r="A975" s="6" t="s">
        <v>6196</v>
      </c>
      <c r="B975" s="6" t="s">
        <v>4701</v>
      </c>
      <c r="C975" s="26" t="n">
        <v>46058</v>
      </c>
      <c r="D975" s="6" t="s">
        <v>5218</v>
      </c>
      <c r="E975" s="6" t="s">
        <v>23</v>
      </c>
      <c r="F975" s="6" t="n">
        <v>2</v>
      </c>
      <c r="G975" s="10" t="n">
        <v>148</v>
      </c>
      <c r="H975" s="10" t="n">
        <f aca="false">F975*G975</f>
        <v>296</v>
      </c>
      <c r="I975" s="6" t="s">
        <v>5122</v>
      </c>
    </row>
    <row r="976" customFormat="false" ht="15" hidden="false" customHeight="false" outlineLevel="0" collapsed="false">
      <c r="A976" s="6" t="s">
        <v>6197</v>
      </c>
      <c r="B976" s="6" t="s">
        <v>3735</v>
      </c>
      <c r="C976" s="26" t="n">
        <v>46058</v>
      </c>
      <c r="D976" s="6" t="s">
        <v>5167</v>
      </c>
      <c r="E976" s="6" t="s">
        <v>22</v>
      </c>
      <c r="F976" s="6" t="n">
        <v>2</v>
      </c>
      <c r="G976" s="10" t="n">
        <v>782</v>
      </c>
      <c r="H976" s="10" t="n">
        <f aca="false">F976*G976</f>
        <v>1564</v>
      </c>
      <c r="I976" s="6" t="s">
        <v>5122</v>
      </c>
    </row>
    <row r="977" customFormat="false" ht="15" hidden="false" customHeight="false" outlineLevel="0" collapsed="false">
      <c r="A977" s="6" t="s">
        <v>6198</v>
      </c>
      <c r="B977" s="6" t="s">
        <v>307</v>
      </c>
      <c r="C977" s="26" t="n">
        <v>46058</v>
      </c>
      <c r="D977" s="6" t="s">
        <v>5167</v>
      </c>
      <c r="E977" s="6" t="s">
        <v>22</v>
      </c>
      <c r="F977" s="6" t="n">
        <v>1</v>
      </c>
      <c r="G977" s="10" t="n">
        <v>782</v>
      </c>
      <c r="H977" s="10" t="n">
        <f aca="false">F977*G977</f>
        <v>782</v>
      </c>
      <c r="I977" s="6" t="s">
        <v>5148</v>
      </c>
    </row>
    <row r="978" customFormat="false" ht="15" hidden="false" customHeight="false" outlineLevel="0" collapsed="false">
      <c r="A978" s="6" t="s">
        <v>6199</v>
      </c>
      <c r="B978" s="6" t="s">
        <v>2073</v>
      </c>
      <c r="C978" s="26" t="n">
        <v>46058</v>
      </c>
      <c r="D978" s="6" t="s">
        <v>5152</v>
      </c>
      <c r="E978" s="6" t="s">
        <v>22</v>
      </c>
      <c r="F978" s="6" t="n">
        <v>2</v>
      </c>
      <c r="G978" s="10" t="n">
        <v>1760</v>
      </c>
      <c r="H978" s="10" t="n">
        <f aca="false">F978*G978</f>
        <v>3520</v>
      </c>
      <c r="I978" s="6" t="s">
        <v>5148</v>
      </c>
    </row>
    <row r="979" customFormat="false" ht="15" hidden="false" customHeight="false" outlineLevel="0" collapsed="false">
      <c r="A979" s="6" t="s">
        <v>6200</v>
      </c>
      <c r="B979" s="6" t="s">
        <v>4911</v>
      </c>
      <c r="C979" s="26" t="n">
        <v>46058</v>
      </c>
      <c r="D979" s="6" t="s">
        <v>5298</v>
      </c>
      <c r="E979" s="6" t="s">
        <v>23</v>
      </c>
      <c r="F979" s="6" t="n">
        <v>2</v>
      </c>
      <c r="G979" s="10" t="n">
        <v>293</v>
      </c>
      <c r="H979" s="10" t="n">
        <f aca="false">F979*G979</f>
        <v>586</v>
      </c>
      <c r="I979" s="6" t="s">
        <v>5122</v>
      </c>
    </row>
    <row r="980" customFormat="false" ht="15" hidden="false" customHeight="false" outlineLevel="0" collapsed="false">
      <c r="A980" s="6" t="s">
        <v>6201</v>
      </c>
      <c r="B980" s="6" t="s">
        <v>4095</v>
      </c>
      <c r="C980" s="26" t="n">
        <v>46058</v>
      </c>
      <c r="D980" s="6" t="s">
        <v>5197</v>
      </c>
      <c r="E980" s="6" t="s">
        <v>21</v>
      </c>
      <c r="F980" s="6" t="n">
        <v>1</v>
      </c>
      <c r="G980" s="10" t="n">
        <v>1080</v>
      </c>
      <c r="H980" s="10" t="n">
        <f aca="false">F980*G980</f>
        <v>1080</v>
      </c>
      <c r="I980" s="6" t="s">
        <v>5130</v>
      </c>
    </row>
    <row r="981" customFormat="false" ht="15" hidden="false" customHeight="false" outlineLevel="0" collapsed="false">
      <c r="A981" s="6" t="s">
        <v>6202</v>
      </c>
      <c r="B981" s="6" t="s">
        <v>301</v>
      </c>
      <c r="C981" s="26" t="n">
        <v>46058</v>
      </c>
      <c r="D981" s="6" t="s">
        <v>5167</v>
      </c>
      <c r="E981" s="6" t="s">
        <v>22</v>
      </c>
      <c r="F981" s="6" t="n">
        <v>1</v>
      </c>
      <c r="G981" s="10" t="n">
        <v>781</v>
      </c>
      <c r="H981" s="10" t="n">
        <f aca="false">F981*G981</f>
        <v>781</v>
      </c>
      <c r="I981" s="6" t="s">
        <v>5125</v>
      </c>
    </row>
    <row r="982" customFormat="false" ht="15" hidden="false" customHeight="false" outlineLevel="0" collapsed="false">
      <c r="A982" s="6" t="s">
        <v>6203</v>
      </c>
      <c r="B982" s="6" t="s">
        <v>3417</v>
      </c>
      <c r="C982" s="26" t="n">
        <v>46058</v>
      </c>
      <c r="D982" s="6" t="s">
        <v>5167</v>
      </c>
      <c r="E982" s="6" t="s">
        <v>22</v>
      </c>
      <c r="F982" s="6" t="n">
        <v>1</v>
      </c>
      <c r="G982" s="10" t="n">
        <v>702</v>
      </c>
      <c r="H982" s="10" t="n">
        <f aca="false">F982*G982</f>
        <v>702</v>
      </c>
      <c r="I982" s="6" t="s">
        <v>5148</v>
      </c>
    </row>
    <row r="983" customFormat="false" ht="15" hidden="false" customHeight="false" outlineLevel="0" collapsed="false">
      <c r="A983" s="6" t="s">
        <v>6204</v>
      </c>
      <c r="B983" s="6" t="s">
        <v>3799</v>
      </c>
      <c r="C983" s="26" t="n">
        <v>46058</v>
      </c>
      <c r="D983" s="6" t="s">
        <v>5192</v>
      </c>
      <c r="E983" s="6" t="s">
        <v>20</v>
      </c>
      <c r="F983" s="6" t="n">
        <v>1</v>
      </c>
      <c r="G983" s="10" t="n">
        <v>4077</v>
      </c>
      <c r="H983" s="10" t="n">
        <f aca="false">F983*G983</f>
        <v>4077</v>
      </c>
      <c r="I983" s="6" t="s">
        <v>5148</v>
      </c>
    </row>
    <row r="984" customFormat="false" ht="15" hidden="false" customHeight="false" outlineLevel="0" collapsed="false">
      <c r="A984" s="6" t="s">
        <v>6205</v>
      </c>
      <c r="B984" s="6" t="s">
        <v>221</v>
      </c>
      <c r="C984" s="26" t="n">
        <v>46058</v>
      </c>
      <c r="D984" s="6" t="s">
        <v>5357</v>
      </c>
      <c r="E984" s="6" t="s">
        <v>23</v>
      </c>
      <c r="F984" s="6" t="n">
        <v>3</v>
      </c>
      <c r="G984" s="10" t="n">
        <v>534</v>
      </c>
      <c r="H984" s="10" t="n">
        <f aca="false">F984*G984</f>
        <v>1602</v>
      </c>
      <c r="I984" s="6" t="s">
        <v>5125</v>
      </c>
    </row>
    <row r="985" customFormat="false" ht="15" hidden="false" customHeight="false" outlineLevel="0" collapsed="false">
      <c r="A985" s="6" t="s">
        <v>6206</v>
      </c>
      <c r="B985" s="6" t="s">
        <v>2381</v>
      </c>
      <c r="C985" s="26" t="n">
        <v>46058</v>
      </c>
      <c r="D985" s="6" t="s">
        <v>5150</v>
      </c>
      <c r="E985" s="6" t="s">
        <v>24</v>
      </c>
      <c r="F985" s="6" t="n">
        <v>3</v>
      </c>
      <c r="G985" s="10" t="n">
        <v>483</v>
      </c>
      <c r="H985" s="10" t="n">
        <f aca="false">F985*G985</f>
        <v>1449</v>
      </c>
      <c r="I985" s="6" t="s">
        <v>5122</v>
      </c>
    </row>
    <row r="986" customFormat="false" ht="15" hidden="false" customHeight="false" outlineLevel="0" collapsed="false">
      <c r="A986" s="6" t="s">
        <v>6207</v>
      </c>
      <c r="B986" s="6" t="s">
        <v>3523</v>
      </c>
      <c r="C986" s="26" t="n">
        <v>46058</v>
      </c>
      <c r="D986" s="6" t="s">
        <v>5165</v>
      </c>
      <c r="E986" s="6" t="s">
        <v>22</v>
      </c>
      <c r="F986" s="6" t="n">
        <v>1</v>
      </c>
      <c r="G986" s="10" t="n">
        <v>880</v>
      </c>
      <c r="H986" s="10" t="n">
        <f aca="false">F986*G986</f>
        <v>880</v>
      </c>
      <c r="I986" s="6" t="s">
        <v>5122</v>
      </c>
    </row>
    <row r="987" customFormat="false" ht="15" hidden="false" customHeight="false" outlineLevel="0" collapsed="false">
      <c r="A987" s="6" t="s">
        <v>6208</v>
      </c>
      <c r="B987" s="6" t="s">
        <v>4759</v>
      </c>
      <c r="C987" s="26" t="n">
        <v>46058</v>
      </c>
      <c r="D987" s="6" t="s">
        <v>5259</v>
      </c>
      <c r="E987" s="6" t="s">
        <v>22</v>
      </c>
      <c r="F987" s="6" t="n">
        <v>1</v>
      </c>
      <c r="G987" s="10" t="n">
        <v>1564</v>
      </c>
      <c r="H987" s="10" t="n">
        <f aca="false">F987*G987</f>
        <v>1564</v>
      </c>
      <c r="I987" s="6" t="s">
        <v>5133</v>
      </c>
    </row>
    <row r="988" customFormat="false" ht="15" hidden="false" customHeight="false" outlineLevel="0" collapsed="false">
      <c r="A988" s="6" t="s">
        <v>6209</v>
      </c>
      <c r="B988" s="6" t="s">
        <v>439</v>
      </c>
      <c r="C988" s="26" t="n">
        <v>46058</v>
      </c>
      <c r="D988" s="6" t="s">
        <v>5326</v>
      </c>
      <c r="E988" s="6" t="s">
        <v>22</v>
      </c>
      <c r="F988" s="6" t="n">
        <v>3</v>
      </c>
      <c r="G988" s="10" t="n">
        <v>1320</v>
      </c>
      <c r="H988" s="10" t="n">
        <f aca="false">F988*G988</f>
        <v>3960</v>
      </c>
      <c r="I988" s="6" t="s">
        <v>5125</v>
      </c>
    </row>
    <row r="989" customFormat="false" ht="15" hidden="false" customHeight="false" outlineLevel="0" collapsed="false">
      <c r="A989" s="6" t="s">
        <v>6210</v>
      </c>
      <c r="B989" s="6" t="s">
        <v>457</v>
      </c>
      <c r="C989" s="26" t="n">
        <v>46058</v>
      </c>
      <c r="D989" s="6" t="s">
        <v>5167</v>
      </c>
      <c r="E989" s="6" t="s">
        <v>22</v>
      </c>
      <c r="F989" s="6" t="n">
        <v>1</v>
      </c>
      <c r="G989" s="10" t="n">
        <v>782</v>
      </c>
      <c r="H989" s="10" t="n">
        <f aca="false">F989*G989</f>
        <v>782</v>
      </c>
      <c r="I989" s="6" t="s">
        <v>5133</v>
      </c>
    </row>
    <row r="990" customFormat="false" ht="15" hidden="false" customHeight="false" outlineLevel="0" collapsed="false">
      <c r="A990" s="6" t="s">
        <v>6211</v>
      </c>
      <c r="B990" s="6" t="s">
        <v>1495</v>
      </c>
      <c r="C990" s="26" t="n">
        <v>46058</v>
      </c>
      <c r="D990" s="6" t="s">
        <v>5273</v>
      </c>
      <c r="E990" s="6" t="s">
        <v>23</v>
      </c>
      <c r="F990" s="6" t="n">
        <v>3</v>
      </c>
      <c r="G990" s="10" t="n">
        <v>228</v>
      </c>
      <c r="H990" s="10" t="n">
        <f aca="false">F990*G990</f>
        <v>684</v>
      </c>
      <c r="I990" s="6" t="s">
        <v>5130</v>
      </c>
    </row>
    <row r="991" customFormat="false" ht="15" hidden="false" customHeight="false" outlineLevel="0" collapsed="false">
      <c r="A991" s="6" t="s">
        <v>6212</v>
      </c>
      <c r="B991" s="6" t="s">
        <v>4653</v>
      </c>
      <c r="C991" s="26" t="n">
        <v>46058</v>
      </c>
      <c r="D991" s="6" t="s">
        <v>5182</v>
      </c>
      <c r="E991" s="6" t="s">
        <v>23</v>
      </c>
      <c r="F991" s="6" t="n">
        <v>5</v>
      </c>
      <c r="G991" s="10" t="n">
        <v>367</v>
      </c>
      <c r="H991" s="10" t="n">
        <f aca="false">F991*G991</f>
        <v>1835</v>
      </c>
      <c r="I991" s="6" t="s">
        <v>5148</v>
      </c>
    </row>
    <row r="992" customFormat="false" ht="15" hidden="false" customHeight="false" outlineLevel="0" collapsed="false">
      <c r="A992" s="6" t="s">
        <v>6213</v>
      </c>
      <c r="B992" s="6" t="s">
        <v>217</v>
      </c>
      <c r="C992" s="26" t="n">
        <v>46058</v>
      </c>
      <c r="D992" s="6" t="s">
        <v>5167</v>
      </c>
      <c r="E992" s="6" t="s">
        <v>22</v>
      </c>
      <c r="F992" s="6" t="n">
        <v>4</v>
      </c>
      <c r="G992" s="10" t="n">
        <v>743</v>
      </c>
      <c r="H992" s="10" t="n">
        <f aca="false">F992*G992</f>
        <v>2972</v>
      </c>
      <c r="I992" s="6" t="s">
        <v>5148</v>
      </c>
    </row>
    <row r="993" customFormat="false" ht="15" hidden="false" customHeight="false" outlineLevel="0" collapsed="false">
      <c r="A993" s="6" t="s">
        <v>6214</v>
      </c>
      <c r="B993" s="6" t="s">
        <v>1673</v>
      </c>
      <c r="C993" s="26" t="n">
        <v>46058</v>
      </c>
      <c r="D993" s="6" t="s">
        <v>5163</v>
      </c>
      <c r="E993" s="6" t="s">
        <v>23</v>
      </c>
      <c r="F993" s="6" t="n">
        <v>4</v>
      </c>
      <c r="G993" s="10" t="n">
        <v>783</v>
      </c>
      <c r="H993" s="10" t="n">
        <f aca="false">F993*G993</f>
        <v>3132</v>
      </c>
      <c r="I993" s="6" t="s">
        <v>5125</v>
      </c>
    </row>
    <row r="994" customFormat="false" ht="15" hidden="false" customHeight="false" outlineLevel="0" collapsed="false">
      <c r="A994" s="6" t="s">
        <v>6215</v>
      </c>
      <c r="B994" s="6" t="s">
        <v>2435</v>
      </c>
      <c r="C994" s="26" t="n">
        <v>46058</v>
      </c>
      <c r="D994" s="6" t="s">
        <v>5410</v>
      </c>
      <c r="E994" s="6" t="s">
        <v>20</v>
      </c>
      <c r="F994" s="6" t="n">
        <v>1</v>
      </c>
      <c r="G994" s="10" t="n">
        <v>2421</v>
      </c>
      <c r="H994" s="10" t="n">
        <f aca="false">F994*G994</f>
        <v>2421</v>
      </c>
      <c r="I994" s="6" t="s">
        <v>5122</v>
      </c>
    </row>
    <row r="995" customFormat="false" ht="15" hidden="false" customHeight="false" outlineLevel="0" collapsed="false">
      <c r="A995" s="6" t="s">
        <v>6216</v>
      </c>
      <c r="B995" s="6" t="s">
        <v>5107</v>
      </c>
      <c r="C995" s="26" t="n">
        <v>46058</v>
      </c>
      <c r="D995" s="6" t="s">
        <v>5313</v>
      </c>
      <c r="E995" s="6" t="s">
        <v>22</v>
      </c>
      <c r="F995" s="6" t="n">
        <v>2</v>
      </c>
      <c r="G995" s="10" t="n">
        <v>1672</v>
      </c>
      <c r="H995" s="10" t="n">
        <f aca="false">F995*G995</f>
        <v>3344</v>
      </c>
      <c r="I995" s="6" t="s">
        <v>5148</v>
      </c>
    </row>
    <row r="996" customFormat="false" ht="15" hidden="false" customHeight="false" outlineLevel="0" collapsed="false">
      <c r="A996" s="6" t="s">
        <v>6217</v>
      </c>
      <c r="B996" s="6" t="s">
        <v>463</v>
      </c>
      <c r="C996" s="26" t="n">
        <v>46058</v>
      </c>
      <c r="D996" s="6" t="s">
        <v>5326</v>
      </c>
      <c r="E996" s="6" t="s">
        <v>22</v>
      </c>
      <c r="F996" s="6" t="n">
        <v>1</v>
      </c>
      <c r="G996" s="10" t="n">
        <v>1320</v>
      </c>
      <c r="H996" s="10" t="n">
        <f aca="false">F996*G996</f>
        <v>1320</v>
      </c>
      <c r="I996" s="6" t="s">
        <v>5133</v>
      </c>
    </row>
    <row r="997" customFormat="false" ht="15" hidden="false" customHeight="false" outlineLevel="0" collapsed="false">
      <c r="A997" s="6" t="s">
        <v>6218</v>
      </c>
      <c r="B997" s="6" t="s">
        <v>3113</v>
      </c>
      <c r="C997" s="26" t="n">
        <v>46058</v>
      </c>
      <c r="D997" s="6" t="s">
        <v>5167</v>
      </c>
      <c r="E997" s="6" t="s">
        <v>22</v>
      </c>
      <c r="F997" s="6" t="n">
        <v>1</v>
      </c>
      <c r="G997" s="10" t="n">
        <v>781</v>
      </c>
      <c r="H997" s="10" t="n">
        <f aca="false">F997*G997</f>
        <v>781</v>
      </c>
      <c r="I997" s="6" t="s">
        <v>5148</v>
      </c>
    </row>
    <row r="998" customFormat="false" ht="15" hidden="false" customHeight="false" outlineLevel="0" collapsed="false">
      <c r="A998" s="6" t="s">
        <v>6219</v>
      </c>
      <c r="B998" s="6" t="s">
        <v>1403</v>
      </c>
      <c r="C998" s="26" t="n">
        <v>46058</v>
      </c>
      <c r="D998" s="6" t="s">
        <v>5121</v>
      </c>
      <c r="E998" s="6" t="s">
        <v>22</v>
      </c>
      <c r="F998" s="6" t="n">
        <v>1</v>
      </c>
      <c r="G998" s="10" t="n">
        <v>977</v>
      </c>
      <c r="H998" s="10" t="n">
        <f aca="false">F998*G998</f>
        <v>977</v>
      </c>
      <c r="I998" s="6" t="s">
        <v>5148</v>
      </c>
    </row>
    <row r="999" customFormat="false" ht="15" hidden="false" customHeight="false" outlineLevel="0" collapsed="false">
      <c r="A999" s="6" t="s">
        <v>6220</v>
      </c>
      <c r="B999" s="6" t="s">
        <v>4515</v>
      </c>
      <c r="C999" s="26" t="n">
        <v>46058</v>
      </c>
      <c r="D999" s="6" t="s">
        <v>5121</v>
      </c>
      <c r="E999" s="6" t="s">
        <v>22</v>
      </c>
      <c r="F999" s="6" t="n">
        <v>2</v>
      </c>
      <c r="G999" s="10" t="n">
        <v>928</v>
      </c>
      <c r="H999" s="10" t="n">
        <f aca="false">F999*G999</f>
        <v>1856</v>
      </c>
      <c r="I999" s="6" t="s">
        <v>5125</v>
      </c>
    </row>
    <row r="1000" customFormat="false" ht="15" hidden="false" customHeight="false" outlineLevel="0" collapsed="false">
      <c r="A1000" s="6" t="s">
        <v>6221</v>
      </c>
      <c r="B1000" s="6" t="s">
        <v>354</v>
      </c>
      <c r="C1000" s="26" t="n">
        <v>46059</v>
      </c>
      <c r="D1000" s="6" t="s">
        <v>5242</v>
      </c>
      <c r="E1000" s="6" t="s">
        <v>23</v>
      </c>
      <c r="F1000" s="6" t="n">
        <v>4</v>
      </c>
      <c r="G1000" s="10" t="n">
        <v>372</v>
      </c>
      <c r="H1000" s="10" t="n">
        <f aca="false">F1000*G1000</f>
        <v>1488</v>
      </c>
      <c r="I1000" s="6" t="s">
        <v>5173</v>
      </c>
    </row>
    <row r="1001" customFormat="false" ht="15" hidden="false" customHeight="false" outlineLevel="0" collapsed="false">
      <c r="A1001" s="6" t="s">
        <v>6222</v>
      </c>
      <c r="B1001" s="6" t="s">
        <v>1295</v>
      </c>
      <c r="C1001" s="26" t="n">
        <v>46059</v>
      </c>
      <c r="D1001" s="6" t="s">
        <v>5197</v>
      </c>
      <c r="E1001" s="6" t="s">
        <v>21</v>
      </c>
      <c r="F1001" s="6" t="n">
        <v>1</v>
      </c>
      <c r="G1001" s="10" t="n">
        <v>1080</v>
      </c>
      <c r="H1001" s="10" t="n">
        <f aca="false">F1001*G1001</f>
        <v>1080</v>
      </c>
      <c r="I1001" s="6" t="s">
        <v>5122</v>
      </c>
    </row>
    <row r="1002" customFormat="false" ht="15" hidden="false" customHeight="false" outlineLevel="0" collapsed="false">
      <c r="A1002" s="6" t="s">
        <v>6223</v>
      </c>
      <c r="B1002" s="6" t="s">
        <v>3277</v>
      </c>
      <c r="C1002" s="26" t="n">
        <v>46059</v>
      </c>
      <c r="D1002" s="6" t="s">
        <v>5235</v>
      </c>
      <c r="E1002" s="6" t="s">
        <v>21</v>
      </c>
      <c r="F1002" s="6" t="n">
        <v>1</v>
      </c>
      <c r="G1002" s="10" t="n">
        <v>1586</v>
      </c>
      <c r="H1002" s="10" t="n">
        <f aca="false">F1002*G1002</f>
        <v>1586</v>
      </c>
      <c r="I1002" s="6" t="s">
        <v>5122</v>
      </c>
    </row>
    <row r="1003" customFormat="false" ht="15" hidden="false" customHeight="false" outlineLevel="0" collapsed="false">
      <c r="A1003" s="6" t="s">
        <v>6224</v>
      </c>
      <c r="B1003" s="6" t="s">
        <v>1669</v>
      </c>
      <c r="C1003" s="26" t="n">
        <v>46059</v>
      </c>
      <c r="D1003" s="6" t="s">
        <v>5398</v>
      </c>
      <c r="E1003" s="6" t="s">
        <v>24</v>
      </c>
      <c r="F1003" s="6" t="n">
        <v>1</v>
      </c>
      <c r="G1003" s="10" t="n">
        <v>611</v>
      </c>
      <c r="H1003" s="10" t="n">
        <f aca="false">F1003*G1003</f>
        <v>611</v>
      </c>
      <c r="I1003" s="6" t="s">
        <v>5148</v>
      </c>
    </row>
    <row r="1004" customFormat="false" ht="15" hidden="false" customHeight="false" outlineLevel="0" collapsed="false">
      <c r="A1004" s="6" t="s">
        <v>6225</v>
      </c>
      <c r="B1004" s="6" t="s">
        <v>901</v>
      </c>
      <c r="C1004" s="26" t="n">
        <v>46059</v>
      </c>
      <c r="D1004" s="6" t="s">
        <v>5269</v>
      </c>
      <c r="E1004" s="6" t="s">
        <v>22</v>
      </c>
      <c r="F1004" s="6" t="n">
        <v>1</v>
      </c>
      <c r="G1004" s="10" t="n">
        <v>1271</v>
      </c>
      <c r="H1004" s="10" t="n">
        <f aca="false">F1004*G1004</f>
        <v>1271</v>
      </c>
      <c r="I1004" s="6" t="s">
        <v>5148</v>
      </c>
    </row>
    <row r="1005" customFormat="false" ht="15" hidden="false" customHeight="false" outlineLevel="0" collapsed="false">
      <c r="A1005" s="6" t="s">
        <v>6226</v>
      </c>
      <c r="B1005" s="6" t="s">
        <v>1403</v>
      </c>
      <c r="C1005" s="26" t="n">
        <v>46059</v>
      </c>
      <c r="D1005" s="6" t="s">
        <v>5197</v>
      </c>
      <c r="E1005" s="6" t="s">
        <v>21</v>
      </c>
      <c r="F1005" s="6" t="n">
        <v>1</v>
      </c>
      <c r="G1005" s="10" t="n">
        <v>1026</v>
      </c>
      <c r="H1005" s="10" t="n">
        <f aca="false">F1005*G1005</f>
        <v>1026</v>
      </c>
      <c r="I1005" s="6" t="s">
        <v>5133</v>
      </c>
    </row>
    <row r="1006" customFormat="false" ht="15" hidden="false" customHeight="false" outlineLevel="0" collapsed="false">
      <c r="A1006" s="6" t="s">
        <v>6227</v>
      </c>
      <c r="B1006" s="6" t="s">
        <v>4967</v>
      </c>
      <c r="C1006" s="26" t="n">
        <v>46059</v>
      </c>
      <c r="D1006" s="6" t="s">
        <v>5807</v>
      </c>
      <c r="E1006" s="6" t="s">
        <v>20</v>
      </c>
      <c r="F1006" s="6" t="n">
        <v>1</v>
      </c>
      <c r="G1006" s="10" t="n">
        <v>15296</v>
      </c>
      <c r="H1006" s="10" t="n">
        <f aca="false">F1006*G1006</f>
        <v>15296</v>
      </c>
      <c r="I1006" s="6" t="s">
        <v>5122</v>
      </c>
    </row>
    <row r="1007" customFormat="false" ht="15" hidden="false" customHeight="false" outlineLevel="0" collapsed="false">
      <c r="A1007" s="6" t="s">
        <v>6228</v>
      </c>
      <c r="B1007" s="6" t="s">
        <v>3773</v>
      </c>
      <c r="C1007" s="26" t="n">
        <v>46059</v>
      </c>
      <c r="D1007" s="6" t="s">
        <v>5182</v>
      </c>
      <c r="E1007" s="6" t="s">
        <v>23</v>
      </c>
      <c r="F1007" s="6" t="n">
        <v>1</v>
      </c>
      <c r="G1007" s="10" t="n">
        <v>367</v>
      </c>
      <c r="H1007" s="10" t="n">
        <f aca="false">F1007*G1007</f>
        <v>367</v>
      </c>
      <c r="I1007" s="6" t="s">
        <v>5122</v>
      </c>
    </row>
    <row r="1008" customFormat="false" ht="15" hidden="false" customHeight="false" outlineLevel="0" collapsed="false">
      <c r="A1008" s="6" t="s">
        <v>6229</v>
      </c>
      <c r="B1008" s="6" t="s">
        <v>4373</v>
      </c>
      <c r="C1008" s="26" t="n">
        <v>46059</v>
      </c>
      <c r="D1008" s="6" t="s">
        <v>5127</v>
      </c>
      <c r="E1008" s="6" t="s">
        <v>21</v>
      </c>
      <c r="F1008" s="6" t="n">
        <v>2</v>
      </c>
      <c r="G1008" s="10" t="n">
        <v>884</v>
      </c>
      <c r="H1008" s="10" t="n">
        <f aca="false">F1008*G1008</f>
        <v>1768</v>
      </c>
      <c r="I1008" s="6" t="s">
        <v>5133</v>
      </c>
    </row>
    <row r="1009" customFormat="false" ht="15" hidden="false" customHeight="false" outlineLevel="0" collapsed="false">
      <c r="A1009" s="6" t="s">
        <v>6230</v>
      </c>
      <c r="B1009" s="6" t="s">
        <v>2809</v>
      </c>
      <c r="C1009" s="26" t="n">
        <v>46059</v>
      </c>
      <c r="D1009" s="6" t="s">
        <v>5216</v>
      </c>
      <c r="E1009" s="6" t="s">
        <v>23</v>
      </c>
      <c r="F1009" s="6" t="n">
        <v>2</v>
      </c>
      <c r="G1009" s="10" t="n">
        <v>528</v>
      </c>
      <c r="H1009" s="10" t="n">
        <f aca="false">F1009*G1009</f>
        <v>1056</v>
      </c>
      <c r="I1009" s="6" t="s">
        <v>5125</v>
      </c>
    </row>
    <row r="1010" customFormat="false" ht="15" hidden="false" customHeight="false" outlineLevel="0" collapsed="false">
      <c r="A1010" s="6" t="s">
        <v>6231</v>
      </c>
      <c r="B1010" s="6" t="s">
        <v>3355</v>
      </c>
      <c r="C1010" s="26" t="n">
        <v>46059</v>
      </c>
      <c r="D1010" s="6" t="s">
        <v>5488</v>
      </c>
      <c r="E1010" s="6" t="s">
        <v>24</v>
      </c>
      <c r="F1010" s="6" t="n">
        <v>1</v>
      </c>
      <c r="G1010" s="10" t="n">
        <v>779</v>
      </c>
      <c r="H1010" s="10" t="n">
        <f aca="false">F1010*G1010</f>
        <v>779</v>
      </c>
      <c r="I1010" s="6" t="s">
        <v>5122</v>
      </c>
    </row>
    <row r="1011" customFormat="false" ht="15" hidden="false" customHeight="false" outlineLevel="0" collapsed="false">
      <c r="A1011" s="6" t="s">
        <v>6232</v>
      </c>
      <c r="B1011" s="6" t="s">
        <v>182</v>
      </c>
      <c r="C1011" s="26" t="n">
        <v>46059</v>
      </c>
      <c r="D1011" s="6" t="s">
        <v>5165</v>
      </c>
      <c r="E1011" s="6" t="s">
        <v>22</v>
      </c>
      <c r="F1011" s="6" t="n">
        <v>1</v>
      </c>
      <c r="G1011" s="10" t="n">
        <v>977</v>
      </c>
      <c r="H1011" s="10" t="n">
        <f aca="false">F1011*G1011</f>
        <v>977</v>
      </c>
      <c r="I1011" s="6" t="s">
        <v>5122</v>
      </c>
    </row>
    <row r="1012" customFormat="false" ht="15" hidden="false" customHeight="false" outlineLevel="0" collapsed="false">
      <c r="A1012" s="6" t="s">
        <v>6233</v>
      </c>
      <c r="B1012" s="6" t="s">
        <v>591</v>
      </c>
      <c r="C1012" s="26" t="n">
        <v>46059</v>
      </c>
      <c r="D1012" s="6" t="s">
        <v>5326</v>
      </c>
      <c r="E1012" s="6" t="s">
        <v>22</v>
      </c>
      <c r="F1012" s="6" t="n">
        <v>1</v>
      </c>
      <c r="G1012" s="10" t="n">
        <v>1393</v>
      </c>
      <c r="H1012" s="10" t="n">
        <f aca="false">F1012*G1012</f>
        <v>1393</v>
      </c>
      <c r="I1012" s="6" t="s">
        <v>5125</v>
      </c>
    </row>
    <row r="1013" customFormat="false" ht="15" hidden="false" customHeight="false" outlineLevel="0" collapsed="false">
      <c r="A1013" s="6" t="s">
        <v>6234</v>
      </c>
      <c r="B1013" s="6" t="s">
        <v>657</v>
      </c>
      <c r="C1013" s="26" t="n">
        <v>46059</v>
      </c>
      <c r="D1013" s="6" t="s">
        <v>5357</v>
      </c>
      <c r="E1013" s="6" t="s">
        <v>23</v>
      </c>
      <c r="F1013" s="6" t="n">
        <v>2</v>
      </c>
      <c r="G1013" s="10" t="n">
        <v>507</v>
      </c>
      <c r="H1013" s="10" t="n">
        <f aca="false">F1013*G1013</f>
        <v>1014</v>
      </c>
      <c r="I1013" s="6" t="s">
        <v>5130</v>
      </c>
    </row>
    <row r="1014" customFormat="false" ht="15" hidden="false" customHeight="false" outlineLevel="0" collapsed="false">
      <c r="A1014" s="6" t="s">
        <v>6235</v>
      </c>
      <c r="B1014" s="6" t="s">
        <v>2423</v>
      </c>
      <c r="C1014" s="26" t="n">
        <v>46059</v>
      </c>
      <c r="D1014" s="6" t="s">
        <v>5145</v>
      </c>
      <c r="E1014" s="6" t="s">
        <v>21</v>
      </c>
      <c r="F1014" s="6" t="n">
        <v>1</v>
      </c>
      <c r="G1014" s="10" t="n">
        <v>1277</v>
      </c>
      <c r="H1014" s="10" t="n">
        <f aca="false">F1014*G1014</f>
        <v>1277</v>
      </c>
      <c r="I1014" s="6" t="s">
        <v>5122</v>
      </c>
    </row>
    <row r="1015" customFormat="false" ht="15" hidden="false" customHeight="false" outlineLevel="0" collapsed="false">
      <c r="A1015" s="6" t="s">
        <v>6236</v>
      </c>
      <c r="B1015" s="6" t="s">
        <v>1807</v>
      </c>
      <c r="C1015" s="26" t="n">
        <v>46059</v>
      </c>
      <c r="D1015" s="6" t="s">
        <v>5165</v>
      </c>
      <c r="E1015" s="6" t="s">
        <v>22</v>
      </c>
      <c r="F1015" s="6" t="n">
        <v>2</v>
      </c>
      <c r="G1015" s="10" t="n">
        <v>977</v>
      </c>
      <c r="H1015" s="10" t="n">
        <f aca="false">F1015*G1015</f>
        <v>1954</v>
      </c>
      <c r="I1015" s="6" t="s">
        <v>5148</v>
      </c>
    </row>
    <row r="1016" customFormat="false" ht="15" hidden="false" customHeight="false" outlineLevel="0" collapsed="false">
      <c r="A1016" s="6" t="s">
        <v>6237</v>
      </c>
      <c r="B1016" s="6" t="s">
        <v>3189</v>
      </c>
      <c r="C1016" s="26" t="n">
        <v>46059</v>
      </c>
      <c r="D1016" s="6" t="s">
        <v>5216</v>
      </c>
      <c r="E1016" s="6" t="s">
        <v>23</v>
      </c>
      <c r="F1016" s="6" t="n">
        <v>2</v>
      </c>
      <c r="G1016" s="10" t="n">
        <v>587</v>
      </c>
      <c r="H1016" s="10" t="n">
        <f aca="false">F1016*G1016</f>
        <v>1174</v>
      </c>
      <c r="I1016" s="6" t="s">
        <v>5148</v>
      </c>
    </row>
    <row r="1017" customFormat="false" ht="15" hidden="false" customHeight="false" outlineLevel="0" collapsed="false">
      <c r="A1017" s="6" t="s">
        <v>6238</v>
      </c>
      <c r="B1017" s="6" t="s">
        <v>451</v>
      </c>
      <c r="C1017" s="26" t="n">
        <v>46059</v>
      </c>
      <c r="D1017" s="6" t="s">
        <v>5180</v>
      </c>
      <c r="E1017" s="6" t="s">
        <v>24</v>
      </c>
      <c r="F1017" s="6" t="n">
        <v>1</v>
      </c>
      <c r="G1017" s="10" t="n">
        <v>1987</v>
      </c>
      <c r="H1017" s="10" t="n">
        <f aca="false">F1017*G1017</f>
        <v>1987</v>
      </c>
      <c r="I1017" s="6" t="s">
        <v>5122</v>
      </c>
    </row>
    <row r="1018" customFormat="false" ht="15" hidden="false" customHeight="false" outlineLevel="0" collapsed="false">
      <c r="A1018" s="6" t="s">
        <v>6239</v>
      </c>
      <c r="B1018" s="6" t="s">
        <v>2035</v>
      </c>
      <c r="C1018" s="26" t="n">
        <v>46059</v>
      </c>
      <c r="D1018" s="6" t="s">
        <v>5156</v>
      </c>
      <c r="E1018" s="6" t="s">
        <v>21</v>
      </c>
      <c r="F1018" s="6" t="n">
        <v>1</v>
      </c>
      <c r="G1018" s="10" t="n">
        <v>2161</v>
      </c>
      <c r="H1018" s="10" t="n">
        <f aca="false">F1018*G1018</f>
        <v>2161</v>
      </c>
      <c r="I1018" s="6" t="s">
        <v>5122</v>
      </c>
    </row>
    <row r="1019" customFormat="false" ht="15" hidden="false" customHeight="false" outlineLevel="0" collapsed="false">
      <c r="A1019" s="6" t="s">
        <v>6240</v>
      </c>
      <c r="B1019" s="6" t="s">
        <v>4637</v>
      </c>
      <c r="C1019" s="26" t="n">
        <v>46059</v>
      </c>
      <c r="D1019" s="6" t="s">
        <v>5460</v>
      </c>
      <c r="E1019" s="6" t="s">
        <v>24</v>
      </c>
      <c r="F1019" s="6" t="n">
        <v>1</v>
      </c>
      <c r="G1019" s="10" t="n">
        <v>555</v>
      </c>
      <c r="H1019" s="10" t="n">
        <f aca="false">F1019*G1019</f>
        <v>555</v>
      </c>
      <c r="I1019" s="6" t="s">
        <v>5125</v>
      </c>
    </row>
    <row r="1020" customFormat="false" ht="15" hidden="false" customHeight="false" outlineLevel="0" collapsed="false">
      <c r="A1020" s="6" t="s">
        <v>6241</v>
      </c>
      <c r="B1020" s="6" t="s">
        <v>2373</v>
      </c>
      <c r="C1020" s="26" t="n">
        <v>46059</v>
      </c>
      <c r="D1020" s="6" t="s">
        <v>5353</v>
      </c>
      <c r="E1020" s="6" t="s">
        <v>24</v>
      </c>
      <c r="F1020" s="6" t="n">
        <v>1</v>
      </c>
      <c r="G1020" s="10" t="n">
        <v>1466</v>
      </c>
      <c r="H1020" s="10" t="n">
        <f aca="false">F1020*G1020</f>
        <v>1466</v>
      </c>
      <c r="I1020" s="6" t="s">
        <v>5122</v>
      </c>
    </row>
    <row r="1021" customFormat="false" ht="15" hidden="false" customHeight="false" outlineLevel="0" collapsed="false">
      <c r="A1021" s="6" t="s">
        <v>6242</v>
      </c>
      <c r="B1021" s="6" t="s">
        <v>863</v>
      </c>
      <c r="C1021" s="26" t="n">
        <v>46059</v>
      </c>
      <c r="D1021" s="6" t="s">
        <v>5163</v>
      </c>
      <c r="E1021" s="6" t="s">
        <v>23</v>
      </c>
      <c r="F1021" s="6" t="n">
        <v>2</v>
      </c>
      <c r="G1021" s="10" t="n">
        <v>783</v>
      </c>
      <c r="H1021" s="10" t="n">
        <f aca="false">F1021*G1021</f>
        <v>1566</v>
      </c>
      <c r="I1021" s="6" t="s">
        <v>5148</v>
      </c>
    </row>
    <row r="1022" customFormat="false" ht="15" hidden="false" customHeight="false" outlineLevel="0" collapsed="false">
      <c r="A1022" s="6" t="s">
        <v>6243</v>
      </c>
      <c r="B1022" s="6" t="s">
        <v>709</v>
      </c>
      <c r="C1022" s="26" t="n">
        <v>46059</v>
      </c>
      <c r="D1022" s="6" t="s">
        <v>5190</v>
      </c>
      <c r="E1022" s="6" t="s">
        <v>24</v>
      </c>
      <c r="F1022" s="6" t="n">
        <v>1</v>
      </c>
      <c r="G1022" s="10" t="n">
        <v>610</v>
      </c>
      <c r="H1022" s="10" t="n">
        <f aca="false">F1022*G1022</f>
        <v>610</v>
      </c>
      <c r="I1022" s="6" t="s">
        <v>5122</v>
      </c>
    </row>
    <row r="1023" customFormat="false" ht="15" hidden="false" customHeight="false" outlineLevel="0" collapsed="false">
      <c r="A1023" s="6" t="s">
        <v>6244</v>
      </c>
      <c r="B1023" s="6" t="s">
        <v>2641</v>
      </c>
      <c r="C1023" s="26" t="n">
        <v>46059</v>
      </c>
      <c r="D1023" s="6" t="s">
        <v>5163</v>
      </c>
      <c r="E1023" s="6" t="s">
        <v>23</v>
      </c>
      <c r="F1023" s="6" t="n">
        <v>4</v>
      </c>
      <c r="G1023" s="10" t="n">
        <v>744</v>
      </c>
      <c r="H1023" s="10" t="n">
        <f aca="false">F1023*G1023</f>
        <v>2976</v>
      </c>
      <c r="I1023" s="6" t="s">
        <v>5122</v>
      </c>
    </row>
    <row r="1024" customFormat="false" ht="15" hidden="false" customHeight="false" outlineLevel="0" collapsed="false">
      <c r="A1024" s="6" t="s">
        <v>6245</v>
      </c>
      <c r="B1024" s="6" t="s">
        <v>2739</v>
      </c>
      <c r="C1024" s="26" t="n">
        <v>46059</v>
      </c>
      <c r="D1024" s="6" t="s">
        <v>5167</v>
      </c>
      <c r="E1024" s="6" t="s">
        <v>22</v>
      </c>
      <c r="F1024" s="6" t="n">
        <v>2</v>
      </c>
      <c r="G1024" s="10" t="n">
        <v>703</v>
      </c>
      <c r="H1024" s="10" t="n">
        <f aca="false">F1024*G1024</f>
        <v>1406</v>
      </c>
      <c r="I1024" s="6" t="s">
        <v>5122</v>
      </c>
    </row>
    <row r="1025" customFormat="false" ht="15" hidden="false" customHeight="false" outlineLevel="0" collapsed="false">
      <c r="A1025" s="6" t="s">
        <v>6246</v>
      </c>
      <c r="B1025" s="6" t="s">
        <v>3311</v>
      </c>
      <c r="C1025" s="26" t="n">
        <v>46059</v>
      </c>
      <c r="D1025" s="6" t="s">
        <v>5242</v>
      </c>
      <c r="E1025" s="6" t="s">
        <v>23</v>
      </c>
      <c r="F1025" s="6" t="n">
        <v>3</v>
      </c>
      <c r="G1025" s="10" t="n">
        <v>354</v>
      </c>
      <c r="H1025" s="10" t="n">
        <f aca="false">F1025*G1025</f>
        <v>1062</v>
      </c>
      <c r="I1025" s="6" t="s">
        <v>5148</v>
      </c>
    </row>
    <row r="1026" customFormat="false" ht="15" hidden="false" customHeight="false" outlineLevel="0" collapsed="false">
      <c r="A1026" s="6" t="s">
        <v>6247</v>
      </c>
      <c r="B1026" s="6" t="s">
        <v>2751</v>
      </c>
      <c r="C1026" s="26" t="n">
        <v>46059</v>
      </c>
      <c r="D1026" s="6" t="s">
        <v>5488</v>
      </c>
      <c r="E1026" s="6" t="s">
        <v>24</v>
      </c>
      <c r="F1026" s="6" t="n">
        <v>1</v>
      </c>
      <c r="G1026" s="10" t="n">
        <v>823</v>
      </c>
      <c r="H1026" s="10" t="n">
        <f aca="false">F1026*G1026</f>
        <v>823</v>
      </c>
      <c r="I1026" s="6" t="s">
        <v>5122</v>
      </c>
    </row>
    <row r="1027" customFormat="false" ht="15" hidden="false" customHeight="false" outlineLevel="0" collapsed="false">
      <c r="A1027" s="6" t="s">
        <v>6248</v>
      </c>
      <c r="B1027" s="6" t="s">
        <v>2051</v>
      </c>
      <c r="C1027" s="26" t="n">
        <v>46059</v>
      </c>
      <c r="D1027" s="6" t="s">
        <v>5163</v>
      </c>
      <c r="E1027" s="6" t="s">
        <v>23</v>
      </c>
      <c r="F1027" s="6" t="n">
        <v>3</v>
      </c>
      <c r="G1027" s="10" t="n">
        <v>783</v>
      </c>
      <c r="H1027" s="10" t="n">
        <f aca="false">F1027*G1027</f>
        <v>2349</v>
      </c>
      <c r="I1027" s="6" t="s">
        <v>5125</v>
      </c>
    </row>
    <row r="1028" customFormat="false" ht="15" hidden="false" customHeight="false" outlineLevel="0" collapsed="false">
      <c r="A1028" s="6" t="s">
        <v>6249</v>
      </c>
      <c r="B1028" s="6" t="s">
        <v>1965</v>
      </c>
      <c r="C1028" s="26" t="n">
        <v>46059</v>
      </c>
      <c r="D1028" s="6" t="s">
        <v>5167</v>
      </c>
      <c r="E1028" s="6" t="s">
        <v>22</v>
      </c>
      <c r="F1028" s="6" t="n">
        <v>1</v>
      </c>
      <c r="G1028" s="10" t="n">
        <v>703</v>
      </c>
      <c r="H1028" s="10" t="n">
        <f aca="false">F1028*G1028</f>
        <v>703</v>
      </c>
      <c r="I1028" s="6" t="s">
        <v>5122</v>
      </c>
    </row>
    <row r="1029" customFormat="false" ht="15" hidden="false" customHeight="false" outlineLevel="0" collapsed="false">
      <c r="A1029" s="6" t="s">
        <v>6250</v>
      </c>
      <c r="B1029" s="6" t="s">
        <v>4617</v>
      </c>
      <c r="C1029" s="26" t="n">
        <v>46059</v>
      </c>
      <c r="D1029" s="6" t="s">
        <v>5135</v>
      </c>
      <c r="E1029" s="6" t="s">
        <v>23</v>
      </c>
      <c r="F1029" s="6" t="n">
        <v>5</v>
      </c>
      <c r="G1029" s="10" t="n">
        <v>397</v>
      </c>
      <c r="H1029" s="10" t="n">
        <f aca="false">F1029*G1029</f>
        <v>1985</v>
      </c>
      <c r="I1029" s="6" t="s">
        <v>5133</v>
      </c>
    </row>
    <row r="1030" customFormat="false" ht="15" hidden="false" customHeight="false" outlineLevel="0" collapsed="false">
      <c r="A1030" s="6" t="s">
        <v>6251</v>
      </c>
      <c r="B1030" s="6" t="s">
        <v>2299</v>
      </c>
      <c r="C1030" s="26" t="n">
        <v>46060</v>
      </c>
      <c r="D1030" s="6" t="s">
        <v>5182</v>
      </c>
      <c r="E1030" s="6" t="s">
        <v>23</v>
      </c>
      <c r="F1030" s="6" t="n">
        <v>4</v>
      </c>
      <c r="G1030" s="10" t="n">
        <v>367</v>
      </c>
      <c r="H1030" s="10" t="n">
        <f aca="false">F1030*G1030</f>
        <v>1468</v>
      </c>
      <c r="I1030" s="6" t="s">
        <v>5122</v>
      </c>
    </row>
    <row r="1031" customFormat="false" ht="15" hidden="false" customHeight="false" outlineLevel="0" collapsed="false">
      <c r="A1031" s="6" t="s">
        <v>6252</v>
      </c>
      <c r="B1031" s="6" t="s">
        <v>5079</v>
      </c>
      <c r="C1031" s="26" t="n">
        <v>46060</v>
      </c>
      <c r="D1031" s="6" t="s">
        <v>5145</v>
      </c>
      <c r="E1031" s="6" t="s">
        <v>21</v>
      </c>
      <c r="F1031" s="6" t="n">
        <v>1</v>
      </c>
      <c r="G1031" s="10" t="n">
        <v>1277</v>
      </c>
      <c r="H1031" s="10" t="n">
        <f aca="false">F1031*G1031</f>
        <v>1277</v>
      </c>
      <c r="I1031" s="6" t="s">
        <v>5125</v>
      </c>
    </row>
    <row r="1032" customFormat="false" ht="15" hidden="false" customHeight="false" outlineLevel="0" collapsed="false">
      <c r="A1032" s="6" t="s">
        <v>6253</v>
      </c>
      <c r="B1032" s="6" t="s">
        <v>2999</v>
      </c>
      <c r="C1032" s="26" t="n">
        <v>46060</v>
      </c>
      <c r="D1032" s="6" t="s">
        <v>5163</v>
      </c>
      <c r="E1032" s="6" t="s">
        <v>23</v>
      </c>
      <c r="F1032" s="6" t="n">
        <v>1</v>
      </c>
      <c r="G1032" s="10" t="n">
        <v>705</v>
      </c>
      <c r="H1032" s="10" t="n">
        <f aca="false">F1032*G1032</f>
        <v>705</v>
      </c>
      <c r="I1032" s="6" t="s">
        <v>5133</v>
      </c>
    </row>
    <row r="1033" customFormat="false" ht="15" hidden="false" customHeight="false" outlineLevel="0" collapsed="false">
      <c r="A1033" s="6" t="s">
        <v>6254</v>
      </c>
      <c r="B1033" s="6" t="s">
        <v>275</v>
      </c>
      <c r="C1033" s="26" t="n">
        <v>46060</v>
      </c>
      <c r="D1033" s="6" t="s">
        <v>5132</v>
      </c>
      <c r="E1033" s="6" t="s">
        <v>23</v>
      </c>
      <c r="F1033" s="6" t="n">
        <v>5</v>
      </c>
      <c r="G1033" s="10" t="n">
        <v>308</v>
      </c>
      <c r="H1033" s="10" t="n">
        <f aca="false">F1033*G1033</f>
        <v>1540</v>
      </c>
      <c r="I1033" s="6" t="s">
        <v>5148</v>
      </c>
    </row>
    <row r="1034" customFormat="false" ht="15" hidden="false" customHeight="false" outlineLevel="0" collapsed="false">
      <c r="A1034" s="6" t="s">
        <v>6255</v>
      </c>
      <c r="B1034" s="6" t="s">
        <v>4119</v>
      </c>
      <c r="C1034" s="26" t="n">
        <v>46060</v>
      </c>
      <c r="D1034" s="6" t="s">
        <v>5298</v>
      </c>
      <c r="E1034" s="6" t="s">
        <v>23</v>
      </c>
      <c r="F1034" s="6" t="n">
        <v>3</v>
      </c>
      <c r="G1034" s="10" t="n">
        <v>293</v>
      </c>
      <c r="H1034" s="10" t="n">
        <f aca="false">F1034*G1034</f>
        <v>879</v>
      </c>
      <c r="I1034" s="6" t="s">
        <v>5148</v>
      </c>
    </row>
    <row r="1035" customFormat="false" ht="15" hidden="false" customHeight="false" outlineLevel="0" collapsed="false">
      <c r="A1035" s="6" t="s">
        <v>6256</v>
      </c>
      <c r="B1035" s="6" t="s">
        <v>1015</v>
      </c>
      <c r="C1035" s="26" t="n">
        <v>46060</v>
      </c>
      <c r="D1035" s="6" t="s">
        <v>5482</v>
      </c>
      <c r="E1035" s="6" t="s">
        <v>23</v>
      </c>
      <c r="F1035" s="6" t="n">
        <v>1</v>
      </c>
      <c r="G1035" s="10" t="n">
        <v>269</v>
      </c>
      <c r="H1035" s="10" t="n">
        <f aca="false">F1035*G1035</f>
        <v>269</v>
      </c>
      <c r="I1035" s="6" t="s">
        <v>5122</v>
      </c>
    </row>
    <row r="1036" customFormat="false" ht="15" hidden="false" customHeight="false" outlineLevel="0" collapsed="false">
      <c r="A1036" s="6" t="s">
        <v>6257</v>
      </c>
      <c r="B1036" s="6" t="s">
        <v>1571</v>
      </c>
      <c r="C1036" s="26" t="n">
        <v>46060</v>
      </c>
      <c r="D1036" s="6" t="s">
        <v>5171</v>
      </c>
      <c r="E1036" s="6" t="s">
        <v>23</v>
      </c>
      <c r="F1036" s="6" t="n">
        <v>5</v>
      </c>
      <c r="G1036" s="10" t="n">
        <v>697</v>
      </c>
      <c r="H1036" s="10" t="n">
        <f aca="false">F1036*G1036</f>
        <v>3485</v>
      </c>
      <c r="I1036" s="6" t="s">
        <v>5133</v>
      </c>
    </row>
    <row r="1037" customFormat="false" ht="15" hidden="false" customHeight="false" outlineLevel="0" collapsed="false">
      <c r="A1037" s="6" t="s">
        <v>6258</v>
      </c>
      <c r="B1037" s="6" t="s">
        <v>260</v>
      </c>
      <c r="C1037" s="26" t="n">
        <v>46060</v>
      </c>
      <c r="D1037" s="6" t="s">
        <v>6101</v>
      </c>
      <c r="E1037" s="6" t="s">
        <v>20</v>
      </c>
      <c r="F1037" s="6" t="n">
        <v>1</v>
      </c>
      <c r="G1037" s="10" t="n">
        <v>21312</v>
      </c>
      <c r="H1037" s="10" t="n">
        <f aca="false">F1037*G1037</f>
        <v>21312</v>
      </c>
      <c r="I1037" s="6" t="s">
        <v>5130</v>
      </c>
    </row>
    <row r="1038" customFormat="false" ht="15" hidden="false" customHeight="false" outlineLevel="0" collapsed="false">
      <c r="A1038" s="6" t="s">
        <v>6259</v>
      </c>
      <c r="B1038" s="6" t="s">
        <v>4435</v>
      </c>
      <c r="C1038" s="26" t="n">
        <v>46060</v>
      </c>
      <c r="D1038" s="6" t="s">
        <v>5207</v>
      </c>
      <c r="E1038" s="6" t="s">
        <v>20</v>
      </c>
      <c r="F1038" s="6" t="n">
        <v>3</v>
      </c>
      <c r="G1038" s="10" t="n">
        <v>1325</v>
      </c>
      <c r="H1038" s="10" t="n">
        <f aca="false">F1038*G1038</f>
        <v>3975</v>
      </c>
      <c r="I1038" s="6" t="s">
        <v>5122</v>
      </c>
    </row>
    <row r="1039" customFormat="false" ht="15" hidden="false" customHeight="false" outlineLevel="0" collapsed="false">
      <c r="A1039" s="6" t="s">
        <v>6260</v>
      </c>
      <c r="B1039" s="6" t="s">
        <v>4505</v>
      </c>
      <c r="C1039" s="26" t="n">
        <v>46060</v>
      </c>
      <c r="D1039" s="6" t="s">
        <v>5167</v>
      </c>
      <c r="E1039" s="6" t="s">
        <v>22</v>
      </c>
      <c r="F1039" s="6" t="n">
        <v>1</v>
      </c>
      <c r="G1039" s="10" t="n">
        <v>781</v>
      </c>
      <c r="H1039" s="10" t="n">
        <f aca="false">F1039*G1039</f>
        <v>781</v>
      </c>
      <c r="I1039" s="6" t="s">
        <v>5148</v>
      </c>
    </row>
    <row r="1040" customFormat="false" ht="15" hidden="false" customHeight="false" outlineLevel="0" collapsed="false">
      <c r="A1040" s="6" t="s">
        <v>6261</v>
      </c>
      <c r="B1040" s="6" t="s">
        <v>3955</v>
      </c>
      <c r="C1040" s="26" t="n">
        <v>46060</v>
      </c>
      <c r="D1040" s="6" t="s">
        <v>5863</v>
      </c>
      <c r="E1040" s="6" t="s">
        <v>20</v>
      </c>
      <c r="F1040" s="6" t="n">
        <v>1</v>
      </c>
      <c r="G1040" s="10" t="n">
        <v>20395</v>
      </c>
      <c r="H1040" s="10" t="n">
        <f aca="false">F1040*G1040</f>
        <v>20395</v>
      </c>
      <c r="I1040" s="6" t="s">
        <v>5148</v>
      </c>
    </row>
    <row r="1041" customFormat="false" ht="15" hidden="false" customHeight="false" outlineLevel="0" collapsed="false">
      <c r="A1041" s="6" t="s">
        <v>6262</v>
      </c>
      <c r="B1041" s="6" t="s">
        <v>1891</v>
      </c>
      <c r="C1041" s="26" t="n">
        <v>46060</v>
      </c>
      <c r="D1041" s="6" t="s">
        <v>5171</v>
      </c>
      <c r="E1041" s="6" t="s">
        <v>23</v>
      </c>
      <c r="F1041" s="6" t="n">
        <v>3</v>
      </c>
      <c r="G1041" s="10" t="n">
        <v>734</v>
      </c>
      <c r="H1041" s="10" t="n">
        <f aca="false">F1041*G1041</f>
        <v>2202</v>
      </c>
      <c r="I1041" s="6" t="s">
        <v>5130</v>
      </c>
    </row>
    <row r="1042" customFormat="false" ht="15" hidden="false" customHeight="false" outlineLevel="0" collapsed="false">
      <c r="A1042" s="6" t="s">
        <v>6263</v>
      </c>
      <c r="B1042" s="6" t="s">
        <v>2875</v>
      </c>
      <c r="C1042" s="26" t="n">
        <v>46060</v>
      </c>
      <c r="D1042" s="6" t="s">
        <v>5458</v>
      </c>
      <c r="E1042" s="6" t="s">
        <v>24</v>
      </c>
      <c r="F1042" s="6" t="n">
        <v>1</v>
      </c>
      <c r="G1042" s="10" t="n">
        <v>531</v>
      </c>
      <c r="H1042" s="10" t="n">
        <f aca="false">F1042*G1042</f>
        <v>531</v>
      </c>
      <c r="I1042" s="6" t="s">
        <v>5130</v>
      </c>
    </row>
    <row r="1043" customFormat="false" ht="15" hidden="false" customHeight="false" outlineLevel="0" collapsed="false">
      <c r="A1043" s="6" t="s">
        <v>6264</v>
      </c>
      <c r="B1043" s="6" t="s">
        <v>2507</v>
      </c>
      <c r="C1043" s="26" t="n">
        <v>46060</v>
      </c>
      <c r="D1043" s="6" t="s">
        <v>5167</v>
      </c>
      <c r="E1043" s="6" t="s">
        <v>22</v>
      </c>
      <c r="F1043" s="6" t="n">
        <v>2</v>
      </c>
      <c r="G1043" s="10" t="n">
        <v>782</v>
      </c>
      <c r="H1043" s="10" t="n">
        <f aca="false">F1043*G1043</f>
        <v>1564</v>
      </c>
      <c r="I1043" s="6" t="s">
        <v>5148</v>
      </c>
    </row>
    <row r="1044" customFormat="false" ht="15" hidden="false" customHeight="false" outlineLevel="0" collapsed="false">
      <c r="A1044" s="6" t="s">
        <v>6265</v>
      </c>
      <c r="B1044" s="6" t="s">
        <v>785</v>
      </c>
      <c r="C1044" s="26" t="n">
        <v>46060</v>
      </c>
      <c r="D1044" s="6" t="s">
        <v>5292</v>
      </c>
      <c r="E1044" s="6" t="s">
        <v>21</v>
      </c>
      <c r="F1044" s="6" t="n">
        <v>1</v>
      </c>
      <c r="G1044" s="10" t="n">
        <v>6880</v>
      </c>
      <c r="H1044" s="10" t="n">
        <f aca="false">F1044*G1044</f>
        <v>6880</v>
      </c>
      <c r="I1044" s="6" t="s">
        <v>5122</v>
      </c>
    </row>
    <row r="1045" customFormat="false" ht="15" hidden="false" customHeight="false" outlineLevel="0" collapsed="false">
      <c r="A1045" s="6" t="s">
        <v>6266</v>
      </c>
      <c r="B1045" s="6" t="s">
        <v>2899</v>
      </c>
      <c r="C1045" s="26" t="n">
        <v>46060</v>
      </c>
      <c r="D1045" s="6" t="s">
        <v>5163</v>
      </c>
      <c r="E1045" s="6" t="s">
        <v>23</v>
      </c>
      <c r="F1045" s="6" t="n">
        <v>1</v>
      </c>
      <c r="G1045" s="10" t="n">
        <v>744</v>
      </c>
      <c r="H1045" s="10" t="n">
        <f aca="false">F1045*G1045</f>
        <v>744</v>
      </c>
      <c r="I1045" s="6" t="s">
        <v>5148</v>
      </c>
    </row>
    <row r="1046" customFormat="false" ht="15" hidden="false" customHeight="false" outlineLevel="0" collapsed="false">
      <c r="A1046" s="6" t="s">
        <v>6267</v>
      </c>
      <c r="B1046" s="6" t="s">
        <v>4239</v>
      </c>
      <c r="C1046" s="26" t="n">
        <v>46060</v>
      </c>
      <c r="D1046" s="6" t="s">
        <v>5152</v>
      </c>
      <c r="E1046" s="6" t="s">
        <v>22</v>
      </c>
      <c r="F1046" s="6" t="n">
        <v>2</v>
      </c>
      <c r="G1046" s="10" t="n">
        <v>1760</v>
      </c>
      <c r="H1046" s="10" t="n">
        <f aca="false">F1046*G1046</f>
        <v>3520</v>
      </c>
      <c r="I1046" s="6" t="s">
        <v>5148</v>
      </c>
    </row>
    <row r="1047" customFormat="false" ht="15" hidden="false" customHeight="false" outlineLevel="0" collapsed="false">
      <c r="A1047" s="6" t="s">
        <v>6268</v>
      </c>
      <c r="B1047" s="6" t="s">
        <v>2003</v>
      </c>
      <c r="C1047" s="26" t="n">
        <v>46060</v>
      </c>
      <c r="D1047" s="6" t="s">
        <v>5318</v>
      </c>
      <c r="E1047" s="6" t="s">
        <v>20</v>
      </c>
      <c r="F1047" s="6" t="n">
        <v>3</v>
      </c>
      <c r="G1047" s="10" t="n">
        <v>1529</v>
      </c>
      <c r="H1047" s="10" t="n">
        <f aca="false">F1047*G1047</f>
        <v>4587</v>
      </c>
      <c r="I1047" s="6" t="s">
        <v>5148</v>
      </c>
    </row>
    <row r="1048" customFormat="false" ht="15" hidden="false" customHeight="false" outlineLevel="0" collapsed="false">
      <c r="A1048" s="6" t="s">
        <v>6269</v>
      </c>
      <c r="B1048" s="6" t="s">
        <v>735</v>
      </c>
      <c r="C1048" s="26" t="n">
        <v>46060</v>
      </c>
      <c r="D1048" s="6" t="s">
        <v>5167</v>
      </c>
      <c r="E1048" s="6" t="s">
        <v>22</v>
      </c>
      <c r="F1048" s="6" t="n">
        <v>2</v>
      </c>
      <c r="G1048" s="10" t="n">
        <v>782</v>
      </c>
      <c r="H1048" s="10" t="n">
        <f aca="false">F1048*G1048</f>
        <v>1564</v>
      </c>
      <c r="I1048" s="6" t="s">
        <v>5122</v>
      </c>
    </row>
    <row r="1049" customFormat="false" ht="15" hidden="false" customHeight="false" outlineLevel="0" collapsed="false">
      <c r="A1049" s="6" t="s">
        <v>6270</v>
      </c>
      <c r="B1049" s="6" t="s">
        <v>3105</v>
      </c>
      <c r="C1049" s="26" t="n">
        <v>46060</v>
      </c>
      <c r="D1049" s="6" t="s">
        <v>5458</v>
      </c>
      <c r="E1049" s="6" t="s">
        <v>24</v>
      </c>
      <c r="F1049" s="6" t="n">
        <v>2</v>
      </c>
      <c r="G1049" s="10" t="n">
        <v>559</v>
      </c>
      <c r="H1049" s="10" t="n">
        <f aca="false">F1049*G1049</f>
        <v>1118</v>
      </c>
      <c r="I1049" s="6" t="s">
        <v>5122</v>
      </c>
    </row>
    <row r="1050" customFormat="false" ht="15" hidden="false" customHeight="false" outlineLevel="0" collapsed="false">
      <c r="A1050" s="6" t="s">
        <v>6271</v>
      </c>
      <c r="B1050" s="6" t="s">
        <v>4657</v>
      </c>
      <c r="C1050" s="26" t="n">
        <v>46060</v>
      </c>
      <c r="D1050" s="6" t="s">
        <v>5165</v>
      </c>
      <c r="E1050" s="6" t="s">
        <v>22</v>
      </c>
      <c r="F1050" s="6" t="n">
        <v>1</v>
      </c>
      <c r="G1050" s="10" t="n">
        <v>977</v>
      </c>
      <c r="H1050" s="10" t="n">
        <f aca="false">F1050*G1050</f>
        <v>977</v>
      </c>
      <c r="I1050" s="6" t="s">
        <v>5122</v>
      </c>
    </row>
    <row r="1051" customFormat="false" ht="15" hidden="false" customHeight="false" outlineLevel="0" collapsed="false">
      <c r="A1051" s="6" t="s">
        <v>6272</v>
      </c>
      <c r="B1051" s="6" t="s">
        <v>2089</v>
      </c>
      <c r="C1051" s="26" t="n">
        <v>46061</v>
      </c>
      <c r="D1051" s="6" t="s">
        <v>5683</v>
      </c>
      <c r="E1051" s="6" t="s">
        <v>22</v>
      </c>
      <c r="F1051" s="6" t="n">
        <v>3</v>
      </c>
      <c r="G1051" s="10" t="n">
        <v>1760</v>
      </c>
      <c r="H1051" s="10" t="n">
        <f aca="false">F1051*G1051</f>
        <v>5280</v>
      </c>
      <c r="I1051" s="6" t="s">
        <v>5173</v>
      </c>
    </row>
    <row r="1052" customFormat="false" ht="15" hidden="false" customHeight="false" outlineLevel="0" collapsed="false">
      <c r="A1052" s="6" t="s">
        <v>6273</v>
      </c>
      <c r="B1052" s="6" t="s">
        <v>3993</v>
      </c>
      <c r="C1052" s="26" t="n">
        <v>46061</v>
      </c>
      <c r="D1052" s="6" t="s">
        <v>5326</v>
      </c>
      <c r="E1052" s="6" t="s">
        <v>22</v>
      </c>
      <c r="F1052" s="6" t="n">
        <v>1</v>
      </c>
      <c r="G1052" s="10" t="n">
        <v>1466</v>
      </c>
      <c r="H1052" s="10" t="n">
        <f aca="false">F1052*G1052</f>
        <v>1466</v>
      </c>
      <c r="I1052" s="6" t="s">
        <v>5148</v>
      </c>
    </row>
    <row r="1053" customFormat="false" ht="15" hidden="false" customHeight="false" outlineLevel="0" collapsed="false">
      <c r="A1053" s="6" t="s">
        <v>6274</v>
      </c>
      <c r="B1053" s="6" t="s">
        <v>1295</v>
      </c>
      <c r="C1053" s="26" t="n">
        <v>46061</v>
      </c>
      <c r="D1053" s="6" t="s">
        <v>5269</v>
      </c>
      <c r="E1053" s="6" t="s">
        <v>22</v>
      </c>
      <c r="F1053" s="6" t="n">
        <v>1</v>
      </c>
      <c r="G1053" s="10" t="n">
        <v>1207</v>
      </c>
      <c r="H1053" s="10" t="n">
        <f aca="false">F1053*G1053</f>
        <v>1207</v>
      </c>
      <c r="I1053" s="6" t="s">
        <v>5122</v>
      </c>
    </row>
    <row r="1054" customFormat="false" ht="15" hidden="false" customHeight="false" outlineLevel="0" collapsed="false">
      <c r="A1054" s="6" t="s">
        <v>6275</v>
      </c>
      <c r="B1054" s="6" t="s">
        <v>2103</v>
      </c>
      <c r="C1054" s="26" t="n">
        <v>46061</v>
      </c>
      <c r="D1054" s="6" t="s">
        <v>6114</v>
      </c>
      <c r="E1054" s="6" t="s">
        <v>20</v>
      </c>
      <c r="F1054" s="6" t="n">
        <v>3</v>
      </c>
      <c r="G1054" s="10" t="n">
        <v>11931</v>
      </c>
      <c r="H1054" s="10" t="n">
        <f aca="false">F1054*G1054</f>
        <v>35793</v>
      </c>
      <c r="I1054" s="6" t="s">
        <v>5122</v>
      </c>
    </row>
    <row r="1055" customFormat="false" ht="15" hidden="false" customHeight="false" outlineLevel="0" collapsed="false">
      <c r="A1055" s="6" t="s">
        <v>6276</v>
      </c>
      <c r="B1055" s="6" t="s">
        <v>1955</v>
      </c>
      <c r="C1055" s="26" t="n">
        <v>46061</v>
      </c>
      <c r="D1055" s="6" t="s">
        <v>5158</v>
      </c>
      <c r="E1055" s="6" t="s">
        <v>24</v>
      </c>
      <c r="F1055" s="6" t="n">
        <v>1</v>
      </c>
      <c r="G1055" s="10" t="n">
        <v>390</v>
      </c>
      <c r="H1055" s="10" t="n">
        <f aca="false">F1055*G1055</f>
        <v>390</v>
      </c>
      <c r="I1055" s="6" t="s">
        <v>5130</v>
      </c>
    </row>
    <row r="1056" customFormat="false" ht="15" hidden="false" customHeight="false" outlineLevel="0" collapsed="false">
      <c r="A1056" s="6" t="s">
        <v>6277</v>
      </c>
      <c r="B1056" s="6" t="s">
        <v>4509</v>
      </c>
      <c r="C1056" s="26" t="n">
        <v>46061</v>
      </c>
      <c r="D1056" s="6" t="s">
        <v>5167</v>
      </c>
      <c r="E1056" s="6" t="s">
        <v>22</v>
      </c>
      <c r="F1056" s="6" t="n">
        <v>1</v>
      </c>
      <c r="G1056" s="10" t="n">
        <v>703</v>
      </c>
      <c r="H1056" s="10" t="n">
        <f aca="false">F1056*G1056</f>
        <v>703</v>
      </c>
      <c r="I1056" s="6" t="s">
        <v>5130</v>
      </c>
    </row>
    <row r="1057" customFormat="false" ht="15" hidden="false" customHeight="false" outlineLevel="0" collapsed="false">
      <c r="A1057" s="6" t="s">
        <v>6278</v>
      </c>
      <c r="B1057" s="6" t="s">
        <v>2377</v>
      </c>
      <c r="C1057" s="26" t="n">
        <v>46061</v>
      </c>
      <c r="D1057" s="6" t="s">
        <v>5273</v>
      </c>
      <c r="E1057" s="6" t="s">
        <v>23</v>
      </c>
      <c r="F1057" s="6" t="n">
        <v>2</v>
      </c>
      <c r="G1057" s="10" t="n">
        <v>228</v>
      </c>
      <c r="H1057" s="10" t="n">
        <f aca="false">F1057*G1057</f>
        <v>456</v>
      </c>
      <c r="I1057" s="6" t="s">
        <v>5122</v>
      </c>
    </row>
    <row r="1058" customFormat="false" ht="15" hidden="false" customHeight="false" outlineLevel="0" collapsed="false">
      <c r="A1058" s="6" t="s">
        <v>6279</v>
      </c>
      <c r="B1058" s="6" t="s">
        <v>1145</v>
      </c>
      <c r="C1058" s="26" t="n">
        <v>46061</v>
      </c>
      <c r="D1058" s="6" t="s">
        <v>5218</v>
      </c>
      <c r="E1058" s="6" t="s">
        <v>23</v>
      </c>
      <c r="F1058" s="6" t="n">
        <v>3</v>
      </c>
      <c r="G1058" s="10" t="n">
        <v>148</v>
      </c>
      <c r="H1058" s="10" t="n">
        <f aca="false">F1058*G1058</f>
        <v>444</v>
      </c>
      <c r="I1058" s="6" t="s">
        <v>5122</v>
      </c>
    </row>
    <row r="1059" customFormat="false" ht="15" hidden="false" customHeight="false" outlineLevel="0" collapsed="false">
      <c r="A1059" s="6" t="s">
        <v>6280</v>
      </c>
      <c r="B1059" s="6" t="s">
        <v>2035</v>
      </c>
      <c r="C1059" s="26" t="n">
        <v>46061</v>
      </c>
      <c r="D1059" s="6" t="s">
        <v>5458</v>
      </c>
      <c r="E1059" s="6" t="s">
        <v>24</v>
      </c>
      <c r="F1059" s="6" t="n">
        <v>1</v>
      </c>
      <c r="G1059" s="10" t="n">
        <v>559</v>
      </c>
      <c r="H1059" s="10" t="n">
        <f aca="false">F1059*G1059</f>
        <v>559</v>
      </c>
      <c r="I1059" s="6" t="s">
        <v>5173</v>
      </c>
    </row>
    <row r="1060" customFormat="false" ht="15" hidden="false" customHeight="false" outlineLevel="0" collapsed="false">
      <c r="A1060" s="6" t="s">
        <v>6281</v>
      </c>
      <c r="B1060" s="6" t="s">
        <v>4409</v>
      </c>
      <c r="C1060" s="26" t="n">
        <v>46061</v>
      </c>
      <c r="D1060" s="6" t="s">
        <v>5224</v>
      </c>
      <c r="E1060" s="6" t="s">
        <v>23</v>
      </c>
      <c r="F1060" s="6" t="n">
        <v>4</v>
      </c>
      <c r="G1060" s="10" t="n">
        <v>195</v>
      </c>
      <c r="H1060" s="10" t="n">
        <f aca="false">F1060*G1060</f>
        <v>780</v>
      </c>
      <c r="I1060" s="6" t="s">
        <v>5133</v>
      </c>
    </row>
    <row r="1061" customFormat="false" ht="15" hidden="false" customHeight="false" outlineLevel="0" collapsed="false">
      <c r="A1061" s="6" t="s">
        <v>6282</v>
      </c>
      <c r="B1061" s="6" t="s">
        <v>1241</v>
      </c>
      <c r="C1061" s="26" t="n">
        <v>46061</v>
      </c>
      <c r="D1061" s="6" t="s">
        <v>5165</v>
      </c>
      <c r="E1061" s="6" t="s">
        <v>22</v>
      </c>
      <c r="F1061" s="6" t="n">
        <v>2</v>
      </c>
      <c r="G1061" s="10" t="n">
        <v>880</v>
      </c>
      <c r="H1061" s="10" t="n">
        <f aca="false">F1061*G1061</f>
        <v>1760</v>
      </c>
      <c r="I1061" s="6" t="s">
        <v>5133</v>
      </c>
    </row>
    <row r="1062" customFormat="false" ht="15" hidden="false" customHeight="false" outlineLevel="0" collapsed="false">
      <c r="A1062" s="6" t="s">
        <v>6283</v>
      </c>
      <c r="B1062" s="6" t="s">
        <v>2537</v>
      </c>
      <c r="C1062" s="26" t="n">
        <v>46061</v>
      </c>
      <c r="D1062" s="6" t="s">
        <v>5197</v>
      </c>
      <c r="E1062" s="6" t="s">
        <v>21</v>
      </c>
      <c r="F1062" s="6" t="n">
        <v>1</v>
      </c>
      <c r="G1062" s="10" t="n">
        <v>1080</v>
      </c>
      <c r="H1062" s="10" t="n">
        <f aca="false">F1062*G1062</f>
        <v>1080</v>
      </c>
      <c r="I1062" s="6" t="s">
        <v>5148</v>
      </c>
    </row>
    <row r="1063" customFormat="false" ht="15" hidden="false" customHeight="false" outlineLevel="0" collapsed="false">
      <c r="A1063" s="6" t="s">
        <v>6284</v>
      </c>
      <c r="B1063" s="6" t="s">
        <v>917</v>
      </c>
      <c r="C1063" s="26" t="n">
        <v>46061</v>
      </c>
      <c r="D1063" s="6" t="s">
        <v>5200</v>
      </c>
      <c r="E1063" s="6" t="s">
        <v>24</v>
      </c>
      <c r="F1063" s="6" t="n">
        <v>1</v>
      </c>
      <c r="G1063" s="10" t="n">
        <v>725</v>
      </c>
      <c r="H1063" s="10" t="n">
        <f aca="false">F1063*G1063</f>
        <v>725</v>
      </c>
      <c r="I1063" s="6" t="s">
        <v>5148</v>
      </c>
    </row>
    <row r="1064" customFormat="false" ht="15" hidden="false" customHeight="false" outlineLevel="0" collapsed="false">
      <c r="A1064" s="6" t="s">
        <v>6285</v>
      </c>
      <c r="B1064" s="6" t="s">
        <v>533</v>
      </c>
      <c r="C1064" s="26" t="n">
        <v>46061</v>
      </c>
      <c r="D1064" s="6" t="s">
        <v>5683</v>
      </c>
      <c r="E1064" s="6" t="s">
        <v>22</v>
      </c>
      <c r="F1064" s="6" t="n">
        <v>2</v>
      </c>
      <c r="G1064" s="10" t="n">
        <v>1760</v>
      </c>
      <c r="H1064" s="10" t="n">
        <f aca="false">F1064*G1064</f>
        <v>3520</v>
      </c>
      <c r="I1064" s="6" t="s">
        <v>5122</v>
      </c>
    </row>
    <row r="1065" customFormat="false" ht="15" hidden="false" customHeight="false" outlineLevel="0" collapsed="false">
      <c r="A1065" s="6" t="s">
        <v>6286</v>
      </c>
      <c r="B1065" s="6" t="s">
        <v>3219</v>
      </c>
      <c r="C1065" s="26" t="n">
        <v>46061</v>
      </c>
      <c r="D1065" s="6" t="s">
        <v>5458</v>
      </c>
      <c r="E1065" s="6" t="s">
        <v>24</v>
      </c>
      <c r="F1065" s="6" t="n">
        <v>1</v>
      </c>
      <c r="G1065" s="10" t="n">
        <v>531</v>
      </c>
      <c r="H1065" s="10" t="n">
        <f aca="false">F1065*G1065</f>
        <v>531</v>
      </c>
      <c r="I1065" s="6" t="s">
        <v>5122</v>
      </c>
    </row>
    <row r="1066" customFormat="false" ht="15" hidden="false" customHeight="false" outlineLevel="0" collapsed="false">
      <c r="A1066" s="6" t="s">
        <v>6287</v>
      </c>
      <c r="B1066" s="6" t="s">
        <v>3557</v>
      </c>
      <c r="C1066" s="26" t="n">
        <v>46061</v>
      </c>
      <c r="D1066" s="6" t="s">
        <v>5121</v>
      </c>
      <c r="E1066" s="6" t="s">
        <v>22</v>
      </c>
      <c r="F1066" s="6" t="n">
        <v>1</v>
      </c>
      <c r="G1066" s="10" t="n">
        <v>977</v>
      </c>
      <c r="H1066" s="10" t="n">
        <f aca="false">F1066*G1066</f>
        <v>977</v>
      </c>
      <c r="I1066" s="6" t="s">
        <v>5130</v>
      </c>
    </row>
    <row r="1067" customFormat="false" ht="15" hidden="false" customHeight="false" outlineLevel="0" collapsed="false">
      <c r="A1067" s="6" t="s">
        <v>6288</v>
      </c>
      <c r="B1067" s="6" t="s">
        <v>631</v>
      </c>
      <c r="C1067" s="26" t="n">
        <v>46061</v>
      </c>
      <c r="D1067" s="6" t="s">
        <v>5171</v>
      </c>
      <c r="E1067" s="6" t="s">
        <v>23</v>
      </c>
      <c r="F1067" s="6" t="n">
        <v>3</v>
      </c>
      <c r="G1067" s="10" t="n">
        <v>661</v>
      </c>
      <c r="H1067" s="10" t="n">
        <f aca="false">F1067*G1067</f>
        <v>1983</v>
      </c>
      <c r="I1067" s="6" t="s">
        <v>5122</v>
      </c>
    </row>
    <row r="1068" customFormat="false" ht="15" hidden="false" customHeight="false" outlineLevel="0" collapsed="false">
      <c r="A1068" s="6" t="s">
        <v>6289</v>
      </c>
      <c r="B1068" s="6" t="s">
        <v>4637</v>
      </c>
      <c r="C1068" s="26" t="n">
        <v>46061</v>
      </c>
      <c r="D1068" s="6" t="s">
        <v>5171</v>
      </c>
      <c r="E1068" s="6" t="s">
        <v>23</v>
      </c>
      <c r="F1068" s="6" t="n">
        <v>2</v>
      </c>
      <c r="G1068" s="10" t="n">
        <v>734</v>
      </c>
      <c r="H1068" s="10" t="n">
        <f aca="false">F1068*G1068</f>
        <v>1468</v>
      </c>
      <c r="I1068" s="6" t="s">
        <v>5130</v>
      </c>
    </row>
    <row r="1069" customFormat="false" ht="15" hidden="false" customHeight="false" outlineLevel="0" collapsed="false">
      <c r="A1069" s="6" t="s">
        <v>6290</v>
      </c>
      <c r="B1069" s="6" t="s">
        <v>4623</v>
      </c>
      <c r="C1069" s="26" t="n">
        <v>46061</v>
      </c>
      <c r="D1069" s="6" t="s">
        <v>5167</v>
      </c>
      <c r="E1069" s="6" t="s">
        <v>22</v>
      </c>
      <c r="F1069" s="6" t="n">
        <v>1</v>
      </c>
      <c r="G1069" s="10" t="n">
        <v>703</v>
      </c>
      <c r="H1069" s="10" t="n">
        <f aca="false">F1069*G1069</f>
        <v>703</v>
      </c>
      <c r="I1069" s="6" t="s">
        <v>5122</v>
      </c>
    </row>
    <row r="1070" customFormat="false" ht="15" hidden="false" customHeight="false" outlineLevel="0" collapsed="false">
      <c r="A1070" s="6" t="s">
        <v>6291</v>
      </c>
      <c r="B1070" s="6" t="s">
        <v>3019</v>
      </c>
      <c r="C1070" s="26" t="n">
        <v>46061</v>
      </c>
      <c r="D1070" s="6" t="s">
        <v>5165</v>
      </c>
      <c r="E1070" s="6" t="s">
        <v>22</v>
      </c>
      <c r="F1070" s="6" t="n">
        <v>1</v>
      </c>
      <c r="G1070" s="10" t="n">
        <v>976</v>
      </c>
      <c r="H1070" s="10" t="n">
        <f aca="false">F1070*G1070</f>
        <v>976</v>
      </c>
      <c r="I1070" s="6" t="s">
        <v>5130</v>
      </c>
    </row>
    <row r="1071" customFormat="false" ht="15" hidden="false" customHeight="false" outlineLevel="0" collapsed="false">
      <c r="A1071" s="6" t="s">
        <v>6292</v>
      </c>
      <c r="B1071" s="6" t="s">
        <v>4153</v>
      </c>
      <c r="C1071" s="26" t="n">
        <v>46061</v>
      </c>
      <c r="D1071" s="6" t="s">
        <v>5163</v>
      </c>
      <c r="E1071" s="6" t="s">
        <v>23</v>
      </c>
      <c r="F1071" s="6" t="n">
        <v>5</v>
      </c>
      <c r="G1071" s="10" t="n">
        <v>783</v>
      </c>
      <c r="H1071" s="10" t="n">
        <f aca="false">F1071*G1071</f>
        <v>3915</v>
      </c>
      <c r="I1071" s="6" t="s">
        <v>5122</v>
      </c>
    </row>
    <row r="1072" customFormat="false" ht="15" hidden="false" customHeight="false" outlineLevel="0" collapsed="false">
      <c r="A1072" s="6" t="s">
        <v>6293</v>
      </c>
      <c r="B1072" s="6" t="s">
        <v>665</v>
      </c>
      <c r="C1072" s="26" t="n">
        <v>46061</v>
      </c>
      <c r="D1072" s="6" t="s">
        <v>5163</v>
      </c>
      <c r="E1072" s="6" t="s">
        <v>23</v>
      </c>
      <c r="F1072" s="6" t="n">
        <v>3</v>
      </c>
      <c r="G1072" s="10" t="n">
        <v>783</v>
      </c>
      <c r="H1072" s="10" t="n">
        <f aca="false">F1072*G1072</f>
        <v>2349</v>
      </c>
      <c r="I1072" s="6" t="s">
        <v>5125</v>
      </c>
    </row>
    <row r="1073" customFormat="false" ht="15" hidden="false" customHeight="false" outlineLevel="0" collapsed="false">
      <c r="A1073" s="6" t="s">
        <v>6294</v>
      </c>
      <c r="B1073" s="6" t="s">
        <v>332</v>
      </c>
      <c r="C1073" s="26" t="n">
        <v>46061</v>
      </c>
      <c r="D1073" s="6" t="s">
        <v>5242</v>
      </c>
      <c r="E1073" s="6" t="s">
        <v>23</v>
      </c>
      <c r="F1073" s="6" t="n">
        <v>5</v>
      </c>
      <c r="G1073" s="10" t="n">
        <v>372</v>
      </c>
      <c r="H1073" s="10" t="n">
        <f aca="false">F1073*G1073</f>
        <v>1860</v>
      </c>
      <c r="I1073" s="6" t="s">
        <v>5148</v>
      </c>
    </row>
    <row r="1074" customFormat="false" ht="15" hidden="false" customHeight="false" outlineLevel="0" collapsed="false">
      <c r="A1074" s="6" t="s">
        <v>6295</v>
      </c>
      <c r="B1074" s="6" t="s">
        <v>4919</v>
      </c>
      <c r="C1074" s="26" t="n">
        <v>46061</v>
      </c>
      <c r="D1074" s="6" t="s">
        <v>5214</v>
      </c>
      <c r="E1074" s="6" t="s">
        <v>20</v>
      </c>
      <c r="F1074" s="6" t="n">
        <v>1</v>
      </c>
      <c r="G1074" s="10" t="n">
        <v>1835</v>
      </c>
      <c r="H1074" s="10" t="n">
        <f aca="false">F1074*G1074</f>
        <v>1835</v>
      </c>
      <c r="I1074" s="6" t="s">
        <v>5122</v>
      </c>
    </row>
    <row r="1075" customFormat="false" ht="15" hidden="false" customHeight="false" outlineLevel="0" collapsed="false">
      <c r="A1075" s="6" t="s">
        <v>6296</v>
      </c>
      <c r="B1075" s="6" t="s">
        <v>997</v>
      </c>
      <c r="C1075" s="26" t="n">
        <v>46061</v>
      </c>
      <c r="D1075" s="6" t="s">
        <v>5458</v>
      </c>
      <c r="E1075" s="6" t="s">
        <v>24</v>
      </c>
      <c r="F1075" s="6" t="n">
        <v>4</v>
      </c>
      <c r="G1075" s="10" t="n">
        <v>531</v>
      </c>
      <c r="H1075" s="10" t="n">
        <f aca="false">F1075*G1075</f>
        <v>2124</v>
      </c>
      <c r="I1075" s="6" t="s">
        <v>5122</v>
      </c>
    </row>
    <row r="1076" customFormat="false" ht="15" hidden="false" customHeight="false" outlineLevel="0" collapsed="false">
      <c r="A1076" s="6" t="s">
        <v>6297</v>
      </c>
      <c r="B1076" s="6" t="s">
        <v>3801</v>
      </c>
      <c r="C1076" s="26" t="n">
        <v>46062</v>
      </c>
      <c r="D1076" s="6" t="s">
        <v>5127</v>
      </c>
      <c r="E1076" s="6" t="s">
        <v>21</v>
      </c>
      <c r="F1076" s="6" t="n">
        <v>1</v>
      </c>
      <c r="G1076" s="10" t="n">
        <v>795</v>
      </c>
      <c r="H1076" s="10" t="n">
        <f aca="false">F1076*G1076</f>
        <v>795</v>
      </c>
      <c r="I1076" s="6" t="s">
        <v>5122</v>
      </c>
    </row>
    <row r="1077" customFormat="false" ht="15" hidden="false" customHeight="false" outlineLevel="0" collapsed="false">
      <c r="A1077" s="6" t="s">
        <v>6298</v>
      </c>
      <c r="B1077" s="6" t="s">
        <v>2723</v>
      </c>
      <c r="C1077" s="26" t="n">
        <v>46062</v>
      </c>
      <c r="D1077" s="6" t="s">
        <v>5156</v>
      </c>
      <c r="E1077" s="6" t="s">
        <v>21</v>
      </c>
      <c r="F1077" s="6" t="n">
        <v>2</v>
      </c>
      <c r="G1077" s="10" t="n">
        <v>2161</v>
      </c>
      <c r="H1077" s="10" t="n">
        <f aca="false">F1077*G1077</f>
        <v>4322</v>
      </c>
      <c r="I1077" s="6" t="s">
        <v>5130</v>
      </c>
    </row>
    <row r="1078" customFormat="false" ht="15" hidden="false" customHeight="false" outlineLevel="0" collapsed="false">
      <c r="A1078" s="6" t="s">
        <v>6299</v>
      </c>
      <c r="B1078" s="6" t="s">
        <v>2319</v>
      </c>
      <c r="C1078" s="26" t="n">
        <v>46062</v>
      </c>
      <c r="D1078" s="6" t="s">
        <v>5216</v>
      </c>
      <c r="E1078" s="6" t="s">
        <v>23</v>
      </c>
      <c r="F1078" s="6" t="n">
        <v>5</v>
      </c>
      <c r="G1078" s="10" t="n">
        <v>528</v>
      </c>
      <c r="H1078" s="10" t="n">
        <f aca="false">F1078*G1078</f>
        <v>2640</v>
      </c>
      <c r="I1078" s="6" t="s">
        <v>5122</v>
      </c>
    </row>
    <row r="1079" customFormat="false" ht="15" hidden="false" customHeight="false" outlineLevel="0" collapsed="false">
      <c r="A1079" s="6" t="s">
        <v>6300</v>
      </c>
      <c r="B1079" s="6" t="s">
        <v>4259</v>
      </c>
      <c r="C1079" s="26" t="n">
        <v>46062</v>
      </c>
      <c r="D1079" s="6" t="s">
        <v>5145</v>
      </c>
      <c r="E1079" s="6" t="s">
        <v>21</v>
      </c>
      <c r="F1079" s="6" t="n">
        <v>2</v>
      </c>
      <c r="G1079" s="10" t="n">
        <v>1277</v>
      </c>
      <c r="H1079" s="10" t="n">
        <f aca="false">F1079*G1079</f>
        <v>2554</v>
      </c>
      <c r="I1079" s="6" t="s">
        <v>5122</v>
      </c>
    </row>
    <row r="1080" customFormat="false" ht="15" hidden="false" customHeight="false" outlineLevel="0" collapsed="false">
      <c r="A1080" s="6" t="s">
        <v>6301</v>
      </c>
      <c r="B1080" s="6" t="s">
        <v>3017</v>
      </c>
      <c r="C1080" s="26" t="n">
        <v>46062</v>
      </c>
      <c r="D1080" s="6" t="s">
        <v>5235</v>
      </c>
      <c r="E1080" s="6" t="s">
        <v>21</v>
      </c>
      <c r="F1080" s="6" t="n">
        <v>1</v>
      </c>
      <c r="G1080" s="10" t="n">
        <v>1503</v>
      </c>
      <c r="H1080" s="10" t="n">
        <f aca="false">F1080*G1080</f>
        <v>1503</v>
      </c>
      <c r="I1080" s="6" t="s">
        <v>5125</v>
      </c>
    </row>
    <row r="1081" customFormat="false" ht="15" hidden="false" customHeight="false" outlineLevel="0" collapsed="false">
      <c r="A1081" s="6" t="s">
        <v>6302</v>
      </c>
      <c r="B1081" s="6" t="s">
        <v>265</v>
      </c>
      <c r="C1081" s="26" t="n">
        <v>46062</v>
      </c>
      <c r="D1081" s="6" t="s">
        <v>5167</v>
      </c>
      <c r="E1081" s="6" t="s">
        <v>22</v>
      </c>
      <c r="F1081" s="6" t="n">
        <v>1</v>
      </c>
      <c r="G1081" s="10" t="n">
        <v>782</v>
      </c>
      <c r="H1081" s="10" t="n">
        <f aca="false">F1081*G1081</f>
        <v>782</v>
      </c>
      <c r="I1081" s="6" t="s">
        <v>5130</v>
      </c>
    </row>
    <row r="1082" customFormat="false" ht="15" hidden="false" customHeight="false" outlineLevel="0" collapsed="false">
      <c r="A1082" s="6" t="s">
        <v>6303</v>
      </c>
      <c r="B1082" s="6" t="s">
        <v>1113</v>
      </c>
      <c r="C1082" s="26" t="n">
        <v>46062</v>
      </c>
      <c r="D1082" s="6" t="s">
        <v>5216</v>
      </c>
      <c r="E1082" s="6" t="s">
        <v>23</v>
      </c>
      <c r="F1082" s="6" t="n">
        <v>4</v>
      </c>
      <c r="G1082" s="10" t="n">
        <v>587</v>
      </c>
      <c r="H1082" s="10" t="n">
        <f aca="false">F1082*G1082</f>
        <v>2348</v>
      </c>
      <c r="I1082" s="6" t="s">
        <v>5148</v>
      </c>
    </row>
    <row r="1083" customFormat="false" ht="15" hidden="false" customHeight="false" outlineLevel="0" collapsed="false">
      <c r="A1083" s="6" t="s">
        <v>6304</v>
      </c>
      <c r="B1083" s="6" t="s">
        <v>4377</v>
      </c>
      <c r="C1083" s="26" t="n">
        <v>46062</v>
      </c>
      <c r="D1083" s="6" t="s">
        <v>5171</v>
      </c>
      <c r="E1083" s="6" t="s">
        <v>23</v>
      </c>
      <c r="F1083" s="6" t="n">
        <v>1</v>
      </c>
      <c r="G1083" s="10" t="n">
        <v>697</v>
      </c>
      <c r="H1083" s="10" t="n">
        <f aca="false">F1083*G1083</f>
        <v>697</v>
      </c>
      <c r="I1083" s="6" t="s">
        <v>5133</v>
      </c>
    </row>
    <row r="1084" customFormat="false" ht="15" hidden="false" customHeight="false" outlineLevel="0" collapsed="false">
      <c r="A1084" s="6" t="s">
        <v>6305</v>
      </c>
      <c r="B1084" s="6" t="s">
        <v>1419</v>
      </c>
      <c r="C1084" s="26" t="n">
        <v>46062</v>
      </c>
      <c r="D1084" s="6" t="s">
        <v>5456</v>
      </c>
      <c r="E1084" s="6" t="s">
        <v>24</v>
      </c>
      <c r="F1084" s="6" t="n">
        <v>1</v>
      </c>
      <c r="G1084" s="10" t="n">
        <v>912</v>
      </c>
      <c r="H1084" s="10" t="n">
        <f aca="false">F1084*G1084</f>
        <v>912</v>
      </c>
      <c r="I1084" s="6" t="s">
        <v>5133</v>
      </c>
    </row>
    <row r="1085" customFormat="false" ht="15" hidden="false" customHeight="false" outlineLevel="0" collapsed="false">
      <c r="A1085" s="6" t="s">
        <v>6306</v>
      </c>
      <c r="B1085" s="6" t="s">
        <v>1151</v>
      </c>
      <c r="C1085" s="26" t="n">
        <v>46062</v>
      </c>
      <c r="D1085" s="6" t="s">
        <v>5141</v>
      </c>
      <c r="E1085" s="6" t="s">
        <v>20</v>
      </c>
      <c r="F1085" s="6" t="n">
        <v>1</v>
      </c>
      <c r="G1085" s="10" t="n">
        <v>1835</v>
      </c>
      <c r="H1085" s="10" t="n">
        <f aca="false">F1085*G1085</f>
        <v>1835</v>
      </c>
      <c r="I1085" s="6" t="s">
        <v>5148</v>
      </c>
    </row>
    <row r="1086" customFormat="false" ht="15" hidden="false" customHeight="false" outlineLevel="0" collapsed="false">
      <c r="A1086" s="6" t="s">
        <v>6307</v>
      </c>
      <c r="B1086" s="6" t="s">
        <v>1879</v>
      </c>
      <c r="C1086" s="26" t="n">
        <v>46062</v>
      </c>
      <c r="D1086" s="6" t="s">
        <v>5269</v>
      </c>
      <c r="E1086" s="6" t="s">
        <v>22</v>
      </c>
      <c r="F1086" s="6" t="n">
        <v>1</v>
      </c>
      <c r="G1086" s="10" t="n">
        <v>1271</v>
      </c>
      <c r="H1086" s="10" t="n">
        <f aca="false">F1086*G1086</f>
        <v>1271</v>
      </c>
      <c r="I1086" s="6" t="s">
        <v>5125</v>
      </c>
    </row>
    <row r="1087" customFormat="false" ht="15" hidden="false" customHeight="false" outlineLevel="0" collapsed="false">
      <c r="A1087" s="6" t="s">
        <v>6308</v>
      </c>
      <c r="B1087" s="6" t="s">
        <v>3349</v>
      </c>
      <c r="C1087" s="26" t="n">
        <v>46062</v>
      </c>
      <c r="D1087" s="6" t="s">
        <v>5383</v>
      </c>
      <c r="E1087" s="6" t="s">
        <v>20</v>
      </c>
      <c r="F1087" s="6" t="n">
        <v>1</v>
      </c>
      <c r="G1087" s="10" t="n">
        <v>1121</v>
      </c>
      <c r="H1087" s="10" t="n">
        <f aca="false">F1087*G1087</f>
        <v>1121</v>
      </c>
      <c r="I1087" s="6" t="s">
        <v>5148</v>
      </c>
    </row>
    <row r="1088" customFormat="false" ht="15" hidden="false" customHeight="false" outlineLevel="0" collapsed="false">
      <c r="A1088" s="6" t="s">
        <v>6309</v>
      </c>
      <c r="B1088" s="6" t="s">
        <v>1407</v>
      </c>
      <c r="C1088" s="26" t="n">
        <v>46062</v>
      </c>
      <c r="D1088" s="6" t="s">
        <v>5147</v>
      </c>
      <c r="E1088" s="6" t="s">
        <v>24</v>
      </c>
      <c r="F1088" s="6" t="n">
        <v>2</v>
      </c>
      <c r="G1088" s="10" t="n">
        <v>595</v>
      </c>
      <c r="H1088" s="10" t="n">
        <f aca="false">F1088*G1088</f>
        <v>1190</v>
      </c>
      <c r="I1088" s="6" t="s">
        <v>5148</v>
      </c>
    </row>
    <row r="1089" customFormat="false" ht="15" hidden="false" customHeight="false" outlineLevel="0" collapsed="false">
      <c r="A1089" s="6" t="s">
        <v>6310</v>
      </c>
      <c r="B1089" s="6" t="s">
        <v>4397</v>
      </c>
      <c r="C1089" s="26" t="n">
        <v>46062</v>
      </c>
      <c r="D1089" s="6" t="s">
        <v>5188</v>
      </c>
      <c r="E1089" s="6" t="s">
        <v>24</v>
      </c>
      <c r="F1089" s="6" t="n">
        <v>1</v>
      </c>
      <c r="G1089" s="10" t="n">
        <v>1018</v>
      </c>
      <c r="H1089" s="10" t="n">
        <f aca="false">F1089*G1089</f>
        <v>1018</v>
      </c>
      <c r="I1089" s="6" t="s">
        <v>5148</v>
      </c>
    </row>
    <row r="1090" customFormat="false" ht="15" hidden="false" customHeight="false" outlineLevel="0" collapsed="false">
      <c r="A1090" s="6" t="s">
        <v>6311</v>
      </c>
      <c r="B1090" s="6" t="s">
        <v>4617</v>
      </c>
      <c r="C1090" s="26" t="n">
        <v>46062</v>
      </c>
      <c r="D1090" s="6" t="s">
        <v>5269</v>
      </c>
      <c r="E1090" s="6" t="s">
        <v>22</v>
      </c>
      <c r="F1090" s="6" t="n">
        <v>1</v>
      </c>
      <c r="G1090" s="10" t="n">
        <v>1271</v>
      </c>
      <c r="H1090" s="10" t="n">
        <f aca="false">F1090*G1090</f>
        <v>1271</v>
      </c>
      <c r="I1090" s="6" t="s">
        <v>5130</v>
      </c>
    </row>
    <row r="1091" customFormat="false" ht="15" hidden="false" customHeight="false" outlineLevel="0" collapsed="false">
      <c r="A1091" s="6" t="s">
        <v>6312</v>
      </c>
      <c r="B1091" s="6" t="s">
        <v>1645</v>
      </c>
      <c r="C1091" s="26" t="n">
        <v>46062</v>
      </c>
      <c r="D1091" s="6" t="s">
        <v>5163</v>
      </c>
      <c r="E1091" s="6" t="s">
        <v>23</v>
      </c>
      <c r="F1091" s="6" t="n">
        <v>4</v>
      </c>
      <c r="G1091" s="10" t="n">
        <v>744</v>
      </c>
      <c r="H1091" s="10" t="n">
        <f aca="false">F1091*G1091</f>
        <v>2976</v>
      </c>
      <c r="I1091" s="6" t="s">
        <v>5133</v>
      </c>
    </row>
    <row r="1092" customFormat="false" ht="15" hidden="false" customHeight="false" outlineLevel="0" collapsed="false">
      <c r="A1092" s="6" t="s">
        <v>6313</v>
      </c>
      <c r="B1092" s="6" t="s">
        <v>1669</v>
      </c>
      <c r="C1092" s="26" t="n">
        <v>46062</v>
      </c>
      <c r="D1092" s="6" t="s">
        <v>5807</v>
      </c>
      <c r="E1092" s="6" t="s">
        <v>20</v>
      </c>
      <c r="F1092" s="6" t="n">
        <v>1</v>
      </c>
      <c r="G1092" s="10" t="n">
        <v>13766</v>
      </c>
      <c r="H1092" s="10" t="n">
        <f aca="false">F1092*G1092</f>
        <v>13766</v>
      </c>
      <c r="I1092" s="6" t="s">
        <v>5148</v>
      </c>
    </row>
    <row r="1093" customFormat="false" ht="15" hidden="false" customHeight="false" outlineLevel="0" collapsed="false">
      <c r="A1093" s="6" t="s">
        <v>6314</v>
      </c>
      <c r="B1093" s="6" t="s">
        <v>3393</v>
      </c>
      <c r="C1093" s="26" t="n">
        <v>46062</v>
      </c>
      <c r="D1093" s="6" t="s">
        <v>5167</v>
      </c>
      <c r="E1093" s="6" t="s">
        <v>22</v>
      </c>
      <c r="F1093" s="6" t="n">
        <v>4</v>
      </c>
      <c r="G1093" s="10" t="n">
        <v>782</v>
      </c>
      <c r="H1093" s="10" t="n">
        <f aca="false">F1093*G1093</f>
        <v>3128</v>
      </c>
      <c r="I1093" s="6" t="s">
        <v>5148</v>
      </c>
    </row>
    <row r="1094" customFormat="false" ht="15" hidden="false" customHeight="false" outlineLevel="0" collapsed="false">
      <c r="A1094" s="6" t="s">
        <v>6315</v>
      </c>
      <c r="B1094" s="6" t="s">
        <v>1279</v>
      </c>
      <c r="C1094" s="26" t="n">
        <v>46062</v>
      </c>
      <c r="D1094" s="6" t="s">
        <v>5167</v>
      </c>
      <c r="E1094" s="6" t="s">
        <v>22</v>
      </c>
      <c r="F1094" s="6" t="n">
        <v>2</v>
      </c>
      <c r="G1094" s="10" t="n">
        <v>782</v>
      </c>
      <c r="H1094" s="10" t="n">
        <f aca="false">F1094*G1094</f>
        <v>1564</v>
      </c>
      <c r="I1094" s="6" t="s">
        <v>5148</v>
      </c>
    </row>
    <row r="1095" customFormat="false" ht="15" hidden="false" customHeight="false" outlineLevel="0" collapsed="false">
      <c r="A1095" s="6" t="s">
        <v>6316</v>
      </c>
      <c r="B1095" s="6" t="s">
        <v>1711</v>
      </c>
      <c r="C1095" s="26" t="n">
        <v>46062</v>
      </c>
      <c r="D1095" s="6" t="s">
        <v>5167</v>
      </c>
      <c r="E1095" s="6" t="s">
        <v>22</v>
      </c>
      <c r="F1095" s="6" t="n">
        <v>1</v>
      </c>
      <c r="G1095" s="10" t="n">
        <v>782</v>
      </c>
      <c r="H1095" s="10" t="n">
        <f aca="false">F1095*G1095</f>
        <v>782</v>
      </c>
      <c r="I1095" s="6" t="s">
        <v>5122</v>
      </c>
    </row>
    <row r="1096" customFormat="false" ht="15" hidden="false" customHeight="false" outlineLevel="0" collapsed="false">
      <c r="A1096" s="6" t="s">
        <v>6317</v>
      </c>
      <c r="B1096" s="6" t="s">
        <v>3617</v>
      </c>
      <c r="C1096" s="26" t="n">
        <v>46062</v>
      </c>
      <c r="D1096" s="6" t="s">
        <v>5398</v>
      </c>
      <c r="E1096" s="6" t="s">
        <v>24</v>
      </c>
      <c r="F1096" s="6" t="n">
        <v>2</v>
      </c>
      <c r="G1096" s="10" t="n">
        <v>610</v>
      </c>
      <c r="H1096" s="10" t="n">
        <f aca="false">F1096*G1096</f>
        <v>1220</v>
      </c>
      <c r="I1096" s="6" t="s">
        <v>5122</v>
      </c>
    </row>
    <row r="1097" customFormat="false" ht="15" hidden="false" customHeight="false" outlineLevel="0" collapsed="false">
      <c r="A1097" s="6" t="s">
        <v>6318</v>
      </c>
      <c r="B1097" s="6" t="s">
        <v>2807</v>
      </c>
      <c r="C1097" s="26" t="n">
        <v>46062</v>
      </c>
      <c r="D1097" s="6" t="s">
        <v>5121</v>
      </c>
      <c r="E1097" s="6" t="s">
        <v>22</v>
      </c>
      <c r="F1097" s="6" t="n">
        <v>1</v>
      </c>
      <c r="G1097" s="10" t="n">
        <v>976</v>
      </c>
      <c r="H1097" s="10" t="n">
        <f aca="false">F1097*G1097</f>
        <v>976</v>
      </c>
      <c r="I1097" s="6" t="s">
        <v>5148</v>
      </c>
    </row>
    <row r="1098" customFormat="false" ht="15" hidden="false" customHeight="false" outlineLevel="0" collapsed="false">
      <c r="A1098" s="6" t="s">
        <v>6319</v>
      </c>
      <c r="B1098" s="6" t="s">
        <v>4539</v>
      </c>
      <c r="C1098" s="26" t="n">
        <v>46062</v>
      </c>
      <c r="D1098" s="6" t="s">
        <v>5167</v>
      </c>
      <c r="E1098" s="6" t="s">
        <v>22</v>
      </c>
      <c r="F1098" s="6" t="n">
        <v>1</v>
      </c>
      <c r="G1098" s="10" t="n">
        <v>703</v>
      </c>
      <c r="H1098" s="10" t="n">
        <f aca="false">F1098*G1098</f>
        <v>703</v>
      </c>
      <c r="I1098" s="6" t="s">
        <v>5148</v>
      </c>
    </row>
    <row r="1099" customFormat="false" ht="15" hidden="false" customHeight="false" outlineLevel="0" collapsed="false">
      <c r="A1099" s="6" t="s">
        <v>6320</v>
      </c>
      <c r="B1099" s="6" t="s">
        <v>4637</v>
      </c>
      <c r="C1099" s="26" t="n">
        <v>46062</v>
      </c>
      <c r="D1099" s="6" t="s">
        <v>5167</v>
      </c>
      <c r="E1099" s="6" t="s">
        <v>22</v>
      </c>
      <c r="F1099" s="6" t="n">
        <v>2</v>
      </c>
      <c r="G1099" s="10" t="n">
        <v>703</v>
      </c>
      <c r="H1099" s="10" t="n">
        <f aca="false">F1099*G1099</f>
        <v>1406</v>
      </c>
      <c r="I1099" s="6" t="s">
        <v>5133</v>
      </c>
    </row>
    <row r="1100" customFormat="false" ht="15" hidden="false" customHeight="false" outlineLevel="0" collapsed="false">
      <c r="A1100" s="6" t="s">
        <v>6321</v>
      </c>
      <c r="B1100" s="6" t="s">
        <v>3571</v>
      </c>
      <c r="C1100" s="26" t="n">
        <v>46062</v>
      </c>
      <c r="D1100" s="6" t="s">
        <v>5357</v>
      </c>
      <c r="E1100" s="6" t="s">
        <v>23</v>
      </c>
      <c r="F1100" s="6" t="n">
        <v>2</v>
      </c>
      <c r="G1100" s="10" t="n">
        <v>534</v>
      </c>
      <c r="H1100" s="10" t="n">
        <f aca="false">F1100*G1100</f>
        <v>1068</v>
      </c>
      <c r="I1100" s="6" t="s">
        <v>5173</v>
      </c>
    </row>
    <row r="1101" customFormat="false" ht="15" hidden="false" customHeight="false" outlineLevel="0" collapsed="false">
      <c r="A1101" s="6" t="s">
        <v>6322</v>
      </c>
      <c r="B1101" s="6" t="s">
        <v>4411</v>
      </c>
      <c r="C1101" s="26" t="n">
        <v>46062</v>
      </c>
      <c r="D1101" s="6" t="s">
        <v>5167</v>
      </c>
      <c r="E1101" s="6" t="s">
        <v>22</v>
      </c>
      <c r="F1101" s="6" t="n">
        <v>1</v>
      </c>
      <c r="G1101" s="10" t="n">
        <v>703</v>
      </c>
      <c r="H1101" s="10" t="n">
        <f aca="false">F1101*G1101</f>
        <v>703</v>
      </c>
      <c r="I1101" s="6" t="s">
        <v>5122</v>
      </c>
    </row>
    <row r="1102" customFormat="false" ht="15" hidden="false" customHeight="false" outlineLevel="0" collapsed="false">
      <c r="A1102" s="6" t="s">
        <v>6323</v>
      </c>
      <c r="B1102" s="6" t="s">
        <v>879</v>
      </c>
      <c r="C1102" s="26" t="n">
        <v>46062</v>
      </c>
      <c r="D1102" s="6" t="s">
        <v>5145</v>
      </c>
      <c r="E1102" s="6" t="s">
        <v>21</v>
      </c>
      <c r="F1102" s="6" t="n">
        <v>2</v>
      </c>
      <c r="G1102" s="10" t="n">
        <v>1149</v>
      </c>
      <c r="H1102" s="10" t="n">
        <f aca="false">F1102*G1102</f>
        <v>2298</v>
      </c>
      <c r="I1102" s="6" t="s">
        <v>5122</v>
      </c>
    </row>
    <row r="1103" customFormat="false" ht="15" hidden="false" customHeight="false" outlineLevel="0" collapsed="false">
      <c r="A1103" s="6" t="s">
        <v>6324</v>
      </c>
      <c r="B1103" s="6" t="s">
        <v>1535</v>
      </c>
      <c r="C1103" s="26" t="n">
        <v>46062</v>
      </c>
      <c r="D1103" s="6" t="s">
        <v>5216</v>
      </c>
      <c r="E1103" s="6" t="s">
        <v>23</v>
      </c>
      <c r="F1103" s="6" t="n">
        <v>1</v>
      </c>
      <c r="G1103" s="10" t="n">
        <v>586</v>
      </c>
      <c r="H1103" s="10" t="n">
        <f aca="false">F1103*G1103</f>
        <v>586</v>
      </c>
      <c r="I1103" s="6" t="s">
        <v>5125</v>
      </c>
    </row>
    <row r="1104" customFormat="false" ht="15" hidden="false" customHeight="false" outlineLevel="0" collapsed="false">
      <c r="A1104" s="6" t="s">
        <v>6325</v>
      </c>
      <c r="B1104" s="6" t="s">
        <v>2947</v>
      </c>
      <c r="C1104" s="26" t="n">
        <v>46062</v>
      </c>
      <c r="D1104" s="6" t="s">
        <v>5165</v>
      </c>
      <c r="E1104" s="6" t="s">
        <v>22</v>
      </c>
      <c r="F1104" s="6" t="n">
        <v>2</v>
      </c>
      <c r="G1104" s="10" t="n">
        <v>880</v>
      </c>
      <c r="H1104" s="10" t="n">
        <f aca="false">F1104*G1104</f>
        <v>1760</v>
      </c>
      <c r="I1104" s="6" t="s">
        <v>5122</v>
      </c>
    </row>
    <row r="1105" customFormat="false" ht="15" hidden="false" customHeight="false" outlineLevel="0" collapsed="false">
      <c r="A1105" s="6" t="s">
        <v>6326</v>
      </c>
      <c r="B1105" s="6" t="s">
        <v>2845</v>
      </c>
      <c r="C1105" s="26" t="n">
        <v>46062</v>
      </c>
      <c r="D1105" s="6" t="s">
        <v>5216</v>
      </c>
      <c r="E1105" s="6" t="s">
        <v>23</v>
      </c>
      <c r="F1105" s="6" t="n">
        <v>1</v>
      </c>
      <c r="G1105" s="10" t="n">
        <v>586</v>
      </c>
      <c r="H1105" s="10" t="n">
        <f aca="false">F1105*G1105</f>
        <v>586</v>
      </c>
      <c r="I1105" s="6" t="s">
        <v>5122</v>
      </c>
    </row>
    <row r="1106" customFormat="false" ht="15" hidden="false" customHeight="false" outlineLevel="0" collapsed="false">
      <c r="A1106" s="6" t="s">
        <v>6327</v>
      </c>
      <c r="B1106" s="6" t="s">
        <v>3317</v>
      </c>
      <c r="C1106" s="26" t="n">
        <v>46062</v>
      </c>
      <c r="D1106" s="6" t="s">
        <v>5163</v>
      </c>
      <c r="E1106" s="6" t="s">
        <v>23</v>
      </c>
      <c r="F1106" s="6" t="n">
        <v>2</v>
      </c>
      <c r="G1106" s="10" t="n">
        <v>783</v>
      </c>
      <c r="H1106" s="10" t="n">
        <f aca="false">F1106*G1106</f>
        <v>1566</v>
      </c>
      <c r="I1106" s="6" t="s">
        <v>5122</v>
      </c>
    </row>
    <row r="1107" customFormat="false" ht="15" hidden="false" customHeight="false" outlineLevel="0" collapsed="false">
      <c r="A1107" s="6" t="s">
        <v>6328</v>
      </c>
      <c r="B1107" s="6" t="s">
        <v>1823</v>
      </c>
      <c r="C1107" s="26" t="n">
        <v>46062</v>
      </c>
      <c r="D1107" s="6" t="s">
        <v>5163</v>
      </c>
      <c r="E1107" s="6" t="s">
        <v>23</v>
      </c>
      <c r="F1107" s="6" t="n">
        <v>1</v>
      </c>
      <c r="G1107" s="10" t="n">
        <v>704</v>
      </c>
      <c r="H1107" s="10" t="n">
        <f aca="false">F1107*G1107</f>
        <v>704</v>
      </c>
      <c r="I1107" s="6" t="s">
        <v>5122</v>
      </c>
    </row>
    <row r="1108" customFormat="false" ht="15" hidden="false" customHeight="false" outlineLevel="0" collapsed="false">
      <c r="A1108" s="6" t="s">
        <v>6329</v>
      </c>
      <c r="B1108" s="6" t="s">
        <v>1415</v>
      </c>
      <c r="C1108" s="26" t="n">
        <v>46062</v>
      </c>
      <c r="D1108" s="6" t="s">
        <v>5216</v>
      </c>
      <c r="E1108" s="6" t="s">
        <v>23</v>
      </c>
      <c r="F1108" s="6" t="n">
        <v>1</v>
      </c>
      <c r="G1108" s="10" t="n">
        <v>587</v>
      </c>
      <c r="H1108" s="10" t="n">
        <f aca="false">F1108*G1108</f>
        <v>587</v>
      </c>
      <c r="I1108" s="6" t="s">
        <v>5122</v>
      </c>
    </row>
    <row r="1109" customFormat="false" ht="15" hidden="false" customHeight="false" outlineLevel="0" collapsed="false">
      <c r="A1109" s="6" t="s">
        <v>6330</v>
      </c>
      <c r="B1109" s="6" t="s">
        <v>1685</v>
      </c>
      <c r="C1109" s="26" t="n">
        <v>46063</v>
      </c>
      <c r="D1109" s="6" t="s">
        <v>5121</v>
      </c>
      <c r="E1109" s="6" t="s">
        <v>22</v>
      </c>
      <c r="F1109" s="6" t="n">
        <v>1</v>
      </c>
      <c r="G1109" s="10" t="n">
        <v>977</v>
      </c>
      <c r="H1109" s="10" t="n">
        <f aca="false">F1109*G1109</f>
        <v>977</v>
      </c>
      <c r="I1109" s="6" t="s">
        <v>5148</v>
      </c>
    </row>
    <row r="1110" customFormat="false" ht="15" hidden="false" customHeight="false" outlineLevel="0" collapsed="false">
      <c r="A1110" s="6" t="s">
        <v>6331</v>
      </c>
      <c r="B1110" s="6" t="s">
        <v>3315</v>
      </c>
      <c r="C1110" s="26" t="n">
        <v>46063</v>
      </c>
      <c r="D1110" s="6" t="s">
        <v>5257</v>
      </c>
      <c r="E1110" s="6" t="s">
        <v>22</v>
      </c>
      <c r="F1110" s="6" t="n">
        <v>2</v>
      </c>
      <c r="G1110" s="10" t="n">
        <v>2249</v>
      </c>
      <c r="H1110" s="10" t="n">
        <f aca="false">F1110*G1110</f>
        <v>4498</v>
      </c>
      <c r="I1110" s="6" t="s">
        <v>5130</v>
      </c>
    </row>
    <row r="1111" customFormat="false" ht="15" hidden="false" customHeight="false" outlineLevel="0" collapsed="false">
      <c r="A1111" s="6" t="s">
        <v>6332</v>
      </c>
      <c r="B1111" s="6" t="s">
        <v>2851</v>
      </c>
      <c r="C1111" s="26" t="n">
        <v>46063</v>
      </c>
      <c r="D1111" s="6" t="s">
        <v>5269</v>
      </c>
      <c r="E1111" s="6" t="s">
        <v>22</v>
      </c>
      <c r="F1111" s="6" t="n">
        <v>1</v>
      </c>
      <c r="G1111" s="10" t="n">
        <v>1207</v>
      </c>
      <c r="H1111" s="10" t="n">
        <f aca="false">F1111*G1111</f>
        <v>1207</v>
      </c>
      <c r="I1111" s="6" t="s">
        <v>5148</v>
      </c>
    </row>
    <row r="1112" customFormat="false" ht="15" hidden="false" customHeight="false" outlineLevel="0" collapsed="false">
      <c r="A1112" s="6" t="s">
        <v>6333</v>
      </c>
      <c r="B1112" s="6" t="s">
        <v>4409</v>
      </c>
      <c r="C1112" s="26" t="n">
        <v>46063</v>
      </c>
      <c r="D1112" s="6" t="s">
        <v>5175</v>
      </c>
      <c r="E1112" s="6" t="s">
        <v>24</v>
      </c>
      <c r="F1112" s="6" t="n">
        <v>2</v>
      </c>
      <c r="G1112" s="10" t="n">
        <v>610</v>
      </c>
      <c r="H1112" s="10" t="n">
        <f aca="false">F1112*G1112</f>
        <v>1220</v>
      </c>
      <c r="I1112" s="6" t="s">
        <v>5125</v>
      </c>
    </row>
    <row r="1113" customFormat="false" ht="15" hidden="false" customHeight="false" outlineLevel="0" collapsed="false">
      <c r="A1113" s="6" t="s">
        <v>6334</v>
      </c>
      <c r="B1113" s="6" t="s">
        <v>2143</v>
      </c>
      <c r="C1113" s="26" t="n">
        <v>46063</v>
      </c>
      <c r="D1113" s="6" t="s">
        <v>5458</v>
      </c>
      <c r="E1113" s="6" t="s">
        <v>24</v>
      </c>
      <c r="F1113" s="6" t="n">
        <v>2</v>
      </c>
      <c r="G1113" s="10" t="n">
        <v>503</v>
      </c>
      <c r="H1113" s="10" t="n">
        <f aca="false">F1113*G1113</f>
        <v>1006</v>
      </c>
      <c r="I1113" s="6" t="s">
        <v>5122</v>
      </c>
    </row>
    <row r="1114" customFormat="false" ht="15" hidden="false" customHeight="false" outlineLevel="0" collapsed="false">
      <c r="A1114" s="6" t="s">
        <v>6335</v>
      </c>
      <c r="B1114" s="6" t="s">
        <v>995</v>
      </c>
      <c r="C1114" s="26" t="n">
        <v>46063</v>
      </c>
      <c r="D1114" s="6" t="s">
        <v>5167</v>
      </c>
      <c r="E1114" s="6" t="s">
        <v>22</v>
      </c>
      <c r="F1114" s="6" t="n">
        <v>1</v>
      </c>
      <c r="G1114" s="10" t="n">
        <v>782</v>
      </c>
      <c r="H1114" s="10" t="n">
        <f aca="false">F1114*G1114</f>
        <v>782</v>
      </c>
      <c r="I1114" s="6" t="s">
        <v>5122</v>
      </c>
    </row>
    <row r="1115" customFormat="false" ht="15" hidden="false" customHeight="false" outlineLevel="0" collapsed="false">
      <c r="A1115" s="6" t="s">
        <v>6336</v>
      </c>
      <c r="B1115" s="6" t="s">
        <v>4449</v>
      </c>
      <c r="C1115" s="26" t="n">
        <v>46063</v>
      </c>
      <c r="D1115" s="6" t="s">
        <v>5259</v>
      </c>
      <c r="E1115" s="6" t="s">
        <v>22</v>
      </c>
      <c r="F1115" s="6" t="n">
        <v>3</v>
      </c>
      <c r="G1115" s="10" t="n">
        <v>1564</v>
      </c>
      <c r="H1115" s="10" t="n">
        <f aca="false">F1115*G1115</f>
        <v>4692</v>
      </c>
      <c r="I1115" s="6" t="s">
        <v>5148</v>
      </c>
    </row>
    <row r="1116" customFormat="false" ht="15" hidden="false" customHeight="false" outlineLevel="0" collapsed="false">
      <c r="A1116" s="6" t="s">
        <v>6337</v>
      </c>
      <c r="B1116" s="6" t="s">
        <v>3245</v>
      </c>
      <c r="C1116" s="26" t="n">
        <v>46063</v>
      </c>
      <c r="D1116" s="6" t="s">
        <v>5292</v>
      </c>
      <c r="E1116" s="6" t="s">
        <v>21</v>
      </c>
      <c r="F1116" s="6" t="n">
        <v>2</v>
      </c>
      <c r="G1116" s="10" t="n">
        <v>6880</v>
      </c>
      <c r="H1116" s="10" t="n">
        <f aca="false">F1116*G1116</f>
        <v>13760</v>
      </c>
      <c r="I1116" s="6" t="s">
        <v>5148</v>
      </c>
    </row>
    <row r="1117" customFormat="false" ht="15" hidden="false" customHeight="false" outlineLevel="0" collapsed="false">
      <c r="A1117" s="6" t="s">
        <v>6338</v>
      </c>
      <c r="B1117" s="6" t="s">
        <v>1805</v>
      </c>
      <c r="C1117" s="26" t="n">
        <v>46063</v>
      </c>
      <c r="D1117" s="6" t="s">
        <v>5216</v>
      </c>
      <c r="E1117" s="6" t="s">
        <v>23</v>
      </c>
      <c r="F1117" s="6" t="n">
        <v>3</v>
      </c>
      <c r="G1117" s="10" t="n">
        <v>587</v>
      </c>
      <c r="H1117" s="10" t="n">
        <f aca="false">F1117*G1117</f>
        <v>1761</v>
      </c>
      <c r="I1117" s="6" t="s">
        <v>5148</v>
      </c>
    </row>
    <row r="1118" customFormat="false" ht="15" hidden="false" customHeight="false" outlineLevel="0" collapsed="false">
      <c r="A1118" s="6" t="s">
        <v>6339</v>
      </c>
      <c r="B1118" s="6" t="s">
        <v>1803</v>
      </c>
      <c r="C1118" s="26" t="n">
        <v>46063</v>
      </c>
      <c r="D1118" s="6" t="s">
        <v>5326</v>
      </c>
      <c r="E1118" s="6" t="s">
        <v>22</v>
      </c>
      <c r="F1118" s="6" t="n">
        <v>2</v>
      </c>
      <c r="G1118" s="10" t="n">
        <v>1466</v>
      </c>
      <c r="H1118" s="10" t="n">
        <f aca="false">F1118*G1118</f>
        <v>2932</v>
      </c>
      <c r="I1118" s="6" t="s">
        <v>5130</v>
      </c>
    </row>
    <row r="1119" customFormat="false" ht="15" hidden="false" customHeight="false" outlineLevel="0" collapsed="false">
      <c r="A1119" s="6" t="s">
        <v>6340</v>
      </c>
      <c r="B1119" s="6" t="s">
        <v>3137</v>
      </c>
      <c r="C1119" s="26" t="n">
        <v>46063</v>
      </c>
      <c r="D1119" s="6" t="s">
        <v>5167</v>
      </c>
      <c r="E1119" s="6" t="s">
        <v>22</v>
      </c>
      <c r="F1119" s="6" t="n">
        <v>1</v>
      </c>
      <c r="G1119" s="10" t="n">
        <v>782</v>
      </c>
      <c r="H1119" s="10" t="n">
        <f aca="false">F1119*G1119</f>
        <v>782</v>
      </c>
      <c r="I1119" s="6" t="s">
        <v>5122</v>
      </c>
    </row>
    <row r="1120" customFormat="false" ht="15" hidden="false" customHeight="false" outlineLevel="0" collapsed="false">
      <c r="A1120" s="6" t="s">
        <v>6341</v>
      </c>
      <c r="B1120" s="6" t="s">
        <v>4265</v>
      </c>
      <c r="C1120" s="26" t="n">
        <v>46063</v>
      </c>
      <c r="D1120" s="6" t="s">
        <v>5167</v>
      </c>
      <c r="E1120" s="6" t="s">
        <v>22</v>
      </c>
      <c r="F1120" s="6" t="n">
        <v>3</v>
      </c>
      <c r="G1120" s="10" t="n">
        <v>782</v>
      </c>
      <c r="H1120" s="10" t="n">
        <f aca="false">F1120*G1120</f>
        <v>2346</v>
      </c>
      <c r="I1120" s="6" t="s">
        <v>5148</v>
      </c>
    </row>
    <row r="1121" customFormat="false" ht="15" hidden="false" customHeight="false" outlineLevel="0" collapsed="false">
      <c r="A1121" s="6" t="s">
        <v>6342</v>
      </c>
      <c r="B1121" s="6" t="s">
        <v>3753</v>
      </c>
      <c r="C1121" s="26" t="n">
        <v>46063</v>
      </c>
      <c r="D1121" s="6" t="s">
        <v>5326</v>
      </c>
      <c r="E1121" s="6" t="s">
        <v>22</v>
      </c>
      <c r="F1121" s="6" t="n">
        <v>3</v>
      </c>
      <c r="G1121" s="10" t="n">
        <v>1466</v>
      </c>
      <c r="H1121" s="10" t="n">
        <f aca="false">F1121*G1121</f>
        <v>4398</v>
      </c>
      <c r="I1121" s="6" t="s">
        <v>5148</v>
      </c>
    </row>
    <row r="1122" customFormat="false" ht="15" hidden="false" customHeight="false" outlineLevel="0" collapsed="false">
      <c r="A1122" s="6" t="s">
        <v>6343</v>
      </c>
      <c r="B1122" s="6" t="s">
        <v>4617</v>
      </c>
      <c r="C1122" s="26" t="n">
        <v>46063</v>
      </c>
      <c r="D1122" s="6" t="s">
        <v>5245</v>
      </c>
      <c r="E1122" s="6" t="s">
        <v>21</v>
      </c>
      <c r="F1122" s="6" t="n">
        <v>2</v>
      </c>
      <c r="G1122" s="10" t="n">
        <v>2211</v>
      </c>
      <c r="H1122" s="10" t="n">
        <f aca="false">F1122*G1122</f>
        <v>4422</v>
      </c>
      <c r="I1122" s="6" t="s">
        <v>5122</v>
      </c>
    </row>
    <row r="1123" customFormat="false" ht="15" hidden="false" customHeight="false" outlineLevel="0" collapsed="false">
      <c r="A1123" s="6" t="s">
        <v>6344</v>
      </c>
      <c r="B1123" s="6" t="s">
        <v>4583</v>
      </c>
      <c r="C1123" s="26" t="n">
        <v>46063</v>
      </c>
      <c r="D1123" s="6" t="s">
        <v>5171</v>
      </c>
      <c r="E1123" s="6" t="s">
        <v>23</v>
      </c>
      <c r="F1123" s="6" t="n">
        <v>3</v>
      </c>
      <c r="G1123" s="10" t="n">
        <v>661</v>
      </c>
      <c r="H1123" s="10" t="n">
        <f aca="false">F1123*G1123</f>
        <v>1983</v>
      </c>
      <c r="I1123" s="6" t="s">
        <v>5148</v>
      </c>
    </row>
    <row r="1124" customFormat="false" ht="15" hidden="false" customHeight="false" outlineLevel="0" collapsed="false">
      <c r="A1124" s="6" t="s">
        <v>6345</v>
      </c>
      <c r="B1124" s="6" t="s">
        <v>4979</v>
      </c>
      <c r="C1124" s="26" t="n">
        <v>46063</v>
      </c>
      <c r="D1124" s="6" t="s">
        <v>5410</v>
      </c>
      <c r="E1124" s="6" t="s">
        <v>20</v>
      </c>
      <c r="F1124" s="6" t="n">
        <v>1</v>
      </c>
      <c r="G1124" s="10" t="n">
        <v>2548</v>
      </c>
      <c r="H1124" s="10" t="n">
        <f aca="false">F1124*G1124</f>
        <v>2548</v>
      </c>
      <c r="I1124" s="6" t="s">
        <v>5122</v>
      </c>
    </row>
    <row r="1125" customFormat="false" ht="15" hidden="false" customHeight="false" outlineLevel="0" collapsed="false">
      <c r="A1125" s="6" t="s">
        <v>6346</v>
      </c>
      <c r="B1125" s="6" t="s">
        <v>1499</v>
      </c>
      <c r="C1125" s="26" t="n">
        <v>46063</v>
      </c>
      <c r="D1125" s="6" t="s">
        <v>5129</v>
      </c>
      <c r="E1125" s="6" t="s">
        <v>21</v>
      </c>
      <c r="F1125" s="6" t="n">
        <v>1</v>
      </c>
      <c r="G1125" s="10" t="n">
        <v>589</v>
      </c>
      <c r="H1125" s="10" t="n">
        <f aca="false">F1125*G1125</f>
        <v>589</v>
      </c>
      <c r="I1125" s="6" t="s">
        <v>5122</v>
      </c>
    </row>
    <row r="1126" customFormat="false" ht="15" hidden="false" customHeight="false" outlineLevel="0" collapsed="false">
      <c r="A1126" s="6" t="s">
        <v>6347</v>
      </c>
      <c r="B1126" s="6" t="s">
        <v>4637</v>
      </c>
      <c r="C1126" s="26" t="n">
        <v>46063</v>
      </c>
      <c r="D1126" s="6" t="s">
        <v>5318</v>
      </c>
      <c r="E1126" s="6" t="s">
        <v>20</v>
      </c>
      <c r="F1126" s="6" t="n">
        <v>1</v>
      </c>
      <c r="G1126" s="10" t="n">
        <v>1529</v>
      </c>
      <c r="H1126" s="10" t="n">
        <f aca="false">F1126*G1126</f>
        <v>1529</v>
      </c>
      <c r="I1126" s="6" t="s">
        <v>5148</v>
      </c>
    </row>
    <row r="1127" customFormat="false" ht="15" hidden="false" customHeight="false" outlineLevel="0" collapsed="false">
      <c r="A1127" s="6" t="s">
        <v>6348</v>
      </c>
      <c r="B1127" s="6" t="s">
        <v>1841</v>
      </c>
      <c r="C1127" s="26" t="n">
        <v>46063</v>
      </c>
      <c r="D1127" s="6" t="s">
        <v>5121</v>
      </c>
      <c r="E1127" s="6" t="s">
        <v>22</v>
      </c>
      <c r="F1127" s="6" t="n">
        <v>3</v>
      </c>
      <c r="G1127" s="10" t="n">
        <v>880</v>
      </c>
      <c r="H1127" s="10" t="n">
        <f aca="false">F1127*G1127</f>
        <v>2640</v>
      </c>
      <c r="I1127" s="6" t="s">
        <v>5148</v>
      </c>
    </row>
    <row r="1128" customFormat="false" ht="15" hidden="false" customHeight="false" outlineLevel="0" collapsed="false">
      <c r="A1128" s="6" t="s">
        <v>6349</v>
      </c>
      <c r="B1128" s="6" t="s">
        <v>354</v>
      </c>
      <c r="C1128" s="26" t="n">
        <v>46063</v>
      </c>
      <c r="D1128" s="6" t="s">
        <v>5316</v>
      </c>
      <c r="E1128" s="6" t="s">
        <v>23</v>
      </c>
      <c r="F1128" s="6" t="n">
        <v>3</v>
      </c>
      <c r="G1128" s="10" t="n">
        <v>234</v>
      </c>
      <c r="H1128" s="10" t="n">
        <f aca="false">F1128*G1128</f>
        <v>702</v>
      </c>
      <c r="I1128" s="6" t="s">
        <v>5125</v>
      </c>
    </row>
    <row r="1129" customFormat="false" ht="15" hidden="false" customHeight="false" outlineLevel="0" collapsed="false">
      <c r="A1129" s="6" t="s">
        <v>6350</v>
      </c>
      <c r="B1129" s="6" t="s">
        <v>3389</v>
      </c>
      <c r="C1129" s="26" t="n">
        <v>46063</v>
      </c>
      <c r="D1129" s="6" t="s">
        <v>5197</v>
      </c>
      <c r="E1129" s="6" t="s">
        <v>21</v>
      </c>
      <c r="F1129" s="6" t="n">
        <v>1</v>
      </c>
      <c r="G1129" s="10" t="n">
        <v>972</v>
      </c>
      <c r="H1129" s="10" t="n">
        <f aca="false">F1129*G1129</f>
        <v>972</v>
      </c>
      <c r="I1129" s="6" t="s">
        <v>5173</v>
      </c>
    </row>
    <row r="1130" customFormat="false" ht="15" hidden="false" customHeight="false" outlineLevel="0" collapsed="false">
      <c r="A1130" s="6" t="s">
        <v>6351</v>
      </c>
      <c r="B1130" s="6" t="s">
        <v>879</v>
      </c>
      <c r="C1130" s="26" t="n">
        <v>46063</v>
      </c>
      <c r="D1130" s="6" t="s">
        <v>5156</v>
      </c>
      <c r="E1130" s="6" t="s">
        <v>21</v>
      </c>
      <c r="F1130" s="6" t="n">
        <v>2</v>
      </c>
      <c r="G1130" s="10" t="n">
        <v>1945</v>
      </c>
      <c r="H1130" s="10" t="n">
        <f aca="false">F1130*G1130</f>
        <v>3890</v>
      </c>
      <c r="I1130" s="6" t="s">
        <v>5122</v>
      </c>
    </row>
    <row r="1131" customFormat="false" ht="15" hidden="false" customHeight="false" outlineLevel="0" collapsed="false">
      <c r="A1131" s="6" t="s">
        <v>6352</v>
      </c>
      <c r="B1131" s="6" t="s">
        <v>3803</v>
      </c>
      <c r="C1131" s="26" t="n">
        <v>46063</v>
      </c>
      <c r="D1131" s="6" t="s">
        <v>5237</v>
      </c>
      <c r="E1131" s="6" t="s">
        <v>24</v>
      </c>
      <c r="F1131" s="6" t="n">
        <v>1</v>
      </c>
      <c r="G1131" s="10" t="n">
        <v>1650</v>
      </c>
      <c r="H1131" s="10" t="n">
        <f aca="false">F1131*G1131</f>
        <v>1650</v>
      </c>
      <c r="I1131" s="6" t="s">
        <v>5130</v>
      </c>
    </row>
    <row r="1132" customFormat="false" ht="15" hidden="false" customHeight="false" outlineLevel="0" collapsed="false">
      <c r="A1132" s="6" t="s">
        <v>6353</v>
      </c>
      <c r="B1132" s="6" t="s">
        <v>4373</v>
      </c>
      <c r="C1132" s="26" t="n">
        <v>46063</v>
      </c>
      <c r="D1132" s="6" t="s">
        <v>5216</v>
      </c>
      <c r="E1132" s="6" t="s">
        <v>23</v>
      </c>
      <c r="F1132" s="6" t="n">
        <v>4</v>
      </c>
      <c r="G1132" s="10" t="n">
        <v>558</v>
      </c>
      <c r="H1132" s="10" t="n">
        <f aca="false">F1132*G1132</f>
        <v>2232</v>
      </c>
      <c r="I1132" s="6" t="s">
        <v>5125</v>
      </c>
    </row>
    <row r="1133" customFormat="false" ht="15" hidden="false" customHeight="false" outlineLevel="0" collapsed="false">
      <c r="A1133" s="6" t="s">
        <v>6354</v>
      </c>
      <c r="B1133" s="6" t="s">
        <v>4769</v>
      </c>
      <c r="C1133" s="26" t="n">
        <v>46063</v>
      </c>
      <c r="D1133" s="6" t="s">
        <v>5326</v>
      </c>
      <c r="E1133" s="6" t="s">
        <v>22</v>
      </c>
      <c r="F1133" s="6" t="n">
        <v>1</v>
      </c>
      <c r="G1133" s="10" t="n">
        <v>1466</v>
      </c>
      <c r="H1133" s="10" t="n">
        <f aca="false">F1133*G1133</f>
        <v>1466</v>
      </c>
      <c r="I1133" s="6" t="s">
        <v>5122</v>
      </c>
    </row>
    <row r="1134" customFormat="false" ht="15" hidden="false" customHeight="false" outlineLevel="0" collapsed="false">
      <c r="A1134" s="6" t="s">
        <v>6355</v>
      </c>
      <c r="B1134" s="6" t="s">
        <v>4683</v>
      </c>
      <c r="C1134" s="26" t="n">
        <v>46063</v>
      </c>
      <c r="D1134" s="6" t="s">
        <v>5326</v>
      </c>
      <c r="E1134" s="6" t="s">
        <v>22</v>
      </c>
      <c r="F1134" s="6" t="n">
        <v>3</v>
      </c>
      <c r="G1134" s="10" t="n">
        <v>1466</v>
      </c>
      <c r="H1134" s="10" t="n">
        <f aca="false">F1134*G1134</f>
        <v>4398</v>
      </c>
      <c r="I1134" s="6" t="s">
        <v>5125</v>
      </c>
    </row>
    <row r="1135" customFormat="false" ht="15" hidden="false" customHeight="false" outlineLevel="0" collapsed="false">
      <c r="A1135" s="6" t="s">
        <v>6356</v>
      </c>
      <c r="B1135" s="6" t="s">
        <v>2999</v>
      </c>
      <c r="C1135" s="26" t="n">
        <v>46063</v>
      </c>
      <c r="D1135" s="6" t="s">
        <v>5163</v>
      </c>
      <c r="E1135" s="6" t="s">
        <v>23</v>
      </c>
      <c r="F1135" s="6" t="n">
        <v>1</v>
      </c>
      <c r="G1135" s="10" t="n">
        <v>783</v>
      </c>
      <c r="H1135" s="10" t="n">
        <f aca="false">F1135*G1135</f>
        <v>783</v>
      </c>
      <c r="I1135" s="6" t="s">
        <v>5130</v>
      </c>
    </row>
    <row r="1136" customFormat="false" ht="15" hidden="false" customHeight="false" outlineLevel="0" collapsed="false">
      <c r="A1136" s="6" t="s">
        <v>6357</v>
      </c>
      <c r="B1136" s="6" t="s">
        <v>4425</v>
      </c>
      <c r="C1136" s="26" t="n">
        <v>46063</v>
      </c>
      <c r="D1136" s="6" t="s">
        <v>5273</v>
      </c>
      <c r="E1136" s="6" t="s">
        <v>23</v>
      </c>
      <c r="F1136" s="6" t="n">
        <v>1</v>
      </c>
      <c r="G1136" s="10" t="n">
        <v>240</v>
      </c>
      <c r="H1136" s="10" t="n">
        <f aca="false">F1136*G1136</f>
        <v>240</v>
      </c>
      <c r="I1136" s="6" t="s">
        <v>5122</v>
      </c>
    </row>
    <row r="1137" customFormat="false" ht="15" hidden="false" customHeight="false" outlineLevel="0" collapsed="false">
      <c r="A1137" s="6" t="s">
        <v>6358</v>
      </c>
      <c r="B1137" s="6" t="s">
        <v>837</v>
      </c>
      <c r="C1137" s="26" t="n">
        <v>46064</v>
      </c>
      <c r="D1137" s="6" t="s">
        <v>5216</v>
      </c>
      <c r="E1137" s="6" t="s">
        <v>23</v>
      </c>
      <c r="F1137" s="6" t="n">
        <v>2</v>
      </c>
      <c r="G1137" s="10" t="n">
        <v>528</v>
      </c>
      <c r="H1137" s="10" t="n">
        <f aca="false">F1137*G1137</f>
        <v>1056</v>
      </c>
      <c r="I1137" s="6" t="s">
        <v>5148</v>
      </c>
    </row>
    <row r="1138" customFormat="false" ht="15" hidden="false" customHeight="false" outlineLevel="0" collapsed="false">
      <c r="A1138" s="6" t="s">
        <v>6359</v>
      </c>
      <c r="B1138" s="6" t="s">
        <v>3855</v>
      </c>
      <c r="C1138" s="26" t="n">
        <v>46064</v>
      </c>
      <c r="D1138" s="6" t="s">
        <v>5357</v>
      </c>
      <c r="E1138" s="6" t="s">
        <v>23</v>
      </c>
      <c r="F1138" s="6" t="n">
        <v>5</v>
      </c>
      <c r="G1138" s="10" t="n">
        <v>534</v>
      </c>
      <c r="H1138" s="10" t="n">
        <f aca="false">F1138*G1138</f>
        <v>2670</v>
      </c>
      <c r="I1138" s="6" t="s">
        <v>5130</v>
      </c>
    </row>
    <row r="1139" customFormat="false" ht="15" hidden="false" customHeight="false" outlineLevel="0" collapsed="false">
      <c r="A1139" s="6" t="s">
        <v>6360</v>
      </c>
      <c r="B1139" s="6" t="s">
        <v>659</v>
      </c>
      <c r="C1139" s="26" t="n">
        <v>46064</v>
      </c>
      <c r="D1139" s="6" t="s">
        <v>5197</v>
      </c>
      <c r="E1139" s="6" t="s">
        <v>21</v>
      </c>
      <c r="F1139" s="6" t="n">
        <v>1</v>
      </c>
      <c r="G1139" s="10" t="n">
        <v>1080</v>
      </c>
      <c r="H1139" s="10" t="n">
        <f aca="false">F1139*G1139</f>
        <v>1080</v>
      </c>
      <c r="I1139" s="6" t="s">
        <v>5125</v>
      </c>
    </row>
    <row r="1140" customFormat="false" ht="15" hidden="false" customHeight="false" outlineLevel="0" collapsed="false">
      <c r="A1140" s="6" t="s">
        <v>6361</v>
      </c>
      <c r="B1140" s="6" t="s">
        <v>1857</v>
      </c>
      <c r="C1140" s="26" t="n">
        <v>46064</v>
      </c>
      <c r="D1140" s="6" t="s">
        <v>5163</v>
      </c>
      <c r="E1140" s="6" t="s">
        <v>23</v>
      </c>
      <c r="F1140" s="6" t="n">
        <v>2</v>
      </c>
      <c r="G1140" s="10" t="n">
        <v>744</v>
      </c>
      <c r="H1140" s="10" t="n">
        <f aca="false">F1140*G1140</f>
        <v>1488</v>
      </c>
      <c r="I1140" s="6" t="s">
        <v>5148</v>
      </c>
    </row>
    <row r="1141" customFormat="false" ht="15" hidden="false" customHeight="false" outlineLevel="0" collapsed="false">
      <c r="A1141" s="6" t="s">
        <v>6362</v>
      </c>
      <c r="B1141" s="6" t="s">
        <v>1703</v>
      </c>
      <c r="C1141" s="26" t="n">
        <v>46064</v>
      </c>
      <c r="D1141" s="6" t="s">
        <v>5145</v>
      </c>
      <c r="E1141" s="6" t="s">
        <v>21</v>
      </c>
      <c r="F1141" s="6" t="n">
        <v>1</v>
      </c>
      <c r="G1141" s="10" t="n">
        <v>1277</v>
      </c>
      <c r="H1141" s="10" t="n">
        <f aca="false">F1141*G1141</f>
        <v>1277</v>
      </c>
      <c r="I1141" s="6" t="s">
        <v>5122</v>
      </c>
    </row>
    <row r="1142" customFormat="false" ht="15" hidden="false" customHeight="false" outlineLevel="0" collapsed="false">
      <c r="A1142" s="6" t="s">
        <v>6363</v>
      </c>
      <c r="B1142" s="6" t="s">
        <v>3725</v>
      </c>
      <c r="C1142" s="26" t="n">
        <v>46064</v>
      </c>
      <c r="D1142" s="6" t="s">
        <v>5326</v>
      </c>
      <c r="E1142" s="6" t="s">
        <v>22</v>
      </c>
      <c r="F1142" s="6" t="n">
        <v>1</v>
      </c>
      <c r="G1142" s="10" t="n">
        <v>1466</v>
      </c>
      <c r="H1142" s="10" t="n">
        <f aca="false">F1142*G1142</f>
        <v>1466</v>
      </c>
      <c r="I1142" s="6" t="s">
        <v>5122</v>
      </c>
    </row>
    <row r="1143" customFormat="false" ht="15" hidden="false" customHeight="false" outlineLevel="0" collapsed="false">
      <c r="A1143" s="6" t="s">
        <v>6364</v>
      </c>
      <c r="B1143" s="6" t="s">
        <v>2005</v>
      </c>
      <c r="C1143" s="26" t="n">
        <v>46064</v>
      </c>
      <c r="D1143" s="6" t="s">
        <v>5167</v>
      </c>
      <c r="E1143" s="6" t="s">
        <v>22</v>
      </c>
      <c r="F1143" s="6" t="n">
        <v>3</v>
      </c>
      <c r="G1143" s="10" t="n">
        <v>782</v>
      </c>
      <c r="H1143" s="10" t="n">
        <f aca="false">F1143*G1143</f>
        <v>2346</v>
      </c>
      <c r="I1143" s="6" t="s">
        <v>5125</v>
      </c>
    </row>
    <row r="1144" customFormat="false" ht="15" hidden="false" customHeight="false" outlineLevel="0" collapsed="false">
      <c r="A1144" s="6" t="s">
        <v>6365</v>
      </c>
      <c r="B1144" s="6" t="s">
        <v>2851</v>
      </c>
      <c r="C1144" s="26" t="n">
        <v>46064</v>
      </c>
      <c r="D1144" s="6" t="s">
        <v>5339</v>
      </c>
      <c r="E1144" s="6" t="s">
        <v>24</v>
      </c>
      <c r="F1144" s="6" t="n">
        <v>1</v>
      </c>
      <c r="G1144" s="10" t="n">
        <v>508</v>
      </c>
      <c r="H1144" s="10" t="n">
        <f aca="false">F1144*G1144</f>
        <v>508</v>
      </c>
      <c r="I1144" s="6" t="s">
        <v>5122</v>
      </c>
    </row>
    <row r="1145" customFormat="false" ht="15" hidden="false" customHeight="false" outlineLevel="0" collapsed="false">
      <c r="A1145" s="6" t="s">
        <v>6366</v>
      </c>
      <c r="B1145" s="6" t="s">
        <v>2597</v>
      </c>
      <c r="C1145" s="26" t="n">
        <v>46064</v>
      </c>
      <c r="D1145" s="6" t="s">
        <v>5687</v>
      </c>
      <c r="E1145" s="6" t="s">
        <v>20</v>
      </c>
      <c r="F1145" s="6" t="n">
        <v>2</v>
      </c>
      <c r="G1145" s="10" t="n">
        <v>1835</v>
      </c>
      <c r="H1145" s="10" t="n">
        <f aca="false">F1145*G1145</f>
        <v>3670</v>
      </c>
      <c r="I1145" s="6" t="s">
        <v>5130</v>
      </c>
    </row>
    <row r="1146" customFormat="false" ht="15" hidden="false" customHeight="false" outlineLevel="0" collapsed="false">
      <c r="A1146" s="6" t="s">
        <v>6367</v>
      </c>
      <c r="B1146" s="6" t="s">
        <v>525</v>
      </c>
      <c r="C1146" s="26" t="n">
        <v>46064</v>
      </c>
      <c r="D1146" s="6" t="s">
        <v>5410</v>
      </c>
      <c r="E1146" s="6" t="s">
        <v>20</v>
      </c>
      <c r="F1146" s="6" t="n">
        <v>1</v>
      </c>
      <c r="G1146" s="10" t="n">
        <v>2548</v>
      </c>
      <c r="H1146" s="10" t="n">
        <f aca="false">F1146*G1146</f>
        <v>2548</v>
      </c>
      <c r="I1146" s="6" t="s">
        <v>5122</v>
      </c>
    </row>
    <row r="1147" customFormat="false" ht="15" hidden="false" customHeight="false" outlineLevel="0" collapsed="false">
      <c r="A1147" s="6" t="s">
        <v>6368</v>
      </c>
      <c r="B1147" s="6" t="s">
        <v>4159</v>
      </c>
      <c r="C1147" s="26" t="n">
        <v>46064</v>
      </c>
      <c r="D1147" s="6" t="s">
        <v>5150</v>
      </c>
      <c r="E1147" s="6" t="s">
        <v>24</v>
      </c>
      <c r="F1147" s="6" t="n">
        <v>1</v>
      </c>
      <c r="G1147" s="10" t="n">
        <v>509</v>
      </c>
      <c r="H1147" s="10" t="n">
        <f aca="false">F1147*G1147</f>
        <v>509</v>
      </c>
      <c r="I1147" s="6" t="s">
        <v>5148</v>
      </c>
    </row>
    <row r="1148" customFormat="false" ht="15" hidden="false" customHeight="false" outlineLevel="0" collapsed="false">
      <c r="A1148" s="6" t="s">
        <v>6369</v>
      </c>
      <c r="B1148" s="6" t="s">
        <v>3907</v>
      </c>
      <c r="C1148" s="26" t="n">
        <v>46064</v>
      </c>
      <c r="D1148" s="6" t="s">
        <v>5137</v>
      </c>
      <c r="E1148" s="6" t="s">
        <v>21</v>
      </c>
      <c r="F1148" s="6" t="n">
        <v>1</v>
      </c>
      <c r="G1148" s="10" t="n">
        <v>1768</v>
      </c>
      <c r="H1148" s="10" t="n">
        <f aca="false">F1148*G1148</f>
        <v>1768</v>
      </c>
      <c r="I1148" s="6" t="s">
        <v>5173</v>
      </c>
    </row>
    <row r="1149" customFormat="false" ht="15" hidden="false" customHeight="false" outlineLevel="0" collapsed="false">
      <c r="A1149" s="6" t="s">
        <v>6370</v>
      </c>
      <c r="B1149" s="6" t="s">
        <v>4583</v>
      </c>
      <c r="C1149" s="26" t="n">
        <v>46064</v>
      </c>
      <c r="D1149" s="6" t="s">
        <v>5192</v>
      </c>
      <c r="E1149" s="6" t="s">
        <v>20</v>
      </c>
      <c r="F1149" s="6" t="n">
        <v>1</v>
      </c>
      <c r="G1149" s="10" t="n">
        <v>4078</v>
      </c>
      <c r="H1149" s="10" t="n">
        <f aca="false">F1149*G1149</f>
        <v>4078</v>
      </c>
      <c r="I1149" s="6" t="s">
        <v>5148</v>
      </c>
    </row>
    <row r="1150" customFormat="false" ht="15" hidden="false" customHeight="false" outlineLevel="0" collapsed="false">
      <c r="A1150" s="6" t="s">
        <v>6371</v>
      </c>
      <c r="B1150" s="6" t="s">
        <v>2131</v>
      </c>
      <c r="C1150" s="26" t="n">
        <v>46064</v>
      </c>
      <c r="D1150" s="6" t="s">
        <v>5456</v>
      </c>
      <c r="E1150" s="6" t="s">
        <v>24</v>
      </c>
      <c r="F1150" s="6" t="n">
        <v>2</v>
      </c>
      <c r="G1150" s="10" t="n">
        <v>866</v>
      </c>
      <c r="H1150" s="10" t="n">
        <f aca="false">F1150*G1150</f>
        <v>1732</v>
      </c>
      <c r="I1150" s="6" t="s">
        <v>5122</v>
      </c>
    </row>
    <row r="1151" customFormat="false" ht="15" hidden="false" customHeight="false" outlineLevel="0" collapsed="false">
      <c r="A1151" s="6" t="s">
        <v>6372</v>
      </c>
      <c r="B1151" s="6" t="s">
        <v>3433</v>
      </c>
      <c r="C1151" s="26" t="n">
        <v>46064</v>
      </c>
      <c r="D1151" s="6" t="s">
        <v>5127</v>
      </c>
      <c r="E1151" s="6" t="s">
        <v>21</v>
      </c>
      <c r="F1151" s="6" t="n">
        <v>1</v>
      </c>
      <c r="G1151" s="10" t="n">
        <v>884</v>
      </c>
      <c r="H1151" s="10" t="n">
        <f aca="false">F1151*G1151</f>
        <v>884</v>
      </c>
      <c r="I1151" s="6" t="s">
        <v>5122</v>
      </c>
    </row>
    <row r="1152" customFormat="false" ht="15" hidden="false" customHeight="false" outlineLevel="0" collapsed="false">
      <c r="A1152" s="6" t="s">
        <v>6373</v>
      </c>
      <c r="B1152" s="6" t="s">
        <v>1993</v>
      </c>
      <c r="C1152" s="26" t="n">
        <v>46064</v>
      </c>
      <c r="D1152" s="6" t="s">
        <v>5127</v>
      </c>
      <c r="E1152" s="6" t="s">
        <v>21</v>
      </c>
      <c r="F1152" s="6" t="n">
        <v>1</v>
      </c>
      <c r="G1152" s="10" t="n">
        <v>884</v>
      </c>
      <c r="H1152" s="10" t="n">
        <f aca="false">F1152*G1152</f>
        <v>884</v>
      </c>
      <c r="I1152" s="6" t="s">
        <v>5130</v>
      </c>
    </row>
    <row r="1153" customFormat="false" ht="15" hidden="false" customHeight="false" outlineLevel="0" collapsed="false">
      <c r="A1153" s="6" t="s">
        <v>6374</v>
      </c>
      <c r="B1153" s="6" t="s">
        <v>527</v>
      </c>
      <c r="C1153" s="26" t="n">
        <v>46064</v>
      </c>
      <c r="D1153" s="6" t="s">
        <v>5194</v>
      </c>
      <c r="E1153" s="6" t="s">
        <v>22</v>
      </c>
      <c r="F1153" s="6" t="n">
        <v>1</v>
      </c>
      <c r="G1153" s="10" t="n">
        <v>2150</v>
      </c>
      <c r="H1153" s="10" t="n">
        <f aca="false">F1153*G1153</f>
        <v>2150</v>
      </c>
      <c r="I1153" s="6" t="s">
        <v>5122</v>
      </c>
    </row>
    <row r="1154" customFormat="false" ht="15" hidden="false" customHeight="false" outlineLevel="0" collapsed="false">
      <c r="A1154" s="6" t="s">
        <v>6375</v>
      </c>
      <c r="B1154" s="6" t="s">
        <v>2999</v>
      </c>
      <c r="C1154" s="26" t="n">
        <v>46064</v>
      </c>
      <c r="D1154" s="6" t="s">
        <v>5218</v>
      </c>
      <c r="E1154" s="6" t="s">
        <v>23</v>
      </c>
      <c r="F1154" s="6" t="n">
        <v>2</v>
      </c>
      <c r="G1154" s="10" t="n">
        <v>165</v>
      </c>
      <c r="H1154" s="10" t="n">
        <f aca="false">F1154*G1154</f>
        <v>330</v>
      </c>
      <c r="I1154" s="6" t="s">
        <v>5130</v>
      </c>
    </row>
    <row r="1155" customFormat="false" ht="15" hidden="false" customHeight="false" outlineLevel="0" collapsed="false">
      <c r="A1155" s="6" t="s">
        <v>6376</v>
      </c>
      <c r="B1155" s="6" t="s">
        <v>1587</v>
      </c>
      <c r="C1155" s="26" t="n">
        <v>46064</v>
      </c>
      <c r="D1155" s="6" t="s">
        <v>5216</v>
      </c>
      <c r="E1155" s="6" t="s">
        <v>23</v>
      </c>
      <c r="F1155" s="6" t="n">
        <v>1</v>
      </c>
      <c r="G1155" s="10" t="n">
        <v>587</v>
      </c>
      <c r="H1155" s="10" t="n">
        <f aca="false">F1155*G1155</f>
        <v>587</v>
      </c>
      <c r="I1155" s="6" t="s">
        <v>5133</v>
      </c>
    </row>
    <row r="1156" customFormat="false" ht="15" hidden="false" customHeight="false" outlineLevel="0" collapsed="false">
      <c r="A1156" s="6" t="s">
        <v>6377</v>
      </c>
      <c r="B1156" s="6" t="s">
        <v>1991</v>
      </c>
      <c r="C1156" s="26" t="n">
        <v>46064</v>
      </c>
      <c r="D1156" s="6" t="s">
        <v>5147</v>
      </c>
      <c r="E1156" s="6" t="s">
        <v>24</v>
      </c>
      <c r="F1156" s="6" t="n">
        <v>2</v>
      </c>
      <c r="G1156" s="10" t="n">
        <v>628</v>
      </c>
      <c r="H1156" s="10" t="n">
        <f aca="false">F1156*G1156</f>
        <v>1256</v>
      </c>
      <c r="I1156" s="6" t="s">
        <v>5148</v>
      </c>
    </row>
    <row r="1157" customFormat="false" ht="15" hidden="false" customHeight="false" outlineLevel="0" collapsed="false">
      <c r="A1157" s="6" t="s">
        <v>6378</v>
      </c>
      <c r="B1157" s="6" t="s">
        <v>1935</v>
      </c>
      <c r="C1157" s="26" t="n">
        <v>46064</v>
      </c>
      <c r="D1157" s="6" t="s">
        <v>5167</v>
      </c>
      <c r="E1157" s="6" t="s">
        <v>22</v>
      </c>
      <c r="F1157" s="6" t="n">
        <v>2</v>
      </c>
      <c r="G1157" s="10" t="n">
        <v>782</v>
      </c>
      <c r="H1157" s="10" t="n">
        <f aca="false">F1157*G1157</f>
        <v>1564</v>
      </c>
      <c r="I1157" s="6" t="s">
        <v>5122</v>
      </c>
    </row>
    <row r="1158" customFormat="false" ht="15" hidden="false" customHeight="false" outlineLevel="0" collapsed="false">
      <c r="A1158" s="6" t="s">
        <v>6379</v>
      </c>
      <c r="B1158" s="6" t="s">
        <v>4859</v>
      </c>
      <c r="C1158" s="26" t="n">
        <v>46065</v>
      </c>
      <c r="D1158" s="6" t="s">
        <v>5180</v>
      </c>
      <c r="E1158" s="6" t="s">
        <v>24</v>
      </c>
      <c r="F1158" s="6" t="n">
        <v>3</v>
      </c>
      <c r="G1158" s="10" t="n">
        <v>1987</v>
      </c>
      <c r="H1158" s="10" t="n">
        <f aca="false">F1158*G1158</f>
        <v>5961</v>
      </c>
      <c r="I1158" s="6" t="s">
        <v>5173</v>
      </c>
    </row>
    <row r="1159" customFormat="false" ht="15" hidden="false" customHeight="false" outlineLevel="0" collapsed="false">
      <c r="A1159" s="6" t="s">
        <v>6380</v>
      </c>
      <c r="B1159" s="6" t="s">
        <v>5081</v>
      </c>
      <c r="C1159" s="26" t="n">
        <v>46065</v>
      </c>
      <c r="D1159" s="6" t="s">
        <v>5259</v>
      </c>
      <c r="E1159" s="6" t="s">
        <v>22</v>
      </c>
      <c r="F1159" s="6" t="n">
        <v>2</v>
      </c>
      <c r="G1159" s="10" t="n">
        <v>1486</v>
      </c>
      <c r="H1159" s="10" t="n">
        <f aca="false">F1159*G1159</f>
        <v>2972</v>
      </c>
      <c r="I1159" s="6" t="s">
        <v>5133</v>
      </c>
    </row>
    <row r="1160" customFormat="false" ht="15" hidden="false" customHeight="false" outlineLevel="0" collapsed="false">
      <c r="A1160" s="6" t="s">
        <v>6381</v>
      </c>
      <c r="B1160" s="6" t="s">
        <v>3041</v>
      </c>
      <c r="C1160" s="26" t="n">
        <v>46065</v>
      </c>
      <c r="D1160" s="6" t="s">
        <v>5165</v>
      </c>
      <c r="E1160" s="6" t="s">
        <v>22</v>
      </c>
      <c r="F1160" s="6" t="n">
        <v>1</v>
      </c>
      <c r="G1160" s="10" t="n">
        <v>976</v>
      </c>
      <c r="H1160" s="10" t="n">
        <f aca="false">F1160*G1160</f>
        <v>976</v>
      </c>
      <c r="I1160" s="6" t="s">
        <v>5125</v>
      </c>
    </row>
    <row r="1161" customFormat="false" ht="15" hidden="false" customHeight="false" outlineLevel="0" collapsed="false">
      <c r="A1161" s="6" t="s">
        <v>6382</v>
      </c>
      <c r="B1161" s="6" t="s">
        <v>4747</v>
      </c>
      <c r="C1161" s="26" t="n">
        <v>46065</v>
      </c>
      <c r="D1161" s="6" t="s">
        <v>5137</v>
      </c>
      <c r="E1161" s="6" t="s">
        <v>21</v>
      </c>
      <c r="F1161" s="6" t="n">
        <v>1</v>
      </c>
      <c r="G1161" s="10" t="n">
        <v>1680</v>
      </c>
      <c r="H1161" s="10" t="n">
        <f aca="false">F1161*G1161</f>
        <v>1680</v>
      </c>
      <c r="I1161" s="6" t="s">
        <v>5122</v>
      </c>
    </row>
    <row r="1162" customFormat="false" ht="15" hidden="false" customHeight="false" outlineLevel="0" collapsed="false">
      <c r="A1162" s="6" t="s">
        <v>6383</v>
      </c>
      <c r="B1162" s="6" t="s">
        <v>3473</v>
      </c>
      <c r="C1162" s="26" t="n">
        <v>46065</v>
      </c>
      <c r="D1162" s="6" t="s">
        <v>5185</v>
      </c>
      <c r="E1162" s="6" t="s">
        <v>24</v>
      </c>
      <c r="F1162" s="6" t="n">
        <v>1</v>
      </c>
      <c r="G1162" s="10" t="n">
        <v>2140</v>
      </c>
      <c r="H1162" s="10" t="n">
        <f aca="false">F1162*G1162</f>
        <v>2140</v>
      </c>
      <c r="I1162" s="6" t="s">
        <v>5122</v>
      </c>
    </row>
    <row r="1163" customFormat="false" ht="15" hidden="false" customHeight="false" outlineLevel="0" collapsed="false">
      <c r="A1163" s="6" t="s">
        <v>6384</v>
      </c>
      <c r="B1163" s="6" t="s">
        <v>4667</v>
      </c>
      <c r="C1163" s="26" t="n">
        <v>46065</v>
      </c>
      <c r="D1163" s="6" t="s">
        <v>5303</v>
      </c>
      <c r="E1163" s="6" t="s">
        <v>22</v>
      </c>
      <c r="F1163" s="6" t="n">
        <v>1</v>
      </c>
      <c r="G1163" s="10" t="n">
        <v>2200</v>
      </c>
      <c r="H1163" s="10" t="n">
        <f aca="false">F1163*G1163</f>
        <v>2200</v>
      </c>
      <c r="I1163" s="6" t="s">
        <v>5122</v>
      </c>
    </row>
    <row r="1164" customFormat="false" ht="15" hidden="false" customHeight="false" outlineLevel="0" collapsed="false">
      <c r="A1164" s="6" t="s">
        <v>6385</v>
      </c>
      <c r="B1164" s="6" t="s">
        <v>3921</v>
      </c>
      <c r="C1164" s="26" t="n">
        <v>46065</v>
      </c>
      <c r="D1164" s="6" t="s">
        <v>5163</v>
      </c>
      <c r="E1164" s="6" t="s">
        <v>23</v>
      </c>
      <c r="F1164" s="6" t="n">
        <v>3</v>
      </c>
      <c r="G1164" s="10" t="n">
        <v>783</v>
      </c>
      <c r="H1164" s="10" t="n">
        <f aca="false">F1164*G1164</f>
        <v>2349</v>
      </c>
      <c r="I1164" s="6" t="s">
        <v>5122</v>
      </c>
    </row>
    <row r="1165" customFormat="false" ht="15" hidden="false" customHeight="false" outlineLevel="0" collapsed="false">
      <c r="A1165" s="6" t="s">
        <v>6386</v>
      </c>
      <c r="B1165" s="6" t="s">
        <v>1623</v>
      </c>
      <c r="C1165" s="26" t="n">
        <v>46065</v>
      </c>
      <c r="D1165" s="6" t="s">
        <v>5273</v>
      </c>
      <c r="E1165" s="6" t="s">
        <v>23</v>
      </c>
      <c r="F1165" s="6" t="n">
        <v>3</v>
      </c>
      <c r="G1165" s="10" t="n">
        <v>216</v>
      </c>
      <c r="H1165" s="10" t="n">
        <f aca="false">F1165*G1165</f>
        <v>648</v>
      </c>
      <c r="I1165" s="6" t="s">
        <v>5148</v>
      </c>
    </row>
    <row r="1166" customFormat="false" ht="15" hidden="false" customHeight="false" outlineLevel="0" collapsed="false">
      <c r="A1166" s="6" t="s">
        <v>6387</v>
      </c>
      <c r="B1166" s="6" t="s">
        <v>697</v>
      </c>
      <c r="C1166" s="26" t="n">
        <v>46065</v>
      </c>
      <c r="D1166" s="6" t="s">
        <v>5165</v>
      </c>
      <c r="E1166" s="6" t="s">
        <v>22</v>
      </c>
      <c r="F1166" s="6" t="n">
        <v>4</v>
      </c>
      <c r="G1166" s="10" t="n">
        <v>977</v>
      </c>
      <c r="H1166" s="10" t="n">
        <f aca="false">F1166*G1166</f>
        <v>3908</v>
      </c>
      <c r="I1166" s="6" t="s">
        <v>5122</v>
      </c>
    </row>
    <row r="1167" customFormat="false" ht="15" hidden="false" customHeight="false" outlineLevel="0" collapsed="false">
      <c r="A1167" s="6" t="s">
        <v>6388</v>
      </c>
      <c r="B1167" s="6" t="s">
        <v>587</v>
      </c>
      <c r="C1167" s="26" t="n">
        <v>46065</v>
      </c>
      <c r="D1167" s="6" t="s">
        <v>5121</v>
      </c>
      <c r="E1167" s="6" t="s">
        <v>22</v>
      </c>
      <c r="F1167" s="6" t="n">
        <v>1</v>
      </c>
      <c r="G1167" s="10" t="n">
        <v>977</v>
      </c>
      <c r="H1167" s="10" t="n">
        <f aca="false">F1167*G1167</f>
        <v>977</v>
      </c>
      <c r="I1167" s="6" t="s">
        <v>5133</v>
      </c>
    </row>
    <row r="1168" customFormat="false" ht="15" hidden="false" customHeight="false" outlineLevel="0" collapsed="false">
      <c r="A1168" s="6" t="s">
        <v>6389</v>
      </c>
      <c r="B1168" s="6" t="s">
        <v>4305</v>
      </c>
      <c r="C1168" s="26" t="n">
        <v>46065</v>
      </c>
      <c r="D1168" s="6" t="s">
        <v>5345</v>
      </c>
      <c r="E1168" s="6" t="s">
        <v>23</v>
      </c>
      <c r="F1168" s="6" t="n">
        <v>3</v>
      </c>
      <c r="G1168" s="10" t="n">
        <v>436</v>
      </c>
      <c r="H1168" s="10" t="n">
        <f aca="false">F1168*G1168</f>
        <v>1308</v>
      </c>
      <c r="I1168" s="6" t="s">
        <v>5148</v>
      </c>
    </row>
    <row r="1169" customFormat="false" ht="15" hidden="false" customHeight="false" outlineLevel="0" collapsed="false">
      <c r="A1169" s="6" t="s">
        <v>6390</v>
      </c>
      <c r="B1169" s="6" t="s">
        <v>1769</v>
      </c>
      <c r="C1169" s="26" t="n">
        <v>46065</v>
      </c>
      <c r="D1169" s="6" t="s">
        <v>5165</v>
      </c>
      <c r="E1169" s="6" t="s">
        <v>22</v>
      </c>
      <c r="F1169" s="6" t="n">
        <v>1</v>
      </c>
      <c r="G1169" s="10" t="n">
        <v>928</v>
      </c>
      <c r="H1169" s="10" t="n">
        <f aca="false">F1169*G1169</f>
        <v>928</v>
      </c>
      <c r="I1169" s="6" t="s">
        <v>5122</v>
      </c>
    </row>
    <row r="1170" customFormat="false" ht="15" hidden="false" customHeight="false" outlineLevel="0" collapsed="false">
      <c r="A1170" s="6" t="s">
        <v>6391</v>
      </c>
      <c r="B1170" s="6" t="s">
        <v>2017</v>
      </c>
      <c r="C1170" s="26" t="n">
        <v>46065</v>
      </c>
      <c r="D1170" s="6" t="s">
        <v>5127</v>
      </c>
      <c r="E1170" s="6" t="s">
        <v>21</v>
      </c>
      <c r="F1170" s="6" t="n">
        <v>1</v>
      </c>
      <c r="G1170" s="10" t="n">
        <v>884</v>
      </c>
      <c r="H1170" s="10" t="n">
        <f aca="false">F1170*G1170</f>
        <v>884</v>
      </c>
      <c r="I1170" s="6" t="s">
        <v>5125</v>
      </c>
    </row>
    <row r="1171" customFormat="false" ht="15" hidden="false" customHeight="false" outlineLevel="0" collapsed="false">
      <c r="A1171" s="6" t="s">
        <v>6392</v>
      </c>
      <c r="B1171" s="6" t="s">
        <v>2783</v>
      </c>
      <c r="C1171" s="26" t="n">
        <v>46065</v>
      </c>
      <c r="D1171" s="6" t="s">
        <v>5167</v>
      </c>
      <c r="E1171" s="6" t="s">
        <v>22</v>
      </c>
      <c r="F1171" s="6" t="n">
        <v>3</v>
      </c>
      <c r="G1171" s="10" t="n">
        <v>743</v>
      </c>
      <c r="H1171" s="10" t="n">
        <f aca="false">F1171*G1171</f>
        <v>2229</v>
      </c>
      <c r="I1171" s="6" t="s">
        <v>5122</v>
      </c>
    </row>
    <row r="1172" customFormat="false" ht="15" hidden="false" customHeight="false" outlineLevel="0" collapsed="false">
      <c r="A1172" s="6" t="s">
        <v>6393</v>
      </c>
      <c r="B1172" s="6" t="s">
        <v>3529</v>
      </c>
      <c r="C1172" s="26" t="n">
        <v>46065</v>
      </c>
      <c r="D1172" s="6" t="s">
        <v>5150</v>
      </c>
      <c r="E1172" s="6" t="s">
        <v>24</v>
      </c>
      <c r="F1172" s="6" t="n">
        <v>1</v>
      </c>
      <c r="G1172" s="10" t="n">
        <v>508</v>
      </c>
      <c r="H1172" s="10" t="n">
        <f aca="false">F1172*G1172</f>
        <v>508</v>
      </c>
      <c r="I1172" s="6" t="s">
        <v>5122</v>
      </c>
    </row>
    <row r="1173" customFormat="false" ht="15" hidden="false" customHeight="false" outlineLevel="0" collapsed="false">
      <c r="A1173" s="6" t="s">
        <v>6394</v>
      </c>
      <c r="B1173" s="6" t="s">
        <v>993</v>
      </c>
      <c r="C1173" s="26" t="n">
        <v>46065</v>
      </c>
      <c r="D1173" s="6" t="s">
        <v>5460</v>
      </c>
      <c r="E1173" s="6" t="s">
        <v>24</v>
      </c>
      <c r="F1173" s="6" t="n">
        <v>2</v>
      </c>
      <c r="G1173" s="10" t="n">
        <v>500</v>
      </c>
      <c r="H1173" s="10" t="n">
        <f aca="false">F1173*G1173</f>
        <v>1000</v>
      </c>
      <c r="I1173" s="6" t="s">
        <v>5148</v>
      </c>
    </row>
    <row r="1174" customFormat="false" ht="15" hidden="false" customHeight="false" outlineLevel="0" collapsed="false">
      <c r="A1174" s="6" t="s">
        <v>6395</v>
      </c>
      <c r="B1174" s="6" t="s">
        <v>1117</v>
      </c>
      <c r="C1174" s="26" t="n">
        <v>46065</v>
      </c>
      <c r="D1174" s="6" t="s">
        <v>5137</v>
      </c>
      <c r="E1174" s="6" t="s">
        <v>21</v>
      </c>
      <c r="F1174" s="6" t="n">
        <v>1</v>
      </c>
      <c r="G1174" s="10" t="n">
        <v>1768</v>
      </c>
      <c r="H1174" s="10" t="n">
        <f aca="false">F1174*G1174</f>
        <v>1768</v>
      </c>
      <c r="I1174" s="6" t="s">
        <v>5130</v>
      </c>
    </row>
    <row r="1175" customFormat="false" ht="15" hidden="false" customHeight="false" outlineLevel="0" collapsed="false">
      <c r="A1175" s="6" t="s">
        <v>6396</v>
      </c>
      <c r="B1175" s="6" t="s">
        <v>2691</v>
      </c>
      <c r="C1175" s="26" t="n">
        <v>46065</v>
      </c>
      <c r="D1175" s="6" t="s">
        <v>5175</v>
      </c>
      <c r="E1175" s="6" t="s">
        <v>24</v>
      </c>
      <c r="F1175" s="6" t="n">
        <v>2</v>
      </c>
      <c r="G1175" s="10" t="n">
        <v>549</v>
      </c>
      <c r="H1175" s="10" t="n">
        <f aca="false">F1175*G1175</f>
        <v>1098</v>
      </c>
      <c r="I1175" s="6" t="s">
        <v>5122</v>
      </c>
    </row>
    <row r="1176" customFormat="false" ht="15" hidden="false" customHeight="false" outlineLevel="0" collapsed="false">
      <c r="A1176" s="6" t="s">
        <v>6397</v>
      </c>
      <c r="B1176" s="6" t="s">
        <v>457</v>
      </c>
      <c r="C1176" s="26" t="n">
        <v>46065</v>
      </c>
      <c r="D1176" s="6" t="s">
        <v>5456</v>
      </c>
      <c r="E1176" s="6" t="s">
        <v>24</v>
      </c>
      <c r="F1176" s="6" t="n">
        <v>3</v>
      </c>
      <c r="G1176" s="10" t="n">
        <v>912</v>
      </c>
      <c r="H1176" s="10" t="n">
        <f aca="false">F1176*G1176</f>
        <v>2736</v>
      </c>
      <c r="I1176" s="6" t="s">
        <v>5125</v>
      </c>
    </row>
    <row r="1177" customFormat="false" ht="15" hidden="false" customHeight="false" outlineLevel="0" collapsed="false">
      <c r="A1177" s="6" t="s">
        <v>6398</v>
      </c>
      <c r="B1177" s="6" t="s">
        <v>3987</v>
      </c>
      <c r="C1177" s="26" t="n">
        <v>46065</v>
      </c>
      <c r="D1177" s="6" t="s">
        <v>5127</v>
      </c>
      <c r="E1177" s="6" t="s">
        <v>21</v>
      </c>
      <c r="F1177" s="6" t="n">
        <v>1</v>
      </c>
      <c r="G1177" s="10" t="n">
        <v>839</v>
      </c>
      <c r="H1177" s="10" t="n">
        <f aca="false">F1177*G1177</f>
        <v>839</v>
      </c>
      <c r="I1177" s="6" t="s">
        <v>5122</v>
      </c>
    </row>
    <row r="1178" customFormat="false" ht="15" hidden="false" customHeight="false" outlineLevel="0" collapsed="false">
      <c r="A1178" s="6" t="s">
        <v>6399</v>
      </c>
      <c r="B1178" s="6" t="s">
        <v>354</v>
      </c>
      <c r="C1178" s="26" t="n">
        <v>46065</v>
      </c>
      <c r="D1178" s="6" t="s">
        <v>5167</v>
      </c>
      <c r="E1178" s="6" t="s">
        <v>22</v>
      </c>
      <c r="F1178" s="6" t="n">
        <v>2</v>
      </c>
      <c r="G1178" s="10" t="n">
        <v>782</v>
      </c>
      <c r="H1178" s="10" t="n">
        <f aca="false">F1178*G1178</f>
        <v>1564</v>
      </c>
      <c r="I1178" s="6" t="s">
        <v>5125</v>
      </c>
    </row>
    <row r="1179" customFormat="false" ht="15" hidden="false" customHeight="false" outlineLevel="0" collapsed="false">
      <c r="A1179" s="6" t="s">
        <v>6400</v>
      </c>
      <c r="B1179" s="6" t="s">
        <v>3275</v>
      </c>
      <c r="C1179" s="26" t="n">
        <v>46065</v>
      </c>
      <c r="D1179" s="6" t="s">
        <v>5216</v>
      </c>
      <c r="E1179" s="6" t="s">
        <v>23</v>
      </c>
      <c r="F1179" s="6" t="n">
        <v>3</v>
      </c>
      <c r="G1179" s="10" t="n">
        <v>558</v>
      </c>
      <c r="H1179" s="10" t="n">
        <f aca="false">F1179*G1179</f>
        <v>1674</v>
      </c>
      <c r="I1179" s="6" t="s">
        <v>5130</v>
      </c>
    </row>
    <row r="1180" customFormat="false" ht="15" hidden="false" customHeight="false" outlineLevel="0" collapsed="false">
      <c r="A1180" s="6" t="s">
        <v>6401</v>
      </c>
      <c r="B1180" s="6" t="s">
        <v>4935</v>
      </c>
      <c r="C1180" s="26" t="n">
        <v>46065</v>
      </c>
      <c r="D1180" s="6" t="s">
        <v>5129</v>
      </c>
      <c r="E1180" s="6" t="s">
        <v>21</v>
      </c>
      <c r="F1180" s="6" t="n">
        <v>1</v>
      </c>
      <c r="G1180" s="10" t="n">
        <v>589</v>
      </c>
      <c r="H1180" s="10" t="n">
        <f aca="false">F1180*G1180</f>
        <v>589</v>
      </c>
      <c r="I1180" s="6" t="s">
        <v>5122</v>
      </c>
    </row>
    <row r="1181" customFormat="false" ht="15" hidden="false" customHeight="false" outlineLevel="0" collapsed="false">
      <c r="A1181" s="6" t="s">
        <v>6402</v>
      </c>
      <c r="B1181" s="6" t="s">
        <v>1283</v>
      </c>
      <c r="C1181" s="26" t="n">
        <v>46065</v>
      </c>
      <c r="D1181" s="6" t="s">
        <v>5167</v>
      </c>
      <c r="E1181" s="6" t="s">
        <v>22</v>
      </c>
      <c r="F1181" s="6" t="n">
        <v>1</v>
      </c>
      <c r="G1181" s="10" t="n">
        <v>703</v>
      </c>
      <c r="H1181" s="10" t="n">
        <f aca="false">F1181*G1181</f>
        <v>703</v>
      </c>
      <c r="I1181" s="6" t="s">
        <v>5122</v>
      </c>
    </row>
    <row r="1182" customFormat="false" ht="15" hidden="false" customHeight="false" outlineLevel="0" collapsed="false">
      <c r="A1182" s="6" t="s">
        <v>6403</v>
      </c>
      <c r="B1182" s="6" t="s">
        <v>431</v>
      </c>
      <c r="C1182" s="26" t="n">
        <v>46065</v>
      </c>
      <c r="D1182" s="6" t="s">
        <v>5121</v>
      </c>
      <c r="E1182" s="6" t="s">
        <v>22</v>
      </c>
      <c r="F1182" s="6" t="n">
        <v>2</v>
      </c>
      <c r="G1182" s="10" t="n">
        <v>977</v>
      </c>
      <c r="H1182" s="10" t="n">
        <f aca="false">F1182*G1182</f>
        <v>1954</v>
      </c>
      <c r="I1182" s="6" t="s">
        <v>5130</v>
      </c>
    </row>
    <row r="1183" customFormat="false" ht="15" hidden="false" customHeight="false" outlineLevel="0" collapsed="false">
      <c r="A1183" s="6" t="s">
        <v>6404</v>
      </c>
      <c r="B1183" s="6" t="s">
        <v>3163</v>
      </c>
      <c r="C1183" s="26" t="n">
        <v>46065</v>
      </c>
      <c r="D1183" s="6" t="s">
        <v>5171</v>
      </c>
      <c r="E1183" s="6" t="s">
        <v>23</v>
      </c>
      <c r="F1183" s="6" t="n">
        <v>1</v>
      </c>
      <c r="G1183" s="10" t="n">
        <v>733</v>
      </c>
      <c r="H1183" s="10" t="n">
        <f aca="false">F1183*G1183</f>
        <v>733</v>
      </c>
      <c r="I1183" s="6" t="s">
        <v>5130</v>
      </c>
    </row>
    <row r="1184" customFormat="false" ht="15" hidden="false" customHeight="false" outlineLevel="0" collapsed="false">
      <c r="A1184" s="6" t="s">
        <v>6405</v>
      </c>
      <c r="B1184" s="6" t="s">
        <v>1991</v>
      </c>
      <c r="C1184" s="26" t="n">
        <v>46065</v>
      </c>
      <c r="D1184" s="6" t="s">
        <v>5163</v>
      </c>
      <c r="E1184" s="6" t="s">
        <v>23</v>
      </c>
      <c r="F1184" s="6" t="n">
        <v>4</v>
      </c>
      <c r="G1184" s="10" t="n">
        <v>783</v>
      </c>
      <c r="H1184" s="10" t="n">
        <f aca="false">F1184*G1184</f>
        <v>3132</v>
      </c>
      <c r="I1184" s="6" t="s">
        <v>5125</v>
      </c>
    </row>
    <row r="1185" customFormat="false" ht="15" hidden="false" customHeight="false" outlineLevel="0" collapsed="false">
      <c r="A1185" s="6" t="s">
        <v>6406</v>
      </c>
      <c r="B1185" s="6" t="s">
        <v>1785</v>
      </c>
      <c r="C1185" s="26" t="n">
        <v>46065</v>
      </c>
      <c r="D1185" s="6" t="s">
        <v>5561</v>
      </c>
      <c r="E1185" s="6" t="s">
        <v>20</v>
      </c>
      <c r="F1185" s="6" t="n">
        <v>1</v>
      </c>
      <c r="G1185" s="10" t="n">
        <v>3364</v>
      </c>
      <c r="H1185" s="10" t="n">
        <f aca="false">F1185*G1185</f>
        <v>3364</v>
      </c>
      <c r="I1185" s="6" t="s">
        <v>5148</v>
      </c>
    </row>
    <row r="1186" customFormat="false" ht="15" hidden="false" customHeight="false" outlineLevel="0" collapsed="false">
      <c r="A1186" s="6" t="s">
        <v>6407</v>
      </c>
      <c r="B1186" s="6" t="s">
        <v>4287</v>
      </c>
      <c r="C1186" s="26" t="n">
        <v>46065</v>
      </c>
      <c r="D1186" s="6" t="s">
        <v>6114</v>
      </c>
      <c r="E1186" s="6" t="s">
        <v>20</v>
      </c>
      <c r="F1186" s="6" t="n">
        <v>2</v>
      </c>
      <c r="G1186" s="10" t="n">
        <v>12593</v>
      </c>
      <c r="H1186" s="10" t="n">
        <f aca="false">F1186*G1186</f>
        <v>25186</v>
      </c>
      <c r="I1186" s="6" t="s">
        <v>5122</v>
      </c>
    </row>
    <row r="1187" customFormat="false" ht="15" hidden="false" customHeight="false" outlineLevel="0" collapsed="false">
      <c r="A1187" s="6" t="s">
        <v>6408</v>
      </c>
      <c r="B1187" s="6" t="s">
        <v>1507</v>
      </c>
      <c r="C1187" s="26" t="n">
        <v>46065</v>
      </c>
      <c r="D1187" s="6" t="s">
        <v>5207</v>
      </c>
      <c r="E1187" s="6" t="s">
        <v>20</v>
      </c>
      <c r="F1187" s="6" t="n">
        <v>1</v>
      </c>
      <c r="G1187" s="10" t="n">
        <v>1325</v>
      </c>
      <c r="H1187" s="10" t="n">
        <f aca="false">F1187*G1187</f>
        <v>1325</v>
      </c>
      <c r="I1187" s="6" t="s">
        <v>5173</v>
      </c>
    </row>
    <row r="1188" customFormat="false" ht="15" hidden="false" customHeight="false" outlineLevel="0" collapsed="false">
      <c r="A1188" s="6" t="s">
        <v>6409</v>
      </c>
      <c r="B1188" s="6" t="s">
        <v>3773</v>
      </c>
      <c r="C1188" s="26" t="n">
        <v>46065</v>
      </c>
      <c r="D1188" s="6" t="s">
        <v>5466</v>
      </c>
      <c r="E1188" s="6" t="s">
        <v>21</v>
      </c>
      <c r="F1188" s="6" t="n">
        <v>1</v>
      </c>
      <c r="G1188" s="10" t="n">
        <v>1965</v>
      </c>
      <c r="H1188" s="10" t="n">
        <f aca="false">F1188*G1188</f>
        <v>1965</v>
      </c>
      <c r="I1188" s="6" t="s">
        <v>5130</v>
      </c>
    </row>
    <row r="1189" customFormat="false" ht="15" hidden="false" customHeight="false" outlineLevel="0" collapsed="false">
      <c r="A1189" s="6" t="s">
        <v>6410</v>
      </c>
      <c r="B1189" s="6" t="s">
        <v>3835</v>
      </c>
      <c r="C1189" s="26" t="n">
        <v>46066</v>
      </c>
      <c r="D1189" s="6" t="s">
        <v>5121</v>
      </c>
      <c r="E1189" s="6" t="s">
        <v>22</v>
      </c>
      <c r="F1189" s="6" t="n">
        <v>1</v>
      </c>
      <c r="G1189" s="10" t="n">
        <v>977</v>
      </c>
      <c r="H1189" s="10" t="n">
        <f aca="false">F1189*G1189</f>
        <v>977</v>
      </c>
      <c r="I1189" s="6" t="s">
        <v>5122</v>
      </c>
    </row>
    <row r="1190" customFormat="false" ht="15" hidden="false" customHeight="false" outlineLevel="0" collapsed="false">
      <c r="A1190" s="6" t="s">
        <v>6411</v>
      </c>
      <c r="B1190" s="6" t="s">
        <v>1487</v>
      </c>
      <c r="C1190" s="26" t="n">
        <v>46066</v>
      </c>
      <c r="D1190" s="6" t="s">
        <v>5167</v>
      </c>
      <c r="E1190" s="6" t="s">
        <v>22</v>
      </c>
      <c r="F1190" s="6" t="n">
        <v>1</v>
      </c>
      <c r="G1190" s="10" t="n">
        <v>782</v>
      </c>
      <c r="H1190" s="10" t="n">
        <f aca="false">F1190*G1190</f>
        <v>782</v>
      </c>
      <c r="I1190" s="6" t="s">
        <v>5122</v>
      </c>
    </row>
    <row r="1191" customFormat="false" ht="15" hidden="false" customHeight="false" outlineLevel="0" collapsed="false">
      <c r="A1191" s="6" t="s">
        <v>6412</v>
      </c>
      <c r="B1191" s="6" t="s">
        <v>2685</v>
      </c>
      <c r="C1191" s="26" t="n">
        <v>46066</v>
      </c>
      <c r="D1191" s="6" t="s">
        <v>5410</v>
      </c>
      <c r="E1191" s="6" t="s">
        <v>20</v>
      </c>
      <c r="F1191" s="6" t="n">
        <v>2</v>
      </c>
      <c r="G1191" s="10" t="n">
        <v>2294</v>
      </c>
      <c r="H1191" s="10" t="n">
        <f aca="false">F1191*G1191</f>
        <v>4588</v>
      </c>
      <c r="I1191" s="6" t="s">
        <v>5148</v>
      </c>
    </row>
    <row r="1192" customFormat="false" ht="15" hidden="false" customHeight="false" outlineLevel="0" collapsed="false">
      <c r="A1192" s="6" t="s">
        <v>6413</v>
      </c>
      <c r="B1192" s="6" t="s">
        <v>2959</v>
      </c>
      <c r="C1192" s="26" t="n">
        <v>46066</v>
      </c>
      <c r="D1192" s="6" t="s">
        <v>5143</v>
      </c>
      <c r="E1192" s="6" t="s">
        <v>21</v>
      </c>
      <c r="F1192" s="6" t="n">
        <v>1</v>
      </c>
      <c r="G1192" s="10" t="n">
        <v>1179</v>
      </c>
      <c r="H1192" s="10" t="n">
        <f aca="false">F1192*G1192</f>
        <v>1179</v>
      </c>
      <c r="I1192" s="6" t="s">
        <v>5122</v>
      </c>
    </row>
    <row r="1193" customFormat="false" ht="15" hidden="false" customHeight="false" outlineLevel="0" collapsed="false">
      <c r="A1193" s="6" t="s">
        <v>6414</v>
      </c>
      <c r="B1193" s="6" t="s">
        <v>2481</v>
      </c>
      <c r="C1193" s="26" t="n">
        <v>46066</v>
      </c>
      <c r="D1193" s="6" t="s">
        <v>5171</v>
      </c>
      <c r="E1193" s="6" t="s">
        <v>23</v>
      </c>
      <c r="F1193" s="6" t="n">
        <v>3</v>
      </c>
      <c r="G1193" s="10" t="n">
        <v>697</v>
      </c>
      <c r="H1193" s="10" t="n">
        <f aca="false">F1193*G1193</f>
        <v>2091</v>
      </c>
      <c r="I1193" s="6" t="s">
        <v>5133</v>
      </c>
    </row>
    <row r="1194" customFormat="false" ht="15" hidden="false" customHeight="false" outlineLevel="0" collapsed="false">
      <c r="A1194" s="6" t="s">
        <v>6415</v>
      </c>
      <c r="B1194" s="6" t="s">
        <v>2649</v>
      </c>
      <c r="C1194" s="26" t="n">
        <v>46066</v>
      </c>
      <c r="D1194" s="6" t="s">
        <v>5171</v>
      </c>
      <c r="E1194" s="6" t="s">
        <v>23</v>
      </c>
      <c r="F1194" s="6" t="n">
        <v>2</v>
      </c>
      <c r="G1194" s="10" t="n">
        <v>697</v>
      </c>
      <c r="H1194" s="10" t="n">
        <f aca="false">F1194*G1194</f>
        <v>1394</v>
      </c>
      <c r="I1194" s="6" t="s">
        <v>5122</v>
      </c>
    </row>
    <row r="1195" customFormat="false" ht="15" hidden="false" customHeight="false" outlineLevel="0" collapsed="false">
      <c r="A1195" s="6" t="s">
        <v>6416</v>
      </c>
      <c r="B1195" s="6" t="s">
        <v>2571</v>
      </c>
      <c r="C1195" s="26" t="n">
        <v>46066</v>
      </c>
      <c r="D1195" s="6" t="s">
        <v>5150</v>
      </c>
      <c r="E1195" s="6" t="s">
        <v>24</v>
      </c>
      <c r="F1195" s="6" t="n">
        <v>1</v>
      </c>
      <c r="G1195" s="10" t="n">
        <v>508</v>
      </c>
      <c r="H1195" s="10" t="n">
        <f aca="false">F1195*G1195</f>
        <v>508</v>
      </c>
      <c r="I1195" s="6" t="s">
        <v>5122</v>
      </c>
    </row>
    <row r="1196" customFormat="false" ht="15" hidden="false" customHeight="false" outlineLevel="0" collapsed="false">
      <c r="A1196" s="6" t="s">
        <v>6417</v>
      </c>
      <c r="B1196" s="6" t="s">
        <v>1041</v>
      </c>
      <c r="C1196" s="26" t="n">
        <v>46066</v>
      </c>
      <c r="D1196" s="6" t="s">
        <v>5182</v>
      </c>
      <c r="E1196" s="6" t="s">
        <v>23</v>
      </c>
      <c r="F1196" s="6" t="n">
        <v>4</v>
      </c>
      <c r="G1196" s="10" t="n">
        <v>331</v>
      </c>
      <c r="H1196" s="10" t="n">
        <f aca="false">F1196*G1196</f>
        <v>1324</v>
      </c>
      <c r="I1196" s="6" t="s">
        <v>5122</v>
      </c>
    </row>
    <row r="1197" customFormat="false" ht="15" hidden="false" customHeight="false" outlineLevel="0" collapsed="false">
      <c r="A1197" s="6" t="s">
        <v>6418</v>
      </c>
      <c r="B1197" s="6" t="s">
        <v>4967</v>
      </c>
      <c r="C1197" s="26" t="n">
        <v>46066</v>
      </c>
      <c r="D1197" s="6" t="s">
        <v>5182</v>
      </c>
      <c r="E1197" s="6" t="s">
        <v>23</v>
      </c>
      <c r="F1197" s="6" t="n">
        <v>3</v>
      </c>
      <c r="G1197" s="10" t="n">
        <v>367</v>
      </c>
      <c r="H1197" s="10" t="n">
        <f aca="false">F1197*G1197</f>
        <v>1101</v>
      </c>
      <c r="I1197" s="6" t="s">
        <v>5122</v>
      </c>
    </row>
    <row r="1198" customFormat="false" ht="15" hidden="false" customHeight="false" outlineLevel="0" collapsed="false">
      <c r="A1198" s="6" t="s">
        <v>6419</v>
      </c>
      <c r="B1198" s="6" t="s">
        <v>170</v>
      </c>
      <c r="C1198" s="26" t="n">
        <v>46066</v>
      </c>
      <c r="D1198" s="6" t="s">
        <v>5357</v>
      </c>
      <c r="E1198" s="6" t="s">
        <v>23</v>
      </c>
      <c r="F1198" s="6" t="n">
        <v>2</v>
      </c>
      <c r="G1198" s="10" t="n">
        <v>507</v>
      </c>
      <c r="H1198" s="10" t="n">
        <f aca="false">F1198*G1198</f>
        <v>1014</v>
      </c>
      <c r="I1198" s="6" t="s">
        <v>5122</v>
      </c>
    </row>
    <row r="1199" customFormat="false" ht="15" hidden="false" customHeight="false" outlineLevel="0" collapsed="false">
      <c r="A1199" s="6" t="s">
        <v>6420</v>
      </c>
      <c r="B1199" s="6" t="s">
        <v>1117</v>
      </c>
      <c r="C1199" s="26" t="n">
        <v>46066</v>
      </c>
      <c r="D1199" s="6" t="s">
        <v>5137</v>
      </c>
      <c r="E1199" s="6" t="s">
        <v>21</v>
      </c>
      <c r="F1199" s="6" t="n">
        <v>1</v>
      </c>
      <c r="G1199" s="10" t="n">
        <v>1768</v>
      </c>
      <c r="H1199" s="10" t="n">
        <f aca="false">F1199*G1199</f>
        <v>1768</v>
      </c>
      <c r="I1199" s="6" t="s">
        <v>5122</v>
      </c>
    </row>
    <row r="1200" customFormat="false" ht="15" hidden="false" customHeight="false" outlineLevel="0" collapsed="false">
      <c r="A1200" s="6" t="s">
        <v>6421</v>
      </c>
      <c r="B1200" s="6" t="s">
        <v>3197</v>
      </c>
      <c r="C1200" s="26" t="n">
        <v>46066</v>
      </c>
      <c r="D1200" s="6" t="s">
        <v>5165</v>
      </c>
      <c r="E1200" s="6" t="s">
        <v>22</v>
      </c>
      <c r="F1200" s="6" t="n">
        <v>2</v>
      </c>
      <c r="G1200" s="10" t="n">
        <v>928</v>
      </c>
      <c r="H1200" s="10" t="n">
        <f aca="false">F1200*G1200</f>
        <v>1856</v>
      </c>
      <c r="I1200" s="6" t="s">
        <v>5148</v>
      </c>
    </row>
    <row r="1201" customFormat="false" ht="15" hidden="false" customHeight="false" outlineLevel="0" collapsed="false">
      <c r="A1201" s="6" t="s">
        <v>6422</v>
      </c>
      <c r="B1201" s="6" t="s">
        <v>3891</v>
      </c>
      <c r="C1201" s="26" t="n">
        <v>46066</v>
      </c>
      <c r="D1201" s="6" t="s">
        <v>5160</v>
      </c>
      <c r="E1201" s="6" t="s">
        <v>21</v>
      </c>
      <c r="F1201" s="6" t="n">
        <v>1</v>
      </c>
      <c r="G1201" s="10" t="n">
        <v>2751</v>
      </c>
      <c r="H1201" s="10" t="n">
        <f aca="false">F1201*G1201</f>
        <v>2751</v>
      </c>
      <c r="I1201" s="6" t="s">
        <v>5148</v>
      </c>
    </row>
    <row r="1202" customFormat="false" ht="15" hidden="false" customHeight="false" outlineLevel="0" collapsed="false">
      <c r="A1202" s="6" t="s">
        <v>6423</v>
      </c>
      <c r="B1202" s="6" t="s">
        <v>3133</v>
      </c>
      <c r="C1202" s="26" t="n">
        <v>46066</v>
      </c>
      <c r="D1202" s="6" t="s">
        <v>5197</v>
      </c>
      <c r="E1202" s="6" t="s">
        <v>21</v>
      </c>
      <c r="F1202" s="6" t="n">
        <v>1</v>
      </c>
      <c r="G1202" s="10" t="n">
        <v>1080</v>
      </c>
      <c r="H1202" s="10" t="n">
        <f aca="false">F1202*G1202</f>
        <v>1080</v>
      </c>
      <c r="I1202" s="6" t="s">
        <v>5125</v>
      </c>
    </row>
    <row r="1203" customFormat="false" ht="15" hidden="false" customHeight="false" outlineLevel="0" collapsed="false">
      <c r="A1203" s="6" t="s">
        <v>6424</v>
      </c>
      <c r="B1203" s="6" t="s">
        <v>1599</v>
      </c>
      <c r="C1203" s="26" t="n">
        <v>46066</v>
      </c>
      <c r="D1203" s="6" t="s">
        <v>5165</v>
      </c>
      <c r="E1203" s="6" t="s">
        <v>22</v>
      </c>
      <c r="F1203" s="6" t="n">
        <v>3</v>
      </c>
      <c r="G1203" s="10" t="n">
        <v>928</v>
      </c>
      <c r="H1203" s="10" t="n">
        <f aca="false">F1203*G1203</f>
        <v>2784</v>
      </c>
      <c r="I1203" s="6" t="s">
        <v>5148</v>
      </c>
    </row>
    <row r="1204" customFormat="false" ht="15" hidden="false" customHeight="false" outlineLevel="0" collapsed="false">
      <c r="A1204" s="6" t="s">
        <v>6425</v>
      </c>
      <c r="B1204" s="6" t="s">
        <v>4049</v>
      </c>
      <c r="C1204" s="26" t="n">
        <v>46066</v>
      </c>
      <c r="D1204" s="6" t="s">
        <v>5180</v>
      </c>
      <c r="E1204" s="6" t="s">
        <v>24</v>
      </c>
      <c r="F1204" s="6" t="n">
        <v>1</v>
      </c>
      <c r="G1204" s="10" t="n">
        <v>1987</v>
      </c>
      <c r="H1204" s="10" t="n">
        <f aca="false">F1204*G1204</f>
        <v>1987</v>
      </c>
      <c r="I1204" s="6" t="s">
        <v>5125</v>
      </c>
    </row>
    <row r="1205" customFormat="false" ht="15" hidden="false" customHeight="false" outlineLevel="0" collapsed="false">
      <c r="A1205" s="6" t="s">
        <v>6426</v>
      </c>
      <c r="B1205" s="6" t="s">
        <v>3069</v>
      </c>
      <c r="C1205" s="26" t="n">
        <v>46066</v>
      </c>
      <c r="D1205" s="6" t="s">
        <v>5242</v>
      </c>
      <c r="E1205" s="6" t="s">
        <v>23</v>
      </c>
      <c r="F1205" s="6" t="n">
        <v>2</v>
      </c>
      <c r="G1205" s="10" t="n">
        <v>354</v>
      </c>
      <c r="H1205" s="10" t="n">
        <f aca="false">F1205*G1205</f>
        <v>708</v>
      </c>
      <c r="I1205" s="6" t="s">
        <v>5133</v>
      </c>
    </row>
    <row r="1206" customFormat="false" ht="15" hidden="false" customHeight="false" outlineLevel="0" collapsed="false">
      <c r="A1206" s="6" t="s">
        <v>6427</v>
      </c>
      <c r="B1206" s="6" t="s">
        <v>3833</v>
      </c>
      <c r="C1206" s="26" t="n">
        <v>46066</v>
      </c>
      <c r="D1206" s="6" t="s">
        <v>5188</v>
      </c>
      <c r="E1206" s="6" t="s">
        <v>24</v>
      </c>
      <c r="F1206" s="6" t="n">
        <v>1</v>
      </c>
      <c r="G1206" s="10" t="n">
        <v>916</v>
      </c>
      <c r="H1206" s="10" t="n">
        <f aca="false">F1206*G1206</f>
        <v>916</v>
      </c>
      <c r="I1206" s="6" t="s">
        <v>5130</v>
      </c>
    </row>
    <row r="1207" customFormat="false" ht="15" hidden="false" customHeight="false" outlineLevel="0" collapsed="false">
      <c r="A1207" s="6" t="s">
        <v>6428</v>
      </c>
      <c r="B1207" s="6" t="s">
        <v>4633</v>
      </c>
      <c r="C1207" s="26" t="n">
        <v>46066</v>
      </c>
      <c r="D1207" s="6" t="s">
        <v>5197</v>
      </c>
      <c r="E1207" s="6" t="s">
        <v>21</v>
      </c>
      <c r="F1207" s="6" t="n">
        <v>2</v>
      </c>
      <c r="G1207" s="10" t="n">
        <v>1080</v>
      </c>
      <c r="H1207" s="10" t="n">
        <f aca="false">F1207*G1207</f>
        <v>2160</v>
      </c>
      <c r="I1207" s="6" t="s">
        <v>5133</v>
      </c>
    </row>
    <row r="1208" customFormat="false" ht="15" hidden="false" customHeight="false" outlineLevel="0" collapsed="false">
      <c r="A1208" s="6" t="s">
        <v>6429</v>
      </c>
      <c r="B1208" s="6" t="s">
        <v>1217</v>
      </c>
      <c r="C1208" s="26" t="n">
        <v>46066</v>
      </c>
      <c r="D1208" s="6" t="s">
        <v>5837</v>
      </c>
      <c r="E1208" s="6" t="s">
        <v>21</v>
      </c>
      <c r="F1208" s="6" t="n">
        <v>1</v>
      </c>
      <c r="G1208" s="10" t="n">
        <v>2948</v>
      </c>
      <c r="H1208" s="10" t="n">
        <f aca="false">F1208*G1208</f>
        <v>2948</v>
      </c>
      <c r="I1208" s="6" t="s">
        <v>5125</v>
      </c>
    </row>
    <row r="1209" customFormat="false" ht="15" hidden="false" customHeight="false" outlineLevel="0" collapsed="false">
      <c r="A1209" s="6" t="s">
        <v>6430</v>
      </c>
      <c r="B1209" s="6" t="s">
        <v>2943</v>
      </c>
      <c r="C1209" s="26" t="n">
        <v>46066</v>
      </c>
      <c r="D1209" s="6" t="s">
        <v>5167</v>
      </c>
      <c r="E1209" s="6" t="s">
        <v>22</v>
      </c>
      <c r="F1209" s="6" t="n">
        <v>2</v>
      </c>
      <c r="G1209" s="10" t="n">
        <v>782</v>
      </c>
      <c r="H1209" s="10" t="n">
        <f aca="false">F1209*G1209</f>
        <v>1564</v>
      </c>
      <c r="I1209" s="6" t="s">
        <v>5130</v>
      </c>
    </row>
    <row r="1210" customFormat="false" ht="15" hidden="false" customHeight="false" outlineLevel="0" collapsed="false">
      <c r="A1210" s="6" t="s">
        <v>6431</v>
      </c>
      <c r="B1210" s="6" t="s">
        <v>2677</v>
      </c>
      <c r="C1210" s="26" t="n">
        <v>46066</v>
      </c>
      <c r="D1210" s="6" t="s">
        <v>5220</v>
      </c>
      <c r="E1210" s="6" t="s">
        <v>24</v>
      </c>
      <c r="F1210" s="6" t="n">
        <v>2</v>
      </c>
      <c r="G1210" s="10" t="n">
        <v>1120</v>
      </c>
      <c r="H1210" s="10" t="n">
        <f aca="false">F1210*G1210</f>
        <v>2240</v>
      </c>
      <c r="I1210" s="6" t="s">
        <v>5122</v>
      </c>
    </row>
    <row r="1211" customFormat="false" ht="15" hidden="false" customHeight="false" outlineLevel="0" collapsed="false">
      <c r="A1211" s="6" t="s">
        <v>6432</v>
      </c>
      <c r="B1211" s="6" t="s">
        <v>2085</v>
      </c>
      <c r="C1211" s="26" t="n">
        <v>46066</v>
      </c>
      <c r="D1211" s="6" t="s">
        <v>5807</v>
      </c>
      <c r="E1211" s="6" t="s">
        <v>20</v>
      </c>
      <c r="F1211" s="6" t="n">
        <v>1</v>
      </c>
      <c r="G1211" s="10" t="n">
        <v>14531</v>
      </c>
      <c r="H1211" s="10" t="n">
        <f aca="false">F1211*G1211</f>
        <v>14531</v>
      </c>
      <c r="I1211" s="6" t="s">
        <v>5122</v>
      </c>
    </row>
    <row r="1212" customFormat="false" ht="15" hidden="false" customHeight="false" outlineLevel="0" collapsed="false">
      <c r="A1212" s="6" t="s">
        <v>6433</v>
      </c>
      <c r="B1212" s="6" t="s">
        <v>3497</v>
      </c>
      <c r="C1212" s="26" t="n">
        <v>46066</v>
      </c>
      <c r="D1212" s="6" t="s">
        <v>5357</v>
      </c>
      <c r="E1212" s="6" t="s">
        <v>23</v>
      </c>
      <c r="F1212" s="6" t="n">
        <v>4</v>
      </c>
      <c r="G1212" s="10" t="n">
        <v>507</v>
      </c>
      <c r="H1212" s="10" t="n">
        <f aca="false">F1212*G1212</f>
        <v>2028</v>
      </c>
      <c r="I1212" s="6" t="s">
        <v>5148</v>
      </c>
    </row>
    <row r="1213" customFormat="false" ht="15" hidden="false" customHeight="false" outlineLevel="0" collapsed="false">
      <c r="A1213" s="6" t="s">
        <v>6434</v>
      </c>
      <c r="B1213" s="6" t="s">
        <v>4791</v>
      </c>
      <c r="C1213" s="26" t="n">
        <v>46066</v>
      </c>
      <c r="D1213" s="6" t="s">
        <v>5460</v>
      </c>
      <c r="E1213" s="6" t="s">
        <v>24</v>
      </c>
      <c r="F1213" s="6" t="n">
        <v>1</v>
      </c>
      <c r="G1213" s="10" t="n">
        <v>528</v>
      </c>
      <c r="H1213" s="10" t="n">
        <f aca="false">F1213*G1213</f>
        <v>528</v>
      </c>
      <c r="I1213" s="6" t="s">
        <v>5148</v>
      </c>
    </row>
    <row r="1214" customFormat="false" ht="15" hidden="false" customHeight="false" outlineLevel="0" collapsed="false">
      <c r="A1214" s="6" t="s">
        <v>6435</v>
      </c>
      <c r="B1214" s="6" t="s">
        <v>1273</v>
      </c>
      <c r="C1214" s="26" t="n">
        <v>46066</v>
      </c>
      <c r="D1214" s="6" t="s">
        <v>5837</v>
      </c>
      <c r="E1214" s="6" t="s">
        <v>21</v>
      </c>
      <c r="F1214" s="6" t="n">
        <v>1</v>
      </c>
      <c r="G1214" s="10" t="n">
        <v>2800</v>
      </c>
      <c r="H1214" s="10" t="n">
        <f aca="false">F1214*G1214</f>
        <v>2800</v>
      </c>
      <c r="I1214" s="6" t="s">
        <v>5130</v>
      </c>
    </row>
    <row r="1215" customFormat="false" ht="15" hidden="false" customHeight="false" outlineLevel="0" collapsed="false">
      <c r="A1215" s="6" t="s">
        <v>6436</v>
      </c>
      <c r="B1215" s="6" t="s">
        <v>4429</v>
      </c>
      <c r="C1215" s="26" t="n">
        <v>46066</v>
      </c>
      <c r="D1215" s="6" t="s">
        <v>5180</v>
      </c>
      <c r="E1215" s="6" t="s">
        <v>24</v>
      </c>
      <c r="F1215" s="6" t="n">
        <v>3</v>
      </c>
      <c r="G1215" s="10" t="n">
        <v>1987</v>
      </c>
      <c r="H1215" s="10" t="n">
        <f aca="false">F1215*G1215</f>
        <v>5961</v>
      </c>
      <c r="I1215" s="6" t="s">
        <v>5122</v>
      </c>
    </row>
    <row r="1216" customFormat="false" ht="15" hidden="false" customHeight="false" outlineLevel="0" collapsed="false">
      <c r="A1216" s="6" t="s">
        <v>6437</v>
      </c>
      <c r="B1216" s="6" t="s">
        <v>4235</v>
      </c>
      <c r="C1216" s="26" t="n">
        <v>46066</v>
      </c>
      <c r="D1216" s="6" t="s">
        <v>5167</v>
      </c>
      <c r="E1216" s="6" t="s">
        <v>22</v>
      </c>
      <c r="F1216" s="6" t="n">
        <v>1</v>
      </c>
      <c r="G1216" s="10" t="n">
        <v>781</v>
      </c>
      <c r="H1216" s="10" t="n">
        <f aca="false">F1216*G1216</f>
        <v>781</v>
      </c>
      <c r="I1216" s="6" t="s">
        <v>5122</v>
      </c>
    </row>
    <row r="1217" customFormat="false" ht="15" hidden="false" customHeight="false" outlineLevel="0" collapsed="false">
      <c r="A1217" s="6" t="s">
        <v>6438</v>
      </c>
      <c r="B1217" s="6" t="s">
        <v>1787</v>
      </c>
      <c r="C1217" s="26" t="n">
        <v>46067</v>
      </c>
      <c r="D1217" s="6" t="s">
        <v>5691</v>
      </c>
      <c r="E1217" s="6" t="s">
        <v>21</v>
      </c>
      <c r="F1217" s="6" t="n">
        <v>1</v>
      </c>
      <c r="G1217" s="10" t="n">
        <v>5307</v>
      </c>
      <c r="H1217" s="10" t="n">
        <f aca="false">F1217*G1217</f>
        <v>5307</v>
      </c>
      <c r="I1217" s="6" t="s">
        <v>5130</v>
      </c>
    </row>
    <row r="1218" customFormat="false" ht="15" hidden="false" customHeight="false" outlineLevel="0" collapsed="false">
      <c r="A1218" s="6" t="s">
        <v>6439</v>
      </c>
      <c r="B1218" s="6" t="s">
        <v>4219</v>
      </c>
      <c r="C1218" s="26" t="n">
        <v>46067</v>
      </c>
      <c r="D1218" s="6" t="s">
        <v>5207</v>
      </c>
      <c r="E1218" s="6" t="s">
        <v>20</v>
      </c>
      <c r="F1218" s="6" t="n">
        <v>1</v>
      </c>
      <c r="G1218" s="10" t="n">
        <v>1325</v>
      </c>
      <c r="H1218" s="10" t="n">
        <f aca="false">F1218*G1218</f>
        <v>1325</v>
      </c>
      <c r="I1218" s="6" t="s">
        <v>5148</v>
      </c>
    </row>
    <row r="1219" customFormat="false" ht="15" hidden="false" customHeight="false" outlineLevel="0" collapsed="false">
      <c r="A1219" s="6" t="s">
        <v>6440</v>
      </c>
      <c r="B1219" s="6" t="s">
        <v>2357</v>
      </c>
      <c r="C1219" s="26" t="n">
        <v>46067</v>
      </c>
      <c r="D1219" s="6" t="s">
        <v>5305</v>
      </c>
      <c r="E1219" s="6" t="s">
        <v>20</v>
      </c>
      <c r="F1219" s="6" t="n">
        <v>1</v>
      </c>
      <c r="G1219" s="10" t="n">
        <v>1468</v>
      </c>
      <c r="H1219" s="10" t="n">
        <f aca="false">F1219*G1219</f>
        <v>1468</v>
      </c>
      <c r="I1219" s="6" t="s">
        <v>5130</v>
      </c>
    </row>
    <row r="1220" customFormat="false" ht="15" hidden="false" customHeight="false" outlineLevel="0" collapsed="false">
      <c r="A1220" s="6" t="s">
        <v>6441</v>
      </c>
      <c r="B1220" s="6" t="s">
        <v>3197</v>
      </c>
      <c r="C1220" s="26" t="n">
        <v>46067</v>
      </c>
      <c r="D1220" s="6" t="s">
        <v>5224</v>
      </c>
      <c r="E1220" s="6" t="s">
        <v>23</v>
      </c>
      <c r="F1220" s="6" t="n">
        <v>5</v>
      </c>
      <c r="G1220" s="10" t="n">
        <v>195</v>
      </c>
      <c r="H1220" s="10" t="n">
        <f aca="false">F1220*G1220</f>
        <v>975</v>
      </c>
      <c r="I1220" s="6" t="s">
        <v>5130</v>
      </c>
    </row>
    <row r="1221" customFormat="false" ht="15" hidden="false" customHeight="false" outlineLevel="0" collapsed="false">
      <c r="A1221" s="6" t="s">
        <v>6442</v>
      </c>
      <c r="B1221" s="6" t="s">
        <v>3715</v>
      </c>
      <c r="C1221" s="26" t="n">
        <v>46067</v>
      </c>
      <c r="D1221" s="6" t="s">
        <v>5121</v>
      </c>
      <c r="E1221" s="6" t="s">
        <v>22</v>
      </c>
      <c r="F1221" s="6" t="n">
        <v>2</v>
      </c>
      <c r="G1221" s="10" t="n">
        <v>977</v>
      </c>
      <c r="H1221" s="10" t="n">
        <f aca="false">F1221*G1221</f>
        <v>1954</v>
      </c>
      <c r="I1221" s="6" t="s">
        <v>5122</v>
      </c>
    </row>
    <row r="1222" customFormat="false" ht="15" hidden="false" customHeight="false" outlineLevel="0" collapsed="false">
      <c r="A1222" s="6" t="s">
        <v>6443</v>
      </c>
      <c r="B1222" s="6" t="s">
        <v>277</v>
      </c>
      <c r="C1222" s="26" t="n">
        <v>46067</v>
      </c>
      <c r="D1222" s="6" t="s">
        <v>5269</v>
      </c>
      <c r="E1222" s="6" t="s">
        <v>22</v>
      </c>
      <c r="F1222" s="6" t="n">
        <v>1</v>
      </c>
      <c r="G1222" s="10" t="n">
        <v>1270</v>
      </c>
      <c r="H1222" s="10" t="n">
        <f aca="false">F1222*G1222</f>
        <v>1270</v>
      </c>
      <c r="I1222" s="6" t="s">
        <v>5148</v>
      </c>
    </row>
    <row r="1223" customFormat="false" ht="15" hidden="false" customHeight="false" outlineLevel="0" collapsed="false">
      <c r="A1223" s="6" t="s">
        <v>6444</v>
      </c>
      <c r="B1223" s="6" t="s">
        <v>4825</v>
      </c>
      <c r="C1223" s="26" t="n">
        <v>46067</v>
      </c>
      <c r="D1223" s="6" t="s">
        <v>5165</v>
      </c>
      <c r="E1223" s="6" t="s">
        <v>22</v>
      </c>
      <c r="F1223" s="6" t="n">
        <v>4</v>
      </c>
      <c r="G1223" s="10" t="n">
        <v>977</v>
      </c>
      <c r="H1223" s="10" t="n">
        <f aca="false">F1223*G1223</f>
        <v>3908</v>
      </c>
      <c r="I1223" s="6" t="s">
        <v>5173</v>
      </c>
    </row>
    <row r="1224" customFormat="false" ht="15" hidden="false" customHeight="false" outlineLevel="0" collapsed="false">
      <c r="A1224" s="6" t="s">
        <v>6445</v>
      </c>
      <c r="B1224" s="6" t="s">
        <v>2003</v>
      </c>
      <c r="C1224" s="26" t="n">
        <v>46067</v>
      </c>
      <c r="D1224" s="6" t="s">
        <v>5135</v>
      </c>
      <c r="E1224" s="6" t="s">
        <v>23</v>
      </c>
      <c r="F1224" s="6" t="n">
        <v>1</v>
      </c>
      <c r="G1224" s="10" t="n">
        <v>397</v>
      </c>
      <c r="H1224" s="10" t="n">
        <f aca="false">F1224*G1224</f>
        <v>397</v>
      </c>
      <c r="I1224" s="6" t="s">
        <v>5125</v>
      </c>
    </row>
    <row r="1225" customFormat="false" ht="15" hidden="false" customHeight="false" outlineLevel="0" collapsed="false">
      <c r="A1225" s="6" t="s">
        <v>6446</v>
      </c>
      <c r="B1225" s="6" t="s">
        <v>1943</v>
      </c>
      <c r="C1225" s="26" t="n">
        <v>46067</v>
      </c>
      <c r="D1225" s="6" t="s">
        <v>5167</v>
      </c>
      <c r="E1225" s="6" t="s">
        <v>22</v>
      </c>
      <c r="F1225" s="6" t="n">
        <v>2</v>
      </c>
      <c r="G1225" s="10" t="n">
        <v>782</v>
      </c>
      <c r="H1225" s="10" t="n">
        <f aca="false">F1225*G1225</f>
        <v>1564</v>
      </c>
      <c r="I1225" s="6" t="s">
        <v>5122</v>
      </c>
    </row>
    <row r="1226" customFormat="false" ht="15" hidden="false" customHeight="false" outlineLevel="0" collapsed="false">
      <c r="A1226" s="6" t="s">
        <v>6447</v>
      </c>
      <c r="B1226" s="6" t="s">
        <v>2105</v>
      </c>
      <c r="C1226" s="26" t="n">
        <v>46067</v>
      </c>
      <c r="D1226" s="6" t="s">
        <v>5167</v>
      </c>
      <c r="E1226" s="6" t="s">
        <v>22</v>
      </c>
      <c r="F1226" s="6" t="n">
        <v>3</v>
      </c>
      <c r="G1226" s="10" t="n">
        <v>782</v>
      </c>
      <c r="H1226" s="10" t="n">
        <f aca="false">F1226*G1226</f>
        <v>2346</v>
      </c>
      <c r="I1226" s="6" t="s">
        <v>5125</v>
      </c>
    </row>
    <row r="1227" customFormat="false" ht="15" hidden="false" customHeight="false" outlineLevel="0" collapsed="false">
      <c r="A1227" s="6" t="s">
        <v>6448</v>
      </c>
      <c r="B1227" s="6" t="s">
        <v>1577</v>
      </c>
      <c r="C1227" s="26" t="n">
        <v>46067</v>
      </c>
      <c r="D1227" s="6" t="s">
        <v>5242</v>
      </c>
      <c r="E1227" s="6" t="s">
        <v>23</v>
      </c>
      <c r="F1227" s="6" t="n">
        <v>5</v>
      </c>
      <c r="G1227" s="10" t="n">
        <v>335</v>
      </c>
      <c r="H1227" s="10" t="n">
        <f aca="false">F1227*G1227</f>
        <v>1675</v>
      </c>
      <c r="I1227" s="6" t="s">
        <v>5122</v>
      </c>
    </row>
    <row r="1228" customFormat="false" ht="15" hidden="false" customHeight="false" outlineLevel="0" collapsed="false">
      <c r="A1228" s="6" t="s">
        <v>6449</v>
      </c>
      <c r="B1228" s="6" t="s">
        <v>2669</v>
      </c>
      <c r="C1228" s="26" t="n">
        <v>46067</v>
      </c>
      <c r="D1228" s="6" t="s">
        <v>5242</v>
      </c>
      <c r="E1228" s="6" t="s">
        <v>23</v>
      </c>
      <c r="F1228" s="6" t="n">
        <v>1</v>
      </c>
      <c r="G1228" s="10" t="n">
        <v>334</v>
      </c>
      <c r="H1228" s="10" t="n">
        <f aca="false">F1228*G1228</f>
        <v>334</v>
      </c>
      <c r="I1228" s="6" t="s">
        <v>5130</v>
      </c>
    </row>
    <row r="1229" customFormat="false" ht="15" hidden="false" customHeight="false" outlineLevel="0" collapsed="false">
      <c r="A1229" s="6" t="s">
        <v>6450</v>
      </c>
      <c r="B1229" s="6" t="s">
        <v>2697</v>
      </c>
      <c r="C1229" s="26" t="n">
        <v>46067</v>
      </c>
      <c r="D1229" s="6" t="s">
        <v>5224</v>
      </c>
      <c r="E1229" s="6" t="s">
        <v>23</v>
      </c>
      <c r="F1229" s="6" t="n">
        <v>4</v>
      </c>
      <c r="G1229" s="10" t="n">
        <v>195</v>
      </c>
      <c r="H1229" s="10" t="n">
        <f aca="false">F1229*G1229</f>
        <v>780</v>
      </c>
      <c r="I1229" s="6" t="s">
        <v>5122</v>
      </c>
    </row>
    <row r="1230" customFormat="false" ht="15" hidden="false" customHeight="false" outlineLevel="0" collapsed="false">
      <c r="A1230" s="6" t="s">
        <v>6451</v>
      </c>
      <c r="B1230" s="6" t="s">
        <v>3975</v>
      </c>
      <c r="C1230" s="26" t="n">
        <v>46067</v>
      </c>
      <c r="D1230" s="6" t="s">
        <v>5482</v>
      </c>
      <c r="E1230" s="6" t="s">
        <v>23</v>
      </c>
      <c r="F1230" s="6" t="n">
        <v>3</v>
      </c>
      <c r="G1230" s="10" t="n">
        <v>269</v>
      </c>
      <c r="H1230" s="10" t="n">
        <f aca="false">F1230*G1230</f>
        <v>807</v>
      </c>
      <c r="I1230" s="6" t="s">
        <v>5122</v>
      </c>
    </row>
    <row r="1231" customFormat="false" ht="15" hidden="false" customHeight="false" outlineLevel="0" collapsed="false">
      <c r="A1231" s="6" t="s">
        <v>6452</v>
      </c>
      <c r="B1231" s="6" t="s">
        <v>174</v>
      </c>
      <c r="C1231" s="26" t="n">
        <v>46067</v>
      </c>
      <c r="D1231" s="6" t="s">
        <v>5269</v>
      </c>
      <c r="E1231" s="6" t="s">
        <v>22</v>
      </c>
      <c r="F1231" s="6" t="n">
        <v>4</v>
      </c>
      <c r="G1231" s="10" t="n">
        <v>1271</v>
      </c>
      <c r="H1231" s="10" t="n">
        <f aca="false">F1231*G1231</f>
        <v>5084</v>
      </c>
      <c r="I1231" s="6" t="s">
        <v>5130</v>
      </c>
    </row>
    <row r="1232" customFormat="false" ht="15" hidden="false" customHeight="false" outlineLevel="0" collapsed="false">
      <c r="A1232" s="6" t="s">
        <v>6453</v>
      </c>
      <c r="B1232" s="6" t="s">
        <v>3947</v>
      </c>
      <c r="C1232" s="26" t="n">
        <v>46067</v>
      </c>
      <c r="D1232" s="6" t="s">
        <v>5235</v>
      </c>
      <c r="E1232" s="6" t="s">
        <v>21</v>
      </c>
      <c r="F1232" s="6" t="n">
        <v>1</v>
      </c>
      <c r="G1232" s="10" t="n">
        <v>1670</v>
      </c>
      <c r="H1232" s="10" t="n">
        <f aca="false">F1232*G1232</f>
        <v>1670</v>
      </c>
      <c r="I1232" s="6" t="s">
        <v>5133</v>
      </c>
    </row>
    <row r="1233" customFormat="false" ht="15" hidden="false" customHeight="false" outlineLevel="0" collapsed="false">
      <c r="A1233" s="6" t="s">
        <v>6454</v>
      </c>
      <c r="B1233" s="6" t="s">
        <v>3901</v>
      </c>
      <c r="C1233" s="26" t="n">
        <v>46067</v>
      </c>
      <c r="D1233" s="6" t="s">
        <v>5235</v>
      </c>
      <c r="E1233" s="6" t="s">
        <v>21</v>
      </c>
      <c r="F1233" s="6" t="n">
        <v>1</v>
      </c>
      <c r="G1233" s="10" t="n">
        <v>1670</v>
      </c>
      <c r="H1233" s="10" t="n">
        <f aca="false">F1233*G1233</f>
        <v>1670</v>
      </c>
      <c r="I1233" s="6" t="s">
        <v>5125</v>
      </c>
    </row>
    <row r="1234" customFormat="false" ht="15" hidden="false" customHeight="false" outlineLevel="0" collapsed="false">
      <c r="A1234" s="6" t="s">
        <v>6455</v>
      </c>
      <c r="B1234" s="6" t="s">
        <v>3437</v>
      </c>
      <c r="C1234" s="26" t="n">
        <v>46067</v>
      </c>
      <c r="D1234" s="6" t="s">
        <v>5188</v>
      </c>
      <c r="E1234" s="6" t="s">
        <v>24</v>
      </c>
      <c r="F1234" s="6" t="n">
        <v>2</v>
      </c>
      <c r="G1234" s="10" t="n">
        <v>967</v>
      </c>
      <c r="H1234" s="10" t="n">
        <f aca="false">F1234*G1234</f>
        <v>1934</v>
      </c>
      <c r="I1234" s="6" t="s">
        <v>5148</v>
      </c>
    </row>
    <row r="1235" customFormat="false" ht="15" hidden="false" customHeight="false" outlineLevel="0" collapsed="false">
      <c r="A1235" s="6" t="s">
        <v>6456</v>
      </c>
      <c r="B1235" s="6" t="s">
        <v>4587</v>
      </c>
      <c r="C1235" s="26" t="n">
        <v>46067</v>
      </c>
      <c r="D1235" s="6" t="s">
        <v>5561</v>
      </c>
      <c r="E1235" s="6" t="s">
        <v>20</v>
      </c>
      <c r="F1235" s="6" t="n">
        <v>1</v>
      </c>
      <c r="G1235" s="10" t="n">
        <v>3196</v>
      </c>
      <c r="H1235" s="10" t="n">
        <f aca="false">F1235*G1235</f>
        <v>3196</v>
      </c>
      <c r="I1235" s="6" t="s">
        <v>5148</v>
      </c>
    </row>
    <row r="1236" customFormat="false" ht="15" hidden="false" customHeight="false" outlineLevel="0" collapsed="false">
      <c r="A1236" s="6" t="s">
        <v>6457</v>
      </c>
      <c r="B1236" s="6" t="s">
        <v>593</v>
      </c>
      <c r="C1236" s="26" t="n">
        <v>46067</v>
      </c>
      <c r="D1236" s="6" t="s">
        <v>5175</v>
      </c>
      <c r="E1236" s="6" t="s">
        <v>24</v>
      </c>
      <c r="F1236" s="6" t="n">
        <v>1</v>
      </c>
      <c r="G1236" s="10" t="n">
        <v>610</v>
      </c>
      <c r="H1236" s="10" t="n">
        <f aca="false">F1236*G1236</f>
        <v>610</v>
      </c>
      <c r="I1236" s="6" t="s">
        <v>5130</v>
      </c>
    </row>
    <row r="1237" customFormat="false" ht="15" hidden="false" customHeight="false" outlineLevel="0" collapsed="false">
      <c r="A1237" s="6" t="s">
        <v>6458</v>
      </c>
      <c r="B1237" s="6" t="s">
        <v>2863</v>
      </c>
      <c r="C1237" s="26" t="n">
        <v>46067</v>
      </c>
      <c r="D1237" s="6" t="s">
        <v>5357</v>
      </c>
      <c r="E1237" s="6" t="s">
        <v>23</v>
      </c>
      <c r="F1237" s="6" t="n">
        <v>2</v>
      </c>
      <c r="G1237" s="10" t="n">
        <v>507</v>
      </c>
      <c r="H1237" s="10" t="n">
        <f aca="false">F1237*G1237</f>
        <v>1014</v>
      </c>
      <c r="I1237" s="6" t="s">
        <v>5148</v>
      </c>
    </row>
    <row r="1238" customFormat="false" ht="15" hidden="false" customHeight="false" outlineLevel="0" collapsed="false">
      <c r="A1238" s="6" t="s">
        <v>6459</v>
      </c>
      <c r="B1238" s="6" t="s">
        <v>2369</v>
      </c>
      <c r="C1238" s="26" t="n">
        <v>46067</v>
      </c>
      <c r="D1238" s="6" t="s">
        <v>5167</v>
      </c>
      <c r="E1238" s="6" t="s">
        <v>22</v>
      </c>
      <c r="F1238" s="6" t="n">
        <v>2</v>
      </c>
      <c r="G1238" s="10" t="n">
        <v>782</v>
      </c>
      <c r="H1238" s="10" t="n">
        <f aca="false">F1238*G1238</f>
        <v>1564</v>
      </c>
      <c r="I1238" s="6" t="s">
        <v>5125</v>
      </c>
    </row>
    <row r="1239" customFormat="false" ht="15" hidden="false" customHeight="false" outlineLevel="0" collapsed="false">
      <c r="A1239" s="6" t="s">
        <v>6460</v>
      </c>
      <c r="B1239" s="6" t="s">
        <v>2555</v>
      </c>
      <c r="C1239" s="26" t="n">
        <v>46067</v>
      </c>
      <c r="D1239" s="6" t="s">
        <v>5141</v>
      </c>
      <c r="E1239" s="6" t="s">
        <v>20</v>
      </c>
      <c r="F1239" s="6" t="n">
        <v>1</v>
      </c>
      <c r="G1239" s="10" t="n">
        <v>1651</v>
      </c>
      <c r="H1239" s="10" t="n">
        <f aca="false">F1239*G1239</f>
        <v>1651</v>
      </c>
      <c r="I1239" s="6" t="s">
        <v>5122</v>
      </c>
    </row>
    <row r="1240" customFormat="false" ht="15" hidden="false" customHeight="false" outlineLevel="0" collapsed="false">
      <c r="A1240" s="6" t="s">
        <v>6461</v>
      </c>
      <c r="B1240" s="6" t="s">
        <v>4025</v>
      </c>
      <c r="C1240" s="26" t="n">
        <v>46067</v>
      </c>
      <c r="D1240" s="6" t="s">
        <v>5141</v>
      </c>
      <c r="E1240" s="6" t="s">
        <v>20</v>
      </c>
      <c r="F1240" s="6" t="n">
        <v>1</v>
      </c>
      <c r="G1240" s="10" t="n">
        <v>1834</v>
      </c>
      <c r="H1240" s="10" t="n">
        <f aca="false">F1240*G1240</f>
        <v>1834</v>
      </c>
      <c r="I1240" s="6" t="s">
        <v>5130</v>
      </c>
    </row>
    <row r="1241" customFormat="false" ht="15" hidden="false" customHeight="false" outlineLevel="0" collapsed="false">
      <c r="A1241" s="6" t="s">
        <v>6462</v>
      </c>
      <c r="B1241" s="6" t="s">
        <v>2169</v>
      </c>
      <c r="C1241" s="26" t="n">
        <v>46067</v>
      </c>
      <c r="D1241" s="6" t="s">
        <v>5273</v>
      </c>
      <c r="E1241" s="6" t="s">
        <v>23</v>
      </c>
      <c r="F1241" s="6" t="n">
        <v>4</v>
      </c>
      <c r="G1241" s="10" t="n">
        <v>240</v>
      </c>
      <c r="H1241" s="10" t="n">
        <f aca="false">F1241*G1241</f>
        <v>960</v>
      </c>
      <c r="I1241" s="6" t="s">
        <v>5122</v>
      </c>
    </row>
    <row r="1242" customFormat="false" ht="15" hidden="false" customHeight="false" outlineLevel="0" collapsed="false">
      <c r="A1242" s="6" t="s">
        <v>6463</v>
      </c>
      <c r="B1242" s="6" t="s">
        <v>2001</v>
      </c>
      <c r="C1242" s="26" t="n">
        <v>46067</v>
      </c>
      <c r="D1242" s="6" t="s">
        <v>5588</v>
      </c>
      <c r="E1242" s="6" t="s">
        <v>21</v>
      </c>
      <c r="F1242" s="6" t="n">
        <v>1</v>
      </c>
      <c r="G1242" s="10" t="n">
        <v>11794</v>
      </c>
      <c r="H1242" s="10" t="n">
        <f aca="false">F1242*G1242</f>
        <v>11794</v>
      </c>
      <c r="I1242" s="6" t="s">
        <v>5148</v>
      </c>
    </row>
    <row r="1243" customFormat="false" ht="15" hidden="false" customHeight="false" outlineLevel="0" collapsed="false">
      <c r="A1243" s="6" t="s">
        <v>6464</v>
      </c>
      <c r="B1243" s="6" t="s">
        <v>2629</v>
      </c>
      <c r="C1243" s="26" t="n">
        <v>46067</v>
      </c>
      <c r="D1243" s="6" t="s">
        <v>5152</v>
      </c>
      <c r="E1243" s="6" t="s">
        <v>22</v>
      </c>
      <c r="F1243" s="6" t="n">
        <v>1</v>
      </c>
      <c r="G1243" s="10" t="n">
        <v>1760</v>
      </c>
      <c r="H1243" s="10" t="n">
        <f aca="false">F1243*G1243</f>
        <v>1760</v>
      </c>
      <c r="I1243" s="6" t="s">
        <v>5133</v>
      </c>
    </row>
    <row r="1244" customFormat="false" ht="15" hidden="false" customHeight="false" outlineLevel="0" collapsed="false">
      <c r="A1244" s="6" t="s">
        <v>6465</v>
      </c>
      <c r="B1244" s="6" t="s">
        <v>1043</v>
      </c>
      <c r="C1244" s="26" t="n">
        <v>46067</v>
      </c>
      <c r="D1244" s="6" t="s">
        <v>5167</v>
      </c>
      <c r="E1244" s="6" t="s">
        <v>22</v>
      </c>
      <c r="F1244" s="6" t="n">
        <v>2</v>
      </c>
      <c r="G1244" s="10" t="n">
        <v>782</v>
      </c>
      <c r="H1244" s="10" t="n">
        <f aca="false">F1244*G1244</f>
        <v>1564</v>
      </c>
      <c r="I1244" s="6" t="s">
        <v>5130</v>
      </c>
    </row>
    <row r="1245" customFormat="false" ht="15" hidden="false" customHeight="false" outlineLevel="0" collapsed="false">
      <c r="A1245" s="6" t="s">
        <v>6466</v>
      </c>
      <c r="B1245" s="6" t="s">
        <v>1759</v>
      </c>
      <c r="C1245" s="26" t="n">
        <v>46067</v>
      </c>
      <c r="D1245" s="6" t="s">
        <v>5339</v>
      </c>
      <c r="E1245" s="6" t="s">
        <v>24</v>
      </c>
      <c r="F1245" s="6" t="n">
        <v>2</v>
      </c>
      <c r="G1245" s="10" t="n">
        <v>508</v>
      </c>
      <c r="H1245" s="10" t="n">
        <f aca="false">F1245*G1245</f>
        <v>1016</v>
      </c>
      <c r="I1245" s="6" t="s">
        <v>5125</v>
      </c>
    </row>
    <row r="1246" customFormat="false" ht="15" hidden="false" customHeight="false" outlineLevel="0" collapsed="false">
      <c r="A1246" s="6" t="s">
        <v>6467</v>
      </c>
      <c r="B1246" s="6" t="s">
        <v>2905</v>
      </c>
      <c r="C1246" s="26" t="n">
        <v>46067</v>
      </c>
      <c r="D1246" s="6" t="s">
        <v>5121</v>
      </c>
      <c r="E1246" s="6" t="s">
        <v>22</v>
      </c>
      <c r="F1246" s="6" t="n">
        <v>1</v>
      </c>
      <c r="G1246" s="10" t="n">
        <v>977</v>
      </c>
      <c r="H1246" s="10" t="n">
        <f aca="false">F1246*G1246</f>
        <v>977</v>
      </c>
      <c r="I1246" s="6" t="s">
        <v>5122</v>
      </c>
    </row>
    <row r="1247" customFormat="false" ht="15" hidden="false" customHeight="false" outlineLevel="0" collapsed="false">
      <c r="A1247" s="6" t="s">
        <v>6468</v>
      </c>
      <c r="B1247" s="6" t="s">
        <v>3539</v>
      </c>
      <c r="C1247" s="26" t="n">
        <v>46068</v>
      </c>
      <c r="D1247" s="6" t="s">
        <v>5220</v>
      </c>
      <c r="E1247" s="6" t="s">
        <v>24</v>
      </c>
      <c r="F1247" s="6" t="n">
        <v>3</v>
      </c>
      <c r="G1247" s="10" t="n">
        <v>1008</v>
      </c>
      <c r="H1247" s="10" t="n">
        <f aca="false">F1247*G1247</f>
        <v>3024</v>
      </c>
      <c r="I1247" s="6" t="s">
        <v>5125</v>
      </c>
    </row>
    <row r="1248" customFormat="false" ht="15" hidden="false" customHeight="false" outlineLevel="0" collapsed="false">
      <c r="A1248" s="6" t="s">
        <v>6469</v>
      </c>
      <c r="B1248" s="6" t="s">
        <v>3601</v>
      </c>
      <c r="C1248" s="26" t="n">
        <v>46068</v>
      </c>
      <c r="D1248" s="6" t="s">
        <v>5152</v>
      </c>
      <c r="E1248" s="6" t="s">
        <v>22</v>
      </c>
      <c r="F1248" s="6" t="n">
        <v>2</v>
      </c>
      <c r="G1248" s="10" t="n">
        <v>1760</v>
      </c>
      <c r="H1248" s="10" t="n">
        <f aca="false">F1248*G1248</f>
        <v>3520</v>
      </c>
      <c r="I1248" s="6" t="s">
        <v>5122</v>
      </c>
    </row>
    <row r="1249" customFormat="false" ht="15" hidden="false" customHeight="false" outlineLevel="0" collapsed="false">
      <c r="A1249" s="6" t="s">
        <v>6470</v>
      </c>
      <c r="B1249" s="6" t="s">
        <v>4251</v>
      </c>
      <c r="C1249" s="26" t="n">
        <v>46068</v>
      </c>
      <c r="D1249" s="6" t="s">
        <v>5121</v>
      </c>
      <c r="E1249" s="6" t="s">
        <v>22</v>
      </c>
      <c r="F1249" s="6" t="n">
        <v>2</v>
      </c>
      <c r="G1249" s="10" t="n">
        <v>977</v>
      </c>
      <c r="H1249" s="10" t="n">
        <f aca="false">F1249*G1249</f>
        <v>1954</v>
      </c>
      <c r="I1249" s="6" t="s">
        <v>5122</v>
      </c>
    </row>
    <row r="1250" customFormat="false" ht="15" hidden="false" customHeight="false" outlineLevel="0" collapsed="false">
      <c r="A1250" s="6" t="s">
        <v>6471</v>
      </c>
      <c r="B1250" s="6" t="s">
        <v>1587</v>
      </c>
      <c r="C1250" s="26" t="n">
        <v>46068</v>
      </c>
      <c r="D1250" s="6" t="s">
        <v>5326</v>
      </c>
      <c r="E1250" s="6" t="s">
        <v>22</v>
      </c>
      <c r="F1250" s="6" t="n">
        <v>3</v>
      </c>
      <c r="G1250" s="10" t="n">
        <v>1466</v>
      </c>
      <c r="H1250" s="10" t="n">
        <f aca="false">F1250*G1250</f>
        <v>4398</v>
      </c>
      <c r="I1250" s="6" t="s">
        <v>5122</v>
      </c>
    </row>
    <row r="1251" customFormat="false" ht="15" hidden="false" customHeight="false" outlineLevel="0" collapsed="false">
      <c r="A1251" s="6" t="s">
        <v>6472</v>
      </c>
      <c r="B1251" s="6" t="s">
        <v>4581</v>
      </c>
      <c r="C1251" s="26" t="n">
        <v>46068</v>
      </c>
      <c r="D1251" s="6" t="s">
        <v>5305</v>
      </c>
      <c r="E1251" s="6" t="s">
        <v>20</v>
      </c>
      <c r="F1251" s="6" t="n">
        <v>1</v>
      </c>
      <c r="G1251" s="10" t="n">
        <v>1468</v>
      </c>
      <c r="H1251" s="10" t="n">
        <f aca="false">F1251*G1251</f>
        <v>1468</v>
      </c>
      <c r="I1251" s="6" t="s">
        <v>5130</v>
      </c>
    </row>
    <row r="1252" customFormat="false" ht="15" hidden="false" customHeight="false" outlineLevel="0" collapsed="false">
      <c r="A1252" s="6" t="s">
        <v>6473</v>
      </c>
      <c r="B1252" s="6" t="s">
        <v>1527</v>
      </c>
      <c r="C1252" s="26" t="n">
        <v>46068</v>
      </c>
      <c r="D1252" s="6" t="s">
        <v>5143</v>
      </c>
      <c r="E1252" s="6" t="s">
        <v>21</v>
      </c>
      <c r="F1252" s="6" t="n">
        <v>1</v>
      </c>
      <c r="G1252" s="10" t="n">
        <v>1061</v>
      </c>
      <c r="H1252" s="10" t="n">
        <f aca="false">F1252*G1252</f>
        <v>1061</v>
      </c>
      <c r="I1252" s="6" t="s">
        <v>5122</v>
      </c>
    </row>
    <row r="1253" customFormat="false" ht="15" hidden="false" customHeight="false" outlineLevel="0" collapsed="false">
      <c r="A1253" s="6" t="s">
        <v>6474</v>
      </c>
      <c r="B1253" s="6" t="s">
        <v>2765</v>
      </c>
      <c r="C1253" s="26" t="n">
        <v>46068</v>
      </c>
      <c r="D1253" s="6" t="s">
        <v>5281</v>
      </c>
      <c r="E1253" s="6" t="s">
        <v>24</v>
      </c>
      <c r="F1253" s="6" t="n">
        <v>1</v>
      </c>
      <c r="G1253" s="10" t="n">
        <v>774</v>
      </c>
      <c r="H1253" s="10" t="n">
        <f aca="false">F1253*G1253</f>
        <v>774</v>
      </c>
      <c r="I1253" s="6" t="s">
        <v>5173</v>
      </c>
    </row>
    <row r="1254" customFormat="false" ht="15" hidden="false" customHeight="false" outlineLevel="0" collapsed="false">
      <c r="A1254" s="6" t="s">
        <v>6475</v>
      </c>
      <c r="B1254" s="6" t="s">
        <v>2951</v>
      </c>
      <c r="C1254" s="26" t="n">
        <v>46068</v>
      </c>
      <c r="D1254" s="6" t="s">
        <v>5316</v>
      </c>
      <c r="E1254" s="6" t="s">
        <v>23</v>
      </c>
      <c r="F1254" s="6" t="n">
        <v>4</v>
      </c>
      <c r="G1254" s="10" t="n">
        <v>260</v>
      </c>
      <c r="H1254" s="10" t="n">
        <f aca="false">F1254*G1254</f>
        <v>1040</v>
      </c>
      <c r="I1254" s="6" t="s">
        <v>5148</v>
      </c>
    </row>
    <row r="1255" customFormat="false" ht="15" hidden="false" customHeight="false" outlineLevel="0" collapsed="false">
      <c r="A1255" s="6" t="s">
        <v>6476</v>
      </c>
      <c r="B1255" s="6" t="s">
        <v>4841</v>
      </c>
      <c r="C1255" s="26" t="n">
        <v>46068</v>
      </c>
      <c r="D1255" s="6" t="s">
        <v>5345</v>
      </c>
      <c r="E1255" s="6" t="s">
        <v>23</v>
      </c>
      <c r="F1255" s="6" t="n">
        <v>2</v>
      </c>
      <c r="G1255" s="10" t="n">
        <v>392</v>
      </c>
      <c r="H1255" s="10" t="n">
        <f aca="false">F1255*G1255</f>
        <v>784</v>
      </c>
      <c r="I1255" s="6" t="s">
        <v>5148</v>
      </c>
    </row>
    <row r="1256" customFormat="false" ht="15" hidden="false" customHeight="false" outlineLevel="0" collapsed="false">
      <c r="A1256" s="6" t="s">
        <v>6477</v>
      </c>
      <c r="B1256" s="6" t="s">
        <v>1325</v>
      </c>
      <c r="C1256" s="26" t="n">
        <v>46068</v>
      </c>
      <c r="D1256" s="6" t="s">
        <v>5121</v>
      </c>
      <c r="E1256" s="6" t="s">
        <v>22</v>
      </c>
      <c r="F1256" s="6" t="n">
        <v>1</v>
      </c>
      <c r="G1256" s="10" t="n">
        <v>977</v>
      </c>
      <c r="H1256" s="10" t="n">
        <f aca="false">F1256*G1256</f>
        <v>977</v>
      </c>
      <c r="I1256" s="6" t="s">
        <v>5125</v>
      </c>
    </row>
    <row r="1257" customFormat="false" ht="15" hidden="false" customHeight="false" outlineLevel="0" collapsed="false">
      <c r="A1257" s="6" t="s">
        <v>6478</v>
      </c>
      <c r="B1257" s="6" t="s">
        <v>2171</v>
      </c>
      <c r="C1257" s="26" t="n">
        <v>46068</v>
      </c>
      <c r="D1257" s="6" t="s">
        <v>5216</v>
      </c>
      <c r="E1257" s="6" t="s">
        <v>23</v>
      </c>
      <c r="F1257" s="6" t="n">
        <v>2</v>
      </c>
      <c r="G1257" s="10" t="n">
        <v>528</v>
      </c>
      <c r="H1257" s="10" t="n">
        <f aca="false">F1257*G1257</f>
        <v>1056</v>
      </c>
      <c r="I1257" s="6" t="s">
        <v>5122</v>
      </c>
    </row>
    <row r="1258" customFormat="false" ht="15" hidden="false" customHeight="false" outlineLevel="0" collapsed="false">
      <c r="A1258" s="6" t="s">
        <v>6479</v>
      </c>
      <c r="B1258" s="6" t="s">
        <v>3201</v>
      </c>
      <c r="C1258" s="26" t="n">
        <v>46068</v>
      </c>
      <c r="D1258" s="6" t="s">
        <v>5167</v>
      </c>
      <c r="E1258" s="6" t="s">
        <v>22</v>
      </c>
      <c r="F1258" s="6" t="n">
        <v>4</v>
      </c>
      <c r="G1258" s="10" t="n">
        <v>743</v>
      </c>
      <c r="H1258" s="10" t="n">
        <f aca="false">F1258*G1258</f>
        <v>2972</v>
      </c>
      <c r="I1258" s="6" t="s">
        <v>5125</v>
      </c>
    </row>
    <row r="1259" customFormat="false" ht="15" hidden="false" customHeight="false" outlineLevel="0" collapsed="false">
      <c r="A1259" s="6" t="s">
        <v>6480</v>
      </c>
      <c r="B1259" s="6" t="s">
        <v>4989</v>
      </c>
      <c r="C1259" s="26" t="n">
        <v>46068</v>
      </c>
      <c r="D1259" s="6" t="s">
        <v>5121</v>
      </c>
      <c r="E1259" s="6" t="s">
        <v>22</v>
      </c>
      <c r="F1259" s="6" t="n">
        <v>1</v>
      </c>
      <c r="G1259" s="10" t="n">
        <v>976</v>
      </c>
      <c r="H1259" s="10" t="n">
        <f aca="false">F1259*G1259</f>
        <v>976</v>
      </c>
      <c r="I1259" s="6" t="s">
        <v>5133</v>
      </c>
    </row>
    <row r="1260" customFormat="false" ht="15" hidden="false" customHeight="false" outlineLevel="0" collapsed="false">
      <c r="A1260" s="6" t="s">
        <v>6481</v>
      </c>
      <c r="B1260" s="6" t="s">
        <v>3111</v>
      </c>
      <c r="C1260" s="26" t="n">
        <v>46068</v>
      </c>
      <c r="D1260" s="6" t="s">
        <v>5269</v>
      </c>
      <c r="E1260" s="6" t="s">
        <v>22</v>
      </c>
      <c r="F1260" s="6" t="n">
        <v>1</v>
      </c>
      <c r="G1260" s="10" t="n">
        <v>1206</v>
      </c>
      <c r="H1260" s="10" t="n">
        <f aca="false">F1260*G1260</f>
        <v>1206</v>
      </c>
      <c r="I1260" s="6" t="s">
        <v>5122</v>
      </c>
    </row>
    <row r="1261" customFormat="false" ht="15" hidden="false" customHeight="false" outlineLevel="0" collapsed="false">
      <c r="A1261" s="6" t="s">
        <v>6482</v>
      </c>
      <c r="B1261" s="6" t="s">
        <v>1279</v>
      </c>
      <c r="C1261" s="26" t="n">
        <v>46068</v>
      </c>
      <c r="D1261" s="6" t="s">
        <v>5129</v>
      </c>
      <c r="E1261" s="6" t="s">
        <v>21</v>
      </c>
      <c r="F1261" s="6" t="n">
        <v>1</v>
      </c>
      <c r="G1261" s="10" t="n">
        <v>589</v>
      </c>
      <c r="H1261" s="10" t="n">
        <f aca="false">F1261*G1261</f>
        <v>589</v>
      </c>
      <c r="I1261" s="6" t="s">
        <v>5122</v>
      </c>
    </row>
    <row r="1262" customFormat="false" ht="15" hidden="false" customHeight="false" outlineLevel="0" collapsed="false">
      <c r="A1262" s="6" t="s">
        <v>6483</v>
      </c>
      <c r="B1262" s="6" t="s">
        <v>2523</v>
      </c>
      <c r="C1262" s="26" t="n">
        <v>46068</v>
      </c>
      <c r="D1262" s="6" t="s">
        <v>5141</v>
      </c>
      <c r="E1262" s="6" t="s">
        <v>20</v>
      </c>
      <c r="F1262" s="6" t="n">
        <v>1</v>
      </c>
      <c r="G1262" s="10" t="n">
        <v>1651</v>
      </c>
      <c r="H1262" s="10" t="n">
        <f aca="false">F1262*G1262</f>
        <v>1651</v>
      </c>
      <c r="I1262" s="6" t="s">
        <v>5125</v>
      </c>
    </row>
    <row r="1263" customFormat="false" ht="15" hidden="false" customHeight="false" outlineLevel="0" collapsed="false">
      <c r="A1263" s="6" t="s">
        <v>6484</v>
      </c>
      <c r="B1263" s="6" t="s">
        <v>3041</v>
      </c>
      <c r="C1263" s="26" t="n">
        <v>46068</v>
      </c>
      <c r="D1263" s="6" t="s">
        <v>5220</v>
      </c>
      <c r="E1263" s="6" t="s">
        <v>24</v>
      </c>
      <c r="F1263" s="6" t="n">
        <v>1</v>
      </c>
      <c r="G1263" s="10" t="n">
        <v>1121</v>
      </c>
      <c r="H1263" s="10" t="n">
        <f aca="false">F1263*G1263</f>
        <v>1121</v>
      </c>
      <c r="I1263" s="6" t="s">
        <v>5130</v>
      </c>
    </row>
    <row r="1264" customFormat="false" ht="15" hidden="false" customHeight="false" outlineLevel="0" collapsed="false">
      <c r="A1264" s="6" t="s">
        <v>6485</v>
      </c>
      <c r="B1264" s="6" t="s">
        <v>3921</v>
      </c>
      <c r="C1264" s="26" t="n">
        <v>46068</v>
      </c>
      <c r="D1264" s="6" t="s">
        <v>5224</v>
      </c>
      <c r="E1264" s="6" t="s">
        <v>23</v>
      </c>
      <c r="F1264" s="6" t="n">
        <v>4</v>
      </c>
      <c r="G1264" s="10" t="n">
        <v>195</v>
      </c>
      <c r="H1264" s="10" t="n">
        <f aca="false">F1264*G1264</f>
        <v>780</v>
      </c>
      <c r="I1264" s="6" t="s">
        <v>5122</v>
      </c>
    </row>
    <row r="1265" customFormat="false" ht="15" hidden="false" customHeight="false" outlineLevel="0" collapsed="false">
      <c r="A1265" s="6" t="s">
        <v>6486</v>
      </c>
      <c r="B1265" s="6" t="s">
        <v>1081</v>
      </c>
      <c r="C1265" s="26" t="n">
        <v>46068</v>
      </c>
      <c r="D1265" s="6" t="s">
        <v>5121</v>
      </c>
      <c r="E1265" s="6" t="s">
        <v>22</v>
      </c>
      <c r="F1265" s="6" t="n">
        <v>1</v>
      </c>
      <c r="G1265" s="10" t="n">
        <v>928</v>
      </c>
      <c r="H1265" s="10" t="n">
        <f aca="false">F1265*G1265</f>
        <v>928</v>
      </c>
      <c r="I1265" s="6" t="s">
        <v>5148</v>
      </c>
    </row>
    <row r="1266" customFormat="false" ht="15" hidden="false" customHeight="false" outlineLevel="0" collapsed="false">
      <c r="A1266" s="6" t="s">
        <v>6487</v>
      </c>
      <c r="B1266" s="6" t="s">
        <v>625</v>
      </c>
      <c r="C1266" s="26" t="n">
        <v>46068</v>
      </c>
      <c r="D1266" s="6" t="s">
        <v>5202</v>
      </c>
      <c r="E1266" s="6" t="s">
        <v>23</v>
      </c>
      <c r="F1266" s="6" t="n">
        <v>2</v>
      </c>
      <c r="G1266" s="10" t="n">
        <v>233</v>
      </c>
      <c r="H1266" s="10" t="n">
        <f aca="false">F1266*G1266</f>
        <v>466</v>
      </c>
      <c r="I1266" s="6" t="s">
        <v>5122</v>
      </c>
    </row>
    <row r="1267" customFormat="false" ht="15" hidden="false" customHeight="false" outlineLevel="0" collapsed="false">
      <c r="A1267" s="6" t="s">
        <v>6488</v>
      </c>
      <c r="B1267" s="6" t="s">
        <v>617</v>
      </c>
      <c r="C1267" s="26" t="n">
        <v>46068</v>
      </c>
      <c r="D1267" s="6" t="s">
        <v>5143</v>
      </c>
      <c r="E1267" s="6" t="s">
        <v>21</v>
      </c>
      <c r="F1267" s="6" t="n">
        <v>1</v>
      </c>
      <c r="G1267" s="10" t="n">
        <v>1061</v>
      </c>
      <c r="H1267" s="10" t="n">
        <f aca="false">F1267*G1267</f>
        <v>1061</v>
      </c>
      <c r="I1267" s="6" t="s">
        <v>5130</v>
      </c>
    </row>
    <row r="1268" customFormat="false" ht="15" hidden="false" customHeight="false" outlineLevel="0" collapsed="false">
      <c r="A1268" s="6" t="s">
        <v>6489</v>
      </c>
      <c r="B1268" s="6" t="s">
        <v>1355</v>
      </c>
      <c r="C1268" s="26" t="n">
        <v>46068</v>
      </c>
      <c r="D1268" s="6" t="s">
        <v>5163</v>
      </c>
      <c r="E1268" s="6" t="s">
        <v>23</v>
      </c>
      <c r="F1268" s="6" t="n">
        <v>1</v>
      </c>
      <c r="G1268" s="10" t="n">
        <v>744</v>
      </c>
      <c r="H1268" s="10" t="n">
        <f aca="false">F1268*G1268</f>
        <v>744</v>
      </c>
      <c r="I1268" s="6" t="s">
        <v>5148</v>
      </c>
    </row>
    <row r="1269" customFormat="false" ht="15" hidden="false" customHeight="false" outlineLevel="0" collapsed="false">
      <c r="A1269" s="6" t="s">
        <v>6490</v>
      </c>
      <c r="B1269" s="6" t="s">
        <v>703</v>
      </c>
      <c r="C1269" s="26" t="n">
        <v>46068</v>
      </c>
      <c r="D1269" s="6" t="s">
        <v>5154</v>
      </c>
      <c r="E1269" s="6" t="s">
        <v>21</v>
      </c>
      <c r="F1269" s="6" t="n">
        <v>1</v>
      </c>
      <c r="G1269" s="10" t="n">
        <v>785</v>
      </c>
      <c r="H1269" s="10" t="n">
        <f aca="false">F1269*G1269</f>
        <v>785</v>
      </c>
      <c r="I1269" s="6" t="s">
        <v>5122</v>
      </c>
    </row>
    <row r="1270" customFormat="false" ht="15" hidden="false" customHeight="false" outlineLevel="0" collapsed="false">
      <c r="A1270" s="6" t="s">
        <v>6491</v>
      </c>
      <c r="B1270" s="6" t="s">
        <v>525</v>
      </c>
      <c r="C1270" s="26" t="n">
        <v>46068</v>
      </c>
      <c r="D1270" s="6" t="s">
        <v>5383</v>
      </c>
      <c r="E1270" s="6" t="s">
        <v>20</v>
      </c>
      <c r="F1270" s="6" t="n">
        <v>1</v>
      </c>
      <c r="G1270" s="10" t="n">
        <v>1121</v>
      </c>
      <c r="H1270" s="10" t="n">
        <f aca="false">F1270*G1270</f>
        <v>1121</v>
      </c>
      <c r="I1270" s="6" t="s">
        <v>5125</v>
      </c>
    </row>
    <row r="1271" customFormat="false" ht="15" hidden="false" customHeight="false" outlineLevel="0" collapsed="false">
      <c r="A1271" s="6" t="s">
        <v>6492</v>
      </c>
      <c r="B1271" s="6" t="s">
        <v>184</v>
      </c>
      <c r="C1271" s="26" t="n">
        <v>46068</v>
      </c>
      <c r="D1271" s="6" t="s">
        <v>5353</v>
      </c>
      <c r="E1271" s="6" t="s">
        <v>24</v>
      </c>
      <c r="F1271" s="6" t="n">
        <v>2</v>
      </c>
      <c r="G1271" s="10" t="n">
        <v>1629</v>
      </c>
      <c r="H1271" s="10" t="n">
        <f aca="false">F1271*G1271</f>
        <v>3258</v>
      </c>
      <c r="I1271" s="6" t="s">
        <v>5122</v>
      </c>
    </row>
    <row r="1272" customFormat="false" ht="15" hidden="false" customHeight="false" outlineLevel="0" collapsed="false">
      <c r="A1272" s="6" t="s">
        <v>6493</v>
      </c>
      <c r="B1272" s="6" t="s">
        <v>2489</v>
      </c>
      <c r="C1272" s="26" t="n">
        <v>46069</v>
      </c>
      <c r="D1272" s="6" t="s">
        <v>5216</v>
      </c>
      <c r="E1272" s="6" t="s">
        <v>23</v>
      </c>
      <c r="F1272" s="6" t="n">
        <v>3</v>
      </c>
      <c r="G1272" s="10" t="n">
        <v>528</v>
      </c>
      <c r="H1272" s="10" t="n">
        <f aca="false">F1272*G1272</f>
        <v>1584</v>
      </c>
      <c r="I1272" s="6" t="s">
        <v>5122</v>
      </c>
    </row>
    <row r="1273" customFormat="false" ht="15" hidden="false" customHeight="false" outlineLevel="0" collapsed="false">
      <c r="A1273" s="6" t="s">
        <v>6494</v>
      </c>
      <c r="B1273" s="6" t="s">
        <v>2493</v>
      </c>
      <c r="C1273" s="26" t="n">
        <v>46069</v>
      </c>
      <c r="D1273" s="6" t="s">
        <v>5167</v>
      </c>
      <c r="E1273" s="6" t="s">
        <v>22</v>
      </c>
      <c r="F1273" s="6" t="n">
        <v>1</v>
      </c>
      <c r="G1273" s="10" t="n">
        <v>782</v>
      </c>
      <c r="H1273" s="10" t="n">
        <f aca="false">F1273*G1273</f>
        <v>782</v>
      </c>
      <c r="I1273" s="6" t="s">
        <v>5133</v>
      </c>
    </row>
    <row r="1274" customFormat="false" ht="15" hidden="false" customHeight="false" outlineLevel="0" collapsed="false">
      <c r="A1274" s="6" t="s">
        <v>6495</v>
      </c>
      <c r="B1274" s="6" t="s">
        <v>1901</v>
      </c>
      <c r="C1274" s="26" t="n">
        <v>46069</v>
      </c>
      <c r="D1274" s="6" t="s">
        <v>6101</v>
      </c>
      <c r="E1274" s="6" t="s">
        <v>20</v>
      </c>
      <c r="F1274" s="6" t="n">
        <v>1</v>
      </c>
      <c r="G1274" s="10" t="n">
        <v>21313</v>
      </c>
      <c r="H1274" s="10" t="n">
        <f aca="false">F1274*G1274</f>
        <v>21313</v>
      </c>
      <c r="I1274" s="6" t="s">
        <v>5148</v>
      </c>
    </row>
    <row r="1275" customFormat="false" ht="15" hidden="false" customHeight="false" outlineLevel="0" collapsed="false">
      <c r="A1275" s="6" t="s">
        <v>6496</v>
      </c>
      <c r="B1275" s="6" t="s">
        <v>3987</v>
      </c>
      <c r="C1275" s="26" t="n">
        <v>46069</v>
      </c>
      <c r="D1275" s="6" t="s">
        <v>5220</v>
      </c>
      <c r="E1275" s="6" t="s">
        <v>24</v>
      </c>
      <c r="F1275" s="6" t="n">
        <v>2</v>
      </c>
      <c r="G1275" s="10" t="n">
        <v>1120</v>
      </c>
      <c r="H1275" s="10" t="n">
        <f aca="false">F1275*G1275</f>
        <v>2240</v>
      </c>
      <c r="I1275" s="6" t="s">
        <v>5148</v>
      </c>
    </row>
    <row r="1276" customFormat="false" ht="15" hidden="false" customHeight="false" outlineLevel="0" collapsed="false">
      <c r="A1276" s="6" t="s">
        <v>6497</v>
      </c>
      <c r="B1276" s="6" t="s">
        <v>1069</v>
      </c>
      <c r="C1276" s="26" t="n">
        <v>46069</v>
      </c>
      <c r="D1276" s="6" t="s">
        <v>5188</v>
      </c>
      <c r="E1276" s="6" t="s">
        <v>24</v>
      </c>
      <c r="F1276" s="6" t="n">
        <v>1</v>
      </c>
      <c r="G1276" s="10" t="n">
        <v>967</v>
      </c>
      <c r="H1276" s="10" t="n">
        <f aca="false">F1276*G1276</f>
        <v>967</v>
      </c>
      <c r="I1276" s="6" t="s">
        <v>5122</v>
      </c>
    </row>
    <row r="1277" customFormat="false" ht="15" hidden="false" customHeight="false" outlineLevel="0" collapsed="false">
      <c r="A1277" s="6" t="s">
        <v>6498</v>
      </c>
      <c r="B1277" s="6" t="s">
        <v>1527</v>
      </c>
      <c r="C1277" s="26" t="n">
        <v>46069</v>
      </c>
      <c r="D1277" s="6" t="s">
        <v>5257</v>
      </c>
      <c r="E1277" s="6" t="s">
        <v>22</v>
      </c>
      <c r="F1277" s="6" t="n">
        <v>2</v>
      </c>
      <c r="G1277" s="10" t="n">
        <v>2024</v>
      </c>
      <c r="H1277" s="10" t="n">
        <f aca="false">F1277*G1277</f>
        <v>4048</v>
      </c>
      <c r="I1277" s="6" t="s">
        <v>5148</v>
      </c>
    </row>
    <row r="1278" customFormat="false" ht="15" hidden="false" customHeight="false" outlineLevel="0" collapsed="false">
      <c r="A1278" s="6" t="s">
        <v>6499</v>
      </c>
      <c r="B1278" s="6" t="s">
        <v>398</v>
      </c>
      <c r="C1278" s="26" t="n">
        <v>46069</v>
      </c>
      <c r="D1278" s="6" t="s">
        <v>5137</v>
      </c>
      <c r="E1278" s="6" t="s">
        <v>21</v>
      </c>
      <c r="F1278" s="6" t="n">
        <v>1</v>
      </c>
      <c r="G1278" s="10" t="n">
        <v>1768</v>
      </c>
      <c r="H1278" s="10" t="n">
        <f aca="false">F1278*G1278</f>
        <v>1768</v>
      </c>
      <c r="I1278" s="6" t="s">
        <v>5122</v>
      </c>
    </row>
    <row r="1279" customFormat="false" ht="15" hidden="false" customHeight="false" outlineLevel="0" collapsed="false">
      <c r="A1279" s="6" t="s">
        <v>6500</v>
      </c>
      <c r="B1279" s="6" t="s">
        <v>2555</v>
      </c>
      <c r="C1279" s="26" t="n">
        <v>46069</v>
      </c>
      <c r="D1279" s="6" t="s">
        <v>5127</v>
      </c>
      <c r="E1279" s="6" t="s">
        <v>21</v>
      </c>
      <c r="F1279" s="6" t="n">
        <v>1</v>
      </c>
      <c r="G1279" s="10" t="n">
        <v>884</v>
      </c>
      <c r="H1279" s="10" t="n">
        <f aca="false">F1279*G1279</f>
        <v>884</v>
      </c>
      <c r="I1279" s="6" t="s">
        <v>5148</v>
      </c>
    </row>
    <row r="1280" customFormat="false" ht="15" hidden="false" customHeight="false" outlineLevel="0" collapsed="false">
      <c r="A1280" s="6" t="s">
        <v>6501</v>
      </c>
      <c r="B1280" s="6" t="s">
        <v>2963</v>
      </c>
      <c r="C1280" s="26" t="n">
        <v>46069</v>
      </c>
      <c r="D1280" s="6" t="s">
        <v>5163</v>
      </c>
      <c r="E1280" s="6" t="s">
        <v>23</v>
      </c>
      <c r="F1280" s="6" t="n">
        <v>2</v>
      </c>
      <c r="G1280" s="10" t="n">
        <v>783</v>
      </c>
      <c r="H1280" s="10" t="n">
        <f aca="false">F1280*G1280</f>
        <v>1566</v>
      </c>
      <c r="I1280" s="6" t="s">
        <v>5148</v>
      </c>
    </row>
    <row r="1281" customFormat="false" ht="15" hidden="false" customHeight="false" outlineLevel="0" collapsed="false">
      <c r="A1281" s="6" t="s">
        <v>6502</v>
      </c>
      <c r="B1281" s="6" t="s">
        <v>2683</v>
      </c>
      <c r="C1281" s="26" t="n">
        <v>46069</v>
      </c>
      <c r="D1281" s="6" t="s">
        <v>5837</v>
      </c>
      <c r="E1281" s="6" t="s">
        <v>21</v>
      </c>
      <c r="F1281" s="6" t="n">
        <v>2</v>
      </c>
      <c r="G1281" s="10" t="n">
        <v>2948</v>
      </c>
      <c r="H1281" s="10" t="n">
        <f aca="false">F1281*G1281</f>
        <v>5896</v>
      </c>
      <c r="I1281" s="6" t="s">
        <v>5125</v>
      </c>
    </row>
    <row r="1282" customFormat="false" ht="15" hidden="false" customHeight="false" outlineLevel="0" collapsed="false">
      <c r="A1282" s="6" t="s">
        <v>6503</v>
      </c>
      <c r="B1282" s="6" t="s">
        <v>2909</v>
      </c>
      <c r="C1282" s="26" t="n">
        <v>46069</v>
      </c>
      <c r="D1282" s="6" t="s">
        <v>5121</v>
      </c>
      <c r="E1282" s="6" t="s">
        <v>22</v>
      </c>
      <c r="F1282" s="6" t="n">
        <v>1</v>
      </c>
      <c r="G1282" s="10" t="n">
        <v>880</v>
      </c>
      <c r="H1282" s="10" t="n">
        <f aca="false">F1282*G1282</f>
        <v>880</v>
      </c>
      <c r="I1282" s="6" t="s">
        <v>5122</v>
      </c>
    </row>
    <row r="1283" customFormat="false" ht="15" hidden="false" customHeight="false" outlineLevel="0" collapsed="false">
      <c r="A1283" s="6" t="s">
        <v>6504</v>
      </c>
      <c r="B1283" s="6" t="s">
        <v>2011</v>
      </c>
      <c r="C1283" s="26" t="n">
        <v>46069</v>
      </c>
      <c r="D1283" s="6" t="s">
        <v>5154</v>
      </c>
      <c r="E1283" s="6" t="s">
        <v>21</v>
      </c>
      <c r="F1283" s="6" t="n">
        <v>1</v>
      </c>
      <c r="G1283" s="10" t="n">
        <v>785</v>
      </c>
      <c r="H1283" s="10" t="n">
        <f aca="false">F1283*G1283</f>
        <v>785</v>
      </c>
      <c r="I1283" s="6" t="s">
        <v>5122</v>
      </c>
    </row>
    <row r="1284" customFormat="false" ht="15" hidden="false" customHeight="false" outlineLevel="0" collapsed="false">
      <c r="A1284" s="6" t="s">
        <v>6505</v>
      </c>
      <c r="B1284" s="6" t="s">
        <v>4947</v>
      </c>
      <c r="C1284" s="26" t="n">
        <v>46069</v>
      </c>
      <c r="D1284" s="6" t="s">
        <v>5357</v>
      </c>
      <c r="E1284" s="6" t="s">
        <v>23</v>
      </c>
      <c r="F1284" s="6" t="n">
        <v>3</v>
      </c>
      <c r="G1284" s="10" t="n">
        <v>507</v>
      </c>
      <c r="H1284" s="10" t="n">
        <f aca="false">F1284*G1284</f>
        <v>1521</v>
      </c>
      <c r="I1284" s="6" t="s">
        <v>5130</v>
      </c>
    </row>
    <row r="1285" customFormat="false" ht="15" hidden="false" customHeight="false" outlineLevel="0" collapsed="false">
      <c r="A1285" s="6" t="s">
        <v>6506</v>
      </c>
      <c r="B1285" s="6" t="s">
        <v>4371</v>
      </c>
      <c r="C1285" s="26" t="n">
        <v>46069</v>
      </c>
      <c r="D1285" s="6" t="s">
        <v>5410</v>
      </c>
      <c r="E1285" s="6" t="s">
        <v>20</v>
      </c>
      <c r="F1285" s="6" t="n">
        <v>1</v>
      </c>
      <c r="G1285" s="10" t="n">
        <v>2294</v>
      </c>
      <c r="H1285" s="10" t="n">
        <f aca="false">F1285*G1285</f>
        <v>2294</v>
      </c>
      <c r="I1285" s="6" t="s">
        <v>5122</v>
      </c>
    </row>
    <row r="1286" customFormat="false" ht="15" hidden="false" customHeight="false" outlineLevel="0" collapsed="false">
      <c r="A1286" s="6" t="s">
        <v>6507</v>
      </c>
      <c r="B1286" s="6" t="s">
        <v>3957</v>
      </c>
      <c r="C1286" s="26" t="n">
        <v>46069</v>
      </c>
      <c r="D1286" s="6" t="s">
        <v>5357</v>
      </c>
      <c r="E1286" s="6" t="s">
        <v>23</v>
      </c>
      <c r="F1286" s="6" t="n">
        <v>2</v>
      </c>
      <c r="G1286" s="10" t="n">
        <v>534</v>
      </c>
      <c r="H1286" s="10" t="n">
        <f aca="false">F1286*G1286</f>
        <v>1068</v>
      </c>
      <c r="I1286" s="6" t="s">
        <v>5148</v>
      </c>
    </row>
    <row r="1287" customFormat="false" ht="15" hidden="false" customHeight="false" outlineLevel="0" collapsed="false">
      <c r="A1287" s="6" t="s">
        <v>6508</v>
      </c>
      <c r="B1287" s="6" t="s">
        <v>2149</v>
      </c>
      <c r="C1287" s="26" t="n">
        <v>46069</v>
      </c>
      <c r="D1287" s="6" t="s">
        <v>5156</v>
      </c>
      <c r="E1287" s="6" t="s">
        <v>21</v>
      </c>
      <c r="F1287" s="6" t="n">
        <v>1</v>
      </c>
      <c r="G1287" s="10" t="n">
        <v>2053</v>
      </c>
      <c r="H1287" s="10" t="n">
        <f aca="false">F1287*G1287</f>
        <v>2053</v>
      </c>
      <c r="I1287" s="6" t="s">
        <v>5133</v>
      </c>
    </row>
    <row r="1288" customFormat="false" ht="15" hidden="false" customHeight="false" outlineLevel="0" collapsed="false">
      <c r="A1288" s="6" t="s">
        <v>6509</v>
      </c>
      <c r="B1288" s="6" t="s">
        <v>2051</v>
      </c>
      <c r="C1288" s="26" t="n">
        <v>46069</v>
      </c>
      <c r="D1288" s="6" t="s">
        <v>6149</v>
      </c>
      <c r="E1288" s="6" t="s">
        <v>20</v>
      </c>
      <c r="F1288" s="6" t="n">
        <v>1</v>
      </c>
      <c r="G1288" s="10" t="n">
        <v>28553</v>
      </c>
      <c r="H1288" s="10" t="n">
        <f aca="false">F1288*G1288</f>
        <v>28553</v>
      </c>
      <c r="I1288" s="6" t="s">
        <v>5125</v>
      </c>
    </row>
    <row r="1289" customFormat="false" ht="15" hidden="false" customHeight="false" outlineLevel="0" collapsed="false">
      <c r="A1289" s="6" t="s">
        <v>6510</v>
      </c>
      <c r="B1289" s="6" t="s">
        <v>4445</v>
      </c>
      <c r="C1289" s="26" t="n">
        <v>46069</v>
      </c>
      <c r="D1289" s="6" t="s">
        <v>5167</v>
      </c>
      <c r="E1289" s="6" t="s">
        <v>22</v>
      </c>
      <c r="F1289" s="6" t="n">
        <v>1</v>
      </c>
      <c r="G1289" s="10" t="n">
        <v>782</v>
      </c>
      <c r="H1289" s="10" t="n">
        <f aca="false">F1289*G1289</f>
        <v>782</v>
      </c>
      <c r="I1289" s="6" t="s">
        <v>5125</v>
      </c>
    </row>
    <row r="1290" customFormat="false" ht="15" hidden="false" customHeight="false" outlineLevel="0" collapsed="false">
      <c r="A1290" s="6" t="s">
        <v>6511</v>
      </c>
      <c r="B1290" s="6" t="s">
        <v>853</v>
      </c>
      <c r="C1290" s="26" t="n">
        <v>46069</v>
      </c>
      <c r="D1290" s="6" t="s">
        <v>5165</v>
      </c>
      <c r="E1290" s="6" t="s">
        <v>22</v>
      </c>
      <c r="F1290" s="6" t="n">
        <v>1</v>
      </c>
      <c r="G1290" s="10" t="n">
        <v>977</v>
      </c>
      <c r="H1290" s="10" t="n">
        <f aca="false">F1290*G1290</f>
        <v>977</v>
      </c>
      <c r="I1290" s="6" t="s">
        <v>5130</v>
      </c>
    </row>
    <row r="1291" customFormat="false" ht="15" hidden="false" customHeight="false" outlineLevel="0" collapsed="false">
      <c r="A1291" s="6" t="s">
        <v>6512</v>
      </c>
      <c r="B1291" s="6" t="s">
        <v>3755</v>
      </c>
      <c r="C1291" s="26" t="n">
        <v>46069</v>
      </c>
      <c r="D1291" s="6" t="s">
        <v>5232</v>
      </c>
      <c r="E1291" s="6" t="s">
        <v>23</v>
      </c>
      <c r="F1291" s="6" t="n">
        <v>1</v>
      </c>
      <c r="G1291" s="10" t="n">
        <v>206</v>
      </c>
      <c r="H1291" s="10" t="n">
        <f aca="false">F1291*G1291</f>
        <v>206</v>
      </c>
      <c r="I1291" s="6" t="s">
        <v>5125</v>
      </c>
    </row>
    <row r="1292" customFormat="false" ht="15" hidden="false" customHeight="false" outlineLevel="0" collapsed="false">
      <c r="A1292" s="6" t="s">
        <v>6513</v>
      </c>
      <c r="B1292" s="6" t="s">
        <v>4347</v>
      </c>
      <c r="C1292" s="26" t="n">
        <v>46069</v>
      </c>
      <c r="D1292" s="6" t="s">
        <v>5807</v>
      </c>
      <c r="E1292" s="6" t="s">
        <v>20</v>
      </c>
      <c r="F1292" s="6" t="n">
        <v>1</v>
      </c>
      <c r="G1292" s="10" t="n">
        <v>14530</v>
      </c>
      <c r="H1292" s="10" t="n">
        <f aca="false">F1292*G1292</f>
        <v>14530</v>
      </c>
      <c r="I1292" s="6" t="s">
        <v>5130</v>
      </c>
    </row>
    <row r="1293" customFormat="false" ht="15" hidden="false" customHeight="false" outlineLevel="0" collapsed="false">
      <c r="A1293" s="6" t="s">
        <v>6514</v>
      </c>
      <c r="B1293" s="6" t="s">
        <v>2093</v>
      </c>
      <c r="C1293" s="26" t="n">
        <v>46069</v>
      </c>
      <c r="D1293" s="6" t="s">
        <v>5143</v>
      </c>
      <c r="E1293" s="6" t="s">
        <v>21</v>
      </c>
      <c r="F1293" s="6" t="n">
        <v>3</v>
      </c>
      <c r="G1293" s="10" t="n">
        <v>1179</v>
      </c>
      <c r="H1293" s="10" t="n">
        <f aca="false">F1293*G1293</f>
        <v>3537</v>
      </c>
      <c r="I1293" s="6" t="s">
        <v>5130</v>
      </c>
    </row>
    <row r="1294" customFormat="false" ht="15" hidden="false" customHeight="false" outlineLevel="0" collapsed="false">
      <c r="A1294" s="6" t="s">
        <v>6515</v>
      </c>
      <c r="B1294" s="6" t="s">
        <v>1129</v>
      </c>
      <c r="C1294" s="26" t="n">
        <v>46069</v>
      </c>
      <c r="D1294" s="6" t="s">
        <v>5145</v>
      </c>
      <c r="E1294" s="6" t="s">
        <v>21</v>
      </c>
      <c r="F1294" s="6" t="n">
        <v>1</v>
      </c>
      <c r="G1294" s="10" t="n">
        <v>1277</v>
      </c>
      <c r="H1294" s="10" t="n">
        <f aca="false">F1294*G1294</f>
        <v>1277</v>
      </c>
      <c r="I1294" s="6" t="s">
        <v>5122</v>
      </c>
    </row>
    <row r="1295" customFormat="false" ht="15" hidden="false" customHeight="false" outlineLevel="0" collapsed="false">
      <c r="A1295" s="6" t="s">
        <v>6516</v>
      </c>
      <c r="B1295" s="6" t="s">
        <v>1827</v>
      </c>
      <c r="C1295" s="26" t="n">
        <v>46069</v>
      </c>
      <c r="D1295" s="6" t="s">
        <v>5345</v>
      </c>
      <c r="E1295" s="6" t="s">
        <v>23</v>
      </c>
      <c r="F1295" s="6" t="n">
        <v>1</v>
      </c>
      <c r="G1295" s="10" t="n">
        <v>435</v>
      </c>
      <c r="H1295" s="10" t="n">
        <f aca="false">F1295*G1295</f>
        <v>435</v>
      </c>
      <c r="I1295" s="6" t="s">
        <v>5173</v>
      </c>
    </row>
    <row r="1296" customFormat="false" ht="15" hidden="false" customHeight="false" outlineLevel="0" collapsed="false">
      <c r="A1296" s="6" t="s">
        <v>6517</v>
      </c>
      <c r="B1296" s="6" t="s">
        <v>4899</v>
      </c>
      <c r="C1296" s="26" t="n">
        <v>46070</v>
      </c>
      <c r="D1296" s="6" t="s">
        <v>5216</v>
      </c>
      <c r="E1296" s="6" t="s">
        <v>23</v>
      </c>
      <c r="F1296" s="6" t="n">
        <v>4</v>
      </c>
      <c r="G1296" s="10" t="n">
        <v>587</v>
      </c>
      <c r="H1296" s="10" t="n">
        <f aca="false">F1296*G1296</f>
        <v>2348</v>
      </c>
      <c r="I1296" s="6" t="s">
        <v>5148</v>
      </c>
    </row>
    <row r="1297" customFormat="false" ht="15" hidden="false" customHeight="false" outlineLevel="0" collapsed="false">
      <c r="A1297" s="6" t="s">
        <v>6518</v>
      </c>
      <c r="B1297" s="6" t="s">
        <v>2899</v>
      </c>
      <c r="C1297" s="26" t="n">
        <v>46070</v>
      </c>
      <c r="D1297" s="6" t="s">
        <v>5143</v>
      </c>
      <c r="E1297" s="6" t="s">
        <v>21</v>
      </c>
      <c r="F1297" s="6" t="n">
        <v>1</v>
      </c>
      <c r="G1297" s="10" t="n">
        <v>1179</v>
      </c>
      <c r="H1297" s="10" t="n">
        <f aca="false">F1297*G1297</f>
        <v>1179</v>
      </c>
      <c r="I1297" s="6" t="s">
        <v>5148</v>
      </c>
    </row>
    <row r="1298" customFormat="false" ht="15" hidden="false" customHeight="false" outlineLevel="0" collapsed="false">
      <c r="A1298" s="6" t="s">
        <v>6519</v>
      </c>
      <c r="B1298" s="6" t="s">
        <v>1887</v>
      </c>
      <c r="C1298" s="26" t="n">
        <v>46070</v>
      </c>
      <c r="D1298" s="6" t="s">
        <v>5269</v>
      </c>
      <c r="E1298" s="6" t="s">
        <v>22</v>
      </c>
      <c r="F1298" s="6" t="n">
        <v>2</v>
      </c>
      <c r="G1298" s="10" t="n">
        <v>1207</v>
      </c>
      <c r="H1298" s="10" t="n">
        <f aca="false">F1298*G1298</f>
        <v>2414</v>
      </c>
      <c r="I1298" s="6" t="s">
        <v>5122</v>
      </c>
    </row>
    <row r="1299" customFormat="false" ht="15" hidden="false" customHeight="false" outlineLevel="0" collapsed="false">
      <c r="A1299" s="6" t="s">
        <v>6520</v>
      </c>
      <c r="B1299" s="6" t="s">
        <v>1503</v>
      </c>
      <c r="C1299" s="26" t="n">
        <v>46070</v>
      </c>
      <c r="D1299" s="6" t="s">
        <v>5458</v>
      </c>
      <c r="E1299" s="6" t="s">
        <v>24</v>
      </c>
      <c r="F1299" s="6" t="n">
        <v>1</v>
      </c>
      <c r="G1299" s="10" t="n">
        <v>503</v>
      </c>
      <c r="H1299" s="10" t="n">
        <f aca="false">F1299*G1299</f>
        <v>503</v>
      </c>
      <c r="I1299" s="6" t="s">
        <v>5122</v>
      </c>
    </row>
    <row r="1300" customFormat="false" ht="15" hidden="false" customHeight="false" outlineLevel="0" collapsed="false">
      <c r="A1300" s="6" t="s">
        <v>6521</v>
      </c>
      <c r="B1300" s="6" t="s">
        <v>2843</v>
      </c>
      <c r="C1300" s="26" t="n">
        <v>46070</v>
      </c>
      <c r="D1300" s="6" t="s">
        <v>5150</v>
      </c>
      <c r="E1300" s="6" t="s">
        <v>24</v>
      </c>
      <c r="F1300" s="6" t="n">
        <v>2</v>
      </c>
      <c r="G1300" s="10" t="n">
        <v>508</v>
      </c>
      <c r="H1300" s="10" t="n">
        <f aca="false">F1300*G1300</f>
        <v>1016</v>
      </c>
      <c r="I1300" s="6" t="s">
        <v>5148</v>
      </c>
    </row>
    <row r="1301" customFormat="false" ht="15" hidden="false" customHeight="false" outlineLevel="0" collapsed="false">
      <c r="A1301" s="6" t="s">
        <v>6522</v>
      </c>
      <c r="B1301" s="6" t="s">
        <v>2135</v>
      </c>
      <c r="C1301" s="26" t="n">
        <v>46070</v>
      </c>
      <c r="D1301" s="6" t="s">
        <v>5163</v>
      </c>
      <c r="E1301" s="6" t="s">
        <v>23</v>
      </c>
      <c r="F1301" s="6" t="n">
        <v>2</v>
      </c>
      <c r="G1301" s="10" t="n">
        <v>783</v>
      </c>
      <c r="H1301" s="10" t="n">
        <f aca="false">F1301*G1301</f>
        <v>1566</v>
      </c>
      <c r="I1301" s="6" t="s">
        <v>5122</v>
      </c>
    </row>
    <row r="1302" customFormat="false" ht="15" hidden="false" customHeight="false" outlineLevel="0" collapsed="false">
      <c r="A1302" s="6" t="s">
        <v>6523</v>
      </c>
      <c r="B1302" s="6" t="s">
        <v>4217</v>
      </c>
      <c r="C1302" s="26" t="n">
        <v>46070</v>
      </c>
      <c r="D1302" s="6" t="s">
        <v>5163</v>
      </c>
      <c r="E1302" s="6" t="s">
        <v>23</v>
      </c>
      <c r="F1302" s="6" t="n">
        <v>1</v>
      </c>
      <c r="G1302" s="10" t="n">
        <v>705</v>
      </c>
      <c r="H1302" s="10" t="n">
        <f aca="false">F1302*G1302</f>
        <v>705</v>
      </c>
      <c r="I1302" s="6" t="s">
        <v>5122</v>
      </c>
    </row>
    <row r="1303" customFormat="false" ht="15" hidden="false" customHeight="false" outlineLevel="0" collapsed="false">
      <c r="A1303" s="6" t="s">
        <v>6524</v>
      </c>
      <c r="B1303" s="6" t="s">
        <v>4821</v>
      </c>
      <c r="C1303" s="26" t="n">
        <v>46070</v>
      </c>
      <c r="D1303" s="6" t="s">
        <v>5165</v>
      </c>
      <c r="E1303" s="6" t="s">
        <v>22</v>
      </c>
      <c r="F1303" s="6" t="n">
        <v>2</v>
      </c>
      <c r="G1303" s="10" t="n">
        <v>928</v>
      </c>
      <c r="H1303" s="10" t="n">
        <f aca="false">F1303*G1303</f>
        <v>1856</v>
      </c>
      <c r="I1303" s="6" t="s">
        <v>5125</v>
      </c>
    </row>
    <row r="1304" customFormat="false" ht="15" hidden="false" customHeight="false" outlineLevel="0" collapsed="false">
      <c r="A1304" s="6" t="s">
        <v>6525</v>
      </c>
      <c r="B1304" s="6" t="s">
        <v>1069</v>
      </c>
      <c r="C1304" s="26" t="n">
        <v>46070</v>
      </c>
      <c r="D1304" s="6" t="s">
        <v>5357</v>
      </c>
      <c r="E1304" s="6" t="s">
        <v>23</v>
      </c>
      <c r="F1304" s="6" t="n">
        <v>1</v>
      </c>
      <c r="G1304" s="10" t="n">
        <v>534</v>
      </c>
      <c r="H1304" s="10" t="n">
        <f aca="false">F1304*G1304</f>
        <v>534</v>
      </c>
      <c r="I1304" s="6" t="s">
        <v>5122</v>
      </c>
    </row>
    <row r="1305" customFormat="false" ht="15" hidden="false" customHeight="false" outlineLevel="0" collapsed="false">
      <c r="A1305" s="6" t="s">
        <v>6526</v>
      </c>
      <c r="B1305" s="6" t="s">
        <v>3495</v>
      </c>
      <c r="C1305" s="26" t="n">
        <v>46070</v>
      </c>
      <c r="D1305" s="6" t="s">
        <v>5165</v>
      </c>
      <c r="E1305" s="6" t="s">
        <v>22</v>
      </c>
      <c r="F1305" s="6" t="n">
        <v>3</v>
      </c>
      <c r="G1305" s="10" t="n">
        <v>977</v>
      </c>
      <c r="H1305" s="10" t="n">
        <f aca="false">F1305*G1305</f>
        <v>2931</v>
      </c>
      <c r="I1305" s="6" t="s">
        <v>5122</v>
      </c>
    </row>
    <row r="1306" customFormat="false" ht="15" hidden="false" customHeight="false" outlineLevel="0" collapsed="false">
      <c r="A1306" s="6" t="s">
        <v>6527</v>
      </c>
      <c r="B1306" s="6" t="s">
        <v>4307</v>
      </c>
      <c r="C1306" s="26" t="n">
        <v>46070</v>
      </c>
      <c r="D1306" s="6" t="s">
        <v>5145</v>
      </c>
      <c r="E1306" s="6" t="s">
        <v>21</v>
      </c>
      <c r="F1306" s="6" t="n">
        <v>1</v>
      </c>
      <c r="G1306" s="10" t="n">
        <v>1213</v>
      </c>
      <c r="H1306" s="10" t="n">
        <f aca="false">F1306*G1306</f>
        <v>1213</v>
      </c>
      <c r="I1306" s="6" t="s">
        <v>5148</v>
      </c>
    </row>
    <row r="1307" customFormat="false" ht="15" hidden="false" customHeight="false" outlineLevel="0" collapsed="false">
      <c r="A1307" s="6" t="s">
        <v>6528</v>
      </c>
      <c r="B1307" s="6" t="s">
        <v>4509</v>
      </c>
      <c r="C1307" s="26" t="n">
        <v>46070</v>
      </c>
      <c r="D1307" s="6" t="s">
        <v>5165</v>
      </c>
      <c r="E1307" s="6" t="s">
        <v>22</v>
      </c>
      <c r="F1307" s="6" t="n">
        <v>1</v>
      </c>
      <c r="G1307" s="10" t="n">
        <v>977</v>
      </c>
      <c r="H1307" s="10" t="n">
        <f aca="false">F1307*G1307</f>
        <v>977</v>
      </c>
      <c r="I1307" s="6" t="s">
        <v>5122</v>
      </c>
    </row>
    <row r="1308" customFormat="false" ht="15" hidden="false" customHeight="false" outlineLevel="0" collapsed="false">
      <c r="A1308" s="6" t="s">
        <v>6529</v>
      </c>
      <c r="B1308" s="6" t="s">
        <v>4333</v>
      </c>
      <c r="C1308" s="26" t="n">
        <v>46070</v>
      </c>
      <c r="D1308" s="6" t="s">
        <v>5147</v>
      </c>
      <c r="E1308" s="6" t="s">
        <v>24</v>
      </c>
      <c r="F1308" s="6" t="n">
        <v>2</v>
      </c>
      <c r="G1308" s="10" t="n">
        <v>661</v>
      </c>
      <c r="H1308" s="10" t="n">
        <f aca="false">F1308*G1308</f>
        <v>1322</v>
      </c>
      <c r="I1308" s="6" t="s">
        <v>5133</v>
      </c>
    </row>
    <row r="1309" customFormat="false" ht="15" hidden="false" customHeight="false" outlineLevel="0" collapsed="false">
      <c r="A1309" s="6" t="s">
        <v>6530</v>
      </c>
      <c r="B1309" s="6" t="s">
        <v>665</v>
      </c>
      <c r="C1309" s="26" t="n">
        <v>46070</v>
      </c>
      <c r="D1309" s="6" t="s">
        <v>5588</v>
      </c>
      <c r="E1309" s="6" t="s">
        <v>21</v>
      </c>
      <c r="F1309" s="6" t="n">
        <v>1</v>
      </c>
      <c r="G1309" s="10" t="n">
        <v>11794</v>
      </c>
      <c r="H1309" s="10" t="n">
        <f aca="false">F1309*G1309</f>
        <v>11794</v>
      </c>
      <c r="I1309" s="6" t="s">
        <v>5122</v>
      </c>
    </row>
    <row r="1310" customFormat="false" ht="15" hidden="false" customHeight="false" outlineLevel="0" collapsed="false">
      <c r="A1310" s="6" t="s">
        <v>6531</v>
      </c>
      <c r="B1310" s="6" t="s">
        <v>2487</v>
      </c>
      <c r="C1310" s="26" t="n">
        <v>46070</v>
      </c>
      <c r="D1310" s="6" t="s">
        <v>5137</v>
      </c>
      <c r="E1310" s="6" t="s">
        <v>21</v>
      </c>
      <c r="F1310" s="6" t="n">
        <v>1</v>
      </c>
      <c r="G1310" s="10" t="n">
        <v>1768</v>
      </c>
      <c r="H1310" s="10" t="n">
        <f aca="false">F1310*G1310</f>
        <v>1768</v>
      </c>
      <c r="I1310" s="6" t="s">
        <v>5122</v>
      </c>
    </row>
    <row r="1311" customFormat="false" ht="15" hidden="false" customHeight="false" outlineLevel="0" collapsed="false">
      <c r="A1311" s="6" t="s">
        <v>6532</v>
      </c>
      <c r="B1311" s="6" t="s">
        <v>3781</v>
      </c>
      <c r="C1311" s="26" t="n">
        <v>46070</v>
      </c>
      <c r="D1311" s="6" t="s">
        <v>5145</v>
      </c>
      <c r="E1311" s="6" t="s">
        <v>21</v>
      </c>
      <c r="F1311" s="6" t="n">
        <v>2</v>
      </c>
      <c r="G1311" s="10" t="n">
        <v>1213</v>
      </c>
      <c r="H1311" s="10" t="n">
        <f aca="false">F1311*G1311</f>
        <v>2426</v>
      </c>
      <c r="I1311" s="6" t="s">
        <v>5122</v>
      </c>
    </row>
    <row r="1312" customFormat="false" ht="15" hidden="false" customHeight="false" outlineLevel="0" collapsed="false">
      <c r="A1312" s="6" t="s">
        <v>6533</v>
      </c>
      <c r="B1312" s="6" t="s">
        <v>1067</v>
      </c>
      <c r="C1312" s="26" t="n">
        <v>46070</v>
      </c>
      <c r="D1312" s="6" t="s">
        <v>5214</v>
      </c>
      <c r="E1312" s="6" t="s">
        <v>20</v>
      </c>
      <c r="F1312" s="6" t="n">
        <v>1</v>
      </c>
      <c r="G1312" s="10" t="n">
        <v>2039</v>
      </c>
      <c r="H1312" s="10" t="n">
        <f aca="false">F1312*G1312</f>
        <v>2039</v>
      </c>
      <c r="I1312" s="6" t="s">
        <v>5148</v>
      </c>
    </row>
    <row r="1313" customFormat="false" ht="15" hidden="false" customHeight="false" outlineLevel="0" collapsed="false">
      <c r="A1313" s="6" t="s">
        <v>6534</v>
      </c>
      <c r="B1313" s="6" t="s">
        <v>779</v>
      </c>
      <c r="C1313" s="26" t="n">
        <v>46070</v>
      </c>
      <c r="D1313" s="6" t="s">
        <v>5190</v>
      </c>
      <c r="E1313" s="6" t="s">
        <v>24</v>
      </c>
      <c r="F1313" s="6" t="n">
        <v>2</v>
      </c>
      <c r="G1313" s="10" t="n">
        <v>610</v>
      </c>
      <c r="H1313" s="10" t="n">
        <f aca="false">F1313*G1313</f>
        <v>1220</v>
      </c>
      <c r="I1313" s="6" t="s">
        <v>5122</v>
      </c>
    </row>
    <row r="1314" customFormat="false" ht="15" hidden="false" customHeight="false" outlineLevel="0" collapsed="false">
      <c r="A1314" s="6" t="s">
        <v>6535</v>
      </c>
      <c r="B1314" s="6" t="s">
        <v>923</v>
      </c>
      <c r="C1314" s="26" t="n">
        <v>46070</v>
      </c>
      <c r="D1314" s="6" t="s">
        <v>5316</v>
      </c>
      <c r="E1314" s="6" t="s">
        <v>23</v>
      </c>
      <c r="F1314" s="6" t="n">
        <v>3</v>
      </c>
      <c r="G1314" s="10" t="n">
        <v>234</v>
      </c>
      <c r="H1314" s="10" t="n">
        <f aca="false">F1314*G1314</f>
        <v>702</v>
      </c>
      <c r="I1314" s="6" t="s">
        <v>5122</v>
      </c>
    </row>
    <row r="1315" customFormat="false" ht="15" hidden="false" customHeight="false" outlineLevel="0" collapsed="false">
      <c r="A1315" s="6" t="s">
        <v>6536</v>
      </c>
      <c r="B1315" s="6" t="s">
        <v>2485</v>
      </c>
      <c r="C1315" s="26" t="n">
        <v>46070</v>
      </c>
      <c r="D1315" s="6" t="s">
        <v>5245</v>
      </c>
      <c r="E1315" s="6" t="s">
        <v>21</v>
      </c>
      <c r="F1315" s="6" t="n">
        <v>1</v>
      </c>
      <c r="G1315" s="10" t="n">
        <v>2334</v>
      </c>
      <c r="H1315" s="10" t="n">
        <f aca="false">F1315*G1315</f>
        <v>2334</v>
      </c>
      <c r="I1315" s="6" t="s">
        <v>5122</v>
      </c>
    </row>
    <row r="1316" customFormat="false" ht="15" hidden="false" customHeight="false" outlineLevel="0" collapsed="false">
      <c r="A1316" s="6" t="s">
        <v>6537</v>
      </c>
      <c r="B1316" s="6" t="s">
        <v>1679</v>
      </c>
      <c r="C1316" s="26" t="n">
        <v>46070</v>
      </c>
      <c r="D1316" s="6" t="s">
        <v>5135</v>
      </c>
      <c r="E1316" s="6" t="s">
        <v>23</v>
      </c>
      <c r="F1316" s="6" t="n">
        <v>1</v>
      </c>
      <c r="G1316" s="10" t="n">
        <v>441</v>
      </c>
      <c r="H1316" s="10" t="n">
        <f aca="false">F1316*G1316</f>
        <v>441</v>
      </c>
      <c r="I1316" s="6" t="s">
        <v>5148</v>
      </c>
    </row>
    <row r="1317" customFormat="false" ht="15" hidden="false" customHeight="false" outlineLevel="0" collapsed="false">
      <c r="A1317" s="6" t="s">
        <v>6538</v>
      </c>
      <c r="B1317" s="6" t="s">
        <v>3459</v>
      </c>
      <c r="C1317" s="26" t="n">
        <v>46070</v>
      </c>
      <c r="D1317" s="6" t="s">
        <v>5273</v>
      </c>
      <c r="E1317" s="6" t="s">
        <v>23</v>
      </c>
      <c r="F1317" s="6" t="n">
        <v>2</v>
      </c>
      <c r="G1317" s="10" t="n">
        <v>240</v>
      </c>
      <c r="H1317" s="10" t="n">
        <f aca="false">F1317*G1317</f>
        <v>480</v>
      </c>
      <c r="I1317" s="6" t="s">
        <v>5148</v>
      </c>
    </row>
    <row r="1318" customFormat="false" ht="15" hidden="false" customHeight="false" outlineLevel="0" collapsed="false">
      <c r="A1318" s="6" t="s">
        <v>6539</v>
      </c>
      <c r="B1318" s="6" t="s">
        <v>627</v>
      </c>
      <c r="C1318" s="26" t="n">
        <v>46070</v>
      </c>
      <c r="D1318" s="6" t="s">
        <v>5129</v>
      </c>
      <c r="E1318" s="6" t="s">
        <v>21</v>
      </c>
      <c r="F1318" s="6" t="n">
        <v>2</v>
      </c>
      <c r="G1318" s="10" t="n">
        <v>559</v>
      </c>
      <c r="H1318" s="10" t="n">
        <f aca="false">F1318*G1318</f>
        <v>1118</v>
      </c>
      <c r="I1318" s="6" t="s">
        <v>5133</v>
      </c>
    </row>
    <row r="1319" customFormat="false" ht="15" hidden="false" customHeight="false" outlineLevel="0" collapsed="false">
      <c r="A1319" s="6" t="s">
        <v>6540</v>
      </c>
      <c r="B1319" s="6" t="s">
        <v>396</v>
      </c>
      <c r="C1319" s="26" t="n">
        <v>46070</v>
      </c>
      <c r="D1319" s="6" t="s">
        <v>5460</v>
      </c>
      <c r="E1319" s="6" t="s">
        <v>24</v>
      </c>
      <c r="F1319" s="6" t="n">
        <v>1</v>
      </c>
      <c r="G1319" s="10" t="n">
        <v>555</v>
      </c>
      <c r="H1319" s="10" t="n">
        <f aca="false">F1319*G1319</f>
        <v>555</v>
      </c>
      <c r="I1319" s="6" t="s">
        <v>5130</v>
      </c>
    </row>
    <row r="1320" customFormat="false" ht="15" hidden="false" customHeight="false" outlineLevel="0" collapsed="false">
      <c r="A1320" s="6" t="s">
        <v>6541</v>
      </c>
      <c r="B1320" s="6" t="s">
        <v>1245</v>
      </c>
      <c r="C1320" s="26" t="n">
        <v>46070</v>
      </c>
      <c r="D1320" s="6" t="s">
        <v>5298</v>
      </c>
      <c r="E1320" s="6" t="s">
        <v>23</v>
      </c>
      <c r="F1320" s="6" t="n">
        <v>3</v>
      </c>
      <c r="G1320" s="10" t="n">
        <v>293</v>
      </c>
      <c r="H1320" s="10" t="n">
        <f aca="false">F1320*G1320</f>
        <v>879</v>
      </c>
      <c r="I1320" s="6" t="s">
        <v>5130</v>
      </c>
    </row>
    <row r="1321" customFormat="false" ht="15" hidden="false" customHeight="false" outlineLevel="0" collapsed="false">
      <c r="A1321" s="6" t="s">
        <v>6542</v>
      </c>
      <c r="B1321" s="6" t="s">
        <v>3219</v>
      </c>
      <c r="C1321" s="26" t="n">
        <v>46070</v>
      </c>
      <c r="D1321" s="6" t="s">
        <v>5121</v>
      </c>
      <c r="E1321" s="6" t="s">
        <v>22</v>
      </c>
      <c r="F1321" s="6" t="n">
        <v>2</v>
      </c>
      <c r="G1321" s="10" t="n">
        <v>880</v>
      </c>
      <c r="H1321" s="10" t="n">
        <f aca="false">F1321*G1321</f>
        <v>1760</v>
      </c>
      <c r="I1321" s="6" t="s">
        <v>5148</v>
      </c>
    </row>
    <row r="1322" customFormat="false" ht="15" hidden="false" customHeight="false" outlineLevel="0" collapsed="false">
      <c r="A1322" s="6" t="s">
        <v>6543</v>
      </c>
      <c r="B1322" s="6" t="s">
        <v>1015</v>
      </c>
      <c r="C1322" s="26" t="n">
        <v>46070</v>
      </c>
      <c r="D1322" s="6" t="s">
        <v>5357</v>
      </c>
      <c r="E1322" s="6" t="s">
        <v>23</v>
      </c>
      <c r="F1322" s="6" t="n">
        <v>3</v>
      </c>
      <c r="G1322" s="10" t="n">
        <v>481</v>
      </c>
      <c r="H1322" s="10" t="n">
        <f aca="false">F1322*G1322</f>
        <v>1443</v>
      </c>
      <c r="I1322" s="6" t="s">
        <v>5122</v>
      </c>
    </row>
    <row r="1323" customFormat="false" ht="15" hidden="false" customHeight="false" outlineLevel="0" collapsed="false">
      <c r="A1323" s="6" t="s">
        <v>6544</v>
      </c>
      <c r="B1323" s="6" t="s">
        <v>3667</v>
      </c>
      <c r="C1323" s="26" t="n">
        <v>46070</v>
      </c>
      <c r="D1323" s="6" t="s">
        <v>5410</v>
      </c>
      <c r="E1323" s="6" t="s">
        <v>20</v>
      </c>
      <c r="F1323" s="6" t="n">
        <v>1</v>
      </c>
      <c r="G1323" s="10" t="n">
        <v>2548</v>
      </c>
      <c r="H1323" s="10" t="n">
        <f aca="false">F1323*G1323</f>
        <v>2548</v>
      </c>
      <c r="I1323" s="6" t="s">
        <v>5148</v>
      </c>
    </row>
    <row r="1324" customFormat="false" ht="15" hidden="false" customHeight="false" outlineLevel="0" collapsed="false">
      <c r="A1324" s="6" t="s">
        <v>6545</v>
      </c>
      <c r="B1324" s="6" t="s">
        <v>2421</v>
      </c>
      <c r="C1324" s="26" t="n">
        <v>46071</v>
      </c>
      <c r="D1324" s="6" t="s">
        <v>5132</v>
      </c>
      <c r="E1324" s="6" t="s">
        <v>23</v>
      </c>
      <c r="F1324" s="6" t="n">
        <v>1</v>
      </c>
      <c r="G1324" s="10" t="n">
        <v>308</v>
      </c>
      <c r="H1324" s="10" t="n">
        <f aca="false">F1324*G1324</f>
        <v>308</v>
      </c>
      <c r="I1324" s="6" t="s">
        <v>5130</v>
      </c>
    </row>
    <row r="1325" customFormat="false" ht="15" hidden="false" customHeight="false" outlineLevel="0" collapsed="false">
      <c r="A1325" s="6" t="s">
        <v>6546</v>
      </c>
      <c r="B1325" s="6" t="s">
        <v>3131</v>
      </c>
      <c r="C1325" s="26" t="n">
        <v>46071</v>
      </c>
      <c r="D1325" s="6" t="s">
        <v>5190</v>
      </c>
      <c r="E1325" s="6" t="s">
        <v>24</v>
      </c>
      <c r="F1325" s="6" t="n">
        <v>3</v>
      </c>
      <c r="G1325" s="10" t="n">
        <v>610</v>
      </c>
      <c r="H1325" s="10" t="n">
        <f aca="false">F1325*G1325</f>
        <v>1830</v>
      </c>
      <c r="I1325" s="6" t="s">
        <v>5122</v>
      </c>
    </row>
    <row r="1326" customFormat="false" ht="15" hidden="false" customHeight="false" outlineLevel="0" collapsed="false">
      <c r="A1326" s="6" t="s">
        <v>6547</v>
      </c>
      <c r="B1326" s="6" t="s">
        <v>533</v>
      </c>
      <c r="C1326" s="26" t="n">
        <v>46071</v>
      </c>
      <c r="D1326" s="6" t="s">
        <v>5167</v>
      </c>
      <c r="E1326" s="6" t="s">
        <v>22</v>
      </c>
      <c r="F1326" s="6" t="n">
        <v>2</v>
      </c>
      <c r="G1326" s="10" t="n">
        <v>782</v>
      </c>
      <c r="H1326" s="10" t="n">
        <f aca="false">F1326*G1326</f>
        <v>1564</v>
      </c>
      <c r="I1326" s="6" t="s">
        <v>5125</v>
      </c>
    </row>
    <row r="1327" customFormat="false" ht="15" hidden="false" customHeight="false" outlineLevel="0" collapsed="false">
      <c r="A1327" s="6" t="s">
        <v>6548</v>
      </c>
      <c r="B1327" s="6" t="s">
        <v>2847</v>
      </c>
      <c r="C1327" s="26" t="n">
        <v>46071</v>
      </c>
      <c r="D1327" s="6" t="s">
        <v>5242</v>
      </c>
      <c r="E1327" s="6" t="s">
        <v>23</v>
      </c>
      <c r="F1327" s="6" t="n">
        <v>3</v>
      </c>
      <c r="G1327" s="10" t="n">
        <v>372</v>
      </c>
      <c r="H1327" s="10" t="n">
        <f aca="false">F1327*G1327</f>
        <v>1116</v>
      </c>
      <c r="I1327" s="6" t="s">
        <v>5122</v>
      </c>
    </row>
    <row r="1328" customFormat="false" ht="15" hidden="false" customHeight="false" outlineLevel="0" collapsed="false">
      <c r="A1328" s="6" t="s">
        <v>6549</v>
      </c>
      <c r="B1328" s="6" t="s">
        <v>2431</v>
      </c>
      <c r="C1328" s="26" t="n">
        <v>46071</v>
      </c>
      <c r="D1328" s="6" t="s">
        <v>5171</v>
      </c>
      <c r="E1328" s="6" t="s">
        <v>23</v>
      </c>
      <c r="F1328" s="6" t="n">
        <v>4</v>
      </c>
      <c r="G1328" s="10" t="n">
        <v>697</v>
      </c>
      <c r="H1328" s="10" t="n">
        <f aca="false">F1328*G1328</f>
        <v>2788</v>
      </c>
      <c r="I1328" s="6" t="s">
        <v>5122</v>
      </c>
    </row>
    <row r="1329" customFormat="false" ht="15" hidden="false" customHeight="false" outlineLevel="0" collapsed="false">
      <c r="A1329" s="6" t="s">
        <v>6550</v>
      </c>
      <c r="B1329" s="6" t="s">
        <v>1163</v>
      </c>
      <c r="C1329" s="26" t="n">
        <v>46071</v>
      </c>
      <c r="D1329" s="6" t="s">
        <v>5197</v>
      </c>
      <c r="E1329" s="6" t="s">
        <v>21</v>
      </c>
      <c r="F1329" s="6" t="n">
        <v>2</v>
      </c>
      <c r="G1329" s="10" t="n">
        <v>972</v>
      </c>
      <c r="H1329" s="10" t="n">
        <f aca="false">F1329*G1329</f>
        <v>1944</v>
      </c>
      <c r="I1329" s="6" t="s">
        <v>5148</v>
      </c>
    </row>
    <row r="1330" customFormat="false" ht="15" hidden="false" customHeight="false" outlineLevel="0" collapsed="false">
      <c r="A1330" s="6" t="s">
        <v>6551</v>
      </c>
      <c r="B1330" s="6" t="s">
        <v>4323</v>
      </c>
      <c r="C1330" s="26" t="n">
        <v>46071</v>
      </c>
      <c r="D1330" s="6" t="s">
        <v>5143</v>
      </c>
      <c r="E1330" s="6" t="s">
        <v>21</v>
      </c>
      <c r="F1330" s="6" t="n">
        <v>1</v>
      </c>
      <c r="G1330" s="10" t="n">
        <v>1120</v>
      </c>
      <c r="H1330" s="10" t="n">
        <f aca="false">F1330*G1330</f>
        <v>1120</v>
      </c>
      <c r="I1330" s="6" t="s">
        <v>5130</v>
      </c>
    </row>
    <row r="1331" customFormat="false" ht="15" hidden="false" customHeight="false" outlineLevel="0" collapsed="false">
      <c r="A1331" s="6" t="s">
        <v>6552</v>
      </c>
      <c r="B1331" s="6" t="s">
        <v>3277</v>
      </c>
      <c r="C1331" s="26" t="n">
        <v>46071</v>
      </c>
      <c r="D1331" s="6" t="s">
        <v>5313</v>
      </c>
      <c r="E1331" s="6" t="s">
        <v>22</v>
      </c>
      <c r="F1331" s="6" t="n">
        <v>2</v>
      </c>
      <c r="G1331" s="10" t="n">
        <v>1760</v>
      </c>
      <c r="H1331" s="10" t="n">
        <f aca="false">F1331*G1331</f>
        <v>3520</v>
      </c>
      <c r="I1331" s="6" t="s">
        <v>5122</v>
      </c>
    </row>
    <row r="1332" customFormat="false" ht="15" hidden="false" customHeight="false" outlineLevel="0" collapsed="false">
      <c r="A1332" s="6" t="s">
        <v>6553</v>
      </c>
      <c r="B1332" s="6" t="s">
        <v>4017</v>
      </c>
      <c r="C1332" s="26" t="n">
        <v>46071</v>
      </c>
      <c r="D1332" s="6" t="s">
        <v>5160</v>
      </c>
      <c r="E1332" s="6" t="s">
        <v>21</v>
      </c>
      <c r="F1332" s="6" t="n">
        <v>1</v>
      </c>
      <c r="G1332" s="10" t="n">
        <v>2751</v>
      </c>
      <c r="H1332" s="10" t="n">
        <f aca="false">F1332*G1332</f>
        <v>2751</v>
      </c>
      <c r="I1332" s="6" t="s">
        <v>5122</v>
      </c>
    </row>
    <row r="1333" customFormat="false" ht="15" hidden="false" customHeight="false" outlineLevel="0" collapsed="false">
      <c r="A1333" s="6" t="s">
        <v>6554</v>
      </c>
      <c r="B1333" s="6" t="s">
        <v>3957</v>
      </c>
      <c r="C1333" s="26" t="n">
        <v>46071</v>
      </c>
      <c r="D1333" s="6" t="s">
        <v>5143</v>
      </c>
      <c r="E1333" s="6" t="s">
        <v>21</v>
      </c>
      <c r="F1333" s="6" t="n">
        <v>1</v>
      </c>
      <c r="G1333" s="10" t="n">
        <v>1120</v>
      </c>
      <c r="H1333" s="10" t="n">
        <f aca="false">F1333*G1333</f>
        <v>1120</v>
      </c>
      <c r="I1333" s="6" t="s">
        <v>5125</v>
      </c>
    </row>
    <row r="1334" customFormat="false" ht="15" hidden="false" customHeight="false" outlineLevel="0" collapsed="false">
      <c r="A1334" s="6" t="s">
        <v>6555</v>
      </c>
      <c r="B1334" s="6" t="s">
        <v>4891</v>
      </c>
      <c r="C1334" s="26" t="n">
        <v>46071</v>
      </c>
      <c r="D1334" s="6" t="s">
        <v>5326</v>
      </c>
      <c r="E1334" s="6" t="s">
        <v>22</v>
      </c>
      <c r="F1334" s="6" t="n">
        <v>1</v>
      </c>
      <c r="G1334" s="10" t="n">
        <v>1466</v>
      </c>
      <c r="H1334" s="10" t="n">
        <f aca="false">F1334*G1334</f>
        <v>1466</v>
      </c>
      <c r="I1334" s="6" t="s">
        <v>5122</v>
      </c>
    </row>
    <row r="1335" customFormat="false" ht="15" hidden="false" customHeight="false" outlineLevel="0" collapsed="false">
      <c r="A1335" s="6" t="s">
        <v>6556</v>
      </c>
      <c r="B1335" s="6" t="s">
        <v>1085</v>
      </c>
      <c r="C1335" s="26" t="n">
        <v>46071</v>
      </c>
      <c r="D1335" s="6" t="s">
        <v>6557</v>
      </c>
      <c r="E1335" s="6" t="s">
        <v>22</v>
      </c>
      <c r="F1335" s="6" t="n">
        <v>2</v>
      </c>
      <c r="G1335" s="10" t="n">
        <v>5868</v>
      </c>
      <c r="H1335" s="10" t="n">
        <f aca="false">F1335*G1335</f>
        <v>11736</v>
      </c>
      <c r="I1335" s="6" t="s">
        <v>5122</v>
      </c>
    </row>
    <row r="1336" customFormat="false" ht="15" hidden="false" customHeight="false" outlineLevel="0" collapsed="false">
      <c r="A1336" s="6" t="s">
        <v>6558</v>
      </c>
      <c r="B1336" s="6" t="s">
        <v>4915</v>
      </c>
      <c r="C1336" s="26" t="n">
        <v>46071</v>
      </c>
      <c r="D1336" s="6" t="s">
        <v>5165</v>
      </c>
      <c r="E1336" s="6" t="s">
        <v>22</v>
      </c>
      <c r="F1336" s="6" t="n">
        <v>1</v>
      </c>
      <c r="G1336" s="10" t="n">
        <v>977</v>
      </c>
      <c r="H1336" s="10" t="n">
        <f aca="false">F1336*G1336</f>
        <v>977</v>
      </c>
      <c r="I1336" s="6" t="s">
        <v>5148</v>
      </c>
    </row>
    <row r="1337" customFormat="false" ht="15" hidden="false" customHeight="false" outlineLevel="0" collapsed="false">
      <c r="A1337" s="6" t="s">
        <v>6559</v>
      </c>
      <c r="B1337" s="6" t="s">
        <v>4245</v>
      </c>
      <c r="C1337" s="26" t="n">
        <v>46071</v>
      </c>
      <c r="D1337" s="6" t="s">
        <v>5121</v>
      </c>
      <c r="E1337" s="6" t="s">
        <v>22</v>
      </c>
      <c r="F1337" s="6" t="n">
        <v>1</v>
      </c>
      <c r="G1337" s="10" t="n">
        <v>977</v>
      </c>
      <c r="H1337" s="10" t="n">
        <f aca="false">F1337*G1337</f>
        <v>977</v>
      </c>
      <c r="I1337" s="6" t="s">
        <v>5148</v>
      </c>
    </row>
    <row r="1338" customFormat="false" ht="15" hidden="false" customHeight="false" outlineLevel="0" collapsed="false">
      <c r="A1338" s="6" t="s">
        <v>6560</v>
      </c>
      <c r="B1338" s="6" t="s">
        <v>1701</v>
      </c>
      <c r="C1338" s="26" t="n">
        <v>46071</v>
      </c>
      <c r="D1338" s="6" t="s">
        <v>5410</v>
      </c>
      <c r="E1338" s="6" t="s">
        <v>20</v>
      </c>
      <c r="F1338" s="6" t="n">
        <v>1</v>
      </c>
      <c r="G1338" s="10" t="n">
        <v>2421</v>
      </c>
      <c r="H1338" s="10" t="n">
        <f aca="false">F1338*G1338</f>
        <v>2421</v>
      </c>
      <c r="I1338" s="6" t="s">
        <v>5130</v>
      </c>
    </row>
    <row r="1339" customFormat="false" ht="15" hidden="false" customHeight="false" outlineLevel="0" collapsed="false">
      <c r="A1339" s="6" t="s">
        <v>6561</v>
      </c>
      <c r="B1339" s="6" t="s">
        <v>5097</v>
      </c>
      <c r="C1339" s="26" t="n">
        <v>46071</v>
      </c>
      <c r="D1339" s="6" t="s">
        <v>5460</v>
      </c>
      <c r="E1339" s="6" t="s">
        <v>24</v>
      </c>
      <c r="F1339" s="6" t="n">
        <v>2</v>
      </c>
      <c r="G1339" s="10" t="n">
        <v>555</v>
      </c>
      <c r="H1339" s="10" t="n">
        <f aca="false">F1339*G1339</f>
        <v>1110</v>
      </c>
      <c r="I1339" s="6" t="s">
        <v>5122</v>
      </c>
    </row>
    <row r="1340" customFormat="false" ht="15" hidden="false" customHeight="false" outlineLevel="0" collapsed="false">
      <c r="A1340" s="6" t="s">
        <v>6562</v>
      </c>
      <c r="B1340" s="6" t="s">
        <v>1729</v>
      </c>
      <c r="C1340" s="26" t="n">
        <v>46071</v>
      </c>
      <c r="D1340" s="6" t="s">
        <v>5167</v>
      </c>
      <c r="E1340" s="6" t="s">
        <v>22</v>
      </c>
      <c r="F1340" s="6" t="n">
        <v>1</v>
      </c>
      <c r="G1340" s="10" t="n">
        <v>703</v>
      </c>
      <c r="H1340" s="10" t="n">
        <f aca="false">F1340*G1340</f>
        <v>703</v>
      </c>
      <c r="I1340" s="6" t="s">
        <v>5130</v>
      </c>
    </row>
    <row r="1341" customFormat="false" ht="15" hidden="false" customHeight="false" outlineLevel="0" collapsed="false">
      <c r="A1341" s="6" t="s">
        <v>6563</v>
      </c>
      <c r="B1341" s="6" t="s">
        <v>1571</v>
      </c>
      <c r="C1341" s="26" t="n">
        <v>46071</v>
      </c>
      <c r="D1341" s="6" t="s">
        <v>5277</v>
      </c>
      <c r="E1341" s="6" t="s">
        <v>22</v>
      </c>
      <c r="F1341" s="6" t="n">
        <v>1</v>
      </c>
      <c r="G1341" s="10" t="n">
        <v>2738</v>
      </c>
      <c r="H1341" s="10" t="n">
        <f aca="false">F1341*G1341</f>
        <v>2738</v>
      </c>
      <c r="I1341" s="6" t="s">
        <v>5173</v>
      </c>
    </row>
    <row r="1342" customFormat="false" ht="15" hidden="false" customHeight="false" outlineLevel="0" collapsed="false">
      <c r="A1342" s="6" t="s">
        <v>6564</v>
      </c>
      <c r="B1342" s="6" t="s">
        <v>3035</v>
      </c>
      <c r="C1342" s="26" t="n">
        <v>46071</v>
      </c>
      <c r="D1342" s="6" t="s">
        <v>5145</v>
      </c>
      <c r="E1342" s="6" t="s">
        <v>21</v>
      </c>
      <c r="F1342" s="6" t="n">
        <v>3</v>
      </c>
      <c r="G1342" s="10" t="n">
        <v>1277</v>
      </c>
      <c r="H1342" s="10" t="n">
        <f aca="false">F1342*G1342</f>
        <v>3831</v>
      </c>
      <c r="I1342" s="6" t="s">
        <v>5130</v>
      </c>
    </row>
    <row r="1343" customFormat="false" ht="15" hidden="false" customHeight="false" outlineLevel="0" collapsed="false">
      <c r="A1343" s="6" t="s">
        <v>6565</v>
      </c>
      <c r="B1343" s="6" t="s">
        <v>3275</v>
      </c>
      <c r="C1343" s="26" t="n">
        <v>46071</v>
      </c>
      <c r="D1343" s="6" t="s">
        <v>5691</v>
      </c>
      <c r="E1343" s="6" t="s">
        <v>21</v>
      </c>
      <c r="F1343" s="6" t="n">
        <v>1</v>
      </c>
      <c r="G1343" s="10" t="n">
        <v>5897</v>
      </c>
      <c r="H1343" s="10" t="n">
        <f aca="false">F1343*G1343</f>
        <v>5897</v>
      </c>
      <c r="I1343" s="6" t="s">
        <v>5122</v>
      </c>
    </row>
    <row r="1344" customFormat="false" ht="15" hidden="false" customHeight="false" outlineLevel="0" collapsed="false">
      <c r="A1344" s="6" t="s">
        <v>6566</v>
      </c>
      <c r="B1344" s="6" t="s">
        <v>599</v>
      </c>
      <c r="C1344" s="26" t="n">
        <v>46071</v>
      </c>
      <c r="D1344" s="6" t="s">
        <v>5129</v>
      </c>
      <c r="E1344" s="6" t="s">
        <v>21</v>
      </c>
      <c r="F1344" s="6" t="n">
        <v>1</v>
      </c>
      <c r="G1344" s="10" t="n">
        <v>589</v>
      </c>
      <c r="H1344" s="10" t="n">
        <f aca="false">F1344*G1344</f>
        <v>589</v>
      </c>
      <c r="I1344" s="6" t="s">
        <v>5122</v>
      </c>
    </row>
    <row r="1345" customFormat="false" ht="15" hidden="false" customHeight="false" outlineLevel="0" collapsed="false">
      <c r="A1345" s="6" t="s">
        <v>6567</v>
      </c>
      <c r="B1345" s="6" t="s">
        <v>3799</v>
      </c>
      <c r="C1345" s="26" t="n">
        <v>46071</v>
      </c>
      <c r="D1345" s="6" t="s">
        <v>5192</v>
      </c>
      <c r="E1345" s="6" t="s">
        <v>20</v>
      </c>
      <c r="F1345" s="6" t="n">
        <v>1</v>
      </c>
      <c r="G1345" s="10" t="n">
        <v>4078</v>
      </c>
      <c r="H1345" s="10" t="n">
        <f aca="false">F1345*G1345</f>
        <v>4078</v>
      </c>
      <c r="I1345" s="6" t="s">
        <v>5130</v>
      </c>
    </row>
    <row r="1346" customFormat="false" ht="15" hidden="false" customHeight="false" outlineLevel="0" collapsed="false">
      <c r="A1346" s="6" t="s">
        <v>6568</v>
      </c>
      <c r="B1346" s="6" t="s">
        <v>1655</v>
      </c>
      <c r="C1346" s="26" t="n">
        <v>46071</v>
      </c>
      <c r="D1346" s="6" t="s">
        <v>5200</v>
      </c>
      <c r="E1346" s="6" t="s">
        <v>24</v>
      </c>
      <c r="F1346" s="6" t="n">
        <v>1</v>
      </c>
      <c r="G1346" s="10" t="n">
        <v>763</v>
      </c>
      <c r="H1346" s="10" t="n">
        <f aca="false">F1346*G1346</f>
        <v>763</v>
      </c>
      <c r="I1346" s="6" t="s">
        <v>5125</v>
      </c>
    </row>
    <row r="1347" customFormat="false" ht="15" hidden="false" customHeight="false" outlineLevel="0" collapsed="false">
      <c r="A1347" s="6" t="s">
        <v>6569</v>
      </c>
      <c r="B1347" s="6" t="s">
        <v>1823</v>
      </c>
      <c r="C1347" s="26" t="n">
        <v>46071</v>
      </c>
      <c r="D1347" s="6" t="s">
        <v>5269</v>
      </c>
      <c r="E1347" s="6" t="s">
        <v>22</v>
      </c>
      <c r="F1347" s="6" t="n">
        <v>4</v>
      </c>
      <c r="G1347" s="10" t="n">
        <v>1207</v>
      </c>
      <c r="H1347" s="10" t="n">
        <f aca="false">F1347*G1347</f>
        <v>4828</v>
      </c>
      <c r="I1347" s="6" t="s">
        <v>5125</v>
      </c>
    </row>
    <row r="1348" customFormat="false" ht="15" hidden="false" customHeight="false" outlineLevel="0" collapsed="false">
      <c r="A1348" s="6" t="s">
        <v>6570</v>
      </c>
      <c r="B1348" s="6" t="s">
        <v>319</v>
      </c>
      <c r="C1348" s="26" t="n">
        <v>46071</v>
      </c>
      <c r="D1348" s="6" t="s">
        <v>5200</v>
      </c>
      <c r="E1348" s="6" t="s">
        <v>24</v>
      </c>
      <c r="F1348" s="6" t="n">
        <v>1</v>
      </c>
      <c r="G1348" s="10" t="n">
        <v>763</v>
      </c>
      <c r="H1348" s="10" t="n">
        <f aca="false">F1348*G1348</f>
        <v>763</v>
      </c>
      <c r="I1348" s="6" t="s">
        <v>5148</v>
      </c>
    </row>
    <row r="1349" customFormat="false" ht="15" hidden="false" customHeight="false" outlineLevel="0" collapsed="false">
      <c r="A1349" s="6" t="s">
        <v>6571</v>
      </c>
      <c r="B1349" s="6" t="s">
        <v>3753</v>
      </c>
      <c r="C1349" s="26" t="n">
        <v>46071</v>
      </c>
      <c r="D1349" s="6" t="s">
        <v>5121</v>
      </c>
      <c r="E1349" s="6" t="s">
        <v>22</v>
      </c>
      <c r="F1349" s="6" t="n">
        <v>2</v>
      </c>
      <c r="G1349" s="10" t="n">
        <v>977</v>
      </c>
      <c r="H1349" s="10" t="n">
        <f aca="false">F1349*G1349</f>
        <v>1954</v>
      </c>
      <c r="I1349" s="6" t="s">
        <v>5122</v>
      </c>
    </row>
    <row r="1350" customFormat="false" ht="15" hidden="false" customHeight="false" outlineLevel="0" collapsed="false">
      <c r="A1350" s="6" t="s">
        <v>6572</v>
      </c>
      <c r="B1350" s="6" t="s">
        <v>525</v>
      </c>
      <c r="C1350" s="26" t="n">
        <v>46071</v>
      </c>
      <c r="D1350" s="6" t="s">
        <v>5357</v>
      </c>
      <c r="E1350" s="6" t="s">
        <v>23</v>
      </c>
      <c r="F1350" s="6" t="n">
        <v>1</v>
      </c>
      <c r="G1350" s="10" t="n">
        <v>506</v>
      </c>
      <c r="H1350" s="10" t="n">
        <f aca="false">F1350*G1350</f>
        <v>506</v>
      </c>
      <c r="I1350" s="6" t="s">
        <v>5148</v>
      </c>
    </row>
    <row r="1351" customFormat="false" ht="15" hidden="false" customHeight="false" outlineLevel="0" collapsed="false">
      <c r="A1351" s="6" t="s">
        <v>6573</v>
      </c>
      <c r="B1351" s="6" t="s">
        <v>1807</v>
      </c>
      <c r="C1351" s="26" t="n">
        <v>46072</v>
      </c>
      <c r="D1351" s="6" t="s">
        <v>5132</v>
      </c>
      <c r="E1351" s="6" t="s">
        <v>23</v>
      </c>
      <c r="F1351" s="6" t="n">
        <v>3</v>
      </c>
      <c r="G1351" s="10" t="n">
        <v>342</v>
      </c>
      <c r="H1351" s="10" t="n">
        <f aca="false">F1351*G1351</f>
        <v>1026</v>
      </c>
      <c r="I1351" s="6" t="s">
        <v>5148</v>
      </c>
    </row>
    <row r="1352" customFormat="false" ht="15" hidden="false" customHeight="false" outlineLevel="0" collapsed="false">
      <c r="A1352" s="6" t="s">
        <v>6574</v>
      </c>
      <c r="B1352" s="6" t="s">
        <v>4909</v>
      </c>
      <c r="C1352" s="26" t="n">
        <v>46072</v>
      </c>
      <c r="D1352" s="6" t="s">
        <v>5129</v>
      </c>
      <c r="E1352" s="6" t="s">
        <v>21</v>
      </c>
      <c r="F1352" s="6" t="n">
        <v>1</v>
      </c>
      <c r="G1352" s="10" t="n">
        <v>530</v>
      </c>
      <c r="H1352" s="10" t="n">
        <f aca="false">F1352*G1352</f>
        <v>530</v>
      </c>
      <c r="I1352" s="6" t="s">
        <v>5125</v>
      </c>
    </row>
    <row r="1353" customFormat="false" ht="15" hidden="false" customHeight="false" outlineLevel="0" collapsed="false">
      <c r="A1353" s="6" t="s">
        <v>6575</v>
      </c>
      <c r="B1353" s="6" t="s">
        <v>1013</v>
      </c>
      <c r="C1353" s="26" t="n">
        <v>46072</v>
      </c>
      <c r="D1353" s="6" t="s">
        <v>5121</v>
      </c>
      <c r="E1353" s="6" t="s">
        <v>22</v>
      </c>
      <c r="F1353" s="6" t="n">
        <v>2</v>
      </c>
      <c r="G1353" s="10" t="n">
        <v>977</v>
      </c>
      <c r="H1353" s="10" t="n">
        <f aca="false">F1353*G1353</f>
        <v>1954</v>
      </c>
      <c r="I1353" s="6" t="s">
        <v>5148</v>
      </c>
    </row>
    <row r="1354" customFormat="false" ht="15" hidden="false" customHeight="false" outlineLevel="0" collapsed="false">
      <c r="A1354" s="6" t="s">
        <v>6576</v>
      </c>
      <c r="B1354" s="6" t="s">
        <v>717</v>
      </c>
      <c r="C1354" s="26" t="n">
        <v>46072</v>
      </c>
      <c r="D1354" s="6" t="s">
        <v>5269</v>
      </c>
      <c r="E1354" s="6" t="s">
        <v>22</v>
      </c>
      <c r="F1354" s="6" t="n">
        <v>2</v>
      </c>
      <c r="G1354" s="10" t="n">
        <v>1144</v>
      </c>
      <c r="H1354" s="10" t="n">
        <f aca="false">F1354*G1354</f>
        <v>2288</v>
      </c>
      <c r="I1354" s="6" t="s">
        <v>5122</v>
      </c>
    </row>
    <row r="1355" customFormat="false" ht="15" hidden="false" customHeight="false" outlineLevel="0" collapsed="false">
      <c r="A1355" s="6" t="s">
        <v>6577</v>
      </c>
      <c r="B1355" s="6" t="s">
        <v>1107</v>
      </c>
      <c r="C1355" s="26" t="n">
        <v>46072</v>
      </c>
      <c r="D1355" s="6" t="s">
        <v>5137</v>
      </c>
      <c r="E1355" s="6" t="s">
        <v>21</v>
      </c>
      <c r="F1355" s="6" t="n">
        <v>1</v>
      </c>
      <c r="G1355" s="10" t="n">
        <v>1680</v>
      </c>
      <c r="H1355" s="10" t="n">
        <f aca="false">F1355*G1355</f>
        <v>1680</v>
      </c>
      <c r="I1355" s="6" t="s">
        <v>5122</v>
      </c>
    </row>
    <row r="1356" customFormat="false" ht="15" hidden="false" customHeight="false" outlineLevel="0" collapsed="false">
      <c r="A1356" s="6" t="s">
        <v>6578</v>
      </c>
      <c r="B1356" s="6" t="s">
        <v>2357</v>
      </c>
      <c r="C1356" s="26" t="n">
        <v>46072</v>
      </c>
      <c r="D1356" s="6" t="s">
        <v>5163</v>
      </c>
      <c r="E1356" s="6" t="s">
        <v>23</v>
      </c>
      <c r="F1356" s="6" t="n">
        <v>1</v>
      </c>
      <c r="G1356" s="10" t="n">
        <v>783</v>
      </c>
      <c r="H1356" s="10" t="n">
        <f aca="false">F1356*G1356</f>
        <v>783</v>
      </c>
      <c r="I1356" s="6" t="s">
        <v>5148</v>
      </c>
    </row>
    <row r="1357" customFormat="false" ht="15" hidden="false" customHeight="false" outlineLevel="0" collapsed="false">
      <c r="A1357" s="6" t="s">
        <v>6579</v>
      </c>
      <c r="B1357" s="6" t="s">
        <v>4433</v>
      </c>
      <c r="C1357" s="26" t="n">
        <v>46072</v>
      </c>
      <c r="D1357" s="6" t="s">
        <v>5165</v>
      </c>
      <c r="E1357" s="6" t="s">
        <v>22</v>
      </c>
      <c r="F1357" s="6" t="n">
        <v>1</v>
      </c>
      <c r="G1357" s="10" t="n">
        <v>880</v>
      </c>
      <c r="H1357" s="10" t="n">
        <f aca="false">F1357*G1357</f>
        <v>880</v>
      </c>
      <c r="I1357" s="6" t="s">
        <v>5148</v>
      </c>
    </row>
    <row r="1358" customFormat="false" ht="15" hidden="false" customHeight="false" outlineLevel="0" collapsed="false">
      <c r="A1358" s="6" t="s">
        <v>6580</v>
      </c>
      <c r="B1358" s="6" t="s">
        <v>2869</v>
      </c>
      <c r="C1358" s="26" t="n">
        <v>46072</v>
      </c>
      <c r="D1358" s="6" t="s">
        <v>5135</v>
      </c>
      <c r="E1358" s="6" t="s">
        <v>23</v>
      </c>
      <c r="F1358" s="6" t="n">
        <v>4</v>
      </c>
      <c r="G1358" s="10" t="n">
        <v>441</v>
      </c>
      <c r="H1358" s="10" t="n">
        <f aca="false">F1358*G1358</f>
        <v>1764</v>
      </c>
      <c r="I1358" s="6" t="s">
        <v>5148</v>
      </c>
    </row>
    <row r="1359" customFormat="false" ht="15" hidden="false" customHeight="false" outlineLevel="0" collapsed="false">
      <c r="A1359" s="6" t="s">
        <v>6581</v>
      </c>
      <c r="B1359" s="6" t="s">
        <v>2637</v>
      </c>
      <c r="C1359" s="26" t="n">
        <v>46072</v>
      </c>
      <c r="D1359" s="6" t="s">
        <v>5167</v>
      </c>
      <c r="E1359" s="6" t="s">
        <v>22</v>
      </c>
      <c r="F1359" s="6" t="n">
        <v>2</v>
      </c>
      <c r="G1359" s="10" t="n">
        <v>782</v>
      </c>
      <c r="H1359" s="10" t="n">
        <f aca="false">F1359*G1359</f>
        <v>1564</v>
      </c>
      <c r="I1359" s="6" t="s">
        <v>5148</v>
      </c>
    </row>
    <row r="1360" customFormat="false" ht="15" hidden="false" customHeight="false" outlineLevel="0" collapsed="false">
      <c r="A1360" s="6" t="s">
        <v>6582</v>
      </c>
      <c r="B1360" s="6" t="s">
        <v>2999</v>
      </c>
      <c r="C1360" s="26" t="n">
        <v>46072</v>
      </c>
      <c r="D1360" s="6" t="s">
        <v>5281</v>
      </c>
      <c r="E1360" s="6" t="s">
        <v>24</v>
      </c>
      <c r="F1360" s="6" t="n">
        <v>1</v>
      </c>
      <c r="G1360" s="10" t="n">
        <v>773</v>
      </c>
      <c r="H1360" s="10" t="n">
        <f aca="false">F1360*G1360</f>
        <v>773</v>
      </c>
      <c r="I1360" s="6" t="s">
        <v>5122</v>
      </c>
    </row>
    <row r="1361" customFormat="false" ht="15" hidden="false" customHeight="false" outlineLevel="0" collapsed="false">
      <c r="A1361" s="6" t="s">
        <v>6583</v>
      </c>
      <c r="B1361" s="6" t="s">
        <v>887</v>
      </c>
      <c r="C1361" s="26" t="n">
        <v>46072</v>
      </c>
      <c r="D1361" s="6" t="s">
        <v>5383</v>
      </c>
      <c r="E1361" s="6" t="s">
        <v>20</v>
      </c>
      <c r="F1361" s="6" t="n">
        <v>1</v>
      </c>
      <c r="G1361" s="10" t="n">
        <v>1121</v>
      </c>
      <c r="H1361" s="10" t="n">
        <f aca="false">F1361*G1361</f>
        <v>1121</v>
      </c>
      <c r="I1361" s="6" t="s">
        <v>5130</v>
      </c>
    </row>
    <row r="1362" customFormat="false" ht="15" hidden="false" customHeight="false" outlineLevel="0" collapsed="false">
      <c r="A1362" s="6" t="s">
        <v>6584</v>
      </c>
      <c r="B1362" s="6" t="s">
        <v>1777</v>
      </c>
      <c r="C1362" s="26" t="n">
        <v>46072</v>
      </c>
      <c r="D1362" s="6" t="s">
        <v>5190</v>
      </c>
      <c r="E1362" s="6" t="s">
        <v>24</v>
      </c>
      <c r="F1362" s="6" t="n">
        <v>2</v>
      </c>
      <c r="G1362" s="10" t="n">
        <v>580</v>
      </c>
      <c r="H1362" s="10" t="n">
        <f aca="false">F1362*G1362</f>
        <v>1160</v>
      </c>
      <c r="I1362" s="6" t="s">
        <v>5122</v>
      </c>
    </row>
    <row r="1363" customFormat="false" ht="15" hidden="false" customHeight="false" outlineLevel="0" collapsed="false">
      <c r="A1363" s="6" t="s">
        <v>6585</v>
      </c>
      <c r="B1363" s="6" t="s">
        <v>4951</v>
      </c>
      <c r="C1363" s="26" t="n">
        <v>46072</v>
      </c>
      <c r="D1363" s="6" t="s">
        <v>5216</v>
      </c>
      <c r="E1363" s="6" t="s">
        <v>23</v>
      </c>
      <c r="F1363" s="6" t="n">
        <v>1</v>
      </c>
      <c r="G1363" s="10" t="n">
        <v>587</v>
      </c>
      <c r="H1363" s="10" t="n">
        <f aca="false">F1363*G1363</f>
        <v>587</v>
      </c>
      <c r="I1363" s="6" t="s">
        <v>5148</v>
      </c>
    </row>
    <row r="1364" customFormat="false" ht="15" hidden="false" customHeight="false" outlineLevel="0" collapsed="false">
      <c r="A1364" s="6" t="s">
        <v>6586</v>
      </c>
      <c r="B1364" s="6" t="s">
        <v>2565</v>
      </c>
      <c r="C1364" s="26" t="n">
        <v>46072</v>
      </c>
      <c r="D1364" s="6" t="s">
        <v>5281</v>
      </c>
      <c r="E1364" s="6" t="s">
        <v>24</v>
      </c>
      <c r="F1364" s="6" t="n">
        <v>1</v>
      </c>
      <c r="G1364" s="10" t="n">
        <v>814</v>
      </c>
      <c r="H1364" s="10" t="n">
        <f aca="false">F1364*G1364</f>
        <v>814</v>
      </c>
      <c r="I1364" s="6" t="s">
        <v>5130</v>
      </c>
    </row>
    <row r="1365" customFormat="false" ht="15" hidden="false" customHeight="false" outlineLevel="0" collapsed="false">
      <c r="A1365" s="6" t="s">
        <v>6587</v>
      </c>
      <c r="B1365" s="6" t="s">
        <v>2643</v>
      </c>
      <c r="C1365" s="26" t="n">
        <v>46072</v>
      </c>
      <c r="D1365" s="6" t="s">
        <v>5167</v>
      </c>
      <c r="E1365" s="6" t="s">
        <v>22</v>
      </c>
      <c r="F1365" s="6" t="n">
        <v>1</v>
      </c>
      <c r="G1365" s="10" t="n">
        <v>703</v>
      </c>
      <c r="H1365" s="10" t="n">
        <f aca="false">F1365*G1365</f>
        <v>703</v>
      </c>
      <c r="I1365" s="6" t="s">
        <v>5122</v>
      </c>
    </row>
    <row r="1366" customFormat="false" ht="15" hidden="false" customHeight="false" outlineLevel="0" collapsed="false">
      <c r="A1366" s="6" t="s">
        <v>6588</v>
      </c>
      <c r="B1366" s="6" t="s">
        <v>3195</v>
      </c>
      <c r="C1366" s="26" t="n">
        <v>46072</v>
      </c>
      <c r="D1366" s="6" t="s">
        <v>5167</v>
      </c>
      <c r="E1366" s="6" t="s">
        <v>22</v>
      </c>
      <c r="F1366" s="6" t="n">
        <v>2</v>
      </c>
      <c r="G1366" s="10" t="n">
        <v>743</v>
      </c>
      <c r="H1366" s="10" t="n">
        <f aca="false">F1366*G1366</f>
        <v>1486</v>
      </c>
      <c r="I1366" s="6" t="s">
        <v>5122</v>
      </c>
    </row>
    <row r="1367" customFormat="false" ht="15" hidden="false" customHeight="false" outlineLevel="0" collapsed="false">
      <c r="A1367" s="6" t="s">
        <v>6589</v>
      </c>
      <c r="B1367" s="6" t="s">
        <v>1389</v>
      </c>
      <c r="C1367" s="26" t="n">
        <v>46072</v>
      </c>
      <c r="D1367" s="6" t="s">
        <v>5466</v>
      </c>
      <c r="E1367" s="6" t="s">
        <v>21</v>
      </c>
      <c r="F1367" s="6" t="n">
        <v>1</v>
      </c>
      <c r="G1367" s="10" t="n">
        <v>1965</v>
      </c>
      <c r="H1367" s="10" t="n">
        <f aca="false">F1367*G1367</f>
        <v>1965</v>
      </c>
      <c r="I1367" s="6" t="s">
        <v>5122</v>
      </c>
    </row>
    <row r="1368" customFormat="false" ht="15" hidden="false" customHeight="false" outlineLevel="0" collapsed="false">
      <c r="A1368" s="6" t="s">
        <v>6590</v>
      </c>
      <c r="B1368" s="6" t="s">
        <v>4911</v>
      </c>
      <c r="C1368" s="26" t="n">
        <v>46072</v>
      </c>
      <c r="D1368" s="6" t="s">
        <v>5145</v>
      </c>
      <c r="E1368" s="6" t="s">
        <v>21</v>
      </c>
      <c r="F1368" s="6" t="n">
        <v>1</v>
      </c>
      <c r="G1368" s="10" t="n">
        <v>1213</v>
      </c>
      <c r="H1368" s="10" t="n">
        <f aca="false">F1368*G1368</f>
        <v>1213</v>
      </c>
      <c r="I1368" s="6" t="s">
        <v>5122</v>
      </c>
    </row>
    <row r="1369" customFormat="false" ht="15" hidden="false" customHeight="false" outlineLevel="0" collapsed="false">
      <c r="A1369" s="6" t="s">
        <v>6591</v>
      </c>
      <c r="B1369" s="6" t="s">
        <v>779</v>
      </c>
      <c r="C1369" s="26" t="n">
        <v>46072</v>
      </c>
      <c r="D1369" s="6" t="s">
        <v>5281</v>
      </c>
      <c r="E1369" s="6" t="s">
        <v>24</v>
      </c>
      <c r="F1369" s="6" t="n">
        <v>1</v>
      </c>
      <c r="G1369" s="10" t="n">
        <v>815</v>
      </c>
      <c r="H1369" s="10" t="n">
        <f aca="false">F1369*G1369</f>
        <v>815</v>
      </c>
      <c r="I1369" s="6" t="s">
        <v>5130</v>
      </c>
    </row>
    <row r="1370" customFormat="false" ht="15" hidden="false" customHeight="false" outlineLevel="0" collapsed="false">
      <c r="A1370" s="6" t="s">
        <v>6592</v>
      </c>
      <c r="B1370" s="6" t="s">
        <v>4901</v>
      </c>
      <c r="C1370" s="26" t="n">
        <v>46072</v>
      </c>
      <c r="D1370" s="6" t="s">
        <v>5158</v>
      </c>
      <c r="E1370" s="6" t="s">
        <v>24</v>
      </c>
      <c r="F1370" s="6" t="n">
        <v>3</v>
      </c>
      <c r="G1370" s="10" t="n">
        <v>411</v>
      </c>
      <c r="H1370" s="10" t="n">
        <f aca="false">F1370*G1370</f>
        <v>1233</v>
      </c>
      <c r="I1370" s="6" t="s">
        <v>5122</v>
      </c>
    </row>
    <row r="1371" customFormat="false" ht="15" hidden="false" customHeight="false" outlineLevel="0" collapsed="false">
      <c r="A1371" s="6" t="s">
        <v>6593</v>
      </c>
      <c r="B1371" s="6" t="s">
        <v>2575</v>
      </c>
      <c r="C1371" s="26" t="n">
        <v>46072</v>
      </c>
      <c r="D1371" s="6" t="s">
        <v>5163</v>
      </c>
      <c r="E1371" s="6" t="s">
        <v>23</v>
      </c>
      <c r="F1371" s="6" t="n">
        <v>1</v>
      </c>
      <c r="G1371" s="10" t="n">
        <v>783</v>
      </c>
      <c r="H1371" s="10" t="n">
        <f aca="false">F1371*G1371</f>
        <v>783</v>
      </c>
      <c r="I1371" s="6" t="s">
        <v>5148</v>
      </c>
    </row>
    <row r="1372" customFormat="false" ht="15" hidden="false" customHeight="false" outlineLevel="0" collapsed="false">
      <c r="A1372" s="6" t="s">
        <v>6594</v>
      </c>
      <c r="B1372" s="6" t="s">
        <v>3037</v>
      </c>
      <c r="C1372" s="26" t="n">
        <v>46072</v>
      </c>
      <c r="D1372" s="6" t="s">
        <v>5353</v>
      </c>
      <c r="E1372" s="6" t="s">
        <v>24</v>
      </c>
      <c r="F1372" s="6" t="n">
        <v>2</v>
      </c>
      <c r="G1372" s="10" t="n">
        <v>1629</v>
      </c>
      <c r="H1372" s="10" t="n">
        <f aca="false">F1372*G1372</f>
        <v>3258</v>
      </c>
      <c r="I1372" s="6" t="s">
        <v>5130</v>
      </c>
    </row>
    <row r="1373" customFormat="false" ht="15" hidden="false" customHeight="false" outlineLevel="0" collapsed="false">
      <c r="A1373" s="6" t="s">
        <v>6595</v>
      </c>
      <c r="B1373" s="6" t="s">
        <v>4217</v>
      </c>
      <c r="C1373" s="26" t="n">
        <v>46072</v>
      </c>
      <c r="D1373" s="6" t="s">
        <v>5326</v>
      </c>
      <c r="E1373" s="6" t="s">
        <v>22</v>
      </c>
      <c r="F1373" s="6" t="n">
        <v>1</v>
      </c>
      <c r="G1373" s="10" t="n">
        <v>1466</v>
      </c>
      <c r="H1373" s="10" t="n">
        <f aca="false">F1373*G1373</f>
        <v>1466</v>
      </c>
      <c r="I1373" s="6" t="s">
        <v>5130</v>
      </c>
    </row>
    <row r="1374" customFormat="false" ht="15" hidden="false" customHeight="false" outlineLevel="0" collapsed="false">
      <c r="A1374" s="6" t="s">
        <v>6596</v>
      </c>
      <c r="B1374" s="6" t="s">
        <v>250</v>
      </c>
      <c r="C1374" s="26" t="n">
        <v>46072</v>
      </c>
      <c r="D1374" s="6" t="s">
        <v>5345</v>
      </c>
      <c r="E1374" s="6" t="s">
        <v>23</v>
      </c>
      <c r="F1374" s="6" t="n">
        <v>5</v>
      </c>
      <c r="G1374" s="10" t="n">
        <v>414</v>
      </c>
      <c r="H1374" s="10" t="n">
        <f aca="false">F1374*G1374</f>
        <v>2070</v>
      </c>
      <c r="I1374" s="6" t="s">
        <v>5122</v>
      </c>
    </row>
    <row r="1375" customFormat="false" ht="15" hidden="false" customHeight="false" outlineLevel="0" collapsed="false">
      <c r="A1375" s="6" t="s">
        <v>6597</v>
      </c>
      <c r="B1375" s="6" t="s">
        <v>613</v>
      </c>
      <c r="C1375" s="26" t="n">
        <v>46072</v>
      </c>
      <c r="D1375" s="6" t="s">
        <v>5242</v>
      </c>
      <c r="E1375" s="6" t="s">
        <v>23</v>
      </c>
      <c r="F1375" s="6" t="n">
        <v>2</v>
      </c>
      <c r="G1375" s="10" t="n">
        <v>372</v>
      </c>
      <c r="H1375" s="10" t="n">
        <f aca="false">F1375*G1375</f>
        <v>744</v>
      </c>
      <c r="I1375" s="6" t="s">
        <v>5130</v>
      </c>
    </row>
    <row r="1376" customFormat="false" ht="15" hidden="false" customHeight="false" outlineLevel="0" collapsed="false">
      <c r="A1376" s="6" t="s">
        <v>6598</v>
      </c>
      <c r="B1376" s="6" t="s">
        <v>4293</v>
      </c>
      <c r="C1376" s="26" t="n">
        <v>46072</v>
      </c>
      <c r="D1376" s="6" t="s">
        <v>5197</v>
      </c>
      <c r="E1376" s="6" t="s">
        <v>21</v>
      </c>
      <c r="F1376" s="6" t="n">
        <v>1</v>
      </c>
      <c r="G1376" s="10" t="n">
        <v>1026</v>
      </c>
      <c r="H1376" s="10" t="n">
        <f aca="false">F1376*G1376</f>
        <v>1026</v>
      </c>
      <c r="I1376" s="6" t="s">
        <v>5130</v>
      </c>
    </row>
    <row r="1377" customFormat="false" ht="15" hidden="false" customHeight="false" outlineLevel="0" collapsed="false">
      <c r="A1377" s="6" t="s">
        <v>6599</v>
      </c>
      <c r="B1377" s="6" t="s">
        <v>5015</v>
      </c>
      <c r="C1377" s="26" t="n">
        <v>46072</v>
      </c>
      <c r="D1377" s="6" t="s">
        <v>5216</v>
      </c>
      <c r="E1377" s="6" t="s">
        <v>23</v>
      </c>
      <c r="F1377" s="6" t="n">
        <v>4</v>
      </c>
      <c r="G1377" s="10" t="n">
        <v>587</v>
      </c>
      <c r="H1377" s="10" t="n">
        <f aca="false">F1377*G1377</f>
        <v>2348</v>
      </c>
      <c r="I1377" s="6" t="s">
        <v>5125</v>
      </c>
    </row>
    <row r="1378" customFormat="false" ht="15" hidden="false" customHeight="false" outlineLevel="0" collapsed="false">
      <c r="A1378" s="6" t="s">
        <v>6600</v>
      </c>
      <c r="B1378" s="6" t="s">
        <v>3199</v>
      </c>
      <c r="C1378" s="26" t="n">
        <v>46072</v>
      </c>
      <c r="D1378" s="6" t="s">
        <v>5185</v>
      </c>
      <c r="E1378" s="6" t="s">
        <v>24</v>
      </c>
      <c r="F1378" s="6" t="n">
        <v>1</v>
      </c>
      <c r="G1378" s="10" t="n">
        <v>1926</v>
      </c>
      <c r="H1378" s="10" t="n">
        <f aca="false">F1378*G1378</f>
        <v>1926</v>
      </c>
      <c r="I1378" s="6" t="s">
        <v>5130</v>
      </c>
    </row>
    <row r="1379" customFormat="false" ht="15" hidden="false" customHeight="false" outlineLevel="0" collapsed="false">
      <c r="A1379" s="6" t="s">
        <v>6601</v>
      </c>
      <c r="B1379" s="6" t="s">
        <v>2469</v>
      </c>
      <c r="C1379" s="26" t="n">
        <v>46072</v>
      </c>
      <c r="D1379" s="6" t="s">
        <v>5121</v>
      </c>
      <c r="E1379" s="6" t="s">
        <v>22</v>
      </c>
      <c r="F1379" s="6" t="n">
        <v>2</v>
      </c>
      <c r="G1379" s="10" t="n">
        <v>977</v>
      </c>
      <c r="H1379" s="10" t="n">
        <f aca="false">F1379*G1379</f>
        <v>1954</v>
      </c>
      <c r="I1379" s="6" t="s">
        <v>5122</v>
      </c>
    </row>
    <row r="1380" customFormat="false" ht="15" hidden="false" customHeight="false" outlineLevel="0" collapsed="false">
      <c r="A1380" s="6" t="s">
        <v>6602</v>
      </c>
      <c r="B1380" s="6" t="s">
        <v>1113</v>
      </c>
      <c r="C1380" s="26" t="n">
        <v>46072</v>
      </c>
      <c r="D1380" s="6" t="s">
        <v>5273</v>
      </c>
      <c r="E1380" s="6" t="s">
        <v>23</v>
      </c>
      <c r="F1380" s="6" t="n">
        <v>3</v>
      </c>
      <c r="G1380" s="10" t="n">
        <v>240</v>
      </c>
      <c r="H1380" s="10" t="n">
        <f aca="false">F1380*G1380</f>
        <v>720</v>
      </c>
      <c r="I1380" s="6" t="s">
        <v>5148</v>
      </c>
    </row>
    <row r="1381" customFormat="false" ht="15" hidden="false" customHeight="false" outlineLevel="0" collapsed="false">
      <c r="A1381" s="6" t="s">
        <v>6603</v>
      </c>
      <c r="B1381" s="6" t="s">
        <v>3065</v>
      </c>
      <c r="C1381" s="26" t="n">
        <v>46072</v>
      </c>
      <c r="D1381" s="6" t="s">
        <v>5691</v>
      </c>
      <c r="E1381" s="6" t="s">
        <v>21</v>
      </c>
      <c r="F1381" s="6" t="n">
        <v>1</v>
      </c>
      <c r="G1381" s="10" t="n">
        <v>5897</v>
      </c>
      <c r="H1381" s="10" t="n">
        <f aca="false">F1381*G1381</f>
        <v>5897</v>
      </c>
      <c r="I1381" s="6" t="s">
        <v>5130</v>
      </c>
    </row>
    <row r="1382" customFormat="false" ht="15" hidden="false" customHeight="false" outlineLevel="0" collapsed="false">
      <c r="A1382" s="6" t="s">
        <v>6604</v>
      </c>
      <c r="B1382" s="6" t="s">
        <v>4859</v>
      </c>
      <c r="C1382" s="26" t="n">
        <v>46072</v>
      </c>
      <c r="D1382" s="6" t="s">
        <v>5345</v>
      </c>
      <c r="E1382" s="6" t="s">
        <v>23</v>
      </c>
      <c r="F1382" s="6" t="n">
        <v>3</v>
      </c>
      <c r="G1382" s="10" t="n">
        <v>414</v>
      </c>
      <c r="H1382" s="10" t="n">
        <f aca="false">F1382*G1382</f>
        <v>1242</v>
      </c>
      <c r="I1382" s="6" t="s">
        <v>5173</v>
      </c>
    </row>
    <row r="1383" customFormat="false" ht="15" hidden="false" customHeight="false" outlineLevel="0" collapsed="false">
      <c r="A1383" s="6" t="s">
        <v>6605</v>
      </c>
      <c r="B1383" s="6" t="s">
        <v>2391</v>
      </c>
      <c r="C1383" s="26" t="n">
        <v>46072</v>
      </c>
      <c r="D1383" s="6" t="s">
        <v>5171</v>
      </c>
      <c r="E1383" s="6" t="s">
        <v>23</v>
      </c>
      <c r="F1383" s="6" t="n">
        <v>2</v>
      </c>
      <c r="G1383" s="10" t="n">
        <v>734</v>
      </c>
      <c r="H1383" s="10" t="n">
        <f aca="false">F1383*G1383</f>
        <v>1468</v>
      </c>
      <c r="I1383" s="6" t="s">
        <v>5122</v>
      </c>
    </row>
    <row r="1384" customFormat="false" ht="15" hidden="false" customHeight="false" outlineLevel="0" collapsed="false">
      <c r="A1384" s="6" t="s">
        <v>6606</v>
      </c>
      <c r="B1384" s="6" t="s">
        <v>3141</v>
      </c>
      <c r="C1384" s="26" t="n">
        <v>46072</v>
      </c>
      <c r="D1384" s="6" t="s">
        <v>5216</v>
      </c>
      <c r="E1384" s="6" t="s">
        <v>23</v>
      </c>
      <c r="F1384" s="6" t="n">
        <v>4</v>
      </c>
      <c r="G1384" s="10" t="n">
        <v>587</v>
      </c>
      <c r="H1384" s="10" t="n">
        <f aca="false">F1384*G1384</f>
        <v>2348</v>
      </c>
      <c r="I1384" s="6" t="s">
        <v>5122</v>
      </c>
    </row>
    <row r="1385" customFormat="false" ht="15" hidden="false" customHeight="false" outlineLevel="0" collapsed="false">
      <c r="A1385" s="6" t="s">
        <v>6607</v>
      </c>
      <c r="B1385" s="6" t="s">
        <v>3917</v>
      </c>
      <c r="C1385" s="26" t="n">
        <v>46072</v>
      </c>
      <c r="D1385" s="6" t="s">
        <v>5345</v>
      </c>
      <c r="E1385" s="6" t="s">
        <v>23</v>
      </c>
      <c r="F1385" s="6" t="n">
        <v>4</v>
      </c>
      <c r="G1385" s="10" t="n">
        <v>392</v>
      </c>
      <c r="H1385" s="10" t="n">
        <f aca="false">F1385*G1385</f>
        <v>1568</v>
      </c>
      <c r="I1385" s="6" t="s">
        <v>5130</v>
      </c>
    </row>
    <row r="1386" customFormat="false" ht="15" hidden="false" customHeight="false" outlineLevel="0" collapsed="false">
      <c r="A1386" s="6" t="s">
        <v>6608</v>
      </c>
      <c r="B1386" s="6" t="s">
        <v>3087</v>
      </c>
      <c r="C1386" s="26" t="n">
        <v>46072</v>
      </c>
      <c r="D1386" s="6" t="s">
        <v>5165</v>
      </c>
      <c r="E1386" s="6" t="s">
        <v>22</v>
      </c>
      <c r="F1386" s="6" t="n">
        <v>1</v>
      </c>
      <c r="G1386" s="10" t="n">
        <v>977</v>
      </c>
      <c r="H1386" s="10" t="n">
        <f aca="false">F1386*G1386</f>
        <v>977</v>
      </c>
      <c r="I1386" s="6" t="s">
        <v>5122</v>
      </c>
    </row>
    <row r="1387" customFormat="false" ht="15" hidden="false" customHeight="false" outlineLevel="0" collapsed="false">
      <c r="A1387" s="6" t="s">
        <v>6609</v>
      </c>
      <c r="B1387" s="6" t="s">
        <v>2131</v>
      </c>
      <c r="C1387" s="26" t="n">
        <v>46072</v>
      </c>
      <c r="D1387" s="6" t="s">
        <v>5137</v>
      </c>
      <c r="E1387" s="6" t="s">
        <v>21</v>
      </c>
      <c r="F1387" s="6" t="n">
        <v>1</v>
      </c>
      <c r="G1387" s="10" t="n">
        <v>1591</v>
      </c>
      <c r="H1387" s="10" t="n">
        <f aca="false">F1387*G1387</f>
        <v>1591</v>
      </c>
      <c r="I1387" s="6" t="s">
        <v>5130</v>
      </c>
    </row>
    <row r="1388" customFormat="false" ht="15" hidden="false" customHeight="false" outlineLevel="0" collapsed="false">
      <c r="A1388" s="6" t="s">
        <v>6610</v>
      </c>
      <c r="B1388" s="6" t="s">
        <v>1871</v>
      </c>
      <c r="C1388" s="26" t="n">
        <v>46072</v>
      </c>
      <c r="D1388" s="6" t="s">
        <v>5326</v>
      </c>
      <c r="E1388" s="6" t="s">
        <v>22</v>
      </c>
      <c r="F1388" s="6" t="n">
        <v>1</v>
      </c>
      <c r="G1388" s="10" t="n">
        <v>1392</v>
      </c>
      <c r="H1388" s="10" t="n">
        <f aca="false">F1388*G1388</f>
        <v>1392</v>
      </c>
      <c r="I1388" s="6" t="s">
        <v>5122</v>
      </c>
    </row>
    <row r="1389" customFormat="false" ht="15" hidden="false" customHeight="false" outlineLevel="0" collapsed="false">
      <c r="A1389" s="6" t="s">
        <v>6611</v>
      </c>
      <c r="B1389" s="6" t="s">
        <v>3861</v>
      </c>
      <c r="C1389" s="26" t="n">
        <v>46072</v>
      </c>
      <c r="D1389" s="6" t="s">
        <v>5259</v>
      </c>
      <c r="E1389" s="6" t="s">
        <v>22</v>
      </c>
      <c r="F1389" s="6" t="n">
        <v>1</v>
      </c>
      <c r="G1389" s="10" t="n">
        <v>1564</v>
      </c>
      <c r="H1389" s="10" t="n">
        <f aca="false">F1389*G1389</f>
        <v>1564</v>
      </c>
      <c r="I1389" s="6" t="s">
        <v>5122</v>
      </c>
    </row>
    <row r="1390" customFormat="false" ht="15" hidden="false" customHeight="false" outlineLevel="0" collapsed="false">
      <c r="A1390" s="6" t="s">
        <v>6612</v>
      </c>
      <c r="B1390" s="6" t="s">
        <v>4769</v>
      </c>
      <c r="C1390" s="26" t="n">
        <v>46073</v>
      </c>
      <c r="D1390" s="6" t="s">
        <v>5458</v>
      </c>
      <c r="E1390" s="6" t="s">
        <v>24</v>
      </c>
      <c r="F1390" s="6" t="n">
        <v>1</v>
      </c>
      <c r="G1390" s="10" t="n">
        <v>559</v>
      </c>
      <c r="H1390" s="10" t="n">
        <f aca="false">F1390*G1390</f>
        <v>559</v>
      </c>
      <c r="I1390" s="6" t="s">
        <v>5122</v>
      </c>
    </row>
    <row r="1391" customFormat="false" ht="15" hidden="false" customHeight="false" outlineLevel="0" collapsed="false">
      <c r="A1391" s="6" t="s">
        <v>6613</v>
      </c>
      <c r="B1391" s="6" t="s">
        <v>3615</v>
      </c>
      <c r="C1391" s="26" t="n">
        <v>46073</v>
      </c>
      <c r="D1391" s="6" t="s">
        <v>5167</v>
      </c>
      <c r="E1391" s="6" t="s">
        <v>22</v>
      </c>
      <c r="F1391" s="6" t="n">
        <v>2</v>
      </c>
      <c r="G1391" s="10" t="n">
        <v>743</v>
      </c>
      <c r="H1391" s="10" t="n">
        <f aca="false">F1391*G1391</f>
        <v>1486</v>
      </c>
      <c r="I1391" s="6" t="s">
        <v>5148</v>
      </c>
    </row>
    <row r="1392" customFormat="false" ht="15" hidden="false" customHeight="false" outlineLevel="0" collapsed="false">
      <c r="A1392" s="6" t="s">
        <v>6614</v>
      </c>
      <c r="B1392" s="6" t="s">
        <v>2127</v>
      </c>
      <c r="C1392" s="26" t="n">
        <v>46073</v>
      </c>
      <c r="D1392" s="6" t="s">
        <v>5165</v>
      </c>
      <c r="E1392" s="6" t="s">
        <v>22</v>
      </c>
      <c r="F1392" s="6" t="n">
        <v>1</v>
      </c>
      <c r="G1392" s="10" t="n">
        <v>879</v>
      </c>
      <c r="H1392" s="10" t="n">
        <f aca="false">F1392*G1392</f>
        <v>879</v>
      </c>
      <c r="I1392" s="6" t="s">
        <v>5130</v>
      </c>
    </row>
    <row r="1393" customFormat="false" ht="15" hidden="false" customHeight="false" outlineLevel="0" collapsed="false">
      <c r="A1393" s="6" t="s">
        <v>6615</v>
      </c>
      <c r="B1393" s="6" t="s">
        <v>3161</v>
      </c>
      <c r="C1393" s="26" t="n">
        <v>46073</v>
      </c>
      <c r="D1393" s="6" t="s">
        <v>5127</v>
      </c>
      <c r="E1393" s="6" t="s">
        <v>21</v>
      </c>
      <c r="F1393" s="6" t="n">
        <v>1</v>
      </c>
      <c r="G1393" s="10" t="n">
        <v>884</v>
      </c>
      <c r="H1393" s="10" t="n">
        <f aca="false">F1393*G1393</f>
        <v>884</v>
      </c>
      <c r="I1393" s="6" t="s">
        <v>5148</v>
      </c>
    </row>
    <row r="1394" customFormat="false" ht="15" hidden="false" customHeight="false" outlineLevel="0" collapsed="false">
      <c r="A1394" s="6" t="s">
        <v>6616</v>
      </c>
      <c r="B1394" s="6" t="s">
        <v>747</v>
      </c>
      <c r="C1394" s="26" t="n">
        <v>46073</v>
      </c>
      <c r="D1394" s="6" t="s">
        <v>5169</v>
      </c>
      <c r="E1394" s="6" t="s">
        <v>20</v>
      </c>
      <c r="F1394" s="6" t="n">
        <v>1</v>
      </c>
      <c r="G1394" s="10" t="n">
        <v>4588</v>
      </c>
      <c r="H1394" s="10" t="n">
        <f aca="false">F1394*G1394</f>
        <v>4588</v>
      </c>
      <c r="I1394" s="6" t="s">
        <v>5122</v>
      </c>
    </row>
    <row r="1395" customFormat="false" ht="15" hidden="false" customHeight="false" outlineLevel="0" collapsed="false">
      <c r="A1395" s="6" t="s">
        <v>6617</v>
      </c>
      <c r="B1395" s="6" t="s">
        <v>2747</v>
      </c>
      <c r="C1395" s="26" t="n">
        <v>46073</v>
      </c>
      <c r="D1395" s="6" t="s">
        <v>5160</v>
      </c>
      <c r="E1395" s="6" t="s">
        <v>21</v>
      </c>
      <c r="F1395" s="6" t="n">
        <v>2</v>
      </c>
      <c r="G1395" s="10" t="n">
        <v>2751</v>
      </c>
      <c r="H1395" s="10" t="n">
        <f aca="false">F1395*G1395</f>
        <v>5502</v>
      </c>
      <c r="I1395" s="6" t="s">
        <v>5148</v>
      </c>
    </row>
    <row r="1396" customFormat="false" ht="15" hidden="false" customHeight="false" outlineLevel="0" collapsed="false">
      <c r="A1396" s="6" t="s">
        <v>6618</v>
      </c>
      <c r="B1396" s="6" t="s">
        <v>277</v>
      </c>
      <c r="C1396" s="26" t="n">
        <v>46073</v>
      </c>
      <c r="D1396" s="6" t="s">
        <v>5127</v>
      </c>
      <c r="E1396" s="6" t="s">
        <v>21</v>
      </c>
      <c r="F1396" s="6" t="n">
        <v>1</v>
      </c>
      <c r="G1396" s="10" t="n">
        <v>884</v>
      </c>
      <c r="H1396" s="10" t="n">
        <f aca="false">F1396*G1396</f>
        <v>884</v>
      </c>
      <c r="I1396" s="6" t="s">
        <v>5122</v>
      </c>
    </row>
    <row r="1397" customFormat="false" ht="15" hidden="false" customHeight="false" outlineLevel="0" collapsed="false">
      <c r="A1397" s="6" t="s">
        <v>6619</v>
      </c>
      <c r="B1397" s="6" t="s">
        <v>332</v>
      </c>
      <c r="C1397" s="26" t="n">
        <v>46073</v>
      </c>
      <c r="D1397" s="6" t="s">
        <v>5163</v>
      </c>
      <c r="E1397" s="6" t="s">
        <v>23</v>
      </c>
      <c r="F1397" s="6" t="n">
        <v>3</v>
      </c>
      <c r="G1397" s="10" t="n">
        <v>744</v>
      </c>
      <c r="H1397" s="10" t="n">
        <f aca="false">F1397*G1397</f>
        <v>2232</v>
      </c>
      <c r="I1397" s="6" t="s">
        <v>5122</v>
      </c>
    </row>
    <row r="1398" customFormat="false" ht="15" hidden="false" customHeight="false" outlineLevel="0" collapsed="false">
      <c r="A1398" s="6" t="s">
        <v>6620</v>
      </c>
      <c r="B1398" s="6" t="s">
        <v>1911</v>
      </c>
      <c r="C1398" s="26" t="n">
        <v>46073</v>
      </c>
      <c r="D1398" s="6" t="s">
        <v>5143</v>
      </c>
      <c r="E1398" s="6" t="s">
        <v>21</v>
      </c>
      <c r="F1398" s="6" t="n">
        <v>1</v>
      </c>
      <c r="G1398" s="10" t="n">
        <v>1120</v>
      </c>
      <c r="H1398" s="10" t="n">
        <f aca="false">F1398*G1398</f>
        <v>1120</v>
      </c>
      <c r="I1398" s="6" t="s">
        <v>5122</v>
      </c>
    </row>
    <row r="1399" customFormat="false" ht="15" hidden="false" customHeight="false" outlineLevel="0" collapsed="false">
      <c r="A1399" s="6" t="s">
        <v>6621</v>
      </c>
      <c r="B1399" s="6" t="s">
        <v>3479</v>
      </c>
      <c r="C1399" s="26" t="n">
        <v>46073</v>
      </c>
      <c r="D1399" s="6" t="s">
        <v>5242</v>
      </c>
      <c r="E1399" s="6" t="s">
        <v>23</v>
      </c>
      <c r="F1399" s="6" t="n">
        <v>1</v>
      </c>
      <c r="G1399" s="10" t="n">
        <v>372</v>
      </c>
      <c r="H1399" s="10" t="n">
        <f aca="false">F1399*G1399</f>
        <v>372</v>
      </c>
      <c r="I1399" s="6" t="s">
        <v>5148</v>
      </c>
    </row>
    <row r="1400" customFormat="false" ht="15" hidden="false" customHeight="false" outlineLevel="0" collapsed="false">
      <c r="A1400" s="6" t="s">
        <v>6622</v>
      </c>
      <c r="B1400" s="6" t="s">
        <v>2685</v>
      </c>
      <c r="C1400" s="26" t="n">
        <v>46073</v>
      </c>
      <c r="D1400" s="6" t="s">
        <v>5245</v>
      </c>
      <c r="E1400" s="6" t="s">
        <v>21</v>
      </c>
      <c r="F1400" s="6" t="n">
        <v>2</v>
      </c>
      <c r="G1400" s="10" t="n">
        <v>2456</v>
      </c>
      <c r="H1400" s="10" t="n">
        <f aca="false">F1400*G1400</f>
        <v>4912</v>
      </c>
      <c r="I1400" s="6" t="s">
        <v>5133</v>
      </c>
    </row>
    <row r="1401" customFormat="false" ht="15" hidden="false" customHeight="false" outlineLevel="0" collapsed="false">
      <c r="A1401" s="6" t="s">
        <v>6623</v>
      </c>
      <c r="B1401" s="6" t="s">
        <v>4601</v>
      </c>
      <c r="C1401" s="26" t="n">
        <v>46073</v>
      </c>
      <c r="D1401" s="6" t="s">
        <v>5460</v>
      </c>
      <c r="E1401" s="6" t="s">
        <v>24</v>
      </c>
      <c r="F1401" s="6" t="n">
        <v>1</v>
      </c>
      <c r="G1401" s="10" t="n">
        <v>528</v>
      </c>
      <c r="H1401" s="10" t="n">
        <f aca="false">F1401*G1401</f>
        <v>528</v>
      </c>
      <c r="I1401" s="6" t="s">
        <v>5125</v>
      </c>
    </row>
    <row r="1402" customFormat="false" ht="15" hidden="false" customHeight="false" outlineLevel="0" collapsed="false">
      <c r="A1402" s="6" t="s">
        <v>6624</v>
      </c>
      <c r="B1402" s="6" t="s">
        <v>5063</v>
      </c>
      <c r="C1402" s="26" t="n">
        <v>46073</v>
      </c>
      <c r="D1402" s="6" t="s">
        <v>5456</v>
      </c>
      <c r="E1402" s="6" t="s">
        <v>24</v>
      </c>
      <c r="F1402" s="6" t="n">
        <v>1</v>
      </c>
      <c r="G1402" s="10" t="n">
        <v>866</v>
      </c>
      <c r="H1402" s="10" t="n">
        <f aca="false">F1402*G1402</f>
        <v>866</v>
      </c>
      <c r="I1402" s="6" t="s">
        <v>5122</v>
      </c>
    </row>
    <row r="1403" customFormat="false" ht="15" hidden="false" customHeight="false" outlineLevel="0" collapsed="false">
      <c r="A1403" s="6" t="s">
        <v>6625</v>
      </c>
      <c r="B1403" s="6" t="s">
        <v>254</v>
      </c>
      <c r="C1403" s="26" t="n">
        <v>46073</v>
      </c>
      <c r="D1403" s="6" t="s">
        <v>5220</v>
      </c>
      <c r="E1403" s="6" t="s">
        <v>24</v>
      </c>
      <c r="F1403" s="6" t="n">
        <v>1</v>
      </c>
      <c r="G1403" s="10" t="n">
        <v>1120</v>
      </c>
      <c r="H1403" s="10" t="n">
        <f aca="false">F1403*G1403</f>
        <v>1120</v>
      </c>
      <c r="I1403" s="6" t="s">
        <v>5125</v>
      </c>
    </row>
    <row r="1404" customFormat="false" ht="15" hidden="false" customHeight="false" outlineLevel="0" collapsed="false">
      <c r="A1404" s="6" t="s">
        <v>6626</v>
      </c>
      <c r="B1404" s="6" t="s">
        <v>1963</v>
      </c>
      <c r="C1404" s="26" t="n">
        <v>46073</v>
      </c>
      <c r="D1404" s="6" t="s">
        <v>5466</v>
      </c>
      <c r="E1404" s="6" t="s">
        <v>21</v>
      </c>
      <c r="F1404" s="6" t="n">
        <v>1</v>
      </c>
      <c r="G1404" s="10" t="n">
        <v>1768</v>
      </c>
      <c r="H1404" s="10" t="n">
        <f aca="false">F1404*G1404</f>
        <v>1768</v>
      </c>
      <c r="I1404" s="6" t="s">
        <v>5133</v>
      </c>
    </row>
    <row r="1405" customFormat="false" ht="15" hidden="false" customHeight="false" outlineLevel="0" collapsed="false">
      <c r="A1405" s="6" t="s">
        <v>6627</v>
      </c>
      <c r="B1405" s="6" t="s">
        <v>3365</v>
      </c>
      <c r="C1405" s="26" t="n">
        <v>46073</v>
      </c>
      <c r="D1405" s="6" t="s">
        <v>5127</v>
      </c>
      <c r="E1405" s="6" t="s">
        <v>21</v>
      </c>
      <c r="F1405" s="6" t="n">
        <v>1</v>
      </c>
      <c r="G1405" s="10" t="n">
        <v>884</v>
      </c>
      <c r="H1405" s="10" t="n">
        <f aca="false">F1405*G1405</f>
        <v>884</v>
      </c>
      <c r="I1405" s="6" t="s">
        <v>5148</v>
      </c>
    </row>
    <row r="1406" customFormat="false" ht="15" hidden="false" customHeight="false" outlineLevel="0" collapsed="false">
      <c r="A1406" s="6" t="s">
        <v>6628</v>
      </c>
      <c r="B1406" s="6" t="s">
        <v>1083</v>
      </c>
      <c r="C1406" s="26" t="n">
        <v>46073</v>
      </c>
      <c r="D1406" s="6" t="s">
        <v>5163</v>
      </c>
      <c r="E1406" s="6" t="s">
        <v>23</v>
      </c>
      <c r="F1406" s="6" t="n">
        <v>2</v>
      </c>
      <c r="G1406" s="10" t="n">
        <v>783</v>
      </c>
      <c r="H1406" s="10" t="n">
        <f aca="false">F1406*G1406</f>
        <v>1566</v>
      </c>
      <c r="I1406" s="6" t="s">
        <v>5122</v>
      </c>
    </row>
    <row r="1407" customFormat="false" ht="15" hidden="false" customHeight="false" outlineLevel="0" collapsed="false">
      <c r="A1407" s="6" t="s">
        <v>6629</v>
      </c>
      <c r="B1407" s="6" t="s">
        <v>1571</v>
      </c>
      <c r="C1407" s="26" t="n">
        <v>46073</v>
      </c>
      <c r="D1407" s="6" t="s">
        <v>5259</v>
      </c>
      <c r="E1407" s="6" t="s">
        <v>22</v>
      </c>
      <c r="F1407" s="6" t="n">
        <v>1</v>
      </c>
      <c r="G1407" s="10" t="n">
        <v>1408</v>
      </c>
      <c r="H1407" s="10" t="n">
        <f aca="false">F1407*G1407</f>
        <v>1408</v>
      </c>
      <c r="I1407" s="6" t="s">
        <v>5122</v>
      </c>
    </row>
    <row r="1408" customFormat="false" ht="15" hidden="false" customHeight="false" outlineLevel="0" collapsed="false">
      <c r="A1408" s="6" t="s">
        <v>6630</v>
      </c>
      <c r="B1408" s="6" t="s">
        <v>4217</v>
      </c>
      <c r="C1408" s="26" t="n">
        <v>46073</v>
      </c>
      <c r="D1408" s="6" t="s">
        <v>5167</v>
      </c>
      <c r="E1408" s="6" t="s">
        <v>22</v>
      </c>
      <c r="F1408" s="6" t="n">
        <v>3</v>
      </c>
      <c r="G1408" s="10" t="n">
        <v>782</v>
      </c>
      <c r="H1408" s="10" t="n">
        <f aca="false">F1408*G1408</f>
        <v>2346</v>
      </c>
      <c r="I1408" s="6" t="s">
        <v>5122</v>
      </c>
    </row>
    <row r="1409" customFormat="false" ht="15" hidden="false" customHeight="false" outlineLevel="0" collapsed="false">
      <c r="A1409" s="6" t="s">
        <v>6631</v>
      </c>
      <c r="B1409" s="6" t="s">
        <v>2521</v>
      </c>
      <c r="C1409" s="26" t="n">
        <v>46073</v>
      </c>
      <c r="D1409" s="6" t="s">
        <v>5121</v>
      </c>
      <c r="E1409" s="6" t="s">
        <v>22</v>
      </c>
      <c r="F1409" s="6" t="n">
        <v>2</v>
      </c>
      <c r="G1409" s="10" t="n">
        <v>977</v>
      </c>
      <c r="H1409" s="10" t="n">
        <f aca="false">F1409*G1409</f>
        <v>1954</v>
      </c>
      <c r="I1409" s="6" t="s">
        <v>5125</v>
      </c>
    </row>
    <row r="1410" customFormat="false" ht="15" hidden="false" customHeight="false" outlineLevel="0" collapsed="false">
      <c r="A1410" s="6" t="s">
        <v>6632</v>
      </c>
      <c r="B1410" s="6" t="s">
        <v>3449</v>
      </c>
      <c r="C1410" s="26" t="n">
        <v>46073</v>
      </c>
      <c r="D1410" s="6" t="s">
        <v>5357</v>
      </c>
      <c r="E1410" s="6" t="s">
        <v>23</v>
      </c>
      <c r="F1410" s="6" t="n">
        <v>3</v>
      </c>
      <c r="G1410" s="10" t="n">
        <v>481</v>
      </c>
      <c r="H1410" s="10" t="n">
        <f aca="false">F1410*G1410</f>
        <v>1443</v>
      </c>
      <c r="I1410" s="6" t="s">
        <v>5125</v>
      </c>
    </row>
    <row r="1411" customFormat="false" ht="15" hidden="false" customHeight="false" outlineLevel="0" collapsed="false">
      <c r="A1411" s="6" t="s">
        <v>6633</v>
      </c>
      <c r="B1411" s="6" t="s">
        <v>3789</v>
      </c>
      <c r="C1411" s="26" t="n">
        <v>46073</v>
      </c>
      <c r="D1411" s="6" t="s">
        <v>5214</v>
      </c>
      <c r="E1411" s="6" t="s">
        <v>20</v>
      </c>
      <c r="F1411" s="6" t="n">
        <v>1</v>
      </c>
      <c r="G1411" s="10" t="n">
        <v>2039</v>
      </c>
      <c r="H1411" s="10" t="n">
        <f aca="false">F1411*G1411</f>
        <v>2039</v>
      </c>
      <c r="I1411" s="6" t="s">
        <v>5122</v>
      </c>
    </row>
    <row r="1412" customFormat="false" ht="15" hidden="false" customHeight="false" outlineLevel="0" collapsed="false">
      <c r="A1412" s="6" t="s">
        <v>6634</v>
      </c>
      <c r="B1412" s="6" t="s">
        <v>5035</v>
      </c>
      <c r="C1412" s="26" t="n">
        <v>46073</v>
      </c>
      <c r="D1412" s="6" t="s">
        <v>5197</v>
      </c>
      <c r="E1412" s="6" t="s">
        <v>21</v>
      </c>
      <c r="F1412" s="6" t="n">
        <v>1</v>
      </c>
      <c r="G1412" s="10" t="n">
        <v>972</v>
      </c>
      <c r="H1412" s="10" t="n">
        <f aca="false">F1412*G1412</f>
        <v>972</v>
      </c>
      <c r="I1412" s="6" t="s">
        <v>5122</v>
      </c>
    </row>
    <row r="1413" customFormat="false" ht="15" hidden="false" customHeight="false" outlineLevel="0" collapsed="false">
      <c r="A1413" s="6" t="s">
        <v>6635</v>
      </c>
      <c r="B1413" s="6" t="s">
        <v>627</v>
      </c>
      <c r="C1413" s="26" t="n">
        <v>46074</v>
      </c>
      <c r="D1413" s="6" t="s">
        <v>5121</v>
      </c>
      <c r="E1413" s="6" t="s">
        <v>22</v>
      </c>
      <c r="F1413" s="6" t="n">
        <v>3</v>
      </c>
      <c r="G1413" s="10" t="n">
        <v>977</v>
      </c>
      <c r="H1413" s="10" t="n">
        <f aca="false">F1413*G1413</f>
        <v>2931</v>
      </c>
      <c r="I1413" s="6" t="s">
        <v>5148</v>
      </c>
    </row>
    <row r="1414" customFormat="false" ht="15" hidden="false" customHeight="false" outlineLevel="0" collapsed="false">
      <c r="A1414" s="6" t="s">
        <v>6636</v>
      </c>
      <c r="B1414" s="6" t="s">
        <v>1079</v>
      </c>
      <c r="C1414" s="26" t="n">
        <v>46074</v>
      </c>
      <c r="D1414" s="6" t="s">
        <v>5165</v>
      </c>
      <c r="E1414" s="6" t="s">
        <v>22</v>
      </c>
      <c r="F1414" s="6" t="n">
        <v>1</v>
      </c>
      <c r="G1414" s="10" t="n">
        <v>977</v>
      </c>
      <c r="H1414" s="10" t="n">
        <f aca="false">F1414*G1414</f>
        <v>977</v>
      </c>
      <c r="I1414" s="6" t="s">
        <v>5122</v>
      </c>
    </row>
    <row r="1415" customFormat="false" ht="15" hidden="false" customHeight="false" outlineLevel="0" collapsed="false">
      <c r="A1415" s="6" t="s">
        <v>6637</v>
      </c>
      <c r="B1415" s="6" t="s">
        <v>1145</v>
      </c>
      <c r="C1415" s="26" t="n">
        <v>46074</v>
      </c>
      <c r="D1415" s="6" t="s">
        <v>5127</v>
      </c>
      <c r="E1415" s="6" t="s">
        <v>21</v>
      </c>
      <c r="F1415" s="6" t="n">
        <v>1</v>
      </c>
      <c r="G1415" s="10" t="n">
        <v>839</v>
      </c>
      <c r="H1415" s="10" t="n">
        <f aca="false">F1415*G1415</f>
        <v>839</v>
      </c>
      <c r="I1415" s="6" t="s">
        <v>5130</v>
      </c>
    </row>
    <row r="1416" customFormat="false" ht="15" hidden="false" customHeight="false" outlineLevel="0" collapsed="false">
      <c r="A1416" s="6" t="s">
        <v>6638</v>
      </c>
      <c r="B1416" s="6" t="s">
        <v>1047</v>
      </c>
      <c r="C1416" s="26" t="n">
        <v>46074</v>
      </c>
      <c r="D1416" s="6" t="s">
        <v>5129</v>
      </c>
      <c r="E1416" s="6" t="s">
        <v>21</v>
      </c>
      <c r="F1416" s="6" t="n">
        <v>1</v>
      </c>
      <c r="G1416" s="10" t="n">
        <v>589</v>
      </c>
      <c r="H1416" s="10" t="n">
        <f aca="false">F1416*G1416</f>
        <v>589</v>
      </c>
      <c r="I1416" s="6" t="s">
        <v>5148</v>
      </c>
    </row>
    <row r="1417" customFormat="false" ht="15" hidden="false" customHeight="false" outlineLevel="0" collapsed="false">
      <c r="A1417" s="6" t="s">
        <v>6639</v>
      </c>
      <c r="B1417" s="6" t="s">
        <v>3273</v>
      </c>
      <c r="C1417" s="26" t="n">
        <v>46074</v>
      </c>
      <c r="D1417" s="6" t="s">
        <v>5171</v>
      </c>
      <c r="E1417" s="6" t="s">
        <v>23</v>
      </c>
      <c r="F1417" s="6" t="n">
        <v>3</v>
      </c>
      <c r="G1417" s="10" t="n">
        <v>734</v>
      </c>
      <c r="H1417" s="10" t="n">
        <f aca="false">F1417*G1417</f>
        <v>2202</v>
      </c>
      <c r="I1417" s="6" t="s">
        <v>5125</v>
      </c>
    </row>
    <row r="1418" customFormat="false" ht="15" hidden="false" customHeight="false" outlineLevel="0" collapsed="false">
      <c r="A1418" s="6" t="s">
        <v>6640</v>
      </c>
      <c r="B1418" s="6" t="s">
        <v>2149</v>
      </c>
      <c r="C1418" s="26" t="n">
        <v>46074</v>
      </c>
      <c r="D1418" s="6" t="s">
        <v>5158</v>
      </c>
      <c r="E1418" s="6" t="s">
        <v>24</v>
      </c>
      <c r="F1418" s="6" t="n">
        <v>4</v>
      </c>
      <c r="G1418" s="10" t="n">
        <v>390</v>
      </c>
      <c r="H1418" s="10" t="n">
        <f aca="false">F1418*G1418</f>
        <v>1560</v>
      </c>
      <c r="I1418" s="6" t="s">
        <v>5122</v>
      </c>
    </row>
    <row r="1419" customFormat="false" ht="15" hidden="false" customHeight="false" outlineLevel="0" collapsed="false">
      <c r="A1419" s="6" t="s">
        <v>6641</v>
      </c>
      <c r="B1419" s="6" t="s">
        <v>404</v>
      </c>
      <c r="C1419" s="26" t="n">
        <v>46074</v>
      </c>
      <c r="D1419" s="6" t="s">
        <v>5237</v>
      </c>
      <c r="E1419" s="6" t="s">
        <v>24</v>
      </c>
      <c r="F1419" s="6" t="n">
        <v>1</v>
      </c>
      <c r="G1419" s="10" t="n">
        <v>1833</v>
      </c>
      <c r="H1419" s="10" t="n">
        <f aca="false">F1419*G1419</f>
        <v>1833</v>
      </c>
      <c r="I1419" s="6" t="s">
        <v>5125</v>
      </c>
    </row>
    <row r="1420" customFormat="false" ht="15" hidden="false" customHeight="false" outlineLevel="0" collapsed="false">
      <c r="A1420" s="6" t="s">
        <v>6642</v>
      </c>
      <c r="B1420" s="6" t="s">
        <v>3219</v>
      </c>
      <c r="C1420" s="26" t="n">
        <v>46074</v>
      </c>
      <c r="D1420" s="6" t="s">
        <v>5538</v>
      </c>
      <c r="E1420" s="6" t="s">
        <v>21</v>
      </c>
      <c r="F1420" s="6" t="n">
        <v>2</v>
      </c>
      <c r="G1420" s="10" t="n">
        <v>4865</v>
      </c>
      <c r="H1420" s="10" t="n">
        <f aca="false">F1420*G1420</f>
        <v>9730</v>
      </c>
      <c r="I1420" s="6" t="s">
        <v>5148</v>
      </c>
    </row>
    <row r="1421" customFormat="false" ht="15" hidden="false" customHeight="false" outlineLevel="0" collapsed="false">
      <c r="A1421" s="6" t="s">
        <v>6643</v>
      </c>
      <c r="B1421" s="6" t="s">
        <v>3815</v>
      </c>
      <c r="C1421" s="26" t="n">
        <v>46074</v>
      </c>
      <c r="D1421" s="6" t="s">
        <v>5345</v>
      </c>
      <c r="E1421" s="6" t="s">
        <v>23</v>
      </c>
      <c r="F1421" s="6" t="n">
        <v>1</v>
      </c>
      <c r="G1421" s="10" t="n">
        <v>436</v>
      </c>
      <c r="H1421" s="10" t="n">
        <f aca="false">F1421*G1421</f>
        <v>436</v>
      </c>
      <c r="I1421" s="6" t="s">
        <v>5133</v>
      </c>
    </row>
    <row r="1422" customFormat="false" ht="15" hidden="false" customHeight="false" outlineLevel="0" collapsed="false">
      <c r="A1422" s="6" t="s">
        <v>6644</v>
      </c>
      <c r="B1422" s="6" t="s">
        <v>4603</v>
      </c>
      <c r="C1422" s="26" t="n">
        <v>46074</v>
      </c>
      <c r="D1422" s="6" t="s">
        <v>5152</v>
      </c>
      <c r="E1422" s="6" t="s">
        <v>22</v>
      </c>
      <c r="F1422" s="6" t="n">
        <v>2</v>
      </c>
      <c r="G1422" s="10" t="n">
        <v>1672</v>
      </c>
      <c r="H1422" s="10" t="n">
        <f aca="false">F1422*G1422</f>
        <v>3344</v>
      </c>
      <c r="I1422" s="6" t="s">
        <v>5122</v>
      </c>
    </row>
    <row r="1423" customFormat="false" ht="15" hidden="false" customHeight="false" outlineLevel="0" collapsed="false">
      <c r="A1423" s="6" t="s">
        <v>6645</v>
      </c>
      <c r="B1423" s="6" t="s">
        <v>4083</v>
      </c>
      <c r="C1423" s="26" t="n">
        <v>46074</v>
      </c>
      <c r="D1423" s="6" t="s">
        <v>5129</v>
      </c>
      <c r="E1423" s="6" t="s">
        <v>21</v>
      </c>
      <c r="F1423" s="6" t="n">
        <v>2</v>
      </c>
      <c r="G1423" s="10" t="n">
        <v>559</v>
      </c>
      <c r="H1423" s="10" t="n">
        <f aca="false">F1423*G1423</f>
        <v>1118</v>
      </c>
      <c r="I1423" s="6" t="s">
        <v>5122</v>
      </c>
    </row>
    <row r="1424" customFormat="false" ht="15" hidden="false" customHeight="false" outlineLevel="0" collapsed="false">
      <c r="A1424" s="6" t="s">
        <v>6646</v>
      </c>
      <c r="B1424" s="6" t="s">
        <v>1283</v>
      </c>
      <c r="C1424" s="26" t="n">
        <v>46074</v>
      </c>
      <c r="D1424" s="6" t="s">
        <v>5171</v>
      </c>
      <c r="E1424" s="6" t="s">
        <v>23</v>
      </c>
      <c r="F1424" s="6" t="n">
        <v>2</v>
      </c>
      <c r="G1424" s="10" t="n">
        <v>734</v>
      </c>
      <c r="H1424" s="10" t="n">
        <f aca="false">F1424*G1424</f>
        <v>1468</v>
      </c>
      <c r="I1424" s="6" t="s">
        <v>5130</v>
      </c>
    </row>
    <row r="1425" customFormat="false" ht="15" hidden="false" customHeight="false" outlineLevel="0" collapsed="false">
      <c r="A1425" s="6" t="s">
        <v>6647</v>
      </c>
      <c r="B1425" s="6" t="s">
        <v>457</v>
      </c>
      <c r="C1425" s="26" t="n">
        <v>46074</v>
      </c>
      <c r="D1425" s="6" t="s">
        <v>5207</v>
      </c>
      <c r="E1425" s="6" t="s">
        <v>20</v>
      </c>
      <c r="F1425" s="6" t="n">
        <v>1</v>
      </c>
      <c r="G1425" s="10" t="n">
        <v>1258</v>
      </c>
      <c r="H1425" s="10" t="n">
        <f aca="false">F1425*G1425</f>
        <v>1258</v>
      </c>
      <c r="I1425" s="6" t="s">
        <v>5122</v>
      </c>
    </row>
    <row r="1426" customFormat="false" ht="15" hidden="false" customHeight="false" outlineLevel="0" collapsed="false">
      <c r="A1426" s="6" t="s">
        <v>6648</v>
      </c>
      <c r="B1426" s="6" t="s">
        <v>3305</v>
      </c>
      <c r="C1426" s="26" t="n">
        <v>46074</v>
      </c>
      <c r="D1426" s="6" t="s">
        <v>5683</v>
      </c>
      <c r="E1426" s="6" t="s">
        <v>22</v>
      </c>
      <c r="F1426" s="6" t="n">
        <v>1</v>
      </c>
      <c r="G1426" s="10" t="n">
        <v>1672</v>
      </c>
      <c r="H1426" s="10" t="n">
        <f aca="false">F1426*G1426</f>
        <v>1672</v>
      </c>
      <c r="I1426" s="6" t="s">
        <v>5122</v>
      </c>
    </row>
    <row r="1427" customFormat="false" ht="15" hidden="false" customHeight="false" outlineLevel="0" collapsed="false">
      <c r="A1427" s="6" t="s">
        <v>6649</v>
      </c>
      <c r="B1427" s="6" t="s">
        <v>901</v>
      </c>
      <c r="C1427" s="26" t="n">
        <v>46074</v>
      </c>
      <c r="D1427" s="6" t="s">
        <v>5242</v>
      </c>
      <c r="E1427" s="6" t="s">
        <v>23</v>
      </c>
      <c r="F1427" s="6" t="n">
        <v>1</v>
      </c>
      <c r="G1427" s="10" t="n">
        <v>354</v>
      </c>
      <c r="H1427" s="10" t="n">
        <f aca="false">F1427*G1427</f>
        <v>354</v>
      </c>
      <c r="I1427" s="6" t="s">
        <v>5125</v>
      </c>
    </row>
    <row r="1428" customFormat="false" ht="15" hidden="false" customHeight="false" outlineLevel="0" collapsed="false">
      <c r="A1428" s="6" t="s">
        <v>6650</v>
      </c>
      <c r="B1428" s="6" t="s">
        <v>833</v>
      </c>
      <c r="C1428" s="26" t="n">
        <v>46074</v>
      </c>
      <c r="D1428" s="6" t="s">
        <v>5167</v>
      </c>
      <c r="E1428" s="6" t="s">
        <v>22</v>
      </c>
      <c r="F1428" s="6" t="n">
        <v>1</v>
      </c>
      <c r="G1428" s="10" t="n">
        <v>782</v>
      </c>
      <c r="H1428" s="10" t="n">
        <f aca="false">F1428*G1428</f>
        <v>782</v>
      </c>
      <c r="I1428" s="6" t="s">
        <v>5148</v>
      </c>
    </row>
    <row r="1429" customFormat="false" ht="15" hidden="false" customHeight="false" outlineLevel="0" collapsed="false">
      <c r="A1429" s="6" t="s">
        <v>6651</v>
      </c>
      <c r="B1429" s="6" t="s">
        <v>4243</v>
      </c>
      <c r="C1429" s="26" t="n">
        <v>46074</v>
      </c>
      <c r="D1429" s="6" t="s">
        <v>5143</v>
      </c>
      <c r="E1429" s="6" t="s">
        <v>21</v>
      </c>
      <c r="F1429" s="6" t="n">
        <v>1</v>
      </c>
      <c r="G1429" s="10" t="n">
        <v>1179</v>
      </c>
      <c r="H1429" s="10" t="n">
        <f aca="false">F1429*G1429</f>
        <v>1179</v>
      </c>
      <c r="I1429" s="6" t="s">
        <v>5148</v>
      </c>
    </row>
    <row r="1430" customFormat="false" ht="15" hidden="false" customHeight="false" outlineLevel="0" collapsed="false">
      <c r="A1430" s="6" t="s">
        <v>6652</v>
      </c>
      <c r="B1430" s="6" t="s">
        <v>260</v>
      </c>
      <c r="C1430" s="26" t="n">
        <v>46074</v>
      </c>
      <c r="D1430" s="6" t="s">
        <v>5482</v>
      </c>
      <c r="E1430" s="6" t="s">
        <v>23</v>
      </c>
      <c r="F1430" s="6" t="n">
        <v>3</v>
      </c>
      <c r="G1430" s="10" t="n">
        <v>269</v>
      </c>
      <c r="H1430" s="10" t="n">
        <f aca="false">F1430*G1430</f>
        <v>807</v>
      </c>
      <c r="I1430" s="6" t="s">
        <v>5148</v>
      </c>
    </row>
    <row r="1431" customFormat="false" ht="15" hidden="false" customHeight="false" outlineLevel="0" collapsed="false">
      <c r="A1431" s="6" t="s">
        <v>6653</v>
      </c>
      <c r="B1431" s="6" t="s">
        <v>4725</v>
      </c>
      <c r="C1431" s="26" t="n">
        <v>46074</v>
      </c>
      <c r="D1431" s="6" t="s">
        <v>5121</v>
      </c>
      <c r="E1431" s="6" t="s">
        <v>22</v>
      </c>
      <c r="F1431" s="6" t="n">
        <v>2</v>
      </c>
      <c r="G1431" s="10" t="n">
        <v>977</v>
      </c>
      <c r="H1431" s="10" t="n">
        <f aca="false">F1431*G1431</f>
        <v>1954</v>
      </c>
      <c r="I1431" s="6" t="s">
        <v>5122</v>
      </c>
    </row>
    <row r="1432" customFormat="false" ht="15" hidden="false" customHeight="false" outlineLevel="0" collapsed="false">
      <c r="A1432" s="6" t="s">
        <v>6654</v>
      </c>
      <c r="B1432" s="6" t="s">
        <v>1375</v>
      </c>
      <c r="C1432" s="26" t="n">
        <v>46074</v>
      </c>
      <c r="D1432" s="6" t="s">
        <v>5345</v>
      </c>
      <c r="E1432" s="6" t="s">
        <v>23</v>
      </c>
      <c r="F1432" s="6" t="n">
        <v>1</v>
      </c>
      <c r="G1432" s="10" t="n">
        <v>436</v>
      </c>
      <c r="H1432" s="10" t="n">
        <f aca="false">F1432*G1432</f>
        <v>436</v>
      </c>
      <c r="I1432" s="6" t="s">
        <v>5122</v>
      </c>
    </row>
    <row r="1433" customFormat="false" ht="15" hidden="false" customHeight="false" outlineLevel="0" collapsed="false">
      <c r="A1433" s="6" t="s">
        <v>6655</v>
      </c>
      <c r="B1433" s="6" t="s">
        <v>4465</v>
      </c>
      <c r="C1433" s="26" t="n">
        <v>46074</v>
      </c>
      <c r="D1433" s="6" t="s">
        <v>5137</v>
      </c>
      <c r="E1433" s="6" t="s">
        <v>21</v>
      </c>
      <c r="F1433" s="6" t="n">
        <v>3</v>
      </c>
      <c r="G1433" s="10" t="n">
        <v>1768</v>
      </c>
      <c r="H1433" s="10" t="n">
        <f aca="false">F1433*G1433</f>
        <v>5304</v>
      </c>
      <c r="I1433" s="6" t="s">
        <v>5148</v>
      </c>
    </row>
    <row r="1434" customFormat="false" ht="15" hidden="false" customHeight="false" outlineLevel="0" collapsed="false">
      <c r="A1434" s="6" t="s">
        <v>6656</v>
      </c>
      <c r="B1434" s="6" t="s">
        <v>4657</v>
      </c>
      <c r="C1434" s="26" t="n">
        <v>46074</v>
      </c>
      <c r="D1434" s="6" t="s">
        <v>5353</v>
      </c>
      <c r="E1434" s="6" t="s">
        <v>24</v>
      </c>
      <c r="F1434" s="6" t="n">
        <v>3</v>
      </c>
      <c r="G1434" s="10" t="n">
        <v>1548</v>
      </c>
      <c r="H1434" s="10" t="n">
        <f aca="false">F1434*G1434</f>
        <v>4644</v>
      </c>
      <c r="I1434" s="6" t="s">
        <v>5130</v>
      </c>
    </row>
    <row r="1435" customFormat="false" ht="15" hidden="false" customHeight="false" outlineLevel="0" collapsed="false">
      <c r="A1435" s="6" t="s">
        <v>6657</v>
      </c>
      <c r="B1435" s="6" t="s">
        <v>366</v>
      </c>
      <c r="C1435" s="26" t="n">
        <v>46074</v>
      </c>
      <c r="D1435" s="6" t="s">
        <v>5163</v>
      </c>
      <c r="E1435" s="6" t="s">
        <v>23</v>
      </c>
      <c r="F1435" s="6" t="n">
        <v>3</v>
      </c>
      <c r="G1435" s="10" t="n">
        <v>783</v>
      </c>
      <c r="H1435" s="10" t="n">
        <f aca="false">F1435*G1435</f>
        <v>2349</v>
      </c>
      <c r="I1435" s="6" t="s">
        <v>5125</v>
      </c>
    </row>
    <row r="1436" customFormat="false" ht="15" hidden="false" customHeight="false" outlineLevel="0" collapsed="false">
      <c r="A1436" s="6" t="s">
        <v>6658</v>
      </c>
      <c r="B1436" s="6" t="s">
        <v>3073</v>
      </c>
      <c r="C1436" s="26" t="n">
        <v>46074</v>
      </c>
      <c r="D1436" s="6" t="s">
        <v>5357</v>
      </c>
      <c r="E1436" s="6" t="s">
        <v>23</v>
      </c>
      <c r="F1436" s="6" t="n">
        <v>2</v>
      </c>
      <c r="G1436" s="10" t="n">
        <v>534</v>
      </c>
      <c r="H1436" s="10" t="n">
        <f aca="false">F1436*G1436</f>
        <v>1068</v>
      </c>
      <c r="I1436" s="6" t="s">
        <v>5130</v>
      </c>
    </row>
    <row r="1437" customFormat="false" ht="15" hidden="false" customHeight="false" outlineLevel="0" collapsed="false">
      <c r="A1437" s="6" t="s">
        <v>6659</v>
      </c>
      <c r="B1437" s="6" t="s">
        <v>1443</v>
      </c>
      <c r="C1437" s="26" t="n">
        <v>46074</v>
      </c>
      <c r="D1437" s="6" t="s">
        <v>5383</v>
      </c>
      <c r="E1437" s="6" t="s">
        <v>20</v>
      </c>
      <c r="F1437" s="6" t="n">
        <v>1</v>
      </c>
      <c r="G1437" s="10" t="n">
        <v>1121</v>
      </c>
      <c r="H1437" s="10" t="n">
        <f aca="false">F1437*G1437</f>
        <v>1121</v>
      </c>
      <c r="I1437" s="6" t="s">
        <v>5148</v>
      </c>
    </row>
    <row r="1438" customFormat="false" ht="15" hidden="false" customHeight="false" outlineLevel="0" collapsed="false">
      <c r="A1438" s="6" t="s">
        <v>6660</v>
      </c>
      <c r="B1438" s="6" t="s">
        <v>398</v>
      </c>
      <c r="C1438" s="26" t="n">
        <v>46074</v>
      </c>
      <c r="D1438" s="6" t="s">
        <v>5259</v>
      </c>
      <c r="E1438" s="6" t="s">
        <v>22</v>
      </c>
      <c r="F1438" s="6" t="n">
        <v>2</v>
      </c>
      <c r="G1438" s="10" t="n">
        <v>1408</v>
      </c>
      <c r="H1438" s="10" t="n">
        <f aca="false">F1438*G1438</f>
        <v>2816</v>
      </c>
      <c r="I1438" s="6" t="s">
        <v>5122</v>
      </c>
    </row>
    <row r="1439" customFormat="false" ht="15" hidden="false" customHeight="false" outlineLevel="0" collapsed="false">
      <c r="A1439" s="6" t="s">
        <v>6661</v>
      </c>
      <c r="B1439" s="6" t="s">
        <v>2765</v>
      </c>
      <c r="C1439" s="26" t="n">
        <v>46074</v>
      </c>
      <c r="D1439" s="6" t="s">
        <v>5237</v>
      </c>
      <c r="E1439" s="6" t="s">
        <v>24</v>
      </c>
      <c r="F1439" s="6" t="n">
        <v>1</v>
      </c>
      <c r="G1439" s="10" t="n">
        <v>1741</v>
      </c>
      <c r="H1439" s="10" t="n">
        <f aca="false">F1439*G1439</f>
        <v>1741</v>
      </c>
      <c r="I1439" s="6" t="s">
        <v>5122</v>
      </c>
    </row>
    <row r="1440" customFormat="false" ht="15" hidden="false" customHeight="false" outlineLevel="0" collapsed="false">
      <c r="A1440" s="6" t="s">
        <v>6662</v>
      </c>
      <c r="B1440" s="6" t="s">
        <v>1755</v>
      </c>
      <c r="C1440" s="26" t="n">
        <v>46074</v>
      </c>
      <c r="D1440" s="6" t="s">
        <v>5466</v>
      </c>
      <c r="E1440" s="6" t="s">
        <v>21</v>
      </c>
      <c r="F1440" s="6" t="n">
        <v>1</v>
      </c>
      <c r="G1440" s="10" t="n">
        <v>1867</v>
      </c>
      <c r="H1440" s="10" t="n">
        <f aca="false">F1440*G1440</f>
        <v>1867</v>
      </c>
      <c r="I1440" s="6" t="s">
        <v>5122</v>
      </c>
    </row>
    <row r="1441" customFormat="false" ht="15" hidden="false" customHeight="false" outlineLevel="0" collapsed="false">
      <c r="A1441" s="6" t="s">
        <v>6663</v>
      </c>
      <c r="B1441" s="6" t="s">
        <v>1519</v>
      </c>
      <c r="C1441" s="26" t="n">
        <v>46074</v>
      </c>
      <c r="D1441" s="6" t="s">
        <v>5197</v>
      </c>
      <c r="E1441" s="6" t="s">
        <v>21</v>
      </c>
      <c r="F1441" s="6" t="n">
        <v>1</v>
      </c>
      <c r="G1441" s="10" t="n">
        <v>972</v>
      </c>
      <c r="H1441" s="10" t="n">
        <f aca="false">F1441*G1441</f>
        <v>972</v>
      </c>
      <c r="I1441" s="6" t="s">
        <v>5133</v>
      </c>
    </row>
    <row r="1442" customFormat="false" ht="15" hidden="false" customHeight="false" outlineLevel="0" collapsed="false">
      <c r="A1442" s="6" t="s">
        <v>6664</v>
      </c>
      <c r="B1442" s="6" t="s">
        <v>1351</v>
      </c>
      <c r="C1442" s="26" t="n">
        <v>46074</v>
      </c>
      <c r="D1442" s="6" t="s">
        <v>5141</v>
      </c>
      <c r="E1442" s="6" t="s">
        <v>20</v>
      </c>
      <c r="F1442" s="6" t="n">
        <v>1</v>
      </c>
      <c r="G1442" s="10" t="n">
        <v>1835</v>
      </c>
      <c r="H1442" s="10" t="n">
        <f aca="false">F1442*G1442</f>
        <v>1835</v>
      </c>
      <c r="I1442" s="6" t="s">
        <v>5122</v>
      </c>
    </row>
    <row r="1443" customFormat="false" ht="15" hidden="false" customHeight="false" outlineLevel="0" collapsed="false">
      <c r="A1443" s="6" t="s">
        <v>6665</v>
      </c>
      <c r="B1443" s="6" t="s">
        <v>1189</v>
      </c>
      <c r="C1443" s="26" t="n">
        <v>46074</v>
      </c>
      <c r="D1443" s="6" t="s">
        <v>5200</v>
      </c>
      <c r="E1443" s="6" t="s">
        <v>24</v>
      </c>
      <c r="F1443" s="6" t="n">
        <v>2</v>
      </c>
      <c r="G1443" s="10" t="n">
        <v>763</v>
      </c>
      <c r="H1443" s="10" t="n">
        <f aca="false">F1443*G1443</f>
        <v>1526</v>
      </c>
      <c r="I1443" s="6" t="s">
        <v>5148</v>
      </c>
    </row>
    <row r="1444" customFormat="false" ht="15" hidden="false" customHeight="false" outlineLevel="0" collapsed="false">
      <c r="A1444" s="6" t="s">
        <v>6666</v>
      </c>
      <c r="B1444" s="6" t="s">
        <v>426</v>
      </c>
      <c r="C1444" s="26" t="n">
        <v>46074</v>
      </c>
      <c r="D1444" s="6" t="s">
        <v>5197</v>
      </c>
      <c r="E1444" s="6" t="s">
        <v>21</v>
      </c>
      <c r="F1444" s="6" t="n">
        <v>1</v>
      </c>
      <c r="G1444" s="10" t="n">
        <v>1026</v>
      </c>
      <c r="H1444" s="10" t="n">
        <f aca="false">F1444*G1444</f>
        <v>1026</v>
      </c>
      <c r="I1444" s="6" t="s">
        <v>5125</v>
      </c>
    </row>
    <row r="1445" customFormat="false" ht="15" hidden="false" customHeight="false" outlineLevel="0" collapsed="false">
      <c r="A1445" s="6" t="s">
        <v>6667</v>
      </c>
      <c r="B1445" s="6" t="s">
        <v>2841</v>
      </c>
      <c r="C1445" s="26" t="n">
        <v>46074</v>
      </c>
      <c r="D1445" s="6" t="s">
        <v>5175</v>
      </c>
      <c r="E1445" s="6" t="s">
        <v>24</v>
      </c>
      <c r="F1445" s="6" t="n">
        <v>1</v>
      </c>
      <c r="G1445" s="10" t="n">
        <v>611</v>
      </c>
      <c r="H1445" s="10" t="n">
        <f aca="false">F1445*G1445</f>
        <v>611</v>
      </c>
      <c r="I1445" s="6" t="s">
        <v>5130</v>
      </c>
    </row>
    <row r="1446" customFormat="false" ht="15" hidden="false" customHeight="false" outlineLevel="0" collapsed="false">
      <c r="A1446" s="6" t="s">
        <v>6668</v>
      </c>
      <c r="B1446" s="6" t="s">
        <v>3921</v>
      </c>
      <c r="C1446" s="26" t="n">
        <v>46075</v>
      </c>
      <c r="D1446" s="6" t="s">
        <v>5357</v>
      </c>
      <c r="E1446" s="6" t="s">
        <v>23</v>
      </c>
      <c r="F1446" s="6" t="n">
        <v>1</v>
      </c>
      <c r="G1446" s="10" t="n">
        <v>533</v>
      </c>
      <c r="H1446" s="10" t="n">
        <f aca="false">F1446*G1446</f>
        <v>533</v>
      </c>
      <c r="I1446" s="6" t="s">
        <v>5173</v>
      </c>
    </row>
    <row r="1447" customFormat="false" ht="15" hidden="false" customHeight="false" outlineLevel="0" collapsed="false">
      <c r="A1447" s="6" t="s">
        <v>6669</v>
      </c>
      <c r="B1447" s="6" t="s">
        <v>2017</v>
      </c>
      <c r="C1447" s="26" t="n">
        <v>46075</v>
      </c>
      <c r="D1447" s="6" t="s">
        <v>5167</v>
      </c>
      <c r="E1447" s="6" t="s">
        <v>22</v>
      </c>
      <c r="F1447" s="6" t="n">
        <v>1</v>
      </c>
      <c r="G1447" s="10" t="n">
        <v>703</v>
      </c>
      <c r="H1447" s="10" t="n">
        <f aca="false">F1447*G1447</f>
        <v>703</v>
      </c>
      <c r="I1447" s="6" t="s">
        <v>5148</v>
      </c>
    </row>
    <row r="1448" customFormat="false" ht="15" hidden="false" customHeight="false" outlineLevel="0" collapsed="false">
      <c r="A1448" s="6" t="s">
        <v>6670</v>
      </c>
      <c r="B1448" s="6" t="s">
        <v>4555</v>
      </c>
      <c r="C1448" s="26" t="n">
        <v>46075</v>
      </c>
      <c r="D1448" s="6" t="s">
        <v>5167</v>
      </c>
      <c r="E1448" s="6" t="s">
        <v>22</v>
      </c>
      <c r="F1448" s="6" t="n">
        <v>2</v>
      </c>
      <c r="G1448" s="10" t="n">
        <v>782</v>
      </c>
      <c r="H1448" s="10" t="n">
        <f aca="false">F1448*G1448</f>
        <v>1564</v>
      </c>
      <c r="I1448" s="6" t="s">
        <v>5122</v>
      </c>
    </row>
    <row r="1449" customFormat="false" ht="15" hidden="false" customHeight="false" outlineLevel="0" collapsed="false">
      <c r="A1449" s="6" t="s">
        <v>6671</v>
      </c>
      <c r="B1449" s="6" t="s">
        <v>2311</v>
      </c>
      <c r="C1449" s="26" t="n">
        <v>46075</v>
      </c>
      <c r="D1449" s="6" t="s">
        <v>5171</v>
      </c>
      <c r="E1449" s="6" t="s">
        <v>23</v>
      </c>
      <c r="F1449" s="6" t="n">
        <v>2</v>
      </c>
      <c r="G1449" s="10" t="n">
        <v>734</v>
      </c>
      <c r="H1449" s="10" t="n">
        <f aca="false">F1449*G1449</f>
        <v>1468</v>
      </c>
      <c r="I1449" s="6" t="s">
        <v>5125</v>
      </c>
    </row>
    <row r="1450" customFormat="false" ht="15" hidden="false" customHeight="false" outlineLevel="0" collapsed="false">
      <c r="A1450" s="6" t="s">
        <v>6672</v>
      </c>
      <c r="B1450" s="6" t="s">
        <v>5055</v>
      </c>
      <c r="C1450" s="26" t="n">
        <v>46075</v>
      </c>
      <c r="D1450" s="6" t="s">
        <v>5137</v>
      </c>
      <c r="E1450" s="6" t="s">
        <v>21</v>
      </c>
      <c r="F1450" s="6" t="n">
        <v>1</v>
      </c>
      <c r="G1450" s="10" t="n">
        <v>1768</v>
      </c>
      <c r="H1450" s="10" t="n">
        <f aca="false">F1450*G1450</f>
        <v>1768</v>
      </c>
      <c r="I1450" s="6" t="s">
        <v>5130</v>
      </c>
    </row>
    <row r="1451" customFormat="false" ht="15" hidden="false" customHeight="false" outlineLevel="0" collapsed="false">
      <c r="A1451" s="6" t="s">
        <v>6673</v>
      </c>
      <c r="B1451" s="6" t="s">
        <v>1123</v>
      </c>
      <c r="C1451" s="26" t="n">
        <v>46075</v>
      </c>
      <c r="D1451" s="6" t="s">
        <v>5691</v>
      </c>
      <c r="E1451" s="6" t="s">
        <v>21</v>
      </c>
      <c r="F1451" s="6" t="n">
        <v>1</v>
      </c>
      <c r="G1451" s="10" t="n">
        <v>5897</v>
      </c>
      <c r="H1451" s="10" t="n">
        <f aca="false">F1451*G1451</f>
        <v>5897</v>
      </c>
      <c r="I1451" s="6" t="s">
        <v>5148</v>
      </c>
    </row>
    <row r="1452" customFormat="false" ht="15" hidden="false" customHeight="false" outlineLevel="0" collapsed="false">
      <c r="A1452" s="6" t="s">
        <v>6674</v>
      </c>
      <c r="B1452" s="6" t="s">
        <v>2077</v>
      </c>
      <c r="C1452" s="26" t="n">
        <v>46075</v>
      </c>
      <c r="D1452" s="6" t="s">
        <v>5132</v>
      </c>
      <c r="E1452" s="6" t="s">
        <v>23</v>
      </c>
      <c r="F1452" s="6" t="n">
        <v>4</v>
      </c>
      <c r="G1452" s="10" t="n">
        <v>342</v>
      </c>
      <c r="H1452" s="10" t="n">
        <f aca="false">F1452*G1452</f>
        <v>1368</v>
      </c>
      <c r="I1452" s="6" t="s">
        <v>5173</v>
      </c>
    </row>
    <row r="1453" customFormat="false" ht="15" hidden="false" customHeight="false" outlineLevel="0" collapsed="false">
      <c r="A1453" s="6" t="s">
        <v>6675</v>
      </c>
      <c r="B1453" s="6" t="s">
        <v>3417</v>
      </c>
      <c r="C1453" s="26" t="n">
        <v>46075</v>
      </c>
      <c r="D1453" s="6" t="s">
        <v>5220</v>
      </c>
      <c r="E1453" s="6" t="s">
        <v>24</v>
      </c>
      <c r="F1453" s="6" t="n">
        <v>1</v>
      </c>
      <c r="G1453" s="10" t="n">
        <v>1121</v>
      </c>
      <c r="H1453" s="10" t="n">
        <f aca="false">F1453*G1453</f>
        <v>1121</v>
      </c>
      <c r="I1453" s="6" t="s">
        <v>5122</v>
      </c>
    </row>
    <row r="1454" customFormat="false" ht="15" hidden="false" customHeight="false" outlineLevel="0" collapsed="false">
      <c r="A1454" s="6" t="s">
        <v>6676</v>
      </c>
      <c r="B1454" s="6" t="s">
        <v>2343</v>
      </c>
      <c r="C1454" s="26" t="n">
        <v>46075</v>
      </c>
      <c r="D1454" s="6" t="s">
        <v>5345</v>
      </c>
      <c r="E1454" s="6" t="s">
        <v>23</v>
      </c>
      <c r="F1454" s="6" t="n">
        <v>1</v>
      </c>
      <c r="G1454" s="10" t="n">
        <v>435</v>
      </c>
      <c r="H1454" s="10" t="n">
        <f aca="false">F1454*G1454</f>
        <v>435</v>
      </c>
      <c r="I1454" s="6" t="s">
        <v>5130</v>
      </c>
    </row>
    <row r="1455" customFormat="false" ht="15" hidden="false" customHeight="false" outlineLevel="0" collapsed="false">
      <c r="A1455" s="6" t="s">
        <v>6677</v>
      </c>
      <c r="B1455" s="6" t="s">
        <v>3633</v>
      </c>
      <c r="C1455" s="26" t="n">
        <v>46075</v>
      </c>
      <c r="D1455" s="6" t="s">
        <v>5303</v>
      </c>
      <c r="E1455" s="6" t="s">
        <v>22</v>
      </c>
      <c r="F1455" s="6" t="n">
        <v>2</v>
      </c>
      <c r="G1455" s="10" t="n">
        <v>2445</v>
      </c>
      <c r="H1455" s="10" t="n">
        <f aca="false">F1455*G1455</f>
        <v>4890</v>
      </c>
      <c r="I1455" s="6" t="s">
        <v>5122</v>
      </c>
    </row>
    <row r="1456" customFormat="false" ht="15" hidden="false" customHeight="false" outlineLevel="0" collapsed="false">
      <c r="A1456" s="6" t="s">
        <v>6678</v>
      </c>
      <c r="B1456" s="6" t="s">
        <v>3211</v>
      </c>
      <c r="C1456" s="26" t="n">
        <v>46075</v>
      </c>
      <c r="D1456" s="6" t="s">
        <v>5561</v>
      </c>
      <c r="E1456" s="6" t="s">
        <v>20</v>
      </c>
      <c r="F1456" s="6" t="n">
        <v>1</v>
      </c>
      <c r="G1456" s="10" t="n">
        <v>3364</v>
      </c>
      <c r="H1456" s="10" t="n">
        <f aca="false">F1456*G1456</f>
        <v>3364</v>
      </c>
      <c r="I1456" s="6" t="s">
        <v>5148</v>
      </c>
    </row>
    <row r="1457" customFormat="false" ht="15" hidden="false" customHeight="false" outlineLevel="0" collapsed="false">
      <c r="A1457" s="6" t="s">
        <v>6679</v>
      </c>
      <c r="B1457" s="6" t="s">
        <v>4699</v>
      </c>
      <c r="C1457" s="26" t="n">
        <v>46075</v>
      </c>
      <c r="D1457" s="6" t="s">
        <v>5220</v>
      </c>
      <c r="E1457" s="6" t="s">
        <v>24</v>
      </c>
      <c r="F1457" s="6" t="n">
        <v>1</v>
      </c>
      <c r="G1457" s="10" t="n">
        <v>1064</v>
      </c>
      <c r="H1457" s="10" t="n">
        <f aca="false">F1457*G1457</f>
        <v>1064</v>
      </c>
      <c r="I1457" s="6" t="s">
        <v>5148</v>
      </c>
    </row>
    <row r="1458" customFormat="false" ht="15" hidden="false" customHeight="false" outlineLevel="0" collapsed="false">
      <c r="A1458" s="6" t="s">
        <v>6680</v>
      </c>
      <c r="B1458" s="6" t="s">
        <v>3087</v>
      </c>
      <c r="C1458" s="26" t="n">
        <v>46075</v>
      </c>
      <c r="D1458" s="6" t="s">
        <v>5561</v>
      </c>
      <c r="E1458" s="6" t="s">
        <v>20</v>
      </c>
      <c r="F1458" s="6" t="n">
        <v>2</v>
      </c>
      <c r="G1458" s="10" t="n">
        <v>3364</v>
      </c>
      <c r="H1458" s="10" t="n">
        <f aca="false">F1458*G1458</f>
        <v>6728</v>
      </c>
      <c r="I1458" s="6" t="s">
        <v>5148</v>
      </c>
    </row>
    <row r="1459" customFormat="false" ht="15" hidden="false" customHeight="false" outlineLevel="0" collapsed="false">
      <c r="A1459" s="6" t="s">
        <v>6681</v>
      </c>
      <c r="B1459" s="6" t="s">
        <v>1737</v>
      </c>
      <c r="C1459" s="26" t="n">
        <v>46075</v>
      </c>
      <c r="D1459" s="6" t="s">
        <v>5357</v>
      </c>
      <c r="E1459" s="6" t="s">
        <v>23</v>
      </c>
      <c r="F1459" s="6" t="n">
        <v>3</v>
      </c>
      <c r="G1459" s="10" t="n">
        <v>534</v>
      </c>
      <c r="H1459" s="10" t="n">
        <f aca="false">F1459*G1459</f>
        <v>1602</v>
      </c>
      <c r="I1459" s="6" t="s">
        <v>5148</v>
      </c>
    </row>
    <row r="1460" customFormat="false" ht="15" hidden="false" customHeight="false" outlineLevel="0" collapsed="false">
      <c r="A1460" s="6" t="s">
        <v>6682</v>
      </c>
      <c r="B1460" s="6" t="s">
        <v>2427</v>
      </c>
      <c r="C1460" s="26" t="n">
        <v>46075</v>
      </c>
      <c r="D1460" s="6" t="s">
        <v>5132</v>
      </c>
      <c r="E1460" s="6" t="s">
        <v>23</v>
      </c>
      <c r="F1460" s="6" t="n">
        <v>3</v>
      </c>
      <c r="G1460" s="10" t="n">
        <v>342</v>
      </c>
      <c r="H1460" s="10" t="n">
        <f aca="false">F1460*G1460</f>
        <v>1026</v>
      </c>
      <c r="I1460" s="6" t="s">
        <v>5122</v>
      </c>
    </row>
    <row r="1461" customFormat="false" ht="15" hidden="false" customHeight="false" outlineLevel="0" collapsed="false">
      <c r="A1461" s="6" t="s">
        <v>6683</v>
      </c>
      <c r="B1461" s="6" t="s">
        <v>5097</v>
      </c>
      <c r="C1461" s="26" t="n">
        <v>46075</v>
      </c>
      <c r="D1461" s="6" t="s">
        <v>5127</v>
      </c>
      <c r="E1461" s="6" t="s">
        <v>21</v>
      </c>
      <c r="F1461" s="6" t="n">
        <v>1</v>
      </c>
      <c r="G1461" s="10" t="n">
        <v>795</v>
      </c>
      <c r="H1461" s="10" t="n">
        <f aca="false">F1461*G1461</f>
        <v>795</v>
      </c>
      <c r="I1461" s="6" t="s">
        <v>5130</v>
      </c>
    </row>
    <row r="1462" customFormat="false" ht="15" hidden="false" customHeight="false" outlineLevel="0" collapsed="false">
      <c r="A1462" s="6" t="s">
        <v>6684</v>
      </c>
      <c r="B1462" s="6" t="s">
        <v>2009</v>
      </c>
      <c r="C1462" s="26" t="n">
        <v>46075</v>
      </c>
      <c r="D1462" s="6" t="s">
        <v>5129</v>
      </c>
      <c r="E1462" s="6" t="s">
        <v>21</v>
      </c>
      <c r="F1462" s="6" t="n">
        <v>1</v>
      </c>
      <c r="G1462" s="10" t="n">
        <v>589</v>
      </c>
      <c r="H1462" s="10" t="n">
        <f aca="false">F1462*G1462</f>
        <v>589</v>
      </c>
      <c r="I1462" s="6" t="s">
        <v>5122</v>
      </c>
    </row>
    <row r="1463" customFormat="false" ht="15" hidden="false" customHeight="false" outlineLevel="0" collapsed="false">
      <c r="A1463" s="6" t="s">
        <v>6685</v>
      </c>
      <c r="B1463" s="6" t="s">
        <v>3837</v>
      </c>
      <c r="C1463" s="26" t="n">
        <v>46075</v>
      </c>
      <c r="D1463" s="6" t="s">
        <v>5488</v>
      </c>
      <c r="E1463" s="6" t="s">
        <v>24</v>
      </c>
      <c r="F1463" s="6" t="n">
        <v>1</v>
      </c>
      <c r="G1463" s="10" t="n">
        <v>866</v>
      </c>
      <c r="H1463" s="10" t="n">
        <f aca="false">F1463*G1463</f>
        <v>866</v>
      </c>
      <c r="I1463" s="6" t="s">
        <v>5125</v>
      </c>
    </row>
    <row r="1464" customFormat="false" ht="15" hidden="false" customHeight="false" outlineLevel="0" collapsed="false">
      <c r="A1464" s="6" t="s">
        <v>6686</v>
      </c>
      <c r="B1464" s="6" t="s">
        <v>2255</v>
      </c>
      <c r="C1464" s="26" t="n">
        <v>46075</v>
      </c>
      <c r="D1464" s="6" t="s">
        <v>5190</v>
      </c>
      <c r="E1464" s="6" t="s">
        <v>24</v>
      </c>
      <c r="F1464" s="6" t="n">
        <v>1</v>
      </c>
      <c r="G1464" s="10" t="n">
        <v>580</v>
      </c>
      <c r="H1464" s="10" t="n">
        <f aca="false">F1464*G1464</f>
        <v>580</v>
      </c>
      <c r="I1464" s="6" t="s">
        <v>5122</v>
      </c>
    </row>
    <row r="1465" customFormat="false" ht="15" hidden="false" customHeight="false" outlineLevel="0" collapsed="false">
      <c r="A1465" s="6" t="s">
        <v>6687</v>
      </c>
      <c r="B1465" s="6" t="s">
        <v>2749</v>
      </c>
      <c r="C1465" s="26" t="n">
        <v>46075</v>
      </c>
      <c r="D1465" s="6" t="s">
        <v>5121</v>
      </c>
      <c r="E1465" s="6" t="s">
        <v>22</v>
      </c>
      <c r="F1465" s="6" t="n">
        <v>1</v>
      </c>
      <c r="G1465" s="10" t="n">
        <v>880</v>
      </c>
      <c r="H1465" s="10" t="n">
        <f aca="false">F1465*G1465</f>
        <v>880</v>
      </c>
      <c r="I1465" s="6" t="s">
        <v>5122</v>
      </c>
    </row>
    <row r="1466" customFormat="false" ht="15" hidden="false" customHeight="false" outlineLevel="0" collapsed="false">
      <c r="A1466" s="6" t="s">
        <v>6688</v>
      </c>
      <c r="B1466" s="6" t="s">
        <v>356</v>
      </c>
      <c r="C1466" s="26" t="n">
        <v>46075</v>
      </c>
      <c r="D1466" s="6" t="s">
        <v>5132</v>
      </c>
      <c r="E1466" s="6" t="s">
        <v>23</v>
      </c>
      <c r="F1466" s="6" t="n">
        <v>1</v>
      </c>
      <c r="G1466" s="10" t="n">
        <v>341</v>
      </c>
      <c r="H1466" s="10" t="n">
        <f aca="false">F1466*G1466</f>
        <v>341</v>
      </c>
      <c r="I1466" s="6" t="s">
        <v>5122</v>
      </c>
    </row>
    <row r="1467" customFormat="false" ht="15" hidden="false" customHeight="false" outlineLevel="0" collapsed="false">
      <c r="A1467" s="6" t="s">
        <v>6689</v>
      </c>
      <c r="B1467" s="6" t="s">
        <v>4429</v>
      </c>
      <c r="C1467" s="26" t="n">
        <v>46075</v>
      </c>
      <c r="D1467" s="6" t="s">
        <v>6101</v>
      </c>
      <c r="E1467" s="6" t="s">
        <v>20</v>
      </c>
      <c r="F1467" s="6" t="n">
        <v>1</v>
      </c>
      <c r="G1467" s="10" t="n">
        <v>22434</v>
      </c>
      <c r="H1467" s="10" t="n">
        <f aca="false">F1467*G1467</f>
        <v>22434</v>
      </c>
      <c r="I1467" s="6" t="s">
        <v>5125</v>
      </c>
    </row>
    <row r="1468" customFormat="false" ht="15" hidden="false" customHeight="false" outlineLevel="0" collapsed="false">
      <c r="A1468" s="6" t="s">
        <v>6690</v>
      </c>
      <c r="B1468" s="6" t="s">
        <v>1465</v>
      </c>
      <c r="C1468" s="26" t="n">
        <v>46075</v>
      </c>
      <c r="D1468" s="6" t="s">
        <v>5269</v>
      </c>
      <c r="E1468" s="6" t="s">
        <v>22</v>
      </c>
      <c r="F1468" s="6" t="n">
        <v>1</v>
      </c>
      <c r="G1468" s="10" t="n">
        <v>1271</v>
      </c>
      <c r="H1468" s="10" t="n">
        <f aca="false">F1468*G1468</f>
        <v>1271</v>
      </c>
      <c r="I1468" s="6" t="s">
        <v>5122</v>
      </c>
    </row>
    <row r="1469" customFormat="false" ht="15" hidden="false" customHeight="false" outlineLevel="0" collapsed="false">
      <c r="A1469" s="6" t="s">
        <v>6691</v>
      </c>
      <c r="B1469" s="6" t="s">
        <v>1513</v>
      </c>
      <c r="C1469" s="26" t="n">
        <v>46075</v>
      </c>
      <c r="D1469" s="6" t="s">
        <v>5456</v>
      </c>
      <c r="E1469" s="6" t="s">
        <v>24</v>
      </c>
      <c r="F1469" s="6" t="n">
        <v>2</v>
      </c>
      <c r="G1469" s="10" t="n">
        <v>912</v>
      </c>
      <c r="H1469" s="10" t="n">
        <f aca="false">F1469*G1469</f>
        <v>1824</v>
      </c>
      <c r="I1469" s="6" t="s">
        <v>5148</v>
      </c>
    </row>
    <row r="1470" customFormat="false" ht="15" hidden="false" customHeight="false" outlineLevel="0" collapsed="false">
      <c r="A1470" s="6" t="s">
        <v>6692</v>
      </c>
      <c r="B1470" s="6" t="s">
        <v>1725</v>
      </c>
      <c r="C1470" s="26" t="n">
        <v>46075</v>
      </c>
      <c r="D1470" s="6" t="s">
        <v>5124</v>
      </c>
      <c r="E1470" s="6" t="s">
        <v>21</v>
      </c>
      <c r="F1470" s="6" t="n">
        <v>1</v>
      </c>
      <c r="G1470" s="10" t="n">
        <v>3439</v>
      </c>
      <c r="H1470" s="10" t="n">
        <f aca="false">F1470*G1470</f>
        <v>3439</v>
      </c>
      <c r="I1470" s="6" t="s">
        <v>5122</v>
      </c>
    </row>
    <row r="1471" customFormat="false" ht="15" hidden="false" customHeight="false" outlineLevel="0" collapsed="false">
      <c r="A1471" s="6" t="s">
        <v>6693</v>
      </c>
      <c r="B1471" s="6" t="s">
        <v>4839</v>
      </c>
      <c r="C1471" s="26" t="n">
        <v>46075</v>
      </c>
      <c r="D1471" s="6" t="s">
        <v>5152</v>
      </c>
      <c r="E1471" s="6" t="s">
        <v>22</v>
      </c>
      <c r="F1471" s="6" t="n">
        <v>2</v>
      </c>
      <c r="G1471" s="10" t="n">
        <v>1584</v>
      </c>
      <c r="H1471" s="10" t="n">
        <f aca="false">F1471*G1471</f>
        <v>3168</v>
      </c>
      <c r="I1471" s="6" t="s">
        <v>5148</v>
      </c>
    </row>
    <row r="1472" customFormat="false" ht="15" hidden="false" customHeight="false" outlineLevel="0" collapsed="false">
      <c r="A1472" s="6" t="s">
        <v>6694</v>
      </c>
      <c r="B1472" s="6" t="s">
        <v>340</v>
      </c>
      <c r="C1472" s="26" t="n">
        <v>46075</v>
      </c>
      <c r="D1472" s="6" t="s">
        <v>5214</v>
      </c>
      <c r="E1472" s="6" t="s">
        <v>20</v>
      </c>
      <c r="F1472" s="6" t="n">
        <v>1</v>
      </c>
      <c r="G1472" s="10" t="n">
        <v>2039</v>
      </c>
      <c r="H1472" s="10" t="n">
        <f aca="false">F1472*G1472</f>
        <v>2039</v>
      </c>
      <c r="I1472" s="6" t="s">
        <v>5130</v>
      </c>
    </row>
    <row r="1473" customFormat="false" ht="15" hidden="false" customHeight="false" outlineLevel="0" collapsed="false">
      <c r="A1473" s="6" t="s">
        <v>6695</v>
      </c>
      <c r="B1473" s="6" t="s">
        <v>4353</v>
      </c>
      <c r="C1473" s="26" t="n">
        <v>46075</v>
      </c>
      <c r="D1473" s="6" t="s">
        <v>5245</v>
      </c>
      <c r="E1473" s="6" t="s">
        <v>21</v>
      </c>
      <c r="F1473" s="6" t="n">
        <v>1</v>
      </c>
      <c r="G1473" s="10" t="n">
        <v>2456</v>
      </c>
      <c r="H1473" s="10" t="n">
        <f aca="false">F1473*G1473</f>
        <v>2456</v>
      </c>
      <c r="I1473" s="6" t="s">
        <v>5130</v>
      </c>
    </row>
    <row r="1474" customFormat="false" ht="15" hidden="false" customHeight="false" outlineLevel="0" collapsed="false">
      <c r="A1474" s="6" t="s">
        <v>6696</v>
      </c>
      <c r="B1474" s="6" t="s">
        <v>4933</v>
      </c>
      <c r="C1474" s="26" t="n">
        <v>46075</v>
      </c>
      <c r="D1474" s="6" t="s">
        <v>5180</v>
      </c>
      <c r="E1474" s="6" t="s">
        <v>24</v>
      </c>
      <c r="F1474" s="6" t="n">
        <v>1</v>
      </c>
      <c r="G1474" s="10" t="n">
        <v>1987</v>
      </c>
      <c r="H1474" s="10" t="n">
        <f aca="false">F1474*G1474</f>
        <v>1987</v>
      </c>
      <c r="I1474" s="6" t="s">
        <v>5122</v>
      </c>
    </row>
    <row r="1475" customFormat="false" ht="15" hidden="false" customHeight="false" outlineLevel="0" collapsed="false">
      <c r="A1475" s="6" t="s">
        <v>6697</v>
      </c>
      <c r="B1475" s="6" t="s">
        <v>1137</v>
      </c>
      <c r="C1475" s="26" t="n">
        <v>46075</v>
      </c>
      <c r="D1475" s="6" t="s">
        <v>5171</v>
      </c>
      <c r="E1475" s="6" t="s">
        <v>23</v>
      </c>
      <c r="F1475" s="6" t="n">
        <v>2</v>
      </c>
      <c r="G1475" s="10" t="n">
        <v>661</v>
      </c>
      <c r="H1475" s="10" t="n">
        <f aca="false">F1475*G1475</f>
        <v>1322</v>
      </c>
      <c r="I1475" s="6" t="s">
        <v>5122</v>
      </c>
    </row>
    <row r="1476" customFormat="false" ht="15" hidden="false" customHeight="false" outlineLevel="0" collapsed="false">
      <c r="A1476" s="6" t="s">
        <v>6698</v>
      </c>
      <c r="B1476" s="6" t="s">
        <v>5055</v>
      </c>
      <c r="C1476" s="26" t="n">
        <v>46076</v>
      </c>
      <c r="D1476" s="6" t="s">
        <v>5167</v>
      </c>
      <c r="E1476" s="6" t="s">
        <v>22</v>
      </c>
      <c r="F1476" s="6" t="n">
        <v>2</v>
      </c>
      <c r="G1476" s="10" t="n">
        <v>782</v>
      </c>
      <c r="H1476" s="10" t="n">
        <f aca="false">F1476*G1476</f>
        <v>1564</v>
      </c>
      <c r="I1476" s="6" t="s">
        <v>5122</v>
      </c>
    </row>
    <row r="1477" customFormat="false" ht="15" hidden="false" customHeight="false" outlineLevel="0" collapsed="false">
      <c r="A1477" s="6" t="s">
        <v>6699</v>
      </c>
      <c r="B1477" s="6" t="s">
        <v>1113</v>
      </c>
      <c r="C1477" s="26" t="n">
        <v>46076</v>
      </c>
      <c r="D1477" s="6" t="s">
        <v>5169</v>
      </c>
      <c r="E1477" s="6" t="s">
        <v>20</v>
      </c>
      <c r="F1477" s="6" t="n">
        <v>1</v>
      </c>
      <c r="G1477" s="10" t="n">
        <v>5098</v>
      </c>
      <c r="H1477" s="10" t="n">
        <f aca="false">F1477*G1477</f>
        <v>5098</v>
      </c>
      <c r="I1477" s="6" t="s">
        <v>5130</v>
      </c>
    </row>
    <row r="1478" customFormat="false" ht="15" hidden="false" customHeight="false" outlineLevel="0" collapsed="false">
      <c r="A1478" s="6" t="s">
        <v>6700</v>
      </c>
      <c r="B1478" s="6" t="s">
        <v>571</v>
      </c>
      <c r="C1478" s="26" t="n">
        <v>46076</v>
      </c>
      <c r="D1478" s="6" t="s">
        <v>5460</v>
      </c>
      <c r="E1478" s="6" t="s">
        <v>24</v>
      </c>
      <c r="F1478" s="6" t="n">
        <v>2</v>
      </c>
      <c r="G1478" s="10" t="n">
        <v>528</v>
      </c>
      <c r="H1478" s="10" t="n">
        <f aca="false">F1478*G1478</f>
        <v>1056</v>
      </c>
      <c r="I1478" s="6" t="s">
        <v>5130</v>
      </c>
    </row>
    <row r="1479" customFormat="false" ht="15" hidden="false" customHeight="false" outlineLevel="0" collapsed="false">
      <c r="A1479" s="6" t="s">
        <v>6701</v>
      </c>
      <c r="B1479" s="6" t="s">
        <v>3121</v>
      </c>
      <c r="C1479" s="26" t="n">
        <v>46076</v>
      </c>
      <c r="D1479" s="6" t="s">
        <v>5167</v>
      </c>
      <c r="E1479" s="6" t="s">
        <v>22</v>
      </c>
      <c r="F1479" s="6" t="n">
        <v>1</v>
      </c>
      <c r="G1479" s="10" t="n">
        <v>703</v>
      </c>
      <c r="H1479" s="10" t="n">
        <f aca="false">F1479*G1479</f>
        <v>703</v>
      </c>
      <c r="I1479" s="6" t="s">
        <v>5122</v>
      </c>
    </row>
    <row r="1480" customFormat="false" ht="15" hidden="false" customHeight="false" outlineLevel="0" collapsed="false">
      <c r="A1480" s="6" t="s">
        <v>6702</v>
      </c>
      <c r="B1480" s="6" t="s">
        <v>4973</v>
      </c>
      <c r="C1480" s="26" t="n">
        <v>46076</v>
      </c>
      <c r="D1480" s="6" t="s">
        <v>5216</v>
      </c>
      <c r="E1480" s="6" t="s">
        <v>23</v>
      </c>
      <c r="F1480" s="6" t="n">
        <v>2</v>
      </c>
      <c r="G1480" s="10" t="n">
        <v>587</v>
      </c>
      <c r="H1480" s="10" t="n">
        <f aca="false">F1480*G1480</f>
        <v>1174</v>
      </c>
      <c r="I1480" s="6" t="s">
        <v>5122</v>
      </c>
    </row>
    <row r="1481" customFormat="false" ht="15" hidden="false" customHeight="false" outlineLevel="0" collapsed="false">
      <c r="A1481" s="6" t="s">
        <v>6703</v>
      </c>
      <c r="B1481" s="6" t="s">
        <v>4145</v>
      </c>
      <c r="C1481" s="26" t="n">
        <v>46076</v>
      </c>
      <c r="D1481" s="6" t="s">
        <v>5175</v>
      </c>
      <c r="E1481" s="6" t="s">
        <v>24</v>
      </c>
      <c r="F1481" s="6" t="n">
        <v>1</v>
      </c>
      <c r="G1481" s="10" t="n">
        <v>610</v>
      </c>
      <c r="H1481" s="10" t="n">
        <f aca="false">F1481*G1481</f>
        <v>610</v>
      </c>
      <c r="I1481" s="6" t="s">
        <v>5148</v>
      </c>
    </row>
    <row r="1482" customFormat="false" ht="15" hidden="false" customHeight="false" outlineLevel="0" collapsed="false">
      <c r="A1482" s="6" t="s">
        <v>6704</v>
      </c>
      <c r="B1482" s="6" t="s">
        <v>1867</v>
      </c>
      <c r="C1482" s="26" t="n">
        <v>46076</v>
      </c>
      <c r="D1482" s="6" t="s">
        <v>5318</v>
      </c>
      <c r="E1482" s="6" t="s">
        <v>20</v>
      </c>
      <c r="F1482" s="6" t="n">
        <v>1</v>
      </c>
      <c r="G1482" s="10" t="n">
        <v>1529</v>
      </c>
      <c r="H1482" s="10" t="n">
        <f aca="false">F1482*G1482</f>
        <v>1529</v>
      </c>
      <c r="I1482" s="6" t="s">
        <v>5122</v>
      </c>
    </row>
    <row r="1483" customFormat="false" ht="15" hidden="false" customHeight="false" outlineLevel="0" collapsed="false">
      <c r="A1483" s="6" t="s">
        <v>6705</v>
      </c>
      <c r="B1483" s="6" t="s">
        <v>2225</v>
      </c>
      <c r="C1483" s="26" t="n">
        <v>46076</v>
      </c>
      <c r="D1483" s="6" t="s">
        <v>5357</v>
      </c>
      <c r="E1483" s="6" t="s">
        <v>23</v>
      </c>
      <c r="F1483" s="6" t="n">
        <v>1</v>
      </c>
      <c r="G1483" s="10" t="n">
        <v>507</v>
      </c>
      <c r="H1483" s="10" t="n">
        <f aca="false">F1483*G1483</f>
        <v>507</v>
      </c>
      <c r="I1483" s="6" t="s">
        <v>5125</v>
      </c>
    </row>
    <row r="1484" customFormat="false" ht="15" hidden="false" customHeight="false" outlineLevel="0" collapsed="false">
      <c r="A1484" s="6" t="s">
        <v>6706</v>
      </c>
      <c r="B1484" s="6" t="s">
        <v>2175</v>
      </c>
      <c r="C1484" s="26" t="n">
        <v>46076</v>
      </c>
      <c r="D1484" s="6" t="s">
        <v>5259</v>
      </c>
      <c r="E1484" s="6" t="s">
        <v>22</v>
      </c>
      <c r="F1484" s="6" t="n">
        <v>2</v>
      </c>
      <c r="G1484" s="10" t="n">
        <v>1408</v>
      </c>
      <c r="H1484" s="10" t="n">
        <f aca="false">F1484*G1484</f>
        <v>2816</v>
      </c>
      <c r="I1484" s="6" t="s">
        <v>5130</v>
      </c>
    </row>
    <row r="1485" customFormat="false" ht="15" hidden="false" customHeight="false" outlineLevel="0" collapsed="false">
      <c r="A1485" s="6" t="s">
        <v>6707</v>
      </c>
      <c r="B1485" s="6" t="s">
        <v>4219</v>
      </c>
      <c r="C1485" s="26" t="n">
        <v>46076</v>
      </c>
      <c r="D1485" s="6" t="s">
        <v>5488</v>
      </c>
      <c r="E1485" s="6" t="s">
        <v>24</v>
      </c>
      <c r="F1485" s="6" t="n">
        <v>1</v>
      </c>
      <c r="G1485" s="10" t="n">
        <v>867</v>
      </c>
      <c r="H1485" s="10" t="n">
        <f aca="false">F1485*G1485</f>
        <v>867</v>
      </c>
      <c r="I1485" s="6" t="s">
        <v>5125</v>
      </c>
    </row>
    <row r="1486" customFormat="false" ht="15" hidden="false" customHeight="false" outlineLevel="0" collapsed="false">
      <c r="A1486" s="6" t="s">
        <v>6708</v>
      </c>
      <c r="B1486" s="6" t="s">
        <v>4577</v>
      </c>
      <c r="C1486" s="26" t="n">
        <v>46076</v>
      </c>
      <c r="D1486" s="6" t="s">
        <v>5165</v>
      </c>
      <c r="E1486" s="6" t="s">
        <v>22</v>
      </c>
      <c r="F1486" s="6" t="n">
        <v>1</v>
      </c>
      <c r="G1486" s="10" t="n">
        <v>880</v>
      </c>
      <c r="H1486" s="10" t="n">
        <f aca="false">F1486*G1486</f>
        <v>880</v>
      </c>
      <c r="I1486" s="6" t="s">
        <v>5133</v>
      </c>
    </row>
    <row r="1487" customFormat="false" ht="15" hidden="false" customHeight="false" outlineLevel="0" collapsed="false">
      <c r="A1487" s="6" t="s">
        <v>6709</v>
      </c>
      <c r="B1487" s="6" t="s">
        <v>4037</v>
      </c>
      <c r="C1487" s="26" t="n">
        <v>46076</v>
      </c>
      <c r="D1487" s="6" t="s">
        <v>5339</v>
      </c>
      <c r="E1487" s="6" t="s">
        <v>24</v>
      </c>
      <c r="F1487" s="6" t="n">
        <v>2</v>
      </c>
      <c r="G1487" s="10" t="n">
        <v>508</v>
      </c>
      <c r="H1487" s="10" t="n">
        <f aca="false">F1487*G1487</f>
        <v>1016</v>
      </c>
      <c r="I1487" s="6" t="s">
        <v>5148</v>
      </c>
    </row>
    <row r="1488" customFormat="false" ht="15" hidden="false" customHeight="false" outlineLevel="0" collapsed="false">
      <c r="A1488" s="6" t="s">
        <v>6710</v>
      </c>
      <c r="B1488" s="6" t="s">
        <v>5031</v>
      </c>
      <c r="C1488" s="26" t="n">
        <v>46076</v>
      </c>
      <c r="D1488" s="6" t="s">
        <v>5345</v>
      </c>
      <c r="E1488" s="6" t="s">
        <v>23</v>
      </c>
      <c r="F1488" s="6" t="n">
        <v>2</v>
      </c>
      <c r="G1488" s="10" t="n">
        <v>436</v>
      </c>
      <c r="H1488" s="10" t="n">
        <f aca="false">F1488*G1488</f>
        <v>872</v>
      </c>
      <c r="I1488" s="6" t="s">
        <v>5130</v>
      </c>
    </row>
    <row r="1489" customFormat="false" ht="15" hidden="false" customHeight="false" outlineLevel="0" collapsed="false">
      <c r="A1489" s="6" t="s">
        <v>6711</v>
      </c>
      <c r="B1489" s="6" t="s">
        <v>2753</v>
      </c>
      <c r="C1489" s="26" t="n">
        <v>46076</v>
      </c>
      <c r="D1489" s="6" t="s">
        <v>5269</v>
      </c>
      <c r="E1489" s="6" t="s">
        <v>22</v>
      </c>
      <c r="F1489" s="6" t="n">
        <v>1</v>
      </c>
      <c r="G1489" s="10" t="n">
        <v>1271</v>
      </c>
      <c r="H1489" s="10" t="n">
        <f aca="false">F1489*G1489</f>
        <v>1271</v>
      </c>
      <c r="I1489" s="6" t="s">
        <v>5122</v>
      </c>
    </row>
    <row r="1490" customFormat="false" ht="15" hidden="false" customHeight="false" outlineLevel="0" collapsed="false">
      <c r="A1490" s="6" t="s">
        <v>6712</v>
      </c>
      <c r="B1490" s="6" t="s">
        <v>2069</v>
      </c>
      <c r="C1490" s="26" t="n">
        <v>46076</v>
      </c>
      <c r="D1490" s="6" t="s">
        <v>5180</v>
      </c>
      <c r="E1490" s="6" t="s">
        <v>24</v>
      </c>
      <c r="F1490" s="6" t="n">
        <v>2</v>
      </c>
      <c r="G1490" s="10" t="n">
        <v>1987</v>
      </c>
      <c r="H1490" s="10" t="n">
        <f aca="false">F1490*G1490</f>
        <v>3974</v>
      </c>
      <c r="I1490" s="6" t="s">
        <v>5148</v>
      </c>
    </row>
    <row r="1491" customFormat="false" ht="15" hidden="false" customHeight="false" outlineLevel="0" collapsed="false">
      <c r="A1491" s="6" t="s">
        <v>6713</v>
      </c>
      <c r="B1491" s="6" t="s">
        <v>4517</v>
      </c>
      <c r="C1491" s="26" t="n">
        <v>46076</v>
      </c>
      <c r="D1491" s="6" t="s">
        <v>5141</v>
      </c>
      <c r="E1491" s="6" t="s">
        <v>20</v>
      </c>
      <c r="F1491" s="6" t="n">
        <v>1</v>
      </c>
      <c r="G1491" s="10" t="n">
        <v>1835</v>
      </c>
      <c r="H1491" s="10" t="n">
        <f aca="false">F1491*G1491</f>
        <v>1835</v>
      </c>
      <c r="I1491" s="6" t="s">
        <v>5125</v>
      </c>
    </row>
    <row r="1492" customFormat="false" ht="15" hidden="false" customHeight="false" outlineLevel="0" collapsed="false">
      <c r="A1492" s="6" t="s">
        <v>6714</v>
      </c>
      <c r="B1492" s="6" t="s">
        <v>4773</v>
      </c>
      <c r="C1492" s="26" t="n">
        <v>46076</v>
      </c>
      <c r="D1492" s="6" t="s">
        <v>5207</v>
      </c>
      <c r="E1492" s="6" t="s">
        <v>20</v>
      </c>
      <c r="F1492" s="6" t="n">
        <v>1</v>
      </c>
      <c r="G1492" s="10" t="n">
        <v>1325</v>
      </c>
      <c r="H1492" s="10" t="n">
        <f aca="false">F1492*G1492</f>
        <v>1325</v>
      </c>
      <c r="I1492" s="6" t="s">
        <v>5122</v>
      </c>
    </row>
    <row r="1493" customFormat="false" ht="15" hidden="false" customHeight="false" outlineLevel="0" collapsed="false">
      <c r="A1493" s="6" t="s">
        <v>6715</v>
      </c>
      <c r="B1493" s="6" t="s">
        <v>170</v>
      </c>
      <c r="C1493" s="26" t="n">
        <v>46076</v>
      </c>
      <c r="D1493" s="6" t="s">
        <v>5807</v>
      </c>
      <c r="E1493" s="6" t="s">
        <v>20</v>
      </c>
      <c r="F1493" s="6" t="n">
        <v>1</v>
      </c>
      <c r="G1493" s="10" t="n">
        <v>15296</v>
      </c>
      <c r="H1493" s="10" t="n">
        <f aca="false">F1493*G1493</f>
        <v>15296</v>
      </c>
      <c r="I1493" s="6" t="s">
        <v>5148</v>
      </c>
    </row>
    <row r="1494" customFormat="false" ht="15" hidden="false" customHeight="false" outlineLevel="0" collapsed="false">
      <c r="A1494" s="6" t="s">
        <v>6716</v>
      </c>
      <c r="B1494" s="6" t="s">
        <v>3743</v>
      </c>
      <c r="C1494" s="26" t="n">
        <v>46076</v>
      </c>
      <c r="D1494" s="6" t="s">
        <v>5167</v>
      </c>
      <c r="E1494" s="6" t="s">
        <v>22</v>
      </c>
      <c r="F1494" s="6" t="n">
        <v>1</v>
      </c>
      <c r="G1494" s="10" t="n">
        <v>703</v>
      </c>
      <c r="H1494" s="10" t="n">
        <f aca="false">F1494*G1494</f>
        <v>703</v>
      </c>
      <c r="I1494" s="6" t="s">
        <v>5148</v>
      </c>
    </row>
    <row r="1495" customFormat="false" ht="15" hidden="false" customHeight="false" outlineLevel="0" collapsed="false">
      <c r="A1495" s="6" t="s">
        <v>6717</v>
      </c>
      <c r="B1495" s="6" t="s">
        <v>4823</v>
      </c>
      <c r="C1495" s="26" t="n">
        <v>46076</v>
      </c>
      <c r="D1495" s="6" t="s">
        <v>5127</v>
      </c>
      <c r="E1495" s="6" t="s">
        <v>21</v>
      </c>
      <c r="F1495" s="6" t="n">
        <v>1</v>
      </c>
      <c r="G1495" s="10" t="n">
        <v>884</v>
      </c>
      <c r="H1495" s="10" t="n">
        <f aca="false">F1495*G1495</f>
        <v>884</v>
      </c>
      <c r="I1495" s="6" t="s">
        <v>5122</v>
      </c>
    </row>
    <row r="1496" customFormat="false" ht="15" hidden="false" customHeight="false" outlineLevel="0" collapsed="false">
      <c r="A1496" s="6" t="s">
        <v>6718</v>
      </c>
      <c r="B1496" s="6" t="s">
        <v>529</v>
      </c>
      <c r="C1496" s="26" t="n">
        <v>46076</v>
      </c>
      <c r="D1496" s="6" t="s">
        <v>5135</v>
      </c>
      <c r="E1496" s="6" t="s">
        <v>23</v>
      </c>
      <c r="F1496" s="6" t="n">
        <v>3</v>
      </c>
      <c r="G1496" s="10" t="n">
        <v>441</v>
      </c>
      <c r="H1496" s="10" t="n">
        <f aca="false">F1496*G1496</f>
        <v>1323</v>
      </c>
      <c r="I1496" s="6" t="s">
        <v>5122</v>
      </c>
    </row>
    <row r="1497" customFormat="false" ht="15" hidden="false" customHeight="false" outlineLevel="0" collapsed="false">
      <c r="A1497" s="6" t="s">
        <v>6719</v>
      </c>
      <c r="B1497" s="6" t="s">
        <v>1573</v>
      </c>
      <c r="C1497" s="26" t="n">
        <v>46076</v>
      </c>
      <c r="D1497" s="6" t="s">
        <v>5194</v>
      </c>
      <c r="E1497" s="6" t="s">
        <v>22</v>
      </c>
      <c r="F1497" s="6" t="n">
        <v>1</v>
      </c>
      <c r="G1497" s="10" t="n">
        <v>2151</v>
      </c>
      <c r="H1497" s="10" t="n">
        <f aca="false">F1497*G1497</f>
        <v>2151</v>
      </c>
      <c r="I1497" s="6" t="s">
        <v>5130</v>
      </c>
    </row>
    <row r="1498" customFormat="false" ht="15" hidden="false" customHeight="false" outlineLevel="0" collapsed="false">
      <c r="A1498" s="6" t="s">
        <v>6720</v>
      </c>
      <c r="B1498" s="6" t="s">
        <v>461</v>
      </c>
      <c r="C1498" s="26" t="n">
        <v>46076</v>
      </c>
      <c r="D1498" s="6" t="s">
        <v>5345</v>
      </c>
      <c r="E1498" s="6" t="s">
        <v>23</v>
      </c>
      <c r="F1498" s="6" t="n">
        <v>3</v>
      </c>
      <c r="G1498" s="10" t="n">
        <v>392</v>
      </c>
      <c r="H1498" s="10" t="n">
        <f aca="false">F1498*G1498</f>
        <v>1176</v>
      </c>
      <c r="I1498" s="6" t="s">
        <v>5122</v>
      </c>
    </row>
    <row r="1499" customFormat="false" ht="15" hidden="false" customHeight="false" outlineLevel="0" collapsed="false">
      <c r="A1499" s="6" t="s">
        <v>6721</v>
      </c>
      <c r="B1499" s="6" t="s">
        <v>4235</v>
      </c>
      <c r="C1499" s="26" t="n">
        <v>46076</v>
      </c>
      <c r="D1499" s="6" t="s">
        <v>5139</v>
      </c>
      <c r="E1499" s="6" t="s">
        <v>23</v>
      </c>
      <c r="F1499" s="6" t="n">
        <v>3</v>
      </c>
      <c r="G1499" s="10" t="n">
        <v>279</v>
      </c>
      <c r="H1499" s="10" t="n">
        <f aca="false">F1499*G1499</f>
        <v>837</v>
      </c>
      <c r="I1499" s="6" t="s">
        <v>5148</v>
      </c>
    </row>
    <row r="1500" customFormat="false" ht="15" hidden="false" customHeight="false" outlineLevel="0" collapsed="false">
      <c r="A1500" s="6" t="s">
        <v>6722</v>
      </c>
      <c r="B1500" s="6" t="s">
        <v>3481</v>
      </c>
      <c r="C1500" s="26" t="n">
        <v>46076</v>
      </c>
      <c r="D1500" s="6" t="s">
        <v>5456</v>
      </c>
      <c r="E1500" s="6" t="s">
        <v>24</v>
      </c>
      <c r="F1500" s="6" t="n">
        <v>1</v>
      </c>
      <c r="G1500" s="10" t="n">
        <v>912</v>
      </c>
      <c r="H1500" s="10" t="n">
        <f aca="false">F1500*G1500</f>
        <v>912</v>
      </c>
      <c r="I1500" s="6" t="s">
        <v>5122</v>
      </c>
    </row>
    <row r="1501" customFormat="false" ht="15" hidden="false" customHeight="false" outlineLevel="0" collapsed="false">
      <c r="A1501" s="6" t="s">
        <v>6723</v>
      </c>
      <c r="B1501" s="6" t="s">
        <v>3181</v>
      </c>
      <c r="C1501" s="26" t="n">
        <v>46076</v>
      </c>
      <c r="D1501" s="6" t="s">
        <v>5339</v>
      </c>
      <c r="E1501" s="6" t="s">
        <v>24</v>
      </c>
      <c r="F1501" s="6" t="n">
        <v>2</v>
      </c>
      <c r="G1501" s="10" t="n">
        <v>458</v>
      </c>
      <c r="H1501" s="10" t="n">
        <f aca="false">F1501*G1501</f>
        <v>916</v>
      </c>
      <c r="I1501" s="6" t="s">
        <v>5122</v>
      </c>
    </row>
    <row r="1502" customFormat="false" ht="15" hidden="false" customHeight="false" outlineLevel="0" collapsed="false">
      <c r="A1502" s="6" t="s">
        <v>6724</v>
      </c>
      <c r="B1502" s="6" t="s">
        <v>1753</v>
      </c>
      <c r="C1502" s="26" t="n">
        <v>46077</v>
      </c>
      <c r="D1502" s="6" t="s">
        <v>5273</v>
      </c>
      <c r="E1502" s="6" t="s">
        <v>23</v>
      </c>
      <c r="F1502" s="6" t="n">
        <v>3</v>
      </c>
      <c r="G1502" s="10" t="n">
        <v>240</v>
      </c>
      <c r="H1502" s="10" t="n">
        <f aca="false">F1502*G1502</f>
        <v>720</v>
      </c>
      <c r="I1502" s="6" t="s">
        <v>5130</v>
      </c>
    </row>
    <row r="1503" customFormat="false" ht="15" hidden="false" customHeight="false" outlineLevel="0" collapsed="false">
      <c r="A1503" s="6" t="s">
        <v>6725</v>
      </c>
      <c r="B1503" s="6" t="s">
        <v>2663</v>
      </c>
      <c r="C1503" s="26" t="n">
        <v>46077</v>
      </c>
      <c r="D1503" s="6" t="s">
        <v>5129</v>
      </c>
      <c r="E1503" s="6" t="s">
        <v>21</v>
      </c>
      <c r="F1503" s="6" t="n">
        <v>1</v>
      </c>
      <c r="G1503" s="10" t="n">
        <v>530</v>
      </c>
      <c r="H1503" s="10" t="n">
        <f aca="false">F1503*G1503</f>
        <v>530</v>
      </c>
      <c r="I1503" s="6" t="s">
        <v>5122</v>
      </c>
    </row>
    <row r="1504" customFormat="false" ht="15" hidden="false" customHeight="false" outlineLevel="0" collapsed="false">
      <c r="A1504" s="6" t="s">
        <v>6726</v>
      </c>
      <c r="B1504" s="6" t="s">
        <v>1585</v>
      </c>
      <c r="C1504" s="26" t="n">
        <v>46077</v>
      </c>
      <c r="D1504" s="6" t="s">
        <v>5121</v>
      </c>
      <c r="E1504" s="6" t="s">
        <v>22</v>
      </c>
      <c r="F1504" s="6" t="n">
        <v>1</v>
      </c>
      <c r="G1504" s="10" t="n">
        <v>928</v>
      </c>
      <c r="H1504" s="10" t="n">
        <f aca="false">F1504*G1504</f>
        <v>928</v>
      </c>
      <c r="I1504" s="6" t="s">
        <v>5125</v>
      </c>
    </row>
    <row r="1505" customFormat="false" ht="15" hidden="false" customHeight="false" outlineLevel="0" collapsed="false">
      <c r="A1505" s="6" t="s">
        <v>6727</v>
      </c>
      <c r="B1505" s="6" t="s">
        <v>1879</v>
      </c>
      <c r="C1505" s="26" t="n">
        <v>46077</v>
      </c>
      <c r="D1505" s="6" t="s">
        <v>5163</v>
      </c>
      <c r="E1505" s="6" t="s">
        <v>23</v>
      </c>
      <c r="F1505" s="6" t="n">
        <v>1</v>
      </c>
      <c r="G1505" s="10" t="n">
        <v>783</v>
      </c>
      <c r="H1505" s="10" t="n">
        <f aca="false">F1505*G1505</f>
        <v>783</v>
      </c>
      <c r="I1505" s="6" t="s">
        <v>5122</v>
      </c>
    </row>
    <row r="1506" customFormat="false" ht="15" hidden="false" customHeight="false" outlineLevel="0" collapsed="false">
      <c r="A1506" s="6" t="s">
        <v>6728</v>
      </c>
      <c r="B1506" s="6" t="s">
        <v>3473</v>
      </c>
      <c r="C1506" s="26" t="n">
        <v>46077</v>
      </c>
      <c r="D1506" s="6" t="s">
        <v>5156</v>
      </c>
      <c r="E1506" s="6" t="s">
        <v>21</v>
      </c>
      <c r="F1506" s="6" t="n">
        <v>1</v>
      </c>
      <c r="G1506" s="10" t="n">
        <v>2161</v>
      </c>
      <c r="H1506" s="10" t="n">
        <f aca="false">F1506*G1506</f>
        <v>2161</v>
      </c>
      <c r="I1506" s="6" t="s">
        <v>5173</v>
      </c>
    </row>
    <row r="1507" customFormat="false" ht="15" hidden="false" customHeight="false" outlineLevel="0" collapsed="false">
      <c r="A1507" s="6" t="s">
        <v>6729</v>
      </c>
      <c r="B1507" s="6" t="s">
        <v>4779</v>
      </c>
      <c r="C1507" s="26" t="n">
        <v>46077</v>
      </c>
      <c r="D1507" s="6" t="s">
        <v>5165</v>
      </c>
      <c r="E1507" s="6" t="s">
        <v>22</v>
      </c>
      <c r="F1507" s="6" t="n">
        <v>1</v>
      </c>
      <c r="G1507" s="10" t="n">
        <v>977</v>
      </c>
      <c r="H1507" s="10" t="n">
        <f aca="false">F1507*G1507</f>
        <v>977</v>
      </c>
      <c r="I1507" s="6" t="s">
        <v>5122</v>
      </c>
    </row>
    <row r="1508" customFormat="false" ht="15" hidden="false" customHeight="false" outlineLevel="0" collapsed="false">
      <c r="A1508" s="6" t="s">
        <v>6730</v>
      </c>
      <c r="B1508" s="6" t="s">
        <v>4647</v>
      </c>
      <c r="C1508" s="26" t="n">
        <v>46077</v>
      </c>
      <c r="D1508" s="6" t="s">
        <v>5466</v>
      </c>
      <c r="E1508" s="6" t="s">
        <v>21</v>
      </c>
      <c r="F1508" s="6" t="n">
        <v>3</v>
      </c>
      <c r="G1508" s="10" t="n">
        <v>1867</v>
      </c>
      <c r="H1508" s="10" t="n">
        <f aca="false">F1508*G1508</f>
        <v>5601</v>
      </c>
      <c r="I1508" s="6" t="s">
        <v>5148</v>
      </c>
    </row>
    <row r="1509" customFormat="false" ht="15" hidden="false" customHeight="false" outlineLevel="0" collapsed="false">
      <c r="A1509" s="6" t="s">
        <v>6731</v>
      </c>
      <c r="B1509" s="6" t="s">
        <v>4173</v>
      </c>
      <c r="C1509" s="26" t="n">
        <v>46077</v>
      </c>
      <c r="D1509" s="6" t="s">
        <v>5167</v>
      </c>
      <c r="E1509" s="6" t="s">
        <v>22</v>
      </c>
      <c r="F1509" s="6" t="n">
        <v>3</v>
      </c>
      <c r="G1509" s="10" t="n">
        <v>782</v>
      </c>
      <c r="H1509" s="10" t="n">
        <f aca="false">F1509*G1509</f>
        <v>2346</v>
      </c>
      <c r="I1509" s="6" t="s">
        <v>5122</v>
      </c>
    </row>
    <row r="1510" customFormat="false" ht="15" hidden="false" customHeight="false" outlineLevel="0" collapsed="false">
      <c r="A1510" s="6" t="s">
        <v>6732</v>
      </c>
      <c r="B1510" s="6" t="s">
        <v>356</v>
      </c>
      <c r="C1510" s="26" t="n">
        <v>46077</v>
      </c>
      <c r="D1510" s="6" t="s">
        <v>5456</v>
      </c>
      <c r="E1510" s="6" t="s">
        <v>24</v>
      </c>
      <c r="F1510" s="6" t="n">
        <v>2</v>
      </c>
      <c r="G1510" s="10" t="n">
        <v>912</v>
      </c>
      <c r="H1510" s="10" t="n">
        <f aca="false">F1510*G1510</f>
        <v>1824</v>
      </c>
      <c r="I1510" s="6" t="s">
        <v>5122</v>
      </c>
    </row>
    <row r="1511" customFormat="false" ht="15" hidden="false" customHeight="false" outlineLevel="0" collapsed="false">
      <c r="A1511" s="6" t="s">
        <v>6733</v>
      </c>
      <c r="B1511" s="6" t="s">
        <v>2115</v>
      </c>
      <c r="C1511" s="26" t="n">
        <v>46077</v>
      </c>
      <c r="D1511" s="6" t="s">
        <v>5180</v>
      </c>
      <c r="E1511" s="6" t="s">
        <v>24</v>
      </c>
      <c r="F1511" s="6" t="n">
        <v>1</v>
      </c>
      <c r="G1511" s="10" t="n">
        <v>1987</v>
      </c>
      <c r="H1511" s="10" t="n">
        <f aca="false">F1511*G1511</f>
        <v>1987</v>
      </c>
      <c r="I1511" s="6" t="s">
        <v>5148</v>
      </c>
    </row>
    <row r="1512" customFormat="false" ht="15" hidden="false" customHeight="false" outlineLevel="0" collapsed="false">
      <c r="A1512" s="6" t="s">
        <v>6734</v>
      </c>
      <c r="B1512" s="6" t="s">
        <v>3753</v>
      </c>
      <c r="C1512" s="26" t="n">
        <v>46077</v>
      </c>
      <c r="D1512" s="6" t="s">
        <v>5145</v>
      </c>
      <c r="E1512" s="6" t="s">
        <v>21</v>
      </c>
      <c r="F1512" s="6" t="n">
        <v>1</v>
      </c>
      <c r="G1512" s="10" t="n">
        <v>1214</v>
      </c>
      <c r="H1512" s="10" t="n">
        <f aca="false">F1512*G1512</f>
        <v>1214</v>
      </c>
      <c r="I1512" s="6" t="s">
        <v>5148</v>
      </c>
    </row>
    <row r="1513" customFormat="false" ht="15" hidden="false" customHeight="false" outlineLevel="0" collapsed="false">
      <c r="A1513" s="6" t="s">
        <v>6735</v>
      </c>
      <c r="B1513" s="6" t="s">
        <v>2367</v>
      </c>
      <c r="C1513" s="26" t="n">
        <v>46077</v>
      </c>
      <c r="D1513" s="6" t="s">
        <v>5641</v>
      </c>
      <c r="E1513" s="6" t="s">
        <v>22</v>
      </c>
      <c r="F1513" s="6" t="n">
        <v>3</v>
      </c>
      <c r="G1513" s="10" t="n">
        <v>2137</v>
      </c>
      <c r="H1513" s="10" t="n">
        <f aca="false">F1513*G1513</f>
        <v>6411</v>
      </c>
      <c r="I1513" s="6" t="s">
        <v>5122</v>
      </c>
    </row>
    <row r="1514" customFormat="false" ht="15" hidden="false" customHeight="false" outlineLevel="0" collapsed="false">
      <c r="A1514" s="6" t="s">
        <v>6736</v>
      </c>
      <c r="B1514" s="6" t="s">
        <v>1459</v>
      </c>
      <c r="C1514" s="26" t="n">
        <v>46077</v>
      </c>
      <c r="D1514" s="6" t="s">
        <v>5163</v>
      </c>
      <c r="E1514" s="6" t="s">
        <v>23</v>
      </c>
      <c r="F1514" s="6" t="n">
        <v>1</v>
      </c>
      <c r="G1514" s="10" t="n">
        <v>743</v>
      </c>
      <c r="H1514" s="10" t="n">
        <f aca="false">F1514*G1514</f>
        <v>743</v>
      </c>
      <c r="I1514" s="6" t="s">
        <v>5122</v>
      </c>
    </row>
    <row r="1515" customFormat="false" ht="15" hidden="false" customHeight="false" outlineLevel="0" collapsed="false">
      <c r="A1515" s="6" t="s">
        <v>6737</v>
      </c>
      <c r="B1515" s="6" t="s">
        <v>1651</v>
      </c>
      <c r="C1515" s="26" t="n">
        <v>46077</v>
      </c>
      <c r="D1515" s="6" t="s">
        <v>5171</v>
      </c>
      <c r="E1515" s="6" t="s">
        <v>23</v>
      </c>
      <c r="F1515" s="6" t="n">
        <v>1</v>
      </c>
      <c r="G1515" s="10" t="n">
        <v>660</v>
      </c>
      <c r="H1515" s="10" t="n">
        <f aca="false">F1515*G1515</f>
        <v>660</v>
      </c>
      <c r="I1515" s="6" t="s">
        <v>5125</v>
      </c>
    </row>
    <row r="1516" customFormat="false" ht="15" hidden="false" customHeight="false" outlineLevel="0" collapsed="false">
      <c r="A1516" s="6" t="s">
        <v>6738</v>
      </c>
      <c r="B1516" s="6" t="s">
        <v>1077</v>
      </c>
      <c r="C1516" s="26" t="n">
        <v>46077</v>
      </c>
      <c r="D1516" s="6" t="s">
        <v>5139</v>
      </c>
      <c r="E1516" s="6" t="s">
        <v>23</v>
      </c>
      <c r="F1516" s="6" t="n">
        <v>2</v>
      </c>
      <c r="G1516" s="10" t="n">
        <v>265</v>
      </c>
      <c r="H1516" s="10" t="n">
        <f aca="false">F1516*G1516</f>
        <v>530</v>
      </c>
      <c r="I1516" s="6" t="s">
        <v>5122</v>
      </c>
    </row>
    <row r="1517" customFormat="false" ht="15" hidden="false" customHeight="false" outlineLevel="0" collapsed="false">
      <c r="A1517" s="6" t="s">
        <v>6739</v>
      </c>
      <c r="B1517" s="6" t="s">
        <v>3523</v>
      </c>
      <c r="C1517" s="26" t="n">
        <v>46077</v>
      </c>
      <c r="D1517" s="6" t="s">
        <v>5197</v>
      </c>
      <c r="E1517" s="6" t="s">
        <v>21</v>
      </c>
      <c r="F1517" s="6" t="n">
        <v>2</v>
      </c>
      <c r="G1517" s="10" t="n">
        <v>1080</v>
      </c>
      <c r="H1517" s="10" t="n">
        <f aca="false">F1517*G1517</f>
        <v>2160</v>
      </c>
      <c r="I1517" s="6" t="s">
        <v>5122</v>
      </c>
    </row>
    <row r="1518" customFormat="false" ht="15" hidden="false" customHeight="false" outlineLevel="0" collapsed="false">
      <c r="A1518" s="6" t="s">
        <v>6740</v>
      </c>
      <c r="B1518" s="6" t="s">
        <v>4955</v>
      </c>
      <c r="C1518" s="26" t="n">
        <v>46077</v>
      </c>
      <c r="D1518" s="6" t="s">
        <v>5216</v>
      </c>
      <c r="E1518" s="6" t="s">
        <v>23</v>
      </c>
      <c r="F1518" s="6" t="n">
        <v>3</v>
      </c>
      <c r="G1518" s="10" t="n">
        <v>528</v>
      </c>
      <c r="H1518" s="10" t="n">
        <f aca="false">F1518*G1518</f>
        <v>1584</v>
      </c>
      <c r="I1518" s="6" t="s">
        <v>5148</v>
      </c>
    </row>
    <row r="1519" customFormat="false" ht="15" hidden="false" customHeight="false" outlineLevel="0" collapsed="false">
      <c r="A1519" s="6" t="s">
        <v>6741</v>
      </c>
      <c r="B1519" s="6" t="s">
        <v>4627</v>
      </c>
      <c r="C1519" s="26" t="n">
        <v>46077</v>
      </c>
      <c r="D1519" s="6" t="s">
        <v>5139</v>
      </c>
      <c r="E1519" s="6" t="s">
        <v>23</v>
      </c>
      <c r="F1519" s="6" t="n">
        <v>2</v>
      </c>
      <c r="G1519" s="10" t="n">
        <v>251</v>
      </c>
      <c r="H1519" s="10" t="n">
        <f aca="false">F1519*G1519</f>
        <v>502</v>
      </c>
      <c r="I1519" s="6" t="s">
        <v>5122</v>
      </c>
    </row>
    <row r="1520" customFormat="false" ht="15" hidden="false" customHeight="false" outlineLevel="0" collapsed="false">
      <c r="A1520" s="6" t="s">
        <v>6742</v>
      </c>
      <c r="B1520" s="6" t="s">
        <v>703</v>
      </c>
      <c r="C1520" s="26" t="n">
        <v>46077</v>
      </c>
      <c r="D1520" s="6" t="s">
        <v>5313</v>
      </c>
      <c r="E1520" s="6" t="s">
        <v>22</v>
      </c>
      <c r="F1520" s="6" t="n">
        <v>1</v>
      </c>
      <c r="G1520" s="10" t="n">
        <v>1760</v>
      </c>
      <c r="H1520" s="10" t="n">
        <f aca="false">F1520*G1520</f>
        <v>1760</v>
      </c>
      <c r="I1520" s="6" t="s">
        <v>5122</v>
      </c>
    </row>
    <row r="1521" customFormat="false" ht="15" hidden="false" customHeight="false" outlineLevel="0" collapsed="false">
      <c r="A1521" s="6" t="s">
        <v>6743</v>
      </c>
      <c r="B1521" s="6" t="s">
        <v>2237</v>
      </c>
      <c r="C1521" s="26" t="n">
        <v>46077</v>
      </c>
      <c r="D1521" s="6" t="s">
        <v>5220</v>
      </c>
      <c r="E1521" s="6" t="s">
        <v>24</v>
      </c>
      <c r="F1521" s="6" t="n">
        <v>2</v>
      </c>
      <c r="G1521" s="10" t="n">
        <v>1008</v>
      </c>
      <c r="H1521" s="10" t="n">
        <f aca="false">F1521*G1521</f>
        <v>2016</v>
      </c>
      <c r="I1521" s="6" t="s">
        <v>5122</v>
      </c>
    </row>
    <row r="1522" customFormat="false" ht="15" hidden="false" customHeight="false" outlineLevel="0" collapsed="false">
      <c r="A1522" s="6" t="s">
        <v>6744</v>
      </c>
      <c r="B1522" s="6" t="s">
        <v>291</v>
      </c>
      <c r="C1522" s="26" t="n">
        <v>46077</v>
      </c>
      <c r="D1522" s="6" t="s">
        <v>5410</v>
      </c>
      <c r="E1522" s="6" t="s">
        <v>20</v>
      </c>
      <c r="F1522" s="6" t="n">
        <v>1</v>
      </c>
      <c r="G1522" s="10" t="n">
        <v>2548</v>
      </c>
      <c r="H1522" s="10" t="n">
        <f aca="false">F1522*G1522</f>
        <v>2548</v>
      </c>
      <c r="I1522" s="6" t="s">
        <v>5148</v>
      </c>
    </row>
    <row r="1523" customFormat="false" ht="15" hidden="false" customHeight="false" outlineLevel="0" collapsed="false">
      <c r="A1523" s="6" t="s">
        <v>6745</v>
      </c>
      <c r="B1523" s="6" t="s">
        <v>2365</v>
      </c>
      <c r="C1523" s="26" t="n">
        <v>46077</v>
      </c>
      <c r="D1523" s="6" t="s">
        <v>5171</v>
      </c>
      <c r="E1523" s="6" t="s">
        <v>23</v>
      </c>
      <c r="F1523" s="6" t="n">
        <v>4</v>
      </c>
      <c r="G1523" s="10" t="n">
        <v>734</v>
      </c>
      <c r="H1523" s="10" t="n">
        <f aca="false">F1523*G1523</f>
        <v>2936</v>
      </c>
      <c r="I1523" s="6" t="s">
        <v>5122</v>
      </c>
    </row>
    <row r="1524" customFormat="false" ht="15" hidden="false" customHeight="false" outlineLevel="0" collapsed="false">
      <c r="A1524" s="6" t="s">
        <v>6746</v>
      </c>
      <c r="B1524" s="6" t="s">
        <v>4649</v>
      </c>
      <c r="C1524" s="26" t="n">
        <v>46077</v>
      </c>
      <c r="D1524" s="6" t="s">
        <v>5167</v>
      </c>
      <c r="E1524" s="6" t="s">
        <v>22</v>
      </c>
      <c r="F1524" s="6" t="n">
        <v>1</v>
      </c>
      <c r="G1524" s="10" t="n">
        <v>743</v>
      </c>
      <c r="H1524" s="10" t="n">
        <f aca="false">F1524*G1524</f>
        <v>743</v>
      </c>
      <c r="I1524" s="6" t="s">
        <v>5173</v>
      </c>
    </row>
    <row r="1525" customFormat="false" ht="15" hidden="false" customHeight="false" outlineLevel="0" collapsed="false">
      <c r="A1525" s="6" t="s">
        <v>6747</v>
      </c>
      <c r="B1525" s="6" t="s">
        <v>567</v>
      </c>
      <c r="C1525" s="26" t="n">
        <v>46077</v>
      </c>
      <c r="D1525" s="6" t="s">
        <v>5197</v>
      </c>
      <c r="E1525" s="6" t="s">
        <v>21</v>
      </c>
      <c r="F1525" s="6" t="n">
        <v>1</v>
      </c>
      <c r="G1525" s="10" t="n">
        <v>972</v>
      </c>
      <c r="H1525" s="10" t="n">
        <f aca="false">F1525*G1525</f>
        <v>972</v>
      </c>
      <c r="I1525" s="6" t="s">
        <v>5122</v>
      </c>
    </row>
    <row r="1526" customFormat="false" ht="15" hidden="false" customHeight="false" outlineLevel="0" collapsed="false">
      <c r="A1526" s="6" t="s">
        <v>6748</v>
      </c>
      <c r="B1526" s="6" t="s">
        <v>4457</v>
      </c>
      <c r="C1526" s="26" t="n">
        <v>46077</v>
      </c>
      <c r="D1526" s="6" t="s">
        <v>5687</v>
      </c>
      <c r="E1526" s="6" t="s">
        <v>20</v>
      </c>
      <c r="F1526" s="6" t="n">
        <v>1</v>
      </c>
      <c r="G1526" s="10" t="n">
        <v>1937</v>
      </c>
      <c r="H1526" s="10" t="n">
        <f aca="false">F1526*G1526</f>
        <v>1937</v>
      </c>
      <c r="I1526" s="6" t="s">
        <v>5148</v>
      </c>
    </row>
    <row r="1527" customFormat="false" ht="15" hidden="false" customHeight="false" outlineLevel="0" collapsed="false">
      <c r="A1527" s="6" t="s">
        <v>6749</v>
      </c>
      <c r="B1527" s="6" t="s">
        <v>2653</v>
      </c>
      <c r="C1527" s="26" t="n">
        <v>46077</v>
      </c>
      <c r="D1527" s="6" t="s">
        <v>5150</v>
      </c>
      <c r="E1527" s="6" t="s">
        <v>24</v>
      </c>
      <c r="F1527" s="6" t="n">
        <v>1</v>
      </c>
      <c r="G1527" s="10" t="n">
        <v>508</v>
      </c>
      <c r="H1527" s="10" t="n">
        <f aca="false">F1527*G1527</f>
        <v>508</v>
      </c>
      <c r="I1527" s="6" t="s">
        <v>5148</v>
      </c>
    </row>
    <row r="1528" customFormat="false" ht="15" hidden="false" customHeight="false" outlineLevel="0" collapsed="false">
      <c r="A1528" s="6" t="s">
        <v>6750</v>
      </c>
      <c r="B1528" s="6" t="s">
        <v>3449</v>
      </c>
      <c r="C1528" s="26" t="n">
        <v>46077</v>
      </c>
      <c r="D1528" s="6" t="s">
        <v>5143</v>
      </c>
      <c r="E1528" s="6" t="s">
        <v>21</v>
      </c>
      <c r="F1528" s="6" t="n">
        <v>3</v>
      </c>
      <c r="G1528" s="10" t="n">
        <v>1179</v>
      </c>
      <c r="H1528" s="10" t="n">
        <f aca="false">F1528*G1528</f>
        <v>3537</v>
      </c>
      <c r="I1528" s="6" t="s">
        <v>5133</v>
      </c>
    </row>
    <row r="1529" customFormat="false" ht="15" hidden="false" customHeight="false" outlineLevel="0" collapsed="false">
      <c r="A1529" s="6" t="s">
        <v>6751</v>
      </c>
      <c r="B1529" s="6" t="s">
        <v>4019</v>
      </c>
      <c r="C1529" s="26" t="n">
        <v>46077</v>
      </c>
      <c r="D1529" s="6" t="s">
        <v>5167</v>
      </c>
      <c r="E1529" s="6" t="s">
        <v>22</v>
      </c>
      <c r="F1529" s="6" t="n">
        <v>1</v>
      </c>
      <c r="G1529" s="10" t="n">
        <v>782</v>
      </c>
      <c r="H1529" s="10" t="n">
        <f aca="false">F1529*G1529</f>
        <v>782</v>
      </c>
      <c r="I1529" s="6" t="s">
        <v>5125</v>
      </c>
    </row>
    <row r="1530" customFormat="false" ht="15" hidden="false" customHeight="false" outlineLevel="0" collapsed="false">
      <c r="A1530" s="6" t="s">
        <v>6752</v>
      </c>
      <c r="B1530" s="6" t="s">
        <v>5073</v>
      </c>
      <c r="C1530" s="26" t="n">
        <v>46077</v>
      </c>
      <c r="D1530" s="6" t="s">
        <v>5121</v>
      </c>
      <c r="E1530" s="6" t="s">
        <v>22</v>
      </c>
      <c r="F1530" s="6" t="n">
        <v>2</v>
      </c>
      <c r="G1530" s="10" t="n">
        <v>880</v>
      </c>
      <c r="H1530" s="10" t="n">
        <f aca="false">F1530*G1530</f>
        <v>1760</v>
      </c>
      <c r="I1530" s="6" t="s">
        <v>5122</v>
      </c>
    </row>
    <row r="1531" customFormat="false" ht="15" hidden="false" customHeight="false" outlineLevel="0" collapsed="false">
      <c r="A1531" s="6" t="s">
        <v>6753</v>
      </c>
      <c r="B1531" s="6" t="s">
        <v>2415</v>
      </c>
      <c r="C1531" s="26" t="n">
        <v>46077</v>
      </c>
      <c r="D1531" s="6" t="s">
        <v>5165</v>
      </c>
      <c r="E1531" s="6" t="s">
        <v>22</v>
      </c>
      <c r="F1531" s="6" t="n">
        <v>2</v>
      </c>
      <c r="G1531" s="10" t="n">
        <v>977</v>
      </c>
      <c r="H1531" s="10" t="n">
        <f aca="false">F1531*G1531</f>
        <v>1954</v>
      </c>
      <c r="I1531" s="6" t="s">
        <v>5148</v>
      </c>
    </row>
    <row r="1532" customFormat="false" ht="15" hidden="false" customHeight="false" outlineLevel="0" collapsed="false">
      <c r="A1532" s="6" t="s">
        <v>6754</v>
      </c>
      <c r="B1532" s="6" t="s">
        <v>4363</v>
      </c>
      <c r="C1532" s="26" t="n">
        <v>46077</v>
      </c>
      <c r="D1532" s="6" t="s">
        <v>5127</v>
      </c>
      <c r="E1532" s="6" t="s">
        <v>21</v>
      </c>
      <c r="F1532" s="6" t="n">
        <v>1</v>
      </c>
      <c r="G1532" s="10" t="n">
        <v>884</v>
      </c>
      <c r="H1532" s="10" t="n">
        <f aca="false">F1532*G1532</f>
        <v>884</v>
      </c>
      <c r="I1532" s="6" t="s">
        <v>5148</v>
      </c>
    </row>
    <row r="1533" customFormat="false" ht="15" hidden="false" customHeight="false" outlineLevel="0" collapsed="false">
      <c r="A1533" s="6" t="s">
        <v>6755</v>
      </c>
      <c r="B1533" s="6" t="s">
        <v>3261</v>
      </c>
      <c r="C1533" s="26" t="n">
        <v>46077</v>
      </c>
      <c r="D1533" s="6" t="s">
        <v>5259</v>
      </c>
      <c r="E1533" s="6" t="s">
        <v>22</v>
      </c>
      <c r="F1533" s="6" t="n">
        <v>2</v>
      </c>
      <c r="G1533" s="10" t="n">
        <v>1564</v>
      </c>
      <c r="H1533" s="10" t="n">
        <f aca="false">F1533*G1533</f>
        <v>3128</v>
      </c>
      <c r="I1533" s="6" t="s">
        <v>5130</v>
      </c>
    </row>
    <row r="1534" customFormat="false" ht="15" hidden="false" customHeight="false" outlineLevel="0" collapsed="false">
      <c r="A1534" s="6" t="s">
        <v>6756</v>
      </c>
      <c r="B1534" s="6" t="s">
        <v>923</v>
      </c>
      <c r="C1534" s="26" t="n">
        <v>46077</v>
      </c>
      <c r="D1534" s="6" t="s">
        <v>5137</v>
      </c>
      <c r="E1534" s="6" t="s">
        <v>21</v>
      </c>
      <c r="F1534" s="6" t="n">
        <v>1</v>
      </c>
      <c r="G1534" s="10" t="n">
        <v>1680</v>
      </c>
      <c r="H1534" s="10" t="n">
        <f aca="false">F1534*G1534</f>
        <v>1680</v>
      </c>
      <c r="I1534" s="6" t="s">
        <v>5148</v>
      </c>
    </row>
    <row r="1535" customFormat="false" ht="15" hidden="false" customHeight="false" outlineLevel="0" collapsed="false">
      <c r="A1535" s="6" t="s">
        <v>6757</v>
      </c>
      <c r="B1535" s="6" t="s">
        <v>1187</v>
      </c>
      <c r="C1535" s="26" t="n">
        <v>46078</v>
      </c>
      <c r="D1535" s="6" t="s">
        <v>5180</v>
      </c>
      <c r="E1535" s="6" t="s">
        <v>24</v>
      </c>
      <c r="F1535" s="6" t="n">
        <v>1</v>
      </c>
      <c r="G1535" s="10" t="n">
        <v>1987</v>
      </c>
      <c r="H1535" s="10" t="n">
        <f aca="false">F1535*G1535</f>
        <v>1987</v>
      </c>
      <c r="I1535" s="6" t="s">
        <v>5148</v>
      </c>
    </row>
    <row r="1536" customFormat="false" ht="15" hidden="false" customHeight="false" outlineLevel="0" collapsed="false">
      <c r="A1536" s="6" t="s">
        <v>6758</v>
      </c>
      <c r="B1536" s="6" t="s">
        <v>3077</v>
      </c>
      <c r="C1536" s="26" t="n">
        <v>46078</v>
      </c>
      <c r="D1536" s="6" t="s">
        <v>5152</v>
      </c>
      <c r="E1536" s="6" t="s">
        <v>22</v>
      </c>
      <c r="F1536" s="6" t="n">
        <v>2</v>
      </c>
      <c r="G1536" s="10" t="n">
        <v>1760</v>
      </c>
      <c r="H1536" s="10" t="n">
        <f aca="false">F1536*G1536</f>
        <v>3520</v>
      </c>
      <c r="I1536" s="6" t="s">
        <v>5122</v>
      </c>
    </row>
    <row r="1537" customFormat="false" ht="15" hidden="false" customHeight="false" outlineLevel="0" collapsed="false">
      <c r="A1537" s="6" t="s">
        <v>6759</v>
      </c>
      <c r="B1537" s="6" t="s">
        <v>3627</v>
      </c>
      <c r="C1537" s="26" t="n">
        <v>46078</v>
      </c>
      <c r="D1537" s="6" t="s">
        <v>5235</v>
      </c>
      <c r="E1537" s="6" t="s">
        <v>21</v>
      </c>
      <c r="F1537" s="6" t="n">
        <v>1</v>
      </c>
      <c r="G1537" s="10" t="n">
        <v>1586</v>
      </c>
      <c r="H1537" s="10" t="n">
        <f aca="false">F1537*G1537</f>
        <v>1586</v>
      </c>
      <c r="I1537" s="6" t="s">
        <v>5122</v>
      </c>
    </row>
    <row r="1538" customFormat="false" ht="15" hidden="false" customHeight="false" outlineLevel="0" collapsed="false">
      <c r="A1538" s="6" t="s">
        <v>6760</v>
      </c>
      <c r="B1538" s="6" t="s">
        <v>3523</v>
      </c>
      <c r="C1538" s="26" t="n">
        <v>46078</v>
      </c>
      <c r="D1538" s="6" t="s">
        <v>5121</v>
      </c>
      <c r="E1538" s="6" t="s">
        <v>22</v>
      </c>
      <c r="F1538" s="6" t="n">
        <v>3</v>
      </c>
      <c r="G1538" s="10" t="n">
        <v>977</v>
      </c>
      <c r="H1538" s="10" t="n">
        <f aca="false">F1538*G1538</f>
        <v>2931</v>
      </c>
      <c r="I1538" s="6" t="s">
        <v>5130</v>
      </c>
    </row>
    <row r="1539" customFormat="false" ht="15" hidden="false" customHeight="false" outlineLevel="0" collapsed="false">
      <c r="A1539" s="6" t="s">
        <v>6761</v>
      </c>
      <c r="B1539" s="6" t="s">
        <v>2023</v>
      </c>
      <c r="C1539" s="26" t="n">
        <v>46078</v>
      </c>
      <c r="D1539" s="6" t="s">
        <v>5224</v>
      </c>
      <c r="E1539" s="6" t="s">
        <v>23</v>
      </c>
      <c r="F1539" s="6" t="n">
        <v>3</v>
      </c>
      <c r="G1539" s="10" t="n">
        <v>195</v>
      </c>
      <c r="H1539" s="10" t="n">
        <f aca="false">F1539*G1539</f>
        <v>585</v>
      </c>
      <c r="I1539" s="6" t="s">
        <v>5125</v>
      </c>
    </row>
    <row r="1540" customFormat="false" ht="15" hidden="false" customHeight="false" outlineLevel="0" collapsed="false">
      <c r="A1540" s="6" t="s">
        <v>6762</v>
      </c>
      <c r="B1540" s="6" t="s">
        <v>1827</v>
      </c>
      <c r="C1540" s="26" t="n">
        <v>46078</v>
      </c>
      <c r="D1540" s="6" t="s">
        <v>5121</v>
      </c>
      <c r="E1540" s="6" t="s">
        <v>22</v>
      </c>
      <c r="F1540" s="6" t="n">
        <v>2</v>
      </c>
      <c r="G1540" s="10" t="n">
        <v>880</v>
      </c>
      <c r="H1540" s="10" t="n">
        <f aca="false">F1540*G1540</f>
        <v>1760</v>
      </c>
      <c r="I1540" s="6" t="s">
        <v>5122</v>
      </c>
    </row>
    <row r="1541" customFormat="false" ht="15" hidden="false" customHeight="false" outlineLevel="0" collapsed="false">
      <c r="A1541" s="6" t="s">
        <v>6763</v>
      </c>
      <c r="B1541" s="6" t="s">
        <v>154</v>
      </c>
      <c r="C1541" s="26" t="n">
        <v>46078</v>
      </c>
      <c r="D1541" s="6" t="s">
        <v>5273</v>
      </c>
      <c r="E1541" s="6" t="s">
        <v>23</v>
      </c>
      <c r="F1541" s="6" t="n">
        <v>2</v>
      </c>
      <c r="G1541" s="10" t="n">
        <v>240</v>
      </c>
      <c r="H1541" s="10" t="n">
        <f aca="false">F1541*G1541</f>
        <v>480</v>
      </c>
      <c r="I1541" s="6" t="s">
        <v>5122</v>
      </c>
    </row>
    <row r="1542" customFormat="false" ht="15" hidden="false" customHeight="false" outlineLevel="0" collapsed="false">
      <c r="A1542" s="6" t="s">
        <v>6764</v>
      </c>
      <c r="B1542" s="6" t="s">
        <v>4503</v>
      </c>
      <c r="C1542" s="26" t="n">
        <v>46078</v>
      </c>
      <c r="D1542" s="6" t="s">
        <v>5154</v>
      </c>
      <c r="E1542" s="6" t="s">
        <v>21</v>
      </c>
      <c r="F1542" s="6" t="n">
        <v>1</v>
      </c>
      <c r="G1542" s="10" t="n">
        <v>746</v>
      </c>
      <c r="H1542" s="10" t="n">
        <f aca="false">F1542*G1542</f>
        <v>746</v>
      </c>
      <c r="I1542" s="6" t="s">
        <v>5130</v>
      </c>
    </row>
    <row r="1543" customFormat="false" ht="15" hidden="false" customHeight="false" outlineLevel="0" collapsed="false">
      <c r="A1543" s="6" t="s">
        <v>6765</v>
      </c>
      <c r="B1543" s="6" t="s">
        <v>3279</v>
      </c>
      <c r="C1543" s="26" t="n">
        <v>46078</v>
      </c>
      <c r="D1543" s="6" t="s">
        <v>5298</v>
      </c>
      <c r="E1543" s="6" t="s">
        <v>23</v>
      </c>
      <c r="F1543" s="6" t="n">
        <v>1</v>
      </c>
      <c r="G1543" s="10" t="n">
        <v>263</v>
      </c>
      <c r="H1543" s="10" t="n">
        <f aca="false">F1543*G1543</f>
        <v>263</v>
      </c>
      <c r="I1543" s="6" t="s">
        <v>5130</v>
      </c>
    </row>
    <row r="1544" customFormat="false" ht="15" hidden="false" customHeight="false" outlineLevel="0" collapsed="false">
      <c r="A1544" s="6" t="s">
        <v>6766</v>
      </c>
      <c r="B1544" s="6" t="s">
        <v>4119</v>
      </c>
      <c r="C1544" s="26" t="n">
        <v>46078</v>
      </c>
      <c r="D1544" s="6" t="s">
        <v>5143</v>
      </c>
      <c r="E1544" s="6" t="s">
        <v>21</v>
      </c>
      <c r="F1544" s="6" t="n">
        <v>1</v>
      </c>
      <c r="G1544" s="10" t="n">
        <v>1179</v>
      </c>
      <c r="H1544" s="10" t="n">
        <f aca="false">F1544*G1544</f>
        <v>1179</v>
      </c>
      <c r="I1544" s="6" t="s">
        <v>5148</v>
      </c>
    </row>
    <row r="1545" customFormat="false" ht="15" hidden="false" customHeight="false" outlineLevel="0" collapsed="false">
      <c r="A1545" s="6" t="s">
        <v>6767</v>
      </c>
      <c r="B1545" s="6" t="s">
        <v>3597</v>
      </c>
      <c r="C1545" s="26" t="n">
        <v>46078</v>
      </c>
      <c r="D1545" s="6" t="s">
        <v>5207</v>
      </c>
      <c r="E1545" s="6" t="s">
        <v>20</v>
      </c>
      <c r="F1545" s="6" t="n">
        <v>1</v>
      </c>
      <c r="G1545" s="10" t="n">
        <v>1258</v>
      </c>
      <c r="H1545" s="10" t="n">
        <f aca="false">F1545*G1545</f>
        <v>1258</v>
      </c>
      <c r="I1545" s="6" t="s">
        <v>5122</v>
      </c>
    </row>
    <row r="1546" customFormat="false" ht="15" hidden="false" customHeight="false" outlineLevel="0" collapsed="false">
      <c r="A1546" s="6" t="s">
        <v>6768</v>
      </c>
      <c r="B1546" s="6" t="s">
        <v>1257</v>
      </c>
      <c r="C1546" s="26" t="n">
        <v>46078</v>
      </c>
      <c r="D1546" s="6" t="s">
        <v>5167</v>
      </c>
      <c r="E1546" s="6" t="s">
        <v>22</v>
      </c>
      <c r="F1546" s="6" t="n">
        <v>2</v>
      </c>
      <c r="G1546" s="10" t="n">
        <v>743</v>
      </c>
      <c r="H1546" s="10" t="n">
        <f aca="false">F1546*G1546</f>
        <v>1486</v>
      </c>
      <c r="I1546" s="6" t="s">
        <v>5130</v>
      </c>
    </row>
    <row r="1547" customFormat="false" ht="15" hidden="false" customHeight="false" outlineLevel="0" collapsed="false">
      <c r="A1547" s="6" t="s">
        <v>6769</v>
      </c>
      <c r="B1547" s="6" t="s">
        <v>3985</v>
      </c>
      <c r="C1547" s="26" t="n">
        <v>46078</v>
      </c>
      <c r="D1547" s="6" t="s">
        <v>5290</v>
      </c>
      <c r="E1547" s="6" t="s">
        <v>23</v>
      </c>
      <c r="F1547" s="6" t="n">
        <v>3</v>
      </c>
      <c r="G1547" s="10" t="n">
        <v>118</v>
      </c>
      <c r="H1547" s="10" t="n">
        <f aca="false">F1547*G1547</f>
        <v>354</v>
      </c>
      <c r="I1547" s="6" t="s">
        <v>5148</v>
      </c>
    </row>
    <row r="1548" customFormat="false" ht="15" hidden="false" customHeight="false" outlineLevel="0" collapsed="false">
      <c r="A1548" s="6" t="s">
        <v>6770</v>
      </c>
      <c r="B1548" s="6" t="s">
        <v>4885</v>
      </c>
      <c r="C1548" s="26" t="n">
        <v>46078</v>
      </c>
      <c r="D1548" s="6" t="s">
        <v>5423</v>
      </c>
      <c r="E1548" s="6" t="s">
        <v>21</v>
      </c>
      <c r="F1548" s="6" t="n">
        <v>1</v>
      </c>
      <c r="G1548" s="10" t="n">
        <v>2918</v>
      </c>
      <c r="H1548" s="10" t="n">
        <f aca="false">F1548*G1548</f>
        <v>2918</v>
      </c>
      <c r="I1548" s="6" t="s">
        <v>5122</v>
      </c>
    </row>
    <row r="1549" customFormat="false" ht="15" hidden="false" customHeight="false" outlineLevel="0" collapsed="false">
      <c r="A1549" s="6" t="s">
        <v>6771</v>
      </c>
      <c r="B1549" s="6" t="s">
        <v>3197</v>
      </c>
      <c r="C1549" s="26" t="n">
        <v>46078</v>
      </c>
      <c r="D1549" s="6" t="s">
        <v>5214</v>
      </c>
      <c r="E1549" s="6" t="s">
        <v>20</v>
      </c>
      <c r="F1549" s="6" t="n">
        <v>1</v>
      </c>
      <c r="G1549" s="10" t="n">
        <v>1937</v>
      </c>
      <c r="H1549" s="10" t="n">
        <f aca="false">F1549*G1549</f>
        <v>1937</v>
      </c>
      <c r="I1549" s="6" t="s">
        <v>5173</v>
      </c>
    </row>
    <row r="1550" customFormat="false" ht="15" hidden="false" customHeight="false" outlineLevel="0" collapsed="false">
      <c r="A1550" s="6" t="s">
        <v>6772</v>
      </c>
      <c r="B1550" s="6" t="s">
        <v>2485</v>
      </c>
      <c r="C1550" s="26" t="n">
        <v>46078</v>
      </c>
      <c r="D1550" s="6" t="s">
        <v>5237</v>
      </c>
      <c r="E1550" s="6" t="s">
        <v>24</v>
      </c>
      <c r="F1550" s="6" t="n">
        <v>1</v>
      </c>
      <c r="G1550" s="10" t="n">
        <v>1833</v>
      </c>
      <c r="H1550" s="10" t="n">
        <f aca="false">F1550*G1550</f>
        <v>1833</v>
      </c>
      <c r="I1550" s="6" t="s">
        <v>5125</v>
      </c>
    </row>
    <row r="1551" customFormat="false" ht="15" hidden="false" customHeight="false" outlineLevel="0" collapsed="false">
      <c r="A1551" s="6" t="s">
        <v>6773</v>
      </c>
      <c r="B1551" s="6" t="s">
        <v>4337</v>
      </c>
      <c r="C1551" s="26" t="n">
        <v>46078</v>
      </c>
      <c r="D1551" s="6" t="s">
        <v>5167</v>
      </c>
      <c r="E1551" s="6" t="s">
        <v>22</v>
      </c>
      <c r="F1551" s="6" t="n">
        <v>1</v>
      </c>
      <c r="G1551" s="10" t="n">
        <v>702</v>
      </c>
      <c r="H1551" s="10" t="n">
        <f aca="false">F1551*G1551</f>
        <v>702</v>
      </c>
      <c r="I1551" s="6" t="s">
        <v>5130</v>
      </c>
    </row>
    <row r="1552" customFormat="false" ht="15" hidden="false" customHeight="false" outlineLevel="0" collapsed="false">
      <c r="A1552" s="6" t="s">
        <v>6774</v>
      </c>
      <c r="B1552" s="6" t="s">
        <v>1795</v>
      </c>
      <c r="C1552" s="26" t="n">
        <v>46078</v>
      </c>
      <c r="D1552" s="6" t="s">
        <v>5154</v>
      </c>
      <c r="E1552" s="6" t="s">
        <v>21</v>
      </c>
      <c r="F1552" s="6" t="n">
        <v>1</v>
      </c>
      <c r="G1552" s="10" t="n">
        <v>707</v>
      </c>
      <c r="H1552" s="10" t="n">
        <f aca="false">F1552*G1552</f>
        <v>707</v>
      </c>
      <c r="I1552" s="6" t="s">
        <v>5148</v>
      </c>
    </row>
    <row r="1553" customFormat="false" ht="15" hidden="false" customHeight="false" outlineLevel="0" collapsed="false">
      <c r="A1553" s="6" t="s">
        <v>6775</v>
      </c>
      <c r="B1553" s="6" t="s">
        <v>751</v>
      </c>
      <c r="C1553" s="26" t="n">
        <v>46078</v>
      </c>
      <c r="D1553" s="6" t="s">
        <v>5749</v>
      </c>
      <c r="E1553" s="6" t="s">
        <v>20</v>
      </c>
      <c r="F1553" s="6" t="n">
        <v>1</v>
      </c>
      <c r="G1553" s="10" t="n">
        <v>732</v>
      </c>
      <c r="H1553" s="10" t="n">
        <f aca="false">F1553*G1553</f>
        <v>732</v>
      </c>
      <c r="I1553" s="6" t="s">
        <v>5130</v>
      </c>
    </row>
    <row r="1554" customFormat="false" ht="15" hidden="false" customHeight="false" outlineLevel="0" collapsed="false">
      <c r="A1554" s="6" t="s">
        <v>6776</v>
      </c>
      <c r="B1554" s="6" t="s">
        <v>1713</v>
      </c>
      <c r="C1554" s="26" t="n">
        <v>46078</v>
      </c>
      <c r="D1554" s="6" t="s">
        <v>5127</v>
      </c>
      <c r="E1554" s="6" t="s">
        <v>21</v>
      </c>
      <c r="F1554" s="6" t="n">
        <v>2</v>
      </c>
      <c r="G1554" s="10" t="n">
        <v>884</v>
      </c>
      <c r="H1554" s="10" t="n">
        <f aca="false">F1554*G1554</f>
        <v>1768</v>
      </c>
      <c r="I1554" s="6" t="s">
        <v>5122</v>
      </c>
    </row>
    <row r="1555" customFormat="false" ht="15" hidden="false" customHeight="false" outlineLevel="0" collapsed="false">
      <c r="A1555" s="6" t="s">
        <v>6777</v>
      </c>
      <c r="B1555" s="6" t="s">
        <v>2717</v>
      </c>
      <c r="C1555" s="26" t="n">
        <v>46078</v>
      </c>
      <c r="D1555" s="6" t="s">
        <v>5135</v>
      </c>
      <c r="E1555" s="6" t="s">
        <v>23</v>
      </c>
      <c r="F1555" s="6" t="n">
        <v>4</v>
      </c>
      <c r="G1555" s="10" t="n">
        <v>419</v>
      </c>
      <c r="H1555" s="10" t="n">
        <f aca="false">F1555*G1555</f>
        <v>1676</v>
      </c>
      <c r="I1555" s="6" t="s">
        <v>5122</v>
      </c>
    </row>
    <row r="1556" customFormat="false" ht="15" hidden="false" customHeight="false" outlineLevel="0" collapsed="false">
      <c r="A1556" s="6" t="s">
        <v>6778</v>
      </c>
      <c r="B1556" s="6" t="s">
        <v>4091</v>
      </c>
      <c r="C1556" s="26" t="n">
        <v>46078</v>
      </c>
      <c r="D1556" s="6" t="s">
        <v>5269</v>
      </c>
      <c r="E1556" s="6" t="s">
        <v>22</v>
      </c>
      <c r="F1556" s="6" t="n">
        <v>1</v>
      </c>
      <c r="G1556" s="10" t="n">
        <v>1271</v>
      </c>
      <c r="H1556" s="10" t="n">
        <f aca="false">F1556*G1556</f>
        <v>1271</v>
      </c>
      <c r="I1556" s="6" t="s">
        <v>5122</v>
      </c>
    </row>
    <row r="1557" customFormat="false" ht="15" hidden="false" customHeight="false" outlineLevel="0" collapsed="false">
      <c r="A1557" s="6" t="s">
        <v>6779</v>
      </c>
      <c r="B1557" s="6" t="s">
        <v>2565</v>
      </c>
      <c r="C1557" s="26" t="n">
        <v>46078</v>
      </c>
      <c r="D1557" s="6" t="s">
        <v>5171</v>
      </c>
      <c r="E1557" s="6" t="s">
        <v>23</v>
      </c>
      <c r="F1557" s="6" t="n">
        <v>1</v>
      </c>
      <c r="G1557" s="10" t="n">
        <v>697</v>
      </c>
      <c r="H1557" s="10" t="n">
        <f aca="false">F1557*G1557</f>
        <v>697</v>
      </c>
      <c r="I1557" s="6" t="s">
        <v>5122</v>
      </c>
    </row>
    <row r="1558" customFormat="false" ht="15" hidden="false" customHeight="false" outlineLevel="0" collapsed="false">
      <c r="A1558" s="6" t="s">
        <v>6780</v>
      </c>
      <c r="B1558" s="6" t="s">
        <v>2051</v>
      </c>
      <c r="C1558" s="26" t="n">
        <v>46078</v>
      </c>
      <c r="D1558" s="6" t="s">
        <v>5277</v>
      </c>
      <c r="E1558" s="6" t="s">
        <v>22</v>
      </c>
      <c r="F1558" s="6" t="n">
        <v>1</v>
      </c>
      <c r="G1558" s="10" t="n">
        <v>2464</v>
      </c>
      <c r="H1558" s="10" t="n">
        <f aca="false">F1558*G1558</f>
        <v>2464</v>
      </c>
      <c r="I1558" s="6" t="s">
        <v>5122</v>
      </c>
    </row>
    <row r="1559" customFormat="false" ht="15" hidden="false" customHeight="false" outlineLevel="0" collapsed="false">
      <c r="A1559" s="6" t="s">
        <v>6781</v>
      </c>
      <c r="B1559" s="6" t="s">
        <v>631</v>
      </c>
      <c r="C1559" s="26" t="n">
        <v>46078</v>
      </c>
      <c r="D1559" s="6" t="s">
        <v>5488</v>
      </c>
      <c r="E1559" s="6" t="s">
        <v>24</v>
      </c>
      <c r="F1559" s="6" t="n">
        <v>2</v>
      </c>
      <c r="G1559" s="10" t="n">
        <v>779</v>
      </c>
      <c r="H1559" s="10" t="n">
        <f aca="false">F1559*G1559</f>
        <v>1558</v>
      </c>
      <c r="I1559" s="6" t="s">
        <v>5122</v>
      </c>
    </row>
    <row r="1560" customFormat="false" ht="15" hidden="false" customHeight="false" outlineLevel="0" collapsed="false">
      <c r="A1560" s="6" t="s">
        <v>6782</v>
      </c>
      <c r="B1560" s="6" t="s">
        <v>2517</v>
      </c>
      <c r="C1560" s="26" t="n">
        <v>46078</v>
      </c>
      <c r="D1560" s="6" t="s">
        <v>5150</v>
      </c>
      <c r="E1560" s="6" t="s">
        <v>24</v>
      </c>
      <c r="F1560" s="6" t="n">
        <v>1</v>
      </c>
      <c r="G1560" s="10" t="n">
        <v>508</v>
      </c>
      <c r="H1560" s="10" t="n">
        <f aca="false">F1560*G1560</f>
        <v>508</v>
      </c>
      <c r="I1560" s="6" t="s">
        <v>5148</v>
      </c>
    </row>
    <row r="1561" customFormat="false" ht="15" hidden="false" customHeight="false" outlineLevel="0" collapsed="false">
      <c r="A1561" s="6" t="s">
        <v>6783</v>
      </c>
      <c r="B1561" s="6" t="s">
        <v>408</v>
      </c>
      <c r="C1561" s="26" t="n">
        <v>46078</v>
      </c>
      <c r="D1561" s="6" t="s">
        <v>5163</v>
      </c>
      <c r="E1561" s="6" t="s">
        <v>23</v>
      </c>
      <c r="F1561" s="6" t="n">
        <v>1</v>
      </c>
      <c r="G1561" s="10" t="n">
        <v>704</v>
      </c>
      <c r="H1561" s="10" t="n">
        <f aca="false">F1561*G1561</f>
        <v>704</v>
      </c>
      <c r="I1561" s="6" t="s">
        <v>5122</v>
      </c>
    </row>
    <row r="1562" customFormat="false" ht="15" hidden="false" customHeight="false" outlineLevel="0" collapsed="false">
      <c r="A1562" s="6" t="s">
        <v>6784</v>
      </c>
      <c r="B1562" s="6" t="s">
        <v>3297</v>
      </c>
      <c r="C1562" s="26" t="n">
        <v>46079</v>
      </c>
      <c r="D1562" s="6" t="s">
        <v>5281</v>
      </c>
      <c r="E1562" s="6" t="s">
        <v>24</v>
      </c>
      <c r="F1562" s="6" t="n">
        <v>1</v>
      </c>
      <c r="G1562" s="10" t="n">
        <v>773</v>
      </c>
      <c r="H1562" s="10" t="n">
        <f aca="false">F1562*G1562</f>
        <v>773</v>
      </c>
      <c r="I1562" s="6" t="s">
        <v>5148</v>
      </c>
    </row>
    <row r="1563" customFormat="false" ht="15" hidden="false" customHeight="false" outlineLevel="0" collapsed="false">
      <c r="A1563" s="6" t="s">
        <v>6785</v>
      </c>
      <c r="B1563" s="6" t="s">
        <v>2049</v>
      </c>
      <c r="C1563" s="26" t="n">
        <v>46079</v>
      </c>
      <c r="D1563" s="6" t="s">
        <v>5167</v>
      </c>
      <c r="E1563" s="6" t="s">
        <v>22</v>
      </c>
      <c r="F1563" s="6" t="n">
        <v>2</v>
      </c>
      <c r="G1563" s="10" t="n">
        <v>782</v>
      </c>
      <c r="H1563" s="10" t="n">
        <f aca="false">F1563*G1563</f>
        <v>1564</v>
      </c>
      <c r="I1563" s="6" t="s">
        <v>5148</v>
      </c>
    </row>
    <row r="1564" customFormat="false" ht="15" hidden="false" customHeight="false" outlineLevel="0" collapsed="false">
      <c r="A1564" s="6" t="s">
        <v>6786</v>
      </c>
      <c r="B1564" s="6" t="s">
        <v>613</v>
      </c>
      <c r="C1564" s="26" t="n">
        <v>46079</v>
      </c>
      <c r="D1564" s="6" t="s">
        <v>5214</v>
      </c>
      <c r="E1564" s="6" t="s">
        <v>20</v>
      </c>
      <c r="F1564" s="6" t="n">
        <v>1</v>
      </c>
      <c r="G1564" s="10" t="n">
        <v>2039</v>
      </c>
      <c r="H1564" s="10" t="n">
        <f aca="false">F1564*G1564</f>
        <v>2039</v>
      </c>
      <c r="I1564" s="6" t="s">
        <v>5122</v>
      </c>
    </row>
    <row r="1565" customFormat="false" ht="15" hidden="false" customHeight="false" outlineLevel="0" collapsed="false">
      <c r="A1565" s="6" t="s">
        <v>6787</v>
      </c>
      <c r="B1565" s="6" t="s">
        <v>4243</v>
      </c>
      <c r="C1565" s="26" t="n">
        <v>46079</v>
      </c>
      <c r="D1565" s="6" t="s">
        <v>5357</v>
      </c>
      <c r="E1565" s="6" t="s">
        <v>23</v>
      </c>
      <c r="F1565" s="6" t="n">
        <v>2</v>
      </c>
      <c r="G1565" s="10" t="n">
        <v>507</v>
      </c>
      <c r="H1565" s="10" t="n">
        <f aca="false">F1565*G1565</f>
        <v>1014</v>
      </c>
      <c r="I1565" s="6" t="s">
        <v>5125</v>
      </c>
    </row>
    <row r="1566" customFormat="false" ht="15" hidden="false" customHeight="false" outlineLevel="0" collapsed="false">
      <c r="A1566" s="6" t="s">
        <v>6788</v>
      </c>
      <c r="B1566" s="6" t="s">
        <v>3215</v>
      </c>
      <c r="C1566" s="26" t="n">
        <v>46079</v>
      </c>
      <c r="D1566" s="6" t="s">
        <v>5353</v>
      </c>
      <c r="E1566" s="6" t="s">
        <v>24</v>
      </c>
      <c r="F1566" s="6" t="n">
        <v>1</v>
      </c>
      <c r="G1566" s="10" t="n">
        <v>1629</v>
      </c>
      <c r="H1566" s="10" t="n">
        <f aca="false">F1566*G1566</f>
        <v>1629</v>
      </c>
      <c r="I1566" s="6" t="s">
        <v>5130</v>
      </c>
    </row>
    <row r="1567" customFormat="false" ht="15" hidden="false" customHeight="false" outlineLevel="0" collapsed="false">
      <c r="A1567" s="6" t="s">
        <v>6789</v>
      </c>
      <c r="B1567" s="6" t="s">
        <v>879</v>
      </c>
      <c r="C1567" s="26" t="n">
        <v>46079</v>
      </c>
      <c r="D1567" s="6" t="s">
        <v>5345</v>
      </c>
      <c r="E1567" s="6" t="s">
        <v>23</v>
      </c>
      <c r="F1567" s="6" t="n">
        <v>4</v>
      </c>
      <c r="G1567" s="10" t="n">
        <v>414</v>
      </c>
      <c r="H1567" s="10" t="n">
        <f aca="false">F1567*G1567</f>
        <v>1656</v>
      </c>
      <c r="I1567" s="6" t="s">
        <v>5122</v>
      </c>
    </row>
    <row r="1568" customFormat="false" ht="15" hidden="false" customHeight="false" outlineLevel="0" collapsed="false">
      <c r="A1568" s="6" t="s">
        <v>6790</v>
      </c>
      <c r="B1568" s="6" t="s">
        <v>2597</v>
      </c>
      <c r="C1568" s="26" t="n">
        <v>46079</v>
      </c>
      <c r="D1568" s="6" t="s">
        <v>5165</v>
      </c>
      <c r="E1568" s="6" t="s">
        <v>22</v>
      </c>
      <c r="F1568" s="6" t="n">
        <v>1</v>
      </c>
      <c r="G1568" s="10" t="n">
        <v>928</v>
      </c>
      <c r="H1568" s="10" t="n">
        <f aca="false">F1568*G1568</f>
        <v>928</v>
      </c>
      <c r="I1568" s="6" t="s">
        <v>5148</v>
      </c>
    </row>
    <row r="1569" customFormat="false" ht="15" hidden="false" customHeight="false" outlineLevel="0" collapsed="false">
      <c r="A1569" s="6" t="s">
        <v>6791</v>
      </c>
      <c r="B1569" s="6" t="s">
        <v>2249</v>
      </c>
      <c r="C1569" s="26" t="n">
        <v>46079</v>
      </c>
      <c r="D1569" s="6" t="s">
        <v>5150</v>
      </c>
      <c r="E1569" s="6" t="s">
        <v>24</v>
      </c>
      <c r="F1569" s="6" t="n">
        <v>2</v>
      </c>
      <c r="G1569" s="10" t="n">
        <v>508</v>
      </c>
      <c r="H1569" s="10" t="n">
        <f aca="false">F1569*G1569</f>
        <v>1016</v>
      </c>
      <c r="I1569" s="6" t="s">
        <v>5122</v>
      </c>
    </row>
    <row r="1570" customFormat="false" ht="15" hidden="false" customHeight="false" outlineLevel="0" collapsed="false">
      <c r="A1570" s="6" t="s">
        <v>6792</v>
      </c>
      <c r="B1570" s="6" t="s">
        <v>2935</v>
      </c>
      <c r="C1570" s="26" t="n">
        <v>46079</v>
      </c>
      <c r="D1570" s="6" t="s">
        <v>5466</v>
      </c>
      <c r="E1570" s="6" t="s">
        <v>21</v>
      </c>
      <c r="F1570" s="6" t="n">
        <v>1</v>
      </c>
      <c r="G1570" s="10" t="n">
        <v>1867</v>
      </c>
      <c r="H1570" s="10" t="n">
        <f aca="false">F1570*G1570</f>
        <v>1867</v>
      </c>
      <c r="I1570" s="6" t="s">
        <v>5122</v>
      </c>
    </row>
    <row r="1571" customFormat="false" ht="15" hidden="false" customHeight="false" outlineLevel="0" collapsed="false">
      <c r="A1571" s="6" t="s">
        <v>6793</v>
      </c>
      <c r="B1571" s="6" t="s">
        <v>2521</v>
      </c>
      <c r="C1571" s="26" t="n">
        <v>46079</v>
      </c>
      <c r="D1571" s="6" t="s">
        <v>5145</v>
      </c>
      <c r="E1571" s="6" t="s">
        <v>21</v>
      </c>
      <c r="F1571" s="6" t="n">
        <v>2</v>
      </c>
      <c r="G1571" s="10" t="n">
        <v>1149</v>
      </c>
      <c r="H1571" s="10" t="n">
        <f aca="false">F1571*G1571</f>
        <v>2298</v>
      </c>
      <c r="I1571" s="6" t="s">
        <v>5133</v>
      </c>
    </row>
    <row r="1572" customFormat="false" ht="15" hidden="false" customHeight="false" outlineLevel="0" collapsed="false">
      <c r="A1572" s="6" t="s">
        <v>6794</v>
      </c>
      <c r="B1572" s="6" t="s">
        <v>2065</v>
      </c>
      <c r="C1572" s="26" t="n">
        <v>46079</v>
      </c>
      <c r="D1572" s="6" t="s">
        <v>5482</v>
      </c>
      <c r="E1572" s="6" t="s">
        <v>23</v>
      </c>
      <c r="F1572" s="6" t="n">
        <v>3</v>
      </c>
      <c r="G1572" s="10" t="n">
        <v>269</v>
      </c>
      <c r="H1572" s="10" t="n">
        <f aca="false">F1572*G1572</f>
        <v>807</v>
      </c>
      <c r="I1572" s="6" t="s">
        <v>5148</v>
      </c>
    </row>
    <row r="1573" customFormat="false" ht="15" hidden="false" customHeight="false" outlineLevel="0" collapsed="false">
      <c r="A1573" s="6" t="s">
        <v>6795</v>
      </c>
      <c r="B1573" s="6" t="s">
        <v>4273</v>
      </c>
      <c r="C1573" s="26" t="n">
        <v>46079</v>
      </c>
      <c r="D1573" s="6" t="s">
        <v>5837</v>
      </c>
      <c r="E1573" s="6" t="s">
        <v>21</v>
      </c>
      <c r="F1573" s="6" t="n">
        <v>1</v>
      </c>
      <c r="G1573" s="10" t="n">
        <v>2948</v>
      </c>
      <c r="H1573" s="10" t="n">
        <f aca="false">F1573*G1573</f>
        <v>2948</v>
      </c>
      <c r="I1573" s="6" t="s">
        <v>5148</v>
      </c>
    </row>
    <row r="1574" customFormat="false" ht="15" hidden="false" customHeight="false" outlineLevel="0" collapsed="false">
      <c r="A1574" s="6" t="s">
        <v>6796</v>
      </c>
      <c r="B1574" s="6" t="s">
        <v>665</v>
      </c>
      <c r="C1574" s="26" t="n">
        <v>46079</v>
      </c>
      <c r="D1574" s="6" t="s">
        <v>5466</v>
      </c>
      <c r="E1574" s="6" t="s">
        <v>21</v>
      </c>
      <c r="F1574" s="6" t="n">
        <v>2</v>
      </c>
      <c r="G1574" s="10" t="n">
        <v>1965</v>
      </c>
      <c r="H1574" s="10" t="n">
        <f aca="false">F1574*G1574</f>
        <v>3930</v>
      </c>
      <c r="I1574" s="6" t="s">
        <v>5130</v>
      </c>
    </row>
    <row r="1575" customFormat="false" ht="15" hidden="false" customHeight="false" outlineLevel="0" collapsed="false">
      <c r="A1575" s="6" t="s">
        <v>6797</v>
      </c>
      <c r="B1575" s="6" t="s">
        <v>4129</v>
      </c>
      <c r="C1575" s="26" t="n">
        <v>46079</v>
      </c>
      <c r="D1575" s="6" t="s">
        <v>5167</v>
      </c>
      <c r="E1575" s="6" t="s">
        <v>22</v>
      </c>
      <c r="F1575" s="6" t="n">
        <v>1</v>
      </c>
      <c r="G1575" s="10" t="n">
        <v>782</v>
      </c>
      <c r="H1575" s="10" t="n">
        <f aca="false">F1575*G1575</f>
        <v>782</v>
      </c>
      <c r="I1575" s="6" t="s">
        <v>5122</v>
      </c>
    </row>
    <row r="1576" customFormat="false" ht="15" hidden="false" customHeight="false" outlineLevel="0" collapsed="false">
      <c r="A1576" s="6" t="s">
        <v>6798</v>
      </c>
      <c r="B1576" s="6" t="s">
        <v>3459</v>
      </c>
      <c r="C1576" s="26" t="n">
        <v>46079</v>
      </c>
      <c r="D1576" s="6" t="s">
        <v>5160</v>
      </c>
      <c r="E1576" s="6" t="s">
        <v>21</v>
      </c>
      <c r="F1576" s="6" t="n">
        <v>2</v>
      </c>
      <c r="G1576" s="10" t="n">
        <v>2614</v>
      </c>
      <c r="H1576" s="10" t="n">
        <f aca="false">F1576*G1576</f>
        <v>5228</v>
      </c>
      <c r="I1576" s="6" t="s">
        <v>5122</v>
      </c>
    </row>
    <row r="1577" customFormat="false" ht="15" hidden="false" customHeight="false" outlineLevel="0" collapsed="false">
      <c r="A1577" s="6" t="s">
        <v>6799</v>
      </c>
      <c r="B1577" s="6" t="s">
        <v>1553</v>
      </c>
      <c r="C1577" s="26" t="n">
        <v>46079</v>
      </c>
      <c r="D1577" s="6" t="s">
        <v>5167</v>
      </c>
      <c r="E1577" s="6" t="s">
        <v>22</v>
      </c>
      <c r="F1577" s="6" t="n">
        <v>1</v>
      </c>
      <c r="G1577" s="10" t="n">
        <v>743</v>
      </c>
      <c r="H1577" s="10" t="n">
        <f aca="false">F1577*G1577</f>
        <v>743</v>
      </c>
      <c r="I1577" s="6" t="s">
        <v>5148</v>
      </c>
    </row>
    <row r="1578" customFormat="false" ht="15" hidden="false" customHeight="false" outlineLevel="0" collapsed="false">
      <c r="A1578" s="6" t="s">
        <v>6800</v>
      </c>
      <c r="B1578" s="6" t="s">
        <v>3691</v>
      </c>
      <c r="C1578" s="26" t="n">
        <v>46079</v>
      </c>
      <c r="D1578" s="6" t="s">
        <v>5807</v>
      </c>
      <c r="E1578" s="6" t="s">
        <v>20</v>
      </c>
      <c r="F1578" s="6" t="n">
        <v>1</v>
      </c>
      <c r="G1578" s="10" t="n">
        <v>15296</v>
      </c>
      <c r="H1578" s="10" t="n">
        <f aca="false">F1578*G1578</f>
        <v>15296</v>
      </c>
      <c r="I1578" s="6" t="s">
        <v>5122</v>
      </c>
    </row>
    <row r="1579" customFormat="false" ht="15" hidden="false" customHeight="false" outlineLevel="0" collapsed="false">
      <c r="A1579" s="6" t="s">
        <v>6801</v>
      </c>
      <c r="B1579" s="6" t="s">
        <v>765</v>
      </c>
      <c r="C1579" s="26" t="n">
        <v>46079</v>
      </c>
      <c r="D1579" s="6" t="s">
        <v>5687</v>
      </c>
      <c r="E1579" s="6" t="s">
        <v>20</v>
      </c>
      <c r="F1579" s="6" t="n">
        <v>1</v>
      </c>
      <c r="G1579" s="10" t="n">
        <v>1835</v>
      </c>
      <c r="H1579" s="10" t="n">
        <f aca="false">F1579*G1579</f>
        <v>1835</v>
      </c>
      <c r="I1579" s="6" t="s">
        <v>5148</v>
      </c>
    </row>
    <row r="1580" customFormat="false" ht="15" hidden="false" customHeight="false" outlineLevel="0" collapsed="false">
      <c r="A1580" s="6" t="s">
        <v>6802</v>
      </c>
      <c r="B1580" s="6" t="s">
        <v>4221</v>
      </c>
      <c r="C1580" s="26" t="n">
        <v>46079</v>
      </c>
      <c r="D1580" s="6" t="s">
        <v>5180</v>
      </c>
      <c r="E1580" s="6" t="s">
        <v>24</v>
      </c>
      <c r="F1580" s="6" t="n">
        <v>1</v>
      </c>
      <c r="G1580" s="10" t="n">
        <v>1987</v>
      </c>
      <c r="H1580" s="10" t="n">
        <f aca="false">F1580*G1580</f>
        <v>1987</v>
      </c>
      <c r="I1580" s="6" t="s">
        <v>5125</v>
      </c>
    </row>
    <row r="1581" customFormat="false" ht="15" hidden="false" customHeight="false" outlineLevel="0" collapsed="false">
      <c r="A1581" s="6" t="s">
        <v>6803</v>
      </c>
      <c r="B1581" s="6" t="s">
        <v>2149</v>
      </c>
      <c r="C1581" s="26" t="n">
        <v>46079</v>
      </c>
      <c r="D1581" s="6" t="s">
        <v>5127</v>
      </c>
      <c r="E1581" s="6" t="s">
        <v>21</v>
      </c>
      <c r="F1581" s="6" t="n">
        <v>2</v>
      </c>
      <c r="G1581" s="10" t="n">
        <v>884</v>
      </c>
      <c r="H1581" s="10" t="n">
        <f aca="false">F1581*G1581</f>
        <v>1768</v>
      </c>
      <c r="I1581" s="6" t="s">
        <v>5130</v>
      </c>
    </row>
    <row r="1582" customFormat="false" ht="15" hidden="false" customHeight="false" outlineLevel="0" collapsed="false">
      <c r="A1582" s="6" t="s">
        <v>6804</v>
      </c>
      <c r="B1582" s="6" t="s">
        <v>3335</v>
      </c>
      <c r="C1582" s="26" t="n">
        <v>46080</v>
      </c>
      <c r="D1582" s="6" t="s">
        <v>5137</v>
      </c>
      <c r="E1582" s="6" t="s">
        <v>21</v>
      </c>
      <c r="F1582" s="6" t="n">
        <v>1</v>
      </c>
      <c r="G1582" s="10" t="n">
        <v>1680</v>
      </c>
      <c r="H1582" s="10" t="n">
        <f aca="false">F1582*G1582</f>
        <v>1680</v>
      </c>
      <c r="I1582" s="6" t="s">
        <v>5122</v>
      </c>
    </row>
    <row r="1583" customFormat="false" ht="15" hidden="false" customHeight="false" outlineLevel="0" collapsed="false">
      <c r="A1583" s="6" t="s">
        <v>6805</v>
      </c>
      <c r="B1583" s="6" t="s">
        <v>4885</v>
      </c>
      <c r="C1583" s="26" t="n">
        <v>46080</v>
      </c>
      <c r="D1583" s="6" t="s">
        <v>5165</v>
      </c>
      <c r="E1583" s="6" t="s">
        <v>22</v>
      </c>
      <c r="F1583" s="6" t="n">
        <v>2</v>
      </c>
      <c r="G1583" s="10" t="n">
        <v>977</v>
      </c>
      <c r="H1583" s="10" t="n">
        <f aca="false">F1583*G1583</f>
        <v>1954</v>
      </c>
      <c r="I1583" s="6" t="s">
        <v>5122</v>
      </c>
    </row>
    <row r="1584" customFormat="false" ht="15" hidden="false" customHeight="false" outlineLevel="0" collapsed="false">
      <c r="A1584" s="6" t="s">
        <v>6806</v>
      </c>
      <c r="B1584" s="6" t="s">
        <v>4923</v>
      </c>
      <c r="C1584" s="26" t="n">
        <v>46080</v>
      </c>
      <c r="D1584" s="6" t="s">
        <v>5197</v>
      </c>
      <c r="E1584" s="6" t="s">
        <v>21</v>
      </c>
      <c r="F1584" s="6" t="n">
        <v>1</v>
      </c>
      <c r="G1584" s="10" t="n">
        <v>1080</v>
      </c>
      <c r="H1584" s="10" t="n">
        <f aca="false">F1584*G1584</f>
        <v>1080</v>
      </c>
      <c r="I1584" s="6" t="s">
        <v>5122</v>
      </c>
    </row>
    <row r="1585" customFormat="false" ht="15" hidden="false" customHeight="false" outlineLevel="0" collapsed="false">
      <c r="A1585" s="6" t="s">
        <v>6807</v>
      </c>
      <c r="B1585" s="6" t="s">
        <v>1473</v>
      </c>
      <c r="C1585" s="26" t="n">
        <v>46080</v>
      </c>
      <c r="D1585" s="6" t="s">
        <v>5220</v>
      </c>
      <c r="E1585" s="6" t="s">
        <v>24</v>
      </c>
      <c r="F1585" s="6" t="n">
        <v>3</v>
      </c>
      <c r="G1585" s="10" t="n">
        <v>1120</v>
      </c>
      <c r="H1585" s="10" t="n">
        <f aca="false">F1585*G1585</f>
        <v>3360</v>
      </c>
      <c r="I1585" s="6" t="s">
        <v>5133</v>
      </c>
    </row>
    <row r="1586" customFormat="false" ht="15" hidden="false" customHeight="false" outlineLevel="0" collapsed="false">
      <c r="A1586" s="6" t="s">
        <v>6808</v>
      </c>
      <c r="B1586" s="6" t="s">
        <v>4017</v>
      </c>
      <c r="C1586" s="26" t="n">
        <v>46080</v>
      </c>
      <c r="D1586" s="6" t="s">
        <v>5353</v>
      </c>
      <c r="E1586" s="6" t="s">
        <v>24</v>
      </c>
      <c r="F1586" s="6" t="n">
        <v>1</v>
      </c>
      <c r="G1586" s="10" t="n">
        <v>1466</v>
      </c>
      <c r="H1586" s="10" t="n">
        <f aca="false">F1586*G1586</f>
        <v>1466</v>
      </c>
      <c r="I1586" s="6" t="s">
        <v>5125</v>
      </c>
    </row>
    <row r="1587" customFormat="false" ht="15" hidden="false" customHeight="false" outlineLevel="0" collapsed="false">
      <c r="A1587" s="6" t="s">
        <v>6809</v>
      </c>
      <c r="B1587" s="6" t="s">
        <v>853</v>
      </c>
      <c r="C1587" s="26" t="n">
        <v>46080</v>
      </c>
      <c r="D1587" s="6" t="s">
        <v>5121</v>
      </c>
      <c r="E1587" s="6" t="s">
        <v>22</v>
      </c>
      <c r="F1587" s="6" t="n">
        <v>1</v>
      </c>
      <c r="G1587" s="10" t="n">
        <v>880</v>
      </c>
      <c r="H1587" s="10" t="n">
        <f aca="false">F1587*G1587</f>
        <v>880</v>
      </c>
      <c r="I1587" s="6" t="s">
        <v>5148</v>
      </c>
    </row>
    <row r="1588" customFormat="false" ht="15" hidden="false" customHeight="false" outlineLevel="0" collapsed="false">
      <c r="A1588" s="6" t="s">
        <v>6810</v>
      </c>
      <c r="B1588" s="6" t="s">
        <v>3347</v>
      </c>
      <c r="C1588" s="26" t="n">
        <v>46080</v>
      </c>
      <c r="D1588" s="6" t="s">
        <v>5171</v>
      </c>
      <c r="E1588" s="6" t="s">
        <v>23</v>
      </c>
      <c r="F1588" s="6" t="n">
        <v>1</v>
      </c>
      <c r="G1588" s="10" t="n">
        <v>697</v>
      </c>
      <c r="H1588" s="10" t="n">
        <f aca="false">F1588*G1588</f>
        <v>697</v>
      </c>
      <c r="I1588" s="6" t="s">
        <v>5122</v>
      </c>
    </row>
    <row r="1589" customFormat="false" ht="15" hidden="false" customHeight="false" outlineLevel="0" collapsed="false">
      <c r="A1589" s="6" t="s">
        <v>6811</v>
      </c>
      <c r="B1589" s="6" t="s">
        <v>2791</v>
      </c>
      <c r="C1589" s="26" t="n">
        <v>46080</v>
      </c>
      <c r="D1589" s="6" t="s">
        <v>5906</v>
      </c>
      <c r="E1589" s="6" t="s">
        <v>20</v>
      </c>
      <c r="F1589" s="6" t="n">
        <v>1</v>
      </c>
      <c r="G1589" s="10" t="n">
        <v>56087</v>
      </c>
      <c r="H1589" s="10" t="n">
        <f aca="false">F1589*G1589</f>
        <v>56087</v>
      </c>
      <c r="I1589" s="6" t="s">
        <v>5122</v>
      </c>
    </row>
    <row r="1590" customFormat="false" ht="15" hidden="false" customHeight="false" outlineLevel="0" collapsed="false">
      <c r="A1590" s="6" t="s">
        <v>6812</v>
      </c>
      <c r="B1590" s="6" t="s">
        <v>567</v>
      </c>
      <c r="C1590" s="26" t="n">
        <v>46080</v>
      </c>
      <c r="D1590" s="6" t="s">
        <v>5163</v>
      </c>
      <c r="E1590" s="6" t="s">
        <v>23</v>
      </c>
      <c r="F1590" s="6" t="n">
        <v>2</v>
      </c>
      <c r="G1590" s="10" t="n">
        <v>783</v>
      </c>
      <c r="H1590" s="10" t="n">
        <f aca="false">F1590*G1590</f>
        <v>1566</v>
      </c>
      <c r="I1590" s="6" t="s">
        <v>5122</v>
      </c>
    </row>
    <row r="1591" customFormat="false" ht="15" hidden="false" customHeight="false" outlineLevel="0" collapsed="false">
      <c r="A1591" s="6" t="s">
        <v>6813</v>
      </c>
      <c r="B1591" s="6" t="s">
        <v>4769</v>
      </c>
      <c r="C1591" s="26" t="n">
        <v>46080</v>
      </c>
      <c r="D1591" s="6" t="s">
        <v>5167</v>
      </c>
      <c r="E1591" s="6" t="s">
        <v>22</v>
      </c>
      <c r="F1591" s="6" t="n">
        <v>2</v>
      </c>
      <c r="G1591" s="10" t="n">
        <v>782</v>
      </c>
      <c r="H1591" s="10" t="n">
        <f aca="false">F1591*G1591</f>
        <v>1564</v>
      </c>
      <c r="I1591" s="6" t="s">
        <v>5130</v>
      </c>
    </row>
    <row r="1592" customFormat="false" ht="15" hidden="false" customHeight="false" outlineLevel="0" collapsed="false">
      <c r="A1592" s="6" t="s">
        <v>6814</v>
      </c>
      <c r="B1592" s="6" t="s">
        <v>3509</v>
      </c>
      <c r="C1592" s="26" t="n">
        <v>46080</v>
      </c>
      <c r="D1592" s="6" t="s">
        <v>5171</v>
      </c>
      <c r="E1592" s="6" t="s">
        <v>23</v>
      </c>
      <c r="F1592" s="6" t="n">
        <v>4</v>
      </c>
      <c r="G1592" s="10" t="n">
        <v>661</v>
      </c>
      <c r="H1592" s="10" t="n">
        <f aca="false">F1592*G1592</f>
        <v>2644</v>
      </c>
      <c r="I1592" s="6" t="s">
        <v>5130</v>
      </c>
    </row>
    <row r="1593" customFormat="false" ht="15" hidden="false" customHeight="false" outlineLevel="0" collapsed="false">
      <c r="A1593" s="6" t="s">
        <v>6815</v>
      </c>
      <c r="B1593" s="6" t="s">
        <v>3925</v>
      </c>
      <c r="C1593" s="26" t="n">
        <v>46080</v>
      </c>
      <c r="D1593" s="6" t="s">
        <v>5127</v>
      </c>
      <c r="E1593" s="6" t="s">
        <v>21</v>
      </c>
      <c r="F1593" s="6" t="n">
        <v>1</v>
      </c>
      <c r="G1593" s="10" t="n">
        <v>884</v>
      </c>
      <c r="H1593" s="10" t="n">
        <f aca="false">F1593*G1593</f>
        <v>884</v>
      </c>
      <c r="I1593" s="6" t="s">
        <v>5125</v>
      </c>
    </row>
    <row r="1594" customFormat="false" ht="15" hidden="false" customHeight="false" outlineLevel="0" collapsed="false">
      <c r="A1594" s="6" t="s">
        <v>6816</v>
      </c>
      <c r="B1594" s="6" t="s">
        <v>4127</v>
      </c>
      <c r="C1594" s="26" t="n">
        <v>46080</v>
      </c>
      <c r="D1594" s="6" t="s">
        <v>5167</v>
      </c>
      <c r="E1594" s="6" t="s">
        <v>22</v>
      </c>
      <c r="F1594" s="6" t="n">
        <v>1</v>
      </c>
      <c r="G1594" s="10" t="n">
        <v>781</v>
      </c>
      <c r="H1594" s="10" t="n">
        <f aca="false">F1594*G1594</f>
        <v>781</v>
      </c>
      <c r="I1594" s="6" t="s">
        <v>5125</v>
      </c>
    </row>
    <row r="1595" customFormat="false" ht="15" hidden="false" customHeight="false" outlineLevel="0" collapsed="false">
      <c r="A1595" s="6" t="s">
        <v>6817</v>
      </c>
      <c r="B1595" s="6" t="s">
        <v>2361</v>
      </c>
      <c r="C1595" s="26" t="n">
        <v>46080</v>
      </c>
      <c r="D1595" s="6" t="s">
        <v>5561</v>
      </c>
      <c r="E1595" s="6" t="s">
        <v>20</v>
      </c>
      <c r="F1595" s="6" t="n">
        <v>1</v>
      </c>
      <c r="G1595" s="10" t="n">
        <v>3196</v>
      </c>
      <c r="H1595" s="10" t="n">
        <f aca="false">F1595*G1595</f>
        <v>3196</v>
      </c>
      <c r="I1595" s="6" t="s">
        <v>5130</v>
      </c>
    </row>
    <row r="1596" customFormat="false" ht="15" hidden="false" customHeight="false" outlineLevel="0" collapsed="false">
      <c r="A1596" s="6" t="s">
        <v>6818</v>
      </c>
      <c r="B1596" s="6" t="s">
        <v>931</v>
      </c>
      <c r="C1596" s="26" t="n">
        <v>46080</v>
      </c>
      <c r="D1596" s="6" t="s">
        <v>5165</v>
      </c>
      <c r="E1596" s="6" t="s">
        <v>22</v>
      </c>
      <c r="F1596" s="6" t="n">
        <v>3</v>
      </c>
      <c r="G1596" s="10" t="n">
        <v>977</v>
      </c>
      <c r="H1596" s="10" t="n">
        <f aca="false">F1596*G1596</f>
        <v>2931</v>
      </c>
      <c r="I1596" s="6" t="s">
        <v>5122</v>
      </c>
    </row>
    <row r="1597" customFormat="false" ht="15" hidden="false" customHeight="false" outlineLevel="0" collapsed="false">
      <c r="A1597" s="6" t="s">
        <v>6819</v>
      </c>
      <c r="B1597" s="6" t="s">
        <v>2481</v>
      </c>
      <c r="C1597" s="26" t="n">
        <v>46080</v>
      </c>
      <c r="D1597" s="6" t="s">
        <v>5326</v>
      </c>
      <c r="E1597" s="6" t="s">
        <v>22</v>
      </c>
      <c r="F1597" s="6" t="n">
        <v>2</v>
      </c>
      <c r="G1597" s="10" t="n">
        <v>1466</v>
      </c>
      <c r="H1597" s="10" t="n">
        <f aca="false">F1597*G1597</f>
        <v>2932</v>
      </c>
      <c r="I1597" s="6" t="s">
        <v>5122</v>
      </c>
    </row>
    <row r="1598" customFormat="false" ht="15" hidden="false" customHeight="false" outlineLevel="0" collapsed="false">
      <c r="A1598" s="6" t="s">
        <v>6820</v>
      </c>
      <c r="B1598" s="6" t="s">
        <v>2663</v>
      </c>
      <c r="C1598" s="26" t="n">
        <v>46080</v>
      </c>
      <c r="D1598" s="6" t="s">
        <v>5160</v>
      </c>
      <c r="E1598" s="6" t="s">
        <v>21</v>
      </c>
      <c r="F1598" s="6" t="n">
        <v>2</v>
      </c>
      <c r="G1598" s="10" t="n">
        <v>2476</v>
      </c>
      <c r="H1598" s="10" t="n">
        <f aca="false">F1598*G1598</f>
        <v>4952</v>
      </c>
      <c r="I1598" s="6" t="s">
        <v>5148</v>
      </c>
    </row>
    <row r="1599" customFormat="false" ht="15" hidden="false" customHeight="false" outlineLevel="0" collapsed="false">
      <c r="A1599" s="6" t="s">
        <v>6821</v>
      </c>
      <c r="B1599" s="6" t="s">
        <v>4537</v>
      </c>
      <c r="C1599" s="26" t="n">
        <v>46080</v>
      </c>
      <c r="D1599" s="6" t="s">
        <v>5127</v>
      </c>
      <c r="E1599" s="6" t="s">
        <v>21</v>
      </c>
      <c r="F1599" s="6" t="n">
        <v>1</v>
      </c>
      <c r="G1599" s="10" t="n">
        <v>884</v>
      </c>
      <c r="H1599" s="10" t="n">
        <f aca="false">F1599*G1599</f>
        <v>884</v>
      </c>
      <c r="I1599" s="6" t="s">
        <v>5125</v>
      </c>
    </row>
    <row r="1600" customFormat="false" ht="15" hidden="false" customHeight="false" outlineLevel="0" collapsed="false">
      <c r="A1600" s="6" t="s">
        <v>6822</v>
      </c>
      <c r="B1600" s="6" t="s">
        <v>715</v>
      </c>
      <c r="C1600" s="26" t="n">
        <v>46080</v>
      </c>
      <c r="D1600" s="6" t="s">
        <v>5561</v>
      </c>
      <c r="E1600" s="6" t="s">
        <v>20</v>
      </c>
      <c r="F1600" s="6" t="n">
        <v>1</v>
      </c>
      <c r="G1600" s="10" t="n">
        <v>3363</v>
      </c>
      <c r="H1600" s="10" t="n">
        <f aca="false">F1600*G1600</f>
        <v>3363</v>
      </c>
      <c r="I1600" s="6" t="s">
        <v>5125</v>
      </c>
    </row>
    <row r="1601" customFormat="false" ht="15" hidden="false" customHeight="false" outlineLevel="0" collapsed="false">
      <c r="A1601" s="6" t="s">
        <v>6823</v>
      </c>
      <c r="B1601" s="6" t="s">
        <v>3853</v>
      </c>
      <c r="C1601" s="26" t="n">
        <v>46080</v>
      </c>
      <c r="D1601" s="6" t="s">
        <v>5216</v>
      </c>
      <c r="E1601" s="6" t="s">
        <v>23</v>
      </c>
      <c r="F1601" s="6" t="n">
        <v>3</v>
      </c>
      <c r="G1601" s="10" t="n">
        <v>587</v>
      </c>
      <c r="H1601" s="10" t="n">
        <f aca="false">F1601*G1601</f>
        <v>1761</v>
      </c>
      <c r="I1601" s="6" t="s">
        <v>5130</v>
      </c>
    </row>
    <row r="1602" customFormat="false" ht="15" hidden="false" customHeight="false" outlineLevel="0" collapsed="false">
      <c r="A1602" s="6" t="s">
        <v>6824</v>
      </c>
      <c r="B1602" s="6" t="s">
        <v>3959</v>
      </c>
      <c r="C1602" s="26" t="n">
        <v>46080</v>
      </c>
      <c r="D1602" s="6" t="s">
        <v>5137</v>
      </c>
      <c r="E1602" s="6" t="s">
        <v>21</v>
      </c>
      <c r="F1602" s="6" t="n">
        <v>1</v>
      </c>
      <c r="G1602" s="10" t="n">
        <v>1768</v>
      </c>
      <c r="H1602" s="10" t="n">
        <f aca="false">F1602*G1602</f>
        <v>1768</v>
      </c>
      <c r="I1602" s="6" t="s">
        <v>5122</v>
      </c>
    </row>
    <row r="1603" customFormat="false" ht="15" hidden="false" customHeight="false" outlineLevel="0" collapsed="false">
      <c r="A1603" s="6" t="s">
        <v>6825</v>
      </c>
      <c r="B1603" s="6" t="s">
        <v>4249</v>
      </c>
      <c r="C1603" s="26" t="n">
        <v>46080</v>
      </c>
      <c r="D1603" s="6" t="s">
        <v>5456</v>
      </c>
      <c r="E1603" s="6" t="s">
        <v>24</v>
      </c>
      <c r="F1603" s="6" t="n">
        <v>2</v>
      </c>
      <c r="G1603" s="10" t="n">
        <v>912</v>
      </c>
      <c r="H1603" s="10" t="n">
        <f aca="false">F1603*G1603</f>
        <v>1824</v>
      </c>
      <c r="I1603" s="6" t="s">
        <v>5122</v>
      </c>
    </row>
    <row r="1604" customFormat="false" ht="15" hidden="false" customHeight="false" outlineLevel="0" collapsed="false">
      <c r="A1604" s="6" t="s">
        <v>6826</v>
      </c>
      <c r="B1604" s="6" t="s">
        <v>410</v>
      </c>
      <c r="C1604" s="26" t="n">
        <v>46080</v>
      </c>
      <c r="D1604" s="6" t="s">
        <v>5132</v>
      </c>
      <c r="E1604" s="6" t="s">
        <v>23</v>
      </c>
      <c r="F1604" s="6" t="n">
        <v>2</v>
      </c>
      <c r="G1604" s="10" t="n">
        <v>308</v>
      </c>
      <c r="H1604" s="10" t="n">
        <f aca="false">F1604*G1604</f>
        <v>616</v>
      </c>
      <c r="I1604" s="6" t="s">
        <v>5122</v>
      </c>
    </row>
    <row r="1605" customFormat="false" ht="15" hidden="false" customHeight="false" outlineLevel="0" collapsed="false">
      <c r="A1605" s="6" t="s">
        <v>6827</v>
      </c>
      <c r="B1605" s="6" t="s">
        <v>2849</v>
      </c>
      <c r="C1605" s="26" t="n">
        <v>46080</v>
      </c>
      <c r="D1605" s="6" t="s">
        <v>5192</v>
      </c>
      <c r="E1605" s="6" t="s">
        <v>20</v>
      </c>
      <c r="F1605" s="6" t="n">
        <v>1</v>
      </c>
      <c r="G1605" s="10" t="n">
        <v>3670</v>
      </c>
      <c r="H1605" s="10" t="n">
        <f aca="false">F1605*G1605</f>
        <v>3670</v>
      </c>
      <c r="I1605" s="6" t="s">
        <v>5148</v>
      </c>
    </row>
    <row r="1606" customFormat="false" ht="15" hidden="false" customHeight="false" outlineLevel="0" collapsed="false">
      <c r="A1606" s="6" t="s">
        <v>6828</v>
      </c>
      <c r="B1606" s="6" t="s">
        <v>1081</v>
      </c>
      <c r="C1606" s="26" t="n">
        <v>46080</v>
      </c>
      <c r="D1606" s="6" t="s">
        <v>5232</v>
      </c>
      <c r="E1606" s="6" t="s">
        <v>23</v>
      </c>
      <c r="F1606" s="6" t="n">
        <v>1</v>
      </c>
      <c r="G1606" s="10" t="n">
        <v>206</v>
      </c>
      <c r="H1606" s="10" t="n">
        <f aca="false">F1606*G1606</f>
        <v>206</v>
      </c>
      <c r="I1606" s="6" t="s">
        <v>5148</v>
      </c>
    </row>
    <row r="1607" customFormat="false" ht="15" hidden="false" customHeight="false" outlineLevel="0" collapsed="false">
      <c r="A1607" s="6" t="s">
        <v>6829</v>
      </c>
      <c r="B1607" s="6" t="s">
        <v>2051</v>
      </c>
      <c r="C1607" s="26" t="n">
        <v>46080</v>
      </c>
      <c r="D1607" s="6" t="s">
        <v>5141</v>
      </c>
      <c r="E1607" s="6" t="s">
        <v>20</v>
      </c>
      <c r="F1607" s="6" t="n">
        <v>1</v>
      </c>
      <c r="G1607" s="10" t="n">
        <v>1835</v>
      </c>
      <c r="H1607" s="10" t="n">
        <f aca="false">F1607*G1607</f>
        <v>1835</v>
      </c>
      <c r="I1607" s="6" t="s">
        <v>5148</v>
      </c>
    </row>
    <row r="1608" customFormat="false" ht="15" hidden="false" customHeight="false" outlineLevel="0" collapsed="false">
      <c r="A1608" s="6" t="s">
        <v>6830</v>
      </c>
      <c r="B1608" s="6" t="s">
        <v>1871</v>
      </c>
      <c r="C1608" s="26" t="n">
        <v>46081</v>
      </c>
      <c r="D1608" s="6" t="s">
        <v>5235</v>
      </c>
      <c r="E1608" s="6" t="s">
        <v>21</v>
      </c>
      <c r="F1608" s="6" t="n">
        <v>2</v>
      </c>
      <c r="G1608" s="10" t="n">
        <v>1670</v>
      </c>
      <c r="H1608" s="10" t="n">
        <f aca="false">F1608*G1608</f>
        <v>3340</v>
      </c>
      <c r="I1608" s="6" t="s">
        <v>5173</v>
      </c>
    </row>
    <row r="1609" customFormat="false" ht="15" hidden="false" customHeight="false" outlineLevel="0" collapsed="false">
      <c r="A1609" s="6" t="s">
        <v>6831</v>
      </c>
      <c r="B1609" s="6" t="s">
        <v>2273</v>
      </c>
      <c r="C1609" s="26" t="n">
        <v>46081</v>
      </c>
      <c r="D1609" s="6" t="s">
        <v>5863</v>
      </c>
      <c r="E1609" s="6" t="s">
        <v>20</v>
      </c>
      <c r="F1609" s="6" t="n">
        <v>1</v>
      </c>
      <c r="G1609" s="10" t="n">
        <v>20395</v>
      </c>
      <c r="H1609" s="10" t="n">
        <f aca="false">F1609*G1609</f>
        <v>20395</v>
      </c>
      <c r="I1609" s="6" t="s">
        <v>5130</v>
      </c>
    </row>
    <row r="1610" customFormat="false" ht="15" hidden="false" customHeight="false" outlineLevel="0" collapsed="false">
      <c r="A1610" s="6" t="s">
        <v>6832</v>
      </c>
      <c r="B1610" s="6" t="s">
        <v>3951</v>
      </c>
      <c r="C1610" s="26" t="n">
        <v>46081</v>
      </c>
      <c r="D1610" s="6" t="s">
        <v>5121</v>
      </c>
      <c r="E1610" s="6" t="s">
        <v>22</v>
      </c>
      <c r="F1610" s="6" t="n">
        <v>1</v>
      </c>
      <c r="G1610" s="10" t="n">
        <v>977</v>
      </c>
      <c r="H1610" s="10" t="n">
        <f aca="false">F1610*G1610</f>
        <v>977</v>
      </c>
      <c r="I1610" s="6" t="s">
        <v>5130</v>
      </c>
    </row>
    <row r="1611" customFormat="false" ht="15" hidden="false" customHeight="false" outlineLevel="0" collapsed="false">
      <c r="A1611" s="6" t="s">
        <v>6833</v>
      </c>
      <c r="B1611" s="6" t="s">
        <v>1067</v>
      </c>
      <c r="C1611" s="26" t="n">
        <v>46081</v>
      </c>
      <c r="D1611" s="6" t="s">
        <v>5318</v>
      </c>
      <c r="E1611" s="6" t="s">
        <v>20</v>
      </c>
      <c r="F1611" s="6" t="n">
        <v>1</v>
      </c>
      <c r="G1611" s="10" t="n">
        <v>1529</v>
      </c>
      <c r="H1611" s="10" t="n">
        <f aca="false">F1611*G1611</f>
        <v>1529</v>
      </c>
      <c r="I1611" s="6" t="s">
        <v>5133</v>
      </c>
    </row>
    <row r="1612" customFormat="false" ht="15" hidden="false" customHeight="false" outlineLevel="0" collapsed="false">
      <c r="A1612" s="6" t="s">
        <v>6834</v>
      </c>
      <c r="B1612" s="6" t="s">
        <v>801</v>
      </c>
      <c r="C1612" s="26" t="n">
        <v>46081</v>
      </c>
      <c r="D1612" s="6" t="s">
        <v>5197</v>
      </c>
      <c r="E1612" s="6" t="s">
        <v>21</v>
      </c>
      <c r="F1612" s="6" t="n">
        <v>1</v>
      </c>
      <c r="G1612" s="10" t="n">
        <v>1080</v>
      </c>
      <c r="H1612" s="10" t="n">
        <f aca="false">F1612*G1612</f>
        <v>1080</v>
      </c>
      <c r="I1612" s="6" t="s">
        <v>5122</v>
      </c>
    </row>
    <row r="1613" customFormat="false" ht="15" hidden="false" customHeight="false" outlineLevel="0" collapsed="false">
      <c r="A1613" s="6" t="s">
        <v>6835</v>
      </c>
      <c r="B1613" s="6" t="s">
        <v>4521</v>
      </c>
      <c r="C1613" s="26" t="n">
        <v>46081</v>
      </c>
      <c r="D1613" s="6" t="s">
        <v>5167</v>
      </c>
      <c r="E1613" s="6" t="s">
        <v>22</v>
      </c>
      <c r="F1613" s="6" t="n">
        <v>1</v>
      </c>
      <c r="G1613" s="10" t="n">
        <v>782</v>
      </c>
      <c r="H1613" s="10" t="n">
        <f aca="false">F1613*G1613</f>
        <v>782</v>
      </c>
      <c r="I1613" s="6" t="s">
        <v>5122</v>
      </c>
    </row>
    <row r="1614" customFormat="false" ht="15" hidden="false" customHeight="false" outlineLevel="0" collapsed="false">
      <c r="A1614" s="6" t="s">
        <v>6836</v>
      </c>
      <c r="B1614" s="6" t="s">
        <v>4437</v>
      </c>
      <c r="C1614" s="26" t="n">
        <v>46081</v>
      </c>
      <c r="D1614" s="6" t="s">
        <v>5121</v>
      </c>
      <c r="E1614" s="6" t="s">
        <v>22</v>
      </c>
      <c r="F1614" s="6" t="n">
        <v>1</v>
      </c>
      <c r="G1614" s="10" t="n">
        <v>928</v>
      </c>
      <c r="H1614" s="10" t="n">
        <f aca="false">F1614*G1614</f>
        <v>928</v>
      </c>
      <c r="I1614" s="6" t="s">
        <v>5122</v>
      </c>
    </row>
    <row r="1615" customFormat="false" ht="15" hidden="false" customHeight="false" outlineLevel="0" collapsed="false">
      <c r="A1615" s="6" t="s">
        <v>6837</v>
      </c>
      <c r="B1615" s="6" t="s">
        <v>4213</v>
      </c>
      <c r="C1615" s="26" t="n">
        <v>46081</v>
      </c>
      <c r="D1615" s="6" t="s">
        <v>5127</v>
      </c>
      <c r="E1615" s="6" t="s">
        <v>21</v>
      </c>
      <c r="F1615" s="6" t="n">
        <v>1</v>
      </c>
      <c r="G1615" s="10" t="n">
        <v>885</v>
      </c>
      <c r="H1615" s="10" t="n">
        <f aca="false">F1615*G1615</f>
        <v>885</v>
      </c>
      <c r="I1615" s="6" t="s">
        <v>5173</v>
      </c>
    </row>
    <row r="1616" customFormat="false" ht="15" hidden="false" customHeight="false" outlineLevel="0" collapsed="false">
      <c r="A1616" s="6" t="s">
        <v>6838</v>
      </c>
      <c r="B1616" s="6" t="s">
        <v>1043</v>
      </c>
      <c r="C1616" s="26" t="n">
        <v>46081</v>
      </c>
      <c r="D1616" s="6" t="s">
        <v>5163</v>
      </c>
      <c r="E1616" s="6" t="s">
        <v>23</v>
      </c>
      <c r="F1616" s="6" t="n">
        <v>4</v>
      </c>
      <c r="G1616" s="10" t="n">
        <v>705</v>
      </c>
      <c r="H1616" s="10" t="n">
        <f aca="false">F1616*G1616</f>
        <v>2820</v>
      </c>
      <c r="I1616" s="6" t="s">
        <v>5122</v>
      </c>
    </row>
    <row r="1617" customFormat="false" ht="15" hidden="false" customHeight="false" outlineLevel="0" collapsed="false">
      <c r="A1617" s="6" t="s">
        <v>6839</v>
      </c>
      <c r="B1617" s="6" t="s">
        <v>3555</v>
      </c>
      <c r="C1617" s="26" t="n">
        <v>46081</v>
      </c>
      <c r="D1617" s="6" t="s">
        <v>5150</v>
      </c>
      <c r="E1617" s="6" t="s">
        <v>24</v>
      </c>
      <c r="F1617" s="6" t="n">
        <v>1</v>
      </c>
      <c r="G1617" s="10" t="n">
        <v>508</v>
      </c>
      <c r="H1617" s="10" t="n">
        <f aca="false">F1617*G1617</f>
        <v>508</v>
      </c>
      <c r="I1617" s="6" t="s">
        <v>5122</v>
      </c>
    </row>
    <row r="1618" customFormat="false" ht="15" hidden="false" customHeight="false" outlineLevel="0" collapsed="false">
      <c r="A1618" s="6" t="s">
        <v>6840</v>
      </c>
      <c r="B1618" s="6" t="s">
        <v>2631</v>
      </c>
      <c r="C1618" s="26" t="n">
        <v>46081</v>
      </c>
      <c r="D1618" s="6" t="s">
        <v>5318</v>
      </c>
      <c r="E1618" s="6" t="s">
        <v>20</v>
      </c>
      <c r="F1618" s="6" t="n">
        <v>1</v>
      </c>
      <c r="G1618" s="10" t="n">
        <v>1529</v>
      </c>
      <c r="H1618" s="10" t="n">
        <f aca="false">F1618*G1618</f>
        <v>1529</v>
      </c>
      <c r="I1618" s="6" t="s">
        <v>5130</v>
      </c>
    </row>
    <row r="1619" customFormat="false" ht="15" hidden="false" customHeight="false" outlineLevel="0" collapsed="false">
      <c r="A1619" s="6" t="s">
        <v>6841</v>
      </c>
      <c r="B1619" s="6" t="s">
        <v>2615</v>
      </c>
      <c r="C1619" s="26" t="n">
        <v>46081</v>
      </c>
      <c r="D1619" s="6" t="s">
        <v>5190</v>
      </c>
      <c r="E1619" s="6" t="s">
        <v>24</v>
      </c>
      <c r="F1619" s="6" t="n">
        <v>2</v>
      </c>
      <c r="G1619" s="10" t="n">
        <v>610</v>
      </c>
      <c r="H1619" s="10" t="n">
        <f aca="false">F1619*G1619</f>
        <v>1220</v>
      </c>
      <c r="I1619" s="6" t="s">
        <v>5148</v>
      </c>
    </row>
    <row r="1620" customFormat="false" ht="15" hidden="false" customHeight="false" outlineLevel="0" collapsed="false">
      <c r="A1620" s="6" t="s">
        <v>6842</v>
      </c>
      <c r="B1620" s="6" t="s">
        <v>525</v>
      </c>
      <c r="C1620" s="26" t="n">
        <v>46081</v>
      </c>
      <c r="D1620" s="6" t="s">
        <v>5398</v>
      </c>
      <c r="E1620" s="6" t="s">
        <v>24</v>
      </c>
      <c r="F1620" s="6" t="n">
        <v>2</v>
      </c>
      <c r="G1620" s="10" t="n">
        <v>580</v>
      </c>
      <c r="H1620" s="10" t="n">
        <f aca="false">F1620*G1620</f>
        <v>1160</v>
      </c>
      <c r="I1620" s="6" t="s">
        <v>5133</v>
      </c>
    </row>
    <row r="1621" customFormat="false" ht="15" hidden="false" customHeight="false" outlineLevel="0" collapsed="false">
      <c r="A1621" s="6" t="s">
        <v>6843</v>
      </c>
      <c r="B1621" s="6" t="s">
        <v>3803</v>
      </c>
      <c r="C1621" s="26" t="n">
        <v>46081</v>
      </c>
      <c r="D1621" s="6" t="s">
        <v>5863</v>
      </c>
      <c r="E1621" s="6" t="s">
        <v>20</v>
      </c>
      <c r="F1621" s="6" t="n">
        <v>1</v>
      </c>
      <c r="G1621" s="10" t="n">
        <v>19375</v>
      </c>
      <c r="H1621" s="10" t="n">
        <f aca="false">F1621*G1621</f>
        <v>19375</v>
      </c>
      <c r="I1621" s="6" t="s">
        <v>5148</v>
      </c>
    </row>
    <row r="1622" customFormat="false" ht="15" hidden="false" customHeight="false" outlineLevel="0" collapsed="false">
      <c r="A1622" s="6" t="s">
        <v>6844</v>
      </c>
      <c r="B1622" s="6" t="s">
        <v>4891</v>
      </c>
      <c r="C1622" s="26" t="n">
        <v>46081</v>
      </c>
      <c r="D1622" s="6" t="s">
        <v>5121</v>
      </c>
      <c r="E1622" s="6" t="s">
        <v>22</v>
      </c>
      <c r="F1622" s="6" t="n">
        <v>2</v>
      </c>
      <c r="G1622" s="10" t="n">
        <v>928</v>
      </c>
      <c r="H1622" s="10" t="n">
        <f aca="false">F1622*G1622</f>
        <v>1856</v>
      </c>
      <c r="I1622" s="6" t="s">
        <v>5130</v>
      </c>
    </row>
    <row r="1623" customFormat="false" ht="15" hidden="false" customHeight="false" outlineLevel="0" collapsed="false">
      <c r="A1623" s="6" t="s">
        <v>6845</v>
      </c>
      <c r="B1623" s="6" t="s">
        <v>3633</v>
      </c>
      <c r="C1623" s="26" t="n">
        <v>46081</v>
      </c>
      <c r="D1623" s="6" t="s">
        <v>5207</v>
      </c>
      <c r="E1623" s="6" t="s">
        <v>20</v>
      </c>
      <c r="F1623" s="6" t="n">
        <v>1</v>
      </c>
      <c r="G1623" s="10" t="n">
        <v>1325</v>
      </c>
      <c r="H1623" s="10" t="n">
        <f aca="false">F1623*G1623</f>
        <v>1325</v>
      </c>
      <c r="I1623" s="6" t="s">
        <v>5133</v>
      </c>
    </row>
    <row r="1624" customFormat="false" ht="15" hidden="false" customHeight="false" outlineLevel="0" collapsed="false">
      <c r="A1624" s="6" t="s">
        <v>6846</v>
      </c>
      <c r="B1624" s="6" t="s">
        <v>370</v>
      </c>
      <c r="C1624" s="26" t="n">
        <v>46081</v>
      </c>
      <c r="D1624" s="6" t="s">
        <v>5121</v>
      </c>
      <c r="E1624" s="6" t="s">
        <v>22</v>
      </c>
      <c r="F1624" s="6" t="n">
        <v>1</v>
      </c>
      <c r="G1624" s="10" t="n">
        <v>928</v>
      </c>
      <c r="H1624" s="10" t="n">
        <f aca="false">F1624*G1624</f>
        <v>928</v>
      </c>
      <c r="I1624" s="6" t="s">
        <v>5122</v>
      </c>
    </row>
    <row r="1625" customFormat="false" ht="15" hidden="false" customHeight="false" outlineLevel="0" collapsed="false">
      <c r="A1625" s="6" t="s">
        <v>6847</v>
      </c>
      <c r="B1625" s="6" t="s">
        <v>4031</v>
      </c>
      <c r="C1625" s="26" t="n">
        <v>46081</v>
      </c>
      <c r="D1625" s="6" t="s">
        <v>5398</v>
      </c>
      <c r="E1625" s="6" t="s">
        <v>24</v>
      </c>
      <c r="F1625" s="6" t="n">
        <v>2</v>
      </c>
      <c r="G1625" s="10" t="n">
        <v>610</v>
      </c>
      <c r="H1625" s="10" t="n">
        <f aca="false">F1625*G1625</f>
        <v>1220</v>
      </c>
      <c r="I1625" s="6" t="s">
        <v>5130</v>
      </c>
    </row>
    <row r="1626" customFormat="false" ht="15" hidden="false" customHeight="false" outlineLevel="0" collapsed="false">
      <c r="A1626" s="6" t="s">
        <v>6848</v>
      </c>
      <c r="B1626" s="6" t="s">
        <v>4147</v>
      </c>
      <c r="C1626" s="26" t="n">
        <v>46081</v>
      </c>
      <c r="D1626" s="6" t="s">
        <v>5292</v>
      </c>
      <c r="E1626" s="6" t="s">
        <v>21</v>
      </c>
      <c r="F1626" s="6" t="n">
        <v>1</v>
      </c>
      <c r="G1626" s="10" t="n">
        <v>6536</v>
      </c>
      <c r="H1626" s="10" t="n">
        <f aca="false">F1626*G1626</f>
        <v>6536</v>
      </c>
      <c r="I1626" s="6" t="s">
        <v>5122</v>
      </c>
    </row>
    <row r="1627" customFormat="false" ht="15" hidden="false" customHeight="false" outlineLevel="0" collapsed="false">
      <c r="A1627" s="6" t="s">
        <v>6849</v>
      </c>
      <c r="B1627" s="6" t="s">
        <v>533</v>
      </c>
      <c r="C1627" s="26" t="n">
        <v>46081</v>
      </c>
      <c r="D1627" s="6" t="s">
        <v>5121</v>
      </c>
      <c r="E1627" s="6" t="s">
        <v>22</v>
      </c>
      <c r="F1627" s="6" t="n">
        <v>4</v>
      </c>
      <c r="G1627" s="10" t="n">
        <v>977</v>
      </c>
      <c r="H1627" s="10" t="n">
        <f aca="false">F1627*G1627</f>
        <v>3908</v>
      </c>
      <c r="I1627" s="6" t="s">
        <v>5122</v>
      </c>
    </row>
    <row r="1628" customFormat="false" ht="15" hidden="false" customHeight="false" outlineLevel="0" collapsed="false">
      <c r="A1628" s="6" t="s">
        <v>6850</v>
      </c>
      <c r="B1628" s="6" t="s">
        <v>4353</v>
      </c>
      <c r="C1628" s="26" t="n">
        <v>46081</v>
      </c>
      <c r="D1628" s="6" t="s">
        <v>5127</v>
      </c>
      <c r="E1628" s="6" t="s">
        <v>21</v>
      </c>
      <c r="F1628" s="6" t="n">
        <v>1</v>
      </c>
      <c r="G1628" s="10" t="n">
        <v>839</v>
      </c>
      <c r="H1628" s="10" t="n">
        <f aca="false">F1628*G1628</f>
        <v>839</v>
      </c>
      <c r="I1628" s="6" t="s">
        <v>5122</v>
      </c>
    </row>
    <row r="1629" customFormat="false" ht="15" hidden="false" customHeight="false" outlineLevel="0" collapsed="false">
      <c r="A1629" s="6" t="s">
        <v>6851</v>
      </c>
      <c r="B1629" s="6" t="s">
        <v>3949</v>
      </c>
      <c r="C1629" s="26" t="n">
        <v>46081</v>
      </c>
      <c r="D1629" s="6" t="s">
        <v>5165</v>
      </c>
      <c r="E1629" s="6" t="s">
        <v>22</v>
      </c>
      <c r="F1629" s="6" t="n">
        <v>1</v>
      </c>
      <c r="G1629" s="10" t="n">
        <v>880</v>
      </c>
      <c r="H1629" s="10" t="n">
        <f aca="false">F1629*G1629</f>
        <v>880</v>
      </c>
      <c r="I1629" s="6" t="s">
        <v>5122</v>
      </c>
    </row>
    <row r="1630" customFormat="false" ht="15" hidden="false" customHeight="false" outlineLevel="0" collapsed="false">
      <c r="A1630" s="6" t="s">
        <v>6852</v>
      </c>
      <c r="B1630" s="6" t="s">
        <v>2765</v>
      </c>
      <c r="C1630" s="26" t="n">
        <v>46081</v>
      </c>
      <c r="D1630" s="6" t="s">
        <v>5135</v>
      </c>
      <c r="E1630" s="6" t="s">
        <v>23</v>
      </c>
      <c r="F1630" s="6" t="n">
        <v>3</v>
      </c>
      <c r="G1630" s="10" t="n">
        <v>441</v>
      </c>
      <c r="H1630" s="10" t="n">
        <f aca="false">F1630*G1630</f>
        <v>1323</v>
      </c>
      <c r="I1630" s="6" t="s">
        <v>5122</v>
      </c>
    </row>
    <row r="1631" customFormat="false" ht="15" hidden="false" customHeight="false" outlineLevel="0" collapsed="false">
      <c r="A1631" s="6" t="s">
        <v>6853</v>
      </c>
      <c r="B1631" s="6" t="s">
        <v>3399</v>
      </c>
      <c r="C1631" s="26" t="n">
        <v>46081</v>
      </c>
      <c r="D1631" s="6" t="s">
        <v>5235</v>
      </c>
      <c r="E1631" s="6" t="s">
        <v>21</v>
      </c>
      <c r="F1631" s="6" t="n">
        <v>1</v>
      </c>
      <c r="G1631" s="10" t="n">
        <v>1670</v>
      </c>
      <c r="H1631" s="10" t="n">
        <f aca="false">F1631*G1631</f>
        <v>1670</v>
      </c>
      <c r="I1631" s="6" t="s">
        <v>5130</v>
      </c>
    </row>
    <row r="1632" customFormat="false" ht="15" hidden="false" customHeight="false" outlineLevel="0" collapsed="false">
      <c r="A1632" s="6" t="s">
        <v>6854</v>
      </c>
      <c r="B1632" s="6" t="s">
        <v>2645</v>
      </c>
      <c r="C1632" s="26" t="n">
        <v>46081</v>
      </c>
      <c r="D1632" s="6" t="s">
        <v>5167</v>
      </c>
      <c r="E1632" s="6" t="s">
        <v>22</v>
      </c>
      <c r="F1632" s="6" t="n">
        <v>1</v>
      </c>
      <c r="G1632" s="10" t="n">
        <v>781</v>
      </c>
      <c r="H1632" s="10" t="n">
        <f aca="false">F1632*G1632</f>
        <v>781</v>
      </c>
      <c r="I1632" s="6" t="s">
        <v>5122</v>
      </c>
    </row>
    <row r="1633" customFormat="false" ht="15" hidden="false" customHeight="false" outlineLevel="0" collapsed="false">
      <c r="A1633" s="6" t="s">
        <v>6855</v>
      </c>
      <c r="B1633" s="6" t="s">
        <v>4777</v>
      </c>
      <c r="C1633" s="26" t="n">
        <v>46081</v>
      </c>
      <c r="D1633" s="6" t="s">
        <v>5269</v>
      </c>
      <c r="E1633" s="6" t="s">
        <v>22</v>
      </c>
      <c r="F1633" s="6" t="n">
        <v>2</v>
      </c>
      <c r="G1633" s="10" t="n">
        <v>1144</v>
      </c>
      <c r="H1633" s="10" t="n">
        <f aca="false">F1633*G1633</f>
        <v>2288</v>
      </c>
      <c r="I1633" s="6" t="s">
        <v>5122</v>
      </c>
    </row>
    <row r="1634" customFormat="false" ht="15" hidden="false" customHeight="false" outlineLevel="0" collapsed="false">
      <c r="A1634" s="6" t="s">
        <v>6856</v>
      </c>
      <c r="B1634" s="6" t="s">
        <v>4935</v>
      </c>
      <c r="C1634" s="26" t="n">
        <v>46081</v>
      </c>
      <c r="D1634" s="6" t="s">
        <v>5298</v>
      </c>
      <c r="E1634" s="6" t="s">
        <v>23</v>
      </c>
      <c r="F1634" s="6" t="n">
        <v>1</v>
      </c>
      <c r="G1634" s="10" t="n">
        <v>293</v>
      </c>
      <c r="H1634" s="10" t="n">
        <f aca="false">F1634*G1634</f>
        <v>293</v>
      </c>
      <c r="I1634" s="6" t="s">
        <v>5122</v>
      </c>
    </row>
    <row r="1635" customFormat="false" ht="15" hidden="false" customHeight="false" outlineLevel="0" collapsed="false">
      <c r="A1635" s="6" t="s">
        <v>6857</v>
      </c>
      <c r="B1635" s="6" t="s">
        <v>2103</v>
      </c>
      <c r="C1635" s="26" t="n">
        <v>46082</v>
      </c>
      <c r="D1635" s="6" t="s">
        <v>5167</v>
      </c>
      <c r="E1635" s="6" t="s">
        <v>22</v>
      </c>
      <c r="F1635" s="6" t="n">
        <v>2</v>
      </c>
      <c r="G1635" s="10" t="n">
        <v>703</v>
      </c>
      <c r="H1635" s="10" t="n">
        <f aca="false">F1635*G1635</f>
        <v>1406</v>
      </c>
      <c r="I1635" s="6" t="s">
        <v>5148</v>
      </c>
    </row>
    <row r="1636" customFormat="false" ht="15" hidden="false" customHeight="false" outlineLevel="0" collapsed="false">
      <c r="A1636" s="6" t="s">
        <v>6858</v>
      </c>
      <c r="B1636" s="6" t="s">
        <v>3837</v>
      </c>
      <c r="C1636" s="26" t="n">
        <v>46082</v>
      </c>
      <c r="D1636" s="6" t="s">
        <v>5240</v>
      </c>
      <c r="E1636" s="6" t="s">
        <v>20</v>
      </c>
      <c r="F1636" s="6" t="n">
        <v>1</v>
      </c>
      <c r="G1636" s="10" t="n">
        <v>5098</v>
      </c>
      <c r="H1636" s="10" t="n">
        <f aca="false">F1636*G1636</f>
        <v>5098</v>
      </c>
      <c r="I1636" s="6" t="s">
        <v>5133</v>
      </c>
    </row>
    <row r="1637" customFormat="false" ht="15" hidden="false" customHeight="false" outlineLevel="0" collapsed="false">
      <c r="A1637" s="6" t="s">
        <v>6859</v>
      </c>
      <c r="B1637" s="6" t="s">
        <v>4859</v>
      </c>
      <c r="C1637" s="26" t="n">
        <v>46082</v>
      </c>
      <c r="D1637" s="6" t="s">
        <v>5135</v>
      </c>
      <c r="E1637" s="6" t="s">
        <v>23</v>
      </c>
      <c r="F1637" s="6" t="n">
        <v>2</v>
      </c>
      <c r="G1637" s="10" t="n">
        <v>441</v>
      </c>
      <c r="H1637" s="10" t="n">
        <f aca="false">F1637*G1637</f>
        <v>882</v>
      </c>
      <c r="I1637" s="6" t="s">
        <v>5122</v>
      </c>
    </row>
    <row r="1638" customFormat="false" ht="15" hidden="false" customHeight="false" outlineLevel="0" collapsed="false">
      <c r="A1638" s="6" t="s">
        <v>6860</v>
      </c>
      <c r="B1638" s="6" t="s">
        <v>3247</v>
      </c>
      <c r="C1638" s="26" t="n">
        <v>46082</v>
      </c>
      <c r="D1638" s="6" t="s">
        <v>5357</v>
      </c>
      <c r="E1638" s="6" t="s">
        <v>23</v>
      </c>
      <c r="F1638" s="6" t="n">
        <v>1</v>
      </c>
      <c r="G1638" s="10" t="n">
        <v>534</v>
      </c>
      <c r="H1638" s="10" t="n">
        <f aca="false">F1638*G1638</f>
        <v>534</v>
      </c>
      <c r="I1638" s="6" t="s">
        <v>5130</v>
      </c>
    </row>
    <row r="1639" customFormat="false" ht="15" hidden="false" customHeight="false" outlineLevel="0" collapsed="false">
      <c r="A1639" s="6" t="s">
        <v>6861</v>
      </c>
      <c r="B1639" s="6" t="s">
        <v>4181</v>
      </c>
      <c r="C1639" s="26" t="n">
        <v>46082</v>
      </c>
      <c r="D1639" s="6" t="s">
        <v>5214</v>
      </c>
      <c r="E1639" s="6" t="s">
        <v>20</v>
      </c>
      <c r="F1639" s="6" t="n">
        <v>1</v>
      </c>
      <c r="G1639" s="10" t="n">
        <v>2038</v>
      </c>
      <c r="H1639" s="10" t="n">
        <f aca="false">F1639*G1639</f>
        <v>2038</v>
      </c>
      <c r="I1639" s="6" t="s">
        <v>5122</v>
      </c>
    </row>
    <row r="1640" customFormat="false" ht="15" hidden="false" customHeight="false" outlineLevel="0" collapsed="false">
      <c r="A1640" s="6" t="s">
        <v>6862</v>
      </c>
      <c r="B1640" s="6" t="s">
        <v>4157</v>
      </c>
      <c r="C1640" s="26" t="n">
        <v>46082</v>
      </c>
      <c r="D1640" s="6" t="s">
        <v>5357</v>
      </c>
      <c r="E1640" s="6" t="s">
        <v>23</v>
      </c>
      <c r="F1640" s="6" t="n">
        <v>3</v>
      </c>
      <c r="G1640" s="10" t="n">
        <v>481</v>
      </c>
      <c r="H1640" s="10" t="n">
        <f aca="false">F1640*G1640</f>
        <v>1443</v>
      </c>
      <c r="I1640" s="6" t="s">
        <v>5122</v>
      </c>
    </row>
    <row r="1641" customFormat="false" ht="15" hidden="false" customHeight="false" outlineLevel="0" collapsed="false">
      <c r="A1641" s="6" t="s">
        <v>6863</v>
      </c>
      <c r="B1641" s="6" t="s">
        <v>3181</v>
      </c>
      <c r="C1641" s="26" t="n">
        <v>46082</v>
      </c>
      <c r="D1641" s="6" t="s">
        <v>5175</v>
      </c>
      <c r="E1641" s="6" t="s">
        <v>24</v>
      </c>
      <c r="F1641" s="6" t="n">
        <v>1</v>
      </c>
      <c r="G1641" s="10" t="n">
        <v>611</v>
      </c>
      <c r="H1641" s="10" t="n">
        <f aca="false">F1641*G1641</f>
        <v>611</v>
      </c>
      <c r="I1641" s="6" t="s">
        <v>5125</v>
      </c>
    </row>
    <row r="1642" customFormat="false" ht="15" hidden="false" customHeight="false" outlineLevel="0" collapsed="false">
      <c r="A1642" s="6" t="s">
        <v>6864</v>
      </c>
      <c r="B1642" s="6" t="s">
        <v>4045</v>
      </c>
      <c r="C1642" s="26" t="n">
        <v>46082</v>
      </c>
      <c r="D1642" s="6" t="s">
        <v>5167</v>
      </c>
      <c r="E1642" s="6" t="s">
        <v>22</v>
      </c>
      <c r="F1642" s="6" t="n">
        <v>1</v>
      </c>
      <c r="G1642" s="10" t="n">
        <v>782</v>
      </c>
      <c r="H1642" s="10" t="n">
        <f aca="false">F1642*G1642</f>
        <v>782</v>
      </c>
      <c r="I1642" s="6" t="s">
        <v>5173</v>
      </c>
    </row>
    <row r="1643" customFormat="false" ht="15" hidden="false" customHeight="false" outlineLevel="0" collapsed="false">
      <c r="A1643" s="6" t="s">
        <v>6865</v>
      </c>
      <c r="B1643" s="6" t="s">
        <v>1157</v>
      </c>
      <c r="C1643" s="26" t="n">
        <v>46082</v>
      </c>
      <c r="D1643" s="6" t="s">
        <v>5167</v>
      </c>
      <c r="E1643" s="6" t="s">
        <v>22</v>
      </c>
      <c r="F1643" s="6" t="n">
        <v>2</v>
      </c>
      <c r="G1643" s="10" t="n">
        <v>782</v>
      </c>
      <c r="H1643" s="10" t="n">
        <f aca="false">F1643*G1643</f>
        <v>1564</v>
      </c>
      <c r="I1643" s="6" t="s">
        <v>5130</v>
      </c>
    </row>
    <row r="1644" customFormat="false" ht="15" hidden="false" customHeight="false" outlineLevel="0" collapsed="false">
      <c r="A1644" s="6" t="s">
        <v>6866</v>
      </c>
      <c r="B1644" s="6" t="s">
        <v>779</v>
      </c>
      <c r="C1644" s="26" t="n">
        <v>46082</v>
      </c>
      <c r="D1644" s="6" t="s">
        <v>5259</v>
      </c>
      <c r="E1644" s="6" t="s">
        <v>22</v>
      </c>
      <c r="F1644" s="6" t="n">
        <v>2</v>
      </c>
      <c r="G1644" s="10" t="n">
        <v>1486</v>
      </c>
      <c r="H1644" s="10" t="n">
        <f aca="false">F1644*G1644</f>
        <v>2972</v>
      </c>
      <c r="I1644" s="6" t="s">
        <v>5148</v>
      </c>
    </row>
    <row r="1645" customFormat="false" ht="15" hidden="false" customHeight="false" outlineLevel="0" collapsed="false">
      <c r="A1645" s="6" t="s">
        <v>6867</v>
      </c>
      <c r="B1645" s="6" t="s">
        <v>677</v>
      </c>
      <c r="C1645" s="26" t="n">
        <v>46082</v>
      </c>
      <c r="D1645" s="6" t="s">
        <v>5171</v>
      </c>
      <c r="E1645" s="6" t="s">
        <v>23</v>
      </c>
      <c r="F1645" s="6" t="n">
        <v>3</v>
      </c>
      <c r="G1645" s="10" t="n">
        <v>697</v>
      </c>
      <c r="H1645" s="10" t="n">
        <f aca="false">F1645*G1645</f>
        <v>2091</v>
      </c>
      <c r="I1645" s="6" t="s">
        <v>5122</v>
      </c>
    </row>
    <row r="1646" customFormat="false" ht="15" hidden="false" customHeight="false" outlineLevel="0" collapsed="false">
      <c r="A1646" s="6" t="s">
        <v>6868</v>
      </c>
      <c r="B1646" s="6" t="s">
        <v>925</v>
      </c>
      <c r="C1646" s="26" t="n">
        <v>46082</v>
      </c>
      <c r="D1646" s="6" t="s">
        <v>5290</v>
      </c>
      <c r="E1646" s="6" t="s">
        <v>23</v>
      </c>
      <c r="F1646" s="6" t="n">
        <v>3</v>
      </c>
      <c r="G1646" s="10" t="n">
        <v>118</v>
      </c>
      <c r="H1646" s="10" t="n">
        <f aca="false">F1646*G1646</f>
        <v>354</v>
      </c>
      <c r="I1646" s="6" t="s">
        <v>5122</v>
      </c>
    </row>
    <row r="1647" customFormat="false" ht="15" hidden="false" customHeight="false" outlineLevel="0" collapsed="false">
      <c r="A1647" s="6" t="s">
        <v>6869</v>
      </c>
      <c r="B1647" s="6" t="s">
        <v>3755</v>
      </c>
      <c r="C1647" s="26" t="n">
        <v>46082</v>
      </c>
      <c r="D1647" s="6" t="s">
        <v>5269</v>
      </c>
      <c r="E1647" s="6" t="s">
        <v>22</v>
      </c>
      <c r="F1647" s="6" t="n">
        <v>2</v>
      </c>
      <c r="G1647" s="10" t="n">
        <v>1207</v>
      </c>
      <c r="H1647" s="10" t="n">
        <f aca="false">F1647*G1647</f>
        <v>2414</v>
      </c>
      <c r="I1647" s="6" t="s">
        <v>5122</v>
      </c>
    </row>
    <row r="1648" customFormat="false" ht="15" hidden="false" customHeight="false" outlineLevel="0" collapsed="false">
      <c r="A1648" s="6" t="s">
        <v>6870</v>
      </c>
      <c r="B1648" s="6" t="s">
        <v>258</v>
      </c>
      <c r="C1648" s="26" t="n">
        <v>46082</v>
      </c>
      <c r="D1648" s="6" t="s">
        <v>5357</v>
      </c>
      <c r="E1648" s="6" t="s">
        <v>23</v>
      </c>
      <c r="F1648" s="6" t="n">
        <v>5</v>
      </c>
      <c r="G1648" s="10" t="n">
        <v>534</v>
      </c>
      <c r="H1648" s="10" t="n">
        <f aca="false">F1648*G1648</f>
        <v>2670</v>
      </c>
      <c r="I1648" s="6" t="s">
        <v>5148</v>
      </c>
    </row>
    <row r="1649" customFormat="false" ht="15" hidden="false" customHeight="false" outlineLevel="0" collapsed="false">
      <c r="A1649" s="6" t="s">
        <v>6871</v>
      </c>
      <c r="B1649" s="6" t="s">
        <v>4913</v>
      </c>
      <c r="C1649" s="26" t="n">
        <v>46082</v>
      </c>
      <c r="D1649" s="6" t="s">
        <v>5167</v>
      </c>
      <c r="E1649" s="6" t="s">
        <v>22</v>
      </c>
      <c r="F1649" s="6" t="n">
        <v>3</v>
      </c>
      <c r="G1649" s="10" t="n">
        <v>743</v>
      </c>
      <c r="H1649" s="10" t="n">
        <f aca="false">F1649*G1649</f>
        <v>2229</v>
      </c>
      <c r="I1649" s="6" t="s">
        <v>5122</v>
      </c>
    </row>
    <row r="1650" customFormat="false" ht="15" hidden="false" customHeight="false" outlineLevel="0" collapsed="false">
      <c r="A1650" s="6" t="s">
        <v>6872</v>
      </c>
      <c r="B1650" s="6" t="s">
        <v>2313</v>
      </c>
      <c r="C1650" s="26" t="n">
        <v>46082</v>
      </c>
      <c r="D1650" s="6" t="s">
        <v>5167</v>
      </c>
      <c r="E1650" s="6" t="s">
        <v>22</v>
      </c>
      <c r="F1650" s="6" t="n">
        <v>1</v>
      </c>
      <c r="G1650" s="10" t="n">
        <v>782</v>
      </c>
      <c r="H1650" s="10" t="n">
        <f aca="false">F1650*G1650</f>
        <v>782</v>
      </c>
      <c r="I1650" s="6" t="s">
        <v>5133</v>
      </c>
    </row>
    <row r="1651" customFormat="false" ht="15" hidden="false" customHeight="false" outlineLevel="0" collapsed="false">
      <c r="A1651" s="6" t="s">
        <v>6873</v>
      </c>
      <c r="B1651" s="6" t="s">
        <v>583</v>
      </c>
      <c r="C1651" s="26" t="n">
        <v>46082</v>
      </c>
      <c r="D1651" s="6" t="s">
        <v>5466</v>
      </c>
      <c r="E1651" s="6" t="s">
        <v>21</v>
      </c>
      <c r="F1651" s="6" t="n">
        <v>1</v>
      </c>
      <c r="G1651" s="10" t="n">
        <v>1768</v>
      </c>
      <c r="H1651" s="10" t="n">
        <f aca="false">F1651*G1651</f>
        <v>1768</v>
      </c>
      <c r="I1651" s="6" t="s">
        <v>5148</v>
      </c>
    </row>
    <row r="1652" customFormat="false" ht="15" hidden="false" customHeight="false" outlineLevel="0" collapsed="false">
      <c r="A1652" s="6" t="s">
        <v>6874</v>
      </c>
      <c r="B1652" s="6" t="s">
        <v>4031</v>
      </c>
      <c r="C1652" s="26" t="n">
        <v>46082</v>
      </c>
      <c r="D1652" s="6" t="s">
        <v>5167</v>
      </c>
      <c r="E1652" s="6" t="s">
        <v>22</v>
      </c>
      <c r="F1652" s="6" t="n">
        <v>2</v>
      </c>
      <c r="G1652" s="10" t="n">
        <v>743</v>
      </c>
      <c r="H1652" s="10" t="n">
        <f aca="false">F1652*G1652</f>
        <v>1486</v>
      </c>
      <c r="I1652" s="6" t="s">
        <v>5122</v>
      </c>
    </row>
    <row r="1653" customFormat="false" ht="15" hidden="false" customHeight="false" outlineLevel="0" collapsed="false">
      <c r="A1653" s="6" t="s">
        <v>6875</v>
      </c>
      <c r="B1653" s="6" t="s">
        <v>3413</v>
      </c>
      <c r="C1653" s="26" t="n">
        <v>46082</v>
      </c>
      <c r="D1653" s="6" t="s">
        <v>5691</v>
      </c>
      <c r="E1653" s="6" t="s">
        <v>21</v>
      </c>
      <c r="F1653" s="6" t="n">
        <v>1</v>
      </c>
      <c r="G1653" s="10" t="n">
        <v>5602</v>
      </c>
      <c r="H1653" s="10" t="n">
        <f aca="false">F1653*G1653</f>
        <v>5602</v>
      </c>
      <c r="I1653" s="6" t="s">
        <v>5125</v>
      </c>
    </row>
    <row r="1654" customFormat="false" ht="15" hidden="false" customHeight="false" outlineLevel="0" collapsed="false">
      <c r="A1654" s="6" t="s">
        <v>6876</v>
      </c>
      <c r="B1654" s="6" t="s">
        <v>941</v>
      </c>
      <c r="C1654" s="26" t="n">
        <v>46082</v>
      </c>
      <c r="D1654" s="6" t="s">
        <v>5132</v>
      </c>
      <c r="E1654" s="6" t="s">
        <v>23</v>
      </c>
      <c r="F1654" s="6" t="n">
        <v>2</v>
      </c>
      <c r="G1654" s="10" t="n">
        <v>342</v>
      </c>
      <c r="H1654" s="10" t="n">
        <f aca="false">F1654*G1654</f>
        <v>684</v>
      </c>
      <c r="I1654" s="6" t="s">
        <v>5122</v>
      </c>
    </row>
    <row r="1655" customFormat="false" ht="15" hidden="false" customHeight="false" outlineLevel="0" collapsed="false">
      <c r="A1655" s="6" t="s">
        <v>6877</v>
      </c>
      <c r="B1655" s="6" t="s">
        <v>4383</v>
      </c>
      <c r="C1655" s="26" t="n">
        <v>46082</v>
      </c>
      <c r="D1655" s="6" t="s">
        <v>5163</v>
      </c>
      <c r="E1655" s="6" t="s">
        <v>23</v>
      </c>
      <c r="F1655" s="6" t="n">
        <v>4</v>
      </c>
      <c r="G1655" s="10" t="n">
        <v>744</v>
      </c>
      <c r="H1655" s="10" t="n">
        <f aca="false">F1655*G1655</f>
        <v>2976</v>
      </c>
      <c r="I1655" s="6" t="s">
        <v>5133</v>
      </c>
    </row>
    <row r="1656" customFormat="false" ht="15" hidden="false" customHeight="false" outlineLevel="0" collapsed="false">
      <c r="A1656" s="6" t="s">
        <v>6878</v>
      </c>
      <c r="B1656" s="6" t="s">
        <v>2627</v>
      </c>
      <c r="C1656" s="26" t="n">
        <v>46082</v>
      </c>
      <c r="D1656" s="6" t="s">
        <v>5200</v>
      </c>
      <c r="E1656" s="6" t="s">
        <v>24</v>
      </c>
      <c r="F1656" s="6" t="n">
        <v>1</v>
      </c>
      <c r="G1656" s="10" t="n">
        <v>763</v>
      </c>
      <c r="H1656" s="10" t="n">
        <f aca="false">F1656*G1656</f>
        <v>763</v>
      </c>
      <c r="I1656" s="6" t="s">
        <v>5125</v>
      </c>
    </row>
    <row r="1657" customFormat="false" ht="15" hidden="false" customHeight="false" outlineLevel="0" collapsed="false">
      <c r="A1657" s="6" t="s">
        <v>6879</v>
      </c>
      <c r="B1657" s="6" t="s">
        <v>703</v>
      </c>
      <c r="C1657" s="26" t="n">
        <v>46082</v>
      </c>
      <c r="D1657" s="6" t="s">
        <v>5154</v>
      </c>
      <c r="E1657" s="6" t="s">
        <v>21</v>
      </c>
      <c r="F1657" s="6" t="n">
        <v>1</v>
      </c>
      <c r="G1657" s="10" t="n">
        <v>746</v>
      </c>
      <c r="H1657" s="10" t="n">
        <f aca="false">F1657*G1657</f>
        <v>746</v>
      </c>
      <c r="I1657" s="6" t="s">
        <v>5122</v>
      </c>
    </row>
    <row r="1658" customFormat="false" ht="15" hidden="false" customHeight="false" outlineLevel="0" collapsed="false">
      <c r="A1658" s="6" t="s">
        <v>6880</v>
      </c>
      <c r="B1658" s="6" t="s">
        <v>4675</v>
      </c>
      <c r="C1658" s="26" t="n">
        <v>46082</v>
      </c>
      <c r="D1658" s="6" t="s">
        <v>5150</v>
      </c>
      <c r="E1658" s="6" t="s">
        <v>24</v>
      </c>
      <c r="F1658" s="6" t="n">
        <v>1</v>
      </c>
      <c r="G1658" s="10" t="n">
        <v>508</v>
      </c>
      <c r="H1658" s="10" t="n">
        <f aca="false">F1658*G1658</f>
        <v>508</v>
      </c>
      <c r="I1658" s="6" t="s">
        <v>5125</v>
      </c>
    </row>
    <row r="1659" customFormat="false" ht="15" hidden="false" customHeight="false" outlineLevel="0" collapsed="false">
      <c r="A1659" s="6" t="s">
        <v>6881</v>
      </c>
      <c r="B1659" s="6" t="s">
        <v>196</v>
      </c>
      <c r="C1659" s="26" t="n">
        <v>46082</v>
      </c>
      <c r="D1659" s="6" t="s">
        <v>5190</v>
      </c>
      <c r="E1659" s="6" t="s">
        <v>24</v>
      </c>
      <c r="F1659" s="6" t="n">
        <v>2</v>
      </c>
      <c r="G1659" s="10" t="n">
        <v>610</v>
      </c>
      <c r="H1659" s="10" t="n">
        <f aca="false">F1659*G1659</f>
        <v>1220</v>
      </c>
      <c r="I1659" s="6" t="s">
        <v>5122</v>
      </c>
    </row>
    <row r="1660" customFormat="false" ht="15" hidden="false" customHeight="false" outlineLevel="0" collapsed="false">
      <c r="A1660" s="6" t="s">
        <v>6882</v>
      </c>
      <c r="B1660" s="6" t="s">
        <v>3041</v>
      </c>
      <c r="C1660" s="26" t="n">
        <v>46082</v>
      </c>
      <c r="D1660" s="6" t="s">
        <v>5762</v>
      </c>
      <c r="E1660" s="6" t="s">
        <v>22</v>
      </c>
      <c r="F1660" s="6" t="n">
        <v>1</v>
      </c>
      <c r="G1660" s="10" t="n">
        <v>3081</v>
      </c>
      <c r="H1660" s="10" t="n">
        <f aca="false">F1660*G1660</f>
        <v>3081</v>
      </c>
      <c r="I1660" s="6" t="s">
        <v>5125</v>
      </c>
    </row>
    <row r="1661" customFormat="false" ht="15" hidden="false" customHeight="false" outlineLevel="0" collapsed="false">
      <c r="A1661" s="6" t="s">
        <v>6883</v>
      </c>
      <c r="B1661" s="6" t="s">
        <v>4273</v>
      </c>
      <c r="C1661" s="26" t="n">
        <v>46082</v>
      </c>
      <c r="D1661" s="6" t="s">
        <v>5139</v>
      </c>
      <c r="E1661" s="6" t="s">
        <v>23</v>
      </c>
      <c r="F1661" s="6" t="n">
        <v>2</v>
      </c>
      <c r="G1661" s="10" t="n">
        <v>279</v>
      </c>
      <c r="H1661" s="10" t="n">
        <f aca="false">F1661*G1661</f>
        <v>558</v>
      </c>
      <c r="I1661" s="6" t="s">
        <v>5130</v>
      </c>
    </row>
    <row r="1662" customFormat="false" ht="15" hidden="false" customHeight="false" outlineLevel="0" collapsed="false">
      <c r="A1662" s="6" t="s">
        <v>6884</v>
      </c>
      <c r="B1662" s="6" t="s">
        <v>2877</v>
      </c>
      <c r="C1662" s="26" t="n">
        <v>46082</v>
      </c>
      <c r="D1662" s="6" t="s">
        <v>5167</v>
      </c>
      <c r="E1662" s="6" t="s">
        <v>22</v>
      </c>
      <c r="F1662" s="6" t="n">
        <v>1</v>
      </c>
      <c r="G1662" s="10" t="n">
        <v>782</v>
      </c>
      <c r="H1662" s="10" t="n">
        <f aca="false">F1662*G1662</f>
        <v>782</v>
      </c>
      <c r="I1662" s="6" t="s">
        <v>5122</v>
      </c>
    </row>
    <row r="1663" customFormat="false" ht="15" hidden="false" customHeight="false" outlineLevel="0" collapsed="false">
      <c r="A1663" s="6" t="s">
        <v>6885</v>
      </c>
      <c r="B1663" s="6" t="s">
        <v>1793</v>
      </c>
      <c r="C1663" s="26" t="n">
        <v>46082</v>
      </c>
      <c r="D1663" s="6" t="s">
        <v>5163</v>
      </c>
      <c r="E1663" s="6" t="s">
        <v>23</v>
      </c>
      <c r="F1663" s="6" t="n">
        <v>2</v>
      </c>
      <c r="G1663" s="10" t="n">
        <v>783</v>
      </c>
      <c r="H1663" s="10" t="n">
        <f aca="false">F1663*G1663</f>
        <v>1566</v>
      </c>
      <c r="I1663" s="6" t="s">
        <v>5148</v>
      </c>
    </row>
    <row r="1664" customFormat="false" ht="15" hidden="false" customHeight="false" outlineLevel="0" collapsed="false">
      <c r="A1664" s="6" t="s">
        <v>6886</v>
      </c>
      <c r="B1664" s="6" t="s">
        <v>4257</v>
      </c>
      <c r="C1664" s="26" t="n">
        <v>46083</v>
      </c>
      <c r="D1664" s="6" t="s">
        <v>5171</v>
      </c>
      <c r="E1664" s="6" t="s">
        <v>23</v>
      </c>
      <c r="F1664" s="6" t="n">
        <v>3</v>
      </c>
      <c r="G1664" s="10" t="n">
        <v>734</v>
      </c>
      <c r="H1664" s="10" t="n">
        <f aca="false">F1664*G1664</f>
        <v>2202</v>
      </c>
      <c r="I1664" s="6" t="s">
        <v>5148</v>
      </c>
    </row>
    <row r="1665" customFormat="false" ht="15" hidden="false" customHeight="false" outlineLevel="0" collapsed="false">
      <c r="A1665" s="6" t="s">
        <v>6887</v>
      </c>
      <c r="B1665" s="6" t="s">
        <v>2315</v>
      </c>
      <c r="C1665" s="26" t="n">
        <v>46083</v>
      </c>
      <c r="D1665" s="6" t="s">
        <v>5165</v>
      </c>
      <c r="E1665" s="6" t="s">
        <v>22</v>
      </c>
      <c r="F1665" s="6" t="n">
        <v>2</v>
      </c>
      <c r="G1665" s="10" t="n">
        <v>977</v>
      </c>
      <c r="H1665" s="10" t="n">
        <f aca="false">F1665*G1665</f>
        <v>1954</v>
      </c>
      <c r="I1665" s="6" t="s">
        <v>5122</v>
      </c>
    </row>
    <row r="1666" customFormat="false" ht="15" hidden="false" customHeight="false" outlineLevel="0" collapsed="false">
      <c r="A1666" s="6" t="s">
        <v>6888</v>
      </c>
      <c r="B1666" s="6" t="s">
        <v>262</v>
      </c>
      <c r="C1666" s="26" t="n">
        <v>46083</v>
      </c>
      <c r="D1666" s="6" t="s">
        <v>5456</v>
      </c>
      <c r="E1666" s="6" t="s">
        <v>24</v>
      </c>
      <c r="F1666" s="6" t="n">
        <v>1</v>
      </c>
      <c r="G1666" s="10" t="n">
        <v>913</v>
      </c>
      <c r="H1666" s="10" t="n">
        <f aca="false">F1666*G1666</f>
        <v>913</v>
      </c>
      <c r="I1666" s="6" t="s">
        <v>5148</v>
      </c>
    </row>
    <row r="1667" customFormat="false" ht="15" hidden="false" customHeight="false" outlineLevel="0" collapsed="false">
      <c r="A1667" s="6" t="s">
        <v>6889</v>
      </c>
      <c r="B1667" s="6" t="s">
        <v>2237</v>
      </c>
      <c r="C1667" s="26" t="n">
        <v>46083</v>
      </c>
      <c r="D1667" s="6" t="s">
        <v>5147</v>
      </c>
      <c r="E1667" s="6" t="s">
        <v>24</v>
      </c>
      <c r="F1667" s="6" t="n">
        <v>1</v>
      </c>
      <c r="G1667" s="10" t="n">
        <v>661</v>
      </c>
      <c r="H1667" s="10" t="n">
        <f aca="false">F1667*G1667</f>
        <v>661</v>
      </c>
      <c r="I1667" s="6" t="s">
        <v>5122</v>
      </c>
    </row>
    <row r="1668" customFormat="false" ht="15" hidden="false" customHeight="false" outlineLevel="0" collapsed="false">
      <c r="A1668" s="6" t="s">
        <v>6890</v>
      </c>
      <c r="B1668" s="6" t="s">
        <v>3189</v>
      </c>
      <c r="C1668" s="26" t="n">
        <v>46083</v>
      </c>
      <c r="D1668" s="6" t="s">
        <v>5353</v>
      </c>
      <c r="E1668" s="6" t="s">
        <v>24</v>
      </c>
      <c r="F1668" s="6" t="n">
        <v>1</v>
      </c>
      <c r="G1668" s="10" t="n">
        <v>1629</v>
      </c>
      <c r="H1668" s="10" t="n">
        <f aca="false">F1668*G1668</f>
        <v>1629</v>
      </c>
      <c r="I1668" s="6" t="s">
        <v>5122</v>
      </c>
    </row>
    <row r="1669" customFormat="false" ht="15" hidden="false" customHeight="false" outlineLevel="0" collapsed="false">
      <c r="A1669" s="6" t="s">
        <v>6891</v>
      </c>
      <c r="B1669" s="6" t="s">
        <v>1347</v>
      </c>
      <c r="C1669" s="26" t="n">
        <v>46083</v>
      </c>
      <c r="D1669" s="6" t="s">
        <v>5143</v>
      </c>
      <c r="E1669" s="6" t="s">
        <v>21</v>
      </c>
      <c r="F1669" s="6" t="n">
        <v>1</v>
      </c>
      <c r="G1669" s="10" t="n">
        <v>1179</v>
      </c>
      <c r="H1669" s="10" t="n">
        <f aca="false">F1669*G1669</f>
        <v>1179</v>
      </c>
      <c r="I1669" s="6" t="s">
        <v>5130</v>
      </c>
    </row>
    <row r="1670" customFormat="false" ht="15" hidden="false" customHeight="false" outlineLevel="0" collapsed="false">
      <c r="A1670" s="6" t="s">
        <v>6892</v>
      </c>
      <c r="B1670" s="6" t="s">
        <v>2169</v>
      </c>
      <c r="C1670" s="26" t="n">
        <v>46083</v>
      </c>
      <c r="D1670" s="6" t="s">
        <v>5290</v>
      </c>
      <c r="E1670" s="6" t="s">
        <v>23</v>
      </c>
      <c r="F1670" s="6" t="n">
        <v>4</v>
      </c>
      <c r="G1670" s="10" t="n">
        <v>106</v>
      </c>
      <c r="H1670" s="10" t="n">
        <f aca="false">F1670*G1670</f>
        <v>424</v>
      </c>
      <c r="I1670" s="6" t="s">
        <v>5148</v>
      </c>
    </row>
    <row r="1671" customFormat="false" ht="15" hidden="false" customHeight="false" outlineLevel="0" collapsed="false">
      <c r="A1671" s="6" t="s">
        <v>6893</v>
      </c>
      <c r="B1671" s="6" t="s">
        <v>4213</v>
      </c>
      <c r="C1671" s="26" t="n">
        <v>46083</v>
      </c>
      <c r="D1671" s="6" t="s">
        <v>5292</v>
      </c>
      <c r="E1671" s="6" t="s">
        <v>21</v>
      </c>
      <c r="F1671" s="6" t="n">
        <v>2</v>
      </c>
      <c r="G1671" s="10" t="n">
        <v>6192</v>
      </c>
      <c r="H1671" s="10" t="n">
        <f aca="false">F1671*G1671</f>
        <v>12384</v>
      </c>
      <c r="I1671" s="6" t="s">
        <v>5148</v>
      </c>
    </row>
    <row r="1672" customFormat="false" ht="15" hidden="false" customHeight="false" outlineLevel="0" collapsed="false">
      <c r="A1672" s="6" t="s">
        <v>6894</v>
      </c>
      <c r="B1672" s="6" t="s">
        <v>981</v>
      </c>
      <c r="C1672" s="26" t="n">
        <v>46083</v>
      </c>
      <c r="D1672" s="6" t="s">
        <v>5145</v>
      </c>
      <c r="E1672" s="6" t="s">
        <v>21</v>
      </c>
      <c r="F1672" s="6" t="n">
        <v>1</v>
      </c>
      <c r="G1672" s="10" t="n">
        <v>1277</v>
      </c>
      <c r="H1672" s="10" t="n">
        <f aca="false">F1672*G1672</f>
        <v>1277</v>
      </c>
      <c r="I1672" s="6" t="s">
        <v>5133</v>
      </c>
    </row>
    <row r="1673" customFormat="false" ht="15" hidden="false" customHeight="false" outlineLevel="0" collapsed="false">
      <c r="A1673" s="6" t="s">
        <v>6895</v>
      </c>
      <c r="B1673" s="6" t="s">
        <v>2809</v>
      </c>
      <c r="C1673" s="26" t="n">
        <v>46083</v>
      </c>
      <c r="D1673" s="6" t="s">
        <v>5167</v>
      </c>
      <c r="E1673" s="6" t="s">
        <v>22</v>
      </c>
      <c r="F1673" s="6" t="n">
        <v>1</v>
      </c>
      <c r="G1673" s="10" t="n">
        <v>782</v>
      </c>
      <c r="H1673" s="10" t="n">
        <f aca="false">F1673*G1673</f>
        <v>782</v>
      </c>
      <c r="I1673" s="6" t="s">
        <v>5148</v>
      </c>
    </row>
    <row r="1674" customFormat="false" ht="15" hidden="false" customHeight="false" outlineLevel="0" collapsed="false">
      <c r="A1674" s="6" t="s">
        <v>6896</v>
      </c>
      <c r="B1674" s="6" t="s">
        <v>1563</v>
      </c>
      <c r="C1674" s="26" t="n">
        <v>46083</v>
      </c>
      <c r="D1674" s="6" t="s">
        <v>5298</v>
      </c>
      <c r="E1674" s="6" t="s">
        <v>23</v>
      </c>
      <c r="F1674" s="6" t="n">
        <v>3</v>
      </c>
      <c r="G1674" s="10" t="n">
        <v>278</v>
      </c>
      <c r="H1674" s="10" t="n">
        <f aca="false">F1674*G1674</f>
        <v>834</v>
      </c>
      <c r="I1674" s="6" t="s">
        <v>5148</v>
      </c>
    </row>
    <row r="1675" customFormat="false" ht="15" hidden="false" customHeight="false" outlineLevel="0" collapsed="false">
      <c r="A1675" s="6" t="s">
        <v>6897</v>
      </c>
      <c r="B1675" s="6" t="s">
        <v>1871</v>
      </c>
      <c r="C1675" s="26" t="n">
        <v>46083</v>
      </c>
      <c r="D1675" s="6" t="s">
        <v>5292</v>
      </c>
      <c r="E1675" s="6" t="s">
        <v>21</v>
      </c>
      <c r="F1675" s="6" t="n">
        <v>1</v>
      </c>
      <c r="G1675" s="10" t="n">
        <v>6880</v>
      </c>
      <c r="H1675" s="10" t="n">
        <f aca="false">F1675*G1675</f>
        <v>6880</v>
      </c>
      <c r="I1675" s="6" t="s">
        <v>5148</v>
      </c>
    </row>
    <row r="1676" customFormat="false" ht="15" hidden="false" customHeight="false" outlineLevel="0" collapsed="false">
      <c r="A1676" s="6" t="s">
        <v>6898</v>
      </c>
      <c r="B1676" s="6" t="s">
        <v>4717</v>
      </c>
      <c r="C1676" s="26" t="n">
        <v>46083</v>
      </c>
      <c r="D1676" s="6" t="s">
        <v>5190</v>
      </c>
      <c r="E1676" s="6" t="s">
        <v>24</v>
      </c>
      <c r="F1676" s="6" t="n">
        <v>4</v>
      </c>
      <c r="G1676" s="10" t="n">
        <v>610</v>
      </c>
      <c r="H1676" s="10" t="n">
        <f aca="false">F1676*G1676</f>
        <v>2440</v>
      </c>
      <c r="I1676" s="6" t="s">
        <v>5173</v>
      </c>
    </row>
    <row r="1677" customFormat="false" ht="15" hidden="false" customHeight="false" outlineLevel="0" collapsed="false">
      <c r="A1677" s="6" t="s">
        <v>6899</v>
      </c>
      <c r="B1677" s="6" t="s">
        <v>330</v>
      </c>
      <c r="C1677" s="26" t="n">
        <v>46083</v>
      </c>
      <c r="D1677" s="6" t="s">
        <v>5197</v>
      </c>
      <c r="E1677" s="6" t="s">
        <v>21</v>
      </c>
      <c r="F1677" s="6" t="n">
        <v>1</v>
      </c>
      <c r="G1677" s="10" t="n">
        <v>1080</v>
      </c>
      <c r="H1677" s="10" t="n">
        <f aca="false">F1677*G1677</f>
        <v>1080</v>
      </c>
      <c r="I1677" s="6" t="s">
        <v>5122</v>
      </c>
    </row>
    <row r="1678" customFormat="false" ht="15" hidden="false" customHeight="false" outlineLevel="0" collapsed="false">
      <c r="A1678" s="6" t="s">
        <v>6900</v>
      </c>
      <c r="B1678" s="6" t="s">
        <v>4069</v>
      </c>
      <c r="C1678" s="26" t="n">
        <v>46083</v>
      </c>
      <c r="D1678" s="6" t="s">
        <v>5488</v>
      </c>
      <c r="E1678" s="6" t="s">
        <v>24</v>
      </c>
      <c r="F1678" s="6" t="n">
        <v>1</v>
      </c>
      <c r="G1678" s="10" t="n">
        <v>866</v>
      </c>
      <c r="H1678" s="10" t="n">
        <f aca="false">F1678*G1678</f>
        <v>866</v>
      </c>
      <c r="I1678" s="6" t="s">
        <v>5125</v>
      </c>
    </row>
    <row r="1679" customFormat="false" ht="15" hidden="false" customHeight="false" outlineLevel="0" collapsed="false">
      <c r="A1679" s="6" t="s">
        <v>6901</v>
      </c>
      <c r="B1679" s="6" t="s">
        <v>1905</v>
      </c>
      <c r="C1679" s="26" t="n">
        <v>46083</v>
      </c>
      <c r="D1679" s="6" t="s">
        <v>5121</v>
      </c>
      <c r="E1679" s="6" t="s">
        <v>22</v>
      </c>
      <c r="F1679" s="6" t="n">
        <v>2</v>
      </c>
      <c r="G1679" s="10" t="n">
        <v>880</v>
      </c>
      <c r="H1679" s="10" t="n">
        <f aca="false">F1679*G1679</f>
        <v>1760</v>
      </c>
      <c r="I1679" s="6" t="s">
        <v>5130</v>
      </c>
    </row>
    <row r="1680" customFormat="false" ht="15" hidden="false" customHeight="false" outlineLevel="0" collapsed="false">
      <c r="A1680" s="6" t="s">
        <v>6902</v>
      </c>
      <c r="B1680" s="6" t="s">
        <v>1159</v>
      </c>
      <c r="C1680" s="26" t="n">
        <v>46083</v>
      </c>
      <c r="D1680" s="6" t="s">
        <v>5235</v>
      </c>
      <c r="E1680" s="6" t="s">
        <v>21</v>
      </c>
      <c r="F1680" s="6" t="n">
        <v>2</v>
      </c>
      <c r="G1680" s="10" t="n">
        <v>1586</v>
      </c>
      <c r="H1680" s="10" t="n">
        <f aca="false">F1680*G1680</f>
        <v>3172</v>
      </c>
      <c r="I1680" s="6" t="s">
        <v>5148</v>
      </c>
    </row>
    <row r="1681" customFormat="false" ht="15" hidden="false" customHeight="false" outlineLevel="0" collapsed="false">
      <c r="A1681" s="6" t="s">
        <v>6903</v>
      </c>
      <c r="B1681" s="6" t="s">
        <v>3835</v>
      </c>
      <c r="C1681" s="26" t="n">
        <v>46083</v>
      </c>
      <c r="D1681" s="6" t="s">
        <v>5154</v>
      </c>
      <c r="E1681" s="6" t="s">
        <v>21</v>
      </c>
      <c r="F1681" s="6" t="n">
        <v>1</v>
      </c>
      <c r="G1681" s="10" t="n">
        <v>785</v>
      </c>
      <c r="H1681" s="10" t="n">
        <f aca="false">F1681*G1681</f>
        <v>785</v>
      </c>
      <c r="I1681" s="6" t="s">
        <v>5148</v>
      </c>
    </row>
    <row r="1682" customFormat="false" ht="15" hidden="false" customHeight="false" outlineLevel="0" collapsed="false">
      <c r="A1682" s="6" t="s">
        <v>6904</v>
      </c>
      <c r="B1682" s="6" t="s">
        <v>3529</v>
      </c>
      <c r="C1682" s="26" t="n">
        <v>46083</v>
      </c>
      <c r="D1682" s="6" t="s">
        <v>5165</v>
      </c>
      <c r="E1682" s="6" t="s">
        <v>22</v>
      </c>
      <c r="F1682" s="6" t="n">
        <v>1</v>
      </c>
      <c r="G1682" s="10" t="n">
        <v>928</v>
      </c>
      <c r="H1682" s="10" t="n">
        <f aca="false">F1682*G1682</f>
        <v>928</v>
      </c>
      <c r="I1682" s="6" t="s">
        <v>5148</v>
      </c>
    </row>
    <row r="1683" customFormat="false" ht="15" hidden="false" customHeight="false" outlineLevel="0" collapsed="false">
      <c r="A1683" s="6" t="s">
        <v>6905</v>
      </c>
      <c r="B1683" s="6" t="s">
        <v>4141</v>
      </c>
      <c r="C1683" s="26" t="n">
        <v>46083</v>
      </c>
      <c r="D1683" s="6" t="s">
        <v>5121</v>
      </c>
      <c r="E1683" s="6" t="s">
        <v>22</v>
      </c>
      <c r="F1683" s="6" t="n">
        <v>1</v>
      </c>
      <c r="G1683" s="10" t="n">
        <v>977</v>
      </c>
      <c r="H1683" s="10" t="n">
        <f aca="false">F1683*G1683</f>
        <v>977</v>
      </c>
      <c r="I1683" s="6" t="s">
        <v>5122</v>
      </c>
    </row>
    <row r="1684" customFormat="false" ht="15" hidden="false" customHeight="false" outlineLevel="0" collapsed="false">
      <c r="A1684" s="6" t="s">
        <v>6906</v>
      </c>
      <c r="B1684" s="6" t="s">
        <v>675</v>
      </c>
      <c r="C1684" s="26" t="n">
        <v>46083</v>
      </c>
      <c r="D1684" s="6" t="s">
        <v>5683</v>
      </c>
      <c r="E1684" s="6" t="s">
        <v>22</v>
      </c>
      <c r="F1684" s="6" t="n">
        <v>1</v>
      </c>
      <c r="G1684" s="10" t="n">
        <v>1759</v>
      </c>
      <c r="H1684" s="10" t="n">
        <f aca="false">F1684*G1684</f>
        <v>1759</v>
      </c>
      <c r="I1684" s="6" t="s">
        <v>5122</v>
      </c>
    </row>
    <row r="1685" customFormat="false" ht="15" hidden="false" customHeight="false" outlineLevel="0" collapsed="false">
      <c r="A1685" s="6" t="s">
        <v>6907</v>
      </c>
      <c r="B1685" s="6" t="s">
        <v>1405</v>
      </c>
      <c r="C1685" s="26" t="n">
        <v>46083</v>
      </c>
      <c r="D1685" s="6" t="s">
        <v>5163</v>
      </c>
      <c r="E1685" s="6" t="s">
        <v>23</v>
      </c>
      <c r="F1685" s="6" t="n">
        <v>4</v>
      </c>
      <c r="G1685" s="10" t="n">
        <v>705</v>
      </c>
      <c r="H1685" s="10" t="n">
        <f aca="false">F1685*G1685</f>
        <v>2820</v>
      </c>
      <c r="I1685" s="6" t="s">
        <v>5122</v>
      </c>
    </row>
    <row r="1686" customFormat="false" ht="15" hidden="false" customHeight="false" outlineLevel="0" collapsed="false">
      <c r="A1686" s="6" t="s">
        <v>6908</v>
      </c>
      <c r="B1686" s="6" t="s">
        <v>2595</v>
      </c>
      <c r="C1686" s="26" t="n">
        <v>46083</v>
      </c>
      <c r="D1686" s="6" t="s">
        <v>5132</v>
      </c>
      <c r="E1686" s="6" t="s">
        <v>23</v>
      </c>
      <c r="F1686" s="6" t="n">
        <v>2</v>
      </c>
      <c r="G1686" s="10" t="n">
        <v>308</v>
      </c>
      <c r="H1686" s="10" t="n">
        <f aca="false">F1686*G1686</f>
        <v>616</v>
      </c>
      <c r="I1686" s="6" t="s">
        <v>5122</v>
      </c>
    </row>
    <row r="1687" customFormat="false" ht="15" hidden="false" customHeight="false" outlineLevel="0" collapsed="false">
      <c r="A1687" s="6" t="s">
        <v>6909</v>
      </c>
      <c r="B1687" s="6" t="s">
        <v>1313</v>
      </c>
      <c r="C1687" s="26" t="n">
        <v>46083</v>
      </c>
      <c r="D1687" s="6" t="s">
        <v>5163</v>
      </c>
      <c r="E1687" s="6" t="s">
        <v>23</v>
      </c>
      <c r="F1687" s="6" t="n">
        <v>5</v>
      </c>
      <c r="G1687" s="10" t="n">
        <v>783</v>
      </c>
      <c r="H1687" s="10" t="n">
        <f aca="false">F1687*G1687</f>
        <v>3915</v>
      </c>
      <c r="I1687" s="6" t="s">
        <v>5148</v>
      </c>
    </row>
    <row r="1688" customFormat="false" ht="15" hidden="false" customHeight="false" outlineLevel="0" collapsed="false">
      <c r="A1688" s="6" t="s">
        <v>6910</v>
      </c>
      <c r="B1688" s="6" t="s">
        <v>4181</v>
      </c>
      <c r="C1688" s="26" t="n">
        <v>46083</v>
      </c>
      <c r="D1688" s="6" t="s">
        <v>5145</v>
      </c>
      <c r="E1688" s="6" t="s">
        <v>21</v>
      </c>
      <c r="F1688" s="6" t="n">
        <v>1</v>
      </c>
      <c r="G1688" s="10" t="n">
        <v>1277</v>
      </c>
      <c r="H1688" s="10" t="n">
        <f aca="false">F1688*G1688</f>
        <v>1277</v>
      </c>
      <c r="I1688" s="6" t="s">
        <v>5122</v>
      </c>
    </row>
    <row r="1689" customFormat="false" ht="15" hidden="false" customHeight="false" outlineLevel="0" collapsed="false">
      <c r="A1689" s="6" t="s">
        <v>6911</v>
      </c>
      <c r="B1689" s="6" t="s">
        <v>563</v>
      </c>
      <c r="C1689" s="26" t="n">
        <v>46084</v>
      </c>
      <c r="D1689" s="6" t="s">
        <v>5273</v>
      </c>
      <c r="E1689" s="6" t="s">
        <v>23</v>
      </c>
      <c r="F1689" s="6" t="n">
        <v>2</v>
      </c>
      <c r="G1689" s="10" t="n">
        <v>240</v>
      </c>
      <c r="H1689" s="10" t="n">
        <f aca="false">F1689*G1689</f>
        <v>480</v>
      </c>
      <c r="I1689" s="6" t="s">
        <v>5173</v>
      </c>
    </row>
    <row r="1690" customFormat="false" ht="15" hidden="false" customHeight="false" outlineLevel="0" collapsed="false">
      <c r="A1690" s="6" t="s">
        <v>6912</v>
      </c>
      <c r="B1690" s="6" t="s">
        <v>1713</v>
      </c>
      <c r="C1690" s="26" t="n">
        <v>46084</v>
      </c>
      <c r="D1690" s="6" t="s">
        <v>5141</v>
      </c>
      <c r="E1690" s="6" t="s">
        <v>20</v>
      </c>
      <c r="F1690" s="6" t="n">
        <v>2</v>
      </c>
      <c r="G1690" s="10" t="n">
        <v>1743</v>
      </c>
      <c r="H1690" s="10" t="n">
        <f aca="false">F1690*G1690</f>
        <v>3486</v>
      </c>
      <c r="I1690" s="6" t="s">
        <v>5122</v>
      </c>
    </row>
    <row r="1691" customFormat="false" ht="15" hidden="false" customHeight="false" outlineLevel="0" collapsed="false">
      <c r="A1691" s="6" t="s">
        <v>6913</v>
      </c>
      <c r="B1691" s="6" t="s">
        <v>2827</v>
      </c>
      <c r="C1691" s="26" t="n">
        <v>46084</v>
      </c>
      <c r="D1691" s="6" t="s">
        <v>5237</v>
      </c>
      <c r="E1691" s="6" t="s">
        <v>24</v>
      </c>
      <c r="F1691" s="6" t="n">
        <v>1</v>
      </c>
      <c r="G1691" s="10" t="n">
        <v>1833</v>
      </c>
      <c r="H1691" s="10" t="n">
        <f aca="false">F1691*G1691</f>
        <v>1833</v>
      </c>
      <c r="I1691" s="6" t="s">
        <v>5173</v>
      </c>
    </row>
    <row r="1692" customFormat="false" ht="15" hidden="false" customHeight="false" outlineLevel="0" collapsed="false">
      <c r="A1692" s="6" t="s">
        <v>6914</v>
      </c>
      <c r="B1692" s="6" t="s">
        <v>5007</v>
      </c>
      <c r="C1692" s="26" t="n">
        <v>46084</v>
      </c>
      <c r="D1692" s="6" t="s">
        <v>5135</v>
      </c>
      <c r="E1692" s="6" t="s">
        <v>23</v>
      </c>
      <c r="F1692" s="6" t="n">
        <v>3</v>
      </c>
      <c r="G1692" s="10" t="n">
        <v>397</v>
      </c>
      <c r="H1692" s="10" t="n">
        <f aca="false">F1692*G1692</f>
        <v>1191</v>
      </c>
      <c r="I1692" s="6" t="s">
        <v>5125</v>
      </c>
    </row>
    <row r="1693" customFormat="false" ht="15" hidden="false" customHeight="false" outlineLevel="0" collapsed="false">
      <c r="A1693" s="6" t="s">
        <v>6915</v>
      </c>
      <c r="B1693" s="6" t="s">
        <v>4437</v>
      </c>
      <c r="C1693" s="26" t="n">
        <v>46084</v>
      </c>
      <c r="D1693" s="6" t="s">
        <v>5339</v>
      </c>
      <c r="E1693" s="6" t="s">
        <v>24</v>
      </c>
      <c r="F1693" s="6" t="n">
        <v>1</v>
      </c>
      <c r="G1693" s="10" t="n">
        <v>508</v>
      </c>
      <c r="H1693" s="10" t="n">
        <f aca="false">F1693*G1693</f>
        <v>508</v>
      </c>
      <c r="I1693" s="6" t="s">
        <v>5130</v>
      </c>
    </row>
    <row r="1694" customFormat="false" ht="15" hidden="false" customHeight="false" outlineLevel="0" collapsed="false">
      <c r="A1694" s="6" t="s">
        <v>6916</v>
      </c>
      <c r="B1694" s="6" t="s">
        <v>3265</v>
      </c>
      <c r="C1694" s="26" t="n">
        <v>46084</v>
      </c>
      <c r="D1694" s="6" t="s">
        <v>5259</v>
      </c>
      <c r="E1694" s="6" t="s">
        <v>22</v>
      </c>
      <c r="F1694" s="6" t="n">
        <v>1</v>
      </c>
      <c r="G1694" s="10" t="n">
        <v>1486</v>
      </c>
      <c r="H1694" s="10" t="n">
        <f aca="false">F1694*G1694</f>
        <v>1486</v>
      </c>
      <c r="I1694" s="6" t="s">
        <v>5130</v>
      </c>
    </row>
    <row r="1695" customFormat="false" ht="15" hidden="false" customHeight="false" outlineLevel="0" collapsed="false">
      <c r="A1695" s="6" t="s">
        <v>6917</v>
      </c>
      <c r="B1695" s="6" t="s">
        <v>3805</v>
      </c>
      <c r="C1695" s="26" t="n">
        <v>46084</v>
      </c>
      <c r="D1695" s="6" t="s">
        <v>5488</v>
      </c>
      <c r="E1695" s="6" t="s">
        <v>24</v>
      </c>
      <c r="F1695" s="6" t="n">
        <v>1</v>
      </c>
      <c r="G1695" s="10" t="n">
        <v>866</v>
      </c>
      <c r="H1695" s="10" t="n">
        <f aca="false">F1695*G1695</f>
        <v>866</v>
      </c>
      <c r="I1695" s="6" t="s">
        <v>5148</v>
      </c>
    </row>
    <row r="1696" customFormat="false" ht="15" hidden="false" customHeight="false" outlineLevel="0" collapsed="false">
      <c r="A1696" s="6" t="s">
        <v>6918</v>
      </c>
      <c r="B1696" s="6" t="s">
        <v>3071</v>
      </c>
      <c r="C1696" s="26" t="n">
        <v>46084</v>
      </c>
      <c r="D1696" s="6" t="s">
        <v>5165</v>
      </c>
      <c r="E1696" s="6" t="s">
        <v>22</v>
      </c>
      <c r="F1696" s="6" t="n">
        <v>1</v>
      </c>
      <c r="G1696" s="10" t="n">
        <v>976</v>
      </c>
      <c r="H1696" s="10" t="n">
        <f aca="false">F1696*G1696</f>
        <v>976</v>
      </c>
      <c r="I1696" s="6" t="s">
        <v>5125</v>
      </c>
    </row>
    <row r="1697" customFormat="false" ht="15" hidden="false" customHeight="false" outlineLevel="0" collapsed="false">
      <c r="A1697" s="6" t="s">
        <v>6919</v>
      </c>
      <c r="B1697" s="6" t="s">
        <v>4045</v>
      </c>
      <c r="C1697" s="26" t="n">
        <v>46084</v>
      </c>
      <c r="D1697" s="6" t="s">
        <v>5259</v>
      </c>
      <c r="E1697" s="6" t="s">
        <v>22</v>
      </c>
      <c r="F1697" s="6" t="n">
        <v>4</v>
      </c>
      <c r="G1697" s="10" t="n">
        <v>1486</v>
      </c>
      <c r="H1697" s="10" t="n">
        <f aca="false">F1697*G1697</f>
        <v>5944</v>
      </c>
      <c r="I1697" s="6" t="s">
        <v>5122</v>
      </c>
    </row>
    <row r="1698" customFormat="false" ht="15" hidden="false" customHeight="false" outlineLevel="0" collapsed="false">
      <c r="A1698" s="6" t="s">
        <v>6920</v>
      </c>
      <c r="B1698" s="6" t="s">
        <v>3401</v>
      </c>
      <c r="C1698" s="26" t="n">
        <v>46084</v>
      </c>
      <c r="D1698" s="6" t="s">
        <v>5127</v>
      </c>
      <c r="E1698" s="6" t="s">
        <v>21</v>
      </c>
      <c r="F1698" s="6" t="n">
        <v>1</v>
      </c>
      <c r="G1698" s="10" t="n">
        <v>884</v>
      </c>
      <c r="H1698" s="10" t="n">
        <f aca="false">F1698*G1698</f>
        <v>884</v>
      </c>
      <c r="I1698" s="6" t="s">
        <v>5133</v>
      </c>
    </row>
    <row r="1699" customFormat="false" ht="15" hidden="false" customHeight="false" outlineLevel="0" collapsed="false">
      <c r="A1699" s="6" t="s">
        <v>6921</v>
      </c>
      <c r="B1699" s="6" t="s">
        <v>4129</v>
      </c>
      <c r="C1699" s="26" t="n">
        <v>46084</v>
      </c>
      <c r="D1699" s="6" t="s">
        <v>5383</v>
      </c>
      <c r="E1699" s="6" t="s">
        <v>20</v>
      </c>
      <c r="F1699" s="6" t="n">
        <v>1</v>
      </c>
      <c r="G1699" s="10" t="n">
        <v>1121</v>
      </c>
      <c r="H1699" s="10" t="n">
        <f aca="false">F1699*G1699</f>
        <v>1121</v>
      </c>
      <c r="I1699" s="6" t="s">
        <v>5122</v>
      </c>
    </row>
    <row r="1700" customFormat="false" ht="15" hidden="false" customHeight="false" outlineLevel="0" collapsed="false">
      <c r="A1700" s="6" t="s">
        <v>6922</v>
      </c>
      <c r="B1700" s="6" t="s">
        <v>3481</v>
      </c>
      <c r="C1700" s="26" t="n">
        <v>46084</v>
      </c>
      <c r="D1700" s="6" t="s">
        <v>5171</v>
      </c>
      <c r="E1700" s="6" t="s">
        <v>23</v>
      </c>
      <c r="F1700" s="6" t="n">
        <v>2</v>
      </c>
      <c r="G1700" s="10" t="n">
        <v>734</v>
      </c>
      <c r="H1700" s="10" t="n">
        <f aca="false">F1700*G1700</f>
        <v>1468</v>
      </c>
      <c r="I1700" s="6" t="s">
        <v>5148</v>
      </c>
    </row>
    <row r="1701" customFormat="false" ht="15" hidden="false" customHeight="false" outlineLevel="0" collapsed="false">
      <c r="A1701" s="6" t="s">
        <v>6923</v>
      </c>
      <c r="B1701" s="6" t="s">
        <v>4935</v>
      </c>
      <c r="C1701" s="26" t="n">
        <v>46084</v>
      </c>
      <c r="D1701" s="6" t="s">
        <v>5129</v>
      </c>
      <c r="E1701" s="6" t="s">
        <v>21</v>
      </c>
      <c r="F1701" s="6" t="n">
        <v>2</v>
      </c>
      <c r="G1701" s="10" t="n">
        <v>530</v>
      </c>
      <c r="H1701" s="10" t="n">
        <f aca="false">F1701*G1701</f>
        <v>1060</v>
      </c>
      <c r="I1701" s="6" t="s">
        <v>5125</v>
      </c>
    </row>
    <row r="1702" customFormat="false" ht="15" hidden="false" customHeight="false" outlineLevel="0" collapsed="false">
      <c r="A1702" s="6" t="s">
        <v>6924</v>
      </c>
      <c r="B1702" s="6" t="s">
        <v>2455</v>
      </c>
      <c r="C1702" s="26" t="n">
        <v>46084</v>
      </c>
      <c r="D1702" s="6" t="s">
        <v>5167</v>
      </c>
      <c r="E1702" s="6" t="s">
        <v>22</v>
      </c>
      <c r="F1702" s="6" t="n">
        <v>2</v>
      </c>
      <c r="G1702" s="10" t="n">
        <v>782</v>
      </c>
      <c r="H1702" s="10" t="n">
        <f aca="false">F1702*G1702</f>
        <v>1564</v>
      </c>
      <c r="I1702" s="6" t="s">
        <v>5122</v>
      </c>
    </row>
    <row r="1703" customFormat="false" ht="15" hidden="false" customHeight="false" outlineLevel="0" collapsed="false">
      <c r="A1703" s="6" t="s">
        <v>6925</v>
      </c>
      <c r="B1703" s="6" t="s">
        <v>4091</v>
      </c>
      <c r="C1703" s="26" t="n">
        <v>46084</v>
      </c>
      <c r="D1703" s="6" t="s">
        <v>5135</v>
      </c>
      <c r="E1703" s="6" t="s">
        <v>23</v>
      </c>
      <c r="F1703" s="6" t="n">
        <v>3</v>
      </c>
      <c r="G1703" s="10" t="n">
        <v>441</v>
      </c>
      <c r="H1703" s="10" t="n">
        <f aca="false">F1703*G1703</f>
        <v>1323</v>
      </c>
      <c r="I1703" s="6" t="s">
        <v>5173</v>
      </c>
    </row>
    <row r="1704" customFormat="false" ht="15" hidden="false" customHeight="false" outlineLevel="0" collapsed="false">
      <c r="A1704" s="6" t="s">
        <v>6926</v>
      </c>
      <c r="B1704" s="6" t="s">
        <v>2269</v>
      </c>
      <c r="C1704" s="26" t="n">
        <v>46084</v>
      </c>
      <c r="D1704" s="6" t="s">
        <v>5237</v>
      </c>
      <c r="E1704" s="6" t="s">
        <v>24</v>
      </c>
      <c r="F1704" s="6" t="n">
        <v>1</v>
      </c>
      <c r="G1704" s="10" t="n">
        <v>1833</v>
      </c>
      <c r="H1704" s="10" t="n">
        <f aca="false">F1704*G1704</f>
        <v>1833</v>
      </c>
      <c r="I1704" s="6" t="s">
        <v>5122</v>
      </c>
    </row>
    <row r="1705" customFormat="false" ht="15" hidden="false" customHeight="false" outlineLevel="0" collapsed="false">
      <c r="A1705" s="6" t="s">
        <v>6927</v>
      </c>
      <c r="B1705" s="6" t="s">
        <v>2549</v>
      </c>
      <c r="C1705" s="26" t="n">
        <v>46084</v>
      </c>
      <c r="D1705" s="6" t="s">
        <v>5318</v>
      </c>
      <c r="E1705" s="6" t="s">
        <v>20</v>
      </c>
      <c r="F1705" s="6" t="n">
        <v>2</v>
      </c>
      <c r="G1705" s="10" t="n">
        <v>1529</v>
      </c>
      <c r="H1705" s="10" t="n">
        <f aca="false">F1705*G1705</f>
        <v>3058</v>
      </c>
      <c r="I1705" s="6" t="s">
        <v>5122</v>
      </c>
    </row>
    <row r="1706" customFormat="false" ht="15" hidden="false" customHeight="false" outlineLevel="0" collapsed="false">
      <c r="A1706" s="6" t="s">
        <v>6928</v>
      </c>
      <c r="B1706" s="6" t="s">
        <v>1177</v>
      </c>
      <c r="C1706" s="26" t="n">
        <v>46084</v>
      </c>
      <c r="D1706" s="6" t="s">
        <v>5353</v>
      </c>
      <c r="E1706" s="6" t="s">
        <v>24</v>
      </c>
      <c r="F1706" s="6" t="n">
        <v>3</v>
      </c>
      <c r="G1706" s="10" t="n">
        <v>1629</v>
      </c>
      <c r="H1706" s="10" t="n">
        <f aca="false">F1706*G1706</f>
        <v>4887</v>
      </c>
      <c r="I1706" s="6" t="s">
        <v>5148</v>
      </c>
    </row>
    <row r="1707" customFormat="false" ht="15" hidden="false" customHeight="false" outlineLevel="0" collapsed="false">
      <c r="A1707" s="6" t="s">
        <v>6929</v>
      </c>
      <c r="B1707" s="6" t="s">
        <v>4739</v>
      </c>
      <c r="C1707" s="26" t="n">
        <v>46084</v>
      </c>
      <c r="D1707" s="6" t="s">
        <v>5273</v>
      </c>
      <c r="E1707" s="6" t="s">
        <v>23</v>
      </c>
      <c r="F1707" s="6" t="n">
        <v>3</v>
      </c>
      <c r="G1707" s="10" t="n">
        <v>228</v>
      </c>
      <c r="H1707" s="10" t="n">
        <f aca="false">F1707*G1707</f>
        <v>684</v>
      </c>
      <c r="I1707" s="6" t="s">
        <v>5148</v>
      </c>
    </row>
    <row r="1708" customFormat="false" ht="15" hidden="false" customHeight="false" outlineLevel="0" collapsed="false">
      <c r="A1708" s="6" t="s">
        <v>6930</v>
      </c>
      <c r="B1708" s="6" t="s">
        <v>4055</v>
      </c>
      <c r="C1708" s="26" t="n">
        <v>46084</v>
      </c>
      <c r="D1708" s="6" t="s">
        <v>5165</v>
      </c>
      <c r="E1708" s="6" t="s">
        <v>22</v>
      </c>
      <c r="F1708" s="6" t="n">
        <v>1</v>
      </c>
      <c r="G1708" s="10" t="n">
        <v>880</v>
      </c>
      <c r="H1708" s="10" t="n">
        <f aca="false">F1708*G1708</f>
        <v>880</v>
      </c>
      <c r="I1708" s="6" t="s">
        <v>5130</v>
      </c>
    </row>
    <row r="1709" customFormat="false" ht="15" hidden="false" customHeight="false" outlineLevel="0" collapsed="false">
      <c r="A1709" s="6" t="s">
        <v>6931</v>
      </c>
      <c r="B1709" s="6" t="s">
        <v>4573</v>
      </c>
      <c r="C1709" s="26" t="n">
        <v>46084</v>
      </c>
      <c r="D1709" s="6" t="s">
        <v>5240</v>
      </c>
      <c r="E1709" s="6" t="s">
        <v>20</v>
      </c>
      <c r="F1709" s="6" t="n">
        <v>1</v>
      </c>
      <c r="G1709" s="10" t="n">
        <v>5097</v>
      </c>
      <c r="H1709" s="10" t="n">
        <f aca="false">F1709*G1709</f>
        <v>5097</v>
      </c>
      <c r="I1709" s="6" t="s">
        <v>5130</v>
      </c>
    </row>
    <row r="1710" customFormat="false" ht="15" hidden="false" customHeight="false" outlineLevel="0" collapsed="false">
      <c r="A1710" s="6" t="s">
        <v>6932</v>
      </c>
      <c r="B1710" s="6" t="s">
        <v>1045</v>
      </c>
      <c r="C1710" s="26" t="n">
        <v>46084</v>
      </c>
      <c r="D1710" s="6" t="s">
        <v>5242</v>
      </c>
      <c r="E1710" s="6" t="s">
        <v>23</v>
      </c>
      <c r="F1710" s="6" t="n">
        <v>3</v>
      </c>
      <c r="G1710" s="10" t="n">
        <v>372</v>
      </c>
      <c r="H1710" s="10" t="n">
        <f aca="false">F1710*G1710</f>
        <v>1116</v>
      </c>
      <c r="I1710" s="6" t="s">
        <v>5130</v>
      </c>
    </row>
    <row r="1711" customFormat="false" ht="15" hidden="false" customHeight="false" outlineLevel="0" collapsed="false">
      <c r="A1711" s="6" t="s">
        <v>6933</v>
      </c>
      <c r="B1711" s="6" t="s">
        <v>4157</v>
      </c>
      <c r="C1711" s="26" t="n">
        <v>46084</v>
      </c>
      <c r="D1711" s="6" t="s">
        <v>5313</v>
      </c>
      <c r="E1711" s="6" t="s">
        <v>22</v>
      </c>
      <c r="F1711" s="6" t="n">
        <v>2</v>
      </c>
      <c r="G1711" s="10" t="n">
        <v>1760</v>
      </c>
      <c r="H1711" s="10" t="n">
        <f aca="false">F1711*G1711</f>
        <v>3520</v>
      </c>
      <c r="I1711" s="6" t="s">
        <v>5148</v>
      </c>
    </row>
    <row r="1712" customFormat="false" ht="15" hidden="false" customHeight="false" outlineLevel="0" collapsed="false">
      <c r="A1712" s="6" t="s">
        <v>6934</v>
      </c>
      <c r="B1712" s="6" t="s">
        <v>4995</v>
      </c>
      <c r="C1712" s="26" t="n">
        <v>46084</v>
      </c>
      <c r="D1712" s="6" t="s">
        <v>5121</v>
      </c>
      <c r="E1712" s="6" t="s">
        <v>22</v>
      </c>
      <c r="F1712" s="6" t="n">
        <v>2</v>
      </c>
      <c r="G1712" s="10" t="n">
        <v>977</v>
      </c>
      <c r="H1712" s="10" t="n">
        <f aca="false">F1712*G1712</f>
        <v>1954</v>
      </c>
      <c r="I1712" s="6" t="s">
        <v>5133</v>
      </c>
    </row>
    <row r="1713" customFormat="false" ht="15" hidden="false" customHeight="false" outlineLevel="0" collapsed="false">
      <c r="A1713" s="6" t="s">
        <v>6935</v>
      </c>
      <c r="B1713" s="6" t="s">
        <v>549</v>
      </c>
      <c r="C1713" s="26" t="n">
        <v>46084</v>
      </c>
      <c r="D1713" s="6" t="s">
        <v>5175</v>
      </c>
      <c r="E1713" s="6" t="s">
        <v>24</v>
      </c>
      <c r="F1713" s="6" t="n">
        <v>1</v>
      </c>
      <c r="G1713" s="10" t="n">
        <v>549</v>
      </c>
      <c r="H1713" s="10" t="n">
        <f aca="false">F1713*G1713</f>
        <v>549</v>
      </c>
      <c r="I1713" s="6" t="s">
        <v>5148</v>
      </c>
    </row>
    <row r="1714" customFormat="false" ht="15" hidden="false" customHeight="false" outlineLevel="0" collapsed="false">
      <c r="A1714" s="6" t="s">
        <v>6936</v>
      </c>
      <c r="B1714" s="6" t="s">
        <v>4049</v>
      </c>
      <c r="C1714" s="26" t="n">
        <v>46084</v>
      </c>
      <c r="D1714" s="6" t="s">
        <v>5837</v>
      </c>
      <c r="E1714" s="6" t="s">
        <v>21</v>
      </c>
      <c r="F1714" s="6" t="n">
        <v>1</v>
      </c>
      <c r="G1714" s="10" t="n">
        <v>2653</v>
      </c>
      <c r="H1714" s="10" t="n">
        <f aca="false">F1714*G1714</f>
        <v>2653</v>
      </c>
      <c r="I1714" s="6" t="s">
        <v>5173</v>
      </c>
    </row>
    <row r="1715" customFormat="false" ht="15" hidden="false" customHeight="false" outlineLevel="0" collapsed="false">
      <c r="A1715" s="6" t="s">
        <v>6937</v>
      </c>
      <c r="B1715" s="6" t="s">
        <v>3617</v>
      </c>
      <c r="C1715" s="26" t="n">
        <v>46084</v>
      </c>
      <c r="D1715" s="6" t="s">
        <v>5398</v>
      </c>
      <c r="E1715" s="6" t="s">
        <v>24</v>
      </c>
      <c r="F1715" s="6" t="n">
        <v>3</v>
      </c>
      <c r="G1715" s="10" t="n">
        <v>610</v>
      </c>
      <c r="H1715" s="10" t="n">
        <f aca="false">F1715*G1715</f>
        <v>1830</v>
      </c>
      <c r="I1715" s="6" t="s">
        <v>5122</v>
      </c>
    </row>
    <row r="1716" customFormat="false" ht="15" hidden="false" customHeight="false" outlineLevel="0" collapsed="false">
      <c r="A1716" s="6" t="s">
        <v>6938</v>
      </c>
      <c r="B1716" s="6" t="s">
        <v>1811</v>
      </c>
      <c r="C1716" s="26" t="n">
        <v>46084</v>
      </c>
      <c r="D1716" s="6" t="s">
        <v>5167</v>
      </c>
      <c r="E1716" s="6" t="s">
        <v>22</v>
      </c>
      <c r="F1716" s="6" t="n">
        <v>3</v>
      </c>
      <c r="G1716" s="10" t="n">
        <v>782</v>
      </c>
      <c r="H1716" s="10" t="n">
        <f aca="false">F1716*G1716</f>
        <v>2346</v>
      </c>
      <c r="I1716" s="6" t="s">
        <v>5148</v>
      </c>
    </row>
    <row r="1717" customFormat="false" ht="15" hidden="false" customHeight="false" outlineLevel="0" collapsed="false">
      <c r="A1717" s="6" t="s">
        <v>6939</v>
      </c>
      <c r="B1717" s="6" t="s">
        <v>1063</v>
      </c>
      <c r="C1717" s="26" t="n">
        <v>46084</v>
      </c>
      <c r="D1717" s="6" t="s">
        <v>5165</v>
      </c>
      <c r="E1717" s="6" t="s">
        <v>22</v>
      </c>
      <c r="F1717" s="6" t="n">
        <v>1</v>
      </c>
      <c r="G1717" s="10" t="n">
        <v>977</v>
      </c>
      <c r="H1717" s="10" t="n">
        <f aca="false">F1717*G1717</f>
        <v>977</v>
      </c>
      <c r="I1717" s="6" t="s">
        <v>5122</v>
      </c>
    </row>
    <row r="1718" customFormat="false" ht="15" hidden="false" customHeight="false" outlineLevel="0" collapsed="false">
      <c r="A1718" s="6" t="s">
        <v>6940</v>
      </c>
      <c r="B1718" s="6" t="s">
        <v>1753</v>
      </c>
      <c r="C1718" s="26" t="n">
        <v>46084</v>
      </c>
      <c r="D1718" s="6" t="s">
        <v>5139</v>
      </c>
      <c r="E1718" s="6" t="s">
        <v>23</v>
      </c>
      <c r="F1718" s="6" t="n">
        <v>2</v>
      </c>
      <c r="G1718" s="10" t="n">
        <v>279</v>
      </c>
      <c r="H1718" s="10" t="n">
        <f aca="false">F1718*G1718</f>
        <v>558</v>
      </c>
      <c r="I1718" s="6" t="s">
        <v>5122</v>
      </c>
    </row>
    <row r="1719" customFormat="false" ht="15" hidden="false" customHeight="false" outlineLevel="0" collapsed="false">
      <c r="A1719" s="6" t="s">
        <v>6941</v>
      </c>
      <c r="B1719" s="6" t="s">
        <v>1865</v>
      </c>
      <c r="C1719" s="26" t="n">
        <v>46084</v>
      </c>
      <c r="D1719" s="6" t="s">
        <v>5167</v>
      </c>
      <c r="E1719" s="6" t="s">
        <v>22</v>
      </c>
      <c r="F1719" s="6" t="n">
        <v>2</v>
      </c>
      <c r="G1719" s="10" t="n">
        <v>782</v>
      </c>
      <c r="H1719" s="10" t="n">
        <f aca="false">F1719*G1719</f>
        <v>1564</v>
      </c>
      <c r="I1719" s="6" t="s">
        <v>5148</v>
      </c>
    </row>
    <row r="1720" customFormat="false" ht="15" hidden="false" customHeight="false" outlineLevel="0" collapsed="false">
      <c r="A1720" s="6" t="s">
        <v>6942</v>
      </c>
      <c r="B1720" s="6" t="s">
        <v>3343</v>
      </c>
      <c r="C1720" s="26" t="n">
        <v>46084</v>
      </c>
      <c r="D1720" s="6" t="s">
        <v>5245</v>
      </c>
      <c r="E1720" s="6" t="s">
        <v>21</v>
      </c>
      <c r="F1720" s="6" t="n">
        <v>1</v>
      </c>
      <c r="G1720" s="10" t="n">
        <v>2456</v>
      </c>
      <c r="H1720" s="10" t="n">
        <f aca="false">F1720*G1720</f>
        <v>2456</v>
      </c>
      <c r="I1720" s="6" t="s">
        <v>5122</v>
      </c>
    </row>
    <row r="1721" customFormat="false" ht="15" hidden="false" customHeight="false" outlineLevel="0" collapsed="false">
      <c r="A1721" s="6" t="s">
        <v>6943</v>
      </c>
      <c r="B1721" s="6" t="s">
        <v>2691</v>
      </c>
      <c r="C1721" s="26" t="n">
        <v>46085</v>
      </c>
      <c r="D1721" s="6" t="s">
        <v>5762</v>
      </c>
      <c r="E1721" s="6" t="s">
        <v>22</v>
      </c>
      <c r="F1721" s="6" t="n">
        <v>3</v>
      </c>
      <c r="G1721" s="10" t="n">
        <v>3423</v>
      </c>
      <c r="H1721" s="10" t="n">
        <f aca="false">F1721*G1721</f>
        <v>10269</v>
      </c>
      <c r="I1721" s="6" t="s">
        <v>5130</v>
      </c>
    </row>
    <row r="1722" customFormat="false" ht="15" hidden="false" customHeight="false" outlineLevel="0" collapsed="false">
      <c r="A1722" s="6" t="s">
        <v>6944</v>
      </c>
      <c r="B1722" s="6" t="s">
        <v>1527</v>
      </c>
      <c r="C1722" s="26" t="n">
        <v>46085</v>
      </c>
      <c r="D1722" s="6" t="s">
        <v>5561</v>
      </c>
      <c r="E1722" s="6" t="s">
        <v>20</v>
      </c>
      <c r="F1722" s="6" t="n">
        <v>1</v>
      </c>
      <c r="G1722" s="10" t="n">
        <v>3364</v>
      </c>
      <c r="H1722" s="10" t="n">
        <f aca="false">F1722*G1722</f>
        <v>3364</v>
      </c>
      <c r="I1722" s="6" t="s">
        <v>5125</v>
      </c>
    </row>
    <row r="1723" customFormat="false" ht="15" hidden="false" customHeight="false" outlineLevel="0" collapsed="false">
      <c r="A1723" s="6" t="s">
        <v>6945</v>
      </c>
      <c r="B1723" s="6" t="s">
        <v>849</v>
      </c>
      <c r="C1723" s="26" t="n">
        <v>46085</v>
      </c>
      <c r="D1723" s="6" t="s">
        <v>5807</v>
      </c>
      <c r="E1723" s="6" t="s">
        <v>20</v>
      </c>
      <c r="F1723" s="6" t="n">
        <v>1</v>
      </c>
      <c r="G1723" s="10" t="n">
        <v>13766</v>
      </c>
      <c r="H1723" s="10" t="n">
        <f aca="false">F1723*G1723</f>
        <v>13766</v>
      </c>
      <c r="I1723" s="6" t="s">
        <v>5148</v>
      </c>
    </row>
    <row r="1724" customFormat="false" ht="15" hidden="false" customHeight="false" outlineLevel="0" collapsed="false">
      <c r="A1724" s="6" t="s">
        <v>6946</v>
      </c>
      <c r="B1724" s="6" t="s">
        <v>1053</v>
      </c>
      <c r="C1724" s="26" t="n">
        <v>46085</v>
      </c>
      <c r="D1724" s="6" t="s">
        <v>5192</v>
      </c>
      <c r="E1724" s="6" t="s">
        <v>20</v>
      </c>
      <c r="F1724" s="6" t="n">
        <v>1</v>
      </c>
      <c r="G1724" s="10" t="n">
        <v>3874</v>
      </c>
      <c r="H1724" s="10" t="n">
        <f aca="false">F1724*G1724</f>
        <v>3874</v>
      </c>
      <c r="I1724" s="6" t="s">
        <v>5133</v>
      </c>
    </row>
    <row r="1725" customFormat="false" ht="15" hidden="false" customHeight="false" outlineLevel="0" collapsed="false">
      <c r="A1725" s="6" t="s">
        <v>6947</v>
      </c>
      <c r="B1725" s="6" t="s">
        <v>2163</v>
      </c>
      <c r="C1725" s="26" t="n">
        <v>46085</v>
      </c>
      <c r="D1725" s="6" t="s">
        <v>5163</v>
      </c>
      <c r="E1725" s="6" t="s">
        <v>23</v>
      </c>
      <c r="F1725" s="6" t="n">
        <v>5</v>
      </c>
      <c r="G1725" s="10" t="n">
        <v>705</v>
      </c>
      <c r="H1725" s="10" t="n">
        <f aca="false">F1725*G1725</f>
        <v>3525</v>
      </c>
      <c r="I1725" s="6" t="s">
        <v>5148</v>
      </c>
    </row>
    <row r="1726" customFormat="false" ht="15" hidden="false" customHeight="false" outlineLevel="0" collapsed="false">
      <c r="A1726" s="6" t="s">
        <v>6948</v>
      </c>
      <c r="B1726" s="6" t="s">
        <v>1027</v>
      </c>
      <c r="C1726" s="26" t="n">
        <v>46085</v>
      </c>
      <c r="D1726" s="6" t="s">
        <v>5182</v>
      </c>
      <c r="E1726" s="6" t="s">
        <v>23</v>
      </c>
      <c r="F1726" s="6" t="n">
        <v>4</v>
      </c>
      <c r="G1726" s="10" t="n">
        <v>331</v>
      </c>
      <c r="H1726" s="10" t="n">
        <f aca="false">F1726*G1726</f>
        <v>1324</v>
      </c>
      <c r="I1726" s="6" t="s">
        <v>5125</v>
      </c>
    </row>
    <row r="1727" customFormat="false" ht="15" hidden="false" customHeight="false" outlineLevel="0" collapsed="false">
      <c r="A1727" s="6" t="s">
        <v>6949</v>
      </c>
      <c r="B1727" s="6" t="s">
        <v>3211</v>
      </c>
      <c r="C1727" s="26" t="n">
        <v>46085</v>
      </c>
      <c r="D1727" s="6" t="s">
        <v>5197</v>
      </c>
      <c r="E1727" s="6" t="s">
        <v>21</v>
      </c>
      <c r="F1727" s="6" t="n">
        <v>1</v>
      </c>
      <c r="G1727" s="10" t="n">
        <v>972</v>
      </c>
      <c r="H1727" s="10" t="n">
        <f aca="false">F1727*G1727</f>
        <v>972</v>
      </c>
      <c r="I1727" s="6" t="s">
        <v>5125</v>
      </c>
    </row>
    <row r="1728" customFormat="false" ht="15" hidden="false" customHeight="false" outlineLevel="0" collapsed="false">
      <c r="A1728" s="6" t="s">
        <v>6950</v>
      </c>
      <c r="B1728" s="6" t="s">
        <v>2721</v>
      </c>
      <c r="C1728" s="26" t="n">
        <v>46085</v>
      </c>
      <c r="D1728" s="6" t="s">
        <v>5357</v>
      </c>
      <c r="E1728" s="6" t="s">
        <v>23</v>
      </c>
      <c r="F1728" s="6" t="n">
        <v>3</v>
      </c>
      <c r="G1728" s="10" t="n">
        <v>534</v>
      </c>
      <c r="H1728" s="10" t="n">
        <f aca="false">F1728*G1728</f>
        <v>1602</v>
      </c>
      <c r="I1728" s="6" t="s">
        <v>5122</v>
      </c>
    </row>
    <row r="1729" customFormat="false" ht="15" hidden="false" customHeight="false" outlineLevel="0" collapsed="false">
      <c r="A1729" s="6" t="s">
        <v>6951</v>
      </c>
      <c r="B1729" s="6" t="s">
        <v>2445</v>
      </c>
      <c r="C1729" s="26" t="n">
        <v>46085</v>
      </c>
      <c r="D1729" s="6" t="s">
        <v>5182</v>
      </c>
      <c r="E1729" s="6" t="s">
        <v>23</v>
      </c>
      <c r="F1729" s="6" t="n">
        <v>1</v>
      </c>
      <c r="G1729" s="10" t="n">
        <v>367</v>
      </c>
      <c r="H1729" s="10" t="n">
        <f aca="false">F1729*G1729</f>
        <v>367</v>
      </c>
      <c r="I1729" s="6" t="s">
        <v>5130</v>
      </c>
    </row>
    <row r="1730" customFormat="false" ht="15" hidden="false" customHeight="false" outlineLevel="0" collapsed="false">
      <c r="A1730" s="6" t="s">
        <v>6952</v>
      </c>
      <c r="B1730" s="6" t="s">
        <v>332</v>
      </c>
      <c r="C1730" s="26" t="n">
        <v>46085</v>
      </c>
      <c r="D1730" s="6" t="s">
        <v>5127</v>
      </c>
      <c r="E1730" s="6" t="s">
        <v>21</v>
      </c>
      <c r="F1730" s="6" t="n">
        <v>1</v>
      </c>
      <c r="G1730" s="10" t="n">
        <v>839</v>
      </c>
      <c r="H1730" s="10" t="n">
        <f aca="false">F1730*G1730</f>
        <v>839</v>
      </c>
      <c r="I1730" s="6" t="s">
        <v>5130</v>
      </c>
    </row>
    <row r="1731" customFormat="false" ht="15" hidden="false" customHeight="false" outlineLevel="0" collapsed="false">
      <c r="A1731" s="6" t="s">
        <v>6953</v>
      </c>
      <c r="B1731" s="6" t="s">
        <v>356</v>
      </c>
      <c r="C1731" s="26" t="n">
        <v>46085</v>
      </c>
      <c r="D1731" s="6" t="s">
        <v>5127</v>
      </c>
      <c r="E1731" s="6" t="s">
        <v>21</v>
      </c>
      <c r="F1731" s="6" t="n">
        <v>1</v>
      </c>
      <c r="G1731" s="10" t="n">
        <v>795</v>
      </c>
      <c r="H1731" s="10" t="n">
        <f aca="false">F1731*G1731</f>
        <v>795</v>
      </c>
      <c r="I1731" s="6" t="s">
        <v>5130</v>
      </c>
    </row>
    <row r="1732" customFormat="false" ht="15" hidden="false" customHeight="false" outlineLevel="0" collapsed="false">
      <c r="A1732" s="6" t="s">
        <v>6954</v>
      </c>
      <c r="B1732" s="6" t="s">
        <v>3093</v>
      </c>
      <c r="C1732" s="26" t="n">
        <v>46085</v>
      </c>
      <c r="D1732" s="6" t="s">
        <v>5837</v>
      </c>
      <c r="E1732" s="6" t="s">
        <v>21</v>
      </c>
      <c r="F1732" s="6" t="n">
        <v>1</v>
      </c>
      <c r="G1732" s="10" t="n">
        <v>2653</v>
      </c>
      <c r="H1732" s="10" t="n">
        <f aca="false">F1732*G1732</f>
        <v>2653</v>
      </c>
      <c r="I1732" s="6" t="s">
        <v>5122</v>
      </c>
    </row>
    <row r="1733" customFormat="false" ht="15" hidden="false" customHeight="false" outlineLevel="0" collapsed="false">
      <c r="A1733" s="6" t="s">
        <v>6955</v>
      </c>
      <c r="B1733" s="6" t="s">
        <v>3789</v>
      </c>
      <c r="C1733" s="26" t="n">
        <v>46085</v>
      </c>
      <c r="D1733" s="6" t="s">
        <v>5143</v>
      </c>
      <c r="E1733" s="6" t="s">
        <v>21</v>
      </c>
      <c r="F1733" s="6" t="n">
        <v>1</v>
      </c>
      <c r="G1733" s="10" t="n">
        <v>1061</v>
      </c>
      <c r="H1733" s="10" t="n">
        <f aca="false">F1733*G1733</f>
        <v>1061</v>
      </c>
      <c r="I1733" s="6" t="s">
        <v>5130</v>
      </c>
    </row>
    <row r="1734" customFormat="false" ht="15" hidden="false" customHeight="false" outlineLevel="0" collapsed="false">
      <c r="A1734" s="6" t="s">
        <v>6956</v>
      </c>
      <c r="B1734" s="6" t="s">
        <v>2555</v>
      </c>
      <c r="C1734" s="26" t="n">
        <v>46085</v>
      </c>
      <c r="D1734" s="6" t="s">
        <v>5124</v>
      </c>
      <c r="E1734" s="6" t="s">
        <v>21</v>
      </c>
      <c r="F1734" s="6" t="n">
        <v>1</v>
      </c>
      <c r="G1734" s="10" t="n">
        <v>3095</v>
      </c>
      <c r="H1734" s="10" t="n">
        <f aca="false">F1734*G1734</f>
        <v>3095</v>
      </c>
      <c r="I1734" s="6" t="s">
        <v>5122</v>
      </c>
    </row>
    <row r="1735" customFormat="false" ht="15" hidden="false" customHeight="false" outlineLevel="0" collapsed="false">
      <c r="A1735" s="6" t="s">
        <v>6957</v>
      </c>
      <c r="B1735" s="6" t="s">
        <v>4495</v>
      </c>
      <c r="C1735" s="26" t="n">
        <v>46085</v>
      </c>
      <c r="D1735" s="6" t="s">
        <v>5145</v>
      </c>
      <c r="E1735" s="6" t="s">
        <v>21</v>
      </c>
      <c r="F1735" s="6" t="n">
        <v>1</v>
      </c>
      <c r="G1735" s="10" t="n">
        <v>1213</v>
      </c>
      <c r="H1735" s="10" t="n">
        <f aca="false">F1735*G1735</f>
        <v>1213</v>
      </c>
      <c r="I1735" s="6" t="s">
        <v>5122</v>
      </c>
    </row>
    <row r="1736" customFormat="false" ht="15" hidden="false" customHeight="false" outlineLevel="0" collapsed="false">
      <c r="A1736" s="6" t="s">
        <v>6958</v>
      </c>
      <c r="B1736" s="6" t="s">
        <v>3721</v>
      </c>
      <c r="C1736" s="26" t="n">
        <v>46085</v>
      </c>
      <c r="D1736" s="6" t="s">
        <v>5303</v>
      </c>
      <c r="E1736" s="6" t="s">
        <v>22</v>
      </c>
      <c r="F1736" s="6" t="n">
        <v>1</v>
      </c>
      <c r="G1736" s="10" t="n">
        <v>2445</v>
      </c>
      <c r="H1736" s="10" t="n">
        <f aca="false">F1736*G1736</f>
        <v>2445</v>
      </c>
      <c r="I1736" s="6" t="s">
        <v>5130</v>
      </c>
    </row>
    <row r="1737" customFormat="false" ht="15" hidden="false" customHeight="false" outlineLevel="0" collapsed="false">
      <c r="A1737" s="6" t="s">
        <v>6959</v>
      </c>
      <c r="B1737" s="6" t="s">
        <v>907</v>
      </c>
      <c r="C1737" s="26" t="n">
        <v>46085</v>
      </c>
      <c r="D1737" s="6" t="s">
        <v>5216</v>
      </c>
      <c r="E1737" s="6" t="s">
        <v>23</v>
      </c>
      <c r="F1737" s="6" t="n">
        <v>2</v>
      </c>
      <c r="G1737" s="10" t="n">
        <v>528</v>
      </c>
      <c r="H1737" s="10" t="n">
        <f aca="false">F1737*G1737</f>
        <v>1056</v>
      </c>
      <c r="I1737" s="6" t="s">
        <v>5133</v>
      </c>
    </row>
    <row r="1738" customFormat="false" ht="15" hidden="false" customHeight="false" outlineLevel="0" collapsed="false">
      <c r="A1738" s="6" t="s">
        <v>6960</v>
      </c>
      <c r="B1738" s="6" t="s">
        <v>1331</v>
      </c>
      <c r="C1738" s="26" t="n">
        <v>46085</v>
      </c>
      <c r="D1738" s="6" t="s">
        <v>5242</v>
      </c>
      <c r="E1738" s="6" t="s">
        <v>23</v>
      </c>
      <c r="F1738" s="6" t="n">
        <v>5</v>
      </c>
      <c r="G1738" s="10" t="n">
        <v>335</v>
      </c>
      <c r="H1738" s="10" t="n">
        <f aca="false">F1738*G1738</f>
        <v>1675</v>
      </c>
      <c r="I1738" s="6" t="s">
        <v>5125</v>
      </c>
    </row>
    <row r="1739" customFormat="false" ht="15" hidden="false" customHeight="false" outlineLevel="0" collapsed="false">
      <c r="A1739" s="6" t="s">
        <v>6961</v>
      </c>
      <c r="B1739" s="6" t="s">
        <v>1863</v>
      </c>
      <c r="C1739" s="26" t="n">
        <v>46085</v>
      </c>
      <c r="D1739" s="6" t="s">
        <v>5281</v>
      </c>
      <c r="E1739" s="6" t="s">
        <v>24</v>
      </c>
      <c r="F1739" s="6" t="n">
        <v>1</v>
      </c>
      <c r="G1739" s="10" t="n">
        <v>773</v>
      </c>
      <c r="H1739" s="10" t="n">
        <f aca="false">F1739*G1739</f>
        <v>773</v>
      </c>
      <c r="I1739" s="6" t="s">
        <v>5173</v>
      </c>
    </row>
    <row r="1740" customFormat="false" ht="15" hidden="false" customHeight="false" outlineLevel="0" collapsed="false">
      <c r="A1740" s="6" t="s">
        <v>6962</v>
      </c>
      <c r="B1740" s="6" t="s">
        <v>4307</v>
      </c>
      <c r="C1740" s="26" t="n">
        <v>46085</v>
      </c>
      <c r="D1740" s="6" t="s">
        <v>5460</v>
      </c>
      <c r="E1740" s="6" t="s">
        <v>24</v>
      </c>
      <c r="F1740" s="6" t="n">
        <v>1</v>
      </c>
      <c r="G1740" s="10" t="n">
        <v>555</v>
      </c>
      <c r="H1740" s="10" t="n">
        <f aca="false">F1740*G1740</f>
        <v>555</v>
      </c>
      <c r="I1740" s="6" t="s">
        <v>5122</v>
      </c>
    </row>
    <row r="1741" customFormat="false" ht="15" hidden="false" customHeight="false" outlineLevel="0" collapsed="false">
      <c r="A1741" s="6" t="s">
        <v>6963</v>
      </c>
      <c r="B1741" s="6" t="s">
        <v>4503</v>
      </c>
      <c r="C1741" s="26" t="n">
        <v>46085</v>
      </c>
      <c r="D1741" s="6" t="s">
        <v>5188</v>
      </c>
      <c r="E1741" s="6" t="s">
        <v>24</v>
      </c>
      <c r="F1741" s="6" t="n">
        <v>1</v>
      </c>
      <c r="G1741" s="10" t="n">
        <v>917</v>
      </c>
      <c r="H1741" s="10" t="n">
        <f aca="false">F1741*G1741</f>
        <v>917</v>
      </c>
      <c r="I1741" s="6" t="s">
        <v>5122</v>
      </c>
    </row>
    <row r="1742" customFormat="false" ht="15" hidden="false" customHeight="false" outlineLevel="0" collapsed="false">
      <c r="A1742" s="6" t="s">
        <v>6964</v>
      </c>
      <c r="B1742" s="6" t="s">
        <v>803</v>
      </c>
      <c r="C1742" s="26" t="n">
        <v>46085</v>
      </c>
      <c r="D1742" s="6" t="s">
        <v>5269</v>
      </c>
      <c r="E1742" s="6" t="s">
        <v>22</v>
      </c>
      <c r="F1742" s="6" t="n">
        <v>1</v>
      </c>
      <c r="G1742" s="10" t="n">
        <v>1271</v>
      </c>
      <c r="H1742" s="10" t="n">
        <f aca="false">F1742*G1742</f>
        <v>1271</v>
      </c>
      <c r="I1742" s="6" t="s">
        <v>5122</v>
      </c>
    </row>
    <row r="1743" customFormat="false" ht="15" hidden="false" customHeight="false" outlineLevel="0" collapsed="false">
      <c r="A1743" s="6" t="s">
        <v>6965</v>
      </c>
      <c r="B1743" s="6" t="s">
        <v>3189</v>
      </c>
      <c r="C1743" s="26" t="n">
        <v>46085</v>
      </c>
      <c r="D1743" s="6" t="s">
        <v>5318</v>
      </c>
      <c r="E1743" s="6" t="s">
        <v>20</v>
      </c>
      <c r="F1743" s="6" t="n">
        <v>1</v>
      </c>
      <c r="G1743" s="10" t="n">
        <v>1529</v>
      </c>
      <c r="H1743" s="10" t="n">
        <f aca="false">F1743*G1743</f>
        <v>1529</v>
      </c>
      <c r="I1743" s="6" t="s">
        <v>5122</v>
      </c>
    </row>
    <row r="1744" customFormat="false" ht="15" hidden="false" customHeight="false" outlineLevel="0" collapsed="false">
      <c r="A1744" s="6" t="s">
        <v>6966</v>
      </c>
      <c r="B1744" s="6" t="s">
        <v>4843</v>
      </c>
      <c r="C1744" s="26" t="n">
        <v>46085</v>
      </c>
      <c r="D1744" s="6" t="s">
        <v>5139</v>
      </c>
      <c r="E1744" s="6" t="s">
        <v>23</v>
      </c>
      <c r="F1744" s="6" t="n">
        <v>4</v>
      </c>
      <c r="G1744" s="10" t="n">
        <v>265</v>
      </c>
      <c r="H1744" s="10" t="n">
        <f aca="false">F1744*G1744</f>
        <v>1060</v>
      </c>
      <c r="I1744" s="6" t="s">
        <v>5122</v>
      </c>
    </row>
    <row r="1745" customFormat="false" ht="15" hidden="false" customHeight="false" outlineLevel="0" collapsed="false">
      <c r="A1745" s="6" t="s">
        <v>6967</v>
      </c>
      <c r="B1745" s="6" t="s">
        <v>2483</v>
      </c>
      <c r="C1745" s="26" t="n">
        <v>46085</v>
      </c>
      <c r="D1745" s="6" t="s">
        <v>5224</v>
      </c>
      <c r="E1745" s="6" t="s">
        <v>23</v>
      </c>
      <c r="F1745" s="6" t="n">
        <v>2</v>
      </c>
      <c r="G1745" s="10" t="n">
        <v>195</v>
      </c>
      <c r="H1745" s="10" t="n">
        <f aca="false">F1745*G1745</f>
        <v>390</v>
      </c>
      <c r="I1745" s="6" t="s">
        <v>5122</v>
      </c>
    </row>
    <row r="1746" customFormat="false" ht="15" hidden="false" customHeight="false" outlineLevel="0" collapsed="false">
      <c r="A1746" s="6" t="s">
        <v>6968</v>
      </c>
      <c r="B1746" s="6" t="s">
        <v>2629</v>
      </c>
      <c r="C1746" s="26" t="n">
        <v>46085</v>
      </c>
      <c r="D1746" s="6" t="s">
        <v>5410</v>
      </c>
      <c r="E1746" s="6" t="s">
        <v>20</v>
      </c>
      <c r="F1746" s="6" t="n">
        <v>1</v>
      </c>
      <c r="G1746" s="10" t="n">
        <v>2294</v>
      </c>
      <c r="H1746" s="10" t="n">
        <f aca="false">F1746*G1746</f>
        <v>2294</v>
      </c>
      <c r="I1746" s="6" t="s">
        <v>5133</v>
      </c>
    </row>
    <row r="1747" customFormat="false" ht="15" hidden="false" customHeight="false" outlineLevel="0" collapsed="false">
      <c r="A1747" s="6" t="s">
        <v>6969</v>
      </c>
      <c r="B1747" s="6" t="s">
        <v>1289</v>
      </c>
      <c r="C1747" s="26" t="n">
        <v>46086</v>
      </c>
      <c r="D1747" s="6" t="s">
        <v>5216</v>
      </c>
      <c r="E1747" s="6" t="s">
        <v>23</v>
      </c>
      <c r="F1747" s="6" t="n">
        <v>1</v>
      </c>
      <c r="G1747" s="10" t="n">
        <v>587</v>
      </c>
      <c r="H1747" s="10" t="n">
        <f aca="false">F1747*G1747</f>
        <v>587</v>
      </c>
      <c r="I1747" s="6" t="s">
        <v>5125</v>
      </c>
    </row>
    <row r="1748" customFormat="false" ht="15" hidden="false" customHeight="false" outlineLevel="0" collapsed="false">
      <c r="A1748" s="6" t="s">
        <v>6970</v>
      </c>
      <c r="B1748" s="6" t="s">
        <v>4625</v>
      </c>
      <c r="C1748" s="26" t="n">
        <v>46086</v>
      </c>
      <c r="D1748" s="6" t="s">
        <v>5235</v>
      </c>
      <c r="E1748" s="6" t="s">
        <v>21</v>
      </c>
      <c r="F1748" s="6" t="n">
        <v>1</v>
      </c>
      <c r="G1748" s="10" t="n">
        <v>1503</v>
      </c>
      <c r="H1748" s="10" t="n">
        <f aca="false">F1748*G1748</f>
        <v>1503</v>
      </c>
      <c r="I1748" s="6" t="s">
        <v>5122</v>
      </c>
    </row>
    <row r="1749" customFormat="false" ht="15" hidden="false" customHeight="false" outlineLevel="0" collapsed="false">
      <c r="A1749" s="6" t="s">
        <v>6971</v>
      </c>
      <c r="B1749" s="6" t="s">
        <v>1645</v>
      </c>
      <c r="C1749" s="26" t="n">
        <v>46086</v>
      </c>
      <c r="D1749" s="6" t="s">
        <v>5167</v>
      </c>
      <c r="E1749" s="6" t="s">
        <v>22</v>
      </c>
      <c r="F1749" s="6" t="n">
        <v>2</v>
      </c>
      <c r="G1749" s="10" t="n">
        <v>743</v>
      </c>
      <c r="H1749" s="10" t="n">
        <f aca="false">F1749*G1749</f>
        <v>1486</v>
      </c>
      <c r="I1749" s="6" t="s">
        <v>5148</v>
      </c>
    </row>
    <row r="1750" customFormat="false" ht="15" hidden="false" customHeight="false" outlineLevel="0" collapsed="false">
      <c r="A1750" s="6" t="s">
        <v>6972</v>
      </c>
      <c r="B1750" s="6" t="s">
        <v>4605</v>
      </c>
      <c r="C1750" s="26" t="n">
        <v>46086</v>
      </c>
      <c r="D1750" s="6" t="s">
        <v>5837</v>
      </c>
      <c r="E1750" s="6" t="s">
        <v>21</v>
      </c>
      <c r="F1750" s="6" t="n">
        <v>1</v>
      </c>
      <c r="G1750" s="10" t="n">
        <v>2949</v>
      </c>
      <c r="H1750" s="10" t="n">
        <f aca="false">F1750*G1750</f>
        <v>2949</v>
      </c>
      <c r="I1750" s="6" t="s">
        <v>5122</v>
      </c>
    </row>
    <row r="1751" customFormat="false" ht="15" hidden="false" customHeight="false" outlineLevel="0" collapsed="false">
      <c r="A1751" s="6" t="s">
        <v>6973</v>
      </c>
      <c r="B1751" s="6" t="s">
        <v>408</v>
      </c>
      <c r="C1751" s="26" t="n">
        <v>46086</v>
      </c>
      <c r="D1751" s="6" t="s">
        <v>5216</v>
      </c>
      <c r="E1751" s="6" t="s">
        <v>23</v>
      </c>
      <c r="F1751" s="6" t="n">
        <v>3</v>
      </c>
      <c r="G1751" s="10" t="n">
        <v>587</v>
      </c>
      <c r="H1751" s="10" t="n">
        <f aca="false">F1751*G1751</f>
        <v>1761</v>
      </c>
      <c r="I1751" s="6" t="s">
        <v>5125</v>
      </c>
    </row>
    <row r="1752" customFormat="false" ht="15" hidden="false" customHeight="false" outlineLevel="0" collapsed="false">
      <c r="A1752" s="6" t="s">
        <v>6974</v>
      </c>
      <c r="B1752" s="6" t="s">
        <v>3093</v>
      </c>
      <c r="C1752" s="26" t="n">
        <v>46086</v>
      </c>
      <c r="D1752" s="6" t="s">
        <v>5121</v>
      </c>
      <c r="E1752" s="6" t="s">
        <v>22</v>
      </c>
      <c r="F1752" s="6" t="n">
        <v>3</v>
      </c>
      <c r="G1752" s="10" t="n">
        <v>928</v>
      </c>
      <c r="H1752" s="10" t="n">
        <f aca="false">F1752*G1752</f>
        <v>2784</v>
      </c>
      <c r="I1752" s="6" t="s">
        <v>5122</v>
      </c>
    </row>
    <row r="1753" customFormat="false" ht="15" hidden="false" customHeight="false" outlineLevel="0" collapsed="false">
      <c r="A1753" s="6" t="s">
        <v>6975</v>
      </c>
      <c r="B1753" s="6" t="s">
        <v>3399</v>
      </c>
      <c r="C1753" s="26" t="n">
        <v>46086</v>
      </c>
      <c r="D1753" s="6" t="s">
        <v>5163</v>
      </c>
      <c r="E1753" s="6" t="s">
        <v>23</v>
      </c>
      <c r="F1753" s="6" t="n">
        <v>4</v>
      </c>
      <c r="G1753" s="10" t="n">
        <v>744</v>
      </c>
      <c r="H1753" s="10" t="n">
        <f aca="false">F1753*G1753</f>
        <v>2976</v>
      </c>
      <c r="I1753" s="6" t="s">
        <v>5122</v>
      </c>
    </row>
    <row r="1754" customFormat="false" ht="15" hidden="false" customHeight="false" outlineLevel="0" collapsed="false">
      <c r="A1754" s="6" t="s">
        <v>6976</v>
      </c>
      <c r="B1754" s="6" t="s">
        <v>2949</v>
      </c>
      <c r="C1754" s="26" t="n">
        <v>46086</v>
      </c>
      <c r="D1754" s="6" t="s">
        <v>5167</v>
      </c>
      <c r="E1754" s="6" t="s">
        <v>22</v>
      </c>
      <c r="F1754" s="6" t="n">
        <v>3</v>
      </c>
      <c r="G1754" s="10" t="n">
        <v>782</v>
      </c>
      <c r="H1754" s="10" t="n">
        <f aca="false">F1754*G1754</f>
        <v>2346</v>
      </c>
      <c r="I1754" s="6" t="s">
        <v>5122</v>
      </c>
    </row>
    <row r="1755" customFormat="false" ht="15" hidden="false" customHeight="false" outlineLevel="0" collapsed="false">
      <c r="A1755" s="6" t="s">
        <v>6977</v>
      </c>
      <c r="B1755" s="6" t="s">
        <v>3961</v>
      </c>
      <c r="C1755" s="26" t="n">
        <v>46086</v>
      </c>
      <c r="D1755" s="6" t="s">
        <v>5538</v>
      </c>
      <c r="E1755" s="6" t="s">
        <v>21</v>
      </c>
      <c r="F1755" s="6" t="n">
        <v>1</v>
      </c>
      <c r="G1755" s="10" t="n">
        <v>5135</v>
      </c>
      <c r="H1755" s="10" t="n">
        <f aca="false">F1755*G1755</f>
        <v>5135</v>
      </c>
      <c r="I1755" s="6" t="s">
        <v>5122</v>
      </c>
    </row>
    <row r="1756" customFormat="false" ht="15" hidden="false" customHeight="false" outlineLevel="0" collapsed="false">
      <c r="A1756" s="6" t="s">
        <v>6978</v>
      </c>
      <c r="B1756" s="6" t="s">
        <v>3939</v>
      </c>
      <c r="C1756" s="26" t="n">
        <v>46086</v>
      </c>
      <c r="D1756" s="6" t="s">
        <v>5197</v>
      </c>
      <c r="E1756" s="6" t="s">
        <v>21</v>
      </c>
      <c r="F1756" s="6" t="n">
        <v>1</v>
      </c>
      <c r="G1756" s="10" t="n">
        <v>1080</v>
      </c>
      <c r="H1756" s="10" t="n">
        <f aca="false">F1756*G1756</f>
        <v>1080</v>
      </c>
      <c r="I1756" s="6" t="s">
        <v>5122</v>
      </c>
    </row>
    <row r="1757" customFormat="false" ht="15" hidden="false" customHeight="false" outlineLevel="0" collapsed="false">
      <c r="A1757" s="6" t="s">
        <v>6979</v>
      </c>
      <c r="B1757" s="6" t="s">
        <v>4755</v>
      </c>
      <c r="C1757" s="26" t="n">
        <v>46086</v>
      </c>
      <c r="D1757" s="6" t="s">
        <v>5749</v>
      </c>
      <c r="E1757" s="6" t="s">
        <v>20</v>
      </c>
      <c r="F1757" s="6" t="n">
        <v>1</v>
      </c>
      <c r="G1757" s="10" t="n">
        <v>733</v>
      </c>
      <c r="H1757" s="10" t="n">
        <f aca="false">F1757*G1757</f>
        <v>733</v>
      </c>
      <c r="I1757" s="6" t="s">
        <v>5122</v>
      </c>
    </row>
    <row r="1758" customFormat="false" ht="15" hidden="false" customHeight="false" outlineLevel="0" collapsed="false">
      <c r="A1758" s="6" t="s">
        <v>6980</v>
      </c>
      <c r="B1758" s="6" t="s">
        <v>2809</v>
      </c>
      <c r="C1758" s="26" t="n">
        <v>46086</v>
      </c>
      <c r="D1758" s="6" t="s">
        <v>5357</v>
      </c>
      <c r="E1758" s="6" t="s">
        <v>23</v>
      </c>
      <c r="F1758" s="6" t="n">
        <v>3</v>
      </c>
      <c r="G1758" s="10" t="n">
        <v>534</v>
      </c>
      <c r="H1758" s="10" t="n">
        <f aca="false">F1758*G1758</f>
        <v>1602</v>
      </c>
      <c r="I1758" s="6" t="s">
        <v>5148</v>
      </c>
    </row>
    <row r="1759" customFormat="false" ht="15" hidden="false" customHeight="false" outlineLevel="0" collapsed="false">
      <c r="A1759" s="6" t="s">
        <v>6981</v>
      </c>
      <c r="B1759" s="6" t="s">
        <v>4739</v>
      </c>
      <c r="C1759" s="26" t="n">
        <v>46086</v>
      </c>
      <c r="D1759" s="6" t="s">
        <v>5167</v>
      </c>
      <c r="E1759" s="6" t="s">
        <v>22</v>
      </c>
      <c r="F1759" s="6" t="n">
        <v>3</v>
      </c>
      <c r="G1759" s="10" t="n">
        <v>782</v>
      </c>
      <c r="H1759" s="10" t="n">
        <f aca="false">F1759*G1759</f>
        <v>2346</v>
      </c>
      <c r="I1759" s="6" t="s">
        <v>5122</v>
      </c>
    </row>
    <row r="1760" customFormat="false" ht="15" hidden="false" customHeight="false" outlineLevel="0" collapsed="false">
      <c r="A1760" s="6" t="s">
        <v>6982</v>
      </c>
      <c r="B1760" s="6" t="s">
        <v>3285</v>
      </c>
      <c r="C1760" s="26" t="n">
        <v>46086</v>
      </c>
      <c r="D1760" s="6" t="s">
        <v>5129</v>
      </c>
      <c r="E1760" s="6" t="s">
        <v>21</v>
      </c>
      <c r="F1760" s="6" t="n">
        <v>1</v>
      </c>
      <c r="G1760" s="10" t="n">
        <v>589</v>
      </c>
      <c r="H1760" s="10" t="n">
        <f aca="false">F1760*G1760</f>
        <v>589</v>
      </c>
      <c r="I1760" s="6" t="s">
        <v>5122</v>
      </c>
    </row>
    <row r="1761" customFormat="false" ht="15" hidden="false" customHeight="false" outlineLevel="0" collapsed="false">
      <c r="A1761" s="6" t="s">
        <v>6983</v>
      </c>
      <c r="B1761" s="6" t="s">
        <v>683</v>
      </c>
      <c r="C1761" s="26" t="n">
        <v>46086</v>
      </c>
      <c r="D1761" s="6" t="s">
        <v>5313</v>
      </c>
      <c r="E1761" s="6" t="s">
        <v>22</v>
      </c>
      <c r="F1761" s="6" t="n">
        <v>2</v>
      </c>
      <c r="G1761" s="10" t="n">
        <v>1760</v>
      </c>
      <c r="H1761" s="10" t="n">
        <f aca="false">F1761*G1761</f>
        <v>3520</v>
      </c>
      <c r="I1761" s="6" t="s">
        <v>5122</v>
      </c>
    </row>
    <row r="1762" customFormat="false" ht="15" hidden="false" customHeight="false" outlineLevel="0" collapsed="false">
      <c r="A1762" s="6" t="s">
        <v>6984</v>
      </c>
      <c r="B1762" s="6" t="s">
        <v>1577</v>
      </c>
      <c r="C1762" s="26" t="n">
        <v>46086</v>
      </c>
      <c r="D1762" s="6" t="s">
        <v>6114</v>
      </c>
      <c r="E1762" s="6" t="s">
        <v>20</v>
      </c>
      <c r="F1762" s="6" t="n">
        <v>1</v>
      </c>
      <c r="G1762" s="10" t="n">
        <v>12593</v>
      </c>
      <c r="H1762" s="10" t="n">
        <f aca="false">F1762*G1762</f>
        <v>12593</v>
      </c>
      <c r="I1762" s="6" t="s">
        <v>5122</v>
      </c>
    </row>
    <row r="1763" customFormat="false" ht="15" hidden="false" customHeight="false" outlineLevel="0" collapsed="false">
      <c r="A1763" s="6" t="s">
        <v>6985</v>
      </c>
      <c r="B1763" s="6" t="s">
        <v>2781</v>
      </c>
      <c r="C1763" s="26" t="n">
        <v>46086</v>
      </c>
      <c r="D1763" s="6" t="s">
        <v>5410</v>
      </c>
      <c r="E1763" s="6" t="s">
        <v>20</v>
      </c>
      <c r="F1763" s="6" t="n">
        <v>1</v>
      </c>
      <c r="G1763" s="10" t="n">
        <v>2421</v>
      </c>
      <c r="H1763" s="10" t="n">
        <f aca="false">F1763*G1763</f>
        <v>2421</v>
      </c>
      <c r="I1763" s="6" t="s">
        <v>5130</v>
      </c>
    </row>
    <row r="1764" customFormat="false" ht="15" hidden="false" customHeight="false" outlineLevel="0" collapsed="false">
      <c r="A1764" s="6" t="s">
        <v>6986</v>
      </c>
      <c r="B1764" s="6" t="s">
        <v>735</v>
      </c>
      <c r="C1764" s="26" t="n">
        <v>46086</v>
      </c>
      <c r="D1764" s="6" t="s">
        <v>5167</v>
      </c>
      <c r="E1764" s="6" t="s">
        <v>22</v>
      </c>
      <c r="F1764" s="6" t="n">
        <v>2</v>
      </c>
      <c r="G1764" s="10" t="n">
        <v>743</v>
      </c>
      <c r="H1764" s="10" t="n">
        <f aca="false">F1764*G1764</f>
        <v>1486</v>
      </c>
      <c r="I1764" s="6" t="s">
        <v>5130</v>
      </c>
    </row>
    <row r="1765" customFormat="false" ht="15" hidden="false" customHeight="false" outlineLevel="0" collapsed="false">
      <c r="A1765" s="6" t="s">
        <v>6987</v>
      </c>
      <c r="B1765" s="6" t="s">
        <v>2991</v>
      </c>
      <c r="C1765" s="26" t="n">
        <v>46086</v>
      </c>
      <c r="D1765" s="6" t="s">
        <v>5141</v>
      </c>
      <c r="E1765" s="6" t="s">
        <v>20</v>
      </c>
      <c r="F1765" s="6" t="n">
        <v>1</v>
      </c>
      <c r="G1765" s="10" t="n">
        <v>1651</v>
      </c>
      <c r="H1765" s="10" t="n">
        <f aca="false">F1765*G1765</f>
        <v>1651</v>
      </c>
      <c r="I1765" s="6" t="s">
        <v>5122</v>
      </c>
    </row>
    <row r="1766" customFormat="false" ht="15" hidden="false" customHeight="false" outlineLevel="0" collapsed="false">
      <c r="A1766" s="6" t="s">
        <v>6988</v>
      </c>
      <c r="B1766" s="6" t="s">
        <v>4173</v>
      </c>
      <c r="C1766" s="26" t="n">
        <v>46086</v>
      </c>
      <c r="D1766" s="6" t="s">
        <v>5357</v>
      </c>
      <c r="E1766" s="6" t="s">
        <v>23</v>
      </c>
      <c r="F1766" s="6" t="n">
        <v>1</v>
      </c>
      <c r="G1766" s="10" t="n">
        <v>507</v>
      </c>
      <c r="H1766" s="10" t="n">
        <f aca="false">F1766*G1766</f>
        <v>507</v>
      </c>
      <c r="I1766" s="6" t="s">
        <v>5122</v>
      </c>
    </row>
    <row r="1767" customFormat="false" ht="15" hidden="false" customHeight="false" outlineLevel="0" collapsed="false">
      <c r="A1767" s="6" t="s">
        <v>6989</v>
      </c>
      <c r="B1767" s="6" t="s">
        <v>3109</v>
      </c>
      <c r="C1767" s="26" t="n">
        <v>46086</v>
      </c>
      <c r="D1767" s="6" t="s">
        <v>5175</v>
      </c>
      <c r="E1767" s="6" t="s">
        <v>24</v>
      </c>
      <c r="F1767" s="6" t="n">
        <v>1</v>
      </c>
      <c r="G1767" s="10" t="n">
        <v>610</v>
      </c>
      <c r="H1767" s="10" t="n">
        <f aca="false">F1767*G1767</f>
        <v>610</v>
      </c>
      <c r="I1767" s="6" t="s">
        <v>5122</v>
      </c>
    </row>
    <row r="1768" customFormat="false" ht="15" hidden="false" customHeight="false" outlineLevel="0" collapsed="false">
      <c r="A1768" s="6" t="s">
        <v>6990</v>
      </c>
      <c r="B1768" s="6" t="s">
        <v>4269</v>
      </c>
      <c r="C1768" s="26" t="n">
        <v>46086</v>
      </c>
      <c r="D1768" s="6" t="s">
        <v>5460</v>
      </c>
      <c r="E1768" s="6" t="s">
        <v>24</v>
      </c>
      <c r="F1768" s="6" t="n">
        <v>2</v>
      </c>
      <c r="G1768" s="10" t="n">
        <v>500</v>
      </c>
      <c r="H1768" s="10" t="n">
        <f aca="false">F1768*G1768</f>
        <v>1000</v>
      </c>
      <c r="I1768" s="6" t="s">
        <v>5125</v>
      </c>
    </row>
    <row r="1769" customFormat="false" ht="15" hidden="false" customHeight="false" outlineLevel="0" collapsed="false">
      <c r="A1769" s="6" t="s">
        <v>6991</v>
      </c>
      <c r="B1769" s="6" t="s">
        <v>703</v>
      </c>
      <c r="C1769" s="26" t="n">
        <v>46086</v>
      </c>
      <c r="D1769" s="6" t="s">
        <v>5182</v>
      </c>
      <c r="E1769" s="6" t="s">
        <v>23</v>
      </c>
      <c r="F1769" s="6" t="n">
        <v>2</v>
      </c>
      <c r="G1769" s="10" t="n">
        <v>331</v>
      </c>
      <c r="H1769" s="10" t="n">
        <f aca="false">F1769*G1769</f>
        <v>662</v>
      </c>
      <c r="I1769" s="6" t="s">
        <v>5122</v>
      </c>
    </row>
    <row r="1770" customFormat="false" ht="15" hidden="false" customHeight="false" outlineLevel="0" collapsed="false">
      <c r="A1770" s="6" t="s">
        <v>6992</v>
      </c>
      <c r="B1770" s="6" t="s">
        <v>1673</v>
      </c>
      <c r="C1770" s="26" t="n">
        <v>46086</v>
      </c>
      <c r="D1770" s="6" t="s">
        <v>5398</v>
      </c>
      <c r="E1770" s="6" t="s">
        <v>24</v>
      </c>
      <c r="F1770" s="6" t="n">
        <v>1</v>
      </c>
      <c r="G1770" s="10" t="n">
        <v>581</v>
      </c>
      <c r="H1770" s="10" t="n">
        <f aca="false">F1770*G1770</f>
        <v>581</v>
      </c>
      <c r="I1770" s="6" t="s">
        <v>5122</v>
      </c>
    </row>
    <row r="1771" customFormat="false" ht="15" hidden="false" customHeight="false" outlineLevel="0" collapsed="false">
      <c r="A1771" s="6" t="s">
        <v>6993</v>
      </c>
      <c r="B1771" s="6" t="s">
        <v>3543</v>
      </c>
      <c r="C1771" s="26" t="n">
        <v>46086</v>
      </c>
      <c r="D1771" s="6" t="s">
        <v>5292</v>
      </c>
      <c r="E1771" s="6" t="s">
        <v>21</v>
      </c>
      <c r="F1771" s="6" t="n">
        <v>1</v>
      </c>
      <c r="G1771" s="10" t="n">
        <v>6880</v>
      </c>
      <c r="H1771" s="10" t="n">
        <f aca="false">F1771*G1771</f>
        <v>6880</v>
      </c>
      <c r="I1771" s="6" t="s">
        <v>5122</v>
      </c>
    </row>
    <row r="1772" customFormat="false" ht="15" hidden="false" customHeight="false" outlineLevel="0" collapsed="false">
      <c r="A1772" s="6" t="s">
        <v>6994</v>
      </c>
      <c r="B1772" s="6" t="s">
        <v>4977</v>
      </c>
      <c r="C1772" s="26" t="n">
        <v>46086</v>
      </c>
      <c r="D1772" s="6" t="s">
        <v>5127</v>
      </c>
      <c r="E1772" s="6" t="s">
        <v>21</v>
      </c>
      <c r="F1772" s="6" t="n">
        <v>1</v>
      </c>
      <c r="G1772" s="10" t="n">
        <v>884</v>
      </c>
      <c r="H1772" s="10" t="n">
        <f aca="false">F1772*G1772</f>
        <v>884</v>
      </c>
      <c r="I1772" s="6" t="s">
        <v>5148</v>
      </c>
    </row>
    <row r="1773" customFormat="false" ht="15" hidden="false" customHeight="false" outlineLevel="0" collapsed="false">
      <c r="A1773" s="6" t="s">
        <v>6995</v>
      </c>
      <c r="B1773" s="6" t="s">
        <v>3713</v>
      </c>
      <c r="C1773" s="26" t="n">
        <v>46086</v>
      </c>
      <c r="D1773" s="6" t="s">
        <v>5167</v>
      </c>
      <c r="E1773" s="6" t="s">
        <v>22</v>
      </c>
      <c r="F1773" s="6" t="n">
        <v>4</v>
      </c>
      <c r="G1773" s="10" t="n">
        <v>782</v>
      </c>
      <c r="H1773" s="10" t="n">
        <f aca="false">F1773*G1773</f>
        <v>3128</v>
      </c>
      <c r="I1773" s="6" t="s">
        <v>5130</v>
      </c>
    </row>
    <row r="1774" customFormat="false" ht="15" hidden="false" customHeight="false" outlineLevel="0" collapsed="false">
      <c r="A1774" s="6" t="s">
        <v>6996</v>
      </c>
      <c r="B1774" s="6" t="s">
        <v>4601</v>
      </c>
      <c r="C1774" s="26" t="n">
        <v>46086</v>
      </c>
      <c r="D1774" s="6" t="s">
        <v>5165</v>
      </c>
      <c r="E1774" s="6" t="s">
        <v>22</v>
      </c>
      <c r="F1774" s="6" t="n">
        <v>1</v>
      </c>
      <c r="G1774" s="10" t="n">
        <v>977</v>
      </c>
      <c r="H1774" s="10" t="n">
        <f aca="false">F1774*G1774</f>
        <v>977</v>
      </c>
      <c r="I1774" s="6" t="s">
        <v>5148</v>
      </c>
    </row>
    <row r="1775" customFormat="false" ht="15" hidden="false" customHeight="false" outlineLevel="0" collapsed="false">
      <c r="A1775" s="6" t="s">
        <v>6997</v>
      </c>
      <c r="B1775" s="6" t="s">
        <v>4593</v>
      </c>
      <c r="C1775" s="26" t="n">
        <v>46086</v>
      </c>
      <c r="D1775" s="6" t="s">
        <v>5292</v>
      </c>
      <c r="E1775" s="6" t="s">
        <v>21</v>
      </c>
      <c r="F1775" s="6" t="n">
        <v>1</v>
      </c>
      <c r="G1775" s="10" t="n">
        <v>6880</v>
      </c>
      <c r="H1775" s="10" t="n">
        <f aca="false">F1775*G1775</f>
        <v>6880</v>
      </c>
      <c r="I1775" s="6" t="s">
        <v>5122</v>
      </c>
    </row>
    <row r="1776" customFormat="false" ht="15" hidden="false" customHeight="false" outlineLevel="0" collapsed="false">
      <c r="A1776" s="6" t="s">
        <v>6998</v>
      </c>
      <c r="B1776" s="6" t="s">
        <v>3443</v>
      </c>
      <c r="C1776" s="26" t="n">
        <v>46086</v>
      </c>
      <c r="D1776" s="6" t="s">
        <v>5423</v>
      </c>
      <c r="E1776" s="6" t="s">
        <v>21</v>
      </c>
      <c r="F1776" s="6" t="n">
        <v>1</v>
      </c>
      <c r="G1776" s="10" t="n">
        <v>2918</v>
      </c>
      <c r="H1776" s="10" t="n">
        <f aca="false">F1776*G1776</f>
        <v>2918</v>
      </c>
      <c r="I1776" s="6" t="s">
        <v>5125</v>
      </c>
    </row>
    <row r="1777" customFormat="false" ht="15" hidden="false" customHeight="false" outlineLevel="0" collapsed="false">
      <c r="A1777" s="6" t="s">
        <v>6999</v>
      </c>
      <c r="B1777" s="6" t="s">
        <v>3187</v>
      </c>
      <c r="C1777" s="26" t="n">
        <v>46087</v>
      </c>
      <c r="D1777" s="6" t="s">
        <v>5163</v>
      </c>
      <c r="E1777" s="6" t="s">
        <v>23</v>
      </c>
      <c r="F1777" s="6" t="n">
        <v>1</v>
      </c>
      <c r="G1777" s="10" t="n">
        <v>783</v>
      </c>
      <c r="H1777" s="10" t="n">
        <f aca="false">F1777*G1777</f>
        <v>783</v>
      </c>
      <c r="I1777" s="6" t="s">
        <v>5133</v>
      </c>
    </row>
    <row r="1778" customFormat="false" ht="15" hidden="false" customHeight="false" outlineLevel="0" collapsed="false">
      <c r="A1778" s="6" t="s">
        <v>7000</v>
      </c>
      <c r="B1778" s="6" t="s">
        <v>3023</v>
      </c>
      <c r="C1778" s="26" t="n">
        <v>46087</v>
      </c>
      <c r="D1778" s="6" t="s">
        <v>5167</v>
      </c>
      <c r="E1778" s="6" t="s">
        <v>22</v>
      </c>
      <c r="F1778" s="6" t="n">
        <v>1</v>
      </c>
      <c r="G1778" s="10" t="n">
        <v>743</v>
      </c>
      <c r="H1778" s="10" t="n">
        <f aca="false">F1778*G1778</f>
        <v>743</v>
      </c>
      <c r="I1778" s="6" t="s">
        <v>5148</v>
      </c>
    </row>
    <row r="1779" customFormat="false" ht="15" hidden="false" customHeight="false" outlineLevel="0" collapsed="false">
      <c r="A1779" s="6" t="s">
        <v>7001</v>
      </c>
      <c r="B1779" s="6" t="s">
        <v>2419</v>
      </c>
      <c r="C1779" s="26" t="n">
        <v>46087</v>
      </c>
      <c r="D1779" s="6" t="s">
        <v>5127</v>
      </c>
      <c r="E1779" s="6" t="s">
        <v>21</v>
      </c>
      <c r="F1779" s="6" t="n">
        <v>1</v>
      </c>
      <c r="G1779" s="10" t="n">
        <v>795</v>
      </c>
      <c r="H1779" s="10" t="n">
        <f aca="false">F1779*G1779</f>
        <v>795</v>
      </c>
      <c r="I1779" s="6" t="s">
        <v>5148</v>
      </c>
    </row>
    <row r="1780" customFormat="false" ht="15" hidden="false" customHeight="false" outlineLevel="0" collapsed="false">
      <c r="A1780" s="6" t="s">
        <v>7002</v>
      </c>
      <c r="B1780" s="6" t="s">
        <v>4811</v>
      </c>
      <c r="C1780" s="26" t="n">
        <v>46087</v>
      </c>
      <c r="D1780" s="6" t="s">
        <v>5129</v>
      </c>
      <c r="E1780" s="6" t="s">
        <v>21</v>
      </c>
      <c r="F1780" s="6" t="n">
        <v>2</v>
      </c>
      <c r="G1780" s="10" t="n">
        <v>589</v>
      </c>
      <c r="H1780" s="10" t="n">
        <f aca="false">F1780*G1780</f>
        <v>1178</v>
      </c>
      <c r="I1780" s="6" t="s">
        <v>5122</v>
      </c>
    </row>
    <row r="1781" customFormat="false" ht="15" hidden="false" customHeight="false" outlineLevel="0" collapsed="false">
      <c r="A1781" s="6" t="s">
        <v>7003</v>
      </c>
      <c r="B1781" s="6" t="s">
        <v>1163</v>
      </c>
      <c r="C1781" s="26" t="n">
        <v>46087</v>
      </c>
      <c r="D1781" s="6" t="s">
        <v>5167</v>
      </c>
      <c r="E1781" s="6" t="s">
        <v>22</v>
      </c>
      <c r="F1781" s="6" t="n">
        <v>3</v>
      </c>
      <c r="G1781" s="10" t="n">
        <v>782</v>
      </c>
      <c r="H1781" s="10" t="n">
        <f aca="false">F1781*G1781</f>
        <v>2346</v>
      </c>
      <c r="I1781" s="6" t="s">
        <v>5130</v>
      </c>
    </row>
    <row r="1782" customFormat="false" ht="15" hidden="false" customHeight="false" outlineLevel="0" collapsed="false">
      <c r="A1782" s="6" t="s">
        <v>7004</v>
      </c>
      <c r="B1782" s="6" t="s">
        <v>3577</v>
      </c>
      <c r="C1782" s="26" t="n">
        <v>46087</v>
      </c>
      <c r="D1782" s="6" t="s">
        <v>5139</v>
      </c>
      <c r="E1782" s="6" t="s">
        <v>23</v>
      </c>
      <c r="F1782" s="6" t="n">
        <v>2</v>
      </c>
      <c r="G1782" s="10" t="n">
        <v>251</v>
      </c>
      <c r="H1782" s="10" t="n">
        <f aca="false">F1782*G1782</f>
        <v>502</v>
      </c>
      <c r="I1782" s="6" t="s">
        <v>5173</v>
      </c>
    </row>
    <row r="1783" customFormat="false" ht="15" hidden="false" customHeight="false" outlineLevel="0" collapsed="false">
      <c r="A1783" s="6" t="s">
        <v>7005</v>
      </c>
      <c r="B1783" s="6" t="s">
        <v>1731</v>
      </c>
      <c r="C1783" s="26" t="n">
        <v>46087</v>
      </c>
      <c r="D1783" s="6" t="s">
        <v>5160</v>
      </c>
      <c r="E1783" s="6" t="s">
        <v>21</v>
      </c>
      <c r="F1783" s="6" t="n">
        <v>1</v>
      </c>
      <c r="G1783" s="10" t="n">
        <v>2751</v>
      </c>
      <c r="H1783" s="10" t="n">
        <f aca="false">F1783*G1783</f>
        <v>2751</v>
      </c>
      <c r="I1783" s="6" t="s">
        <v>5122</v>
      </c>
    </row>
    <row r="1784" customFormat="false" ht="15" hidden="false" customHeight="false" outlineLevel="0" collapsed="false">
      <c r="A1784" s="6" t="s">
        <v>7006</v>
      </c>
      <c r="B1784" s="6" t="s">
        <v>867</v>
      </c>
      <c r="C1784" s="26" t="n">
        <v>46087</v>
      </c>
      <c r="D1784" s="6" t="s">
        <v>5165</v>
      </c>
      <c r="E1784" s="6" t="s">
        <v>22</v>
      </c>
      <c r="F1784" s="6" t="n">
        <v>2</v>
      </c>
      <c r="G1784" s="10" t="n">
        <v>977</v>
      </c>
      <c r="H1784" s="10" t="n">
        <f aca="false">F1784*G1784</f>
        <v>1954</v>
      </c>
      <c r="I1784" s="6" t="s">
        <v>5148</v>
      </c>
    </row>
    <row r="1785" customFormat="false" ht="15" hidden="false" customHeight="false" outlineLevel="0" collapsed="false">
      <c r="A1785" s="6" t="s">
        <v>7007</v>
      </c>
      <c r="B1785" s="6" t="s">
        <v>4399</v>
      </c>
      <c r="C1785" s="26" t="n">
        <v>46087</v>
      </c>
      <c r="D1785" s="6" t="s">
        <v>5167</v>
      </c>
      <c r="E1785" s="6" t="s">
        <v>22</v>
      </c>
      <c r="F1785" s="6" t="n">
        <v>1</v>
      </c>
      <c r="G1785" s="10" t="n">
        <v>782</v>
      </c>
      <c r="H1785" s="10" t="n">
        <f aca="false">F1785*G1785</f>
        <v>782</v>
      </c>
      <c r="I1785" s="6" t="s">
        <v>5122</v>
      </c>
    </row>
    <row r="1786" customFormat="false" ht="15" hidden="false" customHeight="false" outlineLevel="0" collapsed="false">
      <c r="A1786" s="6" t="s">
        <v>7008</v>
      </c>
      <c r="B1786" s="6" t="s">
        <v>3741</v>
      </c>
      <c r="C1786" s="26" t="n">
        <v>46087</v>
      </c>
      <c r="D1786" s="6" t="s">
        <v>5180</v>
      </c>
      <c r="E1786" s="6" t="s">
        <v>24</v>
      </c>
      <c r="F1786" s="6" t="n">
        <v>1</v>
      </c>
      <c r="G1786" s="10" t="n">
        <v>1888</v>
      </c>
      <c r="H1786" s="10" t="n">
        <f aca="false">F1786*G1786</f>
        <v>1888</v>
      </c>
      <c r="I1786" s="6" t="s">
        <v>5130</v>
      </c>
    </row>
    <row r="1787" customFormat="false" ht="15" hidden="false" customHeight="false" outlineLevel="0" collapsed="false">
      <c r="A1787" s="6" t="s">
        <v>7009</v>
      </c>
      <c r="B1787" s="6" t="s">
        <v>2493</v>
      </c>
      <c r="C1787" s="26" t="n">
        <v>46087</v>
      </c>
      <c r="D1787" s="6" t="s">
        <v>5135</v>
      </c>
      <c r="E1787" s="6" t="s">
        <v>23</v>
      </c>
      <c r="F1787" s="6" t="n">
        <v>2</v>
      </c>
      <c r="G1787" s="10" t="n">
        <v>441</v>
      </c>
      <c r="H1787" s="10" t="n">
        <f aca="false">F1787*G1787</f>
        <v>882</v>
      </c>
      <c r="I1787" s="6" t="s">
        <v>5122</v>
      </c>
    </row>
    <row r="1788" customFormat="false" ht="15" hidden="false" customHeight="false" outlineLevel="0" collapsed="false">
      <c r="A1788" s="6" t="s">
        <v>7010</v>
      </c>
      <c r="B1788" s="6" t="s">
        <v>791</v>
      </c>
      <c r="C1788" s="26" t="n">
        <v>46087</v>
      </c>
      <c r="D1788" s="6" t="s">
        <v>5214</v>
      </c>
      <c r="E1788" s="6" t="s">
        <v>20</v>
      </c>
      <c r="F1788" s="6" t="n">
        <v>1</v>
      </c>
      <c r="G1788" s="10" t="n">
        <v>2039</v>
      </c>
      <c r="H1788" s="10" t="n">
        <f aca="false">F1788*G1788</f>
        <v>2039</v>
      </c>
      <c r="I1788" s="6" t="s">
        <v>5148</v>
      </c>
    </row>
    <row r="1789" customFormat="false" ht="15" hidden="false" customHeight="false" outlineLevel="0" collapsed="false">
      <c r="A1789" s="6" t="s">
        <v>7011</v>
      </c>
      <c r="B1789" s="6" t="s">
        <v>2485</v>
      </c>
      <c r="C1789" s="26" t="n">
        <v>46087</v>
      </c>
      <c r="D1789" s="6" t="s">
        <v>5121</v>
      </c>
      <c r="E1789" s="6" t="s">
        <v>22</v>
      </c>
      <c r="F1789" s="6" t="n">
        <v>1</v>
      </c>
      <c r="G1789" s="10" t="n">
        <v>977</v>
      </c>
      <c r="H1789" s="10" t="n">
        <f aca="false">F1789*G1789</f>
        <v>977</v>
      </c>
      <c r="I1789" s="6" t="s">
        <v>5122</v>
      </c>
    </row>
    <row r="1790" customFormat="false" ht="15" hidden="false" customHeight="false" outlineLevel="0" collapsed="false">
      <c r="A1790" s="6" t="s">
        <v>7012</v>
      </c>
      <c r="B1790" s="6" t="s">
        <v>1879</v>
      </c>
      <c r="C1790" s="26" t="n">
        <v>46087</v>
      </c>
      <c r="D1790" s="6" t="s">
        <v>5145</v>
      </c>
      <c r="E1790" s="6" t="s">
        <v>21</v>
      </c>
      <c r="F1790" s="6" t="n">
        <v>3</v>
      </c>
      <c r="G1790" s="10" t="n">
        <v>1277</v>
      </c>
      <c r="H1790" s="10" t="n">
        <f aca="false">F1790*G1790</f>
        <v>3831</v>
      </c>
      <c r="I1790" s="6" t="s">
        <v>5122</v>
      </c>
    </row>
    <row r="1791" customFormat="false" ht="15" hidden="false" customHeight="false" outlineLevel="0" collapsed="false">
      <c r="A1791" s="6" t="s">
        <v>7013</v>
      </c>
      <c r="B1791" s="6" t="s">
        <v>727</v>
      </c>
      <c r="C1791" s="26" t="n">
        <v>46087</v>
      </c>
      <c r="D1791" s="6" t="s">
        <v>5281</v>
      </c>
      <c r="E1791" s="6" t="s">
        <v>24</v>
      </c>
      <c r="F1791" s="6" t="n">
        <v>2</v>
      </c>
      <c r="G1791" s="10" t="n">
        <v>733</v>
      </c>
      <c r="H1791" s="10" t="n">
        <f aca="false">F1791*G1791</f>
        <v>1466</v>
      </c>
      <c r="I1791" s="6" t="s">
        <v>5148</v>
      </c>
    </row>
    <row r="1792" customFormat="false" ht="15" hidden="false" customHeight="false" outlineLevel="0" collapsed="false">
      <c r="A1792" s="6" t="s">
        <v>7014</v>
      </c>
      <c r="B1792" s="6" t="s">
        <v>202</v>
      </c>
      <c r="C1792" s="26" t="n">
        <v>46087</v>
      </c>
      <c r="D1792" s="6" t="s">
        <v>5143</v>
      </c>
      <c r="E1792" s="6" t="s">
        <v>21</v>
      </c>
      <c r="F1792" s="6" t="n">
        <v>2</v>
      </c>
      <c r="G1792" s="10" t="n">
        <v>1179</v>
      </c>
      <c r="H1792" s="10" t="n">
        <f aca="false">F1792*G1792</f>
        <v>2358</v>
      </c>
      <c r="I1792" s="6" t="s">
        <v>5122</v>
      </c>
    </row>
    <row r="1793" customFormat="false" ht="15" hidden="false" customHeight="false" outlineLevel="0" collapsed="false">
      <c r="A1793" s="6" t="s">
        <v>7015</v>
      </c>
      <c r="B1793" s="6" t="s">
        <v>1845</v>
      </c>
      <c r="C1793" s="26" t="n">
        <v>46087</v>
      </c>
      <c r="D1793" s="6" t="s">
        <v>5224</v>
      </c>
      <c r="E1793" s="6" t="s">
        <v>23</v>
      </c>
      <c r="F1793" s="6" t="n">
        <v>4</v>
      </c>
      <c r="G1793" s="10" t="n">
        <v>195</v>
      </c>
      <c r="H1793" s="10" t="n">
        <f aca="false">F1793*G1793</f>
        <v>780</v>
      </c>
      <c r="I1793" s="6" t="s">
        <v>5148</v>
      </c>
    </row>
    <row r="1794" customFormat="false" ht="15" hidden="false" customHeight="false" outlineLevel="0" collapsed="false">
      <c r="A1794" s="6" t="s">
        <v>7016</v>
      </c>
      <c r="B1794" s="6" t="s">
        <v>705</v>
      </c>
      <c r="C1794" s="26" t="n">
        <v>46087</v>
      </c>
      <c r="D1794" s="6" t="s">
        <v>5121</v>
      </c>
      <c r="E1794" s="6" t="s">
        <v>22</v>
      </c>
      <c r="F1794" s="6" t="n">
        <v>1</v>
      </c>
      <c r="G1794" s="10" t="n">
        <v>977</v>
      </c>
      <c r="H1794" s="10" t="n">
        <f aca="false">F1794*G1794</f>
        <v>977</v>
      </c>
      <c r="I1794" s="6" t="s">
        <v>5122</v>
      </c>
    </row>
    <row r="1795" customFormat="false" ht="15" hidden="false" customHeight="false" outlineLevel="0" collapsed="false">
      <c r="A1795" s="6" t="s">
        <v>7017</v>
      </c>
      <c r="B1795" s="6" t="s">
        <v>2781</v>
      </c>
      <c r="C1795" s="26" t="n">
        <v>46087</v>
      </c>
      <c r="D1795" s="6" t="s">
        <v>5202</v>
      </c>
      <c r="E1795" s="6" t="s">
        <v>23</v>
      </c>
      <c r="F1795" s="6" t="n">
        <v>2</v>
      </c>
      <c r="G1795" s="10" t="n">
        <v>245</v>
      </c>
      <c r="H1795" s="10" t="n">
        <f aca="false">F1795*G1795</f>
        <v>490</v>
      </c>
      <c r="I1795" s="6" t="s">
        <v>5122</v>
      </c>
    </row>
    <row r="1796" customFormat="false" ht="15" hidden="false" customHeight="false" outlineLevel="0" collapsed="false">
      <c r="A1796" s="6" t="s">
        <v>7018</v>
      </c>
      <c r="B1796" s="6" t="s">
        <v>4875</v>
      </c>
      <c r="C1796" s="26" t="n">
        <v>46087</v>
      </c>
      <c r="D1796" s="6" t="s">
        <v>5687</v>
      </c>
      <c r="E1796" s="6" t="s">
        <v>20</v>
      </c>
      <c r="F1796" s="6" t="n">
        <v>1</v>
      </c>
      <c r="G1796" s="10" t="n">
        <v>1835</v>
      </c>
      <c r="H1796" s="10" t="n">
        <f aca="false">F1796*G1796</f>
        <v>1835</v>
      </c>
      <c r="I1796" s="6" t="s">
        <v>5122</v>
      </c>
    </row>
    <row r="1797" customFormat="false" ht="15" hidden="false" customHeight="false" outlineLevel="0" collapsed="false">
      <c r="A1797" s="6" t="s">
        <v>7019</v>
      </c>
      <c r="B1797" s="6" t="s">
        <v>1917</v>
      </c>
      <c r="C1797" s="26" t="n">
        <v>46087</v>
      </c>
      <c r="D1797" s="6" t="s">
        <v>5192</v>
      </c>
      <c r="E1797" s="6" t="s">
        <v>20</v>
      </c>
      <c r="F1797" s="6" t="n">
        <v>1</v>
      </c>
      <c r="G1797" s="10" t="n">
        <v>3874</v>
      </c>
      <c r="H1797" s="10" t="n">
        <f aca="false">F1797*G1797</f>
        <v>3874</v>
      </c>
      <c r="I1797" s="6" t="s">
        <v>5122</v>
      </c>
    </row>
    <row r="1798" customFormat="false" ht="15" hidden="false" customHeight="false" outlineLevel="0" collapsed="false">
      <c r="A1798" s="6" t="s">
        <v>7020</v>
      </c>
      <c r="B1798" s="6" t="s">
        <v>4637</v>
      </c>
      <c r="C1798" s="26" t="n">
        <v>46087</v>
      </c>
      <c r="D1798" s="6" t="s">
        <v>5135</v>
      </c>
      <c r="E1798" s="6" t="s">
        <v>23</v>
      </c>
      <c r="F1798" s="6" t="n">
        <v>3</v>
      </c>
      <c r="G1798" s="10" t="n">
        <v>441</v>
      </c>
      <c r="H1798" s="10" t="n">
        <f aca="false">F1798*G1798</f>
        <v>1323</v>
      </c>
      <c r="I1798" s="6" t="s">
        <v>5122</v>
      </c>
    </row>
    <row r="1799" customFormat="false" ht="15" hidden="false" customHeight="false" outlineLevel="0" collapsed="false">
      <c r="A1799" s="6" t="s">
        <v>7021</v>
      </c>
      <c r="B1799" s="6" t="s">
        <v>3173</v>
      </c>
      <c r="C1799" s="26" t="n">
        <v>46087</v>
      </c>
      <c r="D1799" s="6" t="s">
        <v>5129</v>
      </c>
      <c r="E1799" s="6" t="s">
        <v>21</v>
      </c>
      <c r="F1799" s="6" t="n">
        <v>1</v>
      </c>
      <c r="G1799" s="10" t="n">
        <v>589</v>
      </c>
      <c r="H1799" s="10" t="n">
        <f aca="false">F1799*G1799</f>
        <v>589</v>
      </c>
      <c r="I1799" s="6" t="s">
        <v>5122</v>
      </c>
    </row>
    <row r="1800" customFormat="false" ht="15" hidden="false" customHeight="false" outlineLevel="0" collapsed="false">
      <c r="A1800" s="6" t="s">
        <v>7022</v>
      </c>
      <c r="B1800" s="6" t="s">
        <v>3829</v>
      </c>
      <c r="C1800" s="26" t="n">
        <v>46087</v>
      </c>
      <c r="D1800" s="6" t="s">
        <v>5167</v>
      </c>
      <c r="E1800" s="6" t="s">
        <v>22</v>
      </c>
      <c r="F1800" s="6" t="n">
        <v>2</v>
      </c>
      <c r="G1800" s="10" t="n">
        <v>782</v>
      </c>
      <c r="H1800" s="10" t="n">
        <f aca="false">F1800*G1800</f>
        <v>1564</v>
      </c>
      <c r="I1800" s="6" t="s">
        <v>5133</v>
      </c>
    </row>
    <row r="1801" customFormat="false" ht="15" hidden="false" customHeight="false" outlineLevel="0" collapsed="false">
      <c r="A1801" s="6" t="s">
        <v>7023</v>
      </c>
      <c r="B1801" s="6" t="s">
        <v>677</v>
      </c>
      <c r="C1801" s="26" t="n">
        <v>46087</v>
      </c>
      <c r="D1801" s="6" t="s">
        <v>5167</v>
      </c>
      <c r="E1801" s="6" t="s">
        <v>22</v>
      </c>
      <c r="F1801" s="6" t="n">
        <v>4</v>
      </c>
      <c r="G1801" s="10" t="n">
        <v>703</v>
      </c>
      <c r="H1801" s="10" t="n">
        <f aca="false">F1801*G1801</f>
        <v>2812</v>
      </c>
      <c r="I1801" s="6" t="s">
        <v>5122</v>
      </c>
    </row>
    <row r="1802" customFormat="false" ht="15" hidden="false" customHeight="false" outlineLevel="0" collapsed="false">
      <c r="A1802" s="6" t="s">
        <v>7024</v>
      </c>
      <c r="B1802" s="6" t="s">
        <v>2527</v>
      </c>
      <c r="C1802" s="26" t="n">
        <v>46087</v>
      </c>
      <c r="D1802" s="6" t="s">
        <v>5466</v>
      </c>
      <c r="E1802" s="6" t="s">
        <v>21</v>
      </c>
      <c r="F1802" s="6" t="n">
        <v>1</v>
      </c>
      <c r="G1802" s="10" t="n">
        <v>1867</v>
      </c>
      <c r="H1802" s="10" t="n">
        <f aca="false">F1802*G1802</f>
        <v>1867</v>
      </c>
      <c r="I1802" s="6" t="s">
        <v>5125</v>
      </c>
    </row>
    <row r="1803" customFormat="false" ht="15" hidden="false" customHeight="false" outlineLevel="0" collapsed="false">
      <c r="A1803" s="6" t="s">
        <v>7025</v>
      </c>
      <c r="B1803" s="6" t="s">
        <v>1893</v>
      </c>
      <c r="C1803" s="26" t="n">
        <v>46087</v>
      </c>
      <c r="D1803" s="6" t="s">
        <v>5326</v>
      </c>
      <c r="E1803" s="6" t="s">
        <v>22</v>
      </c>
      <c r="F1803" s="6" t="n">
        <v>1</v>
      </c>
      <c r="G1803" s="10" t="n">
        <v>1393</v>
      </c>
      <c r="H1803" s="10" t="n">
        <f aca="false">F1803*G1803</f>
        <v>1393</v>
      </c>
      <c r="I1803" s="6" t="s">
        <v>5122</v>
      </c>
    </row>
    <row r="1804" customFormat="false" ht="15" hidden="false" customHeight="false" outlineLevel="0" collapsed="false">
      <c r="A1804" s="6" t="s">
        <v>7026</v>
      </c>
      <c r="B1804" s="6" t="s">
        <v>4443</v>
      </c>
      <c r="C1804" s="26" t="n">
        <v>46088</v>
      </c>
      <c r="D1804" s="6" t="s">
        <v>5687</v>
      </c>
      <c r="E1804" s="6" t="s">
        <v>20</v>
      </c>
      <c r="F1804" s="6" t="n">
        <v>1</v>
      </c>
      <c r="G1804" s="10" t="n">
        <v>2039</v>
      </c>
      <c r="H1804" s="10" t="n">
        <f aca="false">F1804*G1804</f>
        <v>2039</v>
      </c>
      <c r="I1804" s="6" t="s">
        <v>5122</v>
      </c>
    </row>
    <row r="1805" customFormat="false" ht="15" hidden="false" customHeight="false" outlineLevel="0" collapsed="false">
      <c r="A1805" s="6" t="s">
        <v>7027</v>
      </c>
      <c r="B1805" s="6" t="s">
        <v>1585</v>
      </c>
      <c r="C1805" s="26" t="n">
        <v>46088</v>
      </c>
      <c r="D1805" s="6" t="s">
        <v>5165</v>
      </c>
      <c r="E1805" s="6" t="s">
        <v>22</v>
      </c>
      <c r="F1805" s="6" t="n">
        <v>1</v>
      </c>
      <c r="G1805" s="10" t="n">
        <v>976</v>
      </c>
      <c r="H1805" s="10" t="n">
        <f aca="false">F1805*G1805</f>
        <v>976</v>
      </c>
      <c r="I1805" s="6" t="s">
        <v>5125</v>
      </c>
    </row>
    <row r="1806" customFormat="false" ht="15" hidden="false" customHeight="false" outlineLevel="0" collapsed="false">
      <c r="A1806" s="6" t="s">
        <v>7028</v>
      </c>
      <c r="B1806" s="6" t="s">
        <v>4965</v>
      </c>
      <c r="C1806" s="26" t="n">
        <v>46088</v>
      </c>
      <c r="D1806" s="6" t="s">
        <v>5167</v>
      </c>
      <c r="E1806" s="6" t="s">
        <v>22</v>
      </c>
      <c r="F1806" s="6" t="n">
        <v>2</v>
      </c>
      <c r="G1806" s="10" t="n">
        <v>782</v>
      </c>
      <c r="H1806" s="10" t="n">
        <f aca="false">F1806*G1806</f>
        <v>1564</v>
      </c>
      <c r="I1806" s="6" t="s">
        <v>5122</v>
      </c>
    </row>
    <row r="1807" customFormat="false" ht="15" hidden="false" customHeight="false" outlineLevel="0" collapsed="false">
      <c r="A1807" s="6" t="s">
        <v>7029</v>
      </c>
      <c r="B1807" s="6" t="s">
        <v>4033</v>
      </c>
      <c r="C1807" s="26" t="n">
        <v>46088</v>
      </c>
      <c r="D1807" s="6" t="s">
        <v>5127</v>
      </c>
      <c r="E1807" s="6" t="s">
        <v>21</v>
      </c>
      <c r="F1807" s="6" t="n">
        <v>1</v>
      </c>
      <c r="G1807" s="10" t="n">
        <v>839</v>
      </c>
      <c r="H1807" s="10" t="n">
        <f aca="false">F1807*G1807</f>
        <v>839</v>
      </c>
      <c r="I1807" s="6" t="s">
        <v>5122</v>
      </c>
    </row>
    <row r="1808" customFormat="false" ht="15" hidden="false" customHeight="false" outlineLevel="0" collapsed="false">
      <c r="A1808" s="6" t="s">
        <v>7030</v>
      </c>
      <c r="B1808" s="6" t="s">
        <v>1677</v>
      </c>
      <c r="C1808" s="26" t="n">
        <v>46088</v>
      </c>
      <c r="D1808" s="6" t="s">
        <v>5127</v>
      </c>
      <c r="E1808" s="6" t="s">
        <v>21</v>
      </c>
      <c r="F1808" s="6" t="n">
        <v>1</v>
      </c>
      <c r="G1808" s="10" t="n">
        <v>884</v>
      </c>
      <c r="H1808" s="10" t="n">
        <f aca="false">F1808*G1808</f>
        <v>884</v>
      </c>
      <c r="I1808" s="6" t="s">
        <v>5122</v>
      </c>
    </row>
    <row r="1809" customFormat="false" ht="15" hidden="false" customHeight="false" outlineLevel="0" collapsed="false">
      <c r="A1809" s="6" t="s">
        <v>7031</v>
      </c>
      <c r="B1809" s="6" t="s">
        <v>1043</v>
      </c>
      <c r="C1809" s="26" t="n">
        <v>46088</v>
      </c>
      <c r="D1809" s="6" t="s">
        <v>5171</v>
      </c>
      <c r="E1809" s="6" t="s">
        <v>23</v>
      </c>
      <c r="F1809" s="6" t="n">
        <v>1</v>
      </c>
      <c r="G1809" s="10" t="n">
        <v>697</v>
      </c>
      <c r="H1809" s="10" t="n">
        <f aca="false">F1809*G1809</f>
        <v>697</v>
      </c>
      <c r="I1809" s="6" t="s">
        <v>5148</v>
      </c>
    </row>
    <row r="1810" customFormat="false" ht="15" hidden="false" customHeight="false" outlineLevel="0" collapsed="false">
      <c r="A1810" s="6" t="s">
        <v>7032</v>
      </c>
      <c r="B1810" s="6" t="s">
        <v>4241</v>
      </c>
      <c r="C1810" s="26" t="n">
        <v>46088</v>
      </c>
      <c r="D1810" s="6" t="s">
        <v>5154</v>
      </c>
      <c r="E1810" s="6" t="s">
        <v>21</v>
      </c>
      <c r="F1810" s="6" t="n">
        <v>1</v>
      </c>
      <c r="G1810" s="10" t="n">
        <v>786</v>
      </c>
      <c r="H1810" s="10" t="n">
        <f aca="false">F1810*G1810</f>
        <v>786</v>
      </c>
      <c r="I1810" s="6" t="s">
        <v>5122</v>
      </c>
    </row>
    <row r="1811" customFormat="false" ht="15" hidden="false" customHeight="false" outlineLevel="0" collapsed="false">
      <c r="A1811" s="6" t="s">
        <v>7033</v>
      </c>
      <c r="B1811" s="6" t="s">
        <v>4659</v>
      </c>
      <c r="C1811" s="26" t="n">
        <v>46088</v>
      </c>
      <c r="D1811" s="6" t="s">
        <v>5180</v>
      </c>
      <c r="E1811" s="6" t="s">
        <v>24</v>
      </c>
      <c r="F1811" s="6" t="n">
        <v>1</v>
      </c>
      <c r="G1811" s="10" t="n">
        <v>1987</v>
      </c>
      <c r="H1811" s="10" t="n">
        <f aca="false">F1811*G1811</f>
        <v>1987</v>
      </c>
      <c r="I1811" s="6" t="s">
        <v>5148</v>
      </c>
    </row>
    <row r="1812" customFormat="false" ht="15" hidden="false" customHeight="false" outlineLevel="0" collapsed="false">
      <c r="A1812" s="6" t="s">
        <v>7034</v>
      </c>
      <c r="B1812" s="6" t="s">
        <v>4037</v>
      </c>
      <c r="C1812" s="26" t="n">
        <v>46088</v>
      </c>
      <c r="D1812" s="6" t="s">
        <v>5281</v>
      </c>
      <c r="E1812" s="6" t="s">
        <v>24</v>
      </c>
      <c r="F1812" s="6" t="n">
        <v>1</v>
      </c>
      <c r="G1812" s="10" t="n">
        <v>814</v>
      </c>
      <c r="H1812" s="10" t="n">
        <f aca="false">F1812*G1812</f>
        <v>814</v>
      </c>
      <c r="I1812" s="6" t="s">
        <v>5122</v>
      </c>
    </row>
    <row r="1813" customFormat="false" ht="15" hidden="false" customHeight="false" outlineLevel="0" collapsed="false">
      <c r="A1813" s="6" t="s">
        <v>7035</v>
      </c>
      <c r="B1813" s="6" t="s">
        <v>227</v>
      </c>
      <c r="C1813" s="26" t="n">
        <v>46088</v>
      </c>
      <c r="D1813" s="6" t="s">
        <v>5137</v>
      </c>
      <c r="E1813" s="6" t="s">
        <v>21</v>
      </c>
      <c r="F1813" s="6" t="n">
        <v>1</v>
      </c>
      <c r="G1813" s="10" t="n">
        <v>1591</v>
      </c>
      <c r="H1813" s="10" t="n">
        <f aca="false">F1813*G1813</f>
        <v>1591</v>
      </c>
      <c r="I1813" s="6" t="s">
        <v>5122</v>
      </c>
    </row>
    <row r="1814" customFormat="false" ht="15" hidden="false" customHeight="false" outlineLevel="0" collapsed="false">
      <c r="A1814" s="6" t="s">
        <v>7036</v>
      </c>
      <c r="B1814" s="6" t="s">
        <v>653</v>
      </c>
      <c r="C1814" s="26" t="n">
        <v>46088</v>
      </c>
      <c r="D1814" s="6" t="s">
        <v>5143</v>
      </c>
      <c r="E1814" s="6" t="s">
        <v>21</v>
      </c>
      <c r="F1814" s="6" t="n">
        <v>2</v>
      </c>
      <c r="G1814" s="10" t="n">
        <v>1179</v>
      </c>
      <c r="H1814" s="10" t="n">
        <f aca="false">F1814*G1814</f>
        <v>2358</v>
      </c>
      <c r="I1814" s="6" t="s">
        <v>5173</v>
      </c>
    </row>
    <row r="1815" customFormat="false" ht="15" hidden="false" customHeight="false" outlineLevel="0" collapsed="false">
      <c r="A1815" s="6" t="s">
        <v>7037</v>
      </c>
      <c r="B1815" s="6" t="s">
        <v>3395</v>
      </c>
      <c r="C1815" s="26" t="n">
        <v>46088</v>
      </c>
      <c r="D1815" s="6" t="s">
        <v>5216</v>
      </c>
      <c r="E1815" s="6" t="s">
        <v>23</v>
      </c>
      <c r="F1815" s="6" t="n">
        <v>3</v>
      </c>
      <c r="G1815" s="10" t="n">
        <v>587</v>
      </c>
      <c r="H1815" s="10" t="n">
        <f aca="false">F1815*G1815</f>
        <v>1761</v>
      </c>
      <c r="I1815" s="6" t="s">
        <v>5133</v>
      </c>
    </row>
    <row r="1816" customFormat="false" ht="15" hidden="false" customHeight="false" outlineLevel="0" collapsed="false">
      <c r="A1816" s="6" t="s">
        <v>7038</v>
      </c>
      <c r="B1816" s="6" t="s">
        <v>1275</v>
      </c>
      <c r="C1816" s="26" t="n">
        <v>46088</v>
      </c>
      <c r="D1816" s="6" t="s">
        <v>5837</v>
      </c>
      <c r="E1816" s="6" t="s">
        <v>21</v>
      </c>
      <c r="F1816" s="6" t="n">
        <v>1</v>
      </c>
      <c r="G1816" s="10" t="n">
        <v>2948</v>
      </c>
      <c r="H1816" s="10" t="n">
        <f aca="false">F1816*G1816</f>
        <v>2948</v>
      </c>
      <c r="I1816" s="6" t="s">
        <v>5125</v>
      </c>
    </row>
    <row r="1817" customFormat="false" ht="15" hidden="false" customHeight="false" outlineLevel="0" collapsed="false">
      <c r="A1817" s="6" t="s">
        <v>7039</v>
      </c>
      <c r="B1817" s="6" t="s">
        <v>733</v>
      </c>
      <c r="C1817" s="26" t="n">
        <v>46088</v>
      </c>
      <c r="D1817" s="6" t="s">
        <v>5145</v>
      </c>
      <c r="E1817" s="6" t="s">
        <v>21</v>
      </c>
      <c r="F1817" s="6" t="n">
        <v>1</v>
      </c>
      <c r="G1817" s="10" t="n">
        <v>1277</v>
      </c>
      <c r="H1817" s="10" t="n">
        <f aca="false">F1817*G1817</f>
        <v>1277</v>
      </c>
      <c r="I1817" s="6" t="s">
        <v>5122</v>
      </c>
    </row>
    <row r="1818" customFormat="false" ht="15" hidden="false" customHeight="false" outlineLevel="0" collapsed="false">
      <c r="A1818" s="6" t="s">
        <v>7040</v>
      </c>
      <c r="B1818" s="6" t="s">
        <v>3117</v>
      </c>
      <c r="C1818" s="26" t="n">
        <v>46088</v>
      </c>
      <c r="D1818" s="6" t="s">
        <v>5185</v>
      </c>
      <c r="E1818" s="6" t="s">
        <v>24</v>
      </c>
      <c r="F1818" s="6" t="n">
        <v>1</v>
      </c>
      <c r="G1818" s="10" t="n">
        <v>2140</v>
      </c>
      <c r="H1818" s="10" t="n">
        <f aca="false">F1818*G1818</f>
        <v>2140</v>
      </c>
      <c r="I1818" s="6" t="s">
        <v>5125</v>
      </c>
    </row>
    <row r="1819" customFormat="false" ht="15" hidden="false" customHeight="false" outlineLevel="0" collapsed="false">
      <c r="A1819" s="6" t="s">
        <v>7041</v>
      </c>
      <c r="B1819" s="6" t="s">
        <v>3081</v>
      </c>
      <c r="C1819" s="26" t="n">
        <v>46088</v>
      </c>
      <c r="D1819" s="6" t="s">
        <v>5237</v>
      </c>
      <c r="E1819" s="6" t="s">
        <v>24</v>
      </c>
      <c r="F1819" s="6" t="n">
        <v>2</v>
      </c>
      <c r="G1819" s="10" t="n">
        <v>1833</v>
      </c>
      <c r="H1819" s="10" t="n">
        <f aca="false">F1819*G1819</f>
        <v>3666</v>
      </c>
      <c r="I1819" s="6" t="s">
        <v>5122</v>
      </c>
    </row>
    <row r="1820" customFormat="false" ht="15" hidden="false" customHeight="false" outlineLevel="0" collapsed="false">
      <c r="A1820" s="6" t="s">
        <v>7042</v>
      </c>
      <c r="B1820" s="6" t="s">
        <v>2765</v>
      </c>
      <c r="C1820" s="26" t="n">
        <v>46088</v>
      </c>
      <c r="D1820" s="6" t="s">
        <v>5197</v>
      </c>
      <c r="E1820" s="6" t="s">
        <v>21</v>
      </c>
      <c r="F1820" s="6" t="n">
        <v>1</v>
      </c>
      <c r="G1820" s="10" t="n">
        <v>1080</v>
      </c>
      <c r="H1820" s="10" t="n">
        <f aca="false">F1820*G1820</f>
        <v>1080</v>
      </c>
      <c r="I1820" s="6" t="s">
        <v>5148</v>
      </c>
    </row>
    <row r="1821" customFormat="false" ht="15" hidden="false" customHeight="false" outlineLevel="0" collapsed="false">
      <c r="A1821" s="6" t="s">
        <v>7043</v>
      </c>
      <c r="B1821" s="6" t="s">
        <v>871</v>
      </c>
      <c r="C1821" s="26" t="n">
        <v>46088</v>
      </c>
      <c r="D1821" s="6" t="s">
        <v>5167</v>
      </c>
      <c r="E1821" s="6" t="s">
        <v>22</v>
      </c>
      <c r="F1821" s="6" t="n">
        <v>1</v>
      </c>
      <c r="G1821" s="10" t="n">
        <v>782</v>
      </c>
      <c r="H1821" s="10" t="n">
        <f aca="false">F1821*G1821</f>
        <v>782</v>
      </c>
      <c r="I1821" s="6" t="s">
        <v>5122</v>
      </c>
    </row>
    <row r="1822" customFormat="false" ht="15" hidden="false" customHeight="false" outlineLevel="0" collapsed="false">
      <c r="A1822" s="6" t="s">
        <v>7044</v>
      </c>
      <c r="B1822" s="6" t="s">
        <v>565</v>
      </c>
      <c r="C1822" s="26" t="n">
        <v>46088</v>
      </c>
      <c r="D1822" s="6" t="s">
        <v>5182</v>
      </c>
      <c r="E1822" s="6" t="s">
        <v>23</v>
      </c>
      <c r="F1822" s="6" t="n">
        <v>2</v>
      </c>
      <c r="G1822" s="10" t="n">
        <v>331</v>
      </c>
      <c r="H1822" s="10" t="n">
        <f aca="false">F1822*G1822</f>
        <v>662</v>
      </c>
      <c r="I1822" s="6" t="s">
        <v>5122</v>
      </c>
    </row>
    <row r="1823" customFormat="false" ht="15" hidden="false" customHeight="false" outlineLevel="0" collapsed="false">
      <c r="A1823" s="6" t="s">
        <v>7045</v>
      </c>
      <c r="B1823" s="6" t="s">
        <v>3073</v>
      </c>
      <c r="C1823" s="26" t="n">
        <v>46088</v>
      </c>
      <c r="D1823" s="6" t="s">
        <v>6109</v>
      </c>
      <c r="E1823" s="6" t="s">
        <v>20</v>
      </c>
      <c r="F1823" s="6" t="n">
        <v>1</v>
      </c>
      <c r="G1823" s="10" t="n">
        <v>43850</v>
      </c>
      <c r="H1823" s="10" t="n">
        <f aca="false">F1823*G1823</f>
        <v>43850</v>
      </c>
      <c r="I1823" s="6" t="s">
        <v>5122</v>
      </c>
    </row>
    <row r="1824" customFormat="false" ht="15" hidden="false" customHeight="false" outlineLevel="0" collapsed="false">
      <c r="A1824" s="6" t="s">
        <v>7046</v>
      </c>
      <c r="B1824" s="6" t="s">
        <v>4019</v>
      </c>
      <c r="C1824" s="26" t="n">
        <v>46088</v>
      </c>
      <c r="D1824" s="6" t="s">
        <v>5160</v>
      </c>
      <c r="E1824" s="6" t="s">
        <v>21</v>
      </c>
      <c r="F1824" s="6" t="n">
        <v>1</v>
      </c>
      <c r="G1824" s="10" t="n">
        <v>2751</v>
      </c>
      <c r="H1824" s="10" t="n">
        <f aca="false">F1824*G1824</f>
        <v>2751</v>
      </c>
      <c r="I1824" s="6" t="s">
        <v>5122</v>
      </c>
    </row>
    <row r="1825" customFormat="false" ht="15" hidden="false" customHeight="false" outlineLevel="0" collapsed="false">
      <c r="A1825" s="6" t="s">
        <v>7047</v>
      </c>
      <c r="B1825" s="6" t="s">
        <v>2141</v>
      </c>
      <c r="C1825" s="26" t="n">
        <v>46088</v>
      </c>
      <c r="D1825" s="6" t="s">
        <v>5357</v>
      </c>
      <c r="E1825" s="6" t="s">
        <v>23</v>
      </c>
      <c r="F1825" s="6" t="n">
        <v>2</v>
      </c>
      <c r="G1825" s="10" t="n">
        <v>481</v>
      </c>
      <c r="H1825" s="10" t="n">
        <f aca="false">F1825*G1825</f>
        <v>962</v>
      </c>
      <c r="I1825" s="6" t="s">
        <v>5122</v>
      </c>
    </row>
    <row r="1826" customFormat="false" ht="15" hidden="false" customHeight="false" outlineLevel="0" collapsed="false">
      <c r="A1826" s="6" t="s">
        <v>7048</v>
      </c>
      <c r="B1826" s="6" t="s">
        <v>1325</v>
      </c>
      <c r="C1826" s="26" t="n">
        <v>46088</v>
      </c>
      <c r="D1826" s="6" t="s">
        <v>5163</v>
      </c>
      <c r="E1826" s="6" t="s">
        <v>23</v>
      </c>
      <c r="F1826" s="6" t="n">
        <v>2</v>
      </c>
      <c r="G1826" s="10" t="n">
        <v>783</v>
      </c>
      <c r="H1826" s="10" t="n">
        <f aca="false">F1826*G1826</f>
        <v>1566</v>
      </c>
      <c r="I1826" s="6" t="s">
        <v>5130</v>
      </c>
    </row>
    <row r="1827" customFormat="false" ht="15" hidden="false" customHeight="false" outlineLevel="0" collapsed="false">
      <c r="A1827" s="6" t="s">
        <v>7049</v>
      </c>
      <c r="B1827" s="6" t="s">
        <v>5107</v>
      </c>
      <c r="C1827" s="26" t="n">
        <v>46088</v>
      </c>
      <c r="D1827" s="6" t="s">
        <v>5147</v>
      </c>
      <c r="E1827" s="6" t="s">
        <v>24</v>
      </c>
      <c r="F1827" s="6" t="n">
        <v>2</v>
      </c>
      <c r="G1827" s="10" t="n">
        <v>661</v>
      </c>
      <c r="H1827" s="10" t="n">
        <f aca="false">F1827*G1827</f>
        <v>1322</v>
      </c>
      <c r="I1827" s="6" t="s">
        <v>5173</v>
      </c>
    </row>
    <row r="1828" customFormat="false" ht="15" hidden="false" customHeight="false" outlineLevel="0" collapsed="false">
      <c r="A1828" s="6" t="s">
        <v>7050</v>
      </c>
      <c r="B1828" s="6" t="s">
        <v>1793</v>
      </c>
      <c r="C1828" s="26" t="n">
        <v>46088</v>
      </c>
      <c r="D1828" s="6" t="s">
        <v>5165</v>
      </c>
      <c r="E1828" s="6" t="s">
        <v>22</v>
      </c>
      <c r="F1828" s="6" t="n">
        <v>1</v>
      </c>
      <c r="G1828" s="10" t="n">
        <v>977</v>
      </c>
      <c r="H1828" s="10" t="n">
        <f aca="false">F1828*G1828</f>
        <v>977</v>
      </c>
      <c r="I1828" s="6" t="s">
        <v>5122</v>
      </c>
    </row>
    <row r="1829" customFormat="false" ht="15" hidden="false" customHeight="false" outlineLevel="0" collapsed="false">
      <c r="A1829" s="6" t="s">
        <v>7051</v>
      </c>
      <c r="B1829" s="6" t="s">
        <v>326</v>
      </c>
      <c r="C1829" s="26" t="n">
        <v>46088</v>
      </c>
      <c r="D1829" s="6" t="s">
        <v>5214</v>
      </c>
      <c r="E1829" s="6" t="s">
        <v>20</v>
      </c>
      <c r="F1829" s="6" t="n">
        <v>1</v>
      </c>
      <c r="G1829" s="10" t="n">
        <v>2039</v>
      </c>
      <c r="H1829" s="10" t="n">
        <f aca="false">F1829*G1829</f>
        <v>2039</v>
      </c>
      <c r="I1829" s="6" t="s">
        <v>5122</v>
      </c>
    </row>
    <row r="1830" customFormat="false" ht="15" hidden="false" customHeight="false" outlineLevel="0" collapsed="false">
      <c r="A1830" s="6" t="s">
        <v>7052</v>
      </c>
      <c r="B1830" s="6" t="s">
        <v>186</v>
      </c>
      <c r="C1830" s="26" t="n">
        <v>46089</v>
      </c>
      <c r="D1830" s="6" t="s">
        <v>5232</v>
      </c>
      <c r="E1830" s="6" t="s">
        <v>23</v>
      </c>
      <c r="F1830" s="6" t="n">
        <v>5</v>
      </c>
      <c r="G1830" s="10" t="n">
        <v>195</v>
      </c>
      <c r="H1830" s="10" t="n">
        <f aca="false">F1830*G1830</f>
        <v>975</v>
      </c>
      <c r="I1830" s="6" t="s">
        <v>5148</v>
      </c>
    </row>
    <row r="1831" customFormat="false" ht="15" hidden="false" customHeight="false" outlineLevel="0" collapsed="false">
      <c r="A1831" s="6" t="s">
        <v>7053</v>
      </c>
      <c r="B1831" s="6" t="s">
        <v>2741</v>
      </c>
      <c r="C1831" s="26" t="n">
        <v>46089</v>
      </c>
      <c r="D1831" s="6" t="s">
        <v>5318</v>
      </c>
      <c r="E1831" s="6" t="s">
        <v>20</v>
      </c>
      <c r="F1831" s="6" t="n">
        <v>1</v>
      </c>
      <c r="G1831" s="10" t="n">
        <v>1529</v>
      </c>
      <c r="H1831" s="10" t="n">
        <f aca="false">F1831*G1831</f>
        <v>1529</v>
      </c>
      <c r="I1831" s="6" t="s">
        <v>5122</v>
      </c>
    </row>
    <row r="1832" customFormat="false" ht="15" hidden="false" customHeight="false" outlineLevel="0" collapsed="false">
      <c r="A1832" s="6" t="s">
        <v>7054</v>
      </c>
      <c r="B1832" s="6" t="s">
        <v>4209</v>
      </c>
      <c r="C1832" s="26" t="n">
        <v>46089</v>
      </c>
      <c r="D1832" s="6" t="s">
        <v>5339</v>
      </c>
      <c r="E1832" s="6" t="s">
        <v>24</v>
      </c>
      <c r="F1832" s="6" t="n">
        <v>1</v>
      </c>
      <c r="G1832" s="10" t="n">
        <v>483</v>
      </c>
      <c r="H1832" s="10" t="n">
        <f aca="false">F1832*G1832</f>
        <v>483</v>
      </c>
      <c r="I1832" s="6" t="s">
        <v>5125</v>
      </c>
    </row>
    <row r="1833" customFormat="false" ht="15" hidden="false" customHeight="false" outlineLevel="0" collapsed="false">
      <c r="A1833" s="6" t="s">
        <v>7055</v>
      </c>
      <c r="B1833" s="6" t="s">
        <v>1673</v>
      </c>
      <c r="C1833" s="26" t="n">
        <v>46089</v>
      </c>
      <c r="D1833" s="6" t="s">
        <v>5269</v>
      </c>
      <c r="E1833" s="6" t="s">
        <v>22</v>
      </c>
      <c r="F1833" s="6" t="n">
        <v>2</v>
      </c>
      <c r="G1833" s="10" t="n">
        <v>1271</v>
      </c>
      <c r="H1833" s="10" t="n">
        <f aca="false">F1833*G1833</f>
        <v>2542</v>
      </c>
      <c r="I1833" s="6" t="s">
        <v>5122</v>
      </c>
    </row>
    <row r="1834" customFormat="false" ht="15" hidden="false" customHeight="false" outlineLevel="0" collapsed="false">
      <c r="A1834" s="6" t="s">
        <v>7056</v>
      </c>
      <c r="B1834" s="6" t="s">
        <v>4479</v>
      </c>
      <c r="C1834" s="26" t="n">
        <v>46089</v>
      </c>
      <c r="D1834" s="6" t="s">
        <v>5269</v>
      </c>
      <c r="E1834" s="6" t="s">
        <v>22</v>
      </c>
      <c r="F1834" s="6" t="n">
        <v>1</v>
      </c>
      <c r="G1834" s="10" t="n">
        <v>1144</v>
      </c>
      <c r="H1834" s="10" t="n">
        <f aca="false">F1834*G1834</f>
        <v>1144</v>
      </c>
      <c r="I1834" s="6" t="s">
        <v>5148</v>
      </c>
    </row>
    <row r="1835" customFormat="false" ht="15" hidden="false" customHeight="false" outlineLevel="0" collapsed="false">
      <c r="A1835" s="6" t="s">
        <v>7057</v>
      </c>
      <c r="B1835" s="6" t="s">
        <v>5035</v>
      </c>
      <c r="C1835" s="26" t="n">
        <v>46089</v>
      </c>
      <c r="D1835" s="6" t="s">
        <v>5218</v>
      </c>
      <c r="E1835" s="6" t="s">
        <v>23</v>
      </c>
      <c r="F1835" s="6" t="n">
        <v>3</v>
      </c>
      <c r="G1835" s="10" t="n">
        <v>156</v>
      </c>
      <c r="H1835" s="10" t="n">
        <f aca="false">F1835*G1835</f>
        <v>468</v>
      </c>
      <c r="I1835" s="6" t="s">
        <v>5130</v>
      </c>
    </row>
    <row r="1836" customFormat="false" ht="15" hidden="false" customHeight="false" outlineLevel="0" collapsed="false">
      <c r="A1836" s="6" t="s">
        <v>7058</v>
      </c>
      <c r="B1836" s="6" t="s">
        <v>4649</v>
      </c>
      <c r="C1836" s="26" t="n">
        <v>46089</v>
      </c>
      <c r="D1836" s="6" t="s">
        <v>5298</v>
      </c>
      <c r="E1836" s="6" t="s">
        <v>23</v>
      </c>
      <c r="F1836" s="6" t="n">
        <v>1</v>
      </c>
      <c r="G1836" s="10" t="n">
        <v>293</v>
      </c>
      <c r="H1836" s="10" t="n">
        <f aca="false">F1836*G1836</f>
        <v>293</v>
      </c>
      <c r="I1836" s="6" t="s">
        <v>5148</v>
      </c>
    </row>
    <row r="1837" customFormat="false" ht="15" hidden="false" customHeight="false" outlineLevel="0" collapsed="false">
      <c r="A1837" s="6" t="s">
        <v>7059</v>
      </c>
      <c r="B1837" s="6" t="s">
        <v>2873</v>
      </c>
      <c r="C1837" s="26" t="n">
        <v>46089</v>
      </c>
      <c r="D1837" s="6" t="s">
        <v>5154</v>
      </c>
      <c r="E1837" s="6" t="s">
        <v>21</v>
      </c>
      <c r="F1837" s="6" t="n">
        <v>2</v>
      </c>
      <c r="G1837" s="10" t="n">
        <v>785</v>
      </c>
      <c r="H1837" s="10" t="n">
        <f aca="false">F1837*G1837</f>
        <v>1570</v>
      </c>
      <c r="I1837" s="6" t="s">
        <v>5148</v>
      </c>
    </row>
    <row r="1838" customFormat="false" ht="15" hidden="false" customHeight="false" outlineLevel="0" collapsed="false">
      <c r="A1838" s="6" t="s">
        <v>7060</v>
      </c>
      <c r="B1838" s="6" t="s">
        <v>5011</v>
      </c>
      <c r="C1838" s="26" t="n">
        <v>46089</v>
      </c>
      <c r="D1838" s="6" t="s">
        <v>5121</v>
      </c>
      <c r="E1838" s="6" t="s">
        <v>22</v>
      </c>
      <c r="F1838" s="6" t="n">
        <v>1</v>
      </c>
      <c r="G1838" s="10" t="n">
        <v>928</v>
      </c>
      <c r="H1838" s="10" t="n">
        <f aca="false">F1838*G1838</f>
        <v>928</v>
      </c>
      <c r="I1838" s="6" t="s">
        <v>5148</v>
      </c>
    </row>
    <row r="1839" customFormat="false" ht="15" hidden="false" customHeight="false" outlineLevel="0" collapsed="false">
      <c r="A1839" s="6" t="s">
        <v>7061</v>
      </c>
      <c r="B1839" s="6" t="s">
        <v>1449</v>
      </c>
      <c r="C1839" s="26" t="n">
        <v>46089</v>
      </c>
      <c r="D1839" s="6" t="s">
        <v>5200</v>
      </c>
      <c r="E1839" s="6" t="s">
        <v>24</v>
      </c>
      <c r="F1839" s="6" t="n">
        <v>1</v>
      </c>
      <c r="G1839" s="10" t="n">
        <v>725</v>
      </c>
      <c r="H1839" s="10" t="n">
        <f aca="false">F1839*G1839</f>
        <v>725</v>
      </c>
      <c r="I1839" s="6" t="s">
        <v>5148</v>
      </c>
    </row>
    <row r="1840" customFormat="false" ht="15" hidden="false" customHeight="false" outlineLevel="0" collapsed="false">
      <c r="A1840" s="6" t="s">
        <v>7062</v>
      </c>
      <c r="B1840" s="6" t="s">
        <v>2859</v>
      </c>
      <c r="C1840" s="26" t="n">
        <v>46089</v>
      </c>
      <c r="D1840" s="6" t="s">
        <v>5167</v>
      </c>
      <c r="E1840" s="6" t="s">
        <v>22</v>
      </c>
      <c r="F1840" s="6" t="n">
        <v>1</v>
      </c>
      <c r="G1840" s="10" t="n">
        <v>743</v>
      </c>
      <c r="H1840" s="10" t="n">
        <f aca="false">F1840*G1840</f>
        <v>743</v>
      </c>
      <c r="I1840" s="6" t="s">
        <v>5125</v>
      </c>
    </row>
    <row r="1841" customFormat="false" ht="15" hidden="false" customHeight="false" outlineLevel="0" collapsed="false">
      <c r="A1841" s="6" t="s">
        <v>7063</v>
      </c>
      <c r="B1841" s="6" t="s">
        <v>2431</v>
      </c>
      <c r="C1841" s="26" t="n">
        <v>46089</v>
      </c>
      <c r="D1841" s="6" t="s">
        <v>5216</v>
      </c>
      <c r="E1841" s="6" t="s">
        <v>23</v>
      </c>
      <c r="F1841" s="6" t="n">
        <v>2</v>
      </c>
      <c r="G1841" s="10" t="n">
        <v>558</v>
      </c>
      <c r="H1841" s="10" t="n">
        <f aca="false">F1841*G1841</f>
        <v>1116</v>
      </c>
      <c r="I1841" s="6" t="s">
        <v>5122</v>
      </c>
    </row>
    <row r="1842" customFormat="false" ht="15" hidden="false" customHeight="false" outlineLevel="0" collapsed="false">
      <c r="A1842" s="6" t="s">
        <v>7064</v>
      </c>
      <c r="B1842" s="6" t="s">
        <v>362</v>
      </c>
      <c r="C1842" s="26" t="n">
        <v>46089</v>
      </c>
      <c r="D1842" s="6" t="s">
        <v>5121</v>
      </c>
      <c r="E1842" s="6" t="s">
        <v>22</v>
      </c>
      <c r="F1842" s="6" t="n">
        <v>2</v>
      </c>
      <c r="G1842" s="10" t="n">
        <v>977</v>
      </c>
      <c r="H1842" s="10" t="n">
        <f aca="false">F1842*G1842</f>
        <v>1954</v>
      </c>
      <c r="I1842" s="6" t="s">
        <v>5133</v>
      </c>
    </row>
    <row r="1843" customFormat="false" ht="15" hidden="false" customHeight="false" outlineLevel="0" collapsed="false">
      <c r="A1843" s="6" t="s">
        <v>7065</v>
      </c>
      <c r="B1843" s="6" t="s">
        <v>1909</v>
      </c>
      <c r="C1843" s="26" t="n">
        <v>46089</v>
      </c>
      <c r="D1843" s="6" t="s">
        <v>5154</v>
      </c>
      <c r="E1843" s="6" t="s">
        <v>21</v>
      </c>
      <c r="F1843" s="6" t="n">
        <v>3</v>
      </c>
      <c r="G1843" s="10" t="n">
        <v>785</v>
      </c>
      <c r="H1843" s="10" t="n">
        <f aca="false">F1843*G1843</f>
        <v>2355</v>
      </c>
      <c r="I1843" s="6" t="s">
        <v>5148</v>
      </c>
    </row>
    <row r="1844" customFormat="false" ht="15" hidden="false" customHeight="false" outlineLevel="0" collapsed="false">
      <c r="A1844" s="6" t="s">
        <v>7066</v>
      </c>
      <c r="B1844" s="6" t="s">
        <v>1205</v>
      </c>
      <c r="C1844" s="26" t="n">
        <v>46089</v>
      </c>
      <c r="D1844" s="6" t="s">
        <v>5190</v>
      </c>
      <c r="E1844" s="6" t="s">
        <v>24</v>
      </c>
      <c r="F1844" s="6" t="n">
        <v>1</v>
      </c>
      <c r="G1844" s="10" t="n">
        <v>549</v>
      </c>
      <c r="H1844" s="10" t="n">
        <f aca="false">F1844*G1844</f>
        <v>549</v>
      </c>
      <c r="I1844" s="6" t="s">
        <v>5122</v>
      </c>
    </row>
    <row r="1845" customFormat="false" ht="15" hidden="false" customHeight="false" outlineLevel="0" collapsed="false">
      <c r="A1845" s="6" t="s">
        <v>7067</v>
      </c>
      <c r="B1845" s="6" t="s">
        <v>3315</v>
      </c>
      <c r="C1845" s="26" t="n">
        <v>46089</v>
      </c>
      <c r="D1845" s="6" t="s">
        <v>5167</v>
      </c>
      <c r="E1845" s="6" t="s">
        <v>22</v>
      </c>
      <c r="F1845" s="6" t="n">
        <v>2</v>
      </c>
      <c r="G1845" s="10" t="n">
        <v>782</v>
      </c>
      <c r="H1845" s="10" t="n">
        <f aca="false">F1845*G1845</f>
        <v>1564</v>
      </c>
      <c r="I1845" s="6" t="s">
        <v>5133</v>
      </c>
    </row>
    <row r="1846" customFormat="false" ht="15" hidden="false" customHeight="false" outlineLevel="0" collapsed="false">
      <c r="A1846" s="6" t="s">
        <v>7068</v>
      </c>
      <c r="B1846" s="6" t="s">
        <v>3915</v>
      </c>
      <c r="C1846" s="26" t="n">
        <v>46089</v>
      </c>
      <c r="D1846" s="6" t="s">
        <v>5171</v>
      </c>
      <c r="E1846" s="6" t="s">
        <v>23</v>
      </c>
      <c r="F1846" s="6" t="n">
        <v>4</v>
      </c>
      <c r="G1846" s="10" t="n">
        <v>734</v>
      </c>
      <c r="H1846" s="10" t="n">
        <f aca="false">F1846*G1846</f>
        <v>2936</v>
      </c>
      <c r="I1846" s="6" t="s">
        <v>5130</v>
      </c>
    </row>
    <row r="1847" customFormat="false" ht="15" hidden="false" customHeight="false" outlineLevel="0" collapsed="false">
      <c r="A1847" s="6" t="s">
        <v>7069</v>
      </c>
      <c r="B1847" s="6" t="s">
        <v>4943</v>
      </c>
      <c r="C1847" s="26" t="n">
        <v>46089</v>
      </c>
      <c r="D1847" s="6" t="s">
        <v>5357</v>
      </c>
      <c r="E1847" s="6" t="s">
        <v>23</v>
      </c>
      <c r="F1847" s="6" t="n">
        <v>4</v>
      </c>
      <c r="G1847" s="10" t="n">
        <v>534</v>
      </c>
      <c r="H1847" s="10" t="n">
        <f aca="false">F1847*G1847</f>
        <v>2136</v>
      </c>
      <c r="I1847" s="6" t="s">
        <v>5125</v>
      </c>
    </row>
    <row r="1848" customFormat="false" ht="15" hidden="false" customHeight="false" outlineLevel="0" collapsed="false">
      <c r="A1848" s="6" t="s">
        <v>7070</v>
      </c>
      <c r="B1848" s="6" t="s">
        <v>3153</v>
      </c>
      <c r="C1848" s="26" t="n">
        <v>46089</v>
      </c>
      <c r="D1848" s="6" t="s">
        <v>5180</v>
      </c>
      <c r="E1848" s="6" t="s">
        <v>24</v>
      </c>
      <c r="F1848" s="6" t="n">
        <v>1</v>
      </c>
      <c r="G1848" s="10" t="n">
        <v>1888</v>
      </c>
      <c r="H1848" s="10" t="n">
        <f aca="false">F1848*G1848</f>
        <v>1888</v>
      </c>
      <c r="I1848" s="6" t="s">
        <v>5122</v>
      </c>
    </row>
    <row r="1849" customFormat="false" ht="15" hidden="false" customHeight="false" outlineLevel="0" collapsed="false">
      <c r="A1849" s="6" t="s">
        <v>7071</v>
      </c>
      <c r="B1849" s="6" t="s">
        <v>3835</v>
      </c>
      <c r="C1849" s="26" t="n">
        <v>46089</v>
      </c>
      <c r="D1849" s="6" t="s">
        <v>5121</v>
      </c>
      <c r="E1849" s="6" t="s">
        <v>22</v>
      </c>
      <c r="F1849" s="6" t="n">
        <v>1</v>
      </c>
      <c r="G1849" s="10" t="n">
        <v>927</v>
      </c>
      <c r="H1849" s="10" t="n">
        <f aca="false">F1849*G1849</f>
        <v>927</v>
      </c>
      <c r="I1849" s="6" t="s">
        <v>5122</v>
      </c>
    </row>
    <row r="1850" customFormat="false" ht="15" hidden="false" customHeight="false" outlineLevel="0" collapsed="false">
      <c r="A1850" s="6" t="s">
        <v>7072</v>
      </c>
      <c r="B1850" s="6" t="s">
        <v>3725</v>
      </c>
      <c r="C1850" s="26" t="n">
        <v>46089</v>
      </c>
      <c r="D1850" s="6" t="s">
        <v>5165</v>
      </c>
      <c r="E1850" s="6" t="s">
        <v>22</v>
      </c>
      <c r="F1850" s="6" t="n">
        <v>1</v>
      </c>
      <c r="G1850" s="10" t="n">
        <v>928</v>
      </c>
      <c r="H1850" s="10" t="n">
        <f aca="false">F1850*G1850</f>
        <v>928</v>
      </c>
      <c r="I1850" s="6" t="s">
        <v>5122</v>
      </c>
    </row>
    <row r="1851" customFormat="false" ht="15" hidden="false" customHeight="false" outlineLevel="0" collapsed="false">
      <c r="A1851" s="6" t="s">
        <v>7073</v>
      </c>
      <c r="B1851" s="6" t="s">
        <v>324</v>
      </c>
      <c r="C1851" s="26" t="n">
        <v>46089</v>
      </c>
      <c r="D1851" s="6" t="s">
        <v>5216</v>
      </c>
      <c r="E1851" s="6" t="s">
        <v>23</v>
      </c>
      <c r="F1851" s="6" t="n">
        <v>4</v>
      </c>
      <c r="G1851" s="10" t="n">
        <v>587</v>
      </c>
      <c r="H1851" s="10" t="n">
        <f aca="false">F1851*G1851</f>
        <v>2348</v>
      </c>
      <c r="I1851" s="6" t="s">
        <v>5122</v>
      </c>
    </row>
    <row r="1852" customFormat="false" ht="15" hidden="false" customHeight="false" outlineLevel="0" collapsed="false">
      <c r="A1852" s="6" t="s">
        <v>7074</v>
      </c>
      <c r="B1852" s="6" t="s">
        <v>3609</v>
      </c>
      <c r="C1852" s="26" t="n">
        <v>46089</v>
      </c>
      <c r="D1852" s="6" t="s">
        <v>5185</v>
      </c>
      <c r="E1852" s="6" t="s">
        <v>24</v>
      </c>
      <c r="F1852" s="6" t="n">
        <v>1</v>
      </c>
      <c r="G1852" s="10" t="n">
        <v>2033</v>
      </c>
      <c r="H1852" s="10" t="n">
        <f aca="false">F1852*G1852</f>
        <v>2033</v>
      </c>
      <c r="I1852" s="6" t="s">
        <v>5122</v>
      </c>
    </row>
    <row r="1853" customFormat="false" ht="15" hidden="false" customHeight="false" outlineLevel="0" collapsed="false">
      <c r="A1853" s="6" t="s">
        <v>7075</v>
      </c>
      <c r="B1853" s="6" t="s">
        <v>865</v>
      </c>
      <c r="C1853" s="26" t="n">
        <v>46089</v>
      </c>
      <c r="D1853" s="6" t="s">
        <v>5269</v>
      </c>
      <c r="E1853" s="6" t="s">
        <v>22</v>
      </c>
      <c r="F1853" s="6" t="n">
        <v>4</v>
      </c>
      <c r="G1853" s="10" t="n">
        <v>1271</v>
      </c>
      <c r="H1853" s="10" t="n">
        <f aca="false">F1853*G1853</f>
        <v>5084</v>
      </c>
      <c r="I1853" s="6" t="s">
        <v>5148</v>
      </c>
    </row>
    <row r="1854" customFormat="false" ht="15" hidden="false" customHeight="false" outlineLevel="0" collapsed="false">
      <c r="A1854" s="6" t="s">
        <v>7076</v>
      </c>
      <c r="B1854" s="6" t="s">
        <v>2909</v>
      </c>
      <c r="C1854" s="26" t="n">
        <v>46089</v>
      </c>
      <c r="D1854" s="6" t="s">
        <v>5180</v>
      </c>
      <c r="E1854" s="6" t="s">
        <v>24</v>
      </c>
      <c r="F1854" s="6" t="n">
        <v>3</v>
      </c>
      <c r="G1854" s="10" t="n">
        <v>1788</v>
      </c>
      <c r="H1854" s="10" t="n">
        <f aca="false">F1854*G1854</f>
        <v>5364</v>
      </c>
      <c r="I1854" s="6" t="s">
        <v>5133</v>
      </c>
    </row>
    <row r="1855" customFormat="false" ht="15" hidden="false" customHeight="false" outlineLevel="0" collapsed="false">
      <c r="A1855" s="6" t="s">
        <v>7077</v>
      </c>
      <c r="B1855" s="6" t="s">
        <v>3423</v>
      </c>
      <c r="C1855" s="26" t="n">
        <v>46089</v>
      </c>
      <c r="D1855" s="6" t="s">
        <v>5167</v>
      </c>
      <c r="E1855" s="6" t="s">
        <v>22</v>
      </c>
      <c r="F1855" s="6" t="n">
        <v>3</v>
      </c>
      <c r="G1855" s="10" t="n">
        <v>703</v>
      </c>
      <c r="H1855" s="10" t="n">
        <f aca="false">F1855*G1855</f>
        <v>2109</v>
      </c>
      <c r="I1855" s="6" t="s">
        <v>5130</v>
      </c>
    </row>
    <row r="1856" customFormat="false" ht="15" hidden="false" customHeight="false" outlineLevel="0" collapsed="false">
      <c r="A1856" s="6" t="s">
        <v>7078</v>
      </c>
      <c r="B1856" s="6" t="s">
        <v>2549</v>
      </c>
      <c r="C1856" s="26" t="n">
        <v>46089</v>
      </c>
      <c r="D1856" s="6" t="s">
        <v>5121</v>
      </c>
      <c r="E1856" s="6" t="s">
        <v>22</v>
      </c>
      <c r="F1856" s="6" t="n">
        <v>3</v>
      </c>
      <c r="G1856" s="10" t="n">
        <v>977</v>
      </c>
      <c r="H1856" s="10" t="n">
        <f aca="false">F1856*G1856</f>
        <v>2931</v>
      </c>
      <c r="I1856" s="6" t="s">
        <v>5125</v>
      </c>
    </row>
    <row r="1857" customFormat="false" ht="15" hidden="false" customHeight="false" outlineLevel="0" collapsed="false">
      <c r="A1857" s="6" t="s">
        <v>7079</v>
      </c>
      <c r="B1857" s="6" t="s">
        <v>4241</v>
      </c>
      <c r="C1857" s="26" t="n">
        <v>46089</v>
      </c>
      <c r="D1857" s="6" t="s">
        <v>5190</v>
      </c>
      <c r="E1857" s="6" t="s">
        <v>24</v>
      </c>
      <c r="F1857" s="6" t="n">
        <v>3</v>
      </c>
      <c r="G1857" s="10" t="n">
        <v>610</v>
      </c>
      <c r="H1857" s="10" t="n">
        <f aca="false">F1857*G1857</f>
        <v>1830</v>
      </c>
      <c r="I1857" s="6" t="s">
        <v>5122</v>
      </c>
    </row>
    <row r="1858" customFormat="false" ht="15" hidden="false" customHeight="false" outlineLevel="0" collapsed="false">
      <c r="A1858" s="6" t="s">
        <v>7080</v>
      </c>
      <c r="B1858" s="6" t="s">
        <v>1517</v>
      </c>
      <c r="C1858" s="26" t="n">
        <v>46089</v>
      </c>
      <c r="D1858" s="6" t="s">
        <v>5167</v>
      </c>
      <c r="E1858" s="6" t="s">
        <v>22</v>
      </c>
      <c r="F1858" s="6" t="n">
        <v>2</v>
      </c>
      <c r="G1858" s="10" t="n">
        <v>782</v>
      </c>
      <c r="H1858" s="10" t="n">
        <f aca="false">F1858*G1858</f>
        <v>1564</v>
      </c>
      <c r="I1858" s="6" t="s">
        <v>5122</v>
      </c>
    </row>
    <row r="1859" customFormat="false" ht="15" hidden="false" customHeight="false" outlineLevel="0" collapsed="false">
      <c r="A1859" s="6" t="s">
        <v>7081</v>
      </c>
      <c r="B1859" s="6" t="s">
        <v>4843</v>
      </c>
      <c r="C1859" s="26" t="n">
        <v>46089</v>
      </c>
      <c r="D1859" s="6" t="s">
        <v>5180</v>
      </c>
      <c r="E1859" s="6" t="s">
        <v>24</v>
      </c>
      <c r="F1859" s="6" t="n">
        <v>1</v>
      </c>
      <c r="G1859" s="10" t="n">
        <v>1987</v>
      </c>
      <c r="H1859" s="10" t="n">
        <f aca="false">F1859*G1859</f>
        <v>1987</v>
      </c>
      <c r="I1859" s="6" t="s">
        <v>5122</v>
      </c>
    </row>
    <row r="1860" customFormat="false" ht="15" hidden="false" customHeight="false" outlineLevel="0" collapsed="false">
      <c r="A1860" s="6" t="s">
        <v>7082</v>
      </c>
      <c r="B1860" s="6" t="s">
        <v>4587</v>
      </c>
      <c r="C1860" s="26" t="n">
        <v>46089</v>
      </c>
      <c r="D1860" s="6" t="s">
        <v>5165</v>
      </c>
      <c r="E1860" s="6" t="s">
        <v>22</v>
      </c>
      <c r="F1860" s="6" t="n">
        <v>1</v>
      </c>
      <c r="G1860" s="10" t="n">
        <v>977</v>
      </c>
      <c r="H1860" s="10" t="n">
        <f aca="false">F1860*G1860</f>
        <v>977</v>
      </c>
      <c r="I1860" s="6" t="s">
        <v>5122</v>
      </c>
    </row>
    <row r="1861" customFormat="false" ht="15" hidden="false" customHeight="false" outlineLevel="0" collapsed="false">
      <c r="A1861" s="6" t="s">
        <v>7083</v>
      </c>
      <c r="B1861" s="6" t="s">
        <v>4849</v>
      </c>
      <c r="C1861" s="26" t="n">
        <v>46089</v>
      </c>
      <c r="D1861" s="6" t="s">
        <v>5160</v>
      </c>
      <c r="E1861" s="6" t="s">
        <v>21</v>
      </c>
      <c r="F1861" s="6" t="n">
        <v>1</v>
      </c>
      <c r="G1861" s="10" t="n">
        <v>2751</v>
      </c>
      <c r="H1861" s="10" t="n">
        <f aca="false">F1861*G1861</f>
        <v>2751</v>
      </c>
      <c r="I1861" s="6" t="s">
        <v>5122</v>
      </c>
    </row>
    <row r="1862" customFormat="false" ht="15" hidden="false" customHeight="false" outlineLevel="0" collapsed="false">
      <c r="A1862" s="6" t="s">
        <v>7084</v>
      </c>
      <c r="B1862" s="6" t="s">
        <v>1685</v>
      </c>
      <c r="C1862" s="26" t="n">
        <v>46089</v>
      </c>
      <c r="D1862" s="6" t="s">
        <v>5339</v>
      </c>
      <c r="E1862" s="6" t="s">
        <v>24</v>
      </c>
      <c r="F1862" s="6" t="n">
        <v>2</v>
      </c>
      <c r="G1862" s="10" t="n">
        <v>483</v>
      </c>
      <c r="H1862" s="10" t="n">
        <f aca="false">F1862*G1862</f>
        <v>966</v>
      </c>
      <c r="I1862" s="6" t="s">
        <v>5130</v>
      </c>
    </row>
    <row r="1863" customFormat="false" ht="15" hidden="false" customHeight="false" outlineLevel="0" collapsed="false">
      <c r="A1863" s="6" t="s">
        <v>7085</v>
      </c>
      <c r="B1863" s="6" t="s">
        <v>2751</v>
      </c>
      <c r="C1863" s="26" t="n">
        <v>46089</v>
      </c>
      <c r="D1863" s="6" t="s">
        <v>5167</v>
      </c>
      <c r="E1863" s="6" t="s">
        <v>22</v>
      </c>
      <c r="F1863" s="6" t="n">
        <v>1</v>
      </c>
      <c r="G1863" s="10" t="n">
        <v>782</v>
      </c>
      <c r="H1863" s="10" t="n">
        <f aca="false">F1863*G1863</f>
        <v>782</v>
      </c>
      <c r="I1863" s="6" t="s">
        <v>5122</v>
      </c>
    </row>
    <row r="1864" customFormat="false" ht="15" hidden="false" customHeight="false" outlineLevel="0" collapsed="false">
      <c r="A1864" s="6" t="s">
        <v>7086</v>
      </c>
      <c r="B1864" s="6" t="s">
        <v>4015</v>
      </c>
      <c r="C1864" s="26" t="n">
        <v>46089</v>
      </c>
      <c r="D1864" s="6" t="s">
        <v>5121</v>
      </c>
      <c r="E1864" s="6" t="s">
        <v>22</v>
      </c>
      <c r="F1864" s="6" t="n">
        <v>2</v>
      </c>
      <c r="G1864" s="10" t="n">
        <v>977</v>
      </c>
      <c r="H1864" s="10" t="n">
        <f aca="false">F1864*G1864</f>
        <v>1954</v>
      </c>
      <c r="I1864" s="6" t="s">
        <v>5173</v>
      </c>
    </row>
    <row r="1865" customFormat="false" ht="15" hidden="false" customHeight="false" outlineLevel="0" collapsed="false">
      <c r="A1865" s="6" t="s">
        <v>7087</v>
      </c>
      <c r="B1865" s="6" t="s">
        <v>3173</v>
      </c>
      <c r="C1865" s="26" t="n">
        <v>46089</v>
      </c>
      <c r="D1865" s="6" t="s">
        <v>5460</v>
      </c>
      <c r="E1865" s="6" t="s">
        <v>24</v>
      </c>
      <c r="F1865" s="6" t="n">
        <v>2</v>
      </c>
      <c r="G1865" s="10" t="n">
        <v>500</v>
      </c>
      <c r="H1865" s="10" t="n">
        <f aca="false">F1865*G1865</f>
        <v>1000</v>
      </c>
      <c r="I1865" s="6" t="s">
        <v>5122</v>
      </c>
    </row>
    <row r="1866" customFormat="false" ht="15" hidden="false" customHeight="false" outlineLevel="0" collapsed="false">
      <c r="A1866" s="6" t="s">
        <v>7088</v>
      </c>
      <c r="B1866" s="6" t="s">
        <v>1495</v>
      </c>
      <c r="C1866" s="26" t="n">
        <v>46090</v>
      </c>
      <c r="D1866" s="6" t="s">
        <v>5121</v>
      </c>
      <c r="E1866" s="6" t="s">
        <v>22</v>
      </c>
      <c r="F1866" s="6" t="n">
        <v>1</v>
      </c>
      <c r="G1866" s="10" t="n">
        <v>928</v>
      </c>
      <c r="H1866" s="10" t="n">
        <f aca="false">F1866*G1866</f>
        <v>928</v>
      </c>
      <c r="I1866" s="6" t="s">
        <v>5122</v>
      </c>
    </row>
    <row r="1867" customFormat="false" ht="15" hidden="false" customHeight="false" outlineLevel="0" collapsed="false">
      <c r="A1867" s="6" t="s">
        <v>7089</v>
      </c>
      <c r="B1867" s="6" t="s">
        <v>2023</v>
      </c>
      <c r="C1867" s="26" t="n">
        <v>46090</v>
      </c>
      <c r="D1867" s="6" t="s">
        <v>5171</v>
      </c>
      <c r="E1867" s="6" t="s">
        <v>23</v>
      </c>
      <c r="F1867" s="6" t="n">
        <v>2</v>
      </c>
      <c r="G1867" s="10" t="n">
        <v>734</v>
      </c>
      <c r="H1867" s="10" t="n">
        <f aca="false">F1867*G1867</f>
        <v>1468</v>
      </c>
      <c r="I1867" s="6" t="s">
        <v>5122</v>
      </c>
    </row>
    <row r="1868" customFormat="false" ht="15" hidden="false" customHeight="false" outlineLevel="0" collapsed="false">
      <c r="A1868" s="6" t="s">
        <v>7090</v>
      </c>
      <c r="B1868" s="6" t="s">
        <v>3091</v>
      </c>
      <c r="C1868" s="26" t="n">
        <v>46090</v>
      </c>
      <c r="D1868" s="6" t="s">
        <v>5460</v>
      </c>
      <c r="E1868" s="6" t="s">
        <v>24</v>
      </c>
      <c r="F1868" s="6" t="n">
        <v>2</v>
      </c>
      <c r="G1868" s="10" t="n">
        <v>555</v>
      </c>
      <c r="H1868" s="10" t="n">
        <f aca="false">F1868*G1868</f>
        <v>1110</v>
      </c>
      <c r="I1868" s="6" t="s">
        <v>5122</v>
      </c>
    </row>
    <row r="1869" customFormat="false" ht="15" hidden="false" customHeight="false" outlineLevel="0" collapsed="false">
      <c r="A1869" s="6" t="s">
        <v>7091</v>
      </c>
      <c r="B1869" s="6" t="s">
        <v>2037</v>
      </c>
      <c r="C1869" s="26" t="n">
        <v>46090</v>
      </c>
      <c r="D1869" s="6" t="s">
        <v>5129</v>
      </c>
      <c r="E1869" s="6" t="s">
        <v>21</v>
      </c>
      <c r="F1869" s="6" t="n">
        <v>2</v>
      </c>
      <c r="G1869" s="10" t="n">
        <v>530</v>
      </c>
      <c r="H1869" s="10" t="n">
        <f aca="false">F1869*G1869</f>
        <v>1060</v>
      </c>
      <c r="I1869" s="6" t="s">
        <v>5122</v>
      </c>
    </row>
    <row r="1870" customFormat="false" ht="15" hidden="false" customHeight="false" outlineLevel="0" collapsed="false">
      <c r="A1870" s="6" t="s">
        <v>7092</v>
      </c>
      <c r="B1870" s="6" t="s">
        <v>3125</v>
      </c>
      <c r="C1870" s="26" t="n">
        <v>46090</v>
      </c>
      <c r="D1870" s="6" t="s">
        <v>5522</v>
      </c>
      <c r="E1870" s="6" t="s">
        <v>21</v>
      </c>
      <c r="F1870" s="6" t="n">
        <v>1</v>
      </c>
      <c r="G1870" s="10" t="n">
        <v>12777</v>
      </c>
      <c r="H1870" s="10" t="n">
        <f aca="false">F1870*G1870</f>
        <v>12777</v>
      </c>
      <c r="I1870" s="6" t="s">
        <v>5122</v>
      </c>
    </row>
    <row r="1871" customFormat="false" ht="15" hidden="false" customHeight="false" outlineLevel="0" collapsed="false">
      <c r="A1871" s="6" t="s">
        <v>7093</v>
      </c>
      <c r="B1871" s="6" t="s">
        <v>1137</v>
      </c>
      <c r="C1871" s="26" t="n">
        <v>46090</v>
      </c>
      <c r="D1871" s="6" t="s">
        <v>5167</v>
      </c>
      <c r="E1871" s="6" t="s">
        <v>22</v>
      </c>
      <c r="F1871" s="6" t="n">
        <v>2</v>
      </c>
      <c r="G1871" s="10" t="n">
        <v>743</v>
      </c>
      <c r="H1871" s="10" t="n">
        <f aca="false">F1871*G1871</f>
        <v>1486</v>
      </c>
      <c r="I1871" s="6" t="s">
        <v>5173</v>
      </c>
    </row>
    <row r="1872" customFormat="false" ht="15" hidden="false" customHeight="false" outlineLevel="0" collapsed="false">
      <c r="A1872" s="6" t="s">
        <v>7094</v>
      </c>
      <c r="B1872" s="6" t="s">
        <v>1641</v>
      </c>
      <c r="C1872" s="26" t="n">
        <v>46090</v>
      </c>
      <c r="D1872" s="6" t="s">
        <v>5269</v>
      </c>
      <c r="E1872" s="6" t="s">
        <v>22</v>
      </c>
      <c r="F1872" s="6" t="n">
        <v>1</v>
      </c>
      <c r="G1872" s="10" t="n">
        <v>1207</v>
      </c>
      <c r="H1872" s="10" t="n">
        <f aca="false">F1872*G1872</f>
        <v>1207</v>
      </c>
      <c r="I1872" s="6" t="s">
        <v>5122</v>
      </c>
    </row>
    <row r="1873" customFormat="false" ht="15" hidden="false" customHeight="false" outlineLevel="0" collapsed="false">
      <c r="A1873" s="6" t="s">
        <v>7095</v>
      </c>
      <c r="B1873" s="6" t="s">
        <v>1043</v>
      </c>
      <c r="C1873" s="26" t="n">
        <v>46090</v>
      </c>
      <c r="D1873" s="6" t="s">
        <v>5167</v>
      </c>
      <c r="E1873" s="6" t="s">
        <v>22</v>
      </c>
      <c r="F1873" s="6" t="n">
        <v>1</v>
      </c>
      <c r="G1873" s="10" t="n">
        <v>782</v>
      </c>
      <c r="H1873" s="10" t="n">
        <f aca="false">F1873*G1873</f>
        <v>782</v>
      </c>
      <c r="I1873" s="6" t="s">
        <v>5130</v>
      </c>
    </row>
    <row r="1874" customFormat="false" ht="15" hidden="false" customHeight="false" outlineLevel="0" collapsed="false">
      <c r="A1874" s="6" t="s">
        <v>7096</v>
      </c>
      <c r="B1874" s="6" t="s">
        <v>4275</v>
      </c>
      <c r="C1874" s="26" t="n">
        <v>46090</v>
      </c>
      <c r="D1874" s="6" t="s">
        <v>6114</v>
      </c>
      <c r="E1874" s="6" t="s">
        <v>20</v>
      </c>
      <c r="F1874" s="6" t="n">
        <v>1</v>
      </c>
      <c r="G1874" s="10" t="n">
        <v>11931</v>
      </c>
      <c r="H1874" s="10" t="n">
        <f aca="false">F1874*G1874</f>
        <v>11931</v>
      </c>
      <c r="I1874" s="6" t="s">
        <v>5122</v>
      </c>
    </row>
    <row r="1875" customFormat="false" ht="15" hidden="false" customHeight="false" outlineLevel="0" collapsed="false">
      <c r="A1875" s="6" t="s">
        <v>7097</v>
      </c>
      <c r="B1875" s="6" t="s">
        <v>2999</v>
      </c>
      <c r="C1875" s="26" t="n">
        <v>46090</v>
      </c>
      <c r="D1875" s="6" t="s">
        <v>5837</v>
      </c>
      <c r="E1875" s="6" t="s">
        <v>21</v>
      </c>
      <c r="F1875" s="6" t="n">
        <v>1</v>
      </c>
      <c r="G1875" s="10" t="n">
        <v>2948</v>
      </c>
      <c r="H1875" s="10" t="n">
        <f aca="false">F1875*G1875</f>
        <v>2948</v>
      </c>
      <c r="I1875" s="6" t="s">
        <v>5122</v>
      </c>
    </row>
    <row r="1876" customFormat="false" ht="15" hidden="false" customHeight="false" outlineLevel="0" collapsed="false">
      <c r="A1876" s="6" t="s">
        <v>7098</v>
      </c>
      <c r="B1876" s="6" t="s">
        <v>2961</v>
      </c>
      <c r="C1876" s="26" t="n">
        <v>46090</v>
      </c>
      <c r="D1876" s="6" t="s">
        <v>5167</v>
      </c>
      <c r="E1876" s="6" t="s">
        <v>22</v>
      </c>
      <c r="F1876" s="6" t="n">
        <v>1</v>
      </c>
      <c r="G1876" s="10" t="n">
        <v>782</v>
      </c>
      <c r="H1876" s="10" t="n">
        <f aca="false">F1876*G1876</f>
        <v>782</v>
      </c>
      <c r="I1876" s="6" t="s">
        <v>5173</v>
      </c>
    </row>
    <row r="1877" customFormat="false" ht="15" hidden="false" customHeight="false" outlineLevel="0" collapsed="false">
      <c r="A1877" s="6" t="s">
        <v>7099</v>
      </c>
      <c r="B1877" s="6" t="s">
        <v>993</v>
      </c>
      <c r="C1877" s="26" t="n">
        <v>46090</v>
      </c>
      <c r="D1877" s="6" t="s">
        <v>5466</v>
      </c>
      <c r="E1877" s="6" t="s">
        <v>21</v>
      </c>
      <c r="F1877" s="6" t="n">
        <v>1</v>
      </c>
      <c r="G1877" s="10" t="n">
        <v>1965</v>
      </c>
      <c r="H1877" s="10" t="n">
        <f aca="false">F1877*G1877</f>
        <v>1965</v>
      </c>
      <c r="I1877" s="6" t="s">
        <v>5173</v>
      </c>
    </row>
    <row r="1878" customFormat="false" ht="15" hidden="false" customHeight="false" outlineLevel="0" collapsed="false">
      <c r="A1878" s="6" t="s">
        <v>7100</v>
      </c>
      <c r="B1878" s="6" t="s">
        <v>156</v>
      </c>
      <c r="C1878" s="26" t="n">
        <v>46090</v>
      </c>
      <c r="D1878" s="6" t="s">
        <v>5313</v>
      </c>
      <c r="E1878" s="6" t="s">
        <v>22</v>
      </c>
      <c r="F1878" s="6" t="n">
        <v>2</v>
      </c>
      <c r="G1878" s="10" t="n">
        <v>1760</v>
      </c>
      <c r="H1878" s="10" t="n">
        <f aca="false">F1878*G1878</f>
        <v>3520</v>
      </c>
      <c r="I1878" s="6" t="s">
        <v>5148</v>
      </c>
    </row>
    <row r="1879" customFormat="false" ht="15" hidden="false" customHeight="false" outlineLevel="0" collapsed="false">
      <c r="A1879" s="6" t="s">
        <v>7101</v>
      </c>
      <c r="B1879" s="6" t="s">
        <v>1669</v>
      </c>
      <c r="C1879" s="26" t="n">
        <v>46090</v>
      </c>
      <c r="D1879" s="6" t="s">
        <v>5167</v>
      </c>
      <c r="E1879" s="6" t="s">
        <v>22</v>
      </c>
      <c r="F1879" s="6" t="n">
        <v>1</v>
      </c>
      <c r="G1879" s="10" t="n">
        <v>782</v>
      </c>
      <c r="H1879" s="10" t="n">
        <f aca="false">F1879*G1879</f>
        <v>782</v>
      </c>
      <c r="I1879" s="6" t="s">
        <v>5130</v>
      </c>
    </row>
    <row r="1880" customFormat="false" ht="15" hidden="false" customHeight="false" outlineLevel="0" collapsed="false">
      <c r="A1880" s="6" t="s">
        <v>7102</v>
      </c>
      <c r="B1880" s="6" t="s">
        <v>4391</v>
      </c>
      <c r="C1880" s="26" t="n">
        <v>46090</v>
      </c>
      <c r="D1880" s="6" t="s">
        <v>5165</v>
      </c>
      <c r="E1880" s="6" t="s">
        <v>22</v>
      </c>
      <c r="F1880" s="6" t="n">
        <v>4</v>
      </c>
      <c r="G1880" s="10" t="n">
        <v>977</v>
      </c>
      <c r="H1880" s="10" t="n">
        <f aca="false">F1880*G1880</f>
        <v>3908</v>
      </c>
      <c r="I1880" s="6" t="s">
        <v>5130</v>
      </c>
    </row>
    <row r="1881" customFormat="false" ht="15" hidden="false" customHeight="false" outlineLevel="0" collapsed="false">
      <c r="A1881" s="6" t="s">
        <v>7103</v>
      </c>
      <c r="B1881" s="6" t="s">
        <v>3797</v>
      </c>
      <c r="C1881" s="26" t="n">
        <v>46090</v>
      </c>
      <c r="D1881" s="6" t="s">
        <v>5171</v>
      </c>
      <c r="E1881" s="6" t="s">
        <v>23</v>
      </c>
      <c r="F1881" s="6" t="n">
        <v>2</v>
      </c>
      <c r="G1881" s="10" t="n">
        <v>734</v>
      </c>
      <c r="H1881" s="10" t="n">
        <f aca="false">F1881*G1881</f>
        <v>1468</v>
      </c>
      <c r="I1881" s="6" t="s">
        <v>5130</v>
      </c>
    </row>
    <row r="1882" customFormat="false" ht="15" hidden="false" customHeight="false" outlineLevel="0" collapsed="false">
      <c r="A1882" s="6" t="s">
        <v>7104</v>
      </c>
      <c r="B1882" s="6" t="s">
        <v>1875</v>
      </c>
      <c r="C1882" s="26" t="n">
        <v>46090</v>
      </c>
      <c r="D1882" s="6" t="s">
        <v>5127</v>
      </c>
      <c r="E1882" s="6" t="s">
        <v>21</v>
      </c>
      <c r="F1882" s="6" t="n">
        <v>1</v>
      </c>
      <c r="G1882" s="10" t="n">
        <v>884</v>
      </c>
      <c r="H1882" s="10" t="n">
        <f aca="false">F1882*G1882</f>
        <v>884</v>
      </c>
      <c r="I1882" s="6" t="s">
        <v>5148</v>
      </c>
    </row>
    <row r="1883" customFormat="false" ht="15" hidden="false" customHeight="false" outlineLevel="0" collapsed="false">
      <c r="A1883" s="6" t="s">
        <v>7105</v>
      </c>
      <c r="B1883" s="6" t="s">
        <v>5111</v>
      </c>
      <c r="C1883" s="26" t="n">
        <v>46090</v>
      </c>
      <c r="D1883" s="6" t="s">
        <v>5185</v>
      </c>
      <c r="E1883" s="6" t="s">
        <v>24</v>
      </c>
      <c r="F1883" s="6" t="n">
        <v>1</v>
      </c>
      <c r="G1883" s="10" t="n">
        <v>2140</v>
      </c>
      <c r="H1883" s="10" t="n">
        <f aca="false">F1883*G1883</f>
        <v>2140</v>
      </c>
      <c r="I1883" s="6" t="s">
        <v>5122</v>
      </c>
    </row>
    <row r="1884" customFormat="false" ht="15" hidden="false" customHeight="false" outlineLevel="0" collapsed="false">
      <c r="A1884" s="6" t="s">
        <v>7106</v>
      </c>
      <c r="B1884" s="6" t="s">
        <v>1231</v>
      </c>
      <c r="C1884" s="26" t="n">
        <v>46090</v>
      </c>
      <c r="D1884" s="6" t="s">
        <v>5242</v>
      </c>
      <c r="E1884" s="6" t="s">
        <v>23</v>
      </c>
      <c r="F1884" s="6" t="n">
        <v>3</v>
      </c>
      <c r="G1884" s="10" t="n">
        <v>354</v>
      </c>
      <c r="H1884" s="10" t="n">
        <f aca="false">F1884*G1884</f>
        <v>1062</v>
      </c>
      <c r="I1884" s="6" t="s">
        <v>5125</v>
      </c>
    </row>
    <row r="1885" customFormat="false" ht="15" hidden="false" customHeight="false" outlineLevel="0" collapsed="false">
      <c r="A1885" s="6" t="s">
        <v>7107</v>
      </c>
      <c r="B1885" s="6" t="s">
        <v>2467</v>
      </c>
      <c r="C1885" s="26" t="n">
        <v>46090</v>
      </c>
      <c r="D1885" s="6" t="s">
        <v>5318</v>
      </c>
      <c r="E1885" s="6" t="s">
        <v>20</v>
      </c>
      <c r="F1885" s="6" t="n">
        <v>1</v>
      </c>
      <c r="G1885" s="10" t="n">
        <v>1452</v>
      </c>
      <c r="H1885" s="10" t="n">
        <f aca="false">F1885*G1885</f>
        <v>1452</v>
      </c>
      <c r="I1885" s="6" t="s">
        <v>5122</v>
      </c>
    </row>
    <row r="1886" customFormat="false" ht="15" hidden="false" customHeight="false" outlineLevel="0" collapsed="false">
      <c r="A1886" s="6" t="s">
        <v>7108</v>
      </c>
      <c r="B1886" s="6" t="s">
        <v>3247</v>
      </c>
      <c r="C1886" s="26" t="n">
        <v>46090</v>
      </c>
      <c r="D1886" s="6" t="s">
        <v>5139</v>
      </c>
      <c r="E1886" s="6" t="s">
        <v>23</v>
      </c>
      <c r="F1886" s="6" t="n">
        <v>2</v>
      </c>
      <c r="G1886" s="10" t="n">
        <v>279</v>
      </c>
      <c r="H1886" s="10" t="n">
        <f aca="false">F1886*G1886</f>
        <v>558</v>
      </c>
      <c r="I1886" s="6" t="s">
        <v>5133</v>
      </c>
    </row>
    <row r="1887" customFormat="false" ht="15" hidden="false" customHeight="false" outlineLevel="0" collapsed="false">
      <c r="A1887" s="6" t="s">
        <v>7109</v>
      </c>
      <c r="B1887" s="6" t="s">
        <v>1271</v>
      </c>
      <c r="C1887" s="26" t="n">
        <v>46090</v>
      </c>
      <c r="D1887" s="6" t="s">
        <v>5259</v>
      </c>
      <c r="E1887" s="6" t="s">
        <v>22</v>
      </c>
      <c r="F1887" s="6" t="n">
        <v>2</v>
      </c>
      <c r="G1887" s="10" t="n">
        <v>1564</v>
      </c>
      <c r="H1887" s="10" t="n">
        <f aca="false">F1887*G1887</f>
        <v>3128</v>
      </c>
      <c r="I1887" s="6" t="s">
        <v>5122</v>
      </c>
    </row>
    <row r="1888" customFormat="false" ht="15" hidden="false" customHeight="false" outlineLevel="0" collapsed="false">
      <c r="A1888" s="6" t="s">
        <v>7110</v>
      </c>
      <c r="B1888" s="6" t="s">
        <v>4249</v>
      </c>
      <c r="C1888" s="26" t="n">
        <v>46090</v>
      </c>
      <c r="D1888" s="6" t="s">
        <v>5182</v>
      </c>
      <c r="E1888" s="6" t="s">
        <v>23</v>
      </c>
      <c r="F1888" s="6" t="n">
        <v>2</v>
      </c>
      <c r="G1888" s="10" t="n">
        <v>349</v>
      </c>
      <c r="H1888" s="10" t="n">
        <f aca="false">F1888*G1888</f>
        <v>698</v>
      </c>
      <c r="I1888" s="6" t="s">
        <v>5125</v>
      </c>
    </row>
    <row r="1889" customFormat="false" ht="15" hidden="false" customHeight="false" outlineLevel="0" collapsed="false">
      <c r="A1889" s="6" t="s">
        <v>7111</v>
      </c>
      <c r="B1889" s="6" t="s">
        <v>3041</v>
      </c>
      <c r="C1889" s="26" t="n">
        <v>46090</v>
      </c>
      <c r="D1889" s="6" t="s">
        <v>5353</v>
      </c>
      <c r="E1889" s="6" t="s">
        <v>24</v>
      </c>
      <c r="F1889" s="6" t="n">
        <v>2</v>
      </c>
      <c r="G1889" s="10" t="n">
        <v>1629</v>
      </c>
      <c r="H1889" s="10" t="n">
        <f aca="false">F1889*G1889</f>
        <v>3258</v>
      </c>
      <c r="I1889" s="6" t="s">
        <v>5122</v>
      </c>
    </row>
    <row r="1890" customFormat="false" ht="15" hidden="false" customHeight="false" outlineLevel="0" collapsed="false">
      <c r="A1890" s="6" t="s">
        <v>7112</v>
      </c>
      <c r="B1890" s="6" t="s">
        <v>1325</v>
      </c>
      <c r="C1890" s="26" t="n">
        <v>46090</v>
      </c>
      <c r="D1890" s="6" t="s">
        <v>5188</v>
      </c>
      <c r="E1890" s="6" t="s">
        <v>24</v>
      </c>
      <c r="F1890" s="6" t="n">
        <v>2</v>
      </c>
      <c r="G1890" s="10" t="n">
        <v>967</v>
      </c>
      <c r="H1890" s="10" t="n">
        <f aca="false">F1890*G1890</f>
        <v>1934</v>
      </c>
      <c r="I1890" s="6" t="s">
        <v>5122</v>
      </c>
    </row>
    <row r="1891" customFormat="false" ht="15" hidden="false" customHeight="false" outlineLevel="0" collapsed="false">
      <c r="A1891" s="6" t="s">
        <v>7113</v>
      </c>
      <c r="B1891" s="6" t="s">
        <v>1345</v>
      </c>
      <c r="C1891" s="26" t="n">
        <v>46090</v>
      </c>
      <c r="D1891" s="6" t="s">
        <v>5167</v>
      </c>
      <c r="E1891" s="6" t="s">
        <v>22</v>
      </c>
      <c r="F1891" s="6" t="n">
        <v>2</v>
      </c>
      <c r="G1891" s="10" t="n">
        <v>782</v>
      </c>
      <c r="H1891" s="10" t="n">
        <f aca="false">F1891*G1891</f>
        <v>1564</v>
      </c>
      <c r="I1891" s="6" t="s">
        <v>5130</v>
      </c>
    </row>
    <row r="1892" customFormat="false" ht="15" hidden="false" customHeight="false" outlineLevel="0" collapsed="false">
      <c r="A1892" s="6" t="s">
        <v>7114</v>
      </c>
      <c r="B1892" s="6" t="s">
        <v>2183</v>
      </c>
      <c r="C1892" s="26" t="n">
        <v>46090</v>
      </c>
      <c r="D1892" s="6" t="s">
        <v>5458</v>
      </c>
      <c r="E1892" s="6" t="s">
        <v>24</v>
      </c>
      <c r="F1892" s="6" t="n">
        <v>3</v>
      </c>
      <c r="G1892" s="10" t="n">
        <v>559</v>
      </c>
      <c r="H1892" s="10" t="n">
        <f aca="false">F1892*G1892</f>
        <v>1677</v>
      </c>
      <c r="I1892" s="6" t="s">
        <v>5122</v>
      </c>
    </row>
    <row r="1893" customFormat="false" ht="15" hidden="false" customHeight="false" outlineLevel="0" collapsed="false">
      <c r="A1893" s="6" t="s">
        <v>7115</v>
      </c>
      <c r="B1893" s="6" t="s">
        <v>4725</v>
      </c>
      <c r="C1893" s="26" t="n">
        <v>46090</v>
      </c>
      <c r="D1893" s="6" t="s">
        <v>5163</v>
      </c>
      <c r="E1893" s="6" t="s">
        <v>23</v>
      </c>
      <c r="F1893" s="6" t="n">
        <v>5</v>
      </c>
      <c r="G1893" s="10" t="n">
        <v>783</v>
      </c>
      <c r="H1893" s="10" t="n">
        <f aca="false">F1893*G1893</f>
        <v>3915</v>
      </c>
      <c r="I1893" s="6" t="s">
        <v>5122</v>
      </c>
    </row>
    <row r="1894" customFormat="false" ht="15" hidden="false" customHeight="false" outlineLevel="0" collapsed="false">
      <c r="A1894" s="6" t="s">
        <v>7116</v>
      </c>
      <c r="B1894" s="6" t="s">
        <v>2733</v>
      </c>
      <c r="C1894" s="26" t="n">
        <v>46090</v>
      </c>
      <c r="D1894" s="6" t="s">
        <v>5460</v>
      </c>
      <c r="E1894" s="6" t="s">
        <v>24</v>
      </c>
      <c r="F1894" s="6" t="n">
        <v>2</v>
      </c>
      <c r="G1894" s="10" t="n">
        <v>528</v>
      </c>
      <c r="H1894" s="10" t="n">
        <f aca="false">F1894*G1894</f>
        <v>1056</v>
      </c>
      <c r="I1894" s="6" t="s">
        <v>5122</v>
      </c>
    </row>
    <row r="1895" customFormat="false" ht="15" hidden="false" customHeight="false" outlineLevel="0" collapsed="false">
      <c r="A1895" s="6" t="s">
        <v>7117</v>
      </c>
      <c r="B1895" s="6" t="s">
        <v>2403</v>
      </c>
      <c r="C1895" s="26" t="n">
        <v>46090</v>
      </c>
      <c r="D1895" s="6" t="s">
        <v>5165</v>
      </c>
      <c r="E1895" s="6" t="s">
        <v>22</v>
      </c>
      <c r="F1895" s="6" t="n">
        <v>1</v>
      </c>
      <c r="G1895" s="10" t="n">
        <v>977</v>
      </c>
      <c r="H1895" s="10" t="n">
        <f aca="false">F1895*G1895</f>
        <v>977</v>
      </c>
      <c r="I1895" s="6" t="s">
        <v>5122</v>
      </c>
    </row>
    <row r="1896" customFormat="false" ht="15" hidden="false" customHeight="false" outlineLevel="0" collapsed="false">
      <c r="A1896" s="6" t="s">
        <v>7118</v>
      </c>
      <c r="B1896" s="6" t="s">
        <v>1303</v>
      </c>
      <c r="C1896" s="26" t="n">
        <v>46090</v>
      </c>
      <c r="D1896" s="6" t="s">
        <v>5345</v>
      </c>
      <c r="E1896" s="6" t="s">
        <v>23</v>
      </c>
      <c r="F1896" s="6" t="n">
        <v>1</v>
      </c>
      <c r="G1896" s="10" t="n">
        <v>435</v>
      </c>
      <c r="H1896" s="10" t="n">
        <f aca="false">F1896*G1896</f>
        <v>435</v>
      </c>
      <c r="I1896" s="6" t="s">
        <v>5133</v>
      </c>
    </row>
    <row r="1897" customFormat="false" ht="15" hidden="false" customHeight="false" outlineLevel="0" collapsed="false">
      <c r="A1897" s="6" t="s">
        <v>7119</v>
      </c>
      <c r="B1897" s="6" t="s">
        <v>1623</v>
      </c>
      <c r="C1897" s="26" t="n">
        <v>46090</v>
      </c>
      <c r="D1897" s="6" t="s">
        <v>5171</v>
      </c>
      <c r="E1897" s="6" t="s">
        <v>23</v>
      </c>
      <c r="F1897" s="6" t="n">
        <v>5</v>
      </c>
      <c r="G1897" s="10" t="n">
        <v>697</v>
      </c>
      <c r="H1897" s="10" t="n">
        <f aca="false">F1897*G1897</f>
        <v>3485</v>
      </c>
      <c r="I1897" s="6" t="s">
        <v>5130</v>
      </c>
    </row>
    <row r="1898" customFormat="false" ht="15" hidden="false" customHeight="false" outlineLevel="0" collapsed="false">
      <c r="A1898" s="6" t="s">
        <v>7120</v>
      </c>
      <c r="B1898" s="6" t="s">
        <v>631</v>
      </c>
      <c r="C1898" s="26" t="n">
        <v>46090</v>
      </c>
      <c r="D1898" s="6" t="s">
        <v>5165</v>
      </c>
      <c r="E1898" s="6" t="s">
        <v>22</v>
      </c>
      <c r="F1898" s="6" t="n">
        <v>2</v>
      </c>
      <c r="G1898" s="10" t="n">
        <v>928</v>
      </c>
      <c r="H1898" s="10" t="n">
        <f aca="false">F1898*G1898</f>
        <v>1856</v>
      </c>
      <c r="I1898" s="6" t="s">
        <v>5122</v>
      </c>
    </row>
    <row r="1899" customFormat="false" ht="15" hidden="false" customHeight="false" outlineLevel="0" collapsed="false">
      <c r="A1899" s="6" t="s">
        <v>7121</v>
      </c>
      <c r="B1899" s="6" t="s">
        <v>2531</v>
      </c>
      <c r="C1899" s="26" t="n">
        <v>46091</v>
      </c>
      <c r="D1899" s="6" t="s">
        <v>5357</v>
      </c>
      <c r="E1899" s="6" t="s">
        <v>23</v>
      </c>
      <c r="F1899" s="6" t="n">
        <v>2</v>
      </c>
      <c r="G1899" s="10" t="n">
        <v>534</v>
      </c>
      <c r="H1899" s="10" t="n">
        <f aca="false">F1899*G1899</f>
        <v>1068</v>
      </c>
      <c r="I1899" s="6" t="s">
        <v>5133</v>
      </c>
    </row>
    <row r="1900" customFormat="false" ht="15" hidden="false" customHeight="false" outlineLevel="0" collapsed="false">
      <c r="A1900" s="6" t="s">
        <v>7122</v>
      </c>
      <c r="B1900" s="6" t="s">
        <v>2271</v>
      </c>
      <c r="C1900" s="26" t="n">
        <v>46091</v>
      </c>
      <c r="D1900" s="6" t="s">
        <v>5121</v>
      </c>
      <c r="E1900" s="6" t="s">
        <v>22</v>
      </c>
      <c r="F1900" s="6" t="n">
        <v>1</v>
      </c>
      <c r="G1900" s="10" t="n">
        <v>880</v>
      </c>
      <c r="H1900" s="10" t="n">
        <f aca="false">F1900*G1900</f>
        <v>880</v>
      </c>
      <c r="I1900" s="6" t="s">
        <v>5122</v>
      </c>
    </row>
    <row r="1901" customFormat="false" ht="15" hidden="false" customHeight="false" outlineLevel="0" collapsed="false">
      <c r="A1901" s="6" t="s">
        <v>7123</v>
      </c>
      <c r="B1901" s="6" t="s">
        <v>2103</v>
      </c>
      <c r="C1901" s="26" t="n">
        <v>46091</v>
      </c>
      <c r="D1901" s="6" t="s">
        <v>5339</v>
      </c>
      <c r="E1901" s="6" t="s">
        <v>24</v>
      </c>
      <c r="F1901" s="6" t="n">
        <v>2</v>
      </c>
      <c r="G1901" s="10" t="n">
        <v>508</v>
      </c>
      <c r="H1901" s="10" t="n">
        <f aca="false">F1901*G1901</f>
        <v>1016</v>
      </c>
      <c r="I1901" s="6" t="s">
        <v>5148</v>
      </c>
    </row>
    <row r="1902" customFormat="false" ht="15" hidden="false" customHeight="false" outlineLevel="0" collapsed="false">
      <c r="A1902" s="6" t="s">
        <v>7124</v>
      </c>
      <c r="B1902" s="6" t="s">
        <v>4419</v>
      </c>
      <c r="C1902" s="26" t="n">
        <v>46091</v>
      </c>
      <c r="D1902" s="6" t="s">
        <v>5135</v>
      </c>
      <c r="E1902" s="6" t="s">
        <v>23</v>
      </c>
      <c r="F1902" s="6" t="n">
        <v>3</v>
      </c>
      <c r="G1902" s="10" t="n">
        <v>441</v>
      </c>
      <c r="H1902" s="10" t="n">
        <f aca="false">F1902*G1902</f>
        <v>1323</v>
      </c>
      <c r="I1902" s="6" t="s">
        <v>5130</v>
      </c>
    </row>
    <row r="1903" customFormat="false" ht="15" hidden="false" customHeight="false" outlineLevel="0" collapsed="false">
      <c r="A1903" s="6" t="s">
        <v>7125</v>
      </c>
      <c r="B1903" s="6" t="s">
        <v>392</v>
      </c>
      <c r="C1903" s="26" t="n">
        <v>46091</v>
      </c>
      <c r="D1903" s="6" t="s">
        <v>5156</v>
      </c>
      <c r="E1903" s="6" t="s">
        <v>21</v>
      </c>
      <c r="F1903" s="6" t="n">
        <v>1</v>
      </c>
      <c r="G1903" s="10" t="n">
        <v>2161</v>
      </c>
      <c r="H1903" s="10" t="n">
        <f aca="false">F1903*G1903</f>
        <v>2161</v>
      </c>
      <c r="I1903" s="6" t="s">
        <v>5148</v>
      </c>
    </row>
    <row r="1904" customFormat="false" ht="15" hidden="false" customHeight="false" outlineLevel="0" collapsed="false">
      <c r="A1904" s="6" t="s">
        <v>7126</v>
      </c>
      <c r="B1904" s="6" t="s">
        <v>4965</v>
      </c>
      <c r="C1904" s="26" t="n">
        <v>46091</v>
      </c>
      <c r="D1904" s="6" t="s">
        <v>5182</v>
      </c>
      <c r="E1904" s="6" t="s">
        <v>23</v>
      </c>
      <c r="F1904" s="6" t="n">
        <v>4</v>
      </c>
      <c r="G1904" s="10" t="n">
        <v>331</v>
      </c>
      <c r="H1904" s="10" t="n">
        <f aca="false">F1904*G1904</f>
        <v>1324</v>
      </c>
      <c r="I1904" s="6" t="s">
        <v>5173</v>
      </c>
    </row>
    <row r="1905" customFormat="false" ht="15" hidden="false" customHeight="false" outlineLevel="0" collapsed="false">
      <c r="A1905" s="6" t="s">
        <v>7127</v>
      </c>
      <c r="B1905" s="6" t="s">
        <v>2807</v>
      </c>
      <c r="C1905" s="26" t="n">
        <v>46091</v>
      </c>
      <c r="D1905" s="6" t="s">
        <v>5171</v>
      </c>
      <c r="E1905" s="6" t="s">
        <v>23</v>
      </c>
      <c r="F1905" s="6" t="n">
        <v>3</v>
      </c>
      <c r="G1905" s="10" t="n">
        <v>697</v>
      </c>
      <c r="H1905" s="10" t="n">
        <f aca="false">F1905*G1905</f>
        <v>2091</v>
      </c>
      <c r="I1905" s="6" t="s">
        <v>5148</v>
      </c>
    </row>
    <row r="1906" customFormat="false" ht="15" hidden="false" customHeight="false" outlineLevel="0" collapsed="false">
      <c r="A1906" s="6" t="s">
        <v>7128</v>
      </c>
      <c r="B1906" s="6" t="s">
        <v>3789</v>
      </c>
      <c r="C1906" s="26" t="n">
        <v>46091</v>
      </c>
      <c r="D1906" s="6" t="s">
        <v>5163</v>
      </c>
      <c r="E1906" s="6" t="s">
        <v>23</v>
      </c>
      <c r="F1906" s="6" t="n">
        <v>3</v>
      </c>
      <c r="G1906" s="10" t="n">
        <v>705</v>
      </c>
      <c r="H1906" s="10" t="n">
        <f aca="false">F1906*G1906</f>
        <v>2115</v>
      </c>
      <c r="I1906" s="6" t="s">
        <v>5122</v>
      </c>
    </row>
    <row r="1907" customFormat="false" ht="15" hidden="false" customHeight="false" outlineLevel="0" collapsed="false">
      <c r="A1907" s="6" t="s">
        <v>7129</v>
      </c>
      <c r="B1907" s="6" t="s">
        <v>2639</v>
      </c>
      <c r="C1907" s="26" t="n">
        <v>46091</v>
      </c>
      <c r="D1907" s="6" t="s">
        <v>5171</v>
      </c>
      <c r="E1907" s="6" t="s">
        <v>23</v>
      </c>
      <c r="F1907" s="6" t="n">
        <v>2</v>
      </c>
      <c r="G1907" s="10" t="n">
        <v>697</v>
      </c>
      <c r="H1907" s="10" t="n">
        <f aca="false">F1907*G1907</f>
        <v>1394</v>
      </c>
      <c r="I1907" s="6" t="s">
        <v>5148</v>
      </c>
    </row>
    <row r="1908" customFormat="false" ht="15" hidden="false" customHeight="false" outlineLevel="0" collapsed="false">
      <c r="A1908" s="6" t="s">
        <v>7130</v>
      </c>
      <c r="B1908" s="6" t="s">
        <v>5061</v>
      </c>
      <c r="C1908" s="26" t="n">
        <v>46091</v>
      </c>
      <c r="D1908" s="6" t="s">
        <v>5214</v>
      </c>
      <c r="E1908" s="6" t="s">
        <v>20</v>
      </c>
      <c r="F1908" s="6" t="n">
        <v>1</v>
      </c>
      <c r="G1908" s="10" t="n">
        <v>2039</v>
      </c>
      <c r="H1908" s="10" t="n">
        <f aca="false">F1908*G1908</f>
        <v>2039</v>
      </c>
      <c r="I1908" s="6" t="s">
        <v>5130</v>
      </c>
    </row>
    <row r="1909" customFormat="false" ht="15" hidden="false" customHeight="false" outlineLevel="0" collapsed="false">
      <c r="A1909" s="6" t="s">
        <v>7131</v>
      </c>
      <c r="B1909" s="6" t="s">
        <v>3765</v>
      </c>
      <c r="C1909" s="26" t="n">
        <v>46091</v>
      </c>
      <c r="D1909" s="6" t="s">
        <v>5383</v>
      </c>
      <c r="E1909" s="6" t="s">
        <v>20</v>
      </c>
      <c r="F1909" s="6" t="n">
        <v>1</v>
      </c>
      <c r="G1909" s="10" t="n">
        <v>1120</v>
      </c>
      <c r="H1909" s="10" t="n">
        <f aca="false">F1909*G1909</f>
        <v>1120</v>
      </c>
      <c r="I1909" s="6" t="s">
        <v>5173</v>
      </c>
    </row>
    <row r="1910" customFormat="false" ht="15" hidden="false" customHeight="false" outlineLevel="0" collapsed="false">
      <c r="A1910" s="6" t="s">
        <v>7132</v>
      </c>
      <c r="B1910" s="6" t="s">
        <v>3087</v>
      </c>
      <c r="C1910" s="26" t="n">
        <v>46091</v>
      </c>
      <c r="D1910" s="6" t="s">
        <v>5167</v>
      </c>
      <c r="E1910" s="6" t="s">
        <v>22</v>
      </c>
      <c r="F1910" s="6" t="n">
        <v>1</v>
      </c>
      <c r="G1910" s="10" t="n">
        <v>782</v>
      </c>
      <c r="H1910" s="10" t="n">
        <f aca="false">F1910*G1910</f>
        <v>782</v>
      </c>
      <c r="I1910" s="6" t="s">
        <v>5133</v>
      </c>
    </row>
    <row r="1911" customFormat="false" ht="15" hidden="false" customHeight="false" outlineLevel="0" collapsed="false">
      <c r="A1911" s="6" t="s">
        <v>7133</v>
      </c>
      <c r="B1911" s="6" t="s">
        <v>2121</v>
      </c>
      <c r="C1911" s="26" t="n">
        <v>46091</v>
      </c>
      <c r="D1911" s="6" t="s">
        <v>5167</v>
      </c>
      <c r="E1911" s="6" t="s">
        <v>22</v>
      </c>
      <c r="F1911" s="6" t="n">
        <v>1</v>
      </c>
      <c r="G1911" s="10" t="n">
        <v>782</v>
      </c>
      <c r="H1911" s="10" t="n">
        <f aca="false">F1911*G1911</f>
        <v>782</v>
      </c>
      <c r="I1911" s="6" t="s">
        <v>5130</v>
      </c>
    </row>
    <row r="1912" customFormat="false" ht="15" hidden="false" customHeight="false" outlineLevel="0" collapsed="false">
      <c r="A1912" s="6" t="s">
        <v>7134</v>
      </c>
      <c r="B1912" s="6" t="s">
        <v>4797</v>
      </c>
      <c r="C1912" s="26" t="n">
        <v>46091</v>
      </c>
      <c r="D1912" s="6" t="s">
        <v>5121</v>
      </c>
      <c r="E1912" s="6" t="s">
        <v>22</v>
      </c>
      <c r="F1912" s="6" t="n">
        <v>2</v>
      </c>
      <c r="G1912" s="10" t="n">
        <v>977</v>
      </c>
      <c r="H1912" s="10" t="n">
        <f aca="false">F1912*G1912</f>
        <v>1954</v>
      </c>
      <c r="I1912" s="6" t="s">
        <v>5122</v>
      </c>
    </row>
    <row r="1913" customFormat="false" ht="15" hidden="false" customHeight="false" outlineLevel="0" collapsed="false">
      <c r="A1913" s="6" t="s">
        <v>7135</v>
      </c>
      <c r="B1913" s="6" t="s">
        <v>1317</v>
      </c>
      <c r="C1913" s="26" t="n">
        <v>46091</v>
      </c>
      <c r="D1913" s="6" t="s">
        <v>5192</v>
      </c>
      <c r="E1913" s="6" t="s">
        <v>20</v>
      </c>
      <c r="F1913" s="6" t="n">
        <v>1</v>
      </c>
      <c r="G1913" s="10" t="n">
        <v>4077</v>
      </c>
      <c r="H1913" s="10" t="n">
        <f aca="false">F1913*G1913</f>
        <v>4077</v>
      </c>
      <c r="I1913" s="6" t="s">
        <v>5148</v>
      </c>
    </row>
    <row r="1914" customFormat="false" ht="15" hidden="false" customHeight="false" outlineLevel="0" collapsed="false">
      <c r="A1914" s="6" t="s">
        <v>7136</v>
      </c>
      <c r="B1914" s="6" t="s">
        <v>354</v>
      </c>
      <c r="C1914" s="26" t="n">
        <v>46091</v>
      </c>
      <c r="D1914" s="6" t="s">
        <v>5171</v>
      </c>
      <c r="E1914" s="6" t="s">
        <v>23</v>
      </c>
      <c r="F1914" s="6" t="n">
        <v>1</v>
      </c>
      <c r="G1914" s="10" t="n">
        <v>734</v>
      </c>
      <c r="H1914" s="10" t="n">
        <f aca="false">F1914*G1914</f>
        <v>734</v>
      </c>
      <c r="I1914" s="6" t="s">
        <v>5148</v>
      </c>
    </row>
    <row r="1915" customFormat="false" ht="15" hidden="false" customHeight="false" outlineLevel="0" collapsed="false">
      <c r="A1915" s="6" t="s">
        <v>7137</v>
      </c>
      <c r="B1915" s="6" t="s">
        <v>2959</v>
      </c>
      <c r="C1915" s="26" t="n">
        <v>46091</v>
      </c>
      <c r="D1915" s="6" t="s">
        <v>5145</v>
      </c>
      <c r="E1915" s="6" t="s">
        <v>21</v>
      </c>
      <c r="F1915" s="6" t="n">
        <v>1</v>
      </c>
      <c r="G1915" s="10" t="n">
        <v>1213</v>
      </c>
      <c r="H1915" s="10" t="n">
        <f aca="false">F1915*G1915</f>
        <v>1213</v>
      </c>
      <c r="I1915" s="6" t="s">
        <v>5122</v>
      </c>
    </row>
    <row r="1916" customFormat="false" ht="15" hidden="false" customHeight="false" outlineLevel="0" collapsed="false">
      <c r="A1916" s="6" t="s">
        <v>7138</v>
      </c>
      <c r="B1916" s="6" t="s">
        <v>4637</v>
      </c>
      <c r="C1916" s="26" t="n">
        <v>46091</v>
      </c>
      <c r="D1916" s="6" t="s">
        <v>5121</v>
      </c>
      <c r="E1916" s="6" t="s">
        <v>22</v>
      </c>
      <c r="F1916" s="6" t="n">
        <v>1</v>
      </c>
      <c r="G1916" s="10" t="n">
        <v>977</v>
      </c>
      <c r="H1916" s="10" t="n">
        <f aca="false">F1916*G1916</f>
        <v>977</v>
      </c>
      <c r="I1916" s="6" t="s">
        <v>5122</v>
      </c>
    </row>
    <row r="1917" customFormat="false" ht="15" hidden="false" customHeight="false" outlineLevel="0" collapsed="false">
      <c r="A1917" s="6" t="s">
        <v>7139</v>
      </c>
      <c r="B1917" s="6" t="s">
        <v>4011</v>
      </c>
      <c r="C1917" s="26" t="n">
        <v>46091</v>
      </c>
      <c r="D1917" s="6" t="s">
        <v>5188</v>
      </c>
      <c r="E1917" s="6" t="s">
        <v>24</v>
      </c>
      <c r="F1917" s="6" t="n">
        <v>3</v>
      </c>
      <c r="G1917" s="10" t="n">
        <v>916</v>
      </c>
      <c r="H1917" s="10" t="n">
        <f aca="false">F1917*G1917</f>
        <v>2748</v>
      </c>
      <c r="I1917" s="6" t="s">
        <v>5133</v>
      </c>
    </row>
    <row r="1918" customFormat="false" ht="15" hidden="false" customHeight="false" outlineLevel="0" collapsed="false">
      <c r="A1918" s="6" t="s">
        <v>7140</v>
      </c>
      <c r="B1918" s="6" t="s">
        <v>531</v>
      </c>
      <c r="C1918" s="26" t="n">
        <v>46091</v>
      </c>
      <c r="D1918" s="6" t="s">
        <v>5167</v>
      </c>
      <c r="E1918" s="6" t="s">
        <v>22</v>
      </c>
      <c r="F1918" s="6" t="n">
        <v>1</v>
      </c>
      <c r="G1918" s="10" t="n">
        <v>782</v>
      </c>
      <c r="H1918" s="10" t="n">
        <f aca="false">F1918*G1918</f>
        <v>782</v>
      </c>
      <c r="I1918" s="6" t="s">
        <v>5122</v>
      </c>
    </row>
    <row r="1919" customFormat="false" ht="15" hidden="false" customHeight="false" outlineLevel="0" collapsed="false">
      <c r="A1919" s="6" t="s">
        <v>7141</v>
      </c>
      <c r="B1919" s="6" t="s">
        <v>541</v>
      </c>
      <c r="C1919" s="26" t="n">
        <v>46091</v>
      </c>
      <c r="D1919" s="6" t="s">
        <v>5269</v>
      </c>
      <c r="E1919" s="6" t="s">
        <v>22</v>
      </c>
      <c r="F1919" s="6" t="n">
        <v>4</v>
      </c>
      <c r="G1919" s="10" t="n">
        <v>1271</v>
      </c>
      <c r="H1919" s="10" t="n">
        <f aca="false">F1919*G1919</f>
        <v>5084</v>
      </c>
      <c r="I1919" s="6" t="s">
        <v>5130</v>
      </c>
    </row>
    <row r="1920" customFormat="false" ht="15" hidden="false" customHeight="false" outlineLevel="0" collapsed="false">
      <c r="A1920" s="6" t="s">
        <v>7142</v>
      </c>
      <c r="B1920" s="6" t="s">
        <v>1093</v>
      </c>
      <c r="C1920" s="26" t="n">
        <v>46091</v>
      </c>
      <c r="D1920" s="6" t="s">
        <v>5488</v>
      </c>
      <c r="E1920" s="6" t="s">
        <v>24</v>
      </c>
      <c r="F1920" s="6" t="n">
        <v>3</v>
      </c>
      <c r="G1920" s="10" t="n">
        <v>823</v>
      </c>
      <c r="H1920" s="10" t="n">
        <f aca="false">F1920*G1920</f>
        <v>2469</v>
      </c>
      <c r="I1920" s="6" t="s">
        <v>5122</v>
      </c>
    </row>
    <row r="1921" customFormat="false" ht="15" hidden="false" customHeight="false" outlineLevel="0" collapsed="false">
      <c r="A1921" s="6" t="s">
        <v>7143</v>
      </c>
      <c r="B1921" s="6" t="s">
        <v>1949</v>
      </c>
      <c r="C1921" s="26" t="n">
        <v>46091</v>
      </c>
      <c r="D1921" s="6" t="s">
        <v>5707</v>
      </c>
      <c r="E1921" s="6" t="s">
        <v>22</v>
      </c>
      <c r="F1921" s="6" t="n">
        <v>1</v>
      </c>
      <c r="G1921" s="10" t="n">
        <v>2445</v>
      </c>
      <c r="H1921" s="10" t="n">
        <f aca="false">F1921*G1921</f>
        <v>2445</v>
      </c>
      <c r="I1921" s="6" t="s">
        <v>5148</v>
      </c>
    </row>
    <row r="1922" customFormat="false" ht="15" hidden="false" customHeight="false" outlineLevel="0" collapsed="false">
      <c r="A1922" s="6" t="s">
        <v>7144</v>
      </c>
      <c r="B1922" s="6" t="s">
        <v>725</v>
      </c>
      <c r="C1922" s="26" t="n">
        <v>46091</v>
      </c>
      <c r="D1922" s="6" t="s">
        <v>5298</v>
      </c>
      <c r="E1922" s="6" t="s">
        <v>23</v>
      </c>
      <c r="F1922" s="6" t="n">
        <v>2</v>
      </c>
      <c r="G1922" s="10" t="n">
        <v>293</v>
      </c>
      <c r="H1922" s="10" t="n">
        <f aca="false">F1922*G1922</f>
        <v>586</v>
      </c>
      <c r="I1922" s="6" t="s">
        <v>5130</v>
      </c>
    </row>
    <row r="1923" customFormat="false" ht="15" hidden="false" customHeight="false" outlineLevel="0" collapsed="false">
      <c r="A1923" s="6" t="s">
        <v>7145</v>
      </c>
      <c r="B1923" s="6" t="s">
        <v>4031</v>
      </c>
      <c r="C1923" s="26" t="n">
        <v>46092</v>
      </c>
      <c r="D1923" s="6" t="s">
        <v>5185</v>
      </c>
      <c r="E1923" s="6" t="s">
        <v>24</v>
      </c>
      <c r="F1923" s="6" t="n">
        <v>1</v>
      </c>
      <c r="G1923" s="10" t="n">
        <v>2140</v>
      </c>
      <c r="H1923" s="10" t="n">
        <f aca="false">F1923*G1923</f>
        <v>2140</v>
      </c>
      <c r="I1923" s="6" t="s">
        <v>5148</v>
      </c>
    </row>
    <row r="1924" customFormat="false" ht="15" hidden="false" customHeight="false" outlineLevel="0" collapsed="false">
      <c r="A1924" s="6" t="s">
        <v>7146</v>
      </c>
      <c r="B1924" s="6" t="s">
        <v>260</v>
      </c>
      <c r="C1924" s="26" t="n">
        <v>46092</v>
      </c>
      <c r="D1924" s="6" t="s">
        <v>5200</v>
      </c>
      <c r="E1924" s="6" t="s">
        <v>24</v>
      </c>
      <c r="F1924" s="6" t="n">
        <v>2</v>
      </c>
      <c r="G1924" s="10" t="n">
        <v>763</v>
      </c>
      <c r="H1924" s="10" t="n">
        <f aca="false">F1924*G1924</f>
        <v>1526</v>
      </c>
      <c r="I1924" s="6" t="s">
        <v>5148</v>
      </c>
    </row>
    <row r="1925" customFormat="false" ht="15" hidden="false" customHeight="false" outlineLevel="0" collapsed="false">
      <c r="A1925" s="6" t="s">
        <v>7147</v>
      </c>
      <c r="B1925" s="6" t="s">
        <v>3471</v>
      </c>
      <c r="C1925" s="26" t="n">
        <v>46092</v>
      </c>
      <c r="D1925" s="6" t="s">
        <v>5687</v>
      </c>
      <c r="E1925" s="6" t="s">
        <v>20</v>
      </c>
      <c r="F1925" s="6" t="n">
        <v>1</v>
      </c>
      <c r="G1925" s="10" t="n">
        <v>1835</v>
      </c>
      <c r="H1925" s="10" t="n">
        <f aca="false">F1925*G1925</f>
        <v>1835</v>
      </c>
      <c r="I1925" s="6" t="s">
        <v>5148</v>
      </c>
    </row>
    <row r="1926" customFormat="false" ht="15" hidden="false" customHeight="false" outlineLevel="0" collapsed="false">
      <c r="A1926" s="6" t="s">
        <v>7148</v>
      </c>
      <c r="B1926" s="6" t="s">
        <v>2799</v>
      </c>
      <c r="C1926" s="26" t="n">
        <v>46092</v>
      </c>
      <c r="D1926" s="6" t="s">
        <v>5188</v>
      </c>
      <c r="E1926" s="6" t="s">
        <v>24</v>
      </c>
      <c r="F1926" s="6" t="n">
        <v>1</v>
      </c>
      <c r="G1926" s="10" t="n">
        <v>917</v>
      </c>
      <c r="H1926" s="10" t="n">
        <f aca="false">F1926*G1926</f>
        <v>917</v>
      </c>
      <c r="I1926" s="6" t="s">
        <v>5148</v>
      </c>
    </row>
    <row r="1927" customFormat="false" ht="15" hidden="false" customHeight="false" outlineLevel="0" collapsed="false">
      <c r="A1927" s="6" t="s">
        <v>7149</v>
      </c>
      <c r="B1927" s="6" t="s">
        <v>911</v>
      </c>
      <c r="C1927" s="26" t="n">
        <v>46092</v>
      </c>
      <c r="D1927" s="6" t="s">
        <v>5257</v>
      </c>
      <c r="E1927" s="6" t="s">
        <v>22</v>
      </c>
      <c r="F1927" s="6" t="n">
        <v>1</v>
      </c>
      <c r="G1927" s="10" t="n">
        <v>2024</v>
      </c>
      <c r="H1927" s="10" t="n">
        <f aca="false">F1927*G1927</f>
        <v>2024</v>
      </c>
      <c r="I1927" s="6" t="s">
        <v>5148</v>
      </c>
    </row>
    <row r="1928" customFormat="false" ht="15" hidden="false" customHeight="false" outlineLevel="0" collapsed="false">
      <c r="A1928" s="6" t="s">
        <v>7150</v>
      </c>
      <c r="B1928" s="6" t="s">
        <v>833</v>
      </c>
      <c r="C1928" s="26" t="n">
        <v>46092</v>
      </c>
      <c r="D1928" s="6" t="s">
        <v>5357</v>
      </c>
      <c r="E1928" s="6" t="s">
        <v>23</v>
      </c>
      <c r="F1928" s="6" t="n">
        <v>4</v>
      </c>
      <c r="G1928" s="10" t="n">
        <v>507</v>
      </c>
      <c r="H1928" s="10" t="n">
        <f aca="false">F1928*G1928</f>
        <v>2028</v>
      </c>
      <c r="I1928" s="6" t="s">
        <v>5130</v>
      </c>
    </row>
    <row r="1929" customFormat="false" ht="15" hidden="false" customHeight="false" outlineLevel="0" collapsed="false">
      <c r="A1929" s="6" t="s">
        <v>7151</v>
      </c>
      <c r="B1929" s="6" t="s">
        <v>3389</v>
      </c>
      <c r="C1929" s="26" t="n">
        <v>46092</v>
      </c>
      <c r="D1929" s="6" t="s">
        <v>5171</v>
      </c>
      <c r="E1929" s="6" t="s">
        <v>23</v>
      </c>
      <c r="F1929" s="6" t="n">
        <v>5</v>
      </c>
      <c r="G1929" s="10" t="n">
        <v>661</v>
      </c>
      <c r="H1929" s="10" t="n">
        <f aca="false">F1929*G1929</f>
        <v>3305</v>
      </c>
      <c r="I1929" s="6" t="s">
        <v>5130</v>
      </c>
    </row>
    <row r="1930" customFormat="false" ht="15" hidden="false" customHeight="false" outlineLevel="0" collapsed="false">
      <c r="A1930" s="6" t="s">
        <v>7152</v>
      </c>
      <c r="B1930" s="6" t="s">
        <v>3715</v>
      </c>
      <c r="C1930" s="26" t="n">
        <v>46092</v>
      </c>
      <c r="D1930" s="6" t="s">
        <v>5167</v>
      </c>
      <c r="E1930" s="6" t="s">
        <v>22</v>
      </c>
      <c r="F1930" s="6" t="n">
        <v>1</v>
      </c>
      <c r="G1930" s="10" t="n">
        <v>782</v>
      </c>
      <c r="H1930" s="10" t="n">
        <f aca="false">F1930*G1930</f>
        <v>782</v>
      </c>
      <c r="I1930" s="6" t="s">
        <v>5122</v>
      </c>
    </row>
    <row r="1931" customFormat="false" ht="15" hidden="false" customHeight="false" outlineLevel="0" collapsed="false">
      <c r="A1931" s="6" t="s">
        <v>7153</v>
      </c>
      <c r="B1931" s="6" t="s">
        <v>1235</v>
      </c>
      <c r="C1931" s="26" t="n">
        <v>46092</v>
      </c>
      <c r="D1931" s="6" t="s">
        <v>5175</v>
      </c>
      <c r="E1931" s="6" t="s">
        <v>24</v>
      </c>
      <c r="F1931" s="6" t="n">
        <v>2</v>
      </c>
      <c r="G1931" s="10" t="n">
        <v>610</v>
      </c>
      <c r="H1931" s="10" t="n">
        <f aca="false">F1931*G1931</f>
        <v>1220</v>
      </c>
      <c r="I1931" s="6" t="s">
        <v>5148</v>
      </c>
    </row>
    <row r="1932" customFormat="false" ht="15" hidden="false" customHeight="false" outlineLevel="0" collapsed="false">
      <c r="A1932" s="6" t="s">
        <v>7154</v>
      </c>
      <c r="B1932" s="6" t="s">
        <v>4715</v>
      </c>
      <c r="C1932" s="26" t="n">
        <v>46092</v>
      </c>
      <c r="D1932" s="6" t="s">
        <v>5171</v>
      </c>
      <c r="E1932" s="6" t="s">
        <v>23</v>
      </c>
      <c r="F1932" s="6" t="n">
        <v>1</v>
      </c>
      <c r="G1932" s="10" t="n">
        <v>660</v>
      </c>
      <c r="H1932" s="10" t="n">
        <f aca="false">F1932*G1932</f>
        <v>660</v>
      </c>
      <c r="I1932" s="6" t="s">
        <v>5133</v>
      </c>
    </row>
    <row r="1933" customFormat="false" ht="15" hidden="false" customHeight="false" outlineLevel="0" collapsed="false">
      <c r="A1933" s="6" t="s">
        <v>7155</v>
      </c>
      <c r="B1933" s="6" t="s">
        <v>451</v>
      </c>
      <c r="C1933" s="26" t="n">
        <v>46092</v>
      </c>
      <c r="D1933" s="6" t="s">
        <v>5269</v>
      </c>
      <c r="E1933" s="6" t="s">
        <v>22</v>
      </c>
      <c r="F1933" s="6" t="n">
        <v>1</v>
      </c>
      <c r="G1933" s="10" t="n">
        <v>1207</v>
      </c>
      <c r="H1933" s="10" t="n">
        <f aca="false">F1933*G1933</f>
        <v>1207</v>
      </c>
      <c r="I1933" s="6" t="s">
        <v>5125</v>
      </c>
    </row>
    <row r="1934" customFormat="false" ht="15" hidden="false" customHeight="false" outlineLevel="0" collapsed="false">
      <c r="A1934" s="6" t="s">
        <v>7156</v>
      </c>
      <c r="B1934" s="6" t="s">
        <v>4835</v>
      </c>
      <c r="C1934" s="26" t="n">
        <v>46092</v>
      </c>
      <c r="D1934" s="6" t="s">
        <v>5143</v>
      </c>
      <c r="E1934" s="6" t="s">
        <v>21</v>
      </c>
      <c r="F1934" s="6" t="n">
        <v>1</v>
      </c>
      <c r="G1934" s="10" t="n">
        <v>1179</v>
      </c>
      <c r="H1934" s="10" t="n">
        <f aca="false">F1934*G1934</f>
        <v>1179</v>
      </c>
      <c r="I1934" s="6" t="s">
        <v>5122</v>
      </c>
    </row>
    <row r="1935" customFormat="false" ht="15" hidden="false" customHeight="false" outlineLevel="0" collapsed="false">
      <c r="A1935" s="6" t="s">
        <v>7157</v>
      </c>
      <c r="B1935" s="6" t="s">
        <v>3657</v>
      </c>
      <c r="C1935" s="26" t="n">
        <v>46092</v>
      </c>
      <c r="D1935" s="6" t="s">
        <v>5182</v>
      </c>
      <c r="E1935" s="6" t="s">
        <v>23</v>
      </c>
      <c r="F1935" s="6" t="n">
        <v>1</v>
      </c>
      <c r="G1935" s="10" t="n">
        <v>349</v>
      </c>
      <c r="H1935" s="10" t="n">
        <f aca="false">F1935*G1935</f>
        <v>349</v>
      </c>
      <c r="I1935" s="6" t="s">
        <v>5133</v>
      </c>
    </row>
    <row r="1936" customFormat="false" ht="15" hidden="false" customHeight="false" outlineLevel="0" collapsed="false">
      <c r="A1936" s="6" t="s">
        <v>7158</v>
      </c>
      <c r="B1936" s="6" t="s">
        <v>326</v>
      </c>
      <c r="C1936" s="26" t="n">
        <v>46092</v>
      </c>
      <c r="D1936" s="6" t="s">
        <v>5121</v>
      </c>
      <c r="E1936" s="6" t="s">
        <v>22</v>
      </c>
      <c r="F1936" s="6" t="n">
        <v>1</v>
      </c>
      <c r="G1936" s="10" t="n">
        <v>977</v>
      </c>
      <c r="H1936" s="10" t="n">
        <f aca="false">F1936*G1936</f>
        <v>977</v>
      </c>
      <c r="I1936" s="6" t="s">
        <v>5173</v>
      </c>
    </row>
    <row r="1937" customFormat="false" ht="15" hidden="false" customHeight="false" outlineLevel="0" collapsed="false">
      <c r="A1937" s="6" t="s">
        <v>7159</v>
      </c>
      <c r="B1937" s="6" t="s">
        <v>1417</v>
      </c>
      <c r="C1937" s="26" t="n">
        <v>46092</v>
      </c>
      <c r="D1937" s="6" t="s">
        <v>5167</v>
      </c>
      <c r="E1937" s="6" t="s">
        <v>22</v>
      </c>
      <c r="F1937" s="6" t="n">
        <v>1</v>
      </c>
      <c r="G1937" s="10" t="n">
        <v>782</v>
      </c>
      <c r="H1937" s="10" t="n">
        <f aca="false">F1937*G1937</f>
        <v>782</v>
      </c>
      <c r="I1937" s="6" t="s">
        <v>5130</v>
      </c>
    </row>
    <row r="1938" customFormat="false" ht="15" hidden="false" customHeight="false" outlineLevel="0" collapsed="false">
      <c r="A1938" s="6" t="s">
        <v>7160</v>
      </c>
      <c r="B1938" s="6" t="s">
        <v>3021</v>
      </c>
      <c r="C1938" s="26" t="n">
        <v>46092</v>
      </c>
      <c r="D1938" s="6" t="s">
        <v>5345</v>
      </c>
      <c r="E1938" s="6" t="s">
        <v>23</v>
      </c>
      <c r="F1938" s="6" t="n">
        <v>3</v>
      </c>
      <c r="G1938" s="10" t="n">
        <v>436</v>
      </c>
      <c r="H1938" s="10" t="n">
        <f aca="false">F1938*G1938</f>
        <v>1308</v>
      </c>
      <c r="I1938" s="6" t="s">
        <v>5148</v>
      </c>
    </row>
    <row r="1939" customFormat="false" ht="15" hidden="false" customHeight="false" outlineLevel="0" collapsed="false">
      <c r="A1939" s="6" t="s">
        <v>7161</v>
      </c>
      <c r="B1939" s="6" t="s">
        <v>1001</v>
      </c>
      <c r="C1939" s="26" t="n">
        <v>46092</v>
      </c>
      <c r="D1939" s="6" t="s">
        <v>5143</v>
      </c>
      <c r="E1939" s="6" t="s">
        <v>21</v>
      </c>
      <c r="F1939" s="6" t="n">
        <v>1</v>
      </c>
      <c r="G1939" s="10" t="n">
        <v>1179</v>
      </c>
      <c r="H1939" s="10" t="n">
        <f aca="false">F1939*G1939</f>
        <v>1179</v>
      </c>
      <c r="I1939" s="6" t="s">
        <v>5122</v>
      </c>
    </row>
    <row r="1940" customFormat="false" ht="15" hidden="false" customHeight="false" outlineLevel="0" collapsed="false">
      <c r="A1940" s="6" t="s">
        <v>7162</v>
      </c>
      <c r="B1940" s="6" t="s">
        <v>1093</v>
      </c>
      <c r="C1940" s="26" t="n">
        <v>46092</v>
      </c>
      <c r="D1940" s="6" t="s">
        <v>5158</v>
      </c>
      <c r="E1940" s="6" t="s">
        <v>24</v>
      </c>
      <c r="F1940" s="6" t="n">
        <v>3</v>
      </c>
      <c r="G1940" s="10" t="n">
        <v>390</v>
      </c>
      <c r="H1940" s="10" t="n">
        <f aca="false">F1940*G1940</f>
        <v>1170</v>
      </c>
      <c r="I1940" s="6" t="s">
        <v>5122</v>
      </c>
    </row>
    <row r="1941" customFormat="false" ht="15" hidden="false" customHeight="false" outlineLevel="0" collapsed="false">
      <c r="A1941" s="6" t="s">
        <v>7163</v>
      </c>
      <c r="B1941" s="6" t="s">
        <v>435</v>
      </c>
      <c r="C1941" s="26" t="n">
        <v>46092</v>
      </c>
      <c r="D1941" s="6" t="s">
        <v>5345</v>
      </c>
      <c r="E1941" s="6" t="s">
        <v>23</v>
      </c>
      <c r="F1941" s="6" t="n">
        <v>4</v>
      </c>
      <c r="G1941" s="10" t="n">
        <v>392</v>
      </c>
      <c r="H1941" s="10" t="n">
        <f aca="false">F1941*G1941</f>
        <v>1568</v>
      </c>
      <c r="I1941" s="6" t="s">
        <v>5122</v>
      </c>
    </row>
    <row r="1942" customFormat="false" ht="15" hidden="false" customHeight="false" outlineLevel="0" collapsed="false">
      <c r="A1942" s="6" t="s">
        <v>7164</v>
      </c>
      <c r="B1942" s="6" t="s">
        <v>4219</v>
      </c>
      <c r="C1942" s="26" t="n">
        <v>46092</v>
      </c>
      <c r="D1942" s="6" t="s">
        <v>5137</v>
      </c>
      <c r="E1942" s="6" t="s">
        <v>21</v>
      </c>
      <c r="F1942" s="6" t="n">
        <v>2</v>
      </c>
      <c r="G1942" s="10" t="n">
        <v>1591</v>
      </c>
      <c r="H1942" s="10" t="n">
        <f aca="false">F1942*G1942</f>
        <v>3182</v>
      </c>
      <c r="I1942" s="6" t="s">
        <v>5122</v>
      </c>
    </row>
    <row r="1943" customFormat="false" ht="15" hidden="false" customHeight="false" outlineLevel="0" collapsed="false">
      <c r="A1943" s="6" t="s">
        <v>7165</v>
      </c>
      <c r="B1943" s="6" t="s">
        <v>4843</v>
      </c>
      <c r="C1943" s="26" t="n">
        <v>46092</v>
      </c>
      <c r="D1943" s="6" t="s">
        <v>5135</v>
      </c>
      <c r="E1943" s="6" t="s">
        <v>23</v>
      </c>
      <c r="F1943" s="6" t="n">
        <v>3</v>
      </c>
      <c r="G1943" s="10" t="n">
        <v>441</v>
      </c>
      <c r="H1943" s="10" t="n">
        <f aca="false">F1943*G1943</f>
        <v>1323</v>
      </c>
      <c r="I1943" s="6" t="s">
        <v>5125</v>
      </c>
    </row>
    <row r="1944" customFormat="false" ht="15" hidden="false" customHeight="false" outlineLevel="0" collapsed="false">
      <c r="A1944" s="6" t="s">
        <v>7166</v>
      </c>
      <c r="B1944" s="6" t="s">
        <v>1079</v>
      </c>
      <c r="C1944" s="26" t="n">
        <v>46092</v>
      </c>
      <c r="D1944" s="6" t="s">
        <v>5482</v>
      </c>
      <c r="E1944" s="6" t="s">
        <v>23</v>
      </c>
      <c r="F1944" s="6" t="n">
        <v>2</v>
      </c>
      <c r="G1944" s="10" t="n">
        <v>269</v>
      </c>
      <c r="H1944" s="10" t="n">
        <f aca="false">F1944*G1944</f>
        <v>538</v>
      </c>
      <c r="I1944" s="6" t="s">
        <v>5122</v>
      </c>
    </row>
    <row r="1945" customFormat="false" ht="15" hidden="false" customHeight="false" outlineLevel="0" collapsed="false">
      <c r="A1945" s="6" t="s">
        <v>7167</v>
      </c>
      <c r="B1945" s="6" t="s">
        <v>4025</v>
      </c>
      <c r="C1945" s="26" t="n">
        <v>46092</v>
      </c>
      <c r="D1945" s="6" t="s">
        <v>5121</v>
      </c>
      <c r="E1945" s="6" t="s">
        <v>22</v>
      </c>
      <c r="F1945" s="6" t="n">
        <v>1</v>
      </c>
      <c r="G1945" s="10" t="n">
        <v>927</v>
      </c>
      <c r="H1945" s="10" t="n">
        <f aca="false">F1945*G1945</f>
        <v>927</v>
      </c>
      <c r="I1945" s="6" t="s">
        <v>5122</v>
      </c>
    </row>
    <row r="1946" customFormat="false" ht="15" hidden="false" customHeight="false" outlineLevel="0" collapsed="false">
      <c r="A1946" s="6" t="s">
        <v>7168</v>
      </c>
      <c r="B1946" s="6" t="s">
        <v>2223</v>
      </c>
      <c r="C1946" s="26" t="n">
        <v>46092</v>
      </c>
      <c r="D1946" s="6" t="s">
        <v>5160</v>
      </c>
      <c r="E1946" s="6" t="s">
        <v>21</v>
      </c>
      <c r="F1946" s="6" t="n">
        <v>1</v>
      </c>
      <c r="G1946" s="10" t="n">
        <v>2614</v>
      </c>
      <c r="H1946" s="10" t="n">
        <f aca="false">F1946*G1946</f>
        <v>2614</v>
      </c>
      <c r="I1946" s="6" t="s">
        <v>5148</v>
      </c>
    </row>
    <row r="1947" customFormat="false" ht="15" hidden="false" customHeight="false" outlineLevel="0" collapsed="false">
      <c r="A1947" s="6" t="s">
        <v>7169</v>
      </c>
      <c r="B1947" s="6" t="s">
        <v>3793</v>
      </c>
      <c r="C1947" s="26" t="n">
        <v>46092</v>
      </c>
      <c r="D1947" s="6" t="s">
        <v>5641</v>
      </c>
      <c r="E1947" s="6" t="s">
        <v>22</v>
      </c>
      <c r="F1947" s="6" t="n">
        <v>1</v>
      </c>
      <c r="G1947" s="10" t="n">
        <v>2249</v>
      </c>
      <c r="H1947" s="10" t="n">
        <f aca="false">F1947*G1947</f>
        <v>2249</v>
      </c>
      <c r="I1947" s="6" t="s">
        <v>5148</v>
      </c>
    </row>
    <row r="1948" customFormat="false" ht="15" hidden="false" customHeight="false" outlineLevel="0" collapsed="false">
      <c r="A1948" s="6" t="s">
        <v>7170</v>
      </c>
      <c r="B1948" s="6" t="s">
        <v>1309</v>
      </c>
      <c r="C1948" s="26" t="n">
        <v>46092</v>
      </c>
      <c r="D1948" s="6" t="s">
        <v>5167</v>
      </c>
      <c r="E1948" s="6" t="s">
        <v>22</v>
      </c>
      <c r="F1948" s="6" t="n">
        <v>1</v>
      </c>
      <c r="G1948" s="10" t="n">
        <v>782</v>
      </c>
      <c r="H1948" s="10" t="n">
        <f aca="false">F1948*G1948</f>
        <v>782</v>
      </c>
      <c r="I1948" s="6" t="s">
        <v>5122</v>
      </c>
    </row>
    <row r="1949" customFormat="false" ht="15" hidden="false" customHeight="false" outlineLevel="0" collapsed="false">
      <c r="A1949" s="6" t="s">
        <v>7171</v>
      </c>
      <c r="B1949" s="6" t="s">
        <v>3617</v>
      </c>
      <c r="C1949" s="26" t="n">
        <v>46092</v>
      </c>
      <c r="D1949" s="6" t="s">
        <v>5121</v>
      </c>
      <c r="E1949" s="6" t="s">
        <v>22</v>
      </c>
      <c r="F1949" s="6" t="n">
        <v>2</v>
      </c>
      <c r="G1949" s="10" t="n">
        <v>880</v>
      </c>
      <c r="H1949" s="10" t="n">
        <f aca="false">F1949*G1949</f>
        <v>1760</v>
      </c>
      <c r="I1949" s="6" t="s">
        <v>5122</v>
      </c>
    </row>
    <row r="1950" customFormat="false" ht="15" hidden="false" customHeight="false" outlineLevel="0" collapsed="false">
      <c r="A1950" s="6" t="s">
        <v>7172</v>
      </c>
      <c r="B1950" s="6" t="s">
        <v>1225</v>
      </c>
      <c r="C1950" s="26" t="n">
        <v>46092</v>
      </c>
      <c r="D1950" s="6" t="s">
        <v>5202</v>
      </c>
      <c r="E1950" s="6" t="s">
        <v>23</v>
      </c>
      <c r="F1950" s="6" t="n">
        <v>2</v>
      </c>
      <c r="G1950" s="10" t="n">
        <v>233</v>
      </c>
      <c r="H1950" s="10" t="n">
        <f aca="false">F1950*G1950</f>
        <v>466</v>
      </c>
      <c r="I1950" s="6" t="s">
        <v>5148</v>
      </c>
    </row>
    <row r="1951" customFormat="false" ht="15" hidden="false" customHeight="false" outlineLevel="0" collapsed="false">
      <c r="A1951" s="6" t="s">
        <v>7173</v>
      </c>
      <c r="B1951" s="6" t="s">
        <v>4535</v>
      </c>
      <c r="C1951" s="26" t="n">
        <v>46092</v>
      </c>
      <c r="D1951" s="6" t="s">
        <v>5129</v>
      </c>
      <c r="E1951" s="6" t="s">
        <v>21</v>
      </c>
      <c r="F1951" s="6" t="n">
        <v>1</v>
      </c>
      <c r="G1951" s="10" t="n">
        <v>589</v>
      </c>
      <c r="H1951" s="10" t="n">
        <f aca="false">F1951*G1951</f>
        <v>589</v>
      </c>
      <c r="I1951" s="6" t="s">
        <v>5122</v>
      </c>
    </row>
    <row r="1952" customFormat="false" ht="15" hidden="false" customHeight="false" outlineLevel="0" collapsed="false">
      <c r="A1952" s="6" t="s">
        <v>7174</v>
      </c>
      <c r="B1952" s="6" t="s">
        <v>3645</v>
      </c>
      <c r="C1952" s="26" t="n">
        <v>46092</v>
      </c>
      <c r="D1952" s="6" t="s">
        <v>5154</v>
      </c>
      <c r="E1952" s="6" t="s">
        <v>21</v>
      </c>
      <c r="F1952" s="6" t="n">
        <v>2</v>
      </c>
      <c r="G1952" s="10" t="n">
        <v>707</v>
      </c>
      <c r="H1952" s="10" t="n">
        <f aca="false">F1952*G1952</f>
        <v>1414</v>
      </c>
      <c r="I1952" s="6" t="s">
        <v>5130</v>
      </c>
    </row>
    <row r="1953" customFormat="false" ht="15" hidden="false" customHeight="false" outlineLevel="0" collapsed="false">
      <c r="A1953" s="6" t="s">
        <v>7175</v>
      </c>
      <c r="B1953" s="6" t="s">
        <v>2405</v>
      </c>
      <c r="C1953" s="26" t="n">
        <v>46092</v>
      </c>
      <c r="D1953" s="6" t="s">
        <v>5305</v>
      </c>
      <c r="E1953" s="6" t="s">
        <v>20</v>
      </c>
      <c r="F1953" s="6" t="n">
        <v>1</v>
      </c>
      <c r="G1953" s="10" t="n">
        <v>1631</v>
      </c>
      <c r="H1953" s="10" t="n">
        <f aca="false">F1953*G1953</f>
        <v>1631</v>
      </c>
      <c r="I1953" s="6" t="s">
        <v>5148</v>
      </c>
    </row>
    <row r="1954" customFormat="false" ht="15" hidden="false" customHeight="false" outlineLevel="0" collapsed="false">
      <c r="A1954" s="6" t="s">
        <v>7176</v>
      </c>
      <c r="B1954" s="6" t="s">
        <v>4573</v>
      </c>
      <c r="C1954" s="26" t="n">
        <v>46092</v>
      </c>
      <c r="D1954" s="6" t="s">
        <v>5245</v>
      </c>
      <c r="E1954" s="6" t="s">
        <v>21</v>
      </c>
      <c r="F1954" s="6" t="n">
        <v>1</v>
      </c>
      <c r="G1954" s="10" t="n">
        <v>2211</v>
      </c>
      <c r="H1954" s="10" t="n">
        <f aca="false">F1954*G1954</f>
        <v>2211</v>
      </c>
      <c r="I1954" s="6" t="s">
        <v>5125</v>
      </c>
    </row>
    <row r="1955" customFormat="false" ht="15" hidden="false" customHeight="false" outlineLevel="0" collapsed="false">
      <c r="A1955" s="6" t="s">
        <v>7177</v>
      </c>
      <c r="B1955" s="6" t="s">
        <v>4647</v>
      </c>
      <c r="C1955" s="26" t="n">
        <v>46092</v>
      </c>
      <c r="D1955" s="6" t="s">
        <v>5410</v>
      </c>
      <c r="E1955" s="6" t="s">
        <v>20</v>
      </c>
      <c r="F1955" s="6" t="n">
        <v>1</v>
      </c>
      <c r="G1955" s="10" t="n">
        <v>2421</v>
      </c>
      <c r="H1955" s="10" t="n">
        <f aca="false">F1955*G1955</f>
        <v>2421</v>
      </c>
      <c r="I1955" s="6" t="s">
        <v>5148</v>
      </c>
    </row>
    <row r="1956" customFormat="false" ht="15" hidden="false" customHeight="false" outlineLevel="0" collapsed="false">
      <c r="A1956" s="6" t="s">
        <v>7178</v>
      </c>
      <c r="B1956" s="6" t="s">
        <v>227</v>
      </c>
      <c r="C1956" s="26" t="n">
        <v>46092</v>
      </c>
      <c r="D1956" s="6" t="s">
        <v>5147</v>
      </c>
      <c r="E1956" s="6" t="s">
        <v>24</v>
      </c>
      <c r="F1956" s="6" t="n">
        <v>1</v>
      </c>
      <c r="G1956" s="10" t="n">
        <v>595</v>
      </c>
      <c r="H1956" s="10" t="n">
        <f aca="false">F1956*G1956</f>
        <v>595</v>
      </c>
      <c r="I1956" s="6" t="s">
        <v>5133</v>
      </c>
    </row>
    <row r="1957" customFormat="false" ht="15" hidden="false" customHeight="false" outlineLevel="0" collapsed="false">
      <c r="A1957" s="6" t="s">
        <v>7179</v>
      </c>
      <c r="B1957" s="6" t="s">
        <v>669</v>
      </c>
      <c r="C1957" s="26" t="n">
        <v>46092</v>
      </c>
      <c r="D1957" s="6" t="s">
        <v>5121</v>
      </c>
      <c r="E1957" s="6" t="s">
        <v>22</v>
      </c>
      <c r="F1957" s="6" t="n">
        <v>2</v>
      </c>
      <c r="G1957" s="10" t="n">
        <v>977</v>
      </c>
      <c r="H1957" s="10" t="n">
        <f aca="false">F1957*G1957</f>
        <v>1954</v>
      </c>
      <c r="I1957" s="6" t="s">
        <v>5125</v>
      </c>
    </row>
    <row r="1958" customFormat="false" ht="15" hidden="false" customHeight="false" outlineLevel="0" collapsed="false">
      <c r="A1958" s="6" t="s">
        <v>7180</v>
      </c>
      <c r="B1958" s="6" t="s">
        <v>4519</v>
      </c>
      <c r="C1958" s="26" t="n">
        <v>46092</v>
      </c>
      <c r="D1958" s="6" t="s">
        <v>5167</v>
      </c>
      <c r="E1958" s="6" t="s">
        <v>22</v>
      </c>
      <c r="F1958" s="6" t="n">
        <v>1</v>
      </c>
      <c r="G1958" s="10" t="n">
        <v>782</v>
      </c>
      <c r="H1958" s="10" t="n">
        <f aca="false">F1958*G1958</f>
        <v>782</v>
      </c>
      <c r="I1958" s="6" t="s">
        <v>5122</v>
      </c>
    </row>
    <row r="1959" customFormat="false" ht="15" hidden="false" customHeight="false" outlineLevel="0" collapsed="false">
      <c r="A1959" s="6" t="s">
        <v>7181</v>
      </c>
      <c r="B1959" s="6" t="s">
        <v>5107</v>
      </c>
      <c r="C1959" s="26" t="n">
        <v>46092</v>
      </c>
      <c r="D1959" s="6" t="s">
        <v>5235</v>
      </c>
      <c r="E1959" s="6" t="s">
        <v>21</v>
      </c>
      <c r="F1959" s="6" t="n">
        <v>3</v>
      </c>
      <c r="G1959" s="10" t="n">
        <v>1586</v>
      </c>
      <c r="H1959" s="10" t="n">
        <f aca="false">F1959*G1959</f>
        <v>4758</v>
      </c>
      <c r="I1959" s="6" t="s">
        <v>5133</v>
      </c>
    </row>
    <row r="1960" customFormat="false" ht="15" hidden="false" customHeight="false" outlineLevel="0" collapsed="false">
      <c r="A1960" s="6" t="s">
        <v>7182</v>
      </c>
      <c r="B1960" s="6" t="s">
        <v>2575</v>
      </c>
      <c r="C1960" s="26" t="n">
        <v>46093</v>
      </c>
      <c r="D1960" s="6" t="s">
        <v>5167</v>
      </c>
      <c r="E1960" s="6" t="s">
        <v>22</v>
      </c>
      <c r="F1960" s="6" t="n">
        <v>2</v>
      </c>
      <c r="G1960" s="10" t="n">
        <v>743</v>
      </c>
      <c r="H1960" s="10" t="n">
        <f aca="false">F1960*G1960</f>
        <v>1486</v>
      </c>
      <c r="I1960" s="6" t="s">
        <v>5122</v>
      </c>
    </row>
    <row r="1961" customFormat="false" ht="15" hidden="false" customHeight="false" outlineLevel="0" collapsed="false">
      <c r="A1961" s="6" t="s">
        <v>7183</v>
      </c>
      <c r="B1961" s="6" t="s">
        <v>4777</v>
      </c>
      <c r="C1961" s="26" t="n">
        <v>46093</v>
      </c>
      <c r="D1961" s="6" t="s">
        <v>5345</v>
      </c>
      <c r="E1961" s="6" t="s">
        <v>23</v>
      </c>
      <c r="F1961" s="6" t="n">
        <v>2</v>
      </c>
      <c r="G1961" s="10" t="n">
        <v>436</v>
      </c>
      <c r="H1961" s="10" t="n">
        <f aca="false">F1961*G1961</f>
        <v>872</v>
      </c>
      <c r="I1961" s="6" t="s">
        <v>5148</v>
      </c>
    </row>
    <row r="1962" customFormat="false" ht="15" hidden="false" customHeight="false" outlineLevel="0" collapsed="false">
      <c r="A1962" s="6" t="s">
        <v>7184</v>
      </c>
      <c r="B1962" s="6" t="s">
        <v>4347</v>
      </c>
      <c r="C1962" s="26" t="n">
        <v>46093</v>
      </c>
      <c r="D1962" s="6" t="s">
        <v>7185</v>
      </c>
      <c r="E1962" s="6" t="s">
        <v>22</v>
      </c>
      <c r="F1962" s="6" t="n">
        <v>3</v>
      </c>
      <c r="G1962" s="10" t="n">
        <v>2734</v>
      </c>
      <c r="H1962" s="10" t="n">
        <f aca="false">F1962*G1962</f>
        <v>8202</v>
      </c>
      <c r="I1962" s="6" t="s">
        <v>5122</v>
      </c>
    </row>
    <row r="1963" customFormat="false" ht="15" hidden="false" customHeight="false" outlineLevel="0" collapsed="false">
      <c r="A1963" s="6" t="s">
        <v>7186</v>
      </c>
      <c r="B1963" s="6" t="s">
        <v>1163</v>
      </c>
      <c r="C1963" s="26" t="n">
        <v>46093</v>
      </c>
      <c r="D1963" s="6" t="s">
        <v>5167</v>
      </c>
      <c r="E1963" s="6" t="s">
        <v>22</v>
      </c>
      <c r="F1963" s="6" t="n">
        <v>1</v>
      </c>
      <c r="G1963" s="10" t="n">
        <v>782</v>
      </c>
      <c r="H1963" s="10" t="n">
        <f aca="false">F1963*G1963</f>
        <v>782</v>
      </c>
      <c r="I1963" s="6" t="s">
        <v>5125</v>
      </c>
    </row>
    <row r="1964" customFormat="false" ht="15" hidden="false" customHeight="false" outlineLevel="0" collapsed="false">
      <c r="A1964" s="6" t="s">
        <v>7187</v>
      </c>
      <c r="B1964" s="6" t="s">
        <v>793</v>
      </c>
      <c r="C1964" s="26" t="n">
        <v>46093</v>
      </c>
      <c r="D1964" s="6" t="s">
        <v>5121</v>
      </c>
      <c r="E1964" s="6" t="s">
        <v>22</v>
      </c>
      <c r="F1964" s="6" t="n">
        <v>2</v>
      </c>
      <c r="G1964" s="10" t="n">
        <v>977</v>
      </c>
      <c r="H1964" s="10" t="n">
        <f aca="false">F1964*G1964</f>
        <v>1954</v>
      </c>
      <c r="I1964" s="6" t="s">
        <v>5130</v>
      </c>
    </row>
    <row r="1965" customFormat="false" ht="15" hidden="false" customHeight="false" outlineLevel="0" collapsed="false">
      <c r="A1965" s="6" t="s">
        <v>7188</v>
      </c>
      <c r="B1965" s="6" t="s">
        <v>4241</v>
      </c>
      <c r="C1965" s="26" t="n">
        <v>46093</v>
      </c>
      <c r="D1965" s="6" t="s">
        <v>5145</v>
      </c>
      <c r="E1965" s="6" t="s">
        <v>21</v>
      </c>
      <c r="F1965" s="6" t="n">
        <v>2</v>
      </c>
      <c r="G1965" s="10" t="n">
        <v>1149</v>
      </c>
      <c r="H1965" s="10" t="n">
        <f aca="false">F1965*G1965</f>
        <v>2298</v>
      </c>
      <c r="I1965" s="6" t="s">
        <v>5125</v>
      </c>
    </row>
    <row r="1966" customFormat="false" ht="15" hidden="false" customHeight="false" outlineLevel="0" collapsed="false">
      <c r="A1966" s="6" t="s">
        <v>7189</v>
      </c>
      <c r="B1966" s="6" t="s">
        <v>346</v>
      </c>
      <c r="C1966" s="26" t="n">
        <v>46093</v>
      </c>
      <c r="D1966" s="6" t="s">
        <v>6114</v>
      </c>
      <c r="E1966" s="6" t="s">
        <v>20</v>
      </c>
      <c r="F1966" s="6" t="n">
        <v>1</v>
      </c>
      <c r="G1966" s="10" t="n">
        <v>12593</v>
      </c>
      <c r="H1966" s="10" t="n">
        <f aca="false">F1966*G1966</f>
        <v>12593</v>
      </c>
      <c r="I1966" s="6" t="s">
        <v>5125</v>
      </c>
    </row>
    <row r="1967" customFormat="false" ht="15" hidden="false" customHeight="false" outlineLevel="0" collapsed="false">
      <c r="A1967" s="6" t="s">
        <v>7190</v>
      </c>
      <c r="B1967" s="6" t="s">
        <v>4015</v>
      </c>
      <c r="C1967" s="26" t="n">
        <v>46093</v>
      </c>
      <c r="D1967" s="6" t="s">
        <v>5167</v>
      </c>
      <c r="E1967" s="6" t="s">
        <v>22</v>
      </c>
      <c r="F1967" s="6" t="n">
        <v>1</v>
      </c>
      <c r="G1967" s="10" t="n">
        <v>743</v>
      </c>
      <c r="H1967" s="10" t="n">
        <f aca="false">F1967*G1967</f>
        <v>743</v>
      </c>
      <c r="I1967" s="6" t="s">
        <v>5125</v>
      </c>
    </row>
    <row r="1968" customFormat="false" ht="15" hidden="false" customHeight="false" outlineLevel="0" collapsed="false">
      <c r="A1968" s="6" t="s">
        <v>7191</v>
      </c>
      <c r="B1968" s="6" t="s">
        <v>4021</v>
      </c>
      <c r="C1968" s="26" t="n">
        <v>46093</v>
      </c>
      <c r="D1968" s="6" t="s">
        <v>5357</v>
      </c>
      <c r="E1968" s="6" t="s">
        <v>23</v>
      </c>
      <c r="F1968" s="6" t="n">
        <v>3</v>
      </c>
      <c r="G1968" s="10" t="n">
        <v>534</v>
      </c>
      <c r="H1968" s="10" t="n">
        <f aca="false">F1968*G1968</f>
        <v>1602</v>
      </c>
      <c r="I1968" s="6" t="s">
        <v>5122</v>
      </c>
    </row>
    <row r="1969" customFormat="false" ht="15" hidden="false" customHeight="false" outlineLevel="0" collapsed="false">
      <c r="A1969" s="6" t="s">
        <v>7192</v>
      </c>
      <c r="B1969" s="6" t="s">
        <v>1513</v>
      </c>
      <c r="C1969" s="26" t="n">
        <v>46093</v>
      </c>
      <c r="D1969" s="6" t="s">
        <v>5410</v>
      </c>
      <c r="E1969" s="6" t="s">
        <v>20</v>
      </c>
      <c r="F1969" s="6" t="n">
        <v>1</v>
      </c>
      <c r="G1969" s="10" t="n">
        <v>2548</v>
      </c>
      <c r="H1969" s="10" t="n">
        <f aca="false">F1969*G1969</f>
        <v>2548</v>
      </c>
      <c r="I1969" s="6" t="s">
        <v>5130</v>
      </c>
    </row>
    <row r="1970" customFormat="false" ht="15" hidden="false" customHeight="false" outlineLevel="0" collapsed="false">
      <c r="A1970" s="6" t="s">
        <v>7193</v>
      </c>
      <c r="B1970" s="6" t="s">
        <v>3439</v>
      </c>
      <c r="C1970" s="26" t="n">
        <v>46093</v>
      </c>
      <c r="D1970" s="6" t="s">
        <v>5269</v>
      </c>
      <c r="E1970" s="6" t="s">
        <v>22</v>
      </c>
      <c r="F1970" s="6" t="n">
        <v>2</v>
      </c>
      <c r="G1970" s="10" t="n">
        <v>1271</v>
      </c>
      <c r="H1970" s="10" t="n">
        <f aca="false">F1970*G1970</f>
        <v>2542</v>
      </c>
      <c r="I1970" s="6" t="s">
        <v>5148</v>
      </c>
    </row>
    <row r="1971" customFormat="false" ht="15" hidden="false" customHeight="false" outlineLevel="0" collapsed="false">
      <c r="A1971" s="6" t="s">
        <v>7194</v>
      </c>
      <c r="B1971" s="6" t="s">
        <v>3235</v>
      </c>
      <c r="C1971" s="26" t="n">
        <v>46093</v>
      </c>
      <c r="D1971" s="6" t="s">
        <v>5237</v>
      </c>
      <c r="E1971" s="6" t="s">
        <v>24</v>
      </c>
      <c r="F1971" s="6" t="n">
        <v>1</v>
      </c>
      <c r="G1971" s="10" t="n">
        <v>1833</v>
      </c>
      <c r="H1971" s="10" t="n">
        <f aca="false">F1971*G1971</f>
        <v>1833</v>
      </c>
      <c r="I1971" s="6" t="s">
        <v>5125</v>
      </c>
    </row>
    <row r="1972" customFormat="false" ht="15" hidden="false" customHeight="false" outlineLevel="0" collapsed="false">
      <c r="A1972" s="6" t="s">
        <v>7195</v>
      </c>
      <c r="B1972" s="6" t="s">
        <v>3749</v>
      </c>
      <c r="C1972" s="26" t="n">
        <v>46093</v>
      </c>
      <c r="D1972" s="6" t="s">
        <v>5167</v>
      </c>
      <c r="E1972" s="6" t="s">
        <v>22</v>
      </c>
      <c r="F1972" s="6" t="n">
        <v>1</v>
      </c>
      <c r="G1972" s="10" t="n">
        <v>782</v>
      </c>
      <c r="H1972" s="10" t="n">
        <f aca="false">F1972*G1972</f>
        <v>782</v>
      </c>
      <c r="I1972" s="6" t="s">
        <v>5122</v>
      </c>
    </row>
    <row r="1973" customFormat="false" ht="15" hidden="false" customHeight="false" outlineLevel="0" collapsed="false">
      <c r="A1973" s="6" t="s">
        <v>7196</v>
      </c>
      <c r="B1973" s="6" t="s">
        <v>3647</v>
      </c>
      <c r="C1973" s="26" t="n">
        <v>46093</v>
      </c>
      <c r="D1973" s="6" t="s">
        <v>5135</v>
      </c>
      <c r="E1973" s="6" t="s">
        <v>23</v>
      </c>
      <c r="F1973" s="6" t="n">
        <v>4</v>
      </c>
      <c r="G1973" s="10" t="n">
        <v>441</v>
      </c>
      <c r="H1973" s="10" t="n">
        <f aca="false">F1973*G1973</f>
        <v>1764</v>
      </c>
      <c r="I1973" s="6" t="s">
        <v>5130</v>
      </c>
    </row>
    <row r="1974" customFormat="false" ht="15" hidden="false" customHeight="false" outlineLevel="0" collapsed="false">
      <c r="A1974" s="6" t="s">
        <v>7197</v>
      </c>
      <c r="B1974" s="6" t="s">
        <v>4325</v>
      </c>
      <c r="C1974" s="26" t="n">
        <v>46093</v>
      </c>
      <c r="D1974" s="6" t="s">
        <v>5185</v>
      </c>
      <c r="E1974" s="6" t="s">
        <v>24</v>
      </c>
      <c r="F1974" s="6" t="n">
        <v>2</v>
      </c>
      <c r="G1974" s="10" t="n">
        <v>2140</v>
      </c>
      <c r="H1974" s="10" t="n">
        <f aca="false">F1974*G1974</f>
        <v>4280</v>
      </c>
      <c r="I1974" s="6" t="s">
        <v>5122</v>
      </c>
    </row>
    <row r="1975" customFormat="false" ht="15" hidden="false" customHeight="false" outlineLevel="0" collapsed="false">
      <c r="A1975" s="6" t="s">
        <v>7198</v>
      </c>
      <c r="B1975" s="6" t="s">
        <v>4649</v>
      </c>
      <c r="C1975" s="26" t="n">
        <v>46093</v>
      </c>
      <c r="D1975" s="6" t="s">
        <v>5749</v>
      </c>
      <c r="E1975" s="6" t="s">
        <v>20</v>
      </c>
      <c r="F1975" s="6" t="n">
        <v>1</v>
      </c>
      <c r="G1975" s="10" t="n">
        <v>815</v>
      </c>
      <c r="H1975" s="10" t="n">
        <f aca="false">F1975*G1975</f>
        <v>815</v>
      </c>
      <c r="I1975" s="6" t="s">
        <v>5148</v>
      </c>
    </row>
    <row r="1976" customFormat="false" ht="15" hidden="false" customHeight="false" outlineLevel="0" collapsed="false">
      <c r="A1976" s="6" t="s">
        <v>7199</v>
      </c>
      <c r="B1976" s="6" t="s">
        <v>3795</v>
      </c>
      <c r="C1976" s="26" t="n">
        <v>46093</v>
      </c>
      <c r="D1976" s="6" t="s">
        <v>5906</v>
      </c>
      <c r="E1976" s="6" t="s">
        <v>20</v>
      </c>
      <c r="F1976" s="6" t="n">
        <v>1</v>
      </c>
      <c r="G1976" s="10" t="n">
        <v>56087</v>
      </c>
      <c r="H1976" s="10" t="n">
        <f aca="false">F1976*G1976</f>
        <v>56087</v>
      </c>
      <c r="I1976" s="6" t="s">
        <v>5130</v>
      </c>
    </row>
    <row r="1977" customFormat="false" ht="15" hidden="false" customHeight="false" outlineLevel="0" collapsed="false">
      <c r="A1977" s="6" t="s">
        <v>7200</v>
      </c>
      <c r="B1977" s="6" t="s">
        <v>2005</v>
      </c>
      <c r="C1977" s="26" t="n">
        <v>46093</v>
      </c>
      <c r="D1977" s="6" t="s">
        <v>5180</v>
      </c>
      <c r="E1977" s="6" t="s">
        <v>24</v>
      </c>
      <c r="F1977" s="6" t="n">
        <v>1</v>
      </c>
      <c r="G1977" s="10" t="n">
        <v>1888</v>
      </c>
      <c r="H1977" s="10" t="n">
        <f aca="false">F1977*G1977</f>
        <v>1888</v>
      </c>
      <c r="I1977" s="6" t="s">
        <v>5122</v>
      </c>
    </row>
    <row r="1978" customFormat="false" ht="15" hidden="false" customHeight="false" outlineLevel="0" collapsed="false">
      <c r="A1978" s="6" t="s">
        <v>7201</v>
      </c>
      <c r="B1978" s="6" t="s">
        <v>4967</v>
      </c>
      <c r="C1978" s="26" t="n">
        <v>46093</v>
      </c>
      <c r="D1978" s="6" t="s">
        <v>5316</v>
      </c>
      <c r="E1978" s="6" t="s">
        <v>23</v>
      </c>
      <c r="F1978" s="6" t="n">
        <v>2</v>
      </c>
      <c r="G1978" s="10" t="n">
        <v>247</v>
      </c>
      <c r="H1978" s="10" t="n">
        <f aca="false">F1978*G1978</f>
        <v>494</v>
      </c>
      <c r="I1978" s="6" t="s">
        <v>5130</v>
      </c>
    </row>
    <row r="1979" customFormat="false" ht="15" hidden="false" customHeight="false" outlineLevel="0" collapsed="false">
      <c r="A1979" s="6" t="s">
        <v>7202</v>
      </c>
      <c r="B1979" s="6" t="s">
        <v>1663</v>
      </c>
      <c r="C1979" s="26" t="n">
        <v>46093</v>
      </c>
      <c r="D1979" s="6" t="s">
        <v>5216</v>
      </c>
      <c r="E1979" s="6" t="s">
        <v>23</v>
      </c>
      <c r="F1979" s="6" t="n">
        <v>2</v>
      </c>
      <c r="G1979" s="10" t="n">
        <v>558</v>
      </c>
      <c r="H1979" s="10" t="n">
        <f aca="false">F1979*G1979</f>
        <v>1116</v>
      </c>
      <c r="I1979" s="6" t="s">
        <v>5173</v>
      </c>
    </row>
    <row r="1980" customFormat="false" ht="15" hidden="false" customHeight="false" outlineLevel="0" collapsed="false">
      <c r="A1980" s="6" t="s">
        <v>7203</v>
      </c>
      <c r="B1980" s="6" t="s">
        <v>2199</v>
      </c>
      <c r="C1980" s="26" t="n">
        <v>46093</v>
      </c>
      <c r="D1980" s="6" t="s">
        <v>5175</v>
      </c>
      <c r="E1980" s="6" t="s">
        <v>24</v>
      </c>
      <c r="F1980" s="6" t="n">
        <v>1</v>
      </c>
      <c r="G1980" s="10" t="n">
        <v>549</v>
      </c>
      <c r="H1980" s="10" t="n">
        <f aca="false">F1980*G1980</f>
        <v>549</v>
      </c>
      <c r="I1980" s="6" t="s">
        <v>5125</v>
      </c>
    </row>
    <row r="1981" customFormat="false" ht="15" hidden="false" customHeight="false" outlineLevel="0" collapsed="false">
      <c r="A1981" s="6" t="s">
        <v>7204</v>
      </c>
      <c r="B1981" s="6" t="s">
        <v>1179</v>
      </c>
      <c r="C1981" s="26" t="n">
        <v>46094</v>
      </c>
      <c r="D1981" s="6" t="s">
        <v>5687</v>
      </c>
      <c r="E1981" s="6" t="s">
        <v>20</v>
      </c>
      <c r="F1981" s="6" t="n">
        <v>3</v>
      </c>
      <c r="G1981" s="10" t="n">
        <v>2039</v>
      </c>
      <c r="H1981" s="10" t="n">
        <f aca="false">F1981*G1981</f>
        <v>6117</v>
      </c>
      <c r="I1981" s="6" t="s">
        <v>5130</v>
      </c>
    </row>
    <row r="1982" customFormat="false" ht="15" hidden="false" customHeight="false" outlineLevel="0" collapsed="false">
      <c r="A1982" s="6" t="s">
        <v>7205</v>
      </c>
      <c r="B1982" s="6" t="s">
        <v>1885</v>
      </c>
      <c r="C1982" s="26" t="n">
        <v>46094</v>
      </c>
      <c r="D1982" s="6" t="s">
        <v>5121</v>
      </c>
      <c r="E1982" s="6" t="s">
        <v>22</v>
      </c>
      <c r="F1982" s="6" t="n">
        <v>2</v>
      </c>
      <c r="G1982" s="10" t="n">
        <v>880</v>
      </c>
      <c r="H1982" s="10" t="n">
        <f aca="false">F1982*G1982</f>
        <v>1760</v>
      </c>
      <c r="I1982" s="6" t="s">
        <v>5122</v>
      </c>
    </row>
    <row r="1983" customFormat="false" ht="15" hidden="false" customHeight="false" outlineLevel="0" collapsed="false">
      <c r="A1983" s="6" t="s">
        <v>7206</v>
      </c>
      <c r="B1983" s="6" t="s">
        <v>1797</v>
      </c>
      <c r="C1983" s="26" t="n">
        <v>46094</v>
      </c>
      <c r="D1983" s="6" t="s">
        <v>5224</v>
      </c>
      <c r="E1983" s="6" t="s">
        <v>23</v>
      </c>
      <c r="F1983" s="6" t="n">
        <v>3</v>
      </c>
      <c r="G1983" s="10" t="n">
        <v>185</v>
      </c>
      <c r="H1983" s="10" t="n">
        <f aca="false">F1983*G1983</f>
        <v>555</v>
      </c>
      <c r="I1983" s="6" t="s">
        <v>5130</v>
      </c>
    </row>
    <row r="1984" customFormat="false" ht="15" hidden="false" customHeight="false" outlineLevel="0" collapsed="false">
      <c r="A1984" s="6" t="s">
        <v>7207</v>
      </c>
      <c r="B1984" s="6" t="s">
        <v>2725</v>
      </c>
      <c r="C1984" s="26" t="n">
        <v>46094</v>
      </c>
      <c r="D1984" s="6" t="s">
        <v>6046</v>
      </c>
      <c r="E1984" s="6" t="s">
        <v>22</v>
      </c>
      <c r="F1984" s="6" t="n">
        <v>1</v>
      </c>
      <c r="G1984" s="10" t="n">
        <v>3961</v>
      </c>
      <c r="H1984" s="10" t="n">
        <f aca="false">F1984*G1984</f>
        <v>3961</v>
      </c>
      <c r="I1984" s="6" t="s">
        <v>5122</v>
      </c>
    </row>
    <row r="1985" customFormat="false" ht="15" hidden="false" customHeight="false" outlineLevel="0" collapsed="false">
      <c r="A1985" s="6" t="s">
        <v>7208</v>
      </c>
      <c r="B1985" s="6" t="s">
        <v>2855</v>
      </c>
      <c r="C1985" s="26" t="n">
        <v>46094</v>
      </c>
      <c r="D1985" s="6" t="s">
        <v>5182</v>
      </c>
      <c r="E1985" s="6" t="s">
        <v>23</v>
      </c>
      <c r="F1985" s="6" t="n">
        <v>3</v>
      </c>
      <c r="G1985" s="10" t="n">
        <v>367</v>
      </c>
      <c r="H1985" s="10" t="n">
        <f aca="false">F1985*G1985</f>
        <v>1101</v>
      </c>
      <c r="I1985" s="6" t="s">
        <v>5133</v>
      </c>
    </row>
    <row r="1986" customFormat="false" ht="15" hidden="false" customHeight="false" outlineLevel="0" collapsed="false">
      <c r="A1986" s="6" t="s">
        <v>7209</v>
      </c>
      <c r="B1986" s="6" t="s">
        <v>2537</v>
      </c>
      <c r="C1986" s="26" t="n">
        <v>46094</v>
      </c>
      <c r="D1986" s="6" t="s">
        <v>5561</v>
      </c>
      <c r="E1986" s="6" t="s">
        <v>20</v>
      </c>
      <c r="F1986" s="6" t="n">
        <v>1</v>
      </c>
      <c r="G1986" s="10" t="n">
        <v>3028</v>
      </c>
      <c r="H1986" s="10" t="n">
        <f aca="false">F1986*G1986</f>
        <v>3028</v>
      </c>
      <c r="I1986" s="6" t="s">
        <v>5148</v>
      </c>
    </row>
    <row r="1987" customFormat="false" ht="15" hidden="false" customHeight="false" outlineLevel="0" collapsed="false">
      <c r="A1987" s="6" t="s">
        <v>7210</v>
      </c>
      <c r="B1987" s="6" t="s">
        <v>4039</v>
      </c>
      <c r="C1987" s="26" t="n">
        <v>46094</v>
      </c>
      <c r="D1987" s="6" t="s">
        <v>5538</v>
      </c>
      <c r="E1987" s="6" t="s">
        <v>21</v>
      </c>
      <c r="F1987" s="6" t="n">
        <v>2</v>
      </c>
      <c r="G1987" s="10" t="n">
        <v>4865</v>
      </c>
      <c r="H1987" s="10" t="n">
        <f aca="false">F1987*G1987</f>
        <v>9730</v>
      </c>
      <c r="I1987" s="6" t="s">
        <v>5133</v>
      </c>
    </row>
    <row r="1988" customFormat="false" ht="15" hidden="false" customHeight="false" outlineLevel="0" collapsed="false">
      <c r="A1988" s="6" t="s">
        <v>7211</v>
      </c>
      <c r="B1988" s="6" t="s">
        <v>3153</v>
      </c>
      <c r="C1988" s="26" t="n">
        <v>46094</v>
      </c>
      <c r="D1988" s="6" t="s">
        <v>5269</v>
      </c>
      <c r="E1988" s="6" t="s">
        <v>22</v>
      </c>
      <c r="F1988" s="6" t="n">
        <v>2</v>
      </c>
      <c r="G1988" s="10" t="n">
        <v>1271</v>
      </c>
      <c r="H1988" s="10" t="n">
        <f aca="false">F1988*G1988</f>
        <v>2542</v>
      </c>
      <c r="I1988" s="6" t="s">
        <v>5122</v>
      </c>
    </row>
    <row r="1989" customFormat="false" ht="15" hidden="false" customHeight="false" outlineLevel="0" collapsed="false">
      <c r="A1989" s="6" t="s">
        <v>7212</v>
      </c>
      <c r="B1989" s="6" t="s">
        <v>3809</v>
      </c>
      <c r="C1989" s="26" t="n">
        <v>46094</v>
      </c>
      <c r="D1989" s="6" t="s">
        <v>5182</v>
      </c>
      <c r="E1989" s="6" t="s">
        <v>23</v>
      </c>
      <c r="F1989" s="6" t="n">
        <v>1</v>
      </c>
      <c r="G1989" s="10" t="n">
        <v>366</v>
      </c>
      <c r="H1989" s="10" t="n">
        <f aca="false">F1989*G1989</f>
        <v>366</v>
      </c>
      <c r="I1989" s="6" t="s">
        <v>5148</v>
      </c>
    </row>
    <row r="1990" customFormat="false" ht="15" hidden="false" customHeight="false" outlineLevel="0" collapsed="false">
      <c r="A1990" s="6" t="s">
        <v>7213</v>
      </c>
      <c r="B1990" s="6" t="s">
        <v>2381</v>
      </c>
      <c r="C1990" s="26" t="n">
        <v>46094</v>
      </c>
      <c r="D1990" s="6" t="s">
        <v>5163</v>
      </c>
      <c r="E1990" s="6" t="s">
        <v>23</v>
      </c>
      <c r="F1990" s="6" t="n">
        <v>1</v>
      </c>
      <c r="G1990" s="10" t="n">
        <v>783</v>
      </c>
      <c r="H1990" s="10" t="n">
        <f aca="false">F1990*G1990</f>
        <v>783</v>
      </c>
      <c r="I1990" s="6" t="s">
        <v>5125</v>
      </c>
    </row>
    <row r="1991" customFormat="false" ht="15" hidden="false" customHeight="false" outlineLevel="0" collapsed="false">
      <c r="A1991" s="6" t="s">
        <v>7214</v>
      </c>
      <c r="B1991" s="6" t="s">
        <v>3777</v>
      </c>
      <c r="C1991" s="26" t="n">
        <v>46094</v>
      </c>
      <c r="D1991" s="6" t="s">
        <v>5154</v>
      </c>
      <c r="E1991" s="6" t="s">
        <v>21</v>
      </c>
      <c r="F1991" s="6" t="n">
        <v>3</v>
      </c>
      <c r="G1991" s="10" t="n">
        <v>785</v>
      </c>
      <c r="H1991" s="10" t="n">
        <f aca="false">F1991*G1991</f>
        <v>2355</v>
      </c>
      <c r="I1991" s="6" t="s">
        <v>5122</v>
      </c>
    </row>
    <row r="1992" customFormat="false" ht="15" hidden="false" customHeight="false" outlineLevel="0" collapsed="false">
      <c r="A1992" s="6" t="s">
        <v>7215</v>
      </c>
      <c r="B1992" s="6" t="s">
        <v>4721</v>
      </c>
      <c r="C1992" s="26" t="n">
        <v>46094</v>
      </c>
      <c r="D1992" s="6" t="s">
        <v>5456</v>
      </c>
      <c r="E1992" s="6" t="s">
        <v>24</v>
      </c>
      <c r="F1992" s="6" t="n">
        <v>3</v>
      </c>
      <c r="G1992" s="10" t="n">
        <v>912</v>
      </c>
      <c r="H1992" s="10" t="n">
        <f aca="false">F1992*G1992</f>
        <v>2736</v>
      </c>
      <c r="I1992" s="6" t="s">
        <v>5148</v>
      </c>
    </row>
    <row r="1993" customFormat="false" ht="15" hidden="false" customHeight="false" outlineLevel="0" collapsed="false">
      <c r="A1993" s="6" t="s">
        <v>7216</v>
      </c>
      <c r="B1993" s="6" t="s">
        <v>2925</v>
      </c>
      <c r="C1993" s="26" t="n">
        <v>46094</v>
      </c>
      <c r="D1993" s="6" t="s">
        <v>5171</v>
      </c>
      <c r="E1993" s="6" t="s">
        <v>23</v>
      </c>
      <c r="F1993" s="6" t="n">
        <v>3</v>
      </c>
      <c r="G1993" s="10" t="n">
        <v>697</v>
      </c>
      <c r="H1993" s="10" t="n">
        <f aca="false">F1993*G1993</f>
        <v>2091</v>
      </c>
      <c r="I1993" s="6" t="s">
        <v>5148</v>
      </c>
    </row>
    <row r="1994" customFormat="false" ht="15" hidden="false" customHeight="false" outlineLevel="0" collapsed="false">
      <c r="A1994" s="6" t="s">
        <v>7217</v>
      </c>
      <c r="B1994" s="6" t="s">
        <v>4157</v>
      </c>
      <c r="C1994" s="26" t="n">
        <v>46094</v>
      </c>
      <c r="D1994" s="6" t="s">
        <v>5163</v>
      </c>
      <c r="E1994" s="6" t="s">
        <v>23</v>
      </c>
      <c r="F1994" s="6" t="n">
        <v>2</v>
      </c>
      <c r="G1994" s="10" t="n">
        <v>783</v>
      </c>
      <c r="H1994" s="10" t="n">
        <f aca="false">F1994*G1994</f>
        <v>1566</v>
      </c>
      <c r="I1994" s="6" t="s">
        <v>5148</v>
      </c>
    </row>
    <row r="1995" customFormat="false" ht="15" hidden="false" customHeight="false" outlineLevel="0" collapsed="false">
      <c r="A1995" s="6" t="s">
        <v>7218</v>
      </c>
      <c r="B1995" s="6" t="s">
        <v>3277</v>
      </c>
      <c r="C1995" s="26" t="n">
        <v>46094</v>
      </c>
      <c r="D1995" s="6" t="s">
        <v>5216</v>
      </c>
      <c r="E1995" s="6" t="s">
        <v>23</v>
      </c>
      <c r="F1995" s="6" t="n">
        <v>2</v>
      </c>
      <c r="G1995" s="10" t="n">
        <v>587</v>
      </c>
      <c r="H1995" s="10" t="n">
        <f aca="false">F1995*G1995</f>
        <v>1174</v>
      </c>
      <c r="I1995" s="6" t="s">
        <v>5130</v>
      </c>
    </row>
    <row r="1996" customFormat="false" ht="15" hidden="false" customHeight="false" outlineLevel="0" collapsed="false">
      <c r="A1996" s="6" t="s">
        <v>7219</v>
      </c>
      <c r="B1996" s="6" t="s">
        <v>837</v>
      </c>
      <c r="C1996" s="26" t="n">
        <v>46094</v>
      </c>
      <c r="D1996" s="6" t="s">
        <v>6114</v>
      </c>
      <c r="E1996" s="6" t="s">
        <v>20</v>
      </c>
      <c r="F1996" s="6" t="n">
        <v>1</v>
      </c>
      <c r="G1996" s="10" t="n">
        <v>13255</v>
      </c>
      <c r="H1996" s="10" t="n">
        <f aca="false">F1996*G1996</f>
        <v>13255</v>
      </c>
      <c r="I1996" s="6" t="s">
        <v>5125</v>
      </c>
    </row>
    <row r="1997" customFormat="false" ht="15" hidden="false" customHeight="false" outlineLevel="0" collapsed="false">
      <c r="A1997" s="6" t="s">
        <v>7220</v>
      </c>
      <c r="B1997" s="6" t="s">
        <v>4817</v>
      </c>
      <c r="C1997" s="26" t="n">
        <v>46094</v>
      </c>
      <c r="D1997" s="6" t="s">
        <v>5167</v>
      </c>
      <c r="E1997" s="6" t="s">
        <v>22</v>
      </c>
      <c r="F1997" s="6" t="n">
        <v>1</v>
      </c>
      <c r="G1997" s="10" t="n">
        <v>703</v>
      </c>
      <c r="H1997" s="10" t="n">
        <f aca="false">F1997*G1997</f>
        <v>703</v>
      </c>
      <c r="I1997" s="6" t="s">
        <v>5122</v>
      </c>
    </row>
    <row r="1998" customFormat="false" ht="15" hidden="false" customHeight="false" outlineLevel="0" collapsed="false">
      <c r="A1998" s="6" t="s">
        <v>7221</v>
      </c>
      <c r="B1998" s="6" t="s">
        <v>671</v>
      </c>
      <c r="C1998" s="26" t="n">
        <v>46094</v>
      </c>
      <c r="D1998" s="6" t="s">
        <v>5163</v>
      </c>
      <c r="E1998" s="6" t="s">
        <v>23</v>
      </c>
      <c r="F1998" s="6" t="n">
        <v>3</v>
      </c>
      <c r="G1998" s="10" t="n">
        <v>744</v>
      </c>
      <c r="H1998" s="10" t="n">
        <f aca="false">F1998*G1998</f>
        <v>2232</v>
      </c>
      <c r="I1998" s="6" t="s">
        <v>5125</v>
      </c>
    </row>
    <row r="1999" customFormat="false" ht="15" hidden="false" customHeight="false" outlineLevel="0" collapsed="false">
      <c r="A1999" s="6" t="s">
        <v>7222</v>
      </c>
      <c r="B1999" s="6" t="s">
        <v>2869</v>
      </c>
      <c r="C1999" s="26" t="n">
        <v>46094</v>
      </c>
      <c r="D1999" s="6" t="s">
        <v>5460</v>
      </c>
      <c r="E1999" s="6" t="s">
        <v>24</v>
      </c>
      <c r="F1999" s="6" t="n">
        <v>1</v>
      </c>
      <c r="G1999" s="10" t="n">
        <v>555</v>
      </c>
      <c r="H1999" s="10" t="n">
        <f aca="false">F1999*G1999</f>
        <v>555</v>
      </c>
      <c r="I1999" s="6" t="s">
        <v>5148</v>
      </c>
    </row>
    <row r="2000" customFormat="false" ht="15" hidden="false" customHeight="false" outlineLevel="0" collapsed="false">
      <c r="A2000" s="6" t="s">
        <v>7223</v>
      </c>
      <c r="B2000" s="6" t="s">
        <v>3067</v>
      </c>
      <c r="C2000" s="26" t="n">
        <v>46094</v>
      </c>
      <c r="D2000" s="6" t="s">
        <v>5207</v>
      </c>
      <c r="E2000" s="6" t="s">
        <v>20</v>
      </c>
      <c r="F2000" s="6" t="n">
        <v>1</v>
      </c>
      <c r="G2000" s="10" t="n">
        <v>1325</v>
      </c>
      <c r="H2000" s="10" t="n">
        <f aca="false">F2000*G2000</f>
        <v>1325</v>
      </c>
      <c r="I2000" s="6" t="s">
        <v>5125</v>
      </c>
    </row>
    <row r="2001" customFormat="false" ht="15" hidden="false" customHeight="false" outlineLevel="0" collapsed="false">
      <c r="A2001" s="6" t="s">
        <v>7224</v>
      </c>
      <c r="B2001" s="6" t="s">
        <v>3563</v>
      </c>
      <c r="C2001" s="26" t="n">
        <v>46094</v>
      </c>
      <c r="D2001" s="6" t="s">
        <v>5216</v>
      </c>
      <c r="E2001" s="6" t="s">
        <v>23</v>
      </c>
      <c r="F2001" s="6" t="n">
        <v>4</v>
      </c>
      <c r="G2001" s="10" t="n">
        <v>587</v>
      </c>
      <c r="H2001" s="10" t="n">
        <f aca="false">F2001*G2001</f>
        <v>2348</v>
      </c>
      <c r="I2001" s="6" t="s">
        <v>5173</v>
      </c>
    </row>
    <row r="2002" customFormat="false" ht="15" hidden="false" customHeight="false" outlineLevel="0" collapsed="false">
      <c r="A2002" s="6" t="s">
        <v>7225</v>
      </c>
      <c r="B2002" s="6" t="s">
        <v>3827</v>
      </c>
      <c r="C2002" s="26" t="n">
        <v>46094</v>
      </c>
      <c r="D2002" s="6" t="s">
        <v>5165</v>
      </c>
      <c r="E2002" s="6" t="s">
        <v>22</v>
      </c>
      <c r="F2002" s="6" t="n">
        <v>1</v>
      </c>
      <c r="G2002" s="10" t="n">
        <v>977</v>
      </c>
      <c r="H2002" s="10" t="n">
        <f aca="false">F2002*G2002</f>
        <v>977</v>
      </c>
      <c r="I2002" s="6" t="s">
        <v>5133</v>
      </c>
    </row>
    <row r="2003" customFormat="false" ht="15" hidden="false" customHeight="false" outlineLevel="0" collapsed="false">
      <c r="A2003" s="6" t="s">
        <v>7226</v>
      </c>
      <c r="B2003" s="6" t="s">
        <v>1059</v>
      </c>
      <c r="C2003" s="26" t="n">
        <v>46094</v>
      </c>
      <c r="D2003" s="6" t="s">
        <v>5188</v>
      </c>
      <c r="E2003" s="6" t="s">
        <v>24</v>
      </c>
      <c r="F2003" s="6" t="n">
        <v>2</v>
      </c>
      <c r="G2003" s="10" t="n">
        <v>967</v>
      </c>
      <c r="H2003" s="10" t="n">
        <f aca="false">F2003*G2003</f>
        <v>1934</v>
      </c>
      <c r="I2003" s="6" t="s">
        <v>5148</v>
      </c>
    </row>
    <row r="2004" customFormat="false" ht="15" hidden="false" customHeight="false" outlineLevel="0" collapsed="false">
      <c r="A2004" s="6" t="s">
        <v>7227</v>
      </c>
      <c r="B2004" s="6" t="s">
        <v>5043</v>
      </c>
      <c r="C2004" s="26" t="n">
        <v>46094</v>
      </c>
      <c r="D2004" s="6" t="s">
        <v>5318</v>
      </c>
      <c r="E2004" s="6" t="s">
        <v>20</v>
      </c>
      <c r="F2004" s="6" t="n">
        <v>1</v>
      </c>
      <c r="G2004" s="10" t="n">
        <v>1529</v>
      </c>
      <c r="H2004" s="10" t="n">
        <f aca="false">F2004*G2004</f>
        <v>1529</v>
      </c>
      <c r="I2004" s="6" t="s">
        <v>5133</v>
      </c>
    </row>
    <row r="2005" customFormat="false" ht="15" hidden="false" customHeight="false" outlineLevel="0" collapsed="false">
      <c r="A2005" s="6" t="s">
        <v>7228</v>
      </c>
      <c r="B2005" s="6" t="s">
        <v>1939</v>
      </c>
      <c r="C2005" s="26" t="n">
        <v>46094</v>
      </c>
      <c r="D2005" s="6" t="s">
        <v>5197</v>
      </c>
      <c r="E2005" s="6" t="s">
        <v>21</v>
      </c>
      <c r="F2005" s="6" t="n">
        <v>1</v>
      </c>
      <c r="G2005" s="10" t="n">
        <v>1080</v>
      </c>
      <c r="H2005" s="10" t="n">
        <f aca="false">F2005*G2005</f>
        <v>1080</v>
      </c>
      <c r="I2005" s="6" t="s">
        <v>5122</v>
      </c>
    </row>
    <row r="2006" customFormat="false" ht="15" hidden="false" customHeight="false" outlineLevel="0" collapsed="false">
      <c r="A2006" s="6" t="s">
        <v>7229</v>
      </c>
      <c r="B2006" s="6" t="s">
        <v>1563</v>
      </c>
      <c r="C2006" s="26" t="n">
        <v>46094</v>
      </c>
      <c r="D2006" s="6" t="s">
        <v>5167</v>
      </c>
      <c r="E2006" s="6" t="s">
        <v>22</v>
      </c>
      <c r="F2006" s="6" t="n">
        <v>2</v>
      </c>
      <c r="G2006" s="10" t="n">
        <v>743</v>
      </c>
      <c r="H2006" s="10" t="n">
        <f aca="false">F2006*G2006</f>
        <v>1486</v>
      </c>
      <c r="I2006" s="6" t="s">
        <v>5130</v>
      </c>
    </row>
    <row r="2007" customFormat="false" ht="15" hidden="false" customHeight="false" outlineLevel="0" collapsed="false">
      <c r="A2007" s="6" t="s">
        <v>7230</v>
      </c>
      <c r="B2007" s="6" t="s">
        <v>747</v>
      </c>
      <c r="C2007" s="26" t="n">
        <v>46094</v>
      </c>
      <c r="D2007" s="6" t="s">
        <v>5456</v>
      </c>
      <c r="E2007" s="6" t="s">
        <v>24</v>
      </c>
      <c r="F2007" s="6" t="n">
        <v>1</v>
      </c>
      <c r="G2007" s="10" t="n">
        <v>821</v>
      </c>
      <c r="H2007" s="10" t="n">
        <f aca="false">F2007*G2007</f>
        <v>821</v>
      </c>
      <c r="I2007" s="6" t="s">
        <v>5148</v>
      </c>
    </row>
    <row r="2008" customFormat="false" ht="15" hidden="false" customHeight="false" outlineLevel="0" collapsed="false">
      <c r="A2008" s="6" t="s">
        <v>7231</v>
      </c>
      <c r="B2008" s="6" t="s">
        <v>2909</v>
      </c>
      <c r="C2008" s="26" t="n">
        <v>46094</v>
      </c>
      <c r="D2008" s="6" t="s">
        <v>5129</v>
      </c>
      <c r="E2008" s="6" t="s">
        <v>21</v>
      </c>
      <c r="F2008" s="6" t="n">
        <v>1</v>
      </c>
      <c r="G2008" s="10" t="n">
        <v>559</v>
      </c>
      <c r="H2008" s="10" t="n">
        <f aca="false">F2008*G2008</f>
        <v>559</v>
      </c>
      <c r="I2008" s="6" t="s">
        <v>5130</v>
      </c>
    </row>
    <row r="2009" customFormat="false" ht="15" hidden="false" customHeight="false" outlineLevel="0" collapsed="false">
      <c r="A2009" s="6" t="s">
        <v>7232</v>
      </c>
      <c r="B2009" s="6" t="s">
        <v>863</v>
      </c>
      <c r="C2009" s="26" t="n">
        <v>46094</v>
      </c>
      <c r="D2009" s="6" t="s">
        <v>5259</v>
      </c>
      <c r="E2009" s="6" t="s">
        <v>22</v>
      </c>
      <c r="F2009" s="6" t="n">
        <v>2</v>
      </c>
      <c r="G2009" s="10" t="n">
        <v>1486</v>
      </c>
      <c r="H2009" s="10" t="n">
        <f aca="false">F2009*G2009</f>
        <v>2972</v>
      </c>
      <c r="I2009" s="6" t="s">
        <v>5122</v>
      </c>
    </row>
    <row r="2010" customFormat="false" ht="15" hidden="false" customHeight="false" outlineLevel="0" collapsed="false">
      <c r="A2010" s="6" t="s">
        <v>7233</v>
      </c>
      <c r="B2010" s="6" t="s">
        <v>3485</v>
      </c>
      <c r="C2010" s="26" t="n">
        <v>46094</v>
      </c>
      <c r="D2010" s="6" t="s">
        <v>5460</v>
      </c>
      <c r="E2010" s="6" t="s">
        <v>24</v>
      </c>
      <c r="F2010" s="6" t="n">
        <v>4</v>
      </c>
      <c r="G2010" s="10" t="n">
        <v>528</v>
      </c>
      <c r="H2010" s="10" t="n">
        <f aca="false">F2010*G2010</f>
        <v>2112</v>
      </c>
      <c r="I2010" s="6" t="s">
        <v>5148</v>
      </c>
    </row>
    <row r="2011" customFormat="false" ht="15" hidden="false" customHeight="false" outlineLevel="0" collapsed="false">
      <c r="A2011" s="6" t="s">
        <v>7234</v>
      </c>
      <c r="B2011" s="6" t="s">
        <v>2595</v>
      </c>
      <c r="C2011" s="26" t="n">
        <v>46094</v>
      </c>
      <c r="D2011" s="6" t="s">
        <v>5224</v>
      </c>
      <c r="E2011" s="6" t="s">
        <v>23</v>
      </c>
      <c r="F2011" s="6" t="n">
        <v>1</v>
      </c>
      <c r="G2011" s="10" t="n">
        <v>175</v>
      </c>
      <c r="H2011" s="10" t="n">
        <f aca="false">F2011*G2011</f>
        <v>175</v>
      </c>
      <c r="I2011" s="6" t="s">
        <v>5122</v>
      </c>
    </row>
    <row r="2012" customFormat="false" ht="15" hidden="false" customHeight="false" outlineLevel="0" collapsed="false">
      <c r="A2012" s="6" t="s">
        <v>7235</v>
      </c>
      <c r="B2012" s="6" t="s">
        <v>905</v>
      </c>
      <c r="C2012" s="26" t="n">
        <v>46094</v>
      </c>
      <c r="D2012" s="6" t="s">
        <v>5207</v>
      </c>
      <c r="E2012" s="6" t="s">
        <v>20</v>
      </c>
      <c r="F2012" s="6" t="n">
        <v>1</v>
      </c>
      <c r="G2012" s="10" t="n">
        <v>1325</v>
      </c>
      <c r="H2012" s="10" t="n">
        <f aca="false">F2012*G2012</f>
        <v>1325</v>
      </c>
      <c r="I2012" s="6" t="s">
        <v>5130</v>
      </c>
    </row>
    <row r="2013" customFormat="false" ht="15" hidden="false" customHeight="false" outlineLevel="0" collapsed="false">
      <c r="A2013" s="6" t="s">
        <v>7236</v>
      </c>
      <c r="B2013" s="6" t="s">
        <v>4373</v>
      </c>
      <c r="C2013" s="26" t="n">
        <v>46094</v>
      </c>
      <c r="D2013" s="6" t="s">
        <v>5192</v>
      </c>
      <c r="E2013" s="6" t="s">
        <v>20</v>
      </c>
      <c r="F2013" s="6" t="n">
        <v>3</v>
      </c>
      <c r="G2013" s="10" t="n">
        <v>4078</v>
      </c>
      <c r="H2013" s="10" t="n">
        <f aca="false">F2013*G2013</f>
        <v>12234</v>
      </c>
      <c r="I2013" s="6" t="s">
        <v>5148</v>
      </c>
    </row>
    <row r="2014" customFormat="false" ht="15" hidden="false" customHeight="false" outlineLevel="0" collapsed="false">
      <c r="A2014" s="6" t="s">
        <v>7237</v>
      </c>
      <c r="B2014" s="6" t="s">
        <v>4225</v>
      </c>
      <c r="C2014" s="26" t="n">
        <v>46094</v>
      </c>
      <c r="D2014" s="6" t="s">
        <v>5171</v>
      </c>
      <c r="E2014" s="6" t="s">
        <v>23</v>
      </c>
      <c r="F2014" s="6" t="n">
        <v>5</v>
      </c>
      <c r="G2014" s="10" t="n">
        <v>734</v>
      </c>
      <c r="H2014" s="10" t="n">
        <f aca="false">F2014*G2014</f>
        <v>3670</v>
      </c>
      <c r="I2014" s="6" t="s">
        <v>5122</v>
      </c>
    </row>
    <row r="2015" customFormat="false" ht="15" hidden="false" customHeight="false" outlineLevel="0" collapsed="false">
      <c r="A2015" s="6" t="s">
        <v>7238</v>
      </c>
      <c r="B2015" s="6" t="s">
        <v>3583</v>
      </c>
      <c r="C2015" s="26" t="n">
        <v>46094</v>
      </c>
      <c r="D2015" s="6" t="s">
        <v>5423</v>
      </c>
      <c r="E2015" s="6" t="s">
        <v>21</v>
      </c>
      <c r="F2015" s="6" t="n">
        <v>1</v>
      </c>
      <c r="G2015" s="10" t="n">
        <v>3081</v>
      </c>
      <c r="H2015" s="10" t="n">
        <f aca="false">F2015*G2015</f>
        <v>3081</v>
      </c>
      <c r="I2015" s="6" t="s">
        <v>5122</v>
      </c>
    </row>
    <row r="2016" customFormat="false" ht="15" hidden="false" customHeight="false" outlineLevel="0" collapsed="false">
      <c r="A2016" s="6" t="s">
        <v>7239</v>
      </c>
      <c r="B2016" s="6" t="s">
        <v>4563</v>
      </c>
      <c r="C2016" s="26" t="n">
        <v>46094</v>
      </c>
      <c r="D2016" s="6" t="s">
        <v>5687</v>
      </c>
      <c r="E2016" s="6" t="s">
        <v>20</v>
      </c>
      <c r="F2016" s="6" t="n">
        <v>1</v>
      </c>
      <c r="G2016" s="10" t="n">
        <v>2039</v>
      </c>
      <c r="H2016" s="10" t="n">
        <f aca="false">F2016*G2016</f>
        <v>2039</v>
      </c>
      <c r="I2016" s="6" t="s">
        <v>5122</v>
      </c>
    </row>
    <row r="2017" customFormat="false" ht="15" hidden="false" customHeight="false" outlineLevel="0" collapsed="false">
      <c r="A2017" s="6" t="s">
        <v>7240</v>
      </c>
      <c r="B2017" s="6" t="s">
        <v>1787</v>
      </c>
      <c r="C2017" s="26" t="n">
        <v>46094</v>
      </c>
      <c r="D2017" s="6" t="s">
        <v>5167</v>
      </c>
      <c r="E2017" s="6" t="s">
        <v>22</v>
      </c>
      <c r="F2017" s="6" t="n">
        <v>1</v>
      </c>
      <c r="G2017" s="10" t="n">
        <v>702</v>
      </c>
      <c r="H2017" s="10" t="n">
        <f aca="false">F2017*G2017</f>
        <v>702</v>
      </c>
      <c r="I2017" s="6" t="s">
        <v>5122</v>
      </c>
    </row>
    <row r="2018" customFormat="false" ht="15" hidden="false" customHeight="false" outlineLevel="0" collapsed="false">
      <c r="A2018" s="6" t="s">
        <v>7241</v>
      </c>
      <c r="B2018" s="6" t="s">
        <v>4249</v>
      </c>
      <c r="C2018" s="26" t="n">
        <v>46095</v>
      </c>
      <c r="D2018" s="6" t="s">
        <v>5683</v>
      </c>
      <c r="E2018" s="6" t="s">
        <v>22</v>
      </c>
      <c r="F2018" s="6" t="n">
        <v>2</v>
      </c>
      <c r="G2018" s="10" t="n">
        <v>1760</v>
      </c>
      <c r="H2018" s="10" t="n">
        <f aca="false">F2018*G2018</f>
        <v>3520</v>
      </c>
      <c r="I2018" s="6" t="s">
        <v>5122</v>
      </c>
    </row>
    <row r="2019" customFormat="false" ht="15" hidden="false" customHeight="false" outlineLevel="0" collapsed="false">
      <c r="A2019" s="6" t="s">
        <v>7242</v>
      </c>
      <c r="B2019" s="6" t="s">
        <v>4531</v>
      </c>
      <c r="C2019" s="26" t="n">
        <v>46095</v>
      </c>
      <c r="D2019" s="6" t="s">
        <v>5482</v>
      </c>
      <c r="E2019" s="6" t="s">
        <v>23</v>
      </c>
      <c r="F2019" s="6" t="n">
        <v>2</v>
      </c>
      <c r="G2019" s="10" t="n">
        <v>269</v>
      </c>
      <c r="H2019" s="10" t="n">
        <f aca="false">F2019*G2019</f>
        <v>538</v>
      </c>
      <c r="I2019" s="6" t="s">
        <v>5122</v>
      </c>
    </row>
    <row r="2020" customFormat="false" ht="15" hidden="false" customHeight="false" outlineLevel="0" collapsed="false">
      <c r="A2020" s="6" t="s">
        <v>7243</v>
      </c>
      <c r="B2020" s="6" t="s">
        <v>593</v>
      </c>
      <c r="C2020" s="26" t="n">
        <v>46095</v>
      </c>
      <c r="D2020" s="6" t="s">
        <v>5121</v>
      </c>
      <c r="E2020" s="6" t="s">
        <v>22</v>
      </c>
      <c r="F2020" s="6" t="n">
        <v>1</v>
      </c>
      <c r="G2020" s="10" t="n">
        <v>977</v>
      </c>
      <c r="H2020" s="10" t="n">
        <f aca="false">F2020*G2020</f>
        <v>977</v>
      </c>
      <c r="I2020" s="6" t="s">
        <v>5122</v>
      </c>
    </row>
    <row r="2021" customFormat="false" ht="15" hidden="false" customHeight="false" outlineLevel="0" collapsed="false">
      <c r="A2021" s="6" t="s">
        <v>7244</v>
      </c>
      <c r="B2021" s="6" t="s">
        <v>3275</v>
      </c>
      <c r="C2021" s="26" t="n">
        <v>46095</v>
      </c>
      <c r="D2021" s="6" t="s">
        <v>5318</v>
      </c>
      <c r="E2021" s="6" t="s">
        <v>20</v>
      </c>
      <c r="F2021" s="6" t="n">
        <v>1</v>
      </c>
      <c r="G2021" s="10" t="n">
        <v>1529</v>
      </c>
      <c r="H2021" s="10" t="n">
        <f aca="false">F2021*G2021</f>
        <v>1529</v>
      </c>
      <c r="I2021" s="6" t="s">
        <v>5125</v>
      </c>
    </row>
    <row r="2022" customFormat="false" ht="15" hidden="false" customHeight="false" outlineLevel="0" collapsed="false">
      <c r="A2022" s="6" t="s">
        <v>7245</v>
      </c>
      <c r="B2022" s="6" t="s">
        <v>3515</v>
      </c>
      <c r="C2022" s="26" t="n">
        <v>46095</v>
      </c>
      <c r="D2022" s="6" t="s">
        <v>5226</v>
      </c>
      <c r="E2022" s="6" t="s">
        <v>24</v>
      </c>
      <c r="F2022" s="6" t="n">
        <v>1</v>
      </c>
      <c r="G2022" s="10" t="n">
        <v>457</v>
      </c>
      <c r="H2022" s="10" t="n">
        <f aca="false">F2022*G2022</f>
        <v>457</v>
      </c>
      <c r="I2022" s="6" t="s">
        <v>5133</v>
      </c>
    </row>
    <row r="2023" customFormat="false" ht="15" hidden="false" customHeight="false" outlineLevel="0" collapsed="false">
      <c r="A2023" s="6" t="s">
        <v>7246</v>
      </c>
      <c r="B2023" s="6" t="s">
        <v>1899</v>
      </c>
      <c r="C2023" s="26" t="n">
        <v>46095</v>
      </c>
      <c r="D2023" s="6" t="s">
        <v>5135</v>
      </c>
      <c r="E2023" s="6" t="s">
        <v>23</v>
      </c>
      <c r="F2023" s="6" t="n">
        <v>4</v>
      </c>
      <c r="G2023" s="10" t="n">
        <v>397</v>
      </c>
      <c r="H2023" s="10" t="n">
        <f aca="false">F2023*G2023</f>
        <v>1588</v>
      </c>
      <c r="I2023" s="6" t="s">
        <v>5125</v>
      </c>
    </row>
    <row r="2024" customFormat="false" ht="15" hidden="false" customHeight="false" outlineLevel="0" collapsed="false">
      <c r="A2024" s="6" t="s">
        <v>7247</v>
      </c>
      <c r="B2024" s="6" t="s">
        <v>3495</v>
      </c>
      <c r="C2024" s="26" t="n">
        <v>46095</v>
      </c>
      <c r="D2024" s="6" t="s">
        <v>5127</v>
      </c>
      <c r="E2024" s="6" t="s">
        <v>21</v>
      </c>
      <c r="F2024" s="6" t="n">
        <v>1</v>
      </c>
      <c r="G2024" s="10" t="n">
        <v>839</v>
      </c>
      <c r="H2024" s="10" t="n">
        <f aca="false">F2024*G2024</f>
        <v>839</v>
      </c>
      <c r="I2024" s="6" t="s">
        <v>5122</v>
      </c>
    </row>
    <row r="2025" customFormat="false" ht="15" hidden="false" customHeight="false" outlineLevel="0" collapsed="false">
      <c r="A2025" s="6" t="s">
        <v>7248</v>
      </c>
      <c r="B2025" s="6" t="s">
        <v>4235</v>
      </c>
      <c r="C2025" s="26" t="n">
        <v>46095</v>
      </c>
      <c r="D2025" s="6" t="s">
        <v>5171</v>
      </c>
      <c r="E2025" s="6" t="s">
        <v>23</v>
      </c>
      <c r="F2025" s="6" t="n">
        <v>2</v>
      </c>
      <c r="G2025" s="10" t="n">
        <v>697</v>
      </c>
      <c r="H2025" s="10" t="n">
        <f aca="false">F2025*G2025</f>
        <v>1394</v>
      </c>
      <c r="I2025" s="6" t="s">
        <v>5122</v>
      </c>
    </row>
    <row r="2026" customFormat="false" ht="15" hidden="false" customHeight="false" outlineLevel="0" collapsed="false">
      <c r="A2026" s="6" t="s">
        <v>7249</v>
      </c>
      <c r="B2026" s="6" t="s">
        <v>645</v>
      </c>
      <c r="C2026" s="26" t="n">
        <v>46095</v>
      </c>
      <c r="D2026" s="6" t="s">
        <v>5167</v>
      </c>
      <c r="E2026" s="6" t="s">
        <v>22</v>
      </c>
      <c r="F2026" s="6" t="n">
        <v>3</v>
      </c>
      <c r="G2026" s="10" t="n">
        <v>743</v>
      </c>
      <c r="H2026" s="10" t="n">
        <f aca="false">F2026*G2026</f>
        <v>2229</v>
      </c>
      <c r="I2026" s="6" t="s">
        <v>5148</v>
      </c>
    </row>
    <row r="2027" customFormat="false" ht="15" hidden="false" customHeight="false" outlineLevel="0" collapsed="false">
      <c r="A2027" s="6" t="s">
        <v>7250</v>
      </c>
      <c r="B2027" s="6" t="s">
        <v>1463</v>
      </c>
      <c r="C2027" s="26" t="n">
        <v>46095</v>
      </c>
      <c r="D2027" s="6" t="s">
        <v>5318</v>
      </c>
      <c r="E2027" s="6" t="s">
        <v>20</v>
      </c>
      <c r="F2027" s="6" t="n">
        <v>2</v>
      </c>
      <c r="G2027" s="10" t="n">
        <v>1529</v>
      </c>
      <c r="H2027" s="10" t="n">
        <f aca="false">F2027*G2027</f>
        <v>3058</v>
      </c>
      <c r="I2027" s="6" t="s">
        <v>5122</v>
      </c>
    </row>
    <row r="2028" customFormat="false" ht="15" hidden="false" customHeight="false" outlineLevel="0" collapsed="false">
      <c r="A2028" s="6" t="s">
        <v>7251</v>
      </c>
      <c r="B2028" s="6" t="s">
        <v>3417</v>
      </c>
      <c r="C2028" s="26" t="n">
        <v>46095</v>
      </c>
      <c r="D2028" s="6" t="s">
        <v>5216</v>
      </c>
      <c r="E2028" s="6" t="s">
        <v>23</v>
      </c>
      <c r="F2028" s="6" t="n">
        <v>2</v>
      </c>
      <c r="G2028" s="10" t="n">
        <v>528</v>
      </c>
      <c r="H2028" s="10" t="n">
        <f aca="false">F2028*G2028</f>
        <v>1056</v>
      </c>
      <c r="I2028" s="6" t="s">
        <v>5125</v>
      </c>
    </row>
    <row r="2029" customFormat="false" ht="15" hidden="false" customHeight="false" outlineLevel="0" collapsed="false">
      <c r="A2029" s="6" t="s">
        <v>7252</v>
      </c>
      <c r="B2029" s="6" t="s">
        <v>3073</v>
      </c>
      <c r="C2029" s="26" t="n">
        <v>46095</v>
      </c>
      <c r="D2029" s="6" t="s">
        <v>5345</v>
      </c>
      <c r="E2029" s="6" t="s">
        <v>23</v>
      </c>
      <c r="F2029" s="6" t="n">
        <v>5</v>
      </c>
      <c r="G2029" s="10" t="n">
        <v>392</v>
      </c>
      <c r="H2029" s="10" t="n">
        <f aca="false">F2029*G2029</f>
        <v>1960</v>
      </c>
      <c r="I2029" s="6" t="s">
        <v>5122</v>
      </c>
    </row>
    <row r="2030" customFormat="false" ht="15" hidden="false" customHeight="false" outlineLevel="0" collapsed="false">
      <c r="A2030" s="6" t="s">
        <v>7253</v>
      </c>
      <c r="B2030" s="6" t="s">
        <v>1057</v>
      </c>
      <c r="C2030" s="26" t="n">
        <v>46095</v>
      </c>
      <c r="D2030" s="6" t="s">
        <v>5305</v>
      </c>
      <c r="E2030" s="6" t="s">
        <v>20</v>
      </c>
      <c r="F2030" s="6" t="n">
        <v>1</v>
      </c>
      <c r="G2030" s="10" t="n">
        <v>1468</v>
      </c>
      <c r="H2030" s="10" t="n">
        <f aca="false">F2030*G2030</f>
        <v>1468</v>
      </c>
      <c r="I2030" s="6" t="s">
        <v>5122</v>
      </c>
    </row>
    <row r="2031" customFormat="false" ht="15" hidden="false" customHeight="false" outlineLevel="0" collapsed="false">
      <c r="A2031" s="6" t="s">
        <v>7254</v>
      </c>
      <c r="B2031" s="6" t="s">
        <v>317</v>
      </c>
      <c r="C2031" s="26" t="n">
        <v>46095</v>
      </c>
      <c r="D2031" s="6" t="s">
        <v>5167</v>
      </c>
      <c r="E2031" s="6" t="s">
        <v>22</v>
      </c>
      <c r="F2031" s="6" t="n">
        <v>1</v>
      </c>
      <c r="G2031" s="10" t="n">
        <v>782</v>
      </c>
      <c r="H2031" s="10" t="n">
        <f aca="false">F2031*G2031</f>
        <v>782</v>
      </c>
      <c r="I2031" s="6" t="s">
        <v>5122</v>
      </c>
    </row>
    <row r="2032" customFormat="false" ht="15" hidden="false" customHeight="false" outlineLevel="0" collapsed="false">
      <c r="A2032" s="6" t="s">
        <v>7255</v>
      </c>
      <c r="B2032" s="6" t="s">
        <v>4399</v>
      </c>
      <c r="C2032" s="26" t="n">
        <v>46095</v>
      </c>
      <c r="D2032" s="6" t="s">
        <v>5345</v>
      </c>
      <c r="E2032" s="6" t="s">
        <v>23</v>
      </c>
      <c r="F2032" s="6" t="n">
        <v>2</v>
      </c>
      <c r="G2032" s="10" t="n">
        <v>436</v>
      </c>
      <c r="H2032" s="10" t="n">
        <f aca="false">F2032*G2032</f>
        <v>872</v>
      </c>
      <c r="I2032" s="6" t="s">
        <v>5130</v>
      </c>
    </row>
    <row r="2033" customFormat="false" ht="15" hidden="false" customHeight="false" outlineLevel="0" collapsed="false">
      <c r="A2033" s="6" t="s">
        <v>7256</v>
      </c>
      <c r="B2033" s="6" t="s">
        <v>3133</v>
      </c>
      <c r="C2033" s="26" t="n">
        <v>46095</v>
      </c>
      <c r="D2033" s="6" t="s">
        <v>5345</v>
      </c>
      <c r="E2033" s="6" t="s">
        <v>23</v>
      </c>
      <c r="F2033" s="6" t="n">
        <v>4</v>
      </c>
      <c r="G2033" s="10" t="n">
        <v>436</v>
      </c>
      <c r="H2033" s="10" t="n">
        <f aca="false">F2033*G2033</f>
        <v>1744</v>
      </c>
      <c r="I2033" s="6" t="s">
        <v>5148</v>
      </c>
    </row>
    <row r="2034" customFormat="false" ht="15" hidden="false" customHeight="false" outlineLevel="0" collapsed="false">
      <c r="A2034" s="6" t="s">
        <v>7257</v>
      </c>
      <c r="B2034" s="6" t="s">
        <v>2243</v>
      </c>
      <c r="C2034" s="26" t="n">
        <v>46095</v>
      </c>
      <c r="D2034" s="6" t="s">
        <v>5185</v>
      </c>
      <c r="E2034" s="6" t="s">
        <v>24</v>
      </c>
      <c r="F2034" s="6" t="n">
        <v>1</v>
      </c>
      <c r="G2034" s="10" t="n">
        <v>2033</v>
      </c>
      <c r="H2034" s="10" t="n">
        <f aca="false">F2034*G2034</f>
        <v>2033</v>
      </c>
      <c r="I2034" s="6" t="s">
        <v>5133</v>
      </c>
    </row>
    <row r="2035" customFormat="false" ht="15" hidden="false" customHeight="false" outlineLevel="0" collapsed="false">
      <c r="A2035" s="6" t="s">
        <v>7258</v>
      </c>
      <c r="B2035" s="6" t="s">
        <v>2329</v>
      </c>
      <c r="C2035" s="26" t="n">
        <v>46095</v>
      </c>
      <c r="D2035" s="6" t="s">
        <v>5216</v>
      </c>
      <c r="E2035" s="6" t="s">
        <v>23</v>
      </c>
      <c r="F2035" s="6" t="n">
        <v>3</v>
      </c>
      <c r="G2035" s="10" t="n">
        <v>558</v>
      </c>
      <c r="H2035" s="10" t="n">
        <f aca="false">F2035*G2035</f>
        <v>1674</v>
      </c>
      <c r="I2035" s="6" t="s">
        <v>5122</v>
      </c>
    </row>
    <row r="2036" customFormat="false" ht="15" hidden="false" customHeight="false" outlineLevel="0" collapsed="false">
      <c r="A2036" s="6" t="s">
        <v>7259</v>
      </c>
      <c r="B2036" s="6" t="s">
        <v>3451</v>
      </c>
      <c r="C2036" s="26" t="n">
        <v>46095</v>
      </c>
      <c r="D2036" s="6" t="s">
        <v>5135</v>
      </c>
      <c r="E2036" s="6" t="s">
        <v>23</v>
      </c>
      <c r="F2036" s="6" t="n">
        <v>3</v>
      </c>
      <c r="G2036" s="10" t="n">
        <v>441</v>
      </c>
      <c r="H2036" s="10" t="n">
        <f aca="false">F2036*G2036</f>
        <v>1323</v>
      </c>
      <c r="I2036" s="6" t="s">
        <v>5125</v>
      </c>
    </row>
    <row r="2037" customFormat="false" ht="15" hidden="false" customHeight="false" outlineLevel="0" collapsed="false">
      <c r="A2037" s="6" t="s">
        <v>7260</v>
      </c>
      <c r="B2037" s="6" t="s">
        <v>635</v>
      </c>
      <c r="C2037" s="26" t="n">
        <v>46095</v>
      </c>
      <c r="D2037" s="6" t="s">
        <v>5121</v>
      </c>
      <c r="E2037" s="6" t="s">
        <v>22</v>
      </c>
      <c r="F2037" s="6" t="n">
        <v>1</v>
      </c>
      <c r="G2037" s="10" t="n">
        <v>977</v>
      </c>
      <c r="H2037" s="10" t="n">
        <f aca="false">F2037*G2037</f>
        <v>977</v>
      </c>
      <c r="I2037" s="6" t="s">
        <v>5122</v>
      </c>
    </row>
    <row r="2038" customFormat="false" ht="15" hidden="false" customHeight="false" outlineLevel="0" collapsed="false">
      <c r="A2038" s="6" t="s">
        <v>7261</v>
      </c>
      <c r="B2038" s="6" t="s">
        <v>3947</v>
      </c>
      <c r="C2038" s="26" t="n">
        <v>46095</v>
      </c>
      <c r="D2038" s="6" t="s">
        <v>5339</v>
      </c>
      <c r="E2038" s="6" t="s">
        <v>24</v>
      </c>
      <c r="F2038" s="6" t="n">
        <v>3</v>
      </c>
      <c r="G2038" s="10" t="n">
        <v>458</v>
      </c>
      <c r="H2038" s="10" t="n">
        <f aca="false">F2038*G2038</f>
        <v>1374</v>
      </c>
      <c r="I2038" s="6" t="s">
        <v>5125</v>
      </c>
    </row>
    <row r="2039" customFormat="false" ht="15" hidden="false" customHeight="false" outlineLevel="0" collapsed="false">
      <c r="A2039" s="6" t="s">
        <v>7262</v>
      </c>
      <c r="B2039" s="6" t="s">
        <v>3479</v>
      </c>
      <c r="C2039" s="26" t="n">
        <v>46095</v>
      </c>
      <c r="D2039" s="6" t="s">
        <v>5588</v>
      </c>
      <c r="E2039" s="6" t="s">
        <v>21</v>
      </c>
      <c r="F2039" s="6" t="n">
        <v>1</v>
      </c>
      <c r="G2039" s="10" t="n">
        <v>11794</v>
      </c>
      <c r="H2039" s="10" t="n">
        <f aca="false">F2039*G2039</f>
        <v>11794</v>
      </c>
      <c r="I2039" s="6" t="s">
        <v>5173</v>
      </c>
    </row>
    <row r="2040" customFormat="false" ht="15" hidden="false" customHeight="false" outlineLevel="0" collapsed="false">
      <c r="A2040" s="6" t="s">
        <v>7263</v>
      </c>
      <c r="B2040" s="6" t="s">
        <v>3445</v>
      </c>
      <c r="C2040" s="26" t="n">
        <v>46095</v>
      </c>
      <c r="D2040" s="6" t="s">
        <v>5269</v>
      </c>
      <c r="E2040" s="6" t="s">
        <v>22</v>
      </c>
      <c r="F2040" s="6" t="n">
        <v>2</v>
      </c>
      <c r="G2040" s="10" t="n">
        <v>1271</v>
      </c>
      <c r="H2040" s="10" t="n">
        <f aca="false">F2040*G2040</f>
        <v>2542</v>
      </c>
      <c r="I2040" s="6" t="s">
        <v>5148</v>
      </c>
    </row>
    <row r="2041" customFormat="false" ht="15" hidden="false" customHeight="false" outlineLevel="0" collapsed="false">
      <c r="A2041" s="6" t="s">
        <v>7264</v>
      </c>
      <c r="B2041" s="6" t="s">
        <v>2163</v>
      </c>
      <c r="C2041" s="26" t="n">
        <v>46095</v>
      </c>
      <c r="D2041" s="6" t="s">
        <v>5143</v>
      </c>
      <c r="E2041" s="6" t="s">
        <v>21</v>
      </c>
      <c r="F2041" s="6" t="n">
        <v>1</v>
      </c>
      <c r="G2041" s="10" t="n">
        <v>1179</v>
      </c>
      <c r="H2041" s="10" t="n">
        <f aca="false">F2041*G2041</f>
        <v>1179</v>
      </c>
      <c r="I2041" s="6" t="s">
        <v>5148</v>
      </c>
    </row>
    <row r="2042" customFormat="false" ht="15" hidden="false" customHeight="false" outlineLevel="0" collapsed="false">
      <c r="A2042" s="6" t="s">
        <v>7265</v>
      </c>
      <c r="B2042" s="6" t="s">
        <v>1471</v>
      </c>
      <c r="C2042" s="26" t="n">
        <v>46095</v>
      </c>
      <c r="D2042" s="6" t="s">
        <v>5167</v>
      </c>
      <c r="E2042" s="6" t="s">
        <v>22</v>
      </c>
      <c r="F2042" s="6" t="n">
        <v>2</v>
      </c>
      <c r="G2042" s="10" t="n">
        <v>743</v>
      </c>
      <c r="H2042" s="10" t="n">
        <f aca="false">F2042*G2042</f>
        <v>1486</v>
      </c>
      <c r="I2042" s="6" t="s">
        <v>5173</v>
      </c>
    </row>
    <row r="2043" customFormat="false" ht="15" hidden="false" customHeight="false" outlineLevel="0" collapsed="false">
      <c r="A2043" s="6" t="s">
        <v>7266</v>
      </c>
      <c r="B2043" s="6" t="s">
        <v>3433</v>
      </c>
      <c r="C2043" s="26" t="n">
        <v>46095</v>
      </c>
      <c r="D2043" s="6" t="s">
        <v>5339</v>
      </c>
      <c r="E2043" s="6" t="s">
        <v>24</v>
      </c>
      <c r="F2043" s="6" t="n">
        <v>2</v>
      </c>
      <c r="G2043" s="10" t="n">
        <v>508</v>
      </c>
      <c r="H2043" s="10" t="n">
        <f aca="false">F2043*G2043</f>
        <v>1016</v>
      </c>
      <c r="I2043" s="6" t="s">
        <v>5130</v>
      </c>
    </row>
    <row r="2044" customFormat="false" ht="15" hidden="false" customHeight="false" outlineLevel="0" collapsed="false">
      <c r="A2044" s="6" t="s">
        <v>7267</v>
      </c>
      <c r="B2044" s="6" t="s">
        <v>513</v>
      </c>
      <c r="C2044" s="26" t="n">
        <v>46095</v>
      </c>
      <c r="D2044" s="6" t="s">
        <v>5182</v>
      </c>
      <c r="E2044" s="6" t="s">
        <v>23</v>
      </c>
      <c r="F2044" s="6" t="n">
        <v>1</v>
      </c>
      <c r="G2044" s="10" t="n">
        <v>366</v>
      </c>
      <c r="H2044" s="10" t="n">
        <f aca="false">F2044*G2044</f>
        <v>366</v>
      </c>
      <c r="I2044" s="6" t="s">
        <v>5130</v>
      </c>
    </row>
    <row r="2045" customFormat="false" ht="15" hidden="false" customHeight="false" outlineLevel="0" collapsed="false">
      <c r="A2045" s="6" t="s">
        <v>7268</v>
      </c>
      <c r="B2045" s="6" t="s">
        <v>4049</v>
      </c>
      <c r="C2045" s="26" t="n">
        <v>46095</v>
      </c>
      <c r="D2045" s="6" t="s">
        <v>5466</v>
      </c>
      <c r="E2045" s="6" t="s">
        <v>21</v>
      </c>
      <c r="F2045" s="6" t="n">
        <v>1</v>
      </c>
      <c r="G2045" s="10" t="n">
        <v>1768</v>
      </c>
      <c r="H2045" s="10" t="n">
        <f aca="false">F2045*G2045</f>
        <v>1768</v>
      </c>
      <c r="I2045" s="6" t="s">
        <v>5122</v>
      </c>
    </row>
    <row r="2046" customFormat="false" ht="15" hidden="false" customHeight="false" outlineLevel="0" collapsed="false">
      <c r="A2046" s="6" t="s">
        <v>7269</v>
      </c>
      <c r="B2046" s="6" t="s">
        <v>3143</v>
      </c>
      <c r="C2046" s="26" t="n">
        <v>46095</v>
      </c>
      <c r="D2046" s="6" t="s">
        <v>5522</v>
      </c>
      <c r="E2046" s="6" t="s">
        <v>21</v>
      </c>
      <c r="F2046" s="6" t="n">
        <v>1</v>
      </c>
      <c r="G2046" s="10" t="n">
        <v>12138</v>
      </c>
      <c r="H2046" s="10" t="n">
        <f aca="false">F2046*G2046</f>
        <v>12138</v>
      </c>
      <c r="I2046" s="6" t="s">
        <v>5122</v>
      </c>
    </row>
    <row r="2047" customFormat="false" ht="15" hidden="false" customHeight="false" outlineLevel="0" collapsed="false">
      <c r="A2047" s="6" t="s">
        <v>7270</v>
      </c>
      <c r="B2047" s="6" t="s">
        <v>1991</v>
      </c>
      <c r="C2047" s="26" t="n">
        <v>46095</v>
      </c>
      <c r="D2047" s="6" t="s">
        <v>5200</v>
      </c>
      <c r="E2047" s="6" t="s">
        <v>24</v>
      </c>
      <c r="F2047" s="6" t="n">
        <v>3</v>
      </c>
      <c r="G2047" s="10" t="n">
        <v>763</v>
      </c>
      <c r="H2047" s="10" t="n">
        <f aca="false">F2047*G2047</f>
        <v>2289</v>
      </c>
      <c r="I2047" s="6" t="s">
        <v>5122</v>
      </c>
    </row>
    <row r="2048" customFormat="false" ht="15" hidden="false" customHeight="false" outlineLevel="0" collapsed="false">
      <c r="A2048" s="6" t="s">
        <v>7271</v>
      </c>
      <c r="B2048" s="6" t="s">
        <v>184</v>
      </c>
      <c r="C2048" s="26" t="n">
        <v>46095</v>
      </c>
      <c r="D2048" s="6" t="s">
        <v>5121</v>
      </c>
      <c r="E2048" s="6" t="s">
        <v>22</v>
      </c>
      <c r="F2048" s="6" t="n">
        <v>1</v>
      </c>
      <c r="G2048" s="10" t="n">
        <v>927</v>
      </c>
      <c r="H2048" s="10" t="n">
        <f aca="false">F2048*G2048</f>
        <v>927</v>
      </c>
      <c r="I2048" s="6" t="s">
        <v>5122</v>
      </c>
    </row>
    <row r="2049" customFormat="false" ht="15" hidden="false" customHeight="false" outlineLevel="0" collapsed="false">
      <c r="A2049" s="6" t="s">
        <v>7272</v>
      </c>
      <c r="B2049" s="6" t="s">
        <v>2461</v>
      </c>
      <c r="C2049" s="26" t="n">
        <v>46096</v>
      </c>
      <c r="D2049" s="6" t="s">
        <v>5167</v>
      </c>
      <c r="E2049" s="6" t="s">
        <v>22</v>
      </c>
      <c r="F2049" s="6" t="n">
        <v>1</v>
      </c>
      <c r="G2049" s="10" t="n">
        <v>743</v>
      </c>
      <c r="H2049" s="10" t="n">
        <f aca="false">F2049*G2049</f>
        <v>743</v>
      </c>
      <c r="I2049" s="6" t="s">
        <v>5122</v>
      </c>
    </row>
    <row r="2050" customFormat="false" ht="15" hidden="false" customHeight="false" outlineLevel="0" collapsed="false">
      <c r="A2050" s="6" t="s">
        <v>7273</v>
      </c>
      <c r="B2050" s="6" t="s">
        <v>340</v>
      </c>
      <c r="C2050" s="26" t="n">
        <v>46096</v>
      </c>
      <c r="D2050" s="6" t="s">
        <v>5281</v>
      </c>
      <c r="E2050" s="6" t="s">
        <v>24</v>
      </c>
      <c r="F2050" s="6" t="n">
        <v>3</v>
      </c>
      <c r="G2050" s="10" t="n">
        <v>733</v>
      </c>
      <c r="H2050" s="10" t="n">
        <f aca="false">F2050*G2050</f>
        <v>2199</v>
      </c>
      <c r="I2050" s="6" t="s">
        <v>5122</v>
      </c>
    </row>
    <row r="2051" customFormat="false" ht="15" hidden="false" customHeight="false" outlineLevel="0" collapsed="false">
      <c r="A2051" s="6" t="s">
        <v>7274</v>
      </c>
      <c r="B2051" s="6" t="s">
        <v>1093</v>
      </c>
      <c r="C2051" s="26" t="n">
        <v>46096</v>
      </c>
      <c r="D2051" s="6" t="s">
        <v>5163</v>
      </c>
      <c r="E2051" s="6" t="s">
        <v>23</v>
      </c>
      <c r="F2051" s="6" t="n">
        <v>2</v>
      </c>
      <c r="G2051" s="10" t="n">
        <v>705</v>
      </c>
      <c r="H2051" s="10" t="n">
        <f aca="false">F2051*G2051</f>
        <v>1410</v>
      </c>
      <c r="I2051" s="6" t="s">
        <v>5122</v>
      </c>
    </row>
    <row r="2052" customFormat="false" ht="15" hidden="false" customHeight="false" outlineLevel="0" collapsed="false">
      <c r="A2052" s="6" t="s">
        <v>7275</v>
      </c>
      <c r="B2052" s="6" t="s">
        <v>3081</v>
      </c>
      <c r="C2052" s="26" t="n">
        <v>46096</v>
      </c>
      <c r="D2052" s="6" t="s">
        <v>5220</v>
      </c>
      <c r="E2052" s="6" t="s">
        <v>24</v>
      </c>
      <c r="F2052" s="6" t="n">
        <v>2</v>
      </c>
      <c r="G2052" s="10" t="n">
        <v>1120</v>
      </c>
      <c r="H2052" s="10" t="n">
        <f aca="false">F2052*G2052</f>
        <v>2240</v>
      </c>
      <c r="I2052" s="6" t="s">
        <v>5148</v>
      </c>
    </row>
    <row r="2053" customFormat="false" ht="15" hidden="false" customHeight="false" outlineLevel="0" collapsed="false">
      <c r="A2053" s="6" t="s">
        <v>7276</v>
      </c>
      <c r="B2053" s="6" t="s">
        <v>4347</v>
      </c>
      <c r="C2053" s="26" t="n">
        <v>46096</v>
      </c>
      <c r="D2053" s="6" t="s">
        <v>5318</v>
      </c>
      <c r="E2053" s="6" t="s">
        <v>20</v>
      </c>
      <c r="F2053" s="6" t="n">
        <v>1</v>
      </c>
      <c r="G2053" s="10" t="n">
        <v>1376</v>
      </c>
      <c r="H2053" s="10" t="n">
        <f aca="false">F2053*G2053</f>
        <v>1376</v>
      </c>
      <c r="I2053" s="6" t="s">
        <v>5148</v>
      </c>
    </row>
    <row r="2054" customFormat="false" ht="15" hidden="false" customHeight="false" outlineLevel="0" collapsed="false">
      <c r="A2054" s="6" t="s">
        <v>7277</v>
      </c>
      <c r="B2054" s="6" t="s">
        <v>1777</v>
      </c>
      <c r="C2054" s="26" t="n">
        <v>46096</v>
      </c>
      <c r="D2054" s="6" t="s">
        <v>5175</v>
      </c>
      <c r="E2054" s="6" t="s">
        <v>24</v>
      </c>
      <c r="F2054" s="6" t="n">
        <v>3</v>
      </c>
      <c r="G2054" s="10" t="n">
        <v>549</v>
      </c>
      <c r="H2054" s="10" t="n">
        <f aca="false">F2054*G2054</f>
        <v>1647</v>
      </c>
      <c r="I2054" s="6" t="s">
        <v>5122</v>
      </c>
    </row>
    <row r="2055" customFormat="false" ht="15" hidden="false" customHeight="false" outlineLevel="0" collapsed="false">
      <c r="A2055" s="6" t="s">
        <v>7278</v>
      </c>
      <c r="B2055" s="6" t="s">
        <v>3921</v>
      </c>
      <c r="C2055" s="26" t="n">
        <v>46096</v>
      </c>
      <c r="D2055" s="6" t="s">
        <v>5305</v>
      </c>
      <c r="E2055" s="6" t="s">
        <v>20</v>
      </c>
      <c r="F2055" s="6" t="n">
        <v>1</v>
      </c>
      <c r="G2055" s="10" t="n">
        <v>1549</v>
      </c>
      <c r="H2055" s="10" t="n">
        <f aca="false">F2055*G2055</f>
        <v>1549</v>
      </c>
      <c r="I2055" s="6" t="s">
        <v>5122</v>
      </c>
    </row>
    <row r="2056" customFormat="false" ht="15" hidden="false" customHeight="false" outlineLevel="0" collapsed="false">
      <c r="A2056" s="6" t="s">
        <v>7279</v>
      </c>
      <c r="B2056" s="6" t="s">
        <v>4667</v>
      </c>
      <c r="C2056" s="26" t="n">
        <v>46096</v>
      </c>
      <c r="D2056" s="6" t="s">
        <v>5121</v>
      </c>
      <c r="E2056" s="6" t="s">
        <v>22</v>
      </c>
      <c r="F2056" s="6" t="n">
        <v>1</v>
      </c>
      <c r="G2056" s="10" t="n">
        <v>977</v>
      </c>
      <c r="H2056" s="10" t="n">
        <f aca="false">F2056*G2056</f>
        <v>977</v>
      </c>
      <c r="I2056" s="6" t="s">
        <v>5125</v>
      </c>
    </row>
    <row r="2057" customFormat="false" ht="15" hidden="false" customHeight="false" outlineLevel="0" collapsed="false">
      <c r="A2057" s="6" t="s">
        <v>7280</v>
      </c>
      <c r="B2057" s="6" t="s">
        <v>4949</v>
      </c>
      <c r="C2057" s="26" t="n">
        <v>46096</v>
      </c>
      <c r="D2057" s="6" t="s">
        <v>5235</v>
      </c>
      <c r="E2057" s="6" t="s">
        <v>21</v>
      </c>
      <c r="F2057" s="6" t="n">
        <v>1</v>
      </c>
      <c r="G2057" s="10" t="n">
        <v>1503</v>
      </c>
      <c r="H2057" s="10" t="n">
        <f aca="false">F2057*G2057</f>
        <v>1503</v>
      </c>
      <c r="I2057" s="6" t="s">
        <v>5122</v>
      </c>
    </row>
    <row r="2058" customFormat="false" ht="15" hidden="false" customHeight="false" outlineLevel="0" collapsed="false">
      <c r="A2058" s="6" t="s">
        <v>7281</v>
      </c>
      <c r="B2058" s="6" t="s">
        <v>4563</v>
      </c>
      <c r="C2058" s="26" t="n">
        <v>46096</v>
      </c>
      <c r="D2058" s="6" t="s">
        <v>5383</v>
      </c>
      <c r="E2058" s="6" t="s">
        <v>20</v>
      </c>
      <c r="F2058" s="6" t="n">
        <v>1</v>
      </c>
      <c r="G2058" s="10" t="n">
        <v>1009</v>
      </c>
      <c r="H2058" s="10" t="n">
        <f aca="false">F2058*G2058</f>
        <v>1009</v>
      </c>
      <c r="I2058" s="6" t="s">
        <v>5122</v>
      </c>
    </row>
    <row r="2059" customFormat="false" ht="15" hidden="false" customHeight="false" outlineLevel="0" collapsed="false">
      <c r="A2059" s="6" t="s">
        <v>7282</v>
      </c>
      <c r="B2059" s="6" t="s">
        <v>1903</v>
      </c>
      <c r="C2059" s="26" t="n">
        <v>46096</v>
      </c>
      <c r="D2059" s="6" t="s">
        <v>5139</v>
      </c>
      <c r="E2059" s="6" t="s">
        <v>23</v>
      </c>
      <c r="F2059" s="6" t="n">
        <v>2</v>
      </c>
      <c r="G2059" s="10" t="n">
        <v>251</v>
      </c>
      <c r="H2059" s="10" t="n">
        <f aca="false">F2059*G2059</f>
        <v>502</v>
      </c>
      <c r="I2059" s="6" t="s">
        <v>5148</v>
      </c>
    </row>
    <row r="2060" customFormat="false" ht="15" hidden="false" customHeight="false" outlineLevel="0" collapsed="false">
      <c r="A2060" s="6" t="s">
        <v>7283</v>
      </c>
      <c r="B2060" s="6" t="s">
        <v>665</v>
      </c>
      <c r="C2060" s="26" t="n">
        <v>46096</v>
      </c>
      <c r="D2060" s="6" t="s">
        <v>5121</v>
      </c>
      <c r="E2060" s="6" t="s">
        <v>22</v>
      </c>
      <c r="F2060" s="6" t="n">
        <v>2</v>
      </c>
      <c r="G2060" s="10" t="n">
        <v>977</v>
      </c>
      <c r="H2060" s="10" t="n">
        <f aca="false">F2060*G2060</f>
        <v>1954</v>
      </c>
      <c r="I2060" s="6" t="s">
        <v>5125</v>
      </c>
    </row>
    <row r="2061" customFormat="false" ht="15" hidden="false" customHeight="false" outlineLevel="0" collapsed="false">
      <c r="A2061" s="6" t="s">
        <v>7284</v>
      </c>
      <c r="B2061" s="6" t="s">
        <v>3153</v>
      </c>
      <c r="C2061" s="26" t="n">
        <v>46096</v>
      </c>
      <c r="D2061" s="6" t="s">
        <v>5185</v>
      </c>
      <c r="E2061" s="6" t="s">
        <v>24</v>
      </c>
      <c r="F2061" s="6" t="n">
        <v>2</v>
      </c>
      <c r="G2061" s="10" t="n">
        <v>2140</v>
      </c>
      <c r="H2061" s="10" t="n">
        <f aca="false">F2061*G2061</f>
        <v>4280</v>
      </c>
      <c r="I2061" s="6" t="s">
        <v>5130</v>
      </c>
    </row>
    <row r="2062" customFormat="false" ht="15" hidden="false" customHeight="false" outlineLevel="0" collapsed="false">
      <c r="A2062" s="6" t="s">
        <v>7285</v>
      </c>
      <c r="B2062" s="6" t="s">
        <v>3413</v>
      </c>
      <c r="C2062" s="26" t="n">
        <v>46096</v>
      </c>
      <c r="D2062" s="6" t="s">
        <v>5129</v>
      </c>
      <c r="E2062" s="6" t="s">
        <v>21</v>
      </c>
      <c r="F2062" s="6" t="n">
        <v>1</v>
      </c>
      <c r="G2062" s="10" t="n">
        <v>530</v>
      </c>
      <c r="H2062" s="10" t="n">
        <f aca="false">F2062*G2062</f>
        <v>530</v>
      </c>
      <c r="I2062" s="6" t="s">
        <v>5125</v>
      </c>
    </row>
    <row r="2063" customFormat="false" ht="15" hidden="false" customHeight="false" outlineLevel="0" collapsed="false">
      <c r="A2063" s="6" t="s">
        <v>7286</v>
      </c>
      <c r="B2063" s="6" t="s">
        <v>4593</v>
      </c>
      <c r="C2063" s="26" t="n">
        <v>46096</v>
      </c>
      <c r="D2063" s="6" t="s">
        <v>5182</v>
      </c>
      <c r="E2063" s="6" t="s">
        <v>23</v>
      </c>
      <c r="F2063" s="6" t="n">
        <v>1</v>
      </c>
      <c r="G2063" s="10" t="n">
        <v>331</v>
      </c>
      <c r="H2063" s="10" t="n">
        <f aca="false">F2063*G2063</f>
        <v>331</v>
      </c>
      <c r="I2063" s="6" t="s">
        <v>5122</v>
      </c>
    </row>
    <row r="2064" customFormat="false" ht="15" hidden="false" customHeight="false" outlineLevel="0" collapsed="false">
      <c r="A2064" s="6" t="s">
        <v>7287</v>
      </c>
      <c r="B2064" s="6" t="s">
        <v>4265</v>
      </c>
      <c r="C2064" s="26" t="n">
        <v>46096</v>
      </c>
      <c r="D2064" s="6" t="s">
        <v>5237</v>
      </c>
      <c r="E2064" s="6" t="s">
        <v>24</v>
      </c>
      <c r="F2064" s="6" t="n">
        <v>2</v>
      </c>
      <c r="G2064" s="10" t="n">
        <v>1650</v>
      </c>
      <c r="H2064" s="10" t="n">
        <f aca="false">F2064*G2064</f>
        <v>3300</v>
      </c>
      <c r="I2064" s="6" t="s">
        <v>5122</v>
      </c>
    </row>
    <row r="2065" customFormat="false" ht="15" hidden="false" customHeight="false" outlineLevel="0" collapsed="false">
      <c r="A2065" s="6" t="s">
        <v>7288</v>
      </c>
      <c r="B2065" s="6" t="s">
        <v>1827</v>
      </c>
      <c r="C2065" s="26" t="n">
        <v>46096</v>
      </c>
      <c r="D2065" s="6" t="s">
        <v>5383</v>
      </c>
      <c r="E2065" s="6" t="s">
        <v>20</v>
      </c>
      <c r="F2065" s="6" t="n">
        <v>1</v>
      </c>
      <c r="G2065" s="10" t="n">
        <v>1121</v>
      </c>
      <c r="H2065" s="10" t="n">
        <f aca="false">F2065*G2065</f>
        <v>1121</v>
      </c>
      <c r="I2065" s="6" t="s">
        <v>5148</v>
      </c>
    </row>
    <row r="2066" customFormat="false" ht="15" hidden="false" customHeight="false" outlineLevel="0" collapsed="false">
      <c r="A2066" s="6" t="s">
        <v>7289</v>
      </c>
      <c r="B2066" s="6" t="s">
        <v>4779</v>
      </c>
      <c r="C2066" s="26" t="n">
        <v>46096</v>
      </c>
      <c r="D2066" s="6" t="s">
        <v>5121</v>
      </c>
      <c r="E2066" s="6" t="s">
        <v>22</v>
      </c>
      <c r="F2066" s="6" t="n">
        <v>3</v>
      </c>
      <c r="G2066" s="10" t="n">
        <v>928</v>
      </c>
      <c r="H2066" s="10" t="n">
        <f aca="false">F2066*G2066</f>
        <v>2784</v>
      </c>
      <c r="I2066" s="6" t="s">
        <v>5148</v>
      </c>
    </row>
    <row r="2067" customFormat="false" ht="15" hidden="false" customHeight="false" outlineLevel="0" collapsed="false">
      <c r="A2067" s="6" t="s">
        <v>7290</v>
      </c>
      <c r="B2067" s="6" t="s">
        <v>3459</v>
      </c>
      <c r="C2067" s="26" t="n">
        <v>46096</v>
      </c>
      <c r="D2067" s="6" t="s">
        <v>5216</v>
      </c>
      <c r="E2067" s="6" t="s">
        <v>23</v>
      </c>
      <c r="F2067" s="6" t="n">
        <v>4</v>
      </c>
      <c r="G2067" s="10" t="n">
        <v>558</v>
      </c>
      <c r="H2067" s="10" t="n">
        <f aca="false">F2067*G2067</f>
        <v>2232</v>
      </c>
      <c r="I2067" s="6" t="s">
        <v>5148</v>
      </c>
    </row>
    <row r="2068" customFormat="false" ht="15" hidden="false" customHeight="false" outlineLevel="0" collapsed="false">
      <c r="A2068" s="6" t="s">
        <v>7291</v>
      </c>
      <c r="B2068" s="6" t="s">
        <v>3919</v>
      </c>
      <c r="C2068" s="26" t="n">
        <v>46096</v>
      </c>
      <c r="D2068" s="6" t="s">
        <v>5192</v>
      </c>
      <c r="E2068" s="6" t="s">
        <v>20</v>
      </c>
      <c r="F2068" s="6" t="n">
        <v>1</v>
      </c>
      <c r="G2068" s="10" t="n">
        <v>3670</v>
      </c>
      <c r="H2068" s="10" t="n">
        <f aca="false">F2068*G2068</f>
        <v>3670</v>
      </c>
      <c r="I2068" s="6" t="s">
        <v>5122</v>
      </c>
    </row>
    <row r="2069" customFormat="false" ht="15" hidden="false" customHeight="false" outlineLevel="0" collapsed="false">
      <c r="A2069" s="6" t="s">
        <v>7292</v>
      </c>
      <c r="B2069" s="6" t="s">
        <v>4679</v>
      </c>
      <c r="C2069" s="26" t="n">
        <v>46096</v>
      </c>
      <c r="D2069" s="6" t="s">
        <v>5160</v>
      </c>
      <c r="E2069" s="6" t="s">
        <v>21</v>
      </c>
      <c r="F2069" s="6" t="n">
        <v>1</v>
      </c>
      <c r="G2069" s="10" t="n">
        <v>2751</v>
      </c>
      <c r="H2069" s="10" t="n">
        <f aca="false">F2069*G2069</f>
        <v>2751</v>
      </c>
      <c r="I2069" s="6" t="s">
        <v>5130</v>
      </c>
    </row>
    <row r="2070" customFormat="false" ht="15" hidden="false" customHeight="false" outlineLevel="0" collapsed="false">
      <c r="A2070" s="6" t="s">
        <v>7293</v>
      </c>
      <c r="B2070" s="6" t="s">
        <v>2911</v>
      </c>
      <c r="C2070" s="26" t="n">
        <v>46096</v>
      </c>
      <c r="D2070" s="6" t="s">
        <v>5163</v>
      </c>
      <c r="E2070" s="6" t="s">
        <v>23</v>
      </c>
      <c r="F2070" s="6" t="n">
        <v>2</v>
      </c>
      <c r="G2070" s="10" t="n">
        <v>744</v>
      </c>
      <c r="H2070" s="10" t="n">
        <f aca="false">F2070*G2070</f>
        <v>1488</v>
      </c>
      <c r="I2070" s="6" t="s">
        <v>5130</v>
      </c>
    </row>
    <row r="2071" customFormat="false" ht="15" hidden="false" customHeight="false" outlineLevel="0" collapsed="false">
      <c r="A2071" s="6" t="s">
        <v>7294</v>
      </c>
      <c r="B2071" s="6" t="s">
        <v>4951</v>
      </c>
      <c r="C2071" s="26" t="n">
        <v>46096</v>
      </c>
      <c r="D2071" s="6" t="s">
        <v>5165</v>
      </c>
      <c r="E2071" s="6" t="s">
        <v>22</v>
      </c>
      <c r="F2071" s="6" t="n">
        <v>2</v>
      </c>
      <c r="G2071" s="10" t="n">
        <v>977</v>
      </c>
      <c r="H2071" s="10" t="n">
        <f aca="false">F2071*G2071</f>
        <v>1954</v>
      </c>
      <c r="I2071" s="6" t="s">
        <v>5122</v>
      </c>
    </row>
    <row r="2072" customFormat="false" ht="15" hidden="false" customHeight="false" outlineLevel="0" collapsed="false">
      <c r="A2072" s="6" t="s">
        <v>7295</v>
      </c>
      <c r="B2072" s="6" t="s">
        <v>221</v>
      </c>
      <c r="C2072" s="26" t="n">
        <v>46096</v>
      </c>
      <c r="D2072" s="6" t="s">
        <v>5129</v>
      </c>
      <c r="E2072" s="6" t="s">
        <v>21</v>
      </c>
      <c r="F2072" s="6" t="n">
        <v>1</v>
      </c>
      <c r="G2072" s="10" t="n">
        <v>589</v>
      </c>
      <c r="H2072" s="10" t="n">
        <f aca="false">F2072*G2072</f>
        <v>589</v>
      </c>
      <c r="I2072" s="6" t="s">
        <v>5122</v>
      </c>
    </row>
    <row r="2073" customFormat="false" ht="15" hidden="false" customHeight="false" outlineLevel="0" collapsed="false">
      <c r="A2073" s="6" t="s">
        <v>7296</v>
      </c>
      <c r="B2073" s="6" t="s">
        <v>1805</v>
      </c>
      <c r="C2073" s="26" t="n">
        <v>46096</v>
      </c>
      <c r="D2073" s="6" t="s">
        <v>5398</v>
      </c>
      <c r="E2073" s="6" t="s">
        <v>24</v>
      </c>
      <c r="F2073" s="6" t="n">
        <v>1</v>
      </c>
      <c r="G2073" s="10" t="n">
        <v>610</v>
      </c>
      <c r="H2073" s="10" t="n">
        <f aca="false">F2073*G2073</f>
        <v>610</v>
      </c>
      <c r="I2073" s="6" t="s">
        <v>5130</v>
      </c>
    </row>
    <row r="2074" customFormat="false" ht="15" hidden="false" customHeight="false" outlineLevel="0" collapsed="false">
      <c r="A2074" s="6" t="s">
        <v>7297</v>
      </c>
      <c r="B2074" s="6" t="s">
        <v>3627</v>
      </c>
      <c r="C2074" s="26" t="n">
        <v>46096</v>
      </c>
      <c r="D2074" s="6" t="s">
        <v>5171</v>
      </c>
      <c r="E2074" s="6" t="s">
        <v>23</v>
      </c>
      <c r="F2074" s="6" t="n">
        <v>3</v>
      </c>
      <c r="G2074" s="10" t="n">
        <v>697</v>
      </c>
      <c r="H2074" s="10" t="n">
        <f aca="false">F2074*G2074</f>
        <v>2091</v>
      </c>
      <c r="I2074" s="6" t="s">
        <v>5125</v>
      </c>
    </row>
    <row r="2075" customFormat="false" ht="15" hidden="false" customHeight="false" outlineLevel="0" collapsed="false">
      <c r="A2075" s="6" t="s">
        <v>7298</v>
      </c>
      <c r="B2075" s="6" t="s">
        <v>410</v>
      </c>
      <c r="C2075" s="26" t="n">
        <v>46096</v>
      </c>
      <c r="D2075" s="6" t="s">
        <v>5269</v>
      </c>
      <c r="E2075" s="6" t="s">
        <v>22</v>
      </c>
      <c r="F2075" s="6" t="n">
        <v>1</v>
      </c>
      <c r="G2075" s="10" t="n">
        <v>1207</v>
      </c>
      <c r="H2075" s="10" t="n">
        <f aca="false">F2075*G2075</f>
        <v>1207</v>
      </c>
      <c r="I2075" s="6" t="s">
        <v>5122</v>
      </c>
    </row>
    <row r="2076" customFormat="false" ht="15" hidden="false" customHeight="false" outlineLevel="0" collapsed="false">
      <c r="A2076" s="6" t="s">
        <v>7299</v>
      </c>
      <c r="B2076" s="6" t="s">
        <v>3157</v>
      </c>
      <c r="C2076" s="26" t="n">
        <v>46096</v>
      </c>
      <c r="D2076" s="6" t="s">
        <v>5216</v>
      </c>
      <c r="E2076" s="6" t="s">
        <v>23</v>
      </c>
      <c r="F2076" s="6" t="n">
        <v>4</v>
      </c>
      <c r="G2076" s="10" t="n">
        <v>587</v>
      </c>
      <c r="H2076" s="10" t="n">
        <f aca="false">F2076*G2076</f>
        <v>2348</v>
      </c>
      <c r="I2076" s="6" t="s">
        <v>5122</v>
      </c>
    </row>
    <row r="2077" customFormat="false" ht="15" hidden="false" customHeight="false" outlineLevel="0" collapsed="false">
      <c r="A2077" s="6" t="s">
        <v>7300</v>
      </c>
      <c r="B2077" s="6" t="s">
        <v>4303</v>
      </c>
      <c r="C2077" s="26" t="n">
        <v>46097</v>
      </c>
      <c r="D2077" s="6" t="s">
        <v>5167</v>
      </c>
      <c r="E2077" s="6" t="s">
        <v>22</v>
      </c>
      <c r="F2077" s="6" t="n">
        <v>1</v>
      </c>
      <c r="G2077" s="10" t="n">
        <v>743</v>
      </c>
      <c r="H2077" s="10" t="n">
        <f aca="false">F2077*G2077</f>
        <v>743</v>
      </c>
      <c r="I2077" s="6" t="s">
        <v>5130</v>
      </c>
    </row>
    <row r="2078" customFormat="false" ht="15" hidden="false" customHeight="false" outlineLevel="0" collapsed="false">
      <c r="A2078" s="6" t="s">
        <v>7301</v>
      </c>
      <c r="B2078" s="6" t="s">
        <v>4227</v>
      </c>
      <c r="C2078" s="26" t="n">
        <v>46097</v>
      </c>
      <c r="D2078" s="6" t="s">
        <v>5182</v>
      </c>
      <c r="E2078" s="6" t="s">
        <v>23</v>
      </c>
      <c r="F2078" s="6" t="n">
        <v>2</v>
      </c>
      <c r="G2078" s="10" t="n">
        <v>367</v>
      </c>
      <c r="H2078" s="10" t="n">
        <f aca="false">F2078*G2078</f>
        <v>734</v>
      </c>
      <c r="I2078" s="6" t="s">
        <v>5148</v>
      </c>
    </row>
    <row r="2079" customFormat="false" ht="15" hidden="false" customHeight="false" outlineLevel="0" collapsed="false">
      <c r="A2079" s="6" t="s">
        <v>7302</v>
      </c>
      <c r="B2079" s="6" t="s">
        <v>3131</v>
      </c>
      <c r="C2079" s="26" t="n">
        <v>46097</v>
      </c>
      <c r="D2079" s="6" t="s">
        <v>5167</v>
      </c>
      <c r="E2079" s="6" t="s">
        <v>22</v>
      </c>
      <c r="F2079" s="6" t="n">
        <v>2</v>
      </c>
      <c r="G2079" s="10" t="n">
        <v>782</v>
      </c>
      <c r="H2079" s="10" t="n">
        <f aca="false">F2079*G2079</f>
        <v>1564</v>
      </c>
      <c r="I2079" s="6" t="s">
        <v>5148</v>
      </c>
    </row>
    <row r="2080" customFormat="false" ht="15" hidden="false" customHeight="false" outlineLevel="0" collapsed="false">
      <c r="A2080" s="6" t="s">
        <v>7303</v>
      </c>
      <c r="B2080" s="6" t="s">
        <v>4279</v>
      </c>
      <c r="C2080" s="26" t="n">
        <v>46097</v>
      </c>
      <c r="D2080" s="6" t="s">
        <v>5522</v>
      </c>
      <c r="E2080" s="6" t="s">
        <v>21</v>
      </c>
      <c r="F2080" s="6" t="n">
        <v>1</v>
      </c>
      <c r="G2080" s="10" t="n">
        <v>11499</v>
      </c>
      <c r="H2080" s="10" t="n">
        <f aca="false">F2080*G2080</f>
        <v>11499</v>
      </c>
      <c r="I2080" s="6" t="s">
        <v>5148</v>
      </c>
    </row>
    <row r="2081" customFormat="false" ht="15" hidden="false" customHeight="false" outlineLevel="0" collapsed="false">
      <c r="A2081" s="6" t="s">
        <v>7304</v>
      </c>
      <c r="B2081" s="6" t="s">
        <v>1973</v>
      </c>
      <c r="C2081" s="26" t="n">
        <v>46097</v>
      </c>
      <c r="D2081" s="6" t="s">
        <v>5305</v>
      </c>
      <c r="E2081" s="6" t="s">
        <v>20</v>
      </c>
      <c r="F2081" s="6" t="n">
        <v>1</v>
      </c>
      <c r="G2081" s="10" t="n">
        <v>1549</v>
      </c>
      <c r="H2081" s="10" t="n">
        <f aca="false">F2081*G2081</f>
        <v>1549</v>
      </c>
      <c r="I2081" s="6" t="s">
        <v>5125</v>
      </c>
    </row>
    <row r="2082" customFormat="false" ht="15" hidden="false" customHeight="false" outlineLevel="0" collapsed="false">
      <c r="A2082" s="6" t="s">
        <v>7305</v>
      </c>
      <c r="B2082" s="6" t="s">
        <v>1295</v>
      </c>
      <c r="C2082" s="26" t="n">
        <v>46097</v>
      </c>
      <c r="D2082" s="6" t="s">
        <v>5167</v>
      </c>
      <c r="E2082" s="6" t="s">
        <v>22</v>
      </c>
      <c r="F2082" s="6" t="n">
        <v>2</v>
      </c>
      <c r="G2082" s="10" t="n">
        <v>782</v>
      </c>
      <c r="H2082" s="10" t="n">
        <f aca="false">F2082*G2082</f>
        <v>1564</v>
      </c>
      <c r="I2082" s="6" t="s">
        <v>5122</v>
      </c>
    </row>
    <row r="2083" customFormat="false" ht="15" hidden="false" customHeight="false" outlineLevel="0" collapsed="false">
      <c r="A2083" s="6" t="s">
        <v>7306</v>
      </c>
      <c r="B2083" s="6" t="s">
        <v>3075</v>
      </c>
      <c r="C2083" s="26" t="n">
        <v>46097</v>
      </c>
      <c r="D2083" s="6" t="s">
        <v>5192</v>
      </c>
      <c r="E2083" s="6" t="s">
        <v>20</v>
      </c>
      <c r="F2083" s="6" t="n">
        <v>1</v>
      </c>
      <c r="G2083" s="10" t="n">
        <v>4078</v>
      </c>
      <c r="H2083" s="10" t="n">
        <f aca="false">F2083*G2083</f>
        <v>4078</v>
      </c>
      <c r="I2083" s="6" t="s">
        <v>5122</v>
      </c>
    </row>
    <row r="2084" customFormat="false" ht="15" hidden="false" customHeight="false" outlineLevel="0" collapsed="false">
      <c r="A2084" s="6" t="s">
        <v>7307</v>
      </c>
      <c r="B2084" s="6" t="s">
        <v>1217</v>
      </c>
      <c r="C2084" s="26" t="n">
        <v>46097</v>
      </c>
      <c r="D2084" s="6" t="s">
        <v>5167</v>
      </c>
      <c r="E2084" s="6" t="s">
        <v>22</v>
      </c>
      <c r="F2084" s="6" t="n">
        <v>2</v>
      </c>
      <c r="G2084" s="10" t="n">
        <v>782</v>
      </c>
      <c r="H2084" s="10" t="n">
        <f aca="false">F2084*G2084</f>
        <v>1564</v>
      </c>
      <c r="I2084" s="6" t="s">
        <v>5122</v>
      </c>
    </row>
    <row r="2085" customFormat="false" ht="15" hidden="false" customHeight="false" outlineLevel="0" collapsed="false">
      <c r="A2085" s="6" t="s">
        <v>7308</v>
      </c>
      <c r="B2085" s="6" t="s">
        <v>3925</v>
      </c>
      <c r="C2085" s="26" t="n">
        <v>46097</v>
      </c>
      <c r="D2085" s="6" t="s">
        <v>5353</v>
      </c>
      <c r="E2085" s="6" t="s">
        <v>24</v>
      </c>
      <c r="F2085" s="6" t="n">
        <v>2</v>
      </c>
      <c r="G2085" s="10" t="n">
        <v>1629</v>
      </c>
      <c r="H2085" s="10" t="n">
        <f aca="false">F2085*G2085</f>
        <v>3258</v>
      </c>
      <c r="I2085" s="6" t="s">
        <v>5122</v>
      </c>
    </row>
    <row r="2086" customFormat="false" ht="15" hidden="false" customHeight="false" outlineLevel="0" collapsed="false">
      <c r="A2086" s="6" t="s">
        <v>7309</v>
      </c>
      <c r="B2086" s="6" t="s">
        <v>3249</v>
      </c>
      <c r="C2086" s="26" t="n">
        <v>46097</v>
      </c>
      <c r="D2086" s="6" t="s">
        <v>5167</v>
      </c>
      <c r="E2086" s="6" t="s">
        <v>22</v>
      </c>
      <c r="F2086" s="6" t="n">
        <v>1</v>
      </c>
      <c r="G2086" s="10" t="n">
        <v>781</v>
      </c>
      <c r="H2086" s="10" t="n">
        <f aca="false">F2086*G2086</f>
        <v>781</v>
      </c>
      <c r="I2086" s="6" t="s">
        <v>5148</v>
      </c>
    </row>
    <row r="2087" customFormat="false" ht="15" hidden="false" customHeight="false" outlineLevel="0" collapsed="false">
      <c r="A2087" s="6" t="s">
        <v>7310</v>
      </c>
      <c r="B2087" s="6" t="s">
        <v>1013</v>
      </c>
      <c r="C2087" s="26" t="n">
        <v>46097</v>
      </c>
      <c r="D2087" s="6" t="s">
        <v>5232</v>
      </c>
      <c r="E2087" s="6" t="s">
        <v>23</v>
      </c>
      <c r="F2087" s="6" t="n">
        <v>3</v>
      </c>
      <c r="G2087" s="10" t="n">
        <v>206</v>
      </c>
      <c r="H2087" s="10" t="n">
        <f aca="false">F2087*G2087</f>
        <v>618</v>
      </c>
      <c r="I2087" s="6" t="s">
        <v>5148</v>
      </c>
    </row>
    <row r="2088" customFormat="false" ht="15" hidden="false" customHeight="false" outlineLevel="0" collapsed="false">
      <c r="A2088" s="6" t="s">
        <v>7311</v>
      </c>
      <c r="B2088" s="6" t="s">
        <v>867</v>
      </c>
      <c r="C2088" s="26" t="n">
        <v>46097</v>
      </c>
      <c r="D2088" s="6" t="s">
        <v>5318</v>
      </c>
      <c r="E2088" s="6" t="s">
        <v>20</v>
      </c>
      <c r="F2088" s="6" t="n">
        <v>1</v>
      </c>
      <c r="G2088" s="10" t="n">
        <v>1529</v>
      </c>
      <c r="H2088" s="10" t="n">
        <f aca="false">F2088*G2088</f>
        <v>1529</v>
      </c>
      <c r="I2088" s="6" t="s">
        <v>5122</v>
      </c>
    </row>
    <row r="2089" customFormat="false" ht="15" hidden="false" customHeight="false" outlineLevel="0" collapsed="false">
      <c r="A2089" s="6" t="s">
        <v>7312</v>
      </c>
      <c r="B2089" s="6" t="s">
        <v>995</v>
      </c>
      <c r="C2089" s="26" t="n">
        <v>46097</v>
      </c>
      <c r="D2089" s="6" t="s">
        <v>5121</v>
      </c>
      <c r="E2089" s="6" t="s">
        <v>22</v>
      </c>
      <c r="F2089" s="6" t="n">
        <v>1</v>
      </c>
      <c r="G2089" s="10" t="n">
        <v>976</v>
      </c>
      <c r="H2089" s="10" t="n">
        <f aca="false">F2089*G2089</f>
        <v>976</v>
      </c>
      <c r="I2089" s="6" t="s">
        <v>5173</v>
      </c>
    </row>
    <row r="2090" customFormat="false" ht="15" hidden="false" customHeight="false" outlineLevel="0" collapsed="false">
      <c r="A2090" s="6" t="s">
        <v>7313</v>
      </c>
      <c r="B2090" s="6" t="s">
        <v>615</v>
      </c>
      <c r="C2090" s="26" t="n">
        <v>46097</v>
      </c>
      <c r="D2090" s="6" t="s">
        <v>5163</v>
      </c>
      <c r="E2090" s="6" t="s">
        <v>23</v>
      </c>
      <c r="F2090" s="6" t="n">
        <v>1</v>
      </c>
      <c r="G2090" s="10" t="n">
        <v>744</v>
      </c>
      <c r="H2090" s="10" t="n">
        <f aca="false">F2090*G2090</f>
        <v>744</v>
      </c>
      <c r="I2090" s="6" t="s">
        <v>5122</v>
      </c>
    </row>
    <row r="2091" customFormat="false" ht="15" hidden="false" customHeight="false" outlineLevel="0" collapsed="false">
      <c r="A2091" s="6" t="s">
        <v>7314</v>
      </c>
      <c r="B2091" s="6" t="s">
        <v>2657</v>
      </c>
      <c r="C2091" s="26" t="n">
        <v>46097</v>
      </c>
      <c r="D2091" s="6" t="s">
        <v>5165</v>
      </c>
      <c r="E2091" s="6" t="s">
        <v>22</v>
      </c>
      <c r="F2091" s="6" t="n">
        <v>1</v>
      </c>
      <c r="G2091" s="10" t="n">
        <v>880</v>
      </c>
      <c r="H2091" s="10" t="n">
        <f aca="false">F2091*G2091</f>
        <v>880</v>
      </c>
      <c r="I2091" s="6" t="s">
        <v>5148</v>
      </c>
    </row>
    <row r="2092" customFormat="false" ht="15" hidden="false" customHeight="false" outlineLevel="0" collapsed="false">
      <c r="A2092" s="6" t="s">
        <v>7315</v>
      </c>
      <c r="B2092" s="6" t="s">
        <v>3093</v>
      </c>
      <c r="C2092" s="26" t="n">
        <v>46097</v>
      </c>
      <c r="D2092" s="6" t="s">
        <v>5188</v>
      </c>
      <c r="E2092" s="6" t="s">
        <v>24</v>
      </c>
      <c r="F2092" s="6" t="n">
        <v>2</v>
      </c>
      <c r="G2092" s="10" t="n">
        <v>967</v>
      </c>
      <c r="H2092" s="10" t="n">
        <f aca="false">F2092*G2092</f>
        <v>1934</v>
      </c>
      <c r="I2092" s="6" t="s">
        <v>5122</v>
      </c>
    </row>
    <row r="2093" customFormat="false" ht="15" hidden="false" customHeight="false" outlineLevel="0" collapsed="false">
      <c r="A2093" s="6" t="s">
        <v>7316</v>
      </c>
      <c r="B2093" s="6" t="s">
        <v>901</v>
      </c>
      <c r="C2093" s="26" t="n">
        <v>46097</v>
      </c>
      <c r="D2093" s="6" t="s">
        <v>5458</v>
      </c>
      <c r="E2093" s="6" t="s">
        <v>24</v>
      </c>
      <c r="F2093" s="6" t="n">
        <v>1</v>
      </c>
      <c r="G2093" s="10" t="n">
        <v>559</v>
      </c>
      <c r="H2093" s="10" t="n">
        <f aca="false">F2093*G2093</f>
        <v>559</v>
      </c>
      <c r="I2093" s="6" t="s">
        <v>5130</v>
      </c>
    </row>
    <row r="2094" customFormat="false" ht="15" hidden="false" customHeight="false" outlineLevel="0" collapsed="false">
      <c r="A2094" s="6" t="s">
        <v>7317</v>
      </c>
      <c r="B2094" s="6" t="s">
        <v>3977</v>
      </c>
      <c r="C2094" s="26" t="n">
        <v>46097</v>
      </c>
      <c r="D2094" s="6" t="s">
        <v>5167</v>
      </c>
      <c r="E2094" s="6" t="s">
        <v>22</v>
      </c>
      <c r="F2094" s="6" t="n">
        <v>1</v>
      </c>
      <c r="G2094" s="10" t="n">
        <v>782</v>
      </c>
      <c r="H2094" s="10" t="n">
        <f aca="false">F2094*G2094</f>
        <v>782</v>
      </c>
      <c r="I2094" s="6" t="s">
        <v>5122</v>
      </c>
    </row>
    <row r="2095" customFormat="false" ht="15" hidden="false" customHeight="false" outlineLevel="0" collapsed="false">
      <c r="A2095" s="6" t="s">
        <v>7318</v>
      </c>
      <c r="B2095" s="6" t="s">
        <v>1421</v>
      </c>
      <c r="C2095" s="26" t="n">
        <v>46097</v>
      </c>
      <c r="D2095" s="6" t="s">
        <v>5167</v>
      </c>
      <c r="E2095" s="6" t="s">
        <v>22</v>
      </c>
      <c r="F2095" s="6" t="n">
        <v>2</v>
      </c>
      <c r="G2095" s="10" t="n">
        <v>782</v>
      </c>
      <c r="H2095" s="10" t="n">
        <f aca="false">F2095*G2095</f>
        <v>1564</v>
      </c>
      <c r="I2095" s="6" t="s">
        <v>5122</v>
      </c>
    </row>
    <row r="2096" customFormat="false" ht="15" hidden="false" customHeight="false" outlineLevel="0" collapsed="false">
      <c r="A2096" s="6" t="s">
        <v>7319</v>
      </c>
      <c r="B2096" s="6" t="s">
        <v>2361</v>
      </c>
      <c r="C2096" s="26" t="n">
        <v>46097</v>
      </c>
      <c r="D2096" s="6" t="s">
        <v>5707</v>
      </c>
      <c r="E2096" s="6" t="s">
        <v>22</v>
      </c>
      <c r="F2096" s="6" t="n">
        <v>1</v>
      </c>
      <c r="G2096" s="10" t="n">
        <v>2322</v>
      </c>
      <c r="H2096" s="10" t="n">
        <f aca="false">F2096*G2096</f>
        <v>2322</v>
      </c>
      <c r="I2096" s="6" t="s">
        <v>5122</v>
      </c>
    </row>
    <row r="2097" customFormat="false" ht="15" hidden="false" customHeight="false" outlineLevel="0" collapsed="false">
      <c r="A2097" s="6" t="s">
        <v>7320</v>
      </c>
      <c r="B2097" s="6" t="s">
        <v>4265</v>
      </c>
      <c r="C2097" s="26" t="n">
        <v>46097</v>
      </c>
      <c r="D2097" s="6" t="s">
        <v>5292</v>
      </c>
      <c r="E2097" s="6" t="s">
        <v>21</v>
      </c>
      <c r="F2097" s="6" t="n">
        <v>1</v>
      </c>
      <c r="G2097" s="10" t="n">
        <v>6880</v>
      </c>
      <c r="H2097" s="10" t="n">
        <f aca="false">F2097*G2097</f>
        <v>6880</v>
      </c>
      <c r="I2097" s="6" t="s">
        <v>5122</v>
      </c>
    </row>
    <row r="2098" customFormat="false" ht="15" hidden="false" customHeight="false" outlineLevel="0" collapsed="false">
      <c r="A2098" s="6" t="s">
        <v>7321</v>
      </c>
      <c r="B2098" s="6" t="s">
        <v>3801</v>
      </c>
      <c r="C2098" s="26" t="n">
        <v>46097</v>
      </c>
      <c r="D2098" s="6" t="s">
        <v>5357</v>
      </c>
      <c r="E2098" s="6" t="s">
        <v>23</v>
      </c>
      <c r="F2098" s="6" t="n">
        <v>3</v>
      </c>
      <c r="G2098" s="10" t="n">
        <v>534</v>
      </c>
      <c r="H2098" s="10" t="n">
        <f aca="false">F2098*G2098</f>
        <v>1602</v>
      </c>
      <c r="I2098" s="6" t="s">
        <v>5148</v>
      </c>
    </row>
    <row r="2099" customFormat="false" ht="15" hidden="false" customHeight="false" outlineLevel="0" collapsed="false">
      <c r="A2099" s="6" t="s">
        <v>7322</v>
      </c>
      <c r="B2099" s="6" t="s">
        <v>519</v>
      </c>
      <c r="C2099" s="26" t="n">
        <v>46097</v>
      </c>
      <c r="D2099" s="6" t="s">
        <v>5214</v>
      </c>
      <c r="E2099" s="6" t="s">
        <v>20</v>
      </c>
      <c r="F2099" s="6" t="n">
        <v>1</v>
      </c>
      <c r="G2099" s="10" t="n">
        <v>2038</v>
      </c>
      <c r="H2099" s="10" t="n">
        <f aca="false">F2099*G2099</f>
        <v>2038</v>
      </c>
      <c r="I2099" s="6" t="s">
        <v>5122</v>
      </c>
    </row>
    <row r="2100" customFormat="false" ht="15" hidden="false" customHeight="false" outlineLevel="0" collapsed="false">
      <c r="A2100" s="6" t="s">
        <v>7323</v>
      </c>
      <c r="B2100" s="6" t="s">
        <v>961</v>
      </c>
      <c r="C2100" s="26" t="n">
        <v>46097</v>
      </c>
      <c r="D2100" s="6" t="s">
        <v>5163</v>
      </c>
      <c r="E2100" s="6" t="s">
        <v>23</v>
      </c>
      <c r="F2100" s="6" t="n">
        <v>3</v>
      </c>
      <c r="G2100" s="10" t="n">
        <v>783</v>
      </c>
      <c r="H2100" s="10" t="n">
        <f aca="false">F2100*G2100</f>
        <v>2349</v>
      </c>
      <c r="I2100" s="6" t="s">
        <v>5122</v>
      </c>
    </row>
    <row r="2101" customFormat="false" ht="15" hidden="false" customHeight="false" outlineLevel="0" collapsed="false">
      <c r="A2101" s="6" t="s">
        <v>7324</v>
      </c>
      <c r="B2101" s="6" t="s">
        <v>4585</v>
      </c>
      <c r="C2101" s="26" t="n">
        <v>46097</v>
      </c>
      <c r="D2101" s="6" t="s">
        <v>5707</v>
      </c>
      <c r="E2101" s="6" t="s">
        <v>22</v>
      </c>
      <c r="F2101" s="6" t="n">
        <v>1</v>
      </c>
      <c r="G2101" s="10" t="n">
        <v>2321</v>
      </c>
      <c r="H2101" s="10" t="n">
        <f aca="false">F2101*G2101</f>
        <v>2321</v>
      </c>
      <c r="I2101" s="6" t="s">
        <v>5122</v>
      </c>
    </row>
    <row r="2102" customFormat="false" ht="15" hidden="false" customHeight="false" outlineLevel="0" collapsed="false">
      <c r="A2102" s="6" t="s">
        <v>7325</v>
      </c>
      <c r="B2102" s="6" t="s">
        <v>2407</v>
      </c>
      <c r="C2102" s="26" t="n">
        <v>46097</v>
      </c>
      <c r="D2102" s="6" t="s">
        <v>5143</v>
      </c>
      <c r="E2102" s="6" t="s">
        <v>21</v>
      </c>
      <c r="F2102" s="6" t="n">
        <v>1</v>
      </c>
      <c r="G2102" s="10" t="n">
        <v>1179</v>
      </c>
      <c r="H2102" s="10" t="n">
        <f aca="false">F2102*G2102</f>
        <v>1179</v>
      </c>
      <c r="I2102" s="6" t="s">
        <v>5122</v>
      </c>
    </row>
    <row r="2103" customFormat="false" ht="15" hidden="false" customHeight="false" outlineLevel="0" collapsed="false">
      <c r="A2103" s="6" t="s">
        <v>7326</v>
      </c>
      <c r="B2103" s="6" t="s">
        <v>4495</v>
      </c>
      <c r="C2103" s="26" t="n">
        <v>46097</v>
      </c>
      <c r="D2103" s="6" t="s">
        <v>5167</v>
      </c>
      <c r="E2103" s="6" t="s">
        <v>22</v>
      </c>
      <c r="F2103" s="6" t="n">
        <v>2</v>
      </c>
      <c r="G2103" s="10" t="n">
        <v>782</v>
      </c>
      <c r="H2103" s="10" t="n">
        <f aca="false">F2103*G2103</f>
        <v>1564</v>
      </c>
      <c r="I2103" s="6" t="s">
        <v>5122</v>
      </c>
    </row>
    <row r="2104" customFormat="false" ht="15" hidden="false" customHeight="false" outlineLevel="0" collapsed="false">
      <c r="A2104" s="6" t="s">
        <v>7327</v>
      </c>
      <c r="B2104" s="6" t="s">
        <v>317</v>
      </c>
      <c r="C2104" s="26" t="n">
        <v>46097</v>
      </c>
      <c r="D2104" s="6" t="s">
        <v>5129</v>
      </c>
      <c r="E2104" s="6" t="s">
        <v>21</v>
      </c>
      <c r="F2104" s="6" t="n">
        <v>2</v>
      </c>
      <c r="G2104" s="10" t="n">
        <v>589</v>
      </c>
      <c r="H2104" s="10" t="n">
        <f aca="false">F2104*G2104</f>
        <v>1178</v>
      </c>
      <c r="I2104" s="6" t="s">
        <v>5122</v>
      </c>
    </row>
    <row r="2105" customFormat="false" ht="15" hidden="false" customHeight="false" outlineLevel="0" collapsed="false">
      <c r="A2105" s="6" t="s">
        <v>7328</v>
      </c>
      <c r="B2105" s="6" t="s">
        <v>541</v>
      </c>
      <c r="C2105" s="26" t="n">
        <v>46097</v>
      </c>
      <c r="D2105" s="6" t="s">
        <v>5383</v>
      </c>
      <c r="E2105" s="6" t="s">
        <v>20</v>
      </c>
      <c r="F2105" s="6" t="n">
        <v>1</v>
      </c>
      <c r="G2105" s="10" t="n">
        <v>1065</v>
      </c>
      <c r="H2105" s="10" t="n">
        <f aca="false">F2105*G2105</f>
        <v>1065</v>
      </c>
      <c r="I2105" s="6" t="s">
        <v>5130</v>
      </c>
    </row>
    <row r="2106" customFormat="false" ht="15" hidden="false" customHeight="false" outlineLevel="0" collapsed="false">
      <c r="A2106" s="6" t="s">
        <v>7329</v>
      </c>
      <c r="B2106" s="6" t="s">
        <v>4335</v>
      </c>
      <c r="C2106" s="26" t="n">
        <v>46097</v>
      </c>
      <c r="D2106" s="6" t="s">
        <v>5165</v>
      </c>
      <c r="E2106" s="6" t="s">
        <v>22</v>
      </c>
      <c r="F2106" s="6" t="n">
        <v>1</v>
      </c>
      <c r="G2106" s="10" t="n">
        <v>976</v>
      </c>
      <c r="H2106" s="10" t="n">
        <f aca="false">F2106*G2106</f>
        <v>976</v>
      </c>
      <c r="I2106" s="6" t="s">
        <v>5125</v>
      </c>
    </row>
    <row r="2107" customFormat="false" ht="15" hidden="false" customHeight="false" outlineLevel="0" collapsed="false">
      <c r="A2107" s="6" t="s">
        <v>7330</v>
      </c>
      <c r="B2107" s="6" t="s">
        <v>449</v>
      </c>
      <c r="C2107" s="26" t="n">
        <v>46097</v>
      </c>
      <c r="D2107" s="6" t="s">
        <v>5200</v>
      </c>
      <c r="E2107" s="6" t="s">
        <v>24</v>
      </c>
      <c r="F2107" s="6" t="n">
        <v>2</v>
      </c>
      <c r="G2107" s="10" t="n">
        <v>687</v>
      </c>
      <c r="H2107" s="10" t="n">
        <f aca="false">F2107*G2107</f>
        <v>1374</v>
      </c>
      <c r="I2107" s="6" t="s">
        <v>5122</v>
      </c>
    </row>
    <row r="2108" customFormat="false" ht="15" hidden="false" customHeight="false" outlineLevel="0" collapsed="false">
      <c r="A2108" s="6" t="s">
        <v>7331</v>
      </c>
      <c r="B2108" s="6" t="s">
        <v>3147</v>
      </c>
      <c r="C2108" s="26" t="n">
        <v>46098</v>
      </c>
      <c r="D2108" s="6" t="s">
        <v>5152</v>
      </c>
      <c r="E2108" s="6" t="s">
        <v>22</v>
      </c>
      <c r="F2108" s="6" t="n">
        <v>1</v>
      </c>
      <c r="G2108" s="10" t="n">
        <v>1760</v>
      </c>
      <c r="H2108" s="10" t="n">
        <f aca="false">F2108*G2108</f>
        <v>1760</v>
      </c>
      <c r="I2108" s="6" t="s">
        <v>5122</v>
      </c>
    </row>
    <row r="2109" customFormat="false" ht="15" hidden="false" customHeight="false" outlineLevel="0" collapsed="false">
      <c r="A2109" s="6" t="s">
        <v>7332</v>
      </c>
      <c r="B2109" s="6" t="s">
        <v>1415</v>
      </c>
      <c r="C2109" s="26" t="n">
        <v>46098</v>
      </c>
      <c r="D2109" s="6" t="s">
        <v>5182</v>
      </c>
      <c r="E2109" s="6" t="s">
        <v>23</v>
      </c>
      <c r="F2109" s="6" t="n">
        <v>3</v>
      </c>
      <c r="G2109" s="10" t="n">
        <v>349</v>
      </c>
      <c r="H2109" s="10" t="n">
        <f aca="false">F2109*G2109</f>
        <v>1047</v>
      </c>
      <c r="I2109" s="6" t="s">
        <v>5130</v>
      </c>
    </row>
    <row r="2110" customFormat="false" ht="15" hidden="false" customHeight="false" outlineLevel="0" collapsed="false">
      <c r="A2110" s="6" t="s">
        <v>7333</v>
      </c>
      <c r="B2110" s="6" t="s">
        <v>599</v>
      </c>
      <c r="C2110" s="26" t="n">
        <v>46098</v>
      </c>
      <c r="D2110" s="6" t="s">
        <v>5345</v>
      </c>
      <c r="E2110" s="6" t="s">
        <v>23</v>
      </c>
      <c r="F2110" s="6" t="n">
        <v>4</v>
      </c>
      <c r="G2110" s="10" t="n">
        <v>436</v>
      </c>
      <c r="H2110" s="10" t="n">
        <f aca="false">F2110*G2110</f>
        <v>1744</v>
      </c>
      <c r="I2110" s="6" t="s">
        <v>5148</v>
      </c>
    </row>
    <row r="2111" customFormat="false" ht="15" hidden="false" customHeight="false" outlineLevel="0" collapsed="false">
      <c r="A2111" s="6" t="s">
        <v>7334</v>
      </c>
      <c r="B2111" s="6" t="s">
        <v>2493</v>
      </c>
      <c r="C2111" s="26" t="n">
        <v>46098</v>
      </c>
      <c r="D2111" s="6" t="s">
        <v>5197</v>
      </c>
      <c r="E2111" s="6" t="s">
        <v>21</v>
      </c>
      <c r="F2111" s="6" t="n">
        <v>1</v>
      </c>
      <c r="G2111" s="10" t="n">
        <v>1080</v>
      </c>
      <c r="H2111" s="10" t="n">
        <f aca="false">F2111*G2111</f>
        <v>1080</v>
      </c>
      <c r="I2111" s="6" t="s">
        <v>5148</v>
      </c>
    </row>
    <row r="2112" customFormat="false" ht="15" hidden="false" customHeight="false" outlineLevel="0" collapsed="false">
      <c r="A2112" s="6" t="s">
        <v>7335</v>
      </c>
      <c r="B2112" s="6" t="s">
        <v>677</v>
      </c>
      <c r="C2112" s="26" t="n">
        <v>46098</v>
      </c>
      <c r="D2112" s="6" t="s">
        <v>5488</v>
      </c>
      <c r="E2112" s="6" t="s">
        <v>24</v>
      </c>
      <c r="F2112" s="6" t="n">
        <v>2</v>
      </c>
      <c r="G2112" s="10" t="n">
        <v>779</v>
      </c>
      <c r="H2112" s="10" t="n">
        <f aca="false">F2112*G2112</f>
        <v>1558</v>
      </c>
      <c r="I2112" s="6" t="s">
        <v>5173</v>
      </c>
    </row>
    <row r="2113" customFormat="false" ht="15" hidden="false" customHeight="false" outlineLevel="0" collapsed="false">
      <c r="A2113" s="6" t="s">
        <v>7336</v>
      </c>
      <c r="B2113" s="6" t="s">
        <v>3445</v>
      </c>
      <c r="C2113" s="26" t="n">
        <v>46098</v>
      </c>
      <c r="D2113" s="6" t="s">
        <v>5353</v>
      </c>
      <c r="E2113" s="6" t="s">
        <v>24</v>
      </c>
      <c r="F2113" s="6" t="n">
        <v>1</v>
      </c>
      <c r="G2113" s="10" t="n">
        <v>1629</v>
      </c>
      <c r="H2113" s="10" t="n">
        <f aca="false">F2113*G2113</f>
        <v>1629</v>
      </c>
      <c r="I2113" s="6" t="s">
        <v>5122</v>
      </c>
    </row>
    <row r="2114" customFormat="false" ht="15" hidden="false" customHeight="false" outlineLevel="0" collapsed="false">
      <c r="A2114" s="6" t="s">
        <v>7337</v>
      </c>
      <c r="B2114" s="6" t="s">
        <v>3977</v>
      </c>
      <c r="C2114" s="26" t="n">
        <v>46098</v>
      </c>
      <c r="D2114" s="6" t="s">
        <v>5224</v>
      </c>
      <c r="E2114" s="6" t="s">
        <v>23</v>
      </c>
      <c r="F2114" s="6" t="n">
        <v>3</v>
      </c>
      <c r="G2114" s="10" t="n">
        <v>195</v>
      </c>
      <c r="H2114" s="10" t="n">
        <f aca="false">F2114*G2114</f>
        <v>585</v>
      </c>
      <c r="I2114" s="6" t="s">
        <v>5122</v>
      </c>
    </row>
    <row r="2115" customFormat="false" ht="15" hidden="false" customHeight="false" outlineLevel="0" collapsed="false">
      <c r="A2115" s="6" t="s">
        <v>7338</v>
      </c>
      <c r="B2115" s="6" t="s">
        <v>1127</v>
      </c>
      <c r="C2115" s="26" t="n">
        <v>46098</v>
      </c>
      <c r="D2115" s="6" t="s">
        <v>5316</v>
      </c>
      <c r="E2115" s="6" t="s">
        <v>23</v>
      </c>
      <c r="F2115" s="6" t="n">
        <v>4</v>
      </c>
      <c r="G2115" s="10" t="n">
        <v>260</v>
      </c>
      <c r="H2115" s="10" t="n">
        <f aca="false">F2115*G2115</f>
        <v>1040</v>
      </c>
      <c r="I2115" s="6" t="s">
        <v>5122</v>
      </c>
    </row>
    <row r="2116" customFormat="false" ht="15" hidden="false" customHeight="false" outlineLevel="0" collapsed="false">
      <c r="A2116" s="6" t="s">
        <v>7339</v>
      </c>
      <c r="B2116" s="6" t="s">
        <v>3371</v>
      </c>
      <c r="C2116" s="26" t="n">
        <v>46098</v>
      </c>
      <c r="D2116" s="6" t="s">
        <v>5207</v>
      </c>
      <c r="E2116" s="6" t="s">
        <v>20</v>
      </c>
      <c r="F2116" s="6" t="n">
        <v>1</v>
      </c>
      <c r="G2116" s="10" t="n">
        <v>1325</v>
      </c>
      <c r="H2116" s="10" t="n">
        <f aca="false">F2116*G2116</f>
        <v>1325</v>
      </c>
      <c r="I2116" s="6" t="s">
        <v>5173</v>
      </c>
    </row>
    <row r="2117" customFormat="false" ht="15" hidden="false" customHeight="false" outlineLevel="0" collapsed="false">
      <c r="A2117" s="6" t="s">
        <v>7340</v>
      </c>
      <c r="B2117" s="6" t="s">
        <v>3583</v>
      </c>
      <c r="C2117" s="26" t="n">
        <v>46098</v>
      </c>
      <c r="D2117" s="6" t="s">
        <v>5242</v>
      </c>
      <c r="E2117" s="6" t="s">
        <v>23</v>
      </c>
      <c r="F2117" s="6" t="n">
        <v>2</v>
      </c>
      <c r="G2117" s="10" t="n">
        <v>372</v>
      </c>
      <c r="H2117" s="10" t="n">
        <f aca="false">F2117*G2117</f>
        <v>744</v>
      </c>
      <c r="I2117" s="6" t="s">
        <v>5122</v>
      </c>
    </row>
    <row r="2118" customFormat="false" ht="15" hidden="false" customHeight="false" outlineLevel="0" collapsed="false">
      <c r="A2118" s="6" t="s">
        <v>7341</v>
      </c>
      <c r="B2118" s="6" t="s">
        <v>1077</v>
      </c>
      <c r="C2118" s="26" t="n">
        <v>46098</v>
      </c>
      <c r="D2118" s="6" t="s">
        <v>5167</v>
      </c>
      <c r="E2118" s="6" t="s">
        <v>22</v>
      </c>
      <c r="F2118" s="6" t="n">
        <v>1</v>
      </c>
      <c r="G2118" s="10" t="n">
        <v>743</v>
      </c>
      <c r="H2118" s="10" t="n">
        <f aca="false">F2118*G2118</f>
        <v>743</v>
      </c>
      <c r="I2118" s="6" t="s">
        <v>5122</v>
      </c>
    </row>
    <row r="2119" customFormat="false" ht="15" hidden="false" customHeight="false" outlineLevel="0" collapsed="false">
      <c r="A2119" s="6" t="s">
        <v>7342</v>
      </c>
      <c r="B2119" s="6" t="s">
        <v>4521</v>
      </c>
      <c r="C2119" s="26" t="n">
        <v>46098</v>
      </c>
      <c r="D2119" s="6" t="s">
        <v>5226</v>
      </c>
      <c r="E2119" s="6" t="s">
        <v>24</v>
      </c>
      <c r="F2119" s="6" t="n">
        <v>1</v>
      </c>
      <c r="G2119" s="10" t="n">
        <v>457</v>
      </c>
      <c r="H2119" s="10" t="n">
        <f aca="false">F2119*G2119</f>
        <v>457</v>
      </c>
      <c r="I2119" s="6" t="s">
        <v>5122</v>
      </c>
    </row>
    <row r="2120" customFormat="false" ht="15" hidden="false" customHeight="false" outlineLevel="0" collapsed="false">
      <c r="A2120" s="6" t="s">
        <v>7343</v>
      </c>
      <c r="B2120" s="6" t="s">
        <v>3201</v>
      </c>
      <c r="C2120" s="26" t="n">
        <v>46098</v>
      </c>
      <c r="D2120" s="6" t="s">
        <v>5165</v>
      </c>
      <c r="E2120" s="6" t="s">
        <v>22</v>
      </c>
      <c r="F2120" s="6" t="n">
        <v>3</v>
      </c>
      <c r="G2120" s="10" t="n">
        <v>977</v>
      </c>
      <c r="H2120" s="10" t="n">
        <f aca="false">F2120*G2120</f>
        <v>2931</v>
      </c>
      <c r="I2120" s="6" t="s">
        <v>5125</v>
      </c>
    </row>
    <row r="2121" customFormat="false" ht="15" hidden="false" customHeight="false" outlineLevel="0" collapsed="false">
      <c r="A2121" s="6" t="s">
        <v>7344</v>
      </c>
      <c r="B2121" s="6" t="s">
        <v>4693</v>
      </c>
      <c r="C2121" s="26" t="n">
        <v>46098</v>
      </c>
      <c r="D2121" s="6" t="s">
        <v>5165</v>
      </c>
      <c r="E2121" s="6" t="s">
        <v>22</v>
      </c>
      <c r="F2121" s="6" t="n">
        <v>2</v>
      </c>
      <c r="G2121" s="10" t="n">
        <v>880</v>
      </c>
      <c r="H2121" s="10" t="n">
        <f aca="false">F2121*G2121</f>
        <v>1760</v>
      </c>
      <c r="I2121" s="6" t="s">
        <v>5148</v>
      </c>
    </row>
    <row r="2122" customFormat="false" ht="15" hidden="false" customHeight="false" outlineLevel="0" collapsed="false">
      <c r="A2122" s="6" t="s">
        <v>7345</v>
      </c>
      <c r="B2122" s="6" t="s">
        <v>1823</v>
      </c>
      <c r="C2122" s="26" t="n">
        <v>46098</v>
      </c>
      <c r="D2122" s="6" t="s">
        <v>5281</v>
      </c>
      <c r="E2122" s="6" t="s">
        <v>24</v>
      </c>
      <c r="F2122" s="6" t="n">
        <v>1</v>
      </c>
      <c r="G2122" s="10" t="n">
        <v>814</v>
      </c>
      <c r="H2122" s="10" t="n">
        <f aca="false">F2122*G2122</f>
        <v>814</v>
      </c>
      <c r="I2122" s="6" t="s">
        <v>5148</v>
      </c>
    </row>
    <row r="2123" customFormat="false" ht="15" hidden="false" customHeight="false" outlineLevel="0" collapsed="false">
      <c r="A2123" s="6" t="s">
        <v>7346</v>
      </c>
      <c r="B2123" s="6" t="s">
        <v>1155</v>
      </c>
      <c r="C2123" s="26" t="n">
        <v>46098</v>
      </c>
      <c r="D2123" s="6" t="s">
        <v>5423</v>
      </c>
      <c r="E2123" s="6" t="s">
        <v>21</v>
      </c>
      <c r="F2123" s="6" t="n">
        <v>1</v>
      </c>
      <c r="G2123" s="10" t="n">
        <v>3243</v>
      </c>
      <c r="H2123" s="10" t="n">
        <f aca="false">F2123*G2123</f>
        <v>3243</v>
      </c>
      <c r="I2123" s="6" t="s">
        <v>5148</v>
      </c>
    </row>
    <row r="2124" customFormat="false" ht="15" hidden="false" customHeight="false" outlineLevel="0" collapsed="false">
      <c r="A2124" s="6" t="s">
        <v>7347</v>
      </c>
      <c r="B2124" s="6" t="s">
        <v>819</v>
      </c>
      <c r="C2124" s="26" t="n">
        <v>46098</v>
      </c>
      <c r="D2124" s="6" t="s">
        <v>5171</v>
      </c>
      <c r="E2124" s="6" t="s">
        <v>23</v>
      </c>
      <c r="F2124" s="6" t="n">
        <v>4</v>
      </c>
      <c r="G2124" s="10" t="n">
        <v>734</v>
      </c>
      <c r="H2124" s="10" t="n">
        <f aca="false">F2124*G2124</f>
        <v>2936</v>
      </c>
      <c r="I2124" s="6" t="s">
        <v>5173</v>
      </c>
    </row>
    <row r="2125" customFormat="false" ht="15" hidden="false" customHeight="false" outlineLevel="0" collapsed="false">
      <c r="A2125" s="6" t="s">
        <v>7348</v>
      </c>
      <c r="B2125" s="6" t="s">
        <v>3177</v>
      </c>
      <c r="C2125" s="26" t="n">
        <v>46098</v>
      </c>
      <c r="D2125" s="6" t="s">
        <v>5163</v>
      </c>
      <c r="E2125" s="6" t="s">
        <v>23</v>
      </c>
      <c r="F2125" s="6" t="n">
        <v>2</v>
      </c>
      <c r="G2125" s="10" t="n">
        <v>783</v>
      </c>
      <c r="H2125" s="10" t="n">
        <f aca="false">F2125*G2125</f>
        <v>1566</v>
      </c>
      <c r="I2125" s="6" t="s">
        <v>5148</v>
      </c>
    </row>
    <row r="2126" customFormat="false" ht="15" hidden="false" customHeight="false" outlineLevel="0" collapsed="false">
      <c r="A2126" s="6" t="s">
        <v>7349</v>
      </c>
      <c r="B2126" s="6" t="s">
        <v>1299</v>
      </c>
      <c r="C2126" s="26" t="n">
        <v>46098</v>
      </c>
      <c r="D2126" s="6" t="s">
        <v>5141</v>
      </c>
      <c r="E2126" s="6" t="s">
        <v>20</v>
      </c>
      <c r="F2126" s="6" t="n">
        <v>1</v>
      </c>
      <c r="G2126" s="10" t="n">
        <v>1743</v>
      </c>
      <c r="H2126" s="10" t="n">
        <f aca="false">F2126*G2126</f>
        <v>1743</v>
      </c>
      <c r="I2126" s="6" t="s">
        <v>5122</v>
      </c>
    </row>
    <row r="2127" customFormat="false" ht="15" hidden="false" customHeight="false" outlineLevel="0" collapsed="false">
      <c r="A2127" s="6" t="s">
        <v>7350</v>
      </c>
      <c r="B2127" s="6" t="s">
        <v>1835</v>
      </c>
      <c r="C2127" s="26" t="n">
        <v>46098</v>
      </c>
      <c r="D2127" s="6" t="s">
        <v>5169</v>
      </c>
      <c r="E2127" s="6" t="s">
        <v>20</v>
      </c>
      <c r="F2127" s="6" t="n">
        <v>1</v>
      </c>
      <c r="G2127" s="10" t="n">
        <v>4588</v>
      </c>
      <c r="H2127" s="10" t="n">
        <f aca="false">F2127*G2127</f>
        <v>4588</v>
      </c>
      <c r="I2127" s="6" t="s">
        <v>5125</v>
      </c>
    </row>
    <row r="2128" customFormat="false" ht="15" hidden="false" customHeight="false" outlineLevel="0" collapsed="false">
      <c r="A2128" s="6" t="s">
        <v>7351</v>
      </c>
      <c r="B2128" s="6" t="s">
        <v>3063</v>
      </c>
      <c r="C2128" s="26" t="n">
        <v>46098</v>
      </c>
      <c r="D2128" s="6" t="s">
        <v>5214</v>
      </c>
      <c r="E2128" s="6" t="s">
        <v>20</v>
      </c>
      <c r="F2128" s="6" t="n">
        <v>1</v>
      </c>
      <c r="G2128" s="10" t="n">
        <v>2039</v>
      </c>
      <c r="H2128" s="10" t="n">
        <f aca="false">F2128*G2128</f>
        <v>2039</v>
      </c>
      <c r="I2128" s="6" t="s">
        <v>5122</v>
      </c>
    </row>
    <row r="2129" customFormat="false" ht="15" hidden="false" customHeight="false" outlineLevel="0" collapsed="false">
      <c r="A2129" s="6" t="s">
        <v>7352</v>
      </c>
      <c r="B2129" s="6" t="s">
        <v>3991</v>
      </c>
      <c r="C2129" s="26" t="n">
        <v>46098</v>
      </c>
      <c r="D2129" s="6" t="s">
        <v>5167</v>
      </c>
      <c r="E2129" s="6" t="s">
        <v>22</v>
      </c>
      <c r="F2129" s="6" t="n">
        <v>1</v>
      </c>
      <c r="G2129" s="10" t="n">
        <v>781</v>
      </c>
      <c r="H2129" s="10" t="n">
        <f aca="false">F2129*G2129</f>
        <v>781</v>
      </c>
      <c r="I2129" s="6" t="s">
        <v>5122</v>
      </c>
    </row>
    <row r="2130" customFormat="false" ht="15" hidden="false" customHeight="false" outlineLevel="0" collapsed="false">
      <c r="A2130" s="6" t="s">
        <v>7353</v>
      </c>
      <c r="B2130" s="6" t="s">
        <v>202</v>
      </c>
      <c r="C2130" s="26" t="n">
        <v>46098</v>
      </c>
      <c r="D2130" s="6" t="s">
        <v>5687</v>
      </c>
      <c r="E2130" s="6" t="s">
        <v>20</v>
      </c>
      <c r="F2130" s="6" t="n">
        <v>1</v>
      </c>
      <c r="G2130" s="10" t="n">
        <v>2039</v>
      </c>
      <c r="H2130" s="10" t="n">
        <f aca="false">F2130*G2130</f>
        <v>2039</v>
      </c>
      <c r="I2130" s="6" t="s">
        <v>5122</v>
      </c>
    </row>
    <row r="2131" customFormat="false" ht="15" hidden="false" customHeight="false" outlineLevel="0" collapsed="false">
      <c r="A2131" s="6" t="s">
        <v>7354</v>
      </c>
      <c r="B2131" s="6" t="s">
        <v>1919</v>
      </c>
      <c r="C2131" s="26" t="n">
        <v>46098</v>
      </c>
      <c r="D2131" s="6" t="s">
        <v>5345</v>
      </c>
      <c r="E2131" s="6" t="s">
        <v>23</v>
      </c>
      <c r="F2131" s="6" t="n">
        <v>2</v>
      </c>
      <c r="G2131" s="10" t="n">
        <v>436</v>
      </c>
      <c r="H2131" s="10" t="n">
        <f aca="false">F2131*G2131</f>
        <v>872</v>
      </c>
      <c r="I2131" s="6" t="s">
        <v>5122</v>
      </c>
    </row>
    <row r="2132" customFormat="false" ht="15" hidden="false" customHeight="false" outlineLevel="0" collapsed="false">
      <c r="A2132" s="6" t="s">
        <v>7355</v>
      </c>
      <c r="B2132" s="6" t="s">
        <v>4683</v>
      </c>
      <c r="C2132" s="26" t="n">
        <v>46098</v>
      </c>
      <c r="D2132" s="6" t="s">
        <v>5207</v>
      </c>
      <c r="E2132" s="6" t="s">
        <v>20</v>
      </c>
      <c r="F2132" s="6" t="n">
        <v>2</v>
      </c>
      <c r="G2132" s="10" t="n">
        <v>1258</v>
      </c>
      <c r="H2132" s="10" t="n">
        <f aca="false">F2132*G2132</f>
        <v>2516</v>
      </c>
      <c r="I2132" s="6" t="s">
        <v>5125</v>
      </c>
    </row>
    <row r="2133" customFormat="false" ht="15" hidden="false" customHeight="false" outlineLevel="0" collapsed="false">
      <c r="A2133" s="6" t="s">
        <v>7356</v>
      </c>
      <c r="B2133" s="6" t="s">
        <v>2697</v>
      </c>
      <c r="C2133" s="26" t="n">
        <v>46098</v>
      </c>
      <c r="D2133" s="6" t="s">
        <v>5158</v>
      </c>
      <c r="E2133" s="6" t="s">
        <v>24</v>
      </c>
      <c r="F2133" s="6" t="n">
        <v>3</v>
      </c>
      <c r="G2133" s="10" t="n">
        <v>411</v>
      </c>
      <c r="H2133" s="10" t="n">
        <f aca="false">F2133*G2133</f>
        <v>1233</v>
      </c>
      <c r="I2133" s="6" t="s">
        <v>5122</v>
      </c>
    </row>
    <row r="2134" customFormat="false" ht="15" hidden="false" customHeight="false" outlineLevel="0" collapsed="false">
      <c r="A2134" s="6" t="s">
        <v>7357</v>
      </c>
      <c r="B2134" s="6" t="s">
        <v>4545</v>
      </c>
      <c r="C2134" s="26" t="n">
        <v>46098</v>
      </c>
      <c r="D2134" s="6" t="s">
        <v>5259</v>
      </c>
      <c r="E2134" s="6" t="s">
        <v>22</v>
      </c>
      <c r="F2134" s="6" t="n">
        <v>1</v>
      </c>
      <c r="G2134" s="10" t="n">
        <v>1486</v>
      </c>
      <c r="H2134" s="10" t="n">
        <f aca="false">F2134*G2134</f>
        <v>1486</v>
      </c>
      <c r="I2134" s="6" t="s">
        <v>5122</v>
      </c>
    </row>
    <row r="2135" customFormat="false" ht="15" hidden="false" customHeight="false" outlineLevel="0" collapsed="false">
      <c r="A2135" s="6" t="s">
        <v>7358</v>
      </c>
      <c r="B2135" s="6" t="s">
        <v>953</v>
      </c>
      <c r="C2135" s="26" t="n">
        <v>46098</v>
      </c>
      <c r="D2135" s="6" t="s">
        <v>5345</v>
      </c>
      <c r="E2135" s="6" t="s">
        <v>23</v>
      </c>
      <c r="F2135" s="6" t="n">
        <v>3</v>
      </c>
      <c r="G2135" s="10" t="n">
        <v>436</v>
      </c>
      <c r="H2135" s="10" t="n">
        <f aca="false">F2135*G2135</f>
        <v>1308</v>
      </c>
      <c r="I2135" s="6" t="s">
        <v>5148</v>
      </c>
    </row>
    <row r="2136" customFormat="false" ht="15" hidden="false" customHeight="false" outlineLevel="0" collapsed="false">
      <c r="A2136" s="6" t="s">
        <v>7359</v>
      </c>
      <c r="B2136" s="6" t="s">
        <v>390</v>
      </c>
      <c r="C2136" s="26" t="n">
        <v>46098</v>
      </c>
      <c r="D2136" s="6" t="s">
        <v>5132</v>
      </c>
      <c r="E2136" s="6" t="s">
        <v>23</v>
      </c>
      <c r="F2136" s="6" t="n">
        <v>2</v>
      </c>
      <c r="G2136" s="10" t="n">
        <v>342</v>
      </c>
      <c r="H2136" s="10" t="n">
        <f aca="false">F2136*G2136</f>
        <v>684</v>
      </c>
      <c r="I2136" s="6" t="s">
        <v>5122</v>
      </c>
    </row>
    <row r="2137" customFormat="false" ht="15" hidden="false" customHeight="false" outlineLevel="0" collapsed="false">
      <c r="A2137" s="6" t="s">
        <v>7360</v>
      </c>
      <c r="B2137" s="6" t="s">
        <v>965</v>
      </c>
      <c r="C2137" s="26" t="n">
        <v>46099</v>
      </c>
      <c r="D2137" s="6" t="s">
        <v>5202</v>
      </c>
      <c r="E2137" s="6" t="s">
        <v>23</v>
      </c>
      <c r="F2137" s="6" t="n">
        <v>3</v>
      </c>
      <c r="G2137" s="10" t="n">
        <v>245</v>
      </c>
      <c r="H2137" s="10" t="n">
        <f aca="false">F2137*G2137</f>
        <v>735</v>
      </c>
      <c r="I2137" s="6" t="s">
        <v>5122</v>
      </c>
    </row>
    <row r="2138" customFormat="false" ht="15" hidden="false" customHeight="false" outlineLevel="0" collapsed="false">
      <c r="A2138" s="6" t="s">
        <v>7361</v>
      </c>
      <c r="B2138" s="6" t="s">
        <v>1027</v>
      </c>
      <c r="C2138" s="26" t="n">
        <v>46099</v>
      </c>
      <c r="D2138" s="6" t="s">
        <v>5163</v>
      </c>
      <c r="E2138" s="6" t="s">
        <v>23</v>
      </c>
      <c r="F2138" s="6" t="n">
        <v>2</v>
      </c>
      <c r="G2138" s="10" t="n">
        <v>783</v>
      </c>
      <c r="H2138" s="10" t="n">
        <f aca="false">F2138*G2138</f>
        <v>1566</v>
      </c>
      <c r="I2138" s="6" t="s">
        <v>5122</v>
      </c>
    </row>
    <row r="2139" customFormat="false" ht="15" hidden="false" customHeight="false" outlineLevel="0" collapsed="false">
      <c r="A2139" s="6" t="s">
        <v>7362</v>
      </c>
      <c r="B2139" s="6" t="s">
        <v>1891</v>
      </c>
      <c r="C2139" s="26" t="n">
        <v>46099</v>
      </c>
      <c r="D2139" s="6" t="s">
        <v>5171</v>
      </c>
      <c r="E2139" s="6" t="s">
        <v>23</v>
      </c>
      <c r="F2139" s="6" t="n">
        <v>4</v>
      </c>
      <c r="G2139" s="10" t="n">
        <v>697</v>
      </c>
      <c r="H2139" s="10" t="n">
        <f aca="false">F2139*G2139</f>
        <v>2788</v>
      </c>
      <c r="I2139" s="6" t="s">
        <v>5122</v>
      </c>
    </row>
    <row r="2140" customFormat="false" ht="15" hidden="false" customHeight="false" outlineLevel="0" collapsed="false">
      <c r="A2140" s="6" t="s">
        <v>7363</v>
      </c>
      <c r="B2140" s="6" t="s">
        <v>2379</v>
      </c>
      <c r="C2140" s="26" t="n">
        <v>46099</v>
      </c>
      <c r="D2140" s="6" t="s">
        <v>5137</v>
      </c>
      <c r="E2140" s="6" t="s">
        <v>21</v>
      </c>
      <c r="F2140" s="6" t="n">
        <v>2</v>
      </c>
      <c r="G2140" s="10" t="n">
        <v>1680</v>
      </c>
      <c r="H2140" s="10" t="n">
        <f aca="false">F2140*G2140</f>
        <v>3360</v>
      </c>
      <c r="I2140" s="6" t="s">
        <v>5148</v>
      </c>
    </row>
    <row r="2141" customFormat="false" ht="15" hidden="false" customHeight="false" outlineLevel="0" collapsed="false">
      <c r="A2141" s="6" t="s">
        <v>7364</v>
      </c>
      <c r="B2141" s="6" t="s">
        <v>1919</v>
      </c>
      <c r="C2141" s="26" t="n">
        <v>46099</v>
      </c>
      <c r="D2141" s="6" t="s">
        <v>5163</v>
      </c>
      <c r="E2141" s="6" t="s">
        <v>23</v>
      </c>
      <c r="F2141" s="6" t="n">
        <v>4</v>
      </c>
      <c r="G2141" s="10" t="n">
        <v>783</v>
      </c>
      <c r="H2141" s="10" t="n">
        <f aca="false">F2141*G2141</f>
        <v>3132</v>
      </c>
      <c r="I2141" s="6" t="s">
        <v>5130</v>
      </c>
    </row>
    <row r="2142" customFormat="false" ht="15" hidden="false" customHeight="false" outlineLevel="0" collapsed="false">
      <c r="A2142" s="6" t="s">
        <v>7365</v>
      </c>
      <c r="B2142" s="6" t="s">
        <v>1601</v>
      </c>
      <c r="C2142" s="26" t="n">
        <v>46099</v>
      </c>
      <c r="D2142" s="6" t="s">
        <v>5167</v>
      </c>
      <c r="E2142" s="6" t="s">
        <v>22</v>
      </c>
      <c r="F2142" s="6" t="n">
        <v>1</v>
      </c>
      <c r="G2142" s="10" t="n">
        <v>703</v>
      </c>
      <c r="H2142" s="10" t="n">
        <f aca="false">F2142*G2142</f>
        <v>703</v>
      </c>
      <c r="I2142" s="6" t="s">
        <v>5148</v>
      </c>
    </row>
    <row r="2143" customFormat="false" ht="15" hidden="false" customHeight="false" outlineLevel="0" collapsed="false">
      <c r="A2143" s="6" t="s">
        <v>7366</v>
      </c>
      <c r="B2143" s="6" t="s">
        <v>3639</v>
      </c>
      <c r="C2143" s="26" t="n">
        <v>46099</v>
      </c>
      <c r="D2143" s="6" t="s">
        <v>5129</v>
      </c>
      <c r="E2143" s="6" t="s">
        <v>21</v>
      </c>
      <c r="F2143" s="6" t="n">
        <v>1</v>
      </c>
      <c r="G2143" s="10" t="n">
        <v>589</v>
      </c>
      <c r="H2143" s="10" t="n">
        <f aca="false">F2143*G2143</f>
        <v>589</v>
      </c>
      <c r="I2143" s="6" t="s">
        <v>5122</v>
      </c>
    </row>
    <row r="2144" customFormat="false" ht="15" hidden="false" customHeight="false" outlineLevel="0" collapsed="false">
      <c r="A2144" s="6" t="s">
        <v>7367</v>
      </c>
      <c r="B2144" s="6" t="s">
        <v>130</v>
      </c>
      <c r="C2144" s="26" t="n">
        <v>46099</v>
      </c>
      <c r="D2144" s="6" t="s">
        <v>5160</v>
      </c>
      <c r="E2144" s="6" t="s">
        <v>21</v>
      </c>
      <c r="F2144" s="6" t="n">
        <v>2</v>
      </c>
      <c r="G2144" s="10" t="n">
        <v>2614</v>
      </c>
      <c r="H2144" s="10" t="n">
        <f aca="false">F2144*G2144</f>
        <v>5228</v>
      </c>
      <c r="I2144" s="6" t="s">
        <v>5148</v>
      </c>
    </row>
    <row r="2145" customFormat="false" ht="15" hidden="false" customHeight="false" outlineLevel="0" collapsed="false">
      <c r="A2145" s="6" t="s">
        <v>7368</v>
      </c>
      <c r="B2145" s="6" t="s">
        <v>435</v>
      </c>
      <c r="C2145" s="26" t="n">
        <v>46099</v>
      </c>
      <c r="D2145" s="6" t="s">
        <v>5167</v>
      </c>
      <c r="E2145" s="6" t="s">
        <v>22</v>
      </c>
      <c r="F2145" s="6" t="n">
        <v>2</v>
      </c>
      <c r="G2145" s="10" t="n">
        <v>782</v>
      </c>
      <c r="H2145" s="10" t="n">
        <f aca="false">F2145*G2145</f>
        <v>1564</v>
      </c>
      <c r="I2145" s="6" t="s">
        <v>5122</v>
      </c>
    </row>
    <row r="2146" customFormat="false" ht="15" hidden="false" customHeight="false" outlineLevel="0" collapsed="false">
      <c r="A2146" s="6" t="s">
        <v>7369</v>
      </c>
      <c r="B2146" s="6" t="s">
        <v>3481</v>
      </c>
      <c r="C2146" s="26" t="n">
        <v>46099</v>
      </c>
      <c r="D2146" s="6" t="s">
        <v>5460</v>
      </c>
      <c r="E2146" s="6" t="s">
        <v>24</v>
      </c>
      <c r="F2146" s="6" t="n">
        <v>1</v>
      </c>
      <c r="G2146" s="10" t="n">
        <v>500</v>
      </c>
      <c r="H2146" s="10" t="n">
        <f aca="false">F2146*G2146</f>
        <v>500</v>
      </c>
      <c r="I2146" s="6" t="s">
        <v>5148</v>
      </c>
    </row>
    <row r="2147" customFormat="false" ht="15" hidden="false" customHeight="false" outlineLevel="0" collapsed="false">
      <c r="A2147" s="6" t="s">
        <v>7370</v>
      </c>
      <c r="B2147" s="6" t="s">
        <v>743</v>
      </c>
      <c r="C2147" s="26" t="n">
        <v>46099</v>
      </c>
      <c r="D2147" s="6" t="s">
        <v>5165</v>
      </c>
      <c r="E2147" s="6" t="s">
        <v>22</v>
      </c>
      <c r="F2147" s="6" t="n">
        <v>2</v>
      </c>
      <c r="G2147" s="10" t="n">
        <v>928</v>
      </c>
      <c r="H2147" s="10" t="n">
        <f aca="false">F2147*G2147</f>
        <v>1856</v>
      </c>
      <c r="I2147" s="6" t="s">
        <v>5148</v>
      </c>
    </row>
    <row r="2148" customFormat="false" ht="15" hidden="false" customHeight="false" outlineLevel="0" collapsed="false">
      <c r="A2148" s="6" t="s">
        <v>7371</v>
      </c>
      <c r="B2148" s="6" t="s">
        <v>4505</v>
      </c>
      <c r="C2148" s="26" t="n">
        <v>46099</v>
      </c>
      <c r="D2148" s="6" t="s">
        <v>5482</v>
      </c>
      <c r="E2148" s="6" t="s">
        <v>23</v>
      </c>
      <c r="F2148" s="6" t="n">
        <v>4</v>
      </c>
      <c r="G2148" s="10" t="n">
        <v>256</v>
      </c>
      <c r="H2148" s="10" t="n">
        <f aca="false">F2148*G2148</f>
        <v>1024</v>
      </c>
      <c r="I2148" s="6" t="s">
        <v>5125</v>
      </c>
    </row>
    <row r="2149" customFormat="false" ht="15" hidden="false" customHeight="false" outlineLevel="0" collapsed="false">
      <c r="A2149" s="6" t="s">
        <v>7372</v>
      </c>
      <c r="B2149" s="6" t="s">
        <v>1341</v>
      </c>
      <c r="C2149" s="26" t="n">
        <v>46099</v>
      </c>
      <c r="D2149" s="6" t="s">
        <v>5121</v>
      </c>
      <c r="E2149" s="6" t="s">
        <v>22</v>
      </c>
      <c r="F2149" s="6" t="n">
        <v>1</v>
      </c>
      <c r="G2149" s="10" t="n">
        <v>977</v>
      </c>
      <c r="H2149" s="10" t="n">
        <f aca="false">F2149*G2149</f>
        <v>977</v>
      </c>
      <c r="I2149" s="6" t="s">
        <v>5148</v>
      </c>
    </row>
    <row r="2150" customFormat="false" ht="15" hidden="false" customHeight="false" outlineLevel="0" collapsed="false">
      <c r="A2150" s="6" t="s">
        <v>7373</v>
      </c>
      <c r="B2150" s="6" t="s">
        <v>196</v>
      </c>
      <c r="C2150" s="26" t="n">
        <v>46099</v>
      </c>
      <c r="D2150" s="6" t="s">
        <v>5145</v>
      </c>
      <c r="E2150" s="6" t="s">
        <v>21</v>
      </c>
      <c r="F2150" s="6" t="n">
        <v>1</v>
      </c>
      <c r="G2150" s="10" t="n">
        <v>1149</v>
      </c>
      <c r="H2150" s="10" t="n">
        <f aca="false">F2150*G2150</f>
        <v>1149</v>
      </c>
      <c r="I2150" s="6" t="s">
        <v>5148</v>
      </c>
    </row>
    <row r="2151" customFormat="false" ht="15" hidden="false" customHeight="false" outlineLevel="0" collapsed="false">
      <c r="A2151" s="6" t="s">
        <v>7374</v>
      </c>
      <c r="B2151" s="6" t="s">
        <v>4213</v>
      </c>
      <c r="C2151" s="26" t="n">
        <v>46099</v>
      </c>
      <c r="D2151" s="6" t="s">
        <v>5163</v>
      </c>
      <c r="E2151" s="6" t="s">
        <v>23</v>
      </c>
      <c r="F2151" s="6" t="n">
        <v>4</v>
      </c>
      <c r="G2151" s="10" t="n">
        <v>783</v>
      </c>
      <c r="H2151" s="10" t="n">
        <f aca="false">F2151*G2151</f>
        <v>3132</v>
      </c>
      <c r="I2151" s="6" t="s">
        <v>5173</v>
      </c>
    </row>
    <row r="2152" customFormat="false" ht="15" hidden="false" customHeight="false" outlineLevel="0" collapsed="false">
      <c r="A2152" s="6" t="s">
        <v>7375</v>
      </c>
      <c r="B2152" s="6" t="s">
        <v>4961</v>
      </c>
      <c r="C2152" s="26" t="n">
        <v>46099</v>
      </c>
      <c r="D2152" s="6" t="s">
        <v>5192</v>
      </c>
      <c r="E2152" s="6" t="s">
        <v>20</v>
      </c>
      <c r="F2152" s="6" t="n">
        <v>1</v>
      </c>
      <c r="G2152" s="10" t="n">
        <v>3874</v>
      </c>
      <c r="H2152" s="10" t="n">
        <f aca="false">F2152*G2152</f>
        <v>3874</v>
      </c>
      <c r="I2152" s="6" t="s">
        <v>5122</v>
      </c>
    </row>
    <row r="2153" customFormat="false" ht="15" hidden="false" customHeight="false" outlineLevel="0" collapsed="false">
      <c r="A2153" s="6" t="s">
        <v>7376</v>
      </c>
      <c r="B2153" s="6" t="s">
        <v>3131</v>
      </c>
      <c r="C2153" s="26" t="n">
        <v>46099</v>
      </c>
      <c r="D2153" s="6" t="s">
        <v>5163</v>
      </c>
      <c r="E2153" s="6" t="s">
        <v>23</v>
      </c>
      <c r="F2153" s="6" t="n">
        <v>5</v>
      </c>
      <c r="G2153" s="10" t="n">
        <v>783</v>
      </c>
      <c r="H2153" s="10" t="n">
        <f aca="false">F2153*G2153</f>
        <v>3915</v>
      </c>
      <c r="I2153" s="6" t="s">
        <v>5148</v>
      </c>
    </row>
    <row r="2154" customFormat="false" ht="15" hidden="false" customHeight="false" outlineLevel="0" collapsed="false">
      <c r="A2154" s="6" t="s">
        <v>7377</v>
      </c>
      <c r="B2154" s="6" t="s">
        <v>1335</v>
      </c>
      <c r="C2154" s="26" t="n">
        <v>46099</v>
      </c>
      <c r="D2154" s="6" t="s">
        <v>5318</v>
      </c>
      <c r="E2154" s="6" t="s">
        <v>20</v>
      </c>
      <c r="F2154" s="6" t="n">
        <v>1</v>
      </c>
      <c r="G2154" s="10" t="n">
        <v>1529</v>
      </c>
      <c r="H2154" s="10" t="n">
        <f aca="false">F2154*G2154</f>
        <v>1529</v>
      </c>
      <c r="I2154" s="6" t="s">
        <v>5122</v>
      </c>
    </row>
    <row r="2155" customFormat="false" ht="15" hidden="false" customHeight="false" outlineLevel="0" collapsed="false">
      <c r="A2155" s="6" t="s">
        <v>7378</v>
      </c>
      <c r="B2155" s="6" t="s">
        <v>4615</v>
      </c>
      <c r="C2155" s="26" t="n">
        <v>46099</v>
      </c>
      <c r="D2155" s="6" t="s">
        <v>5410</v>
      </c>
      <c r="E2155" s="6" t="s">
        <v>20</v>
      </c>
      <c r="F2155" s="6" t="n">
        <v>1</v>
      </c>
      <c r="G2155" s="10" t="n">
        <v>2548</v>
      </c>
      <c r="H2155" s="10" t="n">
        <f aca="false">F2155*G2155</f>
        <v>2548</v>
      </c>
      <c r="I2155" s="6" t="s">
        <v>5122</v>
      </c>
    </row>
    <row r="2156" customFormat="false" ht="15" hidden="false" customHeight="false" outlineLevel="0" collapsed="false">
      <c r="A2156" s="6" t="s">
        <v>7379</v>
      </c>
      <c r="B2156" s="6" t="s">
        <v>5107</v>
      </c>
      <c r="C2156" s="26" t="n">
        <v>46099</v>
      </c>
      <c r="D2156" s="6" t="s">
        <v>5345</v>
      </c>
      <c r="E2156" s="6" t="s">
        <v>23</v>
      </c>
      <c r="F2156" s="6" t="n">
        <v>2</v>
      </c>
      <c r="G2156" s="10" t="n">
        <v>392</v>
      </c>
      <c r="H2156" s="10" t="n">
        <f aca="false">F2156*G2156</f>
        <v>784</v>
      </c>
      <c r="I2156" s="6" t="s">
        <v>5122</v>
      </c>
    </row>
    <row r="2157" customFormat="false" ht="15" hidden="false" customHeight="false" outlineLevel="0" collapsed="false">
      <c r="A2157" s="6" t="s">
        <v>7380</v>
      </c>
      <c r="B2157" s="6" t="s">
        <v>4147</v>
      </c>
      <c r="C2157" s="26" t="n">
        <v>46099</v>
      </c>
      <c r="D2157" s="6" t="s">
        <v>5175</v>
      </c>
      <c r="E2157" s="6" t="s">
        <v>24</v>
      </c>
      <c r="F2157" s="6" t="n">
        <v>2</v>
      </c>
      <c r="G2157" s="10" t="n">
        <v>610</v>
      </c>
      <c r="H2157" s="10" t="n">
        <f aca="false">F2157*G2157</f>
        <v>1220</v>
      </c>
      <c r="I2157" s="6" t="s">
        <v>5148</v>
      </c>
    </row>
    <row r="2158" customFormat="false" ht="15" hidden="false" customHeight="false" outlineLevel="0" collapsed="false">
      <c r="A2158" s="6" t="s">
        <v>7381</v>
      </c>
      <c r="B2158" s="6" t="s">
        <v>1109</v>
      </c>
      <c r="C2158" s="26" t="n">
        <v>46099</v>
      </c>
      <c r="D2158" s="6" t="s">
        <v>5167</v>
      </c>
      <c r="E2158" s="6" t="s">
        <v>22</v>
      </c>
      <c r="F2158" s="6" t="n">
        <v>1</v>
      </c>
      <c r="G2158" s="10" t="n">
        <v>782</v>
      </c>
      <c r="H2158" s="10" t="n">
        <f aca="false">F2158*G2158</f>
        <v>782</v>
      </c>
      <c r="I2158" s="6" t="s">
        <v>5122</v>
      </c>
    </row>
    <row r="2159" customFormat="false" ht="15" hidden="false" customHeight="false" outlineLevel="0" collapsed="false">
      <c r="A2159" s="6" t="s">
        <v>7382</v>
      </c>
      <c r="B2159" s="6" t="s">
        <v>198</v>
      </c>
      <c r="C2159" s="26" t="n">
        <v>46099</v>
      </c>
      <c r="D2159" s="6" t="s">
        <v>5687</v>
      </c>
      <c r="E2159" s="6" t="s">
        <v>20</v>
      </c>
      <c r="F2159" s="6" t="n">
        <v>1</v>
      </c>
      <c r="G2159" s="10" t="n">
        <v>1937</v>
      </c>
      <c r="H2159" s="10" t="n">
        <f aca="false">F2159*G2159</f>
        <v>1937</v>
      </c>
      <c r="I2159" s="6" t="s">
        <v>5148</v>
      </c>
    </row>
    <row r="2160" customFormat="false" ht="15" hidden="false" customHeight="false" outlineLevel="0" collapsed="false">
      <c r="A2160" s="6" t="s">
        <v>7383</v>
      </c>
      <c r="B2160" s="6" t="s">
        <v>837</v>
      </c>
      <c r="C2160" s="26" t="n">
        <v>46100</v>
      </c>
      <c r="D2160" s="6" t="s">
        <v>5147</v>
      </c>
      <c r="E2160" s="6" t="s">
        <v>24</v>
      </c>
      <c r="F2160" s="6" t="n">
        <v>2</v>
      </c>
      <c r="G2160" s="10" t="n">
        <v>628</v>
      </c>
      <c r="H2160" s="10" t="n">
        <f aca="false">F2160*G2160</f>
        <v>1256</v>
      </c>
      <c r="I2160" s="6" t="s">
        <v>5130</v>
      </c>
    </row>
    <row r="2161" customFormat="false" ht="15" hidden="false" customHeight="false" outlineLevel="0" collapsed="false">
      <c r="A2161" s="6" t="s">
        <v>7384</v>
      </c>
      <c r="B2161" s="6" t="s">
        <v>1699</v>
      </c>
      <c r="C2161" s="26" t="n">
        <v>46100</v>
      </c>
      <c r="D2161" s="6" t="s">
        <v>5167</v>
      </c>
      <c r="E2161" s="6" t="s">
        <v>22</v>
      </c>
      <c r="F2161" s="6" t="n">
        <v>4</v>
      </c>
      <c r="G2161" s="10" t="n">
        <v>743</v>
      </c>
      <c r="H2161" s="10" t="n">
        <f aca="false">F2161*G2161</f>
        <v>2972</v>
      </c>
      <c r="I2161" s="6" t="s">
        <v>5148</v>
      </c>
    </row>
    <row r="2162" customFormat="false" ht="15" hidden="false" customHeight="false" outlineLevel="0" collapsed="false">
      <c r="A2162" s="6" t="s">
        <v>7385</v>
      </c>
      <c r="B2162" s="6" t="s">
        <v>3173</v>
      </c>
      <c r="C2162" s="26" t="n">
        <v>46100</v>
      </c>
      <c r="D2162" s="6" t="s">
        <v>5316</v>
      </c>
      <c r="E2162" s="6" t="s">
        <v>23</v>
      </c>
      <c r="F2162" s="6" t="n">
        <v>4</v>
      </c>
      <c r="G2162" s="10" t="n">
        <v>260</v>
      </c>
      <c r="H2162" s="10" t="n">
        <f aca="false">F2162*G2162</f>
        <v>1040</v>
      </c>
      <c r="I2162" s="6" t="s">
        <v>5122</v>
      </c>
    </row>
    <row r="2163" customFormat="false" ht="15" hidden="false" customHeight="false" outlineLevel="0" collapsed="false">
      <c r="A2163" s="6" t="s">
        <v>7386</v>
      </c>
      <c r="B2163" s="6" t="s">
        <v>332</v>
      </c>
      <c r="C2163" s="26" t="n">
        <v>46100</v>
      </c>
      <c r="D2163" s="6" t="s">
        <v>5171</v>
      </c>
      <c r="E2163" s="6" t="s">
        <v>23</v>
      </c>
      <c r="F2163" s="6" t="n">
        <v>2</v>
      </c>
      <c r="G2163" s="10" t="n">
        <v>697</v>
      </c>
      <c r="H2163" s="10" t="n">
        <f aca="false">F2163*G2163</f>
        <v>1394</v>
      </c>
      <c r="I2163" s="6" t="s">
        <v>5122</v>
      </c>
    </row>
    <row r="2164" customFormat="false" ht="15" hidden="false" customHeight="false" outlineLevel="0" collapsed="false">
      <c r="A2164" s="6" t="s">
        <v>7387</v>
      </c>
      <c r="B2164" s="6" t="s">
        <v>3861</v>
      </c>
      <c r="C2164" s="26" t="n">
        <v>46100</v>
      </c>
      <c r="D2164" s="6" t="s">
        <v>5135</v>
      </c>
      <c r="E2164" s="6" t="s">
        <v>23</v>
      </c>
      <c r="F2164" s="6" t="n">
        <v>5</v>
      </c>
      <c r="G2164" s="10" t="n">
        <v>397</v>
      </c>
      <c r="H2164" s="10" t="n">
        <f aca="false">F2164*G2164</f>
        <v>1985</v>
      </c>
      <c r="I2164" s="6" t="s">
        <v>5148</v>
      </c>
    </row>
    <row r="2165" customFormat="false" ht="15" hidden="false" customHeight="false" outlineLevel="0" collapsed="false">
      <c r="A2165" s="6" t="s">
        <v>7388</v>
      </c>
      <c r="B2165" s="6" t="s">
        <v>989</v>
      </c>
      <c r="C2165" s="26" t="n">
        <v>46100</v>
      </c>
      <c r="D2165" s="6" t="s">
        <v>5137</v>
      </c>
      <c r="E2165" s="6" t="s">
        <v>21</v>
      </c>
      <c r="F2165" s="6" t="n">
        <v>1</v>
      </c>
      <c r="G2165" s="10" t="n">
        <v>1680</v>
      </c>
      <c r="H2165" s="10" t="n">
        <f aca="false">F2165*G2165</f>
        <v>1680</v>
      </c>
      <c r="I2165" s="6" t="s">
        <v>5133</v>
      </c>
    </row>
    <row r="2166" customFormat="false" ht="15" hidden="false" customHeight="false" outlineLevel="0" collapsed="false">
      <c r="A2166" s="6" t="s">
        <v>7389</v>
      </c>
      <c r="B2166" s="6" t="s">
        <v>3017</v>
      </c>
      <c r="C2166" s="26" t="n">
        <v>46100</v>
      </c>
      <c r="D2166" s="6" t="s">
        <v>5216</v>
      </c>
      <c r="E2166" s="6" t="s">
        <v>23</v>
      </c>
      <c r="F2166" s="6" t="n">
        <v>1</v>
      </c>
      <c r="G2166" s="10" t="n">
        <v>557</v>
      </c>
      <c r="H2166" s="10" t="n">
        <f aca="false">F2166*G2166</f>
        <v>557</v>
      </c>
      <c r="I2166" s="6" t="s">
        <v>5122</v>
      </c>
    </row>
    <row r="2167" customFormat="false" ht="15" hidden="false" customHeight="false" outlineLevel="0" collapsed="false">
      <c r="A2167" s="6" t="s">
        <v>7390</v>
      </c>
      <c r="B2167" s="6" t="s">
        <v>1181</v>
      </c>
      <c r="C2167" s="26" t="n">
        <v>46100</v>
      </c>
      <c r="D2167" s="6" t="s">
        <v>5163</v>
      </c>
      <c r="E2167" s="6" t="s">
        <v>23</v>
      </c>
      <c r="F2167" s="6" t="n">
        <v>3</v>
      </c>
      <c r="G2167" s="10" t="n">
        <v>744</v>
      </c>
      <c r="H2167" s="10" t="n">
        <f aca="false">F2167*G2167</f>
        <v>2232</v>
      </c>
      <c r="I2167" s="6" t="s">
        <v>5125</v>
      </c>
    </row>
    <row r="2168" customFormat="false" ht="15" hidden="false" customHeight="false" outlineLevel="0" collapsed="false">
      <c r="A2168" s="6" t="s">
        <v>7391</v>
      </c>
      <c r="B2168" s="6" t="s">
        <v>2669</v>
      </c>
      <c r="C2168" s="26" t="n">
        <v>46100</v>
      </c>
      <c r="D2168" s="6" t="s">
        <v>5237</v>
      </c>
      <c r="E2168" s="6" t="s">
        <v>24</v>
      </c>
      <c r="F2168" s="6" t="n">
        <v>1</v>
      </c>
      <c r="G2168" s="10" t="n">
        <v>1833</v>
      </c>
      <c r="H2168" s="10" t="n">
        <f aca="false">F2168*G2168</f>
        <v>1833</v>
      </c>
      <c r="I2168" s="6" t="s">
        <v>5130</v>
      </c>
    </row>
    <row r="2169" customFormat="false" ht="15" hidden="false" customHeight="false" outlineLevel="0" collapsed="false">
      <c r="A2169" s="6" t="s">
        <v>7392</v>
      </c>
      <c r="B2169" s="6" t="s">
        <v>2903</v>
      </c>
      <c r="C2169" s="26" t="n">
        <v>46100</v>
      </c>
      <c r="D2169" s="6" t="s">
        <v>5185</v>
      </c>
      <c r="E2169" s="6" t="s">
        <v>24</v>
      </c>
      <c r="F2169" s="6" t="n">
        <v>2</v>
      </c>
      <c r="G2169" s="10" t="n">
        <v>2033</v>
      </c>
      <c r="H2169" s="10" t="n">
        <f aca="false">F2169*G2169</f>
        <v>4066</v>
      </c>
      <c r="I2169" s="6" t="s">
        <v>5148</v>
      </c>
    </row>
    <row r="2170" customFormat="false" ht="15" hidden="false" customHeight="false" outlineLevel="0" collapsed="false">
      <c r="A2170" s="6" t="s">
        <v>7393</v>
      </c>
      <c r="B2170" s="6" t="s">
        <v>1013</v>
      </c>
      <c r="C2170" s="26" t="n">
        <v>46100</v>
      </c>
      <c r="D2170" s="6" t="s">
        <v>5180</v>
      </c>
      <c r="E2170" s="6" t="s">
        <v>24</v>
      </c>
      <c r="F2170" s="6" t="n">
        <v>1</v>
      </c>
      <c r="G2170" s="10" t="n">
        <v>1987</v>
      </c>
      <c r="H2170" s="10" t="n">
        <f aca="false">F2170*G2170</f>
        <v>1987</v>
      </c>
      <c r="I2170" s="6" t="s">
        <v>5173</v>
      </c>
    </row>
    <row r="2171" customFormat="false" ht="15" hidden="false" customHeight="false" outlineLevel="0" collapsed="false">
      <c r="A2171" s="6" t="s">
        <v>7394</v>
      </c>
      <c r="B2171" s="6" t="s">
        <v>4839</v>
      </c>
      <c r="C2171" s="26" t="n">
        <v>46100</v>
      </c>
      <c r="D2171" s="6" t="s">
        <v>5185</v>
      </c>
      <c r="E2171" s="6" t="s">
        <v>24</v>
      </c>
      <c r="F2171" s="6" t="n">
        <v>1</v>
      </c>
      <c r="G2171" s="10" t="n">
        <v>2140</v>
      </c>
      <c r="H2171" s="10" t="n">
        <f aca="false">F2171*G2171</f>
        <v>2140</v>
      </c>
      <c r="I2171" s="6" t="s">
        <v>5122</v>
      </c>
    </row>
    <row r="2172" customFormat="false" ht="15" hidden="false" customHeight="false" outlineLevel="0" collapsed="false">
      <c r="A2172" s="6" t="s">
        <v>7395</v>
      </c>
      <c r="B2172" s="6" t="s">
        <v>4553</v>
      </c>
      <c r="C2172" s="26" t="n">
        <v>46100</v>
      </c>
      <c r="D2172" s="6" t="s">
        <v>5180</v>
      </c>
      <c r="E2172" s="6" t="s">
        <v>24</v>
      </c>
      <c r="F2172" s="6" t="n">
        <v>2</v>
      </c>
      <c r="G2172" s="10" t="n">
        <v>1987</v>
      </c>
      <c r="H2172" s="10" t="n">
        <f aca="false">F2172*G2172</f>
        <v>3974</v>
      </c>
      <c r="I2172" s="6" t="s">
        <v>5148</v>
      </c>
    </row>
    <row r="2173" customFormat="false" ht="15" hidden="false" customHeight="false" outlineLevel="0" collapsed="false">
      <c r="A2173" s="6" t="s">
        <v>7396</v>
      </c>
      <c r="B2173" s="6" t="s">
        <v>2297</v>
      </c>
      <c r="C2173" s="26" t="n">
        <v>46100</v>
      </c>
      <c r="D2173" s="6" t="s">
        <v>5226</v>
      </c>
      <c r="E2173" s="6" t="s">
        <v>24</v>
      </c>
      <c r="F2173" s="6" t="n">
        <v>3</v>
      </c>
      <c r="G2173" s="10" t="n">
        <v>435</v>
      </c>
      <c r="H2173" s="10" t="n">
        <f aca="false">F2173*G2173</f>
        <v>1305</v>
      </c>
      <c r="I2173" s="6" t="s">
        <v>5122</v>
      </c>
    </row>
    <row r="2174" customFormat="false" ht="15" hidden="false" customHeight="false" outlineLevel="0" collapsed="false">
      <c r="A2174" s="6" t="s">
        <v>7397</v>
      </c>
      <c r="B2174" s="6" t="s">
        <v>3093</v>
      </c>
      <c r="C2174" s="26" t="n">
        <v>46100</v>
      </c>
      <c r="D2174" s="6" t="s">
        <v>5167</v>
      </c>
      <c r="E2174" s="6" t="s">
        <v>22</v>
      </c>
      <c r="F2174" s="6" t="n">
        <v>2</v>
      </c>
      <c r="G2174" s="10" t="n">
        <v>782</v>
      </c>
      <c r="H2174" s="10" t="n">
        <f aca="false">F2174*G2174</f>
        <v>1564</v>
      </c>
      <c r="I2174" s="6" t="s">
        <v>5148</v>
      </c>
    </row>
    <row r="2175" customFormat="false" ht="15" hidden="false" customHeight="false" outlineLevel="0" collapsed="false">
      <c r="A2175" s="6" t="s">
        <v>7398</v>
      </c>
      <c r="B2175" s="6" t="s">
        <v>277</v>
      </c>
      <c r="C2175" s="26" t="n">
        <v>46100</v>
      </c>
      <c r="D2175" s="6" t="s">
        <v>5185</v>
      </c>
      <c r="E2175" s="6" t="s">
        <v>24</v>
      </c>
      <c r="F2175" s="6" t="n">
        <v>1</v>
      </c>
      <c r="G2175" s="10" t="n">
        <v>2141</v>
      </c>
      <c r="H2175" s="10" t="n">
        <f aca="false">F2175*G2175</f>
        <v>2141</v>
      </c>
      <c r="I2175" s="6" t="s">
        <v>5148</v>
      </c>
    </row>
    <row r="2176" customFormat="false" ht="15" hidden="false" customHeight="false" outlineLevel="0" collapsed="false">
      <c r="A2176" s="6" t="s">
        <v>7399</v>
      </c>
      <c r="B2176" s="6" t="s">
        <v>4835</v>
      </c>
      <c r="C2176" s="26" t="n">
        <v>46100</v>
      </c>
      <c r="D2176" s="6" t="s">
        <v>5353</v>
      </c>
      <c r="E2176" s="6" t="s">
        <v>24</v>
      </c>
      <c r="F2176" s="6" t="n">
        <v>1</v>
      </c>
      <c r="G2176" s="10" t="n">
        <v>1466</v>
      </c>
      <c r="H2176" s="10" t="n">
        <f aca="false">F2176*G2176</f>
        <v>1466</v>
      </c>
      <c r="I2176" s="6" t="s">
        <v>5130</v>
      </c>
    </row>
    <row r="2177" customFormat="false" ht="15" hidden="false" customHeight="false" outlineLevel="0" collapsed="false">
      <c r="A2177" s="6" t="s">
        <v>7400</v>
      </c>
      <c r="B2177" s="6" t="s">
        <v>2731</v>
      </c>
      <c r="C2177" s="26" t="n">
        <v>46100</v>
      </c>
      <c r="D2177" s="6" t="s">
        <v>5538</v>
      </c>
      <c r="E2177" s="6" t="s">
        <v>21</v>
      </c>
      <c r="F2177" s="6" t="n">
        <v>1</v>
      </c>
      <c r="G2177" s="10" t="n">
        <v>5406</v>
      </c>
      <c r="H2177" s="10" t="n">
        <f aca="false">F2177*G2177</f>
        <v>5406</v>
      </c>
      <c r="I2177" s="6" t="s">
        <v>5130</v>
      </c>
    </row>
    <row r="2178" customFormat="false" ht="15" hidden="false" customHeight="false" outlineLevel="0" collapsed="false">
      <c r="A2178" s="6" t="s">
        <v>7401</v>
      </c>
      <c r="B2178" s="6" t="s">
        <v>833</v>
      </c>
      <c r="C2178" s="26" t="n">
        <v>46100</v>
      </c>
      <c r="D2178" s="6" t="s">
        <v>5807</v>
      </c>
      <c r="E2178" s="6" t="s">
        <v>20</v>
      </c>
      <c r="F2178" s="6" t="n">
        <v>1</v>
      </c>
      <c r="G2178" s="10" t="n">
        <v>14531</v>
      </c>
      <c r="H2178" s="10" t="n">
        <f aca="false">F2178*G2178</f>
        <v>14531</v>
      </c>
      <c r="I2178" s="6" t="s">
        <v>5133</v>
      </c>
    </row>
    <row r="2179" customFormat="false" ht="15" hidden="false" customHeight="false" outlineLevel="0" collapsed="false">
      <c r="A2179" s="6" t="s">
        <v>7402</v>
      </c>
      <c r="B2179" s="6" t="s">
        <v>1955</v>
      </c>
      <c r="C2179" s="26" t="n">
        <v>46100</v>
      </c>
      <c r="D2179" s="6" t="s">
        <v>5561</v>
      </c>
      <c r="E2179" s="6" t="s">
        <v>20</v>
      </c>
      <c r="F2179" s="6" t="n">
        <v>1</v>
      </c>
      <c r="G2179" s="10" t="n">
        <v>3195</v>
      </c>
      <c r="H2179" s="10" t="n">
        <f aca="false">F2179*G2179</f>
        <v>3195</v>
      </c>
      <c r="I2179" s="6" t="s">
        <v>5130</v>
      </c>
    </row>
    <row r="2180" customFormat="false" ht="15" hidden="false" customHeight="false" outlineLevel="0" collapsed="false">
      <c r="A2180" s="6" t="s">
        <v>7403</v>
      </c>
      <c r="B2180" s="6" t="s">
        <v>2199</v>
      </c>
      <c r="C2180" s="26" t="n">
        <v>46100</v>
      </c>
      <c r="D2180" s="6" t="s">
        <v>5165</v>
      </c>
      <c r="E2180" s="6" t="s">
        <v>22</v>
      </c>
      <c r="F2180" s="6" t="n">
        <v>3</v>
      </c>
      <c r="G2180" s="10" t="n">
        <v>977</v>
      </c>
      <c r="H2180" s="10" t="n">
        <f aca="false">F2180*G2180</f>
        <v>2931</v>
      </c>
      <c r="I2180" s="6" t="s">
        <v>5148</v>
      </c>
    </row>
    <row r="2181" customFormat="false" ht="15" hidden="false" customHeight="false" outlineLevel="0" collapsed="false">
      <c r="A2181" s="6" t="s">
        <v>7404</v>
      </c>
      <c r="B2181" s="6" t="s">
        <v>3587</v>
      </c>
      <c r="C2181" s="26" t="n">
        <v>46100</v>
      </c>
      <c r="D2181" s="6" t="s">
        <v>5538</v>
      </c>
      <c r="E2181" s="6" t="s">
        <v>21</v>
      </c>
      <c r="F2181" s="6" t="n">
        <v>1</v>
      </c>
      <c r="G2181" s="10" t="n">
        <v>5405</v>
      </c>
      <c r="H2181" s="10" t="n">
        <f aca="false">F2181*G2181</f>
        <v>5405</v>
      </c>
      <c r="I2181" s="6" t="s">
        <v>5122</v>
      </c>
    </row>
    <row r="2182" customFormat="false" ht="15" hidden="false" customHeight="false" outlineLevel="0" collapsed="false">
      <c r="A2182" s="6" t="s">
        <v>7405</v>
      </c>
      <c r="B2182" s="6" t="s">
        <v>4403</v>
      </c>
      <c r="C2182" s="26" t="n">
        <v>46100</v>
      </c>
      <c r="D2182" s="6" t="s">
        <v>5200</v>
      </c>
      <c r="E2182" s="6" t="s">
        <v>24</v>
      </c>
      <c r="F2182" s="6" t="n">
        <v>1</v>
      </c>
      <c r="G2182" s="10" t="n">
        <v>764</v>
      </c>
      <c r="H2182" s="10" t="n">
        <f aca="false">F2182*G2182</f>
        <v>764</v>
      </c>
      <c r="I2182" s="6" t="s">
        <v>5122</v>
      </c>
    </row>
    <row r="2183" customFormat="false" ht="15" hidden="false" customHeight="false" outlineLevel="0" collapsed="false">
      <c r="A2183" s="6" t="s">
        <v>7406</v>
      </c>
      <c r="B2183" s="6" t="s">
        <v>1313</v>
      </c>
      <c r="C2183" s="26" t="n">
        <v>46100</v>
      </c>
      <c r="D2183" s="6" t="s">
        <v>5423</v>
      </c>
      <c r="E2183" s="6" t="s">
        <v>21</v>
      </c>
      <c r="F2183" s="6" t="n">
        <v>1</v>
      </c>
      <c r="G2183" s="10" t="n">
        <v>3243</v>
      </c>
      <c r="H2183" s="10" t="n">
        <f aca="false">F2183*G2183</f>
        <v>3243</v>
      </c>
      <c r="I2183" s="6" t="s">
        <v>5122</v>
      </c>
    </row>
    <row r="2184" customFormat="false" ht="15" hidden="false" customHeight="false" outlineLevel="0" collapsed="false">
      <c r="A2184" s="6" t="s">
        <v>7407</v>
      </c>
      <c r="B2184" s="6" t="s">
        <v>2241</v>
      </c>
      <c r="C2184" s="26" t="n">
        <v>46100</v>
      </c>
      <c r="D2184" s="6" t="s">
        <v>5165</v>
      </c>
      <c r="E2184" s="6" t="s">
        <v>22</v>
      </c>
      <c r="F2184" s="6" t="n">
        <v>1</v>
      </c>
      <c r="G2184" s="10" t="n">
        <v>928</v>
      </c>
      <c r="H2184" s="10" t="n">
        <f aca="false">F2184*G2184</f>
        <v>928</v>
      </c>
      <c r="I2184" s="6" t="s">
        <v>5122</v>
      </c>
    </row>
    <row r="2185" customFormat="false" ht="15" hidden="false" customHeight="false" outlineLevel="0" collapsed="false">
      <c r="A2185" s="6" t="s">
        <v>7408</v>
      </c>
      <c r="B2185" s="6" t="s">
        <v>3321</v>
      </c>
      <c r="C2185" s="26" t="n">
        <v>46100</v>
      </c>
      <c r="D2185" s="6" t="s">
        <v>5398</v>
      </c>
      <c r="E2185" s="6" t="s">
        <v>24</v>
      </c>
      <c r="F2185" s="6" t="n">
        <v>2</v>
      </c>
      <c r="G2185" s="10" t="n">
        <v>549</v>
      </c>
      <c r="H2185" s="10" t="n">
        <f aca="false">F2185*G2185</f>
        <v>1098</v>
      </c>
      <c r="I2185" s="6" t="s">
        <v>5125</v>
      </c>
    </row>
    <row r="2186" customFormat="false" ht="15" hidden="false" customHeight="false" outlineLevel="0" collapsed="false">
      <c r="A2186" s="6" t="s">
        <v>7409</v>
      </c>
      <c r="B2186" s="6" t="s">
        <v>4267</v>
      </c>
      <c r="C2186" s="26" t="n">
        <v>46100</v>
      </c>
      <c r="D2186" s="6" t="s">
        <v>5127</v>
      </c>
      <c r="E2186" s="6" t="s">
        <v>21</v>
      </c>
      <c r="F2186" s="6" t="n">
        <v>1</v>
      </c>
      <c r="G2186" s="10" t="n">
        <v>884</v>
      </c>
      <c r="H2186" s="10" t="n">
        <f aca="false">F2186*G2186</f>
        <v>884</v>
      </c>
      <c r="I2186" s="6" t="s">
        <v>5130</v>
      </c>
    </row>
    <row r="2187" customFormat="false" ht="15" hidden="false" customHeight="false" outlineLevel="0" collapsed="false">
      <c r="A2187" s="6" t="s">
        <v>7410</v>
      </c>
      <c r="B2187" s="6" t="s">
        <v>4373</v>
      </c>
      <c r="C2187" s="26" t="n">
        <v>46100</v>
      </c>
      <c r="D2187" s="6" t="s">
        <v>5235</v>
      </c>
      <c r="E2187" s="6" t="s">
        <v>21</v>
      </c>
      <c r="F2187" s="6" t="n">
        <v>1</v>
      </c>
      <c r="G2187" s="10" t="n">
        <v>1670</v>
      </c>
      <c r="H2187" s="10" t="n">
        <f aca="false">F2187*G2187</f>
        <v>1670</v>
      </c>
      <c r="I2187" s="6" t="s">
        <v>5122</v>
      </c>
    </row>
    <row r="2188" customFormat="false" ht="15" hidden="false" customHeight="false" outlineLevel="0" collapsed="false">
      <c r="A2188" s="6" t="s">
        <v>7411</v>
      </c>
      <c r="B2188" s="6" t="s">
        <v>4707</v>
      </c>
      <c r="C2188" s="26" t="n">
        <v>46100</v>
      </c>
      <c r="D2188" s="6" t="s">
        <v>5235</v>
      </c>
      <c r="E2188" s="6" t="s">
        <v>21</v>
      </c>
      <c r="F2188" s="6" t="n">
        <v>3</v>
      </c>
      <c r="G2188" s="10" t="n">
        <v>1670</v>
      </c>
      <c r="H2188" s="10" t="n">
        <f aca="false">F2188*G2188</f>
        <v>5010</v>
      </c>
      <c r="I2188" s="6" t="s">
        <v>5122</v>
      </c>
    </row>
    <row r="2189" customFormat="false" ht="15" hidden="false" customHeight="false" outlineLevel="0" collapsed="false">
      <c r="A2189" s="6" t="s">
        <v>7412</v>
      </c>
      <c r="B2189" s="6" t="s">
        <v>3497</v>
      </c>
      <c r="C2189" s="26" t="n">
        <v>46100</v>
      </c>
      <c r="D2189" s="6" t="s">
        <v>5165</v>
      </c>
      <c r="E2189" s="6" t="s">
        <v>22</v>
      </c>
      <c r="F2189" s="6" t="n">
        <v>2</v>
      </c>
      <c r="G2189" s="10" t="n">
        <v>880</v>
      </c>
      <c r="H2189" s="10" t="n">
        <f aca="false">F2189*G2189</f>
        <v>1760</v>
      </c>
      <c r="I2189" s="6" t="s">
        <v>5148</v>
      </c>
    </row>
    <row r="2190" customFormat="false" ht="15" hidden="false" customHeight="false" outlineLevel="0" collapsed="false">
      <c r="A2190" s="6" t="s">
        <v>7413</v>
      </c>
      <c r="B2190" s="6" t="s">
        <v>3985</v>
      </c>
      <c r="C2190" s="26" t="n">
        <v>46100</v>
      </c>
      <c r="D2190" s="6" t="s">
        <v>5167</v>
      </c>
      <c r="E2190" s="6" t="s">
        <v>22</v>
      </c>
      <c r="F2190" s="6" t="n">
        <v>2</v>
      </c>
      <c r="G2190" s="10" t="n">
        <v>782</v>
      </c>
      <c r="H2190" s="10" t="n">
        <f aca="false">F2190*G2190</f>
        <v>1564</v>
      </c>
      <c r="I2190" s="6" t="s">
        <v>5125</v>
      </c>
    </row>
    <row r="2191" customFormat="false" ht="15" hidden="false" customHeight="false" outlineLevel="0" collapsed="false">
      <c r="A2191" s="6" t="s">
        <v>7414</v>
      </c>
      <c r="B2191" s="6" t="s">
        <v>2009</v>
      </c>
      <c r="C2191" s="26" t="n">
        <v>46100</v>
      </c>
      <c r="D2191" s="6" t="s">
        <v>5305</v>
      </c>
      <c r="E2191" s="6" t="s">
        <v>20</v>
      </c>
      <c r="F2191" s="6" t="n">
        <v>1</v>
      </c>
      <c r="G2191" s="10" t="n">
        <v>1631</v>
      </c>
      <c r="H2191" s="10" t="n">
        <f aca="false">F2191*G2191</f>
        <v>1631</v>
      </c>
      <c r="I2191" s="6" t="s">
        <v>5148</v>
      </c>
    </row>
    <row r="2192" customFormat="false" ht="15" hidden="false" customHeight="false" outlineLevel="0" collapsed="false">
      <c r="A2192" s="6" t="s">
        <v>7415</v>
      </c>
      <c r="B2192" s="6" t="s">
        <v>625</v>
      </c>
      <c r="C2192" s="26" t="n">
        <v>46101</v>
      </c>
      <c r="D2192" s="6" t="s">
        <v>5135</v>
      </c>
      <c r="E2192" s="6" t="s">
        <v>23</v>
      </c>
      <c r="F2192" s="6" t="n">
        <v>2</v>
      </c>
      <c r="G2192" s="10" t="n">
        <v>441</v>
      </c>
      <c r="H2192" s="10" t="n">
        <f aca="false">F2192*G2192</f>
        <v>882</v>
      </c>
      <c r="I2192" s="6" t="s">
        <v>5130</v>
      </c>
    </row>
    <row r="2193" customFormat="false" ht="15" hidden="false" customHeight="false" outlineLevel="0" collapsed="false">
      <c r="A2193" s="6" t="s">
        <v>7416</v>
      </c>
      <c r="B2193" s="6" t="s">
        <v>3583</v>
      </c>
      <c r="C2193" s="26" t="n">
        <v>46101</v>
      </c>
      <c r="D2193" s="6" t="s">
        <v>5345</v>
      </c>
      <c r="E2193" s="6" t="s">
        <v>23</v>
      </c>
      <c r="F2193" s="6" t="n">
        <v>4</v>
      </c>
      <c r="G2193" s="10" t="n">
        <v>436</v>
      </c>
      <c r="H2193" s="10" t="n">
        <f aca="false">F2193*G2193</f>
        <v>1744</v>
      </c>
      <c r="I2193" s="6" t="s">
        <v>5122</v>
      </c>
    </row>
    <row r="2194" customFormat="false" ht="15" hidden="false" customHeight="false" outlineLevel="0" collapsed="false">
      <c r="A2194" s="6" t="s">
        <v>7417</v>
      </c>
      <c r="B2194" s="6" t="s">
        <v>3925</v>
      </c>
      <c r="C2194" s="26" t="n">
        <v>46101</v>
      </c>
      <c r="D2194" s="6" t="s">
        <v>5641</v>
      </c>
      <c r="E2194" s="6" t="s">
        <v>22</v>
      </c>
      <c r="F2194" s="6" t="n">
        <v>3</v>
      </c>
      <c r="G2194" s="10" t="n">
        <v>2249</v>
      </c>
      <c r="H2194" s="10" t="n">
        <f aca="false">F2194*G2194</f>
        <v>6747</v>
      </c>
      <c r="I2194" s="6" t="s">
        <v>5148</v>
      </c>
    </row>
    <row r="2195" customFormat="false" ht="15" hidden="false" customHeight="false" outlineLevel="0" collapsed="false">
      <c r="A2195" s="6" t="s">
        <v>7418</v>
      </c>
      <c r="B2195" s="6" t="s">
        <v>2319</v>
      </c>
      <c r="C2195" s="26" t="n">
        <v>46101</v>
      </c>
      <c r="D2195" s="6" t="s">
        <v>5458</v>
      </c>
      <c r="E2195" s="6" t="s">
        <v>24</v>
      </c>
      <c r="F2195" s="6" t="n">
        <v>1</v>
      </c>
      <c r="G2195" s="10" t="n">
        <v>559</v>
      </c>
      <c r="H2195" s="10" t="n">
        <f aca="false">F2195*G2195</f>
        <v>559</v>
      </c>
      <c r="I2195" s="6" t="s">
        <v>5122</v>
      </c>
    </row>
    <row r="2196" customFormat="false" ht="15" hidden="false" customHeight="false" outlineLevel="0" collapsed="false">
      <c r="A2196" s="6" t="s">
        <v>7419</v>
      </c>
      <c r="B2196" s="6" t="s">
        <v>4907</v>
      </c>
      <c r="C2196" s="26" t="n">
        <v>46101</v>
      </c>
      <c r="D2196" s="6" t="s">
        <v>5171</v>
      </c>
      <c r="E2196" s="6" t="s">
        <v>23</v>
      </c>
      <c r="F2196" s="6" t="n">
        <v>5</v>
      </c>
      <c r="G2196" s="10" t="n">
        <v>734</v>
      </c>
      <c r="H2196" s="10" t="n">
        <f aca="false">F2196*G2196</f>
        <v>3670</v>
      </c>
      <c r="I2196" s="6" t="s">
        <v>5148</v>
      </c>
    </row>
    <row r="2197" customFormat="false" ht="15" hidden="false" customHeight="false" outlineLevel="0" collapsed="false">
      <c r="A2197" s="6" t="s">
        <v>7420</v>
      </c>
      <c r="B2197" s="6" t="s">
        <v>2375</v>
      </c>
      <c r="C2197" s="26" t="n">
        <v>46101</v>
      </c>
      <c r="D2197" s="6" t="s">
        <v>5224</v>
      </c>
      <c r="E2197" s="6" t="s">
        <v>23</v>
      </c>
      <c r="F2197" s="6" t="n">
        <v>4</v>
      </c>
      <c r="G2197" s="10" t="n">
        <v>195</v>
      </c>
      <c r="H2197" s="10" t="n">
        <f aca="false">F2197*G2197</f>
        <v>780</v>
      </c>
      <c r="I2197" s="6" t="s">
        <v>5130</v>
      </c>
    </row>
    <row r="2198" customFormat="false" ht="15" hidden="false" customHeight="false" outlineLevel="0" collapsed="false">
      <c r="A2198" s="6" t="s">
        <v>7421</v>
      </c>
      <c r="B2198" s="6" t="s">
        <v>955</v>
      </c>
      <c r="C2198" s="26" t="n">
        <v>46101</v>
      </c>
      <c r="D2198" s="6" t="s">
        <v>5190</v>
      </c>
      <c r="E2198" s="6" t="s">
        <v>24</v>
      </c>
      <c r="F2198" s="6" t="n">
        <v>2</v>
      </c>
      <c r="G2198" s="10" t="n">
        <v>549</v>
      </c>
      <c r="H2198" s="10" t="n">
        <f aca="false">F2198*G2198</f>
        <v>1098</v>
      </c>
      <c r="I2198" s="6" t="s">
        <v>5148</v>
      </c>
    </row>
    <row r="2199" customFormat="false" ht="15" hidden="false" customHeight="false" outlineLevel="0" collapsed="false">
      <c r="A2199" s="6" t="s">
        <v>7422</v>
      </c>
      <c r="B2199" s="6" t="s">
        <v>1463</v>
      </c>
      <c r="C2199" s="26" t="n">
        <v>46101</v>
      </c>
      <c r="D2199" s="6" t="s">
        <v>5121</v>
      </c>
      <c r="E2199" s="6" t="s">
        <v>22</v>
      </c>
      <c r="F2199" s="6" t="n">
        <v>1</v>
      </c>
      <c r="G2199" s="10" t="n">
        <v>977</v>
      </c>
      <c r="H2199" s="10" t="n">
        <f aca="false">F2199*G2199</f>
        <v>977</v>
      </c>
      <c r="I2199" s="6" t="s">
        <v>5125</v>
      </c>
    </row>
    <row r="2200" customFormat="false" ht="15" hidden="false" customHeight="false" outlineLevel="0" collapsed="false">
      <c r="A2200" s="6" t="s">
        <v>7423</v>
      </c>
      <c r="B2200" s="6" t="s">
        <v>4423</v>
      </c>
      <c r="C2200" s="26" t="n">
        <v>46101</v>
      </c>
      <c r="D2200" s="6" t="s">
        <v>5160</v>
      </c>
      <c r="E2200" s="6" t="s">
        <v>21</v>
      </c>
      <c r="F2200" s="6" t="n">
        <v>1</v>
      </c>
      <c r="G2200" s="10" t="n">
        <v>2751</v>
      </c>
      <c r="H2200" s="10" t="n">
        <f aca="false">F2200*G2200</f>
        <v>2751</v>
      </c>
      <c r="I2200" s="6" t="s">
        <v>5148</v>
      </c>
    </row>
    <row r="2201" customFormat="false" ht="15" hidden="false" customHeight="false" outlineLevel="0" collapsed="false">
      <c r="A2201" s="6" t="s">
        <v>7424</v>
      </c>
      <c r="B2201" s="6" t="s">
        <v>4863</v>
      </c>
      <c r="C2201" s="26" t="n">
        <v>46101</v>
      </c>
      <c r="D2201" s="6" t="s">
        <v>5121</v>
      </c>
      <c r="E2201" s="6" t="s">
        <v>22</v>
      </c>
      <c r="F2201" s="6" t="n">
        <v>2</v>
      </c>
      <c r="G2201" s="10" t="n">
        <v>928</v>
      </c>
      <c r="H2201" s="10" t="n">
        <f aca="false">F2201*G2201</f>
        <v>1856</v>
      </c>
      <c r="I2201" s="6" t="s">
        <v>5130</v>
      </c>
    </row>
    <row r="2202" customFormat="false" ht="15" hidden="false" customHeight="false" outlineLevel="0" collapsed="false">
      <c r="A2202" s="6" t="s">
        <v>7425</v>
      </c>
      <c r="B2202" s="6" t="s">
        <v>2765</v>
      </c>
      <c r="C2202" s="26" t="n">
        <v>46101</v>
      </c>
      <c r="D2202" s="6" t="s">
        <v>5165</v>
      </c>
      <c r="E2202" s="6" t="s">
        <v>22</v>
      </c>
      <c r="F2202" s="6" t="n">
        <v>2</v>
      </c>
      <c r="G2202" s="10" t="n">
        <v>977</v>
      </c>
      <c r="H2202" s="10" t="n">
        <f aca="false">F2202*G2202</f>
        <v>1954</v>
      </c>
      <c r="I2202" s="6" t="s">
        <v>5122</v>
      </c>
    </row>
    <row r="2203" customFormat="false" ht="15" hidden="false" customHeight="false" outlineLevel="0" collapsed="false">
      <c r="A2203" s="6" t="s">
        <v>7426</v>
      </c>
      <c r="B2203" s="6" t="s">
        <v>857</v>
      </c>
      <c r="C2203" s="26" t="n">
        <v>46101</v>
      </c>
      <c r="D2203" s="6" t="s">
        <v>5683</v>
      </c>
      <c r="E2203" s="6" t="s">
        <v>22</v>
      </c>
      <c r="F2203" s="6" t="n">
        <v>2</v>
      </c>
      <c r="G2203" s="10" t="n">
        <v>1672</v>
      </c>
      <c r="H2203" s="10" t="n">
        <f aca="false">F2203*G2203</f>
        <v>3344</v>
      </c>
      <c r="I2203" s="6" t="s">
        <v>5133</v>
      </c>
    </row>
    <row r="2204" customFormat="false" ht="15" hidden="false" customHeight="false" outlineLevel="0" collapsed="false">
      <c r="A2204" s="6" t="s">
        <v>7427</v>
      </c>
      <c r="B2204" s="6" t="s">
        <v>4965</v>
      </c>
      <c r="C2204" s="26" t="n">
        <v>46101</v>
      </c>
      <c r="D2204" s="6" t="s">
        <v>5163</v>
      </c>
      <c r="E2204" s="6" t="s">
        <v>23</v>
      </c>
      <c r="F2204" s="6" t="n">
        <v>1</v>
      </c>
      <c r="G2204" s="10" t="n">
        <v>704</v>
      </c>
      <c r="H2204" s="10" t="n">
        <f aca="false">F2204*G2204</f>
        <v>704</v>
      </c>
      <c r="I2204" s="6" t="s">
        <v>5130</v>
      </c>
    </row>
    <row r="2205" customFormat="false" ht="15" hidden="false" customHeight="false" outlineLevel="0" collapsed="false">
      <c r="A2205" s="6" t="s">
        <v>7428</v>
      </c>
      <c r="B2205" s="6" t="s">
        <v>3793</v>
      </c>
      <c r="C2205" s="26" t="n">
        <v>46101</v>
      </c>
      <c r="D2205" s="6" t="s">
        <v>5145</v>
      </c>
      <c r="E2205" s="6" t="s">
        <v>21</v>
      </c>
      <c r="F2205" s="6" t="n">
        <v>1</v>
      </c>
      <c r="G2205" s="10" t="n">
        <v>1277</v>
      </c>
      <c r="H2205" s="10" t="n">
        <f aca="false">F2205*G2205</f>
        <v>1277</v>
      </c>
      <c r="I2205" s="6" t="s">
        <v>5173</v>
      </c>
    </row>
    <row r="2206" customFormat="false" ht="15" hidden="false" customHeight="false" outlineLevel="0" collapsed="false">
      <c r="A2206" s="6" t="s">
        <v>7429</v>
      </c>
      <c r="B2206" s="6" t="s">
        <v>4587</v>
      </c>
      <c r="C2206" s="26" t="n">
        <v>46101</v>
      </c>
      <c r="D2206" s="6" t="s">
        <v>5171</v>
      </c>
      <c r="E2206" s="6" t="s">
        <v>23</v>
      </c>
      <c r="F2206" s="6" t="n">
        <v>1</v>
      </c>
      <c r="G2206" s="10" t="n">
        <v>733</v>
      </c>
      <c r="H2206" s="10" t="n">
        <f aca="false">F2206*G2206</f>
        <v>733</v>
      </c>
      <c r="I2206" s="6" t="s">
        <v>5125</v>
      </c>
    </row>
    <row r="2207" customFormat="false" ht="15" hidden="false" customHeight="false" outlineLevel="0" collapsed="false">
      <c r="A2207" s="6" t="s">
        <v>7430</v>
      </c>
      <c r="B2207" s="6" t="s">
        <v>3481</v>
      </c>
      <c r="C2207" s="26" t="n">
        <v>46101</v>
      </c>
      <c r="D2207" s="6" t="s">
        <v>5167</v>
      </c>
      <c r="E2207" s="6" t="s">
        <v>22</v>
      </c>
      <c r="F2207" s="6" t="n">
        <v>1</v>
      </c>
      <c r="G2207" s="10" t="n">
        <v>782</v>
      </c>
      <c r="H2207" s="10" t="n">
        <f aca="false">F2207*G2207</f>
        <v>782</v>
      </c>
      <c r="I2207" s="6" t="s">
        <v>5122</v>
      </c>
    </row>
    <row r="2208" customFormat="false" ht="15" hidden="false" customHeight="false" outlineLevel="0" collapsed="false">
      <c r="A2208" s="6" t="s">
        <v>7431</v>
      </c>
      <c r="B2208" s="6" t="s">
        <v>1031</v>
      </c>
      <c r="C2208" s="26" t="n">
        <v>46101</v>
      </c>
      <c r="D2208" s="6" t="s">
        <v>5383</v>
      </c>
      <c r="E2208" s="6" t="s">
        <v>20</v>
      </c>
      <c r="F2208" s="6" t="n">
        <v>1</v>
      </c>
      <c r="G2208" s="10" t="n">
        <v>1008</v>
      </c>
      <c r="H2208" s="10" t="n">
        <f aca="false">F2208*G2208</f>
        <v>1008</v>
      </c>
      <c r="I2208" s="6" t="s">
        <v>5148</v>
      </c>
    </row>
    <row r="2209" customFormat="false" ht="15" hidden="false" customHeight="false" outlineLevel="0" collapsed="false">
      <c r="A2209" s="6" t="s">
        <v>7432</v>
      </c>
      <c r="B2209" s="6" t="s">
        <v>1249</v>
      </c>
      <c r="C2209" s="26" t="n">
        <v>46101</v>
      </c>
      <c r="D2209" s="6" t="s">
        <v>5167</v>
      </c>
      <c r="E2209" s="6" t="s">
        <v>22</v>
      </c>
      <c r="F2209" s="6" t="n">
        <v>3</v>
      </c>
      <c r="G2209" s="10" t="n">
        <v>782</v>
      </c>
      <c r="H2209" s="10" t="n">
        <f aca="false">F2209*G2209</f>
        <v>2346</v>
      </c>
      <c r="I2209" s="6" t="s">
        <v>5122</v>
      </c>
    </row>
    <row r="2210" customFormat="false" ht="15" hidden="false" customHeight="false" outlineLevel="0" collapsed="false">
      <c r="A2210" s="6" t="s">
        <v>7433</v>
      </c>
      <c r="B2210" s="6" t="s">
        <v>1231</v>
      </c>
      <c r="C2210" s="26" t="n">
        <v>46101</v>
      </c>
      <c r="D2210" s="6" t="s">
        <v>5121</v>
      </c>
      <c r="E2210" s="6" t="s">
        <v>22</v>
      </c>
      <c r="F2210" s="6" t="n">
        <v>2</v>
      </c>
      <c r="G2210" s="10" t="n">
        <v>977</v>
      </c>
      <c r="H2210" s="10" t="n">
        <f aca="false">F2210*G2210</f>
        <v>1954</v>
      </c>
      <c r="I2210" s="6" t="s">
        <v>5148</v>
      </c>
    </row>
    <row r="2211" customFormat="false" ht="15" hidden="false" customHeight="false" outlineLevel="0" collapsed="false">
      <c r="A2211" s="6" t="s">
        <v>7434</v>
      </c>
      <c r="B2211" s="6" t="s">
        <v>154</v>
      </c>
      <c r="C2211" s="26" t="n">
        <v>46101</v>
      </c>
      <c r="D2211" s="6" t="s">
        <v>5749</v>
      </c>
      <c r="E2211" s="6" t="s">
        <v>20</v>
      </c>
      <c r="F2211" s="6" t="n">
        <v>1</v>
      </c>
      <c r="G2211" s="10" t="n">
        <v>774</v>
      </c>
      <c r="H2211" s="10" t="n">
        <f aca="false">F2211*G2211</f>
        <v>774</v>
      </c>
      <c r="I2211" s="6" t="s">
        <v>5122</v>
      </c>
    </row>
    <row r="2212" customFormat="false" ht="15" hidden="false" customHeight="false" outlineLevel="0" collapsed="false">
      <c r="A2212" s="6" t="s">
        <v>7435</v>
      </c>
      <c r="B2212" s="6" t="s">
        <v>1547</v>
      </c>
      <c r="C2212" s="26" t="n">
        <v>46102</v>
      </c>
      <c r="D2212" s="6" t="s">
        <v>5121</v>
      </c>
      <c r="E2212" s="6" t="s">
        <v>22</v>
      </c>
      <c r="F2212" s="6" t="n">
        <v>2</v>
      </c>
      <c r="G2212" s="10" t="n">
        <v>977</v>
      </c>
      <c r="H2212" s="10" t="n">
        <f aca="false">F2212*G2212</f>
        <v>1954</v>
      </c>
      <c r="I2212" s="6" t="s">
        <v>5122</v>
      </c>
    </row>
    <row r="2213" customFormat="false" ht="15" hidden="false" customHeight="false" outlineLevel="0" collapsed="false">
      <c r="A2213" s="6" t="s">
        <v>7436</v>
      </c>
      <c r="B2213" s="6" t="s">
        <v>2237</v>
      </c>
      <c r="C2213" s="26" t="n">
        <v>46102</v>
      </c>
      <c r="D2213" s="6" t="s">
        <v>5171</v>
      </c>
      <c r="E2213" s="6" t="s">
        <v>23</v>
      </c>
      <c r="F2213" s="6" t="n">
        <v>3</v>
      </c>
      <c r="G2213" s="10" t="n">
        <v>661</v>
      </c>
      <c r="H2213" s="10" t="n">
        <f aca="false">F2213*G2213</f>
        <v>1983</v>
      </c>
      <c r="I2213" s="6" t="s">
        <v>5130</v>
      </c>
    </row>
    <row r="2214" customFormat="false" ht="15" hidden="false" customHeight="false" outlineLevel="0" collapsed="false">
      <c r="A2214" s="6" t="s">
        <v>7437</v>
      </c>
      <c r="B2214" s="6" t="s">
        <v>2315</v>
      </c>
      <c r="C2214" s="26" t="n">
        <v>46102</v>
      </c>
      <c r="D2214" s="6" t="s">
        <v>5538</v>
      </c>
      <c r="E2214" s="6" t="s">
        <v>21</v>
      </c>
      <c r="F2214" s="6" t="n">
        <v>2</v>
      </c>
      <c r="G2214" s="10" t="n">
        <v>5405</v>
      </c>
      <c r="H2214" s="10" t="n">
        <f aca="false">F2214*G2214</f>
        <v>10810</v>
      </c>
      <c r="I2214" s="6" t="s">
        <v>5122</v>
      </c>
    </row>
    <row r="2215" customFormat="false" ht="15" hidden="false" customHeight="false" outlineLevel="0" collapsed="false">
      <c r="A2215" s="6" t="s">
        <v>7438</v>
      </c>
      <c r="B2215" s="6" t="s">
        <v>709</v>
      </c>
      <c r="C2215" s="26" t="n">
        <v>46102</v>
      </c>
      <c r="D2215" s="6" t="s">
        <v>5163</v>
      </c>
      <c r="E2215" s="6" t="s">
        <v>23</v>
      </c>
      <c r="F2215" s="6" t="n">
        <v>4</v>
      </c>
      <c r="G2215" s="10" t="n">
        <v>783</v>
      </c>
      <c r="H2215" s="10" t="n">
        <f aca="false">F2215*G2215</f>
        <v>3132</v>
      </c>
      <c r="I2215" s="6" t="s">
        <v>5122</v>
      </c>
    </row>
    <row r="2216" customFormat="false" ht="15" hidden="false" customHeight="false" outlineLevel="0" collapsed="false">
      <c r="A2216" s="6" t="s">
        <v>7439</v>
      </c>
      <c r="B2216" s="6" t="s">
        <v>2753</v>
      </c>
      <c r="C2216" s="26" t="n">
        <v>46102</v>
      </c>
      <c r="D2216" s="6" t="s">
        <v>5167</v>
      </c>
      <c r="E2216" s="6" t="s">
        <v>22</v>
      </c>
      <c r="F2216" s="6" t="n">
        <v>1</v>
      </c>
      <c r="G2216" s="10" t="n">
        <v>743</v>
      </c>
      <c r="H2216" s="10" t="n">
        <f aca="false">F2216*G2216</f>
        <v>743</v>
      </c>
      <c r="I2216" s="6" t="s">
        <v>5122</v>
      </c>
    </row>
    <row r="2217" customFormat="false" ht="15" hidden="false" customHeight="false" outlineLevel="0" collapsed="false">
      <c r="A2217" s="6" t="s">
        <v>7440</v>
      </c>
      <c r="B2217" s="6" t="s">
        <v>3813</v>
      </c>
      <c r="C2217" s="26" t="n">
        <v>46102</v>
      </c>
      <c r="D2217" s="6" t="s">
        <v>5121</v>
      </c>
      <c r="E2217" s="6" t="s">
        <v>22</v>
      </c>
      <c r="F2217" s="6" t="n">
        <v>3</v>
      </c>
      <c r="G2217" s="10" t="n">
        <v>928</v>
      </c>
      <c r="H2217" s="10" t="n">
        <f aca="false">F2217*G2217</f>
        <v>2784</v>
      </c>
      <c r="I2217" s="6" t="s">
        <v>5148</v>
      </c>
    </row>
    <row r="2218" customFormat="false" ht="15" hidden="false" customHeight="false" outlineLevel="0" collapsed="false">
      <c r="A2218" s="6" t="s">
        <v>7441</v>
      </c>
      <c r="B2218" s="6" t="s">
        <v>3715</v>
      </c>
      <c r="C2218" s="26" t="n">
        <v>46102</v>
      </c>
      <c r="D2218" s="6" t="s">
        <v>5318</v>
      </c>
      <c r="E2218" s="6" t="s">
        <v>20</v>
      </c>
      <c r="F2218" s="6" t="n">
        <v>1</v>
      </c>
      <c r="G2218" s="10" t="n">
        <v>1529</v>
      </c>
      <c r="H2218" s="10" t="n">
        <f aca="false">F2218*G2218</f>
        <v>1529</v>
      </c>
      <c r="I2218" s="6" t="s">
        <v>5130</v>
      </c>
    </row>
    <row r="2219" customFormat="false" ht="15" hidden="false" customHeight="false" outlineLevel="0" collapsed="false">
      <c r="A2219" s="6" t="s">
        <v>7442</v>
      </c>
      <c r="B2219" s="6" t="s">
        <v>2883</v>
      </c>
      <c r="C2219" s="26" t="n">
        <v>46102</v>
      </c>
      <c r="D2219" s="6" t="s">
        <v>5197</v>
      </c>
      <c r="E2219" s="6" t="s">
        <v>21</v>
      </c>
      <c r="F2219" s="6" t="n">
        <v>1</v>
      </c>
      <c r="G2219" s="10" t="n">
        <v>1026</v>
      </c>
      <c r="H2219" s="10" t="n">
        <f aca="false">F2219*G2219</f>
        <v>1026</v>
      </c>
      <c r="I2219" s="6" t="s">
        <v>5122</v>
      </c>
    </row>
    <row r="2220" customFormat="false" ht="15" hidden="false" customHeight="false" outlineLevel="0" collapsed="false">
      <c r="A2220" s="6" t="s">
        <v>7443</v>
      </c>
      <c r="B2220" s="6" t="s">
        <v>2741</v>
      </c>
      <c r="C2220" s="26" t="n">
        <v>46102</v>
      </c>
      <c r="D2220" s="6" t="s">
        <v>5561</v>
      </c>
      <c r="E2220" s="6" t="s">
        <v>20</v>
      </c>
      <c r="F2220" s="6" t="n">
        <v>1</v>
      </c>
      <c r="G2220" s="10" t="n">
        <v>3196</v>
      </c>
      <c r="H2220" s="10" t="n">
        <f aca="false">F2220*G2220</f>
        <v>3196</v>
      </c>
      <c r="I2220" s="6" t="s">
        <v>5122</v>
      </c>
    </row>
    <row r="2221" customFormat="false" ht="15" hidden="false" customHeight="false" outlineLevel="0" collapsed="false">
      <c r="A2221" s="6" t="s">
        <v>7444</v>
      </c>
      <c r="B2221" s="6" t="s">
        <v>4739</v>
      </c>
      <c r="C2221" s="26" t="n">
        <v>46102</v>
      </c>
      <c r="D2221" s="6" t="s">
        <v>5538</v>
      </c>
      <c r="E2221" s="6" t="s">
        <v>21</v>
      </c>
      <c r="F2221" s="6" t="n">
        <v>1</v>
      </c>
      <c r="G2221" s="10" t="n">
        <v>4865</v>
      </c>
      <c r="H2221" s="10" t="n">
        <f aca="false">F2221*G2221</f>
        <v>4865</v>
      </c>
      <c r="I2221" s="6" t="s">
        <v>5130</v>
      </c>
    </row>
    <row r="2222" customFormat="false" ht="15" hidden="false" customHeight="false" outlineLevel="0" collapsed="false">
      <c r="A2222" s="6" t="s">
        <v>7445</v>
      </c>
      <c r="B2222" s="6" t="s">
        <v>3495</v>
      </c>
      <c r="C2222" s="26" t="n">
        <v>46102</v>
      </c>
      <c r="D2222" s="6" t="s">
        <v>5145</v>
      </c>
      <c r="E2222" s="6" t="s">
        <v>21</v>
      </c>
      <c r="F2222" s="6" t="n">
        <v>1</v>
      </c>
      <c r="G2222" s="10" t="n">
        <v>1149</v>
      </c>
      <c r="H2222" s="10" t="n">
        <f aca="false">F2222*G2222</f>
        <v>1149</v>
      </c>
      <c r="I2222" s="6" t="s">
        <v>5122</v>
      </c>
    </row>
    <row r="2223" customFormat="false" ht="15" hidden="false" customHeight="false" outlineLevel="0" collapsed="false">
      <c r="A2223" s="6" t="s">
        <v>7446</v>
      </c>
      <c r="B2223" s="6" t="s">
        <v>5043</v>
      </c>
      <c r="C2223" s="26" t="n">
        <v>46102</v>
      </c>
      <c r="D2223" s="6" t="s">
        <v>5141</v>
      </c>
      <c r="E2223" s="6" t="s">
        <v>20</v>
      </c>
      <c r="F2223" s="6" t="n">
        <v>1</v>
      </c>
      <c r="G2223" s="10" t="n">
        <v>1742</v>
      </c>
      <c r="H2223" s="10" t="n">
        <f aca="false">F2223*G2223</f>
        <v>1742</v>
      </c>
      <c r="I2223" s="6" t="s">
        <v>5122</v>
      </c>
    </row>
    <row r="2224" customFormat="false" ht="15" hidden="false" customHeight="false" outlineLevel="0" collapsed="false">
      <c r="A2224" s="6" t="s">
        <v>7447</v>
      </c>
      <c r="B2224" s="6" t="s">
        <v>1785</v>
      </c>
      <c r="C2224" s="26" t="n">
        <v>46102</v>
      </c>
      <c r="D2224" s="6" t="s">
        <v>5863</v>
      </c>
      <c r="E2224" s="6" t="s">
        <v>20</v>
      </c>
      <c r="F2224" s="6" t="n">
        <v>1</v>
      </c>
      <c r="G2224" s="10" t="n">
        <v>20394</v>
      </c>
      <c r="H2224" s="10" t="n">
        <f aca="false">F2224*G2224</f>
        <v>20394</v>
      </c>
      <c r="I2224" s="6" t="s">
        <v>5133</v>
      </c>
    </row>
    <row r="2225" customFormat="false" ht="15" hidden="false" customHeight="false" outlineLevel="0" collapsed="false">
      <c r="A2225" s="6" t="s">
        <v>7448</v>
      </c>
      <c r="B2225" s="6" t="s">
        <v>4277</v>
      </c>
      <c r="C2225" s="26" t="n">
        <v>46102</v>
      </c>
      <c r="D2225" s="6" t="s">
        <v>5163</v>
      </c>
      <c r="E2225" s="6" t="s">
        <v>23</v>
      </c>
      <c r="F2225" s="6" t="n">
        <v>3</v>
      </c>
      <c r="G2225" s="10" t="n">
        <v>783</v>
      </c>
      <c r="H2225" s="10" t="n">
        <f aca="false">F2225*G2225</f>
        <v>2349</v>
      </c>
      <c r="I2225" s="6" t="s">
        <v>5148</v>
      </c>
    </row>
    <row r="2226" customFormat="false" ht="15" hidden="false" customHeight="false" outlineLevel="0" collapsed="false">
      <c r="A2226" s="6" t="s">
        <v>7449</v>
      </c>
      <c r="B2226" s="6" t="s">
        <v>1063</v>
      </c>
      <c r="C2226" s="26" t="n">
        <v>46102</v>
      </c>
      <c r="D2226" s="6" t="s">
        <v>5121</v>
      </c>
      <c r="E2226" s="6" t="s">
        <v>22</v>
      </c>
      <c r="F2226" s="6" t="n">
        <v>1</v>
      </c>
      <c r="G2226" s="10" t="n">
        <v>977</v>
      </c>
      <c r="H2226" s="10" t="n">
        <f aca="false">F2226*G2226</f>
        <v>977</v>
      </c>
      <c r="I2226" s="6" t="s">
        <v>5122</v>
      </c>
    </row>
    <row r="2227" customFormat="false" ht="15" hidden="false" customHeight="false" outlineLevel="0" collapsed="false">
      <c r="A2227" s="6" t="s">
        <v>7450</v>
      </c>
      <c r="B2227" s="6" t="s">
        <v>2915</v>
      </c>
      <c r="C2227" s="26" t="n">
        <v>46102</v>
      </c>
      <c r="D2227" s="6" t="s">
        <v>5145</v>
      </c>
      <c r="E2227" s="6" t="s">
        <v>21</v>
      </c>
      <c r="F2227" s="6" t="n">
        <v>1</v>
      </c>
      <c r="G2227" s="10" t="n">
        <v>1213</v>
      </c>
      <c r="H2227" s="10" t="n">
        <f aca="false">F2227*G2227</f>
        <v>1213</v>
      </c>
      <c r="I2227" s="6" t="s">
        <v>5125</v>
      </c>
    </row>
    <row r="2228" customFormat="false" ht="15" hidden="false" customHeight="false" outlineLevel="0" collapsed="false">
      <c r="A2228" s="6" t="s">
        <v>7451</v>
      </c>
      <c r="B2228" s="6" t="s">
        <v>2861</v>
      </c>
      <c r="C2228" s="26" t="n">
        <v>46102</v>
      </c>
      <c r="D2228" s="6" t="s">
        <v>5141</v>
      </c>
      <c r="E2228" s="6" t="s">
        <v>20</v>
      </c>
      <c r="F2228" s="6" t="n">
        <v>2</v>
      </c>
      <c r="G2228" s="10" t="n">
        <v>1835</v>
      </c>
      <c r="H2228" s="10" t="n">
        <f aca="false">F2228*G2228</f>
        <v>3670</v>
      </c>
      <c r="I2228" s="6" t="s">
        <v>5122</v>
      </c>
    </row>
    <row r="2229" customFormat="false" ht="15" hidden="false" customHeight="false" outlineLevel="0" collapsed="false">
      <c r="A2229" s="6" t="s">
        <v>7452</v>
      </c>
      <c r="B2229" s="6" t="s">
        <v>851</v>
      </c>
      <c r="C2229" s="26" t="n">
        <v>46102</v>
      </c>
      <c r="D2229" s="6" t="s">
        <v>5167</v>
      </c>
      <c r="E2229" s="6" t="s">
        <v>22</v>
      </c>
      <c r="F2229" s="6" t="n">
        <v>2</v>
      </c>
      <c r="G2229" s="10" t="n">
        <v>782</v>
      </c>
      <c r="H2229" s="10" t="n">
        <f aca="false">F2229*G2229</f>
        <v>1564</v>
      </c>
      <c r="I2229" s="6" t="s">
        <v>5148</v>
      </c>
    </row>
    <row r="2230" customFormat="false" ht="15" hidden="false" customHeight="false" outlineLevel="0" collapsed="false">
      <c r="A2230" s="6" t="s">
        <v>7453</v>
      </c>
      <c r="B2230" s="6" t="s">
        <v>2843</v>
      </c>
      <c r="C2230" s="26" t="n">
        <v>46102</v>
      </c>
      <c r="D2230" s="6" t="s">
        <v>5167</v>
      </c>
      <c r="E2230" s="6" t="s">
        <v>22</v>
      </c>
      <c r="F2230" s="6" t="n">
        <v>2</v>
      </c>
      <c r="G2230" s="10" t="n">
        <v>782</v>
      </c>
      <c r="H2230" s="10" t="n">
        <f aca="false">F2230*G2230</f>
        <v>1564</v>
      </c>
      <c r="I2230" s="6" t="s">
        <v>5125</v>
      </c>
    </row>
    <row r="2231" customFormat="false" ht="15" hidden="false" customHeight="false" outlineLevel="0" collapsed="false">
      <c r="A2231" s="6" t="s">
        <v>7454</v>
      </c>
      <c r="B2231" s="6" t="s">
        <v>3647</v>
      </c>
      <c r="C2231" s="26" t="n">
        <v>46102</v>
      </c>
      <c r="D2231" s="6" t="s">
        <v>5169</v>
      </c>
      <c r="E2231" s="6" t="s">
        <v>20</v>
      </c>
      <c r="F2231" s="6" t="n">
        <v>1</v>
      </c>
      <c r="G2231" s="10" t="n">
        <v>4588</v>
      </c>
      <c r="H2231" s="10" t="n">
        <f aca="false">F2231*G2231</f>
        <v>4588</v>
      </c>
      <c r="I2231" s="6" t="s">
        <v>5122</v>
      </c>
    </row>
    <row r="2232" customFormat="false" ht="15" hidden="false" customHeight="false" outlineLevel="0" collapsed="false">
      <c r="A2232" s="6" t="s">
        <v>7455</v>
      </c>
      <c r="B2232" s="6" t="s">
        <v>3157</v>
      </c>
      <c r="C2232" s="26" t="n">
        <v>46102</v>
      </c>
      <c r="D2232" s="6" t="s">
        <v>5167</v>
      </c>
      <c r="E2232" s="6" t="s">
        <v>22</v>
      </c>
      <c r="F2232" s="6" t="n">
        <v>1</v>
      </c>
      <c r="G2232" s="10" t="n">
        <v>703</v>
      </c>
      <c r="H2232" s="10" t="n">
        <f aca="false">F2232*G2232</f>
        <v>703</v>
      </c>
      <c r="I2232" s="6" t="s">
        <v>5130</v>
      </c>
    </row>
    <row r="2233" customFormat="false" ht="15" hidden="false" customHeight="false" outlineLevel="0" collapsed="false">
      <c r="A2233" s="6" t="s">
        <v>7456</v>
      </c>
      <c r="B2233" s="6" t="s">
        <v>1731</v>
      </c>
      <c r="C2233" s="26" t="n">
        <v>46102</v>
      </c>
      <c r="D2233" s="6" t="s">
        <v>5214</v>
      </c>
      <c r="E2233" s="6" t="s">
        <v>20</v>
      </c>
      <c r="F2233" s="6" t="n">
        <v>1</v>
      </c>
      <c r="G2233" s="10" t="n">
        <v>2038</v>
      </c>
      <c r="H2233" s="10" t="n">
        <f aca="false">F2233*G2233</f>
        <v>2038</v>
      </c>
      <c r="I2233" s="6" t="s">
        <v>5125</v>
      </c>
    </row>
    <row r="2234" customFormat="false" ht="15" hidden="false" customHeight="false" outlineLevel="0" collapsed="false">
      <c r="A2234" s="6" t="s">
        <v>7457</v>
      </c>
      <c r="B2234" s="6" t="s">
        <v>837</v>
      </c>
      <c r="C2234" s="26" t="n">
        <v>46102</v>
      </c>
      <c r="D2234" s="6" t="s">
        <v>5175</v>
      </c>
      <c r="E2234" s="6" t="s">
        <v>24</v>
      </c>
      <c r="F2234" s="6" t="n">
        <v>3</v>
      </c>
      <c r="G2234" s="10" t="n">
        <v>610</v>
      </c>
      <c r="H2234" s="10" t="n">
        <f aca="false">F2234*G2234</f>
        <v>1830</v>
      </c>
      <c r="I2234" s="6" t="s">
        <v>5133</v>
      </c>
    </row>
    <row r="2235" customFormat="false" ht="15" hidden="false" customHeight="false" outlineLevel="0" collapsed="false">
      <c r="A2235" s="6" t="s">
        <v>7458</v>
      </c>
      <c r="B2235" s="6" t="s">
        <v>3117</v>
      </c>
      <c r="C2235" s="26" t="n">
        <v>46102</v>
      </c>
      <c r="D2235" s="6" t="s">
        <v>5216</v>
      </c>
      <c r="E2235" s="6" t="s">
        <v>23</v>
      </c>
      <c r="F2235" s="6" t="n">
        <v>5</v>
      </c>
      <c r="G2235" s="10" t="n">
        <v>587</v>
      </c>
      <c r="H2235" s="10" t="n">
        <f aca="false">F2235*G2235</f>
        <v>2935</v>
      </c>
      <c r="I2235" s="6" t="s">
        <v>5148</v>
      </c>
    </row>
    <row r="2236" customFormat="false" ht="15" hidden="false" customHeight="false" outlineLevel="0" collapsed="false">
      <c r="A2236" s="6" t="s">
        <v>7459</v>
      </c>
      <c r="B2236" s="6" t="s">
        <v>4857</v>
      </c>
      <c r="C2236" s="26" t="n">
        <v>46102</v>
      </c>
      <c r="D2236" s="6" t="s">
        <v>5482</v>
      </c>
      <c r="E2236" s="6" t="s">
        <v>23</v>
      </c>
      <c r="F2236" s="6" t="n">
        <v>4</v>
      </c>
      <c r="G2236" s="10" t="n">
        <v>243</v>
      </c>
      <c r="H2236" s="10" t="n">
        <f aca="false">F2236*G2236</f>
        <v>972</v>
      </c>
      <c r="I2236" s="6" t="s">
        <v>5130</v>
      </c>
    </row>
    <row r="2237" customFormat="false" ht="15" hidden="false" customHeight="false" outlineLevel="0" collapsed="false">
      <c r="A2237" s="6" t="s">
        <v>7460</v>
      </c>
      <c r="B2237" s="6" t="s">
        <v>2689</v>
      </c>
      <c r="C2237" s="26" t="n">
        <v>46102</v>
      </c>
      <c r="D2237" s="6" t="s">
        <v>5237</v>
      </c>
      <c r="E2237" s="6" t="s">
        <v>24</v>
      </c>
      <c r="F2237" s="6" t="n">
        <v>1</v>
      </c>
      <c r="G2237" s="10" t="n">
        <v>1650</v>
      </c>
      <c r="H2237" s="10" t="n">
        <f aca="false">F2237*G2237</f>
        <v>1650</v>
      </c>
      <c r="I2237" s="6" t="s">
        <v>5148</v>
      </c>
    </row>
    <row r="2238" customFormat="false" ht="15" hidden="false" customHeight="false" outlineLevel="0" collapsed="false">
      <c r="A2238" s="6" t="s">
        <v>7461</v>
      </c>
      <c r="B2238" s="6" t="s">
        <v>4759</v>
      </c>
      <c r="C2238" s="26" t="n">
        <v>46102</v>
      </c>
      <c r="D2238" s="6" t="s">
        <v>5182</v>
      </c>
      <c r="E2238" s="6" t="s">
        <v>23</v>
      </c>
      <c r="F2238" s="6" t="n">
        <v>4</v>
      </c>
      <c r="G2238" s="10" t="n">
        <v>331</v>
      </c>
      <c r="H2238" s="10" t="n">
        <f aca="false">F2238*G2238</f>
        <v>1324</v>
      </c>
      <c r="I2238" s="6" t="s">
        <v>5122</v>
      </c>
    </row>
    <row r="2239" customFormat="false" ht="15" hidden="false" customHeight="false" outlineLevel="0" collapsed="false">
      <c r="A2239" s="6" t="s">
        <v>7462</v>
      </c>
      <c r="B2239" s="6" t="s">
        <v>1053</v>
      </c>
      <c r="C2239" s="26" t="n">
        <v>46102</v>
      </c>
      <c r="D2239" s="6" t="s">
        <v>5167</v>
      </c>
      <c r="E2239" s="6" t="s">
        <v>22</v>
      </c>
      <c r="F2239" s="6" t="n">
        <v>1</v>
      </c>
      <c r="G2239" s="10" t="n">
        <v>782</v>
      </c>
      <c r="H2239" s="10" t="n">
        <f aca="false">F2239*G2239</f>
        <v>782</v>
      </c>
      <c r="I2239" s="6" t="s">
        <v>5122</v>
      </c>
    </row>
    <row r="2240" customFormat="false" ht="15" hidden="false" customHeight="false" outlineLevel="0" collapsed="false">
      <c r="A2240" s="6" t="s">
        <v>7463</v>
      </c>
      <c r="B2240" s="6" t="s">
        <v>1487</v>
      </c>
      <c r="C2240" s="26" t="n">
        <v>46102</v>
      </c>
      <c r="D2240" s="6" t="s">
        <v>5132</v>
      </c>
      <c r="E2240" s="6" t="s">
        <v>23</v>
      </c>
      <c r="F2240" s="6" t="n">
        <v>4</v>
      </c>
      <c r="G2240" s="10" t="n">
        <v>308</v>
      </c>
      <c r="H2240" s="10" t="n">
        <f aca="false">F2240*G2240</f>
        <v>1232</v>
      </c>
      <c r="I2240" s="6" t="s">
        <v>5130</v>
      </c>
    </row>
    <row r="2241" customFormat="false" ht="15" hidden="false" customHeight="false" outlineLevel="0" collapsed="false">
      <c r="A2241" s="6" t="s">
        <v>7464</v>
      </c>
      <c r="B2241" s="6" t="s">
        <v>635</v>
      </c>
      <c r="C2241" s="26" t="n">
        <v>46103</v>
      </c>
      <c r="D2241" s="6" t="s">
        <v>5165</v>
      </c>
      <c r="E2241" s="6" t="s">
        <v>22</v>
      </c>
      <c r="F2241" s="6" t="n">
        <v>1</v>
      </c>
      <c r="G2241" s="10" t="n">
        <v>928</v>
      </c>
      <c r="H2241" s="10" t="n">
        <f aca="false">F2241*G2241</f>
        <v>928</v>
      </c>
      <c r="I2241" s="6" t="s">
        <v>5148</v>
      </c>
    </row>
    <row r="2242" customFormat="false" ht="15" hidden="false" customHeight="false" outlineLevel="0" collapsed="false">
      <c r="A2242" s="6" t="s">
        <v>7465</v>
      </c>
      <c r="B2242" s="6" t="s">
        <v>1587</v>
      </c>
      <c r="C2242" s="26" t="n">
        <v>46103</v>
      </c>
      <c r="D2242" s="6" t="s">
        <v>5163</v>
      </c>
      <c r="E2242" s="6" t="s">
        <v>23</v>
      </c>
      <c r="F2242" s="6" t="n">
        <v>3</v>
      </c>
      <c r="G2242" s="10" t="n">
        <v>783</v>
      </c>
      <c r="H2242" s="10" t="n">
        <f aca="false">F2242*G2242</f>
        <v>2349</v>
      </c>
      <c r="I2242" s="6" t="s">
        <v>5125</v>
      </c>
    </row>
    <row r="2243" customFormat="false" ht="15" hidden="false" customHeight="false" outlineLevel="0" collapsed="false">
      <c r="A2243" s="6" t="s">
        <v>7466</v>
      </c>
      <c r="B2243" s="6" t="s">
        <v>4575</v>
      </c>
      <c r="C2243" s="26" t="n">
        <v>46103</v>
      </c>
      <c r="D2243" s="6" t="s">
        <v>5240</v>
      </c>
      <c r="E2243" s="6" t="s">
        <v>20</v>
      </c>
      <c r="F2243" s="6" t="n">
        <v>1</v>
      </c>
      <c r="G2243" s="10" t="n">
        <v>5098</v>
      </c>
      <c r="H2243" s="10" t="n">
        <f aca="false">F2243*G2243</f>
        <v>5098</v>
      </c>
      <c r="I2243" s="6" t="s">
        <v>5122</v>
      </c>
    </row>
    <row r="2244" customFormat="false" ht="15" hidden="false" customHeight="false" outlineLevel="0" collapsed="false">
      <c r="A2244" s="6" t="s">
        <v>7467</v>
      </c>
      <c r="B2244" s="6" t="s">
        <v>3441</v>
      </c>
      <c r="C2244" s="26" t="n">
        <v>46103</v>
      </c>
      <c r="D2244" s="6" t="s">
        <v>5207</v>
      </c>
      <c r="E2244" s="6" t="s">
        <v>20</v>
      </c>
      <c r="F2244" s="6" t="n">
        <v>1</v>
      </c>
      <c r="G2244" s="10" t="n">
        <v>1325</v>
      </c>
      <c r="H2244" s="10" t="n">
        <f aca="false">F2244*G2244</f>
        <v>1325</v>
      </c>
      <c r="I2244" s="6" t="s">
        <v>5122</v>
      </c>
    </row>
    <row r="2245" customFormat="false" ht="15" hidden="false" customHeight="false" outlineLevel="0" collapsed="false">
      <c r="A2245" s="6" t="s">
        <v>7468</v>
      </c>
      <c r="B2245" s="6" t="s">
        <v>1473</v>
      </c>
      <c r="C2245" s="26" t="n">
        <v>46103</v>
      </c>
      <c r="D2245" s="6" t="s">
        <v>5129</v>
      </c>
      <c r="E2245" s="6" t="s">
        <v>21</v>
      </c>
      <c r="F2245" s="6" t="n">
        <v>1</v>
      </c>
      <c r="G2245" s="10" t="n">
        <v>589</v>
      </c>
      <c r="H2245" s="10" t="n">
        <f aca="false">F2245*G2245</f>
        <v>589</v>
      </c>
      <c r="I2245" s="6" t="s">
        <v>5125</v>
      </c>
    </row>
    <row r="2246" customFormat="false" ht="15" hidden="false" customHeight="false" outlineLevel="0" collapsed="false">
      <c r="A2246" s="6" t="s">
        <v>7469</v>
      </c>
      <c r="B2246" s="6" t="s">
        <v>162</v>
      </c>
      <c r="C2246" s="26" t="n">
        <v>46103</v>
      </c>
      <c r="D2246" s="6" t="s">
        <v>5171</v>
      </c>
      <c r="E2246" s="6" t="s">
        <v>23</v>
      </c>
      <c r="F2246" s="6" t="n">
        <v>5</v>
      </c>
      <c r="G2246" s="10" t="n">
        <v>697</v>
      </c>
      <c r="H2246" s="10" t="n">
        <f aca="false">F2246*G2246</f>
        <v>3485</v>
      </c>
      <c r="I2246" s="6" t="s">
        <v>5122</v>
      </c>
    </row>
    <row r="2247" customFormat="false" ht="15" hidden="false" customHeight="false" outlineLevel="0" collapsed="false">
      <c r="A2247" s="6" t="s">
        <v>7470</v>
      </c>
      <c r="B2247" s="6" t="s">
        <v>2559</v>
      </c>
      <c r="C2247" s="26" t="n">
        <v>46103</v>
      </c>
      <c r="D2247" s="6" t="s">
        <v>5269</v>
      </c>
      <c r="E2247" s="6" t="s">
        <v>22</v>
      </c>
      <c r="F2247" s="6" t="n">
        <v>1</v>
      </c>
      <c r="G2247" s="10" t="n">
        <v>1207</v>
      </c>
      <c r="H2247" s="10" t="n">
        <f aca="false">F2247*G2247</f>
        <v>1207</v>
      </c>
      <c r="I2247" s="6" t="s">
        <v>5148</v>
      </c>
    </row>
    <row r="2248" customFormat="false" ht="15" hidden="false" customHeight="false" outlineLevel="0" collapsed="false">
      <c r="A2248" s="6" t="s">
        <v>7471</v>
      </c>
      <c r="B2248" s="6" t="s">
        <v>5031</v>
      </c>
      <c r="C2248" s="26" t="n">
        <v>46103</v>
      </c>
      <c r="D2248" s="6" t="s">
        <v>5269</v>
      </c>
      <c r="E2248" s="6" t="s">
        <v>22</v>
      </c>
      <c r="F2248" s="6" t="n">
        <v>1</v>
      </c>
      <c r="G2248" s="10" t="n">
        <v>1271</v>
      </c>
      <c r="H2248" s="10" t="n">
        <f aca="false">F2248*G2248</f>
        <v>1271</v>
      </c>
      <c r="I2248" s="6" t="s">
        <v>5148</v>
      </c>
    </row>
    <row r="2249" customFormat="false" ht="15" hidden="false" customHeight="false" outlineLevel="0" collapsed="false">
      <c r="A2249" s="6" t="s">
        <v>7472</v>
      </c>
      <c r="B2249" s="6" t="s">
        <v>3849</v>
      </c>
      <c r="C2249" s="26" t="n">
        <v>46103</v>
      </c>
      <c r="D2249" s="6" t="s">
        <v>5216</v>
      </c>
      <c r="E2249" s="6" t="s">
        <v>23</v>
      </c>
      <c r="F2249" s="6" t="n">
        <v>5</v>
      </c>
      <c r="G2249" s="10" t="n">
        <v>528</v>
      </c>
      <c r="H2249" s="10" t="n">
        <f aca="false">F2249*G2249</f>
        <v>2640</v>
      </c>
      <c r="I2249" s="6" t="s">
        <v>5133</v>
      </c>
    </row>
    <row r="2250" customFormat="false" ht="15" hidden="false" customHeight="false" outlineLevel="0" collapsed="false">
      <c r="A2250" s="6" t="s">
        <v>7473</v>
      </c>
      <c r="B2250" s="6" t="s">
        <v>435</v>
      </c>
      <c r="C2250" s="26" t="n">
        <v>46103</v>
      </c>
      <c r="D2250" s="6" t="s">
        <v>5242</v>
      </c>
      <c r="E2250" s="6" t="s">
        <v>23</v>
      </c>
      <c r="F2250" s="6" t="n">
        <v>1</v>
      </c>
      <c r="G2250" s="10" t="n">
        <v>354</v>
      </c>
      <c r="H2250" s="10" t="n">
        <f aca="false">F2250*G2250</f>
        <v>354</v>
      </c>
      <c r="I2250" s="6" t="s">
        <v>5125</v>
      </c>
    </row>
    <row r="2251" customFormat="false" ht="15" hidden="false" customHeight="false" outlineLevel="0" collapsed="false">
      <c r="A2251" s="6" t="s">
        <v>7474</v>
      </c>
      <c r="B2251" s="6" t="s">
        <v>4785</v>
      </c>
      <c r="C2251" s="26" t="n">
        <v>46103</v>
      </c>
      <c r="D2251" s="6" t="s">
        <v>5180</v>
      </c>
      <c r="E2251" s="6" t="s">
        <v>24</v>
      </c>
      <c r="F2251" s="6" t="n">
        <v>3</v>
      </c>
      <c r="G2251" s="10" t="n">
        <v>1788</v>
      </c>
      <c r="H2251" s="10" t="n">
        <f aca="false">F2251*G2251</f>
        <v>5364</v>
      </c>
      <c r="I2251" s="6" t="s">
        <v>5130</v>
      </c>
    </row>
    <row r="2252" customFormat="false" ht="15" hidden="false" customHeight="false" outlineLevel="0" collapsed="false">
      <c r="A2252" s="6" t="s">
        <v>7475</v>
      </c>
      <c r="B2252" s="6" t="s">
        <v>4509</v>
      </c>
      <c r="C2252" s="26" t="n">
        <v>46103</v>
      </c>
      <c r="D2252" s="6" t="s">
        <v>5139</v>
      </c>
      <c r="E2252" s="6" t="s">
        <v>23</v>
      </c>
      <c r="F2252" s="6" t="n">
        <v>2</v>
      </c>
      <c r="G2252" s="10" t="n">
        <v>265</v>
      </c>
      <c r="H2252" s="10" t="n">
        <f aca="false">F2252*G2252</f>
        <v>530</v>
      </c>
      <c r="I2252" s="6" t="s">
        <v>5148</v>
      </c>
    </row>
    <row r="2253" customFormat="false" ht="15" hidden="false" customHeight="false" outlineLevel="0" collapsed="false">
      <c r="A2253" s="6" t="s">
        <v>7476</v>
      </c>
      <c r="B2253" s="6" t="s">
        <v>2135</v>
      </c>
      <c r="C2253" s="26" t="n">
        <v>46103</v>
      </c>
      <c r="D2253" s="6" t="s">
        <v>5383</v>
      </c>
      <c r="E2253" s="6" t="s">
        <v>20</v>
      </c>
      <c r="F2253" s="6" t="n">
        <v>1</v>
      </c>
      <c r="G2253" s="10" t="n">
        <v>1009</v>
      </c>
      <c r="H2253" s="10" t="n">
        <f aca="false">F2253*G2253</f>
        <v>1009</v>
      </c>
      <c r="I2253" s="6" t="s">
        <v>5125</v>
      </c>
    </row>
    <row r="2254" customFormat="false" ht="15" hidden="false" customHeight="false" outlineLevel="0" collapsed="false">
      <c r="A2254" s="6" t="s">
        <v>7477</v>
      </c>
      <c r="B2254" s="6" t="s">
        <v>2881</v>
      </c>
      <c r="C2254" s="26" t="n">
        <v>46103</v>
      </c>
      <c r="D2254" s="6" t="s">
        <v>5154</v>
      </c>
      <c r="E2254" s="6" t="s">
        <v>21</v>
      </c>
      <c r="F2254" s="6" t="n">
        <v>1</v>
      </c>
      <c r="G2254" s="10" t="n">
        <v>785</v>
      </c>
      <c r="H2254" s="10" t="n">
        <f aca="false">F2254*G2254</f>
        <v>785</v>
      </c>
      <c r="I2254" s="6" t="s">
        <v>5122</v>
      </c>
    </row>
    <row r="2255" customFormat="false" ht="15" hidden="false" customHeight="false" outlineLevel="0" collapsed="false">
      <c r="A2255" s="6" t="s">
        <v>7478</v>
      </c>
      <c r="B2255" s="6" t="s">
        <v>1539</v>
      </c>
      <c r="C2255" s="26" t="n">
        <v>46103</v>
      </c>
      <c r="D2255" s="6" t="s">
        <v>5129</v>
      </c>
      <c r="E2255" s="6" t="s">
        <v>21</v>
      </c>
      <c r="F2255" s="6" t="n">
        <v>2</v>
      </c>
      <c r="G2255" s="10" t="n">
        <v>589</v>
      </c>
      <c r="H2255" s="10" t="n">
        <f aca="false">F2255*G2255</f>
        <v>1178</v>
      </c>
      <c r="I2255" s="6" t="s">
        <v>5148</v>
      </c>
    </row>
    <row r="2256" customFormat="false" ht="15" hidden="false" customHeight="false" outlineLevel="0" collapsed="false">
      <c r="A2256" s="6" t="s">
        <v>7479</v>
      </c>
      <c r="B2256" s="6" t="s">
        <v>3593</v>
      </c>
      <c r="C2256" s="26" t="n">
        <v>46103</v>
      </c>
      <c r="D2256" s="6" t="s">
        <v>5687</v>
      </c>
      <c r="E2256" s="6" t="s">
        <v>20</v>
      </c>
      <c r="F2256" s="6" t="n">
        <v>1</v>
      </c>
      <c r="G2256" s="10" t="n">
        <v>2039</v>
      </c>
      <c r="H2256" s="10" t="n">
        <f aca="false">F2256*G2256</f>
        <v>2039</v>
      </c>
      <c r="I2256" s="6" t="s">
        <v>5122</v>
      </c>
    </row>
    <row r="2257" customFormat="false" ht="15" hidden="false" customHeight="false" outlineLevel="0" collapsed="false">
      <c r="A2257" s="6" t="s">
        <v>7480</v>
      </c>
      <c r="B2257" s="6" t="s">
        <v>4961</v>
      </c>
      <c r="C2257" s="26" t="n">
        <v>46103</v>
      </c>
      <c r="D2257" s="6" t="s">
        <v>5139</v>
      </c>
      <c r="E2257" s="6" t="s">
        <v>23</v>
      </c>
      <c r="F2257" s="6" t="n">
        <v>3</v>
      </c>
      <c r="G2257" s="10" t="n">
        <v>251</v>
      </c>
      <c r="H2257" s="10" t="n">
        <f aca="false">F2257*G2257</f>
        <v>753</v>
      </c>
      <c r="I2257" s="6" t="s">
        <v>5148</v>
      </c>
    </row>
    <row r="2258" customFormat="false" ht="15" hidden="false" customHeight="false" outlineLevel="0" collapsed="false">
      <c r="A2258" s="6" t="s">
        <v>7481</v>
      </c>
      <c r="B2258" s="6" t="s">
        <v>543</v>
      </c>
      <c r="C2258" s="26" t="n">
        <v>46103</v>
      </c>
      <c r="D2258" s="6" t="s">
        <v>5167</v>
      </c>
      <c r="E2258" s="6" t="s">
        <v>22</v>
      </c>
      <c r="F2258" s="6" t="n">
        <v>1</v>
      </c>
      <c r="G2258" s="10" t="n">
        <v>782</v>
      </c>
      <c r="H2258" s="10" t="n">
        <f aca="false">F2258*G2258</f>
        <v>782</v>
      </c>
      <c r="I2258" s="6" t="s">
        <v>5130</v>
      </c>
    </row>
    <row r="2259" customFormat="false" ht="15" hidden="false" customHeight="false" outlineLevel="0" collapsed="false">
      <c r="A2259" s="6" t="s">
        <v>7482</v>
      </c>
      <c r="B2259" s="6" t="s">
        <v>1333</v>
      </c>
      <c r="C2259" s="26" t="n">
        <v>46103</v>
      </c>
      <c r="D2259" s="6" t="s">
        <v>5641</v>
      </c>
      <c r="E2259" s="6" t="s">
        <v>22</v>
      </c>
      <c r="F2259" s="6" t="n">
        <v>1</v>
      </c>
      <c r="G2259" s="10" t="n">
        <v>2024</v>
      </c>
      <c r="H2259" s="10" t="n">
        <f aca="false">F2259*G2259</f>
        <v>2024</v>
      </c>
      <c r="I2259" s="6" t="s">
        <v>5125</v>
      </c>
    </row>
    <row r="2260" customFormat="false" ht="15" hidden="false" customHeight="false" outlineLevel="0" collapsed="false">
      <c r="A2260" s="6" t="s">
        <v>7483</v>
      </c>
      <c r="B2260" s="6" t="s">
        <v>2065</v>
      </c>
      <c r="C2260" s="26" t="n">
        <v>46103</v>
      </c>
      <c r="D2260" s="6" t="s">
        <v>5180</v>
      </c>
      <c r="E2260" s="6" t="s">
        <v>24</v>
      </c>
      <c r="F2260" s="6" t="n">
        <v>1</v>
      </c>
      <c r="G2260" s="10" t="n">
        <v>1987</v>
      </c>
      <c r="H2260" s="10" t="n">
        <f aca="false">F2260*G2260</f>
        <v>1987</v>
      </c>
      <c r="I2260" s="6" t="s">
        <v>5122</v>
      </c>
    </row>
    <row r="2261" customFormat="false" ht="15" hidden="false" customHeight="false" outlineLevel="0" collapsed="false">
      <c r="A2261" s="6" t="s">
        <v>7484</v>
      </c>
      <c r="B2261" s="6" t="s">
        <v>747</v>
      </c>
      <c r="C2261" s="26" t="n">
        <v>46103</v>
      </c>
      <c r="D2261" s="6" t="s">
        <v>5245</v>
      </c>
      <c r="E2261" s="6" t="s">
        <v>21</v>
      </c>
      <c r="F2261" s="6" t="n">
        <v>1</v>
      </c>
      <c r="G2261" s="10" t="n">
        <v>2211</v>
      </c>
      <c r="H2261" s="10" t="n">
        <f aca="false">F2261*G2261</f>
        <v>2211</v>
      </c>
      <c r="I2261" s="6" t="s">
        <v>5122</v>
      </c>
    </row>
    <row r="2262" customFormat="false" ht="15" hidden="false" customHeight="false" outlineLevel="0" collapsed="false">
      <c r="A2262" s="6" t="s">
        <v>7485</v>
      </c>
      <c r="B2262" s="6" t="s">
        <v>973</v>
      </c>
      <c r="C2262" s="26" t="n">
        <v>46103</v>
      </c>
      <c r="D2262" s="6" t="s">
        <v>5171</v>
      </c>
      <c r="E2262" s="6" t="s">
        <v>23</v>
      </c>
      <c r="F2262" s="6" t="n">
        <v>3</v>
      </c>
      <c r="G2262" s="10" t="n">
        <v>734</v>
      </c>
      <c r="H2262" s="10" t="n">
        <f aca="false">F2262*G2262</f>
        <v>2202</v>
      </c>
      <c r="I2262" s="6" t="s">
        <v>5148</v>
      </c>
    </row>
    <row r="2263" customFormat="false" ht="15" hidden="false" customHeight="false" outlineLevel="0" collapsed="false">
      <c r="A2263" s="6" t="s">
        <v>7486</v>
      </c>
      <c r="B2263" s="6" t="s">
        <v>4085</v>
      </c>
      <c r="C2263" s="26" t="n">
        <v>46103</v>
      </c>
      <c r="D2263" s="6" t="s">
        <v>5220</v>
      </c>
      <c r="E2263" s="6" t="s">
        <v>24</v>
      </c>
      <c r="F2263" s="6" t="n">
        <v>1</v>
      </c>
      <c r="G2263" s="10" t="n">
        <v>1120</v>
      </c>
      <c r="H2263" s="10" t="n">
        <f aca="false">F2263*G2263</f>
        <v>1120</v>
      </c>
      <c r="I2263" s="6" t="s">
        <v>5122</v>
      </c>
    </row>
    <row r="2264" customFormat="false" ht="15" hidden="false" customHeight="false" outlineLevel="0" collapsed="false">
      <c r="A2264" s="6" t="s">
        <v>7487</v>
      </c>
      <c r="B2264" s="6" t="s">
        <v>3277</v>
      </c>
      <c r="C2264" s="26" t="n">
        <v>46103</v>
      </c>
      <c r="D2264" s="6" t="s">
        <v>5129</v>
      </c>
      <c r="E2264" s="6" t="s">
        <v>21</v>
      </c>
      <c r="F2264" s="6" t="n">
        <v>1</v>
      </c>
      <c r="G2264" s="10" t="n">
        <v>589</v>
      </c>
      <c r="H2264" s="10" t="n">
        <f aca="false">F2264*G2264</f>
        <v>589</v>
      </c>
      <c r="I2264" s="6" t="s">
        <v>5122</v>
      </c>
    </row>
    <row r="2265" customFormat="false" ht="15" hidden="false" customHeight="false" outlineLevel="0" collapsed="false">
      <c r="A2265" s="6" t="s">
        <v>7488</v>
      </c>
      <c r="B2265" s="6" t="s">
        <v>317</v>
      </c>
      <c r="C2265" s="26" t="n">
        <v>46103</v>
      </c>
      <c r="D2265" s="6" t="s">
        <v>5167</v>
      </c>
      <c r="E2265" s="6" t="s">
        <v>22</v>
      </c>
      <c r="F2265" s="6" t="n">
        <v>1</v>
      </c>
      <c r="G2265" s="10" t="n">
        <v>743</v>
      </c>
      <c r="H2265" s="10" t="n">
        <f aca="false">F2265*G2265</f>
        <v>743</v>
      </c>
      <c r="I2265" s="6" t="s">
        <v>5148</v>
      </c>
    </row>
    <row r="2266" customFormat="false" ht="15" hidden="false" customHeight="false" outlineLevel="0" collapsed="false">
      <c r="A2266" s="6" t="s">
        <v>7489</v>
      </c>
      <c r="B2266" s="6" t="s">
        <v>977</v>
      </c>
      <c r="C2266" s="26" t="n">
        <v>46103</v>
      </c>
      <c r="D2266" s="6" t="s">
        <v>5214</v>
      </c>
      <c r="E2266" s="6" t="s">
        <v>20</v>
      </c>
      <c r="F2266" s="6" t="n">
        <v>1</v>
      </c>
      <c r="G2266" s="10" t="n">
        <v>2039</v>
      </c>
      <c r="H2266" s="10" t="n">
        <f aca="false">F2266*G2266</f>
        <v>2039</v>
      </c>
      <c r="I2266" s="6" t="s">
        <v>5148</v>
      </c>
    </row>
    <row r="2267" customFormat="false" ht="15" hidden="false" customHeight="false" outlineLevel="0" collapsed="false">
      <c r="A2267" s="6" t="s">
        <v>7490</v>
      </c>
      <c r="B2267" s="6" t="s">
        <v>3891</v>
      </c>
      <c r="C2267" s="26" t="n">
        <v>46103</v>
      </c>
      <c r="D2267" s="6" t="s">
        <v>5163</v>
      </c>
      <c r="E2267" s="6" t="s">
        <v>23</v>
      </c>
      <c r="F2267" s="6" t="n">
        <v>1</v>
      </c>
      <c r="G2267" s="10" t="n">
        <v>783</v>
      </c>
      <c r="H2267" s="10" t="n">
        <f aca="false">F2267*G2267</f>
        <v>783</v>
      </c>
      <c r="I2267" s="6" t="s">
        <v>5122</v>
      </c>
    </row>
    <row r="2268" customFormat="false" ht="15" hidden="false" customHeight="false" outlineLevel="0" collapsed="false">
      <c r="A2268" s="6" t="s">
        <v>7491</v>
      </c>
      <c r="B2268" s="6" t="s">
        <v>1251</v>
      </c>
      <c r="C2268" s="26" t="n">
        <v>46103</v>
      </c>
      <c r="D2268" s="6" t="s">
        <v>5410</v>
      </c>
      <c r="E2268" s="6" t="s">
        <v>20</v>
      </c>
      <c r="F2268" s="6" t="n">
        <v>1</v>
      </c>
      <c r="G2268" s="10" t="n">
        <v>2294</v>
      </c>
      <c r="H2268" s="10" t="n">
        <f aca="false">F2268*G2268</f>
        <v>2294</v>
      </c>
      <c r="I2268" s="6" t="s">
        <v>5122</v>
      </c>
    </row>
    <row r="2269" customFormat="false" ht="15" hidden="false" customHeight="false" outlineLevel="0" collapsed="false">
      <c r="A2269" s="6" t="s">
        <v>7492</v>
      </c>
      <c r="B2269" s="6" t="s">
        <v>1865</v>
      </c>
      <c r="C2269" s="26" t="n">
        <v>46103</v>
      </c>
      <c r="D2269" s="6" t="s">
        <v>5163</v>
      </c>
      <c r="E2269" s="6" t="s">
        <v>23</v>
      </c>
      <c r="F2269" s="6" t="n">
        <v>4</v>
      </c>
      <c r="G2269" s="10" t="n">
        <v>744</v>
      </c>
      <c r="H2269" s="10" t="n">
        <f aca="false">F2269*G2269</f>
        <v>2976</v>
      </c>
      <c r="I2269" s="6" t="s">
        <v>5173</v>
      </c>
    </row>
    <row r="2270" customFormat="false" ht="15" hidden="false" customHeight="false" outlineLevel="0" collapsed="false">
      <c r="A2270" s="6" t="s">
        <v>7493</v>
      </c>
      <c r="B2270" s="6" t="s">
        <v>2771</v>
      </c>
      <c r="C2270" s="26" t="n">
        <v>46103</v>
      </c>
      <c r="D2270" s="6" t="s">
        <v>5167</v>
      </c>
      <c r="E2270" s="6" t="s">
        <v>22</v>
      </c>
      <c r="F2270" s="6" t="n">
        <v>1</v>
      </c>
      <c r="G2270" s="10" t="n">
        <v>781</v>
      </c>
      <c r="H2270" s="10" t="n">
        <f aca="false">F2270*G2270</f>
        <v>781</v>
      </c>
      <c r="I2270" s="6" t="s">
        <v>5148</v>
      </c>
    </row>
    <row r="2271" customFormat="false" ht="15" hidden="false" customHeight="false" outlineLevel="0" collapsed="false">
      <c r="A2271" s="6" t="s">
        <v>7494</v>
      </c>
      <c r="B2271" s="6" t="s">
        <v>1369</v>
      </c>
      <c r="C2271" s="26" t="n">
        <v>46103</v>
      </c>
      <c r="D2271" s="6" t="s">
        <v>5154</v>
      </c>
      <c r="E2271" s="6" t="s">
        <v>21</v>
      </c>
      <c r="F2271" s="6" t="n">
        <v>2</v>
      </c>
      <c r="G2271" s="10" t="n">
        <v>707</v>
      </c>
      <c r="H2271" s="10" t="n">
        <f aca="false">F2271*G2271</f>
        <v>1414</v>
      </c>
      <c r="I2271" s="6" t="s">
        <v>5122</v>
      </c>
    </row>
    <row r="2272" customFormat="false" ht="15" hidden="false" customHeight="false" outlineLevel="0" collapsed="false">
      <c r="A2272" s="6" t="s">
        <v>7495</v>
      </c>
      <c r="B2272" s="6" t="s">
        <v>4461</v>
      </c>
      <c r="C2272" s="26" t="n">
        <v>46103</v>
      </c>
      <c r="D2272" s="6" t="s">
        <v>5145</v>
      </c>
      <c r="E2272" s="6" t="s">
        <v>21</v>
      </c>
      <c r="F2272" s="6" t="n">
        <v>1</v>
      </c>
      <c r="G2272" s="10" t="n">
        <v>1277</v>
      </c>
      <c r="H2272" s="10" t="n">
        <f aca="false">F2272*G2272</f>
        <v>1277</v>
      </c>
      <c r="I2272" s="6" t="s">
        <v>5173</v>
      </c>
    </row>
    <row r="2273" customFormat="false" ht="15" hidden="false" customHeight="false" outlineLevel="0" collapsed="false">
      <c r="A2273" s="6" t="s">
        <v>7496</v>
      </c>
      <c r="B2273" s="6" t="s">
        <v>4237</v>
      </c>
      <c r="C2273" s="26" t="n">
        <v>46103</v>
      </c>
      <c r="D2273" s="6" t="s">
        <v>5167</v>
      </c>
      <c r="E2273" s="6" t="s">
        <v>22</v>
      </c>
      <c r="F2273" s="6" t="n">
        <v>3</v>
      </c>
      <c r="G2273" s="10" t="n">
        <v>782</v>
      </c>
      <c r="H2273" s="10" t="n">
        <f aca="false">F2273*G2273</f>
        <v>2346</v>
      </c>
      <c r="I2273" s="6" t="s">
        <v>5122</v>
      </c>
    </row>
    <row r="2274" customFormat="false" ht="15" hidden="false" customHeight="false" outlineLevel="0" collapsed="false">
      <c r="A2274" s="6" t="s">
        <v>7497</v>
      </c>
      <c r="B2274" s="6" t="s">
        <v>833</v>
      </c>
      <c r="C2274" s="26" t="n">
        <v>46104</v>
      </c>
      <c r="D2274" s="6" t="s">
        <v>5269</v>
      </c>
      <c r="E2274" s="6" t="s">
        <v>22</v>
      </c>
      <c r="F2274" s="6" t="n">
        <v>1</v>
      </c>
      <c r="G2274" s="10" t="n">
        <v>1271</v>
      </c>
      <c r="H2274" s="10" t="n">
        <f aca="false">F2274*G2274</f>
        <v>1271</v>
      </c>
      <c r="I2274" s="6" t="s">
        <v>5122</v>
      </c>
    </row>
    <row r="2275" customFormat="false" ht="15" hidden="false" customHeight="false" outlineLevel="0" collapsed="false">
      <c r="A2275" s="6" t="s">
        <v>7498</v>
      </c>
      <c r="B2275" s="6" t="s">
        <v>1381</v>
      </c>
      <c r="C2275" s="26" t="n">
        <v>46104</v>
      </c>
      <c r="D2275" s="6" t="s">
        <v>5163</v>
      </c>
      <c r="E2275" s="6" t="s">
        <v>23</v>
      </c>
      <c r="F2275" s="6" t="n">
        <v>3</v>
      </c>
      <c r="G2275" s="10" t="n">
        <v>744</v>
      </c>
      <c r="H2275" s="10" t="n">
        <f aca="false">F2275*G2275</f>
        <v>2232</v>
      </c>
      <c r="I2275" s="6" t="s">
        <v>5133</v>
      </c>
    </row>
    <row r="2276" customFormat="false" ht="15" hidden="false" customHeight="false" outlineLevel="0" collapsed="false">
      <c r="A2276" s="6" t="s">
        <v>7499</v>
      </c>
      <c r="B2276" s="6" t="s">
        <v>2641</v>
      </c>
      <c r="C2276" s="26" t="n">
        <v>46104</v>
      </c>
      <c r="D2276" s="6" t="s">
        <v>5163</v>
      </c>
      <c r="E2276" s="6" t="s">
        <v>23</v>
      </c>
      <c r="F2276" s="6" t="n">
        <v>5</v>
      </c>
      <c r="G2276" s="10" t="n">
        <v>705</v>
      </c>
      <c r="H2276" s="10" t="n">
        <f aca="false">F2276*G2276</f>
        <v>3525</v>
      </c>
      <c r="I2276" s="6" t="s">
        <v>5122</v>
      </c>
    </row>
    <row r="2277" customFormat="false" ht="15" hidden="false" customHeight="false" outlineLevel="0" collapsed="false">
      <c r="A2277" s="6" t="s">
        <v>7500</v>
      </c>
      <c r="B2277" s="6" t="s">
        <v>4065</v>
      </c>
      <c r="C2277" s="26" t="n">
        <v>46104</v>
      </c>
      <c r="D2277" s="6" t="s">
        <v>5207</v>
      </c>
      <c r="E2277" s="6" t="s">
        <v>20</v>
      </c>
      <c r="F2277" s="6" t="n">
        <v>1</v>
      </c>
      <c r="G2277" s="10" t="n">
        <v>1325</v>
      </c>
      <c r="H2277" s="10" t="n">
        <f aca="false">F2277*G2277</f>
        <v>1325</v>
      </c>
      <c r="I2277" s="6" t="s">
        <v>5148</v>
      </c>
    </row>
    <row r="2278" customFormat="false" ht="15" hidden="false" customHeight="false" outlineLevel="0" collapsed="false">
      <c r="A2278" s="6" t="s">
        <v>7501</v>
      </c>
      <c r="B2278" s="6" t="s">
        <v>4129</v>
      </c>
      <c r="C2278" s="26" t="n">
        <v>46104</v>
      </c>
      <c r="D2278" s="6" t="s">
        <v>5167</v>
      </c>
      <c r="E2278" s="6" t="s">
        <v>22</v>
      </c>
      <c r="F2278" s="6" t="n">
        <v>2</v>
      </c>
      <c r="G2278" s="10" t="n">
        <v>703</v>
      </c>
      <c r="H2278" s="10" t="n">
        <f aca="false">F2278*G2278</f>
        <v>1406</v>
      </c>
      <c r="I2278" s="6" t="s">
        <v>5148</v>
      </c>
    </row>
    <row r="2279" customFormat="false" ht="15" hidden="false" customHeight="false" outlineLevel="0" collapsed="false">
      <c r="A2279" s="6" t="s">
        <v>7502</v>
      </c>
      <c r="B2279" s="6" t="s">
        <v>2589</v>
      </c>
      <c r="C2279" s="26" t="n">
        <v>46104</v>
      </c>
      <c r="D2279" s="6" t="s">
        <v>5167</v>
      </c>
      <c r="E2279" s="6" t="s">
        <v>22</v>
      </c>
      <c r="F2279" s="6" t="n">
        <v>2</v>
      </c>
      <c r="G2279" s="10" t="n">
        <v>782</v>
      </c>
      <c r="H2279" s="10" t="n">
        <f aca="false">F2279*G2279</f>
        <v>1564</v>
      </c>
      <c r="I2279" s="6" t="s">
        <v>5125</v>
      </c>
    </row>
    <row r="2280" customFormat="false" ht="15" hidden="false" customHeight="false" outlineLevel="0" collapsed="false">
      <c r="A2280" s="6" t="s">
        <v>7503</v>
      </c>
      <c r="B2280" s="6" t="s">
        <v>4779</v>
      </c>
      <c r="C2280" s="26" t="n">
        <v>46104</v>
      </c>
      <c r="D2280" s="6" t="s">
        <v>5167</v>
      </c>
      <c r="E2280" s="6" t="s">
        <v>22</v>
      </c>
      <c r="F2280" s="6" t="n">
        <v>1</v>
      </c>
      <c r="G2280" s="10" t="n">
        <v>782</v>
      </c>
      <c r="H2280" s="10" t="n">
        <f aca="false">F2280*G2280</f>
        <v>782</v>
      </c>
      <c r="I2280" s="6" t="s">
        <v>5122</v>
      </c>
    </row>
    <row r="2281" customFormat="false" ht="15" hidden="false" customHeight="false" outlineLevel="0" collapsed="false">
      <c r="A2281" s="6" t="s">
        <v>7504</v>
      </c>
      <c r="B2281" s="6" t="s">
        <v>2741</v>
      </c>
      <c r="C2281" s="26" t="n">
        <v>46104</v>
      </c>
      <c r="D2281" s="6" t="s">
        <v>5165</v>
      </c>
      <c r="E2281" s="6" t="s">
        <v>22</v>
      </c>
      <c r="F2281" s="6" t="n">
        <v>1</v>
      </c>
      <c r="G2281" s="10" t="n">
        <v>977</v>
      </c>
      <c r="H2281" s="10" t="n">
        <f aca="false">F2281*G2281</f>
        <v>977</v>
      </c>
      <c r="I2281" s="6" t="s">
        <v>5148</v>
      </c>
    </row>
    <row r="2282" customFormat="false" ht="15" hidden="false" customHeight="false" outlineLevel="0" collapsed="false">
      <c r="A2282" s="6" t="s">
        <v>7505</v>
      </c>
      <c r="B2282" s="6" t="s">
        <v>3789</v>
      </c>
      <c r="C2282" s="26" t="n">
        <v>46104</v>
      </c>
      <c r="D2282" s="6" t="s">
        <v>5154</v>
      </c>
      <c r="E2282" s="6" t="s">
        <v>21</v>
      </c>
      <c r="F2282" s="6" t="n">
        <v>1</v>
      </c>
      <c r="G2282" s="10" t="n">
        <v>746</v>
      </c>
      <c r="H2282" s="10" t="n">
        <f aca="false">F2282*G2282</f>
        <v>746</v>
      </c>
      <c r="I2282" s="6" t="s">
        <v>5122</v>
      </c>
    </row>
    <row r="2283" customFormat="false" ht="15" hidden="false" customHeight="false" outlineLevel="0" collapsed="false">
      <c r="A2283" s="6" t="s">
        <v>7506</v>
      </c>
      <c r="B2283" s="6" t="s">
        <v>905</v>
      </c>
      <c r="C2283" s="26" t="n">
        <v>46104</v>
      </c>
      <c r="D2283" s="6" t="s">
        <v>5522</v>
      </c>
      <c r="E2283" s="6" t="s">
        <v>21</v>
      </c>
      <c r="F2283" s="6" t="n">
        <v>2</v>
      </c>
      <c r="G2283" s="10" t="n">
        <v>11499</v>
      </c>
      <c r="H2283" s="10" t="n">
        <f aca="false">F2283*G2283</f>
        <v>22998</v>
      </c>
      <c r="I2283" s="6" t="s">
        <v>5148</v>
      </c>
    </row>
    <row r="2284" customFormat="false" ht="15" hidden="false" customHeight="false" outlineLevel="0" collapsed="false">
      <c r="A2284" s="6" t="s">
        <v>7507</v>
      </c>
      <c r="B2284" s="6" t="s">
        <v>3019</v>
      </c>
      <c r="C2284" s="26" t="n">
        <v>46104</v>
      </c>
      <c r="D2284" s="6" t="s">
        <v>5305</v>
      </c>
      <c r="E2284" s="6" t="s">
        <v>20</v>
      </c>
      <c r="F2284" s="6" t="n">
        <v>1</v>
      </c>
      <c r="G2284" s="10" t="n">
        <v>1631</v>
      </c>
      <c r="H2284" s="10" t="n">
        <f aca="false">F2284*G2284</f>
        <v>1631</v>
      </c>
      <c r="I2284" s="6" t="s">
        <v>5122</v>
      </c>
    </row>
    <row r="2285" customFormat="false" ht="15" hidden="false" customHeight="false" outlineLevel="0" collapsed="false">
      <c r="A2285" s="6" t="s">
        <v>7508</v>
      </c>
      <c r="B2285" s="6" t="s">
        <v>2077</v>
      </c>
      <c r="C2285" s="26" t="n">
        <v>46104</v>
      </c>
      <c r="D2285" s="6" t="s">
        <v>5141</v>
      </c>
      <c r="E2285" s="6" t="s">
        <v>20</v>
      </c>
      <c r="F2285" s="6" t="n">
        <v>1</v>
      </c>
      <c r="G2285" s="10" t="n">
        <v>1743</v>
      </c>
      <c r="H2285" s="10" t="n">
        <f aca="false">F2285*G2285</f>
        <v>1743</v>
      </c>
      <c r="I2285" s="6" t="s">
        <v>5130</v>
      </c>
    </row>
    <row r="2286" customFormat="false" ht="15" hidden="false" customHeight="false" outlineLevel="0" collapsed="false">
      <c r="A2286" s="6" t="s">
        <v>7509</v>
      </c>
      <c r="B2286" s="6" t="s">
        <v>543</v>
      </c>
      <c r="C2286" s="26" t="n">
        <v>46104</v>
      </c>
      <c r="D2286" s="6" t="s">
        <v>5121</v>
      </c>
      <c r="E2286" s="6" t="s">
        <v>22</v>
      </c>
      <c r="F2286" s="6" t="n">
        <v>1</v>
      </c>
      <c r="G2286" s="10" t="n">
        <v>977</v>
      </c>
      <c r="H2286" s="10" t="n">
        <f aca="false">F2286*G2286</f>
        <v>977</v>
      </c>
      <c r="I2286" s="6" t="s">
        <v>5133</v>
      </c>
    </row>
    <row r="2287" customFormat="false" ht="15" hidden="false" customHeight="false" outlineLevel="0" collapsed="false">
      <c r="A2287" s="6" t="s">
        <v>7510</v>
      </c>
      <c r="B2287" s="6" t="s">
        <v>1059</v>
      </c>
      <c r="C2287" s="26" t="n">
        <v>46104</v>
      </c>
      <c r="D2287" s="6" t="s">
        <v>5707</v>
      </c>
      <c r="E2287" s="6" t="s">
        <v>22</v>
      </c>
      <c r="F2287" s="6" t="n">
        <v>2</v>
      </c>
      <c r="G2287" s="10" t="n">
        <v>2200</v>
      </c>
      <c r="H2287" s="10" t="n">
        <f aca="false">F2287*G2287</f>
        <v>4400</v>
      </c>
      <c r="I2287" s="6" t="s">
        <v>5125</v>
      </c>
    </row>
    <row r="2288" customFormat="false" ht="15" hidden="false" customHeight="false" outlineLevel="0" collapsed="false">
      <c r="A2288" s="6" t="s">
        <v>7511</v>
      </c>
      <c r="B2288" s="6" t="s">
        <v>178</v>
      </c>
      <c r="C2288" s="26" t="n">
        <v>46104</v>
      </c>
      <c r="D2288" s="6" t="s">
        <v>5269</v>
      </c>
      <c r="E2288" s="6" t="s">
        <v>22</v>
      </c>
      <c r="F2288" s="6" t="n">
        <v>1</v>
      </c>
      <c r="G2288" s="10" t="n">
        <v>1144</v>
      </c>
      <c r="H2288" s="10" t="n">
        <f aca="false">F2288*G2288</f>
        <v>1144</v>
      </c>
      <c r="I2288" s="6" t="s">
        <v>5122</v>
      </c>
    </row>
    <row r="2289" customFormat="false" ht="15" hidden="false" customHeight="false" outlineLevel="0" collapsed="false">
      <c r="A2289" s="6" t="s">
        <v>7512</v>
      </c>
      <c r="B2289" s="6" t="s">
        <v>4033</v>
      </c>
      <c r="C2289" s="26" t="n">
        <v>46104</v>
      </c>
      <c r="D2289" s="6" t="s">
        <v>5154</v>
      </c>
      <c r="E2289" s="6" t="s">
        <v>21</v>
      </c>
      <c r="F2289" s="6" t="n">
        <v>1</v>
      </c>
      <c r="G2289" s="10" t="n">
        <v>785</v>
      </c>
      <c r="H2289" s="10" t="n">
        <f aca="false">F2289*G2289</f>
        <v>785</v>
      </c>
      <c r="I2289" s="6" t="s">
        <v>5125</v>
      </c>
    </row>
    <row r="2290" customFormat="false" ht="15" hidden="false" customHeight="false" outlineLevel="0" collapsed="false">
      <c r="A2290" s="6" t="s">
        <v>7513</v>
      </c>
      <c r="B2290" s="6" t="s">
        <v>4183</v>
      </c>
      <c r="C2290" s="26" t="n">
        <v>46104</v>
      </c>
      <c r="D2290" s="6" t="s">
        <v>5127</v>
      </c>
      <c r="E2290" s="6" t="s">
        <v>21</v>
      </c>
      <c r="F2290" s="6" t="n">
        <v>1</v>
      </c>
      <c r="G2290" s="10" t="n">
        <v>884</v>
      </c>
      <c r="H2290" s="10" t="n">
        <f aca="false">F2290*G2290</f>
        <v>884</v>
      </c>
      <c r="I2290" s="6" t="s">
        <v>5130</v>
      </c>
    </row>
    <row r="2291" customFormat="false" ht="15" hidden="false" customHeight="false" outlineLevel="0" collapsed="false">
      <c r="A2291" s="6" t="s">
        <v>7514</v>
      </c>
      <c r="B2291" s="6" t="s">
        <v>4591</v>
      </c>
      <c r="C2291" s="26" t="n">
        <v>46104</v>
      </c>
      <c r="D2291" s="6" t="s">
        <v>5192</v>
      </c>
      <c r="E2291" s="6" t="s">
        <v>20</v>
      </c>
      <c r="F2291" s="6" t="n">
        <v>1</v>
      </c>
      <c r="G2291" s="10" t="n">
        <v>4078</v>
      </c>
      <c r="H2291" s="10" t="n">
        <f aca="false">F2291*G2291</f>
        <v>4078</v>
      </c>
      <c r="I2291" s="6" t="s">
        <v>5130</v>
      </c>
    </row>
    <row r="2292" customFormat="false" ht="15" hidden="false" customHeight="false" outlineLevel="0" collapsed="false">
      <c r="A2292" s="6" t="s">
        <v>7515</v>
      </c>
      <c r="B2292" s="6" t="s">
        <v>4495</v>
      </c>
      <c r="C2292" s="26" t="n">
        <v>46104</v>
      </c>
      <c r="D2292" s="6" t="s">
        <v>5147</v>
      </c>
      <c r="E2292" s="6" t="s">
        <v>24</v>
      </c>
      <c r="F2292" s="6" t="n">
        <v>1</v>
      </c>
      <c r="G2292" s="10" t="n">
        <v>628</v>
      </c>
      <c r="H2292" s="10" t="n">
        <f aca="false">F2292*G2292</f>
        <v>628</v>
      </c>
      <c r="I2292" s="6" t="s">
        <v>5148</v>
      </c>
    </row>
    <row r="2293" customFormat="false" ht="15" hidden="false" customHeight="false" outlineLevel="0" collapsed="false">
      <c r="A2293" s="6" t="s">
        <v>7516</v>
      </c>
      <c r="B2293" s="6" t="s">
        <v>3993</v>
      </c>
      <c r="C2293" s="26" t="n">
        <v>46104</v>
      </c>
      <c r="D2293" s="6" t="s">
        <v>5318</v>
      </c>
      <c r="E2293" s="6" t="s">
        <v>20</v>
      </c>
      <c r="F2293" s="6" t="n">
        <v>1</v>
      </c>
      <c r="G2293" s="10" t="n">
        <v>1528</v>
      </c>
      <c r="H2293" s="10" t="n">
        <f aca="false">F2293*G2293</f>
        <v>1528</v>
      </c>
      <c r="I2293" s="6" t="s">
        <v>5133</v>
      </c>
    </row>
    <row r="2294" customFormat="false" ht="15" hidden="false" customHeight="false" outlineLevel="0" collapsed="false">
      <c r="A2294" s="6" t="s">
        <v>7517</v>
      </c>
      <c r="B2294" s="6" t="s">
        <v>262</v>
      </c>
      <c r="C2294" s="26" t="n">
        <v>46104</v>
      </c>
      <c r="D2294" s="6" t="s">
        <v>5154</v>
      </c>
      <c r="E2294" s="6" t="s">
        <v>21</v>
      </c>
      <c r="F2294" s="6" t="n">
        <v>1</v>
      </c>
      <c r="G2294" s="10" t="n">
        <v>785</v>
      </c>
      <c r="H2294" s="10" t="n">
        <f aca="false">F2294*G2294</f>
        <v>785</v>
      </c>
      <c r="I2294" s="6" t="s">
        <v>5122</v>
      </c>
    </row>
    <row r="2295" customFormat="false" ht="15" hidden="false" customHeight="false" outlineLevel="0" collapsed="false">
      <c r="A2295" s="6" t="s">
        <v>7518</v>
      </c>
      <c r="B2295" s="6" t="s">
        <v>519</v>
      </c>
      <c r="C2295" s="26" t="n">
        <v>46104</v>
      </c>
      <c r="D2295" s="6" t="s">
        <v>5237</v>
      </c>
      <c r="E2295" s="6" t="s">
        <v>24</v>
      </c>
      <c r="F2295" s="6" t="n">
        <v>2</v>
      </c>
      <c r="G2295" s="10" t="n">
        <v>1741</v>
      </c>
      <c r="H2295" s="10" t="n">
        <f aca="false">F2295*G2295</f>
        <v>3482</v>
      </c>
      <c r="I2295" s="6" t="s">
        <v>5148</v>
      </c>
    </row>
    <row r="2296" customFormat="false" ht="15" hidden="false" customHeight="false" outlineLevel="0" collapsed="false">
      <c r="A2296" s="6" t="s">
        <v>7519</v>
      </c>
      <c r="B2296" s="6" t="s">
        <v>3609</v>
      </c>
      <c r="C2296" s="26" t="n">
        <v>46104</v>
      </c>
      <c r="D2296" s="6" t="s">
        <v>5410</v>
      </c>
      <c r="E2296" s="6" t="s">
        <v>20</v>
      </c>
      <c r="F2296" s="6" t="n">
        <v>1</v>
      </c>
      <c r="G2296" s="10" t="n">
        <v>2548</v>
      </c>
      <c r="H2296" s="10" t="n">
        <f aca="false">F2296*G2296</f>
        <v>2548</v>
      </c>
      <c r="I2296" s="6" t="s">
        <v>5122</v>
      </c>
    </row>
    <row r="2297" customFormat="false" ht="15" hidden="false" customHeight="false" outlineLevel="0" collapsed="false">
      <c r="A2297" s="6" t="s">
        <v>7520</v>
      </c>
      <c r="B2297" s="6" t="s">
        <v>3891</v>
      </c>
      <c r="C2297" s="26" t="n">
        <v>46104</v>
      </c>
      <c r="D2297" s="6" t="s">
        <v>5163</v>
      </c>
      <c r="E2297" s="6" t="s">
        <v>23</v>
      </c>
      <c r="F2297" s="6" t="n">
        <v>2</v>
      </c>
      <c r="G2297" s="10" t="n">
        <v>783</v>
      </c>
      <c r="H2297" s="10" t="n">
        <f aca="false">F2297*G2297</f>
        <v>1566</v>
      </c>
      <c r="I2297" s="6" t="s">
        <v>5173</v>
      </c>
    </row>
    <row r="2298" customFormat="false" ht="15" hidden="false" customHeight="false" outlineLevel="0" collapsed="false">
      <c r="A2298" s="6" t="s">
        <v>7521</v>
      </c>
      <c r="B2298" s="6" t="s">
        <v>4835</v>
      </c>
      <c r="C2298" s="26" t="n">
        <v>46104</v>
      </c>
      <c r="D2298" s="6" t="s">
        <v>5121</v>
      </c>
      <c r="E2298" s="6" t="s">
        <v>22</v>
      </c>
      <c r="F2298" s="6" t="n">
        <v>2</v>
      </c>
      <c r="G2298" s="10" t="n">
        <v>928</v>
      </c>
      <c r="H2298" s="10" t="n">
        <f aca="false">F2298*G2298</f>
        <v>1856</v>
      </c>
      <c r="I2298" s="6" t="s">
        <v>5122</v>
      </c>
    </row>
    <row r="2299" customFormat="false" ht="15" hidden="false" customHeight="false" outlineLevel="0" collapsed="false">
      <c r="A2299" s="6" t="s">
        <v>7522</v>
      </c>
      <c r="B2299" s="6" t="s">
        <v>4017</v>
      </c>
      <c r="C2299" s="26" t="n">
        <v>46104</v>
      </c>
      <c r="D2299" s="6" t="s">
        <v>5245</v>
      </c>
      <c r="E2299" s="6" t="s">
        <v>21</v>
      </c>
      <c r="F2299" s="6" t="n">
        <v>2</v>
      </c>
      <c r="G2299" s="10" t="n">
        <v>2456</v>
      </c>
      <c r="H2299" s="10" t="n">
        <f aca="false">F2299*G2299</f>
        <v>4912</v>
      </c>
      <c r="I2299" s="6" t="s">
        <v>5130</v>
      </c>
    </row>
    <row r="2300" customFormat="false" ht="15" hidden="false" customHeight="false" outlineLevel="0" collapsed="false">
      <c r="A2300" s="6" t="s">
        <v>7523</v>
      </c>
      <c r="B2300" s="6" t="s">
        <v>1199</v>
      </c>
      <c r="C2300" s="26" t="n">
        <v>46104</v>
      </c>
      <c r="D2300" s="6" t="s">
        <v>5316</v>
      </c>
      <c r="E2300" s="6" t="s">
        <v>23</v>
      </c>
      <c r="F2300" s="6" t="n">
        <v>3</v>
      </c>
      <c r="G2300" s="10" t="n">
        <v>260</v>
      </c>
      <c r="H2300" s="10" t="n">
        <f aca="false">F2300*G2300</f>
        <v>780</v>
      </c>
      <c r="I2300" s="6" t="s">
        <v>5122</v>
      </c>
    </row>
    <row r="2301" customFormat="false" ht="15" hidden="false" customHeight="false" outlineLevel="0" collapsed="false">
      <c r="A2301" s="6" t="s">
        <v>7524</v>
      </c>
      <c r="B2301" s="6" t="s">
        <v>1327</v>
      </c>
      <c r="C2301" s="26" t="n">
        <v>46104</v>
      </c>
      <c r="D2301" s="6" t="s">
        <v>5165</v>
      </c>
      <c r="E2301" s="6" t="s">
        <v>22</v>
      </c>
      <c r="F2301" s="6" t="n">
        <v>2</v>
      </c>
      <c r="G2301" s="10" t="n">
        <v>977</v>
      </c>
      <c r="H2301" s="10" t="n">
        <f aca="false">F2301*G2301</f>
        <v>1954</v>
      </c>
      <c r="I2301" s="6" t="s">
        <v>5173</v>
      </c>
    </row>
    <row r="2302" customFormat="false" ht="15" hidden="false" customHeight="false" outlineLevel="0" collapsed="false">
      <c r="A2302" s="6" t="s">
        <v>7525</v>
      </c>
      <c r="B2302" s="6" t="s">
        <v>4845</v>
      </c>
      <c r="C2302" s="26" t="n">
        <v>46105</v>
      </c>
      <c r="D2302" s="6" t="s">
        <v>5163</v>
      </c>
      <c r="E2302" s="6" t="s">
        <v>23</v>
      </c>
      <c r="F2302" s="6" t="n">
        <v>1</v>
      </c>
      <c r="G2302" s="10" t="n">
        <v>782</v>
      </c>
      <c r="H2302" s="10" t="n">
        <f aca="false">F2302*G2302</f>
        <v>782</v>
      </c>
      <c r="I2302" s="6" t="s">
        <v>5148</v>
      </c>
    </row>
    <row r="2303" customFormat="false" ht="15" hidden="false" customHeight="false" outlineLevel="0" collapsed="false">
      <c r="A2303" s="6" t="s">
        <v>7526</v>
      </c>
      <c r="B2303" s="6" t="s">
        <v>1257</v>
      </c>
      <c r="C2303" s="26" t="n">
        <v>46105</v>
      </c>
      <c r="D2303" s="6" t="s">
        <v>5167</v>
      </c>
      <c r="E2303" s="6" t="s">
        <v>22</v>
      </c>
      <c r="F2303" s="6" t="n">
        <v>1</v>
      </c>
      <c r="G2303" s="10" t="n">
        <v>781</v>
      </c>
      <c r="H2303" s="10" t="n">
        <f aca="false">F2303*G2303</f>
        <v>781</v>
      </c>
      <c r="I2303" s="6" t="s">
        <v>5125</v>
      </c>
    </row>
    <row r="2304" customFormat="false" ht="15" hidden="false" customHeight="false" outlineLevel="0" collapsed="false">
      <c r="A2304" s="6" t="s">
        <v>7527</v>
      </c>
      <c r="B2304" s="6" t="s">
        <v>3365</v>
      </c>
      <c r="C2304" s="26" t="n">
        <v>46105</v>
      </c>
      <c r="D2304" s="6" t="s">
        <v>5167</v>
      </c>
      <c r="E2304" s="6" t="s">
        <v>22</v>
      </c>
      <c r="F2304" s="6" t="n">
        <v>1</v>
      </c>
      <c r="G2304" s="10" t="n">
        <v>702</v>
      </c>
      <c r="H2304" s="10" t="n">
        <f aca="false">F2304*G2304</f>
        <v>702</v>
      </c>
      <c r="I2304" s="6" t="s">
        <v>5122</v>
      </c>
    </row>
    <row r="2305" customFormat="false" ht="15" hidden="false" customHeight="false" outlineLevel="0" collapsed="false">
      <c r="A2305" s="6" t="s">
        <v>7528</v>
      </c>
      <c r="B2305" s="6" t="s">
        <v>987</v>
      </c>
      <c r="C2305" s="26" t="n">
        <v>46105</v>
      </c>
      <c r="D2305" s="6" t="s">
        <v>5145</v>
      </c>
      <c r="E2305" s="6" t="s">
        <v>21</v>
      </c>
      <c r="F2305" s="6" t="n">
        <v>1</v>
      </c>
      <c r="G2305" s="10" t="n">
        <v>1149</v>
      </c>
      <c r="H2305" s="10" t="n">
        <f aca="false">F2305*G2305</f>
        <v>1149</v>
      </c>
      <c r="I2305" s="6" t="s">
        <v>5122</v>
      </c>
    </row>
    <row r="2306" customFormat="false" ht="15" hidden="false" customHeight="false" outlineLevel="0" collapsed="false">
      <c r="A2306" s="6" t="s">
        <v>7529</v>
      </c>
      <c r="B2306" s="6" t="s">
        <v>3715</v>
      </c>
      <c r="C2306" s="26" t="n">
        <v>46105</v>
      </c>
      <c r="D2306" s="6" t="s">
        <v>5357</v>
      </c>
      <c r="E2306" s="6" t="s">
        <v>23</v>
      </c>
      <c r="F2306" s="6" t="n">
        <v>2</v>
      </c>
      <c r="G2306" s="10" t="n">
        <v>534</v>
      </c>
      <c r="H2306" s="10" t="n">
        <f aca="false">F2306*G2306</f>
        <v>1068</v>
      </c>
      <c r="I2306" s="6" t="s">
        <v>5148</v>
      </c>
    </row>
    <row r="2307" customFormat="false" ht="15" hidden="false" customHeight="false" outlineLevel="0" collapsed="false">
      <c r="A2307" s="6" t="s">
        <v>7530</v>
      </c>
      <c r="B2307" s="6" t="s">
        <v>4637</v>
      </c>
      <c r="C2307" s="26" t="n">
        <v>46105</v>
      </c>
      <c r="D2307" s="6" t="s">
        <v>5357</v>
      </c>
      <c r="E2307" s="6" t="s">
        <v>23</v>
      </c>
      <c r="F2307" s="6" t="n">
        <v>1</v>
      </c>
      <c r="G2307" s="10" t="n">
        <v>534</v>
      </c>
      <c r="H2307" s="10" t="n">
        <f aca="false">F2307*G2307</f>
        <v>534</v>
      </c>
      <c r="I2307" s="6" t="s">
        <v>5148</v>
      </c>
    </row>
    <row r="2308" customFormat="false" ht="15" hidden="false" customHeight="false" outlineLevel="0" collapsed="false">
      <c r="A2308" s="6" t="s">
        <v>7531</v>
      </c>
      <c r="B2308" s="6" t="s">
        <v>1379</v>
      </c>
      <c r="C2308" s="26" t="n">
        <v>46105</v>
      </c>
      <c r="D2308" s="6" t="s">
        <v>5169</v>
      </c>
      <c r="E2308" s="6" t="s">
        <v>20</v>
      </c>
      <c r="F2308" s="6" t="n">
        <v>1</v>
      </c>
      <c r="G2308" s="10" t="n">
        <v>5097</v>
      </c>
      <c r="H2308" s="10" t="n">
        <f aca="false">F2308*G2308</f>
        <v>5097</v>
      </c>
      <c r="I2308" s="6" t="s">
        <v>5148</v>
      </c>
    </row>
    <row r="2309" customFormat="false" ht="15" hidden="false" customHeight="false" outlineLevel="0" collapsed="false">
      <c r="A2309" s="6" t="s">
        <v>7532</v>
      </c>
      <c r="B2309" s="6" t="s">
        <v>4891</v>
      </c>
      <c r="C2309" s="26" t="n">
        <v>46105</v>
      </c>
      <c r="D2309" s="6" t="s">
        <v>5466</v>
      </c>
      <c r="E2309" s="6" t="s">
        <v>21</v>
      </c>
      <c r="F2309" s="6" t="n">
        <v>1</v>
      </c>
      <c r="G2309" s="10" t="n">
        <v>1965</v>
      </c>
      <c r="H2309" s="10" t="n">
        <f aca="false">F2309*G2309</f>
        <v>1965</v>
      </c>
      <c r="I2309" s="6" t="s">
        <v>5130</v>
      </c>
    </row>
    <row r="2310" customFormat="false" ht="15" hidden="false" customHeight="false" outlineLevel="0" collapsed="false">
      <c r="A2310" s="6" t="s">
        <v>7533</v>
      </c>
      <c r="B2310" s="6" t="s">
        <v>931</v>
      </c>
      <c r="C2310" s="26" t="n">
        <v>46105</v>
      </c>
      <c r="D2310" s="6" t="s">
        <v>5152</v>
      </c>
      <c r="E2310" s="6" t="s">
        <v>22</v>
      </c>
      <c r="F2310" s="6" t="n">
        <v>1</v>
      </c>
      <c r="G2310" s="10" t="n">
        <v>1760</v>
      </c>
      <c r="H2310" s="10" t="n">
        <f aca="false">F2310*G2310</f>
        <v>1760</v>
      </c>
      <c r="I2310" s="6" t="s">
        <v>5148</v>
      </c>
    </row>
    <row r="2311" customFormat="false" ht="15" hidden="false" customHeight="false" outlineLevel="0" collapsed="false">
      <c r="A2311" s="6" t="s">
        <v>7534</v>
      </c>
      <c r="B2311" s="6" t="s">
        <v>3943</v>
      </c>
      <c r="C2311" s="26" t="n">
        <v>46105</v>
      </c>
      <c r="D2311" s="6" t="s">
        <v>5167</v>
      </c>
      <c r="E2311" s="6" t="s">
        <v>22</v>
      </c>
      <c r="F2311" s="6" t="n">
        <v>1</v>
      </c>
      <c r="G2311" s="10" t="n">
        <v>743</v>
      </c>
      <c r="H2311" s="10" t="n">
        <f aca="false">F2311*G2311</f>
        <v>743</v>
      </c>
      <c r="I2311" s="6" t="s">
        <v>5148</v>
      </c>
    </row>
    <row r="2312" customFormat="false" ht="15" hidden="false" customHeight="false" outlineLevel="0" collapsed="false">
      <c r="A2312" s="6" t="s">
        <v>7535</v>
      </c>
      <c r="B2312" s="6" t="s">
        <v>1843</v>
      </c>
      <c r="C2312" s="26" t="n">
        <v>46105</v>
      </c>
      <c r="D2312" s="6" t="s">
        <v>5171</v>
      </c>
      <c r="E2312" s="6" t="s">
        <v>23</v>
      </c>
      <c r="F2312" s="6" t="n">
        <v>3</v>
      </c>
      <c r="G2312" s="10" t="n">
        <v>697</v>
      </c>
      <c r="H2312" s="10" t="n">
        <f aca="false">F2312*G2312</f>
        <v>2091</v>
      </c>
      <c r="I2312" s="6" t="s">
        <v>5148</v>
      </c>
    </row>
    <row r="2313" customFormat="false" ht="15" hidden="false" customHeight="false" outlineLevel="0" collapsed="false">
      <c r="A2313" s="6" t="s">
        <v>7536</v>
      </c>
      <c r="B2313" s="6" t="s">
        <v>1069</v>
      </c>
      <c r="C2313" s="26" t="n">
        <v>46105</v>
      </c>
      <c r="D2313" s="6" t="s">
        <v>5139</v>
      </c>
      <c r="E2313" s="6" t="s">
        <v>23</v>
      </c>
      <c r="F2313" s="6" t="n">
        <v>2</v>
      </c>
      <c r="G2313" s="10" t="n">
        <v>251</v>
      </c>
      <c r="H2313" s="10" t="n">
        <f aca="false">F2313*G2313</f>
        <v>502</v>
      </c>
      <c r="I2313" s="6" t="s">
        <v>5122</v>
      </c>
    </row>
    <row r="2314" customFormat="false" ht="15" hidden="false" customHeight="false" outlineLevel="0" collapsed="false">
      <c r="A2314" s="6" t="s">
        <v>7537</v>
      </c>
      <c r="B2314" s="6" t="s">
        <v>4221</v>
      </c>
      <c r="C2314" s="26" t="n">
        <v>46105</v>
      </c>
      <c r="D2314" s="6" t="s">
        <v>5152</v>
      </c>
      <c r="E2314" s="6" t="s">
        <v>22</v>
      </c>
      <c r="F2314" s="6" t="n">
        <v>3</v>
      </c>
      <c r="G2314" s="10" t="n">
        <v>1584</v>
      </c>
      <c r="H2314" s="10" t="n">
        <f aca="false">F2314*G2314</f>
        <v>4752</v>
      </c>
      <c r="I2314" s="6" t="s">
        <v>5148</v>
      </c>
    </row>
    <row r="2315" customFormat="false" ht="15" hidden="false" customHeight="false" outlineLevel="0" collapsed="false">
      <c r="A2315" s="6" t="s">
        <v>7538</v>
      </c>
      <c r="B2315" s="6" t="s">
        <v>2849</v>
      </c>
      <c r="C2315" s="26" t="n">
        <v>46105</v>
      </c>
      <c r="D2315" s="6" t="s">
        <v>5197</v>
      </c>
      <c r="E2315" s="6" t="s">
        <v>21</v>
      </c>
      <c r="F2315" s="6" t="n">
        <v>1</v>
      </c>
      <c r="G2315" s="10" t="n">
        <v>972</v>
      </c>
      <c r="H2315" s="10" t="n">
        <f aca="false">F2315*G2315</f>
        <v>972</v>
      </c>
      <c r="I2315" s="6" t="s">
        <v>5122</v>
      </c>
    </row>
    <row r="2316" customFormat="false" ht="15" hidden="false" customHeight="false" outlineLevel="0" collapsed="false">
      <c r="A2316" s="6" t="s">
        <v>7539</v>
      </c>
      <c r="B2316" s="6" t="s">
        <v>3233</v>
      </c>
      <c r="C2316" s="26" t="n">
        <v>46105</v>
      </c>
      <c r="D2316" s="6" t="s">
        <v>5200</v>
      </c>
      <c r="E2316" s="6" t="s">
        <v>24</v>
      </c>
      <c r="F2316" s="6" t="n">
        <v>2</v>
      </c>
      <c r="G2316" s="10" t="n">
        <v>763</v>
      </c>
      <c r="H2316" s="10" t="n">
        <f aca="false">F2316*G2316</f>
        <v>1526</v>
      </c>
      <c r="I2316" s="6" t="s">
        <v>5122</v>
      </c>
    </row>
    <row r="2317" customFormat="false" ht="15" hidden="false" customHeight="false" outlineLevel="0" collapsed="false">
      <c r="A2317" s="6" t="s">
        <v>7540</v>
      </c>
      <c r="B2317" s="6" t="s">
        <v>647</v>
      </c>
      <c r="C2317" s="26" t="n">
        <v>46105</v>
      </c>
      <c r="D2317" s="6" t="s">
        <v>5269</v>
      </c>
      <c r="E2317" s="6" t="s">
        <v>22</v>
      </c>
      <c r="F2317" s="6" t="n">
        <v>1</v>
      </c>
      <c r="G2317" s="10" t="n">
        <v>1271</v>
      </c>
      <c r="H2317" s="10" t="n">
        <f aca="false">F2317*G2317</f>
        <v>1271</v>
      </c>
      <c r="I2317" s="6" t="s">
        <v>5148</v>
      </c>
    </row>
    <row r="2318" customFormat="false" ht="15" hidden="false" customHeight="false" outlineLevel="0" collapsed="false">
      <c r="A2318" s="6" t="s">
        <v>7541</v>
      </c>
      <c r="B2318" s="6" t="s">
        <v>4667</v>
      </c>
      <c r="C2318" s="26" t="n">
        <v>46105</v>
      </c>
      <c r="D2318" s="6" t="s">
        <v>5121</v>
      </c>
      <c r="E2318" s="6" t="s">
        <v>22</v>
      </c>
      <c r="F2318" s="6" t="n">
        <v>1</v>
      </c>
      <c r="G2318" s="10" t="n">
        <v>928</v>
      </c>
      <c r="H2318" s="10" t="n">
        <f aca="false">F2318*G2318</f>
        <v>928</v>
      </c>
      <c r="I2318" s="6" t="s">
        <v>5133</v>
      </c>
    </row>
    <row r="2319" customFormat="false" ht="15" hidden="false" customHeight="false" outlineLevel="0" collapsed="false">
      <c r="A2319" s="6" t="s">
        <v>7542</v>
      </c>
      <c r="B2319" s="6" t="s">
        <v>667</v>
      </c>
      <c r="C2319" s="26" t="n">
        <v>46105</v>
      </c>
      <c r="D2319" s="6" t="s">
        <v>5127</v>
      </c>
      <c r="E2319" s="6" t="s">
        <v>21</v>
      </c>
      <c r="F2319" s="6" t="n">
        <v>3</v>
      </c>
      <c r="G2319" s="10" t="n">
        <v>795</v>
      </c>
      <c r="H2319" s="10" t="n">
        <f aca="false">F2319*G2319</f>
        <v>2385</v>
      </c>
      <c r="I2319" s="6" t="s">
        <v>5122</v>
      </c>
    </row>
    <row r="2320" customFormat="false" ht="15" hidden="false" customHeight="false" outlineLevel="0" collapsed="false">
      <c r="A2320" s="6" t="s">
        <v>7543</v>
      </c>
      <c r="B2320" s="6" t="s">
        <v>1089</v>
      </c>
      <c r="C2320" s="26" t="n">
        <v>46105</v>
      </c>
      <c r="D2320" s="6" t="s">
        <v>5165</v>
      </c>
      <c r="E2320" s="6" t="s">
        <v>22</v>
      </c>
      <c r="F2320" s="6" t="n">
        <v>2</v>
      </c>
      <c r="G2320" s="10" t="n">
        <v>880</v>
      </c>
      <c r="H2320" s="10" t="n">
        <f aca="false">F2320*G2320</f>
        <v>1760</v>
      </c>
      <c r="I2320" s="6" t="s">
        <v>5122</v>
      </c>
    </row>
    <row r="2321" customFormat="false" ht="15" hidden="false" customHeight="false" outlineLevel="0" collapsed="false">
      <c r="A2321" s="6" t="s">
        <v>7544</v>
      </c>
      <c r="B2321" s="6" t="s">
        <v>4267</v>
      </c>
      <c r="C2321" s="26" t="n">
        <v>46105</v>
      </c>
      <c r="D2321" s="6" t="s">
        <v>5318</v>
      </c>
      <c r="E2321" s="6" t="s">
        <v>20</v>
      </c>
      <c r="F2321" s="6" t="n">
        <v>1</v>
      </c>
      <c r="G2321" s="10" t="n">
        <v>1452</v>
      </c>
      <c r="H2321" s="10" t="n">
        <f aca="false">F2321*G2321</f>
        <v>1452</v>
      </c>
      <c r="I2321" s="6" t="s">
        <v>5133</v>
      </c>
    </row>
    <row r="2322" customFormat="false" ht="15" hidden="false" customHeight="false" outlineLevel="0" collapsed="false">
      <c r="A2322" s="6" t="s">
        <v>7545</v>
      </c>
      <c r="B2322" s="6" t="s">
        <v>3659</v>
      </c>
      <c r="C2322" s="26" t="n">
        <v>46105</v>
      </c>
      <c r="D2322" s="6" t="s">
        <v>5466</v>
      </c>
      <c r="E2322" s="6" t="s">
        <v>21</v>
      </c>
      <c r="F2322" s="6" t="n">
        <v>1</v>
      </c>
      <c r="G2322" s="10" t="n">
        <v>1768</v>
      </c>
      <c r="H2322" s="10" t="n">
        <f aca="false">F2322*G2322</f>
        <v>1768</v>
      </c>
      <c r="I2322" s="6" t="s">
        <v>5125</v>
      </c>
    </row>
    <row r="2323" customFormat="false" ht="15" hidden="false" customHeight="false" outlineLevel="0" collapsed="false">
      <c r="A2323" s="6" t="s">
        <v>7546</v>
      </c>
      <c r="B2323" s="6" t="s">
        <v>3131</v>
      </c>
      <c r="C2323" s="26" t="n">
        <v>46105</v>
      </c>
      <c r="D2323" s="6" t="s">
        <v>5121</v>
      </c>
      <c r="E2323" s="6" t="s">
        <v>22</v>
      </c>
      <c r="F2323" s="6" t="n">
        <v>1</v>
      </c>
      <c r="G2323" s="10" t="n">
        <v>977</v>
      </c>
      <c r="H2323" s="10" t="n">
        <f aca="false">F2323*G2323</f>
        <v>977</v>
      </c>
      <c r="I2323" s="6" t="s">
        <v>5148</v>
      </c>
    </row>
    <row r="2324" customFormat="false" ht="15" hidden="false" customHeight="false" outlineLevel="0" collapsed="false">
      <c r="A2324" s="6" t="s">
        <v>7547</v>
      </c>
      <c r="B2324" s="6" t="s">
        <v>791</v>
      </c>
      <c r="C2324" s="26" t="n">
        <v>46105</v>
      </c>
      <c r="D2324" s="6" t="s">
        <v>5171</v>
      </c>
      <c r="E2324" s="6" t="s">
        <v>23</v>
      </c>
      <c r="F2324" s="6" t="n">
        <v>4</v>
      </c>
      <c r="G2324" s="10" t="n">
        <v>734</v>
      </c>
      <c r="H2324" s="10" t="n">
        <f aca="false">F2324*G2324</f>
        <v>2936</v>
      </c>
      <c r="I2324" s="6" t="s">
        <v>5125</v>
      </c>
    </row>
    <row r="2325" customFormat="false" ht="15" hidden="false" customHeight="false" outlineLevel="0" collapsed="false">
      <c r="A2325" s="6" t="s">
        <v>7548</v>
      </c>
      <c r="B2325" s="6" t="s">
        <v>1865</v>
      </c>
      <c r="C2325" s="26" t="n">
        <v>46105</v>
      </c>
      <c r="D2325" s="6" t="s">
        <v>5167</v>
      </c>
      <c r="E2325" s="6" t="s">
        <v>22</v>
      </c>
      <c r="F2325" s="6" t="n">
        <v>2</v>
      </c>
      <c r="G2325" s="10" t="n">
        <v>782</v>
      </c>
      <c r="H2325" s="10" t="n">
        <f aca="false">F2325*G2325</f>
        <v>1564</v>
      </c>
      <c r="I2325" s="6" t="s">
        <v>5122</v>
      </c>
    </row>
    <row r="2326" customFormat="false" ht="15" hidden="false" customHeight="false" outlineLevel="0" collapsed="false">
      <c r="A2326" s="6" t="s">
        <v>7549</v>
      </c>
      <c r="B2326" s="6" t="s">
        <v>969</v>
      </c>
      <c r="C2326" s="26" t="n">
        <v>46105</v>
      </c>
      <c r="D2326" s="6" t="s">
        <v>5180</v>
      </c>
      <c r="E2326" s="6" t="s">
        <v>24</v>
      </c>
      <c r="F2326" s="6" t="n">
        <v>1</v>
      </c>
      <c r="G2326" s="10" t="n">
        <v>1987</v>
      </c>
      <c r="H2326" s="10" t="n">
        <f aca="false">F2326*G2326</f>
        <v>1987</v>
      </c>
      <c r="I2326" s="6" t="s">
        <v>5130</v>
      </c>
    </row>
    <row r="2327" customFormat="false" ht="15" hidden="false" customHeight="false" outlineLevel="0" collapsed="false">
      <c r="A2327" s="6" t="s">
        <v>7550</v>
      </c>
      <c r="B2327" s="6" t="s">
        <v>2041</v>
      </c>
      <c r="C2327" s="26" t="n">
        <v>46105</v>
      </c>
      <c r="D2327" s="6" t="s">
        <v>5353</v>
      </c>
      <c r="E2327" s="6" t="s">
        <v>24</v>
      </c>
      <c r="F2327" s="6" t="n">
        <v>1</v>
      </c>
      <c r="G2327" s="10" t="n">
        <v>1629</v>
      </c>
      <c r="H2327" s="10" t="n">
        <f aca="false">F2327*G2327</f>
        <v>1629</v>
      </c>
      <c r="I2327" s="6" t="s">
        <v>5148</v>
      </c>
    </row>
    <row r="2328" customFormat="false" ht="15" hidden="false" customHeight="false" outlineLevel="0" collapsed="false">
      <c r="A2328" s="6" t="s">
        <v>7551</v>
      </c>
      <c r="B2328" s="6" t="s">
        <v>733</v>
      </c>
      <c r="C2328" s="26" t="n">
        <v>46105</v>
      </c>
      <c r="D2328" s="6" t="s">
        <v>5226</v>
      </c>
      <c r="E2328" s="6" t="s">
        <v>24</v>
      </c>
      <c r="F2328" s="6" t="n">
        <v>3</v>
      </c>
      <c r="G2328" s="10" t="n">
        <v>412</v>
      </c>
      <c r="H2328" s="10" t="n">
        <f aca="false">F2328*G2328</f>
        <v>1236</v>
      </c>
      <c r="I2328" s="6" t="s">
        <v>5148</v>
      </c>
    </row>
    <row r="2329" customFormat="false" ht="15" hidden="false" customHeight="false" outlineLevel="0" collapsed="false">
      <c r="A2329" s="6" t="s">
        <v>7552</v>
      </c>
      <c r="B2329" s="6" t="s">
        <v>3393</v>
      </c>
      <c r="C2329" s="26" t="n">
        <v>46105</v>
      </c>
      <c r="D2329" s="6" t="s">
        <v>5192</v>
      </c>
      <c r="E2329" s="6" t="s">
        <v>20</v>
      </c>
      <c r="F2329" s="6" t="n">
        <v>1</v>
      </c>
      <c r="G2329" s="10" t="n">
        <v>3670</v>
      </c>
      <c r="H2329" s="10" t="n">
        <f aca="false">F2329*G2329</f>
        <v>3670</v>
      </c>
      <c r="I2329" s="6" t="s">
        <v>5122</v>
      </c>
    </row>
    <row r="2330" customFormat="false" ht="15" hidden="false" customHeight="false" outlineLevel="0" collapsed="false">
      <c r="A2330" s="6" t="s">
        <v>7553</v>
      </c>
      <c r="B2330" s="6" t="s">
        <v>4387</v>
      </c>
      <c r="C2330" s="26" t="n">
        <v>46105</v>
      </c>
      <c r="D2330" s="6" t="s">
        <v>5163</v>
      </c>
      <c r="E2330" s="6" t="s">
        <v>23</v>
      </c>
      <c r="F2330" s="6" t="n">
        <v>3</v>
      </c>
      <c r="G2330" s="10" t="n">
        <v>783</v>
      </c>
      <c r="H2330" s="10" t="n">
        <f aca="false">F2330*G2330</f>
        <v>2349</v>
      </c>
      <c r="I2330" s="6" t="s">
        <v>5130</v>
      </c>
    </row>
    <row r="2331" customFormat="false" ht="15" hidden="false" customHeight="false" outlineLevel="0" collapsed="false">
      <c r="A2331" s="6" t="s">
        <v>7554</v>
      </c>
      <c r="B2331" s="6" t="s">
        <v>5035</v>
      </c>
      <c r="C2331" s="26" t="n">
        <v>46105</v>
      </c>
      <c r="D2331" s="6" t="s">
        <v>5216</v>
      </c>
      <c r="E2331" s="6" t="s">
        <v>23</v>
      </c>
      <c r="F2331" s="6" t="n">
        <v>3</v>
      </c>
      <c r="G2331" s="10" t="n">
        <v>587</v>
      </c>
      <c r="H2331" s="10" t="n">
        <f aca="false">F2331*G2331</f>
        <v>1761</v>
      </c>
      <c r="I2331" s="6" t="s">
        <v>5148</v>
      </c>
    </row>
    <row r="2332" customFormat="false" ht="15" hidden="false" customHeight="false" outlineLevel="0" collapsed="false">
      <c r="A2332" s="6" t="s">
        <v>7555</v>
      </c>
      <c r="B2332" s="6" t="s">
        <v>2677</v>
      </c>
      <c r="C2332" s="26" t="n">
        <v>46105</v>
      </c>
      <c r="D2332" s="6" t="s">
        <v>5180</v>
      </c>
      <c r="E2332" s="6" t="s">
        <v>24</v>
      </c>
      <c r="F2332" s="6" t="n">
        <v>2</v>
      </c>
      <c r="G2332" s="10" t="n">
        <v>1987</v>
      </c>
      <c r="H2332" s="10" t="n">
        <f aca="false">F2332*G2332</f>
        <v>3974</v>
      </c>
      <c r="I2332" s="6" t="s">
        <v>5130</v>
      </c>
    </row>
    <row r="2333" customFormat="false" ht="15" hidden="false" customHeight="false" outlineLevel="0" collapsed="false">
      <c r="A2333" s="6" t="s">
        <v>7556</v>
      </c>
      <c r="B2333" s="6" t="s">
        <v>1335</v>
      </c>
      <c r="C2333" s="26" t="n">
        <v>46105</v>
      </c>
      <c r="D2333" s="6" t="s">
        <v>5220</v>
      </c>
      <c r="E2333" s="6" t="s">
        <v>24</v>
      </c>
      <c r="F2333" s="6" t="n">
        <v>1</v>
      </c>
      <c r="G2333" s="10" t="n">
        <v>1120</v>
      </c>
      <c r="H2333" s="10" t="n">
        <f aca="false">F2333*G2333</f>
        <v>1120</v>
      </c>
      <c r="I2333" s="6" t="s">
        <v>5125</v>
      </c>
    </row>
    <row r="2334" customFormat="false" ht="15" hidden="false" customHeight="false" outlineLevel="0" collapsed="false">
      <c r="A2334" s="6" t="s">
        <v>7557</v>
      </c>
      <c r="B2334" s="6" t="s">
        <v>4909</v>
      </c>
      <c r="C2334" s="26" t="n">
        <v>46106</v>
      </c>
      <c r="D2334" s="6" t="s">
        <v>5226</v>
      </c>
      <c r="E2334" s="6" t="s">
        <v>24</v>
      </c>
      <c r="F2334" s="6" t="n">
        <v>2</v>
      </c>
      <c r="G2334" s="10" t="n">
        <v>457</v>
      </c>
      <c r="H2334" s="10" t="n">
        <f aca="false">F2334*G2334</f>
        <v>914</v>
      </c>
      <c r="I2334" s="6" t="s">
        <v>5148</v>
      </c>
    </row>
    <row r="2335" customFormat="false" ht="15" hidden="false" customHeight="false" outlineLevel="0" collapsed="false">
      <c r="A2335" s="6" t="s">
        <v>7558</v>
      </c>
      <c r="B2335" s="6" t="s">
        <v>3413</v>
      </c>
      <c r="C2335" s="26" t="n">
        <v>46106</v>
      </c>
      <c r="D2335" s="6" t="s">
        <v>5224</v>
      </c>
      <c r="E2335" s="6" t="s">
        <v>23</v>
      </c>
      <c r="F2335" s="6" t="n">
        <v>1</v>
      </c>
      <c r="G2335" s="10" t="n">
        <v>195</v>
      </c>
      <c r="H2335" s="10" t="n">
        <f aca="false">F2335*G2335</f>
        <v>195</v>
      </c>
      <c r="I2335" s="6" t="s">
        <v>5122</v>
      </c>
    </row>
    <row r="2336" customFormat="false" ht="15" hidden="false" customHeight="false" outlineLevel="0" collapsed="false">
      <c r="A2336" s="6" t="s">
        <v>7559</v>
      </c>
      <c r="B2336" s="6" t="s">
        <v>2003</v>
      </c>
      <c r="C2336" s="26" t="n">
        <v>46106</v>
      </c>
      <c r="D2336" s="6" t="s">
        <v>5175</v>
      </c>
      <c r="E2336" s="6" t="s">
        <v>24</v>
      </c>
      <c r="F2336" s="6" t="n">
        <v>1</v>
      </c>
      <c r="G2336" s="10" t="n">
        <v>580</v>
      </c>
      <c r="H2336" s="10" t="n">
        <f aca="false">F2336*G2336</f>
        <v>580</v>
      </c>
      <c r="I2336" s="6" t="s">
        <v>5130</v>
      </c>
    </row>
    <row r="2337" customFormat="false" ht="15" hidden="false" customHeight="false" outlineLevel="0" collapsed="false">
      <c r="A2337" s="6" t="s">
        <v>7560</v>
      </c>
      <c r="B2337" s="6" t="s">
        <v>3301</v>
      </c>
      <c r="C2337" s="26" t="n">
        <v>46106</v>
      </c>
      <c r="D2337" s="6" t="s">
        <v>5305</v>
      </c>
      <c r="E2337" s="6" t="s">
        <v>20</v>
      </c>
      <c r="F2337" s="6" t="n">
        <v>1</v>
      </c>
      <c r="G2337" s="10" t="n">
        <v>1468</v>
      </c>
      <c r="H2337" s="10" t="n">
        <f aca="false">F2337*G2337</f>
        <v>1468</v>
      </c>
      <c r="I2337" s="6" t="s">
        <v>5148</v>
      </c>
    </row>
    <row r="2338" customFormat="false" ht="15" hidden="false" customHeight="false" outlineLevel="0" collapsed="false">
      <c r="A2338" s="6" t="s">
        <v>7561</v>
      </c>
      <c r="B2338" s="6" t="s">
        <v>1687</v>
      </c>
      <c r="C2338" s="26" t="n">
        <v>46106</v>
      </c>
      <c r="D2338" s="6" t="s">
        <v>5129</v>
      </c>
      <c r="E2338" s="6" t="s">
        <v>21</v>
      </c>
      <c r="F2338" s="6" t="n">
        <v>1</v>
      </c>
      <c r="G2338" s="10" t="n">
        <v>589</v>
      </c>
      <c r="H2338" s="10" t="n">
        <f aca="false">F2338*G2338</f>
        <v>589</v>
      </c>
      <c r="I2338" s="6" t="s">
        <v>5133</v>
      </c>
    </row>
    <row r="2339" customFormat="false" ht="15" hidden="false" customHeight="false" outlineLevel="0" collapsed="false">
      <c r="A2339" s="6" t="s">
        <v>7562</v>
      </c>
      <c r="B2339" s="6" t="s">
        <v>4117</v>
      </c>
      <c r="C2339" s="26" t="n">
        <v>46106</v>
      </c>
      <c r="D2339" s="6" t="s">
        <v>5259</v>
      </c>
      <c r="E2339" s="6" t="s">
        <v>22</v>
      </c>
      <c r="F2339" s="6" t="n">
        <v>1</v>
      </c>
      <c r="G2339" s="10" t="n">
        <v>1564</v>
      </c>
      <c r="H2339" s="10" t="n">
        <f aca="false">F2339*G2339</f>
        <v>1564</v>
      </c>
      <c r="I2339" s="6" t="s">
        <v>5122</v>
      </c>
    </row>
    <row r="2340" customFormat="false" ht="15" hidden="false" customHeight="false" outlineLevel="0" collapsed="false">
      <c r="A2340" s="6" t="s">
        <v>7563</v>
      </c>
      <c r="B2340" s="6" t="s">
        <v>3445</v>
      </c>
      <c r="C2340" s="26" t="n">
        <v>46106</v>
      </c>
      <c r="D2340" s="6" t="s">
        <v>5147</v>
      </c>
      <c r="E2340" s="6" t="s">
        <v>24</v>
      </c>
      <c r="F2340" s="6" t="n">
        <v>1</v>
      </c>
      <c r="G2340" s="10" t="n">
        <v>661</v>
      </c>
      <c r="H2340" s="10" t="n">
        <f aca="false">F2340*G2340</f>
        <v>661</v>
      </c>
      <c r="I2340" s="6" t="s">
        <v>5148</v>
      </c>
    </row>
    <row r="2341" customFormat="false" ht="15" hidden="false" customHeight="false" outlineLevel="0" collapsed="false">
      <c r="A2341" s="6" t="s">
        <v>7564</v>
      </c>
      <c r="B2341" s="6" t="s">
        <v>1945</v>
      </c>
      <c r="C2341" s="26" t="n">
        <v>46106</v>
      </c>
      <c r="D2341" s="6" t="s">
        <v>5466</v>
      </c>
      <c r="E2341" s="6" t="s">
        <v>21</v>
      </c>
      <c r="F2341" s="6" t="n">
        <v>1</v>
      </c>
      <c r="G2341" s="10" t="n">
        <v>1768</v>
      </c>
      <c r="H2341" s="10" t="n">
        <f aca="false">F2341*G2341</f>
        <v>1768</v>
      </c>
      <c r="I2341" s="6" t="s">
        <v>5173</v>
      </c>
    </row>
    <row r="2342" customFormat="false" ht="15" hidden="false" customHeight="false" outlineLevel="0" collapsed="false">
      <c r="A2342" s="6" t="s">
        <v>7565</v>
      </c>
      <c r="B2342" s="6" t="s">
        <v>1379</v>
      </c>
      <c r="C2342" s="26" t="n">
        <v>46106</v>
      </c>
      <c r="D2342" s="6" t="s">
        <v>5165</v>
      </c>
      <c r="E2342" s="6" t="s">
        <v>22</v>
      </c>
      <c r="F2342" s="6" t="n">
        <v>1</v>
      </c>
      <c r="G2342" s="10" t="n">
        <v>977</v>
      </c>
      <c r="H2342" s="10" t="n">
        <f aca="false">F2342*G2342</f>
        <v>977</v>
      </c>
      <c r="I2342" s="6" t="s">
        <v>5122</v>
      </c>
    </row>
    <row r="2343" customFormat="false" ht="15" hidden="false" customHeight="false" outlineLevel="0" collapsed="false">
      <c r="A2343" s="6" t="s">
        <v>7566</v>
      </c>
      <c r="B2343" s="6" t="s">
        <v>3865</v>
      </c>
      <c r="C2343" s="26" t="n">
        <v>46106</v>
      </c>
      <c r="D2343" s="6" t="s">
        <v>5150</v>
      </c>
      <c r="E2343" s="6" t="s">
        <v>24</v>
      </c>
      <c r="F2343" s="6" t="n">
        <v>1</v>
      </c>
      <c r="G2343" s="10" t="n">
        <v>458</v>
      </c>
      <c r="H2343" s="10" t="n">
        <f aca="false">F2343*G2343</f>
        <v>458</v>
      </c>
      <c r="I2343" s="6" t="s">
        <v>5148</v>
      </c>
    </row>
    <row r="2344" customFormat="false" ht="15" hidden="false" customHeight="false" outlineLevel="0" collapsed="false">
      <c r="A2344" s="6" t="s">
        <v>7567</v>
      </c>
      <c r="B2344" s="6" t="s">
        <v>1795</v>
      </c>
      <c r="C2344" s="26" t="n">
        <v>46106</v>
      </c>
      <c r="D2344" s="6" t="s">
        <v>5456</v>
      </c>
      <c r="E2344" s="6" t="s">
        <v>24</v>
      </c>
      <c r="F2344" s="6" t="n">
        <v>1</v>
      </c>
      <c r="G2344" s="10" t="n">
        <v>821</v>
      </c>
      <c r="H2344" s="10" t="n">
        <f aca="false">F2344*G2344</f>
        <v>821</v>
      </c>
      <c r="I2344" s="6" t="s">
        <v>5122</v>
      </c>
    </row>
    <row r="2345" customFormat="false" ht="15" hidden="false" customHeight="false" outlineLevel="0" collapsed="false">
      <c r="A2345" s="6" t="s">
        <v>7568</v>
      </c>
      <c r="B2345" s="6" t="s">
        <v>3277</v>
      </c>
      <c r="C2345" s="26" t="n">
        <v>46106</v>
      </c>
      <c r="D2345" s="6" t="s">
        <v>5269</v>
      </c>
      <c r="E2345" s="6" t="s">
        <v>22</v>
      </c>
      <c r="F2345" s="6" t="n">
        <v>1</v>
      </c>
      <c r="G2345" s="10" t="n">
        <v>1144</v>
      </c>
      <c r="H2345" s="10" t="n">
        <f aca="false">F2345*G2345</f>
        <v>1144</v>
      </c>
      <c r="I2345" s="6" t="s">
        <v>5122</v>
      </c>
    </row>
    <row r="2346" customFormat="false" ht="15" hidden="false" customHeight="false" outlineLevel="0" collapsed="false">
      <c r="A2346" s="6" t="s">
        <v>7569</v>
      </c>
      <c r="B2346" s="6" t="s">
        <v>3665</v>
      </c>
      <c r="C2346" s="26" t="n">
        <v>46106</v>
      </c>
      <c r="D2346" s="6" t="s">
        <v>5261</v>
      </c>
      <c r="E2346" s="6" t="s">
        <v>23</v>
      </c>
      <c r="F2346" s="6" t="n">
        <v>3</v>
      </c>
      <c r="G2346" s="10" t="n">
        <v>175</v>
      </c>
      <c r="H2346" s="10" t="n">
        <f aca="false">F2346*G2346</f>
        <v>525</v>
      </c>
      <c r="I2346" s="6" t="s">
        <v>5148</v>
      </c>
    </row>
    <row r="2347" customFormat="false" ht="15" hidden="false" customHeight="false" outlineLevel="0" collapsed="false">
      <c r="A2347" s="6" t="s">
        <v>7570</v>
      </c>
      <c r="B2347" s="6" t="s">
        <v>4919</v>
      </c>
      <c r="C2347" s="26" t="n">
        <v>46106</v>
      </c>
      <c r="D2347" s="6" t="s">
        <v>5135</v>
      </c>
      <c r="E2347" s="6" t="s">
        <v>23</v>
      </c>
      <c r="F2347" s="6" t="n">
        <v>3</v>
      </c>
      <c r="G2347" s="10" t="n">
        <v>441</v>
      </c>
      <c r="H2347" s="10" t="n">
        <f aca="false">F2347*G2347</f>
        <v>1323</v>
      </c>
      <c r="I2347" s="6" t="s">
        <v>5133</v>
      </c>
    </row>
    <row r="2348" customFormat="false" ht="15" hidden="false" customHeight="false" outlineLevel="0" collapsed="false">
      <c r="A2348" s="6" t="s">
        <v>7571</v>
      </c>
      <c r="B2348" s="6" t="s">
        <v>2559</v>
      </c>
      <c r="C2348" s="26" t="n">
        <v>46106</v>
      </c>
      <c r="D2348" s="6" t="s">
        <v>5383</v>
      </c>
      <c r="E2348" s="6" t="s">
        <v>20</v>
      </c>
      <c r="F2348" s="6" t="n">
        <v>1</v>
      </c>
      <c r="G2348" s="10" t="n">
        <v>1120</v>
      </c>
      <c r="H2348" s="10" t="n">
        <f aca="false">F2348*G2348</f>
        <v>1120</v>
      </c>
      <c r="I2348" s="6" t="s">
        <v>5148</v>
      </c>
    </row>
    <row r="2349" customFormat="false" ht="15" hidden="false" customHeight="false" outlineLevel="0" collapsed="false">
      <c r="A2349" s="6" t="s">
        <v>7572</v>
      </c>
      <c r="B2349" s="6" t="s">
        <v>485</v>
      </c>
      <c r="C2349" s="26" t="n">
        <v>46106</v>
      </c>
      <c r="D2349" s="6" t="s">
        <v>5150</v>
      </c>
      <c r="E2349" s="6" t="s">
        <v>24</v>
      </c>
      <c r="F2349" s="6" t="n">
        <v>1</v>
      </c>
      <c r="G2349" s="10" t="n">
        <v>508</v>
      </c>
      <c r="H2349" s="10" t="n">
        <f aca="false">F2349*G2349</f>
        <v>508</v>
      </c>
      <c r="I2349" s="6" t="s">
        <v>5122</v>
      </c>
    </row>
    <row r="2350" customFormat="false" ht="15" hidden="false" customHeight="false" outlineLevel="0" collapsed="false">
      <c r="A2350" s="6" t="s">
        <v>7573</v>
      </c>
      <c r="B2350" s="6" t="s">
        <v>4673</v>
      </c>
      <c r="C2350" s="26" t="n">
        <v>46106</v>
      </c>
      <c r="D2350" s="6" t="s">
        <v>5345</v>
      </c>
      <c r="E2350" s="6" t="s">
        <v>23</v>
      </c>
      <c r="F2350" s="6" t="n">
        <v>5</v>
      </c>
      <c r="G2350" s="10" t="n">
        <v>392</v>
      </c>
      <c r="H2350" s="10" t="n">
        <f aca="false">F2350*G2350</f>
        <v>1960</v>
      </c>
      <c r="I2350" s="6" t="s">
        <v>5122</v>
      </c>
    </row>
    <row r="2351" customFormat="false" ht="15" hidden="false" customHeight="false" outlineLevel="0" collapsed="false">
      <c r="A2351" s="6" t="s">
        <v>7574</v>
      </c>
      <c r="B2351" s="6" t="s">
        <v>517</v>
      </c>
      <c r="C2351" s="26" t="n">
        <v>46106</v>
      </c>
      <c r="D2351" s="6" t="s">
        <v>5185</v>
      </c>
      <c r="E2351" s="6" t="s">
        <v>24</v>
      </c>
      <c r="F2351" s="6" t="n">
        <v>3</v>
      </c>
      <c r="G2351" s="10" t="n">
        <v>2140</v>
      </c>
      <c r="H2351" s="10" t="n">
        <f aca="false">F2351*G2351</f>
        <v>6420</v>
      </c>
      <c r="I2351" s="6" t="s">
        <v>5122</v>
      </c>
    </row>
    <row r="2352" customFormat="false" ht="15" hidden="false" customHeight="false" outlineLevel="0" collapsed="false">
      <c r="A2352" s="6" t="s">
        <v>7575</v>
      </c>
      <c r="B2352" s="6" t="s">
        <v>1877</v>
      </c>
      <c r="C2352" s="26" t="n">
        <v>46106</v>
      </c>
      <c r="D2352" s="6" t="s">
        <v>5383</v>
      </c>
      <c r="E2352" s="6" t="s">
        <v>20</v>
      </c>
      <c r="F2352" s="6" t="n">
        <v>1</v>
      </c>
      <c r="G2352" s="10" t="n">
        <v>1121</v>
      </c>
      <c r="H2352" s="10" t="n">
        <f aca="false">F2352*G2352</f>
        <v>1121</v>
      </c>
      <c r="I2352" s="6" t="s">
        <v>5122</v>
      </c>
    </row>
    <row r="2353" customFormat="false" ht="15" hidden="false" customHeight="false" outlineLevel="0" collapsed="false">
      <c r="A2353" s="6" t="s">
        <v>7576</v>
      </c>
      <c r="B2353" s="6" t="s">
        <v>3597</v>
      </c>
      <c r="C2353" s="26" t="n">
        <v>46106</v>
      </c>
      <c r="D2353" s="6" t="s">
        <v>5345</v>
      </c>
      <c r="E2353" s="6" t="s">
        <v>23</v>
      </c>
      <c r="F2353" s="6" t="n">
        <v>1</v>
      </c>
      <c r="G2353" s="10" t="n">
        <v>435</v>
      </c>
      <c r="H2353" s="10" t="n">
        <f aca="false">F2353*G2353</f>
        <v>435</v>
      </c>
      <c r="I2353" s="6" t="s">
        <v>5122</v>
      </c>
    </row>
    <row r="2354" customFormat="false" ht="15" hidden="false" customHeight="false" outlineLevel="0" collapsed="false">
      <c r="A2354" s="6" t="s">
        <v>7577</v>
      </c>
      <c r="B2354" s="6" t="s">
        <v>2909</v>
      </c>
      <c r="C2354" s="26" t="n">
        <v>46106</v>
      </c>
      <c r="D2354" s="6" t="s">
        <v>5357</v>
      </c>
      <c r="E2354" s="6" t="s">
        <v>23</v>
      </c>
      <c r="F2354" s="6" t="n">
        <v>4</v>
      </c>
      <c r="G2354" s="10" t="n">
        <v>507</v>
      </c>
      <c r="H2354" s="10" t="n">
        <f aca="false">F2354*G2354</f>
        <v>2028</v>
      </c>
      <c r="I2354" s="6" t="s">
        <v>5148</v>
      </c>
    </row>
    <row r="2355" customFormat="false" ht="15" hidden="false" customHeight="false" outlineLevel="0" collapsed="false">
      <c r="A2355" s="6" t="s">
        <v>7578</v>
      </c>
      <c r="B2355" s="6" t="s">
        <v>1599</v>
      </c>
      <c r="C2355" s="26" t="n">
        <v>46106</v>
      </c>
      <c r="D2355" s="6" t="s">
        <v>5482</v>
      </c>
      <c r="E2355" s="6" t="s">
        <v>23</v>
      </c>
      <c r="F2355" s="6" t="n">
        <v>3</v>
      </c>
      <c r="G2355" s="10" t="n">
        <v>256</v>
      </c>
      <c r="H2355" s="10" t="n">
        <f aca="false">F2355*G2355</f>
        <v>768</v>
      </c>
      <c r="I2355" s="6" t="s">
        <v>5122</v>
      </c>
    </row>
    <row r="2356" customFormat="false" ht="15" hidden="false" customHeight="false" outlineLevel="0" collapsed="false">
      <c r="A2356" s="6" t="s">
        <v>7579</v>
      </c>
      <c r="B2356" s="6" t="s">
        <v>3621</v>
      </c>
      <c r="C2356" s="26" t="n">
        <v>46106</v>
      </c>
      <c r="D2356" s="6" t="s">
        <v>5326</v>
      </c>
      <c r="E2356" s="6" t="s">
        <v>22</v>
      </c>
      <c r="F2356" s="6" t="n">
        <v>2</v>
      </c>
      <c r="G2356" s="10" t="n">
        <v>1320</v>
      </c>
      <c r="H2356" s="10" t="n">
        <f aca="false">F2356*G2356</f>
        <v>2640</v>
      </c>
      <c r="I2356" s="6" t="s">
        <v>5148</v>
      </c>
    </row>
    <row r="2357" customFormat="false" ht="15" hidden="false" customHeight="false" outlineLevel="0" collapsed="false">
      <c r="A2357" s="6" t="s">
        <v>7580</v>
      </c>
      <c r="B2357" s="6" t="s">
        <v>4683</v>
      </c>
      <c r="C2357" s="26" t="n">
        <v>46106</v>
      </c>
      <c r="D2357" s="6" t="s">
        <v>5160</v>
      </c>
      <c r="E2357" s="6" t="s">
        <v>21</v>
      </c>
      <c r="F2357" s="6" t="n">
        <v>2</v>
      </c>
      <c r="G2357" s="10" t="n">
        <v>2751</v>
      </c>
      <c r="H2357" s="10" t="n">
        <f aca="false">F2357*G2357</f>
        <v>5502</v>
      </c>
      <c r="I2357" s="6" t="s">
        <v>5148</v>
      </c>
    </row>
    <row r="2358" customFormat="false" ht="15" hidden="false" customHeight="false" outlineLevel="0" collapsed="false">
      <c r="A2358" s="6" t="s">
        <v>7581</v>
      </c>
      <c r="B2358" s="6" t="s">
        <v>1069</v>
      </c>
      <c r="C2358" s="26" t="n">
        <v>46106</v>
      </c>
      <c r="D2358" s="6" t="s">
        <v>5269</v>
      </c>
      <c r="E2358" s="6" t="s">
        <v>22</v>
      </c>
      <c r="F2358" s="6" t="n">
        <v>1</v>
      </c>
      <c r="G2358" s="10" t="n">
        <v>1144</v>
      </c>
      <c r="H2358" s="10" t="n">
        <f aca="false">F2358*G2358</f>
        <v>1144</v>
      </c>
      <c r="I2358" s="6" t="s">
        <v>5122</v>
      </c>
    </row>
    <row r="2359" customFormat="false" ht="15" hidden="false" customHeight="false" outlineLevel="0" collapsed="false">
      <c r="A2359" s="6" t="s">
        <v>7582</v>
      </c>
      <c r="B2359" s="6" t="s">
        <v>1561</v>
      </c>
      <c r="C2359" s="26" t="n">
        <v>46106</v>
      </c>
      <c r="D2359" s="6" t="s">
        <v>5180</v>
      </c>
      <c r="E2359" s="6" t="s">
        <v>24</v>
      </c>
      <c r="F2359" s="6" t="n">
        <v>1</v>
      </c>
      <c r="G2359" s="10" t="n">
        <v>1888</v>
      </c>
      <c r="H2359" s="10" t="n">
        <f aca="false">F2359*G2359</f>
        <v>1888</v>
      </c>
      <c r="I2359" s="6" t="s">
        <v>5148</v>
      </c>
    </row>
    <row r="2360" customFormat="false" ht="15" hidden="false" customHeight="false" outlineLevel="0" collapsed="false">
      <c r="A2360" s="6" t="s">
        <v>7583</v>
      </c>
      <c r="B2360" s="6" t="s">
        <v>3141</v>
      </c>
      <c r="C2360" s="26" t="n">
        <v>46106</v>
      </c>
      <c r="D2360" s="6" t="s">
        <v>5357</v>
      </c>
      <c r="E2360" s="6" t="s">
        <v>23</v>
      </c>
      <c r="F2360" s="6" t="n">
        <v>1</v>
      </c>
      <c r="G2360" s="10" t="n">
        <v>534</v>
      </c>
      <c r="H2360" s="10" t="n">
        <f aca="false">F2360*G2360</f>
        <v>534</v>
      </c>
      <c r="I2360" s="6" t="s">
        <v>5122</v>
      </c>
    </row>
    <row r="2361" customFormat="false" ht="15" hidden="false" customHeight="false" outlineLevel="0" collapsed="false">
      <c r="A2361" s="6" t="s">
        <v>7584</v>
      </c>
      <c r="B2361" s="6" t="s">
        <v>2739</v>
      </c>
      <c r="C2361" s="26" t="n">
        <v>46106</v>
      </c>
      <c r="D2361" s="6" t="s">
        <v>5245</v>
      </c>
      <c r="E2361" s="6" t="s">
        <v>21</v>
      </c>
      <c r="F2361" s="6" t="n">
        <v>1</v>
      </c>
      <c r="G2361" s="10" t="n">
        <v>2456</v>
      </c>
      <c r="H2361" s="10" t="n">
        <f aca="false">F2361*G2361</f>
        <v>2456</v>
      </c>
      <c r="I2361" s="6" t="s">
        <v>5173</v>
      </c>
    </row>
    <row r="2362" customFormat="false" ht="15" hidden="false" customHeight="false" outlineLevel="0" collapsed="false">
      <c r="A2362" s="6" t="s">
        <v>7585</v>
      </c>
      <c r="B2362" s="6" t="s">
        <v>935</v>
      </c>
      <c r="C2362" s="26" t="n">
        <v>46106</v>
      </c>
      <c r="D2362" s="6" t="s">
        <v>5150</v>
      </c>
      <c r="E2362" s="6" t="s">
        <v>24</v>
      </c>
      <c r="F2362" s="6" t="n">
        <v>2</v>
      </c>
      <c r="G2362" s="10" t="n">
        <v>458</v>
      </c>
      <c r="H2362" s="10" t="n">
        <f aca="false">F2362*G2362</f>
        <v>916</v>
      </c>
      <c r="I2362" s="6" t="s">
        <v>5122</v>
      </c>
    </row>
    <row r="2363" customFormat="false" ht="15" hidden="false" customHeight="false" outlineLevel="0" collapsed="false">
      <c r="A2363" s="6" t="s">
        <v>7586</v>
      </c>
      <c r="B2363" s="6" t="s">
        <v>1725</v>
      </c>
      <c r="C2363" s="26" t="n">
        <v>46106</v>
      </c>
      <c r="D2363" s="6" t="s">
        <v>5383</v>
      </c>
      <c r="E2363" s="6" t="s">
        <v>20</v>
      </c>
      <c r="F2363" s="6" t="n">
        <v>1</v>
      </c>
      <c r="G2363" s="10" t="n">
        <v>1121</v>
      </c>
      <c r="H2363" s="10" t="n">
        <f aca="false">F2363*G2363</f>
        <v>1121</v>
      </c>
      <c r="I2363" s="6" t="s">
        <v>5122</v>
      </c>
    </row>
    <row r="2364" customFormat="false" ht="15" hidden="false" customHeight="false" outlineLevel="0" collapsed="false">
      <c r="A2364" s="6" t="s">
        <v>7587</v>
      </c>
      <c r="B2364" s="6" t="s">
        <v>3537</v>
      </c>
      <c r="C2364" s="26" t="n">
        <v>46106</v>
      </c>
      <c r="D2364" s="6" t="s">
        <v>5171</v>
      </c>
      <c r="E2364" s="6" t="s">
        <v>23</v>
      </c>
      <c r="F2364" s="6" t="n">
        <v>2</v>
      </c>
      <c r="G2364" s="10" t="n">
        <v>697</v>
      </c>
      <c r="H2364" s="10" t="n">
        <f aca="false">F2364*G2364</f>
        <v>1394</v>
      </c>
      <c r="I2364" s="6" t="s">
        <v>5122</v>
      </c>
    </row>
    <row r="2365" customFormat="false" ht="15" hidden="false" customHeight="false" outlineLevel="0" collapsed="false">
      <c r="A2365" s="6" t="s">
        <v>7588</v>
      </c>
      <c r="B2365" s="6" t="s">
        <v>1655</v>
      </c>
      <c r="C2365" s="26" t="n">
        <v>46106</v>
      </c>
      <c r="D2365" s="6" t="s">
        <v>5165</v>
      </c>
      <c r="E2365" s="6" t="s">
        <v>22</v>
      </c>
      <c r="F2365" s="6" t="n">
        <v>2</v>
      </c>
      <c r="G2365" s="10" t="n">
        <v>977</v>
      </c>
      <c r="H2365" s="10" t="n">
        <f aca="false">F2365*G2365</f>
        <v>1954</v>
      </c>
      <c r="I2365" s="6" t="s">
        <v>5122</v>
      </c>
    </row>
    <row r="2366" customFormat="false" ht="15" hidden="false" customHeight="false" outlineLevel="0" collapsed="false">
      <c r="A2366" s="6" t="s">
        <v>7589</v>
      </c>
      <c r="B2366" s="6" t="s">
        <v>2761</v>
      </c>
      <c r="C2366" s="26" t="n">
        <v>46106</v>
      </c>
      <c r="D2366" s="6" t="s">
        <v>5687</v>
      </c>
      <c r="E2366" s="6" t="s">
        <v>20</v>
      </c>
      <c r="F2366" s="6" t="n">
        <v>1</v>
      </c>
      <c r="G2366" s="10" t="n">
        <v>1835</v>
      </c>
      <c r="H2366" s="10" t="n">
        <f aca="false">F2366*G2366</f>
        <v>1835</v>
      </c>
      <c r="I2366" s="6" t="s">
        <v>5125</v>
      </c>
    </row>
    <row r="2367" customFormat="false" ht="15" hidden="false" customHeight="false" outlineLevel="0" collapsed="false">
      <c r="A2367" s="6" t="s">
        <v>7590</v>
      </c>
      <c r="B2367" s="6" t="s">
        <v>695</v>
      </c>
      <c r="C2367" s="26" t="n">
        <v>46106</v>
      </c>
      <c r="D2367" s="6" t="s">
        <v>5235</v>
      </c>
      <c r="E2367" s="6" t="s">
        <v>21</v>
      </c>
      <c r="F2367" s="6" t="n">
        <v>1</v>
      </c>
      <c r="G2367" s="10" t="n">
        <v>1670</v>
      </c>
      <c r="H2367" s="10" t="n">
        <f aca="false">F2367*G2367</f>
        <v>1670</v>
      </c>
      <c r="I2367" s="6" t="s">
        <v>5125</v>
      </c>
    </row>
    <row r="2368" customFormat="false" ht="15" hidden="false" customHeight="false" outlineLevel="0" collapsed="false">
      <c r="A2368" s="6" t="s">
        <v>7591</v>
      </c>
      <c r="B2368" s="6" t="s">
        <v>3721</v>
      </c>
      <c r="C2368" s="26" t="n">
        <v>46106</v>
      </c>
      <c r="D2368" s="6" t="s">
        <v>5214</v>
      </c>
      <c r="E2368" s="6" t="s">
        <v>20</v>
      </c>
      <c r="F2368" s="6" t="n">
        <v>1</v>
      </c>
      <c r="G2368" s="10" t="n">
        <v>2039</v>
      </c>
      <c r="H2368" s="10" t="n">
        <f aca="false">F2368*G2368</f>
        <v>2039</v>
      </c>
      <c r="I2368" s="6" t="s">
        <v>5122</v>
      </c>
    </row>
    <row r="2369" customFormat="false" ht="15" hidden="false" customHeight="false" outlineLevel="0" collapsed="false">
      <c r="A2369" s="6" t="s">
        <v>7592</v>
      </c>
      <c r="B2369" s="6" t="s">
        <v>3449</v>
      </c>
      <c r="C2369" s="26" t="n">
        <v>46106</v>
      </c>
      <c r="D2369" s="6" t="s">
        <v>5154</v>
      </c>
      <c r="E2369" s="6" t="s">
        <v>21</v>
      </c>
      <c r="F2369" s="6" t="n">
        <v>1</v>
      </c>
      <c r="G2369" s="10" t="n">
        <v>707</v>
      </c>
      <c r="H2369" s="10" t="n">
        <f aca="false">F2369*G2369</f>
        <v>707</v>
      </c>
      <c r="I2369" s="6" t="s">
        <v>5130</v>
      </c>
    </row>
    <row r="2370" customFormat="false" ht="15" hidden="false" customHeight="false" outlineLevel="0" collapsed="false">
      <c r="A2370" s="6" t="s">
        <v>7593</v>
      </c>
      <c r="B2370" s="6" t="s">
        <v>563</v>
      </c>
      <c r="C2370" s="26" t="n">
        <v>46107</v>
      </c>
      <c r="D2370" s="6" t="s">
        <v>5143</v>
      </c>
      <c r="E2370" s="6" t="s">
        <v>21</v>
      </c>
      <c r="F2370" s="6" t="n">
        <v>1</v>
      </c>
      <c r="G2370" s="10" t="n">
        <v>1179</v>
      </c>
      <c r="H2370" s="10" t="n">
        <f aca="false">F2370*G2370</f>
        <v>1179</v>
      </c>
      <c r="I2370" s="6" t="s">
        <v>5148</v>
      </c>
    </row>
    <row r="2371" customFormat="false" ht="15" hidden="false" customHeight="false" outlineLevel="0" collapsed="false">
      <c r="A2371" s="6" t="s">
        <v>7594</v>
      </c>
      <c r="B2371" s="6" t="s">
        <v>3039</v>
      </c>
      <c r="C2371" s="26" t="n">
        <v>46107</v>
      </c>
      <c r="D2371" s="6" t="s">
        <v>5683</v>
      </c>
      <c r="E2371" s="6" t="s">
        <v>22</v>
      </c>
      <c r="F2371" s="6" t="n">
        <v>1</v>
      </c>
      <c r="G2371" s="10" t="n">
        <v>1671</v>
      </c>
      <c r="H2371" s="10" t="n">
        <f aca="false">F2371*G2371</f>
        <v>1671</v>
      </c>
      <c r="I2371" s="6" t="s">
        <v>5130</v>
      </c>
    </row>
    <row r="2372" customFormat="false" ht="15" hidden="false" customHeight="false" outlineLevel="0" collapsed="false">
      <c r="A2372" s="6" t="s">
        <v>7595</v>
      </c>
      <c r="B2372" s="6" t="s">
        <v>2885</v>
      </c>
      <c r="C2372" s="26" t="n">
        <v>46107</v>
      </c>
      <c r="D2372" s="6" t="s">
        <v>5235</v>
      </c>
      <c r="E2372" s="6" t="s">
        <v>21</v>
      </c>
      <c r="F2372" s="6" t="n">
        <v>3</v>
      </c>
      <c r="G2372" s="10" t="n">
        <v>1670</v>
      </c>
      <c r="H2372" s="10" t="n">
        <f aca="false">F2372*G2372</f>
        <v>5010</v>
      </c>
      <c r="I2372" s="6" t="s">
        <v>5125</v>
      </c>
    </row>
    <row r="2373" customFormat="false" ht="15" hidden="false" customHeight="false" outlineLevel="0" collapsed="false">
      <c r="A2373" s="6" t="s">
        <v>7596</v>
      </c>
      <c r="B2373" s="6" t="s">
        <v>3479</v>
      </c>
      <c r="C2373" s="26" t="n">
        <v>46107</v>
      </c>
      <c r="D2373" s="6" t="s">
        <v>5807</v>
      </c>
      <c r="E2373" s="6" t="s">
        <v>20</v>
      </c>
      <c r="F2373" s="6" t="n">
        <v>1</v>
      </c>
      <c r="G2373" s="10" t="n">
        <v>15296</v>
      </c>
      <c r="H2373" s="10" t="n">
        <f aca="false">F2373*G2373</f>
        <v>15296</v>
      </c>
      <c r="I2373" s="6" t="s">
        <v>5148</v>
      </c>
    </row>
    <row r="2374" customFormat="false" ht="15" hidden="false" customHeight="false" outlineLevel="0" collapsed="false">
      <c r="A2374" s="6" t="s">
        <v>7597</v>
      </c>
      <c r="B2374" s="6" t="s">
        <v>1231</v>
      </c>
      <c r="C2374" s="26" t="n">
        <v>46107</v>
      </c>
      <c r="D2374" s="6" t="s">
        <v>5139</v>
      </c>
      <c r="E2374" s="6" t="s">
        <v>23</v>
      </c>
      <c r="F2374" s="6" t="n">
        <v>3</v>
      </c>
      <c r="G2374" s="10" t="n">
        <v>279</v>
      </c>
      <c r="H2374" s="10" t="n">
        <f aca="false">F2374*G2374</f>
        <v>837</v>
      </c>
      <c r="I2374" s="6" t="s">
        <v>5122</v>
      </c>
    </row>
    <row r="2375" customFormat="false" ht="15" hidden="false" customHeight="false" outlineLevel="0" collapsed="false">
      <c r="A2375" s="6" t="s">
        <v>7598</v>
      </c>
      <c r="B2375" s="6" t="s">
        <v>883</v>
      </c>
      <c r="C2375" s="26" t="n">
        <v>46107</v>
      </c>
      <c r="D2375" s="6" t="s">
        <v>5683</v>
      </c>
      <c r="E2375" s="6" t="s">
        <v>22</v>
      </c>
      <c r="F2375" s="6" t="n">
        <v>2</v>
      </c>
      <c r="G2375" s="10" t="n">
        <v>1760</v>
      </c>
      <c r="H2375" s="10" t="n">
        <f aca="false">F2375*G2375</f>
        <v>3520</v>
      </c>
      <c r="I2375" s="6" t="s">
        <v>5122</v>
      </c>
    </row>
    <row r="2376" customFormat="false" ht="15" hidden="false" customHeight="false" outlineLevel="0" collapsed="false">
      <c r="A2376" s="6" t="s">
        <v>7599</v>
      </c>
      <c r="B2376" s="6" t="s">
        <v>4907</v>
      </c>
      <c r="C2376" s="26" t="n">
        <v>46107</v>
      </c>
      <c r="D2376" s="6" t="s">
        <v>5163</v>
      </c>
      <c r="E2376" s="6" t="s">
        <v>23</v>
      </c>
      <c r="F2376" s="6" t="n">
        <v>3</v>
      </c>
      <c r="G2376" s="10" t="n">
        <v>783</v>
      </c>
      <c r="H2376" s="10" t="n">
        <f aca="false">F2376*G2376</f>
        <v>2349</v>
      </c>
      <c r="I2376" s="6" t="s">
        <v>5125</v>
      </c>
    </row>
    <row r="2377" customFormat="false" ht="15" hidden="false" customHeight="false" outlineLevel="0" collapsed="false">
      <c r="A2377" s="6" t="s">
        <v>7600</v>
      </c>
      <c r="B2377" s="6" t="s">
        <v>1737</v>
      </c>
      <c r="C2377" s="26" t="n">
        <v>46107</v>
      </c>
      <c r="D2377" s="6" t="s">
        <v>5216</v>
      </c>
      <c r="E2377" s="6" t="s">
        <v>23</v>
      </c>
      <c r="F2377" s="6" t="n">
        <v>2</v>
      </c>
      <c r="G2377" s="10" t="n">
        <v>558</v>
      </c>
      <c r="H2377" s="10" t="n">
        <f aca="false">F2377*G2377</f>
        <v>1116</v>
      </c>
      <c r="I2377" s="6" t="s">
        <v>5130</v>
      </c>
    </row>
    <row r="2378" customFormat="false" ht="15" hidden="false" customHeight="false" outlineLevel="0" collapsed="false">
      <c r="A2378" s="6" t="s">
        <v>7601</v>
      </c>
      <c r="B2378" s="6" t="s">
        <v>2243</v>
      </c>
      <c r="C2378" s="26" t="n">
        <v>46107</v>
      </c>
      <c r="D2378" s="6" t="s">
        <v>5160</v>
      </c>
      <c r="E2378" s="6" t="s">
        <v>21</v>
      </c>
      <c r="F2378" s="6" t="n">
        <v>1</v>
      </c>
      <c r="G2378" s="10" t="n">
        <v>2751</v>
      </c>
      <c r="H2378" s="10" t="n">
        <f aca="false">F2378*G2378</f>
        <v>2751</v>
      </c>
      <c r="I2378" s="6" t="s">
        <v>5148</v>
      </c>
    </row>
    <row r="2379" customFormat="false" ht="15" hidden="false" customHeight="false" outlineLevel="0" collapsed="false">
      <c r="A2379" s="6" t="s">
        <v>7602</v>
      </c>
      <c r="B2379" s="6" t="s">
        <v>374</v>
      </c>
      <c r="C2379" s="26" t="n">
        <v>46107</v>
      </c>
      <c r="D2379" s="6" t="s">
        <v>5137</v>
      </c>
      <c r="E2379" s="6" t="s">
        <v>21</v>
      </c>
      <c r="F2379" s="6" t="n">
        <v>1</v>
      </c>
      <c r="G2379" s="10" t="n">
        <v>1680</v>
      </c>
      <c r="H2379" s="10" t="n">
        <f aca="false">F2379*G2379</f>
        <v>1680</v>
      </c>
      <c r="I2379" s="6" t="s">
        <v>5148</v>
      </c>
    </row>
    <row r="2380" customFormat="false" ht="15" hidden="false" customHeight="false" outlineLevel="0" collapsed="false">
      <c r="A2380" s="6" t="s">
        <v>7603</v>
      </c>
      <c r="B2380" s="6" t="s">
        <v>1711</v>
      </c>
      <c r="C2380" s="26" t="n">
        <v>46107</v>
      </c>
      <c r="D2380" s="6" t="s">
        <v>5141</v>
      </c>
      <c r="E2380" s="6" t="s">
        <v>20</v>
      </c>
      <c r="F2380" s="6" t="n">
        <v>1</v>
      </c>
      <c r="G2380" s="10" t="n">
        <v>1834</v>
      </c>
      <c r="H2380" s="10" t="n">
        <f aca="false">F2380*G2380</f>
        <v>1834</v>
      </c>
      <c r="I2380" s="6" t="s">
        <v>5122</v>
      </c>
    </row>
    <row r="2381" customFormat="false" ht="15" hidden="false" customHeight="false" outlineLevel="0" collapsed="false">
      <c r="A2381" s="6" t="s">
        <v>7604</v>
      </c>
      <c r="B2381" s="6" t="s">
        <v>2093</v>
      </c>
      <c r="C2381" s="26" t="n">
        <v>46107</v>
      </c>
      <c r="D2381" s="6" t="s">
        <v>5290</v>
      </c>
      <c r="E2381" s="6" t="s">
        <v>23</v>
      </c>
      <c r="F2381" s="6" t="n">
        <v>2</v>
      </c>
      <c r="G2381" s="10" t="n">
        <v>106</v>
      </c>
      <c r="H2381" s="10" t="n">
        <f aca="false">F2381*G2381</f>
        <v>212</v>
      </c>
      <c r="I2381" s="6" t="s">
        <v>5148</v>
      </c>
    </row>
    <row r="2382" customFormat="false" ht="15" hidden="false" customHeight="false" outlineLevel="0" collapsed="false">
      <c r="A2382" s="6" t="s">
        <v>7605</v>
      </c>
      <c r="B2382" s="6" t="s">
        <v>2581</v>
      </c>
      <c r="C2382" s="26" t="n">
        <v>46107</v>
      </c>
      <c r="D2382" s="6" t="s">
        <v>5163</v>
      </c>
      <c r="E2382" s="6" t="s">
        <v>23</v>
      </c>
      <c r="F2382" s="6" t="n">
        <v>5</v>
      </c>
      <c r="G2382" s="10" t="n">
        <v>744</v>
      </c>
      <c r="H2382" s="10" t="n">
        <f aca="false">F2382*G2382</f>
        <v>3720</v>
      </c>
      <c r="I2382" s="6" t="s">
        <v>5122</v>
      </c>
    </row>
    <row r="2383" customFormat="false" ht="15" hidden="false" customHeight="false" outlineLevel="0" collapsed="false">
      <c r="A2383" s="6" t="s">
        <v>7606</v>
      </c>
      <c r="B2383" s="6" t="s">
        <v>414</v>
      </c>
      <c r="C2383" s="26" t="n">
        <v>46107</v>
      </c>
      <c r="D2383" s="6" t="s">
        <v>5807</v>
      </c>
      <c r="E2383" s="6" t="s">
        <v>20</v>
      </c>
      <c r="F2383" s="6" t="n">
        <v>1</v>
      </c>
      <c r="G2383" s="10" t="n">
        <v>15296</v>
      </c>
      <c r="H2383" s="10" t="n">
        <f aca="false">F2383*G2383</f>
        <v>15296</v>
      </c>
      <c r="I2383" s="6" t="s">
        <v>5148</v>
      </c>
    </row>
    <row r="2384" customFormat="false" ht="15" hidden="false" customHeight="false" outlineLevel="0" collapsed="false">
      <c r="A2384" s="6" t="s">
        <v>7607</v>
      </c>
      <c r="B2384" s="6" t="s">
        <v>3835</v>
      </c>
      <c r="C2384" s="26" t="n">
        <v>46107</v>
      </c>
      <c r="D2384" s="6" t="s">
        <v>5165</v>
      </c>
      <c r="E2384" s="6" t="s">
        <v>22</v>
      </c>
      <c r="F2384" s="6" t="n">
        <v>2</v>
      </c>
      <c r="G2384" s="10" t="n">
        <v>880</v>
      </c>
      <c r="H2384" s="10" t="n">
        <f aca="false">F2384*G2384</f>
        <v>1760</v>
      </c>
      <c r="I2384" s="6" t="s">
        <v>5122</v>
      </c>
    </row>
    <row r="2385" customFormat="false" ht="15" hidden="false" customHeight="false" outlineLevel="0" collapsed="false">
      <c r="A2385" s="6" t="s">
        <v>7608</v>
      </c>
      <c r="B2385" s="6" t="s">
        <v>3187</v>
      </c>
      <c r="C2385" s="26" t="n">
        <v>46107</v>
      </c>
      <c r="D2385" s="6" t="s">
        <v>5163</v>
      </c>
      <c r="E2385" s="6" t="s">
        <v>23</v>
      </c>
      <c r="F2385" s="6" t="n">
        <v>4</v>
      </c>
      <c r="G2385" s="10" t="n">
        <v>744</v>
      </c>
      <c r="H2385" s="10" t="n">
        <f aca="false">F2385*G2385</f>
        <v>2976</v>
      </c>
      <c r="I2385" s="6" t="s">
        <v>5122</v>
      </c>
    </row>
    <row r="2386" customFormat="false" ht="15" hidden="false" customHeight="false" outlineLevel="0" collapsed="false">
      <c r="A2386" s="6" t="s">
        <v>7609</v>
      </c>
      <c r="B2386" s="6" t="s">
        <v>751</v>
      </c>
      <c r="C2386" s="26" t="n">
        <v>46107</v>
      </c>
      <c r="D2386" s="6" t="s">
        <v>5466</v>
      </c>
      <c r="E2386" s="6" t="s">
        <v>21</v>
      </c>
      <c r="F2386" s="6" t="n">
        <v>2</v>
      </c>
      <c r="G2386" s="10" t="n">
        <v>1965</v>
      </c>
      <c r="H2386" s="10" t="n">
        <f aca="false">F2386*G2386</f>
        <v>3930</v>
      </c>
      <c r="I2386" s="6" t="s">
        <v>5122</v>
      </c>
    </row>
    <row r="2387" customFormat="false" ht="15" hidden="false" customHeight="false" outlineLevel="0" collapsed="false">
      <c r="A2387" s="6" t="s">
        <v>7610</v>
      </c>
      <c r="B2387" s="6" t="s">
        <v>923</v>
      </c>
      <c r="C2387" s="26" t="n">
        <v>46107</v>
      </c>
      <c r="D2387" s="6" t="s">
        <v>5837</v>
      </c>
      <c r="E2387" s="6" t="s">
        <v>21</v>
      </c>
      <c r="F2387" s="6" t="n">
        <v>1</v>
      </c>
      <c r="G2387" s="10" t="n">
        <v>2653</v>
      </c>
      <c r="H2387" s="10" t="n">
        <f aca="false">F2387*G2387</f>
        <v>2653</v>
      </c>
      <c r="I2387" s="6" t="s">
        <v>5122</v>
      </c>
    </row>
    <row r="2388" customFormat="false" ht="15" hidden="false" customHeight="false" outlineLevel="0" collapsed="false">
      <c r="A2388" s="6" t="s">
        <v>7611</v>
      </c>
      <c r="B2388" s="6" t="s">
        <v>3731</v>
      </c>
      <c r="C2388" s="26" t="n">
        <v>46107</v>
      </c>
      <c r="D2388" s="6" t="s">
        <v>5167</v>
      </c>
      <c r="E2388" s="6" t="s">
        <v>22</v>
      </c>
      <c r="F2388" s="6" t="n">
        <v>2</v>
      </c>
      <c r="G2388" s="10" t="n">
        <v>743</v>
      </c>
      <c r="H2388" s="10" t="n">
        <f aca="false">F2388*G2388</f>
        <v>1486</v>
      </c>
      <c r="I2388" s="6" t="s">
        <v>5122</v>
      </c>
    </row>
    <row r="2389" customFormat="false" ht="15" hidden="false" customHeight="false" outlineLevel="0" collapsed="false">
      <c r="A2389" s="6" t="s">
        <v>7612</v>
      </c>
      <c r="B2389" s="6" t="s">
        <v>2491</v>
      </c>
      <c r="C2389" s="26" t="n">
        <v>46107</v>
      </c>
      <c r="D2389" s="6" t="s">
        <v>5353</v>
      </c>
      <c r="E2389" s="6" t="s">
        <v>24</v>
      </c>
      <c r="F2389" s="6" t="n">
        <v>2</v>
      </c>
      <c r="G2389" s="10" t="n">
        <v>1629</v>
      </c>
      <c r="H2389" s="10" t="n">
        <f aca="false">F2389*G2389</f>
        <v>3258</v>
      </c>
      <c r="I2389" s="6" t="s">
        <v>5148</v>
      </c>
    </row>
    <row r="2390" customFormat="false" ht="15" hidden="false" customHeight="false" outlineLevel="0" collapsed="false">
      <c r="A2390" s="6" t="s">
        <v>7613</v>
      </c>
      <c r="B2390" s="6" t="s">
        <v>827</v>
      </c>
      <c r="C2390" s="26" t="n">
        <v>46107</v>
      </c>
      <c r="D2390" s="6" t="s">
        <v>5345</v>
      </c>
      <c r="E2390" s="6" t="s">
        <v>23</v>
      </c>
      <c r="F2390" s="6" t="n">
        <v>1</v>
      </c>
      <c r="G2390" s="10" t="n">
        <v>435</v>
      </c>
      <c r="H2390" s="10" t="n">
        <f aca="false">F2390*G2390</f>
        <v>435</v>
      </c>
      <c r="I2390" s="6" t="s">
        <v>5148</v>
      </c>
    </row>
    <row r="2391" customFormat="false" ht="15" hidden="false" customHeight="false" outlineLevel="0" collapsed="false">
      <c r="A2391" s="6" t="s">
        <v>7614</v>
      </c>
      <c r="B2391" s="6" t="s">
        <v>3283</v>
      </c>
      <c r="C2391" s="26" t="n">
        <v>46107</v>
      </c>
      <c r="D2391" s="6" t="s">
        <v>5259</v>
      </c>
      <c r="E2391" s="6" t="s">
        <v>22</v>
      </c>
      <c r="F2391" s="6" t="n">
        <v>2</v>
      </c>
      <c r="G2391" s="10" t="n">
        <v>1564</v>
      </c>
      <c r="H2391" s="10" t="n">
        <f aca="false">F2391*G2391</f>
        <v>3128</v>
      </c>
      <c r="I2391" s="6" t="s">
        <v>5133</v>
      </c>
    </row>
    <row r="2392" customFormat="false" ht="15" hidden="false" customHeight="false" outlineLevel="0" collapsed="false">
      <c r="A2392" s="6" t="s">
        <v>7615</v>
      </c>
      <c r="B2392" s="6" t="s">
        <v>5099</v>
      </c>
      <c r="C2392" s="26" t="n">
        <v>46107</v>
      </c>
      <c r="D2392" s="6" t="s">
        <v>5139</v>
      </c>
      <c r="E2392" s="6" t="s">
        <v>23</v>
      </c>
      <c r="F2392" s="6" t="n">
        <v>4</v>
      </c>
      <c r="G2392" s="10" t="n">
        <v>265</v>
      </c>
      <c r="H2392" s="10" t="n">
        <f aca="false">F2392*G2392</f>
        <v>1060</v>
      </c>
      <c r="I2392" s="6" t="s">
        <v>5133</v>
      </c>
    </row>
    <row r="2393" customFormat="false" ht="15" hidden="false" customHeight="false" outlineLevel="0" collapsed="false">
      <c r="A2393" s="6" t="s">
        <v>7616</v>
      </c>
      <c r="B2393" s="6" t="s">
        <v>3797</v>
      </c>
      <c r="C2393" s="26" t="n">
        <v>46107</v>
      </c>
      <c r="D2393" s="6" t="s">
        <v>5200</v>
      </c>
      <c r="E2393" s="6" t="s">
        <v>24</v>
      </c>
      <c r="F2393" s="6" t="n">
        <v>2</v>
      </c>
      <c r="G2393" s="10" t="n">
        <v>725</v>
      </c>
      <c r="H2393" s="10" t="n">
        <f aca="false">F2393*G2393</f>
        <v>1450</v>
      </c>
      <c r="I2393" s="6" t="s">
        <v>5133</v>
      </c>
    </row>
    <row r="2394" customFormat="false" ht="15" hidden="false" customHeight="false" outlineLevel="0" collapsed="false">
      <c r="A2394" s="6" t="s">
        <v>7617</v>
      </c>
      <c r="B2394" s="6" t="s">
        <v>565</v>
      </c>
      <c r="C2394" s="26" t="n">
        <v>46107</v>
      </c>
      <c r="D2394" s="6" t="s">
        <v>5259</v>
      </c>
      <c r="E2394" s="6" t="s">
        <v>22</v>
      </c>
      <c r="F2394" s="6" t="n">
        <v>3</v>
      </c>
      <c r="G2394" s="10" t="n">
        <v>1564</v>
      </c>
      <c r="H2394" s="10" t="n">
        <f aca="false">F2394*G2394</f>
        <v>4692</v>
      </c>
      <c r="I2394" s="6" t="s">
        <v>5125</v>
      </c>
    </row>
    <row r="2395" customFormat="false" ht="15" hidden="false" customHeight="false" outlineLevel="0" collapsed="false">
      <c r="A2395" s="6" t="s">
        <v>7618</v>
      </c>
      <c r="B2395" s="6" t="s">
        <v>4647</v>
      </c>
      <c r="C2395" s="26" t="n">
        <v>46107</v>
      </c>
      <c r="D2395" s="6" t="s">
        <v>5807</v>
      </c>
      <c r="E2395" s="6" t="s">
        <v>20</v>
      </c>
      <c r="F2395" s="6" t="n">
        <v>1</v>
      </c>
      <c r="G2395" s="10" t="n">
        <v>15296</v>
      </c>
      <c r="H2395" s="10" t="n">
        <f aca="false">F2395*G2395</f>
        <v>15296</v>
      </c>
      <c r="I2395" s="6" t="s">
        <v>5122</v>
      </c>
    </row>
    <row r="2396" customFormat="false" ht="15" hidden="false" customHeight="false" outlineLevel="0" collapsed="false">
      <c r="A2396" s="6" t="s">
        <v>7619</v>
      </c>
      <c r="B2396" s="6" t="s">
        <v>174</v>
      </c>
      <c r="C2396" s="26" t="n">
        <v>46107</v>
      </c>
      <c r="D2396" s="6" t="s">
        <v>5200</v>
      </c>
      <c r="E2396" s="6" t="s">
        <v>24</v>
      </c>
      <c r="F2396" s="6" t="n">
        <v>1</v>
      </c>
      <c r="G2396" s="10" t="n">
        <v>687</v>
      </c>
      <c r="H2396" s="10" t="n">
        <f aca="false">F2396*G2396</f>
        <v>687</v>
      </c>
      <c r="I2396" s="6" t="s">
        <v>5122</v>
      </c>
    </row>
    <row r="2397" customFormat="false" ht="15" hidden="false" customHeight="false" outlineLevel="0" collapsed="false">
      <c r="A2397" s="6" t="s">
        <v>7620</v>
      </c>
      <c r="B2397" s="6" t="s">
        <v>3655</v>
      </c>
      <c r="C2397" s="26" t="n">
        <v>46107</v>
      </c>
      <c r="D2397" s="6" t="s">
        <v>5482</v>
      </c>
      <c r="E2397" s="6" t="s">
        <v>23</v>
      </c>
      <c r="F2397" s="6" t="n">
        <v>2</v>
      </c>
      <c r="G2397" s="10" t="n">
        <v>243</v>
      </c>
      <c r="H2397" s="10" t="n">
        <f aca="false">F2397*G2397</f>
        <v>486</v>
      </c>
      <c r="I2397" s="6" t="s">
        <v>5122</v>
      </c>
    </row>
    <row r="2398" customFormat="false" ht="15" hidden="false" customHeight="false" outlineLevel="0" collapsed="false">
      <c r="A2398" s="6" t="s">
        <v>7621</v>
      </c>
      <c r="B2398" s="6" t="s">
        <v>1053</v>
      </c>
      <c r="C2398" s="26" t="n">
        <v>46107</v>
      </c>
      <c r="D2398" s="6" t="s">
        <v>5188</v>
      </c>
      <c r="E2398" s="6" t="s">
        <v>24</v>
      </c>
      <c r="F2398" s="6" t="n">
        <v>1</v>
      </c>
      <c r="G2398" s="10" t="n">
        <v>1018</v>
      </c>
      <c r="H2398" s="10" t="n">
        <f aca="false">F2398*G2398</f>
        <v>1018</v>
      </c>
      <c r="I2398" s="6" t="s">
        <v>5122</v>
      </c>
    </row>
    <row r="2399" customFormat="false" ht="15" hidden="false" customHeight="false" outlineLevel="0" collapsed="false">
      <c r="A2399" s="6" t="s">
        <v>7622</v>
      </c>
      <c r="B2399" s="6" t="s">
        <v>3933</v>
      </c>
      <c r="C2399" s="26" t="n">
        <v>46107</v>
      </c>
      <c r="D2399" s="6" t="s">
        <v>5224</v>
      </c>
      <c r="E2399" s="6" t="s">
        <v>23</v>
      </c>
      <c r="F2399" s="6" t="n">
        <v>5</v>
      </c>
      <c r="G2399" s="10" t="n">
        <v>195</v>
      </c>
      <c r="H2399" s="10" t="n">
        <f aca="false">F2399*G2399</f>
        <v>975</v>
      </c>
      <c r="I2399" s="6" t="s">
        <v>5122</v>
      </c>
    </row>
    <row r="2400" customFormat="false" ht="15" hidden="false" customHeight="false" outlineLevel="0" collapsed="false">
      <c r="A2400" s="6" t="s">
        <v>7623</v>
      </c>
      <c r="B2400" s="6" t="s">
        <v>813</v>
      </c>
      <c r="C2400" s="26" t="n">
        <v>46107</v>
      </c>
      <c r="D2400" s="6" t="s">
        <v>5152</v>
      </c>
      <c r="E2400" s="6" t="s">
        <v>22</v>
      </c>
      <c r="F2400" s="6" t="n">
        <v>2</v>
      </c>
      <c r="G2400" s="10" t="n">
        <v>1760</v>
      </c>
      <c r="H2400" s="10" t="n">
        <f aca="false">F2400*G2400</f>
        <v>3520</v>
      </c>
      <c r="I2400" s="6" t="s">
        <v>5122</v>
      </c>
    </row>
    <row r="2401" customFormat="false" ht="15" hidden="false" customHeight="false" outlineLevel="0" collapsed="false">
      <c r="A2401" s="6" t="s">
        <v>7624</v>
      </c>
      <c r="B2401" s="6" t="s">
        <v>4265</v>
      </c>
      <c r="C2401" s="26" t="n">
        <v>46107</v>
      </c>
      <c r="D2401" s="6" t="s">
        <v>5318</v>
      </c>
      <c r="E2401" s="6" t="s">
        <v>20</v>
      </c>
      <c r="F2401" s="6" t="n">
        <v>1</v>
      </c>
      <c r="G2401" s="10" t="n">
        <v>1529</v>
      </c>
      <c r="H2401" s="10" t="n">
        <f aca="false">F2401*G2401</f>
        <v>1529</v>
      </c>
      <c r="I2401" s="6" t="s">
        <v>5122</v>
      </c>
    </row>
    <row r="2402" customFormat="false" ht="15" hidden="false" customHeight="false" outlineLevel="0" collapsed="false">
      <c r="A2402" s="6" t="s">
        <v>7625</v>
      </c>
      <c r="B2402" s="6" t="s">
        <v>4609</v>
      </c>
      <c r="C2402" s="26" t="n">
        <v>46108</v>
      </c>
      <c r="D2402" s="6" t="s">
        <v>5273</v>
      </c>
      <c r="E2402" s="6" t="s">
        <v>23</v>
      </c>
      <c r="F2402" s="6" t="n">
        <v>4</v>
      </c>
      <c r="G2402" s="10" t="n">
        <v>240</v>
      </c>
      <c r="H2402" s="10" t="n">
        <f aca="false">F2402*G2402</f>
        <v>960</v>
      </c>
      <c r="I2402" s="6" t="s">
        <v>5133</v>
      </c>
    </row>
    <row r="2403" customFormat="false" ht="15" hidden="false" customHeight="false" outlineLevel="0" collapsed="false">
      <c r="A2403" s="6" t="s">
        <v>7626</v>
      </c>
      <c r="B2403" s="6" t="s">
        <v>3067</v>
      </c>
      <c r="C2403" s="26" t="n">
        <v>46108</v>
      </c>
      <c r="D2403" s="6" t="s">
        <v>5522</v>
      </c>
      <c r="E2403" s="6" t="s">
        <v>21</v>
      </c>
      <c r="F2403" s="6" t="n">
        <v>2</v>
      </c>
      <c r="G2403" s="10" t="n">
        <v>11499</v>
      </c>
      <c r="H2403" s="10" t="n">
        <f aca="false">F2403*G2403</f>
        <v>22998</v>
      </c>
      <c r="I2403" s="6" t="s">
        <v>5148</v>
      </c>
    </row>
    <row r="2404" customFormat="false" ht="15" hidden="false" customHeight="false" outlineLevel="0" collapsed="false">
      <c r="A2404" s="6" t="s">
        <v>7627</v>
      </c>
      <c r="B2404" s="6" t="s">
        <v>4643</v>
      </c>
      <c r="C2404" s="26" t="n">
        <v>46108</v>
      </c>
      <c r="D2404" s="6" t="s">
        <v>5837</v>
      </c>
      <c r="E2404" s="6" t="s">
        <v>21</v>
      </c>
      <c r="F2404" s="6" t="n">
        <v>1</v>
      </c>
      <c r="G2404" s="10" t="n">
        <v>2948</v>
      </c>
      <c r="H2404" s="10" t="n">
        <f aca="false">F2404*G2404</f>
        <v>2948</v>
      </c>
      <c r="I2404" s="6" t="s">
        <v>5125</v>
      </c>
    </row>
    <row r="2405" customFormat="false" ht="15" hidden="false" customHeight="false" outlineLevel="0" collapsed="false">
      <c r="A2405" s="6" t="s">
        <v>7628</v>
      </c>
      <c r="B2405" s="6" t="s">
        <v>2781</v>
      </c>
      <c r="C2405" s="26" t="n">
        <v>46108</v>
      </c>
      <c r="D2405" s="6" t="s">
        <v>5171</v>
      </c>
      <c r="E2405" s="6" t="s">
        <v>23</v>
      </c>
      <c r="F2405" s="6" t="n">
        <v>1</v>
      </c>
      <c r="G2405" s="10" t="n">
        <v>733</v>
      </c>
      <c r="H2405" s="10" t="n">
        <f aca="false">F2405*G2405</f>
        <v>733</v>
      </c>
      <c r="I2405" s="6" t="s">
        <v>5133</v>
      </c>
    </row>
    <row r="2406" customFormat="false" ht="15" hidden="false" customHeight="false" outlineLevel="0" collapsed="false">
      <c r="A2406" s="6" t="s">
        <v>7629</v>
      </c>
      <c r="B2406" s="6" t="s">
        <v>3235</v>
      </c>
      <c r="C2406" s="26" t="n">
        <v>46108</v>
      </c>
      <c r="D2406" s="6" t="s">
        <v>5837</v>
      </c>
      <c r="E2406" s="6" t="s">
        <v>21</v>
      </c>
      <c r="F2406" s="6" t="n">
        <v>2</v>
      </c>
      <c r="G2406" s="10" t="n">
        <v>2800</v>
      </c>
      <c r="H2406" s="10" t="n">
        <f aca="false">F2406*G2406</f>
        <v>5600</v>
      </c>
      <c r="I2406" s="6" t="s">
        <v>5122</v>
      </c>
    </row>
    <row r="2407" customFormat="false" ht="15" hidden="false" customHeight="false" outlineLevel="0" collapsed="false">
      <c r="A2407" s="6" t="s">
        <v>7630</v>
      </c>
      <c r="B2407" s="6" t="s">
        <v>1743</v>
      </c>
      <c r="C2407" s="26" t="n">
        <v>46108</v>
      </c>
      <c r="D2407" s="6" t="s">
        <v>6149</v>
      </c>
      <c r="E2407" s="6" t="s">
        <v>20</v>
      </c>
      <c r="F2407" s="6" t="n">
        <v>1</v>
      </c>
      <c r="G2407" s="10" t="n">
        <v>28553</v>
      </c>
      <c r="H2407" s="10" t="n">
        <f aca="false">F2407*G2407</f>
        <v>28553</v>
      </c>
      <c r="I2407" s="6" t="s">
        <v>5173</v>
      </c>
    </row>
    <row r="2408" customFormat="false" ht="15" hidden="false" customHeight="false" outlineLevel="0" collapsed="false">
      <c r="A2408" s="6" t="s">
        <v>7631</v>
      </c>
      <c r="B2408" s="6" t="s">
        <v>3015</v>
      </c>
      <c r="C2408" s="26" t="n">
        <v>46108</v>
      </c>
      <c r="D2408" s="6" t="s">
        <v>5121</v>
      </c>
      <c r="E2408" s="6" t="s">
        <v>22</v>
      </c>
      <c r="F2408" s="6" t="n">
        <v>1</v>
      </c>
      <c r="G2408" s="10" t="n">
        <v>928</v>
      </c>
      <c r="H2408" s="10" t="n">
        <f aca="false">F2408*G2408</f>
        <v>928</v>
      </c>
      <c r="I2408" s="6" t="s">
        <v>5122</v>
      </c>
    </row>
    <row r="2409" customFormat="false" ht="15" hidden="false" customHeight="false" outlineLevel="0" collapsed="false">
      <c r="A2409" s="6" t="s">
        <v>7632</v>
      </c>
      <c r="B2409" s="6" t="s">
        <v>2765</v>
      </c>
      <c r="C2409" s="26" t="n">
        <v>46108</v>
      </c>
      <c r="D2409" s="6" t="s">
        <v>5180</v>
      </c>
      <c r="E2409" s="6" t="s">
        <v>24</v>
      </c>
      <c r="F2409" s="6" t="n">
        <v>1</v>
      </c>
      <c r="G2409" s="10" t="n">
        <v>1889</v>
      </c>
      <c r="H2409" s="10" t="n">
        <f aca="false">F2409*G2409</f>
        <v>1889</v>
      </c>
      <c r="I2409" s="6" t="s">
        <v>5122</v>
      </c>
    </row>
    <row r="2410" customFormat="false" ht="15" hidden="false" customHeight="false" outlineLevel="0" collapsed="false">
      <c r="A2410" s="6" t="s">
        <v>7633</v>
      </c>
      <c r="B2410" s="6" t="s">
        <v>641</v>
      </c>
      <c r="C2410" s="26" t="n">
        <v>46108</v>
      </c>
      <c r="D2410" s="6" t="s">
        <v>5141</v>
      </c>
      <c r="E2410" s="6" t="s">
        <v>20</v>
      </c>
      <c r="F2410" s="6" t="n">
        <v>1</v>
      </c>
      <c r="G2410" s="10" t="n">
        <v>1743</v>
      </c>
      <c r="H2410" s="10" t="n">
        <f aca="false">F2410*G2410</f>
        <v>1743</v>
      </c>
      <c r="I2410" s="6" t="s">
        <v>5148</v>
      </c>
    </row>
    <row r="2411" customFormat="false" ht="15" hidden="false" customHeight="false" outlineLevel="0" collapsed="false">
      <c r="A2411" s="6" t="s">
        <v>7634</v>
      </c>
      <c r="B2411" s="6" t="s">
        <v>4187</v>
      </c>
      <c r="C2411" s="26" t="n">
        <v>46108</v>
      </c>
      <c r="D2411" s="6" t="s">
        <v>5143</v>
      </c>
      <c r="E2411" s="6" t="s">
        <v>21</v>
      </c>
      <c r="F2411" s="6" t="n">
        <v>3</v>
      </c>
      <c r="G2411" s="10" t="n">
        <v>1120</v>
      </c>
      <c r="H2411" s="10" t="n">
        <f aca="false">F2411*G2411</f>
        <v>3360</v>
      </c>
      <c r="I2411" s="6" t="s">
        <v>5122</v>
      </c>
    </row>
    <row r="2412" customFormat="false" ht="15" hidden="false" customHeight="false" outlineLevel="0" collapsed="false">
      <c r="A2412" s="6" t="s">
        <v>7635</v>
      </c>
      <c r="B2412" s="6" t="s">
        <v>1883</v>
      </c>
      <c r="C2412" s="26" t="n">
        <v>46108</v>
      </c>
      <c r="D2412" s="6" t="s">
        <v>5226</v>
      </c>
      <c r="E2412" s="6" t="s">
        <v>24</v>
      </c>
      <c r="F2412" s="6" t="n">
        <v>1</v>
      </c>
      <c r="G2412" s="10" t="n">
        <v>457</v>
      </c>
      <c r="H2412" s="10" t="n">
        <f aca="false">F2412*G2412</f>
        <v>457</v>
      </c>
      <c r="I2412" s="6" t="s">
        <v>5122</v>
      </c>
    </row>
    <row r="2413" customFormat="false" ht="15" hidden="false" customHeight="false" outlineLevel="0" collapsed="false">
      <c r="A2413" s="6" t="s">
        <v>7636</v>
      </c>
      <c r="B2413" s="6" t="s">
        <v>1153</v>
      </c>
      <c r="C2413" s="26" t="n">
        <v>46108</v>
      </c>
      <c r="D2413" s="6" t="s">
        <v>5200</v>
      </c>
      <c r="E2413" s="6" t="s">
        <v>24</v>
      </c>
      <c r="F2413" s="6" t="n">
        <v>1</v>
      </c>
      <c r="G2413" s="10" t="n">
        <v>763</v>
      </c>
      <c r="H2413" s="10" t="n">
        <f aca="false">F2413*G2413</f>
        <v>763</v>
      </c>
      <c r="I2413" s="6" t="s">
        <v>5130</v>
      </c>
    </row>
    <row r="2414" customFormat="false" ht="15" hidden="false" customHeight="false" outlineLevel="0" collapsed="false">
      <c r="A2414" s="6" t="s">
        <v>7637</v>
      </c>
      <c r="B2414" s="6" t="s">
        <v>613</v>
      </c>
      <c r="C2414" s="26" t="n">
        <v>46108</v>
      </c>
      <c r="D2414" s="6" t="s">
        <v>5165</v>
      </c>
      <c r="E2414" s="6" t="s">
        <v>22</v>
      </c>
      <c r="F2414" s="6" t="n">
        <v>3</v>
      </c>
      <c r="G2414" s="10" t="n">
        <v>977</v>
      </c>
      <c r="H2414" s="10" t="n">
        <f aca="false">F2414*G2414</f>
        <v>2931</v>
      </c>
      <c r="I2414" s="6" t="s">
        <v>5122</v>
      </c>
    </row>
    <row r="2415" customFormat="false" ht="15" hidden="false" customHeight="false" outlineLevel="0" collapsed="false">
      <c r="A2415" s="6" t="s">
        <v>7638</v>
      </c>
      <c r="B2415" s="6" t="s">
        <v>2761</v>
      </c>
      <c r="C2415" s="26" t="n">
        <v>46108</v>
      </c>
      <c r="D2415" s="6" t="s">
        <v>5687</v>
      </c>
      <c r="E2415" s="6" t="s">
        <v>20</v>
      </c>
      <c r="F2415" s="6" t="n">
        <v>1</v>
      </c>
      <c r="G2415" s="10" t="n">
        <v>1835</v>
      </c>
      <c r="H2415" s="10" t="n">
        <f aca="false">F2415*G2415</f>
        <v>1835</v>
      </c>
      <c r="I2415" s="6" t="s">
        <v>5122</v>
      </c>
    </row>
    <row r="2416" customFormat="false" ht="15" hidden="false" customHeight="false" outlineLevel="0" collapsed="false">
      <c r="A2416" s="6" t="s">
        <v>7639</v>
      </c>
      <c r="B2416" s="6" t="s">
        <v>1233</v>
      </c>
      <c r="C2416" s="26" t="n">
        <v>46108</v>
      </c>
      <c r="D2416" s="6" t="s">
        <v>5466</v>
      </c>
      <c r="E2416" s="6" t="s">
        <v>21</v>
      </c>
      <c r="F2416" s="6" t="n">
        <v>1</v>
      </c>
      <c r="G2416" s="10" t="n">
        <v>1867</v>
      </c>
      <c r="H2416" s="10" t="n">
        <f aca="false">F2416*G2416</f>
        <v>1867</v>
      </c>
      <c r="I2416" s="6" t="s">
        <v>5122</v>
      </c>
    </row>
    <row r="2417" customFormat="false" ht="15" hidden="false" customHeight="false" outlineLevel="0" collapsed="false">
      <c r="A2417" s="6" t="s">
        <v>7640</v>
      </c>
      <c r="B2417" s="6" t="s">
        <v>3049</v>
      </c>
      <c r="C2417" s="26" t="n">
        <v>46108</v>
      </c>
      <c r="D2417" s="6" t="s">
        <v>5298</v>
      </c>
      <c r="E2417" s="6" t="s">
        <v>23</v>
      </c>
      <c r="F2417" s="6" t="n">
        <v>4</v>
      </c>
      <c r="G2417" s="10" t="n">
        <v>293</v>
      </c>
      <c r="H2417" s="10" t="n">
        <f aca="false">F2417*G2417</f>
        <v>1172</v>
      </c>
      <c r="I2417" s="6" t="s">
        <v>5130</v>
      </c>
    </row>
    <row r="2418" customFormat="false" ht="15" hidden="false" customHeight="false" outlineLevel="0" collapsed="false">
      <c r="A2418" s="6" t="s">
        <v>7641</v>
      </c>
      <c r="B2418" s="6" t="s">
        <v>5015</v>
      </c>
      <c r="C2418" s="26" t="n">
        <v>46108</v>
      </c>
      <c r="D2418" s="6" t="s">
        <v>5237</v>
      </c>
      <c r="E2418" s="6" t="s">
        <v>24</v>
      </c>
      <c r="F2418" s="6" t="n">
        <v>1</v>
      </c>
      <c r="G2418" s="10" t="n">
        <v>1833</v>
      </c>
      <c r="H2418" s="10" t="n">
        <f aca="false">F2418*G2418</f>
        <v>1833</v>
      </c>
      <c r="I2418" s="6" t="s">
        <v>5125</v>
      </c>
    </row>
    <row r="2419" customFormat="false" ht="15" hidden="false" customHeight="false" outlineLevel="0" collapsed="false">
      <c r="A2419" s="6" t="s">
        <v>7642</v>
      </c>
      <c r="B2419" s="6" t="s">
        <v>2113</v>
      </c>
      <c r="C2419" s="26" t="n">
        <v>46108</v>
      </c>
      <c r="D2419" s="6" t="s">
        <v>5561</v>
      </c>
      <c r="E2419" s="6" t="s">
        <v>20</v>
      </c>
      <c r="F2419" s="6" t="n">
        <v>1</v>
      </c>
      <c r="G2419" s="10" t="n">
        <v>3196</v>
      </c>
      <c r="H2419" s="10" t="n">
        <f aca="false">F2419*G2419</f>
        <v>3196</v>
      </c>
      <c r="I2419" s="6" t="s">
        <v>5148</v>
      </c>
    </row>
    <row r="2420" customFormat="false" ht="15" hidden="false" customHeight="false" outlineLevel="0" collapsed="false">
      <c r="A2420" s="6" t="s">
        <v>7643</v>
      </c>
      <c r="B2420" s="6" t="s">
        <v>4617</v>
      </c>
      <c r="C2420" s="26" t="n">
        <v>46108</v>
      </c>
      <c r="D2420" s="6" t="s">
        <v>5167</v>
      </c>
      <c r="E2420" s="6" t="s">
        <v>22</v>
      </c>
      <c r="F2420" s="6" t="n">
        <v>1</v>
      </c>
      <c r="G2420" s="10" t="n">
        <v>703</v>
      </c>
      <c r="H2420" s="10" t="n">
        <f aca="false">F2420*G2420</f>
        <v>703</v>
      </c>
      <c r="I2420" s="6" t="s">
        <v>5148</v>
      </c>
    </row>
    <row r="2421" customFormat="false" ht="15" hidden="false" customHeight="false" outlineLevel="0" collapsed="false">
      <c r="A2421" s="6" t="s">
        <v>7644</v>
      </c>
      <c r="B2421" s="6" t="s">
        <v>1845</v>
      </c>
      <c r="C2421" s="26" t="n">
        <v>46108</v>
      </c>
      <c r="D2421" s="6" t="s">
        <v>5357</v>
      </c>
      <c r="E2421" s="6" t="s">
        <v>23</v>
      </c>
      <c r="F2421" s="6" t="n">
        <v>4</v>
      </c>
      <c r="G2421" s="10" t="n">
        <v>534</v>
      </c>
      <c r="H2421" s="10" t="n">
        <f aca="false">F2421*G2421</f>
        <v>2136</v>
      </c>
      <c r="I2421" s="6" t="s">
        <v>5130</v>
      </c>
    </row>
    <row r="2422" customFormat="false" ht="15" hidden="false" customHeight="false" outlineLevel="0" collapsed="false">
      <c r="A2422" s="6" t="s">
        <v>7645</v>
      </c>
      <c r="B2422" s="6" t="s">
        <v>5037</v>
      </c>
      <c r="C2422" s="26" t="n">
        <v>46108</v>
      </c>
      <c r="D2422" s="6" t="s">
        <v>5837</v>
      </c>
      <c r="E2422" s="6" t="s">
        <v>21</v>
      </c>
      <c r="F2422" s="6" t="n">
        <v>1</v>
      </c>
      <c r="G2422" s="10" t="n">
        <v>2800</v>
      </c>
      <c r="H2422" s="10" t="n">
        <f aca="false">F2422*G2422</f>
        <v>2800</v>
      </c>
      <c r="I2422" s="6" t="s">
        <v>5133</v>
      </c>
    </row>
    <row r="2423" customFormat="false" ht="15" hidden="false" customHeight="false" outlineLevel="0" collapsed="false">
      <c r="A2423" s="6" t="s">
        <v>7646</v>
      </c>
      <c r="B2423" s="6" t="s">
        <v>1753</v>
      </c>
      <c r="C2423" s="26" t="n">
        <v>46108</v>
      </c>
      <c r="D2423" s="6" t="s">
        <v>5127</v>
      </c>
      <c r="E2423" s="6" t="s">
        <v>21</v>
      </c>
      <c r="F2423" s="6" t="n">
        <v>1</v>
      </c>
      <c r="G2423" s="10" t="n">
        <v>795</v>
      </c>
      <c r="H2423" s="10" t="n">
        <f aca="false">F2423*G2423</f>
        <v>795</v>
      </c>
      <c r="I2423" s="6" t="s">
        <v>5130</v>
      </c>
    </row>
    <row r="2424" customFormat="false" ht="15" hidden="false" customHeight="false" outlineLevel="0" collapsed="false">
      <c r="A2424" s="6" t="s">
        <v>7647</v>
      </c>
      <c r="B2424" s="6" t="s">
        <v>883</v>
      </c>
      <c r="C2424" s="26" t="n">
        <v>46108</v>
      </c>
      <c r="D2424" s="6" t="s">
        <v>5175</v>
      </c>
      <c r="E2424" s="6" t="s">
        <v>24</v>
      </c>
      <c r="F2424" s="6" t="n">
        <v>2</v>
      </c>
      <c r="G2424" s="10" t="n">
        <v>610</v>
      </c>
      <c r="H2424" s="10" t="n">
        <f aca="false">F2424*G2424</f>
        <v>1220</v>
      </c>
      <c r="I2424" s="6" t="s">
        <v>5122</v>
      </c>
    </row>
    <row r="2425" customFormat="false" ht="15" hidden="false" customHeight="false" outlineLevel="0" collapsed="false">
      <c r="A2425" s="6" t="s">
        <v>7648</v>
      </c>
      <c r="B2425" s="6" t="s">
        <v>1133</v>
      </c>
      <c r="C2425" s="26" t="n">
        <v>46108</v>
      </c>
      <c r="D2425" s="6" t="s">
        <v>5121</v>
      </c>
      <c r="E2425" s="6" t="s">
        <v>22</v>
      </c>
      <c r="F2425" s="6" t="n">
        <v>1</v>
      </c>
      <c r="G2425" s="10" t="n">
        <v>977</v>
      </c>
      <c r="H2425" s="10" t="n">
        <f aca="false">F2425*G2425</f>
        <v>977</v>
      </c>
      <c r="I2425" s="6" t="s">
        <v>5130</v>
      </c>
    </row>
    <row r="2426" customFormat="false" ht="15" hidden="false" customHeight="false" outlineLevel="0" collapsed="false">
      <c r="A2426" s="6" t="s">
        <v>7649</v>
      </c>
      <c r="B2426" s="6" t="s">
        <v>3749</v>
      </c>
      <c r="C2426" s="26" t="n">
        <v>46108</v>
      </c>
      <c r="D2426" s="6" t="s">
        <v>5121</v>
      </c>
      <c r="E2426" s="6" t="s">
        <v>22</v>
      </c>
      <c r="F2426" s="6" t="n">
        <v>1</v>
      </c>
      <c r="G2426" s="10" t="n">
        <v>977</v>
      </c>
      <c r="H2426" s="10" t="n">
        <f aca="false">F2426*G2426</f>
        <v>977</v>
      </c>
      <c r="I2426" s="6" t="s">
        <v>5122</v>
      </c>
    </row>
    <row r="2427" customFormat="false" ht="15" hidden="false" customHeight="false" outlineLevel="0" collapsed="false">
      <c r="A2427" s="6" t="s">
        <v>7650</v>
      </c>
      <c r="B2427" s="6" t="s">
        <v>2889</v>
      </c>
      <c r="C2427" s="26" t="n">
        <v>46108</v>
      </c>
      <c r="D2427" s="6" t="s">
        <v>5277</v>
      </c>
      <c r="E2427" s="6" t="s">
        <v>22</v>
      </c>
      <c r="F2427" s="6" t="n">
        <v>2</v>
      </c>
      <c r="G2427" s="10" t="n">
        <v>2738</v>
      </c>
      <c r="H2427" s="10" t="n">
        <f aca="false">F2427*G2427</f>
        <v>5476</v>
      </c>
      <c r="I2427" s="6" t="s">
        <v>5173</v>
      </c>
    </row>
    <row r="2428" customFormat="false" ht="15" hidden="false" customHeight="false" outlineLevel="0" collapsed="false">
      <c r="A2428" s="6" t="s">
        <v>7651</v>
      </c>
      <c r="B2428" s="6" t="s">
        <v>3017</v>
      </c>
      <c r="C2428" s="26" t="n">
        <v>46108</v>
      </c>
      <c r="D2428" s="6" t="s">
        <v>5345</v>
      </c>
      <c r="E2428" s="6" t="s">
        <v>23</v>
      </c>
      <c r="F2428" s="6" t="n">
        <v>2</v>
      </c>
      <c r="G2428" s="10" t="n">
        <v>392</v>
      </c>
      <c r="H2428" s="10" t="n">
        <f aca="false">F2428*G2428</f>
        <v>784</v>
      </c>
      <c r="I2428" s="6" t="s">
        <v>5148</v>
      </c>
    </row>
    <row r="2429" customFormat="false" ht="15" hidden="false" customHeight="false" outlineLevel="0" collapsed="false">
      <c r="A2429" s="6" t="s">
        <v>7652</v>
      </c>
      <c r="B2429" s="6" t="s">
        <v>3751</v>
      </c>
      <c r="C2429" s="26" t="n">
        <v>46109</v>
      </c>
      <c r="D2429" s="6" t="s">
        <v>5167</v>
      </c>
      <c r="E2429" s="6" t="s">
        <v>22</v>
      </c>
      <c r="F2429" s="6" t="n">
        <v>2</v>
      </c>
      <c r="G2429" s="10" t="n">
        <v>782</v>
      </c>
      <c r="H2429" s="10" t="n">
        <f aca="false">F2429*G2429</f>
        <v>1564</v>
      </c>
      <c r="I2429" s="6" t="s">
        <v>5122</v>
      </c>
    </row>
    <row r="2430" customFormat="false" ht="15" hidden="false" customHeight="false" outlineLevel="0" collapsed="false">
      <c r="A2430" s="6" t="s">
        <v>7653</v>
      </c>
      <c r="B2430" s="6" t="s">
        <v>4631</v>
      </c>
      <c r="C2430" s="26" t="n">
        <v>46109</v>
      </c>
      <c r="D2430" s="6" t="s">
        <v>5167</v>
      </c>
      <c r="E2430" s="6" t="s">
        <v>22</v>
      </c>
      <c r="F2430" s="6" t="n">
        <v>1</v>
      </c>
      <c r="G2430" s="10" t="n">
        <v>743</v>
      </c>
      <c r="H2430" s="10" t="n">
        <f aca="false">F2430*G2430</f>
        <v>743</v>
      </c>
      <c r="I2430" s="6" t="s">
        <v>5125</v>
      </c>
    </row>
    <row r="2431" customFormat="false" ht="15" hidden="false" customHeight="false" outlineLevel="0" collapsed="false">
      <c r="A2431" s="6" t="s">
        <v>7654</v>
      </c>
      <c r="B2431" s="6" t="s">
        <v>1019</v>
      </c>
      <c r="C2431" s="26" t="n">
        <v>46109</v>
      </c>
      <c r="D2431" s="6" t="s">
        <v>5226</v>
      </c>
      <c r="E2431" s="6" t="s">
        <v>24</v>
      </c>
      <c r="F2431" s="6" t="n">
        <v>1</v>
      </c>
      <c r="G2431" s="10" t="n">
        <v>457</v>
      </c>
      <c r="H2431" s="10" t="n">
        <f aca="false">F2431*G2431</f>
        <v>457</v>
      </c>
      <c r="I2431" s="6" t="s">
        <v>5130</v>
      </c>
    </row>
    <row r="2432" customFormat="false" ht="15" hidden="false" customHeight="false" outlineLevel="0" collapsed="false">
      <c r="A2432" s="6" t="s">
        <v>7655</v>
      </c>
      <c r="B2432" s="6" t="s">
        <v>973</v>
      </c>
      <c r="C2432" s="26" t="n">
        <v>46109</v>
      </c>
      <c r="D2432" s="6" t="s">
        <v>5216</v>
      </c>
      <c r="E2432" s="6" t="s">
        <v>23</v>
      </c>
      <c r="F2432" s="6" t="n">
        <v>2</v>
      </c>
      <c r="G2432" s="10" t="n">
        <v>587</v>
      </c>
      <c r="H2432" s="10" t="n">
        <f aca="false">F2432*G2432</f>
        <v>1174</v>
      </c>
      <c r="I2432" s="6" t="s">
        <v>5130</v>
      </c>
    </row>
    <row r="2433" customFormat="false" ht="15" hidden="false" customHeight="false" outlineLevel="0" collapsed="false">
      <c r="A2433" s="6" t="s">
        <v>7656</v>
      </c>
      <c r="B2433" s="6" t="s">
        <v>2325</v>
      </c>
      <c r="C2433" s="26" t="n">
        <v>46109</v>
      </c>
      <c r="D2433" s="6" t="s">
        <v>5488</v>
      </c>
      <c r="E2433" s="6" t="s">
        <v>24</v>
      </c>
      <c r="F2433" s="6" t="n">
        <v>1</v>
      </c>
      <c r="G2433" s="10" t="n">
        <v>823</v>
      </c>
      <c r="H2433" s="10" t="n">
        <f aca="false">F2433*G2433</f>
        <v>823</v>
      </c>
      <c r="I2433" s="6" t="s">
        <v>5133</v>
      </c>
    </row>
    <row r="2434" customFormat="false" ht="15" hidden="false" customHeight="false" outlineLevel="0" collapsed="false">
      <c r="A2434" s="6" t="s">
        <v>7657</v>
      </c>
      <c r="B2434" s="6" t="s">
        <v>4739</v>
      </c>
      <c r="C2434" s="26" t="n">
        <v>46109</v>
      </c>
      <c r="D2434" s="6" t="s">
        <v>5318</v>
      </c>
      <c r="E2434" s="6" t="s">
        <v>20</v>
      </c>
      <c r="F2434" s="6" t="n">
        <v>1</v>
      </c>
      <c r="G2434" s="10" t="n">
        <v>1376</v>
      </c>
      <c r="H2434" s="10" t="n">
        <f aca="false">F2434*G2434</f>
        <v>1376</v>
      </c>
      <c r="I2434" s="6" t="s">
        <v>5122</v>
      </c>
    </row>
    <row r="2435" customFormat="false" ht="15" hidden="false" customHeight="false" outlineLevel="0" collapsed="false">
      <c r="A2435" s="6" t="s">
        <v>7658</v>
      </c>
      <c r="B2435" s="6" t="s">
        <v>2627</v>
      </c>
      <c r="C2435" s="26" t="n">
        <v>46109</v>
      </c>
      <c r="D2435" s="6" t="s">
        <v>5749</v>
      </c>
      <c r="E2435" s="6" t="s">
        <v>20</v>
      </c>
      <c r="F2435" s="6" t="n">
        <v>1</v>
      </c>
      <c r="G2435" s="10" t="n">
        <v>815</v>
      </c>
      <c r="H2435" s="10" t="n">
        <f aca="false">F2435*G2435</f>
        <v>815</v>
      </c>
      <c r="I2435" s="6" t="s">
        <v>5148</v>
      </c>
    </row>
    <row r="2436" customFormat="false" ht="15" hidden="false" customHeight="false" outlineLevel="0" collapsed="false">
      <c r="A2436" s="6" t="s">
        <v>7659</v>
      </c>
      <c r="B2436" s="6" t="s">
        <v>977</v>
      </c>
      <c r="C2436" s="26" t="n">
        <v>46109</v>
      </c>
      <c r="D2436" s="6" t="s">
        <v>5357</v>
      </c>
      <c r="E2436" s="6" t="s">
        <v>23</v>
      </c>
      <c r="F2436" s="6" t="n">
        <v>3</v>
      </c>
      <c r="G2436" s="10" t="n">
        <v>507</v>
      </c>
      <c r="H2436" s="10" t="n">
        <f aca="false">F2436*G2436</f>
        <v>1521</v>
      </c>
      <c r="I2436" s="6" t="s">
        <v>5130</v>
      </c>
    </row>
    <row r="2437" customFormat="false" ht="15" hidden="false" customHeight="false" outlineLevel="0" collapsed="false">
      <c r="A2437" s="6" t="s">
        <v>7660</v>
      </c>
      <c r="B2437" s="6" t="s">
        <v>3511</v>
      </c>
      <c r="C2437" s="26" t="n">
        <v>46109</v>
      </c>
      <c r="D2437" s="6" t="s">
        <v>5165</v>
      </c>
      <c r="E2437" s="6" t="s">
        <v>22</v>
      </c>
      <c r="F2437" s="6" t="n">
        <v>2</v>
      </c>
      <c r="G2437" s="10" t="n">
        <v>977</v>
      </c>
      <c r="H2437" s="10" t="n">
        <f aca="false">F2437*G2437</f>
        <v>1954</v>
      </c>
      <c r="I2437" s="6" t="s">
        <v>5148</v>
      </c>
    </row>
    <row r="2438" customFormat="false" ht="15" hidden="false" customHeight="false" outlineLevel="0" collapsed="false">
      <c r="A2438" s="6" t="s">
        <v>7661</v>
      </c>
      <c r="B2438" s="6" t="s">
        <v>841</v>
      </c>
      <c r="C2438" s="26" t="n">
        <v>46109</v>
      </c>
      <c r="D2438" s="6" t="s">
        <v>5192</v>
      </c>
      <c r="E2438" s="6" t="s">
        <v>20</v>
      </c>
      <c r="F2438" s="6" t="n">
        <v>1</v>
      </c>
      <c r="G2438" s="10" t="n">
        <v>4078</v>
      </c>
      <c r="H2438" s="10" t="n">
        <f aca="false">F2438*G2438</f>
        <v>4078</v>
      </c>
      <c r="I2438" s="6" t="s">
        <v>5122</v>
      </c>
    </row>
    <row r="2439" customFormat="false" ht="15" hidden="false" customHeight="false" outlineLevel="0" collapsed="false">
      <c r="A2439" s="6" t="s">
        <v>7662</v>
      </c>
      <c r="B2439" s="6" t="s">
        <v>4333</v>
      </c>
      <c r="C2439" s="26" t="n">
        <v>46109</v>
      </c>
      <c r="D2439" s="6" t="s">
        <v>5150</v>
      </c>
      <c r="E2439" s="6" t="s">
        <v>24</v>
      </c>
      <c r="F2439" s="6" t="n">
        <v>3</v>
      </c>
      <c r="G2439" s="10" t="n">
        <v>508</v>
      </c>
      <c r="H2439" s="10" t="n">
        <f aca="false">F2439*G2439</f>
        <v>1524</v>
      </c>
      <c r="I2439" s="6" t="s">
        <v>5125</v>
      </c>
    </row>
    <row r="2440" customFormat="false" ht="15" hidden="false" customHeight="false" outlineLevel="0" collapsed="false">
      <c r="A2440" s="6" t="s">
        <v>7663</v>
      </c>
      <c r="B2440" s="6" t="s">
        <v>2683</v>
      </c>
      <c r="C2440" s="26" t="n">
        <v>46109</v>
      </c>
      <c r="D2440" s="6" t="s">
        <v>5240</v>
      </c>
      <c r="E2440" s="6" t="s">
        <v>20</v>
      </c>
      <c r="F2440" s="6" t="n">
        <v>1</v>
      </c>
      <c r="G2440" s="10" t="n">
        <v>5098</v>
      </c>
      <c r="H2440" s="10" t="n">
        <f aca="false">F2440*G2440</f>
        <v>5098</v>
      </c>
      <c r="I2440" s="6" t="s">
        <v>5148</v>
      </c>
    </row>
    <row r="2441" customFormat="false" ht="15" hidden="false" customHeight="false" outlineLevel="0" collapsed="false">
      <c r="A2441" s="6" t="s">
        <v>7664</v>
      </c>
      <c r="B2441" s="6" t="s">
        <v>3221</v>
      </c>
      <c r="C2441" s="26" t="n">
        <v>46109</v>
      </c>
      <c r="D2441" s="6" t="s">
        <v>5165</v>
      </c>
      <c r="E2441" s="6" t="s">
        <v>22</v>
      </c>
      <c r="F2441" s="6" t="n">
        <v>2</v>
      </c>
      <c r="G2441" s="10" t="n">
        <v>977</v>
      </c>
      <c r="H2441" s="10" t="n">
        <f aca="false">F2441*G2441</f>
        <v>1954</v>
      </c>
      <c r="I2441" s="6" t="s">
        <v>5148</v>
      </c>
    </row>
    <row r="2442" customFormat="false" ht="15" hidden="false" customHeight="false" outlineLevel="0" collapsed="false">
      <c r="A2442" s="6" t="s">
        <v>7665</v>
      </c>
      <c r="B2442" s="6" t="s">
        <v>2445</v>
      </c>
      <c r="C2442" s="26" t="n">
        <v>46109</v>
      </c>
      <c r="D2442" s="6" t="s">
        <v>5154</v>
      </c>
      <c r="E2442" s="6" t="s">
        <v>21</v>
      </c>
      <c r="F2442" s="6" t="n">
        <v>1</v>
      </c>
      <c r="G2442" s="10" t="n">
        <v>785</v>
      </c>
      <c r="H2442" s="10" t="n">
        <f aca="false">F2442*G2442</f>
        <v>785</v>
      </c>
      <c r="I2442" s="6" t="s">
        <v>5148</v>
      </c>
    </row>
    <row r="2443" customFormat="false" ht="15" hidden="false" customHeight="false" outlineLevel="0" collapsed="false">
      <c r="A2443" s="6" t="s">
        <v>7666</v>
      </c>
      <c r="B2443" s="6" t="s">
        <v>1559</v>
      </c>
      <c r="C2443" s="26" t="n">
        <v>46109</v>
      </c>
      <c r="D2443" s="6" t="s">
        <v>5163</v>
      </c>
      <c r="E2443" s="6" t="s">
        <v>23</v>
      </c>
      <c r="F2443" s="6" t="n">
        <v>1</v>
      </c>
      <c r="G2443" s="10" t="n">
        <v>783</v>
      </c>
      <c r="H2443" s="10" t="n">
        <f aca="false">F2443*G2443</f>
        <v>783</v>
      </c>
      <c r="I2443" s="6" t="s">
        <v>5122</v>
      </c>
    </row>
    <row r="2444" customFormat="false" ht="15" hidden="false" customHeight="false" outlineLevel="0" collapsed="false">
      <c r="A2444" s="6" t="s">
        <v>7667</v>
      </c>
      <c r="B2444" s="6" t="s">
        <v>1355</v>
      </c>
      <c r="C2444" s="26" t="n">
        <v>46109</v>
      </c>
      <c r="D2444" s="6" t="s">
        <v>5216</v>
      </c>
      <c r="E2444" s="6" t="s">
        <v>23</v>
      </c>
      <c r="F2444" s="6" t="n">
        <v>3</v>
      </c>
      <c r="G2444" s="10" t="n">
        <v>528</v>
      </c>
      <c r="H2444" s="10" t="n">
        <f aca="false">F2444*G2444</f>
        <v>1584</v>
      </c>
      <c r="I2444" s="6" t="s">
        <v>5148</v>
      </c>
    </row>
    <row r="2445" customFormat="false" ht="15" hidden="false" customHeight="false" outlineLevel="0" collapsed="false">
      <c r="A2445" s="6" t="s">
        <v>7668</v>
      </c>
      <c r="B2445" s="6" t="s">
        <v>4345</v>
      </c>
      <c r="C2445" s="26" t="n">
        <v>46109</v>
      </c>
      <c r="D2445" s="6" t="s">
        <v>5216</v>
      </c>
      <c r="E2445" s="6" t="s">
        <v>23</v>
      </c>
      <c r="F2445" s="6" t="n">
        <v>5</v>
      </c>
      <c r="G2445" s="10" t="n">
        <v>587</v>
      </c>
      <c r="H2445" s="10" t="n">
        <f aca="false">F2445*G2445</f>
        <v>2935</v>
      </c>
      <c r="I2445" s="6" t="s">
        <v>5133</v>
      </c>
    </row>
    <row r="2446" customFormat="false" ht="15" hidden="false" customHeight="false" outlineLevel="0" collapsed="false">
      <c r="A2446" s="6" t="s">
        <v>7669</v>
      </c>
      <c r="B2446" s="6" t="s">
        <v>4223</v>
      </c>
      <c r="C2446" s="26" t="n">
        <v>46109</v>
      </c>
      <c r="D2446" s="6" t="s">
        <v>5326</v>
      </c>
      <c r="E2446" s="6" t="s">
        <v>22</v>
      </c>
      <c r="F2446" s="6" t="n">
        <v>1</v>
      </c>
      <c r="G2446" s="10" t="n">
        <v>1466</v>
      </c>
      <c r="H2446" s="10" t="n">
        <f aca="false">F2446*G2446</f>
        <v>1466</v>
      </c>
      <c r="I2446" s="6" t="s">
        <v>5122</v>
      </c>
    </row>
    <row r="2447" customFormat="false" ht="15" hidden="false" customHeight="false" outlineLevel="0" collapsed="false">
      <c r="A2447" s="6" t="s">
        <v>7670</v>
      </c>
      <c r="B2447" s="6" t="s">
        <v>4555</v>
      </c>
      <c r="C2447" s="26" t="n">
        <v>46109</v>
      </c>
      <c r="D2447" s="6" t="s">
        <v>5163</v>
      </c>
      <c r="E2447" s="6" t="s">
        <v>23</v>
      </c>
      <c r="F2447" s="6" t="n">
        <v>3</v>
      </c>
      <c r="G2447" s="10" t="n">
        <v>783</v>
      </c>
      <c r="H2447" s="10" t="n">
        <f aca="false">F2447*G2447</f>
        <v>2349</v>
      </c>
      <c r="I2447" s="6" t="s">
        <v>5125</v>
      </c>
    </row>
    <row r="2448" customFormat="false" ht="15" hidden="false" customHeight="false" outlineLevel="0" collapsed="false">
      <c r="A2448" s="6" t="s">
        <v>7671</v>
      </c>
      <c r="B2448" s="6" t="s">
        <v>2089</v>
      </c>
      <c r="C2448" s="26" t="n">
        <v>46109</v>
      </c>
      <c r="D2448" s="6" t="s">
        <v>5458</v>
      </c>
      <c r="E2448" s="6" t="s">
        <v>24</v>
      </c>
      <c r="F2448" s="6" t="n">
        <v>2</v>
      </c>
      <c r="G2448" s="10" t="n">
        <v>531</v>
      </c>
      <c r="H2448" s="10" t="n">
        <f aca="false">F2448*G2448</f>
        <v>1062</v>
      </c>
      <c r="I2448" s="6" t="s">
        <v>5125</v>
      </c>
    </row>
    <row r="2449" customFormat="false" ht="15" hidden="false" customHeight="false" outlineLevel="0" collapsed="false">
      <c r="A2449" s="6" t="s">
        <v>7672</v>
      </c>
      <c r="B2449" s="6" t="s">
        <v>1781</v>
      </c>
      <c r="C2449" s="26" t="n">
        <v>46109</v>
      </c>
      <c r="D2449" s="6" t="s">
        <v>5171</v>
      </c>
      <c r="E2449" s="6" t="s">
        <v>23</v>
      </c>
      <c r="F2449" s="6" t="n">
        <v>4</v>
      </c>
      <c r="G2449" s="10" t="n">
        <v>697</v>
      </c>
      <c r="H2449" s="10" t="n">
        <f aca="false">F2449*G2449</f>
        <v>2788</v>
      </c>
      <c r="I2449" s="6" t="s">
        <v>5122</v>
      </c>
    </row>
    <row r="2450" customFormat="false" ht="15" hidden="false" customHeight="false" outlineLevel="0" collapsed="false">
      <c r="A2450" s="6" t="s">
        <v>7673</v>
      </c>
      <c r="B2450" s="6" t="s">
        <v>965</v>
      </c>
      <c r="C2450" s="26" t="n">
        <v>46109</v>
      </c>
      <c r="D2450" s="6" t="s">
        <v>5298</v>
      </c>
      <c r="E2450" s="6" t="s">
        <v>23</v>
      </c>
      <c r="F2450" s="6" t="n">
        <v>3</v>
      </c>
      <c r="G2450" s="10" t="n">
        <v>293</v>
      </c>
      <c r="H2450" s="10" t="n">
        <f aca="false">F2450*G2450</f>
        <v>879</v>
      </c>
      <c r="I2450" s="6" t="s">
        <v>5122</v>
      </c>
    </row>
    <row r="2451" customFormat="false" ht="15" hidden="false" customHeight="false" outlineLevel="0" collapsed="false">
      <c r="A2451" s="6" t="s">
        <v>7674</v>
      </c>
      <c r="B2451" s="6" t="s">
        <v>697</v>
      </c>
      <c r="C2451" s="26" t="n">
        <v>46109</v>
      </c>
      <c r="D2451" s="6" t="s">
        <v>5165</v>
      </c>
      <c r="E2451" s="6" t="s">
        <v>22</v>
      </c>
      <c r="F2451" s="6" t="n">
        <v>1</v>
      </c>
      <c r="G2451" s="10" t="n">
        <v>880</v>
      </c>
      <c r="H2451" s="10" t="n">
        <f aca="false">F2451*G2451</f>
        <v>880</v>
      </c>
      <c r="I2451" s="6" t="s">
        <v>5122</v>
      </c>
    </row>
    <row r="2452" customFormat="false" ht="15" hidden="false" customHeight="false" outlineLevel="0" collapsed="false">
      <c r="A2452" s="6" t="s">
        <v>7675</v>
      </c>
      <c r="B2452" s="6" t="s">
        <v>2319</v>
      </c>
      <c r="C2452" s="26" t="n">
        <v>46109</v>
      </c>
      <c r="D2452" s="6" t="s">
        <v>5269</v>
      </c>
      <c r="E2452" s="6" t="s">
        <v>22</v>
      </c>
      <c r="F2452" s="6" t="n">
        <v>1</v>
      </c>
      <c r="G2452" s="10" t="n">
        <v>1207</v>
      </c>
      <c r="H2452" s="10" t="n">
        <f aca="false">F2452*G2452</f>
        <v>1207</v>
      </c>
      <c r="I2452" s="6" t="s">
        <v>5148</v>
      </c>
    </row>
    <row r="2453" customFormat="false" ht="15" hidden="false" customHeight="false" outlineLevel="0" collapsed="false">
      <c r="A2453" s="6" t="s">
        <v>7676</v>
      </c>
      <c r="B2453" s="6" t="s">
        <v>4563</v>
      </c>
      <c r="C2453" s="26" t="n">
        <v>46109</v>
      </c>
      <c r="D2453" s="6" t="s">
        <v>5466</v>
      </c>
      <c r="E2453" s="6" t="s">
        <v>21</v>
      </c>
      <c r="F2453" s="6" t="n">
        <v>1</v>
      </c>
      <c r="G2453" s="10" t="n">
        <v>1768</v>
      </c>
      <c r="H2453" s="10" t="n">
        <f aca="false">F2453*G2453</f>
        <v>1768</v>
      </c>
      <c r="I2453" s="6" t="s">
        <v>5122</v>
      </c>
    </row>
    <row r="2454" customFormat="false" ht="15" hidden="false" customHeight="false" outlineLevel="0" collapsed="false">
      <c r="A2454" s="6" t="s">
        <v>7677</v>
      </c>
      <c r="B2454" s="6" t="s">
        <v>3799</v>
      </c>
      <c r="C2454" s="26" t="n">
        <v>46109</v>
      </c>
      <c r="D2454" s="6" t="s">
        <v>5207</v>
      </c>
      <c r="E2454" s="6" t="s">
        <v>20</v>
      </c>
      <c r="F2454" s="6" t="n">
        <v>1</v>
      </c>
      <c r="G2454" s="10" t="n">
        <v>1325</v>
      </c>
      <c r="H2454" s="10" t="n">
        <f aca="false">F2454*G2454</f>
        <v>1325</v>
      </c>
      <c r="I2454" s="6" t="s">
        <v>5148</v>
      </c>
    </row>
    <row r="2455" customFormat="false" ht="15" hidden="false" customHeight="false" outlineLevel="0" collapsed="false">
      <c r="A2455" s="6" t="s">
        <v>7678</v>
      </c>
      <c r="B2455" s="6" t="s">
        <v>1731</v>
      </c>
      <c r="C2455" s="26" t="n">
        <v>46109</v>
      </c>
      <c r="D2455" s="6" t="s">
        <v>5137</v>
      </c>
      <c r="E2455" s="6" t="s">
        <v>21</v>
      </c>
      <c r="F2455" s="6" t="n">
        <v>1</v>
      </c>
      <c r="G2455" s="10" t="n">
        <v>1680</v>
      </c>
      <c r="H2455" s="10" t="n">
        <f aca="false">F2455*G2455</f>
        <v>1680</v>
      </c>
      <c r="I2455" s="6" t="s">
        <v>5133</v>
      </c>
    </row>
    <row r="2456" customFormat="false" ht="15" hidden="false" customHeight="false" outlineLevel="0" collapsed="false">
      <c r="A2456" s="6" t="s">
        <v>7679</v>
      </c>
      <c r="B2456" s="6" t="s">
        <v>332</v>
      </c>
      <c r="C2456" s="26" t="n">
        <v>46109</v>
      </c>
      <c r="D2456" s="6" t="s">
        <v>5259</v>
      </c>
      <c r="E2456" s="6" t="s">
        <v>22</v>
      </c>
      <c r="F2456" s="6" t="n">
        <v>1</v>
      </c>
      <c r="G2456" s="10" t="n">
        <v>1563</v>
      </c>
      <c r="H2456" s="10" t="n">
        <f aca="false">F2456*G2456</f>
        <v>1563</v>
      </c>
      <c r="I2456" s="6" t="s">
        <v>5133</v>
      </c>
    </row>
    <row r="2457" customFormat="false" ht="15" hidden="false" customHeight="false" outlineLevel="0" collapsed="false">
      <c r="A2457" s="6" t="s">
        <v>7680</v>
      </c>
      <c r="B2457" s="6" t="s">
        <v>3835</v>
      </c>
      <c r="C2457" s="26" t="n">
        <v>46109</v>
      </c>
      <c r="D2457" s="6" t="s">
        <v>5171</v>
      </c>
      <c r="E2457" s="6" t="s">
        <v>23</v>
      </c>
      <c r="F2457" s="6" t="n">
        <v>1</v>
      </c>
      <c r="G2457" s="10" t="n">
        <v>697</v>
      </c>
      <c r="H2457" s="10" t="n">
        <f aca="false">F2457*G2457</f>
        <v>697</v>
      </c>
      <c r="I2457" s="6" t="s">
        <v>5122</v>
      </c>
    </row>
    <row r="2458" customFormat="false" ht="15" hidden="false" customHeight="false" outlineLevel="0" collapsed="false">
      <c r="A2458" s="6" t="s">
        <v>7681</v>
      </c>
      <c r="B2458" s="6" t="s">
        <v>3415</v>
      </c>
      <c r="C2458" s="26" t="n">
        <v>46110</v>
      </c>
      <c r="D2458" s="6" t="s">
        <v>5214</v>
      </c>
      <c r="E2458" s="6" t="s">
        <v>20</v>
      </c>
      <c r="F2458" s="6" t="n">
        <v>1</v>
      </c>
      <c r="G2458" s="10" t="n">
        <v>2039</v>
      </c>
      <c r="H2458" s="10" t="n">
        <f aca="false">F2458*G2458</f>
        <v>2039</v>
      </c>
      <c r="I2458" s="6" t="s">
        <v>5122</v>
      </c>
    </row>
    <row r="2459" customFormat="false" ht="15" hidden="false" customHeight="false" outlineLevel="0" collapsed="false">
      <c r="A2459" s="6" t="s">
        <v>7682</v>
      </c>
      <c r="B2459" s="6" t="s">
        <v>4739</v>
      </c>
      <c r="C2459" s="26" t="n">
        <v>46110</v>
      </c>
      <c r="D2459" s="6" t="s">
        <v>5121</v>
      </c>
      <c r="E2459" s="6" t="s">
        <v>22</v>
      </c>
      <c r="F2459" s="6" t="n">
        <v>1</v>
      </c>
      <c r="G2459" s="10" t="n">
        <v>880</v>
      </c>
      <c r="H2459" s="10" t="n">
        <f aca="false">F2459*G2459</f>
        <v>880</v>
      </c>
      <c r="I2459" s="6" t="s">
        <v>5122</v>
      </c>
    </row>
    <row r="2460" customFormat="false" ht="15" hidden="false" customHeight="false" outlineLevel="0" collapsed="false">
      <c r="A2460" s="6" t="s">
        <v>7683</v>
      </c>
      <c r="B2460" s="6" t="s">
        <v>1711</v>
      </c>
      <c r="C2460" s="26" t="n">
        <v>46110</v>
      </c>
      <c r="D2460" s="6" t="s">
        <v>5165</v>
      </c>
      <c r="E2460" s="6" t="s">
        <v>22</v>
      </c>
      <c r="F2460" s="6" t="n">
        <v>1</v>
      </c>
      <c r="G2460" s="10" t="n">
        <v>977</v>
      </c>
      <c r="H2460" s="10" t="n">
        <f aca="false">F2460*G2460</f>
        <v>977</v>
      </c>
      <c r="I2460" s="6" t="s">
        <v>5122</v>
      </c>
    </row>
    <row r="2461" customFormat="false" ht="15" hidden="false" customHeight="false" outlineLevel="0" collapsed="false">
      <c r="A2461" s="6" t="s">
        <v>7684</v>
      </c>
      <c r="B2461" s="6" t="s">
        <v>3559</v>
      </c>
      <c r="C2461" s="26" t="n">
        <v>46110</v>
      </c>
      <c r="D2461" s="6" t="s">
        <v>5165</v>
      </c>
      <c r="E2461" s="6" t="s">
        <v>22</v>
      </c>
      <c r="F2461" s="6" t="n">
        <v>1</v>
      </c>
      <c r="G2461" s="10" t="n">
        <v>880</v>
      </c>
      <c r="H2461" s="10" t="n">
        <f aca="false">F2461*G2461</f>
        <v>880</v>
      </c>
      <c r="I2461" s="6" t="s">
        <v>5122</v>
      </c>
    </row>
    <row r="2462" customFormat="false" ht="15" hidden="false" customHeight="false" outlineLevel="0" collapsed="false">
      <c r="A2462" s="6" t="s">
        <v>7685</v>
      </c>
      <c r="B2462" s="6" t="s">
        <v>2027</v>
      </c>
      <c r="C2462" s="26" t="n">
        <v>46110</v>
      </c>
      <c r="D2462" s="6" t="s">
        <v>5129</v>
      </c>
      <c r="E2462" s="6" t="s">
        <v>21</v>
      </c>
      <c r="F2462" s="6" t="n">
        <v>1</v>
      </c>
      <c r="G2462" s="10" t="n">
        <v>589</v>
      </c>
      <c r="H2462" s="10" t="n">
        <f aca="false">F2462*G2462</f>
        <v>589</v>
      </c>
      <c r="I2462" s="6" t="s">
        <v>5122</v>
      </c>
    </row>
    <row r="2463" customFormat="false" ht="15" hidden="false" customHeight="false" outlineLevel="0" collapsed="false">
      <c r="A2463" s="6" t="s">
        <v>7686</v>
      </c>
      <c r="B2463" s="6" t="s">
        <v>5059</v>
      </c>
      <c r="C2463" s="26" t="n">
        <v>46110</v>
      </c>
      <c r="D2463" s="6" t="s">
        <v>5357</v>
      </c>
      <c r="E2463" s="6" t="s">
        <v>23</v>
      </c>
      <c r="F2463" s="6" t="n">
        <v>4</v>
      </c>
      <c r="G2463" s="10" t="n">
        <v>534</v>
      </c>
      <c r="H2463" s="10" t="n">
        <f aca="false">F2463*G2463</f>
        <v>2136</v>
      </c>
      <c r="I2463" s="6" t="s">
        <v>5148</v>
      </c>
    </row>
    <row r="2464" customFormat="false" ht="15" hidden="false" customHeight="false" outlineLevel="0" collapsed="false">
      <c r="A2464" s="6" t="s">
        <v>7687</v>
      </c>
      <c r="B2464" s="6" t="s">
        <v>925</v>
      </c>
      <c r="C2464" s="26" t="n">
        <v>46110</v>
      </c>
      <c r="D2464" s="6" t="s">
        <v>5165</v>
      </c>
      <c r="E2464" s="6" t="s">
        <v>22</v>
      </c>
      <c r="F2464" s="6" t="n">
        <v>1</v>
      </c>
      <c r="G2464" s="10" t="n">
        <v>977</v>
      </c>
      <c r="H2464" s="10" t="n">
        <f aca="false">F2464*G2464</f>
        <v>977</v>
      </c>
      <c r="I2464" s="6" t="s">
        <v>5122</v>
      </c>
    </row>
    <row r="2465" customFormat="false" ht="15" hidden="false" customHeight="false" outlineLevel="0" collapsed="false">
      <c r="A2465" s="6" t="s">
        <v>7688</v>
      </c>
      <c r="B2465" s="6" t="s">
        <v>1793</v>
      </c>
      <c r="C2465" s="26" t="n">
        <v>46110</v>
      </c>
      <c r="D2465" s="6" t="s">
        <v>5235</v>
      </c>
      <c r="E2465" s="6" t="s">
        <v>21</v>
      </c>
      <c r="F2465" s="6" t="n">
        <v>1</v>
      </c>
      <c r="G2465" s="10" t="n">
        <v>1503</v>
      </c>
      <c r="H2465" s="10" t="n">
        <f aca="false">F2465*G2465</f>
        <v>1503</v>
      </c>
      <c r="I2465" s="6" t="s">
        <v>5133</v>
      </c>
    </row>
    <row r="2466" customFormat="false" ht="15" hidden="false" customHeight="false" outlineLevel="0" collapsed="false">
      <c r="A2466" s="6" t="s">
        <v>7689</v>
      </c>
      <c r="B2466" s="6" t="s">
        <v>4299</v>
      </c>
      <c r="C2466" s="26" t="n">
        <v>46110</v>
      </c>
      <c r="D2466" s="6" t="s">
        <v>5139</v>
      </c>
      <c r="E2466" s="6" t="s">
        <v>23</v>
      </c>
      <c r="F2466" s="6" t="n">
        <v>3</v>
      </c>
      <c r="G2466" s="10" t="n">
        <v>265</v>
      </c>
      <c r="H2466" s="10" t="n">
        <f aca="false">F2466*G2466</f>
        <v>795</v>
      </c>
      <c r="I2466" s="6" t="s">
        <v>5122</v>
      </c>
    </row>
    <row r="2467" customFormat="false" ht="15" hidden="false" customHeight="false" outlineLevel="0" collapsed="false">
      <c r="A2467" s="6" t="s">
        <v>7690</v>
      </c>
      <c r="B2467" s="6" t="s">
        <v>2935</v>
      </c>
      <c r="C2467" s="26" t="n">
        <v>46110</v>
      </c>
      <c r="D2467" s="6" t="s">
        <v>5197</v>
      </c>
      <c r="E2467" s="6" t="s">
        <v>21</v>
      </c>
      <c r="F2467" s="6" t="n">
        <v>1</v>
      </c>
      <c r="G2467" s="10" t="n">
        <v>972</v>
      </c>
      <c r="H2467" s="10" t="n">
        <f aca="false">F2467*G2467</f>
        <v>972</v>
      </c>
      <c r="I2467" s="6" t="s">
        <v>5122</v>
      </c>
    </row>
    <row r="2468" customFormat="false" ht="15" hidden="false" customHeight="false" outlineLevel="0" collapsed="false">
      <c r="A2468" s="6" t="s">
        <v>7691</v>
      </c>
      <c r="B2468" s="6" t="s">
        <v>747</v>
      </c>
      <c r="C2468" s="26" t="n">
        <v>46110</v>
      </c>
      <c r="D2468" s="6" t="s">
        <v>5154</v>
      </c>
      <c r="E2468" s="6" t="s">
        <v>21</v>
      </c>
      <c r="F2468" s="6" t="n">
        <v>2</v>
      </c>
      <c r="G2468" s="10" t="n">
        <v>785</v>
      </c>
      <c r="H2468" s="10" t="n">
        <f aca="false">F2468*G2468</f>
        <v>1570</v>
      </c>
      <c r="I2468" s="6" t="s">
        <v>5122</v>
      </c>
    </row>
    <row r="2469" customFormat="false" ht="15" hidden="false" customHeight="false" outlineLevel="0" collapsed="false">
      <c r="A2469" s="6" t="s">
        <v>7692</v>
      </c>
      <c r="B2469" s="6" t="s">
        <v>3843</v>
      </c>
      <c r="C2469" s="26" t="n">
        <v>46110</v>
      </c>
      <c r="D2469" s="6" t="s">
        <v>5160</v>
      </c>
      <c r="E2469" s="6" t="s">
        <v>21</v>
      </c>
      <c r="F2469" s="6" t="n">
        <v>1</v>
      </c>
      <c r="G2469" s="10" t="n">
        <v>2751</v>
      </c>
      <c r="H2469" s="10" t="n">
        <f aca="false">F2469*G2469</f>
        <v>2751</v>
      </c>
      <c r="I2469" s="6" t="s">
        <v>5122</v>
      </c>
    </row>
    <row r="2470" customFormat="false" ht="15" hidden="false" customHeight="false" outlineLevel="0" collapsed="false">
      <c r="A2470" s="6" t="s">
        <v>7693</v>
      </c>
      <c r="B2470" s="6" t="s">
        <v>1887</v>
      </c>
      <c r="C2470" s="26" t="n">
        <v>46110</v>
      </c>
      <c r="D2470" s="6" t="s">
        <v>5185</v>
      </c>
      <c r="E2470" s="6" t="s">
        <v>24</v>
      </c>
      <c r="F2470" s="6" t="n">
        <v>1</v>
      </c>
      <c r="G2470" s="10" t="n">
        <v>2140</v>
      </c>
      <c r="H2470" s="10" t="n">
        <f aca="false">F2470*G2470</f>
        <v>2140</v>
      </c>
      <c r="I2470" s="6" t="s">
        <v>5122</v>
      </c>
    </row>
    <row r="2471" customFormat="false" ht="15" hidden="false" customHeight="false" outlineLevel="0" collapsed="false">
      <c r="A2471" s="6" t="s">
        <v>7694</v>
      </c>
      <c r="B2471" s="6" t="s">
        <v>969</v>
      </c>
      <c r="C2471" s="26" t="n">
        <v>46110</v>
      </c>
      <c r="D2471" s="6" t="s">
        <v>5345</v>
      </c>
      <c r="E2471" s="6" t="s">
        <v>23</v>
      </c>
      <c r="F2471" s="6" t="n">
        <v>1</v>
      </c>
      <c r="G2471" s="10" t="n">
        <v>435</v>
      </c>
      <c r="H2471" s="10" t="n">
        <f aca="false">F2471*G2471</f>
        <v>435</v>
      </c>
      <c r="I2471" s="6" t="s">
        <v>5122</v>
      </c>
    </row>
    <row r="2472" customFormat="false" ht="15" hidden="false" customHeight="false" outlineLevel="0" collapsed="false">
      <c r="A2472" s="6" t="s">
        <v>7695</v>
      </c>
      <c r="B2472" s="6" t="s">
        <v>2749</v>
      </c>
      <c r="C2472" s="26" t="n">
        <v>46110</v>
      </c>
      <c r="D2472" s="6" t="s">
        <v>5167</v>
      </c>
      <c r="E2472" s="6" t="s">
        <v>22</v>
      </c>
      <c r="F2472" s="6" t="n">
        <v>1</v>
      </c>
      <c r="G2472" s="10" t="n">
        <v>743</v>
      </c>
      <c r="H2472" s="10" t="n">
        <f aca="false">F2472*G2472</f>
        <v>743</v>
      </c>
      <c r="I2472" s="6" t="s">
        <v>5122</v>
      </c>
    </row>
    <row r="2473" customFormat="false" ht="15" hidden="false" customHeight="false" outlineLevel="0" collapsed="false">
      <c r="A2473" s="6" t="s">
        <v>7696</v>
      </c>
      <c r="B2473" s="6" t="s">
        <v>3423</v>
      </c>
      <c r="C2473" s="26" t="n">
        <v>46110</v>
      </c>
      <c r="D2473" s="6" t="s">
        <v>5357</v>
      </c>
      <c r="E2473" s="6" t="s">
        <v>23</v>
      </c>
      <c r="F2473" s="6" t="n">
        <v>3</v>
      </c>
      <c r="G2473" s="10" t="n">
        <v>534</v>
      </c>
      <c r="H2473" s="10" t="n">
        <f aca="false">F2473*G2473</f>
        <v>1602</v>
      </c>
      <c r="I2473" s="6" t="s">
        <v>5125</v>
      </c>
    </row>
    <row r="2474" customFormat="false" ht="15" hidden="false" customHeight="false" outlineLevel="0" collapsed="false">
      <c r="A2474" s="6" t="s">
        <v>7697</v>
      </c>
      <c r="B2474" s="6" t="s">
        <v>1879</v>
      </c>
      <c r="C2474" s="26" t="n">
        <v>46110</v>
      </c>
      <c r="D2474" s="6" t="s">
        <v>5456</v>
      </c>
      <c r="E2474" s="6" t="s">
        <v>24</v>
      </c>
      <c r="F2474" s="6" t="n">
        <v>4</v>
      </c>
      <c r="G2474" s="10" t="n">
        <v>912</v>
      </c>
      <c r="H2474" s="10" t="n">
        <f aca="false">F2474*G2474</f>
        <v>3648</v>
      </c>
      <c r="I2474" s="6" t="s">
        <v>5148</v>
      </c>
    </row>
    <row r="2475" customFormat="false" ht="15" hidden="false" customHeight="false" outlineLevel="0" collapsed="false">
      <c r="A2475" s="6" t="s">
        <v>7698</v>
      </c>
      <c r="B2475" s="6" t="s">
        <v>1403</v>
      </c>
      <c r="C2475" s="26" t="n">
        <v>46110</v>
      </c>
      <c r="D2475" s="6" t="s">
        <v>5121</v>
      </c>
      <c r="E2475" s="6" t="s">
        <v>22</v>
      </c>
      <c r="F2475" s="6" t="n">
        <v>1</v>
      </c>
      <c r="G2475" s="10" t="n">
        <v>977</v>
      </c>
      <c r="H2475" s="10" t="n">
        <f aca="false">F2475*G2475</f>
        <v>977</v>
      </c>
      <c r="I2475" s="6" t="s">
        <v>5148</v>
      </c>
    </row>
    <row r="2476" customFormat="false" ht="15" hidden="false" customHeight="false" outlineLevel="0" collapsed="false">
      <c r="A2476" s="6" t="s">
        <v>7699</v>
      </c>
      <c r="B2476" s="6" t="s">
        <v>4091</v>
      </c>
      <c r="C2476" s="26" t="n">
        <v>46110</v>
      </c>
      <c r="D2476" s="6" t="s">
        <v>5216</v>
      </c>
      <c r="E2476" s="6" t="s">
        <v>23</v>
      </c>
      <c r="F2476" s="6" t="n">
        <v>3</v>
      </c>
      <c r="G2476" s="10" t="n">
        <v>528</v>
      </c>
      <c r="H2476" s="10" t="n">
        <f aca="false">F2476*G2476</f>
        <v>1584</v>
      </c>
      <c r="I2476" s="6" t="s">
        <v>5122</v>
      </c>
    </row>
    <row r="2477" customFormat="false" ht="15" hidden="false" customHeight="false" outlineLevel="0" collapsed="false">
      <c r="A2477" s="6" t="s">
        <v>7700</v>
      </c>
      <c r="B2477" s="6" t="s">
        <v>2273</v>
      </c>
      <c r="C2477" s="26" t="n">
        <v>46110</v>
      </c>
      <c r="D2477" s="6" t="s">
        <v>5167</v>
      </c>
      <c r="E2477" s="6" t="s">
        <v>22</v>
      </c>
      <c r="F2477" s="6" t="n">
        <v>1</v>
      </c>
      <c r="G2477" s="10" t="n">
        <v>782</v>
      </c>
      <c r="H2477" s="10" t="n">
        <f aca="false">F2477*G2477</f>
        <v>782</v>
      </c>
      <c r="I2477" s="6" t="s">
        <v>5122</v>
      </c>
    </row>
    <row r="2478" customFormat="false" ht="15" hidden="false" customHeight="false" outlineLevel="0" collapsed="false">
      <c r="A2478" s="6" t="s">
        <v>7701</v>
      </c>
      <c r="B2478" s="6" t="s">
        <v>2941</v>
      </c>
      <c r="C2478" s="26" t="n">
        <v>46110</v>
      </c>
      <c r="D2478" s="6" t="s">
        <v>5281</v>
      </c>
      <c r="E2478" s="6" t="s">
        <v>24</v>
      </c>
      <c r="F2478" s="6" t="n">
        <v>1</v>
      </c>
      <c r="G2478" s="10" t="n">
        <v>773</v>
      </c>
      <c r="H2478" s="10" t="n">
        <f aca="false">F2478*G2478</f>
        <v>773</v>
      </c>
      <c r="I2478" s="6" t="s">
        <v>5173</v>
      </c>
    </row>
    <row r="2479" customFormat="false" ht="15" hidden="false" customHeight="false" outlineLevel="0" collapsed="false">
      <c r="A2479" s="6" t="s">
        <v>7702</v>
      </c>
      <c r="B2479" s="6" t="s">
        <v>1113</v>
      </c>
      <c r="C2479" s="26" t="n">
        <v>46110</v>
      </c>
      <c r="D2479" s="6" t="s">
        <v>5167</v>
      </c>
      <c r="E2479" s="6" t="s">
        <v>22</v>
      </c>
      <c r="F2479" s="6" t="n">
        <v>1</v>
      </c>
      <c r="G2479" s="10" t="n">
        <v>703</v>
      </c>
      <c r="H2479" s="10" t="n">
        <f aca="false">F2479*G2479</f>
        <v>703</v>
      </c>
      <c r="I2479" s="6" t="s">
        <v>5148</v>
      </c>
    </row>
    <row r="2480" customFormat="false" ht="15" hidden="false" customHeight="false" outlineLevel="0" collapsed="false">
      <c r="A2480" s="6" t="s">
        <v>7703</v>
      </c>
      <c r="B2480" s="6" t="s">
        <v>721</v>
      </c>
      <c r="C2480" s="26" t="n">
        <v>46110</v>
      </c>
      <c r="D2480" s="6" t="s">
        <v>5132</v>
      </c>
      <c r="E2480" s="6" t="s">
        <v>23</v>
      </c>
      <c r="F2480" s="6" t="n">
        <v>1</v>
      </c>
      <c r="G2480" s="10" t="n">
        <v>342</v>
      </c>
      <c r="H2480" s="10" t="n">
        <f aca="false">F2480*G2480</f>
        <v>342</v>
      </c>
      <c r="I2480" s="6" t="s">
        <v>5122</v>
      </c>
    </row>
    <row r="2481" customFormat="false" ht="15" hidden="false" customHeight="false" outlineLevel="0" collapsed="false">
      <c r="A2481" s="6" t="s">
        <v>7704</v>
      </c>
      <c r="B2481" s="6" t="s">
        <v>3547</v>
      </c>
      <c r="C2481" s="26" t="n">
        <v>46110</v>
      </c>
      <c r="D2481" s="6" t="s">
        <v>5410</v>
      </c>
      <c r="E2481" s="6" t="s">
        <v>20</v>
      </c>
      <c r="F2481" s="6" t="n">
        <v>3</v>
      </c>
      <c r="G2481" s="10" t="n">
        <v>2548</v>
      </c>
      <c r="H2481" s="10" t="n">
        <f aca="false">F2481*G2481</f>
        <v>7644</v>
      </c>
      <c r="I2481" s="6" t="s">
        <v>5148</v>
      </c>
    </row>
    <row r="2482" customFormat="false" ht="15" hidden="false" customHeight="false" outlineLevel="0" collapsed="false">
      <c r="A2482" s="6" t="s">
        <v>7705</v>
      </c>
      <c r="B2482" s="6" t="s">
        <v>1225</v>
      </c>
      <c r="C2482" s="26" t="n">
        <v>46110</v>
      </c>
      <c r="D2482" s="6" t="s">
        <v>5807</v>
      </c>
      <c r="E2482" s="6" t="s">
        <v>20</v>
      </c>
      <c r="F2482" s="6" t="n">
        <v>1</v>
      </c>
      <c r="G2482" s="10" t="n">
        <v>15296</v>
      </c>
      <c r="H2482" s="10" t="n">
        <f aca="false">F2482*G2482</f>
        <v>15296</v>
      </c>
      <c r="I2482" s="6" t="s">
        <v>5148</v>
      </c>
    </row>
    <row r="2483" customFormat="false" ht="15" hidden="false" customHeight="false" outlineLevel="0" collapsed="false">
      <c r="A2483" s="6" t="s">
        <v>7706</v>
      </c>
      <c r="B2483" s="6" t="s">
        <v>186</v>
      </c>
      <c r="C2483" s="26" t="n">
        <v>46111</v>
      </c>
      <c r="D2483" s="6" t="s">
        <v>5188</v>
      </c>
      <c r="E2483" s="6" t="s">
        <v>24</v>
      </c>
      <c r="F2483" s="6" t="n">
        <v>1</v>
      </c>
      <c r="G2483" s="10" t="n">
        <v>1018</v>
      </c>
      <c r="H2483" s="10" t="n">
        <f aca="false">F2483*G2483</f>
        <v>1018</v>
      </c>
      <c r="I2483" s="6" t="s">
        <v>5122</v>
      </c>
    </row>
    <row r="2484" customFormat="false" ht="15" hidden="false" customHeight="false" outlineLevel="0" collapsed="false">
      <c r="A2484" s="6" t="s">
        <v>7707</v>
      </c>
      <c r="B2484" s="6" t="s">
        <v>4921</v>
      </c>
      <c r="C2484" s="26" t="n">
        <v>46111</v>
      </c>
      <c r="D2484" s="6" t="s">
        <v>5488</v>
      </c>
      <c r="E2484" s="6" t="s">
        <v>24</v>
      </c>
      <c r="F2484" s="6" t="n">
        <v>3</v>
      </c>
      <c r="G2484" s="10" t="n">
        <v>823</v>
      </c>
      <c r="H2484" s="10" t="n">
        <f aca="false">F2484*G2484</f>
        <v>2469</v>
      </c>
      <c r="I2484" s="6" t="s">
        <v>5130</v>
      </c>
    </row>
    <row r="2485" customFormat="false" ht="15" hidden="false" customHeight="false" outlineLevel="0" collapsed="false">
      <c r="A2485" s="6" t="s">
        <v>7708</v>
      </c>
      <c r="B2485" s="6" t="s">
        <v>5043</v>
      </c>
      <c r="C2485" s="26" t="n">
        <v>46111</v>
      </c>
      <c r="D2485" s="6" t="s">
        <v>5235</v>
      </c>
      <c r="E2485" s="6" t="s">
        <v>21</v>
      </c>
      <c r="F2485" s="6" t="n">
        <v>1</v>
      </c>
      <c r="G2485" s="10" t="n">
        <v>1670</v>
      </c>
      <c r="H2485" s="10" t="n">
        <f aca="false">F2485*G2485</f>
        <v>1670</v>
      </c>
      <c r="I2485" s="6" t="s">
        <v>5148</v>
      </c>
    </row>
    <row r="2486" customFormat="false" ht="15" hidden="false" customHeight="false" outlineLevel="0" collapsed="false">
      <c r="A2486" s="6" t="s">
        <v>7709</v>
      </c>
      <c r="B2486" s="6" t="s">
        <v>2869</v>
      </c>
      <c r="C2486" s="26" t="n">
        <v>46111</v>
      </c>
      <c r="D2486" s="6" t="s">
        <v>5121</v>
      </c>
      <c r="E2486" s="6" t="s">
        <v>22</v>
      </c>
      <c r="F2486" s="6" t="n">
        <v>1</v>
      </c>
      <c r="G2486" s="10" t="n">
        <v>880</v>
      </c>
      <c r="H2486" s="10" t="n">
        <f aca="false">F2486*G2486</f>
        <v>880</v>
      </c>
      <c r="I2486" s="6" t="s">
        <v>5125</v>
      </c>
    </row>
    <row r="2487" customFormat="false" ht="15" hidden="false" customHeight="false" outlineLevel="0" collapsed="false">
      <c r="A2487" s="6" t="s">
        <v>7710</v>
      </c>
      <c r="B2487" s="6" t="s">
        <v>3557</v>
      </c>
      <c r="C2487" s="26" t="n">
        <v>46111</v>
      </c>
      <c r="D2487" s="6" t="s">
        <v>5259</v>
      </c>
      <c r="E2487" s="6" t="s">
        <v>22</v>
      </c>
      <c r="F2487" s="6" t="n">
        <v>2</v>
      </c>
      <c r="G2487" s="10" t="n">
        <v>1564</v>
      </c>
      <c r="H2487" s="10" t="n">
        <f aca="false">F2487*G2487</f>
        <v>3128</v>
      </c>
      <c r="I2487" s="6" t="s">
        <v>5122</v>
      </c>
    </row>
    <row r="2488" customFormat="false" ht="15" hidden="false" customHeight="false" outlineLevel="0" collapsed="false">
      <c r="A2488" s="6" t="s">
        <v>7711</v>
      </c>
      <c r="B2488" s="6" t="s">
        <v>2851</v>
      </c>
      <c r="C2488" s="26" t="n">
        <v>46111</v>
      </c>
      <c r="D2488" s="6" t="s">
        <v>5188</v>
      </c>
      <c r="E2488" s="6" t="s">
        <v>24</v>
      </c>
      <c r="F2488" s="6" t="n">
        <v>4</v>
      </c>
      <c r="G2488" s="10" t="n">
        <v>916</v>
      </c>
      <c r="H2488" s="10" t="n">
        <f aca="false">F2488*G2488</f>
        <v>3664</v>
      </c>
      <c r="I2488" s="6" t="s">
        <v>5130</v>
      </c>
    </row>
    <row r="2489" customFormat="false" ht="15" hidden="false" customHeight="false" outlineLevel="0" collapsed="false">
      <c r="A2489" s="6" t="s">
        <v>7712</v>
      </c>
      <c r="B2489" s="6" t="s">
        <v>1061</v>
      </c>
      <c r="C2489" s="26" t="n">
        <v>46111</v>
      </c>
      <c r="D2489" s="6" t="s">
        <v>5163</v>
      </c>
      <c r="E2489" s="6" t="s">
        <v>23</v>
      </c>
      <c r="F2489" s="6" t="n">
        <v>2</v>
      </c>
      <c r="G2489" s="10" t="n">
        <v>744</v>
      </c>
      <c r="H2489" s="10" t="n">
        <f aca="false">F2489*G2489</f>
        <v>1488</v>
      </c>
      <c r="I2489" s="6" t="s">
        <v>5148</v>
      </c>
    </row>
    <row r="2490" customFormat="false" ht="15" hidden="false" customHeight="false" outlineLevel="0" collapsed="false">
      <c r="A2490" s="6" t="s">
        <v>7713</v>
      </c>
      <c r="B2490" s="6" t="s">
        <v>501</v>
      </c>
      <c r="C2490" s="26" t="n">
        <v>46111</v>
      </c>
      <c r="D2490" s="6" t="s">
        <v>5143</v>
      </c>
      <c r="E2490" s="6" t="s">
        <v>21</v>
      </c>
      <c r="F2490" s="6" t="n">
        <v>2</v>
      </c>
      <c r="G2490" s="10" t="n">
        <v>1179</v>
      </c>
      <c r="H2490" s="10" t="n">
        <f aca="false">F2490*G2490</f>
        <v>2358</v>
      </c>
      <c r="I2490" s="6" t="s">
        <v>5122</v>
      </c>
    </row>
    <row r="2491" customFormat="false" ht="15" hidden="false" customHeight="false" outlineLevel="0" collapsed="false">
      <c r="A2491" s="6" t="s">
        <v>7714</v>
      </c>
      <c r="B2491" s="6" t="s">
        <v>1875</v>
      </c>
      <c r="C2491" s="26" t="n">
        <v>46111</v>
      </c>
      <c r="D2491" s="6" t="s">
        <v>5357</v>
      </c>
      <c r="E2491" s="6" t="s">
        <v>23</v>
      </c>
      <c r="F2491" s="6" t="n">
        <v>4</v>
      </c>
      <c r="G2491" s="10" t="n">
        <v>534</v>
      </c>
      <c r="H2491" s="10" t="n">
        <f aca="false">F2491*G2491</f>
        <v>2136</v>
      </c>
      <c r="I2491" s="6" t="s">
        <v>5173</v>
      </c>
    </row>
    <row r="2492" customFormat="false" ht="15" hidden="false" customHeight="false" outlineLevel="0" collapsed="false">
      <c r="A2492" s="6" t="s">
        <v>7715</v>
      </c>
      <c r="B2492" s="6" t="s">
        <v>4149</v>
      </c>
      <c r="C2492" s="26" t="n">
        <v>46111</v>
      </c>
      <c r="D2492" s="6" t="s">
        <v>5292</v>
      </c>
      <c r="E2492" s="6" t="s">
        <v>21</v>
      </c>
      <c r="F2492" s="6" t="n">
        <v>1</v>
      </c>
      <c r="G2492" s="10" t="n">
        <v>6880</v>
      </c>
      <c r="H2492" s="10" t="n">
        <f aca="false">F2492*G2492</f>
        <v>6880</v>
      </c>
      <c r="I2492" s="6" t="s">
        <v>5125</v>
      </c>
    </row>
    <row r="2493" customFormat="false" ht="15" hidden="false" customHeight="false" outlineLevel="0" collapsed="false">
      <c r="A2493" s="6" t="s">
        <v>7716</v>
      </c>
      <c r="B2493" s="6" t="s">
        <v>4587</v>
      </c>
      <c r="C2493" s="26" t="n">
        <v>46111</v>
      </c>
      <c r="D2493" s="6" t="s">
        <v>5207</v>
      </c>
      <c r="E2493" s="6" t="s">
        <v>20</v>
      </c>
      <c r="F2493" s="6" t="n">
        <v>1</v>
      </c>
      <c r="G2493" s="10" t="n">
        <v>1258</v>
      </c>
      <c r="H2493" s="10" t="n">
        <f aca="false">F2493*G2493</f>
        <v>1258</v>
      </c>
      <c r="I2493" s="6" t="s">
        <v>5122</v>
      </c>
    </row>
    <row r="2494" customFormat="false" ht="15" hidden="false" customHeight="false" outlineLevel="0" collapsed="false">
      <c r="A2494" s="6" t="s">
        <v>7717</v>
      </c>
      <c r="B2494" s="6" t="s">
        <v>949</v>
      </c>
      <c r="C2494" s="26" t="n">
        <v>46111</v>
      </c>
      <c r="D2494" s="6" t="s">
        <v>5207</v>
      </c>
      <c r="E2494" s="6" t="s">
        <v>20</v>
      </c>
      <c r="F2494" s="6" t="n">
        <v>1</v>
      </c>
      <c r="G2494" s="10" t="n">
        <v>1325</v>
      </c>
      <c r="H2494" s="10" t="n">
        <f aca="false">F2494*G2494</f>
        <v>1325</v>
      </c>
      <c r="I2494" s="6" t="s">
        <v>5173</v>
      </c>
    </row>
    <row r="2495" customFormat="false" ht="15" hidden="false" customHeight="false" outlineLevel="0" collapsed="false">
      <c r="A2495" s="6" t="s">
        <v>7718</v>
      </c>
      <c r="B2495" s="6" t="s">
        <v>3895</v>
      </c>
      <c r="C2495" s="26" t="n">
        <v>46111</v>
      </c>
      <c r="D2495" s="6" t="s">
        <v>5160</v>
      </c>
      <c r="E2495" s="6" t="s">
        <v>21</v>
      </c>
      <c r="F2495" s="6" t="n">
        <v>1</v>
      </c>
      <c r="G2495" s="10" t="n">
        <v>2476</v>
      </c>
      <c r="H2495" s="10" t="n">
        <f aca="false">F2495*G2495</f>
        <v>2476</v>
      </c>
      <c r="I2495" s="6" t="s">
        <v>5130</v>
      </c>
    </row>
    <row r="2496" customFormat="false" ht="15" hidden="false" customHeight="false" outlineLevel="0" collapsed="false">
      <c r="A2496" s="6" t="s">
        <v>7719</v>
      </c>
      <c r="B2496" s="6" t="s">
        <v>4859</v>
      </c>
      <c r="C2496" s="26" t="n">
        <v>46111</v>
      </c>
      <c r="D2496" s="6" t="s">
        <v>5165</v>
      </c>
      <c r="E2496" s="6" t="s">
        <v>22</v>
      </c>
      <c r="F2496" s="6" t="n">
        <v>1</v>
      </c>
      <c r="G2496" s="10" t="n">
        <v>977</v>
      </c>
      <c r="H2496" s="10" t="n">
        <f aca="false">F2496*G2496</f>
        <v>977</v>
      </c>
      <c r="I2496" s="6" t="s">
        <v>5125</v>
      </c>
    </row>
    <row r="2497" customFormat="false" ht="15" hidden="false" customHeight="false" outlineLevel="0" collapsed="false">
      <c r="A2497" s="6" t="s">
        <v>7720</v>
      </c>
      <c r="B2497" s="6" t="s">
        <v>3047</v>
      </c>
      <c r="C2497" s="26" t="n">
        <v>46111</v>
      </c>
      <c r="D2497" s="6" t="s">
        <v>5269</v>
      </c>
      <c r="E2497" s="6" t="s">
        <v>22</v>
      </c>
      <c r="F2497" s="6" t="n">
        <v>2</v>
      </c>
      <c r="G2497" s="10" t="n">
        <v>1271</v>
      </c>
      <c r="H2497" s="10" t="n">
        <f aca="false">F2497*G2497</f>
        <v>2542</v>
      </c>
      <c r="I2497" s="6" t="s">
        <v>5122</v>
      </c>
    </row>
    <row r="2498" customFormat="false" ht="15" hidden="false" customHeight="false" outlineLevel="0" collapsed="false">
      <c r="A2498" s="6" t="s">
        <v>7721</v>
      </c>
      <c r="B2498" s="6" t="s">
        <v>356</v>
      </c>
      <c r="C2498" s="26" t="n">
        <v>46111</v>
      </c>
      <c r="D2498" s="6" t="s">
        <v>5466</v>
      </c>
      <c r="E2498" s="6" t="s">
        <v>21</v>
      </c>
      <c r="F2498" s="6" t="n">
        <v>1</v>
      </c>
      <c r="G2498" s="10" t="n">
        <v>1965</v>
      </c>
      <c r="H2498" s="10" t="n">
        <f aca="false">F2498*G2498</f>
        <v>1965</v>
      </c>
      <c r="I2498" s="6" t="s">
        <v>5173</v>
      </c>
    </row>
    <row r="2499" customFormat="false" ht="15" hidden="false" customHeight="false" outlineLevel="0" collapsed="false">
      <c r="A2499" s="6" t="s">
        <v>7722</v>
      </c>
      <c r="B2499" s="6" t="s">
        <v>853</v>
      </c>
      <c r="C2499" s="26" t="n">
        <v>46111</v>
      </c>
      <c r="D2499" s="6" t="s">
        <v>5171</v>
      </c>
      <c r="E2499" s="6" t="s">
        <v>23</v>
      </c>
      <c r="F2499" s="6" t="n">
        <v>4</v>
      </c>
      <c r="G2499" s="10" t="n">
        <v>661</v>
      </c>
      <c r="H2499" s="10" t="n">
        <f aca="false">F2499*G2499</f>
        <v>2644</v>
      </c>
      <c r="I2499" s="6" t="s">
        <v>5133</v>
      </c>
    </row>
    <row r="2500" customFormat="false" ht="15" hidden="false" customHeight="false" outlineLevel="0" collapsed="false">
      <c r="A2500" s="6" t="s">
        <v>7723</v>
      </c>
      <c r="B2500" s="6" t="s">
        <v>3683</v>
      </c>
      <c r="C2500" s="26" t="n">
        <v>46111</v>
      </c>
      <c r="D2500" s="6" t="s">
        <v>5121</v>
      </c>
      <c r="E2500" s="6" t="s">
        <v>22</v>
      </c>
      <c r="F2500" s="6" t="n">
        <v>3</v>
      </c>
      <c r="G2500" s="10" t="n">
        <v>977</v>
      </c>
      <c r="H2500" s="10" t="n">
        <f aca="false">F2500*G2500</f>
        <v>2931</v>
      </c>
      <c r="I2500" s="6" t="s">
        <v>5122</v>
      </c>
    </row>
    <row r="2501" customFormat="false" ht="15" hidden="false" customHeight="false" outlineLevel="0" collapsed="false">
      <c r="A2501" s="6" t="s">
        <v>7724</v>
      </c>
      <c r="B2501" s="6" t="s">
        <v>4465</v>
      </c>
      <c r="C2501" s="26" t="n">
        <v>46111</v>
      </c>
      <c r="D2501" s="6" t="s">
        <v>5318</v>
      </c>
      <c r="E2501" s="6" t="s">
        <v>20</v>
      </c>
      <c r="F2501" s="6" t="n">
        <v>1</v>
      </c>
      <c r="G2501" s="10" t="n">
        <v>1452</v>
      </c>
      <c r="H2501" s="10" t="n">
        <f aca="false">F2501*G2501</f>
        <v>1452</v>
      </c>
      <c r="I2501" s="6" t="s">
        <v>5133</v>
      </c>
    </row>
    <row r="2502" customFormat="false" ht="15" hidden="false" customHeight="false" outlineLevel="0" collapsed="false">
      <c r="A2502" s="6" t="s">
        <v>7725</v>
      </c>
      <c r="B2502" s="6" t="s">
        <v>675</v>
      </c>
      <c r="C2502" s="26" t="n">
        <v>46111</v>
      </c>
      <c r="D2502" s="6" t="s">
        <v>5214</v>
      </c>
      <c r="E2502" s="6" t="s">
        <v>20</v>
      </c>
      <c r="F2502" s="6" t="n">
        <v>1</v>
      </c>
      <c r="G2502" s="10" t="n">
        <v>1835</v>
      </c>
      <c r="H2502" s="10" t="n">
        <f aca="false">F2502*G2502</f>
        <v>1835</v>
      </c>
      <c r="I2502" s="6" t="s">
        <v>5173</v>
      </c>
    </row>
    <row r="2503" customFormat="false" ht="15" hidden="false" customHeight="false" outlineLevel="0" collapsed="false">
      <c r="A2503" s="6" t="s">
        <v>7726</v>
      </c>
      <c r="B2503" s="6" t="s">
        <v>188</v>
      </c>
      <c r="C2503" s="26" t="n">
        <v>46111</v>
      </c>
      <c r="D2503" s="6" t="s">
        <v>5167</v>
      </c>
      <c r="E2503" s="6" t="s">
        <v>22</v>
      </c>
      <c r="F2503" s="6" t="n">
        <v>1</v>
      </c>
      <c r="G2503" s="10" t="n">
        <v>743</v>
      </c>
      <c r="H2503" s="10" t="n">
        <f aca="false">F2503*G2503</f>
        <v>743</v>
      </c>
      <c r="I2503" s="6" t="s">
        <v>5122</v>
      </c>
    </row>
    <row r="2504" customFormat="false" ht="15" hidden="false" customHeight="false" outlineLevel="0" collapsed="false">
      <c r="A2504" s="6" t="s">
        <v>7727</v>
      </c>
      <c r="B2504" s="6" t="s">
        <v>3131</v>
      </c>
      <c r="C2504" s="26" t="n">
        <v>46111</v>
      </c>
      <c r="D2504" s="6" t="s">
        <v>5171</v>
      </c>
      <c r="E2504" s="6" t="s">
        <v>23</v>
      </c>
      <c r="F2504" s="6" t="n">
        <v>2</v>
      </c>
      <c r="G2504" s="10" t="n">
        <v>734</v>
      </c>
      <c r="H2504" s="10" t="n">
        <f aca="false">F2504*G2504</f>
        <v>1468</v>
      </c>
      <c r="I2504" s="6" t="s">
        <v>5125</v>
      </c>
    </row>
    <row r="2505" customFormat="false" ht="15" hidden="false" customHeight="false" outlineLevel="0" collapsed="false">
      <c r="A2505" s="6" t="s">
        <v>7728</v>
      </c>
      <c r="B2505" s="6" t="s">
        <v>1645</v>
      </c>
      <c r="C2505" s="26" t="n">
        <v>46111</v>
      </c>
      <c r="D2505" s="6" t="s">
        <v>5167</v>
      </c>
      <c r="E2505" s="6" t="s">
        <v>22</v>
      </c>
      <c r="F2505" s="6" t="n">
        <v>2</v>
      </c>
      <c r="G2505" s="10" t="n">
        <v>782</v>
      </c>
      <c r="H2505" s="10" t="n">
        <f aca="false">F2505*G2505</f>
        <v>1564</v>
      </c>
      <c r="I2505" s="6" t="s">
        <v>5173</v>
      </c>
    </row>
    <row r="2506" customFormat="false" ht="15" hidden="false" customHeight="false" outlineLevel="0" collapsed="false">
      <c r="A2506" s="6" t="s">
        <v>7729</v>
      </c>
      <c r="B2506" s="6" t="s">
        <v>3293</v>
      </c>
      <c r="C2506" s="26" t="n">
        <v>46111</v>
      </c>
      <c r="D2506" s="6" t="s">
        <v>5135</v>
      </c>
      <c r="E2506" s="6" t="s">
        <v>23</v>
      </c>
      <c r="F2506" s="6" t="n">
        <v>4</v>
      </c>
      <c r="G2506" s="10" t="n">
        <v>441</v>
      </c>
      <c r="H2506" s="10" t="n">
        <f aca="false">F2506*G2506</f>
        <v>1764</v>
      </c>
      <c r="I2506" s="6" t="s">
        <v>5133</v>
      </c>
    </row>
    <row r="2507" customFormat="false" ht="15" hidden="false" customHeight="false" outlineLevel="0" collapsed="false">
      <c r="A2507" s="6" t="s">
        <v>7730</v>
      </c>
      <c r="B2507" s="6" t="s">
        <v>991</v>
      </c>
      <c r="C2507" s="26" t="n">
        <v>46111</v>
      </c>
      <c r="D2507" s="6" t="s">
        <v>5326</v>
      </c>
      <c r="E2507" s="6" t="s">
        <v>22</v>
      </c>
      <c r="F2507" s="6" t="n">
        <v>3</v>
      </c>
      <c r="G2507" s="10" t="n">
        <v>1320</v>
      </c>
      <c r="H2507" s="10" t="n">
        <f aca="false">F2507*G2507</f>
        <v>3960</v>
      </c>
      <c r="I2507" s="6" t="s">
        <v>5148</v>
      </c>
    </row>
    <row r="2508" customFormat="false" ht="15" hidden="false" customHeight="false" outlineLevel="0" collapsed="false">
      <c r="A2508" s="6" t="s">
        <v>7731</v>
      </c>
      <c r="B2508" s="6" t="s">
        <v>3231</v>
      </c>
      <c r="C2508" s="26" t="n">
        <v>46111</v>
      </c>
      <c r="D2508" s="6" t="s">
        <v>5185</v>
      </c>
      <c r="E2508" s="6" t="s">
        <v>24</v>
      </c>
      <c r="F2508" s="6" t="n">
        <v>1</v>
      </c>
      <c r="G2508" s="10" t="n">
        <v>2140</v>
      </c>
      <c r="H2508" s="10" t="n">
        <f aca="false">F2508*G2508</f>
        <v>2140</v>
      </c>
      <c r="I2508" s="6" t="s">
        <v>5122</v>
      </c>
    </row>
    <row r="2509" customFormat="false" ht="15" hidden="false" customHeight="false" outlineLevel="0" collapsed="false">
      <c r="A2509" s="6" t="s">
        <v>7732</v>
      </c>
      <c r="B2509" s="6" t="s">
        <v>196</v>
      </c>
      <c r="C2509" s="26" t="n">
        <v>46112</v>
      </c>
      <c r="D2509" s="6" t="s">
        <v>5456</v>
      </c>
      <c r="E2509" s="6" t="s">
        <v>24</v>
      </c>
      <c r="F2509" s="6" t="n">
        <v>2</v>
      </c>
      <c r="G2509" s="10" t="n">
        <v>866</v>
      </c>
      <c r="H2509" s="10" t="n">
        <f aca="false">F2509*G2509</f>
        <v>1732</v>
      </c>
      <c r="I2509" s="6" t="s">
        <v>5148</v>
      </c>
    </row>
    <row r="2510" customFormat="false" ht="15" hidden="false" customHeight="false" outlineLevel="0" collapsed="false">
      <c r="A2510" s="6" t="s">
        <v>7733</v>
      </c>
      <c r="B2510" s="6" t="s">
        <v>4213</v>
      </c>
      <c r="C2510" s="26" t="n">
        <v>46112</v>
      </c>
      <c r="D2510" s="6" t="s">
        <v>5143</v>
      </c>
      <c r="E2510" s="6" t="s">
        <v>21</v>
      </c>
      <c r="F2510" s="6" t="n">
        <v>3</v>
      </c>
      <c r="G2510" s="10" t="n">
        <v>1120</v>
      </c>
      <c r="H2510" s="10" t="n">
        <f aca="false">F2510*G2510</f>
        <v>3360</v>
      </c>
      <c r="I2510" s="6" t="s">
        <v>5122</v>
      </c>
    </row>
    <row r="2511" customFormat="false" ht="15" hidden="false" customHeight="false" outlineLevel="0" collapsed="false">
      <c r="A2511" s="6" t="s">
        <v>7734</v>
      </c>
      <c r="B2511" s="6" t="s">
        <v>1189</v>
      </c>
      <c r="C2511" s="26" t="n">
        <v>46112</v>
      </c>
      <c r="D2511" s="6" t="s">
        <v>5156</v>
      </c>
      <c r="E2511" s="6" t="s">
        <v>21</v>
      </c>
      <c r="F2511" s="6" t="n">
        <v>2</v>
      </c>
      <c r="G2511" s="10" t="n">
        <v>2161</v>
      </c>
      <c r="H2511" s="10" t="n">
        <f aca="false">F2511*G2511</f>
        <v>4322</v>
      </c>
      <c r="I2511" s="6" t="s">
        <v>5122</v>
      </c>
    </row>
    <row r="2512" customFormat="false" ht="15" hidden="false" customHeight="false" outlineLevel="0" collapsed="false">
      <c r="A2512" s="6" t="s">
        <v>7735</v>
      </c>
      <c r="B2512" s="6" t="s">
        <v>3067</v>
      </c>
      <c r="C2512" s="26" t="n">
        <v>46112</v>
      </c>
      <c r="D2512" s="6" t="s">
        <v>5127</v>
      </c>
      <c r="E2512" s="6" t="s">
        <v>21</v>
      </c>
      <c r="F2512" s="6" t="n">
        <v>1</v>
      </c>
      <c r="G2512" s="10" t="n">
        <v>839</v>
      </c>
      <c r="H2512" s="10" t="n">
        <f aca="false">F2512*G2512</f>
        <v>839</v>
      </c>
      <c r="I2512" s="6" t="s">
        <v>5122</v>
      </c>
    </row>
    <row r="2513" customFormat="false" ht="15" hidden="false" customHeight="false" outlineLevel="0" collapsed="false">
      <c r="A2513" s="6" t="s">
        <v>7736</v>
      </c>
      <c r="B2513" s="6" t="s">
        <v>1329</v>
      </c>
      <c r="C2513" s="26" t="n">
        <v>46112</v>
      </c>
      <c r="D2513" s="6" t="s">
        <v>5456</v>
      </c>
      <c r="E2513" s="6" t="s">
        <v>24</v>
      </c>
      <c r="F2513" s="6" t="n">
        <v>1</v>
      </c>
      <c r="G2513" s="10" t="n">
        <v>821</v>
      </c>
      <c r="H2513" s="10" t="n">
        <f aca="false">F2513*G2513</f>
        <v>821</v>
      </c>
      <c r="I2513" s="6" t="s">
        <v>5173</v>
      </c>
    </row>
    <row r="2514" customFormat="false" ht="15" hidden="false" customHeight="false" outlineLevel="0" collapsed="false">
      <c r="A2514" s="6" t="s">
        <v>7737</v>
      </c>
      <c r="B2514" s="6" t="s">
        <v>2685</v>
      </c>
      <c r="C2514" s="26" t="n">
        <v>46112</v>
      </c>
      <c r="D2514" s="6" t="s">
        <v>5171</v>
      </c>
      <c r="E2514" s="6" t="s">
        <v>23</v>
      </c>
      <c r="F2514" s="6" t="n">
        <v>2</v>
      </c>
      <c r="G2514" s="10" t="n">
        <v>734</v>
      </c>
      <c r="H2514" s="10" t="n">
        <f aca="false">F2514*G2514</f>
        <v>1468</v>
      </c>
      <c r="I2514" s="6" t="s">
        <v>5148</v>
      </c>
    </row>
    <row r="2515" customFormat="false" ht="15" hidden="false" customHeight="false" outlineLevel="0" collapsed="false">
      <c r="A2515" s="6" t="s">
        <v>7738</v>
      </c>
      <c r="B2515" s="6" t="s">
        <v>3829</v>
      </c>
      <c r="C2515" s="26" t="n">
        <v>46112</v>
      </c>
      <c r="D2515" s="6" t="s">
        <v>5339</v>
      </c>
      <c r="E2515" s="6" t="s">
        <v>24</v>
      </c>
      <c r="F2515" s="6" t="n">
        <v>2</v>
      </c>
      <c r="G2515" s="10" t="n">
        <v>458</v>
      </c>
      <c r="H2515" s="10" t="n">
        <f aca="false">F2515*G2515</f>
        <v>916</v>
      </c>
      <c r="I2515" s="6" t="s">
        <v>5133</v>
      </c>
    </row>
    <row r="2516" customFormat="false" ht="15" hidden="false" customHeight="false" outlineLevel="0" collapsed="false">
      <c r="A2516" s="6" t="s">
        <v>7739</v>
      </c>
      <c r="B2516" s="6" t="s">
        <v>4301</v>
      </c>
      <c r="C2516" s="26" t="n">
        <v>46112</v>
      </c>
      <c r="D2516" s="6" t="s">
        <v>5207</v>
      </c>
      <c r="E2516" s="6" t="s">
        <v>20</v>
      </c>
      <c r="F2516" s="6" t="n">
        <v>1</v>
      </c>
      <c r="G2516" s="10" t="n">
        <v>1325</v>
      </c>
      <c r="H2516" s="10" t="n">
        <f aca="false">F2516*G2516</f>
        <v>1325</v>
      </c>
      <c r="I2516" s="6" t="s">
        <v>5122</v>
      </c>
    </row>
    <row r="2517" customFormat="false" ht="15" hidden="false" customHeight="false" outlineLevel="0" collapsed="false">
      <c r="A2517" s="6" t="s">
        <v>7740</v>
      </c>
      <c r="B2517" s="6" t="s">
        <v>4359</v>
      </c>
      <c r="C2517" s="26" t="n">
        <v>46112</v>
      </c>
      <c r="D2517" s="6" t="s">
        <v>5160</v>
      </c>
      <c r="E2517" s="6" t="s">
        <v>21</v>
      </c>
      <c r="F2517" s="6" t="n">
        <v>1</v>
      </c>
      <c r="G2517" s="10" t="n">
        <v>2751</v>
      </c>
      <c r="H2517" s="10" t="n">
        <f aca="false">F2517*G2517</f>
        <v>2751</v>
      </c>
      <c r="I2517" s="6" t="s">
        <v>5130</v>
      </c>
    </row>
    <row r="2518" customFormat="false" ht="15" hidden="false" customHeight="false" outlineLevel="0" collapsed="false">
      <c r="A2518" s="6" t="s">
        <v>7741</v>
      </c>
      <c r="B2518" s="6" t="s">
        <v>3603</v>
      </c>
      <c r="C2518" s="26" t="n">
        <v>46112</v>
      </c>
      <c r="D2518" s="6" t="s">
        <v>5237</v>
      </c>
      <c r="E2518" s="6" t="s">
        <v>24</v>
      </c>
      <c r="F2518" s="6" t="n">
        <v>2</v>
      </c>
      <c r="G2518" s="10" t="n">
        <v>1650</v>
      </c>
      <c r="H2518" s="10" t="n">
        <f aca="false">F2518*G2518</f>
        <v>3300</v>
      </c>
      <c r="I2518" s="6" t="s">
        <v>5125</v>
      </c>
    </row>
    <row r="2519" customFormat="false" ht="15" hidden="false" customHeight="false" outlineLevel="0" collapsed="false">
      <c r="A2519" s="6" t="s">
        <v>7742</v>
      </c>
      <c r="B2519" s="6" t="s">
        <v>138</v>
      </c>
      <c r="C2519" s="26" t="n">
        <v>46112</v>
      </c>
      <c r="D2519" s="6" t="s">
        <v>5129</v>
      </c>
      <c r="E2519" s="6" t="s">
        <v>21</v>
      </c>
      <c r="F2519" s="6" t="n">
        <v>1</v>
      </c>
      <c r="G2519" s="10" t="n">
        <v>589</v>
      </c>
      <c r="H2519" s="10" t="n">
        <f aca="false">F2519*G2519</f>
        <v>589</v>
      </c>
      <c r="I2519" s="6" t="s">
        <v>5173</v>
      </c>
    </row>
    <row r="2520" customFormat="false" ht="15" hidden="false" customHeight="false" outlineLevel="0" collapsed="false">
      <c r="A2520" s="6" t="s">
        <v>7743</v>
      </c>
      <c r="B2520" s="6" t="s">
        <v>4965</v>
      </c>
      <c r="C2520" s="26" t="n">
        <v>46112</v>
      </c>
      <c r="D2520" s="6" t="s">
        <v>5192</v>
      </c>
      <c r="E2520" s="6" t="s">
        <v>20</v>
      </c>
      <c r="F2520" s="6" t="n">
        <v>1</v>
      </c>
      <c r="G2520" s="10" t="n">
        <v>3874</v>
      </c>
      <c r="H2520" s="10" t="n">
        <f aca="false">F2520*G2520</f>
        <v>3874</v>
      </c>
      <c r="I2520" s="6" t="s">
        <v>5148</v>
      </c>
    </row>
    <row r="2521" customFormat="false" ht="15" hidden="false" customHeight="false" outlineLevel="0" collapsed="false">
      <c r="A2521" s="6" t="s">
        <v>7744</v>
      </c>
      <c r="B2521" s="6" t="s">
        <v>2689</v>
      </c>
      <c r="C2521" s="26" t="n">
        <v>46112</v>
      </c>
      <c r="D2521" s="6" t="s">
        <v>5220</v>
      </c>
      <c r="E2521" s="6" t="s">
        <v>24</v>
      </c>
      <c r="F2521" s="6" t="n">
        <v>3</v>
      </c>
      <c r="G2521" s="10" t="n">
        <v>1120</v>
      </c>
      <c r="H2521" s="10" t="n">
        <f aca="false">F2521*G2521</f>
        <v>3360</v>
      </c>
      <c r="I2521" s="6" t="s">
        <v>5122</v>
      </c>
    </row>
    <row r="2522" customFormat="false" ht="15" hidden="false" customHeight="false" outlineLevel="0" collapsed="false">
      <c r="A2522" s="6" t="s">
        <v>7745</v>
      </c>
      <c r="B2522" s="6" t="s">
        <v>2065</v>
      </c>
      <c r="C2522" s="26" t="n">
        <v>46112</v>
      </c>
      <c r="D2522" s="6" t="s">
        <v>5357</v>
      </c>
      <c r="E2522" s="6" t="s">
        <v>23</v>
      </c>
      <c r="F2522" s="6" t="n">
        <v>3</v>
      </c>
      <c r="G2522" s="10" t="n">
        <v>481</v>
      </c>
      <c r="H2522" s="10" t="n">
        <f aca="false">F2522*G2522</f>
        <v>1443</v>
      </c>
      <c r="I2522" s="6" t="s">
        <v>5122</v>
      </c>
    </row>
    <row r="2523" customFormat="false" ht="15" hidden="false" customHeight="false" outlineLevel="0" collapsed="false">
      <c r="A2523" s="6" t="s">
        <v>7746</v>
      </c>
      <c r="B2523" s="6" t="s">
        <v>3781</v>
      </c>
      <c r="C2523" s="26" t="n">
        <v>46112</v>
      </c>
      <c r="D2523" s="6" t="s">
        <v>5165</v>
      </c>
      <c r="E2523" s="6" t="s">
        <v>22</v>
      </c>
      <c r="F2523" s="6" t="n">
        <v>1</v>
      </c>
      <c r="G2523" s="10" t="n">
        <v>976</v>
      </c>
      <c r="H2523" s="10" t="n">
        <f aca="false">F2523*G2523</f>
        <v>976</v>
      </c>
      <c r="I2523" s="6" t="s">
        <v>5122</v>
      </c>
    </row>
    <row r="2524" customFormat="false" ht="15" hidden="false" customHeight="false" outlineLevel="0" collapsed="false">
      <c r="A2524" s="6" t="s">
        <v>7747</v>
      </c>
      <c r="B2524" s="6" t="s">
        <v>2741</v>
      </c>
      <c r="C2524" s="26" t="n">
        <v>46112</v>
      </c>
      <c r="D2524" s="6" t="s">
        <v>5145</v>
      </c>
      <c r="E2524" s="6" t="s">
        <v>21</v>
      </c>
      <c r="F2524" s="6" t="n">
        <v>1</v>
      </c>
      <c r="G2524" s="10" t="n">
        <v>1277</v>
      </c>
      <c r="H2524" s="10" t="n">
        <f aca="false">F2524*G2524</f>
        <v>1277</v>
      </c>
      <c r="I2524" s="6" t="s">
        <v>5122</v>
      </c>
    </row>
    <row r="2525" customFormat="false" ht="15" hidden="false" customHeight="false" outlineLevel="0" collapsed="false">
      <c r="A2525" s="6" t="s">
        <v>7748</v>
      </c>
      <c r="B2525" s="6" t="s">
        <v>1325</v>
      </c>
      <c r="C2525" s="26" t="n">
        <v>46112</v>
      </c>
      <c r="D2525" s="6" t="s">
        <v>5135</v>
      </c>
      <c r="E2525" s="6" t="s">
        <v>23</v>
      </c>
      <c r="F2525" s="6" t="n">
        <v>3</v>
      </c>
      <c r="G2525" s="10" t="n">
        <v>441</v>
      </c>
      <c r="H2525" s="10" t="n">
        <f aca="false">F2525*G2525</f>
        <v>1323</v>
      </c>
      <c r="I2525" s="6" t="s">
        <v>5148</v>
      </c>
    </row>
    <row r="2526" customFormat="false" ht="15" hidden="false" customHeight="false" outlineLevel="0" collapsed="false">
      <c r="A2526" s="6" t="s">
        <v>7749</v>
      </c>
      <c r="B2526" s="6" t="s">
        <v>4141</v>
      </c>
      <c r="C2526" s="26" t="n">
        <v>46112</v>
      </c>
      <c r="D2526" s="6" t="s">
        <v>5237</v>
      </c>
      <c r="E2526" s="6" t="s">
        <v>24</v>
      </c>
      <c r="F2526" s="6" t="n">
        <v>4</v>
      </c>
      <c r="G2526" s="10" t="n">
        <v>1833</v>
      </c>
      <c r="H2526" s="10" t="n">
        <f aca="false">F2526*G2526</f>
        <v>7332</v>
      </c>
      <c r="I2526" s="6" t="s">
        <v>5122</v>
      </c>
    </row>
    <row r="2527" customFormat="false" ht="15" hidden="false" customHeight="false" outlineLevel="0" collapsed="false">
      <c r="A2527" s="6" t="s">
        <v>7750</v>
      </c>
      <c r="B2527" s="6" t="s">
        <v>723</v>
      </c>
      <c r="C2527" s="26" t="n">
        <v>46112</v>
      </c>
      <c r="D2527" s="6" t="s">
        <v>5188</v>
      </c>
      <c r="E2527" s="6" t="s">
        <v>24</v>
      </c>
      <c r="F2527" s="6" t="n">
        <v>1</v>
      </c>
      <c r="G2527" s="10" t="n">
        <v>1018</v>
      </c>
      <c r="H2527" s="10" t="n">
        <f aca="false">F2527*G2527</f>
        <v>1018</v>
      </c>
      <c r="I2527" s="6" t="s">
        <v>5133</v>
      </c>
    </row>
    <row r="2528" customFormat="false" ht="15" hidden="false" customHeight="false" outlineLevel="0" collapsed="false">
      <c r="A2528" s="6" t="s">
        <v>7751</v>
      </c>
      <c r="B2528" s="6" t="s">
        <v>4183</v>
      </c>
      <c r="C2528" s="26" t="n">
        <v>46112</v>
      </c>
      <c r="D2528" s="6" t="s">
        <v>5167</v>
      </c>
      <c r="E2528" s="6" t="s">
        <v>22</v>
      </c>
      <c r="F2528" s="6" t="n">
        <v>1</v>
      </c>
      <c r="G2528" s="10" t="n">
        <v>781</v>
      </c>
      <c r="H2528" s="10" t="n">
        <f aca="false">F2528*G2528</f>
        <v>781</v>
      </c>
      <c r="I2528" s="6" t="s">
        <v>5122</v>
      </c>
    </row>
    <row r="2529" customFormat="false" ht="15" hidden="false" customHeight="false" outlineLevel="0" collapsed="false">
      <c r="A2529" s="6" t="s">
        <v>7752</v>
      </c>
      <c r="B2529" s="6" t="s">
        <v>3951</v>
      </c>
      <c r="C2529" s="26" t="n">
        <v>46112</v>
      </c>
      <c r="D2529" s="6" t="s">
        <v>5171</v>
      </c>
      <c r="E2529" s="6" t="s">
        <v>23</v>
      </c>
      <c r="F2529" s="6" t="n">
        <v>2</v>
      </c>
      <c r="G2529" s="10" t="n">
        <v>734</v>
      </c>
      <c r="H2529" s="10" t="n">
        <f aca="false">F2529*G2529</f>
        <v>1468</v>
      </c>
      <c r="I2529" s="6" t="s">
        <v>5130</v>
      </c>
    </row>
    <row r="2530" customFormat="false" ht="15" hidden="false" customHeight="false" outlineLevel="0" collapsed="false">
      <c r="A2530" s="6" t="s">
        <v>7753</v>
      </c>
      <c r="B2530" s="6" t="s">
        <v>3481</v>
      </c>
      <c r="C2530" s="26" t="n">
        <v>46112</v>
      </c>
      <c r="D2530" s="6" t="s">
        <v>5163</v>
      </c>
      <c r="E2530" s="6" t="s">
        <v>23</v>
      </c>
      <c r="F2530" s="6" t="n">
        <v>3</v>
      </c>
      <c r="G2530" s="10" t="n">
        <v>744</v>
      </c>
      <c r="H2530" s="10" t="n">
        <f aca="false">F2530*G2530</f>
        <v>2232</v>
      </c>
      <c r="I2530" s="6" t="s">
        <v>5122</v>
      </c>
    </row>
    <row r="2531" customFormat="false" ht="15" hidden="false" customHeight="false" outlineLevel="0" collapsed="false">
      <c r="A2531" s="6" t="s">
        <v>7754</v>
      </c>
      <c r="B2531" s="6" t="s">
        <v>4147</v>
      </c>
      <c r="C2531" s="26" t="n">
        <v>46112</v>
      </c>
      <c r="D2531" s="6" t="s">
        <v>6114</v>
      </c>
      <c r="E2531" s="6" t="s">
        <v>20</v>
      </c>
      <c r="F2531" s="6" t="n">
        <v>2</v>
      </c>
      <c r="G2531" s="10" t="n">
        <v>12593</v>
      </c>
      <c r="H2531" s="10" t="n">
        <f aca="false">F2531*G2531</f>
        <v>25186</v>
      </c>
      <c r="I2531" s="6" t="s">
        <v>5122</v>
      </c>
    </row>
    <row r="2532" customFormat="false" ht="15" hidden="false" customHeight="false" outlineLevel="0" collapsed="false">
      <c r="A2532" s="6" t="s">
        <v>7755</v>
      </c>
      <c r="B2532" s="6" t="s">
        <v>3211</v>
      </c>
      <c r="C2532" s="26" t="n">
        <v>46112</v>
      </c>
      <c r="D2532" s="6" t="s">
        <v>5588</v>
      </c>
      <c r="E2532" s="6" t="s">
        <v>21</v>
      </c>
      <c r="F2532" s="6" t="n">
        <v>1</v>
      </c>
      <c r="G2532" s="10" t="n">
        <v>11794</v>
      </c>
      <c r="H2532" s="10" t="n">
        <f aca="false">F2532*G2532</f>
        <v>11794</v>
      </c>
      <c r="I2532" s="6" t="s">
        <v>5122</v>
      </c>
    </row>
    <row r="2533" customFormat="false" ht="15" hidden="false" customHeight="false" outlineLevel="0" collapsed="false">
      <c r="A2533" s="6" t="s">
        <v>7756</v>
      </c>
      <c r="B2533" s="6" t="s">
        <v>2381</v>
      </c>
      <c r="C2533" s="26" t="n">
        <v>46112</v>
      </c>
      <c r="D2533" s="6" t="s">
        <v>5156</v>
      </c>
      <c r="E2533" s="6" t="s">
        <v>21</v>
      </c>
      <c r="F2533" s="6" t="n">
        <v>1</v>
      </c>
      <c r="G2533" s="10" t="n">
        <v>2161</v>
      </c>
      <c r="H2533" s="10" t="n">
        <f aca="false">F2533*G2533</f>
        <v>2161</v>
      </c>
      <c r="I2533" s="6" t="s">
        <v>5122</v>
      </c>
    </row>
    <row r="2534" customFormat="false" ht="15" hidden="false" customHeight="false" outlineLevel="0" collapsed="false">
      <c r="A2534" s="6" t="s">
        <v>7757</v>
      </c>
      <c r="B2534" s="6" t="s">
        <v>1855</v>
      </c>
      <c r="C2534" s="26" t="n">
        <v>46112</v>
      </c>
      <c r="D2534" s="6" t="s">
        <v>5121</v>
      </c>
      <c r="E2534" s="6" t="s">
        <v>22</v>
      </c>
      <c r="F2534" s="6" t="n">
        <v>3</v>
      </c>
      <c r="G2534" s="10" t="n">
        <v>977</v>
      </c>
      <c r="H2534" s="10" t="n">
        <f aca="false">F2534*G2534</f>
        <v>2931</v>
      </c>
      <c r="I2534" s="6" t="s">
        <v>5122</v>
      </c>
    </row>
    <row r="2535" customFormat="false" ht="15" hidden="false" customHeight="false" outlineLevel="0" collapsed="false">
      <c r="A2535" s="6" t="s">
        <v>7758</v>
      </c>
      <c r="B2535" s="6" t="s">
        <v>3745</v>
      </c>
      <c r="C2535" s="26" t="n">
        <v>46112</v>
      </c>
      <c r="D2535" s="6" t="s">
        <v>5269</v>
      </c>
      <c r="E2535" s="6" t="s">
        <v>22</v>
      </c>
      <c r="F2535" s="6" t="n">
        <v>1</v>
      </c>
      <c r="G2535" s="10" t="n">
        <v>1207</v>
      </c>
      <c r="H2535" s="10" t="n">
        <f aca="false">F2535*G2535</f>
        <v>1207</v>
      </c>
      <c r="I2535" s="6" t="s">
        <v>5125</v>
      </c>
    </row>
    <row r="2536" customFormat="false" ht="15" hidden="false" customHeight="false" outlineLevel="0" collapsed="false">
      <c r="A2536" s="6" t="s">
        <v>7759</v>
      </c>
      <c r="B2536" s="6" t="s">
        <v>951</v>
      </c>
      <c r="C2536" s="26" t="n">
        <v>46112</v>
      </c>
      <c r="D2536" s="6" t="s">
        <v>5169</v>
      </c>
      <c r="E2536" s="6" t="s">
        <v>20</v>
      </c>
      <c r="F2536" s="6" t="n">
        <v>3</v>
      </c>
      <c r="G2536" s="10" t="n">
        <v>5098</v>
      </c>
      <c r="H2536" s="10" t="n">
        <f aca="false">F2536*G2536</f>
        <v>15294</v>
      </c>
      <c r="I2536" s="6" t="s">
        <v>5125</v>
      </c>
    </row>
    <row r="2537" customFormat="false" ht="15" hidden="false" customHeight="false" outlineLevel="0" collapsed="false">
      <c r="A2537" s="6" t="s">
        <v>7760</v>
      </c>
      <c r="B2537" s="6" t="s">
        <v>4255</v>
      </c>
      <c r="C2537" s="26" t="n">
        <v>46112</v>
      </c>
      <c r="D2537" s="6" t="s">
        <v>5182</v>
      </c>
      <c r="E2537" s="6" t="s">
        <v>23</v>
      </c>
      <c r="F2537" s="6" t="n">
        <v>3</v>
      </c>
      <c r="G2537" s="10" t="n">
        <v>367</v>
      </c>
      <c r="H2537" s="10" t="n">
        <f aca="false">F2537*G2537</f>
        <v>1101</v>
      </c>
      <c r="I2537" s="6" t="s">
        <v>5148</v>
      </c>
    </row>
    <row r="2538" customFormat="false" ht="15" hidden="false" customHeight="false" outlineLevel="0" collapsed="false">
      <c r="A2538" s="6" t="s">
        <v>7761</v>
      </c>
      <c r="B2538" s="6" t="s">
        <v>779</v>
      </c>
      <c r="C2538" s="26" t="n">
        <v>46112</v>
      </c>
      <c r="D2538" s="6" t="s">
        <v>5141</v>
      </c>
      <c r="E2538" s="6" t="s">
        <v>20</v>
      </c>
      <c r="F2538" s="6" t="n">
        <v>1</v>
      </c>
      <c r="G2538" s="10" t="n">
        <v>1835</v>
      </c>
      <c r="H2538" s="10" t="n">
        <f aca="false">F2538*G2538</f>
        <v>1835</v>
      </c>
      <c r="I2538" s="6" t="s">
        <v>5148</v>
      </c>
    </row>
    <row r="2539" customFormat="false" ht="15" hidden="false" customHeight="false" outlineLevel="0" collapsed="false">
      <c r="A2539" s="6" t="s">
        <v>7762</v>
      </c>
      <c r="B2539" s="6" t="s">
        <v>3129</v>
      </c>
      <c r="C2539" s="26" t="n">
        <v>46113</v>
      </c>
      <c r="D2539" s="6" t="s">
        <v>5458</v>
      </c>
      <c r="E2539" s="6" t="s">
        <v>24</v>
      </c>
      <c r="F2539" s="6" t="n">
        <v>1</v>
      </c>
      <c r="G2539" s="10" t="n">
        <v>504</v>
      </c>
      <c r="H2539" s="10" t="n">
        <f aca="false">F2539*G2539</f>
        <v>504</v>
      </c>
      <c r="I2539" s="6" t="s">
        <v>5122</v>
      </c>
    </row>
    <row r="2540" customFormat="false" ht="15" hidden="false" customHeight="false" outlineLevel="0" collapsed="false">
      <c r="A2540" s="6" t="s">
        <v>7763</v>
      </c>
      <c r="B2540" s="6" t="s">
        <v>1071</v>
      </c>
      <c r="C2540" s="26" t="n">
        <v>46113</v>
      </c>
      <c r="D2540" s="6" t="s">
        <v>5190</v>
      </c>
      <c r="E2540" s="6" t="s">
        <v>24</v>
      </c>
      <c r="F2540" s="6" t="n">
        <v>3</v>
      </c>
      <c r="G2540" s="10" t="n">
        <v>580</v>
      </c>
      <c r="H2540" s="10" t="n">
        <f aca="false">F2540*G2540</f>
        <v>1740</v>
      </c>
      <c r="I2540" s="6" t="s">
        <v>5148</v>
      </c>
    </row>
    <row r="2541" customFormat="false" ht="15" hidden="false" customHeight="false" outlineLevel="0" collapsed="false">
      <c r="A2541" s="6" t="s">
        <v>7764</v>
      </c>
      <c r="B2541" s="6" t="s">
        <v>221</v>
      </c>
      <c r="C2541" s="26" t="n">
        <v>46113</v>
      </c>
      <c r="D2541" s="6" t="s">
        <v>5357</v>
      </c>
      <c r="E2541" s="6" t="s">
        <v>23</v>
      </c>
      <c r="F2541" s="6" t="n">
        <v>1</v>
      </c>
      <c r="G2541" s="10" t="n">
        <v>533</v>
      </c>
      <c r="H2541" s="10" t="n">
        <f aca="false">F2541*G2541</f>
        <v>533</v>
      </c>
      <c r="I2541" s="6" t="s">
        <v>5122</v>
      </c>
    </row>
    <row r="2542" customFormat="false" ht="15" hidden="false" customHeight="false" outlineLevel="0" collapsed="false">
      <c r="A2542" s="6" t="s">
        <v>7765</v>
      </c>
      <c r="B2542" s="6" t="s">
        <v>2301</v>
      </c>
      <c r="C2542" s="26" t="n">
        <v>46113</v>
      </c>
      <c r="D2542" s="6" t="s">
        <v>5281</v>
      </c>
      <c r="E2542" s="6" t="s">
        <v>24</v>
      </c>
      <c r="F2542" s="6" t="n">
        <v>2</v>
      </c>
      <c r="G2542" s="10" t="n">
        <v>814</v>
      </c>
      <c r="H2542" s="10" t="n">
        <f aca="false">F2542*G2542</f>
        <v>1628</v>
      </c>
      <c r="I2542" s="6" t="s">
        <v>5122</v>
      </c>
    </row>
    <row r="2543" customFormat="false" ht="15" hidden="false" customHeight="false" outlineLevel="0" collapsed="false">
      <c r="A2543" s="6" t="s">
        <v>7766</v>
      </c>
      <c r="B2543" s="6" t="s">
        <v>1121</v>
      </c>
      <c r="C2543" s="26" t="n">
        <v>46113</v>
      </c>
      <c r="D2543" s="6" t="s">
        <v>5214</v>
      </c>
      <c r="E2543" s="6" t="s">
        <v>20</v>
      </c>
      <c r="F2543" s="6" t="n">
        <v>1</v>
      </c>
      <c r="G2543" s="10" t="n">
        <v>1834</v>
      </c>
      <c r="H2543" s="10" t="n">
        <f aca="false">F2543*G2543</f>
        <v>1834</v>
      </c>
      <c r="I2543" s="6" t="s">
        <v>5125</v>
      </c>
    </row>
    <row r="2544" customFormat="false" ht="15" hidden="false" customHeight="false" outlineLevel="0" collapsed="false">
      <c r="A2544" s="6" t="s">
        <v>7767</v>
      </c>
      <c r="B2544" s="6" t="s">
        <v>1757</v>
      </c>
      <c r="C2544" s="26" t="n">
        <v>46113</v>
      </c>
      <c r="D2544" s="6" t="s">
        <v>5167</v>
      </c>
      <c r="E2544" s="6" t="s">
        <v>22</v>
      </c>
      <c r="F2544" s="6" t="n">
        <v>1</v>
      </c>
      <c r="G2544" s="10" t="n">
        <v>782</v>
      </c>
      <c r="H2544" s="10" t="n">
        <f aca="false">F2544*G2544</f>
        <v>782</v>
      </c>
      <c r="I2544" s="6" t="s">
        <v>5148</v>
      </c>
    </row>
    <row r="2545" customFormat="false" ht="15" hidden="false" customHeight="false" outlineLevel="0" collapsed="false">
      <c r="A2545" s="6" t="s">
        <v>7768</v>
      </c>
      <c r="B2545" s="6" t="s">
        <v>313</v>
      </c>
      <c r="C2545" s="26" t="n">
        <v>46113</v>
      </c>
      <c r="D2545" s="6" t="s">
        <v>5216</v>
      </c>
      <c r="E2545" s="6" t="s">
        <v>23</v>
      </c>
      <c r="F2545" s="6" t="n">
        <v>2</v>
      </c>
      <c r="G2545" s="10" t="n">
        <v>528</v>
      </c>
      <c r="H2545" s="10" t="n">
        <f aca="false">F2545*G2545</f>
        <v>1056</v>
      </c>
      <c r="I2545" s="6" t="s">
        <v>5148</v>
      </c>
    </row>
    <row r="2546" customFormat="false" ht="15" hidden="false" customHeight="false" outlineLevel="0" collapsed="false">
      <c r="A2546" s="6" t="s">
        <v>7769</v>
      </c>
      <c r="B2546" s="6" t="s">
        <v>2415</v>
      </c>
      <c r="C2546" s="26" t="n">
        <v>46113</v>
      </c>
      <c r="D2546" s="6" t="s">
        <v>5522</v>
      </c>
      <c r="E2546" s="6" t="s">
        <v>21</v>
      </c>
      <c r="F2546" s="6" t="n">
        <v>2</v>
      </c>
      <c r="G2546" s="10" t="n">
        <v>12777</v>
      </c>
      <c r="H2546" s="10" t="n">
        <f aca="false">F2546*G2546</f>
        <v>25554</v>
      </c>
      <c r="I2546" s="6" t="s">
        <v>5122</v>
      </c>
    </row>
    <row r="2547" customFormat="false" ht="15" hidden="false" customHeight="false" outlineLevel="0" collapsed="false">
      <c r="A2547" s="6" t="s">
        <v>7770</v>
      </c>
      <c r="B2547" s="6" t="s">
        <v>3691</v>
      </c>
      <c r="C2547" s="26" t="n">
        <v>46113</v>
      </c>
      <c r="D2547" s="6" t="s">
        <v>5129</v>
      </c>
      <c r="E2547" s="6" t="s">
        <v>21</v>
      </c>
      <c r="F2547" s="6" t="n">
        <v>1</v>
      </c>
      <c r="G2547" s="10" t="n">
        <v>589</v>
      </c>
      <c r="H2547" s="10" t="n">
        <f aca="false">F2547*G2547</f>
        <v>589</v>
      </c>
      <c r="I2547" s="6" t="s">
        <v>5130</v>
      </c>
    </row>
    <row r="2548" customFormat="false" ht="15" hidden="false" customHeight="false" outlineLevel="0" collapsed="false">
      <c r="A2548" s="6" t="s">
        <v>7771</v>
      </c>
      <c r="B2548" s="6" t="s">
        <v>1447</v>
      </c>
      <c r="C2548" s="26" t="n">
        <v>46113</v>
      </c>
      <c r="D2548" s="6" t="s">
        <v>5165</v>
      </c>
      <c r="E2548" s="6" t="s">
        <v>22</v>
      </c>
      <c r="F2548" s="6" t="n">
        <v>2</v>
      </c>
      <c r="G2548" s="10" t="n">
        <v>928</v>
      </c>
      <c r="H2548" s="10" t="n">
        <f aca="false">F2548*G2548</f>
        <v>1856</v>
      </c>
      <c r="I2548" s="6" t="s">
        <v>5122</v>
      </c>
    </row>
    <row r="2549" customFormat="false" ht="15" hidden="false" customHeight="false" outlineLevel="0" collapsed="false">
      <c r="A2549" s="6" t="s">
        <v>7772</v>
      </c>
      <c r="B2549" s="6" t="s">
        <v>1017</v>
      </c>
      <c r="C2549" s="26" t="n">
        <v>46113</v>
      </c>
      <c r="D2549" s="6" t="s">
        <v>5145</v>
      </c>
      <c r="E2549" s="6" t="s">
        <v>21</v>
      </c>
      <c r="F2549" s="6" t="n">
        <v>1</v>
      </c>
      <c r="G2549" s="10" t="n">
        <v>1277</v>
      </c>
      <c r="H2549" s="10" t="n">
        <f aca="false">F2549*G2549</f>
        <v>1277</v>
      </c>
      <c r="I2549" s="6" t="s">
        <v>5148</v>
      </c>
    </row>
    <row r="2550" customFormat="false" ht="15" hidden="false" customHeight="false" outlineLevel="0" collapsed="false">
      <c r="A2550" s="6" t="s">
        <v>7773</v>
      </c>
      <c r="B2550" s="6" t="s">
        <v>3485</v>
      </c>
      <c r="C2550" s="26" t="n">
        <v>46113</v>
      </c>
      <c r="D2550" s="6" t="s">
        <v>5240</v>
      </c>
      <c r="E2550" s="6" t="s">
        <v>20</v>
      </c>
      <c r="F2550" s="6" t="n">
        <v>1</v>
      </c>
      <c r="G2550" s="10" t="n">
        <v>4588</v>
      </c>
      <c r="H2550" s="10" t="n">
        <f aca="false">F2550*G2550</f>
        <v>4588</v>
      </c>
      <c r="I2550" s="6" t="s">
        <v>5130</v>
      </c>
    </row>
    <row r="2551" customFormat="false" ht="15" hidden="false" customHeight="false" outlineLevel="0" collapsed="false">
      <c r="A2551" s="6" t="s">
        <v>7774</v>
      </c>
      <c r="B2551" s="6" t="s">
        <v>1635</v>
      </c>
      <c r="C2551" s="26" t="n">
        <v>46113</v>
      </c>
      <c r="D2551" s="6" t="s">
        <v>5171</v>
      </c>
      <c r="E2551" s="6" t="s">
        <v>23</v>
      </c>
      <c r="F2551" s="6" t="n">
        <v>2</v>
      </c>
      <c r="G2551" s="10" t="n">
        <v>697</v>
      </c>
      <c r="H2551" s="10" t="n">
        <f aca="false">F2551*G2551</f>
        <v>1394</v>
      </c>
      <c r="I2551" s="6" t="s">
        <v>5125</v>
      </c>
    </row>
    <row r="2552" customFormat="false" ht="15" hidden="false" customHeight="false" outlineLevel="0" collapsed="false">
      <c r="A2552" s="6" t="s">
        <v>7775</v>
      </c>
      <c r="B2552" s="6" t="s">
        <v>1039</v>
      </c>
      <c r="C2552" s="26" t="n">
        <v>46113</v>
      </c>
      <c r="D2552" s="6" t="s">
        <v>5214</v>
      </c>
      <c r="E2552" s="6" t="s">
        <v>20</v>
      </c>
      <c r="F2552" s="6" t="n">
        <v>1</v>
      </c>
      <c r="G2552" s="10" t="n">
        <v>2039</v>
      </c>
      <c r="H2552" s="10" t="n">
        <f aca="false">F2552*G2552</f>
        <v>2039</v>
      </c>
      <c r="I2552" s="6" t="s">
        <v>5133</v>
      </c>
    </row>
    <row r="2553" customFormat="false" ht="15" hidden="false" customHeight="false" outlineLevel="0" collapsed="false">
      <c r="A2553" s="6" t="s">
        <v>7776</v>
      </c>
      <c r="B2553" s="6" t="s">
        <v>3063</v>
      </c>
      <c r="C2553" s="26" t="n">
        <v>46113</v>
      </c>
      <c r="D2553" s="6" t="s">
        <v>5165</v>
      </c>
      <c r="E2553" s="6" t="s">
        <v>22</v>
      </c>
      <c r="F2553" s="6" t="n">
        <v>1</v>
      </c>
      <c r="G2553" s="10" t="n">
        <v>927</v>
      </c>
      <c r="H2553" s="10" t="n">
        <f aca="false">F2553*G2553</f>
        <v>927</v>
      </c>
      <c r="I2553" s="6" t="s">
        <v>5122</v>
      </c>
    </row>
    <row r="2554" customFormat="false" ht="15" hidden="false" customHeight="false" outlineLevel="0" collapsed="false">
      <c r="A2554" s="6" t="s">
        <v>7777</v>
      </c>
      <c r="B2554" s="6" t="s">
        <v>665</v>
      </c>
      <c r="C2554" s="26" t="n">
        <v>46113</v>
      </c>
      <c r="D2554" s="6" t="s">
        <v>5245</v>
      </c>
      <c r="E2554" s="6" t="s">
        <v>21</v>
      </c>
      <c r="F2554" s="6" t="n">
        <v>3</v>
      </c>
      <c r="G2554" s="10" t="n">
        <v>2456</v>
      </c>
      <c r="H2554" s="10" t="n">
        <f aca="false">F2554*G2554</f>
        <v>7368</v>
      </c>
      <c r="I2554" s="6" t="s">
        <v>5148</v>
      </c>
    </row>
    <row r="2555" customFormat="false" ht="15" hidden="false" customHeight="false" outlineLevel="0" collapsed="false">
      <c r="A2555" s="6" t="s">
        <v>7778</v>
      </c>
      <c r="B2555" s="6" t="s">
        <v>3287</v>
      </c>
      <c r="C2555" s="26" t="n">
        <v>46113</v>
      </c>
      <c r="D2555" s="6" t="s">
        <v>5167</v>
      </c>
      <c r="E2555" s="6" t="s">
        <v>22</v>
      </c>
      <c r="F2555" s="6" t="n">
        <v>2</v>
      </c>
      <c r="G2555" s="10" t="n">
        <v>782</v>
      </c>
      <c r="H2555" s="10" t="n">
        <f aca="false">F2555*G2555</f>
        <v>1564</v>
      </c>
      <c r="I2555" s="6" t="s">
        <v>5148</v>
      </c>
    </row>
    <row r="2556" customFormat="false" ht="15" hidden="false" customHeight="false" outlineLevel="0" collapsed="false">
      <c r="A2556" s="6" t="s">
        <v>7779</v>
      </c>
      <c r="B2556" s="6" t="s">
        <v>1081</v>
      </c>
      <c r="C2556" s="26" t="n">
        <v>46113</v>
      </c>
      <c r="D2556" s="6" t="s">
        <v>5188</v>
      </c>
      <c r="E2556" s="6" t="s">
        <v>24</v>
      </c>
      <c r="F2556" s="6" t="n">
        <v>3</v>
      </c>
      <c r="G2556" s="10" t="n">
        <v>1018</v>
      </c>
      <c r="H2556" s="10" t="n">
        <f aca="false">F2556*G2556</f>
        <v>3054</v>
      </c>
      <c r="I2556" s="6" t="s">
        <v>5122</v>
      </c>
    </row>
    <row r="2557" customFormat="false" ht="15" hidden="false" customHeight="false" outlineLevel="0" collapsed="false">
      <c r="A2557" s="6" t="s">
        <v>7780</v>
      </c>
      <c r="B2557" s="6" t="s">
        <v>2041</v>
      </c>
      <c r="C2557" s="26" t="n">
        <v>46113</v>
      </c>
      <c r="D2557" s="6" t="s">
        <v>5214</v>
      </c>
      <c r="E2557" s="6" t="s">
        <v>20</v>
      </c>
      <c r="F2557" s="6" t="n">
        <v>1</v>
      </c>
      <c r="G2557" s="10" t="n">
        <v>1937</v>
      </c>
      <c r="H2557" s="10" t="n">
        <f aca="false">F2557*G2557</f>
        <v>1937</v>
      </c>
      <c r="I2557" s="6" t="s">
        <v>5122</v>
      </c>
    </row>
    <row r="2558" customFormat="false" ht="15" hidden="false" customHeight="false" outlineLevel="0" collapsed="false">
      <c r="A2558" s="6" t="s">
        <v>7781</v>
      </c>
      <c r="B2558" s="6" t="s">
        <v>1959</v>
      </c>
      <c r="C2558" s="26" t="n">
        <v>46113</v>
      </c>
      <c r="D2558" s="6" t="s">
        <v>5121</v>
      </c>
      <c r="E2558" s="6" t="s">
        <v>22</v>
      </c>
      <c r="F2558" s="6" t="n">
        <v>1</v>
      </c>
      <c r="G2558" s="10" t="n">
        <v>977</v>
      </c>
      <c r="H2558" s="10" t="n">
        <f aca="false">F2558*G2558</f>
        <v>977</v>
      </c>
      <c r="I2558" s="6" t="s">
        <v>5130</v>
      </c>
    </row>
    <row r="2559" customFormat="false" ht="15" hidden="false" customHeight="false" outlineLevel="0" collapsed="false">
      <c r="A2559" s="6" t="s">
        <v>7782</v>
      </c>
      <c r="B2559" s="6" t="s">
        <v>4745</v>
      </c>
      <c r="C2559" s="26" t="n">
        <v>46113</v>
      </c>
      <c r="D2559" s="6" t="s">
        <v>5121</v>
      </c>
      <c r="E2559" s="6" t="s">
        <v>22</v>
      </c>
      <c r="F2559" s="6" t="n">
        <v>1</v>
      </c>
      <c r="G2559" s="10" t="n">
        <v>928</v>
      </c>
      <c r="H2559" s="10" t="n">
        <f aca="false">F2559*G2559</f>
        <v>928</v>
      </c>
      <c r="I2559" s="6" t="s">
        <v>5130</v>
      </c>
    </row>
    <row r="2560" customFormat="false" ht="15" hidden="false" customHeight="false" outlineLevel="0" collapsed="false">
      <c r="A2560" s="6" t="s">
        <v>7783</v>
      </c>
      <c r="B2560" s="6" t="s">
        <v>1165</v>
      </c>
      <c r="C2560" s="26" t="n">
        <v>46113</v>
      </c>
      <c r="D2560" s="6" t="s">
        <v>5313</v>
      </c>
      <c r="E2560" s="6" t="s">
        <v>22</v>
      </c>
      <c r="F2560" s="6" t="n">
        <v>1</v>
      </c>
      <c r="G2560" s="10" t="n">
        <v>1672</v>
      </c>
      <c r="H2560" s="10" t="n">
        <f aca="false">F2560*G2560</f>
        <v>1672</v>
      </c>
      <c r="I2560" s="6" t="s">
        <v>5122</v>
      </c>
    </row>
    <row r="2561" customFormat="false" ht="15" hidden="false" customHeight="false" outlineLevel="0" collapsed="false">
      <c r="A2561" s="6" t="s">
        <v>7784</v>
      </c>
      <c r="B2561" s="6" t="s">
        <v>1789</v>
      </c>
      <c r="C2561" s="26" t="n">
        <v>46113</v>
      </c>
      <c r="D2561" s="6" t="s">
        <v>5538</v>
      </c>
      <c r="E2561" s="6" t="s">
        <v>21</v>
      </c>
      <c r="F2561" s="6" t="n">
        <v>1</v>
      </c>
      <c r="G2561" s="10" t="n">
        <v>5405</v>
      </c>
      <c r="H2561" s="10" t="n">
        <f aca="false">F2561*G2561</f>
        <v>5405</v>
      </c>
      <c r="I2561" s="6" t="s">
        <v>5122</v>
      </c>
    </row>
    <row r="2562" customFormat="false" ht="15" hidden="false" customHeight="false" outlineLevel="0" collapsed="false">
      <c r="A2562" s="6" t="s">
        <v>7785</v>
      </c>
      <c r="B2562" s="6" t="s">
        <v>420</v>
      </c>
      <c r="C2562" s="26" t="n">
        <v>46113</v>
      </c>
      <c r="D2562" s="6" t="s">
        <v>5163</v>
      </c>
      <c r="E2562" s="6" t="s">
        <v>23</v>
      </c>
      <c r="F2562" s="6" t="n">
        <v>1</v>
      </c>
      <c r="G2562" s="10" t="n">
        <v>743</v>
      </c>
      <c r="H2562" s="10" t="n">
        <f aca="false">F2562*G2562</f>
        <v>743</v>
      </c>
      <c r="I2562" s="6" t="s">
        <v>5122</v>
      </c>
    </row>
    <row r="2563" customFormat="false" ht="15" hidden="false" customHeight="false" outlineLevel="0" collapsed="false">
      <c r="A2563" s="6" t="s">
        <v>7786</v>
      </c>
      <c r="B2563" s="6" t="s">
        <v>3749</v>
      </c>
      <c r="C2563" s="26" t="n">
        <v>46113</v>
      </c>
      <c r="D2563" s="6" t="s">
        <v>5129</v>
      </c>
      <c r="E2563" s="6" t="s">
        <v>21</v>
      </c>
      <c r="F2563" s="6" t="n">
        <v>2</v>
      </c>
      <c r="G2563" s="10" t="n">
        <v>559</v>
      </c>
      <c r="H2563" s="10" t="n">
        <f aca="false">F2563*G2563</f>
        <v>1118</v>
      </c>
      <c r="I2563" s="6" t="s">
        <v>5122</v>
      </c>
    </row>
    <row r="2564" customFormat="false" ht="15" hidden="false" customHeight="false" outlineLevel="0" collapsed="false">
      <c r="A2564" s="6" t="s">
        <v>7787</v>
      </c>
      <c r="B2564" s="6" t="s">
        <v>4165</v>
      </c>
      <c r="C2564" s="26" t="n">
        <v>46113</v>
      </c>
      <c r="D2564" s="6" t="s">
        <v>5326</v>
      </c>
      <c r="E2564" s="6" t="s">
        <v>22</v>
      </c>
      <c r="F2564" s="6" t="n">
        <v>1</v>
      </c>
      <c r="G2564" s="10" t="n">
        <v>1393</v>
      </c>
      <c r="H2564" s="10" t="n">
        <f aca="false">F2564*G2564</f>
        <v>1393</v>
      </c>
      <c r="I2564" s="6" t="s">
        <v>5130</v>
      </c>
    </row>
    <row r="2565" customFormat="false" ht="15" hidden="false" customHeight="false" outlineLevel="0" collapsed="false">
      <c r="A2565" s="6" t="s">
        <v>7788</v>
      </c>
      <c r="B2565" s="6" t="s">
        <v>2143</v>
      </c>
      <c r="C2565" s="26" t="n">
        <v>46113</v>
      </c>
      <c r="D2565" s="6" t="s">
        <v>5135</v>
      </c>
      <c r="E2565" s="6" t="s">
        <v>23</v>
      </c>
      <c r="F2565" s="6" t="n">
        <v>3</v>
      </c>
      <c r="G2565" s="10" t="n">
        <v>397</v>
      </c>
      <c r="H2565" s="10" t="n">
        <f aca="false">F2565*G2565</f>
        <v>1191</v>
      </c>
      <c r="I2565" s="6" t="s">
        <v>5122</v>
      </c>
    </row>
    <row r="2566" customFormat="false" ht="15" hidden="false" customHeight="false" outlineLevel="0" collapsed="false">
      <c r="A2566" s="6" t="s">
        <v>7789</v>
      </c>
      <c r="B2566" s="6" t="s">
        <v>4925</v>
      </c>
      <c r="C2566" s="26" t="n">
        <v>46113</v>
      </c>
      <c r="D2566" s="6" t="s">
        <v>5641</v>
      </c>
      <c r="E2566" s="6" t="s">
        <v>22</v>
      </c>
      <c r="F2566" s="6" t="n">
        <v>1</v>
      </c>
      <c r="G2566" s="10" t="n">
        <v>2024</v>
      </c>
      <c r="H2566" s="10" t="n">
        <f aca="false">F2566*G2566</f>
        <v>2024</v>
      </c>
      <c r="I2566" s="6" t="s">
        <v>5122</v>
      </c>
    </row>
    <row r="2567" customFormat="false" ht="15" hidden="false" customHeight="false" outlineLevel="0" collapsed="false">
      <c r="A2567" s="6" t="s">
        <v>7790</v>
      </c>
      <c r="B2567" s="6" t="s">
        <v>785</v>
      </c>
      <c r="C2567" s="26" t="n">
        <v>46113</v>
      </c>
      <c r="D2567" s="6" t="s">
        <v>5216</v>
      </c>
      <c r="E2567" s="6" t="s">
        <v>23</v>
      </c>
      <c r="F2567" s="6" t="n">
        <v>3</v>
      </c>
      <c r="G2567" s="10" t="n">
        <v>558</v>
      </c>
      <c r="H2567" s="10" t="n">
        <f aca="false">F2567*G2567</f>
        <v>1674</v>
      </c>
      <c r="I2567" s="6" t="s">
        <v>5125</v>
      </c>
    </row>
    <row r="2568" customFormat="false" ht="15" hidden="false" customHeight="false" outlineLevel="0" collapsed="false">
      <c r="A2568" s="6" t="s">
        <v>7791</v>
      </c>
      <c r="B2568" s="6" t="s">
        <v>3459</v>
      </c>
      <c r="C2568" s="26" t="n">
        <v>46113</v>
      </c>
      <c r="D2568" s="6" t="s">
        <v>5357</v>
      </c>
      <c r="E2568" s="6" t="s">
        <v>23</v>
      </c>
      <c r="F2568" s="6" t="n">
        <v>2</v>
      </c>
      <c r="G2568" s="10" t="n">
        <v>534</v>
      </c>
      <c r="H2568" s="10" t="n">
        <f aca="false">F2568*G2568</f>
        <v>1068</v>
      </c>
      <c r="I2568" s="6" t="s">
        <v>5130</v>
      </c>
    </row>
    <row r="2569" customFormat="false" ht="15" hidden="false" customHeight="false" outlineLevel="0" collapsed="false">
      <c r="A2569" s="6" t="s">
        <v>7792</v>
      </c>
      <c r="B2569" s="6" t="s">
        <v>2525</v>
      </c>
      <c r="C2569" s="26" t="n">
        <v>46113</v>
      </c>
      <c r="D2569" s="6" t="s">
        <v>5163</v>
      </c>
      <c r="E2569" s="6" t="s">
        <v>23</v>
      </c>
      <c r="F2569" s="6" t="n">
        <v>2</v>
      </c>
      <c r="G2569" s="10" t="n">
        <v>705</v>
      </c>
      <c r="H2569" s="10" t="n">
        <f aca="false">F2569*G2569</f>
        <v>1410</v>
      </c>
      <c r="I2569" s="6" t="s">
        <v>5130</v>
      </c>
    </row>
    <row r="2570" customFormat="false" ht="15" hidden="false" customHeight="false" outlineLevel="0" collapsed="false">
      <c r="A2570" s="6" t="s">
        <v>7793</v>
      </c>
      <c r="B2570" s="6" t="s">
        <v>2443</v>
      </c>
      <c r="C2570" s="26" t="n">
        <v>46113</v>
      </c>
      <c r="D2570" s="6" t="s">
        <v>5167</v>
      </c>
      <c r="E2570" s="6" t="s">
        <v>22</v>
      </c>
      <c r="F2570" s="6" t="n">
        <v>4</v>
      </c>
      <c r="G2570" s="10" t="n">
        <v>743</v>
      </c>
      <c r="H2570" s="10" t="n">
        <f aca="false">F2570*G2570</f>
        <v>2972</v>
      </c>
      <c r="I2570" s="6" t="s">
        <v>5122</v>
      </c>
    </row>
    <row r="2571" customFormat="false" ht="15" hidden="false" customHeight="false" outlineLevel="0" collapsed="false">
      <c r="A2571" s="6" t="s">
        <v>7794</v>
      </c>
      <c r="B2571" s="6" t="s">
        <v>4461</v>
      </c>
      <c r="C2571" s="26" t="n">
        <v>46113</v>
      </c>
      <c r="D2571" s="6" t="s">
        <v>5165</v>
      </c>
      <c r="E2571" s="6" t="s">
        <v>22</v>
      </c>
      <c r="F2571" s="6" t="n">
        <v>2</v>
      </c>
      <c r="G2571" s="10" t="n">
        <v>977</v>
      </c>
      <c r="H2571" s="10" t="n">
        <f aca="false">F2571*G2571</f>
        <v>1954</v>
      </c>
      <c r="I2571" s="6" t="s">
        <v>5133</v>
      </c>
    </row>
    <row r="2572" customFormat="false" ht="15" hidden="false" customHeight="false" outlineLevel="0" collapsed="false">
      <c r="A2572" s="6" t="s">
        <v>7795</v>
      </c>
      <c r="B2572" s="6" t="s">
        <v>4219</v>
      </c>
      <c r="C2572" s="26" t="n">
        <v>46114</v>
      </c>
      <c r="D2572" s="6" t="s">
        <v>5169</v>
      </c>
      <c r="E2572" s="6" t="s">
        <v>20</v>
      </c>
      <c r="F2572" s="6" t="n">
        <v>1</v>
      </c>
      <c r="G2572" s="10" t="n">
        <v>5098</v>
      </c>
      <c r="H2572" s="10" t="n">
        <f aca="false">F2572*G2572</f>
        <v>5098</v>
      </c>
      <c r="I2572" s="6" t="s">
        <v>5148</v>
      </c>
    </row>
    <row r="2573" customFormat="false" ht="15" hidden="false" customHeight="false" outlineLevel="0" collapsed="false">
      <c r="A2573" s="6" t="s">
        <v>7796</v>
      </c>
      <c r="B2573" s="6" t="s">
        <v>3355</v>
      </c>
      <c r="C2573" s="26" t="n">
        <v>46114</v>
      </c>
      <c r="D2573" s="6" t="s">
        <v>5171</v>
      </c>
      <c r="E2573" s="6" t="s">
        <v>23</v>
      </c>
      <c r="F2573" s="6" t="n">
        <v>2</v>
      </c>
      <c r="G2573" s="10" t="n">
        <v>697</v>
      </c>
      <c r="H2573" s="10" t="n">
        <f aca="false">F2573*G2573</f>
        <v>1394</v>
      </c>
      <c r="I2573" s="6" t="s">
        <v>5148</v>
      </c>
    </row>
    <row r="2574" customFormat="false" ht="15" hidden="false" customHeight="false" outlineLevel="0" collapsed="false">
      <c r="A2574" s="6" t="s">
        <v>7797</v>
      </c>
      <c r="B2574" s="6" t="s">
        <v>4575</v>
      </c>
      <c r="C2574" s="26" t="n">
        <v>46114</v>
      </c>
      <c r="D2574" s="6" t="s">
        <v>6114</v>
      </c>
      <c r="E2574" s="6" t="s">
        <v>20</v>
      </c>
      <c r="F2574" s="6" t="n">
        <v>1</v>
      </c>
      <c r="G2574" s="10" t="n">
        <v>12592</v>
      </c>
      <c r="H2574" s="10" t="n">
        <f aca="false">F2574*G2574</f>
        <v>12592</v>
      </c>
      <c r="I2574" s="6" t="s">
        <v>5122</v>
      </c>
    </row>
    <row r="2575" customFormat="false" ht="15" hidden="false" customHeight="false" outlineLevel="0" collapsed="false">
      <c r="A2575" s="6" t="s">
        <v>7798</v>
      </c>
      <c r="B2575" s="6" t="s">
        <v>2225</v>
      </c>
      <c r="C2575" s="26" t="n">
        <v>46114</v>
      </c>
      <c r="D2575" s="6" t="s">
        <v>5245</v>
      </c>
      <c r="E2575" s="6" t="s">
        <v>21</v>
      </c>
      <c r="F2575" s="6" t="n">
        <v>3</v>
      </c>
      <c r="G2575" s="10" t="n">
        <v>2334</v>
      </c>
      <c r="H2575" s="10" t="n">
        <f aca="false">F2575*G2575</f>
        <v>7002</v>
      </c>
      <c r="I2575" s="6" t="s">
        <v>5148</v>
      </c>
    </row>
    <row r="2576" customFormat="false" ht="15" hidden="false" customHeight="false" outlineLevel="0" collapsed="false">
      <c r="A2576" s="6" t="s">
        <v>7799</v>
      </c>
      <c r="B2576" s="6" t="s">
        <v>2995</v>
      </c>
      <c r="C2576" s="26" t="n">
        <v>46114</v>
      </c>
      <c r="D2576" s="6" t="s">
        <v>5197</v>
      </c>
      <c r="E2576" s="6" t="s">
        <v>21</v>
      </c>
      <c r="F2576" s="6" t="n">
        <v>2</v>
      </c>
      <c r="G2576" s="10" t="n">
        <v>972</v>
      </c>
      <c r="H2576" s="10" t="n">
        <f aca="false">F2576*G2576</f>
        <v>1944</v>
      </c>
      <c r="I2576" s="6" t="s">
        <v>5122</v>
      </c>
    </row>
    <row r="2577" customFormat="false" ht="15" hidden="false" customHeight="false" outlineLevel="0" collapsed="false">
      <c r="A2577" s="6" t="s">
        <v>7800</v>
      </c>
      <c r="B2577" s="6" t="s">
        <v>1871</v>
      </c>
      <c r="C2577" s="26" t="n">
        <v>46114</v>
      </c>
      <c r="D2577" s="6" t="s">
        <v>5749</v>
      </c>
      <c r="E2577" s="6" t="s">
        <v>20</v>
      </c>
      <c r="F2577" s="6" t="n">
        <v>1</v>
      </c>
      <c r="G2577" s="10" t="n">
        <v>774</v>
      </c>
      <c r="H2577" s="10" t="n">
        <f aca="false">F2577*G2577</f>
        <v>774</v>
      </c>
      <c r="I2577" s="6" t="s">
        <v>5125</v>
      </c>
    </row>
    <row r="2578" customFormat="false" ht="15" hidden="false" customHeight="false" outlineLevel="0" collapsed="false">
      <c r="A2578" s="6" t="s">
        <v>7801</v>
      </c>
      <c r="B2578" s="6" t="s">
        <v>295</v>
      </c>
      <c r="C2578" s="26" t="n">
        <v>46114</v>
      </c>
      <c r="D2578" s="6" t="s">
        <v>5171</v>
      </c>
      <c r="E2578" s="6" t="s">
        <v>23</v>
      </c>
      <c r="F2578" s="6" t="n">
        <v>3</v>
      </c>
      <c r="G2578" s="10" t="n">
        <v>661</v>
      </c>
      <c r="H2578" s="10" t="n">
        <f aca="false">F2578*G2578</f>
        <v>1983</v>
      </c>
      <c r="I2578" s="6" t="s">
        <v>5130</v>
      </c>
    </row>
    <row r="2579" customFormat="false" ht="15" hidden="false" customHeight="false" outlineLevel="0" collapsed="false">
      <c r="A2579" s="6" t="s">
        <v>7802</v>
      </c>
      <c r="B2579" s="6" t="s">
        <v>4303</v>
      </c>
      <c r="C2579" s="26" t="n">
        <v>46114</v>
      </c>
      <c r="D2579" s="6" t="s">
        <v>5171</v>
      </c>
      <c r="E2579" s="6" t="s">
        <v>23</v>
      </c>
      <c r="F2579" s="6" t="n">
        <v>3</v>
      </c>
      <c r="G2579" s="10" t="n">
        <v>734</v>
      </c>
      <c r="H2579" s="10" t="n">
        <f aca="false">F2579*G2579</f>
        <v>2202</v>
      </c>
      <c r="I2579" s="6" t="s">
        <v>5122</v>
      </c>
    </row>
    <row r="2580" customFormat="false" ht="15" hidden="false" customHeight="false" outlineLevel="0" collapsed="false">
      <c r="A2580" s="6" t="s">
        <v>7803</v>
      </c>
      <c r="B2580" s="6" t="s">
        <v>811</v>
      </c>
      <c r="C2580" s="26" t="n">
        <v>46114</v>
      </c>
      <c r="D2580" s="6" t="s">
        <v>5163</v>
      </c>
      <c r="E2580" s="6" t="s">
        <v>23</v>
      </c>
      <c r="F2580" s="6" t="n">
        <v>1</v>
      </c>
      <c r="G2580" s="10" t="n">
        <v>704</v>
      </c>
      <c r="H2580" s="10" t="n">
        <f aca="false">F2580*G2580</f>
        <v>704</v>
      </c>
      <c r="I2580" s="6" t="s">
        <v>5122</v>
      </c>
    </row>
    <row r="2581" customFormat="false" ht="15" hidden="false" customHeight="false" outlineLevel="0" collapsed="false">
      <c r="A2581" s="6" t="s">
        <v>7804</v>
      </c>
      <c r="B2581" s="6" t="s">
        <v>4105</v>
      </c>
      <c r="C2581" s="26" t="n">
        <v>46114</v>
      </c>
      <c r="D2581" s="6" t="s">
        <v>5269</v>
      </c>
      <c r="E2581" s="6" t="s">
        <v>22</v>
      </c>
      <c r="F2581" s="6" t="n">
        <v>3</v>
      </c>
      <c r="G2581" s="10" t="n">
        <v>1144</v>
      </c>
      <c r="H2581" s="10" t="n">
        <f aca="false">F2581*G2581</f>
        <v>3432</v>
      </c>
      <c r="I2581" s="6" t="s">
        <v>5148</v>
      </c>
    </row>
    <row r="2582" customFormat="false" ht="15" hidden="false" customHeight="false" outlineLevel="0" collapsed="false">
      <c r="A2582" s="6" t="s">
        <v>7805</v>
      </c>
      <c r="B2582" s="6" t="s">
        <v>3307</v>
      </c>
      <c r="C2582" s="26" t="n">
        <v>46114</v>
      </c>
      <c r="D2582" s="6" t="s">
        <v>5169</v>
      </c>
      <c r="E2582" s="6" t="s">
        <v>20</v>
      </c>
      <c r="F2582" s="6" t="n">
        <v>1</v>
      </c>
      <c r="G2582" s="10" t="n">
        <v>5098</v>
      </c>
      <c r="H2582" s="10" t="n">
        <f aca="false">F2582*G2582</f>
        <v>5098</v>
      </c>
      <c r="I2582" s="6" t="s">
        <v>5130</v>
      </c>
    </row>
    <row r="2583" customFormat="false" ht="15" hidden="false" customHeight="false" outlineLevel="0" collapsed="false">
      <c r="A2583" s="6" t="s">
        <v>7806</v>
      </c>
      <c r="B2583" s="6" t="s">
        <v>4215</v>
      </c>
      <c r="C2583" s="26" t="n">
        <v>46114</v>
      </c>
      <c r="D2583" s="6" t="s">
        <v>5245</v>
      </c>
      <c r="E2583" s="6" t="s">
        <v>21</v>
      </c>
      <c r="F2583" s="6" t="n">
        <v>1</v>
      </c>
      <c r="G2583" s="10" t="n">
        <v>2334</v>
      </c>
      <c r="H2583" s="10" t="n">
        <f aca="false">F2583*G2583</f>
        <v>2334</v>
      </c>
      <c r="I2583" s="6" t="s">
        <v>5130</v>
      </c>
    </row>
    <row r="2584" customFormat="false" ht="15" hidden="false" customHeight="false" outlineLevel="0" collapsed="false">
      <c r="A2584" s="6" t="s">
        <v>7807</v>
      </c>
      <c r="B2584" s="6" t="s">
        <v>4747</v>
      </c>
      <c r="C2584" s="26" t="n">
        <v>46114</v>
      </c>
      <c r="D2584" s="6" t="s">
        <v>5147</v>
      </c>
      <c r="E2584" s="6" t="s">
        <v>24</v>
      </c>
      <c r="F2584" s="6" t="n">
        <v>1</v>
      </c>
      <c r="G2584" s="10" t="n">
        <v>661</v>
      </c>
      <c r="H2584" s="10" t="n">
        <f aca="false">F2584*G2584</f>
        <v>661</v>
      </c>
      <c r="I2584" s="6" t="s">
        <v>5148</v>
      </c>
    </row>
    <row r="2585" customFormat="false" ht="15" hidden="false" customHeight="false" outlineLevel="0" collapsed="false">
      <c r="A2585" s="6" t="s">
        <v>7808</v>
      </c>
      <c r="B2585" s="6" t="s">
        <v>2069</v>
      </c>
      <c r="C2585" s="26" t="n">
        <v>46114</v>
      </c>
      <c r="D2585" s="6" t="s">
        <v>5298</v>
      </c>
      <c r="E2585" s="6" t="s">
        <v>23</v>
      </c>
      <c r="F2585" s="6" t="n">
        <v>2</v>
      </c>
      <c r="G2585" s="10" t="n">
        <v>293</v>
      </c>
      <c r="H2585" s="10" t="n">
        <f aca="false">F2585*G2585</f>
        <v>586</v>
      </c>
      <c r="I2585" s="6" t="s">
        <v>5130</v>
      </c>
    </row>
    <row r="2586" customFormat="false" ht="15" hidden="false" customHeight="false" outlineLevel="0" collapsed="false">
      <c r="A2586" s="6" t="s">
        <v>7809</v>
      </c>
      <c r="B2586" s="6" t="s">
        <v>1539</v>
      </c>
      <c r="C2586" s="26" t="n">
        <v>46114</v>
      </c>
      <c r="D2586" s="6" t="s">
        <v>5298</v>
      </c>
      <c r="E2586" s="6" t="s">
        <v>23</v>
      </c>
      <c r="F2586" s="6" t="n">
        <v>5</v>
      </c>
      <c r="G2586" s="10" t="n">
        <v>293</v>
      </c>
      <c r="H2586" s="10" t="n">
        <f aca="false">F2586*G2586</f>
        <v>1465</v>
      </c>
      <c r="I2586" s="6" t="s">
        <v>5148</v>
      </c>
    </row>
    <row r="2587" customFormat="false" ht="15" hidden="false" customHeight="false" outlineLevel="0" collapsed="false">
      <c r="A2587" s="6" t="s">
        <v>7810</v>
      </c>
      <c r="B2587" s="6" t="s">
        <v>1143</v>
      </c>
      <c r="C2587" s="26" t="n">
        <v>46114</v>
      </c>
      <c r="D2587" s="6" t="s">
        <v>5357</v>
      </c>
      <c r="E2587" s="6" t="s">
        <v>23</v>
      </c>
      <c r="F2587" s="6" t="n">
        <v>2</v>
      </c>
      <c r="G2587" s="10" t="n">
        <v>507</v>
      </c>
      <c r="H2587" s="10" t="n">
        <f aca="false">F2587*G2587</f>
        <v>1014</v>
      </c>
      <c r="I2587" s="6" t="s">
        <v>5125</v>
      </c>
    </row>
    <row r="2588" customFormat="false" ht="15" hidden="false" customHeight="false" outlineLevel="0" collapsed="false">
      <c r="A2588" s="6" t="s">
        <v>7811</v>
      </c>
      <c r="B2588" s="6" t="s">
        <v>2863</v>
      </c>
      <c r="C2588" s="26" t="n">
        <v>46114</v>
      </c>
      <c r="D2588" s="6" t="s">
        <v>5303</v>
      </c>
      <c r="E2588" s="6" t="s">
        <v>22</v>
      </c>
      <c r="F2588" s="6" t="n">
        <v>1</v>
      </c>
      <c r="G2588" s="10" t="n">
        <v>2200</v>
      </c>
      <c r="H2588" s="10" t="n">
        <f aca="false">F2588*G2588</f>
        <v>2200</v>
      </c>
      <c r="I2588" s="6" t="s">
        <v>5122</v>
      </c>
    </row>
    <row r="2589" customFormat="false" ht="15" hidden="false" customHeight="false" outlineLevel="0" collapsed="false">
      <c r="A2589" s="6" t="s">
        <v>7812</v>
      </c>
      <c r="B2589" s="6" t="s">
        <v>186</v>
      </c>
      <c r="C2589" s="26" t="n">
        <v>46114</v>
      </c>
      <c r="D2589" s="6" t="s">
        <v>5167</v>
      </c>
      <c r="E2589" s="6" t="s">
        <v>22</v>
      </c>
      <c r="F2589" s="6" t="n">
        <v>1</v>
      </c>
      <c r="G2589" s="10" t="n">
        <v>703</v>
      </c>
      <c r="H2589" s="10" t="n">
        <f aca="false">F2589*G2589</f>
        <v>703</v>
      </c>
      <c r="I2589" s="6" t="s">
        <v>5122</v>
      </c>
    </row>
    <row r="2590" customFormat="false" ht="15" hidden="false" customHeight="false" outlineLevel="0" collapsed="false">
      <c r="A2590" s="6" t="s">
        <v>7813</v>
      </c>
      <c r="B2590" s="6" t="s">
        <v>4517</v>
      </c>
      <c r="C2590" s="26" t="n">
        <v>46114</v>
      </c>
      <c r="D2590" s="6" t="s">
        <v>5152</v>
      </c>
      <c r="E2590" s="6" t="s">
        <v>22</v>
      </c>
      <c r="F2590" s="6" t="n">
        <v>1</v>
      </c>
      <c r="G2590" s="10" t="n">
        <v>1672</v>
      </c>
      <c r="H2590" s="10" t="n">
        <f aca="false">F2590*G2590</f>
        <v>1672</v>
      </c>
      <c r="I2590" s="6" t="s">
        <v>5133</v>
      </c>
    </row>
    <row r="2591" customFormat="false" ht="15" hidden="false" customHeight="false" outlineLevel="0" collapsed="false">
      <c r="A2591" s="6" t="s">
        <v>7814</v>
      </c>
      <c r="B2591" s="6" t="s">
        <v>2051</v>
      </c>
      <c r="C2591" s="26" t="n">
        <v>46114</v>
      </c>
      <c r="D2591" s="6" t="s">
        <v>5281</v>
      </c>
      <c r="E2591" s="6" t="s">
        <v>24</v>
      </c>
      <c r="F2591" s="6" t="n">
        <v>1</v>
      </c>
      <c r="G2591" s="10" t="n">
        <v>814</v>
      </c>
      <c r="H2591" s="10" t="n">
        <f aca="false">F2591*G2591</f>
        <v>814</v>
      </c>
      <c r="I2591" s="6" t="s">
        <v>5148</v>
      </c>
    </row>
    <row r="2592" customFormat="false" ht="15" hidden="false" customHeight="false" outlineLevel="0" collapsed="false">
      <c r="A2592" s="6" t="s">
        <v>7815</v>
      </c>
      <c r="B2592" s="6" t="s">
        <v>3449</v>
      </c>
      <c r="C2592" s="26" t="n">
        <v>46114</v>
      </c>
      <c r="D2592" s="6" t="s">
        <v>5167</v>
      </c>
      <c r="E2592" s="6" t="s">
        <v>22</v>
      </c>
      <c r="F2592" s="6" t="n">
        <v>1</v>
      </c>
      <c r="G2592" s="10" t="n">
        <v>782</v>
      </c>
      <c r="H2592" s="10" t="n">
        <f aca="false">F2592*G2592</f>
        <v>782</v>
      </c>
      <c r="I2592" s="6" t="s">
        <v>5125</v>
      </c>
    </row>
    <row r="2593" customFormat="false" ht="15" hidden="false" customHeight="false" outlineLevel="0" collapsed="false">
      <c r="A2593" s="6" t="s">
        <v>7816</v>
      </c>
      <c r="B2593" s="6" t="s">
        <v>3317</v>
      </c>
      <c r="C2593" s="26" t="n">
        <v>46114</v>
      </c>
      <c r="D2593" s="6" t="s">
        <v>5318</v>
      </c>
      <c r="E2593" s="6" t="s">
        <v>20</v>
      </c>
      <c r="F2593" s="6" t="n">
        <v>1</v>
      </c>
      <c r="G2593" s="10" t="n">
        <v>1376</v>
      </c>
      <c r="H2593" s="10" t="n">
        <f aca="false">F2593*G2593</f>
        <v>1376</v>
      </c>
      <c r="I2593" s="6" t="s">
        <v>5148</v>
      </c>
    </row>
    <row r="2594" customFormat="false" ht="15" hidden="false" customHeight="false" outlineLevel="0" collapsed="false">
      <c r="A2594" s="6" t="s">
        <v>7817</v>
      </c>
      <c r="B2594" s="6" t="s">
        <v>4381</v>
      </c>
      <c r="C2594" s="26" t="n">
        <v>46114</v>
      </c>
      <c r="D2594" s="6" t="s">
        <v>5200</v>
      </c>
      <c r="E2594" s="6" t="s">
        <v>24</v>
      </c>
      <c r="F2594" s="6" t="n">
        <v>1</v>
      </c>
      <c r="G2594" s="10" t="n">
        <v>763</v>
      </c>
      <c r="H2594" s="10" t="n">
        <f aca="false">F2594*G2594</f>
        <v>763</v>
      </c>
      <c r="I2594" s="6" t="s">
        <v>5130</v>
      </c>
    </row>
    <row r="2595" customFormat="false" ht="15" hidden="false" customHeight="false" outlineLevel="0" collapsed="false">
      <c r="A2595" s="6" t="s">
        <v>7818</v>
      </c>
      <c r="B2595" s="6" t="s">
        <v>4657</v>
      </c>
      <c r="C2595" s="26" t="n">
        <v>46114</v>
      </c>
      <c r="D2595" s="6" t="s">
        <v>5160</v>
      </c>
      <c r="E2595" s="6" t="s">
        <v>21</v>
      </c>
      <c r="F2595" s="6" t="n">
        <v>1</v>
      </c>
      <c r="G2595" s="10" t="n">
        <v>2751</v>
      </c>
      <c r="H2595" s="10" t="n">
        <f aca="false">F2595*G2595</f>
        <v>2751</v>
      </c>
      <c r="I2595" s="6" t="s">
        <v>5148</v>
      </c>
    </row>
    <row r="2596" customFormat="false" ht="15" hidden="false" customHeight="false" outlineLevel="0" collapsed="false">
      <c r="A2596" s="6" t="s">
        <v>7819</v>
      </c>
      <c r="B2596" s="6" t="s">
        <v>985</v>
      </c>
      <c r="C2596" s="26" t="n">
        <v>46114</v>
      </c>
      <c r="D2596" s="6" t="s">
        <v>5167</v>
      </c>
      <c r="E2596" s="6" t="s">
        <v>22</v>
      </c>
      <c r="F2596" s="6" t="n">
        <v>2</v>
      </c>
      <c r="G2596" s="10" t="n">
        <v>743</v>
      </c>
      <c r="H2596" s="10" t="n">
        <f aca="false">F2596*G2596</f>
        <v>1486</v>
      </c>
      <c r="I2596" s="6" t="s">
        <v>5122</v>
      </c>
    </row>
    <row r="2597" customFormat="false" ht="15" hidden="false" customHeight="false" outlineLevel="0" collapsed="false">
      <c r="A2597" s="6" t="s">
        <v>7820</v>
      </c>
      <c r="B2597" s="6" t="s">
        <v>1093</v>
      </c>
      <c r="C2597" s="26" t="n">
        <v>46114</v>
      </c>
      <c r="D2597" s="6" t="s">
        <v>5171</v>
      </c>
      <c r="E2597" s="6" t="s">
        <v>23</v>
      </c>
      <c r="F2597" s="6" t="n">
        <v>1</v>
      </c>
      <c r="G2597" s="10" t="n">
        <v>734</v>
      </c>
      <c r="H2597" s="10" t="n">
        <f aca="false">F2597*G2597</f>
        <v>734</v>
      </c>
      <c r="I2597" s="6" t="s">
        <v>5130</v>
      </c>
    </row>
    <row r="2598" customFormat="false" ht="15" hidden="false" customHeight="false" outlineLevel="0" collapsed="false">
      <c r="A2598" s="6" t="s">
        <v>7821</v>
      </c>
      <c r="B2598" s="6" t="s">
        <v>2931</v>
      </c>
      <c r="C2598" s="26" t="n">
        <v>46114</v>
      </c>
      <c r="D2598" s="6" t="s">
        <v>5132</v>
      </c>
      <c r="E2598" s="6" t="s">
        <v>23</v>
      </c>
      <c r="F2598" s="6" t="n">
        <v>5</v>
      </c>
      <c r="G2598" s="10" t="n">
        <v>342</v>
      </c>
      <c r="H2598" s="10" t="n">
        <f aca="false">F2598*G2598</f>
        <v>1710</v>
      </c>
      <c r="I2598" s="6" t="s">
        <v>5125</v>
      </c>
    </row>
    <row r="2599" customFormat="false" ht="15" hidden="false" customHeight="false" outlineLevel="0" collapsed="false">
      <c r="A2599" s="6" t="s">
        <v>7822</v>
      </c>
      <c r="B2599" s="6" t="s">
        <v>865</v>
      </c>
      <c r="C2599" s="26" t="n">
        <v>46114</v>
      </c>
      <c r="D2599" s="6" t="s">
        <v>5316</v>
      </c>
      <c r="E2599" s="6" t="s">
        <v>23</v>
      </c>
      <c r="F2599" s="6" t="n">
        <v>5</v>
      </c>
      <c r="G2599" s="10" t="n">
        <v>247</v>
      </c>
      <c r="H2599" s="10" t="n">
        <f aca="false">F2599*G2599</f>
        <v>1235</v>
      </c>
      <c r="I2599" s="6" t="s">
        <v>5148</v>
      </c>
    </row>
    <row r="2600" customFormat="false" ht="15" hidden="false" customHeight="false" outlineLevel="0" collapsed="false">
      <c r="A2600" s="6" t="s">
        <v>7823</v>
      </c>
      <c r="B2600" s="6" t="s">
        <v>3461</v>
      </c>
      <c r="C2600" s="26" t="n">
        <v>46114</v>
      </c>
      <c r="D2600" s="6" t="s">
        <v>5410</v>
      </c>
      <c r="E2600" s="6" t="s">
        <v>20</v>
      </c>
      <c r="F2600" s="6" t="n">
        <v>1</v>
      </c>
      <c r="G2600" s="10" t="n">
        <v>2421</v>
      </c>
      <c r="H2600" s="10" t="n">
        <f aca="false">F2600*G2600</f>
        <v>2421</v>
      </c>
      <c r="I2600" s="6" t="s">
        <v>5122</v>
      </c>
    </row>
    <row r="2601" customFormat="false" ht="15" hidden="false" customHeight="false" outlineLevel="0" collapsed="false">
      <c r="A2601" s="6" t="s">
        <v>7824</v>
      </c>
      <c r="B2601" s="6" t="s">
        <v>3867</v>
      </c>
      <c r="C2601" s="26" t="n">
        <v>46115</v>
      </c>
      <c r="D2601" s="6" t="s">
        <v>5316</v>
      </c>
      <c r="E2601" s="6" t="s">
        <v>23</v>
      </c>
      <c r="F2601" s="6" t="n">
        <v>1</v>
      </c>
      <c r="G2601" s="10" t="n">
        <v>260</v>
      </c>
      <c r="H2601" s="10" t="n">
        <f aca="false">F2601*G2601</f>
        <v>260</v>
      </c>
      <c r="I2601" s="6" t="s">
        <v>5130</v>
      </c>
    </row>
    <row r="2602" customFormat="false" ht="15" hidden="false" customHeight="false" outlineLevel="0" collapsed="false">
      <c r="A2602" s="6" t="s">
        <v>7825</v>
      </c>
      <c r="B2602" s="6" t="s">
        <v>4769</v>
      </c>
      <c r="C2602" s="26" t="n">
        <v>46115</v>
      </c>
      <c r="D2602" s="6" t="s">
        <v>5561</v>
      </c>
      <c r="E2602" s="6" t="s">
        <v>20</v>
      </c>
      <c r="F2602" s="6" t="n">
        <v>1</v>
      </c>
      <c r="G2602" s="10" t="n">
        <v>3364</v>
      </c>
      <c r="H2602" s="10" t="n">
        <f aca="false">F2602*G2602</f>
        <v>3364</v>
      </c>
      <c r="I2602" s="6" t="s">
        <v>5122</v>
      </c>
    </row>
    <row r="2603" customFormat="false" ht="15" hidden="false" customHeight="false" outlineLevel="0" collapsed="false">
      <c r="A2603" s="6" t="s">
        <v>7826</v>
      </c>
      <c r="B2603" s="6" t="s">
        <v>2443</v>
      </c>
      <c r="C2603" s="26" t="n">
        <v>46115</v>
      </c>
      <c r="D2603" s="6" t="s">
        <v>5167</v>
      </c>
      <c r="E2603" s="6" t="s">
        <v>22</v>
      </c>
      <c r="F2603" s="6" t="n">
        <v>2</v>
      </c>
      <c r="G2603" s="10" t="n">
        <v>703</v>
      </c>
      <c r="H2603" s="10" t="n">
        <f aca="false">F2603*G2603</f>
        <v>1406</v>
      </c>
      <c r="I2603" s="6" t="s">
        <v>5130</v>
      </c>
    </row>
    <row r="2604" customFormat="false" ht="15" hidden="false" customHeight="false" outlineLevel="0" collapsed="false">
      <c r="A2604" s="6" t="s">
        <v>7827</v>
      </c>
      <c r="B2604" s="6" t="s">
        <v>2933</v>
      </c>
      <c r="C2604" s="26" t="n">
        <v>46115</v>
      </c>
      <c r="D2604" s="6" t="s">
        <v>5175</v>
      </c>
      <c r="E2604" s="6" t="s">
        <v>24</v>
      </c>
      <c r="F2604" s="6" t="n">
        <v>1</v>
      </c>
      <c r="G2604" s="10" t="n">
        <v>581</v>
      </c>
      <c r="H2604" s="10" t="n">
        <f aca="false">F2604*G2604</f>
        <v>581</v>
      </c>
      <c r="I2604" s="6" t="s">
        <v>5122</v>
      </c>
    </row>
    <row r="2605" customFormat="false" ht="15" hidden="false" customHeight="false" outlineLevel="0" collapsed="false">
      <c r="A2605" s="6" t="s">
        <v>7828</v>
      </c>
      <c r="B2605" s="6" t="s">
        <v>2749</v>
      </c>
      <c r="C2605" s="26" t="n">
        <v>46115</v>
      </c>
      <c r="D2605" s="6" t="s">
        <v>5156</v>
      </c>
      <c r="E2605" s="6" t="s">
        <v>21</v>
      </c>
      <c r="F2605" s="6" t="n">
        <v>1</v>
      </c>
      <c r="G2605" s="10" t="n">
        <v>2161</v>
      </c>
      <c r="H2605" s="10" t="n">
        <f aca="false">F2605*G2605</f>
        <v>2161</v>
      </c>
      <c r="I2605" s="6" t="s">
        <v>5125</v>
      </c>
    </row>
    <row r="2606" customFormat="false" ht="15" hidden="false" customHeight="false" outlineLevel="0" collapsed="false">
      <c r="A2606" s="6" t="s">
        <v>7829</v>
      </c>
      <c r="B2606" s="6" t="s">
        <v>2141</v>
      </c>
      <c r="C2606" s="26" t="n">
        <v>46115</v>
      </c>
      <c r="D2606" s="6" t="s">
        <v>5216</v>
      </c>
      <c r="E2606" s="6" t="s">
        <v>23</v>
      </c>
      <c r="F2606" s="6" t="n">
        <v>2</v>
      </c>
      <c r="G2606" s="10" t="n">
        <v>528</v>
      </c>
      <c r="H2606" s="10" t="n">
        <f aca="false">F2606*G2606</f>
        <v>1056</v>
      </c>
      <c r="I2606" s="6" t="s">
        <v>5125</v>
      </c>
    </row>
    <row r="2607" customFormat="false" ht="15" hidden="false" customHeight="false" outlineLevel="0" collapsed="false">
      <c r="A2607" s="6" t="s">
        <v>7830</v>
      </c>
      <c r="B2607" s="6" t="s">
        <v>4873</v>
      </c>
      <c r="C2607" s="26" t="n">
        <v>46115</v>
      </c>
      <c r="D2607" s="6" t="s">
        <v>5141</v>
      </c>
      <c r="E2607" s="6" t="s">
        <v>20</v>
      </c>
      <c r="F2607" s="6" t="n">
        <v>1</v>
      </c>
      <c r="G2607" s="10" t="n">
        <v>1835</v>
      </c>
      <c r="H2607" s="10" t="n">
        <f aca="false">F2607*G2607</f>
        <v>1835</v>
      </c>
      <c r="I2607" s="6" t="s">
        <v>5148</v>
      </c>
    </row>
    <row r="2608" customFormat="false" ht="15" hidden="false" customHeight="false" outlineLevel="0" collapsed="false">
      <c r="A2608" s="6" t="s">
        <v>7831</v>
      </c>
      <c r="B2608" s="6" t="s">
        <v>4865</v>
      </c>
      <c r="C2608" s="26" t="n">
        <v>46115</v>
      </c>
      <c r="D2608" s="6" t="s">
        <v>5466</v>
      </c>
      <c r="E2608" s="6" t="s">
        <v>21</v>
      </c>
      <c r="F2608" s="6" t="n">
        <v>1</v>
      </c>
      <c r="G2608" s="10" t="n">
        <v>1868</v>
      </c>
      <c r="H2608" s="10" t="n">
        <f aca="false">F2608*G2608</f>
        <v>1868</v>
      </c>
      <c r="I2608" s="6" t="s">
        <v>5122</v>
      </c>
    </row>
    <row r="2609" customFormat="false" ht="15" hidden="false" customHeight="false" outlineLevel="0" collapsed="false">
      <c r="A2609" s="6" t="s">
        <v>7832</v>
      </c>
      <c r="B2609" s="6" t="s">
        <v>250</v>
      </c>
      <c r="C2609" s="26" t="n">
        <v>46115</v>
      </c>
      <c r="D2609" s="6" t="s">
        <v>5837</v>
      </c>
      <c r="E2609" s="6" t="s">
        <v>21</v>
      </c>
      <c r="F2609" s="6" t="n">
        <v>1</v>
      </c>
      <c r="G2609" s="10" t="n">
        <v>2948</v>
      </c>
      <c r="H2609" s="10" t="n">
        <f aca="false">F2609*G2609</f>
        <v>2948</v>
      </c>
      <c r="I2609" s="6" t="s">
        <v>5125</v>
      </c>
    </row>
    <row r="2610" customFormat="false" ht="15" hidden="false" customHeight="false" outlineLevel="0" collapsed="false">
      <c r="A2610" s="6" t="s">
        <v>7833</v>
      </c>
      <c r="B2610" s="6" t="s">
        <v>5027</v>
      </c>
      <c r="C2610" s="26" t="n">
        <v>46115</v>
      </c>
      <c r="D2610" s="6" t="s">
        <v>5398</v>
      </c>
      <c r="E2610" s="6" t="s">
        <v>24</v>
      </c>
      <c r="F2610" s="6" t="n">
        <v>3</v>
      </c>
      <c r="G2610" s="10" t="n">
        <v>549</v>
      </c>
      <c r="H2610" s="10" t="n">
        <f aca="false">F2610*G2610</f>
        <v>1647</v>
      </c>
      <c r="I2610" s="6" t="s">
        <v>5148</v>
      </c>
    </row>
    <row r="2611" customFormat="false" ht="15" hidden="false" customHeight="false" outlineLevel="0" collapsed="false">
      <c r="A2611" s="6" t="s">
        <v>7834</v>
      </c>
      <c r="B2611" s="6" t="s">
        <v>1403</v>
      </c>
      <c r="C2611" s="26" t="n">
        <v>46115</v>
      </c>
      <c r="D2611" s="6" t="s">
        <v>5143</v>
      </c>
      <c r="E2611" s="6" t="s">
        <v>21</v>
      </c>
      <c r="F2611" s="6" t="n">
        <v>1</v>
      </c>
      <c r="G2611" s="10" t="n">
        <v>1120</v>
      </c>
      <c r="H2611" s="10" t="n">
        <f aca="false">F2611*G2611</f>
        <v>1120</v>
      </c>
      <c r="I2611" s="6" t="s">
        <v>5148</v>
      </c>
    </row>
    <row r="2612" customFormat="false" ht="15" hidden="false" customHeight="false" outlineLevel="0" collapsed="false">
      <c r="A2612" s="6" t="s">
        <v>7835</v>
      </c>
      <c r="B2612" s="6" t="s">
        <v>4585</v>
      </c>
      <c r="C2612" s="26" t="n">
        <v>46115</v>
      </c>
      <c r="D2612" s="6" t="s">
        <v>5466</v>
      </c>
      <c r="E2612" s="6" t="s">
        <v>21</v>
      </c>
      <c r="F2612" s="6" t="n">
        <v>1</v>
      </c>
      <c r="G2612" s="10" t="n">
        <v>1965</v>
      </c>
      <c r="H2612" s="10" t="n">
        <f aca="false">F2612*G2612</f>
        <v>1965</v>
      </c>
      <c r="I2612" s="6" t="s">
        <v>5148</v>
      </c>
    </row>
    <row r="2613" customFormat="false" ht="15" hidden="false" customHeight="false" outlineLevel="0" collapsed="false">
      <c r="A2613" s="6" t="s">
        <v>7836</v>
      </c>
      <c r="B2613" s="6" t="s">
        <v>1043</v>
      </c>
      <c r="C2613" s="26" t="n">
        <v>46115</v>
      </c>
      <c r="D2613" s="6" t="s">
        <v>5216</v>
      </c>
      <c r="E2613" s="6" t="s">
        <v>23</v>
      </c>
      <c r="F2613" s="6" t="n">
        <v>4</v>
      </c>
      <c r="G2613" s="10" t="n">
        <v>587</v>
      </c>
      <c r="H2613" s="10" t="n">
        <f aca="false">F2613*G2613</f>
        <v>2348</v>
      </c>
      <c r="I2613" s="6" t="s">
        <v>5130</v>
      </c>
    </row>
    <row r="2614" customFormat="false" ht="15" hidden="false" customHeight="false" outlineLevel="0" collapsed="false">
      <c r="A2614" s="6" t="s">
        <v>7837</v>
      </c>
      <c r="B2614" s="6" t="s">
        <v>1533</v>
      </c>
      <c r="C2614" s="26" t="n">
        <v>46115</v>
      </c>
      <c r="D2614" s="6" t="s">
        <v>5135</v>
      </c>
      <c r="E2614" s="6" t="s">
        <v>23</v>
      </c>
      <c r="F2614" s="6" t="n">
        <v>5</v>
      </c>
      <c r="G2614" s="10" t="n">
        <v>441</v>
      </c>
      <c r="H2614" s="10" t="n">
        <f aca="false">F2614*G2614</f>
        <v>2205</v>
      </c>
      <c r="I2614" s="6" t="s">
        <v>5122</v>
      </c>
    </row>
    <row r="2615" customFormat="false" ht="15" hidden="false" customHeight="false" outlineLevel="0" collapsed="false">
      <c r="A2615" s="6" t="s">
        <v>7838</v>
      </c>
      <c r="B2615" s="6" t="s">
        <v>1535</v>
      </c>
      <c r="C2615" s="26" t="n">
        <v>46115</v>
      </c>
      <c r="D2615" s="6" t="s">
        <v>5345</v>
      </c>
      <c r="E2615" s="6" t="s">
        <v>23</v>
      </c>
      <c r="F2615" s="6" t="n">
        <v>2</v>
      </c>
      <c r="G2615" s="10" t="n">
        <v>436</v>
      </c>
      <c r="H2615" s="10" t="n">
        <f aca="false">F2615*G2615</f>
        <v>872</v>
      </c>
      <c r="I2615" s="6" t="s">
        <v>5125</v>
      </c>
    </row>
    <row r="2616" customFormat="false" ht="15" hidden="false" customHeight="false" outlineLevel="0" collapsed="false">
      <c r="A2616" s="6" t="s">
        <v>7839</v>
      </c>
      <c r="B2616" s="6" t="s">
        <v>597</v>
      </c>
      <c r="C2616" s="26" t="n">
        <v>46115</v>
      </c>
      <c r="D2616" s="6" t="s">
        <v>5171</v>
      </c>
      <c r="E2616" s="6" t="s">
        <v>23</v>
      </c>
      <c r="F2616" s="6" t="n">
        <v>2</v>
      </c>
      <c r="G2616" s="10" t="n">
        <v>734</v>
      </c>
      <c r="H2616" s="10" t="n">
        <f aca="false">F2616*G2616</f>
        <v>1468</v>
      </c>
      <c r="I2616" s="6" t="s">
        <v>5122</v>
      </c>
    </row>
    <row r="2617" customFormat="false" ht="15" hidden="false" customHeight="false" outlineLevel="0" collapsed="false">
      <c r="A2617" s="6" t="s">
        <v>7840</v>
      </c>
      <c r="B2617" s="6" t="s">
        <v>585</v>
      </c>
      <c r="C2617" s="26" t="n">
        <v>46115</v>
      </c>
      <c r="D2617" s="6" t="s">
        <v>5171</v>
      </c>
      <c r="E2617" s="6" t="s">
        <v>23</v>
      </c>
      <c r="F2617" s="6" t="n">
        <v>5</v>
      </c>
      <c r="G2617" s="10" t="n">
        <v>734</v>
      </c>
      <c r="H2617" s="10" t="n">
        <f aca="false">F2617*G2617</f>
        <v>3670</v>
      </c>
      <c r="I2617" s="6" t="s">
        <v>5148</v>
      </c>
    </row>
    <row r="2618" customFormat="false" ht="15" hidden="false" customHeight="false" outlineLevel="0" collapsed="false">
      <c r="A2618" s="6" t="s">
        <v>7841</v>
      </c>
      <c r="B2618" s="6" t="s">
        <v>2065</v>
      </c>
      <c r="C2618" s="26" t="n">
        <v>46115</v>
      </c>
      <c r="D2618" s="6" t="s">
        <v>5163</v>
      </c>
      <c r="E2618" s="6" t="s">
        <v>23</v>
      </c>
      <c r="F2618" s="6" t="n">
        <v>4</v>
      </c>
      <c r="G2618" s="10" t="n">
        <v>744</v>
      </c>
      <c r="H2618" s="10" t="n">
        <f aca="false">F2618*G2618</f>
        <v>2976</v>
      </c>
      <c r="I2618" s="6" t="s">
        <v>5148</v>
      </c>
    </row>
    <row r="2619" customFormat="false" ht="15" hidden="false" customHeight="false" outlineLevel="0" collapsed="false">
      <c r="A2619" s="6" t="s">
        <v>7842</v>
      </c>
      <c r="B2619" s="6" t="s">
        <v>4705</v>
      </c>
      <c r="C2619" s="26" t="n">
        <v>46115</v>
      </c>
      <c r="D2619" s="6" t="s">
        <v>5488</v>
      </c>
      <c r="E2619" s="6" t="s">
        <v>24</v>
      </c>
      <c r="F2619" s="6" t="n">
        <v>3</v>
      </c>
      <c r="G2619" s="10" t="n">
        <v>866</v>
      </c>
      <c r="H2619" s="10" t="n">
        <f aca="false">F2619*G2619</f>
        <v>2598</v>
      </c>
      <c r="I2619" s="6" t="s">
        <v>5122</v>
      </c>
    </row>
    <row r="2620" customFormat="false" ht="15" hidden="false" customHeight="false" outlineLevel="0" collapsed="false">
      <c r="A2620" s="6" t="s">
        <v>7843</v>
      </c>
      <c r="B2620" s="6" t="s">
        <v>2809</v>
      </c>
      <c r="C2620" s="26" t="n">
        <v>46115</v>
      </c>
      <c r="D2620" s="6" t="s">
        <v>5121</v>
      </c>
      <c r="E2620" s="6" t="s">
        <v>22</v>
      </c>
      <c r="F2620" s="6" t="n">
        <v>1</v>
      </c>
      <c r="G2620" s="10" t="n">
        <v>976</v>
      </c>
      <c r="H2620" s="10" t="n">
        <f aca="false">F2620*G2620</f>
        <v>976</v>
      </c>
      <c r="I2620" s="6" t="s">
        <v>5122</v>
      </c>
    </row>
    <row r="2621" customFormat="false" ht="15" hidden="false" customHeight="false" outlineLevel="0" collapsed="false">
      <c r="A2621" s="6" t="s">
        <v>7844</v>
      </c>
      <c r="B2621" s="6" t="s">
        <v>3907</v>
      </c>
      <c r="C2621" s="26" t="n">
        <v>46115</v>
      </c>
      <c r="D2621" s="6" t="s">
        <v>5232</v>
      </c>
      <c r="E2621" s="6" t="s">
        <v>23</v>
      </c>
      <c r="F2621" s="6" t="n">
        <v>3</v>
      </c>
      <c r="G2621" s="10" t="n">
        <v>185</v>
      </c>
      <c r="H2621" s="10" t="n">
        <f aca="false">F2621*G2621</f>
        <v>555</v>
      </c>
      <c r="I2621" s="6" t="s">
        <v>5122</v>
      </c>
    </row>
    <row r="2622" customFormat="false" ht="15" hidden="false" customHeight="false" outlineLevel="0" collapsed="false">
      <c r="A2622" s="6" t="s">
        <v>7845</v>
      </c>
      <c r="B2622" s="6" t="s">
        <v>3711</v>
      </c>
      <c r="C2622" s="26" t="n">
        <v>46115</v>
      </c>
      <c r="D2622" s="6" t="s">
        <v>5220</v>
      </c>
      <c r="E2622" s="6" t="s">
        <v>24</v>
      </c>
      <c r="F2622" s="6" t="n">
        <v>3</v>
      </c>
      <c r="G2622" s="10" t="n">
        <v>1120</v>
      </c>
      <c r="H2622" s="10" t="n">
        <f aca="false">F2622*G2622</f>
        <v>3360</v>
      </c>
      <c r="I2622" s="6" t="s">
        <v>5122</v>
      </c>
    </row>
    <row r="2623" customFormat="false" ht="15" hidden="false" customHeight="false" outlineLevel="0" collapsed="false">
      <c r="A2623" s="6" t="s">
        <v>7846</v>
      </c>
      <c r="B2623" s="6" t="s">
        <v>3627</v>
      </c>
      <c r="C2623" s="26" t="n">
        <v>46115</v>
      </c>
      <c r="D2623" s="6" t="s">
        <v>5224</v>
      </c>
      <c r="E2623" s="6" t="s">
        <v>23</v>
      </c>
      <c r="F2623" s="6" t="n">
        <v>2</v>
      </c>
      <c r="G2623" s="10" t="n">
        <v>195</v>
      </c>
      <c r="H2623" s="10" t="n">
        <f aca="false">F2623*G2623</f>
        <v>390</v>
      </c>
      <c r="I2623" s="6" t="s">
        <v>5122</v>
      </c>
    </row>
    <row r="2624" customFormat="false" ht="15" hidden="false" customHeight="false" outlineLevel="0" collapsed="false">
      <c r="A2624" s="6" t="s">
        <v>7847</v>
      </c>
      <c r="B2624" s="6" t="s">
        <v>1259</v>
      </c>
      <c r="C2624" s="26" t="n">
        <v>46115</v>
      </c>
      <c r="D2624" s="6" t="s">
        <v>5522</v>
      </c>
      <c r="E2624" s="6" t="s">
        <v>21</v>
      </c>
      <c r="F2624" s="6" t="n">
        <v>1</v>
      </c>
      <c r="G2624" s="10" t="n">
        <v>12777</v>
      </c>
      <c r="H2624" s="10" t="n">
        <f aca="false">F2624*G2624</f>
        <v>12777</v>
      </c>
      <c r="I2624" s="6" t="s">
        <v>5125</v>
      </c>
    </row>
    <row r="2625" customFormat="false" ht="15" hidden="false" customHeight="false" outlineLevel="0" collapsed="false">
      <c r="A2625" s="6" t="s">
        <v>7848</v>
      </c>
      <c r="B2625" s="6" t="s">
        <v>1255</v>
      </c>
      <c r="C2625" s="26" t="n">
        <v>46115</v>
      </c>
      <c r="D2625" s="6" t="s">
        <v>5163</v>
      </c>
      <c r="E2625" s="6" t="s">
        <v>23</v>
      </c>
      <c r="F2625" s="6" t="n">
        <v>1</v>
      </c>
      <c r="G2625" s="10" t="n">
        <v>705</v>
      </c>
      <c r="H2625" s="10" t="n">
        <f aca="false">F2625*G2625</f>
        <v>705</v>
      </c>
      <c r="I2625" s="6" t="s">
        <v>5122</v>
      </c>
    </row>
    <row r="2626" customFormat="false" ht="15" hidden="false" customHeight="false" outlineLevel="0" collapsed="false">
      <c r="A2626" s="6" t="s">
        <v>7849</v>
      </c>
      <c r="B2626" s="6" t="s">
        <v>737</v>
      </c>
      <c r="C2626" s="26" t="n">
        <v>46116</v>
      </c>
      <c r="D2626" s="6" t="s">
        <v>5326</v>
      </c>
      <c r="E2626" s="6" t="s">
        <v>22</v>
      </c>
      <c r="F2626" s="6" t="n">
        <v>1</v>
      </c>
      <c r="G2626" s="10" t="n">
        <v>1466</v>
      </c>
      <c r="H2626" s="10" t="n">
        <f aca="false">F2626*G2626</f>
        <v>1466</v>
      </c>
      <c r="I2626" s="6" t="s">
        <v>5125</v>
      </c>
    </row>
    <row r="2627" customFormat="false" ht="15" hidden="false" customHeight="false" outlineLevel="0" collapsed="false">
      <c r="A2627" s="6" t="s">
        <v>7850</v>
      </c>
      <c r="B2627" s="6" t="s">
        <v>1955</v>
      </c>
      <c r="C2627" s="26" t="n">
        <v>46116</v>
      </c>
      <c r="D2627" s="6" t="s">
        <v>5121</v>
      </c>
      <c r="E2627" s="6" t="s">
        <v>22</v>
      </c>
      <c r="F2627" s="6" t="n">
        <v>3</v>
      </c>
      <c r="G2627" s="10" t="n">
        <v>977</v>
      </c>
      <c r="H2627" s="10" t="n">
        <f aca="false">F2627*G2627</f>
        <v>2931</v>
      </c>
      <c r="I2627" s="6" t="s">
        <v>5122</v>
      </c>
    </row>
    <row r="2628" customFormat="false" ht="15" hidden="false" customHeight="false" outlineLevel="0" collapsed="false">
      <c r="A2628" s="6" t="s">
        <v>7851</v>
      </c>
      <c r="B2628" s="6" t="s">
        <v>3173</v>
      </c>
      <c r="C2628" s="26" t="n">
        <v>46116</v>
      </c>
      <c r="D2628" s="6" t="s">
        <v>5129</v>
      </c>
      <c r="E2628" s="6" t="s">
        <v>21</v>
      </c>
      <c r="F2628" s="6" t="n">
        <v>1</v>
      </c>
      <c r="G2628" s="10" t="n">
        <v>589</v>
      </c>
      <c r="H2628" s="10" t="n">
        <f aca="false">F2628*G2628</f>
        <v>589</v>
      </c>
      <c r="I2628" s="6" t="s">
        <v>5122</v>
      </c>
    </row>
    <row r="2629" customFormat="false" ht="15" hidden="false" customHeight="false" outlineLevel="0" collapsed="false">
      <c r="A2629" s="6" t="s">
        <v>7852</v>
      </c>
      <c r="B2629" s="6" t="s">
        <v>515</v>
      </c>
      <c r="C2629" s="26" t="n">
        <v>46116</v>
      </c>
      <c r="D2629" s="6" t="s">
        <v>5683</v>
      </c>
      <c r="E2629" s="6" t="s">
        <v>22</v>
      </c>
      <c r="F2629" s="6" t="n">
        <v>2</v>
      </c>
      <c r="G2629" s="10" t="n">
        <v>1760</v>
      </c>
      <c r="H2629" s="10" t="n">
        <f aca="false">F2629*G2629</f>
        <v>3520</v>
      </c>
      <c r="I2629" s="6" t="s">
        <v>5148</v>
      </c>
    </row>
    <row r="2630" customFormat="false" ht="15" hidden="false" customHeight="false" outlineLevel="0" collapsed="false">
      <c r="A2630" s="6" t="s">
        <v>7853</v>
      </c>
      <c r="B2630" s="6" t="s">
        <v>4549</v>
      </c>
      <c r="C2630" s="26" t="n">
        <v>46116</v>
      </c>
      <c r="D2630" s="6" t="s">
        <v>5175</v>
      </c>
      <c r="E2630" s="6" t="s">
        <v>24</v>
      </c>
      <c r="F2630" s="6" t="n">
        <v>2</v>
      </c>
      <c r="G2630" s="10" t="n">
        <v>610</v>
      </c>
      <c r="H2630" s="10" t="n">
        <f aca="false">F2630*G2630</f>
        <v>1220</v>
      </c>
      <c r="I2630" s="6" t="s">
        <v>5173</v>
      </c>
    </row>
    <row r="2631" customFormat="false" ht="15" hidden="false" customHeight="false" outlineLevel="0" collapsed="false">
      <c r="A2631" s="6" t="s">
        <v>7854</v>
      </c>
      <c r="B2631" s="6" t="s">
        <v>641</v>
      </c>
      <c r="C2631" s="26" t="n">
        <v>46116</v>
      </c>
      <c r="D2631" s="6" t="s">
        <v>5121</v>
      </c>
      <c r="E2631" s="6" t="s">
        <v>22</v>
      </c>
      <c r="F2631" s="6" t="n">
        <v>3</v>
      </c>
      <c r="G2631" s="10" t="n">
        <v>977</v>
      </c>
      <c r="H2631" s="10" t="n">
        <f aca="false">F2631*G2631</f>
        <v>2931</v>
      </c>
      <c r="I2631" s="6" t="s">
        <v>5122</v>
      </c>
    </row>
    <row r="2632" customFormat="false" ht="15" hidden="false" customHeight="false" outlineLevel="0" collapsed="false">
      <c r="A2632" s="6" t="s">
        <v>7855</v>
      </c>
      <c r="B2632" s="6" t="s">
        <v>4099</v>
      </c>
      <c r="C2632" s="26" t="n">
        <v>46116</v>
      </c>
      <c r="D2632" s="6" t="s">
        <v>5180</v>
      </c>
      <c r="E2632" s="6" t="s">
        <v>24</v>
      </c>
      <c r="F2632" s="6" t="n">
        <v>4</v>
      </c>
      <c r="G2632" s="10" t="n">
        <v>1788</v>
      </c>
      <c r="H2632" s="10" t="n">
        <f aca="false">F2632*G2632</f>
        <v>7152</v>
      </c>
      <c r="I2632" s="6" t="s">
        <v>5148</v>
      </c>
    </row>
    <row r="2633" customFormat="false" ht="15" hidden="false" customHeight="false" outlineLevel="0" collapsed="false">
      <c r="A2633" s="6" t="s">
        <v>7856</v>
      </c>
      <c r="B2633" s="6" t="s">
        <v>1153</v>
      </c>
      <c r="C2633" s="26" t="n">
        <v>46116</v>
      </c>
      <c r="D2633" s="6" t="s">
        <v>5357</v>
      </c>
      <c r="E2633" s="6" t="s">
        <v>23</v>
      </c>
      <c r="F2633" s="6" t="n">
        <v>2</v>
      </c>
      <c r="G2633" s="10" t="n">
        <v>481</v>
      </c>
      <c r="H2633" s="10" t="n">
        <f aca="false">F2633*G2633</f>
        <v>962</v>
      </c>
      <c r="I2633" s="6" t="s">
        <v>5125</v>
      </c>
    </row>
    <row r="2634" customFormat="false" ht="15" hidden="false" customHeight="false" outlineLevel="0" collapsed="false">
      <c r="A2634" s="6" t="s">
        <v>7857</v>
      </c>
      <c r="B2634" s="6" t="s">
        <v>1589</v>
      </c>
      <c r="C2634" s="26" t="n">
        <v>46116</v>
      </c>
      <c r="D2634" s="6" t="s">
        <v>5129</v>
      </c>
      <c r="E2634" s="6" t="s">
        <v>21</v>
      </c>
      <c r="F2634" s="6" t="n">
        <v>1</v>
      </c>
      <c r="G2634" s="10" t="n">
        <v>589</v>
      </c>
      <c r="H2634" s="10" t="n">
        <f aca="false">F2634*G2634</f>
        <v>589</v>
      </c>
      <c r="I2634" s="6" t="s">
        <v>5122</v>
      </c>
    </row>
    <row r="2635" customFormat="false" ht="15" hidden="false" customHeight="false" outlineLevel="0" collapsed="false">
      <c r="A2635" s="6" t="s">
        <v>7858</v>
      </c>
      <c r="B2635" s="6" t="s">
        <v>4175</v>
      </c>
      <c r="C2635" s="26" t="n">
        <v>46116</v>
      </c>
      <c r="D2635" s="6" t="s">
        <v>5167</v>
      </c>
      <c r="E2635" s="6" t="s">
        <v>22</v>
      </c>
      <c r="F2635" s="6" t="n">
        <v>2</v>
      </c>
      <c r="G2635" s="10" t="n">
        <v>782</v>
      </c>
      <c r="H2635" s="10" t="n">
        <f aca="false">F2635*G2635</f>
        <v>1564</v>
      </c>
      <c r="I2635" s="6" t="s">
        <v>5148</v>
      </c>
    </row>
    <row r="2636" customFormat="false" ht="15" hidden="false" customHeight="false" outlineLevel="0" collapsed="false">
      <c r="A2636" s="6" t="s">
        <v>7859</v>
      </c>
      <c r="B2636" s="6" t="s">
        <v>1747</v>
      </c>
      <c r="C2636" s="26" t="n">
        <v>46116</v>
      </c>
      <c r="D2636" s="6" t="s">
        <v>5456</v>
      </c>
      <c r="E2636" s="6" t="s">
        <v>24</v>
      </c>
      <c r="F2636" s="6" t="n">
        <v>1</v>
      </c>
      <c r="G2636" s="10" t="n">
        <v>822</v>
      </c>
      <c r="H2636" s="10" t="n">
        <f aca="false">F2636*G2636</f>
        <v>822</v>
      </c>
      <c r="I2636" s="6" t="s">
        <v>5122</v>
      </c>
    </row>
    <row r="2637" customFormat="false" ht="15" hidden="false" customHeight="false" outlineLevel="0" collapsed="false">
      <c r="A2637" s="6" t="s">
        <v>7860</v>
      </c>
      <c r="B2637" s="6" t="s">
        <v>1709</v>
      </c>
      <c r="C2637" s="26" t="n">
        <v>46116</v>
      </c>
      <c r="D2637" s="6" t="s">
        <v>5156</v>
      </c>
      <c r="E2637" s="6" t="s">
        <v>21</v>
      </c>
      <c r="F2637" s="6" t="n">
        <v>2</v>
      </c>
      <c r="G2637" s="10" t="n">
        <v>2161</v>
      </c>
      <c r="H2637" s="10" t="n">
        <f aca="false">F2637*G2637</f>
        <v>4322</v>
      </c>
      <c r="I2637" s="6" t="s">
        <v>5148</v>
      </c>
    </row>
    <row r="2638" customFormat="false" ht="15" hidden="false" customHeight="false" outlineLevel="0" collapsed="false">
      <c r="A2638" s="6" t="s">
        <v>7861</v>
      </c>
      <c r="B2638" s="6" t="s">
        <v>4319</v>
      </c>
      <c r="C2638" s="26" t="n">
        <v>46116</v>
      </c>
      <c r="D2638" s="6" t="s">
        <v>5137</v>
      </c>
      <c r="E2638" s="6" t="s">
        <v>21</v>
      </c>
      <c r="F2638" s="6" t="n">
        <v>1</v>
      </c>
      <c r="G2638" s="10" t="n">
        <v>1768</v>
      </c>
      <c r="H2638" s="10" t="n">
        <f aca="false">F2638*G2638</f>
        <v>1768</v>
      </c>
      <c r="I2638" s="6" t="s">
        <v>5130</v>
      </c>
    </row>
    <row r="2639" customFormat="false" ht="15" hidden="false" customHeight="false" outlineLevel="0" collapsed="false">
      <c r="A2639" s="6" t="s">
        <v>7862</v>
      </c>
      <c r="B2639" s="6" t="s">
        <v>725</v>
      </c>
      <c r="C2639" s="26" t="n">
        <v>46116</v>
      </c>
      <c r="D2639" s="6" t="s">
        <v>5197</v>
      </c>
      <c r="E2639" s="6" t="s">
        <v>21</v>
      </c>
      <c r="F2639" s="6" t="n">
        <v>1</v>
      </c>
      <c r="G2639" s="10" t="n">
        <v>1080</v>
      </c>
      <c r="H2639" s="10" t="n">
        <f aca="false">F2639*G2639</f>
        <v>1080</v>
      </c>
      <c r="I2639" s="6" t="s">
        <v>5130</v>
      </c>
    </row>
    <row r="2640" customFormat="false" ht="15" hidden="false" customHeight="false" outlineLevel="0" collapsed="false">
      <c r="A2640" s="6" t="s">
        <v>7863</v>
      </c>
      <c r="B2640" s="6" t="s">
        <v>723</v>
      </c>
      <c r="C2640" s="26" t="n">
        <v>46116</v>
      </c>
      <c r="D2640" s="6" t="s">
        <v>5129</v>
      </c>
      <c r="E2640" s="6" t="s">
        <v>21</v>
      </c>
      <c r="F2640" s="6" t="n">
        <v>1</v>
      </c>
      <c r="G2640" s="10" t="n">
        <v>589</v>
      </c>
      <c r="H2640" s="10" t="n">
        <f aca="false">F2640*G2640</f>
        <v>589</v>
      </c>
      <c r="I2640" s="6" t="s">
        <v>5122</v>
      </c>
    </row>
    <row r="2641" customFormat="false" ht="15" hidden="false" customHeight="false" outlineLevel="0" collapsed="false">
      <c r="A2641" s="6" t="s">
        <v>7864</v>
      </c>
      <c r="B2641" s="6" t="s">
        <v>3247</v>
      </c>
      <c r="C2641" s="26" t="n">
        <v>46116</v>
      </c>
      <c r="D2641" s="6" t="s">
        <v>5398</v>
      </c>
      <c r="E2641" s="6" t="s">
        <v>24</v>
      </c>
      <c r="F2641" s="6" t="n">
        <v>2</v>
      </c>
      <c r="G2641" s="10" t="n">
        <v>610</v>
      </c>
      <c r="H2641" s="10" t="n">
        <f aca="false">F2641*G2641</f>
        <v>1220</v>
      </c>
      <c r="I2641" s="6" t="s">
        <v>5125</v>
      </c>
    </row>
    <row r="2642" customFormat="false" ht="15" hidden="false" customHeight="false" outlineLevel="0" collapsed="false">
      <c r="A2642" s="6" t="s">
        <v>7865</v>
      </c>
      <c r="B2642" s="6" t="s">
        <v>3393</v>
      </c>
      <c r="C2642" s="26" t="n">
        <v>46116</v>
      </c>
      <c r="D2642" s="6" t="s">
        <v>5216</v>
      </c>
      <c r="E2642" s="6" t="s">
        <v>23</v>
      </c>
      <c r="F2642" s="6" t="n">
        <v>4</v>
      </c>
      <c r="G2642" s="10" t="n">
        <v>587</v>
      </c>
      <c r="H2642" s="10" t="n">
        <f aca="false">F2642*G2642</f>
        <v>2348</v>
      </c>
      <c r="I2642" s="6" t="s">
        <v>5130</v>
      </c>
    </row>
    <row r="2643" customFormat="false" ht="15" hidden="false" customHeight="false" outlineLevel="0" collapsed="false">
      <c r="A2643" s="6" t="s">
        <v>7866</v>
      </c>
      <c r="B2643" s="6" t="s">
        <v>4495</v>
      </c>
      <c r="C2643" s="26" t="n">
        <v>46116</v>
      </c>
      <c r="D2643" s="6" t="s">
        <v>5259</v>
      </c>
      <c r="E2643" s="6" t="s">
        <v>22</v>
      </c>
      <c r="F2643" s="6" t="n">
        <v>2</v>
      </c>
      <c r="G2643" s="10" t="n">
        <v>1408</v>
      </c>
      <c r="H2643" s="10" t="n">
        <f aca="false">F2643*G2643</f>
        <v>2816</v>
      </c>
      <c r="I2643" s="6" t="s">
        <v>5122</v>
      </c>
    </row>
    <row r="2644" customFormat="false" ht="15" hidden="false" customHeight="false" outlineLevel="0" collapsed="false">
      <c r="A2644" s="6" t="s">
        <v>7867</v>
      </c>
      <c r="B2644" s="6" t="s">
        <v>3615</v>
      </c>
      <c r="C2644" s="26" t="n">
        <v>46116</v>
      </c>
      <c r="D2644" s="6" t="s">
        <v>5458</v>
      </c>
      <c r="E2644" s="6" t="s">
        <v>24</v>
      </c>
      <c r="F2644" s="6" t="n">
        <v>1</v>
      </c>
      <c r="G2644" s="10" t="n">
        <v>559</v>
      </c>
      <c r="H2644" s="10" t="n">
        <f aca="false">F2644*G2644</f>
        <v>559</v>
      </c>
      <c r="I2644" s="6" t="s">
        <v>5148</v>
      </c>
    </row>
    <row r="2645" customFormat="false" ht="15" hidden="false" customHeight="false" outlineLevel="0" collapsed="false">
      <c r="A2645" s="6" t="s">
        <v>7868</v>
      </c>
      <c r="B2645" s="6" t="s">
        <v>2601</v>
      </c>
      <c r="C2645" s="26" t="n">
        <v>46116</v>
      </c>
      <c r="D2645" s="6" t="s">
        <v>5458</v>
      </c>
      <c r="E2645" s="6" t="s">
        <v>24</v>
      </c>
      <c r="F2645" s="6" t="n">
        <v>2</v>
      </c>
      <c r="G2645" s="10" t="n">
        <v>559</v>
      </c>
      <c r="H2645" s="10" t="n">
        <f aca="false">F2645*G2645</f>
        <v>1118</v>
      </c>
      <c r="I2645" s="6" t="s">
        <v>5125</v>
      </c>
    </row>
    <row r="2646" customFormat="false" ht="15" hidden="false" customHeight="false" outlineLevel="0" collapsed="false">
      <c r="A2646" s="6" t="s">
        <v>7869</v>
      </c>
      <c r="B2646" s="6" t="s">
        <v>2797</v>
      </c>
      <c r="C2646" s="26" t="n">
        <v>46116</v>
      </c>
      <c r="D2646" s="6" t="s">
        <v>5121</v>
      </c>
      <c r="E2646" s="6" t="s">
        <v>22</v>
      </c>
      <c r="F2646" s="6" t="n">
        <v>1</v>
      </c>
      <c r="G2646" s="10" t="n">
        <v>976</v>
      </c>
      <c r="H2646" s="10" t="n">
        <f aca="false">F2646*G2646</f>
        <v>976</v>
      </c>
      <c r="I2646" s="6" t="s">
        <v>5133</v>
      </c>
    </row>
    <row r="2647" customFormat="false" ht="15" hidden="false" customHeight="false" outlineLevel="0" collapsed="false">
      <c r="A2647" s="6" t="s">
        <v>7870</v>
      </c>
      <c r="B2647" s="6" t="s">
        <v>3231</v>
      </c>
      <c r="C2647" s="26" t="n">
        <v>46116</v>
      </c>
      <c r="D2647" s="6" t="s">
        <v>5167</v>
      </c>
      <c r="E2647" s="6" t="s">
        <v>22</v>
      </c>
      <c r="F2647" s="6" t="n">
        <v>3</v>
      </c>
      <c r="G2647" s="10" t="n">
        <v>782</v>
      </c>
      <c r="H2647" s="10" t="n">
        <f aca="false">F2647*G2647</f>
        <v>2346</v>
      </c>
      <c r="I2647" s="6" t="s">
        <v>5122</v>
      </c>
    </row>
    <row r="2648" customFormat="false" ht="15" hidden="false" customHeight="false" outlineLevel="0" collapsed="false">
      <c r="A2648" s="6" t="s">
        <v>7871</v>
      </c>
      <c r="B2648" s="6" t="s">
        <v>1525</v>
      </c>
      <c r="C2648" s="26" t="n">
        <v>46116</v>
      </c>
      <c r="D2648" s="6" t="s">
        <v>5127</v>
      </c>
      <c r="E2648" s="6" t="s">
        <v>21</v>
      </c>
      <c r="F2648" s="6" t="n">
        <v>2</v>
      </c>
      <c r="G2648" s="10" t="n">
        <v>839</v>
      </c>
      <c r="H2648" s="10" t="n">
        <f aca="false">F2648*G2648</f>
        <v>1678</v>
      </c>
      <c r="I2648" s="6" t="s">
        <v>5173</v>
      </c>
    </row>
    <row r="2649" customFormat="false" ht="15" hidden="false" customHeight="false" outlineLevel="0" collapsed="false">
      <c r="A2649" s="6" t="s">
        <v>7872</v>
      </c>
      <c r="B2649" s="6" t="s">
        <v>3269</v>
      </c>
      <c r="C2649" s="26" t="n">
        <v>46116</v>
      </c>
      <c r="D2649" s="6" t="s">
        <v>5163</v>
      </c>
      <c r="E2649" s="6" t="s">
        <v>23</v>
      </c>
      <c r="F2649" s="6" t="n">
        <v>1</v>
      </c>
      <c r="G2649" s="10" t="n">
        <v>704</v>
      </c>
      <c r="H2649" s="10" t="n">
        <f aca="false">F2649*G2649</f>
        <v>704</v>
      </c>
      <c r="I2649" s="6" t="s">
        <v>5122</v>
      </c>
    </row>
    <row r="2650" customFormat="false" ht="15" hidden="false" customHeight="false" outlineLevel="0" collapsed="false">
      <c r="A2650" s="6" t="s">
        <v>7873</v>
      </c>
      <c r="B2650" s="6" t="s">
        <v>5073</v>
      </c>
      <c r="C2650" s="26" t="n">
        <v>46116</v>
      </c>
      <c r="D2650" s="6" t="s">
        <v>5269</v>
      </c>
      <c r="E2650" s="6" t="s">
        <v>22</v>
      </c>
      <c r="F2650" s="6" t="n">
        <v>1</v>
      </c>
      <c r="G2650" s="10" t="n">
        <v>1144</v>
      </c>
      <c r="H2650" s="10" t="n">
        <f aca="false">F2650*G2650</f>
        <v>1144</v>
      </c>
      <c r="I2650" s="6" t="s">
        <v>5122</v>
      </c>
    </row>
    <row r="2651" customFormat="false" ht="15" hidden="false" customHeight="false" outlineLevel="0" collapsed="false">
      <c r="A2651" s="6" t="s">
        <v>7874</v>
      </c>
      <c r="B2651" s="6" t="s">
        <v>931</v>
      </c>
      <c r="C2651" s="26" t="n">
        <v>46116</v>
      </c>
      <c r="D2651" s="6" t="s">
        <v>5175</v>
      </c>
      <c r="E2651" s="6" t="s">
        <v>24</v>
      </c>
      <c r="F2651" s="6" t="n">
        <v>1</v>
      </c>
      <c r="G2651" s="10" t="n">
        <v>580</v>
      </c>
      <c r="H2651" s="10" t="n">
        <f aca="false">F2651*G2651</f>
        <v>580</v>
      </c>
      <c r="I2651" s="6" t="s">
        <v>5148</v>
      </c>
    </row>
    <row r="2652" customFormat="false" ht="15" hidden="false" customHeight="false" outlineLevel="0" collapsed="false">
      <c r="A2652" s="6" t="s">
        <v>7875</v>
      </c>
      <c r="B2652" s="6" t="s">
        <v>1699</v>
      </c>
      <c r="C2652" s="26" t="n">
        <v>46116</v>
      </c>
      <c r="D2652" s="6" t="s">
        <v>5124</v>
      </c>
      <c r="E2652" s="6" t="s">
        <v>21</v>
      </c>
      <c r="F2652" s="6" t="n">
        <v>2</v>
      </c>
      <c r="G2652" s="10" t="n">
        <v>3095</v>
      </c>
      <c r="H2652" s="10" t="n">
        <f aca="false">F2652*G2652</f>
        <v>6190</v>
      </c>
      <c r="I2652" s="6" t="s">
        <v>5130</v>
      </c>
    </row>
    <row r="2653" customFormat="false" ht="15" hidden="false" customHeight="false" outlineLevel="0" collapsed="false">
      <c r="A2653" s="6" t="s">
        <v>7876</v>
      </c>
      <c r="B2653" s="6" t="s">
        <v>967</v>
      </c>
      <c r="C2653" s="26" t="n">
        <v>46116</v>
      </c>
      <c r="D2653" s="6" t="s">
        <v>5683</v>
      </c>
      <c r="E2653" s="6" t="s">
        <v>22</v>
      </c>
      <c r="F2653" s="6" t="n">
        <v>1</v>
      </c>
      <c r="G2653" s="10" t="n">
        <v>1760</v>
      </c>
      <c r="H2653" s="10" t="n">
        <f aca="false">F2653*G2653</f>
        <v>1760</v>
      </c>
      <c r="I2653" s="6" t="s">
        <v>5130</v>
      </c>
    </row>
    <row r="2654" customFormat="false" ht="15" hidden="false" customHeight="false" outlineLevel="0" collapsed="false">
      <c r="A2654" s="6" t="s">
        <v>7877</v>
      </c>
      <c r="B2654" s="6" t="s">
        <v>3715</v>
      </c>
      <c r="C2654" s="26" t="n">
        <v>46116</v>
      </c>
      <c r="D2654" s="6" t="s">
        <v>5156</v>
      </c>
      <c r="E2654" s="6" t="s">
        <v>21</v>
      </c>
      <c r="F2654" s="6" t="n">
        <v>1</v>
      </c>
      <c r="G2654" s="10" t="n">
        <v>2053</v>
      </c>
      <c r="H2654" s="10" t="n">
        <f aca="false">F2654*G2654</f>
        <v>2053</v>
      </c>
      <c r="I2654" s="6" t="s">
        <v>5122</v>
      </c>
    </row>
    <row r="2655" customFormat="false" ht="15" hidden="false" customHeight="false" outlineLevel="0" collapsed="false">
      <c r="A2655" s="6" t="s">
        <v>7878</v>
      </c>
      <c r="B2655" s="6" t="s">
        <v>4239</v>
      </c>
      <c r="C2655" s="26" t="n">
        <v>46116</v>
      </c>
      <c r="D2655" s="6" t="s">
        <v>5121</v>
      </c>
      <c r="E2655" s="6" t="s">
        <v>22</v>
      </c>
      <c r="F2655" s="6" t="n">
        <v>1</v>
      </c>
      <c r="G2655" s="10" t="n">
        <v>927</v>
      </c>
      <c r="H2655" s="10" t="n">
        <f aca="false">F2655*G2655</f>
        <v>927</v>
      </c>
      <c r="I2655" s="6" t="s">
        <v>5130</v>
      </c>
    </row>
    <row r="2656" customFormat="false" ht="15" hidden="false" customHeight="false" outlineLevel="0" collapsed="false">
      <c r="A2656" s="6" t="s">
        <v>7879</v>
      </c>
      <c r="B2656" s="6" t="s">
        <v>2925</v>
      </c>
      <c r="C2656" s="26" t="n">
        <v>46116</v>
      </c>
      <c r="D2656" s="6" t="s">
        <v>5906</v>
      </c>
      <c r="E2656" s="6" t="s">
        <v>20</v>
      </c>
      <c r="F2656" s="6" t="n">
        <v>1</v>
      </c>
      <c r="G2656" s="10" t="n">
        <v>56087</v>
      </c>
      <c r="H2656" s="10" t="n">
        <f aca="false">F2656*G2656</f>
        <v>56087</v>
      </c>
      <c r="I2656" s="6" t="s">
        <v>5122</v>
      </c>
    </row>
    <row r="2657" customFormat="false" ht="15" hidden="false" customHeight="false" outlineLevel="0" collapsed="false">
      <c r="A2657" s="6" t="s">
        <v>7880</v>
      </c>
      <c r="B2657" s="6" t="s">
        <v>1507</v>
      </c>
      <c r="C2657" s="26" t="n">
        <v>46116</v>
      </c>
      <c r="D2657" s="6" t="s">
        <v>5326</v>
      </c>
      <c r="E2657" s="6" t="s">
        <v>22</v>
      </c>
      <c r="F2657" s="6" t="n">
        <v>1</v>
      </c>
      <c r="G2657" s="10" t="n">
        <v>1319</v>
      </c>
      <c r="H2657" s="10" t="n">
        <f aca="false">F2657*G2657</f>
        <v>1319</v>
      </c>
      <c r="I2657" s="6" t="s">
        <v>5122</v>
      </c>
    </row>
    <row r="2658" customFormat="false" ht="15" hidden="false" customHeight="false" outlineLevel="0" collapsed="false">
      <c r="A2658" s="6" t="s">
        <v>7881</v>
      </c>
      <c r="B2658" s="6" t="s">
        <v>1421</v>
      </c>
      <c r="C2658" s="26" t="n">
        <v>46116</v>
      </c>
      <c r="D2658" s="6" t="s">
        <v>5171</v>
      </c>
      <c r="E2658" s="6" t="s">
        <v>23</v>
      </c>
      <c r="F2658" s="6" t="n">
        <v>5</v>
      </c>
      <c r="G2658" s="10" t="n">
        <v>734</v>
      </c>
      <c r="H2658" s="10" t="n">
        <f aca="false">F2658*G2658</f>
        <v>3670</v>
      </c>
      <c r="I2658" s="6" t="s">
        <v>5122</v>
      </c>
    </row>
    <row r="2659" customFormat="false" ht="15" hidden="false" customHeight="false" outlineLevel="0" collapsed="false">
      <c r="A2659" s="6" t="s">
        <v>7882</v>
      </c>
      <c r="B2659" s="6" t="s">
        <v>348</v>
      </c>
      <c r="C2659" s="26" t="n">
        <v>46116</v>
      </c>
      <c r="D2659" s="6" t="s">
        <v>5216</v>
      </c>
      <c r="E2659" s="6" t="s">
        <v>23</v>
      </c>
      <c r="F2659" s="6" t="n">
        <v>1</v>
      </c>
      <c r="G2659" s="10" t="n">
        <v>586</v>
      </c>
      <c r="H2659" s="10" t="n">
        <f aca="false">F2659*G2659</f>
        <v>586</v>
      </c>
      <c r="I2659" s="6" t="s">
        <v>5122</v>
      </c>
    </row>
    <row r="2660" customFormat="false" ht="15" hidden="false" customHeight="false" outlineLevel="0" collapsed="false">
      <c r="A2660" s="6" t="s">
        <v>7883</v>
      </c>
      <c r="B2660" s="6" t="s">
        <v>3849</v>
      </c>
      <c r="C2660" s="26" t="n">
        <v>46116</v>
      </c>
      <c r="D2660" s="6" t="s">
        <v>5139</v>
      </c>
      <c r="E2660" s="6" t="s">
        <v>23</v>
      </c>
      <c r="F2660" s="6" t="n">
        <v>5</v>
      </c>
      <c r="G2660" s="10" t="n">
        <v>279</v>
      </c>
      <c r="H2660" s="10" t="n">
        <f aca="false">F2660*G2660</f>
        <v>1395</v>
      </c>
      <c r="I2660" s="6" t="s">
        <v>5122</v>
      </c>
    </row>
    <row r="2661" customFormat="false" ht="15" hidden="false" customHeight="false" outlineLevel="0" collapsed="false">
      <c r="A2661" s="6" t="s">
        <v>7884</v>
      </c>
      <c r="B2661" s="6" t="s">
        <v>4175</v>
      </c>
      <c r="C2661" s="26" t="n">
        <v>46117</v>
      </c>
      <c r="D2661" s="6" t="s">
        <v>5339</v>
      </c>
      <c r="E2661" s="6" t="s">
        <v>24</v>
      </c>
      <c r="F2661" s="6" t="n">
        <v>3</v>
      </c>
      <c r="G2661" s="10" t="n">
        <v>508</v>
      </c>
      <c r="H2661" s="10" t="n">
        <f aca="false">F2661*G2661</f>
        <v>1524</v>
      </c>
      <c r="I2661" s="6" t="s">
        <v>5122</v>
      </c>
    </row>
    <row r="2662" customFormat="false" ht="15" hidden="false" customHeight="false" outlineLevel="0" collapsed="false">
      <c r="A2662" s="6" t="s">
        <v>7885</v>
      </c>
      <c r="B2662" s="6" t="s">
        <v>406</v>
      </c>
      <c r="C2662" s="26" t="n">
        <v>46117</v>
      </c>
      <c r="D2662" s="6" t="s">
        <v>5129</v>
      </c>
      <c r="E2662" s="6" t="s">
        <v>21</v>
      </c>
      <c r="F2662" s="6" t="n">
        <v>1</v>
      </c>
      <c r="G2662" s="10" t="n">
        <v>589</v>
      </c>
      <c r="H2662" s="10" t="n">
        <f aca="false">F2662*G2662</f>
        <v>589</v>
      </c>
      <c r="I2662" s="6" t="s">
        <v>5130</v>
      </c>
    </row>
    <row r="2663" customFormat="false" ht="15" hidden="false" customHeight="false" outlineLevel="0" collapsed="false">
      <c r="A2663" s="6" t="s">
        <v>7886</v>
      </c>
      <c r="B2663" s="6" t="s">
        <v>4573</v>
      </c>
      <c r="C2663" s="26" t="n">
        <v>46117</v>
      </c>
      <c r="D2663" s="6" t="s">
        <v>5807</v>
      </c>
      <c r="E2663" s="6" t="s">
        <v>20</v>
      </c>
      <c r="F2663" s="6" t="n">
        <v>1</v>
      </c>
      <c r="G2663" s="10" t="n">
        <v>15296</v>
      </c>
      <c r="H2663" s="10" t="n">
        <f aca="false">F2663*G2663</f>
        <v>15296</v>
      </c>
      <c r="I2663" s="6" t="s">
        <v>5130</v>
      </c>
    </row>
    <row r="2664" customFormat="false" ht="15" hidden="false" customHeight="false" outlineLevel="0" collapsed="false">
      <c r="A2664" s="6" t="s">
        <v>7887</v>
      </c>
      <c r="B2664" s="6" t="s">
        <v>641</v>
      </c>
      <c r="C2664" s="26" t="n">
        <v>46117</v>
      </c>
      <c r="D2664" s="6" t="s">
        <v>5261</v>
      </c>
      <c r="E2664" s="6" t="s">
        <v>23</v>
      </c>
      <c r="F2664" s="6" t="n">
        <v>2</v>
      </c>
      <c r="G2664" s="10" t="n">
        <v>175</v>
      </c>
      <c r="H2664" s="10" t="n">
        <f aca="false">F2664*G2664</f>
        <v>350</v>
      </c>
      <c r="I2664" s="6" t="s">
        <v>5148</v>
      </c>
    </row>
    <row r="2665" customFormat="false" ht="15" hidden="false" customHeight="false" outlineLevel="0" collapsed="false">
      <c r="A2665" s="6" t="s">
        <v>7888</v>
      </c>
      <c r="B2665" s="6" t="s">
        <v>4613</v>
      </c>
      <c r="C2665" s="26" t="n">
        <v>46117</v>
      </c>
      <c r="D2665" s="6" t="s">
        <v>5147</v>
      </c>
      <c r="E2665" s="6" t="s">
        <v>24</v>
      </c>
      <c r="F2665" s="6" t="n">
        <v>1</v>
      </c>
      <c r="G2665" s="10" t="n">
        <v>595</v>
      </c>
      <c r="H2665" s="10" t="n">
        <f aca="false">F2665*G2665</f>
        <v>595</v>
      </c>
      <c r="I2665" s="6" t="s">
        <v>5148</v>
      </c>
    </row>
    <row r="2666" customFormat="false" ht="15" hidden="false" customHeight="false" outlineLevel="0" collapsed="false">
      <c r="A2666" s="6" t="s">
        <v>7889</v>
      </c>
      <c r="B2666" s="6" t="s">
        <v>1079</v>
      </c>
      <c r="C2666" s="26" t="n">
        <v>46117</v>
      </c>
      <c r="D2666" s="6" t="s">
        <v>6114</v>
      </c>
      <c r="E2666" s="6" t="s">
        <v>20</v>
      </c>
      <c r="F2666" s="6" t="n">
        <v>1</v>
      </c>
      <c r="G2666" s="10" t="n">
        <v>13255</v>
      </c>
      <c r="H2666" s="10" t="n">
        <f aca="false">F2666*G2666</f>
        <v>13255</v>
      </c>
      <c r="I2666" s="6" t="s">
        <v>5148</v>
      </c>
    </row>
    <row r="2667" customFormat="false" ht="15" hidden="false" customHeight="false" outlineLevel="0" collapsed="false">
      <c r="A2667" s="6" t="s">
        <v>7890</v>
      </c>
      <c r="B2667" s="6" t="s">
        <v>2773</v>
      </c>
      <c r="C2667" s="26" t="n">
        <v>46117</v>
      </c>
      <c r="D2667" s="6" t="s">
        <v>5237</v>
      </c>
      <c r="E2667" s="6" t="s">
        <v>24</v>
      </c>
      <c r="F2667" s="6" t="n">
        <v>1</v>
      </c>
      <c r="G2667" s="10" t="n">
        <v>1833</v>
      </c>
      <c r="H2667" s="10" t="n">
        <f aca="false">F2667*G2667</f>
        <v>1833</v>
      </c>
      <c r="I2667" s="6" t="s">
        <v>5125</v>
      </c>
    </row>
    <row r="2668" customFormat="false" ht="15" hidden="false" customHeight="false" outlineLevel="0" collapsed="false">
      <c r="A2668" s="6" t="s">
        <v>7891</v>
      </c>
      <c r="B2668" s="6" t="s">
        <v>1991</v>
      </c>
      <c r="C2668" s="26" t="n">
        <v>46117</v>
      </c>
      <c r="D2668" s="6" t="s">
        <v>5121</v>
      </c>
      <c r="E2668" s="6" t="s">
        <v>22</v>
      </c>
      <c r="F2668" s="6" t="n">
        <v>1</v>
      </c>
      <c r="G2668" s="10" t="n">
        <v>977</v>
      </c>
      <c r="H2668" s="10" t="n">
        <f aca="false">F2668*G2668</f>
        <v>977</v>
      </c>
      <c r="I2668" s="6" t="s">
        <v>5125</v>
      </c>
    </row>
    <row r="2669" customFormat="false" ht="15" hidden="false" customHeight="false" outlineLevel="0" collapsed="false">
      <c r="A2669" s="6" t="s">
        <v>7892</v>
      </c>
      <c r="B2669" s="6" t="s">
        <v>2761</v>
      </c>
      <c r="C2669" s="26" t="n">
        <v>46117</v>
      </c>
      <c r="D2669" s="6" t="s">
        <v>5707</v>
      </c>
      <c r="E2669" s="6" t="s">
        <v>22</v>
      </c>
      <c r="F2669" s="6" t="n">
        <v>1</v>
      </c>
      <c r="G2669" s="10" t="n">
        <v>2445</v>
      </c>
      <c r="H2669" s="10" t="n">
        <f aca="false">F2669*G2669</f>
        <v>2445</v>
      </c>
      <c r="I2669" s="6" t="s">
        <v>5125</v>
      </c>
    </row>
    <row r="2670" customFormat="false" ht="15" hidden="false" customHeight="false" outlineLevel="0" collapsed="false">
      <c r="A2670" s="6" t="s">
        <v>7893</v>
      </c>
      <c r="B2670" s="6" t="s">
        <v>2103</v>
      </c>
      <c r="C2670" s="26" t="n">
        <v>46117</v>
      </c>
      <c r="D2670" s="6" t="s">
        <v>5165</v>
      </c>
      <c r="E2670" s="6" t="s">
        <v>22</v>
      </c>
      <c r="F2670" s="6" t="n">
        <v>1</v>
      </c>
      <c r="G2670" s="10" t="n">
        <v>928</v>
      </c>
      <c r="H2670" s="10" t="n">
        <f aca="false">F2670*G2670</f>
        <v>928</v>
      </c>
      <c r="I2670" s="6" t="s">
        <v>5125</v>
      </c>
    </row>
    <row r="2671" customFormat="false" ht="15" hidden="false" customHeight="false" outlineLevel="0" collapsed="false">
      <c r="A2671" s="6" t="s">
        <v>7894</v>
      </c>
      <c r="B2671" s="6" t="s">
        <v>3339</v>
      </c>
      <c r="C2671" s="26" t="n">
        <v>46117</v>
      </c>
      <c r="D2671" s="6" t="s">
        <v>5837</v>
      </c>
      <c r="E2671" s="6" t="s">
        <v>21</v>
      </c>
      <c r="F2671" s="6" t="n">
        <v>1</v>
      </c>
      <c r="G2671" s="10" t="n">
        <v>2653</v>
      </c>
      <c r="H2671" s="10" t="n">
        <f aca="false">F2671*G2671</f>
        <v>2653</v>
      </c>
      <c r="I2671" s="6" t="s">
        <v>5122</v>
      </c>
    </row>
    <row r="2672" customFormat="false" ht="15" hidden="false" customHeight="false" outlineLevel="0" collapsed="false">
      <c r="A2672" s="6" t="s">
        <v>7895</v>
      </c>
      <c r="B2672" s="6" t="s">
        <v>2505</v>
      </c>
      <c r="C2672" s="26" t="n">
        <v>46117</v>
      </c>
      <c r="D2672" s="6" t="s">
        <v>5641</v>
      </c>
      <c r="E2672" s="6" t="s">
        <v>22</v>
      </c>
      <c r="F2672" s="6" t="n">
        <v>4</v>
      </c>
      <c r="G2672" s="10" t="n">
        <v>2249</v>
      </c>
      <c r="H2672" s="10" t="n">
        <f aca="false">F2672*G2672</f>
        <v>8996</v>
      </c>
      <c r="I2672" s="6" t="s">
        <v>5130</v>
      </c>
    </row>
    <row r="2673" customFormat="false" ht="15" hidden="false" customHeight="false" outlineLevel="0" collapsed="false">
      <c r="A2673" s="6" t="s">
        <v>7896</v>
      </c>
      <c r="B2673" s="6" t="s">
        <v>4735</v>
      </c>
      <c r="C2673" s="26" t="n">
        <v>46117</v>
      </c>
      <c r="D2673" s="6" t="s">
        <v>5141</v>
      </c>
      <c r="E2673" s="6" t="s">
        <v>20</v>
      </c>
      <c r="F2673" s="6" t="n">
        <v>1</v>
      </c>
      <c r="G2673" s="10" t="n">
        <v>1651</v>
      </c>
      <c r="H2673" s="10" t="n">
        <f aca="false">F2673*G2673</f>
        <v>1651</v>
      </c>
      <c r="I2673" s="6" t="s">
        <v>5148</v>
      </c>
    </row>
    <row r="2674" customFormat="false" ht="15" hidden="false" customHeight="false" outlineLevel="0" collapsed="false">
      <c r="A2674" s="6" t="s">
        <v>7897</v>
      </c>
      <c r="B2674" s="6" t="s">
        <v>3355</v>
      </c>
      <c r="C2674" s="26" t="n">
        <v>46117</v>
      </c>
      <c r="D2674" s="6" t="s">
        <v>5749</v>
      </c>
      <c r="E2674" s="6" t="s">
        <v>20</v>
      </c>
      <c r="F2674" s="6" t="n">
        <v>1</v>
      </c>
      <c r="G2674" s="10" t="n">
        <v>815</v>
      </c>
      <c r="H2674" s="10" t="n">
        <f aca="false">F2674*G2674</f>
        <v>815</v>
      </c>
      <c r="I2674" s="6" t="s">
        <v>5125</v>
      </c>
    </row>
    <row r="2675" customFormat="false" ht="15" hidden="false" customHeight="false" outlineLevel="0" collapsed="false">
      <c r="A2675" s="6" t="s">
        <v>7898</v>
      </c>
      <c r="B2675" s="6" t="s">
        <v>723</v>
      </c>
      <c r="C2675" s="26" t="n">
        <v>46117</v>
      </c>
      <c r="D2675" s="6" t="s">
        <v>5345</v>
      </c>
      <c r="E2675" s="6" t="s">
        <v>23</v>
      </c>
      <c r="F2675" s="6" t="n">
        <v>4</v>
      </c>
      <c r="G2675" s="10" t="n">
        <v>414</v>
      </c>
      <c r="H2675" s="10" t="n">
        <f aca="false">F2675*G2675</f>
        <v>1656</v>
      </c>
      <c r="I2675" s="6" t="s">
        <v>5122</v>
      </c>
    </row>
    <row r="2676" customFormat="false" ht="15" hidden="false" customHeight="false" outlineLevel="0" collapsed="false">
      <c r="A2676" s="6" t="s">
        <v>7899</v>
      </c>
      <c r="B2676" s="6" t="s">
        <v>517</v>
      </c>
      <c r="C2676" s="26" t="n">
        <v>46117</v>
      </c>
      <c r="D2676" s="6" t="s">
        <v>5226</v>
      </c>
      <c r="E2676" s="6" t="s">
        <v>24</v>
      </c>
      <c r="F2676" s="6" t="n">
        <v>1</v>
      </c>
      <c r="G2676" s="10" t="n">
        <v>436</v>
      </c>
      <c r="H2676" s="10" t="n">
        <f aca="false">F2676*G2676</f>
        <v>436</v>
      </c>
      <c r="I2676" s="6" t="s">
        <v>5125</v>
      </c>
    </row>
    <row r="2677" customFormat="false" ht="15" hidden="false" customHeight="false" outlineLevel="0" collapsed="false">
      <c r="A2677" s="6" t="s">
        <v>7900</v>
      </c>
      <c r="B2677" s="6" t="s">
        <v>3557</v>
      </c>
      <c r="C2677" s="26" t="n">
        <v>46117</v>
      </c>
      <c r="D2677" s="6" t="s">
        <v>5156</v>
      </c>
      <c r="E2677" s="6" t="s">
        <v>21</v>
      </c>
      <c r="F2677" s="6" t="n">
        <v>1</v>
      </c>
      <c r="G2677" s="10" t="n">
        <v>2053</v>
      </c>
      <c r="H2677" s="10" t="n">
        <f aca="false">F2677*G2677</f>
        <v>2053</v>
      </c>
      <c r="I2677" s="6" t="s">
        <v>5130</v>
      </c>
    </row>
    <row r="2678" customFormat="false" ht="15" hidden="false" customHeight="false" outlineLevel="0" collapsed="false">
      <c r="A2678" s="6" t="s">
        <v>7901</v>
      </c>
      <c r="B2678" s="6" t="s">
        <v>627</v>
      </c>
      <c r="C2678" s="26" t="n">
        <v>46117</v>
      </c>
      <c r="D2678" s="6" t="s">
        <v>5216</v>
      </c>
      <c r="E2678" s="6" t="s">
        <v>23</v>
      </c>
      <c r="F2678" s="6" t="n">
        <v>3</v>
      </c>
      <c r="G2678" s="10" t="n">
        <v>587</v>
      </c>
      <c r="H2678" s="10" t="n">
        <f aca="false">F2678*G2678</f>
        <v>1761</v>
      </c>
      <c r="I2678" s="6" t="s">
        <v>5125</v>
      </c>
    </row>
    <row r="2679" customFormat="false" ht="15" hidden="false" customHeight="false" outlineLevel="0" collapsed="false">
      <c r="A2679" s="6" t="s">
        <v>7902</v>
      </c>
      <c r="B2679" s="6" t="s">
        <v>1703</v>
      </c>
      <c r="C2679" s="26" t="n">
        <v>46117</v>
      </c>
      <c r="D2679" s="6" t="s">
        <v>5171</v>
      </c>
      <c r="E2679" s="6" t="s">
        <v>23</v>
      </c>
      <c r="F2679" s="6" t="n">
        <v>4</v>
      </c>
      <c r="G2679" s="10" t="n">
        <v>697</v>
      </c>
      <c r="H2679" s="10" t="n">
        <f aca="false">F2679*G2679</f>
        <v>2788</v>
      </c>
      <c r="I2679" s="6" t="s">
        <v>5122</v>
      </c>
    </row>
    <row r="2680" customFormat="false" ht="15" hidden="false" customHeight="false" outlineLevel="0" collapsed="false">
      <c r="A2680" s="6" t="s">
        <v>7903</v>
      </c>
      <c r="B2680" s="6" t="s">
        <v>4859</v>
      </c>
      <c r="C2680" s="26" t="n">
        <v>46117</v>
      </c>
      <c r="D2680" s="6" t="s">
        <v>5269</v>
      </c>
      <c r="E2680" s="6" t="s">
        <v>22</v>
      </c>
      <c r="F2680" s="6" t="n">
        <v>3</v>
      </c>
      <c r="G2680" s="10" t="n">
        <v>1207</v>
      </c>
      <c r="H2680" s="10" t="n">
        <f aca="false">F2680*G2680</f>
        <v>3621</v>
      </c>
      <c r="I2680" s="6" t="s">
        <v>5122</v>
      </c>
    </row>
    <row r="2681" customFormat="false" ht="15" hidden="false" customHeight="false" outlineLevel="0" collapsed="false">
      <c r="A2681" s="6" t="s">
        <v>7904</v>
      </c>
      <c r="B2681" s="6" t="s">
        <v>2653</v>
      </c>
      <c r="C2681" s="26" t="n">
        <v>46117</v>
      </c>
      <c r="D2681" s="6" t="s">
        <v>5197</v>
      </c>
      <c r="E2681" s="6" t="s">
        <v>21</v>
      </c>
      <c r="F2681" s="6" t="n">
        <v>1</v>
      </c>
      <c r="G2681" s="10" t="n">
        <v>1080</v>
      </c>
      <c r="H2681" s="10" t="n">
        <f aca="false">F2681*G2681</f>
        <v>1080</v>
      </c>
      <c r="I2681" s="6" t="s">
        <v>5130</v>
      </c>
    </row>
    <row r="2682" customFormat="false" ht="15" hidden="false" customHeight="false" outlineLevel="0" collapsed="false">
      <c r="A2682" s="6" t="s">
        <v>7905</v>
      </c>
      <c r="B2682" s="6" t="s">
        <v>2057</v>
      </c>
      <c r="C2682" s="26" t="n">
        <v>46117</v>
      </c>
      <c r="D2682" s="6" t="s">
        <v>5167</v>
      </c>
      <c r="E2682" s="6" t="s">
        <v>22</v>
      </c>
      <c r="F2682" s="6" t="n">
        <v>2</v>
      </c>
      <c r="G2682" s="10" t="n">
        <v>743</v>
      </c>
      <c r="H2682" s="10" t="n">
        <f aca="false">F2682*G2682</f>
        <v>1486</v>
      </c>
      <c r="I2682" s="6" t="s">
        <v>5125</v>
      </c>
    </row>
    <row r="2683" customFormat="false" ht="15" hidden="false" customHeight="false" outlineLevel="0" collapsed="false">
      <c r="A2683" s="6" t="s">
        <v>7906</v>
      </c>
      <c r="B2683" s="6" t="s">
        <v>5033</v>
      </c>
      <c r="C2683" s="26" t="n">
        <v>46117</v>
      </c>
      <c r="D2683" s="6" t="s">
        <v>5167</v>
      </c>
      <c r="E2683" s="6" t="s">
        <v>22</v>
      </c>
      <c r="F2683" s="6" t="n">
        <v>2</v>
      </c>
      <c r="G2683" s="10" t="n">
        <v>782</v>
      </c>
      <c r="H2683" s="10" t="n">
        <f aca="false">F2683*G2683</f>
        <v>1564</v>
      </c>
      <c r="I2683" s="6" t="s">
        <v>5122</v>
      </c>
    </row>
    <row r="2684" customFormat="false" ht="15" hidden="false" customHeight="false" outlineLevel="0" collapsed="false">
      <c r="A2684" s="6" t="s">
        <v>7907</v>
      </c>
      <c r="B2684" s="6" t="s">
        <v>2391</v>
      </c>
      <c r="C2684" s="26" t="n">
        <v>46117</v>
      </c>
      <c r="D2684" s="6" t="s">
        <v>5398</v>
      </c>
      <c r="E2684" s="6" t="s">
        <v>24</v>
      </c>
      <c r="F2684" s="6" t="n">
        <v>1</v>
      </c>
      <c r="G2684" s="10" t="n">
        <v>611</v>
      </c>
      <c r="H2684" s="10" t="n">
        <f aca="false">F2684*G2684</f>
        <v>611</v>
      </c>
      <c r="I2684" s="6" t="s">
        <v>5122</v>
      </c>
    </row>
    <row r="2685" customFormat="false" ht="15" hidden="false" customHeight="false" outlineLevel="0" collapsed="false">
      <c r="A2685" s="6" t="s">
        <v>7908</v>
      </c>
      <c r="B2685" s="6" t="s">
        <v>1375</v>
      </c>
      <c r="C2685" s="26" t="n">
        <v>46117</v>
      </c>
      <c r="D2685" s="6" t="s">
        <v>5749</v>
      </c>
      <c r="E2685" s="6" t="s">
        <v>20</v>
      </c>
      <c r="F2685" s="6" t="n">
        <v>1</v>
      </c>
      <c r="G2685" s="10" t="n">
        <v>733</v>
      </c>
      <c r="H2685" s="10" t="n">
        <f aca="false">F2685*G2685</f>
        <v>733</v>
      </c>
      <c r="I2685" s="6" t="s">
        <v>5125</v>
      </c>
    </row>
    <row r="2686" customFormat="false" ht="15" hidden="false" customHeight="false" outlineLevel="0" collapsed="false">
      <c r="A2686" s="6" t="s">
        <v>7909</v>
      </c>
      <c r="B2686" s="6" t="s">
        <v>2765</v>
      </c>
      <c r="C2686" s="26" t="n">
        <v>46117</v>
      </c>
      <c r="D2686" s="6" t="s">
        <v>5167</v>
      </c>
      <c r="E2686" s="6" t="s">
        <v>22</v>
      </c>
      <c r="F2686" s="6" t="n">
        <v>2</v>
      </c>
      <c r="G2686" s="10" t="n">
        <v>782</v>
      </c>
      <c r="H2686" s="10" t="n">
        <f aca="false">F2686*G2686</f>
        <v>1564</v>
      </c>
      <c r="I2686" s="6" t="s">
        <v>5122</v>
      </c>
    </row>
    <row r="2687" customFormat="false" ht="15" hidden="false" customHeight="false" outlineLevel="0" collapsed="false">
      <c r="A2687" s="6" t="s">
        <v>7910</v>
      </c>
      <c r="B2687" s="6" t="s">
        <v>4387</v>
      </c>
      <c r="C2687" s="26" t="n">
        <v>46117</v>
      </c>
      <c r="D2687" s="6" t="s">
        <v>5242</v>
      </c>
      <c r="E2687" s="6" t="s">
        <v>23</v>
      </c>
      <c r="F2687" s="6" t="n">
        <v>3</v>
      </c>
      <c r="G2687" s="10" t="n">
        <v>354</v>
      </c>
      <c r="H2687" s="10" t="n">
        <f aca="false">F2687*G2687</f>
        <v>1062</v>
      </c>
      <c r="I2687" s="6" t="s">
        <v>5122</v>
      </c>
    </row>
    <row r="2688" customFormat="false" ht="15" hidden="false" customHeight="false" outlineLevel="0" collapsed="false">
      <c r="A2688" s="6" t="s">
        <v>7911</v>
      </c>
      <c r="B2688" s="6" t="s">
        <v>763</v>
      </c>
      <c r="C2688" s="26" t="n">
        <v>46117</v>
      </c>
      <c r="D2688" s="6" t="s">
        <v>5167</v>
      </c>
      <c r="E2688" s="6" t="s">
        <v>22</v>
      </c>
      <c r="F2688" s="6" t="n">
        <v>2</v>
      </c>
      <c r="G2688" s="10" t="n">
        <v>782</v>
      </c>
      <c r="H2688" s="10" t="n">
        <f aca="false">F2688*G2688</f>
        <v>1564</v>
      </c>
      <c r="I2688" s="6" t="s">
        <v>5133</v>
      </c>
    </row>
    <row r="2689" customFormat="false" ht="15" hidden="false" customHeight="false" outlineLevel="0" collapsed="false">
      <c r="A2689" s="6" t="s">
        <v>7912</v>
      </c>
      <c r="B2689" s="6" t="s">
        <v>1195</v>
      </c>
      <c r="C2689" s="26" t="n">
        <v>46117</v>
      </c>
      <c r="D2689" s="6" t="s">
        <v>5167</v>
      </c>
      <c r="E2689" s="6" t="s">
        <v>22</v>
      </c>
      <c r="F2689" s="6" t="n">
        <v>1</v>
      </c>
      <c r="G2689" s="10" t="n">
        <v>782</v>
      </c>
      <c r="H2689" s="10" t="n">
        <f aca="false">F2689*G2689</f>
        <v>782</v>
      </c>
      <c r="I2689" s="6" t="s">
        <v>5173</v>
      </c>
    </row>
    <row r="2690" customFormat="false" ht="15" hidden="false" customHeight="false" outlineLevel="0" collapsed="false">
      <c r="A2690" s="6" t="s">
        <v>7913</v>
      </c>
      <c r="B2690" s="6" t="s">
        <v>2749</v>
      </c>
      <c r="C2690" s="26" t="n">
        <v>46117</v>
      </c>
      <c r="D2690" s="6" t="s">
        <v>5163</v>
      </c>
      <c r="E2690" s="6" t="s">
        <v>23</v>
      </c>
      <c r="F2690" s="6" t="n">
        <v>2</v>
      </c>
      <c r="G2690" s="10" t="n">
        <v>783</v>
      </c>
      <c r="H2690" s="10" t="n">
        <f aca="false">F2690*G2690</f>
        <v>1566</v>
      </c>
      <c r="I2690" s="6" t="s">
        <v>5122</v>
      </c>
    </row>
    <row r="2691" customFormat="false" ht="15" hidden="false" customHeight="false" outlineLevel="0" collapsed="false">
      <c r="A2691" s="6" t="s">
        <v>7914</v>
      </c>
      <c r="B2691" s="6" t="s">
        <v>262</v>
      </c>
      <c r="C2691" s="26" t="n">
        <v>46117</v>
      </c>
      <c r="D2691" s="6" t="s">
        <v>5171</v>
      </c>
      <c r="E2691" s="6" t="s">
        <v>23</v>
      </c>
      <c r="F2691" s="6" t="n">
        <v>2</v>
      </c>
      <c r="G2691" s="10" t="n">
        <v>734</v>
      </c>
      <c r="H2691" s="10" t="n">
        <f aca="false">F2691*G2691</f>
        <v>1468</v>
      </c>
      <c r="I2691" s="6" t="s">
        <v>5125</v>
      </c>
    </row>
    <row r="2692" customFormat="false" ht="15" hidden="false" customHeight="false" outlineLevel="0" collapsed="false">
      <c r="A2692" s="6" t="s">
        <v>7915</v>
      </c>
      <c r="B2692" s="6" t="s">
        <v>1433</v>
      </c>
      <c r="C2692" s="26" t="n">
        <v>46117</v>
      </c>
      <c r="D2692" s="6" t="s">
        <v>5167</v>
      </c>
      <c r="E2692" s="6" t="s">
        <v>22</v>
      </c>
      <c r="F2692" s="6" t="n">
        <v>1</v>
      </c>
      <c r="G2692" s="10" t="n">
        <v>782</v>
      </c>
      <c r="H2692" s="10" t="n">
        <f aca="false">F2692*G2692</f>
        <v>782</v>
      </c>
      <c r="I2692" s="6" t="s">
        <v>5122</v>
      </c>
    </row>
    <row r="2693" customFormat="false" ht="15" hidden="false" customHeight="false" outlineLevel="0" collapsed="false">
      <c r="A2693" s="6" t="s">
        <v>7916</v>
      </c>
      <c r="B2693" s="6" t="s">
        <v>340</v>
      </c>
      <c r="C2693" s="26" t="n">
        <v>46117</v>
      </c>
      <c r="D2693" s="6" t="s">
        <v>5121</v>
      </c>
      <c r="E2693" s="6" t="s">
        <v>22</v>
      </c>
      <c r="F2693" s="6" t="n">
        <v>1</v>
      </c>
      <c r="G2693" s="10" t="n">
        <v>977</v>
      </c>
      <c r="H2693" s="10" t="n">
        <f aca="false">F2693*G2693</f>
        <v>977</v>
      </c>
      <c r="I2693" s="6" t="s">
        <v>5122</v>
      </c>
    </row>
    <row r="2694" customFormat="false" ht="15" hidden="false" customHeight="false" outlineLevel="0" collapsed="false">
      <c r="A2694" s="6" t="s">
        <v>7917</v>
      </c>
      <c r="B2694" s="6" t="s">
        <v>326</v>
      </c>
      <c r="C2694" s="26" t="n">
        <v>46117</v>
      </c>
      <c r="D2694" s="6" t="s">
        <v>5357</v>
      </c>
      <c r="E2694" s="6" t="s">
        <v>23</v>
      </c>
      <c r="F2694" s="6" t="n">
        <v>1</v>
      </c>
      <c r="G2694" s="10" t="n">
        <v>533</v>
      </c>
      <c r="H2694" s="10" t="n">
        <f aca="false">F2694*G2694</f>
        <v>533</v>
      </c>
      <c r="I2694" s="6" t="s">
        <v>5148</v>
      </c>
    </row>
    <row r="2695" customFormat="false" ht="15" hidden="false" customHeight="false" outlineLevel="0" collapsed="false">
      <c r="A2695" s="6" t="s">
        <v>7918</v>
      </c>
      <c r="B2695" s="6" t="s">
        <v>1243</v>
      </c>
      <c r="C2695" s="26" t="n">
        <v>46117</v>
      </c>
      <c r="D2695" s="6" t="s">
        <v>5171</v>
      </c>
      <c r="E2695" s="6" t="s">
        <v>23</v>
      </c>
      <c r="F2695" s="6" t="n">
        <v>3</v>
      </c>
      <c r="G2695" s="10" t="n">
        <v>734</v>
      </c>
      <c r="H2695" s="10" t="n">
        <f aca="false">F2695*G2695</f>
        <v>2202</v>
      </c>
      <c r="I2695" s="6" t="s">
        <v>5122</v>
      </c>
    </row>
    <row r="2696" customFormat="false" ht="15" hidden="false" customHeight="false" outlineLevel="0" collapsed="false">
      <c r="A2696" s="6" t="s">
        <v>7919</v>
      </c>
      <c r="B2696" s="6" t="s">
        <v>1503</v>
      </c>
      <c r="C2696" s="26" t="n">
        <v>46117</v>
      </c>
      <c r="D2696" s="6" t="s">
        <v>5182</v>
      </c>
      <c r="E2696" s="6" t="s">
        <v>23</v>
      </c>
      <c r="F2696" s="6" t="n">
        <v>3</v>
      </c>
      <c r="G2696" s="10" t="n">
        <v>349</v>
      </c>
      <c r="H2696" s="10" t="n">
        <f aca="false">F2696*G2696</f>
        <v>1047</v>
      </c>
      <c r="I2696" s="6" t="s">
        <v>5148</v>
      </c>
    </row>
    <row r="2697" customFormat="false" ht="15" hidden="false" customHeight="false" outlineLevel="0" collapsed="false">
      <c r="A2697" s="6" t="s">
        <v>7920</v>
      </c>
      <c r="B2697" s="6" t="s">
        <v>128</v>
      </c>
      <c r="C2697" s="26" t="n">
        <v>46117</v>
      </c>
      <c r="D2697" s="6" t="s">
        <v>5135</v>
      </c>
      <c r="E2697" s="6" t="s">
        <v>23</v>
      </c>
      <c r="F2697" s="6" t="n">
        <v>1</v>
      </c>
      <c r="G2697" s="10" t="n">
        <v>441</v>
      </c>
      <c r="H2697" s="10" t="n">
        <f aca="false">F2697*G2697</f>
        <v>441</v>
      </c>
      <c r="I2697" s="6" t="s">
        <v>5122</v>
      </c>
    </row>
    <row r="2698" customFormat="false" ht="15" hidden="false" customHeight="false" outlineLevel="0" collapsed="false">
      <c r="A2698" s="6" t="s">
        <v>7921</v>
      </c>
      <c r="B2698" s="6" t="s">
        <v>1131</v>
      </c>
      <c r="C2698" s="26" t="n">
        <v>46117</v>
      </c>
      <c r="D2698" s="6" t="s">
        <v>5488</v>
      </c>
      <c r="E2698" s="6" t="s">
        <v>24</v>
      </c>
      <c r="F2698" s="6" t="n">
        <v>1</v>
      </c>
      <c r="G2698" s="10" t="n">
        <v>866</v>
      </c>
      <c r="H2698" s="10" t="n">
        <f aca="false">F2698*G2698</f>
        <v>866</v>
      </c>
      <c r="I2698" s="6" t="s">
        <v>5125</v>
      </c>
    </row>
    <row r="2699" customFormat="false" ht="15" hidden="false" customHeight="false" outlineLevel="0" collapsed="false">
      <c r="A2699" s="6" t="s">
        <v>7922</v>
      </c>
      <c r="B2699" s="6" t="s">
        <v>2315</v>
      </c>
      <c r="C2699" s="26" t="n">
        <v>46117</v>
      </c>
      <c r="D2699" s="6" t="s">
        <v>5150</v>
      </c>
      <c r="E2699" s="6" t="s">
        <v>24</v>
      </c>
      <c r="F2699" s="6" t="n">
        <v>3</v>
      </c>
      <c r="G2699" s="10" t="n">
        <v>483</v>
      </c>
      <c r="H2699" s="10" t="n">
        <f aca="false">F2699*G2699</f>
        <v>1449</v>
      </c>
      <c r="I2699" s="6" t="s">
        <v>5122</v>
      </c>
    </row>
    <row r="2700" customFormat="false" ht="15" hidden="false" customHeight="false" outlineLevel="0" collapsed="false">
      <c r="A2700" s="6" t="s">
        <v>7923</v>
      </c>
      <c r="B2700" s="6" t="s">
        <v>4909</v>
      </c>
      <c r="C2700" s="26" t="n">
        <v>46117</v>
      </c>
      <c r="D2700" s="6" t="s">
        <v>5171</v>
      </c>
      <c r="E2700" s="6" t="s">
        <v>23</v>
      </c>
      <c r="F2700" s="6" t="n">
        <v>2</v>
      </c>
      <c r="G2700" s="10" t="n">
        <v>697</v>
      </c>
      <c r="H2700" s="10" t="n">
        <f aca="false">F2700*G2700</f>
        <v>1394</v>
      </c>
      <c r="I2700" s="6" t="s">
        <v>5122</v>
      </c>
    </row>
    <row r="2701" customFormat="false" ht="15" hidden="false" customHeight="false" outlineLevel="0" collapsed="false">
      <c r="A2701" s="6" t="s">
        <v>7924</v>
      </c>
      <c r="B2701" s="6" t="s">
        <v>573</v>
      </c>
      <c r="C2701" s="26" t="n">
        <v>46117</v>
      </c>
      <c r="D2701" s="6" t="s">
        <v>5216</v>
      </c>
      <c r="E2701" s="6" t="s">
        <v>23</v>
      </c>
      <c r="F2701" s="6" t="n">
        <v>3</v>
      </c>
      <c r="G2701" s="10" t="n">
        <v>558</v>
      </c>
      <c r="H2701" s="10" t="n">
        <f aca="false">F2701*G2701</f>
        <v>1674</v>
      </c>
      <c r="I2701" s="6" t="s">
        <v>5133</v>
      </c>
    </row>
    <row r="2702" customFormat="false" ht="15" hidden="false" customHeight="false" outlineLevel="0" collapsed="false">
      <c r="A2702" s="6" t="s">
        <v>7925</v>
      </c>
      <c r="B2702" s="6" t="s">
        <v>2943</v>
      </c>
      <c r="C2702" s="26" t="n">
        <v>46118</v>
      </c>
      <c r="D2702" s="6" t="s">
        <v>5292</v>
      </c>
      <c r="E2702" s="6" t="s">
        <v>21</v>
      </c>
      <c r="F2702" s="6" t="n">
        <v>1</v>
      </c>
      <c r="G2702" s="10" t="n">
        <v>6880</v>
      </c>
      <c r="H2702" s="10" t="n">
        <f aca="false">F2702*G2702</f>
        <v>6880</v>
      </c>
      <c r="I2702" s="6" t="s">
        <v>5130</v>
      </c>
    </row>
    <row r="2703" customFormat="false" ht="15" hidden="false" customHeight="false" outlineLevel="0" collapsed="false">
      <c r="A2703" s="6" t="s">
        <v>7926</v>
      </c>
      <c r="B2703" s="6" t="s">
        <v>1929</v>
      </c>
      <c r="C2703" s="26" t="n">
        <v>46118</v>
      </c>
      <c r="D2703" s="6" t="s">
        <v>5707</v>
      </c>
      <c r="E2703" s="6" t="s">
        <v>22</v>
      </c>
      <c r="F2703" s="6" t="n">
        <v>1</v>
      </c>
      <c r="G2703" s="10" t="n">
        <v>2445</v>
      </c>
      <c r="H2703" s="10" t="n">
        <f aca="false">F2703*G2703</f>
        <v>2445</v>
      </c>
      <c r="I2703" s="6" t="s">
        <v>5122</v>
      </c>
    </row>
    <row r="2704" customFormat="false" ht="15" hidden="false" customHeight="false" outlineLevel="0" collapsed="false">
      <c r="A2704" s="6" t="s">
        <v>7927</v>
      </c>
      <c r="B2704" s="6" t="s">
        <v>3063</v>
      </c>
      <c r="C2704" s="26" t="n">
        <v>46118</v>
      </c>
      <c r="D2704" s="6" t="s">
        <v>5383</v>
      </c>
      <c r="E2704" s="6" t="s">
        <v>20</v>
      </c>
      <c r="F2704" s="6" t="n">
        <v>1</v>
      </c>
      <c r="G2704" s="10" t="n">
        <v>1121</v>
      </c>
      <c r="H2704" s="10" t="n">
        <f aca="false">F2704*G2704</f>
        <v>1121</v>
      </c>
      <c r="I2704" s="6" t="s">
        <v>5133</v>
      </c>
    </row>
    <row r="2705" customFormat="false" ht="15" hidden="false" customHeight="false" outlineLevel="0" collapsed="false">
      <c r="A2705" s="6" t="s">
        <v>7928</v>
      </c>
      <c r="B2705" s="6" t="s">
        <v>833</v>
      </c>
      <c r="C2705" s="26" t="n">
        <v>46118</v>
      </c>
      <c r="D2705" s="6" t="s">
        <v>5298</v>
      </c>
      <c r="E2705" s="6" t="s">
        <v>23</v>
      </c>
      <c r="F2705" s="6" t="n">
        <v>3</v>
      </c>
      <c r="G2705" s="10" t="n">
        <v>278</v>
      </c>
      <c r="H2705" s="10" t="n">
        <f aca="false">F2705*G2705</f>
        <v>834</v>
      </c>
      <c r="I2705" s="6" t="s">
        <v>5125</v>
      </c>
    </row>
    <row r="2706" customFormat="false" ht="15" hidden="false" customHeight="false" outlineLevel="0" collapsed="false">
      <c r="A2706" s="6" t="s">
        <v>7929</v>
      </c>
      <c r="B2706" s="6" t="s">
        <v>725</v>
      </c>
      <c r="C2706" s="26" t="n">
        <v>46118</v>
      </c>
      <c r="D2706" s="6" t="s">
        <v>5269</v>
      </c>
      <c r="E2706" s="6" t="s">
        <v>22</v>
      </c>
      <c r="F2706" s="6" t="n">
        <v>2</v>
      </c>
      <c r="G2706" s="10" t="n">
        <v>1271</v>
      </c>
      <c r="H2706" s="10" t="n">
        <f aca="false">F2706*G2706</f>
        <v>2542</v>
      </c>
      <c r="I2706" s="6" t="s">
        <v>5122</v>
      </c>
    </row>
    <row r="2707" customFormat="false" ht="15" hidden="false" customHeight="false" outlineLevel="0" collapsed="false">
      <c r="A2707" s="6" t="s">
        <v>7930</v>
      </c>
      <c r="B2707" s="6" t="s">
        <v>3987</v>
      </c>
      <c r="C2707" s="26" t="n">
        <v>46118</v>
      </c>
      <c r="D2707" s="6" t="s">
        <v>5214</v>
      </c>
      <c r="E2707" s="6" t="s">
        <v>20</v>
      </c>
      <c r="F2707" s="6" t="n">
        <v>1</v>
      </c>
      <c r="G2707" s="10" t="n">
        <v>1835</v>
      </c>
      <c r="H2707" s="10" t="n">
        <f aca="false">F2707*G2707</f>
        <v>1835</v>
      </c>
      <c r="I2707" s="6" t="s">
        <v>5133</v>
      </c>
    </row>
    <row r="2708" customFormat="false" ht="15" hidden="false" customHeight="false" outlineLevel="0" collapsed="false">
      <c r="A2708" s="6" t="s">
        <v>7931</v>
      </c>
      <c r="B2708" s="6" t="s">
        <v>4203</v>
      </c>
      <c r="C2708" s="26" t="n">
        <v>46118</v>
      </c>
      <c r="D2708" s="6" t="s">
        <v>5135</v>
      </c>
      <c r="E2708" s="6" t="s">
        <v>23</v>
      </c>
      <c r="F2708" s="6" t="n">
        <v>1</v>
      </c>
      <c r="G2708" s="10" t="n">
        <v>441</v>
      </c>
      <c r="H2708" s="10" t="n">
        <f aca="false">F2708*G2708</f>
        <v>441</v>
      </c>
      <c r="I2708" s="6" t="s">
        <v>5122</v>
      </c>
    </row>
    <row r="2709" customFormat="false" ht="15" hidden="false" customHeight="false" outlineLevel="0" collapsed="false">
      <c r="A2709" s="6" t="s">
        <v>7932</v>
      </c>
      <c r="B2709" s="6" t="s">
        <v>2553</v>
      </c>
      <c r="C2709" s="26" t="n">
        <v>46118</v>
      </c>
      <c r="D2709" s="6" t="s">
        <v>5318</v>
      </c>
      <c r="E2709" s="6" t="s">
        <v>20</v>
      </c>
      <c r="F2709" s="6" t="n">
        <v>1</v>
      </c>
      <c r="G2709" s="10" t="n">
        <v>1451</v>
      </c>
      <c r="H2709" s="10" t="n">
        <f aca="false">F2709*G2709</f>
        <v>1451</v>
      </c>
      <c r="I2709" s="6" t="s">
        <v>5133</v>
      </c>
    </row>
    <row r="2710" customFormat="false" ht="15" hidden="false" customHeight="false" outlineLevel="0" collapsed="false">
      <c r="A2710" s="6" t="s">
        <v>7933</v>
      </c>
      <c r="B2710" s="6" t="s">
        <v>1063</v>
      </c>
      <c r="C2710" s="26" t="n">
        <v>46118</v>
      </c>
      <c r="D2710" s="6" t="s">
        <v>5175</v>
      </c>
      <c r="E2710" s="6" t="s">
        <v>24</v>
      </c>
      <c r="F2710" s="6" t="n">
        <v>1</v>
      </c>
      <c r="G2710" s="10" t="n">
        <v>610</v>
      </c>
      <c r="H2710" s="10" t="n">
        <f aca="false">F2710*G2710</f>
        <v>610</v>
      </c>
      <c r="I2710" s="6" t="s">
        <v>5125</v>
      </c>
    </row>
    <row r="2711" customFormat="false" ht="15" hidden="false" customHeight="false" outlineLevel="0" collapsed="false">
      <c r="A2711" s="6" t="s">
        <v>7934</v>
      </c>
      <c r="B2711" s="6" t="s">
        <v>4937</v>
      </c>
      <c r="C2711" s="26" t="n">
        <v>46118</v>
      </c>
      <c r="D2711" s="6" t="s">
        <v>5345</v>
      </c>
      <c r="E2711" s="6" t="s">
        <v>23</v>
      </c>
      <c r="F2711" s="6" t="n">
        <v>4</v>
      </c>
      <c r="G2711" s="10" t="n">
        <v>436</v>
      </c>
      <c r="H2711" s="10" t="n">
        <f aca="false">F2711*G2711</f>
        <v>1744</v>
      </c>
      <c r="I2711" s="6" t="s">
        <v>5122</v>
      </c>
    </row>
    <row r="2712" customFormat="false" ht="15" hidden="false" customHeight="false" outlineLevel="0" collapsed="false">
      <c r="A2712" s="6" t="s">
        <v>7935</v>
      </c>
      <c r="B2712" s="6" t="s">
        <v>386</v>
      </c>
      <c r="C2712" s="26" t="n">
        <v>46118</v>
      </c>
      <c r="D2712" s="6" t="s">
        <v>5345</v>
      </c>
      <c r="E2712" s="6" t="s">
        <v>23</v>
      </c>
      <c r="F2712" s="6" t="n">
        <v>2</v>
      </c>
      <c r="G2712" s="10" t="n">
        <v>436</v>
      </c>
      <c r="H2712" s="10" t="n">
        <f aca="false">F2712*G2712</f>
        <v>872</v>
      </c>
      <c r="I2712" s="6" t="s">
        <v>5122</v>
      </c>
    </row>
    <row r="2713" customFormat="false" ht="15" hidden="false" customHeight="false" outlineLevel="0" collapsed="false">
      <c r="A2713" s="6" t="s">
        <v>7936</v>
      </c>
      <c r="B2713" s="6" t="s">
        <v>3925</v>
      </c>
      <c r="C2713" s="26" t="n">
        <v>46118</v>
      </c>
      <c r="D2713" s="6" t="s">
        <v>5132</v>
      </c>
      <c r="E2713" s="6" t="s">
        <v>23</v>
      </c>
      <c r="F2713" s="6" t="n">
        <v>1</v>
      </c>
      <c r="G2713" s="10" t="n">
        <v>325</v>
      </c>
      <c r="H2713" s="10" t="n">
        <f aca="false">F2713*G2713</f>
        <v>325</v>
      </c>
      <c r="I2713" s="6" t="s">
        <v>5148</v>
      </c>
    </row>
    <row r="2714" customFormat="false" ht="15" hidden="false" customHeight="false" outlineLevel="0" collapsed="false">
      <c r="A2714" s="6" t="s">
        <v>7937</v>
      </c>
      <c r="B2714" s="6" t="s">
        <v>1359</v>
      </c>
      <c r="C2714" s="26" t="n">
        <v>46118</v>
      </c>
      <c r="D2714" s="6" t="s">
        <v>5190</v>
      </c>
      <c r="E2714" s="6" t="s">
        <v>24</v>
      </c>
      <c r="F2714" s="6" t="n">
        <v>1</v>
      </c>
      <c r="G2714" s="10" t="n">
        <v>581</v>
      </c>
      <c r="H2714" s="10" t="n">
        <f aca="false">F2714*G2714</f>
        <v>581</v>
      </c>
      <c r="I2714" s="6" t="s">
        <v>5122</v>
      </c>
    </row>
    <row r="2715" customFormat="false" ht="15" hidden="false" customHeight="false" outlineLevel="0" collapsed="false">
      <c r="A2715" s="6" t="s">
        <v>7938</v>
      </c>
      <c r="B2715" s="6" t="s">
        <v>1993</v>
      </c>
      <c r="C2715" s="26" t="n">
        <v>46118</v>
      </c>
      <c r="D2715" s="6" t="s">
        <v>5145</v>
      </c>
      <c r="E2715" s="6" t="s">
        <v>21</v>
      </c>
      <c r="F2715" s="6" t="n">
        <v>1</v>
      </c>
      <c r="G2715" s="10" t="n">
        <v>1277</v>
      </c>
      <c r="H2715" s="10" t="n">
        <f aca="false">F2715*G2715</f>
        <v>1277</v>
      </c>
      <c r="I2715" s="6" t="s">
        <v>5122</v>
      </c>
    </row>
    <row r="2716" customFormat="false" ht="15" hidden="false" customHeight="false" outlineLevel="0" collapsed="false">
      <c r="A2716" s="6" t="s">
        <v>7939</v>
      </c>
      <c r="B2716" s="6" t="s">
        <v>3735</v>
      </c>
      <c r="C2716" s="26" t="n">
        <v>46118</v>
      </c>
      <c r="D2716" s="6" t="s">
        <v>5345</v>
      </c>
      <c r="E2716" s="6" t="s">
        <v>23</v>
      </c>
      <c r="F2716" s="6" t="n">
        <v>1</v>
      </c>
      <c r="G2716" s="10" t="n">
        <v>436</v>
      </c>
      <c r="H2716" s="10" t="n">
        <f aca="false">F2716*G2716</f>
        <v>436</v>
      </c>
      <c r="I2716" s="6" t="s">
        <v>5148</v>
      </c>
    </row>
    <row r="2717" customFormat="false" ht="15" hidden="false" customHeight="false" outlineLevel="0" collapsed="false">
      <c r="A2717" s="6" t="s">
        <v>7940</v>
      </c>
      <c r="B2717" s="6" t="s">
        <v>449</v>
      </c>
      <c r="C2717" s="26" t="n">
        <v>46118</v>
      </c>
      <c r="D2717" s="6" t="s">
        <v>5171</v>
      </c>
      <c r="E2717" s="6" t="s">
        <v>23</v>
      </c>
      <c r="F2717" s="6" t="n">
        <v>3</v>
      </c>
      <c r="G2717" s="10" t="n">
        <v>734</v>
      </c>
      <c r="H2717" s="10" t="n">
        <f aca="false">F2717*G2717</f>
        <v>2202</v>
      </c>
      <c r="I2717" s="6" t="s">
        <v>5130</v>
      </c>
    </row>
    <row r="2718" customFormat="false" ht="15" hidden="false" customHeight="false" outlineLevel="0" collapsed="false">
      <c r="A2718" s="6" t="s">
        <v>7941</v>
      </c>
      <c r="B2718" s="6" t="s">
        <v>1043</v>
      </c>
      <c r="C2718" s="26" t="n">
        <v>46118</v>
      </c>
      <c r="D2718" s="6" t="s">
        <v>5167</v>
      </c>
      <c r="E2718" s="6" t="s">
        <v>22</v>
      </c>
      <c r="F2718" s="6" t="n">
        <v>1</v>
      </c>
      <c r="G2718" s="10" t="n">
        <v>782</v>
      </c>
      <c r="H2718" s="10" t="n">
        <f aca="false">F2718*G2718</f>
        <v>782</v>
      </c>
      <c r="I2718" s="6" t="s">
        <v>5125</v>
      </c>
    </row>
    <row r="2719" customFormat="false" ht="15" hidden="false" customHeight="false" outlineLevel="0" collapsed="false">
      <c r="A2719" s="6" t="s">
        <v>7942</v>
      </c>
      <c r="B2719" s="6" t="s">
        <v>1809</v>
      </c>
      <c r="C2719" s="26" t="n">
        <v>46118</v>
      </c>
      <c r="D2719" s="6" t="s">
        <v>5190</v>
      </c>
      <c r="E2719" s="6" t="s">
        <v>24</v>
      </c>
      <c r="F2719" s="6" t="n">
        <v>2</v>
      </c>
      <c r="G2719" s="10" t="n">
        <v>610</v>
      </c>
      <c r="H2719" s="10" t="n">
        <f aca="false">F2719*G2719</f>
        <v>1220</v>
      </c>
      <c r="I2719" s="6" t="s">
        <v>5125</v>
      </c>
    </row>
    <row r="2720" customFormat="false" ht="15" hidden="false" customHeight="false" outlineLevel="0" collapsed="false">
      <c r="A2720" s="6" t="s">
        <v>7943</v>
      </c>
      <c r="B2720" s="6" t="s">
        <v>362</v>
      </c>
      <c r="C2720" s="26" t="n">
        <v>46118</v>
      </c>
      <c r="D2720" s="6" t="s">
        <v>5163</v>
      </c>
      <c r="E2720" s="6" t="s">
        <v>23</v>
      </c>
      <c r="F2720" s="6" t="n">
        <v>3</v>
      </c>
      <c r="G2720" s="10" t="n">
        <v>783</v>
      </c>
      <c r="H2720" s="10" t="n">
        <f aca="false">F2720*G2720</f>
        <v>2349</v>
      </c>
      <c r="I2720" s="6" t="s">
        <v>5122</v>
      </c>
    </row>
    <row r="2721" customFormat="false" ht="15" hidden="false" customHeight="false" outlineLevel="0" collapsed="false">
      <c r="A2721" s="6" t="s">
        <v>7944</v>
      </c>
      <c r="B2721" s="6" t="s">
        <v>2829</v>
      </c>
      <c r="C2721" s="26" t="n">
        <v>46118</v>
      </c>
      <c r="D2721" s="6" t="s">
        <v>5456</v>
      </c>
      <c r="E2721" s="6" t="s">
        <v>24</v>
      </c>
      <c r="F2721" s="6" t="n">
        <v>1</v>
      </c>
      <c r="G2721" s="10" t="n">
        <v>912</v>
      </c>
      <c r="H2721" s="10" t="n">
        <f aca="false">F2721*G2721</f>
        <v>912</v>
      </c>
      <c r="I2721" s="6" t="s">
        <v>5133</v>
      </c>
    </row>
    <row r="2722" customFormat="false" ht="15" hidden="false" customHeight="false" outlineLevel="0" collapsed="false">
      <c r="A2722" s="6" t="s">
        <v>7945</v>
      </c>
      <c r="B2722" s="6" t="s">
        <v>2873</v>
      </c>
      <c r="C2722" s="26" t="n">
        <v>46118</v>
      </c>
      <c r="D2722" s="6" t="s">
        <v>5163</v>
      </c>
      <c r="E2722" s="6" t="s">
        <v>23</v>
      </c>
      <c r="F2722" s="6" t="n">
        <v>2</v>
      </c>
      <c r="G2722" s="10" t="n">
        <v>705</v>
      </c>
      <c r="H2722" s="10" t="n">
        <f aca="false">F2722*G2722</f>
        <v>1410</v>
      </c>
      <c r="I2722" s="6" t="s">
        <v>5122</v>
      </c>
    </row>
    <row r="2723" customFormat="false" ht="15" hidden="false" customHeight="false" outlineLevel="0" collapsed="false">
      <c r="A2723" s="6" t="s">
        <v>7946</v>
      </c>
      <c r="B2723" s="6" t="s">
        <v>1143</v>
      </c>
      <c r="C2723" s="26" t="n">
        <v>46118</v>
      </c>
      <c r="D2723" s="6" t="s">
        <v>5290</v>
      </c>
      <c r="E2723" s="6" t="s">
        <v>23</v>
      </c>
      <c r="F2723" s="6" t="n">
        <v>2</v>
      </c>
      <c r="G2723" s="10" t="n">
        <v>112</v>
      </c>
      <c r="H2723" s="10" t="n">
        <f aca="false">F2723*G2723</f>
        <v>224</v>
      </c>
      <c r="I2723" s="6" t="s">
        <v>5130</v>
      </c>
    </row>
    <row r="2724" customFormat="false" ht="15" hidden="false" customHeight="false" outlineLevel="0" collapsed="false">
      <c r="A2724" s="6" t="s">
        <v>7947</v>
      </c>
      <c r="B2724" s="6" t="s">
        <v>3417</v>
      </c>
      <c r="C2724" s="26" t="n">
        <v>46118</v>
      </c>
      <c r="D2724" s="6" t="s">
        <v>5190</v>
      </c>
      <c r="E2724" s="6" t="s">
        <v>24</v>
      </c>
      <c r="F2724" s="6" t="n">
        <v>1</v>
      </c>
      <c r="G2724" s="10" t="n">
        <v>580</v>
      </c>
      <c r="H2724" s="10" t="n">
        <f aca="false">F2724*G2724</f>
        <v>580</v>
      </c>
      <c r="I2724" s="6" t="s">
        <v>5130</v>
      </c>
    </row>
    <row r="2725" customFormat="false" ht="15" hidden="false" customHeight="false" outlineLevel="0" collapsed="false">
      <c r="A2725" s="6" t="s">
        <v>7948</v>
      </c>
      <c r="B2725" s="6" t="s">
        <v>2809</v>
      </c>
      <c r="C2725" s="26" t="n">
        <v>46118</v>
      </c>
      <c r="D2725" s="6" t="s">
        <v>5163</v>
      </c>
      <c r="E2725" s="6" t="s">
        <v>23</v>
      </c>
      <c r="F2725" s="6" t="n">
        <v>1</v>
      </c>
      <c r="G2725" s="10" t="n">
        <v>782</v>
      </c>
      <c r="H2725" s="10" t="n">
        <f aca="false">F2725*G2725</f>
        <v>782</v>
      </c>
      <c r="I2725" s="6" t="s">
        <v>5130</v>
      </c>
    </row>
    <row r="2726" customFormat="false" ht="15" hidden="false" customHeight="false" outlineLevel="0" collapsed="false">
      <c r="A2726" s="6" t="s">
        <v>7949</v>
      </c>
      <c r="B2726" s="6" t="s">
        <v>2593</v>
      </c>
      <c r="C2726" s="26" t="n">
        <v>46118</v>
      </c>
      <c r="D2726" s="6" t="s">
        <v>5466</v>
      </c>
      <c r="E2726" s="6" t="s">
        <v>21</v>
      </c>
      <c r="F2726" s="6" t="n">
        <v>2</v>
      </c>
      <c r="G2726" s="10" t="n">
        <v>1965</v>
      </c>
      <c r="H2726" s="10" t="n">
        <f aca="false">F2726*G2726</f>
        <v>3930</v>
      </c>
      <c r="I2726" s="6" t="s">
        <v>5122</v>
      </c>
    </row>
    <row r="2727" customFormat="false" ht="15" hidden="false" customHeight="false" outlineLevel="0" collapsed="false">
      <c r="A2727" s="6" t="s">
        <v>7950</v>
      </c>
      <c r="B2727" s="6" t="s">
        <v>3069</v>
      </c>
      <c r="C2727" s="26" t="n">
        <v>46118</v>
      </c>
      <c r="D2727" s="6" t="s">
        <v>5171</v>
      </c>
      <c r="E2727" s="6" t="s">
        <v>23</v>
      </c>
      <c r="F2727" s="6" t="n">
        <v>2</v>
      </c>
      <c r="G2727" s="10" t="n">
        <v>661</v>
      </c>
      <c r="H2727" s="10" t="n">
        <f aca="false">F2727*G2727</f>
        <v>1322</v>
      </c>
      <c r="I2727" s="6" t="s">
        <v>5148</v>
      </c>
    </row>
    <row r="2728" customFormat="false" ht="15" hidden="false" customHeight="false" outlineLevel="0" collapsed="false">
      <c r="A2728" s="6" t="s">
        <v>7951</v>
      </c>
      <c r="B2728" s="6" t="s">
        <v>2321</v>
      </c>
      <c r="C2728" s="26" t="n">
        <v>46119</v>
      </c>
      <c r="D2728" s="6" t="s">
        <v>5807</v>
      </c>
      <c r="E2728" s="6" t="s">
        <v>20</v>
      </c>
      <c r="F2728" s="6" t="n">
        <v>1</v>
      </c>
      <c r="G2728" s="10" t="n">
        <v>15296</v>
      </c>
      <c r="H2728" s="10" t="n">
        <f aca="false">F2728*G2728</f>
        <v>15296</v>
      </c>
      <c r="I2728" s="6" t="s">
        <v>5122</v>
      </c>
    </row>
    <row r="2729" customFormat="false" ht="15" hidden="false" customHeight="false" outlineLevel="0" collapsed="false">
      <c r="A2729" s="6" t="s">
        <v>7952</v>
      </c>
      <c r="B2729" s="6" t="s">
        <v>4749</v>
      </c>
      <c r="C2729" s="26" t="n">
        <v>46119</v>
      </c>
      <c r="D2729" s="6" t="s">
        <v>5214</v>
      </c>
      <c r="E2729" s="6" t="s">
        <v>20</v>
      </c>
      <c r="F2729" s="6" t="n">
        <v>1</v>
      </c>
      <c r="G2729" s="10" t="n">
        <v>2039</v>
      </c>
      <c r="H2729" s="10" t="n">
        <f aca="false">F2729*G2729</f>
        <v>2039</v>
      </c>
      <c r="I2729" s="6" t="s">
        <v>5122</v>
      </c>
    </row>
    <row r="2730" customFormat="false" ht="15" hidden="false" customHeight="false" outlineLevel="0" collapsed="false">
      <c r="A2730" s="6" t="s">
        <v>7953</v>
      </c>
      <c r="B2730" s="6" t="s">
        <v>2103</v>
      </c>
      <c r="C2730" s="26" t="n">
        <v>46119</v>
      </c>
      <c r="D2730" s="6" t="s">
        <v>5171</v>
      </c>
      <c r="E2730" s="6" t="s">
        <v>23</v>
      </c>
      <c r="F2730" s="6" t="n">
        <v>3</v>
      </c>
      <c r="G2730" s="10" t="n">
        <v>697</v>
      </c>
      <c r="H2730" s="10" t="n">
        <f aca="false">F2730*G2730</f>
        <v>2091</v>
      </c>
      <c r="I2730" s="6" t="s">
        <v>5122</v>
      </c>
    </row>
    <row r="2731" customFormat="false" ht="15" hidden="false" customHeight="false" outlineLevel="0" collapsed="false">
      <c r="A2731" s="6" t="s">
        <v>7954</v>
      </c>
      <c r="B2731" s="6" t="s">
        <v>2965</v>
      </c>
      <c r="C2731" s="26" t="n">
        <v>46119</v>
      </c>
      <c r="D2731" s="6" t="s">
        <v>5216</v>
      </c>
      <c r="E2731" s="6" t="s">
        <v>23</v>
      </c>
      <c r="F2731" s="6" t="n">
        <v>1</v>
      </c>
      <c r="G2731" s="10" t="n">
        <v>528</v>
      </c>
      <c r="H2731" s="10" t="n">
        <f aca="false">F2731*G2731</f>
        <v>528</v>
      </c>
      <c r="I2731" s="6" t="s">
        <v>5125</v>
      </c>
    </row>
    <row r="2732" customFormat="false" ht="15" hidden="false" customHeight="false" outlineLevel="0" collapsed="false">
      <c r="A2732" s="6" t="s">
        <v>7955</v>
      </c>
      <c r="B2732" s="6" t="s">
        <v>3949</v>
      </c>
      <c r="C2732" s="26" t="n">
        <v>46119</v>
      </c>
      <c r="D2732" s="6" t="s">
        <v>5807</v>
      </c>
      <c r="E2732" s="6" t="s">
        <v>20</v>
      </c>
      <c r="F2732" s="6" t="n">
        <v>1</v>
      </c>
      <c r="G2732" s="10" t="n">
        <v>15296</v>
      </c>
      <c r="H2732" s="10" t="n">
        <f aca="false">F2732*G2732</f>
        <v>15296</v>
      </c>
      <c r="I2732" s="6" t="s">
        <v>5122</v>
      </c>
    </row>
    <row r="2733" customFormat="false" ht="15" hidden="false" customHeight="false" outlineLevel="0" collapsed="false">
      <c r="A2733" s="6" t="s">
        <v>7956</v>
      </c>
      <c r="B2733" s="6" t="s">
        <v>3327</v>
      </c>
      <c r="C2733" s="26" t="n">
        <v>46119</v>
      </c>
      <c r="D2733" s="6" t="s">
        <v>5154</v>
      </c>
      <c r="E2733" s="6" t="s">
        <v>21</v>
      </c>
      <c r="F2733" s="6" t="n">
        <v>2</v>
      </c>
      <c r="G2733" s="10" t="n">
        <v>785</v>
      </c>
      <c r="H2733" s="10" t="n">
        <f aca="false">F2733*G2733</f>
        <v>1570</v>
      </c>
      <c r="I2733" s="6" t="s">
        <v>5148</v>
      </c>
    </row>
    <row r="2734" customFormat="false" ht="15" hidden="false" customHeight="false" outlineLevel="0" collapsed="false">
      <c r="A2734" s="6" t="s">
        <v>7957</v>
      </c>
      <c r="B2734" s="6" t="s">
        <v>527</v>
      </c>
      <c r="C2734" s="26" t="n">
        <v>46119</v>
      </c>
      <c r="D2734" s="6" t="s">
        <v>5303</v>
      </c>
      <c r="E2734" s="6" t="s">
        <v>22</v>
      </c>
      <c r="F2734" s="6" t="n">
        <v>1</v>
      </c>
      <c r="G2734" s="10" t="n">
        <v>2445</v>
      </c>
      <c r="H2734" s="10" t="n">
        <f aca="false">F2734*G2734</f>
        <v>2445</v>
      </c>
      <c r="I2734" s="6" t="s">
        <v>5173</v>
      </c>
    </row>
    <row r="2735" customFormat="false" ht="15" hidden="false" customHeight="false" outlineLevel="0" collapsed="false">
      <c r="A2735" s="6" t="s">
        <v>7958</v>
      </c>
      <c r="B2735" s="6" t="s">
        <v>3277</v>
      </c>
      <c r="C2735" s="26" t="n">
        <v>46119</v>
      </c>
      <c r="D2735" s="6" t="s">
        <v>5216</v>
      </c>
      <c r="E2735" s="6" t="s">
        <v>23</v>
      </c>
      <c r="F2735" s="6" t="n">
        <v>1</v>
      </c>
      <c r="G2735" s="10" t="n">
        <v>527</v>
      </c>
      <c r="H2735" s="10" t="n">
        <f aca="false">F2735*G2735</f>
        <v>527</v>
      </c>
      <c r="I2735" s="6" t="s">
        <v>5148</v>
      </c>
    </row>
    <row r="2736" customFormat="false" ht="15" hidden="false" customHeight="false" outlineLevel="0" collapsed="false">
      <c r="A2736" s="6" t="s">
        <v>7959</v>
      </c>
      <c r="B2736" s="6" t="s">
        <v>1041</v>
      </c>
      <c r="C2736" s="26" t="n">
        <v>46119</v>
      </c>
      <c r="D2736" s="6" t="s">
        <v>5167</v>
      </c>
      <c r="E2736" s="6" t="s">
        <v>22</v>
      </c>
      <c r="F2736" s="6" t="n">
        <v>1</v>
      </c>
      <c r="G2736" s="10" t="n">
        <v>703</v>
      </c>
      <c r="H2736" s="10" t="n">
        <f aca="false">F2736*G2736</f>
        <v>703</v>
      </c>
      <c r="I2736" s="6" t="s">
        <v>5148</v>
      </c>
    </row>
    <row r="2737" customFormat="false" ht="15" hidden="false" customHeight="false" outlineLevel="0" collapsed="false">
      <c r="A2737" s="6" t="s">
        <v>7960</v>
      </c>
      <c r="B2737" s="6" t="s">
        <v>1963</v>
      </c>
      <c r="C2737" s="26" t="n">
        <v>46119</v>
      </c>
      <c r="D2737" s="6" t="s">
        <v>5175</v>
      </c>
      <c r="E2737" s="6" t="s">
        <v>24</v>
      </c>
      <c r="F2737" s="6" t="n">
        <v>1</v>
      </c>
      <c r="G2737" s="10" t="n">
        <v>549</v>
      </c>
      <c r="H2737" s="10" t="n">
        <f aca="false">F2737*G2737</f>
        <v>549</v>
      </c>
      <c r="I2737" s="6" t="s">
        <v>5125</v>
      </c>
    </row>
    <row r="2738" customFormat="false" ht="15" hidden="false" customHeight="false" outlineLevel="0" collapsed="false">
      <c r="A2738" s="6" t="s">
        <v>7961</v>
      </c>
      <c r="B2738" s="6" t="s">
        <v>4609</v>
      </c>
      <c r="C2738" s="26" t="n">
        <v>46119</v>
      </c>
      <c r="D2738" s="6" t="s">
        <v>5259</v>
      </c>
      <c r="E2738" s="6" t="s">
        <v>22</v>
      </c>
      <c r="F2738" s="6" t="n">
        <v>2</v>
      </c>
      <c r="G2738" s="10" t="n">
        <v>1408</v>
      </c>
      <c r="H2738" s="10" t="n">
        <f aca="false">F2738*G2738</f>
        <v>2816</v>
      </c>
      <c r="I2738" s="6" t="s">
        <v>5122</v>
      </c>
    </row>
    <row r="2739" customFormat="false" ht="15" hidden="false" customHeight="false" outlineLevel="0" collapsed="false">
      <c r="A2739" s="6" t="s">
        <v>7962</v>
      </c>
      <c r="B2739" s="6" t="s">
        <v>2467</v>
      </c>
      <c r="C2739" s="26" t="n">
        <v>46119</v>
      </c>
      <c r="D2739" s="6" t="s">
        <v>5135</v>
      </c>
      <c r="E2739" s="6" t="s">
        <v>23</v>
      </c>
      <c r="F2739" s="6" t="n">
        <v>3</v>
      </c>
      <c r="G2739" s="10" t="n">
        <v>441</v>
      </c>
      <c r="H2739" s="10" t="n">
        <f aca="false">F2739*G2739</f>
        <v>1323</v>
      </c>
      <c r="I2739" s="6" t="s">
        <v>5130</v>
      </c>
    </row>
    <row r="2740" customFormat="false" ht="15" hidden="false" customHeight="false" outlineLevel="0" collapsed="false">
      <c r="A2740" s="6" t="s">
        <v>7963</v>
      </c>
      <c r="B2740" s="6" t="s">
        <v>1363</v>
      </c>
      <c r="C2740" s="26" t="n">
        <v>46119</v>
      </c>
      <c r="D2740" s="6" t="s">
        <v>5165</v>
      </c>
      <c r="E2740" s="6" t="s">
        <v>22</v>
      </c>
      <c r="F2740" s="6" t="n">
        <v>2</v>
      </c>
      <c r="G2740" s="10" t="n">
        <v>977</v>
      </c>
      <c r="H2740" s="10" t="n">
        <f aca="false">F2740*G2740</f>
        <v>1954</v>
      </c>
      <c r="I2740" s="6" t="s">
        <v>5125</v>
      </c>
    </row>
    <row r="2741" customFormat="false" ht="15" hidden="false" customHeight="false" outlineLevel="0" collapsed="false">
      <c r="A2741" s="6" t="s">
        <v>7964</v>
      </c>
      <c r="B2741" s="6" t="s">
        <v>2431</v>
      </c>
      <c r="C2741" s="26" t="n">
        <v>46119</v>
      </c>
      <c r="D2741" s="6" t="s">
        <v>5214</v>
      </c>
      <c r="E2741" s="6" t="s">
        <v>20</v>
      </c>
      <c r="F2741" s="6" t="n">
        <v>1</v>
      </c>
      <c r="G2741" s="10" t="n">
        <v>2039</v>
      </c>
      <c r="H2741" s="10" t="n">
        <f aca="false">F2741*G2741</f>
        <v>2039</v>
      </c>
      <c r="I2741" s="6" t="s">
        <v>5122</v>
      </c>
    </row>
    <row r="2742" customFormat="false" ht="15" hidden="false" customHeight="false" outlineLevel="0" collapsed="false">
      <c r="A2742" s="6" t="s">
        <v>7965</v>
      </c>
      <c r="B2742" s="6" t="s">
        <v>3071</v>
      </c>
      <c r="C2742" s="26" t="n">
        <v>46119</v>
      </c>
      <c r="D2742" s="6" t="s">
        <v>5127</v>
      </c>
      <c r="E2742" s="6" t="s">
        <v>21</v>
      </c>
      <c r="F2742" s="6" t="n">
        <v>1</v>
      </c>
      <c r="G2742" s="10" t="n">
        <v>839</v>
      </c>
      <c r="H2742" s="10" t="n">
        <f aca="false">F2742*G2742</f>
        <v>839</v>
      </c>
      <c r="I2742" s="6" t="s">
        <v>5173</v>
      </c>
    </row>
    <row r="2743" customFormat="false" ht="15" hidden="false" customHeight="false" outlineLevel="0" collapsed="false">
      <c r="A2743" s="6" t="s">
        <v>7966</v>
      </c>
      <c r="B2743" s="6" t="s">
        <v>1397</v>
      </c>
      <c r="C2743" s="26" t="n">
        <v>46119</v>
      </c>
      <c r="D2743" s="6" t="s">
        <v>5182</v>
      </c>
      <c r="E2743" s="6" t="s">
        <v>23</v>
      </c>
      <c r="F2743" s="6" t="n">
        <v>3</v>
      </c>
      <c r="G2743" s="10" t="n">
        <v>367</v>
      </c>
      <c r="H2743" s="10" t="n">
        <f aca="false">F2743*G2743</f>
        <v>1101</v>
      </c>
      <c r="I2743" s="6" t="s">
        <v>5122</v>
      </c>
    </row>
    <row r="2744" customFormat="false" ht="15" hidden="false" customHeight="false" outlineLevel="0" collapsed="false">
      <c r="A2744" s="6" t="s">
        <v>7967</v>
      </c>
      <c r="B2744" s="6" t="s">
        <v>1153</v>
      </c>
      <c r="C2744" s="26" t="n">
        <v>46119</v>
      </c>
      <c r="D2744" s="6" t="s">
        <v>5121</v>
      </c>
      <c r="E2744" s="6" t="s">
        <v>22</v>
      </c>
      <c r="F2744" s="6" t="n">
        <v>2</v>
      </c>
      <c r="G2744" s="10" t="n">
        <v>880</v>
      </c>
      <c r="H2744" s="10" t="n">
        <f aca="false">F2744*G2744</f>
        <v>1760</v>
      </c>
      <c r="I2744" s="6" t="s">
        <v>5148</v>
      </c>
    </row>
    <row r="2745" customFormat="false" ht="15" hidden="false" customHeight="false" outlineLevel="0" collapsed="false">
      <c r="A2745" s="6" t="s">
        <v>7968</v>
      </c>
      <c r="B2745" s="6" t="s">
        <v>4611</v>
      </c>
      <c r="C2745" s="26" t="n">
        <v>46119</v>
      </c>
      <c r="D2745" s="6" t="s">
        <v>5163</v>
      </c>
      <c r="E2745" s="6" t="s">
        <v>23</v>
      </c>
      <c r="F2745" s="6" t="n">
        <v>2</v>
      </c>
      <c r="G2745" s="10" t="n">
        <v>705</v>
      </c>
      <c r="H2745" s="10" t="n">
        <f aca="false">F2745*G2745</f>
        <v>1410</v>
      </c>
      <c r="I2745" s="6" t="s">
        <v>5148</v>
      </c>
    </row>
    <row r="2746" customFormat="false" ht="15" hidden="false" customHeight="false" outlineLevel="0" collapsed="false">
      <c r="A2746" s="6" t="s">
        <v>7969</v>
      </c>
      <c r="B2746" s="6" t="s">
        <v>4405</v>
      </c>
      <c r="C2746" s="26" t="n">
        <v>46119</v>
      </c>
      <c r="D2746" s="6" t="s">
        <v>5458</v>
      </c>
      <c r="E2746" s="6" t="s">
        <v>24</v>
      </c>
      <c r="F2746" s="6" t="n">
        <v>2</v>
      </c>
      <c r="G2746" s="10" t="n">
        <v>559</v>
      </c>
      <c r="H2746" s="10" t="n">
        <f aca="false">F2746*G2746</f>
        <v>1118</v>
      </c>
      <c r="I2746" s="6" t="s">
        <v>5125</v>
      </c>
    </row>
    <row r="2747" customFormat="false" ht="15" hidden="false" customHeight="false" outlineLevel="0" collapsed="false">
      <c r="A2747" s="6" t="s">
        <v>7970</v>
      </c>
      <c r="B2747" s="6" t="s">
        <v>1555</v>
      </c>
      <c r="C2747" s="26" t="n">
        <v>46119</v>
      </c>
      <c r="D2747" s="6" t="s">
        <v>5167</v>
      </c>
      <c r="E2747" s="6" t="s">
        <v>22</v>
      </c>
      <c r="F2747" s="6" t="n">
        <v>1</v>
      </c>
      <c r="G2747" s="10" t="n">
        <v>743</v>
      </c>
      <c r="H2747" s="10" t="n">
        <f aca="false">F2747*G2747</f>
        <v>743</v>
      </c>
      <c r="I2747" s="6" t="s">
        <v>5125</v>
      </c>
    </row>
    <row r="2748" customFormat="false" ht="15" hidden="false" customHeight="false" outlineLevel="0" collapsed="false">
      <c r="A2748" s="6" t="s">
        <v>7971</v>
      </c>
      <c r="B2748" s="6" t="s">
        <v>301</v>
      </c>
      <c r="C2748" s="26" t="n">
        <v>46119</v>
      </c>
      <c r="D2748" s="6" t="s">
        <v>5167</v>
      </c>
      <c r="E2748" s="6" t="s">
        <v>22</v>
      </c>
      <c r="F2748" s="6" t="n">
        <v>3</v>
      </c>
      <c r="G2748" s="10" t="n">
        <v>703</v>
      </c>
      <c r="H2748" s="10" t="n">
        <f aca="false">F2748*G2748</f>
        <v>2109</v>
      </c>
      <c r="I2748" s="6" t="s">
        <v>5122</v>
      </c>
    </row>
    <row r="2749" customFormat="false" ht="15" hidden="false" customHeight="false" outlineLevel="0" collapsed="false">
      <c r="A2749" s="6" t="s">
        <v>7972</v>
      </c>
      <c r="B2749" s="6" t="s">
        <v>2017</v>
      </c>
      <c r="C2749" s="26" t="n">
        <v>46119</v>
      </c>
      <c r="D2749" s="6" t="s">
        <v>5522</v>
      </c>
      <c r="E2749" s="6" t="s">
        <v>21</v>
      </c>
      <c r="F2749" s="6" t="n">
        <v>1</v>
      </c>
      <c r="G2749" s="10" t="n">
        <v>12777</v>
      </c>
      <c r="H2749" s="10" t="n">
        <f aca="false">F2749*G2749</f>
        <v>12777</v>
      </c>
      <c r="I2749" s="6" t="s">
        <v>5148</v>
      </c>
    </row>
    <row r="2750" customFormat="false" ht="15" hidden="false" customHeight="false" outlineLevel="0" collapsed="false">
      <c r="A2750" s="6" t="s">
        <v>7973</v>
      </c>
      <c r="B2750" s="6" t="s">
        <v>5073</v>
      </c>
      <c r="C2750" s="26" t="n">
        <v>46119</v>
      </c>
      <c r="D2750" s="6" t="s">
        <v>5466</v>
      </c>
      <c r="E2750" s="6" t="s">
        <v>21</v>
      </c>
      <c r="F2750" s="6" t="n">
        <v>1</v>
      </c>
      <c r="G2750" s="10" t="n">
        <v>1965</v>
      </c>
      <c r="H2750" s="10" t="n">
        <f aca="false">F2750*G2750</f>
        <v>1965</v>
      </c>
      <c r="I2750" s="6" t="s">
        <v>5122</v>
      </c>
    </row>
    <row r="2751" customFormat="false" ht="15" hidden="false" customHeight="false" outlineLevel="0" collapsed="false">
      <c r="A2751" s="6" t="s">
        <v>7974</v>
      </c>
      <c r="B2751" s="6" t="s">
        <v>2741</v>
      </c>
      <c r="C2751" s="26" t="n">
        <v>46119</v>
      </c>
      <c r="D2751" s="6" t="s">
        <v>5165</v>
      </c>
      <c r="E2751" s="6" t="s">
        <v>22</v>
      </c>
      <c r="F2751" s="6" t="n">
        <v>1</v>
      </c>
      <c r="G2751" s="10" t="n">
        <v>977</v>
      </c>
      <c r="H2751" s="10" t="n">
        <f aca="false">F2751*G2751</f>
        <v>977</v>
      </c>
      <c r="I2751" s="6" t="s">
        <v>5122</v>
      </c>
    </row>
    <row r="2752" customFormat="false" ht="15" hidden="false" customHeight="false" outlineLevel="0" collapsed="false">
      <c r="A2752" s="6" t="s">
        <v>7975</v>
      </c>
      <c r="B2752" s="6" t="s">
        <v>535</v>
      </c>
      <c r="C2752" s="26" t="n">
        <v>46119</v>
      </c>
      <c r="D2752" s="6" t="s">
        <v>5305</v>
      </c>
      <c r="E2752" s="6" t="s">
        <v>20</v>
      </c>
      <c r="F2752" s="6" t="n">
        <v>2</v>
      </c>
      <c r="G2752" s="10" t="n">
        <v>1631</v>
      </c>
      <c r="H2752" s="10" t="n">
        <f aca="false">F2752*G2752</f>
        <v>3262</v>
      </c>
      <c r="I2752" s="6" t="s">
        <v>5122</v>
      </c>
    </row>
    <row r="2753" customFormat="false" ht="15" hidden="false" customHeight="false" outlineLevel="0" collapsed="false">
      <c r="A2753" s="6" t="s">
        <v>7976</v>
      </c>
      <c r="B2753" s="6" t="s">
        <v>4487</v>
      </c>
      <c r="C2753" s="26" t="n">
        <v>46119</v>
      </c>
      <c r="D2753" s="6" t="s">
        <v>5259</v>
      </c>
      <c r="E2753" s="6" t="s">
        <v>22</v>
      </c>
      <c r="F2753" s="6" t="n">
        <v>2</v>
      </c>
      <c r="G2753" s="10" t="n">
        <v>1564</v>
      </c>
      <c r="H2753" s="10" t="n">
        <f aca="false">F2753*G2753</f>
        <v>3128</v>
      </c>
      <c r="I2753" s="6" t="s">
        <v>5125</v>
      </c>
    </row>
    <row r="2754" customFormat="false" ht="15" hidden="false" customHeight="false" outlineLevel="0" collapsed="false">
      <c r="A2754" s="6" t="s">
        <v>7977</v>
      </c>
      <c r="B2754" s="6" t="s">
        <v>1805</v>
      </c>
      <c r="C2754" s="26" t="n">
        <v>46119</v>
      </c>
      <c r="D2754" s="6" t="s">
        <v>5269</v>
      </c>
      <c r="E2754" s="6" t="s">
        <v>22</v>
      </c>
      <c r="F2754" s="6" t="n">
        <v>2</v>
      </c>
      <c r="G2754" s="10" t="n">
        <v>1271</v>
      </c>
      <c r="H2754" s="10" t="n">
        <f aca="false">F2754*G2754</f>
        <v>2542</v>
      </c>
      <c r="I2754" s="6" t="s">
        <v>5122</v>
      </c>
    </row>
    <row r="2755" customFormat="false" ht="15" hidden="false" customHeight="false" outlineLevel="0" collapsed="false">
      <c r="A2755" s="6" t="s">
        <v>7978</v>
      </c>
      <c r="B2755" s="6" t="s">
        <v>3877</v>
      </c>
      <c r="C2755" s="26" t="n">
        <v>46119</v>
      </c>
      <c r="D2755" s="6" t="s">
        <v>5137</v>
      </c>
      <c r="E2755" s="6" t="s">
        <v>21</v>
      </c>
      <c r="F2755" s="6" t="n">
        <v>1</v>
      </c>
      <c r="G2755" s="10" t="n">
        <v>1680</v>
      </c>
      <c r="H2755" s="10" t="n">
        <f aca="false">F2755*G2755</f>
        <v>1680</v>
      </c>
      <c r="I2755" s="6" t="s">
        <v>5122</v>
      </c>
    </row>
    <row r="2756" customFormat="false" ht="15" hidden="false" customHeight="false" outlineLevel="0" collapsed="false">
      <c r="A2756" s="6" t="s">
        <v>7979</v>
      </c>
      <c r="B2756" s="6" t="s">
        <v>130</v>
      </c>
      <c r="C2756" s="26" t="n">
        <v>46119</v>
      </c>
      <c r="D2756" s="6" t="s">
        <v>5137</v>
      </c>
      <c r="E2756" s="6" t="s">
        <v>21</v>
      </c>
      <c r="F2756" s="6" t="n">
        <v>1</v>
      </c>
      <c r="G2756" s="10" t="n">
        <v>1768</v>
      </c>
      <c r="H2756" s="10" t="n">
        <f aca="false">F2756*G2756</f>
        <v>1768</v>
      </c>
      <c r="I2756" s="6" t="s">
        <v>5122</v>
      </c>
    </row>
    <row r="2757" customFormat="false" ht="15" hidden="false" customHeight="false" outlineLevel="0" collapsed="false">
      <c r="A2757" s="6" t="s">
        <v>7980</v>
      </c>
      <c r="B2757" s="6" t="s">
        <v>3113</v>
      </c>
      <c r="C2757" s="26" t="n">
        <v>46119</v>
      </c>
      <c r="D2757" s="6" t="s">
        <v>5129</v>
      </c>
      <c r="E2757" s="6" t="s">
        <v>21</v>
      </c>
      <c r="F2757" s="6" t="n">
        <v>1</v>
      </c>
      <c r="G2757" s="10" t="n">
        <v>589</v>
      </c>
      <c r="H2757" s="10" t="n">
        <f aca="false">F2757*G2757</f>
        <v>589</v>
      </c>
      <c r="I2757" s="6" t="s">
        <v>5122</v>
      </c>
    </row>
    <row r="2758" customFormat="false" ht="15" hidden="false" customHeight="false" outlineLevel="0" collapsed="false">
      <c r="A2758" s="6" t="s">
        <v>7981</v>
      </c>
      <c r="B2758" s="6" t="s">
        <v>366</v>
      </c>
      <c r="C2758" s="26" t="n">
        <v>46119</v>
      </c>
      <c r="D2758" s="6" t="s">
        <v>5145</v>
      </c>
      <c r="E2758" s="6" t="s">
        <v>21</v>
      </c>
      <c r="F2758" s="6" t="n">
        <v>1</v>
      </c>
      <c r="G2758" s="10" t="n">
        <v>1277</v>
      </c>
      <c r="H2758" s="10" t="n">
        <f aca="false">F2758*G2758</f>
        <v>1277</v>
      </c>
      <c r="I2758" s="6" t="s">
        <v>5122</v>
      </c>
    </row>
    <row r="2759" customFormat="false" ht="15" hidden="false" customHeight="false" outlineLevel="0" collapsed="false">
      <c r="A2759" s="6" t="s">
        <v>7982</v>
      </c>
      <c r="B2759" s="6" t="s">
        <v>1105</v>
      </c>
      <c r="C2759" s="26" t="n">
        <v>46119</v>
      </c>
      <c r="D2759" s="6" t="s">
        <v>5357</v>
      </c>
      <c r="E2759" s="6" t="s">
        <v>23</v>
      </c>
      <c r="F2759" s="6" t="n">
        <v>1</v>
      </c>
      <c r="G2759" s="10" t="n">
        <v>507</v>
      </c>
      <c r="H2759" s="10" t="n">
        <f aca="false">F2759*G2759</f>
        <v>507</v>
      </c>
      <c r="I2759" s="6" t="s">
        <v>5130</v>
      </c>
    </row>
    <row r="2760" customFormat="false" ht="15" hidden="false" customHeight="false" outlineLevel="0" collapsed="false">
      <c r="A2760" s="6" t="s">
        <v>7983</v>
      </c>
      <c r="B2760" s="6" t="s">
        <v>4267</v>
      </c>
      <c r="C2760" s="26" t="n">
        <v>46119</v>
      </c>
      <c r="D2760" s="6" t="s">
        <v>5273</v>
      </c>
      <c r="E2760" s="6" t="s">
        <v>23</v>
      </c>
      <c r="F2760" s="6" t="n">
        <v>5</v>
      </c>
      <c r="G2760" s="10" t="n">
        <v>216</v>
      </c>
      <c r="H2760" s="10" t="n">
        <f aca="false">F2760*G2760</f>
        <v>1080</v>
      </c>
      <c r="I2760" s="6" t="s">
        <v>5130</v>
      </c>
    </row>
    <row r="2761" customFormat="false" ht="15" hidden="false" customHeight="false" outlineLevel="0" collapsed="false">
      <c r="A2761" s="6" t="s">
        <v>7984</v>
      </c>
      <c r="B2761" s="6" t="s">
        <v>4643</v>
      </c>
      <c r="C2761" s="26" t="n">
        <v>46119</v>
      </c>
      <c r="D2761" s="6" t="s">
        <v>5273</v>
      </c>
      <c r="E2761" s="6" t="s">
        <v>23</v>
      </c>
      <c r="F2761" s="6" t="n">
        <v>1</v>
      </c>
      <c r="G2761" s="10" t="n">
        <v>240</v>
      </c>
      <c r="H2761" s="10" t="n">
        <f aca="false">F2761*G2761</f>
        <v>240</v>
      </c>
      <c r="I2761" s="6" t="s">
        <v>5122</v>
      </c>
    </row>
    <row r="2762" customFormat="false" ht="15" hidden="false" customHeight="false" outlineLevel="0" collapsed="false">
      <c r="A2762" s="6" t="s">
        <v>7985</v>
      </c>
      <c r="B2762" s="6" t="s">
        <v>4907</v>
      </c>
      <c r="C2762" s="26" t="n">
        <v>46120</v>
      </c>
      <c r="D2762" s="6" t="s">
        <v>5345</v>
      </c>
      <c r="E2762" s="6" t="s">
        <v>23</v>
      </c>
      <c r="F2762" s="6" t="n">
        <v>2</v>
      </c>
      <c r="G2762" s="10" t="n">
        <v>436</v>
      </c>
      <c r="H2762" s="10" t="n">
        <f aca="false">F2762*G2762</f>
        <v>872</v>
      </c>
      <c r="I2762" s="6" t="s">
        <v>5133</v>
      </c>
    </row>
    <row r="2763" customFormat="false" ht="15" hidden="false" customHeight="false" outlineLevel="0" collapsed="false">
      <c r="A2763" s="6" t="s">
        <v>7986</v>
      </c>
      <c r="B2763" s="6" t="s">
        <v>665</v>
      </c>
      <c r="C2763" s="26" t="n">
        <v>46120</v>
      </c>
      <c r="D2763" s="6" t="s">
        <v>5273</v>
      </c>
      <c r="E2763" s="6" t="s">
        <v>23</v>
      </c>
      <c r="F2763" s="6" t="n">
        <v>1</v>
      </c>
      <c r="G2763" s="10" t="n">
        <v>240</v>
      </c>
      <c r="H2763" s="10" t="n">
        <f aca="false">F2763*G2763</f>
        <v>240</v>
      </c>
      <c r="I2763" s="6" t="s">
        <v>5122</v>
      </c>
    </row>
    <row r="2764" customFormat="false" ht="15" hidden="false" customHeight="false" outlineLevel="0" collapsed="false">
      <c r="A2764" s="6" t="s">
        <v>7987</v>
      </c>
      <c r="B2764" s="6" t="s">
        <v>3169</v>
      </c>
      <c r="C2764" s="26" t="n">
        <v>46120</v>
      </c>
      <c r="D2764" s="6" t="s">
        <v>5171</v>
      </c>
      <c r="E2764" s="6" t="s">
        <v>23</v>
      </c>
      <c r="F2764" s="6" t="n">
        <v>1</v>
      </c>
      <c r="G2764" s="10" t="n">
        <v>734</v>
      </c>
      <c r="H2764" s="10" t="n">
        <f aca="false">F2764*G2764</f>
        <v>734</v>
      </c>
      <c r="I2764" s="6" t="s">
        <v>5133</v>
      </c>
    </row>
    <row r="2765" customFormat="false" ht="15" hidden="false" customHeight="false" outlineLevel="0" collapsed="false">
      <c r="A2765" s="6" t="s">
        <v>7988</v>
      </c>
      <c r="B2765" s="6" t="s">
        <v>5009</v>
      </c>
      <c r="C2765" s="26" t="n">
        <v>46120</v>
      </c>
      <c r="D2765" s="6" t="s">
        <v>5154</v>
      </c>
      <c r="E2765" s="6" t="s">
        <v>21</v>
      </c>
      <c r="F2765" s="6" t="n">
        <v>1</v>
      </c>
      <c r="G2765" s="10" t="n">
        <v>785</v>
      </c>
      <c r="H2765" s="10" t="n">
        <f aca="false">F2765*G2765</f>
        <v>785</v>
      </c>
      <c r="I2765" s="6" t="s">
        <v>5125</v>
      </c>
    </row>
    <row r="2766" customFormat="false" ht="15" hidden="false" customHeight="false" outlineLevel="0" collapsed="false">
      <c r="A2766" s="6" t="s">
        <v>7989</v>
      </c>
      <c r="B2766" s="6" t="s">
        <v>3501</v>
      </c>
      <c r="C2766" s="26" t="n">
        <v>46120</v>
      </c>
      <c r="D2766" s="6" t="s">
        <v>5129</v>
      </c>
      <c r="E2766" s="6" t="s">
        <v>21</v>
      </c>
      <c r="F2766" s="6" t="n">
        <v>1</v>
      </c>
      <c r="G2766" s="10" t="n">
        <v>589</v>
      </c>
      <c r="H2766" s="10" t="n">
        <f aca="false">F2766*G2766</f>
        <v>589</v>
      </c>
      <c r="I2766" s="6" t="s">
        <v>5122</v>
      </c>
    </row>
    <row r="2767" customFormat="false" ht="15" hidden="false" customHeight="false" outlineLevel="0" collapsed="false">
      <c r="A2767" s="6" t="s">
        <v>7990</v>
      </c>
      <c r="B2767" s="6" t="s">
        <v>2909</v>
      </c>
      <c r="C2767" s="26" t="n">
        <v>46120</v>
      </c>
      <c r="D2767" s="6" t="s">
        <v>5220</v>
      </c>
      <c r="E2767" s="6" t="s">
        <v>24</v>
      </c>
      <c r="F2767" s="6" t="n">
        <v>2</v>
      </c>
      <c r="G2767" s="10" t="n">
        <v>1120</v>
      </c>
      <c r="H2767" s="10" t="n">
        <f aca="false">F2767*G2767</f>
        <v>2240</v>
      </c>
      <c r="I2767" s="6" t="s">
        <v>5148</v>
      </c>
    </row>
    <row r="2768" customFormat="false" ht="15" hidden="false" customHeight="false" outlineLevel="0" collapsed="false">
      <c r="A2768" s="6" t="s">
        <v>7991</v>
      </c>
      <c r="B2768" s="6" t="s">
        <v>1369</v>
      </c>
      <c r="C2768" s="26" t="n">
        <v>46120</v>
      </c>
      <c r="D2768" s="6" t="s">
        <v>5167</v>
      </c>
      <c r="E2768" s="6" t="s">
        <v>22</v>
      </c>
      <c r="F2768" s="6" t="n">
        <v>1</v>
      </c>
      <c r="G2768" s="10" t="n">
        <v>743</v>
      </c>
      <c r="H2768" s="10" t="n">
        <f aca="false">F2768*G2768</f>
        <v>743</v>
      </c>
      <c r="I2768" s="6" t="s">
        <v>5133</v>
      </c>
    </row>
    <row r="2769" customFormat="false" ht="15" hidden="false" customHeight="false" outlineLevel="0" collapsed="false">
      <c r="A2769" s="6" t="s">
        <v>7992</v>
      </c>
      <c r="B2769" s="6" t="s">
        <v>4307</v>
      </c>
      <c r="C2769" s="26" t="n">
        <v>46120</v>
      </c>
      <c r="D2769" s="6" t="s">
        <v>5182</v>
      </c>
      <c r="E2769" s="6" t="s">
        <v>23</v>
      </c>
      <c r="F2769" s="6" t="n">
        <v>3</v>
      </c>
      <c r="G2769" s="10" t="n">
        <v>349</v>
      </c>
      <c r="H2769" s="10" t="n">
        <f aca="false">F2769*G2769</f>
        <v>1047</v>
      </c>
      <c r="I2769" s="6" t="s">
        <v>5122</v>
      </c>
    </row>
    <row r="2770" customFormat="false" ht="15" hidden="false" customHeight="false" outlineLevel="0" collapsed="false">
      <c r="A2770" s="6" t="s">
        <v>7993</v>
      </c>
      <c r="B2770" s="6" t="s">
        <v>408</v>
      </c>
      <c r="C2770" s="26" t="n">
        <v>46120</v>
      </c>
      <c r="D2770" s="6" t="s">
        <v>5482</v>
      </c>
      <c r="E2770" s="6" t="s">
        <v>23</v>
      </c>
      <c r="F2770" s="6" t="n">
        <v>5</v>
      </c>
      <c r="G2770" s="10" t="n">
        <v>269</v>
      </c>
      <c r="H2770" s="10" t="n">
        <f aca="false">F2770*G2770</f>
        <v>1345</v>
      </c>
      <c r="I2770" s="6" t="s">
        <v>5130</v>
      </c>
    </row>
    <row r="2771" customFormat="false" ht="15" hidden="false" customHeight="false" outlineLevel="0" collapsed="false">
      <c r="A2771" s="6" t="s">
        <v>7994</v>
      </c>
      <c r="B2771" s="6" t="s">
        <v>5015</v>
      </c>
      <c r="C2771" s="26" t="n">
        <v>46120</v>
      </c>
      <c r="D2771" s="6" t="s">
        <v>5160</v>
      </c>
      <c r="E2771" s="6" t="s">
        <v>21</v>
      </c>
      <c r="F2771" s="6" t="n">
        <v>1</v>
      </c>
      <c r="G2771" s="10" t="n">
        <v>2751</v>
      </c>
      <c r="H2771" s="10" t="n">
        <f aca="false">F2771*G2771</f>
        <v>2751</v>
      </c>
      <c r="I2771" s="6" t="s">
        <v>5148</v>
      </c>
    </row>
    <row r="2772" customFormat="false" ht="15" hidden="false" customHeight="false" outlineLevel="0" collapsed="false">
      <c r="A2772" s="6" t="s">
        <v>7995</v>
      </c>
      <c r="B2772" s="6" t="s">
        <v>3387</v>
      </c>
      <c r="C2772" s="26" t="n">
        <v>46120</v>
      </c>
      <c r="D2772" s="6" t="s">
        <v>5216</v>
      </c>
      <c r="E2772" s="6" t="s">
        <v>23</v>
      </c>
      <c r="F2772" s="6" t="n">
        <v>1</v>
      </c>
      <c r="G2772" s="10" t="n">
        <v>528</v>
      </c>
      <c r="H2772" s="10" t="n">
        <f aca="false">F2772*G2772</f>
        <v>528</v>
      </c>
      <c r="I2772" s="6" t="s">
        <v>5122</v>
      </c>
    </row>
    <row r="2773" customFormat="false" ht="15" hidden="false" customHeight="false" outlineLevel="0" collapsed="false">
      <c r="A2773" s="6" t="s">
        <v>7996</v>
      </c>
      <c r="B2773" s="6" t="s">
        <v>3613</v>
      </c>
      <c r="C2773" s="26" t="n">
        <v>46120</v>
      </c>
      <c r="D2773" s="6" t="s">
        <v>5185</v>
      </c>
      <c r="E2773" s="6" t="s">
        <v>24</v>
      </c>
      <c r="F2773" s="6" t="n">
        <v>1</v>
      </c>
      <c r="G2773" s="10" t="n">
        <v>2033</v>
      </c>
      <c r="H2773" s="10" t="n">
        <f aca="false">F2773*G2773</f>
        <v>2033</v>
      </c>
      <c r="I2773" s="6" t="s">
        <v>5125</v>
      </c>
    </row>
    <row r="2774" customFormat="false" ht="15" hidden="false" customHeight="false" outlineLevel="0" collapsed="false">
      <c r="A2774" s="6" t="s">
        <v>7997</v>
      </c>
      <c r="B2774" s="6" t="s">
        <v>1591</v>
      </c>
      <c r="C2774" s="26" t="n">
        <v>46120</v>
      </c>
      <c r="D2774" s="6" t="s">
        <v>5197</v>
      </c>
      <c r="E2774" s="6" t="s">
        <v>21</v>
      </c>
      <c r="F2774" s="6" t="n">
        <v>3</v>
      </c>
      <c r="G2774" s="10" t="n">
        <v>972</v>
      </c>
      <c r="H2774" s="10" t="n">
        <f aca="false">F2774*G2774</f>
        <v>2916</v>
      </c>
      <c r="I2774" s="6" t="s">
        <v>5122</v>
      </c>
    </row>
    <row r="2775" customFormat="false" ht="15" hidden="false" customHeight="false" outlineLevel="0" collapsed="false">
      <c r="A2775" s="6" t="s">
        <v>7998</v>
      </c>
      <c r="B2775" s="6" t="s">
        <v>130</v>
      </c>
      <c r="C2775" s="26" t="n">
        <v>46120</v>
      </c>
      <c r="D2775" s="6" t="s">
        <v>5171</v>
      </c>
      <c r="E2775" s="6" t="s">
        <v>23</v>
      </c>
      <c r="F2775" s="6" t="n">
        <v>3</v>
      </c>
      <c r="G2775" s="10" t="n">
        <v>734</v>
      </c>
      <c r="H2775" s="10" t="n">
        <f aca="false">F2775*G2775</f>
        <v>2202</v>
      </c>
      <c r="I2775" s="6" t="s">
        <v>5173</v>
      </c>
    </row>
    <row r="2776" customFormat="false" ht="15" hidden="false" customHeight="false" outlineLevel="0" collapsed="false">
      <c r="A2776" s="6" t="s">
        <v>7999</v>
      </c>
      <c r="B2776" s="6" t="s">
        <v>2017</v>
      </c>
      <c r="C2776" s="26" t="n">
        <v>46120</v>
      </c>
      <c r="D2776" s="6" t="s">
        <v>5167</v>
      </c>
      <c r="E2776" s="6" t="s">
        <v>22</v>
      </c>
      <c r="F2776" s="6" t="n">
        <v>1</v>
      </c>
      <c r="G2776" s="10" t="n">
        <v>743</v>
      </c>
      <c r="H2776" s="10" t="n">
        <f aca="false">F2776*G2776</f>
        <v>743</v>
      </c>
      <c r="I2776" s="6" t="s">
        <v>5130</v>
      </c>
    </row>
    <row r="2777" customFormat="false" ht="15" hidden="false" customHeight="false" outlineLevel="0" collapsed="false">
      <c r="A2777" s="6" t="s">
        <v>8000</v>
      </c>
      <c r="B2777" s="6" t="s">
        <v>265</v>
      </c>
      <c r="C2777" s="26" t="n">
        <v>46120</v>
      </c>
      <c r="D2777" s="6" t="s">
        <v>5202</v>
      </c>
      <c r="E2777" s="6" t="s">
        <v>23</v>
      </c>
      <c r="F2777" s="6" t="n">
        <v>3</v>
      </c>
      <c r="G2777" s="10" t="n">
        <v>245</v>
      </c>
      <c r="H2777" s="10" t="n">
        <f aca="false">F2777*G2777</f>
        <v>735</v>
      </c>
      <c r="I2777" s="6" t="s">
        <v>5173</v>
      </c>
    </row>
    <row r="2778" customFormat="false" ht="15" hidden="false" customHeight="false" outlineLevel="0" collapsed="false">
      <c r="A2778" s="6" t="s">
        <v>8001</v>
      </c>
      <c r="B2778" s="6" t="s">
        <v>957</v>
      </c>
      <c r="C2778" s="26" t="n">
        <v>46120</v>
      </c>
      <c r="D2778" s="6" t="s">
        <v>5353</v>
      </c>
      <c r="E2778" s="6" t="s">
        <v>24</v>
      </c>
      <c r="F2778" s="6" t="n">
        <v>2</v>
      </c>
      <c r="G2778" s="10" t="n">
        <v>1466</v>
      </c>
      <c r="H2778" s="10" t="n">
        <f aca="false">F2778*G2778</f>
        <v>2932</v>
      </c>
      <c r="I2778" s="6" t="s">
        <v>5122</v>
      </c>
    </row>
    <row r="2779" customFormat="false" ht="15" hidden="false" customHeight="false" outlineLevel="0" collapsed="false">
      <c r="A2779" s="6" t="s">
        <v>8002</v>
      </c>
      <c r="B2779" s="6" t="s">
        <v>1127</v>
      </c>
      <c r="C2779" s="26" t="n">
        <v>46120</v>
      </c>
      <c r="D2779" s="6" t="s">
        <v>5121</v>
      </c>
      <c r="E2779" s="6" t="s">
        <v>22</v>
      </c>
      <c r="F2779" s="6" t="n">
        <v>1</v>
      </c>
      <c r="G2779" s="10" t="n">
        <v>928</v>
      </c>
      <c r="H2779" s="10" t="n">
        <f aca="false">F2779*G2779</f>
        <v>928</v>
      </c>
      <c r="I2779" s="6" t="s">
        <v>5122</v>
      </c>
    </row>
    <row r="2780" customFormat="false" ht="15" hidden="false" customHeight="false" outlineLevel="0" collapsed="false">
      <c r="A2780" s="6" t="s">
        <v>8003</v>
      </c>
      <c r="B2780" s="6" t="s">
        <v>4859</v>
      </c>
      <c r="C2780" s="26" t="n">
        <v>46120</v>
      </c>
      <c r="D2780" s="6" t="s">
        <v>5345</v>
      </c>
      <c r="E2780" s="6" t="s">
        <v>23</v>
      </c>
      <c r="F2780" s="6" t="n">
        <v>1</v>
      </c>
      <c r="G2780" s="10" t="n">
        <v>436</v>
      </c>
      <c r="H2780" s="10" t="n">
        <f aca="false">F2780*G2780</f>
        <v>436</v>
      </c>
      <c r="I2780" s="6" t="s">
        <v>5125</v>
      </c>
    </row>
    <row r="2781" customFormat="false" ht="15" hidden="false" customHeight="false" outlineLevel="0" collapsed="false">
      <c r="A2781" s="6" t="s">
        <v>8004</v>
      </c>
      <c r="B2781" s="6" t="s">
        <v>3971</v>
      </c>
      <c r="C2781" s="26" t="n">
        <v>46120</v>
      </c>
      <c r="D2781" s="6" t="s">
        <v>5167</v>
      </c>
      <c r="E2781" s="6" t="s">
        <v>22</v>
      </c>
      <c r="F2781" s="6" t="n">
        <v>3</v>
      </c>
      <c r="G2781" s="10" t="n">
        <v>782</v>
      </c>
      <c r="H2781" s="10" t="n">
        <f aca="false">F2781*G2781</f>
        <v>2346</v>
      </c>
      <c r="I2781" s="6" t="s">
        <v>5130</v>
      </c>
    </row>
    <row r="2782" customFormat="false" ht="15" hidden="false" customHeight="false" outlineLevel="0" collapsed="false">
      <c r="A2782" s="6" t="s">
        <v>8005</v>
      </c>
      <c r="B2782" s="6" t="s">
        <v>2505</v>
      </c>
      <c r="C2782" s="26" t="n">
        <v>46120</v>
      </c>
      <c r="D2782" s="6" t="s">
        <v>5121</v>
      </c>
      <c r="E2782" s="6" t="s">
        <v>22</v>
      </c>
      <c r="F2782" s="6" t="n">
        <v>1</v>
      </c>
      <c r="G2782" s="10" t="n">
        <v>977</v>
      </c>
      <c r="H2782" s="10" t="n">
        <f aca="false">F2782*G2782</f>
        <v>977</v>
      </c>
      <c r="I2782" s="6" t="s">
        <v>5122</v>
      </c>
    </row>
    <row r="2783" customFormat="false" ht="15" hidden="false" customHeight="false" outlineLevel="0" collapsed="false">
      <c r="A2783" s="6" t="s">
        <v>8006</v>
      </c>
      <c r="B2783" s="6" t="s">
        <v>1243</v>
      </c>
      <c r="C2783" s="26" t="n">
        <v>46120</v>
      </c>
      <c r="D2783" s="6" t="s">
        <v>5687</v>
      </c>
      <c r="E2783" s="6" t="s">
        <v>20</v>
      </c>
      <c r="F2783" s="6" t="n">
        <v>1</v>
      </c>
      <c r="G2783" s="10" t="n">
        <v>1835</v>
      </c>
      <c r="H2783" s="10" t="n">
        <f aca="false">F2783*G2783</f>
        <v>1835</v>
      </c>
      <c r="I2783" s="6" t="s">
        <v>5130</v>
      </c>
    </row>
    <row r="2784" customFormat="false" ht="15" hidden="false" customHeight="false" outlineLevel="0" collapsed="false">
      <c r="A2784" s="6" t="s">
        <v>8007</v>
      </c>
      <c r="B2784" s="6" t="s">
        <v>1567</v>
      </c>
      <c r="C2784" s="26" t="n">
        <v>46120</v>
      </c>
      <c r="D2784" s="6" t="s">
        <v>5522</v>
      </c>
      <c r="E2784" s="6" t="s">
        <v>21</v>
      </c>
      <c r="F2784" s="6" t="n">
        <v>1</v>
      </c>
      <c r="G2784" s="10" t="n">
        <v>12139</v>
      </c>
      <c r="H2784" s="10" t="n">
        <f aca="false">F2784*G2784</f>
        <v>12139</v>
      </c>
      <c r="I2784" s="6" t="s">
        <v>5125</v>
      </c>
    </row>
    <row r="2785" customFormat="false" ht="15" hidden="false" customHeight="false" outlineLevel="0" collapsed="false">
      <c r="A2785" s="6" t="s">
        <v>8008</v>
      </c>
      <c r="B2785" s="6" t="s">
        <v>803</v>
      </c>
      <c r="C2785" s="26" t="n">
        <v>46120</v>
      </c>
      <c r="D2785" s="6" t="s">
        <v>5235</v>
      </c>
      <c r="E2785" s="6" t="s">
        <v>21</v>
      </c>
      <c r="F2785" s="6" t="n">
        <v>1</v>
      </c>
      <c r="G2785" s="10" t="n">
        <v>1670</v>
      </c>
      <c r="H2785" s="10" t="n">
        <f aca="false">F2785*G2785</f>
        <v>1670</v>
      </c>
      <c r="I2785" s="6" t="s">
        <v>5125</v>
      </c>
    </row>
    <row r="2786" customFormat="false" ht="15" hidden="false" customHeight="false" outlineLevel="0" collapsed="false">
      <c r="A2786" s="6" t="s">
        <v>8009</v>
      </c>
      <c r="B2786" s="6" t="s">
        <v>2527</v>
      </c>
      <c r="C2786" s="26" t="n">
        <v>46120</v>
      </c>
      <c r="D2786" s="6" t="s">
        <v>5458</v>
      </c>
      <c r="E2786" s="6" t="s">
        <v>24</v>
      </c>
      <c r="F2786" s="6" t="n">
        <v>1</v>
      </c>
      <c r="G2786" s="10" t="n">
        <v>559</v>
      </c>
      <c r="H2786" s="10" t="n">
        <f aca="false">F2786*G2786</f>
        <v>559</v>
      </c>
      <c r="I2786" s="6" t="s">
        <v>5122</v>
      </c>
    </row>
    <row r="2787" customFormat="false" ht="15" hidden="false" customHeight="false" outlineLevel="0" collapsed="false">
      <c r="A2787" s="6" t="s">
        <v>8010</v>
      </c>
      <c r="B2787" s="6" t="s">
        <v>3351</v>
      </c>
      <c r="C2787" s="26" t="n">
        <v>46120</v>
      </c>
      <c r="D2787" s="6" t="s">
        <v>5242</v>
      </c>
      <c r="E2787" s="6" t="s">
        <v>23</v>
      </c>
      <c r="F2787" s="6" t="n">
        <v>4</v>
      </c>
      <c r="G2787" s="10" t="n">
        <v>372</v>
      </c>
      <c r="H2787" s="10" t="n">
        <f aca="false">F2787*G2787</f>
        <v>1488</v>
      </c>
      <c r="I2787" s="6" t="s">
        <v>5122</v>
      </c>
    </row>
    <row r="2788" customFormat="false" ht="15" hidden="false" customHeight="false" outlineLevel="0" collapsed="false">
      <c r="A2788" s="6" t="s">
        <v>8011</v>
      </c>
      <c r="B2788" s="6" t="s">
        <v>2433</v>
      </c>
      <c r="C2788" s="26" t="n">
        <v>46120</v>
      </c>
      <c r="D2788" s="6" t="s">
        <v>5298</v>
      </c>
      <c r="E2788" s="6" t="s">
        <v>23</v>
      </c>
      <c r="F2788" s="6" t="n">
        <v>2</v>
      </c>
      <c r="G2788" s="10" t="n">
        <v>293</v>
      </c>
      <c r="H2788" s="10" t="n">
        <f aca="false">F2788*G2788</f>
        <v>586</v>
      </c>
      <c r="I2788" s="6" t="s">
        <v>5130</v>
      </c>
    </row>
    <row r="2789" customFormat="false" ht="15" hidden="false" customHeight="false" outlineLevel="0" collapsed="false">
      <c r="A2789" s="6" t="s">
        <v>8012</v>
      </c>
      <c r="B2789" s="6" t="s">
        <v>3329</v>
      </c>
      <c r="C2789" s="26" t="n">
        <v>46120</v>
      </c>
      <c r="D2789" s="6" t="s">
        <v>5185</v>
      </c>
      <c r="E2789" s="6" t="s">
        <v>24</v>
      </c>
      <c r="F2789" s="6" t="n">
        <v>2</v>
      </c>
      <c r="G2789" s="10" t="n">
        <v>1926</v>
      </c>
      <c r="H2789" s="10" t="n">
        <f aca="false">F2789*G2789</f>
        <v>3852</v>
      </c>
      <c r="I2789" s="6" t="s">
        <v>5148</v>
      </c>
    </row>
    <row r="2790" customFormat="false" ht="15" hidden="false" customHeight="false" outlineLevel="0" collapsed="false">
      <c r="A2790" s="6" t="s">
        <v>8013</v>
      </c>
      <c r="B2790" s="6" t="s">
        <v>513</v>
      </c>
      <c r="C2790" s="26" t="n">
        <v>46120</v>
      </c>
      <c r="D2790" s="6" t="s">
        <v>5339</v>
      </c>
      <c r="E2790" s="6" t="s">
        <v>24</v>
      </c>
      <c r="F2790" s="6" t="n">
        <v>2</v>
      </c>
      <c r="G2790" s="10" t="n">
        <v>508</v>
      </c>
      <c r="H2790" s="10" t="n">
        <f aca="false">F2790*G2790</f>
        <v>1016</v>
      </c>
      <c r="I2790" s="6" t="s">
        <v>5148</v>
      </c>
    </row>
    <row r="2791" customFormat="false" ht="15" hidden="false" customHeight="false" outlineLevel="0" collapsed="false">
      <c r="A2791" s="6" t="s">
        <v>8014</v>
      </c>
      <c r="B2791" s="6" t="s">
        <v>491</v>
      </c>
      <c r="C2791" s="26" t="n">
        <v>46120</v>
      </c>
      <c r="D2791" s="6" t="s">
        <v>5235</v>
      </c>
      <c r="E2791" s="6" t="s">
        <v>21</v>
      </c>
      <c r="F2791" s="6" t="n">
        <v>1</v>
      </c>
      <c r="G2791" s="10" t="n">
        <v>1670</v>
      </c>
      <c r="H2791" s="10" t="n">
        <f aca="false">F2791*G2791</f>
        <v>1670</v>
      </c>
      <c r="I2791" s="6" t="s">
        <v>5173</v>
      </c>
    </row>
    <row r="2792" customFormat="false" ht="15" hidden="false" customHeight="false" outlineLevel="0" collapsed="false">
      <c r="A2792" s="6" t="s">
        <v>8015</v>
      </c>
      <c r="B2792" s="6" t="s">
        <v>2487</v>
      </c>
      <c r="C2792" s="26" t="n">
        <v>46120</v>
      </c>
      <c r="D2792" s="6" t="s">
        <v>5139</v>
      </c>
      <c r="E2792" s="6" t="s">
        <v>23</v>
      </c>
      <c r="F2792" s="6" t="n">
        <v>3</v>
      </c>
      <c r="G2792" s="10" t="n">
        <v>279</v>
      </c>
      <c r="H2792" s="10" t="n">
        <f aca="false">F2792*G2792</f>
        <v>837</v>
      </c>
      <c r="I2792" s="6" t="s">
        <v>5130</v>
      </c>
    </row>
    <row r="2793" customFormat="false" ht="15" hidden="false" customHeight="false" outlineLevel="0" collapsed="false">
      <c r="A2793" s="6" t="s">
        <v>8016</v>
      </c>
      <c r="B2793" s="6" t="s">
        <v>4305</v>
      </c>
      <c r="C2793" s="26" t="n">
        <v>46120</v>
      </c>
      <c r="D2793" s="6" t="s">
        <v>5423</v>
      </c>
      <c r="E2793" s="6" t="s">
        <v>21</v>
      </c>
      <c r="F2793" s="6" t="n">
        <v>2</v>
      </c>
      <c r="G2793" s="10" t="n">
        <v>3243</v>
      </c>
      <c r="H2793" s="10" t="n">
        <f aca="false">F2793*G2793</f>
        <v>6486</v>
      </c>
      <c r="I2793" s="6" t="s">
        <v>5148</v>
      </c>
    </row>
    <row r="2794" customFormat="false" ht="15" hidden="false" customHeight="false" outlineLevel="0" collapsed="false">
      <c r="A2794" s="6" t="s">
        <v>8017</v>
      </c>
      <c r="B2794" s="6" t="s">
        <v>1217</v>
      </c>
      <c r="C2794" s="26" t="n">
        <v>46120</v>
      </c>
      <c r="D2794" s="6" t="s">
        <v>5175</v>
      </c>
      <c r="E2794" s="6" t="s">
        <v>24</v>
      </c>
      <c r="F2794" s="6" t="n">
        <v>3</v>
      </c>
      <c r="G2794" s="10" t="n">
        <v>610</v>
      </c>
      <c r="H2794" s="10" t="n">
        <f aca="false">F2794*G2794</f>
        <v>1830</v>
      </c>
      <c r="I2794" s="6" t="s">
        <v>5122</v>
      </c>
    </row>
    <row r="2795" customFormat="false" ht="15" hidden="false" customHeight="false" outlineLevel="0" collapsed="false">
      <c r="A2795" s="6" t="s">
        <v>8018</v>
      </c>
      <c r="B2795" s="6" t="s">
        <v>3153</v>
      </c>
      <c r="C2795" s="26" t="n">
        <v>46120</v>
      </c>
      <c r="D2795" s="6" t="s">
        <v>5163</v>
      </c>
      <c r="E2795" s="6" t="s">
        <v>23</v>
      </c>
      <c r="F2795" s="6" t="n">
        <v>2</v>
      </c>
      <c r="G2795" s="10" t="n">
        <v>783</v>
      </c>
      <c r="H2795" s="10" t="n">
        <f aca="false">F2795*G2795</f>
        <v>1566</v>
      </c>
      <c r="I2795" s="6" t="s">
        <v>5122</v>
      </c>
    </row>
    <row r="2796" customFormat="false" ht="15" hidden="false" customHeight="false" outlineLevel="0" collapsed="false">
      <c r="A2796" s="6" t="s">
        <v>8019</v>
      </c>
      <c r="B2796" s="6" t="s">
        <v>3603</v>
      </c>
      <c r="C2796" s="26" t="n">
        <v>46120</v>
      </c>
      <c r="D2796" s="6" t="s">
        <v>5345</v>
      </c>
      <c r="E2796" s="6" t="s">
        <v>23</v>
      </c>
      <c r="F2796" s="6" t="n">
        <v>3</v>
      </c>
      <c r="G2796" s="10" t="n">
        <v>392</v>
      </c>
      <c r="H2796" s="10" t="n">
        <f aca="false">F2796*G2796</f>
        <v>1176</v>
      </c>
      <c r="I2796" s="6" t="s">
        <v>5148</v>
      </c>
    </row>
    <row r="2797" customFormat="false" ht="15" hidden="false" customHeight="false" outlineLevel="0" collapsed="false">
      <c r="A2797" s="6" t="s">
        <v>8020</v>
      </c>
      <c r="B2797" s="6" t="s">
        <v>3087</v>
      </c>
      <c r="C2797" s="26" t="n">
        <v>46120</v>
      </c>
      <c r="D2797" s="6" t="s">
        <v>5691</v>
      </c>
      <c r="E2797" s="6" t="s">
        <v>21</v>
      </c>
      <c r="F2797" s="6" t="n">
        <v>1</v>
      </c>
      <c r="G2797" s="10" t="n">
        <v>5897</v>
      </c>
      <c r="H2797" s="10" t="n">
        <f aca="false">F2797*G2797</f>
        <v>5897</v>
      </c>
      <c r="I2797" s="6" t="s">
        <v>5173</v>
      </c>
    </row>
    <row r="2798" customFormat="false" ht="15" hidden="false" customHeight="false" outlineLevel="0" collapsed="false">
      <c r="A2798" s="6" t="s">
        <v>8021</v>
      </c>
      <c r="B2798" s="6" t="s">
        <v>3449</v>
      </c>
      <c r="C2798" s="26" t="n">
        <v>46121</v>
      </c>
      <c r="D2798" s="6" t="s">
        <v>5171</v>
      </c>
      <c r="E2798" s="6" t="s">
        <v>23</v>
      </c>
      <c r="F2798" s="6" t="n">
        <v>4</v>
      </c>
      <c r="G2798" s="10" t="n">
        <v>734</v>
      </c>
      <c r="H2798" s="10" t="n">
        <f aca="false">F2798*G2798</f>
        <v>2936</v>
      </c>
      <c r="I2798" s="6" t="s">
        <v>5130</v>
      </c>
    </row>
    <row r="2799" customFormat="false" ht="15" hidden="false" customHeight="false" outlineLevel="0" collapsed="false">
      <c r="A2799" s="6" t="s">
        <v>8022</v>
      </c>
      <c r="B2799" s="6" t="s">
        <v>4925</v>
      </c>
      <c r="C2799" s="26" t="n">
        <v>46121</v>
      </c>
      <c r="D2799" s="6" t="s">
        <v>5154</v>
      </c>
      <c r="E2799" s="6" t="s">
        <v>21</v>
      </c>
      <c r="F2799" s="6" t="n">
        <v>1</v>
      </c>
      <c r="G2799" s="10" t="n">
        <v>785</v>
      </c>
      <c r="H2799" s="10" t="n">
        <f aca="false">F2799*G2799</f>
        <v>785</v>
      </c>
      <c r="I2799" s="6" t="s">
        <v>5148</v>
      </c>
    </row>
    <row r="2800" customFormat="false" ht="15" hidden="false" customHeight="false" outlineLevel="0" collapsed="false">
      <c r="A2800" s="6" t="s">
        <v>8023</v>
      </c>
      <c r="B2800" s="6" t="s">
        <v>2123</v>
      </c>
      <c r="C2800" s="26" t="n">
        <v>46121</v>
      </c>
      <c r="D2800" s="6" t="s">
        <v>5182</v>
      </c>
      <c r="E2800" s="6" t="s">
        <v>23</v>
      </c>
      <c r="F2800" s="6" t="n">
        <v>3</v>
      </c>
      <c r="G2800" s="10" t="n">
        <v>367</v>
      </c>
      <c r="H2800" s="10" t="n">
        <f aca="false">F2800*G2800</f>
        <v>1101</v>
      </c>
      <c r="I2800" s="6" t="s">
        <v>5122</v>
      </c>
    </row>
    <row r="2801" customFormat="false" ht="15" hidden="false" customHeight="false" outlineLevel="0" collapsed="false">
      <c r="A2801" s="6" t="s">
        <v>8024</v>
      </c>
      <c r="B2801" s="6" t="s">
        <v>2863</v>
      </c>
      <c r="C2801" s="26" t="n">
        <v>46121</v>
      </c>
      <c r="D2801" s="6" t="s">
        <v>5197</v>
      </c>
      <c r="E2801" s="6" t="s">
        <v>21</v>
      </c>
      <c r="F2801" s="6" t="n">
        <v>1</v>
      </c>
      <c r="G2801" s="10" t="n">
        <v>1080</v>
      </c>
      <c r="H2801" s="10" t="n">
        <f aca="false">F2801*G2801</f>
        <v>1080</v>
      </c>
      <c r="I2801" s="6" t="s">
        <v>5148</v>
      </c>
    </row>
    <row r="2802" customFormat="false" ht="15" hidden="false" customHeight="false" outlineLevel="0" collapsed="false">
      <c r="A2802" s="6" t="s">
        <v>8025</v>
      </c>
      <c r="B2802" s="6" t="s">
        <v>1577</v>
      </c>
      <c r="C2802" s="26" t="n">
        <v>46121</v>
      </c>
      <c r="D2802" s="6" t="s">
        <v>5482</v>
      </c>
      <c r="E2802" s="6" t="s">
        <v>23</v>
      </c>
      <c r="F2802" s="6" t="n">
        <v>3</v>
      </c>
      <c r="G2802" s="10" t="n">
        <v>269</v>
      </c>
      <c r="H2802" s="10" t="n">
        <f aca="false">F2802*G2802</f>
        <v>807</v>
      </c>
      <c r="I2802" s="6" t="s">
        <v>5122</v>
      </c>
    </row>
    <row r="2803" customFormat="false" ht="15" hidden="false" customHeight="false" outlineLevel="0" collapsed="false">
      <c r="A2803" s="6" t="s">
        <v>8026</v>
      </c>
      <c r="B2803" s="6" t="s">
        <v>1039</v>
      </c>
      <c r="C2803" s="26" t="n">
        <v>46121</v>
      </c>
      <c r="D2803" s="6" t="s">
        <v>5318</v>
      </c>
      <c r="E2803" s="6" t="s">
        <v>20</v>
      </c>
      <c r="F2803" s="6" t="n">
        <v>2</v>
      </c>
      <c r="G2803" s="10" t="n">
        <v>1529</v>
      </c>
      <c r="H2803" s="10" t="n">
        <f aca="false">F2803*G2803</f>
        <v>3058</v>
      </c>
      <c r="I2803" s="6" t="s">
        <v>5148</v>
      </c>
    </row>
    <row r="2804" customFormat="false" ht="15" hidden="false" customHeight="false" outlineLevel="0" collapsed="false">
      <c r="A2804" s="6" t="s">
        <v>8027</v>
      </c>
      <c r="B2804" s="6" t="s">
        <v>2431</v>
      </c>
      <c r="C2804" s="26" t="n">
        <v>46121</v>
      </c>
      <c r="D2804" s="6" t="s">
        <v>5273</v>
      </c>
      <c r="E2804" s="6" t="s">
        <v>23</v>
      </c>
      <c r="F2804" s="6" t="n">
        <v>4</v>
      </c>
      <c r="G2804" s="10" t="n">
        <v>240</v>
      </c>
      <c r="H2804" s="10" t="n">
        <f aca="false">F2804*G2804</f>
        <v>960</v>
      </c>
      <c r="I2804" s="6" t="s">
        <v>5148</v>
      </c>
    </row>
    <row r="2805" customFormat="false" ht="15" hidden="false" customHeight="false" outlineLevel="0" collapsed="false">
      <c r="A2805" s="6" t="s">
        <v>8028</v>
      </c>
      <c r="B2805" s="6" t="s">
        <v>2347</v>
      </c>
      <c r="C2805" s="26" t="n">
        <v>46121</v>
      </c>
      <c r="D2805" s="6" t="s">
        <v>5269</v>
      </c>
      <c r="E2805" s="6" t="s">
        <v>22</v>
      </c>
      <c r="F2805" s="6" t="n">
        <v>1</v>
      </c>
      <c r="G2805" s="10" t="n">
        <v>1143</v>
      </c>
      <c r="H2805" s="10" t="n">
        <f aca="false">F2805*G2805</f>
        <v>1143</v>
      </c>
      <c r="I2805" s="6" t="s">
        <v>5125</v>
      </c>
    </row>
    <row r="2806" customFormat="false" ht="15" hidden="false" customHeight="false" outlineLevel="0" collapsed="false">
      <c r="A2806" s="6" t="s">
        <v>8029</v>
      </c>
      <c r="B2806" s="6" t="s">
        <v>1163</v>
      </c>
      <c r="C2806" s="26" t="n">
        <v>46121</v>
      </c>
      <c r="D2806" s="6" t="s">
        <v>5707</v>
      </c>
      <c r="E2806" s="6" t="s">
        <v>22</v>
      </c>
      <c r="F2806" s="6" t="n">
        <v>2</v>
      </c>
      <c r="G2806" s="10" t="n">
        <v>2445</v>
      </c>
      <c r="H2806" s="10" t="n">
        <f aca="false">F2806*G2806</f>
        <v>4890</v>
      </c>
      <c r="I2806" s="6" t="s">
        <v>5122</v>
      </c>
    </row>
    <row r="2807" customFormat="false" ht="15" hidden="false" customHeight="false" outlineLevel="0" collapsed="false">
      <c r="A2807" s="6" t="s">
        <v>8030</v>
      </c>
      <c r="B2807" s="6" t="s">
        <v>3519</v>
      </c>
      <c r="C2807" s="26" t="n">
        <v>46121</v>
      </c>
      <c r="D2807" s="6" t="s">
        <v>5165</v>
      </c>
      <c r="E2807" s="6" t="s">
        <v>22</v>
      </c>
      <c r="F2807" s="6" t="n">
        <v>1</v>
      </c>
      <c r="G2807" s="10" t="n">
        <v>927</v>
      </c>
      <c r="H2807" s="10" t="n">
        <f aca="false">F2807*G2807</f>
        <v>927</v>
      </c>
      <c r="I2807" s="6" t="s">
        <v>5130</v>
      </c>
    </row>
    <row r="2808" customFormat="false" ht="15" hidden="false" customHeight="false" outlineLevel="0" collapsed="false">
      <c r="A2808" s="6" t="s">
        <v>8031</v>
      </c>
      <c r="B2808" s="6" t="s">
        <v>4243</v>
      </c>
      <c r="C2808" s="26" t="n">
        <v>46121</v>
      </c>
      <c r="D2808" s="6" t="s">
        <v>5121</v>
      </c>
      <c r="E2808" s="6" t="s">
        <v>22</v>
      </c>
      <c r="F2808" s="6" t="n">
        <v>1</v>
      </c>
      <c r="G2808" s="10" t="n">
        <v>928</v>
      </c>
      <c r="H2808" s="10" t="n">
        <f aca="false">F2808*G2808</f>
        <v>928</v>
      </c>
      <c r="I2808" s="6" t="s">
        <v>5133</v>
      </c>
    </row>
    <row r="2809" customFormat="false" ht="15" hidden="false" customHeight="false" outlineLevel="0" collapsed="false">
      <c r="A2809" s="6" t="s">
        <v>8032</v>
      </c>
      <c r="B2809" s="6" t="s">
        <v>1081</v>
      </c>
      <c r="C2809" s="26" t="n">
        <v>46121</v>
      </c>
      <c r="D2809" s="6" t="s">
        <v>5214</v>
      </c>
      <c r="E2809" s="6" t="s">
        <v>20</v>
      </c>
      <c r="F2809" s="6" t="n">
        <v>1</v>
      </c>
      <c r="G2809" s="10" t="n">
        <v>2038</v>
      </c>
      <c r="H2809" s="10" t="n">
        <f aca="false">F2809*G2809</f>
        <v>2038</v>
      </c>
      <c r="I2809" s="6" t="s">
        <v>5122</v>
      </c>
    </row>
    <row r="2810" customFormat="false" ht="15" hidden="false" customHeight="false" outlineLevel="0" collapsed="false">
      <c r="A2810" s="6" t="s">
        <v>8033</v>
      </c>
      <c r="B2810" s="6" t="s">
        <v>939</v>
      </c>
      <c r="C2810" s="26" t="n">
        <v>46121</v>
      </c>
      <c r="D2810" s="6" t="s">
        <v>5269</v>
      </c>
      <c r="E2810" s="6" t="s">
        <v>22</v>
      </c>
      <c r="F2810" s="6" t="n">
        <v>1</v>
      </c>
      <c r="G2810" s="10" t="n">
        <v>1206</v>
      </c>
      <c r="H2810" s="10" t="n">
        <f aca="false">F2810*G2810</f>
        <v>1206</v>
      </c>
      <c r="I2810" s="6" t="s">
        <v>5122</v>
      </c>
    </row>
    <row r="2811" customFormat="false" ht="15" hidden="false" customHeight="false" outlineLevel="0" collapsed="false">
      <c r="A2811" s="6" t="s">
        <v>8034</v>
      </c>
      <c r="B2811" s="6" t="s">
        <v>1527</v>
      </c>
      <c r="C2811" s="26" t="n">
        <v>46121</v>
      </c>
      <c r="D2811" s="6" t="s">
        <v>5167</v>
      </c>
      <c r="E2811" s="6" t="s">
        <v>22</v>
      </c>
      <c r="F2811" s="6" t="n">
        <v>2</v>
      </c>
      <c r="G2811" s="10" t="n">
        <v>743</v>
      </c>
      <c r="H2811" s="10" t="n">
        <f aca="false">F2811*G2811</f>
        <v>1486</v>
      </c>
      <c r="I2811" s="6" t="s">
        <v>5148</v>
      </c>
    </row>
    <row r="2812" customFormat="false" ht="15" hidden="false" customHeight="false" outlineLevel="0" collapsed="false">
      <c r="A2812" s="6" t="s">
        <v>8035</v>
      </c>
      <c r="B2812" s="6" t="s">
        <v>170</v>
      </c>
      <c r="C2812" s="26" t="n">
        <v>46121</v>
      </c>
      <c r="D2812" s="6" t="s">
        <v>5216</v>
      </c>
      <c r="E2812" s="6" t="s">
        <v>23</v>
      </c>
      <c r="F2812" s="6" t="n">
        <v>2</v>
      </c>
      <c r="G2812" s="10" t="n">
        <v>587</v>
      </c>
      <c r="H2812" s="10" t="n">
        <f aca="false">F2812*G2812</f>
        <v>1174</v>
      </c>
      <c r="I2812" s="6" t="s">
        <v>5148</v>
      </c>
    </row>
    <row r="2813" customFormat="false" ht="15" hidden="false" customHeight="false" outlineLevel="0" collapsed="false">
      <c r="A2813" s="6" t="s">
        <v>8036</v>
      </c>
      <c r="B2813" s="6" t="s">
        <v>4763</v>
      </c>
      <c r="C2813" s="26" t="n">
        <v>46121</v>
      </c>
      <c r="D2813" s="6" t="s">
        <v>5197</v>
      </c>
      <c r="E2813" s="6" t="s">
        <v>21</v>
      </c>
      <c r="F2813" s="6" t="n">
        <v>1</v>
      </c>
      <c r="G2813" s="10" t="n">
        <v>1080</v>
      </c>
      <c r="H2813" s="10" t="n">
        <f aca="false">F2813*G2813</f>
        <v>1080</v>
      </c>
      <c r="I2813" s="6" t="s">
        <v>5125</v>
      </c>
    </row>
    <row r="2814" customFormat="false" ht="15" hidden="false" customHeight="false" outlineLevel="0" collapsed="false">
      <c r="A2814" s="6" t="s">
        <v>8037</v>
      </c>
      <c r="B2814" s="6" t="s">
        <v>4445</v>
      </c>
      <c r="C2814" s="26" t="n">
        <v>46121</v>
      </c>
      <c r="D2814" s="6" t="s">
        <v>5165</v>
      </c>
      <c r="E2814" s="6" t="s">
        <v>22</v>
      </c>
      <c r="F2814" s="6" t="n">
        <v>3</v>
      </c>
      <c r="G2814" s="10" t="n">
        <v>928</v>
      </c>
      <c r="H2814" s="10" t="n">
        <f aca="false">F2814*G2814</f>
        <v>2784</v>
      </c>
      <c r="I2814" s="6" t="s">
        <v>5125</v>
      </c>
    </row>
    <row r="2815" customFormat="false" ht="15" hidden="false" customHeight="false" outlineLevel="0" collapsed="false">
      <c r="A2815" s="6" t="s">
        <v>8038</v>
      </c>
      <c r="B2815" s="6" t="s">
        <v>3513</v>
      </c>
      <c r="C2815" s="26" t="n">
        <v>46121</v>
      </c>
      <c r="D2815" s="6" t="s">
        <v>5281</v>
      </c>
      <c r="E2815" s="6" t="s">
        <v>24</v>
      </c>
      <c r="F2815" s="6" t="n">
        <v>1</v>
      </c>
      <c r="G2815" s="10" t="n">
        <v>814</v>
      </c>
      <c r="H2815" s="10" t="n">
        <f aca="false">F2815*G2815</f>
        <v>814</v>
      </c>
      <c r="I2815" s="6" t="s">
        <v>5122</v>
      </c>
    </row>
    <row r="2816" customFormat="false" ht="15" hidden="false" customHeight="false" outlineLevel="0" collapsed="false">
      <c r="A2816" s="6" t="s">
        <v>8039</v>
      </c>
      <c r="B2816" s="6" t="s">
        <v>713</v>
      </c>
      <c r="C2816" s="26" t="n">
        <v>46121</v>
      </c>
      <c r="D2816" s="6" t="s">
        <v>5171</v>
      </c>
      <c r="E2816" s="6" t="s">
        <v>23</v>
      </c>
      <c r="F2816" s="6" t="n">
        <v>5</v>
      </c>
      <c r="G2816" s="10" t="n">
        <v>661</v>
      </c>
      <c r="H2816" s="10" t="n">
        <f aca="false">F2816*G2816</f>
        <v>3305</v>
      </c>
      <c r="I2816" s="6" t="s">
        <v>5148</v>
      </c>
    </row>
    <row r="2817" customFormat="false" ht="15" hidden="false" customHeight="false" outlineLevel="0" collapsed="false">
      <c r="A2817" s="6" t="s">
        <v>8040</v>
      </c>
      <c r="B2817" s="6" t="s">
        <v>4457</v>
      </c>
      <c r="C2817" s="26" t="n">
        <v>46121</v>
      </c>
      <c r="D2817" s="6" t="s">
        <v>5127</v>
      </c>
      <c r="E2817" s="6" t="s">
        <v>21</v>
      </c>
      <c r="F2817" s="6" t="n">
        <v>1</v>
      </c>
      <c r="G2817" s="10" t="n">
        <v>884</v>
      </c>
      <c r="H2817" s="10" t="n">
        <f aca="false">F2817*G2817</f>
        <v>884</v>
      </c>
      <c r="I2817" s="6" t="s">
        <v>5148</v>
      </c>
    </row>
    <row r="2818" customFormat="false" ht="15" hidden="false" customHeight="false" outlineLevel="0" collapsed="false">
      <c r="A2818" s="6" t="s">
        <v>8041</v>
      </c>
      <c r="B2818" s="6" t="s">
        <v>3511</v>
      </c>
      <c r="C2818" s="26" t="n">
        <v>46121</v>
      </c>
      <c r="D2818" s="6" t="s">
        <v>5167</v>
      </c>
      <c r="E2818" s="6" t="s">
        <v>22</v>
      </c>
      <c r="F2818" s="6" t="n">
        <v>2</v>
      </c>
      <c r="G2818" s="10" t="n">
        <v>743</v>
      </c>
      <c r="H2818" s="10" t="n">
        <f aca="false">F2818*G2818</f>
        <v>1486</v>
      </c>
      <c r="I2818" s="6" t="s">
        <v>5148</v>
      </c>
    </row>
    <row r="2819" customFormat="false" ht="15" hidden="false" customHeight="false" outlineLevel="0" collapsed="false">
      <c r="A2819" s="6" t="s">
        <v>8042</v>
      </c>
      <c r="B2819" s="6" t="s">
        <v>3675</v>
      </c>
      <c r="C2819" s="26" t="n">
        <v>46121</v>
      </c>
      <c r="D2819" s="6" t="s">
        <v>5160</v>
      </c>
      <c r="E2819" s="6" t="s">
        <v>21</v>
      </c>
      <c r="F2819" s="6" t="n">
        <v>3</v>
      </c>
      <c r="G2819" s="10" t="n">
        <v>2751</v>
      </c>
      <c r="H2819" s="10" t="n">
        <f aca="false">F2819*G2819</f>
        <v>8253</v>
      </c>
      <c r="I2819" s="6" t="s">
        <v>5122</v>
      </c>
    </row>
    <row r="2820" customFormat="false" ht="15" hidden="false" customHeight="false" outlineLevel="0" collapsed="false">
      <c r="A2820" s="6" t="s">
        <v>8043</v>
      </c>
      <c r="B2820" s="6" t="s">
        <v>2873</v>
      </c>
      <c r="C2820" s="26" t="n">
        <v>46121</v>
      </c>
      <c r="D2820" s="6" t="s">
        <v>5171</v>
      </c>
      <c r="E2820" s="6" t="s">
        <v>23</v>
      </c>
      <c r="F2820" s="6" t="n">
        <v>4</v>
      </c>
      <c r="G2820" s="10" t="n">
        <v>661</v>
      </c>
      <c r="H2820" s="10" t="n">
        <f aca="false">F2820*G2820</f>
        <v>2644</v>
      </c>
      <c r="I2820" s="6" t="s">
        <v>5148</v>
      </c>
    </row>
    <row r="2821" customFormat="false" ht="15" hidden="false" customHeight="false" outlineLevel="0" collapsed="false">
      <c r="A2821" s="6" t="s">
        <v>8044</v>
      </c>
      <c r="B2821" s="6" t="s">
        <v>260</v>
      </c>
      <c r="C2821" s="26" t="n">
        <v>46121</v>
      </c>
      <c r="D2821" s="6" t="s">
        <v>5139</v>
      </c>
      <c r="E2821" s="6" t="s">
        <v>23</v>
      </c>
      <c r="F2821" s="6" t="n">
        <v>1</v>
      </c>
      <c r="G2821" s="10" t="n">
        <v>279</v>
      </c>
      <c r="H2821" s="10" t="n">
        <f aca="false">F2821*G2821</f>
        <v>279</v>
      </c>
      <c r="I2821" s="6" t="s">
        <v>5130</v>
      </c>
    </row>
    <row r="2822" customFormat="false" ht="15" hidden="false" customHeight="false" outlineLevel="0" collapsed="false">
      <c r="A2822" s="6" t="s">
        <v>8045</v>
      </c>
      <c r="B2822" s="6" t="s">
        <v>1089</v>
      </c>
      <c r="C2822" s="26" t="n">
        <v>46122</v>
      </c>
      <c r="D2822" s="6" t="s">
        <v>5127</v>
      </c>
      <c r="E2822" s="6" t="s">
        <v>21</v>
      </c>
      <c r="F2822" s="6" t="n">
        <v>1</v>
      </c>
      <c r="G2822" s="10" t="n">
        <v>884</v>
      </c>
      <c r="H2822" s="10" t="n">
        <f aca="false">F2822*G2822</f>
        <v>884</v>
      </c>
      <c r="I2822" s="6" t="s">
        <v>5122</v>
      </c>
    </row>
    <row r="2823" customFormat="false" ht="15" hidden="false" customHeight="false" outlineLevel="0" collapsed="false">
      <c r="A2823" s="6" t="s">
        <v>8046</v>
      </c>
      <c r="B2823" s="6" t="s">
        <v>1823</v>
      </c>
      <c r="C2823" s="26" t="n">
        <v>46122</v>
      </c>
      <c r="D2823" s="6" t="s">
        <v>5807</v>
      </c>
      <c r="E2823" s="6" t="s">
        <v>20</v>
      </c>
      <c r="F2823" s="6" t="n">
        <v>1</v>
      </c>
      <c r="G2823" s="10" t="n">
        <v>15296</v>
      </c>
      <c r="H2823" s="10" t="n">
        <f aca="false">F2823*G2823</f>
        <v>15296</v>
      </c>
      <c r="I2823" s="6" t="s">
        <v>5122</v>
      </c>
    </row>
    <row r="2824" customFormat="false" ht="15" hidden="false" customHeight="false" outlineLevel="0" collapsed="false">
      <c r="A2824" s="6" t="s">
        <v>8047</v>
      </c>
      <c r="B2824" s="6" t="s">
        <v>1313</v>
      </c>
      <c r="C2824" s="26" t="n">
        <v>46122</v>
      </c>
      <c r="D2824" s="6" t="s">
        <v>5127</v>
      </c>
      <c r="E2824" s="6" t="s">
        <v>21</v>
      </c>
      <c r="F2824" s="6" t="n">
        <v>2</v>
      </c>
      <c r="G2824" s="10" t="n">
        <v>884</v>
      </c>
      <c r="H2824" s="10" t="n">
        <f aca="false">F2824*G2824</f>
        <v>1768</v>
      </c>
      <c r="I2824" s="6" t="s">
        <v>5173</v>
      </c>
    </row>
    <row r="2825" customFormat="false" ht="15" hidden="false" customHeight="false" outlineLevel="0" collapsed="false">
      <c r="A2825" s="6" t="s">
        <v>8048</v>
      </c>
      <c r="B2825" s="6" t="s">
        <v>3213</v>
      </c>
      <c r="C2825" s="26" t="n">
        <v>46122</v>
      </c>
      <c r="D2825" s="6" t="s">
        <v>5488</v>
      </c>
      <c r="E2825" s="6" t="s">
        <v>24</v>
      </c>
      <c r="F2825" s="6" t="n">
        <v>1</v>
      </c>
      <c r="G2825" s="10" t="n">
        <v>866</v>
      </c>
      <c r="H2825" s="10" t="n">
        <f aca="false">F2825*G2825</f>
        <v>866</v>
      </c>
      <c r="I2825" s="6" t="s">
        <v>5130</v>
      </c>
    </row>
    <row r="2826" customFormat="false" ht="15" hidden="false" customHeight="false" outlineLevel="0" collapsed="false">
      <c r="A2826" s="6" t="s">
        <v>8049</v>
      </c>
      <c r="B2826" s="6" t="s">
        <v>459</v>
      </c>
      <c r="C2826" s="26" t="n">
        <v>46122</v>
      </c>
      <c r="D2826" s="6" t="s">
        <v>5185</v>
      </c>
      <c r="E2826" s="6" t="s">
        <v>24</v>
      </c>
      <c r="F2826" s="6" t="n">
        <v>2</v>
      </c>
      <c r="G2826" s="10" t="n">
        <v>2140</v>
      </c>
      <c r="H2826" s="10" t="n">
        <f aca="false">F2826*G2826</f>
        <v>4280</v>
      </c>
      <c r="I2826" s="6" t="s">
        <v>5125</v>
      </c>
    </row>
    <row r="2827" customFormat="false" ht="15" hidden="false" customHeight="false" outlineLevel="0" collapsed="false">
      <c r="A2827" s="6" t="s">
        <v>8050</v>
      </c>
      <c r="B2827" s="6" t="s">
        <v>319</v>
      </c>
      <c r="C2827" s="26" t="n">
        <v>46122</v>
      </c>
      <c r="D2827" s="6" t="s">
        <v>5165</v>
      </c>
      <c r="E2827" s="6" t="s">
        <v>22</v>
      </c>
      <c r="F2827" s="6" t="n">
        <v>1</v>
      </c>
      <c r="G2827" s="10" t="n">
        <v>977</v>
      </c>
      <c r="H2827" s="10" t="n">
        <f aca="false">F2827*G2827</f>
        <v>977</v>
      </c>
      <c r="I2827" s="6" t="s">
        <v>5173</v>
      </c>
    </row>
    <row r="2828" customFormat="false" ht="15" hidden="false" customHeight="false" outlineLevel="0" collapsed="false">
      <c r="A2828" s="6" t="s">
        <v>8051</v>
      </c>
      <c r="B2828" s="6" t="s">
        <v>4769</v>
      </c>
      <c r="C2828" s="26" t="n">
        <v>46122</v>
      </c>
      <c r="D2828" s="6" t="s">
        <v>5273</v>
      </c>
      <c r="E2828" s="6" t="s">
        <v>23</v>
      </c>
      <c r="F2828" s="6" t="n">
        <v>3</v>
      </c>
      <c r="G2828" s="10" t="n">
        <v>240</v>
      </c>
      <c r="H2828" s="10" t="n">
        <f aca="false">F2828*G2828</f>
        <v>720</v>
      </c>
      <c r="I2828" s="6" t="s">
        <v>5173</v>
      </c>
    </row>
    <row r="2829" customFormat="false" ht="15" hidden="false" customHeight="false" outlineLevel="0" collapsed="false">
      <c r="A2829" s="6" t="s">
        <v>8052</v>
      </c>
      <c r="B2829" s="6" t="s">
        <v>128</v>
      </c>
      <c r="C2829" s="26" t="n">
        <v>46122</v>
      </c>
      <c r="D2829" s="6" t="s">
        <v>5129</v>
      </c>
      <c r="E2829" s="6" t="s">
        <v>21</v>
      </c>
      <c r="F2829" s="6" t="n">
        <v>1</v>
      </c>
      <c r="G2829" s="10" t="n">
        <v>559</v>
      </c>
      <c r="H2829" s="10" t="n">
        <f aca="false">F2829*G2829</f>
        <v>559</v>
      </c>
      <c r="I2829" s="6" t="s">
        <v>5122</v>
      </c>
    </row>
    <row r="2830" customFormat="false" ht="15" hidden="false" customHeight="false" outlineLevel="0" collapsed="false">
      <c r="A2830" s="6" t="s">
        <v>8053</v>
      </c>
      <c r="B2830" s="6" t="s">
        <v>3713</v>
      </c>
      <c r="C2830" s="26" t="n">
        <v>46122</v>
      </c>
      <c r="D2830" s="6" t="s">
        <v>5357</v>
      </c>
      <c r="E2830" s="6" t="s">
        <v>23</v>
      </c>
      <c r="F2830" s="6" t="n">
        <v>2</v>
      </c>
      <c r="G2830" s="10" t="n">
        <v>481</v>
      </c>
      <c r="H2830" s="10" t="n">
        <f aca="false">F2830*G2830</f>
        <v>962</v>
      </c>
      <c r="I2830" s="6" t="s">
        <v>5122</v>
      </c>
    </row>
    <row r="2831" customFormat="false" ht="15" hidden="false" customHeight="false" outlineLevel="0" collapsed="false">
      <c r="A2831" s="6" t="s">
        <v>8054</v>
      </c>
      <c r="B2831" s="6" t="s">
        <v>2365</v>
      </c>
      <c r="C2831" s="26" t="n">
        <v>46122</v>
      </c>
      <c r="D2831" s="6" t="s">
        <v>5127</v>
      </c>
      <c r="E2831" s="6" t="s">
        <v>21</v>
      </c>
      <c r="F2831" s="6" t="n">
        <v>1</v>
      </c>
      <c r="G2831" s="10" t="n">
        <v>884</v>
      </c>
      <c r="H2831" s="10" t="n">
        <f aca="false">F2831*G2831</f>
        <v>884</v>
      </c>
      <c r="I2831" s="6" t="s">
        <v>5173</v>
      </c>
    </row>
    <row r="2832" customFormat="false" ht="15" hidden="false" customHeight="false" outlineLevel="0" collapsed="false">
      <c r="A2832" s="6" t="s">
        <v>8055</v>
      </c>
      <c r="B2832" s="6" t="s">
        <v>3975</v>
      </c>
      <c r="C2832" s="26" t="n">
        <v>46122</v>
      </c>
      <c r="D2832" s="6" t="s">
        <v>5163</v>
      </c>
      <c r="E2832" s="6" t="s">
        <v>23</v>
      </c>
      <c r="F2832" s="6" t="n">
        <v>3</v>
      </c>
      <c r="G2832" s="10" t="n">
        <v>783</v>
      </c>
      <c r="H2832" s="10" t="n">
        <f aca="false">F2832*G2832</f>
        <v>2349</v>
      </c>
      <c r="I2832" s="6" t="s">
        <v>5122</v>
      </c>
    </row>
    <row r="2833" customFormat="false" ht="15" hidden="false" customHeight="false" outlineLevel="0" collapsed="false">
      <c r="A2833" s="6" t="s">
        <v>8056</v>
      </c>
      <c r="B2833" s="6" t="s">
        <v>1039</v>
      </c>
      <c r="C2833" s="26" t="n">
        <v>46122</v>
      </c>
      <c r="D2833" s="6" t="s">
        <v>5214</v>
      </c>
      <c r="E2833" s="6" t="s">
        <v>20</v>
      </c>
      <c r="F2833" s="6" t="n">
        <v>1</v>
      </c>
      <c r="G2833" s="10" t="n">
        <v>1937</v>
      </c>
      <c r="H2833" s="10" t="n">
        <f aca="false">F2833*G2833</f>
        <v>1937</v>
      </c>
      <c r="I2833" s="6" t="s">
        <v>5122</v>
      </c>
    </row>
    <row r="2834" customFormat="false" ht="15" hidden="false" customHeight="false" outlineLevel="0" collapsed="false">
      <c r="A2834" s="6" t="s">
        <v>8057</v>
      </c>
      <c r="B2834" s="6" t="s">
        <v>4759</v>
      </c>
      <c r="C2834" s="26" t="n">
        <v>46122</v>
      </c>
      <c r="D2834" s="6" t="s">
        <v>5135</v>
      </c>
      <c r="E2834" s="6" t="s">
        <v>23</v>
      </c>
      <c r="F2834" s="6" t="n">
        <v>2</v>
      </c>
      <c r="G2834" s="10" t="n">
        <v>441</v>
      </c>
      <c r="H2834" s="10" t="n">
        <f aca="false">F2834*G2834</f>
        <v>882</v>
      </c>
      <c r="I2834" s="6" t="s">
        <v>5122</v>
      </c>
    </row>
    <row r="2835" customFormat="false" ht="15" hidden="false" customHeight="false" outlineLevel="0" collapsed="false">
      <c r="A2835" s="6" t="s">
        <v>8058</v>
      </c>
      <c r="B2835" s="6" t="s">
        <v>3231</v>
      </c>
      <c r="C2835" s="26" t="n">
        <v>46122</v>
      </c>
      <c r="D2835" s="6" t="s">
        <v>5165</v>
      </c>
      <c r="E2835" s="6" t="s">
        <v>22</v>
      </c>
      <c r="F2835" s="6" t="n">
        <v>2</v>
      </c>
      <c r="G2835" s="10" t="n">
        <v>928</v>
      </c>
      <c r="H2835" s="10" t="n">
        <f aca="false">F2835*G2835</f>
        <v>1856</v>
      </c>
      <c r="I2835" s="6" t="s">
        <v>5122</v>
      </c>
    </row>
    <row r="2836" customFormat="false" ht="15" hidden="false" customHeight="false" outlineLevel="0" collapsed="false">
      <c r="A2836" s="6" t="s">
        <v>8059</v>
      </c>
      <c r="B2836" s="6" t="s">
        <v>4519</v>
      </c>
      <c r="C2836" s="26" t="n">
        <v>46122</v>
      </c>
      <c r="D2836" s="6" t="s">
        <v>5200</v>
      </c>
      <c r="E2836" s="6" t="s">
        <v>24</v>
      </c>
      <c r="F2836" s="6" t="n">
        <v>1</v>
      </c>
      <c r="G2836" s="10" t="n">
        <v>763</v>
      </c>
      <c r="H2836" s="10" t="n">
        <f aca="false">F2836*G2836</f>
        <v>763</v>
      </c>
      <c r="I2836" s="6" t="s">
        <v>5148</v>
      </c>
    </row>
    <row r="2837" customFormat="false" ht="15" hidden="false" customHeight="false" outlineLevel="0" collapsed="false">
      <c r="A2837" s="6" t="s">
        <v>8060</v>
      </c>
      <c r="B2837" s="6" t="s">
        <v>4701</v>
      </c>
      <c r="C2837" s="26" t="n">
        <v>46122</v>
      </c>
      <c r="D2837" s="6" t="s">
        <v>5197</v>
      </c>
      <c r="E2837" s="6" t="s">
        <v>21</v>
      </c>
      <c r="F2837" s="6" t="n">
        <v>1</v>
      </c>
      <c r="G2837" s="10" t="n">
        <v>1080</v>
      </c>
      <c r="H2837" s="10" t="n">
        <f aca="false">F2837*G2837</f>
        <v>1080</v>
      </c>
      <c r="I2837" s="6" t="s">
        <v>5122</v>
      </c>
    </row>
    <row r="2838" customFormat="false" ht="15" hidden="false" customHeight="false" outlineLevel="0" collapsed="false">
      <c r="A2838" s="6" t="s">
        <v>8061</v>
      </c>
      <c r="B2838" s="6" t="s">
        <v>4919</v>
      </c>
      <c r="C2838" s="26" t="n">
        <v>46122</v>
      </c>
      <c r="D2838" s="6" t="s">
        <v>5242</v>
      </c>
      <c r="E2838" s="6" t="s">
        <v>23</v>
      </c>
      <c r="F2838" s="6" t="n">
        <v>2</v>
      </c>
      <c r="G2838" s="10" t="n">
        <v>372</v>
      </c>
      <c r="H2838" s="10" t="n">
        <f aca="false">F2838*G2838</f>
        <v>744</v>
      </c>
      <c r="I2838" s="6" t="s">
        <v>5122</v>
      </c>
    </row>
    <row r="2839" customFormat="false" ht="15" hidden="false" customHeight="false" outlineLevel="0" collapsed="false">
      <c r="A2839" s="6" t="s">
        <v>8062</v>
      </c>
      <c r="B2839" s="6" t="s">
        <v>4979</v>
      </c>
      <c r="C2839" s="26" t="n">
        <v>46122</v>
      </c>
      <c r="D2839" s="6" t="s">
        <v>5410</v>
      </c>
      <c r="E2839" s="6" t="s">
        <v>20</v>
      </c>
      <c r="F2839" s="6" t="n">
        <v>1</v>
      </c>
      <c r="G2839" s="10" t="n">
        <v>2548</v>
      </c>
      <c r="H2839" s="10" t="n">
        <f aca="false">F2839*G2839</f>
        <v>2548</v>
      </c>
      <c r="I2839" s="6" t="s">
        <v>5122</v>
      </c>
    </row>
    <row r="2840" customFormat="false" ht="15" hidden="false" customHeight="false" outlineLevel="0" collapsed="false">
      <c r="A2840" s="6" t="s">
        <v>8063</v>
      </c>
      <c r="B2840" s="6" t="s">
        <v>2231</v>
      </c>
      <c r="C2840" s="26" t="n">
        <v>46122</v>
      </c>
      <c r="D2840" s="6" t="s">
        <v>5180</v>
      </c>
      <c r="E2840" s="6" t="s">
        <v>24</v>
      </c>
      <c r="F2840" s="6" t="n">
        <v>2</v>
      </c>
      <c r="G2840" s="10" t="n">
        <v>1987</v>
      </c>
      <c r="H2840" s="10" t="n">
        <f aca="false">F2840*G2840</f>
        <v>3974</v>
      </c>
      <c r="I2840" s="6" t="s">
        <v>5148</v>
      </c>
    </row>
    <row r="2841" customFormat="false" ht="15" hidden="false" customHeight="false" outlineLevel="0" collapsed="false">
      <c r="A2841" s="6" t="s">
        <v>8064</v>
      </c>
      <c r="B2841" s="6" t="s">
        <v>1533</v>
      </c>
      <c r="C2841" s="26" t="n">
        <v>46122</v>
      </c>
      <c r="D2841" s="6" t="s">
        <v>5281</v>
      </c>
      <c r="E2841" s="6" t="s">
        <v>24</v>
      </c>
      <c r="F2841" s="6" t="n">
        <v>1</v>
      </c>
      <c r="G2841" s="10" t="n">
        <v>773</v>
      </c>
      <c r="H2841" s="10" t="n">
        <f aca="false">F2841*G2841</f>
        <v>773</v>
      </c>
      <c r="I2841" s="6" t="s">
        <v>5130</v>
      </c>
    </row>
    <row r="2842" customFormat="false" ht="15" hidden="false" customHeight="false" outlineLevel="0" collapsed="false">
      <c r="A2842" s="6" t="s">
        <v>8065</v>
      </c>
      <c r="B2842" s="6" t="s">
        <v>1301</v>
      </c>
      <c r="C2842" s="26" t="n">
        <v>46122</v>
      </c>
      <c r="D2842" s="6" t="s">
        <v>5192</v>
      </c>
      <c r="E2842" s="6" t="s">
        <v>20</v>
      </c>
      <c r="F2842" s="6" t="n">
        <v>1</v>
      </c>
      <c r="G2842" s="10" t="n">
        <v>4078</v>
      </c>
      <c r="H2842" s="10" t="n">
        <f aca="false">F2842*G2842</f>
        <v>4078</v>
      </c>
      <c r="I2842" s="6" t="s">
        <v>5130</v>
      </c>
    </row>
    <row r="2843" customFormat="false" ht="15" hidden="false" customHeight="false" outlineLevel="0" collapsed="false">
      <c r="A2843" s="6" t="s">
        <v>8066</v>
      </c>
      <c r="B2843" s="6" t="s">
        <v>3539</v>
      </c>
      <c r="C2843" s="26" t="n">
        <v>46122</v>
      </c>
      <c r="D2843" s="6" t="s">
        <v>5423</v>
      </c>
      <c r="E2843" s="6" t="s">
        <v>21</v>
      </c>
      <c r="F2843" s="6" t="n">
        <v>1</v>
      </c>
      <c r="G2843" s="10" t="n">
        <v>2918</v>
      </c>
      <c r="H2843" s="10" t="n">
        <f aca="false">F2843*G2843</f>
        <v>2918</v>
      </c>
      <c r="I2843" s="6" t="s">
        <v>5173</v>
      </c>
    </row>
    <row r="2844" customFormat="false" ht="15" hidden="false" customHeight="false" outlineLevel="0" collapsed="false">
      <c r="A2844" s="6" t="s">
        <v>8067</v>
      </c>
      <c r="B2844" s="6" t="s">
        <v>2993</v>
      </c>
      <c r="C2844" s="26" t="n">
        <v>46122</v>
      </c>
      <c r="D2844" s="6" t="s">
        <v>5150</v>
      </c>
      <c r="E2844" s="6" t="s">
        <v>24</v>
      </c>
      <c r="F2844" s="6" t="n">
        <v>1</v>
      </c>
      <c r="G2844" s="10" t="n">
        <v>459</v>
      </c>
      <c r="H2844" s="10" t="n">
        <f aca="false">F2844*G2844</f>
        <v>459</v>
      </c>
      <c r="I2844" s="6" t="s">
        <v>5148</v>
      </c>
    </row>
    <row r="2845" customFormat="false" ht="15" hidden="false" customHeight="false" outlineLevel="0" collapsed="false">
      <c r="A2845" s="6" t="s">
        <v>8068</v>
      </c>
      <c r="B2845" s="6" t="s">
        <v>4181</v>
      </c>
      <c r="C2845" s="26" t="n">
        <v>46122</v>
      </c>
      <c r="D2845" s="6" t="s">
        <v>5160</v>
      </c>
      <c r="E2845" s="6" t="s">
        <v>21</v>
      </c>
      <c r="F2845" s="6" t="n">
        <v>1</v>
      </c>
      <c r="G2845" s="10" t="n">
        <v>2476</v>
      </c>
      <c r="H2845" s="10" t="n">
        <f aca="false">F2845*G2845</f>
        <v>2476</v>
      </c>
      <c r="I2845" s="6" t="s">
        <v>5122</v>
      </c>
    </row>
    <row r="2846" customFormat="false" ht="15" hidden="false" customHeight="false" outlineLevel="0" collapsed="false">
      <c r="A2846" s="6" t="s">
        <v>8069</v>
      </c>
      <c r="B2846" s="6" t="s">
        <v>2555</v>
      </c>
      <c r="C2846" s="26" t="n">
        <v>46122</v>
      </c>
      <c r="D2846" s="6" t="s">
        <v>5318</v>
      </c>
      <c r="E2846" s="6" t="s">
        <v>20</v>
      </c>
      <c r="F2846" s="6" t="n">
        <v>1</v>
      </c>
      <c r="G2846" s="10" t="n">
        <v>1529</v>
      </c>
      <c r="H2846" s="10" t="n">
        <f aca="false">F2846*G2846</f>
        <v>1529</v>
      </c>
      <c r="I2846" s="6" t="s">
        <v>5122</v>
      </c>
    </row>
    <row r="2847" customFormat="false" ht="15" hidden="false" customHeight="false" outlineLevel="0" collapsed="false">
      <c r="A2847" s="6" t="s">
        <v>8070</v>
      </c>
      <c r="B2847" s="6" t="s">
        <v>1113</v>
      </c>
      <c r="C2847" s="26" t="n">
        <v>46122</v>
      </c>
      <c r="D2847" s="6" t="s">
        <v>5345</v>
      </c>
      <c r="E2847" s="6" t="s">
        <v>23</v>
      </c>
      <c r="F2847" s="6" t="n">
        <v>5</v>
      </c>
      <c r="G2847" s="10" t="n">
        <v>436</v>
      </c>
      <c r="H2847" s="10" t="n">
        <f aca="false">F2847*G2847</f>
        <v>2180</v>
      </c>
      <c r="I2847" s="6" t="s">
        <v>5122</v>
      </c>
    </row>
    <row r="2848" customFormat="false" ht="15" hidden="false" customHeight="false" outlineLevel="0" collapsed="false">
      <c r="A2848" s="6" t="s">
        <v>8071</v>
      </c>
      <c r="B2848" s="6" t="s">
        <v>1855</v>
      </c>
      <c r="C2848" s="26" t="n">
        <v>46122</v>
      </c>
      <c r="D2848" s="6" t="s">
        <v>5200</v>
      </c>
      <c r="E2848" s="6" t="s">
        <v>24</v>
      </c>
      <c r="F2848" s="6" t="n">
        <v>1</v>
      </c>
      <c r="G2848" s="10" t="n">
        <v>763</v>
      </c>
      <c r="H2848" s="10" t="n">
        <f aca="false">F2848*G2848</f>
        <v>763</v>
      </c>
      <c r="I2848" s="6" t="s">
        <v>5148</v>
      </c>
    </row>
    <row r="2849" customFormat="false" ht="15" hidden="false" customHeight="false" outlineLevel="0" collapsed="false">
      <c r="A2849" s="6" t="s">
        <v>8072</v>
      </c>
      <c r="B2849" s="6" t="s">
        <v>757</v>
      </c>
      <c r="C2849" s="26" t="n">
        <v>46122</v>
      </c>
      <c r="D2849" s="6" t="s">
        <v>5175</v>
      </c>
      <c r="E2849" s="6" t="s">
        <v>24</v>
      </c>
      <c r="F2849" s="6" t="n">
        <v>1</v>
      </c>
      <c r="G2849" s="10" t="n">
        <v>549</v>
      </c>
      <c r="H2849" s="10" t="n">
        <f aca="false">F2849*G2849</f>
        <v>549</v>
      </c>
      <c r="I2849" s="6" t="s">
        <v>5122</v>
      </c>
    </row>
    <row r="2850" customFormat="false" ht="15" hidden="false" customHeight="false" outlineLevel="0" collapsed="false">
      <c r="A2850" s="6" t="s">
        <v>8073</v>
      </c>
      <c r="B2850" s="6" t="s">
        <v>4509</v>
      </c>
      <c r="C2850" s="26" t="n">
        <v>46122</v>
      </c>
      <c r="D2850" s="6" t="s">
        <v>5167</v>
      </c>
      <c r="E2850" s="6" t="s">
        <v>22</v>
      </c>
      <c r="F2850" s="6" t="n">
        <v>3</v>
      </c>
      <c r="G2850" s="10" t="n">
        <v>703</v>
      </c>
      <c r="H2850" s="10" t="n">
        <f aca="false">F2850*G2850</f>
        <v>2109</v>
      </c>
      <c r="I2850" s="6" t="s">
        <v>5122</v>
      </c>
    </row>
    <row r="2851" customFormat="false" ht="15" hidden="false" customHeight="false" outlineLevel="0" collapsed="false">
      <c r="A2851" s="6" t="s">
        <v>8074</v>
      </c>
      <c r="B2851" s="6" t="s">
        <v>973</v>
      </c>
      <c r="C2851" s="26" t="n">
        <v>46123</v>
      </c>
      <c r="D2851" s="6" t="s">
        <v>5224</v>
      </c>
      <c r="E2851" s="6" t="s">
        <v>23</v>
      </c>
      <c r="F2851" s="6" t="n">
        <v>2</v>
      </c>
      <c r="G2851" s="10" t="n">
        <v>185</v>
      </c>
      <c r="H2851" s="10" t="n">
        <f aca="false">F2851*G2851</f>
        <v>370</v>
      </c>
      <c r="I2851" s="6" t="s">
        <v>5122</v>
      </c>
    </row>
    <row r="2852" customFormat="false" ht="15" hidden="false" customHeight="false" outlineLevel="0" collapsed="false">
      <c r="A2852" s="6" t="s">
        <v>8075</v>
      </c>
      <c r="B2852" s="6" t="s">
        <v>2929</v>
      </c>
      <c r="C2852" s="26" t="n">
        <v>46123</v>
      </c>
      <c r="D2852" s="6" t="s">
        <v>5182</v>
      </c>
      <c r="E2852" s="6" t="s">
        <v>23</v>
      </c>
      <c r="F2852" s="6" t="n">
        <v>3</v>
      </c>
      <c r="G2852" s="10" t="n">
        <v>367</v>
      </c>
      <c r="H2852" s="10" t="n">
        <f aca="false">F2852*G2852</f>
        <v>1101</v>
      </c>
      <c r="I2852" s="6" t="s">
        <v>5122</v>
      </c>
    </row>
    <row r="2853" customFormat="false" ht="15" hidden="false" customHeight="false" outlineLevel="0" collapsed="false">
      <c r="A2853" s="6" t="s">
        <v>8076</v>
      </c>
      <c r="B2853" s="6" t="s">
        <v>1805</v>
      </c>
      <c r="C2853" s="26" t="n">
        <v>46123</v>
      </c>
      <c r="D2853" s="6" t="s">
        <v>5127</v>
      </c>
      <c r="E2853" s="6" t="s">
        <v>21</v>
      </c>
      <c r="F2853" s="6" t="n">
        <v>1</v>
      </c>
      <c r="G2853" s="10" t="n">
        <v>884</v>
      </c>
      <c r="H2853" s="10" t="n">
        <f aca="false">F2853*G2853</f>
        <v>884</v>
      </c>
      <c r="I2853" s="6" t="s">
        <v>5122</v>
      </c>
    </row>
    <row r="2854" customFormat="false" ht="15" hidden="false" customHeight="false" outlineLevel="0" collapsed="false">
      <c r="A2854" s="6" t="s">
        <v>8077</v>
      </c>
      <c r="B2854" s="6" t="s">
        <v>1047</v>
      </c>
      <c r="C2854" s="26" t="n">
        <v>46123</v>
      </c>
      <c r="D2854" s="6" t="s">
        <v>5165</v>
      </c>
      <c r="E2854" s="6" t="s">
        <v>22</v>
      </c>
      <c r="F2854" s="6" t="n">
        <v>1</v>
      </c>
      <c r="G2854" s="10" t="n">
        <v>880</v>
      </c>
      <c r="H2854" s="10" t="n">
        <f aca="false">F2854*G2854</f>
        <v>880</v>
      </c>
      <c r="I2854" s="6" t="s">
        <v>5173</v>
      </c>
    </row>
    <row r="2855" customFormat="false" ht="15" hidden="false" customHeight="false" outlineLevel="0" collapsed="false">
      <c r="A2855" s="6" t="s">
        <v>8078</v>
      </c>
      <c r="B2855" s="6" t="s">
        <v>4063</v>
      </c>
      <c r="C2855" s="26" t="n">
        <v>46123</v>
      </c>
      <c r="D2855" s="6" t="s">
        <v>5200</v>
      </c>
      <c r="E2855" s="6" t="s">
        <v>24</v>
      </c>
      <c r="F2855" s="6" t="n">
        <v>1</v>
      </c>
      <c r="G2855" s="10" t="n">
        <v>764</v>
      </c>
      <c r="H2855" s="10" t="n">
        <f aca="false">F2855*G2855</f>
        <v>764</v>
      </c>
      <c r="I2855" s="6" t="s">
        <v>5130</v>
      </c>
    </row>
    <row r="2856" customFormat="false" ht="15" hidden="false" customHeight="false" outlineLevel="0" collapsed="false">
      <c r="A2856" s="6" t="s">
        <v>8079</v>
      </c>
      <c r="B2856" s="6" t="s">
        <v>1239</v>
      </c>
      <c r="C2856" s="26" t="n">
        <v>46123</v>
      </c>
      <c r="D2856" s="6" t="s">
        <v>5129</v>
      </c>
      <c r="E2856" s="6" t="s">
        <v>21</v>
      </c>
      <c r="F2856" s="6" t="n">
        <v>1</v>
      </c>
      <c r="G2856" s="10" t="n">
        <v>589</v>
      </c>
      <c r="H2856" s="10" t="n">
        <f aca="false">F2856*G2856</f>
        <v>589</v>
      </c>
      <c r="I2856" s="6" t="s">
        <v>5125</v>
      </c>
    </row>
    <row r="2857" customFormat="false" ht="15" hidden="false" customHeight="false" outlineLevel="0" collapsed="false">
      <c r="A2857" s="6" t="s">
        <v>8080</v>
      </c>
      <c r="B2857" s="6" t="s">
        <v>3777</v>
      </c>
      <c r="C2857" s="26" t="n">
        <v>46123</v>
      </c>
      <c r="D2857" s="6" t="s">
        <v>5165</v>
      </c>
      <c r="E2857" s="6" t="s">
        <v>22</v>
      </c>
      <c r="F2857" s="6" t="n">
        <v>2</v>
      </c>
      <c r="G2857" s="10" t="n">
        <v>977</v>
      </c>
      <c r="H2857" s="10" t="n">
        <f aca="false">F2857*G2857</f>
        <v>1954</v>
      </c>
      <c r="I2857" s="6" t="s">
        <v>5122</v>
      </c>
    </row>
    <row r="2858" customFormat="false" ht="15" hidden="false" customHeight="false" outlineLevel="0" collapsed="false">
      <c r="A2858" s="6" t="s">
        <v>8081</v>
      </c>
      <c r="B2858" s="6" t="s">
        <v>4615</v>
      </c>
      <c r="C2858" s="26" t="n">
        <v>46123</v>
      </c>
      <c r="D2858" s="6" t="s">
        <v>5235</v>
      </c>
      <c r="E2858" s="6" t="s">
        <v>21</v>
      </c>
      <c r="F2858" s="6" t="n">
        <v>1</v>
      </c>
      <c r="G2858" s="10" t="n">
        <v>1586</v>
      </c>
      <c r="H2858" s="10" t="n">
        <f aca="false">F2858*G2858</f>
        <v>1586</v>
      </c>
      <c r="I2858" s="6" t="s">
        <v>5148</v>
      </c>
    </row>
    <row r="2859" customFormat="false" ht="15" hidden="false" customHeight="false" outlineLevel="0" collapsed="false">
      <c r="A2859" s="6" t="s">
        <v>8082</v>
      </c>
      <c r="B2859" s="6" t="s">
        <v>2743</v>
      </c>
      <c r="C2859" s="26" t="n">
        <v>46123</v>
      </c>
      <c r="D2859" s="6" t="s">
        <v>5339</v>
      </c>
      <c r="E2859" s="6" t="s">
        <v>24</v>
      </c>
      <c r="F2859" s="6" t="n">
        <v>1</v>
      </c>
      <c r="G2859" s="10" t="n">
        <v>483</v>
      </c>
      <c r="H2859" s="10" t="n">
        <f aca="false">F2859*G2859</f>
        <v>483</v>
      </c>
      <c r="I2859" s="6" t="s">
        <v>5122</v>
      </c>
    </row>
    <row r="2860" customFormat="false" ht="15" hidden="false" customHeight="false" outlineLevel="0" collapsed="false">
      <c r="A2860" s="6" t="s">
        <v>8083</v>
      </c>
      <c r="B2860" s="6" t="s">
        <v>3713</v>
      </c>
      <c r="C2860" s="26" t="n">
        <v>46123</v>
      </c>
      <c r="D2860" s="6" t="s">
        <v>5194</v>
      </c>
      <c r="E2860" s="6" t="s">
        <v>22</v>
      </c>
      <c r="F2860" s="6" t="n">
        <v>4</v>
      </c>
      <c r="G2860" s="10" t="n">
        <v>2151</v>
      </c>
      <c r="H2860" s="10" t="n">
        <f aca="false">F2860*G2860</f>
        <v>8604</v>
      </c>
      <c r="I2860" s="6" t="s">
        <v>5148</v>
      </c>
    </row>
    <row r="2861" customFormat="false" ht="15" hidden="false" customHeight="false" outlineLevel="0" collapsed="false">
      <c r="A2861" s="6" t="s">
        <v>8084</v>
      </c>
      <c r="B2861" s="6" t="s">
        <v>396</v>
      </c>
      <c r="C2861" s="26" t="n">
        <v>46123</v>
      </c>
      <c r="D2861" s="6" t="s">
        <v>5129</v>
      </c>
      <c r="E2861" s="6" t="s">
        <v>21</v>
      </c>
      <c r="F2861" s="6" t="n">
        <v>2</v>
      </c>
      <c r="G2861" s="10" t="n">
        <v>589</v>
      </c>
      <c r="H2861" s="10" t="n">
        <f aca="false">F2861*G2861</f>
        <v>1178</v>
      </c>
      <c r="I2861" s="6" t="s">
        <v>5173</v>
      </c>
    </row>
    <row r="2862" customFormat="false" ht="15" hidden="false" customHeight="false" outlineLevel="0" collapsed="false">
      <c r="A2862" s="6" t="s">
        <v>8085</v>
      </c>
      <c r="B2862" s="6" t="s">
        <v>4601</v>
      </c>
      <c r="C2862" s="26" t="n">
        <v>46123</v>
      </c>
      <c r="D2862" s="6" t="s">
        <v>5316</v>
      </c>
      <c r="E2862" s="6" t="s">
        <v>23</v>
      </c>
      <c r="F2862" s="6" t="n">
        <v>2</v>
      </c>
      <c r="G2862" s="10" t="n">
        <v>247</v>
      </c>
      <c r="H2862" s="10" t="n">
        <f aca="false">F2862*G2862</f>
        <v>494</v>
      </c>
      <c r="I2862" s="6" t="s">
        <v>5148</v>
      </c>
    </row>
    <row r="2863" customFormat="false" ht="15" hidden="false" customHeight="false" outlineLevel="0" collapsed="false">
      <c r="A2863" s="6" t="s">
        <v>8086</v>
      </c>
      <c r="B2863" s="6" t="s">
        <v>3991</v>
      </c>
      <c r="C2863" s="26" t="n">
        <v>46123</v>
      </c>
      <c r="D2863" s="6" t="s">
        <v>5160</v>
      </c>
      <c r="E2863" s="6" t="s">
        <v>21</v>
      </c>
      <c r="F2863" s="6" t="n">
        <v>1</v>
      </c>
      <c r="G2863" s="10" t="n">
        <v>2751</v>
      </c>
      <c r="H2863" s="10" t="n">
        <f aca="false">F2863*G2863</f>
        <v>2751</v>
      </c>
      <c r="I2863" s="6" t="s">
        <v>5122</v>
      </c>
    </row>
    <row r="2864" customFormat="false" ht="15" hidden="false" customHeight="false" outlineLevel="0" collapsed="false">
      <c r="A2864" s="6" t="s">
        <v>8087</v>
      </c>
      <c r="B2864" s="6" t="s">
        <v>2253</v>
      </c>
      <c r="C2864" s="26" t="n">
        <v>46123</v>
      </c>
      <c r="D2864" s="6" t="s">
        <v>5154</v>
      </c>
      <c r="E2864" s="6" t="s">
        <v>21</v>
      </c>
      <c r="F2864" s="6" t="n">
        <v>1</v>
      </c>
      <c r="G2864" s="10" t="n">
        <v>707</v>
      </c>
      <c r="H2864" s="10" t="n">
        <f aca="false">F2864*G2864</f>
        <v>707</v>
      </c>
      <c r="I2864" s="6" t="s">
        <v>5148</v>
      </c>
    </row>
    <row r="2865" customFormat="false" ht="15" hidden="false" customHeight="false" outlineLevel="0" collapsed="false">
      <c r="A2865" s="6" t="s">
        <v>8088</v>
      </c>
      <c r="B2865" s="6" t="s">
        <v>295</v>
      </c>
      <c r="C2865" s="26" t="n">
        <v>46123</v>
      </c>
      <c r="D2865" s="6" t="s">
        <v>5139</v>
      </c>
      <c r="E2865" s="6" t="s">
        <v>23</v>
      </c>
      <c r="F2865" s="6" t="n">
        <v>1</v>
      </c>
      <c r="G2865" s="10" t="n">
        <v>278</v>
      </c>
      <c r="H2865" s="10" t="n">
        <f aca="false">F2865*G2865</f>
        <v>278</v>
      </c>
      <c r="I2865" s="6" t="s">
        <v>5125</v>
      </c>
    </row>
    <row r="2866" customFormat="false" ht="15" hidden="false" customHeight="false" outlineLevel="0" collapsed="false">
      <c r="A2866" s="6" t="s">
        <v>8089</v>
      </c>
      <c r="B2866" s="6" t="s">
        <v>1903</v>
      </c>
      <c r="C2866" s="26" t="n">
        <v>46123</v>
      </c>
      <c r="D2866" s="6" t="s">
        <v>5410</v>
      </c>
      <c r="E2866" s="6" t="s">
        <v>20</v>
      </c>
      <c r="F2866" s="6" t="n">
        <v>1</v>
      </c>
      <c r="G2866" s="10" t="n">
        <v>2547</v>
      </c>
      <c r="H2866" s="10" t="n">
        <f aca="false">F2866*G2866</f>
        <v>2547</v>
      </c>
      <c r="I2866" s="6" t="s">
        <v>5122</v>
      </c>
    </row>
    <row r="2867" customFormat="false" ht="15" hidden="false" customHeight="false" outlineLevel="0" collapsed="false">
      <c r="A2867" s="6" t="s">
        <v>8090</v>
      </c>
      <c r="B2867" s="6" t="s">
        <v>3947</v>
      </c>
      <c r="C2867" s="26" t="n">
        <v>46123</v>
      </c>
      <c r="D2867" s="6" t="s">
        <v>5137</v>
      </c>
      <c r="E2867" s="6" t="s">
        <v>21</v>
      </c>
      <c r="F2867" s="6" t="n">
        <v>1</v>
      </c>
      <c r="G2867" s="10" t="n">
        <v>1768</v>
      </c>
      <c r="H2867" s="10" t="n">
        <f aca="false">F2867*G2867</f>
        <v>1768</v>
      </c>
      <c r="I2867" s="6" t="s">
        <v>5148</v>
      </c>
    </row>
    <row r="2868" customFormat="false" ht="15" hidden="false" customHeight="false" outlineLevel="0" collapsed="false">
      <c r="A2868" s="6" t="s">
        <v>8091</v>
      </c>
      <c r="B2868" s="6" t="s">
        <v>3493</v>
      </c>
      <c r="C2868" s="26" t="n">
        <v>46123</v>
      </c>
      <c r="D2868" s="6" t="s">
        <v>5171</v>
      </c>
      <c r="E2868" s="6" t="s">
        <v>23</v>
      </c>
      <c r="F2868" s="6" t="n">
        <v>2</v>
      </c>
      <c r="G2868" s="10" t="n">
        <v>734</v>
      </c>
      <c r="H2868" s="10" t="n">
        <f aca="false">F2868*G2868</f>
        <v>1468</v>
      </c>
      <c r="I2868" s="6" t="s">
        <v>5122</v>
      </c>
    </row>
    <row r="2869" customFormat="false" ht="15" hidden="false" customHeight="false" outlineLevel="0" collapsed="false">
      <c r="A2869" s="6" t="s">
        <v>8092</v>
      </c>
      <c r="B2869" s="6" t="s">
        <v>569</v>
      </c>
      <c r="C2869" s="26" t="n">
        <v>46123</v>
      </c>
      <c r="D2869" s="6" t="s">
        <v>5182</v>
      </c>
      <c r="E2869" s="6" t="s">
        <v>23</v>
      </c>
      <c r="F2869" s="6" t="n">
        <v>1</v>
      </c>
      <c r="G2869" s="10" t="n">
        <v>366</v>
      </c>
      <c r="H2869" s="10" t="n">
        <f aca="false">F2869*G2869</f>
        <v>366</v>
      </c>
      <c r="I2869" s="6" t="s">
        <v>5122</v>
      </c>
    </row>
    <row r="2870" customFormat="false" ht="15" hidden="false" customHeight="false" outlineLevel="0" collapsed="false">
      <c r="A2870" s="6" t="s">
        <v>8093</v>
      </c>
      <c r="B2870" s="6" t="s">
        <v>1335</v>
      </c>
      <c r="C2870" s="26" t="n">
        <v>46123</v>
      </c>
      <c r="D2870" s="6" t="s">
        <v>5316</v>
      </c>
      <c r="E2870" s="6" t="s">
        <v>23</v>
      </c>
      <c r="F2870" s="6" t="n">
        <v>4</v>
      </c>
      <c r="G2870" s="10" t="n">
        <v>247</v>
      </c>
      <c r="H2870" s="10" t="n">
        <f aca="false">F2870*G2870</f>
        <v>988</v>
      </c>
      <c r="I2870" s="6" t="s">
        <v>5130</v>
      </c>
    </row>
    <row r="2871" customFormat="false" ht="15" hidden="false" customHeight="false" outlineLevel="0" collapsed="false">
      <c r="A2871" s="6" t="s">
        <v>8094</v>
      </c>
      <c r="B2871" s="6" t="s">
        <v>4679</v>
      </c>
      <c r="C2871" s="26" t="n">
        <v>46123</v>
      </c>
      <c r="D2871" s="6" t="s">
        <v>5197</v>
      </c>
      <c r="E2871" s="6" t="s">
        <v>21</v>
      </c>
      <c r="F2871" s="6" t="n">
        <v>1</v>
      </c>
      <c r="G2871" s="10" t="n">
        <v>1080</v>
      </c>
      <c r="H2871" s="10" t="n">
        <f aca="false">F2871*G2871</f>
        <v>1080</v>
      </c>
      <c r="I2871" s="6" t="s">
        <v>5148</v>
      </c>
    </row>
    <row r="2872" customFormat="false" ht="15" hidden="false" customHeight="false" outlineLevel="0" collapsed="false">
      <c r="A2872" s="6" t="s">
        <v>8095</v>
      </c>
      <c r="B2872" s="6" t="s">
        <v>2829</v>
      </c>
      <c r="C2872" s="26" t="n">
        <v>46123</v>
      </c>
      <c r="D2872" s="6" t="s">
        <v>5167</v>
      </c>
      <c r="E2872" s="6" t="s">
        <v>22</v>
      </c>
      <c r="F2872" s="6" t="n">
        <v>2</v>
      </c>
      <c r="G2872" s="10" t="n">
        <v>782</v>
      </c>
      <c r="H2872" s="10" t="n">
        <f aca="false">F2872*G2872</f>
        <v>1564</v>
      </c>
      <c r="I2872" s="6" t="s">
        <v>5122</v>
      </c>
    </row>
    <row r="2873" customFormat="false" ht="15" hidden="false" customHeight="false" outlineLevel="0" collapsed="false">
      <c r="A2873" s="6" t="s">
        <v>8096</v>
      </c>
      <c r="B2873" s="6" t="s">
        <v>4493</v>
      </c>
      <c r="C2873" s="26" t="n">
        <v>46123</v>
      </c>
      <c r="D2873" s="6" t="s">
        <v>5141</v>
      </c>
      <c r="E2873" s="6" t="s">
        <v>20</v>
      </c>
      <c r="F2873" s="6" t="n">
        <v>1</v>
      </c>
      <c r="G2873" s="10" t="n">
        <v>1651</v>
      </c>
      <c r="H2873" s="10" t="n">
        <f aca="false">F2873*G2873</f>
        <v>1651</v>
      </c>
      <c r="I2873" s="6" t="s">
        <v>5130</v>
      </c>
    </row>
    <row r="2874" customFormat="false" ht="15" hidden="false" customHeight="false" outlineLevel="0" collapsed="false">
      <c r="A2874" s="6" t="s">
        <v>8097</v>
      </c>
      <c r="B2874" s="6" t="s">
        <v>2183</v>
      </c>
      <c r="C2874" s="26" t="n">
        <v>46123</v>
      </c>
      <c r="D2874" s="6" t="s">
        <v>5538</v>
      </c>
      <c r="E2874" s="6" t="s">
        <v>21</v>
      </c>
      <c r="F2874" s="6" t="n">
        <v>1</v>
      </c>
      <c r="G2874" s="10" t="n">
        <v>5135</v>
      </c>
      <c r="H2874" s="10" t="n">
        <f aca="false">F2874*G2874</f>
        <v>5135</v>
      </c>
      <c r="I2874" s="6" t="s">
        <v>5148</v>
      </c>
    </row>
    <row r="2875" customFormat="false" ht="15" hidden="false" customHeight="false" outlineLevel="0" collapsed="false">
      <c r="A2875" s="6" t="s">
        <v>8098</v>
      </c>
      <c r="B2875" s="6" t="s">
        <v>2405</v>
      </c>
      <c r="C2875" s="26" t="n">
        <v>46123</v>
      </c>
      <c r="D2875" s="6" t="s">
        <v>5143</v>
      </c>
      <c r="E2875" s="6" t="s">
        <v>21</v>
      </c>
      <c r="F2875" s="6" t="n">
        <v>1</v>
      </c>
      <c r="G2875" s="10" t="n">
        <v>1179</v>
      </c>
      <c r="H2875" s="10" t="n">
        <f aca="false">F2875*G2875</f>
        <v>1179</v>
      </c>
      <c r="I2875" s="6" t="s">
        <v>5125</v>
      </c>
    </row>
    <row r="2876" customFormat="false" ht="15" hidden="false" customHeight="false" outlineLevel="0" collapsed="false">
      <c r="A2876" s="6" t="s">
        <v>8099</v>
      </c>
      <c r="B2876" s="6" t="s">
        <v>3529</v>
      </c>
      <c r="C2876" s="26" t="n">
        <v>46123</v>
      </c>
      <c r="D2876" s="6" t="s">
        <v>5220</v>
      </c>
      <c r="E2876" s="6" t="s">
        <v>24</v>
      </c>
      <c r="F2876" s="6" t="n">
        <v>4</v>
      </c>
      <c r="G2876" s="10" t="n">
        <v>1120</v>
      </c>
      <c r="H2876" s="10" t="n">
        <f aca="false">F2876*G2876</f>
        <v>4480</v>
      </c>
      <c r="I2876" s="6" t="s">
        <v>5122</v>
      </c>
    </row>
    <row r="2877" customFormat="false" ht="15" hidden="false" customHeight="false" outlineLevel="0" collapsed="false">
      <c r="A2877" s="6" t="s">
        <v>8100</v>
      </c>
      <c r="B2877" s="6" t="s">
        <v>3481</v>
      </c>
      <c r="C2877" s="26" t="n">
        <v>46123</v>
      </c>
      <c r="D2877" s="6" t="s">
        <v>5129</v>
      </c>
      <c r="E2877" s="6" t="s">
        <v>21</v>
      </c>
      <c r="F2877" s="6" t="n">
        <v>1</v>
      </c>
      <c r="G2877" s="10" t="n">
        <v>530</v>
      </c>
      <c r="H2877" s="10" t="n">
        <f aca="false">F2877*G2877</f>
        <v>530</v>
      </c>
      <c r="I2877" s="6" t="s">
        <v>5122</v>
      </c>
    </row>
    <row r="2878" customFormat="false" ht="15" hidden="false" customHeight="false" outlineLevel="0" collapsed="false">
      <c r="A2878" s="6" t="s">
        <v>8101</v>
      </c>
      <c r="B2878" s="6" t="s">
        <v>4687</v>
      </c>
      <c r="C2878" s="26" t="n">
        <v>46123</v>
      </c>
      <c r="D2878" s="6" t="s">
        <v>5218</v>
      </c>
      <c r="E2878" s="6" t="s">
        <v>23</v>
      </c>
      <c r="F2878" s="6" t="n">
        <v>2</v>
      </c>
      <c r="G2878" s="10" t="n">
        <v>148</v>
      </c>
      <c r="H2878" s="10" t="n">
        <f aca="false">F2878*G2878</f>
        <v>296</v>
      </c>
      <c r="I2878" s="6" t="s">
        <v>5130</v>
      </c>
    </row>
    <row r="2879" customFormat="false" ht="15" hidden="false" customHeight="false" outlineLevel="0" collapsed="false">
      <c r="A2879" s="6" t="s">
        <v>8102</v>
      </c>
      <c r="B2879" s="6" t="s">
        <v>2549</v>
      </c>
      <c r="C2879" s="26" t="n">
        <v>46123</v>
      </c>
      <c r="D2879" s="6" t="s">
        <v>6114</v>
      </c>
      <c r="E2879" s="6" t="s">
        <v>20</v>
      </c>
      <c r="F2879" s="6" t="n">
        <v>1</v>
      </c>
      <c r="G2879" s="10" t="n">
        <v>13256</v>
      </c>
      <c r="H2879" s="10" t="n">
        <f aca="false">F2879*G2879</f>
        <v>13256</v>
      </c>
      <c r="I2879" s="6" t="s">
        <v>5148</v>
      </c>
    </row>
    <row r="2880" customFormat="false" ht="15" hidden="false" customHeight="false" outlineLevel="0" collapsed="false">
      <c r="A2880" s="6" t="s">
        <v>8103</v>
      </c>
      <c r="B2880" s="6" t="s">
        <v>4885</v>
      </c>
      <c r="C2880" s="26" t="n">
        <v>46123</v>
      </c>
      <c r="D2880" s="6" t="s">
        <v>5167</v>
      </c>
      <c r="E2880" s="6" t="s">
        <v>22</v>
      </c>
      <c r="F2880" s="6" t="n">
        <v>3</v>
      </c>
      <c r="G2880" s="10" t="n">
        <v>782</v>
      </c>
      <c r="H2880" s="10" t="n">
        <f aca="false">F2880*G2880</f>
        <v>2346</v>
      </c>
      <c r="I2880" s="6" t="s">
        <v>5148</v>
      </c>
    </row>
    <row r="2881" customFormat="false" ht="15" hidden="false" customHeight="false" outlineLevel="0" collapsed="false">
      <c r="A2881" s="6" t="s">
        <v>8104</v>
      </c>
      <c r="B2881" s="6" t="s">
        <v>765</v>
      </c>
      <c r="C2881" s="26" t="n">
        <v>46123</v>
      </c>
      <c r="D2881" s="6" t="s">
        <v>5154</v>
      </c>
      <c r="E2881" s="6" t="s">
        <v>21</v>
      </c>
      <c r="F2881" s="6" t="n">
        <v>3</v>
      </c>
      <c r="G2881" s="10" t="n">
        <v>785</v>
      </c>
      <c r="H2881" s="10" t="n">
        <f aca="false">F2881*G2881</f>
        <v>2355</v>
      </c>
      <c r="I2881" s="6" t="s">
        <v>5173</v>
      </c>
    </row>
    <row r="2882" customFormat="false" ht="15" hidden="false" customHeight="false" outlineLevel="0" collapsed="false">
      <c r="A2882" s="6" t="s">
        <v>8105</v>
      </c>
      <c r="B2882" s="6" t="s">
        <v>3017</v>
      </c>
      <c r="C2882" s="26" t="n">
        <v>46123</v>
      </c>
      <c r="D2882" s="6" t="s">
        <v>5192</v>
      </c>
      <c r="E2882" s="6" t="s">
        <v>20</v>
      </c>
      <c r="F2882" s="6" t="n">
        <v>1</v>
      </c>
      <c r="G2882" s="10" t="n">
        <v>3669</v>
      </c>
      <c r="H2882" s="10" t="n">
        <f aca="false">F2882*G2882</f>
        <v>3669</v>
      </c>
      <c r="I2882" s="6" t="s">
        <v>5122</v>
      </c>
    </row>
    <row r="2883" customFormat="false" ht="15" hidden="false" customHeight="false" outlineLevel="0" collapsed="false">
      <c r="A2883" s="6" t="s">
        <v>8106</v>
      </c>
      <c r="B2883" s="6" t="s">
        <v>3003</v>
      </c>
      <c r="C2883" s="26" t="n">
        <v>46123</v>
      </c>
      <c r="D2883" s="6" t="s">
        <v>5522</v>
      </c>
      <c r="E2883" s="6" t="s">
        <v>21</v>
      </c>
      <c r="F2883" s="6" t="n">
        <v>2</v>
      </c>
      <c r="G2883" s="10" t="n">
        <v>11499</v>
      </c>
      <c r="H2883" s="10" t="n">
        <f aca="false">F2883*G2883</f>
        <v>22998</v>
      </c>
      <c r="I2883" s="6" t="s">
        <v>5133</v>
      </c>
    </row>
    <row r="2884" customFormat="false" ht="15" hidden="false" customHeight="false" outlineLevel="0" collapsed="false">
      <c r="A2884" s="6" t="s">
        <v>8107</v>
      </c>
      <c r="B2884" s="6" t="s">
        <v>3537</v>
      </c>
      <c r="C2884" s="26" t="n">
        <v>46123</v>
      </c>
      <c r="D2884" s="6" t="s">
        <v>5488</v>
      </c>
      <c r="E2884" s="6" t="s">
        <v>24</v>
      </c>
      <c r="F2884" s="6" t="n">
        <v>1</v>
      </c>
      <c r="G2884" s="10" t="n">
        <v>866</v>
      </c>
      <c r="H2884" s="10" t="n">
        <f aca="false">F2884*G2884</f>
        <v>866</v>
      </c>
      <c r="I2884" s="6" t="s">
        <v>5148</v>
      </c>
    </row>
    <row r="2885" customFormat="false" ht="15" hidden="false" customHeight="false" outlineLevel="0" collapsed="false">
      <c r="A2885" s="6" t="s">
        <v>8108</v>
      </c>
      <c r="B2885" s="6" t="s">
        <v>4145</v>
      </c>
      <c r="C2885" s="26" t="n">
        <v>46123</v>
      </c>
      <c r="D2885" s="6" t="s">
        <v>5165</v>
      </c>
      <c r="E2885" s="6" t="s">
        <v>22</v>
      </c>
      <c r="F2885" s="6" t="n">
        <v>2</v>
      </c>
      <c r="G2885" s="10" t="n">
        <v>928</v>
      </c>
      <c r="H2885" s="10" t="n">
        <f aca="false">F2885*G2885</f>
        <v>1856</v>
      </c>
      <c r="I2885" s="6" t="s">
        <v>5122</v>
      </c>
    </row>
    <row r="2886" customFormat="false" ht="15" hidden="false" customHeight="false" outlineLevel="0" collapsed="false">
      <c r="A2886" s="6" t="s">
        <v>8109</v>
      </c>
      <c r="B2886" s="6" t="s">
        <v>4859</v>
      </c>
      <c r="C2886" s="26" t="n">
        <v>46123</v>
      </c>
      <c r="D2886" s="6" t="s">
        <v>5165</v>
      </c>
      <c r="E2886" s="6" t="s">
        <v>22</v>
      </c>
      <c r="F2886" s="6" t="n">
        <v>1</v>
      </c>
      <c r="G2886" s="10" t="n">
        <v>977</v>
      </c>
      <c r="H2886" s="10" t="n">
        <f aca="false">F2886*G2886</f>
        <v>977</v>
      </c>
      <c r="I2886" s="6" t="s">
        <v>5122</v>
      </c>
    </row>
    <row r="2887" customFormat="false" ht="15" hidden="false" customHeight="false" outlineLevel="0" collapsed="false">
      <c r="A2887" s="6" t="s">
        <v>8110</v>
      </c>
      <c r="B2887" s="6" t="s">
        <v>3125</v>
      </c>
      <c r="C2887" s="26" t="n">
        <v>46123</v>
      </c>
      <c r="D2887" s="6" t="s">
        <v>5423</v>
      </c>
      <c r="E2887" s="6" t="s">
        <v>21</v>
      </c>
      <c r="F2887" s="6" t="n">
        <v>1</v>
      </c>
      <c r="G2887" s="10" t="n">
        <v>3243</v>
      </c>
      <c r="H2887" s="10" t="n">
        <f aca="false">F2887*G2887</f>
        <v>3243</v>
      </c>
      <c r="I2887" s="6" t="s">
        <v>5173</v>
      </c>
    </row>
    <row r="2888" customFormat="false" ht="15" hidden="false" customHeight="false" outlineLevel="0" collapsed="false">
      <c r="A2888" s="6" t="s">
        <v>8111</v>
      </c>
      <c r="B2888" s="6" t="s">
        <v>2463</v>
      </c>
      <c r="C2888" s="26" t="n">
        <v>46123</v>
      </c>
      <c r="D2888" s="6" t="s">
        <v>5353</v>
      </c>
      <c r="E2888" s="6" t="s">
        <v>24</v>
      </c>
      <c r="F2888" s="6" t="n">
        <v>1</v>
      </c>
      <c r="G2888" s="10" t="n">
        <v>1629</v>
      </c>
      <c r="H2888" s="10" t="n">
        <f aca="false">F2888*G2888</f>
        <v>1629</v>
      </c>
      <c r="I2888" s="6" t="s">
        <v>5125</v>
      </c>
    </row>
    <row r="2889" customFormat="false" ht="15" hidden="false" customHeight="false" outlineLevel="0" collapsed="false">
      <c r="A2889" s="6" t="s">
        <v>8112</v>
      </c>
      <c r="B2889" s="6" t="s">
        <v>943</v>
      </c>
      <c r="C2889" s="26" t="n">
        <v>46123</v>
      </c>
      <c r="D2889" s="6" t="s">
        <v>5167</v>
      </c>
      <c r="E2889" s="6" t="s">
        <v>22</v>
      </c>
      <c r="F2889" s="6" t="n">
        <v>2</v>
      </c>
      <c r="G2889" s="10" t="n">
        <v>782</v>
      </c>
      <c r="H2889" s="10" t="n">
        <f aca="false">F2889*G2889</f>
        <v>1564</v>
      </c>
      <c r="I2889" s="6" t="s">
        <v>5122</v>
      </c>
    </row>
    <row r="2890" customFormat="false" ht="15" hidden="false" customHeight="false" outlineLevel="0" collapsed="false">
      <c r="A2890" s="6" t="s">
        <v>8113</v>
      </c>
      <c r="B2890" s="6" t="s">
        <v>1921</v>
      </c>
      <c r="C2890" s="26" t="n">
        <v>46123</v>
      </c>
      <c r="D2890" s="6" t="s">
        <v>5180</v>
      </c>
      <c r="E2890" s="6" t="s">
        <v>24</v>
      </c>
      <c r="F2890" s="6" t="n">
        <v>1</v>
      </c>
      <c r="G2890" s="10" t="n">
        <v>1987</v>
      </c>
      <c r="H2890" s="10" t="n">
        <f aca="false">F2890*G2890</f>
        <v>1987</v>
      </c>
      <c r="I2890" s="6" t="s">
        <v>5130</v>
      </c>
    </row>
    <row r="2891" customFormat="false" ht="15" hidden="false" customHeight="false" outlineLevel="0" collapsed="false">
      <c r="A2891" s="6" t="s">
        <v>8114</v>
      </c>
      <c r="B2891" s="6" t="s">
        <v>4415</v>
      </c>
      <c r="C2891" s="26" t="n">
        <v>46123</v>
      </c>
      <c r="D2891" s="6" t="s">
        <v>5156</v>
      </c>
      <c r="E2891" s="6" t="s">
        <v>21</v>
      </c>
      <c r="F2891" s="6" t="n">
        <v>1</v>
      </c>
      <c r="G2891" s="10" t="n">
        <v>2161</v>
      </c>
      <c r="H2891" s="10" t="n">
        <f aca="false">F2891*G2891</f>
        <v>2161</v>
      </c>
      <c r="I2891" s="6" t="s">
        <v>5122</v>
      </c>
    </row>
    <row r="2892" customFormat="false" ht="15" hidden="false" customHeight="false" outlineLevel="0" collapsed="false">
      <c r="A2892" s="6" t="s">
        <v>8115</v>
      </c>
      <c r="B2892" s="6" t="s">
        <v>3799</v>
      </c>
      <c r="C2892" s="26" t="n">
        <v>46124</v>
      </c>
      <c r="D2892" s="6" t="s">
        <v>5167</v>
      </c>
      <c r="E2892" s="6" t="s">
        <v>22</v>
      </c>
      <c r="F2892" s="6" t="n">
        <v>1</v>
      </c>
      <c r="G2892" s="10" t="n">
        <v>703</v>
      </c>
      <c r="H2892" s="10" t="n">
        <f aca="false">F2892*G2892</f>
        <v>703</v>
      </c>
      <c r="I2892" s="6" t="s">
        <v>5148</v>
      </c>
    </row>
    <row r="2893" customFormat="false" ht="15" hidden="false" customHeight="false" outlineLevel="0" collapsed="false">
      <c r="A2893" s="6" t="s">
        <v>8116</v>
      </c>
      <c r="B2893" s="6" t="s">
        <v>128</v>
      </c>
      <c r="C2893" s="26" t="n">
        <v>46124</v>
      </c>
      <c r="D2893" s="6" t="s">
        <v>5466</v>
      </c>
      <c r="E2893" s="6" t="s">
        <v>21</v>
      </c>
      <c r="F2893" s="6" t="n">
        <v>2</v>
      </c>
      <c r="G2893" s="10" t="n">
        <v>1965</v>
      </c>
      <c r="H2893" s="10" t="n">
        <f aca="false">F2893*G2893</f>
        <v>3930</v>
      </c>
      <c r="I2893" s="6" t="s">
        <v>5122</v>
      </c>
    </row>
    <row r="2894" customFormat="false" ht="15" hidden="false" customHeight="false" outlineLevel="0" collapsed="false">
      <c r="A2894" s="6" t="s">
        <v>8117</v>
      </c>
      <c r="B2894" s="6" t="s">
        <v>569</v>
      </c>
      <c r="C2894" s="26" t="n">
        <v>46124</v>
      </c>
      <c r="D2894" s="6" t="s">
        <v>5345</v>
      </c>
      <c r="E2894" s="6" t="s">
        <v>23</v>
      </c>
      <c r="F2894" s="6" t="n">
        <v>2</v>
      </c>
      <c r="G2894" s="10" t="n">
        <v>436</v>
      </c>
      <c r="H2894" s="10" t="n">
        <f aca="false">F2894*G2894</f>
        <v>872</v>
      </c>
      <c r="I2894" s="6" t="s">
        <v>5133</v>
      </c>
    </row>
    <row r="2895" customFormat="false" ht="15" hidden="false" customHeight="false" outlineLevel="0" collapsed="false">
      <c r="A2895" s="6" t="s">
        <v>8118</v>
      </c>
      <c r="B2895" s="6" t="s">
        <v>346</v>
      </c>
      <c r="C2895" s="26" t="n">
        <v>46124</v>
      </c>
      <c r="D2895" s="6" t="s">
        <v>5259</v>
      </c>
      <c r="E2895" s="6" t="s">
        <v>22</v>
      </c>
      <c r="F2895" s="6" t="n">
        <v>1</v>
      </c>
      <c r="G2895" s="10" t="n">
        <v>1486</v>
      </c>
      <c r="H2895" s="10" t="n">
        <f aca="false">F2895*G2895</f>
        <v>1486</v>
      </c>
      <c r="I2895" s="6" t="s">
        <v>5148</v>
      </c>
    </row>
    <row r="2896" customFormat="false" ht="15" hidden="false" customHeight="false" outlineLevel="0" collapsed="false">
      <c r="A2896" s="6" t="s">
        <v>8119</v>
      </c>
      <c r="B2896" s="6" t="s">
        <v>1545</v>
      </c>
      <c r="C2896" s="26" t="n">
        <v>46124</v>
      </c>
      <c r="D2896" s="6" t="s">
        <v>5259</v>
      </c>
      <c r="E2896" s="6" t="s">
        <v>22</v>
      </c>
      <c r="F2896" s="6" t="n">
        <v>2</v>
      </c>
      <c r="G2896" s="10" t="n">
        <v>1408</v>
      </c>
      <c r="H2896" s="10" t="n">
        <f aca="false">F2896*G2896</f>
        <v>2816</v>
      </c>
      <c r="I2896" s="6" t="s">
        <v>5122</v>
      </c>
    </row>
    <row r="2897" customFormat="false" ht="15" hidden="false" customHeight="false" outlineLevel="0" collapsed="false">
      <c r="A2897" s="6" t="s">
        <v>8120</v>
      </c>
      <c r="B2897" s="6" t="s">
        <v>433</v>
      </c>
      <c r="C2897" s="26" t="n">
        <v>46124</v>
      </c>
      <c r="D2897" s="6" t="s">
        <v>5216</v>
      </c>
      <c r="E2897" s="6" t="s">
        <v>23</v>
      </c>
      <c r="F2897" s="6" t="n">
        <v>2</v>
      </c>
      <c r="G2897" s="10" t="n">
        <v>587</v>
      </c>
      <c r="H2897" s="10" t="n">
        <f aca="false">F2897*G2897</f>
        <v>1174</v>
      </c>
      <c r="I2897" s="6" t="s">
        <v>5148</v>
      </c>
    </row>
    <row r="2898" customFormat="false" ht="15" hidden="false" customHeight="false" outlineLevel="0" collapsed="false">
      <c r="A2898" s="6" t="s">
        <v>8121</v>
      </c>
      <c r="B2898" s="6" t="s">
        <v>2367</v>
      </c>
      <c r="C2898" s="26" t="n">
        <v>46124</v>
      </c>
      <c r="D2898" s="6" t="s">
        <v>5259</v>
      </c>
      <c r="E2898" s="6" t="s">
        <v>22</v>
      </c>
      <c r="F2898" s="6" t="n">
        <v>2</v>
      </c>
      <c r="G2898" s="10" t="n">
        <v>1564</v>
      </c>
      <c r="H2898" s="10" t="n">
        <f aca="false">F2898*G2898</f>
        <v>3128</v>
      </c>
      <c r="I2898" s="6" t="s">
        <v>5125</v>
      </c>
    </row>
    <row r="2899" customFormat="false" ht="15" hidden="false" customHeight="false" outlineLevel="0" collapsed="false">
      <c r="A2899" s="6" t="s">
        <v>8122</v>
      </c>
      <c r="B2899" s="6" t="s">
        <v>4017</v>
      </c>
      <c r="C2899" s="26" t="n">
        <v>46124</v>
      </c>
      <c r="D2899" s="6" t="s">
        <v>5135</v>
      </c>
      <c r="E2899" s="6" t="s">
        <v>23</v>
      </c>
      <c r="F2899" s="6" t="n">
        <v>4</v>
      </c>
      <c r="G2899" s="10" t="n">
        <v>419</v>
      </c>
      <c r="H2899" s="10" t="n">
        <f aca="false">F2899*G2899</f>
        <v>1676</v>
      </c>
      <c r="I2899" s="6" t="s">
        <v>5122</v>
      </c>
    </row>
    <row r="2900" customFormat="false" ht="15" hidden="false" customHeight="false" outlineLevel="0" collapsed="false">
      <c r="A2900" s="6" t="s">
        <v>8123</v>
      </c>
      <c r="B2900" s="6" t="s">
        <v>2913</v>
      </c>
      <c r="C2900" s="26" t="n">
        <v>46124</v>
      </c>
      <c r="D2900" s="6" t="s">
        <v>5137</v>
      </c>
      <c r="E2900" s="6" t="s">
        <v>21</v>
      </c>
      <c r="F2900" s="6" t="n">
        <v>1</v>
      </c>
      <c r="G2900" s="10" t="n">
        <v>1680</v>
      </c>
      <c r="H2900" s="10" t="n">
        <f aca="false">F2900*G2900</f>
        <v>1680</v>
      </c>
      <c r="I2900" s="6" t="s">
        <v>5125</v>
      </c>
    </row>
    <row r="2901" customFormat="false" ht="15" hidden="false" customHeight="false" outlineLevel="0" collapsed="false">
      <c r="A2901" s="6" t="s">
        <v>8124</v>
      </c>
      <c r="B2901" s="6" t="s">
        <v>3927</v>
      </c>
      <c r="C2901" s="26" t="n">
        <v>46124</v>
      </c>
      <c r="D2901" s="6" t="s">
        <v>5180</v>
      </c>
      <c r="E2901" s="6" t="s">
        <v>24</v>
      </c>
      <c r="F2901" s="6" t="n">
        <v>1</v>
      </c>
      <c r="G2901" s="10" t="n">
        <v>1987</v>
      </c>
      <c r="H2901" s="10" t="n">
        <f aca="false">F2901*G2901</f>
        <v>1987</v>
      </c>
      <c r="I2901" s="6" t="s">
        <v>5122</v>
      </c>
    </row>
    <row r="2902" customFormat="false" ht="15" hidden="false" customHeight="false" outlineLevel="0" collapsed="false">
      <c r="A2902" s="6" t="s">
        <v>8125</v>
      </c>
      <c r="B2902" s="6" t="s">
        <v>3007</v>
      </c>
      <c r="C2902" s="26" t="n">
        <v>46124</v>
      </c>
      <c r="D2902" s="6" t="s">
        <v>5154</v>
      </c>
      <c r="E2902" s="6" t="s">
        <v>21</v>
      </c>
      <c r="F2902" s="6" t="n">
        <v>2</v>
      </c>
      <c r="G2902" s="10" t="n">
        <v>785</v>
      </c>
      <c r="H2902" s="10" t="n">
        <f aca="false">F2902*G2902</f>
        <v>1570</v>
      </c>
      <c r="I2902" s="6" t="s">
        <v>5125</v>
      </c>
    </row>
    <row r="2903" customFormat="false" ht="15" hidden="false" customHeight="false" outlineLevel="0" collapsed="false">
      <c r="A2903" s="6" t="s">
        <v>8126</v>
      </c>
      <c r="B2903" s="6" t="s">
        <v>779</v>
      </c>
      <c r="C2903" s="26" t="n">
        <v>46124</v>
      </c>
      <c r="D2903" s="6" t="s">
        <v>5281</v>
      </c>
      <c r="E2903" s="6" t="s">
        <v>24</v>
      </c>
      <c r="F2903" s="6" t="n">
        <v>2</v>
      </c>
      <c r="G2903" s="10" t="n">
        <v>814</v>
      </c>
      <c r="H2903" s="10" t="n">
        <f aca="false">F2903*G2903</f>
        <v>1628</v>
      </c>
      <c r="I2903" s="6" t="s">
        <v>5122</v>
      </c>
    </row>
    <row r="2904" customFormat="false" ht="15" hidden="false" customHeight="false" outlineLevel="0" collapsed="false">
      <c r="A2904" s="6" t="s">
        <v>8127</v>
      </c>
      <c r="B2904" s="6" t="s">
        <v>4699</v>
      </c>
      <c r="C2904" s="26" t="n">
        <v>46124</v>
      </c>
      <c r="D2904" s="6" t="s">
        <v>5235</v>
      </c>
      <c r="E2904" s="6" t="s">
        <v>21</v>
      </c>
      <c r="F2904" s="6" t="n">
        <v>1</v>
      </c>
      <c r="G2904" s="10" t="n">
        <v>1503</v>
      </c>
      <c r="H2904" s="10" t="n">
        <f aca="false">F2904*G2904</f>
        <v>1503</v>
      </c>
      <c r="I2904" s="6" t="s">
        <v>5122</v>
      </c>
    </row>
    <row r="2905" customFormat="false" ht="15" hidden="false" customHeight="false" outlineLevel="0" collapsed="false">
      <c r="A2905" s="6" t="s">
        <v>8128</v>
      </c>
      <c r="B2905" s="6" t="s">
        <v>1231</v>
      </c>
      <c r="C2905" s="26" t="n">
        <v>46124</v>
      </c>
      <c r="D2905" s="6" t="s">
        <v>5345</v>
      </c>
      <c r="E2905" s="6" t="s">
        <v>23</v>
      </c>
      <c r="F2905" s="6" t="n">
        <v>5</v>
      </c>
      <c r="G2905" s="10" t="n">
        <v>436</v>
      </c>
      <c r="H2905" s="10" t="n">
        <f aca="false">F2905*G2905</f>
        <v>2180</v>
      </c>
      <c r="I2905" s="6" t="s">
        <v>5122</v>
      </c>
    </row>
    <row r="2906" customFormat="false" ht="15" hidden="false" customHeight="false" outlineLevel="0" collapsed="false">
      <c r="A2906" s="6" t="s">
        <v>8129</v>
      </c>
      <c r="B2906" s="6" t="s">
        <v>3181</v>
      </c>
      <c r="C2906" s="26" t="n">
        <v>46124</v>
      </c>
      <c r="D2906" s="6" t="s">
        <v>5127</v>
      </c>
      <c r="E2906" s="6" t="s">
        <v>21</v>
      </c>
      <c r="F2906" s="6" t="n">
        <v>1</v>
      </c>
      <c r="G2906" s="10" t="n">
        <v>839</v>
      </c>
      <c r="H2906" s="10" t="n">
        <f aca="false">F2906*G2906</f>
        <v>839</v>
      </c>
      <c r="I2906" s="6" t="s">
        <v>5130</v>
      </c>
    </row>
    <row r="2907" customFormat="false" ht="15" hidden="false" customHeight="false" outlineLevel="0" collapsed="false">
      <c r="A2907" s="6" t="s">
        <v>8130</v>
      </c>
      <c r="B2907" s="6" t="s">
        <v>271</v>
      </c>
      <c r="C2907" s="26" t="n">
        <v>46124</v>
      </c>
      <c r="D2907" s="6" t="s">
        <v>5167</v>
      </c>
      <c r="E2907" s="6" t="s">
        <v>22</v>
      </c>
      <c r="F2907" s="6" t="n">
        <v>1</v>
      </c>
      <c r="G2907" s="10" t="n">
        <v>702</v>
      </c>
      <c r="H2907" s="10" t="n">
        <f aca="false">F2907*G2907</f>
        <v>702</v>
      </c>
      <c r="I2907" s="6" t="s">
        <v>5122</v>
      </c>
    </row>
    <row r="2908" customFormat="false" ht="15" hidden="false" customHeight="false" outlineLevel="0" collapsed="false">
      <c r="A2908" s="6" t="s">
        <v>8131</v>
      </c>
      <c r="B2908" s="6" t="s">
        <v>2267</v>
      </c>
      <c r="C2908" s="26" t="n">
        <v>46124</v>
      </c>
      <c r="D2908" s="6" t="s">
        <v>5163</v>
      </c>
      <c r="E2908" s="6" t="s">
        <v>23</v>
      </c>
      <c r="F2908" s="6" t="n">
        <v>4</v>
      </c>
      <c r="G2908" s="10" t="n">
        <v>705</v>
      </c>
      <c r="H2908" s="10" t="n">
        <f aca="false">F2908*G2908</f>
        <v>2820</v>
      </c>
      <c r="I2908" s="6" t="s">
        <v>5122</v>
      </c>
    </row>
    <row r="2909" customFormat="false" ht="15" hidden="false" customHeight="false" outlineLevel="0" collapsed="false">
      <c r="A2909" s="6" t="s">
        <v>8132</v>
      </c>
      <c r="B2909" s="6" t="s">
        <v>412</v>
      </c>
      <c r="C2909" s="26" t="n">
        <v>46124</v>
      </c>
      <c r="D2909" s="6" t="s">
        <v>5216</v>
      </c>
      <c r="E2909" s="6" t="s">
        <v>23</v>
      </c>
      <c r="F2909" s="6" t="n">
        <v>1</v>
      </c>
      <c r="G2909" s="10" t="n">
        <v>528</v>
      </c>
      <c r="H2909" s="10" t="n">
        <f aca="false">F2909*G2909</f>
        <v>528</v>
      </c>
      <c r="I2909" s="6" t="s">
        <v>5133</v>
      </c>
    </row>
    <row r="2910" customFormat="false" ht="15" hidden="false" customHeight="false" outlineLevel="0" collapsed="false">
      <c r="A2910" s="6" t="s">
        <v>8133</v>
      </c>
      <c r="B2910" s="6" t="s">
        <v>1917</v>
      </c>
      <c r="C2910" s="26" t="n">
        <v>46124</v>
      </c>
      <c r="D2910" s="6" t="s">
        <v>5488</v>
      </c>
      <c r="E2910" s="6" t="s">
        <v>24</v>
      </c>
      <c r="F2910" s="6" t="n">
        <v>1</v>
      </c>
      <c r="G2910" s="10" t="n">
        <v>779</v>
      </c>
      <c r="H2910" s="10" t="n">
        <f aca="false">F2910*G2910</f>
        <v>779</v>
      </c>
      <c r="I2910" s="6" t="s">
        <v>5148</v>
      </c>
    </row>
    <row r="2911" customFormat="false" ht="15" hidden="false" customHeight="false" outlineLevel="0" collapsed="false">
      <c r="A2911" s="6" t="s">
        <v>8134</v>
      </c>
      <c r="B2911" s="6" t="s">
        <v>2223</v>
      </c>
      <c r="C2911" s="26" t="n">
        <v>46124</v>
      </c>
      <c r="D2911" s="6" t="s">
        <v>5167</v>
      </c>
      <c r="E2911" s="6" t="s">
        <v>22</v>
      </c>
      <c r="F2911" s="6" t="n">
        <v>1</v>
      </c>
      <c r="G2911" s="10" t="n">
        <v>742</v>
      </c>
      <c r="H2911" s="10" t="n">
        <f aca="false">F2911*G2911</f>
        <v>742</v>
      </c>
      <c r="I2911" s="6" t="s">
        <v>5122</v>
      </c>
    </row>
    <row r="2912" customFormat="false" ht="15" hidden="false" customHeight="false" outlineLevel="0" collapsed="false">
      <c r="A2912" s="6" t="s">
        <v>8135</v>
      </c>
      <c r="B2912" s="6" t="s">
        <v>2551</v>
      </c>
      <c r="C2912" s="26" t="n">
        <v>46124</v>
      </c>
      <c r="D2912" s="6" t="s">
        <v>5398</v>
      </c>
      <c r="E2912" s="6" t="s">
        <v>24</v>
      </c>
      <c r="F2912" s="6" t="n">
        <v>1</v>
      </c>
      <c r="G2912" s="10" t="n">
        <v>610</v>
      </c>
      <c r="H2912" s="10" t="n">
        <f aca="false">F2912*G2912</f>
        <v>610</v>
      </c>
      <c r="I2912" s="6" t="s">
        <v>5130</v>
      </c>
    </row>
    <row r="2913" customFormat="false" ht="15" hidden="false" customHeight="false" outlineLevel="0" collapsed="false">
      <c r="A2913" s="6" t="s">
        <v>8136</v>
      </c>
      <c r="B2913" s="6" t="s">
        <v>3301</v>
      </c>
      <c r="C2913" s="26" t="n">
        <v>46124</v>
      </c>
      <c r="D2913" s="6" t="s">
        <v>5641</v>
      </c>
      <c r="E2913" s="6" t="s">
        <v>22</v>
      </c>
      <c r="F2913" s="6" t="n">
        <v>1</v>
      </c>
      <c r="G2913" s="10" t="n">
        <v>2248</v>
      </c>
      <c r="H2913" s="10" t="n">
        <f aca="false">F2913*G2913</f>
        <v>2248</v>
      </c>
      <c r="I2913" s="6" t="s">
        <v>5122</v>
      </c>
    </row>
    <row r="2914" customFormat="false" ht="15" hidden="false" customHeight="false" outlineLevel="0" collapsed="false">
      <c r="A2914" s="6" t="s">
        <v>8137</v>
      </c>
      <c r="B2914" s="6" t="s">
        <v>4701</v>
      </c>
      <c r="C2914" s="26" t="n">
        <v>46124</v>
      </c>
      <c r="D2914" s="6" t="s">
        <v>5169</v>
      </c>
      <c r="E2914" s="6" t="s">
        <v>20</v>
      </c>
      <c r="F2914" s="6" t="n">
        <v>1</v>
      </c>
      <c r="G2914" s="10" t="n">
        <v>4843</v>
      </c>
      <c r="H2914" s="10" t="n">
        <f aca="false">F2914*G2914</f>
        <v>4843</v>
      </c>
      <c r="I2914" s="6" t="s">
        <v>5122</v>
      </c>
    </row>
    <row r="2915" customFormat="false" ht="15" hidden="false" customHeight="false" outlineLevel="0" collapsed="false">
      <c r="A2915" s="6" t="s">
        <v>8138</v>
      </c>
      <c r="B2915" s="6" t="s">
        <v>1663</v>
      </c>
      <c r="C2915" s="26" t="n">
        <v>46124</v>
      </c>
      <c r="D2915" s="6" t="s">
        <v>5165</v>
      </c>
      <c r="E2915" s="6" t="s">
        <v>22</v>
      </c>
      <c r="F2915" s="6" t="n">
        <v>2</v>
      </c>
      <c r="G2915" s="10" t="n">
        <v>977</v>
      </c>
      <c r="H2915" s="10" t="n">
        <f aca="false">F2915*G2915</f>
        <v>1954</v>
      </c>
      <c r="I2915" s="6" t="s">
        <v>5122</v>
      </c>
    </row>
    <row r="2916" customFormat="false" ht="15" hidden="false" customHeight="false" outlineLevel="0" collapsed="false">
      <c r="A2916" s="6" t="s">
        <v>8139</v>
      </c>
      <c r="B2916" s="6" t="s">
        <v>2781</v>
      </c>
      <c r="C2916" s="26" t="n">
        <v>46124</v>
      </c>
      <c r="D2916" s="6" t="s">
        <v>5135</v>
      </c>
      <c r="E2916" s="6" t="s">
        <v>23</v>
      </c>
      <c r="F2916" s="6" t="n">
        <v>3</v>
      </c>
      <c r="G2916" s="10" t="n">
        <v>419</v>
      </c>
      <c r="H2916" s="10" t="n">
        <f aca="false">F2916*G2916</f>
        <v>1257</v>
      </c>
      <c r="I2916" s="6" t="s">
        <v>5130</v>
      </c>
    </row>
    <row r="2917" customFormat="false" ht="15" hidden="false" customHeight="false" outlineLevel="0" collapsed="false">
      <c r="A2917" s="6" t="s">
        <v>8140</v>
      </c>
      <c r="B2917" s="6" t="s">
        <v>3991</v>
      </c>
      <c r="C2917" s="26" t="n">
        <v>46124</v>
      </c>
      <c r="D2917" s="6" t="s">
        <v>5326</v>
      </c>
      <c r="E2917" s="6" t="s">
        <v>22</v>
      </c>
      <c r="F2917" s="6" t="n">
        <v>3</v>
      </c>
      <c r="G2917" s="10" t="n">
        <v>1466</v>
      </c>
      <c r="H2917" s="10" t="n">
        <f aca="false">F2917*G2917</f>
        <v>4398</v>
      </c>
      <c r="I2917" s="6" t="s">
        <v>5148</v>
      </c>
    </row>
    <row r="2918" customFormat="false" ht="15" hidden="false" customHeight="false" outlineLevel="0" collapsed="false">
      <c r="A2918" s="6" t="s">
        <v>8141</v>
      </c>
      <c r="B2918" s="6" t="s">
        <v>717</v>
      </c>
      <c r="C2918" s="26" t="n">
        <v>46124</v>
      </c>
      <c r="D2918" s="6" t="s">
        <v>5192</v>
      </c>
      <c r="E2918" s="6" t="s">
        <v>20</v>
      </c>
      <c r="F2918" s="6" t="n">
        <v>1</v>
      </c>
      <c r="G2918" s="10" t="n">
        <v>3874</v>
      </c>
      <c r="H2918" s="10" t="n">
        <f aca="false">F2918*G2918</f>
        <v>3874</v>
      </c>
      <c r="I2918" s="6" t="s">
        <v>5130</v>
      </c>
    </row>
    <row r="2919" customFormat="false" ht="15" hidden="false" customHeight="false" outlineLevel="0" collapsed="false">
      <c r="A2919" s="6" t="s">
        <v>8142</v>
      </c>
      <c r="B2919" s="6" t="s">
        <v>1643</v>
      </c>
      <c r="C2919" s="26" t="n">
        <v>46124</v>
      </c>
      <c r="D2919" s="6" t="s">
        <v>5180</v>
      </c>
      <c r="E2919" s="6" t="s">
        <v>24</v>
      </c>
      <c r="F2919" s="6" t="n">
        <v>2</v>
      </c>
      <c r="G2919" s="10" t="n">
        <v>1987</v>
      </c>
      <c r="H2919" s="10" t="n">
        <f aca="false">F2919*G2919</f>
        <v>3974</v>
      </c>
      <c r="I2919" s="6" t="s">
        <v>5130</v>
      </c>
    </row>
    <row r="2920" customFormat="false" ht="15" hidden="false" customHeight="false" outlineLevel="0" collapsed="false">
      <c r="A2920" s="6" t="s">
        <v>8143</v>
      </c>
      <c r="B2920" s="6" t="s">
        <v>424</v>
      </c>
      <c r="C2920" s="26" t="n">
        <v>46124</v>
      </c>
      <c r="D2920" s="6" t="s">
        <v>5167</v>
      </c>
      <c r="E2920" s="6" t="s">
        <v>22</v>
      </c>
      <c r="F2920" s="6" t="n">
        <v>2</v>
      </c>
      <c r="G2920" s="10" t="n">
        <v>703</v>
      </c>
      <c r="H2920" s="10" t="n">
        <f aca="false">F2920*G2920</f>
        <v>1406</v>
      </c>
      <c r="I2920" s="6" t="s">
        <v>5122</v>
      </c>
    </row>
    <row r="2921" customFormat="false" ht="15" hidden="false" customHeight="false" outlineLevel="0" collapsed="false">
      <c r="A2921" s="6" t="s">
        <v>8144</v>
      </c>
      <c r="B2921" s="6" t="s">
        <v>2171</v>
      </c>
      <c r="C2921" s="26" t="n">
        <v>46125</v>
      </c>
      <c r="D2921" s="6" t="s">
        <v>5357</v>
      </c>
      <c r="E2921" s="6" t="s">
        <v>23</v>
      </c>
      <c r="F2921" s="6" t="n">
        <v>1</v>
      </c>
      <c r="G2921" s="10" t="n">
        <v>534</v>
      </c>
      <c r="H2921" s="10" t="n">
        <f aca="false">F2921*G2921</f>
        <v>534</v>
      </c>
      <c r="I2921" s="6" t="s">
        <v>5125</v>
      </c>
    </row>
    <row r="2922" customFormat="false" ht="15" hidden="false" customHeight="false" outlineLevel="0" collapsed="false">
      <c r="A2922" s="6" t="s">
        <v>8145</v>
      </c>
      <c r="B2922" s="6" t="s">
        <v>2501</v>
      </c>
      <c r="C2922" s="26" t="n">
        <v>46125</v>
      </c>
      <c r="D2922" s="6" t="s">
        <v>5167</v>
      </c>
      <c r="E2922" s="6" t="s">
        <v>22</v>
      </c>
      <c r="F2922" s="6" t="n">
        <v>2</v>
      </c>
      <c r="G2922" s="10" t="n">
        <v>703</v>
      </c>
      <c r="H2922" s="10" t="n">
        <f aca="false">F2922*G2922</f>
        <v>1406</v>
      </c>
      <c r="I2922" s="6" t="s">
        <v>5148</v>
      </c>
    </row>
    <row r="2923" customFormat="false" ht="15" hidden="false" customHeight="false" outlineLevel="0" collapsed="false">
      <c r="A2923" s="6" t="s">
        <v>8146</v>
      </c>
      <c r="B2923" s="6" t="s">
        <v>5059</v>
      </c>
      <c r="C2923" s="26" t="n">
        <v>46125</v>
      </c>
      <c r="D2923" s="6" t="s">
        <v>5163</v>
      </c>
      <c r="E2923" s="6" t="s">
        <v>23</v>
      </c>
      <c r="F2923" s="6" t="n">
        <v>2</v>
      </c>
      <c r="G2923" s="10" t="n">
        <v>783</v>
      </c>
      <c r="H2923" s="10" t="n">
        <f aca="false">F2923*G2923</f>
        <v>1566</v>
      </c>
      <c r="I2923" s="6" t="s">
        <v>5125</v>
      </c>
    </row>
    <row r="2924" customFormat="false" ht="15" hidden="false" customHeight="false" outlineLevel="0" collapsed="false">
      <c r="A2924" s="6" t="s">
        <v>8147</v>
      </c>
      <c r="B2924" s="6" t="s">
        <v>4659</v>
      </c>
      <c r="C2924" s="26" t="n">
        <v>46125</v>
      </c>
      <c r="D2924" s="6" t="s">
        <v>5163</v>
      </c>
      <c r="E2924" s="6" t="s">
        <v>23</v>
      </c>
      <c r="F2924" s="6" t="n">
        <v>3</v>
      </c>
      <c r="G2924" s="10" t="n">
        <v>783</v>
      </c>
      <c r="H2924" s="10" t="n">
        <f aca="false">F2924*G2924</f>
        <v>2349</v>
      </c>
      <c r="I2924" s="6" t="s">
        <v>5122</v>
      </c>
    </row>
    <row r="2925" customFormat="false" ht="15" hidden="false" customHeight="false" outlineLevel="0" collapsed="false">
      <c r="A2925" s="6" t="s">
        <v>8148</v>
      </c>
      <c r="B2925" s="6" t="s">
        <v>3891</v>
      </c>
      <c r="C2925" s="26" t="n">
        <v>46125</v>
      </c>
      <c r="D2925" s="6" t="s">
        <v>5458</v>
      </c>
      <c r="E2925" s="6" t="s">
        <v>24</v>
      </c>
      <c r="F2925" s="6" t="n">
        <v>1</v>
      </c>
      <c r="G2925" s="10" t="n">
        <v>531</v>
      </c>
      <c r="H2925" s="10" t="n">
        <f aca="false">F2925*G2925</f>
        <v>531</v>
      </c>
      <c r="I2925" s="6" t="s">
        <v>5122</v>
      </c>
    </row>
    <row r="2926" customFormat="false" ht="15" hidden="false" customHeight="false" outlineLevel="0" collapsed="false">
      <c r="A2926" s="6" t="s">
        <v>8149</v>
      </c>
      <c r="B2926" s="6" t="s">
        <v>4103</v>
      </c>
      <c r="C2926" s="26" t="n">
        <v>46125</v>
      </c>
      <c r="D2926" s="6" t="s">
        <v>5281</v>
      </c>
      <c r="E2926" s="6" t="s">
        <v>24</v>
      </c>
      <c r="F2926" s="6" t="n">
        <v>2</v>
      </c>
      <c r="G2926" s="10" t="n">
        <v>814</v>
      </c>
      <c r="H2926" s="10" t="n">
        <f aca="false">F2926*G2926</f>
        <v>1628</v>
      </c>
      <c r="I2926" s="6" t="s">
        <v>5122</v>
      </c>
    </row>
    <row r="2927" customFormat="false" ht="15" hidden="false" customHeight="false" outlineLevel="0" collapsed="false">
      <c r="A2927" s="6" t="s">
        <v>8150</v>
      </c>
      <c r="B2927" s="6" t="s">
        <v>4935</v>
      </c>
      <c r="C2927" s="26" t="n">
        <v>46125</v>
      </c>
      <c r="D2927" s="6" t="s">
        <v>5137</v>
      </c>
      <c r="E2927" s="6" t="s">
        <v>21</v>
      </c>
      <c r="F2927" s="6" t="n">
        <v>2</v>
      </c>
      <c r="G2927" s="10" t="n">
        <v>1680</v>
      </c>
      <c r="H2927" s="10" t="n">
        <f aca="false">F2927*G2927</f>
        <v>3360</v>
      </c>
      <c r="I2927" s="6" t="s">
        <v>5122</v>
      </c>
    </row>
    <row r="2928" customFormat="false" ht="15" hidden="false" customHeight="false" outlineLevel="0" collapsed="false">
      <c r="A2928" s="6" t="s">
        <v>8151</v>
      </c>
      <c r="B2928" s="6" t="s">
        <v>1771</v>
      </c>
      <c r="C2928" s="26" t="n">
        <v>46125</v>
      </c>
      <c r="D2928" s="6" t="s">
        <v>5410</v>
      </c>
      <c r="E2928" s="6" t="s">
        <v>20</v>
      </c>
      <c r="F2928" s="6" t="n">
        <v>1</v>
      </c>
      <c r="G2928" s="10" t="n">
        <v>2420</v>
      </c>
      <c r="H2928" s="10" t="n">
        <f aca="false">F2928*G2928</f>
        <v>2420</v>
      </c>
      <c r="I2928" s="6" t="s">
        <v>5130</v>
      </c>
    </row>
    <row r="2929" customFormat="false" ht="15" hidden="false" customHeight="false" outlineLevel="0" collapsed="false">
      <c r="A2929" s="6" t="s">
        <v>8152</v>
      </c>
      <c r="B2929" s="6" t="s">
        <v>3607</v>
      </c>
      <c r="C2929" s="26" t="n">
        <v>46125</v>
      </c>
      <c r="D2929" s="6" t="s">
        <v>5167</v>
      </c>
      <c r="E2929" s="6" t="s">
        <v>22</v>
      </c>
      <c r="F2929" s="6" t="n">
        <v>1</v>
      </c>
      <c r="G2929" s="10" t="n">
        <v>782</v>
      </c>
      <c r="H2929" s="10" t="n">
        <f aca="false">F2929*G2929</f>
        <v>782</v>
      </c>
      <c r="I2929" s="6" t="s">
        <v>5122</v>
      </c>
    </row>
    <row r="2930" customFormat="false" ht="15" hidden="false" customHeight="false" outlineLevel="0" collapsed="false">
      <c r="A2930" s="6" t="s">
        <v>8153</v>
      </c>
      <c r="B2930" s="6" t="s">
        <v>5039</v>
      </c>
      <c r="C2930" s="26" t="n">
        <v>46125</v>
      </c>
      <c r="D2930" s="6" t="s">
        <v>5167</v>
      </c>
      <c r="E2930" s="6" t="s">
        <v>22</v>
      </c>
      <c r="F2930" s="6" t="n">
        <v>1</v>
      </c>
      <c r="G2930" s="10" t="n">
        <v>782</v>
      </c>
      <c r="H2930" s="10" t="n">
        <f aca="false">F2930*G2930</f>
        <v>782</v>
      </c>
      <c r="I2930" s="6" t="s">
        <v>5130</v>
      </c>
    </row>
    <row r="2931" customFormat="false" ht="15" hidden="false" customHeight="false" outlineLevel="0" collapsed="false">
      <c r="A2931" s="6" t="s">
        <v>8154</v>
      </c>
      <c r="B2931" s="6" t="s">
        <v>4707</v>
      </c>
      <c r="C2931" s="26" t="n">
        <v>46125</v>
      </c>
      <c r="D2931" s="6" t="s">
        <v>5137</v>
      </c>
      <c r="E2931" s="6" t="s">
        <v>21</v>
      </c>
      <c r="F2931" s="6" t="n">
        <v>1</v>
      </c>
      <c r="G2931" s="10" t="n">
        <v>1591</v>
      </c>
      <c r="H2931" s="10" t="n">
        <f aca="false">F2931*G2931</f>
        <v>1591</v>
      </c>
      <c r="I2931" s="6" t="s">
        <v>5122</v>
      </c>
    </row>
    <row r="2932" customFormat="false" ht="15" hidden="false" customHeight="false" outlineLevel="0" collapsed="false">
      <c r="A2932" s="6" t="s">
        <v>8155</v>
      </c>
      <c r="B2932" s="6" t="s">
        <v>2809</v>
      </c>
      <c r="C2932" s="26" t="n">
        <v>46125</v>
      </c>
      <c r="D2932" s="6" t="s">
        <v>5154</v>
      </c>
      <c r="E2932" s="6" t="s">
        <v>21</v>
      </c>
      <c r="F2932" s="6" t="n">
        <v>1</v>
      </c>
      <c r="G2932" s="10" t="n">
        <v>785</v>
      </c>
      <c r="H2932" s="10" t="n">
        <f aca="false">F2932*G2932</f>
        <v>785</v>
      </c>
      <c r="I2932" s="6" t="s">
        <v>5122</v>
      </c>
    </row>
    <row r="2933" customFormat="false" ht="15" hidden="false" customHeight="false" outlineLevel="0" collapsed="false">
      <c r="A2933" s="6" t="s">
        <v>8156</v>
      </c>
      <c r="B2933" s="6" t="s">
        <v>3431</v>
      </c>
      <c r="C2933" s="26" t="n">
        <v>46125</v>
      </c>
      <c r="D2933" s="6" t="s">
        <v>5171</v>
      </c>
      <c r="E2933" s="6" t="s">
        <v>23</v>
      </c>
      <c r="F2933" s="6" t="n">
        <v>1</v>
      </c>
      <c r="G2933" s="10" t="n">
        <v>697</v>
      </c>
      <c r="H2933" s="10" t="n">
        <f aca="false">F2933*G2933</f>
        <v>697</v>
      </c>
      <c r="I2933" s="6" t="s">
        <v>5122</v>
      </c>
    </row>
    <row r="2934" customFormat="false" ht="15" hidden="false" customHeight="false" outlineLevel="0" collapsed="false">
      <c r="A2934" s="6" t="s">
        <v>8157</v>
      </c>
      <c r="B2934" s="6" t="s">
        <v>262</v>
      </c>
      <c r="C2934" s="26" t="n">
        <v>46125</v>
      </c>
      <c r="D2934" s="6" t="s">
        <v>5232</v>
      </c>
      <c r="E2934" s="6" t="s">
        <v>23</v>
      </c>
      <c r="F2934" s="6" t="n">
        <v>5</v>
      </c>
      <c r="G2934" s="10" t="n">
        <v>185</v>
      </c>
      <c r="H2934" s="10" t="n">
        <f aca="false">F2934*G2934</f>
        <v>925</v>
      </c>
      <c r="I2934" s="6" t="s">
        <v>5122</v>
      </c>
    </row>
    <row r="2935" customFormat="false" ht="15" hidden="false" customHeight="false" outlineLevel="0" collapsed="false">
      <c r="A2935" s="6" t="s">
        <v>8158</v>
      </c>
      <c r="B2935" s="6" t="s">
        <v>4265</v>
      </c>
      <c r="C2935" s="26" t="n">
        <v>46125</v>
      </c>
      <c r="D2935" s="6" t="s">
        <v>5147</v>
      </c>
      <c r="E2935" s="6" t="s">
        <v>24</v>
      </c>
      <c r="F2935" s="6" t="n">
        <v>1</v>
      </c>
      <c r="G2935" s="10" t="n">
        <v>661</v>
      </c>
      <c r="H2935" s="10" t="n">
        <f aca="false">F2935*G2935</f>
        <v>661</v>
      </c>
      <c r="I2935" s="6" t="s">
        <v>5122</v>
      </c>
    </row>
    <row r="2936" customFormat="false" ht="15" hidden="false" customHeight="false" outlineLevel="0" collapsed="false">
      <c r="A2936" s="6" t="s">
        <v>8159</v>
      </c>
      <c r="B2936" s="6" t="s">
        <v>969</v>
      </c>
      <c r="C2936" s="26" t="n">
        <v>46125</v>
      </c>
      <c r="D2936" s="6" t="s">
        <v>5154</v>
      </c>
      <c r="E2936" s="6" t="s">
        <v>21</v>
      </c>
      <c r="F2936" s="6" t="n">
        <v>1</v>
      </c>
      <c r="G2936" s="10" t="n">
        <v>785</v>
      </c>
      <c r="H2936" s="10" t="n">
        <f aca="false">F2936*G2936</f>
        <v>785</v>
      </c>
      <c r="I2936" s="6" t="s">
        <v>5122</v>
      </c>
    </row>
    <row r="2937" customFormat="false" ht="15" hidden="false" customHeight="false" outlineLevel="0" collapsed="false">
      <c r="A2937" s="6" t="s">
        <v>8160</v>
      </c>
      <c r="B2937" s="6" t="s">
        <v>2991</v>
      </c>
      <c r="C2937" s="26" t="n">
        <v>46125</v>
      </c>
      <c r="D2937" s="6" t="s">
        <v>5197</v>
      </c>
      <c r="E2937" s="6" t="s">
        <v>21</v>
      </c>
      <c r="F2937" s="6" t="n">
        <v>1</v>
      </c>
      <c r="G2937" s="10" t="n">
        <v>1080</v>
      </c>
      <c r="H2937" s="10" t="n">
        <f aca="false">F2937*G2937</f>
        <v>1080</v>
      </c>
      <c r="I2937" s="6" t="s">
        <v>5130</v>
      </c>
    </row>
    <row r="2938" customFormat="false" ht="15" hidden="false" customHeight="false" outlineLevel="0" collapsed="false">
      <c r="A2938" s="6" t="s">
        <v>8161</v>
      </c>
      <c r="B2938" s="6" t="s">
        <v>3757</v>
      </c>
      <c r="C2938" s="26" t="n">
        <v>46125</v>
      </c>
      <c r="D2938" s="6" t="s">
        <v>5357</v>
      </c>
      <c r="E2938" s="6" t="s">
        <v>23</v>
      </c>
      <c r="F2938" s="6" t="n">
        <v>3</v>
      </c>
      <c r="G2938" s="10" t="n">
        <v>534</v>
      </c>
      <c r="H2938" s="10" t="n">
        <f aca="false">F2938*G2938</f>
        <v>1602</v>
      </c>
      <c r="I2938" s="6" t="s">
        <v>5122</v>
      </c>
    </row>
    <row r="2939" customFormat="false" ht="15" hidden="false" customHeight="false" outlineLevel="0" collapsed="false">
      <c r="A2939" s="6" t="s">
        <v>8162</v>
      </c>
      <c r="B2939" s="6" t="s">
        <v>1069</v>
      </c>
      <c r="C2939" s="26" t="n">
        <v>46125</v>
      </c>
      <c r="D2939" s="6" t="s">
        <v>5188</v>
      </c>
      <c r="E2939" s="6" t="s">
        <v>24</v>
      </c>
      <c r="F2939" s="6" t="n">
        <v>1</v>
      </c>
      <c r="G2939" s="10" t="n">
        <v>967</v>
      </c>
      <c r="H2939" s="10" t="n">
        <f aca="false">F2939*G2939</f>
        <v>967</v>
      </c>
      <c r="I2939" s="6" t="s">
        <v>5148</v>
      </c>
    </row>
    <row r="2940" customFormat="false" ht="15" hidden="false" customHeight="false" outlineLevel="0" collapsed="false">
      <c r="A2940" s="6" t="s">
        <v>8163</v>
      </c>
      <c r="B2940" s="6" t="s">
        <v>883</v>
      </c>
      <c r="C2940" s="26" t="n">
        <v>46125</v>
      </c>
      <c r="D2940" s="6" t="s">
        <v>5143</v>
      </c>
      <c r="E2940" s="6" t="s">
        <v>21</v>
      </c>
      <c r="F2940" s="6" t="n">
        <v>1</v>
      </c>
      <c r="G2940" s="10" t="n">
        <v>1179</v>
      </c>
      <c r="H2940" s="10" t="n">
        <f aca="false">F2940*G2940</f>
        <v>1179</v>
      </c>
      <c r="I2940" s="6" t="s">
        <v>5122</v>
      </c>
    </row>
    <row r="2941" customFormat="false" ht="15" hidden="false" customHeight="false" outlineLevel="0" collapsed="false">
      <c r="A2941" s="6" t="s">
        <v>8164</v>
      </c>
      <c r="B2941" s="6" t="s">
        <v>3691</v>
      </c>
      <c r="C2941" s="26" t="n">
        <v>46125</v>
      </c>
      <c r="D2941" s="6" t="s">
        <v>5281</v>
      </c>
      <c r="E2941" s="6" t="s">
        <v>24</v>
      </c>
      <c r="F2941" s="6" t="n">
        <v>1</v>
      </c>
      <c r="G2941" s="10" t="n">
        <v>814</v>
      </c>
      <c r="H2941" s="10" t="n">
        <f aca="false">F2941*G2941</f>
        <v>814</v>
      </c>
      <c r="I2941" s="6" t="s">
        <v>5133</v>
      </c>
    </row>
    <row r="2942" customFormat="false" ht="15" hidden="false" customHeight="false" outlineLevel="0" collapsed="false">
      <c r="A2942" s="6" t="s">
        <v>8165</v>
      </c>
      <c r="B2942" s="6" t="s">
        <v>3121</v>
      </c>
      <c r="C2942" s="26" t="n">
        <v>46125</v>
      </c>
      <c r="D2942" s="6" t="s">
        <v>5152</v>
      </c>
      <c r="E2942" s="6" t="s">
        <v>22</v>
      </c>
      <c r="F2942" s="6" t="n">
        <v>3</v>
      </c>
      <c r="G2942" s="10" t="n">
        <v>1760</v>
      </c>
      <c r="H2942" s="10" t="n">
        <f aca="false">F2942*G2942</f>
        <v>5280</v>
      </c>
      <c r="I2942" s="6" t="s">
        <v>5148</v>
      </c>
    </row>
    <row r="2943" customFormat="false" ht="15" hidden="false" customHeight="false" outlineLevel="0" collapsed="false">
      <c r="A2943" s="6" t="s">
        <v>8166</v>
      </c>
      <c r="B2943" s="6" t="s">
        <v>5021</v>
      </c>
      <c r="C2943" s="26" t="n">
        <v>46125</v>
      </c>
      <c r="D2943" s="6" t="s">
        <v>5124</v>
      </c>
      <c r="E2943" s="6" t="s">
        <v>21</v>
      </c>
      <c r="F2943" s="6" t="n">
        <v>2</v>
      </c>
      <c r="G2943" s="10" t="n">
        <v>3439</v>
      </c>
      <c r="H2943" s="10" t="n">
        <f aca="false">F2943*G2943</f>
        <v>6878</v>
      </c>
      <c r="I2943" s="6" t="s">
        <v>5148</v>
      </c>
    </row>
    <row r="2944" customFormat="false" ht="15" hidden="false" customHeight="false" outlineLevel="0" collapsed="false">
      <c r="A2944" s="6" t="s">
        <v>8167</v>
      </c>
      <c r="B2944" s="6" t="s">
        <v>4763</v>
      </c>
      <c r="C2944" s="26" t="n">
        <v>46125</v>
      </c>
      <c r="D2944" s="6" t="s">
        <v>5167</v>
      </c>
      <c r="E2944" s="6" t="s">
        <v>22</v>
      </c>
      <c r="F2944" s="6" t="n">
        <v>1</v>
      </c>
      <c r="G2944" s="10" t="n">
        <v>782</v>
      </c>
      <c r="H2944" s="10" t="n">
        <f aca="false">F2944*G2944</f>
        <v>782</v>
      </c>
      <c r="I2944" s="6" t="s">
        <v>5125</v>
      </c>
    </row>
    <row r="2945" customFormat="false" ht="15" hidden="false" customHeight="false" outlineLevel="0" collapsed="false">
      <c r="A2945" s="6" t="s">
        <v>8168</v>
      </c>
      <c r="B2945" s="6" t="s">
        <v>227</v>
      </c>
      <c r="C2945" s="26" t="n">
        <v>46125</v>
      </c>
      <c r="D2945" s="6" t="s">
        <v>5466</v>
      </c>
      <c r="E2945" s="6" t="s">
        <v>21</v>
      </c>
      <c r="F2945" s="6" t="n">
        <v>1</v>
      </c>
      <c r="G2945" s="10" t="n">
        <v>1768</v>
      </c>
      <c r="H2945" s="10" t="n">
        <f aca="false">F2945*G2945</f>
        <v>1768</v>
      </c>
      <c r="I2945" s="6" t="s">
        <v>5148</v>
      </c>
    </row>
    <row r="2946" customFormat="false" ht="15" hidden="false" customHeight="false" outlineLevel="0" collapsed="false">
      <c r="A2946" s="6" t="s">
        <v>8169</v>
      </c>
      <c r="B2946" s="6" t="s">
        <v>287</v>
      </c>
      <c r="C2946" s="26" t="n">
        <v>46125</v>
      </c>
      <c r="D2946" s="6" t="s">
        <v>5143</v>
      </c>
      <c r="E2946" s="6" t="s">
        <v>21</v>
      </c>
      <c r="F2946" s="6" t="n">
        <v>1</v>
      </c>
      <c r="G2946" s="10" t="n">
        <v>1179</v>
      </c>
      <c r="H2946" s="10" t="n">
        <f aca="false">F2946*G2946</f>
        <v>1179</v>
      </c>
      <c r="I2946" s="6" t="s">
        <v>5122</v>
      </c>
    </row>
    <row r="2947" customFormat="false" ht="15" hidden="false" customHeight="false" outlineLevel="0" collapsed="false">
      <c r="A2947" s="6" t="s">
        <v>8170</v>
      </c>
      <c r="B2947" s="6" t="s">
        <v>2735</v>
      </c>
      <c r="C2947" s="26" t="n">
        <v>46125</v>
      </c>
      <c r="D2947" s="6" t="s">
        <v>5167</v>
      </c>
      <c r="E2947" s="6" t="s">
        <v>22</v>
      </c>
      <c r="F2947" s="6" t="n">
        <v>1</v>
      </c>
      <c r="G2947" s="10" t="n">
        <v>782</v>
      </c>
      <c r="H2947" s="10" t="n">
        <f aca="false">F2947*G2947</f>
        <v>782</v>
      </c>
      <c r="I2947" s="6" t="s">
        <v>5133</v>
      </c>
    </row>
    <row r="2948" customFormat="false" ht="15" hidden="false" customHeight="false" outlineLevel="0" collapsed="false">
      <c r="A2948" s="6" t="s">
        <v>8171</v>
      </c>
      <c r="B2948" s="6" t="s">
        <v>1685</v>
      </c>
      <c r="C2948" s="26" t="n">
        <v>46125</v>
      </c>
      <c r="D2948" s="6" t="s">
        <v>5169</v>
      </c>
      <c r="E2948" s="6" t="s">
        <v>20</v>
      </c>
      <c r="F2948" s="6" t="n">
        <v>1</v>
      </c>
      <c r="G2948" s="10" t="n">
        <v>4588</v>
      </c>
      <c r="H2948" s="10" t="n">
        <f aca="false">F2948*G2948</f>
        <v>4588</v>
      </c>
      <c r="I2948" s="6" t="s">
        <v>5122</v>
      </c>
    </row>
    <row r="2949" customFormat="false" ht="15" hidden="false" customHeight="false" outlineLevel="0" collapsed="false">
      <c r="A2949" s="6" t="s">
        <v>8172</v>
      </c>
      <c r="B2949" s="6" t="s">
        <v>2775</v>
      </c>
      <c r="C2949" s="26" t="n">
        <v>46125</v>
      </c>
      <c r="D2949" s="6" t="s">
        <v>5235</v>
      </c>
      <c r="E2949" s="6" t="s">
        <v>21</v>
      </c>
      <c r="F2949" s="6" t="n">
        <v>1</v>
      </c>
      <c r="G2949" s="10" t="n">
        <v>1670</v>
      </c>
      <c r="H2949" s="10" t="n">
        <f aca="false">F2949*G2949</f>
        <v>1670</v>
      </c>
      <c r="I2949" s="6" t="s">
        <v>5122</v>
      </c>
    </row>
    <row r="2950" customFormat="false" ht="15" hidden="false" customHeight="false" outlineLevel="0" collapsed="false">
      <c r="A2950" s="6" t="s">
        <v>8173</v>
      </c>
      <c r="B2950" s="6" t="s">
        <v>1081</v>
      </c>
      <c r="C2950" s="26" t="n">
        <v>46126</v>
      </c>
      <c r="D2950" s="6" t="s">
        <v>5167</v>
      </c>
      <c r="E2950" s="6" t="s">
        <v>22</v>
      </c>
      <c r="F2950" s="6" t="n">
        <v>1</v>
      </c>
      <c r="G2950" s="10" t="n">
        <v>742</v>
      </c>
      <c r="H2950" s="10" t="n">
        <f aca="false">F2950*G2950</f>
        <v>742</v>
      </c>
      <c r="I2950" s="6" t="s">
        <v>5122</v>
      </c>
    </row>
    <row r="2951" customFormat="false" ht="15" hidden="false" customHeight="false" outlineLevel="0" collapsed="false">
      <c r="A2951" s="6" t="s">
        <v>8174</v>
      </c>
      <c r="B2951" s="6" t="s">
        <v>4985</v>
      </c>
      <c r="C2951" s="26" t="n">
        <v>46126</v>
      </c>
      <c r="D2951" s="6" t="s">
        <v>5175</v>
      </c>
      <c r="E2951" s="6" t="s">
        <v>24</v>
      </c>
      <c r="F2951" s="6" t="n">
        <v>2</v>
      </c>
      <c r="G2951" s="10" t="n">
        <v>610</v>
      </c>
      <c r="H2951" s="10" t="n">
        <f aca="false">F2951*G2951</f>
        <v>1220</v>
      </c>
      <c r="I2951" s="6" t="s">
        <v>5148</v>
      </c>
    </row>
    <row r="2952" customFormat="false" ht="15" hidden="false" customHeight="false" outlineLevel="0" collapsed="false">
      <c r="A2952" s="6" t="s">
        <v>8175</v>
      </c>
      <c r="B2952" s="6" t="s">
        <v>1299</v>
      </c>
      <c r="C2952" s="26" t="n">
        <v>46126</v>
      </c>
      <c r="D2952" s="6" t="s">
        <v>5141</v>
      </c>
      <c r="E2952" s="6" t="s">
        <v>20</v>
      </c>
      <c r="F2952" s="6" t="n">
        <v>1</v>
      </c>
      <c r="G2952" s="10" t="n">
        <v>1835</v>
      </c>
      <c r="H2952" s="10" t="n">
        <f aca="false">F2952*G2952</f>
        <v>1835</v>
      </c>
      <c r="I2952" s="6" t="s">
        <v>5148</v>
      </c>
    </row>
    <row r="2953" customFormat="false" ht="15" hidden="false" customHeight="false" outlineLevel="0" collapsed="false">
      <c r="A2953" s="6" t="s">
        <v>8176</v>
      </c>
      <c r="B2953" s="6" t="s">
        <v>1951</v>
      </c>
      <c r="C2953" s="26" t="n">
        <v>46126</v>
      </c>
      <c r="D2953" s="6" t="s">
        <v>6557</v>
      </c>
      <c r="E2953" s="6" t="s">
        <v>22</v>
      </c>
      <c r="F2953" s="6" t="n">
        <v>1</v>
      </c>
      <c r="G2953" s="10" t="n">
        <v>5575</v>
      </c>
      <c r="H2953" s="10" t="n">
        <f aca="false">F2953*G2953</f>
        <v>5575</v>
      </c>
      <c r="I2953" s="6" t="s">
        <v>5148</v>
      </c>
    </row>
    <row r="2954" customFormat="false" ht="15" hidden="false" customHeight="false" outlineLevel="0" collapsed="false">
      <c r="A2954" s="6" t="s">
        <v>8177</v>
      </c>
      <c r="B2954" s="6" t="s">
        <v>1113</v>
      </c>
      <c r="C2954" s="26" t="n">
        <v>46126</v>
      </c>
      <c r="D2954" s="6" t="s">
        <v>5410</v>
      </c>
      <c r="E2954" s="6" t="s">
        <v>20</v>
      </c>
      <c r="F2954" s="6" t="n">
        <v>1</v>
      </c>
      <c r="G2954" s="10" t="n">
        <v>2548</v>
      </c>
      <c r="H2954" s="10" t="n">
        <f aca="false">F2954*G2954</f>
        <v>2548</v>
      </c>
      <c r="I2954" s="6" t="s">
        <v>5148</v>
      </c>
    </row>
    <row r="2955" customFormat="false" ht="15" hidden="false" customHeight="false" outlineLevel="0" collapsed="false">
      <c r="A2955" s="6" t="s">
        <v>8178</v>
      </c>
      <c r="B2955" s="6" t="s">
        <v>4345</v>
      </c>
      <c r="C2955" s="26" t="n">
        <v>46126</v>
      </c>
      <c r="D2955" s="6" t="s">
        <v>5488</v>
      </c>
      <c r="E2955" s="6" t="s">
        <v>24</v>
      </c>
      <c r="F2955" s="6" t="n">
        <v>1</v>
      </c>
      <c r="G2955" s="10" t="n">
        <v>866</v>
      </c>
      <c r="H2955" s="10" t="n">
        <f aca="false">F2955*G2955</f>
        <v>866</v>
      </c>
      <c r="I2955" s="6" t="s">
        <v>5122</v>
      </c>
    </row>
    <row r="2956" customFormat="false" ht="15" hidden="false" customHeight="false" outlineLevel="0" collapsed="false">
      <c r="A2956" s="6" t="s">
        <v>8179</v>
      </c>
      <c r="B2956" s="6" t="s">
        <v>4745</v>
      </c>
      <c r="C2956" s="26" t="n">
        <v>46126</v>
      </c>
      <c r="D2956" s="6" t="s">
        <v>5273</v>
      </c>
      <c r="E2956" s="6" t="s">
        <v>23</v>
      </c>
      <c r="F2956" s="6" t="n">
        <v>3</v>
      </c>
      <c r="G2956" s="10" t="n">
        <v>240</v>
      </c>
      <c r="H2956" s="10" t="n">
        <f aca="false">F2956*G2956</f>
        <v>720</v>
      </c>
      <c r="I2956" s="6" t="s">
        <v>5125</v>
      </c>
    </row>
    <row r="2957" customFormat="false" ht="15" hidden="false" customHeight="false" outlineLevel="0" collapsed="false">
      <c r="A2957" s="6" t="s">
        <v>8180</v>
      </c>
      <c r="B2957" s="6" t="s">
        <v>1155</v>
      </c>
      <c r="C2957" s="26" t="n">
        <v>46126</v>
      </c>
      <c r="D2957" s="6" t="s">
        <v>5165</v>
      </c>
      <c r="E2957" s="6" t="s">
        <v>22</v>
      </c>
      <c r="F2957" s="6" t="n">
        <v>2</v>
      </c>
      <c r="G2957" s="10" t="n">
        <v>977</v>
      </c>
      <c r="H2957" s="10" t="n">
        <f aca="false">F2957*G2957</f>
        <v>1954</v>
      </c>
      <c r="I2957" s="6" t="s">
        <v>5122</v>
      </c>
    </row>
    <row r="2958" customFormat="false" ht="15" hidden="false" customHeight="false" outlineLevel="0" collapsed="false">
      <c r="A2958" s="6" t="s">
        <v>8181</v>
      </c>
      <c r="B2958" s="6" t="s">
        <v>3837</v>
      </c>
      <c r="C2958" s="26" t="n">
        <v>46126</v>
      </c>
      <c r="D2958" s="6" t="s">
        <v>5167</v>
      </c>
      <c r="E2958" s="6" t="s">
        <v>22</v>
      </c>
      <c r="F2958" s="6" t="n">
        <v>1</v>
      </c>
      <c r="G2958" s="10" t="n">
        <v>782</v>
      </c>
      <c r="H2958" s="10" t="n">
        <f aca="false">F2958*G2958</f>
        <v>782</v>
      </c>
      <c r="I2958" s="6" t="s">
        <v>5122</v>
      </c>
    </row>
    <row r="2959" customFormat="false" ht="15" hidden="false" customHeight="false" outlineLevel="0" collapsed="false">
      <c r="A2959" s="6" t="s">
        <v>8182</v>
      </c>
      <c r="B2959" s="6" t="s">
        <v>2687</v>
      </c>
      <c r="C2959" s="26" t="n">
        <v>46126</v>
      </c>
      <c r="D2959" s="6" t="s">
        <v>5226</v>
      </c>
      <c r="E2959" s="6" t="s">
        <v>24</v>
      </c>
      <c r="F2959" s="6" t="n">
        <v>2</v>
      </c>
      <c r="G2959" s="10" t="n">
        <v>457</v>
      </c>
      <c r="H2959" s="10" t="n">
        <f aca="false">F2959*G2959</f>
        <v>914</v>
      </c>
      <c r="I2959" s="6" t="s">
        <v>5122</v>
      </c>
    </row>
    <row r="2960" customFormat="false" ht="15" hidden="false" customHeight="false" outlineLevel="0" collapsed="false">
      <c r="A2960" s="6" t="s">
        <v>8183</v>
      </c>
      <c r="B2960" s="6" t="s">
        <v>2963</v>
      </c>
      <c r="C2960" s="26" t="n">
        <v>46126</v>
      </c>
      <c r="D2960" s="6" t="s">
        <v>5167</v>
      </c>
      <c r="E2960" s="6" t="s">
        <v>22</v>
      </c>
      <c r="F2960" s="6" t="n">
        <v>1</v>
      </c>
      <c r="G2960" s="10" t="n">
        <v>702</v>
      </c>
      <c r="H2960" s="10" t="n">
        <f aca="false">F2960*G2960</f>
        <v>702</v>
      </c>
      <c r="I2960" s="6" t="s">
        <v>5133</v>
      </c>
    </row>
    <row r="2961" customFormat="false" ht="15" hidden="false" customHeight="false" outlineLevel="0" collapsed="false">
      <c r="A2961" s="6" t="s">
        <v>8184</v>
      </c>
      <c r="B2961" s="6" t="s">
        <v>2169</v>
      </c>
      <c r="C2961" s="26" t="n">
        <v>46126</v>
      </c>
      <c r="D2961" s="6" t="s">
        <v>5171</v>
      </c>
      <c r="E2961" s="6" t="s">
        <v>23</v>
      </c>
      <c r="F2961" s="6" t="n">
        <v>1</v>
      </c>
      <c r="G2961" s="10" t="n">
        <v>660</v>
      </c>
      <c r="H2961" s="10" t="n">
        <f aca="false">F2961*G2961</f>
        <v>660</v>
      </c>
      <c r="I2961" s="6" t="s">
        <v>5122</v>
      </c>
    </row>
    <row r="2962" customFormat="false" ht="15" hidden="false" customHeight="false" outlineLevel="0" collapsed="false">
      <c r="A2962" s="6" t="s">
        <v>8185</v>
      </c>
      <c r="B2962" s="6" t="s">
        <v>2683</v>
      </c>
      <c r="C2962" s="26" t="n">
        <v>46126</v>
      </c>
      <c r="D2962" s="6" t="s">
        <v>5207</v>
      </c>
      <c r="E2962" s="6" t="s">
        <v>20</v>
      </c>
      <c r="F2962" s="6" t="n">
        <v>1</v>
      </c>
      <c r="G2962" s="10" t="n">
        <v>1325</v>
      </c>
      <c r="H2962" s="10" t="n">
        <f aca="false">F2962*G2962</f>
        <v>1325</v>
      </c>
      <c r="I2962" s="6" t="s">
        <v>5148</v>
      </c>
    </row>
    <row r="2963" customFormat="false" ht="15" hidden="false" customHeight="false" outlineLevel="0" collapsed="false">
      <c r="A2963" s="6" t="s">
        <v>8186</v>
      </c>
      <c r="B2963" s="6" t="s">
        <v>1211</v>
      </c>
      <c r="C2963" s="26" t="n">
        <v>46126</v>
      </c>
      <c r="D2963" s="6" t="s">
        <v>5121</v>
      </c>
      <c r="E2963" s="6" t="s">
        <v>22</v>
      </c>
      <c r="F2963" s="6" t="n">
        <v>3</v>
      </c>
      <c r="G2963" s="10" t="n">
        <v>880</v>
      </c>
      <c r="H2963" s="10" t="n">
        <f aca="false">F2963*G2963</f>
        <v>2640</v>
      </c>
      <c r="I2963" s="6" t="s">
        <v>5122</v>
      </c>
    </row>
    <row r="2964" customFormat="false" ht="15" hidden="false" customHeight="false" outlineLevel="0" collapsed="false">
      <c r="A2964" s="6" t="s">
        <v>8187</v>
      </c>
      <c r="B2964" s="6" t="s">
        <v>2653</v>
      </c>
      <c r="C2964" s="26" t="n">
        <v>46126</v>
      </c>
      <c r="D2964" s="6" t="s">
        <v>5242</v>
      </c>
      <c r="E2964" s="6" t="s">
        <v>23</v>
      </c>
      <c r="F2964" s="6" t="n">
        <v>4</v>
      </c>
      <c r="G2964" s="10" t="n">
        <v>372</v>
      </c>
      <c r="H2964" s="10" t="n">
        <f aca="false">F2964*G2964</f>
        <v>1488</v>
      </c>
      <c r="I2964" s="6" t="s">
        <v>5130</v>
      </c>
    </row>
    <row r="2965" customFormat="false" ht="15" hidden="false" customHeight="false" outlineLevel="0" collapsed="false">
      <c r="A2965" s="6" t="s">
        <v>8188</v>
      </c>
      <c r="B2965" s="6" t="s">
        <v>3777</v>
      </c>
      <c r="C2965" s="26" t="n">
        <v>46126</v>
      </c>
      <c r="D2965" s="6" t="s">
        <v>5214</v>
      </c>
      <c r="E2965" s="6" t="s">
        <v>20</v>
      </c>
      <c r="F2965" s="6" t="n">
        <v>1</v>
      </c>
      <c r="G2965" s="10" t="n">
        <v>1937</v>
      </c>
      <c r="H2965" s="10" t="n">
        <f aca="false">F2965*G2965</f>
        <v>1937</v>
      </c>
      <c r="I2965" s="6" t="s">
        <v>5125</v>
      </c>
    </row>
    <row r="2966" customFormat="false" ht="15" hidden="false" customHeight="false" outlineLevel="0" collapsed="false">
      <c r="A2966" s="6" t="s">
        <v>8189</v>
      </c>
      <c r="B2966" s="6" t="s">
        <v>2697</v>
      </c>
      <c r="C2966" s="26" t="n">
        <v>46126</v>
      </c>
      <c r="D2966" s="6" t="s">
        <v>5298</v>
      </c>
      <c r="E2966" s="6" t="s">
        <v>23</v>
      </c>
      <c r="F2966" s="6" t="n">
        <v>3</v>
      </c>
      <c r="G2966" s="10" t="n">
        <v>293</v>
      </c>
      <c r="H2966" s="10" t="n">
        <f aca="false">F2966*G2966</f>
        <v>879</v>
      </c>
      <c r="I2966" s="6" t="s">
        <v>5173</v>
      </c>
    </row>
    <row r="2967" customFormat="false" ht="15" hidden="false" customHeight="false" outlineLevel="0" collapsed="false">
      <c r="A2967" s="6" t="s">
        <v>8190</v>
      </c>
      <c r="B2967" s="6" t="s">
        <v>1595</v>
      </c>
      <c r="C2967" s="26" t="n">
        <v>46126</v>
      </c>
      <c r="D2967" s="6" t="s">
        <v>5242</v>
      </c>
      <c r="E2967" s="6" t="s">
        <v>23</v>
      </c>
      <c r="F2967" s="6" t="n">
        <v>3</v>
      </c>
      <c r="G2967" s="10" t="n">
        <v>372</v>
      </c>
      <c r="H2967" s="10" t="n">
        <f aca="false">F2967*G2967</f>
        <v>1116</v>
      </c>
      <c r="I2967" s="6" t="s">
        <v>5148</v>
      </c>
    </row>
    <row r="2968" customFormat="false" ht="15" hidden="false" customHeight="false" outlineLevel="0" collapsed="false">
      <c r="A2968" s="6" t="s">
        <v>8191</v>
      </c>
      <c r="B2968" s="6" t="s">
        <v>1609</v>
      </c>
      <c r="C2968" s="26" t="n">
        <v>46126</v>
      </c>
      <c r="D2968" s="6" t="s">
        <v>5167</v>
      </c>
      <c r="E2968" s="6" t="s">
        <v>22</v>
      </c>
      <c r="F2968" s="6" t="n">
        <v>1</v>
      </c>
      <c r="G2968" s="10" t="n">
        <v>703</v>
      </c>
      <c r="H2968" s="10" t="n">
        <f aca="false">F2968*G2968</f>
        <v>703</v>
      </c>
      <c r="I2968" s="6" t="s">
        <v>5122</v>
      </c>
    </row>
    <row r="2969" customFormat="false" ht="15" hidden="false" customHeight="false" outlineLevel="0" collapsed="false">
      <c r="A2969" s="6" t="s">
        <v>8192</v>
      </c>
      <c r="B2969" s="6" t="s">
        <v>823</v>
      </c>
      <c r="C2969" s="26" t="n">
        <v>46126</v>
      </c>
      <c r="D2969" s="6" t="s">
        <v>5345</v>
      </c>
      <c r="E2969" s="6" t="s">
        <v>23</v>
      </c>
      <c r="F2969" s="6" t="n">
        <v>3</v>
      </c>
      <c r="G2969" s="10" t="n">
        <v>436</v>
      </c>
      <c r="H2969" s="10" t="n">
        <f aca="false">F2969*G2969</f>
        <v>1308</v>
      </c>
      <c r="I2969" s="6" t="s">
        <v>5173</v>
      </c>
    </row>
    <row r="2970" customFormat="false" ht="15" hidden="false" customHeight="false" outlineLevel="0" collapsed="false">
      <c r="A2970" s="6" t="s">
        <v>8193</v>
      </c>
      <c r="B2970" s="6" t="s">
        <v>358</v>
      </c>
      <c r="C2970" s="26" t="n">
        <v>46126</v>
      </c>
      <c r="D2970" s="6" t="s">
        <v>5683</v>
      </c>
      <c r="E2970" s="6" t="s">
        <v>22</v>
      </c>
      <c r="F2970" s="6" t="n">
        <v>2</v>
      </c>
      <c r="G2970" s="10" t="n">
        <v>1584</v>
      </c>
      <c r="H2970" s="10" t="n">
        <f aca="false">F2970*G2970</f>
        <v>3168</v>
      </c>
      <c r="I2970" s="6" t="s">
        <v>5130</v>
      </c>
    </row>
    <row r="2971" customFormat="false" ht="15" hidden="false" customHeight="false" outlineLevel="0" collapsed="false">
      <c r="A2971" s="6" t="s">
        <v>8194</v>
      </c>
      <c r="B2971" s="6" t="s">
        <v>2333</v>
      </c>
      <c r="C2971" s="26" t="n">
        <v>46126</v>
      </c>
      <c r="D2971" s="6" t="s">
        <v>5171</v>
      </c>
      <c r="E2971" s="6" t="s">
        <v>23</v>
      </c>
      <c r="F2971" s="6" t="n">
        <v>3</v>
      </c>
      <c r="G2971" s="10" t="n">
        <v>697</v>
      </c>
      <c r="H2971" s="10" t="n">
        <f aca="false">F2971*G2971</f>
        <v>2091</v>
      </c>
      <c r="I2971" s="6" t="s">
        <v>5125</v>
      </c>
    </row>
    <row r="2972" customFormat="false" ht="15" hidden="false" customHeight="false" outlineLevel="0" collapsed="false">
      <c r="A2972" s="6" t="s">
        <v>8195</v>
      </c>
      <c r="B2972" s="6" t="s">
        <v>2443</v>
      </c>
      <c r="C2972" s="26" t="n">
        <v>46126</v>
      </c>
      <c r="D2972" s="6" t="s">
        <v>5339</v>
      </c>
      <c r="E2972" s="6" t="s">
        <v>24</v>
      </c>
      <c r="F2972" s="6" t="n">
        <v>2</v>
      </c>
      <c r="G2972" s="10" t="n">
        <v>508</v>
      </c>
      <c r="H2972" s="10" t="n">
        <f aca="false">F2972*G2972</f>
        <v>1016</v>
      </c>
      <c r="I2972" s="6" t="s">
        <v>5148</v>
      </c>
    </row>
    <row r="2973" customFormat="false" ht="15" hidden="false" customHeight="false" outlineLevel="0" collapsed="false">
      <c r="A2973" s="6" t="s">
        <v>8196</v>
      </c>
      <c r="B2973" s="6" t="s">
        <v>907</v>
      </c>
      <c r="C2973" s="26" t="n">
        <v>46126</v>
      </c>
      <c r="D2973" s="6" t="s">
        <v>5152</v>
      </c>
      <c r="E2973" s="6" t="s">
        <v>22</v>
      </c>
      <c r="F2973" s="6" t="n">
        <v>2</v>
      </c>
      <c r="G2973" s="10" t="n">
        <v>1672</v>
      </c>
      <c r="H2973" s="10" t="n">
        <f aca="false">F2973*G2973</f>
        <v>3344</v>
      </c>
      <c r="I2973" s="6" t="s">
        <v>5122</v>
      </c>
    </row>
    <row r="2974" customFormat="false" ht="15" hidden="false" customHeight="false" outlineLevel="0" collapsed="false">
      <c r="A2974" s="6" t="s">
        <v>8197</v>
      </c>
      <c r="B2974" s="6" t="s">
        <v>3273</v>
      </c>
      <c r="C2974" s="26" t="n">
        <v>46126</v>
      </c>
      <c r="D2974" s="6" t="s">
        <v>5147</v>
      </c>
      <c r="E2974" s="6" t="s">
        <v>24</v>
      </c>
      <c r="F2974" s="6" t="n">
        <v>1</v>
      </c>
      <c r="G2974" s="10" t="n">
        <v>661</v>
      </c>
      <c r="H2974" s="10" t="n">
        <f aca="false">F2974*G2974</f>
        <v>661</v>
      </c>
      <c r="I2974" s="6" t="s">
        <v>5122</v>
      </c>
    </row>
    <row r="2975" customFormat="false" ht="15" hidden="false" customHeight="false" outlineLevel="0" collapsed="false">
      <c r="A2975" s="6" t="s">
        <v>8198</v>
      </c>
      <c r="B2975" s="6" t="s">
        <v>4683</v>
      </c>
      <c r="C2975" s="26" t="n">
        <v>46126</v>
      </c>
      <c r="D2975" s="6" t="s">
        <v>5171</v>
      </c>
      <c r="E2975" s="6" t="s">
        <v>23</v>
      </c>
      <c r="F2975" s="6" t="n">
        <v>2</v>
      </c>
      <c r="G2975" s="10" t="n">
        <v>734</v>
      </c>
      <c r="H2975" s="10" t="n">
        <f aca="false">F2975*G2975</f>
        <v>1468</v>
      </c>
      <c r="I2975" s="6" t="s">
        <v>5133</v>
      </c>
    </row>
    <row r="2976" customFormat="false" ht="15" hidden="false" customHeight="false" outlineLevel="0" collapsed="false">
      <c r="A2976" s="6" t="s">
        <v>8199</v>
      </c>
      <c r="B2976" s="6" t="s">
        <v>324</v>
      </c>
      <c r="C2976" s="26" t="n">
        <v>46126</v>
      </c>
      <c r="D2976" s="6" t="s">
        <v>5182</v>
      </c>
      <c r="E2976" s="6" t="s">
        <v>23</v>
      </c>
      <c r="F2976" s="6" t="n">
        <v>1</v>
      </c>
      <c r="G2976" s="10" t="n">
        <v>367</v>
      </c>
      <c r="H2976" s="10" t="n">
        <f aca="false">F2976*G2976</f>
        <v>367</v>
      </c>
      <c r="I2976" s="6" t="s">
        <v>5173</v>
      </c>
    </row>
    <row r="2977" customFormat="false" ht="15" hidden="false" customHeight="false" outlineLevel="0" collapsed="false">
      <c r="A2977" s="6" t="s">
        <v>8200</v>
      </c>
      <c r="B2977" s="6" t="s">
        <v>2847</v>
      </c>
      <c r="C2977" s="26" t="n">
        <v>46126</v>
      </c>
      <c r="D2977" s="6" t="s">
        <v>5167</v>
      </c>
      <c r="E2977" s="6" t="s">
        <v>22</v>
      </c>
      <c r="F2977" s="6" t="n">
        <v>1</v>
      </c>
      <c r="G2977" s="10" t="n">
        <v>782</v>
      </c>
      <c r="H2977" s="10" t="n">
        <f aca="false">F2977*G2977</f>
        <v>782</v>
      </c>
      <c r="I2977" s="6" t="s">
        <v>5173</v>
      </c>
    </row>
    <row r="2978" customFormat="false" ht="15" hidden="false" customHeight="false" outlineLevel="0" collapsed="false">
      <c r="A2978" s="6" t="s">
        <v>8201</v>
      </c>
      <c r="B2978" s="6" t="s">
        <v>4429</v>
      </c>
      <c r="C2978" s="26" t="n">
        <v>46126</v>
      </c>
      <c r="D2978" s="6" t="s">
        <v>5169</v>
      </c>
      <c r="E2978" s="6" t="s">
        <v>20</v>
      </c>
      <c r="F2978" s="6" t="n">
        <v>1</v>
      </c>
      <c r="G2978" s="10" t="n">
        <v>4588</v>
      </c>
      <c r="H2978" s="10" t="n">
        <f aca="false">F2978*G2978</f>
        <v>4588</v>
      </c>
      <c r="I2978" s="6" t="s">
        <v>5125</v>
      </c>
    </row>
    <row r="2979" customFormat="false" ht="15" hidden="false" customHeight="false" outlineLevel="0" collapsed="false">
      <c r="A2979" s="6" t="s">
        <v>8202</v>
      </c>
      <c r="B2979" s="6" t="s">
        <v>2581</v>
      </c>
      <c r="C2979" s="26" t="n">
        <v>46126</v>
      </c>
      <c r="D2979" s="6" t="s">
        <v>5154</v>
      </c>
      <c r="E2979" s="6" t="s">
        <v>21</v>
      </c>
      <c r="F2979" s="6" t="n">
        <v>2</v>
      </c>
      <c r="G2979" s="10" t="n">
        <v>785</v>
      </c>
      <c r="H2979" s="10" t="n">
        <f aca="false">F2979*G2979</f>
        <v>1570</v>
      </c>
      <c r="I2979" s="6" t="s">
        <v>5125</v>
      </c>
    </row>
    <row r="2980" customFormat="false" ht="15" hidden="false" customHeight="false" outlineLevel="0" collapsed="false">
      <c r="A2980" s="6" t="s">
        <v>8203</v>
      </c>
      <c r="B2980" s="6" t="s">
        <v>2481</v>
      </c>
      <c r="C2980" s="26" t="n">
        <v>46126</v>
      </c>
      <c r="D2980" s="6" t="s">
        <v>5145</v>
      </c>
      <c r="E2980" s="6" t="s">
        <v>21</v>
      </c>
      <c r="F2980" s="6" t="n">
        <v>1</v>
      </c>
      <c r="G2980" s="10" t="n">
        <v>1277</v>
      </c>
      <c r="H2980" s="10" t="n">
        <f aca="false">F2980*G2980</f>
        <v>1277</v>
      </c>
      <c r="I2980" s="6" t="s">
        <v>5148</v>
      </c>
    </row>
    <row r="2981" customFormat="false" ht="15" hidden="false" customHeight="false" outlineLevel="0" collapsed="false">
      <c r="A2981" s="6" t="s">
        <v>8204</v>
      </c>
      <c r="B2981" s="6" t="s">
        <v>3441</v>
      </c>
      <c r="C2981" s="26" t="n">
        <v>46126</v>
      </c>
      <c r="D2981" s="6" t="s">
        <v>5147</v>
      </c>
      <c r="E2981" s="6" t="s">
        <v>24</v>
      </c>
      <c r="F2981" s="6" t="n">
        <v>1</v>
      </c>
      <c r="G2981" s="10" t="n">
        <v>628</v>
      </c>
      <c r="H2981" s="10" t="n">
        <f aca="false">F2981*G2981</f>
        <v>628</v>
      </c>
      <c r="I2981" s="6" t="s">
        <v>5148</v>
      </c>
    </row>
    <row r="2982" customFormat="false" ht="15" hidden="false" customHeight="false" outlineLevel="0" collapsed="false">
      <c r="A2982" s="6" t="s">
        <v>8205</v>
      </c>
      <c r="B2982" s="6" t="s">
        <v>4951</v>
      </c>
      <c r="C2982" s="26" t="n">
        <v>46126</v>
      </c>
      <c r="D2982" s="6" t="s">
        <v>5165</v>
      </c>
      <c r="E2982" s="6" t="s">
        <v>22</v>
      </c>
      <c r="F2982" s="6" t="n">
        <v>2</v>
      </c>
      <c r="G2982" s="10" t="n">
        <v>977</v>
      </c>
      <c r="H2982" s="10" t="n">
        <f aca="false">F2982*G2982</f>
        <v>1954</v>
      </c>
      <c r="I2982" s="6" t="s">
        <v>5148</v>
      </c>
    </row>
    <row r="2983" customFormat="false" ht="15" hidden="false" customHeight="false" outlineLevel="0" collapsed="false">
      <c r="A2983" s="6" t="s">
        <v>8206</v>
      </c>
      <c r="B2983" s="6" t="s">
        <v>2329</v>
      </c>
      <c r="C2983" s="26" t="n">
        <v>46126</v>
      </c>
      <c r="D2983" s="6" t="s">
        <v>5216</v>
      </c>
      <c r="E2983" s="6" t="s">
        <v>23</v>
      </c>
      <c r="F2983" s="6" t="n">
        <v>3</v>
      </c>
      <c r="G2983" s="10" t="n">
        <v>528</v>
      </c>
      <c r="H2983" s="10" t="n">
        <f aca="false">F2983*G2983</f>
        <v>1584</v>
      </c>
      <c r="I2983" s="6" t="s">
        <v>5130</v>
      </c>
    </row>
    <row r="2984" customFormat="false" ht="15" hidden="false" customHeight="false" outlineLevel="0" collapsed="false">
      <c r="A2984" s="6" t="s">
        <v>8207</v>
      </c>
      <c r="B2984" s="6" t="s">
        <v>3369</v>
      </c>
      <c r="C2984" s="26" t="n">
        <v>46126</v>
      </c>
      <c r="D2984" s="6" t="s">
        <v>5273</v>
      </c>
      <c r="E2984" s="6" t="s">
        <v>23</v>
      </c>
      <c r="F2984" s="6" t="n">
        <v>2</v>
      </c>
      <c r="G2984" s="10" t="n">
        <v>240</v>
      </c>
      <c r="H2984" s="10" t="n">
        <f aca="false">F2984*G2984</f>
        <v>480</v>
      </c>
      <c r="I2984" s="6" t="s">
        <v>5122</v>
      </c>
    </row>
    <row r="2985" customFormat="false" ht="15" hidden="false" customHeight="false" outlineLevel="0" collapsed="false">
      <c r="A2985" s="6" t="s">
        <v>8208</v>
      </c>
      <c r="B2985" s="6" t="s">
        <v>449</v>
      </c>
      <c r="C2985" s="26" t="n">
        <v>46126</v>
      </c>
      <c r="D2985" s="6" t="s">
        <v>5167</v>
      </c>
      <c r="E2985" s="6" t="s">
        <v>22</v>
      </c>
      <c r="F2985" s="6" t="n">
        <v>2</v>
      </c>
      <c r="G2985" s="10" t="n">
        <v>782</v>
      </c>
      <c r="H2985" s="10" t="n">
        <f aca="false">F2985*G2985</f>
        <v>1564</v>
      </c>
      <c r="I2985" s="6" t="s">
        <v>5122</v>
      </c>
    </row>
    <row r="2986" customFormat="false" ht="15" hidden="false" customHeight="false" outlineLevel="0" collapsed="false">
      <c r="A2986" s="6" t="s">
        <v>8209</v>
      </c>
      <c r="B2986" s="6" t="s">
        <v>3801</v>
      </c>
      <c r="C2986" s="26" t="n">
        <v>46126</v>
      </c>
      <c r="D2986" s="6" t="s">
        <v>5292</v>
      </c>
      <c r="E2986" s="6" t="s">
        <v>21</v>
      </c>
      <c r="F2986" s="6" t="n">
        <v>3</v>
      </c>
      <c r="G2986" s="10" t="n">
        <v>6880</v>
      </c>
      <c r="H2986" s="10" t="n">
        <f aca="false">F2986*G2986</f>
        <v>20640</v>
      </c>
      <c r="I2986" s="6" t="s">
        <v>5122</v>
      </c>
    </row>
    <row r="2987" customFormat="false" ht="15" hidden="false" customHeight="false" outlineLevel="0" collapsed="false">
      <c r="A2987" s="6" t="s">
        <v>8210</v>
      </c>
      <c r="B2987" s="6" t="s">
        <v>1315</v>
      </c>
      <c r="C2987" s="26" t="n">
        <v>46127</v>
      </c>
      <c r="D2987" s="6" t="s">
        <v>5683</v>
      </c>
      <c r="E2987" s="6" t="s">
        <v>22</v>
      </c>
      <c r="F2987" s="6" t="n">
        <v>3</v>
      </c>
      <c r="G2987" s="10" t="n">
        <v>1672</v>
      </c>
      <c r="H2987" s="10" t="n">
        <f aca="false">F2987*G2987</f>
        <v>5016</v>
      </c>
      <c r="I2987" s="6" t="s">
        <v>5122</v>
      </c>
    </row>
    <row r="2988" customFormat="false" ht="15" hidden="false" customHeight="false" outlineLevel="0" collapsed="false">
      <c r="A2988" s="6" t="s">
        <v>8211</v>
      </c>
      <c r="B2988" s="6" t="s">
        <v>2481</v>
      </c>
      <c r="C2988" s="26" t="n">
        <v>46127</v>
      </c>
      <c r="D2988" s="6" t="s">
        <v>5163</v>
      </c>
      <c r="E2988" s="6" t="s">
        <v>23</v>
      </c>
      <c r="F2988" s="6" t="n">
        <v>2</v>
      </c>
      <c r="G2988" s="10" t="n">
        <v>783</v>
      </c>
      <c r="H2988" s="10" t="n">
        <f aca="false">F2988*G2988</f>
        <v>1566</v>
      </c>
      <c r="I2988" s="6" t="s">
        <v>5125</v>
      </c>
    </row>
    <row r="2989" customFormat="false" ht="15" hidden="false" customHeight="false" outlineLevel="0" collapsed="false">
      <c r="A2989" s="6" t="s">
        <v>8212</v>
      </c>
      <c r="B2989" s="6" t="s">
        <v>3769</v>
      </c>
      <c r="C2989" s="26" t="n">
        <v>46127</v>
      </c>
      <c r="D2989" s="6" t="s">
        <v>5154</v>
      </c>
      <c r="E2989" s="6" t="s">
        <v>21</v>
      </c>
      <c r="F2989" s="6" t="n">
        <v>3</v>
      </c>
      <c r="G2989" s="10" t="n">
        <v>785</v>
      </c>
      <c r="H2989" s="10" t="n">
        <f aca="false">F2989*G2989</f>
        <v>2355</v>
      </c>
      <c r="I2989" s="6" t="s">
        <v>5130</v>
      </c>
    </row>
    <row r="2990" customFormat="false" ht="15" hidden="false" customHeight="false" outlineLevel="0" collapsed="false">
      <c r="A2990" s="6" t="s">
        <v>8213</v>
      </c>
      <c r="B2990" s="6" t="s">
        <v>4365</v>
      </c>
      <c r="C2990" s="26" t="n">
        <v>46127</v>
      </c>
      <c r="D2990" s="6" t="s">
        <v>5269</v>
      </c>
      <c r="E2990" s="6" t="s">
        <v>22</v>
      </c>
      <c r="F2990" s="6" t="n">
        <v>1</v>
      </c>
      <c r="G2990" s="10" t="n">
        <v>1143</v>
      </c>
      <c r="H2990" s="10" t="n">
        <f aca="false">F2990*G2990</f>
        <v>1143</v>
      </c>
      <c r="I2990" s="6" t="s">
        <v>5122</v>
      </c>
    </row>
    <row r="2991" customFormat="false" ht="15" hidden="false" customHeight="false" outlineLevel="0" collapsed="false">
      <c r="A2991" s="6" t="s">
        <v>8214</v>
      </c>
      <c r="B2991" s="6" t="s">
        <v>3317</v>
      </c>
      <c r="C2991" s="26" t="n">
        <v>46127</v>
      </c>
      <c r="D2991" s="6" t="s">
        <v>5837</v>
      </c>
      <c r="E2991" s="6" t="s">
        <v>21</v>
      </c>
      <c r="F2991" s="6" t="n">
        <v>1</v>
      </c>
      <c r="G2991" s="10" t="n">
        <v>2800</v>
      </c>
      <c r="H2991" s="10" t="n">
        <f aca="false">F2991*G2991</f>
        <v>2800</v>
      </c>
      <c r="I2991" s="6" t="s">
        <v>5122</v>
      </c>
    </row>
    <row r="2992" customFormat="false" ht="15" hidden="false" customHeight="false" outlineLevel="0" collapsed="false">
      <c r="A2992" s="6" t="s">
        <v>8215</v>
      </c>
      <c r="B2992" s="6" t="s">
        <v>362</v>
      </c>
      <c r="C2992" s="26" t="n">
        <v>46127</v>
      </c>
      <c r="D2992" s="6" t="s">
        <v>5707</v>
      </c>
      <c r="E2992" s="6" t="s">
        <v>22</v>
      </c>
      <c r="F2992" s="6" t="n">
        <v>3</v>
      </c>
      <c r="G2992" s="10" t="n">
        <v>2445</v>
      </c>
      <c r="H2992" s="10" t="n">
        <f aca="false">F2992*G2992</f>
        <v>7335</v>
      </c>
      <c r="I2992" s="6" t="s">
        <v>5122</v>
      </c>
    </row>
    <row r="2993" customFormat="false" ht="15" hidden="false" customHeight="false" outlineLevel="0" collapsed="false">
      <c r="A2993" s="6" t="s">
        <v>8216</v>
      </c>
      <c r="B2993" s="6" t="s">
        <v>3721</v>
      </c>
      <c r="C2993" s="26" t="n">
        <v>46127</v>
      </c>
      <c r="D2993" s="6" t="s">
        <v>5398</v>
      </c>
      <c r="E2993" s="6" t="s">
        <v>24</v>
      </c>
      <c r="F2993" s="6" t="n">
        <v>1</v>
      </c>
      <c r="G2993" s="10" t="n">
        <v>610</v>
      </c>
      <c r="H2993" s="10" t="n">
        <f aca="false">F2993*G2993</f>
        <v>610</v>
      </c>
      <c r="I2993" s="6" t="s">
        <v>5148</v>
      </c>
    </row>
    <row r="2994" customFormat="false" ht="15" hidden="false" customHeight="false" outlineLevel="0" collapsed="false">
      <c r="A2994" s="6" t="s">
        <v>8217</v>
      </c>
      <c r="B2994" s="6" t="s">
        <v>1345</v>
      </c>
      <c r="C2994" s="26" t="n">
        <v>46127</v>
      </c>
      <c r="D2994" s="6" t="s">
        <v>5224</v>
      </c>
      <c r="E2994" s="6" t="s">
        <v>23</v>
      </c>
      <c r="F2994" s="6" t="n">
        <v>2</v>
      </c>
      <c r="G2994" s="10" t="n">
        <v>185</v>
      </c>
      <c r="H2994" s="10" t="n">
        <f aca="false">F2994*G2994</f>
        <v>370</v>
      </c>
      <c r="I2994" s="6" t="s">
        <v>5122</v>
      </c>
    </row>
    <row r="2995" customFormat="false" ht="15" hidden="false" customHeight="false" outlineLevel="0" collapsed="false">
      <c r="A2995" s="6" t="s">
        <v>8218</v>
      </c>
      <c r="B2995" s="6" t="s">
        <v>2153</v>
      </c>
      <c r="C2995" s="26" t="n">
        <v>46127</v>
      </c>
      <c r="D2995" s="6" t="s">
        <v>5154</v>
      </c>
      <c r="E2995" s="6" t="s">
        <v>21</v>
      </c>
      <c r="F2995" s="6" t="n">
        <v>2</v>
      </c>
      <c r="G2995" s="10" t="n">
        <v>785</v>
      </c>
      <c r="H2995" s="10" t="n">
        <f aca="false">F2995*G2995</f>
        <v>1570</v>
      </c>
      <c r="I2995" s="6" t="s">
        <v>5125</v>
      </c>
    </row>
    <row r="2996" customFormat="false" ht="15" hidden="false" customHeight="false" outlineLevel="0" collapsed="false">
      <c r="A2996" s="6" t="s">
        <v>8219</v>
      </c>
      <c r="B2996" s="6" t="s">
        <v>5055</v>
      </c>
      <c r="C2996" s="26" t="n">
        <v>46127</v>
      </c>
      <c r="D2996" s="6" t="s">
        <v>5167</v>
      </c>
      <c r="E2996" s="6" t="s">
        <v>22</v>
      </c>
      <c r="F2996" s="6" t="n">
        <v>1</v>
      </c>
      <c r="G2996" s="10" t="n">
        <v>702</v>
      </c>
      <c r="H2996" s="10" t="n">
        <f aca="false">F2996*G2996</f>
        <v>702</v>
      </c>
      <c r="I2996" s="6" t="s">
        <v>5148</v>
      </c>
    </row>
    <row r="2997" customFormat="false" ht="15" hidden="false" customHeight="false" outlineLevel="0" collapsed="false">
      <c r="A2997" s="6" t="s">
        <v>8220</v>
      </c>
      <c r="B2997" s="6" t="s">
        <v>342</v>
      </c>
      <c r="C2997" s="26" t="n">
        <v>46127</v>
      </c>
      <c r="D2997" s="6" t="s">
        <v>5160</v>
      </c>
      <c r="E2997" s="6" t="s">
        <v>21</v>
      </c>
      <c r="F2997" s="6" t="n">
        <v>1</v>
      </c>
      <c r="G2997" s="10" t="n">
        <v>2752</v>
      </c>
      <c r="H2997" s="10" t="n">
        <f aca="false">F2997*G2997</f>
        <v>2752</v>
      </c>
      <c r="I2997" s="6" t="s">
        <v>5125</v>
      </c>
    </row>
    <row r="2998" customFormat="false" ht="15" hidden="false" customHeight="false" outlineLevel="0" collapsed="false">
      <c r="A2998" s="6" t="s">
        <v>8221</v>
      </c>
      <c r="B2998" s="6" t="s">
        <v>2935</v>
      </c>
      <c r="C2998" s="26" t="n">
        <v>46127</v>
      </c>
      <c r="D2998" s="6" t="s">
        <v>5154</v>
      </c>
      <c r="E2998" s="6" t="s">
        <v>21</v>
      </c>
      <c r="F2998" s="6" t="n">
        <v>2</v>
      </c>
      <c r="G2998" s="10" t="n">
        <v>746</v>
      </c>
      <c r="H2998" s="10" t="n">
        <f aca="false">F2998*G2998</f>
        <v>1492</v>
      </c>
      <c r="I2998" s="6" t="s">
        <v>5148</v>
      </c>
    </row>
    <row r="2999" customFormat="false" ht="15" hidden="false" customHeight="false" outlineLevel="0" collapsed="false">
      <c r="A2999" s="6" t="s">
        <v>8222</v>
      </c>
      <c r="B2999" s="6" t="s">
        <v>4325</v>
      </c>
      <c r="C2999" s="26" t="n">
        <v>46127</v>
      </c>
      <c r="D2999" s="6" t="s">
        <v>5163</v>
      </c>
      <c r="E2999" s="6" t="s">
        <v>23</v>
      </c>
      <c r="F2999" s="6" t="n">
        <v>4</v>
      </c>
      <c r="G2999" s="10" t="n">
        <v>783</v>
      </c>
      <c r="H2999" s="10" t="n">
        <f aca="false">F2999*G2999</f>
        <v>3132</v>
      </c>
      <c r="I2999" s="6" t="s">
        <v>5122</v>
      </c>
    </row>
    <row r="3000" customFormat="false" ht="15" hidden="false" customHeight="false" outlineLevel="0" collapsed="false">
      <c r="A3000" s="6" t="s">
        <v>8223</v>
      </c>
      <c r="B3000" s="6" t="s">
        <v>533</v>
      </c>
      <c r="C3000" s="26" t="n">
        <v>46127</v>
      </c>
      <c r="D3000" s="6" t="s">
        <v>5156</v>
      </c>
      <c r="E3000" s="6" t="s">
        <v>21</v>
      </c>
      <c r="F3000" s="6" t="n">
        <v>3</v>
      </c>
      <c r="G3000" s="10" t="n">
        <v>2053</v>
      </c>
      <c r="H3000" s="10" t="n">
        <f aca="false">F3000*G3000</f>
        <v>6159</v>
      </c>
      <c r="I3000" s="6" t="s">
        <v>5122</v>
      </c>
    </row>
    <row r="3001" customFormat="false" ht="15" hidden="false" customHeight="false" outlineLevel="0" collapsed="false">
      <c r="A3001" s="6" t="s">
        <v>8224</v>
      </c>
      <c r="B3001" s="6" t="s">
        <v>2311</v>
      </c>
      <c r="C3001" s="26" t="n">
        <v>46127</v>
      </c>
      <c r="D3001" s="6" t="s">
        <v>5192</v>
      </c>
      <c r="E3001" s="6" t="s">
        <v>20</v>
      </c>
      <c r="F3001" s="6" t="n">
        <v>1</v>
      </c>
      <c r="G3001" s="10" t="n">
        <v>3874</v>
      </c>
      <c r="H3001" s="10" t="n">
        <f aca="false">F3001*G3001</f>
        <v>3874</v>
      </c>
      <c r="I3001" s="6" t="s">
        <v>5130</v>
      </c>
    </row>
    <row r="3002" customFormat="false" ht="15" hidden="false" customHeight="false" outlineLevel="0" collapsed="false">
      <c r="A3002" s="6" t="s">
        <v>8225</v>
      </c>
      <c r="B3002" s="6" t="s">
        <v>4221</v>
      </c>
      <c r="C3002" s="26" t="n">
        <v>46127</v>
      </c>
      <c r="D3002" s="6" t="s">
        <v>5197</v>
      </c>
      <c r="E3002" s="6" t="s">
        <v>21</v>
      </c>
      <c r="F3002" s="6" t="n">
        <v>3</v>
      </c>
      <c r="G3002" s="10" t="n">
        <v>1080</v>
      </c>
      <c r="H3002" s="10" t="n">
        <f aca="false">F3002*G3002</f>
        <v>3240</v>
      </c>
      <c r="I3002" s="6" t="s">
        <v>5148</v>
      </c>
    </row>
    <row r="3003" customFormat="false" ht="15" hidden="false" customHeight="false" outlineLevel="0" collapsed="false">
      <c r="A3003" s="6" t="s">
        <v>8226</v>
      </c>
      <c r="B3003" s="6" t="s">
        <v>3771</v>
      </c>
      <c r="C3003" s="26" t="n">
        <v>46127</v>
      </c>
      <c r="D3003" s="6" t="s">
        <v>5410</v>
      </c>
      <c r="E3003" s="6" t="s">
        <v>20</v>
      </c>
      <c r="F3003" s="6" t="n">
        <v>1</v>
      </c>
      <c r="G3003" s="10" t="n">
        <v>2548</v>
      </c>
      <c r="H3003" s="10" t="n">
        <f aca="false">F3003*G3003</f>
        <v>2548</v>
      </c>
      <c r="I3003" s="6" t="s">
        <v>5148</v>
      </c>
    </row>
    <row r="3004" customFormat="false" ht="15" hidden="false" customHeight="false" outlineLevel="0" collapsed="false">
      <c r="A3004" s="6" t="s">
        <v>8227</v>
      </c>
      <c r="B3004" s="6" t="s">
        <v>3543</v>
      </c>
      <c r="C3004" s="26" t="n">
        <v>46127</v>
      </c>
      <c r="D3004" s="6" t="s">
        <v>5163</v>
      </c>
      <c r="E3004" s="6" t="s">
        <v>23</v>
      </c>
      <c r="F3004" s="6" t="n">
        <v>2</v>
      </c>
      <c r="G3004" s="10" t="n">
        <v>783</v>
      </c>
      <c r="H3004" s="10" t="n">
        <f aca="false">F3004*G3004</f>
        <v>1566</v>
      </c>
      <c r="I3004" s="6" t="s">
        <v>5130</v>
      </c>
    </row>
    <row r="3005" customFormat="false" ht="15" hidden="false" customHeight="false" outlineLevel="0" collapsed="false">
      <c r="A3005" s="6" t="s">
        <v>8228</v>
      </c>
      <c r="B3005" s="6" t="s">
        <v>4581</v>
      </c>
      <c r="C3005" s="26" t="n">
        <v>46127</v>
      </c>
      <c r="D3005" s="6" t="s">
        <v>5167</v>
      </c>
      <c r="E3005" s="6" t="s">
        <v>22</v>
      </c>
      <c r="F3005" s="6" t="n">
        <v>1</v>
      </c>
      <c r="G3005" s="10" t="n">
        <v>782</v>
      </c>
      <c r="H3005" s="10" t="n">
        <f aca="false">F3005*G3005</f>
        <v>782</v>
      </c>
      <c r="I3005" s="6" t="s">
        <v>5122</v>
      </c>
    </row>
    <row r="3006" customFormat="false" ht="15" hidden="false" customHeight="false" outlineLevel="0" collapsed="false">
      <c r="A3006" s="6" t="s">
        <v>8229</v>
      </c>
      <c r="B3006" s="6" t="s">
        <v>3335</v>
      </c>
      <c r="C3006" s="26" t="n">
        <v>46127</v>
      </c>
      <c r="D3006" s="6" t="s">
        <v>5292</v>
      </c>
      <c r="E3006" s="6" t="s">
        <v>21</v>
      </c>
      <c r="F3006" s="6" t="n">
        <v>1</v>
      </c>
      <c r="G3006" s="10" t="n">
        <v>6192</v>
      </c>
      <c r="H3006" s="10" t="n">
        <f aca="false">F3006*G3006</f>
        <v>6192</v>
      </c>
      <c r="I3006" s="6" t="s">
        <v>5148</v>
      </c>
    </row>
    <row r="3007" customFormat="false" ht="15" hidden="false" customHeight="false" outlineLevel="0" collapsed="false">
      <c r="A3007" s="6" t="s">
        <v>8230</v>
      </c>
      <c r="B3007" s="6" t="s">
        <v>717</v>
      </c>
      <c r="C3007" s="26" t="n">
        <v>46127</v>
      </c>
      <c r="D3007" s="6" t="s">
        <v>5458</v>
      </c>
      <c r="E3007" s="6" t="s">
        <v>24</v>
      </c>
      <c r="F3007" s="6" t="n">
        <v>3</v>
      </c>
      <c r="G3007" s="10" t="n">
        <v>559</v>
      </c>
      <c r="H3007" s="10" t="n">
        <f aca="false">F3007*G3007</f>
        <v>1677</v>
      </c>
      <c r="I3007" s="6" t="s">
        <v>5148</v>
      </c>
    </row>
    <row r="3008" customFormat="false" ht="15" hidden="false" customHeight="false" outlineLevel="0" collapsed="false">
      <c r="A3008" s="6" t="s">
        <v>8231</v>
      </c>
      <c r="B3008" s="6" t="s">
        <v>3879</v>
      </c>
      <c r="C3008" s="26" t="n">
        <v>46127</v>
      </c>
      <c r="D3008" s="6" t="s">
        <v>5398</v>
      </c>
      <c r="E3008" s="6" t="s">
        <v>24</v>
      </c>
      <c r="F3008" s="6" t="n">
        <v>1</v>
      </c>
      <c r="G3008" s="10" t="n">
        <v>610</v>
      </c>
      <c r="H3008" s="10" t="n">
        <f aca="false">F3008*G3008</f>
        <v>610</v>
      </c>
      <c r="I3008" s="6" t="s">
        <v>5173</v>
      </c>
    </row>
    <row r="3009" customFormat="false" ht="15" hidden="false" customHeight="false" outlineLevel="0" collapsed="false">
      <c r="A3009" s="6" t="s">
        <v>8232</v>
      </c>
      <c r="B3009" s="6" t="s">
        <v>3049</v>
      </c>
      <c r="C3009" s="26" t="n">
        <v>46127</v>
      </c>
      <c r="D3009" s="6" t="s">
        <v>5139</v>
      </c>
      <c r="E3009" s="6" t="s">
        <v>23</v>
      </c>
      <c r="F3009" s="6" t="n">
        <v>2</v>
      </c>
      <c r="G3009" s="10" t="n">
        <v>265</v>
      </c>
      <c r="H3009" s="10" t="n">
        <f aca="false">F3009*G3009</f>
        <v>530</v>
      </c>
      <c r="I3009" s="6" t="s">
        <v>5148</v>
      </c>
    </row>
    <row r="3010" customFormat="false" ht="15" hidden="false" customHeight="false" outlineLevel="0" collapsed="false">
      <c r="A3010" s="6" t="s">
        <v>8233</v>
      </c>
      <c r="B3010" s="6" t="s">
        <v>3535</v>
      </c>
      <c r="C3010" s="26" t="n">
        <v>46127</v>
      </c>
      <c r="D3010" s="6" t="s">
        <v>5147</v>
      </c>
      <c r="E3010" s="6" t="s">
        <v>24</v>
      </c>
      <c r="F3010" s="6" t="n">
        <v>2</v>
      </c>
      <c r="G3010" s="10" t="n">
        <v>661</v>
      </c>
      <c r="H3010" s="10" t="n">
        <f aca="false">F3010*G3010</f>
        <v>1322</v>
      </c>
      <c r="I3010" s="6" t="s">
        <v>5122</v>
      </c>
    </row>
    <row r="3011" customFormat="false" ht="15" hidden="false" customHeight="false" outlineLevel="0" collapsed="false">
      <c r="A3011" s="6" t="s">
        <v>8234</v>
      </c>
      <c r="B3011" s="6" t="s">
        <v>3755</v>
      </c>
      <c r="C3011" s="26" t="n">
        <v>46127</v>
      </c>
      <c r="D3011" s="6" t="s">
        <v>5216</v>
      </c>
      <c r="E3011" s="6" t="s">
        <v>23</v>
      </c>
      <c r="F3011" s="6" t="n">
        <v>3</v>
      </c>
      <c r="G3011" s="10" t="n">
        <v>528</v>
      </c>
      <c r="H3011" s="10" t="n">
        <f aca="false">F3011*G3011</f>
        <v>1584</v>
      </c>
      <c r="I3011" s="6" t="s">
        <v>5125</v>
      </c>
    </row>
    <row r="3012" customFormat="false" ht="15" hidden="false" customHeight="false" outlineLevel="0" collapsed="false">
      <c r="A3012" s="6" t="s">
        <v>8235</v>
      </c>
      <c r="B3012" s="6" t="s">
        <v>4537</v>
      </c>
      <c r="C3012" s="26" t="n">
        <v>46127</v>
      </c>
      <c r="D3012" s="6" t="s">
        <v>5165</v>
      </c>
      <c r="E3012" s="6" t="s">
        <v>22</v>
      </c>
      <c r="F3012" s="6" t="n">
        <v>1</v>
      </c>
      <c r="G3012" s="10" t="n">
        <v>976</v>
      </c>
      <c r="H3012" s="10" t="n">
        <f aca="false">F3012*G3012</f>
        <v>976</v>
      </c>
      <c r="I3012" s="6" t="s">
        <v>5122</v>
      </c>
    </row>
    <row r="3013" customFormat="false" ht="15" hidden="false" customHeight="false" outlineLevel="0" collapsed="false">
      <c r="A3013" s="6" t="s">
        <v>8236</v>
      </c>
      <c r="B3013" s="6" t="s">
        <v>1255</v>
      </c>
      <c r="C3013" s="26" t="n">
        <v>46127</v>
      </c>
      <c r="D3013" s="6" t="s">
        <v>5167</v>
      </c>
      <c r="E3013" s="6" t="s">
        <v>22</v>
      </c>
      <c r="F3013" s="6" t="n">
        <v>2</v>
      </c>
      <c r="G3013" s="10" t="n">
        <v>782</v>
      </c>
      <c r="H3013" s="10" t="n">
        <f aca="false">F3013*G3013</f>
        <v>1564</v>
      </c>
      <c r="I3013" s="6" t="s">
        <v>5133</v>
      </c>
    </row>
    <row r="3014" customFormat="false" ht="15" hidden="false" customHeight="false" outlineLevel="0" collapsed="false">
      <c r="A3014" s="6" t="s">
        <v>8237</v>
      </c>
      <c r="B3014" s="6" t="s">
        <v>3167</v>
      </c>
      <c r="C3014" s="26" t="n">
        <v>46127</v>
      </c>
      <c r="D3014" s="6" t="s">
        <v>5232</v>
      </c>
      <c r="E3014" s="6" t="s">
        <v>23</v>
      </c>
      <c r="F3014" s="6" t="n">
        <v>1</v>
      </c>
      <c r="G3014" s="10" t="n">
        <v>195</v>
      </c>
      <c r="H3014" s="10" t="n">
        <f aca="false">F3014*G3014</f>
        <v>195</v>
      </c>
      <c r="I3014" s="6" t="s">
        <v>5122</v>
      </c>
    </row>
    <row r="3015" customFormat="false" ht="15" hidden="false" customHeight="false" outlineLevel="0" collapsed="false">
      <c r="A3015" s="6" t="s">
        <v>8238</v>
      </c>
      <c r="B3015" s="6" t="s">
        <v>995</v>
      </c>
      <c r="C3015" s="26" t="n">
        <v>46127</v>
      </c>
      <c r="D3015" s="6" t="s">
        <v>5163</v>
      </c>
      <c r="E3015" s="6" t="s">
        <v>23</v>
      </c>
      <c r="F3015" s="6" t="n">
        <v>1</v>
      </c>
      <c r="G3015" s="10" t="n">
        <v>704</v>
      </c>
      <c r="H3015" s="10" t="n">
        <f aca="false">F3015*G3015</f>
        <v>704</v>
      </c>
      <c r="I3015" s="6" t="s">
        <v>5122</v>
      </c>
    </row>
    <row r="3016" customFormat="false" ht="15" hidden="false" customHeight="false" outlineLevel="0" collapsed="false">
      <c r="A3016" s="6" t="s">
        <v>8239</v>
      </c>
      <c r="B3016" s="6" t="s">
        <v>2241</v>
      </c>
      <c r="C3016" s="26" t="n">
        <v>46127</v>
      </c>
      <c r="D3016" s="6" t="s">
        <v>5165</v>
      </c>
      <c r="E3016" s="6" t="s">
        <v>22</v>
      </c>
      <c r="F3016" s="6" t="n">
        <v>1</v>
      </c>
      <c r="G3016" s="10" t="n">
        <v>977</v>
      </c>
      <c r="H3016" s="10" t="n">
        <f aca="false">F3016*G3016</f>
        <v>977</v>
      </c>
      <c r="I3016" s="6" t="s">
        <v>5122</v>
      </c>
    </row>
    <row r="3017" customFormat="false" ht="15" hidden="false" customHeight="false" outlineLevel="0" collapsed="false">
      <c r="A3017" s="6" t="s">
        <v>8240</v>
      </c>
      <c r="B3017" s="6" t="s">
        <v>4377</v>
      </c>
      <c r="C3017" s="26" t="n">
        <v>46127</v>
      </c>
      <c r="D3017" s="6" t="s">
        <v>5167</v>
      </c>
      <c r="E3017" s="6" t="s">
        <v>22</v>
      </c>
      <c r="F3017" s="6" t="n">
        <v>1</v>
      </c>
      <c r="G3017" s="10" t="n">
        <v>782</v>
      </c>
      <c r="H3017" s="10" t="n">
        <f aca="false">F3017*G3017</f>
        <v>782</v>
      </c>
      <c r="I3017" s="6" t="s">
        <v>5122</v>
      </c>
    </row>
    <row r="3018" customFormat="false" ht="15" hidden="false" customHeight="false" outlineLevel="0" collapsed="false">
      <c r="A3018" s="6" t="s">
        <v>8241</v>
      </c>
      <c r="B3018" s="6" t="s">
        <v>869</v>
      </c>
      <c r="C3018" s="26" t="n">
        <v>46127</v>
      </c>
      <c r="D3018" s="6" t="s">
        <v>5165</v>
      </c>
      <c r="E3018" s="6" t="s">
        <v>22</v>
      </c>
      <c r="F3018" s="6" t="n">
        <v>1</v>
      </c>
      <c r="G3018" s="10" t="n">
        <v>977</v>
      </c>
      <c r="H3018" s="10" t="n">
        <f aca="false">F3018*G3018</f>
        <v>977</v>
      </c>
      <c r="I3018" s="6" t="s">
        <v>5173</v>
      </c>
    </row>
    <row r="3019" customFormat="false" ht="15" hidden="false" customHeight="false" outlineLevel="0" collapsed="false">
      <c r="A3019" s="6" t="s">
        <v>8242</v>
      </c>
      <c r="B3019" s="6" t="s">
        <v>5069</v>
      </c>
      <c r="C3019" s="26" t="n">
        <v>46127</v>
      </c>
      <c r="D3019" s="6" t="s">
        <v>5237</v>
      </c>
      <c r="E3019" s="6" t="s">
        <v>24</v>
      </c>
      <c r="F3019" s="6" t="n">
        <v>1</v>
      </c>
      <c r="G3019" s="10" t="n">
        <v>1741</v>
      </c>
      <c r="H3019" s="10" t="n">
        <f aca="false">F3019*G3019</f>
        <v>1741</v>
      </c>
      <c r="I3019" s="6" t="s">
        <v>5122</v>
      </c>
    </row>
    <row r="3020" customFormat="false" ht="15" hidden="false" customHeight="false" outlineLevel="0" collapsed="false">
      <c r="A3020" s="6" t="s">
        <v>8243</v>
      </c>
      <c r="B3020" s="6" t="s">
        <v>555</v>
      </c>
      <c r="C3020" s="26" t="n">
        <v>46127</v>
      </c>
      <c r="D3020" s="6" t="s">
        <v>5167</v>
      </c>
      <c r="E3020" s="6" t="s">
        <v>22</v>
      </c>
      <c r="F3020" s="6" t="n">
        <v>1</v>
      </c>
      <c r="G3020" s="10" t="n">
        <v>782</v>
      </c>
      <c r="H3020" s="10" t="n">
        <f aca="false">F3020*G3020</f>
        <v>782</v>
      </c>
      <c r="I3020" s="6" t="s">
        <v>5148</v>
      </c>
    </row>
    <row r="3021" customFormat="false" ht="15" hidden="false" customHeight="false" outlineLevel="0" collapsed="false">
      <c r="A3021" s="6" t="s">
        <v>8244</v>
      </c>
      <c r="B3021" s="6" t="s">
        <v>1995</v>
      </c>
      <c r="C3021" s="26" t="n">
        <v>46128</v>
      </c>
      <c r="D3021" s="6" t="s">
        <v>5137</v>
      </c>
      <c r="E3021" s="6" t="s">
        <v>21</v>
      </c>
      <c r="F3021" s="6" t="n">
        <v>1</v>
      </c>
      <c r="G3021" s="10" t="n">
        <v>1768</v>
      </c>
      <c r="H3021" s="10" t="n">
        <f aca="false">F3021*G3021</f>
        <v>1768</v>
      </c>
      <c r="I3021" s="6" t="s">
        <v>5130</v>
      </c>
    </row>
    <row r="3022" customFormat="false" ht="15" hidden="false" customHeight="false" outlineLevel="0" collapsed="false">
      <c r="A3022" s="6" t="s">
        <v>8245</v>
      </c>
      <c r="B3022" s="6" t="s">
        <v>3491</v>
      </c>
      <c r="C3022" s="26" t="n">
        <v>46128</v>
      </c>
      <c r="D3022" s="6" t="s">
        <v>5167</v>
      </c>
      <c r="E3022" s="6" t="s">
        <v>22</v>
      </c>
      <c r="F3022" s="6" t="n">
        <v>2</v>
      </c>
      <c r="G3022" s="10" t="n">
        <v>782</v>
      </c>
      <c r="H3022" s="10" t="n">
        <f aca="false">F3022*G3022</f>
        <v>1564</v>
      </c>
      <c r="I3022" s="6" t="s">
        <v>5122</v>
      </c>
    </row>
    <row r="3023" customFormat="false" ht="15" hidden="false" customHeight="false" outlineLevel="0" collapsed="false">
      <c r="A3023" s="6" t="s">
        <v>8246</v>
      </c>
      <c r="B3023" s="6" t="s">
        <v>356</v>
      </c>
      <c r="C3023" s="26" t="n">
        <v>46128</v>
      </c>
      <c r="D3023" s="6" t="s">
        <v>5121</v>
      </c>
      <c r="E3023" s="6" t="s">
        <v>22</v>
      </c>
      <c r="F3023" s="6" t="n">
        <v>1</v>
      </c>
      <c r="G3023" s="10" t="n">
        <v>977</v>
      </c>
      <c r="H3023" s="10" t="n">
        <f aca="false">F3023*G3023</f>
        <v>977</v>
      </c>
      <c r="I3023" s="6" t="s">
        <v>5148</v>
      </c>
    </row>
    <row r="3024" customFormat="false" ht="15" hidden="false" customHeight="false" outlineLevel="0" collapsed="false">
      <c r="A3024" s="6" t="s">
        <v>8247</v>
      </c>
      <c r="B3024" s="6" t="s">
        <v>997</v>
      </c>
      <c r="C3024" s="26" t="n">
        <v>46128</v>
      </c>
      <c r="D3024" s="6" t="s">
        <v>5216</v>
      </c>
      <c r="E3024" s="6" t="s">
        <v>23</v>
      </c>
      <c r="F3024" s="6" t="n">
        <v>2</v>
      </c>
      <c r="G3024" s="10" t="n">
        <v>587</v>
      </c>
      <c r="H3024" s="10" t="n">
        <f aca="false">F3024*G3024</f>
        <v>1174</v>
      </c>
      <c r="I3024" s="6" t="s">
        <v>5125</v>
      </c>
    </row>
    <row r="3025" customFormat="false" ht="15" hidden="false" customHeight="false" outlineLevel="0" collapsed="false">
      <c r="A3025" s="6" t="s">
        <v>8248</v>
      </c>
      <c r="B3025" s="6" t="s">
        <v>719</v>
      </c>
      <c r="C3025" s="26" t="n">
        <v>46128</v>
      </c>
      <c r="D3025" s="6" t="s">
        <v>5357</v>
      </c>
      <c r="E3025" s="6" t="s">
        <v>23</v>
      </c>
      <c r="F3025" s="6" t="n">
        <v>2</v>
      </c>
      <c r="G3025" s="10" t="n">
        <v>534</v>
      </c>
      <c r="H3025" s="10" t="n">
        <f aca="false">F3025*G3025</f>
        <v>1068</v>
      </c>
      <c r="I3025" s="6" t="s">
        <v>5122</v>
      </c>
    </row>
    <row r="3026" customFormat="false" ht="15" hidden="false" customHeight="false" outlineLevel="0" collapsed="false">
      <c r="A3026" s="6" t="s">
        <v>8249</v>
      </c>
      <c r="B3026" s="6" t="s">
        <v>1461</v>
      </c>
      <c r="C3026" s="26" t="n">
        <v>46128</v>
      </c>
      <c r="D3026" s="6" t="s">
        <v>5171</v>
      </c>
      <c r="E3026" s="6" t="s">
        <v>23</v>
      </c>
      <c r="F3026" s="6" t="n">
        <v>3</v>
      </c>
      <c r="G3026" s="10" t="n">
        <v>697</v>
      </c>
      <c r="H3026" s="10" t="n">
        <f aca="false">F3026*G3026</f>
        <v>2091</v>
      </c>
      <c r="I3026" s="6" t="s">
        <v>5130</v>
      </c>
    </row>
    <row r="3027" customFormat="false" ht="15" hidden="false" customHeight="false" outlineLevel="0" collapsed="false">
      <c r="A3027" s="6" t="s">
        <v>8250</v>
      </c>
      <c r="B3027" s="6" t="s">
        <v>1143</v>
      </c>
      <c r="C3027" s="26" t="n">
        <v>46128</v>
      </c>
      <c r="D3027" s="6" t="s">
        <v>5687</v>
      </c>
      <c r="E3027" s="6" t="s">
        <v>20</v>
      </c>
      <c r="F3027" s="6" t="n">
        <v>1</v>
      </c>
      <c r="G3027" s="10" t="n">
        <v>2039</v>
      </c>
      <c r="H3027" s="10" t="n">
        <f aca="false">F3027*G3027</f>
        <v>2039</v>
      </c>
      <c r="I3027" s="6" t="s">
        <v>5148</v>
      </c>
    </row>
    <row r="3028" customFormat="false" ht="15" hidden="false" customHeight="false" outlineLevel="0" collapsed="false">
      <c r="A3028" s="6" t="s">
        <v>8251</v>
      </c>
      <c r="B3028" s="6" t="s">
        <v>3887</v>
      </c>
      <c r="C3028" s="26" t="n">
        <v>46128</v>
      </c>
      <c r="D3028" s="6" t="s">
        <v>5298</v>
      </c>
      <c r="E3028" s="6" t="s">
        <v>23</v>
      </c>
      <c r="F3028" s="6" t="n">
        <v>4</v>
      </c>
      <c r="G3028" s="10" t="n">
        <v>293</v>
      </c>
      <c r="H3028" s="10" t="n">
        <f aca="false">F3028*G3028</f>
        <v>1172</v>
      </c>
      <c r="I3028" s="6" t="s">
        <v>5148</v>
      </c>
    </row>
    <row r="3029" customFormat="false" ht="15" hidden="false" customHeight="false" outlineLevel="0" collapsed="false">
      <c r="A3029" s="6" t="s">
        <v>8252</v>
      </c>
      <c r="B3029" s="6" t="s">
        <v>2403</v>
      </c>
      <c r="C3029" s="26" t="n">
        <v>46128</v>
      </c>
      <c r="D3029" s="6" t="s">
        <v>5167</v>
      </c>
      <c r="E3029" s="6" t="s">
        <v>22</v>
      </c>
      <c r="F3029" s="6" t="n">
        <v>1</v>
      </c>
      <c r="G3029" s="10" t="n">
        <v>703</v>
      </c>
      <c r="H3029" s="10" t="n">
        <f aca="false">F3029*G3029</f>
        <v>703</v>
      </c>
      <c r="I3029" s="6" t="s">
        <v>5148</v>
      </c>
    </row>
    <row r="3030" customFormat="false" ht="15" hidden="false" customHeight="false" outlineLevel="0" collapsed="false">
      <c r="A3030" s="6" t="s">
        <v>8253</v>
      </c>
      <c r="B3030" s="6" t="s">
        <v>1709</v>
      </c>
      <c r="C3030" s="26" t="n">
        <v>46128</v>
      </c>
      <c r="D3030" s="6" t="s">
        <v>5180</v>
      </c>
      <c r="E3030" s="6" t="s">
        <v>24</v>
      </c>
      <c r="F3030" s="6" t="n">
        <v>1</v>
      </c>
      <c r="G3030" s="10" t="n">
        <v>1987</v>
      </c>
      <c r="H3030" s="10" t="n">
        <f aca="false">F3030*G3030</f>
        <v>1987</v>
      </c>
      <c r="I3030" s="6" t="s">
        <v>5122</v>
      </c>
    </row>
    <row r="3031" customFormat="false" ht="15" hidden="false" customHeight="false" outlineLevel="0" collapsed="false">
      <c r="A3031" s="6" t="s">
        <v>8254</v>
      </c>
      <c r="B3031" s="6" t="s">
        <v>5031</v>
      </c>
      <c r="C3031" s="26" t="n">
        <v>46128</v>
      </c>
      <c r="D3031" s="6" t="s">
        <v>5749</v>
      </c>
      <c r="E3031" s="6" t="s">
        <v>20</v>
      </c>
      <c r="F3031" s="6" t="n">
        <v>1</v>
      </c>
      <c r="G3031" s="10" t="n">
        <v>815</v>
      </c>
      <c r="H3031" s="10" t="n">
        <f aca="false">F3031*G3031</f>
        <v>815</v>
      </c>
      <c r="I3031" s="6" t="s">
        <v>5130</v>
      </c>
    </row>
    <row r="3032" customFormat="false" ht="15" hidden="false" customHeight="false" outlineLevel="0" collapsed="false">
      <c r="A3032" s="6" t="s">
        <v>8255</v>
      </c>
      <c r="B3032" s="6" t="s">
        <v>3883</v>
      </c>
      <c r="C3032" s="26" t="n">
        <v>46128</v>
      </c>
      <c r="D3032" s="6" t="s">
        <v>5326</v>
      </c>
      <c r="E3032" s="6" t="s">
        <v>22</v>
      </c>
      <c r="F3032" s="6" t="n">
        <v>2</v>
      </c>
      <c r="G3032" s="10" t="n">
        <v>1466</v>
      </c>
      <c r="H3032" s="10" t="n">
        <f aca="false">F3032*G3032</f>
        <v>2932</v>
      </c>
      <c r="I3032" s="6" t="s">
        <v>5125</v>
      </c>
    </row>
    <row r="3033" customFormat="false" ht="15" hidden="false" customHeight="false" outlineLevel="0" collapsed="false">
      <c r="A3033" s="6" t="s">
        <v>8256</v>
      </c>
      <c r="B3033" s="6" t="s">
        <v>4157</v>
      </c>
      <c r="C3033" s="26" t="n">
        <v>46128</v>
      </c>
      <c r="D3033" s="6" t="s">
        <v>5197</v>
      </c>
      <c r="E3033" s="6" t="s">
        <v>21</v>
      </c>
      <c r="F3033" s="6" t="n">
        <v>1</v>
      </c>
      <c r="G3033" s="10" t="n">
        <v>1080</v>
      </c>
      <c r="H3033" s="10" t="n">
        <f aca="false">F3033*G3033</f>
        <v>1080</v>
      </c>
      <c r="I3033" s="6" t="s">
        <v>5133</v>
      </c>
    </row>
    <row r="3034" customFormat="false" ht="15" hidden="false" customHeight="false" outlineLevel="0" collapsed="false">
      <c r="A3034" s="6" t="s">
        <v>8257</v>
      </c>
      <c r="B3034" s="6" t="s">
        <v>617</v>
      </c>
      <c r="C3034" s="26" t="n">
        <v>46128</v>
      </c>
      <c r="D3034" s="6" t="s">
        <v>5188</v>
      </c>
      <c r="E3034" s="6" t="s">
        <v>24</v>
      </c>
      <c r="F3034" s="6" t="n">
        <v>2</v>
      </c>
      <c r="G3034" s="10" t="n">
        <v>1018</v>
      </c>
      <c r="H3034" s="10" t="n">
        <f aca="false">F3034*G3034</f>
        <v>2036</v>
      </c>
      <c r="I3034" s="6" t="s">
        <v>5122</v>
      </c>
    </row>
    <row r="3035" customFormat="false" ht="15" hidden="false" customHeight="false" outlineLevel="0" collapsed="false">
      <c r="A3035" s="6" t="s">
        <v>8258</v>
      </c>
      <c r="B3035" s="6" t="s">
        <v>1905</v>
      </c>
      <c r="C3035" s="26" t="n">
        <v>46128</v>
      </c>
      <c r="D3035" s="6" t="s">
        <v>5167</v>
      </c>
      <c r="E3035" s="6" t="s">
        <v>22</v>
      </c>
      <c r="F3035" s="6" t="n">
        <v>1</v>
      </c>
      <c r="G3035" s="10" t="n">
        <v>782</v>
      </c>
      <c r="H3035" s="10" t="n">
        <f aca="false">F3035*G3035</f>
        <v>782</v>
      </c>
      <c r="I3035" s="6" t="s">
        <v>5148</v>
      </c>
    </row>
    <row r="3036" customFormat="false" ht="15" hidden="false" customHeight="false" outlineLevel="0" collapsed="false">
      <c r="A3036" s="6" t="s">
        <v>8259</v>
      </c>
      <c r="B3036" s="6" t="s">
        <v>753</v>
      </c>
      <c r="C3036" s="26" t="n">
        <v>46128</v>
      </c>
      <c r="D3036" s="6" t="s">
        <v>5192</v>
      </c>
      <c r="E3036" s="6" t="s">
        <v>20</v>
      </c>
      <c r="F3036" s="6" t="n">
        <v>1</v>
      </c>
      <c r="G3036" s="10" t="n">
        <v>4077</v>
      </c>
      <c r="H3036" s="10" t="n">
        <f aca="false">F3036*G3036</f>
        <v>4077</v>
      </c>
      <c r="I3036" s="6" t="s">
        <v>5148</v>
      </c>
    </row>
    <row r="3037" customFormat="false" ht="15" hidden="false" customHeight="false" outlineLevel="0" collapsed="false">
      <c r="A3037" s="6" t="s">
        <v>8260</v>
      </c>
      <c r="B3037" s="6" t="s">
        <v>2225</v>
      </c>
      <c r="C3037" s="26" t="n">
        <v>46128</v>
      </c>
      <c r="D3037" s="6" t="s">
        <v>5169</v>
      </c>
      <c r="E3037" s="6" t="s">
        <v>20</v>
      </c>
      <c r="F3037" s="6" t="n">
        <v>1</v>
      </c>
      <c r="G3037" s="10" t="n">
        <v>5098</v>
      </c>
      <c r="H3037" s="10" t="n">
        <f aca="false">F3037*G3037</f>
        <v>5098</v>
      </c>
      <c r="I3037" s="6" t="s">
        <v>5148</v>
      </c>
    </row>
    <row r="3038" customFormat="false" ht="15" hidden="false" customHeight="false" outlineLevel="0" collapsed="false">
      <c r="A3038" s="6" t="s">
        <v>8261</v>
      </c>
      <c r="B3038" s="6" t="s">
        <v>3535</v>
      </c>
      <c r="C3038" s="26" t="n">
        <v>46128</v>
      </c>
      <c r="D3038" s="6" t="s">
        <v>5158</v>
      </c>
      <c r="E3038" s="6" t="s">
        <v>24</v>
      </c>
      <c r="F3038" s="6" t="n">
        <v>1</v>
      </c>
      <c r="G3038" s="10" t="n">
        <v>433</v>
      </c>
      <c r="H3038" s="10" t="n">
        <f aca="false">F3038*G3038</f>
        <v>433</v>
      </c>
      <c r="I3038" s="6" t="s">
        <v>5122</v>
      </c>
    </row>
    <row r="3039" customFormat="false" ht="15" hidden="false" customHeight="false" outlineLevel="0" collapsed="false">
      <c r="A3039" s="6" t="s">
        <v>8262</v>
      </c>
      <c r="B3039" s="6" t="s">
        <v>705</v>
      </c>
      <c r="C3039" s="26" t="n">
        <v>46128</v>
      </c>
      <c r="D3039" s="6" t="s">
        <v>5135</v>
      </c>
      <c r="E3039" s="6" t="s">
        <v>23</v>
      </c>
      <c r="F3039" s="6" t="n">
        <v>2</v>
      </c>
      <c r="G3039" s="10" t="n">
        <v>397</v>
      </c>
      <c r="H3039" s="10" t="n">
        <f aca="false">F3039*G3039</f>
        <v>794</v>
      </c>
      <c r="I3039" s="6" t="s">
        <v>5122</v>
      </c>
    </row>
    <row r="3040" customFormat="false" ht="15" hidden="false" customHeight="false" outlineLevel="0" collapsed="false">
      <c r="A3040" s="6" t="s">
        <v>8263</v>
      </c>
      <c r="B3040" s="6" t="s">
        <v>4555</v>
      </c>
      <c r="C3040" s="26" t="n">
        <v>46128</v>
      </c>
      <c r="D3040" s="6" t="s">
        <v>5158</v>
      </c>
      <c r="E3040" s="6" t="s">
        <v>24</v>
      </c>
      <c r="F3040" s="6" t="n">
        <v>2</v>
      </c>
      <c r="G3040" s="10" t="n">
        <v>411</v>
      </c>
      <c r="H3040" s="10" t="n">
        <f aca="false">F3040*G3040</f>
        <v>822</v>
      </c>
      <c r="I3040" s="6" t="s">
        <v>5125</v>
      </c>
    </row>
    <row r="3041" customFormat="false" ht="15" hidden="false" customHeight="false" outlineLevel="0" collapsed="false">
      <c r="A3041" s="6" t="s">
        <v>8264</v>
      </c>
      <c r="B3041" s="6" t="s">
        <v>1913</v>
      </c>
      <c r="C3041" s="26" t="n">
        <v>46128</v>
      </c>
      <c r="D3041" s="6" t="s">
        <v>5145</v>
      </c>
      <c r="E3041" s="6" t="s">
        <v>21</v>
      </c>
      <c r="F3041" s="6" t="n">
        <v>1</v>
      </c>
      <c r="G3041" s="10" t="n">
        <v>1277</v>
      </c>
      <c r="H3041" s="10" t="n">
        <f aca="false">F3041*G3041</f>
        <v>1277</v>
      </c>
      <c r="I3041" s="6" t="s">
        <v>5148</v>
      </c>
    </row>
    <row r="3042" customFormat="false" ht="15" hidden="false" customHeight="false" outlineLevel="0" collapsed="false">
      <c r="A3042" s="6" t="s">
        <v>8265</v>
      </c>
      <c r="B3042" s="6" t="s">
        <v>2597</v>
      </c>
      <c r="C3042" s="26" t="n">
        <v>46128</v>
      </c>
      <c r="D3042" s="6" t="s">
        <v>5269</v>
      </c>
      <c r="E3042" s="6" t="s">
        <v>22</v>
      </c>
      <c r="F3042" s="6" t="n">
        <v>1</v>
      </c>
      <c r="G3042" s="10" t="n">
        <v>1207</v>
      </c>
      <c r="H3042" s="10" t="n">
        <f aca="false">F3042*G3042</f>
        <v>1207</v>
      </c>
      <c r="I3042" s="6" t="s">
        <v>5122</v>
      </c>
    </row>
    <row r="3043" customFormat="false" ht="15" hidden="false" customHeight="false" outlineLevel="0" collapsed="false">
      <c r="A3043" s="6" t="s">
        <v>8266</v>
      </c>
      <c r="B3043" s="6" t="s">
        <v>1287</v>
      </c>
      <c r="C3043" s="26" t="n">
        <v>46128</v>
      </c>
      <c r="D3043" s="6" t="s">
        <v>5488</v>
      </c>
      <c r="E3043" s="6" t="s">
        <v>24</v>
      </c>
      <c r="F3043" s="6" t="n">
        <v>2</v>
      </c>
      <c r="G3043" s="10" t="n">
        <v>866</v>
      </c>
      <c r="H3043" s="10" t="n">
        <f aca="false">F3043*G3043</f>
        <v>1732</v>
      </c>
      <c r="I3043" s="6" t="s">
        <v>5122</v>
      </c>
    </row>
    <row r="3044" customFormat="false" ht="15" hidden="false" customHeight="false" outlineLevel="0" collapsed="false">
      <c r="A3044" s="6" t="s">
        <v>8267</v>
      </c>
      <c r="B3044" s="6" t="s">
        <v>2143</v>
      </c>
      <c r="C3044" s="26" t="n">
        <v>46128</v>
      </c>
      <c r="D3044" s="6" t="s">
        <v>5135</v>
      </c>
      <c r="E3044" s="6" t="s">
        <v>23</v>
      </c>
      <c r="F3044" s="6" t="n">
        <v>5</v>
      </c>
      <c r="G3044" s="10" t="n">
        <v>441</v>
      </c>
      <c r="H3044" s="10" t="n">
        <f aca="false">F3044*G3044</f>
        <v>2205</v>
      </c>
      <c r="I3044" s="6" t="s">
        <v>5122</v>
      </c>
    </row>
    <row r="3045" customFormat="false" ht="15" hidden="false" customHeight="false" outlineLevel="0" collapsed="false">
      <c r="A3045" s="6" t="s">
        <v>8268</v>
      </c>
      <c r="B3045" s="6" t="s">
        <v>2615</v>
      </c>
      <c r="C3045" s="26" t="n">
        <v>46128</v>
      </c>
      <c r="D3045" s="6" t="s">
        <v>5167</v>
      </c>
      <c r="E3045" s="6" t="s">
        <v>22</v>
      </c>
      <c r="F3045" s="6" t="n">
        <v>1</v>
      </c>
      <c r="G3045" s="10" t="n">
        <v>743</v>
      </c>
      <c r="H3045" s="10" t="n">
        <f aca="false">F3045*G3045</f>
        <v>743</v>
      </c>
      <c r="I3045" s="6" t="s">
        <v>5148</v>
      </c>
    </row>
    <row r="3046" customFormat="false" ht="15" hidden="false" customHeight="false" outlineLevel="0" collapsed="false">
      <c r="A3046" s="6" t="s">
        <v>8269</v>
      </c>
      <c r="B3046" s="6" t="s">
        <v>3951</v>
      </c>
      <c r="C3046" s="26" t="n">
        <v>46128</v>
      </c>
      <c r="D3046" s="6" t="s">
        <v>5269</v>
      </c>
      <c r="E3046" s="6" t="s">
        <v>22</v>
      </c>
      <c r="F3046" s="6" t="n">
        <v>1</v>
      </c>
      <c r="G3046" s="10" t="n">
        <v>1271</v>
      </c>
      <c r="H3046" s="10" t="n">
        <f aca="false">F3046*G3046</f>
        <v>1271</v>
      </c>
      <c r="I3046" s="6" t="s">
        <v>5122</v>
      </c>
    </row>
    <row r="3047" customFormat="false" ht="15" hidden="false" customHeight="false" outlineLevel="0" collapsed="false">
      <c r="A3047" s="6" t="s">
        <v>8270</v>
      </c>
      <c r="B3047" s="6" t="s">
        <v>3679</v>
      </c>
      <c r="C3047" s="26" t="n">
        <v>46128</v>
      </c>
      <c r="D3047" s="6" t="s">
        <v>5863</v>
      </c>
      <c r="E3047" s="6" t="s">
        <v>20</v>
      </c>
      <c r="F3047" s="6" t="n">
        <v>1</v>
      </c>
      <c r="G3047" s="10" t="n">
        <v>20395</v>
      </c>
      <c r="H3047" s="10" t="n">
        <f aca="false">F3047*G3047</f>
        <v>20395</v>
      </c>
      <c r="I3047" s="6" t="s">
        <v>5122</v>
      </c>
    </row>
    <row r="3048" customFormat="false" ht="15" hidden="false" customHeight="false" outlineLevel="0" collapsed="false">
      <c r="A3048" s="6" t="s">
        <v>8271</v>
      </c>
      <c r="B3048" s="6" t="s">
        <v>2583</v>
      </c>
      <c r="C3048" s="26" t="n">
        <v>46129</v>
      </c>
      <c r="D3048" s="6" t="s">
        <v>5171</v>
      </c>
      <c r="E3048" s="6" t="s">
        <v>23</v>
      </c>
      <c r="F3048" s="6" t="n">
        <v>1</v>
      </c>
      <c r="G3048" s="10" t="n">
        <v>734</v>
      </c>
      <c r="H3048" s="10" t="n">
        <f aca="false">F3048*G3048</f>
        <v>734</v>
      </c>
      <c r="I3048" s="6" t="s">
        <v>5125</v>
      </c>
    </row>
    <row r="3049" customFormat="false" ht="15" hidden="false" customHeight="false" outlineLevel="0" collapsed="false">
      <c r="A3049" s="6" t="s">
        <v>8272</v>
      </c>
      <c r="B3049" s="6" t="s">
        <v>4213</v>
      </c>
      <c r="C3049" s="26" t="n">
        <v>46129</v>
      </c>
      <c r="D3049" s="6" t="s">
        <v>5163</v>
      </c>
      <c r="E3049" s="6" t="s">
        <v>23</v>
      </c>
      <c r="F3049" s="6" t="n">
        <v>2</v>
      </c>
      <c r="G3049" s="10" t="n">
        <v>783</v>
      </c>
      <c r="H3049" s="10" t="n">
        <f aca="false">F3049*G3049</f>
        <v>1566</v>
      </c>
      <c r="I3049" s="6" t="s">
        <v>5122</v>
      </c>
    </row>
    <row r="3050" customFormat="false" ht="15" hidden="false" customHeight="false" outlineLevel="0" collapsed="false">
      <c r="A3050" s="6" t="s">
        <v>8273</v>
      </c>
      <c r="B3050" s="6" t="s">
        <v>669</v>
      </c>
      <c r="C3050" s="26" t="n">
        <v>46129</v>
      </c>
      <c r="D3050" s="6" t="s">
        <v>5466</v>
      </c>
      <c r="E3050" s="6" t="s">
        <v>21</v>
      </c>
      <c r="F3050" s="6" t="n">
        <v>1</v>
      </c>
      <c r="G3050" s="10" t="n">
        <v>1965</v>
      </c>
      <c r="H3050" s="10" t="n">
        <f aca="false">F3050*G3050</f>
        <v>1965</v>
      </c>
      <c r="I3050" s="6" t="s">
        <v>5148</v>
      </c>
    </row>
    <row r="3051" customFormat="false" ht="15" hidden="false" customHeight="false" outlineLevel="0" collapsed="false">
      <c r="A3051" s="6" t="s">
        <v>8274</v>
      </c>
      <c r="B3051" s="6" t="s">
        <v>1429</v>
      </c>
      <c r="C3051" s="26" t="n">
        <v>46129</v>
      </c>
      <c r="D3051" s="6" t="s">
        <v>5245</v>
      </c>
      <c r="E3051" s="6" t="s">
        <v>21</v>
      </c>
      <c r="F3051" s="6" t="n">
        <v>1</v>
      </c>
      <c r="G3051" s="10" t="n">
        <v>2334</v>
      </c>
      <c r="H3051" s="10" t="n">
        <f aca="false">F3051*G3051</f>
        <v>2334</v>
      </c>
      <c r="I3051" s="6" t="s">
        <v>5148</v>
      </c>
    </row>
    <row r="3052" customFormat="false" ht="15" hidden="false" customHeight="false" outlineLevel="0" collapsed="false">
      <c r="A3052" s="6" t="s">
        <v>8275</v>
      </c>
      <c r="B3052" s="6" t="s">
        <v>4925</v>
      </c>
      <c r="C3052" s="26" t="n">
        <v>46129</v>
      </c>
      <c r="D3052" s="6" t="s">
        <v>5190</v>
      </c>
      <c r="E3052" s="6" t="s">
        <v>24</v>
      </c>
      <c r="F3052" s="6" t="n">
        <v>1</v>
      </c>
      <c r="G3052" s="10" t="n">
        <v>580</v>
      </c>
      <c r="H3052" s="10" t="n">
        <f aca="false">F3052*G3052</f>
        <v>580</v>
      </c>
      <c r="I3052" s="6" t="s">
        <v>5173</v>
      </c>
    </row>
    <row r="3053" customFormat="false" ht="15" hidden="false" customHeight="false" outlineLevel="0" collapsed="false">
      <c r="A3053" s="6" t="s">
        <v>8276</v>
      </c>
      <c r="B3053" s="6" t="s">
        <v>3957</v>
      </c>
      <c r="C3053" s="26" t="n">
        <v>46129</v>
      </c>
      <c r="D3053" s="6" t="s">
        <v>5163</v>
      </c>
      <c r="E3053" s="6" t="s">
        <v>23</v>
      </c>
      <c r="F3053" s="6" t="n">
        <v>1</v>
      </c>
      <c r="G3053" s="10" t="n">
        <v>743</v>
      </c>
      <c r="H3053" s="10" t="n">
        <f aca="false">F3053*G3053</f>
        <v>743</v>
      </c>
      <c r="I3053" s="6" t="s">
        <v>5122</v>
      </c>
    </row>
    <row r="3054" customFormat="false" ht="15" hidden="false" customHeight="false" outlineLevel="0" collapsed="false">
      <c r="A3054" s="6" t="s">
        <v>8277</v>
      </c>
      <c r="B3054" s="6" t="s">
        <v>741</v>
      </c>
      <c r="C3054" s="26" t="n">
        <v>46129</v>
      </c>
      <c r="D3054" s="6" t="s">
        <v>5216</v>
      </c>
      <c r="E3054" s="6" t="s">
        <v>23</v>
      </c>
      <c r="F3054" s="6" t="n">
        <v>1</v>
      </c>
      <c r="G3054" s="10" t="n">
        <v>528</v>
      </c>
      <c r="H3054" s="10" t="n">
        <f aca="false">F3054*G3054</f>
        <v>528</v>
      </c>
      <c r="I3054" s="6" t="s">
        <v>5133</v>
      </c>
    </row>
    <row r="3055" customFormat="false" ht="15" hidden="false" customHeight="false" outlineLevel="0" collapsed="false">
      <c r="A3055" s="6" t="s">
        <v>8278</v>
      </c>
      <c r="B3055" s="6" t="s">
        <v>597</v>
      </c>
      <c r="C3055" s="26" t="n">
        <v>46129</v>
      </c>
      <c r="D3055" s="6" t="s">
        <v>5345</v>
      </c>
      <c r="E3055" s="6" t="s">
        <v>23</v>
      </c>
      <c r="F3055" s="6" t="n">
        <v>3</v>
      </c>
      <c r="G3055" s="10" t="n">
        <v>414</v>
      </c>
      <c r="H3055" s="10" t="n">
        <f aca="false">F3055*G3055</f>
        <v>1242</v>
      </c>
      <c r="I3055" s="6" t="s">
        <v>5122</v>
      </c>
    </row>
    <row r="3056" customFormat="false" ht="15" hidden="false" customHeight="false" outlineLevel="0" collapsed="false">
      <c r="A3056" s="6" t="s">
        <v>8279</v>
      </c>
      <c r="B3056" s="6" t="s">
        <v>3315</v>
      </c>
      <c r="C3056" s="26" t="n">
        <v>46129</v>
      </c>
      <c r="D3056" s="6" t="s">
        <v>5141</v>
      </c>
      <c r="E3056" s="6" t="s">
        <v>20</v>
      </c>
      <c r="F3056" s="6" t="n">
        <v>1</v>
      </c>
      <c r="G3056" s="10" t="n">
        <v>1651</v>
      </c>
      <c r="H3056" s="10" t="n">
        <f aca="false">F3056*G3056</f>
        <v>1651</v>
      </c>
      <c r="I3056" s="6" t="s">
        <v>5122</v>
      </c>
    </row>
    <row r="3057" customFormat="false" ht="15" hidden="false" customHeight="false" outlineLevel="0" collapsed="false">
      <c r="A3057" s="6" t="s">
        <v>8280</v>
      </c>
      <c r="B3057" s="6" t="s">
        <v>3787</v>
      </c>
      <c r="C3057" s="26" t="n">
        <v>46129</v>
      </c>
      <c r="D3057" s="6" t="s">
        <v>5163</v>
      </c>
      <c r="E3057" s="6" t="s">
        <v>23</v>
      </c>
      <c r="F3057" s="6" t="n">
        <v>4</v>
      </c>
      <c r="G3057" s="10" t="n">
        <v>705</v>
      </c>
      <c r="H3057" s="10" t="n">
        <f aca="false">F3057*G3057</f>
        <v>2820</v>
      </c>
      <c r="I3057" s="6" t="s">
        <v>5122</v>
      </c>
    </row>
    <row r="3058" customFormat="false" ht="15" hidden="false" customHeight="false" outlineLevel="0" collapsed="false">
      <c r="A3058" s="6" t="s">
        <v>8281</v>
      </c>
      <c r="B3058" s="6" t="s">
        <v>2565</v>
      </c>
      <c r="C3058" s="26" t="n">
        <v>46129</v>
      </c>
      <c r="D3058" s="6" t="s">
        <v>5216</v>
      </c>
      <c r="E3058" s="6" t="s">
        <v>23</v>
      </c>
      <c r="F3058" s="6" t="n">
        <v>1</v>
      </c>
      <c r="G3058" s="10" t="n">
        <v>587</v>
      </c>
      <c r="H3058" s="10" t="n">
        <f aca="false">F3058*G3058</f>
        <v>587</v>
      </c>
      <c r="I3058" s="6" t="s">
        <v>5133</v>
      </c>
    </row>
    <row r="3059" customFormat="false" ht="15" hidden="false" customHeight="false" outlineLevel="0" collapsed="false">
      <c r="A3059" s="6" t="s">
        <v>8282</v>
      </c>
      <c r="B3059" s="6" t="s">
        <v>2345</v>
      </c>
      <c r="C3059" s="26" t="n">
        <v>46129</v>
      </c>
      <c r="D3059" s="6" t="s">
        <v>5200</v>
      </c>
      <c r="E3059" s="6" t="s">
        <v>24</v>
      </c>
      <c r="F3059" s="6" t="n">
        <v>1</v>
      </c>
      <c r="G3059" s="10" t="n">
        <v>763</v>
      </c>
      <c r="H3059" s="10" t="n">
        <f aca="false">F3059*G3059</f>
        <v>763</v>
      </c>
      <c r="I3059" s="6" t="s">
        <v>5148</v>
      </c>
    </row>
    <row r="3060" customFormat="false" ht="15" hidden="false" customHeight="false" outlineLevel="0" collapsed="false">
      <c r="A3060" s="6" t="s">
        <v>8283</v>
      </c>
      <c r="B3060" s="6" t="s">
        <v>4039</v>
      </c>
      <c r="C3060" s="26" t="n">
        <v>46129</v>
      </c>
      <c r="D3060" s="6" t="s">
        <v>5224</v>
      </c>
      <c r="E3060" s="6" t="s">
        <v>23</v>
      </c>
      <c r="F3060" s="6" t="n">
        <v>3</v>
      </c>
      <c r="G3060" s="10" t="n">
        <v>185</v>
      </c>
      <c r="H3060" s="10" t="n">
        <f aca="false">F3060*G3060</f>
        <v>555</v>
      </c>
      <c r="I3060" s="6" t="s">
        <v>5148</v>
      </c>
    </row>
    <row r="3061" customFormat="false" ht="15" hidden="false" customHeight="false" outlineLevel="0" collapsed="false">
      <c r="A3061" s="6" t="s">
        <v>8284</v>
      </c>
      <c r="B3061" s="6" t="s">
        <v>903</v>
      </c>
      <c r="C3061" s="26" t="n">
        <v>46129</v>
      </c>
      <c r="D3061" s="6" t="s">
        <v>5182</v>
      </c>
      <c r="E3061" s="6" t="s">
        <v>23</v>
      </c>
      <c r="F3061" s="6" t="n">
        <v>4</v>
      </c>
      <c r="G3061" s="10" t="n">
        <v>367</v>
      </c>
      <c r="H3061" s="10" t="n">
        <f aca="false">F3061*G3061</f>
        <v>1468</v>
      </c>
      <c r="I3061" s="6" t="s">
        <v>5122</v>
      </c>
    </row>
    <row r="3062" customFormat="false" ht="15" hidden="false" customHeight="false" outlineLevel="0" collapsed="false">
      <c r="A3062" s="6" t="s">
        <v>8285</v>
      </c>
      <c r="B3062" s="6" t="s">
        <v>332</v>
      </c>
      <c r="C3062" s="26" t="n">
        <v>46129</v>
      </c>
      <c r="D3062" s="6" t="s">
        <v>5171</v>
      </c>
      <c r="E3062" s="6" t="s">
        <v>23</v>
      </c>
      <c r="F3062" s="6" t="n">
        <v>4</v>
      </c>
      <c r="G3062" s="10" t="n">
        <v>697</v>
      </c>
      <c r="H3062" s="10" t="n">
        <f aca="false">F3062*G3062</f>
        <v>2788</v>
      </c>
      <c r="I3062" s="6" t="s">
        <v>5130</v>
      </c>
    </row>
    <row r="3063" customFormat="false" ht="15" hidden="false" customHeight="false" outlineLevel="0" collapsed="false">
      <c r="A3063" s="6" t="s">
        <v>8286</v>
      </c>
      <c r="B3063" s="6" t="s">
        <v>4241</v>
      </c>
      <c r="C3063" s="26" t="n">
        <v>46129</v>
      </c>
      <c r="D3063" s="6" t="s">
        <v>5132</v>
      </c>
      <c r="E3063" s="6" t="s">
        <v>23</v>
      </c>
      <c r="F3063" s="6" t="n">
        <v>4</v>
      </c>
      <c r="G3063" s="10" t="n">
        <v>342</v>
      </c>
      <c r="H3063" s="10" t="n">
        <f aca="false">F3063*G3063</f>
        <v>1368</v>
      </c>
      <c r="I3063" s="6" t="s">
        <v>5122</v>
      </c>
    </row>
    <row r="3064" customFormat="false" ht="15" hidden="false" customHeight="false" outlineLevel="0" collapsed="false">
      <c r="A3064" s="6" t="s">
        <v>8287</v>
      </c>
      <c r="B3064" s="6" t="s">
        <v>4217</v>
      </c>
      <c r="C3064" s="26" t="n">
        <v>46129</v>
      </c>
      <c r="D3064" s="6" t="s">
        <v>5353</v>
      </c>
      <c r="E3064" s="6" t="s">
        <v>24</v>
      </c>
      <c r="F3064" s="6" t="n">
        <v>2</v>
      </c>
      <c r="G3064" s="10" t="n">
        <v>1629</v>
      </c>
      <c r="H3064" s="10" t="n">
        <f aca="false">F3064*G3064</f>
        <v>3258</v>
      </c>
      <c r="I3064" s="6" t="s">
        <v>5122</v>
      </c>
    </row>
    <row r="3065" customFormat="false" ht="15" hidden="false" customHeight="false" outlineLevel="0" collapsed="false">
      <c r="A3065" s="6" t="s">
        <v>8288</v>
      </c>
      <c r="B3065" s="6" t="s">
        <v>2809</v>
      </c>
      <c r="C3065" s="26" t="n">
        <v>46129</v>
      </c>
      <c r="D3065" s="6" t="s">
        <v>5167</v>
      </c>
      <c r="E3065" s="6" t="s">
        <v>22</v>
      </c>
      <c r="F3065" s="6" t="n">
        <v>1</v>
      </c>
      <c r="G3065" s="10" t="n">
        <v>782</v>
      </c>
      <c r="H3065" s="10" t="n">
        <f aca="false">F3065*G3065</f>
        <v>782</v>
      </c>
      <c r="I3065" s="6" t="s">
        <v>5148</v>
      </c>
    </row>
    <row r="3066" customFormat="false" ht="15" hidden="false" customHeight="false" outlineLevel="0" collapsed="false">
      <c r="A3066" s="6" t="s">
        <v>8289</v>
      </c>
      <c r="B3066" s="6" t="s">
        <v>2843</v>
      </c>
      <c r="C3066" s="26" t="n">
        <v>46129</v>
      </c>
      <c r="D3066" s="6" t="s">
        <v>5143</v>
      </c>
      <c r="E3066" s="6" t="s">
        <v>21</v>
      </c>
      <c r="F3066" s="6" t="n">
        <v>1</v>
      </c>
      <c r="G3066" s="10" t="n">
        <v>1061</v>
      </c>
      <c r="H3066" s="10" t="n">
        <f aca="false">F3066*G3066</f>
        <v>1061</v>
      </c>
      <c r="I3066" s="6" t="s">
        <v>5148</v>
      </c>
    </row>
    <row r="3067" customFormat="false" ht="15" hidden="false" customHeight="false" outlineLevel="0" collapsed="false">
      <c r="A3067" s="6" t="s">
        <v>8290</v>
      </c>
      <c r="B3067" s="6" t="s">
        <v>1575</v>
      </c>
      <c r="C3067" s="26" t="n">
        <v>46129</v>
      </c>
      <c r="D3067" s="6" t="s">
        <v>5175</v>
      </c>
      <c r="E3067" s="6" t="s">
        <v>24</v>
      </c>
      <c r="F3067" s="6" t="n">
        <v>1</v>
      </c>
      <c r="G3067" s="10" t="n">
        <v>549</v>
      </c>
      <c r="H3067" s="10" t="n">
        <f aca="false">F3067*G3067</f>
        <v>549</v>
      </c>
      <c r="I3067" s="6" t="s">
        <v>5122</v>
      </c>
    </row>
    <row r="3068" customFormat="false" ht="15" hidden="false" customHeight="false" outlineLevel="0" collapsed="false">
      <c r="A3068" s="6" t="s">
        <v>8291</v>
      </c>
      <c r="B3068" s="6" t="s">
        <v>2983</v>
      </c>
      <c r="C3068" s="26" t="n">
        <v>46129</v>
      </c>
      <c r="D3068" s="6" t="s">
        <v>5687</v>
      </c>
      <c r="E3068" s="6" t="s">
        <v>20</v>
      </c>
      <c r="F3068" s="6" t="n">
        <v>1</v>
      </c>
      <c r="G3068" s="10" t="n">
        <v>1835</v>
      </c>
      <c r="H3068" s="10" t="n">
        <f aca="false">F3068*G3068</f>
        <v>1835</v>
      </c>
      <c r="I3068" s="6" t="s">
        <v>5148</v>
      </c>
    </row>
    <row r="3069" customFormat="false" ht="15" hidden="false" customHeight="false" outlineLevel="0" collapsed="false">
      <c r="A3069" s="6" t="s">
        <v>8292</v>
      </c>
      <c r="B3069" s="6" t="s">
        <v>723</v>
      </c>
      <c r="C3069" s="26" t="n">
        <v>46129</v>
      </c>
      <c r="D3069" s="6" t="s">
        <v>5141</v>
      </c>
      <c r="E3069" s="6" t="s">
        <v>20</v>
      </c>
      <c r="F3069" s="6" t="n">
        <v>1</v>
      </c>
      <c r="G3069" s="10" t="n">
        <v>1835</v>
      </c>
      <c r="H3069" s="10" t="n">
        <f aca="false">F3069*G3069</f>
        <v>1835</v>
      </c>
      <c r="I3069" s="6" t="s">
        <v>5130</v>
      </c>
    </row>
    <row r="3070" customFormat="false" ht="15" hidden="false" customHeight="false" outlineLevel="0" collapsed="false">
      <c r="A3070" s="6" t="s">
        <v>8293</v>
      </c>
      <c r="B3070" s="6" t="s">
        <v>297</v>
      </c>
      <c r="C3070" s="26" t="n">
        <v>46129</v>
      </c>
      <c r="D3070" s="6" t="s">
        <v>5488</v>
      </c>
      <c r="E3070" s="6" t="s">
        <v>24</v>
      </c>
      <c r="F3070" s="6" t="n">
        <v>3</v>
      </c>
      <c r="G3070" s="10" t="n">
        <v>866</v>
      </c>
      <c r="H3070" s="10" t="n">
        <f aca="false">F3070*G3070</f>
        <v>2598</v>
      </c>
      <c r="I3070" s="6" t="s">
        <v>5148</v>
      </c>
    </row>
    <row r="3071" customFormat="false" ht="15" hidden="false" customHeight="false" outlineLevel="0" collapsed="false">
      <c r="A3071" s="6" t="s">
        <v>8294</v>
      </c>
      <c r="B3071" s="6" t="s">
        <v>2797</v>
      </c>
      <c r="C3071" s="26" t="n">
        <v>46129</v>
      </c>
      <c r="D3071" s="6" t="s">
        <v>5121</v>
      </c>
      <c r="E3071" s="6" t="s">
        <v>22</v>
      </c>
      <c r="F3071" s="6" t="n">
        <v>2</v>
      </c>
      <c r="G3071" s="10" t="n">
        <v>928</v>
      </c>
      <c r="H3071" s="10" t="n">
        <f aca="false">F3071*G3071</f>
        <v>1856</v>
      </c>
      <c r="I3071" s="6" t="s">
        <v>5148</v>
      </c>
    </row>
    <row r="3072" customFormat="false" ht="15" hidden="false" customHeight="false" outlineLevel="0" collapsed="false">
      <c r="A3072" s="6" t="s">
        <v>8295</v>
      </c>
      <c r="B3072" s="6" t="s">
        <v>3627</v>
      </c>
      <c r="C3072" s="26" t="n">
        <v>46129</v>
      </c>
      <c r="D3072" s="6" t="s">
        <v>5192</v>
      </c>
      <c r="E3072" s="6" t="s">
        <v>20</v>
      </c>
      <c r="F3072" s="6" t="n">
        <v>1</v>
      </c>
      <c r="G3072" s="10" t="n">
        <v>4078</v>
      </c>
      <c r="H3072" s="10" t="n">
        <f aca="false">F3072*G3072</f>
        <v>4078</v>
      </c>
      <c r="I3072" s="6" t="s">
        <v>5122</v>
      </c>
    </row>
    <row r="3073" customFormat="false" ht="15" hidden="false" customHeight="false" outlineLevel="0" collapsed="false">
      <c r="A3073" s="6" t="s">
        <v>8296</v>
      </c>
      <c r="B3073" s="6" t="s">
        <v>1587</v>
      </c>
      <c r="C3073" s="26" t="n">
        <v>46129</v>
      </c>
      <c r="D3073" s="6" t="s">
        <v>5150</v>
      </c>
      <c r="E3073" s="6" t="s">
        <v>24</v>
      </c>
      <c r="F3073" s="6" t="n">
        <v>1</v>
      </c>
      <c r="G3073" s="10" t="n">
        <v>458</v>
      </c>
      <c r="H3073" s="10" t="n">
        <f aca="false">F3073*G3073</f>
        <v>458</v>
      </c>
      <c r="I3073" s="6" t="s">
        <v>5122</v>
      </c>
    </row>
    <row r="3074" customFormat="false" ht="15" hidden="false" customHeight="false" outlineLevel="0" collapsed="false">
      <c r="A3074" s="6" t="s">
        <v>8297</v>
      </c>
      <c r="B3074" s="6" t="s">
        <v>3249</v>
      </c>
      <c r="C3074" s="26" t="n">
        <v>46129</v>
      </c>
      <c r="D3074" s="6" t="s">
        <v>5167</v>
      </c>
      <c r="E3074" s="6" t="s">
        <v>22</v>
      </c>
      <c r="F3074" s="6" t="n">
        <v>1</v>
      </c>
      <c r="G3074" s="10" t="n">
        <v>743</v>
      </c>
      <c r="H3074" s="10" t="n">
        <f aca="false">F3074*G3074</f>
        <v>743</v>
      </c>
      <c r="I3074" s="6" t="s">
        <v>5122</v>
      </c>
    </row>
    <row r="3075" customFormat="false" ht="15" hidden="false" customHeight="false" outlineLevel="0" collapsed="false">
      <c r="A3075" s="6" t="s">
        <v>8298</v>
      </c>
      <c r="B3075" s="6" t="s">
        <v>1223</v>
      </c>
      <c r="C3075" s="26" t="n">
        <v>46129</v>
      </c>
      <c r="D3075" s="6" t="s">
        <v>5141</v>
      </c>
      <c r="E3075" s="6" t="s">
        <v>20</v>
      </c>
      <c r="F3075" s="6" t="n">
        <v>1</v>
      </c>
      <c r="G3075" s="10" t="n">
        <v>1835</v>
      </c>
      <c r="H3075" s="10" t="n">
        <f aca="false">F3075*G3075</f>
        <v>1835</v>
      </c>
      <c r="I3075" s="6" t="s">
        <v>5122</v>
      </c>
    </row>
    <row r="3076" customFormat="false" ht="15" hidden="false" customHeight="false" outlineLevel="0" collapsed="false">
      <c r="A3076" s="6" t="s">
        <v>8299</v>
      </c>
      <c r="B3076" s="6" t="s">
        <v>3777</v>
      </c>
      <c r="C3076" s="26" t="n">
        <v>46129</v>
      </c>
      <c r="D3076" s="6" t="s">
        <v>5141</v>
      </c>
      <c r="E3076" s="6" t="s">
        <v>20</v>
      </c>
      <c r="F3076" s="6" t="n">
        <v>1</v>
      </c>
      <c r="G3076" s="10" t="n">
        <v>1743</v>
      </c>
      <c r="H3076" s="10" t="n">
        <f aca="false">F3076*G3076</f>
        <v>1743</v>
      </c>
      <c r="I3076" s="6" t="s">
        <v>5148</v>
      </c>
    </row>
    <row r="3077" customFormat="false" ht="15" hidden="false" customHeight="false" outlineLevel="0" collapsed="false">
      <c r="A3077" s="6" t="s">
        <v>8300</v>
      </c>
      <c r="B3077" s="6" t="s">
        <v>1891</v>
      </c>
      <c r="C3077" s="26" t="n">
        <v>46130</v>
      </c>
      <c r="D3077" s="6" t="s">
        <v>5175</v>
      </c>
      <c r="E3077" s="6" t="s">
        <v>24</v>
      </c>
      <c r="F3077" s="6" t="n">
        <v>1</v>
      </c>
      <c r="G3077" s="10" t="n">
        <v>550</v>
      </c>
      <c r="H3077" s="10" t="n">
        <f aca="false">F3077*G3077</f>
        <v>550</v>
      </c>
      <c r="I3077" s="6" t="s">
        <v>5122</v>
      </c>
    </row>
    <row r="3078" customFormat="false" ht="15" hidden="false" customHeight="false" outlineLevel="0" collapsed="false">
      <c r="A3078" s="6" t="s">
        <v>8301</v>
      </c>
      <c r="B3078" s="6" t="s">
        <v>2485</v>
      </c>
      <c r="C3078" s="26" t="n">
        <v>46130</v>
      </c>
      <c r="D3078" s="6" t="s">
        <v>5357</v>
      </c>
      <c r="E3078" s="6" t="s">
        <v>23</v>
      </c>
      <c r="F3078" s="6" t="n">
        <v>3</v>
      </c>
      <c r="G3078" s="10" t="n">
        <v>481</v>
      </c>
      <c r="H3078" s="10" t="n">
        <f aca="false">F3078*G3078</f>
        <v>1443</v>
      </c>
      <c r="I3078" s="6" t="s">
        <v>5148</v>
      </c>
    </row>
    <row r="3079" customFormat="false" ht="15" hidden="false" customHeight="false" outlineLevel="0" collapsed="false">
      <c r="A3079" s="6" t="s">
        <v>8302</v>
      </c>
      <c r="B3079" s="6" t="s">
        <v>1385</v>
      </c>
      <c r="C3079" s="26" t="n">
        <v>46130</v>
      </c>
      <c r="D3079" s="6" t="s">
        <v>5687</v>
      </c>
      <c r="E3079" s="6" t="s">
        <v>20</v>
      </c>
      <c r="F3079" s="6" t="n">
        <v>1</v>
      </c>
      <c r="G3079" s="10" t="n">
        <v>2039</v>
      </c>
      <c r="H3079" s="10" t="n">
        <f aca="false">F3079*G3079</f>
        <v>2039</v>
      </c>
      <c r="I3079" s="6" t="s">
        <v>5148</v>
      </c>
    </row>
    <row r="3080" customFormat="false" ht="15" hidden="false" customHeight="false" outlineLevel="0" collapsed="false">
      <c r="A3080" s="6" t="s">
        <v>8303</v>
      </c>
      <c r="B3080" s="6" t="s">
        <v>5091</v>
      </c>
      <c r="C3080" s="26" t="n">
        <v>46130</v>
      </c>
      <c r="D3080" s="6" t="s">
        <v>5135</v>
      </c>
      <c r="E3080" s="6" t="s">
        <v>23</v>
      </c>
      <c r="F3080" s="6" t="n">
        <v>3</v>
      </c>
      <c r="G3080" s="10" t="n">
        <v>397</v>
      </c>
      <c r="H3080" s="10" t="n">
        <f aca="false">F3080*G3080</f>
        <v>1191</v>
      </c>
      <c r="I3080" s="6" t="s">
        <v>5130</v>
      </c>
    </row>
    <row r="3081" customFormat="false" ht="15" hidden="false" customHeight="false" outlineLevel="0" collapsed="false">
      <c r="A3081" s="6" t="s">
        <v>8304</v>
      </c>
      <c r="B3081" s="6" t="s">
        <v>1351</v>
      </c>
      <c r="C3081" s="26" t="n">
        <v>46130</v>
      </c>
      <c r="D3081" s="6" t="s">
        <v>5245</v>
      </c>
      <c r="E3081" s="6" t="s">
        <v>21</v>
      </c>
      <c r="F3081" s="6" t="n">
        <v>1</v>
      </c>
      <c r="G3081" s="10" t="n">
        <v>2456</v>
      </c>
      <c r="H3081" s="10" t="n">
        <f aca="false">F3081*G3081</f>
        <v>2456</v>
      </c>
      <c r="I3081" s="6" t="s">
        <v>5122</v>
      </c>
    </row>
    <row r="3082" customFormat="false" ht="15" hidden="false" customHeight="false" outlineLevel="0" collapsed="false">
      <c r="A3082" s="6" t="s">
        <v>8305</v>
      </c>
      <c r="B3082" s="6" t="s">
        <v>4397</v>
      </c>
      <c r="C3082" s="26" t="n">
        <v>46130</v>
      </c>
      <c r="D3082" s="6" t="s">
        <v>5182</v>
      </c>
      <c r="E3082" s="6" t="s">
        <v>23</v>
      </c>
      <c r="F3082" s="6" t="n">
        <v>1</v>
      </c>
      <c r="G3082" s="10" t="n">
        <v>367</v>
      </c>
      <c r="H3082" s="10" t="n">
        <f aca="false">F3082*G3082</f>
        <v>367</v>
      </c>
      <c r="I3082" s="6" t="s">
        <v>5122</v>
      </c>
    </row>
    <row r="3083" customFormat="false" ht="15" hidden="false" customHeight="false" outlineLevel="0" collapsed="false">
      <c r="A3083" s="6" t="s">
        <v>8306</v>
      </c>
      <c r="B3083" s="6" t="s">
        <v>2995</v>
      </c>
      <c r="C3083" s="26" t="n">
        <v>46130</v>
      </c>
      <c r="D3083" s="6" t="s">
        <v>5165</v>
      </c>
      <c r="E3083" s="6" t="s">
        <v>22</v>
      </c>
      <c r="F3083" s="6" t="n">
        <v>2</v>
      </c>
      <c r="G3083" s="10" t="n">
        <v>977</v>
      </c>
      <c r="H3083" s="10" t="n">
        <f aca="false">F3083*G3083</f>
        <v>1954</v>
      </c>
      <c r="I3083" s="6" t="s">
        <v>5148</v>
      </c>
    </row>
    <row r="3084" customFormat="false" ht="15" hidden="false" customHeight="false" outlineLevel="0" collapsed="false">
      <c r="A3084" s="6" t="s">
        <v>8307</v>
      </c>
      <c r="B3084" s="6" t="s">
        <v>2003</v>
      </c>
      <c r="C3084" s="26" t="n">
        <v>46130</v>
      </c>
      <c r="D3084" s="6" t="s">
        <v>5298</v>
      </c>
      <c r="E3084" s="6" t="s">
        <v>23</v>
      </c>
      <c r="F3084" s="6" t="n">
        <v>3</v>
      </c>
      <c r="G3084" s="10" t="n">
        <v>278</v>
      </c>
      <c r="H3084" s="10" t="n">
        <f aca="false">F3084*G3084</f>
        <v>834</v>
      </c>
      <c r="I3084" s="6" t="s">
        <v>5122</v>
      </c>
    </row>
    <row r="3085" customFormat="false" ht="15" hidden="false" customHeight="false" outlineLevel="0" collapsed="false">
      <c r="A3085" s="6" t="s">
        <v>8308</v>
      </c>
      <c r="B3085" s="6" t="s">
        <v>2199</v>
      </c>
      <c r="C3085" s="26" t="n">
        <v>46130</v>
      </c>
      <c r="D3085" s="6" t="s">
        <v>5207</v>
      </c>
      <c r="E3085" s="6" t="s">
        <v>20</v>
      </c>
      <c r="F3085" s="6" t="n">
        <v>1</v>
      </c>
      <c r="G3085" s="10" t="n">
        <v>1325</v>
      </c>
      <c r="H3085" s="10" t="n">
        <f aca="false">F3085*G3085</f>
        <v>1325</v>
      </c>
      <c r="I3085" s="6" t="s">
        <v>5122</v>
      </c>
    </row>
    <row r="3086" customFormat="false" ht="15" hidden="false" customHeight="false" outlineLevel="0" collapsed="false">
      <c r="A3086" s="6" t="s">
        <v>8309</v>
      </c>
      <c r="B3086" s="6" t="s">
        <v>1903</v>
      </c>
      <c r="C3086" s="26" t="n">
        <v>46130</v>
      </c>
      <c r="D3086" s="6" t="s">
        <v>5410</v>
      </c>
      <c r="E3086" s="6" t="s">
        <v>20</v>
      </c>
      <c r="F3086" s="6" t="n">
        <v>1</v>
      </c>
      <c r="G3086" s="10" t="n">
        <v>2548</v>
      </c>
      <c r="H3086" s="10" t="n">
        <f aca="false">F3086*G3086</f>
        <v>2548</v>
      </c>
      <c r="I3086" s="6" t="s">
        <v>5122</v>
      </c>
    </row>
    <row r="3087" customFormat="false" ht="15" hidden="false" customHeight="false" outlineLevel="0" collapsed="false">
      <c r="A3087" s="6" t="s">
        <v>8310</v>
      </c>
      <c r="B3087" s="6" t="s">
        <v>2109</v>
      </c>
      <c r="C3087" s="26" t="n">
        <v>46130</v>
      </c>
      <c r="D3087" s="6" t="s">
        <v>5460</v>
      </c>
      <c r="E3087" s="6" t="s">
        <v>24</v>
      </c>
      <c r="F3087" s="6" t="n">
        <v>1</v>
      </c>
      <c r="G3087" s="10" t="n">
        <v>500</v>
      </c>
      <c r="H3087" s="10" t="n">
        <f aca="false">F3087*G3087</f>
        <v>500</v>
      </c>
      <c r="I3087" s="6" t="s">
        <v>5122</v>
      </c>
    </row>
    <row r="3088" customFormat="false" ht="15" hidden="false" customHeight="false" outlineLevel="0" collapsed="false">
      <c r="A3088" s="6" t="s">
        <v>8311</v>
      </c>
      <c r="B3088" s="6" t="s">
        <v>3371</v>
      </c>
      <c r="C3088" s="26" t="n">
        <v>46130</v>
      </c>
      <c r="D3088" s="6" t="s">
        <v>5216</v>
      </c>
      <c r="E3088" s="6" t="s">
        <v>23</v>
      </c>
      <c r="F3088" s="6" t="n">
        <v>4</v>
      </c>
      <c r="G3088" s="10" t="n">
        <v>558</v>
      </c>
      <c r="H3088" s="10" t="n">
        <f aca="false">F3088*G3088</f>
        <v>2232</v>
      </c>
      <c r="I3088" s="6" t="s">
        <v>5122</v>
      </c>
    </row>
    <row r="3089" customFormat="false" ht="15" hidden="false" customHeight="false" outlineLevel="0" collapsed="false">
      <c r="A3089" s="6" t="s">
        <v>8312</v>
      </c>
      <c r="B3089" s="6" t="s">
        <v>4647</v>
      </c>
      <c r="C3089" s="26" t="n">
        <v>46130</v>
      </c>
      <c r="D3089" s="6" t="s">
        <v>5152</v>
      </c>
      <c r="E3089" s="6" t="s">
        <v>22</v>
      </c>
      <c r="F3089" s="6" t="n">
        <v>1</v>
      </c>
      <c r="G3089" s="10" t="n">
        <v>1672</v>
      </c>
      <c r="H3089" s="10" t="n">
        <f aca="false">F3089*G3089</f>
        <v>1672</v>
      </c>
      <c r="I3089" s="6" t="s">
        <v>5122</v>
      </c>
    </row>
    <row r="3090" customFormat="false" ht="15" hidden="false" customHeight="false" outlineLevel="0" collapsed="false">
      <c r="A3090" s="6" t="s">
        <v>8313</v>
      </c>
      <c r="B3090" s="6" t="s">
        <v>1435</v>
      </c>
      <c r="C3090" s="26" t="n">
        <v>46130</v>
      </c>
      <c r="D3090" s="6" t="s">
        <v>5383</v>
      </c>
      <c r="E3090" s="6" t="s">
        <v>20</v>
      </c>
      <c r="F3090" s="6" t="n">
        <v>1</v>
      </c>
      <c r="G3090" s="10" t="n">
        <v>1009</v>
      </c>
      <c r="H3090" s="10" t="n">
        <f aca="false">F3090*G3090</f>
        <v>1009</v>
      </c>
      <c r="I3090" s="6" t="s">
        <v>5122</v>
      </c>
    </row>
    <row r="3091" customFormat="false" ht="15" hidden="false" customHeight="false" outlineLevel="0" collapsed="false">
      <c r="A3091" s="6" t="s">
        <v>8314</v>
      </c>
      <c r="B3091" s="6" t="s">
        <v>2325</v>
      </c>
      <c r="C3091" s="26" t="n">
        <v>46130</v>
      </c>
      <c r="D3091" s="6" t="s">
        <v>5171</v>
      </c>
      <c r="E3091" s="6" t="s">
        <v>23</v>
      </c>
      <c r="F3091" s="6" t="n">
        <v>4</v>
      </c>
      <c r="G3091" s="10" t="n">
        <v>734</v>
      </c>
      <c r="H3091" s="10" t="n">
        <f aca="false">F3091*G3091</f>
        <v>2936</v>
      </c>
      <c r="I3091" s="6" t="s">
        <v>5148</v>
      </c>
    </row>
    <row r="3092" customFormat="false" ht="15" hidden="false" customHeight="false" outlineLevel="0" collapsed="false">
      <c r="A3092" s="6" t="s">
        <v>8315</v>
      </c>
      <c r="B3092" s="6" t="s">
        <v>3983</v>
      </c>
      <c r="C3092" s="26" t="n">
        <v>46130</v>
      </c>
      <c r="D3092" s="6" t="s">
        <v>5218</v>
      </c>
      <c r="E3092" s="6" t="s">
        <v>23</v>
      </c>
      <c r="F3092" s="6" t="n">
        <v>2</v>
      </c>
      <c r="G3092" s="10" t="n">
        <v>165</v>
      </c>
      <c r="H3092" s="10" t="n">
        <f aca="false">F3092*G3092</f>
        <v>330</v>
      </c>
      <c r="I3092" s="6" t="s">
        <v>5122</v>
      </c>
    </row>
    <row r="3093" customFormat="false" ht="15" hidden="false" customHeight="false" outlineLevel="0" collapsed="false">
      <c r="A3093" s="6" t="s">
        <v>8316</v>
      </c>
      <c r="B3093" s="6" t="s">
        <v>2131</v>
      </c>
      <c r="C3093" s="26" t="n">
        <v>46130</v>
      </c>
      <c r="D3093" s="6" t="s">
        <v>5137</v>
      </c>
      <c r="E3093" s="6" t="s">
        <v>21</v>
      </c>
      <c r="F3093" s="6" t="n">
        <v>1</v>
      </c>
      <c r="G3093" s="10" t="n">
        <v>1768</v>
      </c>
      <c r="H3093" s="10" t="n">
        <f aca="false">F3093*G3093</f>
        <v>1768</v>
      </c>
      <c r="I3093" s="6" t="s">
        <v>5122</v>
      </c>
    </row>
    <row r="3094" customFormat="false" ht="15" hidden="false" customHeight="false" outlineLevel="0" collapsed="false">
      <c r="A3094" s="6" t="s">
        <v>8317</v>
      </c>
      <c r="B3094" s="6" t="s">
        <v>2501</v>
      </c>
      <c r="C3094" s="26" t="n">
        <v>46130</v>
      </c>
      <c r="D3094" s="6" t="s">
        <v>5171</v>
      </c>
      <c r="E3094" s="6" t="s">
        <v>23</v>
      </c>
      <c r="F3094" s="6" t="n">
        <v>1</v>
      </c>
      <c r="G3094" s="10" t="n">
        <v>697</v>
      </c>
      <c r="H3094" s="10" t="n">
        <f aca="false">F3094*G3094</f>
        <v>697</v>
      </c>
      <c r="I3094" s="6" t="s">
        <v>5133</v>
      </c>
    </row>
    <row r="3095" customFormat="false" ht="15" hidden="false" customHeight="false" outlineLevel="0" collapsed="false">
      <c r="A3095" s="6" t="s">
        <v>8318</v>
      </c>
      <c r="B3095" s="6" t="s">
        <v>4151</v>
      </c>
      <c r="C3095" s="26" t="n">
        <v>46130</v>
      </c>
      <c r="D3095" s="6" t="s">
        <v>5121</v>
      </c>
      <c r="E3095" s="6" t="s">
        <v>22</v>
      </c>
      <c r="F3095" s="6" t="n">
        <v>1</v>
      </c>
      <c r="G3095" s="10" t="n">
        <v>977</v>
      </c>
      <c r="H3095" s="10" t="n">
        <f aca="false">F3095*G3095</f>
        <v>977</v>
      </c>
      <c r="I3095" s="6" t="s">
        <v>5130</v>
      </c>
    </row>
    <row r="3096" customFormat="false" ht="15" hidden="false" customHeight="false" outlineLevel="0" collapsed="false">
      <c r="A3096" s="6" t="s">
        <v>8319</v>
      </c>
      <c r="B3096" s="6" t="s">
        <v>2331</v>
      </c>
      <c r="C3096" s="26" t="n">
        <v>46130</v>
      </c>
      <c r="D3096" s="6" t="s">
        <v>5458</v>
      </c>
      <c r="E3096" s="6" t="s">
        <v>24</v>
      </c>
      <c r="F3096" s="6" t="n">
        <v>3</v>
      </c>
      <c r="G3096" s="10" t="n">
        <v>559</v>
      </c>
      <c r="H3096" s="10" t="n">
        <f aca="false">F3096*G3096</f>
        <v>1677</v>
      </c>
      <c r="I3096" s="6" t="s">
        <v>5122</v>
      </c>
    </row>
    <row r="3097" customFormat="false" ht="15" hidden="false" customHeight="false" outlineLevel="0" collapsed="false">
      <c r="A3097" s="6" t="s">
        <v>8320</v>
      </c>
      <c r="B3097" s="6" t="s">
        <v>5047</v>
      </c>
      <c r="C3097" s="26" t="n">
        <v>46130</v>
      </c>
      <c r="D3097" s="6" t="s">
        <v>5145</v>
      </c>
      <c r="E3097" s="6" t="s">
        <v>21</v>
      </c>
      <c r="F3097" s="6" t="n">
        <v>1</v>
      </c>
      <c r="G3097" s="10" t="n">
        <v>1277</v>
      </c>
      <c r="H3097" s="10" t="n">
        <f aca="false">F3097*G3097</f>
        <v>1277</v>
      </c>
      <c r="I3097" s="6" t="s">
        <v>5122</v>
      </c>
    </row>
    <row r="3098" customFormat="false" ht="15" hidden="false" customHeight="false" outlineLevel="0" collapsed="false">
      <c r="A3098" s="6" t="s">
        <v>8321</v>
      </c>
      <c r="B3098" s="6" t="s">
        <v>4859</v>
      </c>
      <c r="C3098" s="26" t="n">
        <v>46130</v>
      </c>
      <c r="D3098" s="6" t="s">
        <v>5691</v>
      </c>
      <c r="E3098" s="6" t="s">
        <v>21</v>
      </c>
      <c r="F3098" s="6" t="n">
        <v>1</v>
      </c>
      <c r="G3098" s="10" t="n">
        <v>5307</v>
      </c>
      <c r="H3098" s="10" t="n">
        <f aca="false">F3098*G3098</f>
        <v>5307</v>
      </c>
      <c r="I3098" s="6" t="s">
        <v>5148</v>
      </c>
    </row>
    <row r="3099" customFormat="false" ht="15" hidden="false" customHeight="false" outlineLevel="0" collapsed="false">
      <c r="A3099" s="6" t="s">
        <v>8322</v>
      </c>
      <c r="B3099" s="6" t="s">
        <v>5017</v>
      </c>
      <c r="C3099" s="26" t="n">
        <v>46130</v>
      </c>
      <c r="D3099" s="6" t="s">
        <v>5837</v>
      </c>
      <c r="E3099" s="6" t="s">
        <v>21</v>
      </c>
      <c r="F3099" s="6" t="n">
        <v>1</v>
      </c>
      <c r="G3099" s="10" t="n">
        <v>2948</v>
      </c>
      <c r="H3099" s="10" t="n">
        <f aca="false">F3099*G3099</f>
        <v>2948</v>
      </c>
      <c r="I3099" s="6" t="s">
        <v>5122</v>
      </c>
    </row>
    <row r="3100" customFormat="false" ht="15" hidden="false" customHeight="false" outlineLevel="0" collapsed="false">
      <c r="A3100" s="6" t="s">
        <v>8323</v>
      </c>
      <c r="B3100" s="6" t="s">
        <v>711</v>
      </c>
      <c r="C3100" s="26" t="n">
        <v>46130</v>
      </c>
      <c r="D3100" s="6" t="s">
        <v>5202</v>
      </c>
      <c r="E3100" s="6" t="s">
        <v>23</v>
      </c>
      <c r="F3100" s="6" t="n">
        <v>1</v>
      </c>
      <c r="G3100" s="10" t="n">
        <v>245</v>
      </c>
      <c r="H3100" s="10" t="n">
        <f aca="false">F3100*G3100</f>
        <v>245</v>
      </c>
      <c r="I3100" s="6" t="s">
        <v>5122</v>
      </c>
    </row>
    <row r="3101" customFormat="false" ht="15" hidden="false" customHeight="false" outlineLevel="0" collapsed="false">
      <c r="A3101" s="6" t="s">
        <v>8324</v>
      </c>
      <c r="B3101" s="6" t="s">
        <v>2709</v>
      </c>
      <c r="C3101" s="26" t="n">
        <v>46130</v>
      </c>
      <c r="D3101" s="6" t="s">
        <v>5145</v>
      </c>
      <c r="E3101" s="6" t="s">
        <v>21</v>
      </c>
      <c r="F3101" s="6" t="n">
        <v>1</v>
      </c>
      <c r="G3101" s="10" t="n">
        <v>1277</v>
      </c>
      <c r="H3101" s="10" t="n">
        <f aca="false">F3101*G3101</f>
        <v>1277</v>
      </c>
      <c r="I3101" s="6" t="s">
        <v>5122</v>
      </c>
    </row>
    <row r="3102" customFormat="false" ht="15" hidden="false" customHeight="false" outlineLevel="0" collapsed="false">
      <c r="A3102" s="6" t="s">
        <v>8325</v>
      </c>
      <c r="B3102" s="6" t="s">
        <v>3943</v>
      </c>
      <c r="C3102" s="26" t="n">
        <v>46130</v>
      </c>
      <c r="D3102" s="6" t="s">
        <v>5160</v>
      </c>
      <c r="E3102" s="6" t="s">
        <v>21</v>
      </c>
      <c r="F3102" s="6" t="n">
        <v>1</v>
      </c>
      <c r="G3102" s="10" t="n">
        <v>2614</v>
      </c>
      <c r="H3102" s="10" t="n">
        <f aca="false">F3102*G3102</f>
        <v>2614</v>
      </c>
      <c r="I3102" s="6" t="s">
        <v>5125</v>
      </c>
    </row>
    <row r="3103" customFormat="false" ht="15" hidden="false" customHeight="false" outlineLevel="0" collapsed="false">
      <c r="A3103" s="6" t="s">
        <v>8326</v>
      </c>
      <c r="B3103" s="6" t="s">
        <v>2829</v>
      </c>
      <c r="C3103" s="26" t="n">
        <v>46130</v>
      </c>
      <c r="D3103" s="6" t="s">
        <v>5345</v>
      </c>
      <c r="E3103" s="6" t="s">
        <v>23</v>
      </c>
      <c r="F3103" s="6" t="n">
        <v>5</v>
      </c>
      <c r="G3103" s="10" t="n">
        <v>436</v>
      </c>
      <c r="H3103" s="10" t="n">
        <f aca="false">F3103*G3103</f>
        <v>2180</v>
      </c>
      <c r="I3103" s="6" t="s">
        <v>5148</v>
      </c>
    </row>
    <row r="3104" customFormat="false" ht="15" hidden="false" customHeight="false" outlineLevel="0" collapsed="false">
      <c r="A3104" s="6" t="s">
        <v>8327</v>
      </c>
      <c r="B3104" s="6" t="s">
        <v>2595</v>
      </c>
      <c r="C3104" s="26" t="n">
        <v>46130</v>
      </c>
      <c r="D3104" s="6" t="s">
        <v>5163</v>
      </c>
      <c r="E3104" s="6" t="s">
        <v>23</v>
      </c>
      <c r="F3104" s="6" t="n">
        <v>3</v>
      </c>
      <c r="G3104" s="10" t="n">
        <v>783</v>
      </c>
      <c r="H3104" s="10" t="n">
        <f aca="false">F3104*G3104</f>
        <v>2349</v>
      </c>
      <c r="I3104" s="6" t="s">
        <v>5148</v>
      </c>
    </row>
    <row r="3105" customFormat="false" ht="15" hidden="false" customHeight="false" outlineLevel="0" collapsed="false">
      <c r="A3105" s="6" t="s">
        <v>8328</v>
      </c>
      <c r="B3105" s="6" t="s">
        <v>2615</v>
      </c>
      <c r="C3105" s="26" t="n">
        <v>46130</v>
      </c>
      <c r="D3105" s="6" t="s">
        <v>5171</v>
      </c>
      <c r="E3105" s="6" t="s">
        <v>23</v>
      </c>
      <c r="F3105" s="6" t="n">
        <v>2</v>
      </c>
      <c r="G3105" s="10" t="n">
        <v>734</v>
      </c>
      <c r="H3105" s="10" t="n">
        <f aca="false">F3105*G3105</f>
        <v>1468</v>
      </c>
      <c r="I3105" s="6" t="s">
        <v>5122</v>
      </c>
    </row>
    <row r="3106" customFormat="false" ht="15" hidden="false" customHeight="false" outlineLevel="0" collapsed="false">
      <c r="A3106" s="6" t="s">
        <v>8329</v>
      </c>
      <c r="B3106" s="6" t="s">
        <v>4165</v>
      </c>
      <c r="C3106" s="26" t="n">
        <v>46131</v>
      </c>
      <c r="D3106" s="6" t="s">
        <v>5167</v>
      </c>
      <c r="E3106" s="6" t="s">
        <v>22</v>
      </c>
      <c r="F3106" s="6" t="n">
        <v>2</v>
      </c>
      <c r="G3106" s="10" t="n">
        <v>782</v>
      </c>
      <c r="H3106" s="10" t="n">
        <f aca="false">F3106*G3106</f>
        <v>1564</v>
      </c>
      <c r="I3106" s="6" t="s">
        <v>5148</v>
      </c>
    </row>
    <row r="3107" customFormat="false" ht="15" hidden="false" customHeight="false" outlineLevel="0" collapsed="false">
      <c r="A3107" s="6" t="s">
        <v>8330</v>
      </c>
      <c r="B3107" s="6" t="s">
        <v>3635</v>
      </c>
      <c r="C3107" s="26" t="n">
        <v>46131</v>
      </c>
      <c r="D3107" s="6" t="s">
        <v>5423</v>
      </c>
      <c r="E3107" s="6" t="s">
        <v>21</v>
      </c>
      <c r="F3107" s="6" t="n">
        <v>1</v>
      </c>
      <c r="G3107" s="10" t="n">
        <v>2918</v>
      </c>
      <c r="H3107" s="10" t="n">
        <f aca="false">F3107*G3107</f>
        <v>2918</v>
      </c>
      <c r="I3107" s="6" t="s">
        <v>5148</v>
      </c>
    </row>
    <row r="3108" customFormat="false" ht="15" hidden="false" customHeight="false" outlineLevel="0" collapsed="false">
      <c r="A3108" s="6" t="s">
        <v>8331</v>
      </c>
      <c r="B3108" s="6" t="s">
        <v>2675</v>
      </c>
      <c r="C3108" s="26" t="n">
        <v>46131</v>
      </c>
      <c r="D3108" s="6" t="s">
        <v>5214</v>
      </c>
      <c r="E3108" s="6" t="s">
        <v>20</v>
      </c>
      <c r="F3108" s="6" t="n">
        <v>1</v>
      </c>
      <c r="G3108" s="10" t="n">
        <v>1937</v>
      </c>
      <c r="H3108" s="10" t="n">
        <f aca="false">F3108*G3108</f>
        <v>1937</v>
      </c>
      <c r="I3108" s="6" t="s">
        <v>5148</v>
      </c>
    </row>
    <row r="3109" customFormat="false" ht="15" hidden="false" customHeight="false" outlineLevel="0" collapsed="false">
      <c r="A3109" s="6" t="s">
        <v>8332</v>
      </c>
      <c r="B3109" s="6" t="s">
        <v>1695</v>
      </c>
      <c r="C3109" s="26" t="n">
        <v>46131</v>
      </c>
      <c r="D3109" s="6" t="s">
        <v>5167</v>
      </c>
      <c r="E3109" s="6" t="s">
        <v>22</v>
      </c>
      <c r="F3109" s="6" t="n">
        <v>1</v>
      </c>
      <c r="G3109" s="10" t="n">
        <v>782</v>
      </c>
      <c r="H3109" s="10" t="n">
        <f aca="false">F3109*G3109</f>
        <v>782</v>
      </c>
      <c r="I3109" s="6" t="s">
        <v>5133</v>
      </c>
    </row>
    <row r="3110" customFormat="false" ht="15" hidden="false" customHeight="false" outlineLevel="0" collapsed="false">
      <c r="A3110" s="6" t="s">
        <v>8333</v>
      </c>
      <c r="B3110" s="6" t="s">
        <v>83</v>
      </c>
      <c r="C3110" s="26" t="n">
        <v>46131</v>
      </c>
      <c r="D3110" s="6" t="s">
        <v>5167</v>
      </c>
      <c r="E3110" s="6" t="s">
        <v>22</v>
      </c>
      <c r="F3110" s="6" t="n">
        <v>1</v>
      </c>
      <c r="G3110" s="10" t="n">
        <v>782</v>
      </c>
      <c r="H3110" s="10" t="n">
        <f aca="false">F3110*G3110</f>
        <v>782</v>
      </c>
      <c r="I3110" s="6" t="s">
        <v>5148</v>
      </c>
    </row>
    <row r="3111" customFormat="false" ht="15" hidden="false" customHeight="false" outlineLevel="0" collapsed="false">
      <c r="A3111" s="6" t="s">
        <v>8334</v>
      </c>
      <c r="B3111" s="6" t="s">
        <v>721</v>
      </c>
      <c r="C3111" s="26" t="n">
        <v>46131</v>
      </c>
      <c r="D3111" s="6" t="s">
        <v>5197</v>
      </c>
      <c r="E3111" s="6" t="s">
        <v>21</v>
      </c>
      <c r="F3111" s="6" t="n">
        <v>2</v>
      </c>
      <c r="G3111" s="10" t="n">
        <v>1080</v>
      </c>
      <c r="H3111" s="10" t="n">
        <f aca="false">F3111*G3111</f>
        <v>2160</v>
      </c>
      <c r="I3111" s="6" t="s">
        <v>5173</v>
      </c>
    </row>
    <row r="3112" customFormat="false" ht="15" hidden="false" customHeight="false" outlineLevel="0" collapsed="false">
      <c r="A3112" s="6" t="s">
        <v>8335</v>
      </c>
      <c r="B3112" s="6" t="s">
        <v>1405</v>
      </c>
      <c r="C3112" s="26" t="n">
        <v>46131</v>
      </c>
      <c r="D3112" s="6" t="s">
        <v>5190</v>
      </c>
      <c r="E3112" s="6" t="s">
        <v>24</v>
      </c>
      <c r="F3112" s="6" t="n">
        <v>4</v>
      </c>
      <c r="G3112" s="10" t="n">
        <v>610</v>
      </c>
      <c r="H3112" s="10" t="n">
        <f aca="false">F3112*G3112</f>
        <v>2440</v>
      </c>
      <c r="I3112" s="6" t="s">
        <v>5125</v>
      </c>
    </row>
    <row r="3113" customFormat="false" ht="15" hidden="false" customHeight="false" outlineLevel="0" collapsed="false">
      <c r="A3113" s="6" t="s">
        <v>8336</v>
      </c>
      <c r="B3113" s="6" t="s">
        <v>1819</v>
      </c>
      <c r="C3113" s="26" t="n">
        <v>46131</v>
      </c>
      <c r="D3113" s="6" t="s">
        <v>5641</v>
      </c>
      <c r="E3113" s="6" t="s">
        <v>22</v>
      </c>
      <c r="F3113" s="6" t="n">
        <v>2</v>
      </c>
      <c r="G3113" s="10" t="n">
        <v>2024</v>
      </c>
      <c r="H3113" s="10" t="n">
        <f aca="false">F3113*G3113</f>
        <v>4048</v>
      </c>
      <c r="I3113" s="6" t="s">
        <v>5148</v>
      </c>
    </row>
    <row r="3114" customFormat="false" ht="15" hidden="false" customHeight="false" outlineLevel="0" collapsed="false">
      <c r="A3114" s="6" t="s">
        <v>8337</v>
      </c>
      <c r="B3114" s="6" t="s">
        <v>2023</v>
      </c>
      <c r="C3114" s="26" t="n">
        <v>46131</v>
      </c>
      <c r="D3114" s="6" t="s">
        <v>5167</v>
      </c>
      <c r="E3114" s="6" t="s">
        <v>22</v>
      </c>
      <c r="F3114" s="6" t="n">
        <v>3</v>
      </c>
      <c r="G3114" s="10" t="n">
        <v>782</v>
      </c>
      <c r="H3114" s="10" t="n">
        <f aca="false">F3114*G3114</f>
        <v>2346</v>
      </c>
      <c r="I3114" s="6" t="s">
        <v>5133</v>
      </c>
    </row>
    <row r="3115" customFormat="false" ht="15" hidden="false" customHeight="false" outlineLevel="0" collapsed="false">
      <c r="A3115" s="6" t="s">
        <v>8338</v>
      </c>
      <c r="B3115" s="6" t="s">
        <v>3991</v>
      </c>
      <c r="C3115" s="26" t="n">
        <v>46131</v>
      </c>
      <c r="D3115" s="6" t="s">
        <v>5129</v>
      </c>
      <c r="E3115" s="6" t="s">
        <v>21</v>
      </c>
      <c r="F3115" s="6" t="n">
        <v>1</v>
      </c>
      <c r="G3115" s="10" t="n">
        <v>559</v>
      </c>
      <c r="H3115" s="10" t="n">
        <f aca="false">F3115*G3115</f>
        <v>559</v>
      </c>
      <c r="I3115" s="6" t="s">
        <v>5130</v>
      </c>
    </row>
    <row r="3116" customFormat="false" ht="15" hidden="false" customHeight="false" outlineLevel="0" collapsed="false">
      <c r="A3116" s="6" t="s">
        <v>8339</v>
      </c>
      <c r="B3116" s="6" t="s">
        <v>4301</v>
      </c>
      <c r="C3116" s="26" t="n">
        <v>46131</v>
      </c>
      <c r="D3116" s="6" t="s">
        <v>5214</v>
      </c>
      <c r="E3116" s="6" t="s">
        <v>20</v>
      </c>
      <c r="F3116" s="6" t="n">
        <v>1</v>
      </c>
      <c r="G3116" s="10" t="n">
        <v>2038</v>
      </c>
      <c r="H3116" s="10" t="n">
        <f aca="false">F3116*G3116</f>
        <v>2038</v>
      </c>
      <c r="I3116" s="6" t="s">
        <v>5122</v>
      </c>
    </row>
    <row r="3117" customFormat="false" ht="15" hidden="false" customHeight="false" outlineLevel="0" collapsed="false">
      <c r="A3117" s="6" t="s">
        <v>8340</v>
      </c>
      <c r="B3117" s="6" t="s">
        <v>3829</v>
      </c>
      <c r="C3117" s="26" t="n">
        <v>46131</v>
      </c>
      <c r="D3117" s="6" t="s">
        <v>5345</v>
      </c>
      <c r="E3117" s="6" t="s">
        <v>23</v>
      </c>
      <c r="F3117" s="6" t="n">
        <v>1</v>
      </c>
      <c r="G3117" s="10" t="n">
        <v>392</v>
      </c>
      <c r="H3117" s="10" t="n">
        <f aca="false">F3117*G3117</f>
        <v>392</v>
      </c>
      <c r="I3117" s="6" t="s">
        <v>5122</v>
      </c>
    </row>
    <row r="3118" customFormat="false" ht="15" hidden="false" customHeight="false" outlineLevel="0" collapsed="false">
      <c r="A3118" s="6" t="s">
        <v>8341</v>
      </c>
      <c r="B3118" s="6" t="s">
        <v>969</v>
      </c>
      <c r="C3118" s="26" t="n">
        <v>46131</v>
      </c>
      <c r="D3118" s="6" t="s">
        <v>5165</v>
      </c>
      <c r="E3118" s="6" t="s">
        <v>22</v>
      </c>
      <c r="F3118" s="6" t="n">
        <v>1</v>
      </c>
      <c r="G3118" s="10" t="n">
        <v>977</v>
      </c>
      <c r="H3118" s="10" t="n">
        <f aca="false">F3118*G3118</f>
        <v>977</v>
      </c>
      <c r="I3118" s="6" t="s">
        <v>5173</v>
      </c>
    </row>
    <row r="3119" customFormat="false" ht="15" hidden="false" customHeight="false" outlineLevel="0" collapsed="false">
      <c r="A3119" s="6" t="s">
        <v>8342</v>
      </c>
      <c r="B3119" s="6" t="s">
        <v>73</v>
      </c>
      <c r="C3119" s="26" t="n">
        <v>46131</v>
      </c>
      <c r="D3119" s="6" t="s">
        <v>5163</v>
      </c>
      <c r="E3119" s="6" t="s">
        <v>23</v>
      </c>
      <c r="F3119" s="6" t="n">
        <v>4</v>
      </c>
      <c r="G3119" s="10" t="n">
        <v>705</v>
      </c>
      <c r="H3119" s="10" t="n">
        <f aca="false">F3119*G3119</f>
        <v>2820</v>
      </c>
      <c r="I3119" s="6" t="s">
        <v>5148</v>
      </c>
    </row>
    <row r="3120" customFormat="false" ht="15" hidden="false" customHeight="false" outlineLevel="0" collapsed="false">
      <c r="A3120" s="6" t="s">
        <v>8343</v>
      </c>
      <c r="B3120" s="6" t="s">
        <v>4995</v>
      </c>
      <c r="C3120" s="26" t="n">
        <v>46131</v>
      </c>
      <c r="D3120" s="6" t="s">
        <v>5167</v>
      </c>
      <c r="E3120" s="6" t="s">
        <v>22</v>
      </c>
      <c r="F3120" s="6" t="n">
        <v>1</v>
      </c>
      <c r="G3120" s="10" t="n">
        <v>782</v>
      </c>
      <c r="H3120" s="10" t="n">
        <f aca="false">F3120*G3120</f>
        <v>782</v>
      </c>
      <c r="I3120" s="6" t="s">
        <v>5122</v>
      </c>
    </row>
    <row r="3121" customFormat="false" ht="15" hidden="false" customHeight="false" outlineLevel="0" collapsed="false">
      <c r="A3121" s="6" t="s">
        <v>8344</v>
      </c>
      <c r="B3121" s="6" t="s">
        <v>2809</v>
      </c>
      <c r="C3121" s="26" t="n">
        <v>46131</v>
      </c>
      <c r="D3121" s="6" t="s">
        <v>5687</v>
      </c>
      <c r="E3121" s="6" t="s">
        <v>20</v>
      </c>
      <c r="F3121" s="6" t="n">
        <v>1</v>
      </c>
      <c r="G3121" s="10" t="n">
        <v>2039</v>
      </c>
      <c r="H3121" s="10" t="n">
        <f aca="false">F3121*G3121</f>
        <v>2039</v>
      </c>
      <c r="I3121" s="6" t="s">
        <v>5130</v>
      </c>
    </row>
    <row r="3122" customFormat="false" ht="15" hidden="false" customHeight="false" outlineLevel="0" collapsed="false">
      <c r="A3122" s="6" t="s">
        <v>8345</v>
      </c>
      <c r="B3122" s="6" t="s">
        <v>3181</v>
      </c>
      <c r="C3122" s="26" t="n">
        <v>46131</v>
      </c>
      <c r="D3122" s="6" t="s">
        <v>5141</v>
      </c>
      <c r="E3122" s="6" t="s">
        <v>20</v>
      </c>
      <c r="F3122" s="6" t="n">
        <v>1</v>
      </c>
      <c r="G3122" s="10" t="n">
        <v>1835</v>
      </c>
      <c r="H3122" s="10" t="n">
        <f aca="false">F3122*G3122</f>
        <v>1835</v>
      </c>
      <c r="I3122" s="6" t="s">
        <v>5148</v>
      </c>
    </row>
    <row r="3123" customFormat="false" ht="15" hidden="false" customHeight="false" outlineLevel="0" collapsed="false">
      <c r="A3123" s="6" t="s">
        <v>8346</v>
      </c>
      <c r="B3123" s="6" t="s">
        <v>1325</v>
      </c>
      <c r="C3123" s="26" t="n">
        <v>46131</v>
      </c>
      <c r="D3123" s="6" t="s">
        <v>5257</v>
      </c>
      <c r="E3123" s="6" t="s">
        <v>22</v>
      </c>
      <c r="F3123" s="6" t="n">
        <v>2</v>
      </c>
      <c r="G3123" s="10" t="n">
        <v>2249</v>
      </c>
      <c r="H3123" s="10" t="n">
        <f aca="false">F3123*G3123</f>
        <v>4498</v>
      </c>
      <c r="I3123" s="6" t="s">
        <v>5148</v>
      </c>
    </row>
    <row r="3124" customFormat="false" ht="15" hidden="false" customHeight="false" outlineLevel="0" collapsed="false">
      <c r="A3124" s="6" t="s">
        <v>8347</v>
      </c>
      <c r="B3124" s="6" t="s">
        <v>4241</v>
      </c>
      <c r="C3124" s="26" t="n">
        <v>46131</v>
      </c>
      <c r="D3124" s="6" t="s">
        <v>6114</v>
      </c>
      <c r="E3124" s="6" t="s">
        <v>20</v>
      </c>
      <c r="F3124" s="6" t="n">
        <v>1</v>
      </c>
      <c r="G3124" s="10" t="n">
        <v>13256</v>
      </c>
      <c r="H3124" s="10" t="n">
        <f aca="false">F3124*G3124</f>
        <v>13256</v>
      </c>
      <c r="I3124" s="6" t="s">
        <v>5148</v>
      </c>
    </row>
    <row r="3125" customFormat="false" ht="15" hidden="false" customHeight="false" outlineLevel="0" collapsed="false">
      <c r="A3125" s="6" t="s">
        <v>8348</v>
      </c>
      <c r="B3125" s="6" t="s">
        <v>4771</v>
      </c>
      <c r="C3125" s="26" t="n">
        <v>46131</v>
      </c>
      <c r="D3125" s="6" t="s">
        <v>5129</v>
      </c>
      <c r="E3125" s="6" t="s">
        <v>21</v>
      </c>
      <c r="F3125" s="6" t="n">
        <v>3</v>
      </c>
      <c r="G3125" s="10" t="n">
        <v>589</v>
      </c>
      <c r="H3125" s="10" t="n">
        <f aca="false">F3125*G3125</f>
        <v>1767</v>
      </c>
      <c r="I3125" s="6" t="s">
        <v>5122</v>
      </c>
    </row>
    <row r="3126" customFormat="false" ht="15" hidden="false" customHeight="false" outlineLevel="0" collapsed="false">
      <c r="A3126" s="6" t="s">
        <v>8349</v>
      </c>
      <c r="B3126" s="6" t="s">
        <v>3337</v>
      </c>
      <c r="C3126" s="26" t="n">
        <v>46131</v>
      </c>
      <c r="D3126" s="6" t="s">
        <v>5171</v>
      </c>
      <c r="E3126" s="6" t="s">
        <v>23</v>
      </c>
      <c r="F3126" s="6" t="n">
        <v>2</v>
      </c>
      <c r="G3126" s="10" t="n">
        <v>734</v>
      </c>
      <c r="H3126" s="10" t="n">
        <f aca="false">F3126*G3126</f>
        <v>1468</v>
      </c>
      <c r="I3126" s="6" t="s">
        <v>5122</v>
      </c>
    </row>
    <row r="3127" customFormat="false" ht="15" hidden="false" customHeight="false" outlineLevel="0" collapsed="false">
      <c r="A3127" s="6" t="s">
        <v>8350</v>
      </c>
      <c r="B3127" s="6" t="s">
        <v>3459</v>
      </c>
      <c r="C3127" s="26" t="n">
        <v>46131</v>
      </c>
      <c r="D3127" s="6" t="s">
        <v>5121</v>
      </c>
      <c r="E3127" s="6" t="s">
        <v>22</v>
      </c>
      <c r="F3127" s="6" t="n">
        <v>1</v>
      </c>
      <c r="G3127" s="10" t="n">
        <v>928</v>
      </c>
      <c r="H3127" s="10" t="n">
        <f aca="false">F3127*G3127</f>
        <v>928</v>
      </c>
      <c r="I3127" s="6" t="s">
        <v>5133</v>
      </c>
    </row>
    <row r="3128" customFormat="false" ht="15" hidden="false" customHeight="false" outlineLevel="0" collapsed="false">
      <c r="A3128" s="6" t="s">
        <v>8351</v>
      </c>
      <c r="B3128" s="6" t="s">
        <v>1079</v>
      </c>
      <c r="C3128" s="26" t="n">
        <v>46131</v>
      </c>
      <c r="D3128" s="6" t="s">
        <v>5143</v>
      </c>
      <c r="E3128" s="6" t="s">
        <v>21</v>
      </c>
      <c r="F3128" s="6" t="n">
        <v>1</v>
      </c>
      <c r="G3128" s="10" t="n">
        <v>1120</v>
      </c>
      <c r="H3128" s="10" t="n">
        <f aca="false">F3128*G3128</f>
        <v>1120</v>
      </c>
      <c r="I3128" s="6" t="s">
        <v>5122</v>
      </c>
    </row>
    <row r="3129" customFormat="false" ht="15" hidden="false" customHeight="false" outlineLevel="0" collapsed="false">
      <c r="A3129" s="6" t="s">
        <v>8352</v>
      </c>
      <c r="B3129" s="6" t="s">
        <v>2567</v>
      </c>
      <c r="C3129" s="26" t="n">
        <v>46131</v>
      </c>
      <c r="D3129" s="6" t="s">
        <v>5163</v>
      </c>
      <c r="E3129" s="6" t="s">
        <v>23</v>
      </c>
      <c r="F3129" s="6" t="n">
        <v>1</v>
      </c>
      <c r="G3129" s="10" t="n">
        <v>783</v>
      </c>
      <c r="H3129" s="10" t="n">
        <f aca="false">F3129*G3129</f>
        <v>783</v>
      </c>
      <c r="I3129" s="6" t="s">
        <v>5148</v>
      </c>
    </row>
    <row r="3130" customFormat="false" ht="15" hidden="false" customHeight="false" outlineLevel="0" collapsed="false">
      <c r="A3130" s="6" t="s">
        <v>8353</v>
      </c>
      <c r="B3130" s="6" t="s">
        <v>4447</v>
      </c>
      <c r="C3130" s="26" t="n">
        <v>46131</v>
      </c>
      <c r="D3130" s="6" t="s">
        <v>5165</v>
      </c>
      <c r="E3130" s="6" t="s">
        <v>22</v>
      </c>
      <c r="F3130" s="6" t="n">
        <v>1</v>
      </c>
      <c r="G3130" s="10" t="n">
        <v>977</v>
      </c>
      <c r="H3130" s="10" t="n">
        <f aca="false">F3130*G3130</f>
        <v>977</v>
      </c>
      <c r="I3130" s="6" t="s">
        <v>5122</v>
      </c>
    </row>
    <row r="3131" customFormat="false" ht="15" hidden="false" customHeight="false" outlineLevel="0" collapsed="false">
      <c r="A3131" s="6" t="s">
        <v>8354</v>
      </c>
      <c r="B3131" s="6" t="s">
        <v>3835</v>
      </c>
      <c r="C3131" s="26" t="n">
        <v>46131</v>
      </c>
      <c r="D3131" s="6" t="s">
        <v>5143</v>
      </c>
      <c r="E3131" s="6" t="s">
        <v>21</v>
      </c>
      <c r="F3131" s="6" t="n">
        <v>1</v>
      </c>
      <c r="G3131" s="10" t="n">
        <v>1061</v>
      </c>
      <c r="H3131" s="10" t="n">
        <f aca="false">F3131*G3131</f>
        <v>1061</v>
      </c>
      <c r="I3131" s="6" t="s">
        <v>5148</v>
      </c>
    </row>
    <row r="3132" customFormat="false" ht="15" hidden="false" customHeight="false" outlineLevel="0" collapsed="false">
      <c r="A3132" s="6" t="s">
        <v>8355</v>
      </c>
      <c r="B3132" s="6" t="s">
        <v>1997</v>
      </c>
      <c r="C3132" s="26" t="n">
        <v>46131</v>
      </c>
      <c r="D3132" s="6" t="s">
        <v>5175</v>
      </c>
      <c r="E3132" s="6" t="s">
        <v>24</v>
      </c>
      <c r="F3132" s="6" t="n">
        <v>2</v>
      </c>
      <c r="G3132" s="10" t="n">
        <v>610</v>
      </c>
      <c r="H3132" s="10" t="n">
        <f aca="false">F3132*G3132</f>
        <v>1220</v>
      </c>
      <c r="I3132" s="6" t="s">
        <v>5122</v>
      </c>
    </row>
    <row r="3133" customFormat="false" ht="15" hidden="false" customHeight="false" outlineLevel="0" collapsed="false">
      <c r="A3133" s="6" t="s">
        <v>8356</v>
      </c>
      <c r="B3133" s="6" t="s">
        <v>3755</v>
      </c>
      <c r="C3133" s="26" t="n">
        <v>46131</v>
      </c>
      <c r="D3133" s="6" t="s">
        <v>5237</v>
      </c>
      <c r="E3133" s="6" t="s">
        <v>24</v>
      </c>
      <c r="F3133" s="6" t="n">
        <v>1</v>
      </c>
      <c r="G3133" s="10" t="n">
        <v>1833</v>
      </c>
      <c r="H3133" s="10" t="n">
        <f aca="false">F3133*G3133</f>
        <v>1833</v>
      </c>
      <c r="I3133" s="6" t="s">
        <v>5122</v>
      </c>
    </row>
    <row r="3134" customFormat="false" ht="15" hidden="false" customHeight="false" outlineLevel="0" collapsed="false">
      <c r="A3134" s="6" t="s">
        <v>8357</v>
      </c>
      <c r="B3134" s="6" t="s">
        <v>260</v>
      </c>
      <c r="C3134" s="26" t="n">
        <v>46131</v>
      </c>
      <c r="D3134" s="6" t="s">
        <v>5165</v>
      </c>
      <c r="E3134" s="6" t="s">
        <v>22</v>
      </c>
      <c r="F3134" s="6" t="n">
        <v>1</v>
      </c>
      <c r="G3134" s="10" t="n">
        <v>977</v>
      </c>
      <c r="H3134" s="10" t="n">
        <f aca="false">F3134*G3134</f>
        <v>977</v>
      </c>
      <c r="I3134" s="6" t="s">
        <v>5122</v>
      </c>
    </row>
    <row r="3135" customFormat="false" ht="15" hidden="false" customHeight="false" outlineLevel="0" collapsed="false">
      <c r="A3135" s="6" t="s">
        <v>8358</v>
      </c>
      <c r="B3135" s="6" t="s">
        <v>3483</v>
      </c>
      <c r="C3135" s="26" t="n">
        <v>46131</v>
      </c>
      <c r="D3135" s="6" t="s">
        <v>5143</v>
      </c>
      <c r="E3135" s="6" t="s">
        <v>21</v>
      </c>
      <c r="F3135" s="6" t="n">
        <v>1</v>
      </c>
      <c r="G3135" s="10" t="n">
        <v>1120</v>
      </c>
      <c r="H3135" s="10" t="n">
        <f aca="false">F3135*G3135</f>
        <v>1120</v>
      </c>
      <c r="I3135" s="6" t="s">
        <v>5122</v>
      </c>
    </row>
    <row r="3136" customFormat="false" ht="15" hidden="false" customHeight="false" outlineLevel="0" collapsed="false">
      <c r="A3136" s="6" t="s">
        <v>8359</v>
      </c>
      <c r="B3136" s="6" t="s">
        <v>3513</v>
      </c>
      <c r="C3136" s="26" t="n">
        <v>46131</v>
      </c>
      <c r="D3136" s="6" t="s">
        <v>5167</v>
      </c>
      <c r="E3136" s="6" t="s">
        <v>22</v>
      </c>
      <c r="F3136" s="6" t="n">
        <v>1</v>
      </c>
      <c r="G3136" s="10" t="n">
        <v>782</v>
      </c>
      <c r="H3136" s="10" t="n">
        <f aca="false">F3136*G3136</f>
        <v>782</v>
      </c>
      <c r="I3136" s="6" t="s">
        <v>5122</v>
      </c>
    </row>
    <row r="3137" customFormat="false" ht="15" hidden="false" customHeight="false" outlineLevel="0" collapsed="false">
      <c r="A3137" s="6" t="s">
        <v>8360</v>
      </c>
      <c r="B3137" s="6" t="s">
        <v>2669</v>
      </c>
      <c r="C3137" s="26" t="n">
        <v>46131</v>
      </c>
      <c r="D3137" s="6" t="s">
        <v>5171</v>
      </c>
      <c r="E3137" s="6" t="s">
        <v>23</v>
      </c>
      <c r="F3137" s="6" t="n">
        <v>3</v>
      </c>
      <c r="G3137" s="10" t="n">
        <v>697</v>
      </c>
      <c r="H3137" s="10" t="n">
        <f aca="false">F3137*G3137</f>
        <v>2091</v>
      </c>
      <c r="I3137" s="6" t="s">
        <v>5125</v>
      </c>
    </row>
    <row r="3138" customFormat="false" ht="15" hidden="false" customHeight="false" outlineLevel="0" collapsed="false">
      <c r="A3138" s="6" t="s">
        <v>8361</v>
      </c>
      <c r="B3138" s="6" t="s">
        <v>991</v>
      </c>
      <c r="C3138" s="26" t="n">
        <v>46131</v>
      </c>
      <c r="D3138" s="6" t="s">
        <v>5237</v>
      </c>
      <c r="E3138" s="6" t="s">
        <v>24</v>
      </c>
      <c r="F3138" s="6" t="n">
        <v>2</v>
      </c>
      <c r="G3138" s="10" t="n">
        <v>1741</v>
      </c>
      <c r="H3138" s="10" t="n">
        <f aca="false">F3138*G3138</f>
        <v>3482</v>
      </c>
      <c r="I3138" s="6" t="s">
        <v>5148</v>
      </c>
    </row>
    <row r="3139" customFormat="false" ht="15" hidden="false" customHeight="false" outlineLevel="0" collapsed="false">
      <c r="A3139" s="6" t="s">
        <v>8362</v>
      </c>
      <c r="B3139" s="6" t="s">
        <v>2053</v>
      </c>
      <c r="C3139" s="26" t="n">
        <v>46131</v>
      </c>
      <c r="D3139" s="6" t="s">
        <v>5167</v>
      </c>
      <c r="E3139" s="6" t="s">
        <v>22</v>
      </c>
      <c r="F3139" s="6" t="n">
        <v>2</v>
      </c>
      <c r="G3139" s="10" t="n">
        <v>703</v>
      </c>
      <c r="H3139" s="10" t="n">
        <f aca="false">F3139*G3139</f>
        <v>1406</v>
      </c>
      <c r="I3139" s="6" t="s">
        <v>5173</v>
      </c>
    </row>
    <row r="3140" customFormat="false" ht="15" hidden="false" customHeight="false" outlineLevel="0" collapsed="false">
      <c r="A3140" s="6" t="s">
        <v>8363</v>
      </c>
      <c r="B3140" s="6" t="s">
        <v>1841</v>
      </c>
      <c r="C3140" s="26" t="n">
        <v>46131</v>
      </c>
      <c r="D3140" s="6" t="s">
        <v>5259</v>
      </c>
      <c r="E3140" s="6" t="s">
        <v>22</v>
      </c>
      <c r="F3140" s="6" t="n">
        <v>1</v>
      </c>
      <c r="G3140" s="10" t="n">
        <v>1564</v>
      </c>
      <c r="H3140" s="10" t="n">
        <f aca="false">F3140*G3140</f>
        <v>1564</v>
      </c>
      <c r="I3140" s="6" t="s">
        <v>5130</v>
      </c>
    </row>
    <row r="3141" customFormat="false" ht="15" hidden="false" customHeight="false" outlineLevel="0" collapsed="false">
      <c r="A3141" s="6" t="s">
        <v>8364</v>
      </c>
      <c r="B3141" s="6" t="s">
        <v>2295</v>
      </c>
      <c r="C3141" s="26" t="n">
        <v>46131</v>
      </c>
      <c r="D3141" s="6" t="s">
        <v>5837</v>
      </c>
      <c r="E3141" s="6" t="s">
        <v>21</v>
      </c>
      <c r="F3141" s="6" t="n">
        <v>2</v>
      </c>
      <c r="G3141" s="10" t="n">
        <v>2948</v>
      </c>
      <c r="H3141" s="10" t="n">
        <f aca="false">F3141*G3141</f>
        <v>5896</v>
      </c>
      <c r="I3141" s="6" t="s">
        <v>5148</v>
      </c>
    </row>
    <row r="3142" customFormat="false" ht="15" hidden="false" customHeight="false" outlineLevel="0" collapsed="false">
      <c r="A3142" s="6" t="s">
        <v>8365</v>
      </c>
      <c r="B3142" s="6" t="s">
        <v>1309</v>
      </c>
      <c r="C3142" s="26" t="n">
        <v>46131</v>
      </c>
      <c r="D3142" s="6" t="s">
        <v>5482</v>
      </c>
      <c r="E3142" s="6" t="s">
        <v>23</v>
      </c>
      <c r="F3142" s="6" t="n">
        <v>3</v>
      </c>
      <c r="G3142" s="10" t="n">
        <v>269</v>
      </c>
      <c r="H3142" s="10" t="n">
        <f aca="false">F3142*G3142</f>
        <v>807</v>
      </c>
      <c r="I3142" s="6" t="s">
        <v>5130</v>
      </c>
    </row>
    <row r="3143" customFormat="false" ht="15" hidden="false" customHeight="false" outlineLevel="0" collapsed="false">
      <c r="A3143" s="6" t="s">
        <v>8366</v>
      </c>
      <c r="B3143" s="6" t="s">
        <v>4581</v>
      </c>
      <c r="C3143" s="26" t="n">
        <v>46131</v>
      </c>
      <c r="D3143" s="6" t="s">
        <v>5152</v>
      </c>
      <c r="E3143" s="6" t="s">
        <v>22</v>
      </c>
      <c r="F3143" s="6" t="n">
        <v>4</v>
      </c>
      <c r="G3143" s="10" t="n">
        <v>1760</v>
      </c>
      <c r="H3143" s="10" t="n">
        <f aca="false">F3143*G3143</f>
        <v>7040</v>
      </c>
      <c r="I3143" s="6" t="s">
        <v>5148</v>
      </c>
    </row>
    <row r="3144" customFormat="false" ht="15" hidden="false" customHeight="false" outlineLevel="0" collapsed="false">
      <c r="A3144" s="6" t="s">
        <v>8367</v>
      </c>
      <c r="B3144" s="6" t="s">
        <v>1875</v>
      </c>
      <c r="C3144" s="26" t="n">
        <v>46132</v>
      </c>
      <c r="D3144" s="6" t="s">
        <v>5163</v>
      </c>
      <c r="E3144" s="6" t="s">
        <v>23</v>
      </c>
      <c r="F3144" s="6" t="n">
        <v>3</v>
      </c>
      <c r="G3144" s="10" t="n">
        <v>783</v>
      </c>
      <c r="H3144" s="10" t="n">
        <f aca="false">F3144*G3144</f>
        <v>2349</v>
      </c>
      <c r="I3144" s="6" t="s">
        <v>5122</v>
      </c>
    </row>
    <row r="3145" customFormat="false" ht="15" hidden="false" customHeight="false" outlineLevel="0" collapsed="false">
      <c r="A3145" s="6" t="s">
        <v>8368</v>
      </c>
      <c r="B3145" s="6" t="s">
        <v>3741</v>
      </c>
      <c r="C3145" s="26" t="n">
        <v>46132</v>
      </c>
      <c r="D3145" s="6" t="s">
        <v>5167</v>
      </c>
      <c r="E3145" s="6" t="s">
        <v>22</v>
      </c>
      <c r="F3145" s="6" t="n">
        <v>3</v>
      </c>
      <c r="G3145" s="10" t="n">
        <v>782</v>
      </c>
      <c r="H3145" s="10" t="n">
        <f aca="false">F3145*G3145</f>
        <v>2346</v>
      </c>
      <c r="I3145" s="6" t="s">
        <v>5122</v>
      </c>
    </row>
    <row r="3146" customFormat="false" ht="15" hidden="false" customHeight="false" outlineLevel="0" collapsed="false">
      <c r="A3146" s="6" t="s">
        <v>8369</v>
      </c>
      <c r="B3146" s="6" t="s">
        <v>136</v>
      </c>
      <c r="C3146" s="26" t="n">
        <v>46132</v>
      </c>
      <c r="D3146" s="6" t="s">
        <v>5163</v>
      </c>
      <c r="E3146" s="6" t="s">
        <v>23</v>
      </c>
      <c r="F3146" s="6" t="n">
        <v>2</v>
      </c>
      <c r="G3146" s="10" t="n">
        <v>783</v>
      </c>
      <c r="H3146" s="10" t="n">
        <f aca="false">F3146*G3146</f>
        <v>1566</v>
      </c>
      <c r="I3146" s="6" t="s">
        <v>5148</v>
      </c>
    </row>
    <row r="3147" customFormat="false" ht="15" hidden="false" customHeight="false" outlineLevel="0" collapsed="false">
      <c r="A3147" s="6" t="s">
        <v>8370</v>
      </c>
      <c r="B3147" s="6" t="s">
        <v>2763</v>
      </c>
      <c r="C3147" s="26" t="n">
        <v>46132</v>
      </c>
      <c r="D3147" s="6" t="s">
        <v>5171</v>
      </c>
      <c r="E3147" s="6" t="s">
        <v>23</v>
      </c>
      <c r="F3147" s="6" t="n">
        <v>4</v>
      </c>
      <c r="G3147" s="10" t="n">
        <v>661</v>
      </c>
      <c r="H3147" s="10" t="n">
        <f aca="false">F3147*G3147</f>
        <v>2644</v>
      </c>
      <c r="I3147" s="6" t="s">
        <v>5130</v>
      </c>
    </row>
    <row r="3148" customFormat="false" ht="15" hidden="false" customHeight="false" outlineLevel="0" collapsed="false">
      <c r="A3148" s="6" t="s">
        <v>8371</v>
      </c>
      <c r="B3148" s="6" t="s">
        <v>977</v>
      </c>
      <c r="C3148" s="26" t="n">
        <v>46132</v>
      </c>
      <c r="D3148" s="6" t="s">
        <v>5190</v>
      </c>
      <c r="E3148" s="6" t="s">
        <v>24</v>
      </c>
      <c r="F3148" s="6" t="n">
        <v>2</v>
      </c>
      <c r="G3148" s="10" t="n">
        <v>610</v>
      </c>
      <c r="H3148" s="10" t="n">
        <f aca="false">F3148*G3148</f>
        <v>1220</v>
      </c>
      <c r="I3148" s="6" t="s">
        <v>5125</v>
      </c>
    </row>
    <row r="3149" customFormat="false" ht="15" hidden="false" customHeight="false" outlineLevel="0" collapsed="false">
      <c r="A3149" s="6" t="s">
        <v>8372</v>
      </c>
      <c r="B3149" s="6" t="s">
        <v>4587</v>
      </c>
      <c r="C3149" s="26" t="n">
        <v>46132</v>
      </c>
      <c r="D3149" s="6" t="s">
        <v>5121</v>
      </c>
      <c r="E3149" s="6" t="s">
        <v>22</v>
      </c>
      <c r="F3149" s="6" t="n">
        <v>2</v>
      </c>
      <c r="G3149" s="10" t="n">
        <v>977</v>
      </c>
      <c r="H3149" s="10" t="n">
        <f aca="false">F3149*G3149</f>
        <v>1954</v>
      </c>
      <c r="I3149" s="6" t="s">
        <v>5122</v>
      </c>
    </row>
    <row r="3150" customFormat="false" ht="15" hidden="false" customHeight="false" outlineLevel="0" collapsed="false">
      <c r="A3150" s="6" t="s">
        <v>8373</v>
      </c>
      <c r="B3150" s="6" t="s">
        <v>1573</v>
      </c>
      <c r="C3150" s="26" t="n">
        <v>46132</v>
      </c>
      <c r="D3150" s="6" t="s">
        <v>5167</v>
      </c>
      <c r="E3150" s="6" t="s">
        <v>22</v>
      </c>
      <c r="F3150" s="6" t="n">
        <v>1</v>
      </c>
      <c r="G3150" s="10" t="n">
        <v>782</v>
      </c>
      <c r="H3150" s="10" t="n">
        <f aca="false">F3150*G3150</f>
        <v>782</v>
      </c>
      <c r="I3150" s="6" t="s">
        <v>5122</v>
      </c>
    </row>
    <row r="3151" customFormat="false" ht="15" hidden="false" customHeight="false" outlineLevel="0" collapsed="false">
      <c r="A3151" s="6" t="s">
        <v>8374</v>
      </c>
      <c r="B3151" s="6" t="s">
        <v>3013</v>
      </c>
      <c r="C3151" s="26" t="n">
        <v>46132</v>
      </c>
      <c r="D3151" s="6" t="s">
        <v>5538</v>
      </c>
      <c r="E3151" s="6" t="s">
        <v>21</v>
      </c>
      <c r="F3151" s="6" t="n">
        <v>2</v>
      </c>
      <c r="G3151" s="10" t="n">
        <v>5135</v>
      </c>
      <c r="H3151" s="10" t="n">
        <f aca="false">F3151*G3151</f>
        <v>10270</v>
      </c>
      <c r="I3151" s="6" t="s">
        <v>5122</v>
      </c>
    </row>
    <row r="3152" customFormat="false" ht="15" hidden="false" customHeight="false" outlineLevel="0" collapsed="false">
      <c r="A3152" s="6" t="s">
        <v>8375</v>
      </c>
      <c r="B3152" s="6" t="s">
        <v>735</v>
      </c>
      <c r="C3152" s="26" t="n">
        <v>46132</v>
      </c>
      <c r="D3152" s="6" t="s">
        <v>5423</v>
      </c>
      <c r="E3152" s="6" t="s">
        <v>21</v>
      </c>
      <c r="F3152" s="6" t="n">
        <v>2</v>
      </c>
      <c r="G3152" s="10" t="n">
        <v>3243</v>
      </c>
      <c r="H3152" s="10" t="n">
        <f aca="false">F3152*G3152</f>
        <v>6486</v>
      </c>
      <c r="I3152" s="6" t="s">
        <v>5148</v>
      </c>
    </row>
    <row r="3153" customFormat="false" ht="15" hidden="false" customHeight="false" outlineLevel="0" collapsed="false">
      <c r="A3153" s="6" t="s">
        <v>8376</v>
      </c>
      <c r="B3153" s="6" t="s">
        <v>5033</v>
      </c>
      <c r="C3153" s="26" t="n">
        <v>46132</v>
      </c>
      <c r="D3153" s="6" t="s">
        <v>5185</v>
      </c>
      <c r="E3153" s="6" t="s">
        <v>24</v>
      </c>
      <c r="F3153" s="6" t="n">
        <v>1</v>
      </c>
      <c r="G3153" s="10" t="n">
        <v>2140</v>
      </c>
      <c r="H3153" s="10" t="n">
        <f aca="false">F3153*G3153</f>
        <v>2140</v>
      </c>
      <c r="I3153" s="6" t="s">
        <v>5122</v>
      </c>
    </row>
    <row r="3154" customFormat="false" ht="15" hidden="false" customHeight="false" outlineLevel="0" collapsed="false">
      <c r="A3154" s="6" t="s">
        <v>8377</v>
      </c>
      <c r="B3154" s="6" t="s">
        <v>4295</v>
      </c>
      <c r="C3154" s="26" t="n">
        <v>46132</v>
      </c>
      <c r="D3154" s="6" t="s">
        <v>5129</v>
      </c>
      <c r="E3154" s="6" t="s">
        <v>21</v>
      </c>
      <c r="F3154" s="6" t="n">
        <v>1</v>
      </c>
      <c r="G3154" s="10" t="n">
        <v>589</v>
      </c>
      <c r="H3154" s="10" t="n">
        <f aca="false">F3154*G3154</f>
        <v>589</v>
      </c>
      <c r="I3154" s="6" t="s">
        <v>5125</v>
      </c>
    </row>
    <row r="3155" customFormat="false" ht="15" hidden="false" customHeight="false" outlineLevel="0" collapsed="false">
      <c r="A3155" s="6" t="s">
        <v>8378</v>
      </c>
      <c r="B3155" s="6" t="s">
        <v>4249</v>
      </c>
      <c r="C3155" s="26" t="n">
        <v>46132</v>
      </c>
      <c r="D3155" s="6" t="s">
        <v>5220</v>
      </c>
      <c r="E3155" s="6" t="s">
        <v>24</v>
      </c>
      <c r="F3155" s="6" t="n">
        <v>2</v>
      </c>
      <c r="G3155" s="10" t="n">
        <v>1120</v>
      </c>
      <c r="H3155" s="10" t="n">
        <f aca="false">F3155*G3155</f>
        <v>2240</v>
      </c>
      <c r="I3155" s="6" t="s">
        <v>5122</v>
      </c>
    </row>
    <row r="3156" customFormat="false" ht="15" hidden="false" customHeight="false" outlineLevel="0" collapsed="false">
      <c r="A3156" s="6" t="s">
        <v>8379</v>
      </c>
      <c r="B3156" s="6" t="s">
        <v>1911</v>
      </c>
      <c r="C3156" s="26" t="n">
        <v>46132</v>
      </c>
      <c r="D3156" s="6" t="s">
        <v>5749</v>
      </c>
      <c r="E3156" s="6" t="s">
        <v>20</v>
      </c>
      <c r="F3156" s="6" t="n">
        <v>1</v>
      </c>
      <c r="G3156" s="10" t="n">
        <v>815</v>
      </c>
      <c r="H3156" s="10" t="n">
        <f aca="false">F3156*G3156</f>
        <v>815</v>
      </c>
      <c r="I3156" s="6" t="s">
        <v>5122</v>
      </c>
    </row>
    <row r="3157" customFormat="false" ht="15" hidden="false" customHeight="false" outlineLevel="0" collapsed="false">
      <c r="A3157" s="6" t="s">
        <v>8380</v>
      </c>
      <c r="B3157" s="6" t="s">
        <v>1663</v>
      </c>
      <c r="C3157" s="26" t="n">
        <v>46132</v>
      </c>
      <c r="D3157" s="6" t="s">
        <v>5345</v>
      </c>
      <c r="E3157" s="6" t="s">
        <v>23</v>
      </c>
      <c r="F3157" s="6" t="n">
        <v>1</v>
      </c>
      <c r="G3157" s="10" t="n">
        <v>435</v>
      </c>
      <c r="H3157" s="10" t="n">
        <f aca="false">F3157*G3157</f>
        <v>435</v>
      </c>
      <c r="I3157" s="6" t="s">
        <v>5122</v>
      </c>
    </row>
    <row r="3158" customFormat="false" ht="15" hidden="false" customHeight="false" outlineLevel="0" collapsed="false">
      <c r="A3158" s="6" t="s">
        <v>8381</v>
      </c>
      <c r="B3158" s="6" t="s">
        <v>3263</v>
      </c>
      <c r="C3158" s="26" t="n">
        <v>46132</v>
      </c>
      <c r="D3158" s="6" t="s">
        <v>5167</v>
      </c>
      <c r="E3158" s="6" t="s">
        <v>22</v>
      </c>
      <c r="F3158" s="6" t="n">
        <v>1</v>
      </c>
      <c r="G3158" s="10" t="n">
        <v>743</v>
      </c>
      <c r="H3158" s="10" t="n">
        <f aca="false">F3158*G3158</f>
        <v>743</v>
      </c>
      <c r="I3158" s="6" t="s">
        <v>5122</v>
      </c>
    </row>
    <row r="3159" customFormat="false" ht="15" hidden="false" customHeight="false" outlineLevel="0" collapsed="false">
      <c r="A3159" s="6" t="s">
        <v>8382</v>
      </c>
      <c r="B3159" s="6" t="s">
        <v>223</v>
      </c>
      <c r="C3159" s="26" t="n">
        <v>46132</v>
      </c>
      <c r="D3159" s="6" t="s">
        <v>5837</v>
      </c>
      <c r="E3159" s="6" t="s">
        <v>21</v>
      </c>
      <c r="F3159" s="6" t="n">
        <v>1</v>
      </c>
      <c r="G3159" s="10" t="n">
        <v>2653</v>
      </c>
      <c r="H3159" s="10" t="n">
        <f aca="false">F3159*G3159</f>
        <v>2653</v>
      </c>
      <c r="I3159" s="6" t="s">
        <v>5122</v>
      </c>
    </row>
    <row r="3160" customFormat="false" ht="15" hidden="false" customHeight="false" outlineLevel="0" collapsed="false">
      <c r="A3160" s="6" t="s">
        <v>8383</v>
      </c>
      <c r="B3160" s="6" t="s">
        <v>1309</v>
      </c>
      <c r="C3160" s="26" t="n">
        <v>46132</v>
      </c>
      <c r="D3160" s="6" t="s">
        <v>7185</v>
      </c>
      <c r="E3160" s="6" t="s">
        <v>22</v>
      </c>
      <c r="F3160" s="6" t="n">
        <v>3</v>
      </c>
      <c r="G3160" s="10" t="n">
        <v>2734</v>
      </c>
      <c r="H3160" s="10" t="n">
        <f aca="false">F3160*G3160</f>
        <v>8202</v>
      </c>
      <c r="I3160" s="6" t="s">
        <v>5122</v>
      </c>
    </row>
    <row r="3161" customFormat="false" ht="15" hidden="false" customHeight="false" outlineLevel="0" collapsed="false">
      <c r="A3161" s="6" t="s">
        <v>8384</v>
      </c>
      <c r="B3161" s="6" t="s">
        <v>4055</v>
      </c>
      <c r="C3161" s="26" t="n">
        <v>46132</v>
      </c>
      <c r="D3161" s="6" t="s">
        <v>5163</v>
      </c>
      <c r="E3161" s="6" t="s">
        <v>23</v>
      </c>
      <c r="F3161" s="6" t="n">
        <v>1</v>
      </c>
      <c r="G3161" s="10" t="n">
        <v>744</v>
      </c>
      <c r="H3161" s="10" t="n">
        <f aca="false">F3161*G3161</f>
        <v>744</v>
      </c>
      <c r="I3161" s="6" t="s">
        <v>5122</v>
      </c>
    </row>
    <row r="3162" customFormat="false" ht="15" hidden="false" customHeight="false" outlineLevel="0" collapsed="false">
      <c r="A3162" s="6" t="s">
        <v>8385</v>
      </c>
      <c r="B3162" s="6" t="s">
        <v>3807</v>
      </c>
      <c r="C3162" s="26" t="n">
        <v>46132</v>
      </c>
      <c r="D3162" s="6" t="s">
        <v>5121</v>
      </c>
      <c r="E3162" s="6" t="s">
        <v>22</v>
      </c>
      <c r="F3162" s="6" t="n">
        <v>1</v>
      </c>
      <c r="G3162" s="10" t="n">
        <v>880</v>
      </c>
      <c r="H3162" s="10" t="n">
        <f aca="false">F3162*G3162</f>
        <v>880</v>
      </c>
      <c r="I3162" s="6" t="s">
        <v>5122</v>
      </c>
    </row>
    <row r="3163" customFormat="false" ht="15" hidden="false" customHeight="false" outlineLevel="0" collapsed="false">
      <c r="A3163" s="6" t="s">
        <v>8386</v>
      </c>
      <c r="B3163" s="6" t="s">
        <v>1627</v>
      </c>
      <c r="C3163" s="26" t="n">
        <v>46132</v>
      </c>
      <c r="D3163" s="6" t="s">
        <v>5167</v>
      </c>
      <c r="E3163" s="6" t="s">
        <v>22</v>
      </c>
      <c r="F3163" s="6" t="n">
        <v>1</v>
      </c>
      <c r="G3163" s="10" t="n">
        <v>782</v>
      </c>
      <c r="H3163" s="10" t="n">
        <f aca="false">F3163*G3163</f>
        <v>782</v>
      </c>
      <c r="I3163" s="6" t="s">
        <v>5122</v>
      </c>
    </row>
    <row r="3164" customFormat="false" ht="15" hidden="false" customHeight="false" outlineLevel="0" collapsed="false">
      <c r="A3164" s="6" t="s">
        <v>8387</v>
      </c>
      <c r="B3164" s="6" t="s">
        <v>4181</v>
      </c>
      <c r="C3164" s="26" t="n">
        <v>46132</v>
      </c>
      <c r="D3164" s="6" t="s">
        <v>5261</v>
      </c>
      <c r="E3164" s="6" t="s">
        <v>23</v>
      </c>
      <c r="F3164" s="6" t="n">
        <v>2</v>
      </c>
      <c r="G3164" s="10" t="n">
        <v>175</v>
      </c>
      <c r="H3164" s="10" t="n">
        <f aca="false">F3164*G3164</f>
        <v>350</v>
      </c>
      <c r="I3164" s="6" t="s">
        <v>5148</v>
      </c>
    </row>
    <row r="3165" customFormat="false" ht="15" hidden="false" customHeight="false" outlineLevel="0" collapsed="false">
      <c r="A3165" s="6" t="s">
        <v>8388</v>
      </c>
      <c r="B3165" s="6" t="s">
        <v>2835</v>
      </c>
      <c r="C3165" s="26" t="n">
        <v>46133</v>
      </c>
      <c r="D3165" s="6" t="s">
        <v>5202</v>
      </c>
      <c r="E3165" s="6" t="s">
        <v>23</v>
      </c>
      <c r="F3165" s="6" t="n">
        <v>3</v>
      </c>
      <c r="G3165" s="10" t="n">
        <v>245</v>
      </c>
      <c r="H3165" s="10" t="n">
        <f aca="false">F3165*G3165</f>
        <v>735</v>
      </c>
      <c r="I3165" s="6" t="s">
        <v>5148</v>
      </c>
    </row>
    <row r="3166" customFormat="false" ht="15" hidden="false" customHeight="false" outlineLevel="0" collapsed="false">
      <c r="A3166" s="6" t="s">
        <v>8389</v>
      </c>
      <c r="B3166" s="6" t="s">
        <v>1603</v>
      </c>
      <c r="C3166" s="26" t="n">
        <v>46133</v>
      </c>
      <c r="D3166" s="6" t="s">
        <v>5383</v>
      </c>
      <c r="E3166" s="6" t="s">
        <v>20</v>
      </c>
      <c r="F3166" s="6" t="n">
        <v>1</v>
      </c>
      <c r="G3166" s="10" t="n">
        <v>1064</v>
      </c>
      <c r="H3166" s="10" t="n">
        <f aca="false">F3166*G3166</f>
        <v>1064</v>
      </c>
      <c r="I3166" s="6" t="s">
        <v>5122</v>
      </c>
    </row>
    <row r="3167" customFormat="false" ht="15" hidden="false" customHeight="false" outlineLevel="0" collapsed="false">
      <c r="A3167" s="6" t="s">
        <v>8390</v>
      </c>
      <c r="B3167" s="6" t="s">
        <v>3233</v>
      </c>
      <c r="C3167" s="26" t="n">
        <v>46133</v>
      </c>
      <c r="D3167" s="6" t="s">
        <v>5156</v>
      </c>
      <c r="E3167" s="6" t="s">
        <v>21</v>
      </c>
      <c r="F3167" s="6" t="n">
        <v>1</v>
      </c>
      <c r="G3167" s="10" t="n">
        <v>1945</v>
      </c>
      <c r="H3167" s="10" t="n">
        <f aca="false">F3167*G3167</f>
        <v>1945</v>
      </c>
      <c r="I3167" s="6" t="s">
        <v>5125</v>
      </c>
    </row>
    <row r="3168" customFormat="false" ht="15" hidden="false" customHeight="false" outlineLevel="0" collapsed="false">
      <c r="A3168" s="6" t="s">
        <v>8391</v>
      </c>
      <c r="B3168" s="6" t="s">
        <v>4227</v>
      </c>
      <c r="C3168" s="26" t="n">
        <v>46133</v>
      </c>
      <c r="D3168" s="6" t="s">
        <v>5197</v>
      </c>
      <c r="E3168" s="6" t="s">
        <v>21</v>
      </c>
      <c r="F3168" s="6" t="n">
        <v>1</v>
      </c>
      <c r="G3168" s="10" t="n">
        <v>1026</v>
      </c>
      <c r="H3168" s="10" t="n">
        <f aca="false">F3168*G3168</f>
        <v>1026</v>
      </c>
      <c r="I3168" s="6" t="s">
        <v>5148</v>
      </c>
    </row>
    <row r="3169" customFormat="false" ht="15" hidden="false" customHeight="false" outlineLevel="0" collapsed="false">
      <c r="A3169" s="6" t="s">
        <v>8392</v>
      </c>
      <c r="B3169" s="6" t="s">
        <v>3749</v>
      </c>
      <c r="C3169" s="26" t="n">
        <v>46133</v>
      </c>
      <c r="D3169" s="6" t="s">
        <v>5216</v>
      </c>
      <c r="E3169" s="6" t="s">
        <v>23</v>
      </c>
      <c r="F3169" s="6" t="n">
        <v>3</v>
      </c>
      <c r="G3169" s="10" t="n">
        <v>587</v>
      </c>
      <c r="H3169" s="10" t="n">
        <f aca="false">F3169*G3169</f>
        <v>1761</v>
      </c>
      <c r="I3169" s="6" t="s">
        <v>5130</v>
      </c>
    </row>
    <row r="3170" customFormat="false" ht="15" hidden="false" customHeight="false" outlineLevel="0" collapsed="false">
      <c r="A3170" s="6" t="s">
        <v>8393</v>
      </c>
      <c r="B3170" s="6" t="s">
        <v>4219</v>
      </c>
      <c r="C3170" s="26" t="n">
        <v>46133</v>
      </c>
      <c r="D3170" s="6" t="s">
        <v>5456</v>
      </c>
      <c r="E3170" s="6" t="s">
        <v>24</v>
      </c>
      <c r="F3170" s="6" t="n">
        <v>2</v>
      </c>
      <c r="G3170" s="10" t="n">
        <v>821</v>
      </c>
      <c r="H3170" s="10" t="n">
        <f aca="false">F3170*G3170</f>
        <v>1642</v>
      </c>
      <c r="I3170" s="6" t="s">
        <v>5122</v>
      </c>
    </row>
    <row r="3171" customFormat="false" ht="15" hidden="false" customHeight="false" outlineLevel="0" collapsed="false">
      <c r="A3171" s="6" t="s">
        <v>8394</v>
      </c>
      <c r="B3171" s="6" t="s">
        <v>3943</v>
      </c>
      <c r="C3171" s="26" t="n">
        <v>46133</v>
      </c>
      <c r="D3171" s="6" t="s">
        <v>5156</v>
      </c>
      <c r="E3171" s="6" t="s">
        <v>21</v>
      </c>
      <c r="F3171" s="6" t="n">
        <v>2</v>
      </c>
      <c r="G3171" s="10" t="n">
        <v>2161</v>
      </c>
      <c r="H3171" s="10" t="n">
        <f aca="false">F3171*G3171</f>
        <v>4322</v>
      </c>
      <c r="I3171" s="6" t="s">
        <v>5173</v>
      </c>
    </row>
    <row r="3172" customFormat="false" ht="15" hidden="false" customHeight="false" outlineLevel="0" collapsed="false">
      <c r="A3172" s="6" t="s">
        <v>8395</v>
      </c>
      <c r="B3172" s="6" t="s">
        <v>997</v>
      </c>
      <c r="C3172" s="26" t="n">
        <v>46133</v>
      </c>
      <c r="D3172" s="6" t="s">
        <v>5863</v>
      </c>
      <c r="E3172" s="6" t="s">
        <v>20</v>
      </c>
      <c r="F3172" s="6" t="n">
        <v>2</v>
      </c>
      <c r="G3172" s="10" t="n">
        <v>20395</v>
      </c>
      <c r="H3172" s="10" t="n">
        <f aca="false">F3172*G3172</f>
        <v>40790</v>
      </c>
      <c r="I3172" s="6" t="s">
        <v>5122</v>
      </c>
    </row>
    <row r="3173" customFormat="false" ht="15" hidden="false" customHeight="false" outlineLevel="0" collapsed="false">
      <c r="A3173" s="6" t="s">
        <v>8396</v>
      </c>
      <c r="B3173" s="6" t="s">
        <v>2771</v>
      </c>
      <c r="C3173" s="26" t="n">
        <v>46133</v>
      </c>
      <c r="D3173" s="6" t="s">
        <v>5127</v>
      </c>
      <c r="E3173" s="6" t="s">
        <v>21</v>
      </c>
      <c r="F3173" s="6" t="n">
        <v>1</v>
      </c>
      <c r="G3173" s="10" t="n">
        <v>884</v>
      </c>
      <c r="H3173" s="10" t="n">
        <f aca="false">F3173*G3173</f>
        <v>884</v>
      </c>
      <c r="I3173" s="6" t="s">
        <v>5125</v>
      </c>
    </row>
    <row r="3174" customFormat="false" ht="15" hidden="false" customHeight="false" outlineLevel="0" collapsed="false">
      <c r="A3174" s="6" t="s">
        <v>8397</v>
      </c>
      <c r="B3174" s="6" t="s">
        <v>3885</v>
      </c>
      <c r="C3174" s="26" t="n">
        <v>46133</v>
      </c>
      <c r="D3174" s="6" t="s">
        <v>5318</v>
      </c>
      <c r="E3174" s="6" t="s">
        <v>20</v>
      </c>
      <c r="F3174" s="6" t="n">
        <v>1</v>
      </c>
      <c r="G3174" s="10" t="n">
        <v>1529</v>
      </c>
      <c r="H3174" s="10" t="n">
        <f aca="false">F3174*G3174</f>
        <v>1529</v>
      </c>
      <c r="I3174" s="6" t="s">
        <v>5125</v>
      </c>
    </row>
    <row r="3175" customFormat="false" ht="15" hidden="false" customHeight="false" outlineLevel="0" collapsed="false">
      <c r="A3175" s="6" t="s">
        <v>8398</v>
      </c>
      <c r="B3175" s="6" t="s">
        <v>617</v>
      </c>
      <c r="C3175" s="26" t="n">
        <v>46133</v>
      </c>
      <c r="D3175" s="6" t="s">
        <v>5167</v>
      </c>
      <c r="E3175" s="6" t="s">
        <v>22</v>
      </c>
      <c r="F3175" s="6" t="n">
        <v>1</v>
      </c>
      <c r="G3175" s="10" t="n">
        <v>782</v>
      </c>
      <c r="H3175" s="10" t="n">
        <f aca="false">F3175*G3175</f>
        <v>782</v>
      </c>
      <c r="I3175" s="6" t="s">
        <v>5148</v>
      </c>
    </row>
    <row r="3176" customFormat="false" ht="15" hidden="false" customHeight="false" outlineLevel="0" collapsed="false">
      <c r="A3176" s="6" t="s">
        <v>8399</v>
      </c>
      <c r="B3176" s="6" t="s">
        <v>2847</v>
      </c>
      <c r="C3176" s="26" t="n">
        <v>46133</v>
      </c>
      <c r="D3176" s="6" t="s">
        <v>5135</v>
      </c>
      <c r="E3176" s="6" t="s">
        <v>23</v>
      </c>
      <c r="F3176" s="6" t="n">
        <v>1</v>
      </c>
      <c r="G3176" s="10" t="n">
        <v>441</v>
      </c>
      <c r="H3176" s="10" t="n">
        <f aca="false">F3176*G3176</f>
        <v>441</v>
      </c>
      <c r="I3176" s="6" t="s">
        <v>5148</v>
      </c>
    </row>
    <row r="3177" customFormat="false" ht="15" hidden="false" customHeight="false" outlineLevel="0" collapsed="false">
      <c r="A3177" s="6" t="s">
        <v>8400</v>
      </c>
      <c r="B3177" s="6" t="s">
        <v>1081</v>
      </c>
      <c r="C3177" s="26" t="n">
        <v>46133</v>
      </c>
      <c r="D3177" s="6" t="s">
        <v>5466</v>
      </c>
      <c r="E3177" s="6" t="s">
        <v>21</v>
      </c>
      <c r="F3177" s="6" t="n">
        <v>1</v>
      </c>
      <c r="G3177" s="10" t="n">
        <v>1768</v>
      </c>
      <c r="H3177" s="10" t="n">
        <f aca="false">F3177*G3177</f>
        <v>1768</v>
      </c>
      <c r="I3177" s="6" t="s">
        <v>5148</v>
      </c>
    </row>
    <row r="3178" customFormat="false" ht="15" hidden="false" customHeight="false" outlineLevel="0" collapsed="false">
      <c r="A3178" s="6" t="s">
        <v>8401</v>
      </c>
      <c r="B3178" s="6" t="s">
        <v>3107</v>
      </c>
      <c r="C3178" s="26" t="n">
        <v>46133</v>
      </c>
      <c r="D3178" s="6" t="s">
        <v>5160</v>
      </c>
      <c r="E3178" s="6" t="s">
        <v>21</v>
      </c>
      <c r="F3178" s="6" t="n">
        <v>1</v>
      </c>
      <c r="G3178" s="10" t="n">
        <v>2751</v>
      </c>
      <c r="H3178" s="10" t="n">
        <f aca="false">F3178*G3178</f>
        <v>2751</v>
      </c>
      <c r="I3178" s="6" t="s">
        <v>5148</v>
      </c>
    </row>
    <row r="3179" customFormat="false" ht="15" hidden="false" customHeight="false" outlineLevel="0" collapsed="false">
      <c r="A3179" s="6" t="s">
        <v>8402</v>
      </c>
      <c r="B3179" s="6" t="s">
        <v>1067</v>
      </c>
      <c r="C3179" s="26" t="n">
        <v>46133</v>
      </c>
      <c r="D3179" s="6" t="s">
        <v>5129</v>
      </c>
      <c r="E3179" s="6" t="s">
        <v>21</v>
      </c>
      <c r="F3179" s="6" t="n">
        <v>1</v>
      </c>
      <c r="G3179" s="10" t="n">
        <v>589</v>
      </c>
      <c r="H3179" s="10" t="n">
        <f aca="false">F3179*G3179</f>
        <v>589</v>
      </c>
      <c r="I3179" s="6" t="s">
        <v>5148</v>
      </c>
    </row>
    <row r="3180" customFormat="false" ht="15" hidden="false" customHeight="false" outlineLevel="0" collapsed="false">
      <c r="A3180" s="6" t="s">
        <v>8403</v>
      </c>
      <c r="B3180" s="6" t="s">
        <v>1551</v>
      </c>
      <c r="C3180" s="26" t="n">
        <v>46133</v>
      </c>
      <c r="D3180" s="6" t="s">
        <v>5235</v>
      </c>
      <c r="E3180" s="6" t="s">
        <v>21</v>
      </c>
      <c r="F3180" s="6" t="n">
        <v>2</v>
      </c>
      <c r="G3180" s="10" t="n">
        <v>1670</v>
      </c>
      <c r="H3180" s="10" t="n">
        <f aca="false">F3180*G3180</f>
        <v>3340</v>
      </c>
      <c r="I3180" s="6" t="s">
        <v>5122</v>
      </c>
    </row>
    <row r="3181" customFormat="false" ht="15" hidden="false" customHeight="false" outlineLevel="0" collapsed="false">
      <c r="A3181" s="6" t="s">
        <v>8404</v>
      </c>
      <c r="B3181" s="6" t="s">
        <v>1427</v>
      </c>
      <c r="C3181" s="26" t="n">
        <v>46133</v>
      </c>
      <c r="D3181" s="6" t="s">
        <v>5171</v>
      </c>
      <c r="E3181" s="6" t="s">
        <v>23</v>
      </c>
      <c r="F3181" s="6" t="n">
        <v>3</v>
      </c>
      <c r="G3181" s="10" t="n">
        <v>734</v>
      </c>
      <c r="H3181" s="10" t="n">
        <f aca="false">F3181*G3181</f>
        <v>2202</v>
      </c>
      <c r="I3181" s="6" t="s">
        <v>5173</v>
      </c>
    </row>
    <row r="3182" customFormat="false" ht="15" hidden="false" customHeight="false" outlineLevel="0" collapsed="false">
      <c r="A3182" s="6" t="s">
        <v>8405</v>
      </c>
      <c r="B3182" s="6" t="s">
        <v>847</v>
      </c>
      <c r="C3182" s="26" t="n">
        <v>46133</v>
      </c>
      <c r="D3182" s="6" t="s">
        <v>5202</v>
      </c>
      <c r="E3182" s="6" t="s">
        <v>23</v>
      </c>
      <c r="F3182" s="6" t="n">
        <v>4</v>
      </c>
      <c r="G3182" s="10" t="n">
        <v>245</v>
      </c>
      <c r="H3182" s="10" t="n">
        <f aca="false">F3182*G3182</f>
        <v>980</v>
      </c>
      <c r="I3182" s="6" t="s">
        <v>5122</v>
      </c>
    </row>
    <row r="3183" customFormat="false" ht="15" hidden="false" customHeight="false" outlineLevel="0" collapsed="false">
      <c r="A3183" s="6" t="s">
        <v>8406</v>
      </c>
      <c r="B3183" s="6" t="s">
        <v>2009</v>
      </c>
      <c r="C3183" s="26" t="n">
        <v>46133</v>
      </c>
      <c r="D3183" s="6" t="s">
        <v>5245</v>
      </c>
      <c r="E3183" s="6" t="s">
        <v>21</v>
      </c>
      <c r="F3183" s="6" t="n">
        <v>1</v>
      </c>
      <c r="G3183" s="10" t="n">
        <v>2211</v>
      </c>
      <c r="H3183" s="10" t="n">
        <f aca="false">F3183*G3183</f>
        <v>2211</v>
      </c>
      <c r="I3183" s="6" t="s">
        <v>5173</v>
      </c>
    </row>
    <row r="3184" customFormat="false" ht="15" hidden="false" customHeight="false" outlineLevel="0" collapsed="false">
      <c r="A3184" s="6" t="s">
        <v>8407</v>
      </c>
      <c r="B3184" s="6" t="s">
        <v>4241</v>
      </c>
      <c r="C3184" s="26" t="n">
        <v>46133</v>
      </c>
      <c r="D3184" s="6" t="s">
        <v>5466</v>
      </c>
      <c r="E3184" s="6" t="s">
        <v>21</v>
      </c>
      <c r="F3184" s="6" t="n">
        <v>2</v>
      </c>
      <c r="G3184" s="10" t="n">
        <v>1965</v>
      </c>
      <c r="H3184" s="10" t="n">
        <f aca="false">F3184*G3184</f>
        <v>3930</v>
      </c>
      <c r="I3184" s="6" t="s">
        <v>5148</v>
      </c>
    </row>
    <row r="3185" customFormat="false" ht="15" hidden="false" customHeight="false" outlineLevel="0" collapsed="false">
      <c r="A3185" s="6" t="s">
        <v>8408</v>
      </c>
      <c r="B3185" s="6" t="s">
        <v>1413</v>
      </c>
      <c r="C3185" s="26" t="n">
        <v>46133</v>
      </c>
      <c r="D3185" s="6" t="s">
        <v>5242</v>
      </c>
      <c r="E3185" s="6" t="s">
        <v>23</v>
      </c>
      <c r="F3185" s="6" t="n">
        <v>4</v>
      </c>
      <c r="G3185" s="10" t="n">
        <v>354</v>
      </c>
      <c r="H3185" s="10" t="n">
        <f aca="false">F3185*G3185</f>
        <v>1416</v>
      </c>
      <c r="I3185" s="6" t="s">
        <v>5125</v>
      </c>
    </row>
    <row r="3186" customFormat="false" ht="15" hidden="false" customHeight="false" outlineLevel="0" collapsed="false">
      <c r="A3186" s="6" t="s">
        <v>8409</v>
      </c>
      <c r="B3186" s="6" t="s">
        <v>1507</v>
      </c>
      <c r="C3186" s="26" t="n">
        <v>46133</v>
      </c>
      <c r="D3186" s="6" t="s">
        <v>5326</v>
      </c>
      <c r="E3186" s="6" t="s">
        <v>22</v>
      </c>
      <c r="F3186" s="6" t="n">
        <v>2</v>
      </c>
      <c r="G3186" s="10" t="n">
        <v>1466</v>
      </c>
      <c r="H3186" s="10" t="n">
        <f aca="false">F3186*G3186</f>
        <v>2932</v>
      </c>
      <c r="I3186" s="6" t="s">
        <v>5122</v>
      </c>
    </row>
    <row r="3187" customFormat="false" ht="15" hidden="false" customHeight="false" outlineLevel="0" collapsed="false">
      <c r="A3187" s="6" t="s">
        <v>8410</v>
      </c>
      <c r="B3187" s="6" t="s">
        <v>1939</v>
      </c>
      <c r="C3187" s="26" t="n">
        <v>46133</v>
      </c>
      <c r="D3187" s="6" t="s">
        <v>5182</v>
      </c>
      <c r="E3187" s="6" t="s">
        <v>23</v>
      </c>
      <c r="F3187" s="6" t="n">
        <v>1</v>
      </c>
      <c r="G3187" s="10" t="n">
        <v>367</v>
      </c>
      <c r="H3187" s="10" t="n">
        <f aca="false">F3187*G3187</f>
        <v>367</v>
      </c>
      <c r="I3187" s="6" t="s">
        <v>5122</v>
      </c>
    </row>
    <row r="3188" customFormat="false" ht="15" hidden="false" customHeight="false" outlineLevel="0" collapsed="false">
      <c r="A3188" s="6" t="s">
        <v>8411</v>
      </c>
      <c r="B3188" s="6" t="s">
        <v>3597</v>
      </c>
      <c r="C3188" s="26" t="n">
        <v>46133</v>
      </c>
      <c r="D3188" s="6" t="s">
        <v>5185</v>
      </c>
      <c r="E3188" s="6" t="s">
        <v>24</v>
      </c>
      <c r="F3188" s="6" t="n">
        <v>2</v>
      </c>
      <c r="G3188" s="10" t="n">
        <v>1926</v>
      </c>
      <c r="H3188" s="10" t="n">
        <f aca="false">F3188*G3188</f>
        <v>3852</v>
      </c>
      <c r="I3188" s="6" t="s">
        <v>5122</v>
      </c>
    </row>
    <row r="3189" customFormat="false" ht="15" hidden="false" customHeight="false" outlineLevel="0" collapsed="false">
      <c r="A3189" s="6" t="s">
        <v>8412</v>
      </c>
      <c r="B3189" s="6" t="s">
        <v>4141</v>
      </c>
      <c r="C3189" s="26" t="n">
        <v>46133</v>
      </c>
      <c r="D3189" s="6" t="s">
        <v>5163</v>
      </c>
      <c r="E3189" s="6" t="s">
        <v>23</v>
      </c>
      <c r="F3189" s="6" t="n">
        <v>2</v>
      </c>
      <c r="G3189" s="10" t="n">
        <v>783</v>
      </c>
      <c r="H3189" s="10" t="n">
        <f aca="false">F3189*G3189</f>
        <v>1566</v>
      </c>
      <c r="I3189" s="6" t="s">
        <v>5122</v>
      </c>
    </row>
    <row r="3190" customFormat="false" ht="15" hidden="false" customHeight="false" outlineLevel="0" collapsed="false">
      <c r="A3190" s="6" t="s">
        <v>8413</v>
      </c>
      <c r="B3190" s="6" t="s">
        <v>3949</v>
      </c>
      <c r="C3190" s="26" t="n">
        <v>46133</v>
      </c>
      <c r="D3190" s="6" t="s">
        <v>5192</v>
      </c>
      <c r="E3190" s="6" t="s">
        <v>20</v>
      </c>
      <c r="F3190" s="6" t="n">
        <v>1</v>
      </c>
      <c r="G3190" s="10" t="n">
        <v>3670</v>
      </c>
      <c r="H3190" s="10" t="n">
        <f aca="false">F3190*G3190</f>
        <v>3670</v>
      </c>
      <c r="I3190" s="6" t="s">
        <v>5122</v>
      </c>
    </row>
    <row r="3191" customFormat="false" ht="15" hidden="false" customHeight="false" outlineLevel="0" collapsed="false">
      <c r="A3191" s="6" t="s">
        <v>8414</v>
      </c>
      <c r="B3191" s="6" t="s">
        <v>5007</v>
      </c>
      <c r="C3191" s="26" t="n">
        <v>46133</v>
      </c>
      <c r="D3191" s="6" t="s">
        <v>5235</v>
      </c>
      <c r="E3191" s="6" t="s">
        <v>21</v>
      </c>
      <c r="F3191" s="6" t="n">
        <v>1</v>
      </c>
      <c r="G3191" s="10" t="n">
        <v>1670</v>
      </c>
      <c r="H3191" s="10" t="n">
        <f aca="false">F3191*G3191</f>
        <v>1670</v>
      </c>
      <c r="I3191" s="6" t="s">
        <v>5122</v>
      </c>
    </row>
    <row r="3192" customFormat="false" ht="15" hidden="false" customHeight="false" outlineLevel="0" collapsed="false">
      <c r="A3192" s="6" t="s">
        <v>8415</v>
      </c>
      <c r="B3192" s="6" t="s">
        <v>2779</v>
      </c>
      <c r="C3192" s="26" t="n">
        <v>46133</v>
      </c>
      <c r="D3192" s="6" t="s">
        <v>5185</v>
      </c>
      <c r="E3192" s="6" t="s">
        <v>24</v>
      </c>
      <c r="F3192" s="6" t="n">
        <v>2</v>
      </c>
      <c r="G3192" s="10" t="n">
        <v>2140</v>
      </c>
      <c r="H3192" s="10" t="n">
        <f aca="false">F3192*G3192</f>
        <v>4280</v>
      </c>
      <c r="I3192" s="6" t="s">
        <v>5122</v>
      </c>
    </row>
    <row r="3193" customFormat="false" ht="15" hidden="false" customHeight="false" outlineLevel="0" collapsed="false">
      <c r="A3193" s="6" t="s">
        <v>8416</v>
      </c>
      <c r="B3193" s="6" t="s">
        <v>4289</v>
      </c>
      <c r="C3193" s="26" t="n">
        <v>46133</v>
      </c>
      <c r="D3193" s="6" t="s">
        <v>5171</v>
      </c>
      <c r="E3193" s="6" t="s">
        <v>23</v>
      </c>
      <c r="F3193" s="6" t="n">
        <v>3</v>
      </c>
      <c r="G3193" s="10" t="n">
        <v>734</v>
      </c>
      <c r="H3193" s="10" t="n">
        <f aca="false">F3193*G3193</f>
        <v>2202</v>
      </c>
      <c r="I3193" s="6" t="s">
        <v>5148</v>
      </c>
    </row>
    <row r="3194" customFormat="false" ht="15" hidden="false" customHeight="false" outlineLevel="0" collapsed="false">
      <c r="A3194" s="6" t="s">
        <v>8417</v>
      </c>
      <c r="B3194" s="6" t="s">
        <v>1601</v>
      </c>
      <c r="C3194" s="26" t="n">
        <v>46133</v>
      </c>
      <c r="D3194" s="6" t="s">
        <v>6114</v>
      </c>
      <c r="E3194" s="6" t="s">
        <v>20</v>
      </c>
      <c r="F3194" s="6" t="n">
        <v>1</v>
      </c>
      <c r="G3194" s="10" t="n">
        <v>13256</v>
      </c>
      <c r="H3194" s="10" t="n">
        <f aca="false">F3194*G3194</f>
        <v>13256</v>
      </c>
      <c r="I3194" s="6" t="s">
        <v>5122</v>
      </c>
    </row>
    <row r="3195" customFormat="false" ht="15" hidden="false" customHeight="false" outlineLevel="0" collapsed="false">
      <c r="A3195" s="6" t="s">
        <v>8418</v>
      </c>
      <c r="B3195" s="6" t="s">
        <v>4483</v>
      </c>
      <c r="C3195" s="26" t="n">
        <v>46133</v>
      </c>
      <c r="D3195" s="6" t="s">
        <v>5197</v>
      </c>
      <c r="E3195" s="6" t="s">
        <v>21</v>
      </c>
      <c r="F3195" s="6" t="n">
        <v>1</v>
      </c>
      <c r="G3195" s="10" t="n">
        <v>1080</v>
      </c>
      <c r="H3195" s="10" t="n">
        <f aca="false">F3195*G3195</f>
        <v>1080</v>
      </c>
      <c r="I3195" s="6" t="s">
        <v>5148</v>
      </c>
    </row>
    <row r="3196" customFormat="false" ht="15" hidden="false" customHeight="false" outlineLevel="0" collapsed="false">
      <c r="A3196" s="6" t="s">
        <v>8419</v>
      </c>
      <c r="B3196" s="6" t="s">
        <v>945</v>
      </c>
      <c r="C3196" s="26" t="n">
        <v>46133</v>
      </c>
      <c r="D3196" s="6" t="s">
        <v>5216</v>
      </c>
      <c r="E3196" s="6" t="s">
        <v>23</v>
      </c>
      <c r="F3196" s="6" t="n">
        <v>2</v>
      </c>
      <c r="G3196" s="10" t="n">
        <v>587</v>
      </c>
      <c r="H3196" s="10" t="n">
        <f aca="false">F3196*G3196</f>
        <v>1174</v>
      </c>
      <c r="I3196" s="6" t="s">
        <v>5130</v>
      </c>
    </row>
    <row r="3197" customFormat="false" ht="15" hidden="false" customHeight="false" outlineLevel="0" collapsed="false">
      <c r="A3197" s="6" t="s">
        <v>8420</v>
      </c>
      <c r="B3197" s="6" t="s">
        <v>2561</v>
      </c>
      <c r="C3197" s="26" t="n">
        <v>46133</v>
      </c>
      <c r="D3197" s="6" t="s">
        <v>5167</v>
      </c>
      <c r="E3197" s="6" t="s">
        <v>22</v>
      </c>
      <c r="F3197" s="6" t="n">
        <v>1</v>
      </c>
      <c r="G3197" s="10" t="n">
        <v>703</v>
      </c>
      <c r="H3197" s="10" t="n">
        <f aca="false">F3197*G3197</f>
        <v>703</v>
      </c>
      <c r="I3197" s="6" t="s">
        <v>5148</v>
      </c>
    </row>
    <row r="3198" customFormat="false" ht="15" hidden="false" customHeight="false" outlineLevel="0" collapsed="false">
      <c r="A3198" s="6" t="s">
        <v>8421</v>
      </c>
      <c r="B3198" s="6" t="s">
        <v>4863</v>
      </c>
      <c r="C3198" s="26" t="n">
        <v>46133</v>
      </c>
      <c r="D3198" s="6" t="s">
        <v>5313</v>
      </c>
      <c r="E3198" s="6" t="s">
        <v>22</v>
      </c>
      <c r="F3198" s="6" t="n">
        <v>2</v>
      </c>
      <c r="G3198" s="10" t="n">
        <v>1760</v>
      </c>
      <c r="H3198" s="10" t="n">
        <f aca="false">F3198*G3198</f>
        <v>3520</v>
      </c>
      <c r="I3198" s="6" t="s">
        <v>5133</v>
      </c>
    </row>
    <row r="3199" customFormat="false" ht="15" hidden="false" customHeight="false" outlineLevel="0" collapsed="false">
      <c r="A3199" s="6" t="s">
        <v>8422</v>
      </c>
      <c r="B3199" s="6" t="s">
        <v>4559</v>
      </c>
      <c r="C3199" s="26" t="n">
        <v>46133</v>
      </c>
      <c r="D3199" s="6" t="s">
        <v>5124</v>
      </c>
      <c r="E3199" s="6" t="s">
        <v>21</v>
      </c>
      <c r="F3199" s="6" t="n">
        <v>1</v>
      </c>
      <c r="G3199" s="10" t="n">
        <v>3439</v>
      </c>
      <c r="H3199" s="10" t="n">
        <f aca="false">F3199*G3199</f>
        <v>3439</v>
      </c>
      <c r="I3199" s="6" t="s">
        <v>5125</v>
      </c>
    </row>
    <row r="3200" customFormat="false" ht="15" hidden="false" customHeight="false" outlineLevel="0" collapsed="false">
      <c r="A3200" s="6" t="s">
        <v>8423</v>
      </c>
      <c r="B3200" s="6" t="s">
        <v>2939</v>
      </c>
      <c r="C3200" s="26" t="n">
        <v>46133</v>
      </c>
      <c r="D3200" s="6" t="s">
        <v>5259</v>
      </c>
      <c r="E3200" s="6" t="s">
        <v>22</v>
      </c>
      <c r="F3200" s="6" t="n">
        <v>3</v>
      </c>
      <c r="G3200" s="10" t="n">
        <v>1564</v>
      </c>
      <c r="H3200" s="10" t="n">
        <f aca="false">F3200*G3200</f>
        <v>4692</v>
      </c>
      <c r="I3200" s="6" t="s">
        <v>5122</v>
      </c>
    </row>
    <row r="3201" customFormat="false" ht="15" hidden="false" customHeight="false" outlineLevel="0" collapsed="false">
      <c r="A3201" s="6" t="s">
        <v>8424</v>
      </c>
      <c r="B3201" s="6" t="s">
        <v>2183</v>
      </c>
      <c r="C3201" s="26" t="n">
        <v>46134</v>
      </c>
      <c r="D3201" s="6" t="s">
        <v>5143</v>
      </c>
      <c r="E3201" s="6" t="s">
        <v>21</v>
      </c>
      <c r="F3201" s="6" t="n">
        <v>1</v>
      </c>
      <c r="G3201" s="10" t="n">
        <v>1120</v>
      </c>
      <c r="H3201" s="10" t="n">
        <f aca="false">F3201*G3201</f>
        <v>1120</v>
      </c>
      <c r="I3201" s="6" t="s">
        <v>5148</v>
      </c>
    </row>
    <row r="3202" customFormat="false" ht="15" hidden="false" customHeight="false" outlineLevel="0" collapsed="false">
      <c r="A3202" s="6" t="s">
        <v>8425</v>
      </c>
      <c r="B3202" s="6" t="s">
        <v>2937</v>
      </c>
      <c r="C3202" s="26" t="n">
        <v>46134</v>
      </c>
      <c r="D3202" s="6" t="s">
        <v>5129</v>
      </c>
      <c r="E3202" s="6" t="s">
        <v>21</v>
      </c>
      <c r="F3202" s="6" t="n">
        <v>1</v>
      </c>
      <c r="G3202" s="10" t="n">
        <v>530</v>
      </c>
      <c r="H3202" s="10" t="n">
        <f aca="false">F3202*G3202</f>
        <v>530</v>
      </c>
      <c r="I3202" s="6" t="s">
        <v>5173</v>
      </c>
    </row>
    <row r="3203" customFormat="false" ht="15" hidden="false" customHeight="false" outlineLevel="0" collapsed="false">
      <c r="A3203" s="6" t="s">
        <v>8426</v>
      </c>
      <c r="B3203" s="6" t="s">
        <v>4305</v>
      </c>
      <c r="C3203" s="26" t="n">
        <v>46134</v>
      </c>
      <c r="D3203" s="6" t="s">
        <v>5143</v>
      </c>
      <c r="E3203" s="6" t="s">
        <v>21</v>
      </c>
      <c r="F3203" s="6" t="n">
        <v>1</v>
      </c>
      <c r="G3203" s="10" t="n">
        <v>1179</v>
      </c>
      <c r="H3203" s="10" t="n">
        <f aca="false">F3203*G3203</f>
        <v>1179</v>
      </c>
      <c r="I3203" s="6" t="s">
        <v>5148</v>
      </c>
    </row>
    <row r="3204" customFormat="false" ht="15" hidden="false" customHeight="false" outlineLevel="0" collapsed="false">
      <c r="A3204" s="6" t="s">
        <v>8427</v>
      </c>
      <c r="B3204" s="6" t="s">
        <v>1463</v>
      </c>
      <c r="C3204" s="26" t="n">
        <v>46134</v>
      </c>
      <c r="D3204" s="6" t="s">
        <v>5141</v>
      </c>
      <c r="E3204" s="6" t="s">
        <v>20</v>
      </c>
      <c r="F3204" s="6" t="n">
        <v>1</v>
      </c>
      <c r="G3204" s="10" t="n">
        <v>1835</v>
      </c>
      <c r="H3204" s="10" t="n">
        <f aca="false">F3204*G3204</f>
        <v>1835</v>
      </c>
      <c r="I3204" s="6" t="s">
        <v>5148</v>
      </c>
    </row>
    <row r="3205" customFormat="false" ht="15" hidden="false" customHeight="false" outlineLevel="0" collapsed="false">
      <c r="A3205" s="6" t="s">
        <v>8428</v>
      </c>
      <c r="B3205" s="6" t="s">
        <v>3941</v>
      </c>
      <c r="C3205" s="26" t="n">
        <v>46134</v>
      </c>
      <c r="D3205" s="6" t="s">
        <v>5129</v>
      </c>
      <c r="E3205" s="6" t="s">
        <v>21</v>
      </c>
      <c r="F3205" s="6" t="n">
        <v>2</v>
      </c>
      <c r="G3205" s="10" t="n">
        <v>589</v>
      </c>
      <c r="H3205" s="10" t="n">
        <f aca="false">F3205*G3205</f>
        <v>1178</v>
      </c>
      <c r="I3205" s="6" t="s">
        <v>5125</v>
      </c>
    </row>
    <row r="3206" customFormat="false" ht="15" hidden="false" customHeight="false" outlineLevel="0" collapsed="false">
      <c r="A3206" s="6" t="s">
        <v>8429</v>
      </c>
      <c r="B3206" s="6" t="s">
        <v>4091</v>
      </c>
      <c r="C3206" s="26" t="n">
        <v>46134</v>
      </c>
      <c r="D3206" s="6" t="s">
        <v>5687</v>
      </c>
      <c r="E3206" s="6" t="s">
        <v>20</v>
      </c>
      <c r="F3206" s="6" t="n">
        <v>1</v>
      </c>
      <c r="G3206" s="10" t="n">
        <v>2039</v>
      </c>
      <c r="H3206" s="10" t="n">
        <f aca="false">F3206*G3206</f>
        <v>2039</v>
      </c>
      <c r="I3206" s="6" t="s">
        <v>5122</v>
      </c>
    </row>
    <row r="3207" customFormat="false" ht="15" hidden="false" customHeight="false" outlineLevel="0" collapsed="false">
      <c r="A3207" s="6" t="s">
        <v>8430</v>
      </c>
      <c r="B3207" s="6" t="s">
        <v>3557</v>
      </c>
      <c r="C3207" s="26" t="n">
        <v>46134</v>
      </c>
      <c r="D3207" s="6" t="s">
        <v>5127</v>
      </c>
      <c r="E3207" s="6" t="s">
        <v>21</v>
      </c>
      <c r="F3207" s="6" t="n">
        <v>1</v>
      </c>
      <c r="G3207" s="10" t="n">
        <v>884</v>
      </c>
      <c r="H3207" s="10" t="n">
        <f aca="false">F3207*G3207</f>
        <v>884</v>
      </c>
      <c r="I3207" s="6" t="s">
        <v>5148</v>
      </c>
    </row>
    <row r="3208" customFormat="false" ht="15" hidden="false" customHeight="false" outlineLevel="0" collapsed="false">
      <c r="A3208" s="6" t="s">
        <v>8431</v>
      </c>
      <c r="B3208" s="6" t="s">
        <v>2773</v>
      </c>
      <c r="C3208" s="26" t="n">
        <v>46134</v>
      </c>
      <c r="D3208" s="6" t="s">
        <v>5837</v>
      </c>
      <c r="E3208" s="6" t="s">
        <v>21</v>
      </c>
      <c r="F3208" s="6" t="n">
        <v>1</v>
      </c>
      <c r="G3208" s="10" t="n">
        <v>2653</v>
      </c>
      <c r="H3208" s="10" t="n">
        <f aca="false">F3208*G3208</f>
        <v>2653</v>
      </c>
      <c r="I3208" s="6" t="s">
        <v>5122</v>
      </c>
    </row>
    <row r="3209" customFormat="false" ht="15" hidden="false" customHeight="false" outlineLevel="0" collapsed="false">
      <c r="A3209" s="6" t="s">
        <v>8432</v>
      </c>
      <c r="B3209" s="6" t="s">
        <v>2713</v>
      </c>
      <c r="C3209" s="26" t="n">
        <v>46134</v>
      </c>
      <c r="D3209" s="6" t="s">
        <v>5245</v>
      </c>
      <c r="E3209" s="6" t="s">
        <v>21</v>
      </c>
      <c r="F3209" s="6" t="n">
        <v>2</v>
      </c>
      <c r="G3209" s="10" t="n">
        <v>2456</v>
      </c>
      <c r="H3209" s="10" t="n">
        <f aca="false">F3209*G3209</f>
        <v>4912</v>
      </c>
      <c r="I3209" s="6" t="s">
        <v>5122</v>
      </c>
    </row>
    <row r="3210" customFormat="false" ht="15" hidden="false" customHeight="false" outlineLevel="0" collapsed="false">
      <c r="A3210" s="6" t="s">
        <v>8433</v>
      </c>
      <c r="B3210" s="6" t="s">
        <v>3937</v>
      </c>
      <c r="C3210" s="26" t="n">
        <v>46134</v>
      </c>
      <c r="D3210" s="6" t="s">
        <v>5224</v>
      </c>
      <c r="E3210" s="6" t="s">
        <v>23</v>
      </c>
      <c r="F3210" s="6" t="n">
        <v>2</v>
      </c>
      <c r="G3210" s="10" t="n">
        <v>195</v>
      </c>
      <c r="H3210" s="10" t="n">
        <f aca="false">F3210*G3210</f>
        <v>390</v>
      </c>
      <c r="I3210" s="6" t="s">
        <v>5122</v>
      </c>
    </row>
    <row r="3211" customFormat="false" ht="15" hidden="false" customHeight="false" outlineLevel="0" collapsed="false">
      <c r="A3211" s="6" t="s">
        <v>8434</v>
      </c>
      <c r="B3211" s="6" t="s">
        <v>1657</v>
      </c>
      <c r="C3211" s="26" t="n">
        <v>46134</v>
      </c>
      <c r="D3211" s="6" t="s">
        <v>5141</v>
      </c>
      <c r="E3211" s="6" t="s">
        <v>20</v>
      </c>
      <c r="F3211" s="6" t="n">
        <v>1</v>
      </c>
      <c r="G3211" s="10" t="n">
        <v>1743</v>
      </c>
      <c r="H3211" s="10" t="n">
        <f aca="false">F3211*G3211</f>
        <v>1743</v>
      </c>
      <c r="I3211" s="6" t="s">
        <v>5133</v>
      </c>
    </row>
    <row r="3212" customFormat="false" ht="15" hidden="false" customHeight="false" outlineLevel="0" collapsed="false">
      <c r="A3212" s="6" t="s">
        <v>8435</v>
      </c>
      <c r="B3212" s="6" t="s">
        <v>2443</v>
      </c>
      <c r="C3212" s="26" t="n">
        <v>46134</v>
      </c>
      <c r="D3212" s="6" t="s">
        <v>5235</v>
      </c>
      <c r="E3212" s="6" t="s">
        <v>21</v>
      </c>
      <c r="F3212" s="6" t="n">
        <v>1</v>
      </c>
      <c r="G3212" s="10" t="n">
        <v>1670</v>
      </c>
      <c r="H3212" s="10" t="n">
        <f aca="false">F3212*G3212</f>
        <v>1670</v>
      </c>
      <c r="I3212" s="6" t="s">
        <v>5133</v>
      </c>
    </row>
    <row r="3213" customFormat="false" ht="15" hidden="false" customHeight="false" outlineLevel="0" collapsed="false">
      <c r="A3213" s="6" t="s">
        <v>8436</v>
      </c>
      <c r="B3213" s="6" t="s">
        <v>334</v>
      </c>
      <c r="C3213" s="26" t="n">
        <v>46134</v>
      </c>
      <c r="D3213" s="6" t="s">
        <v>5165</v>
      </c>
      <c r="E3213" s="6" t="s">
        <v>22</v>
      </c>
      <c r="F3213" s="6" t="n">
        <v>3</v>
      </c>
      <c r="G3213" s="10" t="n">
        <v>977</v>
      </c>
      <c r="H3213" s="10" t="n">
        <f aca="false">F3213*G3213</f>
        <v>2931</v>
      </c>
      <c r="I3213" s="6" t="s">
        <v>5133</v>
      </c>
    </row>
    <row r="3214" customFormat="false" ht="15" hidden="false" customHeight="false" outlineLevel="0" collapsed="false">
      <c r="A3214" s="6" t="s">
        <v>8437</v>
      </c>
      <c r="B3214" s="6" t="s">
        <v>889</v>
      </c>
      <c r="C3214" s="26" t="n">
        <v>46134</v>
      </c>
      <c r="D3214" s="6" t="s">
        <v>5237</v>
      </c>
      <c r="E3214" s="6" t="s">
        <v>24</v>
      </c>
      <c r="F3214" s="6" t="n">
        <v>1</v>
      </c>
      <c r="G3214" s="10" t="n">
        <v>1833</v>
      </c>
      <c r="H3214" s="10" t="n">
        <f aca="false">F3214*G3214</f>
        <v>1833</v>
      </c>
      <c r="I3214" s="6" t="s">
        <v>5122</v>
      </c>
    </row>
    <row r="3215" customFormat="false" ht="15" hidden="false" customHeight="false" outlineLevel="0" collapsed="false">
      <c r="A3215" s="6" t="s">
        <v>8438</v>
      </c>
      <c r="B3215" s="6" t="s">
        <v>1243</v>
      </c>
      <c r="C3215" s="26" t="n">
        <v>46134</v>
      </c>
      <c r="D3215" s="6" t="s">
        <v>5410</v>
      </c>
      <c r="E3215" s="6" t="s">
        <v>20</v>
      </c>
      <c r="F3215" s="6" t="n">
        <v>1</v>
      </c>
      <c r="G3215" s="10" t="n">
        <v>2548</v>
      </c>
      <c r="H3215" s="10" t="n">
        <f aca="false">F3215*G3215</f>
        <v>2548</v>
      </c>
      <c r="I3215" s="6" t="s">
        <v>5130</v>
      </c>
    </row>
    <row r="3216" customFormat="false" ht="15" hidden="false" customHeight="false" outlineLevel="0" collapsed="false">
      <c r="A3216" s="6" t="s">
        <v>8439</v>
      </c>
      <c r="B3216" s="6" t="s">
        <v>3277</v>
      </c>
      <c r="C3216" s="26" t="n">
        <v>46134</v>
      </c>
      <c r="D3216" s="6" t="s">
        <v>5163</v>
      </c>
      <c r="E3216" s="6" t="s">
        <v>23</v>
      </c>
      <c r="F3216" s="6" t="n">
        <v>3</v>
      </c>
      <c r="G3216" s="10" t="n">
        <v>783</v>
      </c>
      <c r="H3216" s="10" t="n">
        <f aca="false">F3216*G3216</f>
        <v>2349</v>
      </c>
      <c r="I3216" s="6" t="s">
        <v>5122</v>
      </c>
    </row>
    <row r="3217" customFormat="false" ht="15" hidden="false" customHeight="false" outlineLevel="0" collapsed="false">
      <c r="A3217" s="6" t="s">
        <v>8440</v>
      </c>
      <c r="B3217" s="6" t="s">
        <v>3591</v>
      </c>
      <c r="C3217" s="26" t="n">
        <v>46134</v>
      </c>
      <c r="D3217" s="6" t="s">
        <v>5353</v>
      </c>
      <c r="E3217" s="6" t="s">
        <v>24</v>
      </c>
      <c r="F3217" s="6" t="n">
        <v>3</v>
      </c>
      <c r="G3217" s="10" t="n">
        <v>1629</v>
      </c>
      <c r="H3217" s="10" t="n">
        <f aca="false">F3217*G3217</f>
        <v>4887</v>
      </c>
      <c r="I3217" s="6" t="s">
        <v>5130</v>
      </c>
    </row>
    <row r="3218" customFormat="false" ht="15" hidden="false" customHeight="false" outlineLevel="0" collapsed="false">
      <c r="A3218" s="6" t="s">
        <v>8441</v>
      </c>
      <c r="B3218" s="6" t="s">
        <v>1001</v>
      </c>
      <c r="C3218" s="26" t="n">
        <v>46134</v>
      </c>
      <c r="D3218" s="6" t="s">
        <v>5167</v>
      </c>
      <c r="E3218" s="6" t="s">
        <v>22</v>
      </c>
      <c r="F3218" s="6" t="n">
        <v>1</v>
      </c>
      <c r="G3218" s="10" t="n">
        <v>782</v>
      </c>
      <c r="H3218" s="10" t="n">
        <f aca="false">F3218*G3218</f>
        <v>782</v>
      </c>
      <c r="I3218" s="6" t="s">
        <v>5122</v>
      </c>
    </row>
    <row r="3219" customFormat="false" ht="15" hidden="false" customHeight="false" outlineLevel="0" collapsed="false">
      <c r="A3219" s="6" t="s">
        <v>8442</v>
      </c>
      <c r="B3219" s="6" t="s">
        <v>4109</v>
      </c>
      <c r="C3219" s="26" t="n">
        <v>46134</v>
      </c>
      <c r="D3219" s="6" t="s">
        <v>5167</v>
      </c>
      <c r="E3219" s="6" t="s">
        <v>22</v>
      </c>
      <c r="F3219" s="6" t="n">
        <v>1</v>
      </c>
      <c r="G3219" s="10" t="n">
        <v>702</v>
      </c>
      <c r="H3219" s="10" t="n">
        <f aca="false">F3219*G3219</f>
        <v>702</v>
      </c>
      <c r="I3219" s="6" t="s">
        <v>5130</v>
      </c>
    </row>
    <row r="3220" customFormat="false" ht="15" hidden="false" customHeight="false" outlineLevel="0" collapsed="false">
      <c r="A3220" s="6" t="s">
        <v>8443</v>
      </c>
      <c r="B3220" s="6" t="s">
        <v>2571</v>
      </c>
      <c r="C3220" s="26" t="n">
        <v>46134</v>
      </c>
      <c r="D3220" s="6" t="s">
        <v>6109</v>
      </c>
      <c r="E3220" s="6" t="s">
        <v>20</v>
      </c>
      <c r="F3220" s="6" t="n">
        <v>1</v>
      </c>
      <c r="G3220" s="10" t="n">
        <v>43849</v>
      </c>
      <c r="H3220" s="10" t="n">
        <f aca="false">F3220*G3220</f>
        <v>43849</v>
      </c>
      <c r="I3220" s="6" t="s">
        <v>5122</v>
      </c>
    </row>
    <row r="3221" customFormat="false" ht="15" hidden="false" customHeight="false" outlineLevel="0" collapsed="false">
      <c r="A3221" s="6" t="s">
        <v>8444</v>
      </c>
      <c r="B3221" s="6" t="s">
        <v>431</v>
      </c>
      <c r="C3221" s="26" t="n">
        <v>46134</v>
      </c>
      <c r="D3221" s="6" t="s">
        <v>5132</v>
      </c>
      <c r="E3221" s="6" t="s">
        <v>23</v>
      </c>
      <c r="F3221" s="6" t="n">
        <v>3</v>
      </c>
      <c r="G3221" s="10" t="n">
        <v>342</v>
      </c>
      <c r="H3221" s="10" t="n">
        <f aca="false">F3221*G3221</f>
        <v>1026</v>
      </c>
      <c r="I3221" s="6" t="s">
        <v>5173</v>
      </c>
    </row>
    <row r="3222" customFormat="false" ht="15" hidden="false" customHeight="false" outlineLevel="0" collapsed="false">
      <c r="A3222" s="6" t="s">
        <v>8445</v>
      </c>
      <c r="B3222" s="6" t="s">
        <v>2627</v>
      </c>
      <c r="C3222" s="26" t="n">
        <v>46134</v>
      </c>
      <c r="D3222" s="6" t="s">
        <v>5460</v>
      </c>
      <c r="E3222" s="6" t="s">
        <v>24</v>
      </c>
      <c r="F3222" s="6" t="n">
        <v>2</v>
      </c>
      <c r="G3222" s="10" t="n">
        <v>528</v>
      </c>
      <c r="H3222" s="10" t="n">
        <f aca="false">F3222*G3222</f>
        <v>1056</v>
      </c>
      <c r="I3222" s="6" t="s">
        <v>5148</v>
      </c>
    </row>
    <row r="3223" customFormat="false" ht="15" hidden="false" customHeight="false" outlineLevel="0" collapsed="false">
      <c r="A3223" s="6" t="s">
        <v>8446</v>
      </c>
      <c r="B3223" s="6" t="s">
        <v>1599</v>
      </c>
      <c r="C3223" s="26" t="n">
        <v>46134</v>
      </c>
      <c r="D3223" s="6" t="s">
        <v>5460</v>
      </c>
      <c r="E3223" s="6" t="s">
        <v>24</v>
      </c>
      <c r="F3223" s="6" t="n">
        <v>1</v>
      </c>
      <c r="G3223" s="10" t="n">
        <v>500</v>
      </c>
      <c r="H3223" s="10" t="n">
        <f aca="false">F3223*G3223</f>
        <v>500</v>
      </c>
      <c r="I3223" s="6" t="s">
        <v>5148</v>
      </c>
    </row>
    <row r="3224" customFormat="false" ht="15" hidden="false" customHeight="false" outlineLevel="0" collapsed="false">
      <c r="A3224" s="6" t="s">
        <v>8447</v>
      </c>
      <c r="B3224" s="6" t="s">
        <v>1679</v>
      </c>
      <c r="C3224" s="26" t="n">
        <v>46134</v>
      </c>
      <c r="D3224" s="6" t="s">
        <v>5135</v>
      </c>
      <c r="E3224" s="6" t="s">
        <v>23</v>
      </c>
      <c r="F3224" s="6" t="n">
        <v>2</v>
      </c>
      <c r="G3224" s="10" t="n">
        <v>441</v>
      </c>
      <c r="H3224" s="10" t="n">
        <f aca="false">F3224*G3224</f>
        <v>882</v>
      </c>
      <c r="I3224" s="6" t="s">
        <v>5122</v>
      </c>
    </row>
    <row r="3225" customFormat="false" ht="15" hidden="false" customHeight="false" outlineLevel="0" collapsed="false">
      <c r="A3225" s="6" t="s">
        <v>8448</v>
      </c>
      <c r="B3225" s="6" t="s">
        <v>4601</v>
      </c>
      <c r="C3225" s="26" t="n">
        <v>46134</v>
      </c>
      <c r="D3225" s="6" t="s">
        <v>5171</v>
      </c>
      <c r="E3225" s="6" t="s">
        <v>23</v>
      </c>
      <c r="F3225" s="6" t="n">
        <v>2</v>
      </c>
      <c r="G3225" s="10" t="n">
        <v>734</v>
      </c>
      <c r="H3225" s="10" t="n">
        <f aca="false">F3225*G3225</f>
        <v>1468</v>
      </c>
      <c r="I3225" s="6" t="s">
        <v>5122</v>
      </c>
    </row>
    <row r="3226" customFormat="false" ht="15" hidden="false" customHeight="false" outlineLevel="0" collapsed="false">
      <c r="A3226" s="6" t="s">
        <v>8449</v>
      </c>
      <c r="B3226" s="6" t="s">
        <v>861</v>
      </c>
      <c r="C3226" s="26" t="n">
        <v>46134</v>
      </c>
      <c r="D3226" s="6" t="s">
        <v>5127</v>
      </c>
      <c r="E3226" s="6" t="s">
        <v>21</v>
      </c>
      <c r="F3226" s="6" t="n">
        <v>1</v>
      </c>
      <c r="G3226" s="10" t="n">
        <v>884</v>
      </c>
      <c r="H3226" s="10" t="n">
        <f aca="false">F3226*G3226</f>
        <v>884</v>
      </c>
      <c r="I3226" s="6" t="s">
        <v>5122</v>
      </c>
    </row>
    <row r="3227" customFormat="false" ht="15" hidden="false" customHeight="false" outlineLevel="0" collapsed="false">
      <c r="A3227" s="6" t="s">
        <v>8450</v>
      </c>
      <c r="B3227" s="6" t="s">
        <v>4327</v>
      </c>
      <c r="C3227" s="26" t="n">
        <v>46134</v>
      </c>
      <c r="D3227" s="6" t="s">
        <v>5318</v>
      </c>
      <c r="E3227" s="6" t="s">
        <v>20</v>
      </c>
      <c r="F3227" s="6" t="n">
        <v>1</v>
      </c>
      <c r="G3227" s="10" t="n">
        <v>1375</v>
      </c>
      <c r="H3227" s="10" t="n">
        <f aca="false">F3227*G3227</f>
        <v>1375</v>
      </c>
      <c r="I3227" s="6" t="s">
        <v>5130</v>
      </c>
    </row>
    <row r="3228" customFormat="false" ht="15" hidden="false" customHeight="false" outlineLevel="0" collapsed="false">
      <c r="A3228" s="6" t="s">
        <v>8451</v>
      </c>
      <c r="B3228" s="6" t="s">
        <v>4409</v>
      </c>
      <c r="C3228" s="26" t="n">
        <v>46134</v>
      </c>
      <c r="D3228" s="6" t="s">
        <v>5345</v>
      </c>
      <c r="E3228" s="6" t="s">
        <v>23</v>
      </c>
      <c r="F3228" s="6" t="n">
        <v>2</v>
      </c>
      <c r="G3228" s="10" t="n">
        <v>414</v>
      </c>
      <c r="H3228" s="10" t="n">
        <f aca="false">F3228*G3228</f>
        <v>828</v>
      </c>
      <c r="I3228" s="6" t="s">
        <v>5133</v>
      </c>
    </row>
    <row r="3229" customFormat="false" ht="15" hidden="false" customHeight="false" outlineLevel="0" collapsed="false">
      <c r="A3229" s="6" t="s">
        <v>8452</v>
      </c>
      <c r="B3229" s="6" t="s">
        <v>1527</v>
      </c>
      <c r="C3229" s="26" t="n">
        <v>46134</v>
      </c>
      <c r="D3229" s="6" t="s">
        <v>5357</v>
      </c>
      <c r="E3229" s="6" t="s">
        <v>23</v>
      </c>
      <c r="F3229" s="6" t="n">
        <v>3</v>
      </c>
      <c r="G3229" s="10" t="n">
        <v>534</v>
      </c>
      <c r="H3229" s="10" t="n">
        <f aca="false">F3229*G3229</f>
        <v>1602</v>
      </c>
      <c r="I3229" s="6" t="s">
        <v>5148</v>
      </c>
    </row>
    <row r="3230" customFormat="false" ht="15" hidden="false" customHeight="false" outlineLevel="0" collapsed="false">
      <c r="A3230" s="6" t="s">
        <v>8453</v>
      </c>
      <c r="B3230" s="6" t="s">
        <v>1039</v>
      </c>
      <c r="C3230" s="26" t="n">
        <v>46134</v>
      </c>
      <c r="D3230" s="6" t="s">
        <v>5353</v>
      </c>
      <c r="E3230" s="6" t="s">
        <v>24</v>
      </c>
      <c r="F3230" s="6" t="n">
        <v>2</v>
      </c>
      <c r="G3230" s="10" t="n">
        <v>1466</v>
      </c>
      <c r="H3230" s="10" t="n">
        <f aca="false">F3230*G3230</f>
        <v>2932</v>
      </c>
      <c r="I3230" s="6" t="s">
        <v>5148</v>
      </c>
    </row>
    <row r="3231" customFormat="false" ht="15" hidden="false" customHeight="false" outlineLevel="0" collapsed="false">
      <c r="A3231" s="6" t="s">
        <v>8454</v>
      </c>
      <c r="B3231" s="6" t="s">
        <v>4019</v>
      </c>
      <c r="C3231" s="26" t="n">
        <v>46134</v>
      </c>
      <c r="D3231" s="6" t="s">
        <v>5353</v>
      </c>
      <c r="E3231" s="6" t="s">
        <v>24</v>
      </c>
      <c r="F3231" s="6" t="n">
        <v>1</v>
      </c>
      <c r="G3231" s="10" t="n">
        <v>1629</v>
      </c>
      <c r="H3231" s="10" t="n">
        <f aca="false">F3231*G3231</f>
        <v>1629</v>
      </c>
      <c r="I3231" s="6" t="s">
        <v>5125</v>
      </c>
    </row>
    <row r="3232" customFormat="false" ht="15" hidden="false" customHeight="false" outlineLevel="0" collapsed="false">
      <c r="A3232" s="6" t="s">
        <v>8455</v>
      </c>
      <c r="B3232" s="6" t="s">
        <v>1283</v>
      </c>
      <c r="C3232" s="26" t="n">
        <v>46134</v>
      </c>
      <c r="D3232" s="6" t="s">
        <v>5269</v>
      </c>
      <c r="E3232" s="6" t="s">
        <v>22</v>
      </c>
      <c r="F3232" s="6" t="n">
        <v>1</v>
      </c>
      <c r="G3232" s="10" t="n">
        <v>1270</v>
      </c>
      <c r="H3232" s="10" t="n">
        <f aca="false">F3232*G3232</f>
        <v>1270</v>
      </c>
      <c r="I3232" s="6" t="s">
        <v>5122</v>
      </c>
    </row>
    <row r="3233" customFormat="false" ht="15" hidden="false" customHeight="false" outlineLevel="0" collapsed="false">
      <c r="A3233" s="6" t="s">
        <v>8456</v>
      </c>
      <c r="B3233" s="6" t="s">
        <v>2093</v>
      </c>
      <c r="C3233" s="26" t="n">
        <v>46134</v>
      </c>
      <c r="D3233" s="6" t="s">
        <v>5171</v>
      </c>
      <c r="E3233" s="6" t="s">
        <v>23</v>
      </c>
      <c r="F3233" s="6" t="n">
        <v>3</v>
      </c>
      <c r="G3233" s="10" t="n">
        <v>661</v>
      </c>
      <c r="H3233" s="10" t="n">
        <f aca="false">F3233*G3233</f>
        <v>1983</v>
      </c>
      <c r="I3233" s="6" t="s">
        <v>5148</v>
      </c>
    </row>
    <row r="3234" customFormat="false" ht="15" hidden="false" customHeight="false" outlineLevel="0" collapsed="false">
      <c r="A3234" s="6" t="s">
        <v>8457</v>
      </c>
      <c r="B3234" s="6" t="s">
        <v>4145</v>
      </c>
      <c r="C3234" s="26" t="n">
        <v>46134</v>
      </c>
      <c r="D3234" s="6" t="s">
        <v>5683</v>
      </c>
      <c r="E3234" s="6" t="s">
        <v>22</v>
      </c>
      <c r="F3234" s="6" t="n">
        <v>2</v>
      </c>
      <c r="G3234" s="10" t="n">
        <v>1760</v>
      </c>
      <c r="H3234" s="10" t="n">
        <f aca="false">F3234*G3234</f>
        <v>3520</v>
      </c>
      <c r="I3234" s="6" t="s">
        <v>5148</v>
      </c>
    </row>
    <row r="3235" customFormat="false" ht="15" hidden="false" customHeight="false" outlineLevel="0" collapsed="false">
      <c r="A3235" s="6" t="s">
        <v>8458</v>
      </c>
      <c r="B3235" s="6" t="s">
        <v>3951</v>
      </c>
      <c r="C3235" s="26" t="n">
        <v>46134</v>
      </c>
      <c r="D3235" s="6" t="s">
        <v>5383</v>
      </c>
      <c r="E3235" s="6" t="s">
        <v>20</v>
      </c>
      <c r="F3235" s="6" t="n">
        <v>1</v>
      </c>
      <c r="G3235" s="10" t="n">
        <v>1009</v>
      </c>
      <c r="H3235" s="10" t="n">
        <f aca="false">F3235*G3235</f>
        <v>1009</v>
      </c>
      <c r="I3235" s="6" t="s">
        <v>5122</v>
      </c>
    </row>
    <row r="3236" customFormat="false" ht="15" hidden="false" customHeight="false" outlineLevel="0" collapsed="false">
      <c r="A3236" s="6" t="s">
        <v>8459</v>
      </c>
      <c r="B3236" s="6" t="s">
        <v>4701</v>
      </c>
      <c r="C3236" s="26" t="n">
        <v>46134</v>
      </c>
      <c r="D3236" s="6" t="s">
        <v>5135</v>
      </c>
      <c r="E3236" s="6" t="s">
        <v>23</v>
      </c>
      <c r="F3236" s="6" t="n">
        <v>5</v>
      </c>
      <c r="G3236" s="10" t="n">
        <v>441</v>
      </c>
      <c r="H3236" s="10" t="n">
        <f aca="false">F3236*G3236</f>
        <v>2205</v>
      </c>
      <c r="I3236" s="6" t="s">
        <v>5148</v>
      </c>
    </row>
    <row r="3237" customFormat="false" ht="15" hidden="false" customHeight="false" outlineLevel="0" collapsed="false">
      <c r="A3237" s="6" t="s">
        <v>8460</v>
      </c>
      <c r="B3237" s="6" t="s">
        <v>4151</v>
      </c>
      <c r="C3237" s="26" t="n">
        <v>46134</v>
      </c>
      <c r="D3237" s="6" t="s">
        <v>5326</v>
      </c>
      <c r="E3237" s="6" t="s">
        <v>22</v>
      </c>
      <c r="F3237" s="6" t="n">
        <v>1</v>
      </c>
      <c r="G3237" s="10" t="n">
        <v>1393</v>
      </c>
      <c r="H3237" s="10" t="n">
        <f aca="false">F3237*G3237</f>
        <v>1393</v>
      </c>
      <c r="I3237" s="6" t="s">
        <v>5122</v>
      </c>
    </row>
    <row r="3238" customFormat="false" ht="15" hidden="false" customHeight="false" outlineLevel="0" collapsed="false">
      <c r="A3238" s="6" t="s">
        <v>8461</v>
      </c>
      <c r="B3238" s="6" t="s">
        <v>410</v>
      </c>
      <c r="C3238" s="26" t="n">
        <v>46134</v>
      </c>
      <c r="D3238" s="6" t="s">
        <v>5135</v>
      </c>
      <c r="E3238" s="6" t="s">
        <v>23</v>
      </c>
      <c r="F3238" s="6" t="n">
        <v>4</v>
      </c>
      <c r="G3238" s="10" t="n">
        <v>441</v>
      </c>
      <c r="H3238" s="10" t="n">
        <f aca="false">F3238*G3238</f>
        <v>1764</v>
      </c>
      <c r="I3238" s="6" t="s">
        <v>5173</v>
      </c>
    </row>
    <row r="3239" customFormat="false" ht="15" hidden="false" customHeight="false" outlineLevel="0" collapsed="false">
      <c r="A3239" s="6" t="s">
        <v>8462</v>
      </c>
      <c r="B3239" s="6" t="s">
        <v>2343</v>
      </c>
      <c r="C3239" s="26" t="n">
        <v>46134</v>
      </c>
      <c r="D3239" s="6" t="s">
        <v>5216</v>
      </c>
      <c r="E3239" s="6" t="s">
        <v>23</v>
      </c>
      <c r="F3239" s="6" t="n">
        <v>5</v>
      </c>
      <c r="G3239" s="10" t="n">
        <v>587</v>
      </c>
      <c r="H3239" s="10" t="n">
        <f aca="false">F3239*G3239</f>
        <v>2935</v>
      </c>
      <c r="I3239" s="6" t="s">
        <v>5122</v>
      </c>
    </row>
    <row r="3240" customFormat="false" ht="15" hidden="false" customHeight="false" outlineLevel="0" collapsed="false">
      <c r="A3240" s="6" t="s">
        <v>8463</v>
      </c>
      <c r="B3240" s="6" t="s">
        <v>2403</v>
      </c>
      <c r="C3240" s="26" t="n">
        <v>46134</v>
      </c>
      <c r="D3240" s="6" t="s">
        <v>5145</v>
      </c>
      <c r="E3240" s="6" t="s">
        <v>21</v>
      </c>
      <c r="F3240" s="6" t="n">
        <v>2</v>
      </c>
      <c r="G3240" s="10" t="n">
        <v>1277</v>
      </c>
      <c r="H3240" s="10" t="n">
        <f aca="false">F3240*G3240</f>
        <v>2554</v>
      </c>
      <c r="I3240" s="6" t="s">
        <v>5122</v>
      </c>
    </row>
    <row r="3241" customFormat="false" ht="15" hidden="false" customHeight="false" outlineLevel="0" collapsed="false">
      <c r="A3241" s="6" t="s">
        <v>8464</v>
      </c>
      <c r="B3241" s="6" t="s">
        <v>3889</v>
      </c>
      <c r="C3241" s="26" t="n">
        <v>46134</v>
      </c>
      <c r="D3241" s="6" t="s">
        <v>5277</v>
      </c>
      <c r="E3241" s="6" t="s">
        <v>22</v>
      </c>
      <c r="F3241" s="6" t="n">
        <v>2</v>
      </c>
      <c r="G3241" s="10" t="n">
        <v>2464</v>
      </c>
      <c r="H3241" s="10" t="n">
        <f aca="false">F3241*G3241</f>
        <v>4928</v>
      </c>
      <c r="I3241" s="6" t="s">
        <v>5122</v>
      </c>
    </row>
    <row r="3242" customFormat="false" ht="15" hidden="false" customHeight="false" outlineLevel="0" collapsed="false">
      <c r="A3242" s="6" t="s">
        <v>8465</v>
      </c>
      <c r="B3242" s="6" t="s">
        <v>4277</v>
      </c>
      <c r="C3242" s="26" t="n">
        <v>46135</v>
      </c>
      <c r="D3242" s="6" t="s">
        <v>5129</v>
      </c>
      <c r="E3242" s="6" t="s">
        <v>21</v>
      </c>
      <c r="F3242" s="6" t="n">
        <v>2</v>
      </c>
      <c r="G3242" s="10" t="n">
        <v>530</v>
      </c>
      <c r="H3242" s="10" t="n">
        <f aca="false">F3242*G3242</f>
        <v>1060</v>
      </c>
      <c r="I3242" s="6" t="s">
        <v>5130</v>
      </c>
    </row>
    <row r="3243" customFormat="false" ht="15" hidden="false" customHeight="false" outlineLevel="0" collapsed="false">
      <c r="A3243" s="6" t="s">
        <v>8466</v>
      </c>
      <c r="B3243" s="6" t="s">
        <v>3797</v>
      </c>
      <c r="C3243" s="26" t="n">
        <v>46135</v>
      </c>
      <c r="D3243" s="6" t="s">
        <v>5163</v>
      </c>
      <c r="E3243" s="6" t="s">
        <v>23</v>
      </c>
      <c r="F3243" s="6" t="n">
        <v>1</v>
      </c>
      <c r="G3243" s="10" t="n">
        <v>704</v>
      </c>
      <c r="H3243" s="10" t="n">
        <f aca="false">F3243*G3243</f>
        <v>704</v>
      </c>
      <c r="I3243" s="6" t="s">
        <v>5122</v>
      </c>
    </row>
    <row r="3244" customFormat="false" ht="15" hidden="false" customHeight="false" outlineLevel="0" collapsed="false">
      <c r="A3244" s="6" t="s">
        <v>8467</v>
      </c>
      <c r="B3244" s="6" t="s">
        <v>3709</v>
      </c>
      <c r="C3244" s="26" t="n">
        <v>46135</v>
      </c>
      <c r="D3244" s="6" t="s">
        <v>5165</v>
      </c>
      <c r="E3244" s="6" t="s">
        <v>22</v>
      </c>
      <c r="F3244" s="6" t="n">
        <v>1</v>
      </c>
      <c r="G3244" s="10" t="n">
        <v>928</v>
      </c>
      <c r="H3244" s="10" t="n">
        <f aca="false">F3244*G3244</f>
        <v>928</v>
      </c>
      <c r="I3244" s="6" t="s">
        <v>5130</v>
      </c>
    </row>
    <row r="3245" customFormat="false" ht="15" hidden="false" customHeight="false" outlineLevel="0" collapsed="false">
      <c r="A3245" s="6" t="s">
        <v>8468</v>
      </c>
      <c r="B3245" s="6" t="s">
        <v>4953</v>
      </c>
      <c r="C3245" s="26" t="n">
        <v>46135</v>
      </c>
      <c r="D3245" s="6" t="s">
        <v>5167</v>
      </c>
      <c r="E3245" s="6" t="s">
        <v>22</v>
      </c>
      <c r="F3245" s="6" t="n">
        <v>2</v>
      </c>
      <c r="G3245" s="10" t="n">
        <v>743</v>
      </c>
      <c r="H3245" s="10" t="n">
        <f aca="false">F3245*G3245</f>
        <v>1486</v>
      </c>
      <c r="I3245" s="6" t="s">
        <v>5133</v>
      </c>
    </row>
    <row r="3246" customFormat="false" ht="15" hidden="false" customHeight="false" outlineLevel="0" collapsed="false">
      <c r="A3246" s="6" t="s">
        <v>8469</v>
      </c>
      <c r="B3246" s="6" t="s">
        <v>1063</v>
      </c>
      <c r="C3246" s="26" t="n">
        <v>46135</v>
      </c>
      <c r="D3246" s="6" t="s">
        <v>5226</v>
      </c>
      <c r="E3246" s="6" t="s">
        <v>24</v>
      </c>
      <c r="F3246" s="6" t="n">
        <v>1</v>
      </c>
      <c r="G3246" s="10" t="n">
        <v>412</v>
      </c>
      <c r="H3246" s="10" t="n">
        <f aca="false">F3246*G3246</f>
        <v>412</v>
      </c>
      <c r="I3246" s="6" t="s">
        <v>5148</v>
      </c>
    </row>
    <row r="3247" customFormat="false" ht="15" hidden="false" customHeight="false" outlineLevel="0" collapsed="false">
      <c r="A3247" s="6" t="s">
        <v>8470</v>
      </c>
      <c r="B3247" s="6" t="s">
        <v>2291</v>
      </c>
      <c r="C3247" s="26" t="n">
        <v>46135</v>
      </c>
      <c r="D3247" s="6" t="s">
        <v>5273</v>
      </c>
      <c r="E3247" s="6" t="s">
        <v>23</v>
      </c>
      <c r="F3247" s="6" t="n">
        <v>3</v>
      </c>
      <c r="G3247" s="10" t="n">
        <v>240</v>
      </c>
      <c r="H3247" s="10" t="n">
        <f aca="false">F3247*G3247</f>
        <v>720</v>
      </c>
      <c r="I3247" s="6" t="s">
        <v>5148</v>
      </c>
    </row>
    <row r="3248" customFormat="false" ht="15" hidden="false" customHeight="false" outlineLevel="0" collapsed="false">
      <c r="A3248" s="6" t="s">
        <v>8471</v>
      </c>
      <c r="B3248" s="6" t="s">
        <v>3913</v>
      </c>
      <c r="C3248" s="26" t="n">
        <v>46135</v>
      </c>
      <c r="D3248" s="6" t="s">
        <v>5522</v>
      </c>
      <c r="E3248" s="6" t="s">
        <v>21</v>
      </c>
      <c r="F3248" s="6" t="n">
        <v>1</v>
      </c>
      <c r="G3248" s="10" t="n">
        <v>12777</v>
      </c>
      <c r="H3248" s="10" t="n">
        <f aca="false">F3248*G3248</f>
        <v>12777</v>
      </c>
      <c r="I3248" s="6" t="s">
        <v>5122</v>
      </c>
    </row>
    <row r="3249" customFormat="false" ht="15" hidden="false" customHeight="false" outlineLevel="0" collapsed="false">
      <c r="A3249" s="6" t="s">
        <v>8472</v>
      </c>
      <c r="B3249" s="6" t="s">
        <v>4343</v>
      </c>
      <c r="C3249" s="26" t="n">
        <v>46135</v>
      </c>
      <c r="D3249" s="6" t="s">
        <v>5313</v>
      </c>
      <c r="E3249" s="6" t="s">
        <v>22</v>
      </c>
      <c r="F3249" s="6" t="n">
        <v>3</v>
      </c>
      <c r="G3249" s="10" t="n">
        <v>1672</v>
      </c>
      <c r="H3249" s="10" t="n">
        <f aca="false">F3249*G3249</f>
        <v>5016</v>
      </c>
      <c r="I3249" s="6" t="s">
        <v>5122</v>
      </c>
    </row>
    <row r="3250" customFormat="false" ht="15" hidden="false" customHeight="false" outlineLevel="0" collapsed="false">
      <c r="A3250" s="6" t="s">
        <v>8473</v>
      </c>
      <c r="B3250" s="6" t="s">
        <v>1585</v>
      </c>
      <c r="C3250" s="26" t="n">
        <v>46135</v>
      </c>
      <c r="D3250" s="6" t="s">
        <v>5488</v>
      </c>
      <c r="E3250" s="6" t="s">
        <v>24</v>
      </c>
      <c r="F3250" s="6" t="n">
        <v>1</v>
      </c>
      <c r="G3250" s="10" t="n">
        <v>866</v>
      </c>
      <c r="H3250" s="10" t="n">
        <f aca="false">F3250*G3250</f>
        <v>866</v>
      </c>
      <c r="I3250" s="6" t="s">
        <v>5122</v>
      </c>
    </row>
    <row r="3251" customFormat="false" ht="15" hidden="false" customHeight="false" outlineLevel="0" collapsed="false">
      <c r="A3251" s="6" t="s">
        <v>8474</v>
      </c>
      <c r="B3251" s="6" t="s">
        <v>1401</v>
      </c>
      <c r="C3251" s="26" t="n">
        <v>46135</v>
      </c>
      <c r="D3251" s="6" t="s">
        <v>5167</v>
      </c>
      <c r="E3251" s="6" t="s">
        <v>22</v>
      </c>
      <c r="F3251" s="6" t="n">
        <v>1</v>
      </c>
      <c r="G3251" s="10" t="n">
        <v>782</v>
      </c>
      <c r="H3251" s="10" t="n">
        <f aca="false">F3251*G3251</f>
        <v>782</v>
      </c>
      <c r="I3251" s="6" t="s">
        <v>5122</v>
      </c>
    </row>
    <row r="3252" customFormat="false" ht="15" hidden="false" customHeight="false" outlineLevel="0" collapsed="false">
      <c r="A3252" s="6" t="s">
        <v>8475</v>
      </c>
      <c r="B3252" s="6" t="s">
        <v>2515</v>
      </c>
      <c r="C3252" s="26" t="n">
        <v>46135</v>
      </c>
      <c r="D3252" s="6" t="s">
        <v>5214</v>
      </c>
      <c r="E3252" s="6" t="s">
        <v>20</v>
      </c>
      <c r="F3252" s="6" t="n">
        <v>1</v>
      </c>
      <c r="G3252" s="10" t="n">
        <v>1936</v>
      </c>
      <c r="H3252" s="10" t="n">
        <f aca="false">F3252*G3252</f>
        <v>1936</v>
      </c>
      <c r="I3252" s="6" t="s">
        <v>5122</v>
      </c>
    </row>
    <row r="3253" customFormat="false" ht="15" hidden="false" customHeight="false" outlineLevel="0" collapsed="false">
      <c r="A3253" s="6" t="s">
        <v>8476</v>
      </c>
      <c r="B3253" s="6" t="s">
        <v>2105</v>
      </c>
      <c r="C3253" s="26" t="n">
        <v>46135</v>
      </c>
      <c r="D3253" s="6" t="s">
        <v>5357</v>
      </c>
      <c r="E3253" s="6" t="s">
        <v>23</v>
      </c>
      <c r="F3253" s="6" t="n">
        <v>3</v>
      </c>
      <c r="G3253" s="10" t="n">
        <v>534</v>
      </c>
      <c r="H3253" s="10" t="n">
        <f aca="false">F3253*G3253</f>
        <v>1602</v>
      </c>
      <c r="I3253" s="6" t="s">
        <v>5122</v>
      </c>
    </row>
    <row r="3254" customFormat="false" ht="15" hidden="false" customHeight="false" outlineLevel="0" collapsed="false">
      <c r="A3254" s="6" t="s">
        <v>8477</v>
      </c>
      <c r="B3254" s="6" t="s">
        <v>2451</v>
      </c>
      <c r="C3254" s="26" t="n">
        <v>46135</v>
      </c>
      <c r="D3254" s="6" t="s">
        <v>5150</v>
      </c>
      <c r="E3254" s="6" t="s">
        <v>24</v>
      </c>
      <c r="F3254" s="6" t="n">
        <v>1</v>
      </c>
      <c r="G3254" s="10" t="n">
        <v>508</v>
      </c>
      <c r="H3254" s="10" t="n">
        <f aca="false">F3254*G3254</f>
        <v>508</v>
      </c>
      <c r="I3254" s="6" t="s">
        <v>5130</v>
      </c>
    </row>
    <row r="3255" customFormat="false" ht="15" hidden="false" customHeight="false" outlineLevel="0" collapsed="false">
      <c r="A3255" s="6" t="s">
        <v>8478</v>
      </c>
      <c r="B3255" s="6" t="s">
        <v>833</v>
      </c>
      <c r="C3255" s="26" t="n">
        <v>46135</v>
      </c>
      <c r="D3255" s="6" t="s">
        <v>5242</v>
      </c>
      <c r="E3255" s="6" t="s">
        <v>23</v>
      </c>
      <c r="F3255" s="6" t="n">
        <v>2</v>
      </c>
      <c r="G3255" s="10" t="n">
        <v>372</v>
      </c>
      <c r="H3255" s="10" t="n">
        <f aca="false">F3255*G3255</f>
        <v>744</v>
      </c>
      <c r="I3255" s="6" t="s">
        <v>5148</v>
      </c>
    </row>
    <row r="3256" customFormat="false" ht="15" hidden="false" customHeight="false" outlineLevel="0" collapsed="false">
      <c r="A3256" s="6" t="s">
        <v>8479</v>
      </c>
      <c r="B3256" s="6" t="s">
        <v>1677</v>
      </c>
      <c r="C3256" s="26" t="n">
        <v>46135</v>
      </c>
      <c r="D3256" s="6" t="s">
        <v>5167</v>
      </c>
      <c r="E3256" s="6" t="s">
        <v>22</v>
      </c>
      <c r="F3256" s="6" t="n">
        <v>1</v>
      </c>
      <c r="G3256" s="10" t="n">
        <v>782</v>
      </c>
      <c r="H3256" s="10" t="n">
        <f aca="false">F3256*G3256</f>
        <v>782</v>
      </c>
      <c r="I3256" s="6" t="s">
        <v>5148</v>
      </c>
    </row>
    <row r="3257" customFormat="false" ht="15" hidden="false" customHeight="false" outlineLevel="0" collapsed="false">
      <c r="A3257" s="6" t="s">
        <v>8480</v>
      </c>
      <c r="B3257" s="6" t="s">
        <v>3571</v>
      </c>
      <c r="C3257" s="26" t="n">
        <v>46135</v>
      </c>
      <c r="D3257" s="6" t="s">
        <v>5345</v>
      </c>
      <c r="E3257" s="6" t="s">
        <v>23</v>
      </c>
      <c r="F3257" s="6" t="n">
        <v>1</v>
      </c>
      <c r="G3257" s="10" t="n">
        <v>436</v>
      </c>
      <c r="H3257" s="10" t="n">
        <f aca="false">F3257*G3257</f>
        <v>436</v>
      </c>
      <c r="I3257" s="6" t="s">
        <v>5133</v>
      </c>
    </row>
    <row r="3258" customFormat="false" ht="15" hidden="false" customHeight="false" outlineLevel="0" collapsed="false">
      <c r="A3258" s="6" t="s">
        <v>8481</v>
      </c>
      <c r="B3258" s="6" t="s">
        <v>362</v>
      </c>
      <c r="C3258" s="26" t="n">
        <v>46135</v>
      </c>
      <c r="D3258" s="6" t="s">
        <v>5121</v>
      </c>
      <c r="E3258" s="6" t="s">
        <v>22</v>
      </c>
      <c r="F3258" s="6" t="n">
        <v>2</v>
      </c>
      <c r="G3258" s="10" t="n">
        <v>977</v>
      </c>
      <c r="H3258" s="10" t="n">
        <f aca="false">F3258*G3258</f>
        <v>1954</v>
      </c>
      <c r="I3258" s="6" t="s">
        <v>5125</v>
      </c>
    </row>
    <row r="3259" customFormat="false" ht="15" hidden="false" customHeight="false" outlineLevel="0" collapsed="false">
      <c r="A3259" s="6" t="s">
        <v>8482</v>
      </c>
      <c r="B3259" s="6" t="s">
        <v>317</v>
      </c>
      <c r="C3259" s="26" t="n">
        <v>46135</v>
      </c>
      <c r="D3259" s="6" t="s">
        <v>5214</v>
      </c>
      <c r="E3259" s="6" t="s">
        <v>20</v>
      </c>
      <c r="F3259" s="6" t="n">
        <v>1</v>
      </c>
      <c r="G3259" s="10" t="n">
        <v>1835</v>
      </c>
      <c r="H3259" s="10" t="n">
        <f aca="false">F3259*G3259</f>
        <v>1835</v>
      </c>
      <c r="I3259" s="6" t="s">
        <v>5122</v>
      </c>
    </row>
    <row r="3260" customFormat="false" ht="15" hidden="false" customHeight="false" outlineLevel="0" collapsed="false">
      <c r="A3260" s="6" t="s">
        <v>8483</v>
      </c>
      <c r="B3260" s="6" t="s">
        <v>983</v>
      </c>
      <c r="C3260" s="26" t="n">
        <v>46135</v>
      </c>
      <c r="D3260" s="6" t="s">
        <v>5237</v>
      </c>
      <c r="E3260" s="6" t="s">
        <v>24</v>
      </c>
      <c r="F3260" s="6" t="n">
        <v>2</v>
      </c>
      <c r="G3260" s="10" t="n">
        <v>1833</v>
      </c>
      <c r="H3260" s="10" t="n">
        <f aca="false">F3260*G3260</f>
        <v>3666</v>
      </c>
      <c r="I3260" s="6" t="s">
        <v>5122</v>
      </c>
    </row>
    <row r="3261" customFormat="false" ht="15" hidden="false" customHeight="false" outlineLevel="0" collapsed="false">
      <c r="A3261" s="6" t="s">
        <v>8484</v>
      </c>
      <c r="B3261" s="6" t="s">
        <v>1025</v>
      </c>
      <c r="C3261" s="26" t="n">
        <v>46135</v>
      </c>
      <c r="D3261" s="6" t="s">
        <v>5190</v>
      </c>
      <c r="E3261" s="6" t="s">
        <v>24</v>
      </c>
      <c r="F3261" s="6" t="n">
        <v>4</v>
      </c>
      <c r="G3261" s="10" t="n">
        <v>610</v>
      </c>
      <c r="H3261" s="10" t="n">
        <f aca="false">F3261*G3261</f>
        <v>2440</v>
      </c>
      <c r="I3261" s="6" t="s">
        <v>5122</v>
      </c>
    </row>
    <row r="3262" customFormat="false" ht="15" hidden="false" customHeight="false" outlineLevel="0" collapsed="false">
      <c r="A3262" s="6" t="s">
        <v>8485</v>
      </c>
      <c r="B3262" s="6" t="s">
        <v>4055</v>
      </c>
      <c r="C3262" s="26" t="n">
        <v>46135</v>
      </c>
      <c r="D3262" s="6" t="s">
        <v>5143</v>
      </c>
      <c r="E3262" s="6" t="s">
        <v>21</v>
      </c>
      <c r="F3262" s="6" t="n">
        <v>2</v>
      </c>
      <c r="G3262" s="10" t="n">
        <v>1179</v>
      </c>
      <c r="H3262" s="10" t="n">
        <f aca="false">F3262*G3262</f>
        <v>2358</v>
      </c>
      <c r="I3262" s="6" t="s">
        <v>5133</v>
      </c>
    </row>
    <row r="3263" customFormat="false" ht="15" hidden="false" customHeight="false" outlineLevel="0" collapsed="false">
      <c r="A3263" s="6" t="s">
        <v>8486</v>
      </c>
      <c r="B3263" s="6" t="s">
        <v>2571</v>
      </c>
      <c r="C3263" s="26" t="n">
        <v>46135</v>
      </c>
      <c r="D3263" s="6" t="s">
        <v>5163</v>
      </c>
      <c r="E3263" s="6" t="s">
        <v>23</v>
      </c>
      <c r="F3263" s="6" t="n">
        <v>3</v>
      </c>
      <c r="G3263" s="10" t="n">
        <v>783</v>
      </c>
      <c r="H3263" s="10" t="n">
        <f aca="false">F3263*G3263</f>
        <v>2349</v>
      </c>
      <c r="I3263" s="6" t="s">
        <v>5122</v>
      </c>
    </row>
    <row r="3264" customFormat="false" ht="15" hidden="false" customHeight="false" outlineLevel="0" collapsed="false">
      <c r="A3264" s="6" t="s">
        <v>8487</v>
      </c>
      <c r="B3264" s="6" t="s">
        <v>287</v>
      </c>
      <c r="C3264" s="26" t="n">
        <v>46135</v>
      </c>
      <c r="D3264" s="6" t="s">
        <v>5240</v>
      </c>
      <c r="E3264" s="6" t="s">
        <v>20</v>
      </c>
      <c r="F3264" s="6" t="n">
        <v>1</v>
      </c>
      <c r="G3264" s="10" t="n">
        <v>5098</v>
      </c>
      <c r="H3264" s="10" t="n">
        <f aca="false">F3264*G3264</f>
        <v>5098</v>
      </c>
      <c r="I3264" s="6" t="s">
        <v>5122</v>
      </c>
    </row>
    <row r="3265" customFormat="false" ht="15" hidden="false" customHeight="false" outlineLevel="0" collapsed="false">
      <c r="A3265" s="6" t="s">
        <v>8488</v>
      </c>
      <c r="B3265" s="6" t="s">
        <v>2775</v>
      </c>
      <c r="C3265" s="26" t="n">
        <v>46135</v>
      </c>
      <c r="D3265" s="6" t="s">
        <v>5185</v>
      </c>
      <c r="E3265" s="6" t="s">
        <v>24</v>
      </c>
      <c r="F3265" s="6" t="n">
        <v>1</v>
      </c>
      <c r="G3265" s="10" t="n">
        <v>1926</v>
      </c>
      <c r="H3265" s="10" t="n">
        <f aca="false">F3265*G3265</f>
        <v>1926</v>
      </c>
      <c r="I3265" s="6" t="s">
        <v>5148</v>
      </c>
    </row>
    <row r="3266" customFormat="false" ht="15" hidden="false" customHeight="false" outlineLevel="0" collapsed="false">
      <c r="A3266" s="6" t="s">
        <v>8489</v>
      </c>
      <c r="B3266" s="6" t="s">
        <v>2743</v>
      </c>
      <c r="C3266" s="26" t="n">
        <v>46135</v>
      </c>
      <c r="D3266" s="6" t="s">
        <v>5147</v>
      </c>
      <c r="E3266" s="6" t="s">
        <v>24</v>
      </c>
      <c r="F3266" s="6" t="n">
        <v>2</v>
      </c>
      <c r="G3266" s="10" t="n">
        <v>595</v>
      </c>
      <c r="H3266" s="10" t="n">
        <f aca="false">F3266*G3266</f>
        <v>1190</v>
      </c>
      <c r="I3266" s="6" t="s">
        <v>5122</v>
      </c>
    </row>
    <row r="3267" customFormat="false" ht="15" hidden="false" customHeight="false" outlineLevel="0" collapsed="false">
      <c r="A3267" s="6" t="s">
        <v>8490</v>
      </c>
      <c r="B3267" s="6" t="s">
        <v>404</v>
      </c>
      <c r="C3267" s="26" t="n">
        <v>46135</v>
      </c>
      <c r="D3267" s="6" t="s">
        <v>5163</v>
      </c>
      <c r="E3267" s="6" t="s">
        <v>23</v>
      </c>
      <c r="F3267" s="6" t="n">
        <v>5</v>
      </c>
      <c r="G3267" s="10" t="n">
        <v>783</v>
      </c>
      <c r="H3267" s="10" t="n">
        <f aca="false">F3267*G3267</f>
        <v>3915</v>
      </c>
      <c r="I3267" s="6" t="s">
        <v>5133</v>
      </c>
    </row>
    <row r="3268" customFormat="false" ht="15" hidden="false" customHeight="false" outlineLevel="0" collapsed="false">
      <c r="A3268" s="6" t="s">
        <v>8491</v>
      </c>
      <c r="B3268" s="6" t="s">
        <v>4321</v>
      </c>
      <c r="C3268" s="26" t="n">
        <v>46135</v>
      </c>
      <c r="D3268" s="6" t="s">
        <v>5226</v>
      </c>
      <c r="E3268" s="6" t="s">
        <v>24</v>
      </c>
      <c r="F3268" s="6" t="n">
        <v>2</v>
      </c>
      <c r="G3268" s="10" t="n">
        <v>457</v>
      </c>
      <c r="H3268" s="10" t="n">
        <f aca="false">F3268*G3268</f>
        <v>914</v>
      </c>
      <c r="I3268" s="6" t="s">
        <v>5122</v>
      </c>
    </row>
    <row r="3269" customFormat="false" ht="15" hidden="false" customHeight="false" outlineLevel="0" collapsed="false">
      <c r="A3269" s="6" t="s">
        <v>8492</v>
      </c>
      <c r="B3269" s="6" t="s">
        <v>1345</v>
      </c>
      <c r="C3269" s="26" t="n">
        <v>46135</v>
      </c>
      <c r="D3269" s="6" t="s">
        <v>5143</v>
      </c>
      <c r="E3269" s="6" t="s">
        <v>21</v>
      </c>
      <c r="F3269" s="6" t="n">
        <v>1</v>
      </c>
      <c r="G3269" s="10" t="n">
        <v>1179</v>
      </c>
      <c r="H3269" s="10" t="n">
        <f aca="false">F3269*G3269</f>
        <v>1179</v>
      </c>
      <c r="I3269" s="6" t="s">
        <v>5122</v>
      </c>
    </row>
    <row r="3270" customFormat="false" ht="15" hidden="false" customHeight="false" outlineLevel="0" collapsed="false">
      <c r="A3270" s="6" t="s">
        <v>8493</v>
      </c>
      <c r="B3270" s="6" t="s">
        <v>1369</v>
      </c>
      <c r="C3270" s="26" t="n">
        <v>46135</v>
      </c>
      <c r="D3270" s="6" t="s">
        <v>5171</v>
      </c>
      <c r="E3270" s="6" t="s">
        <v>23</v>
      </c>
      <c r="F3270" s="6" t="n">
        <v>3</v>
      </c>
      <c r="G3270" s="10" t="n">
        <v>734</v>
      </c>
      <c r="H3270" s="10" t="n">
        <f aca="false">F3270*G3270</f>
        <v>2202</v>
      </c>
      <c r="I3270" s="6" t="s">
        <v>5122</v>
      </c>
    </row>
    <row r="3271" customFormat="false" ht="15" hidden="false" customHeight="false" outlineLevel="0" collapsed="false">
      <c r="A3271" s="6" t="s">
        <v>8494</v>
      </c>
      <c r="B3271" s="6" t="s">
        <v>5031</v>
      </c>
      <c r="C3271" s="26" t="n">
        <v>46135</v>
      </c>
      <c r="D3271" s="6" t="s">
        <v>5207</v>
      </c>
      <c r="E3271" s="6" t="s">
        <v>20</v>
      </c>
      <c r="F3271" s="6" t="n">
        <v>1</v>
      </c>
      <c r="G3271" s="10" t="n">
        <v>1324</v>
      </c>
      <c r="H3271" s="10" t="n">
        <f aca="false">F3271*G3271</f>
        <v>1324</v>
      </c>
      <c r="I3271" s="6" t="s">
        <v>5122</v>
      </c>
    </row>
    <row r="3272" customFormat="false" ht="15" hidden="false" customHeight="false" outlineLevel="0" collapsed="false">
      <c r="A3272" s="6" t="s">
        <v>8495</v>
      </c>
      <c r="B3272" s="6" t="s">
        <v>3301</v>
      </c>
      <c r="C3272" s="26" t="n">
        <v>46135</v>
      </c>
      <c r="D3272" s="6" t="s">
        <v>5156</v>
      </c>
      <c r="E3272" s="6" t="s">
        <v>21</v>
      </c>
      <c r="F3272" s="6" t="n">
        <v>1</v>
      </c>
      <c r="G3272" s="10" t="n">
        <v>2161</v>
      </c>
      <c r="H3272" s="10" t="n">
        <f aca="false">F3272*G3272</f>
        <v>2161</v>
      </c>
      <c r="I3272" s="6" t="s">
        <v>5130</v>
      </c>
    </row>
    <row r="3273" customFormat="false" ht="15" hidden="false" customHeight="false" outlineLevel="0" collapsed="false">
      <c r="A3273" s="6" t="s">
        <v>8496</v>
      </c>
      <c r="B3273" s="6" t="s">
        <v>1015</v>
      </c>
      <c r="C3273" s="26" t="n">
        <v>46136</v>
      </c>
      <c r="D3273" s="6" t="s">
        <v>5135</v>
      </c>
      <c r="E3273" s="6" t="s">
        <v>23</v>
      </c>
      <c r="F3273" s="6" t="n">
        <v>5</v>
      </c>
      <c r="G3273" s="10" t="n">
        <v>397</v>
      </c>
      <c r="H3273" s="10" t="n">
        <f aca="false">F3273*G3273</f>
        <v>1985</v>
      </c>
      <c r="I3273" s="6" t="s">
        <v>5133</v>
      </c>
    </row>
    <row r="3274" customFormat="false" ht="15" hidden="false" customHeight="false" outlineLevel="0" collapsed="false">
      <c r="A3274" s="6" t="s">
        <v>8497</v>
      </c>
      <c r="B3274" s="6" t="s">
        <v>795</v>
      </c>
      <c r="C3274" s="26" t="n">
        <v>46136</v>
      </c>
      <c r="D3274" s="6" t="s">
        <v>5150</v>
      </c>
      <c r="E3274" s="6" t="s">
        <v>24</v>
      </c>
      <c r="F3274" s="6" t="n">
        <v>2</v>
      </c>
      <c r="G3274" s="10" t="n">
        <v>508</v>
      </c>
      <c r="H3274" s="10" t="n">
        <f aca="false">F3274*G3274</f>
        <v>1016</v>
      </c>
      <c r="I3274" s="6" t="s">
        <v>5122</v>
      </c>
    </row>
    <row r="3275" customFormat="false" ht="15" hidden="false" customHeight="false" outlineLevel="0" collapsed="false">
      <c r="A3275" s="6" t="s">
        <v>8498</v>
      </c>
      <c r="B3275" s="6" t="s">
        <v>4351</v>
      </c>
      <c r="C3275" s="26" t="n">
        <v>46136</v>
      </c>
      <c r="D3275" s="6" t="s">
        <v>5197</v>
      </c>
      <c r="E3275" s="6" t="s">
        <v>21</v>
      </c>
      <c r="F3275" s="6" t="n">
        <v>1</v>
      </c>
      <c r="G3275" s="10" t="n">
        <v>972</v>
      </c>
      <c r="H3275" s="10" t="n">
        <f aca="false">F3275*G3275</f>
        <v>972</v>
      </c>
      <c r="I3275" s="6" t="s">
        <v>5122</v>
      </c>
    </row>
    <row r="3276" customFormat="false" ht="15" hidden="false" customHeight="false" outlineLevel="0" collapsed="false">
      <c r="A3276" s="6" t="s">
        <v>8499</v>
      </c>
      <c r="B3276" s="6" t="s">
        <v>3017</v>
      </c>
      <c r="C3276" s="26" t="n">
        <v>46136</v>
      </c>
      <c r="D3276" s="6" t="s">
        <v>5749</v>
      </c>
      <c r="E3276" s="6" t="s">
        <v>20</v>
      </c>
      <c r="F3276" s="6" t="n">
        <v>1</v>
      </c>
      <c r="G3276" s="10" t="n">
        <v>774</v>
      </c>
      <c r="H3276" s="10" t="n">
        <f aca="false">F3276*G3276</f>
        <v>774</v>
      </c>
      <c r="I3276" s="6" t="s">
        <v>5148</v>
      </c>
    </row>
    <row r="3277" customFormat="false" ht="15" hidden="false" customHeight="false" outlineLevel="0" collapsed="false">
      <c r="A3277" s="6" t="s">
        <v>8500</v>
      </c>
      <c r="B3277" s="6" t="s">
        <v>993</v>
      </c>
      <c r="C3277" s="26" t="n">
        <v>46136</v>
      </c>
      <c r="D3277" s="6" t="s">
        <v>5687</v>
      </c>
      <c r="E3277" s="6" t="s">
        <v>20</v>
      </c>
      <c r="F3277" s="6" t="n">
        <v>1</v>
      </c>
      <c r="G3277" s="10" t="n">
        <v>2039</v>
      </c>
      <c r="H3277" s="10" t="n">
        <f aca="false">F3277*G3277</f>
        <v>2039</v>
      </c>
      <c r="I3277" s="6" t="s">
        <v>5148</v>
      </c>
    </row>
    <row r="3278" customFormat="false" ht="15" hidden="false" customHeight="false" outlineLevel="0" collapsed="false">
      <c r="A3278" s="6" t="s">
        <v>8501</v>
      </c>
      <c r="B3278" s="6" t="s">
        <v>1047</v>
      </c>
      <c r="C3278" s="26" t="n">
        <v>46136</v>
      </c>
      <c r="D3278" s="6" t="s">
        <v>5132</v>
      </c>
      <c r="E3278" s="6" t="s">
        <v>23</v>
      </c>
      <c r="F3278" s="6" t="n">
        <v>2</v>
      </c>
      <c r="G3278" s="10" t="n">
        <v>308</v>
      </c>
      <c r="H3278" s="10" t="n">
        <f aca="false">F3278*G3278</f>
        <v>616</v>
      </c>
      <c r="I3278" s="6" t="s">
        <v>5148</v>
      </c>
    </row>
    <row r="3279" customFormat="false" ht="15" hidden="false" customHeight="false" outlineLevel="0" collapsed="false">
      <c r="A3279" s="6" t="s">
        <v>8502</v>
      </c>
      <c r="B3279" s="6" t="s">
        <v>2991</v>
      </c>
      <c r="C3279" s="26" t="n">
        <v>46136</v>
      </c>
      <c r="D3279" s="6" t="s">
        <v>5143</v>
      </c>
      <c r="E3279" s="6" t="s">
        <v>21</v>
      </c>
      <c r="F3279" s="6" t="n">
        <v>1</v>
      </c>
      <c r="G3279" s="10" t="n">
        <v>1179</v>
      </c>
      <c r="H3279" s="10" t="n">
        <f aca="false">F3279*G3279</f>
        <v>1179</v>
      </c>
      <c r="I3279" s="6" t="s">
        <v>5122</v>
      </c>
    </row>
    <row r="3280" customFormat="false" ht="15" hidden="false" customHeight="false" outlineLevel="0" collapsed="false">
      <c r="A3280" s="6" t="s">
        <v>8503</v>
      </c>
      <c r="B3280" s="6" t="s">
        <v>3537</v>
      </c>
      <c r="C3280" s="26" t="n">
        <v>46136</v>
      </c>
      <c r="D3280" s="6" t="s">
        <v>5216</v>
      </c>
      <c r="E3280" s="6" t="s">
        <v>23</v>
      </c>
      <c r="F3280" s="6" t="n">
        <v>2</v>
      </c>
      <c r="G3280" s="10" t="n">
        <v>587</v>
      </c>
      <c r="H3280" s="10" t="n">
        <f aca="false">F3280*G3280</f>
        <v>1174</v>
      </c>
      <c r="I3280" s="6" t="s">
        <v>5173</v>
      </c>
    </row>
    <row r="3281" customFormat="false" ht="15" hidden="false" customHeight="false" outlineLevel="0" collapsed="false">
      <c r="A3281" s="6" t="s">
        <v>8504</v>
      </c>
      <c r="B3281" s="6" t="s">
        <v>4863</v>
      </c>
      <c r="C3281" s="26" t="n">
        <v>46136</v>
      </c>
      <c r="D3281" s="6" t="s">
        <v>5185</v>
      </c>
      <c r="E3281" s="6" t="s">
        <v>24</v>
      </c>
      <c r="F3281" s="6" t="n">
        <v>1</v>
      </c>
      <c r="G3281" s="10" t="n">
        <v>2033</v>
      </c>
      <c r="H3281" s="10" t="n">
        <f aca="false">F3281*G3281</f>
        <v>2033</v>
      </c>
      <c r="I3281" s="6" t="s">
        <v>5122</v>
      </c>
    </row>
    <row r="3282" customFormat="false" ht="15" hidden="false" customHeight="false" outlineLevel="0" collapsed="false">
      <c r="A3282" s="6" t="s">
        <v>8505</v>
      </c>
      <c r="B3282" s="6" t="s">
        <v>3837</v>
      </c>
      <c r="C3282" s="26" t="n">
        <v>46136</v>
      </c>
      <c r="D3282" s="6" t="s">
        <v>5292</v>
      </c>
      <c r="E3282" s="6" t="s">
        <v>21</v>
      </c>
      <c r="F3282" s="6" t="n">
        <v>1</v>
      </c>
      <c r="G3282" s="10" t="n">
        <v>6880</v>
      </c>
      <c r="H3282" s="10" t="n">
        <f aca="false">F3282*G3282</f>
        <v>6880</v>
      </c>
      <c r="I3282" s="6" t="s">
        <v>5133</v>
      </c>
    </row>
    <row r="3283" customFormat="false" ht="15" hidden="false" customHeight="false" outlineLevel="0" collapsed="false">
      <c r="A3283" s="6" t="s">
        <v>8506</v>
      </c>
      <c r="B3283" s="6" t="s">
        <v>3199</v>
      </c>
      <c r="C3283" s="26" t="n">
        <v>46136</v>
      </c>
      <c r="D3283" s="6" t="s">
        <v>5171</v>
      </c>
      <c r="E3283" s="6" t="s">
        <v>23</v>
      </c>
      <c r="F3283" s="6" t="n">
        <v>2</v>
      </c>
      <c r="G3283" s="10" t="n">
        <v>734</v>
      </c>
      <c r="H3283" s="10" t="n">
        <f aca="false">F3283*G3283</f>
        <v>1468</v>
      </c>
      <c r="I3283" s="6" t="s">
        <v>5122</v>
      </c>
    </row>
    <row r="3284" customFormat="false" ht="15" hidden="false" customHeight="false" outlineLevel="0" collapsed="false">
      <c r="A3284" s="6" t="s">
        <v>8507</v>
      </c>
      <c r="B3284" s="6" t="s">
        <v>1085</v>
      </c>
      <c r="C3284" s="26" t="n">
        <v>46136</v>
      </c>
      <c r="D3284" s="6" t="s">
        <v>5137</v>
      </c>
      <c r="E3284" s="6" t="s">
        <v>21</v>
      </c>
      <c r="F3284" s="6" t="n">
        <v>1</v>
      </c>
      <c r="G3284" s="10" t="n">
        <v>1768</v>
      </c>
      <c r="H3284" s="10" t="n">
        <f aca="false">F3284*G3284</f>
        <v>1768</v>
      </c>
      <c r="I3284" s="6" t="s">
        <v>5122</v>
      </c>
    </row>
    <row r="3285" customFormat="false" ht="15" hidden="false" customHeight="false" outlineLevel="0" collapsed="false">
      <c r="A3285" s="6" t="s">
        <v>8508</v>
      </c>
      <c r="B3285" s="6" t="s">
        <v>1071</v>
      </c>
      <c r="C3285" s="26" t="n">
        <v>46136</v>
      </c>
      <c r="D3285" s="6" t="s">
        <v>5165</v>
      </c>
      <c r="E3285" s="6" t="s">
        <v>22</v>
      </c>
      <c r="F3285" s="6" t="n">
        <v>2</v>
      </c>
      <c r="G3285" s="10" t="n">
        <v>977</v>
      </c>
      <c r="H3285" s="10" t="n">
        <f aca="false">F3285*G3285</f>
        <v>1954</v>
      </c>
      <c r="I3285" s="6" t="s">
        <v>5122</v>
      </c>
    </row>
    <row r="3286" customFormat="false" ht="15" hidden="false" customHeight="false" outlineLevel="0" collapsed="false">
      <c r="A3286" s="6" t="s">
        <v>8509</v>
      </c>
      <c r="B3286" s="6" t="s">
        <v>2281</v>
      </c>
      <c r="C3286" s="26" t="n">
        <v>46136</v>
      </c>
      <c r="D3286" s="6" t="s">
        <v>5121</v>
      </c>
      <c r="E3286" s="6" t="s">
        <v>22</v>
      </c>
      <c r="F3286" s="6" t="n">
        <v>1</v>
      </c>
      <c r="G3286" s="10" t="n">
        <v>927</v>
      </c>
      <c r="H3286" s="10" t="n">
        <f aca="false">F3286*G3286</f>
        <v>927</v>
      </c>
      <c r="I3286" s="6" t="s">
        <v>5122</v>
      </c>
    </row>
    <row r="3287" customFormat="false" ht="15" hidden="false" customHeight="false" outlineLevel="0" collapsed="false">
      <c r="A3287" s="6" t="s">
        <v>8510</v>
      </c>
      <c r="B3287" s="6" t="s">
        <v>4775</v>
      </c>
      <c r="C3287" s="26" t="n">
        <v>46136</v>
      </c>
      <c r="D3287" s="6" t="s">
        <v>5163</v>
      </c>
      <c r="E3287" s="6" t="s">
        <v>23</v>
      </c>
      <c r="F3287" s="6" t="n">
        <v>2</v>
      </c>
      <c r="G3287" s="10" t="n">
        <v>783</v>
      </c>
      <c r="H3287" s="10" t="n">
        <f aca="false">F3287*G3287</f>
        <v>1566</v>
      </c>
      <c r="I3287" s="6" t="s">
        <v>5122</v>
      </c>
    </row>
    <row r="3288" customFormat="false" ht="15" hidden="false" customHeight="false" outlineLevel="0" collapsed="false">
      <c r="A3288" s="6" t="s">
        <v>8511</v>
      </c>
      <c r="B3288" s="6" t="s">
        <v>613</v>
      </c>
      <c r="C3288" s="26" t="n">
        <v>46136</v>
      </c>
      <c r="D3288" s="6" t="s">
        <v>5163</v>
      </c>
      <c r="E3288" s="6" t="s">
        <v>23</v>
      </c>
      <c r="F3288" s="6" t="n">
        <v>3</v>
      </c>
      <c r="G3288" s="10" t="n">
        <v>783</v>
      </c>
      <c r="H3288" s="10" t="n">
        <f aca="false">F3288*G3288</f>
        <v>2349</v>
      </c>
      <c r="I3288" s="6" t="s">
        <v>5130</v>
      </c>
    </row>
    <row r="3289" customFormat="false" ht="15" hidden="false" customHeight="false" outlineLevel="0" collapsed="false">
      <c r="A3289" s="6" t="s">
        <v>8512</v>
      </c>
      <c r="B3289" s="6" t="s">
        <v>2953</v>
      </c>
      <c r="C3289" s="26" t="n">
        <v>46136</v>
      </c>
      <c r="D3289" s="6" t="s">
        <v>5235</v>
      </c>
      <c r="E3289" s="6" t="s">
        <v>21</v>
      </c>
      <c r="F3289" s="6" t="n">
        <v>1</v>
      </c>
      <c r="G3289" s="10" t="n">
        <v>1503</v>
      </c>
      <c r="H3289" s="10" t="n">
        <f aca="false">F3289*G3289</f>
        <v>1503</v>
      </c>
      <c r="I3289" s="6" t="s">
        <v>5125</v>
      </c>
    </row>
    <row r="3290" customFormat="false" ht="15" hidden="false" customHeight="false" outlineLevel="0" collapsed="false">
      <c r="A3290" s="6" t="s">
        <v>8513</v>
      </c>
      <c r="B3290" s="6" t="s">
        <v>4121</v>
      </c>
      <c r="C3290" s="26" t="n">
        <v>46136</v>
      </c>
      <c r="D3290" s="6" t="s">
        <v>5132</v>
      </c>
      <c r="E3290" s="6" t="s">
        <v>23</v>
      </c>
      <c r="F3290" s="6" t="n">
        <v>1</v>
      </c>
      <c r="G3290" s="10" t="n">
        <v>341</v>
      </c>
      <c r="H3290" s="10" t="n">
        <f aca="false">F3290*G3290</f>
        <v>341</v>
      </c>
      <c r="I3290" s="6" t="s">
        <v>5148</v>
      </c>
    </row>
    <row r="3291" customFormat="false" ht="15" hidden="false" customHeight="false" outlineLevel="0" collapsed="false">
      <c r="A3291" s="6" t="s">
        <v>8514</v>
      </c>
      <c r="B3291" s="6" t="s">
        <v>3249</v>
      </c>
      <c r="C3291" s="26" t="n">
        <v>46136</v>
      </c>
      <c r="D3291" s="6" t="s">
        <v>5237</v>
      </c>
      <c r="E3291" s="6" t="s">
        <v>24</v>
      </c>
      <c r="F3291" s="6" t="n">
        <v>1</v>
      </c>
      <c r="G3291" s="10" t="n">
        <v>1834</v>
      </c>
      <c r="H3291" s="10" t="n">
        <f aca="false">F3291*G3291</f>
        <v>1834</v>
      </c>
      <c r="I3291" s="6" t="s">
        <v>5122</v>
      </c>
    </row>
    <row r="3292" customFormat="false" ht="15" hidden="false" customHeight="false" outlineLevel="0" collapsed="false">
      <c r="A3292" s="6" t="s">
        <v>8515</v>
      </c>
      <c r="B3292" s="6" t="s">
        <v>551</v>
      </c>
      <c r="C3292" s="26" t="n">
        <v>46136</v>
      </c>
      <c r="D3292" s="6" t="s">
        <v>5188</v>
      </c>
      <c r="E3292" s="6" t="s">
        <v>24</v>
      </c>
      <c r="F3292" s="6" t="n">
        <v>1</v>
      </c>
      <c r="G3292" s="10" t="n">
        <v>968</v>
      </c>
      <c r="H3292" s="10" t="n">
        <f aca="false">F3292*G3292</f>
        <v>968</v>
      </c>
      <c r="I3292" s="6" t="s">
        <v>5125</v>
      </c>
    </row>
    <row r="3293" customFormat="false" ht="15" hidden="false" customHeight="false" outlineLevel="0" collapsed="false">
      <c r="A3293" s="6" t="s">
        <v>8516</v>
      </c>
      <c r="B3293" s="6" t="s">
        <v>733</v>
      </c>
      <c r="C3293" s="26" t="n">
        <v>46136</v>
      </c>
      <c r="D3293" s="6" t="s">
        <v>5687</v>
      </c>
      <c r="E3293" s="6" t="s">
        <v>20</v>
      </c>
      <c r="F3293" s="6" t="n">
        <v>1</v>
      </c>
      <c r="G3293" s="10" t="n">
        <v>1937</v>
      </c>
      <c r="H3293" s="10" t="n">
        <f aca="false">F3293*G3293</f>
        <v>1937</v>
      </c>
      <c r="I3293" s="6" t="s">
        <v>5148</v>
      </c>
    </row>
    <row r="3294" customFormat="false" ht="15" hidden="false" customHeight="false" outlineLevel="0" collapsed="false">
      <c r="A3294" s="6" t="s">
        <v>8517</v>
      </c>
      <c r="B3294" s="6" t="s">
        <v>1031</v>
      </c>
      <c r="C3294" s="26" t="n">
        <v>46136</v>
      </c>
      <c r="D3294" s="6" t="s">
        <v>5259</v>
      </c>
      <c r="E3294" s="6" t="s">
        <v>22</v>
      </c>
      <c r="F3294" s="6" t="n">
        <v>2</v>
      </c>
      <c r="G3294" s="10" t="n">
        <v>1564</v>
      </c>
      <c r="H3294" s="10" t="n">
        <f aca="false">F3294*G3294</f>
        <v>3128</v>
      </c>
      <c r="I3294" s="6" t="s">
        <v>5130</v>
      </c>
    </row>
    <row r="3295" customFormat="false" ht="15" hidden="false" customHeight="false" outlineLevel="0" collapsed="false">
      <c r="A3295" s="6" t="s">
        <v>8518</v>
      </c>
      <c r="B3295" s="6" t="s">
        <v>2625</v>
      </c>
      <c r="C3295" s="26" t="n">
        <v>46136</v>
      </c>
      <c r="D3295" s="6" t="s">
        <v>5167</v>
      </c>
      <c r="E3295" s="6" t="s">
        <v>22</v>
      </c>
      <c r="F3295" s="6" t="n">
        <v>1</v>
      </c>
      <c r="G3295" s="10" t="n">
        <v>743</v>
      </c>
      <c r="H3295" s="10" t="n">
        <f aca="false">F3295*G3295</f>
        <v>743</v>
      </c>
      <c r="I3295" s="6" t="s">
        <v>5133</v>
      </c>
    </row>
    <row r="3296" customFormat="false" ht="15" hidden="false" customHeight="false" outlineLevel="0" collapsed="false">
      <c r="A3296" s="6" t="s">
        <v>8519</v>
      </c>
      <c r="B3296" s="6" t="s">
        <v>565</v>
      </c>
      <c r="C3296" s="26" t="n">
        <v>46136</v>
      </c>
      <c r="D3296" s="6" t="s">
        <v>5318</v>
      </c>
      <c r="E3296" s="6" t="s">
        <v>20</v>
      </c>
      <c r="F3296" s="6" t="n">
        <v>1</v>
      </c>
      <c r="G3296" s="10" t="n">
        <v>1529</v>
      </c>
      <c r="H3296" s="10" t="n">
        <f aca="false">F3296*G3296</f>
        <v>1529</v>
      </c>
      <c r="I3296" s="6" t="s">
        <v>5148</v>
      </c>
    </row>
    <row r="3297" customFormat="false" ht="15" hidden="false" customHeight="false" outlineLevel="0" collapsed="false">
      <c r="A3297" s="6" t="s">
        <v>8520</v>
      </c>
      <c r="B3297" s="6" t="s">
        <v>4739</v>
      </c>
      <c r="C3297" s="26" t="n">
        <v>46136</v>
      </c>
      <c r="D3297" s="6" t="s">
        <v>5127</v>
      </c>
      <c r="E3297" s="6" t="s">
        <v>21</v>
      </c>
      <c r="F3297" s="6" t="n">
        <v>1</v>
      </c>
      <c r="G3297" s="10" t="n">
        <v>884</v>
      </c>
      <c r="H3297" s="10" t="n">
        <f aca="false">F3297*G3297</f>
        <v>884</v>
      </c>
      <c r="I3297" s="6" t="s">
        <v>5148</v>
      </c>
    </row>
    <row r="3298" customFormat="false" ht="15" hidden="false" customHeight="false" outlineLevel="0" collapsed="false">
      <c r="A3298" s="6" t="s">
        <v>8521</v>
      </c>
      <c r="B3298" s="6" t="s">
        <v>2849</v>
      </c>
      <c r="C3298" s="26" t="n">
        <v>46136</v>
      </c>
      <c r="D3298" s="6" t="s">
        <v>5245</v>
      </c>
      <c r="E3298" s="6" t="s">
        <v>21</v>
      </c>
      <c r="F3298" s="6" t="n">
        <v>3</v>
      </c>
      <c r="G3298" s="10" t="n">
        <v>2334</v>
      </c>
      <c r="H3298" s="10" t="n">
        <f aca="false">F3298*G3298</f>
        <v>7002</v>
      </c>
      <c r="I3298" s="6" t="s">
        <v>5122</v>
      </c>
    </row>
    <row r="3299" customFormat="false" ht="15" hidden="false" customHeight="false" outlineLevel="0" collapsed="false">
      <c r="A3299" s="6" t="s">
        <v>8522</v>
      </c>
      <c r="B3299" s="6" t="s">
        <v>3289</v>
      </c>
      <c r="C3299" s="26" t="n">
        <v>46136</v>
      </c>
      <c r="D3299" s="6" t="s">
        <v>5165</v>
      </c>
      <c r="E3299" s="6" t="s">
        <v>22</v>
      </c>
      <c r="F3299" s="6" t="n">
        <v>2</v>
      </c>
      <c r="G3299" s="10" t="n">
        <v>880</v>
      </c>
      <c r="H3299" s="10" t="n">
        <f aca="false">F3299*G3299</f>
        <v>1760</v>
      </c>
      <c r="I3299" s="6" t="s">
        <v>5148</v>
      </c>
    </row>
    <row r="3300" customFormat="false" ht="15" hidden="false" customHeight="false" outlineLevel="0" collapsed="false">
      <c r="A3300" s="6" t="s">
        <v>8523</v>
      </c>
      <c r="B3300" s="6" t="s">
        <v>2213</v>
      </c>
      <c r="C3300" s="26" t="n">
        <v>46136</v>
      </c>
      <c r="D3300" s="6" t="s">
        <v>5410</v>
      </c>
      <c r="E3300" s="6" t="s">
        <v>20</v>
      </c>
      <c r="F3300" s="6" t="n">
        <v>1</v>
      </c>
      <c r="G3300" s="10" t="n">
        <v>2294</v>
      </c>
      <c r="H3300" s="10" t="n">
        <f aca="false">F3300*G3300</f>
        <v>2294</v>
      </c>
      <c r="I3300" s="6" t="s">
        <v>5122</v>
      </c>
    </row>
    <row r="3301" customFormat="false" ht="15" hidden="false" customHeight="false" outlineLevel="0" collapsed="false">
      <c r="A3301" s="6" t="s">
        <v>8524</v>
      </c>
      <c r="B3301" s="6" t="s">
        <v>705</v>
      </c>
      <c r="C3301" s="26" t="n">
        <v>46136</v>
      </c>
      <c r="D3301" s="6" t="s">
        <v>5456</v>
      </c>
      <c r="E3301" s="6" t="s">
        <v>24</v>
      </c>
      <c r="F3301" s="6" t="n">
        <v>2</v>
      </c>
      <c r="G3301" s="10" t="n">
        <v>912</v>
      </c>
      <c r="H3301" s="10" t="n">
        <f aca="false">F3301*G3301</f>
        <v>1824</v>
      </c>
      <c r="I3301" s="6" t="s">
        <v>5122</v>
      </c>
    </row>
    <row r="3302" customFormat="false" ht="15" hidden="false" customHeight="false" outlineLevel="0" collapsed="false">
      <c r="A3302" s="6" t="s">
        <v>8525</v>
      </c>
      <c r="B3302" s="6" t="s">
        <v>2623</v>
      </c>
      <c r="C3302" s="26" t="n">
        <v>46136</v>
      </c>
      <c r="D3302" s="6" t="s">
        <v>5132</v>
      </c>
      <c r="E3302" s="6" t="s">
        <v>23</v>
      </c>
      <c r="F3302" s="6" t="n">
        <v>5</v>
      </c>
      <c r="G3302" s="10" t="n">
        <v>308</v>
      </c>
      <c r="H3302" s="10" t="n">
        <f aca="false">F3302*G3302</f>
        <v>1540</v>
      </c>
      <c r="I3302" s="6" t="s">
        <v>5122</v>
      </c>
    </row>
    <row r="3303" customFormat="false" ht="15" hidden="false" customHeight="false" outlineLevel="0" collapsed="false">
      <c r="A3303" s="6" t="s">
        <v>8526</v>
      </c>
      <c r="B3303" s="6" t="s">
        <v>2911</v>
      </c>
      <c r="C3303" s="26" t="n">
        <v>46137</v>
      </c>
      <c r="D3303" s="6" t="s">
        <v>5194</v>
      </c>
      <c r="E3303" s="6" t="s">
        <v>22</v>
      </c>
      <c r="F3303" s="6" t="n">
        <v>1</v>
      </c>
      <c r="G3303" s="10" t="n">
        <v>2044</v>
      </c>
      <c r="H3303" s="10" t="n">
        <f aca="false">F3303*G3303</f>
        <v>2044</v>
      </c>
      <c r="I3303" s="6" t="s">
        <v>5122</v>
      </c>
    </row>
    <row r="3304" customFormat="false" ht="15" hidden="false" customHeight="false" outlineLevel="0" collapsed="false">
      <c r="A3304" s="6" t="s">
        <v>8527</v>
      </c>
      <c r="B3304" s="6" t="s">
        <v>1517</v>
      </c>
      <c r="C3304" s="26" t="n">
        <v>46137</v>
      </c>
      <c r="D3304" s="6" t="s">
        <v>5127</v>
      </c>
      <c r="E3304" s="6" t="s">
        <v>21</v>
      </c>
      <c r="F3304" s="6" t="n">
        <v>1</v>
      </c>
      <c r="G3304" s="10" t="n">
        <v>795</v>
      </c>
      <c r="H3304" s="10" t="n">
        <f aca="false">F3304*G3304</f>
        <v>795</v>
      </c>
      <c r="I3304" s="6" t="s">
        <v>5133</v>
      </c>
    </row>
    <row r="3305" customFormat="false" ht="15" hidden="false" customHeight="false" outlineLevel="0" collapsed="false">
      <c r="A3305" s="6" t="s">
        <v>8528</v>
      </c>
      <c r="B3305" s="6" t="s">
        <v>1601</v>
      </c>
      <c r="C3305" s="26" t="n">
        <v>46137</v>
      </c>
      <c r="D3305" s="6" t="s">
        <v>5220</v>
      </c>
      <c r="E3305" s="6" t="s">
        <v>24</v>
      </c>
      <c r="F3305" s="6" t="n">
        <v>2</v>
      </c>
      <c r="G3305" s="10" t="n">
        <v>1120</v>
      </c>
      <c r="H3305" s="10" t="n">
        <f aca="false">F3305*G3305</f>
        <v>2240</v>
      </c>
      <c r="I3305" s="6" t="s">
        <v>5122</v>
      </c>
    </row>
    <row r="3306" customFormat="false" ht="15" hidden="false" customHeight="false" outlineLevel="0" collapsed="false">
      <c r="A3306" s="6" t="s">
        <v>8529</v>
      </c>
      <c r="B3306" s="6" t="s">
        <v>4105</v>
      </c>
      <c r="C3306" s="26" t="n">
        <v>46137</v>
      </c>
      <c r="D3306" s="6" t="s">
        <v>5185</v>
      </c>
      <c r="E3306" s="6" t="s">
        <v>24</v>
      </c>
      <c r="F3306" s="6" t="n">
        <v>1</v>
      </c>
      <c r="G3306" s="10" t="n">
        <v>2140</v>
      </c>
      <c r="H3306" s="10" t="n">
        <f aca="false">F3306*G3306</f>
        <v>2140</v>
      </c>
      <c r="I3306" s="6" t="s">
        <v>5148</v>
      </c>
    </row>
    <row r="3307" customFormat="false" ht="15" hidden="false" customHeight="false" outlineLevel="0" collapsed="false">
      <c r="A3307" s="6" t="s">
        <v>8530</v>
      </c>
      <c r="B3307" s="6" t="s">
        <v>4451</v>
      </c>
      <c r="C3307" s="26" t="n">
        <v>46137</v>
      </c>
      <c r="D3307" s="6" t="s">
        <v>5224</v>
      </c>
      <c r="E3307" s="6" t="s">
        <v>23</v>
      </c>
      <c r="F3307" s="6" t="n">
        <v>2</v>
      </c>
      <c r="G3307" s="10" t="n">
        <v>195</v>
      </c>
      <c r="H3307" s="10" t="n">
        <f aca="false">F3307*G3307</f>
        <v>390</v>
      </c>
      <c r="I3307" s="6" t="s">
        <v>5148</v>
      </c>
    </row>
    <row r="3308" customFormat="false" ht="15" hidden="false" customHeight="false" outlineLevel="0" collapsed="false">
      <c r="A3308" s="6" t="s">
        <v>8531</v>
      </c>
      <c r="B3308" s="6" t="s">
        <v>5047</v>
      </c>
      <c r="C3308" s="26" t="n">
        <v>46137</v>
      </c>
      <c r="D3308" s="6" t="s">
        <v>5398</v>
      </c>
      <c r="E3308" s="6" t="s">
        <v>24</v>
      </c>
      <c r="F3308" s="6" t="n">
        <v>2</v>
      </c>
      <c r="G3308" s="10" t="n">
        <v>610</v>
      </c>
      <c r="H3308" s="10" t="n">
        <f aca="false">F3308*G3308</f>
        <v>1220</v>
      </c>
      <c r="I3308" s="6" t="s">
        <v>5125</v>
      </c>
    </row>
    <row r="3309" customFormat="false" ht="15" hidden="false" customHeight="false" outlineLevel="0" collapsed="false">
      <c r="A3309" s="6" t="s">
        <v>8532</v>
      </c>
      <c r="B3309" s="6" t="s">
        <v>755</v>
      </c>
      <c r="C3309" s="26" t="n">
        <v>46137</v>
      </c>
      <c r="D3309" s="6" t="s">
        <v>5353</v>
      </c>
      <c r="E3309" s="6" t="s">
        <v>24</v>
      </c>
      <c r="F3309" s="6" t="n">
        <v>2</v>
      </c>
      <c r="G3309" s="10" t="n">
        <v>1629</v>
      </c>
      <c r="H3309" s="10" t="n">
        <f aca="false">F3309*G3309</f>
        <v>3258</v>
      </c>
      <c r="I3309" s="6" t="s">
        <v>5122</v>
      </c>
    </row>
    <row r="3310" customFormat="false" ht="15" hidden="false" customHeight="false" outlineLevel="0" collapsed="false">
      <c r="A3310" s="6" t="s">
        <v>8533</v>
      </c>
      <c r="B3310" s="6" t="s">
        <v>1031</v>
      </c>
      <c r="C3310" s="26" t="n">
        <v>46137</v>
      </c>
      <c r="D3310" s="6" t="s">
        <v>5165</v>
      </c>
      <c r="E3310" s="6" t="s">
        <v>22</v>
      </c>
      <c r="F3310" s="6" t="n">
        <v>1</v>
      </c>
      <c r="G3310" s="10" t="n">
        <v>977</v>
      </c>
      <c r="H3310" s="10" t="n">
        <f aca="false">F3310*G3310</f>
        <v>977</v>
      </c>
      <c r="I3310" s="6" t="s">
        <v>5130</v>
      </c>
    </row>
    <row r="3311" customFormat="false" ht="15" hidden="false" customHeight="false" outlineLevel="0" collapsed="false">
      <c r="A3311" s="6" t="s">
        <v>8534</v>
      </c>
      <c r="B3311" s="6" t="s">
        <v>4313</v>
      </c>
      <c r="C3311" s="26" t="n">
        <v>46137</v>
      </c>
      <c r="D3311" s="6" t="s">
        <v>5226</v>
      </c>
      <c r="E3311" s="6" t="s">
        <v>24</v>
      </c>
      <c r="F3311" s="6" t="n">
        <v>1</v>
      </c>
      <c r="G3311" s="10" t="n">
        <v>435</v>
      </c>
      <c r="H3311" s="10" t="n">
        <f aca="false">F3311*G3311</f>
        <v>435</v>
      </c>
      <c r="I3311" s="6" t="s">
        <v>5122</v>
      </c>
    </row>
    <row r="3312" customFormat="false" ht="15" hidden="false" customHeight="false" outlineLevel="0" collapsed="false">
      <c r="A3312" s="6" t="s">
        <v>8535</v>
      </c>
      <c r="B3312" s="6" t="s">
        <v>1193</v>
      </c>
      <c r="C3312" s="26" t="n">
        <v>46137</v>
      </c>
      <c r="D3312" s="6" t="s">
        <v>5163</v>
      </c>
      <c r="E3312" s="6" t="s">
        <v>23</v>
      </c>
      <c r="F3312" s="6" t="n">
        <v>1</v>
      </c>
      <c r="G3312" s="10" t="n">
        <v>783</v>
      </c>
      <c r="H3312" s="10" t="n">
        <f aca="false">F3312*G3312</f>
        <v>783</v>
      </c>
      <c r="I3312" s="6" t="s">
        <v>5148</v>
      </c>
    </row>
    <row r="3313" customFormat="false" ht="15" hidden="false" customHeight="false" outlineLevel="0" collapsed="false">
      <c r="A3313" s="6" t="s">
        <v>8536</v>
      </c>
      <c r="B3313" s="6" t="s">
        <v>3125</v>
      </c>
      <c r="C3313" s="26" t="n">
        <v>46137</v>
      </c>
      <c r="D3313" s="6" t="s">
        <v>5202</v>
      </c>
      <c r="E3313" s="6" t="s">
        <v>23</v>
      </c>
      <c r="F3313" s="6" t="n">
        <v>4</v>
      </c>
      <c r="G3313" s="10" t="n">
        <v>233</v>
      </c>
      <c r="H3313" s="10" t="n">
        <f aca="false">F3313*G3313</f>
        <v>932</v>
      </c>
      <c r="I3313" s="6" t="s">
        <v>5125</v>
      </c>
    </row>
    <row r="3314" customFormat="false" ht="15" hidden="false" customHeight="false" outlineLevel="0" collapsed="false">
      <c r="A3314" s="6" t="s">
        <v>8537</v>
      </c>
      <c r="B3314" s="6" t="s">
        <v>5079</v>
      </c>
      <c r="C3314" s="26" t="n">
        <v>46137</v>
      </c>
      <c r="D3314" s="6" t="s">
        <v>5182</v>
      </c>
      <c r="E3314" s="6" t="s">
        <v>23</v>
      </c>
      <c r="F3314" s="6" t="n">
        <v>2</v>
      </c>
      <c r="G3314" s="10" t="n">
        <v>331</v>
      </c>
      <c r="H3314" s="10" t="n">
        <f aca="false">F3314*G3314</f>
        <v>662</v>
      </c>
      <c r="I3314" s="6" t="s">
        <v>5130</v>
      </c>
    </row>
    <row r="3315" customFormat="false" ht="15" hidden="false" customHeight="false" outlineLevel="0" collapsed="false">
      <c r="A3315" s="6" t="s">
        <v>8538</v>
      </c>
      <c r="B3315" s="6" t="s">
        <v>3947</v>
      </c>
      <c r="C3315" s="26" t="n">
        <v>46137</v>
      </c>
      <c r="D3315" s="6" t="s">
        <v>5259</v>
      </c>
      <c r="E3315" s="6" t="s">
        <v>22</v>
      </c>
      <c r="F3315" s="6" t="n">
        <v>2</v>
      </c>
      <c r="G3315" s="10" t="n">
        <v>1564</v>
      </c>
      <c r="H3315" s="10" t="n">
        <f aca="false">F3315*G3315</f>
        <v>3128</v>
      </c>
      <c r="I3315" s="6" t="s">
        <v>5125</v>
      </c>
    </row>
    <row r="3316" customFormat="false" ht="15" hidden="false" customHeight="false" outlineLevel="0" collapsed="false">
      <c r="A3316" s="6" t="s">
        <v>8539</v>
      </c>
      <c r="B3316" s="6" t="s">
        <v>384</v>
      </c>
      <c r="C3316" s="26" t="n">
        <v>46137</v>
      </c>
      <c r="D3316" s="6" t="s">
        <v>5182</v>
      </c>
      <c r="E3316" s="6" t="s">
        <v>23</v>
      </c>
      <c r="F3316" s="6" t="n">
        <v>1</v>
      </c>
      <c r="G3316" s="10" t="n">
        <v>367</v>
      </c>
      <c r="H3316" s="10" t="n">
        <f aca="false">F3316*G3316</f>
        <v>367</v>
      </c>
      <c r="I3316" s="6" t="s">
        <v>5148</v>
      </c>
    </row>
    <row r="3317" customFormat="false" ht="15" hidden="false" customHeight="false" outlineLevel="0" collapsed="false">
      <c r="A3317" s="6" t="s">
        <v>8540</v>
      </c>
      <c r="B3317" s="6" t="s">
        <v>3169</v>
      </c>
      <c r="C3317" s="26" t="n">
        <v>46137</v>
      </c>
      <c r="D3317" s="6" t="s">
        <v>5158</v>
      </c>
      <c r="E3317" s="6" t="s">
        <v>24</v>
      </c>
      <c r="F3317" s="6" t="n">
        <v>4</v>
      </c>
      <c r="G3317" s="10" t="n">
        <v>411</v>
      </c>
      <c r="H3317" s="10" t="n">
        <f aca="false">F3317*G3317</f>
        <v>1644</v>
      </c>
      <c r="I3317" s="6" t="s">
        <v>5122</v>
      </c>
    </row>
    <row r="3318" customFormat="false" ht="15" hidden="false" customHeight="false" outlineLevel="0" collapsed="false">
      <c r="A3318" s="6" t="s">
        <v>8541</v>
      </c>
      <c r="B3318" s="6" t="s">
        <v>4267</v>
      </c>
      <c r="C3318" s="26" t="n">
        <v>46137</v>
      </c>
      <c r="D3318" s="6" t="s">
        <v>5423</v>
      </c>
      <c r="E3318" s="6" t="s">
        <v>21</v>
      </c>
      <c r="F3318" s="6" t="n">
        <v>1</v>
      </c>
      <c r="G3318" s="10" t="n">
        <v>3243</v>
      </c>
      <c r="H3318" s="10" t="n">
        <f aca="false">F3318*G3318</f>
        <v>3243</v>
      </c>
      <c r="I3318" s="6" t="s">
        <v>5148</v>
      </c>
    </row>
    <row r="3319" customFormat="false" ht="15" hidden="false" customHeight="false" outlineLevel="0" collapsed="false">
      <c r="A3319" s="6" t="s">
        <v>8542</v>
      </c>
      <c r="B3319" s="6" t="s">
        <v>5019</v>
      </c>
      <c r="C3319" s="26" t="n">
        <v>46137</v>
      </c>
      <c r="D3319" s="6" t="s">
        <v>5143</v>
      </c>
      <c r="E3319" s="6" t="s">
        <v>21</v>
      </c>
      <c r="F3319" s="6" t="n">
        <v>1</v>
      </c>
      <c r="G3319" s="10" t="n">
        <v>1120</v>
      </c>
      <c r="H3319" s="10" t="n">
        <f aca="false">F3319*G3319</f>
        <v>1120</v>
      </c>
      <c r="I3319" s="6" t="s">
        <v>5122</v>
      </c>
    </row>
    <row r="3320" customFormat="false" ht="15" hidden="false" customHeight="false" outlineLevel="0" collapsed="false">
      <c r="A3320" s="6" t="s">
        <v>8543</v>
      </c>
      <c r="B3320" s="6" t="s">
        <v>1789</v>
      </c>
      <c r="C3320" s="26" t="n">
        <v>46137</v>
      </c>
      <c r="D3320" s="6" t="s">
        <v>5863</v>
      </c>
      <c r="E3320" s="6" t="s">
        <v>20</v>
      </c>
      <c r="F3320" s="6" t="n">
        <v>1</v>
      </c>
      <c r="G3320" s="10" t="n">
        <v>18355</v>
      </c>
      <c r="H3320" s="10" t="n">
        <f aca="false">F3320*G3320</f>
        <v>18355</v>
      </c>
      <c r="I3320" s="6" t="s">
        <v>5148</v>
      </c>
    </row>
    <row r="3321" customFormat="false" ht="15" hidden="false" customHeight="false" outlineLevel="0" collapsed="false">
      <c r="A3321" s="6" t="s">
        <v>8544</v>
      </c>
      <c r="B3321" s="6" t="s">
        <v>4839</v>
      </c>
      <c r="C3321" s="26" t="n">
        <v>46137</v>
      </c>
      <c r="D3321" s="6" t="s">
        <v>5190</v>
      </c>
      <c r="E3321" s="6" t="s">
        <v>24</v>
      </c>
      <c r="F3321" s="6" t="n">
        <v>1</v>
      </c>
      <c r="G3321" s="10" t="n">
        <v>610</v>
      </c>
      <c r="H3321" s="10" t="n">
        <f aca="false">F3321*G3321</f>
        <v>610</v>
      </c>
      <c r="I3321" s="6" t="s">
        <v>5122</v>
      </c>
    </row>
    <row r="3322" customFormat="false" ht="15" hidden="false" customHeight="false" outlineLevel="0" collapsed="false">
      <c r="A3322" s="6" t="s">
        <v>8545</v>
      </c>
      <c r="B3322" s="6" t="s">
        <v>2405</v>
      </c>
      <c r="C3322" s="26" t="n">
        <v>46137</v>
      </c>
      <c r="D3322" s="6" t="s">
        <v>5152</v>
      </c>
      <c r="E3322" s="6" t="s">
        <v>22</v>
      </c>
      <c r="F3322" s="6" t="n">
        <v>2</v>
      </c>
      <c r="G3322" s="10" t="n">
        <v>1672</v>
      </c>
      <c r="H3322" s="10" t="n">
        <f aca="false">F3322*G3322</f>
        <v>3344</v>
      </c>
      <c r="I3322" s="6" t="s">
        <v>5122</v>
      </c>
    </row>
    <row r="3323" customFormat="false" ht="15" hidden="false" customHeight="false" outlineLevel="0" collapsed="false">
      <c r="A3323" s="6" t="s">
        <v>8546</v>
      </c>
      <c r="B3323" s="6" t="s">
        <v>3603</v>
      </c>
      <c r="C3323" s="26" t="n">
        <v>46137</v>
      </c>
      <c r="D3323" s="6" t="s">
        <v>5163</v>
      </c>
      <c r="E3323" s="6" t="s">
        <v>23</v>
      </c>
      <c r="F3323" s="6" t="n">
        <v>3</v>
      </c>
      <c r="G3323" s="10" t="n">
        <v>783</v>
      </c>
      <c r="H3323" s="10" t="n">
        <f aca="false">F3323*G3323</f>
        <v>2349</v>
      </c>
      <c r="I3323" s="6" t="s">
        <v>5122</v>
      </c>
    </row>
    <row r="3324" customFormat="false" ht="15" hidden="false" customHeight="false" outlineLevel="0" collapsed="false">
      <c r="A3324" s="6" t="s">
        <v>8547</v>
      </c>
      <c r="B3324" s="6" t="s">
        <v>1575</v>
      </c>
      <c r="C3324" s="26" t="n">
        <v>46137</v>
      </c>
      <c r="D3324" s="6" t="s">
        <v>5163</v>
      </c>
      <c r="E3324" s="6" t="s">
        <v>23</v>
      </c>
      <c r="F3324" s="6" t="n">
        <v>1</v>
      </c>
      <c r="G3324" s="10" t="n">
        <v>783</v>
      </c>
      <c r="H3324" s="10" t="n">
        <f aca="false">F3324*G3324</f>
        <v>783</v>
      </c>
      <c r="I3324" s="6" t="s">
        <v>5148</v>
      </c>
    </row>
    <row r="3325" customFormat="false" ht="15" hidden="false" customHeight="false" outlineLevel="0" collapsed="false">
      <c r="A3325" s="6" t="s">
        <v>8548</v>
      </c>
      <c r="B3325" s="6" t="s">
        <v>2869</v>
      </c>
      <c r="C3325" s="26" t="n">
        <v>46137</v>
      </c>
      <c r="D3325" s="6" t="s">
        <v>5129</v>
      </c>
      <c r="E3325" s="6" t="s">
        <v>21</v>
      </c>
      <c r="F3325" s="6" t="n">
        <v>2</v>
      </c>
      <c r="G3325" s="10" t="n">
        <v>589</v>
      </c>
      <c r="H3325" s="10" t="n">
        <f aca="false">F3325*G3325</f>
        <v>1178</v>
      </c>
      <c r="I3325" s="6" t="s">
        <v>5122</v>
      </c>
    </row>
    <row r="3326" customFormat="false" ht="15" hidden="false" customHeight="false" outlineLevel="0" collapsed="false">
      <c r="A3326" s="6" t="s">
        <v>8549</v>
      </c>
      <c r="B3326" s="6" t="s">
        <v>1599</v>
      </c>
      <c r="C3326" s="26" t="n">
        <v>46137</v>
      </c>
      <c r="D3326" s="6" t="s">
        <v>5298</v>
      </c>
      <c r="E3326" s="6" t="s">
        <v>23</v>
      </c>
      <c r="F3326" s="6" t="n">
        <v>1</v>
      </c>
      <c r="G3326" s="10" t="n">
        <v>293</v>
      </c>
      <c r="H3326" s="10" t="n">
        <f aca="false">F3326*G3326</f>
        <v>293</v>
      </c>
      <c r="I3326" s="6" t="s">
        <v>5133</v>
      </c>
    </row>
    <row r="3327" customFormat="false" ht="15" hidden="false" customHeight="false" outlineLevel="0" collapsed="false">
      <c r="A3327" s="6" t="s">
        <v>8550</v>
      </c>
      <c r="B3327" s="6" t="s">
        <v>1957</v>
      </c>
      <c r="C3327" s="26" t="n">
        <v>46137</v>
      </c>
      <c r="D3327" s="6" t="s">
        <v>5216</v>
      </c>
      <c r="E3327" s="6" t="s">
        <v>23</v>
      </c>
      <c r="F3327" s="6" t="n">
        <v>5</v>
      </c>
      <c r="G3327" s="10" t="n">
        <v>587</v>
      </c>
      <c r="H3327" s="10" t="n">
        <f aca="false">F3327*G3327</f>
        <v>2935</v>
      </c>
      <c r="I3327" s="6" t="s">
        <v>5148</v>
      </c>
    </row>
    <row r="3328" customFormat="false" ht="15" hidden="false" customHeight="false" outlineLevel="0" collapsed="false">
      <c r="A3328" s="6" t="s">
        <v>8551</v>
      </c>
      <c r="B3328" s="6" t="s">
        <v>907</v>
      </c>
      <c r="C3328" s="26" t="n">
        <v>46137</v>
      </c>
      <c r="D3328" s="6" t="s">
        <v>5226</v>
      </c>
      <c r="E3328" s="6" t="s">
        <v>24</v>
      </c>
      <c r="F3328" s="6" t="n">
        <v>1</v>
      </c>
      <c r="G3328" s="10" t="n">
        <v>412</v>
      </c>
      <c r="H3328" s="10" t="n">
        <f aca="false">F3328*G3328</f>
        <v>412</v>
      </c>
      <c r="I3328" s="6" t="s">
        <v>5130</v>
      </c>
    </row>
    <row r="3329" customFormat="false" ht="15" hidden="false" customHeight="false" outlineLevel="0" collapsed="false">
      <c r="A3329" s="6" t="s">
        <v>8552</v>
      </c>
      <c r="B3329" s="6" t="s">
        <v>1371</v>
      </c>
      <c r="C3329" s="26" t="n">
        <v>46137</v>
      </c>
      <c r="D3329" s="6" t="s">
        <v>5281</v>
      </c>
      <c r="E3329" s="6" t="s">
        <v>24</v>
      </c>
      <c r="F3329" s="6" t="n">
        <v>3</v>
      </c>
      <c r="G3329" s="10" t="n">
        <v>733</v>
      </c>
      <c r="H3329" s="10" t="n">
        <f aca="false">F3329*G3329</f>
        <v>2199</v>
      </c>
      <c r="I3329" s="6" t="s">
        <v>5122</v>
      </c>
    </row>
    <row r="3330" customFormat="false" ht="15" hidden="false" customHeight="false" outlineLevel="0" collapsed="false">
      <c r="A3330" s="6" t="s">
        <v>8553</v>
      </c>
      <c r="B3330" s="6" t="s">
        <v>4717</v>
      </c>
      <c r="C3330" s="26" t="n">
        <v>46137</v>
      </c>
      <c r="D3330" s="6" t="s">
        <v>6114</v>
      </c>
      <c r="E3330" s="6" t="s">
        <v>20</v>
      </c>
      <c r="F3330" s="6" t="n">
        <v>1</v>
      </c>
      <c r="G3330" s="10" t="n">
        <v>13256</v>
      </c>
      <c r="H3330" s="10" t="n">
        <f aca="false">F3330*G3330</f>
        <v>13256</v>
      </c>
      <c r="I3330" s="6" t="s">
        <v>5130</v>
      </c>
    </row>
    <row r="3331" customFormat="false" ht="15" hidden="false" customHeight="false" outlineLevel="0" collapsed="false">
      <c r="A3331" s="6" t="s">
        <v>8554</v>
      </c>
      <c r="B3331" s="6" t="s">
        <v>2745</v>
      </c>
      <c r="C3331" s="26" t="n">
        <v>46137</v>
      </c>
      <c r="D3331" s="6" t="s">
        <v>5224</v>
      </c>
      <c r="E3331" s="6" t="s">
        <v>23</v>
      </c>
      <c r="F3331" s="6" t="n">
        <v>1</v>
      </c>
      <c r="G3331" s="10" t="n">
        <v>195</v>
      </c>
      <c r="H3331" s="10" t="n">
        <f aca="false">F3331*G3331</f>
        <v>195</v>
      </c>
      <c r="I3331" s="6" t="s">
        <v>5122</v>
      </c>
    </row>
    <row r="3332" customFormat="false" ht="15" hidden="false" customHeight="false" outlineLevel="0" collapsed="false">
      <c r="A3332" s="6" t="s">
        <v>8555</v>
      </c>
      <c r="B3332" s="6" t="s">
        <v>3363</v>
      </c>
      <c r="C3332" s="26" t="n">
        <v>46137</v>
      </c>
      <c r="D3332" s="6" t="s">
        <v>5456</v>
      </c>
      <c r="E3332" s="6" t="s">
        <v>24</v>
      </c>
      <c r="F3332" s="6" t="n">
        <v>2</v>
      </c>
      <c r="G3332" s="10" t="n">
        <v>912</v>
      </c>
      <c r="H3332" s="10" t="n">
        <f aca="false">F3332*G3332</f>
        <v>1824</v>
      </c>
      <c r="I3332" s="6" t="s">
        <v>5148</v>
      </c>
    </row>
    <row r="3333" customFormat="false" ht="15" hidden="false" customHeight="false" outlineLevel="0" collapsed="false">
      <c r="A3333" s="6" t="s">
        <v>8556</v>
      </c>
      <c r="B3333" s="6" t="s">
        <v>2735</v>
      </c>
      <c r="C3333" s="26" t="n">
        <v>46137</v>
      </c>
      <c r="D3333" s="6" t="s">
        <v>5466</v>
      </c>
      <c r="E3333" s="6" t="s">
        <v>21</v>
      </c>
      <c r="F3333" s="6" t="n">
        <v>1</v>
      </c>
      <c r="G3333" s="10" t="n">
        <v>1965</v>
      </c>
      <c r="H3333" s="10" t="n">
        <f aca="false">F3333*G3333</f>
        <v>1965</v>
      </c>
      <c r="I3333" s="6" t="s">
        <v>5125</v>
      </c>
    </row>
    <row r="3334" customFormat="false" ht="15" hidden="false" customHeight="false" outlineLevel="0" collapsed="false">
      <c r="A3334" s="6" t="s">
        <v>8557</v>
      </c>
      <c r="B3334" s="6" t="s">
        <v>483</v>
      </c>
      <c r="C3334" s="26" t="n">
        <v>46137</v>
      </c>
      <c r="D3334" s="6" t="s">
        <v>5687</v>
      </c>
      <c r="E3334" s="6" t="s">
        <v>20</v>
      </c>
      <c r="F3334" s="6" t="n">
        <v>1</v>
      </c>
      <c r="G3334" s="10" t="n">
        <v>2039</v>
      </c>
      <c r="H3334" s="10" t="n">
        <f aca="false">F3334*G3334</f>
        <v>2039</v>
      </c>
      <c r="I3334" s="6" t="s">
        <v>5122</v>
      </c>
    </row>
    <row r="3335" customFormat="false" ht="15" hidden="false" customHeight="false" outlineLevel="0" collapsed="false">
      <c r="A3335" s="6" t="s">
        <v>8558</v>
      </c>
      <c r="B3335" s="6" t="s">
        <v>2723</v>
      </c>
      <c r="C3335" s="26" t="n">
        <v>46137</v>
      </c>
      <c r="D3335" s="6" t="s">
        <v>5156</v>
      </c>
      <c r="E3335" s="6" t="s">
        <v>21</v>
      </c>
      <c r="F3335" s="6" t="n">
        <v>1</v>
      </c>
      <c r="G3335" s="10" t="n">
        <v>2053</v>
      </c>
      <c r="H3335" s="10" t="n">
        <f aca="false">F3335*G3335</f>
        <v>2053</v>
      </c>
      <c r="I3335" s="6" t="s">
        <v>5133</v>
      </c>
    </row>
    <row r="3336" customFormat="false" ht="15" hidden="false" customHeight="false" outlineLevel="0" collapsed="false">
      <c r="A3336" s="6" t="s">
        <v>8559</v>
      </c>
      <c r="B3336" s="6" t="s">
        <v>1629</v>
      </c>
      <c r="C3336" s="26" t="n">
        <v>46138</v>
      </c>
      <c r="D3336" s="6" t="s">
        <v>5298</v>
      </c>
      <c r="E3336" s="6" t="s">
        <v>23</v>
      </c>
      <c r="F3336" s="6" t="n">
        <v>3</v>
      </c>
      <c r="G3336" s="10" t="n">
        <v>278</v>
      </c>
      <c r="H3336" s="10" t="n">
        <f aca="false">F3336*G3336</f>
        <v>834</v>
      </c>
      <c r="I3336" s="6" t="s">
        <v>5122</v>
      </c>
    </row>
    <row r="3337" customFormat="false" ht="15" hidden="false" customHeight="false" outlineLevel="0" collapsed="false">
      <c r="A3337" s="6" t="s">
        <v>8560</v>
      </c>
      <c r="B3337" s="6" t="s">
        <v>4371</v>
      </c>
      <c r="C3337" s="26" t="n">
        <v>46138</v>
      </c>
      <c r="D3337" s="6" t="s">
        <v>5339</v>
      </c>
      <c r="E3337" s="6" t="s">
        <v>24</v>
      </c>
      <c r="F3337" s="6" t="n">
        <v>1</v>
      </c>
      <c r="G3337" s="10" t="n">
        <v>508</v>
      </c>
      <c r="H3337" s="10" t="n">
        <f aca="false">F3337*G3337</f>
        <v>508</v>
      </c>
      <c r="I3337" s="6" t="s">
        <v>5122</v>
      </c>
    </row>
    <row r="3338" customFormat="false" ht="15" hidden="false" customHeight="false" outlineLevel="0" collapsed="false">
      <c r="A3338" s="6" t="s">
        <v>8561</v>
      </c>
      <c r="B3338" s="6" t="s">
        <v>4503</v>
      </c>
      <c r="C3338" s="26" t="n">
        <v>46138</v>
      </c>
      <c r="D3338" s="6" t="s">
        <v>5167</v>
      </c>
      <c r="E3338" s="6" t="s">
        <v>22</v>
      </c>
      <c r="F3338" s="6" t="n">
        <v>1</v>
      </c>
      <c r="G3338" s="10" t="n">
        <v>703</v>
      </c>
      <c r="H3338" s="10" t="n">
        <f aca="false">F3338*G3338</f>
        <v>703</v>
      </c>
      <c r="I3338" s="6" t="s">
        <v>5122</v>
      </c>
    </row>
    <row r="3339" customFormat="false" ht="15" hidden="false" customHeight="false" outlineLevel="0" collapsed="false">
      <c r="A3339" s="6" t="s">
        <v>8562</v>
      </c>
      <c r="B3339" s="6" t="s">
        <v>3535</v>
      </c>
      <c r="C3339" s="26" t="n">
        <v>46138</v>
      </c>
      <c r="D3339" s="6" t="s">
        <v>5235</v>
      </c>
      <c r="E3339" s="6" t="s">
        <v>21</v>
      </c>
      <c r="F3339" s="6" t="n">
        <v>1</v>
      </c>
      <c r="G3339" s="10" t="n">
        <v>1503</v>
      </c>
      <c r="H3339" s="10" t="n">
        <f aca="false">F3339*G3339</f>
        <v>1503</v>
      </c>
      <c r="I3339" s="6" t="s">
        <v>5122</v>
      </c>
    </row>
    <row r="3340" customFormat="false" ht="15" hidden="false" customHeight="false" outlineLevel="0" collapsed="false">
      <c r="A3340" s="6" t="s">
        <v>8563</v>
      </c>
      <c r="B3340" s="6" t="s">
        <v>3725</v>
      </c>
      <c r="C3340" s="26" t="n">
        <v>46138</v>
      </c>
      <c r="D3340" s="6" t="s">
        <v>5121</v>
      </c>
      <c r="E3340" s="6" t="s">
        <v>22</v>
      </c>
      <c r="F3340" s="6" t="n">
        <v>2</v>
      </c>
      <c r="G3340" s="10" t="n">
        <v>977</v>
      </c>
      <c r="H3340" s="10" t="n">
        <f aca="false">F3340*G3340</f>
        <v>1954</v>
      </c>
      <c r="I3340" s="6" t="s">
        <v>5122</v>
      </c>
    </row>
    <row r="3341" customFormat="false" ht="15" hidden="false" customHeight="false" outlineLevel="0" collapsed="false">
      <c r="A3341" s="6" t="s">
        <v>8564</v>
      </c>
      <c r="B3341" s="6" t="s">
        <v>4379</v>
      </c>
      <c r="C3341" s="26" t="n">
        <v>46138</v>
      </c>
      <c r="D3341" s="6" t="s">
        <v>5837</v>
      </c>
      <c r="E3341" s="6" t="s">
        <v>21</v>
      </c>
      <c r="F3341" s="6" t="n">
        <v>1</v>
      </c>
      <c r="G3341" s="10" t="n">
        <v>2948</v>
      </c>
      <c r="H3341" s="10" t="n">
        <f aca="false">F3341*G3341</f>
        <v>2948</v>
      </c>
      <c r="I3341" s="6" t="s">
        <v>5130</v>
      </c>
    </row>
    <row r="3342" customFormat="false" ht="15" hidden="false" customHeight="false" outlineLevel="0" collapsed="false">
      <c r="A3342" s="6" t="s">
        <v>8565</v>
      </c>
      <c r="B3342" s="6" t="s">
        <v>3579</v>
      </c>
      <c r="C3342" s="26" t="n">
        <v>46138</v>
      </c>
      <c r="D3342" s="6" t="s">
        <v>5214</v>
      </c>
      <c r="E3342" s="6" t="s">
        <v>20</v>
      </c>
      <c r="F3342" s="6" t="n">
        <v>1</v>
      </c>
      <c r="G3342" s="10" t="n">
        <v>2039</v>
      </c>
      <c r="H3342" s="10" t="n">
        <f aca="false">F3342*G3342</f>
        <v>2039</v>
      </c>
      <c r="I3342" s="6" t="s">
        <v>5122</v>
      </c>
    </row>
    <row r="3343" customFormat="false" ht="15" hidden="false" customHeight="false" outlineLevel="0" collapsed="false">
      <c r="A3343" s="6" t="s">
        <v>8566</v>
      </c>
      <c r="B3343" s="6" t="s">
        <v>4313</v>
      </c>
      <c r="C3343" s="26" t="n">
        <v>46138</v>
      </c>
      <c r="D3343" s="6" t="s">
        <v>5259</v>
      </c>
      <c r="E3343" s="6" t="s">
        <v>22</v>
      </c>
      <c r="F3343" s="6" t="n">
        <v>2</v>
      </c>
      <c r="G3343" s="10" t="n">
        <v>1564</v>
      </c>
      <c r="H3343" s="10" t="n">
        <f aca="false">F3343*G3343</f>
        <v>3128</v>
      </c>
      <c r="I3343" s="6" t="s">
        <v>5148</v>
      </c>
    </row>
    <row r="3344" customFormat="false" ht="15" hidden="false" customHeight="false" outlineLevel="0" collapsed="false">
      <c r="A3344" s="6" t="s">
        <v>8567</v>
      </c>
      <c r="B3344" s="6" t="s">
        <v>4333</v>
      </c>
      <c r="C3344" s="26" t="n">
        <v>46138</v>
      </c>
      <c r="D3344" s="6" t="s">
        <v>5121</v>
      </c>
      <c r="E3344" s="6" t="s">
        <v>22</v>
      </c>
      <c r="F3344" s="6" t="n">
        <v>1</v>
      </c>
      <c r="G3344" s="10" t="n">
        <v>880</v>
      </c>
      <c r="H3344" s="10" t="n">
        <f aca="false">F3344*G3344</f>
        <v>880</v>
      </c>
      <c r="I3344" s="6" t="s">
        <v>5133</v>
      </c>
    </row>
    <row r="3345" customFormat="false" ht="15" hidden="false" customHeight="false" outlineLevel="0" collapsed="false">
      <c r="A3345" s="6" t="s">
        <v>8568</v>
      </c>
      <c r="B3345" s="6" t="s">
        <v>2905</v>
      </c>
      <c r="C3345" s="26" t="n">
        <v>46138</v>
      </c>
      <c r="D3345" s="6" t="s">
        <v>5167</v>
      </c>
      <c r="E3345" s="6" t="s">
        <v>22</v>
      </c>
      <c r="F3345" s="6" t="n">
        <v>3</v>
      </c>
      <c r="G3345" s="10" t="n">
        <v>703</v>
      </c>
      <c r="H3345" s="10" t="n">
        <f aca="false">F3345*G3345</f>
        <v>2109</v>
      </c>
      <c r="I3345" s="6" t="s">
        <v>5130</v>
      </c>
    </row>
    <row r="3346" customFormat="false" ht="15" hidden="false" customHeight="false" outlineLevel="0" collapsed="false">
      <c r="A3346" s="6" t="s">
        <v>8569</v>
      </c>
      <c r="B3346" s="6" t="s">
        <v>1309</v>
      </c>
      <c r="C3346" s="26" t="n">
        <v>46138</v>
      </c>
      <c r="D3346" s="6" t="s">
        <v>5129</v>
      </c>
      <c r="E3346" s="6" t="s">
        <v>21</v>
      </c>
      <c r="F3346" s="6" t="n">
        <v>1</v>
      </c>
      <c r="G3346" s="10" t="n">
        <v>589</v>
      </c>
      <c r="H3346" s="10" t="n">
        <f aca="false">F3346*G3346</f>
        <v>589</v>
      </c>
      <c r="I3346" s="6" t="s">
        <v>5148</v>
      </c>
    </row>
    <row r="3347" customFormat="false" ht="15" hidden="false" customHeight="false" outlineLevel="0" collapsed="false">
      <c r="A3347" s="6" t="s">
        <v>8570</v>
      </c>
      <c r="B3347" s="6" t="s">
        <v>2849</v>
      </c>
      <c r="C3347" s="26" t="n">
        <v>46138</v>
      </c>
      <c r="D3347" s="6" t="s">
        <v>5749</v>
      </c>
      <c r="E3347" s="6" t="s">
        <v>20</v>
      </c>
      <c r="F3347" s="6" t="n">
        <v>1</v>
      </c>
      <c r="G3347" s="10" t="n">
        <v>815</v>
      </c>
      <c r="H3347" s="10" t="n">
        <f aca="false">F3347*G3347</f>
        <v>815</v>
      </c>
      <c r="I3347" s="6" t="s">
        <v>5125</v>
      </c>
    </row>
    <row r="3348" customFormat="false" ht="15" hidden="false" customHeight="false" outlineLevel="0" collapsed="false">
      <c r="A3348" s="6" t="s">
        <v>8571</v>
      </c>
      <c r="B3348" s="6" t="s">
        <v>192</v>
      </c>
      <c r="C3348" s="26" t="n">
        <v>46138</v>
      </c>
      <c r="D3348" s="6" t="s">
        <v>5345</v>
      </c>
      <c r="E3348" s="6" t="s">
        <v>23</v>
      </c>
      <c r="F3348" s="6" t="n">
        <v>2</v>
      </c>
      <c r="G3348" s="10" t="n">
        <v>392</v>
      </c>
      <c r="H3348" s="10" t="n">
        <f aca="false">F3348*G3348</f>
        <v>784</v>
      </c>
      <c r="I3348" s="6" t="s">
        <v>5130</v>
      </c>
    </row>
    <row r="3349" customFormat="false" ht="15" hidden="false" customHeight="false" outlineLevel="0" collapsed="false">
      <c r="A3349" s="6" t="s">
        <v>8572</v>
      </c>
      <c r="B3349" s="6" t="s">
        <v>2111</v>
      </c>
      <c r="C3349" s="26" t="n">
        <v>46138</v>
      </c>
      <c r="D3349" s="6" t="s">
        <v>5220</v>
      </c>
      <c r="E3349" s="6" t="s">
        <v>24</v>
      </c>
      <c r="F3349" s="6" t="n">
        <v>1</v>
      </c>
      <c r="G3349" s="10" t="n">
        <v>1120</v>
      </c>
      <c r="H3349" s="10" t="n">
        <f aca="false">F3349*G3349</f>
        <v>1120</v>
      </c>
      <c r="I3349" s="6" t="s">
        <v>5122</v>
      </c>
    </row>
    <row r="3350" customFormat="false" ht="15" hidden="false" customHeight="false" outlineLevel="0" collapsed="false">
      <c r="A3350" s="6" t="s">
        <v>8573</v>
      </c>
      <c r="B3350" s="6" t="s">
        <v>1859</v>
      </c>
      <c r="C3350" s="26" t="n">
        <v>46138</v>
      </c>
      <c r="D3350" s="6" t="s">
        <v>5135</v>
      </c>
      <c r="E3350" s="6" t="s">
        <v>23</v>
      </c>
      <c r="F3350" s="6" t="n">
        <v>1</v>
      </c>
      <c r="G3350" s="10" t="n">
        <v>440</v>
      </c>
      <c r="H3350" s="10" t="n">
        <f aca="false">F3350*G3350</f>
        <v>440</v>
      </c>
      <c r="I3350" s="6" t="s">
        <v>5133</v>
      </c>
    </row>
    <row r="3351" customFormat="false" ht="15" hidden="false" customHeight="false" outlineLevel="0" collapsed="false">
      <c r="A3351" s="6" t="s">
        <v>8574</v>
      </c>
      <c r="B3351" s="6" t="s">
        <v>4175</v>
      </c>
      <c r="C3351" s="26" t="n">
        <v>46138</v>
      </c>
      <c r="D3351" s="6" t="s">
        <v>5163</v>
      </c>
      <c r="E3351" s="6" t="s">
        <v>23</v>
      </c>
      <c r="F3351" s="6" t="n">
        <v>2</v>
      </c>
      <c r="G3351" s="10" t="n">
        <v>783</v>
      </c>
      <c r="H3351" s="10" t="n">
        <f aca="false">F3351*G3351</f>
        <v>1566</v>
      </c>
      <c r="I3351" s="6" t="s">
        <v>5122</v>
      </c>
    </row>
    <row r="3352" customFormat="false" ht="15" hidden="false" customHeight="false" outlineLevel="0" collapsed="false">
      <c r="A3352" s="6" t="s">
        <v>8575</v>
      </c>
      <c r="B3352" s="6" t="s">
        <v>3859</v>
      </c>
      <c r="C3352" s="26" t="n">
        <v>46138</v>
      </c>
      <c r="D3352" s="6" t="s">
        <v>5245</v>
      </c>
      <c r="E3352" s="6" t="s">
        <v>21</v>
      </c>
      <c r="F3352" s="6" t="n">
        <v>1</v>
      </c>
      <c r="G3352" s="10" t="n">
        <v>2211</v>
      </c>
      <c r="H3352" s="10" t="n">
        <f aca="false">F3352*G3352</f>
        <v>2211</v>
      </c>
      <c r="I3352" s="6" t="s">
        <v>5133</v>
      </c>
    </row>
    <row r="3353" customFormat="false" ht="15" hidden="false" customHeight="false" outlineLevel="0" collapsed="false">
      <c r="A3353" s="6" t="s">
        <v>8576</v>
      </c>
      <c r="B3353" s="6" t="s">
        <v>2579</v>
      </c>
      <c r="C3353" s="26" t="n">
        <v>46138</v>
      </c>
      <c r="D3353" s="6" t="s">
        <v>5837</v>
      </c>
      <c r="E3353" s="6" t="s">
        <v>21</v>
      </c>
      <c r="F3353" s="6" t="n">
        <v>1</v>
      </c>
      <c r="G3353" s="10" t="n">
        <v>2653</v>
      </c>
      <c r="H3353" s="10" t="n">
        <f aca="false">F3353*G3353</f>
        <v>2653</v>
      </c>
      <c r="I3353" s="6" t="s">
        <v>5122</v>
      </c>
    </row>
    <row r="3354" customFormat="false" ht="15" hidden="false" customHeight="false" outlineLevel="0" collapsed="false">
      <c r="A3354" s="6" t="s">
        <v>8577</v>
      </c>
      <c r="B3354" s="6" t="s">
        <v>1379</v>
      </c>
      <c r="C3354" s="26" t="n">
        <v>46138</v>
      </c>
      <c r="D3354" s="6" t="s">
        <v>5269</v>
      </c>
      <c r="E3354" s="6" t="s">
        <v>22</v>
      </c>
      <c r="F3354" s="6" t="n">
        <v>1</v>
      </c>
      <c r="G3354" s="10" t="n">
        <v>1271</v>
      </c>
      <c r="H3354" s="10" t="n">
        <f aca="false">F3354*G3354</f>
        <v>1271</v>
      </c>
      <c r="I3354" s="6" t="s">
        <v>5122</v>
      </c>
    </row>
    <row r="3355" customFormat="false" ht="15" hidden="false" customHeight="false" outlineLevel="0" collapsed="false">
      <c r="A3355" s="6" t="s">
        <v>8578</v>
      </c>
      <c r="B3355" s="6" t="s">
        <v>3441</v>
      </c>
      <c r="C3355" s="26" t="n">
        <v>46138</v>
      </c>
      <c r="D3355" s="6" t="s">
        <v>5127</v>
      </c>
      <c r="E3355" s="6" t="s">
        <v>21</v>
      </c>
      <c r="F3355" s="6" t="n">
        <v>1</v>
      </c>
      <c r="G3355" s="10" t="n">
        <v>884</v>
      </c>
      <c r="H3355" s="10" t="n">
        <f aca="false">F3355*G3355</f>
        <v>884</v>
      </c>
      <c r="I3355" s="6" t="s">
        <v>5122</v>
      </c>
    </row>
    <row r="3356" customFormat="false" ht="15" hidden="false" customHeight="false" outlineLevel="0" collapsed="false">
      <c r="A3356" s="6" t="s">
        <v>8579</v>
      </c>
      <c r="B3356" s="6" t="s">
        <v>4145</v>
      </c>
      <c r="C3356" s="26" t="n">
        <v>46138</v>
      </c>
      <c r="D3356" s="6" t="s">
        <v>5683</v>
      </c>
      <c r="E3356" s="6" t="s">
        <v>22</v>
      </c>
      <c r="F3356" s="6" t="n">
        <v>2</v>
      </c>
      <c r="G3356" s="10" t="n">
        <v>1760</v>
      </c>
      <c r="H3356" s="10" t="n">
        <f aca="false">F3356*G3356</f>
        <v>3520</v>
      </c>
      <c r="I3356" s="6" t="s">
        <v>5133</v>
      </c>
    </row>
    <row r="3357" customFormat="false" ht="15" hidden="false" customHeight="false" outlineLevel="0" collapsed="false">
      <c r="A3357" s="6" t="s">
        <v>8580</v>
      </c>
      <c r="B3357" s="6" t="s">
        <v>1569</v>
      </c>
      <c r="C3357" s="26" t="n">
        <v>46138</v>
      </c>
      <c r="D3357" s="6" t="s">
        <v>5143</v>
      </c>
      <c r="E3357" s="6" t="s">
        <v>21</v>
      </c>
      <c r="F3357" s="6" t="n">
        <v>1</v>
      </c>
      <c r="G3357" s="10" t="n">
        <v>1179</v>
      </c>
      <c r="H3357" s="10" t="n">
        <f aca="false">F3357*G3357</f>
        <v>1179</v>
      </c>
      <c r="I3357" s="6" t="s">
        <v>5122</v>
      </c>
    </row>
    <row r="3358" customFormat="false" ht="15" hidden="false" customHeight="false" outlineLevel="0" collapsed="false">
      <c r="A3358" s="6" t="s">
        <v>8581</v>
      </c>
      <c r="B3358" s="6" t="s">
        <v>2959</v>
      </c>
      <c r="C3358" s="26" t="n">
        <v>46138</v>
      </c>
      <c r="D3358" s="6" t="s">
        <v>5456</v>
      </c>
      <c r="E3358" s="6" t="s">
        <v>24</v>
      </c>
      <c r="F3358" s="6" t="n">
        <v>1</v>
      </c>
      <c r="G3358" s="10" t="n">
        <v>866</v>
      </c>
      <c r="H3358" s="10" t="n">
        <f aca="false">F3358*G3358</f>
        <v>866</v>
      </c>
      <c r="I3358" s="6" t="s">
        <v>5133</v>
      </c>
    </row>
    <row r="3359" customFormat="false" ht="15" hidden="false" customHeight="false" outlineLevel="0" collapsed="false">
      <c r="A3359" s="6" t="s">
        <v>8582</v>
      </c>
      <c r="B3359" s="6" t="s">
        <v>979</v>
      </c>
      <c r="C3359" s="26" t="n">
        <v>46138</v>
      </c>
      <c r="D3359" s="6" t="s">
        <v>5561</v>
      </c>
      <c r="E3359" s="6" t="s">
        <v>20</v>
      </c>
      <c r="F3359" s="6" t="n">
        <v>1</v>
      </c>
      <c r="G3359" s="10" t="n">
        <v>3196</v>
      </c>
      <c r="H3359" s="10" t="n">
        <f aca="false">F3359*G3359</f>
        <v>3196</v>
      </c>
      <c r="I3359" s="6" t="s">
        <v>5148</v>
      </c>
    </row>
    <row r="3360" customFormat="false" ht="15" hidden="false" customHeight="false" outlineLevel="0" collapsed="false">
      <c r="A3360" s="6" t="s">
        <v>8583</v>
      </c>
      <c r="B3360" s="6" t="s">
        <v>4475</v>
      </c>
      <c r="C3360" s="26" t="n">
        <v>46138</v>
      </c>
      <c r="D3360" s="6" t="s">
        <v>5180</v>
      </c>
      <c r="E3360" s="6" t="s">
        <v>24</v>
      </c>
      <c r="F3360" s="6" t="n">
        <v>1</v>
      </c>
      <c r="G3360" s="10" t="n">
        <v>1987</v>
      </c>
      <c r="H3360" s="10" t="n">
        <f aca="false">F3360*G3360</f>
        <v>1987</v>
      </c>
      <c r="I3360" s="6" t="s">
        <v>5148</v>
      </c>
    </row>
    <row r="3361" customFormat="false" ht="15" hidden="false" customHeight="false" outlineLevel="0" collapsed="false">
      <c r="A3361" s="6" t="s">
        <v>8584</v>
      </c>
      <c r="B3361" s="6" t="s">
        <v>4173</v>
      </c>
      <c r="C3361" s="26" t="n">
        <v>46138</v>
      </c>
      <c r="D3361" s="6" t="s">
        <v>5318</v>
      </c>
      <c r="E3361" s="6" t="s">
        <v>20</v>
      </c>
      <c r="F3361" s="6" t="n">
        <v>1</v>
      </c>
      <c r="G3361" s="10" t="n">
        <v>1376</v>
      </c>
      <c r="H3361" s="10" t="n">
        <f aca="false">F3361*G3361</f>
        <v>1376</v>
      </c>
      <c r="I3361" s="6" t="s">
        <v>5125</v>
      </c>
    </row>
    <row r="3362" customFormat="false" ht="15" hidden="false" customHeight="false" outlineLevel="0" collapsed="false">
      <c r="A3362" s="6" t="s">
        <v>8585</v>
      </c>
      <c r="B3362" s="6" t="s">
        <v>3883</v>
      </c>
      <c r="C3362" s="26" t="n">
        <v>46138</v>
      </c>
      <c r="D3362" s="6" t="s">
        <v>5226</v>
      </c>
      <c r="E3362" s="6" t="s">
        <v>24</v>
      </c>
      <c r="F3362" s="6" t="n">
        <v>1</v>
      </c>
      <c r="G3362" s="10" t="n">
        <v>412</v>
      </c>
      <c r="H3362" s="10" t="n">
        <f aca="false">F3362*G3362</f>
        <v>412</v>
      </c>
      <c r="I3362" s="6" t="s">
        <v>5122</v>
      </c>
    </row>
    <row r="3363" customFormat="false" ht="15" hidden="false" customHeight="false" outlineLevel="0" collapsed="false">
      <c r="A3363" s="6" t="s">
        <v>8586</v>
      </c>
      <c r="B3363" s="6" t="s">
        <v>4563</v>
      </c>
      <c r="C3363" s="26" t="n">
        <v>46138</v>
      </c>
      <c r="D3363" s="6" t="s">
        <v>5139</v>
      </c>
      <c r="E3363" s="6" t="s">
        <v>23</v>
      </c>
      <c r="F3363" s="6" t="n">
        <v>2</v>
      </c>
      <c r="G3363" s="10" t="n">
        <v>279</v>
      </c>
      <c r="H3363" s="10" t="n">
        <f aca="false">F3363*G3363</f>
        <v>558</v>
      </c>
      <c r="I3363" s="6" t="s">
        <v>5173</v>
      </c>
    </row>
    <row r="3364" customFormat="false" ht="15" hidden="false" customHeight="false" outlineLevel="0" collapsed="false">
      <c r="A3364" s="6" t="s">
        <v>8587</v>
      </c>
      <c r="B3364" s="6" t="s">
        <v>1465</v>
      </c>
      <c r="C3364" s="26" t="n">
        <v>46138</v>
      </c>
      <c r="D3364" s="6" t="s">
        <v>5167</v>
      </c>
      <c r="E3364" s="6" t="s">
        <v>22</v>
      </c>
      <c r="F3364" s="6" t="n">
        <v>2</v>
      </c>
      <c r="G3364" s="10" t="n">
        <v>703</v>
      </c>
      <c r="H3364" s="10" t="n">
        <f aca="false">F3364*G3364</f>
        <v>1406</v>
      </c>
      <c r="I3364" s="6" t="s">
        <v>5122</v>
      </c>
    </row>
    <row r="3365" customFormat="false" ht="15" hidden="false" customHeight="false" outlineLevel="0" collapsed="false">
      <c r="A3365" s="6" t="s">
        <v>8588</v>
      </c>
      <c r="B3365" s="6" t="s">
        <v>2149</v>
      </c>
      <c r="C3365" s="26" t="n">
        <v>46139</v>
      </c>
      <c r="D3365" s="6" t="s">
        <v>5538</v>
      </c>
      <c r="E3365" s="6" t="s">
        <v>21</v>
      </c>
      <c r="F3365" s="6" t="n">
        <v>1</v>
      </c>
      <c r="G3365" s="10" t="n">
        <v>5405</v>
      </c>
      <c r="H3365" s="10" t="n">
        <f aca="false">F3365*G3365</f>
        <v>5405</v>
      </c>
      <c r="I3365" s="6" t="s">
        <v>5125</v>
      </c>
    </row>
    <row r="3366" customFormat="false" ht="15" hidden="false" customHeight="false" outlineLevel="0" collapsed="false">
      <c r="A3366" s="6" t="s">
        <v>8589</v>
      </c>
      <c r="B3366" s="6" t="s">
        <v>1245</v>
      </c>
      <c r="C3366" s="26" t="n">
        <v>46139</v>
      </c>
      <c r="D3366" s="6" t="s">
        <v>5175</v>
      </c>
      <c r="E3366" s="6" t="s">
        <v>24</v>
      </c>
      <c r="F3366" s="6" t="n">
        <v>3</v>
      </c>
      <c r="G3366" s="10" t="n">
        <v>610</v>
      </c>
      <c r="H3366" s="10" t="n">
        <f aca="false">F3366*G3366</f>
        <v>1830</v>
      </c>
      <c r="I3366" s="6" t="s">
        <v>5122</v>
      </c>
    </row>
    <row r="3367" customFormat="false" ht="15" hidden="false" customHeight="false" outlineLevel="0" collapsed="false">
      <c r="A3367" s="6" t="s">
        <v>8590</v>
      </c>
      <c r="B3367" s="6" t="s">
        <v>374</v>
      </c>
      <c r="C3367" s="26" t="n">
        <v>46139</v>
      </c>
      <c r="D3367" s="6" t="s">
        <v>5207</v>
      </c>
      <c r="E3367" s="6" t="s">
        <v>20</v>
      </c>
      <c r="F3367" s="6" t="n">
        <v>1</v>
      </c>
      <c r="G3367" s="10" t="n">
        <v>1325</v>
      </c>
      <c r="H3367" s="10" t="n">
        <f aca="false">F3367*G3367</f>
        <v>1325</v>
      </c>
      <c r="I3367" s="6" t="s">
        <v>5133</v>
      </c>
    </row>
    <row r="3368" customFormat="false" ht="15" hidden="false" customHeight="false" outlineLevel="0" collapsed="false">
      <c r="A3368" s="6" t="s">
        <v>8591</v>
      </c>
      <c r="B3368" s="6" t="s">
        <v>3883</v>
      </c>
      <c r="C3368" s="26" t="n">
        <v>46139</v>
      </c>
      <c r="D3368" s="6" t="s">
        <v>5121</v>
      </c>
      <c r="E3368" s="6" t="s">
        <v>22</v>
      </c>
      <c r="F3368" s="6" t="n">
        <v>1</v>
      </c>
      <c r="G3368" s="10" t="n">
        <v>928</v>
      </c>
      <c r="H3368" s="10" t="n">
        <f aca="false">F3368*G3368</f>
        <v>928</v>
      </c>
      <c r="I3368" s="6" t="s">
        <v>5125</v>
      </c>
    </row>
    <row r="3369" customFormat="false" ht="15" hidden="false" customHeight="false" outlineLevel="0" collapsed="false">
      <c r="A3369" s="6" t="s">
        <v>8592</v>
      </c>
      <c r="B3369" s="6" t="s">
        <v>2615</v>
      </c>
      <c r="C3369" s="26" t="n">
        <v>46139</v>
      </c>
      <c r="D3369" s="6" t="s">
        <v>5458</v>
      </c>
      <c r="E3369" s="6" t="s">
        <v>24</v>
      </c>
      <c r="F3369" s="6" t="n">
        <v>1</v>
      </c>
      <c r="G3369" s="10" t="n">
        <v>559</v>
      </c>
      <c r="H3369" s="10" t="n">
        <f aca="false">F3369*G3369</f>
        <v>559</v>
      </c>
      <c r="I3369" s="6" t="s">
        <v>5122</v>
      </c>
    </row>
    <row r="3370" customFormat="false" ht="15" hidden="false" customHeight="false" outlineLevel="0" collapsed="false">
      <c r="A3370" s="6" t="s">
        <v>8593</v>
      </c>
      <c r="B3370" s="6" t="s">
        <v>803</v>
      </c>
      <c r="C3370" s="26" t="n">
        <v>46139</v>
      </c>
      <c r="D3370" s="6" t="s">
        <v>5318</v>
      </c>
      <c r="E3370" s="6" t="s">
        <v>20</v>
      </c>
      <c r="F3370" s="6" t="n">
        <v>1</v>
      </c>
      <c r="G3370" s="10" t="n">
        <v>1529</v>
      </c>
      <c r="H3370" s="10" t="n">
        <f aca="false">F3370*G3370</f>
        <v>1529</v>
      </c>
      <c r="I3370" s="6" t="s">
        <v>5125</v>
      </c>
    </row>
    <row r="3371" customFormat="false" ht="15" hidden="false" customHeight="false" outlineLevel="0" collapsed="false">
      <c r="A3371" s="6" t="s">
        <v>8594</v>
      </c>
      <c r="B3371" s="6" t="s">
        <v>5031</v>
      </c>
      <c r="C3371" s="26" t="n">
        <v>46139</v>
      </c>
      <c r="D3371" s="6" t="s">
        <v>5357</v>
      </c>
      <c r="E3371" s="6" t="s">
        <v>23</v>
      </c>
      <c r="F3371" s="6" t="n">
        <v>5</v>
      </c>
      <c r="G3371" s="10" t="n">
        <v>534</v>
      </c>
      <c r="H3371" s="10" t="n">
        <f aca="false">F3371*G3371</f>
        <v>2670</v>
      </c>
      <c r="I3371" s="6" t="s">
        <v>5122</v>
      </c>
    </row>
    <row r="3372" customFormat="false" ht="15" hidden="false" customHeight="false" outlineLevel="0" collapsed="false">
      <c r="A3372" s="6" t="s">
        <v>8595</v>
      </c>
      <c r="B3372" s="6" t="s">
        <v>1043</v>
      </c>
      <c r="C3372" s="26" t="n">
        <v>46139</v>
      </c>
      <c r="D3372" s="6" t="s">
        <v>5242</v>
      </c>
      <c r="E3372" s="6" t="s">
        <v>23</v>
      </c>
      <c r="F3372" s="6" t="n">
        <v>1</v>
      </c>
      <c r="G3372" s="10" t="n">
        <v>372</v>
      </c>
      <c r="H3372" s="10" t="n">
        <f aca="false">F3372*G3372</f>
        <v>372</v>
      </c>
      <c r="I3372" s="6" t="s">
        <v>5130</v>
      </c>
    </row>
    <row r="3373" customFormat="false" ht="15" hidden="false" customHeight="false" outlineLevel="0" collapsed="false">
      <c r="A3373" s="6" t="s">
        <v>8596</v>
      </c>
      <c r="B3373" s="6" t="s">
        <v>4573</v>
      </c>
      <c r="C3373" s="26" t="n">
        <v>46139</v>
      </c>
      <c r="D3373" s="6" t="s">
        <v>5292</v>
      </c>
      <c r="E3373" s="6" t="s">
        <v>21</v>
      </c>
      <c r="F3373" s="6" t="n">
        <v>2</v>
      </c>
      <c r="G3373" s="10" t="n">
        <v>6880</v>
      </c>
      <c r="H3373" s="10" t="n">
        <f aca="false">F3373*G3373</f>
        <v>13760</v>
      </c>
      <c r="I3373" s="6" t="s">
        <v>5122</v>
      </c>
    </row>
    <row r="3374" customFormat="false" ht="15" hidden="false" customHeight="false" outlineLevel="0" collapsed="false">
      <c r="A3374" s="6" t="s">
        <v>8597</v>
      </c>
      <c r="B3374" s="6" t="s">
        <v>227</v>
      </c>
      <c r="C3374" s="26" t="n">
        <v>46139</v>
      </c>
      <c r="D3374" s="6" t="s">
        <v>5124</v>
      </c>
      <c r="E3374" s="6" t="s">
        <v>21</v>
      </c>
      <c r="F3374" s="6" t="n">
        <v>1</v>
      </c>
      <c r="G3374" s="10" t="n">
        <v>3439</v>
      </c>
      <c r="H3374" s="10" t="n">
        <f aca="false">F3374*G3374</f>
        <v>3439</v>
      </c>
      <c r="I3374" s="6" t="s">
        <v>5122</v>
      </c>
    </row>
    <row r="3375" customFormat="false" ht="15" hidden="false" customHeight="false" outlineLevel="0" collapsed="false">
      <c r="A3375" s="6" t="s">
        <v>8598</v>
      </c>
      <c r="B3375" s="6" t="s">
        <v>4897</v>
      </c>
      <c r="C3375" s="26" t="n">
        <v>46139</v>
      </c>
      <c r="D3375" s="6" t="s">
        <v>5863</v>
      </c>
      <c r="E3375" s="6" t="s">
        <v>20</v>
      </c>
      <c r="F3375" s="6" t="n">
        <v>1</v>
      </c>
      <c r="G3375" s="10" t="n">
        <v>20395</v>
      </c>
      <c r="H3375" s="10" t="n">
        <f aca="false">F3375*G3375</f>
        <v>20395</v>
      </c>
      <c r="I3375" s="6" t="s">
        <v>5148</v>
      </c>
    </row>
    <row r="3376" customFormat="false" ht="15" hidden="false" customHeight="false" outlineLevel="0" collapsed="false">
      <c r="A3376" s="6" t="s">
        <v>8599</v>
      </c>
      <c r="B3376" s="6" t="s">
        <v>2091</v>
      </c>
      <c r="C3376" s="26" t="n">
        <v>46139</v>
      </c>
      <c r="D3376" s="6" t="s">
        <v>5216</v>
      </c>
      <c r="E3376" s="6" t="s">
        <v>23</v>
      </c>
      <c r="F3376" s="6" t="n">
        <v>5</v>
      </c>
      <c r="G3376" s="10" t="n">
        <v>528</v>
      </c>
      <c r="H3376" s="10" t="n">
        <f aca="false">F3376*G3376</f>
        <v>2640</v>
      </c>
      <c r="I3376" s="6" t="s">
        <v>5148</v>
      </c>
    </row>
    <row r="3377" customFormat="false" ht="15" hidden="false" customHeight="false" outlineLevel="0" collapsed="false">
      <c r="A3377" s="6" t="s">
        <v>8600</v>
      </c>
      <c r="B3377" s="6" t="s">
        <v>1955</v>
      </c>
      <c r="C3377" s="26" t="n">
        <v>46139</v>
      </c>
      <c r="D3377" s="6" t="s">
        <v>5160</v>
      </c>
      <c r="E3377" s="6" t="s">
        <v>21</v>
      </c>
      <c r="F3377" s="6" t="n">
        <v>2</v>
      </c>
      <c r="G3377" s="10" t="n">
        <v>2476</v>
      </c>
      <c r="H3377" s="10" t="n">
        <f aca="false">F3377*G3377</f>
        <v>4952</v>
      </c>
      <c r="I3377" s="6" t="s">
        <v>5122</v>
      </c>
    </row>
    <row r="3378" customFormat="false" ht="15" hidden="false" customHeight="false" outlineLevel="0" collapsed="false">
      <c r="A3378" s="6" t="s">
        <v>8601</v>
      </c>
      <c r="B3378" s="6" t="s">
        <v>4849</v>
      </c>
      <c r="C3378" s="26" t="n">
        <v>46139</v>
      </c>
      <c r="D3378" s="6" t="s">
        <v>5156</v>
      </c>
      <c r="E3378" s="6" t="s">
        <v>21</v>
      </c>
      <c r="F3378" s="6" t="n">
        <v>1</v>
      </c>
      <c r="G3378" s="10" t="n">
        <v>2053</v>
      </c>
      <c r="H3378" s="10" t="n">
        <f aca="false">F3378*G3378</f>
        <v>2053</v>
      </c>
      <c r="I3378" s="6" t="s">
        <v>5130</v>
      </c>
    </row>
    <row r="3379" customFormat="false" ht="15" hidden="false" customHeight="false" outlineLevel="0" collapsed="false">
      <c r="A3379" s="6" t="s">
        <v>8602</v>
      </c>
      <c r="B3379" s="6" t="s">
        <v>1845</v>
      </c>
      <c r="C3379" s="26" t="n">
        <v>46139</v>
      </c>
      <c r="D3379" s="6" t="s">
        <v>5171</v>
      </c>
      <c r="E3379" s="6" t="s">
        <v>23</v>
      </c>
      <c r="F3379" s="6" t="n">
        <v>3</v>
      </c>
      <c r="G3379" s="10" t="n">
        <v>734</v>
      </c>
      <c r="H3379" s="10" t="n">
        <f aca="false">F3379*G3379</f>
        <v>2202</v>
      </c>
      <c r="I3379" s="6" t="s">
        <v>5122</v>
      </c>
    </row>
    <row r="3380" customFormat="false" ht="15" hidden="false" customHeight="false" outlineLevel="0" collapsed="false">
      <c r="A3380" s="6" t="s">
        <v>8603</v>
      </c>
      <c r="B3380" s="6" t="s">
        <v>1905</v>
      </c>
      <c r="C3380" s="26" t="n">
        <v>46139</v>
      </c>
      <c r="D3380" s="6" t="s">
        <v>5127</v>
      </c>
      <c r="E3380" s="6" t="s">
        <v>21</v>
      </c>
      <c r="F3380" s="6" t="n">
        <v>1</v>
      </c>
      <c r="G3380" s="10" t="n">
        <v>884</v>
      </c>
      <c r="H3380" s="10" t="n">
        <f aca="false">F3380*G3380</f>
        <v>884</v>
      </c>
      <c r="I3380" s="6" t="s">
        <v>5148</v>
      </c>
    </row>
    <row r="3381" customFormat="false" ht="15" hidden="false" customHeight="false" outlineLevel="0" collapsed="false">
      <c r="A3381" s="6" t="s">
        <v>8604</v>
      </c>
      <c r="B3381" s="6" t="s">
        <v>1771</v>
      </c>
      <c r="C3381" s="26" t="n">
        <v>46139</v>
      </c>
      <c r="D3381" s="6" t="s">
        <v>5538</v>
      </c>
      <c r="E3381" s="6" t="s">
        <v>21</v>
      </c>
      <c r="F3381" s="6" t="n">
        <v>1</v>
      </c>
      <c r="G3381" s="10" t="n">
        <v>5405</v>
      </c>
      <c r="H3381" s="10" t="n">
        <f aca="false">F3381*G3381</f>
        <v>5405</v>
      </c>
      <c r="I3381" s="6" t="s">
        <v>5148</v>
      </c>
    </row>
    <row r="3382" customFormat="false" ht="15" hidden="false" customHeight="false" outlineLevel="0" collapsed="false">
      <c r="A3382" s="6" t="s">
        <v>8605</v>
      </c>
      <c r="B3382" s="6" t="s">
        <v>1917</v>
      </c>
      <c r="C3382" s="26" t="n">
        <v>46139</v>
      </c>
      <c r="D3382" s="6" t="s">
        <v>5216</v>
      </c>
      <c r="E3382" s="6" t="s">
        <v>23</v>
      </c>
      <c r="F3382" s="6" t="n">
        <v>1</v>
      </c>
      <c r="G3382" s="10" t="n">
        <v>528</v>
      </c>
      <c r="H3382" s="10" t="n">
        <f aca="false">F3382*G3382</f>
        <v>528</v>
      </c>
      <c r="I3382" s="6" t="s">
        <v>5125</v>
      </c>
    </row>
    <row r="3383" customFormat="false" ht="15" hidden="false" customHeight="false" outlineLevel="0" collapsed="false">
      <c r="A3383" s="6" t="s">
        <v>8606</v>
      </c>
      <c r="B3383" s="6" t="s">
        <v>3413</v>
      </c>
      <c r="C3383" s="26" t="n">
        <v>46139</v>
      </c>
      <c r="D3383" s="6" t="s">
        <v>5163</v>
      </c>
      <c r="E3383" s="6" t="s">
        <v>23</v>
      </c>
      <c r="F3383" s="6" t="n">
        <v>1</v>
      </c>
      <c r="G3383" s="10" t="n">
        <v>705</v>
      </c>
      <c r="H3383" s="10" t="n">
        <f aca="false">F3383*G3383</f>
        <v>705</v>
      </c>
      <c r="I3383" s="6" t="s">
        <v>5148</v>
      </c>
    </row>
    <row r="3384" customFormat="false" ht="15" hidden="false" customHeight="false" outlineLevel="0" collapsed="false">
      <c r="A3384" s="6" t="s">
        <v>8607</v>
      </c>
      <c r="B3384" s="6" t="s">
        <v>2013</v>
      </c>
      <c r="C3384" s="26" t="n">
        <v>46139</v>
      </c>
      <c r="D3384" s="6" t="s">
        <v>5124</v>
      </c>
      <c r="E3384" s="6" t="s">
        <v>21</v>
      </c>
      <c r="F3384" s="6" t="n">
        <v>1</v>
      </c>
      <c r="G3384" s="10" t="n">
        <v>3439</v>
      </c>
      <c r="H3384" s="10" t="n">
        <f aca="false">F3384*G3384</f>
        <v>3439</v>
      </c>
      <c r="I3384" s="6" t="s">
        <v>5130</v>
      </c>
    </row>
    <row r="3385" customFormat="false" ht="15" hidden="false" customHeight="false" outlineLevel="0" collapsed="false">
      <c r="A3385" s="6" t="s">
        <v>8608</v>
      </c>
      <c r="B3385" s="6" t="s">
        <v>1823</v>
      </c>
      <c r="C3385" s="26" t="n">
        <v>46139</v>
      </c>
      <c r="D3385" s="6" t="s">
        <v>5143</v>
      </c>
      <c r="E3385" s="6" t="s">
        <v>21</v>
      </c>
      <c r="F3385" s="6" t="n">
        <v>1</v>
      </c>
      <c r="G3385" s="10" t="n">
        <v>1179</v>
      </c>
      <c r="H3385" s="10" t="n">
        <f aca="false">F3385*G3385</f>
        <v>1179</v>
      </c>
      <c r="I3385" s="6" t="s">
        <v>5130</v>
      </c>
    </row>
    <row r="3386" customFormat="false" ht="15" hidden="false" customHeight="false" outlineLevel="0" collapsed="false">
      <c r="A3386" s="6" t="s">
        <v>8609</v>
      </c>
      <c r="B3386" s="6" t="s">
        <v>4567</v>
      </c>
      <c r="C3386" s="26" t="n">
        <v>46139</v>
      </c>
      <c r="D3386" s="6" t="s">
        <v>5398</v>
      </c>
      <c r="E3386" s="6" t="s">
        <v>24</v>
      </c>
      <c r="F3386" s="6" t="n">
        <v>1</v>
      </c>
      <c r="G3386" s="10" t="n">
        <v>610</v>
      </c>
      <c r="H3386" s="10" t="n">
        <f aca="false">F3386*G3386</f>
        <v>610</v>
      </c>
      <c r="I3386" s="6" t="s">
        <v>5148</v>
      </c>
    </row>
    <row r="3387" customFormat="false" ht="15" hidden="false" customHeight="false" outlineLevel="0" collapsed="false">
      <c r="A3387" s="6" t="s">
        <v>8610</v>
      </c>
      <c r="B3387" s="6" t="s">
        <v>396</v>
      </c>
      <c r="C3387" s="26" t="n">
        <v>46139</v>
      </c>
      <c r="D3387" s="6" t="s">
        <v>5147</v>
      </c>
      <c r="E3387" s="6" t="s">
        <v>24</v>
      </c>
      <c r="F3387" s="6" t="n">
        <v>1</v>
      </c>
      <c r="G3387" s="10" t="n">
        <v>661</v>
      </c>
      <c r="H3387" s="10" t="n">
        <f aca="false">F3387*G3387</f>
        <v>661</v>
      </c>
      <c r="I3387" s="6" t="s">
        <v>5125</v>
      </c>
    </row>
    <row r="3388" customFormat="false" ht="15" hidden="false" customHeight="false" outlineLevel="0" collapsed="false">
      <c r="A3388" s="6" t="s">
        <v>8611</v>
      </c>
      <c r="B3388" s="6" t="s">
        <v>4839</v>
      </c>
      <c r="C3388" s="26" t="n">
        <v>46139</v>
      </c>
      <c r="D3388" s="6" t="s">
        <v>5185</v>
      </c>
      <c r="E3388" s="6" t="s">
        <v>24</v>
      </c>
      <c r="F3388" s="6" t="n">
        <v>2</v>
      </c>
      <c r="G3388" s="10" t="n">
        <v>2140</v>
      </c>
      <c r="H3388" s="10" t="n">
        <f aca="false">F3388*G3388</f>
        <v>4280</v>
      </c>
      <c r="I3388" s="6" t="s">
        <v>5173</v>
      </c>
    </row>
    <row r="3389" customFormat="false" ht="15" hidden="false" customHeight="false" outlineLevel="0" collapsed="false">
      <c r="A3389" s="6" t="s">
        <v>8612</v>
      </c>
      <c r="B3389" s="6" t="s">
        <v>2833</v>
      </c>
      <c r="C3389" s="26" t="n">
        <v>46139</v>
      </c>
      <c r="D3389" s="6" t="s">
        <v>5316</v>
      </c>
      <c r="E3389" s="6" t="s">
        <v>23</v>
      </c>
      <c r="F3389" s="6" t="n">
        <v>3</v>
      </c>
      <c r="G3389" s="10" t="n">
        <v>247</v>
      </c>
      <c r="H3389" s="10" t="n">
        <f aca="false">F3389*G3389</f>
        <v>741</v>
      </c>
      <c r="I3389" s="6" t="s">
        <v>5125</v>
      </c>
    </row>
    <row r="3390" customFormat="false" ht="15" hidden="false" customHeight="false" outlineLevel="0" collapsed="false">
      <c r="A3390" s="6" t="s">
        <v>8613</v>
      </c>
      <c r="B3390" s="6" t="s">
        <v>1157</v>
      </c>
      <c r="C3390" s="26" t="n">
        <v>46139</v>
      </c>
      <c r="D3390" s="6" t="s">
        <v>5216</v>
      </c>
      <c r="E3390" s="6" t="s">
        <v>23</v>
      </c>
      <c r="F3390" s="6" t="n">
        <v>1</v>
      </c>
      <c r="G3390" s="10" t="n">
        <v>528</v>
      </c>
      <c r="H3390" s="10" t="n">
        <f aca="false">F3390*G3390</f>
        <v>528</v>
      </c>
      <c r="I3390" s="6" t="s">
        <v>5148</v>
      </c>
    </row>
    <row r="3391" customFormat="false" ht="15" hidden="false" customHeight="false" outlineLevel="0" collapsed="false">
      <c r="A3391" s="6" t="s">
        <v>8614</v>
      </c>
      <c r="B3391" s="6" t="s">
        <v>3773</v>
      </c>
      <c r="C3391" s="26" t="n">
        <v>46139</v>
      </c>
      <c r="D3391" s="6" t="s">
        <v>5121</v>
      </c>
      <c r="E3391" s="6" t="s">
        <v>22</v>
      </c>
      <c r="F3391" s="6" t="n">
        <v>2</v>
      </c>
      <c r="G3391" s="10" t="n">
        <v>977</v>
      </c>
      <c r="H3391" s="10" t="n">
        <f aca="false">F3391*G3391</f>
        <v>1954</v>
      </c>
      <c r="I3391" s="6" t="s">
        <v>5133</v>
      </c>
    </row>
    <row r="3392" customFormat="false" ht="15" hidden="false" customHeight="false" outlineLevel="0" collapsed="false">
      <c r="A3392" s="6" t="s">
        <v>8615</v>
      </c>
      <c r="B3392" s="6" t="s">
        <v>519</v>
      </c>
      <c r="C3392" s="26" t="n">
        <v>46139</v>
      </c>
      <c r="D3392" s="6" t="s">
        <v>5121</v>
      </c>
      <c r="E3392" s="6" t="s">
        <v>22</v>
      </c>
      <c r="F3392" s="6" t="n">
        <v>3</v>
      </c>
      <c r="G3392" s="10" t="n">
        <v>977</v>
      </c>
      <c r="H3392" s="10" t="n">
        <f aca="false">F3392*G3392</f>
        <v>2931</v>
      </c>
      <c r="I3392" s="6" t="s">
        <v>5148</v>
      </c>
    </row>
    <row r="3393" customFormat="false" ht="15" hidden="false" customHeight="false" outlineLevel="0" collapsed="false">
      <c r="A3393" s="6" t="s">
        <v>8616</v>
      </c>
      <c r="B3393" s="6" t="s">
        <v>791</v>
      </c>
      <c r="C3393" s="26" t="n">
        <v>46139</v>
      </c>
      <c r="D3393" s="6" t="s">
        <v>5807</v>
      </c>
      <c r="E3393" s="6" t="s">
        <v>20</v>
      </c>
      <c r="F3393" s="6" t="n">
        <v>1</v>
      </c>
      <c r="G3393" s="10" t="n">
        <v>15296</v>
      </c>
      <c r="H3393" s="10" t="n">
        <f aca="false">F3393*G3393</f>
        <v>15296</v>
      </c>
      <c r="I3393" s="6" t="s">
        <v>5122</v>
      </c>
    </row>
    <row r="3394" customFormat="false" ht="15" hidden="false" customHeight="false" outlineLevel="0" collapsed="false">
      <c r="A3394" s="6" t="s">
        <v>8617</v>
      </c>
      <c r="B3394" s="6" t="s">
        <v>3523</v>
      </c>
      <c r="C3394" s="26" t="n">
        <v>46139</v>
      </c>
      <c r="D3394" s="6" t="s">
        <v>5192</v>
      </c>
      <c r="E3394" s="6" t="s">
        <v>20</v>
      </c>
      <c r="F3394" s="6" t="n">
        <v>1</v>
      </c>
      <c r="G3394" s="10" t="n">
        <v>4078</v>
      </c>
      <c r="H3394" s="10" t="n">
        <f aca="false">F3394*G3394</f>
        <v>4078</v>
      </c>
      <c r="I3394" s="6" t="s">
        <v>5148</v>
      </c>
    </row>
    <row r="3395" customFormat="false" ht="15" hidden="false" customHeight="false" outlineLevel="0" collapsed="false">
      <c r="A3395" s="6" t="s">
        <v>8618</v>
      </c>
      <c r="B3395" s="6" t="s">
        <v>2829</v>
      </c>
      <c r="C3395" s="26" t="n">
        <v>46139</v>
      </c>
      <c r="D3395" s="6" t="s">
        <v>5357</v>
      </c>
      <c r="E3395" s="6" t="s">
        <v>23</v>
      </c>
      <c r="F3395" s="6" t="n">
        <v>3</v>
      </c>
      <c r="G3395" s="10" t="n">
        <v>507</v>
      </c>
      <c r="H3395" s="10" t="n">
        <f aca="false">F3395*G3395</f>
        <v>1521</v>
      </c>
      <c r="I3395" s="6" t="s">
        <v>5130</v>
      </c>
    </row>
    <row r="3396" customFormat="false" ht="15" hidden="false" customHeight="false" outlineLevel="0" collapsed="false">
      <c r="A3396" s="6" t="s">
        <v>8619</v>
      </c>
      <c r="B3396" s="6" t="s">
        <v>1843</v>
      </c>
      <c r="C3396" s="26" t="n">
        <v>46139</v>
      </c>
      <c r="D3396" s="6" t="s">
        <v>5202</v>
      </c>
      <c r="E3396" s="6" t="s">
        <v>23</v>
      </c>
      <c r="F3396" s="6" t="n">
        <v>4</v>
      </c>
      <c r="G3396" s="10" t="n">
        <v>245</v>
      </c>
      <c r="H3396" s="10" t="n">
        <f aca="false">F3396*G3396</f>
        <v>980</v>
      </c>
      <c r="I3396" s="6" t="s">
        <v>5130</v>
      </c>
    </row>
    <row r="3397" customFormat="false" ht="15" hidden="false" customHeight="false" outlineLevel="0" collapsed="false">
      <c r="A3397" s="6" t="s">
        <v>8620</v>
      </c>
      <c r="B3397" s="6" t="s">
        <v>3777</v>
      </c>
      <c r="C3397" s="26" t="n">
        <v>46139</v>
      </c>
      <c r="D3397" s="6" t="s">
        <v>5167</v>
      </c>
      <c r="E3397" s="6" t="s">
        <v>22</v>
      </c>
      <c r="F3397" s="6" t="n">
        <v>2</v>
      </c>
      <c r="G3397" s="10" t="n">
        <v>743</v>
      </c>
      <c r="H3397" s="10" t="n">
        <f aca="false">F3397*G3397</f>
        <v>1486</v>
      </c>
      <c r="I3397" s="6" t="s">
        <v>5133</v>
      </c>
    </row>
    <row r="3398" customFormat="false" ht="15" hidden="false" customHeight="false" outlineLevel="0" collapsed="false">
      <c r="A3398" s="6" t="s">
        <v>8621</v>
      </c>
      <c r="B3398" s="6" t="s">
        <v>3543</v>
      </c>
      <c r="C3398" s="26" t="n">
        <v>46139</v>
      </c>
      <c r="D3398" s="6" t="s">
        <v>5167</v>
      </c>
      <c r="E3398" s="6" t="s">
        <v>22</v>
      </c>
      <c r="F3398" s="6" t="n">
        <v>1</v>
      </c>
      <c r="G3398" s="10" t="n">
        <v>782</v>
      </c>
      <c r="H3398" s="10" t="n">
        <f aca="false">F3398*G3398</f>
        <v>782</v>
      </c>
      <c r="I3398" s="6" t="s">
        <v>5122</v>
      </c>
    </row>
    <row r="3399" customFormat="false" ht="15" hidden="false" customHeight="false" outlineLevel="0" collapsed="false">
      <c r="A3399" s="6" t="s">
        <v>8622</v>
      </c>
      <c r="B3399" s="6" t="s">
        <v>1295</v>
      </c>
      <c r="C3399" s="26" t="n">
        <v>46139</v>
      </c>
      <c r="D3399" s="6" t="s">
        <v>5339</v>
      </c>
      <c r="E3399" s="6" t="s">
        <v>24</v>
      </c>
      <c r="F3399" s="6" t="n">
        <v>1</v>
      </c>
      <c r="G3399" s="10" t="n">
        <v>458</v>
      </c>
      <c r="H3399" s="10" t="n">
        <f aca="false">F3399*G3399</f>
        <v>458</v>
      </c>
      <c r="I3399" s="6" t="s">
        <v>5122</v>
      </c>
    </row>
    <row r="3400" customFormat="false" ht="15" hidden="false" customHeight="false" outlineLevel="0" collapsed="false">
      <c r="A3400" s="6" t="s">
        <v>8623</v>
      </c>
      <c r="B3400" s="6" t="s">
        <v>4783</v>
      </c>
      <c r="C3400" s="26" t="n">
        <v>46139</v>
      </c>
      <c r="D3400" s="6" t="s">
        <v>5292</v>
      </c>
      <c r="E3400" s="6" t="s">
        <v>21</v>
      </c>
      <c r="F3400" s="6" t="n">
        <v>1</v>
      </c>
      <c r="G3400" s="10" t="n">
        <v>6192</v>
      </c>
      <c r="H3400" s="10" t="n">
        <f aca="false">F3400*G3400</f>
        <v>6192</v>
      </c>
      <c r="I3400" s="6" t="s">
        <v>5125</v>
      </c>
    </row>
    <row r="3401" customFormat="false" ht="15" hidden="false" customHeight="false" outlineLevel="0" collapsed="false">
      <c r="A3401" s="6" t="s">
        <v>8624</v>
      </c>
      <c r="B3401" s="6" t="s">
        <v>2571</v>
      </c>
      <c r="C3401" s="26" t="n">
        <v>46140</v>
      </c>
      <c r="D3401" s="6" t="s">
        <v>5316</v>
      </c>
      <c r="E3401" s="6" t="s">
        <v>23</v>
      </c>
      <c r="F3401" s="6" t="n">
        <v>4</v>
      </c>
      <c r="G3401" s="10" t="n">
        <v>260</v>
      </c>
      <c r="H3401" s="10" t="n">
        <f aca="false">F3401*G3401</f>
        <v>1040</v>
      </c>
      <c r="I3401" s="6" t="s">
        <v>5148</v>
      </c>
    </row>
    <row r="3402" customFormat="false" ht="15" hidden="false" customHeight="false" outlineLevel="0" collapsed="false">
      <c r="A3402" s="6" t="s">
        <v>8625</v>
      </c>
      <c r="B3402" s="6" t="s">
        <v>2959</v>
      </c>
      <c r="C3402" s="26" t="n">
        <v>46140</v>
      </c>
      <c r="D3402" s="6" t="s">
        <v>5158</v>
      </c>
      <c r="E3402" s="6" t="s">
        <v>24</v>
      </c>
      <c r="F3402" s="6" t="n">
        <v>1</v>
      </c>
      <c r="G3402" s="10" t="n">
        <v>391</v>
      </c>
      <c r="H3402" s="10" t="n">
        <f aca="false">F3402*G3402</f>
        <v>391</v>
      </c>
      <c r="I3402" s="6" t="s">
        <v>5122</v>
      </c>
    </row>
    <row r="3403" customFormat="false" ht="15" hidden="false" customHeight="false" outlineLevel="0" collapsed="false">
      <c r="A3403" s="6" t="s">
        <v>8626</v>
      </c>
      <c r="B3403" s="6" t="s">
        <v>1891</v>
      </c>
      <c r="C3403" s="26" t="n">
        <v>46140</v>
      </c>
      <c r="D3403" s="6" t="s">
        <v>5171</v>
      </c>
      <c r="E3403" s="6" t="s">
        <v>23</v>
      </c>
      <c r="F3403" s="6" t="n">
        <v>3</v>
      </c>
      <c r="G3403" s="10" t="n">
        <v>734</v>
      </c>
      <c r="H3403" s="10" t="n">
        <f aca="false">F3403*G3403</f>
        <v>2202</v>
      </c>
      <c r="I3403" s="6" t="s">
        <v>5122</v>
      </c>
    </row>
    <row r="3404" customFormat="false" ht="15" hidden="false" customHeight="false" outlineLevel="0" collapsed="false">
      <c r="A3404" s="6" t="s">
        <v>8627</v>
      </c>
      <c r="B3404" s="6" t="s">
        <v>2303</v>
      </c>
      <c r="C3404" s="26" t="n">
        <v>46140</v>
      </c>
      <c r="D3404" s="6" t="s">
        <v>5456</v>
      </c>
      <c r="E3404" s="6" t="s">
        <v>24</v>
      </c>
      <c r="F3404" s="6" t="n">
        <v>2</v>
      </c>
      <c r="G3404" s="10" t="n">
        <v>912</v>
      </c>
      <c r="H3404" s="10" t="n">
        <f aca="false">F3404*G3404</f>
        <v>1824</v>
      </c>
      <c r="I3404" s="6" t="s">
        <v>5130</v>
      </c>
    </row>
    <row r="3405" customFormat="false" ht="15" hidden="false" customHeight="false" outlineLevel="0" collapsed="false">
      <c r="A3405" s="6" t="s">
        <v>8628</v>
      </c>
      <c r="B3405" s="6" t="s">
        <v>1079</v>
      </c>
      <c r="C3405" s="26" t="n">
        <v>46140</v>
      </c>
      <c r="D3405" s="6" t="s">
        <v>5269</v>
      </c>
      <c r="E3405" s="6" t="s">
        <v>22</v>
      </c>
      <c r="F3405" s="6" t="n">
        <v>3</v>
      </c>
      <c r="G3405" s="10" t="n">
        <v>1207</v>
      </c>
      <c r="H3405" s="10" t="n">
        <f aca="false">F3405*G3405</f>
        <v>3621</v>
      </c>
      <c r="I3405" s="6" t="s">
        <v>5122</v>
      </c>
    </row>
    <row r="3406" customFormat="false" ht="15" hidden="false" customHeight="false" outlineLevel="0" collapsed="false">
      <c r="A3406" s="6" t="s">
        <v>8629</v>
      </c>
      <c r="B3406" s="6" t="s">
        <v>3459</v>
      </c>
      <c r="C3406" s="26" t="n">
        <v>46140</v>
      </c>
      <c r="D3406" s="6" t="s">
        <v>5135</v>
      </c>
      <c r="E3406" s="6" t="s">
        <v>23</v>
      </c>
      <c r="F3406" s="6" t="n">
        <v>4</v>
      </c>
      <c r="G3406" s="10" t="n">
        <v>441</v>
      </c>
      <c r="H3406" s="10" t="n">
        <f aca="false">F3406*G3406</f>
        <v>1764</v>
      </c>
      <c r="I3406" s="6" t="s">
        <v>5122</v>
      </c>
    </row>
    <row r="3407" customFormat="false" ht="15" hidden="false" customHeight="false" outlineLevel="0" collapsed="false">
      <c r="A3407" s="6" t="s">
        <v>8630</v>
      </c>
      <c r="B3407" s="6" t="s">
        <v>4167</v>
      </c>
      <c r="C3407" s="26" t="n">
        <v>46140</v>
      </c>
      <c r="D3407" s="6" t="s">
        <v>5154</v>
      </c>
      <c r="E3407" s="6" t="s">
        <v>21</v>
      </c>
      <c r="F3407" s="6" t="n">
        <v>1</v>
      </c>
      <c r="G3407" s="10" t="n">
        <v>786</v>
      </c>
      <c r="H3407" s="10" t="n">
        <f aca="false">F3407*G3407</f>
        <v>786</v>
      </c>
      <c r="I3407" s="6" t="s">
        <v>5130</v>
      </c>
    </row>
    <row r="3408" customFormat="false" ht="15" hidden="false" customHeight="false" outlineLevel="0" collapsed="false">
      <c r="A3408" s="6" t="s">
        <v>8631</v>
      </c>
      <c r="B3408" s="6" t="s">
        <v>4491</v>
      </c>
      <c r="C3408" s="26" t="n">
        <v>46140</v>
      </c>
      <c r="D3408" s="6" t="s">
        <v>5121</v>
      </c>
      <c r="E3408" s="6" t="s">
        <v>22</v>
      </c>
      <c r="F3408" s="6" t="n">
        <v>1</v>
      </c>
      <c r="G3408" s="10" t="n">
        <v>977</v>
      </c>
      <c r="H3408" s="10" t="n">
        <f aca="false">F3408*G3408</f>
        <v>977</v>
      </c>
      <c r="I3408" s="6" t="s">
        <v>5122</v>
      </c>
    </row>
    <row r="3409" customFormat="false" ht="15" hidden="false" customHeight="false" outlineLevel="0" collapsed="false">
      <c r="A3409" s="6" t="s">
        <v>8632</v>
      </c>
      <c r="B3409" s="6" t="s">
        <v>3715</v>
      </c>
      <c r="C3409" s="26" t="n">
        <v>46140</v>
      </c>
      <c r="D3409" s="6" t="s">
        <v>5165</v>
      </c>
      <c r="E3409" s="6" t="s">
        <v>22</v>
      </c>
      <c r="F3409" s="6" t="n">
        <v>2</v>
      </c>
      <c r="G3409" s="10" t="n">
        <v>977</v>
      </c>
      <c r="H3409" s="10" t="n">
        <f aca="false">F3409*G3409</f>
        <v>1954</v>
      </c>
      <c r="I3409" s="6" t="s">
        <v>5130</v>
      </c>
    </row>
    <row r="3410" customFormat="false" ht="15" hidden="false" customHeight="false" outlineLevel="0" collapsed="false">
      <c r="A3410" s="6" t="s">
        <v>8633</v>
      </c>
      <c r="B3410" s="6" t="s">
        <v>1789</v>
      </c>
      <c r="C3410" s="26" t="n">
        <v>46140</v>
      </c>
      <c r="D3410" s="6" t="s">
        <v>5124</v>
      </c>
      <c r="E3410" s="6" t="s">
        <v>21</v>
      </c>
      <c r="F3410" s="6" t="n">
        <v>1</v>
      </c>
      <c r="G3410" s="10" t="n">
        <v>3267</v>
      </c>
      <c r="H3410" s="10" t="n">
        <f aca="false">F3410*G3410</f>
        <v>3267</v>
      </c>
      <c r="I3410" s="6" t="s">
        <v>5133</v>
      </c>
    </row>
    <row r="3411" customFormat="false" ht="15" hidden="false" customHeight="false" outlineLevel="0" collapsed="false">
      <c r="A3411" s="6" t="s">
        <v>8634</v>
      </c>
      <c r="B3411" s="6" t="s">
        <v>1411</v>
      </c>
      <c r="C3411" s="26" t="n">
        <v>46140</v>
      </c>
      <c r="D3411" s="6" t="s">
        <v>5127</v>
      </c>
      <c r="E3411" s="6" t="s">
        <v>21</v>
      </c>
      <c r="F3411" s="6" t="n">
        <v>1</v>
      </c>
      <c r="G3411" s="10" t="n">
        <v>839</v>
      </c>
      <c r="H3411" s="10" t="n">
        <f aca="false">F3411*G3411</f>
        <v>839</v>
      </c>
      <c r="I3411" s="6" t="s">
        <v>5148</v>
      </c>
    </row>
    <row r="3412" customFormat="false" ht="15" hidden="false" customHeight="false" outlineLevel="0" collapsed="false">
      <c r="A3412" s="6" t="s">
        <v>8635</v>
      </c>
      <c r="B3412" s="6" t="s">
        <v>891</v>
      </c>
      <c r="C3412" s="26" t="n">
        <v>46140</v>
      </c>
      <c r="D3412" s="6" t="s">
        <v>5171</v>
      </c>
      <c r="E3412" s="6" t="s">
        <v>23</v>
      </c>
      <c r="F3412" s="6" t="n">
        <v>2</v>
      </c>
      <c r="G3412" s="10" t="n">
        <v>734</v>
      </c>
      <c r="H3412" s="10" t="n">
        <f aca="false">F3412*G3412</f>
        <v>1468</v>
      </c>
      <c r="I3412" s="6" t="s">
        <v>5130</v>
      </c>
    </row>
    <row r="3413" customFormat="false" ht="15" hidden="false" customHeight="false" outlineLevel="0" collapsed="false">
      <c r="A3413" s="6" t="s">
        <v>8636</v>
      </c>
      <c r="B3413" s="6" t="s">
        <v>2171</v>
      </c>
      <c r="C3413" s="26" t="n">
        <v>46140</v>
      </c>
      <c r="D3413" s="6" t="s">
        <v>5305</v>
      </c>
      <c r="E3413" s="6" t="s">
        <v>20</v>
      </c>
      <c r="F3413" s="6" t="n">
        <v>1</v>
      </c>
      <c r="G3413" s="10" t="n">
        <v>1631</v>
      </c>
      <c r="H3413" s="10" t="n">
        <f aca="false">F3413*G3413</f>
        <v>1631</v>
      </c>
      <c r="I3413" s="6" t="s">
        <v>5148</v>
      </c>
    </row>
    <row r="3414" customFormat="false" ht="15" hidden="false" customHeight="false" outlineLevel="0" collapsed="false">
      <c r="A3414" s="6" t="s">
        <v>8637</v>
      </c>
      <c r="B3414" s="6" t="s">
        <v>3661</v>
      </c>
      <c r="C3414" s="26" t="n">
        <v>46140</v>
      </c>
      <c r="D3414" s="6" t="s">
        <v>5165</v>
      </c>
      <c r="E3414" s="6" t="s">
        <v>22</v>
      </c>
      <c r="F3414" s="6" t="n">
        <v>1</v>
      </c>
      <c r="G3414" s="10" t="n">
        <v>976</v>
      </c>
      <c r="H3414" s="10" t="n">
        <f aca="false">F3414*G3414</f>
        <v>976</v>
      </c>
      <c r="I3414" s="6" t="s">
        <v>5125</v>
      </c>
    </row>
    <row r="3415" customFormat="false" ht="15" hidden="false" customHeight="false" outlineLevel="0" collapsed="false">
      <c r="A3415" s="6" t="s">
        <v>8638</v>
      </c>
      <c r="B3415" s="6" t="s">
        <v>2377</v>
      </c>
      <c r="C3415" s="26" t="n">
        <v>46140</v>
      </c>
      <c r="D3415" s="6" t="s">
        <v>5135</v>
      </c>
      <c r="E3415" s="6" t="s">
        <v>23</v>
      </c>
      <c r="F3415" s="6" t="n">
        <v>2</v>
      </c>
      <c r="G3415" s="10" t="n">
        <v>419</v>
      </c>
      <c r="H3415" s="10" t="n">
        <f aca="false">F3415*G3415</f>
        <v>838</v>
      </c>
      <c r="I3415" s="6" t="s">
        <v>5122</v>
      </c>
    </row>
    <row r="3416" customFormat="false" ht="15" hidden="false" customHeight="false" outlineLevel="0" collapsed="false">
      <c r="A3416" s="6" t="s">
        <v>8639</v>
      </c>
      <c r="B3416" s="6" t="s">
        <v>4707</v>
      </c>
      <c r="C3416" s="26" t="n">
        <v>46140</v>
      </c>
      <c r="D3416" s="6" t="s">
        <v>5466</v>
      </c>
      <c r="E3416" s="6" t="s">
        <v>21</v>
      </c>
      <c r="F3416" s="6" t="n">
        <v>1</v>
      </c>
      <c r="G3416" s="10" t="n">
        <v>1768</v>
      </c>
      <c r="H3416" s="10" t="n">
        <f aca="false">F3416*G3416</f>
        <v>1768</v>
      </c>
      <c r="I3416" s="6" t="s">
        <v>5125</v>
      </c>
    </row>
    <row r="3417" customFormat="false" ht="15" hidden="false" customHeight="false" outlineLevel="0" collapsed="false">
      <c r="A3417" s="6" t="s">
        <v>8640</v>
      </c>
      <c r="B3417" s="6" t="s">
        <v>2469</v>
      </c>
      <c r="C3417" s="26" t="n">
        <v>46140</v>
      </c>
      <c r="D3417" s="6" t="s">
        <v>5466</v>
      </c>
      <c r="E3417" s="6" t="s">
        <v>21</v>
      </c>
      <c r="F3417" s="6" t="n">
        <v>3</v>
      </c>
      <c r="G3417" s="10" t="n">
        <v>1768</v>
      </c>
      <c r="H3417" s="10" t="n">
        <f aca="false">F3417*G3417</f>
        <v>5304</v>
      </c>
      <c r="I3417" s="6" t="s">
        <v>5130</v>
      </c>
    </row>
    <row r="3418" customFormat="false" ht="15" hidden="false" customHeight="false" outlineLevel="0" collapsed="false">
      <c r="A3418" s="6" t="s">
        <v>8641</v>
      </c>
      <c r="B3418" s="6" t="s">
        <v>1259</v>
      </c>
      <c r="C3418" s="26" t="n">
        <v>46140</v>
      </c>
      <c r="D3418" s="6" t="s">
        <v>5353</v>
      </c>
      <c r="E3418" s="6" t="s">
        <v>24</v>
      </c>
      <c r="F3418" s="6" t="n">
        <v>3</v>
      </c>
      <c r="G3418" s="10" t="n">
        <v>1629</v>
      </c>
      <c r="H3418" s="10" t="n">
        <f aca="false">F3418*G3418</f>
        <v>4887</v>
      </c>
      <c r="I3418" s="6" t="s">
        <v>5122</v>
      </c>
    </row>
    <row r="3419" customFormat="false" ht="15" hidden="false" customHeight="false" outlineLevel="0" collapsed="false">
      <c r="A3419" s="6" t="s">
        <v>8642</v>
      </c>
      <c r="B3419" s="6" t="s">
        <v>4573</v>
      </c>
      <c r="C3419" s="26" t="n">
        <v>46140</v>
      </c>
      <c r="D3419" s="6" t="s">
        <v>5683</v>
      </c>
      <c r="E3419" s="6" t="s">
        <v>22</v>
      </c>
      <c r="F3419" s="6" t="n">
        <v>2</v>
      </c>
      <c r="G3419" s="10" t="n">
        <v>1760</v>
      </c>
      <c r="H3419" s="10" t="n">
        <f aca="false">F3419*G3419</f>
        <v>3520</v>
      </c>
      <c r="I3419" s="6" t="s">
        <v>5125</v>
      </c>
    </row>
    <row r="3420" customFormat="false" ht="15" hidden="false" customHeight="false" outlineLevel="0" collapsed="false">
      <c r="A3420" s="6" t="s">
        <v>8643</v>
      </c>
      <c r="B3420" s="6" t="s">
        <v>2183</v>
      </c>
      <c r="C3420" s="26" t="n">
        <v>46140</v>
      </c>
      <c r="D3420" s="6" t="s">
        <v>5423</v>
      </c>
      <c r="E3420" s="6" t="s">
        <v>21</v>
      </c>
      <c r="F3420" s="6" t="n">
        <v>1</v>
      </c>
      <c r="G3420" s="10" t="n">
        <v>3081</v>
      </c>
      <c r="H3420" s="10" t="n">
        <f aca="false">F3420*G3420</f>
        <v>3081</v>
      </c>
      <c r="I3420" s="6" t="s">
        <v>5130</v>
      </c>
    </row>
    <row r="3421" customFormat="false" ht="15" hidden="false" customHeight="false" outlineLevel="0" collapsed="false">
      <c r="A3421" s="6" t="s">
        <v>8644</v>
      </c>
      <c r="B3421" s="6" t="s">
        <v>1015</v>
      </c>
      <c r="C3421" s="26" t="n">
        <v>46140</v>
      </c>
      <c r="D3421" s="6" t="s">
        <v>5167</v>
      </c>
      <c r="E3421" s="6" t="s">
        <v>22</v>
      </c>
      <c r="F3421" s="6" t="n">
        <v>1</v>
      </c>
      <c r="G3421" s="10" t="n">
        <v>703</v>
      </c>
      <c r="H3421" s="10" t="n">
        <f aca="false">F3421*G3421</f>
        <v>703</v>
      </c>
      <c r="I3421" s="6" t="s">
        <v>5148</v>
      </c>
    </row>
    <row r="3422" customFormat="false" ht="15" hidden="false" customHeight="false" outlineLevel="0" collapsed="false">
      <c r="A3422" s="6" t="s">
        <v>8645</v>
      </c>
      <c r="B3422" s="6" t="s">
        <v>4253</v>
      </c>
      <c r="C3422" s="26" t="n">
        <v>46140</v>
      </c>
      <c r="D3422" s="6" t="s">
        <v>5197</v>
      </c>
      <c r="E3422" s="6" t="s">
        <v>21</v>
      </c>
      <c r="F3422" s="6" t="n">
        <v>1</v>
      </c>
      <c r="G3422" s="10" t="n">
        <v>1080</v>
      </c>
      <c r="H3422" s="10" t="n">
        <f aca="false">F3422*G3422</f>
        <v>1080</v>
      </c>
      <c r="I3422" s="6" t="s">
        <v>5173</v>
      </c>
    </row>
    <row r="3423" customFormat="false" ht="15" hidden="false" customHeight="false" outlineLevel="0" collapsed="false">
      <c r="A3423" s="6" t="s">
        <v>8646</v>
      </c>
      <c r="B3423" s="6" t="s">
        <v>3141</v>
      </c>
      <c r="C3423" s="26" t="n">
        <v>46140</v>
      </c>
      <c r="D3423" s="6" t="s">
        <v>5273</v>
      </c>
      <c r="E3423" s="6" t="s">
        <v>23</v>
      </c>
      <c r="F3423" s="6" t="n">
        <v>1</v>
      </c>
      <c r="G3423" s="10" t="n">
        <v>216</v>
      </c>
      <c r="H3423" s="10" t="n">
        <f aca="false">F3423*G3423</f>
        <v>216</v>
      </c>
      <c r="I3423" s="6" t="s">
        <v>5148</v>
      </c>
    </row>
    <row r="3424" customFormat="false" ht="15" hidden="false" customHeight="false" outlineLevel="0" collapsed="false">
      <c r="A3424" s="6" t="s">
        <v>8647</v>
      </c>
      <c r="B3424" s="6" t="s">
        <v>4225</v>
      </c>
      <c r="C3424" s="26" t="n">
        <v>46140</v>
      </c>
      <c r="D3424" s="6" t="s">
        <v>5167</v>
      </c>
      <c r="E3424" s="6" t="s">
        <v>22</v>
      </c>
      <c r="F3424" s="6" t="n">
        <v>2</v>
      </c>
      <c r="G3424" s="10" t="n">
        <v>782</v>
      </c>
      <c r="H3424" s="10" t="n">
        <f aca="false">F3424*G3424</f>
        <v>1564</v>
      </c>
      <c r="I3424" s="6" t="s">
        <v>5148</v>
      </c>
    </row>
    <row r="3425" customFormat="false" ht="15" hidden="false" customHeight="false" outlineLevel="0" collapsed="false">
      <c r="A3425" s="6" t="s">
        <v>8648</v>
      </c>
      <c r="B3425" s="6" t="s">
        <v>154</v>
      </c>
      <c r="C3425" s="26" t="n">
        <v>46140</v>
      </c>
      <c r="D3425" s="6" t="s">
        <v>5124</v>
      </c>
      <c r="E3425" s="6" t="s">
        <v>21</v>
      </c>
      <c r="F3425" s="6" t="n">
        <v>1</v>
      </c>
      <c r="G3425" s="10" t="n">
        <v>3439</v>
      </c>
      <c r="H3425" s="10" t="n">
        <f aca="false">F3425*G3425</f>
        <v>3439</v>
      </c>
      <c r="I3425" s="6" t="s">
        <v>5148</v>
      </c>
    </row>
    <row r="3426" customFormat="false" ht="15" hidden="false" customHeight="false" outlineLevel="0" collapsed="false">
      <c r="A3426" s="6" t="s">
        <v>8649</v>
      </c>
      <c r="B3426" s="6" t="s">
        <v>4805</v>
      </c>
      <c r="C3426" s="26" t="n">
        <v>46140</v>
      </c>
      <c r="D3426" s="6" t="s">
        <v>5154</v>
      </c>
      <c r="E3426" s="6" t="s">
        <v>21</v>
      </c>
      <c r="F3426" s="6" t="n">
        <v>1</v>
      </c>
      <c r="G3426" s="10" t="n">
        <v>746</v>
      </c>
      <c r="H3426" s="10" t="n">
        <f aca="false">F3426*G3426</f>
        <v>746</v>
      </c>
      <c r="I3426" s="6" t="s">
        <v>5173</v>
      </c>
    </row>
    <row r="3427" customFormat="false" ht="15" hidden="false" customHeight="false" outlineLevel="0" collapsed="false">
      <c r="A3427" s="6" t="s">
        <v>8650</v>
      </c>
      <c r="B3427" s="6" t="s">
        <v>1779</v>
      </c>
      <c r="C3427" s="26" t="n">
        <v>46140</v>
      </c>
      <c r="D3427" s="6" t="s">
        <v>5167</v>
      </c>
      <c r="E3427" s="6" t="s">
        <v>22</v>
      </c>
      <c r="F3427" s="6" t="n">
        <v>3</v>
      </c>
      <c r="G3427" s="10" t="n">
        <v>782</v>
      </c>
      <c r="H3427" s="10" t="n">
        <f aca="false">F3427*G3427</f>
        <v>2346</v>
      </c>
      <c r="I3427" s="6" t="s">
        <v>5148</v>
      </c>
    </row>
    <row r="3428" customFormat="false" ht="15" hidden="false" customHeight="false" outlineLevel="0" collapsed="false">
      <c r="A3428" s="6" t="s">
        <v>8651</v>
      </c>
      <c r="B3428" s="6" t="s">
        <v>1955</v>
      </c>
      <c r="C3428" s="26" t="n">
        <v>46140</v>
      </c>
      <c r="D3428" s="6" t="s">
        <v>5127</v>
      </c>
      <c r="E3428" s="6" t="s">
        <v>21</v>
      </c>
      <c r="F3428" s="6" t="n">
        <v>1</v>
      </c>
      <c r="G3428" s="10" t="n">
        <v>884</v>
      </c>
      <c r="H3428" s="10" t="n">
        <f aca="false">F3428*G3428</f>
        <v>884</v>
      </c>
      <c r="I3428" s="6" t="s">
        <v>5148</v>
      </c>
    </row>
    <row r="3429" customFormat="false" ht="15" hidden="false" customHeight="false" outlineLevel="0" collapsed="false">
      <c r="A3429" s="6" t="s">
        <v>8652</v>
      </c>
      <c r="B3429" s="6" t="s">
        <v>3827</v>
      </c>
      <c r="C3429" s="26" t="n">
        <v>46140</v>
      </c>
      <c r="D3429" s="6" t="s">
        <v>5281</v>
      </c>
      <c r="E3429" s="6" t="s">
        <v>24</v>
      </c>
      <c r="F3429" s="6" t="n">
        <v>2</v>
      </c>
      <c r="G3429" s="10" t="n">
        <v>814</v>
      </c>
      <c r="H3429" s="10" t="n">
        <f aca="false">F3429*G3429</f>
        <v>1628</v>
      </c>
      <c r="I3429" s="6" t="s">
        <v>5125</v>
      </c>
    </row>
    <row r="3430" customFormat="false" ht="15" hidden="false" customHeight="false" outlineLevel="0" collapsed="false">
      <c r="A3430" s="6" t="s">
        <v>8653</v>
      </c>
      <c r="B3430" s="6" t="s">
        <v>517</v>
      </c>
      <c r="C3430" s="26" t="n">
        <v>46140</v>
      </c>
      <c r="D3430" s="6" t="s">
        <v>5190</v>
      </c>
      <c r="E3430" s="6" t="s">
        <v>24</v>
      </c>
      <c r="F3430" s="6" t="n">
        <v>2</v>
      </c>
      <c r="G3430" s="10" t="n">
        <v>549</v>
      </c>
      <c r="H3430" s="10" t="n">
        <f aca="false">F3430*G3430</f>
        <v>1098</v>
      </c>
      <c r="I3430" s="6" t="s">
        <v>5122</v>
      </c>
    </row>
    <row r="3431" customFormat="false" ht="15" hidden="false" customHeight="false" outlineLevel="0" collapsed="false">
      <c r="A3431" s="6" t="s">
        <v>8654</v>
      </c>
      <c r="B3431" s="6" t="s">
        <v>358</v>
      </c>
      <c r="C3431" s="26" t="n">
        <v>46140</v>
      </c>
      <c r="D3431" s="6" t="s">
        <v>5167</v>
      </c>
      <c r="E3431" s="6" t="s">
        <v>22</v>
      </c>
      <c r="F3431" s="6" t="n">
        <v>1</v>
      </c>
      <c r="G3431" s="10" t="n">
        <v>782</v>
      </c>
      <c r="H3431" s="10" t="n">
        <f aca="false">F3431*G3431</f>
        <v>782</v>
      </c>
      <c r="I3431" s="6" t="s">
        <v>5130</v>
      </c>
    </row>
    <row r="3432" customFormat="false" ht="15" hidden="false" customHeight="false" outlineLevel="0" collapsed="false">
      <c r="A3432" s="6" t="s">
        <v>8655</v>
      </c>
      <c r="B3432" s="6" t="s">
        <v>1295</v>
      </c>
      <c r="C3432" s="26" t="n">
        <v>46140</v>
      </c>
      <c r="D3432" s="6" t="s">
        <v>5141</v>
      </c>
      <c r="E3432" s="6" t="s">
        <v>20</v>
      </c>
      <c r="F3432" s="6" t="n">
        <v>1</v>
      </c>
      <c r="G3432" s="10" t="n">
        <v>1835</v>
      </c>
      <c r="H3432" s="10" t="n">
        <f aca="false">F3432*G3432</f>
        <v>1835</v>
      </c>
      <c r="I3432" s="6" t="s">
        <v>5133</v>
      </c>
    </row>
    <row r="3433" customFormat="false" ht="15" hidden="false" customHeight="false" outlineLevel="0" collapsed="false">
      <c r="A3433" s="6" t="s">
        <v>8656</v>
      </c>
      <c r="B3433" s="6" t="s">
        <v>2311</v>
      </c>
      <c r="C3433" s="26" t="n">
        <v>46140</v>
      </c>
      <c r="D3433" s="6" t="s">
        <v>5121</v>
      </c>
      <c r="E3433" s="6" t="s">
        <v>22</v>
      </c>
      <c r="F3433" s="6" t="n">
        <v>1</v>
      </c>
      <c r="G3433" s="10" t="n">
        <v>928</v>
      </c>
      <c r="H3433" s="10" t="n">
        <f aca="false">F3433*G3433</f>
        <v>928</v>
      </c>
      <c r="I3433" s="6" t="s">
        <v>5148</v>
      </c>
    </row>
    <row r="3434" customFormat="false" ht="15" hidden="false" customHeight="false" outlineLevel="0" collapsed="false">
      <c r="A3434" s="6" t="s">
        <v>8657</v>
      </c>
      <c r="B3434" s="6" t="s">
        <v>571</v>
      </c>
      <c r="C3434" s="26" t="n">
        <v>46140</v>
      </c>
      <c r="D3434" s="6" t="s">
        <v>5132</v>
      </c>
      <c r="E3434" s="6" t="s">
        <v>23</v>
      </c>
      <c r="F3434" s="6" t="n">
        <v>2</v>
      </c>
      <c r="G3434" s="10" t="n">
        <v>342</v>
      </c>
      <c r="H3434" s="10" t="n">
        <f aca="false">F3434*G3434</f>
        <v>684</v>
      </c>
      <c r="I3434" s="6" t="s">
        <v>5148</v>
      </c>
    </row>
    <row r="3435" customFormat="false" ht="15" hidden="false" customHeight="false" outlineLevel="0" collapsed="false">
      <c r="A3435" s="6" t="s">
        <v>8658</v>
      </c>
      <c r="B3435" s="6" t="s">
        <v>4117</v>
      </c>
      <c r="C3435" s="26" t="n">
        <v>46140</v>
      </c>
      <c r="D3435" s="6" t="s">
        <v>5167</v>
      </c>
      <c r="E3435" s="6" t="s">
        <v>22</v>
      </c>
      <c r="F3435" s="6" t="n">
        <v>1</v>
      </c>
      <c r="G3435" s="10" t="n">
        <v>782</v>
      </c>
      <c r="H3435" s="10" t="n">
        <f aca="false">F3435*G3435</f>
        <v>782</v>
      </c>
      <c r="I3435" s="6" t="s">
        <v>5173</v>
      </c>
    </row>
    <row r="3436" customFormat="false" ht="15" hidden="false" customHeight="false" outlineLevel="0" collapsed="false">
      <c r="A3436" s="6" t="s">
        <v>8659</v>
      </c>
      <c r="B3436" s="6" t="s">
        <v>3485</v>
      </c>
      <c r="C3436" s="26" t="n">
        <v>46140</v>
      </c>
      <c r="D3436" s="6" t="s">
        <v>5220</v>
      </c>
      <c r="E3436" s="6" t="s">
        <v>24</v>
      </c>
      <c r="F3436" s="6" t="n">
        <v>2</v>
      </c>
      <c r="G3436" s="10" t="n">
        <v>1120</v>
      </c>
      <c r="H3436" s="10" t="n">
        <f aca="false">F3436*G3436</f>
        <v>2240</v>
      </c>
      <c r="I3436" s="6" t="s">
        <v>5122</v>
      </c>
    </row>
    <row r="3437" customFormat="false" ht="15" hidden="false" customHeight="false" outlineLevel="0" collapsed="false">
      <c r="A3437" s="6" t="s">
        <v>8660</v>
      </c>
      <c r="B3437" s="6" t="s">
        <v>3529</v>
      </c>
      <c r="C3437" s="26" t="n">
        <v>46140</v>
      </c>
      <c r="D3437" s="6" t="s">
        <v>5192</v>
      </c>
      <c r="E3437" s="6" t="s">
        <v>20</v>
      </c>
      <c r="F3437" s="6" t="n">
        <v>2</v>
      </c>
      <c r="G3437" s="10" t="n">
        <v>4078</v>
      </c>
      <c r="H3437" s="10" t="n">
        <f aca="false">F3437*G3437</f>
        <v>8156</v>
      </c>
      <c r="I3437" s="6" t="s">
        <v>5125</v>
      </c>
    </row>
    <row r="3438" customFormat="false" ht="15" hidden="false" customHeight="false" outlineLevel="0" collapsed="false">
      <c r="A3438" s="6" t="s">
        <v>8661</v>
      </c>
      <c r="B3438" s="6" t="s">
        <v>4137</v>
      </c>
      <c r="C3438" s="26" t="n">
        <v>46140</v>
      </c>
      <c r="D3438" s="6" t="s">
        <v>5171</v>
      </c>
      <c r="E3438" s="6" t="s">
        <v>23</v>
      </c>
      <c r="F3438" s="6" t="n">
        <v>3</v>
      </c>
      <c r="G3438" s="10" t="n">
        <v>734</v>
      </c>
      <c r="H3438" s="10" t="n">
        <f aca="false">F3438*G3438</f>
        <v>2202</v>
      </c>
      <c r="I3438" s="6" t="s">
        <v>5148</v>
      </c>
    </row>
    <row r="3439" customFormat="false" ht="15" hidden="false" customHeight="false" outlineLevel="0" collapsed="false">
      <c r="A3439" s="6" t="s">
        <v>8662</v>
      </c>
      <c r="B3439" s="6" t="s">
        <v>5065</v>
      </c>
      <c r="C3439" s="26" t="n">
        <v>46140</v>
      </c>
      <c r="D3439" s="6" t="s">
        <v>5163</v>
      </c>
      <c r="E3439" s="6" t="s">
        <v>23</v>
      </c>
      <c r="F3439" s="6" t="n">
        <v>3</v>
      </c>
      <c r="G3439" s="10" t="n">
        <v>744</v>
      </c>
      <c r="H3439" s="10" t="n">
        <f aca="false">F3439*G3439</f>
        <v>2232</v>
      </c>
      <c r="I3439" s="6" t="s">
        <v>5122</v>
      </c>
    </row>
    <row r="3440" customFormat="false" ht="15" hidden="false" customHeight="false" outlineLevel="0" collapsed="false">
      <c r="A3440" s="6" t="s">
        <v>8663</v>
      </c>
      <c r="B3440" s="6" t="s">
        <v>303</v>
      </c>
      <c r="C3440" s="26" t="n">
        <v>46141</v>
      </c>
      <c r="D3440" s="6" t="s">
        <v>5147</v>
      </c>
      <c r="E3440" s="6" t="s">
        <v>24</v>
      </c>
      <c r="F3440" s="6" t="n">
        <v>1</v>
      </c>
      <c r="G3440" s="10" t="n">
        <v>628</v>
      </c>
      <c r="H3440" s="10" t="n">
        <f aca="false">F3440*G3440</f>
        <v>628</v>
      </c>
      <c r="I3440" s="6" t="s">
        <v>5130</v>
      </c>
    </row>
    <row r="3441" customFormat="false" ht="15" hidden="false" customHeight="false" outlineLevel="0" collapsed="false">
      <c r="A3441" s="6" t="s">
        <v>8664</v>
      </c>
      <c r="B3441" s="6" t="s">
        <v>3985</v>
      </c>
      <c r="C3441" s="26" t="n">
        <v>46141</v>
      </c>
      <c r="D3441" s="6" t="s">
        <v>5202</v>
      </c>
      <c r="E3441" s="6" t="s">
        <v>23</v>
      </c>
      <c r="F3441" s="6" t="n">
        <v>1</v>
      </c>
      <c r="G3441" s="10" t="n">
        <v>219</v>
      </c>
      <c r="H3441" s="10" t="n">
        <f aca="false">F3441*G3441</f>
        <v>219</v>
      </c>
      <c r="I3441" s="6" t="s">
        <v>5148</v>
      </c>
    </row>
    <row r="3442" customFormat="false" ht="15" hidden="false" customHeight="false" outlineLevel="0" collapsed="false">
      <c r="A3442" s="6" t="s">
        <v>8665</v>
      </c>
      <c r="B3442" s="6" t="s">
        <v>4207</v>
      </c>
      <c r="C3442" s="26" t="n">
        <v>46141</v>
      </c>
      <c r="D3442" s="6" t="s">
        <v>5298</v>
      </c>
      <c r="E3442" s="6" t="s">
        <v>23</v>
      </c>
      <c r="F3442" s="6" t="n">
        <v>1</v>
      </c>
      <c r="G3442" s="10" t="n">
        <v>277</v>
      </c>
      <c r="H3442" s="10" t="n">
        <f aca="false">F3442*G3442</f>
        <v>277</v>
      </c>
      <c r="I3442" s="6" t="s">
        <v>5133</v>
      </c>
    </row>
    <row r="3443" customFormat="false" ht="15" hidden="false" customHeight="false" outlineLevel="0" collapsed="false">
      <c r="A3443" s="6" t="s">
        <v>8666</v>
      </c>
      <c r="B3443" s="6" t="s">
        <v>4727</v>
      </c>
      <c r="C3443" s="26" t="n">
        <v>46141</v>
      </c>
      <c r="D3443" s="6" t="s">
        <v>5197</v>
      </c>
      <c r="E3443" s="6" t="s">
        <v>21</v>
      </c>
      <c r="F3443" s="6" t="n">
        <v>1</v>
      </c>
      <c r="G3443" s="10" t="n">
        <v>1080</v>
      </c>
      <c r="H3443" s="10" t="n">
        <f aca="false">F3443*G3443</f>
        <v>1080</v>
      </c>
      <c r="I3443" s="6" t="s">
        <v>5122</v>
      </c>
    </row>
    <row r="3444" customFormat="false" ht="15" hidden="false" customHeight="false" outlineLevel="0" collapsed="false">
      <c r="A3444" s="6" t="s">
        <v>8667</v>
      </c>
      <c r="B3444" s="6" t="s">
        <v>2855</v>
      </c>
      <c r="C3444" s="26" t="n">
        <v>46141</v>
      </c>
      <c r="D3444" s="6" t="s">
        <v>5216</v>
      </c>
      <c r="E3444" s="6" t="s">
        <v>23</v>
      </c>
      <c r="F3444" s="6" t="n">
        <v>3</v>
      </c>
      <c r="G3444" s="10" t="n">
        <v>587</v>
      </c>
      <c r="H3444" s="10" t="n">
        <f aca="false">F3444*G3444</f>
        <v>1761</v>
      </c>
      <c r="I3444" s="6" t="s">
        <v>5133</v>
      </c>
    </row>
    <row r="3445" customFormat="false" ht="15" hidden="false" customHeight="false" outlineLevel="0" collapsed="false">
      <c r="A3445" s="6" t="s">
        <v>8668</v>
      </c>
      <c r="B3445" s="6" t="s">
        <v>1879</v>
      </c>
      <c r="C3445" s="26" t="n">
        <v>46141</v>
      </c>
      <c r="D3445" s="6" t="s">
        <v>5749</v>
      </c>
      <c r="E3445" s="6" t="s">
        <v>20</v>
      </c>
      <c r="F3445" s="6" t="n">
        <v>1</v>
      </c>
      <c r="G3445" s="10" t="n">
        <v>815</v>
      </c>
      <c r="H3445" s="10" t="n">
        <f aca="false">F3445*G3445</f>
        <v>815</v>
      </c>
      <c r="I3445" s="6" t="s">
        <v>5122</v>
      </c>
    </row>
    <row r="3446" customFormat="false" ht="15" hidden="false" customHeight="false" outlineLevel="0" collapsed="false">
      <c r="A3446" s="6" t="s">
        <v>8669</v>
      </c>
      <c r="B3446" s="6" t="s">
        <v>2033</v>
      </c>
      <c r="C3446" s="26" t="n">
        <v>46141</v>
      </c>
      <c r="D3446" s="6" t="s">
        <v>5807</v>
      </c>
      <c r="E3446" s="6" t="s">
        <v>20</v>
      </c>
      <c r="F3446" s="6" t="n">
        <v>1</v>
      </c>
      <c r="G3446" s="10" t="n">
        <v>15296</v>
      </c>
      <c r="H3446" s="10" t="n">
        <f aca="false">F3446*G3446</f>
        <v>15296</v>
      </c>
      <c r="I3446" s="6" t="s">
        <v>5122</v>
      </c>
    </row>
    <row r="3447" customFormat="false" ht="15" hidden="false" customHeight="false" outlineLevel="0" collapsed="false">
      <c r="A3447" s="6" t="s">
        <v>8670</v>
      </c>
      <c r="B3447" s="6" t="s">
        <v>3951</v>
      </c>
      <c r="C3447" s="26" t="n">
        <v>46141</v>
      </c>
      <c r="D3447" s="6" t="s">
        <v>5163</v>
      </c>
      <c r="E3447" s="6" t="s">
        <v>23</v>
      </c>
      <c r="F3447" s="6" t="n">
        <v>2</v>
      </c>
      <c r="G3447" s="10" t="n">
        <v>783</v>
      </c>
      <c r="H3447" s="10" t="n">
        <f aca="false">F3447*G3447</f>
        <v>1566</v>
      </c>
      <c r="I3447" s="6" t="s">
        <v>5122</v>
      </c>
    </row>
    <row r="3448" customFormat="false" ht="15" hidden="false" customHeight="false" outlineLevel="0" collapsed="false">
      <c r="A3448" s="6" t="s">
        <v>8671</v>
      </c>
      <c r="B3448" s="6" t="s">
        <v>4411</v>
      </c>
      <c r="C3448" s="26" t="n">
        <v>46141</v>
      </c>
      <c r="D3448" s="6" t="s">
        <v>5167</v>
      </c>
      <c r="E3448" s="6" t="s">
        <v>22</v>
      </c>
      <c r="F3448" s="6" t="n">
        <v>1</v>
      </c>
      <c r="G3448" s="10" t="n">
        <v>781</v>
      </c>
      <c r="H3448" s="10" t="n">
        <f aca="false">F3448*G3448</f>
        <v>781</v>
      </c>
      <c r="I3448" s="6" t="s">
        <v>5130</v>
      </c>
    </row>
    <row r="3449" customFormat="false" ht="15" hidden="false" customHeight="false" outlineLevel="0" collapsed="false">
      <c r="A3449" s="6" t="s">
        <v>8672</v>
      </c>
      <c r="B3449" s="6" t="s">
        <v>1263</v>
      </c>
      <c r="C3449" s="26" t="n">
        <v>46141</v>
      </c>
      <c r="D3449" s="6" t="s">
        <v>5269</v>
      </c>
      <c r="E3449" s="6" t="s">
        <v>22</v>
      </c>
      <c r="F3449" s="6" t="n">
        <v>3</v>
      </c>
      <c r="G3449" s="10" t="n">
        <v>1271</v>
      </c>
      <c r="H3449" s="10" t="n">
        <f aca="false">F3449*G3449</f>
        <v>3813</v>
      </c>
      <c r="I3449" s="6" t="s">
        <v>5148</v>
      </c>
    </row>
    <row r="3450" customFormat="false" ht="15" hidden="false" customHeight="false" outlineLevel="0" collapsed="false">
      <c r="A3450" s="6" t="s">
        <v>8673</v>
      </c>
      <c r="B3450" s="6" t="s">
        <v>3745</v>
      </c>
      <c r="C3450" s="26" t="n">
        <v>46141</v>
      </c>
      <c r="D3450" s="6" t="s">
        <v>5167</v>
      </c>
      <c r="E3450" s="6" t="s">
        <v>22</v>
      </c>
      <c r="F3450" s="6" t="n">
        <v>1</v>
      </c>
      <c r="G3450" s="10" t="n">
        <v>703</v>
      </c>
      <c r="H3450" s="10" t="n">
        <f aca="false">F3450*G3450</f>
        <v>703</v>
      </c>
      <c r="I3450" s="6" t="s">
        <v>5125</v>
      </c>
    </row>
    <row r="3451" customFormat="false" ht="15" hidden="false" customHeight="false" outlineLevel="0" collapsed="false">
      <c r="A3451" s="6" t="s">
        <v>8674</v>
      </c>
      <c r="B3451" s="6" t="s">
        <v>1367</v>
      </c>
      <c r="C3451" s="26" t="n">
        <v>46141</v>
      </c>
      <c r="D3451" s="6" t="s">
        <v>5143</v>
      </c>
      <c r="E3451" s="6" t="s">
        <v>21</v>
      </c>
      <c r="F3451" s="6" t="n">
        <v>1</v>
      </c>
      <c r="G3451" s="10" t="n">
        <v>1120</v>
      </c>
      <c r="H3451" s="10" t="n">
        <f aca="false">F3451*G3451</f>
        <v>1120</v>
      </c>
      <c r="I3451" s="6" t="s">
        <v>5122</v>
      </c>
    </row>
    <row r="3452" customFormat="false" ht="15" hidden="false" customHeight="false" outlineLevel="0" collapsed="false">
      <c r="A3452" s="6" t="s">
        <v>8675</v>
      </c>
      <c r="B3452" s="6" t="s">
        <v>1803</v>
      </c>
      <c r="C3452" s="26" t="n">
        <v>46141</v>
      </c>
      <c r="D3452" s="6" t="s">
        <v>5398</v>
      </c>
      <c r="E3452" s="6" t="s">
        <v>24</v>
      </c>
      <c r="F3452" s="6" t="n">
        <v>3</v>
      </c>
      <c r="G3452" s="10" t="n">
        <v>580</v>
      </c>
      <c r="H3452" s="10" t="n">
        <f aca="false">F3452*G3452</f>
        <v>1740</v>
      </c>
      <c r="I3452" s="6" t="s">
        <v>5125</v>
      </c>
    </row>
    <row r="3453" customFormat="false" ht="15" hidden="false" customHeight="false" outlineLevel="0" collapsed="false">
      <c r="A3453" s="6" t="s">
        <v>8676</v>
      </c>
      <c r="B3453" s="6" t="s">
        <v>366</v>
      </c>
      <c r="C3453" s="26" t="n">
        <v>46141</v>
      </c>
      <c r="D3453" s="6" t="s">
        <v>5165</v>
      </c>
      <c r="E3453" s="6" t="s">
        <v>22</v>
      </c>
      <c r="F3453" s="6" t="n">
        <v>2</v>
      </c>
      <c r="G3453" s="10" t="n">
        <v>977</v>
      </c>
      <c r="H3453" s="10" t="n">
        <f aca="false">F3453*G3453</f>
        <v>1954</v>
      </c>
      <c r="I3453" s="6" t="s">
        <v>5122</v>
      </c>
    </row>
    <row r="3454" customFormat="false" ht="15" hidden="false" customHeight="false" outlineLevel="0" collapsed="false">
      <c r="A3454" s="6" t="s">
        <v>8677</v>
      </c>
      <c r="B3454" s="6" t="s">
        <v>311</v>
      </c>
      <c r="C3454" s="26" t="n">
        <v>46141</v>
      </c>
      <c r="D3454" s="6" t="s">
        <v>5141</v>
      </c>
      <c r="E3454" s="6" t="s">
        <v>20</v>
      </c>
      <c r="F3454" s="6" t="n">
        <v>1</v>
      </c>
      <c r="G3454" s="10" t="n">
        <v>1743</v>
      </c>
      <c r="H3454" s="10" t="n">
        <f aca="false">F3454*G3454</f>
        <v>1743</v>
      </c>
      <c r="I3454" s="6" t="s">
        <v>5122</v>
      </c>
    </row>
    <row r="3455" customFormat="false" ht="15" hidden="false" customHeight="false" outlineLevel="0" collapsed="false">
      <c r="A3455" s="6" t="s">
        <v>8678</v>
      </c>
      <c r="B3455" s="6" t="s">
        <v>2191</v>
      </c>
      <c r="C3455" s="26" t="n">
        <v>46141</v>
      </c>
      <c r="D3455" s="6" t="s">
        <v>5150</v>
      </c>
      <c r="E3455" s="6" t="s">
        <v>24</v>
      </c>
      <c r="F3455" s="6" t="n">
        <v>1</v>
      </c>
      <c r="G3455" s="10" t="n">
        <v>508</v>
      </c>
      <c r="H3455" s="10" t="n">
        <f aca="false">F3455*G3455</f>
        <v>508</v>
      </c>
      <c r="I3455" s="6" t="s">
        <v>5122</v>
      </c>
    </row>
    <row r="3456" customFormat="false" ht="15" hidden="false" customHeight="false" outlineLevel="0" collapsed="false">
      <c r="A3456" s="6" t="s">
        <v>8679</v>
      </c>
      <c r="B3456" s="6" t="s">
        <v>1673</v>
      </c>
      <c r="C3456" s="26" t="n">
        <v>46141</v>
      </c>
      <c r="D3456" s="6" t="s">
        <v>5220</v>
      </c>
      <c r="E3456" s="6" t="s">
        <v>24</v>
      </c>
      <c r="F3456" s="6" t="n">
        <v>3</v>
      </c>
      <c r="G3456" s="10" t="n">
        <v>1120</v>
      </c>
      <c r="H3456" s="10" t="n">
        <f aca="false">F3456*G3456</f>
        <v>3360</v>
      </c>
      <c r="I3456" s="6" t="s">
        <v>5130</v>
      </c>
    </row>
    <row r="3457" customFormat="false" ht="15" hidden="false" customHeight="false" outlineLevel="0" collapsed="false">
      <c r="A3457" s="6" t="s">
        <v>8680</v>
      </c>
      <c r="B3457" s="6" t="s">
        <v>2487</v>
      </c>
      <c r="C3457" s="26" t="n">
        <v>46141</v>
      </c>
      <c r="D3457" s="6" t="s">
        <v>5281</v>
      </c>
      <c r="E3457" s="6" t="s">
        <v>24</v>
      </c>
      <c r="F3457" s="6" t="n">
        <v>2</v>
      </c>
      <c r="G3457" s="10" t="n">
        <v>814</v>
      </c>
      <c r="H3457" s="10" t="n">
        <f aca="false">F3457*G3457</f>
        <v>1628</v>
      </c>
      <c r="I3457" s="6" t="s">
        <v>5122</v>
      </c>
    </row>
    <row r="3458" customFormat="false" ht="15" hidden="false" customHeight="false" outlineLevel="0" collapsed="false">
      <c r="A3458" s="6" t="s">
        <v>8681</v>
      </c>
      <c r="B3458" s="6" t="s">
        <v>731</v>
      </c>
      <c r="C3458" s="26" t="n">
        <v>46141</v>
      </c>
      <c r="D3458" s="6" t="s">
        <v>5345</v>
      </c>
      <c r="E3458" s="6" t="s">
        <v>23</v>
      </c>
      <c r="F3458" s="6" t="n">
        <v>2</v>
      </c>
      <c r="G3458" s="10" t="n">
        <v>436</v>
      </c>
      <c r="H3458" s="10" t="n">
        <f aca="false">F3458*G3458</f>
        <v>872</v>
      </c>
      <c r="I3458" s="6" t="s">
        <v>5130</v>
      </c>
    </row>
    <row r="3459" customFormat="false" ht="15" hidden="false" customHeight="false" outlineLevel="0" collapsed="false">
      <c r="A3459" s="6" t="s">
        <v>8682</v>
      </c>
      <c r="B3459" s="6" t="s">
        <v>3331</v>
      </c>
      <c r="C3459" s="26" t="n">
        <v>46141</v>
      </c>
      <c r="D3459" s="6" t="s">
        <v>5171</v>
      </c>
      <c r="E3459" s="6" t="s">
        <v>23</v>
      </c>
      <c r="F3459" s="6" t="n">
        <v>1</v>
      </c>
      <c r="G3459" s="10" t="n">
        <v>697</v>
      </c>
      <c r="H3459" s="10" t="n">
        <f aca="false">F3459*G3459</f>
        <v>697</v>
      </c>
      <c r="I3459" s="6" t="s">
        <v>5122</v>
      </c>
    </row>
    <row r="3460" customFormat="false" ht="15" hidden="false" customHeight="false" outlineLevel="0" collapsed="false">
      <c r="A3460" s="6" t="s">
        <v>8683</v>
      </c>
      <c r="B3460" s="6" t="s">
        <v>1303</v>
      </c>
      <c r="C3460" s="26" t="n">
        <v>46141</v>
      </c>
      <c r="D3460" s="6" t="s">
        <v>5749</v>
      </c>
      <c r="E3460" s="6" t="s">
        <v>20</v>
      </c>
      <c r="F3460" s="6" t="n">
        <v>1</v>
      </c>
      <c r="G3460" s="10" t="n">
        <v>733</v>
      </c>
      <c r="H3460" s="10" t="n">
        <f aca="false">F3460*G3460</f>
        <v>733</v>
      </c>
      <c r="I3460" s="6" t="s">
        <v>5130</v>
      </c>
    </row>
    <row r="3461" customFormat="false" ht="15" hidden="false" customHeight="false" outlineLevel="0" collapsed="false">
      <c r="A3461" s="6" t="s">
        <v>8684</v>
      </c>
      <c r="B3461" s="6" t="s">
        <v>4937</v>
      </c>
      <c r="C3461" s="26" t="n">
        <v>46141</v>
      </c>
      <c r="D3461" s="6" t="s">
        <v>5290</v>
      </c>
      <c r="E3461" s="6" t="s">
        <v>23</v>
      </c>
      <c r="F3461" s="6" t="n">
        <v>4</v>
      </c>
      <c r="G3461" s="10" t="n">
        <v>118</v>
      </c>
      <c r="H3461" s="10" t="n">
        <f aca="false">F3461*G3461</f>
        <v>472</v>
      </c>
      <c r="I3461" s="6" t="s">
        <v>5125</v>
      </c>
    </row>
    <row r="3462" customFormat="false" ht="15" hidden="false" customHeight="false" outlineLevel="0" collapsed="false">
      <c r="A3462" s="6" t="s">
        <v>8685</v>
      </c>
      <c r="B3462" s="6" t="s">
        <v>2037</v>
      </c>
      <c r="C3462" s="26" t="n">
        <v>46141</v>
      </c>
      <c r="D3462" s="6" t="s">
        <v>5180</v>
      </c>
      <c r="E3462" s="6" t="s">
        <v>24</v>
      </c>
      <c r="F3462" s="6" t="n">
        <v>1</v>
      </c>
      <c r="G3462" s="10" t="n">
        <v>1888</v>
      </c>
      <c r="H3462" s="10" t="n">
        <f aca="false">F3462*G3462</f>
        <v>1888</v>
      </c>
      <c r="I3462" s="6" t="s">
        <v>5122</v>
      </c>
    </row>
    <row r="3463" customFormat="false" ht="15" hidden="false" customHeight="false" outlineLevel="0" collapsed="false">
      <c r="A3463" s="6" t="s">
        <v>8686</v>
      </c>
      <c r="B3463" s="6" t="s">
        <v>2807</v>
      </c>
      <c r="C3463" s="26" t="n">
        <v>46141</v>
      </c>
      <c r="D3463" s="6" t="s">
        <v>5242</v>
      </c>
      <c r="E3463" s="6" t="s">
        <v>23</v>
      </c>
      <c r="F3463" s="6" t="n">
        <v>1</v>
      </c>
      <c r="G3463" s="10" t="n">
        <v>371</v>
      </c>
      <c r="H3463" s="10" t="n">
        <f aca="false">F3463*G3463</f>
        <v>371</v>
      </c>
      <c r="I3463" s="6" t="s">
        <v>5122</v>
      </c>
    </row>
    <row r="3464" customFormat="false" ht="15" hidden="false" customHeight="false" outlineLevel="0" collapsed="false">
      <c r="A3464" s="6" t="s">
        <v>8687</v>
      </c>
      <c r="B3464" s="6" t="s">
        <v>2369</v>
      </c>
      <c r="C3464" s="26" t="n">
        <v>46141</v>
      </c>
      <c r="D3464" s="6" t="s">
        <v>5214</v>
      </c>
      <c r="E3464" s="6" t="s">
        <v>20</v>
      </c>
      <c r="F3464" s="6" t="n">
        <v>2</v>
      </c>
      <c r="G3464" s="10" t="n">
        <v>2039</v>
      </c>
      <c r="H3464" s="10" t="n">
        <f aca="false">F3464*G3464</f>
        <v>4078</v>
      </c>
      <c r="I3464" s="6" t="s">
        <v>5148</v>
      </c>
    </row>
    <row r="3465" customFormat="false" ht="15" hidden="false" customHeight="false" outlineLevel="0" collapsed="false">
      <c r="A3465" s="6" t="s">
        <v>8688</v>
      </c>
      <c r="B3465" s="6" t="s">
        <v>3255</v>
      </c>
      <c r="C3465" s="26" t="n">
        <v>46141</v>
      </c>
      <c r="D3465" s="6" t="s">
        <v>5121</v>
      </c>
      <c r="E3465" s="6" t="s">
        <v>22</v>
      </c>
      <c r="F3465" s="6" t="n">
        <v>1</v>
      </c>
      <c r="G3465" s="10" t="n">
        <v>879</v>
      </c>
      <c r="H3465" s="10" t="n">
        <f aca="false">F3465*G3465</f>
        <v>879</v>
      </c>
      <c r="I3465" s="6" t="s">
        <v>5148</v>
      </c>
    </row>
    <row r="3466" customFormat="false" ht="15" hidden="false" customHeight="false" outlineLevel="0" collapsed="false">
      <c r="A3466" s="6" t="s">
        <v>8689</v>
      </c>
      <c r="B3466" s="6" t="s">
        <v>3445</v>
      </c>
      <c r="C3466" s="26" t="n">
        <v>46141</v>
      </c>
      <c r="D3466" s="6" t="s">
        <v>5165</v>
      </c>
      <c r="E3466" s="6" t="s">
        <v>22</v>
      </c>
      <c r="F3466" s="6" t="n">
        <v>1</v>
      </c>
      <c r="G3466" s="10" t="n">
        <v>880</v>
      </c>
      <c r="H3466" s="10" t="n">
        <f aca="false">F3466*G3466</f>
        <v>880</v>
      </c>
      <c r="I3466" s="6" t="s">
        <v>5148</v>
      </c>
    </row>
    <row r="3467" customFormat="false" ht="15" hidden="false" customHeight="false" outlineLevel="0" collapsed="false">
      <c r="A3467" s="6" t="s">
        <v>8690</v>
      </c>
      <c r="B3467" s="6" t="s">
        <v>1143</v>
      </c>
      <c r="C3467" s="26" t="n">
        <v>46142</v>
      </c>
      <c r="D3467" s="6" t="s">
        <v>5137</v>
      </c>
      <c r="E3467" s="6" t="s">
        <v>21</v>
      </c>
      <c r="F3467" s="6" t="n">
        <v>1</v>
      </c>
      <c r="G3467" s="10" t="n">
        <v>1768</v>
      </c>
      <c r="H3467" s="10" t="n">
        <f aca="false">F3467*G3467</f>
        <v>1768</v>
      </c>
      <c r="I3467" s="6" t="s">
        <v>5122</v>
      </c>
    </row>
    <row r="3468" customFormat="false" ht="15" hidden="false" customHeight="false" outlineLevel="0" collapsed="false">
      <c r="A3468" s="6" t="s">
        <v>8691</v>
      </c>
      <c r="B3468" s="6" t="s">
        <v>1999</v>
      </c>
      <c r="C3468" s="26" t="n">
        <v>46142</v>
      </c>
      <c r="D3468" s="6" t="s">
        <v>5143</v>
      </c>
      <c r="E3468" s="6" t="s">
        <v>21</v>
      </c>
      <c r="F3468" s="6" t="n">
        <v>1</v>
      </c>
      <c r="G3468" s="10" t="n">
        <v>1061</v>
      </c>
      <c r="H3468" s="10" t="n">
        <f aca="false">F3468*G3468</f>
        <v>1061</v>
      </c>
      <c r="I3468" s="6" t="s">
        <v>5148</v>
      </c>
    </row>
    <row r="3469" customFormat="false" ht="15" hidden="false" customHeight="false" outlineLevel="0" collapsed="false">
      <c r="A3469" s="6" t="s">
        <v>8692</v>
      </c>
      <c r="B3469" s="6" t="s">
        <v>3153</v>
      </c>
      <c r="C3469" s="26" t="n">
        <v>46142</v>
      </c>
      <c r="D3469" s="6" t="s">
        <v>5124</v>
      </c>
      <c r="E3469" s="6" t="s">
        <v>21</v>
      </c>
      <c r="F3469" s="6" t="n">
        <v>1</v>
      </c>
      <c r="G3469" s="10" t="n">
        <v>3095</v>
      </c>
      <c r="H3469" s="10" t="n">
        <f aca="false">F3469*G3469</f>
        <v>3095</v>
      </c>
      <c r="I3469" s="6" t="s">
        <v>5122</v>
      </c>
    </row>
    <row r="3470" customFormat="false" ht="15" hidden="false" customHeight="false" outlineLevel="0" collapsed="false">
      <c r="A3470" s="6" t="s">
        <v>8693</v>
      </c>
      <c r="B3470" s="6" t="s">
        <v>3941</v>
      </c>
      <c r="C3470" s="26" t="n">
        <v>46142</v>
      </c>
      <c r="D3470" s="6" t="s">
        <v>5121</v>
      </c>
      <c r="E3470" s="6" t="s">
        <v>22</v>
      </c>
      <c r="F3470" s="6" t="n">
        <v>1</v>
      </c>
      <c r="G3470" s="10" t="n">
        <v>977</v>
      </c>
      <c r="H3470" s="10" t="n">
        <f aca="false">F3470*G3470</f>
        <v>977</v>
      </c>
      <c r="I3470" s="6" t="s">
        <v>5122</v>
      </c>
    </row>
    <row r="3471" customFormat="false" ht="15" hidden="false" customHeight="false" outlineLevel="0" collapsed="false">
      <c r="A3471" s="6" t="s">
        <v>8694</v>
      </c>
      <c r="B3471" s="6" t="s">
        <v>4313</v>
      </c>
      <c r="C3471" s="26" t="n">
        <v>46142</v>
      </c>
      <c r="D3471" s="6" t="s">
        <v>5482</v>
      </c>
      <c r="E3471" s="6" t="s">
        <v>23</v>
      </c>
      <c r="F3471" s="6" t="n">
        <v>2</v>
      </c>
      <c r="G3471" s="10" t="n">
        <v>256</v>
      </c>
      <c r="H3471" s="10" t="n">
        <f aca="false">F3471*G3471</f>
        <v>512</v>
      </c>
      <c r="I3471" s="6" t="s">
        <v>5125</v>
      </c>
    </row>
    <row r="3472" customFormat="false" ht="15" hidden="false" customHeight="false" outlineLevel="0" collapsed="false">
      <c r="A3472" s="6" t="s">
        <v>8695</v>
      </c>
      <c r="B3472" s="6" t="s">
        <v>4159</v>
      </c>
      <c r="C3472" s="26" t="n">
        <v>46142</v>
      </c>
      <c r="D3472" s="6" t="s">
        <v>5167</v>
      </c>
      <c r="E3472" s="6" t="s">
        <v>22</v>
      </c>
      <c r="F3472" s="6" t="n">
        <v>3</v>
      </c>
      <c r="G3472" s="10" t="n">
        <v>782</v>
      </c>
      <c r="H3472" s="10" t="n">
        <f aca="false">F3472*G3472</f>
        <v>2346</v>
      </c>
      <c r="I3472" s="6" t="s">
        <v>5148</v>
      </c>
    </row>
    <row r="3473" customFormat="false" ht="15" hidden="false" customHeight="false" outlineLevel="0" collapsed="false">
      <c r="A3473" s="6" t="s">
        <v>8696</v>
      </c>
      <c r="B3473" s="6" t="s">
        <v>1309</v>
      </c>
      <c r="C3473" s="26" t="n">
        <v>46142</v>
      </c>
      <c r="D3473" s="6" t="s">
        <v>5345</v>
      </c>
      <c r="E3473" s="6" t="s">
        <v>23</v>
      </c>
      <c r="F3473" s="6" t="n">
        <v>3</v>
      </c>
      <c r="G3473" s="10" t="n">
        <v>392</v>
      </c>
      <c r="H3473" s="10" t="n">
        <f aca="false">F3473*G3473</f>
        <v>1176</v>
      </c>
      <c r="I3473" s="6" t="s">
        <v>5122</v>
      </c>
    </row>
    <row r="3474" customFormat="false" ht="15" hidden="false" customHeight="false" outlineLevel="0" collapsed="false">
      <c r="A3474" s="6" t="s">
        <v>8697</v>
      </c>
      <c r="B3474" s="6" t="s">
        <v>2755</v>
      </c>
      <c r="C3474" s="26" t="n">
        <v>46142</v>
      </c>
      <c r="D3474" s="6" t="s">
        <v>5163</v>
      </c>
      <c r="E3474" s="6" t="s">
        <v>23</v>
      </c>
      <c r="F3474" s="6" t="n">
        <v>3</v>
      </c>
      <c r="G3474" s="10" t="n">
        <v>783</v>
      </c>
      <c r="H3474" s="10" t="n">
        <f aca="false">F3474*G3474</f>
        <v>2349</v>
      </c>
      <c r="I3474" s="6" t="s">
        <v>5133</v>
      </c>
    </row>
    <row r="3475" customFormat="false" ht="15" hidden="false" customHeight="false" outlineLevel="0" collapsed="false">
      <c r="A3475" s="6" t="s">
        <v>8698</v>
      </c>
      <c r="B3475" s="6" t="s">
        <v>2349</v>
      </c>
      <c r="C3475" s="26" t="n">
        <v>46142</v>
      </c>
      <c r="D3475" s="6" t="s">
        <v>5121</v>
      </c>
      <c r="E3475" s="6" t="s">
        <v>22</v>
      </c>
      <c r="F3475" s="6" t="n">
        <v>2</v>
      </c>
      <c r="G3475" s="10" t="n">
        <v>928</v>
      </c>
      <c r="H3475" s="10" t="n">
        <f aca="false">F3475*G3475</f>
        <v>1856</v>
      </c>
      <c r="I3475" s="6" t="s">
        <v>5122</v>
      </c>
    </row>
    <row r="3476" customFormat="false" ht="15" hidden="false" customHeight="false" outlineLevel="0" collapsed="false">
      <c r="A3476" s="6" t="s">
        <v>8699</v>
      </c>
      <c r="B3476" s="6" t="s">
        <v>3033</v>
      </c>
      <c r="C3476" s="26" t="n">
        <v>46142</v>
      </c>
      <c r="D3476" s="6" t="s">
        <v>5167</v>
      </c>
      <c r="E3476" s="6" t="s">
        <v>22</v>
      </c>
      <c r="F3476" s="6" t="n">
        <v>1</v>
      </c>
      <c r="G3476" s="10" t="n">
        <v>703</v>
      </c>
      <c r="H3476" s="10" t="n">
        <f aca="false">F3476*G3476</f>
        <v>703</v>
      </c>
      <c r="I3476" s="6" t="s">
        <v>5148</v>
      </c>
    </row>
    <row r="3477" customFormat="false" ht="15" hidden="false" customHeight="false" outlineLevel="0" collapsed="false">
      <c r="A3477" s="6" t="s">
        <v>8700</v>
      </c>
      <c r="B3477" s="6" t="s">
        <v>4869</v>
      </c>
      <c r="C3477" s="26" t="n">
        <v>46142</v>
      </c>
      <c r="D3477" s="6" t="s">
        <v>5121</v>
      </c>
      <c r="E3477" s="6" t="s">
        <v>22</v>
      </c>
      <c r="F3477" s="6" t="n">
        <v>2</v>
      </c>
      <c r="G3477" s="10" t="n">
        <v>977</v>
      </c>
      <c r="H3477" s="10" t="n">
        <f aca="false">F3477*G3477</f>
        <v>1954</v>
      </c>
      <c r="I3477" s="6" t="s">
        <v>5122</v>
      </c>
    </row>
    <row r="3478" customFormat="false" ht="15" hidden="false" customHeight="false" outlineLevel="0" collapsed="false">
      <c r="A3478" s="6" t="s">
        <v>8701</v>
      </c>
      <c r="B3478" s="6" t="s">
        <v>3687</v>
      </c>
      <c r="C3478" s="26" t="n">
        <v>46142</v>
      </c>
      <c r="D3478" s="6" t="s">
        <v>5132</v>
      </c>
      <c r="E3478" s="6" t="s">
        <v>23</v>
      </c>
      <c r="F3478" s="6" t="n">
        <v>4</v>
      </c>
      <c r="G3478" s="10" t="n">
        <v>342</v>
      </c>
      <c r="H3478" s="10" t="n">
        <f aca="false">F3478*G3478</f>
        <v>1368</v>
      </c>
      <c r="I3478" s="6" t="s">
        <v>5130</v>
      </c>
    </row>
    <row r="3479" customFormat="false" ht="15" hidden="false" customHeight="false" outlineLevel="0" collapsed="false">
      <c r="A3479" s="6" t="s">
        <v>8702</v>
      </c>
      <c r="B3479" s="6" t="s">
        <v>3829</v>
      </c>
      <c r="C3479" s="26" t="n">
        <v>46142</v>
      </c>
      <c r="D3479" s="6" t="s">
        <v>5837</v>
      </c>
      <c r="E3479" s="6" t="s">
        <v>21</v>
      </c>
      <c r="F3479" s="6" t="n">
        <v>2</v>
      </c>
      <c r="G3479" s="10" t="n">
        <v>2800</v>
      </c>
      <c r="H3479" s="10" t="n">
        <f aca="false">F3479*G3479</f>
        <v>5600</v>
      </c>
      <c r="I3479" s="6" t="s">
        <v>5130</v>
      </c>
    </row>
    <row r="3480" customFormat="false" ht="15" hidden="false" customHeight="false" outlineLevel="0" collapsed="false">
      <c r="A3480" s="6" t="s">
        <v>8703</v>
      </c>
      <c r="B3480" s="6" t="s">
        <v>3739</v>
      </c>
      <c r="C3480" s="26" t="n">
        <v>46142</v>
      </c>
      <c r="D3480" s="6" t="s">
        <v>5339</v>
      </c>
      <c r="E3480" s="6" t="s">
        <v>24</v>
      </c>
      <c r="F3480" s="6" t="n">
        <v>2</v>
      </c>
      <c r="G3480" s="10" t="n">
        <v>508</v>
      </c>
      <c r="H3480" s="10" t="n">
        <f aca="false">F3480*G3480</f>
        <v>1016</v>
      </c>
      <c r="I3480" s="6" t="s">
        <v>5133</v>
      </c>
    </row>
    <row r="3481" customFormat="false" ht="15" hidden="false" customHeight="false" outlineLevel="0" collapsed="false">
      <c r="A3481" s="6" t="s">
        <v>8704</v>
      </c>
      <c r="B3481" s="6" t="s">
        <v>513</v>
      </c>
      <c r="C3481" s="26" t="n">
        <v>46142</v>
      </c>
      <c r="D3481" s="6" t="s">
        <v>5158</v>
      </c>
      <c r="E3481" s="6" t="s">
        <v>24</v>
      </c>
      <c r="F3481" s="6" t="n">
        <v>2</v>
      </c>
      <c r="G3481" s="10" t="n">
        <v>433</v>
      </c>
      <c r="H3481" s="10" t="n">
        <f aca="false">F3481*G3481</f>
        <v>866</v>
      </c>
      <c r="I3481" s="6" t="s">
        <v>5125</v>
      </c>
    </row>
    <row r="3482" customFormat="false" ht="15" hidden="false" customHeight="false" outlineLevel="0" collapsed="false">
      <c r="A3482" s="6" t="s">
        <v>8705</v>
      </c>
      <c r="B3482" s="6" t="s">
        <v>4529</v>
      </c>
      <c r="C3482" s="26" t="n">
        <v>46142</v>
      </c>
      <c r="D3482" s="6" t="s">
        <v>5410</v>
      </c>
      <c r="E3482" s="6" t="s">
        <v>20</v>
      </c>
      <c r="F3482" s="6" t="n">
        <v>1</v>
      </c>
      <c r="G3482" s="10" t="n">
        <v>2421</v>
      </c>
      <c r="H3482" s="10" t="n">
        <f aca="false">F3482*G3482</f>
        <v>2421</v>
      </c>
      <c r="I3482" s="6" t="s">
        <v>5130</v>
      </c>
    </row>
    <row r="3483" customFormat="false" ht="15" hidden="false" customHeight="false" outlineLevel="0" collapsed="false">
      <c r="A3483" s="6" t="s">
        <v>8706</v>
      </c>
      <c r="B3483" s="6" t="s">
        <v>635</v>
      </c>
      <c r="C3483" s="26" t="n">
        <v>46142</v>
      </c>
      <c r="D3483" s="6" t="s">
        <v>5216</v>
      </c>
      <c r="E3483" s="6" t="s">
        <v>23</v>
      </c>
      <c r="F3483" s="6" t="n">
        <v>4</v>
      </c>
      <c r="G3483" s="10" t="n">
        <v>558</v>
      </c>
      <c r="H3483" s="10" t="n">
        <f aca="false">F3483*G3483</f>
        <v>2232</v>
      </c>
      <c r="I3483" s="6" t="s">
        <v>5133</v>
      </c>
    </row>
    <row r="3484" customFormat="false" ht="15" hidden="false" customHeight="false" outlineLevel="0" collapsed="false">
      <c r="A3484" s="6" t="s">
        <v>8707</v>
      </c>
      <c r="B3484" s="6" t="s">
        <v>2445</v>
      </c>
      <c r="C3484" s="26" t="n">
        <v>46142</v>
      </c>
      <c r="D3484" s="6" t="s">
        <v>5147</v>
      </c>
      <c r="E3484" s="6" t="s">
        <v>24</v>
      </c>
      <c r="F3484" s="6" t="n">
        <v>1</v>
      </c>
      <c r="G3484" s="10" t="n">
        <v>595</v>
      </c>
      <c r="H3484" s="10" t="n">
        <f aca="false">F3484*G3484</f>
        <v>595</v>
      </c>
      <c r="I3484" s="6" t="s">
        <v>5148</v>
      </c>
    </row>
    <row r="3485" customFormat="false" ht="15" hidden="false" customHeight="false" outlineLevel="0" collapsed="false">
      <c r="A3485" s="6" t="s">
        <v>8708</v>
      </c>
      <c r="B3485" s="6" t="s">
        <v>3495</v>
      </c>
      <c r="C3485" s="26" t="n">
        <v>46142</v>
      </c>
      <c r="D3485" s="6" t="s">
        <v>5163</v>
      </c>
      <c r="E3485" s="6" t="s">
        <v>23</v>
      </c>
      <c r="F3485" s="6" t="n">
        <v>5</v>
      </c>
      <c r="G3485" s="10" t="n">
        <v>744</v>
      </c>
      <c r="H3485" s="10" t="n">
        <f aca="false">F3485*G3485</f>
        <v>3720</v>
      </c>
      <c r="I3485" s="6" t="s">
        <v>5130</v>
      </c>
    </row>
    <row r="3486" customFormat="false" ht="15" hidden="false" customHeight="false" outlineLevel="0" collapsed="false">
      <c r="A3486" s="6" t="s">
        <v>8709</v>
      </c>
      <c r="B3486" s="6" t="s">
        <v>3143</v>
      </c>
      <c r="C3486" s="26" t="n">
        <v>46142</v>
      </c>
      <c r="D3486" s="6" t="s">
        <v>5216</v>
      </c>
      <c r="E3486" s="6" t="s">
        <v>23</v>
      </c>
      <c r="F3486" s="6" t="n">
        <v>1</v>
      </c>
      <c r="G3486" s="10" t="n">
        <v>527</v>
      </c>
      <c r="H3486" s="10" t="n">
        <f aca="false">F3486*G3486</f>
        <v>527</v>
      </c>
      <c r="I3486" s="6" t="s">
        <v>5130</v>
      </c>
    </row>
    <row r="3487" customFormat="false" ht="15" hidden="false" customHeight="false" outlineLevel="0" collapsed="false">
      <c r="A3487" s="6" t="s">
        <v>8710</v>
      </c>
      <c r="B3487" s="6" t="s">
        <v>3745</v>
      </c>
      <c r="C3487" s="26" t="n">
        <v>46142</v>
      </c>
      <c r="D3487" s="6" t="s">
        <v>5749</v>
      </c>
      <c r="E3487" s="6" t="s">
        <v>20</v>
      </c>
      <c r="F3487" s="6" t="n">
        <v>1</v>
      </c>
      <c r="G3487" s="10" t="n">
        <v>815</v>
      </c>
      <c r="H3487" s="10" t="n">
        <f aca="false">F3487*G3487</f>
        <v>815</v>
      </c>
      <c r="I3487" s="6" t="s">
        <v>5122</v>
      </c>
    </row>
    <row r="3488" customFormat="false" ht="15" hidden="false" customHeight="false" outlineLevel="0" collapsed="false">
      <c r="A3488" s="6" t="s">
        <v>8711</v>
      </c>
      <c r="B3488" s="6" t="s">
        <v>3757</v>
      </c>
      <c r="C3488" s="26" t="n">
        <v>46142</v>
      </c>
      <c r="D3488" s="6" t="s">
        <v>5182</v>
      </c>
      <c r="E3488" s="6" t="s">
        <v>23</v>
      </c>
      <c r="F3488" s="6" t="n">
        <v>2</v>
      </c>
      <c r="G3488" s="10" t="n">
        <v>367</v>
      </c>
      <c r="H3488" s="10" t="n">
        <f aca="false">F3488*G3488</f>
        <v>734</v>
      </c>
      <c r="I3488" s="6" t="s">
        <v>5148</v>
      </c>
    </row>
    <row r="3489" customFormat="false" ht="15" hidden="false" customHeight="false" outlineLevel="0" collapsed="false">
      <c r="A3489" s="6" t="s">
        <v>8712</v>
      </c>
      <c r="B3489" s="6" t="s">
        <v>4221</v>
      </c>
      <c r="C3489" s="26" t="n">
        <v>46142</v>
      </c>
      <c r="D3489" s="6" t="s">
        <v>5121</v>
      </c>
      <c r="E3489" s="6" t="s">
        <v>22</v>
      </c>
      <c r="F3489" s="6" t="n">
        <v>1</v>
      </c>
      <c r="G3489" s="10" t="n">
        <v>879</v>
      </c>
      <c r="H3489" s="10" t="n">
        <f aca="false">F3489*G3489</f>
        <v>879</v>
      </c>
      <c r="I3489" s="6" t="s">
        <v>5125</v>
      </c>
    </row>
    <row r="3490" customFormat="false" ht="15" hidden="false" customHeight="false" outlineLevel="0" collapsed="false">
      <c r="A3490" s="6" t="s">
        <v>8713</v>
      </c>
      <c r="B3490" s="6" t="s">
        <v>2863</v>
      </c>
      <c r="C3490" s="26" t="n">
        <v>46142</v>
      </c>
      <c r="D3490" s="6" t="s">
        <v>5218</v>
      </c>
      <c r="E3490" s="6" t="s">
        <v>23</v>
      </c>
      <c r="F3490" s="6" t="n">
        <v>3</v>
      </c>
      <c r="G3490" s="10" t="n">
        <v>156</v>
      </c>
      <c r="H3490" s="10" t="n">
        <f aca="false">F3490*G3490</f>
        <v>468</v>
      </c>
      <c r="I3490" s="6" t="s">
        <v>5130</v>
      </c>
    </row>
    <row r="3491" customFormat="false" ht="15" hidden="false" customHeight="false" outlineLevel="0" collapsed="false">
      <c r="A3491" s="6" t="s">
        <v>8714</v>
      </c>
      <c r="B3491" s="6" t="s">
        <v>4891</v>
      </c>
      <c r="C3491" s="26" t="n">
        <v>46142</v>
      </c>
      <c r="D3491" s="6" t="s">
        <v>5132</v>
      </c>
      <c r="E3491" s="6" t="s">
        <v>23</v>
      </c>
      <c r="F3491" s="6" t="n">
        <v>3</v>
      </c>
      <c r="G3491" s="10" t="n">
        <v>342</v>
      </c>
      <c r="H3491" s="10" t="n">
        <f aca="false">F3491*G3491</f>
        <v>1026</v>
      </c>
      <c r="I3491" s="6" t="s">
        <v>5148</v>
      </c>
    </row>
    <row r="3492" customFormat="false" ht="15" hidden="false" customHeight="false" outlineLevel="0" collapsed="false">
      <c r="A3492" s="6" t="s">
        <v>8715</v>
      </c>
      <c r="B3492" s="6" t="s">
        <v>3523</v>
      </c>
      <c r="C3492" s="26" t="n">
        <v>46142</v>
      </c>
      <c r="D3492" s="6" t="s">
        <v>5339</v>
      </c>
      <c r="E3492" s="6" t="s">
        <v>24</v>
      </c>
      <c r="F3492" s="6" t="n">
        <v>1</v>
      </c>
      <c r="G3492" s="10" t="n">
        <v>458</v>
      </c>
      <c r="H3492" s="10" t="n">
        <f aca="false">F3492*G3492</f>
        <v>458</v>
      </c>
      <c r="I3492" s="6" t="s">
        <v>5125</v>
      </c>
    </row>
    <row r="3493" customFormat="false" ht="15" hidden="false" customHeight="false" outlineLevel="0" collapsed="false">
      <c r="A3493" s="6" t="s">
        <v>8716</v>
      </c>
      <c r="B3493" s="6" t="s">
        <v>3737</v>
      </c>
      <c r="C3493" s="26" t="n">
        <v>46142</v>
      </c>
      <c r="D3493" s="6" t="s">
        <v>5154</v>
      </c>
      <c r="E3493" s="6" t="s">
        <v>21</v>
      </c>
      <c r="F3493" s="6" t="n">
        <v>1</v>
      </c>
      <c r="G3493" s="10" t="n">
        <v>746</v>
      </c>
      <c r="H3493" s="10" t="n">
        <f aca="false">F3493*G3493</f>
        <v>746</v>
      </c>
      <c r="I3493" s="6" t="s">
        <v>5173</v>
      </c>
    </row>
    <row r="3494" customFormat="false" ht="15" hidden="false" customHeight="false" outlineLevel="0" collapsed="false">
      <c r="A3494" s="6" t="s">
        <v>8717</v>
      </c>
      <c r="B3494" s="6" t="s">
        <v>4457</v>
      </c>
      <c r="C3494" s="26" t="n">
        <v>46142</v>
      </c>
      <c r="D3494" s="6" t="s">
        <v>5145</v>
      </c>
      <c r="E3494" s="6" t="s">
        <v>21</v>
      </c>
      <c r="F3494" s="6" t="n">
        <v>1</v>
      </c>
      <c r="G3494" s="10" t="n">
        <v>1213</v>
      </c>
      <c r="H3494" s="10" t="n">
        <f aca="false">F3494*G3494</f>
        <v>1213</v>
      </c>
      <c r="I3494" s="6" t="s">
        <v>5122</v>
      </c>
    </row>
    <row r="3495" customFormat="false" ht="15" hidden="false" customHeight="false" outlineLevel="0" collapsed="false">
      <c r="A3495" s="6" t="s">
        <v>8718</v>
      </c>
      <c r="B3495" s="6" t="s">
        <v>2345</v>
      </c>
      <c r="C3495" s="26" t="n">
        <v>46142</v>
      </c>
      <c r="D3495" s="6" t="s">
        <v>5167</v>
      </c>
      <c r="E3495" s="6" t="s">
        <v>22</v>
      </c>
      <c r="F3495" s="6" t="n">
        <v>2</v>
      </c>
      <c r="G3495" s="10" t="n">
        <v>743</v>
      </c>
      <c r="H3495" s="10" t="n">
        <f aca="false">F3495*G3495</f>
        <v>1486</v>
      </c>
      <c r="I3495" s="6" t="s">
        <v>5130</v>
      </c>
    </row>
    <row r="3496" customFormat="false" ht="15" hidden="false" customHeight="false" outlineLevel="0" collapsed="false">
      <c r="A3496" s="6" t="s">
        <v>8719</v>
      </c>
      <c r="B3496" s="6" t="s">
        <v>2171</v>
      </c>
      <c r="C3496" s="26" t="n">
        <v>46142</v>
      </c>
      <c r="D3496" s="6" t="s">
        <v>5167</v>
      </c>
      <c r="E3496" s="6" t="s">
        <v>22</v>
      </c>
      <c r="F3496" s="6" t="n">
        <v>1</v>
      </c>
      <c r="G3496" s="10" t="n">
        <v>742</v>
      </c>
      <c r="H3496" s="10" t="n">
        <f aca="false">F3496*G3496</f>
        <v>742</v>
      </c>
      <c r="I3496" s="6" t="s">
        <v>5122</v>
      </c>
    </row>
    <row r="3497" customFormat="false" ht="15" hidden="false" customHeight="false" outlineLevel="0" collapsed="false">
      <c r="A3497" s="6" t="s">
        <v>8720</v>
      </c>
      <c r="B3497" s="6" t="s">
        <v>2609</v>
      </c>
      <c r="C3497" s="26" t="n">
        <v>46142</v>
      </c>
      <c r="D3497" s="6" t="s">
        <v>5121</v>
      </c>
      <c r="E3497" s="6" t="s">
        <v>22</v>
      </c>
      <c r="F3497" s="6" t="n">
        <v>1</v>
      </c>
      <c r="G3497" s="10" t="n">
        <v>880</v>
      </c>
      <c r="H3497" s="10" t="n">
        <f aca="false">F3497*G3497</f>
        <v>880</v>
      </c>
      <c r="I3497" s="6" t="s">
        <v>5130</v>
      </c>
    </row>
    <row r="3498" customFormat="false" ht="15" hidden="false" customHeight="false" outlineLevel="0" collapsed="false">
      <c r="A3498" s="6" t="s">
        <v>8721</v>
      </c>
      <c r="B3498" s="6" t="s">
        <v>1263</v>
      </c>
      <c r="C3498" s="26" t="n">
        <v>46142</v>
      </c>
      <c r="D3498" s="6" t="s">
        <v>5357</v>
      </c>
      <c r="E3498" s="6" t="s">
        <v>23</v>
      </c>
      <c r="F3498" s="6" t="n">
        <v>4</v>
      </c>
      <c r="G3498" s="10" t="n">
        <v>481</v>
      </c>
      <c r="H3498" s="10" t="n">
        <f aca="false">F3498*G3498</f>
        <v>1924</v>
      </c>
      <c r="I3498" s="6" t="s">
        <v>5122</v>
      </c>
    </row>
    <row r="3499" customFormat="false" ht="15" hidden="false" customHeight="false" outlineLevel="0" collapsed="false">
      <c r="A3499" s="6" t="s">
        <v>8722</v>
      </c>
      <c r="B3499" s="6" t="s">
        <v>1137</v>
      </c>
      <c r="C3499" s="26" t="n">
        <v>46142</v>
      </c>
      <c r="D3499" s="6" t="s">
        <v>5687</v>
      </c>
      <c r="E3499" s="6" t="s">
        <v>20</v>
      </c>
      <c r="F3499" s="6" t="n">
        <v>1</v>
      </c>
      <c r="G3499" s="10" t="n">
        <v>1835</v>
      </c>
      <c r="H3499" s="10" t="n">
        <f aca="false">F3499*G3499</f>
        <v>1835</v>
      </c>
      <c r="I3499" s="6" t="s">
        <v>5130</v>
      </c>
    </row>
    <row r="3500" customFormat="false" ht="15" hidden="false" customHeight="false" outlineLevel="0" collapsed="false">
      <c r="A3500" s="6" t="s">
        <v>8723</v>
      </c>
      <c r="B3500" s="6" t="s">
        <v>1905</v>
      </c>
      <c r="C3500" s="26" t="n">
        <v>46143</v>
      </c>
      <c r="D3500" s="6" t="s">
        <v>5357</v>
      </c>
      <c r="E3500" s="6" t="s">
        <v>23</v>
      </c>
      <c r="F3500" s="6" t="n">
        <v>4</v>
      </c>
      <c r="G3500" s="10" t="n">
        <v>534</v>
      </c>
      <c r="H3500" s="10" t="n">
        <f aca="false">F3500*G3500</f>
        <v>2136</v>
      </c>
      <c r="I3500" s="6" t="s">
        <v>5125</v>
      </c>
    </row>
    <row r="3501" customFormat="false" ht="15" hidden="false" customHeight="false" outlineLevel="0" collapsed="false">
      <c r="A3501" s="6" t="s">
        <v>8724</v>
      </c>
      <c r="B3501" s="6" t="s">
        <v>1697</v>
      </c>
      <c r="C3501" s="26" t="n">
        <v>46143</v>
      </c>
      <c r="D3501" s="6" t="s">
        <v>5156</v>
      </c>
      <c r="E3501" s="6" t="s">
        <v>21</v>
      </c>
      <c r="F3501" s="6" t="n">
        <v>2</v>
      </c>
      <c r="G3501" s="10" t="n">
        <v>2161</v>
      </c>
      <c r="H3501" s="10" t="n">
        <f aca="false">F3501*G3501</f>
        <v>4322</v>
      </c>
      <c r="I3501" s="6" t="s">
        <v>5125</v>
      </c>
    </row>
    <row r="3502" customFormat="false" ht="15" hidden="false" customHeight="false" outlineLevel="0" collapsed="false">
      <c r="A3502" s="6" t="s">
        <v>8725</v>
      </c>
      <c r="B3502" s="6" t="s">
        <v>3227</v>
      </c>
      <c r="C3502" s="26" t="n">
        <v>46143</v>
      </c>
      <c r="D3502" s="6" t="s">
        <v>5200</v>
      </c>
      <c r="E3502" s="6" t="s">
        <v>24</v>
      </c>
      <c r="F3502" s="6" t="n">
        <v>1</v>
      </c>
      <c r="G3502" s="10" t="n">
        <v>726</v>
      </c>
      <c r="H3502" s="10" t="n">
        <f aca="false">F3502*G3502</f>
        <v>726</v>
      </c>
      <c r="I3502" s="6" t="s">
        <v>5122</v>
      </c>
    </row>
    <row r="3503" customFormat="false" ht="15" hidden="false" customHeight="false" outlineLevel="0" collapsed="false">
      <c r="A3503" s="6" t="s">
        <v>8726</v>
      </c>
      <c r="B3503" s="6" t="s">
        <v>1589</v>
      </c>
      <c r="C3503" s="26" t="n">
        <v>46143</v>
      </c>
      <c r="D3503" s="6" t="s">
        <v>5154</v>
      </c>
      <c r="E3503" s="6" t="s">
        <v>21</v>
      </c>
      <c r="F3503" s="6" t="n">
        <v>2</v>
      </c>
      <c r="G3503" s="10" t="n">
        <v>707</v>
      </c>
      <c r="H3503" s="10" t="n">
        <f aca="false">F3503*G3503</f>
        <v>1414</v>
      </c>
      <c r="I3503" s="6" t="s">
        <v>5122</v>
      </c>
    </row>
    <row r="3504" customFormat="false" ht="15" hidden="false" customHeight="false" outlineLevel="0" collapsed="false">
      <c r="A3504" s="6" t="s">
        <v>8727</v>
      </c>
      <c r="B3504" s="6" t="s">
        <v>5037</v>
      </c>
      <c r="C3504" s="26" t="n">
        <v>46143</v>
      </c>
      <c r="D3504" s="6" t="s">
        <v>5383</v>
      </c>
      <c r="E3504" s="6" t="s">
        <v>20</v>
      </c>
      <c r="F3504" s="6" t="n">
        <v>1</v>
      </c>
      <c r="G3504" s="10" t="n">
        <v>1121</v>
      </c>
      <c r="H3504" s="10" t="n">
        <f aca="false">F3504*G3504</f>
        <v>1121</v>
      </c>
      <c r="I3504" s="6" t="s">
        <v>5148</v>
      </c>
    </row>
    <row r="3505" customFormat="false" ht="15" hidden="false" customHeight="false" outlineLevel="0" collapsed="false">
      <c r="A3505" s="6" t="s">
        <v>8728</v>
      </c>
      <c r="B3505" s="6" t="s">
        <v>3345</v>
      </c>
      <c r="C3505" s="26" t="n">
        <v>46143</v>
      </c>
      <c r="D3505" s="6" t="s">
        <v>5163</v>
      </c>
      <c r="E3505" s="6" t="s">
        <v>23</v>
      </c>
      <c r="F3505" s="6" t="n">
        <v>1</v>
      </c>
      <c r="G3505" s="10" t="n">
        <v>783</v>
      </c>
      <c r="H3505" s="10" t="n">
        <f aca="false">F3505*G3505</f>
        <v>783</v>
      </c>
      <c r="I3505" s="6" t="s">
        <v>5125</v>
      </c>
    </row>
    <row r="3506" customFormat="false" ht="15" hidden="false" customHeight="false" outlineLevel="0" collapsed="false">
      <c r="A3506" s="6" t="s">
        <v>8729</v>
      </c>
      <c r="B3506" s="6" t="s">
        <v>1171</v>
      </c>
      <c r="C3506" s="26" t="n">
        <v>46143</v>
      </c>
      <c r="D3506" s="6" t="s">
        <v>5121</v>
      </c>
      <c r="E3506" s="6" t="s">
        <v>22</v>
      </c>
      <c r="F3506" s="6" t="n">
        <v>2</v>
      </c>
      <c r="G3506" s="10" t="n">
        <v>928</v>
      </c>
      <c r="H3506" s="10" t="n">
        <f aca="false">F3506*G3506</f>
        <v>1856</v>
      </c>
      <c r="I3506" s="6" t="s">
        <v>5130</v>
      </c>
    </row>
    <row r="3507" customFormat="false" ht="15" hidden="false" customHeight="false" outlineLevel="0" collapsed="false">
      <c r="A3507" s="6" t="s">
        <v>8730</v>
      </c>
      <c r="B3507" s="6" t="s">
        <v>2843</v>
      </c>
      <c r="C3507" s="26" t="n">
        <v>46143</v>
      </c>
      <c r="D3507" s="6" t="s">
        <v>5121</v>
      </c>
      <c r="E3507" s="6" t="s">
        <v>22</v>
      </c>
      <c r="F3507" s="6" t="n">
        <v>1</v>
      </c>
      <c r="G3507" s="10" t="n">
        <v>976</v>
      </c>
      <c r="H3507" s="10" t="n">
        <f aca="false">F3507*G3507</f>
        <v>976</v>
      </c>
      <c r="I3507" s="6" t="s">
        <v>5122</v>
      </c>
    </row>
    <row r="3508" customFormat="false" ht="15" hidden="false" customHeight="false" outlineLevel="0" collapsed="false">
      <c r="A3508" s="6" t="s">
        <v>8731</v>
      </c>
      <c r="B3508" s="6" t="s">
        <v>262</v>
      </c>
      <c r="C3508" s="26" t="n">
        <v>46143</v>
      </c>
      <c r="D3508" s="6" t="s">
        <v>5163</v>
      </c>
      <c r="E3508" s="6" t="s">
        <v>23</v>
      </c>
      <c r="F3508" s="6" t="n">
        <v>2</v>
      </c>
      <c r="G3508" s="10" t="n">
        <v>705</v>
      </c>
      <c r="H3508" s="10" t="n">
        <f aca="false">F3508*G3508</f>
        <v>1410</v>
      </c>
      <c r="I3508" s="6" t="s">
        <v>5133</v>
      </c>
    </row>
    <row r="3509" customFormat="false" ht="15" hidden="false" customHeight="false" outlineLevel="0" collapsed="false">
      <c r="A3509" s="6" t="s">
        <v>8732</v>
      </c>
      <c r="B3509" s="6" t="s">
        <v>523</v>
      </c>
      <c r="C3509" s="26" t="n">
        <v>46143</v>
      </c>
      <c r="D3509" s="6" t="s">
        <v>5235</v>
      </c>
      <c r="E3509" s="6" t="s">
        <v>21</v>
      </c>
      <c r="F3509" s="6" t="n">
        <v>1</v>
      </c>
      <c r="G3509" s="10" t="n">
        <v>1670</v>
      </c>
      <c r="H3509" s="10" t="n">
        <f aca="false">F3509*G3509</f>
        <v>1670</v>
      </c>
      <c r="I3509" s="6" t="s">
        <v>5148</v>
      </c>
    </row>
    <row r="3510" customFormat="false" ht="15" hidden="false" customHeight="false" outlineLevel="0" collapsed="false">
      <c r="A3510" s="6" t="s">
        <v>8733</v>
      </c>
      <c r="B3510" s="6" t="s">
        <v>1069</v>
      </c>
      <c r="C3510" s="26" t="n">
        <v>46143</v>
      </c>
      <c r="D3510" s="6" t="s">
        <v>5171</v>
      </c>
      <c r="E3510" s="6" t="s">
        <v>23</v>
      </c>
      <c r="F3510" s="6" t="n">
        <v>3</v>
      </c>
      <c r="G3510" s="10" t="n">
        <v>697</v>
      </c>
      <c r="H3510" s="10" t="n">
        <f aca="false">F3510*G3510</f>
        <v>2091</v>
      </c>
      <c r="I3510" s="6" t="s">
        <v>5122</v>
      </c>
    </row>
    <row r="3511" customFormat="false" ht="15" hidden="false" customHeight="false" outlineLevel="0" collapsed="false">
      <c r="A3511" s="6" t="s">
        <v>8734</v>
      </c>
      <c r="B3511" s="6" t="s">
        <v>1351</v>
      </c>
      <c r="C3511" s="26" t="n">
        <v>46143</v>
      </c>
      <c r="D3511" s="6" t="s">
        <v>5345</v>
      </c>
      <c r="E3511" s="6" t="s">
        <v>23</v>
      </c>
      <c r="F3511" s="6" t="n">
        <v>1</v>
      </c>
      <c r="G3511" s="10" t="n">
        <v>435</v>
      </c>
      <c r="H3511" s="10" t="n">
        <f aca="false">F3511*G3511</f>
        <v>435</v>
      </c>
      <c r="I3511" s="6" t="s">
        <v>5148</v>
      </c>
    </row>
    <row r="3512" customFormat="false" ht="15" hidden="false" customHeight="false" outlineLevel="0" collapsed="false">
      <c r="A3512" s="6" t="s">
        <v>8735</v>
      </c>
      <c r="B3512" s="6" t="s">
        <v>5047</v>
      </c>
      <c r="C3512" s="26" t="n">
        <v>46143</v>
      </c>
      <c r="D3512" s="6" t="s">
        <v>5345</v>
      </c>
      <c r="E3512" s="6" t="s">
        <v>23</v>
      </c>
      <c r="F3512" s="6" t="n">
        <v>5</v>
      </c>
      <c r="G3512" s="10" t="n">
        <v>436</v>
      </c>
      <c r="H3512" s="10" t="n">
        <f aca="false">F3512*G3512</f>
        <v>2180</v>
      </c>
      <c r="I3512" s="6" t="s">
        <v>5122</v>
      </c>
    </row>
    <row r="3513" customFormat="false" ht="15" hidden="false" customHeight="false" outlineLevel="0" collapsed="false">
      <c r="A3513" s="6" t="s">
        <v>8736</v>
      </c>
      <c r="B3513" s="6" t="s">
        <v>511</v>
      </c>
      <c r="C3513" s="26" t="n">
        <v>46143</v>
      </c>
      <c r="D3513" s="6" t="s">
        <v>5588</v>
      </c>
      <c r="E3513" s="6" t="s">
        <v>21</v>
      </c>
      <c r="F3513" s="6" t="n">
        <v>1</v>
      </c>
      <c r="G3513" s="10" t="n">
        <v>11794</v>
      </c>
      <c r="H3513" s="10" t="n">
        <f aca="false">F3513*G3513</f>
        <v>11794</v>
      </c>
      <c r="I3513" s="6" t="s">
        <v>5122</v>
      </c>
    </row>
    <row r="3514" customFormat="false" ht="15" hidden="false" customHeight="false" outlineLevel="0" collapsed="false">
      <c r="A3514" s="6" t="s">
        <v>8737</v>
      </c>
      <c r="B3514" s="6" t="s">
        <v>4271</v>
      </c>
      <c r="C3514" s="26" t="n">
        <v>46143</v>
      </c>
      <c r="D3514" s="6" t="s">
        <v>5121</v>
      </c>
      <c r="E3514" s="6" t="s">
        <v>22</v>
      </c>
      <c r="F3514" s="6" t="n">
        <v>1</v>
      </c>
      <c r="G3514" s="10" t="n">
        <v>977</v>
      </c>
      <c r="H3514" s="10" t="n">
        <f aca="false">F3514*G3514</f>
        <v>977</v>
      </c>
      <c r="I3514" s="6" t="s">
        <v>5148</v>
      </c>
    </row>
    <row r="3515" customFormat="false" ht="15" hidden="false" customHeight="false" outlineLevel="0" collapsed="false">
      <c r="A3515" s="6" t="s">
        <v>8738</v>
      </c>
      <c r="B3515" s="6" t="s">
        <v>2367</v>
      </c>
      <c r="C3515" s="26" t="n">
        <v>46143</v>
      </c>
      <c r="D3515" s="6" t="s">
        <v>5269</v>
      </c>
      <c r="E3515" s="6" t="s">
        <v>22</v>
      </c>
      <c r="F3515" s="6" t="n">
        <v>3</v>
      </c>
      <c r="G3515" s="10" t="n">
        <v>1271</v>
      </c>
      <c r="H3515" s="10" t="n">
        <f aca="false">F3515*G3515</f>
        <v>3813</v>
      </c>
      <c r="I3515" s="6" t="s">
        <v>5130</v>
      </c>
    </row>
    <row r="3516" customFormat="false" ht="15" hidden="false" customHeight="false" outlineLevel="0" collapsed="false">
      <c r="A3516" s="6" t="s">
        <v>8739</v>
      </c>
      <c r="B3516" s="6" t="s">
        <v>342</v>
      </c>
      <c r="C3516" s="26" t="n">
        <v>46143</v>
      </c>
      <c r="D3516" s="6" t="s">
        <v>5305</v>
      </c>
      <c r="E3516" s="6" t="s">
        <v>20</v>
      </c>
      <c r="F3516" s="6" t="n">
        <v>1</v>
      </c>
      <c r="G3516" s="10" t="n">
        <v>1631</v>
      </c>
      <c r="H3516" s="10" t="n">
        <f aca="false">F3516*G3516</f>
        <v>1631</v>
      </c>
      <c r="I3516" s="6" t="s">
        <v>5122</v>
      </c>
    </row>
    <row r="3517" customFormat="false" ht="15" hidden="false" customHeight="false" outlineLevel="0" collapsed="false">
      <c r="A3517" s="6" t="s">
        <v>8740</v>
      </c>
      <c r="B3517" s="6" t="s">
        <v>2325</v>
      </c>
      <c r="C3517" s="26" t="n">
        <v>46143</v>
      </c>
      <c r="D3517" s="6" t="s">
        <v>5218</v>
      </c>
      <c r="E3517" s="6" t="s">
        <v>23</v>
      </c>
      <c r="F3517" s="6" t="n">
        <v>2</v>
      </c>
      <c r="G3517" s="10" t="n">
        <v>156</v>
      </c>
      <c r="H3517" s="10" t="n">
        <f aca="false">F3517*G3517</f>
        <v>312</v>
      </c>
      <c r="I3517" s="6" t="s">
        <v>5148</v>
      </c>
    </row>
    <row r="3518" customFormat="false" ht="15" hidden="false" customHeight="false" outlineLevel="0" collapsed="false">
      <c r="A3518" s="6" t="s">
        <v>8741</v>
      </c>
      <c r="B3518" s="6" t="s">
        <v>2995</v>
      </c>
      <c r="C3518" s="26" t="n">
        <v>46143</v>
      </c>
      <c r="D3518" s="6" t="s">
        <v>5197</v>
      </c>
      <c r="E3518" s="6" t="s">
        <v>21</v>
      </c>
      <c r="F3518" s="6" t="n">
        <v>1</v>
      </c>
      <c r="G3518" s="10" t="n">
        <v>1026</v>
      </c>
      <c r="H3518" s="10" t="n">
        <f aca="false">F3518*G3518</f>
        <v>1026</v>
      </c>
      <c r="I3518" s="6" t="s">
        <v>5122</v>
      </c>
    </row>
    <row r="3519" customFormat="false" ht="15" hidden="false" customHeight="false" outlineLevel="0" collapsed="false">
      <c r="A3519" s="6" t="s">
        <v>8742</v>
      </c>
      <c r="B3519" s="6" t="s">
        <v>5079</v>
      </c>
      <c r="C3519" s="26" t="n">
        <v>46143</v>
      </c>
      <c r="D3519" s="6" t="s">
        <v>5192</v>
      </c>
      <c r="E3519" s="6" t="s">
        <v>20</v>
      </c>
      <c r="F3519" s="6" t="n">
        <v>1</v>
      </c>
      <c r="G3519" s="10" t="n">
        <v>4078</v>
      </c>
      <c r="H3519" s="10" t="n">
        <f aca="false">F3519*G3519</f>
        <v>4078</v>
      </c>
      <c r="I3519" s="6" t="s">
        <v>5122</v>
      </c>
    </row>
    <row r="3520" customFormat="false" ht="15" hidden="false" customHeight="false" outlineLevel="0" collapsed="false">
      <c r="A3520" s="6" t="s">
        <v>8743</v>
      </c>
      <c r="B3520" s="6" t="s">
        <v>1307</v>
      </c>
      <c r="C3520" s="26" t="n">
        <v>46143</v>
      </c>
      <c r="D3520" s="6" t="s">
        <v>5145</v>
      </c>
      <c r="E3520" s="6" t="s">
        <v>21</v>
      </c>
      <c r="F3520" s="6" t="n">
        <v>1</v>
      </c>
      <c r="G3520" s="10" t="n">
        <v>1213</v>
      </c>
      <c r="H3520" s="10" t="n">
        <f aca="false">F3520*G3520</f>
        <v>1213</v>
      </c>
      <c r="I3520" s="6" t="s">
        <v>5122</v>
      </c>
    </row>
    <row r="3521" customFormat="false" ht="15" hidden="false" customHeight="false" outlineLevel="0" collapsed="false">
      <c r="A3521" s="6" t="s">
        <v>8744</v>
      </c>
      <c r="B3521" s="6" t="s">
        <v>1763</v>
      </c>
      <c r="C3521" s="26" t="n">
        <v>46143</v>
      </c>
      <c r="D3521" s="6" t="s">
        <v>5147</v>
      </c>
      <c r="E3521" s="6" t="s">
        <v>24</v>
      </c>
      <c r="F3521" s="6" t="n">
        <v>2</v>
      </c>
      <c r="G3521" s="10" t="n">
        <v>661</v>
      </c>
      <c r="H3521" s="10" t="n">
        <f aca="false">F3521*G3521</f>
        <v>1322</v>
      </c>
      <c r="I3521" s="6" t="s">
        <v>5125</v>
      </c>
    </row>
    <row r="3522" customFormat="false" ht="15" hidden="false" customHeight="false" outlineLevel="0" collapsed="false">
      <c r="A3522" s="6" t="s">
        <v>8745</v>
      </c>
      <c r="B3522" s="6" t="s">
        <v>4019</v>
      </c>
      <c r="C3522" s="26" t="n">
        <v>46143</v>
      </c>
      <c r="D3522" s="6" t="s">
        <v>5163</v>
      </c>
      <c r="E3522" s="6" t="s">
        <v>23</v>
      </c>
      <c r="F3522" s="6" t="n">
        <v>4</v>
      </c>
      <c r="G3522" s="10" t="n">
        <v>783</v>
      </c>
      <c r="H3522" s="10" t="n">
        <f aca="false">F3522*G3522</f>
        <v>3132</v>
      </c>
      <c r="I3522" s="6" t="s">
        <v>5130</v>
      </c>
    </row>
    <row r="3523" customFormat="false" ht="15" hidden="false" customHeight="false" outlineLevel="0" collapsed="false">
      <c r="A3523" s="6" t="s">
        <v>8746</v>
      </c>
      <c r="B3523" s="6" t="s">
        <v>5033</v>
      </c>
      <c r="C3523" s="26" t="n">
        <v>46143</v>
      </c>
      <c r="D3523" s="6" t="s">
        <v>5207</v>
      </c>
      <c r="E3523" s="6" t="s">
        <v>20</v>
      </c>
      <c r="F3523" s="6" t="n">
        <v>1</v>
      </c>
      <c r="G3523" s="10" t="n">
        <v>1325</v>
      </c>
      <c r="H3523" s="10" t="n">
        <f aca="false">F3523*G3523</f>
        <v>1325</v>
      </c>
      <c r="I3523" s="6" t="s">
        <v>5148</v>
      </c>
    </row>
    <row r="3524" customFormat="false" ht="15" hidden="false" customHeight="false" outlineLevel="0" collapsed="false">
      <c r="A3524" s="6" t="s">
        <v>8747</v>
      </c>
      <c r="B3524" s="6" t="s">
        <v>3131</v>
      </c>
      <c r="C3524" s="26" t="n">
        <v>46143</v>
      </c>
      <c r="D3524" s="6" t="s">
        <v>5127</v>
      </c>
      <c r="E3524" s="6" t="s">
        <v>21</v>
      </c>
      <c r="F3524" s="6" t="n">
        <v>1</v>
      </c>
      <c r="G3524" s="10" t="n">
        <v>884</v>
      </c>
      <c r="H3524" s="10" t="n">
        <f aca="false">F3524*G3524</f>
        <v>884</v>
      </c>
      <c r="I3524" s="6" t="s">
        <v>5130</v>
      </c>
    </row>
    <row r="3525" customFormat="false" ht="15" hidden="false" customHeight="false" outlineLevel="0" collapsed="false">
      <c r="A3525" s="6" t="s">
        <v>8748</v>
      </c>
      <c r="B3525" s="6" t="s">
        <v>330</v>
      </c>
      <c r="C3525" s="26" t="n">
        <v>46143</v>
      </c>
      <c r="D3525" s="6" t="s">
        <v>5214</v>
      </c>
      <c r="E3525" s="6" t="s">
        <v>20</v>
      </c>
      <c r="F3525" s="6" t="n">
        <v>1</v>
      </c>
      <c r="G3525" s="10" t="n">
        <v>2039</v>
      </c>
      <c r="H3525" s="10" t="n">
        <f aca="false">F3525*G3525</f>
        <v>2039</v>
      </c>
      <c r="I3525" s="6" t="s">
        <v>5125</v>
      </c>
    </row>
    <row r="3526" customFormat="false" ht="15" hidden="false" customHeight="false" outlineLevel="0" collapsed="false">
      <c r="A3526" s="6" t="s">
        <v>8749</v>
      </c>
      <c r="B3526" s="6" t="s">
        <v>1093</v>
      </c>
      <c r="C3526" s="26" t="n">
        <v>46143</v>
      </c>
      <c r="D3526" s="6" t="s">
        <v>5318</v>
      </c>
      <c r="E3526" s="6" t="s">
        <v>20</v>
      </c>
      <c r="F3526" s="6" t="n">
        <v>1</v>
      </c>
      <c r="G3526" s="10" t="n">
        <v>1529</v>
      </c>
      <c r="H3526" s="10" t="n">
        <f aca="false">F3526*G3526</f>
        <v>1529</v>
      </c>
      <c r="I3526" s="6" t="s">
        <v>5122</v>
      </c>
    </row>
    <row r="3527" customFormat="false" ht="15" hidden="false" customHeight="false" outlineLevel="0" collapsed="false">
      <c r="A3527" s="6" t="s">
        <v>8750</v>
      </c>
      <c r="B3527" s="6" t="s">
        <v>2017</v>
      </c>
      <c r="C3527" s="26" t="n">
        <v>46143</v>
      </c>
      <c r="D3527" s="6" t="s">
        <v>5167</v>
      </c>
      <c r="E3527" s="6" t="s">
        <v>22</v>
      </c>
      <c r="F3527" s="6" t="n">
        <v>1</v>
      </c>
      <c r="G3527" s="10" t="n">
        <v>703</v>
      </c>
      <c r="H3527" s="10" t="n">
        <f aca="false">F3527*G3527</f>
        <v>703</v>
      </c>
      <c r="I3527" s="6" t="s">
        <v>5130</v>
      </c>
    </row>
    <row r="3528" customFormat="false" ht="15" hidden="false" customHeight="false" outlineLevel="0" collapsed="false">
      <c r="A3528" s="6" t="s">
        <v>8751</v>
      </c>
      <c r="B3528" s="6" t="s">
        <v>192</v>
      </c>
      <c r="C3528" s="26" t="n">
        <v>46143</v>
      </c>
      <c r="D3528" s="6" t="s">
        <v>5165</v>
      </c>
      <c r="E3528" s="6" t="s">
        <v>22</v>
      </c>
      <c r="F3528" s="6" t="n">
        <v>1</v>
      </c>
      <c r="G3528" s="10" t="n">
        <v>880</v>
      </c>
      <c r="H3528" s="10" t="n">
        <f aca="false">F3528*G3528</f>
        <v>880</v>
      </c>
      <c r="I3528" s="6" t="s">
        <v>5122</v>
      </c>
    </row>
    <row r="3529" customFormat="false" ht="15" hidden="false" customHeight="false" outlineLevel="0" collapsed="false">
      <c r="A3529" s="6" t="s">
        <v>8752</v>
      </c>
      <c r="B3529" s="6" t="s">
        <v>1587</v>
      </c>
      <c r="C3529" s="26" t="n">
        <v>46143</v>
      </c>
      <c r="D3529" s="6" t="s">
        <v>5165</v>
      </c>
      <c r="E3529" s="6" t="s">
        <v>22</v>
      </c>
      <c r="F3529" s="6" t="n">
        <v>2</v>
      </c>
      <c r="G3529" s="10" t="n">
        <v>880</v>
      </c>
      <c r="H3529" s="10" t="n">
        <f aca="false">F3529*G3529</f>
        <v>1760</v>
      </c>
      <c r="I3529" s="6" t="s">
        <v>5122</v>
      </c>
    </row>
    <row r="3530" customFormat="false" ht="15" hidden="false" customHeight="false" outlineLevel="0" collapsed="false">
      <c r="A3530" s="6" t="s">
        <v>8753</v>
      </c>
      <c r="B3530" s="6" t="s">
        <v>1517</v>
      </c>
      <c r="C3530" s="26" t="n">
        <v>46143</v>
      </c>
      <c r="D3530" s="6" t="s">
        <v>5167</v>
      </c>
      <c r="E3530" s="6" t="s">
        <v>22</v>
      </c>
      <c r="F3530" s="6" t="n">
        <v>1</v>
      </c>
      <c r="G3530" s="10" t="n">
        <v>703</v>
      </c>
      <c r="H3530" s="10" t="n">
        <f aca="false">F3530*G3530</f>
        <v>703</v>
      </c>
      <c r="I3530" s="6" t="s">
        <v>5122</v>
      </c>
    </row>
    <row r="3531" customFormat="false" ht="15" hidden="false" customHeight="false" outlineLevel="0" collapsed="false">
      <c r="A3531" s="6" t="s">
        <v>8754</v>
      </c>
      <c r="B3531" s="6" t="s">
        <v>313</v>
      </c>
      <c r="C3531" s="26" t="n">
        <v>46143</v>
      </c>
      <c r="D3531" s="6" t="s">
        <v>5167</v>
      </c>
      <c r="E3531" s="6" t="s">
        <v>22</v>
      </c>
      <c r="F3531" s="6" t="n">
        <v>3</v>
      </c>
      <c r="G3531" s="10" t="n">
        <v>782</v>
      </c>
      <c r="H3531" s="10" t="n">
        <f aca="false">F3531*G3531</f>
        <v>2346</v>
      </c>
      <c r="I3531" s="6" t="s">
        <v>5130</v>
      </c>
    </row>
    <row r="3532" customFormat="false" ht="15" hidden="false" customHeight="false" outlineLevel="0" collapsed="false">
      <c r="A3532" s="6" t="s">
        <v>8755</v>
      </c>
      <c r="B3532" s="6" t="s">
        <v>735</v>
      </c>
      <c r="C3532" s="26" t="n">
        <v>46143</v>
      </c>
      <c r="D3532" s="6" t="s">
        <v>5216</v>
      </c>
      <c r="E3532" s="6" t="s">
        <v>23</v>
      </c>
      <c r="F3532" s="6" t="n">
        <v>2</v>
      </c>
      <c r="G3532" s="10" t="n">
        <v>587</v>
      </c>
      <c r="H3532" s="10" t="n">
        <f aca="false">F3532*G3532</f>
        <v>1174</v>
      </c>
      <c r="I3532" s="6" t="s">
        <v>5122</v>
      </c>
    </row>
    <row r="3533" customFormat="false" ht="15" hidden="false" customHeight="false" outlineLevel="0" collapsed="false">
      <c r="A3533" s="6" t="s">
        <v>8756</v>
      </c>
      <c r="B3533" s="6" t="s">
        <v>4771</v>
      </c>
      <c r="C3533" s="26" t="n">
        <v>46144</v>
      </c>
      <c r="D3533" s="6" t="s">
        <v>5410</v>
      </c>
      <c r="E3533" s="6" t="s">
        <v>20</v>
      </c>
      <c r="F3533" s="6" t="n">
        <v>1</v>
      </c>
      <c r="G3533" s="10" t="n">
        <v>2421</v>
      </c>
      <c r="H3533" s="10" t="n">
        <f aca="false">F3533*G3533</f>
        <v>2421</v>
      </c>
      <c r="I3533" s="6" t="s">
        <v>5148</v>
      </c>
    </row>
    <row r="3534" customFormat="false" ht="15" hidden="false" customHeight="false" outlineLevel="0" collapsed="false">
      <c r="A3534" s="6" t="s">
        <v>8757</v>
      </c>
      <c r="B3534" s="6" t="s">
        <v>1593</v>
      </c>
      <c r="C3534" s="26" t="n">
        <v>46144</v>
      </c>
      <c r="D3534" s="6" t="s">
        <v>5171</v>
      </c>
      <c r="E3534" s="6" t="s">
        <v>23</v>
      </c>
      <c r="F3534" s="6" t="n">
        <v>4</v>
      </c>
      <c r="G3534" s="10" t="n">
        <v>697</v>
      </c>
      <c r="H3534" s="10" t="n">
        <f aca="false">F3534*G3534</f>
        <v>2788</v>
      </c>
      <c r="I3534" s="6" t="s">
        <v>5148</v>
      </c>
    </row>
    <row r="3535" customFormat="false" ht="15" hidden="false" customHeight="false" outlineLevel="0" collapsed="false">
      <c r="A3535" s="6" t="s">
        <v>8758</v>
      </c>
      <c r="B3535" s="6" t="s">
        <v>4775</v>
      </c>
      <c r="C3535" s="26" t="n">
        <v>46144</v>
      </c>
      <c r="D3535" s="6" t="s">
        <v>5135</v>
      </c>
      <c r="E3535" s="6" t="s">
        <v>23</v>
      </c>
      <c r="F3535" s="6" t="n">
        <v>5</v>
      </c>
      <c r="G3535" s="10" t="n">
        <v>419</v>
      </c>
      <c r="H3535" s="10" t="n">
        <f aca="false">F3535*G3535</f>
        <v>2095</v>
      </c>
      <c r="I3535" s="6" t="s">
        <v>5173</v>
      </c>
    </row>
    <row r="3536" customFormat="false" ht="15" hidden="false" customHeight="false" outlineLevel="0" collapsed="false">
      <c r="A3536" s="6" t="s">
        <v>8759</v>
      </c>
      <c r="B3536" s="6" t="s">
        <v>2187</v>
      </c>
      <c r="C3536" s="26" t="n">
        <v>46144</v>
      </c>
      <c r="D3536" s="6" t="s">
        <v>5185</v>
      </c>
      <c r="E3536" s="6" t="s">
        <v>24</v>
      </c>
      <c r="F3536" s="6" t="n">
        <v>1</v>
      </c>
      <c r="G3536" s="10" t="n">
        <v>2140</v>
      </c>
      <c r="H3536" s="10" t="n">
        <f aca="false">F3536*G3536</f>
        <v>2140</v>
      </c>
      <c r="I3536" s="6" t="s">
        <v>5122</v>
      </c>
    </row>
    <row r="3537" customFormat="false" ht="15" hidden="false" customHeight="false" outlineLevel="0" collapsed="false">
      <c r="A3537" s="6" t="s">
        <v>8760</v>
      </c>
      <c r="B3537" s="6" t="s">
        <v>3647</v>
      </c>
      <c r="C3537" s="26" t="n">
        <v>46144</v>
      </c>
      <c r="D3537" s="6" t="s">
        <v>5298</v>
      </c>
      <c r="E3537" s="6" t="s">
        <v>23</v>
      </c>
      <c r="F3537" s="6" t="n">
        <v>1</v>
      </c>
      <c r="G3537" s="10" t="n">
        <v>293</v>
      </c>
      <c r="H3537" s="10" t="n">
        <f aca="false">F3537*G3537</f>
        <v>293</v>
      </c>
      <c r="I3537" s="6" t="s">
        <v>5148</v>
      </c>
    </row>
    <row r="3538" customFormat="false" ht="15" hidden="false" customHeight="false" outlineLevel="0" collapsed="false">
      <c r="A3538" s="6" t="s">
        <v>8761</v>
      </c>
      <c r="B3538" s="6" t="s">
        <v>2597</v>
      </c>
      <c r="C3538" s="26" t="n">
        <v>46144</v>
      </c>
      <c r="D3538" s="6" t="s">
        <v>5345</v>
      </c>
      <c r="E3538" s="6" t="s">
        <v>23</v>
      </c>
      <c r="F3538" s="6" t="n">
        <v>2</v>
      </c>
      <c r="G3538" s="10" t="n">
        <v>436</v>
      </c>
      <c r="H3538" s="10" t="n">
        <f aca="false">F3538*G3538</f>
        <v>872</v>
      </c>
      <c r="I3538" s="6" t="s">
        <v>5130</v>
      </c>
    </row>
    <row r="3539" customFormat="false" ht="15" hidden="false" customHeight="false" outlineLevel="0" collapsed="false">
      <c r="A3539" s="6" t="s">
        <v>8762</v>
      </c>
      <c r="B3539" s="6" t="s">
        <v>2935</v>
      </c>
      <c r="C3539" s="26" t="n">
        <v>46144</v>
      </c>
      <c r="D3539" s="6" t="s">
        <v>5145</v>
      </c>
      <c r="E3539" s="6" t="s">
        <v>21</v>
      </c>
      <c r="F3539" s="6" t="n">
        <v>1</v>
      </c>
      <c r="G3539" s="10" t="n">
        <v>1277</v>
      </c>
      <c r="H3539" s="10" t="n">
        <f aca="false">F3539*G3539</f>
        <v>1277</v>
      </c>
      <c r="I3539" s="6" t="s">
        <v>5148</v>
      </c>
    </row>
    <row r="3540" customFormat="false" ht="15" hidden="false" customHeight="false" outlineLevel="0" collapsed="false">
      <c r="A3540" s="6" t="s">
        <v>8763</v>
      </c>
      <c r="B3540" s="6" t="s">
        <v>3919</v>
      </c>
      <c r="C3540" s="26" t="n">
        <v>46144</v>
      </c>
      <c r="D3540" s="6" t="s">
        <v>5259</v>
      </c>
      <c r="E3540" s="6" t="s">
        <v>22</v>
      </c>
      <c r="F3540" s="6" t="n">
        <v>1</v>
      </c>
      <c r="G3540" s="10" t="n">
        <v>1486</v>
      </c>
      <c r="H3540" s="10" t="n">
        <f aca="false">F3540*G3540</f>
        <v>1486</v>
      </c>
      <c r="I3540" s="6" t="s">
        <v>5148</v>
      </c>
    </row>
    <row r="3541" customFormat="false" ht="15" hidden="false" customHeight="false" outlineLevel="0" collapsed="false">
      <c r="A3541" s="6" t="s">
        <v>8764</v>
      </c>
      <c r="B3541" s="6" t="s">
        <v>3889</v>
      </c>
      <c r="C3541" s="26" t="n">
        <v>46144</v>
      </c>
      <c r="D3541" s="6" t="s">
        <v>5235</v>
      </c>
      <c r="E3541" s="6" t="s">
        <v>21</v>
      </c>
      <c r="F3541" s="6" t="n">
        <v>2</v>
      </c>
      <c r="G3541" s="10" t="n">
        <v>1670</v>
      </c>
      <c r="H3541" s="10" t="n">
        <f aca="false">F3541*G3541</f>
        <v>3340</v>
      </c>
      <c r="I3541" s="6" t="s">
        <v>5125</v>
      </c>
    </row>
    <row r="3542" customFormat="false" ht="15" hidden="false" customHeight="false" outlineLevel="0" collapsed="false">
      <c r="A3542" s="6" t="s">
        <v>8765</v>
      </c>
      <c r="B3542" s="6" t="s">
        <v>5011</v>
      </c>
      <c r="C3542" s="26" t="n">
        <v>46144</v>
      </c>
      <c r="D3542" s="6" t="s">
        <v>5167</v>
      </c>
      <c r="E3542" s="6" t="s">
        <v>22</v>
      </c>
      <c r="F3542" s="6" t="n">
        <v>1</v>
      </c>
      <c r="G3542" s="10" t="n">
        <v>743</v>
      </c>
      <c r="H3542" s="10" t="n">
        <f aca="false">F3542*G3542</f>
        <v>743</v>
      </c>
      <c r="I3542" s="6" t="s">
        <v>5122</v>
      </c>
    </row>
    <row r="3543" customFormat="false" ht="15" hidden="false" customHeight="false" outlineLevel="0" collapsed="false">
      <c r="A3543" s="6" t="s">
        <v>8766</v>
      </c>
      <c r="B3543" s="6" t="s">
        <v>4151</v>
      </c>
      <c r="C3543" s="26" t="n">
        <v>46144</v>
      </c>
      <c r="D3543" s="6" t="s">
        <v>5165</v>
      </c>
      <c r="E3543" s="6" t="s">
        <v>22</v>
      </c>
      <c r="F3543" s="6" t="n">
        <v>1</v>
      </c>
      <c r="G3543" s="10" t="n">
        <v>977</v>
      </c>
      <c r="H3543" s="10" t="n">
        <f aca="false">F3543*G3543</f>
        <v>977</v>
      </c>
      <c r="I3543" s="6" t="s">
        <v>5122</v>
      </c>
    </row>
    <row r="3544" customFormat="false" ht="15" hidden="false" customHeight="false" outlineLevel="0" collapsed="false">
      <c r="A3544" s="6" t="s">
        <v>8767</v>
      </c>
      <c r="B3544" s="6" t="s">
        <v>3451</v>
      </c>
      <c r="C3544" s="26" t="n">
        <v>46144</v>
      </c>
      <c r="D3544" s="6" t="s">
        <v>5141</v>
      </c>
      <c r="E3544" s="6" t="s">
        <v>20</v>
      </c>
      <c r="F3544" s="6" t="n">
        <v>1</v>
      </c>
      <c r="G3544" s="10" t="n">
        <v>1834</v>
      </c>
      <c r="H3544" s="10" t="n">
        <f aca="false">F3544*G3544</f>
        <v>1834</v>
      </c>
      <c r="I3544" s="6" t="s">
        <v>5122</v>
      </c>
    </row>
    <row r="3545" customFormat="false" ht="15" hidden="false" customHeight="false" outlineLevel="0" collapsed="false">
      <c r="A3545" s="6" t="s">
        <v>8768</v>
      </c>
      <c r="B3545" s="6" t="s">
        <v>2469</v>
      </c>
      <c r="C3545" s="26" t="n">
        <v>46144</v>
      </c>
      <c r="D3545" s="6" t="s">
        <v>5165</v>
      </c>
      <c r="E3545" s="6" t="s">
        <v>22</v>
      </c>
      <c r="F3545" s="6" t="n">
        <v>2</v>
      </c>
      <c r="G3545" s="10" t="n">
        <v>977</v>
      </c>
      <c r="H3545" s="10" t="n">
        <f aca="false">F3545*G3545</f>
        <v>1954</v>
      </c>
      <c r="I3545" s="6" t="s">
        <v>5148</v>
      </c>
    </row>
    <row r="3546" customFormat="false" ht="15" hidden="false" customHeight="false" outlineLevel="0" collapsed="false">
      <c r="A3546" s="6" t="s">
        <v>8769</v>
      </c>
      <c r="B3546" s="6" t="s">
        <v>305</v>
      </c>
      <c r="C3546" s="26" t="n">
        <v>46144</v>
      </c>
      <c r="D3546" s="6" t="s">
        <v>5749</v>
      </c>
      <c r="E3546" s="6" t="s">
        <v>20</v>
      </c>
      <c r="F3546" s="6" t="n">
        <v>1</v>
      </c>
      <c r="G3546" s="10" t="n">
        <v>815</v>
      </c>
      <c r="H3546" s="10" t="n">
        <f aca="false">F3546*G3546</f>
        <v>815</v>
      </c>
      <c r="I3546" s="6" t="s">
        <v>5122</v>
      </c>
    </row>
    <row r="3547" customFormat="false" ht="15" hidden="false" customHeight="false" outlineLevel="0" collapsed="false">
      <c r="A3547" s="6" t="s">
        <v>8770</v>
      </c>
      <c r="B3547" s="6" t="s">
        <v>931</v>
      </c>
      <c r="C3547" s="26" t="n">
        <v>46144</v>
      </c>
      <c r="D3547" s="6" t="s">
        <v>5188</v>
      </c>
      <c r="E3547" s="6" t="s">
        <v>24</v>
      </c>
      <c r="F3547" s="6" t="n">
        <v>2</v>
      </c>
      <c r="G3547" s="10" t="n">
        <v>1018</v>
      </c>
      <c r="H3547" s="10" t="n">
        <f aca="false">F3547*G3547</f>
        <v>2036</v>
      </c>
      <c r="I3547" s="6" t="s">
        <v>5125</v>
      </c>
    </row>
    <row r="3548" customFormat="false" ht="15" hidden="false" customHeight="false" outlineLevel="0" collapsed="false">
      <c r="A3548" s="6" t="s">
        <v>8771</v>
      </c>
      <c r="B3548" s="6" t="s">
        <v>4221</v>
      </c>
      <c r="C3548" s="26" t="n">
        <v>46144</v>
      </c>
      <c r="D3548" s="6" t="s">
        <v>5298</v>
      </c>
      <c r="E3548" s="6" t="s">
        <v>23</v>
      </c>
      <c r="F3548" s="6" t="n">
        <v>1</v>
      </c>
      <c r="G3548" s="10" t="n">
        <v>292</v>
      </c>
      <c r="H3548" s="10" t="n">
        <f aca="false">F3548*G3548</f>
        <v>292</v>
      </c>
      <c r="I3548" s="6" t="s">
        <v>5125</v>
      </c>
    </row>
    <row r="3549" customFormat="false" ht="15" hidden="false" customHeight="false" outlineLevel="0" collapsed="false">
      <c r="A3549" s="6" t="s">
        <v>8772</v>
      </c>
      <c r="B3549" s="6" t="s">
        <v>765</v>
      </c>
      <c r="C3549" s="26" t="n">
        <v>46144</v>
      </c>
      <c r="D3549" s="6" t="s">
        <v>5165</v>
      </c>
      <c r="E3549" s="6" t="s">
        <v>22</v>
      </c>
      <c r="F3549" s="6" t="n">
        <v>1</v>
      </c>
      <c r="G3549" s="10" t="n">
        <v>977</v>
      </c>
      <c r="H3549" s="10" t="n">
        <f aca="false">F3549*G3549</f>
        <v>977</v>
      </c>
      <c r="I3549" s="6" t="s">
        <v>5148</v>
      </c>
    </row>
    <row r="3550" customFormat="false" ht="15" hidden="false" customHeight="false" outlineLevel="0" collapsed="false">
      <c r="A3550" s="6" t="s">
        <v>8773</v>
      </c>
      <c r="B3550" s="6" t="s">
        <v>200</v>
      </c>
      <c r="C3550" s="26" t="n">
        <v>46144</v>
      </c>
      <c r="D3550" s="6" t="s">
        <v>5538</v>
      </c>
      <c r="E3550" s="6" t="s">
        <v>21</v>
      </c>
      <c r="F3550" s="6" t="n">
        <v>1</v>
      </c>
      <c r="G3550" s="10" t="n">
        <v>5405</v>
      </c>
      <c r="H3550" s="10" t="n">
        <f aca="false">F3550*G3550</f>
        <v>5405</v>
      </c>
      <c r="I3550" s="6" t="s">
        <v>5125</v>
      </c>
    </row>
    <row r="3551" customFormat="false" ht="15" hidden="false" customHeight="false" outlineLevel="0" collapsed="false">
      <c r="A3551" s="6" t="s">
        <v>8774</v>
      </c>
      <c r="B3551" s="6" t="s">
        <v>2001</v>
      </c>
      <c r="C3551" s="26" t="n">
        <v>46144</v>
      </c>
      <c r="D3551" s="6" t="s">
        <v>5143</v>
      </c>
      <c r="E3551" s="6" t="s">
        <v>21</v>
      </c>
      <c r="F3551" s="6" t="n">
        <v>2</v>
      </c>
      <c r="G3551" s="10" t="n">
        <v>1179</v>
      </c>
      <c r="H3551" s="10" t="n">
        <f aca="false">F3551*G3551</f>
        <v>2358</v>
      </c>
      <c r="I3551" s="6" t="s">
        <v>5122</v>
      </c>
    </row>
    <row r="3552" customFormat="false" ht="15" hidden="false" customHeight="false" outlineLevel="0" collapsed="false">
      <c r="A3552" s="6" t="s">
        <v>8775</v>
      </c>
      <c r="B3552" s="6" t="s">
        <v>2361</v>
      </c>
      <c r="C3552" s="26" t="n">
        <v>46144</v>
      </c>
      <c r="D3552" s="6" t="s">
        <v>5220</v>
      </c>
      <c r="E3552" s="6" t="s">
        <v>24</v>
      </c>
      <c r="F3552" s="6" t="n">
        <v>4</v>
      </c>
      <c r="G3552" s="10" t="n">
        <v>1064</v>
      </c>
      <c r="H3552" s="10" t="n">
        <f aca="false">F3552*G3552</f>
        <v>4256</v>
      </c>
      <c r="I3552" s="6" t="s">
        <v>5122</v>
      </c>
    </row>
    <row r="3553" customFormat="false" ht="15" hidden="false" customHeight="false" outlineLevel="0" collapsed="false">
      <c r="A3553" s="6" t="s">
        <v>8776</v>
      </c>
      <c r="B3553" s="6" t="s">
        <v>3977</v>
      </c>
      <c r="C3553" s="26" t="n">
        <v>46144</v>
      </c>
      <c r="D3553" s="6" t="s">
        <v>5522</v>
      </c>
      <c r="E3553" s="6" t="s">
        <v>21</v>
      </c>
      <c r="F3553" s="6" t="n">
        <v>2</v>
      </c>
      <c r="G3553" s="10" t="n">
        <v>11499</v>
      </c>
      <c r="H3553" s="10" t="n">
        <f aca="false">F3553*G3553</f>
        <v>22998</v>
      </c>
      <c r="I3553" s="6" t="s">
        <v>5125</v>
      </c>
    </row>
    <row r="3554" customFormat="false" ht="15" hidden="false" customHeight="false" outlineLevel="0" collapsed="false">
      <c r="A3554" s="6" t="s">
        <v>8777</v>
      </c>
      <c r="B3554" s="6" t="s">
        <v>2797</v>
      </c>
      <c r="C3554" s="26" t="n">
        <v>46144</v>
      </c>
      <c r="D3554" s="6" t="s">
        <v>5127</v>
      </c>
      <c r="E3554" s="6" t="s">
        <v>21</v>
      </c>
      <c r="F3554" s="6" t="n">
        <v>1</v>
      </c>
      <c r="G3554" s="10" t="n">
        <v>795</v>
      </c>
      <c r="H3554" s="10" t="n">
        <f aca="false">F3554*G3554</f>
        <v>795</v>
      </c>
      <c r="I3554" s="6" t="s">
        <v>5122</v>
      </c>
    </row>
    <row r="3555" customFormat="false" ht="15" hidden="false" customHeight="false" outlineLevel="0" collapsed="false">
      <c r="A3555" s="6" t="s">
        <v>8778</v>
      </c>
      <c r="B3555" s="6" t="s">
        <v>3235</v>
      </c>
      <c r="C3555" s="26" t="n">
        <v>46144</v>
      </c>
      <c r="D3555" s="6" t="s">
        <v>5129</v>
      </c>
      <c r="E3555" s="6" t="s">
        <v>21</v>
      </c>
      <c r="F3555" s="6" t="n">
        <v>3</v>
      </c>
      <c r="G3555" s="10" t="n">
        <v>530</v>
      </c>
      <c r="H3555" s="10" t="n">
        <f aca="false">F3555*G3555</f>
        <v>1590</v>
      </c>
      <c r="I3555" s="6" t="s">
        <v>5122</v>
      </c>
    </row>
    <row r="3556" customFormat="false" ht="15" hidden="false" customHeight="false" outlineLevel="0" collapsed="false">
      <c r="A3556" s="6" t="s">
        <v>8779</v>
      </c>
      <c r="B3556" s="6" t="s">
        <v>4317</v>
      </c>
      <c r="C3556" s="26" t="n">
        <v>46144</v>
      </c>
      <c r="D3556" s="6" t="s">
        <v>5410</v>
      </c>
      <c r="E3556" s="6" t="s">
        <v>20</v>
      </c>
      <c r="F3556" s="6" t="n">
        <v>1</v>
      </c>
      <c r="G3556" s="10" t="n">
        <v>2548</v>
      </c>
      <c r="H3556" s="10" t="n">
        <f aca="false">F3556*G3556</f>
        <v>2548</v>
      </c>
      <c r="I3556" s="6" t="s">
        <v>5148</v>
      </c>
    </row>
    <row r="3557" customFormat="false" ht="15" hidden="false" customHeight="false" outlineLevel="0" collapsed="false">
      <c r="A3557" s="6" t="s">
        <v>8780</v>
      </c>
      <c r="B3557" s="6" t="s">
        <v>1097</v>
      </c>
      <c r="C3557" s="26" t="n">
        <v>46144</v>
      </c>
      <c r="D3557" s="6" t="s">
        <v>5175</v>
      </c>
      <c r="E3557" s="6" t="s">
        <v>24</v>
      </c>
      <c r="F3557" s="6" t="n">
        <v>2</v>
      </c>
      <c r="G3557" s="10" t="n">
        <v>610</v>
      </c>
      <c r="H3557" s="10" t="n">
        <f aca="false">F3557*G3557</f>
        <v>1220</v>
      </c>
      <c r="I3557" s="6" t="s">
        <v>5122</v>
      </c>
    </row>
    <row r="3558" customFormat="false" ht="15" hidden="false" customHeight="false" outlineLevel="0" collapsed="false">
      <c r="A3558" s="6" t="s">
        <v>8781</v>
      </c>
      <c r="B3558" s="6" t="s">
        <v>1661</v>
      </c>
      <c r="C3558" s="26" t="n">
        <v>46144</v>
      </c>
      <c r="D3558" s="6" t="s">
        <v>5339</v>
      </c>
      <c r="E3558" s="6" t="s">
        <v>24</v>
      </c>
      <c r="F3558" s="6" t="n">
        <v>1</v>
      </c>
      <c r="G3558" s="10" t="n">
        <v>508</v>
      </c>
      <c r="H3558" s="10" t="n">
        <f aca="false">F3558*G3558</f>
        <v>508</v>
      </c>
      <c r="I3558" s="6" t="s">
        <v>5122</v>
      </c>
    </row>
    <row r="3559" customFormat="false" ht="15" hidden="false" customHeight="false" outlineLevel="0" collapsed="false">
      <c r="A3559" s="6" t="s">
        <v>8782</v>
      </c>
      <c r="B3559" s="6" t="s">
        <v>4535</v>
      </c>
      <c r="C3559" s="26" t="n">
        <v>46144</v>
      </c>
      <c r="D3559" s="6" t="s">
        <v>5165</v>
      </c>
      <c r="E3559" s="6" t="s">
        <v>22</v>
      </c>
      <c r="F3559" s="6" t="n">
        <v>2</v>
      </c>
      <c r="G3559" s="10" t="n">
        <v>977</v>
      </c>
      <c r="H3559" s="10" t="n">
        <f aca="false">F3559*G3559</f>
        <v>1954</v>
      </c>
      <c r="I3559" s="6" t="s">
        <v>5122</v>
      </c>
    </row>
    <row r="3560" customFormat="false" ht="15" hidden="false" customHeight="false" outlineLevel="0" collapsed="false">
      <c r="A3560" s="6" t="s">
        <v>8783</v>
      </c>
      <c r="B3560" s="6" t="s">
        <v>1465</v>
      </c>
      <c r="C3560" s="26" t="n">
        <v>46144</v>
      </c>
      <c r="D3560" s="6" t="s">
        <v>6101</v>
      </c>
      <c r="E3560" s="6" t="s">
        <v>20</v>
      </c>
      <c r="F3560" s="6" t="n">
        <v>1</v>
      </c>
      <c r="G3560" s="10" t="n">
        <v>22434</v>
      </c>
      <c r="H3560" s="10" t="n">
        <f aca="false">F3560*G3560</f>
        <v>22434</v>
      </c>
      <c r="I3560" s="6" t="s">
        <v>5122</v>
      </c>
    </row>
    <row r="3561" customFormat="false" ht="15" hidden="false" customHeight="false" outlineLevel="0" collapsed="false">
      <c r="A3561" s="6" t="s">
        <v>8784</v>
      </c>
      <c r="B3561" s="6" t="s">
        <v>4703</v>
      </c>
      <c r="C3561" s="26" t="n">
        <v>46144</v>
      </c>
      <c r="D3561" s="6" t="s">
        <v>5167</v>
      </c>
      <c r="E3561" s="6" t="s">
        <v>22</v>
      </c>
      <c r="F3561" s="6" t="n">
        <v>3</v>
      </c>
      <c r="G3561" s="10" t="n">
        <v>782</v>
      </c>
      <c r="H3561" s="10" t="n">
        <f aca="false">F3561*G3561</f>
        <v>2346</v>
      </c>
      <c r="I3561" s="6" t="s">
        <v>5122</v>
      </c>
    </row>
    <row r="3562" customFormat="false" ht="15" hidden="false" customHeight="false" outlineLevel="0" collapsed="false">
      <c r="A3562" s="6" t="s">
        <v>8785</v>
      </c>
      <c r="B3562" s="6" t="s">
        <v>779</v>
      </c>
      <c r="C3562" s="26" t="n">
        <v>46144</v>
      </c>
      <c r="D3562" s="6" t="s">
        <v>5163</v>
      </c>
      <c r="E3562" s="6" t="s">
        <v>23</v>
      </c>
      <c r="F3562" s="6" t="n">
        <v>4</v>
      </c>
      <c r="G3562" s="10" t="n">
        <v>783</v>
      </c>
      <c r="H3562" s="10" t="n">
        <f aca="false">F3562*G3562</f>
        <v>3132</v>
      </c>
      <c r="I3562" s="6" t="s">
        <v>5130</v>
      </c>
    </row>
    <row r="3563" customFormat="false" ht="15" hidden="false" customHeight="false" outlineLevel="0" collapsed="false">
      <c r="A3563" s="6" t="s">
        <v>8786</v>
      </c>
      <c r="B3563" s="6" t="s">
        <v>1615</v>
      </c>
      <c r="C3563" s="26" t="n">
        <v>46144</v>
      </c>
      <c r="D3563" s="6" t="s">
        <v>5687</v>
      </c>
      <c r="E3563" s="6" t="s">
        <v>20</v>
      </c>
      <c r="F3563" s="6" t="n">
        <v>1</v>
      </c>
      <c r="G3563" s="10" t="n">
        <v>1835</v>
      </c>
      <c r="H3563" s="10" t="n">
        <f aca="false">F3563*G3563</f>
        <v>1835</v>
      </c>
      <c r="I3563" s="6" t="s">
        <v>5133</v>
      </c>
    </row>
    <row r="3564" customFormat="false" ht="15" hidden="false" customHeight="false" outlineLevel="0" collapsed="false">
      <c r="A3564" s="6" t="s">
        <v>8787</v>
      </c>
      <c r="B3564" s="6" t="s">
        <v>1827</v>
      </c>
      <c r="C3564" s="26" t="n">
        <v>46144</v>
      </c>
      <c r="D3564" s="6" t="s">
        <v>5707</v>
      </c>
      <c r="E3564" s="6" t="s">
        <v>22</v>
      </c>
      <c r="F3564" s="6" t="n">
        <v>1</v>
      </c>
      <c r="G3564" s="10" t="n">
        <v>2445</v>
      </c>
      <c r="H3564" s="10" t="n">
        <f aca="false">F3564*G3564</f>
        <v>2445</v>
      </c>
      <c r="I3564" s="6" t="s">
        <v>5122</v>
      </c>
    </row>
    <row r="3565" customFormat="false" ht="15" hidden="false" customHeight="false" outlineLevel="0" collapsed="false">
      <c r="A3565" s="6" t="s">
        <v>8788</v>
      </c>
      <c r="B3565" s="6" t="s">
        <v>1263</v>
      </c>
      <c r="C3565" s="26" t="n">
        <v>46144</v>
      </c>
      <c r="D3565" s="6" t="s">
        <v>5171</v>
      </c>
      <c r="E3565" s="6" t="s">
        <v>23</v>
      </c>
      <c r="F3565" s="6" t="n">
        <v>3</v>
      </c>
      <c r="G3565" s="10" t="n">
        <v>734</v>
      </c>
      <c r="H3565" s="10" t="n">
        <f aca="false">F3565*G3565</f>
        <v>2202</v>
      </c>
      <c r="I3565" s="6" t="s">
        <v>5122</v>
      </c>
    </row>
    <row r="3566" customFormat="false" ht="15" hidden="false" customHeight="false" outlineLevel="0" collapsed="false">
      <c r="A3566" s="6" t="s">
        <v>8789</v>
      </c>
      <c r="B3566" s="6" t="s">
        <v>2481</v>
      </c>
      <c r="C3566" s="26" t="n">
        <v>46144</v>
      </c>
      <c r="D3566" s="6" t="s">
        <v>5357</v>
      </c>
      <c r="E3566" s="6" t="s">
        <v>23</v>
      </c>
      <c r="F3566" s="6" t="n">
        <v>3</v>
      </c>
      <c r="G3566" s="10" t="n">
        <v>507</v>
      </c>
      <c r="H3566" s="10" t="n">
        <f aca="false">F3566*G3566</f>
        <v>1521</v>
      </c>
      <c r="I3566" s="6" t="s">
        <v>5173</v>
      </c>
    </row>
    <row r="3567" customFormat="false" ht="15" hidden="false" customHeight="false" outlineLevel="0" collapsed="false">
      <c r="A3567" s="6" t="s">
        <v>8790</v>
      </c>
      <c r="B3567" s="6" t="s">
        <v>3275</v>
      </c>
      <c r="C3567" s="26" t="n">
        <v>46144</v>
      </c>
      <c r="D3567" s="6" t="s">
        <v>5202</v>
      </c>
      <c r="E3567" s="6" t="s">
        <v>23</v>
      </c>
      <c r="F3567" s="6" t="n">
        <v>3</v>
      </c>
      <c r="G3567" s="10" t="n">
        <v>245</v>
      </c>
      <c r="H3567" s="10" t="n">
        <f aca="false">F3567*G3567</f>
        <v>735</v>
      </c>
      <c r="I3567" s="6" t="s">
        <v>5125</v>
      </c>
    </row>
    <row r="3568" customFormat="false" ht="15" hidden="false" customHeight="false" outlineLevel="0" collapsed="false">
      <c r="A3568" s="6" t="s">
        <v>8791</v>
      </c>
      <c r="B3568" s="6" t="s">
        <v>2111</v>
      </c>
      <c r="C3568" s="26" t="n">
        <v>46144</v>
      </c>
      <c r="D3568" s="6" t="s">
        <v>5167</v>
      </c>
      <c r="E3568" s="6" t="s">
        <v>22</v>
      </c>
      <c r="F3568" s="6" t="n">
        <v>1</v>
      </c>
      <c r="G3568" s="10" t="n">
        <v>782</v>
      </c>
      <c r="H3568" s="10" t="n">
        <f aca="false">F3568*G3568</f>
        <v>782</v>
      </c>
      <c r="I3568" s="6" t="s">
        <v>5133</v>
      </c>
    </row>
    <row r="3569" customFormat="false" ht="15" hidden="false" customHeight="false" outlineLevel="0" collapsed="false">
      <c r="A3569" s="6" t="s">
        <v>8792</v>
      </c>
      <c r="B3569" s="6" t="s">
        <v>2411</v>
      </c>
      <c r="C3569" s="26" t="n">
        <v>46144</v>
      </c>
      <c r="D3569" s="6" t="s">
        <v>5456</v>
      </c>
      <c r="E3569" s="6" t="s">
        <v>24</v>
      </c>
      <c r="F3569" s="6" t="n">
        <v>2</v>
      </c>
      <c r="G3569" s="10" t="n">
        <v>866</v>
      </c>
      <c r="H3569" s="10" t="n">
        <f aca="false">F3569*G3569</f>
        <v>1732</v>
      </c>
      <c r="I3569" s="6" t="s">
        <v>5122</v>
      </c>
    </row>
    <row r="3570" customFormat="false" ht="15" hidden="false" customHeight="false" outlineLevel="0" collapsed="false">
      <c r="A3570" s="6" t="s">
        <v>8793</v>
      </c>
      <c r="B3570" s="6" t="s">
        <v>3061</v>
      </c>
      <c r="C3570" s="26" t="n">
        <v>46144</v>
      </c>
      <c r="D3570" s="6" t="s">
        <v>5220</v>
      </c>
      <c r="E3570" s="6" t="s">
        <v>24</v>
      </c>
      <c r="F3570" s="6" t="n">
        <v>2</v>
      </c>
      <c r="G3570" s="10" t="n">
        <v>1008</v>
      </c>
      <c r="H3570" s="10" t="n">
        <f aca="false">F3570*G3570</f>
        <v>2016</v>
      </c>
      <c r="I3570" s="6" t="s">
        <v>5130</v>
      </c>
    </row>
    <row r="3571" customFormat="false" ht="15" hidden="false" customHeight="false" outlineLevel="0" collapsed="false">
      <c r="A3571" s="6" t="s">
        <v>8794</v>
      </c>
      <c r="B3571" s="6" t="s">
        <v>4339</v>
      </c>
      <c r="C3571" s="26" t="n">
        <v>46144</v>
      </c>
      <c r="D3571" s="6" t="s">
        <v>5163</v>
      </c>
      <c r="E3571" s="6" t="s">
        <v>23</v>
      </c>
      <c r="F3571" s="6" t="n">
        <v>3</v>
      </c>
      <c r="G3571" s="10" t="n">
        <v>783</v>
      </c>
      <c r="H3571" s="10" t="n">
        <f aca="false">F3571*G3571</f>
        <v>2349</v>
      </c>
      <c r="I3571" s="6" t="s">
        <v>5122</v>
      </c>
    </row>
    <row r="3572" customFormat="false" ht="15" hidden="false" customHeight="false" outlineLevel="0" collapsed="false">
      <c r="A3572" s="6" t="s">
        <v>8795</v>
      </c>
      <c r="B3572" s="6" t="s">
        <v>2943</v>
      </c>
      <c r="C3572" s="26" t="n">
        <v>46145</v>
      </c>
      <c r="D3572" s="6" t="s">
        <v>5269</v>
      </c>
      <c r="E3572" s="6" t="s">
        <v>22</v>
      </c>
      <c r="F3572" s="6" t="n">
        <v>1</v>
      </c>
      <c r="G3572" s="10" t="n">
        <v>1144</v>
      </c>
      <c r="H3572" s="10" t="n">
        <f aca="false">F3572*G3572</f>
        <v>1144</v>
      </c>
      <c r="I3572" s="6" t="s">
        <v>5130</v>
      </c>
    </row>
    <row r="3573" customFormat="false" ht="15" hidden="false" customHeight="false" outlineLevel="0" collapsed="false">
      <c r="A3573" s="6" t="s">
        <v>8796</v>
      </c>
      <c r="B3573" s="6" t="s">
        <v>4111</v>
      </c>
      <c r="C3573" s="26" t="n">
        <v>46145</v>
      </c>
      <c r="D3573" s="6" t="s">
        <v>5561</v>
      </c>
      <c r="E3573" s="6" t="s">
        <v>20</v>
      </c>
      <c r="F3573" s="6" t="n">
        <v>1</v>
      </c>
      <c r="G3573" s="10" t="n">
        <v>3363</v>
      </c>
      <c r="H3573" s="10" t="n">
        <f aca="false">F3573*G3573</f>
        <v>3363</v>
      </c>
      <c r="I3573" s="6" t="s">
        <v>5148</v>
      </c>
    </row>
    <row r="3574" customFormat="false" ht="15" hidden="false" customHeight="false" outlineLevel="0" collapsed="false">
      <c r="A3574" s="6" t="s">
        <v>8797</v>
      </c>
      <c r="B3574" s="6" t="s">
        <v>447</v>
      </c>
      <c r="C3574" s="26" t="n">
        <v>46145</v>
      </c>
      <c r="D3574" s="6" t="s">
        <v>5175</v>
      </c>
      <c r="E3574" s="6" t="s">
        <v>24</v>
      </c>
      <c r="F3574" s="6" t="n">
        <v>3</v>
      </c>
      <c r="G3574" s="10" t="n">
        <v>610</v>
      </c>
      <c r="H3574" s="10" t="n">
        <f aca="false">F3574*G3574</f>
        <v>1830</v>
      </c>
      <c r="I3574" s="6" t="s">
        <v>5122</v>
      </c>
    </row>
    <row r="3575" customFormat="false" ht="15" hidden="false" customHeight="false" outlineLevel="0" collapsed="false">
      <c r="A3575" s="6" t="s">
        <v>8798</v>
      </c>
      <c r="B3575" s="6" t="s">
        <v>1661</v>
      </c>
      <c r="C3575" s="26" t="n">
        <v>46145</v>
      </c>
      <c r="D3575" s="6" t="s">
        <v>5135</v>
      </c>
      <c r="E3575" s="6" t="s">
        <v>23</v>
      </c>
      <c r="F3575" s="6" t="n">
        <v>2</v>
      </c>
      <c r="G3575" s="10" t="n">
        <v>419</v>
      </c>
      <c r="H3575" s="10" t="n">
        <f aca="false">F3575*G3575</f>
        <v>838</v>
      </c>
      <c r="I3575" s="6" t="s">
        <v>5125</v>
      </c>
    </row>
    <row r="3576" customFormat="false" ht="15" hidden="false" customHeight="false" outlineLevel="0" collapsed="false">
      <c r="A3576" s="6" t="s">
        <v>8799</v>
      </c>
      <c r="B3576" s="6" t="s">
        <v>3199</v>
      </c>
      <c r="C3576" s="26" t="n">
        <v>46145</v>
      </c>
      <c r="D3576" s="6" t="s">
        <v>5167</v>
      </c>
      <c r="E3576" s="6" t="s">
        <v>22</v>
      </c>
      <c r="F3576" s="6" t="n">
        <v>3</v>
      </c>
      <c r="G3576" s="10" t="n">
        <v>782</v>
      </c>
      <c r="H3576" s="10" t="n">
        <f aca="false">F3576*G3576</f>
        <v>2346</v>
      </c>
      <c r="I3576" s="6" t="s">
        <v>5133</v>
      </c>
    </row>
    <row r="3577" customFormat="false" ht="15" hidden="false" customHeight="false" outlineLevel="0" collapsed="false">
      <c r="A3577" s="6" t="s">
        <v>8800</v>
      </c>
      <c r="B3577" s="6" t="s">
        <v>2359</v>
      </c>
      <c r="C3577" s="26" t="n">
        <v>46145</v>
      </c>
      <c r="D3577" s="6" t="s">
        <v>5147</v>
      </c>
      <c r="E3577" s="6" t="s">
        <v>24</v>
      </c>
      <c r="F3577" s="6" t="n">
        <v>1</v>
      </c>
      <c r="G3577" s="10" t="n">
        <v>662</v>
      </c>
      <c r="H3577" s="10" t="n">
        <f aca="false">F3577*G3577</f>
        <v>662</v>
      </c>
      <c r="I3577" s="6" t="s">
        <v>5148</v>
      </c>
    </row>
    <row r="3578" customFormat="false" ht="15" hidden="false" customHeight="false" outlineLevel="0" collapsed="false">
      <c r="A3578" s="6" t="s">
        <v>8801</v>
      </c>
      <c r="B3578" s="6" t="s">
        <v>1483</v>
      </c>
      <c r="C3578" s="26" t="n">
        <v>46145</v>
      </c>
      <c r="D3578" s="6" t="s">
        <v>5192</v>
      </c>
      <c r="E3578" s="6" t="s">
        <v>20</v>
      </c>
      <c r="F3578" s="6" t="n">
        <v>1</v>
      </c>
      <c r="G3578" s="10" t="n">
        <v>3874</v>
      </c>
      <c r="H3578" s="10" t="n">
        <f aca="false">F3578*G3578</f>
        <v>3874</v>
      </c>
      <c r="I3578" s="6" t="s">
        <v>5148</v>
      </c>
    </row>
    <row r="3579" customFormat="false" ht="15" hidden="false" customHeight="false" outlineLevel="0" collapsed="false">
      <c r="A3579" s="6" t="s">
        <v>8802</v>
      </c>
      <c r="B3579" s="6" t="s">
        <v>2555</v>
      </c>
      <c r="C3579" s="26" t="n">
        <v>46145</v>
      </c>
      <c r="D3579" s="6" t="s">
        <v>5353</v>
      </c>
      <c r="E3579" s="6" t="s">
        <v>24</v>
      </c>
      <c r="F3579" s="6" t="n">
        <v>2</v>
      </c>
      <c r="G3579" s="10" t="n">
        <v>1548</v>
      </c>
      <c r="H3579" s="10" t="n">
        <f aca="false">F3579*G3579</f>
        <v>3096</v>
      </c>
      <c r="I3579" s="6" t="s">
        <v>5122</v>
      </c>
    </row>
    <row r="3580" customFormat="false" ht="15" hidden="false" customHeight="false" outlineLevel="0" collapsed="false">
      <c r="A3580" s="6" t="s">
        <v>8803</v>
      </c>
      <c r="B3580" s="6" t="s">
        <v>3157</v>
      </c>
      <c r="C3580" s="26" t="n">
        <v>46145</v>
      </c>
      <c r="D3580" s="6" t="s">
        <v>5220</v>
      </c>
      <c r="E3580" s="6" t="s">
        <v>24</v>
      </c>
      <c r="F3580" s="6" t="n">
        <v>2</v>
      </c>
      <c r="G3580" s="10" t="n">
        <v>1120</v>
      </c>
      <c r="H3580" s="10" t="n">
        <f aca="false">F3580*G3580</f>
        <v>2240</v>
      </c>
      <c r="I3580" s="6" t="s">
        <v>5148</v>
      </c>
    </row>
    <row r="3581" customFormat="false" ht="15" hidden="false" customHeight="false" outlineLevel="0" collapsed="false">
      <c r="A3581" s="6" t="s">
        <v>8804</v>
      </c>
      <c r="B3581" s="6" t="s">
        <v>3219</v>
      </c>
      <c r="C3581" s="26" t="n">
        <v>46145</v>
      </c>
      <c r="D3581" s="6" t="s">
        <v>5298</v>
      </c>
      <c r="E3581" s="6" t="s">
        <v>23</v>
      </c>
      <c r="F3581" s="6" t="n">
        <v>4</v>
      </c>
      <c r="G3581" s="10" t="n">
        <v>293</v>
      </c>
      <c r="H3581" s="10" t="n">
        <f aca="false">F3581*G3581</f>
        <v>1172</v>
      </c>
      <c r="I3581" s="6" t="s">
        <v>5130</v>
      </c>
    </row>
    <row r="3582" customFormat="false" ht="15" hidden="false" customHeight="false" outlineLevel="0" collapsed="false">
      <c r="A3582" s="6" t="s">
        <v>8805</v>
      </c>
      <c r="B3582" s="6" t="s">
        <v>3741</v>
      </c>
      <c r="C3582" s="26" t="n">
        <v>46145</v>
      </c>
      <c r="D3582" s="6" t="s">
        <v>5216</v>
      </c>
      <c r="E3582" s="6" t="s">
        <v>23</v>
      </c>
      <c r="F3582" s="6" t="n">
        <v>4</v>
      </c>
      <c r="G3582" s="10" t="n">
        <v>558</v>
      </c>
      <c r="H3582" s="10" t="n">
        <f aca="false">F3582*G3582</f>
        <v>2232</v>
      </c>
      <c r="I3582" s="6" t="s">
        <v>5148</v>
      </c>
    </row>
    <row r="3583" customFormat="false" ht="15" hidden="false" customHeight="false" outlineLevel="0" collapsed="false">
      <c r="A3583" s="6" t="s">
        <v>8806</v>
      </c>
      <c r="B3583" s="6" t="s">
        <v>4277</v>
      </c>
      <c r="C3583" s="26" t="n">
        <v>46145</v>
      </c>
      <c r="D3583" s="6" t="s">
        <v>5121</v>
      </c>
      <c r="E3583" s="6" t="s">
        <v>22</v>
      </c>
      <c r="F3583" s="6" t="n">
        <v>2</v>
      </c>
      <c r="G3583" s="10" t="n">
        <v>977</v>
      </c>
      <c r="H3583" s="10" t="n">
        <f aca="false">F3583*G3583</f>
        <v>1954</v>
      </c>
      <c r="I3583" s="6" t="s">
        <v>5122</v>
      </c>
    </row>
    <row r="3584" customFormat="false" ht="15" hidden="false" customHeight="false" outlineLevel="0" collapsed="false">
      <c r="A3584" s="6" t="s">
        <v>8807</v>
      </c>
      <c r="B3584" s="6" t="s">
        <v>4471</v>
      </c>
      <c r="C3584" s="26" t="n">
        <v>46145</v>
      </c>
      <c r="D3584" s="6" t="s">
        <v>5175</v>
      </c>
      <c r="E3584" s="6" t="s">
        <v>24</v>
      </c>
      <c r="F3584" s="6" t="n">
        <v>1</v>
      </c>
      <c r="G3584" s="10" t="n">
        <v>610</v>
      </c>
      <c r="H3584" s="10" t="n">
        <f aca="false">F3584*G3584</f>
        <v>610</v>
      </c>
      <c r="I3584" s="6" t="s">
        <v>5122</v>
      </c>
    </row>
    <row r="3585" customFormat="false" ht="15" hidden="false" customHeight="false" outlineLevel="0" collapsed="false">
      <c r="A3585" s="6" t="s">
        <v>8808</v>
      </c>
      <c r="B3585" s="6" t="s">
        <v>2467</v>
      </c>
      <c r="C3585" s="26" t="n">
        <v>46145</v>
      </c>
      <c r="D3585" s="6" t="s">
        <v>5326</v>
      </c>
      <c r="E3585" s="6" t="s">
        <v>22</v>
      </c>
      <c r="F3585" s="6" t="n">
        <v>1</v>
      </c>
      <c r="G3585" s="10" t="n">
        <v>1466</v>
      </c>
      <c r="H3585" s="10" t="n">
        <f aca="false">F3585*G3585</f>
        <v>1466</v>
      </c>
      <c r="I3585" s="6" t="s">
        <v>5122</v>
      </c>
    </row>
    <row r="3586" customFormat="false" ht="15" hidden="false" customHeight="false" outlineLevel="0" collapsed="false">
      <c r="A3586" s="6" t="s">
        <v>8809</v>
      </c>
      <c r="B3586" s="6" t="s">
        <v>3633</v>
      </c>
      <c r="C3586" s="26" t="n">
        <v>46145</v>
      </c>
      <c r="D3586" s="6" t="s">
        <v>5259</v>
      </c>
      <c r="E3586" s="6" t="s">
        <v>22</v>
      </c>
      <c r="F3586" s="6" t="n">
        <v>1</v>
      </c>
      <c r="G3586" s="10" t="n">
        <v>1563</v>
      </c>
      <c r="H3586" s="10" t="n">
        <f aca="false">F3586*G3586</f>
        <v>1563</v>
      </c>
      <c r="I3586" s="6" t="s">
        <v>5122</v>
      </c>
    </row>
    <row r="3587" customFormat="false" ht="15" hidden="false" customHeight="false" outlineLevel="0" collapsed="false">
      <c r="A3587" s="6" t="s">
        <v>8810</v>
      </c>
      <c r="B3587" s="6" t="s">
        <v>1851</v>
      </c>
      <c r="C3587" s="26" t="n">
        <v>46145</v>
      </c>
      <c r="D3587" s="6" t="s">
        <v>5167</v>
      </c>
      <c r="E3587" s="6" t="s">
        <v>22</v>
      </c>
      <c r="F3587" s="6" t="n">
        <v>1</v>
      </c>
      <c r="G3587" s="10" t="n">
        <v>743</v>
      </c>
      <c r="H3587" s="10" t="n">
        <f aca="false">F3587*G3587</f>
        <v>743</v>
      </c>
      <c r="I3587" s="6" t="s">
        <v>5122</v>
      </c>
    </row>
    <row r="3588" customFormat="false" ht="15" hidden="false" customHeight="false" outlineLevel="0" collapsed="false">
      <c r="A3588" s="6" t="s">
        <v>8811</v>
      </c>
      <c r="B3588" s="6" t="s">
        <v>1357</v>
      </c>
      <c r="C3588" s="26" t="n">
        <v>46145</v>
      </c>
      <c r="D3588" s="6" t="s">
        <v>5163</v>
      </c>
      <c r="E3588" s="6" t="s">
        <v>23</v>
      </c>
      <c r="F3588" s="6" t="n">
        <v>2</v>
      </c>
      <c r="G3588" s="10" t="n">
        <v>705</v>
      </c>
      <c r="H3588" s="10" t="n">
        <f aca="false">F3588*G3588</f>
        <v>1410</v>
      </c>
      <c r="I3588" s="6" t="s">
        <v>5125</v>
      </c>
    </row>
    <row r="3589" customFormat="false" ht="15" hidden="false" customHeight="false" outlineLevel="0" collapsed="false">
      <c r="A3589" s="6" t="s">
        <v>8812</v>
      </c>
      <c r="B3589" s="6" t="s">
        <v>2427</v>
      </c>
      <c r="C3589" s="26" t="n">
        <v>46145</v>
      </c>
      <c r="D3589" s="6" t="s">
        <v>5273</v>
      </c>
      <c r="E3589" s="6" t="s">
        <v>23</v>
      </c>
      <c r="F3589" s="6" t="n">
        <v>3</v>
      </c>
      <c r="G3589" s="10" t="n">
        <v>228</v>
      </c>
      <c r="H3589" s="10" t="n">
        <f aca="false">F3589*G3589</f>
        <v>684</v>
      </c>
      <c r="I3589" s="6" t="s">
        <v>5130</v>
      </c>
    </row>
    <row r="3590" customFormat="false" ht="15" hidden="false" customHeight="false" outlineLevel="0" collapsed="false">
      <c r="A3590" s="6" t="s">
        <v>8813</v>
      </c>
      <c r="B3590" s="6" t="s">
        <v>1963</v>
      </c>
      <c r="C3590" s="26" t="n">
        <v>46145</v>
      </c>
      <c r="D3590" s="6" t="s">
        <v>5357</v>
      </c>
      <c r="E3590" s="6" t="s">
        <v>23</v>
      </c>
      <c r="F3590" s="6" t="n">
        <v>3</v>
      </c>
      <c r="G3590" s="10" t="n">
        <v>481</v>
      </c>
      <c r="H3590" s="10" t="n">
        <f aca="false">F3590*G3590</f>
        <v>1443</v>
      </c>
      <c r="I3590" s="6" t="s">
        <v>5125</v>
      </c>
    </row>
    <row r="3591" customFormat="false" ht="15" hidden="false" customHeight="false" outlineLevel="0" collapsed="false">
      <c r="A3591" s="6" t="s">
        <v>8814</v>
      </c>
      <c r="B3591" s="6" t="s">
        <v>3475</v>
      </c>
      <c r="C3591" s="26" t="n">
        <v>46145</v>
      </c>
      <c r="D3591" s="6" t="s">
        <v>5163</v>
      </c>
      <c r="E3591" s="6" t="s">
        <v>23</v>
      </c>
      <c r="F3591" s="6" t="n">
        <v>2</v>
      </c>
      <c r="G3591" s="10" t="n">
        <v>783</v>
      </c>
      <c r="H3591" s="10" t="n">
        <f aca="false">F3591*G3591</f>
        <v>1566</v>
      </c>
      <c r="I3591" s="6" t="s">
        <v>5122</v>
      </c>
    </row>
    <row r="3592" customFormat="false" ht="15" hidden="false" customHeight="false" outlineLevel="0" collapsed="false">
      <c r="A3592" s="6" t="s">
        <v>8815</v>
      </c>
      <c r="B3592" s="6" t="s">
        <v>1017</v>
      </c>
      <c r="C3592" s="26" t="n">
        <v>46145</v>
      </c>
      <c r="D3592" s="6" t="s">
        <v>5163</v>
      </c>
      <c r="E3592" s="6" t="s">
        <v>23</v>
      </c>
      <c r="F3592" s="6" t="n">
        <v>3</v>
      </c>
      <c r="G3592" s="10" t="n">
        <v>744</v>
      </c>
      <c r="H3592" s="10" t="n">
        <f aca="false">F3592*G3592</f>
        <v>2232</v>
      </c>
      <c r="I3592" s="6" t="s">
        <v>5148</v>
      </c>
    </row>
    <row r="3593" customFormat="false" ht="15" hidden="false" customHeight="false" outlineLevel="0" collapsed="false">
      <c r="A3593" s="6" t="s">
        <v>8816</v>
      </c>
      <c r="B3593" s="6" t="s">
        <v>366</v>
      </c>
      <c r="C3593" s="26" t="n">
        <v>46145</v>
      </c>
      <c r="D3593" s="6" t="s">
        <v>5185</v>
      </c>
      <c r="E3593" s="6" t="s">
        <v>24</v>
      </c>
      <c r="F3593" s="6" t="n">
        <v>2</v>
      </c>
      <c r="G3593" s="10" t="n">
        <v>2140</v>
      </c>
      <c r="H3593" s="10" t="n">
        <f aca="false">F3593*G3593</f>
        <v>4280</v>
      </c>
      <c r="I3593" s="6" t="s">
        <v>5122</v>
      </c>
    </row>
    <row r="3594" customFormat="false" ht="15" hidden="false" customHeight="false" outlineLevel="0" collapsed="false">
      <c r="A3594" s="6" t="s">
        <v>8817</v>
      </c>
      <c r="B3594" s="6" t="s">
        <v>3317</v>
      </c>
      <c r="C3594" s="26" t="n">
        <v>46145</v>
      </c>
      <c r="D3594" s="6" t="s">
        <v>5167</v>
      </c>
      <c r="E3594" s="6" t="s">
        <v>22</v>
      </c>
      <c r="F3594" s="6" t="n">
        <v>2</v>
      </c>
      <c r="G3594" s="10" t="n">
        <v>703</v>
      </c>
      <c r="H3594" s="10" t="n">
        <f aca="false">F3594*G3594</f>
        <v>1406</v>
      </c>
      <c r="I3594" s="6" t="s">
        <v>5122</v>
      </c>
    </row>
    <row r="3595" customFormat="false" ht="15" hidden="false" customHeight="false" outlineLevel="0" collapsed="false">
      <c r="A3595" s="6" t="s">
        <v>8818</v>
      </c>
      <c r="B3595" s="6" t="s">
        <v>1685</v>
      </c>
      <c r="C3595" s="26" t="n">
        <v>46145</v>
      </c>
      <c r="D3595" s="6" t="s">
        <v>5165</v>
      </c>
      <c r="E3595" s="6" t="s">
        <v>22</v>
      </c>
      <c r="F3595" s="6" t="n">
        <v>1</v>
      </c>
      <c r="G3595" s="10" t="n">
        <v>977</v>
      </c>
      <c r="H3595" s="10" t="n">
        <f aca="false">F3595*G3595</f>
        <v>977</v>
      </c>
      <c r="I3595" s="6" t="s">
        <v>5148</v>
      </c>
    </row>
    <row r="3596" customFormat="false" ht="15" hidden="false" customHeight="false" outlineLevel="0" collapsed="false">
      <c r="A3596" s="6" t="s">
        <v>8819</v>
      </c>
      <c r="B3596" s="6" t="s">
        <v>3535</v>
      </c>
      <c r="C3596" s="26" t="n">
        <v>46145</v>
      </c>
      <c r="D3596" s="6" t="s">
        <v>5165</v>
      </c>
      <c r="E3596" s="6" t="s">
        <v>22</v>
      </c>
      <c r="F3596" s="6" t="n">
        <v>2</v>
      </c>
      <c r="G3596" s="10" t="n">
        <v>928</v>
      </c>
      <c r="H3596" s="10" t="n">
        <f aca="false">F3596*G3596</f>
        <v>1856</v>
      </c>
      <c r="I3596" s="6" t="s">
        <v>5122</v>
      </c>
    </row>
    <row r="3597" customFormat="false" ht="15" hidden="false" customHeight="false" outlineLevel="0" collapsed="false">
      <c r="A3597" s="6" t="s">
        <v>8820</v>
      </c>
      <c r="B3597" s="6" t="s">
        <v>4021</v>
      </c>
      <c r="C3597" s="26" t="n">
        <v>46145</v>
      </c>
      <c r="D3597" s="6" t="s">
        <v>5163</v>
      </c>
      <c r="E3597" s="6" t="s">
        <v>23</v>
      </c>
      <c r="F3597" s="6" t="n">
        <v>1</v>
      </c>
      <c r="G3597" s="10" t="n">
        <v>782</v>
      </c>
      <c r="H3597" s="10" t="n">
        <f aca="false">F3597*G3597</f>
        <v>782</v>
      </c>
      <c r="I3597" s="6" t="s">
        <v>5122</v>
      </c>
    </row>
    <row r="3598" customFormat="false" ht="15" hidden="false" customHeight="false" outlineLevel="0" collapsed="false">
      <c r="A3598" s="6" t="s">
        <v>8821</v>
      </c>
      <c r="B3598" s="6" t="s">
        <v>859</v>
      </c>
      <c r="C3598" s="26" t="n">
        <v>46145</v>
      </c>
      <c r="D3598" s="6" t="s">
        <v>5167</v>
      </c>
      <c r="E3598" s="6" t="s">
        <v>22</v>
      </c>
      <c r="F3598" s="6" t="n">
        <v>1</v>
      </c>
      <c r="G3598" s="10" t="n">
        <v>782</v>
      </c>
      <c r="H3598" s="10" t="n">
        <f aca="false">F3598*G3598</f>
        <v>782</v>
      </c>
      <c r="I3598" s="6" t="s">
        <v>5122</v>
      </c>
    </row>
    <row r="3599" customFormat="false" ht="15" hidden="false" customHeight="false" outlineLevel="0" collapsed="false">
      <c r="A3599" s="6" t="s">
        <v>8822</v>
      </c>
      <c r="B3599" s="6" t="s">
        <v>3929</v>
      </c>
      <c r="C3599" s="26" t="n">
        <v>46145</v>
      </c>
      <c r="D3599" s="6" t="s">
        <v>5171</v>
      </c>
      <c r="E3599" s="6" t="s">
        <v>23</v>
      </c>
      <c r="F3599" s="6" t="n">
        <v>1</v>
      </c>
      <c r="G3599" s="10" t="n">
        <v>733</v>
      </c>
      <c r="H3599" s="10" t="n">
        <f aca="false">F3599*G3599</f>
        <v>733</v>
      </c>
      <c r="I3599" s="6" t="s">
        <v>5148</v>
      </c>
    </row>
    <row r="3600" customFormat="false" ht="15" hidden="false" customHeight="false" outlineLevel="0" collapsed="false">
      <c r="A3600" s="6" t="s">
        <v>8823</v>
      </c>
      <c r="B3600" s="6" t="s">
        <v>689</v>
      </c>
      <c r="C3600" s="26" t="n">
        <v>46145</v>
      </c>
      <c r="D3600" s="6" t="s">
        <v>5145</v>
      </c>
      <c r="E3600" s="6" t="s">
        <v>21</v>
      </c>
      <c r="F3600" s="6" t="n">
        <v>1</v>
      </c>
      <c r="G3600" s="10" t="n">
        <v>1277</v>
      </c>
      <c r="H3600" s="10" t="n">
        <f aca="false">F3600*G3600</f>
        <v>1277</v>
      </c>
      <c r="I3600" s="6" t="s">
        <v>5122</v>
      </c>
    </row>
    <row r="3601" customFormat="false" ht="15" hidden="false" customHeight="false" outlineLevel="0" collapsed="false">
      <c r="A3601" s="6" t="s">
        <v>8824</v>
      </c>
      <c r="B3601" s="6" t="s">
        <v>4763</v>
      </c>
      <c r="C3601" s="26" t="n">
        <v>46145</v>
      </c>
      <c r="D3601" s="6" t="s">
        <v>5192</v>
      </c>
      <c r="E3601" s="6" t="s">
        <v>20</v>
      </c>
      <c r="F3601" s="6" t="n">
        <v>1</v>
      </c>
      <c r="G3601" s="10" t="n">
        <v>4078</v>
      </c>
      <c r="H3601" s="10" t="n">
        <f aca="false">F3601*G3601</f>
        <v>4078</v>
      </c>
      <c r="I3601" s="6" t="s">
        <v>5130</v>
      </c>
    </row>
    <row r="3602" customFormat="false" ht="15" hidden="false" customHeight="false" outlineLevel="0" collapsed="false">
      <c r="A3602" s="6" t="s">
        <v>8825</v>
      </c>
      <c r="B3602" s="6" t="s">
        <v>1885</v>
      </c>
      <c r="C3602" s="26" t="n">
        <v>46145</v>
      </c>
      <c r="D3602" s="6" t="s">
        <v>5458</v>
      </c>
      <c r="E3602" s="6" t="s">
        <v>24</v>
      </c>
      <c r="F3602" s="6" t="n">
        <v>2</v>
      </c>
      <c r="G3602" s="10" t="n">
        <v>559</v>
      </c>
      <c r="H3602" s="10" t="n">
        <f aca="false">F3602*G3602</f>
        <v>1118</v>
      </c>
      <c r="I3602" s="6" t="s">
        <v>5122</v>
      </c>
    </row>
    <row r="3603" customFormat="false" ht="15" hidden="false" customHeight="false" outlineLevel="0" collapsed="false">
      <c r="A3603" s="6" t="s">
        <v>8826</v>
      </c>
      <c r="B3603" s="6" t="s">
        <v>4007</v>
      </c>
      <c r="C3603" s="26" t="n">
        <v>46145</v>
      </c>
      <c r="D3603" s="6" t="s">
        <v>5127</v>
      </c>
      <c r="E3603" s="6" t="s">
        <v>21</v>
      </c>
      <c r="F3603" s="6" t="n">
        <v>1</v>
      </c>
      <c r="G3603" s="10" t="n">
        <v>884</v>
      </c>
      <c r="H3603" s="10" t="n">
        <f aca="false">F3603*G3603</f>
        <v>884</v>
      </c>
      <c r="I3603" s="6" t="s">
        <v>5130</v>
      </c>
    </row>
    <row r="3604" customFormat="false" ht="15" hidden="false" customHeight="false" outlineLevel="0" collapsed="false">
      <c r="A3604" s="6" t="s">
        <v>8827</v>
      </c>
      <c r="B3604" s="6" t="s">
        <v>287</v>
      </c>
      <c r="C3604" s="26" t="n">
        <v>46145</v>
      </c>
      <c r="D3604" s="6" t="s">
        <v>5167</v>
      </c>
      <c r="E3604" s="6" t="s">
        <v>22</v>
      </c>
      <c r="F3604" s="6" t="n">
        <v>1</v>
      </c>
      <c r="G3604" s="10" t="n">
        <v>703</v>
      </c>
      <c r="H3604" s="10" t="n">
        <f aca="false">F3604*G3604</f>
        <v>703</v>
      </c>
      <c r="I3604" s="6" t="s">
        <v>5130</v>
      </c>
    </row>
    <row r="3605" customFormat="false" ht="15" hidden="false" customHeight="false" outlineLevel="0" collapsed="false">
      <c r="A3605" s="6" t="s">
        <v>8828</v>
      </c>
      <c r="B3605" s="6" t="s">
        <v>4759</v>
      </c>
      <c r="C3605" s="26" t="n">
        <v>46145</v>
      </c>
      <c r="D3605" s="6" t="s">
        <v>5154</v>
      </c>
      <c r="E3605" s="6" t="s">
        <v>21</v>
      </c>
      <c r="F3605" s="6" t="n">
        <v>2</v>
      </c>
      <c r="G3605" s="10" t="n">
        <v>746</v>
      </c>
      <c r="H3605" s="10" t="n">
        <f aca="false">F3605*G3605</f>
        <v>1492</v>
      </c>
      <c r="I3605" s="6" t="s">
        <v>5122</v>
      </c>
    </row>
    <row r="3606" customFormat="false" ht="15" hidden="false" customHeight="false" outlineLevel="0" collapsed="false">
      <c r="A3606" s="6" t="s">
        <v>8829</v>
      </c>
      <c r="B3606" s="6" t="s">
        <v>4399</v>
      </c>
      <c r="C3606" s="26" t="n">
        <v>46145</v>
      </c>
      <c r="D3606" s="6" t="s">
        <v>5167</v>
      </c>
      <c r="E3606" s="6" t="s">
        <v>22</v>
      </c>
      <c r="F3606" s="6" t="n">
        <v>2</v>
      </c>
      <c r="G3606" s="10" t="n">
        <v>782</v>
      </c>
      <c r="H3606" s="10" t="n">
        <f aca="false">F3606*G3606</f>
        <v>1564</v>
      </c>
      <c r="I3606" s="6" t="s">
        <v>5125</v>
      </c>
    </row>
    <row r="3607" customFormat="false" ht="15" hidden="false" customHeight="false" outlineLevel="0" collapsed="false">
      <c r="A3607" s="6" t="s">
        <v>8830</v>
      </c>
      <c r="B3607" s="6" t="s">
        <v>2105</v>
      </c>
      <c r="C3607" s="26" t="n">
        <v>46145</v>
      </c>
      <c r="D3607" s="6" t="s">
        <v>5458</v>
      </c>
      <c r="E3607" s="6" t="s">
        <v>24</v>
      </c>
      <c r="F3607" s="6" t="n">
        <v>1</v>
      </c>
      <c r="G3607" s="10" t="n">
        <v>559</v>
      </c>
      <c r="H3607" s="10" t="n">
        <f aca="false">F3607*G3607</f>
        <v>559</v>
      </c>
      <c r="I3607" s="6" t="s">
        <v>5148</v>
      </c>
    </row>
    <row r="3608" customFormat="false" ht="15" hidden="false" customHeight="false" outlineLevel="0" collapsed="false">
      <c r="A3608" s="6" t="s">
        <v>8831</v>
      </c>
      <c r="B3608" s="6" t="s">
        <v>4593</v>
      </c>
      <c r="C3608" s="26" t="n">
        <v>46145</v>
      </c>
      <c r="D3608" s="6" t="s">
        <v>5269</v>
      </c>
      <c r="E3608" s="6" t="s">
        <v>22</v>
      </c>
      <c r="F3608" s="6" t="n">
        <v>1</v>
      </c>
      <c r="G3608" s="10" t="n">
        <v>1143</v>
      </c>
      <c r="H3608" s="10" t="n">
        <f aca="false">F3608*G3608</f>
        <v>1143</v>
      </c>
      <c r="I3608" s="6" t="s">
        <v>5125</v>
      </c>
    </row>
    <row r="3609" customFormat="false" ht="15" hidden="false" customHeight="false" outlineLevel="0" collapsed="false">
      <c r="A3609" s="6" t="s">
        <v>8832</v>
      </c>
      <c r="B3609" s="6" t="s">
        <v>4183</v>
      </c>
      <c r="C3609" s="26" t="n">
        <v>46145</v>
      </c>
      <c r="D3609" s="6" t="s">
        <v>5235</v>
      </c>
      <c r="E3609" s="6" t="s">
        <v>21</v>
      </c>
      <c r="F3609" s="6" t="n">
        <v>2</v>
      </c>
      <c r="G3609" s="10" t="n">
        <v>1670</v>
      </c>
      <c r="H3609" s="10" t="n">
        <f aca="false">F3609*G3609</f>
        <v>3340</v>
      </c>
      <c r="I3609" s="6" t="s">
        <v>5122</v>
      </c>
    </row>
    <row r="3610" customFormat="false" ht="15" hidden="false" customHeight="false" outlineLevel="0" collapsed="false">
      <c r="A3610" s="6" t="s">
        <v>8833</v>
      </c>
      <c r="B3610" s="6" t="s">
        <v>3277</v>
      </c>
      <c r="C3610" s="26" t="n">
        <v>46145</v>
      </c>
      <c r="D3610" s="6" t="s">
        <v>5687</v>
      </c>
      <c r="E3610" s="6" t="s">
        <v>20</v>
      </c>
      <c r="F3610" s="6" t="n">
        <v>1</v>
      </c>
      <c r="G3610" s="10" t="n">
        <v>2039</v>
      </c>
      <c r="H3610" s="10" t="n">
        <f aca="false">F3610*G3610</f>
        <v>2039</v>
      </c>
      <c r="I3610" s="6" t="s">
        <v>5130</v>
      </c>
    </row>
    <row r="3611" customFormat="false" ht="15" hidden="false" customHeight="false" outlineLevel="0" collapsed="false">
      <c r="A3611" s="6" t="s">
        <v>8834</v>
      </c>
      <c r="B3611" s="6" t="s">
        <v>2419</v>
      </c>
      <c r="C3611" s="26" t="n">
        <v>46145</v>
      </c>
      <c r="D3611" s="6" t="s">
        <v>5242</v>
      </c>
      <c r="E3611" s="6" t="s">
        <v>23</v>
      </c>
      <c r="F3611" s="6" t="n">
        <v>5</v>
      </c>
      <c r="G3611" s="10" t="n">
        <v>372</v>
      </c>
      <c r="H3611" s="10" t="n">
        <f aca="false">F3611*G3611</f>
        <v>1860</v>
      </c>
      <c r="I3611" s="6" t="s">
        <v>5148</v>
      </c>
    </row>
    <row r="3612" customFormat="false" ht="15" hidden="false" customHeight="false" outlineLevel="0" collapsed="false">
      <c r="A3612" s="6" t="s">
        <v>8835</v>
      </c>
      <c r="B3612" s="6" t="s">
        <v>2309</v>
      </c>
      <c r="C3612" s="26" t="n">
        <v>46145</v>
      </c>
      <c r="D3612" s="6" t="s">
        <v>5163</v>
      </c>
      <c r="E3612" s="6" t="s">
        <v>23</v>
      </c>
      <c r="F3612" s="6" t="n">
        <v>2</v>
      </c>
      <c r="G3612" s="10" t="n">
        <v>783</v>
      </c>
      <c r="H3612" s="10" t="n">
        <f aca="false">F3612*G3612</f>
        <v>1566</v>
      </c>
      <c r="I3612" s="6" t="s">
        <v>5122</v>
      </c>
    </row>
    <row r="3613" customFormat="false" ht="15" hidden="false" customHeight="false" outlineLevel="0" collapsed="false">
      <c r="A3613" s="6" t="s">
        <v>8836</v>
      </c>
      <c r="B3613" s="6" t="s">
        <v>4015</v>
      </c>
      <c r="C3613" s="26" t="n">
        <v>46146</v>
      </c>
      <c r="D3613" s="6" t="s">
        <v>5185</v>
      </c>
      <c r="E3613" s="6" t="s">
        <v>24</v>
      </c>
      <c r="F3613" s="6" t="n">
        <v>3</v>
      </c>
      <c r="G3613" s="10" t="n">
        <v>2140</v>
      </c>
      <c r="H3613" s="10" t="n">
        <f aca="false">F3613*G3613</f>
        <v>6420</v>
      </c>
      <c r="I3613" s="6" t="s">
        <v>5122</v>
      </c>
    </row>
    <row r="3614" customFormat="false" ht="15" hidden="false" customHeight="false" outlineLevel="0" collapsed="false">
      <c r="A3614" s="6" t="s">
        <v>8837</v>
      </c>
      <c r="B3614" s="6" t="s">
        <v>3603</v>
      </c>
      <c r="C3614" s="26" t="n">
        <v>46146</v>
      </c>
      <c r="D3614" s="6" t="s">
        <v>5749</v>
      </c>
      <c r="E3614" s="6" t="s">
        <v>20</v>
      </c>
      <c r="F3614" s="6" t="n">
        <v>1</v>
      </c>
      <c r="G3614" s="10" t="n">
        <v>774</v>
      </c>
      <c r="H3614" s="10" t="n">
        <f aca="false">F3614*G3614</f>
        <v>774</v>
      </c>
      <c r="I3614" s="6" t="s">
        <v>5148</v>
      </c>
    </row>
    <row r="3615" customFormat="false" ht="15" hidden="false" customHeight="false" outlineLevel="0" collapsed="false">
      <c r="A3615" s="6" t="s">
        <v>8838</v>
      </c>
      <c r="B3615" s="6" t="s">
        <v>2995</v>
      </c>
      <c r="C3615" s="26" t="n">
        <v>46146</v>
      </c>
      <c r="D3615" s="6" t="s">
        <v>5235</v>
      </c>
      <c r="E3615" s="6" t="s">
        <v>21</v>
      </c>
      <c r="F3615" s="6" t="n">
        <v>2</v>
      </c>
      <c r="G3615" s="10" t="n">
        <v>1670</v>
      </c>
      <c r="H3615" s="10" t="n">
        <f aca="false">F3615*G3615</f>
        <v>3340</v>
      </c>
      <c r="I3615" s="6" t="s">
        <v>5122</v>
      </c>
    </row>
    <row r="3616" customFormat="false" ht="15" hidden="false" customHeight="false" outlineLevel="0" collapsed="false">
      <c r="A3616" s="6" t="s">
        <v>8839</v>
      </c>
      <c r="B3616" s="6" t="s">
        <v>3079</v>
      </c>
      <c r="C3616" s="26" t="n">
        <v>46146</v>
      </c>
      <c r="D3616" s="6" t="s">
        <v>5383</v>
      </c>
      <c r="E3616" s="6" t="s">
        <v>20</v>
      </c>
      <c r="F3616" s="6" t="n">
        <v>1</v>
      </c>
      <c r="G3616" s="10" t="n">
        <v>1121</v>
      </c>
      <c r="H3616" s="10" t="n">
        <f aca="false">F3616*G3616</f>
        <v>1121</v>
      </c>
      <c r="I3616" s="6" t="s">
        <v>5130</v>
      </c>
    </row>
    <row r="3617" customFormat="false" ht="15" hidden="false" customHeight="false" outlineLevel="0" collapsed="false">
      <c r="A3617" s="6" t="s">
        <v>8840</v>
      </c>
      <c r="B3617" s="6" t="s">
        <v>3093</v>
      </c>
      <c r="C3617" s="26" t="n">
        <v>46146</v>
      </c>
      <c r="D3617" s="6" t="s">
        <v>5165</v>
      </c>
      <c r="E3617" s="6" t="s">
        <v>22</v>
      </c>
      <c r="F3617" s="6" t="n">
        <v>4</v>
      </c>
      <c r="G3617" s="10" t="n">
        <v>977</v>
      </c>
      <c r="H3617" s="10" t="n">
        <f aca="false">F3617*G3617</f>
        <v>3908</v>
      </c>
      <c r="I3617" s="6" t="s">
        <v>5173</v>
      </c>
    </row>
    <row r="3618" customFormat="false" ht="15" hidden="false" customHeight="false" outlineLevel="0" collapsed="false">
      <c r="A3618" s="6" t="s">
        <v>8841</v>
      </c>
      <c r="B3618" s="6" t="s">
        <v>2171</v>
      </c>
      <c r="C3618" s="26" t="n">
        <v>46146</v>
      </c>
      <c r="D3618" s="6" t="s">
        <v>5269</v>
      </c>
      <c r="E3618" s="6" t="s">
        <v>22</v>
      </c>
      <c r="F3618" s="6" t="n">
        <v>1</v>
      </c>
      <c r="G3618" s="10" t="n">
        <v>1271</v>
      </c>
      <c r="H3618" s="10" t="n">
        <f aca="false">F3618*G3618</f>
        <v>1271</v>
      </c>
      <c r="I3618" s="6" t="s">
        <v>5125</v>
      </c>
    </row>
    <row r="3619" customFormat="false" ht="15" hidden="false" customHeight="false" outlineLevel="0" collapsed="false">
      <c r="A3619" s="6" t="s">
        <v>8842</v>
      </c>
      <c r="B3619" s="6" t="s">
        <v>3037</v>
      </c>
      <c r="C3619" s="26" t="n">
        <v>46146</v>
      </c>
      <c r="D3619" s="6" t="s">
        <v>5281</v>
      </c>
      <c r="E3619" s="6" t="s">
        <v>24</v>
      </c>
      <c r="F3619" s="6" t="n">
        <v>1</v>
      </c>
      <c r="G3619" s="10" t="n">
        <v>773</v>
      </c>
      <c r="H3619" s="10" t="n">
        <f aca="false">F3619*G3619</f>
        <v>773</v>
      </c>
      <c r="I3619" s="6" t="s">
        <v>5148</v>
      </c>
    </row>
    <row r="3620" customFormat="false" ht="15" hidden="false" customHeight="false" outlineLevel="0" collapsed="false">
      <c r="A3620" s="6" t="s">
        <v>8843</v>
      </c>
      <c r="B3620" s="6" t="s">
        <v>1271</v>
      </c>
      <c r="C3620" s="26" t="n">
        <v>46146</v>
      </c>
      <c r="D3620" s="6" t="s">
        <v>5245</v>
      </c>
      <c r="E3620" s="6" t="s">
        <v>21</v>
      </c>
      <c r="F3620" s="6" t="n">
        <v>1</v>
      </c>
      <c r="G3620" s="10" t="n">
        <v>2334</v>
      </c>
      <c r="H3620" s="10" t="n">
        <f aca="false">F3620*G3620</f>
        <v>2334</v>
      </c>
      <c r="I3620" s="6" t="s">
        <v>5125</v>
      </c>
    </row>
    <row r="3621" customFormat="false" ht="15" hidden="false" customHeight="false" outlineLevel="0" collapsed="false">
      <c r="A3621" s="6" t="s">
        <v>8844</v>
      </c>
      <c r="B3621" s="6" t="s">
        <v>3947</v>
      </c>
      <c r="C3621" s="26" t="n">
        <v>46146</v>
      </c>
      <c r="D3621" s="6" t="s">
        <v>5167</v>
      </c>
      <c r="E3621" s="6" t="s">
        <v>22</v>
      </c>
      <c r="F3621" s="6" t="n">
        <v>1</v>
      </c>
      <c r="G3621" s="10" t="n">
        <v>743</v>
      </c>
      <c r="H3621" s="10" t="n">
        <f aca="false">F3621*G3621</f>
        <v>743</v>
      </c>
      <c r="I3621" s="6" t="s">
        <v>5122</v>
      </c>
    </row>
    <row r="3622" customFormat="false" ht="15" hidden="false" customHeight="false" outlineLevel="0" collapsed="false">
      <c r="A3622" s="6" t="s">
        <v>8845</v>
      </c>
      <c r="B3622" s="6" t="s">
        <v>3069</v>
      </c>
      <c r="C3622" s="26" t="n">
        <v>46146</v>
      </c>
      <c r="D3622" s="6" t="s">
        <v>5182</v>
      </c>
      <c r="E3622" s="6" t="s">
        <v>23</v>
      </c>
      <c r="F3622" s="6" t="n">
        <v>1</v>
      </c>
      <c r="G3622" s="10" t="n">
        <v>349</v>
      </c>
      <c r="H3622" s="10" t="n">
        <f aca="false">F3622*G3622</f>
        <v>349</v>
      </c>
      <c r="I3622" s="6" t="s">
        <v>5122</v>
      </c>
    </row>
    <row r="3623" customFormat="false" ht="15" hidden="false" customHeight="false" outlineLevel="0" collapsed="false">
      <c r="A3623" s="6" t="s">
        <v>8846</v>
      </c>
      <c r="B3623" s="6" t="s">
        <v>3529</v>
      </c>
      <c r="C3623" s="26" t="n">
        <v>46146</v>
      </c>
      <c r="D3623" s="6" t="s">
        <v>5561</v>
      </c>
      <c r="E3623" s="6" t="s">
        <v>20</v>
      </c>
      <c r="F3623" s="6" t="n">
        <v>1</v>
      </c>
      <c r="G3623" s="10" t="n">
        <v>3196</v>
      </c>
      <c r="H3623" s="10" t="n">
        <f aca="false">F3623*G3623</f>
        <v>3196</v>
      </c>
      <c r="I3623" s="6" t="s">
        <v>5122</v>
      </c>
    </row>
    <row r="3624" customFormat="false" ht="15" hidden="false" customHeight="false" outlineLevel="0" collapsed="false">
      <c r="A3624" s="6" t="s">
        <v>8847</v>
      </c>
      <c r="B3624" s="6" t="s">
        <v>1363</v>
      </c>
      <c r="C3624" s="26" t="n">
        <v>46146</v>
      </c>
      <c r="D3624" s="6" t="s">
        <v>5169</v>
      </c>
      <c r="E3624" s="6" t="s">
        <v>20</v>
      </c>
      <c r="F3624" s="6" t="n">
        <v>1</v>
      </c>
      <c r="G3624" s="10" t="n">
        <v>5098</v>
      </c>
      <c r="H3624" s="10" t="n">
        <f aca="false">F3624*G3624</f>
        <v>5098</v>
      </c>
      <c r="I3624" s="6" t="s">
        <v>5122</v>
      </c>
    </row>
    <row r="3625" customFormat="false" ht="15" hidden="false" customHeight="false" outlineLevel="0" collapsed="false">
      <c r="A3625" s="6" t="s">
        <v>8848</v>
      </c>
      <c r="B3625" s="6" t="s">
        <v>1059</v>
      </c>
      <c r="C3625" s="26" t="n">
        <v>46146</v>
      </c>
      <c r="D3625" s="6" t="s">
        <v>5171</v>
      </c>
      <c r="E3625" s="6" t="s">
        <v>23</v>
      </c>
      <c r="F3625" s="6" t="n">
        <v>3</v>
      </c>
      <c r="G3625" s="10" t="n">
        <v>734</v>
      </c>
      <c r="H3625" s="10" t="n">
        <f aca="false">F3625*G3625</f>
        <v>2202</v>
      </c>
      <c r="I3625" s="6" t="s">
        <v>5125</v>
      </c>
    </row>
    <row r="3626" customFormat="false" ht="15" hidden="false" customHeight="false" outlineLevel="0" collapsed="false">
      <c r="A3626" s="6" t="s">
        <v>8849</v>
      </c>
      <c r="B3626" s="6" t="s">
        <v>1063</v>
      </c>
      <c r="C3626" s="26" t="n">
        <v>46146</v>
      </c>
      <c r="D3626" s="6" t="s">
        <v>5313</v>
      </c>
      <c r="E3626" s="6" t="s">
        <v>22</v>
      </c>
      <c r="F3626" s="6" t="n">
        <v>2</v>
      </c>
      <c r="G3626" s="10" t="n">
        <v>1760</v>
      </c>
      <c r="H3626" s="10" t="n">
        <f aca="false">F3626*G3626</f>
        <v>3520</v>
      </c>
      <c r="I3626" s="6" t="s">
        <v>5148</v>
      </c>
    </row>
    <row r="3627" customFormat="false" ht="15" hidden="false" customHeight="false" outlineLevel="0" collapsed="false">
      <c r="A3627" s="6" t="s">
        <v>8850</v>
      </c>
      <c r="B3627" s="6" t="s">
        <v>2423</v>
      </c>
      <c r="C3627" s="26" t="n">
        <v>46146</v>
      </c>
      <c r="D3627" s="6" t="s">
        <v>5687</v>
      </c>
      <c r="E3627" s="6" t="s">
        <v>20</v>
      </c>
      <c r="F3627" s="6" t="n">
        <v>1</v>
      </c>
      <c r="G3627" s="10" t="n">
        <v>1937</v>
      </c>
      <c r="H3627" s="10" t="n">
        <f aca="false">F3627*G3627</f>
        <v>1937</v>
      </c>
      <c r="I3627" s="6" t="s">
        <v>5125</v>
      </c>
    </row>
    <row r="3628" customFormat="false" ht="15" hidden="false" customHeight="false" outlineLevel="0" collapsed="false">
      <c r="A3628" s="6" t="s">
        <v>8851</v>
      </c>
      <c r="B3628" s="6" t="s">
        <v>281</v>
      </c>
      <c r="C3628" s="26" t="n">
        <v>46146</v>
      </c>
      <c r="D3628" s="6" t="s">
        <v>5188</v>
      </c>
      <c r="E3628" s="6" t="s">
        <v>24</v>
      </c>
      <c r="F3628" s="6" t="n">
        <v>3</v>
      </c>
      <c r="G3628" s="10" t="n">
        <v>1018</v>
      </c>
      <c r="H3628" s="10" t="n">
        <f aca="false">F3628*G3628</f>
        <v>3054</v>
      </c>
      <c r="I3628" s="6" t="s">
        <v>5122</v>
      </c>
    </row>
    <row r="3629" customFormat="false" ht="15" hidden="false" customHeight="false" outlineLevel="0" collapsed="false">
      <c r="A3629" s="6" t="s">
        <v>8852</v>
      </c>
      <c r="B3629" s="6" t="s">
        <v>4817</v>
      </c>
      <c r="C3629" s="26" t="n">
        <v>46146</v>
      </c>
      <c r="D3629" s="6" t="s">
        <v>5383</v>
      </c>
      <c r="E3629" s="6" t="s">
        <v>20</v>
      </c>
      <c r="F3629" s="6" t="n">
        <v>1</v>
      </c>
      <c r="G3629" s="10" t="n">
        <v>1121</v>
      </c>
      <c r="H3629" s="10" t="n">
        <f aca="false">F3629*G3629</f>
        <v>1121</v>
      </c>
      <c r="I3629" s="6" t="s">
        <v>5173</v>
      </c>
    </row>
    <row r="3630" customFormat="false" ht="15" hidden="false" customHeight="false" outlineLevel="0" collapsed="false">
      <c r="A3630" s="6" t="s">
        <v>8853</v>
      </c>
      <c r="B3630" s="6" t="s">
        <v>3793</v>
      </c>
      <c r="C3630" s="26" t="n">
        <v>46146</v>
      </c>
      <c r="D3630" s="6" t="s">
        <v>5200</v>
      </c>
      <c r="E3630" s="6" t="s">
        <v>24</v>
      </c>
      <c r="F3630" s="6" t="n">
        <v>2</v>
      </c>
      <c r="G3630" s="10" t="n">
        <v>763</v>
      </c>
      <c r="H3630" s="10" t="n">
        <f aca="false">F3630*G3630</f>
        <v>1526</v>
      </c>
      <c r="I3630" s="6" t="s">
        <v>5125</v>
      </c>
    </row>
    <row r="3631" customFormat="false" ht="15" hidden="false" customHeight="false" outlineLevel="0" collapsed="false">
      <c r="A3631" s="6" t="s">
        <v>8854</v>
      </c>
      <c r="B3631" s="6" t="s">
        <v>907</v>
      </c>
      <c r="C3631" s="26" t="n">
        <v>46146</v>
      </c>
      <c r="D3631" s="6" t="s">
        <v>5137</v>
      </c>
      <c r="E3631" s="6" t="s">
        <v>21</v>
      </c>
      <c r="F3631" s="6" t="n">
        <v>2</v>
      </c>
      <c r="G3631" s="10" t="n">
        <v>1680</v>
      </c>
      <c r="H3631" s="10" t="n">
        <f aca="false">F3631*G3631</f>
        <v>3360</v>
      </c>
      <c r="I3631" s="6" t="s">
        <v>5122</v>
      </c>
    </row>
    <row r="3632" customFormat="false" ht="15" hidden="false" customHeight="false" outlineLevel="0" collapsed="false">
      <c r="A3632" s="6" t="s">
        <v>8855</v>
      </c>
      <c r="B3632" s="6" t="s">
        <v>893</v>
      </c>
      <c r="C3632" s="26" t="n">
        <v>46146</v>
      </c>
      <c r="D3632" s="6" t="s">
        <v>5273</v>
      </c>
      <c r="E3632" s="6" t="s">
        <v>23</v>
      </c>
      <c r="F3632" s="6" t="n">
        <v>2</v>
      </c>
      <c r="G3632" s="10" t="n">
        <v>240</v>
      </c>
      <c r="H3632" s="10" t="n">
        <f aca="false">F3632*G3632</f>
        <v>480</v>
      </c>
      <c r="I3632" s="6" t="s">
        <v>5148</v>
      </c>
    </row>
    <row r="3633" customFormat="false" ht="15" hidden="false" customHeight="false" outlineLevel="0" collapsed="false">
      <c r="A3633" s="6" t="s">
        <v>8856</v>
      </c>
      <c r="B3633" s="6" t="s">
        <v>545</v>
      </c>
      <c r="C3633" s="26" t="n">
        <v>46146</v>
      </c>
      <c r="D3633" s="6" t="s">
        <v>5121</v>
      </c>
      <c r="E3633" s="6" t="s">
        <v>22</v>
      </c>
      <c r="F3633" s="6" t="n">
        <v>2</v>
      </c>
      <c r="G3633" s="10" t="n">
        <v>977</v>
      </c>
      <c r="H3633" s="10" t="n">
        <f aca="false">F3633*G3633</f>
        <v>1954</v>
      </c>
      <c r="I3633" s="6" t="s">
        <v>5148</v>
      </c>
    </row>
    <row r="3634" customFormat="false" ht="15" hidden="false" customHeight="false" outlineLevel="0" collapsed="false">
      <c r="A3634" s="6" t="s">
        <v>8857</v>
      </c>
      <c r="B3634" s="6" t="s">
        <v>4231</v>
      </c>
      <c r="C3634" s="26" t="n">
        <v>46146</v>
      </c>
      <c r="D3634" s="6" t="s">
        <v>5167</v>
      </c>
      <c r="E3634" s="6" t="s">
        <v>22</v>
      </c>
      <c r="F3634" s="6" t="n">
        <v>2</v>
      </c>
      <c r="G3634" s="10" t="n">
        <v>703</v>
      </c>
      <c r="H3634" s="10" t="n">
        <f aca="false">F3634*G3634</f>
        <v>1406</v>
      </c>
      <c r="I3634" s="6" t="s">
        <v>5122</v>
      </c>
    </row>
    <row r="3635" customFormat="false" ht="15" hidden="false" customHeight="false" outlineLevel="0" collapsed="false">
      <c r="A3635" s="6" t="s">
        <v>8858</v>
      </c>
      <c r="B3635" s="6" t="s">
        <v>1279</v>
      </c>
      <c r="C3635" s="26" t="n">
        <v>46146</v>
      </c>
      <c r="D3635" s="6" t="s">
        <v>5156</v>
      </c>
      <c r="E3635" s="6" t="s">
        <v>21</v>
      </c>
      <c r="F3635" s="6" t="n">
        <v>1</v>
      </c>
      <c r="G3635" s="10" t="n">
        <v>2161</v>
      </c>
      <c r="H3635" s="10" t="n">
        <f aca="false">F3635*G3635</f>
        <v>2161</v>
      </c>
      <c r="I3635" s="6" t="s">
        <v>5122</v>
      </c>
    </row>
    <row r="3636" customFormat="false" ht="15" hidden="false" customHeight="false" outlineLevel="0" collapsed="false">
      <c r="A3636" s="6" t="s">
        <v>8859</v>
      </c>
      <c r="B3636" s="6" t="s">
        <v>3861</v>
      </c>
      <c r="C3636" s="26" t="n">
        <v>46146</v>
      </c>
      <c r="D3636" s="6" t="s">
        <v>5127</v>
      </c>
      <c r="E3636" s="6" t="s">
        <v>21</v>
      </c>
      <c r="F3636" s="6" t="n">
        <v>2</v>
      </c>
      <c r="G3636" s="10" t="n">
        <v>884</v>
      </c>
      <c r="H3636" s="10" t="n">
        <f aca="false">F3636*G3636</f>
        <v>1768</v>
      </c>
      <c r="I3636" s="6" t="s">
        <v>5130</v>
      </c>
    </row>
    <row r="3637" customFormat="false" ht="15" hidden="false" customHeight="false" outlineLevel="0" collapsed="false">
      <c r="A3637" s="6" t="s">
        <v>8860</v>
      </c>
      <c r="B3637" s="6" t="s">
        <v>565</v>
      </c>
      <c r="C3637" s="26" t="n">
        <v>46146</v>
      </c>
      <c r="D3637" s="6" t="s">
        <v>5313</v>
      </c>
      <c r="E3637" s="6" t="s">
        <v>22</v>
      </c>
      <c r="F3637" s="6" t="n">
        <v>1</v>
      </c>
      <c r="G3637" s="10" t="n">
        <v>1760</v>
      </c>
      <c r="H3637" s="10" t="n">
        <f aca="false">F3637*G3637</f>
        <v>1760</v>
      </c>
      <c r="I3637" s="6" t="s">
        <v>5148</v>
      </c>
    </row>
    <row r="3638" customFormat="false" ht="15" hidden="false" customHeight="false" outlineLevel="0" collapsed="false">
      <c r="A3638" s="6" t="s">
        <v>8861</v>
      </c>
      <c r="B3638" s="6" t="s">
        <v>2671</v>
      </c>
      <c r="C3638" s="26" t="n">
        <v>46146</v>
      </c>
      <c r="D3638" s="6" t="s">
        <v>5245</v>
      </c>
      <c r="E3638" s="6" t="s">
        <v>21</v>
      </c>
      <c r="F3638" s="6" t="n">
        <v>2</v>
      </c>
      <c r="G3638" s="10" t="n">
        <v>2456</v>
      </c>
      <c r="H3638" s="10" t="n">
        <f aca="false">F3638*G3638</f>
        <v>4912</v>
      </c>
      <c r="I3638" s="6" t="s">
        <v>5133</v>
      </c>
    </row>
    <row r="3639" customFormat="false" ht="15" hidden="false" customHeight="false" outlineLevel="0" collapsed="false">
      <c r="A3639" s="6" t="s">
        <v>8862</v>
      </c>
      <c r="B3639" s="6" t="s">
        <v>569</v>
      </c>
      <c r="C3639" s="26" t="n">
        <v>46146</v>
      </c>
      <c r="D3639" s="6" t="s">
        <v>5163</v>
      </c>
      <c r="E3639" s="6" t="s">
        <v>23</v>
      </c>
      <c r="F3639" s="6" t="n">
        <v>2</v>
      </c>
      <c r="G3639" s="10" t="n">
        <v>705</v>
      </c>
      <c r="H3639" s="10" t="n">
        <f aca="false">F3639*G3639</f>
        <v>1410</v>
      </c>
      <c r="I3639" s="6" t="s">
        <v>5148</v>
      </c>
    </row>
    <row r="3640" customFormat="false" ht="15" hidden="false" customHeight="false" outlineLevel="0" collapsed="false">
      <c r="A3640" s="6" t="s">
        <v>8863</v>
      </c>
      <c r="B3640" s="6" t="s">
        <v>5099</v>
      </c>
      <c r="C3640" s="26" t="n">
        <v>46146</v>
      </c>
      <c r="D3640" s="6" t="s">
        <v>5561</v>
      </c>
      <c r="E3640" s="6" t="s">
        <v>20</v>
      </c>
      <c r="F3640" s="6" t="n">
        <v>1</v>
      </c>
      <c r="G3640" s="10" t="n">
        <v>3364</v>
      </c>
      <c r="H3640" s="10" t="n">
        <f aca="false">F3640*G3640</f>
        <v>3364</v>
      </c>
      <c r="I3640" s="6" t="s">
        <v>5122</v>
      </c>
    </row>
    <row r="3641" customFormat="false" ht="15" hidden="false" customHeight="false" outlineLevel="0" collapsed="false">
      <c r="A3641" s="6" t="s">
        <v>8864</v>
      </c>
      <c r="B3641" s="6" t="s">
        <v>1351</v>
      </c>
      <c r="C3641" s="26" t="n">
        <v>46146</v>
      </c>
      <c r="D3641" s="6" t="s">
        <v>5167</v>
      </c>
      <c r="E3641" s="6" t="s">
        <v>22</v>
      </c>
      <c r="F3641" s="6" t="n">
        <v>1</v>
      </c>
      <c r="G3641" s="10" t="n">
        <v>782</v>
      </c>
      <c r="H3641" s="10" t="n">
        <f aca="false">F3641*G3641</f>
        <v>782</v>
      </c>
      <c r="I3641" s="6" t="s">
        <v>5122</v>
      </c>
    </row>
    <row r="3642" customFormat="false" ht="15" hidden="false" customHeight="false" outlineLevel="0" collapsed="false">
      <c r="A3642" s="6" t="s">
        <v>8865</v>
      </c>
      <c r="B3642" s="6" t="s">
        <v>2535</v>
      </c>
      <c r="C3642" s="26" t="n">
        <v>46146</v>
      </c>
      <c r="D3642" s="6" t="s">
        <v>5167</v>
      </c>
      <c r="E3642" s="6" t="s">
        <v>22</v>
      </c>
      <c r="F3642" s="6" t="n">
        <v>1</v>
      </c>
      <c r="G3642" s="10" t="n">
        <v>782</v>
      </c>
      <c r="H3642" s="10" t="n">
        <f aca="false">F3642*G3642</f>
        <v>782</v>
      </c>
      <c r="I3642" s="6" t="s">
        <v>5122</v>
      </c>
    </row>
    <row r="3643" customFormat="false" ht="15" hidden="false" customHeight="false" outlineLevel="0" collapsed="false">
      <c r="A3643" s="6" t="s">
        <v>8866</v>
      </c>
      <c r="B3643" s="6" t="s">
        <v>4745</v>
      </c>
      <c r="C3643" s="26" t="n">
        <v>46146</v>
      </c>
      <c r="D3643" s="6" t="s">
        <v>5167</v>
      </c>
      <c r="E3643" s="6" t="s">
        <v>22</v>
      </c>
      <c r="F3643" s="6" t="n">
        <v>2</v>
      </c>
      <c r="G3643" s="10" t="n">
        <v>743</v>
      </c>
      <c r="H3643" s="10" t="n">
        <f aca="false">F3643*G3643</f>
        <v>1486</v>
      </c>
      <c r="I3643" s="6" t="s">
        <v>5122</v>
      </c>
    </row>
    <row r="3644" customFormat="false" ht="15" hidden="false" customHeight="false" outlineLevel="0" collapsed="false">
      <c r="A3644" s="6" t="s">
        <v>8867</v>
      </c>
      <c r="B3644" s="6" t="s">
        <v>170</v>
      </c>
      <c r="C3644" s="26" t="n">
        <v>46146</v>
      </c>
      <c r="D3644" s="6" t="s">
        <v>5807</v>
      </c>
      <c r="E3644" s="6" t="s">
        <v>20</v>
      </c>
      <c r="F3644" s="6" t="n">
        <v>1</v>
      </c>
      <c r="G3644" s="10" t="n">
        <v>14531</v>
      </c>
      <c r="H3644" s="10" t="n">
        <f aca="false">F3644*G3644</f>
        <v>14531</v>
      </c>
      <c r="I3644" s="6" t="s">
        <v>5122</v>
      </c>
    </row>
    <row r="3645" customFormat="false" ht="15" hidden="false" customHeight="false" outlineLevel="0" collapsed="false">
      <c r="A3645" s="6" t="s">
        <v>8868</v>
      </c>
      <c r="B3645" s="6" t="s">
        <v>5053</v>
      </c>
      <c r="C3645" s="26" t="n">
        <v>46146</v>
      </c>
      <c r="D3645" s="6" t="s">
        <v>5165</v>
      </c>
      <c r="E3645" s="6" t="s">
        <v>22</v>
      </c>
      <c r="F3645" s="6" t="n">
        <v>1</v>
      </c>
      <c r="G3645" s="10" t="n">
        <v>928</v>
      </c>
      <c r="H3645" s="10" t="n">
        <f aca="false">F3645*G3645</f>
        <v>928</v>
      </c>
      <c r="I3645" s="6" t="s">
        <v>5130</v>
      </c>
    </row>
    <row r="3646" customFormat="false" ht="15" hidden="false" customHeight="false" outlineLevel="0" collapsed="false">
      <c r="A3646" s="6" t="s">
        <v>8869</v>
      </c>
      <c r="B3646" s="6" t="s">
        <v>4691</v>
      </c>
      <c r="C3646" s="26" t="n">
        <v>46146</v>
      </c>
      <c r="D3646" s="6" t="s">
        <v>5167</v>
      </c>
      <c r="E3646" s="6" t="s">
        <v>22</v>
      </c>
      <c r="F3646" s="6" t="n">
        <v>1</v>
      </c>
      <c r="G3646" s="10" t="n">
        <v>743</v>
      </c>
      <c r="H3646" s="10" t="n">
        <f aca="false">F3646*G3646</f>
        <v>743</v>
      </c>
      <c r="I3646" s="6" t="s">
        <v>5122</v>
      </c>
    </row>
    <row r="3647" customFormat="false" ht="15" hidden="false" customHeight="false" outlineLevel="0" collapsed="false">
      <c r="A3647" s="6" t="s">
        <v>8870</v>
      </c>
      <c r="B3647" s="6" t="s">
        <v>1455</v>
      </c>
      <c r="C3647" s="26" t="n">
        <v>46146</v>
      </c>
      <c r="D3647" s="6" t="s">
        <v>5298</v>
      </c>
      <c r="E3647" s="6" t="s">
        <v>23</v>
      </c>
      <c r="F3647" s="6" t="n">
        <v>2</v>
      </c>
      <c r="G3647" s="10" t="n">
        <v>264</v>
      </c>
      <c r="H3647" s="10" t="n">
        <f aca="false">F3647*G3647</f>
        <v>528</v>
      </c>
      <c r="I3647" s="6" t="s">
        <v>5122</v>
      </c>
    </row>
    <row r="3648" customFormat="false" ht="15" hidden="false" customHeight="false" outlineLevel="0" collapsed="false">
      <c r="A3648" s="6" t="s">
        <v>8871</v>
      </c>
      <c r="B3648" s="6" t="s">
        <v>4373</v>
      </c>
      <c r="C3648" s="26" t="n">
        <v>46146</v>
      </c>
      <c r="D3648" s="6" t="s">
        <v>6046</v>
      </c>
      <c r="E3648" s="6" t="s">
        <v>22</v>
      </c>
      <c r="F3648" s="6" t="n">
        <v>1</v>
      </c>
      <c r="G3648" s="10" t="n">
        <v>3961</v>
      </c>
      <c r="H3648" s="10" t="n">
        <f aca="false">F3648*G3648</f>
        <v>3961</v>
      </c>
      <c r="I3648" s="6" t="s">
        <v>5125</v>
      </c>
    </row>
    <row r="3649" customFormat="false" ht="15" hidden="false" customHeight="false" outlineLevel="0" collapsed="false">
      <c r="A3649" s="6" t="s">
        <v>8872</v>
      </c>
      <c r="B3649" s="6" t="s">
        <v>3643</v>
      </c>
      <c r="C3649" s="26" t="n">
        <v>46146</v>
      </c>
      <c r="D3649" s="6" t="s">
        <v>5121</v>
      </c>
      <c r="E3649" s="6" t="s">
        <v>22</v>
      </c>
      <c r="F3649" s="6" t="n">
        <v>1</v>
      </c>
      <c r="G3649" s="10" t="n">
        <v>977</v>
      </c>
      <c r="H3649" s="10" t="n">
        <f aca="false">F3649*G3649</f>
        <v>977</v>
      </c>
      <c r="I3649" s="6" t="s">
        <v>5133</v>
      </c>
    </row>
    <row r="3650" customFormat="false" ht="15" hidden="false" customHeight="false" outlineLevel="0" collapsed="false">
      <c r="A3650" s="6" t="s">
        <v>8873</v>
      </c>
      <c r="B3650" s="6" t="s">
        <v>3163</v>
      </c>
      <c r="C3650" s="26" t="n">
        <v>46146</v>
      </c>
      <c r="D3650" s="6" t="s">
        <v>5156</v>
      </c>
      <c r="E3650" s="6" t="s">
        <v>21</v>
      </c>
      <c r="F3650" s="6" t="n">
        <v>3</v>
      </c>
      <c r="G3650" s="10" t="n">
        <v>1945</v>
      </c>
      <c r="H3650" s="10" t="n">
        <f aca="false">F3650*G3650</f>
        <v>5835</v>
      </c>
      <c r="I3650" s="6" t="s">
        <v>5148</v>
      </c>
    </row>
    <row r="3651" customFormat="false" ht="15" hidden="false" customHeight="false" outlineLevel="0" collapsed="false">
      <c r="A3651" s="6" t="s">
        <v>8874</v>
      </c>
      <c r="B3651" s="6" t="s">
        <v>2849</v>
      </c>
      <c r="C3651" s="26" t="n">
        <v>46146</v>
      </c>
      <c r="D3651" s="6" t="s">
        <v>5749</v>
      </c>
      <c r="E3651" s="6" t="s">
        <v>20</v>
      </c>
      <c r="F3651" s="6" t="n">
        <v>1</v>
      </c>
      <c r="G3651" s="10" t="n">
        <v>815</v>
      </c>
      <c r="H3651" s="10" t="n">
        <f aca="false">F3651*G3651</f>
        <v>815</v>
      </c>
      <c r="I3651" s="6" t="s">
        <v>5130</v>
      </c>
    </row>
    <row r="3652" customFormat="false" ht="15" hidden="false" customHeight="false" outlineLevel="0" collapsed="false">
      <c r="A3652" s="6" t="s">
        <v>8875</v>
      </c>
      <c r="B3652" s="6" t="s">
        <v>5007</v>
      </c>
      <c r="C3652" s="26" t="n">
        <v>46146</v>
      </c>
      <c r="D3652" s="6" t="s">
        <v>5185</v>
      </c>
      <c r="E3652" s="6" t="s">
        <v>24</v>
      </c>
      <c r="F3652" s="6" t="n">
        <v>2</v>
      </c>
      <c r="G3652" s="10" t="n">
        <v>2033</v>
      </c>
      <c r="H3652" s="10" t="n">
        <f aca="false">F3652*G3652</f>
        <v>4066</v>
      </c>
      <c r="I3652" s="6" t="s">
        <v>5122</v>
      </c>
    </row>
    <row r="3653" customFormat="false" ht="15" hidden="false" customHeight="false" outlineLevel="0" collapsed="false">
      <c r="A3653" s="6" t="s">
        <v>8876</v>
      </c>
      <c r="B3653" s="6" t="s">
        <v>3007</v>
      </c>
      <c r="C3653" s="26" t="n">
        <v>46146</v>
      </c>
      <c r="D3653" s="6" t="s">
        <v>5167</v>
      </c>
      <c r="E3653" s="6" t="s">
        <v>22</v>
      </c>
      <c r="F3653" s="6" t="n">
        <v>3</v>
      </c>
      <c r="G3653" s="10" t="n">
        <v>782</v>
      </c>
      <c r="H3653" s="10" t="n">
        <f aca="false">F3653*G3653</f>
        <v>2346</v>
      </c>
      <c r="I3653" s="6" t="s">
        <v>5130</v>
      </c>
    </row>
    <row r="3654" customFormat="false" ht="15" hidden="false" customHeight="false" outlineLevel="0" collapsed="false">
      <c r="A3654" s="6" t="s">
        <v>8877</v>
      </c>
      <c r="B3654" s="6" t="s">
        <v>3433</v>
      </c>
      <c r="C3654" s="26" t="n">
        <v>46146</v>
      </c>
      <c r="D3654" s="6" t="s">
        <v>5458</v>
      </c>
      <c r="E3654" s="6" t="s">
        <v>24</v>
      </c>
      <c r="F3654" s="6" t="n">
        <v>1</v>
      </c>
      <c r="G3654" s="10" t="n">
        <v>559</v>
      </c>
      <c r="H3654" s="10" t="n">
        <f aca="false">F3654*G3654</f>
        <v>559</v>
      </c>
      <c r="I3654" s="6" t="s">
        <v>5148</v>
      </c>
    </row>
    <row r="3655" customFormat="false" ht="15" hidden="false" customHeight="false" outlineLevel="0" collapsed="false">
      <c r="A3655" s="6" t="s">
        <v>8878</v>
      </c>
      <c r="B3655" s="6" t="s">
        <v>5031</v>
      </c>
      <c r="C3655" s="26" t="n">
        <v>46147</v>
      </c>
      <c r="D3655" s="6" t="s">
        <v>5163</v>
      </c>
      <c r="E3655" s="6" t="s">
        <v>23</v>
      </c>
      <c r="F3655" s="6" t="n">
        <v>1</v>
      </c>
      <c r="G3655" s="10" t="n">
        <v>782</v>
      </c>
      <c r="H3655" s="10" t="n">
        <f aca="false">F3655*G3655</f>
        <v>782</v>
      </c>
      <c r="I3655" s="6" t="s">
        <v>5122</v>
      </c>
    </row>
    <row r="3656" customFormat="false" ht="15" hidden="false" customHeight="false" outlineLevel="0" collapsed="false">
      <c r="A3656" s="6" t="s">
        <v>8879</v>
      </c>
      <c r="B3656" s="6" t="s">
        <v>697</v>
      </c>
      <c r="C3656" s="26" t="n">
        <v>46147</v>
      </c>
      <c r="D3656" s="6" t="s">
        <v>5163</v>
      </c>
      <c r="E3656" s="6" t="s">
        <v>23</v>
      </c>
      <c r="F3656" s="6" t="n">
        <v>5</v>
      </c>
      <c r="G3656" s="10" t="n">
        <v>744</v>
      </c>
      <c r="H3656" s="10" t="n">
        <f aca="false">F3656*G3656</f>
        <v>3720</v>
      </c>
      <c r="I3656" s="6" t="s">
        <v>5122</v>
      </c>
    </row>
    <row r="3657" customFormat="false" ht="15" hidden="false" customHeight="false" outlineLevel="0" collapsed="false">
      <c r="A3657" s="6" t="s">
        <v>8880</v>
      </c>
      <c r="B3657" s="6" t="s">
        <v>2011</v>
      </c>
      <c r="C3657" s="26" t="n">
        <v>46147</v>
      </c>
      <c r="D3657" s="6" t="s">
        <v>5269</v>
      </c>
      <c r="E3657" s="6" t="s">
        <v>22</v>
      </c>
      <c r="F3657" s="6" t="n">
        <v>2</v>
      </c>
      <c r="G3657" s="10" t="n">
        <v>1271</v>
      </c>
      <c r="H3657" s="10" t="n">
        <f aca="false">F3657*G3657</f>
        <v>2542</v>
      </c>
      <c r="I3657" s="6" t="s">
        <v>5122</v>
      </c>
    </row>
    <row r="3658" customFormat="false" ht="15" hidden="false" customHeight="false" outlineLevel="0" collapsed="false">
      <c r="A3658" s="6" t="s">
        <v>8881</v>
      </c>
      <c r="B3658" s="6" t="s">
        <v>2093</v>
      </c>
      <c r="C3658" s="26" t="n">
        <v>46147</v>
      </c>
      <c r="D3658" s="6" t="s">
        <v>5339</v>
      </c>
      <c r="E3658" s="6" t="s">
        <v>24</v>
      </c>
      <c r="F3658" s="6" t="n">
        <v>2</v>
      </c>
      <c r="G3658" s="10" t="n">
        <v>508</v>
      </c>
      <c r="H3658" s="10" t="n">
        <f aca="false">F3658*G3658</f>
        <v>1016</v>
      </c>
      <c r="I3658" s="6" t="s">
        <v>5173</v>
      </c>
    </row>
    <row r="3659" customFormat="false" ht="15" hidden="false" customHeight="false" outlineLevel="0" collapsed="false">
      <c r="A3659" s="6" t="s">
        <v>8882</v>
      </c>
      <c r="B3659" s="6" t="s">
        <v>3711</v>
      </c>
      <c r="C3659" s="26" t="n">
        <v>46147</v>
      </c>
      <c r="D3659" s="6" t="s">
        <v>5135</v>
      </c>
      <c r="E3659" s="6" t="s">
        <v>23</v>
      </c>
      <c r="F3659" s="6" t="n">
        <v>4</v>
      </c>
      <c r="G3659" s="10" t="n">
        <v>441</v>
      </c>
      <c r="H3659" s="10" t="n">
        <f aca="false">F3659*G3659</f>
        <v>1764</v>
      </c>
      <c r="I3659" s="6" t="s">
        <v>5125</v>
      </c>
    </row>
    <row r="3660" customFormat="false" ht="15" hidden="false" customHeight="false" outlineLevel="0" collapsed="false">
      <c r="A3660" s="6" t="s">
        <v>8883</v>
      </c>
      <c r="B3660" s="6" t="s">
        <v>4009</v>
      </c>
      <c r="C3660" s="26" t="n">
        <v>46147</v>
      </c>
      <c r="D3660" s="6" t="s">
        <v>5147</v>
      </c>
      <c r="E3660" s="6" t="s">
        <v>24</v>
      </c>
      <c r="F3660" s="6" t="n">
        <v>2</v>
      </c>
      <c r="G3660" s="10" t="n">
        <v>595</v>
      </c>
      <c r="H3660" s="10" t="n">
        <f aca="false">F3660*G3660</f>
        <v>1190</v>
      </c>
      <c r="I3660" s="6" t="s">
        <v>5125</v>
      </c>
    </row>
    <row r="3661" customFormat="false" ht="15" hidden="false" customHeight="false" outlineLevel="0" collapsed="false">
      <c r="A3661" s="6" t="s">
        <v>8884</v>
      </c>
      <c r="B3661" s="6" t="s">
        <v>4739</v>
      </c>
      <c r="C3661" s="26" t="n">
        <v>46147</v>
      </c>
      <c r="D3661" s="6" t="s">
        <v>5165</v>
      </c>
      <c r="E3661" s="6" t="s">
        <v>22</v>
      </c>
      <c r="F3661" s="6" t="n">
        <v>1</v>
      </c>
      <c r="G3661" s="10" t="n">
        <v>928</v>
      </c>
      <c r="H3661" s="10" t="n">
        <f aca="false">F3661*G3661</f>
        <v>928</v>
      </c>
      <c r="I3661" s="6" t="s">
        <v>5148</v>
      </c>
    </row>
    <row r="3662" customFormat="false" ht="15" hidden="false" customHeight="false" outlineLevel="0" collapsed="false">
      <c r="A3662" s="6" t="s">
        <v>8885</v>
      </c>
      <c r="B3662" s="6" t="s">
        <v>655</v>
      </c>
      <c r="C3662" s="26" t="n">
        <v>46147</v>
      </c>
      <c r="D3662" s="6" t="s">
        <v>5242</v>
      </c>
      <c r="E3662" s="6" t="s">
        <v>23</v>
      </c>
      <c r="F3662" s="6" t="n">
        <v>3</v>
      </c>
      <c r="G3662" s="10" t="n">
        <v>354</v>
      </c>
      <c r="H3662" s="10" t="n">
        <f aca="false">F3662*G3662</f>
        <v>1062</v>
      </c>
      <c r="I3662" s="6" t="s">
        <v>5122</v>
      </c>
    </row>
    <row r="3663" customFormat="false" ht="15" hidden="false" customHeight="false" outlineLevel="0" collapsed="false">
      <c r="A3663" s="6" t="s">
        <v>8886</v>
      </c>
      <c r="B3663" s="6" t="s">
        <v>202</v>
      </c>
      <c r="C3663" s="26" t="n">
        <v>46147</v>
      </c>
      <c r="D3663" s="6" t="s">
        <v>5207</v>
      </c>
      <c r="E3663" s="6" t="s">
        <v>20</v>
      </c>
      <c r="F3663" s="6" t="n">
        <v>1</v>
      </c>
      <c r="G3663" s="10" t="n">
        <v>1258</v>
      </c>
      <c r="H3663" s="10" t="n">
        <f aca="false">F3663*G3663</f>
        <v>1258</v>
      </c>
      <c r="I3663" s="6" t="s">
        <v>5122</v>
      </c>
    </row>
    <row r="3664" customFormat="false" ht="15" hidden="false" customHeight="false" outlineLevel="0" collapsed="false">
      <c r="A3664" s="6" t="s">
        <v>8887</v>
      </c>
      <c r="B3664" s="6" t="s">
        <v>781</v>
      </c>
      <c r="C3664" s="26" t="n">
        <v>46147</v>
      </c>
      <c r="D3664" s="6" t="s">
        <v>5124</v>
      </c>
      <c r="E3664" s="6" t="s">
        <v>21</v>
      </c>
      <c r="F3664" s="6" t="n">
        <v>2</v>
      </c>
      <c r="G3664" s="10" t="n">
        <v>3095</v>
      </c>
      <c r="H3664" s="10" t="n">
        <f aca="false">F3664*G3664</f>
        <v>6190</v>
      </c>
      <c r="I3664" s="6" t="s">
        <v>5122</v>
      </c>
    </row>
    <row r="3665" customFormat="false" ht="15" hidden="false" customHeight="false" outlineLevel="0" collapsed="false">
      <c r="A3665" s="6" t="s">
        <v>8888</v>
      </c>
      <c r="B3665" s="6" t="s">
        <v>2381</v>
      </c>
      <c r="C3665" s="26" t="n">
        <v>46147</v>
      </c>
      <c r="D3665" s="6" t="s">
        <v>5145</v>
      </c>
      <c r="E3665" s="6" t="s">
        <v>21</v>
      </c>
      <c r="F3665" s="6" t="n">
        <v>1</v>
      </c>
      <c r="G3665" s="10" t="n">
        <v>1277</v>
      </c>
      <c r="H3665" s="10" t="n">
        <f aca="false">F3665*G3665</f>
        <v>1277</v>
      </c>
      <c r="I3665" s="6" t="s">
        <v>5122</v>
      </c>
    </row>
    <row r="3666" customFormat="false" ht="15" hidden="false" customHeight="false" outlineLevel="0" collapsed="false">
      <c r="A3666" s="6" t="s">
        <v>8889</v>
      </c>
      <c r="B3666" s="6" t="s">
        <v>1297</v>
      </c>
      <c r="C3666" s="26" t="n">
        <v>46147</v>
      </c>
      <c r="D3666" s="6" t="s">
        <v>5121</v>
      </c>
      <c r="E3666" s="6" t="s">
        <v>22</v>
      </c>
      <c r="F3666" s="6" t="n">
        <v>4</v>
      </c>
      <c r="G3666" s="10" t="n">
        <v>977</v>
      </c>
      <c r="H3666" s="10" t="n">
        <f aca="false">F3666*G3666</f>
        <v>3908</v>
      </c>
      <c r="I3666" s="6" t="s">
        <v>5130</v>
      </c>
    </row>
    <row r="3667" customFormat="false" ht="15" hidden="false" customHeight="false" outlineLevel="0" collapsed="false">
      <c r="A3667" s="6" t="s">
        <v>8890</v>
      </c>
      <c r="B3667" s="6" t="s">
        <v>1217</v>
      </c>
      <c r="C3667" s="26" t="n">
        <v>46147</v>
      </c>
      <c r="D3667" s="6" t="s">
        <v>5163</v>
      </c>
      <c r="E3667" s="6" t="s">
        <v>23</v>
      </c>
      <c r="F3667" s="6" t="n">
        <v>2</v>
      </c>
      <c r="G3667" s="10" t="n">
        <v>783</v>
      </c>
      <c r="H3667" s="10" t="n">
        <f aca="false">F3667*G3667</f>
        <v>1566</v>
      </c>
      <c r="I3667" s="6" t="s">
        <v>5122</v>
      </c>
    </row>
    <row r="3668" customFormat="false" ht="15" hidden="false" customHeight="false" outlineLevel="0" collapsed="false">
      <c r="A3668" s="6" t="s">
        <v>8891</v>
      </c>
      <c r="B3668" s="6" t="s">
        <v>4243</v>
      </c>
      <c r="C3668" s="26" t="n">
        <v>46147</v>
      </c>
      <c r="D3668" s="6" t="s">
        <v>5165</v>
      </c>
      <c r="E3668" s="6" t="s">
        <v>22</v>
      </c>
      <c r="F3668" s="6" t="n">
        <v>1</v>
      </c>
      <c r="G3668" s="10" t="n">
        <v>977</v>
      </c>
      <c r="H3668" s="10" t="n">
        <f aca="false">F3668*G3668</f>
        <v>977</v>
      </c>
      <c r="I3668" s="6" t="s">
        <v>5122</v>
      </c>
    </row>
    <row r="3669" customFormat="false" ht="15" hidden="false" customHeight="false" outlineLevel="0" collapsed="false">
      <c r="A3669" s="6" t="s">
        <v>8892</v>
      </c>
      <c r="B3669" s="6" t="s">
        <v>5049</v>
      </c>
      <c r="C3669" s="26" t="n">
        <v>46147</v>
      </c>
      <c r="D3669" s="6" t="s">
        <v>5410</v>
      </c>
      <c r="E3669" s="6" t="s">
        <v>20</v>
      </c>
      <c r="F3669" s="6" t="n">
        <v>1</v>
      </c>
      <c r="G3669" s="10" t="n">
        <v>2294</v>
      </c>
      <c r="H3669" s="10" t="n">
        <f aca="false">F3669*G3669</f>
        <v>2294</v>
      </c>
      <c r="I3669" s="6" t="s">
        <v>5130</v>
      </c>
    </row>
    <row r="3670" customFormat="false" ht="15" hidden="false" customHeight="false" outlineLevel="0" collapsed="false">
      <c r="A3670" s="6" t="s">
        <v>8893</v>
      </c>
      <c r="B3670" s="6" t="s">
        <v>1975</v>
      </c>
      <c r="C3670" s="26" t="n">
        <v>46147</v>
      </c>
      <c r="D3670" s="6" t="s">
        <v>5687</v>
      </c>
      <c r="E3670" s="6" t="s">
        <v>20</v>
      </c>
      <c r="F3670" s="6" t="n">
        <v>1</v>
      </c>
      <c r="G3670" s="10" t="n">
        <v>1835</v>
      </c>
      <c r="H3670" s="10" t="n">
        <f aca="false">F3670*G3670</f>
        <v>1835</v>
      </c>
      <c r="I3670" s="6" t="s">
        <v>5122</v>
      </c>
    </row>
    <row r="3671" customFormat="false" ht="15" hidden="false" customHeight="false" outlineLevel="0" collapsed="false">
      <c r="A3671" s="6" t="s">
        <v>8894</v>
      </c>
      <c r="B3671" s="6" t="s">
        <v>3233</v>
      </c>
      <c r="C3671" s="26" t="n">
        <v>46147</v>
      </c>
      <c r="D3671" s="6" t="s">
        <v>6101</v>
      </c>
      <c r="E3671" s="6" t="s">
        <v>20</v>
      </c>
      <c r="F3671" s="6" t="n">
        <v>1</v>
      </c>
      <c r="G3671" s="10" t="n">
        <v>22434</v>
      </c>
      <c r="H3671" s="10" t="n">
        <f aca="false">F3671*G3671</f>
        <v>22434</v>
      </c>
      <c r="I3671" s="6" t="s">
        <v>5133</v>
      </c>
    </row>
    <row r="3672" customFormat="false" ht="15" hidden="false" customHeight="false" outlineLevel="0" collapsed="false">
      <c r="A3672" s="6" t="s">
        <v>8895</v>
      </c>
      <c r="B3672" s="6" t="s">
        <v>4605</v>
      </c>
      <c r="C3672" s="26" t="n">
        <v>46147</v>
      </c>
      <c r="D3672" s="6" t="s">
        <v>5749</v>
      </c>
      <c r="E3672" s="6" t="s">
        <v>20</v>
      </c>
      <c r="F3672" s="6" t="n">
        <v>1</v>
      </c>
      <c r="G3672" s="10" t="n">
        <v>733</v>
      </c>
      <c r="H3672" s="10" t="n">
        <f aca="false">F3672*G3672</f>
        <v>733</v>
      </c>
      <c r="I3672" s="6" t="s">
        <v>5148</v>
      </c>
    </row>
    <row r="3673" customFormat="false" ht="15" hidden="false" customHeight="false" outlineLevel="0" collapsed="false">
      <c r="A3673" s="6" t="s">
        <v>8896</v>
      </c>
      <c r="B3673" s="6" t="s">
        <v>1285</v>
      </c>
      <c r="C3673" s="26" t="n">
        <v>46147</v>
      </c>
      <c r="D3673" s="6" t="s">
        <v>5167</v>
      </c>
      <c r="E3673" s="6" t="s">
        <v>22</v>
      </c>
      <c r="F3673" s="6" t="n">
        <v>1</v>
      </c>
      <c r="G3673" s="10" t="n">
        <v>743</v>
      </c>
      <c r="H3673" s="10" t="n">
        <f aca="false">F3673*G3673</f>
        <v>743</v>
      </c>
      <c r="I3673" s="6" t="s">
        <v>5133</v>
      </c>
    </row>
    <row r="3674" customFormat="false" ht="15" hidden="false" customHeight="false" outlineLevel="0" collapsed="false">
      <c r="A3674" s="6" t="s">
        <v>8897</v>
      </c>
      <c r="B3674" s="6" t="s">
        <v>4547</v>
      </c>
      <c r="C3674" s="26" t="n">
        <v>46147</v>
      </c>
      <c r="D3674" s="6" t="s">
        <v>5163</v>
      </c>
      <c r="E3674" s="6" t="s">
        <v>23</v>
      </c>
      <c r="F3674" s="6" t="n">
        <v>3</v>
      </c>
      <c r="G3674" s="10" t="n">
        <v>705</v>
      </c>
      <c r="H3674" s="10" t="n">
        <f aca="false">F3674*G3674</f>
        <v>2115</v>
      </c>
      <c r="I3674" s="6" t="s">
        <v>5122</v>
      </c>
    </row>
    <row r="3675" customFormat="false" ht="15" hidden="false" customHeight="false" outlineLevel="0" collapsed="false">
      <c r="A3675" s="6" t="s">
        <v>8898</v>
      </c>
      <c r="B3675" s="6" t="s">
        <v>2385</v>
      </c>
      <c r="C3675" s="26" t="n">
        <v>46147</v>
      </c>
      <c r="D3675" s="6" t="s">
        <v>5132</v>
      </c>
      <c r="E3675" s="6" t="s">
        <v>23</v>
      </c>
      <c r="F3675" s="6" t="n">
        <v>2</v>
      </c>
      <c r="G3675" s="10" t="n">
        <v>342</v>
      </c>
      <c r="H3675" s="10" t="n">
        <f aca="false">F3675*G3675</f>
        <v>684</v>
      </c>
      <c r="I3675" s="6" t="s">
        <v>5148</v>
      </c>
    </row>
    <row r="3676" customFormat="false" ht="15" hidden="false" customHeight="false" outlineLevel="0" collapsed="false">
      <c r="A3676" s="6" t="s">
        <v>8899</v>
      </c>
      <c r="B3676" s="6" t="s">
        <v>635</v>
      </c>
      <c r="C3676" s="26" t="n">
        <v>46147</v>
      </c>
      <c r="D3676" s="6" t="s">
        <v>5318</v>
      </c>
      <c r="E3676" s="6" t="s">
        <v>20</v>
      </c>
      <c r="F3676" s="6" t="n">
        <v>1</v>
      </c>
      <c r="G3676" s="10" t="n">
        <v>1529</v>
      </c>
      <c r="H3676" s="10" t="n">
        <f aca="false">F3676*G3676</f>
        <v>1529</v>
      </c>
      <c r="I3676" s="6" t="s">
        <v>5122</v>
      </c>
    </row>
    <row r="3677" customFormat="false" ht="15" hidden="false" customHeight="false" outlineLevel="0" collapsed="false">
      <c r="A3677" s="6" t="s">
        <v>8900</v>
      </c>
      <c r="B3677" s="6" t="s">
        <v>3161</v>
      </c>
      <c r="C3677" s="26" t="n">
        <v>46147</v>
      </c>
      <c r="D3677" s="6" t="s">
        <v>5687</v>
      </c>
      <c r="E3677" s="6" t="s">
        <v>20</v>
      </c>
      <c r="F3677" s="6" t="n">
        <v>1</v>
      </c>
      <c r="G3677" s="10" t="n">
        <v>1936</v>
      </c>
      <c r="H3677" s="10" t="n">
        <f aca="false">F3677*G3677</f>
        <v>1936</v>
      </c>
      <c r="I3677" s="6" t="s">
        <v>5122</v>
      </c>
    </row>
    <row r="3678" customFormat="false" ht="15" hidden="false" customHeight="false" outlineLevel="0" collapsed="false">
      <c r="A3678" s="6" t="s">
        <v>8901</v>
      </c>
      <c r="B3678" s="6" t="s">
        <v>3943</v>
      </c>
      <c r="C3678" s="26" t="n">
        <v>46147</v>
      </c>
      <c r="D3678" s="6" t="s">
        <v>5167</v>
      </c>
      <c r="E3678" s="6" t="s">
        <v>22</v>
      </c>
      <c r="F3678" s="6" t="n">
        <v>1</v>
      </c>
      <c r="G3678" s="10" t="n">
        <v>782</v>
      </c>
      <c r="H3678" s="10" t="n">
        <f aca="false">F3678*G3678</f>
        <v>782</v>
      </c>
      <c r="I3678" s="6" t="s">
        <v>5148</v>
      </c>
    </row>
    <row r="3679" customFormat="false" ht="15" hidden="false" customHeight="false" outlineLevel="0" collapsed="false">
      <c r="A3679" s="6" t="s">
        <v>8902</v>
      </c>
      <c r="B3679" s="6" t="s">
        <v>4815</v>
      </c>
      <c r="C3679" s="26" t="n">
        <v>46147</v>
      </c>
      <c r="D3679" s="6" t="s">
        <v>5167</v>
      </c>
      <c r="E3679" s="6" t="s">
        <v>22</v>
      </c>
      <c r="F3679" s="6" t="n">
        <v>1</v>
      </c>
      <c r="G3679" s="10" t="n">
        <v>782</v>
      </c>
      <c r="H3679" s="10" t="n">
        <f aca="false">F3679*G3679</f>
        <v>782</v>
      </c>
      <c r="I3679" s="6" t="s">
        <v>5130</v>
      </c>
    </row>
    <row r="3680" customFormat="false" ht="15" hidden="false" customHeight="false" outlineLevel="0" collapsed="false">
      <c r="A3680" s="6" t="s">
        <v>8903</v>
      </c>
      <c r="B3680" s="6" t="s">
        <v>4485</v>
      </c>
      <c r="C3680" s="26" t="n">
        <v>46147</v>
      </c>
      <c r="D3680" s="6" t="s">
        <v>5326</v>
      </c>
      <c r="E3680" s="6" t="s">
        <v>22</v>
      </c>
      <c r="F3680" s="6" t="n">
        <v>3</v>
      </c>
      <c r="G3680" s="10" t="n">
        <v>1320</v>
      </c>
      <c r="H3680" s="10" t="n">
        <f aca="false">F3680*G3680</f>
        <v>3960</v>
      </c>
      <c r="I3680" s="6" t="s">
        <v>5130</v>
      </c>
    </row>
    <row r="3681" customFormat="false" ht="15" hidden="false" customHeight="false" outlineLevel="0" collapsed="false">
      <c r="A3681" s="6" t="s">
        <v>8904</v>
      </c>
      <c r="B3681" s="6" t="s">
        <v>825</v>
      </c>
      <c r="C3681" s="26" t="n">
        <v>46147</v>
      </c>
      <c r="D3681" s="6" t="s">
        <v>5121</v>
      </c>
      <c r="E3681" s="6" t="s">
        <v>22</v>
      </c>
      <c r="F3681" s="6" t="n">
        <v>1</v>
      </c>
      <c r="G3681" s="10" t="n">
        <v>977</v>
      </c>
      <c r="H3681" s="10" t="n">
        <f aca="false">F3681*G3681</f>
        <v>977</v>
      </c>
      <c r="I3681" s="6" t="s">
        <v>5133</v>
      </c>
    </row>
    <row r="3682" customFormat="false" ht="15" hidden="false" customHeight="false" outlineLevel="0" collapsed="false">
      <c r="A3682" s="6" t="s">
        <v>8905</v>
      </c>
      <c r="B3682" s="6" t="s">
        <v>1917</v>
      </c>
      <c r="C3682" s="26" t="n">
        <v>46147</v>
      </c>
      <c r="D3682" s="6" t="s">
        <v>5466</v>
      </c>
      <c r="E3682" s="6" t="s">
        <v>21</v>
      </c>
      <c r="F3682" s="6" t="n">
        <v>1</v>
      </c>
      <c r="G3682" s="10" t="n">
        <v>1768</v>
      </c>
      <c r="H3682" s="10" t="n">
        <f aca="false">F3682*G3682</f>
        <v>1768</v>
      </c>
      <c r="I3682" s="6" t="s">
        <v>5130</v>
      </c>
    </row>
    <row r="3683" customFormat="false" ht="15" hidden="false" customHeight="false" outlineLevel="0" collapsed="false">
      <c r="A3683" s="6" t="s">
        <v>8906</v>
      </c>
      <c r="B3683" s="6" t="s">
        <v>3341</v>
      </c>
      <c r="C3683" s="26" t="n">
        <v>46147</v>
      </c>
      <c r="D3683" s="6" t="s">
        <v>5167</v>
      </c>
      <c r="E3683" s="6" t="s">
        <v>22</v>
      </c>
      <c r="F3683" s="6" t="n">
        <v>2</v>
      </c>
      <c r="G3683" s="10" t="n">
        <v>703</v>
      </c>
      <c r="H3683" s="10" t="n">
        <f aca="false">F3683*G3683</f>
        <v>1406</v>
      </c>
      <c r="I3683" s="6" t="s">
        <v>5122</v>
      </c>
    </row>
    <row r="3684" customFormat="false" ht="15" hidden="false" customHeight="false" outlineLevel="0" collapsed="false">
      <c r="A3684" s="6" t="s">
        <v>8907</v>
      </c>
      <c r="B3684" s="6" t="s">
        <v>2647</v>
      </c>
      <c r="C3684" s="26" t="n">
        <v>46147</v>
      </c>
      <c r="D3684" s="6" t="s">
        <v>5163</v>
      </c>
      <c r="E3684" s="6" t="s">
        <v>23</v>
      </c>
      <c r="F3684" s="6" t="n">
        <v>2</v>
      </c>
      <c r="G3684" s="10" t="n">
        <v>744</v>
      </c>
      <c r="H3684" s="10" t="n">
        <f aca="false">F3684*G3684</f>
        <v>1488</v>
      </c>
      <c r="I3684" s="6" t="s">
        <v>5130</v>
      </c>
    </row>
    <row r="3685" customFormat="false" ht="15" hidden="false" customHeight="false" outlineLevel="0" collapsed="false">
      <c r="A3685" s="6" t="s">
        <v>8908</v>
      </c>
      <c r="B3685" s="6" t="s">
        <v>2515</v>
      </c>
      <c r="C3685" s="26" t="n">
        <v>46147</v>
      </c>
      <c r="D3685" s="6" t="s">
        <v>5129</v>
      </c>
      <c r="E3685" s="6" t="s">
        <v>21</v>
      </c>
      <c r="F3685" s="6" t="n">
        <v>1</v>
      </c>
      <c r="G3685" s="10" t="n">
        <v>589</v>
      </c>
      <c r="H3685" s="10" t="n">
        <f aca="false">F3685*G3685</f>
        <v>589</v>
      </c>
      <c r="I3685" s="6" t="s">
        <v>5122</v>
      </c>
    </row>
    <row r="3686" customFormat="false" ht="15" hidden="false" customHeight="false" outlineLevel="0" collapsed="false">
      <c r="A3686" s="6" t="s">
        <v>8909</v>
      </c>
      <c r="B3686" s="6" t="s">
        <v>1507</v>
      </c>
      <c r="C3686" s="26" t="n">
        <v>46147</v>
      </c>
      <c r="D3686" s="6" t="s">
        <v>5383</v>
      </c>
      <c r="E3686" s="6" t="s">
        <v>20</v>
      </c>
      <c r="F3686" s="6" t="n">
        <v>1</v>
      </c>
      <c r="G3686" s="10" t="n">
        <v>1009</v>
      </c>
      <c r="H3686" s="10" t="n">
        <f aca="false">F3686*G3686</f>
        <v>1009</v>
      </c>
      <c r="I3686" s="6" t="s">
        <v>5148</v>
      </c>
    </row>
    <row r="3687" customFormat="false" ht="15" hidden="false" customHeight="false" outlineLevel="0" collapsed="false">
      <c r="A3687" s="6" t="s">
        <v>8910</v>
      </c>
      <c r="B3687" s="6" t="s">
        <v>3473</v>
      </c>
      <c r="C3687" s="26" t="n">
        <v>46147</v>
      </c>
      <c r="D3687" s="6" t="s">
        <v>5160</v>
      </c>
      <c r="E3687" s="6" t="s">
        <v>21</v>
      </c>
      <c r="F3687" s="6" t="n">
        <v>1</v>
      </c>
      <c r="G3687" s="10" t="n">
        <v>2614</v>
      </c>
      <c r="H3687" s="10" t="n">
        <f aca="false">F3687*G3687</f>
        <v>2614</v>
      </c>
      <c r="I3687" s="6" t="s">
        <v>5122</v>
      </c>
    </row>
    <row r="3688" customFormat="false" ht="15" hidden="false" customHeight="false" outlineLevel="0" collapsed="false">
      <c r="A3688" s="6" t="s">
        <v>8911</v>
      </c>
      <c r="B3688" s="6" t="s">
        <v>941</v>
      </c>
      <c r="C3688" s="26" t="n">
        <v>46147</v>
      </c>
      <c r="D3688" s="6" t="s">
        <v>5188</v>
      </c>
      <c r="E3688" s="6" t="s">
        <v>24</v>
      </c>
      <c r="F3688" s="6" t="n">
        <v>2</v>
      </c>
      <c r="G3688" s="10" t="n">
        <v>916</v>
      </c>
      <c r="H3688" s="10" t="n">
        <f aca="false">F3688*G3688</f>
        <v>1832</v>
      </c>
      <c r="I3688" s="6" t="s">
        <v>5122</v>
      </c>
    </row>
    <row r="3689" customFormat="false" ht="15" hidden="false" customHeight="false" outlineLevel="0" collapsed="false">
      <c r="A3689" s="6" t="s">
        <v>8912</v>
      </c>
      <c r="B3689" s="6" t="s">
        <v>4891</v>
      </c>
      <c r="C3689" s="26" t="n">
        <v>46147</v>
      </c>
      <c r="D3689" s="6" t="s">
        <v>5121</v>
      </c>
      <c r="E3689" s="6" t="s">
        <v>22</v>
      </c>
      <c r="F3689" s="6" t="n">
        <v>2</v>
      </c>
      <c r="G3689" s="10" t="n">
        <v>977</v>
      </c>
      <c r="H3689" s="10" t="n">
        <f aca="false">F3689*G3689</f>
        <v>1954</v>
      </c>
      <c r="I3689" s="6" t="s">
        <v>5122</v>
      </c>
    </row>
    <row r="3690" customFormat="false" ht="15" hidden="false" customHeight="false" outlineLevel="0" collapsed="false">
      <c r="A3690" s="6" t="s">
        <v>8913</v>
      </c>
      <c r="B3690" s="6" t="s">
        <v>1989</v>
      </c>
      <c r="C3690" s="26" t="n">
        <v>46147</v>
      </c>
      <c r="D3690" s="6" t="s">
        <v>5188</v>
      </c>
      <c r="E3690" s="6" t="s">
        <v>24</v>
      </c>
      <c r="F3690" s="6" t="n">
        <v>2</v>
      </c>
      <c r="G3690" s="10" t="n">
        <v>1018</v>
      </c>
      <c r="H3690" s="10" t="n">
        <f aca="false">F3690*G3690</f>
        <v>2036</v>
      </c>
      <c r="I3690" s="6" t="s">
        <v>5125</v>
      </c>
    </row>
    <row r="3691" customFormat="false" ht="15" hidden="false" customHeight="false" outlineLevel="0" collapsed="false">
      <c r="A3691" s="6" t="s">
        <v>8914</v>
      </c>
      <c r="B3691" s="6" t="s">
        <v>1229</v>
      </c>
      <c r="C3691" s="26" t="n">
        <v>46148</v>
      </c>
      <c r="D3691" s="6" t="s">
        <v>5318</v>
      </c>
      <c r="E3691" s="6" t="s">
        <v>20</v>
      </c>
      <c r="F3691" s="6" t="n">
        <v>2</v>
      </c>
      <c r="G3691" s="10" t="n">
        <v>1529</v>
      </c>
      <c r="H3691" s="10" t="n">
        <f aca="false">F3691*G3691</f>
        <v>3058</v>
      </c>
      <c r="I3691" s="6" t="s">
        <v>5122</v>
      </c>
    </row>
    <row r="3692" customFormat="false" ht="15" hidden="false" customHeight="false" outlineLevel="0" collapsed="false">
      <c r="A3692" s="6" t="s">
        <v>8915</v>
      </c>
      <c r="B3692" s="6" t="s">
        <v>2997</v>
      </c>
      <c r="C3692" s="26" t="n">
        <v>46148</v>
      </c>
      <c r="D3692" s="6" t="s">
        <v>5345</v>
      </c>
      <c r="E3692" s="6" t="s">
        <v>23</v>
      </c>
      <c r="F3692" s="6" t="n">
        <v>1</v>
      </c>
      <c r="G3692" s="10" t="n">
        <v>436</v>
      </c>
      <c r="H3692" s="10" t="n">
        <f aca="false">F3692*G3692</f>
        <v>436</v>
      </c>
      <c r="I3692" s="6" t="s">
        <v>5122</v>
      </c>
    </row>
    <row r="3693" customFormat="false" ht="15" hidden="false" customHeight="false" outlineLevel="0" collapsed="false">
      <c r="A3693" s="6" t="s">
        <v>8916</v>
      </c>
      <c r="B3693" s="6" t="s">
        <v>815</v>
      </c>
      <c r="C3693" s="26" t="n">
        <v>46148</v>
      </c>
      <c r="D3693" s="6" t="s">
        <v>5482</v>
      </c>
      <c r="E3693" s="6" t="s">
        <v>23</v>
      </c>
      <c r="F3693" s="6" t="n">
        <v>3</v>
      </c>
      <c r="G3693" s="10" t="n">
        <v>269</v>
      </c>
      <c r="H3693" s="10" t="n">
        <f aca="false">F3693*G3693</f>
        <v>807</v>
      </c>
      <c r="I3693" s="6" t="s">
        <v>5125</v>
      </c>
    </row>
    <row r="3694" customFormat="false" ht="15" hidden="false" customHeight="false" outlineLevel="0" collapsed="false">
      <c r="A3694" s="6" t="s">
        <v>8917</v>
      </c>
      <c r="B3694" s="6" t="s">
        <v>4309</v>
      </c>
      <c r="C3694" s="26" t="n">
        <v>46148</v>
      </c>
      <c r="D3694" s="6" t="s">
        <v>5167</v>
      </c>
      <c r="E3694" s="6" t="s">
        <v>22</v>
      </c>
      <c r="F3694" s="6" t="n">
        <v>1</v>
      </c>
      <c r="G3694" s="10" t="n">
        <v>782</v>
      </c>
      <c r="H3694" s="10" t="n">
        <f aca="false">F3694*G3694</f>
        <v>782</v>
      </c>
      <c r="I3694" s="6" t="s">
        <v>5122</v>
      </c>
    </row>
    <row r="3695" customFormat="false" ht="15" hidden="false" customHeight="false" outlineLevel="0" collapsed="false">
      <c r="A3695" s="6" t="s">
        <v>8918</v>
      </c>
      <c r="B3695" s="6" t="s">
        <v>3919</v>
      </c>
      <c r="C3695" s="26" t="n">
        <v>46148</v>
      </c>
      <c r="D3695" s="6" t="s">
        <v>5129</v>
      </c>
      <c r="E3695" s="6" t="s">
        <v>21</v>
      </c>
      <c r="F3695" s="6" t="n">
        <v>1</v>
      </c>
      <c r="G3695" s="10" t="n">
        <v>559</v>
      </c>
      <c r="H3695" s="10" t="n">
        <f aca="false">F3695*G3695</f>
        <v>559</v>
      </c>
      <c r="I3695" s="6" t="s">
        <v>5148</v>
      </c>
    </row>
    <row r="3696" customFormat="false" ht="15" hidden="false" customHeight="false" outlineLevel="0" collapsed="false">
      <c r="A3696" s="6" t="s">
        <v>8919</v>
      </c>
      <c r="B3696" s="6" t="s">
        <v>2093</v>
      </c>
      <c r="C3696" s="26" t="n">
        <v>46148</v>
      </c>
      <c r="D3696" s="6" t="s">
        <v>5192</v>
      </c>
      <c r="E3696" s="6" t="s">
        <v>20</v>
      </c>
      <c r="F3696" s="6" t="n">
        <v>1</v>
      </c>
      <c r="G3696" s="10" t="n">
        <v>4078</v>
      </c>
      <c r="H3696" s="10" t="n">
        <f aca="false">F3696*G3696</f>
        <v>4078</v>
      </c>
      <c r="I3696" s="6" t="s">
        <v>5148</v>
      </c>
    </row>
    <row r="3697" customFormat="false" ht="15" hidden="false" customHeight="false" outlineLevel="0" collapsed="false">
      <c r="A3697" s="6" t="s">
        <v>8920</v>
      </c>
      <c r="B3697" s="6" t="s">
        <v>3069</v>
      </c>
      <c r="C3697" s="26" t="n">
        <v>46148</v>
      </c>
      <c r="D3697" s="6" t="s">
        <v>5145</v>
      </c>
      <c r="E3697" s="6" t="s">
        <v>21</v>
      </c>
      <c r="F3697" s="6" t="n">
        <v>1</v>
      </c>
      <c r="G3697" s="10" t="n">
        <v>1277</v>
      </c>
      <c r="H3697" s="10" t="n">
        <f aca="false">F3697*G3697</f>
        <v>1277</v>
      </c>
      <c r="I3697" s="6" t="s">
        <v>5133</v>
      </c>
    </row>
    <row r="3698" customFormat="false" ht="15" hidden="false" customHeight="false" outlineLevel="0" collapsed="false">
      <c r="A3698" s="6" t="s">
        <v>8921</v>
      </c>
      <c r="B3698" s="6" t="s">
        <v>3077</v>
      </c>
      <c r="C3698" s="26" t="n">
        <v>46148</v>
      </c>
      <c r="D3698" s="6" t="s">
        <v>5237</v>
      </c>
      <c r="E3698" s="6" t="s">
        <v>24</v>
      </c>
      <c r="F3698" s="6" t="n">
        <v>2</v>
      </c>
      <c r="G3698" s="10" t="n">
        <v>1833</v>
      </c>
      <c r="H3698" s="10" t="n">
        <f aca="false">F3698*G3698</f>
        <v>3666</v>
      </c>
      <c r="I3698" s="6" t="s">
        <v>5130</v>
      </c>
    </row>
    <row r="3699" customFormat="false" ht="15" hidden="false" customHeight="false" outlineLevel="0" collapsed="false">
      <c r="A3699" s="6" t="s">
        <v>8922</v>
      </c>
      <c r="B3699" s="6" t="s">
        <v>4415</v>
      </c>
      <c r="C3699" s="26" t="n">
        <v>46148</v>
      </c>
      <c r="D3699" s="6" t="s">
        <v>5167</v>
      </c>
      <c r="E3699" s="6" t="s">
        <v>22</v>
      </c>
      <c r="F3699" s="6" t="n">
        <v>1</v>
      </c>
      <c r="G3699" s="10" t="n">
        <v>781</v>
      </c>
      <c r="H3699" s="10" t="n">
        <f aca="false">F3699*G3699</f>
        <v>781</v>
      </c>
      <c r="I3699" s="6" t="s">
        <v>5130</v>
      </c>
    </row>
    <row r="3700" customFormat="false" ht="15" hidden="false" customHeight="false" outlineLevel="0" collapsed="false">
      <c r="A3700" s="6" t="s">
        <v>8923</v>
      </c>
      <c r="B3700" s="6" t="s">
        <v>2751</v>
      </c>
      <c r="C3700" s="26" t="n">
        <v>46148</v>
      </c>
      <c r="D3700" s="6" t="s">
        <v>5538</v>
      </c>
      <c r="E3700" s="6" t="s">
        <v>21</v>
      </c>
      <c r="F3700" s="6" t="n">
        <v>1</v>
      </c>
      <c r="G3700" s="10" t="n">
        <v>4865</v>
      </c>
      <c r="H3700" s="10" t="n">
        <f aca="false">F3700*G3700</f>
        <v>4865</v>
      </c>
      <c r="I3700" s="6" t="s">
        <v>5130</v>
      </c>
    </row>
    <row r="3701" customFormat="false" ht="15" hidden="false" customHeight="false" outlineLevel="0" collapsed="false">
      <c r="A3701" s="6" t="s">
        <v>8924</v>
      </c>
      <c r="B3701" s="6" t="s">
        <v>565</v>
      </c>
      <c r="C3701" s="26" t="n">
        <v>46148</v>
      </c>
      <c r="D3701" s="6" t="s">
        <v>5129</v>
      </c>
      <c r="E3701" s="6" t="s">
        <v>21</v>
      </c>
      <c r="F3701" s="6" t="n">
        <v>2</v>
      </c>
      <c r="G3701" s="10" t="n">
        <v>589</v>
      </c>
      <c r="H3701" s="10" t="n">
        <f aca="false">F3701*G3701</f>
        <v>1178</v>
      </c>
      <c r="I3701" s="6" t="s">
        <v>5130</v>
      </c>
    </row>
    <row r="3702" customFormat="false" ht="15" hidden="false" customHeight="false" outlineLevel="0" collapsed="false">
      <c r="A3702" s="6" t="s">
        <v>8925</v>
      </c>
      <c r="B3702" s="6" t="s">
        <v>3113</v>
      </c>
      <c r="C3702" s="26" t="n">
        <v>46148</v>
      </c>
      <c r="D3702" s="6" t="s">
        <v>5259</v>
      </c>
      <c r="E3702" s="6" t="s">
        <v>22</v>
      </c>
      <c r="F3702" s="6" t="n">
        <v>1</v>
      </c>
      <c r="G3702" s="10" t="n">
        <v>1486</v>
      </c>
      <c r="H3702" s="10" t="n">
        <f aca="false">F3702*G3702</f>
        <v>1486</v>
      </c>
      <c r="I3702" s="6" t="s">
        <v>5122</v>
      </c>
    </row>
    <row r="3703" customFormat="false" ht="15" hidden="false" customHeight="false" outlineLevel="0" collapsed="false">
      <c r="A3703" s="6" t="s">
        <v>8926</v>
      </c>
      <c r="B3703" s="6" t="s">
        <v>4411</v>
      </c>
      <c r="C3703" s="26" t="n">
        <v>46148</v>
      </c>
      <c r="D3703" s="6" t="s">
        <v>5458</v>
      </c>
      <c r="E3703" s="6" t="s">
        <v>24</v>
      </c>
      <c r="F3703" s="6" t="n">
        <v>1</v>
      </c>
      <c r="G3703" s="10" t="n">
        <v>531</v>
      </c>
      <c r="H3703" s="10" t="n">
        <f aca="false">F3703*G3703</f>
        <v>531</v>
      </c>
      <c r="I3703" s="6" t="s">
        <v>5122</v>
      </c>
    </row>
    <row r="3704" customFormat="false" ht="15" hidden="false" customHeight="false" outlineLevel="0" collapsed="false">
      <c r="A3704" s="6" t="s">
        <v>8927</v>
      </c>
      <c r="B3704" s="6" t="s">
        <v>4807</v>
      </c>
      <c r="C3704" s="26" t="n">
        <v>46148</v>
      </c>
      <c r="D3704" s="6" t="s">
        <v>5127</v>
      </c>
      <c r="E3704" s="6" t="s">
        <v>21</v>
      </c>
      <c r="F3704" s="6" t="n">
        <v>1</v>
      </c>
      <c r="G3704" s="10" t="n">
        <v>884</v>
      </c>
      <c r="H3704" s="10" t="n">
        <f aca="false">F3704*G3704</f>
        <v>884</v>
      </c>
      <c r="I3704" s="6" t="s">
        <v>5122</v>
      </c>
    </row>
    <row r="3705" customFormat="false" ht="15" hidden="false" customHeight="false" outlineLevel="0" collapsed="false">
      <c r="A3705" s="6" t="s">
        <v>8928</v>
      </c>
      <c r="B3705" s="6" t="s">
        <v>2715</v>
      </c>
      <c r="C3705" s="26" t="n">
        <v>46148</v>
      </c>
      <c r="D3705" s="6" t="s">
        <v>5169</v>
      </c>
      <c r="E3705" s="6" t="s">
        <v>20</v>
      </c>
      <c r="F3705" s="6" t="n">
        <v>2</v>
      </c>
      <c r="G3705" s="10" t="n">
        <v>5098</v>
      </c>
      <c r="H3705" s="10" t="n">
        <f aca="false">F3705*G3705</f>
        <v>10196</v>
      </c>
      <c r="I3705" s="6" t="s">
        <v>5133</v>
      </c>
    </row>
    <row r="3706" customFormat="false" ht="15" hidden="false" customHeight="false" outlineLevel="0" collapsed="false">
      <c r="A3706" s="6" t="s">
        <v>8929</v>
      </c>
      <c r="B3706" s="6" t="s">
        <v>4157</v>
      </c>
      <c r="C3706" s="26" t="n">
        <v>46148</v>
      </c>
      <c r="D3706" s="6" t="s">
        <v>5357</v>
      </c>
      <c r="E3706" s="6" t="s">
        <v>23</v>
      </c>
      <c r="F3706" s="6" t="n">
        <v>4</v>
      </c>
      <c r="G3706" s="10" t="n">
        <v>534</v>
      </c>
      <c r="H3706" s="10" t="n">
        <f aca="false">F3706*G3706</f>
        <v>2136</v>
      </c>
      <c r="I3706" s="6" t="s">
        <v>5130</v>
      </c>
    </row>
    <row r="3707" customFormat="false" ht="15" hidden="false" customHeight="false" outlineLevel="0" collapsed="false">
      <c r="A3707" s="6" t="s">
        <v>8930</v>
      </c>
      <c r="B3707" s="6" t="s">
        <v>3633</v>
      </c>
      <c r="C3707" s="26" t="n">
        <v>46148</v>
      </c>
      <c r="D3707" s="6" t="s">
        <v>5167</v>
      </c>
      <c r="E3707" s="6" t="s">
        <v>22</v>
      </c>
      <c r="F3707" s="6" t="n">
        <v>1</v>
      </c>
      <c r="G3707" s="10" t="n">
        <v>743</v>
      </c>
      <c r="H3707" s="10" t="n">
        <f aca="false">F3707*G3707</f>
        <v>743</v>
      </c>
      <c r="I3707" s="6" t="s">
        <v>5122</v>
      </c>
    </row>
    <row r="3708" customFormat="false" ht="15" hidden="false" customHeight="false" outlineLevel="0" collapsed="false">
      <c r="A3708" s="6" t="s">
        <v>8931</v>
      </c>
      <c r="B3708" s="6" t="s">
        <v>3063</v>
      </c>
      <c r="C3708" s="26" t="n">
        <v>46148</v>
      </c>
      <c r="D3708" s="6" t="s">
        <v>5132</v>
      </c>
      <c r="E3708" s="6" t="s">
        <v>23</v>
      </c>
      <c r="F3708" s="6" t="n">
        <v>3</v>
      </c>
      <c r="G3708" s="10" t="n">
        <v>342</v>
      </c>
      <c r="H3708" s="10" t="n">
        <f aca="false">F3708*G3708</f>
        <v>1026</v>
      </c>
      <c r="I3708" s="6" t="s">
        <v>5122</v>
      </c>
    </row>
    <row r="3709" customFormat="false" ht="15" hidden="false" customHeight="false" outlineLevel="0" collapsed="false">
      <c r="A3709" s="6" t="s">
        <v>8932</v>
      </c>
      <c r="B3709" s="6" t="s">
        <v>2123</v>
      </c>
      <c r="C3709" s="26" t="n">
        <v>46148</v>
      </c>
      <c r="D3709" s="6" t="s">
        <v>5171</v>
      </c>
      <c r="E3709" s="6" t="s">
        <v>23</v>
      </c>
      <c r="F3709" s="6" t="n">
        <v>5</v>
      </c>
      <c r="G3709" s="10" t="n">
        <v>734</v>
      </c>
      <c r="H3709" s="10" t="n">
        <f aca="false">F3709*G3709</f>
        <v>3670</v>
      </c>
      <c r="I3709" s="6" t="s">
        <v>5122</v>
      </c>
    </row>
    <row r="3710" customFormat="false" ht="15" hidden="false" customHeight="false" outlineLevel="0" collapsed="false">
      <c r="A3710" s="6" t="s">
        <v>8933</v>
      </c>
      <c r="B3710" s="6" t="s">
        <v>3249</v>
      </c>
      <c r="C3710" s="26" t="n">
        <v>46148</v>
      </c>
      <c r="D3710" s="6" t="s">
        <v>5135</v>
      </c>
      <c r="E3710" s="6" t="s">
        <v>23</v>
      </c>
      <c r="F3710" s="6" t="n">
        <v>4</v>
      </c>
      <c r="G3710" s="10" t="n">
        <v>397</v>
      </c>
      <c r="H3710" s="10" t="n">
        <f aca="false">F3710*G3710</f>
        <v>1588</v>
      </c>
      <c r="I3710" s="6" t="s">
        <v>5125</v>
      </c>
    </row>
    <row r="3711" customFormat="false" ht="15" hidden="false" customHeight="false" outlineLevel="0" collapsed="false">
      <c r="A3711" s="6" t="s">
        <v>8934</v>
      </c>
      <c r="B3711" s="6" t="s">
        <v>4797</v>
      </c>
      <c r="C3711" s="26" t="n">
        <v>46148</v>
      </c>
      <c r="D3711" s="6" t="s">
        <v>5129</v>
      </c>
      <c r="E3711" s="6" t="s">
        <v>21</v>
      </c>
      <c r="F3711" s="6" t="n">
        <v>1</v>
      </c>
      <c r="G3711" s="10" t="n">
        <v>531</v>
      </c>
      <c r="H3711" s="10" t="n">
        <f aca="false">F3711*G3711</f>
        <v>531</v>
      </c>
      <c r="I3711" s="6" t="s">
        <v>5122</v>
      </c>
    </row>
    <row r="3712" customFormat="false" ht="15" hidden="false" customHeight="false" outlineLevel="0" collapsed="false">
      <c r="A3712" s="6" t="s">
        <v>8935</v>
      </c>
      <c r="B3712" s="6" t="s">
        <v>2001</v>
      </c>
      <c r="C3712" s="26" t="n">
        <v>46148</v>
      </c>
      <c r="D3712" s="6" t="s">
        <v>5163</v>
      </c>
      <c r="E3712" s="6" t="s">
        <v>23</v>
      </c>
      <c r="F3712" s="6" t="n">
        <v>1</v>
      </c>
      <c r="G3712" s="10" t="n">
        <v>783</v>
      </c>
      <c r="H3712" s="10" t="n">
        <f aca="false">F3712*G3712</f>
        <v>783</v>
      </c>
      <c r="I3712" s="6" t="s">
        <v>5122</v>
      </c>
    </row>
    <row r="3713" customFormat="false" ht="15" hidden="false" customHeight="false" outlineLevel="0" collapsed="false">
      <c r="A3713" s="6" t="s">
        <v>8936</v>
      </c>
      <c r="B3713" s="6" t="s">
        <v>2085</v>
      </c>
      <c r="C3713" s="26" t="n">
        <v>46148</v>
      </c>
      <c r="D3713" s="6" t="s">
        <v>5466</v>
      </c>
      <c r="E3713" s="6" t="s">
        <v>21</v>
      </c>
      <c r="F3713" s="6" t="n">
        <v>2</v>
      </c>
      <c r="G3713" s="10" t="n">
        <v>1965</v>
      </c>
      <c r="H3713" s="10" t="n">
        <f aca="false">F3713*G3713</f>
        <v>3930</v>
      </c>
      <c r="I3713" s="6" t="s">
        <v>5122</v>
      </c>
    </row>
    <row r="3714" customFormat="false" ht="15" hidden="false" customHeight="false" outlineLevel="0" collapsed="false">
      <c r="A3714" s="6" t="s">
        <v>8937</v>
      </c>
      <c r="B3714" s="6" t="s">
        <v>1415</v>
      </c>
      <c r="C3714" s="26" t="n">
        <v>46148</v>
      </c>
      <c r="D3714" s="6" t="s">
        <v>5171</v>
      </c>
      <c r="E3714" s="6" t="s">
        <v>23</v>
      </c>
      <c r="F3714" s="6" t="n">
        <v>4</v>
      </c>
      <c r="G3714" s="10" t="n">
        <v>734</v>
      </c>
      <c r="H3714" s="10" t="n">
        <f aca="false">F3714*G3714</f>
        <v>2936</v>
      </c>
      <c r="I3714" s="6" t="s">
        <v>5148</v>
      </c>
    </row>
    <row r="3715" customFormat="false" ht="15" hidden="false" customHeight="false" outlineLevel="0" collapsed="false">
      <c r="A3715" s="6" t="s">
        <v>8938</v>
      </c>
      <c r="B3715" s="6" t="s">
        <v>2023</v>
      </c>
      <c r="C3715" s="26" t="n">
        <v>46148</v>
      </c>
      <c r="D3715" s="6" t="s">
        <v>5180</v>
      </c>
      <c r="E3715" s="6" t="s">
        <v>24</v>
      </c>
      <c r="F3715" s="6" t="n">
        <v>4</v>
      </c>
      <c r="G3715" s="10" t="n">
        <v>1888</v>
      </c>
      <c r="H3715" s="10" t="n">
        <f aca="false">F3715*G3715</f>
        <v>7552</v>
      </c>
      <c r="I3715" s="6" t="s">
        <v>5125</v>
      </c>
    </row>
    <row r="3716" customFormat="false" ht="15" hidden="false" customHeight="false" outlineLevel="0" collapsed="false">
      <c r="A3716" s="6" t="s">
        <v>8939</v>
      </c>
      <c r="B3716" s="6" t="s">
        <v>186</v>
      </c>
      <c r="C3716" s="26" t="n">
        <v>46148</v>
      </c>
      <c r="D3716" s="6" t="s">
        <v>5167</v>
      </c>
      <c r="E3716" s="6" t="s">
        <v>22</v>
      </c>
      <c r="F3716" s="6" t="n">
        <v>2</v>
      </c>
      <c r="G3716" s="10" t="n">
        <v>782</v>
      </c>
      <c r="H3716" s="10" t="n">
        <f aca="false">F3716*G3716</f>
        <v>1564</v>
      </c>
      <c r="I3716" s="6" t="s">
        <v>5122</v>
      </c>
    </row>
    <row r="3717" customFormat="false" ht="15" hidden="false" customHeight="false" outlineLevel="0" collapsed="false">
      <c r="A3717" s="6" t="s">
        <v>8940</v>
      </c>
      <c r="B3717" s="6" t="s">
        <v>244</v>
      </c>
      <c r="C3717" s="26" t="n">
        <v>46148</v>
      </c>
      <c r="D3717" s="6" t="s">
        <v>5121</v>
      </c>
      <c r="E3717" s="6" t="s">
        <v>22</v>
      </c>
      <c r="F3717" s="6" t="n">
        <v>1</v>
      </c>
      <c r="G3717" s="10" t="n">
        <v>977</v>
      </c>
      <c r="H3717" s="10" t="n">
        <f aca="false">F3717*G3717</f>
        <v>977</v>
      </c>
      <c r="I3717" s="6" t="s">
        <v>5130</v>
      </c>
    </row>
    <row r="3718" customFormat="false" ht="15" hidden="false" customHeight="false" outlineLevel="0" collapsed="false">
      <c r="A3718" s="6" t="s">
        <v>8941</v>
      </c>
      <c r="B3718" s="6" t="s">
        <v>2807</v>
      </c>
      <c r="C3718" s="26" t="n">
        <v>46148</v>
      </c>
      <c r="D3718" s="6" t="s">
        <v>5273</v>
      </c>
      <c r="E3718" s="6" t="s">
        <v>23</v>
      </c>
      <c r="F3718" s="6" t="n">
        <v>2</v>
      </c>
      <c r="G3718" s="10" t="n">
        <v>228</v>
      </c>
      <c r="H3718" s="10" t="n">
        <f aca="false">F3718*G3718</f>
        <v>456</v>
      </c>
      <c r="I3718" s="6" t="s">
        <v>5130</v>
      </c>
    </row>
    <row r="3719" customFormat="false" ht="15" hidden="false" customHeight="false" outlineLevel="0" collapsed="false">
      <c r="A3719" s="6" t="s">
        <v>8942</v>
      </c>
      <c r="B3719" s="6" t="s">
        <v>2491</v>
      </c>
      <c r="C3719" s="26" t="n">
        <v>46148</v>
      </c>
      <c r="D3719" s="6" t="s">
        <v>5165</v>
      </c>
      <c r="E3719" s="6" t="s">
        <v>22</v>
      </c>
      <c r="F3719" s="6" t="n">
        <v>1</v>
      </c>
      <c r="G3719" s="10" t="n">
        <v>928</v>
      </c>
      <c r="H3719" s="10" t="n">
        <f aca="false">F3719*G3719</f>
        <v>928</v>
      </c>
      <c r="I3719" s="6" t="s">
        <v>5122</v>
      </c>
    </row>
    <row r="3720" customFormat="false" ht="15" hidden="false" customHeight="false" outlineLevel="0" collapsed="false">
      <c r="A3720" s="6" t="s">
        <v>8943</v>
      </c>
      <c r="B3720" s="6" t="s">
        <v>2169</v>
      </c>
      <c r="C3720" s="26" t="n">
        <v>46148</v>
      </c>
      <c r="D3720" s="6" t="s">
        <v>5171</v>
      </c>
      <c r="E3720" s="6" t="s">
        <v>23</v>
      </c>
      <c r="F3720" s="6" t="n">
        <v>2</v>
      </c>
      <c r="G3720" s="10" t="n">
        <v>734</v>
      </c>
      <c r="H3720" s="10" t="n">
        <f aca="false">F3720*G3720</f>
        <v>1468</v>
      </c>
      <c r="I3720" s="6" t="s">
        <v>5122</v>
      </c>
    </row>
    <row r="3721" customFormat="false" ht="15" hidden="false" customHeight="false" outlineLevel="0" collapsed="false">
      <c r="A3721" s="6" t="s">
        <v>8944</v>
      </c>
      <c r="B3721" s="6" t="s">
        <v>4505</v>
      </c>
      <c r="C3721" s="26" t="n">
        <v>46148</v>
      </c>
      <c r="D3721" s="6" t="s">
        <v>5482</v>
      </c>
      <c r="E3721" s="6" t="s">
        <v>23</v>
      </c>
      <c r="F3721" s="6" t="n">
        <v>4</v>
      </c>
      <c r="G3721" s="10" t="n">
        <v>269</v>
      </c>
      <c r="H3721" s="10" t="n">
        <f aca="false">F3721*G3721</f>
        <v>1076</v>
      </c>
      <c r="I3721" s="6" t="s">
        <v>5122</v>
      </c>
    </row>
    <row r="3722" customFormat="false" ht="15" hidden="false" customHeight="false" outlineLevel="0" collapsed="false">
      <c r="A3722" s="6" t="s">
        <v>8945</v>
      </c>
      <c r="B3722" s="6" t="s">
        <v>1353</v>
      </c>
      <c r="C3722" s="26" t="n">
        <v>46148</v>
      </c>
      <c r="D3722" s="6" t="s">
        <v>5345</v>
      </c>
      <c r="E3722" s="6" t="s">
        <v>23</v>
      </c>
      <c r="F3722" s="6" t="n">
        <v>3</v>
      </c>
      <c r="G3722" s="10" t="n">
        <v>392</v>
      </c>
      <c r="H3722" s="10" t="n">
        <f aca="false">F3722*G3722</f>
        <v>1176</v>
      </c>
      <c r="I3722" s="6" t="s">
        <v>5148</v>
      </c>
    </row>
    <row r="3723" customFormat="false" ht="15" hidden="false" customHeight="false" outlineLevel="0" collapsed="false">
      <c r="A3723" s="6" t="s">
        <v>8946</v>
      </c>
      <c r="B3723" s="6" t="s">
        <v>128</v>
      </c>
      <c r="C3723" s="26" t="n">
        <v>46148</v>
      </c>
      <c r="D3723" s="6" t="s">
        <v>5163</v>
      </c>
      <c r="E3723" s="6" t="s">
        <v>23</v>
      </c>
      <c r="F3723" s="6" t="n">
        <v>3</v>
      </c>
      <c r="G3723" s="10" t="n">
        <v>744</v>
      </c>
      <c r="H3723" s="10" t="n">
        <f aca="false">F3723*G3723</f>
        <v>2232</v>
      </c>
      <c r="I3723" s="6" t="s">
        <v>5122</v>
      </c>
    </row>
    <row r="3724" customFormat="false" ht="15" hidden="false" customHeight="false" outlineLevel="0" collapsed="false">
      <c r="A3724" s="6" t="s">
        <v>8947</v>
      </c>
      <c r="B3724" s="6" t="s">
        <v>1143</v>
      </c>
      <c r="C3724" s="26" t="n">
        <v>46148</v>
      </c>
      <c r="D3724" s="6" t="s">
        <v>5167</v>
      </c>
      <c r="E3724" s="6" t="s">
        <v>22</v>
      </c>
      <c r="F3724" s="6" t="n">
        <v>3</v>
      </c>
      <c r="G3724" s="10" t="n">
        <v>782</v>
      </c>
      <c r="H3724" s="10" t="n">
        <f aca="false">F3724*G3724</f>
        <v>2346</v>
      </c>
      <c r="I3724" s="6" t="s">
        <v>5173</v>
      </c>
    </row>
    <row r="3725" customFormat="false" ht="15" hidden="false" customHeight="false" outlineLevel="0" collapsed="false">
      <c r="A3725" s="6" t="s">
        <v>8948</v>
      </c>
      <c r="B3725" s="6" t="s">
        <v>4667</v>
      </c>
      <c r="C3725" s="26" t="n">
        <v>46148</v>
      </c>
      <c r="D3725" s="6" t="s">
        <v>5357</v>
      </c>
      <c r="E3725" s="6" t="s">
        <v>23</v>
      </c>
      <c r="F3725" s="6" t="n">
        <v>3</v>
      </c>
      <c r="G3725" s="10" t="n">
        <v>481</v>
      </c>
      <c r="H3725" s="10" t="n">
        <f aca="false">F3725*G3725</f>
        <v>1443</v>
      </c>
      <c r="I3725" s="6" t="s">
        <v>5122</v>
      </c>
    </row>
    <row r="3726" customFormat="false" ht="15" hidden="false" customHeight="false" outlineLevel="0" collapsed="false">
      <c r="A3726" s="6" t="s">
        <v>8949</v>
      </c>
      <c r="B3726" s="6" t="s">
        <v>3657</v>
      </c>
      <c r="C3726" s="26" t="n">
        <v>46149</v>
      </c>
      <c r="D3726" s="6" t="s">
        <v>5190</v>
      </c>
      <c r="E3726" s="6" t="s">
        <v>24</v>
      </c>
      <c r="F3726" s="6" t="n">
        <v>1</v>
      </c>
      <c r="G3726" s="10" t="n">
        <v>611</v>
      </c>
      <c r="H3726" s="10" t="n">
        <f aca="false">F3726*G3726</f>
        <v>611</v>
      </c>
      <c r="I3726" s="6" t="s">
        <v>5122</v>
      </c>
    </row>
    <row r="3727" customFormat="false" ht="15" hidden="false" customHeight="false" outlineLevel="0" collapsed="false">
      <c r="A3727" s="6" t="s">
        <v>8950</v>
      </c>
      <c r="B3727" s="6" t="s">
        <v>4099</v>
      </c>
      <c r="C3727" s="26" t="n">
        <v>46149</v>
      </c>
      <c r="D3727" s="6" t="s">
        <v>5383</v>
      </c>
      <c r="E3727" s="6" t="s">
        <v>20</v>
      </c>
      <c r="F3727" s="6" t="n">
        <v>1</v>
      </c>
      <c r="G3727" s="10" t="n">
        <v>1121</v>
      </c>
      <c r="H3727" s="10" t="n">
        <f aca="false">F3727*G3727</f>
        <v>1121</v>
      </c>
      <c r="I3727" s="6" t="s">
        <v>5148</v>
      </c>
    </row>
    <row r="3728" customFormat="false" ht="15" hidden="false" customHeight="false" outlineLevel="0" collapsed="false">
      <c r="A3728" s="6" t="s">
        <v>8951</v>
      </c>
      <c r="B3728" s="6" t="s">
        <v>4241</v>
      </c>
      <c r="C3728" s="26" t="n">
        <v>46149</v>
      </c>
      <c r="D3728" s="6" t="s">
        <v>5707</v>
      </c>
      <c r="E3728" s="6" t="s">
        <v>22</v>
      </c>
      <c r="F3728" s="6" t="n">
        <v>2</v>
      </c>
      <c r="G3728" s="10" t="n">
        <v>2445</v>
      </c>
      <c r="H3728" s="10" t="n">
        <f aca="false">F3728*G3728</f>
        <v>4890</v>
      </c>
      <c r="I3728" s="6" t="s">
        <v>5122</v>
      </c>
    </row>
    <row r="3729" customFormat="false" ht="15" hidden="false" customHeight="false" outlineLevel="0" collapsed="false">
      <c r="A3729" s="6" t="s">
        <v>8952</v>
      </c>
      <c r="B3729" s="6" t="s">
        <v>1163</v>
      </c>
      <c r="C3729" s="26" t="n">
        <v>46149</v>
      </c>
      <c r="D3729" s="6" t="s">
        <v>5281</v>
      </c>
      <c r="E3729" s="6" t="s">
        <v>24</v>
      </c>
      <c r="F3729" s="6" t="n">
        <v>3</v>
      </c>
      <c r="G3729" s="10" t="n">
        <v>814</v>
      </c>
      <c r="H3729" s="10" t="n">
        <f aca="false">F3729*G3729</f>
        <v>2442</v>
      </c>
      <c r="I3729" s="6" t="s">
        <v>5122</v>
      </c>
    </row>
    <row r="3730" customFormat="false" ht="15" hidden="false" customHeight="false" outlineLevel="0" collapsed="false">
      <c r="A3730" s="6" t="s">
        <v>8953</v>
      </c>
      <c r="B3730" s="6" t="s">
        <v>3253</v>
      </c>
      <c r="C3730" s="26" t="n">
        <v>46149</v>
      </c>
      <c r="D3730" s="6" t="s">
        <v>5522</v>
      </c>
      <c r="E3730" s="6" t="s">
        <v>21</v>
      </c>
      <c r="F3730" s="6" t="n">
        <v>1</v>
      </c>
      <c r="G3730" s="10" t="n">
        <v>12138</v>
      </c>
      <c r="H3730" s="10" t="n">
        <f aca="false">F3730*G3730</f>
        <v>12138</v>
      </c>
      <c r="I3730" s="6" t="s">
        <v>5173</v>
      </c>
    </row>
    <row r="3731" customFormat="false" ht="15" hidden="false" customHeight="false" outlineLevel="0" collapsed="false">
      <c r="A3731" s="6" t="s">
        <v>8954</v>
      </c>
      <c r="B3731" s="6" t="s">
        <v>2359</v>
      </c>
      <c r="C3731" s="26" t="n">
        <v>46149</v>
      </c>
      <c r="D3731" s="6" t="s">
        <v>5182</v>
      </c>
      <c r="E3731" s="6" t="s">
        <v>23</v>
      </c>
      <c r="F3731" s="6" t="n">
        <v>1</v>
      </c>
      <c r="G3731" s="10" t="n">
        <v>348</v>
      </c>
      <c r="H3731" s="10" t="n">
        <f aca="false">F3731*G3731</f>
        <v>348</v>
      </c>
      <c r="I3731" s="6" t="s">
        <v>5122</v>
      </c>
    </row>
    <row r="3732" customFormat="false" ht="15" hidden="false" customHeight="false" outlineLevel="0" collapsed="false">
      <c r="A3732" s="6" t="s">
        <v>8955</v>
      </c>
      <c r="B3732" s="6" t="s">
        <v>729</v>
      </c>
      <c r="C3732" s="26" t="n">
        <v>46149</v>
      </c>
      <c r="D3732" s="6" t="s">
        <v>5167</v>
      </c>
      <c r="E3732" s="6" t="s">
        <v>22</v>
      </c>
      <c r="F3732" s="6" t="n">
        <v>1</v>
      </c>
      <c r="G3732" s="10" t="n">
        <v>782</v>
      </c>
      <c r="H3732" s="10" t="n">
        <f aca="false">F3732*G3732</f>
        <v>782</v>
      </c>
      <c r="I3732" s="6" t="s">
        <v>5122</v>
      </c>
    </row>
    <row r="3733" customFormat="false" ht="15" hidden="false" customHeight="false" outlineLevel="0" collapsed="false">
      <c r="A3733" s="6" t="s">
        <v>8956</v>
      </c>
      <c r="B3733" s="6" t="s">
        <v>4025</v>
      </c>
      <c r="C3733" s="26" t="n">
        <v>46149</v>
      </c>
      <c r="D3733" s="6" t="s">
        <v>5538</v>
      </c>
      <c r="E3733" s="6" t="s">
        <v>21</v>
      </c>
      <c r="F3733" s="6" t="n">
        <v>1</v>
      </c>
      <c r="G3733" s="10" t="n">
        <v>4865</v>
      </c>
      <c r="H3733" s="10" t="n">
        <f aca="false">F3733*G3733</f>
        <v>4865</v>
      </c>
      <c r="I3733" s="6" t="s">
        <v>5122</v>
      </c>
    </row>
    <row r="3734" customFormat="false" ht="15" hidden="false" customHeight="false" outlineLevel="0" collapsed="false">
      <c r="A3734" s="6" t="s">
        <v>8957</v>
      </c>
      <c r="B3734" s="6" t="s">
        <v>174</v>
      </c>
      <c r="C3734" s="26" t="n">
        <v>46149</v>
      </c>
      <c r="D3734" s="6" t="s">
        <v>5235</v>
      </c>
      <c r="E3734" s="6" t="s">
        <v>21</v>
      </c>
      <c r="F3734" s="6" t="n">
        <v>1</v>
      </c>
      <c r="G3734" s="10" t="n">
        <v>1670</v>
      </c>
      <c r="H3734" s="10" t="n">
        <f aca="false">F3734*G3734</f>
        <v>1670</v>
      </c>
      <c r="I3734" s="6" t="s">
        <v>5130</v>
      </c>
    </row>
    <row r="3735" customFormat="false" ht="15" hidden="false" customHeight="false" outlineLevel="0" collapsed="false">
      <c r="A3735" s="6" t="s">
        <v>8958</v>
      </c>
      <c r="B3735" s="6" t="s">
        <v>1885</v>
      </c>
      <c r="C3735" s="26" t="n">
        <v>46149</v>
      </c>
      <c r="D3735" s="6" t="s">
        <v>5154</v>
      </c>
      <c r="E3735" s="6" t="s">
        <v>21</v>
      </c>
      <c r="F3735" s="6" t="n">
        <v>2</v>
      </c>
      <c r="G3735" s="10" t="n">
        <v>785</v>
      </c>
      <c r="H3735" s="10" t="n">
        <f aca="false">F3735*G3735</f>
        <v>1570</v>
      </c>
      <c r="I3735" s="6" t="s">
        <v>5130</v>
      </c>
    </row>
    <row r="3736" customFormat="false" ht="15" hidden="false" customHeight="false" outlineLevel="0" collapsed="false">
      <c r="A3736" s="6" t="s">
        <v>8959</v>
      </c>
      <c r="B3736" s="6" t="s">
        <v>1403</v>
      </c>
      <c r="C3736" s="26" t="n">
        <v>46149</v>
      </c>
      <c r="D3736" s="6" t="s">
        <v>5167</v>
      </c>
      <c r="E3736" s="6" t="s">
        <v>22</v>
      </c>
      <c r="F3736" s="6" t="n">
        <v>1</v>
      </c>
      <c r="G3736" s="10" t="n">
        <v>703</v>
      </c>
      <c r="H3736" s="10" t="n">
        <f aca="false">F3736*G3736</f>
        <v>703</v>
      </c>
      <c r="I3736" s="6" t="s">
        <v>5173</v>
      </c>
    </row>
    <row r="3737" customFormat="false" ht="15" hidden="false" customHeight="false" outlineLevel="0" collapsed="false">
      <c r="A3737" s="6" t="s">
        <v>8960</v>
      </c>
      <c r="B3737" s="6" t="s">
        <v>751</v>
      </c>
      <c r="C3737" s="26" t="n">
        <v>46149</v>
      </c>
      <c r="D3737" s="6" t="s">
        <v>5345</v>
      </c>
      <c r="E3737" s="6" t="s">
        <v>23</v>
      </c>
      <c r="F3737" s="6" t="n">
        <v>3</v>
      </c>
      <c r="G3737" s="10" t="n">
        <v>414</v>
      </c>
      <c r="H3737" s="10" t="n">
        <f aca="false">F3737*G3737</f>
        <v>1242</v>
      </c>
      <c r="I3737" s="6" t="s">
        <v>5173</v>
      </c>
    </row>
    <row r="3738" customFormat="false" ht="15" hidden="false" customHeight="false" outlineLevel="0" collapsed="false">
      <c r="A3738" s="6" t="s">
        <v>8961</v>
      </c>
      <c r="B3738" s="6" t="s">
        <v>2687</v>
      </c>
      <c r="C3738" s="26" t="n">
        <v>46149</v>
      </c>
      <c r="D3738" s="6" t="s">
        <v>5383</v>
      </c>
      <c r="E3738" s="6" t="s">
        <v>20</v>
      </c>
      <c r="F3738" s="6" t="n">
        <v>1</v>
      </c>
      <c r="G3738" s="10" t="n">
        <v>1121</v>
      </c>
      <c r="H3738" s="10" t="n">
        <f aca="false">F3738*G3738</f>
        <v>1121</v>
      </c>
      <c r="I3738" s="6" t="s">
        <v>5148</v>
      </c>
    </row>
    <row r="3739" customFormat="false" ht="15" hidden="false" customHeight="false" outlineLevel="0" collapsed="false">
      <c r="A3739" s="6" t="s">
        <v>8962</v>
      </c>
      <c r="B3739" s="6" t="s">
        <v>3207</v>
      </c>
      <c r="C3739" s="26" t="n">
        <v>46149</v>
      </c>
      <c r="D3739" s="6" t="s">
        <v>5318</v>
      </c>
      <c r="E3739" s="6" t="s">
        <v>20</v>
      </c>
      <c r="F3739" s="6" t="n">
        <v>1</v>
      </c>
      <c r="G3739" s="10" t="n">
        <v>1529</v>
      </c>
      <c r="H3739" s="10" t="n">
        <f aca="false">F3739*G3739</f>
        <v>1529</v>
      </c>
      <c r="I3739" s="6" t="s">
        <v>5122</v>
      </c>
    </row>
    <row r="3740" customFormat="false" ht="15" hidden="false" customHeight="false" outlineLevel="0" collapsed="false">
      <c r="A3740" s="6" t="s">
        <v>8963</v>
      </c>
      <c r="B3740" s="6" t="s">
        <v>2365</v>
      </c>
      <c r="C3740" s="26" t="n">
        <v>46149</v>
      </c>
      <c r="D3740" s="6" t="s">
        <v>5121</v>
      </c>
      <c r="E3740" s="6" t="s">
        <v>22</v>
      </c>
      <c r="F3740" s="6" t="n">
        <v>1</v>
      </c>
      <c r="G3740" s="10" t="n">
        <v>880</v>
      </c>
      <c r="H3740" s="10" t="n">
        <f aca="false">F3740*G3740</f>
        <v>880</v>
      </c>
      <c r="I3740" s="6" t="s">
        <v>5122</v>
      </c>
    </row>
    <row r="3741" customFormat="false" ht="15" hidden="false" customHeight="false" outlineLevel="0" collapsed="false">
      <c r="A3741" s="6" t="s">
        <v>8964</v>
      </c>
      <c r="B3741" s="6" t="s">
        <v>3651</v>
      </c>
      <c r="C3741" s="26" t="n">
        <v>46149</v>
      </c>
      <c r="D3741" s="6" t="s">
        <v>5167</v>
      </c>
      <c r="E3741" s="6" t="s">
        <v>22</v>
      </c>
      <c r="F3741" s="6" t="n">
        <v>1</v>
      </c>
      <c r="G3741" s="10" t="n">
        <v>782</v>
      </c>
      <c r="H3741" s="10" t="n">
        <f aca="false">F3741*G3741</f>
        <v>782</v>
      </c>
      <c r="I3741" s="6" t="s">
        <v>5122</v>
      </c>
    </row>
    <row r="3742" customFormat="false" ht="15" hidden="false" customHeight="false" outlineLevel="0" collapsed="false">
      <c r="A3742" s="6" t="s">
        <v>8965</v>
      </c>
      <c r="B3742" s="6" t="s">
        <v>1751</v>
      </c>
      <c r="C3742" s="26" t="n">
        <v>46149</v>
      </c>
      <c r="D3742" s="6" t="s">
        <v>5216</v>
      </c>
      <c r="E3742" s="6" t="s">
        <v>23</v>
      </c>
      <c r="F3742" s="6" t="n">
        <v>2</v>
      </c>
      <c r="G3742" s="10" t="n">
        <v>587</v>
      </c>
      <c r="H3742" s="10" t="n">
        <f aca="false">F3742*G3742</f>
        <v>1174</v>
      </c>
      <c r="I3742" s="6" t="s">
        <v>5173</v>
      </c>
    </row>
    <row r="3743" customFormat="false" ht="15" hidden="false" customHeight="false" outlineLevel="0" collapsed="false">
      <c r="A3743" s="6" t="s">
        <v>8966</v>
      </c>
      <c r="B3743" s="6" t="s">
        <v>673</v>
      </c>
      <c r="C3743" s="26" t="n">
        <v>46149</v>
      </c>
      <c r="D3743" s="6" t="s">
        <v>5135</v>
      </c>
      <c r="E3743" s="6" t="s">
        <v>23</v>
      </c>
      <c r="F3743" s="6" t="n">
        <v>2</v>
      </c>
      <c r="G3743" s="10" t="n">
        <v>441</v>
      </c>
      <c r="H3743" s="10" t="n">
        <f aca="false">F3743*G3743</f>
        <v>882</v>
      </c>
      <c r="I3743" s="6" t="s">
        <v>5148</v>
      </c>
    </row>
    <row r="3744" customFormat="false" ht="15" hidden="false" customHeight="false" outlineLevel="0" collapsed="false">
      <c r="A3744" s="6" t="s">
        <v>8967</v>
      </c>
      <c r="B3744" s="6" t="s">
        <v>3991</v>
      </c>
      <c r="C3744" s="26" t="n">
        <v>46149</v>
      </c>
      <c r="D3744" s="6" t="s">
        <v>5169</v>
      </c>
      <c r="E3744" s="6" t="s">
        <v>20</v>
      </c>
      <c r="F3744" s="6" t="n">
        <v>1</v>
      </c>
      <c r="G3744" s="10" t="n">
        <v>5098</v>
      </c>
      <c r="H3744" s="10" t="n">
        <f aca="false">F3744*G3744</f>
        <v>5098</v>
      </c>
      <c r="I3744" s="6" t="s">
        <v>5122</v>
      </c>
    </row>
    <row r="3745" customFormat="false" ht="15" hidden="false" customHeight="false" outlineLevel="0" collapsed="false">
      <c r="A3745" s="6" t="s">
        <v>8968</v>
      </c>
      <c r="B3745" s="6" t="s">
        <v>4527</v>
      </c>
      <c r="C3745" s="26" t="n">
        <v>46149</v>
      </c>
      <c r="D3745" s="6" t="s">
        <v>5345</v>
      </c>
      <c r="E3745" s="6" t="s">
        <v>23</v>
      </c>
      <c r="F3745" s="6" t="n">
        <v>4</v>
      </c>
      <c r="G3745" s="10" t="n">
        <v>436</v>
      </c>
      <c r="H3745" s="10" t="n">
        <f aca="false">F3745*G3745</f>
        <v>1744</v>
      </c>
      <c r="I3745" s="6" t="s">
        <v>5122</v>
      </c>
    </row>
    <row r="3746" customFormat="false" ht="15" hidden="false" customHeight="false" outlineLevel="0" collapsed="false">
      <c r="A3746" s="6" t="s">
        <v>8969</v>
      </c>
      <c r="B3746" s="6" t="s">
        <v>4885</v>
      </c>
      <c r="C3746" s="26" t="n">
        <v>46149</v>
      </c>
      <c r="D3746" s="6" t="s">
        <v>5185</v>
      </c>
      <c r="E3746" s="6" t="s">
        <v>24</v>
      </c>
      <c r="F3746" s="6" t="n">
        <v>1</v>
      </c>
      <c r="G3746" s="10" t="n">
        <v>1926</v>
      </c>
      <c r="H3746" s="10" t="n">
        <f aca="false">F3746*G3746</f>
        <v>1926</v>
      </c>
      <c r="I3746" s="6" t="s">
        <v>5125</v>
      </c>
    </row>
    <row r="3747" customFormat="false" ht="15" hidden="false" customHeight="false" outlineLevel="0" collapsed="false">
      <c r="A3747" s="6" t="s">
        <v>8970</v>
      </c>
      <c r="B3747" s="6" t="s">
        <v>3445</v>
      </c>
      <c r="C3747" s="26" t="n">
        <v>46149</v>
      </c>
      <c r="D3747" s="6" t="s">
        <v>5226</v>
      </c>
      <c r="E3747" s="6" t="s">
        <v>24</v>
      </c>
      <c r="F3747" s="6" t="n">
        <v>2</v>
      </c>
      <c r="G3747" s="10" t="n">
        <v>457</v>
      </c>
      <c r="H3747" s="10" t="n">
        <f aca="false">F3747*G3747</f>
        <v>914</v>
      </c>
      <c r="I3747" s="6" t="s">
        <v>5130</v>
      </c>
    </row>
    <row r="3748" customFormat="false" ht="15" hidden="false" customHeight="false" outlineLevel="0" collapsed="false">
      <c r="A3748" s="6" t="s">
        <v>8971</v>
      </c>
      <c r="B3748" s="6" t="s">
        <v>3875</v>
      </c>
      <c r="C3748" s="26" t="n">
        <v>46149</v>
      </c>
      <c r="D3748" s="6" t="s">
        <v>5171</v>
      </c>
      <c r="E3748" s="6" t="s">
        <v>23</v>
      </c>
      <c r="F3748" s="6" t="n">
        <v>2</v>
      </c>
      <c r="G3748" s="10" t="n">
        <v>661</v>
      </c>
      <c r="H3748" s="10" t="n">
        <f aca="false">F3748*G3748</f>
        <v>1322</v>
      </c>
      <c r="I3748" s="6" t="s">
        <v>5122</v>
      </c>
    </row>
    <row r="3749" customFormat="false" ht="15" hidden="false" customHeight="false" outlineLevel="0" collapsed="false">
      <c r="A3749" s="6" t="s">
        <v>8972</v>
      </c>
      <c r="B3749" s="6" t="s">
        <v>1449</v>
      </c>
      <c r="C3749" s="26" t="n">
        <v>46149</v>
      </c>
      <c r="D3749" s="6" t="s">
        <v>5129</v>
      </c>
      <c r="E3749" s="6" t="s">
        <v>21</v>
      </c>
      <c r="F3749" s="6" t="n">
        <v>1</v>
      </c>
      <c r="G3749" s="10" t="n">
        <v>559</v>
      </c>
      <c r="H3749" s="10" t="n">
        <f aca="false">F3749*G3749</f>
        <v>559</v>
      </c>
      <c r="I3749" s="6" t="s">
        <v>5122</v>
      </c>
    </row>
    <row r="3750" customFormat="false" ht="15" hidden="false" customHeight="false" outlineLevel="0" collapsed="false">
      <c r="A3750" s="6" t="s">
        <v>8973</v>
      </c>
      <c r="B3750" s="6" t="s">
        <v>817</v>
      </c>
      <c r="C3750" s="26" t="n">
        <v>46149</v>
      </c>
      <c r="D3750" s="6" t="s">
        <v>5345</v>
      </c>
      <c r="E3750" s="6" t="s">
        <v>23</v>
      </c>
      <c r="F3750" s="6" t="n">
        <v>2</v>
      </c>
      <c r="G3750" s="10" t="n">
        <v>436</v>
      </c>
      <c r="H3750" s="10" t="n">
        <f aca="false">F3750*G3750</f>
        <v>872</v>
      </c>
      <c r="I3750" s="6" t="s">
        <v>5130</v>
      </c>
    </row>
    <row r="3751" customFormat="false" ht="15" hidden="false" customHeight="false" outlineLevel="0" collapsed="false">
      <c r="A3751" s="6" t="s">
        <v>8974</v>
      </c>
      <c r="B3751" s="6" t="s">
        <v>4627</v>
      </c>
      <c r="C3751" s="26" t="n">
        <v>46149</v>
      </c>
      <c r="D3751" s="6" t="s">
        <v>5863</v>
      </c>
      <c r="E3751" s="6" t="s">
        <v>20</v>
      </c>
      <c r="F3751" s="6" t="n">
        <v>1</v>
      </c>
      <c r="G3751" s="10" t="n">
        <v>18355</v>
      </c>
      <c r="H3751" s="10" t="n">
        <f aca="false">F3751*G3751</f>
        <v>18355</v>
      </c>
      <c r="I3751" s="6" t="s">
        <v>5122</v>
      </c>
    </row>
    <row r="3752" customFormat="false" ht="15" hidden="false" customHeight="false" outlineLevel="0" collapsed="false">
      <c r="A3752" s="6" t="s">
        <v>8975</v>
      </c>
      <c r="B3752" s="6" t="s">
        <v>221</v>
      </c>
      <c r="C3752" s="26" t="n">
        <v>46149</v>
      </c>
      <c r="D3752" s="6" t="s">
        <v>5220</v>
      </c>
      <c r="E3752" s="6" t="s">
        <v>24</v>
      </c>
      <c r="F3752" s="6" t="n">
        <v>1</v>
      </c>
      <c r="G3752" s="10" t="n">
        <v>1120</v>
      </c>
      <c r="H3752" s="10" t="n">
        <f aca="false">F3752*G3752</f>
        <v>1120</v>
      </c>
      <c r="I3752" s="6" t="s">
        <v>5125</v>
      </c>
    </row>
    <row r="3753" customFormat="false" ht="15" hidden="false" customHeight="false" outlineLevel="0" collapsed="false">
      <c r="A3753" s="6" t="s">
        <v>8976</v>
      </c>
      <c r="B3753" s="6" t="s">
        <v>227</v>
      </c>
      <c r="C3753" s="26" t="n">
        <v>46149</v>
      </c>
      <c r="D3753" s="6" t="s">
        <v>5163</v>
      </c>
      <c r="E3753" s="6" t="s">
        <v>23</v>
      </c>
      <c r="F3753" s="6" t="n">
        <v>2</v>
      </c>
      <c r="G3753" s="10" t="n">
        <v>783</v>
      </c>
      <c r="H3753" s="10" t="n">
        <f aca="false">F3753*G3753</f>
        <v>1566</v>
      </c>
      <c r="I3753" s="6" t="s">
        <v>5122</v>
      </c>
    </row>
    <row r="3754" customFormat="false" ht="15" hidden="false" customHeight="false" outlineLevel="0" collapsed="false">
      <c r="A3754" s="6" t="s">
        <v>8977</v>
      </c>
      <c r="B3754" s="6" t="s">
        <v>527</v>
      </c>
      <c r="C3754" s="26" t="n">
        <v>46149</v>
      </c>
      <c r="D3754" s="6" t="s">
        <v>5121</v>
      </c>
      <c r="E3754" s="6" t="s">
        <v>22</v>
      </c>
      <c r="F3754" s="6" t="n">
        <v>1</v>
      </c>
      <c r="G3754" s="10" t="n">
        <v>977</v>
      </c>
      <c r="H3754" s="10" t="n">
        <f aca="false">F3754*G3754</f>
        <v>977</v>
      </c>
      <c r="I3754" s="6" t="s">
        <v>5133</v>
      </c>
    </row>
    <row r="3755" customFormat="false" ht="15" hidden="false" customHeight="false" outlineLevel="0" collapsed="false">
      <c r="A3755" s="6" t="s">
        <v>8978</v>
      </c>
      <c r="B3755" s="6" t="s">
        <v>1463</v>
      </c>
      <c r="C3755" s="26" t="n">
        <v>46149</v>
      </c>
      <c r="D3755" s="6" t="s">
        <v>5410</v>
      </c>
      <c r="E3755" s="6" t="s">
        <v>20</v>
      </c>
      <c r="F3755" s="6" t="n">
        <v>1</v>
      </c>
      <c r="G3755" s="10" t="n">
        <v>2548</v>
      </c>
      <c r="H3755" s="10" t="n">
        <f aca="false">F3755*G3755</f>
        <v>2548</v>
      </c>
      <c r="I3755" s="6" t="s">
        <v>5130</v>
      </c>
    </row>
    <row r="3756" customFormat="false" ht="15" hidden="false" customHeight="false" outlineLevel="0" collapsed="false">
      <c r="A3756" s="6" t="s">
        <v>8979</v>
      </c>
      <c r="B3756" s="6" t="s">
        <v>4991</v>
      </c>
      <c r="C3756" s="26" t="n">
        <v>46149</v>
      </c>
      <c r="D3756" s="6" t="s">
        <v>5163</v>
      </c>
      <c r="E3756" s="6" t="s">
        <v>23</v>
      </c>
      <c r="F3756" s="6" t="n">
        <v>4</v>
      </c>
      <c r="G3756" s="10" t="n">
        <v>783</v>
      </c>
      <c r="H3756" s="10" t="n">
        <f aca="false">F3756*G3756</f>
        <v>3132</v>
      </c>
      <c r="I3756" s="6" t="s">
        <v>5148</v>
      </c>
    </row>
    <row r="3757" customFormat="false" ht="15" hidden="false" customHeight="false" outlineLevel="0" collapsed="false">
      <c r="A3757" s="6" t="s">
        <v>8980</v>
      </c>
      <c r="B3757" s="6" t="s">
        <v>767</v>
      </c>
      <c r="C3757" s="26" t="n">
        <v>46149</v>
      </c>
      <c r="D3757" s="6" t="s">
        <v>5163</v>
      </c>
      <c r="E3757" s="6" t="s">
        <v>23</v>
      </c>
      <c r="F3757" s="6" t="n">
        <v>3</v>
      </c>
      <c r="G3757" s="10" t="n">
        <v>783</v>
      </c>
      <c r="H3757" s="10" t="n">
        <f aca="false">F3757*G3757</f>
        <v>2349</v>
      </c>
      <c r="I3757" s="6" t="s">
        <v>5122</v>
      </c>
    </row>
    <row r="3758" customFormat="false" ht="15" hidden="false" customHeight="false" outlineLevel="0" collapsed="false">
      <c r="A3758" s="6" t="s">
        <v>8981</v>
      </c>
      <c r="B3758" s="6" t="s">
        <v>2459</v>
      </c>
      <c r="C3758" s="26" t="n">
        <v>46150</v>
      </c>
      <c r="D3758" s="6" t="s">
        <v>5691</v>
      </c>
      <c r="E3758" s="6" t="s">
        <v>21</v>
      </c>
      <c r="F3758" s="6" t="n">
        <v>1</v>
      </c>
      <c r="G3758" s="10" t="n">
        <v>5897</v>
      </c>
      <c r="H3758" s="10" t="n">
        <f aca="false">F3758*G3758</f>
        <v>5897</v>
      </c>
      <c r="I3758" s="6" t="s">
        <v>5148</v>
      </c>
    </row>
    <row r="3759" customFormat="false" ht="15" hidden="false" customHeight="false" outlineLevel="0" collapsed="false">
      <c r="A3759" s="6" t="s">
        <v>8982</v>
      </c>
      <c r="B3759" s="6" t="s">
        <v>4763</v>
      </c>
      <c r="C3759" s="26" t="n">
        <v>46150</v>
      </c>
      <c r="D3759" s="6" t="s">
        <v>5145</v>
      </c>
      <c r="E3759" s="6" t="s">
        <v>21</v>
      </c>
      <c r="F3759" s="6" t="n">
        <v>1</v>
      </c>
      <c r="G3759" s="10" t="n">
        <v>1213</v>
      </c>
      <c r="H3759" s="10" t="n">
        <f aca="false">F3759*G3759</f>
        <v>1213</v>
      </c>
      <c r="I3759" s="6" t="s">
        <v>5122</v>
      </c>
    </row>
    <row r="3760" customFormat="false" ht="15" hidden="false" customHeight="false" outlineLevel="0" collapsed="false">
      <c r="A3760" s="6" t="s">
        <v>8983</v>
      </c>
      <c r="B3760" s="6" t="s">
        <v>3557</v>
      </c>
      <c r="C3760" s="26" t="n">
        <v>46150</v>
      </c>
      <c r="D3760" s="6" t="s">
        <v>5277</v>
      </c>
      <c r="E3760" s="6" t="s">
        <v>22</v>
      </c>
      <c r="F3760" s="6" t="n">
        <v>1</v>
      </c>
      <c r="G3760" s="10" t="n">
        <v>2737</v>
      </c>
      <c r="H3760" s="10" t="n">
        <f aca="false">F3760*G3760</f>
        <v>2737</v>
      </c>
      <c r="I3760" s="6" t="s">
        <v>5122</v>
      </c>
    </row>
    <row r="3761" customFormat="false" ht="15" hidden="false" customHeight="false" outlineLevel="0" collapsed="false">
      <c r="A3761" s="6" t="s">
        <v>8984</v>
      </c>
      <c r="B3761" s="6" t="s">
        <v>1879</v>
      </c>
      <c r="C3761" s="26" t="n">
        <v>46150</v>
      </c>
      <c r="D3761" s="6" t="s">
        <v>5357</v>
      </c>
      <c r="E3761" s="6" t="s">
        <v>23</v>
      </c>
      <c r="F3761" s="6" t="n">
        <v>2</v>
      </c>
      <c r="G3761" s="10" t="n">
        <v>534</v>
      </c>
      <c r="H3761" s="10" t="n">
        <f aca="false">F3761*G3761</f>
        <v>1068</v>
      </c>
      <c r="I3761" s="6" t="s">
        <v>5122</v>
      </c>
    </row>
    <row r="3762" customFormat="false" ht="15" hidden="false" customHeight="false" outlineLevel="0" collapsed="false">
      <c r="A3762" s="6" t="s">
        <v>8985</v>
      </c>
      <c r="B3762" s="6" t="s">
        <v>2419</v>
      </c>
      <c r="C3762" s="26" t="n">
        <v>46150</v>
      </c>
      <c r="D3762" s="6" t="s">
        <v>5121</v>
      </c>
      <c r="E3762" s="6" t="s">
        <v>22</v>
      </c>
      <c r="F3762" s="6" t="n">
        <v>1</v>
      </c>
      <c r="G3762" s="10" t="n">
        <v>977</v>
      </c>
      <c r="H3762" s="10" t="n">
        <f aca="false">F3762*G3762</f>
        <v>977</v>
      </c>
      <c r="I3762" s="6" t="s">
        <v>5130</v>
      </c>
    </row>
    <row r="3763" customFormat="false" ht="15" hidden="false" customHeight="false" outlineLevel="0" collapsed="false">
      <c r="A3763" s="6" t="s">
        <v>8986</v>
      </c>
      <c r="B3763" s="6" t="s">
        <v>3603</v>
      </c>
      <c r="C3763" s="26" t="n">
        <v>46150</v>
      </c>
      <c r="D3763" s="6" t="s">
        <v>5398</v>
      </c>
      <c r="E3763" s="6" t="s">
        <v>24</v>
      </c>
      <c r="F3763" s="6" t="n">
        <v>1</v>
      </c>
      <c r="G3763" s="10" t="n">
        <v>549</v>
      </c>
      <c r="H3763" s="10" t="n">
        <f aca="false">F3763*G3763</f>
        <v>549</v>
      </c>
      <c r="I3763" s="6" t="s">
        <v>5122</v>
      </c>
    </row>
    <row r="3764" customFormat="false" ht="15" hidden="false" customHeight="false" outlineLevel="0" collapsed="false">
      <c r="A3764" s="6" t="s">
        <v>8987</v>
      </c>
      <c r="B3764" s="6" t="s">
        <v>4653</v>
      </c>
      <c r="C3764" s="26" t="n">
        <v>46150</v>
      </c>
      <c r="D3764" s="6" t="s">
        <v>5687</v>
      </c>
      <c r="E3764" s="6" t="s">
        <v>20</v>
      </c>
      <c r="F3764" s="6" t="n">
        <v>1</v>
      </c>
      <c r="G3764" s="10" t="n">
        <v>1835</v>
      </c>
      <c r="H3764" s="10" t="n">
        <f aca="false">F3764*G3764</f>
        <v>1835</v>
      </c>
      <c r="I3764" s="6" t="s">
        <v>5122</v>
      </c>
    </row>
    <row r="3765" customFormat="false" ht="15" hidden="false" customHeight="false" outlineLevel="0" collapsed="false">
      <c r="A3765" s="6" t="s">
        <v>8988</v>
      </c>
      <c r="B3765" s="6" t="s">
        <v>2245</v>
      </c>
      <c r="C3765" s="26" t="n">
        <v>46150</v>
      </c>
      <c r="D3765" s="6" t="s">
        <v>5303</v>
      </c>
      <c r="E3765" s="6" t="s">
        <v>22</v>
      </c>
      <c r="F3765" s="6" t="n">
        <v>2</v>
      </c>
      <c r="G3765" s="10" t="n">
        <v>2445</v>
      </c>
      <c r="H3765" s="10" t="n">
        <f aca="false">F3765*G3765</f>
        <v>4890</v>
      </c>
      <c r="I3765" s="6" t="s">
        <v>5122</v>
      </c>
    </row>
    <row r="3766" customFormat="false" ht="15" hidden="false" customHeight="false" outlineLevel="0" collapsed="false">
      <c r="A3766" s="6" t="s">
        <v>8989</v>
      </c>
      <c r="B3766" s="6" t="s">
        <v>721</v>
      </c>
      <c r="C3766" s="26" t="n">
        <v>46150</v>
      </c>
      <c r="D3766" s="6" t="s">
        <v>5185</v>
      </c>
      <c r="E3766" s="6" t="s">
        <v>24</v>
      </c>
      <c r="F3766" s="6" t="n">
        <v>1</v>
      </c>
      <c r="G3766" s="10" t="n">
        <v>2140</v>
      </c>
      <c r="H3766" s="10" t="n">
        <f aca="false">F3766*G3766</f>
        <v>2140</v>
      </c>
      <c r="I3766" s="6" t="s">
        <v>5122</v>
      </c>
    </row>
    <row r="3767" customFormat="false" ht="15" hidden="false" customHeight="false" outlineLevel="0" collapsed="false">
      <c r="A3767" s="6" t="s">
        <v>8990</v>
      </c>
      <c r="B3767" s="6" t="s">
        <v>571</v>
      </c>
      <c r="C3767" s="26" t="n">
        <v>46150</v>
      </c>
      <c r="D3767" s="6" t="s">
        <v>5245</v>
      </c>
      <c r="E3767" s="6" t="s">
        <v>21</v>
      </c>
      <c r="F3767" s="6" t="n">
        <v>3</v>
      </c>
      <c r="G3767" s="10" t="n">
        <v>2211</v>
      </c>
      <c r="H3767" s="10" t="n">
        <f aca="false">F3767*G3767</f>
        <v>6633</v>
      </c>
      <c r="I3767" s="6" t="s">
        <v>5122</v>
      </c>
    </row>
    <row r="3768" customFormat="false" ht="15" hidden="false" customHeight="false" outlineLevel="0" collapsed="false">
      <c r="A3768" s="6" t="s">
        <v>8991</v>
      </c>
      <c r="B3768" s="6" t="s">
        <v>2911</v>
      </c>
      <c r="C3768" s="26" t="n">
        <v>46150</v>
      </c>
      <c r="D3768" s="6" t="s">
        <v>5163</v>
      </c>
      <c r="E3768" s="6" t="s">
        <v>23</v>
      </c>
      <c r="F3768" s="6" t="n">
        <v>1</v>
      </c>
      <c r="G3768" s="10" t="n">
        <v>783</v>
      </c>
      <c r="H3768" s="10" t="n">
        <f aca="false">F3768*G3768</f>
        <v>783</v>
      </c>
      <c r="I3768" s="6" t="s">
        <v>5148</v>
      </c>
    </row>
    <row r="3769" customFormat="false" ht="15" hidden="false" customHeight="false" outlineLevel="0" collapsed="false">
      <c r="A3769" s="6" t="s">
        <v>8992</v>
      </c>
      <c r="B3769" s="6" t="s">
        <v>142</v>
      </c>
      <c r="C3769" s="26" t="n">
        <v>46150</v>
      </c>
      <c r="D3769" s="6" t="s">
        <v>5145</v>
      </c>
      <c r="E3769" s="6" t="s">
        <v>21</v>
      </c>
      <c r="F3769" s="6" t="n">
        <v>1</v>
      </c>
      <c r="G3769" s="10" t="n">
        <v>1213</v>
      </c>
      <c r="H3769" s="10" t="n">
        <f aca="false">F3769*G3769</f>
        <v>1213</v>
      </c>
      <c r="I3769" s="6" t="s">
        <v>5125</v>
      </c>
    </row>
    <row r="3770" customFormat="false" ht="15" hidden="false" customHeight="false" outlineLevel="0" collapsed="false">
      <c r="A3770" s="6" t="s">
        <v>8993</v>
      </c>
      <c r="B3770" s="6" t="s">
        <v>2421</v>
      </c>
      <c r="C3770" s="26" t="n">
        <v>46150</v>
      </c>
      <c r="D3770" s="6" t="s">
        <v>5132</v>
      </c>
      <c r="E3770" s="6" t="s">
        <v>23</v>
      </c>
      <c r="F3770" s="6" t="n">
        <v>3</v>
      </c>
      <c r="G3770" s="10" t="n">
        <v>342</v>
      </c>
      <c r="H3770" s="10" t="n">
        <f aca="false">F3770*G3770</f>
        <v>1026</v>
      </c>
      <c r="I3770" s="6" t="s">
        <v>5133</v>
      </c>
    </row>
    <row r="3771" customFormat="false" ht="15" hidden="false" customHeight="false" outlineLevel="0" collapsed="false">
      <c r="A3771" s="6" t="s">
        <v>8994</v>
      </c>
      <c r="B3771" s="6" t="s">
        <v>1639</v>
      </c>
      <c r="C3771" s="26" t="n">
        <v>46150</v>
      </c>
      <c r="D3771" s="6" t="s">
        <v>5127</v>
      </c>
      <c r="E3771" s="6" t="s">
        <v>21</v>
      </c>
      <c r="F3771" s="6" t="n">
        <v>1</v>
      </c>
      <c r="G3771" s="10" t="n">
        <v>795</v>
      </c>
      <c r="H3771" s="10" t="n">
        <f aca="false">F3771*G3771</f>
        <v>795</v>
      </c>
      <c r="I3771" s="6" t="s">
        <v>5148</v>
      </c>
    </row>
    <row r="3772" customFormat="false" ht="15" hidden="false" customHeight="false" outlineLevel="0" collapsed="false">
      <c r="A3772" s="6" t="s">
        <v>8995</v>
      </c>
      <c r="B3772" s="6" t="s">
        <v>901</v>
      </c>
      <c r="C3772" s="26" t="n">
        <v>46150</v>
      </c>
      <c r="D3772" s="6" t="s">
        <v>5154</v>
      </c>
      <c r="E3772" s="6" t="s">
        <v>21</v>
      </c>
      <c r="F3772" s="6" t="n">
        <v>1</v>
      </c>
      <c r="G3772" s="10" t="n">
        <v>785</v>
      </c>
      <c r="H3772" s="10" t="n">
        <f aca="false">F3772*G3772</f>
        <v>785</v>
      </c>
      <c r="I3772" s="6" t="s">
        <v>5122</v>
      </c>
    </row>
    <row r="3773" customFormat="false" ht="15" hidden="false" customHeight="false" outlineLevel="0" collapsed="false">
      <c r="A3773" s="6" t="s">
        <v>8996</v>
      </c>
      <c r="B3773" s="6" t="s">
        <v>431</v>
      </c>
      <c r="C3773" s="26" t="n">
        <v>46150</v>
      </c>
      <c r="D3773" s="6" t="s">
        <v>5749</v>
      </c>
      <c r="E3773" s="6" t="s">
        <v>20</v>
      </c>
      <c r="F3773" s="6" t="n">
        <v>1</v>
      </c>
      <c r="G3773" s="10" t="n">
        <v>815</v>
      </c>
      <c r="H3773" s="10" t="n">
        <f aca="false">F3773*G3773</f>
        <v>815</v>
      </c>
      <c r="I3773" s="6" t="s">
        <v>5122</v>
      </c>
    </row>
    <row r="3774" customFormat="false" ht="15" hidden="false" customHeight="false" outlineLevel="0" collapsed="false">
      <c r="A3774" s="6" t="s">
        <v>8997</v>
      </c>
      <c r="B3774" s="6" t="s">
        <v>1487</v>
      </c>
      <c r="C3774" s="26" t="n">
        <v>46150</v>
      </c>
      <c r="D3774" s="6" t="s">
        <v>5132</v>
      </c>
      <c r="E3774" s="6" t="s">
        <v>23</v>
      </c>
      <c r="F3774" s="6" t="n">
        <v>5</v>
      </c>
      <c r="G3774" s="10" t="n">
        <v>308</v>
      </c>
      <c r="H3774" s="10" t="n">
        <f aca="false">F3774*G3774</f>
        <v>1540</v>
      </c>
      <c r="I3774" s="6" t="s">
        <v>5148</v>
      </c>
    </row>
    <row r="3775" customFormat="false" ht="15" hidden="false" customHeight="false" outlineLevel="0" collapsed="false">
      <c r="A3775" s="6" t="s">
        <v>8998</v>
      </c>
      <c r="B3775" s="6" t="s">
        <v>1787</v>
      </c>
      <c r="C3775" s="26" t="n">
        <v>46150</v>
      </c>
      <c r="D3775" s="6" t="s">
        <v>5245</v>
      </c>
      <c r="E3775" s="6" t="s">
        <v>21</v>
      </c>
      <c r="F3775" s="6" t="n">
        <v>1</v>
      </c>
      <c r="G3775" s="10" t="n">
        <v>2456</v>
      </c>
      <c r="H3775" s="10" t="n">
        <f aca="false">F3775*G3775</f>
        <v>2456</v>
      </c>
      <c r="I3775" s="6" t="s">
        <v>5125</v>
      </c>
    </row>
    <row r="3776" customFormat="false" ht="15" hidden="false" customHeight="false" outlineLevel="0" collapsed="false">
      <c r="A3776" s="6" t="s">
        <v>8999</v>
      </c>
      <c r="B3776" s="6" t="s">
        <v>1571</v>
      </c>
      <c r="C3776" s="26" t="n">
        <v>46150</v>
      </c>
      <c r="D3776" s="6" t="s">
        <v>5167</v>
      </c>
      <c r="E3776" s="6" t="s">
        <v>22</v>
      </c>
      <c r="F3776" s="6" t="n">
        <v>1</v>
      </c>
      <c r="G3776" s="10" t="n">
        <v>703</v>
      </c>
      <c r="H3776" s="10" t="n">
        <f aca="false">F3776*G3776</f>
        <v>703</v>
      </c>
      <c r="I3776" s="6" t="s">
        <v>5133</v>
      </c>
    </row>
    <row r="3777" customFormat="false" ht="15" hidden="false" customHeight="false" outlineLevel="0" collapsed="false">
      <c r="A3777" s="6" t="s">
        <v>9000</v>
      </c>
      <c r="B3777" s="6" t="s">
        <v>1477</v>
      </c>
      <c r="C3777" s="26" t="n">
        <v>46150</v>
      </c>
      <c r="D3777" s="6" t="s">
        <v>5165</v>
      </c>
      <c r="E3777" s="6" t="s">
        <v>22</v>
      </c>
      <c r="F3777" s="6" t="n">
        <v>2</v>
      </c>
      <c r="G3777" s="10" t="n">
        <v>977</v>
      </c>
      <c r="H3777" s="10" t="n">
        <f aca="false">F3777*G3777</f>
        <v>1954</v>
      </c>
      <c r="I3777" s="6" t="s">
        <v>5133</v>
      </c>
    </row>
    <row r="3778" customFormat="false" ht="15" hidden="false" customHeight="false" outlineLevel="0" collapsed="false">
      <c r="A3778" s="6" t="s">
        <v>9001</v>
      </c>
      <c r="B3778" s="6" t="s">
        <v>5089</v>
      </c>
      <c r="C3778" s="26" t="n">
        <v>46150</v>
      </c>
      <c r="D3778" s="6" t="s">
        <v>5290</v>
      </c>
      <c r="E3778" s="6" t="s">
        <v>23</v>
      </c>
      <c r="F3778" s="6" t="n">
        <v>1</v>
      </c>
      <c r="G3778" s="10" t="n">
        <v>105</v>
      </c>
      <c r="H3778" s="10" t="n">
        <f aca="false">F3778*G3778</f>
        <v>105</v>
      </c>
      <c r="I3778" s="6" t="s">
        <v>5125</v>
      </c>
    </row>
    <row r="3779" customFormat="false" ht="15" hidden="false" customHeight="false" outlineLevel="0" collapsed="false">
      <c r="A3779" s="6" t="s">
        <v>9002</v>
      </c>
      <c r="B3779" s="6" t="s">
        <v>2925</v>
      </c>
      <c r="C3779" s="26" t="n">
        <v>46150</v>
      </c>
      <c r="D3779" s="6" t="s">
        <v>5691</v>
      </c>
      <c r="E3779" s="6" t="s">
        <v>21</v>
      </c>
      <c r="F3779" s="6" t="n">
        <v>1</v>
      </c>
      <c r="G3779" s="10" t="n">
        <v>5897</v>
      </c>
      <c r="H3779" s="10" t="n">
        <f aca="false">F3779*G3779</f>
        <v>5897</v>
      </c>
      <c r="I3779" s="6" t="s">
        <v>5148</v>
      </c>
    </row>
    <row r="3780" customFormat="false" ht="15" hidden="false" customHeight="false" outlineLevel="0" collapsed="false">
      <c r="A3780" s="6" t="s">
        <v>9003</v>
      </c>
      <c r="B3780" s="6" t="s">
        <v>1143</v>
      </c>
      <c r="C3780" s="26" t="n">
        <v>46150</v>
      </c>
      <c r="D3780" s="6" t="s">
        <v>5281</v>
      </c>
      <c r="E3780" s="6" t="s">
        <v>24</v>
      </c>
      <c r="F3780" s="6" t="n">
        <v>1</v>
      </c>
      <c r="G3780" s="10" t="n">
        <v>814</v>
      </c>
      <c r="H3780" s="10" t="n">
        <f aca="false">F3780*G3780</f>
        <v>814</v>
      </c>
      <c r="I3780" s="6" t="s">
        <v>5122</v>
      </c>
    </row>
    <row r="3781" customFormat="false" ht="15" hidden="false" customHeight="false" outlineLevel="0" collapsed="false">
      <c r="A3781" s="6" t="s">
        <v>9004</v>
      </c>
      <c r="B3781" s="6" t="s">
        <v>1033</v>
      </c>
      <c r="C3781" s="26" t="n">
        <v>46150</v>
      </c>
      <c r="D3781" s="6" t="s">
        <v>5202</v>
      </c>
      <c r="E3781" s="6" t="s">
        <v>23</v>
      </c>
      <c r="F3781" s="6" t="n">
        <v>2</v>
      </c>
      <c r="G3781" s="10" t="n">
        <v>245</v>
      </c>
      <c r="H3781" s="10" t="n">
        <f aca="false">F3781*G3781</f>
        <v>490</v>
      </c>
      <c r="I3781" s="6" t="s">
        <v>5122</v>
      </c>
    </row>
    <row r="3782" customFormat="false" ht="15" hidden="false" customHeight="false" outlineLevel="0" collapsed="false">
      <c r="A3782" s="6" t="s">
        <v>9005</v>
      </c>
      <c r="B3782" s="6" t="s">
        <v>4169</v>
      </c>
      <c r="C3782" s="26" t="n">
        <v>46150</v>
      </c>
      <c r="D3782" s="6" t="s">
        <v>5383</v>
      </c>
      <c r="E3782" s="6" t="s">
        <v>20</v>
      </c>
      <c r="F3782" s="6" t="n">
        <v>1</v>
      </c>
      <c r="G3782" s="10" t="n">
        <v>1009</v>
      </c>
      <c r="H3782" s="10" t="n">
        <f aca="false">F3782*G3782</f>
        <v>1009</v>
      </c>
      <c r="I3782" s="6" t="s">
        <v>5130</v>
      </c>
    </row>
    <row r="3783" customFormat="false" ht="15" hidden="false" customHeight="false" outlineLevel="0" collapsed="false">
      <c r="A3783" s="6" t="s">
        <v>9006</v>
      </c>
      <c r="B3783" s="6" t="s">
        <v>1647</v>
      </c>
      <c r="C3783" s="26" t="n">
        <v>46150</v>
      </c>
      <c r="D3783" s="6" t="s">
        <v>5641</v>
      </c>
      <c r="E3783" s="6" t="s">
        <v>22</v>
      </c>
      <c r="F3783" s="6" t="n">
        <v>1</v>
      </c>
      <c r="G3783" s="10" t="n">
        <v>2249</v>
      </c>
      <c r="H3783" s="10" t="n">
        <f aca="false">F3783*G3783</f>
        <v>2249</v>
      </c>
      <c r="I3783" s="6" t="s">
        <v>5122</v>
      </c>
    </row>
    <row r="3784" customFormat="false" ht="15" hidden="false" customHeight="false" outlineLevel="0" collapsed="false">
      <c r="A3784" s="6" t="s">
        <v>9007</v>
      </c>
      <c r="B3784" s="6" t="s">
        <v>2869</v>
      </c>
      <c r="C3784" s="26" t="n">
        <v>46150</v>
      </c>
      <c r="D3784" s="6" t="s">
        <v>5150</v>
      </c>
      <c r="E3784" s="6" t="s">
        <v>24</v>
      </c>
      <c r="F3784" s="6" t="n">
        <v>1</v>
      </c>
      <c r="G3784" s="10" t="n">
        <v>483</v>
      </c>
      <c r="H3784" s="10" t="n">
        <f aca="false">F3784*G3784</f>
        <v>483</v>
      </c>
      <c r="I3784" s="6" t="s">
        <v>5125</v>
      </c>
    </row>
    <row r="3785" customFormat="false" ht="15" hidden="false" customHeight="false" outlineLevel="0" collapsed="false">
      <c r="A3785" s="6" t="s">
        <v>9008</v>
      </c>
      <c r="B3785" s="6" t="s">
        <v>2291</v>
      </c>
      <c r="C3785" s="26" t="n">
        <v>46150</v>
      </c>
      <c r="D3785" s="6" t="s">
        <v>5160</v>
      </c>
      <c r="E3785" s="6" t="s">
        <v>21</v>
      </c>
      <c r="F3785" s="6" t="n">
        <v>2</v>
      </c>
      <c r="G3785" s="10" t="n">
        <v>2751</v>
      </c>
      <c r="H3785" s="10" t="n">
        <f aca="false">F3785*G3785</f>
        <v>5502</v>
      </c>
      <c r="I3785" s="6" t="s">
        <v>5148</v>
      </c>
    </row>
    <row r="3786" customFormat="false" ht="15" hidden="false" customHeight="false" outlineLevel="0" collapsed="false">
      <c r="A3786" s="6" t="s">
        <v>9009</v>
      </c>
      <c r="B3786" s="6" t="s">
        <v>1503</v>
      </c>
      <c r="C3786" s="26" t="n">
        <v>46150</v>
      </c>
      <c r="D3786" s="6" t="s">
        <v>5207</v>
      </c>
      <c r="E3786" s="6" t="s">
        <v>20</v>
      </c>
      <c r="F3786" s="6" t="n">
        <v>1</v>
      </c>
      <c r="G3786" s="10" t="n">
        <v>1192</v>
      </c>
      <c r="H3786" s="10" t="n">
        <f aca="false">F3786*G3786</f>
        <v>1192</v>
      </c>
      <c r="I3786" s="6" t="s">
        <v>5173</v>
      </c>
    </row>
    <row r="3787" customFormat="false" ht="15" hidden="false" customHeight="false" outlineLevel="0" collapsed="false">
      <c r="A3787" s="6" t="s">
        <v>9010</v>
      </c>
      <c r="B3787" s="6" t="s">
        <v>2491</v>
      </c>
      <c r="C3787" s="26" t="n">
        <v>46150</v>
      </c>
      <c r="D3787" s="6" t="s">
        <v>5277</v>
      </c>
      <c r="E3787" s="6" t="s">
        <v>22</v>
      </c>
      <c r="F3787" s="6" t="n">
        <v>2</v>
      </c>
      <c r="G3787" s="10" t="n">
        <v>2738</v>
      </c>
      <c r="H3787" s="10" t="n">
        <f aca="false">F3787*G3787</f>
        <v>5476</v>
      </c>
      <c r="I3787" s="6" t="s">
        <v>5148</v>
      </c>
    </row>
    <row r="3788" customFormat="false" ht="15" hidden="false" customHeight="false" outlineLevel="0" collapsed="false">
      <c r="A3788" s="6" t="s">
        <v>9011</v>
      </c>
      <c r="B3788" s="6" t="s">
        <v>4981</v>
      </c>
      <c r="C3788" s="26" t="n">
        <v>46150</v>
      </c>
      <c r="D3788" s="6" t="s">
        <v>5357</v>
      </c>
      <c r="E3788" s="6" t="s">
        <v>23</v>
      </c>
      <c r="F3788" s="6" t="n">
        <v>3</v>
      </c>
      <c r="G3788" s="10" t="n">
        <v>534</v>
      </c>
      <c r="H3788" s="10" t="n">
        <f aca="false">F3788*G3788</f>
        <v>1602</v>
      </c>
      <c r="I3788" s="6" t="s">
        <v>5173</v>
      </c>
    </row>
    <row r="3789" customFormat="false" ht="15" hidden="false" customHeight="false" outlineLevel="0" collapsed="false">
      <c r="A3789" s="6" t="s">
        <v>9012</v>
      </c>
      <c r="B3789" s="6" t="s">
        <v>3465</v>
      </c>
      <c r="C3789" s="26" t="n">
        <v>46150</v>
      </c>
      <c r="D3789" s="6" t="s">
        <v>5339</v>
      </c>
      <c r="E3789" s="6" t="s">
        <v>24</v>
      </c>
      <c r="F3789" s="6" t="n">
        <v>2</v>
      </c>
      <c r="G3789" s="10" t="n">
        <v>508</v>
      </c>
      <c r="H3789" s="10" t="n">
        <f aca="false">F3789*G3789</f>
        <v>1016</v>
      </c>
      <c r="I3789" s="6" t="s">
        <v>5122</v>
      </c>
    </row>
    <row r="3790" customFormat="false" ht="15" hidden="false" customHeight="false" outlineLevel="0" collapsed="false">
      <c r="A3790" s="6" t="s">
        <v>9013</v>
      </c>
      <c r="B3790" s="6" t="s">
        <v>2995</v>
      </c>
      <c r="C3790" s="26" t="n">
        <v>46150</v>
      </c>
      <c r="D3790" s="6" t="s">
        <v>5145</v>
      </c>
      <c r="E3790" s="6" t="s">
        <v>21</v>
      </c>
      <c r="F3790" s="6" t="n">
        <v>1</v>
      </c>
      <c r="G3790" s="10" t="n">
        <v>1149</v>
      </c>
      <c r="H3790" s="10" t="n">
        <f aca="false">F3790*G3790</f>
        <v>1149</v>
      </c>
      <c r="I3790" s="6" t="s">
        <v>5148</v>
      </c>
    </row>
    <row r="3791" customFormat="false" ht="15" hidden="false" customHeight="false" outlineLevel="0" collapsed="false">
      <c r="A3791" s="6" t="s">
        <v>9014</v>
      </c>
      <c r="B3791" s="6" t="s">
        <v>4837</v>
      </c>
      <c r="C3791" s="26" t="n">
        <v>46150</v>
      </c>
      <c r="D3791" s="6" t="s">
        <v>5145</v>
      </c>
      <c r="E3791" s="6" t="s">
        <v>21</v>
      </c>
      <c r="F3791" s="6" t="n">
        <v>1</v>
      </c>
      <c r="G3791" s="10" t="n">
        <v>1277</v>
      </c>
      <c r="H3791" s="10" t="n">
        <f aca="false">F3791*G3791</f>
        <v>1277</v>
      </c>
      <c r="I3791" s="6" t="s">
        <v>5122</v>
      </c>
    </row>
    <row r="3792" customFormat="false" ht="15" hidden="false" customHeight="false" outlineLevel="0" collapsed="false">
      <c r="A3792" s="6" t="s">
        <v>9015</v>
      </c>
      <c r="B3792" s="6" t="s">
        <v>4091</v>
      </c>
      <c r="C3792" s="26" t="n">
        <v>46150</v>
      </c>
      <c r="D3792" s="6" t="s">
        <v>5167</v>
      </c>
      <c r="E3792" s="6" t="s">
        <v>22</v>
      </c>
      <c r="F3792" s="6" t="n">
        <v>1</v>
      </c>
      <c r="G3792" s="10" t="n">
        <v>743</v>
      </c>
      <c r="H3792" s="10" t="n">
        <f aca="false">F3792*G3792</f>
        <v>743</v>
      </c>
      <c r="I3792" s="6" t="s">
        <v>5130</v>
      </c>
    </row>
    <row r="3793" customFormat="false" ht="15" hidden="false" customHeight="false" outlineLevel="0" collapsed="false">
      <c r="A3793" s="6" t="s">
        <v>9016</v>
      </c>
      <c r="B3793" s="6" t="s">
        <v>1535</v>
      </c>
      <c r="C3793" s="26" t="n">
        <v>46150</v>
      </c>
      <c r="D3793" s="6" t="s">
        <v>5132</v>
      </c>
      <c r="E3793" s="6" t="s">
        <v>23</v>
      </c>
      <c r="F3793" s="6" t="n">
        <v>1</v>
      </c>
      <c r="G3793" s="10" t="n">
        <v>342</v>
      </c>
      <c r="H3793" s="10" t="n">
        <f aca="false">F3793*G3793</f>
        <v>342</v>
      </c>
      <c r="I3793" s="6" t="s">
        <v>5148</v>
      </c>
    </row>
    <row r="3794" customFormat="false" ht="15" hidden="false" customHeight="false" outlineLevel="0" collapsed="false">
      <c r="A3794" s="6" t="s">
        <v>9017</v>
      </c>
      <c r="B3794" s="6" t="s">
        <v>2741</v>
      </c>
      <c r="C3794" s="26" t="n">
        <v>46150</v>
      </c>
      <c r="D3794" s="6" t="s">
        <v>5207</v>
      </c>
      <c r="E3794" s="6" t="s">
        <v>20</v>
      </c>
      <c r="F3794" s="6" t="n">
        <v>1</v>
      </c>
      <c r="G3794" s="10" t="n">
        <v>1258</v>
      </c>
      <c r="H3794" s="10" t="n">
        <f aca="false">F3794*G3794</f>
        <v>1258</v>
      </c>
      <c r="I3794" s="6" t="s">
        <v>5148</v>
      </c>
    </row>
    <row r="3795" customFormat="false" ht="15" hidden="false" customHeight="false" outlineLevel="0" collapsed="false">
      <c r="A3795" s="6" t="s">
        <v>9018</v>
      </c>
      <c r="B3795" s="6" t="s">
        <v>4487</v>
      </c>
      <c r="C3795" s="26" t="n">
        <v>46150</v>
      </c>
      <c r="D3795" s="6" t="s">
        <v>5167</v>
      </c>
      <c r="E3795" s="6" t="s">
        <v>22</v>
      </c>
      <c r="F3795" s="6" t="n">
        <v>1</v>
      </c>
      <c r="G3795" s="10" t="n">
        <v>782</v>
      </c>
      <c r="H3795" s="10" t="n">
        <f aca="false">F3795*G3795</f>
        <v>782</v>
      </c>
      <c r="I3795" s="6" t="s">
        <v>5130</v>
      </c>
    </row>
    <row r="3796" customFormat="false" ht="15" hidden="false" customHeight="false" outlineLevel="0" collapsed="false">
      <c r="A3796" s="6" t="s">
        <v>9019</v>
      </c>
      <c r="B3796" s="6" t="s">
        <v>4267</v>
      </c>
      <c r="C3796" s="26" t="n">
        <v>46150</v>
      </c>
      <c r="D3796" s="6" t="s">
        <v>5245</v>
      </c>
      <c r="E3796" s="6" t="s">
        <v>21</v>
      </c>
      <c r="F3796" s="6" t="n">
        <v>1</v>
      </c>
      <c r="G3796" s="10" t="n">
        <v>2456</v>
      </c>
      <c r="H3796" s="10" t="n">
        <f aca="false">F3796*G3796</f>
        <v>2456</v>
      </c>
      <c r="I3796" s="6" t="s">
        <v>5122</v>
      </c>
    </row>
    <row r="3797" customFormat="false" ht="15" hidden="false" customHeight="false" outlineLevel="0" collapsed="false">
      <c r="A3797" s="6" t="s">
        <v>9020</v>
      </c>
      <c r="B3797" s="6" t="s">
        <v>4471</v>
      </c>
      <c r="C3797" s="26" t="n">
        <v>46150</v>
      </c>
      <c r="D3797" s="6" t="s">
        <v>5171</v>
      </c>
      <c r="E3797" s="6" t="s">
        <v>23</v>
      </c>
      <c r="F3797" s="6" t="n">
        <v>3</v>
      </c>
      <c r="G3797" s="10" t="n">
        <v>697</v>
      </c>
      <c r="H3797" s="10" t="n">
        <f aca="false">F3797*G3797</f>
        <v>2091</v>
      </c>
      <c r="I3797" s="6" t="s">
        <v>5122</v>
      </c>
    </row>
    <row r="3798" customFormat="false" ht="15" hidden="false" customHeight="false" outlineLevel="0" collapsed="false">
      <c r="A3798" s="6" t="s">
        <v>9021</v>
      </c>
      <c r="B3798" s="6" t="s">
        <v>4375</v>
      </c>
      <c r="C3798" s="26" t="n">
        <v>46150</v>
      </c>
      <c r="D3798" s="6" t="s">
        <v>5641</v>
      </c>
      <c r="E3798" s="6" t="s">
        <v>22</v>
      </c>
      <c r="F3798" s="6" t="n">
        <v>1</v>
      </c>
      <c r="G3798" s="10" t="n">
        <v>2136</v>
      </c>
      <c r="H3798" s="10" t="n">
        <f aca="false">F3798*G3798</f>
        <v>2136</v>
      </c>
      <c r="I3798" s="6" t="s">
        <v>5122</v>
      </c>
    </row>
    <row r="3799" customFormat="false" ht="15" hidden="false" customHeight="false" outlineLevel="0" collapsed="false">
      <c r="A3799" s="6" t="s">
        <v>9022</v>
      </c>
      <c r="B3799" s="6" t="s">
        <v>1255</v>
      </c>
      <c r="C3799" s="26" t="n">
        <v>46150</v>
      </c>
      <c r="D3799" s="6" t="s">
        <v>5749</v>
      </c>
      <c r="E3799" s="6" t="s">
        <v>20</v>
      </c>
      <c r="F3799" s="6" t="n">
        <v>1</v>
      </c>
      <c r="G3799" s="10" t="n">
        <v>815</v>
      </c>
      <c r="H3799" s="10" t="n">
        <f aca="false">F3799*G3799</f>
        <v>815</v>
      </c>
      <c r="I3799" s="6" t="s">
        <v>5148</v>
      </c>
    </row>
    <row r="3800" customFormat="false" ht="15" hidden="false" customHeight="false" outlineLevel="0" collapsed="false">
      <c r="A3800" s="6" t="s">
        <v>9023</v>
      </c>
      <c r="B3800" s="6" t="s">
        <v>3177</v>
      </c>
      <c r="C3800" s="26" t="n">
        <v>46151</v>
      </c>
      <c r="D3800" s="6" t="s">
        <v>5171</v>
      </c>
      <c r="E3800" s="6" t="s">
        <v>23</v>
      </c>
      <c r="F3800" s="6" t="n">
        <v>5</v>
      </c>
      <c r="G3800" s="10" t="n">
        <v>734</v>
      </c>
      <c r="H3800" s="10" t="n">
        <f aca="false">F3800*G3800</f>
        <v>3670</v>
      </c>
      <c r="I3800" s="6" t="s">
        <v>5133</v>
      </c>
    </row>
    <row r="3801" customFormat="false" ht="15" hidden="false" customHeight="false" outlineLevel="0" collapsed="false">
      <c r="A3801" s="6" t="s">
        <v>9024</v>
      </c>
      <c r="B3801" s="6" t="s">
        <v>4209</v>
      </c>
      <c r="C3801" s="26" t="n">
        <v>46151</v>
      </c>
      <c r="D3801" s="6" t="s">
        <v>5167</v>
      </c>
      <c r="E3801" s="6" t="s">
        <v>22</v>
      </c>
      <c r="F3801" s="6" t="n">
        <v>1</v>
      </c>
      <c r="G3801" s="10" t="n">
        <v>703</v>
      </c>
      <c r="H3801" s="10" t="n">
        <f aca="false">F3801*G3801</f>
        <v>703</v>
      </c>
      <c r="I3801" s="6" t="s">
        <v>5133</v>
      </c>
    </row>
    <row r="3802" customFormat="false" ht="15" hidden="false" customHeight="false" outlineLevel="0" collapsed="false">
      <c r="A3802" s="6" t="s">
        <v>9025</v>
      </c>
      <c r="B3802" s="6" t="s">
        <v>4157</v>
      </c>
      <c r="C3802" s="26" t="n">
        <v>46151</v>
      </c>
      <c r="D3802" s="6" t="s">
        <v>5683</v>
      </c>
      <c r="E3802" s="6" t="s">
        <v>22</v>
      </c>
      <c r="F3802" s="6" t="n">
        <v>1</v>
      </c>
      <c r="G3802" s="10" t="n">
        <v>1760</v>
      </c>
      <c r="H3802" s="10" t="n">
        <f aca="false">F3802*G3802</f>
        <v>1760</v>
      </c>
      <c r="I3802" s="6" t="s">
        <v>5125</v>
      </c>
    </row>
    <row r="3803" customFormat="false" ht="15" hidden="false" customHeight="false" outlineLevel="0" collapsed="false">
      <c r="A3803" s="6" t="s">
        <v>9026</v>
      </c>
      <c r="B3803" s="6" t="s">
        <v>1463</v>
      </c>
      <c r="C3803" s="26" t="n">
        <v>46151</v>
      </c>
      <c r="D3803" s="6" t="s">
        <v>5135</v>
      </c>
      <c r="E3803" s="6" t="s">
        <v>23</v>
      </c>
      <c r="F3803" s="6" t="n">
        <v>5</v>
      </c>
      <c r="G3803" s="10" t="n">
        <v>397</v>
      </c>
      <c r="H3803" s="10" t="n">
        <f aca="false">F3803*G3803</f>
        <v>1985</v>
      </c>
      <c r="I3803" s="6" t="s">
        <v>5148</v>
      </c>
    </row>
    <row r="3804" customFormat="false" ht="15" hidden="false" customHeight="false" outlineLevel="0" collapsed="false">
      <c r="A3804" s="6" t="s">
        <v>9027</v>
      </c>
      <c r="B3804" s="6" t="s">
        <v>3789</v>
      </c>
      <c r="C3804" s="26" t="n">
        <v>46151</v>
      </c>
      <c r="D3804" s="6" t="s">
        <v>5167</v>
      </c>
      <c r="E3804" s="6" t="s">
        <v>22</v>
      </c>
      <c r="F3804" s="6" t="n">
        <v>1</v>
      </c>
      <c r="G3804" s="10" t="n">
        <v>781</v>
      </c>
      <c r="H3804" s="10" t="n">
        <f aca="false">F3804*G3804</f>
        <v>781</v>
      </c>
      <c r="I3804" s="6" t="s">
        <v>5122</v>
      </c>
    </row>
    <row r="3805" customFormat="false" ht="15" hidden="false" customHeight="false" outlineLevel="0" collapsed="false">
      <c r="A3805" s="6" t="s">
        <v>9028</v>
      </c>
      <c r="B3805" s="6" t="s">
        <v>3625</v>
      </c>
      <c r="C3805" s="26" t="n">
        <v>46151</v>
      </c>
      <c r="D3805" s="6" t="s">
        <v>5167</v>
      </c>
      <c r="E3805" s="6" t="s">
        <v>22</v>
      </c>
      <c r="F3805" s="6" t="n">
        <v>3</v>
      </c>
      <c r="G3805" s="10" t="n">
        <v>782</v>
      </c>
      <c r="H3805" s="10" t="n">
        <f aca="false">F3805*G3805</f>
        <v>2346</v>
      </c>
      <c r="I3805" s="6" t="s">
        <v>5122</v>
      </c>
    </row>
    <row r="3806" customFormat="false" ht="15" hidden="false" customHeight="false" outlineLevel="0" collapsed="false">
      <c r="A3806" s="6" t="s">
        <v>9029</v>
      </c>
      <c r="B3806" s="6" t="s">
        <v>4155</v>
      </c>
      <c r="C3806" s="26" t="n">
        <v>46151</v>
      </c>
      <c r="D3806" s="6" t="s">
        <v>5561</v>
      </c>
      <c r="E3806" s="6" t="s">
        <v>20</v>
      </c>
      <c r="F3806" s="6" t="n">
        <v>1</v>
      </c>
      <c r="G3806" s="10" t="n">
        <v>3027</v>
      </c>
      <c r="H3806" s="10" t="n">
        <f aca="false">F3806*G3806</f>
        <v>3027</v>
      </c>
      <c r="I3806" s="6" t="s">
        <v>5130</v>
      </c>
    </row>
    <row r="3807" customFormat="false" ht="15" hidden="false" customHeight="false" outlineLevel="0" collapsed="false">
      <c r="A3807" s="6" t="s">
        <v>9030</v>
      </c>
      <c r="B3807" s="6" t="s">
        <v>457</v>
      </c>
      <c r="C3807" s="26" t="n">
        <v>46151</v>
      </c>
      <c r="D3807" s="6" t="s">
        <v>5224</v>
      </c>
      <c r="E3807" s="6" t="s">
        <v>23</v>
      </c>
      <c r="F3807" s="6" t="n">
        <v>1</v>
      </c>
      <c r="G3807" s="10" t="n">
        <v>174</v>
      </c>
      <c r="H3807" s="10" t="n">
        <f aca="false">F3807*G3807</f>
        <v>174</v>
      </c>
      <c r="I3807" s="6" t="s">
        <v>5122</v>
      </c>
    </row>
    <row r="3808" customFormat="false" ht="15" hidden="false" customHeight="false" outlineLevel="0" collapsed="false">
      <c r="A3808" s="6" t="s">
        <v>9031</v>
      </c>
      <c r="B3808" s="6" t="s">
        <v>2999</v>
      </c>
      <c r="C3808" s="26" t="n">
        <v>46151</v>
      </c>
      <c r="D3808" s="6" t="s">
        <v>5197</v>
      </c>
      <c r="E3808" s="6" t="s">
        <v>21</v>
      </c>
      <c r="F3808" s="6" t="n">
        <v>1</v>
      </c>
      <c r="G3808" s="10" t="n">
        <v>1026</v>
      </c>
      <c r="H3808" s="10" t="n">
        <f aca="false">F3808*G3808</f>
        <v>1026</v>
      </c>
      <c r="I3808" s="6" t="s">
        <v>5125</v>
      </c>
    </row>
    <row r="3809" customFormat="false" ht="15" hidden="false" customHeight="false" outlineLevel="0" collapsed="false">
      <c r="A3809" s="6" t="s">
        <v>9032</v>
      </c>
      <c r="B3809" s="6" t="s">
        <v>2655</v>
      </c>
      <c r="C3809" s="26" t="n">
        <v>46151</v>
      </c>
      <c r="D3809" s="6" t="s">
        <v>5292</v>
      </c>
      <c r="E3809" s="6" t="s">
        <v>21</v>
      </c>
      <c r="F3809" s="6" t="n">
        <v>1</v>
      </c>
      <c r="G3809" s="10" t="n">
        <v>6880</v>
      </c>
      <c r="H3809" s="10" t="n">
        <f aca="false">F3809*G3809</f>
        <v>6880</v>
      </c>
      <c r="I3809" s="6" t="s">
        <v>5122</v>
      </c>
    </row>
    <row r="3810" customFormat="false" ht="15" hidden="false" customHeight="false" outlineLevel="0" collapsed="false">
      <c r="A3810" s="6" t="s">
        <v>9033</v>
      </c>
      <c r="B3810" s="6" t="s">
        <v>1725</v>
      </c>
      <c r="C3810" s="26" t="n">
        <v>46151</v>
      </c>
      <c r="D3810" s="6" t="s">
        <v>5167</v>
      </c>
      <c r="E3810" s="6" t="s">
        <v>22</v>
      </c>
      <c r="F3810" s="6" t="n">
        <v>4</v>
      </c>
      <c r="G3810" s="10" t="n">
        <v>782</v>
      </c>
      <c r="H3810" s="10" t="n">
        <f aca="false">F3810*G3810</f>
        <v>3128</v>
      </c>
      <c r="I3810" s="6" t="s">
        <v>5122</v>
      </c>
    </row>
    <row r="3811" customFormat="false" ht="15" hidden="false" customHeight="false" outlineLevel="0" collapsed="false">
      <c r="A3811" s="6" t="s">
        <v>9034</v>
      </c>
      <c r="B3811" s="6" t="s">
        <v>4759</v>
      </c>
      <c r="C3811" s="26" t="n">
        <v>46151</v>
      </c>
      <c r="D3811" s="6" t="s">
        <v>5313</v>
      </c>
      <c r="E3811" s="6" t="s">
        <v>22</v>
      </c>
      <c r="F3811" s="6" t="n">
        <v>1</v>
      </c>
      <c r="G3811" s="10" t="n">
        <v>1672</v>
      </c>
      <c r="H3811" s="10" t="n">
        <f aca="false">F3811*G3811</f>
        <v>1672</v>
      </c>
      <c r="I3811" s="6" t="s">
        <v>5122</v>
      </c>
    </row>
    <row r="3812" customFormat="false" ht="15" hidden="false" customHeight="false" outlineLevel="0" collapsed="false">
      <c r="A3812" s="6" t="s">
        <v>9035</v>
      </c>
      <c r="B3812" s="6" t="s">
        <v>3111</v>
      </c>
      <c r="C3812" s="26" t="n">
        <v>46151</v>
      </c>
      <c r="D3812" s="6" t="s">
        <v>5318</v>
      </c>
      <c r="E3812" s="6" t="s">
        <v>20</v>
      </c>
      <c r="F3812" s="6" t="n">
        <v>1</v>
      </c>
      <c r="G3812" s="10" t="n">
        <v>1529</v>
      </c>
      <c r="H3812" s="10" t="n">
        <f aca="false">F3812*G3812</f>
        <v>1529</v>
      </c>
      <c r="I3812" s="6" t="s">
        <v>5122</v>
      </c>
    </row>
    <row r="3813" customFormat="false" ht="15" hidden="false" customHeight="false" outlineLevel="0" collapsed="false">
      <c r="A3813" s="6" t="s">
        <v>9036</v>
      </c>
      <c r="B3813" s="6" t="s">
        <v>3273</v>
      </c>
      <c r="C3813" s="26" t="n">
        <v>46151</v>
      </c>
      <c r="D3813" s="6" t="s">
        <v>5357</v>
      </c>
      <c r="E3813" s="6" t="s">
        <v>23</v>
      </c>
      <c r="F3813" s="6" t="n">
        <v>2</v>
      </c>
      <c r="G3813" s="10" t="n">
        <v>534</v>
      </c>
      <c r="H3813" s="10" t="n">
        <f aca="false">F3813*G3813</f>
        <v>1068</v>
      </c>
      <c r="I3813" s="6" t="s">
        <v>5133</v>
      </c>
    </row>
    <row r="3814" customFormat="false" ht="15" hidden="false" customHeight="false" outlineLevel="0" collapsed="false">
      <c r="A3814" s="6" t="s">
        <v>9037</v>
      </c>
      <c r="B3814" s="6" t="s">
        <v>4637</v>
      </c>
      <c r="C3814" s="26" t="n">
        <v>46151</v>
      </c>
      <c r="D3814" s="6" t="s">
        <v>5171</v>
      </c>
      <c r="E3814" s="6" t="s">
        <v>23</v>
      </c>
      <c r="F3814" s="6" t="n">
        <v>1</v>
      </c>
      <c r="G3814" s="10" t="n">
        <v>734</v>
      </c>
      <c r="H3814" s="10" t="n">
        <f aca="false">F3814*G3814</f>
        <v>734</v>
      </c>
      <c r="I3814" s="6" t="s">
        <v>5125</v>
      </c>
    </row>
    <row r="3815" customFormat="false" ht="15" hidden="false" customHeight="false" outlineLevel="0" collapsed="false">
      <c r="A3815" s="6" t="s">
        <v>9038</v>
      </c>
      <c r="B3815" s="6" t="s">
        <v>953</v>
      </c>
      <c r="C3815" s="26" t="n">
        <v>46151</v>
      </c>
      <c r="D3815" s="6" t="s">
        <v>5132</v>
      </c>
      <c r="E3815" s="6" t="s">
        <v>23</v>
      </c>
      <c r="F3815" s="6" t="n">
        <v>4</v>
      </c>
      <c r="G3815" s="10" t="n">
        <v>308</v>
      </c>
      <c r="H3815" s="10" t="n">
        <f aca="false">F3815*G3815</f>
        <v>1232</v>
      </c>
      <c r="I3815" s="6" t="s">
        <v>5122</v>
      </c>
    </row>
    <row r="3816" customFormat="false" ht="15" hidden="false" customHeight="false" outlineLevel="0" collapsed="false">
      <c r="A3816" s="6" t="s">
        <v>9039</v>
      </c>
      <c r="B3816" s="6" t="s">
        <v>3909</v>
      </c>
      <c r="C3816" s="26" t="n">
        <v>46151</v>
      </c>
      <c r="D3816" s="6" t="s">
        <v>5129</v>
      </c>
      <c r="E3816" s="6" t="s">
        <v>21</v>
      </c>
      <c r="F3816" s="6" t="n">
        <v>3</v>
      </c>
      <c r="G3816" s="10" t="n">
        <v>589</v>
      </c>
      <c r="H3816" s="10" t="n">
        <f aca="false">F3816*G3816</f>
        <v>1767</v>
      </c>
      <c r="I3816" s="6" t="s">
        <v>5148</v>
      </c>
    </row>
    <row r="3817" customFormat="false" ht="15" hidden="false" customHeight="false" outlineLevel="0" collapsed="false">
      <c r="A3817" s="6" t="s">
        <v>9040</v>
      </c>
      <c r="B3817" s="6" t="s">
        <v>2911</v>
      </c>
      <c r="C3817" s="26" t="n">
        <v>46151</v>
      </c>
      <c r="D3817" s="6" t="s">
        <v>5339</v>
      </c>
      <c r="E3817" s="6" t="s">
        <v>24</v>
      </c>
      <c r="F3817" s="6" t="n">
        <v>3</v>
      </c>
      <c r="G3817" s="10" t="n">
        <v>508</v>
      </c>
      <c r="H3817" s="10" t="n">
        <f aca="false">F3817*G3817</f>
        <v>1524</v>
      </c>
      <c r="I3817" s="6" t="s">
        <v>5148</v>
      </c>
    </row>
    <row r="3818" customFormat="false" ht="15" hidden="false" customHeight="false" outlineLevel="0" collapsed="false">
      <c r="A3818" s="6" t="s">
        <v>9041</v>
      </c>
      <c r="B3818" s="6" t="s">
        <v>2483</v>
      </c>
      <c r="C3818" s="26" t="n">
        <v>46151</v>
      </c>
      <c r="D3818" s="6" t="s">
        <v>5242</v>
      </c>
      <c r="E3818" s="6" t="s">
        <v>23</v>
      </c>
      <c r="F3818" s="6" t="n">
        <v>1</v>
      </c>
      <c r="G3818" s="10" t="n">
        <v>354</v>
      </c>
      <c r="H3818" s="10" t="n">
        <f aca="false">F3818*G3818</f>
        <v>354</v>
      </c>
      <c r="I3818" s="6" t="s">
        <v>5122</v>
      </c>
    </row>
    <row r="3819" customFormat="false" ht="15" hidden="false" customHeight="false" outlineLevel="0" collapsed="false">
      <c r="A3819" s="6" t="s">
        <v>9042</v>
      </c>
      <c r="B3819" s="6" t="s">
        <v>4259</v>
      </c>
      <c r="C3819" s="26" t="n">
        <v>46151</v>
      </c>
      <c r="D3819" s="6" t="s">
        <v>5197</v>
      </c>
      <c r="E3819" s="6" t="s">
        <v>21</v>
      </c>
      <c r="F3819" s="6" t="n">
        <v>1</v>
      </c>
      <c r="G3819" s="10" t="n">
        <v>1026</v>
      </c>
      <c r="H3819" s="10" t="n">
        <f aca="false">F3819*G3819</f>
        <v>1026</v>
      </c>
      <c r="I3819" s="6" t="s">
        <v>5125</v>
      </c>
    </row>
    <row r="3820" customFormat="false" ht="15" hidden="false" customHeight="false" outlineLevel="0" collapsed="false">
      <c r="A3820" s="6" t="s">
        <v>9043</v>
      </c>
      <c r="B3820" s="6" t="s">
        <v>5013</v>
      </c>
      <c r="C3820" s="26" t="n">
        <v>46151</v>
      </c>
      <c r="D3820" s="6" t="s">
        <v>5160</v>
      </c>
      <c r="E3820" s="6" t="s">
        <v>21</v>
      </c>
      <c r="F3820" s="6" t="n">
        <v>1</v>
      </c>
      <c r="G3820" s="10" t="n">
        <v>2476</v>
      </c>
      <c r="H3820" s="10" t="n">
        <f aca="false">F3820*G3820</f>
        <v>2476</v>
      </c>
      <c r="I3820" s="6" t="s">
        <v>5148</v>
      </c>
    </row>
    <row r="3821" customFormat="false" ht="15" hidden="false" customHeight="false" outlineLevel="0" collapsed="false">
      <c r="A3821" s="6" t="s">
        <v>9044</v>
      </c>
      <c r="B3821" s="6" t="s">
        <v>1513</v>
      </c>
      <c r="C3821" s="26" t="n">
        <v>46151</v>
      </c>
      <c r="D3821" s="6" t="s">
        <v>5683</v>
      </c>
      <c r="E3821" s="6" t="s">
        <v>22</v>
      </c>
      <c r="F3821" s="6" t="n">
        <v>2</v>
      </c>
      <c r="G3821" s="10" t="n">
        <v>1760</v>
      </c>
      <c r="H3821" s="10" t="n">
        <f aca="false">F3821*G3821</f>
        <v>3520</v>
      </c>
      <c r="I3821" s="6" t="s">
        <v>5148</v>
      </c>
    </row>
    <row r="3822" customFormat="false" ht="15" hidden="false" customHeight="false" outlineLevel="0" collapsed="false">
      <c r="A3822" s="6" t="s">
        <v>9045</v>
      </c>
      <c r="B3822" s="6" t="s">
        <v>2471</v>
      </c>
      <c r="C3822" s="26" t="n">
        <v>46151</v>
      </c>
      <c r="D3822" s="6" t="s">
        <v>5165</v>
      </c>
      <c r="E3822" s="6" t="s">
        <v>22</v>
      </c>
      <c r="F3822" s="6" t="n">
        <v>1</v>
      </c>
      <c r="G3822" s="10" t="n">
        <v>880</v>
      </c>
      <c r="H3822" s="10" t="n">
        <f aca="false">F3822*G3822</f>
        <v>880</v>
      </c>
      <c r="I3822" s="6" t="s">
        <v>5130</v>
      </c>
    </row>
    <row r="3823" customFormat="false" ht="15" hidden="false" customHeight="false" outlineLevel="0" collapsed="false">
      <c r="A3823" s="6" t="s">
        <v>9046</v>
      </c>
      <c r="B3823" s="6" t="s">
        <v>1083</v>
      </c>
      <c r="C3823" s="26" t="n">
        <v>46151</v>
      </c>
      <c r="D3823" s="6" t="s">
        <v>5167</v>
      </c>
      <c r="E3823" s="6" t="s">
        <v>22</v>
      </c>
      <c r="F3823" s="6" t="n">
        <v>3</v>
      </c>
      <c r="G3823" s="10" t="n">
        <v>782</v>
      </c>
      <c r="H3823" s="10" t="n">
        <f aca="false">F3823*G3823</f>
        <v>2346</v>
      </c>
      <c r="I3823" s="6" t="s">
        <v>5122</v>
      </c>
    </row>
    <row r="3824" customFormat="false" ht="15" hidden="false" customHeight="false" outlineLevel="0" collapsed="false">
      <c r="A3824" s="6" t="s">
        <v>9047</v>
      </c>
      <c r="B3824" s="6" t="s">
        <v>4587</v>
      </c>
      <c r="C3824" s="26" t="n">
        <v>46151</v>
      </c>
      <c r="D3824" s="6" t="s">
        <v>5167</v>
      </c>
      <c r="E3824" s="6" t="s">
        <v>22</v>
      </c>
      <c r="F3824" s="6" t="n">
        <v>3</v>
      </c>
      <c r="G3824" s="10" t="n">
        <v>782</v>
      </c>
      <c r="H3824" s="10" t="n">
        <f aca="false">F3824*G3824</f>
        <v>2346</v>
      </c>
      <c r="I3824" s="6" t="s">
        <v>5122</v>
      </c>
    </row>
    <row r="3825" customFormat="false" ht="15" hidden="false" customHeight="false" outlineLevel="0" collapsed="false">
      <c r="A3825" s="6" t="s">
        <v>9048</v>
      </c>
      <c r="B3825" s="6" t="s">
        <v>4503</v>
      </c>
      <c r="C3825" s="26" t="n">
        <v>46151</v>
      </c>
      <c r="D3825" s="6" t="s">
        <v>5237</v>
      </c>
      <c r="E3825" s="6" t="s">
        <v>24</v>
      </c>
      <c r="F3825" s="6" t="n">
        <v>4</v>
      </c>
      <c r="G3825" s="10" t="n">
        <v>1833</v>
      </c>
      <c r="H3825" s="10" t="n">
        <f aca="false">F3825*G3825</f>
        <v>7332</v>
      </c>
      <c r="I3825" s="6" t="s">
        <v>5148</v>
      </c>
    </row>
    <row r="3826" customFormat="false" ht="15" hidden="false" customHeight="false" outlineLevel="0" collapsed="false">
      <c r="A3826" s="6" t="s">
        <v>9049</v>
      </c>
      <c r="B3826" s="6" t="s">
        <v>1225</v>
      </c>
      <c r="C3826" s="26" t="n">
        <v>46151</v>
      </c>
      <c r="D3826" s="6" t="s">
        <v>5242</v>
      </c>
      <c r="E3826" s="6" t="s">
        <v>23</v>
      </c>
      <c r="F3826" s="6" t="n">
        <v>4</v>
      </c>
      <c r="G3826" s="10" t="n">
        <v>372</v>
      </c>
      <c r="H3826" s="10" t="n">
        <f aca="false">F3826*G3826</f>
        <v>1488</v>
      </c>
      <c r="I3826" s="6" t="s">
        <v>5173</v>
      </c>
    </row>
    <row r="3827" customFormat="false" ht="15" hidden="false" customHeight="false" outlineLevel="0" collapsed="false">
      <c r="A3827" s="6" t="s">
        <v>9050</v>
      </c>
      <c r="B3827" s="6" t="s">
        <v>1617</v>
      </c>
      <c r="C3827" s="26" t="n">
        <v>46151</v>
      </c>
      <c r="D3827" s="6" t="s">
        <v>5190</v>
      </c>
      <c r="E3827" s="6" t="s">
        <v>24</v>
      </c>
      <c r="F3827" s="6" t="n">
        <v>1</v>
      </c>
      <c r="G3827" s="10" t="n">
        <v>610</v>
      </c>
      <c r="H3827" s="10" t="n">
        <f aca="false">F3827*G3827</f>
        <v>610</v>
      </c>
      <c r="I3827" s="6" t="s">
        <v>5130</v>
      </c>
    </row>
    <row r="3828" customFormat="false" ht="15" hidden="false" customHeight="false" outlineLevel="0" collapsed="false">
      <c r="A3828" s="6" t="s">
        <v>9051</v>
      </c>
      <c r="B3828" s="6" t="s">
        <v>344</v>
      </c>
      <c r="C3828" s="26" t="n">
        <v>46151</v>
      </c>
      <c r="D3828" s="6" t="s">
        <v>5318</v>
      </c>
      <c r="E3828" s="6" t="s">
        <v>20</v>
      </c>
      <c r="F3828" s="6" t="n">
        <v>1</v>
      </c>
      <c r="G3828" s="10" t="n">
        <v>1529</v>
      </c>
      <c r="H3828" s="10" t="n">
        <f aca="false">F3828*G3828</f>
        <v>1529</v>
      </c>
      <c r="I3828" s="6" t="s">
        <v>5130</v>
      </c>
    </row>
    <row r="3829" customFormat="false" ht="15" hidden="false" customHeight="false" outlineLevel="0" collapsed="false">
      <c r="A3829" s="6" t="s">
        <v>9052</v>
      </c>
      <c r="B3829" s="6" t="s">
        <v>1855</v>
      </c>
      <c r="C3829" s="26" t="n">
        <v>46151</v>
      </c>
      <c r="D3829" s="6" t="s">
        <v>5345</v>
      </c>
      <c r="E3829" s="6" t="s">
        <v>23</v>
      </c>
      <c r="F3829" s="6" t="n">
        <v>4</v>
      </c>
      <c r="G3829" s="10" t="n">
        <v>414</v>
      </c>
      <c r="H3829" s="10" t="n">
        <f aca="false">F3829*G3829</f>
        <v>1656</v>
      </c>
      <c r="I3829" s="6" t="s">
        <v>5122</v>
      </c>
    </row>
    <row r="3830" customFormat="false" ht="15" hidden="false" customHeight="false" outlineLevel="0" collapsed="false">
      <c r="A3830" s="6" t="s">
        <v>9053</v>
      </c>
      <c r="B3830" s="6" t="s">
        <v>489</v>
      </c>
      <c r="C3830" s="26" t="n">
        <v>46151</v>
      </c>
      <c r="D3830" s="6" t="s">
        <v>5163</v>
      </c>
      <c r="E3830" s="6" t="s">
        <v>23</v>
      </c>
      <c r="F3830" s="6" t="n">
        <v>2</v>
      </c>
      <c r="G3830" s="10" t="n">
        <v>783</v>
      </c>
      <c r="H3830" s="10" t="n">
        <f aca="false">F3830*G3830</f>
        <v>1566</v>
      </c>
      <c r="I3830" s="6" t="s">
        <v>5122</v>
      </c>
    </row>
    <row r="3831" customFormat="false" ht="15" hidden="false" customHeight="false" outlineLevel="0" collapsed="false">
      <c r="A3831" s="6" t="s">
        <v>9054</v>
      </c>
      <c r="B3831" s="6" t="s">
        <v>1043</v>
      </c>
      <c r="C3831" s="26" t="n">
        <v>46151</v>
      </c>
      <c r="D3831" s="6" t="s">
        <v>5345</v>
      </c>
      <c r="E3831" s="6" t="s">
        <v>23</v>
      </c>
      <c r="F3831" s="6" t="n">
        <v>3</v>
      </c>
      <c r="G3831" s="10" t="n">
        <v>414</v>
      </c>
      <c r="H3831" s="10" t="n">
        <f aca="false">F3831*G3831</f>
        <v>1242</v>
      </c>
      <c r="I3831" s="6" t="s">
        <v>5122</v>
      </c>
    </row>
    <row r="3832" customFormat="false" ht="15" hidden="false" customHeight="false" outlineLevel="0" collapsed="false">
      <c r="A3832" s="6" t="s">
        <v>9055</v>
      </c>
      <c r="B3832" s="6" t="s">
        <v>4303</v>
      </c>
      <c r="C3832" s="26" t="n">
        <v>46151</v>
      </c>
      <c r="D3832" s="6" t="s">
        <v>5207</v>
      </c>
      <c r="E3832" s="6" t="s">
        <v>20</v>
      </c>
      <c r="F3832" s="6" t="n">
        <v>2</v>
      </c>
      <c r="G3832" s="10" t="n">
        <v>1325</v>
      </c>
      <c r="H3832" s="10" t="n">
        <f aca="false">F3832*G3832</f>
        <v>2650</v>
      </c>
      <c r="I3832" s="6" t="s">
        <v>5125</v>
      </c>
    </row>
    <row r="3833" customFormat="false" ht="15" hidden="false" customHeight="false" outlineLevel="0" collapsed="false">
      <c r="A3833" s="6" t="s">
        <v>9056</v>
      </c>
      <c r="B3833" s="6" t="s">
        <v>2299</v>
      </c>
      <c r="C3833" s="26" t="n">
        <v>46151</v>
      </c>
      <c r="D3833" s="6" t="s">
        <v>5269</v>
      </c>
      <c r="E3833" s="6" t="s">
        <v>22</v>
      </c>
      <c r="F3833" s="6" t="n">
        <v>1</v>
      </c>
      <c r="G3833" s="10" t="n">
        <v>1271</v>
      </c>
      <c r="H3833" s="10" t="n">
        <f aca="false">F3833*G3833</f>
        <v>1271</v>
      </c>
      <c r="I3833" s="6" t="s">
        <v>5148</v>
      </c>
    </row>
    <row r="3834" customFormat="false" ht="15" hidden="false" customHeight="false" outlineLevel="0" collapsed="false">
      <c r="A3834" s="6" t="s">
        <v>9057</v>
      </c>
      <c r="B3834" s="6" t="s">
        <v>3655</v>
      </c>
      <c r="C3834" s="26" t="n">
        <v>46151</v>
      </c>
      <c r="D3834" s="6" t="s">
        <v>5163</v>
      </c>
      <c r="E3834" s="6" t="s">
        <v>23</v>
      </c>
      <c r="F3834" s="6" t="n">
        <v>3</v>
      </c>
      <c r="G3834" s="10" t="n">
        <v>783</v>
      </c>
      <c r="H3834" s="10" t="n">
        <f aca="false">F3834*G3834</f>
        <v>2349</v>
      </c>
      <c r="I3834" s="6" t="s">
        <v>5133</v>
      </c>
    </row>
    <row r="3835" customFormat="false" ht="15" hidden="false" customHeight="false" outlineLevel="0" collapsed="false">
      <c r="A3835" s="6" t="s">
        <v>9058</v>
      </c>
      <c r="B3835" s="6" t="s">
        <v>1773</v>
      </c>
      <c r="C3835" s="26" t="n">
        <v>46151</v>
      </c>
      <c r="D3835" s="6" t="s">
        <v>5147</v>
      </c>
      <c r="E3835" s="6" t="s">
        <v>24</v>
      </c>
      <c r="F3835" s="6" t="n">
        <v>1</v>
      </c>
      <c r="G3835" s="10" t="n">
        <v>661</v>
      </c>
      <c r="H3835" s="10" t="n">
        <f aca="false">F3835*G3835</f>
        <v>661</v>
      </c>
      <c r="I3835" s="6" t="s">
        <v>5133</v>
      </c>
    </row>
    <row r="3836" customFormat="false" ht="15" hidden="false" customHeight="false" outlineLevel="0" collapsed="false">
      <c r="A3836" s="6" t="s">
        <v>9059</v>
      </c>
      <c r="B3836" s="6" t="s">
        <v>2177</v>
      </c>
      <c r="C3836" s="26" t="n">
        <v>46151</v>
      </c>
      <c r="D3836" s="6" t="s">
        <v>5226</v>
      </c>
      <c r="E3836" s="6" t="s">
        <v>24</v>
      </c>
      <c r="F3836" s="6" t="n">
        <v>1</v>
      </c>
      <c r="G3836" s="10" t="n">
        <v>435</v>
      </c>
      <c r="H3836" s="10" t="n">
        <f aca="false">F3836*G3836</f>
        <v>435</v>
      </c>
      <c r="I3836" s="6" t="s">
        <v>5125</v>
      </c>
    </row>
    <row r="3837" customFormat="false" ht="15" hidden="false" customHeight="false" outlineLevel="0" collapsed="false">
      <c r="A3837" s="6" t="s">
        <v>9060</v>
      </c>
      <c r="B3837" s="6" t="s">
        <v>513</v>
      </c>
      <c r="C3837" s="26" t="n">
        <v>46152</v>
      </c>
      <c r="D3837" s="6" t="s">
        <v>5167</v>
      </c>
      <c r="E3837" s="6" t="s">
        <v>22</v>
      </c>
      <c r="F3837" s="6" t="n">
        <v>2</v>
      </c>
      <c r="G3837" s="10" t="n">
        <v>743</v>
      </c>
      <c r="H3837" s="10" t="n">
        <f aca="false">F3837*G3837</f>
        <v>1486</v>
      </c>
      <c r="I3837" s="6" t="s">
        <v>5148</v>
      </c>
    </row>
    <row r="3838" customFormat="false" ht="15" hidden="false" customHeight="false" outlineLevel="0" collapsed="false">
      <c r="A3838" s="6" t="s">
        <v>9061</v>
      </c>
      <c r="B3838" s="6" t="s">
        <v>2233</v>
      </c>
      <c r="C3838" s="26" t="n">
        <v>46152</v>
      </c>
      <c r="D3838" s="6" t="s">
        <v>5460</v>
      </c>
      <c r="E3838" s="6" t="s">
        <v>24</v>
      </c>
      <c r="F3838" s="6" t="n">
        <v>1</v>
      </c>
      <c r="G3838" s="10" t="n">
        <v>500</v>
      </c>
      <c r="H3838" s="10" t="n">
        <f aca="false">F3838*G3838</f>
        <v>500</v>
      </c>
      <c r="I3838" s="6" t="s">
        <v>5122</v>
      </c>
    </row>
    <row r="3839" customFormat="false" ht="15" hidden="false" customHeight="false" outlineLevel="0" collapsed="false">
      <c r="A3839" s="6" t="s">
        <v>9062</v>
      </c>
      <c r="B3839" s="6" t="s">
        <v>1499</v>
      </c>
      <c r="C3839" s="26" t="n">
        <v>46152</v>
      </c>
      <c r="D3839" s="6" t="s">
        <v>5423</v>
      </c>
      <c r="E3839" s="6" t="s">
        <v>21</v>
      </c>
      <c r="F3839" s="6" t="n">
        <v>1</v>
      </c>
      <c r="G3839" s="10" t="n">
        <v>3081</v>
      </c>
      <c r="H3839" s="10" t="n">
        <f aca="false">F3839*G3839</f>
        <v>3081</v>
      </c>
      <c r="I3839" s="6" t="s">
        <v>5122</v>
      </c>
    </row>
    <row r="3840" customFormat="false" ht="15" hidden="false" customHeight="false" outlineLevel="0" collapsed="false">
      <c r="A3840" s="6" t="s">
        <v>9063</v>
      </c>
      <c r="B3840" s="6" t="s">
        <v>4177</v>
      </c>
      <c r="C3840" s="26" t="n">
        <v>46152</v>
      </c>
      <c r="D3840" s="6" t="s">
        <v>5687</v>
      </c>
      <c r="E3840" s="6" t="s">
        <v>20</v>
      </c>
      <c r="F3840" s="6" t="n">
        <v>1</v>
      </c>
      <c r="G3840" s="10" t="n">
        <v>2039</v>
      </c>
      <c r="H3840" s="10" t="n">
        <f aca="false">F3840*G3840</f>
        <v>2039</v>
      </c>
      <c r="I3840" s="6" t="s">
        <v>5125</v>
      </c>
    </row>
    <row r="3841" customFormat="false" ht="15" hidden="false" customHeight="false" outlineLevel="0" collapsed="false">
      <c r="A3841" s="6" t="s">
        <v>9064</v>
      </c>
      <c r="B3841" s="6" t="s">
        <v>1901</v>
      </c>
      <c r="C3841" s="26" t="n">
        <v>46152</v>
      </c>
      <c r="D3841" s="6" t="s">
        <v>5185</v>
      </c>
      <c r="E3841" s="6" t="s">
        <v>24</v>
      </c>
      <c r="F3841" s="6" t="n">
        <v>1</v>
      </c>
      <c r="G3841" s="10" t="n">
        <v>2141</v>
      </c>
      <c r="H3841" s="10" t="n">
        <f aca="false">F3841*G3841</f>
        <v>2141</v>
      </c>
      <c r="I3841" s="6" t="s">
        <v>5148</v>
      </c>
    </row>
    <row r="3842" customFormat="false" ht="15" hidden="false" customHeight="false" outlineLevel="0" collapsed="false">
      <c r="A3842" s="6" t="s">
        <v>9065</v>
      </c>
      <c r="B3842" s="6" t="s">
        <v>1557</v>
      </c>
      <c r="C3842" s="26" t="n">
        <v>46152</v>
      </c>
      <c r="D3842" s="6" t="s">
        <v>5165</v>
      </c>
      <c r="E3842" s="6" t="s">
        <v>22</v>
      </c>
      <c r="F3842" s="6" t="n">
        <v>1</v>
      </c>
      <c r="G3842" s="10" t="n">
        <v>928</v>
      </c>
      <c r="H3842" s="10" t="n">
        <f aca="false">F3842*G3842</f>
        <v>928</v>
      </c>
      <c r="I3842" s="6" t="s">
        <v>5122</v>
      </c>
    </row>
    <row r="3843" customFormat="false" ht="15" hidden="false" customHeight="false" outlineLevel="0" collapsed="false">
      <c r="A3843" s="6" t="s">
        <v>9066</v>
      </c>
      <c r="B3843" s="6" t="s">
        <v>983</v>
      </c>
      <c r="C3843" s="26" t="n">
        <v>46152</v>
      </c>
      <c r="D3843" s="6" t="s">
        <v>5305</v>
      </c>
      <c r="E3843" s="6" t="s">
        <v>20</v>
      </c>
      <c r="F3843" s="6" t="n">
        <v>2</v>
      </c>
      <c r="G3843" s="10" t="n">
        <v>1631</v>
      </c>
      <c r="H3843" s="10" t="n">
        <f aca="false">F3843*G3843</f>
        <v>3262</v>
      </c>
      <c r="I3843" s="6" t="s">
        <v>5122</v>
      </c>
    </row>
    <row r="3844" customFormat="false" ht="15" hidden="false" customHeight="false" outlineLevel="0" collapsed="false">
      <c r="A3844" s="6" t="s">
        <v>9067</v>
      </c>
      <c r="B3844" s="6" t="s">
        <v>2715</v>
      </c>
      <c r="C3844" s="26" t="n">
        <v>46152</v>
      </c>
      <c r="D3844" s="6" t="s">
        <v>5129</v>
      </c>
      <c r="E3844" s="6" t="s">
        <v>21</v>
      </c>
      <c r="F3844" s="6" t="n">
        <v>1</v>
      </c>
      <c r="G3844" s="10" t="n">
        <v>530</v>
      </c>
      <c r="H3844" s="10" t="n">
        <f aca="false">F3844*G3844</f>
        <v>530</v>
      </c>
      <c r="I3844" s="6" t="s">
        <v>5130</v>
      </c>
    </row>
    <row r="3845" customFormat="false" ht="15" hidden="false" customHeight="false" outlineLevel="0" collapsed="false">
      <c r="A3845" s="6" t="s">
        <v>9068</v>
      </c>
      <c r="B3845" s="6" t="s">
        <v>1819</v>
      </c>
      <c r="C3845" s="26" t="n">
        <v>46152</v>
      </c>
      <c r="D3845" s="6" t="s">
        <v>5175</v>
      </c>
      <c r="E3845" s="6" t="s">
        <v>24</v>
      </c>
      <c r="F3845" s="6" t="n">
        <v>1</v>
      </c>
      <c r="G3845" s="10" t="n">
        <v>610</v>
      </c>
      <c r="H3845" s="10" t="n">
        <f aca="false">F3845*G3845</f>
        <v>610</v>
      </c>
      <c r="I3845" s="6" t="s">
        <v>5125</v>
      </c>
    </row>
    <row r="3846" customFormat="false" ht="15" hidden="false" customHeight="false" outlineLevel="0" collapsed="false">
      <c r="A3846" s="6" t="s">
        <v>9069</v>
      </c>
      <c r="B3846" s="6" t="s">
        <v>3189</v>
      </c>
      <c r="C3846" s="26" t="n">
        <v>46152</v>
      </c>
      <c r="D3846" s="6" t="s">
        <v>5466</v>
      </c>
      <c r="E3846" s="6" t="s">
        <v>21</v>
      </c>
      <c r="F3846" s="6" t="n">
        <v>1</v>
      </c>
      <c r="G3846" s="10" t="n">
        <v>1965</v>
      </c>
      <c r="H3846" s="10" t="n">
        <f aca="false">F3846*G3846</f>
        <v>1965</v>
      </c>
      <c r="I3846" s="6" t="s">
        <v>5125</v>
      </c>
    </row>
    <row r="3847" customFormat="false" ht="15" hidden="false" customHeight="false" outlineLevel="0" collapsed="false">
      <c r="A3847" s="6" t="s">
        <v>9070</v>
      </c>
      <c r="B3847" s="6" t="s">
        <v>665</v>
      </c>
      <c r="C3847" s="26" t="n">
        <v>46152</v>
      </c>
      <c r="D3847" s="6" t="s">
        <v>5326</v>
      </c>
      <c r="E3847" s="6" t="s">
        <v>22</v>
      </c>
      <c r="F3847" s="6" t="n">
        <v>1</v>
      </c>
      <c r="G3847" s="10" t="n">
        <v>1393</v>
      </c>
      <c r="H3847" s="10" t="n">
        <f aca="false">F3847*G3847</f>
        <v>1393</v>
      </c>
      <c r="I3847" s="6" t="s">
        <v>5148</v>
      </c>
    </row>
    <row r="3848" customFormat="false" ht="15" hidden="false" customHeight="false" outlineLevel="0" collapsed="false">
      <c r="A3848" s="6" t="s">
        <v>9071</v>
      </c>
      <c r="B3848" s="6" t="s">
        <v>4055</v>
      </c>
      <c r="C3848" s="26" t="n">
        <v>46152</v>
      </c>
      <c r="D3848" s="6" t="s">
        <v>5165</v>
      </c>
      <c r="E3848" s="6" t="s">
        <v>22</v>
      </c>
      <c r="F3848" s="6" t="n">
        <v>2</v>
      </c>
      <c r="G3848" s="10" t="n">
        <v>880</v>
      </c>
      <c r="H3848" s="10" t="n">
        <f aca="false">F3848*G3848</f>
        <v>1760</v>
      </c>
      <c r="I3848" s="6" t="s">
        <v>5122</v>
      </c>
    </row>
    <row r="3849" customFormat="false" ht="15" hidden="false" customHeight="false" outlineLevel="0" collapsed="false">
      <c r="A3849" s="6" t="s">
        <v>9072</v>
      </c>
      <c r="B3849" s="6" t="s">
        <v>2645</v>
      </c>
      <c r="C3849" s="26" t="n">
        <v>46152</v>
      </c>
      <c r="D3849" s="6" t="s">
        <v>7185</v>
      </c>
      <c r="E3849" s="6" t="s">
        <v>22</v>
      </c>
      <c r="F3849" s="6" t="n">
        <v>1</v>
      </c>
      <c r="G3849" s="10" t="n">
        <v>2461</v>
      </c>
      <c r="H3849" s="10" t="n">
        <f aca="false">F3849*G3849</f>
        <v>2461</v>
      </c>
      <c r="I3849" s="6" t="s">
        <v>5122</v>
      </c>
    </row>
    <row r="3850" customFormat="false" ht="15" hidden="false" customHeight="false" outlineLevel="0" collapsed="false">
      <c r="A3850" s="6" t="s">
        <v>9073</v>
      </c>
      <c r="B3850" s="6" t="s">
        <v>1263</v>
      </c>
      <c r="C3850" s="26" t="n">
        <v>46152</v>
      </c>
      <c r="D3850" s="6" t="s">
        <v>5145</v>
      </c>
      <c r="E3850" s="6" t="s">
        <v>21</v>
      </c>
      <c r="F3850" s="6" t="n">
        <v>1</v>
      </c>
      <c r="G3850" s="10" t="n">
        <v>1277</v>
      </c>
      <c r="H3850" s="10" t="n">
        <f aca="false">F3850*G3850</f>
        <v>1277</v>
      </c>
      <c r="I3850" s="6" t="s">
        <v>5125</v>
      </c>
    </row>
    <row r="3851" customFormat="false" ht="15" hidden="false" customHeight="false" outlineLevel="0" collapsed="false">
      <c r="A3851" s="6" t="s">
        <v>9074</v>
      </c>
      <c r="B3851" s="6" t="s">
        <v>1521</v>
      </c>
      <c r="C3851" s="26" t="n">
        <v>46152</v>
      </c>
      <c r="D3851" s="6" t="s">
        <v>5167</v>
      </c>
      <c r="E3851" s="6" t="s">
        <v>22</v>
      </c>
      <c r="F3851" s="6" t="n">
        <v>1</v>
      </c>
      <c r="G3851" s="10" t="n">
        <v>782</v>
      </c>
      <c r="H3851" s="10" t="n">
        <f aca="false">F3851*G3851</f>
        <v>782</v>
      </c>
      <c r="I3851" s="6" t="s">
        <v>5133</v>
      </c>
    </row>
    <row r="3852" customFormat="false" ht="15" hidden="false" customHeight="false" outlineLevel="0" collapsed="false">
      <c r="A3852" s="6" t="s">
        <v>9075</v>
      </c>
      <c r="B3852" s="6" t="s">
        <v>5061</v>
      </c>
      <c r="C3852" s="26" t="n">
        <v>46152</v>
      </c>
      <c r="D3852" s="6" t="s">
        <v>5353</v>
      </c>
      <c r="E3852" s="6" t="s">
        <v>24</v>
      </c>
      <c r="F3852" s="6" t="n">
        <v>1</v>
      </c>
      <c r="G3852" s="10" t="n">
        <v>1548</v>
      </c>
      <c r="H3852" s="10" t="n">
        <f aca="false">F3852*G3852</f>
        <v>1548</v>
      </c>
      <c r="I3852" s="6" t="s">
        <v>5125</v>
      </c>
    </row>
    <row r="3853" customFormat="false" ht="15" hidden="false" customHeight="false" outlineLevel="0" collapsed="false">
      <c r="A3853" s="6" t="s">
        <v>9076</v>
      </c>
      <c r="B3853" s="6" t="s">
        <v>4877</v>
      </c>
      <c r="C3853" s="26" t="n">
        <v>46152</v>
      </c>
      <c r="D3853" s="6" t="s">
        <v>5216</v>
      </c>
      <c r="E3853" s="6" t="s">
        <v>23</v>
      </c>
      <c r="F3853" s="6" t="n">
        <v>2</v>
      </c>
      <c r="G3853" s="10" t="n">
        <v>587</v>
      </c>
      <c r="H3853" s="10" t="n">
        <f aca="false">F3853*G3853</f>
        <v>1174</v>
      </c>
      <c r="I3853" s="6" t="s">
        <v>5122</v>
      </c>
    </row>
    <row r="3854" customFormat="false" ht="15" hidden="false" customHeight="false" outlineLevel="0" collapsed="false">
      <c r="A3854" s="6" t="s">
        <v>9077</v>
      </c>
      <c r="B3854" s="6" t="s">
        <v>3187</v>
      </c>
      <c r="C3854" s="26" t="n">
        <v>46152</v>
      </c>
      <c r="D3854" s="6" t="s">
        <v>5202</v>
      </c>
      <c r="E3854" s="6" t="s">
        <v>23</v>
      </c>
      <c r="F3854" s="6" t="n">
        <v>4</v>
      </c>
      <c r="G3854" s="10" t="n">
        <v>245</v>
      </c>
      <c r="H3854" s="10" t="n">
        <f aca="false">F3854*G3854</f>
        <v>980</v>
      </c>
      <c r="I3854" s="6" t="s">
        <v>5122</v>
      </c>
    </row>
    <row r="3855" customFormat="false" ht="15" hidden="false" customHeight="false" outlineLevel="0" collapsed="false">
      <c r="A3855" s="6" t="s">
        <v>9078</v>
      </c>
      <c r="B3855" s="6" t="s">
        <v>1933</v>
      </c>
      <c r="C3855" s="26" t="n">
        <v>46152</v>
      </c>
      <c r="D3855" s="6" t="s">
        <v>5135</v>
      </c>
      <c r="E3855" s="6" t="s">
        <v>23</v>
      </c>
      <c r="F3855" s="6" t="n">
        <v>3</v>
      </c>
      <c r="G3855" s="10" t="n">
        <v>441</v>
      </c>
      <c r="H3855" s="10" t="n">
        <f aca="false">F3855*G3855</f>
        <v>1323</v>
      </c>
      <c r="I3855" s="6" t="s">
        <v>5148</v>
      </c>
    </row>
    <row r="3856" customFormat="false" ht="15" hidden="false" customHeight="false" outlineLevel="0" collapsed="false">
      <c r="A3856" s="6" t="s">
        <v>9079</v>
      </c>
      <c r="B3856" s="6" t="s">
        <v>1507</v>
      </c>
      <c r="C3856" s="26" t="n">
        <v>46152</v>
      </c>
      <c r="D3856" s="6" t="s">
        <v>5522</v>
      </c>
      <c r="E3856" s="6" t="s">
        <v>21</v>
      </c>
      <c r="F3856" s="6" t="n">
        <v>1</v>
      </c>
      <c r="G3856" s="10" t="n">
        <v>12777</v>
      </c>
      <c r="H3856" s="10" t="n">
        <f aca="false">F3856*G3856</f>
        <v>12777</v>
      </c>
      <c r="I3856" s="6" t="s">
        <v>5130</v>
      </c>
    </row>
    <row r="3857" customFormat="false" ht="15" hidden="false" customHeight="false" outlineLevel="0" collapsed="false">
      <c r="A3857" s="6" t="s">
        <v>9080</v>
      </c>
      <c r="B3857" s="6" t="s">
        <v>2481</v>
      </c>
      <c r="C3857" s="26" t="n">
        <v>46152</v>
      </c>
      <c r="D3857" s="6" t="s">
        <v>5357</v>
      </c>
      <c r="E3857" s="6" t="s">
        <v>23</v>
      </c>
      <c r="F3857" s="6" t="n">
        <v>4</v>
      </c>
      <c r="G3857" s="10" t="n">
        <v>481</v>
      </c>
      <c r="H3857" s="10" t="n">
        <f aca="false">F3857*G3857</f>
        <v>1924</v>
      </c>
      <c r="I3857" s="6" t="s">
        <v>5148</v>
      </c>
    </row>
    <row r="3858" customFormat="false" ht="15" hidden="false" customHeight="false" outlineLevel="0" collapsed="false">
      <c r="A3858" s="6" t="s">
        <v>9081</v>
      </c>
      <c r="B3858" s="6" t="s">
        <v>2167</v>
      </c>
      <c r="C3858" s="26" t="n">
        <v>46152</v>
      </c>
      <c r="D3858" s="6" t="s">
        <v>5171</v>
      </c>
      <c r="E3858" s="6" t="s">
        <v>23</v>
      </c>
      <c r="F3858" s="6" t="n">
        <v>3</v>
      </c>
      <c r="G3858" s="10" t="n">
        <v>734</v>
      </c>
      <c r="H3858" s="10" t="n">
        <f aca="false">F3858*G3858</f>
        <v>2202</v>
      </c>
      <c r="I3858" s="6" t="s">
        <v>5122</v>
      </c>
    </row>
    <row r="3859" customFormat="false" ht="15" hidden="false" customHeight="false" outlineLevel="0" collapsed="false">
      <c r="A3859" s="6" t="s">
        <v>9082</v>
      </c>
      <c r="B3859" s="6" t="s">
        <v>4747</v>
      </c>
      <c r="C3859" s="26" t="n">
        <v>46152</v>
      </c>
      <c r="D3859" s="6" t="s">
        <v>5127</v>
      </c>
      <c r="E3859" s="6" t="s">
        <v>21</v>
      </c>
      <c r="F3859" s="6" t="n">
        <v>2</v>
      </c>
      <c r="G3859" s="10" t="n">
        <v>884</v>
      </c>
      <c r="H3859" s="10" t="n">
        <f aca="false">F3859*G3859</f>
        <v>1768</v>
      </c>
      <c r="I3859" s="6" t="s">
        <v>5148</v>
      </c>
    </row>
    <row r="3860" customFormat="false" ht="15" hidden="false" customHeight="false" outlineLevel="0" collapsed="false">
      <c r="A3860" s="6" t="s">
        <v>9083</v>
      </c>
      <c r="B3860" s="6" t="s">
        <v>3675</v>
      </c>
      <c r="C3860" s="26" t="n">
        <v>46152</v>
      </c>
      <c r="D3860" s="6" t="s">
        <v>5214</v>
      </c>
      <c r="E3860" s="6" t="s">
        <v>20</v>
      </c>
      <c r="F3860" s="6" t="n">
        <v>1</v>
      </c>
      <c r="G3860" s="10" t="n">
        <v>2039</v>
      </c>
      <c r="H3860" s="10" t="n">
        <f aca="false">F3860*G3860</f>
        <v>2039</v>
      </c>
      <c r="I3860" s="6" t="s">
        <v>5173</v>
      </c>
    </row>
    <row r="3861" customFormat="false" ht="15" hidden="false" customHeight="false" outlineLevel="0" collapsed="false">
      <c r="A3861" s="6" t="s">
        <v>9084</v>
      </c>
      <c r="B3861" s="6" t="s">
        <v>3663</v>
      </c>
      <c r="C3861" s="26" t="n">
        <v>46152</v>
      </c>
      <c r="D3861" s="6" t="s">
        <v>5169</v>
      </c>
      <c r="E3861" s="6" t="s">
        <v>20</v>
      </c>
      <c r="F3861" s="6" t="n">
        <v>2</v>
      </c>
      <c r="G3861" s="10" t="n">
        <v>4588</v>
      </c>
      <c r="H3861" s="10" t="n">
        <f aca="false">F3861*G3861</f>
        <v>9176</v>
      </c>
      <c r="I3861" s="6" t="s">
        <v>5130</v>
      </c>
    </row>
    <row r="3862" customFormat="false" ht="15" hidden="false" customHeight="false" outlineLevel="0" collapsed="false">
      <c r="A3862" s="6" t="s">
        <v>9085</v>
      </c>
      <c r="B3862" s="6" t="s">
        <v>3875</v>
      </c>
      <c r="C3862" s="26" t="n">
        <v>46152</v>
      </c>
      <c r="D3862" s="6" t="s">
        <v>5145</v>
      </c>
      <c r="E3862" s="6" t="s">
        <v>21</v>
      </c>
      <c r="F3862" s="6" t="n">
        <v>1</v>
      </c>
      <c r="G3862" s="10" t="n">
        <v>1277</v>
      </c>
      <c r="H3862" s="10" t="n">
        <f aca="false">F3862*G3862</f>
        <v>1277</v>
      </c>
      <c r="I3862" s="6" t="s">
        <v>5130</v>
      </c>
    </row>
    <row r="3863" customFormat="false" ht="15" hidden="false" customHeight="false" outlineLevel="0" collapsed="false">
      <c r="A3863" s="6" t="s">
        <v>9086</v>
      </c>
      <c r="B3863" s="6" t="s">
        <v>1991</v>
      </c>
      <c r="C3863" s="26" t="n">
        <v>46152</v>
      </c>
      <c r="D3863" s="6" t="s">
        <v>5458</v>
      </c>
      <c r="E3863" s="6" t="s">
        <v>24</v>
      </c>
      <c r="F3863" s="6" t="n">
        <v>3</v>
      </c>
      <c r="G3863" s="10" t="n">
        <v>531</v>
      </c>
      <c r="H3863" s="10" t="n">
        <f aca="false">F3863*G3863</f>
        <v>1593</v>
      </c>
      <c r="I3863" s="6" t="s">
        <v>5148</v>
      </c>
    </row>
    <row r="3864" customFormat="false" ht="15" hidden="false" customHeight="false" outlineLevel="0" collapsed="false">
      <c r="A3864" s="6" t="s">
        <v>9087</v>
      </c>
      <c r="B3864" s="6" t="s">
        <v>2415</v>
      </c>
      <c r="C3864" s="26" t="n">
        <v>46152</v>
      </c>
      <c r="D3864" s="6" t="s">
        <v>5129</v>
      </c>
      <c r="E3864" s="6" t="s">
        <v>21</v>
      </c>
      <c r="F3864" s="6" t="n">
        <v>2</v>
      </c>
      <c r="G3864" s="10" t="n">
        <v>530</v>
      </c>
      <c r="H3864" s="10" t="n">
        <f aca="false">F3864*G3864</f>
        <v>1060</v>
      </c>
      <c r="I3864" s="6" t="s">
        <v>5122</v>
      </c>
    </row>
    <row r="3865" customFormat="false" ht="15" hidden="false" customHeight="false" outlineLevel="0" collapsed="false">
      <c r="A3865" s="6" t="s">
        <v>9088</v>
      </c>
      <c r="B3865" s="6" t="s">
        <v>3179</v>
      </c>
      <c r="C3865" s="26" t="n">
        <v>46152</v>
      </c>
      <c r="D3865" s="6" t="s">
        <v>5318</v>
      </c>
      <c r="E3865" s="6" t="s">
        <v>20</v>
      </c>
      <c r="F3865" s="6" t="n">
        <v>1</v>
      </c>
      <c r="G3865" s="10" t="n">
        <v>1452</v>
      </c>
      <c r="H3865" s="10" t="n">
        <f aca="false">F3865*G3865</f>
        <v>1452</v>
      </c>
      <c r="I3865" s="6" t="s">
        <v>5148</v>
      </c>
    </row>
    <row r="3866" customFormat="false" ht="15" hidden="false" customHeight="false" outlineLevel="0" collapsed="false">
      <c r="A3866" s="6" t="s">
        <v>9089</v>
      </c>
      <c r="B3866" s="6" t="s">
        <v>1333</v>
      </c>
      <c r="C3866" s="26" t="n">
        <v>46152</v>
      </c>
      <c r="D3866" s="6" t="s">
        <v>5357</v>
      </c>
      <c r="E3866" s="6" t="s">
        <v>23</v>
      </c>
      <c r="F3866" s="6" t="n">
        <v>1</v>
      </c>
      <c r="G3866" s="10" t="n">
        <v>533</v>
      </c>
      <c r="H3866" s="10" t="n">
        <f aca="false">F3866*G3866</f>
        <v>533</v>
      </c>
      <c r="I3866" s="6" t="s">
        <v>5130</v>
      </c>
    </row>
    <row r="3867" customFormat="false" ht="15" hidden="false" customHeight="false" outlineLevel="0" collapsed="false">
      <c r="A3867" s="6" t="s">
        <v>9090</v>
      </c>
      <c r="B3867" s="6" t="s">
        <v>2811</v>
      </c>
      <c r="C3867" s="26" t="n">
        <v>46152</v>
      </c>
      <c r="D3867" s="6" t="s">
        <v>5163</v>
      </c>
      <c r="E3867" s="6" t="s">
        <v>23</v>
      </c>
      <c r="F3867" s="6" t="n">
        <v>5</v>
      </c>
      <c r="G3867" s="10" t="n">
        <v>783</v>
      </c>
      <c r="H3867" s="10" t="n">
        <f aca="false">F3867*G3867</f>
        <v>3915</v>
      </c>
      <c r="I3867" s="6" t="s">
        <v>5122</v>
      </c>
    </row>
    <row r="3868" customFormat="false" ht="15" hidden="false" customHeight="false" outlineLevel="0" collapsed="false">
      <c r="A3868" s="6" t="s">
        <v>9091</v>
      </c>
      <c r="B3868" s="6" t="s">
        <v>4787</v>
      </c>
      <c r="C3868" s="26" t="n">
        <v>46152</v>
      </c>
      <c r="D3868" s="6" t="s">
        <v>5165</v>
      </c>
      <c r="E3868" s="6" t="s">
        <v>22</v>
      </c>
      <c r="F3868" s="6" t="n">
        <v>1</v>
      </c>
      <c r="G3868" s="10" t="n">
        <v>880</v>
      </c>
      <c r="H3868" s="10" t="n">
        <f aca="false">F3868*G3868</f>
        <v>880</v>
      </c>
      <c r="I3868" s="6" t="s">
        <v>5122</v>
      </c>
    </row>
    <row r="3869" customFormat="false" ht="15" hidden="false" customHeight="false" outlineLevel="0" collapsed="false">
      <c r="A3869" s="6" t="s">
        <v>9092</v>
      </c>
      <c r="B3869" s="6" t="s">
        <v>2879</v>
      </c>
      <c r="C3869" s="26" t="n">
        <v>46152</v>
      </c>
      <c r="D3869" s="6" t="s">
        <v>5163</v>
      </c>
      <c r="E3869" s="6" t="s">
        <v>23</v>
      </c>
      <c r="F3869" s="6" t="n">
        <v>5</v>
      </c>
      <c r="G3869" s="10" t="n">
        <v>783</v>
      </c>
      <c r="H3869" s="10" t="n">
        <f aca="false">F3869*G3869</f>
        <v>3915</v>
      </c>
      <c r="I3869" s="6" t="s">
        <v>5130</v>
      </c>
    </row>
    <row r="3870" customFormat="false" ht="15" hidden="false" customHeight="false" outlineLevel="0" collapsed="false">
      <c r="A3870" s="6" t="s">
        <v>9093</v>
      </c>
      <c r="B3870" s="6" t="s">
        <v>2011</v>
      </c>
      <c r="C3870" s="26" t="n">
        <v>46152</v>
      </c>
      <c r="D3870" s="6" t="s">
        <v>7185</v>
      </c>
      <c r="E3870" s="6" t="s">
        <v>22</v>
      </c>
      <c r="F3870" s="6" t="n">
        <v>1</v>
      </c>
      <c r="G3870" s="10" t="n">
        <v>2597</v>
      </c>
      <c r="H3870" s="10" t="n">
        <f aca="false">F3870*G3870</f>
        <v>2597</v>
      </c>
      <c r="I3870" s="6" t="s">
        <v>5148</v>
      </c>
    </row>
    <row r="3871" customFormat="false" ht="15" hidden="false" customHeight="false" outlineLevel="0" collapsed="false">
      <c r="A3871" s="6" t="s">
        <v>9094</v>
      </c>
      <c r="B3871" s="6" t="s">
        <v>3947</v>
      </c>
      <c r="C3871" s="26" t="n">
        <v>46152</v>
      </c>
      <c r="D3871" s="6" t="s">
        <v>5197</v>
      </c>
      <c r="E3871" s="6" t="s">
        <v>21</v>
      </c>
      <c r="F3871" s="6" t="n">
        <v>1</v>
      </c>
      <c r="G3871" s="10" t="n">
        <v>1080</v>
      </c>
      <c r="H3871" s="10" t="n">
        <f aca="false">F3871*G3871</f>
        <v>1080</v>
      </c>
      <c r="I3871" s="6" t="s">
        <v>5125</v>
      </c>
    </row>
    <row r="3872" customFormat="false" ht="15" hidden="false" customHeight="false" outlineLevel="0" collapsed="false">
      <c r="A3872" s="6" t="s">
        <v>9095</v>
      </c>
      <c r="B3872" s="6" t="s">
        <v>2183</v>
      </c>
      <c r="C3872" s="26" t="n">
        <v>46152</v>
      </c>
      <c r="D3872" s="6" t="s">
        <v>5357</v>
      </c>
      <c r="E3872" s="6" t="s">
        <v>23</v>
      </c>
      <c r="F3872" s="6" t="n">
        <v>2</v>
      </c>
      <c r="G3872" s="10" t="n">
        <v>534</v>
      </c>
      <c r="H3872" s="10" t="n">
        <f aca="false">F3872*G3872</f>
        <v>1068</v>
      </c>
      <c r="I3872" s="6" t="s">
        <v>5148</v>
      </c>
    </row>
    <row r="3873" customFormat="false" ht="15" hidden="false" customHeight="false" outlineLevel="0" collapsed="false">
      <c r="A3873" s="6" t="s">
        <v>9096</v>
      </c>
      <c r="B3873" s="6" t="s">
        <v>1355</v>
      </c>
      <c r="C3873" s="26" t="n">
        <v>46152</v>
      </c>
      <c r="D3873" s="6" t="s">
        <v>5150</v>
      </c>
      <c r="E3873" s="6" t="s">
        <v>24</v>
      </c>
      <c r="F3873" s="6" t="n">
        <v>2</v>
      </c>
      <c r="G3873" s="10" t="n">
        <v>508</v>
      </c>
      <c r="H3873" s="10" t="n">
        <f aca="false">F3873*G3873</f>
        <v>1016</v>
      </c>
      <c r="I3873" s="6" t="s">
        <v>5125</v>
      </c>
    </row>
    <row r="3874" customFormat="false" ht="15" hidden="false" customHeight="false" outlineLevel="0" collapsed="false">
      <c r="A3874" s="6" t="s">
        <v>9097</v>
      </c>
      <c r="B3874" s="6" t="s">
        <v>4793</v>
      </c>
      <c r="C3874" s="26" t="n">
        <v>46152</v>
      </c>
      <c r="D3874" s="6" t="s">
        <v>5156</v>
      </c>
      <c r="E3874" s="6" t="s">
        <v>21</v>
      </c>
      <c r="F3874" s="6" t="n">
        <v>3</v>
      </c>
      <c r="G3874" s="10" t="n">
        <v>2161</v>
      </c>
      <c r="H3874" s="10" t="n">
        <f aca="false">F3874*G3874</f>
        <v>6483</v>
      </c>
      <c r="I3874" s="6" t="s">
        <v>5122</v>
      </c>
    </row>
    <row r="3875" customFormat="false" ht="15" hidden="false" customHeight="false" outlineLevel="0" collapsed="false">
      <c r="A3875" s="6" t="s">
        <v>9098</v>
      </c>
      <c r="B3875" s="6" t="s">
        <v>4531</v>
      </c>
      <c r="C3875" s="26" t="n">
        <v>46152</v>
      </c>
      <c r="D3875" s="6" t="s">
        <v>5561</v>
      </c>
      <c r="E3875" s="6" t="s">
        <v>20</v>
      </c>
      <c r="F3875" s="6" t="n">
        <v>1</v>
      </c>
      <c r="G3875" s="10" t="n">
        <v>3028</v>
      </c>
      <c r="H3875" s="10" t="n">
        <f aca="false">F3875*G3875</f>
        <v>3028</v>
      </c>
      <c r="I3875" s="6" t="s">
        <v>5148</v>
      </c>
    </row>
    <row r="3876" customFormat="false" ht="15" hidden="false" customHeight="false" outlineLevel="0" collapsed="false">
      <c r="A3876" s="6" t="s">
        <v>9099</v>
      </c>
      <c r="B3876" s="6" t="s">
        <v>4617</v>
      </c>
      <c r="C3876" s="26" t="n">
        <v>46153</v>
      </c>
      <c r="D3876" s="6" t="s">
        <v>5561</v>
      </c>
      <c r="E3876" s="6" t="s">
        <v>20</v>
      </c>
      <c r="F3876" s="6" t="n">
        <v>1</v>
      </c>
      <c r="G3876" s="10" t="n">
        <v>3028</v>
      </c>
      <c r="H3876" s="10" t="n">
        <f aca="false">F3876*G3876</f>
        <v>3028</v>
      </c>
      <c r="I3876" s="6" t="s">
        <v>5122</v>
      </c>
    </row>
    <row r="3877" customFormat="false" ht="15" hidden="false" customHeight="false" outlineLevel="0" collapsed="false">
      <c r="A3877" s="6" t="s">
        <v>9100</v>
      </c>
      <c r="B3877" s="6" t="s">
        <v>3153</v>
      </c>
      <c r="C3877" s="26" t="n">
        <v>46153</v>
      </c>
      <c r="D3877" s="6" t="s">
        <v>5182</v>
      </c>
      <c r="E3877" s="6" t="s">
        <v>23</v>
      </c>
      <c r="F3877" s="6" t="n">
        <v>1</v>
      </c>
      <c r="G3877" s="10" t="n">
        <v>367</v>
      </c>
      <c r="H3877" s="10" t="n">
        <f aca="false">F3877*G3877</f>
        <v>367</v>
      </c>
      <c r="I3877" s="6" t="s">
        <v>5122</v>
      </c>
    </row>
    <row r="3878" customFormat="false" ht="15" hidden="false" customHeight="false" outlineLevel="0" collapsed="false">
      <c r="A3878" s="6" t="s">
        <v>9101</v>
      </c>
      <c r="B3878" s="6" t="s">
        <v>3121</v>
      </c>
      <c r="C3878" s="26" t="n">
        <v>46153</v>
      </c>
      <c r="D3878" s="6" t="s">
        <v>5163</v>
      </c>
      <c r="E3878" s="6" t="s">
        <v>23</v>
      </c>
      <c r="F3878" s="6" t="n">
        <v>3</v>
      </c>
      <c r="G3878" s="10" t="n">
        <v>783</v>
      </c>
      <c r="H3878" s="10" t="n">
        <f aca="false">F3878*G3878</f>
        <v>2349</v>
      </c>
      <c r="I3878" s="6" t="s">
        <v>5122</v>
      </c>
    </row>
    <row r="3879" customFormat="false" ht="15" hidden="false" customHeight="false" outlineLevel="0" collapsed="false">
      <c r="A3879" s="6" t="s">
        <v>9102</v>
      </c>
      <c r="B3879" s="6" t="s">
        <v>3901</v>
      </c>
      <c r="C3879" s="26" t="n">
        <v>46153</v>
      </c>
      <c r="D3879" s="6" t="s">
        <v>5192</v>
      </c>
      <c r="E3879" s="6" t="s">
        <v>20</v>
      </c>
      <c r="F3879" s="6" t="n">
        <v>1</v>
      </c>
      <c r="G3879" s="10" t="n">
        <v>3670</v>
      </c>
      <c r="H3879" s="10" t="n">
        <f aca="false">F3879*G3879</f>
        <v>3670</v>
      </c>
      <c r="I3879" s="6" t="s">
        <v>5148</v>
      </c>
    </row>
    <row r="3880" customFormat="false" ht="15" hidden="false" customHeight="false" outlineLevel="0" collapsed="false">
      <c r="A3880" s="6" t="s">
        <v>9103</v>
      </c>
      <c r="B3880" s="6" t="s">
        <v>182</v>
      </c>
      <c r="C3880" s="26" t="n">
        <v>46153</v>
      </c>
      <c r="D3880" s="6" t="s">
        <v>5357</v>
      </c>
      <c r="E3880" s="6" t="s">
        <v>23</v>
      </c>
      <c r="F3880" s="6" t="n">
        <v>2</v>
      </c>
      <c r="G3880" s="10" t="n">
        <v>534</v>
      </c>
      <c r="H3880" s="10" t="n">
        <f aca="false">F3880*G3880</f>
        <v>1068</v>
      </c>
      <c r="I3880" s="6" t="s">
        <v>5133</v>
      </c>
    </row>
    <row r="3881" customFormat="false" ht="15" hidden="false" customHeight="false" outlineLevel="0" collapsed="false">
      <c r="A3881" s="6" t="s">
        <v>9104</v>
      </c>
      <c r="B3881" s="6" t="s">
        <v>2917</v>
      </c>
      <c r="C3881" s="26" t="n">
        <v>46153</v>
      </c>
      <c r="D3881" s="6" t="s">
        <v>5269</v>
      </c>
      <c r="E3881" s="6" t="s">
        <v>22</v>
      </c>
      <c r="F3881" s="6" t="n">
        <v>2</v>
      </c>
      <c r="G3881" s="10" t="n">
        <v>1271</v>
      </c>
      <c r="H3881" s="10" t="n">
        <f aca="false">F3881*G3881</f>
        <v>2542</v>
      </c>
      <c r="I3881" s="6" t="s">
        <v>5122</v>
      </c>
    </row>
    <row r="3882" customFormat="false" ht="15" hidden="false" customHeight="false" outlineLevel="0" collapsed="false">
      <c r="A3882" s="6" t="s">
        <v>9105</v>
      </c>
      <c r="B3882" s="6" t="s">
        <v>2599</v>
      </c>
      <c r="C3882" s="26" t="n">
        <v>46153</v>
      </c>
      <c r="D3882" s="6" t="s">
        <v>5121</v>
      </c>
      <c r="E3882" s="6" t="s">
        <v>22</v>
      </c>
      <c r="F3882" s="6" t="n">
        <v>1</v>
      </c>
      <c r="G3882" s="10" t="n">
        <v>928</v>
      </c>
      <c r="H3882" s="10" t="n">
        <f aca="false">F3882*G3882</f>
        <v>928</v>
      </c>
      <c r="I3882" s="6" t="s">
        <v>5148</v>
      </c>
    </row>
    <row r="3883" customFormat="false" ht="15" hidden="false" customHeight="false" outlineLevel="0" collapsed="false">
      <c r="A3883" s="6" t="s">
        <v>9106</v>
      </c>
      <c r="B3883" s="6" t="s">
        <v>1919</v>
      </c>
      <c r="C3883" s="26" t="n">
        <v>46153</v>
      </c>
      <c r="D3883" s="6" t="s">
        <v>5313</v>
      </c>
      <c r="E3883" s="6" t="s">
        <v>22</v>
      </c>
      <c r="F3883" s="6" t="n">
        <v>3</v>
      </c>
      <c r="G3883" s="10" t="n">
        <v>1584</v>
      </c>
      <c r="H3883" s="10" t="n">
        <f aca="false">F3883*G3883</f>
        <v>4752</v>
      </c>
      <c r="I3883" s="6" t="s">
        <v>5130</v>
      </c>
    </row>
    <row r="3884" customFormat="false" ht="15" hidden="false" customHeight="false" outlineLevel="0" collapsed="false">
      <c r="A3884" s="6" t="s">
        <v>9107</v>
      </c>
      <c r="B3884" s="6" t="s">
        <v>793</v>
      </c>
      <c r="C3884" s="26" t="n">
        <v>46153</v>
      </c>
      <c r="D3884" s="6" t="s">
        <v>5167</v>
      </c>
      <c r="E3884" s="6" t="s">
        <v>22</v>
      </c>
      <c r="F3884" s="6" t="n">
        <v>1</v>
      </c>
      <c r="G3884" s="10" t="n">
        <v>782</v>
      </c>
      <c r="H3884" s="10" t="n">
        <f aca="false">F3884*G3884</f>
        <v>782</v>
      </c>
      <c r="I3884" s="6" t="s">
        <v>5125</v>
      </c>
    </row>
    <row r="3885" customFormat="false" ht="15" hidden="false" customHeight="false" outlineLevel="0" collapsed="false">
      <c r="A3885" s="6" t="s">
        <v>9108</v>
      </c>
      <c r="B3885" s="6" t="s">
        <v>4769</v>
      </c>
      <c r="C3885" s="26" t="n">
        <v>46153</v>
      </c>
      <c r="D3885" s="6" t="s">
        <v>5488</v>
      </c>
      <c r="E3885" s="6" t="s">
        <v>24</v>
      </c>
      <c r="F3885" s="6" t="n">
        <v>2</v>
      </c>
      <c r="G3885" s="10" t="n">
        <v>823</v>
      </c>
      <c r="H3885" s="10" t="n">
        <f aca="false">F3885*G3885</f>
        <v>1646</v>
      </c>
      <c r="I3885" s="6" t="s">
        <v>5130</v>
      </c>
    </row>
    <row r="3886" customFormat="false" ht="15" hidden="false" customHeight="false" outlineLevel="0" collapsed="false">
      <c r="A3886" s="6" t="s">
        <v>9109</v>
      </c>
      <c r="B3886" s="6" t="s">
        <v>3791</v>
      </c>
      <c r="C3886" s="26" t="n">
        <v>46153</v>
      </c>
      <c r="D3886" s="6" t="s">
        <v>5135</v>
      </c>
      <c r="E3886" s="6" t="s">
        <v>23</v>
      </c>
      <c r="F3886" s="6" t="n">
        <v>3</v>
      </c>
      <c r="G3886" s="10" t="n">
        <v>441</v>
      </c>
      <c r="H3886" s="10" t="n">
        <f aca="false">F3886*G3886</f>
        <v>1323</v>
      </c>
      <c r="I3886" s="6" t="s">
        <v>5148</v>
      </c>
    </row>
    <row r="3887" customFormat="false" ht="15" hidden="false" customHeight="false" outlineLevel="0" collapsed="false">
      <c r="A3887" s="6" t="s">
        <v>9110</v>
      </c>
      <c r="B3887" s="6" t="s">
        <v>1447</v>
      </c>
      <c r="C3887" s="26" t="n">
        <v>46153</v>
      </c>
      <c r="D3887" s="6" t="s">
        <v>5240</v>
      </c>
      <c r="E3887" s="6" t="s">
        <v>20</v>
      </c>
      <c r="F3887" s="6" t="n">
        <v>1</v>
      </c>
      <c r="G3887" s="10" t="n">
        <v>5098</v>
      </c>
      <c r="H3887" s="10" t="n">
        <f aca="false">F3887*G3887</f>
        <v>5098</v>
      </c>
      <c r="I3887" s="6" t="s">
        <v>5148</v>
      </c>
    </row>
    <row r="3888" customFormat="false" ht="15" hidden="false" customHeight="false" outlineLevel="0" collapsed="false">
      <c r="A3888" s="6" t="s">
        <v>9111</v>
      </c>
      <c r="B3888" s="6" t="s">
        <v>4355</v>
      </c>
      <c r="C3888" s="26" t="n">
        <v>46153</v>
      </c>
      <c r="D3888" s="6" t="s">
        <v>5163</v>
      </c>
      <c r="E3888" s="6" t="s">
        <v>23</v>
      </c>
      <c r="F3888" s="6" t="n">
        <v>4</v>
      </c>
      <c r="G3888" s="10" t="n">
        <v>783</v>
      </c>
      <c r="H3888" s="10" t="n">
        <f aca="false">F3888*G3888</f>
        <v>3132</v>
      </c>
      <c r="I3888" s="6" t="s">
        <v>5122</v>
      </c>
    </row>
    <row r="3889" customFormat="false" ht="15" hidden="false" customHeight="false" outlineLevel="0" collapsed="false">
      <c r="A3889" s="6" t="s">
        <v>9112</v>
      </c>
      <c r="B3889" s="6" t="s">
        <v>4215</v>
      </c>
      <c r="C3889" s="26" t="n">
        <v>46153</v>
      </c>
      <c r="D3889" s="6" t="s">
        <v>5163</v>
      </c>
      <c r="E3889" s="6" t="s">
        <v>23</v>
      </c>
      <c r="F3889" s="6" t="n">
        <v>1</v>
      </c>
      <c r="G3889" s="10" t="n">
        <v>783</v>
      </c>
      <c r="H3889" s="10" t="n">
        <f aca="false">F3889*G3889</f>
        <v>783</v>
      </c>
      <c r="I3889" s="6" t="s">
        <v>5122</v>
      </c>
    </row>
    <row r="3890" customFormat="false" ht="15" hidden="false" customHeight="false" outlineLevel="0" collapsed="false">
      <c r="A3890" s="6" t="s">
        <v>9113</v>
      </c>
      <c r="B3890" s="6" t="s">
        <v>1945</v>
      </c>
      <c r="C3890" s="26" t="n">
        <v>46153</v>
      </c>
      <c r="D3890" s="6" t="s">
        <v>5226</v>
      </c>
      <c r="E3890" s="6" t="s">
        <v>24</v>
      </c>
      <c r="F3890" s="6" t="n">
        <v>1</v>
      </c>
      <c r="G3890" s="10" t="n">
        <v>435</v>
      </c>
      <c r="H3890" s="10" t="n">
        <f aca="false">F3890*G3890</f>
        <v>435</v>
      </c>
      <c r="I3890" s="6" t="s">
        <v>5148</v>
      </c>
    </row>
    <row r="3891" customFormat="false" ht="15" hidden="false" customHeight="false" outlineLevel="0" collapsed="false">
      <c r="A3891" s="6" t="s">
        <v>9114</v>
      </c>
      <c r="B3891" s="6" t="s">
        <v>4713</v>
      </c>
      <c r="C3891" s="26" t="n">
        <v>46153</v>
      </c>
      <c r="D3891" s="6" t="s">
        <v>5165</v>
      </c>
      <c r="E3891" s="6" t="s">
        <v>22</v>
      </c>
      <c r="F3891" s="6" t="n">
        <v>2</v>
      </c>
      <c r="G3891" s="10" t="n">
        <v>977</v>
      </c>
      <c r="H3891" s="10" t="n">
        <f aca="false">F3891*G3891</f>
        <v>1954</v>
      </c>
      <c r="I3891" s="6" t="s">
        <v>5148</v>
      </c>
    </row>
    <row r="3892" customFormat="false" ht="15" hidden="false" customHeight="false" outlineLevel="0" collapsed="false">
      <c r="A3892" s="6" t="s">
        <v>9115</v>
      </c>
      <c r="B3892" s="6" t="s">
        <v>3675</v>
      </c>
      <c r="C3892" s="26" t="n">
        <v>46153</v>
      </c>
      <c r="D3892" s="6" t="s">
        <v>5242</v>
      </c>
      <c r="E3892" s="6" t="s">
        <v>23</v>
      </c>
      <c r="F3892" s="6" t="n">
        <v>3</v>
      </c>
      <c r="G3892" s="10" t="n">
        <v>354</v>
      </c>
      <c r="H3892" s="10" t="n">
        <f aca="false">F3892*G3892</f>
        <v>1062</v>
      </c>
      <c r="I3892" s="6" t="s">
        <v>5125</v>
      </c>
    </row>
    <row r="3893" customFormat="false" ht="15" hidden="false" customHeight="false" outlineLevel="0" collapsed="false">
      <c r="A3893" s="6" t="s">
        <v>9116</v>
      </c>
      <c r="B3893" s="6" t="s">
        <v>1257</v>
      </c>
      <c r="C3893" s="26" t="n">
        <v>46153</v>
      </c>
      <c r="D3893" s="6" t="s">
        <v>5242</v>
      </c>
      <c r="E3893" s="6" t="s">
        <v>23</v>
      </c>
      <c r="F3893" s="6" t="n">
        <v>1</v>
      </c>
      <c r="G3893" s="10" t="n">
        <v>372</v>
      </c>
      <c r="H3893" s="10" t="n">
        <f aca="false">F3893*G3893</f>
        <v>372</v>
      </c>
      <c r="I3893" s="6" t="s">
        <v>5130</v>
      </c>
    </row>
    <row r="3894" customFormat="false" ht="15" hidden="false" customHeight="false" outlineLevel="0" collapsed="false">
      <c r="A3894" s="6" t="s">
        <v>9117</v>
      </c>
      <c r="B3894" s="6" t="s">
        <v>673</v>
      </c>
      <c r="C3894" s="26" t="n">
        <v>46153</v>
      </c>
      <c r="D3894" s="6" t="s">
        <v>5180</v>
      </c>
      <c r="E3894" s="6" t="s">
        <v>24</v>
      </c>
      <c r="F3894" s="6" t="n">
        <v>3</v>
      </c>
      <c r="G3894" s="10" t="n">
        <v>1987</v>
      </c>
      <c r="H3894" s="10" t="n">
        <f aca="false">F3894*G3894</f>
        <v>5961</v>
      </c>
      <c r="I3894" s="6" t="s">
        <v>5122</v>
      </c>
    </row>
    <row r="3895" customFormat="false" ht="15" hidden="false" customHeight="false" outlineLevel="0" collapsed="false">
      <c r="A3895" s="6" t="s">
        <v>9118</v>
      </c>
      <c r="B3895" s="6" t="s">
        <v>1755</v>
      </c>
      <c r="C3895" s="26" t="n">
        <v>46153</v>
      </c>
      <c r="D3895" s="6" t="s">
        <v>5143</v>
      </c>
      <c r="E3895" s="6" t="s">
        <v>21</v>
      </c>
      <c r="F3895" s="6" t="n">
        <v>1</v>
      </c>
      <c r="G3895" s="10" t="n">
        <v>1061</v>
      </c>
      <c r="H3895" s="10" t="n">
        <f aca="false">F3895*G3895</f>
        <v>1061</v>
      </c>
      <c r="I3895" s="6" t="s">
        <v>5122</v>
      </c>
    </row>
    <row r="3896" customFormat="false" ht="15" hidden="false" customHeight="false" outlineLevel="0" collapsed="false">
      <c r="A3896" s="6" t="s">
        <v>9119</v>
      </c>
      <c r="B3896" s="6" t="s">
        <v>3199</v>
      </c>
      <c r="C3896" s="26" t="n">
        <v>46153</v>
      </c>
      <c r="D3896" s="6" t="s">
        <v>5353</v>
      </c>
      <c r="E3896" s="6" t="s">
        <v>24</v>
      </c>
      <c r="F3896" s="6" t="n">
        <v>1</v>
      </c>
      <c r="G3896" s="10" t="n">
        <v>1630</v>
      </c>
      <c r="H3896" s="10" t="n">
        <f aca="false">F3896*G3896</f>
        <v>1630</v>
      </c>
      <c r="I3896" s="6" t="s">
        <v>5125</v>
      </c>
    </row>
    <row r="3897" customFormat="false" ht="15" hidden="false" customHeight="false" outlineLevel="0" collapsed="false">
      <c r="A3897" s="6" t="s">
        <v>9120</v>
      </c>
      <c r="B3897" s="6" t="s">
        <v>1309</v>
      </c>
      <c r="C3897" s="26" t="n">
        <v>46153</v>
      </c>
      <c r="D3897" s="6" t="s">
        <v>5226</v>
      </c>
      <c r="E3897" s="6" t="s">
        <v>24</v>
      </c>
      <c r="F3897" s="6" t="n">
        <v>1</v>
      </c>
      <c r="G3897" s="10" t="n">
        <v>413</v>
      </c>
      <c r="H3897" s="10" t="n">
        <f aca="false">F3897*G3897</f>
        <v>413</v>
      </c>
      <c r="I3897" s="6" t="s">
        <v>5122</v>
      </c>
    </row>
    <row r="3898" customFormat="false" ht="15" hidden="false" customHeight="false" outlineLevel="0" collapsed="false">
      <c r="A3898" s="6" t="s">
        <v>9121</v>
      </c>
      <c r="B3898" s="6" t="s">
        <v>839</v>
      </c>
      <c r="C3898" s="26" t="n">
        <v>46153</v>
      </c>
      <c r="D3898" s="6" t="s">
        <v>5121</v>
      </c>
      <c r="E3898" s="6" t="s">
        <v>22</v>
      </c>
      <c r="F3898" s="6" t="n">
        <v>1</v>
      </c>
      <c r="G3898" s="10" t="n">
        <v>928</v>
      </c>
      <c r="H3898" s="10" t="n">
        <f aca="false">F3898*G3898</f>
        <v>928</v>
      </c>
      <c r="I3898" s="6" t="s">
        <v>5122</v>
      </c>
    </row>
    <row r="3899" customFormat="false" ht="15" hidden="false" customHeight="false" outlineLevel="0" collapsed="false">
      <c r="A3899" s="6" t="s">
        <v>9122</v>
      </c>
      <c r="B3899" s="6" t="s">
        <v>1587</v>
      </c>
      <c r="C3899" s="26" t="n">
        <v>46153</v>
      </c>
      <c r="D3899" s="6" t="s">
        <v>5466</v>
      </c>
      <c r="E3899" s="6" t="s">
        <v>21</v>
      </c>
      <c r="F3899" s="6" t="n">
        <v>1</v>
      </c>
      <c r="G3899" s="10" t="n">
        <v>1867</v>
      </c>
      <c r="H3899" s="10" t="n">
        <f aca="false">F3899*G3899</f>
        <v>1867</v>
      </c>
      <c r="I3899" s="6" t="s">
        <v>5173</v>
      </c>
    </row>
    <row r="3900" customFormat="false" ht="15" hidden="false" customHeight="false" outlineLevel="0" collapsed="false">
      <c r="A3900" s="6" t="s">
        <v>9123</v>
      </c>
      <c r="B3900" s="6" t="s">
        <v>2487</v>
      </c>
      <c r="C3900" s="26" t="n">
        <v>46153</v>
      </c>
      <c r="D3900" s="6" t="s">
        <v>5167</v>
      </c>
      <c r="E3900" s="6" t="s">
        <v>22</v>
      </c>
      <c r="F3900" s="6" t="n">
        <v>2</v>
      </c>
      <c r="G3900" s="10" t="n">
        <v>782</v>
      </c>
      <c r="H3900" s="10" t="n">
        <f aca="false">F3900*G3900</f>
        <v>1564</v>
      </c>
      <c r="I3900" s="6" t="s">
        <v>5122</v>
      </c>
    </row>
    <row r="3901" customFormat="false" ht="15" hidden="false" customHeight="false" outlineLevel="0" collapsed="false">
      <c r="A3901" s="6" t="s">
        <v>9124</v>
      </c>
      <c r="B3901" s="6" t="s">
        <v>1569</v>
      </c>
      <c r="C3901" s="26" t="n">
        <v>46153</v>
      </c>
      <c r="D3901" s="6" t="s">
        <v>5156</v>
      </c>
      <c r="E3901" s="6" t="s">
        <v>21</v>
      </c>
      <c r="F3901" s="6" t="n">
        <v>1</v>
      </c>
      <c r="G3901" s="10" t="n">
        <v>2161</v>
      </c>
      <c r="H3901" s="10" t="n">
        <f aca="false">F3901*G3901</f>
        <v>2161</v>
      </c>
      <c r="I3901" s="6" t="s">
        <v>5122</v>
      </c>
    </row>
    <row r="3902" customFormat="false" ht="15" hidden="false" customHeight="false" outlineLevel="0" collapsed="false">
      <c r="A3902" s="6" t="s">
        <v>9125</v>
      </c>
      <c r="B3902" s="6" t="s">
        <v>4899</v>
      </c>
      <c r="C3902" s="26" t="n">
        <v>46153</v>
      </c>
      <c r="D3902" s="6" t="s">
        <v>5237</v>
      </c>
      <c r="E3902" s="6" t="s">
        <v>24</v>
      </c>
      <c r="F3902" s="6" t="n">
        <v>1</v>
      </c>
      <c r="G3902" s="10" t="n">
        <v>1650</v>
      </c>
      <c r="H3902" s="10" t="n">
        <f aca="false">F3902*G3902</f>
        <v>1650</v>
      </c>
      <c r="I3902" s="6" t="s">
        <v>5148</v>
      </c>
    </row>
    <row r="3903" customFormat="false" ht="15" hidden="false" customHeight="false" outlineLevel="0" collapsed="false">
      <c r="A3903" s="6" t="s">
        <v>9126</v>
      </c>
      <c r="B3903" s="6" t="s">
        <v>4129</v>
      </c>
      <c r="C3903" s="26" t="n">
        <v>46153</v>
      </c>
      <c r="D3903" s="6" t="s">
        <v>5207</v>
      </c>
      <c r="E3903" s="6" t="s">
        <v>20</v>
      </c>
      <c r="F3903" s="6" t="n">
        <v>2</v>
      </c>
      <c r="G3903" s="10" t="n">
        <v>1325</v>
      </c>
      <c r="H3903" s="10" t="n">
        <f aca="false">F3903*G3903</f>
        <v>2650</v>
      </c>
      <c r="I3903" s="6" t="s">
        <v>5122</v>
      </c>
    </row>
    <row r="3904" customFormat="false" ht="15" hidden="false" customHeight="false" outlineLevel="0" collapsed="false">
      <c r="A3904" s="6" t="s">
        <v>9127</v>
      </c>
      <c r="B3904" s="6" t="s">
        <v>1673</v>
      </c>
      <c r="C3904" s="26" t="n">
        <v>46153</v>
      </c>
      <c r="D3904" s="6" t="s">
        <v>5165</v>
      </c>
      <c r="E3904" s="6" t="s">
        <v>22</v>
      </c>
      <c r="F3904" s="6" t="n">
        <v>2</v>
      </c>
      <c r="G3904" s="10" t="n">
        <v>977</v>
      </c>
      <c r="H3904" s="10" t="n">
        <f aca="false">F3904*G3904</f>
        <v>1954</v>
      </c>
      <c r="I3904" s="6" t="s">
        <v>5148</v>
      </c>
    </row>
    <row r="3905" customFormat="false" ht="15" hidden="false" customHeight="false" outlineLevel="0" collapsed="false">
      <c r="A3905" s="6" t="s">
        <v>9128</v>
      </c>
      <c r="B3905" s="6" t="s">
        <v>3133</v>
      </c>
      <c r="C3905" s="26" t="n">
        <v>46153</v>
      </c>
      <c r="D3905" s="6" t="s">
        <v>5182</v>
      </c>
      <c r="E3905" s="6" t="s">
        <v>23</v>
      </c>
      <c r="F3905" s="6" t="n">
        <v>3</v>
      </c>
      <c r="G3905" s="10" t="n">
        <v>331</v>
      </c>
      <c r="H3905" s="10" t="n">
        <f aca="false">F3905*G3905</f>
        <v>993</v>
      </c>
      <c r="I3905" s="6" t="s">
        <v>5148</v>
      </c>
    </row>
    <row r="3906" customFormat="false" ht="15" hidden="false" customHeight="false" outlineLevel="0" collapsed="false">
      <c r="A3906" s="6" t="s">
        <v>9129</v>
      </c>
      <c r="B3906" s="6" t="s">
        <v>1811</v>
      </c>
      <c r="C3906" s="26" t="n">
        <v>46153</v>
      </c>
      <c r="D3906" s="6" t="s">
        <v>5143</v>
      </c>
      <c r="E3906" s="6" t="s">
        <v>21</v>
      </c>
      <c r="F3906" s="6" t="n">
        <v>1</v>
      </c>
      <c r="G3906" s="10" t="n">
        <v>1061</v>
      </c>
      <c r="H3906" s="10" t="n">
        <f aca="false">F3906*G3906</f>
        <v>1061</v>
      </c>
      <c r="I3906" s="6" t="s">
        <v>5130</v>
      </c>
    </row>
    <row r="3907" customFormat="false" ht="15" hidden="false" customHeight="false" outlineLevel="0" collapsed="false">
      <c r="A3907" s="6" t="s">
        <v>9130</v>
      </c>
      <c r="B3907" s="6" t="s">
        <v>4171</v>
      </c>
      <c r="C3907" s="26" t="n">
        <v>46153</v>
      </c>
      <c r="D3907" s="6" t="s">
        <v>5167</v>
      </c>
      <c r="E3907" s="6" t="s">
        <v>22</v>
      </c>
      <c r="F3907" s="6" t="n">
        <v>2</v>
      </c>
      <c r="G3907" s="10" t="n">
        <v>743</v>
      </c>
      <c r="H3907" s="10" t="n">
        <f aca="false">F3907*G3907</f>
        <v>1486</v>
      </c>
      <c r="I3907" s="6" t="s">
        <v>5122</v>
      </c>
    </row>
    <row r="3908" customFormat="false" ht="15" hidden="false" customHeight="false" outlineLevel="0" collapsed="false">
      <c r="A3908" s="6" t="s">
        <v>9131</v>
      </c>
      <c r="B3908" s="6" t="s">
        <v>3439</v>
      </c>
      <c r="C3908" s="26" t="n">
        <v>46153</v>
      </c>
      <c r="D3908" s="6" t="s">
        <v>5171</v>
      </c>
      <c r="E3908" s="6" t="s">
        <v>23</v>
      </c>
      <c r="F3908" s="6" t="n">
        <v>5</v>
      </c>
      <c r="G3908" s="10" t="n">
        <v>697</v>
      </c>
      <c r="H3908" s="10" t="n">
        <f aca="false">F3908*G3908</f>
        <v>3485</v>
      </c>
      <c r="I3908" s="6" t="s">
        <v>5122</v>
      </c>
    </row>
    <row r="3909" customFormat="false" ht="15" hidden="false" customHeight="false" outlineLevel="0" collapsed="false">
      <c r="A3909" s="6" t="s">
        <v>9132</v>
      </c>
      <c r="B3909" s="6" t="s">
        <v>465</v>
      </c>
      <c r="C3909" s="26" t="n">
        <v>46153</v>
      </c>
      <c r="D3909" s="6" t="s">
        <v>5165</v>
      </c>
      <c r="E3909" s="6" t="s">
        <v>22</v>
      </c>
      <c r="F3909" s="6" t="n">
        <v>1</v>
      </c>
      <c r="G3909" s="10" t="n">
        <v>928</v>
      </c>
      <c r="H3909" s="10" t="n">
        <f aca="false">F3909*G3909</f>
        <v>928</v>
      </c>
      <c r="I3909" s="6" t="s">
        <v>5130</v>
      </c>
    </row>
    <row r="3910" customFormat="false" ht="15" hidden="false" customHeight="false" outlineLevel="0" collapsed="false">
      <c r="A3910" s="6" t="s">
        <v>9133</v>
      </c>
      <c r="B3910" s="6" t="s">
        <v>3315</v>
      </c>
      <c r="C3910" s="26" t="n">
        <v>46153</v>
      </c>
      <c r="D3910" s="6" t="s">
        <v>5303</v>
      </c>
      <c r="E3910" s="6" t="s">
        <v>22</v>
      </c>
      <c r="F3910" s="6" t="n">
        <v>2</v>
      </c>
      <c r="G3910" s="10" t="n">
        <v>2322</v>
      </c>
      <c r="H3910" s="10" t="n">
        <f aca="false">F3910*G3910</f>
        <v>4644</v>
      </c>
      <c r="I3910" s="6" t="s">
        <v>5130</v>
      </c>
    </row>
    <row r="3911" customFormat="false" ht="15" hidden="false" customHeight="false" outlineLevel="0" collapsed="false">
      <c r="A3911" s="6" t="s">
        <v>9134</v>
      </c>
      <c r="B3911" s="6" t="s">
        <v>1017</v>
      </c>
      <c r="C3911" s="26" t="n">
        <v>46153</v>
      </c>
      <c r="D3911" s="6" t="s">
        <v>5259</v>
      </c>
      <c r="E3911" s="6" t="s">
        <v>22</v>
      </c>
      <c r="F3911" s="6" t="n">
        <v>1</v>
      </c>
      <c r="G3911" s="10" t="n">
        <v>1408</v>
      </c>
      <c r="H3911" s="10" t="n">
        <f aca="false">F3911*G3911</f>
        <v>1408</v>
      </c>
      <c r="I3911" s="6" t="s">
        <v>5130</v>
      </c>
    </row>
    <row r="3912" customFormat="false" ht="15" hidden="false" customHeight="false" outlineLevel="0" collapsed="false">
      <c r="A3912" s="6" t="s">
        <v>9135</v>
      </c>
      <c r="B3912" s="6" t="s">
        <v>4891</v>
      </c>
      <c r="C3912" s="26" t="n">
        <v>46153</v>
      </c>
      <c r="D3912" s="6" t="s">
        <v>5220</v>
      </c>
      <c r="E3912" s="6" t="s">
        <v>24</v>
      </c>
      <c r="F3912" s="6" t="n">
        <v>3</v>
      </c>
      <c r="G3912" s="10" t="n">
        <v>1064</v>
      </c>
      <c r="H3912" s="10" t="n">
        <f aca="false">F3912*G3912</f>
        <v>3192</v>
      </c>
      <c r="I3912" s="6" t="s">
        <v>5148</v>
      </c>
    </row>
    <row r="3913" customFormat="false" ht="15" hidden="false" customHeight="false" outlineLevel="0" collapsed="false">
      <c r="A3913" s="6" t="s">
        <v>9136</v>
      </c>
      <c r="B3913" s="6" t="s">
        <v>1069</v>
      </c>
      <c r="C3913" s="26" t="n">
        <v>46153</v>
      </c>
      <c r="D3913" s="6" t="s">
        <v>5216</v>
      </c>
      <c r="E3913" s="6" t="s">
        <v>23</v>
      </c>
      <c r="F3913" s="6" t="n">
        <v>1</v>
      </c>
      <c r="G3913" s="10" t="n">
        <v>558</v>
      </c>
      <c r="H3913" s="10" t="n">
        <f aca="false">F3913*G3913</f>
        <v>558</v>
      </c>
      <c r="I3913" s="6" t="s">
        <v>5148</v>
      </c>
    </row>
    <row r="3914" customFormat="false" ht="15" hidden="false" customHeight="false" outlineLevel="0" collapsed="false">
      <c r="A3914" s="6" t="s">
        <v>9137</v>
      </c>
      <c r="B3914" s="6" t="s">
        <v>281</v>
      </c>
      <c r="C3914" s="26" t="n">
        <v>46153</v>
      </c>
      <c r="D3914" s="6" t="s">
        <v>5269</v>
      </c>
      <c r="E3914" s="6" t="s">
        <v>22</v>
      </c>
      <c r="F3914" s="6" t="n">
        <v>1</v>
      </c>
      <c r="G3914" s="10" t="n">
        <v>1271</v>
      </c>
      <c r="H3914" s="10" t="n">
        <f aca="false">F3914*G3914</f>
        <v>1271</v>
      </c>
      <c r="I3914" s="6" t="s">
        <v>5148</v>
      </c>
    </row>
    <row r="3915" customFormat="false" ht="15" hidden="false" customHeight="false" outlineLevel="0" collapsed="false">
      <c r="A3915" s="6" t="s">
        <v>9138</v>
      </c>
      <c r="B3915" s="6" t="s">
        <v>1465</v>
      </c>
      <c r="C3915" s="26" t="n">
        <v>46153</v>
      </c>
      <c r="D3915" s="6" t="s">
        <v>5561</v>
      </c>
      <c r="E3915" s="6" t="s">
        <v>20</v>
      </c>
      <c r="F3915" s="6" t="n">
        <v>2</v>
      </c>
      <c r="G3915" s="10" t="n">
        <v>3364</v>
      </c>
      <c r="H3915" s="10" t="n">
        <f aca="false">F3915*G3915</f>
        <v>6728</v>
      </c>
      <c r="I3915" s="6" t="s">
        <v>5125</v>
      </c>
    </row>
    <row r="3916" customFormat="false" ht="15" hidden="false" customHeight="false" outlineLevel="0" collapsed="false">
      <c r="A3916" s="6" t="s">
        <v>9139</v>
      </c>
      <c r="B3916" s="6" t="s">
        <v>847</v>
      </c>
      <c r="C3916" s="26" t="n">
        <v>46153</v>
      </c>
      <c r="D3916" s="6" t="s">
        <v>5538</v>
      </c>
      <c r="E3916" s="6" t="s">
        <v>21</v>
      </c>
      <c r="F3916" s="6" t="n">
        <v>1</v>
      </c>
      <c r="G3916" s="10" t="n">
        <v>5405</v>
      </c>
      <c r="H3916" s="10" t="n">
        <f aca="false">F3916*G3916</f>
        <v>5405</v>
      </c>
      <c r="I3916" s="6" t="s">
        <v>5122</v>
      </c>
    </row>
    <row r="3917" customFormat="false" ht="15" hidden="false" customHeight="false" outlineLevel="0" collapsed="false">
      <c r="A3917" s="6" t="s">
        <v>9140</v>
      </c>
      <c r="B3917" s="6" t="s">
        <v>1479</v>
      </c>
      <c r="C3917" s="26" t="n">
        <v>46153</v>
      </c>
      <c r="D3917" s="6" t="s">
        <v>5202</v>
      </c>
      <c r="E3917" s="6" t="s">
        <v>23</v>
      </c>
      <c r="F3917" s="6" t="n">
        <v>4</v>
      </c>
      <c r="G3917" s="10" t="n">
        <v>245</v>
      </c>
      <c r="H3917" s="10" t="n">
        <f aca="false">F3917*G3917</f>
        <v>980</v>
      </c>
      <c r="I3917" s="6" t="s">
        <v>5133</v>
      </c>
    </row>
    <row r="3918" customFormat="false" ht="15" hidden="false" customHeight="false" outlineLevel="0" collapsed="false">
      <c r="A3918" s="6" t="s">
        <v>9141</v>
      </c>
      <c r="B3918" s="6" t="s">
        <v>2807</v>
      </c>
      <c r="C3918" s="26" t="n">
        <v>46153</v>
      </c>
      <c r="D3918" s="6" t="s">
        <v>5163</v>
      </c>
      <c r="E3918" s="6" t="s">
        <v>23</v>
      </c>
      <c r="F3918" s="6" t="n">
        <v>2</v>
      </c>
      <c r="G3918" s="10" t="n">
        <v>705</v>
      </c>
      <c r="H3918" s="10" t="n">
        <f aca="false">F3918*G3918</f>
        <v>1410</v>
      </c>
      <c r="I3918" s="6" t="s">
        <v>5173</v>
      </c>
    </row>
    <row r="3919" customFormat="false" ht="15" hidden="false" customHeight="false" outlineLevel="0" collapsed="false">
      <c r="A3919" s="6" t="s">
        <v>9142</v>
      </c>
      <c r="B3919" s="6" t="s">
        <v>3603</v>
      </c>
      <c r="C3919" s="26" t="n">
        <v>46153</v>
      </c>
      <c r="D3919" s="6" t="s">
        <v>5202</v>
      </c>
      <c r="E3919" s="6" t="s">
        <v>23</v>
      </c>
      <c r="F3919" s="6" t="n">
        <v>2</v>
      </c>
      <c r="G3919" s="10" t="n">
        <v>245</v>
      </c>
      <c r="H3919" s="10" t="n">
        <f aca="false">F3919*G3919</f>
        <v>490</v>
      </c>
      <c r="I3919" s="6" t="s">
        <v>5122</v>
      </c>
    </row>
    <row r="3920" customFormat="false" ht="15" hidden="false" customHeight="false" outlineLevel="0" collapsed="false">
      <c r="A3920" s="6" t="s">
        <v>9143</v>
      </c>
      <c r="B3920" s="6" t="s">
        <v>1699</v>
      </c>
      <c r="C3920" s="26" t="n">
        <v>46154</v>
      </c>
      <c r="D3920" s="6" t="s">
        <v>5273</v>
      </c>
      <c r="E3920" s="6" t="s">
        <v>23</v>
      </c>
      <c r="F3920" s="6" t="n">
        <v>3</v>
      </c>
      <c r="G3920" s="10" t="n">
        <v>240</v>
      </c>
      <c r="H3920" s="10" t="n">
        <f aca="false">F3920*G3920</f>
        <v>720</v>
      </c>
      <c r="I3920" s="6" t="s">
        <v>5125</v>
      </c>
    </row>
    <row r="3921" customFormat="false" ht="15" hidden="false" customHeight="false" outlineLevel="0" collapsed="false">
      <c r="A3921" s="6" t="s">
        <v>9144</v>
      </c>
      <c r="B3921" s="6" t="s">
        <v>4783</v>
      </c>
      <c r="C3921" s="26" t="n">
        <v>46154</v>
      </c>
      <c r="D3921" s="6" t="s">
        <v>5121</v>
      </c>
      <c r="E3921" s="6" t="s">
        <v>22</v>
      </c>
      <c r="F3921" s="6" t="n">
        <v>2</v>
      </c>
      <c r="G3921" s="10" t="n">
        <v>880</v>
      </c>
      <c r="H3921" s="10" t="n">
        <f aca="false">F3921*G3921</f>
        <v>1760</v>
      </c>
      <c r="I3921" s="6" t="s">
        <v>5122</v>
      </c>
    </row>
    <row r="3922" customFormat="false" ht="15" hidden="false" customHeight="false" outlineLevel="0" collapsed="false">
      <c r="A3922" s="6" t="s">
        <v>9145</v>
      </c>
      <c r="B3922" s="6" t="s">
        <v>551</v>
      </c>
      <c r="C3922" s="26" t="n">
        <v>46154</v>
      </c>
      <c r="D3922" s="6" t="s">
        <v>5165</v>
      </c>
      <c r="E3922" s="6" t="s">
        <v>22</v>
      </c>
      <c r="F3922" s="6" t="n">
        <v>2</v>
      </c>
      <c r="G3922" s="10" t="n">
        <v>977</v>
      </c>
      <c r="H3922" s="10" t="n">
        <f aca="false">F3922*G3922</f>
        <v>1954</v>
      </c>
      <c r="I3922" s="6" t="s">
        <v>5122</v>
      </c>
    </row>
    <row r="3923" customFormat="false" ht="15" hidden="false" customHeight="false" outlineLevel="0" collapsed="false">
      <c r="A3923" s="6" t="s">
        <v>9146</v>
      </c>
      <c r="B3923" s="6" t="s">
        <v>4217</v>
      </c>
      <c r="C3923" s="26" t="n">
        <v>46154</v>
      </c>
      <c r="D3923" s="6" t="s">
        <v>5127</v>
      </c>
      <c r="E3923" s="6" t="s">
        <v>21</v>
      </c>
      <c r="F3923" s="6" t="n">
        <v>1</v>
      </c>
      <c r="G3923" s="10" t="n">
        <v>839</v>
      </c>
      <c r="H3923" s="10" t="n">
        <f aca="false">F3923*G3923</f>
        <v>839</v>
      </c>
      <c r="I3923" s="6" t="s">
        <v>5130</v>
      </c>
    </row>
    <row r="3924" customFormat="false" ht="15" hidden="false" customHeight="false" outlineLevel="0" collapsed="false">
      <c r="A3924" s="6" t="s">
        <v>9147</v>
      </c>
      <c r="B3924" s="6" t="s">
        <v>925</v>
      </c>
      <c r="C3924" s="26" t="n">
        <v>46154</v>
      </c>
      <c r="D3924" s="6" t="s">
        <v>5353</v>
      </c>
      <c r="E3924" s="6" t="s">
        <v>24</v>
      </c>
      <c r="F3924" s="6" t="n">
        <v>1</v>
      </c>
      <c r="G3924" s="10" t="n">
        <v>1629</v>
      </c>
      <c r="H3924" s="10" t="n">
        <f aca="false">F3924*G3924</f>
        <v>1629</v>
      </c>
      <c r="I3924" s="6" t="s">
        <v>5122</v>
      </c>
    </row>
    <row r="3925" customFormat="false" ht="15" hidden="false" customHeight="false" outlineLevel="0" collapsed="false">
      <c r="A3925" s="6" t="s">
        <v>9148</v>
      </c>
      <c r="B3925" s="6" t="s">
        <v>4337</v>
      </c>
      <c r="C3925" s="26" t="n">
        <v>46154</v>
      </c>
      <c r="D3925" s="6" t="s">
        <v>5235</v>
      </c>
      <c r="E3925" s="6" t="s">
        <v>21</v>
      </c>
      <c r="F3925" s="6" t="n">
        <v>1</v>
      </c>
      <c r="G3925" s="10" t="n">
        <v>1670</v>
      </c>
      <c r="H3925" s="10" t="n">
        <f aca="false">F3925*G3925</f>
        <v>1670</v>
      </c>
      <c r="I3925" s="6" t="s">
        <v>5148</v>
      </c>
    </row>
    <row r="3926" customFormat="false" ht="15" hidden="false" customHeight="false" outlineLevel="0" collapsed="false">
      <c r="A3926" s="6" t="s">
        <v>9149</v>
      </c>
      <c r="B3926" s="6" t="s">
        <v>2051</v>
      </c>
      <c r="C3926" s="26" t="n">
        <v>46154</v>
      </c>
      <c r="D3926" s="6" t="s">
        <v>5150</v>
      </c>
      <c r="E3926" s="6" t="s">
        <v>24</v>
      </c>
      <c r="F3926" s="6" t="n">
        <v>1</v>
      </c>
      <c r="G3926" s="10" t="n">
        <v>458</v>
      </c>
      <c r="H3926" s="10" t="n">
        <f aca="false">F3926*G3926</f>
        <v>458</v>
      </c>
      <c r="I3926" s="6" t="s">
        <v>5148</v>
      </c>
    </row>
    <row r="3927" customFormat="false" ht="15" hidden="false" customHeight="false" outlineLevel="0" collapsed="false">
      <c r="A3927" s="6" t="s">
        <v>9150</v>
      </c>
      <c r="B3927" s="6" t="s">
        <v>1787</v>
      </c>
      <c r="C3927" s="26" t="n">
        <v>46154</v>
      </c>
      <c r="D3927" s="6" t="s">
        <v>5214</v>
      </c>
      <c r="E3927" s="6" t="s">
        <v>20</v>
      </c>
      <c r="F3927" s="6" t="n">
        <v>2</v>
      </c>
      <c r="G3927" s="10" t="n">
        <v>2039</v>
      </c>
      <c r="H3927" s="10" t="n">
        <f aca="false">F3927*G3927</f>
        <v>4078</v>
      </c>
      <c r="I3927" s="6" t="s">
        <v>5173</v>
      </c>
    </row>
    <row r="3928" customFormat="false" ht="15" hidden="false" customHeight="false" outlineLevel="0" collapsed="false">
      <c r="A3928" s="6" t="s">
        <v>9151</v>
      </c>
      <c r="B3928" s="6" t="s">
        <v>3389</v>
      </c>
      <c r="C3928" s="26" t="n">
        <v>46154</v>
      </c>
      <c r="D3928" s="6" t="s">
        <v>5460</v>
      </c>
      <c r="E3928" s="6" t="s">
        <v>24</v>
      </c>
      <c r="F3928" s="6" t="n">
        <v>2</v>
      </c>
      <c r="G3928" s="10" t="n">
        <v>555</v>
      </c>
      <c r="H3928" s="10" t="n">
        <f aca="false">F3928*G3928</f>
        <v>1110</v>
      </c>
      <c r="I3928" s="6" t="s">
        <v>5125</v>
      </c>
    </row>
    <row r="3929" customFormat="false" ht="15" hidden="false" customHeight="false" outlineLevel="0" collapsed="false">
      <c r="A3929" s="6" t="s">
        <v>9152</v>
      </c>
      <c r="B3929" s="6" t="s">
        <v>156</v>
      </c>
      <c r="C3929" s="26" t="n">
        <v>46154</v>
      </c>
      <c r="D3929" s="6" t="s">
        <v>5687</v>
      </c>
      <c r="E3929" s="6" t="s">
        <v>20</v>
      </c>
      <c r="F3929" s="6" t="n">
        <v>1</v>
      </c>
      <c r="G3929" s="10" t="n">
        <v>2038</v>
      </c>
      <c r="H3929" s="10" t="n">
        <f aca="false">F3929*G3929</f>
        <v>2038</v>
      </c>
      <c r="I3929" s="6" t="s">
        <v>5122</v>
      </c>
    </row>
    <row r="3930" customFormat="false" ht="15" hidden="false" customHeight="false" outlineLevel="0" collapsed="false">
      <c r="A3930" s="6" t="s">
        <v>9153</v>
      </c>
      <c r="B3930" s="6" t="s">
        <v>2739</v>
      </c>
      <c r="C3930" s="26" t="n">
        <v>46154</v>
      </c>
      <c r="D3930" s="6" t="s">
        <v>5345</v>
      </c>
      <c r="E3930" s="6" t="s">
        <v>23</v>
      </c>
      <c r="F3930" s="6" t="n">
        <v>3</v>
      </c>
      <c r="G3930" s="10" t="n">
        <v>436</v>
      </c>
      <c r="H3930" s="10" t="n">
        <f aca="false">F3930*G3930</f>
        <v>1308</v>
      </c>
      <c r="I3930" s="6" t="s">
        <v>5130</v>
      </c>
    </row>
    <row r="3931" customFormat="false" ht="15" hidden="false" customHeight="false" outlineLevel="0" collapsed="false">
      <c r="A3931" s="6" t="s">
        <v>9154</v>
      </c>
      <c r="B3931" s="6" t="s">
        <v>2137</v>
      </c>
      <c r="C3931" s="26" t="n">
        <v>46154</v>
      </c>
      <c r="D3931" s="6" t="s">
        <v>5488</v>
      </c>
      <c r="E3931" s="6" t="s">
        <v>24</v>
      </c>
      <c r="F3931" s="6" t="n">
        <v>2</v>
      </c>
      <c r="G3931" s="10" t="n">
        <v>866</v>
      </c>
      <c r="H3931" s="10" t="n">
        <f aca="false">F3931*G3931</f>
        <v>1732</v>
      </c>
      <c r="I3931" s="6" t="s">
        <v>5148</v>
      </c>
    </row>
    <row r="3932" customFormat="false" ht="15" hidden="false" customHeight="false" outlineLevel="0" collapsed="false">
      <c r="A3932" s="6" t="s">
        <v>9155</v>
      </c>
      <c r="B3932" s="6" t="s">
        <v>3467</v>
      </c>
      <c r="C3932" s="26" t="n">
        <v>46154</v>
      </c>
      <c r="D3932" s="6" t="s">
        <v>5305</v>
      </c>
      <c r="E3932" s="6" t="s">
        <v>20</v>
      </c>
      <c r="F3932" s="6" t="n">
        <v>1</v>
      </c>
      <c r="G3932" s="10" t="n">
        <v>1631</v>
      </c>
      <c r="H3932" s="10" t="n">
        <f aca="false">F3932*G3932</f>
        <v>1631</v>
      </c>
      <c r="I3932" s="6" t="s">
        <v>5148</v>
      </c>
    </row>
    <row r="3933" customFormat="false" ht="15" hidden="false" customHeight="false" outlineLevel="0" collapsed="false">
      <c r="A3933" s="6" t="s">
        <v>9156</v>
      </c>
      <c r="B3933" s="6" t="s">
        <v>2013</v>
      </c>
      <c r="C3933" s="26" t="n">
        <v>46154</v>
      </c>
      <c r="D3933" s="6" t="s">
        <v>5182</v>
      </c>
      <c r="E3933" s="6" t="s">
        <v>23</v>
      </c>
      <c r="F3933" s="6" t="n">
        <v>2</v>
      </c>
      <c r="G3933" s="10" t="n">
        <v>349</v>
      </c>
      <c r="H3933" s="10" t="n">
        <f aca="false">F3933*G3933</f>
        <v>698</v>
      </c>
      <c r="I3933" s="6" t="s">
        <v>5130</v>
      </c>
    </row>
    <row r="3934" customFormat="false" ht="15" hidden="false" customHeight="false" outlineLevel="0" collapsed="false">
      <c r="A3934" s="6" t="s">
        <v>9157</v>
      </c>
      <c r="B3934" s="6" t="s">
        <v>1335</v>
      </c>
      <c r="C3934" s="26" t="n">
        <v>46154</v>
      </c>
      <c r="D3934" s="6" t="s">
        <v>5163</v>
      </c>
      <c r="E3934" s="6" t="s">
        <v>23</v>
      </c>
      <c r="F3934" s="6" t="n">
        <v>4</v>
      </c>
      <c r="G3934" s="10" t="n">
        <v>705</v>
      </c>
      <c r="H3934" s="10" t="n">
        <f aca="false">F3934*G3934</f>
        <v>2820</v>
      </c>
      <c r="I3934" s="6" t="s">
        <v>5148</v>
      </c>
    </row>
    <row r="3935" customFormat="false" ht="15" hidden="false" customHeight="false" outlineLevel="0" collapsed="false">
      <c r="A3935" s="6" t="s">
        <v>9158</v>
      </c>
      <c r="B3935" s="6" t="s">
        <v>1713</v>
      </c>
      <c r="C3935" s="26" t="n">
        <v>46154</v>
      </c>
      <c r="D3935" s="6" t="s">
        <v>5180</v>
      </c>
      <c r="E3935" s="6" t="s">
        <v>24</v>
      </c>
      <c r="F3935" s="6" t="n">
        <v>1</v>
      </c>
      <c r="G3935" s="10" t="n">
        <v>1988</v>
      </c>
      <c r="H3935" s="10" t="n">
        <f aca="false">F3935*G3935</f>
        <v>1988</v>
      </c>
      <c r="I3935" s="6" t="s">
        <v>5130</v>
      </c>
    </row>
    <row r="3936" customFormat="false" ht="15" hidden="false" customHeight="false" outlineLevel="0" collapsed="false">
      <c r="A3936" s="6" t="s">
        <v>9159</v>
      </c>
      <c r="B3936" s="6" t="s">
        <v>803</v>
      </c>
      <c r="C3936" s="26" t="n">
        <v>46154</v>
      </c>
      <c r="D3936" s="6" t="s">
        <v>5224</v>
      </c>
      <c r="E3936" s="6" t="s">
        <v>23</v>
      </c>
      <c r="F3936" s="6" t="n">
        <v>3</v>
      </c>
      <c r="G3936" s="10" t="n">
        <v>195</v>
      </c>
      <c r="H3936" s="10" t="n">
        <f aca="false">F3936*G3936</f>
        <v>585</v>
      </c>
      <c r="I3936" s="6" t="s">
        <v>5125</v>
      </c>
    </row>
    <row r="3937" customFormat="false" ht="15" hidden="false" customHeight="false" outlineLevel="0" collapsed="false">
      <c r="A3937" s="6" t="s">
        <v>9160</v>
      </c>
      <c r="B3937" s="6" t="s">
        <v>1663</v>
      </c>
      <c r="C3937" s="26" t="n">
        <v>46154</v>
      </c>
      <c r="D3937" s="6" t="s">
        <v>5165</v>
      </c>
      <c r="E3937" s="6" t="s">
        <v>22</v>
      </c>
      <c r="F3937" s="6" t="n">
        <v>1</v>
      </c>
      <c r="G3937" s="10" t="n">
        <v>928</v>
      </c>
      <c r="H3937" s="10" t="n">
        <f aca="false">F3937*G3937</f>
        <v>928</v>
      </c>
      <c r="I3937" s="6" t="s">
        <v>5130</v>
      </c>
    </row>
    <row r="3938" customFormat="false" ht="15" hidden="false" customHeight="false" outlineLevel="0" collapsed="false">
      <c r="A3938" s="6" t="s">
        <v>9161</v>
      </c>
      <c r="B3938" s="6" t="s">
        <v>2445</v>
      </c>
      <c r="C3938" s="26" t="n">
        <v>46154</v>
      </c>
      <c r="D3938" s="6" t="s">
        <v>5357</v>
      </c>
      <c r="E3938" s="6" t="s">
        <v>23</v>
      </c>
      <c r="F3938" s="6" t="n">
        <v>3</v>
      </c>
      <c r="G3938" s="10" t="n">
        <v>534</v>
      </c>
      <c r="H3938" s="10" t="n">
        <f aca="false">F3938*G3938</f>
        <v>1602</v>
      </c>
      <c r="I3938" s="6" t="s">
        <v>5173</v>
      </c>
    </row>
    <row r="3939" customFormat="false" ht="15" hidden="false" customHeight="false" outlineLevel="0" collapsed="false">
      <c r="A3939" s="6" t="s">
        <v>9162</v>
      </c>
      <c r="B3939" s="6" t="s">
        <v>2487</v>
      </c>
      <c r="C3939" s="26" t="n">
        <v>46154</v>
      </c>
      <c r="D3939" s="6" t="s">
        <v>5165</v>
      </c>
      <c r="E3939" s="6" t="s">
        <v>22</v>
      </c>
      <c r="F3939" s="6" t="n">
        <v>1</v>
      </c>
      <c r="G3939" s="10" t="n">
        <v>977</v>
      </c>
      <c r="H3939" s="10" t="n">
        <f aca="false">F3939*G3939</f>
        <v>977</v>
      </c>
      <c r="I3939" s="6" t="s">
        <v>5148</v>
      </c>
    </row>
    <row r="3940" customFormat="false" ht="15" hidden="false" customHeight="false" outlineLevel="0" collapsed="false">
      <c r="A3940" s="6" t="s">
        <v>9163</v>
      </c>
      <c r="B3940" s="6" t="s">
        <v>265</v>
      </c>
      <c r="C3940" s="26" t="n">
        <v>46154</v>
      </c>
      <c r="D3940" s="6" t="s">
        <v>5687</v>
      </c>
      <c r="E3940" s="6" t="s">
        <v>20</v>
      </c>
      <c r="F3940" s="6" t="n">
        <v>3</v>
      </c>
      <c r="G3940" s="10" t="n">
        <v>2039</v>
      </c>
      <c r="H3940" s="10" t="n">
        <f aca="false">F3940*G3940</f>
        <v>6117</v>
      </c>
      <c r="I3940" s="6" t="s">
        <v>5122</v>
      </c>
    </row>
    <row r="3941" customFormat="false" ht="15" hidden="false" customHeight="false" outlineLevel="0" collapsed="false">
      <c r="A3941" s="6" t="s">
        <v>9164</v>
      </c>
      <c r="B3941" s="6" t="s">
        <v>4183</v>
      </c>
      <c r="C3941" s="26" t="n">
        <v>46154</v>
      </c>
      <c r="D3941" s="6" t="s">
        <v>5154</v>
      </c>
      <c r="E3941" s="6" t="s">
        <v>21</v>
      </c>
      <c r="F3941" s="6" t="n">
        <v>1</v>
      </c>
      <c r="G3941" s="10" t="n">
        <v>746</v>
      </c>
      <c r="H3941" s="10" t="n">
        <f aca="false">F3941*G3941</f>
        <v>746</v>
      </c>
      <c r="I3941" s="6" t="s">
        <v>5122</v>
      </c>
    </row>
    <row r="3942" customFormat="false" ht="15" hidden="false" customHeight="false" outlineLevel="0" collapsed="false">
      <c r="A3942" s="6" t="s">
        <v>9165</v>
      </c>
      <c r="B3942" s="6" t="s">
        <v>3655</v>
      </c>
      <c r="C3942" s="26" t="n">
        <v>46154</v>
      </c>
      <c r="D3942" s="6" t="s">
        <v>5167</v>
      </c>
      <c r="E3942" s="6" t="s">
        <v>22</v>
      </c>
      <c r="F3942" s="6" t="n">
        <v>2</v>
      </c>
      <c r="G3942" s="10" t="n">
        <v>782</v>
      </c>
      <c r="H3942" s="10" t="n">
        <f aca="false">F3942*G3942</f>
        <v>1564</v>
      </c>
      <c r="I3942" s="6" t="s">
        <v>5148</v>
      </c>
    </row>
    <row r="3943" customFormat="false" ht="15" hidden="false" customHeight="false" outlineLevel="0" collapsed="false">
      <c r="A3943" s="6" t="s">
        <v>9166</v>
      </c>
      <c r="B3943" s="6" t="s">
        <v>3743</v>
      </c>
      <c r="C3943" s="26" t="n">
        <v>46154</v>
      </c>
      <c r="D3943" s="6" t="s">
        <v>5167</v>
      </c>
      <c r="E3943" s="6" t="s">
        <v>22</v>
      </c>
      <c r="F3943" s="6" t="n">
        <v>2</v>
      </c>
      <c r="G3943" s="10" t="n">
        <v>782</v>
      </c>
      <c r="H3943" s="10" t="n">
        <f aca="false">F3943*G3943</f>
        <v>1564</v>
      </c>
      <c r="I3943" s="6" t="s">
        <v>5130</v>
      </c>
    </row>
    <row r="3944" customFormat="false" ht="15" hidden="false" customHeight="false" outlineLevel="0" collapsed="false">
      <c r="A3944" s="6" t="s">
        <v>9167</v>
      </c>
      <c r="B3944" s="6" t="s">
        <v>2627</v>
      </c>
      <c r="C3944" s="26" t="n">
        <v>46154</v>
      </c>
      <c r="D3944" s="6" t="s">
        <v>5121</v>
      </c>
      <c r="E3944" s="6" t="s">
        <v>22</v>
      </c>
      <c r="F3944" s="6" t="n">
        <v>1</v>
      </c>
      <c r="G3944" s="10" t="n">
        <v>976</v>
      </c>
      <c r="H3944" s="10" t="n">
        <f aca="false">F3944*G3944</f>
        <v>976</v>
      </c>
      <c r="I3944" s="6" t="s">
        <v>5122</v>
      </c>
    </row>
    <row r="3945" customFormat="false" ht="15" hidden="false" customHeight="false" outlineLevel="0" collapsed="false">
      <c r="A3945" s="6" t="s">
        <v>9168</v>
      </c>
      <c r="B3945" s="6" t="s">
        <v>1231</v>
      </c>
      <c r="C3945" s="26" t="n">
        <v>46154</v>
      </c>
      <c r="D3945" s="6" t="s">
        <v>5163</v>
      </c>
      <c r="E3945" s="6" t="s">
        <v>23</v>
      </c>
      <c r="F3945" s="6" t="n">
        <v>5</v>
      </c>
      <c r="G3945" s="10" t="n">
        <v>783</v>
      </c>
      <c r="H3945" s="10" t="n">
        <f aca="false">F3945*G3945</f>
        <v>3915</v>
      </c>
      <c r="I3945" s="6" t="s">
        <v>5148</v>
      </c>
    </row>
    <row r="3946" customFormat="false" ht="15" hidden="false" customHeight="false" outlineLevel="0" collapsed="false">
      <c r="A3946" s="6" t="s">
        <v>9169</v>
      </c>
      <c r="B3946" s="6" t="s">
        <v>3663</v>
      </c>
      <c r="C3946" s="26" t="n">
        <v>46154</v>
      </c>
      <c r="D3946" s="6" t="s">
        <v>5242</v>
      </c>
      <c r="E3946" s="6" t="s">
        <v>23</v>
      </c>
      <c r="F3946" s="6" t="n">
        <v>1</v>
      </c>
      <c r="G3946" s="10" t="n">
        <v>372</v>
      </c>
      <c r="H3946" s="10" t="n">
        <f aca="false">F3946*G3946</f>
        <v>372</v>
      </c>
      <c r="I3946" s="6" t="s">
        <v>5133</v>
      </c>
    </row>
    <row r="3947" customFormat="false" ht="15" hidden="false" customHeight="false" outlineLevel="0" collapsed="false">
      <c r="A3947" s="6" t="s">
        <v>9170</v>
      </c>
      <c r="B3947" s="6" t="s">
        <v>2261</v>
      </c>
      <c r="C3947" s="26" t="n">
        <v>46154</v>
      </c>
      <c r="D3947" s="6" t="s">
        <v>5171</v>
      </c>
      <c r="E3947" s="6" t="s">
        <v>23</v>
      </c>
      <c r="F3947" s="6" t="n">
        <v>1</v>
      </c>
      <c r="G3947" s="10" t="n">
        <v>734</v>
      </c>
      <c r="H3947" s="10" t="n">
        <f aca="false">F3947*G3947</f>
        <v>734</v>
      </c>
      <c r="I3947" s="6" t="s">
        <v>5148</v>
      </c>
    </row>
    <row r="3948" customFormat="false" ht="15" hidden="false" customHeight="false" outlineLevel="0" collapsed="false">
      <c r="A3948" s="6" t="s">
        <v>9171</v>
      </c>
      <c r="B3948" s="6" t="s">
        <v>2069</v>
      </c>
      <c r="C3948" s="26" t="n">
        <v>46154</v>
      </c>
      <c r="D3948" s="6" t="s">
        <v>5383</v>
      </c>
      <c r="E3948" s="6" t="s">
        <v>20</v>
      </c>
      <c r="F3948" s="6" t="n">
        <v>1</v>
      </c>
      <c r="G3948" s="10" t="n">
        <v>1120</v>
      </c>
      <c r="H3948" s="10" t="n">
        <f aca="false">F3948*G3948</f>
        <v>1120</v>
      </c>
      <c r="I3948" s="6" t="s">
        <v>5133</v>
      </c>
    </row>
    <row r="3949" customFormat="false" ht="15" hidden="false" customHeight="false" outlineLevel="0" collapsed="false">
      <c r="A3949" s="6" t="s">
        <v>9172</v>
      </c>
      <c r="B3949" s="6" t="s">
        <v>1379</v>
      </c>
      <c r="C3949" s="26" t="n">
        <v>46154</v>
      </c>
      <c r="D3949" s="6" t="s">
        <v>5207</v>
      </c>
      <c r="E3949" s="6" t="s">
        <v>20</v>
      </c>
      <c r="F3949" s="6" t="n">
        <v>1</v>
      </c>
      <c r="G3949" s="10" t="n">
        <v>1325</v>
      </c>
      <c r="H3949" s="10" t="n">
        <f aca="false">F3949*G3949</f>
        <v>1325</v>
      </c>
      <c r="I3949" s="6" t="s">
        <v>5148</v>
      </c>
    </row>
    <row r="3950" customFormat="false" ht="15" hidden="false" customHeight="false" outlineLevel="0" collapsed="false">
      <c r="A3950" s="6" t="s">
        <v>9173</v>
      </c>
      <c r="B3950" s="6" t="s">
        <v>4221</v>
      </c>
      <c r="C3950" s="26" t="n">
        <v>46154</v>
      </c>
      <c r="D3950" s="6" t="s">
        <v>5357</v>
      </c>
      <c r="E3950" s="6" t="s">
        <v>23</v>
      </c>
      <c r="F3950" s="6" t="n">
        <v>1</v>
      </c>
      <c r="G3950" s="10" t="n">
        <v>533</v>
      </c>
      <c r="H3950" s="10" t="n">
        <f aca="false">F3950*G3950</f>
        <v>533</v>
      </c>
      <c r="I3950" s="6" t="s">
        <v>5130</v>
      </c>
    </row>
    <row r="3951" customFormat="false" ht="15" hidden="false" customHeight="false" outlineLevel="0" collapsed="false">
      <c r="A3951" s="6" t="s">
        <v>9174</v>
      </c>
      <c r="B3951" s="6" t="s">
        <v>2515</v>
      </c>
      <c r="C3951" s="26" t="n">
        <v>46154</v>
      </c>
      <c r="D3951" s="6" t="s">
        <v>5167</v>
      </c>
      <c r="E3951" s="6" t="s">
        <v>22</v>
      </c>
      <c r="F3951" s="6" t="n">
        <v>1</v>
      </c>
      <c r="G3951" s="10" t="n">
        <v>782</v>
      </c>
      <c r="H3951" s="10" t="n">
        <f aca="false">F3951*G3951</f>
        <v>782</v>
      </c>
      <c r="I3951" s="6" t="s">
        <v>5130</v>
      </c>
    </row>
    <row r="3952" customFormat="false" ht="15" hidden="false" customHeight="false" outlineLevel="0" collapsed="false">
      <c r="A3952" s="6" t="s">
        <v>9175</v>
      </c>
      <c r="B3952" s="6" t="s">
        <v>2141</v>
      </c>
      <c r="C3952" s="26" t="n">
        <v>46154</v>
      </c>
      <c r="D3952" s="6" t="s">
        <v>5167</v>
      </c>
      <c r="E3952" s="6" t="s">
        <v>22</v>
      </c>
      <c r="F3952" s="6" t="n">
        <v>2</v>
      </c>
      <c r="G3952" s="10" t="n">
        <v>743</v>
      </c>
      <c r="H3952" s="10" t="n">
        <f aca="false">F3952*G3952</f>
        <v>1486</v>
      </c>
      <c r="I3952" s="6" t="s">
        <v>5148</v>
      </c>
    </row>
    <row r="3953" customFormat="false" ht="15" hidden="false" customHeight="false" outlineLevel="0" collapsed="false">
      <c r="A3953" s="6" t="s">
        <v>9176</v>
      </c>
      <c r="B3953" s="6" t="s">
        <v>324</v>
      </c>
      <c r="C3953" s="26" t="n">
        <v>46154</v>
      </c>
      <c r="D3953" s="6" t="s">
        <v>5121</v>
      </c>
      <c r="E3953" s="6" t="s">
        <v>22</v>
      </c>
      <c r="F3953" s="6" t="n">
        <v>3</v>
      </c>
      <c r="G3953" s="10" t="n">
        <v>977</v>
      </c>
      <c r="H3953" s="10" t="n">
        <f aca="false">F3953*G3953</f>
        <v>2931</v>
      </c>
      <c r="I3953" s="6" t="s">
        <v>5125</v>
      </c>
    </row>
    <row r="3954" customFormat="false" ht="15" hidden="false" customHeight="false" outlineLevel="0" collapsed="false">
      <c r="A3954" s="6" t="s">
        <v>9177</v>
      </c>
      <c r="B3954" s="6" t="s">
        <v>2967</v>
      </c>
      <c r="C3954" s="26" t="n">
        <v>46154</v>
      </c>
      <c r="D3954" s="6" t="s">
        <v>5167</v>
      </c>
      <c r="E3954" s="6" t="s">
        <v>22</v>
      </c>
      <c r="F3954" s="6" t="n">
        <v>4</v>
      </c>
      <c r="G3954" s="10" t="n">
        <v>703</v>
      </c>
      <c r="H3954" s="10" t="n">
        <f aca="false">F3954*G3954</f>
        <v>2812</v>
      </c>
      <c r="I3954" s="6" t="s">
        <v>5130</v>
      </c>
    </row>
    <row r="3955" customFormat="false" ht="15" hidden="false" customHeight="false" outlineLevel="0" collapsed="false">
      <c r="A3955" s="6" t="s">
        <v>9178</v>
      </c>
      <c r="B3955" s="6" t="s">
        <v>2751</v>
      </c>
      <c r="C3955" s="26" t="n">
        <v>46154</v>
      </c>
      <c r="D3955" s="6" t="s">
        <v>5641</v>
      </c>
      <c r="E3955" s="6" t="s">
        <v>22</v>
      </c>
      <c r="F3955" s="6" t="n">
        <v>1</v>
      </c>
      <c r="G3955" s="10" t="n">
        <v>2249</v>
      </c>
      <c r="H3955" s="10" t="n">
        <f aca="false">F3955*G3955</f>
        <v>2249</v>
      </c>
      <c r="I3955" s="6" t="s">
        <v>5122</v>
      </c>
    </row>
    <row r="3956" customFormat="false" ht="15" hidden="false" customHeight="false" outlineLevel="0" collapsed="false">
      <c r="A3956" s="6" t="s">
        <v>9179</v>
      </c>
      <c r="B3956" s="6" t="s">
        <v>2851</v>
      </c>
      <c r="C3956" s="26" t="n">
        <v>46154</v>
      </c>
      <c r="D3956" s="6" t="s">
        <v>5124</v>
      </c>
      <c r="E3956" s="6" t="s">
        <v>21</v>
      </c>
      <c r="F3956" s="6" t="n">
        <v>1</v>
      </c>
      <c r="G3956" s="10" t="n">
        <v>3439</v>
      </c>
      <c r="H3956" s="10" t="n">
        <f aca="false">F3956*G3956</f>
        <v>3439</v>
      </c>
      <c r="I3956" s="6" t="s">
        <v>5133</v>
      </c>
    </row>
    <row r="3957" customFormat="false" ht="15" hidden="false" customHeight="false" outlineLevel="0" collapsed="false">
      <c r="A3957" s="6" t="s">
        <v>9180</v>
      </c>
      <c r="B3957" s="6" t="s">
        <v>1507</v>
      </c>
      <c r="C3957" s="26" t="n">
        <v>46154</v>
      </c>
      <c r="D3957" s="6" t="s">
        <v>5135</v>
      </c>
      <c r="E3957" s="6" t="s">
        <v>23</v>
      </c>
      <c r="F3957" s="6" t="n">
        <v>2</v>
      </c>
      <c r="G3957" s="10" t="n">
        <v>441</v>
      </c>
      <c r="H3957" s="10" t="n">
        <f aca="false">F3957*G3957</f>
        <v>882</v>
      </c>
      <c r="I3957" s="6" t="s">
        <v>5125</v>
      </c>
    </row>
    <row r="3958" customFormat="false" ht="15" hidden="false" customHeight="false" outlineLevel="0" collapsed="false">
      <c r="A3958" s="6" t="s">
        <v>9181</v>
      </c>
      <c r="B3958" s="6" t="s">
        <v>4261</v>
      </c>
      <c r="C3958" s="26" t="n">
        <v>46154</v>
      </c>
      <c r="D3958" s="6" t="s">
        <v>5197</v>
      </c>
      <c r="E3958" s="6" t="s">
        <v>21</v>
      </c>
      <c r="F3958" s="6" t="n">
        <v>3</v>
      </c>
      <c r="G3958" s="10" t="n">
        <v>1080</v>
      </c>
      <c r="H3958" s="10" t="n">
        <f aca="false">F3958*G3958</f>
        <v>3240</v>
      </c>
      <c r="I3958" s="6" t="s">
        <v>5133</v>
      </c>
    </row>
    <row r="3959" customFormat="false" ht="15" hidden="false" customHeight="false" outlineLevel="0" collapsed="false">
      <c r="A3959" s="6" t="s">
        <v>9182</v>
      </c>
      <c r="B3959" s="6" t="s">
        <v>2945</v>
      </c>
      <c r="C3959" s="26" t="n">
        <v>46154</v>
      </c>
      <c r="D3959" s="6" t="s">
        <v>5124</v>
      </c>
      <c r="E3959" s="6" t="s">
        <v>21</v>
      </c>
      <c r="F3959" s="6" t="n">
        <v>2</v>
      </c>
      <c r="G3959" s="10" t="n">
        <v>3267</v>
      </c>
      <c r="H3959" s="10" t="n">
        <f aca="false">F3959*G3959</f>
        <v>6534</v>
      </c>
      <c r="I3959" s="6" t="s">
        <v>5122</v>
      </c>
    </row>
    <row r="3960" customFormat="false" ht="15" hidden="false" customHeight="false" outlineLevel="0" collapsed="false">
      <c r="A3960" s="6" t="s">
        <v>9183</v>
      </c>
      <c r="B3960" s="6" t="s">
        <v>1001</v>
      </c>
      <c r="C3960" s="26" t="n">
        <v>46155</v>
      </c>
      <c r="D3960" s="6" t="s">
        <v>5261</v>
      </c>
      <c r="E3960" s="6" t="s">
        <v>23</v>
      </c>
      <c r="F3960" s="6" t="n">
        <v>2</v>
      </c>
      <c r="G3960" s="10" t="n">
        <v>175</v>
      </c>
      <c r="H3960" s="10" t="n">
        <f aca="false">F3960*G3960</f>
        <v>350</v>
      </c>
      <c r="I3960" s="6" t="s">
        <v>5122</v>
      </c>
    </row>
    <row r="3961" customFormat="false" ht="15" hidden="false" customHeight="false" outlineLevel="0" collapsed="false">
      <c r="A3961" s="6" t="s">
        <v>9184</v>
      </c>
      <c r="B3961" s="6" t="s">
        <v>2849</v>
      </c>
      <c r="C3961" s="26" t="n">
        <v>46155</v>
      </c>
      <c r="D3961" s="6" t="s">
        <v>5167</v>
      </c>
      <c r="E3961" s="6" t="s">
        <v>22</v>
      </c>
      <c r="F3961" s="6" t="n">
        <v>1</v>
      </c>
      <c r="G3961" s="10" t="n">
        <v>782</v>
      </c>
      <c r="H3961" s="10" t="n">
        <f aca="false">F3961*G3961</f>
        <v>782</v>
      </c>
      <c r="I3961" s="6" t="s">
        <v>5122</v>
      </c>
    </row>
    <row r="3962" customFormat="false" ht="15" hidden="false" customHeight="false" outlineLevel="0" collapsed="false">
      <c r="A3962" s="6" t="s">
        <v>9185</v>
      </c>
      <c r="B3962" s="6" t="s">
        <v>2761</v>
      </c>
      <c r="C3962" s="26" t="n">
        <v>46155</v>
      </c>
      <c r="D3962" s="6" t="s">
        <v>5353</v>
      </c>
      <c r="E3962" s="6" t="s">
        <v>24</v>
      </c>
      <c r="F3962" s="6" t="n">
        <v>2</v>
      </c>
      <c r="G3962" s="10" t="n">
        <v>1629</v>
      </c>
      <c r="H3962" s="10" t="n">
        <f aca="false">F3962*G3962</f>
        <v>3258</v>
      </c>
      <c r="I3962" s="6" t="s">
        <v>5130</v>
      </c>
    </row>
    <row r="3963" customFormat="false" ht="15" hidden="false" customHeight="false" outlineLevel="0" collapsed="false">
      <c r="A3963" s="6" t="s">
        <v>9186</v>
      </c>
      <c r="B3963" s="6" t="s">
        <v>1831</v>
      </c>
      <c r="C3963" s="26" t="n">
        <v>46155</v>
      </c>
      <c r="D3963" s="6" t="s">
        <v>5171</v>
      </c>
      <c r="E3963" s="6" t="s">
        <v>23</v>
      </c>
      <c r="F3963" s="6" t="n">
        <v>4</v>
      </c>
      <c r="G3963" s="10" t="n">
        <v>697</v>
      </c>
      <c r="H3963" s="10" t="n">
        <f aca="false">F3963*G3963</f>
        <v>2788</v>
      </c>
      <c r="I3963" s="6" t="s">
        <v>5122</v>
      </c>
    </row>
    <row r="3964" customFormat="false" ht="15" hidden="false" customHeight="false" outlineLevel="0" collapsed="false">
      <c r="A3964" s="6" t="s">
        <v>9187</v>
      </c>
      <c r="B3964" s="6" t="s">
        <v>2967</v>
      </c>
      <c r="C3964" s="26" t="n">
        <v>46155</v>
      </c>
      <c r="D3964" s="6" t="s">
        <v>5175</v>
      </c>
      <c r="E3964" s="6" t="s">
        <v>24</v>
      </c>
      <c r="F3964" s="6" t="n">
        <v>3</v>
      </c>
      <c r="G3964" s="10" t="n">
        <v>610</v>
      </c>
      <c r="H3964" s="10" t="n">
        <f aca="false">F3964*G3964</f>
        <v>1830</v>
      </c>
      <c r="I3964" s="6" t="s">
        <v>5130</v>
      </c>
    </row>
    <row r="3965" customFormat="false" ht="15" hidden="false" customHeight="false" outlineLevel="0" collapsed="false">
      <c r="A3965" s="6" t="s">
        <v>9188</v>
      </c>
      <c r="B3965" s="6" t="s">
        <v>4133</v>
      </c>
      <c r="C3965" s="26" t="n">
        <v>46155</v>
      </c>
      <c r="D3965" s="6" t="s">
        <v>5167</v>
      </c>
      <c r="E3965" s="6" t="s">
        <v>22</v>
      </c>
      <c r="F3965" s="6" t="n">
        <v>3</v>
      </c>
      <c r="G3965" s="10" t="n">
        <v>782</v>
      </c>
      <c r="H3965" s="10" t="n">
        <f aca="false">F3965*G3965</f>
        <v>2346</v>
      </c>
      <c r="I3965" s="6" t="s">
        <v>5148</v>
      </c>
    </row>
    <row r="3966" customFormat="false" ht="15" hidden="false" customHeight="false" outlineLevel="0" collapsed="false">
      <c r="A3966" s="6" t="s">
        <v>9189</v>
      </c>
      <c r="B3966" s="6" t="s">
        <v>2111</v>
      </c>
      <c r="C3966" s="26" t="n">
        <v>46155</v>
      </c>
      <c r="D3966" s="6" t="s">
        <v>5313</v>
      </c>
      <c r="E3966" s="6" t="s">
        <v>22</v>
      </c>
      <c r="F3966" s="6" t="n">
        <v>2</v>
      </c>
      <c r="G3966" s="10" t="n">
        <v>1760</v>
      </c>
      <c r="H3966" s="10" t="n">
        <f aca="false">F3966*G3966</f>
        <v>3520</v>
      </c>
      <c r="I3966" s="6" t="s">
        <v>5122</v>
      </c>
    </row>
    <row r="3967" customFormat="false" ht="15" hidden="false" customHeight="false" outlineLevel="0" collapsed="false">
      <c r="A3967" s="6" t="s">
        <v>9190</v>
      </c>
      <c r="B3967" s="6" t="s">
        <v>1791</v>
      </c>
      <c r="C3967" s="26" t="n">
        <v>46155</v>
      </c>
      <c r="D3967" s="6" t="s">
        <v>5345</v>
      </c>
      <c r="E3967" s="6" t="s">
        <v>23</v>
      </c>
      <c r="F3967" s="6" t="n">
        <v>4</v>
      </c>
      <c r="G3967" s="10" t="n">
        <v>436</v>
      </c>
      <c r="H3967" s="10" t="n">
        <f aca="false">F3967*G3967</f>
        <v>1744</v>
      </c>
      <c r="I3967" s="6" t="s">
        <v>5122</v>
      </c>
    </row>
    <row r="3968" customFormat="false" ht="15" hidden="false" customHeight="false" outlineLevel="0" collapsed="false">
      <c r="A3968" s="6" t="s">
        <v>9191</v>
      </c>
      <c r="B3968" s="6" t="s">
        <v>599</v>
      </c>
      <c r="C3968" s="26" t="n">
        <v>46155</v>
      </c>
      <c r="D3968" s="6" t="s">
        <v>5200</v>
      </c>
      <c r="E3968" s="6" t="s">
        <v>24</v>
      </c>
      <c r="F3968" s="6" t="n">
        <v>2</v>
      </c>
      <c r="G3968" s="10" t="n">
        <v>725</v>
      </c>
      <c r="H3968" s="10" t="n">
        <f aca="false">F3968*G3968</f>
        <v>1450</v>
      </c>
      <c r="I3968" s="6" t="s">
        <v>5122</v>
      </c>
    </row>
    <row r="3969" customFormat="false" ht="15" hidden="false" customHeight="false" outlineLevel="0" collapsed="false">
      <c r="A3969" s="6" t="s">
        <v>9192</v>
      </c>
      <c r="B3969" s="6" t="s">
        <v>4841</v>
      </c>
      <c r="C3969" s="26" t="n">
        <v>46155</v>
      </c>
      <c r="D3969" s="6" t="s">
        <v>5188</v>
      </c>
      <c r="E3969" s="6" t="s">
        <v>24</v>
      </c>
      <c r="F3969" s="6" t="n">
        <v>3</v>
      </c>
      <c r="G3969" s="10" t="n">
        <v>1018</v>
      </c>
      <c r="H3969" s="10" t="n">
        <f aca="false">F3969*G3969</f>
        <v>3054</v>
      </c>
      <c r="I3969" s="6" t="s">
        <v>5122</v>
      </c>
    </row>
    <row r="3970" customFormat="false" ht="15" hidden="false" customHeight="false" outlineLevel="0" collapsed="false">
      <c r="A3970" s="6" t="s">
        <v>9193</v>
      </c>
      <c r="B3970" s="6" t="s">
        <v>3891</v>
      </c>
      <c r="C3970" s="26" t="n">
        <v>46155</v>
      </c>
      <c r="D3970" s="6" t="s">
        <v>5235</v>
      </c>
      <c r="E3970" s="6" t="s">
        <v>21</v>
      </c>
      <c r="F3970" s="6" t="n">
        <v>1</v>
      </c>
      <c r="G3970" s="10" t="n">
        <v>1586</v>
      </c>
      <c r="H3970" s="10" t="n">
        <f aca="false">F3970*G3970</f>
        <v>1586</v>
      </c>
      <c r="I3970" s="6" t="s">
        <v>5122</v>
      </c>
    </row>
    <row r="3971" customFormat="false" ht="15" hidden="false" customHeight="false" outlineLevel="0" collapsed="false">
      <c r="A3971" s="6" t="s">
        <v>9194</v>
      </c>
      <c r="B3971" s="6" t="s">
        <v>4609</v>
      </c>
      <c r="C3971" s="26" t="n">
        <v>46155</v>
      </c>
      <c r="D3971" s="6" t="s">
        <v>5129</v>
      </c>
      <c r="E3971" s="6" t="s">
        <v>21</v>
      </c>
      <c r="F3971" s="6" t="n">
        <v>1</v>
      </c>
      <c r="G3971" s="10" t="n">
        <v>531</v>
      </c>
      <c r="H3971" s="10" t="n">
        <f aca="false">F3971*G3971</f>
        <v>531</v>
      </c>
      <c r="I3971" s="6" t="s">
        <v>5125</v>
      </c>
    </row>
    <row r="3972" customFormat="false" ht="15" hidden="false" customHeight="false" outlineLevel="0" collapsed="false">
      <c r="A3972" s="6" t="s">
        <v>9195</v>
      </c>
      <c r="B3972" s="6" t="s">
        <v>2989</v>
      </c>
      <c r="C3972" s="26" t="n">
        <v>46155</v>
      </c>
      <c r="D3972" s="6" t="s">
        <v>5235</v>
      </c>
      <c r="E3972" s="6" t="s">
        <v>21</v>
      </c>
      <c r="F3972" s="6" t="n">
        <v>2</v>
      </c>
      <c r="G3972" s="10" t="n">
        <v>1670</v>
      </c>
      <c r="H3972" s="10" t="n">
        <f aca="false">F3972*G3972</f>
        <v>3340</v>
      </c>
      <c r="I3972" s="6" t="s">
        <v>5122</v>
      </c>
    </row>
    <row r="3973" customFormat="false" ht="15" hidden="false" customHeight="false" outlineLevel="0" collapsed="false">
      <c r="A3973" s="6" t="s">
        <v>9196</v>
      </c>
      <c r="B3973" s="6" t="s">
        <v>4911</v>
      </c>
      <c r="C3973" s="26" t="n">
        <v>46155</v>
      </c>
      <c r="D3973" s="6" t="s">
        <v>5163</v>
      </c>
      <c r="E3973" s="6" t="s">
        <v>23</v>
      </c>
      <c r="F3973" s="6" t="n">
        <v>4</v>
      </c>
      <c r="G3973" s="10" t="n">
        <v>783</v>
      </c>
      <c r="H3973" s="10" t="n">
        <f aca="false">F3973*G3973</f>
        <v>3132</v>
      </c>
      <c r="I3973" s="6" t="s">
        <v>5122</v>
      </c>
    </row>
    <row r="3974" customFormat="false" ht="15" hidden="false" customHeight="false" outlineLevel="0" collapsed="false">
      <c r="A3974" s="6" t="s">
        <v>9197</v>
      </c>
      <c r="B3974" s="6" t="s">
        <v>2093</v>
      </c>
      <c r="C3974" s="26" t="n">
        <v>46155</v>
      </c>
      <c r="D3974" s="6" t="s">
        <v>5139</v>
      </c>
      <c r="E3974" s="6" t="s">
        <v>23</v>
      </c>
      <c r="F3974" s="6" t="n">
        <v>3</v>
      </c>
      <c r="G3974" s="10" t="n">
        <v>265</v>
      </c>
      <c r="H3974" s="10" t="n">
        <f aca="false">F3974*G3974</f>
        <v>795</v>
      </c>
      <c r="I3974" s="6" t="s">
        <v>5130</v>
      </c>
    </row>
    <row r="3975" customFormat="false" ht="15" hidden="false" customHeight="false" outlineLevel="0" collapsed="false">
      <c r="A3975" s="6" t="s">
        <v>9198</v>
      </c>
      <c r="B3975" s="6" t="s">
        <v>2551</v>
      </c>
      <c r="C3975" s="26" t="n">
        <v>46155</v>
      </c>
      <c r="D3975" s="6" t="s">
        <v>5127</v>
      </c>
      <c r="E3975" s="6" t="s">
        <v>21</v>
      </c>
      <c r="F3975" s="6" t="n">
        <v>1</v>
      </c>
      <c r="G3975" s="10" t="n">
        <v>795</v>
      </c>
      <c r="H3975" s="10" t="n">
        <f aca="false">F3975*G3975</f>
        <v>795</v>
      </c>
      <c r="I3975" s="6" t="s">
        <v>5130</v>
      </c>
    </row>
    <row r="3976" customFormat="false" ht="15" hidden="false" customHeight="false" outlineLevel="0" collapsed="false">
      <c r="A3976" s="6" t="s">
        <v>9199</v>
      </c>
      <c r="B3976" s="6" t="s">
        <v>326</v>
      </c>
      <c r="C3976" s="26" t="n">
        <v>46155</v>
      </c>
      <c r="D3976" s="6" t="s">
        <v>5143</v>
      </c>
      <c r="E3976" s="6" t="s">
        <v>21</v>
      </c>
      <c r="F3976" s="6" t="n">
        <v>1</v>
      </c>
      <c r="G3976" s="10" t="n">
        <v>1120</v>
      </c>
      <c r="H3976" s="10" t="n">
        <f aca="false">F3976*G3976</f>
        <v>1120</v>
      </c>
      <c r="I3976" s="6" t="s">
        <v>5130</v>
      </c>
    </row>
    <row r="3977" customFormat="false" ht="15" hidden="false" customHeight="false" outlineLevel="0" collapsed="false">
      <c r="A3977" s="6" t="s">
        <v>9200</v>
      </c>
      <c r="B3977" s="6" t="s">
        <v>2325</v>
      </c>
      <c r="C3977" s="26" t="n">
        <v>46155</v>
      </c>
      <c r="D3977" s="6" t="s">
        <v>5290</v>
      </c>
      <c r="E3977" s="6" t="s">
        <v>23</v>
      </c>
      <c r="F3977" s="6" t="n">
        <v>4</v>
      </c>
      <c r="G3977" s="10" t="n">
        <v>112</v>
      </c>
      <c r="H3977" s="10" t="n">
        <f aca="false">F3977*G3977</f>
        <v>448</v>
      </c>
      <c r="I3977" s="6" t="s">
        <v>5122</v>
      </c>
    </row>
    <row r="3978" customFormat="false" ht="15" hidden="false" customHeight="false" outlineLevel="0" collapsed="false">
      <c r="A3978" s="6" t="s">
        <v>9201</v>
      </c>
      <c r="B3978" s="6" t="s">
        <v>2141</v>
      </c>
      <c r="C3978" s="26" t="n">
        <v>46155</v>
      </c>
      <c r="D3978" s="6" t="s">
        <v>5837</v>
      </c>
      <c r="E3978" s="6" t="s">
        <v>21</v>
      </c>
      <c r="F3978" s="6" t="n">
        <v>1</v>
      </c>
      <c r="G3978" s="10" t="n">
        <v>2800</v>
      </c>
      <c r="H3978" s="10" t="n">
        <f aca="false">F3978*G3978</f>
        <v>2800</v>
      </c>
      <c r="I3978" s="6" t="s">
        <v>5122</v>
      </c>
    </row>
    <row r="3979" customFormat="false" ht="15" hidden="false" customHeight="false" outlineLevel="0" collapsed="false">
      <c r="A3979" s="6" t="s">
        <v>9202</v>
      </c>
      <c r="B3979" s="6" t="s">
        <v>3887</v>
      </c>
      <c r="C3979" s="26" t="n">
        <v>46155</v>
      </c>
      <c r="D3979" s="6" t="s">
        <v>5163</v>
      </c>
      <c r="E3979" s="6" t="s">
        <v>23</v>
      </c>
      <c r="F3979" s="6" t="n">
        <v>2</v>
      </c>
      <c r="G3979" s="10" t="n">
        <v>783</v>
      </c>
      <c r="H3979" s="10" t="n">
        <f aca="false">F3979*G3979</f>
        <v>1566</v>
      </c>
      <c r="I3979" s="6" t="s">
        <v>5125</v>
      </c>
    </row>
    <row r="3980" customFormat="false" ht="15" hidden="false" customHeight="false" outlineLevel="0" collapsed="false">
      <c r="A3980" s="6" t="s">
        <v>9203</v>
      </c>
      <c r="B3980" s="6" t="s">
        <v>4175</v>
      </c>
      <c r="C3980" s="26" t="n">
        <v>46155</v>
      </c>
      <c r="D3980" s="6" t="s">
        <v>5235</v>
      </c>
      <c r="E3980" s="6" t="s">
        <v>21</v>
      </c>
      <c r="F3980" s="6" t="n">
        <v>1</v>
      </c>
      <c r="G3980" s="10" t="n">
        <v>1670</v>
      </c>
      <c r="H3980" s="10" t="n">
        <f aca="false">F3980*G3980</f>
        <v>1670</v>
      </c>
      <c r="I3980" s="6" t="s">
        <v>5122</v>
      </c>
    </row>
    <row r="3981" customFormat="false" ht="15" hidden="false" customHeight="false" outlineLevel="0" collapsed="false">
      <c r="A3981" s="6" t="s">
        <v>9204</v>
      </c>
      <c r="B3981" s="6" t="s">
        <v>4687</v>
      </c>
      <c r="C3981" s="26" t="n">
        <v>46155</v>
      </c>
      <c r="D3981" s="6" t="s">
        <v>5257</v>
      </c>
      <c r="E3981" s="6" t="s">
        <v>22</v>
      </c>
      <c r="F3981" s="6" t="n">
        <v>1</v>
      </c>
      <c r="G3981" s="10" t="n">
        <v>2023</v>
      </c>
      <c r="H3981" s="10" t="n">
        <f aca="false">F3981*G3981</f>
        <v>2023</v>
      </c>
      <c r="I3981" s="6" t="s">
        <v>5173</v>
      </c>
    </row>
    <row r="3982" customFormat="false" ht="15" hidden="false" customHeight="false" outlineLevel="0" collapsed="false">
      <c r="A3982" s="6" t="s">
        <v>9205</v>
      </c>
      <c r="B3982" s="6" t="s">
        <v>1295</v>
      </c>
      <c r="C3982" s="26" t="n">
        <v>46155</v>
      </c>
      <c r="D3982" s="6" t="s">
        <v>5339</v>
      </c>
      <c r="E3982" s="6" t="s">
        <v>24</v>
      </c>
      <c r="F3982" s="6" t="n">
        <v>1</v>
      </c>
      <c r="G3982" s="10" t="n">
        <v>508</v>
      </c>
      <c r="H3982" s="10" t="n">
        <f aca="false">F3982*G3982</f>
        <v>508</v>
      </c>
      <c r="I3982" s="6" t="s">
        <v>5130</v>
      </c>
    </row>
    <row r="3983" customFormat="false" ht="15" hidden="false" customHeight="false" outlineLevel="0" collapsed="false">
      <c r="A3983" s="6" t="s">
        <v>9206</v>
      </c>
      <c r="B3983" s="6" t="s">
        <v>4399</v>
      </c>
      <c r="C3983" s="26" t="n">
        <v>46155</v>
      </c>
      <c r="D3983" s="6" t="s">
        <v>5194</v>
      </c>
      <c r="E3983" s="6" t="s">
        <v>22</v>
      </c>
      <c r="F3983" s="6" t="n">
        <v>3</v>
      </c>
      <c r="G3983" s="10" t="n">
        <v>1936</v>
      </c>
      <c r="H3983" s="10" t="n">
        <f aca="false">F3983*G3983</f>
        <v>5808</v>
      </c>
      <c r="I3983" s="6" t="s">
        <v>5130</v>
      </c>
    </row>
    <row r="3984" customFormat="false" ht="15" hidden="false" customHeight="false" outlineLevel="0" collapsed="false">
      <c r="A3984" s="6" t="s">
        <v>9207</v>
      </c>
      <c r="B3984" s="6" t="s">
        <v>1063</v>
      </c>
      <c r="C3984" s="26" t="n">
        <v>46155</v>
      </c>
      <c r="D3984" s="6" t="s">
        <v>5190</v>
      </c>
      <c r="E3984" s="6" t="s">
        <v>24</v>
      </c>
      <c r="F3984" s="6" t="n">
        <v>3</v>
      </c>
      <c r="G3984" s="10" t="n">
        <v>610</v>
      </c>
      <c r="H3984" s="10" t="n">
        <f aca="false">F3984*G3984</f>
        <v>1830</v>
      </c>
      <c r="I3984" s="6" t="s">
        <v>5122</v>
      </c>
    </row>
    <row r="3985" customFormat="false" ht="15" hidden="false" customHeight="false" outlineLevel="0" collapsed="false">
      <c r="A3985" s="6" t="s">
        <v>9208</v>
      </c>
      <c r="B3985" s="6" t="s">
        <v>4571</v>
      </c>
      <c r="C3985" s="26" t="n">
        <v>46155</v>
      </c>
      <c r="D3985" s="6" t="s">
        <v>5318</v>
      </c>
      <c r="E3985" s="6" t="s">
        <v>20</v>
      </c>
      <c r="F3985" s="6" t="n">
        <v>1</v>
      </c>
      <c r="G3985" s="10" t="n">
        <v>1452</v>
      </c>
      <c r="H3985" s="10" t="n">
        <f aca="false">F3985*G3985</f>
        <v>1452</v>
      </c>
      <c r="I3985" s="6" t="s">
        <v>5125</v>
      </c>
    </row>
    <row r="3986" customFormat="false" ht="15" hidden="false" customHeight="false" outlineLevel="0" collapsed="false">
      <c r="A3986" s="6" t="s">
        <v>9209</v>
      </c>
      <c r="B3986" s="6" t="s">
        <v>2311</v>
      </c>
      <c r="C3986" s="26" t="n">
        <v>46155</v>
      </c>
      <c r="D3986" s="6" t="s">
        <v>5691</v>
      </c>
      <c r="E3986" s="6" t="s">
        <v>21</v>
      </c>
      <c r="F3986" s="6" t="n">
        <v>2</v>
      </c>
      <c r="G3986" s="10" t="n">
        <v>5897</v>
      </c>
      <c r="H3986" s="10" t="n">
        <f aca="false">F3986*G3986</f>
        <v>11794</v>
      </c>
      <c r="I3986" s="6" t="s">
        <v>5122</v>
      </c>
    </row>
    <row r="3987" customFormat="false" ht="15" hidden="false" customHeight="false" outlineLevel="0" collapsed="false">
      <c r="A3987" s="6" t="s">
        <v>9210</v>
      </c>
      <c r="B3987" s="6" t="s">
        <v>865</v>
      </c>
      <c r="C3987" s="26" t="n">
        <v>46155</v>
      </c>
      <c r="D3987" s="6" t="s">
        <v>5242</v>
      </c>
      <c r="E3987" s="6" t="s">
        <v>23</v>
      </c>
      <c r="F3987" s="6" t="n">
        <v>3</v>
      </c>
      <c r="G3987" s="10" t="n">
        <v>372</v>
      </c>
      <c r="H3987" s="10" t="n">
        <f aca="false">F3987*G3987</f>
        <v>1116</v>
      </c>
      <c r="I3987" s="6" t="s">
        <v>5148</v>
      </c>
    </row>
    <row r="3988" customFormat="false" ht="15" hidden="false" customHeight="false" outlineLevel="0" collapsed="false">
      <c r="A3988" s="6" t="s">
        <v>9211</v>
      </c>
      <c r="B3988" s="6" t="s">
        <v>1849</v>
      </c>
      <c r="C3988" s="26" t="n">
        <v>46155</v>
      </c>
      <c r="D3988" s="6" t="s">
        <v>5482</v>
      </c>
      <c r="E3988" s="6" t="s">
        <v>23</v>
      </c>
      <c r="F3988" s="6" t="n">
        <v>4</v>
      </c>
      <c r="G3988" s="10" t="n">
        <v>243</v>
      </c>
      <c r="H3988" s="10" t="n">
        <f aca="false">F3988*G3988</f>
        <v>972</v>
      </c>
      <c r="I3988" s="6" t="s">
        <v>5130</v>
      </c>
    </row>
    <row r="3989" customFormat="false" ht="15" hidden="false" customHeight="false" outlineLevel="0" collapsed="false">
      <c r="A3989" s="6" t="s">
        <v>9212</v>
      </c>
      <c r="B3989" s="6" t="s">
        <v>3659</v>
      </c>
      <c r="C3989" s="26" t="n">
        <v>46155</v>
      </c>
      <c r="D3989" s="6" t="s">
        <v>5171</v>
      </c>
      <c r="E3989" s="6" t="s">
        <v>23</v>
      </c>
      <c r="F3989" s="6" t="n">
        <v>2</v>
      </c>
      <c r="G3989" s="10" t="n">
        <v>734</v>
      </c>
      <c r="H3989" s="10" t="n">
        <f aca="false">F3989*G3989</f>
        <v>1468</v>
      </c>
      <c r="I3989" s="6" t="s">
        <v>5130</v>
      </c>
    </row>
    <row r="3990" customFormat="false" ht="15" hidden="false" customHeight="false" outlineLevel="0" collapsed="false">
      <c r="A3990" s="6" t="s">
        <v>9213</v>
      </c>
      <c r="B3990" s="6" t="s">
        <v>1221</v>
      </c>
      <c r="C3990" s="26" t="n">
        <v>46155</v>
      </c>
      <c r="D3990" s="6" t="s">
        <v>5423</v>
      </c>
      <c r="E3990" s="6" t="s">
        <v>21</v>
      </c>
      <c r="F3990" s="6" t="n">
        <v>1</v>
      </c>
      <c r="G3990" s="10" t="n">
        <v>3243</v>
      </c>
      <c r="H3990" s="10" t="n">
        <f aca="false">F3990*G3990</f>
        <v>3243</v>
      </c>
      <c r="I3990" s="6" t="s">
        <v>5173</v>
      </c>
    </row>
    <row r="3991" customFormat="false" ht="15" hidden="false" customHeight="false" outlineLevel="0" collapsed="false">
      <c r="A3991" s="6" t="s">
        <v>9214</v>
      </c>
      <c r="B3991" s="6" t="s">
        <v>1249</v>
      </c>
      <c r="C3991" s="26" t="n">
        <v>46155</v>
      </c>
      <c r="D3991" s="6" t="s">
        <v>5398</v>
      </c>
      <c r="E3991" s="6" t="s">
        <v>24</v>
      </c>
      <c r="F3991" s="6" t="n">
        <v>1</v>
      </c>
      <c r="G3991" s="10" t="n">
        <v>610</v>
      </c>
      <c r="H3991" s="10" t="n">
        <f aca="false">F3991*G3991</f>
        <v>610</v>
      </c>
      <c r="I3991" s="6" t="s">
        <v>5122</v>
      </c>
    </row>
    <row r="3992" customFormat="false" ht="15" hidden="false" customHeight="false" outlineLevel="0" collapsed="false">
      <c r="A3992" s="6" t="s">
        <v>9215</v>
      </c>
      <c r="B3992" s="6" t="s">
        <v>4891</v>
      </c>
      <c r="C3992" s="26" t="n">
        <v>46155</v>
      </c>
      <c r="D3992" s="6" t="s">
        <v>5171</v>
      </c>
      <c r="E3992" s="6" t="s">
        <v>23</v>
      </c>
      <c r="F3992" s="6" t="n">
        <v>2</v>
      </c>
      <c r="G3992" s="10" t="n">
        <v>734</v>
      </c>
      <c r="H3992" s="10" t="n">
        <f aca="false">F3992*G3992</f>
        <v>1468</v>
      </c>
      <c r="I3992" s="6" t="s">
        <v>5133</v>
      </c>
    </row>
    <row r="3993" customFormat="false" ht="15" hidden="false" customHeight="false" outlineLevel="0" collapsed="false">
      <c r="A3993" s="6" t="s">
        <v>9216</v>
      </c>
      <c r="B3993" s="6" t="s">
        <v>2039</v>
      </c>
      <c r="C3993" s="26" t="n">
        <v>46156</v>
      </c>
      <c r="D3993" s="6" t="s">
        <v>5127</v>
      </c>
      <c r="E3993" s="6" t="s">
        <v>21</v>
      </c>
      <c r="F3993" s="6" t="n">
        <v>2</v>
      </c>
      <c r="G3993" s="10" t="n">
        <v>884</v>
      </c>
      <c r="H3993" s="10" t="n">
        <f aca="false">F3993*G3993</f>
        <v>1768</v>
      </c>
      <c r="I3993" s="6" t="s">
        <v>5122</v>
      </c>
    </row>
    <row r="3994" customFormat="false" ht="15" hidden="false" customHeight="false" outlineLevel="0" collapsed="false">
      <c r="A3994" s="6" t="s">
        <v>9217</v>
      </c>
      <c r="B3994" s="6" t="s">
        <v>2497</v>
      </c>
      <c r="C3994" s="26" t="n">
        <v>46156</v>
      </c>
      <c r="D3994" s="6" t="s">
        <v>5127</v>
      </c>
      <c r="E3994" s="6" t="s">
        <v>21</v>
      </c>
      <c r="F3994" s="6" t="n">
        <v>1</v>
      </c>
      <c r="G3994" s="10" t="n">
        <v>840</v>
      </c>
      <c r="H3994" s="10" t="n">
        <f aca="false">F3994*G3994</f>
        <v>840</v>
      </c>
      <c r="I3994" s="6" t="s">
        <v>5125</v>
      </c>
    </row>
    <row r="3995" customFormat="false" ht="15" hidden="false" customHeight="false" outlineLevel="0" collapsed="false">
      <c r="A3995" s="6" t="s">
        <v>9218</v>
      </c>
      <c r="B3995" s="6" t="s">
        <v>1257</v>
      </c>
      <c r="C3995" s="26" t="n">
        <v>46156</v>
      </c>
      <c r="D3995" s="6" t="s">
        <v>5147</v>
      </c>
      <c r="E3995" s="6" t="s">
        <v>24</v>
      </c>
      <c r="F3995" s="6" t="n">
        <v>1</v>
      </c>
      <c r="G3995" s="10" t="n">
        <v>628</v>
      </c>
      <c r="H3995" s="10" t="n">
        <f aca="false">F3995*G3995</f>
        <v>628</v>
      </c>
      <c r="I3995" s="6" t="s">
        <v>5122</v>
      </c>
    </row>
    <row r="3996" customFormat="false" ht="15" hidden="false" customHeight="false" outlineLevel="0" collapsed="false">
      <c r="A3996" s="6" t="s">
        <v>9219</v>
      </c>
      <c r="B3996" s="6" t="s">
        <v>3123</v>
      </c>
      <c r="C3996" s="26" t="n">
        <v>46156</v>
      </c>
      <c r="D3996" s="6" t="s">
        <v>5121</v>
      </c>
      <c r="E3996" s="6" t="s">
        <v>22</v>
      </c>
      <c r="F3996" s="6" t="n">
        <v>2</v>
      </c>
      <c r="G3996" s="10" t="n">
        <v>977</v>
      </c>
      <c r="H3996" s="10" t="n">
        <f aca="false">F3996*G3996</f>
        <v>1954</v>
      </c>
      <c r="I3996" s="6" t="s">
        <v>5122</v>
      </c>
    </row>
    <row r="3997" customFormat="false" ht="15" hidden="false" customHeight="false" outlineLevel="0" collapsed="false">
      <c r="A3997" s="6" t="s">
        <v>9220</v>
      </c>
      <c r="B3997" s="6" t="s">
        <v>4447</v>
      </c>
      <c r="C3997" s="26" t="n">
        <v>46156</v>
      </c>
      <c r="D3997" s="6" t="s">
        <v>5167</v>
      </c>
      <c r="E3997" s="6" t="s">
        <v>22</v>
      </c>
      <c r="F3997" s="6" t="n">
        <v>2</v>
      </c>
      <c r="G3997" s="10" t="n">
        <v>782</v>
      </c>
      <c r="H3997" s="10" t="n">
        <f aca="false">F3997*G3997</f>
        <v>1564</v>
      </c>
      <c r="I3997" s="6" t="s">
        <v>5148</v>
      </c>
    </row>
    <row r="3998" customFormat="false" ht="15" hidden="false" customHeight="false" outlineLevel="0" collapsed="false">
      <c r="A3998" s="6" t="s">
        <v>9221</v>
      </c>
      <c r="B3998" s="6" t="s">
        <v>599</v>
      </c>
      <c r="C3998" s="26" t="n">
        <v>46156</v>
      </c>
      <c r="D3998" s="6" t="s">
        <v>5488</v>
      </c>
      <c r="E3998" s="6" t="s">
        <v>24</v>
      </c>
      <c r="F3998" s="6" t="n">
        <v>1</v>
      </c>
      <c r="G3998" s="10" t="n">
        <v>823</v>
      </c>
      <c r="H3998" s="10" t="n">
        <f aca="false">F3998*G3998</f>
        <v>823</v>
      </c>
      <c r="I3998" s="6" t="s">
        <v>5122</v>
      </c>
    </row>
    <row r="3999" customFormat="false" ht="15" hidden="false" customHeight="false" outlineLevel="0" collapsed="false">
      <c r="A3999" s="6" t="s">
        <v>9222</v>
      </c>
      <c r="B3999" s="6" t="s">
        <v>1237</v>
      </c>
      <c r="C3999" s="26" t="n">
        <v>46156</v>
      </c>
      <c r="D3999" s="6" t="s">
        <v>5171</v>
      </c>
      <c r="E3999" s="6" t="s">
        <v>23</v>
      </c>
      <c r="F3999" s="6" t="n">
        <v>1</v>
      </c>
      <c r="G3999" s="10" t="n">
        <v>697</v>
      </c>
      <c r="H3999" s="10" t="n">
        <f aca="false">F3999*G3999</f>
        <v>697</v>
      </c>
      <c r="I3999" s="6" t="s">
        <v>5122</v>
      </c>
    </row>
    <row r="4000" customFormat="false" ht="15" hidden="false" customHeight="false" outlineLevel="0" collapsed="false">
      <c r="A4000" s="6" t="s">
        <v>9223</v>
      </c>
      <c r="B4000" s="6" t="s">
        <v>2319</v>
      </c>
      <c r="C4000" s="26" t="n">
        <v>46156</v>
      </c>
      <c r="D4000" s="6" t="s">
        <v>5245</v>
      </c>
      <c r="E4000" s="6" t="s">
        <v>21</v>
      </c>
      <c r="F4000" s="6" t="n">
        <v>1</v>
      </c>
      <c r="G4000" s="10" t="n">
        <v>2334</v>
      </c>
      <c r="H4000" s="10" t="n">
        <f aca="false">F4000*G4000</f>
        <v>2334</v>
      </c>
      <c r="I4000" s="6" t="s">
        <v>5122</v>
      </c>
    </row>
    <row r="4001" customFormat="false" ht="15" hidden="false" customHeight="false" outlineLevel="0" collapsed="false">
      <c r="A4001" s="6" t="s">
        <v>9224</v>
      </c>
      <c r="B4001" s="6" t="s">
        <v>2483</v>
      </c>
      <c r="C4001" s="26" t="n">
        <v>46156</v>
      </c>
      <c r="D4001" s="6" t="s">
        <v>5357</v>
      </c>
      <c r="E4001" s="6" t="s">
        <v>23</v>
      </c>
      <c r="F4001" s="6" t="n">
        <v>4</v>
      </c>
      <c r="G4001" s="10" t="n">
        <v>534</v>
      </c>
      <c r="H4001" s="10" t="n">
        <f aca="false">F4001*G4001</f>
        <v>2136</v>
      </c>
      <c r="I4001" s="6" t="s">
        <v>5133</v>
      </c>
    </row>
    <row r="4002" customFormat="false" ht="15" hidden="false" customHeight="false" outlineLevel="0" collapsed="false">
      <c r="A4002" s="6" t="s">
        <v>9225</v>
      </c>
      <c r="B4002" s="6" t="s">
        <v>2939</v>
      </c>
      <c r="C4002" s="26" t="n">
        <v>46156</v>
      </c>
      <c r="D4002" s="6" t="s">
        <v>5160</v>
      </c>
      <c r="E4002" s="6" t="s">
        <v>21</v>
      </c>
      <c r="F4002" s="6" t="n">
        <v>3</v>
      </c>
      <c r="G4002" s="10" t="n">
        <v>2751</v>
      </c>
      <c r="H4002" s="10" t="n">
        <f aca="false">F4002*G4002</f>
        <v>8253</v>
      </c>
      <c r="I4002" s="6" t="s">
        <v>5133</v>
      </c>
    </row>
    <row r="4003" customFormat="false" ht="15" hidden="false" customHeight="false" outlineLevel="0" collapsed="false">
      <c r="A4003" s="6" t="s">
        <v>9226</v>
      </c>
      <c r="B4003" s="6" t="s">
        <v>4643</v>
      </c>
      <c r="C4003" s="26" t="n">
        <v>46156</v>
      </c>
      <c r="D4003" s="6" t="s">
        <v>5458</v>
      </c>
      <c r="E4003" s="6" t="s">
        <v>24</v>
      </c>
      <c r="F4003" s="6" t="n">
        <v>1</v>
      </c>
      <c r="G4003" s="10" t="n">
        <v>559</v>
      </c>
      <c r="H4003" s="10" t="n">
        <f aca="false">F4003*G4003</f>
        <v>559</v>
      </c>
      <c r="I4003" s="6" t="s">
        <v>5122</v>
      </c>
    </row>
    <row r="4004" customFormat="false" ht="15" hidden="false" customHeight="false" outlineLevel="0" collapsed="false">
      <c r="A4004" s="6" t="s">
        <v>9227</v>
      </c>
      <c r="B4004" s="6" t="s">
        <v>267</v>
      </c>
      <c r="C4004" s="26" t="n">
        <v>46156</v>
      </c>
      <c r="D4004" s="6" t="s">
        <v>5456</v>
      </c>
      <c r="E4004" s="6" t="s">
        <v>24</v>
      </c>
      <c r="F4004" s="6" t="n">
        <v>1</v>
      </c>
      <c r="G4004" s="10" t="n">
        <v>912</v>
      </c>
      <c r="H4004" s="10" t="n">
        <f aca="false">F4004*G4004</f>
        <v>912</v>
      </c>
      <c r="I4004" s="6" t="s">
        <v>5122</v>
      </c>
    </row>
    <row r="4005" customFormat="false" ht="15" hidden="false" customHeight="false" outlineLevel="0" collapsed="false">
      <c r="A4005" s="6" t="s">
        <v>9228</v>
      </c>
      <c r="B4005" s="6" t="s">
        <v>4165</v>
      </c>
      <c r="C4005" s="26" t="n">
        <v>46156</v>
      </c>
      <c r="D4005" s="6" t="s">
        <v>5202</v>
      </c>
      <c r="E4005" s="6" t="s">
        <v>23</v>
      </c>
      <c r="F4005" s="6" t="n">
        <v>3</v>
      </c>
      <c r="G4005" s="10" t="n">
        <v>233</v>
      </c>
      <c r="H4005" s="10" t="n">
        <f aca="false">F4005*G4005</f>
        <v>699</v>
      </c>
      <c r="I4005" s="6" t="s">
        <v>5130</v>
      </c>
    </row>
    <row r="4006" customFormat="false" ht="15" hidden="false" customHeight="false" outlineLevel="0" collapsed="false">
      <c r="A4006" s="6" t="s">
        <v>9229</v>
      </c>
      <c r="B4006" s="6" t="s">
        <v>4675</v>
      </c>
      <c r="C4006" s="26" t="n">
        <v>46156</v>
      </c>
      <c r="D4006" s="6" t="s">
        <v>5165</v>
      </c>
      <c r="E4006" s="6" t="s">
        <v>22</v>
      </c>
      <c r="F4006" s="6" t="n">
        <v>3</v>
      </c>
      <c r="G4006" s="10" t="n">
        <v>977</v>
      </c>
      <c r="H4006" s="10" t="n">
        <f aca="false">F4006*G4006</f>
        <v>2931</v>
      </c>
      <c r="I4006" s="6" t="s">
        <v>5148</v>
      </c>
    </row>
    <row r="4007" customFormat="false" ht="15" hidden="false" customHeight="false" outlineLevel="0" collapsed="false">
      <c r="A4007" s="6" t="s">
        <v>9230</v>
      </c>
      <c r="B4007" s="6" t="s">
        <v>809</v>
      </c>
      <c r="C4007" s="26" t="n">
        <v>46156</v>
      </c>
      <c r="D4007" s="6" t="s">
        <v>5226</v>
      </c>
      <c r="E4007" s="6" t="s">
        <v>24</v>
      </c>
      <c r="F4007" s="6" t="n">
        <v>1</v>
      </c>
      <c r="G4007" s="10" t="n">
        <v>457</v>
      </c>
      <c r="H4007" s="10" t="n">
        <f aca="false">F4007*G4007</f>
        <v>457</v>
      </c>
      <c r="I4007" s="6" t="s">
        <v>5122</v>
      </c>
    </row>
    <row r="4008" customFormat="false" ht="15" hidden="false" customHeight="false" outlineLevel="0" collapsed="false">
      <c r="A4008" s="6" t="s">
        <v>9231</v>
      </c>
      <c r="B4008" s="6" t="s">
        <v>1497</v>
      </c>
      <c r="C4008" s="26" t="n">
        <v>46156</v>
      </c>
      <c r="D4008" s="6" t="s">
        <v>6114</v>
      </c>
      <c r="E4008" s="6" t="s">
        <v>20</v>
      </c>
      <c r="F4008" s="6" t="n">
        <v>1</v>
      </c>
      <c r="G4008" s="10" t="n">
        <v>12593</v>
      </c>
      <c r="H4008" s="10" t="n">
        <f aca="false">F4008*G4008</f>
        <v>12593</v>
      </c>
      <c r="I4008" s="6" t="s">
        <v>5122</v>
      </c>
    </row>
    <row r="4009" customFormat="false" ht="15" hidden="false" customHeight="false" outlineLevel="0" collapsed="false">
      <c r="A4009" s="6" t="s">
        <v>9232</v>
      </c>
      <c r="B4009" s="6" t="s">
        <v>2361</v>
      </c>
      <c r="C4009" s="26" t="n">
        <v>46156</v>
      </c>
      <c r="D4009" s="6" t="s">
        <v>5163</v>
      </c>
      <c r="E4009" s="6" t="s">
        <v>23</v>
      </c>
      <c r="F4009" s="6" t="n">
        <v>2</v>
      </c>
      <c r="G4009" s="10" t="n">
        <v>783</v>
      </c>
      <c r="H4009" s="10" t="n">
        <f aca="false">F4009*G4009</f>
        <v>1566</v>
      </c>
      <c r="I4009" s="6" t="s">
        <v>5122</v>
      </c>
    </row>
    <row r="4010" customFormat="false" ht="15" hidden="false" customHeight="false" outlineLevel="0" collapsed="false">
      <c r="A4010" s="6" t="s">
        <v>9233</v>
      </c>
      <c r="B4010" s="6" t="s">
        <v>3399</v>
      </c>
      <c r="C4010" s="26" t="n">
        <v>46156</v>
      </c>
      <c r="D4010" s="6" t="s">
        <v>5165</v>
      </c>
      <c r="E4010" s="6" t="s">
        <v>22</v>
      </c>
      <c r="F4010" s="6" t="n">
        <v>2</v>
      </c>
      <c r="G4010" s="10" t="n">
        <v>977</v>
      </c>
      <c r="H4010" s="10" t="n">
        <f aca="false">F4010*G4010</f>
        <v>1954</v>
      </c>
      <c r="I4010" s="6" t="s">
        <v>5130</v>
      </c>
    </row>
    <row r="4011" customFormat="false" ht="15" hidden="false" customHeight="false" outlineLevel="0" collapsed="false">
      <c r="A4011" s="6" t="s">
        <v>9234</v>
      </c>
      <c r="B4011" s="6" t="s">
        <v>607</v>
      </c>
      <c r="C4011" s="26" t="n">
        <v>46156</v>
      </c>
      <c r="D4011" s="6" t="s">
        <v>5165</v>
      </c>
      <c r="E4011" s="6" t="s">
        <v>22</v>
      </c>
      <c r="F4011" s="6" t="n">
        <v>1</v>
      </c>
      <c r="G4011" s="10" t="n">
        <v>977</v>
      </c>
      <c r="H4011" s="10" t="n">
        <f aca="false">F4011*G4011</f>
        <v>977</v>
      </c>
      <c r="I4011" s="6" t="s">
        <v>5122</v>
      </c>
    </row>
    <row r="4012" customFormat="false" ht="15" hidden="false" customHeight="false" outlineLevel="0" collapsed="false">
      <c r="A4012" s="6" t="s">
        <v>9235</v>
      </c>
      <c r="B4012" s="6" t="s">
        <v>3117</v>
      </c>
      <c r="C4012" s="26" t="n">
        <v>46156</v>
      </c>
      <c r="D4012" s="6" t="s">
        <v>5207</v>
      </c>
      <c r="E4012" s="6" t="s">
        <v>20</v>
      </c>
      <c r="F4012" s="6" t="n">
        <v>1</v>
      </c>
      <c r="G4012" s="10" t="n">
        <v>1325</v>
      </c>
      <c r="H4012" s="10" t="n">
        <f aca="false">F4012*G4012</f>
        <v>1325</v>
      </c>
      <c r="I4012" s="6" t="s">
        <v>5125</v>
      </c>
    </row>
    <row r="4013" customFormat="false" ht="15" hidden="false" customHeight="false" outlineLevel="0" collapsed="false">
      <c r="A4013" s="6" t="s">
        <v>9236</v>
      </c>
      <c r="B4013" s="6" t="s">
        <v>1699</v>
      </c>
      <c r="C4013" s="26" t="n">
        <v>46156</v>
      </c>
      <c r="D4013" s="6" t="s">
        <v>5180</v>
      </c>
      <c r="E4013" s="6" t="s">
        <v>24</v>
      </c>
      <c r="F4013" s="6" t="n">
        <v>3</v>
      </c>
      <c r="G4013" s="10" t="n">
        <v>1987</v>
      </c>
      <c r="H4013" s="10" t="n">
        <f aca="false">F4013*G4013</f>
        <v>5961</v>
      </c>
      <c r="I4013" s="6" t="s">
        <v>5130</v>
      </c>
    </row>
    <row r="4014" customFormat="false" ht="15" hidden="false" customHeight="false" outlineLevel="0" collapsed="false">
      <c r="A4014" s="6" t="s">
        <v>9237</v>
      </c>
      <c r="B4014" s="6" t="s">
        <v>4701</v>
      </c>
      <c r="C4014" s="26" t="n">
        <v>46156</v>
      </c>
      <c r="D4014" s="6" t="s">
        <v>5121</v>
      </c>
      <c r="E4014" s="6" t="s">
        <v>22</v>
      </c>
      <c r="F4014" s="6" t="n">
        <v>1</v>
      </c>
      <c r="G4014" s="10" t="n">
        <v>977</v>
      </c>
      <c r="H4014" s="10" t="n">
        <f aca="false">F4014*G4014</f>
        <v>977</v>
      </c>
      <c r="I4014" s="6" t="s">
        <v>5122</v>
      </c>
    </row>
    <row r="4015" customFormat="false" ht="15" hidden="false" customHeight="false" outlineLevel="0" collapsed="false">
      <c r="A4015" s="6" t="s">
        <v>9238</v>
      </c>
      <c r="B4015" s="6" t="s">
        <v>2403</v>
      </c>
      <c r="C4015" s="26" t="n">
        <v>46156</v>
      </c>
      <c r="D4015" s="6" t="s">
        <v>5232</v>
      </c>
      <c r="E4015" s="6" t="s">
        <v>23</v>
      </c>
      <c r="F4015" s="6" t="n">
        <v>1</v>
      </c>
      <c r="G4015" s="10" t="n">
        <v>185</v>
      </c>
      <c r="H4015" s="10" t="n">
        <f aca="false">F4015*G4015</f>
        <v>185</v>
      </c>
      <c r="I4015" s="6" t="s">
        <v>5125</v>
      </c>
    </row>
    <row r="4016" customFormat="false" ht="15" hidden="false" customHeight="false" outlineLevel="0" collapsed="false">
      <c r="A4016" s="6" t="s">
        <v>9239</v>
      </c>
      <c r="B4016" s="6" t="s">
        <v>623</v>
      </c>
      <c r="C4016" s="26" t="n">
        <v>46156</v>
      </c>
      <c r="D4016" s="6" t="s">
        <v>5171</v>
      </c>
      <c r="E4016" s="6" t="s">
        <v>23</v>
      </c>
      <c r="F4016" s="6" t="n">
        <v>1</v>
      </c>
      <c r="G4016" s="10" t="n">
        <v>733</v>
      </c>
      <c r="H4016" s="10" t="n">
        <f aca="false">F4016*G4016</f>
        <v>733</v>
      </c>
      <c r="I4016" s="6" t="s">
        <v>5125</v>
      </c>
    </row>
    <row r="4017" customFormat="false" ht="15" hidden="false" customHeight="false" outlineLevel="0" collapsed="false">
      <c r="A4017" s="6" t="s">
        <v>9240</v>
      </c>
      <c r="B4017" s="6" t="s">
        <v>2093</v>
      </c>
      <c r="C4017" s="26" t="n">
        <v>46156</v>
      </c>
      <c r="D4017" s="6" t="s">
        <v>5277</v>
      </c>
      <c r="E4017" s="6" t="s">
        <v>22</v>
      </c>
      <c r="F4017" s="6" t="n">
        <v>1</v>
      </c>
      <c r="G4017" s="10" t="n">
        <v>2464</v>
      </c>
      <c r="H4017" s="10" t="n">
        <f aca="false">F4017*G4017</f>
        <v>2464</v>
      </c>
      <c r="I4017" s="6" t="s">
        <v>5148</v>
      </c>
    </row>
    <row r="4018" customFormat="false" ht="15" hidden="false" customHeight="false" outlineLevel="0" collapsed="false">
      <c r="A4018" s="6" t="s">
        <v>9241</v>
      </c>
      <c r="B4018" s="6" t="s">
        <v>3427</v>
      </c>
      <c r="C4018" s="26" t="n">
        <v>46156</v>
      </c>
      <c r="D4018" s="6" t="s">
        <v>5167</v>
      </c>
      <c r="E4018" s="6" t="s">
        <v>22</v>
      </c>
      <c r="F4018" s="6" t="n">
        <v>1</v>
      </c>
      <c r="G4018" s="10" t="n">
        <v>743</v>
      </c>
      <c r="H4018" s="10" t="n">
        <f aca="false">F4018*G4018</f>
        <v>743</v>
      </c>
      <c r="I4018" s="6" t="s">
        <v>5122</v>
      </c>
    </row>
    <row r="4019" customFormat="false" ht="15" hidden="false" customHeight="false" outlineLevel="0" collapsed="false">
      <c r="A4019" s="6" t="s">
        <v>9242</v>
      </c>
      <c r="B4019" s="6" t="s">
        <v>4543</v>
      </c>
      <c r="C4019" s="26" t="n">
        <v>46156</v>
      </c>
      <c r="D4019" s="6" t="s">
        <v>5167</v>
      </c>
      <c r="E4019" s="6" t="s">
        <v>22</v>
      </c>
      <c r="F4019" s="6" t="n">
        <v>2</v>
      </c>
      <c r="G4019" s="10" t="n">
        <v>782</v>
      </c>
      <c r="H4019" s="10" t="n">
        <f aca="false">F4019*G4019</f>
        <v>1564</v>
      </c>
      <c r="I4019" s="6" t="s">
        <v>5122</v>
      </c>
    </row>
    <row r="4020" customFormat="false" ht="15" hidden="false" customHeight="false" outlineLevel="0" collapsed="false">
      <c r="A4020" s="6" t="s">
        <v>9243</v>
      </c>
      <c r="B4020" s="6" t="s">
        <v>2685</v>
      </c>
      <c r="C4020" s="26" t="n">
        <v>46156</v>
      </c>
      <c r="D4020" s="6" t="s">
        <v>5160</v>
      </c>
      <c r="E4020" s="6" t="s">
        <v>21</v>
      </c>
      <c r="F4020" s="6" t="n">
        <v>1</v>
      </c>
      <c r="G4020" s="10" t="n">
        <v>2751</v>
      </c>
      <c r="H4020" s="10" t="n">
        <f aca="false">F4020*G4020</f>
        <v>2751</v>
      </c>
      <c r="I4020" s="6" t="s">
        <v>5133</v>
      </c>
    </row>
    <row r="4021" customFormat="false" ht="15" hidden="false" customHeight="false" outlineLevel="0" collapsed="false">
      <c r="A4021" s="6" t="s">
        <v>9244</v>
      </c>
      <c r="B4021" s="6" t="s">
        <v>2141</v>
      </c>
      <c r="C4021" s="26" t="n">
        <v>46156</v>
      </c>
      <c r="D4021" s="6" t="s">
        <v>5200</v>
      </c>
      <c r="E4021" s="6" t="s">
        <v>24</v>
      </c>
      <c r="F4021" s="6" t="n">
        <v>1</v>
      </c>
      <c r="G4021" s="10" t="n">
        <v>763</v>
      </c>
      <c r="H4021" s="10" t="n">
        <f aca="false">F4021*G4021</f>
        <v>763</v>
      </c>
      <c r="I4021" s="6" t="s">
        <v>5125</v>
      </c>
    </row>
    <row r="4022" customFormat="false" ht="15" hidden="false" customHeight="false" outlineLevel="0" collapsed="false">
      <c r="A4022" s="6" t="s">
        <v>9245</v>
      </c>
      <c r="B4022" s="6" t="s">
        <v>1969</v>
      </c>
      <c r="C4022" s="26" t="n">
        <v>46156</v>
      </c>
      <c r="D4022" s="6" t="s">
        <v>5165</v>
      </c>
      <c r="E4022" s="6" t="s">
        <v>22</v>
      </c>
      <c r="F4022" s="6" t="n">
        <v>2</v>
      </c>
      <c r="G4022" s="10" t="n">
        <v>977</v>
      </c>
      <c r="H4022" s="10" t="n">
        <f aca="false">F4022*G4022</f>
        <v>1954</v>
      </c>
      <c r="I4022" s="6" t="s">
        <v>5130</v>
      </c>
    </row>
    <row r="4023" customFormat="false" ht="15" hidden="false" customHeight="false" outlineLevel="0" collapsed="false">
      <c r="A4023" s="6" t="s">
        <v>9246</v>
      </c>
      <c r="B4023" s="6" t="s">
        <v>1875</v>
      </c>
      <c r="C4023" s="26" t="n">
        <v>46156</v>
      </c>
      <c r="D4023" s="6" t="s">
        <v>5190</v>
      </c>
      <c r="E4023" s="6" t="s">
        <v>24</v>
      </c>
      <c r="F4023" s="6" t="n">
        <v>1</v>
      </c>
      <c r="G4023" s="10" t="n">
        <v>610</v>
      </c>
      <c r="H4023" s="10" t="n">
        <f aca="false">F4023*G4023</f>
        <v>610</v>
      </c>
      <c r="I4023" s="6" t="s">
        <v>5173</v>
      </c>
    </row>
    <row r="4024" customFormat="false" ht="15" hidden="false" customHeight="false" outlineLevel="0" collapsed="false">
      <c r="A4024" s="6" t="s">
        <v>9247</v>
      </c>
      <c r="B4024" s="6" t="s">
        <v>3211</v>
      </c>
      <c r="C4024" s="26" t="n">
        <v>46157</v>
      </c>
      <c r="D4024" s="6" t="s">
        <v>5167</v>
      </c>
      <c r="E4024" s="6" t="s">
        <v>22</v>
      </c>
      <c r="F4024" s="6" t="n">
        <v>1</v>
      </c>
      <c r="G4024" s="10" t="n">
        <v>781</v>
      </c>
      <c r="H4024" s="10" t="n">
        <f aca="false">F4024*G4024</f>
        <v>781</v>
      </c>
      <c r="I4024" s="6" t="s">
        <v>5122</v>
      </c>
    </row>
    <row r="4025" customFormat="false" ht="15" hidden="false" customHeight="false" outlineLevel="0" collapsed="false">
      <c r="A4025" s="6" t="s">
        <v>9248</v>
      </c>
      <c r="B4025" s="6" t="s">
        <v>3793</v>
      </c>
      <c r="C4025" s="26" t="n">
        <v>46157</v>
      </c>
      <c r="D4025" s="6" t="s">
        <v>5171</v>
      </c>
      <c r="E4025" s="6" t="s">
        <v>23</v>
      </c>
      <c r="F4025" s="6" t="n">
        <v>2</v>
      </c>
      <c r="G4025" s="10" t="n">
        <v>661</v>
      </c>
      <c r="H4025" s="10" t="n">
        <f aca="false">F4025*G4025</f>
        <v>1322</v>
      </c>
      <c r="I4025" s="6" t="s">
        <v>5122</v>
      </c>
    </row>
    <row r="4026" customFormat="false" ht="15" hidden="false" customHeight="false" outlineLevel="0" collapsed="false">
      <c r="A4026" s="6" t="s">
        <v>9249</v>
      </c>
      <c r="B4026" s="6" t="s">
        <v>3307</v>
      </c>
      <c r="C4026" s="26" t="n">
        <v>46157</v>
      </c>
      <c r="D4026" s="6" t="s">
        <v>5167</v>
      </c>
      <c r="E4026" s="6" t="s">
        <v>22</v>
      </c>
      <c r="F4026" s="6" t="n">
        <v>2</v>
      </c>
      <c r="G4026" s="10" t="n">
        <v>703</v>
      </c>
      <c r="H4026" s="10" t="n">
        <f aca="false">F4026*G4026</f>
        <v>1406</v>
      </c>
      <c r="I4026" s="6" t="s">
        <v>5148</v>
      </c>
    </row>
    <row r="4027" customFormat="false" ht="15" hidden="false" customHeight="false" outlineLevel="0" collapsed="false">
      <c r="A4027" s="6" t="s">
        <v>9250</v>
      </c>
      <c r="B4027" s="6" t="s">
        <v>2361</v>
      </c>
      <c r="C4027" s="26" t="n">
        <v>46157</v>
      </c>
      <c r="D4027" s="6" t="s">
        <v>5156</v>
      </c>
      <c r="E4027" s="6" t="s">
        <v>21</v>
      </c>
      <c r="F4027" s="6" t="n">
        <v>2</v>
      </c>
      <c r="G4027" s="10" t="n">
        <v>1945</v>
      </c>
      <c r="H4027" s="10" t="n">
        <f aca="false">F4027*G4027</f>
        <v>3890</v>
      </c>
      <c r="I4027" s="6" t="s">
        <v>5122</v>
      </c>
    </row>
    <row r="4028" customFormat="false" ht="15" hidden="false" customHeight="false" outlineLevel="0" collapsed="false">
      <c r="A4028" s="6" t="s">
        <v>9251</v>
      </c>
      <c r="B4028" s="6" t="s">
        <v>4661</v>
      </c>
      <c r="C4028" s="26" t="n">
        <v>46157</v>
      </c>
      <c r="D4028" s="6" t="s">
        <v>5171</v>
      </c>
      <c r="E4028" s="6" t="s">
        <v>23</v>
      </c>
      <c r="F4028" s="6" t="n">
        <v>2</v>
      </c>
      <c r="G4028" s="10" t="n">
        <v>734</v>
      </c>
      <c r="H4028" s="10" t="n">
        <f aca="false">F4028*G4028</f>
        <v>1468</v>
      </c>
      <c r="I4028" s="6" t="s">
        <v>5173</v>
      </c>
    </row>
    <row r="4029" customFormat="false" ht="15" hidden="false" customHeight="false" outlineLevel="0" collapsed="false">
      <c r="A4029" s="6" t="s">
        <v>9252</v>
      </c>
      <c r="B4029" s="6" t="s">
        <v>705</v>
      </c>
      <c r="C4029" s="26" t="n">
        <v>46157</v>
      </c>
      <c r="D4029" s="6" t="s">
        <v>5121</v>
      </c>
      <c r="E4029" s="6" t="s">
        <v>22</v>
      </c>
      <c r="F4029" s="6" t="n">
        <v>2</v>
      </c>
      <c r="G4029" s="10" t="n">
        <v>880</v>
      </c>
      <c r="H4029" s="10" t="n">
        <f aca="false">F4029*G4029</f>
        <v>1760</v>
      </c>
      <c r="I4029" s="6" t="s">
        <v>5122</v>
      </c>
    </row>
    <row r="4030" customFormat="false" ht="15" hidden="false" customHeight="false" outlineLevel="0" collapsed="false">
      <c r="A4030" s="6" t="s">
        <v>9253</v>
      </c>
      <c r="B4030" s="6" t="s">
        <v>235</v>
      </c>
      <c r="C4030" s="26" t="n">
        <v>46157</v>
      </c>
      <c r="D4030" s="6" t="s">
        <v>5154</v>
      </c>
      <c r="E4030" s="6" t="s">
        <v>21</v>
      </c>
      <c r="F4030" s="6" t="n">
        <v>1</v>
      </c>
      <c r="G4030" s="10" t="n">
        <v>707</v>
      </c>
      <c r="H4030" s="10" t="n">
        <f aca="false">F4030*G4030</f>
        <v>707</v>
      </c>
      <c r="I4030" s="6" t="s">
        <v>5148</v>
      </c>
    </row>
    <row r="4031" customFormat="false" ht="15" hidden="false" customHeight="false" outlineLevel="0" collapsed="false">
      <c r="A4031" s="6" t="s">
        <v>9254</v>
      </c>
      <c r="B4031" s="6" t="s">
        <v>3465</v>
      </c>
      <c r="C4031" s="26" t="n">
        <v>46157</v>
      </c>
      <c r="D4031" s="6" t="s">
        <v>5185</v>
      </c>
      <c r="E4031" s="6" t="s">
        <v>24</v>
      </c>
      <c r="F4031" s="6" t="n">
        <v>2</v>
      </c>
      <c r="G4031" s="10" t="n">
        <v>2033</v>
      </c>
      <c r="H4031" s="10" t="n">
        <f aca="false">F4031*G4031</f>
        <v>4066</v>
      </c>
      <c r="I4031" s="6" t="s">
        <v>5122</v>
      </c>
    </row>
    <row r="4032" customFormat="false" ht="15" hidden="false" customHeight="false" outlineLevel="0" collapsed="false">
      <c r="A4032" s="6" t="s">
        <v>9255</v>
      </c>
      <c r="B4032" s="6" t="s">
        <v>4899</v>
      </c>
      <c r="C4032" s="26" t="n">
        <v>46157</v>
      </c>
      <c r="D4032" s="6" t="s">
        <v>5281</v>
      </c>
      <c r="E4032" s="6" t="s">
        <v>24</v>
      </c>
      <c r="F4032" s="6" t="n">
        <v>2</v>
      </c>
      <c r="G4032" s="10" t="n">
        <v>814</v>
      </c>
      <c r="H4032" s="10" t="n">
        <f aca="false">F4032*G4032</f>
        <v>1628</v>
      </c>
      <c r="I4032" s="6" t="s">
        <v>5122</v>
      </c>
    </row>
    <row r="4033" customFormat="false" ht="15" hidden="false" customHeight="false" outlineLevel="0" collapsed="false">
      <c r="A4033" s="6" t="s">
        <v>9256</v>
      </c>
      <c r="B4033" s="6" t="s">
        <v>1981</v>
      </c>
      <c r="C4033" s="26" t="n">
        <v>46157</v>
      </c>
      <c r="D4033" s="6" t="s">
        <v>5165</v>
      </c>
      <c r="E4033" s="6" t="s">
        <v>22</v>
      </c>
      <c r="F4033" s="6" t="n">
        <v>1</v>
      </c>
      <c r="G4033" s="10" t="n">
        <v>928</v>
      </c>
      <c r="H4033" s="10" t="n">
        <f aca="false">F4033*G4033</f>
        <v>928</v>
      </c>
      <c r="I4033" s="6" t="s">
        <v>5122</v>
      </c>
    </row>
    <row r="4034" customFormat="false" ht="15" hidden="false" customHeight="false" outlineLevel="0" collapsed="false">
      <c r="A4034" s="6" t="s">
        <v>9257</v>
      </c>
      <c r="B4034" s="6" t="s">
        <v>1613</v>
      </c>
      <c r="C4034" s="26" t="n">
        <v>46157</v>
      </c>
      <c r="D4034" s="6" t="s">
        <v>5165</v>
      </c>
      <c r="E4034" s="6" t="s">
        <v>22</v>
      </c>
      <c r="F4034" s="6" t="n">
        <v>2</v>
      </c>
      <c r="G4034" s="10" t="n">
        <v>977</v>
      </c>
      <c r="H4034" s="10" t="n">
        <f aca="false">F4034*G4034</f>
        <v>1954</v>
      </c>
      <c r="I4034" s="6" t="s">
        <v>5122</v>
      </c>
    </row>
    <row r="4035" customFormat="false" ht="15" hidden="false" customHeight="false" outlineLevel="0" collapsed="false">
      <c r="A4035" s="6" t="s">
        <v>9258</v>
      </c>
      <c r="B4035" s="6" t="s">
        <v>689</v>
      </c>
      <c r="C4035" s="26" t="n">
        <v>46157</v>
      </c>
      <c r="D4035" s="6" t="s">
        <v>5150</v>
      </c>
      <c r="E4035" s="6" t="s">
        <v>24</v>
      </c>
      <c r="F4035" s="6" t="n">
        <v>3</v>
      </c>
      <c r="G4035" s="10" t="n">
        <v>508</v>
      </c>
      <c r="H4035" s="10" t="n">
        <f aca="false">F4035*G4035</f>
        <v>1524</v>
      </c>
      <c r="I4035" s="6" t="s">
        <v>5122</v>
      </c>
    </row>
    <row r="4036" customFormat="false" ht="15" hidden="false" customHeight="false" outlineLevel="0" collapsed="false">
      <c r="A4036" s="6" t="s">
        <v>9259</v>
      </c>
      <c r="B4036" s="6" t="s">
        <v>240</v>
      </c>
      <c r="C4036" s="26" t="n">
        <v>46157</v>
      </c>
      <c r="D4036" s="6" t="s">
        <v>5154</v>
      </c>
      <c r="E4036" s="6" t="s">
        <v>21</v>
      </c>
      <c r="F4036" s="6" t="n">
        <v>1</v>
      </c>
      <c r="G4036" s="10" t="n">
        <v>746</v>
      </c>
      <c r="H4036" s="10" t="n">
        <f aca="false">F4036*G4036</f>
        <v>746</v>
      </c>
      <c r="I4036" s="6" t="s">
        <v>5130</v>
      </c>
    </row>
    <row r="4037" customFormat="false" ht="15" hidden="false" customHeight="false" outlineLevel="0" collapsed="false">
      <c r="A4037" s="6" t="s">
        <v>9260</v>
      </c>
      <c r="B4037" s="6" t="s">
        <v>364</v>
      </c>
      <c r="C4037" s="26" t="n">
        <v>46157</v>
      </c>
      <c r="D4037" s="6" t="s">
        <v>5458</v>
      </c>
      <c r="E4037" s="6" t="s">
        <v>24</v>
      </c>
      <c r="F4037" s="6" t="n">
        <v>1</v>
      </c>
      <c r="G4037" s="10" t="n">
        <v>559</v>
      </c>
      <c r="H4037" s="10" t="n">
        <f aca="false">F4037*G4037</f>
        <v>559</v>
      </c>
      <c r="I4037" s="6" t="s">
        <v>5173</v>
      </c>
    </row>
    <row r="4038" customFormat="false" ht="15" hidden="false" customHeight="false" outlineLevel="0" collapsed="false">
      <c r="A4038" s="6" t="s">
        <v>9261</v>
      </c>
      <c r="B4038" s="6" t="s">
        <v>4181</v>
      </c>
      <c r="C4038" s="26" t="n">
        <v>46157</v>
      </c>
      <c r="D4038" s="6" t="s">
        <v>5158</v>
      </c>
      <c r="E4038" s="6" t="s">
        <v>24</v>
      </c>
      <c r="F4038" s="6" t="n">
        <v>2</v>
      </c>
      <c r="G4038" s="10" t="n">
        <v>390</v>
      </c>
      <c r="H4038" s="10" t="n">
        <f aca="false">F4038*G4038</f>
        <v>780</v>
      </c>
      <c r="I4038" s="6" t="s">
        <v>5122</v>
      </c>
    </row>
    <row r="4039" customFormat="false" ht="15" hidden="false" customHeight="false" outlineLevel="0" collapsed="false">
      <c r="A4039" s="6" t="s">
        <v>9262</v>
      </c>
      <c r="B4039" s="6" t="s">
        <v>3273</v>
      </c>
      <c r="C4039" s="26" t="n">
        <v>46157</v>
      </c>
      <c r="D4039" s="6" t="s">
        <v>5121</v>
      </c>
      <c r="E4039" s="6" t="s">
        <v>22</v>
      </c>
      <c r="F4039" s="6" t="n">
        <v>2</v>
      </c>
      <c r="G4039" s="10" t="n">
        <v>977</v>
      </c>
      <c r="H4039" s="10" t="n">
        <f aca="false">F4039*G4039</f>
        <v>1954</v>
      </c>
      <c r="I4039" s="6" t="s">
        <v>5130</v>
      </c>
    </row>
    <row r="4040" customFormat="false" ht="15" hidden="false" customHeight="false" outlineLevel="0" collapsed="false">
      <c r="A4040" s="6" t="s">
        <v>9263</v>
      </c>
      <c r="B4040" s="6" t="s">
        <v>2149</v>
      </c>
      <c r="C4040" s="26" t="n">
        <v>46157</v>
      </c>
      <c r="D4040" s="6" t="s">
        <v>5167</v>
      </c>
      <c r="E4040" s="6" t="s">
        <v>22</v>
      </c>
      <c r="F4040" s="6" t="n">
        <v>1</v>
      </c>
      <c r="G4040" s="10" t="n">
        <v>782</v>
      </c>
      <c r="H4040" s="10" t="n">
        <f aca="false">F4040*G4040</f>
        <v>782</v>
      </c>
      <c r="I4040" s="6" t="s">
        <v>5148</v>
      </c>
    </row>
    <row r="4041" customFormat="false" ht="15" hidden="false" customHeight="false" outlineLevel="0" collapsed="false">
      <c r="A4041" s="6" t="s">
        <v>9264</v>
      </c>
      <c r="B4041" s="6" t="s">
        <v>3195</v>
      </c>
      <c r="C4041" s="26" t="n">
        <v>46157</v>
      </c>
      <c r="D4041" s="6" t="s">
        <v>5305</v>
      </c>
      <c r="E4041" s="6" t="s">
        <v>20</v>
      </c>
      <c r="F4041" s="6" t="n">
        <v>1</v>
      </c>
      <c r="G4041" s="10" t="n">
        <v>1631</v>
      </c>
      <c r="H4041" s="10" t="n">
        <f aca="false">F4041*G4041</f>
        <v>1631</v>
      </c>
      <c r="I4041" s="6" t="s">
        <v>5130</v>
      </c>
    </row>
    <row r="4042" customFormat="false" ht="15" hidden="false" customHeight="false" outlineLevel="0" collapsed="false">
      <c r="A4042" s="6" t="s">
        <v>9265</v>
      </c>
      <c r="B4042" s="6" t="s">
        <v>1503</v>
      </c>
      <c r="C4042" s="26" t="n">
        <v>46157</v>
      </c>
      <c r="D4042" s="6" t="s">
        <v>5163</v>
      </c>
      <c r="E4042" s="6" t="s">
        <v>23</v>
      </c>
      <c r="F4042" s="6" t="n">
        <v>4</v>
      </c>
      <c r="G4042" s="10" t="n">
        <v>783</v>
      </c>
      <c r="H4042" s="10" t="n">
        <f aca="false">F4042*G4042</f>
        <v>3132</v>
      </c>
      <c r="I4042" s="6" t="s">
        <v>5173</v>
      </c>
    </row>
    <row r="4043" customFormat="false" ht="15" hidden="false" customHeight="false" outlineLevel="0" collapsed="false">
      <c r="A4043" s="6" t="s">
        <v>9266</v>
      </c>
      <c r="B4043" s="6" t="s">
        <v>3529</v>
      </c>
      <c r="C4043" s="26" t="n">
        <v>46157</v>
      </c>
      <c r="D4043" s="6" t="s">
        <v>5235</v>
      </c>
      <c r="E4043" s="6" t="s">
        <v>21</v>
      </c>
      <c r="F4043" s="6" t="n">
        <v>1</v>
      </c>
      <c r="G4043" s="10" t="n">
        <v>1670</v>
      </c>
      <c r="H4043" s="10" t="n">
        <f aca="false">F4043*G4043</f>
        <v>1670</v>
      </c>
      <c r="I4043" s="6" t="s">
        <v>5133</v>
      </c>
    </row>
    <row r="4044" customFormat="false" ht="15" hidden="false" customHeight="false" outlineLevel="0" collapsed="false">
      <c r="A4044" s="6" t="s">
        <v>9267</v>
      </c>
      <c r="B4044" s="6" t="s">
        <v>170</v>
      </c>
      <c r="C4044" s="26" t="n">
        <v>46157</v>
      </c>
      <c r="D4044" s="6" t="s">
        <v>5237</v>
      </c>
      <c r="E4044" s="6" t="s">
        <v>24</v>
      </c>
      <c r="F4044" s="6" t="n">
        <v>2</v>
      </c>
      <c r="G4044" s="10" t="n">
        <v>1833</v>
      </c>
      <c r="H4044" s="10" t="n">
        <f aca="false">F4044*G4044</f>
        <v>3666</v>
      </c>
      <c r="I4044" s="6" t="s">
        <v>5122</v>
      </c>
    </row>
    <row r="4045" customFormat="false" ht="15" hidden="false" customHeight="false" outlineLevel="0" collapsed="false">
      <c r="A4045" s="6" t="s">
        <v>9268</v>
      </c>
      <c r="B4045" s="6" t="s">
        <v>1737</v>
      </c>
      <c r="C4045" s="26" t="n">
        <v>46157</v>
      </c>
      <c r="D4045" s="6" t="s">
        <v>5145</v>
      </c>
      <c r="E4045" s="6" t="s">
        <v>21</v>
      </c>
      <c r="F4045" s="6" t="n">
        <v>1</v>
      </c>
      <c r="G4045" s="10" t="n">
        <v>1277</v>
      </c>
      <c r="H4045" s="10" t="n">
        <f aca="false">F4045*G4045</f>
        <v>1277</v>
      </c>
      <c r="I4045" s="6" t="s">
        <v>5125</v>
      </c>
    </row>
    <row r="4046" customFormat="false" ht="15" hidden="false" customHeight="false" outlineLevel="0" collapsed="false">
      <c r="A4046" s="6" t="s">
        <v>9269</v>
      </c>
      <c r="B4046" s="6" t="s">
        <v>2327</v>
      </c>
      <c r="C4046" s="26" t="n">
        <v>46157</v>
      </c>
      <c r="D4046" s="6" t="s">
        <v>5561</v>
      </c>
      <c r="E4046" s="6" t="s">
        <v>20</v>
      </c>
      <c r="F4046" s="6" t="n">
        <v>1</v>
      </c>
      <c r="G4046" s="10" t="n">
        <v>3364</v>
      </c>
      <c r="H4046" s="10" t="n">
        <f aca="false">F4046*G4046</f>
        <v>3364</v>
      </c>
      <c r="I4046" s="6" t="s">
        <v>5148</v>
      </c>
    </row>
    <row r="4047" customFormat="false" ht="15" hidden="false" customHeight="false" outlineLevel="0" collapsed="false">
      <c r="A4047" s="6" t="s">
        <v>9270</v>
      </c>
      <c r="B4047" s="6" t="s">
        <v>3037</v>
      </c>
      <c r="C4047" s="26" t="n">
        <v>46157</v>
      </c>
      <c r="D4047" s="6" t="s">
        <v>5163</v>
      </c>
      <c r="E4047" s="6" t="s">
        <v>23</v>
      </c>
      <c r="F4047" s="6" t="n">
        <v>3</v>
      </c>
      <c r="G4047" s="10" t="n">
        <v>705</v>
      </c>
      <c r="H4047" s="10" t="n">
        <f aca="false">F4047*G4047</f>
        <v>2115</v>
      </c>
      <c r="I4047" s="6" t="s">
        <v>5122</v>
      </c>
    </row>
    <row r="4048" customFormat="false" ht="15" hidden="false" customHeight="false" outlineLevel="0" collapsed="false">
      <c r="A4048" s="6" t="s">
        <v>9271</v>
      </c>
      <c r="B4048" s="6" t="s">
        <v>4369</v>
      </c>
      <c r="C4048" s="26" t="n">
        <v>46157</v>
      </c>
      <c r="D4048" s="6" t="s">
        <v>5749</v>
      </c>
      <c r="E4048" s="6" t="s">
        <v>20</v>
      </c>
      <c r="F4048" s="6" t="n">
        <v>1</v>
      </c>
      <c r="G4048" s="10" t="n">
        <v>733</v>
      </c>
      <c r="H4048" s="10" t="n">
        <f aca="false">F4048*G4048</f>
        <v>733</v>
      </c>
      <c r="I4048" s="6" t="s">
        <v>5122</v>
      </c>
    </row>
    <row r="4049" customFormat="false" ht="15" hidden="false" customHeight="false" outlineLevel="0" collapsed="false">
      <c r="A4049" s="6" t="s">
        <v>9272</v>
      </c>
      <c r="B4049" s="6" t="s">
        <v>1137</v>
      </c>
      <c r="C4049" s="26" t="n">
        <v>46157</v>
      </c>
      <c r="D4049" s="6" t="s">
        <v>5167</v>
      </c>
      <c r="E4049" s="6" t="s">
        <v>22</v>
      </c>
      <c r="F4049" s="6" t="n">
        <v>2</v>
      </c>
      <c r="G4049" s="10" t="n">
        <v>782</v>
      </c>
      <c r="H4049" s="10" t="n">
        <f aca="false">F4049*G4049</f>
        <v>1564</v>
      </c>
      <c r="I4049" s="6" t="s">
        <v>5122</v>
      </c>
    </row>
    <row r="4050" customFormat="false" ht="15" hidden="false" customHeight="false" outlineLevel="0" collapsed="false">
      <c r="A4050" s="6" t="s">
        <v>9273</v>
      </c>
      <c r="B4050" s="6" t="s">
        <v>3861</v>
      </c>
      <c r="C4050" s="26" t="n">
        <v>46157</v>
      </c>
      <c r="D4050" s="6" t="s">
        <v>5410</v>
      </c>
      <c r="E4050" s="6" t="s">
        <v>20</v>
      </c>
      <c r="F4050" s="6" t="n">
        <v>1</v>
      </c>
      <c r="G4050" s="10" t="n">
        <v>2294</v>
      </c>
      <c r="H4050" s="10" t="n">
        <f aca="false">F4050*G4050</f>
        <v>2294</v>
      </c>
      <c r="I4050" s="6" t="s">
        <v>5130</v>
      </c>
    </row>
    <row r="4051" customFormat="false" ht="15" hidden="false" customHeight="false" outlineLevel="0" collapsed="false">
      <c r="A4051" s="6" t="s">
        <v>9274</v>
      </c>
      <c r="B4051" s="6" t="s">
        <v>4623</v>
      </c>
      <c r="C4051" s="26" t="n">
        <v>46157</v>
      </c>
      <c r="D4051" s="6" t="s">
        <v>5488</v>
      </c>
      <c r="E4051" s="6" t="s">
        <v>24</v>
      </c>
      <c r="F4051" s="6" t="n">
        <v>2</v>
      </c>
      <c r="G4051" s="10" t="n">
        <v>866</v>
      </c>
      <c r="H4051" s="10" t="n">
        <f aca="false">F4051*G4051</f>
        <v>1732</v>
      </c>
      <c r="I4051" s="6" t="s">
        <v>5130</v>
      </c>
    </row>
    <row r="4052" customFormat="false" ht="15" hidden="false" customHeight="false" outlineLevel="0" collapsed="false">
      <c r="A4052" s="6" t="s">
        <v>9275</v>
      </c>
      <c r="B4052" s="6" t="s">
        <v>2555</v>
      </c>
      <c r="C4052" s="26" t="n">
        <v>46157</v>
      </c>
      <c r="D4052" s="6" t="s">
        <v>5167</v>
      </c>
      <c r="E4052" s="6" t="s">
        <v>22</v>
      </c>
      <c r="F4052" s="6" t="n">
        <v>2</v>
      </c>
      <c r="G4052" s="10" t="n">
        <v>703</v>
      </c>
      <c r="H4052" s="10" t="n">
        <f aca="false">F4052*G4052</f>
        <v>1406</v>
      </c>
      <c r="I4052" s="6" t="s">
        <v>5148</v>
      </c>
    </row>
    <row r="4053" customFormat="false" ht="15" hidden="false" customHeight="false" outlineLevel="0" collapsed="false">
      <c r="A4053" s="6" t="s">
        <v>9276</v>
      </c>
      <c r="B4053" s="6" t="s">
        <v>4035</v>
      </c>
      <c r="C4053" s="26" t="n">
        <v>46157</v>
      </c>
      <c r="D4053" s="6" t="s">
        <v>5135</v>
      </c>
      <c r="E4053" s="6" t="s">
        <v>23</v>
      </c>
      <c r="F4053" s="6" t="n">
        <v>2</v>
      </c>
      <c r="G4053" s="10" t="n">
        <v>419</v>
      </c>
      <c r="H4053" s="10" t="n">
        <f aca="false">F4053*G4053</f>
        <v>838</v>
      </c>
      <c r="I4053" s="6" t="s">
        <v>5125</v>
      </c>
    </row>
    <row r="4054" customFormat="false" ht="15" hidden="false" customHeight="false" outlineLevel="0" collapsed="false">
      <c r="A4054" s="6" t="s">
        <v>9277</v>
      </c>
      <c r="B4054" s="6" t="s">
        <v>1369</v>
      </c>
      <c r="C4054" s="26" t="n">
        <v>46158</v>
      </c>
      <c r="D4054" s="6" t="s">
        <v>5410</v>
      </c>
      <c r="E4054" s="6" t="s">
        <v>20</v>
      </c>
      <c r="F4054" s="6" t="n">
        <v>2</v>
      </c>
      <c r="G4054" s="10" t="n">
        <v>2548</v>
      </c>
      <c r="H4054" s="10" t="n">
        <f aca="false">F4054*G4054</f>
        <v>5096</v>
      </c>
      <c r="I4054" s="6" t="s">
        <v>5122</v>
      </c>
    </row>
    <row r="4055" customFormat="false" ht="15" hidden="false" customHeight="false" outlineLevel="0" collapsed="false">
      <c r="A4055" s="6" t="s">
        <v>9278</v>
      </c>
      <c r="B4055" s="6" t="s">
        <v>5071</v>
      </c>
      <c r="C4055" s="26" t="n">
        <v>46158</v>
      </c>
      <c r="D4055" s="6" t="s">
        <v>5197</v>
      </c>
      <c r="E4055" s="6" t="s">
        <v>21</v>
      </c>
      <c r="F4055" s="6" t="n">
        <v>1</v>
      </c>
      <c r="G4055" s="10" t="n">
        <v>1026</v>
      </c>
      <c r="H4055" s="10" t="n">
        <f aca="false">F4055*G4055</f>
        <v>1026</v>
      </c>
      <c r="I4055" s="6" t="s">
        <v>5130</v>
      </c>
    </row>
    <row r="4056" customFormat="false" ht="15" hidden="false" customHeight="false" outlineLevel="0" collapsed="false">
      <c r="A4056" s="6" t="s">
        <v>9279</v>
      </c>
      <c r="B4056" s="6" t="s">
        <v>3433</v>
      </c>
      <c r="C4056" s="26" t="n">
        <v>46158</v>
      </c>
      <c r="D4056" s="6" t="s">
        <v>5357</v>
      </c>
      <c r="E4056" s="6" t="s">
        <v>23</v>
      </c>
      <c r="F4056" s="6" t="n">
        <v>4</v>
      </c>
      <c r="G4056" s="10" t="n">
        <v>507</v>
      </c>
      <c r="H4056" s="10" t="n">
        <f aca="false">F4056*G4056</f>
        <v>2028</v>
      </c>
      <c r="I4056" s="6" t="s">
        <v>5125</v>
      </c>
    </row>
    <row r="4057" customFormat="false" ht="15" hidden="false" customHeight="false" outlineLevel="0" collapsed="false">
      <c r="A4057" s="6" t="s">
        <v>9280</v>
      </c>
      <c r="B4057" s="6" t="s">
        <v>4181</v>
      </c>
      <c r="C4057" s="26" t="n">
        <v>46158</v>
      </c>
      <c r="D4057" s="6" t="s">
        <v>5345</v>
      </c>
      <c r="E4057" s="6" t="s">
        <v>23</v>
      </c>
      <c r="F4057" s="6" t="n">
        <v>2</v>
      </c>
      <c r="G4057" s="10" t="n">
        <v>436</v>
      </c>
      <c r="H4057" s="10" t="n">
        <f aca="false">F4057*G4057</f>
        <v>872</v>
      </c>
      <c r="I4057" s="6" t="s">
        <v>5130</v>
      </c>
    </row>
    <row r="4058" customFormat="false" ht="15" hidden="false" customHeight="false" outlineLevel="0" collapsed="false">
      <c r="A4058" s="6" t="s">
        <v>9281</v>
      </c>
      <c r="B4058" s="6" t="s">
        <v>2715</v>
      </c>
      <c r="C4058" s="26" t="n">
        <v>46158</v>
      </c>
      <c r="D4058" s="6" t="s">
        <v>5207</v>
      </c>
      <c r="E4058" s="6" t="s">
        <v>20</v>
      </c>
      <c r="F4058" s="6" t="n">
        <v>1</v>
      </c>
      <c r="G4058" s="10" t="n">
        <v>1325</v>
      </c>
      <c r="H4058" s="10" t="n">
        <f aca="false">F4058*G4058</f>
        <v>1325</v>
      </c>
      <c r="I4058" s="6" t="s">
        <v>5122</v>
      </c>
    </row>
    <row r="4059" customFormat="false" ht="15" hidden="false" customHeight="false" outlineLevel="0" collapsed="false">
      <c r="A4059" s="6" t="s">
        <v>9282</v>
      </c>
      <c r="B4059" s="6" t="s">
        <v>459</v>
      </c>
      <c r="C4059" s="26" t="n">
        <v>46158</v>
      </c>
      <c r="D4059" s="6" t="s">
        <v>5121</v>
      </c>
      <c r="E4059" s="6" t="s">
        <v>22</v>
      </c>
      <c r="F4059" s="6" t="n">
        <v>1</v>
      </c>
      <c r="G4059" s="10" t="n">
        <v>977</v>
      </c>
      <c r="H4059" s="10" t="n">
        <f aca="false">F4059*G4059</f>
        <v>977</v>
      </c>
      <c r="I4059" s="6" t="s">
        <v>5122</v>
      </c>
    </row>
    <row r="4060" customFormat="false" ht="15" hidden="false" customHeight="false" outlineLevel="0" collapsed="false">
      <c r="A4060" s="6" t="s">
        <v>9283</v>
      </c>
      <c r="B4060" s="6" t="s">
        <v>3479</v>
      </c>
      <c r="C4060" s="26" t="n">
        <v>46158</v>
      </c>
      <c r="D4060" s="6" t="s">
        <v>5154</v>
      </c>
      <c r="E4060" s="6" t="s">
        <v>21</v>
      </c>
      <c r="F4060" s="6" t="n">
        <v>1</v>
      </c>
      <c r="G4060" s="10" t="n">
        <v>785</v>
      </c>
      <c r="H4060" s="10" t="n">
        <f aca="false">F4060*G4060</f>
        <v>785</v>
      </c>
      <c r="I4060" s="6" t="s">
        <v>5125</v>
      </c>
    </row>
    <row r="4061" customFormat="false" ht="15" hidden="false" customHeight="false" outlineLevel="0" collapsed="false">
      <c r="A4061" s="6" t="s">
        <v>9284</v>
      </c>
      <c r="B4061" s="6" t="s">
        <v>755</v>
      </c>
      <c r="C4061" s="26" t="n">
        <v>46158</v>
      </c>
      <c r="D4061" s="6" t="s">
        <v>5188</v>
      </c>
      <c r="E4061" s="6" t="s">
        <v>24</v>
      </c>
      <c r="F4061" s="6" t="n">
        <v>2</v>
      </c>
      <c r="G4061" s="10" t="n">
        <v>916</v>
      </c>
      <c r="H4061" s="10" t="n">
        <f aca="false">F4061*G4061</f>
        <v>1832</v>
      </c>
      <c r="I4061" s="6" t="s">
        <v>5122</v>
      </c>
    </row>
    <row r="4062" customFormat="false" ht="15" hidden="false" customHeight="false" outlineLevel="0" collapsed="false">
      <c r="A4062" s="6" t="s">
        <v>9285</v>
      </c>
      <c r="B4062" s="6" t="s">
        <v>1757</v>
      </c>
      <c r="C4062" s="26" t="n">
        <v>46158</v>
      </c>
      <c r="D4062" s="6" t="s">
        <v>5163</v>
      </c>
      <c r="E4062" s="6" t="s">
        <v>23</v>
      </c>
      <c r="F4062" s="6" t="n">
        <v>1</v>
      </c>
      <c r="G4062" s="10" t="n">
        <v>705</v>
      </c>
      <c r="H4062" s="10" t="n">
        <f aca="false">F4062*G4062</f>
        <v>705</v>
      </c>
      <c r="I4062" s="6" t="s">
        <v>5122</v>
      </c>
    </row>
    <row r="4063" customFormat="false" ht="15" hidden="false" customHeight="false" outlineLevel="0" collapsed="false">
      <c r="A4063" s="6" t="s">
        <v>9286</v>
      </c>
      <c r="B4063" s="6" t="s">
        <v>1847</v>
      </c>
      <c r="C4063" s="26" t="n">
        <v>46158</v>
      </c>
      <c r="D4063" s="6" t="s">
        <v>5163</v>
      </c>
      <c r="E4063" s="6" t="s">
        <v>23</v>
      </c>
      <c r="F4063" s="6" t="n">
        <v>4</v>
      </c>
      <c r="G4063" s="10" t="n">
        <v>783</v>
      </c>
      <c r="H4063" s="10" t="n">
        <f aca="false">F4063*G4063</f>
        <v>3132</v>
      </c>
      <c r="I4063" s="6" t="s">
        <v>5122</v>
      </c>
    </row>
    <row r="4064" customFormat="false" ht="15" hidden="false" customHeight="false" outlineLevel="0" collapsed="false">
      <c r="A4064" s="6" t="s">
        <v>9287</v>
      </c>
      <c r="B4064" s="6" t="s">
        <v>2027</v>
      </c>
      <c r="C4064" s="26" t="n">
        <v>46158</v>
      </c>
      <c r="D4064" s="6" t="s">
        <v>5124</v>
      </c>
      <c r="E4064" s="6" t="s">
        <v>21</v>
      </c>
      <c r="F4064" s="6" t="n">
        <v>1</v>
      </c>
      <c r="G4064" s="10" t="n">
        <v>3439</v>
      </c>
      <c r="H4064" s="10" t="n">
        <f aca="false">F4064*G4064</f>
        <v>3439</v>
      </c>
      <c r="I4064" s="6" t="s">
        <v>5122</v>
      </c>
    </row>
    <row r="4065" customFormat="false" ht="15" hidden="false" customHeight="false" outlineLevel="0" collapsed="false">
      <c r="A4065" s="6" t="s">
        <v>9288</v>
      </c>
      <c r="B4065" s="6" t="s">
        <v>689</v>
      </c>
      <c r="C4065" s="26" t="n">
        <v>46158</v>
      </c>
      <c r="D4065" s="6" t="s">
        <v>5235</v>
      </c>
      <c r="E4065" s="6" t="s">
        <v>21</v>
      </c>
      <c r="F4065" s="6" t="n">
        <v>1</v>
      </c>
      <c r="G4065" s="10" t="n">
        <v>1670</v>
      </c>
      <c r="H4065" s="10" t="n">
        <f aca="false">F4065*G4065</f>
        <v>1670</v>
      </c>
      <c r="I4065" s="6" t="s">
        <v>5130</v>
      </c>
    </row>
    <row r="4066" customFormat="false" ht="15" hidden="false" customHeight="false" outlineLevel="0" collapsed="false">
      <c r="A4066" s="6" t="s">
        <v>9289</v>
      </c>
      <c r="B4066" s="6" t="s">
        <v>2065</v>
      </c>
      <c r="C4066" s="26" t="n">
        <v>46158</v>
      </c>
      <c r="D4066" s="6" t="s">
        <v>5190</v>
      </c>
      <c r="E4066" s="6" t="s">
        <v>24</v>
      </c>
      <c r="F4066" s="6" t="n">
        <v>2</v>
      </c>
      <c r="G4066" s="10" t="n">
        <v>580</v>
      </c>
      <c r="H4066" s="10" t="n">
        <f aca="false">F4066*G4066</f>
        <v>1160</v>
      </c>
      <c r="I4066" s="6" t="s">
        <v>5122</v>
      </c>
    </row>
    <row r="4067" customFormat="false" ht="15" hidden="false" customHeight="false" outlineLevel="0" collapsed="false">
      <c r="A4067" s="6" t="s">
        <v>9290</v>
      </c>
      <c r="B4067" s="6" t="s">
        <v>953</v>
      </c>
      <c r="C4067" s="26" t="n">
        <v>46158</v>
      </c>
      <c r="D4067" s="6" t="s">
        <v>5226</v>
      </c>
      <c r="E4067" s="6" t="s">
        <v>24</v>
      </c>
      <c r="F4067" s="6" t="n">
        <v>3</v>
      </c>
      <c r="G4067" s="10" t="n">
        <v>457</v>
      </c>
      <c r="H4067" s="10" t="n">
        <f aca="false">F4067*G4067</f>
        <v>1371</v>
      </c>
      <c r="I4067" s="6" t="s">
        <v>5122</v>
      </c>
    </row>
    <row r="4068" customFormat="false" ht="15" hidden="false" customHeight="false" outlineLevel="0" collapsed="false">
      <c r="A4068" s="6" t="s">
        <v>9291</v>
      </c>
      <c r="B4068" s="6" t="s">
        <v>1529</v>
      </c>
      <c r="C4068" s="26" t="n">
        <v>46158</v>
      </c>
      <c r="D4068" s="6" t="s">
        <v>5410</v>
      </c>
      <c r="E4068" s="6" t="s">
        <v>20</v>
      </c>
      <c r="F4068" s="6" t="n">
        <v>3</v>
      </c>
      <c r="G4068" s="10" t="n">
        <v>2548</v>
      </c>
      <c r="H4068" s="10" t="n">
        <f aca="false">F4068*G4068</f>
        <v>7644</v>
      </c>
      <c r="I4068" s="6" t="s">
        <v>5130</v>
      </c>
    </row>
    <row r="4069" customFormat="false" ht="15" hidden="false" customHeight="false" outlineLevel="0" collapsed="false">
      <c r="A4069" s="6" t="s">
        <v>9292</v>
      </c>
      <c r="B4069" s="6" t="s">
        <v>745</v>
      </c>
      <c r="C4069" s="26" t="n">
        <v>46158</v>
      </c>
      <c r="D4069" s="6" t="s">
        <v>5197</v>
      </c>
      <c r="E4069" s="6" t="s">
        <v>21</v>
      </c>
      <c r="F4069" s="6" t="n">
        <v>1</v>
      </c>
      <c r="G4069" s="10" t="n">
        <v>1080</v>
      </c>
      <c r="H4069" s="10" t="n">
        <f aca="false">F4069*G4069</f>
        <v>1080</v>
      </c>
      <c r="I4069" s="6" t="s">
        <v>5173</v>
      </c>
    </row>
    <row r="4070" customFormat="false" ht="15" hidden="false" customHeight="false" outlineLevel="0" collapsed="false">
      <c r="A4070" s="6" t="s">
        <v>9293</v>
      </c>
      <c r="B4070" s="6" t="s">
        <v>3743</v>
      </c>
      <c r="C4070" s="26" t="n">
        <v>46158</v>
      </c>
      <c r="D4070" s="6" t="s">
        <v>5466</v>
      </c>
      <c r="E4070" s="6" t="s">
        <v>21</v>
      </c>
      <c r="F4070" s="6" t="n">
        <v>1</v>
      </c>
      <c r="G4070" s="10" t="n">
        <v>1768</v>
      </c>
      <c r="H4070" s="10" t="n">
        <f aca="false">F4070*G4070</f>
        <v>1768</v>
      </c>
      <c r="I4070" s="6" t="s">
        <v>5130</v>
      </c>
    </row>
    <row r="4071" customFormat="false" ht="15" hidden="false" customHeight="false" outlineLevel="0" collapsed="false">
      <c r="A4071" s="6" t="s">
        <v>9294</v>
      </c>
      <c r="B4071" s="6" t="s">
        <v>5073</v>
      </c>
      <c r="C4071" s="26" t="n">
        <v>46158</v>
      </c>
      <c r="D4071" s="6" t="s">
        <v>5316</v>
      </c>
      <c r="E4071" s="6" t="s">
        <v>23</v>
      </c>
      <c r="F4071" s="6" t="n">
        <v>3</v>
      </c>
      <c r="G4071" s="10" t="n">
        <v>260</v>
      </c>
      <c r="H4071" s="10" t="n">
        <f aca="false">F4071*G4071</f>
        <v>780</v>
      </c>
      <c r="I4071" s="6" t="s">
        <v>5130</v>
      </c>
    </row>
    <row r="4072" customFormat="false" ht="15" hidden="false" customHeight="false" outlineLevel="0" collapsed="false">
      <c r="A4072" s="6" t="s">
        <v>9295</v>
      </c>
      <c r="B4072" s="6" t="s">
        <v>491</v>
      </c>
      <c r="C4072" s="26" t="n">
        <v>46158</v>
      </c>
      <c r="D4072" s="6" t="s">
        <v>5313</v>
      </c>
      <c r="E4072" s="6" t="s">
        <v>22</v>
      </c>
      <c r="F4072" s="6" t="n">
        <v>1</v>
      </c>
      <c r="G4072" s="10" t="n">
        <v>1760</v>
      </c>
      <c r="H4072" s="10" t="n">
        <f aca="false">F4072*G4072</f>
        <v>1760</v>
      </c>
      <c r="I4072" s="6" t="s">
        <v>5148</v>
      </c>
    </row>
    <row r="4073" customFormat="false" ht="15" hidden="false" customHeight="false" outlineLevel="0" collapsed="false">
      <c r="A4073" s="6" t="s">
        <v>9296</v>
      </c>
      <c r="B4073" s="6" t="s">
        <v>3249</v>
      </c>
      <c r="C4073" s="26" t="n">
        <v>46158</v>
      </c>
      <c r="D4073" s="6" t="s">
        <v>5197</v>
      </c>
      <c r="E4073" s="6" t="s">
        <v>21</v>
      </c>
      <c r="F4073" s="6" t="n">
        <v>1</v>
      </c>
      <c r="G4073" s="10" t="n">
        <v>1026</v>
      </c>
      <c r="H4073" s="10" t="n">
        <f aca="false">F4073*G4073</f>
        <v>1026</v>
      </c>
      <c r="I4073" s="6" t="s">
        <v>5122</v>
      </c>
    </row>
    <row r="4074" customFormat="false" ht="15" hidden="false" customHeight="false" outlineLevel="0" collapsed="false">
      <c r="A4074" s="6" t="s">
        <v>9297</v>
      </c>
      <c r="B4074" s="6" t="s">
        <v>1679</v>
      </c>
      <c r="C4074" s="26" t="n">
        <v>46158</v>
      </c>
      <c r="D4074" s="6" t="s">
        <v>5339</v>
      </c>
      <c r="E4074" s="6" t="s">
        <v>24</v>
      </c>
      <c r="F4074" s="6" t="n">
        <v>1</v>
      </c>
      <c r="G4074" s="10" t="n">
        <v>458</v>
      </c>
      <c r="H4074" s="10" t="n">
        <f aca="false">F4074*G4074</f>
        <v>458</v>
      </c>
      <c r="I4074" s="6" t="s">
        <v>5122</v>
      </c>
    </row>
    <row r="4075" customFormat="false" ht="15" hidden="false" customHeight="false" outlineLevel="0" collapsed="false">
      <c r="A4075" s="6" t="s">
        <v>9298</v>
      </c>
      <c r="B4075" s="6" t="s">
        <v>2357</v>
      </c>
      <c r="C4075" s="26" t="n">
        <v>46158</v>
      </c>
      <c r="D4075" s="6" t="s">
        <v>5127</v>
      </c>
      <c r="E4075" s="6" t="s">
        <v>21</v>
      </c>
      <c r="F4075" s="6" t="n">
        <v>1</v>
      </c>
      <c r="G4075" s="10" t="n">
        <v>795</v>
      </c>
      <c r="H4075" s="10" t="n">
        <f aca="false">F4075*G4075</f>
        <v>795</v>
      </c>
      <c r="I4075" s="6" t="s">
        <v>5122</v>
      </c>
    </row>
    <row r="4076" customFormat="false" ht="15" hidden="false" customHeight="false" outlineLevel="0" collapsed="false">
      <c r="A4076" s="6" t="s">
        <v>9299</v>
      </c>
      <c r="B4076" s="6" t="s">
        <v>5061</v>
      </c>
      <c r="C4076" s="26" t="n">
        <v>46158</v>
      </c>
      <c r="D4076" s="6" t="s">
        <v>5169</v>
      </c>
      <c r="E4076" s="6" t="s">
        <v>20</v>
      </c>
      <c r="F4076" s="6" t="n">
        <v>1</v>
      </c>
      <c r="G4076" s="10" t="n">
        <v>5097</v>
      </c>
      <c r="H4076" s="10" t="n">
        <f aca="false">F4076*G4076</f>
        <v>5097</v>
      </c>
      <c r="I4076" s="6" t="s">
        <v>5148</v>
      </c>
    </row>
    <row r="4077" customFormat="false" ht="15" hidden="false" customHeight="false" outlineLevel="0" collapsed="false">
      <c r="A4077" s="6" t="s">
        <v>9300</v>
      </c>
      <c r="B4077" s="6" t="s">
        <v>2661</v>
      </c>
      <c r="C4077" s="26" t="n">
        <v>46158</v>
      </c>
      <c r="D4077" s="6" t="s">
        <v>5357</v>
      </c>
      <c r="E4077" s="6" t="s">
        <v>23</v>
      </c>
      <c r="F4077" s="6" t="n">
        <v>2</v>
      </c>
      <c r="G4077" s="10" t="n">
        <v>534</v>
      </c>
      <c r="H4077" s="10" t="n">
        <f aca="false">F4077*G4077</f>
        <v>1068</v>
      </c>
      <c r="I4077" s="6" t="s">
        <v>5148</v>
      </c>
    </row>
    <row r="4078" customFormat="false" ht="15" hidden="false" customHeight="false" outlineLevel="0" collapsed="false">
      <c r="A4078" s="6" t="s">
        <v>9301</v>
      </c>
      <c r="B4078" s="6" t="s">
        <v>993</v>
      </c>
      <c r="C4078" s="26" t="n">
        <v>46158</v>
      </c>
      <c r="D4078" s="6" t="s">
        <v>5129</v>
      </c>
      <c r="E4078" s="6" t="s">
        <v>21</v>
      </c>
      <c r="F4078" s="6" t="n">
        <v>1</v>
      </c>
      <c r="G4078" s="10" t="n">
        <v>589</v>
      </c>
      <c r="H4078" s="10" t="n">
        <f aca="false">F4078*G4078</f>
        <v>589</v>
      </c>
      <c r="I4078" s="6" t="s">
        <v>5148</v>
      </c>
    </row>
    <row r="4079" customFormat="false" ht="15" hidden="false" customHeight="false" outlineLevel="0" collapsed="false">
      <c r="A4079" s="6" t="s">
        <v>9302</v>
      </c>
      <c r="B4079" s="6" t="s">
        <v>3451</v>
      </c>
      <c r="C4079" s="26" t="n">
        <v>46158</v>
      </c>
      <c r="D4079" s="6" t="s">
        <v>5318</v>
      </c>
      <c r="E4079" s="6" t="s">
        <v>20</v>
      </c>
      <c r="F4079" s="6" t="n">
        <v>1</v>
      </c>
      <c r="G4079" s="10" t="n">
        <v>1529</v>
      </c>
      <c r="H4079" s="10" t="n">
        <f aca="false">F4079*G4079</f>
        <v>1529</v>
      </c>
      <c r="I4079" s="6" t="s">
        <v>5148</v>
      </c>
    </row>
    <row r="4080" customFormat="false" ht="15" hidden="false" customHeight="false" outlineLevel="0" collapsed="false">
      <c r="A4080" s="6" t="s">
        <v>9303</v>
      </c>
      <c r="B4080" s="6" t="s">
        <v>3413</v>
      </c>
      <c r="C4080" s="26" t="n">
        <v>46158</v>
      </c>
      <c r="D4080" s="6" t="s">
        <v>5561</v>
      </c>
      <c r="E4080" s="6" t="s">
        <v>20</v>
      </c>
      <c r="F4080" s="6" t="n">
        <v>1</v>
      </c>
      <c r="G4080" s="10" t="n">
        <v>3364</v>
      </c>
      <c r="H4080" s="10" t="n">
        <f aca="false">F4080*G4080</f>
        <v>3364</v>
      </c>
      <c r="I4080" s="6" t="s">
        <v>5122</v>
      </c>
    </row>
    <row r="4081" customFormat="false" ht="15" hidden="false" customHeight="false" outlineLevel="0" collapsed="false">
      <c r="A4081" s="6" t="s">
        <v>9304</v>
      </c>
      <c r="B4081" s="6" t="s">
        <v>1807</v>
      </c>
      <c r="C4081" s="26" t="n">
        <v>46159</v>
      </c>
      <c r="D4081" s="6" t="s">
        <v>5167</v>
      </c>
      <c r="E4081" s="6" t="s">
        <v>22</v>
      </c>
      <c r="F4081" s="6" t="n">
        <v>2</v>
      </c>
      <c r="G4081" s="10" t="n">
        <v>703</v>
      </c>
      <c r="H4081" s="10" t="n">
        <f aca="false">F4081*G4081</f>
        <v>1406</v>
      </c>
      <c r="I4081" s="6" t="s">
        <v>5122</v>
      </c>
    </row>
    <row r="4082" customFormat="false" ht="15" hidden="false" customHeight="false" outlineLevel="0" collapsed="false">
      <c r="A4082" s="6" t="s">
        <v>9305</v>
      </c>
      <c r="B4082" s="6" t="s">
        <v>2747</v>
      </c>
      <c r="C4082" s="26" t="n">
        <v>46159</v>
      </c>
      <c r="D4082" s="6" t="s">
        <v>5141</v>
      </c>
      <c r="E4082" s="6" t="s">
        <v>20</v>
      </c>
      <c r="F4082" s="6" t="n">
        <v>1</v>
      </c>
      <c r="G4082" s="10" t="n">
        <v>1835</v>
      </c>
      <c r="H4082" s="10" t="n">
        <f aca="false">F4082*G4082</f>
        <v>1835</v>
      </c>
      <c r="I4082" s="6" t="s">
        <v>5130</v>
      </c>
    </row>
    <row r="4083" customFormat="false" ht="15" hidden="false" customHeight="false" outlineLevel="0" collapsed="false">
      <c r="A4083" s="6" t="s">
        <v>9306</v>
      </c>
      <c r="B4083" s="6" t="s">
        <v>761</v>
      </c>
      <c r="C4083" s="26" t="n">
        <v>46159</v>
      </c>
      <c r="D4083" s="6" t="s">
        <v>5150</v>
      </c>
      <c r="E4083" s="6" t="s">
        <v>24</v>
      </c>
      <c r="F4083" s="6" t="n">
        <v>3</v>
      </c>
      <c r="G4083" s="10" t="n">
        <v>508</v>
      </c>
      <c r="H4083" s="10" t="n">
        <f aca="false">F4083*G4083</f>
        <v>1524</v>
      </c>
      <c r="I4083" s="6" t="s">
        <v>5173</v>
      </c>
    </row>
    <row r="4084" customFormat="false" ht="15" hidden="false" customHeight="false" outlineLevel="0" collapsed="false">
      <c r="A4084" s="6" t="s">
        <v>9307</v>
      </c>
      <c r="B4084" s="6" t="s">
        <v>755</v>
      </c>
      <c r="C4084" s="26" t="n">
        <v>46159</v>
      </c>
      <c r="D4084" s="6" t="s">
        <v>5345</v>
      </c>
      <c r="E4084" s="6" t="s">
        <v>23</v>
      </c>
      <c r="F4084" s="6" t="n">
        <v>4</v>
      </c>
      <c r="G4084" s="10" t="n">
        <v>414</v>
      </c>
      <c r="H4084" s="10" t="n">
        <f aca="false">F4084*G4084</f>
        <v>1656</v>
      </c>
      <c r="I4084" s="6" t="s">
        <v>5122</v>
      </c>
    </row>
    <row r="4085" customFormat="false" ht="15" hidden="false" customHeight="false" outlineLevel="0" collapsed="false">
      <c r="A4085" s="6" t="s">
        <v>9308</v>
      </c>
      <c r="B4085" s="6" t="s">
        <v>571</v>
      </c>
      <c r="C4085" s="26" t="n">
        <v>46159</v>
      </c>
      <c r="D4085" s="6" t="s">
        <v>5121</v>
      </c>
      <c r="E4085" s="6" t="s">
        <v>22</v>
      </c>
      <c r="F4085" s="6" t="n">
        <v>1</v>
      </c>
      <c r="G4085" s="10" t="n">
        <v>880</v>
      </c>
      <c r="H4085" s="10" t="n">
        <f aca="false">F4085*G4085</f>
        <v>880</v>
      </c>
      <c r="I4085" s="6" t="s">
        <v>5130</v>
      </c>
    </row>
    <row r="4086" customFormat="false" ht="15" hidden="false" customHeight="false" outlineLevel="0" collapsed="false">
      <c r="A4086" s="6" t="s">
        <v>9309</v>
      </c>
      <c r="B4086" s="6" t="s">
        <v>1563</v>
      </c>
      <c r="C4086" s="26" t="n">
        <v>46159</v>
      </c>
      <c r="D4086" s="6" t="s">
        <v>5197</v>
      </c>
      <c r="E4086" s="6" t="s">
        <v>21</v>
      </c>
      <c r="F4086" s="6" t="n">
        <v>2</v>
      </c>
      <c r="G4086" s="10" t="n">
        <v>1080</v>
      </c>
      <c r="H4086" s="10" t="n">
        <f aca="false">F4086*G4086</f>
        <v>2160</v>
      </c>
      <c r="I4086" s="6" t="s">
        <v>5125</v>
      </c>
    </row>
    <row r="4087" customFormat="false" ht="15" hidden="false" customHeight="false" outlineLevel="0" collapsed="false">
      <c r="A4087" s="6" t="s">
        <v>9310</v>
      </c>
      <c r="B4087" s="6" t="s">
        <v>609</v>
      </c>
      <c r="C4087" s="26" t="n">
        <v>46159</v>
      </c>
      <c r="D4087" s="6" t="s">
        <v>5121</v>
      </c>
      <c r="E4087" s="6" t="s">
        <v>22</v>
      </c>
      <c r="F4087" s="6" t="n">
        <v>2</v>
      </c>
      <c r="G4087" s="10" t="n">
        <v>880</v>
      </c>
      <c r="H4087" s="10" t="n">
        <f aca="false">F4087*G4087</f>
        <v>1760</v>
      </c>
      <c r="I4087" s="6" t="s">
        <v>5122</v>
      </c>
    </row>
    <row r="4088" customFormat="false" ht="15" hidden="false" customHeight="false" outlineLevel="0" collapsed="false">
      <c r="A4088" s="6" t="s">
        <v>9311</v>
      </c>
      <c r="B4088" s="6" t="s">
        <v>1157</v>
      </c>
      <c r="C4088" s="26" t="n">
        <v>46159</v>
      </c>
      <c r="D4088" s="6" t="s">
        <v>5216</v>
      </c>
      <c r="E4088" s="6" t="s">
        <v>23</v>
      </c>
      <c r="F4088" s="6" t="n">
        <v>3</v>
      </c>
      <c r="G4088" s="10" t="n">
        <v>558</v>
      </c>
      <c r="H4088" s="10" t="n">
        <f aca="false">F4088*G4088</f>
        <v>1674</v>
      </c>
      <c r="I4088" s="6" t="s">
        <v>5122</v>
      </c>
    </row>
    <row r="4089" customFormat="false" ht="15" hidden="false" customHeight="false" outlineLevel="0" collapsed="false">
      <c r="A4089" s="6" t="s">
        <v>9312</v>
      </c>
      <c r="B4089" s="6" t="s">
        <v>3317</v>
      </c>
      <c r="C4089" s="26" t="n">
        <v>46159</v>
      </c>
      <c r="D4089" s="6" t="s">
        <v>5147</v>
      </c>
      <c r="E4089" s="6" t="s">
        <v>24</v>
      </c>
      <c r="F4089" s="6" t="n">
        <v>1</v>
      </c>
      <c r="G4089" s="10" t="n">
        <v>595</v>
      </c>
      <c r="H4089" s="10" t="n">
        <f aca="false">F4089*G4089</f>
        <v>595</v>
      </c>
      <c r="I4089" s="6" t="s">
        <v>5148</v>
      </c>
    </row>
    <row r="4090" customFormat="false" ht="15" hidden="false" customHeight="false" outlineLevel="0" collapsed="false">
      <c r="A4090" s="6" t="s">
        <v>9313</v>
      </c>
      <c r="B4090" s="6" t="s">
        <v>2023</v>
      </c>
      <c r="C4090" s="26" t="n">
        <v>46159</v>
      </c>
      <c r="D4090" s="6" t="s">
        <v>5216</v>
      </c>
      <c r="E4090" s="6" t="s">
        <v>23</v>
      </c>
      <c r="F4090" s="6" t="n">
        <v>2</v>
      </c>
      <c r="G4090" s="10" t="n">
        <v>587</v>
      </c>
      <c r="H4090" s="10" t="n">
        <f aca="false">F4090*G4090</f>
        <v>1174</v>
      </c>
      <c r="I4090" s="6" t="s">
        <v>5122</v>
      </c>
    </row>
    <row r="4091" customFormat="false" ht="15" hidden="false" customHeight="false" outlineLevel="0" collapsed="false">
      <c r="A4091" s="6" t="s">
        <v>9314</v>
      </c>
      <c r="B4091" s="6" t="s">
        <v>4471</v>
      </c>
      <c r="C4091" s="26" t="n">
        <v>46159</v>
      </c>
      <c r="D4091" s="6" t="s">
        <v>5167</v>
      </c>
      <c r="E4091" s="6" t="s">
        <v>22</v>
      </c>
      <c r="F4091" s="6" t="n">
        <v>1</v>
      </c>
      <c r="G4091" s="10" t="n">
        <v>743</v>
      </c>
      <c r="H4091" s="10" t="n">
        <f aca="false">F4091*G4091</f>
        <v>743</v>
      </c>
      <c r="I4091" s="6" t="s">
        <v>5122</v>
      </c>
    </row>
    <row r="4092" customFormat="false" ht="15" hidden="false" customHeight="false" outlineLevel="0" collapsed="false">
      <c r="A4092" s="6" t="s">
        <v>9315</v>
      </c>
      <c r="B4092" s="6" t="s">
        <v>4089</v>
      </c>
      <c r="C4092" s="26" t="n">
        <v>46159</v>
      </c>
      <c r="D4092" s="6" t="s">
        <v>5216</v>
      </c>
      <c r="E4092" s="6" t="s">
        <v>23</v>
      </c>
      <c r="F4092" s="6" t="n">
        <v>4</v>
      </c>
      <c r="G4092" s="10" t="n">
        <v>558</v>
      </c>
      <c r="H4092" s="10" t="n">
        <f aca="false">F4092*G4092</f>
        <v>2232</v>
      </c>
      <c r="I4092" s="6" t="s">
        <v>5125</v>
      </c>
    </row>
    <row r="4093" customFormat="false" ht="15" hidden="false" customHeight="false" outlineLevel="0" collapsed="false">
      <c r="A4093" s="6" t="s">
        <v>9316</v>
      </c>
      <c r="B4093" s="6" t="s">
        <v>2109</v>
      </c>
      <c r="C4093" s="26" t="n">
        <v>46159</v>
      </c>
      <c r="D4093" s="6" t="s">
        <v>5167</v>
      </c>
      <c r="E4093" s="6" t="s">
        <v>22</v>
      </c>
      <c r="F4093" s="6" t="n">
        <v>1</v>
      </c>
      <c r="G4093" s="10" t="n">
        <v>743</v>
      </c>
      <c r="H4093" s="10" t="n">
        <f aca="false">F4093*G4093</f>
        <v>743</v>
      </c>
      <c r="I4093" s="6" t="s">
        <v>5122</v>
      </c>
    </row>
    <row r="4094" customFormat="false" ht="15" hidden="false" customHeight="false" outlineLevel="0" collapsed="false">
      <c r="A4094" s="6" t="s">
        <v>9317</v>
      </c>
      <c r="B4094" s="6" t="s">
        <v>3707</v>
      </c>
      <c r="C4094" s="26" t="n">
        <v>46159</v>
      </c>
      <c r="D4094" s="6" t="s">
        <v>5150</v>
      </c>
      <c r="E4094" s="6" t="s">
        <v>24</v>
      </c>
      <c r="F4094" s="6" t="n">
        <v>1</v>
      </c>
      <c r="G4094" s="10" t="n">
        <v>483</v>
      </c>
      <c r="H4094" s="10" t="n">
        <f aca="false">F4094*G4094</f>
        <v>483</v>
      </c>
      <c r="I4094" s="6" t="s">
        <v>5122</v>
      </c>
    </row>
    <row r="4095" customFormat="false" ht="15" hidden="false" customHeight="false" outlineLevel="0" collapsed="false">
      <c r="A4095" s="6" t="s">
        <v>9318</v>
      </c>
      <c r="B4095" s="6" t="s">
        <v>258</v>
      </c>
      <c r="C4095" s="26" t="n">
        <v>46159</v>
      </c>
      <c r="D4095" s="6" t="s">
        <v>5316</v>
      </c>
      <c r="E4095" s="6" t="s">
        <v>23</v>
      </c>
      <c r="F4095" s="6" t="n">
        <v>2</v>
      </c>
      <c r="G4095" s="10" t="n">
        <v>247</v>
      </c>
      <c r="H4095" s="10" t="n">
        <f aca="false">F4095*G4095</f>
        <v>494</v>
      </c>
      <c r="I4095" s="6" t="s">
        <v>5122</v>
      </c>
    </row>
    <row r="4096" customFormat="false" ht="15" hidden="false" customHeight="false" outlineLevel="0" collapsed="false">
      <c r="A4096" s="6" t="s">
        <v>9319</v>
      </c>
      <c r="B4096" s="6" t="s">
        <v>2371</v>
      </c>
      <c r="C4096" s="26" t="n">
        <v>46159</v>
      </c>
      <c r="D4096" s="6" t="s">
        <v>5132</v>
      </c>
      <c r="E4096" s="6" t="s">
        <v>23</v>
      </c>
      <c r="F4096" s="6" t="n">
        <v>1</v>
      </c>
      <c r="G4096" s="10" t="n">
        <v>324</v>
      </c>
      <c r="H4096" s="10" t="n">
        <f aca="false">F4096*G4096</f>
        <v>324</v>
      </c>
      <c r="I4096" s="6" t="s">
        <v>5125</v>
      </c>
    </row>
    <row r="4097" customFormat="false" ht="15" hidden="false" customHeight="false" outlineLevel="0" collapsed="false">
      <c r="A4097" s="6" t="s">
        <v>9320</v>
      </c>
      <c r="B4097" s="6" t="s">
        <v>3837</v>
      </c>
      <c r="C4097" s="26" t="n">
        <v>46159</v>
      </c>
      <c r="D4097" s="6" t="s">
        <v>5197</v>
      </c>
      <c r="E4097" s="6" t="s">
        <v>21</v>
      </c>
      <c r="F4097" s="6" t="n">
        <v>1</v>
      </c>
      <c r="G4097" s="10" t="n">
        <v>1080</v>
      </c>
      <c r="H4097" s="10" t="n">
        <f aca="false">F4097*G4097</f>
        <v>1080</v>
      </c>
      <c r="I4097" s="6" t="s">
        <v>5173</v>
      </c>
    </row>
    <row r="4098" customFormat="false" ht="15" hidden="false" customHeight="false" outlineLevel="0" collapsed="false">
      <c r="A4098" s="6" t="s">
        <v>9321</v>
      </c>
      <c r="B4098" s="6" t="s">
        <v>3583</v>
      </c>
      <c r="C4098" s="26" t="n">
        <v>46159</v>
      </c>
      <c r="D4098" s="6" t="s">
        <v>5339</v>
      </c>
      <c r="E4098" s="6" t="s">
        <v>24</v>
      </c>
      <c r="F4098" s="6" t="n">
        <v>3</v>
      </c>
      <c r="G4098" s="10" t="n">
        <v>483</v>
      </c>
      <c r="H4098" s="10" t="n">
        <f aca="false">F4098*G4098</f>
        <v>1449</v>
      </c>
      <c r="I4098" s="6" t="s">
        <v>5148</v>
      </c>
    </row>
    <row r="4099" customFormat="false" ht="15" hidden="false" customHeight="false" outlineLevel="0" collapsed="false">
      <c r="A4099" s="6" t="s">
        <v>9322</v>
      </c>
      <c r="B4099" s="6" t="s">
        <v>2667</v>
      </c>
      <c r="C4099" s="26" t="n">
        <v>46159</v>
      </c>
      <c r="D4099" s="6" t="s">
        <v>5281</v>
      </c>
      <c r="E4099" s="6" t="s">
        <v>24</v>
      </c>
      <c r="F4099" s="6" t="n">
        <v>1</v>
      </c>
      <c r="G4099" s="10" t="n">
        <v>814</v>
      </c>
      <c r="H4099" s="10" t="n">
        <f aca="false">F4099*G4099</f>
        <v>814</v>
      </c>
      <c r="I4099" s="6" t="s">
        <v>5122</v>
      </c>
    </row>
    <row r="4100" customFormat="false" ht="15" hidden="false" customHeight="false" outlineLevel="0" collapsed="false">
      <c r="A4100" s="6" t="s">
        <v>9323</v>
      </c>
      <c r="B4100" s="6" t="s">
        <v>857</v>
      </c>
      <c r="C4100" s="26" t="n">
        <v>46159</v>
      </c>
      <c r="D4100" s="6" t="s">
        <v>5226</v>
      </c>
      <c r="E4100" s="6" t="s">
        <v>24</v>
      </c>
      <c r="F4100" s="6" t="n">
        <v>3</v>
      </c>
      <c r="G4100" s="10" t="n">
        <v>457</v>
      </c>
      <c r="H4100" s="10" t="n">
        <f aca="false">F4100*G4100</f>
        <v>1371</v>
      </c>
      <c r="I4100" s="6" t="s">
        <v>5133</v>
      </c>
    </row>
    <row r="4101" customFormat="false" ht="15" hidden="false" customHeight="false" outlineLevel="0" collapsed="false">
      <c r="A4101" s="6" t="s">
        <v>9324</v>
      </c>
      <c r="B4101" s="6" t="s">
        <v>3355</v>
      </c>
      <c r="C4101" s="26" t="n">
        <v>46159</v>
      </c>
      <c r="D4101" s="6" t="s">
        <v>5269</v>
      </c>
      <c r="E4101" s="6" t="s">
        <v>22</v>
      </c>
      <c r="F4101" s="6" t="n">
        <v>1</v>
      </c>
      <c r="G4101" s="10" t="n">
        <v>1207</v>
      </c>
      <c r="H4101" s="10" t="n">
        <f aca="false">F4101*G4101</f>
        <v>1207</v>
      </c>
      <c r="I4101" s="6" t="s">
        <v>5122</v>
      </c>
    </row>
    <row r="4102" customFormat="false" ht="15" hidden="false" customHeight="false" outlineLevel="0" collapsed="false">
      <c r="A4102" s="6" t="s">
        <v>9325</v>
      </c>
      <c r="B4102" s="6" t="s">
        <v>2807</v>
      </c>
      <c r="C4102" s="26" t="n">
        <v>46159</v>
      </c>
      <c r="D4102" s="6" t="s">
        <v>5121</v>
      </c>
      <c r="E4102" s="6" t="s">
        <v>22</v>
      </c>
      <c r="F4102" s="6" t="n">
        <v>2</v>
      </c>
      <c r="G4102" s="10" t="n">
        <v>977</v>
      </c>
      <c r="H4102" s="10" t="n">
        <f aca="false">F4102*G4102</f>
        <v>1954</v>
      </c>
      <c r="I4102" s="6" t="s">
        <v>5122</v>
      </c>
    </row>
    <row r="4103" customFormat="false" ht="15" hidden="false" customHeight="false" outlineLevel="0" collapsed="false">
      <c r="A4103" s="6" t="s">
        <v>9326</v>
      </c>
      <c r="B4103" s="6" t="s">
        <v>4077</v>
      </c>
      <c r="C4103" s="26" t="n">
        <v>46159</v>
      </c>
      <c r="D4103" s="6" t="s">
        <v>5281</v>
      </c>
      <c r="E4103" s="6" t="s">
        <v>24</v>
      </c>
      <c r="F4103" s="6" t="n">
        <v>1</v>
      </c>
      <c r="G4103" s="10" t="n">
        <v>814</v>
      </c>
      <c r="H4103" s="10" t="n">
        <f aca="false">F4103*G4103</f>
        <v>814</v>
      </c>
      <c r="I4103" s="6" t="s">
        <v>5122</v>
      </c>
    </row>
    <row r="4104" customFormat="false" ht="15" hidden="false" customHeight="false" outlineLevel="0" collapsed="false">
      <c r="A4104" s="6" t="s">
        <v>9327</v>
      </c>
      <c r="B4104" s="6" t="s">
        <v>969</v>
      </c>
      <c r="C4104" s="26" t="n">
        <v>46159</v>
      </c>
      <c r="D4104" s="6" t="s">
        <v>5488</v>
      </c>
      <c r="E4104" s="6" t="s">
        <v>24</v>
      </c>
      <c r="F4104" s="6" t="n">
        <v>1</v>
      </c>
      <c r="G4104" s="10" t="n">
        <v>866</v>
      </c>
      <c r="H4104" s="10" t="n">
        <f aca="false">F4104*G4104</f>
        <v>866</v>
      </c>
      <c r="I4104" s="6" t="s">
        <v>5122</v>
      </c>
    </row>
    <row r="4105" customFormat="false" ht="15" hidden="false" customHeight="false" outlineLevel="0" collapsed="false">
      <c r="A4105" s="6" t="s">
        <v>9328</v>
      </c>
      <c r="B4105" s="6" t="s">
        <v>3889</v>
      </c>
      <c r="C4105" s="26" t="n">
        <v>46159</v>
      </c>
      <c r="D4105" s="6" t="s">
        <v>5165</v>
      </c>
      <c r="E4105" s="6" t="s">
        <v>22</v>
      </c>
      <c r="F4105" s="6" t="n">
        <v>3</v>
      </c>
      <c r="G4105" s="10" t="n">
        <v>880</v>
      </c>
      <c r="H4105" s="10" t="n">
        <f aca="false">F4105*G4105</f>
        <v>2640</v>
      </c>
      <c r="I4105" s="6" t="s">
        <v>5122</v>
      </c>
    </row>
    <row r="4106" customFormat="false" ht="15" hidden="false" customHeight="false" outlineLevel="0" collapsed="false">
      <c r="A4106" s="6" t="s">
        <v>9329</v>
      </c>
      <c r="B4106" s="6" t="s">
        <v>3281</v>
      </c>
      <c r="C4106" s="26" t="n">
        <v>46159</v>
      </c>
      <c r="D4106" s="6" t="s">
        <v>5165</v>
      </c>
      <c r="E4106" s="6" t="s">
        <v>22</v>
      </c>
      <c r="F4106" s="6" t="n">
        <v>2</v>
      </c>
      <c r="G4106" s="10" t="n">
        <v>928</v>
      </c>
      <c r="H4106" s="10" t="n">
        <f aca="false">F4106*G4106</f>
        <v>1856</v>
      </c>
      <c r="I4106" s="6" t="s">
        <v>5122</v>
      </c>
    </row>
    <row r="4107" customFormat="false" ht="15" hidden="false" customHeight="false" outlineLevel="0" collapsed="false">
      <c r="A4107" s="6" t="s">
        <v>9330</v>
      </c>
      <c r="B4107" s="6" t="s">
        <v>4209</v>
      </c>
      <c r="C4107" s="26" t="n">
        <v>46159</v>
      </c>
      <c r="D4107" s="6" t="s">
        <v>5197</v>
      </c>
      <c r="E4107" s="6" t="s">
        <v>21</v>
      </c>
      <c r="F4107" s="6" t="n">
        <v>1</v>
      </c>
      <c r="G4107" s="10" t="n">
        <v>1080</v>
      </c>
      <c r="H4107" s="10" t="n">
        <f aca="false">F4107*G4107</f>
        <v>1080</v>
      </c>
      <c r="I4107" s="6" t="s">
        <v>5148</v>
      </c>
    </row>
    <row r="4108" customFormat="false" ht="15" hidden="false" customHeight="false" outlineLevel="0" collapsed="false">
      <c r="A4108" s="6" t="s">
        <v>9331</v>
      </c>
      <c r="B4108" s="6" t="s">
        <v>3441</v>
      </c>
      <c r="C4108" s="26" t="n">
        <v>46159</v>
      </c>
      <c r="D4108" s="6" t="s">
        <v>5163</v>
      </c>
      <c r="E4108" s="6" t="s">
        <v>23</v>
      </c>
      <c r="F4108" s="6" t="n">
        <v>2</v>
      </c>
      <c r="G4108" s="10" t="n">
        <v>783</v>
      </c>
      <c r="H4108" s="10" t="n">
        <f aca="false">F4108*G4108</f>
        <v>1566</v>
      </c>
      <c r="I4108" s="6" t="s">
        <v>5148</v>
      </c>
    </row>
    <row r="4109" customFormat="false" ht="15" hidden="false" customHeight="false" outlineLevel="0" collapsed="false">
      <c r="A4109" s="6" t="s">
        <v>9332</v>
      </c>
      <c r="B4109" s="6" t="s">
        <v>3907</v>
      </c>
      <c r="C4109" s="26" t="n">
        <v>46159</v>
      </c>
      <c r="D4109" s="6" t="s">
        <v>5357</v>
      </c>
      <c r="E4109" s="6" t="s">
        <v>23</v>
      </c>
      <c r="F4109" s="6" t="n">
        <v>2</v>
      </c>
      <c r="G4109" s="10" t="n">
        <v>481</v>
      </c>
      <c r="H4109" s="10" t="n">
        <f aca="false">F4109*G4109</f>
        <v>962</v>
      </c>
      <c r="I4109" s="6" t="s">
        <v>5122</v>
      </c>
    </row>
    <row r="4110" customFormat="false" ht="15" hidden="false" customHeight="false" outlineLevel="0" collapsed="false">
      <c r="A4110" s="6" t="s">
        <v>9333</v>
      </c>
      <c r="B4110" s="6" t="s">
        <v>2395</v>
      </c>
      <c r="C4110" s="26" t="n">
        <v>46159</v>
      </c>
      <c r="D4110" s="6" t="s">
        <v>5145</v>
      </c>
      <c r="E4110" s="6" t="s">
        <v>21</v>
      </c>
      <c r="F4110" s="6" t="n">
        <v>1</v>
      </c>
      <c r="G4110" s="10" t="n">
        <v>1277</v>
      </c>
      <c r="H4110" s="10" t="n">
        <f aca="false">F4110*G4110</f>
        <v>1277</v>
      </c>
      <c r="I4110" s="6" t="s">
        <v>5122</v>
      </c>
    </row>
    <row r="4111" customFormat="false" ht="15" hidden="false" customHeight="false" outlineLevel="0" collapsed="false">
      <c r="A4111" s="6" t="s">
        <v>9334</v>
      </c>
      <c r="B4111" s="6" t="s">
        <v>2753</v>
      </c>
      <c r="C4111" s="26" t="n">
        <v>46159</v>
      </c>
      <c r="D4111" s="6" t="s">
        <v>5683</v>
      </c>
      <c r="E4111" s="6" t="s">
        <v>22</v>
      </c>
      <c r="F4111" s="6" t="n">
        <v>2</v>
      </c>
      <c r="G4111" s="10" t="n">
        <v>1760</v>
      </c>
      <c r="H4111" s="10" t="n">
        <f aca="false">F4111*G4111</f>
        <v>3520</v>
      </c>
      <c r="I4111" s="6" t="s">
        <v>5125</v>
      </c>
    </row>
    <row r="4112" customFormat="false" ht="15" hidden="false" customHeight="false" outlineLevel="0" collapsed="false">
      <c r="A4112" s="6" t="s">
        <v>9335</v>
      </c>
      <c r="B4112" s="6" t="s">
        <v>3053</v>
      </c>
      <c r="C4112" s="26" t="n">
        <v>46159</v>
      </c>
      <c r="D4112" s="6" t="s">
        <v>5171</v>
      </c>
      <c r="E4112" s="6" t="s">
        <v>23</v>
      </c>
      <c r="F4112" s="6" t="n">
        <v>4</v>
      </c>
      <c r="G4112" s="10" t="n">
        <v>661</v>
      </c>
      <c r="H4112" s="10" t="n">
        <f aca="false">F4112*G4112</f>
        <v>2644</v>
      </c>
      <c r="I4112" s="6" t="s">
        <v>5122</v>
      </c>
    </row>
    <row r="4113" customFormat="false" ht="15" hidden="false" customHeight="false" outlineLevel="0" collapsed="false">
      <c r="A4113" s="6" t="s">
        <v>9336</v>
      </c>
      <c r="B4113" s="6" t="s">
        <v>725</v>
      </c>
      <c r="C4113" s="26" t="n">
        <v>46160</v>
      </c>
      <c r="D4113" s="6" t="s">
        <v>5167</v>
      </c>
      <c r="E4113" s="6" t="s">
        <v>22</v>
      </c>
      <c r="F4113" s="6" t="n">
        <v>2</v>
      </c>
      <c r="G4113" s="10" t="n">
        <v>782</v>
      </c>
      <c r="H4113" s="10" t="n">
        <f aca="false">F4113*G4113</f>
        <v>1564</v>
      </c>
      <c r="I4113" s="6" t="s">
        <v>5125</v>
      </c>
    </row>
    <row r="4114" customFormat="false" ht="15" hidden="false" customHeight="false" outlineLevel="0" collapsed="false">
      <c r="A4114" s="6" t="s">
        <v>9337</v>
      </c>
      <c r="B4114" s="6" t="s">
        <v>2673</v>
      </c>
      <c r="C4114" s="26" t="n">
        <v>46160</v>
      </c>
      <c r="D4114" s="6" t="s">
        <v>5121</v>
      </c>
      <c r="E4114" s="6" t="s">
        <v>22</v>
      </c>
      <c r="F4114" s="6" t="n">
        <v>2</v>
      </c>
      <c r="G4114" s="10" t="n">
        <v>977</v>
      </c>
      <c r="H4114" s="10" t="n">
        <f aca="false">F4114*G4114</f>
        <v>1954</v>
      </c>
      <c r="I4114" s="6" t="s">
        <v>5122</v>
      </c>
    </row>
    <row r="4115" customFormat="false" ht="15" hidden="false" customHeight="false" outlineLevel="0" collapsed="false">
      <c r="A4115" s="6" t="s">
        <v>9338</v>
      </c>
      <c r="B4115" s="6" t="s">
        <v>2017</v>
      </c>
      <c r="C4115" s="26" t="n">
        <v>46160</v>
      </c>
      <c r="D4115" s="6" t="s">
        <v>5353</v>
      </c>
      <c r="E4115" s="6" t="s">
        <v>24</v>
      </c>
      <c r="F4115" s="6" t="n">
        <v>2</v>
      </c>
      <c r="G4115" s="10" t="n">
        <v>1629</v>
      </c>
      <c r="H4115" s="10" t="n">
        <f aca="false">F4115*G4115</f>
        <v>3258</v>
      </c>
      <c r="I4115" s="6" t="s">
        <v>5122</v>
      </c>
    </row>
    <row r="4116" customFormat="false" ht="15" hidden="false" customHeight="false" outlineLevel="0" collapsed="false">
      <c r="A4116" s="6" t="s">
        <v>9339</v>
      </c>
      <c r="B4116" s="6" t="s">
        <v>1001</v>
      </c>
      <c r="C4116" s="26" t="n">
        <v>46160</v>
      </c>
      <c r="D4116" s="6" t="s">
        <v>5169</v>
      </c>
      <c r="E4116" s="6" t="s">
        <v>20</v>
      </c>
      <c r="F4116" s="6" t="n">
        <v>1</v>
      </c>
      <c r="G4116" s="10" t="n">
        <v>5098</v>
      </c>
      <c r="H4116" s="10" t="n">
        <f aca="false">F4116*G4116</f>
        <v>5098</v>
      </c>
      <c r="I4116" s="6" t="s">
        <v>5130</v>
      </c>
    </row>
    <row r="4117" customFormat="false" ht="15" hidden="false" customHeight="false" outlineLevel="0" collapsed="false">
      <c r="A4117" s="6" t="s">
        <v>9340</v>
      </c>
      <c r="B4117" s="6" t="s">
        <v>3941</v>
      </c>
      <c r="C4117" s="26" t="n">
        <v>46160</v>
      </c>
      <c r="D4117" s="6" t="s">
        <v>5132</v>
      </c>
      <c r="E4117" s="6" t="s">
        <v>23</v>
      </c>
      <c r="F4117" s="6" t="n">
        <v>2</v>
      </c>
      <c r="G4117" s="10" t="n">
        <v>342</v>
      </c>
      <c r="H4117" s="10" t="n">
        <f aca="false">F4117*G4117</f>
        <v>684</v>
      </c>
      <c r="I4117" s="6" t="s">
        <v>5122</v>
      </c>
    </row>
    <row r="4118" customFormat="false" ht="15" hidden="false" customHeight="false" outlineLevel="0" collapsed="false">
      <c r="A4118" s="6" t="s">
        <v>9341</v>
      </c>
      <c r="B4118" s="6" t="s">
        <v>2911</v>
      </c>
      <c r="C4118" s="26" t="n">
        <v>46160</v>
      </c>
      <c r="D4118" s="6" t="s">
        <v>5214</v>
      </c>
      <c r="E4118" s="6" t="s">
        <v>20</v>
      </c>
      <c r="F4118" s="6" t="n">
        <v>1</v>
      </c>
      <c r="G4118" s="10" t="n">
        <v>2039</v>
      </c>
      <c r="H4118" s="10" t="n">
        <f aca="false">F4118*G4118</f>
        <v>2039</v>
      </c>
      <c r="I4118" s="6" t="s">
        <v>5148</v>
      </c>
    </row>
    <row r="4119" customFormat="false" ht="15" hidden="false" customHeight="false" outlineLevel="0" collapsed="false">
      <c r="A4119" s="6" t="s">
        <v>9342</v>
      </c>
      <c r="B4119" s="6" t="s">
        <v>3013</v>
      </c>
      <c r="C4119" s="26" t="n">
        <v>46160</v>
      </c>
      <c r="D4119" s="6" t="s">
        <v>5167</v>
      </c>
      <c r="E4119" s="6" t="s">
        <v>22</v>
      </c>
      <c r="F4119" s="6" t="n">
        <v>1</v>
      </c>
      <c r="G4119" s="10" t="n">
        <v>703</v>
      </c>
      <c r="H4119" s="10" t="n">
        <f aca="false">F4119*G4119</f>
        <v>703</v>
      </c>
      <c r="I4119" s="6" t="s">
        <v>5148</v>
      </c>
    </row>
    <row r="4120" customFormat="false" ht="15" hidden="false" customHeight="false" outlineLevel="0" collapsed="false">
      <c r="A4120" s="6" t="s">
        <v>9343</v>
      </c>
      <c r="B4120" s="6" t="s">
        <v>4597</v>
      </c>
      <c r="C4120" s="26" t="n">
        <v>46160</v>
      </c>
      <c r="D4120" s="6" t="s">
        <v>5588</v>
      </c>
      <c r="E4120" s="6" t="s">
        <v>21</v>
      </c>
      <c r="F4120" s="6" t="n">
        <v>1</v>
      </c>
      <c r="G4120" s="10" t="n">
        <v>11204</v>
      </c>
      <c r="H4120" s="10" t="n">
        <f aca="false">F4120*G4120</f>
        <v>11204</v>
      </c>
      <c r="I4120" s="6" t="s">
        <v>5125</v>
      </c>
    </row>
    <row r="4121" customFormat="false" ht="15" hidden="false" customHeight="false" outlineLevel="0" collapsed="false">
      <c r="A4121" s="6" t="s">
        <v>9344</v>
      </c>
      <c r="B4121" s="6" t="s">
        <v>128</v>
      </c>
      <c r="C4121" s="26" t="n">
        <v>46160</v>
      </c>
      <c r="D4121" s="6" t="s">
        <v>5175</v>
      </c>
      <c r="E4121" s="6" t="s">
        <v>24</v>
      </c>
      <c r="F4121" s="6" t="n">
        <v>1</v>
      </c>
      <c r="G4121" s="10" t="n">
        <v>610</v>
      </c>
      <c r="H4121" s="10" t="n">
        <f aca="false">F4121*G4121</f>
        <v>610</v>
      </c>
      <c r="I4121" s="6" t="s">
        <v>5122</v>
      </c>
    </row>
    <row r="4122" customFormat="false" ht="15" hidden="false" customHeight="false" outlineLevel="0" collapsed="false">
      <c r="A4122" s="6" t="s">
        <v>9345</v>
      </c>
      <c r="B4122" s="6" t="s">
        <v>3055</v>
      </c>
      <c r="C4122" s="26" t="n">
        <v>46160</v>
      </c>
      <c r="D4122" s="6" t="s">
        <v>5707</v>
      </c>
      <c r="E4122" s="6" t="s">
        <v>22</v>
      </c>
      <c r="F4122" s="6" t="n">
        <v>3</v>
      </c>
      <c r="G4122" s="10" t="n">
        <v>2445</v>
      </c>
      <c r="H4122" s="10" t="n">
        <f aca="false">F4122*G4122</f>
        <v>7335</v>
      </c>
      <c r="I4122" s="6" t="s">
        <v>5133</v>
      </c>
    </row>
    <row r="4123" customFormat="false" ht="15" hidden="false" customHeight="false" outlineLevel="0" collapsed="false">
      <c r="A4123" s="6" t="s">
        <v>9346</v>
      </c>
      <c r="B4123" s="6" t="s">
        <v>4205</v>
      </c>
      <c r="C4123" s="26" t="n">
        <v>46160</v>
      </c>
      <c r="D4123" s="6" t="s">
        <v>5163</v>
      </c>
      <c r="E4123" s="6" t="s">
        <v>23</v>
      </c>
      <c r="F4123" s="6" t="n">
        <v>2</v>
      </c>
      <c r="G4123" s="10" t="n">
        <v>783</v>
      </c>
      <c r="H4123" s="10" t="n">
        <f aca="false">F4123*G4123</f>
        <v>1566</v>
      </c>
      <c r="I4123" s="6" t="s">
        <v>5122</v>
      </c>
    </row>
    <row r="4124" customFormat="false" ht="15" hidden="false" customHeight="false" outlineLevel="0" collapsed="false">
      <c r="A4124" s="6" t="s">
        <v>9347</v>
      </c>
      <c r="B4124" s="6" t="s">
        <v>2727</v>
      </c>
      <c r="C4124" s="26" t="n">
        <v>46160</v>
      </c>
      <c r="D4124" s="6" t="s">
        <v>5163</v>
      </c>
      <c r="E4124" s="6" t="s">
        <v>23</v>
      </c>
      <c r="F4124" s="6" t="n">
        <v>5</v>
      </c>
      <c r="G4124" s="10" t="n">
        <v>783</v>
      </c>
      <c r="H4124" s="10" t="n">
        <f aca="false">F4124*G4124</f>
        <v>3915</v>
      </c>
      <c r="I4124" s="6" t="s">
        <v>5125</v>
      </c>
    </row>
    <row r="4125" customFormat="false" ht="15" hidden="false" customHeight="false" outlineLevel="0" collapsed="false">
      <c r="A4125" s="6" t="s">
        <v>9348</v>
      </c>
      <c r="B4125" s="6" t="s">
        <v>4675</v>
      </c>
      <c r="C4125" s="26" t="n">
        <v>46160</v>
      </c>
      <c r="D4125" s="6" t="s">
        <v>5167</v>
      </c>
      <c r="E4125" s="6" t="s">
        <v>22</v>
      </c>
      <c r="F4125" s="6" t="n">
        <v>3</v>
      </c>
      <c r="G4125" s="10" t="n">
        <v>703</v>
      </c>
      <c r="H4125" s="10" t="n">
        <f aca="false">F4125*G4125</f>
        <v>2109</v>
      </c>
      <c r="I4125" s="6" t="s">
        <v>5148</v>
      </c>
    </row>
    <row r="4126" customFormat="false" ht="15" hidden="false" customHeight="false" outlineLevel="0" collapsed="false">
      <c r="A4126" s="6" t="s">
        <v>9349</v>
      </c>
      <c r="B4126" s="6" t="s">
        <v>593</v>
      </c>
      <c r="C4126" s="26" t="n">
        <v>46160</v>
      </c>
      <c r="D4126" s="6" t="s">
        <v>6101</v>
      </c>
      <c r="E4126" s="6" t="s">
        <v>20</v>
      </c>
      <c r="F4126" s="6" t="n">
        <v>1</v>
      </c>
      <c r="G4126" s="10" t="n">
        <v>22434</v>
      </c>
      <c r="H4126" s="10" t="n">
        <f aca="false">F4126*G4126</f>
        <v>22434</v>
      </c>
      <c r="I4126" s="6" t="s">
        <v>5122</v>
      </c>
    </row>
    <row r="4127" customFormat="false" ht="15" hidden="false" customHeight="false" outlineLevel="0" collapsed="false">
      <c r="A4127" s="6" t="s">
        <v>9350</v>
      </c>
      <c r="B4127" s="6" t="s">
        <v>238</v>
      </c>
      <c r="C4127" s="26" t="n">
        <v>46160</v>
      </c>
      <c r="D4127" s="6" t="s">
        <v>5207</v>
      </c>
      <c r="E4127" s="6" t="s">
        <v>20</v>
      </c>
      <c r="F4127" s="6" t="n">
        <v>1</v>
      </c>
      <c r="G4127" s="10" t="n">
        <v>1258</v>
      </c>
      <c r="H4127" s="10" t="n">
        <f aca="false">F4127*G4127</f>
        <v>1258</v>
      </c>
      <c r="I4127" s="6" t="s">
        <v>5148</v>
      </c>
    </row>
    <row r="4128" customFormat="false" ht="15" hidden="false" customHeight="false" outlineLevel="0" collapsed="false">
      <c r="A4128" s="6" t="s">
        <v>9351</v>
      </c>
      <c r="B4128" s="6" t="s">
        <v>184</v>
      </c>
      <c r="C4128" s="26" t="n">
        <v>46160</v>
      </c>
      <c r="D4128" s="6" t="s">
        <v>5216</v>
      </c>
      <c r="E4128" s="6" t="s">
        <v>23</v>
      </c>
      <c r="F4128" s="6" t="n">
        <v>2</v>
      </c>
      <c r="G4128" s="10" t="n">
        <v>587</v>
      </c>
      <c r="H4128" s="10" t="n">
        <f aca="false">F4128*G4128</f>
        <v>1174</v>
      </c>
      <c r="I4128" s="6" t="s">
        <v>5122</v>
      </c>
    </row>
    <row r="4129" customFormat="false" ht="15" hidden="false" customHeight="false" outlineLevel="0" collapsed="false">
      <c r="A4129" s="6" t="s">
        <v>9352</v>
      </c>
      <c r="B4129" s="6" t="s">
        <v>2055</v>
      </c>
      <c r="C4129" s="26" t="n">
        <v>46160</v>
      </c>
      <c r="D4129" s="6" t="s">
        <v>5216</v>
      </c>
      <c r="E4129" s="6" t="s">
        <v>23</v>
      </c>
      <c r="F4129" s="6" t="n">
        <v>5</v>
      </c>
      <c r="G4129" s="10" t="n">
        <v>587</v>
      </c>
      <c r="H4129" s="10" t="n">
        <f aca="false">F4129*G4129</f>
        <v>2935</v>
      </c>
      <c r="I4129" s="6" t="s">
        <v>5125</v>
      </c>
    </row>
    <row r="4130" customFormat="false" ht="15" hidden="false" customHeight="false" outlineLevel="0" collapsed="false">
      <c r="A4130" s="6" t="s">
        <v>9353</v>
      </c>
      <c r="B4130" s="6" t="s">
        <v>2403</v>
      </c>
      <c r="C4130" s="26" t="n">
        <v>46160</v>
      </c>
      <c r="D4130" s="6" t="s">
        <v>5687</v>
      </c>
      <c r="E4130" s="6" t="s">
        <v>20</v>
      </c>
      <c r="F4130" s="6" t="n">
        <v>1</v>
      </c>
      <c r="G4130" s="10" t="n">
        <v>2039</v>
      </c>
      <c r="H4130" s="10" t="n">
        <f aca="false">F4130*G4130</f>
        <v>2039</v>
      </c>
      <c r="I4130" s="6" t="s">
        <v>5125</v>
      </c>
    </row>
    <row r="4131" customFormat="false" ht="15" hidden="false" customHeight="false" outlineLevel="0" collapsed="false">
      <c r="A4131" s="6" t="s">
        <v>9354</v>
      </c>
      <c r="B4131" s="6" t="s">
        <v>2581</v>
      </c>
      <c r="C4131" s="26" t="n">
        <v>46160</v>
      </c>
      <c r="D4131" s="6" t="s">
        <v>5147</v>
      </c>
      <c r="E4131" s="6" t="s">
        <v>24</v>
      </c>
      <c r="F4131" s="6" t="n">
        <v>1</v>
      </c>
      <c r="G4131" s="10" t="n">
        <v>661</v>
      </c>
      <c r="H4131" s="10" t="n">
        <f aca="false">F4131*G4131</f>
        <v>661</v>
      </c>
      <c r="I4131" s="6" t="s">
        <v>5130</v>
      </c>
    </row>
    <row r="4132" customFormat="false" ht="15" hidden="false" customHeight="false" outlineLevel="0" collapsed="false">
      <c r="A4132" s="6" t="s">
        <v>9355</v>
      </c>
      <c r="B4132" s="6" t="s">
        <v>2105</v>
      </c>
      <c r="C4132" s="26" t="n">
        <v>46160</v>
      </c>
      <c r="D4132" s="6" t="s">
        <v>5423</v>
      </c>
      <c r="E4132" s="6" t="s">
        <v>21</v>
      </c>
      <c r="F4132" s="6" t="n">
        <v>1</v>
      </c>
      <c r="G4132" s="10" t="n">
        <v>2918</v>
      </c>
      <c r="H4132" s="10" t="n">
        <f aca="false">F4132*G4132</f>
        <v>2918</v>
      </c>
      <c r="I4132" s="6" t="s">
        <v>5122</v>
      </c>
    </row>
    <row r="4133" customFormat="false" ht="15" hidden="false" customHeight="false" outlineLevel="0" collapsed="false">
      <c r="A4133" s="6" t="s">
        <v>9356</v>
      </c>
      <c r="B4133" s="6" t="s">
        <v>4719</v>
      </c>
      <c r="C4133" s="26" t="n">
        <v>46160</v>
      </c>
      <c r="D4133" s="6" t="s">
        <v>5121</v>
      </c>
      <c r="E4133" s="6" t="s">
        <v>22</v>
      </c>
      <c r="F4133" s="6" t="n">
        <v>1</v>
      </c>
      <c r="G4133" s="10" t="n">
        <v>977</v>
      </c>
      <c r="H4133" s="10" t="n">
        <f aca="false">F4133*G4133</f>
        <v>977</v>
      </c>
      <c r="I4133" s="6" t="s">
        <v>5122</v>
      </c>
    </row>
    <row r="4134" customFormat="false" ht="15" hidden="false" customHeight="false" outlineLevel="0" collapsed="false">
      <c r="A4134" s="6" t="s">
        <v>9357</v>
      </c>
      <c r="B4134" s="6" t="s">
        <v>599</v>
      </c>
      <c r="C4134" s="26" t="n">
        <v>46160</v>
      </c>
      <c r="D4134" s="6" t="s">
        <v>5326</v>
      </c>
      <c r="E4134" s="6" t="s">
        <v>22</v>
      </c>
      <c r="F4134" s="6" t="n">
        <v>2</v>
      </c>
      <c r="G4134" s="10" t="n">
        <v>1320</v>
      </c>
      <c r="H4134" s="10" t="n">
        <f aca="false">F4134*G4134</f>
        <v>2640</v>
      </c>
      <c r="I4134" s="6" t="s">
        <v>5148</v>
      </c>
    </row>
    <row r="4135" customFormat="false" ht="15" hidden="false" customHeight="false" outlineLevel="0" collapsed="false">
      <c r="A4135" s="6" t="s">
        <v>9358</v>
      </c>
      <c r="B4135" s="6" t="s">
        <v>2539</v>
      </c>
      <c r="C4135" s="26" t="n">
        <v>46160</v>
      </c>
      <c r="D4135" s="6" t="s">
        <v>5383</v>
      </c>
      <c r="E4135" s="6" t="s">
        <v>20</v>
      </c>
      <c r="F4135" s="6" t="n">
        <v>1</v>
      </c>
      <c r="G4135" s="10" t="n">
        <v>1008</v>
      </c>
      <c r="H4135" s="10" t="n">
        <f aca="false">F4135*G4135</f>
        <v>1008</v>
      </c>
      <c r="I4135" s="6" t="s">
        <v>5122</v>
      </c>
    </row>
    <row r="4136" customFormat="false" ht="15" hidden="false" customHeight="false" outlineLevel="0" collapsed="false">
      <c r="A4136" s="6" t="s">
        <v>9359</v>
      </c>
      <c r="B4136" s="6" t="s">
        <v>3121</v>
      </c>
      <c r="C4136" s="26" t="n">
        <v>46160</v>
      </c>
      <c r="D4136" s="6" t="s">
        <v>5150</v>
      </c>
      <c r="E4136" s="6" t="s">
        <v>24</v>
      </c>
      <c r="F4136" s="6" t="n">
        <v>2</v>
      </c>
      <c r="G4136" s="10" t="n">
        <v>483</v>
      </c>
      <c r="H4136" s="10" t="n">
        <f aca="false">F4136*G4136</f>
        <v>966</v>
      </c>
      <c r="I4136" s="6" t="s">
        <v>5148</v>
      </c>
    </row>
    <row r="4137" customFormat="false" ht="15" hidden="false" customHeight="false" outlineLevel="0" collapsed="false">
      <c r="A4137" s="6" t="s">
        <v>9360</v>
      </c>
      <c r="B4137" s="6" t="s">
        <v>4473</v>
      </c>
      <c r="C4137" s="26" t="n">
        <v>46160</v>
      </c>
      <c r="D4137" s="6" t="s">
        <v>5137</v>
      </c>
      <c r="E4137" s="6" t="s">
        <v>21</v>
      </c>
      <c r="F4137" s="6" t="n">
        <v>2</v>
      </c>
      <c r="G4137" s="10" t="n">
        <v>1768</v>
      </c>
      <c r="H4137" s="10" t="n">
        <f aca="false">F4137*G4137</f>
        <v>3536</v>
      </c>
      <c r="I4137" s="6" t="s">
        <v>5148</v>
      </c>
    </row>
    <row r="4138" customFormat="false" ht="15" hidden="false" customHeight="false" outlineLevel="0" collapsed="false">
      <c r="A4138" s="6" t="s">
        <v>9361</v>
      </c>
      <c r="B4138" s="6" t="s">
        <v>1109</v>
      </c>
      <c r="C4138" s="26" t="n">
        <v>46160</v>
      </c>
      <c r="D4138" s="6" t="s">
        <v>5235</v>
      </c>
      <c r="E4138" s="6" t="s">
        <v>21</v>
      </c>
      <c r="F4138" s="6" t="n">
        <v>1</v>
      </c>
      <c r="G4138" s="10" t="n">
        <v>1503</v>
      </c>
      <c r="H4138" s="10" t="n">
        <f aca="false">F4138*G4138</f>
        <v>1503</v>
      </c>
      <c r="I4138" s="6" t="s">
        <v>5122</v>
      </c>
    </row>
    <row r="4139" customFormat="false" ht="15" hidden="false" customHeight="false" outlineLevel="0" collapsed="false">
      <c r="A4139" s="6" t="s">
        <v>9362</v>
      </c>
      <c r="B4139" s="6" t="s">
        <v>4909</v>
      </c>
      <c r="C4139" s="26" t="n">
        <v>46160</v>
      </c>
      <c r="D4139" s="6" t="s">
        <v>5220</v>
      </c>
      <c r="E4139" s="6" t="s">
        <v>24</v>
      </c>
      <c r="F4139" s="6" t="n">
        <v>2</v>
      </c>
      <c r="G4139" s="10" t="n">
        <v>1064</v>
      </c>
      <c r="H4139" s="10" t="n">
        <f aca="false">F4139*G4139</f>
        <v>2128</v>
      </c>
      <c r="I4139" s="6" t="s">
        <v>5148</v>
      </c>
    </row>
    <row r="4140" customFormat="false" ht="15" hidden="false" customHeight="false" outlineLevel="0" collapsed="false">
      <c r="A4140" s="6" t="s">
        <v>9363</v>
      </c>
      <c r="B4140" s="6" t="s">
        <v>1201</v>
      </c>
      <c r="C4140" s="26" t="n">
        <v>46160</v>
      </c>
      <c r="D4140" s="6" t="s">
        <v>5129</v>
      </c>
      <c r="E4140" s="6" t="s">
        <v>21</v>
      </c>
      <c r="F4140" s="6" t="n">
        <v>2</v>
      </c>
      <c r="G4140" s="10" t="n">
        <v>589</v>
      </c>
      <c r="H4140" s="10" t="n">
        <f aca="false">F4140*G4140</f>
        <v>1178</v>
      </c>
      <c r="I4140" s="6" t="s">
        <v>5133</v>
      </c>
    </row>
    <row r="4141" customFormat="false" ht="15" hidden="false" customHeight="false" outlineLevel="0" collapsed="false">
      <c r="A4141" s="6" t="s">
        <v>9364</v>
      </c>
      <c r="B4141" s="6" t="s">
        <v>1155</v>
      </c>
      <c r="C4141" s="26" t="n">
        <v>46160</v>
      </c>
      <c r="D4141" s="6" t="s">
        <v>5121</v>
      </c>
      <c r="E4141" s="6" t="s">
        <v>22</v>
      </c>
      <c r="F4141" s="6" t="n">
        <v>1</v>
      </c>
      <c r="G4141" s="10" t="n">
        <v>977</v>
      </c>
      <c r="H4141" s="10" t="n">
        <f aca="false">F4141*G4141</f>
        <v>977</v>
      </c>
      <c r="I4141" s="6" t="s">
        <v>5122</v>
      </c>
    </row>
    <row r="4142" customFormat="false" ht="15" hidden="false" customHeight="false" outlineLevel="0" collapsed="false">
      <c r="A4142" s="6" t="s">
        <v>9365</v>
      </c>
      <c r="B4142" s="6" t="s">
        <v>4399</v>
      </c>
      <c r="C4142" s="26" t="n">
        <v>46160</v>
      </c>
      <c r="D4142" s="6" t="s">
        <v>5182</v>
      </c>
      <c r="E4142" s="6" t="s">
        <v>23</v>
      </c>
      <c r="F4142" s="6" t="n">
        <v>2</v>
      </c>
      <c r="G4142" s="10" t="n">
        <v>367</v>
      </c>
      <c r="H4142" s="10" t="n">
        <f aca="false">F4142*G4142</f>
        <v>734</v>
      </c>
      <c r="I4142" s="6" t="s">
        <v>5122</v>
      </c>
    </row>
    <row r="4143" customFormat="false" ht="15" hidden="false" customHeight="false" outlineLevel="0" collapsed="false">
      <c r="A4143" s="6" t="s">
        <v>9366</v>
      </c>
      <c r="B4143" s="6" t="s">
        <v>2183</v>
      </c>
      <c r="C4143" s="26" t="n">
        <v>46160</v>
      </c>
      <c r="D4143" s="6" t="s">
        <v>5121</v>
      </c>
      <c r="E4143" s="6" t="s">
        <v>22</v>
      </c>
      <c r="F4143" s="6" t="n">
        <v>1</v>
      </c>
      <c r="G4143" s="10" t="n">
        <v>977</v>
      </c>
      <c r="H4143" s="10" t="n">
        <f aca="false">F4143*G4143</f>
        <v>977</v>
      </c>
      <c r="I4143" s="6" t="s">
        <v>5122</v>
      </c>
    </row>
    <row r="4144" customFormat="false" ht="15" hidden="false" customHeight="false" outlineLevel="0" collapsed="false">
      <c r="A4144" s="6" t="s">
        <v>9367</v>
      </c>
      <c r="B4144" s="6" t="s">
        <v>1325</v>
      </c>
      <c r="C4144" s="26" t="n">
        <v>46160</v>
      </c>
      <c r="D4144" s="6" t="s">
        <v>5269</v>
      </c>
      <c r="E4144" s="6" t="s">
        <v>22</v>
      </c>
      <c r="F4144" s="6" t="n">
        <v>1</v>
      </c>
      <c r="G4144" s="10" t="n">
        <v>1144</v>
      </c>
      <c r="H4144" s="10" t="n">
        <f aca="false">F4144*G4144</f>
        <v>1144</v>
      </c>
      <c r="I4144" s="6" t="s">
        <v>5122</v>
      </c>
    </row>
    <row r="4145" customFormat="false" ht="15" hidden="false" customHeight="false" outlineLevel="0" collapsed="false">
      <c r="A4145" s="6" t="s">
        <v>9368</v>
      </c>
      <c r="B4145" s="6" t="s">
        <v>3797</v>
      </c>
      <c r="C4145" s="26" t="n">
        <v>46160</v>
      </c>
      <c r="D4145" s="6" t="s">
        <v>5121</v>
      </c>
      <c r="E4145" s="6" t="s">
        <v>22</v>
      </c>
      <c r="F4145" s="6" t="n">
        <v>1</v>
      </c>
      <c r="G4145" s="10" t="n">
        <v>928</v>
      </c>
      <c r="H4145" s="10" t="n">
        <f aca="false">F4145*G4145</f>
        <v>928</v>
      </c>
      <c r="I4145" s="6" t="s">
        <v>5148</v>
      </c>
    </row>
    <row r="4146" customFormat="false" ht="15" hidden="false" customHeight="false" outlineLevel="0" collapsed="false">
      <c r="A4146" s="6" t="s">
        <v>9369</v>
      </c>
      <c r="B4146" s="6" t="s">
        <v>5043</v>
      </c>
      <c r="C4146" s="26" t="n">
        <v>46160</v>
      </c>
      <c r="D4146" s="6" t="s">
        <v>5182</v>
      </c>
      <c r="E4146" s="6" t="s">
        <v>23</v>
      </c>
      <c r="F4146" s="6" t="n">
        <v>1</v>
      </c>
      <c r="G4146" s="10" t="n">
        <v>366</v>
      </c>
      <c r="H4146" s="10" t="n">
        <f aca="false">F4146*G4146</f>
        <v>366</v>
      </c>
      <c r="I4146" s="6" t="s">
        <v>5133</v>
      </c>
    </row>
    <row r="4147" customFormat="false" ht="15" hidden="false" customHeight="false" outlineLevel="0" collapsed="false">
      <c r="A4147" s="6" t="s">
        <v>9370</v>
      </c>
      <c r="B4147" s="6" t="s">
        <v>4979</v>
      </c>
      <c r="C4147" s="26" t="n">
        <v>46160</v>
      </c>
      <c r="D4147" s="6" t="s">
        <v>5182</v>
      </c>
      <c r="E4147" s="6" t="s">
        <v>23</v>
      </c>
      <c r="F4147" s="6" t="n">
        <v>3</v>
      </c>
      <c r="G4147" s="10" t="n">
        <v>367</v>
      </c>
      <c r="H4147" s="10" t="n">
        <f aca="false">F4147*G4147</f>
        <v>1101</v>
      </c>
      <c r="I4147" s="6" t="s">
        <v>5122</v>
      </c>
    </row>
    <row r="4148" customFormat="false" ht="15" hidden="false" customHeight="false" outlineLevel="0" collapsed="false">
      <c r="A4148" s="6" t="s">
        <v>9371</v>
      </c>
      <c r="B4148" s="6" t="s">
        <v>2673</v>
      </c>
      <c r="C4148" s="26" t="n">
        <v>46161</v>
      </c>
      <c r="D4148" s="6" t="s">
        <v>5167</v>
      </c>
      <c r="E4148" s="6" t="s">
        <v>22</v>
      </c>
      <c r="F4148" s="6" t="n">
        <v>3</v>
      </c>
      <c r="G4148" s="10" t="n">
        <v>782</v>
      </c>
      <c r="H4148" s="10" t="n">
        <f aca="false">F4148*G4148</f>
        <v>2346</v>
      </c>
      <c r="I4148" s="6" t="s">
        <v>5133</v>
      </c>
    </row>
    <row r="4149" customFormat="false" ht="15" hidden="false" customHeight="false" outlineLevel="0" collapsed="false">
      <c r="A4149" s="6" t="s">
        <v>9372</v>
      </c>
      <c r="B4149" s="6" t="s">
        <v>1495</v>
      </c>
      <c r="C4149" s="26" t="n">
        <v>46161</v>
      </c>
      <c r="D4149" s="6" t="s">
        <v>5163</v>
      </c>
      <c r="E4149" s="6" t="s">
        <v>23</v>
      </c>
      <c r="F4149" s="6" t="n">
        <v>1</v>
      </c>
      <c r="G4149" s="10" t="n">
        <v>744</v>
      </c>
      <c r="H4149" s="10" t="n">
        <f aca="false">F4149*G4149</f>
        <v>744</v>
      </c>
      <c r="I4149" s="6" t="s">
        <v>5148</v>
      </c>
    </row>
    <row r="4150" customFormat="false" ht="15" hidden="false" customHeight="false" outlineLevel="0" collapsed="false">
      <c r="A4150" s="6" t="s">
        <v>9373</v>
      </c>
      <c r="B4150" s="6" t="s">
        <v>2817</v>
      </c>
      <c r="C4150" s="26" t="n">
        <v>46161</v>
      </c>
      <c r="D4150" s="6" t="s">
        <v>5135</v>
      </c>
      <c r="E4150" s="6" t="s">
        <v>23</v>
      </c>
      <c r="F4150" s="6" t="n">
        <v>2</v>
      </c>
      <c r="G4150" s="10" t="n">
        <v>441</v>
      </c>
      <c r="H4150" s="10" t="n">
        <f aca="false">F4150*G4150</f>
        <v>882</v>
      </c>
      <c r="I4150" s="6" t="s">
        <v>5122</v>
      </c>
    </row>
    <row r="4151" customFormat="false" ht="15" hidden="false" customHeight="false" outlineLevel="0" collapsed="false">
      <c r="A4151" s="6" t="s">
        <v>9374</v>
      </c>
      <c r="B4151" s="6" t="s">
        <v>2443</v>
      </c>
      <c r="C4151" s="26" t="n">
        <v>46161</v>
      </c>
      <c r="D4151" s="6" t="s">
        <v>5132</v>
      </c>
      <c r="E4151" s="6" t="s">
        <v>23</v>
      </c>
      <c r="F4151" s="6" t="n">
        <v>2</v>
      </c>
      <c r="G4151" s="10" t="n">
        <v>342</v>
      </c>
      <c r="H4151" s="10" t="n">
        <f aca="false">F4151*G4151</f>
        <v>684</v>
      </c>
      <c r="I4151" s="6" t="s">
        <v>5125</v>
      </c>
    </row>
    <row r="4152" customFormat="false" ht="15" hidden="false" customHeight="false" outlineLevel="0" collapsed="false">
      <c r="A4152" s="6" t="s">
        <v>9375</v>
      </c>
      <c r="B4152" s="6" t="s">
        <v>4699</v>
      </c>
      <c r="C4152" s="26" t="n">
        <v>46161</v>
      </c>
      <c r="D4152" s="6" t="s">
        <v>5235</v>
      </c>
      <c r="E4152" s="6" t="s">
        <v>21</v>
      </c>
      <c r="F4152" s="6" t="n">
        <v>1</v>
      </c>
      <c r="G4152" s="10" t="n">
        <v>1670</v>
      </c>
      <c r="H4152" s="10" t="n">
        <f aca="false">F4152*G4152</f>
        <v>1670</v>
      </c>
      <c r="I4152" s="6" t="s">
        <v>5173</v>
      </c>
    </row>
    <row r="4153" customFormat="false" ht="15" hidden="false" customHeight="false" outlineLevel="0" collapsed="false">
      <c r="A4153" s="6" t="s">
        <v>9376</v>
      </c>
      <c r="B4153" s="6" t="s">
        <v>2633</v>
      </c>
      <c r="C4153" s="26" t="n">
        <v>46161</v>
      </c>
      <c r="D4153" s="6" t="s">
        <v>5458</v>
      </c>
      <c r="E4153" s="6" t="s">
        <v>24</v>
      </c>
      <c r="F4153" s="6" t="n">
        <v>1</v>
      </c>
      <c r="G4153" s="10" t="n">
        <v>503</v>
      </c>
      <c r="H4153" s="10" t="n">
        <f aca="false">F4153*G4153</f>
        <v>503</v>
      </c>
      <c r="I4153" s="6" t="s">
        <v>5122</v>
      </c>
    </row>
    <row r="4154" customFormat="false" ht="15" hidden="false" customHeight="false" outlineLevel="0" collapsed="false">
      <c r="A4154" s="6" t="s">
        <v>9377</v>
      </c>
      <c r="B4154" s="6" t="s">
        <v>221</v>
      </c>
      <c r="C4154" s="26" t="n">
        <v>46161</v>
      </c>
      <c r="D4154" s="6" t="s">
        <v>5145</v>
      </c>
      <c r="E4154" s="6" t="s">
        <v>21</v>
      </c>
      <c r="F4154" s="6" t="n">
        <v>1</v>
      </c>
      <c r="G4154" s="10" t="n">
        <v>1277</v>
      </c>
      <c r="H4154" s="10" t="n">
        <f aca="false">F4154*G4154</f>
        <v>1277</v>
      </c>
      <c r="I4154" s="6" t="s">
        <v>5122</v>
      </c>
    </row>
    <row r="4155" customFormat="false" ht="15" hidden="false" customHeight="false" outlineLevel="0" collapsed="false">
      <c r="A4155" s="6" t="s">
        <v>9378</v>
      </c>
      <c r="B4155" s="6" t="s">
        <v>3599</v>
      </c>
      <c r="C4155" s="26" t="n">
        <v>46161</v>
      </c>
      <c r="D4155" s="6" t="s">
        <v>5167</v>
      </c>
      <c r="E4155" s="6" t="s">
        <v>22</v>
      </c>
      <c r="F4155" s="6" t="n">
        <v>1</v>
      </c>
      <c r="G4155" s="10" t="n">
        <v>703</v>
      </c>
      <c r="H4155" s="10" t="n">
        <f aca="false">F4155*G4155</f>
        <v>703</v>
      </c>
      <c r="I4155" s="6" t="s">
        <v>5122</v>
      </c>
    </row>
    <row r="4156" customFormat="false" ht="15" hidden="false" customHeight="false" outlineLevel="0" collapsed="false">
      <c r="A4156" s="6" t="s">
        <v>9379</v>
      </c>
      <c r="B4156" s="6" t="s">
        <v>1695</v>
      </c>
      <c r="C4156" s="26" t="n">
        <v>46161</v>
      </c>
      <c r="D4156" s="6" t="s">
        <v>5121</v>
      </c>
      <c r="E4156" s="6" t="s">
        <v>22</v>
      </c>
      <c r="F4156" s="6" t="n">
        <v>2</v>
      </c>
      <c r="G4156" s="10" t="n">
        <v>977</v>
      </c>
      <c r="H4156" s="10" t="n">
        <f aca="false">F4156*G4156</f>
        <v>1954</v>
      </c>
      <c r="I4156" s="6" t="s">
        <v>5122</v>
      </c>
    </row>
    <row r="4157" customFormat="false" ht="15" hidden="false" customHeight="false" outlineLevel="0" collapsed="false">
      <c r="A4157" s="6" t="s">
        <v>9380</v>
      </c>
      <c r="B4157" s="6" t="s">
        <v>1803</v>
      </c>
      <c r="C4157" s="26" t="n">
        <v>46161</v>
      </c>
      <c r="D4157" s="6" t="s">
        <v>5641</v>
      </c>
      <c r="E4157" s="6" t="s">
        <v>22</v>
      </c>
      <c r="F4157" s="6" t="n">
        <v>1</v>
      </c>
      <c r="G4157" s="10" t="n">
        <v>2248</v>
      </c>
      <c r="H4157" s="10" t="n">
        <f aca="false">F4157*G4157</f>
        <v>2248</v>
      </c>
      <c r="I4157" s="6" t="s">
        <v>5122</v>
      </c>
    </row>
    <row r="4158" customFormat="false" ht="15" hidden="false" customHeight="false" outlineLevel="0" collapsed="false">
      <c r="A4158" s="6" t="s">
        <v>9381</v>
      </c>
      <c r="B4158" s="6" t="s">
        <v>260</v>
      </c>
      <c r="C4158" s="26" t="n">
        <v>46161</v>
      </c>
      <c r="D4158" s="6" t="s">
        <v>5202</v>
      </c>
      <c r="E4158" s="6" t="s">
        <v>23</v>
      </c>
      <c r="F4158" s="6" t="n">
        <v>1</v>
      </c>
      <c r="G4158" s="10" t="n">
        <v>219</v>
      </c>
      <c r="H4158" s="10" t="n">
        <f aca="false">F4158*G4158</f>
        <v>219</v>
      </c>
      <c r="I4158" s="6" t="s">
        <v>5148</v>
      </c>
    </row>
    <row r="4159" customFormat="false" ht="15" hidden="false" customHeight="false" outlineLevel="0" collapsed="false">
      <c r="A4159" s="6" t="s">
        <v>9382</v>
      </c>
      <c r="B4159" s="6" t="s">
        <v>4675</v>
      </c>
      <c r="C4159" s="26" t="n">
        <v>46161</v>
      </c>
      <c r="D4159" s="6" t="s">
        <v>5357</v>
      </c>
      <c r="E4159" s="6" t="s">
        <v>23</v>
      </c>
      <c r="F4159" s="6" t="n">
        <v>4</v>
      </c>
      <c r="G4159" s="10" t="n">
        <v>534</v>
      </c>
      <c r="H4159" s="10" t="n">
        <f aca="false">F4159*G4159</f>
        <v>2136</v>
      </c>
      <c r="I4159" s="6" t="s">
        <v>5130</v>
      </c>
    </row>
    <row r="4160" customFormat="false" ht="15" hidden="false" customHeight="false" outlineLevel="0" collapsed="false">
      <c r="A4160" s="6" t="s">
        <v>9383</v>
      </c>
      <c r="B4160" s="6" t="s">
        <v>2105</v>
      </c>
      <c r="C4160" s="26" t="n">
        <v>46161</v>
      </c>
      <c r="D4160" s="6" t="s">
        <v>5127</v>
      </c>
      <c r="E4160" s="6" t="s">
        <v>21</v>
      </c>
      <c r="F4160" s="6" t="n">
        <v>1</v>
      </c>
      <c r="G4160" s="10" t="n">
        <v>795</v>
      </c>
      <c r="H4160" s="10" t="n">
        <f aca="false">F4160*G4160</f>
        <v>795</v>
      </c>
      <c r="I4160" s="6" t="s">
        <v>5133</v>
      </c>
    </row>
    <row r="4161" customFormat="false" ht="15" hidden="false" customHeight="false" outlineLevel="0" collapsed="false">
      <c r="A4161" s="6" t="s">
        <v>9384</v>
      </c>
      <c r="B4161" s="6" t="s">
        <v>3793</v>
      </c>
      <c r="C4161" s="26" t="n">
        <v>46161</v>
      </c>
      <c r="D4161" s="6" t="s">
        <v>5167</v>
      </c>
      <c r="E4161" s="6" t="s">
        <v>22</v>
      </c>
      <c r="F4161" s="6" t="n">
        <v>1</v>
      </c>
      <c r="G4161" s="10" t="n">
        <v>781</v>
      </c>
      <c r="H4161" s="10" t="n">
        <f aca="false">F4161*G4161</f>
        <v>781</v>
      </c>
      <c r="I4161" s="6" t="s">
        <v>5148</v>
      </c>
    </row>
    <row r="4162" customFormat="false" ht="15" hidden="false" customHeight="false" outlineLevel="0" collapsed="false">
      <c r="A4162" s="6" t="s">
        <v>9385</v>
      </c>
      <c r="B4162" s="6" t="s">
        <v>3605</v>
      </c>
      <c r="C4162" s="26" t="n">
        <v>46161</v>
      </c>
      <c r="D4162" s="6" t="s">
        <v>5171</v>
      </c>
      <c r="E4162" s="6" t="s">
        <v>23</v>
      </c>
      <c r="F4162" s="6" t="n">
        <v>2</v>
      </c>
      <c r="G4162" s="10" t="n">
        <v>734</v>
      </c>
      <c r="H4162" s="10" t="n">
        <f aca="false">F4162*G4162</f>
        <v>1468</v>
      </c>
      <c r="I4162" s="6" t="s">
        <v>5130</v>
      </c>
    </row>
    <row r="4163" customFormat="false" ht="15" hidden="false" customHeight="false" outlineLevel="0" collapsed="false">
      <c r="A4163" s="6" t="s">
        <v>9386</v>
      </c>
      <c r="B4163" s="6" t="s">
        <v>1363</v>
      </c>
      <c r="C4163" s="26" t="n">
        <v>46161</v>
      </c>
      <c r="D4163" s="6" t="s">
        <v>5345</v>
      </c>
      <c r="E4163" s="6" t="s">
        <v>23</v>
      </c>
      <c r="F4163" s="6" t="n">
        <v>2</v>
      </c>
      <c r="G4163" s="10" t="n">
        <v>392</v>
      </c>
      <c r="H4163" s="10" t="n">
        <f aca="false">F4163*G4163</f>
        <v>784</v>
      </c>
      <c r="I4163" s="6" t="s">
        <v>5122</v>
      </c>
    </row>
    <row r="4164" customFormat="false" ht="15" hidden="false" customHeight="false" outlineLevel="0" collapsed="false">
      <c r="A4164" s="6" t="s">
        <v>9387</v>
      </c>
      <c r="B4164" s="6" t="s">
        <v>4979</v>
      </c>
      <c r="C4164" s="26" t="n">
        <v>46161</v>
      </c>
      <c r="D4164" s="6" t="s">
        <v>5182</v>
      </c>
      <c r="E4164" s="6" t="s">
        <v>23</v>
      </c>
      <c r="F4164" s="6" t="n">
        <v>3</v>
      </c>
      <c r="G4164" s="10" t="n">
        <v>367</v>
      </c>
      <c r="H4164" s="10" t="n">
        <f aca="false">F4164*G4164</f>
        <v>1101</v>
      </c>
      <c r="I4164" s="6" t="s">
        <v>5122</v>
      </c>
    </row>
    <row r="4165" customFormat="false" ht="15" hidden="false" customHeight="false" outlineLevel="0" collapsed="false">
      <c r="A4165" s="6" t="s">
        <v>9388</v>
      </c>
      <c r="B4165" s="6" t="s">
        <v>1613</v>
      </c>
      <c r="C4165" s="26" t="n">
        <v>46161</v>
      </c>
      <c r="D4165" s="6" t="s">
        <v>5339</v>
      </c>
      <c r="E4165" s="6" t="s">
        <v>24</v>
      </c>
      <c r="F4165" s="6" t="n">
        <v>1</v>
      </c>
      <c r="G4165" s="10" t="n">
        <v>509</v>
      </c>
      <c r="H4165" s="10" t="n">
        <f aca="false">F4165*G4165</f>
        <v>509</v>
      </c>
      <c r="I4165" s="6" t="s">
        <v>5122</v>
      </c>
    </row>
    <row r="4166" customFormat="false" ht="15" hidden="false" customHeight="false" outlineLevel="0" collapsed="false">
      <c r="A4166" s="6" t="s">
        <v>9389</v>
      </c>
      <c r="B4166" s="6" t="s">
        <v>3781</v>
      </c>
      <c r="C4166" s="26" t="n">
        <v>46161</v>
      </c>
      <c r="D4166" s="6" t="s">
        <v>5216</v>
      </c>
      <c r="E4166" s="6" t="s">
        <v>23</v>
      </c>
      <c r="F4166" s="6" t="n">
        <v>1</v>
      </c>
      <c r="G4166" s="10" t="n">
        <v>587</v>
      </c>
      <c r="H4166" s="10" t="n">
        <f aca="false">F4166*G4166</f>
        <v>587</v>
      </c>
      <c r="I4166" s="6" t="s">
        <v>5122</v>
      </c>
    </row>
    <row r="4167" customFormat="false" ht="15" hidden="false" customHeight="false" outlineLevel="0" collapsed="false">
      <c r="A4167" s="6" t="s">
        <v>9390</v>
      </c>
      <c r="B4167" s="6" t="s">
        <v>2405</v>
      </c>
      <c r="C4167" s="26" t="n">
        <v>46161</v>
      </c>
      <c r="D4167" s="6" t="s">
        <v>5224</v>
      </c>
      <c r="E4167" s="6" t="s">
        <v>23</v>
      </c>
      <c r="F4167" s="6" t="n">
        <v>3</v>
      </c>
      <c r="G4167" s="10" t="n">
        <v>195</v>
      </c>
      <c r="H4167" s="10" t="n">
        <f aca="false">F4167*G4167</f>
        <v>585</v>
      </c>
      <c r="I4167" s="6" t="s">
        <v>5122</v>
      </c>
    </row>
    <row r="4168" customFormat="false" ht="15" hidden="false" customHeight="false" outlineLevel="0" collapsed="false">
      <c r="A4168" s="6" t="s">
        <v>9391</v>
      </c>
      <c r="B4168" s="6" t="s">
        <v>5101</v>
      </c>
      <c r="C4168" s="26" t="n">
        <v>46161</v>
      </c>
      <c r="D4168" s="6" t="s">
        <v>5135</v>
      </c>
      <c r="E4168" s="6" t="s">
        <v>23</v>
      </c>
      <c r="F4168" s="6" t="n">
        <v>1</v>
      </c>
      <c r="G4168" s="10" t="n">
        <v>397</v>
      </c>
      <c r="H4168" s="10" t="n">
        <f aca="false">F4168*G4168</f>
        <v>397</v>
      </c>
      <c r="I4168" s="6" t="s">
        <v>5122</v>
      </c>
    </row>
    <row r="4169" customFormat="false" ht="15" hidden="false" customHeight="false" outlineLevel="0" collapsed="false">
      <c r="A4169" s="6" t="s">
        <v>9392</v>
      </c>
      <c r="B4169" s="6" t="s">
        <v>2851</v>
      </c>
      <c r="C4169" s="26" t="n">
        <v>46161</v>
      </c>
      <c r="D4169" s="6" t="s">
        <v>5237</v>
      </c>
      <c r="E4169" s="6" t="s">
        <v>24</v>
      </c>
      <c r="F4169" s="6" t="n">
        <v>3</v>
      </c>
      <c r="G4169" s="10" t="n">
        <v>1741</v>
      </c>
      <c r="H4169" s="10" t="n">
        <f aca="false">F4169*G4169</f>
        <v>5223</v>
      </c>
      <c r="I4169" s="6" t="s">
        <v>5148</v>
      </c>
    </row>
    <row r="4170" customFormat="false" ht="15" hidden="false" customHeight="false" outlineLevel="0" collapsed="false">
      <c r="A4170" s="6" t="s">
        <v>9393</v>
      </c>
      <c r="B4170" s="6" t="s">
        <v>567</v>
      </c>
      <c r="C4170" s="26" t="n">
        <v>46161</v>
      </c>
      <c r="D4170" s="6" t="s">
        <v>6114</v>
      </c>
      <c r="E4170" s="6" t="s">
        <v>20</v>
      </c>
      <c r="F4170" s="6" t="n">
        <v>1</v>
      </c>
      <c r="G4170" s="10" t="n">
        <v>13256</v>
      </c>
      <c r="H4170" s="10" t="n">
        <f aca="false">F4170*G4170</f>
        <v>13256</v>
      </c>
      <c r="I4170" s="6" t="s">
        <v>5125</v>
      </c>
    </row>
    <row r="4171" customFormat="false" ht="15" hidden="false" customHeight="false" outlineLevel="0" collapsed="false">
      <c r="A4171" s="6" t="s">
        <v>9394</v>
      </c>
      <c r="B4171" s="6" t="s">
        <v>1179</v>
      </c>
      <c r="C4171" s="26" t="n">
        <v>46161</v>
      </c>
      <c r="D4171" s="6" t="s">
        <v>5687</v>
      </c>
      <c r="E4171" s="6" t="s">
        <v>20</v>
      </c>
      <c r="F4171" s="6" t="n">
        <v>1</v>
      </c>
      <c r="G4171" s="10" t="n">
        <v>2039</v>
      </c>
      <c r="H4171" s="10" t="n">
        <f aca="false">F4171*G4171</f>
        <v>2039</v>
      </c>
      <c r="I4171" s="6" t="s">
        <v>5125</v>
      </c>
    </row>
    <row r="4172" customFormat="false" ht="15" hidden="false" customHeight="false" outlineLevel="0" collapsed="false">
      <c r="A4172" s="6" t="s">
        <v>9395</v>
      </c>
      <c r="B4172" s="6" t="s">
        <v>4209</v>
      </c>
      <c r="C4172" s="26" t="n">
        <v>46161</v>
      </c>
      <c r="D4172" s="6" t="s">
        <v>5171</v>
      </c>
      <c r="E4172" s="6" t="s">
        <v>23</v>
      </c>
      <c r="F4172" s="6" t="n">
        <v>1</v>
      </c>
      <c r="G4172" s="10" t="n">
        <v>697</v>
      </c>
      <c r="H4172" s="10" t="n">
        <f aca="false">F4172*G4172</f>
        <v>697</v>
      </c>
      <c r="I4172" s="6" t="s">
        <v>5125</v>
      </c>
    </row>
    <row r="4173" customFormat="false" ht="15" hidden="false" customHeight="false" outlineLevel="0" collapsed="false">
      <c r="A4173" s="6" t="s">
        <v>9396</v>
      </c>
      <c r="B4173" s="6" t="s">
        <v>3211</v>
      </c>
      <c r="C4173" s="26" t="n">
        <v>46161</v>
      </c>
      <c r="D4173" s="6" t="s">
        <v>5127</v>
      </c>
      <c r="E4173" s="6" t="s">
        <v>21</v>
      </c>
      <c r="F4173" s="6" t="n">
        <v>1</v>
      </c>
      <c r="G4173" s="10" t="n">
        <v>795</v>
      </c>
      <c r="H4173" s="10" t="n">
        <f aca="false">F4173*G4173</f>
        <v>795</v>
      </c>
      <c r="I4173" s="6" t="s">
        <v>5130</v>
      </c>
    </row>
    <row r="4174" customFormat="false" ht="15" hidden="false" customHeight="false" outlineLevel="0" collapsed="false">
      <c r="A4174" s="6" t="s">
        <v>9397</v>
      </c>
      <c r="B4174" s="6" t="s">
        <v>3379</v>
      </c>
      <c r="C4174" s="26" t="n">
        <v>46161</v>
      </c>
      <c r="D4174" s="6" t="s">
        <v>5216</v>
      </c>
      <c r="E4174" s="6" t="s">
        <v>23</v>
      </c>
      <c r="F4174" s="6" t="n">
        <v>1</v>
      </c>
      <c r="G4174" s="10" t="n">
        <v>587</v>
      </c>
      <c r="H4174" s="10" t="n">
        <f aca="false">F4174*G4174</f>
        <v>587</v>
      </c>
      <c r="I4174" s="6" t="s">
        <v>5122</v>
      </c>
    </row>
    <row r="4175" customFormat="false" ht="15" hidden="false" customHeight="false" outlineLevel="0" collapsed="false">
      <c r="A4175" s="6" t="s">
        <v>9398</v>
      </c>
      <c r="B4175" s="6" t="s">
        <v>4657</v>
      </c>
      <c r="C4175" s="26" t="n">
        <v>46161</v>
      </c>
      <c r="D4175" s="6" t="s">
        <v>5121</v>
      </c>
      <c r="E4175" s="6" t="s">
        <v>22</v>
      </c>
      <c r="F4175" s="6" t="n">
        <v>1</v>
      </c>
      <c r="G4175" s="10" t="n">
        <v>977</v>
      </c>
      <c r="H4175" s="10" t="n">
        <f aca="false">F4175*G4175</f>
        <v>977</v>
      </c>
      <c r="I4175" s="6" t="s">
        <v>5122</v>
      </c>
    </row>
    <row r="4176" customFormat="false" ht="15" hidden="false" customHeight="false" outlineLevel="0" collapsed="false">
      <c r="A4176" s="6" t="s">
        <v>9399</v>
      </c>
      <c r="B4176" s="6" t="s">
        <v>3729</v>
      </c>
      <c r="C4176" s="26" t="n">
        <v>46161</v>
      </c>
      <c r="D4176" s="6" t="s">
        <v>5121</v>
      </c>
      <c r="E4176" s="6" t="s">
        <v>22</v>
      </c>
      <c r="F4176" s="6" t="n">
        <v>1</v>
      </c>
      <c r="G4176" s="10" t="n">
        <v>977</v>
      </c>
      <c r="H4176" s="10" t="n">
        <f aca="false">F4176*G4176</f>
        <v>977</v>
      </c>
      <c r="I4176" s="6" t="s">
        <v>5148</v>
      </c>
    </row>
    <row r="4177" customFormat="false" ht="15" hidden="false" customHeight="false" outlineLevel="0" collapsed="false">
      <c r="A4177" s="6" t="s">
        <v>9400</v>
      </c>
      <c r="B4177" s="6" t="s">
        <v>3837</v>
      </c>
      <c r="C4177" s="26" t="n">
        <v>46161</v>
      </c>
      <c r="D4177" s="6" t="s">
        <v>5132</v>
      </c>
      <c r="E4177" s="6" t="s">
        <v>23</v>
      </c>
      <c r="F4177" s="6" t="n">
        <v>4</v>
      </c>
      <c r="G4177" s="10" t="n">
        <v>308</v>
      </c>
      <c r="H4177" s="10" t="n">
        <f aca="false">F4177*G4177</f>
        <v>1232</v>
      </c>
      <c r="I4177" s="6" t="s">
        <v>5122</v>
      </c>
    </row>
    <row r="4178" customFormat="false" ht="15" hidden="false" customHeight="false" outlineLevel="0" collapsed="false">
      <c r="A4178" s="6" t="s">
        <v>9401</v>
      </c>
      <c r="B4178" s="6" t="s">
        <v>2211</v>
      </c>
      <c r="C4178" s="26" t="n">
        <v>46161</v>
      </c>
      <c r="D4178" s="6" t="s">
        <v>5171</v>
      </c>
      <c r="E4178" s="6" t="s">
        <v>23</v>
      </c>
      <c r="F4178" s="6" t="n">
        <v>3</v>
      </c>
      <c r="G4178" s="10" t="n">
        <v>734</v>
      </c>
      <c r="H4178" s="10" t="n">
        <f aca="false">F4178*G4178</f>
        <v>2202</v>
      </c>
      <c r="I4178" s="6" t="s">
        <v>5130</v>
      </c>
    </row>
    <row r="4179" customFormat="false" ht="15" hidden="false" customHeight="false" outlineLevel="0" collapsed="false">
      <c r="A4179" s="6" t="s">
        <v>9402</v>
      </c>
      <c r="B4179" s="6" t="s">
        <v>4473</v>
      </c>
      <c r="C4179" s="26" t="n">
        <v>46161</v>
      </c>
      <c r="D4179" s="6" t="s">
        <v>5167</v>
      </c>
      <c r="E4179" s="6" t="s">
        <v>22</v>
      </c>
      <c r="F4179" s="6" t="n">
        <v>1</v>
      </c>
      <c r="G4179" s="10" t="n">
        <v>743</v>
      </c>
      <c r="H4179" s="10" t="n">
        <f aca="false">F4179*G4179</f>
        <v>743</v>
      </c>
      <c r="I4179" s="6" t="s">
        <v>5148</v>
      </c>
    </row>
    <row r="4180" customFormat="false" ht="15" hidden="false" customHeight="false" outlineLevel="0" collapsed="false">
      <c r="A4180" s="6" t="s">
        <v>9403</v>
      </c>
      <c r="B4180" s="6" t="s">
        <v>4635</v>
      </c>
      <c r="C4180" s="26" t="n">
        <v>46162</v>
      </c>
      <c r="D4180" s="6" t="s">
        <v>5167</v>
      </c>
      <c r="E4180" s="6" t="s">
        <v>22</v>
      </c>
      <c r="F4180" s="6" t="n">
        <v>2</v>
      </c>
      <c r="G4180" s="10" t="n">
        <v>743</v>
      </c>
      <c r="H4180" s="10" t="n">
        <f aca="false">F4180*G4180</f>
        <v>1486</v>
      </c>
      <c r="I4180" s="6" t="s">
        <v>5125</v>
      </c>
    </row>
    <row r="4181" customFormat="false" ht="15" hidden="false" customHeight="false" outlineLevel="0" collapsed="false">
      <c r="A4181" s="6" t="s">
        <v>9404</v>
      </c>
      <c r="B4181" s="6" t="s">
        <v>1143</v>
      </c>
      <c r="C4181" s="26" t="n">
        <v>46162</v>
      </c>
      <c r="D4181" s="6" t="s">
        <v>5837</v>
      </c>
      <c r="E4181" s="6" t="s">
        <v>21</v>
      </c>
      <c r="F4181" s="6" t="n">
        <v>1</v>
      </c>
      <c r="G4181" s="10" t="n">
        <v>2948</v>
      </c>
      <c r="H4181" s="10" t="n">
        <f aca="false">F4181*G4181</f>
        <v>2948</v>
      </c>
      <c r="I4181" s="6" t="s">
        <v>5173</v>
      </c>
    </row>
    <row r="4182" customFormat="false" ht="15" hidden="false" customHeight="false" outlineLevel="0" collapsed="false">
      <c r="A4182" s="6" t="s">
        <v>9405</v>
      </c>
      <c r="B4182" s="6" t="s">
        <v>1013</v>
      </c>
      <c r="C4182" s="26" t="n">
        <v>46162</v>
      </c>
      <c r="D4182" s="6" t="s">
        <v>5165</v>
      </c>
      <c r="E4182" s="6" t="s">
        <v>22</v>
      </c>
      <c r="F4182" s="6" t="n">
        <v>1</v>
      </c>
      <c r="G4182" s="10" t="n">
        <v>928</v>
      </c>
      <c r="H4182" s="10" t="n">
        <f aca="false">F4182*G4182</f>
        <v>928</v>
      </c>
      <c r="I4182" s="6" t="s">
        <v>5122</v>
      </c>
    </row>
    <row r="4183" customFormat="false" ht="15" hidden="false" customHeight="false" outlineLevel="0" collapsed="false">
      <c r="A4183" s="6" t="s">
        <v>9406</v>
      </c>
      <c r="B4183" s="6" t="s">
        <v>3391</v>
      </c>
      <c r="C4183" s="26" t="n">
        <v>46162</v>
      </c>
      <c r="D4183" s="6" t="s">
        <v>5216</v>
      </c>
      <c r="E4183" s="6" t="s">
        <v>23</v>
      </c>
      <c r="F4183" s="6" t="n">
        <v>1</v>
      </c>
      <c r="G4183" s="10" t="n">
        <v>557</v>
      </c>
      <c r="H4183" s="10" t="n">
        <f aca="false">F4183*G4183</f>
        <v>557</v>
      </c>
      <c r="I4183" s="6" t="s">
        <v>5125</v>
      </c>
    </row>
    <row r="4184" customFormat="false" ht="15" hidden="false" customHeight="false" outlineLevel="0" collapsed="false">
      <c r="A4184" s="6" t="s">
        <v>9407</v>
      </c>
      <c r="B4184" s="6" t="s">
        <v>4651</v>
      </c>
      <c r="C4184" s="26" t="n">
        <v>46162</v>
      </c>
      <c r="D4184" s="6" t="s">
        <v>5216</v>
      </c>
      <c r="E4184" s="6" t="s">
        <v>23</v>
      </c>
      <c r="F4184" s="6" t="n">
        <v>3</v>
      </c>
      <c r="G4184" s="10" t="n">
        <v>528</v>
      </c>
      <c r="H4184" s="10" t="n">
        <f aca="false">F4184*G4184</f>
        <v>1584</v>
      </c>
      <c r="I4184" s="6" t="s">
        <v>5173</v>
      </c>
    </row>
    <row r="4185" customFormat="false" ht="15" hidden="false" customHeight="false" outlineLevel="0" collapsed="false">
      <c r="A4185" s="6" t="s">
        <v>9408</v>
      </c>
      <c r="B4185" s="6" t="s">
        <v>4221</v>
      </c>
      <c r="C4185" s="26" t="n">
        <v>46162</v>
      </c>
      <c r="D4185" s="6" t="s">
        <v>5165</v>
      </c>
      <c r="E4185" s="6" t="s">
        <v>22</v>
      </c>
      <c r="F4185" s="6" t="n">
        <v>1</v>
      </c>
      <c r="G4185" s="10" t="n">
        <v>977</v>
      </c>
      <c r="H4185" s="10" t="n">
        <f aca="false">F4185*G4185</f>
        <v>977</v>
      </c>
      <c r="I4185" s="6" t="s">
        <v>5148</v>
      </c>
    </row>
    <row r="4186" customFormat="false" ht="15" hidden="false" customHeight="false" outlineLevel="0" collapsed="false">
      <c r="A4186" s="6" t="s">
        <v>9409</v>
      </c>
      <c r="B4186" s="6" t="s">
        <v>4165</v>
      </c>
      <c r="C4186" s="26" t="n">
        <v>46162</v>
      </c>
      <c r="D4186" s="6" t="s">
        <v>5171</v>
      </c>
      <c r="E4186" s="6" t="s">
        <v>23</v>
      </c>
      <c r="F4186" s="6" t="n">
        <v>3</v>
      </c>
      <c r="G4186" s="10" t="n">
        <v>661</v>
      </c>
      <c r="H4186" s="10" t="n">
        <f aca="false">F4186*G4186</f>
        <v>1983</v>
      </c>
      <c r="I4186" s="6" t="s">
        <v>5148</v>
      </c>
    </row>
    <row r="4187" customFormat="false" ht="15" hidden="false" customHeight="false" outlineLevel="0" collapsed="false">
      <c r="A4187" s="6" t="s">
        <v>9410</v>
      </c>
      <c r="B4187" s="6" t="s">
        <v>3507</v>
      </c>
      <c r="C4187" s="26" t="n">
        <v>46162</v>
      </c>
      <c r="D4187" s="6" t="s">
        <v>5167</v>
      </c>
      <c r="E4187" s="6" t="s">
        <v>22</v>
      </c>
      <c r="F4187" s="6" t="n">
        <v>1</v>
      </c>
      <c r="G4187" s="10" t="n">
        <v>702</v>
      </c>
      <c r="H4187" s="10" t="n">
        <f aca="false">F4187*G4187</f>
        <v>702</v>
      </c>
      <c r="I4187" s="6" t="s">
        <v>5122</v>
      </c>
    </row>
    <row r="4188" customFormat="false" ht="15" hidden="false" customHeight="false" outlineLevel="0" collapsed="false">
      <c r="A4188" s="6" t="s">
        <v>9411</v>
      </c>
      <c r="B4188" s="6" t="s">
        <v>2199</v>
      </c>
      <c r="C4188" s="26" t="n">
        <v>46162</v>
      </c>
      <c r="D4188" s="6" t="s">
        <v>5145</v>
      </c>
      <c r="E4188" s="6" t="s">
        <v>21</v>
      </c>
      <c r="F4188" s="6" t="n">
        <v>1</v>
      </c>
      <c r="G4188" s="10" t="n">
        <v>1149</v>
      </c>
      <c r="H4188" s="10" t="n">
        <f aca="false">F4188*G4188</f>
        <v>1149</v>
      </c>
      <c r="I4188" s="6" t="s">
        <v>5148</v>
      </c>
    </row>
    <row r="4189" customFormat="false" ht="15" hidden="false" customHeight="false" outlineLevel="0" collapsed="false">
      <c r="A4189" s="6" t="s">
        <v>9412</v>
      </c>
      <c r="B4189" s="6" t="s">
        <v>1903</v>
      </c>
      <c r="C4189" s="26" t="n">
        <v>46162</v>
      </c>
      <c r="D4189" s="6" t="s">
        <v>5216</v>
      </c>
      <c r="E4189" s="6" t="s">
        <v>23</v>
      </c>
      <c r="F4189" s="6" t="n">
        <v>3</v>
      </c>
      <c r="G4189" s="10" t="n">
        <v>528</v>
      </c>
      <c r="H4189" s="10" t="n">
        <f aca="false">F4189*G4189</f>
        <v>1584</v>
      </c>
      <c r="I4189" s="6" t="s">
        <v>5122</v>
      </c>
    </row>
    <row r="4190" customFormat="false" ht="15" hidden="false" customHeight="false" outlineLevel="0" collapsed="false">
      <c r="A4190" s="6" t="s">
        <v>9413</v>
      </c>
      <c r="B4190" s="6" t="s">
        <v>725</v>
      </c>
      <c r="C4190" s="26" t="n">
        <v>46162</v>
      </c>
      <c r="D4190" s="6" t="s">
        <v>5124</v>
      </c>
      <c r="E4190" s="6" t="s">
        <v>21</v>
      </c>
      <c r="F4190" s="6" t="n">
        <v>1</v>
      </c>
      <c r="G4190" s="10" t="n">
        <v>3439</v>
      </c>
      <c r="H4190" s="10" t="n">
        <f aca="false">F4190*G4190</f>
        <v>3439</v>
      </c>
      <c r="I4190" s="6" t="s">
        <v>5122</v>
      </c>
    </row>
    <row r="4191" customFormat="false" ht="15" hidden="false" customHeight="false" outlineLevel="0" collapsed="false">
      <c r="A4191" s="6" t="s">
        <v>9414</v>
      </c>
      <c r="B4191" s="6" t="s">
        <v>1965</v>
      </c>
      <c r="C4191" s="26" t="n">
        <v>46162</v>
      </c>
      <c r="D4191" s="6" t="s">
        <v>5383</v>
      </c>
      <c r="E4191" s="6" t="s">
        <v>20</v>
      </c>
      <c r="F4191" s="6" t="n">
        <v>1</v>
      </c>
      <c r="G4191" s="10" t="n">
        <v>1121</v>
      </c>
      <c r="H4191" s="10" t="n">
        <f aca="false">F4191*G4191</f>
        <v>1121</v>
      </c>
      <c r="I4191" s="6" t="s">
        <v>5130</v>
      </c>
    </row>
    <row r="4192" customFormat="false" ht="15" hidden="false" customHeight="false" outlineLevel="0" collapsed="false">
      <c r="A4192" s="6" t="s">
        <v>9415</v>
      </c>
      <c r="B4192" s="6" t="s">
        <v>207</v>
      </c>
      <c r="C4192" s="26" t="n">
        <v>46162</v>
      </c>
      <c r="D4192" s="6" t="s">
        <v>5137</v>
      </c>
      <c r="E4192" s="6" t="s">
        <v>21</v>
      </c>
      <c r="F4192" s="6" t="n">
        <v>2</v>
      </c>
      <c r="G4192" s="10" t="n">
        <v>1768</v>
      </c>
      <c r="H4192" s="10" t="n">
        <f aca="false">F4192*G4192</f>
        <v>3536</v>
      </c>
      <c r="I4192" s="6" t="s">
        <v>5122</v>
      </c>
    </row>
    <row r="4193" customFormat="false" ht="15" hidden="false" customHeight="false" outlineLevel="0" collapsed="false">
      <c r="A4193" s="6" t="s">
        <v>9416</v>
      </c>
      <c r="B4193" s="6" t="s">
        <v>3671</v>
      </c>
      <c r="C4193" s="26" t="n">
        <v>46162</v>
      </c>
      <c r="D4193" s="6" t="s">
        <v>5145</v>
      </c>
      <c r="E4193" s="6" t="s">
        <v>21</v>
      </c>
      <c r="F4193" s="6" t="n">
        <v>2</v>
      </c>
      <c r="G4193" s="10" t="n">
        <v>1277</v>
      </c>
      <c r="H4193" s="10" t="n">
        <f aca="false">F4193*G4193</f>
        <v>2554</v>
      </c>
      <c r="I4193" s="6" t="s">
        <v>5130</v>
      </c>
    </row>
    <row r="4194" customFormat="false" ht="15" hidden="false" customHeight="false" outlineLevel="0" collapsed="false">
      <c r="A4194" s="6" t="s">
        <v>9417</v>
      </c>
      <c r="B4194" s="6" t="s">
        <v>3875</v>
      </c>
      <c r="C4194" s="26" t="n">
        <v>46162</v>
      </c>
      <c r="D4194" s="6" t="s">
        <v>5466</v>
      </c>
      <c r="E4194" s="6" t="s">
        <v>21</v>
      </c>
      <c r="F4194" s="6" t="n">
        <v>3</v>
      </c>
      <c r="G4194" s="10" t="n">
        <v>1965</v>
      </c>
      <c r="H4194" s="10" t="n">
        <f aca="false">F4194*G4194</f>
        <v>5895</v>
      </c>
      <c r="I4194" s="6" t="s">
        <v>5133</v>
      </c>
    </row>
    <row r="4195" customFormat="false" ht="15" hidden="false" customHeight="false" outlineLevel="0" collapsed="false">
      <c r="A4195" s="6" t="s">
        <v>9418</v>
      </c>
      <c r="B4195" s="6" t="s">
        <v>2963</v>
      </c>
      <c r="C4195" s="26" t="n">
        <v>46162</v>
      </c>
      <c r="D4195" s="6" t="s">
        <v>5398</v>
      </c>
      <c r="E4195" s="6" t="s">
        <v>24</v>
      </c>
      <c r="F4195" s="6" t="n">
        <v>2</v>
      </c>
      <c r="G4195" s="10" t="n">
        <v>610</v>
      </c>
      <c r="H4195" s="10" t="n">
        <f aca="false">F4195*G4195</f>
        <v>1220</v>
      </c>
      <c r="I4195" s="6" t="s">
        <v>5122</v>
      </c>
    </row>
    <row r="4196" customFormat="false" ht="15" hidden="false" customHeight="false" outlineLevel="0" collapsed="false">
      <c r="A4196" s="6" t="s">
        <v>9419</v>
      </c>
      <c r="B4196" s="6" t="s">
        <v>2391</v>
      </c>
      <c r="C4196" s="26" t="n">
        <v>46162</v>
      </c>
      <c r="D4196" s="6" t="s">
        <v>5165</v>
      </c>
      <c r="E4196" s="6" t="s">
        <v>22</v>
      </c>
      <c r="F4196" s="6" t="n">
        <v>1</v>
      </c>
      <c r="G4196" s="10" t="n">
        <v>976</v>
      </c>
      <c r="H4196" s="10" t="n">
        <f aca="false">F4196*G4196</f>
        <v>976</v>
      </c>
      <c r="I4196" s="6" t="s">
        <v>5122</v>
      </c>
    </row>
    <row r="4197" customFormat="false" ht="15" hidden="false" customHeight="false" outlineLevel="0" collapsed="false">
      <c r="A4197" s="6" t="s">
        <v>9420</v>
      </c>
      <c r="B4197" s="6" t="s">
        <v>3663</v>
      </c>
      <c r="C4197" s="26" t="n">
        <v>46162</v>
      </c>
      <c r="D4197" s="6" t="s">
        <v>5135</v>
      </c>
      <c r="E4197" s="6" t="s">
        <v>23</v>
      </c>
      <c r="F4197" s="6" t="n">
        <v>2</v>
      </c>
      <c r="G4197" s="10" t="n">
        <v>441</v>
      </c>
      <c r="H4197" s="10" t="n">
        <f aca="false">F4197*G4197</f>
        <v>882</v>
      </c>
      <c r="I4197" s="6" t="s">
        <v>5122</v>
      </c>
    </row>
    <row r="4198" customFormat="false" ht="15" hidden="false" customHeight="false" outlineLevel="0" collapsed="false">
      <c r="A4198" s="6" t="s">
        <v>9421</v>
      </c>
      <c r="B4198" s="6" t="s">
        <v>3985</v>
      </c>
      <c r="C4198" s="26" t="n">
        <v>46162</v>
      </c>
      <c r="D4198" s="6" t="s">
        <v>5185</v>
      </c>
      <c r="E4198" s="6" t="s">
        <v>24</v>
      </c>
      <c r="F4198" s="6" t="n">
        <v>1</v>
      </c>
      <c r="G4198" s="10" t="n">
        <v>2140</v>
      </c>
      <c r="H4198" s="10" t="n">
        <f aca="false">F4198*G4198</f>
        <v>2140</v>
      </c>
      <c r="I4198" s="6" t="s">
        <v>5148</v>
      </c>
    </row>
    <row r="4199" customFormat="false" ht="15" hidden="false" customHeight="false" outlineLevel="0" collapsed="false">
      <c r="A4199" s="6" t="s">
        <v>9422</v>
      </c>
      <c r="B4199" s="6" t="s">
        <v>2591</v>
      </c>
      <c r="C4199" s="26" t="n">
        <v>46162</v>
      </c>
      <c r="D4199" s="6" t="s">
        <v>5561</v>
      </c>
      <c r="E4199" s="6" t="s">
        <v>20</v>
      </c>
      <c r="F4199" s="6" t="n">
        <v>1</v>
      </c>
      <c r="G4199" s="10" t="n">
        <v>3196</v>
      </c>
      <c r="H4199" s="10" t="n">
        <f aca="false">F4199*G4199</f>
        <v>3196</v>
      </c>
      <c r="I4199" s="6" t="s">
        <v>5122</v>
      </c>
    </row>
    <row r="4200" customFormat="false" ht="15" hidden="false" customHeight="false" outlineLevel="0" collapsed="false">
      <c r="A4200" s="6" t="s">
        <v>9423</v>
      </c>
      <c r="B4200" s="6" t="s">
        <v>2477</v>
      </c>
      <c r="C4200" s="26" t="n">
        <v>46162</v>
      </c>
      <c r="D4200" s="6" t="s">
        <v>5169</v>
      </c>
      <c r="E4200" s="6" t="s">
        <v>20</v>
      </c>
      <c r="F4200" s="6" t="n">
        <v>1</v>
      </c>
      <c r="G4200" s="10" t="n">
        <v>4843</v>
      </c>
      <c r="H4200" s="10" t="n">
        <f aca="false">F4200*G4200</f>
        <v>4843</v>
      </c>
      <c r="I4200" s="6" t="s">
        <v>5122</v>
      </c>
    </row>
    <row r="4201" customFormat="false" ht="15" hidden="false" customHeight="false" outlineLevel="0" collapsed="false">
      <c r="A4201" s="6" t="s">
        <v>9424</v>
      </c>
      <c r="B4201" s="6" t="s">
        <v>4039</v>
      </c>
      <c r="C4201" s="26" t="n">
        <v>46162</v>
      </c>
      <c r="D4201" s="6" t="s">
        <v>5156</v>
      </c>
      <c r="E4201" s="6" t="s">
        <v>21</v>
      </c>
      <c r="F4201" s="6" t="n">
        <v>1</v>
      </c>
      <c r="G4201" s="10" t="n">
        <v>2053</v>
      </c>
      <c r="H4201" s="10" t="n">
        <f aca="false">F4201*G4201</f>
        <v>2053</v>
      </c>
      <c r="I4201" s="6" t="s">
        <v>5122</v>
      </c>
    </row>
    <row r="4202" customFormat="false" ht="15" hidden="false" customHeight="false" outlineLevel="0" collapsed="false">
      <c r="A4202" s="6" t="s">
        <v>9425</v>
      </c>
      <c r="B4202" s="6" t="s">
        <v>3717</v>
      </c>
      <c r="C4202" s="26" t="n">
        <v>46162</v>
      </c>
      <c r="D4202" s="6" t="s">
        <v>5121</v>
      </c>
      <c r="E4202" s="6" t="s">
        <v>22</v>
      </c>
      <c r="F4202" s="6" t="n">
        <v>1</v>
      </c>
      <c r="G4202" s="10" t="n">
        <v>977</v>
      </c>
      <c r="H4202" s="10" t="n">
        <f aca="false">F4202*G4202</f>
        <v>977</v>
      </c>
      <c r="I4202" s="6" t="s">
        <v>5122</v>
      </c>
    </row>
    <row r="4203" customFormat="false" ht="15" hidden="false" customHeight="false" outlineLevel="0" collapsed="false">
      <c r="A4203" s="6" t="s">
        <v>9426</v>
      </c>
      <c r="B4203" s="6" t="s">
        <v>319</v>
      </c>
      <c r="C4203" s="26" t="n">
        <v>46162</v>
      </c>
      <c r="D4203" s="6" t="s">
        <v>5214</v>
      </c>
      <c r="E4203" s="6" t="s">
        <v>20</v>
      </c>
      <c r="F4203" s="6" t="n">
        <v>1</v>
      </c>
      <c r="G4203" s="10" t="n">
        <v>2039</v>
      </c>
      <c r="H4203" s="10" t="n">
        <f aca="false">F4203*G4203</f>
        <v>2039</v>
      </c>
      <c r="I4203" s="6" t="s">
        <v>5148</v>
      </c>
    </row>
    <row r="4204" customFormat="false" ht="15" hidden="false" customHeight="false" outlineLevel="0" collapsed="false">
      <c r="A4204" s="6" t="s">
        <v>9427</v>
      </c>
      <c r="B4204" s="6" t="s">
        <v>4259</v>
      </c>
      <c r="C4204" s="26" t="n">
        <v>46162</v>
      </c>
      <c r="D4204" s="6" t="s">
        <v>5167</v>
      </c>
      <c r="E4204" s="6" t="s">
        <v>22</v>
      </c>
      <c r="F4204" s="6" t="n">
        <v>1</v>
      </c>
      <c r="G4204" s="10" t="n">
        <v>782</v>
      </c>
      <c r="H4204" s="10" t="n">
        <f aca="false">F4204*G4204</f>
        <v>782</v>
      </c>
      <c r="I4204" s="6" t="s">
        <v>5122</v>
      </c>
    </row>
    <row r="4205" customFormat="false" ht="15" hidden="false" customHeight="false" outlineLevel="0" collapsed="false">
      <c r="A4205" s="6" t="s">
        <v>9428</v>
      </c>
      <c r="B4205" s="6" t="s">
        <v>4145</v>
      </c>
      <c r="C4205" s="26" t="n">
        <v>46162</v>
      </c>
      <c r="D4205" s="6" t="s">
        <v>5127</v>
      </c>
      <c r="E4205" s="6" t="s">
        <v>21</v>
      </c>
      <c r="F4205" s="6" t="n">
        <v>1</v>
      </c>
      <c r="G4205" s="10" t="n">
        <v>884</v>
      </c>
      <c r="H4205" s="10" t="n">
        <f aca="false">F4205*G4205</f>
        <v>884</v>
      </c>
      <c r="I4205" s="6" t="s">
        <v>5148</v>
      </c>
    </row>
    <row r="4206" customFormat="false" ht="15" hidden="false" customHeight="false" outlineLevel="0" collapsed="false">
      <c r="A4206" s="6" t="s">
        <v>9429</v>
      </c>
      <c r="B4206" s="6" t="s">
        <v>4265</v>
      </c>
      <c r="C4206" s="26" t="n">
        <v>46162</v>
      </c>
      <c r="D4206" s="6" t="s">
        <v>5216</v>
      </c>
      <c r="E4206" s="6" t="s">
        <v>23</v>
      </c>
      <c r="F4206" s="6" t="n">
        <v>4</v>
      </c>
      <c r="G4206" s="10" t="n">
        <v>528</v>
      </c>
      <c r="H4206" s="10" t="n">
        <f aca="false">F4206*G4206</f>
        <v>2112</v>
      </c>
      <c r="I4206" s="6" t="s">
        <v>5148</v>
      </c>
    </row>
    <row r="4207" customFormat="false" ht="15" hidden="false" customHeight="false" outlineLevel="0" collapsed="false">
      <c r="A4207" s="6" t="s">
        <v>9430</v>
      </c>
      <c r="B4207" s="6" t="s">
        <v>1587</v>
      </c>
      <c r="C4207" s="26" t="n">
        <v>46162</v>
      </c>
      <c r="D4207" s="6" t="s">
        <v>5197</v>
      </c>
      <c r="E4207" s="6" t="s">
        <v>21</v>
      </c>
      <c r="F4207" s="6" t="n">
        <v>1</v>
      </c>
      <c r="G4207" s="10" t="n">
        <v>1026</v>
      </c>
      <c r="H4207" s="10" t="n">
        <f aca="false">F4207*G4207</f>
        <v>1026</v>
      </c>
      <c r="I4207" s="6" t="s">
        <v>5122</v>
      </c>
    </row>
    <row r="4208" customFormat="false" ht="15" hidden="false" customHeight="false" outlineLevel="0" collapsed="false">
      <c r="A4208" s="6" t="s">
        <v>9431</v>
      </c>
      <c r="B4208" s="6" t="s">
        <v>1121</v>
      </c>
      <c r="C4208" s="26" t="n">
        <v>46162</v>
      </c>
      <c r="D4208" s="6" t="s">
        <v>5141</v>
      </c>
      <c r="E4208" s="6" t="s">
        <v>20</v>
      </c>
      <c r="F4208" s="6" t="n">
        <v>1</v>
      </c>
      <c r="G4208" s="10" t="n">
        <v>1743</v>
      </c>
      <c r="H4208" s="10" t="n">
        <f aca="false">F4208*G4208</f>
        <v>1743</v>
      </c>
      <c r="I4208" s="6" t="s">
        <v>5122</v>
      </c>
    </row>
    <row r="4209" customFormat="false" ht="15" hidden="false" customHeight="false" outlineLevel="0" collapsed="false">
      <c r="A4209" s="6" t="s">
        <v>9432</v>
      </c>
      <c r="B4209" s="6" t="s">
        <v>4841</v>
      </c>
      <c r="C4209" s="26" t="n">
        <v>46163</v>
      </c>
      <c r="D4209" s="6" t="s">
        <v>5163</v>
      </c>
      <c r="E4209" s="6" t="s">
        <v>23</v>
      </c>
      <c r="F4209" s="6" t="n">
        <v>1</v>
      </c>
      <c r="G4209" s="10" t="n">
        <v>783</v>
      </c>
      <c r="H4209" s="10" t="n">
        <f aca="false">F4209*G4209</f>
        <v>783</v>
      </c>
      <c r="I4209" s="6" t="s">
        <v>5148</v>
      </c>
    </row>
    <row r="4210" customFormat="false" ht="15" hidden="false" customHeight="false" outlineLevel="0" collapsed="false">
      <c r="A4210" s="6" t="s">
        <v>9433</v>
      </c>
      <c r="B4210" s="6" t="s">
        <v>1375</v>
      </c>
      <c r="C4210" s="26" t="n">
        <v>46163</v>
      </c>
      <c r="D4210" s="6" t="s">
        <v>5158</v>
      </c>
      <c r="E4210" s="6" t="s">
        <v>24</v>
      </c>
      <c r="F4210" s="6" t="n">
        <v>2</v>
      </c>
      <c r="G4210" s="10" t="n">
        <v>433</v>
      </c>
      <c r="H4210" s="10" t="n">
        <f aca="false">F4210*G4210</f>
        <v>866</v>
      </c>
      <c r="I4210" s="6" t="s">
        <v>5148</v>
      </c>
    </row>
    <row r="4211" customFormat="false" ht="15" hidden="false" customHeight="false" outlineLevel="0" collapsed="false">
      <c r="A4211" s="6" t="s">
        <v>9434</v>
      </c>
      <c r="B4211" s="6" t="s">
        <v>2989</v>
      </c>
      <c r="C4211" s="26" t="n">
        <v>46163</v>
      </c>
      <c r="D4211" s="6" t="s">
        <v>5182</v>
      </c>
      <c r="E4211" s="6" t="s">
        <v>23</v>
      </c>
      <c r="F4211" s="6" t="n">
        <v>1</v>
      </c>
      <c r="G4211" s="10" t="n">
        <v>367</v>
      </c>
      <c r="H4211" s="10" t="n">
        <f aca="false">F4211*G4211</f>
        <v>367</v>
      </c>
      <c r="I4211" s="6" t="s">
        <v>5148</v>
      </c>
    </row>
    <row r="4212" customFormat="false" ht="15" hidden="false" customHeight="false" outlineLevel="0" collapsed="false">
      <c r="A4212" s="6" t="s">
        <v>9435</v>
      </c>
      <c r="B4212" s="6" t="s">
        <v>128</v>
      </c>
      <c r="C4212" s="26" t="n">
        <v>46163</v>
      </c>
      <c r="D4212" s="6" t="s">
        <v>5167</v>
      </c>
      <c r="E4212" s="6" t="s">
        <v>22</v>
      </c>
      <c r="F4212" s="6" t="n">
        <v>2</v>
      </c>
      <c r="G4212" s="10" t="n">
        <v>782</v>
      </c>
      <c r="H4212" s="10" t="n">
        <f aca="false">F4212*G4212</f>
        <v>1564</v>
      </c>
      <c r="I4212" s="6" t="s">
        <v>5122</v>
      </c>
    </row>
    <row r="4213" customFormat="false" ht="15" hidden="false" customHeight="false" outlineLevel="0" collapsed="false">
      <c r="A4213" s="6" t="s">
        <v>9436</v>
      </c>
      <c r="B4213" s="6" t="s">
        <v>4767</v>
      </c>
      <c r="C4213" s="26" t="n">
        <v>46163</v>
      </c>
      <c r="D4213" s="6" t="s">
        <v>5171</v>
      </c>
      <c r="E4213" s="6" t="s">
        <v>23</v>
      </c>
      <c r="F4213" s="6" t="n">
        <v>4</v>
      </c>
      <c r="G4213" s="10" t="n">
        <v>734</v>
      </c>
      <c r="H4213" s="10" t="n">
        <f aca="false">F4213*G4213</f>
        <v>2936</v>
      </c>
      <c r="I4213" s="6" t="s">
        <v>5173</v>
      </c>
    </row>
    <row r="4214" customFormat="false" ht="15" hidden="false" customHeight="false" outlineLevel="0" collapsed="false">
      <c r="A4214" s="6" t="s">
        <v>9437</v>
      </c>
      <c r="B4214" s="6" t="s">
        <v>1587</v>
      </c>
      <c r="C4214" s="26" t="n">
        <v>46163</v>
      </c>
      <c r="D4214" s="6" t="s">
        <v>5357</v>
      </c>
      <c r="E4214" s="6" t="s">
        <v>23</v>
      </c>
      <c r="F4214" s="6" t="n">
        <v>1</v>
      </c>
      <c r="G4214" s="10" t="n">
        <v>481</v>
      </c>
      <c r="H4214" s="10" t="n">
        <f aca="false">F4214*G4214</f>
        <v>481</v>
      </c>
      <c r="I4214" s="6" t="s">
        <v>5122</v>
      </c>
    </row>
    <row r="4215" customFormat="false" ht="15" hidden="false" customHeight="false" outlineLevel="0" collapsed="false">
      <c r="A4215" s="6" t="s">
        <v>9438</v>
      </c>
      <c r="B4215" s="6" t="s">
        <v>3899</v>
      </c>
      <c r="C4215" s="26" t="n">
        <v>46163</v>
      </c>
      <c r="D4215" s="6" t="s">
        <v>5127</v>
      </c>
      <c r="E4215" s="6" t="s">
        <v>21</v>
      </c>
      <c r="F4215" s="6" t="n">
        <v>1</v>
      </c>
      <c r="G4215" s="10" t="n">
        <v>884</v>
      </c>
      <c r="H4215" s="10" t="n">
        <f aca="false">F4215*G4215</f>
        <v>884</v>
      </c>
      <c r="I4215" s="6" t="s">
        <v>5125</v>
      </c>
    </row>
    <row r="4216" customFormat="false" ht="15" hidden="false" customHeight="false" outlineLevel="0" collapsed="false">
      <c r="A4216" s="6" t="s">
        <v>9439</v>
      </c>
      <c r="B4216" s="6" t="s">
        <v>2009</v>
      </c>
      <c r="C4216" s="26" t="n">
        <v>46163</v>
      </c>
      <c r="D4216" s="6" t="s">
        <v>5261</v>
      </c>
      <c r="E4216" s="6" t="s">
        <v>23</v>
      </c>
      <c r="F4216" s="6" t="n">
        <v>1</v>
      </c>
      <c r="G4216" s="10" t="n">
        <v>167</v>
      </c>
      <c r="H4216" s="10" t="n">
        <f aca="false">F4216*G4216</f>
        <v>167</v>
      </c>
      <c r="I4216" s="6" t="s">
        <v>5122</v>
      </c>
    </row>
    <row r="4217" customFormat="false" ht="15" hidden="false" customHeight="false" outlineLevel="0" collapsed="false">
      <c r="A4217" s="6" t="s">
        <v>9440</v>
      </c>
      <c r="B4217" s="6" t="s">
        <v>3745</v>
      </c>
      <c r="C4217" s="26" t="n">
        <v>46163</v>
      </c>
      <c r="D4217" s="6" t="s">
        <v>5165</v>
      </c>
      <c r="E4217" s="6" t="s">
        <v>22</v>
      </c>
      <c r="F4217" s="6" t="n">
        <v>3</v>
      </c>
      <c r="G4217" s="10" t="n">
        <v>977</v>
      </c>
      <c r="H4217" s="10" t="n">
        <f aca="false">F4217*G4217</f>
        <v>2931</v>
      </c>
      <c r="I4217" s="6" t="s">
        <v>5122</v>
      </c>
    </row>
    <row r="4218" customFormat="false" ht="15" hidden="false" customHeight="false" outlineLevel="0" collapsed="false">
      <c r="A4218" s="6" t="s">
        <v>9441</v>
      </c>
      <c r="B4218" s="6" t="s">
        <v>4951</v>
      </c>
      <c r="C4218" s="26" t="n">
        <v>46163</v>
      </c>
      <c r="D4218" s="6" t="s">
        <v>5135</v>
      </c>
      <c r="E4218" s="6" t="s">
        <v>23</v>
      </c>
      <c r="F4218" s="6" t="n">
        <v>1</v>
      </c>
      <c r="G4218" s="10" t="n">
        <v>440</v>
      </c>
      <c r="H4218" s="10" t="n">
        <f aca="false">F4218*G4218</f>
        <v>440</v>
      </c>
      <c r="I4218" s="6" t="s">
        <v>5148</v>
      </c>
    </row>
    <row r="4219" customFormat="false" ht="15" hidden="false" customHeight="false" outlineLevel="0" collapsed="false">
      <c r="A4219" s="6" t="s">
        <v>9442</v>
      </c>
      <c r="B4219" s="6" t="s">
        <v>260</v>
      </c>
      <c r="C4219" s="26" t="n">
        <v>46163</v>
      </c>
      <c r="D4219" s="6" t="s">
        <v>5194</v>
      </c>
      <c r="E4219" s="6" t="s">
        <v>22</v>
      </c>
      <c r="F4219" s="6" t="n">
        <v>3</v>
      </c>
      <c r="G4219" s="10" t="n">
        <v>2151</v>
      </c>
      <c r="H4219" s="10" t="n">
        <f aca="false">F4219*G4219</f>
        <v>6453</v>
      </c>
      <c r="I4219" s="6" t="s">
        <v>5130</v>
      </c>
    </row>
    <row r="4220" customFormat="false" ht="15" hidden="false" customHeight="false" outlineLevel="0" collapsed="false">
      <c r="A4220" s="6" t="s">
        <v>9443</v>
      </c>
      <c r="B4220" s="6" t="s">
        <v>1163</v>
      </c>
      <c r="C4220" s="26" t="n">
        <v>46163</v>
      </c>
      <c r="D4220" s="6" t="s">
        <v>5158</v>
      </c>
      <c r="E4220" s="6" t="s">
        <v>24</v>
      </c>
      <c r="F4220" s="6" t="n">
        <v>1</v>
      </c>
      <c r="G4220" s="10" t="n">
        <v>390</v>
      </c>
      <c r="H4220" s="10" t="n">
        <f aca="false">F4220*G4220</f>
        <v>390</v>
      </c>
      <c r="I4220" s="6" t="s">
        <v>5133</v>
      </c>
    </row>
    <row r="4221" customFormat="false" ht="15" hidden="false" customHeight="false" outlineLevel="0" collapsed="false">
      <c r="A4221" s="6" t="s">
        <v>9444</v>
      </c>
      <c r="B4221" s="6" t="s">
        <v>4583</v>
      </c>
      <c r="C4221" s="26" t="n">
        <v>46163</v>
      </c>
      <c r="D4221" s="6" t="s">
        <v>5163</v>
      </c>
      <c r="E4221" s="6" t="s">
        <v>23</v>
      </c>
      <c r="F4221" s="6" t="n">
        <v>5</v>
      </c>
      <c r="G4221" s="10" t="n">
        <v>705</v>
      </c>
      <c r="H4221" s="10" t="n">
        <f aca="false">F4221*G4221</f>
        <v>3525</v>
      </c>
      <c r="I4221" s="6" t="s">
        <v>5125</v>
      </c>
    </row>
    <row r="4222" customFormat="false" ht="15" hidden="false" customHeight="false" outlineLevel="0" collapsed="false">
      <c r="A4222" s="6" t="s">
        <v>9445</v>
      </c>
      <c r="B4222" s="6" t="s">
        <v>4511</v>
      </c>
      <c r="C4222" s="26" t="n">
        <v>46163</v>
      </c>
      <c r="D4222" s="6" t="s">
        <v>5269</v>
      </c>
      <c r="E4222" s="6" t="s">
        <v>22</v>
      </c>
      <c r="F4222" s="6" t="n">
        <v>3</v>
      </c>
      <c r="G4222" s="10" t="n">
        <v>1207</v>
      </c>
      <c r="H4222" s="10" t="n">
        <f aca="false">F4222*G4222</f>
        <v>3621</v>
      </c>
      <c r="I4222" s="6" t="s">
        <v>5122</v>
      </c>
    </row>
    <row r="4223" customFormat="false" ht="15" hidden="false" customHeight="false" outlineLevel="0" collapsed="false">
      <c r="A4223" s="6" t="s">
        <v>9446</v>
      </c>
      <c r="B4223" s="6" t="s">
        <v>471</v>
      </c>
      <c r="C4223" s="26" t="n">
        <v>46163</v>
      </c>
      <c r="D4223" s="6" t="s">
        <v>5188</v>
      </c>
      <c r="E4223" s="6" t="s">
        <v>24</v>
      </c>
      <c r="F4223" s="6" t="n">
        <v>1</v>
      </c>
      <c r="G4223" s="10" t="n">
        <v>967</v>
      </c>
      <c r="H4223" s="10" t="n">
        <f aca="false">F4223*G4223</f>
        <v>967</v>
      </c>
      <c r="I4223" s="6" t="s">
        <v>5122</v>
      </c>
    </row>
    <row r="4224" customFormat="false" ht="15" hidden="false" customHeight="false" outlineLevel="0" collapsed="false">
      <c r="A4224" s="6" t="s">
        <v>9447</v>
      </c>
      <c r="B4224" s="6" t="s">
        <v>1013</v>
      </c>
      <c r="C4224" s="26" t="n">
        <v>46163</v>
      </c>
      <c r="D4224" s="6" t="s">
        <v>5167</v>
      </c>
      <c r="E4224" s="6" t="s">
        <v>22</v>
      </c>
      <c r="F4224" s="6" t="n">
        <v>1</v>
      </c>
      <c r="G4224" s="10" t="n">
        <v>781</v>
      </c>
      <c r="H4224" s="10" t="n">
        <f aca="false">F4224*G4224</f>
        <v>781</v>
      </c>
      <c r="I4224" s="6" t="s">
        <v>5130</v>
      </c>
    </row>
    <row r="4225" customFormat="false" ht="15" hidden="false" customHeight="false" outlineLevel="0" collapsed="false">
      <c r="A4225" s="6" t="s">
        <v>9448</v>
      </c>
      <c r="B4225" s="6" t="s">
        <v>3055</v>
      </c>
      <c r="C4225" s="26" t="n">
        <v>46163</v>
      </c>
      <c r="D4225" s="6" t="s">
        <v>5339</v>
      </c>
      <c r="E4225" s="6" t="s">
        <v>24</v>
      </c>
      <c r="F4225" s="6" t="n">
        <v>1</v>
      </c>
      <c r="G4225" s="10" t="n">
        <v>508</v>
      </c>
      <c r="H4225" s="10" t="n">
        <f aca="false">F4225*G4225</f>
        <v>508</v>
      </c>
      <c r="I4225" s="6" t="s">
        <v>5133</v>
      </c>
    </row>
    <row r="4226" customFormat="false" ht="15" hidden="false" customHeight="false" outlineLevel="0" collapsed="false">
      <c r="A4226" s="6" t="s">
        <v>9449</v>
      </c>
      <c r="B4226" s="6" t="s">
        <v>1041</v>
      </c>
      <c r="C4226" s="26" t="n">
        <v>46163</v>
      </c>
      <c r="D4226" s="6" t="s">
        <v>5216</v>
      </c>
      <c r="E4226" s="6" t="s">
        <v>23</v>
      </c>
      <c r="F4226" s="6" t="n">
        <v>4</v>
      </c>
      <c r="G4226" s="10" t="n">
        <v>558</v>
      </c>
      <c r="H4226" s="10" t="n">
        <f aca="false">F4226*G4226</f>
        <v>2232</v>
      </c>
      <c r="I4226" s="6" t="s">
        <v>5130</v>
      </c>
    </row>
    <row r="4227" customFormat="false" ht="15" hidden="false" customHeight="false" outlineLevel="0" collapsed="false">
      <c r="A4227" s="6" t="s">
        <v>9450</v>
      </c>
      <c r="B4227" s="6" t="s">
        <v>2377</v>
      </c>
      <c r="C4227" s="26" t="n">
        <v>46163</v>
      </c>
      <c r="D4227" s="6" t="s">
        <v>5160</v>
      </c>
      <c r="E4227" s="6" t="s">
        <v>21</v>
      </c>
      <c r="F4227" s="6" t="n">
        <v>1</v>
      </c>
      <c r="G4227" s="10" t="n">
        <v>2476</v>
      </c>
      <c r="H4227" s="10" t="n">
        <f aca="false">F4227*G4227</f>
        <v>2476</v>
      </c>
      <c r="I4227" s="6" t="s">
        <v>5125</v>
      </c>
    </row>
    <row r="4228" customFormat="false" ht="15" hidden="false" customHeight="false" outlineLevel="0" collapsed="false">
      <c r="A4228" s="6" t="s">
        <v>9451</v>
      </c>
      <c r="B4228" s="6" t="s">
        <v>3685</v>
      </c>
      <c r="C4228" s="26" t="n">
        <v>46163</v>
      </c>
      <c r="D4228" s="6" t="s">
        <v>5691</v>
      </c>
      <c r="E4228" s="6" t="s">
        <v>21</v>
      </c>
      <c r="F4228" s="6" t="n">
        <v>1</v>
      </c>
      <c r="G4228" s="10" t="n">
        <v>5897</v>
      </c>
      <c r="H4228" s="10" t="n">
        <f aca="false">F4228*G4228</f>
        <v>5897</v>
      </c>
      <c r="I4228" s="6" t="s">
        <v>5122</v>
      </c>
    </row>
    <row r="4229" customFormat="false" ht="15" hidden="false" customHeight="false" outlineLevel="0" collapsed="false">
      <c r="A4229" s="6" t="s">
        <v>9452</v>
      </c>
      <c r="B4229" s="6" t="s">
        <v>1001</v>
      </c>
      <c r="C4229" s="26" t="n">
        <v>46163</v>
      </c>
      <c r="D4229" s="6" t="s">
        <v>5143</v>
      </c>
      <c r="E4229" s="6" t="s">
        <v>21</v>
      </c>
      <c r="F4229" s="6" t="n">
        <v>1</v>
      </c>
      <c r="G4229" s="10" t="n">
        <v>1179</v>
      </c>
      <c r="H4229" s="10" t="n">
        <f aca="false">F4229*G4229</f>
        <v>1179</v>
      </c>
      <c r="I4229" s="6" t="s">
        <v>5148</v>
      </c>
    </row>
    <row r="4230" customFormat="false" ht="15" hidden="false" customHeight="false" outlineLevel="0" collapsed="false">
      <c r="A4230" s="6" t="s">
        <v>9453</v>
      </c>
      <c r="B4230" s="6" t="s">
        <v>437</v>
      </c>
      <c r="C4230" s="26" t="n">
        <v>46163</v>
      </c>
      <c r="D4230" s="6" t="s">
        <v>5129</v>
      </c>
      <c r="E4230" s="6" t="s">
        <v>21</v>
      </c>
      <c r="F4230" s="6" t="n">
        <v>1</v>
      </c>
      <c r="G4230" s="10" t="n">
        <v>589</v>
      </c>
      <c r="H4230" s="10" t="n">
        <f aca="false">F4230*G4230</f>
        <v>589</v>
      </c>
      <c r="I4230" s="6" t="s">
        <v>5148</v>
      </c>
    </row>
    <row r="4231" customFormat="false" ht="15" hidden="false" customHeight="false" outlineLevel="0" collapsed="false">
      <c r="A4231" s="6" t="s">
        <v>9454</v>
      </c>
      <c r="B4231" s="6" t="s">
        <v>340</v>
      </c>
      <c r="C4231" s="26" t="n">
        <v>46163</v>
      </c>
      <c r="D4231" s="6" t="s">
        <v>5171</v>
      </c>
      <c r="E4231" s="6" t="s">
        <v>23</v>
      </c>
      <c r="F4231" s="6" t="n">
        <v>5</v>
      </c>
      <c r="G4231" s="10" t="n">
        <v>734</v>
      </c>
      <c r="H4231" s="10" t="n">
        <f aca="false">F4231*G4231</f>
        <v>3670</v>
      </c>
      <c r="I4231" s="6" t="s">
        <v>5122</v>
      </c>
    </row>
    <row r="4232" customFormat="false" ht="15" hidden="false" customHeight="false" outlineLevel="0" collapsed="false">
      <c r="A4232" s="6" t="s">
        <v>9455</v>
      </c>
      <c r="B4232" s="6" t="s">
        <v>3113</v>
      </c>
      <c r="C4232" s="26" t="n">
        <v>46163</v>
      </c>
      <c r="D4232" s="6" t="s">
        <v>5171</v>
      </c>
      <c r="E4232" s="6" t="s">
        <v>23</v>
      </c>
      <c r="F4232" s="6" t="n">
        <v>4</v>
      </c>
      <c r="G4232" s="10" t="n">
        <v>734</v>
      </c>
      <c r="H4232" s="10" t="n">
        <f aca="false">F4232*G4232</f>
        <v>2936</v>
      </c>
      <c r="I4232" s="6" t="s">
        <v>5122</v>
      </c>
    </row>
    <row r="4233" customFormat="false" ht="15" hidden="false" customHeight="false" outlineLevel="0" collapsed="false">
      <c r="A4233" s="6" t="s">
        <v>9456</v>
      </c>
      <c r="B4233" s="6" t="s">
        <v>1463</v>
      </c>
      <c r="C4233" s="26" t="n">
        <v>46163</v>
      </c>
      <c r="D4233" s="6" t="s">
        <v>5163</v>
      </c>
      <c r="E4233" s="6" t="s">
        <v>23</v>
      </c>
      <c r="F4233" s="6" t="n">
        <v>4</v>
      </c>
      <c r="G4233" s="10" t="n">
        <v>705</v>
      </c>
      <c r="H4233" s="10" t="n">
        <f aca="false">F4233*G4233</f>
        <v>2820</v>
      </c>
      <c r="I4233" s="6" t="s">
        <v>5148</v>
      </c>
    </row>
    <row r="4234" customFormat="false" ht="15" hidden="false" customHeight="false" outlineLevel="0" collapsed="false">
      <c r="A4234" s="6" t="s">
        <v>9457</v>
      </c>
      <c r="B4234" s="6" t="s">
        <v>691</v>
      </c>
      <c r="C4234" s="26" t="n">
        <v>46163</v>
      </c>
      <c r="D4234" s="6" t="s">
        <v>5357</v>
      </c>
      <c r="E4234" s="6" t="s">
        <v>23</v>
      </c>
      <c r="F4234" s="6" t="n">
        <v>1</v>
      </c>
      <c r="G4234" s="10" t="n">
        <v>533</v>
      </c>
      <c r="H4234" s="10" t="n">
        <f aca="false">F4234*G4234</f>
        <v>533</v>
      </c>
      <c r="I4234" s="6" t="s">
        <v>5122</v>
      </c>
    </row>
    <row r="4235" customFormat="false" ht="15" hidden="false" customHeight="false" outlineLevel="0" collapsed="false">
      <c r="A4235" s="6" t="s">
        <v>9458</v>
      </c>
      <c r="B4235" s="6" t="s">
        <v>2565</v>
      </c>
      <c r="C4235" s="26" t="n">
        <v>46163</v>
      </c>
      <c r="D4235" s="6" t="s">
        <v>5124</v>
      </c>
      <c r="E4235" s="6" t="s">
        <v>21</v>
      </c>
      <c r="F4235" s="6" t="n">
        <v>1</v>
      </c>
      <c r="G4235" s="10" t="n">
        <v>3267</v>
      </c>
      <c r="H4235" s="10" t="n">
        <f aca="false">F4235*G4235</f>
        <v>3267</v>
      </c>
      <c r="I4235" s="6" t="s">
        <v>5130</v>
      </c>
    </row>
    <row r="4236" customFormat="false" ht="15" hidden="false" customHeight="false" outlineLevel="0" collapsed="false">
      <c r="A4236" s="6" t="s">
        <v>9459</v>
      </c>
      <c r="B4236" s="6" t="s">
        <v>1881</v>
      </c>
      <c r="C4236" s="26" t="n">
        <v>46163</v>
      </c>
      <c r="D4236" s="6" t="s">
        <v>5482</v>
      </c>
      <c r="E4236" s="6" t="s">
        <v>23</v>
      </c>
      <c r="F4236" s="6" t="n">
        <v>4</v>
      </c>
      <c r="G4236" s="10" t="n">
        <v>269</v>
      </c>
      <c r="H4236" s="10" t="n">
        <f aca="false">F4236*G4236</f>
        <v>1076</v>
      </c>
      <c r="I4236" s="6" t="s">
        <v>5122</v>
      </c>
    </row>
    <row r="4237" customFormat="false" ht="15" hidden="false" customHeight="false" outlineLevel="0" collapsed="false">
      <c r="A4237" s="6" t="s">
        <v>9460</v>
      </c>
      <c r="B4237" s="6" t="s">
        <v>1917</v>
      </c>
      <c r="C4237" s="26" t="n">
        <v>46163</v>
      </c>
      <c r="D4237" s="6" t="s">
        <v>5837</v>
      </c>
      <c r="E4237" s="6" t="s">
        <v>21</v>
      </c>
      <c r="F4237" s="6" t="n">
        <v>1</v>
      </c>
      <c r="G4237" s="10" t="n">
        <v>2653</v>
      </c>
      <c r="H4237" s="10" t="n">
        <f aca="false">F4237*G4237</f>
        <v>2653</v>
      </c>
      <c r="I4237" s="6" t="s">
        <v>5125</v>
      </c>
    </row>
    <row r="4238" customFormat="false" ht="15" hidden="false" customHeight="false" outlineLevel="0" collapsed="false">
      <c r="A4238" s="6" t="s">
        <v>9461</v>
      </c>
      <c r="B4238" s="6" t="s">
        <v>2353</v>
      </c>
      <c r="C4238" s="26" t="n">
        <v>46163</v>
      </c>
      <c r="D4238" s="6" t="s">
        <v>5143</v>
      </c>
      <c r="E4238" s="6" t="s">
        <v>21</v>
      </c>
      <c r="F4238" s="6" t="n">
        <v>1</v>
      </c>
      <c r="G4238" s="10" t="n">
        <v>1061</v>
      </c>
      <c r="H4238" s="10" t="n">
        <f aca="false">F4238*G4238</f>
        <v>1061</v>
      </c>
      <c r="I4238" s="6" t="s">
        <v>5148</v>
      </c>
    </row>
    <row r="4239" customFormat="false" ht="15" hidden="false" customHeight="false" outlineLevel="0" collapsed="false">
      <c r="A4239" s="6" t="s">
        <v>9462</v>
      </c>
      <c r="B4239" s="6" t="s">
        <v>4371</v>
      </c>
      <c r="C4239" s="26" t="n">
        <v>46163</v>
      </c>
      <c r="D4239" s="6" t="s">
        <v>5167</v>
      </c>
      <c r="E4239" s="6" t="s">
        <v>22</v>
      </c>
      <c r="F4239" s="6" t="n">
        <v>2</v>
      </c>
      <c r="G4239" s="10" t="n">
        <v>782</v>
      </c>
      <c r="H4239" s="10" t="n">
        <f aca="false">F4239*G4239</f>
        <v>1564</v>
      </c>
      <c r="I4239" s="6" t="s">
        <v>5148</v>
      </c>
    </row>
    <row r="4240" customFormat="false" ht="15" hidden="false" customHeight="false" outlineLevel="0" collapsed="false">
      <c r="A4240" s="6" t="s">
        <v>9463</v>
      </c>
      <c r="B4240" s="6" t="s">
        <v>1245</v>
      </c>
      <c r="C4240" s="26" t="n">
        <v>46163</v>
      </c>
      <c r="D4240" s="6" t="s">
        <v>5357</v>
      </c>
      <c r="E4240" s="6" t="s">
        <v>23</v>
      </c>
      <c r="F4240" s="6" t="n">
        <v>2</v>
      </c>
      <c r="G4240" s="10" t="n">
        <v>534</v>
      </c>
      <c r="H4240" s="10" t="n">
        <f aca="false">F4240*G4240</f>
        <v>1068</v>
      </c>
      <c r="I4240" s="6" t="s">
        <v>5122</v>
      </c>
    </row>
    <row r="4241" customFormat="false" ht="15" hidden="false" customHeight="false" outlineLevel="0" collapsed="false">
      <c r="A4241" s="6" t="s">
        <v>9464</v>
      </c>
      <c r="B4241" s="6" t="s">
        <v>4719</v>
      </c>
      <c r="C4241" s="26" t="n">
        <v>46164</v>
      </c>
      <c r="D4241" s="6" t="s">
        <v>5466</v>
      </c>
      <c r="E4241" s="6" t="s">
        <v>21</v>
      </c>
      <c r="F4241" s="6" t="n">
        <v>1</v>
      </c>
      <c r="G4241" s="10" t="n">
        <v>1768</v>
      </c>
      <c r="H4241" s="10" t="n">
        <f aca="false">F4241*G4241</f>
        <v>1768</v>
      </c>
      <c r="I4241" s="6" t="s">
        <v>5148</v>
      </c>
    </row>
    <row r="4242" customFormat="false" ht="15" hidden="false" customHeight="false" outlineLevel="0" collapsed="false">
      <c r="A4242" s="6" t="s">
        <v>9465</v>
      </c>
      <c r="B4242" s="6" t="s">
        <v>4445</v>
      </c>
      <c r="C4242" s="26" t="n">
        <v>46164</v>
      </c>
      <c r="D4242" s="6" t="s">
        <v>5150</v>
      </c>
      <c r="E4242" s="6" t="s">
        <v>24</v>
      </c>
      <c r="F4242" s="6" t="n">
        <v>1</v>
      </c>
      <c r="G4242" s="10" t="n">
        <v>483</v>
      </c>
      <c r="H4242" s="10" t="n">
        <f aca="false">F4242*G4242</f>
        <v>483</v>
      </c>
      <c r="I4242" s="6" t="s">
        <v>5148</v>
      </c>
    </row>
    <row r="4243" customFormat="false" ht="15" hidden="false" customHeight="false" outlineLevel="0" collapsed="false">
      <c r="A4243" s="6" t="s">
        <v>9466</v>
      </c>
      <c r="B4243" s="6" t="s">
        <v>1203</v>
      </c>
      <c r="C4243" s="26" t="n">
        <v>46164</v>
      </c>
      <c r="D4243" s="6" t="s">
        <v>5165</v>
      </c>
      <c r="E4243" s="6" t="s">
        <v>22</v>
      </c>
      <c r="F4243" s="6" t="n">
        <v>1</v>
      </c>
      <c r="G4243" s="10" t="n">
        <v>977</v>
      </c>
      <c r="H4243" s="10" t="n">
        <f aca="false">F4243*G4243</f>
        <v>977</v>
      </c>
      <c r="I4243" s="6" t="s">
        <v>5122</v>
      </c>
    </row>
    <row r="4244" customFormat="false" ht="15" hidden="false" customHeight="false" outlineLevel="0" collapsed="false">
      <c r="A4244" s="6" t="s">
        <v>9467</v>
      </c>
      <c r="B4244" s="6" t="s">
        <v>765</v>
      </c>
      <c r="C4244" s="26" t="n">
        <v>46164</v>
      </c>
      <c r="D4244" s="6" t="s">
        <v>5326</v>
      </c>
      <c r="E4244" s="6" t="s">
        <v>22</v>
      </c>
      <c r="F4244" s="6" t="n">
        <v>3</v>
      </c>
      <c r="G4244" s="10" t="n">
        <v>1393</v>
      </c>
      <c r="H4244" s="10" t="n">
        <f aca="false">F4244*G4244</f>
        <v>4179</v>
      </c>
      <c r="I4244" s="6" t="s">
        <v>5130</v>
      </c>
    </row>
    <row r="4245" customFormat="false" ht="15" hidden="false" customHeight="false" outlineLevel="0" collapsed="false">
      <c r="A4245" s="6" t="s">
        <v>9468</v>
      </c>
      <c r="B4245" s="6" t="s">
        <v>3615</v>
      </c>
      <c r="C4245" s="26" t="n">
        <v>46164</v>
      </c>
      <c r="D4245" s="6" t="s">
        <v>5163</v>
      </c>
      <c r="E4245" s="6" t="s">
        <v>23</v>
      </c>
      <c r="F4245" s="6" t="n">
        <v>2</v>
      </c>
      <c r="G4245" s="10" t="n">
        <v>783</v>
      </c>
      <c r="H4245" s="10" t="n">
        <f aca="false">F4245*G4245</f>
        <v>1566</v>
      </c>
      <c r="I4245" s="6" t="s">
        <v>5130</v>
      </c>
    </row>
    <row r="4246" customFormat="false" ht="15" hidden="false" customHeight="false" outlineLevel="0" collapsed="false">
      <c r="A4246" s="6" t="s">
        <v>9469</v>
      </c>
      <c r="B4246" s="6" t="s">
        <v>4739</v>
      </c>
      <c r="C4246" s="26" t="n">
        <v>46164</v>
      </c>
      <c r="D4246" s="6" t="s">
        <v>5202</v>
      </c>
      <c r="E4246" s="6" t="s">
        <v>23</v>
      </c>
      <c r="F4246" s="6" t="n">
        <v>5</v>
      </c>
      <c r="G4246" s="10" t="n">
        <v>233</v>
      </c>
      <c r="H4246" s="10" t="n">
        <f aca="false">F4246*G4246</f>
        <v>1165</v>
      </c>
      <c r="I4246" s="6" t="s">
        <v>5122</v>
      </c>
    </row>
    <row r="4247" customFormat="false" ht="15" hidden="false" customHeight="false" outlineLevel="0" collapsed="false">
      <c r="A4247" s="6" t="s">
        <v>9470</v>
      </c>
      <c r="B4247" s="6" t="s">
        <v>4189</v>
      </c>
      <c r="C4247" s="26" t="n">
        <v>46164</v>
      </c>
      <c r="D4247" s="6" t="s">
        <v>5197</v>
      </c>
      <c r="E4247" s="6" t="s">
        <v>21</v>
      </c>
      <c r="F4247" s="6" t="n">
        <v>1</v>
      </c>
      <c r="G4247" s="10" t="n">
        <v>1026</v>
      </c>
      <c r="H4247" s="10" t="n">
        <f aca="false">F4247*G4247</f>
        <v>1026</v>
      </c>
      <c r="I4247" s="6" t="s">
        <v>5122</v>
      </c>
    </row>
    <row r="4248" customFormat="false" ht="15" hidden="false" customHeight="false" outlineLevel="0" collapsed="false">
      <c r="A4248" s="6" t="s">
        <v>9471</v>
      </c>
      <c r="B4248" s="6" t="s">
        <v>2421</v>
      </c>
      <c r="C4248" s="26" t="n">
        <v>46164</v>
      </c>
      <c r="D4248" s="6" t="s">
        <v>5214</v>
      </c>
      <c r="E4248" s="6" t="s">
        <v>20</v>
      </c>
      <c r="F4248" s="6" t="n">
        <v>2</v>
      </c>
      <c r="G4248" s="10" t="n">
        <v>1937</v>
      </c>
      <c r="H4248" s="10" t="n">
        <f aca="false">F4248*G4248</f>
        <v>3874</v>
      </c>
      <c r="I4248" s="6" t="s">
        <v>5122</v>
      </c>
    </row>
    <row r="4249" customFormat="false" ht="15" hidden="false" customHeight="false" outlineLevel="0" collapsed="false">
      <c r="A4249" s="6" t="s">
        <v>9472</v>
      </c>
      <c r="B4249" s="6" t="s">
        <v>5055</v>
      </c>
      <c r="C4249" s="26" t="n">
        <v>46164</v>
      </c>
      <c r="D4249" s="6" t="s">
        <v>5147</v>
      </c>
      <c r="E4249" s="6" t="s">
        <v>24</v>
      </c>
      <c r="F4249" s="6" t="n">
        <v>2</v>
      </c>
      <c r="G4249" s="10" t="n">
        <v>628</v>
      </c>
      <c r="H4249" s="10" t="n">
        <f aca="false">F4249*G4249</f>
        <v>1256</v>
      </c>
      <c r="I4249" s="6" t="s">
        <v>5148</v>
      </c>
    </row>
    <row r="4250" customFormat="false" ht="15" hidden="false" customHeight="false" outlineLevel="0" collapsed="false">
      <c r="A4250" s="6" t="s">
        <v>9473</v>
      </c>
      <c r="B4250" s="6" t="s">
        <v>4227</v>
      </c>
      <c r="C4250" s="26" t="n">
        <v>46164</v>
      </c>
      <c r="D4250" s="6" t="s">
        <v>5298</v>
      </c>
      <c r="E4250" s="6" t="s">
        <v>23</v>
      </c>
      <c r="F4250" s="6" t="n">
        <v>2</v>
      </c>
      <c r="G4250" s="10" t="n">
        <v>293</v>
      </c>
      <c r="H4250" s="10" t="n">
        <f aca="false">F4250*G4250</f>
        <v>586</v>
      </c>
      <c r="I4250" s="6" t="s">
        <v>5122</v>
      </c>
    </row>
    <row r="4251" customFormat="false" ht="15" hidden="false" customHeight="false" outlineLevel="0" collapsed="false">
      <c r="A4251" s="6" t="s">
        <v>9474</v>
      </c>
      <c r="B4251" s="6" t="s">
        <v>3835</v>
      </c>
      <c r="C4251" s="26" t="n">
        <v>46164</v>
      </c>
      <c r="D4251" s="6" t="s">
        <v>5171</v>
      </c>
      <c r="E4251" s="6" t="s">
        <v>23</v>
      </c>
      <c r="F4251" s="6" t="n">
        <v>2</v>
      </c>
      <c r="G4251" s="10" t="n">
        <v>734</v>
      </c>
      <c r="H4251" s="10" t="n">
        <f aca="false">F4251*G4251</f>
        <v>1468</v>
      </c>
      <c r="I4251" s="6" t="s">
        <v>5122</v>
      </c>
    </row>
    <row r="4252" customFormat="false" ht="15" hidden="false" customHeight="false" outlineLevel="0" collapsed="false">
      <c r="A4252" s="6" t="s">
        <v>9475</v>
      </c>
      <c r="B4252" s="6" t="s">
        <v>4419</v>
      </c>
      <c r="C4252" s="26" t="n">
        <v>46164</v>
      </c>
      <c r="D4252" s="6" t="s">
        <v>5232</v>
      </c>
      <c r="E4252" s="6" t="s">
        <v>23</v>
      </c>
      <c r="F4252" s="6" t="n">
        <v>1</v>
      </c>
      <c r="G4252" s="10" t="n">
        <v>185</v>
      </c>
      <c r="H4252" s="10" t="n">
        <f aca="false">F4252*G4252</f>
        <v>185</v>
      </c>
      <c r="I4252" s="6" t="s">
        <v>5122</v>
      </c>
    </row>
    <row r="4253" customFormat="false" ht="15" hidden="false" customHeight="false" outlineLevel="0" collapsed="false">
      <c r="A4253" s="6" t="s">
        <v>9476</v>
      </c>
      <c r="B4253" s="6" t="s">
        <v>1863</v>
      </c>
      <c r="C4253" s="26" t="n">
        <v>46164</v>
      </c>
      <c r="D4253" s="6" t="s">
        <v>5807</v>
      </c>
      <c r="E4253" s="6" t="s">
        <v>20</v>
      </c>
      <c r="F4253" s="6" t="n">
        <v>2</v>
      </c>
      <c r="G4253" s="10" t="n">
        <v>13766</v>
      </c>
      <c r="H4253" s="10" t="n">
        <f aca="false">F4253*G4253</f>
        <v>27532</v>
      </c>
      <c r="I4253" s="6" t="s">
        <v>5122</v>
      </c>
    </row>
    <row r="4254" customFormat="false" ht="15" hidden="false" customHeight="false" outlineLevel="0" collapsed="false">
      <c r="A4254" s="6" t="s">
        <v>9477</v>
      </c>
      <c r="B4254" s="6" t="s">
        <v>262</v>
      </c>
      <c r="C4254" s="26" t="n">
        <v>46164</v>
      </c>
      <c r="D4254" s="6" t="s">
        <v>5171</v>
      </c>
      <c r="E4254" s="6" t="s">
        <v>23</v>
      </c>
      <c r="F4254" s="6" t="n">
        <v>2</v>
      </c>
      <c r="G4254" s="10" t="n">
        <v>734</v>
      </c>
      <c r="H4254" s="10" t="n">
        <f aca="false">F4254*G4254</f>
        <v>1468</v>
      </c>
      <c r="I4254" s="6" t="s">
        <v>5148</v>
      </c>
    </row>
    <row r="4255" customFormat="false" ht="15" hidden="false" customHeight="false" outlineLevel="0" collapsed="false">
      <c r="A4255" s="6" t="s">
        <v>9478</v>
      </c>
      <c r="B4255" s="6" t="s">
        <v>2843</v>
      </c>
      <c r="C4255" s="26" t="n">
        <v>46164</v>
      </c>
      <c r="D4255" s="6" t="s">
        <v>5588</v>
      </c>
      <c r="E4255" s="6" t="s">
        <v>21</v>
      </c>
      <c r="F4255" s="6" t="n">
        <v>2</v>
      </c>
      <c r="G4255" s="10" t="n">
        <v>11204</v>
      </c>
      <c r="H4255" s="10" t="n">
        <f aca="false">F4255*G4255</f>
        <v>22408</v>
      </c>
      <c r="I4255" s="6" t="s">
        <v>5122</v>
      </c>
    </row>
    <row r="4256" customFormat="false" ht="15" hidden="false" customHeight="false" outlineLevel="0" collapsed="false">
      <c r="A4256" s="6" t="s">
        <v>9479</v>
      </c>
      <c r="B4256" s="6" t="s">
        <v>3903</v>
      </c>
      <c r="C4256" s="26" t="n">
        <v>46164</v>
      </c>
      <c r="D4256" s="6" t="s">
        <v>5127</v>
      </c>
      <c r="E4256" s="6" t="s">
        <v>21</v>
      </c>
      <c r="F4256" s="6" t="n">
        <v>2</v>
      </c>
      <c r="G4256" s="10" t="n">
        <v>884</v>
      </c>
      <c r="H4256" s="10" t="n">
        <f aca="false">F4256*G4256</f>
        <v>1768</v>
      </c>
      <c r="I4256" s="6" t="s">
        <v>5148</v>
      </c>
    </row>
    <row r="4257" customFormat="false" ht="15" hidden="false" customHeight="false" outlineLevel="0" collapsed="false">
      <c r="A4257" s="6" t="s">
        <v>9480</v>
      </c>
      <c r="B4257" s="6" t="s">
        <v>3135</v>
      </c>
      <c r="C4257" s="26" t="n">
        <v>46164</v>
      </c>
      <c r="D4257" s="6" t="s">
        <v>5353</v>
      </c>
      <c r="E4257" s="6" t="s">
        <v>24</v>
      </c>
      <c r="F4257" s="6" t="n">
        <v>1</v>
      </c>
      <c r="G4257" s="10" t="n">
        <v>1629</v>
      </c>
      <c r="H4257" s="10" t="n">
        <f aca="false">F4257*G4257</f>
        <v>1629</v>
      </c>
      <c r="I4257" s="6" t="s">
        <v>5130</v>
      </c>
    </row>
    <row r="4258" customFormat="false" ht="15" hidden="false" customHeight="false" outlineLevel="0" collapsed="false">
      <c r="A4258" s="6" t="s">
        <v>9481</v>
      </c>
      <c r="B4258" s="6" t="s">
        <v>324</v>
      </c>
      <c r="C4258" s="26" t="n">
        <v>46164</v>
      </c>
      <c r="D4258" s="6" t="s">
        <v>5165</v>
      </c>
      <c r="E4258" s="6" t="s">
        <v>22</v>
      </c>
      <c r="F4258" s="6" t="n">
        <v>1</v>
      </c>
      <c r="G4258" s="10" t="n">
        <v>977</v>
      </c>
      <c r="H4258" s="10" t="n">
        <f aca="false">F4258*G4258</f>
        <v>977</v>
      </c>
      <c r="I4258" s="6" t="s">
        <v>5122</v>
      </c>
    </row>
    <row r="4259" customFormat="false" ht="15" hidden="false" customHeight="false" outlineLevel="0" collapsed="false">
      <c r="A4259" s="6" t="s">
        <v>9482</v>
      </c>
      <c r="B4259" s="6" t="s">
        <v>997</v>
      </c>
      <c r="C4259" s="26" t="n">
        <v>46164</v>
      </c>
      <c r="D4259" s="6" t="s">
        <v>5165</v>
      </c>
      <c r="E4259" s="6" t="s">
        <v>22</v>
      </c>
      <c r="F4259" s="6" t="n">
        <v>2</v>
      </c>
      <c r="G4259" s="10" t="n">
        <v>977</v>
      </c>
      <c r="H4259" s="10" t="n">
        <f aca="false">F4259*G4259</f>
        <v>1954</v>
      </c>
      <c r="I4259" s="6" t="s">
        <v>5125</v>
      </c>
    </row>
    <row r="4260" customFormat="false" ht="15" hidden="false" customHeight="false" outlineLevel="0" collapsed="false">
      <c r="A4260" s="6" t="s">
        <v>9483</v>
      </c>
      <c r="B4260" s="6" t="s">
        <v>4129</v>
      </c>
      <c r="C4260" s="26" t="n">
        <v>46164</v>
      </c>
      <c r="D4260" s="6" t="s">
        <v>5398</v>
      </c>
      <c r="E4260" s="6" t="s">
        <v>24</v>
      </c>
      <c r="F4260" s="6" t="n">
        <v>1</v>
      </c>
      <c r="G4260" s="10" t="n">
        <v>549</v>
      </c>
      <c r="H4260" s="10" t="n">
        <f aca="false">F4260*G4260</f>
        <v>549</v>
      </c>
      <c r="I4260" s="6" t="s">
        <v>5122</v>
      </c>
    </row>
    <row r="4261" customFormat="false" ht="15" hidden="false" customHeight="false" outlineLevel="0" collapsed="false">
      <c r="A4261" s="6" t="s">
        <v>9484</v>
      </c>
      <c r="B4261" s="6" t="s">
        <v>3313</v>
      </c>
      <c r="C4261" s="26" t="n">
        <v>46164</v>
      </c>
      <c r="D4261" s="6" t="s">
        <v>5214</v>
      </c>
      <c r="E4261" s="6" t="s">
        <v>20</v>
      </c>
      <c r="F4261" s="6" t="n">
        <v>1</v>
      </c>
      <c r="G4261" s="10" t="n">
        <v>2039</v>
      </c>
      <c r="H4261" s="10" t="n">
        <f aca="false">F4261*G4261</f>
        <v>2039</v>
      </c>
      <c r="I4261" s="6" t="s">
        <v>5122</v>
      </c>
    </row>
    <row r="4262" customFormat="false" ht="15" hidden="false" customHeight="false" outlineLevel="0" collapsed="false">
      <c r="A4262" s="6" t="s">
        <v>9485</v>
      </c>
      <c r="B4262" s="6" t="s">
        <v>4245</v>
      </c>
      <c r="C4262" s="26" t="n">
        <v>46164</v>
      </c>
      <c r="D4262" s="6" t="s">
        <v>5423</v>
      </c>
      <c r="E4262" s="6" t="s">
        <v>21</v>
      </c>
      <c r="F4262" s="6" t="n">
        <v>1</v>
      </c>
      <c r="G4262" s="10" t="n">
        <v>3243</v>
      </c>
      <c r="H4262" s="10" t="n">
        <f aca="false">F4262*G4262</f>
        <v>3243</v>
      </c>
      <c r="I4262" s="6" t="s">
        <v>5125</v>
      </c>
    </row>
    <row r="4263" customFormat="false" ht="15" hidden="false" customHeight="false" outlineLevel="0" collapsed="false">
      <c r="A4263" s="6" t="s">
        <v>9486</v>
      </c>
      <c r="B4263" s="6" t="s">
        <v>1885</v>
      </c>
      <c r="C4263" s="26" t="n">
        <v>46164</v>
      </c>
      <c r="D4263" s="6" t="s">
        <v>5235</v>
      </c>
      <c r="E4263" s="6" t="s">
        <v>21</v>
      </c>
      <c r="F4263" s="6" t="n">
        <v>1</v>
      </c>
      <c r="G4263" s="10" t="n">
        <v>1503</v>
      </c>
      <c r="H4263" s="10" t="n">
        <f aca="false">F4263*G4263</f>
        <v>1503</v>
      </c>
      <c r="I4263" s="6" t="s">
        <v>5122</v>
      </c>
    </row>
    <row r="4264" customFormat="false" ht="15" hidden="false" customHeight="false" outlineLevel="0" collapsed="false">
      <c r="A4264" s="6" t="s">
        <v>9487</v>
      </c>
      <c r="B4264" s="6" t="s">
        <v>5007</v>
      </c>
      <c r="C4264" s="26" t="n">
        <v>46164</v>
      </c>
      <c r="D4264" s="6" t="s">
        <v>5460</v>
      </c>
      <c r="E4264" s="6" t="s">
        <v>24</v>
      </c>
      <c r="F4264" s="6" t="n">
        <v>1</v>
      </c>
      <c r="G4264" s="10" t="n">
        <v>500</v>
      </c>
      <c r="H4264" s="10" t="n">
        <f aca="false">F4264*G4264</f>
        <v>500</v>
      </c>
      <c r="I4264" s="6" t="s">
        <v>5130</v>
      </c>
    </row>
    <row r="4265" customFormat="false" ht="15" hidden="false" customHeight="false" outlineLevel="0" collapsed="false">
      <c r="A4265" s="6" t="s">
        <v>9488</v>
      </c>
      <c r="B4265" s="6" t="s">
        <v>3829</v>
      </c>
      <c r="C4265" s="26" t="n">
        <v>46164</v>
      </c>
      <c r="D4265" s="6" t="s">
        <v>5121</v>
      </c>
      <c r="E4265" s="6" t="s">
        <v>22</v>
      </c>
      <c r="F4265" s="6" t="n">
        <v>1</v>
      </c>
      <c r="G4265" s="10" t="n">
        <v>928</v>
      </c>
      <c r="H4265" s="10" t="n">
        <f aca="false">F4265*G4265</f>
        <v>928</v>
      </c>
      <c r="I4265" s="6" t="s">
        <v>5148</v>
      </c>
    </row>
    <row r="4266" customFormat="false" ht="15" hidden="false" customHeight="false" outlineLevel="0" collapsed="false">
      <c r="A4266" s="6" t="s">
        <v>9489</v>
      </c>
      <c r="B4266" s="6" t="s">
        <v>3539</v>
      </c>
      <c r="C4266" s="26" t="n">
        <v>46164</v>
      </c>
      <c r="D4266" s="6" t="s">
        <v>5163</v>
      </c>
      <c r="E4266" s="6" t="s">
        <v>23</v>
      </c>
      <c r="F4266" s="6" t="n">
        <v>3</v>
      </c>
      <c r="G4266" s="10" t="n">
        <v>783</v>
      </c>
      <c r="H4266" s="10" t="n">
        <f aca="false">F4266*G4266</f>
        <v>2349</v>
      </c>
      <c r="I4266" s="6" t="s">
        <v>5125</v>
      </c>
    </row>
    <row r="4267" customFormat="false" ht="15" hidden="false" customHeight="false" outlineLevel="0" collapsed="false">
      <c r="A4267" s="6" t="s">
        <v>9490</v>
      </c>
      <c r="B4267" s="6" t="s">
        <v>138</v>
      </c>
      <c r="C4267" s="26" t="n">
        <v>46164</v>
      </c>
      <c r="D4267" s="6" t="s">
        <v>5171</v>
      </c>
      <c r="E4267" s="6" t="s">
        <v>23</v>
      </c>
      <c r="F4267" s="6" t="n">
        <v>2</v>
      </c>
      <c r="G4267" s="10" t="n">
        <v>734</v>
      </c>
      <c r="H4267" s="10" t="n">
        <f aca="false">F4267*G4267</f>
        <v>1468</v>
      </c>
      <c r="I4267" s="6" t="s">
        <v>5122</v>
      </c>
    </row>
    <row r="4268" customFormat="false" ht="15" hidden="false" customHeight="false" outlineLevel="0" collapsed="false">
      <c r="A4268" s="6" t="s">
        <v>9491</v>
      </c>
      <c r="B4268" s="6" t="s">
        <v>711</v>
      </c>
      <c r="C4268" s="26" t="n">
        <v>46164</v>
      </c>
      <c r="D4268" s="6" t="s">
        <v>5292</v>
      </c>
      <c r="E4268" s="6" t="s">
        <v>21</v>
      </c>
      <c r="F4268" s="6" t="n">
        <v>1</v>
      </c>
      <c r="G4268" s="10" t="n">
        <v>6536</v>
      </c>
      <c r="H4268" s="10" t="n">
        <f aca="false">F4268*G4268</f>
        <v>6536</v>
      </c>
      <c r="I4268" s="6" t="s">
        <v>5130</v>
      </c>
    </row>
    <row r="4269" customFormat="false" ht="15" hidden="false" customHeight="false" outlineLevel="0" collapsed="false">
      <c r="A4269" s="6" t="s">
        <v>9492</v>
      </c>
      <c r="B4269" s="6" t="s">
        <v>635</v>
      </c>
      <c r="C4269" s="26" t="n">
        <v>46164</v>
      </c>
      <c r="D4269" s="6" t="s">
        <v>5318</v>
      </c>
      <c r="E4269" s="6" t="s">
        <v>20</v>
      </c>
      <c r="F4269" s="6" t="n">
        <v>1</v>
      </c>
      <c r="G4269" s="10" t="n">
        <v>1529</v>
      </c>
      <c r="H4269" s="10" t="n">
        <f aca="false">F4269*G4269</f>
        <v>1529</v>
      </c>
      <c r="I4269" s="6" t="s">
        <v>5122</v>
      </c>
    </row>
    <row r="4270" customFormat="false" ht="15" hidden="false" customHeight="false" outlineLevel="0" collapsed="false">
      <c r="A4270" s="6" t="s">
        <v>9493</v>
      </c>
      <c r="B4270" s="6" t="s">
        <v>2537</v>
      </c>
      <c r="C4270" s="26" t="n">
        <v>46164</v>
      </c>
      <c r="D4270" s="6" t="s">
        <v>5456</v>
      </c>
      <c r="E4270" s="6" t="s">
        <v>24</v>
      </c>
      <c r="F4270" s="6" t="n">
        <v>3</v>
      </c>
      <c r="G4270" s="10" t="n">
        <v>912</v>
      </c>
      <c r="H4270" s="10" t="n">
        <f aca="false">F4270*G4270</f>
        <v>2736</v>
      </c>
      <c r="I4270" s="6" t="s">
        <v>5148</v>
      </c>
    </row>
    <row r="4271" customFormat="false" ht="15" hidden="false" customHeight="false" outlineLevel="0" collapsed="false">
      <c r="A4271" s="6" t="s">
        <v>9494</v>
      </c>
      <c r="B4271" s="6" t="s">
        <v>1247</v>
      </c>
      <c r="C4271" s="26" t="n">
        <v>46164</v>
      </c>
      <c r="D4271" s="6" t="s">
        <v>5466</v>
      </c>
      <c r="E4271" s="6" t="s">
        <v>21</v>
      </c>
      <c r="F4271" s="6" t="n">
        <v>1</v>
      </c>
      <c r="G4271" s="10" t="n">
        <v>1965</v>
      </c>
      <c r="H4271" s="10" t="n">
        <f aca="false">F4271*G4271</f>
        <v>1965</v>
      </c>
      <c r="I4271" s="6" t="s">
        <v>5130</v>
      </c>
    </row>
    <row r="4272" customFormat="false" ht="15" hidden="false" customHeight="false" outlineLevel="0" collapsed="false">
      <c r="A4272" s="6" t="s">
        <v>9495</v>
      </c>
      <c r="B4272" s="6" t="s">
        <v>4423</v>
      </c>
      <c r="C4272" s="26" t="n">
        <v>46164</v>
      </c>
      <c r="D4272" s="6" t="s">
        <v>5167</v>
      </c>
      <c r="E4272" s="6" t="s">
        <v>22</v>
      </c>
      <c r="F4272" s="6" t="n">
        <v>2</v>
      </c>
      <c r="G4272" s="10" t="n">
        <v>782</v>
      </c>
      <c r="H4272" s="10" t="n">
        <f aca="false">F4272*G4272</f>
        <v>1564</v>
      </c>
      <c r="I4272" s="6" t="s">
        <v>5148</v>
      </c>
    </row>
    <row r="4273" customFormat="false" ht="15" hidden="false" customHeight="false" outlineLevel="0" collapsed="false">
      <c r="A4273" s="6" t="s">
        <v>9496</v>
      </c>
      <c r="B4273" s="6" t="s">
        <v>219</v>
      </c>
      <c r="C4273" s="26" t="n">
        <v>46164</v>
      </c>
      <c r="D4273" s="6" t="s">
        <v>5145</v>
      </c>
      <c r="E4273" s="6" t="s">
        <v>21</v>
      </c>
      <c r="F4273" s="6" t="n">
        <v>1</v>
      </c>
      <c r="G4273" s="10" t="n">
        <v>1277</v>
      </c>
      <c r="H4273" s="10" t="n">
        <f aca="false">F4273*G4273</f>
        <v>1277</v>
      </c>
      <c r="I4273" s="6" t="s">
        <v>5173</v>
      </c>
    </row>
    <row r="4274" customFormat="false" ht="15" hidden="false" customHeight="false" outlineLevel="0" collapsed="false">
      <c r="A4274" s="6" t="s">
        <v>9497</v>
      </c>
      <c r="B4274" s="6" t="s">
        <v>2005</v>
      </c>
      <c r="C4274" s="26" t="n">
        <v>46165</v>
      </c>
      <c r="D4274" s="6" t="s">
        <v>5167</v>
      </c>
      <c r="E4274" s="6" t="s">
        <v>22</v>
      </c>
      <c r="F4274" s="6" t="n">
        <v>4</v>
      </c>
      <c r="G4274" s="10" t="n">
        <v>782</v>
      </c>
      <c r="H4274" s="10" t="n">
        <f aca="false">F4274*G4274</f>
        <v>3128</v>
      </c>
      <c r="I4274" s="6" t="s">
        <v>5125</v>
      </c>
    </row>
    <row r="4275" customFormat="false" ht="15" hidden="false" customHeight="false" outlineLevel="0" collapsed="false">
      <c r="A4275" s="6" t="s">
        <v>9498</v>
      </c>
      <c r="B4275" s="6" t="s">
        <v>1069</v>
      </c>
      <c r="C4275" s="26" t="n">
        <v>46165</v>
      </c>
      <c r="D4275" s="6" t="s">
        <v>5216</v>
      </c>
      <c r="E4275" s="6" t="s">
        <v>23</v>
      </c>
      <c r="F4275" s="6" t="n">
        <v>2</v>
      </c>
      <c r="G4275" s="10" t="n">
        <v>587</v>
      </c>
      <c r="H4275" s="10" t="n">
        <f aca="false">F4275*G4275</f>
        <v>1174</v>
      </c>
      <c r="I4275" s="6" t="s">
        <v>5122</v>
      </c>
    </row>
    <row r="4276" customFormat="false" ht="15" hidden="false" customHeight="false" outlineLevel="0" collapsed="false">
      <c r="A4276" s="6" t="s">
        <v>9499</v>
      </c>
      <c r="B4276" s="6" t="s">
        <v>2275</v>
      </c>
      <c r="C4276" s="26" t="n">
        <v>46165</v>
      </c>
      <c r="D4276" s="6" t="s">
        <v>5129</v>
      </c>
      <c r="E4276" s="6" t="s">
        <v>21</v>
      </c>
      <c r="F4276" s="6" t="n">
        <v>1</v>
      </c>
      <c r="G4276" s="10" t="n">
        <v>530</v>
      </c>
      <c r="H4276" s="10" t="n">
        <f aca="false">F4276*G4276</f>
        <v>530</v>
      </c>
      <c r="I4276" s="6" t="s">
        <v>5148</v>
      </c>
    </row>
    <row r="4277" customFormat="false" ht="15" hidden="false" customHeight="false" outlineLevel="0" collapsed="false">
      <c r="A4277" s="6" t="s">
        <v>9500</v>
      </c>
      <c r="B4277" s="6" t="s">
        <v>3677</v>
      </c>
      <c r="C4277" s="26" t="n">
        <v>46165</v>
      </c>
      <c r="D4277" s="6" t="s">
        <v>5488</v>
      </c>
      <c r="E4277" s="6" t="s">
        <v>24</v>
      </c>
      <c r="F4277" s="6" t="n">
        <v>2</v>
      </c>
      <c r="G4277" s="10" t="n">
        <v>866</v>
      </c>
      <c r="H4277" s="10" t="n">
        <f aca="false">F4277*G4277</f>
        <v>1732</v>
      </c>
      <c r="I4277" s="6" t="s">
        <v>5122</v>
      </c>
    </row>
    <row r="4278" customFormat="false" ht="15" hidden="false" customHeight="false" outlineLevel="0" collapsed="false">
      <c r="A4278" s="6" t="s">
        <v>9501</v>
      </c>
      <c r="B4278" s="6" t="s">
        <v>2403</v>
      </c>
      <c r="C4278" s="26" t="n">
        <v>46165</v>
      </c>
      <c r="D4278" s="6" t="s">
        <v>5167</v>
      </c>
      <c r="E4278" s="6" t="s">
        <v>22</v>
      </c>
      <c r="F4278" s="6" t="n">
        <v>2</v>
      </c>
      <c r="G4278" s="10" t="n">
        <v>782</v>
      </c>
      <c r="H4278" s="10" t="n">
        <f aca="false">F4278*G4278</f>
        <v>1564</v>
      </c>
      <c r="I4278" s="6" t="s">
        <v>5130</v>
      </c>
    </row>
    <row r="4279" customFormat="false" ht="15" hidden="false" customHeight="false" outlineLevel="0" collapsed="false">
      <c r="A4279" s="6" t="s">
        <v>9502</v>
      </c>
      <c r="B4279" s="6" t="s">
        <v>2677</v>
      </c>
      <c r="C4279" s="26" t="n">
        <v>46165</v>
      </c>
      <c r="D4279" s="6" t="s">
        <v>5180</v>
      </c>
      <c r="E4279" s="6" t="s">
        <v>24</v>
      </c>
      <c r="F4279" s="6" t="n">
        <v>1</v>
      </c>
      <c r="G4279" s="10" t="n">
        <v>1987</v>
      </c>
      <c r="H4279" s="10" t="n">
        <f aca="false">F4279*G4279</f>
        <v>1987</v>
      </c>
      <c r="I4279" s="6" t="s">
        <v>5122</v>
      </c>
    </row>
    <row r="4280" customFormat="false" ht="15" hidden="false" customHeight="false" outlineLevel="0" collapsed="false">
      <c r="A4280" s="6" t="s">
        <v>9503</v>
      </c>
      <c r="B4280" s="6" t="s">
        <v>4725</v>
      </c>
      <c r="C4280" s="26" t="n">
        <v>46165</v>
      </c>
      <c r="D4280" s="6" t="s">
        <v>5185</v>
      </c>
      <c r="E4280" s="6" t="s">
        <v>24</v>
      </c>
      <c r="F4280" s="6" t="n">
        <v>1</v>
      </c>
      <c r="G4280" s="10" t="n">
        <v>2140</v>
      </c>
      <c r="H4280" s="10" t="n">
        <f aca="false">F4280*G4280</f>
        <v>2140</v>
      </c>
      <c r="I4280" s="6" t="s">
        <v>5125</v>
      </c>
    </row>
    <row r="4281" customFormat="false" ht="15" hidden="false" customHeight="false" outlineLevel="0" collapsed="false">
      <c r="A4281" s="6" t="s">
        <v>9504</v>
      </c>
      <c r="B4281" s="6" t="s">
        <v>3919</v>
      </c>
      <c r="C4281" s="26" t="n">
        <v>46165</v>
      </c>
      <c r="D4281" s="6" t="s">
        <v>5339</v>
      </c>
      <c r="E4281" s="6" t="s">
        <v>24</v>
      </c>
      <c r="F4281" s="6" t="n">
        <v>1</v>
      </c>
      <c r="G4281" s="10" t="n">
        <v>508</v>
      </c>
      <c r="H4281" s="10" t="n">
        <f aca="false">F4281*G4281</f>
        <v>508</v>
      </c>
      <c r="I4281" s="6" t="s">
        <v>5122</v>
      </c>
    </row>
    <row r="4282" customFormat="false" ht="15" hidden="false" customHeight="false" outlineLevel="0" collapsed="false">
      <c r="A4282" s="6" t="s">
        <v>9505</v>
      </c>
      <c r="B4282" s="6" t="s">
        <v>1725</v>
      </c>
      <c r="C4282" s="26" t="n">
        <v>46165</v>
      </c>
      <c r="D4282" s="6" t="s">
        <v>5235</v>
      </c>
      <c r="E4282" s="6" t="s">
        <v>21</v>
      </c>
      <c r="F4282" s="6" t="n">
        <v>1</v>
      </c>
      <c r="G4282" s="10" t="n">
        <v>1670</v>
      </c>
      <c r="H4282" s="10" t="n">
        <f aca="false">F4282*G4282</f>
        <v>1670</v>
      </c>
      <c r="I4282" s="6" t="s">
        <v>5122</v>
      </c>
    </row>
    <row r="4283" customFormat="false" ht="15" hidden="false" customHeight="false" outlineLevel="0" collapsed="false">
      <c r="A4283" s="6" t="s">
        <v>9506</v>
      </c>
      <c r="B4283" s="6" t="s">
        <v>1061</v>
      </c>
      <c r="C4283" s="26" t="n">
        <v>46165</v>
      </c>
      <c r="D4283" s="6" t="s">
        <v>5318</v>
      </c>
      <c r="E4283" s="6" t="s">
        <v>20</v>
      </c>
      <c r="F4283" s="6" t="n">
        <v>1</v>
      </c>
      <c r="G4283" s="10" t="n">
        <v>1529</v>
      </c>
      <c r="H4283" s="10" t="n">
        <f aca="false">F4283*G4283</f>
        <v>1529</v>
      </c>
      <c r="I4283" s="6" t="s">
        <v>5130</v>
      </c>
    </row>
    <row r="4284" customFormat="false" ht="15" hidden="false" customHeight="false" outlineLevel="0" collapsed="false">
      <c r="A4284" s="6" t="s">
        <v>9507</v>
      </c>
      <c r="B4284" s="6" t="s">
        <v>1483</v>
      </c>
      <c r="C4284" s="26" t="n">
        <v>46165</v>
      </c>
      <c r="D4284" s="6" t="s">
        <v>5121</v>
      </c>
      <c r="E4284" s="6" t="s">
        <v>22</v>
      </c>
      <c r="F4284" s="6" t="n">
        <v>3</v>
      </c>
      <c r="G4284" s="10" t="n">
        <v>880</v>
      </c>
      <c r="H4284" s="10" t="n">
        <f aca="false">F4284*G4284</f>
        <v>2640</v>
      </c>
      <c r="I4284" s="6" t="s">
        <v>5122</v>
      </c>
    </row>
    <row r="4285" customFormat="false" ht="15" hidden="false" customHeight="false" outlineLevel="0" collapsed="false">
      <c r="A4285" s="6" t="s">
        <v>9508</v>
      </c>
      <c r="B4285" s="6" t="s">
        <v>2679</v>
      </c>
      <c r="C4285" s="26" t="n">
        <v>46165</v>
      </c>
      <c r="D4285" s="6" t="s">
        <v>5171</v>
      </c>
      <c r="E4285" s="6" t="s">
        <v>23</v>
      </c>
      <c r="F4285" s="6" t="n">
        <v>3</v>
      </c>
      <c r="G4285" s="10" t="n">
        <v>734</v>
      </c>
      <c r="H4285" s="10" t="n">
        <f aca="false">F4285*G4285</f>
        <v>2202</v>
      </c>
      <c r="I4285" s="6" t="s">
        <v>5122</v>
      </c>
    </row>
    <row r="4286" customFormat="false" ht="15" hidden="false" customHeight="false" outlineLevel="0" collapsed="false">
      <c r="A4286" s="6" t="s">
        <v>9509</v>
      </c>
      <c r="B4286" s="6" t="s">
        <v>3889</v>
      </c>
      <c r="C4286" s="26" t="n">
        <v>46165</v>
      </c>
      <c r="D4286" s="6" t="s">
        <v>5269</v>
      </c>
      <c r="E4286" s="6" t="s">
        <v>22</v>
      </c>
      <c r="F4286" s="6" t="n">
        <v>3</v>
      </c>
      <c r="G4286" s="10" t="n">
        <v>1144</v>
      </c>
      <c r="H4286" s="10" t="n">
        <f aca="false">F4286*G4286</f>
        <v>3432</v>
      </c>
      <c r="I4286" s="6" t="s">
        <v>5148</v>
      </c>
    </row>
    <row r="4287" customFormat="false" ht="15" hidden="false" customHeight="false" outlineLevel="0" collapsed="false">
      <c r="A4287" s="6" t="s">
        <v>9510</v>
      </c>
      <c r="B4287" s="6" t="s">
        <v>4521</v>
      </c>
      <c r="C4287" s="26" t="n">
        <v>46165</v>
      </c>
      <c r="D4287" s="6" t="s">
        <v>5235</v>
      </c>
      <c r="E4287" s="6" t="s">
        <v>21</v>
      </c>
      <c r="F4287" s="6" t="n">
        <v>2</v>
      </c>
      <c r="G4287" s="10" t="n">
        <v>1503</v>
      </c>
      <c r="H4287" s="10" t="n">
        <f aca="false">F4287*G4287</f>
        <v>3006</v>
      </c>
      <c r="I4287" s="6" t="s">
        <v>5122</v>
      </c>
    </row>
    <row r="4288" customFormat="false" ht="15" hidden="false" customHeight="false" outlineLevel="0" collapsed="false">
      <c r="A4288" s="6" t="s">
        <v>9511</v>
      </c>
      <c r="B4288" s="6" t="s">
        <v>1059</v>
      </c>
      <c r="C4288" s="26" t="n">
        <v>46165</v>
      </c>
      <c r="D4288" s="6" t="s">
        <v>5237</v>
      </c>
      <c r="E4288" s="6" t="s">
        <v>24</v>
      </c>
      <c r="F4288" s="6" t="n">
        <v>2</v>
      </c>
      <c r="G4288" s="10" t="n">
        <v>1650</v>
      </c>
      <c r="H4288" s="10" t="n">
        <f aca="false">F4288*G4288</f>
        <v>3300</v>
      </c>
      <c r="I4288" s="6" t="s">
        <v>5122</v>
      </c>
    </row>
    <row r="4289" customFormat="false" ht="15" hidden="false" customHeight="false" outlineLevel="0" collapsed="false">
      <c r="A4289" s="6" t="s">
        <v>9512</v>
      </c>
      <c r="B4289" s="6" t="s">
        <v>4657</v>
      </c>
      <c r="C4289" s="26" t="n">
        <v>46165</v>
      </c>
      <c r="D4289" s="6" t="s">
        <v>5156</v>
      </c>
      <c r="E4289" s="6" t="s">
        <v>21</v>
      </c>
      <c r="F4289" s="6" t="n">
        <v>1</v>
      </c>
      <c r="G4289" s="10" t="n">
        <v>1946</v>
      </c>
      <c r="H4289" s="10" t="n">
        <f aca="false">F4289*G4289</f>
        <v>1946</v>
      </c>
      <c r="I4289" s="6" t="s">
        <v>5148</v>
      </c>
    </row>
    <row r="4290" customFormat="false" ht="15" hidden="false" customHeight="false" outlineLevel="0" collapsed="false">
      <c r="A4290" s="6" t="s">
        <v>9513</v>
      </c>
      <c r="B4290" s="6" t="s">
        <v>4401</v>
      </c>
      <c r="C4290" s="26" t="n">
        <v>46165</v>
      </c>
      <c r="D4290" s="6" t="s">
        <v>5163</v>
      </c>
      <c r="E4290" s="6" t="s">
        <v>23</v>
      </c>
      <c r="F4290" s="6" t="n">
        <v>2</v>
      </c>
      <c r="G4290" s="10" t="n">
        <v>783</v>
      </c>
      <c r="H4290" s="10" t="n">
        <f aca="false">F4290*G4290</f>
        <v>1566</v>
      </c>
      <c r="I4290" s="6" t="s">
        <v>5148</v>
      </c>
    </row>
    <row r="4291" customFormat="false" ht="15" hidden="false" customHeight="false" outlineLevel="0" collapsed="false">
      <c r="A4291" s="6" t="s">
        <v>9514</v>
      </c>
      <c r="B4291" s="6" t="s">
        <v>4209</v>
      </c>
      <c r="C4291" s="26" t="n">
        <v>46165</v>
      </c>
      <c r="D4291" s="6" t="s">
        <v>5641</v>
      </c>
      <c r="E4291" s="6" t="s">
        <v>22</v>
      </c>
      <c r="F4291" s="6" t="n">
        <v>1</v>
      </c>
      <c r="G4291" s="10" t="n">
        <v>2137</v>
      </c>
      <c r="H4291" s="10" t="n">
        <f aca="false">F4291*G4291</f>
        <v>2137</v>
      </c>
      <c r="I4291" s="6" t="s">
        <v>5148</v>
      </c>
    </row>
    <row r="4292" customFormat="false" ht="15" hidden="false" customHeight="false" outlineLevel="0" collapsed="false">
      <c r="A4292" s="6" t="s">
        <v>9515</v>
      </c>
      <c r="B4292" s="6" t="s">
        <v>3803</v>
      </c>
      <c r="C4292" s="26" t="n">
        <v>46165</v>
      </c>
      <c r="D4292" s="6" t="s">
        <v>5167</v>
      </c>
      <c r="E4292" s="6" t="s">
        <v>22</v>
      </c>
      <c r="F4292" s="6" t="n">
        <v>2</v>
      </c>
      <c r="G4292" s="10" t="n">
        <v>782</v>
      </c>
      <c r="H4292" s="10" t="n">
        <f aca="false">F4292*G4292</f>
        <v>1564</v>
      </c>
      <c r="I4292" s="6" t="s">
        <v>5122</v>
      </c>
    </row>
    <row r="4293" customFormat="false" ht="15" hidden="false" customHeight="false" outlineLevel="0" collapsed="false">
      <c r="A4293" s="6" t="s">
        <v>9516</v>
      </c>
      <c r="B4293" s="6" t="s">
        <v>4537</v>
      </c>
      <c r="C4293" s="26" t="n">
        <v>46165</v>
      </c>
      <c r="D4293" s="6" t="s">
        <v>5357</v>
      </c>
      <c r="E4293" s="6" t="s">
        <v>23</v>
      </c>
      <c r="F4293" s="6" t="n">
        <v>2</v>
      </c>
      <c r="G4293" s="10" t="n">
        <v>534</v>
      </c>
      <c r="H4293" s="10" t="n">
        <f aca="false">F4293*G4293</f>
        <v>1068</v>
      </c>
      <c r="I4293" s="6" t="s">
        <v>5122</v>
      </c>
    </row>
    <row r="4294" customFormat="false" ht="15" hidden="false" customHeight="false" outlineLevel="0" collapsed="false">
      <c r="A4294" s="6" t="s">
        <v>9517</v>
      </c>
      <c r="B4294" s="6" t="s">
        <v>4219</v>
      </c>
      <c r="C4294" s="26" t="n">
        <v>46165</v>
      </c>
      <c r="D4294" s="6" t="s">
        <v>5216</v>
      </c>
      <c r="E4294" s="6" t="s">
        <v>23</v>
      </c>
      <c r="F4294" s="6" t="n">
        <v>2</v>
      </c>
      <c r="G4294" s="10" t="n">
        <v>558</v>
      </c>
      <c r="H4294" s="10" t="n">
        <f aca="false">F4294*G4294</f>
        <v>1116</v>
      </c>
      <c r="I4294" s="6" t="s">
        <v>5122</v>
      </c>
    </row>
    <row r="4295" customFormat="false" ht="15" hidden="false" customHeight="false" outlineLevel="0" collapsed="false">
      <c r="A4295" s="6" t="s">
        <v>9518</v>
      </c>
      <c r="B4295" s="6" t="s">
        <v>2897</v>
      </c>
      <c r="C4295" s="26" t="n">
        <v>46165</v>
      </c>
      <c r="D4295" s="6" t="s">
        <v>5139</v>
      </c>
      <c r="E4295" s="6" t="s">
        <v>23</v>
      </c>
      <c r="F4295" s="6" t="n">
        <v>1</v>
      </c>
      <c r="G4295" s="10" t="n">
        <v>279</v>
      </c>
      <c r="H4295" s="10" t="n">
        <f aca="false">F4295*G4295</f>
        <v>279</v>
      </c>
      <c r="I4295" s="6" t="s">
        <v>5133</v>
      </c>
    </row>
    <row r="4296" customFormat="false" ht="15" hidden="false" customHeight="false" outlineLevel="0" collapsed="false">
      <c r="A4296" s="6" t="s">
        <v>9519</v>
      </c>
      <c r="B4296" s="6" t="s">
        <v>3153</v>
      </c>
      <c r="C4296" s="26" t="n">
        <v>46165</v>
      </c>
      <c r="D4296" s="6" t="s">
        <v>5121</v>
      </c>
      <c r="E4296" s="6" t="s">
        <v>22</v>
      </c>
      <c r="F4296" s="6" t="n">
        <v>1</v>
      </c>
      <c r="G4296" s="10" t="n">
        <v>977</v>
      </c>
      <c r="H4296" s="10" t="n">
        <f aca="false">F4296*G4296</f>
        <v>977</v>
      </c>
      <c r="I4296" s="6" t="s">
        <v>5122</v>
      </c>
    </row>
    <row r="4297" customFormat="false" ht="15" hidden="false" customHeight="false" outlineLevel="0" collapsed="false">
      <c r="A4297" s="6" t="s">
        <v>9520</v>
      </c>
      <c r="B4297" s="6" t="s">
        <v>613</v>
      </c>
      <c r="C4297" s="26" t="n">
        <v>46165</v>
      </c>
      <c r="D4297" s="6" t="s">
        <v>5749</v>
      </c>
      <c r="E4297" s="6" t="s">
        <v>20</v>
      </c>
      <c r="F4297" s="6" t="n">
        <v>1</v>
      </c>
      <c r="G4297" s="10" t="n">
        <v>815</v>
      </c>
      <c r="H4297" s="10" t="n">
        <f aca="false">F4297*G4297</f>
        <v>815</v>
      </c>
      <c r="I4297" s="6" t="s">
        <v>5122</v>
      </c>
    </row>
    <row r="4298" customFormat="false" ht="15" hidden="false" customHeight="false" outlineLevel="0" collapsed="false">
      <c r="A4298" s="6" t="s">
        <v>9521</v>
      </c>
      <c r="B4298" s="6" t="s">
        <v>1823</v>
      </c>
      <c r="C4298" s="26" t="n">
        <v>46165</v>
      </c>
      <c r="D4298" s="6" t="s">
        <v>5357</v>
      </c>
      <c r="E4298" s="6" t="s">
        <v>23</v>
      </c>
      <c r="F4298" s="6" t="n">
        <v>1</v>
      </c>
      <c r="G4298" s="10" t="n">
        <v>534</v>
      </c>
      <c r="H4298" s="10" t="n">
        <f aca="false">F4298*G4298</f>
        <v>534</v>
      </c>
      <c r="I4298" s="6" t="s">
        <v>5148</v>
      </c>
    </row>
    <row r="4299" customFormat="false" ht="15" hidden="false" customHeight="false" outlineLevel="0" collapsed="false">
      <c r="A4299" s="6" t="s">
        <v>9522</v>
      </c>
      <c r="B4299" s="6" t="s">
        <v>4099</v>
      </c>
      <c r="C4299" s="26" t="n">
        <v>46165</v>
      </c>
      <c r="D4299" s="6" t="s">
        <v>5326</v>
      </c>
      <c r="E4299" s="6" t="s">
        <v>22</v>
      </c>
      <c r="F4299" s="6" t="n">
        <v>1</v>
      </c>
      <c r="G4299" s="10" t="n">
        <v>1466</v>
      </c>
      <c r="H4299" s="10" t="n">
        <f aca="false">F4299*G4299</f>
        <v>1466</v>
      </c>
      <c r="I4299" s="6" t="s">
        <v>5133</v>
      </c>
    </row>
    <row r="4300" customFormat="false" ht="15" hidden="false" customHeight="false" outlineLevel="0" collapsed="false">
      <c r="A4300" s="6" t="s">
        <v>9523</v>
      </c>
      <c r="B4300" s="6" t="s">
        <v>4117</v>
      </c>
      <c r="C4300" s="26" t="n">
        <v>46165</v>
      </c>
      <c r="D4300" s="6" t="s">
        <v>5683</v>
      </c>
      <c r="E4300" s="6" t="s">
        <v>22</v>
      </c>
      <c r="F4300" s="6" t="n">
        <v>1</v>
      </c>
      <c r="G4300" s="10" t="n">
        <v>1760</v>
      </c>
      <c r="H4300" s="10" t="n">
        <f aca="false">F4300*G4300</f>
        <v>1760</v>
      </c>
      <c r="I4300" s="6" t="s">
        <v>5148</v>
      </c>
    </row>
    <row r="4301" customFormat="false" ht="15" hidden="false" customHeight="false" outlineLevel="0" collapsed="false">
      <c r="A4301" s="6" t="s">
        <v>9524</v>
      </c>
      <c r="B4301" s="6" t="s">
        <v>4501</v>
      </c>
      <c r="C4301" s="26" t="n">
        <v>46165</v>
      </c>
      <c r="D4301" s="6" t="s">
        <v>5216</v>
      </c>
      <c r="E4301" s="6" t="s">
        <v>23</v>
      </c>
      <c r="F4301" s="6" t="n">
        <v>2</v>
      </c>
      <c r="G4301" s="10" t="n">
        <v>587</v>
      </c>
      <c r="H4301" s="10" t="n">
        <f aca="false">F4301*G4301</f>
        <v>1174</v>
      </c>
      <c r="I4301" s="6" t="s">
        <v>5122</v>
      </c>
    </row>
    <row r="4302" customFormat="false" ht="15" hidden="false" customHeight="false" outlineLevel="0" collapsed="false">
      <c r="A4302" s="6" t="s">
        <v>9525</v>
      </c>
      <c r="B4302" s="6" t="s">
        <v>184</v>
      </c>
      <c r="C4302" s="26" t="n">
        <v>46165</v>
      </c>
      <c r="D4302" s="6" t="s">
        <v>5129</v>
      </c>
      <c r="E4302" s="6" t="s">
        <v>21</v>
      </c>
      <c r="F4302" s="6" t="n">
        <v>1</v>
      </c>
      <c r="G4302" s="10" t="n">
        <v>559</v>
      </c>
      <c r="H4302" s="10" t="n">
        <f aca="false">F4302*G4302</f>
        <v>559</v>
      </c>
      <c r="I4302" s="6" t="s">
        <v>5122</v>
      </c>
    </row>
    <row r="4303" customFormat="false" ht="15" hidden="false" customHeight="false" outlineLevel="0" collapsed="false">
      <c r="A4303" s="6" t="s">
        <v>9526</v>
      </c>
      <c r="B4303" s="6" t="s">
        <v>3015</v>
      </c>
      <c r="C4303" s="26" t="n">
        <v>46165</v>
      </c>
      <c r="D4303" s="6" t="s">
        <v>5145</v>
      </c>
      <c r="E4303" s="6" t="s">
        <v>21</v>
      </c>
      <c r="F4303" s="6" t="n">
        <v>1</v>
      </c>
      <c r="G4303" s="10" t="n">
        <v>1213</v>
      </c>
      <c r="H4303" s="10" t="n">
        <f aca="false">F4303*G4303</f>
        <v>1213</v>
      </c>
      <c r="I4303" s="6" t="s">
        <v>5130</v>
      </c>
    </row>
    <row r="4304" customFormat="false" ht="15" hidden="false" customHeight="false" outlineLevel="0" collapsed="false">
      <c r="A4304" s="6" t="s">
        <v>9527</v>
      </c>
      <c r="B4304" s="6" t="s">
        <v>116</v>
      </c>
      <c r="C4304" s="26" t="n">
        <v>46165</v>
      </c>
      <c r="D4304" s="6" t="s">
        <v>5167</v>
      </c>
      <c r="E4304" s="6" t="s">
        <v>22</v>
      </c>
      <c r="F4304" s="6" t="n">
        <v>2</v>
      </c>
      <c r="G4304" s="10" t="n">
        <v>782</v>
      </c>
      <c r="H4304" s="10" t="n">
        <f aca="false">F4304*G4304</f>
        <v>1564</v>
      </c>
      <c r="I4304" s="6" t="s">
        <v>5122</v>
      </c>
    </row>
    <row r="4305" customFormat="false" ht="15" hidden="false" customHeight="false" outlineLevel="0" collapsed="false">
      <c r="A4305" s="6" t="s">
        <v>9528</v>
      </c>
      <c r="B4305" s="6" t="s">
        <v>1875</v>
      </c>
      <c r="C4305" s="26" t="n">
        <v>46165</v>
      </c>
      <c r="D4305" s="6" t="s">
        <v>5687</v>
      </c>
      <c r="E4305" s="6" t="s">
        <v>20</v>
      </c>
      <c r="F4305" s="6" t="n">
        <v>1</v>
      </c>
      <c r="G4305" s="10" t="n">
        <v>2039</v>
      </c>
      <c r="H4305" s="10" t="n">
        <f aca="false">F4305*G4305</f>
        <v>2039</v>
      </c>
      <c r="I4305" s="6" t="s">
        <v>5130</v>
      </c>
    </row>
    <row r="4306" customFormat="false" ht="15" hidden="false" customHeight="false" outlineLevel="0" collapsed="false">
      <c r="A4306" s="6" t="s">
        <v>9529</v>
      </c>
      <c r="B4306" s="6" t="s">
        <v>695</v>
      </c>
      <c r="C4306" s="26" t="n">
        <v>46166</v>
      </c>
      <c r="D4306" s="6" t="s">
        <v>5169</v>
      </c>
      <c r="E4306" s="6" t="s">
        <v>20</v>
      </c>
      <c r="F4306" s="6" t="n">
        <v>1</v>
      </c>
      <c r="G4306" s="10" t="n">
        <v>5098</v>
      </c>
      <c r="H4306" s="10" t="n">
        <f aca="false">F4306*G4306</f>
        <v>5098</v>
      </c>
      <c r="I4306" s="6" t="s">
        <v>5125</v>
      </c>
    </row>
    <row r="4307" customFormat="false" ht="15" hidden="false" customHeight="false" outlineLevel="0" collapsed="false">
      <c r="A4307" s="6" t="s">
        <v>9530</v>
      </c>
      <c r="B4307" s="6" t="s">
        <v>663</v>
      </c>
      <c r="C4307" s="26" t="n">
        <v>46166</v>
      </c>
      <c r="D4307" s="6" t="s">
        <v>5163</v>
      </c>
      <c r="E4307" s="6" t="s">
        <v>23</v>
      </c>
      <c r="F4307" s="6" t="n">
        <v>5</v>
      </c>
      <c r="G4307" s="10" t="n">
        <v>783</v>
      </c>
      <c r="H4307" s="10" t="n">
        <f aca="false">F4307*G4307</f>
        <v>3915</v>
      </c>
      <c r="I4307" s="6" t="s">
        <v>5173</v>
      </c>
    </row>
    <row r="4308" customFormat="false" ht="15" hidden="false" customHeight="false" outlineLevel="0" collapsed="false">
      <c r="A4308" s="6" t="s">
        <v>9531</v>
      </c>
      <c r="B4308" s="6" t="s">
        <v>1387</v>
      </c>
      <c r="C4308" s="26" t="n">
        <v>46166</v>
      </c>
      <c r="D4308" s="6" t="s">
        <v>5124</v>
      </c>
      <c r="E4308" s="6" t="s">
        <v>21</v>
      </c>
      <c r="F4308" s="6" t="n">
        <v>1</v>
      </c>
      <c r="G4308" s="10" t="n">
        <v>3439</v>
      </c>
      <c r="H4308" s="10" t="n">
        <f aca="false">F4308*G4308</f>
        <v>3439</v>
      </c>
      <c r="I4308" s="6" t="s">
        <v>5125</v>
      </c>
    </row>
    <row r="4309" customFormat="false" ht="15" hidden="false" customHeight="false" outlineLevel="0" collapsed="false">
      <c r="A4309" s="6" t="s">
        <v>9532</v>
      </c>
      <c r="B4309" s="6" t="s">
        <v>2765</v>
      </c>
      <c r="C4309" s="26" t="n">
        <v>46166</v>
      </c>
      <c r="D4309" s="6" t="s">
        <v>5167</v>
      </c>
      <c r="E4309" s="6" t="s">
        <v>22</v>
      </c>
      <c r="F4309" s="6" t="n">
        <v>2</v>
      </c>
      <c r="G4309" s="10" t="n">
        <v>782</v>
      </c>
      <c r="H4309" s="10" t="n">
        <f aca="false">F4309*G4309</f>
        <v>1564</v>
      </c>
      <c r="I4309" s="6" t="s">
        <v>5122</v>
      </c>
    </row>
    <row r="4310" customFormat="false" ht="15" hidden="false" customHeight="false" outlineLevel="0" collapsed="false">
      <c r="A4310" s="6" t="s">
        <v>9533</v>
      </c>
      <c r="B4310" s="6" t="s">
        <v>451</v>
      </c>
      <c r="C4310" s="26" t="n">
        <v>46166</v>
      </c>
      <c r="D4310" s="6" t="s">
        <v>5129</v>
      </c>
      <c r="E4310" s="6" t="s">
        <v>21</v>
      </c>
      <c r="F4310" s="6" t="n">
        <v>1</v>
      </c>
      <c r="G4310" s="10" t="n">
        <v>589</v>
      </c>
      <c r="H4310" s="10" t="n">
        <f aca="false">F4310*G4310</f>
        <v>589</v>
      </c>
      <c r="I4310" s="6" t="s">
        <v>5133</v>
      </c>
    </row>
    <row r="4311" customFormat="false" ht="15" hidden="false" customHeight="false" outlineLevel="0" collapsed="false">
      <c r="A4311" s="6" t="s">
        <v>9534</v>
      </c>
      <c r="B4311" s="6" t="s">
        <v>1541</v>
      </c>
      <c r="C4311" s="26" t="n">
        <v>46166</v>
      </c>
      <c r="D4311" s="6" t="s">
        <v>5192</v>
      </c>
      <c r="E4311" s="6" t="s">
        <v>20</v>
      </c>
      <c r="F4311" s="6" t="n">
        <v>1</v>
      </c>
      <c r="G4311" s="10" t="n">
        <v>4078</v>
      </c>
      <c r="H4311" s="10" t="n">
        <f aca="false">F4311*G4311</f>
        <v>4078</v>
      </c>
      <c r="I4311" s="6" t="s">
        <v>5133</v>
      </c>
    </row>
    <row r="4312" customFormat="false" ht="15" hidden="false" customHeight="false" outlineLevel="0" collapsed="false">
      <c r="A4312" s="6" t="s">
        <v>9535</v>
      </c>
      <c r="B4312" s="6" t="s">
        <v>4001</v>
      </c>
      <c r="C4312" s="26" t="n">
        <v>46166</v>
      </c>
      <c r="D4312" s="6" t="s">
        <v>5245</v>
      </c>
      <c r="E4312" s="6" t="s">
        <v>21</v>
      </c>
      <c r="F4312" s="6" t="n">
        <v>1</v>
      </c>
      <c r="G4312" s="10" t="n">
        <v>2456</v>
      </c>
      <c r="H4312" s="10" t="n">
        <f aca="false">F4312*G4312</f>
        <v>2456</v>
      </c>
      <c r="I4312" s="6" t="s">
        <v>5133</v>
      </c>
    </row>
    <row r="4313" customFormat="false" ht="15" hidden="false" customHeight="false" outlineLevel="0" collapsed="false">
      <c r="A4313" s="6" t="s">
        <v>9536</v>
      </c>
      <c r="B4313" s="6" t="s">
        <v>3945</v>
      </c>
      <c r="C4313" s="26" t="n">
        <v>46166</v>
      </c>
      <c r="D4313" s="6" t="s">
        <v>5837</v>
      </c>
      <c r="E4313" s="6" t="s">
        <v>21</v>
      </c>
      <c r="F4313" s="6" t="n">
        <v>1</v>
      </c>
      <c r="G4313" s="10" t="n">
        <v>2948</v>
      </c>
      <c r="H4313" s="10" t="n">
        <f aca="false">F4313*G4313</f>
        <v>2948</v>
      </c>
      <c r="I4313" s="6" t="s">
        <v>5148</v>
      </c>
    </row>
    <row r="4314" customFormat="false" ht="15" hidden="false" customHeight="false" outlineLevel="0" collapsed="false">
      <c r="A4314" s="6" t="s">
        <v>9537</v>
      </c>
      <c r="B4314" s="6" t="s">
        <v>4215</v>
      </c>
      <c r="C4314" s="26" t="n">
        <v>46166</v>
      </c>
      <c r="D4314" s="6" t="s">
        <v>5143</v>
      </c>
      <c r="E4314" s="6" t="s">
        <v>21</v>
      </c>
      <c r="F4314" s="6" t="n">
        <v>1</v>
      </c>
      <c r="G4314" s="10" t="n">
        <v>1179</v>
      </c>
      <c r="H4314" s="10" t="n">
        <f aca="false">F4314*G4314</f>
        <v>1179</v>
      </c>
      <c r="I4314" s="6" t="s">
        <v>5148</v>
      </c>
    </row>
    <row r="4315" customFormat="false" ht="15" hidden="false" customHeight="false" outlineLevel="0" collapsed="false">
      <c r="A4315" s="6" t="s">
        <v>9538</v>
      </c>
      <c r="B4315" s="6" t="s">
        <v>2691</v>
      </c>
      <c r="C4315" s="26" t="n">
        <v>46166</v>
      </c>
      <c r="D4315" s="6" t="s">
        <v>5121</v>
      </c>
      <c r="E4315" s="6" t="s">
        <v>22</v>
      </c>
      <c r="F4315" s="6" t="n">
        <v>2</v>
      </c>
      <c r="G4315" s="10" t="n">
        <v>928</v>
      </c>
      <c r="H4315" s="10" t="n">
        <f aca="false">F4315*G4315</f>
        <v>1856</v>
      </c>
      <c r="I4315" s="6" t="s">
        <v>5122</v>
      </c>
    </row>
    <row r="4316" customFormat="false" ht="15" hidden="false" customHeight="false" outlineLevel="0" collapsed="false">
      <c r="A4316" s="6" t="s">
        <v>9539</v>
      </c>
      <c r="B4316" s="6" t="s">
        <v>3387</v>
      </c>
      <c r="C4316" s="26" t="n">
        <v>46166</v>
      </c>
      <c r="D4316" s="6" t="s">
        <v>5456</v>
      </c>
      <c r="E4316" s="6" t="s">
        <v>24</v>
      </c>
      <c r="F4316" s="6" t="n">
        <v>2</v>
      </c>
      <c r="G4316" s="10" t="n">
        <v>821</v>
      </c>
      <c r="H4316" s="10" t="n">
        <f aca="false">F4316*G4316</f>
        <v>1642</v>
      </c>
      <c r="I4316" s="6" t="s">
        <v>5122</v>
      </c>
    </row>
    <row r="4317" customFormat="false" ht="15" hidden="false" customHeight="false" outlineLevel="0" collapsed="false">
      <c r="A4317" s="6" t="s">
        <v>9540</v>
      </c>
      <c r="B4317" s="6" t="s">
        <v>2427</v>
      </c>
      <c r="C4317" s="26" t="n">
        <v>46166</v>
      </c>
      <c r="D4317" s="6" t="s">
        <v>5143</v>
      </c>
      <c r="E4317" s="6" t="s">
        <v>21</v>
      </c>
      <c r="F4317" s="6" t="n">
        <v>2</v>
      </c>
      <c r="G4317" s="10" t="n">
        <v>1179</v>
      </c>
      <c r="H4317" s="10" t="n">
        <f aca="false">F4317*G4317</f>
        <v>2358</v>
      </c>
      <c r="I4317" s="6" t="s">
        <v>5148</v>
      </c>
    </row>
    <row r="4318" customFormat="false" ht="15" hidden="false" customHeight="false" outlineLevel="0" collapsed="false">
      <c r="A4318" s="6" t="s">
        <v>9541</v>
      </c>
      <c r="B4318" s="6" t="s">
        <v>3063</v>
      </c>
      <c r="C4318" s="26" t="n">
        <v>46166</v>
      </c>
      <c r="D4318" s="6" t="s">
        <v>5482</v>
      </c>
      <c r="E4318" s="6" t="s">
        <v>23</v>
      </c>
      <c r="F4318" s="6" t="n">
        <v>5</v>
      </c>
      <c r="G4318" s="10" t="n">
        <v>256</v>
      </c>
      <c r="H4318" s="10" t="n">
        <f aca="false">F4318*G4318</f>
        <v>1280</v>
      </c>
      <c r="I4318" s="6" t="s">
        <v>5130</v>
      </c>
    </row>
    <row r="4319" customFormat="false" ht="15" hidden="false" customHeight="false" outlineLevel="0" collapsed="false">
      <c r="A4319" s="6" t="s">
        <v>9542</v>
      </c>
      <c r="B4319" s="6" t="s">
        <v>1355</v>
      </c>
      <c r="C4319" s="26" t="n">
        <v>46166</v>
      </c>
      <c r="D4319" s="6" t="s">
        <v>5132</v>
      </c>
      <c r="E4319" s="6" t="s">
        <v>23</v>
      </c>
      <c r="F4319" s="6" t="n">
        <v>2</v>
      </c>
      <c r="G4319" s="10" t="n">
        <v>308</v>
      </c>
      <c r="H4319" s="10" t="n">
        <f aca="false">F4319*G4319</f>
        <v>616</v>
      </c>
      <c r="I4319" s="6" t="s">
        <v>5122</v>
      </c>
    </row>
    <row r="4320" customFormat="false" ht="15" hidden="false" customHeight="false" outlineLevel="0" collapsed="false">
      <c r="A4320" s="6" t="s">
        <v>9543</v>
      </c>
      <c r="B4320" s="6" t="s">
        <v>4973</v>
      </c>
      <c r="C4320" s="26" t="n">
        <v>46166</v>
      </c>
      <c r="D4320" s="6" t="s">
        <v>5466</v>
      </c>
      <c r="E4320" s="6" t="s">
        <v>21</v>
      </c>
      <c r="F4320" s="6" t="n">
        <v>1</v>
      </c>
      <c r="G4320" s="10" t="n">
        <v>1965</v>
      </c>
      <c r="H4320" s="10" t="n">
        <f aca="false">F4320*G4320</f>
        <v>1965</v>
      </c>
      <c r="I4320" s="6" t="s">
        <v>5148</v>
      </c>
    </row>
    <row r="4321" customFormat="false" ht="15" hidden="false" customHeight="false" outlineLevel="0" collapsed="false">
      <c r="A4321" s="6" t="s">
        <v>9544</v>
      </c>
      <c r="B4321" s="6" t="s">
        <v>4015</v>
      </c>
      <c r="C4321" s="26" t="n">
        <v>46166</v>
      </c>
      <c r="D4321" s="6" t="s">
        <v>5150</v>
      </c>
      <c r="E4321" s="6" t="s">
        <v>24</v>
      </c>
      <c r="F4321" s="6" t="n">
        <v>3</v>
      </c>
      <c r="G4321" s="10" t="n">
        <v>508</v>
      </c>
      <c r="H4321" s="10" t="n">
        <f aca="false">F4321*G4321</f>
        <v>1524</v>
      </c>
      <c r="I4321" s="6" t="s">
        <v>5122</v>
      </c>
    </row>
    <row r="4322" customFormat="false" ht="15" hidden="false" customHeight="false" outlineLevel="0" collapsed="false">
      <c r="A4322" s="6" t="s">
        <v>9545</v>
      </c>
      <c r="B4322" s="6" t="s">
        <v>5029</v>
      </c>
      <c r="C4322" s="26" t="n">
        <v>46166</v>
      </c>
      <c r="D4322" s="6" t="s">
        <v>5214</v>
      </c>
      <c r="E4322" s="6" t="s">
        <v>20</v>
      </c>
      <c r="F4322" s="6" t="n">
        <v>1</v>
      </c>
      <c r="G4322" s="10" t="n">
        <v>1835</v>
      </c>
      <c r="H4322" s="10" t="n">
        <f aca="false">F4322*G4322</f>
        <v>1835</v>
      </c>
      <c r="I4322" s="6" t="s">
        <v>5130</v>
      </c>
    </row>
    <row r="4323" customFormat="false" ht="15" hidden="false" customHeight="false" outlineLevel="0" collapsed="false">
      <c r="A4323" s="6" t="s">
        <v>9546</v>
      </c>
      <c r="B4323" s="6" t="s">
        <v>119</v>
      </c>
      <c r="C4323" s="26" t="n">
        <v>46166</v>
      </c>
      <c r="D4323" s="6" t="s">
        <v>5121</v>
      </c>
      <c r="E4323" s="6" t="s">
        <v>22</v>
      </c>
      <c r="F4323" s="6" t="n">
        <v>1</v>
      </c>
      <c r="G4323" s="10" t="n">
        <v>977</v>
      </c>
      <c r="H4323" s="10" t="n">
        <f aca="false">F4323*G4323</f>
        <v>977</v>
      </c>
      <c r="I4323" s="6" t="s">
        <v>5122</v>
      </c>
    </row>
    <row r="4324" customFormat="false" ht="15" hidden="false" customHeight="false" outlineLevel="0" collapsed="false">
      <c r="A4324" s="6" t="s">
        <v>9547</v>
      </c>
      <c r="B4324" s="6" t="s">
        <v>4273</v>
      </c>
      <c r="C4324" s="26" t="n">
        <v>46166</v>
      </c>
      <c r="D4324" s="6" t="s">
        <v>5357</v>
      </c>
      <c r="E4324" s="6" t="s">
        <v>23</v>
      </c>
      <c r="F4324" s="6" t="n">
        <v>5</v>
      </c>
      <c r="G4324" s="10" t="n">
        <v>534</v>
      </c>
      <c r="H4324" s="10" t="n">
        <f aca="false">F4324*G4324</f>
        <v>2670</v>
      </c>
      <c r="I4324" s="6" t="s">
        <v>5122</v>
      </c>
    </row>
    <row r="4325" customFormat="false" ht="15" hidden="false" customHeight="false" outlineLevel="0" collapsed="false">
      <c r="A4325" s="6" t="s">
        <v>9548</v>
      </c>
      <c r="B4325" s="6" t="s">
        <v>1085</v>
      </c>
      <c r="C4325" s="26" t="n">
        <v>46166</v>
      </c>
      <c r="D4325" s="6" t="s">
        <v>5167</v>
      </c>
      <c r="E4325" s="6" t="s">
        <v>22</v>
      </c>
      <c r="F4325" s="6" t="n">
        <v>1</v>
      </c>
      <c r="G4325" s="10" t="n">
        <v>702</v>
      </c>
      <c r="H4325" s="10" t="n">
        <f aca="false">F4325*G4325</f>
        <v>702</v>
      </c>
      <c r="I4325" s="6" t="s">
        <v>5173</v>
      </c>
    </row>
    <row r="4326" customFormat="false" ht="15" hidden="false" customHeight="false" outlineLevel="0" collapsed="false">
      <c r="A4326" s="6" t="s">
        <v>9549</v>
      </c>
      <c r="B4326" s="6" t="s">
        <v>2193</v>
      </c>
      <c r="C4326" s="26" t="n">
        <v>46166</v>
      </c>
      <c r="D4326" s="6" t="s">
        <v>5269</v>
      </c>
      <c r="E4326" s="6" t="s">
        <v>22</v>
      </c>
      <c r="F4326" s="6" t="n">
        <v>2</v>
      </c>
      <c r="G4326" s="10" t="n">
        <v>1271</v>
      </c>
      <c r="H4326" s="10" t="n">
        <f aca="false">F4326*G4326</f>
        <v>2542</v>
      </c>
      <c r="I4326" s="6" t="s">
        <v>5125</v>
      </c>
    </row>
    <row r="4327" customFormat="false" ht="15" hidden="false" customHeight="false" outlineLevel="0" collapsed="false">
      <c r="A4327" s="6" t="s">
        <v>9550</v>
      </c>
      <c r="B4327" s="6" t="s">
        <v>136</v>
      </c>
      <c r="C4327" s="26" t="n">
        <v>46166</v>
      </c>
      <c r="D4327" s="6" t="s">
        <v>5145</v>
      </c>
      <c r="E4327" s="6" t="s">
        <v>21</v>
      </c>
      <c r="F4327" s="6" t="n">
        <v>1</v>
      </c>
      <c r="G4327" s="10" t="n">
        <v>1277</v>
      </c>
      <c r="H4327" s="10" t="n">
        <f aca="false">F4327*G4327</f>
        <v>1277</v>
      </c>
      <c r="I4327" s="6" t="s">
        <v>5122</v>
      </c>
    </row>
    <row r="4328" customFormat="false" ht="15" hidden="false" customHeight="false" outlineLevel="0" collapsed="false">
      <c r="A4328" s="6" t="s">
        <v>9551</v>
      </c>
      <c r="B4328" s="6" t="s">
        <v>1043</v>
      </c>
      <c r="C4328" s="26" t="n">
        <v>46166</v>
      </c>
      <c r="D4328" s="6" t="s">
        <v>5163</v>
      </c>
      <c r="E4328" s="6" t="s">
        <v>23</v>
      </c>
      <c r="F4328" s="6" t="n">
        <v>4</v>
      </c>
      <c r="G4328" s="10" t="n">
        <v>783</v>
      </c>
      <c r="H4328" s="10" t="n">
        <f aca="false">F4328*G4328</f>
        <v>3132</v>
      </c>
      <c r="I4328" s="6" t="s">
        <v>5122</v>
      </c>
    </row>
    <row r="4329" customFormat="false" ht="15" hidden="false" customHeight="false" outlineLevel="0" collapsed="false">
      <c r="A4329" s="6" t="s">
        <v>9552</v>
      </c>
      <c r="B4329" s="6" t="s">
        <v>410</v>
      </c>
      <c r="C4329" s="26" t="n">
        <v>46166</v>
      </c>
      <c r="D4329" s="6" t="s">
        <v>5398</v>
      </c>
      <c r="E4329" s="6" t="s">
        <v>24</v>
      </c>
      <c r="F4329" s="6" t="n">
        <v>1</v>
      </c>
      <c r="G4329" s="10" t="n">
        <v>610</v>
      </c>
      <c r="H4329" s="10" t="n">
        <f aca="false">F4329*G4329</f>
        <v>610</v>
      </c>
      <c r="I4329" s="6" t="s">
        <v>5122</v>
      </c>
    </row>
    <row r="4330" customFormat="false" ht="15" hidden="false" customHeight="false" outlineLevel="0" collapsed="false">
      <c r="A4330" s="6" t="s">
        <v>9553</v>
      </c>
      <c r="B4330" s="6" t="s">
        <v>2485</v>
      </c>
      <c r="C4330" s="26" t="n">
        <v>46166</v>
      </c>
      <c r="D4330" s="6" t="s">
        <v>5863</v>
      </c>
      <c r="E4330" s="6" t="s">
        <v>20</v>
      </c>
      <c r="F4330" s="6" t="n">
        <v>1</v>
      </c>
      <c r="G4330" s="10" t="n">
        <v>20395</v>
      </c>
      <c r="H4330" s="10" t="n">
        <f aca="false">F4330*G4330</f>
        <v>20395</v>
      </c>
      <c r="I4330" s="6" t="s">
        <v>5148</v>
      </c>
    </row>
    <row r="4331" customFormat="false" ht="15" hidden="false" customHeight="false" outlineLevel="0" collapsed="false">
      <c r="A4331" s="6" t="s">
        <v>9554</v>
      </c>
      <c r="B4331" s="6" t="s">
        <v>1263</v>
      </c>
      <c r="C4331" s="26" t="n">
        <v>46166</v>
      </c>
      <c r="D4331" s="6" t="s">
        <v>5137</v>
      </c>
      <c r="E4331" s="6" t="s">
        <v>21</v>
      </c>
      <c r="F4331" s="6" t="n">
        <v>1</v>
      </c>
      <c r="G4331" s="10" t="n">
        <v>1680</v>
      </c>
      <c r="H4331" s="10" t="n">
        <f aca="false">F4331*G4331</f>
        <v>1680</v>
      </c>
      <c r="I4331" s="6" t="s">
        <v>5148</v>
      </c>
    </row>
    <row r="4332" customFormat="false" ht="15" hidden="false" customHeight="false" outlineLevel="0" collapsed="false">
      <c r="A4332" s="6" t="s">
        <v>9555</v>
      </c>
      <c r="B4332" s="6" t="s">
        <v>4055</v>
      </c>
      <c r="C4332" s="26" t="n">
        <v>46166</v>
      </c>
      <c r="D4332" s="6" t="s">
        <v>5165</v>
      </c>
      <c r="E4332" s="6" t="s">
        <v>22</v>
      </c>
      <c r="F4332" s="6" t="n">
        <v>1</v>
      </c>
      <c r="G4332" s="10" t="n">
        <v>977</v>
      </c>
      <c r="H4332" s="10" t="n">
        <f aca="false">F4332*G4332</f>
        <v>977</v>
      </c>
      <c r="I4332" s="6" t="s">
        <v>5133</v>
      </c>
    </row>
    <row r="4333" customFormat="false" ht="15" hidden="false" customHeight="false" outlineLevel="0" collapsed="false">
      <c r="A4333" s="6" t="s">
        <v>9556</v>
      </c>
      <c r="B4333" s="6" t="s">
        <v>3829</v>
      </c>
      <c r="C4333" s="26" t="n">
        <v>46166</v>
      </c>
      <c r="D4333" s="6" t="s">
        <v>5154</v>
      </c>
      <c r="E4333" s="6" t="s">
        <v>21</v>
      </c>
      <c r="F4333" s="6" t="n">
        <v>1</v>
      </c>
      <c r="G4333" s="10" t="n">
        <v>746</v>
      </c>
      <c r="H4333" s="10" t="n">
        <f aca="false">F4333*G4333</f>
        <v>746</v>
      </c>
      <c r="I4333" s="6" t="s">
        <v>5122</v>
      </c>
    </row>
    <row r="4334" customFormat="false" ht="15" hidden="false" customHeight="false" outlineLevel="0" collapsed="false">
      <c r="A4334" s="6" t="s">
        <v>9557</v>
      </c>
      <c r="B4334" s="6" t="s">
        <v>1707</v>
      </c>
      <c r="C4334" s="26" t="n">
        <v>46166</v>
      </c>
      <c r="D4334" s="6" t="s">
        <v>5691</v>
      </c>
      <c r="E4334" s="6" t="s">
        <v>21</v>
      </c>
      <c r="F4334" s="6" t="n">
        <v>1</v>
      </c>
      <c r="G4334" s="10" t="n">
        <v>5602</v>
      </c>
      <c r="H4334" s="10" t="n">
        <f aca="false">F4334*G4334</f>
        <v>5602</v>
      </c>
      <c r="I4334" s="6" t="s">
        <v>5130</v>
      </c>
    </row>
    <row r="4335" customFormat="false" ht="15" hidden="false" customHeight="false" outlineLevel="0" collapsed="false">
      <c r="A4335" s="6" t="s">
        <v>9558</v>
      </c>
      <c r="B4335" s="6" t="s">
        <v>4353</v>
      </c>
      <c r="C4335" s="26" t="n">
        <v>46166</v>
      </c>
      <c r="D4335" s="6" t="s">
        <v>5167</v>
      </c>
      <c r="E4335" s="6" t="s">
        <v>22</v>
      </c>
      <c r="F4335" s="6" t="n">
        <v>2</v>
      </c>
      <c r="G4335" s="10" t="n">
        <v>743</v>
      </c>
      <c r="H4335" s="10" t="n">
        <f aca="false">F4335*G4335</f>
        <v>1486</v>
      </c>
      <c r="I4335" s="6" t="s">
        <v>5148</v>
      </c>
    </row>
    <row r="4336" customFormat="false" ht="15" hidden="false" customHeight="false" outlineLevel="0" collapsed="false">
      <c r="A4336" s="6" t="s">
        <v>9559</v>
      </c>
      <c r="B4336" s="6" t="s">
        <v>2701</v>
      </c>
      <c r="C4336" s="26" t="n">
        <v>46166</v>
      </c>
      <c r="D4336" s="6" t="s">
        <v>5163</v>
      </c>
      <c r="E4336" s="6" t="s">
        <v>23</v>
      </c>
      <c r="F4336" s="6" t="n">
        <v>2</v>
      </c>
      <c r="G4336" s="10" t="n">
        <v>705</v>
      </c>
      <c r="H4336" s="10" t="n">
        <f aca="false">F4336*G4336</f>
        <v>1410</v>
      </c>
      <c r="I4336" s="6" t="s">
        <v>5173</v>
      </c>
    </row>
    <row r="4337" customFormat="false" ht="15" hidden="false" customHeight="false" outlineLevel="0" collapsed="false">
      <c r="A4337" s="6" t="s">
        <v>9560</v>
      </c>
      <c r="B4337" s="6" t="s">
        <v>4059</v>
      </c>
      <c r="C4337" s="26" t="n">
        <v>46166</v>
      </c>
      <c r="D4337" s="6" t="s">
        <v>5158</v>
      </c>
      <c r="E4337" s="6" t="s">
        <v>24</v>
      </c>
      <c r="F4337" s="6" t="n">
        <v>1</v>
      </c>
      <c r="G4337" s="10" t="n">
        <v>411</v>
      </c>
      <c r="H4337" s="10" t="n">
        <f aca="false">F4337*G4337</f>
        <v>411</v>
      </c>
      <c r="I4337" s="6" t="s">
        <v>5125</v>
      </c>
    </row>
    <row r="4338" customFormat="false" ht="15" hidden="false" customHeight="false" outlineLevel="0" collapsed="false">
      <c r="A4338" s="6" t="s">
        <v>9561</v>
      </c>
      <c r="B4338" s="6" t="s">
        <v>4771</v>
      </c>
      <c r="C4338" s="26" t="n">
        <v>46166</v>
      </c>
      <c r="D4338" s="6" t="s">
        <v>5207</v>
      </c>
      <c r="E4338" s="6" t="s">
        <v>20</v>
      </c>
      <c r="F4338" s="6" t="n">
        <v>2</v>
      </c>
      <c r="G4338" s="10" t="n">
        <v>1258</v>
      </c>
      <c r="H4338" s="10" t="n">
        <f aca="false">F4338*G4338</f>
        <v>2516</v>
      </c>
      <c r="I4338" s="6" t="s">
        <v>5122</v>
      </c>
    </row>
    <row r="4339" customFormat="false" ht="15" hidden="false" customHeight="false" outlineLevel="0" collapsed="false">
      <c r="A4339" s="6" t="s">
        <v>9562</v>
      </c>
      <c r="B4339" s="6" t="s">
        <v>1855</v>
      </c>
      <c r="C4339" s="26" t="n">
        <v>46166</v>
      </c>
      <c r="D4339" s="6" t="s">
        <v>5683</v>
      </c>
      <c r="E4339" s="6" t="s">
        <v>22</v>
      </c>
      <c r="F4339" s="6" t="n">
        <v>1</v>
      </c>
      <c r="G4339" s="10" t="n">
        <v>1760</v>
      </c>
      <c r="H4339" s="10" t="n">
        <f aca="false">F4339*G4339</f>
        <v>1760</v>
      </c>
      <c r="I4339" s="6" t="s">
        <v>5125</v>
      </c>
    </row>
    <row r="4340" customFormat="false" ht="15" hidden="false" customHeight="false" outlineLevel="0" collapsed="false">
      <c r="A4340" s="6" t="s">
        <v>9563</v>
      </c>
      <c r="B4340" s="6" t="s">
        <v>4361</v>
      </c>
      <c r="C4340" s="26" t="n">
        <v>46166</v>
      </c>
      <c r="D4340" s="6" t="s">
        <v>5237</v>
      </c>
      <c r="E4340" s="6" t="s">
        <v>24</v>
      </c>
      <c r="F4340" s="6" t="n">
        <v>2</v>
      </c>
      <c r="G4340" s="10" t="n">
        <v>1833</v>
      </c>
      <c r="H4340" s="10" t="n">
        <f aca="false">F4340*G4340</f>
        <v>3666</v>
      </c>
      <c r="I4340" s="6" t="s">
        <v>5122</v>
      </c>
    </row>
    <row r="4341" customFormat="false" ht="15" hidden="false" customHeight="false" outlineLevel="0" collapsed="false">
      <c r="A4341" s="6" t="s">
        <v>9564</v>
      </c>
      <c r="B4341" s="6" t="s">
        <v>4091</v>
      </c>
      <c r="C4341" s="26" t="n">
        <v>46166</v>
      </c>
      <c r="D4341" s="6" t="s">
        <v>5683</v>
      </c>
      <c r="E4341" s="6" t="s">
        <v>22</v>
      </c>
      <c r="F4341" s="6" t="n">
        <v>2</v>
      </c>
      <c r="G4341" s="10" t="n">
        <v>1584</v>
      </c>
      <c r="H4341" s="10" t="n">
        <f aca="false">F4341*G4341</f>
        <v>3168</v>
      </c>
      <c r="I4341" s="6" t="s">
        <v>5122</v>
      </c>
    </row>
    <row r="4342" customFormat="false" ht="15" hidden="false" customHeight="false" outlineLevel="0" collapsed="false">
      <c r="A4342" s="6" t="s">
        <v>9565</v>
      </c>
      <c r="B4342" s="6" t="s">
        <v>3923</v>
      </c>
      <c r="C4342" s="26" t="n">
        <v>46166</v>
      </c>
      <c r="D4342" s="6" t="s">
        <v>5345</v>
      </c>
      <c r="E4342" s="6" t="s">
        <v>23</v>
      </c>
      <c r="F4342" s="6" t="n">
        <v>1</v>
      </c>
      <c r="G4342" s="10" t="n">
        <v>436</v>
      </c>
      <c r="H4342" s="10" t="n">
        <f aca="false">F4342*G4342</f>
        <v>436</v>
      </c>
      <c r="I4342" s="6" t="s">
        <v>5173</v>
      </c>
    </row>
    <row r="4343" customFormat="false" ht="15" hidden="false" customHeight="false" outlineLevel="0" collapsed="false">
      <c r="A4343" s="6" t="s">
        <v>9566</v>
      </c>
      <c r="B4343" s="6" t="s">
        <v>1503</v>
      </c>
      <c r="C4343" s="26" t="n">
        <v>46166</v>
      </c>
      <c r="D4343" s="6" t="s">
        <v>5124</v>
      </c>
      <c r="E4343" s="6" t="s">
        <v>21</v>
      </c>
      <c r="F4343" s="6" t="n">
        <v>1</v>
      </c>
      <c r="G4343" s="10" t="n">
        <v>3439</v>
      </c>
      <c r="H4343" s="10" t="n">
        <f aca="false">F4343*G4343</f>
        <v>3439</v>
      </c>
      <c r="I4343" s="6" t="s">
        <v>5122</v>
      </c>
    </row>
    <row r="4344" customFormat="false" ht="15" hidden="false" customHeight="false" outlineLevel="0" collapsed="false">
      <c r="A4344" s="6" t="s">
        <v>9567</v>
      </c>
      <c r="B4344" s="6" t="s">
        <v>3755</v>
      </c>
      <c r="C4344" s="26" t="n">
        <v>46166</v>
      </c>
      <c r="D4344" s="6" t="s">
        <v>5160</v>
      </c>
      <c r="E4344" s="6" t="s">
        <v>21</v>
      </c>
      <c r="F4344" s="6" t="n">
        <v>1</v>
      </c>
      <c r="G4344" s="10" t="n">
        <v>2751</v>
      </c>
      <c r="H4344" s="10" t="n">
        <f aca="false">F4344*G4344</f>
        <v>2751</v>
      </c>
      <c r="I4344" s="6" t="s">
        <v>5133</v>
      </c>
    </row>
    <row r="4345" customFormat="false" ht="15" hidden="false" customHeight="false" outlineLevel="0" collapsed="false">
      <c r="A4345" s="6" t="s">
        <v>9568</v>
      </c>
      <c r="B4345" s="6" t="s">
        <v>1611</v>
      </c>
      <c r="C4345" s="26" t="n">
        <v>46166</v>
      </c>
      <c r="D4345" s="6" t="s">
        <v>5214</v>
      </c>
      <c r="E4345" s="6" t="s">
        <v>20</v>
      </c>
      <c r="F4345" s="6" t="n">
        <v>1</v>
      </c>
      <c r="G4345" s="10" t="n">
        <v>1937</v>
      </c>
      <c r="H4345" s="10" t="n">
        <f aca="false">F4345*G4345</f>
        <v>1937</v>
      </c>
      <c r="I4345" s="6" t="s">
        <v>5130</v>
      </c>
    </row>
    <row r="4346" customFormat="false" ht="15" hidden="false" customHeight="false" outlineLevel="0" collapsed="false">
      <c r="A4346" s="6" t="s">
        <v>9569</v>
      </c>
      <c r="B4346" s="6" t="s">
        <v>4649</v>
      </c>
      <c r="C4346" s="26" t="n">
        <v>46166</v>
      </c>
      <c r="D4346" s="6" t="s">
        <v>5167</v>
      </c>
      <c r="E4346" s="6" t="s">
        <v>22</v>
      </c>
      <c r="F4346" s="6" t="n">
        <v>1</v>
      </c>
      <c r="G4346" s="10" t="n">
        <v>703</v>
      </c>
      <c r="H4346" s="10" t="n">
        <f aca="false">F4346*G4346</f>
        <v>703</v>
      </c>
      <c r="I4346" s="6" t="s">
        <v>5122</v>
      </c>
    </row>
    <row r="4347" customFormat="false" ht="15" hidden="false" customHeight="false" outlineLevel="0" collapsed="false">
      <c r="A4347" s="6" t="s">
        <v>9570</v>
      </c>
      <c r="B4347" s="6" t="s">
        <v>4405</v>
      </c>
      <c r="C4347" s="26" t="n">
        <v>46166</v>
      </c>
      <c r="D4347" s="6" t="s">
        <v>5837</v>
      </c>
      <c r="E4347" s="6" t="s">
        <v>21</v>
      </c>
      <c r="F4347" s="6" t="n">
        <v>2</v>
      </c>
      <c r="G4347" s="10" t="n">
        <v>2948</v>
      </c>
      <c r="H4347" s="10" t="n">
        <f aca="false">F4347*G4347</f>
        <v>5896</v>
      </c>
      <c r="I4347" s="6" t="s">
        <v>5122</v>
      </c>
    </row>
    <row r="4348" customFormat="false" ht="15" hidden="false" customHeight="false" outlineLevel="0" collapsed="false">
      <c r="A4348" s="6" t="s">
        <v>9571</v>
      </c>
      <c r="B4348" s="6" t="s">
        <v>1477</v>
      </c>
      <c r="C4348" s="26" t="n">
        <v>46166</v>
      </c>
      <c r="D4348" s="6" t="s">
        <v>5458</v>
      </c>
      <c r="E4348" s="6" t="s">
        <v>24</v>
      </c>
      <c r="F4348" s="6" t="n">
        <v>1</v>
      </c>
      <c r="G4348" s="10" t="n">
        <v>559</v>
      </c>
      <c r="H4348" s="10" t="n">
        <f aca="false">F4348*G4348</f>
        <v>559</v>
      </c>
      <c r="I4348" s="6" t="s">
        <v>5125</v>
      </c>
    </row>
    <row r="4349" customFormat="false" ht="15" hidden="false" customHeight="false" outlineLevel="0" collapsed="false">
      <c r="A4349" s="6" t="s">
        <v>9572</v>
      </c>
      <c r="B4349" s="6" t="s">
        <v>4019</v>
      </c>
      <c r="C4349" s="26" t="n">
        <v>46167</v>
      </c>
      <c r="D4349" s="6" t="s">
        <v>5167</v>
      </c>
      <c r="E4349" s="6" t="s">
        <v>22</v>
      </c>
      <c r="F4349" s="6" t="n">
        <v>1</v>
      </c>
      <c r="G4349" s="10" t="n">
        <v>743</v>
      </c>
      <c r="H4349" s="10" t="n">
        <f aca="false">F4349*G4349</f>
        <v>743</v>
      </c>
      <c r="I4349" s="6" t="s">
        <v>5125</v>
      </c>
    </row>
    <row r="4350" customFormat="false" ht="15" hidden="false" customHeight="false" outlineLevel="0" collapsed="false">
      <c r="A4350" s="6" t="s">
        <v>9573</v>
      </c>
      <c r="B4350" s="6" t="s">
        <v>2925</v>
      </c>
      <c r="C4350" s="26" t="n">
        <v>46167</v>
      </c>
      <c r="D4350" s="6" t="s">
        <v>5143</v>
      </c>
      <c r="E4350" s="6" t="s">
        <v>21</v>
      </c>
      <c r="F4350" s="6" t="n">
        <v>1</v>
      </c>
      <c r="G4350" s="10" t="n">
        <v>1120</v>
      </c>
      <c r="H4350" s="10" t="n">
        <f aca="false">F4350*G4350</f>
        <v>1120</v>
      </c>
      <c r="I4350" s="6" t="s">
        <v>5133</v>
      </c>
    </row>
    <row r="4351" customFormat="false" ht="15" hidden="false" customHeight="false" outlineLevel="0" collapsed="false">
      <c r="A4351" s="6" t="s">
        <v>9574</v>
      </c>
      <c r="B4351" s="6" t="s">
        <v>3875</v>
      </c>
      <c r="C4351" s="26" t="n">
        <v>46167</v>
      </c>
      <c r="D4351" s="6" t="s">
        <v>5154</v>
      </c>
      <c r="E4351" s="6" t="s">
        <v>21</v>
      </c>
      <c r="F4351" s="6" t="n">
        <v>2</v>
      </c>
      <c r="G4351" s="10" t="n">
        <v>785</v>
      </c>
      <c r="H4351" s="10" t="n">
        <f aca="false">F4351*G4351</f>
        <v>1570</v>
      </c>
      <c r="I4351" s="6" t="s">
        <v>5125</v>
      </c>
    </row>
    <row r="4352" customFormat="false" ht="15" hidden="false" customHeight="false" outlineLevel="0" collapsed="false">
      <c r="A4352" s="6" t="s">
        <v>9575</v>
      </c>
      <c r="B4352" s="6" t="s">
        <v>613</v>
      </c>
      <c r="C4352" s="26" t="n">
        <v>46167</v>
      </c>
      <c r="D4352" s="6" t="s">
        <v>5202</v>
      </c>
      <c r="E4352" s="6" t="s">
        <v>23</v>
      </c>
      <c r="F4352" s="6" t="n">
        <v>2</v>
      </c>
      <c r="G4352" s="10" t="n">
        <v>245</v>
      </c>
      <c r="H4352" s="10" t="n">
        <f aca="false">F4352*G4352</f>
        <v>490</v>
      </c>
      <c r="I4352" s="6" t="s">
        <v>5122</v>
      </c>
    </row>
    <row r="4353" customFormat="false" ht="15" hidden="false" customHeight="false" outlineLevel="0" collapsed="false">
      <c r="A4353" s="6" t="s">
        <v>9576</v>
      </c>
      <c r="B4353" s="6" t="s">
        <v>1619</v>
      </c>
      <c r="C4353" s="26" t="n">
        <v>46167</v>
      </c>
      <c r="D4353" s="6" t="s">
        <v>5466</v>
      </c>
      <c r="E4353" s="6" t="s">
        <v>21</v>
      </c>
      <c r="F4353" s="6" t="n">
        <v>2</v>
      </c>
      <c r="G4353" s="10" t="n">
        <v>1965</v>
      </c>
      <c r="H4353" s="10" t="n">
        <f aca="false">F4353*G4353</f>
        <v>3930</v>
      </c>
      <c r="I4353" s="6" t="s">
        <v>5125</v>
      </c>
    </row>
    <row r="4354" customFormat="false" ht="15" hidden="false" customHeight="false" outlineLevel="0" collapsed="false">
      <c r="A4354" s="6" t="s">
        <v>9577</v>
      </c>
      <c r="B4354" s="6" t="s">
        <v>1625</v>
      </c>
      <c r="C4354" s="26" t="n">
        <v>46167</v>
      </c>
      <c r="D4354" s="6" t="s">
        <v>5216</v>
      </c>
      <c r="E4354" s="6" t="s">
        <v>23</v>
      </c>
      <c r="F4354" s="6" t="n">
        <v>2</v>
      </c>
      <c r="G4354" s="10" t="n">
        <v>528</v>
      </c>
      <c r="H4354" s="10" t="n">
        <f aca="false">F4354*G4354</f>
        <v>1056</v>
      </c>
      <c r="I4354" s="6" t="s">
        <v>5148</v>
      </c>
    </row>
    <row r="4355" customFormat="false" ht="15" hidden="false" customHeight="false" outlineLevel="0" collapsed="false">
      <c r="A4355" s="6" t="s">
        <v>9578</v>
      </c>
      <c r="B4355" s="6" t="s">
        <v>4055</v>
      </c>
      <c r="C4355" s="26" t="n">
        <v>46167</v>
      </c>
      <c r="D4355" s="6" t="s">
        <v>5197</v>
      </c>
      <c r="E4355" s="6" t="s">
        <v>21</v>
      </c>
      <c r="F4355" s="6" t="n">
        <v>1</v>
      </c>
      <c r="G4355" s="10" t="n">
        <v>1080</v>
      </c>
      <c r="H4355" s="10" t="n">
        <f aca="false">F4355*G4355</f>
        <v>1080</v>
      </c>
      <c r="I4355" s="6" t="s">
        <v>5125</v>
      </c>
    </row>
    <row r="4356" customFormat="false" ht="15" hidden="false" customHeight="false" outlineLevel="0" collapsed="false">
      <c r="A4356" s="6" t="s">
        <v>9579</v>
      </c>
      <c r="B4356" s="6" t="s">
        <v>2169</v>
      </c>
      <c r="C4356" s="26" t="n">
        <v>46167</v>
      </c>
      <c r="D4356" s="6" t="s">
        <v>5167</v>
      </c>
      <c r="E4356" s="6" t="s">
        <v>22</v>
      </c>
      <c r="F4356" s="6" t="n">
        <v>1</v>
      </c>
      <c r="G4356" s="10" t="n">
        <v>782</v>
      </c>
      <c r="H4356" s="10" t="n">
        <f aca="false">F4356*G4356</f>
        <v>782</v>
      </c>
      <c r="I4356" s="6" t="s">
        <v>5125</v>
      </c>
    </row>
    <row r="4357" customFormat="false" ht="15" hidden="false" customHeight="false" outlineLevel="0" collapsed="false">
      <c r="A4357" s="6" t="s">
        <v>9580</v>
      </c>
      <c r="B4357" s="6" t="s">
        <v>799</v>
      </c>
      <c r="C4357" s="26" t="n">
        <v>46167</v>
      </c>
      <c r="D4357" s="6" t="s">
        <v>5163</v>
      </c>
      <c r="E4357" s="6" t="s">
        <v>23</v>
      </c>
      <c r="F4357" s="6" t="n">
        <v>3</v>
      </c>
      <c r="G4357" s="10" t="n">
        <v>783</v>
      </c>
      <c r="H4357" s="10" t="n">
        <f aca="false">F4357*G4357</f>
        <v>2349</v>
      </c>
      <c r="I4357" s="6" t="s">
        <v>5122</v>
      </c>
    </row>
    <row r="4358" customFormat="false" ht="15" hidden="false" customHeight="false" outlineLevel="0" collapsed="false">
      <c r="A4358" s="6" t="s">
        <v>9581</v>
      </c>
      <c r="B4358" s="6" t="s">
        <v>3801</v>
      </c>
      <c r="C4358" s="26" t="n">
        <v>46167</v>
      </c>
      <c r="D4358" s="6" t="s">
        <v>5167</v>
      </c>
      <c r="E4358" s="6" t="s">
        <v>22</v>
      </c>
      <c r="F4358" s="6" t="n">
        <v>3</v>
      </c>
      <c r="G4358" s="10" t="n">
        <v>782</v>
      </c>
      <c r="H4358" s="10" t="n">
        <f aca="false">F4358*G4358</f>
        <v>2346</v>
      </c>
      <c r="I4358" s="6" t="s">
        <v>5122</v>
      </c>
    </row>
    <row r="4359" customFormat="false" ht="15" hidden="false" customHeight="false" outlineLevel="0" collapsed="false">
      <c r="A4359" s="6" t="s">
        <v>9582</v>
      </c>
      <c r="B4359" s="6" t="s">
        <v>3307</v>
      </c>
      <c r="C4359" s="26" t="n">
        <v>46167</v>
      </c>
      <c r="D4359" s="6" t="s">
        <v>5538</v>
      </c>
      <c r="E4359" s="6" t="s">
        <v>21</v>
      </c>
      <c r="F4359" s="6" t="n">
        <v>2</v>
      </c>
      <c r="G4359" s="10" t="n">
        <v>5405</v>
      </c>
      <c r="H4359" s="10" t="n">
        <f aca="false">F4359*G4359</f>
        <v>10810</v>
      </c>
      <c r="I4359" s="6" t="s">
        <v>5122</v>
      </c>
    </row>
    <row r="4360" customFormat="false" ht="15" hidden="false" customHeight="false" outlineLevel="0" collapsed="false">
      <c r="A4360" s="6" t="s">
        <v>9583</v>
      </c>
      <c r="B4360" s="6" t="s">
        <v>1573</v>
      </c>
      <c r="C4360" s="26" t="n">
        <v>46167</v>
      </c>
      <c r="D4360" s="6" t="s">
        <v>5129</v>
      </c>
      <c r="E4360" s="6" t="s">
        <v>21</v>
      </c>
      <c r="F4360" s="6" t="n">
        <v>1</v>
      </c>
      <c r="G4360" s="10" t="n">
        <v>530</v>
      </c>
      <c r="H4360" s="10" t="n">
        <f aca="false">F4360*G4360</f>
        <v>530</v>
      </c>
      <c r="I4360" s="6" t="s">
        <v>5148</v>
      </c>
    </row>
    <row r="4361" customFormat="false" ht="15" hidden="false" customHeight="false" outlineLevel="0" collapsed="false">
      <c r="A4361" s="6" t="s">
        <v>9584</v>
      </c>
      <c r="B4361" s="6" t="s">
        <v>1777</v>
      </c>
      <c r="C4361" s="26" t="n">
        <v>46167</v>
      </c>
      <c r="D4361" s="6" t="s">
        <v>5357</v>
      </c>
      <c r="E4361" s="6" t="s">
        <v>23</v>
      </c>
      <c r="F4361" s="6" t="n">
        <v>3</v>
      </c>
      <c r="G4361" s="10" t="n">
        <v>534</v>
      </c>
      <c r="H4361" s="10" t="n">
        <f aca="false">F4361*G4361</f>
        <v>1602</v>
      </c>
      <c r="I4361" s="6" t="s">
        <v>5148</v>
      </c>
    </row>
    <row r="4362" customFormat="false" ht="15" hidden="false" customHeight="false" outlineLevel="0" collapsed="false">
      <c r="A4362" s="6" t="s">
        <v>9585</v>
      </c>
      <c r="B4362" s="6" t="s">
        <v>3691</v>
      </c>
      <c r="C4362" s="26" t="n">
        <v>46167</v>
      </c>
      <c r="D4362" s="6" t="s">
        <v>5163</v>
      </c>
      <c r="E4362" s="6" t="s">
        <v>23</v>
      </c>
      <c r="F4362" s="6" t="n">
        <v>2</v>
      </c>
      <c r="G4362" s="10" t="n">
        <v>783</v>
      </c>
      <c r="H4362" s="10" t="n">
        <f aca="false">F4362*G4362</f>
        <v>1566</v>
      </c>
      <c r="I4362" s="6" t="s">
        <v>5122</v>
      </c>
    </row>
    <row r="4363" customFormat="false" ht="15" hidden="false" customHeight="false" outlineLevel="0" collapsed="false">
      <c r="A4363" s="6" t="s">
        <v>9586</v>
      </c>
      <c r="B4363" s="6" t="s">
        <v>4921</v>
      </c>
      <c r="C4363" s="26" t="n">
        <v>46167</v>
      </c>
      <c r="D4363" s="6" t="s">
        <v>5156</v>
      </c>
      <c r="E4363" s="6" t="s">
        <v>21</v>
      </c>
      <c r="F4363" s="6" t="n">
        <v>1</v>
      </c>
      <c r="G4363" s="10" t="n">
        <v>2161</v>
      </c>
      <c r="H4363" s="10" t="n">
        <f aca="false">F4363*G4363</f>
        <v>2161</v>
      </c>
      <c r="I4363" s="6" t="s">
        <v>5122</v>
      </c>
    </row>
    <row r="4364" customFormat="false" ht="15" hidden="false" customHeight="false" outlineLevel="0" collapsed="false">
      <c r="A4364" s="6" t="s">
        <v>9587</v>
      </c>
      <c r="B4364" s="6" t="s">
        <v>689</v>
      </c>
      <c r="C4364" s="26" t="n">
        <v>46167</v>
      </c>
      <c r="D4364" s="6" t="s">
        <v>5207</v>
      </c>
      <c r="E4364" s="6" t="s">
        <v>20</v>
      </c>
      <c r="F4364" s="6" t="n">
        <v>1</v>
      </c>
      <c r="G4364" s="10" t="n">
        <v>1325</v>
      </c>
      <c r="H4364" s="10" t="n">
        <f aca="false">F4364*G4364</f>
        <v>1325</v>
      </c>
      <c r="I4364" s="6" t="s">
        <v>5122</v>
      </c>
    </row>
    <row r="4365" customFormat="false" ht="15" hidden="false" customHeight="false" outlineLevel="0" collapsed="false">
      <c r="A4365" s="6" t="s">
        <v>9588</v>
      </c>
      <c r="B4365" s="6" t="s">
        <v>2585</v>
      </c>
      <c r="C4365" s="26" t="n">
        <v>46167</v>
      </c>
      <c r="D4365" s="6" t="s">
        <v>5458</v>
      </c>
      <c r="E4365" s="6" t="s">
        <v>24</v>
      </c>
      <c r="F4365" s="6" t="n">
        <v>1</v>
      </c>
      <c r="G4365" s="10" t="n">
        <v>531</v>
      </c>
      <c r="H4365" s="10" t="n">
        <f aca="false">F4365*G4365</f>
        <v>531</v>
      </c>
      <c r="I4365" s="6" t="s">
        <v>5122</v>
      </c>
    </row>
    <row r="4366" customFormat="false" ht="15" hidden="false" customHeight="false" outlineLevel="0" collapsed="false">
      <c r="A4366" s="6" t="s">
        <v>9589</v>
      </c>
      <c r="B4366" s="6" t="s">
        <v>1341</v>
      </c>
      <c r="C4366" s="26" t="n">
        <v>46167</v>
      </c>
      <c r="D4366" s="6" t="s">
        <v>6101</v>
      </c>
      <c r="E4366" s="6" t="s">
        <v>20</v>
      </c>
      <c r="F4366" s="6" t="n">
        <v>1</v>
      </c>
      <c r="G4366" s="10" t="n">
        <v>21313</v>
      </c>
      <c r="H4366" s="10" t="n">
        <f aca="false">F4366*G4366</f>
        <v>21313</v>
      </c>
      <c r="I4366" s="6" t="s">
        <v>5130</v>
      </c>
    </row>
    <row r="4367" customFormat="false" ht="15" hidden="false" customHeight="false" outlineLevel="0" collapsed="false">
      <c r="A4367" s="6" t="s">
        <v>9590</v>
      </c>
      <c r="B4367" s="6" t="s">
        <v>2427</v>
      </c>
      <c r="C4367" s="26" t="n">
        <v>46167</v>
      </c>
      <c r="D4367" s="6" t="s">
        <v>5313</v>
      </c>
      <c r="E4367" s="6" t="s">
        <v>22</v>
      </c>
      <c r="F4367" s="6" t="n">
        <v>2</v>
      </c>
      <c r="G4367" s="10" t="n">
        <v>1584</v>
      </c>
      <c r="H4367" s="10" t="n">
        <f aca="false">F4367*G4367</f>
        <v>3168</v>
      </c>
      <c r="I4367" s="6" t="s">
        <v>5148</v>
      </c>
    </row>
    <row r="4368" customFormat="false" ht="15" hidden="false" customHeight="false" outlineLevel="0" collapsed="false">
      <c r="A4368" s="6" t="s">
        <v>9591</v>
      </c>
      <c r="B4368" s="6" t="s">
        <v>2653</v>
      </c>
      <c r="C4368" s="26" t="n">
        <v>46167</v>
      </c>
      <c r="D4368" s="6" t="s">
        <v>5383</v>
      </c>
      <c r="E4368" s="6" t="s">
        <v>20</v>
      </c>
      <c r="F4368" s="6" t="n">
        <v>1</v>
      </c>
      <c r="G4368" s="10" t="n">
        <v>1121</v>
      </c>
      <c r="H4368" s="10" t="n">
        <f aca="false">F4368*G4368</f>
        <v>1121</v>
      </c>
      <c r="I4368" s="6" t="s">
        <v>5130</v>
      </c>
    </row>
    <row r="4369" customFormat="false" ht="15" hidden="false" customHeight="false" outlineLevel="0" collapsed="false">
      <c r="A4369" s="6" t="s">
        <v>9592</v>
      </c>
      <c r="B4369" s="6" t="s">
        <v>324</v>
      </c>
      <c r="C4369" s="26" t="n">
        <v>46167</v>
      </c>
      <c r="D4369" s="6" t="s">
        <v>5185</v>
      </c>
      <c r="E4369" s="6" t="s">
        <v>24</v>
      </c>
      <c r="F4369" s="6" t="n">
        <v>1</v>
      </c>
      <c r="G4369" s="10" t="n">
        <v>2140</v>
      </c>
      <c r="H4369" s="10" t="n">
        <f aca="false">F4369*G4369</f>
        <v>2140</v>
      </c>
      <c r="I4369" s="6" t="s">
        <v>5133</v>
      </c>
    </row>
    <row r="4370" customFormat="false" ht="15" hidden="false" customHeight="false" outlineLevel="0" collapsed="false">
      <c r="A4370" s="6" t="s">
        <v>9593</v>
      </c>
      <c r="B4370" s="6" t="s">
        <v>907</v>
      </c>
      <c r="C4370" s="26" t="n">
        <v>46167</v>
      </c>
      <c r="D4370" s="6" t="s">
        <v>5245</v>
      </c>
      <c r="E4370" s="6" t="s">
        <v>21</v>
      </c>
      <c r="F4370" s="6" t="n">
        <v>1</v>
      </c>
      <c r="G4370" s="10" t="n">
        <v>2456</v>
      </c>
      <c r="H4370" s="10" t="n">
        <f aca="false">F4370*G4370</f>
        <v>2456</v>
      </c>
      <c r="I4370" s="6" t="s">
        <v>5122</v>
      </c>
    </row>
    <row r="4371" customFormat="false" ht="15" hidden="false" customHeight="false" outlineLevel="0" collapsed="false">
      <c r="A4371" s="6" t="s">
        <v>9594</v>
      </c>
      <c r="B4371" s="6" t="s">
        <v>4795</v>
      </c>
      <c r="C4371" s="26" t="n">
        <v>46167</v>
      </c>
      <c r="D4371" s="6" t="s">
        <v>5163</v>
      </c>
      <c r="E4371" s="6" t="s">
        <v>23</v>
      </c>
      <c r="F4371" s="6" t="n">
        <v>2</v>
      </c>
      <c r="G4371" s="10" t="n">
        <v>705</v>
      </c>
      <c r="H4371" s="10" t="n">
        <f aca="false">F4371*G4371</f>
        <v>1410</v>
      </c>
      <c r="I4371" s="6" t="s">
        <v>5122</v>
      </c>
    </row>
    <row r="4372" customFormat="false" ht="15" hidden="false" customHeight="false" outlineLevel="0" collapsed="false">
      <c r="A4372" s="6" t="s">
        <v>9595</v>
      </c>
      <c r="B4372" s="6" t="s">
        <v>1695</v>
      </c>
      <c r="C4372" s="26" t="n">
        <v>46167</v>
      </c>
      <c r="D4372" s="6" t="s">
        <v>5357</v>
      </c>
      <c r="E4372" s="6" t="s">
        <v>23</v>
      </c>
      <c r="F4372" s="6" t="n">
        <v>2</v>
      </c>
      <c r="G4372" s="10" t="n">
        <v>534</v>
      </c>
      <c r="H4372" s="10" t="n">
        <f aca="false">F4372*G4372</f>
        <v>1068</v>
      </c>
      <c r="I4372" s="6" t="s">
        <v>5122</v>
      </c>
    </row>
    <row r="4373" customFormat="false" ht="15" hidden="false" customHeight="false" outlineLevel="0" collapsed="false">
      <c r="A4373" s="6" t="s">
        <v>9596</v>
      </c>
      <c r="B4373" s="6" t="s">
        <v>1495</v>
      </c>
      <c r="C4373" s="26" t="n">
        <v>46167</v>
      </c>
      <c r="D4373" s="6" t="s">
        <v>5190</v>
      </c>
      <c r="E4373" s="6" t="s">
        <v>24</v>
      </c>
      <c r="F4373" s="6" t="n">
        <v>2</v>
      </c>
      <c r="G4373" s="10" t="n">
        <v>610</v>
      </c>
      <c r="H4373" s="10" t="n">
        <f aca="false">F4373*G4373</f>
        <v>1220</v>
      </c>
      <c r="I4373" s="6" t="s">
        <v>5148</v>
      </c>
    </row>
    <row r="4374" customFormat="false" ht="15" hidden="false" customHeight="false" outlineLevel="0" collapsed="false">
      <c r="A4374" s="6" t="s">
        <v>9597</v>
      </c>
      <c r="B4374" s="6" t="s">
        <v>4527</v>
      </c>
      <c r="C4374" s="26" t="n">
        <v>46167</v>
      </c>
      <c r="D4374" s="6" t="s">
        <v>5488</v>
      </c>
      <c r="E4374" s="6" t="s">
        <v>24</v>
      </c>
      <c r="F4374" s="6" t="n">
        <v>2</v>
      </c>
      <c r="G4374" s="10" t="n">
        <v>779</v>
      </c>
      <c r="H4374" s="10" t="n">
        <f aca="false">F4374*G4374</f>
        <v>1558</v>
      </c>
      <c r="I4374" s="6" t="s">
        <v>5133</v>
      </c>
    </row>
    <row r="4375" customFormat="false" ht="15" hidden="false" customHeight="false" outlineLevel="0" collapsed="false">
      <c r="A4375" s="6" t="s">
        <v>9598</v>
      </c>
      <c r="B4375" s="6" t="s">
        <v>3777</v>
      </c>
      <c r="C4375" s="26" t="n">
        <v>46167</v>
      </c>
      <c r="D4375" s="6" t="s">
        <v>5121</v>
      </c>
      <c r="E4375" s="6" t="s">
        <v>22</v>
      </c>
      <c r="F4375" s="6" t="n">
        <v>1</v>
      </c>
      <c r="G4375" s="10" t="n">
        <v>976</v>
      </c>
      <c r="H4375" s="10" t="n">
        <f aca="false">F4375*G4375</f>
        <v>976</v>
      </c>
      <c r="I4375" s="6" t="s">
        <v>5125</v>
      </c>
    </row>
    <row r="4376" customFormat="false" ht="15" hidden="false" customHeight="false" outlineLevel="0" collapsed="false">
      <c r="A4376" s="6" t="s">
        <v>9599</v>
      </c>
      <c r="B4376" s="6" t="s">
        <v>1641</v>
      </c>
      <c r="C4376" s="26" t="n">
        <v>46167</v>
      </c>
      <c r="D4376" s="6" t="s">
        <v>5687</v>
      </c>
      <c r="E4376" s="6" t="s">
        <v>20</v>
      </c>
      <c r="F4376" s="6" t="n">
        <v>1</v>
      </c>
      <c r="G4376" s="10" t="n">
        <v>1937</v>
      </c>
      <c r="H4376" s="10" t="n">
        <f aca="false">F4376*G4376</f>
        <v>1937</v>
      </c>
      <c r="I4376" s="6" t="s">
        <v>5148</v>
      </c>
    </row>
    <row r="4377" customFormat="false" ht="15" hidden="false" customHeight="false" outlineLevel="0" collapsed="false">
      <c r="A4377" s="6" t="s">
        <v>9600</v>
      </c>
      <c r="B4377" s="6" t="s">
        <v>1117</v>
      </c>
      <c r="C4377" s="26" t="n">
        <v>46167</v>
      </c>
      <c r="D4377" s="6" t="s">
        <v>5218</v>
      </c>
      <c r="E4377" s="6" t="s">
        <v>23</v>
      </c>
      <c r="F4377" s="6" t="n">
        <v>4</v>
      </c>
      <c r="G4377" s="10" t="n">
        <v>148</v>
      </c>
      <c r="H4377" s="10" t="n">
        <f aca="false">F4377*G4377</f>
        <v>592</v>
      </c>
      <c r="I4377" s="6" t="s">
        <v>5122</v>
      </c>
    </row>
    <row r="4378" customFormat="false" ht="15" hidden="false" customHeight="false" outlineLevel="0" collapsed="false">
      <c r="A4378" s="6" t="s">
        <v>9601</v>
      </c>
      <c r="B4378" s="6" t="s">
        <v>1363</v>
      </c>
      <c r="C4378" s="26" t="n">
        <v>46167</v>
      </c>
      <c r="D4378" s="6" t="s">
        <v>5129</v>
      </c>
      <c r="E4378" s="6" t="s">
        <v>21</v>
      </c>
      <c r="F4378" s="6" t="n">
        <v>1</v>
      </c>
      <c r="G4378" s="10" t="n">
        <v>589</v>
      </c>
      <c r="H4378" s="10" t="n">
        <f aca="false">F4378*G4378</f>
        <v>589</v>
      </c>
      <c r="I4378" s="6" t="s">
        <v>5125</v>
      </c>
    </row>
    <row r="4379" customFormat="false" ht="15" hidden="false" customHeight="false" outlineLevel="0" collapsed="false">
      <c r="A4379" s="6" t="s">
        <v>9602</v>
      </c>
      <c r="B4379" s="6" t="s">
        <v>4205</v>
      </c>
      <c r="C4379" s="26" t="n">
        <v>46167</v>
      </c>
      <c r="D4379" s="6" t="s">
        <v>5456</v>
      </c>
      <c r="E4379" s="6" t="s">
        <v>24</v>
      </c>
      <c r="F4379" s="6" t="n">
        <v>1</v>
      </c>
      <c r="G4379" s="10" t="n">
        <v>912</v>
      </c>
      <c r="H4379" s="10" t="n">
        <f aca="false">F4379*G4379</f>
        <v>912</v>
      </c>
      <c r="I4379" s="6" t="s">
        <v>5130</v>
      </c>
    </row>
    <row r="4380" customFormat="false" ht="15" hidden="false" customHeight="false" outlineLevel="0" collapsed="false">
      <c r="A4380" s="6" t="s">
        <v>9603</v>
      </c>
      <c r="B4380" s="6" t="s">
        <v>2431</v>
      </c>
      <c r="C4380" s="26" t="n">
        <v>46167</v>
      </c>
      <c r="D4380" s="6" t="s">
        <v>5135</v>
      </c>
      <c r="E4380" s="6" t="s">
        <v>23</v>
      </c>
      <c r="F4380" s="6" t="n">
        <v>4</v>
      </c>
      <c r="G4380" s="10" t="n">
        <v>441</v>
      </c>
      <c r="H4380" s="10" t="n">
        <f aca="false">F4380*G4380</f>
        <v>1764</v>
      </c>
      <c r="I4380" s="6" t="s">
        <v>5148</v>
      </c>
    </row>
    <row r="4381" customFormat="false" ht="15" hidden="false" customHeight="false" outlineLevel="0" collapsed="false">
      <c r="A4381" s="6" t="s">
        <v>9604</v>
      </c>
      <c r="B4381" s="6" t="s">
        <v>1395</v>
      </c>
      <c r="C4381" s="26" t="n">
        <v>46167</v>
      </c>
      <c r="D4381" s="6" t="s">
        <v>5152</v>
      </c>
      <c r="E4381" s="6" t="s">
        <v>22</v>
      </c>
      <c r="F4381" s="6" t="n">
        <v>3</v>
      </c>
      <c r="G4381" s="10" t="n">
        <v>1760</v>
      </c>
      <c r="H4381" s="10" t="n">
        <f aca="false">F4381*G4381</f>
        <v>5280</v>
      </c>
      <c r="I4381" s="6" t="s">
        <v>5122</v>
      </c>
    </row>
    <row r="4382" customFormat="false" ht="15" hidden="false" customHeight="false" outlineLevel="0" collapsed="false">
      <c r="A4382" s="6" t="s">
        <v>9605</v>
      </c>
      <c r="B4382" s="6" t="s">
        <v>1133</v>
      </c>
      <c r="C4382" s="26" t="n">
        <v>46167</v>
      </c>
      <c r="D4382" s="6" t="s">
        <v>5326</v>
      </c>
      <c r="E4382" s="6" t="s">
        <v>22</v>
      </c>
      <c r="F4382" s="6" t="n">
        <v>2</v>
      </c>
      <c r="G4382" s="10" t="n">
        <v>1320</v>
      </c>
      <c r="H4382" s="10" t="n">
        <f aca="false">F4382*G4382</f>
        <v>2640</v>
      </c>
      <c r="I4382" s="6" t="s">
        <v>5148</v>
      </c>
    </row>
    <row r="4383" customFormat="false" ht="15" hidden="false" customHeight="false" outlineLevel="0" collapsed="false">
      <c r="A4383" s="6" t="s">
        <v>9606</v>
      </c>
      <c r="B4383" s="6" t="s">
        <v>733</v>
      </c>
      <c r="C4383" s="26" t="n">
        <v>46167</v>
      </c>
      <c r="D4383" s="6" t="s">
        <v>5339</v>
      </c>
      <c r="E4383" s="6" t="s">
        <v>24</v>
      </c>
      <c r="F4383" s="6" t="n">
        <v>1</v>
      </c>
      <c r="G4383" s="10" t="n">
        <v>508</v>
      </c>
      <c r="H4383" s="10" t="n">
        <f aca="false">F4383*G4383</f>
        <v>508</v>
      </c>
      <c r="I4383" s="6" t="s">
        <v>5125</v>
      </c>
    </row>
    <row r="4384" customFormat="false" ht="15" hidden="false" customHeight="false" outlineLevel="0" collapsed="false">
      <c r="A4384" s="6" t="s">
        <v>9607</v>
      </c>
      <c r="B4384" s="6" t="s">
        <v>4607</v>
      </c>
      <c r="C4384" s="26" t="n">
        <v>46168</v>
      </c>
      <c r="D4384" s="6" t="s">
        <v>5641</v>
      </c>
      <c r="E4384" s="6" t="s">
        <v>22</v>
      </c>
      <c r="F4384" s="6" t="n">
        <v>2</v>
      </c>
      <c r="G4384" s="10" t="n">
        <v>2024</v>
      </c>
      <c r="H4384" s="10" t="n">
        <f aca="false">F4384*G4384</f>
        <v>4048</v>
      </c>
      <c r="I4384" s="6" t="s">
        <v>5122</v>
      </c>
    </row>
    <row r="4385" customFormat="false" ht="15" hidden="false" customHeight="false" outlineLevel="0" collapsed="false">
      <c r="A4385" s="6" t="s">
        <v>9608</v>
      </c>
      <c r="B4385" s="6" t="s">
        <v>1673</v>
      </c>
      <c r="C4385" s="26" t="n">
        <v>46168</v>
      </c>
      <c r="D4385" s="6" t="s">
        <v>5171</v>
      </c>
      <c r="E4385" s="6" t="s">
        <v>23</v>
      </c>
      <c r="F4385" s="6" t="n">
        <v>5</v>
      </c>
      <c r="G4385" s="10" t="n">
        <v>734</v>
      </c>
      <c r="H4385" s="10" t="n">
        <f aca="false">F4385*G4385</f>
        <v>3670</v>
      </c>
      <c r="I4385" s="6" t="s">
        <v>5122</v>
      </c>
    </row>
    <row r="4386" customFormat="false" ht="15" hidden="false" customHeight="false" outlineLevel="0" collapsed="false">
      <c r="A4386" s="6" t="s">
        <v>9609</v>
      </c>
      <c r="B4386" s="6" t="s">
        <v>433</v>
      </c>
      <c r="C4386" s="26" t="n">
        <v>46168</v>
      </c>
      <c r="D4386" s="6" t="s">
        <v>5171</v>
      </c>
      <c r="E4386" s="6" t="s">
        <v>23</v>
      </c>
      <c r="F4386" s="6" t="n">
        <v>3</v>
      </c>
      <c r="G4386" s="10" t="n">
        <v>734</v>
      </c>
      <c r="H4386" s="10" t="n">
        <f aca="false">F4386*G4386</f>
        <v>2202</v>
      </c>
      <c r="I4386" s="6" t="s">
        <v>5122</v>
      </c>
    </row>
    <row r="4387" customFormat="false" ht="15" hidden="false" customHeight="false" outlineLevel="0" collapsed="false">
      <c r="A4387" s="6" t="s">
        <v>9610</v>
      </c>
      <c r="B4387" s="6" t="s">
        <v>2467</v>
      </c>
      <c r="C4387" s="26" t="n">
        <v>46168</v>
      </c>
      <c r="D4387" s="6" t="s">
        <v>5121</v>
      </c>
      <c r="E4387" s="6" t="s">
        <v>22</v>
      </c>
      <c r="F4387" s="6" t="n">
        <v>2</v>
      </c>
      <c r="G4387" s="10" t="n">
        <v>977</v>
      </c>
      <c r="H4387" s="10" t="n">
        <f aca="false">F4387*G4387</f>
        <v>1954</v>
      </c>
      <c r="I4387" s="6" t="s">
        <v>5148</v>
      </c>
    </row>
    <row r="4388" customFormat="false" ht="15" hidden="false" customHeight="false" outlineLevel="0" collapsed="false">
      <c r="A4388" s="6" t="s">
        <v>9611</v>
      </c>
      <c r="B4388" s="6" t="s">
        <v>4397</v>
      </c>
      <c r="C4388" s="26" t="n">
        <v>46168</v>
      </c>
      <c r="D4388" s="6" t="s">
        <v>5237</v>
      </c>
      <c r="E4388" s="6" t="s">
        <v>24</v>
      </c>
      <c r="F4388" s="6" t="n">
        <v>2</v>
      </c>
      <c r="G4388" s="10" t="n">
        <v>1741</v>
      </c>
      <c r="H4388" s="10" t="n">
        <f aca="false">F4388*G4388</f>
        <v>3482</v>
      </c>
      <c r="I4388" s="6" t="s">
        <v>5125</v>
      </c>
    </row>
    <row r="4389" customFormat="false" ht="15" hidden="false" customHeight="false" outlineLevel="0" collapsed="false">
      <c r="A4389" s="6" t="s">
        <v>9612</v>
      </c>
      <c r="B4389" s="6" t="s">
        <v>509</v>
      </c>
      <c r="C4389" s="26" t="n">
        <v>46168</v>
      </c>
      <c r="D4389" s="6" t="s">
        <v>5353</v>
      </c>
      <c r="E4389" s="6" t="s">
        <v>24</v>
      </c>
      <c r="F4389" s="6" t="n">
        <v>4</v>
      </c>
      <c r="G4389" s="10" t="n">
        <v>1629</v>
      </c>
      <c r="H4389" s="10" t="n">
        <f aca="false">F4389*G4389</f>
        <v>6516</v>
      </c>
      <c r="I4389" s="6" t="s">
        <v>5125</v>
      </c>
    </row>
    <row r="4390" customFormat="false" ht="15" hidden="false" customHeight="false" outlineLevel="0" collapsed="false">
      <c r="A4390" s="6" t="s">
        <v>9613</v>
      </c>
      <c r="B4390" s="6" t="s">
        <v>3565</v>
      </c>
      <c r="C4390" s="26" t="n">
        <v>46168</v>
      </c>
      <c r="D4390" s="6" t="s">
        <v>5121</v>
      </c>
      <c r="E4390" s="6" t="s">
        <v>22</v>
      </c>
      <c r="F4390" s="6" t="n">
        <v>1</v>
      </c>
      <c r="G4390" s="10" t="n">
        <v>977</v>
      </c>
      <c r="H4390" s="10" t="n">
        <f aca="false">F4390*G4390</f>
        <v>977</v>
      </c>
      <c r="I4390" s="6" t="s">
        <v>5148</v>
      </c>
    </row>
    <row r="4391" customFormat="false" ht="15" hidden="false" customHeight="false" outlineLevel="0" collapsed="false">
      <c r="A4391" s="6" t="s">
        <v>9614</v>
      </c>
      <c r="B4391" s="6" t="s">
        <v>2349</v>
      </c>
      <c r="C4391" s="26" t="n">
        <v>46168</v>
      </c>
      <c r="D4391" s="6" t="s">
        <v>5129</v>
      </c>
      <c r="E4391" s="6" t="s">
        <v>21</v>
      </c>
      <c r="F4391" s="6" t="n">
        <v>1</v>
      </c>
      <c r="G4391" s="10" t="n">
        <v>530</v>
      </c>
      <c r="H4391" s="10" t="n">
        <f aca="false">F4391*G4391</f>
        <v>530</v>
      </c>
      <c r="I4391" s="6" t="s">
        <v>5130</v>
      </c>
    </row>
    <row r="4392" customFormat="false" ht="15" hidden="false" customHeight="false" outlineLevel="0" collapsed="false">
      <c r="A4392" s="6" t="s">
        <v>9615</v>
      </c>
      <c r="B4392" s="6" t="s">
        <v>3399</v>
      </c>
      <c r="C4392" s="26" t="n">
        <v>46168</v>
      </c>
      <c r="D4392" s="6" t="s">
        <v>5163</v>
      </c>
      <c r="E4392" s="6" t="s">
        <v>23</v>
      </c>
      <c r="F4392" s="6" t="n">
        <v>2</v>
      </c>
      <c r="G4392" s="10" t="n">
        <v>705</v>
      </c>
      <c r="H4392" s="10" t="n">
        <f aca="false">F4392*G4392</f>
        <v>1410</v>
      </c>
      <c r="I4392" s="6" t="s">
        <v>5148</v>
      </c>
    </row>
    <row r="4393" customFormat="false" ht="15" hidden="false" customHeight="false" outlineLevel="0" collapsed="false">
      <c r="A4393" s="6" t="s">
        <v>9616</v>
      </c>
      <c r="B4393" s="6" t="s">
        <v>1867</v>
      </c>
      <c r="C4393" s="26" t="n">
        <v>46168</v>
      </c>
      <c r="D4393" s="6" t="s">
        <v>5345</v>
      </c>
      <c r="E4393" s="6" t="s">
        <v>23</v>
      </c>
      <c r="F4393" s="6" t="n">
        <v>4</v>
      </c>
      <c r="G4393" s="10" t="n">
        <v>436</v>
      </c>
      <c r="H4393" s="10" t="n">
        <f aca="false">F4393*G4393</f>
        <v>1744</v>
      </c>
      <c r="I4393" s="6" t="s">
        <v>5122</v>
      </c>
    </row>
    <row r="4394" customFormat="false" ht="15" hidden="false" customHeight="false" outlineLevel="0" collapsed="false">
      <c r="A4394" s="6" t="s">
        <v>9617</v>
      </c>
      <c r="B4394" s="6" t="s">
        <v>3121</v>
      </c>
      <c r="C4394" s="26" t="n">
        <v>46168</v>
      </c>
      <c r="D4394" s="6" t="s">
        <v>5318</v>
      </c>
      <c r="E4394" s="6" t="s">
        <v>20</v>
      </c>
      <c r="F4394" s="6" t="n">
        <v>2</v>
      </c>
      <c r="G4394" s="10" t="n">
        <v>1452</v>
      </c>
      <c r="H4394" s="10" t="n">
        <f aca="false">F4394*G4394</f>
        <v>2904</v>
      </c>
      <c r="I4394" s="6" t="s">
        <v>5148</v>
      </c>
    </row>
    <row r="4395" customFormat="false" ht="15" hidden="false" customHeight="false" outlineLevel="0" collapsed="false">
      <c r="A4395" s="6" t="s">
        <v>9618</v>
      </c>
      <c r="B4395" s="6" t="s">
        <v>2653</v>
      </c>
      <c r="C4395" s="26" t="n">
        <v>46168</v>
      </c>
      <c r="D4395" s="6" t="s">
        <v>5165</v>
      </c>
      <c r="E4395" s="6" t="s">
        <v>22</v>
      </c>
      <c r="F4395" s="6" t="n">
        <v>2</v>
      </c>
      <c r="G4395" s="10" t="n">
        <v>928</v>
      </c>
      <c r="H4395" s="10" t="n">
        <f aca="false">F4395*G4395</f>
        <v>1856</v>
      </c>
      <c r="I4395" s="6" t="s">
        <v>5133</v>
      </c>
    </row>
    <row r="4396" customFormat="false" ht="15" hidden="false" customHeight="false" outlineLevel="0" collapsed="false">
      <c r="A4396" s="6" t="s">
        <v>9619</v>
      </c>
      <c r="B4396" s="6" t="s">
        <v>196</v>
      </c>
      <c r="C4396" s="26" t="n">
        <v>46168</v>
      </c>
      <c r="D4396" s="6" t="s">
        <v>5197</v>
      </c>
      <c r="E4396" s="6" t="s">
        <v>21</v>
      </c>
      <c r="F4396" s="6" t="n">
        <v>1</v>
      </c>
      <c r="G4396" s="10" t="n">
        <v>1080</v>
      </c>
      <c r="H4396" s="10" t="n">
        <f aca="false">F4396*G4396</f>
        <v>1080</v>
      </c>
      <c r="I4396" s="6" t="s">
        <v>5148</v>
      </c>
    </row>
    <row r="4397" customFormat="false" ht="15" hidden="false" customHeight="false" outlineLevel="0" collapsed="false">
      <c r="A4397" s="6" t="s">
        <v>9620</v>
      </c>
      <c r="B4397" s="6" t="s">
        <v>1477</v>
      </c>
      <c r="C4397" s="26" t="n">
        <v>46168</v>
      </c>
      <c r="D4397" s="6" t="s">
        <v>5165</v>
      </c>
      <c r="E4397" s="6" t="s">
        <v>22</v>
      </c>
      <c r="F4397" s="6" t="n">
        <v>1</v>
      </c>
      <c r="G4397" s="10" t="n">
        <v>928</v>
      </c>
      <c r="H4397" s="10" t="n">
        <f aca="false">F4397*G4397</f>
        <v>928</v>
      </c>
      <c r="I4397" s="6" t="s">
        <v>5125</v>
      </c>
    </row>
    <row r="4398" customFormat="false" ht="15" hidden="false" customHeight="false" outlineLevel="0" collapsed="false">
      <c r="A4398" s="6" t="s">
        <v>9621</v>
      </c>
      <c r="B4398" s="6" t="s">
        <v>2773</v>
      </c>
      <c r="C4398" s="26" t="n">
        <v>46168</v>
      </c>
      <c r="D4398" s="6" t="s">
        <v>5188</v>
      </c>
      <c r="E4398" s="6" t="s">
        <v>24</v>
      </c>
      <c r="F4398" s="6" t="n">
        <v>2</v>
      </c>
      <c r="G4398" s="10" t="n">
        <v>1018</v>
      </c>
      <c r="H4398" s="10" t="n">
        <f aca="false">F4398*G4398</f>
        <v>2036</v>
      </c>
      <c r="I4398" s="6" t="s">
        <v>5122</v>
      </c>
    </row>
    <row r="4399" customFormat="false" ht="15" hidden="false" customHeight="false" outlineLevel="0" collapsed="false">
      <c r="A4399" s="6" t="s">
        <v>9622</v>
      </c>
      <c r="B4399" s="6" t="s">
        <v>661</v>
      </c>
      <c r="C4399" s="26" t="n">
        <v>46168</v>
      </c>
      <c r="D4399" s="6" t="s">
        <v>5171</v>
      </c>
      <c r="E4399" s="6" t="s">
        <v>23</v>
      </c>
      <c r="F4399" s="6" t="n">
        <v>3</v>
      </c>
      <c r="G4399" s="10" t="n">
        <v>697</v>
      </c>
      <c r="H4399" s="10" t="n">
        <f aca="false">F4399*G4399</f>
        <v>2091</v>
      </c>
      <c r="I4399" s="6" t="s">
        <v>5122</v>
      </c>
    </row>
    <row r="4400" customFormat="false" ht="15" hidden="false" customHeight="false" outlineLevel="0" collapsed="false">
      <c r="A4400" s="6" t="s">
        <v>9623</v>
      </c>
      <c r="B4400" s="6" t="s">
        <v>2047</v>
      </c>
      <c r="C4400" s="26" t="n">
        <v>46168</v>
      </c>
      <c r="D4400" s="6" t="s">
        <v>5240</v>
      </c>
      <c r="E4400" s="6" t="s">
        <v>20</v>
      </c>
      <c r="F4400" s="6" t="n">
        <v>1</v>
      </c>
      <c r="G4400" s="10" t="n">
        <v>4843</v>
      </c>
      <c r="H4400" s="10" t="n">
        <f aca="false">F4400*G4400</f>
        <v>4843</v>
      </c>
      <c r="I4400" s="6" t="s">
        <v>5122</v>
      </c>
    </row>
    <row r="4401" customFormat="false" ht="15" hidden="false" customHeight="false" outlineLevel="0" collapsed="false">
      <c r="A4401" s="6" t="s">
        <v>9624</v>
      </c>
      <c r="B4401" s="6" t="s">
        <v>4509</v>
      </c>
      <c r="C4401" s="26" t="n">
        <v>46168</v>
      </c>
      <c r="D4401" s="6" t="s">
        <v>5141</v>
      </c>
      <c r="E4401" s="6" t="s">
        <v>20</v>
      </c>
      <c r="F4401" s="6" t="n">
        <v>1</v>
      </c>
      <c r="G4401" s="10" t="n">
        <v>1834</v>
      </c>
      <c r="H4401" s="10" t="n">
        <f aca="false">F4401*G4401</f>
        <v>1834</v>
      </c>
      <c r="I4401" s="6" t="s">
        <v>5122</v>
      </c>
    </row>
    <row r="4402" customFormat="false" ht="15" hidden="false" customHeight="false" outlineLevel="0" collapsed="false">
      <c r="A4402" s="6" t="s">
        <v>9625</v>
      </c>
      <c r="B4402" s="6" t="s">
        <v>2979</v>
      </c>
      <c r="C4402" s="26" t="n">
        <v>46168</v>
      </c>
      <c r="D4402" s="6" t="s">
        <v>5226</v>
      </c>
      <c r="E4402" s="6" t="s">
        <v>24</v>
      </c>
      <c r="F4402" s="6" t="n">
        <v>2</v>
      </c>
      <c r="G4402" s="10" t="n">
        <v>457</v>
      </c>
      <c r="H4402" s="10" t="n">
        <f aca="false">F4402*G4402</f>
        <v>914</v>
      </c>
      <c r="I4402" s="6" t="s">
        <v>5122</v>
      </c>
    </row>
    <row r="4403" customFormat="false" ht="15" hidden="false" customHeight="false" outlineLevel="0" collapsed="false">
      <c r="A4403" s="6" t="s">
        <v>9626</v>
      </c>
      <c r="B4403" s="6" t="s">
        <v>4209</v>
      </c>
      <c r="C4403" s="26" t="n">
        <v>46168</v>
      </c>
      <c r="D4403" s="6" t="s">
        <v>5345</v>
      </c>
      <c r="E4403" s="6" t="s">
        <v>23</v>
      </c>
      <c r="F4403" s="6" t="n">
        <v>1</v>
      </c>
      <c r="G4403" s="10" t="n">
        <v>435</v>
      </c>
      <c r="H4403" s="10" t="n">
        <f aca="false">F4403*G4403</f>
        <v>435</v>
      </c>
      <c r="I4403" s="6" t="s">
        <v>5173</v>
      </c>
    </row>
    <row r="4404" customFormat="false" ht="15" hidden="false" customHeight="false" outlineLevel="0" collapsed="false">
      <c r="A4404" s="6" t="s">
        <v>9627</v>
      </c>
      <c r="B4404" s="6" t="s">
        <v>4331</v>
      </c>
      <c r="C4404" s="26" t="n">
        <v>46168</v>
      </c>
      <c r="D4404" s="6" t="s">
        <v>5240</v>
      </c>
      <c r="E4404" s="6" t="s">
        <v>20</v>
      </c>
      <c r="F4404" s="6" t="n">
        <v>1</v>
      </c>
      <c r="G4404" s="10" t="n">
        <v>4843</v>
      </c>
      <c r="H4404" s="10" t="n">
        <f aca="false">F4404*G4404</f>
        <v>4843</v>
      </c>
      <c r="I4404" s="6" t="s">
        <v>5148</v>
      </c>
    </row>
    <row r="4405" customFormat="false" ht="15" hidden="false" customHeight="false" outlineLevel="0" collapsed="false">
      <c r="A4405" s="6" t="s">
        <v>9628</v>
      </c>
      <c r="B4405" s="6" t="s">
        <v>631</v>
      </c>
      <c r="C4405" s="26" t="n">
        <v>46168</v>
      </c>
      <c r="D4405" s="6" t="s">
        <v>5135</v>
      </c>
      <c r="E4405" s="6" t="s">
        <v>23</v>
      </c>
      <c r="F4405" s="6" t="n">
        <v>2</v>
      </c>
      <c r="G4405" s="10" t="n">
        <v>441</v>
      </c>
      <c r="H4405" s="10" t="n">
        <f aca="false">F4405*G4405</f>
        <v>882</v>
      </c>
      <c r="I4405" s="6" t="s">
        <v>5122</v>
      </c>
    </row>
    <row r="4406" customFormat="false" ht="15" hidden="false" customHeight="false" outlineLevel="0" collapsed="false">
      <c r="A4406" s="6" t="s">
        <v>9629</v>
      </c>
      <c r="B4406" s="6" t="s">
        <v>3335</v>
      </c>
      <c r="C4406" s="26" t="n">
        <v>46168</v>
      </c>
      <c r="D4406" s="6" t="s">
        <v>5171</v>
      </c>
      <c r="E4406" s="6" t="s">
        <v>23</v>
      </c>
      <c r="F4406" s="6" t="n">
        <v>1</v>
      </c>
      <c r="G4406" s="10" t="n">
        <v>734</v>
      </c>
      <c r="H4406" s="10" t="n">
        <f aca="false">F4406*G4406</f>
        <v>734</v>
      </c>
      <c r="I4406" s="6" t="s">
        <v>5122</v>
      </c>
    </row>
    <row r="4407" customFormat="false" ht="15" hidden="false" customHeight="false" outlineLevel="0" collapsed="false">
      <c r="A4407" s="6" t="s">
        <v>9630</v>
      </c>
      <c r="B4407" s="6" t="s">
        <v>4943</v>
      </c>
      <c r="C4407" s="26" t="n">
        <v>46168</v>
      </c>
      <c r="D4407" s="6" t="s">
        <v>5339</v>
      </c>
      <c r="E4407" s="6" t="s">
        <v>24</v>
      </c>
      <c r="F4407" s="6" t="n">
        <v>1</v>
      </c>
      <c r="G4407" s="10" t="n">
        <v>458</v>
      </c>
      <c r="H4407" s="10" t="n">
        <f aca="false">F4407*G4407</f>
        <v>458</v>
      </c>
      <c r="I4407" s="6" t="s">
        <v>5122</v>
      </c>
    </row>
    <row r="4408" customFormat="false" ht="15" hidden="false" customHeight="false" outlineLevel="0" collapsed="false">
      <c r="A4408" s="6" t="s">
        <v>9631</v>
      </c>
      <c r="B4408" s="6" t="s">
        <v>3413</v>
      </c>
      <c r="C4408" s="26" t="n">
        <v>46168</v>
      </c>
      <c r="D4408" s="6" t="s">
        <v>5165</v>
      </c>
      <c r="E4408" s="6" t="s">
        <v>22</v>
      </c>
      <c r="F4408" s="6" t="n">
        <v>1</v>
      </c>
      <c r="G4408" s="10" t="n">
        <v>977</v>
      </c>
      <c r="H4408" s="10" t="n">
        <f aca="false">F4408*G4408</f>
        <v>977</v>
      </c>
      <c r="I4408" s="6" t="s">
        <v>5125</v>
      </c>
    </row>
    <row r="4409" customFormat="false" ht="15" hidden="false" customHeight="false" outlineLevel="0" collapsed="false">
      <c r="A4409" s="6" t="s">
        <v>9632</v>
      </c>
      <c r="B4409" s="6" t="s">
        <v>3143</v>
      </c>
      <c r="C4409" s="26" t="n">
        <v>46168</v>
      </c>
      <c r="D4409" s="6" t="s">
        <v>5163</v>
      </c>
      <c r="E4409" s="6" t="s">
        <v>23</v>
      </c>
      <c r="F4409" s="6" t="n">
        <v>4</v>
      </c>
      <c r="G4409" s="10" t="n">
        <v>705</v>
      </c>
      <c r="H4409" s="10" t="n">
        <f aca="false">F4409*G4409</f>
        <v>2820</v>
      </c>
      <c r="I4409" s="6" t="s">
        <v>5125</v>
      </c>
    </row>
    <row r="4410" customFormat="false" ht="15" hidden="false" customHeight="false" outlineLevel="0" collapsed="false">
      <c r="A4410" s="6" t="s">
        <v>9633</v>
      </c>
      <c r="B4410" s="6" t="s">
        <v>3197</v>
      </c>
      <c r="C4410" s="26" t="n">
        <v>46168</v>
      </c>
      <c r="D4410" s="6" t="s">
        <v>5169</v>
      </c>
      <c r="E4410" s="6" t="s">
        <v>20</v>
      </c>
      <c r="F4410" s="6" t="n">
        <v>1</v>
      </c>
      <c r="G4410" s="10" t="n">
        <v>5098</v>
      </c>
      <c r="H4410" s="10" t="n">
        <f aca="false">F4410*G4410</f>
        <v>5098</v>
      </c>
      <c r="I4410" s="6" t="s">
        <v>5122</v>
      </c>
    </row>
    <row r="4411" customFormat="false" ht="15" hidden="false" customHeight="false" outlineLevel="0" collapsed="false">
      <c r="A4411" s="6" t="s">
        <v>9634</v>
      </c>
      <c r="B4411" s="6" t="s">
        <v>4973</v>
      </c>
      <c r="C4411" s="26" t="n">
        <v>46168</v>
      </c>
      <c r="D4411" s="6" t="s">
        <v>5458</v>
      </c>
      <c r="E4411" s="6" t="s">
        <v>24</v>
      </c>
      <c r="F4411" s="6" t="n">
        <v>2</v>
      </c>
      <c r="G4411" s="10" t="n">
        <v>559</v>
      </c>
      <c r="H4411" s="10" t="n">
        <f aca="false">F4411*G4411</f>
        <v>1118</v>
      </c>
      <c r="I4411" s="6" t="s">
        <v>5133</v>
      </c>
    </row>
    <row r="4412" customFormat="false" ht="15" hidden="false" customHeight="false" outlineLevel="0" collapsed="false">
      <c r="A4412" s="6" t="s">
        <v>9635</v>
      </c>
      <c r="B4412" s="6" t="s">
        <v>1119</v>
      </c>
      <c r="C4412" s="26" t="n">
        <v>46168</v>
      </c>
      <c r="D4412" s="6" t="s">
        <v>5145</v>
      </c>
      <c r="E4412" s="6" t="s">
        <v>21</v>
      </c>
      <c r="F4412" s="6" t="n">
        <v>2</v>
      </c>
      <c r="G4412" s="10" t="n">
        <v>1277</v>
      </c>
      <c r="H4412" s="10" t="n">
        <f aca="false">F4412*G4412</f>
        <v>2554</v>
      </c>
      <c r="I4412" s="6" t="s">
        <v>5125</v>
      </c>
    </row>
    <row r="4413" customFormat="false" ht="15" hidden="false" customHeight="false" outlineLevel="0" collapsed="false">
      <c r="A4413" s="6" t="s">
        <v>9636</v>
      </c>
      <c r="B4413" s="6" t="s">
        <v>1057</v>
      </c>
      <c r="C4413" s="26" t="n">
        <v>46168</v>
      </c>
      <c r="D4413" s="6" t="s">
        <v>5132</v>
      </c>
      <c r="E4413" s="6" t="s">
        <v>23</v>
      </c>
      <c r="F4413" s="6" t="n">
        <v>5</v>
      </c>
      <c r="G4413" s="10" t="n">
        <v>325</v>
      </c>
      <c r="H4413" s="10" t="n">
        <f aca="false">F4413*G4413</f>
        <v>1625</v>
      </c>
      <c r="I4413" s="6" t="s">
        <v>5122</v>
      </c>
    </row>
    <row r="4414" customFormat="false" ht="15" hidden="false" customHeight="false" outlineLevel="0" collapsed="false">
      <c r="A4414" s="6" t="s">
        <v>9637</v>
      </c>
      <c r="B4414" s="6" t="s">
        <v>281</v>
      </c>
      <c r="C4414" s="26" t="n">
        <v>46168</v>
      </c>
      <c r="D4414" s="6" t="s">
        <v>5175</v>
      </c>
      <c r="E4414" s="6" t="s">
        <v>24</v>
      </c>
      <c r="F4414" s="6" t="n">
        <v>1</v>
      </c>
      <c r="G4414" s="10" t="n">
        <v>549</v>
      </c>
      <c r="H4414" s="10" t="n">
        <f aca="false">F4414*G4414</f>
        <v>549</v>
      </c>
      <c r="I4414" s="6" t="s">
        <v>5122</v>
      </c>
    </row>
    <row r="4415" customFormat="false" ht="15" hidden="false" customHeight="false" outlineLevel="0" collapsed="false">
      <c r="A4415" s="6" t="s">
        <v>9638</v>
      </c>
      <c r="B4415" s="6" t="s">
        <v>2959</v>
      </c>
      <c r="C4415" s="26" t="n">
        <v>46168</v>
      </c>
      <c r="D4415" s="6" t="s">
        <v>5129</v>
      </c>
      <c r="E4415" s="6" t="s">
        <v>21</v>
      </c>
      <c r="F4415" s="6" t="n">
        <v>1</v>
      </c>
      <c r="G4415" s="10" t="n">
        <v>589</v>
      </c>
      <c r="H4415" s="10" t="n">
        <f aca="false">F4415*G4415</f>
        <v>589</v>
      </c>
      <c r="I4415" s="6" t="s">
        <v>5122</v>
      </c>
    </row>
    <row r="4416" customFormat="false" ht="15" hidden="false" customHeight="false" outlineLevel="0" collapsed="false">
      <c r="A4416" s="6" t="s">
        <v>9639</v>
      </c>
      <c r="B4416" s="6" t="s">
        <v>1067</v>
      </c>
      <c r="C4416" s="26" t="n">
        <v>46168</v>
      </c>
      <c r="D4416" s="6" t="s">
        <v>5143</v>
      </c>
      <c r="E4416" s="6" t="s">
        <v>21</v>
      </c>
      <c r="F4416" s="6" t="n">
        <v>2</v>
      </c>
      <c r="G4416" s="10" t="n">
        <v>1179</v>
      </c>
      <c r="H4416" s="10" t="n">
        <f aca="false">F4416*G4416</f>
        <v>2358</v>
      </c>
      <c r="I4416" s="6" t="s">
        <v>5122</v>
      </c>
    </row>
    <row r="4417" customFormat="false" ht="15" hidden="false" customHeight="false" outlineLevel="0" collapsed="false">
      <c r="A4417" s="6" t="s">
        <v>9640</v>
      </c>
      <c r="B4417" s="6" t="s">
        <v>396</v>
      </c>
      <c r="C4417" s="26" t="n">
        <v>46168</v>
      </c>
      <c r="D4417" s="6" t="s">
        <v>5216</v>
      </c>
      <c r="E4417" s="6" t="s">
        <v>23</v>
      </c>
      <c r="F4417" s="6" t="n">
        <v>1</v>
      </c>
      <c r="G4417" s="10" t="n">
        <v>528</v>
      </c>
      <c r="H4417" s="10" t="n">
        <f aca="false">F4417*G4417</f>
        <v>528</v>
      </c>
      <c r="I4417" s="6" t="s">
        <v>5133</v>
      </c>
    </row>
    <row r="4418" customFormat="false" ht="15" hidden="false" customHeight="false" outlineLevel="0" collapsed="false">
      <c r="A4418" s="6" t="s">
        <v>9641</v>
      </c>
      <c r="B4418" s="6" t="s">
        <v>1063</v>
      </c>
      <c r="C4418" s="26" t="n">
        <v>46168</v>
      </c>
      <c r="D4418" s="6" t="s">
        <v>5121</v>
      </c>
      <c r="E4418" s="6" t="s">
        <v>22</v>
      </c>
      <c r="F4418" s="6" t="n">
        <v>1</v>
      </c>
      <c r="G4418" s="10" t="n">
        <v>977</v>
      </c>
      <c r="H4418" s="10" t="n">
        <f aca="false">F4418*G4418</f>
        <v>977</v>
      </c>
      <c r="I4418" s="6" t="s">
        <v>5130</v>
      </c>
    </row>
    <row r="4419" customFormat="false" ht="15" hidden="false" customHeight="false" outlineLevel="0" collapsed="false">
      <c r="A4419" s="6" t="s">
        <v>9642</v>
      </c>
      <c r="B4419" s="6" t="s">
        <v>3861</v>
      </c>
      <c r="C4419" s="26" t="n">
        <v>46168</v>
      </c>
      <c r="D4419" s="6" t="s">
        <v>5167</v>
      </c>
      <c r="E4419" s="6" t="s">
        <v>22</v>
      </c>
      <c r="F4419" s="6" t="n">
        <v>1</v>
      </c>
      <c r="G4419" s="10" t="n">
        <v>782</v>
      </c>
      <c r="H4419" s="10" t="n">
        <f aca="false">F4419*G4419</f>
        <v>782</v>
      </c>
      <c r="I4419" s="6" t="s">
        <v>5173</v>
      </c>
    </row>
    <row r="4420" customFormat="false" ht="15" hidden="false" customHeight="false" outlineLevel="0" collapsed="false">
      <c r="A4420" s="6" t="s">
        <v>9643</v>
      </c>
      <c r="B4420" s="6" t="s">
        <v>4885</v>
      </c>
      <c r="C4420" s="26" t="n">
        <v>46168</v>
      </c>
      <c r="D4420" s="6" t="s">
        <v>5466</v>
      </c>
      <c r="E4420" s="6" t="s">
        <v>21</v>
      </c>
      <c r="F4420" s="6" t="n">
        <v>1</v>
      </c>
      <c r="G4420" s="10" t="n">
        <v>1965</v>
      </c>
      <c r="H4420" s="10" t="n">
        <f aca="false">F4420*G4420</f>
        <v>1965</v>
      </c>
      <c r="I4420" s="6" t="s">
        <v>5148</v>
      </c>
    </row>
    <row r="4421" customFormat="false" ht="15" hidden="false" customHeight="false" outlineLevel="0" collapsed="false">
      <c r="A4421" s="6" t="s">
        <v>9644</v>
      </c>
      <c r="B4421" s="6" t="s">
        <v>301</v>
      </c>
      <c r="C4421" s="26" t="n">
        <v>46169</v>
      </c>
      <c r="D4421" s="6" t="s">
        <v>5156</v>
      </c>
      <c r="E4421" s="6" t="s">
        <v>21</v>
      </c>
      <c r="F4421" s="6" t="n">
        <v>3</v>
      </c>
      <c r="G4421" s="10" t="n">
        <v>2161</v>
      </c>
      <c r="H4421" s="10" t="n">
        <f aca="false">F4421*G4421</f>
        <v>6483</v>
      </c>
      <c r="I4421" s="6" t="s">
        <v>5122</v>
      </c>
    </row>
    <row r="4422" customFormat="false" ht="15" hidden="false" customHeight="false" outlineLevel="0" collapsed="false">
      <c r="A4422" s="6" t="s">
        <v>9645</v>
      </c>
      <c r="B4422" s="6" t="s">
        <v>765</v>
      </c>
      <c r="C4422" s="26" t="n">
        <v>46169</v>
      </c>
      <c r="D4422" s="6" t="s">
        <v>5121</v>
      </c>
      <c r="E4422" s="6" t="s">
        <v>22</v>
      </c>
      <c r="F4422" s="6" t="n">
        <v>2</v>
      </c>
      <c r="G4422" s="10" t="n">
        <v>977</v>
      </c>
      <c r="H4422" s="10" t="n">
        <f aca="false">F4422*G4422</f>
        <v>1954</v>
      </c>
      <c r="I4422" s="6" t="s">
        <v>5122</v>
      </c>
    </row>
    <row r="4423" customFormat="false" ht="15" hidden="false" customHeight="false" outlineLevel="0" collapsed="false">
      <c r="A4423" s="6" t="s">
        <v>9646</v>
      </c>
      <c r="B4423" s="6" t="s">
        <v>525</v>
      </c>
      <c r="C4423" s="26" t="n">
        <v>46169</v>
      </c>
      <c r="D4423" s="6" t="s">
        <v>5171</v>
      </c>
      <c r="E4423" s="6" t="s">
        <v>23</v>
      </c>
      <c r="F4423" s="6" t="n">
        <v>3</v>
      </c>
      <c r="G4423" s="10" t="n">
        <v>734</v>
      </c>
      <c r="H4423" s="10" t="n">
        <f aca="false">F4423*G4423</f>
        <v>2202</v>
      </c>
      <c r="I4423" s="6" t="s">
        <v>5130</v>
      </c>
    </row>
    <row r="4424" customFormat="false" ht="15" hidden="false" customHeight="false" outlineLevel="0" collapsed="false">
      <c r="A4424" s="6" t="s">
        <v>9647</v>
      </c>
      <c r="B4424" s="6" t="s">
        <v>4353</v>
      </c>
      <c r="C4424" s="26" t="n">
        <v>46169</v>
      </c>
      <c r="D4424" s="6" t="s">
        <v>5163</v>
      </c>
      <c r="E4424" s="6" t="s">
        <v>23</v>
      </c>
      <c r="F4424" s="6" t="n">
        <v>1</v>
      </c>
      <c r="G4424" s="10" t="n">
        <v>783</v>
      </c>
      <c r="H4424" s="10" t="n">
        <f aca="false">F4424*G4424</f>
        <v>783</v>
      </c>
      <c r="I4424" s="6" t="s">
        <v>5122</v>
      </c>
    </row>
    <row r="4425" customFormat="false" ht="15" hidden="false" customHeight="false" outlineLevel="0" collapsed="false">
      <c r="A4425" s="6" t="s">
        <v>9648</v>
      </c>
      <c r="B4425" s="6" t="s">
        <v>2025</v>
      </c>
      <c r="C4425" s="26" t="n">
        <v>46169</v>
      </c>
      <c r="D4425" s="6" t="s">
        <v>5410</v>
      </c>
      <c r="E4425" s="6" t="s">
        <v>20</v>
      </c>
      <c r="F4425" s="6" t="n">
        <v>2</v>
      </c>
      <c r="G4425" s="10" t="n">
        <v>2548</v>
      </c>
      <c r="H4425" s="10" t="n">
        <f aca="false">F4425*G4425</f>
        <v>5096</v>
      </c>
      <c r="I4425" s="6" t="s">
        <v>5122</v>
      </c>
    </row>
    <row r="4426" customFormat="false" ht="15" hidden="false" customHeight="false" outlineLevel="0" collapsed="false">
      <c r="A4426" s="6" t="s">
        <v>9649</v>
      </c>
      <c r="B4426" s="6" t="s">
        <v>4725</v>
      </c>
      <c r="C4426" s="26" t="n">
        <v>46169</v>
      </c>
      <c r="D4426" s="6" t="s">
        <v>5216</v>
      </c>
      <c r="E4426" s="6" t="s">
        <v>23</v>
      </c>
      <c r="F4426" s="6" t="n">
        <v>4</v>
      </c>
      <c r="G4426" s="10" t="n">
        <v>587</v>
      </c>
      <c r="H4426" s="10" t="n">
        <f aca="false">F4426*G4426</f>
        <v>2348</v>
      </c>
      <c r="I4426" s="6" t="s">
        <v>5122</v>
      </c>
    </row>
    <row r="4427" customFormat="false" ht="15" hidden="false" customHeight="false" outlineLevel="0" collapsed="false">
      <c r="A4427" s="6" t="s">
        <v>9650</v>
      </c>
      <c r="B4427" s="6" t="s">
        <v>703</v>
      </c>
      <c r="C4427" s="26" t="n">
        <v>46169</v>
      </c>
      <c r="D4427" s="6" t="s">
        <v>5135</v>
      </c>
      <c r="E4427" s="6" t="s">
        <v>23</v>
      </c>
      <c r="F4427" s="6" t="n">
        <v>3</v>
      </c>
      <c r="G4427" s="10" t="n">
        <v>441</v>
      </c>
      <c r="H4427" s="10" t="n">
        <f aca="false">F4427*G4427</f>
        <v>1323</v>
      </c>
      <c r="I4427" s="6" t="s">
        <v>5122</v>
      </c>
    </row>
    <row r="4428" customFormat="false" ht="15" hidden="false" customHeight="false" outlineLevel="0" collapsed="false">
      <c r="A4428" s="6" t="s">
        <v>9651</v>
      </c>
      <c r="B4428" s="6" t="s">
        <v>4229</v>
      </c>
      <c r="C4428" s="26" t="n">
        <v>46169</v>
      </c>
      <c r="D4428" s="6" t="s">
        <v>5167</v>
      </c>
      <c r="E4428" s="6" t="s">
        <v>22</v>
      </c>
      <c r="F4428" s="6" t="n">
        <v>1</v>
      </c>
      <c r="G4428" s="10" t="n">
        <v>703</v>
      </c>
      <c r="H4428" s="10" t="n">
        <f aca="false">F4428*G4428</f>
        <v>703</v>
      </c>
      <c r="I4428" s="6" t="s">
        <v>5148</v>
      </c>
    </row>
    <row r="4429" customFormat="false" ht="15" hidden="false" customHeight="false" outlineLevel="0" collapsed="false">
      <c r="A4429" s="6" t="s">
        <v>9652</v>
      </c>
      <c r="B4429" s="6" t="s">
        <v>3627</v>
      </c>
      <c r="C4429" s="26" t="n">
        <v>46169</v>
      </c>
      <c r="D4429" s="6" t="s">
        <v>5423</v>
      </c>
      <c r="E4429" s="6" t="s">
        <v>21</v>
      </c>
      <c r="F4429" s="6" t="n">
        <v>2</v>
      </c>
      <c r="G4429" s="10" t="n">
        <v>3243</v>
      </c>
      <c r="H4429" s="10" t="n">
        <f aca="false">F4429*G4429</f>
        <v>6486</v>
      </c>
      <c r="I4429" s="6" t="s">
        <v>5122</v>
      </c>
    </row>
    <row r="4430" customFormat="false" ht="15" hidden="false" customHeight="false" outlineLevel="0" collapsed="false">
      <c r="A4430" s="6" t="s">
        <v>9653</v>
      </c>
      <c r="B4430" s="6" t="s">
        <v>1709</v>
      </c>
      <c r="C4430" s="26" t="n">
        <v>46169</v>
      </c>
      <c r="D4430" s="6" t="s">
        <v>5410</v>
      </c>
      <c r="E4430" s="6" t="s">
        <v>20</v>
      </c>
      <c r="F4430" s="6" t="n">
        <v>1</v>
      </c>
      <c r="G4430" s="10" t="n">
        <v>2548</v>
      </c>
      <c r="H4430" s="10" t="n">
        <f aca="false">F4430*G4430</f>
        <v>2548</v>
      </c>
      <c r="I4430" s="6" t="s">
        <v>5173</v>
      </c>
    </row>
    <row r="4431" customFormat="false" ht="15" hidden="false" customHeight="false" outlineLevel="0" collapsed="false">
      <c r="A4431" s="6" t="s">
        <v>9654</v>
      </c>
      <c r="B4431" s="6" t="s">
        <v>5079</v>
      </c>
      <c r="C4431" s="26" t="n">
        <v>46169</v>
      </c>
      <c r="D4431" s="6" t="s">
        <v>5167</v>
      </c>
      <c r="E4431" s="6" t="s">
        <v>22</v>
      </c>
      <c r="F4431" s="6" t="n">
        <v>1</v>
      </c>
      <c r="G4431" s="10" t="n">
        <v>782</v>
      </c>
      <c r="H4431" s="10" t="n">
        <f aca="false">F4431*G4431</f>
        <v>782</v>
      </c>
      <c r="I4431" s="6" t="s">
        <v>5133</v>
      </c>
    </row>
    <row r="4432" customFormat="false" ht="15" hidden="false" customHeight="false" outlineLevel="0" collapsed="false">
      <c r="A4432" s="6" t="s">
        <v>9655</v>
      </c>
      <c r="B4432" s="6" t="s">
        <v>2951</v>
      </c>
      <c r="C4432" s="26" t="n">
        <v>46169</v>
      </c>
      <c r="D4432" s="6" t="s">
        <v>5466</v>
      </c>
      <c r="E4432" s="6" t="s">
        <v>21</v>
      </c>
      <c r="F4432" s="6" t="n">
        <v>1</v>
      </c>
      <c r="G4432" s="10" t="n">
        <v>1768</v>
      </c>
      <c r="H4432" s="10" t="n">
        <f aca="false">F4432*G4432</f>
        <v>1768</v>
      </c>
      <c r="I4432" s="6" t="s">
        <v>5125</v>
      </c>
    </row>
    <row r="4433" customFormat="false" ht="15" hidden="false" customHeight="false" outlineLevel="0" collapsed="false">
      <c r="A4433" s="6" t="s">
        <v>9656</v>
      </c>
      <c r="B4433" s="6" t="s">
        <v>2559</v>
      </c>
      <c r="C4433" s="26" t="n">
        <v>46169</v>
      </c>
      <c r="D4433" s="6" t="s">
        <v>5188</v>
      </c>
      <c r="E4433" s="6" t="s">
        <v>24</v>
      </c>
      <c r="F4433" s="6" t="n">
        <v>3</v>
      </c>
      <c r="G4433" s="10" t="n">
        <v>967</v>
      </c>
      <c r="H4433" s="10" t="n">
        <f aca="false">F4433*G4433</f>
        <v>2901</v>
      </c>
      <c r="I4433" s="6" t="s">
        <v>5130</v>
      </c>
    </row>
    <row r="4434" customFormat="false" ht="15" hidden="false" customHeight="false" outlineLevel="0" collapsed="false">
      <c r="A4434" s="6" t="s">
        <v>9657</v>
      </c>
      <c r="B4434" s="6" t="s">
        <v>2925</v>
      </c>
      <c r="C4434" s="26" t="n">
        <v>46169</v>
      </c>
      <c r="D4434" s="6" t="s">
        <v>5163</v>
      </c>
      <c r="E4434" s="6" t="s">
        <v>23</v>
      </c>
      <c r="F4434" s="6" t="n">
        <v>1</v>
      </c>
      <c r="G4434" s="10" t="n">
        <v>783</v>
      </c>
      <c r="H4434" s="10" t="n">
        <f aca="false">F4434*G4434</f>
        <v>783</v>
      </c>
      <c r="I4434" s="6" t="s">
        <v>5125</v>
      </c>
    </row>
    <row r="4435" customFormat="false" ht="15" hidden="false" customHeight="false" outlineLevel="0" collapsed="false">
      <c r="A4435" s="6" t="s">
        <v>9658</v>
      </c>
      <c r="B4435" s="6" t="s">
        <v>1457</v>
      </c>
      <c r="C4435" s="26" t="n">
        <v>46169</v>
      </c>
      <c r="D4435" s="6" t="s">
        <v>5127</v>
      </c>
      <c r="E4435" s="6" t="s">
        <v>21</v>
      </c>
      <c r="F4435" s="6" t="n">
        <v>1</v>
      </c>
      <c r="G4435" s="10" t="n">
        <v>795</v>
      </c>
      <c r="H4435" s="10" t="n">
        <f aca="false">F4435*G4435</f>
        <v>795</v>
      </c>
      <c r="I4435" s="6" t="s">
        <v>5122</v>
      </c>
    </row>
    <row r="4436" customFormat="false" ht="15" hidden="false" customHeight="false" outlineLevel="0" collapsed="false">
      <c r="A4436" s="6" t="s">
        <v>9659</v>
      </c>
      <c r="B4436" s="6" t="s">
        <v>3745</v>
      </c>
      <c r="C4436" s="26" t="n">
        <v>46169</v>
      </c>
      <c r="D4436" s="6" t="s">
        <v>5154</v>
      </c>
      <c r="E4436" s="6" t="s">
        <v>21</v>
      </c>
      <c r="F4436" s="6" t="n">
        <v>2</v>
      </c>
      <c r="G4436" s="10" t="n">
        <v>746</v>
      </c>
      <c r="H4436" s="10" t="n">
        <f aca="false">F4436*G4436</f>
        <v>1492</v>
      </c>
      <c r="I4436" s="6" t="s">
        <v>5130</v>
      </c>
    </row>
    <row r="4437" customFormat="false" ht="15" hidden="false" customHeight="false" outlineLevel="0" collapsed="false">
      <c r="A4437" s="6" t="s">
        <v>9660</v>
      </c>
      <c r="B4437" s="6" t="s">
        <v>2459</v>
      </c>
      <c r="C4437" s="26" t="n">
        <v>46169</v>
      </c>
      <c r="D4437" s="6" t="s">
        <v>5197</v>
      </c>
      <c r="E4437" s="6" t="s">
        <v>21</v>
      </c>
      <c r="F4437" s="6" t="n">
        <v>1</v>
      </c>
      <c r="G4437" s="10" t="n">
        <v>1080</v>
      </c>
      <c r="H4437" s="10" t="n">
        <f aca="false">F4437*G4437</f>
        <v>1080</v>
      </c>
      <c r="I4437" s="6" t="s">
        <v>5148</v>
      </c>
    </row>
    <row r="4438" customFormat="false" ht="15" hidden="false" customHeight="false" outlineLevel="0" collapsed="false">
      <c r="A4438" s="6" t="s">
        <v>9661</v>
      </c>
      <c r="B4438" s="6" t="s">
        <v>1531</v>
      </c>
      <c r="C4438" s="26" t="n">
        <v>46169</v>
      </c>
      <c r="D4438" s="6" t="s">
        <v>5137</v>
      </c>
      <c r="E4438" s="6" t="s">
        <v>21</v>
      </c>
      <c r="F4438" s="6" t="n">
        <v>1</v>
      </c>
      <c r="G4438" s="10" t="n">
        <v>1768</v>
      </c>
      <c r="H4438" s="10" t="n">
        <f aca="false">F4438*G4438</f>
        <v>1768</v>
      </c>
      <c r="I4438" s="6" t="s">
        <v>5125</v>
      </c>
    </row>
    <row r="4439" customFormat="false" ht="15" hidden="false" customHeight="false" outlineLevel="0" collapsed="false">
      <c r="A4439" s="6" t="s">
        <v>9662</v>
      </c>
      <c r="B4439" s="6" t="s">
        <v>2531</v>
      </c>
      <c r="C4439" s="26" t="n">
        <v>46169</v>
      </c>
      <c r="D4439" s="6" t="s">
        <v>5129</v>
      </c>
      <c r="E4439" s="6" t="s">
        <v>21</v>
      </c>
      <c r="F4439" s="6" t="n">
        <v>1</v>
      </c>
      <c r="G4439" s="10" t="n">
        <v>530</v>
      </c>
      <c r="H4439" s="10" t="n">
        <f aca="false">F4439*G4439</f>
        <v>530</v>
      </c>
      <c r="I4439" s="6" t="s">
        <v>5148</v>
      </c>
    </row>
    <row r="4440" customFormat="false" ht="15" hidden="false" customHeight="false" outlineLevel="0" collapsed="false">
      <c r="A4440" s="6" t="s">
        <v>9663</v>
      </c>
      <c r="B4440" s="6" t="s">
        <v>2597</v>
      </c>
      <c r="C4440" s="26" t="n">
        <v>46169</v>
      </c>
      <c r="D4440" s="6" t="s">
        <v>5214</v>
      </c>
      <c r="E4440" s="6" t="s">
        <v>20</v>
      </c>
      <c r="F4440" s="6" t="n">
        <v>1</v>
      </c>
      <c r="G4440" s="10" t="n">
        <v>2039</v>
      </c>
      <c r="H4440" s="10" t="n">
        <f aca="false">F4440*G4440</f>
        <v>2039</v>
      </c>
      <c r="I4440" s="6" t="s">
        <v>5122</v>
      </c>
    </row>
    <row r="4441" customFormat="false" ht="15" hidden="false" customHeight="false" outlineLevel="0" collapsed="false">
      <c r="A4441" s="6" t="s">
        <v>9664</v>
      </c>
      <c r="B4441" s="6" t="s">
        <v>2109</v>
      </c>
      <c r="C4441" s="26" t="n">
        <v>46169</v>
      </c>
      <c r="D4441" s="6" t="s">
        <v>5135</v>
      </c>
      <c r="E4441" s="6" t="s">
        <v>23</v>
      </c>
      <c r="F4441" s="6" t="n">
        <v>2</v>
      </c>
      <c r="G4441" s="10" t="n">
        <v>441</v>
      </c>
      <c r="H4441" s="10" t="n">
        <f aca="false">F4441*G4441</f>
        <v>882</v>
      </c>
      <c r="I4441" s="6" t="s">
        <v>5148</v>
      </c>
    </row>
    <row r="4442" customFormat="false" ht="15" hidden="false" customHeight="false" outlineLevel="0" collapsed="false">
      <c r="A4442" s="6" t="s">
        <v>9665</v>
      </c>
      <c r="B4442" s="6" t="s">
        <v>1753</v>
      </c>
      <c r="C4442" s="26" t="n">
        <v>46169</v>
      </c>
      <c r="D4442" s="6" t="s">
        <v>5167</v>
      </c>
      <c r="E4442" s="6" t="s">
        <v>22</v>
      </c>
      <c r="F4442" s="6" t="n">
        <v>3</v>
      </c>
      <c r="G4442" s="10" t="n">
        <v>782</v>
      </c>
      <c r="H4442" s="10" t="n">
        <f aca="false">F4442*G4442</f>
        <v>2346</v>
      </c>
      <c r="I4442" s="6" t="s">
        <v>5148</v>
      </c>
    </row>
    <row r="4443" customFormat="false" ht="15" hidden="false" customHeight="false" outlineLevel="0" collapsed="false">
      <c r="A4443" s="6" t="s">
        <v>9666</v>
      </c>
      <c r="B4443" s="6" t="s">
        <v>4347</v>
      </c>
      <c r="C4443" s="26" t="n">
        <v>46169</v>
      </c>
      <c r="D4443" s="6" t="s">
        <v>5269</v>
      </c>
      <c r="E4443" s="6" t="s">
        <v>22</v>
      </c>
      <c r="F4443" s="6" t="n">
        <v>1</v>
      </c>
      <c r="G4443" s="10" t="n">
        <v>1271</v>
      </c>
      <c r="H4443" s="10" t="n">
        <f aca="false">F4443*G4443</f>
        <v>1271</v>
      </c>
      <c r="I4443" s="6" t="s">
        <v>5122</v>
      </c>
    </row>
    <row r="4444" customFormat="false" ht="15" hidden="false" customHeight="false" outlineLevel="0" collapsed="false">
      <c r="A4444" s="6" t="s">
        <v>9667</v>
      </c>
      <c r="B4444" s="6" t="s">
        <v>4061</v>
      </c>
      <c r="C4444" s="26" t="n">
        <v>46169</v>
      </c>
      <c r="D4444" s="6" t="s">
        <v>5165</v>
      </c>
      <c r="E4444" s="6" t="s">
        <v>22</v>
      </c>
      <c r="F4444" s="6" t="n">
        <v>1</v>
      </c>
      <c r="G4444" s="10" t="n">
        <v>977</v>
      </c>
      <c r="H4444" s="10" t="n">
        <f aca="false">F4444*G4444</f>
        <v>977</v>
      </c>
      <c r="I4444" s="6" t="s">
        <v>5173</v>
      </c>
    </row>
    <row r="4445" customFormat="false" ht="15" hidden="false" customHeight="false" outlineLevel="0" collapsed="false">
      <c r="A4445" s="6" t="s">
        <v>9668</v>
      </c>
      <c r="B4445" s="6" t="s">
        <v>2895</v>
      </c>
      <c r="C4445" s="26" t="n">
        <v>46169</v>
      </c>
      <c r="D4445" s="6" t="s">
        <v>5339</v>
      </c>
      <c r="E4445" s="6" t="s">
        <v>24</v>
      </c>
      <c r="F4445" s="6" t="n">
        <v>1</v>
      </c>
      <c r="G4445" s="10" t="n">
        <v>508</v>
      </c>
      <c r="H4445" s="10" t="n">
        <f aca="false">F4445*G4445</f>
        <v>508</v>
      </c>
      <c r="I4445" s="6" t="s">
        <v>5125</v>
      </c>
    </row>
    <row r="4446" customFormat="false" ht="15" hidden="false" customHeight="false" outlineLevel="0" collapsed="false">
      <c r="A4446" s="6" t="s">
        <v>9669</v>
      </c>
      <c r="B4446" s="6" t="s">
        <v>1895</v>
      </c>
      <c r="C4446" s="26" t="n">
        <v>46169</v>
      </c>
      <c r="D4446" s="6" t="s">
        <v>5192</v>
      </c>
      <c r="E4446" s="6" t="s">
        <v>20</v>
      </c>
      <c r="F4446" s="6" t="n">
        <v>1</v>
      </c>
      <c r="G4446" s="10" t="n">
        <v>4078</v>
      </c>
      <c r="H4446" s="10" t="n">
        <f aca="false">F4446*G4446</f>
        <v>4078</v>
      </c>
      <c r="I4446" s="6" t="s">
        <v>5130</v>
      </c>
    </row>
    <row r="4447" customFormat="false" ht="15" hidden="false" customHeight="false" outlineLevel="0" collapsed="false">
      <c r="A4447" s="6" t="s">
        <v>9670</v>
      </c>
      <c r="B4447" s="6" t="s">
        <v>3449</v>
      </c>
      <c r="C4447" s="26" t="n">
        <v>46169</v>
      </c>
      <c r="D4447" s="6" t="s">
        <v>5121</v>
      </c>
      <c r="E4447" s="6" t="s">
        <v>22</v>
      </c>
      <c r="F4447" s="6" t="n">
        <v>3</v>
      </c>
      <c r="G4447" s="10" t="n">
        <v>977</v>
      </c>
      <c r="H4447" s="10" t="n">
        <f aca="false">F4447*G4447</f>
        <v>2931</v>
      </c>
      <c r="I4447" s="6" t="s">
        <v>5148</v>
      </c>
    </row>
    <row r="4448" customFormat="false" ht="15" hidden="false" customHeight="false" outlineLevel="0" collapsed="false">
      <c r="A4448" s="6" t="s">
        <v>9671</v>
      </c>
      <c r="B4448" s="6" t="s">
        <v>2975</v>
      </c>
      <c r="C4448" s="26" t="n">
        <v>46169</v>
      </c>
      <c r="D4448" s="6" t="s">
        <v>5167</v>
      </c>
      <c r="E4448" s="6" t="s">
        <v>22</v>
      </c>
      <c r="F4448" s="6" t="n">
        <v>3</v>
      </c>
      <c r="G4448" s="10" t="n">
        <v>782</v>
      </c>
      <c r="H4448" s="10" t="n">
        <f aca="false">F4448*G4448</f>
        <v>2346</v>
      </c>
      <c r="I4448" s="6" t="s">
        <v>5122</v>
      </c>
    </row>
    <row r="4449" customFormat="false" ht="15" hidden="false" customHeight="false" outlineLevel="0" collapsed="false">
      <c r="A4449" s="6" t="s">
        <v>9672</v>
      </c>
      <c r="B4449" s="6" t="s">
        <v>977</v>
      </c>
      <c r="C4449" s="26" t="n">
        <v>46169</v>
      </c>
      <c r="D4449" s="6" t="s">
        <v>5197</v>
      </c>
      <c r="E4449" s="6" t="s">
        <v>21</v>
      </c>
      <c r="F4449" s="6" t="n">
        <v>1</v>
      </c>
      <c r="G4449" s="10" t="n">
        <v>1080</v>
      </c>
      <c r="H4449" s="10" t="n">
        <f aca="false">F4449*G4449</f>
        <v>1080</v>
      </c>
      <c r="I4449" s="6" t="s">
        <v>5122</v>
      </c>
    </row>
    <row r="4450" customFormat="false" ht="15" hidden="false" customHeight="false" outlineLevel="0" collapsed="false">
      <c r="A4450" s="6" t="s">
        <v>9673</v>
      </c>
      <c r="B4450" s="6" t="s">
        <v>3025</v>
      </c>
      <c r="C4450" s="26" t="n">
        <v>46169</v>
      </c>
      <c r="D4450" s="6" t="s">
        <v>5175</v>
      </c>
      <c r="E4450" s="6" t="s">
        <v>24</v>
      </c>
      <c r="F4450" s="6" t="n">
        <v>3</v>
      </c>
      <c r="G4450" s="10" t="n">
        <v>549</v>
      </c>
      <c r="H4450" s="10" t="n">
        <f aca="false">F4450*G4450</f>
        <v>1647</v>
      </c>
      <c r="I4450" s="6" t="s">
        <v>5122</v>
      </c>
    </row>
    <row r="4451" customFormat="false" ht="15" hidden="false" customHeight="false" outlineLevel="0" collapsed="false">
      <c r="A4451" s="6" t="s">
        <v>9674</v>
      </c>
      <c r="B4451" s="6" t="s">
        <v>2171</v>
      </c>
      <c r="C4451" s="26" t="n">
        <v>46169</v>
      </c>
      <c r="D4451" s="6" t="s">
        <v>5150</v>
      </c>
      <c r="E4451" s="6" t="s">
        <v>24</v>
      </c>
      <c r="F4451" s="6" t="n">
        <v>2</v>
      </c>
      <c r="G4451" s="10" t="n">
        <v>508</v>
      </c>
      <c r="H4451" s="10" t="n">
        <f aca="false">F4451*G4451</f>
        <v>1016</v>
      </c>
      <c r="I4451" s="6" t="s">
        <v>5133</v>
      </c>
    </row>
    <row r="4452" customFormat="false" ht="15" hidden="false" customHeight="false" outlineLevel="0" collapsed="false">
      <c r="A4452" s="6" t="s">
        <v>9675</v>
      </c>
      <c r="B4452" s="6" t="s">
        <v>1039</v>
      </c>
      <c r="C4452" s="26" t="n">
        <v>46169</v>
      </c>
      <c r="D4452" s="6" t="s">
        <v>5167</v>
      </c>
      <c r="E4452" s="6" t="s">
        <v>22</v>
      </c>
      <c r="F4452" s="6" t="n">
        <v>2</v>
      </c>
      <c r="G4452" s="10" t="n">
        <v>743</v>
      </c>
      <c r="H4452" s="10" t="n">
        <f aca="false">F4452*G4452</f>
        <v>1486</v>
      </c>
      <c r="I4452" s="6" t="s">
        <v>5133</v>
      </c>
    </row>
    <row r="4453" customFormat="false" ht="15" hidden="false" customHeight="false" outlineLevel="0" collapsed="false">
      <c r="A4453" s="6" t="s">
        <v>9676</v>
      </c>
      <c r="B4453" s="6" t="s">
        <v>1537</v>
      </c>
      <c r="C4453" s="26" t="n">
        <v>46169</v>
      </c>
      <c r="D4453" s="6" t="s">
        <v>5353</v>
      </c>
      <c r="E4453" s="6" t="s">
        <v>24</v>
      </c>
      <c r="F4453" s="6" t="n">
        <v>1</v>
      </c>
      <c r="G4453" s="10" t="n">
        <v>1629</v>
      </c>
      <c r="H4453" s="10" t="n">
        <f aca="false">F4453*G4453</f>
        <v>1629</v>
      </c>
      <c r="I4453" s="6" t="s">
        <v>5133</v>
      </c>
    </row>
    <row r="4454" customFormat="false" ht="15" hidden="false" customHeight="false" outlineLevel="0" collapsed="false">
      <c r="A4454" s="6" t="s">
        <v>9677</v>
      </c>
      <c r="B4454" s="6" t="s">
        <v>2123</v>
      </c>
      <c r="C4454" s="26" t="n">
        <v>46169</v>
      </c>
      <c r="D4454" s="6" t="s">
        <v>5345</v>
      </c>
      <c r="E4454" s="6" t="s">
        <v>23</v>
      </c>
      <c r="F4454" s="6" t="n">
        <v>2</v>
      </c>
      <c r="G4454" s="10" t="n">
        <v>436</v>
      </c>
      <c r="H4454" s="10" t="n">
        <f aca="false">F4454*G4454</f>
        <v>872</v>
      </c>
      <c r="I4454" s="6" t="s">
        <v>5125</v>
      </c>
    </row>
    <row r="4455" customFormat="false" ht="15" hidden="false" customHeight="false" outlineLevel="0" collapsed="false">
      <c r="A4455" s="6" t="s">
        <v>9678</v>
      </c>
      <c r="B4455" s="6" t="s">
        <v>1805</v>
      </c>
      <c r="C4455" s="26" t="n">
        <v>46169</v>
      </c>
      <c r="D4455" s="6" t="s">
        <v>5163</v>
      </c>
      <c r="E4455" s="6" t="s">
        <v>23</v>
      </c>
      <c r="F4455" s="6" t="n">
        <v>1</v>
      </c>
      <c r="G4455" s="10" t="n">
        <v>783</v>
      </c>
      <c r="H4455" s="10" t="n">
        <f aca="false">F4455*G4455</f>
        <v>783</v>
      </c>
      <c r="I4455" s="6" t="s">
        <v>5130</v>
      </c>
    </row>
    <row r="4456" customFormat="false" ht="15" hidden="false" customHeight="false" outlineLevel="0" collapsed="false">
      <c r="A4456" s="6" t="s">
        <v>9679</v>
      </c>
      <c r="B4456" s="6" t="s">
        <v>4217</v>
      </c>
      <c r="C4456" s="26" t="n">
        <v>46169</v>
      </c>
      <c r="D4456" s="6" t="s">
        <v>5237</v>
      </c>
      <c r="E4456" s="6" t="s">
        <v>24</v>
      </c>
      <c r="F4456" s="6" t="n">
        <v>1</v>
      </c>
      <c r="G4456" s="10" t="n">
        <v>1833</v>
      </c>
      <c r="H4456" s="10" t="n">
        <f aca="false">F4456*G4456</f>
        <v>1833</v>
      </c>
      <c r="I4456" s="6" t="s">
        <v>5130</v>
      </c>
    </row>
    <row r="4457" customFormat="false" ht="15" hidden="false" customHeight="false" outlineLevel="0" collapsed="false">
      <c r="A4457" s="6" t="s">
        <v>9680</v>
      </c>
      <c r="B4457" s="6" t="s">
        <v>2453</v>
      </c>
      <c r="C4457" s="26" t="n">
        <v>46169</v>
      </c>
      <c r="D4457" s="6" t="s">
        <v>5167</v>
      </c>
      <c r="E4457" s="6" t="s">
        <v>22</v>
      </c>
      <c r="F4457" s="6" t="n">
        <v>1</v>
      </c>
      <c r="G4457" s="10" t="n">
        <v>782</v>
      </c>
      <c r="H4457" s="10" t="n">
        <f aca="false">F4457*G4457</f>
        <v>782</v>
      </c>
      <c r="I4457" s="6" t="s">
        <v>5125</v>
      </c>
    </row>
    <row r="4458" customFormat="false" ht="15" hidden="false" customHeight="false" outlineLevel="0" collapsed="false">
      <c r="A4458" s="6" t="s">
        <v>9681</v>
      </c>
      <c r="B4458" s="6" t="s">
        <v>2767</v>
      </c>
      <c r="C4458" s="26" t="n">
        <v>46169</v>
      </c>
      <c r="D4458" s="6" t="s">
        <v>5160</v>
      </c>
      <c r="E4458" s="6" t="s">
        <v>21</v>
      </c>
      <c r="F4458" s="6" t="n">
        <v>1</v>
      </c>
      <c r="G4458" s="10" t="n">
        <v>2751</v>
      </c>
      <c r="H4458" s="10" t="n">
        <f aca="false">F4458*G4458</f>
        <v>2751</v>
      </c>
      <c r="I4458" s="6" t="s">
        <v>5122</v>
      </c>
    </row>
    <row r="4459" customFormat="false" ht="15" hidden="false" customHeight="false" outlineLevel="0" collapsed="false">
      <c r="A4459" s="6" t="s">
        <v>9682</v>
      </c>
      <c r="B4459" s="6" t="s">
        <v>1673</v>
      </c>
      <c r="C4459" s="26" t="n">
        <v>46170</v>
      </c>
      <c r="D4459" s="6" t="s">
        <v>5466</v>
      </c>
      <c r="E4459" s="6" t="s">
        <v>21</v>
      </c>
      <c r="F4459" s="6" t="n">
        <v>1</v>
      </c>
      <c r="G4459" s="10" t="n">
        <v>1867</v>
      </c>
      <c r="H4459" s="10" t="n">
        <f aca="false">F4459*G4459</f>
        <v>1867</v>
      </c>
      <c r="I4459" s="6" t="s">
        <v>5122</v>
      </c>
    </row>
    <row r="4460" customFormat="false" ht="15" hidden="false" customHeight="false" outlineLevel="0" collapsed="false">
      <c r="A4460" s="6" t="s">
        <v>9683</v>
      </c>
      <c r="B4460" s="6" t="s">
        <v>4815</v>
      </c>
      <c r="C4460" s="26" t="n">
        <v>46170</v>
      </c>
      <c r="D4460" s="6" t="s">
        <v>5345</v>
      </c>
      <c r="E4460" s="6" t="s">
        <v>23</v>
      </c>
      <c r="F4460" s="6" t="n">
        <v>4</v>
      </c>
      <c r="G4460" s="10" t="n">
        <v>436</v>
      </c>
      <c r="H4460" s="10" t="n">
        <f aca="false">F4460*G4460</f>
        <v>1744</v>
      </c>
      <c r="I4460" s="6" t="s">
        <v>5122</v>
      </c>
    </row>
    <row r="4461" customFormat="false" ht="15" hidden="false" customHeight="false" outlineLevel="0" collapsed="false">
      <c r="A4461" s="6" t="s">
        <v>9684</v>
      </c>
      <c r="B4461" s="6" t="s">
        <v>4045</v>
      </c>
      <c r="C4461" s="26" t="n">
        <v>46170</v>
      </c>
      <c r="D4461" s="6" t="s">
        <v>5171</v>
      </c>
      <c r="E4461" s="6" t="s">
        <v>23</v>
      </c>
      <c r="F4461" s="6" t="n">
        <v>1</v>
      </c>
      <c r="G4461" s="10" t="n">
        <v>696</v>
      </c>
      <c r="H4461" s="10" t="n">
        <f aca="false">F4461*G4461</f>
        <v>696</v>
      </c>
      <c r="I4461" s="6" t="s">
        <v>5125</v>
      </c>
    </row>
    <row r="4462" customFormat="false" ht="15" hidden="false" customHeight="false" outlineLevel="0" collapsed="false">
      <c r="A4462" s="6" t="s">
        <v>9685</v>
      </c>
      <c r="B4462" s="6" t="s">
        <v>4221</v>
      </c>
      <c r="C4462" s="26" t="n">
        <v>46170</v>
      </c>
      <c r="D4462" s="6" t="s">
        <v>5188</v>
      </c>
      <c r="E4462" s="6" t="s">
        <v>24</v>
      </c>
      <c r="F4462" s="6" t="n">
        <v>1</v>
      </c>
      <c r="G4462" s="10" t="n">
        <v>1018</v>
      </c>
      <c r="H4462" s="10" t="n">
        <f aca="false">F4462*G4462</f>
        <v>1018</v>
      </c>
      <c r="I4462" s="6" t="s">
        <v>5130</v>
      </c>
    </row>
    <row r="4463" customFormat="false" ht="15" hidden="false" customHeight="false" outlineLevel="0" collapsed="false">
      <c r="A4463" s="6" t="s">
        <v>9686</v>
      </c>
      <c r="B4463" s="6" t="s">
        <v>495</v>
      </c>
      <c r="C4463" s="26" t="n">
        <v>46170</v>
      </c>
      <c r="D4463" s="6" t="s">
        <v>5305</v>
      </c>
      <c r="E4463" s="6" t="s">
        <v>20</v>
      </c>
      <c r="F4463" s="6" t="n">
        <v>1</v>
      </c>
      <c r="G4463" s="10" t="n">
        <v>1630</v>
      </c>
      <c r="H4463" s="10" t="n">
        <f aca="false">F4463*G4463</f>
        <v>1630</v>
      </c>
      <c r="I4463" s="6" t="s">
        <v>5148</v>
      </c>
    </row>
    <row r="4464" customFormat="false" ht="15" hidden="false" customHeight="false" outlineLevel="0" collapsed="false">
      <c r="A4464" s="6" t="s">
        <v>9687</v>
      </c>
      <c r="B4464" s="6" t="s">
        <v>2663</v>
      </c>
      <c r="C4464" s="26" t="n">
        <v>46170</v>
      </c>
      <c r="D4464" s="6" t="s">
        <v>5167</v>
      </c>
      <c r="E4464" s="6" t="s">
        <v>22</v>
      </c>
      <c r="F4464" s="6" t="n">
        <v>2</v>
      </c>
      <c r="G4464" s="10" t="n">
        <v>782</v>
      </c>
      <c r="H4464" s="10" t="n">
        <f aca="false">F4464*G4464</f>
        <v>1564</v>
      </c>
      <c r="I4464" s="6" t="s">
        <v>5130</v>
      </c>
    </row>
    <row r="4465" customFormat="false" ht="15" hidden="false" customHeight="false" outlineLevel="0" collapsed="false">
      <c r="A4465" s="6" t="s">
        <v>9688</v>
      </c>
      <c r="B4465" s="6" t="s">
        <v>156</v>
      </c>
      <c r="C4465" s="26" t="n">
        <v>46170</v>
      </c>
      <c r="D4465" s="6" t="s">
        <v>5167</v>
      </c>
      <c r="E4465" s="6" t="s">
        <v>22</v>
      </c>
      <c r="F4465" s="6" t="n">
        <v>1</v>
      </c>
      <c r="G4465" s="10" t="n">
        <v>782</v>
      </c>
      <c r="H4465" s="10" t="n">
        <f aca="false">F4465*G4465</f>
        <v>782</v>
      </c>
      <c r="I4465" s="6" t="s">
        <v>5148</v>
      </c>
    </row>
    <row r="4466" customFormat="false" ht="15" hidden="false" customHeight="false" outlineLevel="0" collapsed="false">
      <c r="A4466" s="6" t="s">
        <v>9689</v>
      </c>
      <c r="B4466" s="6" t="s">
        <v>2315</v>
      </c>
      <c r="C4466" s="26" t="n">
        <v>46170</v>
      </c>
      <c r="D4466" s="6" t="s">
        <v>5121</v>
      </c>
      <c r="E4466" s="6" t="s">
        <v>22</v>
      </c>
      <c r="F4466" s="6" t="n">
        <v>1</v>
      </c>
      <c r="G4466" s="10" t="n">
        <v>977</v>
      </c>
      <c r="H4466" s="10" t="n">
        <f aca="false">F4466*G4466</f>
        <v>977</v>
      </c>
      <c r="I4466" s="6" t="s">
        <v>5173</v>
      </c>
    </row>
    <row r="4467" customFormat="false" ht="15" hidden="false" customHeight="false" outlineLevel="0" collapsed="false">
      <c r="A4467" s="6" t="s">
        <v>9690</v>
      </c>
      <c r="B4467" s="6" t="s">
        <v>354</v>
      </c>
      <c r="C4467" s="26" t="n">
        <v>46170</v>
      </c>
      <c r="D4467" s="6" t="s">
        <v>5167</v>
      </c>
      <c r="E4467" s="6" t="s">
        <v>22</v>
      </c>
      <c r="F4467" s="6" t="n">
        <v>2</v>
      </c>
      <c r="G4467" s="10" t="n">
        <v>782</v>
      </c>
      <c r="H4467" s="10" t="n">
        <f aca="false">F4467*G4467</f>
        <v>1564</v>
      </c>
      <c r="I4467" s="6" t="s">
        <v>5122</v>
      </c>
    </row>
    <row r="4468" customFormat="false" ht="15" hidden="false" customHeight="false" outlineLevel="0" collapsed="false">
      <c r="A4468" s="6" t="s">
        <v>9691</v>
      </c>
      <c r="B4468" s="6" t="s">
        <v>3393</v>
      </c>
      <c r="C4468" s="26" t="n">
        <v>46170</v>
      </c>
      <c r="D4468" s="6" t="s">
        <v>5216</v>
      </c>
      <c r="E4468" s="6" t="s">
        <v>23</v>
      </c>
      <c r="F4468" s="6" t="n">
        <v>1</v>
      </c>
      <c r="G4468" s="10" t="n">
        <v>558</v>
      </c>
      <c r="H4468" s="10" t="n">
        <f aca="false">F4468*G4468</f>
        <v>558</v>
      </c>
      <c r="I4468" s="6" t="s">
        <v>5125</v>
      </c>
    </row>
    <row r="4469" customFormat="false" ht="15" hidden="false" customHeight="false" outlineLevel="0" collapsed="false">
      <c r="A4469" s="6" t="s">
        <v>9692</v>
      </c>
      <c r="B4469" s="6" t="s">
        <v>4537</v>
      </c>
      <c r="C4469" s="26" t="n">
        <v>46170</v>
      </c>
      <c r="D4469" s="6" t="s">
        <v>5214</v>
      </c>
      <c r="E4469" s="6" t="s">
        <v>20</v>
      </c>
      <c r="F4469" s="6" t="n">
        <v>1</v>
      </c>
      <c r="G4469" s="10" t="n">
        <v>2039</v>
      </c>
      <c r="H4469" s="10" t="n">
        <f aca="false">F4469*G4469</f>
        <v>2039</v>
      </c>
      <c r="I4469" s="6" t="s">
        <v>5130</v>
      </c>
    </row>
    <row r="4470" customFormat="false" ht="15" hidden="false" customHeight="false" outlineLevel="0" collapsed="false">
      <c r="A4470" s="6" t="s">
        <v>9693</v>
      </c>
      <c r="B4470" s="6" t="s">
        <v>128</v>
      </c>
      <c r="C4470" s="26" t="n">
        <v>46170</v>
      </c>
      <c r="D4470" s="6" t="s">
        <v>5197</v>
      </c>
      <c r="E4470" s="6" t="s">
        <v>21</v>
      </c>
      <c r="F4470" s="6" t="n">
        <v>2</v>
      </c>
      <c r="G4470" s="10" t="n">
        <v>1080</v>
      </c>
      <c r="H4470" s="10" t="n">
        <f aca="false">F4470*G4470</f>
        <v>2160</v>
      </c>
      <c r="I4470" s="6" t="s">
        <v>5122</v>
      </c>
    </row>
    <row r="4471" customFormat="false" ht="15" hidden="false" customHeight="false" outlineLevel="0" collapsed="false">
      <c r="A4471" s="6" t="s">
        <v>9694</v>
      </c>
      <c r="B4471" s="6" t="s">
        <v>2251</v>
      </c>
      <c r="C4471" s="26" t="n">
        <v>46170</v>
      </c>
      <c r="D4471" s="6" t="s">
        <v>5163</v>
      </c>
      <c r="E4471" s="6" t="s">
        <v>23</v>
      </c>
      <c r="F4471" s="6" t="n">
        <v>3</v>
      </c>
      <c r="G4471" s="10" t="n">
        <v>705</v>
      </c>
      <c r="H4471" s="10" t="n">
        <f aca="false">F4471*G4471</f>
        <v>2115</v>
      </c>
      <c r="I4471" s="6" t="s">
        <v>5122</v>
      </c>
    </row>
    <row r="4472" customFormat="false" ht="15" hidden="false" customHeight="false" outlineLevel="0" collapsed="false">
      <c r="A4472" s="6" t="s">
        <v>9695</v>
      </c>
      <c r="B4472" s="6" t="s">
        <v>3389</v>
      </c>
      <c r="C4472" s="26" t="n">
        <v>46170</v>
      </c>
      <c r="D4472" s="6" t="s">
        <v>5383</v>
      </c>
      <c r="E4472" s="6" t="s">
        <v>20</v>
      </c>
      <c r="F4472" s="6" t="n">
        <v>1</v>
      </c>
      <c r="G4472" s="10" t="n">
        <v>1121</v>
      </c>
      <c r="H4472" s="10" t="n">
        <f aca="false">F4472*G4472</f>
        <v>1121</v>
      </c>
      <c r="I4472" s="6" t="s">
        <v>5122</v>
      </c>
    </row>
    <row r="4473" customFormat="false" ht="15" hidden="false" customHeight="false" outlineLevel="0" collapsed="false">
      <c r="A4473" s="6" t="s">
        <v>9696</v>
      </c>
      <c r="B4473" s="6" t="s">
        <v>2013</v>
      </c>
      <c r="C4473" s="26" t="n">
        <v>46170</v>
      </c>
      <c r="D4473" s="6" t="s">
        <v>5163</v>
      </c>
      <c r="E4473" s="6" t="s">
        <v>23</v>
      </c>
      <c r="F4473" s="6" t="n">
        <v>1</v>
      </c>
      <c r="G4473" s="10" t="n">
        <v>783</v>
      </c>
      <c r="H4473" s="10" t="n">
        <f aca="false">F4473*G4473</f>
        <v>783</v>
      </c>
      <c r="I4473" s="6" t="s">
        <v>5122</v>
      </c>
    </row>
    <row r="4474" customFormat="false" ht="15" hidden="false" customHeight="false" outlineLevel="0" collapsed="false">
      <c r="A4474" s="6" t="s">
        <v>9697</v>
      </c>
      <c r="B4474" s="6" t="s">
        <v>287</v>
      </c>
      <c r="C4474" s="26" t="n">
        <v>46170</v>
      </c>
      <c r="D4474" s="6" t="s">
        <v>5357</v>
      </c>
      <c r="E4474" s="6" t="s">
        <v>23</v>
      </c>
      <c r="F4474" s="6" t="n">
        <v>2</v>
      </c>
      <c r="G4474" s="10" t="n">
        <v>534</v>
      </c>
      <c r="H4474" s="10" t="n">
        <f aca="false">F4474*G4474</f>
        <v>1068</v>
      </c>
      <c r="I4474" s="6" t="s">
        <v>5122</v>
      </c>
    </row>
    <row r="4475" customFormat="false" ht="15" hidden="false" customHeight="false" outlineLevel="0" collapsed="false">
      <c r="A4475" s="6" t="s">
        <v>9698</v>
      </c>
      <c r="B4475" s="6" t="s">
        <v>4717</v>
      </c>
      <c r="C4475" s="26" t="n">
        <v>46170</v>
      </c>
      <c r="D4475" s="6" t="s">
        <v>5167</v>
      </c>
      <c r="E4475" s="6" t="s">
        <v>22</v>
      </c>
      <c r="F4475" s="6" t="n">
        <v>1</v>
      </c>
      <c r="G4475" s="10" t="n">
        <v>782</v>
      </c>
      <c r="H4475" s="10" t="n">
        <f aca="false">F4475*G4475</f>
        <v>782</v>
      </c>
      <c r="I4475" s="6" t="s">
        <v>5122</v>
      </c>
    </row>
    <row r="4476" customFormat="false" ht="15" hidden="false" customHeight="false" outlineLevel="0" collapsed="false">
      <c r="A4476" s="6" t="s">
        <v>9699</v>
      </c>
      <c r="B4476" s="6" t="s">
        <v>2085</v>
      </c>
      <c r="C4476" s="26" t="n">
        <v>46170</v>
      </c>
      <c r="D4476" s="6" t="s">
        <v>5488</v>
      </c>
      <c r="E4476" s="6" t="s">
        <v>24</v>
      </c>
      <c r="F4476" s="6" t="n">
        <v>1</v>
      </c>
      <c r="G4476" s="10" t="n">
        <v>866</v>
      </c>
      <c r="H4476" s="10" t="n">
        <f aca="false">F4476*G4476</f>
        <v>866</v>
      </c>
      <c r="I4476" s="6" t="s">
        <v>5122</v>
      </c>
    </row>
    <row r="4477" customFormat="false" ht="15" hidden="false" customHeight="false" outlineLevel="0" collapsed="false">
      <c r="A4477" s="6" t="s">
        <v>9700</v>
      </c>
      <c r="B4477" s="6" t="s">
        <v>969</v>
      </c>
      <c r="C4477" s="26" t="n">
        <v>46170</v>
      </c>
      <c r="D4477" s="6" t="s">
        <v>5141</v>
      </c>
      <c r="E4477" s="6" t="s">
        <v>20</v>
      </c>
      <c r="F4477" s="6" t="n">
        <v>1</v>
      </c>
      <c r="G4477" s="10" t="n">
        <v>1651</v>
      </c>
      <c r="H4477" s="10" t="n">
        <f aca="false">F4477*G4477</f>
        <v>1651</v>
      </c>
      <c r="I4477" s="6" t="s">
        <v>5122</v>
      </c>
    </row>
    <row r="4478" customFormat="false" ht="15" hidden="false" customHeight="false" outlineLevel="0" collapsed="false">
      <c r="A4478" s="6" t="s">
        <v>9701</v>
      </c>
      <c r="B4478" s="6" t="s">
        <v>785</v>
      </c>
      <c r="C4478" s="26" t="n">
        <v>46170</v>
      </c>
      <c r="D4478" s="6" t="s">
        <v>5318</v>
      </c>
      <c r="E4478" s="6" t="s">
        <v>20</v>
      </c>
      <c r="F4478" s="6" t="n">
        <v>1</v>
      </c>
      <c r="G4478" s="10" t="n">
        <v>1376</v>
      </c>
      <c r="H4478" s="10" t="n">
        <f aca="false">F4478*G4478</f>
        <v>1376</v>
      </c>
      <c r="I4478" s="6" t="s">
        <v>5122</v>
      </c>
    </row>
    <row r="4479" customFormat="false" ht="15" hidden="false" customHeight="false" outlineLevel="0" collapsed="false">
      <c r="A4479" s="6" t="s">
        <v>9702</v>
      </c>
      <c r="B4479" s="6" t="s">
        <v>1291</v>
      </c>
      <c r="C4479" s="26" t="n">
        <v>46170</v>
      </c>
      <c r="D4479" s="6" t="s">
        <v>5171</v>
      </c>
      <c r="E4479" s="6" t="s">
        <v>23</v>
      </c>
      <c r="F4479" s="6" t="n">
        <v>2</v>
      </c>
      <c r="G4479" s="10" t="n">
        <v>734</v>
      </c>
      <c r="H4479" s="10" t="n">
        <f aca="false">F4479*G4479</f>
        <v>1468</v>
      </c>
      <c r="I4479" s="6" t="s">
        <v>5122</v>
      </c>
    </row>
    <row r="4480" customFormat="false" ht="15" hidden="false" customHeight="false" outlineLevel="0" collapsed="false">
      <c r="A4480" s="6" t="s">
        <v>9703</v>
      </c>
      <c r="B4480" s="6" t="s">
        <v>2685</v>
      </c>
      <c r="C4480" s="26" t="n">
        <v>46170</v>
      </c>
      <c r="D4480" s="6" t="s">
        <v>5143</v>
      </c>
      <c r="E4480" s="6" t="s">
        <v>21</v>
      </c>
      <c r="F4480" s="6" t="n">
        <v>1</v>
      </c>
      <c r="G4480" s="10" t="n">
        <v>1180</v>
      </c>
      <c r="H4480" s="10" t="n">
        <f aca="false">F4480*G4480</f>
        <v>1180</v>
      </c>
      <c r="I4480" s="6" t="s">
        <v>5130</v>
      </c>
    </row>
    <row r="4481" customFormat="false" ht="15" hidden="false" customHeight="false" outlineLevel="0" collapsed="false">
      <c r="A4481" s="6" t="s">
        <v>9704</v>
      </c>
      <c r="B4481" s="6" t="s">
        <v>166</v>
      </c>
      <c r="C4481" s="26" t="n">
        <v>46170</v>
      </c>
      <c r="D4481" s="6" t="s">
        <v>5182</v>
      </c>
      <c r="E4481" s="6" t="s">
        <v>23</v>
      </c>
      <c r="F4481" s="6" t="n">
        <v>2</v>
      </c>
      <c r="G4481" s="10" t="n">
        <v>367</v>
      </c>
      <c r="H4481" s="10" t="n">
        <f aca="false">F4481*G4481</f>
        <v>734</v>
      </c>
      <c r="I4481" s="6" t="s">
        <v>5130</v>
      </c>
    </row>
    <row r="4482" customFormat="false" ht="15" hidden="false" customHeight="false" outlineLevel="0" collapsed="false">
      <c r="A4482" s="6" t="s">
        <v>9705</v>
      </c>
      <c r="B4482" s="6" t="s">
        <v>3757</v>
      </c>
      <c r="C4482" s="26" t="n">
        <v>46170</v>
      </c>
      <c r="D4482" s="6" t="s">
        <v>9706</v>
      </c>
      <c r="E4482" s="6" t="s">
        <v>22</v>
      </c>
      <c r="F4482" s="6" t="n">
        <v>1</v>
      </c>
      <c r="G4482" s="10" t="n">
        <v>3521</v>
      </c>
      <c r="H4482" s="10" t="n">
        <f aca="false">F4482*G4482</f>
        <v>3521</v>
      </c>
      <c r="I4482" s="6" t="s">
        <v>5125</v>
      </c>
    </row>
    <row r="4483" customFormat="false" ht="15" hidden="false" customHeight="false" outlineLevel="0" collapsed="false">
      <c r="A4483" s="6" t="s">
        <v>9707</v>
      </c>
      <c r="B4483" s="6" t="s">
        <v>1807</v>
      </c>
      <c r="C4483" s="26" t="n">
        <v>46170</v>
      </c>
      <c r="D4483" s="6" t="s">
        <v>5281</v>
      </c>
      <c r="E4483" s="6" t="s">
        <v>24</v>
      </c>
      <c r="F4483" s="6" t="n">
        <v>3</v>
      </c>
      <c r="G4483" s="10" t="n">
        <v>814</v>
      </c>
      <c r="H4483" s="10" t="n">
        <f aca="false">F4483*G4483</f>
        <v>2442</v>
      </c>
      <c r="I4483" s="6" t="s">
        <v>5122</v>
      </c>
    </row>
    <row r="4484" customFormat="false" ht="15" hidden="false" customHeight="false" outlineLevel="0" collapsed="false">
      <c r="A4484" s="6" t="s">
        <v>9708</v>
      </c>
      <c r="B4484" s="6" t="s">
        <v>1087</v>
      </c>
      <c r="C4484" s="26" t="n">
        <v>46170</v>
      </c>
      <c r="D4484" s="6" t="s">
        <v>5259</v>
      </c>
      <c r="E4484" s="6" t="s">
        <v>22</v>
      </c>
      <c r="F4484" s="6" t="n">
        <v>2</v>
      </c>
      <c r="G4484" s="10" t="n">
        <v>1564</v>
      </c>
      <c r="H4484" s="10" t="n">
        <f aca="false">F4484*G4484</f>
        <v>3128</v>
      </c>
      <c r="I4484" s="6" t="s">
        <v>5173</v>
      </c>
    </row>
    <row r="4485" customFormat="false" ht="15" hidden="false" customHeight="false" outlineLevel="0" collapsed="false">
      <c r="A4485" s="6" t="s">
        <v>9709</v>
      </c>
      <c r="B4485" s="6" t="s">
        <v>2963</v>
      </c>
      <c r="C4485" s="26" t="n">
        <v>46170</v>
      </c>
      <c r="D4485" s="6" t="s">
        <v>5749</v>
      </c>
      <c r="E4485" s="6" t="s">
        <v>20</v>
      </c>
      <c r="F4485" s="6" t="n">
        <v>1</v>
      </c>
      <c r="G4485" s="10" t="n">
        <v>774</v>
      </c>
      <c r="H4485" s="10" t="n">
        <f aca="false">F4485*G4485</f>
        <v>774</v>
      </c>
      <c r="I4485" s="6" t="s">
        <v>5148</v>
      </c>
    </row>
    <row r="4486" customFormat="false" ht="15" hidden="false" customHeight="false" outlineLevel="0" collapsed="false">
      <c r="A4486" s="6" t="s">
        <v>9710</v>
      </c>
      <c r="B4486" s="6" t="s">
        <v>202</v>
      </c>
      <c r="C4486" s="26" t="n">
        <v>46170</v>
      </c>
      <c r="D4486" s="6" t="s">
        <v>5167</v>
      </c>
      <c r="E4486" s="6" t="s">
        <v>22</v>
      </c>
      <c r="F4486" s="6" t="n">
        <v>2</v>
      </c>
      <c r="G4486" s="10" t="n">
        <v>782</v>
      </c>
      <c r="H4486" s="10" t="n">
        <f aca="false">F4486*G4486</f>
        <v>1564</v>
      </c>
      <c r="I4486" s="6" t="s">
        <v>5130</v>
      </c>
    </row>
    <row r="4487" customFormat="false" ht="15" hidden="false" customHeight="false" outlineLevel="0" collapsed="false">
      <c r="A4487" s="6" t="s">
        <v>9711</v>
      </c>
      <c r="B4487" s="6" t="s">
        <v>1917</v>
      </c>
      <c r="C4487" s="26" t="n">
        <v>46170</v>
      </c>
      <c r="D4487" s="6" t="s">
        <v>5214</v>
      </c>
      <c r="E4487" s="6" t="s">
        <v>20</v>
      </c>
      <c r="F4487" s="6" t="n">
        <v>1</v>
      </c>
      <c r="G4487" s="10" t="n">
        <v>2039</v>
      </c>
      <c r="H4487" s="10" t="n">
        <f aca="false">F4487*G4487</f>
        <v>2039</v>
      </c>
      <c r="I4487" s="6" t="s">
        <v>5122</v>
      </c>
    </row>
    <row r="4488" customFormat="false" ht="15" hidden="false" customHeight="false" outlineLevel="0" collapsed="false">
      <c r="A4488" s="6" t="s">
        <v>9712</v>
      </c>
      <c r="B4488" s="6" t="s">
        <v>1689</v>
      </c>
      <c r="C4488" s="26" t="n">
        <v>46170</v>
      </c>
      <c r="D4488" s="6" t="s">
        <v>5257</v>
      </c>
      <c r="E4488" s="6" t="s">
        <v>22</v>
      </c>
      <c r="F4488" s="6" t="n">
        <v>1</v>
      </c>
      <c r="G4488" s="10" t="n">
        <v>2137</v>
      </c>
      <c r="H4488" s="10" t="n">
        <f aca="false">F4488*G4488</f>
        <v>2137</v>
      </c>
      <c r="I4488" s="6" t="s">
        <v>5122</v>
      </c>
    </row>
    <row r="4489" customFormat="false" ht="15" hidden="false" customHeight="false" outlineLevel="0" collapsed="false">
      <c r="A4489" s="6" t="s">
        <v>9713</v>
      </c>
      <c r="B4489" s="6" t="s">
        <v>2273</v>
      </c>
      <c r="C4489" s="26" t="n">
        <v>46170</v>
      </c>
      <c r="D4489" s="6" t="s">
        <v>5216</v>
      </c>
      <c r="E4489" s="6" t="s">
        <v>23</v>
      </c>
      <c r="F4489" s="6" t="n">
        <v>4</v>
      </c>
      <c r="G4489" s="10" t="n">
        <v>528</v>
      </c>
      <c r="H4489" s="10" t="n">
        <f aca="false">F4489*G4489</f>
        <v>2112</v>
      </c>
      <c r="I4489" s="6" t="s">
        <v>5173</v>
      </c>
    </row>
    <row r="4490" customFormat="false" ht="15" hidden="false" customHeight="false" outlineLevel="0" collapsed="false">
      <c r="A4490" s="6" t="s">
        <v>9714</v>
      </c>
      <c r="B4490" s="6" t="s">
        <v>3975</v>
      </c>
      <c r="C4490" s="26" t="n">
        <v>46170</v>
      </c>
      <c r="D4490" s="6" t="s">
        <v>5167</v>
      </c>
      <c r="E4490" s="6" t="s">
        <v>22</v>
      </c>
      <c r="F4490" s="6" t="n">
        <v>2</v>
      </c>
      <c r="G4490" s="10" t="n">
        <v>743</v>
      </c>
      <c r="H4490" s="10" t="n">
        <f aca="false">F4490*G4490</f>
        <v>1486</v>
      </c>
      <c r="I4490" s="6" t="s">
        <v>5133</v>
      </c>
    </row>
    <row r="4491" customFormat="false" ht="15" hidden="false" customHeight="false" outlineLevel="0" collapsed="false">
      <c r="A4491" s="6" t="s">
        <v>9715</v>
      </c>
      <c r="B4491" s="6" t="s">
        <v>1169</v>
      </c>
      <c r="C4491" s="26" t="n">
        <v>46170</v>
      </c>
      <c r="D4491" s="6" t="s">
        <v>5220</v>
      </c>
      <c r="E4491" s="6" t="s">
        <v>24</v>
      </c>
      <c r="F4491" s="6" t="n">
        <v>1</v>
      </c>
      <c r="G4491" s="10" t="n">
        <v>1120</v>
      </c>
      <c r="H4491" s="10" t="n">
        <f aca="false">F4491*G4491</f>
        <v>1120</v>
      </c>
      <c r="I4491" s="6" t="s">
        <v>5122</v>
      </c>
    </row>
    <row r="4492" customFormat="false" ht="15" hidden="false" customHeight="false" outlineLevel="0" collapsed="false">
      <c r="A4492" s="6" t="s">
        <v>9716</v>
      </c>
      <c r="B4492" s="6" t="s">
        <v>1731</v>
      </c>
      <c r="C4492" s="26" t="n">
        <v>46170</v>
      </c>
      <c r="D4492" s="6" t="s">
        <v>5326</v>
      </c>
      <c r="E4492" s="6" t="s">
        <v>22</v>
      </c>
      <c r="F4492" s="6" t="n">
        <v>2</v>
      </c>
      <c r="G4492" s="10" t="n">
        <v>1393</v>
      </c>
      <c r="H4492" s="10" t="n">
        <f aca="false">F4492*G4492</f>
        <v>2786</v>
      </c>
      <c r="I4492" s="6" t="s">
        <v>5148</v>
      </c>
    </row>
    <row r="4493" customFormat="false" ht="15" hidden="false" customHeight="false" outlineLevel="0" collapsed="false">
      <c r="A4493" s="6" t="s">
        <v>9717</v>
      </c>
      <c r="B4493" s="6" t="s">
        <v>3675</v>
      </c>
      <c r="C4493" s="26" t="n">
        <v>46170</v>
      </c>
      <c r="D4493" s="6" t="s">
        <v>5207</v>
      </c>
      <c r="E4493" s="6" t="s">
        <v>20</v>
      </c>
      <c r="F4493" s="6" t="n">
        <v>1</v>
      </c>
      <c r="G4493" s="10" t="n">
        <v>1325</v>
      </c>
      <c r="H4493" s="10" t="n">
        <f aca="false">F4493*G4493</f>
        <v>1325</v>
      </c>
      <c r="I4493" s="6" t="s">
        <v>5122</v>
      </c>
    </row>
    <row r="4494" customFormat="false" ht="15" hidden="false" customHeight="false" outlineLevel="0" collapsed="false">
      <c r="A4494" s="6" t="s">
        <v>9718</v>
      </c>
      <c r="B4494" s="6" t="s">
        <v>190</v>
      </c>
      <c r="C4494" s="26" t="n">
        <v>46170</v>
      </c>
      <c r="D4494" s="6" t="s">
        <v>5242</v>
      </c>
      <c r="E4494" s="6" t="s">
        <v>23</v>
      </c>
      <c r="F4494" s="6" t="n">
        <v>5</v>
      </c>
      <c r="G4494" s="10" t="n">
        <v>354</v>
      </c>
      <c r="H4494" s="10" t="n">
        <f aca="false">F4494*G4494</f>
        <v>1770</v>
      </c>
      <c r="I4494" s="6" t="s">
        <v>5122</v>
      </c>
    </row>
    <row r="4495" customFormat="false" ht="15" hidden="false" customHeight="false" outlineLevel="0" collapsed="false">
      <c r="A4495" s="6" t="s">
        <v>9719</v>
      </c>
      <c r="B4495" s="6" t="s">
        <v>485</v>
      </c>
      <c r="C4495" s="26" t="n">
        <v>46170</v>
      </c>
      <c r="D4495" s="6" t="s">
        <v>5240</v>
      </c>
      <c r="E4495" s="6" t="s">
        <v>20</v>
      </c>
      <c r="F4495" s="6" t="n">
        <v>1</v>
      </c>
      <c r="G4495" s="10" t="n">
        <v>5098</v>
      </c>
      <c r="H4495" s="10" t="n">
        <f aca="false">F4495*G4495</f>
        <v>5098</v>
      </c>
      <c r="I4495" s="6" t="s">
        <v>5148</v>
      </c>
    </row>
    <row r="4496" customFormat="false" ht="15" hidden="false" customHeight="false" outlineLevel="0" collapsed="false">
      <c r="A4496" s="6" t="s">
        <v>9720</v>
      </c>
      <c r="B4496" s="6" t="s">
        <v>2559</v>
      </c>
      <c r="C4496" s="26" t="n">
        <v>46170</v>
      </c>
      <c r="D4496" s="6" t="s">
        <v>5683</v>
      </c>
      <c r="E4496" s="6" t="s">
        <v>22</v>
      </c>
      <c r="F4496" s="6" t="n">
        <v>2</v>
      </c>
      <c r="G4496" s="10" t="n">
        <v>1584</v>
      </c>
      <c r="H4496" s="10" t="n">
        <f aca="false">F4496*G4496</f>
        <v>3168</v>
      </c>
      <c r="I4496" s="6" t="s">
        <v>5125</v>
      </c>
    </row>
    <row r="4497" customFormat="false" ht="15" hidden="false" customHeight="false" outlineLevel="0" collapsed="false">
      <c r="A4497" s="6" t="s">
        <v>9721</v>
      </c>
      <c r="B4497" s="6" t="s">
        <v>2695</v>
      </c>
      <c r="C4497" s="26" t="n">
        <v>46171</v>
      </c>
      <c r="D4497" s="6" t="s">
        <v>5339</v>
      </c>
      <c r="E4497" s="6" t="s">
        <v>24</v>
      </c>
      <c r="F4497" s="6" t="n">
        <v>2</v>
      </c>
      <c r="G4497" s="10" t="n">
        <v>508</v>
      </c>
      <c r="H4497" s="10" t="n">
        <f aca="false">F4497*G4497</f>
        <v>1016</v>
      </c>
      <c r="I4497" s="6" t="s">
        <v>5125</v>
      </c>
    </row>
    <row r="4498" customFormat="false" ht="15" hidden="false" customHeight="false" outlineLevel="0" collapsed="false">
      <c r="A4498" s="6" t="s">
        <v>9722</v>
      </c>
      <c r="B4498" s="6" t="s">
        <v>3537</v>
      </c>
      <c r="C4498" s="26" t="n">
        <v>46171</v>
      </c>
      <c r="D4498" s="6" t="s">
        <v>5185</v>
      </c>
      <c r="E4498" s="6" t="s">
        <v>24</v>
      </c>
      <c r="F4498" s="6" t="n">
        <v>2</v>
      </c>
      <c r="G4498" s="10" t="n">
        <v>2140</v>
      </c>
      <c r="H4498" s="10" t="n">
        <f aca="false">F4498*G4498</f>
        <v>4280</v>
      </c>
      <c r="I4498" s="6" t="s">
        <v>5122</v>
      </c>
    </row>
    <row r="4499" customFormat="false" ht="15" hidden="false" customHeight="false" outlineLevel="0" collapsed="false">
      <c r="A4499" s="6" t="s">
        <v>9723</v>
      </c>
      <c r="B4499" s="6" t="s">
        <v>1711</v>
      </c>
      <c r="C4499" s="26" t="n">
        <v>46171</v>
      </c>
      <c r="D4499" s="6" t="s">
        <v>5188</v>
      </c>
      <c r="E4499" s="6" t="s">
        <v>24</v>
      </c>
      <c r="F4499" s="6" t="n">
        <v>4</v>
      </c>
      <c r="G4499" s="10" t="n">
        <v>1018</v>
      </c>
      <c r="H4499" s="10" t="n">
        <f aca="false">F4499*G4499</f>
        <v>4072</v>
      </c>
      <c r="I4499" s="6" t="s">
        <v>5148</v>
      </c>
    </row>
    <row r="4500" customFormat="false" ht="15" hidden="false" customHeight="false" outlineLevel="0" collapsed="false">
      <c r="A4500" s="6" t="s">
        <v>9724</v>
      </c>
      <c r="B4500" s="6" t="s">
        <v>1259</v>
      </c>
      <c r="C4500" s="26" t="n">
        <v>46171</v>
      </c>
      <c r="D4500" s="6" t="s">
        <v>5167</v>
      </c>
      <c r="E4500" s="6" t="s">
        <v>22</v>
      </c>
      <c r="F4500" s="6" t="n">
        <v>1</v>
      </c>
      <c r="G4500" s="10" t="n">
        <v>782</v>
      </c>
      <c r="H4500" s="10" t="n">
        <f aca="false">F4500*G4500</f>
        <v>782</v>
      </c>
      <c r="I4500" s="6" t="s">
        <v>5133</v>
      </c>
    </row>
    <row r="4501" customFormat="false" ht="15" hidden="false" customHeight="false" outlineLevel="0" collapsed="false">
      <c r="A4501" s="6" t="s">
        <v>9725</v>
      </c>
      <c r="B4501" s="6" t="s">
        <v>1841</v>
      </c>
      <c r="C4501" s="26" t="n">
        <v>46171</v>
      </c>
      <c r="D4501" s="6" t="s">
        <v>5200</v>
      </c>
      <c r="E4501" s="6" t="s">
        <v>24</v>
      </c>
      <c r="F4501" s="6" t="n">
        <v>3</v>
      </c>
      <c r="G4501" s="10" t="n">
        <v>763</v>
      </c>
      <c r="H4501" s="10" t="n">
        <f aca="false">F4501*G4501</f>
        <v>2289</v>
      </c>
      <c r="I4501" s="6" t="s">
        <v>5122</v>
      </c>
    </row>
    <row r="4502" customFormat="false" ht="15" hidden="false" customHeight="false" outlineLevel="0" collapsed="false">
      <c r="A4502" s="6" t="s">
        <v>9726</v>
      </c>
      <c r="B4502" s="6" t="s">
        <v>3741</v>
      </c>
      <c r="C4502" s="26" t="n">
        <v>46171</v>
      </c>
      <c r="D4502" s="6" t="s">
        <v>5240</v>
      </c>
      <c r="E4502" s="6" t="s">
        <v>20</v>
      </c>
      <c r="F4502" s="6" t="n">
        <v>1</v>
      </c>
      <c r="G4502" s="10" t="n">
        <v>4843</v>
      </c>
      <c r="H4502" s="10" t="n">
        <f aca="false">F4502*G4502</f>
        <v>4843</v>
      </c>
      <c r="I4502" s="6" t="s">
        <v>5122</v>
      </c>
    </row>
    <row r="4503" customFormat="false" ht="15" hidden="false" customHeight="false" outlineLevel="0" collapsed="false">
      <c r="A4503" s="6" t="s">
        <v>9727</v>
      </c>
      <c r="B4503" s="6" t="s">
        <v>1645</v>
      </c>
      <c r="C4503" s="26" t="n">
        <v>46171</v>
      </c>
      <c r="D4503" s="6" t="s">
        <v>5163</v>
      </c>
      <c r="E4503" s="6" t="s">
        <v>23</v>
      </c>
      <c r="F4503" s="6" t="n">
        <v>5</v>
      </c>
      <c r="G4503" s="10" t="n">
        <v>705</v>
      </c>
      <c r="H4503" s="10" t="n">
        <f aca="false">F4503*G4503</f>
        <v>3525</v>
      </c>
      <c r="I4503" s="6" t="s">
        <v>5122</v>
      </c>
    </row>
    <row r="4504" customFormat="false" ht="15" hidden="false" customHeight="false" outlineLevel="0" collapsed="false">
      <c r="A4504" s="6" t="s">
        <v>9728</v>
      </c>
      <c r="B4504" s="6" t="s">
        <v>1137</v>
      </c>
      <c r="C4504" s="26" t="n">
        <v>46171</v>
      </c>
      <c r="D4504" s="6" t="s">
        <v>5188</v>
      </c>
      <c r="E4504" s="6" t="s">
        <v>24</v>
      </c>
      <c r="F4504" s="6" t="n">
        <v>1</v>
      </c>
      <c r="G4504" s="10" t="n">
        <v>1018</v>
      </c>
      <c r="H4504" s="10" t="n">
        <f aca="false">F4504*G4504</f>
        <v>1018</v>
      </c>
      <c r="I4504" s="6" t="s">
        <v>5122</v>
      </c>
    </row>
    <row r="4505" customFormat="false" ht="15" hidden="false" customHeight="false" outlineLevel="0" collapsed="false">
      <c r="A4505" s="6" t="s">
        <v>9729</v>
      </c>
      <c r="B4505" s="6" t="s">
        <v>4881</v>
      </c>
      <c r="C4505" s="26" t="n">
        <v>46171</v>
      </c>
      <c r="D4505" s="6" t="s">
        <v>5121</v>
      </c>
      <c r="E4505" s="6" t="s">
        <v>22</v>
      </c>
      <c r="F4505" s="6" t="n">
        <v>1</v>
      </c>
      <c r="G4505" s="10" t="n">
        <v>928</v>
      </c>
      <c r="H4505" s="10" t="n">
        <f aca="false">F4505*G4505</f>
        <v>928</v>
      </c>
      <c r="I4505" s="6" t="s">
        <v>5122</v>
      </c>
    </row>
    <row r="4506" customFormat="false" ht="15" hidden="false" customHeight="false" outlineLevel="0" collapsed="false">
      <c r="A4506" s="6" t="s">
        <v>9730</v>
      </c>
      <c r="B4506" s="6" t="s">
        <v>2641</v>
      </c>
      <c r="C4506" s="26" t="n">
        <v>46171</v>
      </c>
      <c r="D4506" s="6" t="s">
        <v>5160</v>
      </c>
      <c r="E4506" s="6" t="s">
        <v>21</v>
      </c>
      <c r="F4506" s="6" t="n">
        <v>1</v>
      </c>
      <c r="G4506" s="10" t="n">
        <v>2614</v>
      </c>
      <c r="H4506" s="10" t="n">
        <f aca="false">F4506*G4506</f>
        <v>2614</v>
      </c>
      <c r="I4506" s="6" t="s">
        <v>5130</v>
      </c>
    </row>
    <row r="4507" customFormat="false" ht="15" hidden="false" customHeight="false" outlineLevel="0" collapsed="false">
      <c r="A4507" s="6" t="s">
        <v>9731</v>
      </c>
      <c r="B4507" s="6" t="s">
        <v>2807</v>
      </c>
      <c r="C4507" s="26" t="n">
        <v>46171</v>
      </c>
      <c r="D4507" s="6" t="s">
        <v>5167</v>
      </c>
      <c r="E4507" s="6" t="s">
        <v>22</v>
      </c>
      <c r="F4507" s="6" t="n">
        <v>3</v>
      </c>
      <c r="G4507" s="10" t="n">
        <v>782</v>
      </c>
      <c r="H4507" s="10" t="n">
        <f aca="false">F4507*G4507</f>
        <v>2346</v>
      </c>
      <c r="I4507" s="6" t="s">
        <v>5130</v>
      </c>
    </row>
    <row r="4508" customFormat="false" ht="15" hidden="false" customHeight="false" outlineLevel="0" collapsed="false">
      <c r="A4508" s="6" t="s">
        <v>9732</v>
      </c>
      <c r="B4508" s="6" t="s">
        <v>669</v>
      </c>
      <c r="C4508" s="26" t="n">
        <v>46171</v>
      </c>
      <c r="D4508" s="6" t="s">
        <v>5345</v>
      </c>
      <c r="E4508" s="6" t="s">
        <v>23</v>
      </c>
      <c r="F4508" s="6" t="n">
        <v>2</v>
      </c>
      <c r="G4508" s="10" t="n">
        <v>414</v>
      </c>
      <c r="H4508" s="10" t="n">
        <f aca="false">F4508*G4508</f>
        <v>828</v>
      </c>
      <c r="I4508" s="6" t="s">
        <v>5148</v>
      </c>
    </row>
    <row r="4509" customFormat="false" ht="15" hidden="false" customHeight="false" outlineLevel="0" collapsed="false">
      <c r="A4509" s="6" t="s">
        <v>9733</v>
      </c>
      <c r="B4509" s="6" t="s">
        <v>4037</v>
      </c>
      <c r="C4509" s="26" t="n">
        <v>46171</v>
      </c>
      <c r="D4509" s="6" t="s">
        <v>5259</v>
      </c>
      <c r="E4509" s="6" t="s">
        <v>22</v>
      </c>
      <c r="F4509" s="6" t="n">
        <v>1</v>
      </c>
      <c r="G4509" s="10" t="n">
        <v>1563</v>
      </c>
      <c r="H4509" s="10" t="n">
        <f aca="false">F4509*G4509</f>
        <v>1563</v>
      </c>
      <c r="I4509" s="6" t="s">
        <v>5148</v>
      </c>
    </row>
    <row r="4510" customFormat="false" ht="15" hidden="false" customHeight="false" outlineLevel="0" collapsed="false">
      <c r="A4510" s="6" t="s">
        <v>9734</v>
      </c>
      <c r="B4510" s="6" t="s">
        <v>326</v>
      </c>
      <c r="C4510" s="26" t="n">
        <v>46171</v>
      </c>
      <c r="D4510" s="6" t="s">
        <v>5165</v>
      </c>
      <c r="E4510" s="6" t="s">
        <v>22</v>
      </c>
      <c r="F4510" s="6" t="n">
        <v>1</v>
      </c>
      <c r="G4510" s="10" t="n">
        <v>977</v>
      </c>
      <c r="H4510" s="10" t="n">
        <f aca="false">F4510*G4510</f>
        <v>977</v>
      </c>
      <c r="I4510" s="6" t="s">
        <v>5173</v>
      </c>
    </row>
    <row r="4511" customFormat="false" ht="15" hidden="false" customHeight="false" outlineLevel="0" collapsed="false">
      <c r="A4511" s="6" t="s">
        <v>9735</v>
      </c>
      <c r="B4511" s="6" t="s">
        <v>1377</v>
      </c>
      <c r="C4511" s="26" t="n">
        <v>46171</v>
      </c>
      <c r="D4511" s="6" t="s">
        <v>5237</v>
      </c>
      <c r="E4511" s="6" t="s">
        <v>24</v>
      </c>
      <c r="F4511" s="6" t="n">
        <v>2</v>
      </c>
      <c r="G4511" s="10" t="n">
        <v>1650</v>
      </c>
      <c r="H4511" s="10" t="n">
        <f aca="false">F4511*G4511</f>
        <v>3300</v>
      </c>
      <c r="I4511" s="6" t="s">
        <v>5148</v>
      </c>
    </row>
    <row r="4512" customFormat="false" ht="15" hidden="false" customHeight="false" outlineLevel="0" collapsed="false">
      <c r="A4512" s="6" t="s">
        <v>9736</v>
      </c>
      <c r="B4512" s="6" t="s">
        <v>3133</v>
      </c>
      <c r="C4512" s="26" t="n">
        <v>46171</v>
      </c>
      <c r="D4512" s="6" t="s">
        <v>5687</v>
      </c>
      <c r="E4512" s="6" t="s">
        <v>20</v>
      </c>
      <c r="F4512" s="6" t="n">
        <v>1</v>
      </c>
      <c r="G4512" s="10" t="n">
        <v>1937</v>
      </c>
      <c r="H4512" s="10" t="n">
        <f aca="false">F4512*G4512</f>
        <v>1937</v>
      </c>
      <c r="I4512" s="6" t="s">
        <v>5122</v>
      </c>
    </row>
    <row r="4513" customFormat="false" ht="15" hidden="false" customHeight="false" outlineLevel="0" collapsed="false">
      <c r="A4513" s="6" t="s">
        <v>9737</v>
      </c>
      <c r="B4513" s="6" t="s">
        <v>4741</v>
      </c>
      <c r="C4513" s="26" t="n">
        <v>46171</v>
      </c>
      <c r="D4513" s="6" t="s">
        <v>5466</v>
      </c>
      <c r="E4513" s="6" t="s">
        <v>21</v>
      </c>
      <c r="F4513" s="6" t="n">
        <v>2</v>
      </c>
      <c r="G4513" s="10" t="n">
        <v>1965</v>
      </c>
      <c r="H4513" s="10" t="n">
        <f aca="false">F4513*G4513</f>
        <v>3930</v>
      </c>
      <c r="I4513" s="6" t="s">
        <v>5122</v>
      </c>
    </row>
    <row r="4514" customFormat="false" ht="15" hidden="false" customHeight="false" outlineLevel="0" collapsed="false">
      <c r="A4514" s="6" t="s">
        <v>9738</v>
      </c>
      <c r="B4514" s="6" t="s">
        <v>1679</v>
      </c>
      <c r="C4514" s="26" t="n">
        <v>46171</v>
      </c>
      <c r="D4514" s="6" t="s">
        <v>5190</v>
      </c>
      <c r="E4514" s="6" t="s">
        <v>24</v>
      </c>
      <c r="F4514" s="6" t="n">
        <v>3</v>
      </c>
      <c r="G4514" s="10" t="n">
        <v>549</v>
      </c>
      <c r="H4514" s="10" t="n">
        <f aca="false">F4514*G4514</f>
        <v>1647</v>
      </c>
      <c r="I4514" s="6" t="s">
        <v>5122</v>
      </c>
    </row>
    <row r="4515" customFormat="false" ht="15" hidden="false" customHeight="false" outlineLevel="0" collapsed="false">
      <c r="A4515" s="6" t="s">
        <v>9739</v>
      </c>
      <c r="B4515" s="6" t="s">
        <v>2143</v>
      </c>
      <c r="C4515" s="26" t="n">
        <v>46171</v>
      </c>
      <c r="D4515" s="6" t="s">
        <v>5167</v>
      </c>
      <c r="E4515" s="6" t="s">
        <v>22</v>
      </c>
      <c r="F4515" s="6" t="n">
        <v>1</v>
      </c>
      <c r="G4515" s="10" t="n">
        <v>703</v>
      </c>
      <c r="H4515" s="10" t="n">
        <f aca="false">F4515*G4515</f>
        <v>703</v>
      </c>
      <c r="I4515" s="6" t="s">
        <v>5130</v>
      </c>
    </row>
    <row r="4516" customFormat="false" ht="15" hidden="false" customHeight="false" outlineLevel="0" collapsed="false">
      <c r="A4516" s="6" t="s">
        <v>9740</v>
      </c>
      <c r="B4516" s="6" t="s">
        <v>931</v>
      </c>
      <c r="C4516" s="26" t="n">
        <v>46171</v>
      </c>
      <c r="D4516" s="6" t="s">
        <v>5318</v>
      </c>
      <c r="E4516" s="6" t="s">
        <v>20</v>
      </c>
      <c r="F4516" s="6" t="n">
        <v>2</v>
      </c>
      <c r="G4516" s="10" t="n">
        <v>1529</v>
      </c>
      <c r="H4516" s="10" t="n">
        <f aca="false">F4516*G4516</f>
        <v>3058</v>
      </c>
      <c r="I4516" s="6" t="s">
        <v>5125</v>
      </c>
    </row>
    <row r="4517" customFormat="false" ht="15" hidden="false" customHeight="false" outlineLevel="0" collapsed="false">
      <c r="A4517" s="6" t="s">
        <v>9741</v>
      </c>
      <c r="B4517" s="6" t="s">
        <v>831</v>
      </c>
      <c r="C4517" s="26" t="n">
        <v>46171</v>
      </c>
      <c r="D4517" s="6" t="s">
        <v>5154</v>
      </c>
      <c r="E4517" s="6" t="s">
        <v>21</v>
      </c>
      <c r="F4517" s="6" t="n">
        <v>1</v>
      </c>
      <c r="G4517" s="10" t="n">
        <v>785</v>
      </c>
      <c r="H4517" s="10" t="n">
        <f aca="false">F4517*G4517</f>
        <v>785</v>
      </c>
      <c r="I4517" s="6" t="s">
        <v>5122</v>
      </c>
    </row>
    <row r="4518" customFormat="false" ht="15" hidden="false" customHeight="false" outlineLevel="0" collapsed="false">
      <c r="A4518" s="6" t="s">
        <v>9742</v>
      </c>
      <c r="B4518" s="6" t="s">
        <v>4917</v>
      </c>
      <c r="C4518" s="26" t="n">
        <v>46171</v>
      </c>
      <c r="D4518" s="6" t="s">
        <v>5216</v>
      </c>
      <c r="E4518" s="6" t="s">
        <v>23</v>
      </c>
      <c r="F4518" s="6" t="n">
        <v>5</v>
      </c>
      <c r="G4518" s="10" t="n">
        <v>587</v>
      </c>
      <c r="H4518" s="10" t="n">
        <f aca="false">F4518*G4518</f>
        <v>2935</v>
      </c>
      <c r="I4518" s="6" t="s">
        <v>5122</v>
      </c>
    </row>
    <row r="4519" customFormat="false" ht="15" hidden="false" customHeight="false" outlineLevel="0" collapsed="false">
      <c r="A4519" s="6" t="s">
        <v>9743</v>
      </c>
      <c r="B4519" s="6" t="s">
        <v>4765</v>
      </c>
      <c r="C4519" s="26" t="n">
        <v>46171</v>
      </c>
      <c r="D4519" s="6" t="s">
        <v>5242</v>
      </c>
      <c r="E4519" s="6" t="s">
        <v>23</v>
      </c>
      <c r="F4519" s="6" t="n">
        <v>3</v>
      </c>
      <c r="G4519" s="10" t="n">
        <v>372</v>
      </c>
      <c r="H4519" s="10" t="n">
        <f aca="false">F4519*G4519</f>
        <v>1116</v>
      </c>
      <c r="I4519" s="6" t="s">
        <v>5125</v>
      </c>
    </row>
    <row r="4520" customFormat="false" ht="15" hidden="false" customHeight="false" outlineLevel="0" collapsed="false">
      <c r="A4520" s="6" t="s">
        <v>9744</v>
      </c>
      <c r="B4520" s="6" t="s">
        <v>2363</v>
      </c>
      <c r="C4520" s="26" t="n">
        <v>46171</v>
      </c>
      <c r="D4520" s="6" t="s">
        <v>5235</v>
      </c>
      <c r="E4520" s="6" t="s">
        <v>21</v>
      </c>
      <c r="F4520" s="6" t="n">
        <v>1</v>
      </c>
      <c r="G4520" s="10" t="n">
        <v>1670</v>
      </c>
      <c r="H4520" s="10" t="n">
        <f aca="false">F4520*G4520</f>
        <v>1670</v>
      </c>
      <c r="I4520" s="6" t="s">
        <v>5122</v>
      </c>
    </row>
    <row r="4521" customFormat="false" ht="15" hidden="false" customHeight="false" outlineLevel="0" collapsed="false">
      <c r="A4521" s="6" t="s">
        <v>9745</v>
      </c>
      <c r="B4521" s="6" t="s">
        <v>1183</v>
      </c>
      <c r="C4521" s="26" t="n">
        <v>46171</v>
      </c>
      <c r="D4521" s="6" t="s">
        <v>5216</v>
      </c>
      <c r="E4521" s="6" t="s">
        <v>23</v>
      </c>
      <c r="F4521" s="6" t="n">
        <v>1</v>
      </c>
      <c r="G4521" s="10" t="n">
        <v>528</v>
      </c>
      <c r="H4521" s="10" t="n">
        <f aca="false">F4521*G4521</f>
        <v>528</v>
      </c>
      <c r="I4521" s="6" t="s">
        <v>5130</v>
      </c>
    </row>
    <row r="4522" customFormat="false" ht="15" hidden="false" customHeight="false" outlineLevel="0" collapsed="false">
      <c r="A4522" s="6" t="s">
        <v>9746</v>
      </c>
      <c r="B4522" s="6" t="s">
        <v>4073</v>
      </c>
      <c r="C4522" s="26" t="n">
        <v>46171</v>
      </c>
      <c r="D4522" s="6" t="s">
        <v>5167</v>
      </c>
      <c r="E4522" s="6" t="s">
        <v>22</v>
      </c>
      <c r="F4522" s="6" t="n">
        <v>2</v>
      </c>
      <c r="G4522" s="10" t="n">
        <v>782</v>
      </c>
      <c r="H4522" s="10" t="n">
        <f aca="false">F4522*G4522</f>
        <v>1564</v>
      </c>
      <c r="I4522" s="6" t="s">
        <v>5122</v>
      </c>
    </row>
    <row r="4523" customFormat="false" ht="15" hidden="false" customHeight="false" outlineLevel="0" collapsed="false">
      <c r="A4523" s="6" t="s">
        <v>9747</v>
      </c>
      <c r="B4523" s="6" t="s">
        <v>2687</v>
      </c>
      <c r="C4523" s="26" t="n">
        <v>46171</v>
      </c>
      <c r="D4523" s="6" t="s">
        <v>5127</v>
      </c>
      <c r="E4523" s="6" t="s">
        <v>21</v>
      </c>
      <c r="F4523" s="6" t="n">
        <v>1</v>
      </c>
      <c r="G4523" s="10" t="n">
        <v>840</v>
      </c>
      <c r="H4523" s="10" t="n">
        <f aca="false">F4523*G4523</f>
        <v>840</v>
      </c>
      <c r="I4523" s="6" t="s">
        <v>5122</v>
      </c>
    </row>
    <row r="4524" customFormat="false" ht="15" hidden="false" customHeight="false" outlineLevel="0" collapsed="false">
      <c r="A4524" s="6" t="s">
        <v>9748</v>
      </c>
      <c r="B4524" s="6" t="s">
        <v>3177</v>
      </c>
      <c r="C4524" s="26" t="n">
        <v>46171</v>
      </c>
      <c r="D4524" s="6" t="s">
        <v>5167</v>
      </c>
      <c r="E4524" s="6" t="s">
        <v>22</v>
      </c>
      <c r="F4524" s="6" t="n">
        <v>1</v>
      </c>
      <c r="G4524" s="10" t="n">
        <v>782</v>
      </c>
      <c r="H4524" s="10" t="n">
        <f aca="false">F4524*G4524</f>
        <v>782</v>
      </c>
      <c r="I4524" s="6" t="s">
        <v>5122</v>
      </c>
    </row>
    <row r="4525" customFormat="false" ht="15" hidden="false" customHeight="false" outlineLevel="0" collapsed="false">
      <c r="A4525" s="6" t="s">
        <v>9749</v>
      </c>
      <c r="B4525" s="6" t="s">
        <v>313</v>
      </c>
      <c r="C4525" s="26" t="n">
        <v>46171</v>
      </c>
      <c r="D4525" s="6" t="s">
        <v>5129</v>
      </c>
      <c r="E4525" s="6" t="s">
        <v>21</v>
      </c>
      <c r="F4525" s="6" t="n">
        <v>1</v>
      </c>
      <c r="G4525" s="10" t="n">
        <v>559</v>
      </c>
      <c r="H4525" s="10" t="n">
        <f aca="false">F4525*G4525</f>
        <v>559</v>
      </c>
      <c r="I4525" s="6" t="s">
        <v>5125</v>
      </c>
    </row>
    <row r="4526" customFormat="false" ht="15" hidden="false" customHeight="false" outlineLevel="0" collapsed="false">
      <c r="A4526" s="6" t="s">
        <v>9750</v>
      </c>
      <c r="B4526" s="6" t="s">
        <v>4061</v>
      </c>
      <c r="C4526" s="26" t="n">
        <v>46171</v>
      </c>
      <c r="D4526" s="6" t="s">
        <v>5220</v>
      </c>
      <c r="E4526" s="6" t="s">
        <v>24</v>
      </c>
      <c r="F4526" s="6" t="n">
        <v>4</v>
      </c>
      <c r="G4526" s="10" t="n">
        <v>1120</v>
      </c>
      <c r="H4526" s="10" t="n">
        <f aca="false">F4526*G4526</f>
        <v>4480</v>
      </c>
      <c r="I4526" s="6" t="s">
        <v>5133</v>
      </c>
    </row>
    <row r="4527" customFormat="false" ht="15" hidden="false" customHeight="false" outlineLevel="0" collapsed="false">
      <c r="A4527" s="6" t="s">
        <v>9751</v>
      </c>
      <c r="B4527" s="6" t="s">
        <v>2753</v>
      </c>
      <c r="C4527" s="26" t="n">
        <v>46171</v>
      </c>
      <c r="D4527" s="6" t="s">
        <v>5163</v>
      </c>
      <c r="E4527" s="6" t="s">
        <v>23</v>
      </c>
      <c r="F4527" s="6" t="n">
        <v>2</v>
      </c>
      <c r="G4527" s="10" t="n">
        <v>783</v>
      </c>
      <c r="H4527" s="10" t="n">
        <f aca="false">F4527*G4527</f>
        <v>1566</v>
      </c>
      <c r="I4527" s="6" t="s">
        <v>5130</v>
      </c>
    </row>
    <row r="4528" customFormat="false" ht="15" hidden="false" customHeight="false" outlineLevel="0" collapsed="false">
      <c r="A4528" s="6" t="s">
        <v>9752</v>
      </c>
      <c r="B4528" s="6" t="s">
        <v>2307</v>
      </c>
      <c r="C4528" s="26" t="n">
        <v>46171</v>
      </c>
      <c r="D4528" s="6" t="s">
        <v>5165</v>
      </c>
      <c r="E4528" s="6" t="s">
        <v>22</v>
      </c>
      <c r="F4528" s="6" t="n">
        <v>2</v>
      </c>
      <c r="G4528" s="10" t="n">
        <v>977</v>
      </c>
      <c r="H4528" s="10" t="n">
        <f aca="false">F4528*G4528</f>
        <v>1954</v>
      </c>
      <c r="I4528" s="6" t="s">
        <v>5122</v>
      </c>
    </row>
    <row r="4529" customFormat="false" ht="15" hidden="false" customHeight="false" outlineLevel="0" collapsed="false">
      <c r="A4529" s="6" t="s">
        <v>9753</v>
      </c>
      <c r="B4529" s="6" t="s">
        <v>2881</v>
      </c>
      <c r="C4529" s="26" t="n">
        <v>46172</v>
      </c>
      <c r="D4529" s="6" t="s">
        <v>5194</v>
      </c>
      <c r="E4529" s="6" t="s">
        <v>22</v>
      </c>
      <c r="F4529" s="6" t="n">
        <v>2</v>
      </c>
      <c r="G4529" s="10" t="n">
        <v>2151</v>
      </c>
      <c r="H4529" s="10" t="n">
        <f aca="false">F4529*G4529</f>
        <v>4302</v>
      </c>
      <c r="I4529" s="6" t="s">
        <v>5148</v>
      </c>
    </row>
    <row r="4530" customFormat="false" ht="15" hidden="false" customHeight="false" outlineLevel="0" collapsed="false">
      <c r="A4530" s="6" t="s">
        <v>9754</v>
      </c>
      <c r="B4530" s="6" t="s">
        <v>5105</v>
      </c>
      <c r="C4530" s="26" t="n">
        <v>46172</v>
      </c>
      <c r="D4530" s="6" t="s">
        <v>5171</v>
      </c>
      <c r="E4530" s="6" t="s">
        <v>23</v>
      </c>
      <c r="F4530" s="6" t="n">
        <v>2</v>
      </c>
      <c r="G4530" s="10" t="n">
        <v>697</v>
      </c>
      <c r="H4530" s="10" t="n">
        <f aca="false">F4530*G4530</f>
        <v>1394</v>
      </c>
      <c r="I4530" s="6" t="s">
        <v>5148</v>
      </c>
    </row>
    <row r="4531" customFormat="false" ht="15" hidden="false" customHeight="false" outlineLevel="0" collapsed="false">
      <c r="A4531" s="6" t="s">
        <v>9755</v>
      </c>
      <c r="B4531" s="6" t="s">
        <v>2645</v>
      </c>
      <c r="C4531" s="26" t="n">
        <v>46172</v>
      </c>
      <c r="D4531" s="6" t="s">
        <v>6114</v>
      </c>
      <c r="E4531" s="6" t="s">
        <v>20</v>
      </c>
      <c r="F4531" s="6" t="n">
        <v>1</v>
      </c>
      <c r="G4531" s="10" t="n">
        <v>11931</v>
      </c>
      <c r="H4531" s="10" t="n">
        <f aca="false">F4531*G4531</f>
        <v>11931</v>
      </c>
      <c r="I4531" s="6" t="s">
        <v>5122</v>
      </c>
    </row>
    <row r="4532" customFormat="false" ht="15" hidden="false" customHeight="false" outlineLevel="0" collapsed="false">
      <c r="A4532" s="6" t="s">
        <v>9756</v>
      </c>
      <c r="B4532" s="6" t="s">
        <v>362</v>
      </c>
      <c r="C4532" s="26" t="n">
        <v>46172</v>
      </c>
      <c r="D4532" s="6" t="s">
        <v>5353</v>
      </c>
      <c r="E4532" s="6" t="s">
        <v>24</v>
      </c>
      <c r="F4532" s="6" t="n">
        <v>2</v>
      </c>
      <c r="G4532" s="10" t="n">
        <v>1466</v>
      </c>
      <c r="H4532" s="10" t="n">
        <f aca="false">F4532*G4532</f>
        <v>2932</v>
      </c>
      <c r="I4532" s="6" t="s">
        <v>5133</v>
      </c>
    </row>
    <row r="4533" customFormat="false" ht="15" hidden="false" customHeight="false" outlineLevel="0" collapsed="false">
      <c r="A4533" s="6" t="s">
        <v>9757</v>
      </c>
      <c r="B4533" s="6" t="s">
        <v>2131</v>
      </c>
      <c r="C4533" s="26" t="n">
        <v>46172</v>
      </c>
      <c r="D4533" s="6" t="s">
        <v>5357</v>
      </c>
      <c r="E4533" s="6" t="s">
        <v>23</v>
      </c>
      <c r="F4533" s="6" t="n">
        <v>2</v>
      </c>
      <c r="G4533" s="10" t="n">
        <v>534</v>
      </c>
      <c r="H4533" s="10" t="n">
        <f aca="false">F4533*G4533</f>
        <v>1068</v>
      </c>
      <c r="I4533" s="6" t="s">
        <v>5122</v>
      </c>
    </row>
    <row r="4534" customFormat="false" ht="15" hidden="false" customHeight="false" outlineLevel="0" collapsed="false">
      <c r="A4534" s="6" t="s">
        <v>9758</v>
      </c>
      <c r="B4534" s="6" t="s">
        <v>1963</v>
      </c>
      <c r="C4534" s="26" t="n">
        <v>46172</v>
      </c>
      <c r="D4534" s="6" t="s">
        <v>5749</v>
      </c>
      <c r="E4534" s="6" t="s">
        <v>20</v>
      </c>
      <c r="F4534" s="6" t="n">
        <v>1</v>
      </c>
      <c r="G4534" s="10" t="n">
        <v>774</v>
      </c>
      <c r="H4534" s="10" t="n">
        <f aca="false">F4534*G4534</f>
        <v>774</v>
      </c>
      <c r="I4534" s="6" t="s">
        <v>5148</v>
      </c>
    </row>
    <row r="4535" customFormat="false" ht="15" hidden="false" customHeight="false" outlineLevel="0" collapsed="false">
      <c r="A4535" s="6" t="s">
        <v>9759</v>
      </c>
      <c r="B4535" s="6" t="s">
        <v>4611</v>
      </c>
      <c r="C4535" s="26" t="n">
        <v>46172</v>
      </c>
      <c r="D4535" s="6" t="s">
        <v>5163</v>
      </c>
      <c r="E4535" s="6" t="s">
        <v>23</v>
      </c>
      <c r="F4535" s="6" t="n">
        <v>1</v>
      </c>
      <c r="G4535" s="10" t="n">
        <v>705</v>
      </c>
      <c r="H4535" s="10" t="n">
        <f aca="false">F4535*G4535</f>
        <v>705</v>
      </c>
      <c r="I4535" s="6" t="s">
        <v>5125</v>
      </c>
    </row>
    <row r="4536" customFormat="false" ht="15" hidden="false" customHeight="false" outlineLevel="0" collapsed="false">
      <c r="A4536" s="6" t="s">
        <v>9760</v>
      </c>
      <c r="B4536" s="6" t="s">
        <v>1499</v>
      </c>
      <c r="C4536" s="26" t="n">
        <v>46172</v>
      </c>
      <c r="D4536" s="6" t="s">
        <v>5257</v>
      </c>
      <c r="E4536" s="6" t="s">
        <v>22</v>
      </c>
      <c r="F4536" s="6" t="n">
        <v>2</v>
      </c>
      <c r="G4536" s="10" t="n">
        <v>2249</v>
      </c>
      <c r="H4536" s="10" t="n">
        <f aca="false">F4536*G4536</f>
        <v>4498</v>
      </c>
      <c r="I4536" s="6" t="s">
        <v>5125</v>
      </c>
    </row>
    <row r="4537" customFormat="false" ht="15" hidden="false" customHeight="false" outlineLevel="0" collapsed="false">
      <c r="A4537" s="6" t="s">
        <v>9761</v>
      </c>
      <c r="B4537" s="6" t="s">
        <v>285</v>
      </c>
      <c r="C4537" s="26" t="n">
        <v>46172</v>
      </c>
      <c r="D4537" s="6" t="s">
        <v>5121</v>
      </c>
      <c r="E4537" s="6" t="s">
        <v>22</v>
      </c>
      <c r="F4537" s="6" t="n">
        <v>2</v>
      </c>
      <c r="G4537" s="10" t="n">
        <v>977</v>
      </c>
      <c r="H4537" s="10" t="n">
        <f aca="false">F4537*G4537</f>
        <v>1954</v>
      </c>
      <c r="I4537" s="6" t="s">
        <v>5148</v>
      </c>
    </row>
    <row r="4538" customFormat="false" ht="15" hidden="false" customHeight="false" outlineLevel="0" collapsed="false">
      <c r="A4538" s="6" t="s">
        <v>9762</v>
      </c>
      <c r="B4538" s="6" t="s">
        <v>2843</v>
      </c>
      <c r="C4538" s="26" t="n">
        <v>46172</v>
      </c>
      <c r="D4538" s="6" t="s">
        <v>5171</v>
      </c>
      <c r="E4538" s="6" t="s">
        <v>23</v>
      </c>
      <c r="F4538" s="6" t="n">
        <v>2</v>
      </c>
      <c r="G4538" s="10" t="n">
        <v>734</v>
      </c>
      <c r="H4538" s="10" t="n">
        <f aca="false">F4538*G4538</f>
        <v>1468</v>
      </c>
      <c r="I4538" s="6" t="s">
        <v>5130</v>
      </c>
    </row>
    <row r="4539" customFormat="false" ht="15" hidden="false" customHeight="false" outlineLevel="0" collapsed="false">
      <c r="A4539" s="6" t="s">
        <v>9763</v>
      </c>
      <c r="B4539" s="6" t="s">
        <v>3479</v>
      </c>
      <c r="C4539" s="26" t="n">
        <v>46172</v>
      </c>
      <c r="D4539" s="6" t="s">
        <v>5121</v>
      </c>
      <c r="E4539" s="6" t="s">
        <v>22</v>
      </c>
      <c r="F4539" s="6" t="n">
        <v>1</v>
      </c>
      <c r="G4539" s="10" t="n">
        <v>928</v>
      </c>
      <c r="H4539" s="10" t="n">
        <f aca="false">F4539*G4539</f>
        <v>928</v>
      </c>
      <c r="I4539" s="6" t="s">
        <v>5133</v>
      </c>
    </row>
    <row r="4540" customFormat="false" ht="15" hidden="false" customHeight="false" outlineLevel="0" collapsed="false">
      <c r="A4540" s="6" t="s">
        <v>9764</v>
      </c>
      <c r="B4540" s="6" t="s">
        <v>459</v>
      </c>
      <c r="C4540" s="26" t="n">
        <v>46172</v>
      </c>
      <c r="D4540" s="6" t="s">
        <v>5141</v>
      </c>
      <c r="E4540" s="6" t="s">
        <v>20</v>
      </c>
      <c r="F4540" s="6" t="n">
        <v>1</v>
      </c>
      <c r="G4540" s="10" t="n">
        <v>1651</v>
      </c>
      <c r="H4540" s="10" t="n">
        <f aca="false">F4540*G4540</f>
        <v>1651</v>
      </c>
      <c r="I4540" s="6" t="s">
        <v>5130</v>
      </c>
    </row>
    <row r="4541" customFormat="false" ht="15" hidden="false" customHeight="false" outlineLevel="0" collapsed="false">
      <c r="A4541" s="6" t="s">
        <v>9765</v>
      </c>
      <c r="B4541" s="6" t="s">
        <v>4145</v>
      </c>
      <c r="C4541" s="26" t="n">
        <v>46172</v>
      </c>
      <c r="D4541" s="6" t="s">
        <v>5137</v>
      </c>
      <c r="E4541" s="6" t="s">
        <v>21</v>
      </c>
      <c r="F4541" s="6" t="n">
        <v>1</v>
      </c>
      <c r="G4541" s="10" t="n">
        <v>1768</v>
      </c>
      <c r="H4541" s="10" t="n">
        <f aca="false">F4541*G4541</f>
        <v>1768</v>
      </c>
      <c r="I4541" s="6" t="s">
        <v>5148</v>
      </c>
    </row>
    <row r="4542" customFormat="false" ht="15" hidden="false" customHeight="false" outlineLevel="0" collapsed="false">
      <c r="A4542" s="6" t="s">
        <v>9766</v>
      </c>
      <c r="B4542" s="6" t="s">
        <v>3235</v>
      </c>
      <c r="C4542" s="26" t="n">
        <v>46172</v>
      </c>
      <c r="D4542" s="6" t="s">
        <v>5245</v>
      </c>
      <c r="E4542" s="6" t="s">
        <v>21</v>
      </c>
      <c r="F4542" s="6" t="n">
        <v>1</v>
      </c>
      <c r="G4542" s="10" t="n">
        <v>2456</v>
      </c>
      <c r="H4542" s="10" t="n">
        <f aca="false">F4542*G4542</f>
        <v>2456</v>
      </c>
      <c r="I4542" s="6" t="s">
        <v>5173</v>
      </c>
    </row>
    <row r="4543" customFormat="false" ht="15" hidden="false" customHeight="false" outlineLevel="0" collapsed="false">
      <c r="A4543" s="6" t="s">
        <v>9767</v>
      </c>
      <c r="B4543" s="6" t="s">
        <v>1011</v>
      </c>
      <c r="C4543" s="26" t="n">
        <v>46172</v>
      </c>
      <c r="D4543" s="6" t="s">
        <v>5135</v>
      </c>
      <c r="E4543" s="6" t="s">
        <v>23</v>
      </c>
      <c r="F4543" s="6" t="n">
        <v>4</v>
      </c>
      <c r="G4543" s="10" t="n">
        <v>441</v>
      </c>
      <c r="H4543" s="10" t="n">
        <f aca="false">F4543*G4543</f>
        <v>1764</v>
      </c>
      <c r="I4543" s="6" t="s">
        <v>5125</v>
      </c>
    </row>
    <row r="4544" customFormat="false" ht="15" hidden="false" customHeight="false" outlineLevel="0" collapsed="false">
      <c r="A4544" s="6" t="s">
        <v>9768</v>
      </c>
      <c r="B4544" s="6" t="s">
        <v>2863</v>
      </c>
      <c r="C4544" s="26" t="n">
        <v>46172</v>
      </c>
      <c r="D4544" s="6" t="s">
        <v>5163</v>
      </c>
      <c r="E4544" s="6" t="s">
        <v>23</v>
      </c>
      <c r="F4544" s="6" t="n">
        <v>3</v>
      </c>
      <c r="G4544" s="10" t="n">
        <v>783</v>
      </c>
      <c r="H4544" s="10" t="n">
        <f aca="false">F4544*G4544</f>
        <v>2349</v>
      </c>
      <c r="I4544" s="6" t="s">
        <v>5148</v>
      </c>
    </row>
    <row r="4545" customFormat="false" ht="15" hidden="false" customHeight="false" outlineLevel="0" collapsed="false">
      <c r="A4545" s="6" t="s">
        <v>9769</v>
      </c>
      <c r="B4545" s="6" t="s">
        <v>1661</v>
      </c>
      <c r="C4545" s="26" t="n">
        <v>46172</v>
      </c>
      <c r="D4545" s="6" t="s">
        <v>5257</v>
      </c>
      <c r="E4545" s="6" t="s">
        <v>22</v>
      </c>
      <c r="F4545" s="6" t="n">
        <v>3</v>
      </c>
      <c r="G4545" s="10" t="n">
        <v>2249</v>
      </c>
      <c r="H4545" s="10" t="n">
        <f aca="false">F4545*G4545</f>
        <v>6747</v>
      </c>
      <c r="I4545" s="6" t="s">
        <v>5130</v>
      </c>
    </row>
    <row r="4546" customFormat="false" ht="15" hidden="false" customHeight="false" outlineLevel="0" collapsed="false">
      <c r="A4546" s="6" t="s">
        <v>9770</v>
      </c>
      <c r="B4546" s="6" t="s">
        <v>4213</v>
      </c>
      <c r="C4546" s="26" t="n">
        <v>46172</v>
      </c>
      <c r="D4546" s="6" t="s">
        <v>5150</v>
      </c>
      <c r="E4546" s="6" t="s">
        <v>24</v>
      </c>
      <c r="F4546" s="6" t="n">
        <v>1</v>
      </c>
      <c r="G4546" s="10" t="n">
        <v>508</v>
      </c>
      <c r="H4546" s="10" t="n">
        <f aca="false">F4546*G4546</f>
        <v>508</v>
      </c>
      <c r="I4546" s="6" t="s">
        <v>5122</v>
      </c>
    </row>
    <row r="4547" customFormat="false" ht="15" hidden="false" customHeight="false" outlineLevel="0" collapsed="false">
      <c r="A4547" s="6" t="s">
        <v>9771</v>
      </c>
      <c r="B4547" s="6" t="s">
        <v>2781</v>
      </c>
      <c r="C4547" s="26" t="n">
        <v>46172</v>
      </c>
      <c r="D4547" s="6" t="s">
        <v>5165</v>
      </c>
      <c r="E4547" s="6" t="s">
        <v>22</v>
      </c>
      <c r="F4547" s="6" t="n">
        <v>3</v>
      </c>
      <c r="G4547" s="10" t="n">
        <v>880</v>
      </c>
      <c r="H4547" s="10" t="n">
        <f aca="false">F4547*G4547</f>
        <v>2640</v>
      </c>
      <c r="I4547" s="6" t="s">
        <v>5173</v>
      </c>
    </row>
    <row r="4548" customFormat="false" ht="15" hidden="false" customHeight="false" outlineLevel="0" collapsed="false">
      <c r="A4548" s="6" t="s">
        <v>9772</v>
      </c>
      <c r="B4548" s="6" t="s">
        <v>573</v>
      </c>
      <c r="C4548" s="26" t="n">
        <v>46172</v>
      </c>
      <c r="D4548" s="6" t="s">
        <v>5152</v>
      </c>
      <c r="E4548" s="6" t="s">
        <v>22</v>
      </c>
      <c r="F4548" s="6" t="n">
        <v>1</v>
      </c>
      <c r="G4548" s="10" t="n">
        <v>1671</v>
      </c>
      <c r="H4548" s="10" t="n">
        <f aca="false">F4548*G4548</f>
        <v>1671</v>
      </c>
      <c r="I4548" s="6" t="s">
        <v>5122</v>
      </c>
    </row>
    <row r="4549" customFormat="false" ht="15" hidden="false" customHeight="false" outlineLevel="0" collapsed="false">
      <c r="A4549" s="6" t="s">
        <v>9773</v>
      </c>
      <c r="B4549" s="6" t="s">
        <v>1781</v>
      </c>
      <c r="C4549" s="26" t="n">
        <v>46172</v>
      </c>
      <c r="D4549" s="6" t="s">
        <v>5202</v>
      </c>
      <c r="E4549" s="6" t="s">
        <v>23</v>
      </c>
      <c r="F4549" s="6" t="n">
        <v>3</v>
      </c>
      <c r="G4549" s="10" t="n">
        <v>245</v>
      </c>
      <c r="H4549" s="10" t="n">
        <f aca="false">F4549*G4549</f>
        <v>735</v>
      </c>
      <c r="I4549" s="6" t="s">
        <v>5122</v>
      </c>
    </row>
    <row r="4550" customFormat="false" ht="15" hidden="false" customHeight="false" outlineLevel="0" collapsed="false">
      <c r="A4550" s="6" t="s">
        <v>9774</v>
      </c>
      <c r="B4550" s="6" t="s">
        <v>4643</v>
      </c>
      <c r="C4550" s="26" t="n">
        <v>46172</v>
      </c>
      <c r="D4550" s="6" t="s">
        <v>5121</v>
      </c>
      <c r="E4550" s="6" t="s">
        <v>22</v>
      </c>
      <c r="F4550" s="6" t="n">
        <v>1</v>
      </c>
      <c r="G4550" s="10" t="n">
        <v>977</v>
      </c>
      <c r="H4550" s="10" t="n">
        <f aca="false">F4550*G4550</f>
        <v>977</v>
      </c>
      <c r="I4550" s="6" t="s">
        <v>5125</v>
      </c>
    </row>
    <row r="4551" customFormat="false" ht="15" hidden="false" customHeight="false" outlineLevel="0" collapsed="false">
      <c r="A4551" s="6" t="s">
        <v>9775</v>
      </c>
      <c r="B4551" s="6" t="s">
        <v>3987</v>
      </c>
      <c r="C4551" s="26" t="n">
        <v>46172</v>
      </c>
      <c r="D4551" s="6" t="s">
        <v>5683</v>
      </c>
      <c r="E4551" s="6" t="s">
        <v>22</v>
      </c>
      <c r="F4551" s="6" t="n">
        <v>1</v>
      </c>
      <c r="G4551" s="10" t="n">
        <v>1672</v>
      </c>
      <c r="H4551" s="10" t="n">
        <f aca="false">F4551*G4551</f>
        <v>1672</v>
      </c>
      <c r="I4551" s="6" t="s">
        <v>5148</v>
      </c>
    </row>
    <row r="4552" customFormat="false" ht="15" hidden="false" customHeight="false" outlineLevel="0" collapsed="false">
      <c r="A4552" s="6" t="s">
        <v>9776</v>
      </c>
      <c r="B4552" s="6" t="s">
        <v>3089</v>
      </c>
      <c r="C4552" s="26" t="n">
        <v>46172</v>
      </c>
      <c r="D4552" s="6" t="s">
        <v>5216</v>
      </c>
      <c r="E4552" s="6" t="s">
        <v>23</v>
      </c>
      <c r="F4552" s="6" t="n">
        <v>3</v>
      </c>
      <c r="G4552" s="10" t="n">
        <v>587</v>
      </c>
      <c r="H4552" s="10" t="n">
        <f aca="false">F4552*G4552</f>
        <v>1761</v>
      </c>
      <c r="I4552" s="6" t="s">
        <v>5173</v>
      </c>
    </row>
    <row r="4553" customFormat="false" ht="15" hidden="false" customHeight="false" outlineLevel="0" collapsed="false">
      <c r="A4553" s="6" t="s">
        <v>9777</v>
      </c>
      <c r="B4553" s="6" t="s">
        <v>1263</v>
      </c>
      <c r="C4553" s="26" t="n">
        <v>46172</v>
      </c>
      <c r="D4553" s="6" t="s">
        <v>5207</v>
      </c>
      <c r="E4553" s="6" t="s">
        <v>20</v>
      </c>
      <c r="F4553" s="6" t="n">
        <v>1</v>
      </c>
      <c r="G4553" s="10" t="n">
        <v>1192</v>
      </c>
      <c r="H4553" s="10" t="n">
        <f aca="false">F4553*G4553</f>
        <v>1192</v>
      </c>
      <c r="I4553" s="6" t="s">
        <v>5122</v>
      </c>
    </row>
    <row r="4554" customFormat="false" ht="15" hidden="false" customHeight="false" outlineLevel="0" collapsed="false">
      <c r="A4554" s="6" t="s">
        <v>9778</v>
      </c>
      <c r="B4554" s="6" t="s">
        <v>4017</v>
      </c>
      <c r="C4554" s="26" t="n">
        <v>46172</v>
      </c>
      <c r="D4554" s="6" t="s">
        <v>5175</v>
      </c>
      <c r="E4554" s="6" t="s">
        <v>24</v>
      </c>
      <c r="F4554" s="6" t="n">
        <v>1</v>
      </c>
      <c r="G4554" s="10" t="n">
        <v>549</v>
      </c>
      <c r="H4554" s="10" t="n">
        <f aca="false">F4554*G4554</f>
        <v>549</v>
      </c>
      <c r="I4554" s="6" t="s">
        <v>5130</v>
      </c>
    </row>
    <row r="4555" customFormat="false" ht="15" hidden="false" customHeight="false" outlineLevel="0" collapsed="false">
      <c r="A4555" s="6" t="s">
        <v>9779</v>
      </c>
      <c r="B4555" s="6" t="s">
        <v>3563</v>
      </c>
      <c r="C4555" s="26" t="n">
        <v>46172</v>
      </c>
      <c r="D4555" s="6" t="s">
        <v>5175</v>
      </c>
      <c r="E4555" s="6" t="s">
        <v>24</v>
      </c>
      <c r="F4555" s="6" t="n">
        <v>3</v>
      </c>
      <c r="G4555" s="10" t="n">
        <v>580</v>
      </c>
      <c r="H4555" s="10" t="n">
        <f aca="false">F4555*G4555</f>
        <v>1740</v>
      </c>
      <c r="I4555" s="6" t="s">
        <v>5130</v>
      </c>
    </row>
    <row r="4556" customFormat="false" ht="15" hidden="false" customHeight="false" outlineLevel="0" collapsed="false">
      <c r="A4556" s="6" t="s">
        <v>9780</v>
      </c>
      <c r="B4556" s="6" t="s">
        <v>3977</v>
      </c>
      <c r="C4556" s="26" t="n">
        <v>46172</v>
      </c>
      <c r="D4556" s="6" t="s">
        <v>7185</v>
      </c>
      <c r="E4556" s="6" t="s">
        <v>22</v>
      </c>
      <c r="F4556" s="6" t="n">
        <v>2</v>
      </c>
      <c r="G4556" s="10" t="n">
        <v>2734</v>
      </c>
      <c r="H4556" s="10" t="n">
        <f aca="false">F4556*G4556</f>
        <v>5468</v>
      </c>
      <c r="I4556" s="6" t="s">
        <v>5148</v>
      </c>
    </row>
    <row r="4557" customFormat="false" ht="15" hidden="false" customHeight="false" outlineLevel="0" collapsed="false">
      <c r="A4557" s="6" t="s">
        <v>9781</v>
      </c>
      <c r="B4557" s="6" t="s">
        <v>1123</v>
      </c>
      <c r="C4557" s="26" t="n">
        <v>46172</v>
      </c>
      <c r="D4557" s="6" t="s">
        <v>5163</v>
      </c>
      <c r="E4557" s="6" t="s">
        <v>23</v>
      </c>
      <c r="F4557" s="6" t="n">
        <v>3</v>
      </c>
      <c r="G4557" s="10" t="n">
        <v>705</v>
      </c>
      <c r="H4557" s="10" t="n">
        <f aca="false">F4557*G4557</f>
        <v>2115</v>
      </c>
      <c r="I4557" s="6" t="s">
        <v>5148</v>
      </c>
    </row>
    <row r="4558" customFormat="false" ht="15" hidden="false" customHeight="false" outlineLevel="0" collapsed="false">
      <c r="A4558" s="6" t="s">
        <v>9782</v>
      </c>
      <c r="B4558" s="6" t="s">
        <v>2871</v>
      </c>
      <c r="C4558" s="26" t="n">
        <v>46172</v>
      </c>
      <c r="D4558" s="6" t="s">
        <v>5129</v>
      </c>
      <c r="E4558" s="6" t="s">
        <v>21</v>
      </c>
      <c r="F4558" s="6" t="n">
        <v>1</v>
      </c>
      <c r="G4558" s="10" t="n">
        <v>589</v>
      </c>
      <c r="H4558" s="10" t="n">
        <f aca="false">F4558*G4558</f>
        <v>589</v>
      </c>
      <c r="I4558" s="6" t="s">
        <v>5122</v>
      </c>
    </row>
    <row r="4559" customFormat="false" ht="15" hidden="false" customHeight="false" outlineLevel="0" collapsed="false">
      <c r="A4559" s="6" t="s">
        <v>9783</v>
      </c>
      <c r="B4559" s="6" t="s">
        <v>771</v>
      </c>
      <c r="C4559" s="26" t="n">
        <v>46172</v>
      </c>
      <c r="D4559" s="6" t="s">
        <v>5190</v>
      </c>
      <c r="E4559" s="6" t="s">
        <v>24</v>
      </c>
      <c r="F4559" s="6" t="n">
        <v>1</v>
      </c>
      <c r="G4559" s="10" t="n">
        <v>549</v>
      </c>
      <c r="H4559" s="10" t="n">
        <f aca="false">F4559*G4559</f>
        <v>549</v>
      </c>
      <c r="I4559" s="6" t="s">
        <v>5125</v>
      </c>
    </row>
    <row r="4560" customFormat="false" ht="15" hidden="false" customHeight="false" outlineLevel="0" collapsed="false">
      <c r="A4560" s="6" t="s">
        <v>9784</v>
      </c>
      <c r="B4560" s="6" t="s">
        <v>4861</v>
      </c>
      <c r="C4560" s="26" t="n">
        <v>46172</v>
      </c>
      <c r="D4560" s="6" t="s">
        <v>5216</v>
      </c>
      <c r="E4560" s="6" t="s">
        <v>23</v>
      </c>
      <c r="F4560" s="6" t="n">
        <v>4</v>
      </c>
      <c r="G4560" s="10" t="n">
        <v>587</v>
      </c>
      <c r="H4560" s="10" t="n">
        <f aca="false">F4560*G4560</f>
        <v>2348</v>
      </c>
      <c r="I4560" s="6" t="s">
        <v>5133</v>
      </c>
    </row>
    <row r="4561" customFormat="false" ht="15" hidden="false" customHeight="false" outlineLevel="0" collapsed="false">
      <c r="A4561" s="6" t="s">
        <v>9785</v>
      </c>
      <c r="B4561" s="6" t="s">
        <v>2419</v>
      </c>
      <c r="C4561" s="26" t="n">
        <v>46172</v>
      </c>
      <c r="D4561" s="6" t="s">
        <v>5160</v>
      </c>
      <c r="E4561" s="6" t="s">
        <v>21</v>
      </c>
      <c r="F4561" s="6" t="n">
        <v>2</v>
      </c>
      <c r="G4561" s="10" t="n">
        <v>2751</v>
      </c>
      <c r="H4561" s="10" t="n">
        <f aca="false">F4561*G4561</f>
        <v>5502</v>
      </c>
      <c r="I4561" s="6" t="s">
        <v>5122</v>
      </c>
    </row>
    <row r="4562" customFormat="false" ht="15" hidden="false" customHeight="false" outlineLevel="0" collapsed="false">
      <c r="A4562" s="6" t="s">
        <v>9786</v>
      </c>
      <c r="B4562" s="6" t="s">
        <v>3399</v>
      </c>
      <c r="C4562" s="26" t="n">
        <v>46172</v>
      </c>
      <c r="D4562" s="6" t="s">
        <v>5154</v>
      </c>
      <c r="E4562" s="6" t="s">
        <v>21</v>
      </c>
      <c r="F4562" s="6" t="n">
        <v>1</v>
      </c>
      <c r="G4562" s="10" t="n">
        <v>746</v>
      </c>
      <c r="H4562" s="10" t="n">
        <f aca="false">F4562*G4562</f>
        <v>746</v>
      </c>
      <c r="I4562" s="6" t="s">
        <v>5148</v>
      </c>
    </row>
    <row r="4563" customFormat="false" ht="15" hidden="false" customHeight="false" outlineLevel="0" collapsed="false">
      <c r="A4563" s="6" t="s">
        <v>9787</v>
      </c>
      <c r="B4563" s="6" t="s">
        <v>235</v>
      </c>
      <c r="C4563" s="26" t="n">
        <v>46172</v>
      </c>
      <c r="D4563" s="6" t="s">
        <v>5269</v>
      </c>
      <c r="E4563" s="6" t="s">
        <v>22</v>
      </c>
      <c r="F4563" s="6" t="n">
        <v>1</v>
      </c>
      <c r="G4563" s="10" t="n">
        <v>1144</v>
      </c>
      <c r="H4563" s="10" t="n">
        <f aca="false">F4563*G4563</f>
        <v>1144</v>
      </c>
      <c r="I4563" s="6" t="s">
        <v>5148</v>
      </c>
    </row>
    <row r="4564" customFormat="false" ht="15" hidden="false" customHeight="false" outlineLevel="0" collapsed="false">
      <c r="A4564" s="6" t="s">
        <v>9788</v>
      </c>
      <c r="B4564" s="6" t="s">
        <v>4973</v>
      </c>
      <c r="C4564" s="26" t="n">
        <v>46172</v>
      </c>
      <c r="D4564" s="6" t="s">
        <v>5165</v>
      </c>
      <c r="E4564" s="6" t="s">
        <v>22</v>
      </c>
      <c r="F4564" s="6" t="n">
        <v>1</v>
      </c>
      <c r="G4564" s="10" t="n">
        <v>928</v>
      </c>
      <c r="H4564" s="10" t="n">
        <f aca="false">F4564*G4564</f>
        <v>928</v>
      </c>
      <c r="I4564" s="6" t="s">
        <v>5148</v>
      </c>
    </row>
    <row r="4565" customFormat="false" ht="15" hidden="false" customHeight="false" outlineLevel="0" collapsed="false">
      <c r="A4565" s="6" t="s">
        <v>9789</v>
      </c>
      <c r="B4565" s="6" t="s">
        <v>5099</v>
      </c>
      <c r="C4565" s="26" t="n">
        <v>46172</v>
      </c>
      <c r="D4565" s="6" t="s">
        <v>5353</v>
      </c>
      <c r="E4565" s="6" t="s">
        <v>24</v>
      </c>
      <c r="F4565" s="6" t="n">
        <v>1</v>
      </c>
      <c r="G4565" s="10" t="n">
        <v>1629</v>
      </c>
      <c r="H4565" s="10" t="n">
        <f aca="false">F4565*G4565</f>
        <v>1629</v>
      </c>
      <c r="I4565" s="6" t="s">
        <v>5125</v>
      </c>
    </row>
    <row r="4566" customFormat="false" ht="15" hidden="false" customHeight="false" outlineLevel="0" collapsed="false">
      <c r="A4566" s="6" t="s">
        <v>9790</v>
      </c>
      <c r="B4566" s="6" t="s">
        <v>3301</v>
      </c>
      <c r="C4566" s="26" t="n">
        <v>46172</v>
      </c>
      <c r="D4566" s="6" t="s">
        <v>5466</v>
      </c>
      <c r="E4566" s="6" t="s">
        <v>21</v>
      </c>
      <c r="F4566" s="6" t="n">
        <v>1</v>
      </c>
      <c r="G4566" s="10" t="n">
        <v>1867</v>
      </c>
      <c r="H4566" s="10" t="n">
        <f aca="false">F4566*G4566</f>
        <v>1867</v>
      </c>
      <c r="I4566" s="6" t="s">
        <v>5148</v>
      </c>
    </row>
    <row r="4567" customFormat="false" ht="15" hidden="false" customHeight="false" outlineLevel="0" collapsed="false">
      <c r="A4567" s="6" t="s">
        <v>9791</v>
      </c>
      <c r="B4567" s="6" t="s">
        <v>4975</v>
      </c>
      <c r="C4567" s="26" t="n">
        <v>46172</v>
      </c>
      <c r="D4567" s="6" t="s">
        <v>5197</v>
      </c>
      <c r="E4567" s="6" t="s">
        <v>21</v>
      </c>
      <c r="F4567" s="6" t="n">
        <v>1</v>
      </c>
      <c r="G4567" s="10" t="n">
        <v>1080</v>
      </c>
      <c r="H4567" s="10" t="n">
        <f aca="false">F4567*G4567</f>
        <v>1080</v>
      </c>
      <c r="I4567" s="6" t="s">
        <v>5122</v>
      </c>
    </row>
    <row r="4568" customFormat="false" ht="15" hidden="false" customHeight="false" outlineLevel="0" collapsed="false">
      <c r="A4568" s="6" t="s">
        <v>9792</v>
      </c>
      <c r="B4568" s="6" t="s">
        <v>4397</v>
      </c>
      <c r="C4568" s="26" t="n">
        <v>46172</v>
      </c>
      <c r="D4568" s="6" t="s">
        <v>5127</v>
      </c>
      <c r="E4568" s="6" t="s">
        <v>21</v>
      </c>
      <c r="F4568" s="6" t="n">
        <v>1</v>
      </c>
      <c r="G4568" s="10" t="n">
        <v>795</v>
      </c>
      <c r="H4568" s="10" t="n">
        <f aca="false">F4568*G4568</f>
        <v>795</v>
      </c>
      <c r="I4568" s="6" t="s">
        <v>5122</v>
      </c>
    </row>
    <row r="4569" customFormat="false" ht="15" hidden="false" customHeight="false" outlineLevel="0" collapsed="false">
      <c r="A4569" s="6" t="s">
        <v>9793</v>
      </c>
      <c r="B4569" s="6" t="s">
        <v>5041</v>
      </c>
      <c r="C4569" s="26" t="n">
        <v>46173</v>
      </c>
      <c r="D4569" s="6" t="s">
        <v>5423</v>
      </c>
      <c r="E4569" s="6" t="s">
        <v>21</v>
      </c>
      <c r="F4569" s="6" t="n">
        <v>1</v>
      </c>
      <c r="G4569" s="10" t="n">
        <v>3243</v>
      </c>
      <c r="H4569" s="10" t="n">
        <f aca="false">F4569*G4569</f>
        <v>3243</v>
      </c>
      <c r="I4569" s="6" t="s">
        <v>5130</v>
      </c>
    </row>
    <row r="4570" customFormat="false" ht="15" hidden="false" customHeight="false" outlineLevel="0" collapsed="false">
      <c r="A4570" s="6" t="s">
        <v>9794</v>
      </c>
      <c r="B4570" s="6" t="s">
        <v>2691</v>
      </c>
      <c r="C4570" s="26" t="n">
        <v>46173</v>
      </c>
      <c r="D4570" s="6" t="s">
        <v>5121</v>
      </c>
      <c r="E4570" s="6" t="s">
        <v>22</v>
      </c>
      <c r="F4570" s="6" t="n">
        <v>2</v>
      </c>
      <c r="G4570" s="10" t="n">
        <v>928</v>
      </c>
      <c r="H4570" s="10" t="n">
        <f aca="false">F4570*G4570</f>
        <v>1856</v>
      </c>
      <c r="I4570" s="6" t="s">
        <v>5125</v>
      </c>
    </row>
    <row r="4571" customFormat="false" ht="15" hidden="false" customHeight="false" outlineLevel="0" collapsed="false">
      <c r="A4571" s="6" t="s">
        <v>9795</v>
      </c>
      <c r="B4571" s="6" t="s">
        <v>4909</v>
      </c>
      <c r="C4571" s="26" t="n">
        <v>46173</v>
      </c>
      <c r="D4571" s="6" t="s">
        <v>5171</v>
      </c>
      <c r="E4571" s="6" t="s">
        <v>23</v>
      </c>
      <c r="F4571" s="6" t="n">
        <v>1</v>
      </c>
      <c r="G4571" s="10" t="n">
        <v>697</v>
      </c>
      <c r="H4571" s="10" t="n">
        <f aca="false">F4571*G4571</f>
        <v>697</v>
      </c>
      <c r="I4571" s="6" t="s">
        <v>5148</v>
      </c>
    </row>
    <row r="4572" customFormat="false" ht="15" hidden="false" customHeight="false" outlineLevel="0" collapsed="false">
      <c r="A4572" s="6" t="s">
        <v>9796</v>
      </c>
      <c r="B4572" s="6" t="s">
        <v>573</v>
      </c>
      <c r="C4572" s="26" t="n">
        <v>46173</v>
      </c>
      <c r="D4572" s="6" t="s">
        <v>5129</v>
      </c>
      <c r="E4572" s="6" t="s">
        <v>21</v>
      </c>
      <c r="F4572" s="6" t="n">
        <v>1</v>
      </c>
      <c r="G4572" s="10" t="n">
        <v>559</v>
      </c>
      <c r="H4572" s="10" t="n">
        <f aca="false">F4572*G4572</f>
        <v>559</v>
      </c>
      <c r="I4572" s="6" t="s">
        <v>5130</v>
      </c>
    </row>
    <row r="4573" customFormat="false" ht="15" hidden="false" customHeight="false" outlineLevel="0" collapsed="false">
      <c r="A4573" s="6" t="s">
        <v>9797</v>
      </c>
      <c r="B4573" s="6" t="s">
        <v>1513</v>
      </c>
      <c r="C4573" s="26" t="n">
        <v>46173</v>
      </c>
      <c r="D4573" s="6" t="s">
        <v>5158</v>
      </c>
      <c r="E4573" s="6" t="s">
        <v>24</v>
      </c>
      <c r="F4573" s="6" t="n">
        <v>1</v>
      </c>
      <c r="G4573" s="10" t="n">
        <v>411</v>
      </c>
      <c r="H4573" s="10" t="n">
        <f aca="false">F4573*G4573</f>
        <v>411</v>
      </c>
      <c r="I4573" s="6" t="s">
        <v>5122</v>
      </c>
    </row>
    <row r="4574" customFormat="false" ht="15" hidden="false" customHeight="false" outlineLevel="0" collapsed="false">
      <c r="A4574" s="6" t="s">
        <v>9798</v>
      </c>
      <c r="B4574" s="6" t="s">
        <v>5011</v>
      </c>
      <c r="C4574" s="26" t="n">
        <v>46173</v>
      </c>
      <c r="D4574" s="6" t="s">
        <v>5357</v>
      </c>
      <c r="E4574" s="6" t="s">
        <v>23</v>
      </c>
      <c r="F4574" s="6" t="n">
        <v>1</v>
      </c>
      <c r="G4574" s="10" t="n">
        <v>533</v>
      </c>
      <c r="H4574" s="10" t="n">
        <f aca="false">F4574*G4574</f>
        <v>533</v>
      </c>
      <c r="I4574" s="6" t="s">
        <v>5125</v>
      </c>
    </row>
    <row r="4575" customFormat="false" ht="15" hidden="false" customHeight="false" outlineLevel="0" collapsed="false">
      <c r="A4575" s="6" t="s">
        <v>9799</v>
      </c>
      <c r="B4575" s="6" t="s">
        <v>4935</v>
      </c>
      <c r="C4575" s="26" t="n">
        <v>46173</v>
      </c>
      <c r="D4575" s="6" t="s">
        <v>5167</v>
      </c>
      <c r="E4575" s="6" t="s">
        <v>22</v>
      </c>
      <c r="F4575" s="6" t="n">
        <v>1</v>
      </c>
      <c r="G4575" s="10" t="n">
        <v>782</v>
      </c>
      <c r="H4575" s="10" t="n">
        <f aca="false">F4575*G4575</f>
        <v>782</v>
      </c>
      <c r="I4575" s="6" t="s">
        <v>5130</v>
      </c>
    </row>
    <row r="4576" customFormat="false" ht="15" hidden="false" customHeight="false" outlineLevel="0" collapsed="false">
      <c r="A4576" s="6" t="s">
        <v>9800</v>
      </c>
      <c r="B4576" s="6" t="s">
        <v>4079</v>
      </c>
      <c r="C4576" s="26" t="n">
        <v>46173</v>
      </c>
      <c r="D4576" s="6" t="s">
        <v>5165</v>
      </c>
      <c r="E4576" s="6" t="s">
        <v>22</v>
      </c>
      <c r="F4576" s="6" t="n">
        <v>2</v>
      </c>
      <c r="G4576" s="10" t="n">
        <v>928</v>
      </c>
      <c r="H4576" s="10" t="n">
        <f aca="false">F4576*G4576</f>
        <v>1856</v>
      </c>
      <c r="I4576" s="6" t="s">
        <v>5125</v>
      </c>
    </row>
    <row r="4577" customFormat="false" ht="15" hidden="false" customHeight="false" outlineLevel="0" collapsed="false">
      <c r="A4577" s="6" t="s">
        <v>9801</v>
      </c>
      <c r="B4577" s="6" t="s">
        <v>1703</v>
      </c>
      <c r="C4577" s="26" t="n">
        <v>46173</v>
      </c>
      <c r="D4577" s="6" t="s">
        <v>5167</v>
      </c>
      <c r="E4577" s="6" t="s">
        <v>22</v>
      </c>
      <c r="F4577" s="6" t="n">
        <v>1</v>
      </c>
      <c r="G4577" s="10" t="n">
        <v>782</v>
      </c>
      <c r="H4577" s="10" t="n">
        <f aca="false">F4577*G4577</f>
        <v>782</v>
      </c>
      <c r="I4577" s="6" t="s">
        <v>5133</v>
      </c>
    </row>
    <row r="4578" customFormat="false" ht="15" hidden="false" customHeight="false" outlineLevel="0" collapsed="false">
      <c r="A4578" s="6" t="s">
        <v>9802</v>
      </c>
      <c r="B4578" s="6" t="s">
        <v>525</v>
      </c>
      <c r="C4578" s="26" t="n">
        <v>46173</v>
      </c>
      <c r="D4578" s="6" t="s">
        <v>5218</v>
      </c>
      <c r="E4578" s="6" t="s">
        <v>23</v>
      </c>
      <c r="F4578" s="6" t="n">
        <v>4</v>
      </c>
      <c r="G4578" s="10" t="n">
        <v>165</v>
      </c>
      <c r="H4578" s="10" t="n">
        <f aca="false">F4578*G4578</f>
        <v>660</v>
      </c>
      <c r="I4578" s="6" t="s">
        <v>5122</v>
      </c>
    </row>
    <row r="4579" customFormat="false" ht="15" hidden="false" customHeight="false" outlineLevel="0" collapsed="false">
      <c r="A4579" s="6" t="s">
        <v>9803</v>
      </c>
      <c r="B4579" s="6" t="s">
        <v>4725</v>
      </c>
      <c r="C4579" s="26" t="n">
        <v>46173</v>
      </c>
      <c r="D4579" s="6" t="s">
        <v>5171</v>
      </c>
      <c r="E4579" s="6" t="s">
        <v>23</v>
      </c>
      <c r="F4579" s="6" t="n">
        <v>3</v>
      </c>
      <c r="G4579" s="10" t="n">
        <v>734</v>
      </c>
      <c r="H4579" s="10" t="n">
        <f aca="false">F4579*G4579</f>
        <v>2202</v>
      </c>
      <c r="I4579" s="6" t="s">
        <v>5125</v>
      </c>
    </row>
    <row r="4580" customFormat="false" ht="15" hidden="false" customHeight="false" outlineLevel="0" collapsed="false">
      <c r="A4580" s="6" t="s">
        <v>9804</v>
      </c>
      <c r="B4580" s="6" t="s">
        <v>3927</v>
      </c>
      <c r="C4580" s="26" t="n">
        <v>46173</v>
      </c>
      <c r="D4580" s="6" t="s">
        <v>5167</v>
      </c>
      <c r="E4580" s="6" t="s">
        <v>22</v>
      </c>
      <c r="F4580" s="6" t="n">
        <v>2</v>
      </c>
      <c r="G4580" s="10" t="n">
        <v>743</v>
      </c>
      <c r="H4580" s="10" t="n">
        <f aca="false">F4580*G4580</f>
        <v>1486</v>
      </c>
      <c r="I4580" s="6" t="s">
        <v>5148</v>
      </c>
    </row>
    <row r="4581" customFormat="false" ht="15" hidden="false" customHeight="false" outlineLevel="0" collapsed="false">
      <c r="A4581" s="6" t="s">
        <v>9805</v>
      </c>
      <c r="B4581" s="6" t="s">
        <v>3941</v>
      </c>
      <c r="C4581" s="26" t="n">
        <v>46173</v>
      </c>
      <c r="D4581" s="6" t="s">
        <v>5121</v>
      </c>
      <c r="E4581" s="6" t="s">
        <v>22</v>
      </c>
      <c r="F4581" s="6" t="n">
        <v>1</v>
      </c>
      <c r="G4581" s="10" t="n">
        <v>977</v>
      </c>
      <c r="H4581" s="10" t="n">
        <f aca="false">F4581*G4581</f>
        <v>977</v>
      </c>
      <c r="I4581" s="6" t="s">
        <v>5122</v>
      </c>
    </row>
    <row r="4582" customFormat="false" ht="15" hidden="false" customHeight="false" outlineLevel="0" collapsed="false">
      <c r="A4582" s="6" t="s">
        <v>9806</v>
      </c>
      <c r="B4582" s="6" t="s">
        <v>3307</v>
      </c>
      <c r="C4582" s="26" t="n">
        <v>46173</v>
      </c>
      <c r="D4582" s="6" t="s">
        <v>5171</v>
      </c>
      <c r="E4582" s="6" t="s">
        <v>23</v>
      </c>
      <c r="F4582" s="6" t="n">
        <v>3</v>
      </c>
      <c r="G4582" s="10" t="n">
        <v>661</v>
      </c>
      <c r="H4582" s="10" t="n">
        <f aca="false">F4582*G4582</f>
        <v>1983</v>
      </c>
      <c r="I4582" s="6" t="s">
        <v>5122</v>
      </c>
    </row>
    <row r="4583" customFormat="false" ht="15" hidden="false" customHeight="false" outlineLevel="0" collapsed="false">
      <c r="A4583" s="6" t="s">
        <v>9807</v>
      </c>
      <c r="B4583" s="6" t="s">
        <v>366</v>
      </c>
      <c r="C4583" s="26" t="n">
        <v>46173</v>
      </c>
      <c r="D4583" s="6" t="s">
        <v>5167</v>
      </c>
      <c r="E4583" s="6" t="s">
        <v>22</v>
      </c>
      <c r="F4583" s="6" t="n">
        <v>2</v>
      </c>
      <c r="G4583" s="10" t="n">
        <v>703</v>
      </c>
      <c r="H4583" s="10" t="n">
        <f aca="false">F4583*G4583</f>
        <v>1406</v>
      </c>
      <c r="I4583" s="6" t="s">
        <v>5122</v>
      </c>
    </row>
    <row r="4584" customFormat="false" ht="15" hidden="false" customHeight="false" outlineLevel="0" collapsed="false">
      <c r="A4584" s="6" t="s">
        <v>9808</v>
      </c>
      <c r="B4584" s="6" t="s">
        <v>1403</v>
      </c>
      <c r="C4584" s="26" t="n">
        <v>46173</v>
      </c>
      <c r="D4584" s="6" t="s">
        <v>5154</v>
      </c>
      <c r="E4584" s="6" t="s">
        <v>21</v>
      </c>
      <c r="F4584" s="6" t="n">
        <v>1</v>
      </c>
      <c r="G4584" s="10" t="n">
        <v>785</v>
      </c>
      <c r="H4584" s="10" t="n">
        <f aca="false">F4584*G4584</f>
        <v>785</v>
      </c>
      <c r="I4584" s="6" t="s">
        <v>5148</v>
      </c>
    </row>
    <row r="4585" customFormat="false" ht="15" hidden="false" customHeight="false" outlineLevel="0" collapsed="false">
      <c r="A4585" s="6" t="s">
        <v>9809</v>
      </c>
      <c r="B4585" s="6" t="s">
        <v>4219</v>
      </c>
      <c r="C4585" s="26" t="n">
        <v>46173</v>
      </c>
      <c r="D4585" s="6" t="s">
        <v>5154</v>
      </c>
      <c r="E4585" s="6" t="s">
        <v>21</v>
      </c>
      <c r="F4585" s="6" t="n">
        <v>1</v>
      </c>
      <c r="G4585" s="10" t="n">
        <v>707</v>
      </c>
      <c r="H4585" s="10" t="n">
        <f aca="false">F4585*G4585</f>
        <v>707</v>
      </c>
      <c r="I4585" s="6" t="s">
        <v>5130</v>
      </c>
    </row>
    <row r="4586" customFormat="false" ht="15" hidden="false" customHeight="false" outlineLevel="0" collapsed="false">
      <c r="A4586" s="6" t="s">
        <v>9810</v>
      </c>
      <c r="B4586" s="6" t="s">
        <v>3141</v>
      </c>
      <c r="C4586" s="26" t="n">
        <v>46173</v>
      </c>
      <c r="D4586" s="6" t="s">
        <v>5163</v>
      </c>
      <c r="E4586" s="6" t="s">
        <v>23</v>
      </c>
      <c r="F4586" s="6" t="n">
        <v>2</v>
      </c>
      <c r="G4586" s="10" t="n">
        <v>783</v>
      </c>
      <c r="H4586" s="10" t="n">
        <f aca="false">F4586*G4586</f>
        <v>1566</v>
      </c>
      <c r="I4586" s="6" t="s">
        <v>5122</v>
      </c>
    </row>
    <row r="4587" customFormat="false" ht="15" hidden="false" customHeight="false" outlineLevel="0" collapsed="false">
      <c r="A4587" s="6" t="s">
        <v>9811</v>
      </c>
      <c r="B4587" s="6" t="s">
        <v>3257</v>
      </c>
      <c r="C4587" s="26" t="n">
        <v>46173</v>
      </c>
      <c r="D4587" s="6" t="s">
        <v>5121</v>
      </c>
      <c r="E4587" s="6" t="s">
        <v>22</v>
      </c>
      <c r="F4587" s="6" t="n">
        <v>2</v>
      </c>
      <c r="G4587" s="10" t="n">
        <v>977</v>
      </c>
      <c r="H4587" s="10" t="n">
        <f aca="false">F4587*G4587</f>
        <v>1954</v>
      </c>
      <c r="I4587" s="6" t="s">
        <v>5122</v>
      </c>
    </row>
    <row r="4588" customFormat="false" ht="15" hidden="false" customHeight="false" outlineLevel="0" collapsed="false">
      <c r="A4588" s="6" t="s">
        <v>9812</v>
      </c>
      <c r="B4588" s="6" t="s">
        <v>4395</v>
      </c>
      <c r="C4588" s="26" t="n">
        <v>46173</v>
      </c>
      <c r="D4588" s="6" t="s">
        <v>5226</v>
      </c>
      <c r="E4588" s="6" t="s">
        <v>24</v>
      </c>
      <c r="F4588" s="6" t="n">
        <v>1</v>
      </c>
      <c r="G4588" s="10" t="n">
        <v>457</v>
      </c>
      <c r="H4588" s="10" t="n">
        <f aca="false">F4588*G4588</f>
        <v>457</v>
      </c>
      <c r="I4588" s="6" t="s">
        <v>5122</v>
      </c>
    </row>
    <row r="4589" customFormat="false" ht="15" hidden="false" customHeight="false" outlineLevel="0" collapsed="false">
      <c r="A4589" s="6" t="s">
        <v>9813</v>
      </c>
      <c r="B4589" s="6" t="s">
        <v>4779</v>
      </c>
      <c r="C4589" s="26" t="n">
        <v>46173</v>
      </c>
      <c r="D4589" s="6" t="s">
        <v>5163</v>
      </c>
      <c r="E4589" s="6" t="s">
        <v>23</v>
      </c>
      <c r="F4589" s="6" t="n">
        <v>1</v>
      </c>
      <c r="G4589" s="10" t="n">
        <v>783</v>
      </c>
      <c r="H4589" s="10" t="n">
        <f aca="false">F4589*G4589</f>
        <v>783</v>
      </c>
      <c r="I4589" s="6" t="s">
        <v>5130</v>
      </c>
    </row>
    <row r="4590" customFormat="false" ht="15" hidden="false" customHeight="false" outlineLevel="0" collapsed="false">
      <c r="A4590" s="6" t="s">
        <v>9814</v>
      </c>
      <c r="B4590" s="6" t="s">
        <v>1041</v>
      </c>
      <c r="C4590" s="26" t="n">
        <v>46173</v>
      </c>
      <c r="D4590" s="6" t="s">
        <v>5224</v>
      </c>
      <c r="E4590" s="6" t="s">
        <v>23</v>
      </c>
      <c r="F4590" s="6" t="n">
        <v>4</v>
      </c>
      <c r="G4590" s="10" t="n">
        <v>195</v>
      </c>
      <c r="H4590" s="10" t="n">
        <f aca="false">F4590*G4590</f>
        <v>780</v>
      </c>
      <c r="I4590" s="6" t="s">
        <v>5130</v>
      </c>
    </row>
    <row r="4591" customFormat="false" ht="15" hidden="false" customHeight="false" outlineLevel="0" collapsed="false">
      <c r="A4591" s="6" t="s">
        <v>9815</v>
      </c>
      <c r="B4591" s="6" t="s">
        <v>227</v>
      </c>
      <c r="C4591" s="26" t="n">
        <v>46173</v>
      </c>
      <c r="D4591" s="6" t="s">
        <v>5488</v>
      </c>
      <c r="E4591" s="6" t="s">
        <v>24</v>
      </c>
      <c r="F4591" s="6" t="n">
        <v>1</v>
      </c>
      <c r="G4591" s="10" t="n">
        <v>823</v>
      </c>
      <c r="H4591" s="10" t="n">
        <f aca="false">F4591*G4591</f>
        <v>823</v>
      </c>
      <c r="I4591" s="6" t="s">
        <v>5122</v>
      </c>
    </row>
    <row r="4592" customFormat="false" ht="15" hidden="false" customHeight="false" outlineLevel="0" collapsed="false">
      <c r="A4592" s="6" t="s">
        <v>9816</v>
      </c>
      <c r="B4592" s="6" t="s">
        <v>1981</v>
      </c>
      <c r="C4592" s="26" t="n">
        <v>46173</v>
      </c>
      <c r="D4592" s="6" t="s">
        <v>5121</v>
      </c>
      <c r="E4592" s="6" t="s">
        <v>22</v>
      </c>
      <c r="F4592" s="6" t="n">
        <v>2</v>
      </c>
      <c r="G4592" s="10" t="n">
        <v>880</v>
      </c>
      <c r="H4592" s="10" t="n">
        <f aca="false">F4592*G4592</f>
        <v>1760</v>
      </c>
      <c r="I4592" s="6" t="s">
        <v>5133</v>
      </c>
    </row>
    <row r="4593" customFormat="false" ht="15" hidden="false" customHeight="false" outlineLevel="0" collapsed="false">
      <c r="A4593" s="6" t="s">
        <v>9817</v>
      </c>
      <c r="B4593" s="6" t="s">
        <v>4349</v>
      </c>
      <c r="C4593" s="26" t="n">
        <v>46173</v>
      </c>
      <c r="D4593" s="6" t="s">
        <v>5150</v>
      </c>
      <c r="E4593" s="6" t="s">
        <v>24</v>
      </c>
      <c r="F4593" s="6" t="n">
        <v>1</v>
      </c>
      <c r="G4593" s="10" t="n">
        <v>458</v>
      </c>
      <c r="H4593" s="10" t="n">
        <f aca="false">F4593*G4593</f>
        <v>458</v>
      </c>
      <c r="I4593" s="6" t="s">
        <v>5122</v>
      </c>
    </row>
    <row r="4594" customFormat="false" ht="15" hidden="false" customHeight="false" outlineLevel="0" collapsed="false">
      <c r="A4594" s="6" t="s">
        <v>9818</v>
      </c>
      <c r="B4594" s="6" t="s">
        <v>340</v>
      </c>
      <c r="C4594" s="26" t="n">
        <v>46173</v>
      </c>
      <c r="D4594" s="6" t="s">
        <v>5807</v>
      </c>
      <c r="E4594" s="6" t="s">
        <v>20</v>
      </c>
      <c r="F4594" s="6" t="n">
        <v>1</v>
      </c>
      <c r="G4594" s="10" t="n">
        <v>14531</v>
      </c>
      <c r="H4594" s="10" t="n">
        <f aca="false">F4594*G4594</f>
        <v>14531</v>
      </c>
      <c r="I4594" s="6" t="s">
        <v>5122</v>
      </c>
    </row>
    <row r="4595" customFormat="false" ht="15" hidden="false" customHeight="false" outlineLevel="0" collapsed="false">
      <c r="A4595" s="6" t="s">
        <v>9819</v>
      </c>
      <c r="B4595" s="6" t="s">
        <v>4849</v>
      </c>
      <c r="C4595" s="26" t="n">
        <v>46173</v>
      </c>
      <c r="D4595" s="6" t="s">
        <v>5298</v>
      </c>
      <c r="E4595" s="6" t="s">
        <v>23</v>
      </c>
      <c r="F4595" s="6" t="n">
        <v>2</v>
      </c>
      <c r="G4595" s="10" t="n">
        <v>264</v>
      </c>
      <c r="H4595" s="10" t="n">
        <f aca="false">F4595*G4595</f>
        <v>528</v>
      </c>
      <c r="I4595" s="6" t="s">
        <v>5122</v>
      </c>
    </row>
    <row r="4596" customFormat="false" ht="15" hidden="false" customHeight="false" outlineLevel="0" collapsed="false">
      <c r="A4596" s="6" t="s">
        <v>9820</v>
      </c>
      <c r="B4596" s="6" t="s">
        <v>3277</v>
      </c>
      <c r="C4596" s="26" t="n">
        <v>46173</v>
      </c>
      <c r="D4596" s="6" t="s">
        <v>5326</v>
      </c>
      <c r="E4596" s="6" t="s">
        <v>22</v>
      </c>
      <c r="F4596" s="6" t="n">
        <v>2</v>
      </c>
      <c r="G4596" s="10" t="n">
        <v>1320</v>
      </c>
      <c r="H4596" s="10" t="n">
        <f aca="false">F4596*G4596</f>
        <v>2640</v>
      </c>
      <c r="I4596" s="6" t="s">
        <v>5122</v>
      </c>
    </row>
    <row r="4597" customFormat="false" ht="15" hidden="false" customHeight="false" outlineLevel="0" collapsed="false">
      <c r="A4597" s="6" t="s">
        <v>9821</v>
      </c>
      <c r="B4597" s="6" t="s">
        <v>2907</v>
      </c>
      <c r="C4597" s="26" t="n">
        <v>46173</v>
      </c>
      <c r="D4597" s="6" t="s">
        <v>5167</v>
      </c>
      <c r="E4597" s="6" t="s">
        <v>22</v>
      </c>
      <c r="F4597" s="6" t="n">
        <v>1</v>
      </c>
      <c r="G4597" s="10" t="n">
        <v>702</v>
      </c>
      <c r="H4597" s="10" t="n">
        <f aca="false">F4597*G4597</f>
        <v>702</v>
      </c>
      <c r="I4597" s="6" t="s">
        <v>5122</v>
      </c>
    </row>
    <row r="4598" customFormat="false" ht="15" hidden="false" customHeight="false" outlineLevel="0" collapsed="false">
      <c r="A4598" s="6" t="s">
        <v>9822</v>
      </c>
      <c r="B4598" s="6" t="s">
        <v>5073</v>
      </c>
      <c r="C4598" s="26" t="n">
        <v>46173</v>
      </c>
      <c r="D4598" s="6" t="s">
        <v>5135</v>
      </c>
      <c r="E4598" s="6" t="s">
        <v>23</v>
      </c>
      <c r="F4598" s="6" t="n">
        <v>1</v>
      </c>
      <c r="G4598" s="10" t="n">
        <v>397</v>
      </c>
      <c r="H4598" s="10" t="n">
        <f aca="false">F4598*G4598</f>
        <v>397</v>
      </c>
      <c r="I4598" s="6" t="s">
        <v>5122</v>
      </c>
    </row>
    <row r="4599" customFormat="false" ht="15" hidden="false" customHeight="false" outlineLevel="0" collapsed="false">
      <c r="A4599" s="6" t="s">
        <v>9823</v>
      </c>
      <c r="B4599" s="6" t="s">
        <v>919</v>
      </c>
      <c r="C4599" s="26" t="n">
        <v>46173</v>
      </c>
      <c r="D4599" s="6" t="s">
        <v>5175</v>
      </c>
      <c r="E4599" s="6" t="s">
        <v>24</v>
      </c>
      <c r="F4599" s="6" t="n">
        <v>1</v>
      </c>
      <c r="G4599" s="10" t="n">
        <v>610</v>
      </c>
      <c r="H4599" s="10" t="n">
        <f aca="false">F4599*G4599</f>
        <v>610</v>
      </c>
      <c r="I4599" s="6" t="s">
        <v>5122</v>
      </c>
    </row>
    <row r="4600" customFormat="false" ht="15" hidden="false" customHeight="false" outlineLevel="0" collapsed="false">
      <c r="A4600" s="6" t="s">
        <v>9824</v>
      </c>
      <c r="B4600" s="6" t="s">
        <v>3113</v>
      </c>
      <c r="C4600" s="26" t="n">
        <v>46174</v>
      </c>
      <c r="D4600" s="6" t="s">
        <v>5180</v>
      </c>
      <c r="E4600" s="6" t="s">
        <v>24</v>
      </c>
      <c r="F4600" s="6" t="n">
        <v>2</v>
      </c>
      <c r="G4600" s="10" t="n">
        <v>1987</v>
      </c>
      <c r="H4600" s="10" t="n">
        <f aca="false">F4600*G4600</f>
        <v>3974</v>
      </c>
      <c r="I4600" s="6" t="s">
        <v>5125</v>
      </c>
    </row>
    <row r="4601" customFormat="false" ht="15" hidden="false" customHeight="false" outlineLevel="0" collapsed="false">
      <c r="A4601" s="6" t="s">
        <v>9825</v>
      </c>
      <c r="B4601" s="6" t="s">
        <v>2773</v>
      </c>
      <c r="C4601" s="26" t="n">
        <v>46174</v>
      </c>
      <c r="D4601" s="6" t="s">
        <v>5127</v>
      </c>
      <c r="E4601" s="6" t="s">
        <v>21</v>
      </c>
      <c r="F4601" s="6" t="n">
        <v>1</v>
      </c>
      <c r="G4601" s="10" t="n">
        <v>884</v>
      </c>
      <c r="H4601" s="10" t="n">
        <f aca="false">F4601*G4601</f>
        <v>884</v>
      </c>
      <c r="I4601" s="6" t="s">
        <v>5148</v>
      </c>
    </row>
    <row r="4602" customFormat="false" ht="15" hidden="false" customHeight="false" outlineLevel="0" collapsed="false">
      <c r="A4602" s="6" t="s">
        <v>9826</v>
      </c>
      <c r="B4602" s="6" t="s">
        <v>4955</v>
      </c>
      <c r="C4602" s="26" t="n">
        <v>46174</v>
      </c>
      <c r="D4602" s="6" t="s">
        <v>5167</v>
      </c>
      <c r="E4602" s="6" t="s">
        <v>22</v>
      </c>
      <c r="F4602" s="6" t="n">
        <v>1</v>
      </c>
      <c r="G4602" s="10" t="n">
        <v>743</v>
      </c>
      <c r="H4602" s="10" t="n">
        <f aca="false">F4602*G4602</f>
        <v>743</v>
      </c>
      <c r="I4602" s="6" t="s">
        <v>5125</v>
      </c>
    </row>
    <row r="4603" customFormat="false" ht="15" hidden="false" customHeight="false" outlineLevel="0" collapsed="false">
      <c r="A4603" s="6" t="s">
        <v>9827</v>
      </c>
      <c r="B4603" s="6" t="s">
        <v>3849</v>
      </c>
      <c r="C4603" s="26" t="n">
        <v>46174</v>
      </c>
      <c r="D4603" s="6" t="s">
        <v>5163</v>
      </c>
      <c r="E4603" s="6" t="s">
        <v>23</v>
      </c>
      <c r="F4603" s="6" t="n">
        <v>5</v>
      </c>
      <c r="G4603" s="10" t="n">
        <v>744</v>
      </c>
      <c r="H4603" s="10" t="n">
        <f aca="false">F4603*G4603</f>
        <v>3720</v>
      </c>
      <c r="I4603" s="6" t="s">
        <v>5125</v>
      </c>
    </row>
    <row r="4604" customFormat="false" ht="15" hidden="false" customHeight="false" outlineLevel="0" collapsed="false">
      <c r="A4604" s="6" t="s">
        <v>9828</v>
      </c>
      <c r="B4604" s="6" t="s">
        <v>3753</v>
      </c>
      <c r="C4604" s="26" t="n">
        <v>46174</v>
      </c>
      <c r="D4604" s="6" t="s">
        <v>5165</v>
      </c>
      <c r="E4604" s="6" t="s">
        <v>22</v>
      </c>
      <c r="F4604" s="6" t="n">
        <v>3</v>
      </c>
      <c r="G4604" s="10" t="n">
        <v>977</v>
      </c>
      <c r="H4604" s="10" t="n">
        <f aca="false">F4604*G4604</f>
        <v>2931</v>
      </c>
      <c r="I4604" s="6" t="s">
        <v>5148</v>
      </c>
    </row>
    <row r="4605" customFormat="false" ht="15" hidden="false" customHeight="false" outlineLevel="0" collapsed="false">
      <c r="A4605" s="6" t="s">
        <v>9829</v>
      </c>
      <c r="B4605" s="6" t="s">
        <v>4605</v>
      </c>
      <c r="C4605" s="26" t="n">
        <v>46174</v>
      </c>
      <c r="D4605" s="6" t="s">
        <v>5305</v>
      </c>
      <c r="E4605" s="6" t="s">
        <v>20</v>
      </c>
      <c r="F4605" s="6" t="n">
        <v>1</v>
      </c>
      <c r="G4605" s="10" t="n">
        <v>1549</v>
      </c>
      <c r="H4605" s="10" t="n">
        <f aca="false">F4605*G4605</f>
        <v>1549</v>
      </c>
      <c r="I4605" s="6" t="s">
        <v>5133</v>
      </c>
    </row>
    <row r="4606" customFormat="false" ht="15" hidden="false" customHeight="false" outlineLevel="0" collapsed="false">
      <c r="A4606" s="6" t="s">
        <v>9830</v>
      </c>
      <c r="B4606" s="6" t="s">
        <v>4919</v>
      </c>
      <c r="C4606" s="26" t="n">
        <v>46174</v>
      </c>
      <c r="D4606" s="6" t="s">
        <v>5318</v>
      </c>
      <c r="E4606" s="6" t="s">
        <v>20</v>
      </c>
      <c r="F4606" s="6" t="n">
        <v>1</v>
      </c>
      <c r="G4606" s="10" t="n">
        <v>1529</v>
      </c>
      <c r="H4606" s="10" t="n">
        <f aca="false">F4606*G4606</f>
        <v>1529</v>
      </c>
      <c r="I4606" s="6" t="s">
        <v>5122</v>
      </c>
    </row>
    <row r="4607" customFormat="false" ht="15" hidden="false" customHeight="false" outlineLevel="0" collapsed="false">
      <c r="A4607" s="6" t="s">
        <v>9831</v>
      </c>
      <c r="B4607" s="6" t="s">
        <v>2807</v>
      </c>
      <c r="C4607" s="26" t="n">
        <v>46174</v>
      </c>
      <c r="D4607" s="6" t="s">
        <v>5167</v>
      </c>
      <c r="E4607" s="6" t="s">
        <v>22</v>
      </c>
      <c r="F4607" s="6" t="n">
        <v>2</v>
      </c>
      <c r="G4607" s="10" t="n">
        <v>743</v>
      </c>
      <c r="H4607" s="10" t="n">
        <f aca="false">F4607*G4607</f>
        <v>1486</v>
      </c>
      <c r="I4607" s="6" t="s">
        <v>5148</v>
      </c>
    </row>
    <row r="4608" customFormat="false" ht="15" hidden="false" customHeight="false" outlineLevel="0" collapsed="false">
      <c r="A4608" s="6" t="s">
        <v>9832</v>
      </c>
      <c r="B4608" s="6" t="s">
        <v>1571</v>
      </c>
      <c r="C4608" s="26" t="n">
        <v>46174</v>
      </c>
      <c r="D4608" s="6" t="s">
        <v>5171</v>
      </c>
      <c r="E4608" s="6" t="s">
        <v>23</v>
      </c>
      <c r="F4608" s="6" t="n">
        <v>2</v>
      </c>
      <c r="G4608" s="10" t="n">
        <v>697</v>
      </c>
      <c r="H4608" s="10" t="n">
        <f aca="false">F4608*G4608</f>
        <v>1394</v>
      </c>
      <c r="I4608" s="6" t="s">
        <v>5148</v>
      </c>
    </row>
    <row r="4609" customFormat="false" ht="15" hidden="false" customHeight="false" outlineLevel="0" collapsed="false">
      <c r="A4609" s="6" t="s">
        <v>9833</v>
      </c>
      <c r="B4609" s="6" t="s">
        <v>695</v>
      </c>
      <c r="C4609" s="26" t="n">
        <v>46174</v>
      </c>
      <c r="D4609" s="6" t="s">
        <v>5316</v>
      </c>
      <c r="E4609" s="6" t="s">
        <v>23</v>
      </c>
      <c r="F4609" s="6" t="n">
        <v>3</v>
      </c>
      <c r="G4609" s="10" t="n">
        <v>247</v>
      </c>
      <c r="H4609" s="10" t="n">
        <f aca="false">F4609*G4609</f>
        <v>741</v>
      </c>
      <c r="I4609" s="6" t="s">
        <v>5133</v>
      </c>
    </row>
    <row r="4610" customFormat="false" ht="15" hidden="false" customHeight="false" outlineLevel="0" collapsed="false">
      <c r="A4610" s="6" t="s">
        <v>9834</v>
      </c>
      <c r="B4610" s="6" t="s">
        <v>541</v>
      </c>
      <c r="C4610" s="26" t="n">
        <v>46174</v>
      </c>
      <c r="D4610" s="6" t="s">
        <v>5220</v>
      </c>
      <c r="E4610" s="6" t="s">
        <v>24</v>
      </c>
      <c r="F4610" s="6" t="n">
        <v>1</v>
      </c>
      <c r="G4610" s="10" t="n">
        <v>1009</v>
      </c>
      <c r="H4610" s="10" t="n">
        <f aca="false">F4610*G4610</f>
        <v>1009</v>
      </c>
      <c r="I4610" s="6" t="s">
        <v>5125</v>
      </c>
    </row>
    <row r="4611" customFormat="false" ht="15" hidden="false" customHeight="false" outlineLevel="0" collapsed="false">
      <c r="A4611" s="6" t="s">
        <v>9835</v>
      </c>
      <c r="B4611" s="6" t="s">
        <v>3929</v>
      </c>
      <c r="C4611" s="26" t="n">
        <v>46174</v>
      </c>
      <c r="D4611" s="6" t="s">
        <v>5216</v>
      </c>
      <c r="E4611" s="6" t="s">
        <v>23</v>
      </c>
      <c r="F4611" s="6" t="n">
        <v>1</v>
      </c>
      <c r="G4611" s="10" t="n">
        <v>587</v>
      </c>
      <c r="H4611" s="10" t="n">
        <f aca="false">F4611*G4611</f>
        <v>587</v>
      </c>
      <c r="I4611" s="6" t="s">
        <v>5122</v>
      </c>
    </row>
    <row r="4612" customFormat="false" ht="15" hidden="false" customHeight="false" outlineLevel="0" collapsed="false">
      <c r="A4612" s="6" t="s">
        <v>9836</v>
      </c>
      <c r="B4612" s="6" t="s">
        <v>4371</v>
      </c>
      <c r="C4612" s="26" t="n">
        <v>46174</v>
      </c>
      <c r="D4612" s="6" t="s">
        <v>5158</v>
      </c>
      <c r="E4612" s="6" t="s">
        <v>24</v>
      </c>
      <c r="F4612" s="6" t="n">
        <v>1</v>
      </c>
      <c r="G4612" s="10" t="n">
        <v>433</v>
      </c>
      <c r="H4612" s="10" t="n">
        <f aca="false">F4612*G4612</f>
        <v>433</v>
      </c>
      <c r="I4612" s="6" t="s">
        <v>5173</v>
      </c>
    </row>
    <row r="4613" customFormat="false" ht="15" hidden="false" customHeight="false" outlineLevel="0" collapsed="false">
      <c r="A4613" s="6" t="s">
        <v>9837</v>
      </c>
      <c r="B4613" s="6" t="s">
        <v>723</v>
      </c>
      <c r="C4613" s="26" t="n">
        <v>46174</v>
      </c>
      <c r="D4613" s="6" t="s">
        <v>5538</v>
      </c>
      <c r="E4613" s="6" t="s">
        <v>21</v>
      </c>
      <c r="F4613" s="6" t="n">
        <v>1</v>
      </c>
      <c r="G4613" s="10" t="n">
        <v>5405</v>
      </c>
      <c r="H4613" s="10" t="n">
        <f aca="false">F4613*G4613</f>
        <v>5405</v>
      </c>
      <c r="I4613" s="6" t="s">
        <v>5130</v>
      </c>
    </row>
    <row r="4614" customFormat="false" ht="15" hidden="false" customHeight="false" outlineLevel="0" collapsed="false">
      <c r="A4614" s="6" t="s">
        <v>9838</v>
      </c>
      <c r="B4614" s="6" t="s">
        <v>4391</v>
      </c>
      <c r="C4614" s="26" t="n">
        <v>46174</v>
      </c>
      <c r="D4614" s="6" t="s">
        <v>5171</v>
      </c>
      <c r="E4614" s="6" t="s">
        <v>23</v>
      </c>
      <c r="F4614" s="6" t="n">
        <v>2</v>
      </c>
      <c r="G4614" s="10" t="n">
        <v>734</v>
      </c>
      <c r="H4614" s="10" t="n">
        <f aca="false">F4614*G4614</f>
        <v>1468</v>
      </c>
      <c r="I4614" s="6" t="s">
        <v>5122</v>
      </c>
    </row>
    <row r="4615" customFormat="false" ht="15" hidden="false" customHeight="false" outlineLevel="0" collapsed="false">
      <c r="A4615" s="6" t="s">
        <v>9839</v>
      </c>
      <c r="B4615" s="6" t="s">
        <v>1097</v>
      </c>
      <c r="C4615" s="26" t="n">
        <v>46174</v>
      </c>
      <c r="D4615" s="6" t="s">
        <v>5132</v>
      </c>
      <c r="E4615" s="6" t="s">
        <v>23</v>
      </c>
      <c r="F4615" s="6" t="n">
        <v>2</v>
      </c>
      <c r="G4615" s="10" t="n">
        <v>342</v>
      </c>
      <c r="H4615" s="10" t="n">
        <f aca="false">F4615*G4615</f>
        <v>684</v>
      </c>
      <c r="I4615" s="6" t="s">
        <v>5148</v>
      </c>
    </row>
    <row r="4616" customFormat="false" ht="15" hidden="false" customHeight="false" outlineLevel="0" collapsed="false">
      <c r="A4616" s="6" t="s">
        <v>9840</v>
      </c>
      <c r="B4616" s="6" t="s">
        <v>4951</v>
      </c>
      <c r="C4616" s="26" t="n">
        <v>46174</v>
      </c>
      <c r="D4616" s="6" t="s">
        <v>5303</v>
      </c>
      <c r="E4616" s="6" t="s">
        <v>22</v>
      </c>
      <c r="F4616" s="6" t="n">
        <v>1</v>
      </c>
      <c r="G4616" s="10" t="n">
        <v>2322</v>
      </c>
      <c r="H4616" s="10" t="n">
        <f aca="false">F4616*G4616</f>
        <v>2322</v>
      </c>
      <c r="I4616" s="6" t="s">
        <v>5122</v>
      </c>
    </row>
    <row r="4617" customFormat="false" ht="15" hidden="false" customHeight="false" outlineLevel="0" collapsed="false">
      <c r="A4617" s="6" t="s">
        <v>9841</v>
      </c>
      <c r="B4617" s="6" t="s">
        <v>4539</v>
      </c>
      <c r="C4617" s="26" t="n">
        <v>46174</v>
      </c>
      <c r="D4617" s="6" t="s">
        <v>5167</v>
      </c>
      <c r="E4617" s="6" t="s">
        <v>22</v>
      </c>
      <c r="F4617" s="6" t="n">
        <v>1</v>
      </c>
      <c r="G4617" s="10" t="n">
        <v>781</v>
      </c>
      <c r="H4617" s="10" t="n">
        <f aca="false">F4617*G4617</f>
        <v>781</v>
      </c>
      <c r="I4617" s="6" t="s">
        <v>5122</v>
      </c>
    </row>
    <row r="4618" customFormat="false" ht="15" hidden="false" customHeight="false" outlineLevel="0" collapsed="false">
      <c r="A4618" s="6" t="s">
        <v>9842</v>
      </c>
      <c r="B4618" s="6" t="s">
        <v>246</v>
      </c>
      <c r="C4618" s="26" t="n">
        <v>46174</v>
      </c>
      <c r="D4618" s="6" t="s">
        <v>5245</v>
      </c>
      <c r="E4618" s="6" t="s">
        <v>21</v>
      </c>
      <c r="F4618" s="6" t="n">
        <v>1</v>
      </c>
      <c r="G4618" s="10" t="n">
        <v>2456</v>
      </c>
      <c r="H4618" s="10" t="n">
        <f aca="false">F4618*G4618</f>
        <v>2456</v>
      </c>
      <c r="I4618" s="6" t="s">
        <v>5122</v>
      </c>
    </row>
    <row r="4619" customFormat="false" ht="15" hidden="false" customHeight="false" outlineLevel="0" collapsed="false">
      <c r="A4619" s="6" t="s">
        <v>9843</v>
      </c>
      <c r="B4619" s="6" t="s">
        <v>549</v>
      </c>
      <c r="C4619" s="26" t="n">
        <v>46174</v>
      </c>
      <c r="D4619" s="6" t="s">
        <v>5145</v>
      </c>
      <c r="E4619" s="6" t="s">
        <v>21</v>
      </c>
      <c r="F4619" s="6" t="n">
        <v>1</v>
      </c>
      <c r="G4619" s="10" t="n">
        <v>1277</v>
      </c>
      <c r="H4619" s="10" t="n">
        <f aca="false">F4619*G4619</f>
        <v>1277</v>
      </c>
      <c r="I4619" s="6" t="s">
        <v>5130</v>
      </c>
    </row>
    <row r="4620" customFormat="false" ht="15" hidden="false" customHeight="false" outlineLevel="0" collapsed="false">
      <c r="A4620" s="6" t="s">
        <v>9844</v>
      </c>
      <c r="B4620" s="6" t="s">
        <v>747</v>
      </c>
      <c r="C4620" s="26" t="n">
        <v>46174</v>
      </c>
      <c r="D4620" s="6" t="s">
        <v>5269</v>
      </c>
      <c r="E4620" s="6" t="s">
        <v>22</v>
      </c>
      <c r="F4620" s="6" t="n">
        <v>2</v>
      </c>
      <c r="G4620" s="10" t="n">
        <v>1144</v>
      </c>
      <c r="H4620" s="10" t="n">
        <f aca="false">F4620*G4620</f>
        <v>2288</v>
      </c>
      <c r="I4620" s="6" t="s">
        <v>5125</v>
      </c>
    </row>
    <row r="4621" customFormat="false" ht="15" hidden="false" customHeight="false" outlineLevel="0" collapsed="false">
      <c r="A4621" s="6" t="s">
        <v>9845</v>
      </c>
      <c r="B4621" s="6" t="s">
        <v>1001</v>
      </c>
      <c r="C4621" s="26" t="n">
        <v>46174</v>
      </c>
      <c r="D4621" s="6" t="s">
        <v>5237</v>
      </c>
      <c r="E4621" s="6" t="s">
        <v>24</v>
      </c>
      <c r="F4621" s="6" t="n">
        <v>2</v>
      </c>
      <c r="G4621" s="10" t="n">
        <v>1833</v>
      </c>
      <c r="H4621" s="10" t="n">
        <f aca="false">F4621*G4621</f>
        <v>3666</v>
      </c>
      <c r="I4621" s="6" t="s">
        <v>5133</v>
      </c>
    </row>
    <row r="4622" customFormat="false" ht="15" hidden="false" customHeight="false" outlineLevel="0" collapsed="false">
      <c r="A4622" s="6" t="s">
        <v>9846</v>
      </c>
      <c r="B4622" s="6" t="s">
        <v>801</v>
      </c>
      <c r="C4622" s="26" t="n">
        <v>46174</v>
      </c>
      <c r="D4622" s="6" t="s">
        <v>5749</v>
      </c>
      <c r="E4622" s="6" t="s">
        <v>20</v>
      </c>
      <c r="F4622" s="6" t="n">
        <v>1</v>
      </c>
      <c r="G4622" s="10" t="n">
        <v>815</v>
      </c>
      <c r="H4622" s="10" t="n">
        <f aca="false">F4622*G4622</f>
        <v>815</v>
      </c>
      <c r="I4622" s="6" t="s">
        <v>5122</v>
      </c>
    </row>
    <row r="4623" customFormat="false" ht="15" hidden="false" customHeight="false" outlineLevel="0" collapsed="false">
      <c r="A4623" s="6" t="s">
        <v>9847</v>
      </c>
      <c r="B4623" s="6" t="s">
        <v>3743</v>
      </c>
      <c r="C4623" s="26" t="n">
        <v>46174</v>
      </c>
      <c r="D4623" s="6" t="s">
        <v>5298</v>
      </c>
      <c r="E4623" s="6" t="s">
        <v>23</v>
      </c>
      <c r="F4623" s="6" t="n">
        <v>1</v>
      </c>
      <c r="G4623" s="10" t="n">
        <v>278</v>
      </c>
      <c r="H4623" s="10" t="n">
        <f aca="false">F4623*G4623</f>
        <v>278</v>
      </c>
      <c r="I4623" s="6" t="s">
        <v>5130</v>
      </c>
    </row>
    <row r="4624" customFormat="false" ht="15" hidden="false" customHeight="false" outlineLevel="0" collapsed="false">
      <c r="A4624" s="6" t="s">
        <v>9848</v>
      </c>
      <c r="B4624" s="6" t="s">
        <v>1201</v>
      </c>
      <c r="C4624" s="26" t="n">
        <v>46174</v>
      </c>
      <c r="D4624" s="6" t="s">
        <v>5165</v>
      </c>
      <c r="E4624" s="6" t="s">
        <v>22</v>
      </c>
      <c r="F4624" s="6" t="n">
        <v>1</v>
      </c>
      <c r="G4624" s="10" t="n">
        <v>977</v>
      </c>
      <c r="H4624" s="10" t="n">
        <f aca="false">F4624*G4624</f>
        <v>977</v>
      </c>
      <c r="I4624" s="6" t="s">
        <v>5122</v>
      </c>
    </row>
    <row r="4625" customFormat="false" ht="15" hidden="false" customHeight="false" outlineLevel="0" collapsed="false">
      <c r="A4625" s="6" t="s">
        <v>9849</v>
      </c>
      <c r="B4625" s="6" t="s">
        <v>4679</v>
      </c>
      <c r="C4625" s="26" t="n">
        <v>46174</v>
      </c>
      <c r="D4625" s="6" t="s">
        <v>5398</v>
      </c>
      <c r="E4625" s="6" t="s">
        <v>24</v>
      </c>
      <c r="F4625" s="6" t="n">
        <v>1</v>
      </c>
      <c r="G4625" s="10" t="n">
        <v>549</v>
      </c>
      <c r="H4625" s="10" t="n">
        <f aca="false">F4625*G4625</f>
        <v>549</v>
      </c>
      <c r="I4625" s="6" t="s">
        <v>5148</v>
      </c>
    </row>
    <row r="4626" customFormat="false" ht="15" hidden="false" customHeight="false" outlineLevel="0" collapsed="false">
      <c r="A4626" s="6" t="s">
        <v>9850</v>
      </c>
      <c r="B4626" s="6" t="s">
        <v>4345</v>
      </c>
      <c r="C4626" s="26" t="n">
        <v>46174</v>
      </c>
      <c r="D4626" s="6" t="s">
        <v>5141</v>
      </c>
      <c r="E4626" s="6" t="s">
        <v>20</v>
      </c>
      <c r="F4626" s="6" t="n">
        <v>2</v>
      </c>
      <c r="G4626" s="10" t="n">
        <v>1835</v>
      </c>
      <c r="H4626" s="10" t="n">
        <f aca="false">F4626*G4626</f>
        <v>3670</v>
      </c>
      <c r="I4626" s="6" t="s">
        <v>5125</v>
      </c>
    </row>
    <row r="4627" customFormat="false" ht="15" hidden="false" customHeight="false" outlineLevel="0" collapsed="false">
      <c r="A4627" s="6" t="s">
        <v>9851</v>
      </c>
      <c r="B4627" s="6" t="s">
        <v>3119</v>
      </c>
      <c r="C4627" s="26" t="n">
        <v>46174</v>
      </c>
      <c r="D4627" s="6" t="s">
        <v>5214</v>
      </c>
      <c r="E4627" s="6" t="s">
        <v>20</v>
      </c>
      <c r="F4627" s="6" t="n">
        <v>1</v>
      </c>
      <c r="G4627" s="10" t="n">
        <v>2039</v>
      </c>
      <c r="H4627" s="10" t="n">
        <f aca="false">F4627*G4627</f>
        <v>2039</v>
      </c>
      <c r="I4627" s="6" t="s">
        <v>5148</v>
      </c>
    </row>
    <row r="4628" customFormat="false" ht="15" hidden="false" customHeight="false" outlineLevel="0" collapsed="false">
      <c r="A4628" s="6" t="s">
        <v>9852</v>
      </c>
      <c r="B4628" s="6" t="s">
        <v>3121</v>
      </c>
      <c r="C4628" s="26" t="n">
        <v>46174</v>
      </c>
      <c r="D4628" s="6" t="s">
        <v>5357</v>
      </c>
      <c r="E4628" s="6" t="s">
        <v>23</v>
      </c>
      <c r="F4628" s="6" t="n">
        <v>3</v>
      </c>
      <c r="G4628" s="10" t="n">
        <v>534</v>
      </c>
      <c r="H4628" s="10" t="n">
        <f aca="false">F4628*G4628</f>
        <v>1602</v>
      </c>
      <c r="I4628" s="6" t="s">
        <v>5122</v>
      </c>
    </row>
    <row r="4629" customFormat="false" ht="15" hidden="false" customHeight="false" outlineLevel="0" collapsed="false">
      <c r="A4629" s="6" t="s">
        <v>9853</v>
      </c>
      <c r="B4629" s="6" t="s">
        <v>2511</v>
      </c>
      <c r="C4629" s="26" t="n">
        <v>46174</v>
      </c>
      <c r="D4629" s="6" t="s">
        <v>5242</v>
      </c>
      <c r="E4629" s="6" t="s">
        <v>23</v>
      </c>
      <c r="F4629" s="6" t="n">
        <v>1</v>
      </c>
      <c r="G4629" s="10" t="n">
        <v>334</v>
      </c>
      <c r="H4629" s="10" t="n">
        <f aca="false">F4629*G4629</f>
        <v>334</v>
      </c>
      <c r="I4629" s="6" t="s">
        <v>5173</v>
      </c>
    </row>
    <row r="4630" customFormat="false" ht="15" hidden="false" customHeight="false" outlineLevel="0" collapsed="false">
      <c r="A4630" s="6" t="s">
        <v>9854</v>
      </c>
      <c r="B4630" s="6" t="s">
        <v>1465</v>
      </c>
      <c r="C4630" s="26" t="n">
        <v>46174</v>
      </c>
      <c r="D4630" s="6" t="s">
        <v>5383</v>
      </c>
      <c r="E4630" s="6" t="s">
        <v>20</v>
      </c>
      <c r="F4630" s="6" t="n">
        <v>1</v>
      </c>
      <c r="G4630" s="10" t="n">
        <v>1065</v>
      </c>
      <c r="H4630" s="10" t="n">
        <f aca="false">F4630*G4630</f>
        <v>1065</v>
      </c>
      <c r="I4630" s="6" t="s">
        <v>5133</v>
      </c>
    </row>
    <row r="4631" customFormat="false" ht="15" hidden="false" customHeight="false" outlineLevel="0" collapsed="false">
      <c r="A4631" s="6" t="s">
        <v>9855</v>
      </c>
      <c r="B4631" s="6" t="s">
        <v>1805</v>
      </c>
      <c r="C4631" s="26" t="n">
        <v>46174</v>
      </c>
      <c r="D4631" s="6" t="s">
        <v>5137</v>
      </c>
      <c r="E4631" s="6" t="s">
        <v>21</v>
      </c>
      <c r="F4631" s="6" t="n">
        <v>1</v>
      </c>
      <c r="G4631" s="10" t="n">
        <v>1768</v>
      </c>
      <c r="H4631" s="10" t="n">
        <f aca="false">F4631*G4631</f>
        <v>1768</v>
      </c>
      <c r="I4631" s="6" t="s">
        <v>5122</v>
      </c>
    </row>
    <row r="4632" customFormat="false" ht="15" hidden="false" customHeight="false" outlineLevel="0" collapsed="false">
      <c r="A4632" s="6" t="s">
        <v>9856</v>
      </c>
      <c r="B4632" s="6" t="s">
        <v>2581</v>
      </c>
      <c r="C4632" s="26" t="n">
        <v>46174</v>
      </c>
      <c r="D4632" s="6" t="s">
        <v>5218</v>
      </c>
      <c r="E4632" s="6" t="s">
        <v>23</v>
      </c>
      <c r="F4632" s="6" t="n">
        <v>5</v>
      </c>
      <c r="G4632" s="10" t="n">
        <v>156</v>
      </c>
      <c r="H4632" s="10" t="n">
        <f aca="false">F4632*G4632</f>
        <v>780</v>
      </c>
      <c r="I4632" s="6" t="s">
        <v>5122</v>
      </c>
    </row>
    <row r="4633" customFormat="false" ht="15" hidden="false" customHeight="false" outlineLevel="0" collapsed="false">
      <c r="A4633" s="6" t="s">
        <v>9857</v>
      </c>
      <c r="B4633" s="6" t="s">
        <v>4501</v>
      </c>
      <c r="C4633" s="26" t="n">
        <v>46174</v>
      </c>
      <c r="D4633" s="6" t="s">
        <v>5147</v>
      </c>
      <c r="E4633" s="6" t="s">
        <v>24</v>
      </c>
      <c r="F4633" s="6" t="n">
        <v>2</v>
      </c>
      <c r="G4633" s="10" t="n">
        <v>661</v>
      </c>
      <c r="H4633" s="10" t="n">
        <f aca="false">F4633*G4633</f>
        <v>1322</v>
      </c>
      <c r="I4633" s="6" t="s">
        <v>5173</v>
      </c>
    </row>
    <row r="4634" customFormat="false" ht="15" hidden="false" customHeight="false" outlineLevel="0" collapsed="false">
      <c r="A4634" s="6" t="s">
        <v>9858</v>
      </c>
      <c r="B4634" s="6" t="s">
        <v>4509</v>
      </c>
      <c r="C4634" s="26" t="n">
        <v>46174</v>
      </c>
      <c r="D4634" s="6" t="s">
        <v>5124</v>
      </c>
      <c r="E4634" s="6" t="s">
        <v>21</v>
      </c>
      <c r="F4634" s="6" t="n">
        <v>3</v>
      </c>
      <c r="G4634" s="10" t="n">
        <v>3267</v>
      </c>
      <c r="H4634" s="10" t="n">
        <f aca="false">F4634*G4634</f>
        <v>9801</v>
      </c>
      <c r="I4634" s="6" t="s">
        <v>5122</v>
      </c>
    </row>
    <row r="4635" customFormat="false" ht="15" hidden="false" customHeight="false" outlineLevel="0" collapsed="false">
      <c r="A4635" s="6" t="s">
        <v>9859</v>
      </c>
      <c r="B4635" s="6" t="s">
        <v>1011</v>
      </c>
      <c r="C4635" s="26" t="n">
        <v>46174</v>
      </c>
      <c r="D4635" s="6" t="s">
        <v>5167</v>
      </c>
      <c r="E4635" s="6" t="s">
        <v>22</v>
      </c>
      <c r="F4635" s="6" t="n">
        <v>3</v>
      </c>
      <c r="G4635" s="10" t="n">
        <v>703</v>
      </c>
      <c r="H4635" s="10" t="n">
        <f aca="false">F4635*G4635</f>
        <v>2109</v>
      </c>
      <c r="I4635" s="6" t="s">
        <v>5148</v>
      </c>
    </row>
    <row r="4636" customFormat="false" ht="15" hidden="false" customHeight="false" outlineLevel="0" collapsed="false">
      <c r="A4636" s="6" t="s">
        <v>9860</v>
      </c>
      <c r="B4636" s="6" t="s">
        <v>3413</v>
      </c>
      <c r="C4636" s="26" t="n">
        <v>46174</v>
      </c>
      <c r="D4636" s="6" t="s">
        <v>5165</v>
      </c>
      <c r="E4636" s="6" t="s">
        <v>22</v>
      </c>
      <c r="F4636" s="6" t="n">
        <v>1</v>
      </c>
      <c r="G4636" s="10" t="n">
        <v>977</v>
      </c>
      <c r="H4636" s="10" t="n">
        <f aca="false">F4636*G4636</f>
        <v>977</v>
      </c>
      <c r="I4636" s="6" t="s">
        <v>5148</v>
      </c>
    </row>
    <row r="4637" customFormat="false" ht="15" hidden="false" customHeight="false" outlineLevel="0" collapsed="false">
      <c r="A4637" s="6" t="s">
        <v>9861</v>
      </c>
      <c r="B4637" s="6" t="s">
        <v>4777</v>
      </c>
      <c r="C4637" s="26" t="n">
        <v>46174</v>
      </c>
      <c r="D4637" s="6" t="s">
        <v>5167</v>
      </c>
      <c r="E4637" s="6" t="s">
        <v>22</v>
      </c>
      <c r="F4637" s="6" t="n">
        <v>2</v>
      </c>
      <c r="G4637" s="10" t="n">
        <v>782</v>
      </c>
      <c r="H4637" s="10" t="n">
        <f aca="false">F4637*G4637</f>
        <v>1564</v>
      </c>
      <c r="I4637" s="6" t="s">
        <v>5148</v>
      </c>
    </row>
    <row r="4638" customFormat="false" ht="15" hidden="false" customHeight="false" outlineLevel="0" collapsed="false">
      <c r="A4638" s="6" t="s">
        <v>9862</v>
      </c>
      <c r="B4638" s="6" t="s">
        <v>2677</v>
      </c>
      <c r="C4638" s="26" t="n">
        <v>46174</v>
      </c>
      <c r="D4638" s="6" t="s">
        <v>5167</v>
      </c>
      <c r="E4638" s="6" t="s">
        <v>22</v>
      </c>
      <c r="F4638" s="6" t="n">
        <v>2</v>
      </c>
      <c r="G4638" s="10" t="n">
        <v>782</v>
      </c>
      <c r="H4638" s="10" t="n">
        <f aca="false">F4638*G4638</f>
        <v>1564</v>
      </c>
      <c r="I4638" s="6" t="s">
        <v>5148</v>
      </c>
    </row>
    <row r="4639" customFormat="false" ht="15" hidden="false" customHeight="false" outlineLevel="0" collapsed="false">
      <c r="A4639" s="6" t="s">
        <v>9863</v>
      </c>
      <c r="B4639" s="6" t="s">
        <v>3543</v>
      </c>
      <c r="C4639" s="26" t="n">
        <v>46174</v>
      </c>
      <c r="D4639" s="6" t="s">
        <v>5460</v>
      </c>
      <c r="E4639" s="6" t="s">
        <v>24</v>
      </c>
      <c r="F4639" s="6" t="n">
        <v>2</v>
      </c>
      <c r="G4639" s="10" t="n">
        <v>555</v>
      </c>
      <c r="H4639" s="10" t="n">
        <f aca="false">F4639*G4639</f>
        <v>1110</v>
      </c>
      <c r="I4639" s="6" t="s">
        <v>5122</v>
      </c>
    </row>
    <row r="4640" customFormat="false" ht="15" hidden="false" customHeight="false" outlineLevel="0" collapsed="false">
      <c r="A4640" s="6" t="s">
        <v>9864</v>
      </c>
      <c r="B4640" s="6" t="s">
        <v>3539</v>
      </c>
      <c r="C4640" s="26" t="n">
        <v>46174</v>
      </c>
      <c r="D4640" s="6" t="s">
        <v>5298</v>
      </c>
      <c r="E4640" s="6" t="s">
        <v>23</v>
      </c>
      <c r="F4640" s="6" t="n">
        <v>3</v>
      </c>
      <c r="G4640" s="10" t="n">
        <v>293</v>
      </c>
      <c r="H4640" s="10" t="n">
        <f aca="false">F4640*G4640</f>
        <v>879</v>
      </c>
      <c r="I4640" s="6" t="s">
        <v>5122</v>
      </c>
    </row>
    <row r="4641" customFormat="false" ht="15" hidden="false" customHeight="false" outlineLevel="0" collapsed="false">
      <c r="A4641" s="6" t="s">
        <v>9865</v>
      </c>
      <c r="B4641" s="6" t="s">
        <v>1299</v>
      </c>
      <c r="C4641" s="26" t="n">
        <v>46174</v>
      </c>
      <c r="D4641" s="6" t="s">
        <v>5257</v>
      </c>
      <c r="E4641" s="6" t="s">
        <v>22</v>
      </c>
      <c r="F4641" s="6" t="n">
        <v>1</v>
      </c>
      <c r="G4641" s="10" t="n">
        <v>2024</v>
      </c>
      <c r="H4641" s="10" t="n">
        <f aca="false">F4641*G4641</f>
        <v>2024</v>
      </c>
      <c r="I4641" s="6" t="s">
        <v>5125</v>
      </c>
    </row>
    <row r="4642" customFormat="false" ht="15" hidden="false" customHeight="false" outlineLevel="0" collapsed="false">
      <c r="A4642" s="6" t="s">
        <v>9866</v>
      </c>
      <c r="B4642" s="6" t="s">
        <v>3083</v>
      </c>
      <c r="C4642" s="26" t="n">
        <v>46174</v>
      </c>
      <c r="D4642" s="6" t="s">
        <v>5383</v>
      </c>
      <c r="E4642" s="6" t="s">
        <v>20</v>
      </c>
      <c r="F4642" s="6" t="n">
        <v>1</v>
      </c>
      <c r="G4642" s="10" t="n">
        <v>1121</v>
      </c>
      <c r="H4642" s="10" t="n">
        <f aca="false">F4642*G4642</f>
        <v>1121</v>
      </c>
      <c r="I4642" s="6" t="s">
        <v>5173</v>
      </c>
    </row>
    <row r="4643" customFormat="false" ht="15" hidden="false" customHeight="false" outlineLevel="0" collapsed="false">
      <c r="A4643" s="6" t="s">
        <v>9867</v>
      </c>
      <c r="B4643" s="6" t="s">
        <v>4921</v>
      </c>
      <c r="C4643" s="26" t="n">
        <v>46174</v>
      </c>
      <c r="D4643" s="6" t="s">
        <v>5192</v>
      </c>
      <c r="E4643" s="6" t="s">
        <v>20</v>
      </c>
      <c r="F4643" s="6" t="n">
        <v>1</v>
      </c>
      <c r="G4643" s="10" t="n">
        <v>4078</v>
      </c>
      <c r="H4643" s="10" t="n">
        <f aca="false">F4643*G4643</f>
        <v>4078</v>
      </c>
      <c r="I4643" s="6" t="s">
        <v>5122</v>
      </c>
    </row>
    <row r="4644" customFormat="false" ht="15" hidden="false" customHeight="false" outlineLevel="0" collapsed="false">
      <c r="A4644" s="6" t="s">
        <v>9868</v>
      </c>
      <c r="B4644" s="6" t="s">
        <v>2327</v>
      </c>
      <c r="C4644" s="26" t="n">
        <v>46174</v>
      </c>
      <c r="D4644" s="6" t="s">
        <v>5188</v>
      </c>
      <c r="E4644" s="6" t="s">
        <v>24</v>
      </c>
      <c r="F4644" s="6" t="n">
        <v>1</v>
      </c>
      <c r="G4644" s="10" t="n">
        <v>916</v>
      </c>
      <c r="H4644" s="10" t="n">
        <f aca="false">F4644*G4644</f>
        <v>916</v>
      </c>
      <c r="I4644" s="6" t="s">
        <v>5122</v>
      </c>
    </row>
    <row r="4645" customFormat="false" ht="15" hidden="false" customHeight="false" outlineLevel="0" collapsed="false">
      <c r="A4645" s="6" t="s">
        <v>9869</v>
      </c>
      <c r="B4645" s="6" t="s">
        <v>4349</v>
      </c>
      <c r="C4645" s="26" t="n">
        <v>46174</v>
      </c>
      <c r="D4645" s="6" t="s">
        <v>5460</v>
      </c>
      <c r="E4645" s="6" t="s">
        <v>24</v>
      </c>
      <c r="F4645" s="6" t="n">
        <v>1</v>
      </c>
      <c r="G4645" s="10" t="n">
        <v>556</v>
      </c>
      <c r="H4645" s="10" t="n">
        <f aca="false">F4645*G4645</f>
        <v>556</v>
      </c>
      <c r="I4645" s="6" t="s">
        <v>5122</v>
      </c>
    </row>
    <row r="4646" customFormat="false" ht="15" hidden="false" customHeight="false" outlineLevel="0" collapsed="false">
      <c r="A4646" s="6" t="s">
        <v>9870</v>
      </c>
      <c r="B4646" s="6" t="s">
        <v>3755</v>
      </c>
      <c r="C4646" s="26" t="n">
        <v>46174</v>
      </c>
      <c r="D4646" s="6" t="s">
        <v>5129</v>
      </c>
      <c r="E4646" s="6" t="s">
        <v>21</v>
      </c>
      <c r="F4646" s="6" t="n">
        <v>1</v>
      </c>
      <c r="G4646" s="10" t="n">
        <v>589</v>
      </c>
      <c r="H4646" s="10" t="n">
        <f aca="false">F4646*G4646</f>
        <v>589</v>
      </c>
      <c r="I4646" s="6" t="s">
        <v>5125</v>
      </c>
    </row>
    <row r="4647" customFormat="false" ht="15" hidden="false" customHeight="false" outlineLevel="0" collapsed="false">
      <c r="A4647" s="6" t="s">
        <v>9871</v>
      </c>
      <c r="B4647" s="6" t="s">
        <v>301</v>
      </c>
      <c r="C4647" s="26" t="n">
        <v>46174</v>
      </c>
      <c r="D4647" s="6" t="s">
        <v>5194</v>
      </c>
      <c r="E4647" s="6" t="s">
        <v>22</v>
      </c>
      <c r="F4647" s="6" t="n">
        <v>1</v>
      </c>
      <c r="G4647" s="10" t="n">
        <v>2151</v>
      </c>
      <c r="H4647" s="10" t="n">
        <f aca="false">F4647*G4647</f>
        <v>2151</v>
      </c>
      <c r="I4647" s="6" t="s">
        <v>5173</v>
      </c>
    </row>
    <row r="4648" customFormat="false" ht="15" hidden="false" customHeight="false" outlineLevel="0" collapsed="false">
      <c r="A4648" s="6" t="s">
        <v>9872</v>
      </c>
      <c r="B4648" s="6" t="s">
        <v>931</v>
      </c>
      <c r="C4648" s="26" t="n">
        <v>46174</v>
      </c>
      <c r="D4648" s="6" t="s">
        <v>5132</v>
      </c>
      <c r="E4648" s="6" t="s">
        <v>23</v>
      </c>
      <c r="F4648" s="6" t="n">
        <v>1</v>
      </c>
      <c r="G4648" s="10" t="n">
        <v>342</v>
      </c>
      <c r="H4648" s="10" t="n">
        <f aca="false">F4648*G4648</f>
        <v>342</v>
      </c>
      <c r="I4648" s="6" t="s">
        <v>5130</v>
      </c>
    </row>
    <row r="4649" customFormat="false" ht="15" hidden="false" customHeight="false" outlineLevel="0" collapsed="false">
      <c r="A4649" s="6" t="s">
        <v>9873</v>
      </c>
      <c r="B4649" s="6" t="s">
        <v>1055</v>
      </c>
      <c r="C4649" s="26" t="n">
        <v>46174</v>
      </c>
      <c r="D4649" s="6" t="s">
        <v>5180</v>
      </c>
      <c r="E4649" s="6" t="s">
        <v>24</v>
      </c>
      <c r="F4649" s="6" t="n">
        <v>1</v>
      </c>
      <c r="G4649" s="10" t="n">
        <v>1987</v>
      </c>
      <c r="H4649" s="10" t="n">
        <f aca="false">F4649*G4649</f>
        <v>1987</v>
      </c>
      <c r="I4649" s="6" t="s">
        <v>5125</v>
      </c>
    </row>
    <row r="4650" customFormat="false" ht="15" hidden="false" customHeight="false" outlineLevel="0" collapsed="false">
      <c r="A4650" s="6" t="s">
        <v>9874</v>
      </c>
      <c r="B4650" s="6" t="s">
        <v>2489</v>
      </c>
      <c r="C4650" s="26" t="n">
        <v>46174</v>
      </c>
      <c r="D4650" s="6" t="s">
        <v>5129</v>
      </c>
      <c r="E4650" s="6" t="s">
        <v>21</v>
      </c>
      <c r="F4650" s="6" t="n">
        <v>1</v>
      </c>
      <c r="G4650" s="10" t="n">
        <v>589</v>
      </c>
      <c r="H4650" s="10" t="n">
        <f aca="false">F4650*G4650</f>
        <v>589</v>
      </c>
      <c r="I4650" s="6" t="s">
        <v>5122</v>
      </c>
    </row>
    <row r="4651" customFormat="false" ht="15" hidden="false" customHeight="false" outlineLevel="0" collapsed="false">
      <c r="A4651" s="6" t="s">
        <v>9875</v>
      </c>
      <c r="B4651" s="6" t="s">
        <v>4175</v>
      </c>
      <c r="C4651" s="26" t="n">
        <v>46174</v>
      </c>
      <c r="D4651" s="6" t="s">
        <v>5232</v>
      </c>
      <c r="E4651" s="6" t="s">
        <v>23</v>
      </c>
      <c r="F4651" s="6" t="n">
        <v>2</v>
      </c>
      <c r="G4651" s="10" t="n">
        <v>185</v>
      </c>
      <c r="H4651" s="10" t="n">
        <f aca="false">F4651*G4651</f>
        <v>370</v>
      </c>
      <c r="I4651" s="6" t="s">
        <v>5122</v>
      </c>
    </row>
    <row r="4652" customFormat="false" ht="15" hidden="false" customHeight="false" outlineLevel="0" collapsed="false">
      <c r="A4652" s="6" t="s">
        <v>9876</v>
      </c>
      <c r="B4652" s="6" t="s">
        <v>2129</v>
      </c>
      <c r="C4652" s="26" t="n">
        <v>46174</v>
      </c>
      <c r="D4652" s="6" t="s">
        <v>5456</v>
      </c>
      <c r="E4652" s="6" t="s">
        <v>24</v>
      </c>
      <c r="F4652" s="6" t="n">
        <v>1</v>
      </c>
      <c r="G4652" s="10" t="n">
        <v>912</v>
      </c>
      <c r="H4652" s="10" t="n">
        <f aca="false">F4652*G4652</f>
        <v>912</v>
      </c>
      <c r="I4652" s="6" t="s">
        <v>5148</v>
      </c>
    </row>
    <row r="4653" customFormat="false" ht="15" hidden="false" customHeight="false" outlineLevel="0" collapsed="false">
      <c r="A4653" s="6" t="s">
        <v>9877</v>
      </c>
      <c r="B4653" s="6" t="s">
        <v>1513</v>
      </c>
      <c r="C4653" s="26" t="n">
        <v>46175</v>
      </c>
      <c r="D4653" s="6" t="s">
        <v>5749</v>
      </c>
      <c r="E4653" s="6" t="s">
        <v>20</v>
      </c>
      <c r="F4653" s="6" t="n">
        <v>1</v>
      </c>
      <c r="G4653" s="10" t="n">
        <v>814</v>
      </c>
      <c r="H4653" s="10" t="n">
        <f aca="false">F4653*G4653</f>
        <v>814</v>
      </c>
      <c r="I4653" s="6" t="s">
        <v>5122</v>
      </c>
    </row>
    <row r="4654" customFormat="false" ht="15" hidden="false" customHeight="false" outlineLevel="0" collapsed="false">
      <c r="A4654" s="6" t="s">
        <v>9878</v>
      </c>
      <c r="B4654" s="6" t="s">
        <v>4205</v>
      </c>
      <c r="C4654" s="26" t="n">
        <v>46175</v>
      </c>
      <c r="D4654" s="6" t="s">
        <v>5273</v>
      </c>
      <c r="E4654" s="6" t="s">
        <v>23</v>
      </c>
      <c r="F4654" s="6" t="n">
        <v>2</v>
      </c>
      <c r="G4654" s="10" t="n">
        <v>216</v>
      </c>
      <c r="H4654" s="10" t="n">
        <f aca="false">F4654*G4654</f>
        <v>432</v>
      </c>
      <c r="I4654" s="6" t="s">
        <v>5130</v>
      </c>
    </row>
    <row r="4655" customFormat="false" ht="15" hidden="false" customHeight="false" outlineLevel="0" collapsed="false">
      <c r="A4655" s="6" t="s">
        <v>9879</v>
      </c>
      <c r="B4655" s="6" t="s">
        <v>3081</v>
      </c>
      <c r="C4655" s="26" t="n">
        <v>46175</v>
      </c>
      <c r="D4655" s="6" t="s">
        <v>5154</v>
      </c>
      <c r="E4655" s="6" t="s">
        <v>21</v>
      </c>
      <c r="F4655" s="6" t="n">
        <v>1</v>
      </c>
      <c r="G4655" s="10" t="n">
        <v>785</v>
      </c>
      <c r="H4655" s="10" t="n">
        <f aca="false">F4655*G4655</f>
        <v>785</v>
      </c>
      <c r="I4655" s="6" t="s">
        <v>5122</v>
      </c>
    </row>
    <row r="4656" customFormat="false" ht="15" hidden="false" customHeight="false" outlineLevel="0" collapsed="false">
      <c r="A4656" s="6" t="s">
        <v>9880</v>
      </c>
      <c r="B4656" s="6" t="s">
        <v>2959</v>
      </c>
      <c r="C4656" s="26" t="n">
        <v>46175</v>
      </c>
      <c r="D4656" s="6" t="s">
        <v>5150</v>
      </c>
      <c r="E4656" s="6" t="s">
        <v>24</v>
      </c>
      <c r="F4656" s="6" t="n">
        <v>3</v>
      </c>
      <c r="G4656" s="10" t="n">
        <v>508</v>
      </c>
      <c r="H4656" s="10" t="n">
        <f aca="false">F4656*G4656</f>
        <v>1524</v>
      </c>
      <c r="I4656" s="6" t="s">
        <v>5122</v>
      </c>
    </row>
    <row r="4657" customFormat="false" ht="15" hidden="false" customHeight="false" outlineLevel="0" collapsed="false">
      <c r="A4657" s="6" t="s">
        <v>9881</v>
      </c>
      <c r="B4657" s="6" t="s">
        <v>2831</v>
      </c>
      <c r="C4657" s="26" t="n">
        <v>46175</v>
      </c>
      <c r="D4657" s="6" t="s">
        <v>5143</v>
      </c>
      <c r="E4657" s="6" t="s">
        <v>21</v>
      </c>
      <c r="F4657" s="6" t="n">
        <v>3</v>
      </c>
      <c r="G4657" s="10" t="n">
        <v>1179</v>
      </c>
      <c r="H4657" s="10" t="n">
        <f aca="false">F4657*G4657</f>
        <v>3537</v>
      </c>
      <c r="I4657" s="6" t="s">
        <v>5130</v>
      </c>
    </row>
    <row r="4658" customFormat="false" ht="15" hidden="false" customHeight="false" outlineLevel="0" collapsed="false">
      <c r="A4658" s="6" t="s">
        <v>9882</v>
      </c>
      <c r="B4658" s="6" t="s">
        <v>4227</v>
      </c>
      <c r="C4658" s="26" t="n">
        <v>46175</v>
      </c>
      <c r="D4658" s="6" t="s">
        <v>5165</v>
      </c>
      <c r="E4658" s="6" t="s">
        <v>22</v>
      </c>
      <c r="F4658" s="6" t="n">
        <v>2</v>
      </c>
      <c r="G4658" s="10" t="n">
        <v>977</v>
      </c>
      <c r="H4658" s="10" t="n">
        <f aca="false">F4658*G4658</f>
        <v>1954</v>
      </c>
      <c r="I4658" s="6" t="s">
        <v>5125</v>
      </c>
    </row>
    <row r="4659" customFormat="false" ht="15" hidden="false" customHeight="false" outlineLevel="0" collapsed="false">
      <c r="A4659" s="6" t="s">
        <v>9883</v>
      </c>
      <c r="B4659" s="6" t="s">
        <v>3571</v>
      </c>
      <c r="C4659" s="26" t="n">
        <v>46175</v>
      </c>
      <c r="D4659" s="6" t="s">
        <v>5167</v>
      </c>
      <c r="E4659" s="6" t="s">
        <v>22</v>
      </c>
      <c r="F4659" s="6" t="n">
        <v>2</v>
      </c>
      <c r="G4659" s="10" t="n">
        <v>703</v>
      </c>
      <c r="H4659" s="10" t="n">
        <f aca="false">F4659*G4659</f>
        <v>1406</v>
      </c>
      <c r="I4659" s="6" t="s">
        <v>5130</v>
      </c>
    </row>
    <row r="4660" customFormat="false" ht="15" hidden="false" customHeight="false" outlineLevel="0" collapsed="false">
      <c r="A4660" s="6" t="s">
        <v>9884</v>
      </c>
      <c r="B4660" s="6" t="s">
        <v>2419</v>
      </c>
      <c r="C4660" s="26" t="n">
        <v>46175</v>
      </c>
      <c r="D4660" s="6" t="s">
        <v>5163</v>
      </c>
      <c r="E4660" s="6" t="s">
        <v>23</v>
      </c>
      <c r="F4660" s="6" t="n">
        <v>2</v>
      </c>
      <c r="G4660" s="10" t="n">
        <v>744</v>
      </c>
      <c r="H4660" s="10" t="n">
        <f aca="false">F4660*G4660</f>
        <v>1488</v>
      </c>
      <c r="I4660" s="6" t="s">
        <v>5125</v>
      </c>
    </row>
    <row r="4661" customFormat="false" ht="15" hidden="false" customHeight="false" outlineLevel="0" collapsed="false">
      <c r="A4661" s="6" t="s">
        <v>9885</v>
      </c>
      <c r="B4661" s="6" t="s">
        <v>1197</v>
      </c>
      <c r="C4661" s="26" t="n">
        <v>46175</v>
      </c>
      <c r="D4661" s="6" t="s">
        <v>5158</v>
      </c>
      <c r="E4661" s="6" t="s">
        <v>24</v>
      </c>
      <c r="F4661" s="6" t="n">
        <v>2</v>
      </c>
      <c r="G4661" s="10" t="n">
        <v>433</v>
      </c>
      <c r="H4661" s="10" t="n">
        <f aca="false">F4661*G4661</f>
        <v>866</v>
      </c>
      <c r="I4661" s="6" t="s">
        <v>5122</v>
      </c>
    </row>
    <row r="4662" customFormat="false" ht="15" hidden="false" customHeight="false" outlineLevel="0" collapsed="false">
      <c r="A4662" s="6" t="s">
        <v>9886</v>
      </c>
      <c r="B4662" s="6" t="s">
        <v>747</v>
      </c>
      <c r="C4662" s="26" t="n">
        <v>46175</v>
      </c>
      <c r="D4662" s="6" t="s">
        <v>5482</v>
      </c>
      <c r="E4662" s="6" t="s">
        <v>23</v>
      </c>
      <c r="F4662" s="6" t="n">
        <v>3</v>
      </c>
      <c r="G4662" s="10" t="n">
        <v>269</v>
      </c>
      <c r="H4662" s="10" t="n">
        <f aca="false">F4662*G4662</f>
        <v>807</v>
      </c>
      <c r="I4662" s="6" t="s">
        <v>5148</v>
      </c>
    </row>
    <row r="4663" customFormat="false" ht="15" hidden="false" customHeight="false" outlineLevel="0" collapsed="false">
      <c r="A4663" s="6" t="s">
        <v>9887</v>
      </c>
      <c r="B4663" s="6" t="s">
        <v>1819</v>
      </c>
      <c r="C4663" s="26" t="n">
        <v>46175</v>
      </c>
      <c r="D4663" s="6" t="s">
        <v>5135</v>
      </c>
      <c r="E4663" s="6" t="s">
        <v>23</v>
      </c>
      <c r="F4663" s="6" t="n">
        <v>1</v>
      </c>
      <c r="G4663" s="10" t="n">
        <v>441</v>
      </c>
      <c r="H4663" s="10" t="n">
        <f aca="false">F4663*G4663</f>
        <v>441</v>
      </c>
      <c r="I4663" s="6" t="s">
        <v>5122</v>
      </c>
    </row>
    <row r="4664" customFormat="false" ht="15" hidden="false" customHeight="false" outlineLevel="0" collapsed="false">
      <c r="A4664" s="6" t="s">
        <v>9888</v>
      </c>
      <c r="B4664" s="6" t="s">
        <v>2131</v>
      </c>
      <c r="C4664" s="26" t="n">
        <v>46175</v>
      </c>
      <c r="D4664" s="6" t="s">
        <v>5121</v>
      </c>
      <c r="E4664" s="6" t="s">
        <v>22</v>
      </c>
      <c r="F4664" s="6" t="n">
        <v>1</v>
      </c>
      <c r="G4664" s="10" t="n">
        <v>927</v>
      </c>
      <c r="H4664" s="10" t="n">
        <f aca="false">F4664*G4664</f>
        <v>927</v>
      </c>
      <c r="I4664" s="6" t="s">
        <v>5133</v>
      </c>
    </row>
    <row r="4665" customFormat="false" ht="15" hidden="false" customHeight="false" outlineLevel="0" collapsed="false">
      <c r="A4665" s="6" t="s">
        <v>9889</v>
      </c>
      <c r="B4665" s="6" t="s">
        <v>1827</v>
      </c>
      <c r="C4665" s="26" t="n">
        <v>46175</v>
      </c>
      <c r="D4665" s="6" t="s">
        <v>5167</v>
      </c>
      <c r="E4665" s="6" t="s">
        <v>22</v>
      </c>
      <c r="F4665" s="6" t="n">
        <v>1</v>
      </c>
      <c r="G4665" s="10" t="n">
        <v>703</v>
      </c>
      <c r="H4665" s="10" t="n">
        <f aca="false">F4665*G4665</f>
        <v>703</v>
      </c>
      <c r="I4665" s="6" t="s">
        <v>5122</v>
      </c>
    </row>
    <row r="4666" customFormat="false" ht="15" hidden="false" customHeight="false" outlineLevel="0" collapsed="false">
      <c r="A4666" s="6" t="s">
        <v>9890</v>
      </c>
      <c r="B4666" s="6" t="s">
        <v>983</v>
      </c>
      <c r="C4666" s="26" t="n">
        <v>46175</v>
      </c>
      <c r="D4666" s="6" t="s">
        <v>5129</v>
      </c>
      <c r="E4666" s="6" t="s">
        <v>21</v>
      </c>
      <c r="F4666" s="6" t="n">
        <v>1</v>
      </c>
      <c r="G4666" s="10" t="n">
        <v>589</v>
      </c>
      <c r="H4666" s="10" t="n">
        <f aca="false">F4666*G4666</f>
        <v>589</v>
      </c>
      <c r="I4666" s="6" t="s">
        <v>5148</v>
      </c>
    </row>
    <row r="4667" customFormat="false" ht="15" hidden="false" customHeight="false" outlineLevel="0" collapsed="false">
      <c r="A4667" s="6" t="s">
        <v>9891</v>
      </c>
      <c r="B4667" s="6" t="s">
        <v>4783</v>
      </c>
      <c r="C4667" s="26" t="n">
        <v>46175</v>
      </c>
      <c r="D4667" s="6" t="s">
        <v>5121</v>
      </c>
      <c r="E4667" s="6" t="s">
        <v>22</v>
      </c>
      <c r="F4667" s="6" t="n">
        <v>1</v>
      </c>
      <c r="G4667" s="10" t="n">
        <v>977</v>
      </c>
      <c r="H4667" s="10" t="n">
        <f aca="false">F4667*G4667</f>
        <v>977</v>
      </c>
      <c r="I4667" s="6" t="s">
        <v>5148</v>
      </c>
    </row>
    <row r="4668" customFormat="false" ht="15" hidden="false" customHeight="false" outlineLevel="0" collapsed="false">
      <c r="A4668" s="6" t="s">
        <v>9892</v>
      </c>
      <c r="B4668" s="6" t="s">
        <v>1363</v>
      </c>
      <c r="C4668" s="26" t="n">
        <v>46175</v>
      </c>
      <c r="D4668" s="6" t="s">
        <v>5129</v>
      </c>
      <c r="E4668" s="6" t="s">
        <v>21</v>
      </c>
      <c r="F4668" s="6" t="n">
        <v>1</v>
      </c>
      <c r="G4668" s="10" t="n">
        <v>589</v>
      </c>
      <c r="H4668" s="10" t="n">
        <f aca="false">F4668*G4668</f>
        <v>589</v>
      </c>
      <c r="I4668" s="6" t="s">
        <v>5133</v>
      </c>
    </row>
    <row r="4669" customFormat="false" ht="15" hidden="false" customHeight="false" outlineLevel="0" collapsed="false">
      <c r="A4669" s="6" t="s">
        <v>9893</v>
      </c>
      <c r="B4669" s="6" t="s">
        <v>2065</v>
      </c>
      <c r="C4669" s="26" t="n">
        <v>46175</v>
      </c>
      <c r="D4669" s="6" t="s">
        <v>5237</v>
      </c>
      <c r="E4669" s="6" t="s">
        <v>24</v>
      </c>
      <c r="F4669" s="6" t="n">
        <v>2</v>
      </c>
      <c r="G4669" s="10" t="n">
        <v>1833</v>
      </c>
      <c r="H4669" s="10" t="n">
        <f aca="false">F4669*G4669</f>
        <v>3666</v>
      </c>
      <c r="I4669" s="6" t="s">
        <v>5122</v>
      </c>
    </row>
    <row r="4670" customFormat="false" ht="15" hidden="false" customHeight="false" outlineLevel="0" collapsed="false">
      <c r="A4670" s="6" t="s">
        <v>9894</v>
      </c>
      <c r="B4670" s="6" t="s">
        <v>1807</v>
      </c>
      <c r="C4670" s="26" t="n">
        <v>46175</v>
      </c>
      <c r="D4670" s="6" t="s">
        <v>5171</v>
      </c>
      <c r="E4670" s="6" t="s">
        <v>23</v>
      </c>
      <c r="F4670" s="6" t="n">
        <v>5</v>
      </c>
      <c r="G4670" s="10" t="n">
        <v>697</v>
      </c>
      <c r="H4670" s="10" t="n">
        <f aca="false">F4670*G4670</f>
        <v>3485</v>
      </c>
      <c r="I4670" s="6" t="s">
        <v>5122</v>
      </c>
    </row>
    <row r="4671" customFormat="false" ht="15" hidden="false" customHeight="false" outlineLevel="0" collapsed="false">
      <c r="A4671" s="6" t="s">
        <v>9895</v>
      </c>
      <c r="B4671" s="6" t="s">
        <v>2527</v>
      </c>
      <c r="C4671" s="26" t="n">
        <v>46175</v>
      </c>
      <c r="D4671" s="6" t="s">
        <v>5163</v>
      </c>
      <c r="E4671" s="6" t="s">
        <v>23</v>
      </c>
      <c r="F4671" s="6" t="n">
        <v>3</v>
      </c>
      <c r="G4671" s="10" t="n">
        <v>783</v>
      </c>
      <c r="H4671" s="10" t="n">
        <f aca="false">F4671*G4671</f>
        <v>2349</v>
      </c>
      <c r="I4671" s="6" t="s">
        <v>5130</v>
      </c>
    </row>
    <row r="4672" customFormat="false" ht="15" hidden="false" customHeight="false" outlineLevel="0" collapsed="false">
      <c r="A4672" s="6" t="s">
        <v>9896</v>
      </c>
      <c r="B4672" s="6" t="s">
        <v>2967</v>
      </c>
      <c r="C4672" s="26" t="n">
        <v>46175</v>
      </c>
      <c r="D4672" s="6" t="s">
        <v>5269</v>
      </c>
      <c r="E4672" s="6" t="s">
        <v>22</v>
      </c>
      <c r="F4672" s="6" t="n">
        <v>1</v>
      </c>
      <c r="G4672" s="10" t="n">
        <v>1144</v>
      </c>
      <c r="H4672" s="10" t="n">
        <f aca="false">F4672*G4672</f>
        <v>1144</v>
      </c>
      <c r="I4672" s="6" t="s">
        <v>5122</v>
      </c>
    </row>
    <row r="4673" customFormat="false" ht="15" hidden="false" customHeight="false" outlineLevel="0" collapsed="false">
      <c r="A4673" s="6" t="s">
        <v>9897</v>
      </c>
      <c r="B4673" s="6" t="s">
        <v>3781</v>
      </c>
      <c r="C4673" s="26" t="n">
        <v>46175</v>
      </c>
      <c r="D4673" s="6" t="s">
        <v>5175</v>
      </c>
      <c r="E4673" s="6" t="s">
        <v>24</v>
      </c>
      <c r="F4673" s="6" t="n">
        <v>1</v>
      </c>
      <c r="G4673" s="10" t="n">
        <v>610</v>
      </c>
      <c r="H4673" s="10" t="n">
        <f aca="false">F4673*G4673</f>
        <v>610</v>
      </c>
      <c r="I4673" s="6" t="s">
        <v>5148</v>
      </c>
    </row>
    <row r="4674" customFormat="false" ht="15" hidden="false" customHeight="false" outlineLevel="0" collapsed="false">
      <c r="A4674" s="6" t="s">
        <v>9898</v>
      </c>
      <c r="B4674" s="6" t="s">
        <v>481</v>
      </c>
      <c r="C4674" s="26" t="n">
        <v>46175</v>
      </c>
      <c r="D4674" s="6" t="s">
        <v>5269</v>
      </c>
      <c r="E4674" s="6" t="s">
        <v>22</v>
      </c>
      <c r="F4674" s="6" t="n">
        <v>1</v>
      </c>
      <c r="G4674" s="10" t="n">
        <v>1144</v>
      </c>
      <c r="H4674" s="10" t="n">
        <f aca="false">F4674*G4674</f>
        <v>1144</v>
      </c>
      <c r="I4674" s="6" t="s">
        <v>5125</v>
      </c>
    </row>
    <row r="4675" customFormat="false" ht="15" hidden="false" customHeight="false" outlineLevel="0" collapsed="false">
      <c r="A4675" s="6" t="s">
        <v>9899</v>
      </c>
      <c r="B4675" s="6" t="s">
        <v>1699</v>
      </c>
      <c r="C4675" s="26" t="n">
        <v>46175</v>
      </c>
      <c r="D4675" s="6" t="s">
        <v>5171</v>
      </c>
      <c r="E4675" s="6" t="s">
        <v>23</v>
      </c>
      <c r="F4675" s="6" t="n">
        <v>2</v>
      </c>
      <c r="G4675" s="10" t="n">
        <v>734</v>
      </c>
      <c r="H4675" s="10" t="n">
        <f aca="false">F4675*G4675</f>
        <v>1468</v>
      </c>
      <c r="I4675" s="6" t="s">
        <v>5125</v>
      </c>
    </row>
    <row r="4676" customFormat="false" ht="15" hidden="false" customHeight="false" outlineLevel="0" collapsed="false">
      <c r="A4676" s="6" t="s">
        <v>9900</v>
      </c>
      <c r="B4676" s="6" t="s">
        <v>2169</v>
      </c>
      <c r="C4676" s="26" t="n">
        <v>46175</v>
      </c>
      <c r="D4676" s="6" t="s">
        <v>5152</v>
      </c>
      <c r="E4676" s="6" t="s">
        <v>22</v>
      </c>
      <c r="F4676" s="6" t="n">
        <v>1</v>
      </c>
      <c r="G4676" s="10" t="n">
        <v>1760</v>
      </c>
      <c r="H4676" s="10" t="n">
        <f aca="false">F4676*G4676</f>
        <v>1760</v>
      </c>
      <c r="I4676" s="6" t="s">
        <v>5122</v>
      </c>
    </row>
    <row r="4677" customFormat="false" ht="15" hidden="false" customHeight="false" outlineLevel="0" collapsed="false">
      <c r="A4677" s="6" t="s">
        <v>9901</v>
      </c>
      <c r="B4677" s="6" t="s">
        <v>390</v>
      </c>
      <c r="C4677" s="26" t="n">
        <v>46175</v>
      </c>
      <c r="D4677" s="6" t="s">
        <v>5165</v>
      </c>
      <c r="E4677" s="6" t="s">
        <v>22</v>
      </c>
      <c r="F4677" s="6" t="n">
        <v>2</v>
      </c>
      <c r="G4677" s="10" t="n">
        <v>880</v>
      </c>
      <c r="H4677" s="10" t="n">
        <f aca="false">F4677*G4677</f>
        <v>1760</v>
      </c>
      <c r="I4677" s="6" t="s">
        <v>5125</v>
      </c>
    </row>
    <row r="4678" customFormat="false" ht="15" hidden="false" customHeight="false" outlineLevel="0" collapsed="false">
      <c r="A4678" s="6" t="s">
        <v>9902</v>
      </c>
      <c r="B4678" s="6" t="s">
        <v>1127</v>
      </c>
      <c r="C4678" s="26" t="n">
        <v>46175</v>
      </c>
      <c r="D4678" s="6" t="s">
        <v>5837</v>
      </c>
      <c r="E4678" s="6" t="s">
        <v>21</v>
      </c>
      <c r="F4678" s="6" t="n">
        <v>1</v>
      </c>
      <c r="G4678" s="10" t="n">
        <v>2948</v>
      </c>
      <c r="H4678" s="10" t="n">
        <f aca="false">F4678*G4678</f>
        <v>2948</v>
      </c>
      <c r="I4678" s="6" t="s">
        <v>5122</v>
      </c>
    </row>
    <row r="4679" customFormat="false" ht="15" hidden="false" customHeight="false" outlineLevel="0" collapsed="false">
      <c r="A4679" s="6" t="s">
        <v>9903</v>
      </c>
      <c r="B4679" s="6" t="s">
        <v>843</v>
      </c>
      <c r="C4679" s="26" t="n">
        <v>46175</v>
      </c>
      <c r="D4679" s="6" t="s">
        <v>5188</v>
      </c>
      <c r="E4679" s="6" t="s">
        <v>24</v>
      </c>
      <c r="F4679" s="6" t="n">
        <v>2</v>
      </c>
      <c r="G4679" s="10" t="n">
        <v>916</v>
      </c>
      <c r="H4679" s="10" t="n">
        <f aca="false">F4679*G4679</f>
        <v>1832</v>
      </c>
      <c r="I4679" s="6" t="s">
        <v>5148</v>
      </c>
    </row>
    <row r="4680" customFormat="false" ht="15" hidden="false" customHeight="false" outlineLevel="0" collapsed="false">
      <c r="A4680" s="6" t="s">
        <v>9904</v>
      </c>
      <c r="B4680" s="6" t="s">
        <v>3497</v>
      </c>
      <c r="C4680" s="26" t="n">
        <v>46175</v>
      </c>
      <c r="D4680" s="6" t="s">
        <v>5281</v>
      </c>
      <c r="E4680" s="6" t="s">
        <v>24</v>
      </c>
      <c r="F4680" s="6" t="n">
        <v>2</v>
      </c>
      <c r="G4680" s="10" t="n">
        <v>814</v>
      </c>
      <c r="H4680" s="10" t="n">
        <f aca="false">F4680*G4680</f>
        <v>1628</v>
      </c>
      <c r="I4680" s="6" t="s">
        <v>5125</v>
      </c>
    </row>
    <row r="4681" customFormat="false" ht="15" hidden="false" customHeight="false" outlineLevel="0" collapsed="false">
      <c r="A4681" s="6" t="s">
        <v>9905</v>
      </c>
      <c r="B4681" s="6" t="s">
        <v>1653</v>
      </c>
      <c r="C4681" s="26" t="n">
        <v>46175</v>
      </c>
      <c r="D4681" s="6" t="s">
        <v>5171</v>
      </c>
      <c r="E4681" s="6" t="s">
        <v>23</v>
      </c>
      <c r="F4681" s="6" t="n">
        <v>5</v>
      </c>
      <c r="G4681" s="10" t="n">
        <v>734</v>
      </c>
      <c r="H4681" s="10" t="n">
        <f aca="false">F4681*G4681</f>
        <v>3670</v>
      </c>
      <c r="I4681" s="6" t="s">
        <v>5122</v>
      </c>
    </row>
    <row r="4682" customFormat="false" ht="15" hidden="false" customHeight="false" outlineLevel="0" collapsed="false">
      <c r="A4682" s="6" t="s">
        <v>9906</v>
      </c>
      <c r="B4682" s="6" t="s">
        <v>396</v>
      </c>
      <c r="C4682" s="26" t="n">
        <v>46175</v>
      </c>
      <c r="D4682" s="6" t="s">
        <v>5281</v>
      </c>
      <c r="E4682" s="6" t="s">
        <v>24</v>
      </c>
      <c r="F4682" s="6" t="n">
        <v>3</v>
      </c>
      <c r="G4682" s="10" t="n">
        <v>814</v>
      </c>
      <c r="H4682" s="10" t="n">
        <f aca="false">F4682*G4682</f>
        <v>2442</v>
      </c>
      <c r="I4682" s="6" t="s">
        <v>5122</v>
      </c>
    </row>
    <row r="4683" customFormat="false" ht="15" hidden="false" customHeight="false" outlineLevel="0" collapsed="false">
      <c r="A4683" s="6" t="s">
        <v>9907</v>
      </c>
      <c r="B4683" s="6" t="s">
        <v>891</v>
      </c>
      <c r="C4683" s="26" t="n">
        <v>46175</v>
      </c>
      <c r="D4683" s="6" t="s">
        <v>5269</v>
      </c>
      <c r="E4683" s="6" t="s">
        <v>22</v>
      </c>
      <c r="F4683" s="6" t="n">
        <v>1</v>
      </c>
      <c r="G4683" s="10" t="n">
        <v>1271</v>
      </c>
      <c r="H4683" s="10" t="n">
        <f aca="false">F4683*G4683</f>
        <v>1271</v>
      </c>
      <c r="I4683" s="6" t="s">
        <v>5148</v>
      </c>
    </row>
    <row r="4684" customFormat="false" ht="15" hidden="false" customHeight="false" outlineLevel="0" collapsed="false">
      <c r="A4684" s="6" t="s">
        <v>9908</v>
      </c>
      <c r="B4684" s="6" t="s">
        <v>4579</v>
      </c>
      <c r="C4684" s="26" t="n">
        <v>46175</v>
      </c>
      <c r="D4684" s="6" t="s">
        <v>5466</v>
      </c>
      <c r="E4684" s="6" t="s">
        <v>21</v>
      </c>
      <c r="F4684" s="6" t="n">
        <v>1</v>
      </c>
      <c r="G4684" s="10" t="n">
        <v>1965</v>
      </c>
      <c r="H4684" s="10" t="n">
        <f aca="false">F4684*G4684</f>
        <v>1965</v>
      </c>
      <c r="I4684" s="6" t="s">
        <v>5148</v>
      </c>
    </row>
    <row r="4685" customFormat="false" ht="15" hidden="false" customHeight="false" outlineLevel="0" collapsed="false">
      <c r="A4685" s="6" t="s">
        <v>9909</v>
      </c>
      <c r="B4685" s="6" t="s">
        <v>4609</v>
      </c>
      <c r="C4685" s="26" t="n">
        <v>46175</v>
      </c>
      <c r="D4685" s="6" t="s">
        <v>5383</v>
      </c>
      <c r="E4685" s="6" t="s">
        <v>20</v>
      </c>
      <c r="F4685" s="6" t="n">
        <v>1</v>
      </c>
      <c r="G4685" s="10" t="n">
        <v>1121</v>
      </c>
      <c r="H4685" s="10" t="n">
        <f aca="false">F4685*G4685</f>
        <v>1121</v>
      </c>
      <c r="I4685" s="6" t="s">
        <v>5122</v>
      </c>
    </row>
    <row r="4686" customFormat="false" ht="15" hidden="false" customHeight="false" outlineLevel="0" collapsed="false">
      <c r="A4686" s="6" t="s">
        <v>9910</v>
      </c>
      <c r="B4686" s="6" t="s">
        <v>1185</v>
      </c>
      <c r="C4686" s="26" t="n">
        <v>46175</v>
      </c>
      <c r="D4686" s="6" t="s">
        <v>5298</v>
      </c>
      <c r="E4686" s="6" t="s">
        <v>23</v>
      </c>
      <c r="F4686" s="6" t="n">
        <v>1</v>
      </c>
      <c r="G4686" s="10" t="n">
        <v>264</v>
      </c>
      <c r="H4686" s="10" t="n">
        <f aca="false">F4686*G4686</f>
        <v>264</v>
      </c>
      <c r="I4686" s="6" t="s">
        <v>5133</v>
      </c>
    </row>
    <row r="4687" customFormat="false" ht="15" hidden="false" customHeight="false" outlineLevel="0" collapsed="false">
      <c r="A4687" s="6" t="s">
        <v>9911</v>
      </c>
      <c r="B4687" s="6" t="s">
        <v>4687</v>
      </c>
      <c r="C4687" s="26" t="n">
        <v>46175</v>
      </c>
      <c r="D4687" s="6" t="s">
        <v>5269</v>
      </c>
      <c r="E4687" s="6" t="s">
        <v>22</v>
      </c>
      <c r="F4687" s="6" t="n">
        <v>2</v>
      </c>
      <c r="G4687" s="10" t="n">
        <v>1271</v>
      </c>
      <c r="H4687" s="10" t="n">
        <f aca="false">F4687*G4687</f>
        <v>2542</v>
      </c>
      <c r="I4687" s="6" t="s">
        <v>5122</v>
      </c>
    </row>
    <row r="4688" customFormat="false" ht="15" hidden="false" customHeight="false" outlineLevel="0" collapsed="false">
      <c r="A4688" s="6" t="s">
        <v>9912</v>
      </c>
      <c r="B4688" s="6" t="s">
        <v>1007</v>
      </c>
      <c r="C4688" s="26" t="n">
        <v>46175</v>
      </c>
      <c r="D4688" s="6" t="s">
        <v>5154</v>
      </c>
      <c r="E4688" s="6" t="s">
        <v>21</v>
      </c>
      <c r="F4688" s="6" t="n">
        <v>1</v>
      </c>
      <c r="G4688" s="10" t="n">
        <v>707</v>
      </c>
      <c r="H4688" s="10" t="n">
        <f aca="false">F4688*G4688</f>
        <v>707</v>
      </c>
      <c r="I4688" s="6" t="s">
        <v>5133</v>
      </c>
    </row>
    <row r="4689" customFormat="false" ht="15" hidden="false" customHeight="false" outlineLevel="0" collapsed="false">
      <c r="A4689" s="6" t="s">
        <v>9913</v>
      </c>
      <c r="B4689" s="6" t="s">
        <v>695</v>
      </c>
      <c r="C4689" s="26" t="n">
        <v>46175</v>
      </c>
      <c r="D4689" s="6" t="s">
        <v>5216</v>
      </c>
      <c r="E4689" s="6" t="s">
        <v>23</v>
      </c>
      <c r="F4689" s="6" t="n">
        <v>2</v>
      </c>
      <c r="G4689" s="10" t="n">
        <v>587</v>
      </c>
      <c r="H4689" s="10" t="n">
        <f aca="false">F4689*G4689</f>
        <v>1174</v>
      </c>
      <c r="I4689" s="6" t="s">
        <v>5130</v>
      </c>
    </row>
    <row r="4690" customFormat="false" ht="15" hidden="false" customHeight="false" outlineLevel="0" collapsed="false">
      <c r="A4690" s="6" t="s">
        <v>9914</v>
      </c>
      <c r="B4690" s="6" t="s">
        <v>2047</v>
      </c>
      <c r="C4690" s="26" t="n">
        <v>46175</v>
      </c>
      <c r="D4690" s="6" t="s">
        <v>5171</v>
      </c>
      <c r="E4690" s="6" t="s">
        <v>23</v>
      </c>
      <c r="F4690" s="6" t="n">
        <v>3</v>
      </c>
      <c r="G4690" s="10" t="n">
        <v>661</v>
      </c>
      <c r="H4690" s="10" t="n">
        <f aca="false">F4690*G4690</f>
        <v>1983</v>
      </c>
      <c r="I4690" s="6" t="s">
        <v>5122</v>
      </c>
    </row>
    <row r="4691" customFormat="false" ht="15" hidden="false" customHeight="false" outlineLevel="0" collapsed="false">
      <c r="A4691" s="6" t="s">
        <v>9915</v>
      </c>
      <c r="B4691" s="6" t="s">
        <v>2753</v>
      </c>
      <c r="C4691" s="26" t="n">
        <v>46175</v>
      </c>
      <c r="D4691" s="6" t="s">
        <v>5143</v>
      </c>
      <c r="E4691" s="6" t="s">
        <v>21</v>
      </c>
      <c r="F4691" s="6" t="n">
        <v>1</v>
      </c>
      <c r="G4691" s="10" t="n">
        <v>1179</v>
      </c>
      <c r="H4691" s="10" t="n">
        <f aca="false">F4691*G4691</f>
        <v>1179</v>
      </c>
      <c r="I4691" s="6" t="s">
        <v>5122</v>
      </c>
    </row>
    <row r="4692" customFormat="false" ht="15" hidden="false" customHeight="false" outlineLevel="0" collapsed="false">
      <c r="A4692" s="6" t="s">
        <v>9916</v>
      </c>
      <c r="B4692" s="6" t="s">
        <v>3069</v>
      </c>
      <c r="C4692" s="26" t="n">
        <v>46175</v>
      </c>
      <c r="D4692" s="6" t="s">
        <v>5156</v>
      </c>
      <c r="E4692" s="6" t="s">
        <v>21</v>
      </c>
      <c r="F4692" s="6" t="n">
        <v>1</v>
      </c>
      <c r="G4692" s="10" t="n">
        <v>1945</v>
      </c>
      <c r="H4692" s="10" t="n">
        <f aca="false">F4692*G4692</f>
        <v>1945</v>
      </c>
      <c r="I4692" s="6" t="s">
        <v>5122</v>
      </c>
    </row>
    <row r="4693" customFormat="false" ht="15" hidden="false" customHeight="false" outlineLevel="0" collapsed="false">
      <c r="A4693" s="6" t="s">
        <v>9917</v>
      </c>
      <c r="B4693" s="6" t="s">
        <v>3655</v>
      </c>
      <c r="C4693" s="26" t="n">
        <v>46175</v>
      </c>
      <c r="D4693" s="6" t="s">
        <v>5167</v>
      </c>
      <c r="E4693" s="6" t="s">
        <v>22</v>
      </c>
      <c r="F4693" s="6" t="n">
        <v>1</v>
      </c>
      <c r="G4693" s="10" t="n">
        <v>702</v>
      </c>
      <c r="H4693" s="10" t="n">
        <f aca="false">F4693*G4693</f>
        <v>702</v>
      </c>
      <c r="I4693" s="6" t="s">
        <v>5125</v>
      </c>
    </row>
    <row r="4694" customFormat="false" ht="15" hidden="false" customHeight="false" outlineLevel="0" collapsed="false">
      <c r="A4694" s="6" t="s">
        <v>9918</v>
      </c>
      <c r="B4694" s="6" t="s">
        <v>1447</v>
      </c>
      <c r="C4694" s="26" t="n">
        <v>46175</v>
      </c>
      <c r="D4694" s="6" t="s">
        <v>5691</v>
      </c>
      <c r="E4694" s="6" t="s">
        <v>21</v>
      </c>
      <c r="F4694" s="6" t="n">
        <v>1</v>
      </c>
      <c r="G4694" s="10" t="n">
        <v>5897</v>
      </c>
      <c r="H4694" s="10" t="n">
        <f aca="false">F4694*G4694</f>
        <v>5897</v>
      </c>
      <c r="I4694" s="6" t="s">
        <v>5130</v>
      </c>
    </row>
    <row r="4695" customFormat="false" ht="15" hidden="false" customHeight="false" outlineLevel="0" collapsed="false">
      <c r="A4695" s="6" t="s">
        <v>9919</v>
      </c>
      <c r="B4695" s="6" t="s">
        <v>4265</v>
      </c>
      <c r="C4695" s="26" t="n">
        <v>46175</v>
      </c>
      <c r="D4695" s="6" t="s">
        <v>5167</v>
      </c>
      <c r="E4695" s="6" t="s">
        <v>22</v>
      </c>
      <c r="F4695" s="6" t="n">
        <v>2</v>
      </c>
      <c r="G4695" s="10" t="n">
        <v>782</v>
      </c>
      <c r="H4695" s="10" t="n">
        <f aca="false">F4695*G4695</f>
        <v>1564</v>
      </c>
      <c r="I4695" s="6" t="s">
        <v>5122</v>
      </c>
    </row>
    <row r="4696" customFormat="false" ht="15" hidden="false" customHeight="false" outlineLevel="0" collapsed="false">
      <c r="A4696" s="6" t="s">
        <v>9920</v>
      </c>
      <c r="B4696" s="6" t="s">
        <v>3831</v>
      </c>
      <c r="C4696" s="26" t="n">
        <v>46175</v>
      </c>
      <c r="D4696" s="6" t="s">
        <v>5147</v>
      </c>
      <c r="E4696" s="6" t="s">
        <v>24</v>
      </c>
      <c r="F4696" s="6" t="n">
        <v>1</v>
      </c>
      <c r="G4696" s="10" t="n">
        <v>662</v>
      </c>
      <c r="H4696" s="10" t="n">
        <f aca="false">F4696*G4696</f>
        <v>662</v>
      </c>
      <c r="I4696" s="6" t="s">
        <v>5122</v>
      </c>
    </row>
    <row r="4697" customFormat="false" ht="15" hidden="false" customHeight="false" outlineLevel="0" collapsed="false">
      <c r="A4697" s="6" t="s">
        <v>9921</v>
      </c>
      <c r="B4697" s="6" t="s">
        <v>350</v>
      </c>
      <c r="C4697" s="26" t="n">
        <v>46175</v>
      </c>
      <c r="D4697" s="6" t="s">
        <v>5188</v>
      </c>
      <c r="E4697" s="6" t="s">
        <v>24</v>
      </c>
      <c r="F4697" s="6" t="n">
        <v>1</v>
      </c>
      <c r="G4697" s="10" t="n">
        <v>968</v>
      </c>
      <c r="H4697" s="10" t="n">
        <f aca="false">F4697*G4697</f>
        <v>968</v>
      </c>
      <c r="I4697" s="6" t="s">
        <v>5148</v>
      </c>
    </row>
    <row r="4698" customFormat="false" ht="15" hidden="false" customHeight="false" outlineLevel="0" collapsed="false">
      <c r="A4698" s="6" t="s">
        <v>9922</v>
      </c>
      <c r="B4698" s="6" t="s">
        <v>2011</v>
      </c>
      <c r="C4698" s="26" t="n">
        <v>46175</v>
      </c>
      <c r="D4698" s="6" t="s">
        <v>5466</v>
      </c>
      <c r="E4698" s="6" t="s">
        <v>21</v>
      </c>
      <c r="F4698" s="6" t="n">
        <v>1</v>
      </c>
      <c r="G4698" s="10" t="n">
        <v>1768</v>
      </c>
      <c r="H4698" s="10" t="n">
        <f aca="false">F4698*G4698</f>
        <v>1768</v>
      </c>
      <c r="I4698" s="6" t="s">
        <v>5130</v>
      </c>
    </row>
    <row r="4699" customFormat="false" ht="15" hidden="false" customHeight="false" outlineLevel="0" collapsed="false">
      <c r="A4699" s="6" t="s">
        <v>9923</v>
      </c>
      <c r="B4699" s="6" t="s">
        <v>4563</v>
      </c>
      <c r="C4699" s="26" t="n">
        <v>46175</v>
      </c>
      <c r="D4699" s="6" t="s">
        <v>5216</v>
      </c>
      <c r="E4699" s="6" t="s">
        <v>23</v>
      </c>
      <c r="F4699" s="6" t="n">
        <v>4</v>
      </c>
      <c r="G4699" s="10" t="n">
        <v>558</v>
      </c>
      <c r="H4699" s="10" t="n">
        <f aca="false">F4699*G4699</f>
        <v>2232</v>
      </c>
      <c r="I4699" s="6" t="s">
        <v>5125</v>
      </c>
    </row>
    <row r="4700" customFormat="false" ht="15" hidden="false" customHeight="false" outlineLevel="0" collapsed="false">
      <c r="A4700" s="6" t="s">
        <v>9924</v>
      </c>
      <c r="B4700" s="6" t="s">
        <v>130</v>
      </c>
      <c r="C4700" s="26" t="n">
        <v>46176</v>
      </c>
      <c r="D4700" s="6" t="s">
        <v>5691</v>
      </c>
      <c r="E4700" s="6" t="s">
        <v>21</v>
      </c>
      <c r="F4700" s="6" t="n">
        <v>2</v>
      </c>
      <c r="G4700" s="10" t="n">
        <v>5307</v>
      </c>
      <c r="H4700" s="10" t="n">
        <f aca="false">F4700*G4700</f>
        <v>10614</v>
      </c>
      <c r="I4700" s="6" t="s">
        <v>5130</v>
      </c>
    </row>
    <row r="4701" customFormat="false" ht="15" hidden="false" customHeight="false" outlineLevel="0" collapsed="false">
      <c r="A4701" s="6" t="s">
        <v>9925</v>
      </c>
      <c r="B4701" s="6" t="s">
        <v>354</v>
      </c>
      <c r="C4701" s="26" t="n">
        <v>46176</v>
      </c>
      <c r="D4701" s="6" t="s">
        <v>5353</v>
      </c>
      <c r="E4701" s="6" t="s">
        <v>24</v>
      </c>
      <c r="F4701" s="6" t="n">
        <v>1</v>
      </c>
      <c r="G4701" s="10" t="n">
        <v>1629</v>
      </c>
      <c r="H4701" s="10" t="n">
        <f aca="false">F4701*G4701</f>
        <v>1629</v>
      </c>
      <c r="I4701" s="6" t="s">
        <v>5122</v>
      </c>
    </row>
    <row r="4702" customFormat="false" ht="15" hidden="false" customHeight="false" outlineLevel="0" collapsed="false">
      <c r="A4702" s="6" t="s">
        <v>9926</v>
      </c>
      <c r="B4702" s="6" t="s">
        <v>1655</v>
      </c>
      <c r="C4702" s="26" t="n">
        <v>46176</v>
      </c>
      <c r="D4702" s="6" t="s">
        <v>5175</v>
      </c>
      <c r="E4702" s="6" t="s">
        <v>24</v>
      </c>
      <c r="F4702" s="6" t="n">
        <v>2</v>
      </c>
      <c r="G4702" s="10" t="n">
        <v>610</v>
      </c>
      <c r="H4702" s="10" t="n">
        <f aca="false">F4702*G4702</f>
        <v>1220</v>
      </c>
      <c r="I4702" s="6" t="s">
        <v>5122</v>
      </c>
    </row>
    <row r="4703" customFormat="false" ht="15" hidden="false" customHeight="false" outlineLevel="0" collapsed="false">
      <c r="A4703" s="6" t="s">
        <v>9927</v>
      </c>
      <c r="B4703" s="6" t="s">
        <v>4587</v>
      </c>
      <c r="C4703" s="26" t="n">
        <v>46176</v>
      </c>
      <c r="D4703" s="6" t="s">
        <v>5273</v>
      </c>
      <c r="E4703" s="6" t="s">
        <v>23</v>
      </c>
      <c r="F4703" s="6" t="n">
        <v>1</v>
      </c>
      <c r="G4703" s="10" t="n">
        <v>228</v>
      </c>
      <c r="H4703" s="10" t="n">
        <f aca="false">F4703*G4703</f>
        <v>228</v>
      </c>
      <c r="I4703" s="6" t="s">
        <v>5125</v>
      </c>
    </row>
    <row r="4704" customFormat="false" ht="15" hidden="false" customHeight="false" outlineLevel="0" collapsed="false">
      <c r="A4704" s="6" t="s">
        <v>9928</v>
      </c>
      <c r="B4704" s="6" t="s">
        <v>2977</v>
      </c>
      <c r="C4704" s="26" t="n">
        <v>46176</v>
      </c>
      <c r="D4704" s="6" t="s">
        <v>5165</v>
      </c>
      <c r="E4704" s="6" t="s">
        <v>22</v>
      </c>
      <c r="F4704" s="6" t="n">
        <v>2</v>
      </c>
      <c r="G4704" s="10" t="n">
        <v>880</v>
      </c>
      <c r="H4704" s="10" t="n">
        <f aca="false">F4704*G4704</f>
        <v>1760</v>
      </c>
      <c r="I4704" s="6" t="s">
        <v>5133</v>
      </c>
    </row>
    <row r="4705" customFormat="false" ht="15" hidden="false" customHeight="false" outlineLevel="0" collapsed="false">
      <c r="A4705" s="6" t="s">
        <v>9929</v>
      </c>
      <c r="B4705" s="6" t="s">
        <v>2799</v>
      </c>
      <c r="C4705" s="26" t="n">
        <v>46176</v>
      </c>
      <c r="D4705" s="6" t="s">
        <v>5121</v>
      </c>
      <c r="E4705" s="6" t="s">
        <v>22</v>
      </c>
      <c r="F4705" s="6" t="n">
        <v>1</v>
      </c>
      <c r="G4705" s="10" t="n">
        <v>977</v>
      </c>
      <c r="H4705" s="10" t="n">
        <f aca="false">F4705*G4705</f>
        <v>977</v>
      </c>
      <c r="I4705" s="6" t="s">
        <v>5133</v>
      </c>
    </row>
    <row r="4706" customFormat="false" ht="15" hidden="false" customHeight="false" outlineLevel="0" collapsed="false">
      <c r="A4706" s="6" t="s">
        <v>9930</v>
      </c>
      <c r="B4706" s="6" t="s">
        <v>3249</v>
      </c>
      <c r="C4706" s="26" t="n">
        <v>46176</v>
      </c>
      <c r="D4706" s="6" t="s">
        <v>5121</v>
      </c>
      <c r="E4706" s="6" t="s">
        <v>22</v>
      </c>
      <c r="F4706" s="6" t="n">
        <v>1</v>
      </c>
      <c r="G4706" s="10" t="n">
        <v>928</v>
      </c>
      <c r="H4706" s="10" t="n">
        <f aca="false">F4706*G4706</f>
        <v>928</v>
      </c>
      <c r="I4706" s="6" t="s">
        <v>5148</v>
      </c>
    </row>
    <row r="4707" customFormat="false" ht="15" hidden="false" customHeight="false" outlineLevel="0" collapsed="false">
      <c r="A4707" s="6" t="s">
        <v>9931</v>
      </c>
      <c r="B4707" s="6" t="s">
        <v>5045</v>
      </c>
      <c r="C4707" s="26" t="n">
        <v>46176</v>
      </c>
      <c r="D4707" s="6" t="s">
        <v>5216</v>
      </c>
      <c r="E4707" s="6" t="s">
        <v>23</v>
      </c>
      <c r="F4707" s="6" t="n">
        <v>3</v>
      </c>
      <c r="G4707" s="10" t="n">
        <v>528</v>
      </c>
      <c r="H4707" s="10" t="n">
        <f aca="false">F4707*G4707</f>
        <v>1584</v>
      </c>
      <c r="I4707" s="6" t="s">
        <v>5122</v>
      </c>
    </row>
    <row r="4708" customFormat="false" ht="15" hidden="false" customHeight="false" outlineLevel="0" collapsed="false">
      <c r="A4708" s="6" t="s">
        <v>9932</v>
      </c>
      <c r="B4708" s="6" t="s">
        <v>637</v>
      </c>
      <c r="C4708" s="26" t="n">
        <v>46176</v>
      </c>
      <c r="D4708" s="6" t="s">
        <v>5163</v>
      </c>
      <c r="E4708" s="6" t="s">
        <v>23</v>
      </c>
      <c r="F4708" s="6" t="n">
        <v>5</v>
      </c>
      <c r="G4708" s="10" t="n">
        <v>783</v>
      </c>
      <c r="H4708" s="10" t="n">
        <f aca="false">F4708*G4708</f>
        <v>3915</v>
      </c>
      <c r="I4708" s="6" t="s">
        <v>5125</v>
      </c>
    </row>
    <row r="4709" customFormat="false" ht="15" hidden="false" customHeight="false" outlineLevel="0" collapsed="false">
      <c r="A4709" s="6" t="s">
        <v>9933</v>
      </c>
      <c r="B4709" s="6" t="s">
        <v>4175</v>
      </c>
      <c r="C4709" s="26" t="n">
        <v>46176</v>
      </c>
      <c r="D4709" s="6" t="s">
        <v>5326</v>
      </c>
      <c r="E4709" s="6" t="s">
        <v>22</v>
      </c>
      <c r="F4709" s="6" t="n">
        <v>1</v>
      </c>
      <c r="G4709" s="10" t="n">
        <v>1465</v>
      </c>
      <c r="H4709" s="10" t="n">
        <f aca="false">F4709*G4709</f>
        <v>1465</v>
      </c>
      <c r="I4709" s="6" t="s">
        <v>5130</v>
      </c>
    </row>
    <row r="4710" customFormat="false" ht="15" hidden="false" customHeight="false" outlineLevel="0" collapsed="false">
      <c r="A4710" s="6" t="s">
        <v>9934</v>
      </c>
      <c r="B4710" s="6" t="s">
        <v>3883</v>
      </c>
      <c r="C4710" s="26" t="n">
        <v>46176</v>
      </c>
      <c r="D4710" s="6" t="s">
        <v>5269</v>
      </c>
      <c r="E4710" s="6" t="s">
        <v>22</v>
      </c>
      <c r="F4710" s="6" t="n">
        <v>1</v>
      </c>
      <c r="G4710" s="10" t="n">
        <v>1144</v>
      </c>
      <c r="H4710" s="10" t="n">
        <f aca="false">F4710*G4710</f>
        <v>1144</v>
      </c>
      <c r="I4710" s="6" t="s">
        <v>5122</v>
      </c>
    </row>
    <row r="4711" customFormat="false" ht="15" hidden="false" customHeight="false" outlineLevel="0" collapsed="false">
      <c r="A4711" s="6" t="s">
        <v>9935</v>
      </c>
      <c r="B4711" s="6" t="s">
        <v>2807</v>
      </c>
      <c r="C4711" s="26" t="n">
        <v>46176</v>
      </c>
      <c r="D4711" s="6" t="s">
        <v>5339</v>
      </c>
      <c r="E4711" s="6" t="s">
        <v>24</v>
      </c>
      <c r="F4711" s="6" t="n">
        <v>1</v>
      </c>
      <c r="G4711" s="10" t="n">
        <v>508</v>
      </c>
      <c r="H4711" s="10" t="n">
        <f aca="false">F4711*G4711</f>
        <v>508</v>
      </c>
      <c r="I4711" s="6" t="s">
        <v>5122</v>
      </c>
    </row>
    <row r="4712" customFormat="false" ht="15" hidden="false" customHeight="false" outlineLevel="0" collapsed="false">
      <c r="A4712" s="6" t="s">
        <v>9936</v>
      </c>
      <c r="B4712" s="6" t="s">
        <v>2033</v>
      </c>
      <c r="C4712" s="26" t="n">
        <v>46176</v>
      </c>
      <c r="D4712" s="6" t="s">
        <v>5175</v>
      </c>
      <c r="E4712" s="6" t="s">
        <v>24</v>
      </c>
      <c r="F4712" s="6" t="n">
        <v>3</v>
      </c>
      <c r="G4712" s="10" t="n">
        <v>610</v>
      </c>
      <c r="H4712" s="10" t="n">
        <f aca="false">F4712*G4712</f>
        <v>1830</v>
      </c>
      <c r="I4712" s="6" t="s">
        <v>5125</v>
      </c>
    </row>
    <row r="4713" customFormat="false" ht="15" hidden="false" customHeight="false" outlineLevel="0" collapsed="false">
      <c r="A4713" s="6" t="s">
        <v>9937</v>
      </c>
      <c r="B4713" s="6" t="s">
        <v>1543</v>
      </c>
      <c r="C4713" s="26" t="n">
        <v>46176</v>
      </c>
      <c r="D4713" s="6" t="s">
        <v>5171</v>
      </c>
      <c r="E4713" s="6" t="s">
        <v>23</v>
      </c>
      <c r="F4713" s="6" t="n">
        <v>4</v>
      </c>
      <c r="G4713" s="10" t="n">
        <v>734</v>
      </c>
      <c r="H4713" s="10" t="n">
        <f aca="false">F4713*G4713</f>
        <v>2936</v>
      </c>
      <c r="I4713" s="6" t="s">
        <v>5148</v>
      </c>
    </row>
    <row r="4714" customFormat="false" ht="15" hidden="false" customHeight="false" outlineLevel="0" collapsed="false">
      <c r="A4714" s="6" t="s">
        <v>9938</v>
      </c>
      <c r="B4714" s="6" t="s">
        <v>1811</v>
      </c>
      <c r="C4714" s="26" t="n">
        <v>46176</v>
      </c>
      <c r="D4714" s="6" t="s">
        <v>5171</v>
      </c>
      <c r="E4714" s="6" t="s">
        <v>23</v>
      </c>
      <c r="F4714" s="6" t="n">
        <v>5</v>
      </c>
      <c r="G4714" s="10" t="n">
        <v>734</v>
      </c>
      <c r="H4714" s="10" t="n">
        <f aca="false">F4714*G4714</f>
        <v>3670</v>
      </c>
      <c r="I4714" s="6" t="s">
        <v>5122</v>
      </c>
    </row>
    <row r="4715" customFormat="false" ht="15" hidden="false" customHeight="false" outlineLevel="0" collapsed="false">
      <c r="A4715" s="6" t="s">
        <v>9939</v>
      </c>
      <c r="B4715" s="6" t="s">
        <v>4643</v>
      </c>
      <c r="C4715" s="26" t="n">
        <v>46176</v>
      </c>
      <c r="D4715" s="6" t="s">
        <v>5326</v>
      </c>
      <c r="E4715" s="6" t="s">
        <v>22</v>
      </c>
      <c r="F4715" s="6" t="n">
        <v>1</v>
      </c>
      <c r="G4715" s="10" t="n">
        <v>1393</v>
      </c>
      <c r="H4715" s="10" t="n">
        <f aca="false">F4715*G4715</f>
        <v>1393</v>
      </c>
      <c r="I4715" s="6" t="s">
        <v>5122</v>
      </c>
    </row>
    <row r="4716" customFormat="false" ht="15" hidden="false" customHeight="false" outlineLevel="0" collapsed="false">
      <c r="A4716" s="6" t="s">
        <v>9940</v>
      </c>
      <c r="B4716" s="6" t="s">
        <v>2485</v>
      </c>
      <c r="C4716" s="26" t="n">
        <v>46176</v>
      </c>
      <c r="D4716" s="6" t="s">
        <v>5145</v>
      </c>
      <c r="E4716" s="6" t="s">
        <v>21</v>
      </c>
      <c r="F4716" s="6" t="n">
        <v>1</v>
      </c>
      <c r="G4716" s="10" t="n">
        <v>1277</v>
      </c>
      <c r="H4716" s="10" t="n">
        <f aca="false">F4716*G4716</f>
        <v>1277</v>
      </c>
      <c r="I4716" s="6" t="s">
        <v>5130</v>
      </c>
    </row>
    <row r="4717" customFormat="false" ht="15" hidden="false" customHeight="false" outlineLevel="0" collapsed="false">
      <c r="A4717" s="6" t="s">
        <v>9941</v>
      </c>
      <c r="B4717" s="6" t="s">
        <v>4677</v>
      </c>
      <c r="C4717" s="26" t="n">
        <v>46176</v>
      </c>
      <c r="D4717" s="6" t="s">
        <v>5316</v>
      </c>
      <c r="E4717" s="6" t="s">
        <v>23</v>
      </c>
      <c r="F4717" s="6" t="n">
        <v>4</v>
      </c>
      <c r="G4717" s="10" t="n">
        <v>234</v>
      </c>
      <c r="H4717" s="10" t="n">
        <f aca="false">F4717*G4717</f>
        <v>936</v>
      </c>
      <c r="I4717" s="6" t="s">
        <v>5148</v>
      </c>
    </row>
    <row r="4718" customFormat="false" ht="15" hidden="false" customHeight="false" outlineLevel="0" collapsed="false">
      <c r="A4718" s="6" t="s">
        <v>9942</v>
      </c>
      <c r="B4718" s="6" t="s">
        <v>3925</v>
      </c>
      <c r="C4718" s="26" t="n">
        <v>46176</v>
      </c>
      <c r="D4718" s="6" t="s">
        <v>5298</v>
      </c>
      <c r="E4718" s="6" t="s">
        <v>23</v>
      </c>
      <c r="F4718" s="6" t="n">
        <v>5</v>
      </c>
      <c r="G4718" s="10" t="n">
        <v>293</v>
      </c>
      <c r="H4718" s="10" t="n">
        <f aca="false">F4718*G4718</f>
        <v>1465</v>
      </c>
      <c r="I4718" s="6" t="s">
        <v>5122</v>
      </c>
    </row>
    <row r="4719" customFormat="false" ht="15" hidden="false" customHeight="false" outlineLevel="0" collapsed="false">
      <c r="A4719" s="6" t="s">
        <v>9943</v>
      </c>
      <c r="B4719" s="6" t="s">
        <v>1097</v>
      </c>
      <c r="C4719" s="26" t="n">
        <v>46176</v>
      </c>
      <c r="D4719" s="6" t="s">
        <v>5169</v>
      </c>
      <c r="E4719" s="6" t="s">
        <v>20</v>
      </c>
      <c r="F4719" s="6" t="n">
        <v>1</v>
      </c>
      <c r="G4719" s="10" t="n">
        <v>4843</v>
      </c>
      <c r="H4719" s="10" t="n">
        <f aca="false">F4719*G4719</f>
        <v>4843</v>
      </c>
      <c r="I4719" s="6" t="s">
        <v>5130</v>
      </c>
    </row>
    <row r="4720" customFormat="false" ht="15" hidden="false" customHeight="false" outlineLevel="0" collapsed="false">
      <c r="A4720" s="6" t="s">
        <v>9944</v>
      </c>
      <c r="B4720" s="6" t="s">
        <v>3745</v>
      </c>
      <c r="C4720" s="26" t="n">
        <v>46176</v>
      </c>
      <c r="D4720" s="6" t="s">
        <v>5410</v>
      </c>
      <c r="E4720" s="6" t="s">
        <v>20</v>
      </c>
      <c r="F4720" s="6" t="n">
        <v>1</v>
      </c>
      <c r="G4720" s="10" t="n">
        <v>2548</v>
      </c>
      <c r="H4720" s="10" t="n">
        <f aca="false">F4720*G4720</f>
        <v>2548</v>
      </c>
      <c r="I4720" s="6" t="s">
        <v>5148</v>
      </c>
    </row>
    <row r="4721" customFormat="false" ht="15" hidden="false" customHeight="false" outlineLevel="0" collapsed="false">
      <c r="A4721" s="6" t="s">
        <v>9945</v>
      </c>
      <c r="B4721" s="6" t="s">
        <v>5033</v>
      </c>
      <c r="C4721" s="26" t="n">
        <v>46176</v>
      </c>
      <c r="D4721" s="6" t="s">
        <v>5167</v>
      </c>
      <c r="E4721" s="6" t="s">
        <v>22</v>
      </c>
      <c r="F4721" s="6" t="n">
        <v>2</v>
      </c>
      <c r="G4721" s="10" t="n">
        <v>782</v>
      </c>
      <c r="H4721" s="10" t="n">
        <f aca="false">F4721*G4721</f>
        <v>1564</v>
      </c>
      <c r="I4721" s="6" t="s">
        <v>5125</v>
      </c>
    </row>
    <row r="4722" customFormat="false" ht="15" hidden="false" customHeight="false" outlineLevel="0" collapsed="false">
      <c r="A4722" s="6" t="s">
        <v>9946</v>
      </c>
      <c r="B4722" s="6" t="s">
        <v>4673</v>
      </c>
      <c r="C4722" s="26" t="n">
        <v>46176</v>
      </c>
      <c r="D4722" s="6" t="s">
        <v>5121</v>
      </c>
      <c r="E4722" s="6" t="s">
        <v>22</v>
      </c>
      <c r="F4722" s="6" t="n">
        <v>3</v>
      </c>
      <c r="G4722" s="10" t="n">
        <v>880</v>
      </c>
      <c r="H4722" s="10" t="n">
        <f aca="false">F4722*G4722</f>
        <v>2640</v>
      </c>
      <c r="I4722" s="6" t="s">
        <v>5122</v>
      </c>
    </row>
    <row r="4723" customFormat="false" ht="15" hidden="false" customHeight="false" outlineLevel="0" collapsed="false">
      <c r="A4723" s="6" t="s">
        <v>9947</v>
      </c>
      <c r="B4723" s="6" t="s">
        <v>1825</v>
      </c>
      <c r="C4723" s="26" t="n">
        <v>46176</v>
      </c>
      <c r="D4723" s="6" t="s">
        <v>5167</v>
      </c>
      <c r="E4723" s="6" t="s">
        <v>22</v>
      </c>
      <c r="F4723" s="6" t="n">
        <v>2</v>
      </c>
      <c r="G4723" s="10" t="n">
        <v>703</v>
      </c>
      <c r="H4723" s="10" t="n">
        <f aca="false">F4723*G4723</f>
        <v>1406</v>
      </c>
      <c r="I4723" s="6" t="s">
        <v>5148</v>
      </c>
    </row>
    <row r="4724" customFormat="false" ht="15" hidden="false" customHeight="false" outlineLevel="0" collapsed="false">
      <c r="A4724" s="6" t="s">
        <v>9948</v>
      </c>
      <c r="B4724" s="6" t="s">
        <v>3247</v>
      </c>
      <c r="C4724" s="26" t="n">
        <v>46176</v>
      </c>
      <c r="D4724" s="6" t="s">
        <v>5167</v>
      </c>
      <c r="E4724" s="6" t="s">
        <v>22</v>
      </c>
      <c r="F4724" s="6" t="n">
        <v>3</v>
      </c>
      <c r="G4724" s="10" t="n">
        <v>782</v>
      </c>
      <c r="H4724" s="10" t="n">
        <f aca="false">F4724*G4724</f>
        <v>2346</v>
      </c>
      <c r="I4724" s="6" t="s">
        <v>5133</v>
      </c>
    </row>
    <row r="4725" customFormat="false" ht="15" hidden="false" customHeight="false" outlineLevel="0" collapsed="false">
      <c r="A4725" s="6" t="s">
        <v>9949</v>
      </c>
      <c r="B4725" s="6" t="s">
        <v>463</v>
      </c>
      <c r="C4725" s="26" t="n">
        <v>46176</v>
      </c>
      <c r="D4725" s="6" t="s">
        <v>5135</v>
      </c>
      <c r="E4725" s="6" t="s">
        <v>23</v>
      </c>
      <c r="F4725" s="6" t="n">
        <v>1</v>
      </c>
      <c r="G4725" s="10" t="n">
        <v>441</v>
      </c>
      <c r="H4725" s="10" t="n">
        <f aca="false">F4725*G4725</f>
        <v>441</v>
      </c>
      <c r="I4725" s="6" t="s">
        <v>5122</v>
      </c>
    </row>
    <row r="4726" customFormat="false" ht="15" hidden="false" customHeight="false" outlineLevel="0" collapsed="false">
      <c r="A4726" s="6" t="s">
        <v>9950</v>
      </c>
      <c r="B4726" s="6" t="s">
        <v>287</v>
      </c>
      <c r="C4726" s="26" t="n">
        <v>46176</v>
      </c>
      <c r="D4726" s="6" t="s">
        <v>5269</v>
      </c>
      <c r="E4726" s="6" t="s">
        <v>22</v>
      </c>
      <c r="F4726" s="6" t="n">
        <v>2</v>
      </c>
      <c r="G4726" s="10" t="n">
        <v>1271</v>
      </c>
      <c r="H4726" s="10" t="n">
        <f aca="false">F4726*G4726</f>
        <v>2542</v>
      </c>
      <c r="I4726" s="6" t="s">
        <v>5133</v>
      </c>
    </row>
    <row r="4727" customFormat="false" ht="15" hidden="false" customHeight="false" outlineLevel="0" collapsed="false">
      <c r="A4727" s="6" t="s">
        <v>9951</v>
      </c>
      <c r="B4727" s="6" t="s">
        <v>3251</v>
      </c>
      <c r="C4727" s="26" t="n">
        <v>46176</v>
      </c>
      <c r="D4727" s="6" t="s">
        <v>5197</v>
      </c>
      <c r="E4727" s="6" t="s">
        <v>21</v>
      </c>
      <c r="F4727" s="6" t="n">
        <v>1</v>
      </c>
      <c r="G4727" s="10" t="n">
        <v>1026</v>
      </c>
      <c r="H4727" s="10" t="n">
        <f aca="false">F4727*G4727</f>
        <v>1026</v>
      </c>
      <c r="I4727" s="6" t="s">
        <v>5130</v>
      </c>
    </row>
    <row r="4728" customFormat="false" ht="15" hidden="false" customHeight="false" outlineLevel="0" collapsed="false">
      <c r="A4728" s="6" t="s">
        <v>9952</v>
      </c>
      <c r="B4728" s="6" t="s">
        <v>1879</v>
      </c>
      <c r="C4728" s="26" t="n">
        <v>46176</v>
      </c>
      <c r="D4728" s="6" t="s">
        <v>5145</v>
      </c>
      <c r="E4728" s="6" t="s">
        <v>21</v>
      </c>
      <c r="F4728" s="6" t="n">
        <v>2</v>
      </c>
      <c r="G4728" s="10" t="n">
        <v>1213</v>
      </c>
      <c r="H4728" s="10" t="n">
        <f aca="false">F4728*G4728</f>
        <v>2426</v>
      </c>
      <c r="I4728" s="6" t="s">
        <v>5148</v>
      </c>
    </row>
    <row r="4729" customFormat="false" ht="15" hidden="false" customHeight="false" outlineLevel="0" collapsed="false">
      <c r="A4729" s="6" t="s">
        <v>9953</v>
      </c>
      <c r="B4729" s="6" t="s">
        <v>3887</v>
      </c>
      <c r="C4729" s="26" t="n">
        <v>46176</v>
      </c>
      <c r="D4729" s="6" t="s">
        <v>5167</v>
      </c>
      <c r="E4729" s="6" t="s">
        <v>22</v>
      </c>
      <c r="F4729" s="6" t="n">
        <v>1</v>
      </c>
      <c r="G4729" s="10" t="n">
        <v>743</v>
      </c>
      <c r="H4729" s="10" t="n">
        <f aca="false">F4729*G4729</f>
        <v>743</v>
      </c>
      <c r="I4729" s="6" t="s">
        <v>5122</v>
      </c>
    </row>
    <row r="4730" customFormat="false" ht="15" hidden="false" customHeight="false" outlineLevel="0" collapsed="false">
      <c r="A4730" s="6" t="s">
        <v>9954</v>
      </c>
      <c r="B4730" s="6" t="s">
        <v>330</v>
      </c>
      <c r="C4730" s="26" t="n">
        <v>46176</v>
      </c>
      <c r="D4730" s="6" t="s">
        <v>5167</v>
      </c>
      <c r="E4730" s="6" t="s">
        <v>22</v>
      </c>
      <c r="F4730" s="6" t="n">
        <v>1</v>
      </c>
      <c r="G4730" s="10" t="n">
        <v>782</v>
      </c>
      <c r="H4730" s="10" t="n">
        <f aca="false">F4730*G4730</f>
        <v>782</v>
      </c>
      <c r="I4730" s="6" t="s">
        <v>5122</v>
      </c>
    </row>
    <row r="4731" customFormat="false" ht="15" hidden="false" customHeight="false" outlineLevel="0" collapsed="false">
      <c r="A4731" s="6" t="s">
        <v>9955</v>
      </c>
      <c r="B4731" s="6" t="s">
        <v>1333</v>
      </c>
      <c r="C4731" s="26" t="n">
        <v>46176</v>
      </c>
      <c r="D4731" s="6" t="s">
        <v>5683</v>
      </c>
      <c r="E4731" s="6" t="s">
        <v>22</v>
      </c>
      <c r="F4731" s="6" t="n">
        <v>1</v>
      </c>
      <c r="G4731" s="10" t="n">
        <v>1760</v>
      </c>
      <c r="H4731" s="10" t="n">
        <f aca="false">F4731*G4731</f>
        <v>1760</v>
      </c>
      <c r="I4731" s="6" t="s">
        <v>5125</v>
      </c>
    </row>
    <row r="4732" customFormat="false" ht="15" hidden="false" customHeight="false" outlineLevel="0" collapsed="false">
      <c r="A4732" s="6" t="s">
        <v>9956</v>
      </c>
      <c r="B4732" s="6" t="s">
        <v>3515</v>
      </c>
      <c r="C4732" s="26" t="n">
        <v>46176</v>
      </c>
      <c r="D4732" s="6" t="s">
        <v>5156</v>
      </c>
      <c r="E4732" s="6" t="s">
        <v>21</v>
      </c>
      <c r="F4732" s="6" t="n">
        <v>1</v>
      </c>
      <c r="G4732" s="10" t="n">
        <v>2161</v>
      </c>
      <c r="H4732" s="10" t="n">
        <f aca="false">F4732*G4732</f>
        <v>2161</v>
      </c>
      <c r="I4732" s="6" t="s">
        <v>5148</v>
      </c>
    </row>
    <row r="4733" customFormat="false" ht="15" hidden="false" customHeight="false" outlineLevel="0" collapsed="false">
      <c r="A4733" s="6" t="s">
        <v>9957</v>
      </c>
      <c r="B4733" s="6" t="s">
        <v>4265</v>
      </c>
      <c r="C4733" s="26" t="n">
        <v>46176</v>
      </c>
      <c r="D4733" s="6" t="s">
        <v>5121</v>
      </c>
      <c r="E4733" s="6" t="s">
        <v>22</v>
      </c>
      <c r="F4733" s="6" t="n">
        <v>2</v>
      </c>
      <c r="G4733" s="10" t="n">
        <v>880</v>
      </c>
      <c r="H4733" s="10" t="n">
        <f aca="false">F4733*G4733</f>
        <v>1760</v>
      </c>
      <c r="I4733" s="6" t="s">
        <v>5148</v>
      </c>
    </row>
    <row r="4734" customFormat="false" ht="15" hidden="false" customHeight="false" outlineLevel="0" collapsed="false">
      <c r="A4734" s="6" t="s">
        <v>9958</v>
      </c>
      <c r="B4734" s="6" t="s">
        <v>4409</v>
      </c>
      <c r="C4734" s="26" t="n">
        <v>46177</v>
      </c>
      <c r="D4734" s="6" t="s">
        <v>5180</v>
      </c>
      <c r="E4734" s="6" t="s">
        <v>24</v>
      </c>
      <c r="F4734" s="6" t="n">
        <v>1</v>
      </c>
      <c r="G4734" s="10" t="n">
        <v>1888</v>
      </c>
      <c r="H4734" s="10" t="n">
        <f aca="false">F4734*G4734</f>
        <v>1888</v>
      </c>
      <c r="I4734" s="6" t="s">
        <v>5122</v>
      </c>
    </row>
    <row r="4735" customFormat="false" ht="15" hidden="false" customHeight="false" outlineLevel="0" collapsed="false">
      <c r="A4735" s="6" t="s">
        <v>9959</v>
      </c>
      <c r="B4735" s="6" t="s">
        <v>2225</v>
      </c>
      <c r="C4735" s="26" t="n">
        <v>46177</v>
      </c>
      <c r="D4735" s="6" t="s">
        <v>5156</v>
      </c>
      <c r="E4735" s="6" t="s">
        <v>21</v>
      </c>
      <c r="F4735" s="6" t="n">
        <v>1</v>
      </c>
      <c r="G4735" s="10" t="n">
        <v>2161</v>
      </c>
      <c r="H4735" s="10" t="n">
        <f aca="false">F4735*G4735</f>
        <v>2161</v>
      </c>
      <c r="I4735" s="6" t="s">
        <v>5148</v>
      </c>
    </row>
    <row r="4736" customFormat="false" ht="15" hidden="false" customHeight="false" outlineLevel="0" collapsed="false">
      <c r="A4736" s="6" t="s">
        <v>9960</v>
      </c>
      <c r="B4736" s="6" t="s">
        <v>1709</v>
      </c>
      <c r="C4736" s="26" t="n">
        <v>46177</v>
      </c>
      <c r="D4736" s="6" t="s">
        <v>5687</v>
      </c>
      <c r="E4736" s="6" t="s">
        <v>20</v>
      </c>
      <c r="F4736" s="6" t="n">
        <v>1</v>
      </c>
      <c r="G4736" s="10" t="n">
        <v>2038</v>
      </c>
      <c r="H4736" s="10" t="n">
        <f aca="false">F4736*G4736</f>
        <v>2038</v>
      </c>
      <c r="I4736" s="6" t="s">
        <v>5125</v>
      </c>
    </row>
    <row r="4737" customFormat="false" ht="15" hidden="false" customHeight="false" outlineLevel="0" collapsed="false">
      <c r="A4737" s="6" t="s">
        <v>9961</v>
      </c>
      <c r="B4737" s="6" t="s">
        <v>781</v>
      </c>
      <c r="C4737" s="26" t="n">
        <v>46177</v>
      </c>
      <c r="D4737" s="6" t="s">
        <v>5163</v>
      </c>
      <c r="E4737" s="6" t="s">
        <v>23</v>
      </c>
      <c r="F4737" s="6" t="n">
        <v>1</v>
      </c>
      <c r="G4737" s="10" t="n">
        <v>704</v>
      </c>
      <c r="H4737" s="10" t="n">
        <f aca="false">F4737*G4737</f>
        <v>704</v>
      </c>
      <c r="I4737" s="6" t="s">
        <v>5122</v>
      </c>
    </row>
    <row r="4738" customFormat="false" ht="15" hidden="false" customHeight="false" outlineLevel="0" collapsed="false">
      <c r="A4738" s="6" t="s">
        <v>9962</v>
      </c>
      <c r="B4738" s="6" t="s">
        <v>791</v>
      </c>
      <c r="C4738" s="26" t="n">
        <v>46177</v>
      </c>
      <c r="D4738" s="6" t="s">
        <v>5165</v>
      </c>
      <c r="E4738" s="6" t="s">
        <v>22</v>
      </c>
      <c r="F4738" s="6" t="n">
        <v>1</v>
      </c>
      <c r="G4738" s="10" t="n">
        <v>977</v>
      </c>
      <c r="H4738" s="10" t="n">
        <f aca="false">F4738*G4738</f>
        <v>977</v>
      </c>
      <c r="I4738" s="6" t="s">
        <v>5148</v>
      </c>
    </row>
    <row r="4739" customFormat="false" ht="15" hidden="false" customHeight="false" outlineLevel="0" collapsed="false">
      <c r="A4739" s="6" t="s">
        <v>9963</v>
      </c>
      <c r="B4739" s="6" t="s">
        <v>4601</v>
      </c>
      <c r="C4739" s="26" t="n">
        <v>46177</v>
      </c>
      <c r="D4739" s="6" t="s">
        <v>5318</v>
      </c>
      <c r="E4739" s="6" t="s">
        <v>20</v>
      </c>
      <c r="F4739" s="6" t="n">
        <v>1</v>
      </c>
      <c r="G4739" s="10" t="n">
        <v>1529</v>
      </c>
      <c r="H4739" s="10" t="n">
        <f aca="false">F4739*G4739</f>
        <v>1529</v>
      </c>
      <c r="I4739" s="6" t="s">
        <v>5122</v>
      </c>
    </row>
    <row r="4740" customFormat="false" ht="15" hidden="false" customHeight="false" outlineLevel="0" collapsed="false">
      <c r="A4740" s="6" t="s">
        <v>9964</v>
      </c>
      <c r="B4740" s="6" t="s">
        <v>953</v>
      </c>
      <c r="C4740" s="26" t="n">
        <v>46177</v>
      </c>
      <c r="D4740" s="6" t="s">
        <v>5167</v>
      </c>
      <c r="E4740" s="6" t="s">
        <v>22</v>
      </c>
      <c r="F4740" s="6" t="n">
        <v>1</v>
      </c>
      <c r="G4740" s="10" t="n">
        <v>743</v>
      </c>
      <c r="H4740" s="10" t="n">
        <f aca="false">F4740*G4740</f>
        <v>743</v>
      </c>
      <c r="I4740" s="6" t="s">
        <v>5148</v>
      </c>
    </row>
    <row r="4741" customFormat="false" ht="15" hidden="false" customHeight="false" outlineLevel="0" collapsed="false">
      <c r="A4741" s="6" t="s">
        <v>9965</v>
      </c>
      <c r="B4741" s="6" t="s">
        <v>1909</v>
      </c>
      <c r="C4741" s="26" t="n">
        <v>46177</v>
      </c>
      <c r="D4741" s="6" t="s">
        <v>5207</v>
      </c>
      <c r="E4741" s="6" t="s">
        <v>20</v>
      </c>
      <c r="F4741" s="6" t="n">
        <v>2</v>
      </c>
      <c r="G4741" s="10" t="n">
        <v>1325</v>
      </c>
      <c r="H4741" s="10" t="n">
        <f aca="false">F4741*G4741</f>
        <v>2650</v>
      </c>
      <c r="I4741" s="6" t="s">
        <v>5133</v>
      </c>
    </row>
    <row r="4742" customFormat="false" ht="15" hidden="false" customHeight="false" outlineLevel="0" collapsed="false">
      <c r="A4742" s="6" t="s">
        <v>9966</v>
      </c>
      <c r="B4742" s="6" t="s">
        <v>1279</v>
      </c>
      <c r="C4742" s="26" t="n">
        <v>46177</v>
      </c>
      <c r="D4742" s="6" t="s">
        <v>5410</v>
      </c>
      <c r="E4742" s="6" t="s">
        <v>20</v>
      </c>
      <c r="F4742" s="6" t="n">
        <v>1</v>
      </c>
      <c r="G4742" s="10" t="n">
        <v>2548</v>
      </c>
      <c r="H4742" s="10" t="n">
        <f aca="false">F4742*G4742</f>
        <v>2548</v>
      </c>
      <c r="I4742" s="6" t="s">
        <v>5122</v>
      </c>
    </row>
    <row r="4743" customFormat="false" ht="15" hidden="false" customHeight="false" outlineLevel="0" collapsed="false">
      <c r="A4743" s="6" t="s">
        <v>9967</v>
      </c>
      <c r="B4743" s="6" t="s">
        <v>3177</v>
      </c>
      <c r="C4743" s="26" t="n">
        <v>46177</v>
      </c>
      <c r="D4743" s="6" t="s">
        <v>5383</v>
      </c>
      <c r="E4743" s="6" t="s">
        <v>20</v>
      </c>
      <c r="F4743" s="6" t="n">
        <v>1</v>
      </c>
      <c r="G4743" s="10" t="n">
        <v>1008</v>
      </c>
      <c r="H4743" s="10" t="n">
        <f aca="false">F4743*G4743</f>
        <v>1008</v>
      </c>
      <c r="I4743" s="6" t="s">
        <v>5122</v>
      </c>
    </row>
    <row r="4744" customFormat="false" ht="15" hidden="false" customHeight="false" outlineLevel="0" collapsed="false">
      <c r="A4744" s="6" t="s">
        <v>9968</v>
      </c>
      <c r="B4744" s="6" t="s">
        <v>3907</v>
      </c>
      <c r="C4744" s="26" t="n">
        <v>46177</v>
      </c>
      <c r="D4744" s="6" t="s">
        <v>5749</v>
      </c>
      <c r="E4744" s="6" t="s">
        <v>20</v>
      </c>
      <c r="F4744" s="6" t="n">
        <v>1</v>
      </c>
      <c r="G4744" s="10" t="n">
        <v>733</v>
      </c>
      <c r="H4744" s="10" t="n">
        <f aca="false">F4744*G4744</f>
        <v>733</v>
      </c>
      <c r="I4744" s="6" t="s">
        <v>5122</v>
      </c>
    </row>
    <row r="4745" customFormat="false" ht="15" hidden="false" customHeight="false" outlineLevel="0" collapsed="false">
      <c r="A4745" s="6" t="s">
        <v>9969</v>
      </c>
      <c r="B4745" s="6" t="s">
        <v>4431</v>
      </c>
      <c r="C4745" s="26" t="n">
        <v>46177</v>
      </c>
      <c r="D4745" s="6" t="s">
        <v>5305</v>
      </c>
      <c r="E4745" s="6" t="s">
        <v>20</v>
      </c>
      <c r="F4745" s="6" t="n">
        <v>2</v>
      </c>
      <c r="G4745" s="10" t="n">
        <v>1549</v>
      </c>
      <c r="H4745" s="10" t="n">
        <f aca="false">F4745*G4745</f>
        <v>3098</v>
      </c>
      <c r="I4745" s="6" t="s">
        <v>5122</v>
      </c>
    </row>
    <row r="4746" customFormat="false" ht="15" hidden="false" customHeight="false" outlineLevel="0" collapsed="false">
      <c r="A4746" s="6" t="s">
        <v>9970</v>
      </c>
      <c r="B4746" s="6" t="s">
        <v>3823</v>
      </c>
      <c r="C4746" s="26" t="n">
        <v>46177</v>
      </c>
      <c r="D4746" s="6" t="s">
        <v>5488</v>
      </c>
      <c r="E4746" s="6" t="s">
        <v>24</v>
      </c>
      <c r="F4746" s="6" t="n">
        <v>1</v>
      </c>
      <c r="G4746" s="10" t="n">
        <v>866</v>
      </c>
      <c r="H4746" s="10" t="n">
        <f aca="false">F4746*G4746</f>
        <v>866</v>
      </c>
      <c r="I4746" s="6" t="s">
        <v>5148</v>
      </c>
    </row>
    <row r="4747" customFormat="false" ht="15" hidden="false" customHeight="false" outlineLevel="0" collapsed="false">
      <c r="A4747" s="6" t="s">
        <v>9971</v>
      </c>
      <c r="B4747" s="6" t="s">
        <v>4659</v>
      </c>
      <c r="C4747" s="26" t="n">
        <v>46177</v>
      </c>
      <c r="D4747" s="6" t="s">
        <v>5165</v>
      </c>
      <c r="E4747" s="6" t="s">
        <v>22</v>
      </c>
      <c r="F4747" s="6" t="n">
        <v>1</v>
      </c>
      <c r="G4747" s="10" t="n">
        <v>928</v>
      </c>
      <c r="H4747" s="10" t="n">
        <f aca="false">F4747*G4747</f>
        <v>928</v>
      </c>
      <c r="I4747" s="6" t="s">
        <v>5148</v>
      </c>
    </row>
    <row r="4748" customFormat="false" ht="15" hidden="false" customHeight="false" outlineLevel="0" collapsed="false">
      <c r="A4748" s="6" t="s">
        <v>9972</v>
      </c>
      <c r="B4748" s="6" t="s">
        <v>1993</v>
      </c>
      <c r="C4748" s="26" t="n">
        <v>46177</v>
      </c>
      <c r="D4748" s="6" t="s">
        <v>5135</v>
      </c>
      <c r="E4748" s="6" t="s">
        <v>23</v>
      </c>
      <c r="F4748" s="6" t="n">
        <v>2</v>
      </c>
      <c r="G4748" s="10" t="n">
        <v>419</v>
      </c>
      <c r="H4748" s="10" t="n">
        <f aca="false">F4748*G4748</f>
        <v>838</v>
      </c>
      <c r="I4748" s="6" t="s">
        <v>5148</v>
      </c>
    </row>
    <row r="4749" customFormat="false" ht="15" hidden="false" customHeight="false" outlineLevel="0" collapsed="false">
      <c r="A4749" s="6" t="s">
        <v>9973</v>
      </c>
      <c r="B4749" s="6" t="s">
        <v>655</v>
      </c>
      <c r="C4749" s="26" t="n">
        <v>46177</v>
      </c>
      <c r="D4749" s="6" t="s">
        <v>5156</v>
      </c>
      <c r="E4749" s="6" t="s">
        <v>21</v>
      </c>
      <c r="F4749" s="6" t="n">
        <v>1</v>
      </c>
      <c r="G4749" s="10" t="n">
        <v>2162</v>
      </c>
      <c r="H4749" s="10" t="n">
        <f aca="false">F4749*G4749</f>
        <v>2162</v>
      </c>
      <c r="I4749" s="6" t="s">
        <v>5148</v>
      </c>
    </row>
    <row r="4750" customFormat="false" ht="15" hidden="false" customHeight="false" outlineLevel="0" collapsed="false">
      <c r="A4750" s="6" t="s">
        <v>9974</v>
      </c>
      <c r="B4750" s="6" t="s">
        <v>4411</v>
      </c>
      <c r="C4750" s="26" t="n">
        <v>46177</v>
      </c>
      <c r="D4750" s="6" t="s">
        <v>5167</v>
      </c>
      <c r="E4750" s="6" t="s">
        <v>22</v>
      </c>
      <c r="F4750" s="6" t="n">
        <v>1</v>
      </c>
      <c r="G4750" s="10" t="n">
        <v>703</v>
      </c>
      <c r="H4750" s="10" t="n">
        <f aca="false">F4750*G4750</f>
        <v>703</v>
      </c>
      <c r="I4750" s="6" t="s">
        <v>5148</v>
      </c>
    </row>
    <row r="4751" customFormat="false" ht="15" hidden="false" customHeight="false" outlineLevel="0" collapsed="false">
      <c r="A4751" s="6" t="s">
        <v>9975</v>
      </c>
      <c r="B4751" s="6" t="s">
        <v>4049</v>
      </c>
      <c r="C4751" s="26" t="n">
        <v>46177</v>
      </c>
      <c r="D4751" s="6" t="s">
        <v>5259</v>
      </c>
      <c r="E4751" s="6" t="s">
        <v>22</v>
      </c>
      <c r="F4751" s="6" t="n">
        <v>1</v>
      </c>
      <c r="G4751" s="10" t="n">
        <v>1564</v>
      </c>
      <c r="H4751" s="10" t="n">
        <f aca="false">F4751*G4751</f>
        <v>1564</v>
      </c>
      <c r="I4751" s="6" t="s">
        <v>5173</v>
      </c>
    </row>
    <row r="4752" customFormat="false" ht="15" hidden="false" customHeight="false" outlineLevel="0" collapsed="false">
      <c r="A4752" s="6" t="s">
        <v>9976</v>
      </c>
      <c r="B4752" s="6" t="s">
        <v>2469</v>
      </c>
      <c r="C4752" s="26" t="n">
        <v>46177</v>
      </c>
      <c r="D4752" s="6" t="s">
        <v>5167</v>
      </c>
      <c r="E4752" s="6" t="s">
        <v>22</v>
      </c>
      <c r="F4752" s="6" t="n">
        <v>1</v>
      </c>
      <c r="G4752" s="10" t="n">
        <v>743</v>
      </c>
      <c r="H4752" s="10" t="n">
        <f aca="false">F4752*G4752</f>
        <v>743</v>
      </c>
      <c r="I4752" s="6" t="s">
        <v>5122</v>
      </c>
    </row>
    <row r="4753" customFormat="false" ht="15" hidden="false" customHeight="false" outlineLevel="0" collapsed="false">
      <c r="A4753" s="6" t="s">
        <v>9977</v>
      </c>
      <c r="B4753" s="6" t="s">
        <v>3749</v>
      </c>
      <c r="C4753" s="26" t="n">
        <v>46177</v>
      </c>
      <c r="D4753" s="6" t="s">
        <v>5158</v>
      </c>
      <c r="E4753" s="6" t="s">
        <v>24</v>
      </c>
      <c r="F4753" s="6" t="n">
        <v>2</v>
      </c>
      <c r="G4753" s="10" t="n">
        <v>390</v>
      </c>
      <c r="H4753" s="10" t="n">
        <f aca="false">F4753*G4753</f>
        <v>780</v>
      </c>
      <c r="I4753" s="6" t="s">
        <v>5122</v>
      </c>
    </row>
    <row r="4754" customFormat="false" ht="15" hidden="false" customHeight="false" outlineLevel="0" collapsed="false">
      <c r="A4754" s="6" t="s">
        <v>9978</v>
      </c>
      <c r="B4754" s="6" t="s">
        <v>2595</v>
      </c>
      <c r="C4754" s="26" t="n">
        <v>46177</v>
      </c>
      <c r="D4754" s="6" t="s">
        <v>5245</v>
      </c>
      <c r="E4754" s="6" t="s">
        <v>21</v>
      </c>
      <c r="F4754" s="6" t="n">
        <v>2</v>
      </c>
      <c r="G4754" s="10" t="n">
        <v>2456</v>
      </c>
      <c r="H4754" s="10" t="n">
        <f aca="false">F4754*G4754</f>
        <v>4912</v>
      </c>
      <c r="I4754" s="6" t="s">
        <v>5125</v>
      </c>
    </row>
    <row r="4755" customFormat="false" ht="15" hidden="false" customHeight="false" outlineLevel="0" collapsed="false">
      <c r="A4755" s="6" t="s">
        <v>9979</v>
      </c>
      <c r="B4755" s="6" t="s">
        <v>4347</v>
      </c>
      <c r="C4755" s="26" t="n">
        <v>46177</v>
      </c>
      <c r="D4755" s="6" t="s">
        <v>5152</v>
      </c>
      <c r="E4755" s="6" t="s">
        <v>22</v>
      </c>
      <c r="F4755" s="6" t="n">
        <v>2</v>
      </c>
      <c r="G4755" s="10" t="n">
        <v>1760</v>
      </c>
      <c r="H4755" s="10" t="n">
        <f aca="false">F4755*G4755</f>
        <v>3520</v>
      </c>
      <c r="I4755" s="6" t="s">
        <v>5122</v>
      </c>
    </row>
    <row r="4756" customFormat="false" ht="15" hidden="false" customHeight="false" outlineLevel="0" collapsed="false">
      <c r="A4756" s="6" t="s">
        <v>9980</v>
      </c>
      <c r="B4756" s="6" t="s">
        <v>1941</v>
      </c>
      <c r="C4756" s="26" t="n">
        <v>46177</v>
      </c>
      <c r="D4756" s="6" t="s">
        <v>5216</v>
      </c>
      <c r="E4756" s="6" t="s">
        <v>23</v>
      </c>
      <c r="F4756" s="6" t="n">
        <v>1</v>
      </c>
      <c r="G4756" s="10" t="n">
        <v>558</v>
      </c>
      <c r="H4756" s="10" t="n">
        <f aca="false">F4756*G4756</f>
        <v>558</v>
      </c>
      <c r="I4756" s="6" t="s">
        <v>5173</v>
      </c>
    </row>
    <row r="4757" customFormat="false" ht="15" hidden="false" customHeight="false" outlineLevel="0" collapsed="false">
      <c r="A4757" s="6" t="s">
        <v>9981</v>
      </c>
      <c r="B4757" s="6" t="s">
        <v>1599</v>
      </c>
      <c r="C4757" s="26" t="n">
        <v>46177</v>
      </c>
      <c r="D4757" s="6" t="s">
        <v>5167</v>
      </c>
      <c r="E4757" s="6" t="s">
        <v>22</v>
      </c>
      <c r="F4757" s="6" t="n">
        <v>1</v>
      </c>
      <c r="G4757" s="10" t="n">
        <v>782</v>
      </c>
      <c r="H4757" s="10" t="n">
        <f aca="false">F4757*G4757</f>
        <v>782</v>
      </c>
      <c r="I4757" s="6" t="s">
        <v>5125</v>
      </c>
    </row>
    <row r="4758" customFormat="false" ht="15" hidden="false" customHeight="false" outlineLevel="0" collapsed="false">
      <c r="A4758" s="6" t="s">
        <v>9982</v>
      </c>
      <c r="B4758" s="6" t="s">
        <v>2155</v>
      </c>
      <c r="C4758" s="26" t="n">
        <v>46177</v>
      </c>
      <c r="D4758" s="6" t="s">
        <v>5165</v>
      </c>
      <c r="E4758" s="6" t="s">
        <v>22</v>
      </c>
      <c r="F4758" s="6" t="n">
        <v>1</v>
      </c>
      <c r="G4758" s="10" t="n">
        <v>880</v>
      </c>
      <c r="H4758" s="10" t="n">
        <f aca="false">F4758*G4758</f>
        <v>880</v>
      </c>
      <c r="I4758" s="6" t="s">
        <v>5122</v>
      </c>
    </row>
    <row r="4759" customFormat="false" ht="15" hidden="false" customHeight="false" outlineLevel="0" collapsed="false">
      <c r="A4759" s="6" t="s">
        <v>9983</v>
      </c>
      <c r="B4759" s="6" t="s">
        <v>4637</v>
      </c>
      <c r="C4759" s="26" t="n">
        <v>46177</v>
      </c>
      <c r="D4759" s="6" t="s">
        <v>5192</v>
      </c>
      <c r="E4759" s="6" t="s">
        <v>20</v>
      </c>
      <c r="F4759" s="6" t="n">
        <v>1</v>
      </c>
      <c r="G4759" s="10" t="n">
        <v>4078</v>
      </c>
      <c r="H4759" s="10" t="n">
        <f aca="false">F4759*G4759</f>
        <v>4078</v>
      </c>
      <c r="I4759" s="6" t="s">
        <v>5125</v>
      </c>
    </row>
    <row r="4760" customFormat="false" ht="15" hidden="false" customHeight="false" outlineLevel="0" collapsed="false">
      <c r="A4760" s="6" t="s">
        <v>9984</v>
      </c>
      <c r="B4760" s="6" t="s">
        <v>1059</v>
      </c>
      <c r="C4760" s="26" t="n">
        <v>46177</v>
      </c>
      <c r="D4760" s="6" t="s">
        <v>5165</v>
      </c>
      <c r="E4760" s="6" t="s">
        <v>22</v>
      </c>
      <c r="F4760" s="6" t="n">
        <v>3</v>
      </c>
      <c r="G4760" s="10" t="n">
        <v>977</v>
      </c>
      <c r="H4760" s="10" t="n">
        <f aca="false">F4760*G4760</f>
        <v>2931</v>
      </c>
      <c r="I4760" s="6" t="s">
        <v>5148</v>
      </c>
    </row>
    <row r="4761" customFormat="false" ht="15" hidden="false" customHeight="false" outlineLevel="0" collapsed="false">
      <c r="A4761" s="6" t="s">
        <v>9985</v>
      </c>
      <c r="B4761" s="6" t="s">
        <v>2027</v>
      </c>
      <c r="C4761" s="26" t="n">
        <v>46177</v>
      </c>
      <c r="D4761" s="6" t="s">
        <v>5167</v>
      </c>
      <c r="E4761" s="6" t="s">
        <v>22</v>
      </c>
      <c r="F4761" s="6" t="n">
        <v>1</v>
      </c>
      <c r="G4761" s="10" t="n">
        <v>703</v>
      </c>
      <c r="H4761" s="10" t="n">
        <f aca="false">F4761*G4761</f>
        <v>703</v>
      </c>
      <c r="I4761" s="6" t="s">
        <v>5122</v>
      </c>
    </row>
    <row r="4762" customFormat="false" ht="15" hidden="false" customHeight="false" outlineLevel="0" collapsed="false">
      <c r="A4762" s="6" t="s">
        <v>9986</v>
      </c>
      <c r="B4762" s="6" t="s">
        <v>1669</v>
      </c>
      <c r="C4762" s="26" t="n">
        <v>46177</v>
      </c>
      <c r="D4762" s="6" t="s">
        <v>5132</v>
      </c>
      <c r="E4762" s="6" t="s">
        <v>23</v>
      </c>
      <c r="F4762" s="6" t="n">
        <v>4</v>
      </c>
      <c r="G4762" s="10" t="n">
        <v>342</v>
      </c>
      <c r="H4762" s="10" t="n">
        <f aca="false">F4762*G4762</f>
        <v>1368</v>
      </c>
      <c r="I4762" s="6" t="s">
        <v>5122</v>
      </c>
    </row>
    <row r="4763" customFormat="false" ht="15" hidden="false" customHeight="false" outlineLevel="0" collapsed="false">
      <c r="A4763" s="6" t="s">
        <v>9987</v>
      </c>
      <c r="B4763" s="6" t="s">
        <v>2565</v>
      </c>
      <c r="C4763" s="26" t="n">
        <v>46177</v>
      </c>
      <c r="D4763" s="6" t="s">
        <v>5167</v>
      </c>
      <c r="E4763" s="6" t="s">
        <v>22</v>
      </c>
      <c r="F4763" s="6" t="n">
        <v>2</v>
      </c>
      <c r="G4763" s="10" t="n">
        <v>782</v>
      </c>
      <c r="H4763" s="10" t="n">
        <f aca="false">F4763*G4763</f>
        <v>1564</v>
      </c>
      <c r="I4763" s="6" t="s">
        <v>5125</v>
      </c>
    </row>
    <row r="4764" customFormat="false" ht="15" hidden="false" customHeight="false" outlineLevel="0" collapsed="false">
      <c r="A4764" s="6" t="s">
        <v>9988</v>
      </c>
      <c r="B4764" s="6" t="s">
        <v>4947</v>
      </c>
      <c r="C4764" s="26" t="n">
        <v>46177</v>
      </c>
      <c r="D4764" s="6" t="s">
        <v>5357</v>
      </c>
      <c r="E4764" s="6" t="s">
        <v>23</v>
      </c>
      <c r="F4764" s="6" t="n">
        <v>1</v>
      </c>
      <c r="G4764" s="10" t="n">
        <v>533</v>
      </c>
      <c r="H4764" s="10" t="n">
        <f aca="false">F4764*G4764</f>
        <v>533</v>
      </c>
      <c r="I4764" s="6" t="s">
        <v>5148</v>
      </c>
    </row>
    <row r="4765" customFormat="false" ht="15" hidden="false" customHeight="false" outlineLevel="0" collapsed="false">
      <c r="A4765" s="6" t="s">
        <v>9989</v>
      </c>
      <c r="B4765" s="6" t="s">
        <v>3027</v>
      </c>
      <c r="C4765" s="26" t="n">
        <v>46177</v>
      </c>
      <c r="D4765" s="6" t="s">
        <v>5837</v>
      </c>
      <c r="E4765" s="6" t="s">
        <v>21</v>
      </c>
      <c r="F4765" s="6" t="n">
        <v>1</v>
      </c>
      <c r="G4765" s="10" t="n">
        <v>2948</v>
      </c>
      <c r="H4765" s="10" t="n">
        <f aca="false">F4765*G4765</f>
        <v>2948</v>
      </c>
      <c r="I4765" s="6" t="s">
        <v>5130</v>
      </c>
    </row>
    <row r="4766" customFormat="false" ht="15" hidden="false" customHeight="false" outlineLevel="0" collapsed="false">
      <c r="A4766" s="6" t="s">
        <v>9990</v>
      </c>
      <c r="B4766" s="6" t="s">
        <v>4465</v>
      </c>
      <c r="C4766" s="26" t="n">
        <v>46177</v>
      </c>
      <c r="D4766" s="6" t="s">
        <v>5202</v>
      </c>
      <c r="E4766" s="6" t="s">
        <v>23</v>
      </c>
      <c r="F4766" s="6" t="n">
        <v>4</v>
      </c>
      <c r="G4766" s="10" t="n">
        <v>233</v>
      </c>
      <c r="H4766" s="10" t="n">
        <f aca="false">F4766*G4766</f>
        <v>932</v>
      </c>
      <c r="I4766" s="6" t="s">
        <v>5122</v>
      </c>
    </row>
    <row r="4767" customFormat="false" ht="15" hidden="false" customHeight="false" outlineLevel="0" collapsed="false">
      <c r="A4767" s="6" t="s">
        <v>9991</v>
      </c>
      <c r="B4767" s="6" t="s">
        <v>3029</v>
      </c>
      <c r="C4767" s="26" t="n">
        <v>46177</v>
      </c>
      <c r="D4767" s="6" t="s">
        <v>5197</v>
      </c>
      <c r="E4767" s="6" t="s">
        <v>21</v>
      </c>
      <c r="F4767" s="6" t="n">
        <v>1</v>
      </c>
      <c r="G4767" s="10" t="n">
        <v>1080</v>
      </c>
      <c r="H4767" s="10" t="n">
        <f aca="false">F4767*G4767</f>
        <v>1080</v>
      </c>
      <c r="I4767" s="6" t="s">
        <v>5122</v>
      </c>
    </row>
    <row r="4768" customFormat="false" ht="15" hidden="false" customHeight="false" outlineLevel="0" collapsed="false">
      <c r="A4768" s="6" t="s">
        <v>9992</v>
      </c>
      <c r="B4768" s="6" t="s">
        <v>2521</v>
      </c>
      <c r="C4768" s="26" t="n">
        <v>46177</v>
      </c>
      <c r="D4768" s="6" t="s">
        <v>5121</v>
      </c>
      <c r="E4768" s="6" t="s">
        <v>22</v>
      </c>
      <c r="F4768" s="6" t="n">
        <v>1</v>
      </c>
      <c r="G4768" s="10" t="n">
        <v>880</v>
      </c>
      <c r="H4768" s="10" t="n">
        <f aca="false">F4768*G4768</f>
        <v>880</v>
      </c>
      <c r="I4768" s="6" t="s">
        <v>5122</v>
      </c>
    </row>
    <row r="4769" customFormat="false" ht="15" hidden="false" customHeight="false" outlineLevel="0" collapsed="false">
      <c r="A4769" s="6" t="s">
        <v>9993</v>
      </c>
      <c r="B4769" s="6" t="s">
        <v>639</v>
      </c>
      <c r="C4769" s="26" t="n">
        <v>46177</v>
      </c>
      <c r="D4769" s="6" t="s">
        <v>5269</v>
      </c>
      <c r="E4769" s="6" t="s">
        <v>22</v>
      </c>
      <c r="F4769" s="6" t="n">
        <v>1</v>
      </c>
      <c r="G4769" s="10" t="n">
        <v>1144</v>
      </c>
      <c r="H4769" s="10" t="n">
        <f aca="false">F4769*G4769</f>
        <v>1144</v>
      </c>
      <c r="I4769" s="6" t="s">
        <v>5122</v>
      </c>
    </row>
    <row r="4770" customFormat="false" ht="15" hidden="false" customHeight="false" outlineLevel="0" collapsed="false">
      <c r="A4770" s="6" t="s">
        <v>9994</v>
      </c>
      <c r="B4770" s="6" t="s">
        <v>2843</v>
      </c>
      <c r="C4770" s="26" t="n">
        <v>46177</v>
      </c>
      <c r="D4770" s="6" t="s">
        <v>5749</v>
      </c>
      <c r="E4770" s="6" t="s">
        <v>20</v>
      </c>
      <c r="F4770" s="6" t="n">
        <v>1</v>
      </c>
      <c r="G4770" s="10" t="n">
        <v>815</v>
      </c>
      <c r="H4770" s="10" t="n">
        <f aca="false">F4770*G4770</f>
        <v>815</v>
      </c>
      <c r="I4770" s="6" t="s">
        <v>5148</v>
      </c>
    </row>
    <row r="4771" customFormat="false" ht="15" hidden="false" customHeight="false" outlineLevel="0" collapsed="false">
      <c r="A4771" s="6" t="s">
        <v>9995</v>
      </c>
      <c r="B4771" s="6" t="s">
        <v>2007</v>
      </c>
      <c r="C4771" s="26" t="n">
        <v>46177</v>
      </c>
      <c r="D4771" s="6" t="s">
        <v>5137</v>
      </c>
      <c r="E4771" s="6" t="s">
        <v>21</v>
      </c>
      <c r="F4771" s="6" t="n">
        <v>2</v>
      </c>
      <c r="G4771" s="10" t="n">
        <v>1768</v>
      </c>
      <c r="H4771" s="10" t="n">
        <f aca="false">F4771*G4771</f>
        <v>3536</v>
      </c>
      <c r="I4771" s="6" t="s">
        <v>5148</v>
      </c>
    </row>
    <row r="4772" customFormat="false" ht="15" hidden="false" customHeight="false" outlineLevel="0" collapsed="false">
      <c r="A4772" s="6" t="s">
        <v>9996</v>
      </c>
      <c r="B4772" s="6" t="s">
        <v>4797</v>
      </c>
      <c r="C4772" s="26" t="n">
        <v>46177</v>
      </c>
      <c r="D4772" s="6" t="s">
        <v>5339</v>
      </c>
      <c r="E4772" s="6" t="s">
        <v>24</v>
      </c>
      <c r="F4772" s="6" t="n">
        <v>2</v>
      </c>
      <c r="G4772" s="10" t="n">
        <v>483</v>
      </c>
      <c r="H4772" s="10" t="n">
        <f aca="false">F4772*G4772</f>
        <v>966</v>
      </c>
      <c r="I4772" s="6" t="s">
        <v>5122</v>
      </c>
    </row>
    <row r="4773" customFormat="false" ht="15" hidden="false" customHeight="false" outlineLevel="0" collapsed="false">
      <c r="A4773" s="6" t="s">
        <v>9997</v>
      </c>
      <c r="B4773" s="6" t="s">
        <v>637</v>
      </c>
      <c r="C4773" s="26" t="n">
        <v>46177</v>
      </c>
      <c r="D4773" s="6" t="s">
        <v>5127</v>
      </c>
      <c r="E4773" s="6" t="s">
        <v>21</v>
      </c>
      <c r="F4773" s="6" t="n">
        <v>2</v>
      </c>
      <c r="G4773" s="10" t="n">
        <v>884</v>
      </c>
      <c r="H4773" s="10" t="n">
        <f aca="false">F4773*G4773</f>
        <v>1768</v>
      </c>
      <c r="I4773" s="6" t="s">
        <v>5130</v>
      </c>
    </row>
    <row r="4774" customFormat="false" ht="15" hidden="false" customHeight="false" outlineLevel="0" collapsed="false">
      <c r="A4774" s="6" t="s">
        <v>9998</v>
      </c>
      <c r="B4774" s="6" t="s">
        <v>1225</v>
      </c>
      <c r="C4774" s="26" t="n">
        <v>46177</v>
      </c>
      <c r="D4774" s="6" t="s">
        <v>5121</v>
      </c>
      <c r="E4774" s="6" t="s">
        <v>22</v>
      </c>
      <c r="F4774" s="6" t="n">
        <v>1</v>
      </c>
      <c r="G4774" s="10" t="n">
        <v>977</v>
      </c>
      <c r="H4774" s="10" t="n">
        <f aca="false">F4774*G4774</f>
        <v>977</v>
      </c>
      <c r="I4774" s="6" t="s">
        <v>5122</v>
      </c>
    </row>
    <row r="4775" customFormat="false" ht="15" hidden="false" customHeight="false" outlineLevel="0" collapsed="false">
      <c r="A4775" s="6" t="s">
        <v>9999</v>
      </c>
      <c r="B4775" s="6" t="s">
        <v>2645</v>
      </c>
      <c r="C4775" s="26" t="n">
        <v>46177</v>
      </c>
      <c r="D4775" s="6" t="s">
        <v>5171</v>
      </c>
      <c r="E4775" s="6" t="s">
        <v>23</v>
      </c>
      <c r="F4775" s="6" t="n">
        <v>2</v>
      </c>
      <c r="G4775" s="10" t="n">
        <v>661</v>
      </c>
      <c r="H4775" s="10" t="n">
        <f aca="false">F4775*G4775</f>
        <v>1322</v>
      </c>
      <c r="I4775" s="6" t="s">
        <v>5122</v>
      </c>
    </row>
    <row r="4776" customFormat="false" ht="15" hidden="false" customHeight="false" outlineLevel="0" collapsed="false">
      <c r="A4776" s="6" t="s">
        <v>10000</v>
      </c>
      <c r="B4776" s="6" t="s">
        <v>2109</v>
      </c>
      <c r="C4776" s="26" t="n">
        <v>46177</v>
      </c>
      <c r="D4776" s="6" t="s">
        <v>5207</v>
      </c>
      <c r="E4776" s="6" t="s">
        <v>20</v>
      </c>
      <c r="F4776" s="6" t="n">
        <v>1</v>
      </c>
      <c r="G4776" s="10" t="n">
        <v>1324</v>
      </c>
      <c r="H4776" s="10" t="n">
        <f aca="false">F4776*G4776</f>
        <v>1324</v>
      </c>
      <c r="I4776" s="6" t="s">
        <v>5148</v>
      </c>
    </row>
    <row r="4777" customFormat="false" ht="15" hidden="false" customHeight="false" outlineLevel="0" collapsed="false">
      <c r="A4777" s="6" t="s">
        <v>10001</v>
      </c>
      <c r="B4777" s="6" t="s">
        <v>4021</v>
      </c>
      <c r="C4777" s="26" t="n">
        <v>46178</v>
      </c>
      <c r="D4777" s="6" t="s">
        <v>5132</v>
      </c>
      <c r="E4777" s="6" t="s">
        <v>23</v>
      </c>
      <c r="F4777" s="6" t="n">
        <v>1</v>
      </c>
      <c r="G4777" s="10" t="n">
        <v>342</v>
      </c>
      <c r="H4777" s="10" t="n">
        <f aca="false">F4777*G4777</f>
        <v>342</v>
      </c>
      <c r="I4777" s="6" t="s">
        <v>5133</v>
      </c>
    </row>
    <row r="4778" customFormat="false" ht="15" hidden="false" customHeight="false" outlineLevel="0" collapsed="false">
      <c r="A4778" s="6" t="s">
        <v>10002</v>
      </c>
      <c r="B4778" s="6" t="s">
        <v>3361</v>
      </c>
      <c r="C4778" s="26" t="n">
        <v>46178</v>
      </c>
      <c r="D4778" s="6" t="s">
        <v>5269</v>
      </c>
      <c r="E4778" s="6" t="s">
        <v>22</v>
      </c>
      <c r="F4778" s="6" t="n">
        <v>2</v>
      </c>
      <c r="G4778" s="10" t="n">
        <v>1271</v>
      </c>
      <c r="H4778" s="10" t="n">
        <f aca="false">F4778*G4778</f>
        <v>2542</v>
      </c>
      <c r="I4778" s="6" t="s">
        <v>5125</v>
      </c>
    </row>
    <row r="4779" customFormat="false" ht="15" hidden="false" customHeight="false" outlineLevel="0" collapsed="false">
      <c r="A4779" s="6" t="s">
        <v>10003</v>
      </c>
      <c r="B4779" s="6" t="s">
        <v>1725</v>
      </c>
      <c r="C4779" s="26" t="n">
        <v>46178</v>
      </c>
      <c r="D4779" s="6" t="s">
        <v>5226</v>
      </c>
      <c r="E4779" s="6" t="s">
        <v>24</v>
      </c>
      <c r="F4779" s="6" t="n">
        <v>1</v>
      </c>
      <c r="G4779" s="10" t="n">
        <v>457</v>
      </c>
      <c r="H4779" s="10" t="n">
        <f aca="false">F4779*G4779</f>
        <v>457</v>
      </c>
      <c r="I4779" s="6" t="s">
        <v>5133</v>
      </c>
    </row>
    <row r="4780" customFormat="false" ht="15" hidden="false" customHeight="false" outlineLevel="0" collapsed="false">
      <c r="A4780" s="6" t="s">
        <v>10004</v>
      </c>
      <c r="B4780" s="6" t="s">
        <v>4083</v>
      </c>
      <c r="C4780" s="26" t="n">
        <v>46178</v>
      </c>
      <c r="D4780" s="6" t="s">
        <v>5218</v>
      </c>
      <c r="E4780" s="6" t="s">
        <v>23</v>
      </c>
      <c r="F4780" s="6" t="n">
        <v>3</v>
      </c>
      <c r="G4780" s="10" t="n">
        <v>165</v>
      </c>
      <c r="H4780" s="10" t="n">
        <f aca="false">F4780*G4780</f>
        <v>495</v>
      </c>
      <c r="I4780" s="6" t="s">
        <v>5130</v>
      </c>
    </row>
    <row r="4781" customFormat="false" ht="15" hidden="false" customHeight="false" outlineLevel="0" collapsed="false">
      <c r="A4781" s="6" t="s">
        <v>10005</v>
      </c>
      <c r="B4781" s="6" t="s">
        <v>787</v>
      </c>
      <c r="C4781" s="26" t="n">
        <v>46178</v>
      </c>
      <c r="D4781" s="6" t="s">
        <v>5466</v>
      </c>
      <c r="E4781" s="6" t="s">
        <v>21</v>
      </c>
      <c r="F4781" s="6" t="n">
        <v>1</v>
      </c>
      <c r="G4781" s="10" t="n">
        <v>1965</v>
      </c>
      <c r="H4781" s="10" t="n">
        <f aca="false">F4781*G4781</f>
        <v>1965</v>
      </c>
      <c r="I4781" s="6" t="s">
        <v>5125</v>
      </c>
    </row>
    <row r="4782" customFormat="false" ht="15" hidden="false" customHeight="false" outlineLevel="0" collapsed="false">
      <c r="A4782" s="6" t="s">
        <v>10006</v>
      </c>
      <c r="B4782" s="6" t="s">
        <v>3141</v>
      </c>
      <c r="C4782" s="26" t="n">
        <v>46178</v>
      </c>
      <c r="D4782" s="6" t="s">
        <v>5163</v>
      </c>
      <c r="E4782" s="6" t="s">
        <v>23</v>
      </c>
      <c r="F4782" s="6" t="n">
        <v>2</v>
      </c>
      <c r="G4782" s="10" t="n">
        <v>783</v>
      </c>
      <c r="H4782" s="10" t="n">
        <f aca="false">F4782*G4782</f>
        <v>1566</v>
      </c>
      <c r="I4782" s="6" t="s">
        <v>5122</v>
      </c>
    </row>
    <row r="4783" customFormat="false" ht="15" hidden="false" customHeight="false" outlineLevel="0" collapsed="false">
      <c r="A4783" s="6" t="s">
        <v>10007</v>
      </c>
      <c r="B4783" s="6" t="s">
        <v>2839</v>
      </c>
      <c r="C4783" s="26" t="n">
        <v>46178</v>
      </c>
      <c r="D4783" s="6" t="s">
        <v>5163</v>
      </c>
      <c r="E4783" s="6" t="s">
        <v>23</v>
      </c>
      <c r="F4783" s="6" t="n">
        <v>3</v>
      </c>
      <c r="G4783" s="10" t="n">
        <v>783</v>
      </c>
      <c r="H4783" s="10" t="n">
        <f aca="false">F4783*G4783</f>
        <v>2349</v>
      </c>
      <c r="I4783" s="6" t="s">
        <v>5148</v>
      </c>
    </row>
    <row r="4784" customFormat="false" ht="15" hidden="false" customHeight="false" outlineLevel="0" collapsed="false">
      <c r="A4784" s="6" t="s">
        <v>10008</v>
      </c>
      <c r="B4784" s="6" t="s">
        <v>1737</v>
      </c>
      <c r="C4784" s="26" t="n">
        <v>46178</v>
      </c>
      <c r="D4784" s="6" t="s">
        <v>5185</v>
      </c>
      <c r="E4784" s="6" t="s">
        <v>24</v>
      </c>
      <c r="F4784" s="6" t="n">
        <v>1</v>
      </c>
      <c r="G4784" s="10" t="n">
        <v>2033</v>
      </c>
      <c r="H4784" s="10" t="n">
        <f aca="false">F4784*G4784</f>
        <v>2033</v>
      </c>
      <c r="I4784" s="6" t="s">
        <v>5125</v>
      </c>
    </row>
    <row r="4785" customFormat="false" ht="15" hidden="false" customHeight="false" outlineLevel="0" collapsed="false">
      <c r="A4785" s="6" t="s">
        <v>10009</v>
      </c>
      <c r="B4785" s="6" t="s">
        <v>4267</v>
      </c>
      <c r="C4785" s="26" t="n">
        <v>46178</v>
      </c>
      <c r="D4785" s="6" t="s">
        <v>5129</v>
      </c>
      <c r="E4785" s="6" t="s">
        <v>21</v>
      </c>
      <c r="F4785" s="6" t="n">
        <v>1</v>
      </c>
      <c r="G4785" s="10" t="n">
        <v>589</v>
      </c>
      <c r="H4785" s="10" t="n">
        <f aca="false">F4785*G4785</f>
        <v>589</v>
      </c>
      <c r="I4785" s="6" t="s">
        <v>5122</v>
      </c>
    </row>
    <row r="4786" customFormat="false" ht="15" hidden="false" customHeight="false" outlineLevel="0" collapsed="false">
      <c r="A4786" s="6" t="s">
        <v>10010</v>
      </c>
      <c r="B4786" s="6" t="s">
        <v>2053</v>
      </c>
      <c r="C4786" s="26" t="n">
        <v>46178</v>
      </c>
      <c r="D4786" s="6" t="s">
        <v>5326</v>
      </c>
      <c r="E4786" s="6" t="s">
        <v>22</v>
      </c>
      <c r="F4786" s="6" t="n">
        <v>1</v>
      </c>
      <c r="G4786" s="10" t="n">
        <v>1466</v>
      </c>
      <c r="H4786" s="10" t="n">
        <f aca="false">F4786*G4786</f>
        <v>1466</v>
      </c>
      <c r="I4786" s="6" t="s">
        <v>5122</v>
      </c>
    </row>
    <row r="4787" customFormat="false" ht="15" hidden="false" customHeight="false" outlineLevel="0" collapsed="false">
      <c r="A4787" s="6" t="s">
        <v>10011</v>
      </c>
      <c r="B4787" s="6" t="s">
        <v>4839</v>
      </c>
      <c r="C4787" s="26" t="n">
        <v>46178</v>
      </c>
      <c r="D4787" s="6" t="s">
        <v>5127</v>
      </c>
      <c r="E4787" s="6" t="s">
        <v>21</v>
      </c>
      <c r="F4787" s="6" t="n">
        <v>1</v>
      </c>
      <c r="G4787" s="10" t="n">
        <v>884</v>
      </c>
      <c r="H4787" s="10" t="n">
        <f aca="false">F4787*G4787</f>
        <v>884</v>
      </c>
      <c r="I4787" s="6" t="s">
        <v>5125</v>
      </c>
    </row>
    <row r="4788" customFormat="false" ht="15" hidden="false" customHeight="false" outlineLevel="0" collapsed="false">
      <c r="A4788" s="6" t="s">
        <v>10012</v>
      </c>
      <c r="B4788" s="6" t="s">
        <v>635</v>
      </c>
      <c r="C4788" s="26" t="n">
        <v>46178</v>
      </c>
      <c r="D4788" s="6" t="s">
        <v>5240</v>
      </c>
      <c r="E4788" s="6" t="s">
        <v>20</v>
      </c>
      <c r="F4788" s="6" t="n">
        <v>1</v>
      </c>
      <c r="G4788" s="10" t="n">
        <v>4587</v>
      </c>
      <c r="H4788" s="10" t="n">
        <f aca="false">F4788*G4788</f>
        <v>4587</v>
      </c>
      <c r="I4788" s="6" t="s">
        <v>5122</v>
      </c>
    </row>
    <row r="4789" customFormat="false" ht="15" hidden="false" customHeight="false" outlineLevel="0" collapsed="false">
      <c r="A4789" s="6" t="s">
        <v>10013</v>
      </c>
      <c r="B4789" s="6" t="s">
        <v>3185</v>
      </c>
      <c r="C4789" s="26" t="n">
        <v>46178</v>
      </c>
      <c r="D4789" s="6" t="s">
        <v>5683</v>
      </c>
      <c r="E4789" s="6" t="s">
        <v>22</v>
      </c>
      <c r="F4789" s="6" t="n">
        <v>3</v>
      </c>
      <c r="G4789" s="10" t="n">
        <v>1584</v>
      </c>
      <c r="H4789" s="10" t="n">
        <f aca="false">F4789*G4789</f>
        <v>4752</v>
      </c>
      <c r="I4789" s="6" t="s">
        <v>5122</v>
      </c>
    </row>
    <row r="4790" customFormat="false" ht="15" hidden="false" customHeight="false" outlineLevel="0" collapsed="false">
      <c r="A4790" s="6" t="s">
        <v>10014</v>
      </c>
      <c r="B4790" s="6" t="s">
        <v>3055</v>
      </c>
      <c r="C4790" s="26" t="n">
        <v>46178</v>
      </c>
      <c r="D4790" s="6" t="s">
        <v>5139</v>
      </c>
      <c r="E4790" s="6" t="s">
        <v>23</v>
      </c>
      <c r="F4790" s="6" t="n">
        <v>1</v>
      </c>
      <c r="G4790" s="10" t="n">
        <v>278</v>
      </c>
      <c r="H4790" s="10" t="n">
        <f aca="false">F4790*G4790</f>
        <v>278</v>
      </c>
      <c r="I4790" s="6" t="s">
        <v>5122</v>
      </c>
    </row>
    <row r="4791" customFormat="false" ht="15" hidden="false" customHeight="false" outlineLevel="0" collapsed="false">
      <c r="A4791" s="6" t="s">
        <v>10015</v>
      </c>
      <c r="B4791" s="6" t="s">
        <v>260</v>
      </c>
      <c r="C4791" s="26" t="n">
        <v>46178</v>
      </c>
      <c r="D4791" s="6" t="s">
        <v>5202</v>
      </c>
      <c r="E4791" s="6" t="s">
        <v>23</v>
      </c>
      <c r="F4791" s="6" t="n">
        <v>4</v>
      </c>
      <c r="G4791" s="10" t="n">
        <v>233</v>
      </c>
      <c r="H4791" s="10" t="n">
        <f aca="false">F4791*G4791</f>
        <v>932</v>
      </c>
      <c r="I4791" s="6" t="s">
        <v>5122</v>
      </c>
    </row>
    <row r="4792" customFormat="false" ht="15" hidden="false" customHeight="false" outlineLevel="0" collapsed="false">
      <c r="A4792" s="6" t="s">
        <v>10016</v>
      </c>
      <c r="B4792" s="6" t="s">
        <v>803</v>
      </c>
      <c r="C4792" s="26" t="n">
        <v>46178</v>
      </c>
      <c r="D4792" s="6" t="s">
        <v>5143</v>
      </c>
      <c r="E4792" s="6" t="s">
        <v>21</v>
      </c>
      <c r="F4792" s="6" t="n">
        <v>1</v>
      </c>
      <c r="G4792" s="10" t="n">
        <v>1179</v>
      </c>
      <c r="H4792" s="10" t="n">
        <f aca="false">F4792*G4792</f>
        <v>1179</v>
      </c>
      <c r="I4792" s="6" t="s">
        <v>5122</v>
      </c>
    </row>
    <row r="4793" customFormat="false" ht="15" hidden="false" customHeight="false" outlineLevel="0" collapsed="false">
      <c r="A4793" s="6" t="s">
        <v>10017</v>
      </c>
      <c r="B4793" s="6" t="s">
        <v>1703</v>
      </c>
      <c r="C4793" s="26" t="n">
        <v>46178</v>
      </c>
      <c r="D4793" s="6" t="s">
        <v>5165</v>
      </c>
      <c r="E4793" s="6" t="s">
        <v>22</v>
      </c>
      <c r="F4793" s="6" t="n">
        <v>1</v>
      </c>
      <c r="G4793" s="10" t="n">
        <v>977</v>
      </c>
      <c r="H4793" s="10" t="n">
        <f aca="false">F4793*G4793</f>
        <v>977</v>
      </c>
      <c r="I4793" s="6" t="s">
        <v>5130</v>
      </c>
    </row>
    <row r="4794" customFormat="false" ht="15" hidden="false" customHeight="false" outlineLevel="0" collapsed="false">
      <c r="A4794" s="6" t="s">
        <v>10018</v>
      </c>
      <c r="B4794" s="6" t="s">
        <v>1675</v>
      </c>
      <c r="C4794" s="26" t="n">
        <v>46178</v>
      </c>
      <c r="D4794" s="6" t="s">
        <v>5167</v>
      </c>
      <c r="E4794" s="6" t="s">
        <v>22</v>
      </c>
      <c r="F4794" s="6" t="n">
        <v>4</v>
      </c>
      <c r="G4794" s="10" t="n">
        <v>782</v>
      </c>
      <c r="H4794" s="10" t="n">
        <f aca="false">F4794*G4794</f>
        <v>3128</v>
      </c>
      <c r="I4794" s="6" t="s">
        <v>5122</v>
      </c>
    </row>
    <row r="4795" customFormat="false" ht="15" hidden="false" customHeight="false" outlineLevel="0" collapsed="false">
      <c r="A4795" s="6" t="s">
        <v>10019</v>
      </c>
      <c r="B4795" s="6" t="s">
        <v>2367</v>
      </c>
      <c r="C4795" s="26" t="n">
        <v>46178</v>
      </c>
      <c r="D4795" s="6" t="s">
        <v>5339</v>
      </c>
      <c r="E4795" s="6" t="s">
        <v>24</v>
      </c>
      <c r="F4795" s="6" t="n">
        <v>2</v>
      </c>
      <c r="G4795" s="10" t="n">
        <v>483</v>
      </c>
      <c r="H4795" s="10" t="n">
        <f aca="false">F4795*G4795</f>
        <v>966</v>
      </c>
      <c r="I4795" s="6" t="s">
        <v>5122</v>
      </c>
    </row>
    <row r="4796" customFormat="false" ht="15" hidden="false" customHeight="false" outlineLevel="0" collapsed="false">
      <c r="A4796" s="6" t="s">
        <v>10020</v>
      </c>
      <c r="B4796" s="6" t="s">
        <v>4099</v>
      </c>
      <c r="C4796" s="26" t="n">
        <v>46178</v>
      </c>
      <c r="D4796" s="6" t="s">
        <v>5326</v>
      </c>
      <c r="E4796" s="6" t="s">
        <v>22</v>
      </c>
      <c r="F4796" s="6" t="n">
        <v>2</v>
      </c>
      <c r="G4796" s="10" t="n">
        <v>1393</v>
      </c>
      <c r="H4796" s="10" t="n">
        <f aca="false">F4796*G4796</f>
        <v>2786</v>
      </c>
      <c r="I4796" s="6" t="s">
        <v>5122</v>
      </c>
    </row>
    <row r="4797" customFormat="false" ht="15" hidden="false" customHeight="false" outlineLevel="0" collapsed="false">
      <c r="A4797" s="6" t="s">
        <v>10021</v>
      </c>
      <c r="B4797" s="6" t="s">
        <v>3133</v>
      </c>
      <c r="C4797" s="26" t="n">
        <v>46178</v>
      </c>
      <c r="D4797" s="6" t="s">
        <v>5145</v>
      </c>
      <c r="E4797" s="6" t="s">
        <v>21</v>
      </c>
      <c r="F4797" s="6" t="n">
        <v>1</v>
      </c>
      <c r="G4797" s="10" t="n">
        <v>1150</v>
      </c>
      <c r="H4797" s="10" t="n">
        <f aca="false">F4797*G4797</f>
        <v>1150</v>
      </c>
      <c r="I4797" s="6" t="s">
        <v>5130</v>
      </c>
    </row>
    <row r="4798" customFormat="false" ht="15" hidden="false" customHeight="false" outlineLevel="0" collapsed="false">
      <c r="A4798" s="6" t="s">
        <v>10022</v>
      </c>
      <c r="B4798" s="6" t="s">
        <v>4687</v>
      </c>
      <c r="C4798" s="26" t="n">
        <v>46178</v>
      </c>
      <c r="D4798" s="6" t="s">
        <v>5129</v>
      </c>
      <c r="E4798" s="6" t="s">
        <v>21</v>
      </c>
      <c r="F4798" s="6" t="n">
        <v>3</v>
      </c>
      <c r="G4798" s="10" t="n">
        <v>589</v>
      </c>
      <c r="H4798" s="10" t="n">
        <f aca="false">F4798*G4798</f>
        <v>1767</v>
      </c>
      <c r="I4798" s="6" t="s">
        <v>5122</v>
      </c>
    </row>
    <row r="4799" customFormat="false" ht="15" hidden="false" customHeight="false" outlineLevel="0" collapsed="false">
      <c r="A4799" s="6" t="s">
        <v>10023</v>
      </c>
      <c r="B4799" s="6" t="s">
        <v>2741</v>
      </c>
      <c r="C4799" s="26" t="n">
        <v>46178</v>
      </c>
      <c r="D4799" s="6" t="s">
        <v>5460</v>
      </c>
      <c r="E4799" s="6" t="s">
        <v>24</v>
      </c>
      <c r="F4799" s="6" t="n">
        <v>1</v>
      </c>
      <c r="G4799" s="10" t="n">
        <v>556</v>
      </c>
      <c r="H4799" s="10" t="n">
        <f aca="false">F4799*G4799</f>
        <v>556</v>
      </c>
      <c r="I4799" s="6" t="s">
        <v>5173</v>
      </c>
    </row>
    <row r="4800" customFormat="false" ht="15" hidden="false" customHeight="false" outlineLevel="0" collapsed="false">
      <c r="A4800" s="6" t="s">
        <v>10024</v>
      </c>
      <c r="B4800" s="6" t="s">
        <v>4419</v>
      </c>
      <c r="C4800" s="26" t="n">
        <v>46178</v>
      </c>
      <c r="D4800" s="6" t="s">
        <v>5687</v>
      </c>
      <c r="E4800" s="6" t="s">
        <v>20</v>
      </c>
      <c r="F4800" s="6" t="n">
        <v>1</v>
      </c>
      <c r="G4800" s="10" t="n">
        <v>2039</v>
      </c>
      <c r="H4800" s="10" t="n">
        <f aca="false">F4800*G4800</f>
        <v>2039</v>
      </c>
      <c r="I4800" s="6" t="s">
        <v>5122</v>
      </c>
    </row>
    <row r="4801" customFormat="false" ht="15" hidden="false" customHeight="false" outlineLevel="0" collapsed="false">
      <c r="A4801" s="6" t="s">
        <v>10025</v>
      </c>
      <c r="B4801" s="6" t="s">
        <v>3697</v>
      </c>
      <c r="C4801" s="26" t="n">
        <v>46178</v>
      </c>
      <c r="D4801" s="6" t="s">
        <v>5132</v>
      </c>
      <c r="E4801" s="6" t="s">
        <v>23</v>
      </c>
      <c r="F4801" s="6" t="n">
        <v>3</v>
      </c>
      <c r="G4801" s="10" t="n">
        <v>342</v>
      </c>
      <c r="H4801" s="10" t="n">
        <f aca="false">F4801*G4801</f>
        <v>1026</v>
      </c>
      <c r="I4801" s="6" t="s">
        <v>5148</v>
      </c>
    </row>
    <row r="4802" customFormat="false" ht="15" hidden="false" customHeight="false" outlineLevel="0" collapsed="false">
      <c r="A4802" s="6" t="s">
        <v>10026</v>
      </c>
      <c r="B4802" s="6" t="s">
        <v>2503</v>
      </c>
      <c r="C4802" s="26" t="n">
        <v>46178</v>
      </c>
      <c r="D4802" s="6" t="s">
        <v>5167</v>
      </c>
      <c r="E4802" s="6" t="s">
        <v>22</v>
      </c>
      <c r="F4802" s="6" t="n">
        <v>3</v>
      </c>
      <c r="G4802" s="10" t="n">
        <v>782</v>
      </c>
      <c r="H4802" s="10" t="n">
        <f aca="false">F4802*G4802</f>
        <v>2346</v>
      </c>
      <c r="I4802" s="6" t="s">
        <v>5122</v>
      </c>
    </row>
    <row r="4803" customFormat="false" ht="15" hidden="false" customHeight="false" outlineLevel="0" collapsed="false">
      <c r="A4803" s="6" t="s">
        <v>10027</v>
      </c>
      <c r="B4803" s="6" t="s">
        <v>4377</v>
      </c>
      <c r="C4803" s="26" t="n">
        <v>46178</v>
      </c>
      <c r="D4803" s="6" t="s">
        <v>5163</v>
      </c>
      <c r="E4803" s="6" t="s">
        <v>23</v>
      </c>
      <c r="F4803" s="6" t="n">
        <v>3</v>
      </c>
      <c r="G4803" s="10" t="n">
        <v>705</v>
      </c>
      <c r="H4803" s="10" t="n">
        <f aca="false">F4803*G4803</f>
        <v>2115</v>
      </c>
      <c r="I4803" s="6" t="s">
        <v>5125</v>
      </c>
    </row>
    <row r="4804" customFormat="false" ht="15" hidden="false" customHeight="false" outlineLevel="0" collapsed="false">
      <c r="A4804" s="6" t="s">
        <v>10028</v>
      </c>
      <c r="B4804" s="6" t="s">
        <v>2861</v>
      </c>
      <c r="C4804" s="26" t="n">
        <v>46178</v>
      </c>
      <c r="D4804" s="6" t="s">
        <v>5121</v>
      </c>
      <c r="E4804" s="6" t="s">
        <v>22</v>
      </c>
      <c r="F4804" s="6" t="n">
        <v>3</v>
      </c>
      <c r="G4804" s="10" t="n">
        <v>928</v>
      </c>
      <c r="H4804" s="10" t="n">
        <f aca="false">F4804*G4804</f>
        <v>2784</v>
      </c>
      <c r="I4804" s="6" t="s">
        <v>5130</v>
      </c>
    </row>
    <row r="4805" customFormat="false" ht="15" hidden="false" customHeight="false" outlineLevel="0" collapsed="false">
      <c r="A4805" s="6" t="s">
        <v>10029</v>
      </c>
      <c r="B4805" s="6" t="s">
        <v>1941</v>
      </c>
      <c r="C4805" s="26" t="n">
        <v>46178</v>
      </c>
      <c r="D4805" s="6" t="s">
        <v>5353</v>
      </c>
      <c r="E4805" s="6" t="s">
        <v>24</v>
      </c>
      <c r="F4805" s="6" t="n">
        <v>2</v>
      </c>
      <c r="G4805" s="10" t="n">
        <v>1629</v>
      </c>
      <c r="H4805" s="10" t="n">
        <f aca="false">F4805*G4805</f>
        <v>3258</v>
      </c>
      <c r="I4805" s="6" t="s">
        <v>5125</v>
      </c>
    </row>
    <row r="4806" customFormat="false" ht="15" hidden="false" customHeight="false" outlineLevel="0" collapsed="false">
      <c r="A4806" s="6" t="s">
        <v>10030</v>
      </c>
      <c r="B4806" s="6" t="s">
        <v>4983</v>
      </c>
      <c r="C4806" s="26" t="n">
        <v>46178</v>
      </c>
      <c r="D4806" s="6" t="s">
        <v>5180</v>
      </c>
      <c r="E4806" s="6" t="s">
        <v>24</v>
      </c>
      <c r="F4806" s="6" t="n">
        <v>2</v>
      </c>
      <c r="G4806" s="10" t="n">
        <v>1987</v>
      </c>
      <c r="H4806" s="10" t="n">
        <f aca="false">F4806*G4806</f>
        <v>3974</v>
      </c>
      <c r="I4806" s="6" t="s">
        <v>5130</v>
      </c>
    </row>
    <row r="4807" customFormat="false" ht="15" hidden="false" customHeight="false" outlineLevel="0" collapsed="false">
      <c r="A4807" s="6" t="s">
        <v>10031</v>
      </c>
      <c r="B4807" s="6" t="s">
        <v>2635</v>
      </c>
      <c r="C4807" s="26" t="n">
        <v>46178</v>
      </c>
      <c r="D4807" s="6" t="s">
        <v>5141</v>
      </c>
      <c r="E4807" s="6" t="s">
        <v>20</v>
      </c>
      <c r="F4807" s="6" t="n">
        <v>1</v>
      </c>
      <c r="G4807" s="10" t="n">
        <v>1834</v>
      </c>
      <c r="H4807" s="10" t="n">
        <f aca="false">F4807*G4807</f>
        <v>1834</v>
      </c>
      <c r="I4807" s="6" t="s">
        <v>5148</v>
      </c>
    </row>
    <row r="4808" customFormat="false" ht="15" hidden="false" customHeight="false" outlineLevel="0" collapsed="false">
      <c r="A4808" s="6" t="s">
        <v>10032</v>
      </c>
      <c r="B4808" s="6" t="s">
        <v>3927</v>
      </c>
      <c r="C4808" s="26" t="n">
        <v>46178</v>
      </c>
      <c r="D4808" s="6" t="s">
        <v>5145</v>
      </c>
      <c r="E4808" s="6" t="s">
        <v>21</v>
      </c>
      <c r="F4808" s="6" t="n">
        <v>1</v>
      </c>
      <c r="G4808" s="10" t="n">
        <v>1149</v>
      </c>
      <c r="H4808" s="10" t="n">
        <f aca="false">F4808*G4808</f>
        <v>1149</v>
      </c>
      <c r="I4808" s="6" t="s">
        <v>5133</v>
      </c>
    </row>
    <row r="4809" customFormat="false" ht="15" hidden="false" customHeight="false" outlineLevel="0" collapsed="false">
      <c r="A4809" s="6" t="s">
        <v>10033</v>
      </c>
      <c r="B4809" s="6" t="s">
        <v>1057</v>
      </c>
      <c r="C4809" s="26" t="n">
        <v>46178</v>
      </c>
      <c r="D4809" s="6" t="s">
        <v>5121</v>
      </c>
      <c r="E4809" s="6" t="s">
        <v>22</v>
      </c>
      <c r="F4809" s="6" t="n">
        <v>2</v>
      </c>
      <c r="G4809" s="10" t="n">
        <v>977</v>
      </c>
      <c r="H4809" s="10" t="n">
        <f aca="false">F4809*G4809</f>
        <v>1954</v>
      </c>
      <c r="I4809" s="6" t="s">
        <v>5133</v>
      </c>
    </row>
    <row r="4810" customFormat="false" ht="15" hidden="false" customHeight="false" outlineLevel="0" collapsed="false">
      <c r="A4810" s="6" t="s">
        <v>10034</v>
      </c>
      <c r="B4810" s="6" t="s">
        <v>3207</v>
      </c>
      <c r="C4810" s="26" t="n">
        <v>46178</v>
      </c>
      <c r="D4810" s="6" t="s">
        <v>5410</v>
      </c>
      <c r="E4810" s="6" t="s">
        <v>20</v>
      </c>
      <c r="F4810" s="6" t="n">
        <v>1</v>
      </c>
      <c r="G4810" s="10" t="n">
        <v>2548</v>
      </c>
      <c r="H4810" s="10" t="n">
        <f aca="false">F4810*G4810</f>
        <v>2548</v>
      </c>
      <c r="I4810" s="6" t="s">
        <v>5122</v>
      </c>
    </row>
    <row r="4811" customFormat="false" ht="15" hidden="false" customHeight="false" outlineLevel="0" collapsed="false">
      <c r="A4811" s="6" t="s">
        <v>10035</v>
      </c>
      <c r="B4811" s="6" t="s">
        <v>4905</v>
      </c>
      <c r="C4811" s="26" t="n">
        <v>46178</v>
      </c>
      <c r="D4811" s="6" t="s">
        <v>5163</v>
      </c>
      <c r="E4811" s="6" t="s">
        <v>23</v>
      </c>
      <c r="F4811" s="6" t="n">
        <v>4</v>
      </c>
      <c r="G4811" s="10" t="n">
        <v>705</v>
      </c>
      <c r="H4811" s="10" t="n">
        <f aca="false">F4811*G4811</f>
        <v>2820</v>
      </c>
      <c r="I4811" s="6" t="s">
        <v>5122</v>
      </c>
    </row>
    <row r="4812" customFormat="false" ht="15" hidden="false" customHeight="false" outlineLevel="0" collapsed="false">
      <c r="A4812" s="6" t="s">
        <v>10036</v>
      </c>
      <c r="B4812" s="6" t="s">
        <v>549</v>
      </c>
      <c r="C4812" s="26" t="n">
        <v>46178</v>
      </c>
      <c r="D4812" s="6" t="s">
        <v>5192</v>
      </c>
      <c r="E4812" s="6" t="s">
        <v>20</v>
      </c>
      <c r="F4812" s="6" t="n">
        <v>2</v>
      </c>
      <c r="G4812" s="10" t="n">
        <v>3670</v>
      </c>
      <c r="H4812" s="10" t="n">
        <f aca="false">F4812*G4812</f>
        <v>7340</v>
      </c>
      <c r="I4812" s="6" t="s">
        <v>5122</v>
      </c>
    </row>
    <row r="4813" customFormat="false" ht="15" hidden="false" customHeight="false" outlineLevel="0" collapsed="false">
      <c r="A4813" s="6" t="s">
        <v>10037</v>
      </c>
      <c r="B4813" s="6" t="s">
        <v>2683</v>
      </c>
      <c r="C4813" s="26" t="n">
        <v>46178</v>
      </c>
      <c r="D4813" s="6" t="s">
        <v>5135</v>
      </c>
      <c r="E4813" s="6" t="s">
        <v>23</v>
      </c>
      <c r="F4813" s="6" t="n">
        <v>4</v>
      </c>
      <c r="G4813" s="10" t="n">
        <v>441</v>
      </c>
      <c r="H4813" s="10" t="n">
        <f aca="false">F4813*G4813</f>
        <v>1764</v>
      </c>
      <c r="I4813" s="6" t="s">
        <v>5125</v>
      </c>
    </row>
    <row r="4814" customFormat="false" ht="15" hidden="false" customHeight="false" outlineLevel="0" collapsed="false">
      <c r="A4814" s="6" t="s">
        <v>10038</v>
      </c>
      <c r="B4814" s="6" t="s">
        <v>4685</v>
      </c>
      <c r="C4814" s="26" t="n">
        <v>46178</v>
      </c>
      <c r="D4814" s="6" t="s">
        <v>5124</v>
      </c>
      <c r="E4814" s="6" t="s">
        <v>21</v>
      </c>
      <c r="F4814" s="6" t="n">
        <v>1</v>
      </c>
      <c r="G4814" s="10" t="n">
        <v>3439</v>
      </c>
      <c r="H4814" s="10" t="n">
        <f aca="false">F4814*G4814</f>
        <v>3439</v>
      </c>
      <c r="I4814" s="6" t="s">
        <v>5122</v>
      </c>
    </row>
    <row r="4815" customFormat="false" ht="15" hidden="false" customHeight="false" outlineLevel="0" collapsed="false">
      <c r="A4815" s="6" t="s">
        <v>10039</v>
      </c>
      <c r="B4815" s="6" t="s">
        <v>4753</v>
      </c>
      <c r="C4815" s="26" t="n">
        <v>46178</v>
      </c>
      <c r="D4815" s="6" t="s">
        <v>5197</v>
      </c>
      <c r="E4815" s="6" t="s">
        <v>21</v>
      </c>
      <c r="F4815" s="6" t="n">
        <v>1</v>
      </c>
      <c r="G4815" s="10" t="n">
        <v>1080</v>
      </c>
      <c r="H4815" s="10" t="n">
        <f aca="false">F4815*G4815</f>
        <v>1080</v>
      </c>
      <c r="I4815" s="6" t="s">
        <v>5122</v>
      </c>
    </row>
    <row r="4816" customFormat="false" ht="15" hidden="false" customHeight="false" outlineLevel="0" collapsed="false">
      <c r="A4816" s="6" t="s">
        <v>10040</v>
      </c>
      <c r="B4816" s="6" t="s">
        <v>2147</v>
      </c>
      <c r="C4816" s="26" t="n">
        <v>46179</v>
      </c>
      <c r="D4816" s="6" t="s">
        <v>5167</v>
      </c>
      <c r="E4816" s="6" t="s">
        <v>22</v>
      </c>
      <c r="F4816" s="6" t="n">
        <v>3</v>
      </c>
      <c r="G4816" s="10" t="n">
        <v>743</v>
      </c>
      <c r="H4816" s="10" t="n">
        <f aca="false">F4816*G4816</f>
        <v>2229</v>
      </c>
      <c r="I4816" s="6" t="s">
        <v>5133</v>
      </c>
    </row>
    <row r="4817" customFormat="false" ht="15" hidden="false" customHeight="false" outlineLevel="0" collapsed="false">
      <c r="A4817" s="6" t="s">
        <v>10041</v>
      </c>
      <c r="B4817" s="6" t="s">
        <v>5095</v>
      </c>
      <c r="C4817" s="26" t="n">
        <v>46179</v>
      </c>
      <c r="D4817" s="6" t="s">
        <v>5188</v>
      </c>
      <c r="E4817" s="6" t="s">
        <v>24</v>
      </c>
      <c r="F4817" s="6" t="n">
        <v>1</v>
      </c>
      <c r="G4817" s="10" t="n">
        <v>967</v>
      </c>
      <c r="H4817" s="10" t="n">
        <f aca="false">F4817*G4817</f>
        <v>967</v>
      </c>
      <c r="I4817" s="6" t="s">
        <v>5122</v>
      </c>
    </row>
    <row r="4818" customFormat="false" ht="15" hidden="false" customHeight="false" outlineLevel="0" collapsed="false">
      <c r="A4818" s="6" t="s">
        <v>10042</v>
      </c>
      <c r="B4818" s="6" t="s">
        <v>1691</v>
      </c>
      <c r="C4818" s="26" t="n">
        <v>46179</v>
      </c>
      <c r="D4818" s="6" t="s">
        <v>5145</v>
      </c>
      <c r="E4818" s="6" t="s">
        <v>21</v>
      </c>
      <c r="F4818" s="6" t="n">
        <v>2</v>
      </c>
      <c r="G4818" s="10" t="n">
        <v>1277</v>
      </c>
      <c r="H4818" s="10" t="n">
        <f aca="false">F4818*G4818</f>
        <v>2554</v>
      </c>
      <c r="I4818" s="6" t="s">
        <v>5122</v>
      </c>
    </row>
    <row r="4819" customFormat="false" ht="15" hidden="false" customHeight="false" outlineLevel="0" collapsed="false">
      <c r="A4819" s="6" t="s">
        <v>10043</v>
      </c>
      <c r="B4819" s="6" t="s">
        <v>297</v>
      </c>
      <c r="C4819" s="26" t="n">
        <v>46179</v>
      </c>
      <c r="D4819" s="6" t="s">
        <v>5423</v>
      </c>
      <c r="E4819" s="6" t="s">
        <v>21</v>
      </c>
      <c r="F4819" s="6" t="n">
        <v>1</v>
      </c>
      <c r="G4819" s="10" t="n">
        <v>3243</v>
      </c>
      <c r="H4819" s="10" t="n">
        <f aca="false">F4819*G4819</f>
        <v>3243</v>
      </c>
      <c r="I4819" s="6" t="s">
        <v>5148</v>
      </c>
    </row>
    <row r="4820" customFormat="false" ht="15" hidden="false" customHeight="false" outlineLevel="0" collapsed="false">
      <c r="A4820" s="6" t="s">
        <v>10044</v>
      </c>
      <c r="B4820" s="6" t="s">
        <v>2751</v>
      </c>
      <c r="C4820" s="26" t="n">
        <v>46179</v>
      </c>
      <c r="D4820" s="6" t="s">
        <v>5121</v>
      </c>
      <c r="E4820" s="6" t="s">
        <v>22</v>
      </c>
      <c r="F4820" s="6" t="n">
        <v>1</v>
      </c>
      <c r="G4820" s="10" t="n">
        <v>880</v>
      </c>
      <c r="H4820" s="10" t="n">
        <f aca="false">F4820*G4820</f>
        <v>880</v>
      </c>
      <c r="I4820" s="6" t="s">
        <v>5133</v>
      </c>
    </row>
    <row r="4821" customFormat="false" ht="15" hidden="false" customHeight="false" outlineLevel="0" collapsed="false">
      <c r="A4821" s="6" t="s">
        <v>10045</v>
      </c>
      <c r="B4821" s="6" t="s">
        <v>3403</v>
      </c>
      <c r="C4821" s="26" t="n">
        <v>46179</v>
      </c>
      <c r="D4821" s="6" t="s">
        <v>5154</v>
      </c>
      <c r="E4821" s="6" t="s">
        <v>21</v>
      </c>
      <c r="F4821" s="6" t="n">
        <v>1</v>
      </c>
      <c r="G4821" s="10" t="n">
        <v>746</v>
      </c>
      <c r="H4821" s="10" t="n">
        <f aca="false">F4821*G4821</f>
        <v>746</v>
      </c>
      <c r="I4821" s="6" t="s">
        <v>5122</v>
      </c>
    </row>
    <row r="4822" customFormat="false" ht="15" hidden="false" customHeight="false" outlineLevel="0" collapsed="false">
      <c r="A4822" s="6" t="s">
        <v>10046</v>
      </c>
      <c r="B4822" s="6" t="s">
        <v>599</v>
      </c>
      <c r="C4822" s="26" t="n">
        <v>46179</v>
      </c>
      <c r="D4822" s="6" t="s">
        <v>5154</v>
      </c>
      <c r="E4822" s="6" t="s">
        <v>21</v>
      </c>
      <c r="F4822" s="6" t="n">
        <v>1</v>
      </c>
      <c r="G4822" s="10" t="n">
        <v>785</v>
      </c>
      <c r="H4822" s="10" t="n">
        <f aca="false">F4822*G4822</f>
        <v>785</v>
      </c>
      <c r="I4822" s="6" t="s">
        <v>5122</v>
      </c>
    </row>
    <row r="4823" customFormat="false" ht="15" hidden="false" customHeight="false" outlineLevel="0" collapsed="false">
      <c r="A4823" s="6" t="s">
        <v>10047</v>
      </c>
      <c r="B4823" s="6" t="s">
        <v>2797</v>
      </c>
      <c r="C4823" s="26" t="n">
        <v>46179</v>
      </c>
      <c r="D4823" s="6" t="s">
        <v>5167</v>
      </c>
      <c r="E4823" s="6" t="s">
        <v>22</v>
      </c>
      <c r="F4823" s="6" t="n">
        <v>4</v>
      </c>
      <c r="G4823" s="10" t="n">
        <v>782</v>
      </c>
      <c r="H4823" s="10" t="n">
        <f aca="false">F4823*G4823</f>
        <v>3128</v>
      </c>
      <c r="I4823" s="6" t="s">
        <v>5122</v>
      </c>
    </row>
    <row r="4824" customFormat="false" ht="15" hidden="false" customHeight="false" outlineLevel="0" collapsed="false">
      <c r="A4824" s="6" t="s">
        <v>10048</v>
      </c>
      <c r="B4824" s="6" t="s">
        <v>507</v>
      </c>
      <c r="C4824" s="26" t="n">
        <v>46179</v>
      </c>
      <c r="D4824" s="6" t="s">
        <v>5318</v>
      </c>
      <c r="E4824" s="6" t="s">
        <v>20</v>
      </c>
      <c r="F4824" s="6" t="n">
        <v>2</v>
      </c>
      <c r="G4824" s="10" t="n">
        <v>1376</v>
      </c>
      <c r="H4824" s="10" t="n">
        <f aca="false">F4824*G4824</f>
        <v>2752</v>
      </c>
      <c r="I4824" s="6" t="s">
        <v>5122</v>
      </c>
    </row>
    <row r="4825" customFormat="false" ht="15" hidden="false" customHeight="false" outlineLevel="0" collapsed="false">
      <c r="A4825" s="6" t="s">
        <v>10049</v>
      </c>
      <c r="B4825" s="6" t="s">
        <v>1905</v>
      </c>
      <c r="C4825" s="26" t="n">
        <v>46179</v>
      </c>
      <c r="D4825" s="6" t="s">
        <v>5357</v>
      </c>
      <c r="E4825" s="6" t="s">
        <v>23</v>
      </c>
      <c r="F4825" s="6" t="n">
        <v>1</v>
      </c>
      <c r="G4825" s="10" t="n">
        <v>534</v>
      </c>
      <c r="H4825" s="10" t="n">
        <f aca="false">F4825*G4825</f>
        <v>534</v>
      </c>
      <c r="I4825" s="6" t="s">
        <v>5125</v>
      </c>
    </row>
    <row r="4826" customFormat="false" ht="15" hidden="false" customHeight="false" outlineLevel="0" collapsed="false">
      <c r="A4826" s="6" t="s">
        <v>10050</v>
      </c>
      <c r="B4826" s="6" t="s">
        <v>1121</v>
      </c>
      <c r="C4826" s="26" t="n">
        <v>46179</v>
      </c>
      <c r="D4826" s="6" t="s">
        <v>5132</v>
      </c>
      <c r="E4826" s="6" t="s">
        <v>23</v>
      </c>
      <c r="F4826" s="6" t="n">
        <v>2</v>
      </c>
      <c r="G4826" s="10" t="n">
        <v>342</v>
      </c>
      <c r="H4826" s="10" t="n">
        <f aca="false">F4826*G4826</f>
        <v>684</v>
      </c>
      <c r="I4826" s="6" t="s">
        <v>5125</v>
      </c>
    </row>
    <row r="4827" customFormat="false" ht="15" hidden="false" customHeight="false" outlineLevel="0" collapsed="false">
      <c r="A4827" s="6" t="s">
        <v>10051</v>
      </c>
      <c r="B4827" s="6" t="s">
        <v>4659</v>
      </c>
      <c r="C4827" s="26" t="n">
        <v>46179</v>
      </c>
      <c r="D4827" s="6" t="s">
        <v>5273</v>
      </c>
      <c r="E4827" s="6" t="s">
        <v>23</v>
      </c>
      <c r="F4827" s="6" t="n">
        <v>4</v>
      </c>
      <c r="G4827" s="10" t="n">
        <v>240</v>
      </c>
      <c r="H4827" s="10" t="n">
        <f aca="false">F4827*G4827</f>
        <v>960</v>
      </c>
      <c r="I4827" s="6" t="s">
        <v>5122</v>
      </c>
    </row>
    <row r="4828" customFormat="false" ht="15" hidden="false" customHeight="false" outlineLevel="0" collapsed="false">
      <c r="A4828" s="6" t="s">
        <v>10052</v>
      </c>
      <c r="B4828" s="6" t="s">
        <v>4843</v>
      </c>
      <c r="C4828" s="26" t="n">
        <v>46179</v>
      </c>
      <c r="D4828" s="6" t="s">
        <v>5216</v>
      </c>
      <c r="E4828" s="6" t="s">
        <v>23</v>
      </c>
      <c r="F4828" s="6" t="n">
        <v>2</v>
      </c>
      <c r="G4828" s="10" t="n">
        <v>587</v>
      </c>
      <c r="H4828" s="10" t="n">
        <f aca="false">F4828*G4828</f>
        <v>1174</v>
      </c>
      <c r="I4828" s="6" t="s">
        <v>5130</v>
      </c>
    </row>
    <row r="4829" customFormat="false" ht="15" hidden="false" customHeight="false" outlineLevel="0" collapsed="false">
      <c r="A4829" s="6" t="s">
        <v>10053</v>
      </c>
      <c r="B4829" s="6" t="s">
        <v>901</v>
      </c>
      <c r="C4829" s="26" t="n">
        <v>46179</v>
      </c>
      <c r="D4829" s="6" t="s">
        <v>5137</v>
      </c>
      <c r="E4829" s="6" t="s">
        <v>21</v>
      </c>
      <c r="F4829" s="6" t="n">
        <v>1</v>
      </c>
      <c r="G4829" s="10" t="n">
        <v>1768</v>
      </c>
      <c r="H4829" s="10" t="n">
        <f aca="false">F4829*G4829</f>
        <v>1768</v>
      </c>
      <c r="I4829" s="6" t="s">
        <v>5122</v>
      </c>
    </row>
    <row r="4830" customFormat="false" ht="15" hidden="false" customHeight="false" outlineLevel="0" collapsed="false">
      <c r="A4830" s="6" t="s">
        <v>10054</v>
      </c>
      <c r="B4830" s="6" t="s">
        <v>2109</v>
      </c>
      <c r="C4830" s="26" t="n">
        <v>46179</v>
      </c>
      <c r="D4830" s="6" t="s">
        <v>5488</v>
      </c>
      <c r="E4830" s="6" t="s">
        <v>24</v>
      </c>
      <c r="F4830" s="6" t="n">
        <v>1</v>
      </c>
      <c r="G4830" s="10" t="n">
        <v>866</v>
      </c>
      <c r="H4830" s="10" t="n">
        <f aca="false">F4830*G4830</f>
        <v>866</v>
      </c>
      <c r="I4830" s="6" t="s">
        <v>5173</v>
      </c>
    </row>
    <row r="4831" customFormat="false" ht="15" hidden="false" customHeight="false" outlineLevel="0" collapsed="false">
      <c r="A4831" s="6" t="s">
        <v>10055</v>
      </c>
      <c r="B4831" s="6" t="s">
        <v>3329</v>
      </c>
      <c r="C4831" s="26" t="n">
        <v>46179</v>
      </c>
      <c r="D4831" s="6" t="s">
        <v>5240</v>
      </c>
      <c r="E4831" s="6" t="s">
        <v>20</v>
      </c>
      <c r="F4831" s="6" t="n">
        <v>1</v>
      </c>
      <c r="G4831" s="10" t="n">
        <v>4843</v>
      </c>
      <c r="H4831" s="10" t="n">
        <f aca="false">F4831*G4831</f>
        <v>4843</v>
      </c>
      <c r="I4831" s="6" t="s">
        <v>5122</v>
      </c>
    </row>
    <row r="4832" customFormat="false" ht="15" hidden="false" customHeight="false" outlineLevel="0" collapsed="false">
      <c r="A4832" s="6" t="s">
        <v>10056</v>
      </c>
      <c r="B4832" s="6" t="s">
        <v>4537</v>
      </c>
      <c r="C4832" s="26" t="n">
        <v>46179</v>
      </c>
      <c r="D4832" s="6" t="s">
        <v>5220</v>
      </c>
      <c r="E4832" s="6" t="s">
        <v>24</v>
      </c>
      <c r="F4832" s="6" t="n">
        <v>1</v>
      </c>
      <c r="G4832" s="10" t="n">
        <v>1120</v>
      </c>
      <c r="H4832" s="10" t="n">
        <f aca="false">F4832*G4832</f>
        <v>1120</v>
      </c>
      <c r="I4832" s="6" t="s">
        <v>5133</v>
      </c>
    </row>
    <row r="4833" customFormat="false" ht="15" hidden="false" customHeight="false" outlineLevel="0" collapsed="false">
      <c r="A4833" s="6" t="s">
        <v>10057</v>
      </c>
      <c r="B4833" s="6" t="s">
        <v>2287</v>
      </c>
      <c r="C4833" s="26" t="n">
        <v>46179</v>
      </c>
      <c r="D4833" s="6" t="s">
        <v>5240</v>
      </c>
      <c r="E4833" s="6" t="s">
        <v>20</v>
      </c>
      <c r="F4833" s="6" t="n">
        <v>1</v>
      </c>
      <c r="G4833" s="10" t="n">
        <v>5098</v>
      </c>
      <c r="H4833" s="10" t="n">
        <f aca="false">F4833*G4833</f>
        <v>5098</v>
      </c>
      <c r="I4833" s="6" t="s">
        <v>5122</v>
      </c>
    </row>
    <row r="4834" customFormat="false" ht="15" hidden="false" customHeight="false" outlineLevel="0" collapsed="false">
      <c r="A4834" s="6" t="s">
        <v>10058</v>
      </c>
      <c r="B4834" s="6" t="s">
        <v>1709</v>
      </c>
      <c r="C4834" s="26" t="n">
        <v>46179</v>
      </c>
      <c r="D4834" s="6" t="s">
        <v>5588</v>
      </c>
      <c r="E4834" s="6" t="s">
        <v>21</v>
      </c>
      <c r="F4834" s="6" t="n">
        <v>1</v>
      </c>
      <c r="G4834" s="10" t="n">
        <v>11794</v>
      </c>
      <c r="H4834" s="10" t="n">
        <f aca="false">F4834*G4834</f>
        <v>11794</v>
      </c>
      <c r="I4834" s="6" t="s">
        <v>5122</v>
      </c>
    </row>
    <row r="4835" customFormat="false" ht="15" hidden="false" customHeight="false" outlineLevel="0" collapsed="false">
      <c r="A4835" s="6" t="s">
        <v>10059</v>
      </c>
      <c r="B4835" s="6" t="s">
        <v>2083</v>
      </c>
      <c r="C4835" s="26" t="n">
        <v>46179</v>
      </c>
      <c r="D4835" s="6" t="s">
        <v>5143</v>
      </c>
      <c r="E4835" s="6" t="s">
        <v>21</v>
      </c>
      <c r="F4835" s="6" t="n">
        <v>1</v>
      </c>
      <c r="G4835" s="10" t="n">
        <v>1179</v>
      </c>
      <c r="H4835" s="10" t="n">
        <f aca="false">F4835*G4835</f>
        <v>1179</v>
      </c>
      <c r="I4835" s="6" t="s">
        <v>5122</v>
      </c>
    </row>
    <row r="4836" customFormat="false" ht="15" hidden="false" customHeight="false" outlineLevel="0" collapsed="false">
      <c r="A4836" s="6" t="s">
        <v>10060</v>
      </c>
      <c r="B4836" s="6" t="s">
        <v>2991</v>
      </c>
      <c r="C4836" s="26" t="n">
        <v>46179</v>
      </c>
      <c r="D4836" s="6" t="s">
        <v>5190</v>
      </c>
      <c r="E4836" s="6" t="s">
        <v>24</v>
      </c>
      <c r="F4836" s="6" t="n">
        <v>1</v>
      </c>
      <c r="G4836" s="10" t="n">
        <v>611</v>
      </c>
      <c r="H4836" s="10" t="n">
        <f aca="false">F4836*G4836</f>
        <v>611</v>
      </c>
      <c r="I4836" s="6" t="s">
        <v>5130</v>
      </c>
    </row>
    <row r="4837" customFormat="false" ht="15" hidden="false" customHeight="false" outlineLevel="0" collapsed="false">
      <c r="A4837" s="6" t="s">
        <v>10061</v>
      </c>
      <c r="B4837" s="6" t="s">
        <v>4131</v>
      </c>
      <c r="C4837" s="26" t="n">
        <v>46179</v>
      </c>
      <c r="D4837" s="6" t="s">
        <v>5169</v>
      </c>
      <c r="E4837" s="6" t="s">
        <v>20</v>
      </c>
      <c r="F4837" s="6" t="n">
        <v>1</v>
      </c>
      <c r="G4837" s="10" t="n">
        <v>4588</v>
      </c>
      <c r="H4837" s="10" t="n">
        <f aca="false">F4837*G4837</f>
        <v>4588</v>
      </c>
      <c r="I4837" s="6" t="s">
        <v>5122</v>
      </c>
    </row>
    <row r="4838" customFormat="false" ht="15" hidden="false" customHeight="false" outlineLevel="0" collapsed="false">
      <c r="A4838" s="6" t="s">
        <v>10062</v>
      </c>
      <c r="B4838" s="6" t="s">
        <v>4963</v>
      </c>
      <c r="C4838" s="26" t="n">
        <v>46179</v>
      </c>
      <c r="D4838" s="6" t="s">
        <v>5167</v>
      </c>
      <c r="E4838" s="6" t="s">
        <v>22</v>
      </c>
      <c r="F4838" s="6" t="n">
        <v>1</v>
      </c>
      <c r="G4838" s="10" t="n">
        <v>782</v>
      </c>
      <c r="H4838" s="10" t="n">
        <f aca="false">F4838*G4838</f>
        <v>782</v>
      </c>
      <c r="I4838" s="6" t="s">
        <v>5125</v>
      </c>
    </row>
    <row r="4839" customFormat="false" ht="15" hidden="false" customHeight="false" outlineLevel="0" collapsed="false">
      <c r="A4839" s="6" t="s">
        <v>10063</v>
      </c>
      <c r="B4839" s="6" t="s">
        <v>2111</v>
      </c>
      <c r="C4839" s="26" t="n">
        <v>46179</v>
      </c>
      <c r="D4839" s="6" t="s">
        <v>5273</v>
      </c>
      <c r="E4839" s="6" t="s">
        <v>23</v>
      </c>
      <c r="F4839" s="6" t="n">
        <v>5</v>
      </c>
      <c r="G4839" s="10" t="n">
        <v>240</v>
      </c>
      <c r="H4839" s="10" t="n">
        <f aca="false">F4839*G4839</f>
        <v>1200</v>
      </c>
      <c r="I4839" s="6" t="s">
        <v>5133</v>
      </c>
    </row>
    <row r="4840" customFormat="false" ht="15" hidden="false" customHeight="false" outlineLevel="0" collapsed="false">
      <c r="A4840" s="6" t="s">
        <v>10064</v>
      </c>
      <c r="B4840" s="6" t="s">
        <v>4407</v>
      </c>
      <c r="C4840" s="26" t="n">
        <v>46179</v>
      </c>
      <c r="D4840" s="6" t="s">
        <v>5167</v>
      </c>
      <c r="E4840" s="6" t="s">
        <v>22</v>
      </c>
      <c r="F4840" s="6" t="n">
        <v>2</v>
      </c>
      <c r="G4840" s="10" t="n">
        <v>703</v>
      </c>
      <c r="H4840" s="10" t="n">
        <f aca="false">F4840*G4840</f>
        <v>1406</v>
      </c>
      <c r="I4840" s="6" t="s">
        <v>5173</v>
      </c>
    </row>
    <row r="4841" customFormat="false" ht="15" hidden="false" customHeight="false" outlineLevel="0" collapsed="false">
      <c r="A4841" s="6" t="s">
        <v>10065</v>
      </c>
      <c r="B4841" s="6" t="s">
        <v>1341</v>
      </c>
      <c r="C4841" s="26" t="n">
        <v>46179</v>
      </c>
      <c r="D4841" s="6" t="s">
        <v>5383</v>
      </c>
      <c r="E4841" s="6" t="s">
        <v>20</v>
      </c>
      <c r="F4841" s="6" t="n">
        <v>1</v>
      </c>
      <c r="G4841" s="10" t="n">
        <v>1065</v>
      </c>
      <c r="H4841" s="10" t="n">
        <f aca="false">F4841*G4841</f>
        <v>1065</v>
      </c>
      <c r="I4841" s="6" t="s">
        <v>5130</v>
      </c>
    </row>
    <row r="4842" customFormat="false" ht="15" hidden="false" customHeight="false" outlineLevel="0" collapsed="false">
      <c r="A4842" s="6" t="s">
        <v>10066</v>
      </c>
      <c r="B4842" s="6" t="s">
        <v>2829</v>
      </c>
      <c r="C4842" s="26" t="n">
        <v>46179</v>
      </c>
      <c r="D4842" s="6" t="s">
        <v>5139</v>
      </c>
      <c r="E4842" s="6" t="s">
        <v>23</v>
      </c>
      <c r="F4842" s="6" t="n">
        <v>1</v>
      </c>
      <c r="G4842" s="10" t="n">
        <v>265</v>
      </c>
      <c r="H4842" s="10" t="n">
        <f aca="false">F4842*G4842</f>
        <v>265</v>
      </c>
      <c r="I4842" s="6" t="s">
        <v>5125</v>
      </c>
    </row>
    <row r="4843" customFormat="false" ht="15" hidden="false" customHeight="false" outlineLevel="0" collapsed="false">
      <c r="A4843" s="6" t="s">
        <v>10067</v>
      </c>
      <c r="B4843" s="6" t="s">
        <v>1013</v>
      </c>
      <c r="C4843" s="26" t="n">
        <v>46179</v>
      </c>
      <c r="D4843" s="6" t="s">
        <v>5561</v>
      </c>
      <c r="E4843" s="6" t="s">
        <v>20</v>
      </c>
      <c r="F4843" s="6" t="n">
        <v>1</v>
      </c>
      <c r="G4843" s="10" t="n">
        <v>3196</v>
      </c>
      <c r="H4843" s="10" t="n">
        <f aca="false">F4843*G4843</f>
        <v>3196</v>
      </c>
      <c r="I4843" s="6" t="s">
        <v>5125</v>
      </c>
    </row>
    <row r="4844" customFormat="false" ht="15" hidden="false" customHeight="false" outlineLevel="0" collapsed="false">
      <c r="A4844" s="6" t="s">
        <v>10068</v>
      </c>
      <c r="B4844" s="6" t="s">
        <v>328</v>
      </c>
      <c r="C4844" s="26" t="n">
        <v>46179</v>
      </c>
      <c r="D4844" s="6" t="s">
        <v>5353</v>
      </c>
      <c r="E4844" s="6" t="s">
        <v>24</v>
      </c>
      <c r="F4844" s="6" t="n">
        <v>1</v>
      </c>
      <c r="G4844" s="10" t="n">
        <v>1548</v>
      </c>
      <c r="H4844" s="10" t="n">
        <f aca="false">F4844*G4844</f>
        <v>1548</v>
      </c>
      <c r="I4844" s="6" t="s">
        <v>5148</v>
      </c>
    </row>
    <row r="4845" customFormat="false" ht="15" hidden="false" customHeight="false" outlineLevel="0" collapsed="false">
      <c r="A4845" s="6" t="s">
        <v>10069</v>
      </c>
      <c r="B4845" s="6" t="s">
        <v>4141</v>
      </c>
      <c r="C4845" s="26" t="n">
        <v>46179</v>
      </c>
      <c r="D4845" s="6" t="s">
        <v>5129</v>
      </c>
      <c r="E4845" s="6" t="s">
        <v>21</v>
      </c>
      <c r="F4845" s="6" t="n">
        <v>1</v>
      </c>
      <c r="G4845" s="10" t="n">
        <v>589</v>
      </c>
      <c r="H4845" s="10" t="n">
        <f aca="false">F4845*G4845</f>
        <v>589</v>
      </c>
      <c r="I4845" s="6" t="s">
        <v>5122</v>
      </c>
    </row>
    <row r="4846" customFormat="false" ht="15" hidden="false" customHeight="false" outlineLevel="0" collapsed="false">
      <c r="A4846" s="6" t="s">
        <v>10070</v>
      </c>
      <c r="B4846" s="6" t="s">
        <v>575</v>
      </c>
      <c r="C4846" s="26" t="n">
        <v>46179</v>
      </c>
      <c r="D4846" s="6" t="s">
        <v>5121</v>
      </c>
      <c r="E4846" s="6" t="s">
        <v>22</v>
      </c>
      <c r="F4846" s="6" t="n">
        <v>2</v>
      </c>
      <c r="G4846" s="10" t="n">
        <v>977</v>
      </c>
      <c r="H4846" s="10" t="n">
        <f aca="false">F4846*G4846</f>
        <v>1954</v>
      </c>
      <c r="I4846" s="6" t="s">
        <v>5148</v>
      </c>
    </row>
    <row r="4847" customFormat="false" ht="15" hidden="false" customHeight="false" outlineLevel="0" collapsed="false">
      <c r="A4847" s="6" t="s">
        <v>10071</v>
      </c>
      <c r="B4847" s="6" t="s">
        <v>3943</v>
      </c>
      <c r="C4847" s="26" t="n">
        <v>46179</v>
      </c>
      <c r="D4847" s="6" t="s">
        <v>5154</v>
      </c>
      <c r="E4847" s="6" t="s">
        <v>21</v>
      </c>
      <c r="F4847" s="6" t="n">
        <v>1</v>
      </c>
      <c r="G4847" s="10" t="n">
        <v>785</v>
      </c>
      <c r="H4847" s="10" t="n">
        <f aca="false">F4847*G4847</f>
        <v>785</v>
      </c>
      <c r="I4847" s="6" t="s">
        <v>5122</v>
      </c>
    </row>
    <row r="4848" customFormat="false" ht="15" hidden="false" customHeight="false" outlineLevel="0" collapsed="false">
      <c r="A4848" s="6" t="s">
        <v>10072</v>
      </c>
      <c r="B4848" s="6" t="s">
        <v>3187</v>
      </c>
      <c r="C4848" s="26" t="n">
        <v>46179</v>
      </c>
      <c r="D4848" s="6" t="s">
        <v>5141</v>
      </c>
      <c r="E4848" s="6" t="s">
        <v>20</v>
      </c>
      <c r="F4848" s="6" t="n">
        <v>1</v>
      </c>
      <c r="G4848" s="10" t="n">
        <v>1835</v>
      </c>
      <c r="H4848" s="10" t="n">
        <f aca="false">F4848*G4848</f>
        <v>1835</v>
      </c>
      <c r="I4848" s="6" t="s">
        <v>5122</v>
      </c>
    </row>
    <row r="4849" customFormat="false" ht="15" hidden="false" customHeight="false" outlineLevel="0" collapsed="false">
      <c r="A4849" s="6" t="s">
        <v>10073</v>
      </c>
      <c r="B4849" s="6" t="s">
        <v>1871</v>
      </c>
      <c r="C4849" s="26" t="n">
        <v>46179</v>
      </c>
      <c r="D4849" s="6" t="s">
        <v>5216</v>
      </c>
      <c r="E4849" s="6" t="s">
        <v>23</v>
      </c>
      <c r="F4849" s="6" t="n">
        <v>1</v>
      </c>
      <c r="G4849" s="10" t="n">
        <v>586</v>
      </c>
      <c r="H4849" s="10" t="n">
        <f aca="false">F4849*G4849</f>
        <v>586</v>
      </c>
      <c r="I4849" s="6" t="s">
        <v>5148</v>
      </c>
    </row>
    <row r="4850" customFormat="false" ht="15" hidden="false" customHeight="false" outlineLevel="0" collapsed="false">
      <c r="A4850" s="6" t="s">
        <v>10074</v>
      </c>
      <c r="B4850" s="6" t="s">
        <v>2575</v>
      </c>
      <c r="C4850" s="26" t="n">
        <v>46179</v>
      </c>
      <c r="D4850" s="6" t="s">
        <v>5167</v>
      </c>
      <c r="E4850" s="6" t="s">
        <v>22</v>
      </c>
      <c r="F4850" s="6" t="n">
        <v>1</v>
      </c>
      <c r="G4850" s="10" t="n">
        <v>782</v>
      </c>
      <c r="H4850" s="10" t="n">
        <f aca="false">F4850*G4850</f>
        <v>782</v>
      </c>
      <c r="I4850" s="6" t="s">
        <v>5125</v>
      </c>
    </row>
    <row r="4851" customFormat="false" ht="15" hidden="false" customHeight="false" outlineLevel="0" collapsed="false">
      <c r="A4851" s="6" t="s">
        <v>10075</v>
      </c>
      <c r="B4851" s="6" t="s">
        <v>4343</v>
      </c>
      <c r="C4851" s="26" t="n">
        <v>46179</v>
      </c>
      <c r="D4851" s="6" t="s">
        <v>5683</v>
      </c>
      <c r="E4851" s="6" t="s">
        <v>22</v>
      </c>
      <c r="F4851" s="6" t="n">
        <v>1</v>
      </c>
      <c r="G4851" s="10" t="n">
        <v>1584</v>
      </c>
      <c r="H4851" s="10" t="n">
        <f aca="false">F4851*G4851</f>
        <v>1584</v>
      </c>
      <c r="I4851" s="6" t="s">
        <v>5122</v>
      </c>
    </row>
    <row r="4852" customFormat="false" ht="15" hidden="false" customHeight="false" outlineLevel="0" collapsed="false">
      <c r="A4852" s="6" t="s">
        <v>10076</v>
      </c>
      <c r="B4852" s="6" t="s">
        <v>289</v>
      </c>
      <c r="C4852" s="26" t="n">
        <v>46179</v>
      </c>
      <c r="D4852" s="6" t="s">
        <v>5165</v>
      </c>
      <c r="E4852" s="6" t="s">
        <v>22</v>
      </c>
      <c r="F4852" s="6" t="n">
        <v>3</v>
      </c>
      <c r="G4852" s="10" t="n">
        <v>977</v>
      </c>
      <c r="H4852" s="10" t="n">
        <f aca="false">F4852*G4852</f>
        <v>2931</v>
      </c>
      <c r="I4852" s="6" t="s">
        <v>5148</v>
      </c>
    </row>
    <row r="4853" customFormat="false" ht="15" hidden="false" customHeight="false" outlineLevel="0" collapsed="false">
      <c r="A4853" s="6" t="s">
        <v>10077</v>
      </c>
      <c r="B4853" s="6" t="s">
        <v>2389</v>
      </c>
      <c r="C4853" s="26" t="n">
        <v>46179</v>
      </c>
      <c r="D4853" s="6" t="s">
        <v>5137</v>
      </c>
      <c r="E4853" s="6" t="s">
        <v>21</v>
      </c>
      <c r="F4853" s="6" t="n">
        <v>1</v>
      </c>
      <c r="G4853" s="10" t="n">
        <v>1768</v>
      </c>
      <c r="H4853" s="10" t="n">
        <f aca="false">F4853*G4853</f>
        <v>1768</v>
      </c>
      <c r="I4853" s="6" t="s">
        <v>5148</v>
      </c>
    </row>
    <row r="4854" customFormat="false" ht="15" hidden="false" customHeight="false" outlineLevel="0" collapsed="false">
      <c r="A4854" s="6" t="s">
        <v>10078</v>
      </c>
      <c r="B4854" s="6" t="s">
        <v>865</v>
      </c>
      <c r="C4854" s="26" t="n">
        <v>46179</v>
      </c>
      <c r="D4854" s="6" t="s">
        <v>5259</v>
      </c>
      <c r="E4854" s="6" t="s">
        <v>22</v>
      </c>
      <c r="F4854" s="6" t="n">
        <v>2</v>
      </c>
      <c r="G4854" s="10" t="n">
        <v>1564</v>
      </c>
      <c r="H4854" s="10" t="n">
        <f aca="false">F4854*G4854</f>
        <v>3128</v>
      </c>
      <c r="I4854" s="6" t="s">
        <v>5130</v>
      </c>
    </row>
    <row r="4855" customFormat="false" ht="15" hidden="false" customHeight="false" outlineLevel="0" collapsed="false">
      <c r="A4855" s="6" t="s">
        <v>10079</v>
      </c>
      <c r="B4855" s="6" t="s">
        <v>4573</v>
      </c>
      <c r="C4855" s="26" t="n">
        <v>46179</v>
      </c>
      <c r="D4855" s="6" t="s">
        <v>5152</v>
      </c>
      <c r="E4855" s="6" t="s">
        <v>22</v>
      </c>
      <c r="F4855" s="6" t="n">
        <v>2</v>
      </c>
      <c r="G4855" s="10" t="n">
        <v>1760</v>
      </c>
      <c r="H4855" s="10" t="n">
        <f aca="false">F4855*G4855</f>
        <v>3520</v>
      </c>
      <c r="I4855" s="6" t="s">
        <v>5122</v>
      </c>
    </row>
    <row r="4856" customFormat="false" ht="15" hidden="false" customHeight="false" outlineLevel="0" collapsed="false">
      <c r="A4856" s="6" t="s">
        <v>10080</v>
      </c>
      <c r="B4856" s="6" t="s">
        <v>2047</v>
      </c>
      <c r="C4856" s="26" t="n">
        <v>46179</v>
      </c>
      <c r="D4856" s="6" t="s">
        <v>5863</v>
      </c>
      <c r="E4856" s="6" t="s">
        <v>20</v>
      </c>
      <c r="F4856" s="6" t="n">
        <v>1</v>
      </c>
      <c r="G4856" s="10" t="n">
        <v>18355</v>
      </c>
      <c r="H4856" s="10" t="n">
        <f aca="false">F4856*G4856</f>
        <v>18355</v>
      </c>
      <c r="I4856" s="6" t="s">
        <v>5125</v>
      </c>
    </row>
    <row r="4857" customFormat="false" ht="15" hidden="false" customHeight="false" outlineLevel="0" collapsed="false">
      <c r="A4857" s="6" t="s">
        <v>10081</v>
      </c>
      <c r="B4857" s="6" t="s">
        <v>513</v>
      </c>
      <c r="C4857" s="26" t="n">
        <v>46179</v>
      </c>
      <c r="D4857" s="6" t="s">
        <v>5298</v>
      </c>
      <c r="E4857" s="6" t="s">
        <v>23</v>
      </c>
      <c r="F4857" s="6" t="n">
        <v>1</v>
      </c>
      <c r="G4857" s="10" t="n">
        <v>278</v>
      </c>
      <c r="H4857" s="10" t="n">
        <f aca="false">F4857*G4857</f>
        <v>278</v>
      </c>
      <c r="I4857" s="6" t="s">
        <v>5130</v>
      </c>
    </row>
    <row r="4858" customFormat="false" ht="15" hidden="false" customHeight="false" outlineLevel="0" collapsed="false">
      <c r="A4858" s="6" t="s">
        <v>10082</v>
      </c>
      <c r="B4858" s="6" t="s">
        <v>917</v>
      </c>
      <c r="C4858" s="26" t="n">
        <v>46179</v>
      </c>
      <c r="D4858" s="6" t="s">
        <v>5197</v>
      </c>
      <c r="E4858" s="6" t="s">
        <v>21</v>
      </c>
      <c r="F4858" s="6" t="n">
        <v>3</v>
      </c>
      <c r="G4858" s="10" t="n">
        <v>1080</v>
      </c>
      <c r="H4858" s="10" t="n">
        <f aca="false">F4858*G4858</f>
        <v>3240</v>
      </c>
      <c r="I4858" s="6" t="s">
        <v>5148</v>
      </c>
    </row>
    <row r="4859" customFormat="false" ht="15" hidden="false" customHeight="false" outlineLevel="0" collapsed="false">
      <c r="A4859" s="6" t="s">
        <v>10083</v>
      </c>
      <c r="B4859" s="6" t="s">
        <v>2075</v>
      </c>
      <c r="C4859" s="26" t="n">
        <v>46179</v>
      </c>
      <c r="D4859" s="6" t="s">
        <v>5318</v>
      </c>
      <c r="E4859" s="6" t="s">
        <v>20</v>
      </c>
      <c r="F4859" s="6" t="n">
        <v>1</v>
      </c>
      <c r="G4859" s="10" t="n">
        <v>1452</v>
      </c>
      <c r="H4859" s="10" t="n">
        <f aca="false">F4859*G4859</f>
        <v>1452</v>
      </c>
      <c r="I4859" s="6" t="s">
        <v>5122</v>
      </c>
    </row>
    <row r="4860" customFormat="false" ht="15" hidden="false" customHeight="false" outlineLevel="0" collapsed="false">
      <c r="A4860" s="6" t="s">
        <v>10084</v>
      </c>
      <c r="B4860" s="6" t="s">
        <v>4801</v>
      </c>
      <c r="C4860" s="26" t="n">
        <v>46179</v>
      </c>
      <c r="D4860" s="6" t="s">
        <v>5163</v>
      </c>
      <c r="E4860" s="6" t="s">
        <v>23</v>
      </c>
      <c r="F4860" s="6" t="n">
        <v>2</v>
      </c>
      <c r="G4860" s="10" t="n">
        <v>705</v>
      </c>
      <c r="H4860" s="10" t="n">
        <f aca="false">F4860*G4860</f>
        <v>1410</v>
      </c>
      <c r="I4860" s="6" t="s">
        <v>5125</v>
      </c>
    </row>
    <row r="4861" customFormat="false" ht="15" hidden="false" customHeight="false" outlineLevel="0" collapsed="false">
      <c r="A4861" s="6" t="s">
        <v>10085</v>
      </c>
      <c r="B4861" s="6" t="s">
        <v>1621</v>
      </c>
      <c r="C4861" s="26" t="n">
        <v>46179</v>
      </c>
      <c r="D4861" s="6" t="s">
        <v>5216</v>
      </c>
      <c r="E4861" s="6" t="s">
        <v>23</v>
      </c>
      <c r="F4861" s="6" t="n">
        <v>4</v>
      </c>
      <c r="G4861" s="10" t="n">
        <v>587</v>
      </c>
      <c r="H4861" s="10" t="n">
        <f aca="false">F4861*G4861</f>
        <v>2348</v>
      </c>
      <c r="I4861" s="6" t="s">
        <v>5122</v>
      </c>
    </row>
    <row r="4862" customFormat="false" ht="15" hidden="false" customHeight="false" outlineLevel="0" collapsed="false">
      <c r="A4862" s="6" t="s">
        <v>10086</v>
      </c>
      <c r="B4862" s="6" t="s">
        <v>3433</v>
      </c>
      <c r="C4862" s="26" t="n">
        <v>46179</v>
      </c>
      <c r="D4862" s="6" t="s">
        <v>5220</v>
      </c>
      <c r="E4862" s="6" t="s">
        <v>24</v>
      </c>
      <c r="F4862" s="6" t="n">
        <v>2</v>
      </c>
      <c r="G4862" s="10" t="n">
        <v>1120</v>
      </c>
      <c r="H4862" s="10" t="n">
        <f aca="false">F4862*G4862</f>
        <v>2240</v>
      </c>
      <c r="I4862" s="6" t="s">
        <v>5130</v>
      </c>
    </row>
    <row r="4863" customFormat="false" ht="15" hidden="false" customHeight="false" outlineLevel="0" collapsed="false">
      <c r="A4863" s="6" t="s">
        <v>10087</v>
      </c>
      <c r="B4863" s="6" t="s">
        <v>1403</v>
      </c>
      <c r="C4863" s="26" t="n">
        <v>46179</v>
      </c>
      <c r="D4863" s="6" t="s">
        <v>5167</v>
      </c>
      <c r="E4863" s="6" t="s">
        <v>22</v>
      </c>
      <c r="F4863" s="6" t="n">
        <v>3</v>
      </c>
      <c r="G4863" s="10" t="n">
        <v>703</v>
      </c>
      <c r="H4863" s="10" t="n">
        <f aca="false">F4863*G4863</f>
        <v>2109</v>
      </c>
      <c r="I4863" s="6" t="s">
        <v>5122</v>
      </c>
    </row>
    <row r="4864" customFormat="false" ht="15" hidden="false" customHeight="false" outlineLevel="0" collapsed="false">
      <c r="A4864" s="6" t="s">
        <v>10088</v>
      </c>
      <c r="B4864" s="6" t="s">
        <v>3177</v>
      </c>
      <c r="C4864" s="26" t="n">
        <v>46180</v>
      </c>
      <c r="D4864" s="6" t="s">
        <v>5167</v>
      </c>
      <c r="E4864" s="6" t="s">
        <v>22</v>
      </c>
      <c r="F4864" s="6" t="n">
        <v>2</v>
      </c>
      <c r="G4864" s="10" t="n">
        <v>782</v>
      </c>
      <c r="H4864" s="10" t="n">
        <f aca="false">F4864*G4864</f>
        <v>1564</v>
      </c>
      <c r="I4864" s="6" t="s">
        <v>5122</v>
      </c>
    </row>
    <row r="4865" customFormat="false" ht="15" hidden="false" customHeight="false" outlineLevel="0" collapsed="false">
      <c r="A4865" s="6" t="s">
        <v>10089</v>
      </c>
      <c r="B4865" s="6" t="s">
        <v>4353</v>
      </c>
      <c r="C4865" s="26" t="n">
        <v>46180</v>
      </c>
      <c r="D4865" s="6" t="s">
        <v>5458</v>
      </c>
      <c r="E4865" s="6" t="s">
        <v>24</v>
      </c>
      <c r="F4865" s="6" t="n">
        <v>2</v>
      </c>
      <c r="G4865" s="10" t="n">
        <v>559</v>
      </c>
      <c r="H4865" s="10" t="n">
        <f aca="false">F4865*G4865</f>
        <v>1118</v>
      </c>
      <c r="I4865" s="6" t="s">
        <v>5122</v>
      </c>
    </row>
    <row r="4866" customFormat="false" ht="15" hidden="false" customHeight="false" outlineLevel="0" collapsed="false">
      <c r="A4866" s="6" t="s">
        <v>10090</v>
      </c>
      <c r="B4866" s="6" t="s">
        <v>1533</v>
      </c>
      <c r="C4866" s="26" t="n">
        <v>46180</v>
      </c>
      <c r="D4866" s="6" t="s">
        <v>5398</v>
      </c>
      <c r="E4866" s="6" t="s">
        <v>24</v>
      </c>
      <c r="F4866" s="6" t="n">
        <v>3</v>
      </c>
      <c r="G4866" s="10" t="n">
        <v>580</v>
      </c>
      <c r="H4866" s="10" t="n">
        <f aca="false">F4866*G4866</f>
        <v>1740</v>
      </c>
      <c r="I4866" s="6" t="s">
        <v>5148</v>
      </c>
    </row>
    <row r="4867" customFormat="false" ht="15" hidden="false" customHeight="false" outlineLevel="0" collapsed="false">
      <c r="A4867" s="6" t="s">
        <v>10091</v>
      </c>
      <c r="B4867" s="6" t="s">
        <v>2183</v>
      </c>
      <c r="C4867" s="26" t="n">
        <v>46180</v>
      </c>
      <c r="D4867" s="6" t="s">
        <v>5145</v>
      </c>
      <c r="E4867" s="6" t="s">
        <v>21</v>
      </c>
      <c r="F4867" s="6" t="n">
        <v>1</v>
      </c>
      <c r="G4867" s="10" t="n">
        <v>1213</v>
      </c>
      <c r="H4867" s="10" t="n">
        <f aca="false">F4867*G4867</f>
        <v>1213</v>
      </c>
      <c r="I4867" s="6" t="s">
        <v>5173</v>
      </c>
    </row>
    <row r="4868" customFormat="false" ht="15" hidden="false" customHeight="false" outlineLevel="0" collapsed="false">
      <c r="A4868" s="6" t="s">
        <v>10092</v>
      </c>
      <c r="B4868" s="6" t="s">
        <v>3573</v>
      </c>
      <c r="C4868" s="26" t="n">
        <v>46180</v>
      </c>
      <c r="D4868" s="6" t="s">
        <v>5683</v>
      </c>
      <c r="E4868" s="6" t="s">
        <v>22</v>
      </c>
      <c r="F4868" s="6" t="n">
        <v>3</v>
      </c>
      <c r="G4868" s="10" t="n">
        <v>1584</v>
      </c>
      <c r="H4868" s="10" t="n">
        <f aca="false">F4868*G4868</f>
        <v>4752</v>
      </c>
      <c r="I4868" s="6" t="s">
        <v>5130</v>
      </c>
    </row>
    <row r="4869" customFormat="false" ht="15" hidden="false" customHeight="false" outlineLevel="0" collapsed="false">
      <c r="A4869" s="6" t="s">
        <v>10093</v>
      </c>
      <c r="B4869" s="6" t="s">
        <v>1039</v>
      </c>
      <c r="C4869" s="26" t="n">
        <v>46180</v>
      </c>
      <c r="D4869" s="6" t="s">
        <v>5163</v>
      </c>
      <c r="E4869" s="6" t="s">
        <v>23</v>
      </c>
      <c r="F4869" s="6" t="n">
        <v>3</v>
      </c>
      <c r="G4869" s="10" t="n">
        <v>783</v>
      </c>
      <c r="H4869" s="10" t="n">
        <f aca="false">F4869*G4869</f>
        <v>2349</v>
      </c>
      <c r="I4869" s="6" t="s">
        <v>5148</v>
      </c>
    </row>
    <row r="4870" customFormat="false" ht="15" hidden="false" customHeight="false" outlineLevel="0" collapsed="false">
      <c r="A4870" s="6" t="s">
        <v>10094</v>
      </c>
      <c r="B4870" s="6" t="s">
        <v>250</v>
      </c>
      <c r="C4870" s="26" t="n">
        <v>46180</v>
      </c>
      <c r="D4870" s="6" t="s">
        <v>5154</v>
      </c>
      <c r="E4870" s="6" t="s">
        <v>21</v>
      </c>
      <c r="F4870" s="6" t="n">
        <v>1</v>
      </c>
      <c r="G4870" s="10" t="n">
        <v>707</v>
      </c>
      <c r="H4870" s="10" t="n">
        <f aca="false">F4870*G4870</f>
        <v>707</v>
      </c>
      <c r="I4870" s="6" t="s">
        <v>5148</v>
      </c>
    </row>
    <row r="4871" customFormat="false" ht="15" hidden="false" customHeight="false" outlineLevel="0" collapsed="false">
      <c r="A4871" s="6" t="s">
        <v>10095</v>
      </c>
      <c r="B4871" s="6" t="s">
        <v>358</v>
      </c>
      <c r="C4871" s="26" t="n">
        <v>46180</v>
      </c>
      <c r="D4871" s="6" t="s">
        <v>5218</v>
      </c>
      <c r="E4871" s="6" t="s">
        <v>23</v>
      </c>
      <c r="F4871" s="6" t="n">
        <v>2</v>
      </c>
      <c r="G4871" s="10" t="n">
        <v>165</v>
      </c>
      <c r="H4871" s="10" t="n">
        <f aca="false">F4871*G4871</f>
        <v>330</v>
      </c>
      <c r="I4871" s="6" t="s">
        <v>5122</v>
      </c>
    </row>
    <row r="4872" customFormat="false" ht="15" hidden="false" customHeight="false" outlineLevel="0" collapsed="false">
      <c r="A4872" s="6" t="s">
        <v>10096</v>
      </c>
      <c r="B4872" s="6" t="s">
        <v>4227</v>
      </c>
      <c r="C4872" s="26" t="n">
        <v>46180</v>
      </c>
      <c r="D4872" s="6" t="s">
        <v>5171</v>
      </c>
      <c r="E4872" s="6" t="s">
        <v>23</v>
      </c>
      <c r="F4872" s="6" t="n">
        <v>5</v>
      </c>
      <c r="G4872" s="10" t="n">
        <v>661</v>
      </c>
      <c r="H4872" s="10" t="n">
        <f aca="false">F4872*G4872</f>
        <v>3305</v>
      </c>
      <c r="I4872" s="6" t="s">
        <v>5148</v>
      </c>
    </row>
    <row r="4873" customFormat="false" ht="15" hidden="false" customHeight="false" outlineLevel="0" collapsed="false">
      <c r="A4873" s="6" t="s">
        <v>10097</v>
      </c>
      <c r="B4873" s="6" t="s">
        <v>2199</v>
      </c>
      <c r="C4873" s="26" t="n">
        <v>46180</v>
      </c>
      <c r="D4873" s="6" t="s">
        <v>5171</v>
      </c>
      <c r="E4873" s="6" t="s">
        <v>23</v>
      </c>
      <c r="F4873" s="6" t="n">
        <v>3</v>
      </c>
      <c r="G4873" s="10" t="n">
        <v>734</v>
      </c>
      <c r="H4873" s="10" t="n">
        <f aca="false">F4873*G4873</f>
        <v>2202</v>
      </c>
      <c r="I4873" s="6" t="s">
        <v>5122</v>
      </c>
    </row>
    <row r="4874" customFormat="false" ht="15" hidden="false" customHeight="false" outlineLevel="0" collapsed="false">
      <c r="A4874" s="6" t="s">
        <v>10098</v>
      </c>
      <c r="B4874" s="6" t="s">
        <v>1643</v>
      </c>
      <c r="C4874" s="26" t="n">
        <v>46180</v>
      </c>
      <c r="D4874" s="6" t="s">
        <v>5167</v>
      </c>
      <c r="E4874" s="6" t="s">
        <v>22</v>
      </c>
      <c r="F4874" s="6" t="n">
        <v>2</v>
      </c>
      <c r="G4874" s="10" t="n">
        <v>782</v>
      </c>
      <c r="H4874" s="10" t="n">
        <f aca="false">F4874*G4874</f>
        <v>1564</v>
      </c>
      <c r="I4874" s="6" t="s">
        <v>5148</v>
      </c>
    </row>
    <row r="4875" customFormat="false" ht="15" hidden="false" customHeight="false" outlineLevel="0" collapsed="false">
      <c r="A4875" s="6" t="s">
        <v>10099</v>
      </c>
      <c r="B4875" s="6" t="s">
        <v>3071</v>
      </c>
      <c r="C4875" s="26" t="n">
        <v>46180</v>
      </c>
      <c r="D4875" s="6" t="s">
        <v>5207</v>
      </c>
      <c r="E4875" s="6" t="s">
        <v>20</v>
      </c>
      <c r="F4875" s="6" t="n">
        <v>2</v>
      </c>
      <c r="G4875" s="10" t="n">
        <v>1325</v>
      </c>
      <c r="H4875" s="10" t="n">
        <f aca="false">F4875*G4875</f>
        <v>2650</v>
      </c>
      <c r="I4875" s="6" t="s">
        <v>5122</v>
      </c>
    </row>
    <row r="4876" customFormat="false" ht="15" hidden="false" customHeight="false" outlineLevel="0" collapsed="false">
      <c r="A4876" s="6" t="s">
        <v>10100</v>
      </c>
      <c r="B4876" s="6" t="s">
        <v>2685</v>
      </c>
      <c r="C4876" s="26" t="n">
        <v>46180</v>
      </c>
      <c r="D4876" s="6" t="s">
        <v>6114</v>
      </c>
      <c r="E4876" s="6" t="s">
        <v>20</v>
      </c>
      <c r="F4876" s="6" t="n">
        <v>2</v>
      </c>
      <c r="G4876" s="10" t="n">
        <v>13256</v>
      </c>
      <c r="H4876" s="10" t="n">
        <f aca="false">F4876*G4876</f>
        <v>26512</v>
      </c>
      <c r="I4876" s="6" t="s">
        <v>5133</v>
      </c>
    </row>
    <row r="4877" customFormat="false" ht="15" hidden="false" customHeight="false" outlineLevel="0" collapsed="false">
      <c r="A4877" s="6" t="s">
        <v>10101</v>
      </c>
      <c r="B4877" s="6" t="s">
        <v>4061</v>
      </c>
      <c r="C4877" s="26" t="n">
        <v>46180</v>
      </c>
      <c r="D4877" s="6" t="s">
        <v>5163</v>
      </c>
      <c r="E4877" s="6" t="s">
        <v>23</v>
      </c>
      <c r="F4877" s="6" t="n">
        <v>4</v>
      </c>
      <c r="G4877" s="10" t="n">
        <v>783</v>
      </c>
      <c r="H4877" s="10" t="n">
        <f aca="false">F4877*G4877</f>
        <v>3132</v>
      </c>
      <c r="I4877" s="6" t="s">
        <v>5125</v>
      </c>
    </row>
    <row r="4878" customFormat="false" ht="15" hidden="false" customHeight="false" outlineLevel="0" collapsed="false">
      <c r="A4878" s="6" t="s">
        <v>10102</v>
      </c>
      <c r="B4878" s="6" t="s">
        <v>905</v>
      </c>
      <c r="C4878" s="26" t="n">
        <v>46180</v>
      </c>
      <c r="D4878" s="6" t="s">
        <v>5141</v>
      </c>
      <c r="E4878" s="6" t="s">
        <v>20</v>
      </c>
      <c r="F4878" s="6" t="n">
        <v>1</v>
      </c>
      <c r="G4878" s="10" t="n">
        <v>1743</v>
      </c>
      <c r="H4878" s="10" t="n">
        <f aca="false">F4878*G4878</f>
        <v>1743</v>
      </c>
      <c r="I4878" s="6" t="s">
        <v>5130</v>
      </c>
    </row>
    <row r="4879" customFormat="false" ht="15" hidden="false" customHeight="false" outlineLevel="0" collapsed="false">
      <c r="A4879" s="6" t="s">
        <v>10103</v>
      </c>
      <c r="B4879" s="6" t="s">
        <v>3019</v>
      </c>
      <c r="C4879" s="26" t="n">
        <v>46180</v>
      </c>
      <c r="D4879" s="6" t="s">
        <v>5357</v>
      </c>
      <c r="E4879" s="6" t="s">
        <v>23</v>
      </c>
      <c r="F4879" s="6" t="n">
        <v>1</v>
      </c>
      <c r="G4879" s="10" t="n">
        <v>534</v>
      </c>
      <c r="H4879" s="10" t="n">
        <f aca="false">F4879*G4879</f>
        <v>534</v>
      </c>
      <c r="I4879" s="6" t="s">
        <v>5173</v>
      </c>
    </row>
    <row r="4880" customFormat="false" ht="15" hidden="false" customHeight="false" outlineLevel="0" collapsed="false">
      <c r="A4880" s="6" t="s">
        <v>10104</v>
      </c>
      <c r="B4880" s="6" t="s">
        <v>1375</v>
      </c>
      <c r="C4880" s="26" t="n">
        <v>46180</v>
      </c>
      <c r="D4880" s="6" t="s">
        <v>5235</v>
      </c>
      <c r="E4880" s="6" t="s">
        <v>21</v>
      </c>
      <c r="F4880" s="6" t="n">
        <v>1</v>
      </c>
      <c r="G4880" s="10" t="n">
        <v>1670</v>
      </c>
      <c r="H4880" s="10" t="n">
        <f aca="false">F4880*G4880</f>
        <v>1670</v>
      </c>
      <c r="I4880" s="6" t="s">
        <v>5148</v>
      </c>
    </row>
    <row r="4881" customFormat="false" ht="15" hidden="false" customHeight="false" outlineLevel="0" collapsed="false">
      <c r="A4881" s="6" t="s">
        <v>10105</v>
      </c>
      <c r="B4881" s="6" t="s">
        <v>1861</v>
      </c>
      <c r="C4881" s="26" t="n">
        <v>46180</v>
      </c>
      <c r="D4881" s="6" t="s">
        <v>5216</v>
      </c>
      <c r="E4881" s="6" t="s">
        <v>23</v>
      </c>
      <c r="F4881" s="6" t="n">
        <v>3</v>
      </c>
      <c r="G4881" s="10" t="n">
        <v>587</v>
      </c>
      <c r="H4881" s="10" t="n">
        <f aca="false">F4881*G4881</f>
        <v>1761</v>
      </c>
      <c r="I4881" s="6" t="s">
        <v>5122</v>
      </c>
    </row>
    <row r="4882" customFormat="false" ht="15" hidden="false" customHeight="false" outlineLevel="0" collapsed="false">
      <c r="A4882" s="6" t="s">
        <v>10106</v>
      </c>
      <c r="B4882" s="6" t="s">
        <v>567</v>
      </c>
      <c r="C4882" s="26" t="n">
        <v>46180</v>
      </c>
      <c r="D4882" s="6" t="s">
        <v>5165</v>
      </c>
      <c r="E4882" s="6" t="s">
        <v>22</v>
      </c>
      <c r="F4882" s="6" t="n">
        <v>1</v>
      </c>
      <c r="G4882" s="10" t="n">
        <v>977</v>
      </c>
      <c r="H4882" s="10" t="n">
        <f aca="false">F4882*G4882</f>
        <v>977</v>
      </c>
      <c r="I4882" s="6" t="s">
        <v>5130</v>
      </c>
    </row>
    <row r="4883" customFormat="false" ht="15" hidden="false" customHeight="false" outlineLevel="0" collapsed="false">
      <c r="A4883" s="6" t="s">
        <v>10107</v>
      </c>
      <c r="B4883" s="6" t="s">
        <v>3829</v>
      </c>
      <c r="C4883" s="26" t="n">
        <v>46180</v>
      </c>
      <c r="D4883" s="6" t="s">
        <v>5167</v>
      </c>
      <c r="E4883" s="6" t="s">
        <v>22</v>
      </c>
      <c r="F4883" s="6" t="n">
        <v>1</v>
      </c>
      <c r="G4883" s="10" t="n">
        <v>782</v>
      </c>
      <c r="H4883" s="10" t="n">
        <f aca="false">F4883*G4883</f>
        <v>782</v>
      </c>
      <c r="I4883" s="6" t="s">
        <v>5130</v>
      </c>
    </row>
    <row r="4884" customFormat="false" ht="15" hidden="false" customHeight="false" outlineLevel="0" collapsed="false">
      <c r="A4884" s="6" t="s">
        <v>10108</v>
      </c>
      <c r="B4884" s="6" t="s">
        <v>3163</v>
      </c>
      <c r="C4884" s="26" t="n">
        <v>46180</v>
      </c>
      <c r="D4884" s="6" t="s">
        <v>5197</v>
      </c>
      <c r="E4884" s="6" t="s">
        <v>21</v>
      </c>
      <c r="F4884" s="6" t="n">
        <v>1</v>
      </c>
      <c r="G4884" s="10" t="n">
        <v>1080</v>
      </c>
      <c r="H4884" s="10" t="n">
        <f aca="false">F4884*G4884</f>
        <v>1080</v>
      </c>
      <c r="I4884" s="6" t="s">
        <v>5122</v>
      </c>
    </row>
    <row r="4885" customFormat="false" ht="15" hidden="false" customHeight="false" outlineLevel="0" collapsed="false">
      <c r="A4885" s="6" t="s">
        <v>10109</v>
      </c>
      <c r="B4885" s="6" t="s">
        <v>2963</v>
      </c>
      <c r="C4885" s="26" t="n">
        <v>46180</v>
      </c>
      <c r="D4885" s="6" t="s">
        <v>5121</v>
      </c>
      <c r="E4885" s="6" t="s">
        <v>22</v>
      </c>
      <c r="F4885" s="6" t="n">
        <v>1</v>
      </c>
      <c r="G4885" s="10" t="n">
        <v>976</v>
      </c>
      <c r="H4885" s="10" t="n">
        <f aca="false">F4885*G4885</f>
        <v>976</v>
      </c>
      <c r="I4885" s="6" t="s">
        <v>5122</v>
      </c>
    </row>
    <row r="4886" customFormat="false" ht="15" hidden="false" customHeight="false" outlineLevel="0" collapsed="false">
      <c r="A4886" s="6" t="s">
        <v>10110</v>
      </c>
      <c r="B4886" s="6" t="s">
        <v>1809</v>
      </c>
      <c r="C4886" s="26" t="n">
        <v>46180</v>
      </c>
      <c r="D4886" s="6" t="s">
        <v>5242</v>
      </c>
      <c r="E4886" s="6" t="s">
        <v>23</v>
      </c>
      <c r="F4886" s="6" t="n">
        <v>4</v>
      </c>
      <c r="G4886" s="10" t="n">
        <v>372</v>
      </c>
      <c r="H4886" s="10" t="n">
        <f aca="false">F4886*G4886</f>
        <v>1488</v>
      </c>
      <c r="I4886" s="6" t="s">
        <v>5148</v>
      </c>
    </row>
    <row r="4887" customFormat="false" ht="15" hidden="false" customHeight="false" outlineLevel="0" collapsed="false">
      <c r="A4887" s="6" t="s">
        <v>10111</v>
      </c>
      <c r="B4887" s="6" t="s">
        <v>1249</v>
      </c>
      <c r="C4887" s="26" t="n">
        <v>46180</v>
      </c>
      <c r="D4887" s="6" t="s">
        <v>5121</v>
      </c>
      <c r="E4887" s="6" t="s">
        <v>22</v>
      </c>
      <c r="F4887" s="6" t="n">
        <v>2</v>
      </c>
      <c r="G4887" s="10" t="n">
        <v>880</v>
      </c>
      <c r="H4887" s="10" t="n">
        <f aca="false">F4887*G4887</f>
        <v>1760</v>
      </c>
      <c r="I4887" s="6" t="s">
        <v>5148</v>
      </c>
    </row>
    <row r="4888" customFormat="false" ht="15" hidden="false" customHeight="false" outlineLevel="0" collapsed="false">
      <c r="A4888" s="6" t="s">
        <v>10112</v>
      </c>
      <c r="B4888" s="6" t="s">
        <v>1843</v>
      </c>
      <c r="C4888" s="26" t="n">
        <v>46180</v>
      </c>
      <c r="D4888" s="6" t="s">
        <v>5345</v>
      </c>
      <c r="E4888" s="6" t="s">
        <v>23</v>
      </c>
      <c r="F4888" s="6" t="n">
        <v>2</v>
      </c>
      <c r="G4888" s="10" t="n">
        <v>414</v>
      </c>
      <c r="H4888" s="10" t="n">
        <f aca="false">F4888*G4888</f>
        <v>828</v>
      </c>
      <c r="I4888" s="6" t="s">
        <v>5125</v>
      </c>
    </row>
    <row r="4889" customFormat="false" ht="15" hidden="false" customHeight="false" outlineLevel="0" collapsed="false">
      <c r="A4889" s="6" t="s">
        <v>10113</v>
      </c>
      <c r="B4889" s="6" t="s">
        <v>158</v>
      </c>
      <c r="C4889" s="26" t="n">
        <v>46180</v>
      </c>
      <c r="D4889" s="6" t="s">
        <v>5197</v>
      </c>
      <c r="E4889" s="6" t="s">
        <v>21</v>
      </c>
      <c r="F4889" s="6" t="n">
        <v>1</v>
      </c>
      <c r="G4889" s="10" t="n">
        <v>1080</v>
      </c>
      <c r="H4889" s="10" t="n">
        <f aca="false">F4889*G4889</f>
        <v>1080</v>
      </c>
      <c r="I4889" s="6" t="s">
        <v>5122</v>
      </c>
    </row>
    <row r="4890" customFormat="false" ht="15" hidden="false" customHeight="false" outlineLevel="0" collapsed="false">
      <c r="A4890" s="6" t="s">
        <v>10114</v>
      </c>
      <c r="B4890" s="6" t="s">
        <v>1737</v>
      </c>
      <c r="C4890" s="26" t="n">
        <v>46180</v>
      </c>
      <c r="D4890" s="6" t="s">
        <v>5237</v>
      </c>
      <c r="E4890" s="6" t="s">
        <v>24</v>
      </c>
      <c r="F4890" s="6" t="n">
        <v>3</v>
      </c>
      <c r="G4890" s="10" t="n">
        <v>1833</v>
      </c>
      <c r="H4890" s="10" t="n">
        <f aca="false">F4890*G4890</f>
        <v>5499</v>
      </c>
      <c r="I4890" s="6" t="s">
        <v>5122</v>
      </c>
    </row>
    <row r="4891" customFormat="false" ht="15" hidden="false" customHeight="false" outlineLevel="0" collapsed="false">
      <c r="A4891" s="6" t="s">
        <v>10115</v>
      </c>
      <c r="B4891" s="6" t="s">
        <v>4037</v>
      </c>
      <c r="C4891" s="26" t="n">
        <v>46180</v>
      </c>
      <c r="D4891" s="6" t="s">
        <v>5163</v>
      </c>
      <c r="E4891" s="6" t="s">
        <v>23</v>
      </c>
      <c r="F4891" s="6" t="n">
        <v>3</v>
      </c>
      <c r="G4891" s="10" t="n">
        <v>705</v>
      </c>
      <c r="H4891" s="10" t="n">
        <f aca="false">F4891*G4891</f>
        <v>2115</v>
      </c>
      <c r="I4891" s="6" t="s">
        <v>5133</v>
      </c>
    </row>
    <row r="4892" customFormat="false" ht="15" hidden="false" customHeight="false" outlineLevel="0" collapsed="false">
      <c r="A4892" s="6" t="s">
        <v>10116</v>
      </c>
      <c r="B4892" s="6" t="s">
        <v>4041</v>
      </c>
      <c r="C4892" s="26" t="n">
        <v>46180</v>
      </c>
      <c r="D4892" s="6" t="s">
        <v>5762</v>
      </c>
      <c r="E4892" s="6" t="s">
        <v>22</v>
      </c>
      <c r="F4892" s="6" t="n">
        <v>1</v>
      </c>
      <c r="G4892" s="10" t="n">
        <v>3423</v>
      </c>
      <c r="H4892" s="10" t="n">
        <f aca="false">F4892*G4892</f>
        <v>3423</v>
      </c>
      <c r="I4892" s="6" t="s">
        <v>5148</v>
      </c>
    </row>
    <row r="4893" customFormat="false" ht="15" hidden="false" customHeight="false" outlineLevel="0" collapsed="false">
      <c r="A4893" s="6" t="s">
        <v>10117</v>
      </c>
      <c r="B4893" s="6" t="s">
        <v>2827</v>
      </c>
      <c r="C4893" s="26" t="n">
        <v>46180</v>
      </c>
      <c r="D4893" s="6" t="s">
        <v>5197</v>
      </c>
      <c r="E4893" s="6" t="s">
        <v>21</v>
      </c>
      <c r="F4893" s="6" t="n">
        <v>1</v>
      </c>
      <c r="G4893" s="10" t="n">
        <v>1080</v>
      </c>
      <c r="H4893" s="10" t="n">
        <f aca="false">F4893*G4893</f>
        <v>1080</v>
      </c>
      <c r="I4893" s="6" t="s">
        <v>5122</v>
      </c>
    </row>
    <row r="4894" customFormat="false" ht="15" hidden="false" customHeight="false" outlineLevel="0" collapsed="false">
      <c r="A4894" s="6" t="s">
        <v>10118</v>
      </c>
      <c r="B4894" s="6" t="s">
        <v>3037</v>
      </c>
      <c r="C4894" s="26" t="n">
        <v>46180</v>
      </c>
      <c r="D4894" s="6" t="s">
        <v>5353</v>
      </c>
      <c r="E4894" s="6" t="s">
        <v>24</v>
      </c>
      <c r="F4894" s="6" t="n">
        <v>2</v>
      </c>
      <c r="G4894" s="10" t="n">
        <v>1629</v>
      </c>
      <c r="H4894" s="10" t="n">
        <f aca="false">F4894*G4894</f>
        <v>3258</v>
      </c>
      <c r="I4894" s="6" t="s">
        <v>5122</v>
      </c>
    </row>
    <row r="4895" customFormat="false" ht="15" hidden="false" customHeight="false" outlineLevel="0" collapsed="false">
      <c r="A4895" s="6" t="s">
        <v>10119</v>
      </c>
      <c r="B4895" s="6" t="s">
        <v>2429</v>
      </c>
      <c r="C4895" s="26" t="n">
        <v>46180</v>
      </c>
      <c r="D4895" s="6" t="s">
        <v>5357</v>
      </c>
      <c r="E4895" s="6" t="s">
        <v>23</v>
      </c>
      <c r="F4895" s="6" t="n">
        <v>2</v>
      </c>
      <c r="G4895" s="10" t="n">
        <v>534</v>
      </c>
      <c r="H4895" s="10" t="n">
        <f aca="false">F4895*G4895</f>
        <v>1068</v>
      </c>
      <c r="I4895" s="6" t="s">
        <v>5130</v>
      </c>
    </row>
    <row r="4896" customFormat="false" ht="15" hidden="false" customHeight="false" outlineLevel="0" collapsed="false">
      <c r="A4896" s="6" t="s">
        <v>10120</v>
      </c>
      <c r="B4896" s="6" t="s">
        <v>4311</v>
      </c>
      <c r="C4896" s="26" t="n">
        <v>46180</v>
      </c>
      <c r="D4896" s="6" t="s">
        <v>5129</v>
      </c>
      <c r="E4896" s="6" t="s">
        <v>21</v>
      </c>
      <c r="F4896" s="6" t="n">
        <v>1</v>
      </c>
      <c r="G4896" s="10" t="n">
        <v>589</v>
      </c>
      <c r="H4896" s="10" t="n">
        <f aca="false">F4896*G4896</f>
        <v>589</v>
      </c>
      <c r="I4896" s="6" t="s">
        <v>5148</v>
      </c>
    </row>
    <row r="4897" customFormat="false" ht="15" hidden="false" customHeight="false" outlineLevel="0" collapsed="false">
      <c r="A4897" s="6" t="s">
        <v>10121</v>
      </c>
      <c r="B4897" s="6" t="s">
        <v>1793</v>
      </c>
      <c r="C4897" s="26" t="n">
        <v>46180</v>
      </c>
      <c r="D4897" s="6" t="s">
        <v>5192</v>
      </c>
      <c r="E4897" s="6" t="s">
        <v>20</v>
      </c>
      <c r="F4897" s="6" t="n">
        <v>1</v>
      </c>
      <c r="G4897" s="10" t="n">
        <v>3670</v>
      </c>
      <c r="H4897" s="10" t="n">
        <f aca="false">F4897*G4897</f>
        <v>3670</v>
      </c>
      <c r="I4897" s="6" t="s">
        <v>5122</v>
      </c>
    </row>
    <row r="4898" customFormat="false" ht="15" hidden="false" customHeight="false" outlineLevel="0" collapsed="false">
      <c r="A4898" s="6" t="s">
        <v>10122</v>
      </c>
      <c r="B4898" s="6" t="s">
        <v>1671</v>
      </c>
      <c r="C4898" s="26" t="n">
        <v>46180</v>
      </c>
      <c r="D4898" s="6" t="s">
        <v>5180</v>
      </c>
      <c r="E4898" s="6" t="s">
        <v>24</v>
      </c>
      <c r="F4898" s="6" t="n">
        <v>2</v>
      </c>
      <c r="G4898" s="10" t="n">
        <v>1888</v>
      </c>
      <c r="H4898" s="10" t="n">
        <f aca="false">F4898*G4898</f>
        <v>3776</v>
      </c>
      <c r="I4898" s="6" t="s">
        <v>5130</v>
      </c>
    </row>
    <row r="4899" customFormat="false" ht="15" hidden="false" customHeight="false" outlineLevel="0" collapsed="false">
      <c r="A4899" s="6" t="s">
        <v>10123</v>
      </c>
      <c r="B4899" s="6" t="s">
        <v>3991</v>
      </c>
      <c r="C4899" s="26" t="n">
        <v>46180</v>
      </c>
      <c r="D4899" s="6" t="s">
        <v>5167</v>
      </c>
      <c r="E4899" s="6" t="s">
        <v>22</v>
      </c>
      <c r="F4899" s="6" t="n">
        <v>2</v>
      </c>
      <c r="G4899" s="10" t="n">
        <v>782</v>
      </c>
      <c r="H4899" s="10" t="n">
        <f aca="false">F4899*G4899</f>
        <v>1564</v>
      </c>
      <c r="I4899" s="6" t="s">
        <v>5133</v>
      </c>
    </row>
    <row r="4900" customFormat="false" ht="15" hidden="false" customHeight="false" outlineLevel="0" collapsed="false">
      <c r="A4900" s="6" t="s">
        <v>10124</v>
      </c>
      <c r="B4900" s="6" t="s">
        <v>2943</v>
      </c>
      <c r="C4900" s="26" t="n">
        <v>46180</v>
      </c>
      <c r="D4900" s="6" t="s">
        <v>5214</v>
      </c>
      <c r="E4900" s="6" t="s">
        <v>20</v>
      </c>
      <c r="F4900" s="6" t="n">
        <v>1</v>
      </c>
      <c r="G4900" s="10" t="n">
        <v>2039</v>
      </c>
      <c r="H4900" s="10" t="n">
        <f aca="false">F4900*G4900</f>
        <v>2039</v>
      </c>
      <c r="I4900" s="6" t="s">
        <v>5125</v>
      </c>
    </row>
    <row r="4901" customFormat="false" ht="15" hidden="false" customHeight="false" outlineLevel="0" collapsed="false">
      <c r="A4901" s="6" t="s">
        <v>10125</v>
      </c>
      <c r="B4901" s="6" t="s">
        <v>5089</v>
      </c>
      <c r="C4901" s="26" t="n">
        <v>46180</v>
      </c>
      <c r="D4901" s="6" t="s">
        <v>5160</v>
      </c>
      <c r="E4901" s="6" t="s">
        <v>21</v>
      </c>
      <c r="F4901" s="6" t="n">
        <v>1</v>
      </c>
      <c r="G4901" s="10" t="n">
        <v>2751</v>
      </c>
      <c r="H4901" s="10" t="n">
        <f aca="false">F4901*G4901</f>
        <v>2751</v>
      </c>
      <c r="I4901" s="6" t="s">
        <v>5122</v>
      </c>
    </row>
    <row r="4902" customFormat="false" ht="15" hidden="false" customHeight="false" outlineLevel="0" collapsed="false">
      <c r="A4902" s="6" t="s">
        <v>10126</v>
      </c>
      <c r="B4902" s="6" t="s">
        <v>3099</v>
      </c>
      <c r="C4902" s="26" t="n">
        <v>46180</v>
      </c>
      <c r="D4902" s="6" t="s">
        <v>5129</v>
      </c>
      <c r="E4902" s="6" t="s">
        <v>21</v>
      </c>
      <c r="F4902" s="6" t="n">
        <v>1</v>
      </c>
      <c r="G4902" s="10" t="n">
        <v>559</v>
      </c>
      <c r="H4902" s="10" t="n">
        <f aca="false">F4902*G4902</f>
        <v>559</v>
      </c>
      <c r="I4902" s="6" t="s">
        <v>5122</v>
      </c>
    </row>
    <row r="4903" customFormat="false" ht="15" hidden="false" customHeight="false" outlineLevel="0" collapsed="false">
      <c r="A4903" s="6" t="s">
        <v>10127</v>
      </c>
      <c r="B4903" s="6" t="s">
        <v>1145</v>
      </c>
      <c r="C4903" s="26" t="n">
        <v>46180</v>
      </c>
      <c r="D4903" s="6" t="s">
        <v>5353</v>
      </c>
      <c r="E4903" s="6" t="s">
        <v>24</v>
      </c>
      <c r="F4903" s="6" t="n">
        <v>1</v>
      </c>
      <c r="G4903" s="10" t="n">
        <v>1467</v>
      </c>
      <c r="H4903" s="10" t="n">
        <f aca="false">F4903*G4903</f>
        <v>1467</v>
      </c>
      <c r="I4903" s="6" t="s">
        <v>5133</v>
      </c>
    </row>
    <row r="4904" customFormat="false" ht="15" hidden="false" customHeight="false" outlineLevel="0" collapsed="false">
      <c r="A4904" s="6" t="s">
        <v>10128</v>
      </c>
      <c r="B4904" s="6" t="s">
        <v>809</v>
      </c>
      <c r="C4904" s="26" t="n">
        <v>46180</v>
      </c>
      <c r="D4904" s="6" t="s">
        <v>5281</v>
      </c>
      <c r="E4904" s="6" t="s">
        <v>24</v>
      </c>
      <c r="F4904" s="6" t="n">
        <v>2</v>
      </c>
      <c r="G4904" s="10" t="n">
        <v>814</v>
      </c>
      <c r="H4904" s="10" t="n">
        <f aca="false">F4904*G4904</f>
        <v>1628</v>
      </c>
      <c r="I4904" s="6" t="s">
        <v>5130</v>
      </c>
    </row>
    <row r="4905" customFormat="false" ht="15" hidden="false" customHeight="false" outlineLevel="0" collapsed="false">
      <c r="A4905" s="6" t="s">
        <v>10129</v>
      </c>
      <c r="B4905" s="6" t="s">
        <v>3281</v>
      </c>
      <c r="C4905" s="26" t="n">
        <v>46180</v>
      </c>
      <c r="D4905" s="6" t="s">
        <v>5353</v>
      </c>
      <c r="E4905" s="6" t="s">
        <v>24</v>
      </c>
      <c r="F4905" s="6" t="n">
        <v>1</v>
      </c>
      <c r="G4905" s="10" t="n">
        <v>1630</v>
      </c>
      <c r="H4905" s="10" t="n">
        <f aca="false">F4905*G4905</f>
        <v>1630</v>
      </c>
      <c r="I4905" s="6" t="s">
        <v>5122</v>
      </c>
    </row>
    <row r="4906" customFormat="false" ht="15" hidden="false" customHeight="false" outlineLevel="0" collapsed="false">
      <c r="A4906" s="6" t="s">
        <v>10130</v>
      </c>
      <c r="B4906" s="6" t="s">
        <v>1445</v>
      </c>
      <c r="C4906" s="26" t="n">
        <v>46180</v>
      </c>
      <c r="D4906" s="6" t="s">
        <v>5242</v>
      </c>
      <c r="E4906" s="6" t="s">
        <v>23</v>
      </c>
      <c r="F4906" s="6" t="n">
        <v>3</v>
      </c>
      <c r="G4906" s="10" t="n">
        <v>354</v>
      </c>
      <c r="H4906" s="10" t="n">
        <f aca="false">F4906*G4906</f>
        <v>1062</v>
      </c>
      <c r="I4906" s="6" t="s">
        <v>5148</v>
      </c>
    </row>
    <row r="4907" customFormat="false" ht="15" hidden="false" customHeight="false" outlineLevel="0" collapsed="false">
      <c r="A4907" s="6" t="s">
        <v>10131</v>
      </c>
      <c r="B4907" s="6" t="s">
        <v>2923</v>
      </c>
      <c r="C4907" s="26" t="n">
        <v>46180</v>
      </c>
      <c r="D4907" s="6" t="s">
        <v>5167</v>
      </c>
      <c r="E4907" s="6" t="s">
        <v>22</v>
      </c>
      <c r="F4907" s="6" t="n">
        <v>2</v>
      </c>
      <c r="G4907" s="10" t="n">
        <v>703</v>
      </c>
      <c r="H4907" s="10" t="n">
        <f aca="false">F4907*G4907</f>
        <v>1406</v>
      </c>
      <c r="I4907" s="6" t="s">
        <v>5122</v>
      </c>
    </row>
    <row r="4908" customFormat="false" ht="15" hidden="false" customHeight="false" outlineLevel="0" collapsed="false">
      <c r="A4908" s="6" t="s">
        <v>10132</v>
      </c>
      <c r="B4908" s="6" t="s">
        <v>2663</v>
      </c>
      <c r="C4908" s="26" t="n">
        <v>46180</v>
      </c>
      <c r="D4908" s="6" t="s">
        <v>5167</v>
      </c>
      <c r="E4908" s="6" t="s">
        <v>22</v>
      </c>
      <c r="F4908" s="6" t="n">
        <v>3</v>
      </c>
      <c r="G4908" s="10" t="n">
        <v>782</v>
      </c>
      <c r="H4908" s="10" t="n">
        <f aca="false">F4908*G4908</f>
        <v>2346</v>
      </c>
      <c r="I4908" s="6" t="s">
        <v>5122</v>
      </c>
    </row>
    <row r="4909" customFormat="false" ht="15" hidden="false" customHeight="false" outlineLevel="0" collapsed="false">
      <c r="A4909" s="6" t="s">
        <v>10133</v>
      </c>
      <c r="B4909" s="6" t="s">
        <v>138</v>
      </c>
      <c r="C4909" s="26" t="n">
        <v>46180</v>
      </c>
      <c r="D4909" s="6" t="s">
        <v>5165</v>
      </c>
      <c r="E4909" s="6" t="s">
        <v>22</v>
      </c>
      <c r="F4909" s="6" t="n">
        <v>4</v>
      </c>
      <c r="G4909" s="10" t="n">
        <v>880</v>
      </c>
      <c r="H4909" s="10" t="n">
        <f aca="false">F4909*G4909</f>
        <v>3520</v>
      </c>
      <c r="I4909" s="6" t="s">
        <v>5122</v>
      </c>
    </row>
    <row r="4910" customFormat="false" ht="15" hidden="false" customHeight="false" outlineLevel="0" collapsed="false">
      <c r="A4910" s="6" t="s">
        <v>10134</v>
      </c>
      <c r="B4910" s="6" t="s">
        <v>4377</v>
      </c>
      <c r="C4910" s="26" t="n">
        <v>46181</v>
      </c>
      <c r="D4910" s="6" t="s">
        <v>5242</v>
      </c>
      <c r="E4910" s="6" t="s">
        <v>23</v>
      </c>
      <c r="F4910" s="6" t="n">
        <v>4</v>
      </c>
      <c r="G4910" s="10" t="n">
        <v>372</v>
      </c>
      <c r="H4910" s="10" t="n">
        <f aca="false">F4910*G4910</f>
        <v>1488</v>
      </c>
      <c r="I4910" s="6" t="s">
        <v>5173</v>
      </c>
    </row>
    <row r="4911" customFormat="false" ht="15" hidden="false" customHeight="false" outlineLevel="0" collapsed="false">
      <c r="A4911" s="6" t="s">
        <v>10135</v>
      </c>
      <c r="B4911" s="6" t="s">
        <v>1911</v>
      </c>
      <c r="C4911" s="26" t="n">
        <v>46181</v>
      </c>
      <c r="D4911" s="6" t="s">
        <v>5345</v>
      </c>
      <c r="E4911" s="6" t="s">
        <v>23</v>
      </c>
      <c r="F4911" s="6" t="n">
        <v>3</v>
      </c>
      <c r="G4911" s="10" t="n">
        <v>414</v>
      </c>
      <c r="H4911" s="10" t="n">
        <f aca="false">F4911*G4911</f>
        <v>1242</v>
      </c>
      <c r="I4911" s="6" t="s">
        <v>5122</v>
      </c>
    </row>
    <row r="4912" customFormat="false" ht="15" hidden="false" customHeight="false" outlineLevel="0" collapsed="false">
      <c r="A4912" s="6" t="s">
        <v>10136</v>
      </c>
      <c r="B4912" s="6" t="s">
        <v>1145</v>
      </c>
      <c r="C4912" s="26" t="n">
        <v>46181</v>
      </c>
      <c r="D4912" s="6" t="s">
        <v>5482</v>
      </c>
      <c r="E4912" s="6" t="s">
        <v>23</v>
      </c>
      <c r="F4912" s="6" t="n">
        <v>2</v>
      </c>
      <c r="G4912" s="10" t="n">
        <v>269</v>
      </c>
      <c r="H4912" s="10" t="n">
        <f aca="false">F4912*G4912</f>
        <v>538</v>
      </c>
      <c r="I4912" s="6" t="s">
        <v>5148</v>
      </c>
    </row>
    <row r="4913" customFormat="false" ht="15" hidden="false" customHeight="false" outlineLevel="0" collapsed="false">
      <c r="A4913" s="6" t="s">
        <v>10137</v>
      </c>
      <c r="B4913" s="6" t="s">
        <v>743</v>
      </c>
      <c r="C4913" s="26" t="n">
        <v>46181</v>
      </c>
      <c r="D4913" s="6" t="s">
        <v>5383</v>
      </c>
      <c r="E4913" s="6" t="s">
        <v>20</v>
      </c>
      <c r="F4913" s="6" t="n">
        <v>1</v>
      </c>
      <c r="G4913" s="10" t="n">
        <v>1121</v>
      </c>
      <c r="H4913" s="10" t="n">
        <f aca="false">F4913*G4913</f>
        <v>1121</v>
      </c>
      <c r="I4913" s="6" t="s">
        <v>5125</v>
      </c>
    </row>
    <row r="4914" customFormat="false" ht="15" hidden="false" customHeight="false" outlineLevel="0" collapsed="false">
      <c r="A4914" s="6" t="s">
        <v>10138</v>
      </c>
      <c r="B4914" s="6" t="s">
        <v>3459</v>
      </c>
      <c r="C4914" s="26" t="n">
        <v>46181</v>
      </c>
      <c r="D4914" s="6" t="s">
        <v>5129</v>
      </c>
      <c r="E4914" s="6" t="s">
        <v>21</v>
      </c>
      <c r="F4914" s="6" t="n">
        <v>1</v>
      </c>
      <c r="G4914" s="10" t="n">
        <v>589</v>
      </c>
      <c r="H4914" s="10" t="n">
        <f aca="false">F4914*G4914</f>
        <v>589</v>
      </c>
      <c r="I4914" s="6" t="s">
        <v>5122</v>
      </c>
    </row>
    <row r="4915" customFormat="false" ht="15" hidden="false" customHeight="false" outlineLevel="0" collapsed="false">
      <c r="A4915" s="6" t="s">
        <v>10139</v>
      </c>
      <c r="B4915" s="6" t="s">
        <v>3121</v>
      </c>
      <c r="C4915" s="26" t="n">
        <v>46181</v>
      </c>
      <c r="D4915" s="6" t="s">
        <v>5202</v>
      </c>
      <c r="E4915" s="6" t="s">
        <v>23</v>
      </c>
      <c r="F4915" s="6" t="n">
        <v>3</v>
      </c>
      <c r="G4915" s="10" t="n">
        <v>233</v>
      </c>
      <c r="H4915" s="10" t="n">
        <f aca="false">F4915*G4915</f>
        <v>699</v>
      </c>
      <c r="I4915" s="6" t="s">
        <v>5148</v>
      </c>
    </row>
    <row r="4916" customFormat="false" ht="15" hidden="false" customHeight="false" outlineLevel="0" collapsed="false">
      <c r="A4916" s="6" t="s">
        <v>10140</v>
      </c>
      <c r="B4916" s="6" t="s">
        <v>431</v>
      </c>
      <c r="C4916" s="26" t="n">
        <v>46181</v>
      </c>
      <c r="D4916" s="6" t="s">
        <v>5182</v>
      </c>
      <c r="E4916" s="6" t="s">
        <v>23</v>
      </c>
      <c r="F4916" s="6" t="n">
        <v>1</v>
      </c>
      <c r="G4916" s="10" t="n">
        <v>367</v>
      </c>
      <c r="H4916" s="10" t="n">
        <f aca="false">F4916*G4916</f>
        <v>367</v>
      </c>
      <c r="I4916" s="6" t="s">
        <v>5122</v>
      </c>
    </row>
    <row r="4917" customFormat="false" ht="15" hidden="false" customHeight="false" outlineLevel="0" collapsed="false">
      <c r="A4917" s="6" t="s">
        <v>10141</v>
      </c>
      <c r="B4917" s="6" t="s">
        <v>4909</v>
      </c>
      <c r="C4917" s="26" t="n">
        <v>46181</v>
      </c>
      <c r="D4917" s="6" t="s">
        <v>5167</v>
      </c>
      <c r="E4917" s="6" t="s">
        <v>22</v>
      </c>
      <c r="F4917" s="6" t="n">
        <v>2</v>
      </c>
      <c r="G4917" s="10" t="n">
        <v>703</v>
      </c>
      <c r="H4917" s="10" t="n">
        <f aca="false">F4917*G4917</f>
        <v>1406</v>
      </c>
      <c r="I4917" s="6" t="s">
        <v>5122</v>
      </c>
    </row>
    <row r="4918" customFormat="false" ht="15" hidden="false" customHeight="false" outlineLevel="0" collapsed="false">
      <c r="A4918" s="6" t="s">
        <v>10142</v>
      </c>
      <c r="B4918" s="6" t="s">
        <v>543</v>
      </c>
      <c r="C4918" s="26" t="n">
        <v>46181</v>
      </c>
      <c r="D4918" s="6" t="s">
        <v>5150</v>
      </c>
      <c r="E4918" s="6" t="s">
        <v>24</v>
      </c>
      <c r="F4918" s="6" t="n">
        <v>3</v>
      </c>
      <c r="G4918" s="10" t="n">
        <v>508</v>
      </c>
      <c r="H4918" s="10" t="n">
        <f aca="false">F4918*G4918</f>
        <v>1524</v>
      </c>
      <c r="I4918" s="6" t="s">
        <v>5133</v>
      </c>
    </row>
    <row r="4919" customFormat="false" ht="15" hidden="false" customHeight="false" outlineLevel="0" collapsed="false">
      <c r="A4919" s="6" t="s">
        <v>10143</v>
      </c>
      <c r="B4919" s="6" t="s">
        <v>1325</v>
      </c>
      <c r="C4919" s="26" t="n">
        <v>46181</v>
      </c>
      <c r="D4919" s="6" t="s">
        <v>5488</v>
      </c>
      <c r="E4919" s="6" t="s">
        <v>24</v>
      </c>
      <c r="F4919" s="6" t="n">
        <v>4</v>
      </c>
      <c r="G4919" s="10" t="n">
        <v>866</v>
      </c>
      <c r="H4919" s="10" t="n">
        <f aca="false">F4919*G4919</f>
        <v>3464</v>
      </c>
      <c r="I4919" s="6" t="s">
        <v>5148</v>
      </c>
    </row>
    <row r="4920" customFormat="false" ht="15" hidden="false" customHeight="false" outlineLevel="0" collapsed="false">
      <c r="A4920" s="6" t="s">
        <v>10144</v>
      </c>
      <c r="B4920" s="6" t="s">
        <v>3397</v>
      </c>
      <c r="C4920" s="26" t="n">
        <v>46181</v>
      </c>
      <c r="D4920" s="6" t="s">
        <v>5129</v>
      </c>
      <c r="E4920" s="6" t="s">
        <v>21</v>
      </c>
      <c r="F4920" s="6" t="n">
        <v>3</v>
      </c>
      <c r="G4920" s="10" t="n">
        <v>589</v>
      </c>
      <c r="H4920" s="10" t="n">
        <f aca="false">F4920*G4920</f>
        <v>1767</v>
      </c>
      <c r="I4920" s="6" t="s">
        <v>5148</v>
      </c>
    </row>
    <row r="4921" customFormat="false" ht="15" hidden="false" customHeight="false" outlineLevel="0" collapsed="false">
      <c r="A4921" s="6" t="s">
        <v>10145</v>
      </c>
      <c r="B4921" s="6" t="s">
        <v>2545</v>
      </c>
      <c r="C4921" s="26" t="n">
        <v>46181</v>
      </c>
      <c r="D4921" s="6" t="s">
        <v>5169</v>
      </c>
      <c r="E4921" s="6" t="s">
        <v>20</v>
      </c>
      <c r="F4921" s="6" t="n">
        <v>1</v>
      </c>
      <c r="G4921" s="10" t="n">
        <v>5098</v>
      </c>
      <c r="H4921" s="10" t="n">
        <f aca="false">F4921*G4921</f>
        <v>5098</v>
      </c>
      <c r="I4921" s="6" t="s">
        <v>5122</v>
      </c>
    </row>
    <row r="4922" customFormat="false" ht="15" hidden="false" customHeight="false" outlineLevel="0" collapsed="false">
      <c r="A4922" s="6" t="s">
        <v>10146</v>
      </c>
      <c r="B4922" s="6" t="s">
        <v>3803</v>
      </c>
      <c r="C4922" s="26" t="n">
        <v>46181</v>
      </c>
      <c r="D4922" s="6" t="s">
        <v>5143</v>
      </c>
      <c r="E4922" s="6" t="s">
        <v>21</v>
      </c>
      <c r="F4922" s="6" t="n">
        <v>1</v>
      </c>
      <c r="G4922" s="10" t="n">
        <v>1179</v>
      </c>
      <c r="H4922" s="10" t="n">
        <f aca="false">F4922*G4922</f>
        <v>1179</v>
      </c>
      <c r="I4922" s="6" t="s">
        <v>5148</v>
      </c>
    </row>
    <row r="4923" customFormat="false" ht="15" hidden="false" customHeight="false" outlineLevel="0" collapsed="false">
      <c r="A4923" s="6" t="s">
        <v>10147</v>
      </c>
      <c r="B4923" s="6" t="s">
        <v>3789</v>
      </c>
      <c r="C4923" s="26" t="n">
        <v>46181</v>
      </c>
      <c r="D4923" s="6" t="s">
        <v>5257</v>
      </c>
      <c r="E4923" s="6" t="s">
        <v>22</v>
      </c>
      <c r="F4923" s="6" t="n">
        <v>1</v>
      </c>
      <c r="G4923" s="10" t="n">
        <v>2249</v>
      </c>
      <c r="H4923" s="10" t="n">
        <f aca="false">F4923*G4923</f>
        <v>2249</v>
      </c>
      <c r="I4923" s="6" t="s">
        <v>5122</v>
      </c>
    </row>
    <row r="4924" customFormat="false" ht="15" hidden="false" customHeight="false" outlineLevel="0" collapsed="false">
      <c r="A4924" s="6" t="s">
        <v>10148</v>
      </c>
      <c r="B4924" s="6" t="s">
        <v>1917</v>
      </c>
      <c r="C4924" s="26" t="n">
        <v>46181</v>
      </c>
      <c r="D4924" s="6" t="s">
        <v>5167</v>
      </c>
      <c r="E4924" s="6" t="s">
        <v>22</v>
      </c>
      <c r="F4924" s="6" t="n">
        <v>2</v>
      </c>
      <c r="G4924" s="10" t="n">
        <v>782</v>
      </c>
      <c r="H4924" s="10" t="n">
        <f aca="false">F4924*G4924</f>
        <v>1564</v>
      </c>
      <c r="I4924" s="6" t="s">
        <v>5122</v>
      </c>
    </row>
    <row r="4925" customFormat="false" ht="15" hidden="false" customHeight="false" outlineLevel="0" collapsed="false">
      <c r="A4925" s="6" t="s">
        <v>10149</v>
      </c>
      <c r="B4925" s="6" t="s">
        <v>2521</v>
      </c>
      <c r="C4925" s="26" t="n">
        <v>46181</v>
      </c>
      <c r="D4925" s="6" t="s">
        <v>5214</v>
      </c>
      <c r="E4925" s="6" t="s">
        <v>20</v>
      </c>
      <c r="F4925" s="6" t="n">
        <v>1</v>
      </c>
      <c r="G4925" s="10" t="n">
        <v>1835</v>
      </c>
      <c r="H4925" s="10" t="n">
        <f aca="false">F4925*G4925</f>
        <v>1835</v>
      </c>
      <c r="I4925" s="6" t="s">
        <v>5148</v>
      </c>
    </row>
    <row r="4926" customFormat="false" ht="15" hidden="false" customHeight="false" outlineLevel="0" collapsed="false">
      <c r="A4926" s="6" t="s">
        <v>10150</v>
      </c>
      <c r="B4926" s="6" t="s">
        <v>4883</v>
      </c>
      <c r="C4926" s="26" t="n">
        <v>46181</v>
      </c>
      <c r="D4926" s="6" t="s">
        <v>5152</v>
      </c>
      <c r="E4926" s="6" t="s">
        <v>22</v>
      </c>
      <c r="F4926" s="6" t="n">
        <v>2</v>
      </c>
      <c r="G4926" s="10" t="n">
        <v>1760</v>
      </c>
      <c r="H4926" s="10" t="n">
        <f aca="false">F4926*G4926</f>
        <v>3520</v>
      </c>
      <c r="I4926" s="6" t="s">
        <v>5122</v>
      </c>
    </row>
    <row r="4927" customFormat="false" ht="15" hidden="false" customHeight="false" outlineLevel="0" collapsed="false">
      <c r="A4927" s="6" t="s">
        <v>10151</v>
      </c>
      <c r="B4927" s="6" t="s">
        <v>3077</v>
      </c>
      <c r="C4927" s="26" t="n">
        <v>46181</v>
      </c>
      <c r="D4927" s="6" t="s">
        <v>5188</v>
      </c>
      <c r="E4927" s="6" t="s">
        <v>24</v>
      </c>
      <c r="F4927" s="6" t="n">
        <v>1</v>
      </c>
      <c r="G4927" s="10" t="n">
        <v>1018</v>
      </c>
      <c r="H4927" s="10" t="n">
        <f aca="false">F4927*G4927</f>
        <v>1018</v>
      </c>
      <c r="I4927" s="6" t="s">
        <v>5125</v>
      </c>
    </row>
    <row r="4928" customFormat="false" ht="15" hidden="false" customHeight="false" outlineLevel="0" collapsed="false">
      <c r="A4928" s="6" t="s">
        <v>10152</v>
      </c>
      <c r="B4928" s="6" t="s">
        <v>2989</v>
      </c>
      <c r="C4928" s="26" t="n">
        <v>46181</v>
      </c>
      <c r="D4928" s="6" t="s">
        <v>5482</v>
      </c>
      <c r="E4928" s="6" t="s">
        <v>23</v>
      </c>
      <c r="F4928" s="6" t="n">
        <v>4</v>
      </c>
      <c r="G4928" s="10" t="n">
        <v>269</v>
      </c>
      <c r="H4928" s="10" t="n">
        <f aca="false">F4928*G4928</f>
        <v>1076</v>
      </c>
      <c r="I4928" s="6" t="s">
        <v>5130</v>
      </c>
    </row>
    <row r="4929" customFormat="false" ht="15" hidden="false" customHeight="false" outlineLevel="0" collapsed="false">
      <c r="A4929" s="6" t="s">
        <v>10153</v>
      </c>
      <c r="B4929" s="6" t="s">
        <v>4627</v>
      </c>
      <c r="C4929" s="26" t="n">
        <v>46181</v>
      </c>
      <c r="D4929" s="6" t="s">
        <v>5220</v>
      </c>
      <c r="E4929" s="6" t="s">
        <v>24</v>
      </c>
      <c r="F4929" s="6" t="n">
        <v>2</v>
      </c>
      <c r="G4929" s="10" t="n">
        <v>1008</v>
      </c>
      <c r="H4929" s="10" t="n">
        <f aca="false">F4929*G4929</f>
        <v>2016</v>
      </c>
      <c r="I4929" s="6" t="s">
        <v>5173</v>
      </c>
    </row>
    <row r="4930" customFormat="false" ht="15" hidden="false" customHeight="false" outlineLevel="0" collapsed="false">
      <c r="A4930" s="6" t="s">
        <v>10154</v>
      </c>
      <c r="B4930" s="6" t="s">
        <v>1463</v>
      </c>
      <c r="C4930" s="26" t="n">
        <v>46181</v>
      </c>
      <c r="D4930" s="6" t="s">
        <v>5197</v>
      </c>
      <c r="E4930" s="6" t="s">
        <v>21</v>
      </c>
      <c r="F4930" s="6" t="n">
        <v>1</v>
      </c>
      <c r="G4930" s="10" t="n">
        <v>1080</v>
      </c>
      <c r="H4930" s="10" t="n">
        <f aca="false">F4930*G4930</f>
        <v>1080</v>
      </c>
      <c r="I4930" s="6" t="s">
        <v>5125</v>
      </c>
    </row>
    <row r="4931" customFormat="false" ht="15" hidden="false" customHeight="false" outlineLevel="0" collapsed="false">
      <c r="A4931" s="6" t="s">
        <v>10155</v>
      </c>
      <c r="B4931" s="6" t="s">
        <v>4273</v>
      </c>
      <c r="C4931" s="26" t="n">
        <v>46181</v>
      </c>
      <c r="D4931" s="6" t="s">
        <v>5121</v>
      </c>
      <c r="E4931" s="6" t="s">
        <v>22</v>
      </c>
      <c r="F4931" s="6" t="n">
        <v>2</v>
      </c>
      <c r="G4931" s="10" t="n">
        <v>977</v>
      </c>
      <c r="H4931" s="10" t="n">
        <f aca="false">F4931*G4931</f>
        <v>1954</v>
      </c>
      <c r="I4931" s="6" t="s">
        <v>5173</v>
      </c>
    </row>
    <row r="4932" customFormat="false" ht="15" hidden="false" customHeight="false" outlineLevel="0" collapsed="false">
      <c r="A4932" s="6" t="s">
        <v>10156</v>
      </c>
      <c r="B4932" s="6" t="s">
        <v>4617</v>
      </c>
      <c r="C4932" s="26" t="n">
        <v>46181</v>
      </c>
      <c r="D4932" s="6" t="s">
        <v>5163</v>
      </c>
      <c r="E4932" s="6" t="s">
        <v>23</v>
      </c>
      <c r="F4932" s="6" t="n">
        <v>5</v>
      </c>
      <c r="G4932" s="10" t="n">
        <v>744</v>
      </c>
      <c r="H4932" s="10" t="n">
        <f aca="false">F4932*G4932</f>
        <v>3720</v>
      </c>
      <c r="I4932" s="6" t="s">
        <v>5148</v>
      </c>
    </row>
    <row r="4933" customFormat="false" ht="15" hidden="false" customHeight="false" outlineLevel="0" collapsed="false">
      <c r="A4933" s="6" t="s">
        <v>10157</v>
      </c>
      <c r="B4933" s="6" t="s">
        <v>3759</v>
      </c>
      <c r="C4933" s="26" t="n">
        <v>46181</v>
      </c>
      <c r="D4933" s="6" t="s">
        <v>5167</v>
      </c>
      <c r="E4933" s="6" t="s">
        <v>22</v>
      </c>
      <c r="F4933" s="6" t="n">
        <v>2</v>
      </c>
      <c r="G4933" s="10" t="n">
        <v>782</v>
      </c>
      <c r="H4933" s="10" t="n">
        <f aca="false">F4933*G4933</f>
        <v>1564</v>
      </c>
      <c r="I4933" s="6" t="s">
        <v>5122</v>
      </c>
    </row>
    <row r="4934" customFormat="false" ht="15" hidden="false" customHeight="false" outlineLevel="0" collapsed="false">
      <c r="A4934" s="6" t="s">
        <v>10158</v>
      </c>
      <c r="B4934" s="6" t="s">
        <v>1063</v>
      </c>
      <c r="C4934" s="26" t="n">
        <v>46181</v>
      </c>
      <c r="D4934" s="6" t="s">
        <v>5160</v>
      </c>
      <c r="E4934" s="6" t="s">
        <v>21</v>
      </c>
      <c r="F4934" s="6" t="n">
        <v>1</v>
      </c>
      <c r="G4934" s="10" t="n">
        <v>2751</v>
      </c>
      <c r="H4934" s="10" t="n">
        <f aca="false">F4934*G4934</f>
        <v>2751</v>
      </c>
      <c r="I4934" s="6" t="s">
        <v>5130</v>
      </c>
    </row>
    <row r="4935" customFormat="false" ht="15" hidden="false" customHeight="false" outlineLevel="0" collapsed="false">
      <c r="A4935" s="6" t="s">
        <v>10159</v>
      </c>
      <c r="B4935" s="6" t="s">
        <v>136</v>
      </c>
      <c r="C4935" s="26" t="n">
        <v>46181</v>
      </c>
      <c r="D4935" s="6" t="s">
        <v>5398</v>
      </c>
      <c r="E4935" s="6" t="s">
        <v>24</v>
      </c>
      <c r="F4935" s="6" t="n">
        <v>1</v>
      </c>
      <c r="G4935" s="10" t="n">
        <v>549</v>
      </c>
      <c r="H4935" s="10" t="n">
        <f aca="false">F4935*G4935</f>
        <v>549</v>
      </c>
      <c r="I4935" s="6" t="s">
        <v>5148</v>
      </c>
    </row>
    <row r="4936" customFormat="false" ht="15" hidden="false" customHeight="false" outlineLevel="0" collapsed="false">
      <c r="A4936" s="6" t="s">
        <v>10160</v>
      </c>
      <c r="B4936" s="6" t="s">
        <v>791</v>
      </c>
      <c r="C4936" s="26" t="n">
        <v>46181</v>
      </c>
      <c r="D4936" s="6" t="s">
        <v>5165</v>
      </c>
      <c r="E4936" s="6" t="s">
        <v>22</v>
      </c>
      <c r="F4936" s="6" t="n">
        <v>1</v>
      </c>
      <c r="G4936" s="10" t="n">
        <v>977</v>
      </c>
      <c r="H4936" s="10" t="n">
        <f aca="false">F4936*G4936</f>
        <v>977</v>
      </c>
      <c r="I4936" s="6" t="s">
        <v>5148</v>
      </c>
    </row>
    <row r="4937" customFormat="false" ht="15" hidden="false" customHeight="false" outlineLevel="0" collapsed="false">
      <c r="A4937" s="6" t="s">
        <v>10161</v>
      </c>
      <c r="B4937" s="6" t="s">
        <v>1425</v>
      </c>
      <c r="C4937" s="26" t="n">
        <v>46181</v>
      </c>
      <c r="D4937" s="6" t="s">
        <v>5235</v>
      </c>
      <c r="E4937" s="6" t="s">
        <v>21</v>
      </c>
      <c r="F4937" s="6" t="n">
        <v>1</v>
      </c>
      <c r="G4937" s="10" t="n">
        <v>1586</v>
      </c>
      <c r="H4937" s="10" t="n">
        <f aca="false">F4937*G4937</f>
        <v>1586</v>
      </c>
      <c r="I4937" s="6" t="s">
        <v>5122</v>
      </c>
    </row>
    <row r="4938" customFormat="false" ht="15" hidden="false" customHeight="false" outlineLevel="0" collapsed="false">
      <c r="A4938" s="6" t="s">
        <v>10162</v>
      </c>
      <c r="B4938" s="6" t="s">
        <v>4765</v>
      </c>
      <c r="C4938" s="26" t="n">
        <v>46181</v>
      </c>
      <c r="D4938" s="6" t="s">
        <v>5167</v>
      </c>
      <c r="E4938" s="6" t="s">
        <v>22</v>
      </c>
      <c r="F4938" s="6" t="n">
        <v>1</v>
      </c>
      <c r="G4938" s="10" t="n">
        <v>781</v>
      </c>
      <c r="H4938" s="10" t="n">
        <f aca="false">F4938*G4938</f>
        <v>781</v>
      </c>
      <c r="I4938" s="6" t="s">
        <v>5173</v>
      </c>
    </row>
    <row r="4939" customFormat="false" ht="15" hidden="false" customHeight="false" outlineLevel="0" collapsed="false">
      <c r="A4939" s="6" t="s">
        <v>10163</v>
      </c>
      <c r="B4939" s="6" t="s">
        <v>3275</v>
      </c>
      <c r="C4939" s="26" t="n">
        <v>46181</v>
      </c>
      <c r="D4939" s="6" t="s">
        <v>5121</v>
      </c>
      <c r="E4939" s="6" t="s">
        <v>22</v>
      </c>
      <c r="F4939" s="6" t="n">
        <v>2</v>
      </c>
      <c r="G4939" s="10" t="n">
        <v>928</v>
      </c>
      <c r="H4939" s="10" t="n">
        <f aca="false">F4939*G4939</f>
        <v>1856</v>
      </c>
      <c r="I4939" s="6" t="s">
        <v>5130</v>
      </c>
    </row>
    <row r="4940" customFormat="false" ht="15" hidden="false" customHeight="false" outlineLevel="0" collapsed="false">
      <c r="A4940" s="6" t="s">
        <v>10164</v>
      </c>
      <c r="B4940" s="6" t="s">
        <v>2611</v>
      </c>
      <c r="C4940" s="26" t="n">
        <v>46181</v>
      </c>
      <c r="D4940" s="6" t="s">
        <v>5165</v>
      </c>
      <c r="E4940" s="6" t="s">
        <v>22</v>
      </c>
      <c r="F4940" s="6" t="n">
        <v>2</v>
      </c>
      <c r="G4940" s="10" t="n">
        <v>880</v>
      </c>
      <c r="H4940" s="10" t="n">
        <f aca="false">F4940*G4940</f>
        <v>1760</v>
      </c>
      <c r="I4940" s="6" t="s">
        <v>5125</v>
      </c>
    </row>
    <row r="4941" customFormat="false" ht="15" hidden="false" customHeight="false" outlineLevel="0" collapsed="false">
      <c r="A4941" s="6" t="s">
        <v>10165</v>
      </c>
      <c r="B4941" s="6" t="s">
        <v>4637</v>
      </c>
      <c r="C4941" s="26" t="n">
        <v>46181</v>
      </c>
      <c r="D4941" s="6" t="s">
        <v>5167</v>
      </c>
      <c r="E4941" s="6" t="s">
        <v>22</v>
      </c>
      <c r="F4941" s="6" t="n">
        <v>1</v>
      </c>
      <c r="G4941" s="10" t="n">
        <v>703</v>
      </c>
      <c r="H4941" s="10" t="n">
        <f aca="false">F4941*G4941</f>
        <v>703</v>
      </c>
      <c r="I4941" s="6" t="s">
        <v>5122</v>
      </c>
    </row>
    <row r="4942" customFormat="false" ht="15" hidden="false" customHeight="false" outlineLevel="0" collapsed="false">
      <c r="A4942" s="6" t="s">
        <v>10166</v>
      </c>
      <c r="B4942" s="6" t="s">
        <v>209</v>
      </c>
      <c r="C4942" s="26" t="n">
        <v>46181</v>
      </c>
      <c r="D4942" s="6" t="s">
        <v>5357</v>
      </c>
      <c r="E4942" s="6" t="s">
        <v>23</v>
      </c>
      <c r="F4942" s="6" t="n">
        <v>2</v>
      </c>
      <c r="G4942" s="10" t="n">
        <v>481</v>
      </c>
      <c r="H4942" s="10" t="n">
        <f aca="false">F4942*G4942</f>
        <v>962</v>
      </c>
      <c r="I4942" s="6" t="s">
        <v>5125</v>
      </c>
    </row>
    <row r="4943" customFormat="false" ht="15" hidden="false" customHeight="false" outlineLevel="0" collapsed="false">
      <c r="A4943" s="6" t="s">
        <v>10167</v>
      </c>
      <c r="B4943" s="6" t="s">
        <v>1075</v>
      </c>
      <c r="C4943" s="26" t="n">
        <v>46181</v>
      </c>
      <c r="D4943" s="6" t="s">
        <v>5216</v>
      </c>
      <c r="E4943" s="6" t="s">
        <v>23</v>
      </c>
      <c r="F4943" s="6" t="n">
        <v>2</v>
      </c>
      <c r="G4943" s="10" t="n">
        <v>587</v>
      </c>
      <c r="H4943" s="10" t="n">
        <f aca="false">F4943*G4943</f>
        <v>1174</v>
      </c>
      <c r="I4943" s="6" t="s">
        <v>5148</v>
      </c>
    </row>
    <row r="4944" customFormat="false" ht="15" hidden="false" customHeight="false" outlineLevel="0" collapsed="false">
      <c r="A4944" s="6" t="s">
        <v>10168</v>
      </c>
      <c r="B4944" s="6" t="s">
        <v>4057</v>
      </c>
      <c r="C4944" s="26" t="n">
        <v>46181</v>
      </c>
      <c r="D4944" s="6" t="s">
        <v>5290</v>
      </c>
      <c r="E4944" s="6" t="s">
        <v>23</v>
      </c>
      <c r="F4944" s="6" t="n">
        <v>2</v>
      </c>
      <c r="G4944" s="10" t="n">
        <v>112</v>
      </c>
      <c r="H4944" s="10" t="n">
        <f aca="false">F4944*G4944</f>
        <v>224</v>
      </c>
      <c r="I4944" s="6" t="s">
        <v>5122</v>
      </c>
    </row>
    <row r="4945" customFormat="false" ht="15" hidden="false" customHeight="false" outlineLevel="0" collapsed="false">
      <c r="A4945" s="6" t="s">
        <v>10169</v>
      </c>
      <c r="B4945" s="6" t="s">
        <v>571</v>
      </c>
      <c r="C4945" s="26" t="n">
        <v>46181</v>
      </c>
      <c r="D4945" s="6" t="s">
        <v>6114</v>
      </c>
      <c r="E4945" s="6" t="s">
        <v>20</v>
      </c>
      <c r="F4945" s="6" t="n">
        <v>1</v>
      </c>
      <c r="G4945" s="10" t="n">
        <v>13256</v>
      </c>
      <c r="H4945" s="10" t="n">
        <f aca="false">F4945*G4945</f>
        <v>13256</v>
      </c>
      <c r="I4945" s="6" t="s">
        <v>5125</v>
      </c>
    </row>
    <row r="4946" customFormat="false" ht="15" hidden="false" customHeight="false" outlineLevel="0" collapsed="false">
      <c r="A4946" s="6" t="s">
        <v>10170</v>
      </c>
      <c r="B4946" s="6" t="s">
        <v>599</v>
      </c>
      <c r="C4946" s="26" t="n">
        <v>46181</v>
      </c>
      <c r="D4946" s="6" t="s">
        <v>5147</v>
      </c>
      <c r="E4946" s="6" t="s">
        <v>24</v>
      </c>
      <c r="F4946" s="6" t="n">
        <v>1</v>
      </c>
      <c r="G4946" s="10" t="n">
        <v>595</v>
      </c>
      <c r="H4946" s="10" t="n">
        <f aca="false">F4946*G4946</f>
        <v>595</v>
      </c>
      <c r="I4946" s="6" t="s">
        <v>5133</v>
      </c>
    </row>
    <row r="4947" customFormat="false" ht="15" hidden="false" customHeight="false" outlineLevel="0" collapsed="false">
      <c r="A4947" s="6" t="s">
        <v>10171</v>
      </c>
      <c r="B4947" s="6" t="s">
        <v>2357</v>
      </c>
      <c r="C4947" s="26" t="n">
        <v>46181</v>
      </c>
      <c r="D4947" s="6" t="s">
        <v>5345</v>
      </c>
      <c r="E4947" s="6" t="s">
        <v>23</v>
      </c>
      <c r="F4947" s="6" t="n">
        <v>2</v>
      </c>
      <c r="G4947" s="10" t="n">
        <v>436</v>
      </c>
      <c r="H4947" s="10" t="n">
        <f aca="false">F4947*G4947</f>
        <v>872</v>
      </c>
      <c r="I4947" s="6" t="s">
        <v>5130</v>
      </c>
    </row>
    <row r="4948" customFormat="false" ht="15" hidden="false" customHeight="false" outlineLevel="0" collapsed="false">
      <c r="A4948" s="6" t="s">
        <v>10172</v>
      </c>
      <c r="B4948" s="6" t="s">
        <v>3071</v>
      </c>
      <c r="C4948" s="26" t="n">
        <v>46181</v>
      </c>
      <c r="D4948" s="6" t="s">
        <v>5129</v>
      </c>
      <c r="E4948" s="6" t="s">
        <v>21</v>
      </c>
      <c r="F4948" s="6" t="n">
        <v>1</v>
      </c>
      <c r="G4948" s="10" t="n">
        <v>530</v>
      </c>
      <c r="H4948" s="10" t="n">
        <f aca="false">F4948*G4948</f>
        <v>530</v>
      </c>
      <c r="I4948" s="6" t="s">
        <v>5130</v>
      </c>
    </row>
    <row r="4949" customFormat="false" ht="15" hidden="false" customHeight="false" outlineLevel="0" collapsed="false">
      <c r="A4949" s="6" t="s">
        <v>10173</v>
      </c>
      <c r="B4949" s="6" t="s">
        <v>2735</v>
      </c>
      <c r="C4949" s="26" t="n">
        <v>46181</v>
      </c>
      <c r="D4949" s="6" t="s">
        <v>5154</v>
      </c>
      <c r="E4949" s="6" t="s">
        <v>21</v>
      </c>
      <c r="F4949" s="6" t="n">
        <v>1</v>
      </c>
      <c r="G4949" s="10" t="n">
        <v>785</v>
      </c>
      <c r="H4949" s="10" t="n">
        <f aca="false">F4949*G4949</f>
        <v>785</v>
      </c>
      <c r="I4949" s="6" t="s">
        <v>5122</v>
      </c>
    </row>
    <row r="4950" customFormat="false" ht="15" hidden="false" customHeight="false" outlineLevel="0" collapsed="false">
      <c r="A4950" s="6" t="s">
        <v>10174</v>
      </c>
      <c r="B4950" s="6" t="s">
        <v>4183</v>
      </c>
      <c r="C4950" s="26" t="n">
        <v>46181</v>
      </c>
      <c r="D4950" s="6" t="s">
        <v>5237</v>
      </c>
      <c r="E4950" s="6" t="s">
        <v>24</v>
      </c>
      <c r="F4950" s="6" t="n">
        <v>2</v>
      </c>
      <c r="G4950" s="10" t="n">
        <v>1833</v>
      </c>
      <c r="H4950" s="10" t="n">
        <f aca="false">F4950*G4950</f>
        <v>3666</v>
      </c>
      <c r="I4950" s="6" t="s">
        <v>5125</v>
      </c>
    </row>
    <row r="4951" customFormat="false" ht="15" hidden="false" customHeight="false" outlineLevel="0" collapsed="false">
      <c r="A4951" s="6" t="s">
        <v>10175</v>
      </c>
      <c r="B4951" s="6" t="s">
        <v>4847</v>
      </c>
      <c r="C4951" s="26" t="n">
        <v>46181</v>
      </c>
      <c r="D4951" s="6" t="s">
        <v>5145</v>
      </c>
      <c r="E4951" s="6" t="s">
        <v>21</v>
      </c>
      <c r="F4951" s="6" t="n">
        <v>2</v>
      </c>
      <c r="G4951" s="10" t="n">
        <v>1277</v>
      </c>
      <c r="H4951" s="10" t="n">
        <f aca="false">F4951*G4951</f>
        <v>2554</v>
      </c>
      <c r="I4951" s="6" t="s">
        <v>5130</v>
      </c>
    </row>
    <row r="4952" customFormat="false" ht="15" hidden="false" customHeight="false" outlineLevel="0" collapsed="false">
      <c r="A4952" s="6" t="s">
        <v>10176</v>
      </c>
      <c r="B4952" s="6" t="s">
        <v>1571</v>
      </c>
      <c r="C4952" s="26" t="n">
        <v>46181</v>
      </c>
      <c r="D4952" s="6" t="s">
        <v>5269</v>
      </c>
      <c r="E4952" s="6" t="s">
        <v>22</v>
      </c>
      <c r="F4952" s="6" t="n">
        <v>1</v>
      </c>
      <c r="G4952" s="10" t="n">
        <v>1271</v>
      </c>
      <c r="H4952" s="10" t="n">
        <f aca="false">F4952*G4952</f>
        <v>1271</v>
      </c>
      <c r="I4952" s="6" t="s">
        <v>5148</v>
      </c>
    </row>
    <row r="4953" customFormat="false" ht="15" hidden="false" customHeight="false" outlineLevel="0" collapsed="false">
      <c r="A4953" s="6" t="s">
        <v>10177</v>
      </c>
      <c r="B4953" s="6" t="s">
        <v>593</v>
      </c>
      <c r="C4953" s="26" t="n">
        <v>46181</v>
      </c>
      <c r="D4953" s="6" t="s">
        <v>5383</v>
      </c>
      <c r="E4953" s="6" t="s">
        <v>20</v>
      </c>
      <c r="F4953" s="6" t="n">
        <v>1</v>
      </c>
      <c r="G4953" s="10" t="n">
        <v>1121</v>
      </c>
      <c r="H4953" s="10" t="n">
        <f aca="false">F4953*G4953</f>
        <v>1121</v>
      </c>
      <c r="I4953" s="6" t="s">
        <v>5148</v>
      </c>
    </row>
    <row r="4954" customFormat="false" ht="15" hidden="false" customHeight="false" outlineLevel="0" collapsed="false">
      <c r="A4954" s="6" t="s">
        <v>10178</v>
      </c>
      <c r="B4954" s="6" t="s">
        <v>4945</v>
      </c>
      <c r="C4954" s="26" t="n">
        <v>46181</v>
      </c>
      <c r="D4954" s="6" t="s">
        <v>5121</v>
      </c>
      <c r="E4954" s="6" t="s">
        <v>22</v>
      </c>
      <c r="F4954" s="6" t="n">
        <v>3</v>
      </c>
      <c r="G4954" s="10" t="n">
        <v>880</v>
      </c>
      <c r="H4954" s="10" t="n">
        <f aca="false">F4954*G4954</f>
        <v>2640</v>
      </c>
      <c r="I4954" s="6" t="s">
        <v>5133</v>
      </c>
    </row>
    <row r="4955" customFormat="false" ht="15" hidden="false" customHeight="false" outlineLevel="0" collapsed="false">
      <c r="A4955" s="6" t="s">
        <v>10179</v>
      </c>
      <c r="B4955" s="6" t="s">
        <v>1369</v>
      </c>
      <c r="C4955" s="26" t="n">
        <v>46181</v>
      </c>
      <c r="D4955" s="6" t="s">
        <v>5683</v>
      </c>
      <c r="E4955" s="6" t="s">
        <v>22</v>
      </c>
      <c r="F4955" s="6" t="n">
        <v>2</v>
      </c>
      <c r="G4955" s="10" t="n">
        <v>1760</v>
      </c>
      <c r="H4955" s="10" t="n">
        <f aca="false">F4955*G4955</f>
        <v>3520</v>
      </c>
      <c r="I4955" s="6" t="s">
        <v>5148</v>
      </c>
    </row>
    <row r="4956" customFormat="false" ht="15" hidden="false" customHeight="false" outlineLevel="0" collapsed="false">
      <c r="A4956" s="6" t="s">
        <v>10180</v>
      </c>
      <c r="B4956" s="6" t="s">
        <v>2849</v>
      </c>
      <c r="C4956" s="26" t="n">
        <v>46181</v>
      </c>
      <c r="D4956" s="6" t="s">
        <v>5129</v>
      </c>
      <c r="E4956" s="6" t="s">
        <v>21</v>
      </c>
      <c r="F4956" s="6" t="n">
        <v>1</v>
      </c>
      <c r="G4956" s="10" t="n">
        <v>530</v>
      </c>
      <c r="H4956" s="10" t="n">
        <f aca="false">F4956*G4956</f>
        <v>530</v>
      </c>
      <c r="I4956" s="6" t="s">
        <v>5148</v>
      </c>
    </row>
    <row r="4957" customFormat="false" ht="15" hidden="false" customHeight="false" outlineLevel="0" collapsed="false">
      <c r="A4957" s="6" t="s">
        <v>10181</v>
      </c>
      <c r="B4957" s="6" t="s">
        <v>1403</v>
      </c>
      <c r="C4957" s="26" t="n">
        <v>46181</v>
      </c>
      <c r="D4957" s="6" t="s">
        <v>5298</v>
      </c>
      <c r="E4957" s="6" t="s">
        <v>23</v>
      </c>
      <c r="F4957" s="6" t="n">
        <v>3</v>
      </c>
      <c r="G4957" s="10" t="n">
        <v>278</v>
      </c>
      <c r="H4957" s="10" t="n">
        <f aca="false">F4957*G4957</f>
        <v>834</v>
      </c>
      <c r="I4957" s="6" t="s">
        <v>5130</v>
      </c>
    </row>
    <row r="4958" customFormat="false" ht="15" hidden="false" customHeight="false" outlineLevel="0" collapsed="false">
      <c r="A4958" s="6" t="s">
        <v>10182</v>
      </c>
      <c r="B4958" s="6" t="s">
        <v>2665</v>
      </c>
      <c r="C4958" s="26" t="n">
        <v>46181</v>
      </c>
      <c r="D4958" s="6" t="s">
        <v>5167</v>
      </c>
      <c r="E4958" s="6" t="s">
        <v>22</v>
      </c>
      <c r="F4958" s="6" t="n">
        <v>2</v>
      </c>
      <c r="G4958" s="10" t="n">
        <v>782</v>
      </c>
      <c r="H4958" s="10" t="n">
        <f aca="false">F4958*G4958</f>
        <v>1564</v>
      </c>
      <c r="I4958" s="6" t="s">
        <v>5125</v>
      </c>
    </row>
    <row r="4959" customFormat="false" ht="15" hidden="false" customHeight="false" outlineLevel="0" collapsed="false">
      <c r="A4959" s="6" t="s">
        <v>10183</v>
      </c>
      <c r="B4959" s="6" t="s">
        <v>457</v>
      </c>
      <c r="C4959" s="26" t="n">
        <v>46181</v>
      </c>
      <c r="D4959" s="6" t="s">
        <v>5124</v>
      </c>
      <c r="E4959" s="6" t="s">
        <v>21</v>
      </c>
      <c r="F4959" s="6" t="n">
        <v>1</v>
      </c>
      <c r="G4959" s="10" t="n">
        <v>3439</v>
      </c>
      <c r="H4959" s="10" t="n">
        <f aca="false">F4959*G4959</f>
        <v>3439</v>
      </c>
      <c r="I4959" s="6" t="s">
        <v>5125</v>
      </c>
    </row>
    <row r="4960" customFormat="false" ht="15" hidden="false" customHeight="false" outlineLevel="0" collapsed="false">
      <c r="A4960" s="6" t="s">
        <v>10184</v>
      </c>
      <c r="B4960" s="6" t="s">
        <v>1985</v>
      </c>
      <c r="C4960" s="26" t="n">
        <v>46181</v>
      </c>
      <c r="D4960" s="6" t="s">
        <v>5357</v>
      </c>
      <c r="E4960" s="6" t="s">
        <v>23</v>
      </c>
      <c r="F4960" s="6" t="n">
        <v>3</v>
      </c>
      <c r="G4960" s="10" t="n">
        <v>507</v>
      </c>
      <c r="H4960" s="10" t="n">
        <f aca="false">F4960*G4960</f>
        <v>1521</v>
      </c>
      <c r="I4960" s="6" t="s">
        <v>5122</v>
      </c>
    </row>
    <row r="4961" customFormat="false" ht="15" hidden="false" customHeight="false" outlineLevel="0" collapsed="false">
      <c r="A4961" s="6" t="s">
        <v>10185</v>
      </c>
      <c r="B4961" s="6" t="s">
        <v>160</v>
      </c>
      <c r="C4961" s="26" t="n">
        <v>46182</v>
      </c>
      <c r="D4961" s="6" t="s">
        <v>5165</v>
      </c>
      <c r="E4961" s="6" t="s">
        <v>22</v>
      </c>
      <c r="F4961" s="6" t="n">
        <v>2</v>
      </c>
      <c r="G4961" s="10" t="n">
        <v>977</v>
      </c>
      <c r="H4961" s="10" t="n">
        <f aca="false">F4961*G4961</f>
        <v>1954</v>
      </c>
      <c r="I4961" s="6" t="s">
        <v>5122</v>
      </c>
    </row>
    <row r="4962" customFormat="false" ht="15" hidden="false" customHeight="false" outlineLevel="0" collapsed="false">
      <c r="A4962" s="6" t="s">
        <v>10186</v>
      </c>
      <c r="B4962" s="6" t="s">
        <v>537</v>
      </c>
      <c r="C4962" s="26" t="n">
        <v>46182</v>
      </c>
      <c r="D4962" s="6" t="s">
        <v>5269</v>
      </c>
      <c r="E4962" s="6" t="s">
        <v>22</v>
      </c>
      <c r="F4962" s="6" t="n">
        <v>1</v>
      </c>
      <c r="G4962" s="10" t="n">
        <v>1143</v>
      </c>
      <c r="H4962" s="10" t="n">
        <f aca="false">F4962*G4962</f>
        <v>1143</v>
      </c>
      <c r="I4962" s="6" t="s">
        <v>5148</v>
      </c>
    </row>
    <row r="4963" customFormat="false" ht="15" hidden="false" customHeight="false" outlineLevel="0" collapsed="false">
      <c r="A4963" s="6" t="s">
        <v>10187</v>
      </c>
      <c r="B4963" s="6" t="s">
        <v>2515</v>
      </c>
      <c r="C4963" s="26" t="n">
        <v>46182</v>
      </c>
      <c r="D4963" s="6" t="s">
        <v>5237</v>
      </c>
      <c r="E4963" s="6" t="s">
        <v>24</v>
      </c>
      <c r="F4963" s="6" t="n">
        <v>1</v>
      </c>
      <c r="G4963" s="10" t="n">
        <v>1741</v>
      </c>
      <c r="H4963" s="10" t="n">
        <f aca="false">F4963*G4963</f>
        <v>1741</v>
      </c>
      <c r="I4963" s="6" t="s">
        <v>5122</v>
      </c>
    </row>
    <row r="4964" customFormat="false" ht="15" hidden="false" customHeight="false" outlineLevel="0" collapsed="false">
      <c r="A4964" s="6" t="s">
        <v>10188</v>
      </c>
      <c r="B4964" s="6" t="s">
        <v>4325</v>
      </c>
      <c r="C4964" s="26" t="n">
        <v>46182</v>
      </c>
      <c r="D4964" s="6" t="s">
        <v>5237</v>
      </c>
      <c r="E4964" s="6" t="s">
        <v>24</v>
      </c>
      <c r="F4964" s="6" t="n">
        <v>2</v>
      </c>
      <c r="G4964" s="10" t="n">
        <v>1833</v>
      </c>
      <c r="H4964" s="10" t="n">
        <f aca="false">F4964*G4964</f>
        <v>3666</v>
      </c>
      <c r="I4964" s="6" t="s">
        <v>5130</v>
      </c>
    </row>
    <row r="4965" customFormat="false" ht="15" hidden="false" customHeight="false" outlineLevel="0" collapsed="false">
      <c r="A4965" s="6" t="s">
        <v>10189</v>
      </c>
      <c r="B4965" s="6" t="s">
        <v>3163</v>
      </c>
      <c r="C4965" s="26" t="n">
        <v>46182</v>
      </c>
      <c r="D4965" s="6" t="s">
        <v>5135</v>
      </c>
      <c r="E4965" s="6" t="s">
        <v>23</v>
      </c>
      <c r="F4965" s="6" t="n">
        <v>4</v>
      </c>
      <c r="G4965" s="10" t="n">
        <v>441</v>
      </c>
      <c r="H4965" s="10" t="n">
        <f aca="false">F4965*G4965</f>
        <v>1764</v>
      </c>
      <c r="I4965" s="6" t="s">
        <v>5122</v>
      </c>
    </row>
    <row r="4966" customFormat="false" ht="15" hidden="false" customHeight="false" outlineLevel="0" collapsed="false">
      <c r="A4966" s="6" t="s">
        <v>10190</v>
      </c>
      <c r="B4966" s="6" t="s">
        <v>923</v>
      </c>
      <c r="C4966" s="26" t="n">
        <v>46182</v>
      </c>
      <c r="D4966" s="6" t="s">
        <v>5121</v>
      </c>
      <c r="E4966" s="6" t="s">
        <v>22</v>
      </c>
      <c r="F4966" s="6" t="n">
        <v>2</v>
      </c>
      <c r="G4966" s="10" t="n">
        <v>977</v>
      </c>
      <c r="H4966" s="10" t="n">
        <f aca="false">F4966*G4966</f>
        <v>1954</v>
      </c>
      <c r="I4966" s="6" t="s">
        <v>5130</v>
      </c>
    </row>
    <row r="4967" customFormat="false" ht="15" hidden="false" customHeight="false" outlineLevel="0" collapsed="false">
      <c r="A4967" s="6" t="s">
        <v>10191</v>
      </c>
      <c r="B4967" s="6" t="s">
        <v>3987</v>
      </c>
      <c r="C4967" s="26" t="n">
        <v>46182</v>
      </c>
      <c r="D4967" s="6" t="s">
        <v>5305</v>
      </c>
      <c r="E4967" s="6" t="s">
        <v>20</v>
      </c>
      <c r="F4967" s="6" t="n">
        <v>1</v>
      </c>
      <c r="G4967" s="10" t="n">
        <v>1630</v>
      </c>
      <c r="H4967" s="10" t="n">
        <f aca="false">F4967*G4967</f>
        <v>1630</v>
      </c>
      <c r="I4967" s="6" t="s">
        <v>5125</v>
      </c>
    </row>
    <row r="4968" customFormat="false" ht="15" hidden="false" customHeight="false" outlineLevel="0" collapsed="false">
      <c r="A4968" s="6" t="s">
        <v>10192</v>
      </c>
      <c r="B4968" s="6" t="s">
        <v>3903</v>
      </c>
      <c r="C4968" s="26" t="n">
        <v>46182</v>
      </c>
      <c r="D4968" s="6" t="s">
        <v>5202</v>
      </c>
      <c r="E4968" s="6" t="s">
        <v>23</v>
      </c>
      <c r="F4968" s="6" t="n">
        <v>2</v>
      </c>
      <c r="G4968" s="10" t="n">
        <v>245</v>
      </c>
      <c r="H4968" s="10" t="n">
        <f aca="false">F4968*G4968</f>
        <v>490</v>
      </c>
      <c r="I4968" s="6" t="s">
        <v>5122</v>
      </c>
    </row>
    <row r="4969" customFormat="false" ht="15" hidden="false" customHeight="false" outlineLevel="0" collapsed="false">
      <c r="A4969" s="6" t="s">
        <v>10193</v>
      </c>
      <c r="B4969" s="6" t="s">
        <v>4653</v>
      </c>
      <c r="C4969" s="26" t="n">
        <v>46182</v>
      </c>
      <c r="D4969" s="6" t="s">
        <v>5190</v>
      </c>
      <c r="E4969" s="6" t="s">
        <v>24</v>
      </c>
      <c r="F4969" s="6" t="n">
        <v>3</v>
      </c>
      <c r="G4969" s="10" t="n">
        <v>580</v>
      </c>
      <c r="H4969" s="10" t="n">
        <f aca="false">F4969*G4969</f>
        <v>1740</v>
      </c>
      <c r="I4969" s="6" t="s">
        <v>5122</v>
      </c>
    </row>
    <row r="4970" customFormat="false" ht="15" hidden="false" customHeight="false" outlineLevel="0" collapsed="false">
      <c r="A4970" s="6" t="s">
        <v>10194</v>
      </c>
      <c r="B4970" s="6" t="s">
        <v>3743</v>
      </c>
      <c r="C4970" s="26" t="n">
        <v>46182</v>
      </c>
      <c r="D4970" s="6" t="s">
        <v>5143</v>
      </c>
      <c r="E4970" s="6" t="s">
        <v>21</v>
      </c>
      <c r="F4970" s="6" t="n">
        <v>1</v>
      </c>
      <c r="G4970" s="10" t="n">
        <v>1179</v>
      </c>
      <c r="H4970" s="10" t="n">
        <f aca="false">F4970*G4970</f>
        <v>1179</v>
      </c>
      <c r="I4970" s="6" t="s">
        <v>5122</v>
      </c>
    </row>
    <row r="4971" customFormat="false" ht="15" hidden="false" customHeight="false" outlineLevel="0" collapsed="false">
      <c r="A4971" s="6" t="s">
        <v>10195</v>
      </c>
      <c r="B4971" s="6" t="s">
        <v>791</v>
      </c>
      <c r="C4971" s="26" t="n">
        <v>46182</v>
      </c>
      <c r="D4971" s="6" t="s">
        <v>5353</v>
      </c>
      <c r="E4971" s="6" t="s">
        <v>24</v>
      </c>
      <c r="F4971" s="6" t="n">
        <v>1</v>
      </c>
      <c r="G4971" s="10" t="n">
        <v>1629</v>
      </c>
      <c r="H4971" s="10" t="n">
        <f aca="false">F4971*G4971</f>
        <v>1629</v>
      </c>
      <c r="I4971" s="6" t="s">
        <v>5148</v>
      </c>
    </row>
    <row r="4972" customFormat="false" ht="15" hidden="false" customHeight="false" outlineLevel="0" collapsed="false">
      <c r="A4972" s="6" t="s">
        <v>10196</v>
      </c>
      <c r="B4972" s="6" t="s">
        <v>4761</v>
      </c>
      <c r="C4972" s="26" t="n">
        <v>46182</v>
      </c>
      <c r="D4972" s="6" t="s">
        <v>5167</v>
      </c>
      <c r="E4972" s="6" t="s">
        <v>22</v>
      </c>
      <c r="F4972" s="6" t="n">
        <v>2</v>
      </c>
      <c r="G4972" s="10" t="n">
        <v>782</v>
      </c>
      <c r="H4972" s="10" t="n">
        <f aca="false">F4972*G4972</f>
        <v>1564</v>
      </c>
      <c r="I4972" s="6" t="s">
        <v>5148</v>
      </c>
    </row>
    <row r="4973" customFormat="false" ht="15" hidden="false" customHeight="false" outlineLevel="0" collapsed="false">
      <c r="A4973" s="6" t="s">
        <v>10197</v>
      </c>
      <c r="B4973" s="6" t="s">
        <v>5061</v>
      </c>
      <c r="C4973" s="26" t="n">
        <v>46182</v>
      </c>
      <c r="D4973" s="6" t="s">
        <v>5200</v>
      </c>
      <c r="E4973" s="6" t="s">
        <v>24</v>
      </c>
      <c r="F4973" s="6" t="n">
        <v>1</v>
      </c>
      <c r="G4973" s="10" t="n">
        <v>687</v>
      </c>
      <c r="H4973" s="10" t="n">
        <f aca="false">F4973*G4973</f>
        <v>687</v>
      </c>
      <c r="I4973" s="6" t="s">
        <v>5133</v>
      </c>
    </row>
    <row r="4974" customFormat="false" ht="15" hidden="false" customHeight="false" outlineLevel="0" collapsed="false">
      <c r="A4974" s="6" t="s">
        <v>10198</v>
      </c>
      <c r="B4974" s="6" t="s">
        <v>4179</v>
      </c>
      <c r="C4974" s="26" t="n">
        <v>46182</v>
      </c>
      <c r="D4974" s="6" t="s">
        <v>5561</v>
      </c>
      <c r="E4974" s="6" t="s">
        <v>20</v>
      </c>
      <c r="F4974" s="6" t="n">
        <v>1</v>
      </c>
      <c r="G4974" s="10" t="n">
        <v>3364</v>
      </c>
      <c r="H4974" s="10" t="n">
        <f aca="false">F4974*G4974</f>
        <v>3364</v>
      </c>
      <c r="I4974" s="6" t="s">
        <v>5173</v>
      </c>
    </row>
    <row r="4975" customFormat="false" ht="15" hidden="false" customHeight="false" outlineLevel="0" collapsed="false">
      <c r="A4975" s="6" t="s">
        <v>10199</v>
      </c>
      <c r="B4975" s="6" t="s">
        <v>449</v>
      </c>
      <c r="C4975" s="26" t="n">
        <v>46182</v>
      </c>
      <c r="D4975" s="6" t="s">
        <v>5137</v>
      </c>
      <c r="E4975" s="6" t="s">
        <v>21</v>
      </c>
      <c r="F4975" s="6" t="n">
        <v>1</v>
      </c>
      <c r="G4975" s="10" t="n">
        <v>1591</v>
      </c>
      <c r="H4975" s="10" t="n">
        <f aca="false">F4975*G4975</f>
        <v>1591</v>
      </c>
      <c r="I4975" s="6" t="s">
        <v>5130</v>
      </c>
    </row>
    <row r="4976" customFormat="false" ht="15" hidden="false" customHeight="false" outlineLevel="0" collapsed="false">
      <c r="A4976" s="6" t="s">
        <v>10200</v>
      </c>
      <c r="B4976" s="6" t="s">
        <v>1361</v>
      </c>
      <c r="C4976" s="26" t="n">
        <v>46182</v>
      </c>
      <c r="D4976" s="6" t="s">
        <v>5192</v>
      </c>
      <c r="E4976" s="6" t="s">
        <v>20</v>
      </c>
      <c r="F4976" s="6" t="n">
        <v>3</v>
      </c>
      <c r="G4976" s="10" t="n">
        <v>4078</v>
      </c>
      <c r="H4976" s="10" t="n">
        <f aca="false">F4976*G4976</f>
        <v>12234</v>
      </c>
      <c r="I4976" s="6" t="s">
        <v>5133</v>
      </c>
    </row>
    <row r="4977" customFormat="false" ht="15" hidden="false" customHeight="false" outlineLevel="0" collapsed="false">
      <c r="A4977" s="6" t="s">
        <v>10201</v>
      </c>
      <c r="B4977" s="6" t="s">
        <v>2881</v>
      </c>
      <c r="C4977" s="26" t="n">
        <v>46182</v>
      </c>
      <c r="D4977" s="6" t="s">
        <v>5216</v>
      </c>
      <c r="E4977" s="6" t="s">
        <v>23</v>
      </c>
      <c r="F4977" s="6" t="n">
        <v>2</v>
      </c>
      <c r="G4977" s="10" t="n">
        <v>587</v>
      </c>
      <c r="H4977" s="10" t="n">
        <f aca="false">F4977*G4977</f>
        <v>1174</v>
      </c>
      <c r="I4977" s="6" t="s">
        <v>5130</v>
      </c>
    </row>
    <row r="4978" customFormat="false" ht="15" hidden="false" customHeight="false" outlineLevel="0" collapsed="false">
      <c r="A4978" s="6" t="s">
        <v>10202</v>
      </c>
      <c r="B4978" s="6" t="s">
        <v>2839</v>
      </c>
      <c r="C4978" s="26" t="n">
        <v>46182</v>
      </c>
      <c r="D4978" s="6" t="s">
        <v>5290</v>
      </c>
      <c r="E4978" s="6" t="s">
        <v>23</v>
      </c>
      <c r="F4978" s="6" t="n">
        <v>1</v>
      </c>
      <c r="G4978" s="10" t="n">
        <v>118</v>
      </c>
      <c r="H4978" s="10" t="n">
        <f aca="false">F4978*G4978</f>
        <v>118</v>
      </c>
      <c r="I4978" s="6" t="s">
        <v>5133</v>
      </c>
    </row>
    <row r="4979" customFormat="false" ht="15" hidden="false" customHeight="false" outlineLevel="0" collapsed="false">
      <c r="A4979" s="6" t="s">
        <v>10203</v>
      </c>
      <c r="B4979" s="6" t="s">
        <v>4625</v>
      </c>
      <c r="C4979" s="26" t="n">
        <v>46182</v>
      </c>
      <c r="D4979" s="6" t="s">
        <v>5182</v>
      </c>
      <c r="E4979" s="6" t="s">
        <v>23</v>
      </c>
      <c r="F4979" s="6" t="n">
        <v>5</v>
      </c>
      <c r="G4979" s="10" t="n">
        <v>367</v>
      </c>
      <c r="H4979" s="10" t="n">
        <f aca="false">F4979*G4979</f>
        <v>1835</v>
      </c>
      <c r="I4979" s="6" t="s">
        <v>5122</v>
      </c>
    </row>
    <row r="4980" customFormat="false" ht="15" hidden="false" customHeight="false" outlineLevel="0" collapsed="false">
      <c r="A4980" s="6" t="s">
        <v>10204</v>
      </c>
      <c r="B4980" s="6" t="s">
        <v>4903</v>
      </c>
      <c r="C4980" s="26" t="n">
        <v>46182</v>
      </c>
      <c r="D4980" s="6" t="s">
        <v>5171</v>
      </c>
      <c r="E4980" s="6" t="s">
        <v>23</v>
      </c>
      <c r="F4980" s="6" t="n">
        <v>5</v>
      </c>
      <c r="G4980" s="10" t="n">
        <v>734</v>
      </c>
      <c r="H4980" s="10" t="n">
        <f aca="false">F4980*G4980</f>
        <v>3670</v>
      </c>
      <c r="I4980" s="6" t="s">
        <v>5130</v>
      </c>
    </row>
    <row r="4981" customFormat="false" ht="15" hidden="false" customHeight="false" outlineLevel="0" collapsed="false">
      <c r="A4981" s="6" t="s">
        <v>10205</v>
      </c>
      <c r="B4981" s="6" t="s">
        <v>3949</v>
      </c>
      <c r="C4981" s="26" t="n">
        <v>46182</v>
      </c>
      <c r="D4981" s="6" t="s">
        <v>5316</v>
      </c>
      <c r="E4981" s="6" t="s">
        <v>23</v>
      </c>
      <c r="F4981" s="6" t="n">
        <v>4</v>
      </c>
      <c r="G4981" s="10" t="n">
        <v>260</v>
      </c>
      <c r="H4981" s="10" t="n">
        <f aca="false">F4981*G4981</f>
        <v>1040</v>
      </c>
      <c r="I4981" s="6" t="s">
        <v>5130</v>
      </c>
    </row>
    <row r="4982" customFormat="false" ht="15" hidden="false" customHeight="false" outlineLevel="0" collapsed="false">
      <c r="A4982" s="6" t="s">
        <v>10206</v>
      </c>
      <c r="B4982" s="6" t="s">
        <v>1863</v>
      </c>
      <c r="C4982" s="26" t="n">
        <v>46182</v>
      </c>
      <c r="D4982" s="6" t="s">
        <v>5242</v>
      </c>
      <c r="E4982" s="6" t="s">
        <v>23</v>
      </c>
      <c r="F4982" s="6" t="n">
        <v>2</v>
      </c>
      <c r="G4982" s="10" t="n">
        <v>372</v>
      </c>
      <c r="H4982" s="10" t="n">
        <f aca="false">F4982*G4982</f>
        <v>744</v>
      </c>
      <c r="I4982" s="6" t="s">
        <v>5148</v>
      </c>
    </row>
    <row r="4983" customFormat="false" ht="15" hidden="false" customHeight="false" outlineLevel="0" collapsed="false">
      <c r="A4983" s="6" t="s">
        <v>10207</v>
      </c>
      <c r="B4983" s="6" t="s">
        <v>3551</v>
      </c>
      <c r="C4983" s="26" t="n">
        <v>46182</v>
      </c>
      <c r="D4983" s="6" t="s">
        <v>5156</v>
      </c>
      <c r="E4983" s="6" t="s">
        <v>21</v>
      </c>
      <c r="F4983" s="6" t="n">
        <v>1</v>
      </c>
      <c r="G4983" s="10" t="n">
        <v>2161</v>
      </c>
      <c r="H4983" s="10" t="n">
        <f aca="false">F4983*G4983</f>
        <v>2161</v>
      </c>
      <c r="I4983" s="6" t="s">
        <v>5130</v>
      </c>
    </row>
    <row r="4984" customFormat="false" ht="15" hidden="false" customHeight="false" outlineLevel="0" collapsed="false">
      <c r="A4984" s="6" t="s">
        <v>10208</v>
      </c>
      <c r="B4984" s="6" t="s">
        <v>2939</v>
      </c>
      <c r="C4984" s="26" t="n">
        <v>46182</v>
      </c>
      <c r="D4984" s="6" t="s">
        <v>5165</v>
      </c>
      <c r="E4984" s="6" t="s">
        <v>22</v>
      </c>
      <c r="F4984" s="6" t="n">
        <v>2</v>
      </c>
      <c r="G4984" s="10" t="n">
        <v>977</v>
      </c>
      <c r="H4984" s="10" t="n">
        <f aca="false">F4984*G4984</f>
        <v>1954</v>
      </c>
      <c r="I4984" s="6" t="s">
        <v>5130</v>
      </c>
    </row>
    <row r="4985" customFormat="false" ht="15" hidden="false" customHeight="false" outlineLevel="0" collapsed="false">
      <c r="A4985" s="6" t="s">
        <v>10209</v>
      </c>
      <c r="B4985" s="6" t="s">
        <v>2495</v>
      </c>
      <c r="C4985" s="26" t="n">
        <v>46182</v>
      </c>
      <c r="D4985" s="6" t="s">
        <v>5163</v>
      </c>
      <c r="E4985" s="6" t="s">
        <v>23</v>
      </c>
      <c r="F4985" s="6" t="n">
        <v>2</v>
      </c>
      <c r="G4985" s="10" t="n">
        <v>705</v>
      </c>
      <c r="H4985" s="10" t="n">
        <f aca="false">F4985*G4985</f>
        <v>1410</v>
      </c>
      <c r="I4985" s="6" t="s">
        <v>5148</v>
      </c>
    </row>
    <row r="4986" customFormat="false" ht="15" hidden="false" customHeight="false" outlineLevel="0" collapsed="false">
      <c r="A4986" s="6" t="s">
        <v>10210</v>
      </c>
      <c r="B4986" s="6" t="s">
        <v>1155</v>
      </c>
      <c r="C4986" s="26" t="n">
        <v>46182</v>
      </c>
      <c r="D4986" s="6" t="s">
        <v>5318</v>
      </c>
      <c r="E4986" s="6" t="s">
        <v>20</v>
      </c>
      <c r="F4986" s="6" t="n">
        <v>1</v>
      </c>
      <c r="G4986" s="10" t="n">
        <v>1529</v>
      </c>
      <c r="H4986" s="10" t="n">
        <f aca="false">F4986*G4986</f>
        <v>1529</v>
      </c>
      <c r="I4986" s="6" t="s">
        <v>5148</v>
      </c>
    </row>
    <row r="4987" customFormat="false" ht="15" hidden="false" customHeight="false" outlineLevel="0" collapsed="false">
      <c r="A4987" s="6" t="s">
        <v>10211</v>
      </c>
      <c r="B4987" s="6" t="s">
        <v>637</v>
      </c>
      <c r="C4987" s="26" t="n">
        <v>46182</v>
      </c>
      <c r="D4987" s="6" t="s">
        <v>5121</v>
      </c>
      <c r="E4987" s="6" t="s">
        <v>22</v>
      </c>
      <c r="F4987" s="6" t="n">
        <v>1</v>
      </c>
      <c r="G4987" s="10" t="n">
        <v>976</v>
      </c>
      <c r="H4987" s="10" t="n">
        <f aca="false">F4987*G4987</f>
        <v>976</v>
      </c>
      <c r="I4987" s="6" t="s">
        <v>5130</v>
      </c>
    </row>
    <row r="4988" customFormat="false" ht="15" hidden="false" customHeight="false" outlineLevel="0" collapsed="false">
      <c r="A4988" s="6" t="s">
        <v>10212</v>
      </c>
      <c r="B4988" s="6" t="s">
        <v>3941</v>
      </c>
      <c r="C4988" s="26" t="n">
        <v>46182</v>
      </c>
      <c r="D4988" s="6" t="s">
        <v>5460</v>
      </c>
      <c r="E4988" s="6" t="s">
        <v>24</v>
      </c>
      <c r="F4988" s="6" t="n">
        <v>2</v>
      </c>
      <c r="G4988" s="10" t="n">
        <v>555</v>
      </c>
      <c r="H4988" s="10" t="n">
        <f aca="false">F4988*G4988</f>
        <v>1110</v>
      </c>
      <c r="I4988" s="6" t="s">
        <v>5125</v>
      </c>
    </row>
    <row r="4989" customFormat="false" ht="15" hidden="false" customHeight="false" outlineLevel="0" collapsed="false">
      <c r="A4989" s="6" t="s">
        <v>10213</v>
      </c>
      <c r="B4989" s="6" t="s">
        <v>2513</v>
      </c>
      <c r="C4989" s="26" t="n">
        <v>46182</v>
      </c>
      <c r="D4989" s="6" t="s">
        <v>5171</v>
      </c>
      <c r="E4989" s="6" t="s">
        <v>23</v>
      </c>
      <c r="F4989" s="6" t="n">
        <v>5</v>
      </c>
      <c r="G4989" s="10" t="n">
        <v>697</v>
      </c>
      <c r="H4989" s="10" t="n">
        <f aca="false">F4989*G4989</f>
        <v>3485</v>
      </c>
      <c r="I4989" s="6" t="s">
        <v>5122</v>
      </c>
    </row>
    <row r="4990" customFormat="false" ht="15" hidden="false" customHeight="false" outlineLevel="0" collapsed="false">
      <c r="A4990" s="6" t="s">
        <v>10214</v>
      </c>
      <c r="B4990" s="6" t="s">
        <v>3231</v>
      </c>
      <c r="C4990" s="26" t="n">
        <v>46182</v>
      </c>
      <c r="D4990" s="6" t="s">
        <v>5165</v>
      </c>
      <c r="E4990" s="6" t="s">
        <v>22</v>
      </c>
      <c r="F4990" s="6" t="n">
        <v>2</v>
      </c>
      <c r="G4990" s="10" t="n">
        <v>977</v>
      </c>
      <c r="H4990" s="10" t="n">
        <f aca="false">F4990*G4990</f>
        <v>1954</v>
      </c>
      <c r="I4990" s="6" t="s">
        <v>5122</v>
      </c>
    </row>
    <row r="4991" customFormat="false" ht="15" hidden="false" customHeight="false" outlineLevel="0" collapsed="false">
      <c r="A4991" s="6" t="s">
        <v>10215</v>
      </c>
      <c r="B4991" s="6" t="s">
        <v>211</v>
      </c>
      <c r="C4991" s="26" t="n">
        <v>46182</v>
      </c>
      <c r="D4991" s="6" t="s">
        <v>5749</v>
      </c>
      <c r="E4991" s="6" t="s">
        <v>20</v>
      </c>
      <c r="F4991" s="6" t="n">
        <v>1</v>
      </c>
      <c r="G4991" s="10" t="n">
        <v>815</v>
      </c>
      <c r="H4991" s="10" t="n">
        <f aca="false">F4991*G4991</f>
        <v>815</v>
      </c>
      <c r="I4991" s="6" t="s">
        <v>5125</v>
      </c>
    </row>
    <row r="4992" customFormat="false" ht="15" hidden="false" customHeight="false" outlineLevel="0" collapsed="false">
      <c r="A4992" s="6" t="s">
        <v>10216</v>
      </c>
      <c r="B4992" s="6" t="s">
        <v>4441</v>
      </c>
      <c r="C4992" s="26" t="n">
        <v>46182</v>
      </c>
      <c r="D4992" s="6" t="s">
        <v>5242</v>
      </c>
      <c r="E4992" s="6" t="s">
        <v>23</v>
      </c>
      <c r="F4992" s="6" t="n">
        <v>2</v>
      </c>
      <c r="G4992" s="10" t="n">
        <v>372</v>
      </c>
      <c r="H4992" s="10" t="n">
        <f aca="false">F4992*G4992</f>
        <v>744</v>
      </c>
      <c r="I4992" s="6" t="s">
        <v>5148</v>
      </c>
    </row>
    <row r="4993" customFormat="false" ht="15" hidden="false" customHeight="false" outlineLevel="0" collapsed="false">
      <c r="A4993" s="6" t="s">
        <v>10217</v>
      </c>
      <c r="B4993" s="6" t="s">
        <v>4777</v>
      </c>
      <c r="C4993" s="26" t="n">
        <v>46182</v>
      </c>
      <c r="D4993" s="6" t="s">
        <v>5216</v>
      </c>
      <c r="E4993" s="6" t="s">
        <v>23</v>
      </c>
      <c r="F4993" s="6" t="n">
        <v>1</v>
      </c>
      <c r="G4993" s="10" t="n">
        <v>587</v>
      </c>
      <c r="H4993" s="10" t="n">
        <f aca="false">F4993*G4993</f>
        <v>587</v>
      </c>
      <c r="I4993" s="6" t="s">
        <v>5122</v>
      </c>
    </row>
    <row r="4994" customFormat="false" ht="15" hidden="false" customHeight="false" outlineLevel="0" collapsed="false">
      <c r="A4994" s="6" t="s">
        <v>10218</v>
      </c>
      <c r="B4994" s="6" t="s">
        <v>235</v>
      </c>
      <c r="C4994" s="26" t="n">
        <v>46182</v>
      </c>
      <c r="D4994" s="6" t="s">
        <v>6101</v>
      </c>
      <c r="E4994" s="6" t="s">
        <v>20</v>
      </c>
      <c r="F4994" s="6" t="n">
        <v>1</v>
      </c>
      <c r="G4994" s="10" t="n">
        <v>21313</v>
      </c>
      <c r="H4994" s="10" t="n">
        <f aca="false">F4994*G4994</f>
        <v>21313</v>
      </c>
      <c r="I4994" s="6" t="s">
        <v>5122</v>
      </c>
    </row>
    <row r="4995" customFormat="false" ht="15" hidden="false" customHeight="false" outlineLevel="0" collapsed="false">
      <c r="A4995" s="6" t="s">
        <v>10219</v>
      </c>
      <c r="B4995" s="6" t="s">
        <v>3353</v>
      </c>
      <c r="C4995" s="26" t="n">
        <v>46182</v>
      </c>
      <c r="D4995" s="6" t="s">
        <v>5171</v>
      </c>
      <c r="E4995" s="6" t="s">
        <v>23</v>
      </c>
      <c r="F4995" s="6" t="n">
        <v>1</v>
      </c>
      <c r="G4995" s="10" t="n">
        <v>697</v>
      </c>
      <c r="H4995" s="10" t="n">
        <f aca="false">F4995*G4995</f>
        <v>697</v>
      </c>
      <c r="I4995" s="6" t="s">
        <v>5148</v>
      </c>
    </row>
    <row r="4996" customFormat="false" ht="15" hidden="false" customHeight="false" outlineLevel="0" collapsed="false">
      <c r="A4996" s="6" t="s">
        <v>10220</v>
      </c>
      <c r="B4996" s="6" t="s">
        <v>1819</v>
      </c>
      <c r="C4996" s="26" t="n">
        <v>46182</v>
      </c>
      <c r="D4996" s="6" t="s">
        <v>5137</v>
      </c>
      <c r="E4996" s="6" t="s">
        <v>21</v>
      </c>
      <c r="F4996" s="6" t="n">
        <v>1</v>
      </c>
      <c r="G4996" s="10" t="n">
        <v>1680</v>
      </c>
      <c r="H4996" s="10" t="n">
        <f aca="false">F4996*G4996</f>
        <v>1680</v>
      </c>
      <c r="I4996" s="6" t="s">
        <v>5122</v>
      </c>
    </row>
    <row r="4997" customFormat="false" ht="15" hidden="false" customHeight="false" outlineLevel="0" collapsed="false">
      <c r="A4997" s="6" t="s">
        <v>10221</v>
      </c>
      <c r="B4997" s="6" t="s">
        <v>4447</v>
      </c>
      <c r="C4997" s="26" t="n">
        <v>46182</v>
      </c>
      <c r="D4997" s="6" t="s">
        <v>5226</v>
      </c>
      <c r="E4997" s="6" t="s">
        <v>24</v>
      </c>
      <c r="F4997" s="6" t="n">
        <v>2</v>
      </c>
      <c r="G4997" s="10" t="n">
        <v>457</v>
      </c>
      <c r="H4997" s="10" t="n">
        <f aca="false">F4997*G4997</f>
        <v>914</v>
      </c>
      <c r="I4997" s="6" t="s">
        <v>5125</v>
      </c>
    </row>
    <row r="4998" customFormat="false" ht="15" hidden="false" customHeight="false" outlineLevel="0" collapsed="false">
      <c r="A4998" s="6" t="s">
        <v>10222</v>
      </c>
      <c r="B4998" s="6" t="s">
        <v>1443</v>
      </c>
      <c r="C4998" s="26" t="n">
        <v>46182</v>
      </c>
      <c r="D4998" s="6" t="s">
        <v>5807</v>
      </c>
      <c r="E4998" s="6" t="s">
        <v>20</v>
      </c>
      <c r="F4998" s="6" t="n">
        <v>1</v>
      </c>
      <c r="G4998" s="10" t="n">
        <v>14530</v>
      </c>
      <c r="H4998" s="10" t="n">
        <f aca="false">F4998*G4998</f>
        <v>14530</v>
      </c>
      <c r="I4998" s="6" t="s">
        <v>5125</v>
      </c>
    </row>
    <row r="4999" customFormat="false" ht="15" hidden="false" customHeight="false" outlineLevel="0" collapsed="false">
      <c r="A4999" s="6" t="s">
        <v>10223</v>
      </c>
      <c r="B4999" s="6" t="s">
        <v>202</v>
      </c>
      <c r="C4999" s="26" t="n">
        <v>46182</v>
      </c>
      <c r="D4999" s="6" t="s">
        <v>5290</v>
      </c>
      <c r="E4999" s="6" t="s">
        <v>23</v>
      </c>
      <c r="F4999" s="6" t="n">
        <v>2</v>
      </c>
      <c r="G4999" s="10" t="n">
        <v>118</v>
      </c>
      <c r="H4999" s="10" t="n">
        <f aca="false">F4999*G4999</f>
        <v>236</v>
      </c>
      <c r="I4999" s="6" t="s">
        <v>5173</v>
      </c>
    </row>
    <row r="5000" customFormat="false" ht="15" hidden="false" customHeight="false" outlineLevel="0" collapsed="false">
      <c r="A5000" s="6" t="s">
        <v>10224</v>
      </c>
      <c r="B5000" s="6" t="s">
        <v>4933</v>
      </c>
      <c r="C5000" s="26" t="n">
        <v>46182</v>
      </c>
      <c r="D5000" s="6" t="s">
        <v>5163</v>
      </c>
      <c r="E5000" s="6" t="s">
        <v>23</v>
      </c>
      <c r="F5000" s="6" t="n">
        <v>3</v>
      </c>
      <c r="G5000" s="10" t="n">
        <v>705</v>
      </c>
      <c r="H5000" s="10" t="n">
        <f aca="false">F5000*G5000</f>
        <v>2115</v>
      </c>
      <c r="I5000" s="6" t="s">
        <v>5148</v>
      </c>
    </row>
    <row r="5001" customFormat="false" ht="15" hidden="false" customHeight="false" outlineLevel="0" collapsed="false">
      <c r="A5001" s="6" t="s">
        <v>10225</v>
      </c>
      <c r="B5001" s="6" t="s">
        <v>3293</v>
      </c>
      <c r="C5001" s="26" t="n">
        <v>46182</v>
      </c>
      <c r="D5001" s="6" t="s">
        <v>5154</v>
      </c>
      <c r="E5001" s="6" t="s">
        <v>21</v>
      </c>
      <c r="F5001" s="6" t="n">
        <v>1</v>
      </c>
      <c r="G5001" s="10" t="n">
        <v>785</v>
      </c>
      <c r="H5001" s="10" t="n">
        <f aca="false">F5001*G5001</f>
        <v>785</v>
      </c>
      <c r="I5001" s="6" t="s">
        <v>5148</v>
      </c>
    </row>
    <row r="5002" customFormat="false" ht="15" hidden="false" customHeight="false" outlineLevel="0" collapsed="false">
      <c r="A5002" s="6" t="s">
        <v>10226</v>
      </c>
      <c r="B5002" s="6" t="s">
        <v>1295</v>
      </c>
      <c r="C5002" s="26" t="n">
        <v>46182</v>
      </c>
      <c r="D5002" s="6" t="s">
        <v>5383</v>
      </c>
      <c r="E5002" s="6" t="s">
        <v>20</v>
      </c>
      <c r="F5002" s="6" t="n">
        <v>1</v>
      </c>
      <c r="G5002" s="10" t="n">
        <v>1009</v>
      </c>
      <c r="H5002" s="10" t="n">
        <f aca="false">F5002*G5002</f>
        <v>1009</v>
      </c>
      <c r="I5002" s="6" t="s">
        <v>5122</v>
      </c>
    </row>
    <row r="5003" customFormat="false" ht="15" hidden="false" customHeight="false" outlineLevel="0" collapsed="false">
      <c r="A5003" s="6" t="s">
        <v>10227</v>
      </c>
      <c r="B5003" s="6" t="s">
        <v>4109</v>
      </c>
      <c r="C5003" s="26" t="n">
        <v>46182</v>
      </c>
      <c r="D5003" s="6" t="s">
        <v>5182</v>
      </c>
      <c r="E5003" s="6" t="s">
        <v>23</v>
      </c>
      <c r="F5003" s="6" t="n">
        <v>1</v>
      </c>
      <c r="G5003" s="10" t="n">
        <v>367</v>
      </c>
      <c r="H5003" s="10" t="n">
        <f aca="false">F5003*G5003</f>
        <v>367</v>
      </c>
      <c r="I5003" s="6" t="s">
        <v>5125</v>
      </c>
    </row>
    <row r="5004" customFormat="false" ht="15" hidden="false" customHeight="false" outlineLevel="0" collapsed="false">
      <c r="A5004" s="6" t="s">
        <v>10228</v>
      </c>
      <c r="B5004" s="6" t="s">
        <v>4233</v>
      </c>
      <c r="C5004" s="26" t="n">
        <v>46182</v>
      </c>
      <c r="D5004" s="6" t="s">
        <v>5398</v>
      </c>
      <c r="E5004" s="6" t="s">
        <v>24</v>
      </c>
      <c r="F5004" s="6" t="n">
        <v>2</v>
      </c>
      <c r="G5004" s="10" t="n">
        <v>580</v>
      </c>
      <c r="H5004" s="10" t="n">
        <f aca="false">F5004*G5004</f>
        <v>1160</v>
      </c>
      <c r="I5004" s="6" t="s">
        <v>5122</v>
      </c>
    </row>
    <row r="5005" customFormat="false" ht="15" hidden="false" customHeight="false" outlineLevel="0" collapsed="false">
      <c r="A5005" s="6" t="s">
        <v>10229</v>
      </c>
      <c r="B5005" s="6" t="s">
        <v>3249</v>
      </c>
      <c r="C5005" s="26" t="n">
        <v>46182</v>
      </c>
      <c r="D5005" s="6" t="s">
        <v>5121</v>
      </c>
      <c r="E5005" s="6" t="s">
        <v>22</v>
      </c>
      <c r="F5005" s="6" t="n">
        <v>1</v>
      </c>
      <c r="G5005" s="10" t="n">
        <v>977</v>
      </c>
      <c r="H5005" s="10" t="n">
        <f aca="false">F5005*G5005</f>
        <v>977</v>
      </c>
      <c r="I5005" s="6" t="s">
        <v>5148</v>
      </c>
    </row>
    <row r="5006" customFormat="false" ht="15" hidden="false" customHeight="false" outlineLevel="0" collapsed="false">
      <c r="A5006" s="6" t="s">
        <v>10230</v>
      </c>
      <c r="B5006" s="6" t="s">
        <v>3451</v>
      </c>
      <c r="C5006" s="26" t="n">
        <v>46182</v>
      </c>
      <c r="D5006" s="6" t="s">
        <v>5165</v>
      </c>
      <c r="E5006" s="6" t="s">
        <v>22</v>
      </c>
      <c r="F5006" s="6" t="n">
        <v>2</v>
      </c>
      <c r="G5006" s="10" t="n">
        <v>928</v>
      </c>
      <c r="H5006" s="10" t="n">
        <f aca="false">F5006*G5006</f>
        <v>1856</v>
      </c>
      <c r="I5006" s="6" t="s">
        <v>5122</v>
      </c>
    </row>
    <row r="5007" customFormat="false" ht="15" hidden="false" customHeight="false" outlineLevel="0" collapsed="false">
      <c r="A5007" s="6" t="s">
        <v>10231</v>
      </c>
      <c r="B5007" s="6" t="s">
        <v>2765</v>
      </c>
      <c r="C5007" s="26" t="n">
        <v>46182</v>
      </c>
      <c r="D5007" s="6" t="s">
        <v>5167</v>
      </c>
      <c r="E5007" s="6" t="s">
        <v>22</v>
      </c>
      <c r="F5007" s="6" t="n">
        <v>2</v>
      </c>
      <c r="G5007" s="10" t="n">
        <v>703</v>
      </c>
      <c r="H5007" s="10" t="n">
        <f aca="false">F5007*G5007</f>
        <v>1406</v>
      </c>
      <c r="I5007" s="6" t="s">
        <v>5130</v>
      </c>
    </row>
    <row r="5008" customFormat="false" ht="15" hidden="false" customHeight="false" outlineLevel="0" collapsed="false">
      <c r="A5008" s="6" t="s">
        <v>10232</v>
      </c>
      <c r="B5008" s="6" t="s">
        <v>2531</v>
      </c>
      <c r="C5008" s="26" t="n">
        <v>46182</v>
      </c>
      <c r="D5008" s="6" t="s">
        <v>5171</v>
      </c>
      <c r="E5008" s="6" t="s">
        <v>23</v>
      </c>
      <c r="F5008" s="6" t="n">
        <v>1</v>
      </c>
      <c r="G5008" s="10" t="n">
        <v>661</v>
      </c>
      <c r="H5008" s="10" t="n">
        <f aca="false">F5008*G5008</f>
        <v>661</v>
      </c>
      <c r="I5008" s="6" t="s">
        <v>5148</v>
      </c>
    </row>
    <row r="5009" customFormat="false" ht="15" hidden="false" customHeight="false" outlineLevel="0" collapsed="false">
      <c r="A5009" s="6" t="s">
        <v>10233</v>
      </c>
      <c r="B5009" s="6" t="s">
        <v>883</v>
      </c>
      <c r="C5009" s="26" t="n">
        <v>46183</v>
      </c>
      <c r="D5009" s="6" t="s">
        <v>5269</v>
      </c>
      <c r="E5009" s="6" t="s">
        <v>22</v>
      </c>
      <c r="F5009" s="6" t="n">
        <v>2</v>
      </c>
      <c r="G5009" s="10" t="n">
        <v>1207</v>
      </c>
      <c r="H5009" s="10" t="n">
        <f aca="false">F5009*G5009</f>
        <v>2414</v>
      </c>
      <c r="I5009" s="6" t="s">
        <v>5173</v>
      </c>
    </row>
    <row r="5010" customFormat="false" ht="15" hidden="false" customHeight="false" outlineLevel="0" collapsed="false">
      <c r="A5010" s="6" t="s">
        <v>10234</v>
      </c>
      <c r="B5010" s="6" t="s">
        <v>3403</v>
      </c>
      <c r="C5010" s="26" t="n">
        <v>46183</v>
      </c>
      <c r="D5010" s="6" t="s">
        <v>5353</v>
      </c>
      <c r="E5010" s="6" t="s">
        <v>24</v>
      </c>
      <c r="F5010" s="6" t="n">
        <v>1</v>
      </c>
      <c r="G5010" s="10" t="n">
        <v>1548</v>
      </c>
      <c r="H5010" s="10" t="n">
        <f aca="false">F5010*G5010</f>
        <v>1548</v>
      </c>
      <c r="I5010" s="6" t="s">
        <v>5122</v>
      </c>
    </row>
    <row r="5011" customFormat="false" ht="15" hidden="false" customHeight="false" outlineLevel="0" collapsed="false">
      <c r="A5011" s="6" t="s">
        <v>10235</v>
      </c>
      <c r="B5011" s="6" t="s">
        <v>1023</v>
      </c>
      <c r="C5011" s="26" t="n">
        <v>46183</v>
      </c>
      <c r="D5011" s="6" t="s">
        <v>5171</v>
      </c>
      <c r="E5011" s="6" t="s">
        <v>23</v>
      </c>
      <c r="F5011" s="6" t="n">
        <v>2</v>
      </c>
      <c r="G5011" s="10" t="n">
        <v>734</v>
      </c>
      <c r="H5011" s="10" t="n">
        <f aca="false">F5011*G5011</f>
        <v>1468</v>
      </c>
      <c r="I5011" s="6" t="s">
        <v>5130</v>
      </c>
    </row>
    <row r="5012" customFormat="false" ht="15" hidden="false" customHeight="false" outlineLevel="0" collapsed="false">
      <c r="A5012" s="6" t="s">
        <v>10236</v>
      </c>
      <c r="B5012" s="6" t="s">
        <v>3579</v>
      </c>
      <c r="C5012" s="26" t="n">
        <v>46183</v>
      </c>
      <c r="D5012" s="6" t="s">
        <v>5298</v>
      </c>
      <c r="E5012" s="6" t="s">
        <v>23</v>
      </c>
      <c r="F5012" s="6" t="n">
        <v>1</v>
      </c>
      <c r="G5012" s="10" t="n">
        <v>293</v>
      </c>
      <c r="H5012" s="10" t="n">
        <f aca="false">F5012*G5012</f>
        <v>293</v>
      </c>
      <c r="I5012" s="6" t="s">
        <v>5122</v>
      </c>
    </row>
    <row r="5013" customFormat="false" ht="15" hidden="false" customHeight="false" outlineLevel="0" collapsed="false">
      <c r="A5013" s="6" t="s">
        <v>10237</v>
      </c>
      <c r="B5013" s="6" t="s">
        <v>3545</v>
      </c>
      <c r="C5013" s="26" t="n">
        <v>46183</v>
      </c>
      <c r="D5013" s="6" t="s">
        <v>5749</v>
      </c>
      <c r="E5013" s="6" t="s">
        <v>20</v>
      </c>
      <c r="F5013" s="6" t="n">
        <v>1</v>
      </c>
      <c r="G5013" s="10" t="n">
        <v>774</v>
      </c>
      <c r="H5013" s="10" t="n">
        <f aca="false">F5013*G5013</f>
        <v>774</v>
      </c>
      <c r="I5013" s="6" t="s">
        <v>5125</v>
      </c>
    </row>
    <row r="5014" customFormat="false" ht="15" hidden="false" customHeight="false" outlineLevel="0" collapsed="false">
      <c r="A5014" s="6" t="s">
        <v>10238</v>
      </c>
      <c r="B5014" s="6" t="s">
        <v>4481</v>
      </c>
      <c r="C5014" s="26" t="n">
        <v>46183</v>
      </c>
      <c r="D5014" s="6" t="s">
        <v>5561</v>
      </c>
      <c r="E5014" s="6" t="s">
        <v>20</v>
      </c>
      <c r="F5014" s="6" t="n">
        <v>1</v>
      </c>
      <c r="G5014" s="10" t="n">
        <v>3364</v>
      </c>
      <c r="H5014" s="10" t="n">
        <f aca="false">F5014*G5014</f>
        <v>3364</v>
      </c>
      <c r="I5014" s="6" t="s">
        <v>5125</v>
      </c>
    </row>
    <row r="5015" customFormat="false" ht="15" hidden="false" customHeight="false" outlineLevel="0" collapsed="false">
      <c r="A5015" s="6" t="s">
        <v>10239</v>
      </c>
      <c r="B5015" s="6" t="s">
        <v>4511</v>
      </c>
      <c r="C5015" s="26" t="n">
        <v>46183</v>
      </c>
      <c r="D5015" s="6" t="s">
        <v>5214</v>
      </c>
      <c r="E5015" s="6" t="s">
        <v>20</v>
      </c>
      <c r="F5015" s="6" t="n">
        <v>1</v>
      </c>
      <c r="G5015" s="10" t="n">
        <v>2039</v>
      </c>
      <c r="H5015" s="10" t="n">
        <f aca="false">F5015*G5015</f>
        <v>2039</v>
      </c>
      <c r="I5015" s="6" t="s">
        <v>5148</v>
      </c>
    </row>
    <row r="5016" customFormat="false" ht="15" hidden="false" customHeight="false" outlineLevel="0" collapsed="false">
      <c r="A5016" s="6" t="s">
        <v>10240</v>
      </c>
      <c r="B5016" s="6" t="s">
        <v>4019</v>
      </c>
      <c r="C5016" s="26" t="n">
        <v>46183</v>
      </c>
      <c r="D5016" s="6" t="s">
        <v>5357</v>
      </c>
      <c r="E5016" s="6" t="s">
        <v>23</v>
      </c>
      <c r="F5016" s="6" t="n">
        <v>5</v>
      </c>
      <c r="G5016" s="10" t="n">
        <v>534</v>
      </c>
      <c r="H5016" s="10" t="n">
        <f aca="false">F5016*G5016</f>
        <v>2670</v>
      </c>
      <c r="I5016" s="6" t="s">
        <v>5125</v>
      </c>
    </row>
    <row r="5017" customFormat="false" ht="15" hidden="false" customHeight="false" outlineLevel="0" collapsed="false">
      <c r="A5017" s="6" t="s">
        <v>10241</v>
      </c>
      <c r="B5017" s="6" t="s">
        <v>533</v>
      </c>
      <c r="C5017" s="26" t="n">
        <v>46183</v>
      </c>
      <c r="D5017" s="6" t="s">
        <v>5150</v>
      </c>
      <c r="E5017" s="6" t="s">
        <v>24</v>
      </c>
      <c r="F5017" s="6" t="n">
        <v>2</v>
      </c>
      <c r="G5017" s="10" t="n">
        <v>483</v>
      </c>
      <c r="H5017" s="10" t="n">
        <f aca="false">F5017*G5017</f>
        <v>966</v>
      </c>
      <c r="I5017" s="6" t="s">
        <v>5122</v>
      </c>
    </row>
    <row r="5018" customFormat="false" ht="15" hidden="false" customHeight="false" outlineLevel="0" collapsed="false">
      <c r="A5018" s="6" t="s">
        <v>10242</v>
      </c>
      <c r="B5018" s="6" t="s">
        <v>4061</v>
      </c>
      <c r="C5018" s="26" t="n">
        <v>46183</v>
      </c>
      <c r="D5018" s="6" t="s">
        <v>5180</v>
      </c>
      <c r="E5018" s="6" t="s">
        <v>24</v>
      </c>
      <c r="F5018" s="6" t="n">
        <v>3</v>
      </c>
      <c r="G5018" s="10" t="n">
        <v>1987</v>
      </c>
      <c r="H5018" s="10" t="n">
        <f aca="false">F5018*G5018</f>
        <v>5961</v>
      </c>
      <c r="I5018" s="6" t="s">
        <v>5122</v>
      </c>
    </row>
    <row r="5019" customFormat="false" ht="15" hidden="false" customHeight="false" outlineLevel="0" collapsed="false">
      <c r="A5019" s="6" t="s">
        <v>10243</v>
      </c>
      <c r="B5019" s="6" t="s">
        <v>567</v>
      </c>
      <c r="C5019" s="26" t="n">
        <v>46183</v>
      </c>
      <c r="D5019" s="6" t="s">
        <v>5163</v>
      </c>
      <c r="E5019" s="6" t="s">
        <v>23</v>
      </c>
      <c r="F5019" s="6" t="n">
        <v>3</v>
      </c>
      <c r="G5019" s="10" t="n">
        <v>783</v>
      </c>
      <c r="H5019" s="10" t="n">
        <f aca="false">F5019*G5019</f>
        <v>2349</v>
      </c>
      <c r="I5019" s="6" t="s">
        <v>5148</v>
      </c>
    </row>
    <row r="5020" customFormat="false" ht="15" hidden="false" customHeight="false" outlineLevel="0" collapsed="false">
      <c r="A5020" s="6" t="s">
        <v>10244</v>
      </c>
      <c r="B5020" s="6" t="s">
        <v>4533</v>
      </c>
      <c r="C5020" s="26" t="n">
        <v>46183</v>
      </c>
      <c r="D5020" s="6" t="s">
        <v>5538</v>
      </c>
      <c r="E5020" s="6" t="s">
        <v>21</v>
      </c>
      <c r="F5020" s="6" t="n">
        <v>1</v>
      </c>
      <c r="G5020" s="10" t="n">
        <v>5405</v>
      </c>
      <c r="H5020" s="10" t="n">
        <f aca="false">F5020*G5020</f>
        <v>5405</v>
      </c>
      <c r="I5020" s="6" t="s">
        <v>5130</v>
      </c>
    </row>
    <row r="5021" customFormat="false" ht="15" hidden="false" customHeight="false" outlineLevel="0" collapsed="false">
      <c r="A5021" s="6" t="s">
        <v>10245</v>
      </c>
      <c r="B5021" s="6" t="s">
        <v>319</v>
      </c>
      <c r="C5021" s="26" t="n">
        <v>46183</v>
      </c>
      <c r="D5021" s="6" t="s">
        <v>5121</v>
      </c>
      <c r="E5021" s="6" t="s">
        <v>22</v>
      </c>
      <c r="F5021" s="6" t="n">
        <v>4</v>
      </c>
      <c r="G5021" s="10" t="n">
        <v>928</v>
      </c>
      <c r="H5021" s="10" t="n">
        <f aca="false">F5021*G5021</f>
        <v>3712</v>
      </c>
      <c r="I5021" s="6" t="s">
        <v>5125</v>
      </c>
    </row>
    <row r="5022" customFormat="false" ht="15" hidden="false" customHeight="false" outlineLevel="0" collapsed="false">
      <c r="A5022" s="6" t="s">
        <v>10246</v>
      </c>
      <c r="B5022" s="6" t="s">
        <v>3633</v>
      </c>
      <c r="C5022" s="26" t="n">
        <v>46183</v>
      </c>
      <c r="D5022" s="6" t="s">
        <v>5150</v>
      </c>
      <c r="E5022" s="6" t="s">
        <v>24</v>
      </c>
      <c r="F5022" s="6" t="n">
        <v>2</v>
      </c>
      <c r="G5022" s="10" t="n">
        <v>508</v>
      </c>
      <c r="H5022" s="10" t="n">
        <f aca="false">F5022*G5022</f>
        <v>1016</v>
      </c>
      <c r="I5022" s="6" t="s">
        <v>5130</v>
      </c>
    </row>
    <row r="5023" customFormat="false" ht="15" hidden="false" customHeight="false" outlineLevel="0" collapsed="false">
      <c r="A5023" s="6" t="s">
        <v>10247</v>
      </c>
      <c r="B5023" s="6" t="s">
        <v>3641</v>
      </c>
      <c r="C5023" s="26" t="n">
        <v>46183</v>
      </c>
      <c r="D5023" s="6" t="s">
        <v>5207</v>
      </c>
      <c r="E5023" s="6" t="s">
        <v>20</v>
      </c>
      <c r="F5023" s="6" t="n">
        <v>1</v>
      </c>
      <c r="G5023" s="10" t="n">
        <v>1325</v>
      </c>
      <c r="H5023" s="10" t="n">
        <f aca="false">F5023*G5023</f>
        <v>1325</v>
      </c>
      <c r="I5023" s="6" t="s">
        <v>5122</v>
      </c>
    </row>
    <row r="5024" customFormat="false" ht="15" hidden="false" customHeight="false" outlineLevel="0" collapsed="false">
      <c r="A5024" s="6" t="s">
        <v>10248</v>
      </c>
      <c r="B5024" s="6" t="s">
        <v>2627</v>
      </c>
      <c r="C5024" s="26" t="n">
        <v>46183</v>
      </c>
      <c r="D5024" s="6" t="s">
        <v>5235</v>
      </c>
      <c r="E5024" s="6" t="s">
        <v>21</v>
      </c>
      <c r="F5024" s="6" t="n">
        <v>2</v>
      </c>
      <c r="G5024" s="10" t="n">
        <v>1670</v>
      </c>
      <c r="H5024" s="10" t="n">
        <f aca="false">F5024*G5024</f>
        <v>3340</v>
      </c>
      <c r="I5024" s="6" t="s">
        <v>5130</v>
      </c>
    </row>
    <row r="5025" customFormat="false" ht="15" hidden="false" customHeight="false" outlineLevel="0" collapsed="false">
      <c r="A5025" s="6" t="s">
        <v>10249</v>
      </c>
      <c r="B5025" s="6" t="s">
        <v>3241</v>
      </c>
      <c r="C5025" s="26" t="n">
        <v>46183</v>
      </c>
      <c r="D5025" s="6" t="s">
        <v>5150</v>
      </c>
      <c r="E5025" s="6" t="s">
        <v>24</v>
      </c>
      <c r="F5025" s="6" t="n">
        <v>1</v>
      </c>
      <c r="G5025" s="10" t="n">
        <v>459</v>
      </c>
      <c r="H5025" s="10" t="n">
        <f aca="false">F5025*G5025</f>
        <v>459</v>
      </c>
      <c r="I5025" s="6" t="s">
        <v>5148</v>
      </c>
    </row>
    <row r="5026" customFormat="false" ht="15" hidden="false" customHeight="false" outlineLevel="0" collapsed="false">
      <c r="A5026" s="6" t="s">
        <v>10250</v>
      </c>
      <c r="B5026" s="6" t="s">
        <v>3935</v>
      </c>
      <c r="C5026" s="26" t="n">
        <v>46183</v>
      </c>
      <c r="D5026" s="6" t="s">
        <v>5139</v>
      </c>
      <c r="E5026" s="6" t="s">
        <v>23</v>
      </c>
      <c r="F5026" s="6" t="n">
        <v>3</v>
      </c>
      <c r="G5026" s="10" t="n">
        <v>279</v>
      </c>
      <c r="H5026" s="10" t="n">
        <f aca="false">F5026*G5026</f>
        <v>837</v>
      </c>
      <c r="I5026" s="6" t="s">
        <v>5122</v>
      </c>
    </row>
    <row r="5027" customFormat="false" ht="15" hidden="false" customHeight="false" outlineLevel="0" collapsed="false">
      <c r="A5027" s="6" t="s">
        <v>10251</v>
      </c>
      <c r="B5027" s="6" t="s">
        <v>4527</v>
      </c>
      <c r="C5027" s="26" t="n">
        <v>46183</v>
      </c>
      <c r="D5027" s="6" t="s">
        <v>5163</v>
      </c>
      <c r="E5027" s="6" t="s">
        <v>23</v>
      </c>
      <c r="F5027" s="6" t="n">
        <v>3</v>
      </c>
      <c r="G5027" s="10" t="n">
        <v>783</v>
      </c>
      <c r="H5027" s="10" t="n">
        <f aca="false">F5027*G5027</f>
        <v>2349</v>
      </c>
      <c r="I5027" s="6" t="s">
        <v>5122</v>
      </c>
    </row>
    <row r="5028" customFormat="false" ht="15" hidden="false" customHeight="false" outlineLevel="0" collapsed="false">
      <c r="A5028" s="6" t="s">
        <v>10252</v>
      </c>
      <c r="B5028" s="6" t="s">
        <v>3797</v>
      </c>
      <c r="C5028" s="26" t="n">
        <v>46183</v>
      </c>
      <c r="D5028" s="6" t="s">
        <v>5154</v>
      </c>
      <c r="E5028" s="6" t="s">
        <v>21</v>
      </c>
      <c r="F5028" s="6" t="n">
        <v>1</v>
      </c>
      <c r="G5028" s="10" t="n">
        <v>746</v>
      </c>
      <c r="H5028" s="10" t="n">
        <f aca="false">F5028*G5028</f>
        <v>746</v>
      </c>
      <c r="I5028" s="6" t="s">
        <v>5148</v>
      </c>
    </row>
    <row r="5029" customFormat="false" ht="15" hidden="false" customHeight="false" outlineLevel="0" collapsed="false">
      <c r="A5029" s="6" t="s">
        <v>10253</v>
      </c>
      <c r="B5029" s="6" t="s">
        <v>2669</v>
      </c>
      <c r="C5029" s="26" t="n">
        <v>46183</v>
      </c>
      <c r="D5029" s="6" t="s">
        <v>5167</v>
      </c>
      <c r="E5029" s="6" t="s">
        <v>22</v>
      </c>
      <c r="F5029" s="6" t="n">
        <v>1</v>
      </c>
      <c r="G5029" s="10" t="n">
        <v>782</v>
      </c>
      <c r="H5029" s="10" t="n">
        <f aca="false">F5029*G5029</f>
        <v>782</v>
      </c>
      <c r="I5029" s="6" t="s">
        <v>5122</v>
      </c>
    </row>
    <row r="5030" customFormat="false" ht="15" hidden="false" customHeight="false" outlineLevel="0" collapsed="false">
      <c r="A5030" s="6" t="s">
        <v>10254</v>
      </c>
      <c r="B5030" s="6" t="s">
        <v>1339</v>
      </c>
      <c r="C5030" s="26" t="n">
        <v>46183</v>
      </c>
      <c r="D5030" s="6" t="s">
        <v>5197</v>
      </c>
      <c r="E5030" s="6" t="s">
        <v>21</v>
      </c>
      <c r="F5030" s="6" t="n">
        <v>1</v>
      </c>
      <c r="G5030" s="10" t="n">
        <v>1026</v>
      </c>
      <c r="H5030" s="10" t="n">
        <f aca="false">F5030*G5030</f>
        <v>1026</v>
      </c>
      <c r="I5030" s="6" t="s">
        <v>5148</v>
      </c>
    </row>
    <row r="5031" customFormat="false" ht="15" hidden="false" customHeight="false" outlineLevel="0" collapsed="false">
      <c r="A5031" s="6" t="s">
        <v>10255</v>
      </c>
      <c r="B5031" s="6" t="s">
        <v>499</v>
      </c>
      <c r="C5031" s="26" t="n">
        <v>46183</v>
      </c>
      <c r="D5031" s="6" t="s">
        <v>5127</v>
      </c>
      <c r="E5031" s="6" t="s">
        <v>21</v>
      </c>
      <c r="F5031" s="6" t="n">
        <v>2</v>
      </c>
      <c r="G5031" s="10" t="n">
        <v>884</v>
      </c>
      <c r="H5031" s="10" t="n">
        <f aca="false">F5031*G5031</f>
        <v>1768</v>
      </c>
      <c r="I5031" s="6" t="s">
        <v>5122</v>
      </c>
    </row>
    <row r="5032" customFormat="false" ht="15" hidden="false" customHeight="false" outlineLevel="0" collapsed="false">
      <c r="A5032" s="6" t="s">
        <v>10256</v>
      </c>
      <c r="B5032" s="6" t="s">
        <v>1079</v>
      </c>
      <c r="C5032" s="26" t="n">
        <v>46183</v>
      </c>
      <c r="D5032" s="6" t="s">
        <v>5345</v>
      </c>
      <c r="E5032" s="6" t="s">
        <v>23</v>
      </c>
      <c r="F5032" s="6" t="n">
        <v>3</v>
      </c>
      <c r="G5032" s="10" t="n">
        <v>436</v>
      </c>
      <c r="H5032" s="10" t="n">
        <f aca="false">F5032*G5032</f>
        <v>1308</v>
      </c>
      <c r="I5032" s="6" t="s">
        <v>5122</v>
      </c>
    </row>
    <row r="5033" customFormat="false" ht="15" hidden="false" customHeight="false" outlineLevel="0" collapsed="false">
      <c r="A5033" s="6" t="s">
        <v>10257</v>
      </c>
      <c r="B5033" s="6" t="s">
        <v>3951</v>
      </c>
      <c r="C5033" s="26" t="n">
        <v>46183</v>
      </c>
      <c r="D5033" s="6" t="s">
        <v>5345</v>
      </c>
      <c r="E5033" s="6" t="s">
        <v>23</v>
      </c>
      <c r="F5033" s="6" t="n">
        <v>2</v>
      </c>
      <c r="G5033" s="10" t="n">
        <v>392</v>
      </c>
      <c r="H5033" s="10" t="n">
        <f aca="false">F5033*G5033</f>
        <v>784</v>
      </c>
      <c r="I5033" s="6" t="s">
        <v>5130</v>
      </c>
    </row>
    <row r="5034" customFormat="false" ht="15" hidden="false" customHeight="false" outlineLevel="0" collapsed="false">
      <c r="A5034" s="6" t="s">
        <v>10258</v>
      </c>
      <c r="B5034" s="6" t="s">
        <v>2237</v>
      </c>
      <c r="C5034" s="26" t="n">
        <v>46183</v>
      </c>
      <c r="D5034" s="6" t="s">
        <v>5154</v>
      </c>
      <c r="E5034" s="6" t="s">
        <v>21</v>
      </c>
      <c r="F5034" s="6" t="n">
        <v>1</v>
      </c>
      <c r="G5034" s="10" t="n">
        <v>785</v>
      </c>
      <c r="H5034" s="10" t="n">
        <f aca="false">F5034*G5034</f>
        <v>785</v>
      </c>
      <c r="I5034" s="6" t="s">
        <v>5148</v>
      </c>
    </row>
    <row r="5035" customFormat="false" ht="15" hidden="false" customHeight="false" outlineLevel="0" collapsed="false">
      <c r="A5035" s="6" t="s">
        <v>10259</v>
      </c>
      <c r="B5035" s="6" t="s">
        <v>2615</v>
      </c>
      <c r="C5035" s="26" t="n">
        <v>46183</v>
      </c>
      <c r="D5035" s="6" t="s">
        <v>5180</v>
      </c>
      <c r="E5035" s="6" t="s">
        <v>24</v>
      </c>
      <c r="F5035" s="6" t="n">
        <v>1</v>
      </c>
      <c r="G5035" s="10" t="n">
        <v>1789</v>
      </c>
      <c r="H5035" s="10" t="n">
        <f aca="false">F5035*G5035</f>
        <v>1789</v>
      </c>
      <c r="I5035" s="6" t="s">
        <v>5125</v>
      </c>
    </row>
    <row r="5036" customFormat="false" ht="15" hidden="false" customHeight="false" outlineLevel="0" collapsed="false">
      <c r="A5036" s="6" t="s">
        <v>10260</v>
      </c>
      <c r="B5036" s="6" t="s">
        <v>2971</v>
      </c>
      <c r="C5036" s="26" t="n">
        <v>46183</v>
      </c>
      <c r="D5036" s="6" t="s">
        <v>5135</v>
      </c>
      <c r="E5036" s="6" t="s">
        <v>23</v>
      </c>
      <c r="F5036" s="6" t="n">
        <v>2</v>
      </c>
      <c r="G5036" s="10" t="n">
        <v>441</v>
      </c>
      <c r="H5036" s="10" t="n">
        <f aca="false">F5036*G5036</f>
        <v>882</v>
      </c>
      <c r="I5036" s="6" t="s">
        <v>5122</v>
      </c>
    </row>
    <row r="5037" customFormat="false" ht="15" hidden="false" customHeight="false" outlineLevel="0" collapsed="false">
      <c r="A5037" s="6" t="s">
        <v>10261</v>
      </c>
      <c r="B5037" s="6" t="s">
        <v>2111</v>
      </c>
      <c r="C5037" s="26" t="n">
        <v>46183</v>
      </c>
      <c r="D5037" s="6" t="s">
        <v>5147</v>
      </c>
      <c r="E5037" s="6" t="s">
        <v>24</v>
      </c>
      <c r="F5037" s="6" t="n">
        <v>3</v>
      </c>
      <c r="G5037" s="10" t="n">
        <v>661</v>
      </c>
      <c r="H5037" s="10" t="n">
        <f aca="false">F5037*G5037</f>
        <v>1983</v>
      </c>
      <c r="I5037" s="6" t="s">
        <v>5122</v>
      </c>
    </row>
    <row r="5038" customFormat="false" ht="15" hidden="false" customHeight="false" outlineLevel="0" collapsed="false">
      <c r="A5038" s="6" t="s">
        <v>10262</v>
      </c>
      <c r="B5038" s="6" t="s">
        <v>4151</v>
      </c>
      <c r="C5038" s="26" t="n">
        <v>46183</v>
      </c>
      <c r="D5038" s="6" t="s">
        <v>5188</v>
      </c>
      <c r="E5038" s="6" t="s">
        <v>24</v>
      </c>
      <c r="F5038" s="6" t="n">
        <v>2</v>
      </c>
      <c r="G5038" s="10" t="n">
        <v>1018</v>
      </c>
      <c r="H5038" s="10" t="n">
        <f aca="false">F5038*G5038</f>
        <v>2036</v>
      </c>
      <c r="I5038" s="6" t="s">
        <v>5148</v>
      </c>
    </row>
    <row r="5039" customFormat="false" ht="15" hidden="false" customHeight="false" outlineLevel="0" collapsed="false">
      <c r="A5039" s="6" t="s">
        <v>10263</v>
      </c>
      <c r="B5039" s="6" t="s">
        <v>2155</v>
      </c>
      <c r="C5039" s="26" t="n">
        <v>46183</v>
      </c>
      <c r="D5039" s="6" t="s">
        <v>5132</v>
      </c>
      <c r="E5039" s="6" t="s">
        <v>23</v>
      </c>
      <c r="F5039" s="6" t="n">
        <v>1</v>
      </c>
      <c r="G5039" s="10" t="n">
        <v>342</v>
      </c>
      <c r="H5039" s="10" t="n">
        <f aca="false">F5039*G5039</f>
        <v>342</v>
      </c>
      <c r="I5039" s="6" t="s">
        <v>5122</v>
      </c>
    </row>
    <row r="5040" customFormat="false" ht="15" hidden="false" customHeight="false" outlineLevel="0" collapsed="false">
      <c r="A5040" s="6" t="s">
        <v>10264</v>
      </c>
      <c r="B5040" s="6" t="s">
        <v>617</v>
      </c>
      <c r="C5040" s="26" t="n">
        <v>46183</v>
      </c>
      <c r="D5040" s="6" t="s">
        <v>5127</v>
      </c>
      <c r="E5040" s="6" t="s">
        <v>21</v>
      </c>
      <c r="F5040" s="6" t="n">
        <v>1</v>
      </c>
      <c r="G5040" s="10" t="n">
        <v>884</v>
      </c>
      <c r="H5040" s="10" t="n">
        <f aca="false">F5040*G5040</f>
        <v>884</v>
      </c>
      <c r="I5040" s="6" t="s">
        <v>5173</v>
      </c>
    </row>
    <row r="5041" customFormat="false" ht="15" hidden="false" customHeight="false" outlineLevel="0" collapsed="false">
      <c r="A5041" s="6" t="s">
        <v>10265</v>
      </c>
      <c r="B5041" s="6" t="s">
        <v>4771</v>
      </c>
      <c r="C5041" s="26" t="n">
        <v>46183</v>
      </c>
      <c r="D5041" s="6" t="s">
        <v>5137</v>
      </c>
      <c r="E5041" s="6" t="s">
        <v>21</v>
      </c>
      <c r="F5041" s="6" t="n">
        <v>1</v>
      </c>
      <c r="G5041" s="10" t="n">
        <v>1768</v>
      </c>
      <c r="H5041" s="10" t="n">
        <f aca="false">F5041*G5041</f>
        <v>1768</v>
      </c>
      <c r="I5041" s="6" t="s">
        <v>5122</v>
      </c>
    </row>
    <row r="5042" customFormat="false" ht="15" hidden="false" customHeight="false" outlineLevel="0" collapsed="false">
      <c r="A5042" s="6" t="s">
        <v>10266</v>
      </c>
      <c r="B5042" s="6" t="s">
        <v>4373</v>
      </c>
      <c r="C5042" s="26" t="n">
        <v>46183</v>
      </c>
      <c r="D5042" s="6" t="s">
        <v>5298</v>
      </c>
      <c r="E5042" s="6" t="s">
        <v>23</v>
      </c>
      <c r="F5042" s="6" t="n">
        <v>5</v>
      </c>
      <c r="G5042" s="10" t="n">
        <v>264</v>
      </c>
      <c r="H5042" s="10" t="n">
        <f aca="false">F5042*G5042</f>
        <v>1320</v>
      </c>
      <c r="I5042" s="6" t="s">
        <v>5122</v>
      </c>
    </row>
    <row r="5043" customFormat="false" ht="15" hidden="false" customHeight="false" outlineLevel="0" collapsed="false">
      <c r="A5043" s="6" t="s">
        <v>10267</v>
      </c>
      <c r="B5043" s="6" t="s">
        <v>342</v>
      </c>
      <c r="C5043" s="26" t="n">
        <v>46183</v>
      </c>
      <c r="D5043" s="6" t="s">
        <v>5167</v>
      </c>
      <c r="E5043" s="6" t="s">
        <v>22</v>
      </c>
      <c r="F5043" s="6" t="n">
        <v>2</v>
      </c>
      <c r="G5043" s="10" t="n">
        <v>743</v>
      </c>
      <c r="H5043" s="10" t="n">
        <f aca="false">F5043*G5043</f>
        <v>1486</v>
      </c>
      <c r="I5043" s="6" t="s">
        <v>5125</v>
      </c>
    </row>
    <row r="5044" customFormat="false" ht="15" hidden="false" customHeight="false" outlineLevel="0" collapsed="false">
      <c r="A5044" s="6" t="s">
        <v>10268</v>
      </c>
      <c r="B5044" s="6" t="s">
        <v>4525</v>
      </c>
      <c r="C5044" s="26" t="n">
        <v>46183</v>
      </c>
      <c r="D5044" s="6" t="s">
        <v>5160</v>
      </c>
      <c r="E5044" s="6" t="s">
        <v>21</v>
      </c>
      <c r="F5044" s="6" t="n">
        <v>1</v>
      </c>
      <c r="G5044" s="10" t="n">
        <v>2751</v>
      </c>
      <c r="H5044" s="10" t="n">
        <f aca="false">F5044*G5044</f>
        <v>2751</v>
      </c>
      <c r="I5044" s="6" t="s">
        <v>5122</v>
      </c>
    </row>
    <row r="5045" customFormat="false" ht="15" hidden="false" customHeight="false" outlineLevel="0" collapsed="false">
      <c r="A5045" s="6" t="s">
        <v>10269</v>
      </c>
      <c r="B5045" s="6" t="s">
        <v>1099</v>
      </c>
      <c r="C5045" s="26" t="n">
        <v>46183</v>
      </c>
      <c r="D5045" s="6" t="s">
        <v>5326</v>
      </c>
      <c r="E5045" s="6" t="s">
        <v>22</v>
      </c>
      <c r="F5045" s="6" t="n">
        <v>1</v>
      </c>
      <c r="G5045" s="10" t="n">
        <v>1466</v>
      </c>
      <c r="H5045" s="10" t="n">
        <f aca="false">F5045*G5045</f>
        <v>1466</v>
      </c>
      <c r="I5045" s="6" t="s">
        <v>5122</v>
      </c>
    </row>
    <row r="5046" customFormat="false" ht="15" hidden="false" customHeight="false" outlineLevel="0" collapsed="false">
      <c r="A5046" s="6" t="s">
        <v>10270</v>
      </c>
      <c r="B5046" s="6" t="s">
        <v>4907</v>
      </c>
      <c r="C5046" s="26" t="n">
        <v>46183</v>
      </c>
      <c r="D5046" s="6" t="s">
        <v>5687</v>
      </c>
      <c r="E5046" s="6" t="s">
        <v>20</v>
      </c>
      <c r="F5046" s="6" t="n">
        <v>1</v>
      </c>
      <c r="G5046" s="10" t="n">
        <v>1835</v>
      </c>
      <c r="H5046" s="10" t="n">
        <f aca="false">F5046*G5046</f>
        <v>1835</v>
      </c>
      <c r="I5046" s="6" t="s">
        <v>5130</v>
      </c>
    </row>
    <row r="5047" customFormat="false" ht="15" hidden="false" customHeight="false" outlineLevel="0" collapsed="false">
      <c r="A5047" s="6" t="s">
        <v>10271</v>
      </c>
      <c r="B5047" s="6" t="s">
        <v>2319</v>
      </c>
      <c r="C5047" s="26" t="n">
        <v>46183</v>
      </c>
      <c r="D5047" s="6" t="s">
        <v>5156</v>
      </c>
      <c r="E5047" s="6" t="s">
        <v>21</v>
      </c>
      <c r="F5047" s="6" t="n">
        <v>1</v>
      </c>
      <c r="G5047" s="10" t="n">
        <v>2161</v>
      </c>
      <c r="H5047" s="10" t="n">
        <f aca="false">F5047*G5047</f>
        <v>2161</v>
      </c>
      <c r="I5047" s="6" t="s">
        <v>5173</v>
      </c>
    </row>
    <row r="5048" customFormat="false" ht="15" hidden="false" customHeight="false" outlineLevel="0" collapsed="false">
      <c r="A5048" s="6" t="s">
        <v>10272</v>
      </c>
      <c r="B5048" s="6" t="s">
        <v>3387</v>
      </c>
      <c r="C5048" s="26" t="n">
        <v>46183</v>
      </c>
      <c r="D5048" s="6" t="s">
        <v>5458</v>
      </c>
      <c r="E5048" s="6" t="s">
        <v>24</v>
      </c>
      <c r="F5048" s="6" t="n">
        <v>2</v>
      </c>
      <c r="G5048" s="10" t="n">
        <v>503</v>
      </c>
      <c r="H5048" s="10" t="n">
        <f aca="false">F5048*G5048</f>
        <v>1006</v>
      </c>
      <c r="I5048" s="6" t="s">
        <v>5130</v>
      </c>
    </row>
    <row r="5049" customFormat="false" ht="15" hidden="false" customHeight="false" outlineLevel="0" collapsed="false">
      <c r="A5049" s="6" t="s">
        <v>10273</v>
      </c>
      <c r="B5049" s="6" t="s">
        <v>3465</v>
      </c>
      <c r="C5049" s="26" t="n">
        <v>46183</v>
      </c>
      <c r="D5049" s="6" t="s">
        <v>5214</v>
      </c>
      <c r="E5049" s="6" t="s">
        <v>20</v>
      </c>
      <c r="F5049" s="6" t="n">
        <v>1</v>
      </c>
      <c r="G5049" s="10" t="n">
        <v>2039</v>
      </c>
      <c r="H5049" s="10" t="n">
        <f aca="false">F5049*G5049</f>
        <v>2039</v>
      </c>
      <c r="I5049" s="6" t="s">
        <v>5122</v>
      </c>
    </row>
    <row r="5050" customFormat="false" ht="15" hidden="false" customHeight="false" outlineLevel="0" collapsed="false">
      <c r="A5050" s="6" t="s">
        <v>10274</v>
      </c>
      <c r="B5050" s="6" t="s">
        <v>4387</v>
      </c>
      <c r="C5050" s="26" t="n">
        <v>46184</v>
      </c>
      <c r="D5050" s="6" t="s">
        <v>5641</v>
      </c>
      <c r="E5050" s="6" t="s">
        <v>22</v>
      </c>
      <c r="F5050" s="6" t="n">
        <v>1</v>
      </c>
      <c r="G5050" s="10" t="n">
        <v>2249</v>
      </c>
      <c r="H5050" s="10" t="n">
        <f aca="false">F5050*G5050</f>
        <v>2249</v>
      </c>
      <c r="I5050" s="6" t="s">
        <v>5173</v>
      </c>
    </row>
    <row r="5051" customFormat="false" ht="15" hidden="false" customHeight="false" outlineLevel="0" collapsed="false">
      <c r="A5051" s="6" t="s">
        <v>10275</v>
      </c>
      <c r="B5051" s="6" t="s">
        <v>3365</v>
      </c>
      <c r="C5051" s="26" t="n">
        <v>46184</v>
      </c>
      <c r="D5051" s="6" t="s">
        <v>5167</v>
      </c>
      <c r="E5051" s="6" t="s">
        <v>22</v>
      </c>
      <c r="F5051" s="6" t="n">
        <v>2</v>
      </c>
      <c r="G5051" s="10" t="n">
        <v>782</v>
      </c>
      <c r="H5051" s="10" t="n">
        <f aca="false">F5051*G5051</f>
        <v>1564</v>
      </c>
      <c r="I5051" s="6" t="s">
        <v>5125</v>
      </c>
    </row>
    <row r="5052" customFormat="false" ht="15" hidden="false" customHeight="false" outlineLevel="0" collapsed="false">
      <c r="A5052" s="6" t="s">
        <v>10276</v>
      </c>
      <c r="B5052" s="6" t="s">
        <v>4727</v>
      </c>
      <c r="C5052" s="26" t="n">
        <v>46184</v>
      </c>
      <c r="D5052" s="6" t="s">
        <v>5185</v>
      </c>
      <c r="E5052" s="6" t="s">
        <v>24</v>
      </c>
      <c r="F5052" s="6" t="n">
        <v>3</v>
      </c>
      <c r="G5052" s="10" t="n">
        <v>1926</v>
      </c>
      <c r="H5052" s="10" t="n">
        <f aca="false">F5052*G5052</f>
        <v>5778</v>
      </c>
      <c r="I5052" s="6" t="s">
        <v>5173</v>
      </c>
    </row>
    <row r="5053" customFormat="false" ht="15" hidden="false" customHeight="false" outlineLevel="0" collapsed="false">
      <c r="A5053" s="6" t="s">
        <v>10277</v>
      </c>
      <c r="B5053" s="6" t="s">
        <v>1001</v>
      </c>
      <c r="C5053" s="26" t="n">
        <v>46184</v>
      </c>
      <c r="D5053" s="6" t="s">
        <v>5197</v>
      </c>
      <c r="E5053" s="6" t="s">
        <v>21</v>
      </c>
      <c r="F5053" s="6" t="n">
        <v>1</v>
      </c>
      <c r="G5053" s="10" t="n">
        <v>1080</v>
      </c>
      <c r="H5053" s="10" t="n">
        <f aca="false">F5053*G5053</f>
        <v>1080</v>
      </c>
      <c r="I5053" s="6" t="s">
        <v>5122</v>
      </c>
    </row>
    <row r="5054" customFormat="false" ht="15" hidden="false" customHeight="false" outlineLevel="0" collapsed="false">
      <c r="A5054" s="6" t="s">
        <v>10278</v>
      </c>
      <c r="B5054" s="6" t="s">
        <v>3579</v>
      </c>
      <c r="C5054" s="26" t="n">
        <v>46184</v>
      </c>
      <c r="D5054" s="6" t="s">
        <v>5220</v>
      </c>
      <c r="E5054" s="6" t="s">
        <v>24</v>
      </c>
      <c r="F5054" s="6" t="n">
        <v>1</v>
      </c>
      <c r="G5054" s="10" t="n">
        <v>1008</v>
      </c>
      <c r="H5054" s="10" t="n">
        <f aca="false">F5054*G5054</f>
        <v>1008</v>
      </c>
      <c r="I5054" s="6" t="s">
        <v>5122</v>
      </c>
    </row>
    <row r="5055" customFormat="false" ht="15" hidden="false" customHeight="false" outlineLevel="0" collapsed="false">
      <c r="A5055" s="6" t="s">
        <v>10279</v>
      </c>
      <c r="B5055" s="6" t="s">
        <v>3485</v>
      </c>
      <c r="C5055" s="26" t="n">
        <v>46184</v>
      </c>
      <c r="D5055" s="6" t="s">
        <v>5171</v>
      </c>
      <c r="E5055" s="6" t="s">
        <v>23</v>
      </c>
      <c r="F5055" s="6" t="n">
        <v>2</v>
      </c>
      <c r="G5055" s="10" t="n">
        <v>734</v>
      </c>
      <c r="H5055" s="10" t="n">
        <f aca="false">F5055*G5055</f>
        <v>1468</v>
      </c>
      <c r="I5055" s="6" t="s">
        <v>5148</v>
      </c>
    </row>
    <row r="5056" customFormat="false" ht="15" hidden="false" customHeight="false" outlineLevel="0" collapsed="false">
      <c r="A5056" s="6" t="s">
        <v>10280</v>
      </c>
      <c r="B5056" s="6" t="s">
        <v>3975</v>
      </c>
      <c r="C5056" s="26" t="n">
        <v>46184</v>
      </c>
      <c r="D5056" s="6" t="s">
        <v>5129</v>
      </c>
      <c r="E5056" s="6" t="s">
        <v>21</v>
      </c>
      <c r="F5056" s="6" t="n">
        <v>1</v>
      </c>
      <c r="G5056" s="10" t="n">
        <v>589</v>
      </c>
      <c r="H5056" s="10" t="n">
        <f aca="false">F5056*G5056</f>
        <v>589</v>
      </c>
      <c r="I5056" s="6" t="s">
        <v>5125</v>
      </c>
    </row>
    <row r="5057" customFormat="false" ht="15" hidden="false" customHeight="false" outlineLevel="0" collapsed="false">
      <c r="A5057" s="6" t="s">
        <v>10281</v>
      </c>
      <c r="B5057" s="6" t="s">
        <v>4117</v>
      </c>
      <c r="C5057" s="26" t="n">
        <v>46184</v>
      </c>
      <c r="D5057" s="6" t="s">
        <v>5326</v>
      </c>
      <c r="E5057" s="6" t="s">
        <v>22</v>
      </c>
      <c r="F5057" s="6" t="n">
        <v>2</v>
      </c>
      <c r="G5057" s="10" t="n">
        <v>1466</v>
      </c>
      <c r="H5057" s="10" t="n">
        <f aca="false">F5057*G5057</f>
        <v>2932</v>
      </c>
      <c r="I5057" s="6" t="s">
        <v>5148</v>
      </c>
    </row>
    <row r="5058" customFormat="false" ht="15" hidden="false" customHeight="false" outlineLevel="0" collapsed="false">
      <c r="A5058" s="6" t="s">
        <v>10282</v>
      </c>
      <c r="B5058" s="6" t="s">
        <v>691</v>
      </c>
      <c r="C5058" s="26" t="n">
        <v>46184</v>
      </c>
      <c r="D5058" s="6" t="s">
        <v>5482</v>
      </c>
      <c r="E5058" s="6" t="s">
        <v>23</v>
      </c>
      <c r="F5058" s="6" t="n">
        <v>2</v>
      </c>
      <c r="G5058" s="10" t="n">
        <v>243</v>
      </c>
      <c r="H5058" s="10" t="n">
        <f aca="false">F5058*G5058</f>
        <v>486</v>
      </c>
      <c r="I5058" s="6" t="s">
        <v>5125</v>
      </c>
    </row>
    <row r="5059" customFormat="false" ht="15" hidden="false" customHeight="false" outlineLevel="0" collapsed="false">
      <c r="A5059" s="6" t="s">
        <v>10283</v>
      </c>
      <c r="B5059" s="6" t="s">
        <v>1871</v>
      </c>
      <c r="C5059" s="26" t="n">
        <v>46184</v>
      </c>
      <c r="D5059" s="6" t="s">
        <v>5167</v>
      </c>
      <c r="E5059" s="6" t="s">
        <v>22</v>
      </c>
      <c r="F5059" s="6" t="n">
        <v>2</v>
      </c>
      <c r="G5059" s="10" t="n">
        <v>782</v>
      </c>
      <c r="H5059" s="10" t="n">
        <f aca="false">F5059*G5059</f>
        <v>1564</v>
      </c>
      <c r="I5059" s="6" t="s">
        <v>5122</v>
      </c>
    </row>
    <row r="5060" customFormat="false" ht="15" hidden="false" customHeight="false" outlineLevel="0" collapsed="false">
      <c r="A5060" s="6" t="s">
        <v>10284</v>
      </c>
      <c r="B5060" s="6" t="s">
        <v>2023</v>
      </c>
      <c r="C5060" s="26" t="n">
        <v>46184</v>
      </c>
      <c r="D5060" s="6" t="s">
        <v>5259</v>
      </c>
      <c r="E5060" s="6" t="s">
        <v>22</v>
      </c>
      <c r="F5060" s="6" t="n">
        <v>1</v>
      </c>
      <c r="G5060" s="10" t="n">
        <v>1564</v>
      </c>
      <c r="H5060" s="10" t="n">
        <f aca="false">F5060*G5060</f>
        <v>1564</v>
      </c>
      <c r="I5060" s="6" t="s">
        <v>5125</v>
      </c>
    </row>
    <row r="5061" customFormat="false" ht="15" hidden="false" customHeight="false" outlineLevel="0" collapsed="false">
      <c r="A5061" s="6" t="s">
        <v>10285</v>
      </c>
      <c r="B5061" s="6" t="s">
        <v>1585</v>
      </c>
      <c r="C5061" s="26" t="n">
        <v>46184</v>
      </c>
      <c r="D5061" s="6" t="s">
        <v>5163</v>
      </c>
      <c r="E5061" s="6" t="s">
        <v>23</v>
      </c>
      <c r="F5061" s="6" t="n">
        <v>3</v>
      </c>
      <c r="G5061" s="10" t="n">
        <v>705</v>
      </c>
      <c r="H5061" s="10" t="n">
        <f aca="false">F5061*G5061</f>
        <v>2115</v>
      </c>
      <c r="I5061" s="6" t="s">
        <v>5148</v>
      </c>
    </row>
    <row r="5062" customFormat="false" ht="15" hidden="false" customHeight="false" outlineLevel="0" collapsed="false">
      <c r="A5062" s="6" t="s">
        <v>10286</v>
      </c>
      <c r="B5062" s="6" t="s">
        <v>953</v>
      </c>
      <c r="C5062" s="26" t="n">
        <v>46184</v>
      </c>
      <c r="D5062" s="6" t="s">
        <v>5232</v>
      </c>
      <c r="E5062" s="6" t="s">
        <v>23</v>
      </c>
      <c r="F5062" s="6" t="n">
        <v>3</v>
      </c>
      <c r="G5062" s="10" t="n">
        <v>185</v>
      </c>
      <c r="H5062" s="10" t="n">
        <f aca="false">F5062*G5062</f>
        <v>555</v>
      </c>
      <c r="I5062" s="6" t="s">
        <v>5125</v>
      </c>
    </row>
    <row r="5063" customFormat="false" ht="15" hidden="false" customHeight="false" outlineLevel="0" collapsed="false">
      <c r="A5063" s="6" t="s">
        <v>10287</v>
      </c>
      <c r="B5063" s="6" t="s">
        <v>853</v>
      </c>
      <c r="C5063" s="26" t="n">
        <v>46184</v>
      </c>
      <c r="D5063" s="6" t="s">
        <v>5458</v>
      </c>
      <c r="E5063" s="6" t="s">
        <v>24</v>
      </c>
      <c r="F5063" s="6" t="n">
        <v>3</v>
      </c>
      <c r="G5063" s="10" t="n">
        <v>559</v>
      </c>
      <c r="H5063" s="10" t="n">
        <f aca="false">F5063*G5063</f>
        <v>1677</v>
      </c>
      <c r="I5063" s="6" t="s">
        <v>5148</v>
      </c>
    </row>
    <row r="5064" customFormat="false" ht="15" hidden="false" customHeight="false" outlineLevel="0" collapsed="false">
      <c r="A5064" s="6" t="s">
        <v>10288</v>
      </c>
      <c r="B5064" s="6" t="s">
        <v>4517</v>
      </c>
      <c r="C5064" s="26" t="n">
        <v>46184</v>
      </c>
      <c r="D5064" s="6" t="s">
        <v>5124</v>
      </c>
      <c r="E5064" s="6" t="s">
        <v>21</v>
      </c>
      <c r="F5064" s="6" t="n">
        <v>1</v>
      </c>
      <c r="G5064" s="10" t="n">
        <v>3439</v>
      </c>
      <c r="H5064" s="10" t="n">
        <f aca="false">F5064*G5064</f>
        <v>3439</v>
      </c>
      <c r="I5064" s="6" t="s">
        <v>5122</v>
      </c>
    </row>
    <row r="5065" customFormat="false" ht="15" hidden="false" customHeight="false" outlineLevel="0" collapsed="false">
      <c r="A5065" s="6" t="s">
        <v>10289</v>
      </c>
      <c r="B5065" s="6" t="s">
        <v>4249</v>
      </c>
      <c r="C5065" s="26" t="n">
        <v>46184</v>
      </c>
      <c r="D5065" s="6" t="s">
        <v>5345</v>
      </c>
      <c r="E5065" s="6" t="s">
        <v>23</v>
      </c>
      <c r="F5065" s="6" t="n">
        <v>3</v>
      </c>
      <c r="G5065" s="10" t="n">
        <v>436</v>
      </c>
      <c r="H5065" s="10" t="n">
        <f aca="false">F5065*G5065</f>
        <v>1308</v>
      </c>
      <c r="I5065" s="6" t="s">
        <v>5122</v>
      </c>
    </row>
    <row r="5066" customFormat="false" ht="15" hidden="false" customHeight="false" outlineLevel="0" collapsed="false">
      <c r="A5066" s="6" t="s">
        <v>10290</v>
      </c>
      <c r="B5066" s="6" t="s">
        <v>4863</v>
      </c>
      <c r="C5066" s="26" t="n">
        <v>46184</v>
      </c>
      <c r="D5066" s="6" t="s">
        <v>5313</v>
      </c>
      <c r="E5066" s="6" t="s">
        <v>22</v>
      </c>
      <c r="F5066" s="6" t="n">
        <v>1</v>
      </c>
      <c r="G5066" s="10" t="n">
        <v>1672</v>
      </c>
      <c r="H5066" s="10" t="n">
        <f aca="false">F5066*G5066</f>
        <v>1672</v>
      </c>
      <c r="I5066" s="6" t="s">
        <v>5125</v>
      </c>
    </row>
    <row r="5067" customFormat="false" ht="15" hidden="false" customHeight="false" outlineLevel="0" collapsed="false">
      <c r="A5067" s="6" t="s">
        <v>10291</v>
      </c>
      <c r="B5067" s="6" t="s">
        <v>4315</v>
      </c>
      <c r="C5067" s="26" t="n">
        <v>46184</v>
      </c>
      <c r="D5067" s="6" t="s">
        <v>5339</v>
      </c>
      <c r="E5067" s="6" t="s">
        <v>24</v>
      </c>
      <c r="F5067" s="6" t="n">
        <v>2</v>
      </c>
      <c r="G5067" s="10" t="n">
        <v>483</v>
      </c>
      <c r="H5067" s="10" t="n">
        <f aca="false">F5067*G5067</f>
        <v>966</v>
      </c>
      <c r="I5067" s="6" t="s">
        <v>5125</v>
      </c>
    </row>
    <row r="5068" customFormat="false" ht="15" hidden="false" customHeight="false" outlineLevel="0" collapsed="false">
      <c r="A5068" s="6" t="s">
        <v>10292</v>
      </c>
      <c r="B5068" s="6" t="s">
        <v>837</v>
      </c>
      <c r="C5068" s="26" t="n">
        <v>46184</v>
      </c>
      <c r="D5068" s="6" t="s">
        <v>5298</v>
      </c>
      <c r="E5068" s="6" t="s">
        <v>23</v>
      </c>
      <c r="F5068" s="6" t="n">
        <v>3</v>
      </c>
      <c r="G5068" s="10" t="n">
        <v>264</v>
      </c>
      <c r="H5068" s="10" t="n">
        <f aca="false">F5068*G5068</f>
        <v>792</v>
      </c>
      <c r="I5068" s="6" t="s">
        <v>5148</v>
      </c>
    </row>
    <row r="5069" customFormat="false" ht="15" hidden="false" customHeight="false" outlineLevel="0" collapsed="false">
      <c r="A5069" s="6" t="s">
        <v>10293</v>
      </c>
      <c r="B5069" s="6" t="s">
        <v>3803</v>
      </c>
      <c r="C5069" s="26" t="n">
        <v>46184</v>
      </c>
      <c r="D5069" s="6" t="s">
        <v>5167</v>
      </c>
      <c r="E5069" s="6" t="s">
        <v>22</v>
      </c>
      <c r="F5069" s="6" t="n">
        <v>3</v>
      </c>
      <c r="G5069" s="10" t="n">
        <v>743</v>
      </c>
      <c r="H5069" s="10" t="n">
        <f aca="false">F5069*G5069</f>
        <v>2229</v>
      </c>
      <c r="I5069" s="6" t="s">
        <v>5122</v>
      </c>
    </row>
    <row r="5070" customFormat="false" ht="15" hidden="false" customHeight="false" outlineLevel="0" collapsed="false">
      <c r="A5070" s="6" t="s">
        <v>10294</v>
      </c>
      <c r="B5070" s="6" t="s">
        <v>3195</v>
      </c>
      <c r="C5070" s="26" t="n">
        <v>46184</v>
      </c>
      <c r="D5070" s="6" t="s">
        <v>5163</v>
      </c>
      <c r="E5070" s="6" t="s">
        <v>23</v>
      </c>
      <c r="F5070" s="6" t="n">
        <v>4</v>
      </c>
      <c r="G5070" s="10" t="n">
        <v>705</v>
      </c>
      <c r="H5070" s="10" t="n">
        <f aca="false">F5070*G5070</f>
        <v>2820</v>
      </c>
      <c r="I5070" s="6" t="s">
        <v>5122</v>
      </c>
    </row>
    <row r="5071" customFormat="false" ht="15" hidden="false" customHeight="false" outlineLevel="0" collapsed="false">
      <c r="A5071" s="6" t="s">
        <v>10295</v>
      </c>
      <c r="B5071" s="6" t="s">
        <v>755</v>
      </c>
      <c r="C5071" s="26" t="n">
        <v>46184</v>
      </c>
      <c r="D5071" s="6" t="s">
        <v>5182</v>
      </c>
      <c r="E5071" s="6" t="s">
        <v>23</v>
      </c>
      <c r="F5071" s="6" t="n">
        <v>5</v>
      </c>
      <c r="G5071" s="10" t="n">
        <v>367</v>
      </c>
      <c r="H5071" s="10" t="n">
        <f aca="false">F5071*G5071</f>
        <v>1835</v>
      </c>
      <c r="I5071" s="6" t="s">
        <v>5122</v>
      </c>
    </row>
    <row r="5072" customFormat="false" ht="15" hidden="false" customHeight="false" outlineLevel="0" collapsed="false">
      <c r="A5072" s="6" t="s">
        <v>10296</v>
      </c>
      <c r="B5072" s="6" t="s">
        <v>265</v>
      </c>
      <c r="C5072" s="26" t="n">
        <v>46184</v>
      </c>
      <c r="D5072" s="6" t="s">
        <v>5160</v>
      </c>
      <c r="E5072" s="6" t="s">
        <v>21</v>
      </c>
      <c r="F5072" s="6" t="n">
        <v>1</v>
      </c>
      <c r="G5072" s="10" t="n">
        <v>2614</v>
      </c>
      <c r="H5072" s="10" t="n">
        <f aca="false">F5072*G5072</f>
        <v>2614</v>
      </c>
      <c r="I5072" s="6" t="s">
        <v>5148</v>
      </c>
    </row>
    <row r="5073" customFormat="false" ht="15" hidden="false" customHeight="false" outlineLevel="0" collapsed="false">
      <c r="A5073" s="6" t="s">
        <v>10297</v>
      </c>
      <c r="B5073" s="6" t="s">
        <v>3497</v>
      </c>
      <c r="C5073" s="26" t="n">
        <v>46184</v>
      </c>
      <c r="D5073" s="6" t="s">
        <v>5357</v>
      </c>
      <c r="E5073" s="6" t="s">
        <v>23</v>
      </c>
      <c r="F5073" s="6" t="n">
        <v>2</v>
      </c>
      <c r="G5073" s="10" t="n">
        <v>534</v>
      </c>
      <c r="H5073" s="10" t="n">
        <f aca="false">F5073*G5073</f>
        <v>1068</v>
      </c>
      <c r="I5073" s="6" t="s">
        <v>5122</v>
      </c>
    </row>
    <row r="5074" customFormat="false" ht="15" hidden="false" customHeight="false" outlineLevel="0" collapsed="false">
      <c r="A5074" s="6" t="s">
        <v>10298</v>
      </c>
      <c r="B5074" s="6" t="s">
        <v>2939</v>
      </c>
      <c r="C5074" s="26" t="n">
        <v>46184</v>
      </c>
      <c r="D5074" s="6" t="s">
        <v>5156</v>
      </c>
      <c r="E5074" s="6" t="s">
        <v>21</v>
      </c>
      <c r="F5074" s="6" t="n">
        <v>2</v>
      </c>
      <c r="G5074" s="10" t="n">
        <v>2161</v>
      </c>
      <c r="H5074" s="10" t="n">
        <f aca="false">F5074*G5074</f>
        <v>4322</v>
      </c>
      <c r="I5074" s="6" t="s">
        <v>5133</v>
      </c>
    </row>
    <row r="5075" customFormat="false" ht="15" hidden="false" customHeight="false" outlineLevel="0" collapsed="false">
      <c r="A5075" s="6" t="s">
        <v>10299</v>
      </c>
      <c r="B5075" s="6" t="s">
        <v>3219</v>
      </c>
      <c r="C5075" s="26" t="n">
        <v>46184</v>
      </c>
      <c r="D5075" s="6" t="s">
        <v>5237</v>
      </c>
      <c r="E5075" s="6" t="s">
        <v>24</v>
      </c>
      <c r="F5075" s="6" t="n">
        <v>1</v>
      </c>
      <c r="G5075" s="10" t="n">
        <v>1741</v>
      </c>
      <c r="H5075" s="10" t="n">
        <f aca="false">F5075*G5075</f>
        <v>1741</v>
      </c>
      <c r="I5075" s="6" t="s">
        <v>5130</v>
      </c>
    </row>
    <row r="5076" customFormat="false" ht="15" hidden="false" customHeight="false" outlineLevel="0" collapsed="false">
      <c r="A5076" s="6" t="s">
        <v>10300</v>
      </c>
      <c r="B5076" s="6" t="s">
        <v>3993</v>
      </c>
      <c r="C5076" s="26" t="n">
        <v>46184</v>
      </c>
      <c r="D5076" s="6" t="s">
        <v>5163</v>
      </c>
      <c r="E5076" s="6" t="s">
        <v>23</v>
      </c>
      <c r="F5076" s="6" t="n">
        <v>1</v>
      </c>
      <c r="G5076" s="10" t="n">
        <v>783</v>
      </c>
      <c r="H5076" s="10" t="n">
        <f aca="false">F5076*G5076</f>
        <v>783</v>
      </c>
      <c r="I5076" s="6" t="s">
        <v>5122</v>
      </c>
    </row>
    <row r="5077" customFormat="false" ht="15" hidden="false" customHeight="false" outlineLevel="0" collapsed="false">
      <c r="A5077" s="6" t="s">
        <v>10301</v>
      </c>
      <c r="B5077" s="6" t="s">
        <v>4411</v>
      </c>
      <c r="C5077" s="26" t="n">
        <v>46184</v>
      </c>
      <c r="D5077" s="6" t="s">
        <v>5143</v>
      </c>
      <c r="E5077" s="6" t="s">
        <v>21</v>
      </c>
      <c r="F5077" s="6" t="n">
        <v>2</v>
      </c>
      <c r="G5077" s="10" t="n">
        <v>1179</v>
      </c>
      <c r="H5077" s="10" t="n">
        <f aca="false">F5077*G5077</f>
        <v>2358</v>
      </c>
      <c r="I5077" s="6" t="s">
        <v>5122</v>
      </c>
    </row>
    <row r="5078" customFormat="false" ht="15" hidden="false" customHeight="false" outlineLevel="0" collapsed="false">
      <c r="A5078" s="6" t="s">
        <v>10302</v>
      </c>
      <c r="B5078" s="6" t="s">
        <v>2343</v>
      </c>
      <c r="C5078" s="26" t="n">
        <v>46184</v>
      </c>
      <c r="D5078" s="6" t="s">
        <v>5167</v>
      </c>
      <c r="E5078" s="6" t="s">
        <v>22</v>
      </c>
      <c r="F5078" s="6" t="n">
        <v>3</v>
      </c>
      <c r="G5078" s="10" t="n">
        <v>703</v>
      </c>
      <c r="H5078" s="10" t="n">
        <f aca="false">F5078*G5078</f>
        <v>2109</v>
      </c>
      <c r="I5078" s="6" t="s">
        <v>5130</v>
      </c>
    </row>
    <row r="5079" customFormat="false" ht="15" hidden="false" customHeight="false" outlineLevel="0" collapsed="false">
      <c r="A5079" s="6" t="s">
        <v>10303</v>
      </c>
      <c r="B5079" s="6" t="s">
        <v>3683</v>
      </c>
      <c r="C5079" s="26" t="n">
        <v>46184</v>
      </c>
      <c r="D5079" s="6" t="s">
        <v>5180</v>
      </c>
      <c r="E5079" s="6" t="s">
        <v>24</v>
      </c>
      <c r="F5079" s="6" t="n">
        <v>3</v>
      </c>
      <c r="G5079" s="10" t="n">
        <v>1987</v>
      </c>
      <c r="H5079" s="10" t="n">
        <f aca="false">F5079*G5079</f>
        <v>5961</v>
      </c>
      <c r="I5079" s="6" t="s">
        <v>5122</v>
      </c>
    </row>
    <row r="5080" customFormat="false" ht="15" hidden="false" customHeight="false" outlineLevel="0" collapsed="false">
      <c r="A5080" s="6" t="s">
        <v>10304</v>
      </c>
      <c r="B5080" s="6" t="s">
        <v>3941</v>
      </c>
      <c r="C5080" s="26" t="n">
        <v>46184</v>
      </c>
      <c r="D5080" s="6" t="s">
        <v>5398</v>
      </c>
      <c r="E5080" s="6" t="s">
        <v>24</v>
      </c>
      <c r="F5080" s="6" t="n">
        <v>3</v>
      </c>
      <c r="G5080" s="10" t="n">
        <v>610</v>
      </c>
      <c r="H5080" s="10" t="n">
        <f aca="false">F5080*G5080</f>
        <v>1830</v>
      </c>
      <c r="I5080" s="6" t="s">
        <v>5122</v>
      </c>
    </row>
    <row r="5081" customFormat="false" ht="15" hidden="false" customHeight="false" outlineLevel="0" collapsed="false">
      <c r="A5081" s="6" t="s">
        <v>10305</v>
      </c>
      <c r="B5081" s="6" t="s">
        <v>317</v>
      </c>
      <c r="C5081" s="26" t="n">
        <v>46184</v>
      </c>
      <c r="D5081" s="6" t="s">
        <v>5167</v>
      </c>
      <c r="E5081" s="6" t="s">
        <v>22</v>
      </c>
      <c r="F5081" s="6" t="n">
        <v>1</v>
      </c>
      <c r="G5081" s="10" t="n">
        <v>781</v>
      </c>
      <c r="H5081" s="10" t="n">
        <f aca="false">F5081*G5081</f>
        <v>781</v>
      </c>
      <c r="I5081" s="6" t="s">
        <v>5133</v>
      </c>
    </row>
    <row r="5082" customFormat="false" ht="15" hidden="false" customHeight="false" outlineLevel="0" collapsed="false">
      <c r="A5082" s="6" t="s">
        <v>10306</v>
      </c>
      <c r="B5082" s="6" t="s">
        <v>703</v>
      </c>
      <c r="C5082" s="26" t="n">
        <v>46184</v>
      </c>
      <c r="D5082" s="6" t="s">
        <v>5129</v>
      </c>
      <c r="E5082" s="6" t="s">
        <v>21</v>
      </c>
      <c r="F5082" s="6" t="n">
        <v>1</v>
      </c>
      <c r="G5082" s="10" t="n">
        <v>589</v>
      </c>
      <c r="H5082" s="10" t="n">
        <f aca="false">F5082*G5082</f>
        <v>589</v>
      </c>
      <c r="I5082" s="6" t="s">
        <v>5122</v>
      </c>
    </row>
    <row r="5083" customFormat="false" ht="15" hidden="false" customHeight="false" outlineLevel="0" collapsed="false">
      <c r="A5083" s="6" t="s">
        <v>10307</v>
      </c>
      <c r="B5083" s="6" t="s">
        <v>2759</v>
      </c>
      <c r="C5083" s="26" t="n">
        <v>46184</v>
      </c>
      <c r="D5083" s="6" t="s">
        <v>5167</v>
      </c>
      <c r="E5083" s="6" t="s">
        <v>22</v>
      </c>
      <c r="F5083" s="6" t="n">
        <v>2</v>
      </c>
      <c r="G5083" s="10" t="n">
        <v>782</v>
      </c>
      <c r="H5083" s="10" t="n">
        <f aca="false">F5083*G5083</f>
        <v>1564</v>
      </c>
      <c r="I5083" s="6" t="s">
        <v>5122</v>
      </c>
    </row>
    <row r="5084" customFormat="false" ht="15" hidden="false" customHeight="false" outlineLevel="0" collapsed="false">
      <c r="A5084" s="6" t="s">
        <v>10308</v>
      </c>
      <c r="B5084" s="6" t="s">
        <v>1253</v>
      </c>
      <c r="C5084" s="26" t="n">
        <v>46184</v>
      </c>
      <c r="D5084" s="6" t="s">
        <v>5488</v>
      </c>
      <c r="E5084" s="6" t="s">
        <v>24</v>
      </c>
      <c r="F5084" s="6" t="n">
        <v>2</v>
      </c>
      <c r="G5084" s="10" t="n">
        <v>866</v>
      </c>
      <c r="H5084" s="10" t="n">
        <f aca="false">F5084*G5084</f>
        <v>1732</v>
      </c>
      <c r="I5084" s="6" t="s">
        <v>5122</v>
      </c>
    </row>
    <row r="5085" customFormat="false" ht="15" hidden="false" customHeight="false" outlineLevel="0" collapsed="false">
      <c r="A5085" s="6" t="s">
        <v>10309</v>
      </c>
      <c r="B5085" s="6" t="s">
        <v>3047</v>
      </c>
      <c r="C5085" s="26" t="n">
        <v>46184</v>
      </c>
      <c r="D5085" s="6" t="s">
        <v>5180</v>
      </c>
      <c r="E5085" s="6" t="s">
        <v>24</v>
      </c>
      <c r="F5085" s="6" t="n">
        <v>1</v>
      </c>
      <c r="G5085" s="10" t="n">
        <v>1888</v>
      </c>
      <c r="H5085" s="10" t="n">
        <f aca="false">F5085*G5085</f>
        <v>1888</v>
      </c>
      <c r="I5085" s="6" t="s">
        <v>5173</v>
      </c>
    </row>
    <row r="5086" customFormat="false" ht="15" hidden="false" customHeight="false" outlineLevel="0" collapsed="false">
      <c r="A5086" s="6" t="s">
        <v>10310</v>
      </c>
      <c r="B5086" s="6" t="s">
        <v>3889</v>
      </c>
      <c r="C5086" s="26" t="n">
        <v>46184</v>
      </c>
      <c r="D5086" s="6" t="s">
        <v>5456</v>
      </c>
      <c r="E5086" s="6" t="s">
        <v>24</v>
      </c>
      <c r="F5086" s="6" t="n">
        <v>1</v>
      </c>
      <c r="G5086" s="10" t="n">
        <v>913</v>
      </c>
      <c r="H5086" s="10" t="n">
        <f aca="false">F5086*G5086</f>
        <v>913</v>
      </c>
      <c r="I5086" s="6" t="s">
        <v>5148</v>
      </c>
    </row>
    <row r="5087" customFormat="false" ht="15" hidden="false" customHeight="false" outlineLevel="0" collapsed="false">
      <c r="A5087" s="6" t="s">
        <v>10311</v>
      </c>
      <c r="B5087" s="6" t="s">
        <v>4175</v>
      </c>
      <c r="C5087" s="26" t="n">
        <v>46184</v>
      </c>
      <c r="D5087" s="6" t="s">
        <v>5180</v>
      </c>
      <c r="E5087" s="6" t="s">
        <v>24</v>
      </c>
      <c r="F5087" s="6" t="n">
        <v>3</v>
      </c>
      <c r="G5087" s="10" t="n">
        <v>1987</v>
      </c>
      <c r="H5087" s="10" t="n">
        <f aca="false">F5087*G5087</f>
        <v>5961</v>
      </c>
      <c r="I5087" s="6" t="s">
        <v>5122</v>
      </c>
    </row>
    <row r="5088" customFormat="false" ht="15" hidden="false" customHeight="false" outlineLevel="0" collapsed="false">
      <c r="A5088" s="6" t="s">
        <v>10312</v>
      </c>
      <c r="B5088" s="6" t="s">
        <v>4505</v>
      </c>
      <c r="C5088" s="26" t="n">
        <v>46184</v>
      </c>
      <c r="D5088" s="6" t="s">
        <v>5458</v>
      </c>
      <c r="E5088" s="6" t="s">
        <v>24</v>
      </c>
      <c r="F5088" s="6" t="n">
        <v>2</v>
      </c>
      <c r="G5088" s="10" t="n">
        <v>559</v>
      </c>
      <c r="H5088" s="10" t="n">
        <f aca="false">F5088*G5088</f>
        <v>1118</v>
      </c>
      <c r="I5088" s="6" t="s">
        <v>5148</v>
      </c>
    </row>
    <row r="5089" customFormat="false" ht="15" hidden="false" customHeight="false" outlineLevel="0" collapsed="false">
      <c r="A5089" s="6" t="s">
        <v>10313</v>
      </c>
      <c r="B5089" s="6" t="s">
        <v>3063</v>
      </c>
      <c r="C5089" s="26" t="n">
        <v>46184</v>
      </c>
      <c r="D5089" s="6" t="s">
        <v>5326</v>
      </c>
      <c r="E5089" s="6" t="s">
        <v>22</v>
      </c>
      <c r="F5089" s="6" t="n">
        <v>2</v>
      </c>
      <c r="G5089" s="10" t="n">
        <v>1466</v>
      </c>
      <c r="H5089" s="10" t="n">
        <f aca="false">F5089*G5089</f>
        <v>2932</v>
      </c>
      <c r="I5089" s="6" t="s">
        <v>5148</v>
      </c>
    </row>
    <row r="5090" customFormat="false" ht="15" hidden="false" customHeight="false" outlineLevel="0" collapsed="false">
      <c r="A5090" s="6" t="s">
        <v>10314</v>
      </c>
      <c r="B5090" s="6" t="s">
        <v>4429</v>
      </c>
      <c r="C5090" s="26" t="n">
        <v>46184</v>
      </c>
      <c r="D5090" s="6" t="s">
        <v>5135</v>
      </c>
      <c r="E5090" s="6" t="s">
        <v>23</v>
      </c>
      <c r="F5090" s="6" t="n">
        <v>3</v>
      </c>
      <c r="G5090" s="10" t="n">
        <v>441</v>
      </c>
      <c r="H5090" s="10" t="n">
        <f aca="false">F5090*G5090</f>
        <v>1323</v>
      </c>
      <c r="I5090" s="6" t="s">
        <v>5148</v>
      </c>
    </row>
    <row r="5091" customFormat="false" ht="15" hidden="false" customHeight="false" outlineLevel="0" collapsed="false">
      <c r="A5091" s="6" t="s">
        <v>10315</v>
      </c>
      <c r="B5091" s="6" t="s">
        <v>4585</v>
      </c>
      <c r="C5091" s="26" t="n">
        <v>46184</v>
      </c>
      <c r="D5091" s="6" t="s">
        <v>5143</v>
      </c>
      <c r="E5091" s="6" t="s">
        <v>21</v>
      </c>
      <c r="F5091" s="6" t="n">
        <v>1</v>
      </c>
      <c r="G5091" s="10" t="n">
        <v>1179</v>
      </c>
      <c r="H5091" s="10" t="n">
        <f aca="false">F5091*G5091</f>
        <v>1179</v>
      </c>
      <c r="I5091" s="6" t="s">
        <v>5173</v>
      </c>
    </row>
    <row r="5092" customFormat="false" ht="15" hidden="false" customHeight="false" outlineLevel="0" collapsed="false">
      <c r="A5092" s="6" t="s">
        <v>10316</v>
      </c>
      <c r="B5092" s="6" t="s">
        <v>396</v>
      </c>
      <c r="C5092" s="26" t="n">
        <v>46184</v>
      </c>
      <c r="D5092" s="6" t="s">
        <v>5269</v>
      </c>
      <c r="E5092" s="6" t="s">
        <v>22</v>
      </c>
      <c r="F5092" s="6" t="n">
        <v>1</v>
      </c>
      <c r="G5092" s="10" t="n">
        <v>1270</v>
      </c>
      <c r="H5092" s="10" t="n">
        <f aca="false">F5092*G5092</f>
        <v>1270</v>
      </c>
      <c r="I5092" s="6" t="s">
        <v>5148</v>
      </c>
    </row>
    <row r="5093" customFormat="false" ht="15" hidden="false" customHeight="false" outlineLevel="0" collapsed="false">
      <c r="A5093" s="6" t="s">
        <v>10317</v>
      </c>
      <c r="B5093" s="6" t="s">
        <v>2283</v>
      </c>
      <c r="C5093" s="26" t="n">
        <v>46184</v>
      </c>
      <c r="D5093" s="6" t="s">
        <v>5180</v>
      </c>
      <c r="E5093" s="6" t="s">
        <v>24</v>
      </c>
      <c r="F5093" s="6" t="n">
        <v>1</v>
      </c>
      <c r="G5093" s="10" t="n">
        <v>1987</v>
      </c>
      <c r="H5093" s="10" t="n">
        <f aca="false">F5093*G5093</f>
        <v>1987</v>
      </c>
      <c r="I5093" s="6" t="s">
        <v>5122</v>
      </c>
    </row>
    <row r="5094" customFormat="false" ht="15" hidden="false" customHeight="false" outlineLevel="0" collapsed="false">
      <c r="A5094" s="6" t="s">
        <v>10318</v>
      </c>
      <c r="B5094" s="6" t="s">
        <v>1017</v>
      </c>
      <c r="C5094" s="26" t="n">
        <v>46184</v>
      </c>
      <c r="D5094" s="6" t="s">
        <v>5163</v>
      </c>
      <c r="E5094" s="6" t="s">
        <v>23</v>
      </c>
      <c r="F5094" s="6" t="n">
        <v>3</v>
      </c>
      <c r="G5094" s="10" t="n">
        <v>744</v>
      </c>
      <c r="H5094" s="10" t="n">
        <f aca="false">F5094*G5094</f>
        <v>2232</v>
      </c>
      <c r="I5094" s="6" t="s">
        <v>5148</v>
      </c>
    </row>
    <row r="5095" customFormat="false" ht="15" hidden="false" customHeight="false" outlineLevel="0" collapsed="false">
      <c r="A5095" s="6" t="s">
        <v>10319</v>
      </c>
      <c r="B5095" s="6" t="s">
        <v>390</v>
      </c>
      <c r="C5095" s="26" t="n">
        <v>46184</v>
      </c>
      <c r="D5095" s="6" t="s">
        <v>5410</v>
      </c>
      <c r="E5095" s="6" t="s">
        <v>20</v>
      </c>
      <c r="F5095" s="6" t="n">
        <v>1</v>
      </c>
      <c r="G5095" s="10" t="n">
        <v>2548</v>
      </c>
      <c r="H5095" s="10" t="n">
        <f aca="false">F5095*G5095</f>
        <v>2548</v>
      </c>
      <c r="I5095" s="6" t="s">
        <v>5122</v>
      </c>
    </row>
    <row r="5096" customFormat="false" ht="15" hidden="false" customHeight="false" outlineLevel="0" collapsed="false">
      <c r="A5096" s="6" t="s">
        <v>10320</v>
      </c>
      <c r="B5096" s="6" t="s">
        <v>735</v>
      </c>
      <c r="C5096" s="26" t="n">
        <v>46184</v>
      </c>
      <c r="D5096" s="6" t="s">
        <v>5171</v>
      </c>
      <c r="E5096" s="6" t="s">
        <v>23</v>
      </c>
      <c r="F5096" s="6" t="n">
        <v>3</v>
      </c>
      <c r="G5096" s="10" t="n">
        <v>734</v>
      </c>
      <c r="H5096" s="10" t="n">
        <f aca="false">F5096*G5096</f>
        <v>2202</v>
      </c>
      <c r="I5096" s="6" t="s">
        <v>5133</v>
      </c>
    </row>
    <row r="5097" customFormat="false" ht="15" hidden="false" customHeight="false" outlineLevel="0" collapsed="false">
      <c r="A5097" s="6" t="s">
        <v>10321</v>
      </c>
      <c r="B5097" s="6" t="s">
        <v>2481</v>
      </c>
      <c r="C5097" s="26" t="n">
        <v>46185</v>
      </c>
      <c r="D5097" s="6" t="s">
        <v>5150</v>
      </c>
      <c r="E5097" s="6" t="s">
        <v>24</v>
      </c>
      <c r="F5097" s="6" t="n">
        <v>3</v>
      </c>
      <c r="G5097" s="10" t="n">
        <v>508</v>
      </c>
      <c r="H5097" s="10" t="n">
        <f aca="false">F5097*G5097</f>
        <v>1524</v>
      </c>
      <c r="I5097" s="6" t="s">
        <v>5130</v>
      </c>
    </row>
    <row r="5098" customFormat="false" ht="15" hidden="false" customHeight="false" outlineLevel="0" collapsed="false">
      <c r="A5098" s="6" t="s">
        <v>10322</v>
      </c>
      <c r="B5098" s="6" t="s">
        <v>2855</v>
      </c>
      <c r="C5098" s="26" t="n">
        <v>46185</v>
      </c>
      <c r="D5098" s="6" t="s">
        <v>5269</v>
      </c>
      <c r="E5098" s="6" t="s">
        <v>22</v>
      </c>
      <c r="F5098" s="6" t="n">
        <v>2</v>
      </c>
      <c r="G5098" s="10" t="n">
        <v>1271</v>
      </c>
      <c r="H5098" s="10" t="n">
        <f aca="false">F5098*G5098</f>
        <v>2542</v>
      </c>
      <c r="I5098" s="6" t="s">
        <v>5122</v>
      </c>
    </row>
    <row r="5099" customFormat="false" ht="15" hidden="false" customHeight="false" outlineLevel="0" collapsed="false">
      <c r="A5099" s="6" t="s">
        <v>10323</v>
      </c>
      <c r="B5099" s="6" t="s">
        <v>2405</v>
      </c>
      <c r="C5099" s="26" t="n">
        <v>46185</v>
      </c>
      <c r="D5099" s="6" t="s">
        <v>5197</v>
      </c>
      <c r="E5099" s="6" t="s">
        <v>21</v>
      </c>
      <c r="F5099" s="6" t="n">
        <v>1</v>
      </c>
      <c r="G5099" s="10" t="n">
        <v>1080</v>
      </c>
      <c r="H5099" s="10" t="n">
        <f aca="false">F5099*G5099</f>
        <v>1080</v>
      </c>
      <c r="I5099" s="6" t="s">
        <v>5122</v>
      </c>
    </row>
    <row r="5100" customFormat="false" ht="15" hidden="false" customHeight="false" outlineLevel="0" collapsed="false">
      <c r="A5100" s="6" t="s">
        <v>10324</v>
      </c>
      <c r="B5100" s="6" t="s">
        <v>358</v>
      </c>
      <c r="C5100" s="26" t="n">
        <v>46185</v>
      </c>
      <c r="D5100" s="6" t="s">
        <v>5167</v>
      </c>
      <c r="E5100" s="6" t="s">
        <v>22</v>
      </c>
      <c r="F5100" s="6" t="n">
        <v>1</v>
      </c>
      <c r="G5100" s="10" t="n">
        <v>782</v>
      </c>
      <c r="H5100" s="10" t="n">
        <f aca="false">F5100*G5100</f>
        <v>782</v>
      </c>
      <c r="I5100" s="6" t="s">
        <v>5148</v>
      </c>
    </row>
    <row r="5101" customFormat="false" ht="15" hidden="false" customHeight="false" outlineLevel="0" collapsed="false">
      <c r="A5101" s="6" t="s">
        <v>10325</v>
      </c>
      <c r="B5101" s="6" t="s">
        <v>1641</v>
      </c>
      <c r="C5101" s="26" t="n">
        <v>46185</v>
      </c>
      <c r="D5101" s="6" t="s">
        <v>5167</v>
      </c>
      <c r="E5101" s="6" t="s">
        <v>22</v>
      </c>
      <c r="F5101" s="6" t="n">
        <v>3</v>
      </c>
      <c r="G5101" s="10" t="n">
        <v>743</v>
      </c>
      <c r="H5101" s="10" t="n">
        <f aca="false">F5101*G5101</f>
        <v>2229</v>
      </c>
      <c r="I5101" s="6" t="s">
        <v>5122</v>
      </c>
    </row>
    <row r="5102" customFormat="false" ht="15" hidden="false" customHeight="false" outlineLevel="0" collapsed="false">
      <c r="A5102" s="6" t="s">
        <v>10326</v>
      </c>
      <c r="B5102" s="6" t="s">
        <v>2789</v>
      </c>
      <c r="C5102" s="26" t="n">
        <v>46185</v>
      </c>
      <c r="D5102" s="6" t="s">
        <v>5129</v>
      </c>
      <c r="E5102" s="6" t="s">
        <v>21</v>
      </c>
      <c r="F5102" s="6" t="n">
        <v>2</v>
      </c>
      <c r="G5102" s="10" t="n">
        <v>559</v>
      </c>
      <c r="H5102" s="10" t="n">
        <f aca="false">F5102*G5102</f>
        <v>1118</v>
      </c>
      <c r="I5102" s="6" t="s">
        <v>5148</v>
      </c>
    </row>
    <row r="5103" customFormat="false" ht="15" hidden="false" customHeight="false" outlineLevel="0" collapsed="false">
      <c r="A5103" s="6" t="s">
        <v>10327</v>
      </c>
      <c r="B5103" s="6" t="s">
        <v>1433</v>
      </c>
      <c r="C5103" s="26" t="n">
        <v>46185</v>
      </c>
      <c r="D5103" s="6" t="s">
        <v>5687</v>
      </c>
      <c r="E5103" s="6" t="s">
        <v>20</v>
      </c>
      <c r="F5103" s="6" t="n">
        <v>2</v>
      </c>
      <c r="G5103" s="10" t="n">
        <v>2039</v>
      </c>
      <c r="H5103" s="10" t="n">
        <f aca="false">F5103*G5103</f>
        <v>4078</v>
      </c>
      <c r="I5103" s="6" t="s">
        <v>5130</v>
      </c>
    </row>
    <row r="5104" customFormat="false" ht="15" hidden="false" customHeight="false" outlineLevel="0" collapsed="false">
      <c r="A5104" s="6" t="s">
        <v>10328</v>
      </c>
      <c r="B5104" s="6" t="s">
        <v>2909</v>
      </c>
      <c r="C5104" s="26" t="n">
        <v>46185</v>
      </c>
      <c r="D5104" s="6" t="s">
        <v>5127</v>
      </c>
      <c r="E5104" s="6" t="s">
        <v>21</v>
      </c>
      <c r="F5104" s="6" t="n">
        <v>1</v>
      </c>
      <c r="G5104" s="10" t="n">
        <v>884</v>
      </c>
      <c r="H5104" s="10" t="n">
        <f aca="false">F5104*G5104</f>
        <v>884</v>
      </c>
      <c r="I5104" s="6" t="s">
        <v>5148</v>
      </c>
    </row>
    <row r="5105" customFormat="false" ht="15" hidden="false" customHeight="false" outlineLevel="0" collapsed="false">
      <c r="A5105" s="6" t="s">
        <v>10329</v>
      </c>
      <c r="B5105" s="6" t="s">
        <v>2805</v>
      </c>
      <c r="C5105" s="26" t="n">
        <v>46185</v>
      </c>
      <c r="D5105" s="6" t="s">
        <v>5456</v>
      </c>
      <c r="E5105" s="6" t="s">
        <v>24</v>
      </c>
      <c r="F5105" s="6" t="n">
        <v>3</v>
      </c>
      <c r="G5105" s="10" t="n">
        <v>821</v>
      </c>
      <c r="H5105" s="10" t="n">
        <f aca="false">F5105*G5105</f>
        <v>2463</v>
      </c>
      <c r="I5105" s="6" t="s">
        <v>5122</v>
      </c>
    </row>
    <row r="5106" customFormat="false" ht="15" hidden="false" customHeight="false" outlineLevel="0" collapsed="false">
      <c r="A5106" s="6" t="s">
        <v>10330</v>
      </c>
      <c r="B5106" s="6" t="s">
        <v>5059</v>
      </c>
      <c r="C5106" s="26" t="n">
        <v>46185</v>
      </c>
      <c r="D5106" s="6" t="s">
        <v>5245</v>
      </c>
      <c r="E5106" s="6" t="s">
        <v>21</v>
      </c>
      <c r="F5106" s="6" t="n">
        <v>1</v>
      </c>
      <c r="G5106" s="10" t="n">
        <v>2334</v>
      </c>
      <c r="H5106" s="10" t="n">
        <f aca="false">F5106*G5106</f>
        <v>2334</v>
      </c>
      <c r="I5106" s="6" t="s">
        <v>5122</v>
      </c>
    </row>
    <row r="5107" customFormat="false" ht="15" hidden="false" customHeight="false" outlineLevel="0" collapsed="false">
      <c r="A5107" s="6" t="s">
        <v>10331</v>
      </c>
      <c r="B5107" s="6" t="s">
        <v>1369</v>
      </c>
      <c r="C5107" s="26" t="n">
        <v>46185</v>
      </c>
      <c r="D5107" s="6" t="s">
        <v>5158</v>
      </c>
      <c r="E5107" s="6" t="s">
        <v>24</v>
      </c>
      <c r="F5107" s="6" t="n">
        <v>2</v>
      </c>
      <c r="G5107" s="10" t="n">
        <v>411</v>
      </c>
      <c r="H5107" s="10" t="n">
        <f aca="false">F5107*G5107</f>
        <v>822</v>
      </c>
      <c r="I5107" s="6" t="s">
        <v>5122</v>
      </c>
    </row>
    <row r="5108" customFormat="false" ht="15" hidden="false" customHeight="false" outlineLevel="0" collapsed="false">
      <c r="A5108" s="6" t="s">
        <v>10332</v>
      </c>
      <c r="B5108" s="6" t="s">
        <v>287</v>
      </c>
      <c r="C5108" s="26" t="n">
        <v>46185</v>
      </c>
      <c r="D5108" s="6" t="s">
        <v>5135</v>
      </c>
      <c r="E5108" s="6" t="s">
        <v>23</v>
      </c>
      <c r="F5108" s="6" t="n">
        <v>1</v>
      </c>
      <c r="G5108" s="10" t="n">
        <v>441</v>
      </c>
      <c r="H5108" s="10" t="n">
        <f aca="false">F5108*G5108</f>
        <v>441</v>
      </c>
      <c r="I5108" s="6" t="s">
        <v>5148</v>
      </c>
    </row>
    <row r="5109" customFormat="false" ht="15" hidden="false" customHeight="false" outlineLevel="0" collapsed="false">
      <c r="A5109" s="6" t="s">
        <v>10333</v>
      </c>
      <c r="B5109" s="6" t="s">
        <v>2033</v>
      </c>
      <c r="C5109" s="26" t="n">
        <v>46185</v>
      </c>
      <c r="D5109" s="6" t="s">
        <v>5687</v>
      </c>
      <c r="E5109" s="6" t="s">
        <v>20</v>
      </c>
      <c r="F5109" s="6" t="n">
        <v>1</v>
      </c>
      <c r="G5109" s="10" t="n">
        <v>2039</v>
      </c>
      <c r="H5109" s="10" t="n">
        <f aca="false">F5109*G5109</f>
        <v>2039</v>
      </c>
      <c r="I5109" s="6" t="s">
        <v>5122</v>
      </c>
    </row>
    <row r="5110" customFormat="false" ht="15" hidden="false" customHeight="false" outlineLevel="0" collapsed="false">
      <c r="A5110" s="6" t="s">
        <v>10334</v>
      </c>
      <c r="B5110" s="6" t="s">
        <v>755</v>
      </c>
      <c r="C5110" s="26" t="n">
        <v>46185</v>
      </c>
      <c r="D5110" s="6" t="s">
        <v>5318</v>
      </c>
      <c r="E5110" s="6" t="s">
        <v>20</v>
      </c>
      <c r="F5110" s="6" t="n">
        <v>1</v>
      </c>
      <c r="G5110" s="10" t="n">
        <v>1529</v>
      </c>
      <c r="H5110" s="10" t="n">
        <f aca="false">F5110*G5110</f>
        <v>1529</v>
      </c>
      <c r="I5110" s="6" t="s">
        <v>5122</v>
      </c>
    </row>
    <row r="5111" customFormat="false" ht="15" hidden="false" customHeight="false" outlineLevel="0" collapsed="false">
      <c r="A5111" s="6" t="s">
        <v>10335</v>
      </c>
      <c r="B5111" s="6" t="s">
        <v>791</v>
      </c>
      <c r="C5111" s="26" t="n">
        <v>46185</v>
      </c>
      <c r="D5111" s="6" t="s">
        <v>5216</v>
      </c>
      <c r="E5111" s="6" t="s">
        <v>23</v>
      </c>
      <c r="F5111" s="6" t="n">
        <v>5</v>
      </c>
      <c r="G5111" s="10" t="n">
        <v>558</v>
      </c>
      <c r="H5111" s="10" t="n">
        <f aca="false">F5111*G5111</f>
        <v>2790</v>
      </c>
      <c r="I5111" s="6" t="s">
        <v>5148</v>
      </c>
    </row>
    <row r="5112" customFormat="false" ht="15" hidden="false" customHeight="false" outlineLevel="0" collapsed="false">
      <c r="A5112" s="6" t="s">
        <v>10336</v>
      </c>
      <c r="B5112" s="6" t="s">
        <v>463</v>
      </c>
      <c r="C5112" s="26" t="n">
        <v>46185</v>
      </c>
      <c r="D5112" s="6" t="s">
        <v>5145</v>
      </c>
      <c r="E5112" s="6" t="s">
        <v>21</v>
      </c>
      <c r="F5112" s="6" t="n">
        <v>1</v>
      </c>
      <c r="G5112" s="10" t="n">
        <v>1277</v>
      </c>
      <c r="H5112" s="10" t="n">
        <f aca="false">F5112*G5112</f>
        <v>1277</v>
      </c>
      <c r="I5112" s="6" t="s">
        <v>5148</v>
      </c>
    </row>
    <row r="5113" customFormat="false" ht="15" hidden="false" customHeight="false" outlineLevel="0" collapsed="false">
      <c r="A5113" s="6" t="s">
        <v>10337</v>
      </c>
      <c r="B5113" s="6" t="s">
        <v>3699</v>
      </c>
      <c r="C5113" s="26" t="n">
        <v>46185</v>
      </c>
      <c r="D5113" s="6" t="s">
        <v>5171</v>
      </c>
      <c r="E5113" s="6" t="s">
        <v>23</v>
      </c>
      <c r="F5113" s="6" t="n">
        <v>2</v>
      </c>
      <c r="G5113" s="10" t="n">
        <v>734</v>
      </c>
      <c r="H5113" s="10" t="n">
        <f aca="false">F5113*G5113</f>
        <v>1468</v>
      </c>
      <c r="I5113" s="6" t="s">
        <v>5130</v>
      </c>
    </row>
    <row r="5114" customFormat="false" ht="15" hidden="false" customHeight="false" outlineLevel="0" collapsed="false">
      <c r="A5114" s="6" t="s">
        <v>10338</v>
      </c>
      <c r="B5114" s="6" t="s">
        <v>4575</v>
      </c>
      <c r="C5114" s="26" t="n">
        <v>46185</v>
      </c>
      <c r="D5114" s="6" t="s">
        <v>5150</v>
      </c>
      <c r="E5114" s="6" t="s">
        <v>24</v>
      </c>
      <c r="F5114" s="6" t="n">
        <v>4</v>
      </c>
      <c r="G5114" s="10" t="n">
        <v>458</v>
      </c>
      <c r="H5114" s="10" t="n">
        <f aca="false">F5114*G5114</f>
        <v>1832</v>
      </c>
      <c r="I5114" s="6" t="s">
        <v>5122</v>
      </c>
    </row>
    <row r="5115" customFormat="false" ht="15" hidden="false" customHeight="false" outlineLevel="0" collapsed="false">
      <c r="A5115" s="6" t="s">
        <v>10339</v>
      </c>
      <c r="B5115" s="6" t="s">
        <v>3315</v>
      </c>
      <c r="C5115" s="26" t="n">
        <v>46185</v>
      </c>
      <c r="D5115" s="6" t="s">
        <v>5687</v>
      </c>
      <c r="E5115" s="6" t="s">
        <v>20</v>
      </c>
      <c r="F5115" s="6" t="n">
        <v>1</v>
      </c>
      <c r="G5115" s="10" t="n">
        <v>1835</v>
      </c>
      <c r="H5115" s="10" t="n">
        <f aca="false">F5115*G5115</f>
        <v>1835</v>
      </c>
      <c r="I5115" s="6" t="s">
        <v>5122</v>
      </c>
    </row>
    <row r="5116" customFormat="false" ht="15" hidden="false" customHeight="false" outlineLevel="0" collapsed="false">
      <c r="A5116" s="6" t="s">
        <v>10340</v>
      </c>
      <c r="B5116" s="6" t="s">
        <v>1991</v>
      </c>
      <c r="C5116" s="26" t="n">
        <v>46185</v>
      </c>
      <c r="D5116" s="6" t="s">
        <v>5691</v>
      </c>
      <c r="E5116" s="6" t="s">
        <v>21</v>
      </c>
      <c r="F5116" s="6" t="n">
        <v>1</v>
      </c>
      <c r="G5116" s="10" t="n">
        <v>5897</v>
      </c>
      <c r="H5116" s="10" t="n">
        <f aca="false">F5116*G5116</f>
        <v>5897</v>
      </c>
      <c r="I5116" s="6" t="s">
        <v>5125</v>
      </c>
    </row>
    <row r="5117" customFormat="false" ht="15" hidden="false" customHeight="false" outlineLevel="0" collapsed="false">
      <c r="A5117" s="6" t="s">
        <v>10341</v>
      </c>
      <c r="B5117" s="6" t="s">
        <v>4131</v>
      </c>
      <c r="C5117" s="26" t="n">
        <v>46185</v>
      </c>
      <c r="D5117" s="6" t="s">
        <v>5224</v>
      </c>
      <c r="E5117" s="6" t="s">
        <v>23</v>
      </c>
      <c r="F5117" s="6" t="n">
        <v>1</v>
      </c>
      <c r="G5117" s="10" t="n">
        <v>195</v>
      </c>
      <c r="H5117" s="10" t="n">
        <f aca="false">F5117*G5117</f>
        <v>195</v>
      </c>
      <c r="I5117" s="6" t="s">
        <v>5148</v>
      </c>
    </row>
    <row r="5118" customFormat="false" ht="15" hidden="false" customHeight="false" outlineLevel="0" collapsed="false">
      <c r="A5118" s="6" t="s">
        <v>10342</v>
      </c>
      <c r="B5118" s="6" t="s">
        <v>4571</v>
      </c>
      <c r="C5118" s="26" t="n">
        <v>46185</v>
      </c>
      <c r="D5118" s="6" t="s">
        <v>5167</v>
      </c>
      <c r="E5118" s="6" t="s">
        <v>22</v>
      </c>
      <c r="F5118" s="6" t="n">
        <v>4</v>
      </c>
      <c r="G5118" s="10" t="n">
        <v>782</v>
      </c>
      <c r="H5118" s="10" t="n">
        <f aca="false">F5118*G5118</f>
        <v>3128</v>
      </c>
      <c r="I5118" s="6" t="s">
        <v>5125</v>
      </c>
    </row>
    <row r="5119" customFormat="false" ht="15" hidden="false" customHeight="false" outlineLevel="0" collapsed="false">
      <c r="A5119" s="6" t="s">
        <v>10343</v>
      </c>
      <c r="B5119" s="6" t="s">
        <v>4147</v>
      </c>
      <c r="C5119" s="26" t="n">
        <v>46185</v>
      </c>
      <c r="D5119" s="6" t="s">
        <v>5165</v>
      </c>
      <c r="E5119" s="6" t="s">
        <v>22</v>
      </c>
      <c r="F5119" s="6" t="n">
        <v>2</v>
      </c>
      <c r="G5119" s="10" t="n">
        <v>928</v>
      </c>
      <c r="H5119" s="10" t="n">
        <f aca="false">F5119*G5119</f>
        <v>1856</v>
      </c>
      <c r="I5119" s="6" t="s">
        <v>5125</v>
      </c>
    </row>
    <row r="5120" customFormat="false" ht="15" hidden="false" customHeight="false" outlineLevel="0" collapsed="false">
      <c r="A5120" s="6" t="s">
        <v>10344</v>
      </c>
      <c r="B5120" s="6" t="s">
        <v>3007</v>
      </c>
      <c r="C5120" s="26" t="n">
        <v>46185</v>
      </c>
      <c r="D5120" s="6" t="s">
        <v>5235</v>
      </c>
      <c r="E5120" s="6" t="s">
        <v>21</v>
      </c>
      <c r="F5120" s="6" t="n">
        <v>1</v>
      </c>
      <c r="G5120" s="10" t="n">
        <v>1670</v>
      </c>
      <c r="H5120" s="10" t="n">
        <f aca="false">F5120*G5120</f>
        <v>1670</v>
      </c>
      <c r="I5120" s="6" t="s">
        <v>5125</v>
      </c>
    </row>
    <row r="5121" customFormat="false" ht="15" hidden="false" customHeight="false" outlineLevel="0" collapsed="false">
      <c r="A5121" s="6" t="s">
        <v>10345</v>
      </c>
      <c r="B5121" s="6" t="s">
        <v>2311</v>
      </c>
      <c r="C5121" s="26" t="n">
        <v>46185</v>
      </c>
      <c r="D5121" s="6" t="s">
        <v>5410</v>
      </c>
      <c r="E5121" s="6" t="s">
        <v>20</v>
      </c>
      <c r="F5121" s="6" t="n">
        <v>1</v>
      </c>
      <c r="G5121" s="10" t="n">
        <v>2547</v>
      </c>
      <c r="H5121" s="10" t="n">
        <f aca="false">F5121*G5121</f>
        <v>2547</v>
      </c>
      <c r="I5121" s="6" t="s">
        <v>5122</v>
      </c>
    </row>
    <row r="5122" customFormat="false" ht="15" hidden="false" customHeight="false" outlineLevel="0" collapsed="false">
      <c r="A5122" s="6" t="s">
        <v>10346</v>
      </c>
      <c r="B5122" s="6" t="s">
        <v>3755</v>
      </c>
      <c r="C5122" s="26" t="n">
        <v>46185</v>
      </c>
      <c r="D5122" s="6" t="s">
        <v>5423</v>
      </c>
      <c r="E5122" s="6" t="s">
        <v>21</v>
      </c>
      <c r="F5122" s="6" t="n">
        <v>1</v>
      </c>
      <c r="G5122" s="10" t="n">
        <v>3082</v>
      </c>
      <c r="H5122" s="10" t="n">
        <f aca="false">F5122*G5122</f>
        <v>3082</v>
      </c>
      <c r="I5122" s="6" t="s">
        <v>5125</v>
      </c>
    </row>
    <row r="5123" customFormat="false" ht="15" hidden="false" customHeight="false" outlineLevel="0" collapsed="false">
      <c r="A5123" s="6" t="s">
        <v>10347</v>
      </c>
      <c r="B5123" s="6" t="s">
        <v>3597</v>
      </c>
      <c r="C5123" s="26" t="n">
        <v>46185</v>
      </c>
      <c r="D5123" s="6" t="s">
        <v>5245</v>
      </c>
      <c r="E5123" s="6" t="s">
        <v>21</v>
      </c>
      <c r="F5123" s="6" t="n">
        <v>2</v>
      </c>
      <c r="G5123" s="10" t="n">
        <v>2334</v>
      </c>
      <c r="H5123" s="10" t="n">
        <f aca="false">F5123*G5123</f>
        <v>4668</v>
      </c>
      <c r="I5123" s="6" t="s">
        <v>5133</v>
      </c>
    </row>
    <row r="5124" customFormat="false" ht="15" hidden="false" customHeight="false" outlineLevel="0" collapsed="false">
      <c r="A5124" s="6" t="s">
        <v>10348</v>
      </c>
      <c r="B5124" s="6" t="s">
        <v>2603</v>
      </c>
      <c r="C5124" s="26" t="n">
        <v>46185</v>
      </c>
      <c r="D5124" s="6" t="s">
        <v>5143</v>
      </c>
      <c r="E5124" s="6" t="s">
        <v>21</v>
      </c>
      <c r="F5124" s="6" t="n">
        <v>1</v>
      </c>
      <c r="G5124" s="10" t="n">
        <v>1120</v>
      </c>
      <c r="H5124" s="10" t="n">
        <f aca="false">F5124*G5124</f>
        <v>1120</v>
      </c>
      <c r="I5124" s="6" t="s">
        <v>5122</v>
      </c>
    </row>
    <row r="5125" customFormat="false" ht="15" hidden="false" customHeight="false" outlineLevel="0" collapsed="false">
      <c r="A5125" s="6" t="s">
        <v>10349</v>
      </c>
      <c r="B5125" s="6" t="s">
        <v>4995</v>
      </c>
      <c r="C5125" s="26" t="n">
        <v>46185</v>
      </c>
      <c r="D5125" s="6" t="s">
        <v>5683</v>
      </c>
      <c r="E5125" s="6" t="s">
        <v>22</v>
      </c>
      <c r="F5125" s="6" t="n">
        <v>1</v>
      </c>
      <c r="G5125" s="10" t="n">
        <v>1584</v>
      </c>
      <c r="H5125" s="10" t="n">
        <f aca="false">F5125*G5125</f>
        <v>1584</v>
      </c>
      <c r="I5125" s="6" t="s">
        <v>5122</v>
      </c>
    </row>
    <row r="5126" customFormat="false" ht="15" hidden="false" customHeight="false" outlineLevel="0" collapsed="false">
      <c r="A5126" s="6" t="s">
        <v>10350</v>
      </c>
      <c r="B5126" s="6" t="s">
        <v>4797</v>
      </c>
      <c r="C5126" s="26" t="n">
        <v>46185</v>
      </c>
      <c r="D5126" s="6" t="s">
        <v>5226</v>
      </c>
      <c r="E5126" s="6" t="s">
        <v>24</v>
      </c>
      <c r="F5126" s="6" t="n">
        <v>2</v>
      </c>
      <c r="G5126" s="10" t="n">
        <v>457</v>
      </c>
      <c r="H5126" s="10" t="n">
        <f aca="false">F5126*G5126</f>
        <v>914</v>
      </c>
      <c r="I5126" s="6" t="s">
        <v>5122</v>
      </c>
    </row>
    <row r="5127" customFormat="false" ht="15" hidden="false" customHeight="false" outlineLevel="0" collapsed="false">
      <c r="A5127" s="6" t="s">
        <v>10351</v>
      </c>
      <c r="B5127" s="6" t="s">
        <v>1171</v>
      </c>
      <c r="C5127" s="26" t="n">
        <v>46185</v>
      </c>
      <c r="D5127" s="6" t="s">
        <v>5226</v>
      </c>
      <c r="E5127" s="6" t="s">
        <v>24</v>
      </c>
      <c r="F5127" s="6" t="n">
        <v>1</v>
      </c>
      <c r="G5127" s="10" t="n">
        <v>457</v>
      </c>
      <c r="H5127" s="10" t="n">
        <f aca="false">F5127*G5127</f>
        <v>457</v>
      </c>
      <c r="I5127" s="6" t="s">
        <v>5130</v>
      </c>
    </row>
    <row r="5128" customFormat="false" ht="15" hidden="false" customHeight="false" outlineLevel="0" collapsed="false">
      <c r="A5128" s="6" t="s">
        <v>10352</v>
      </c>
      <c r="B5128" s="6" t="s">
        <v>4541</v>
      </c>
      <c r="C5128" s="26" t="n">
        <v>46185</v>
      </c>
      <c r="D5128" s="6" t="s">
        <v>5207</v>
      </c>
      <c r="E5128" s="6" t="s">
        <v>20</v>
      </c>
      <c r="F5128" s="6" t="n">
        <v>1</v>
      </c>
      <c r="G5128" s="10" t="n">
        <v>1192</v>
      </c>
      <c r="H5128" s="10" t="n">
        <f aca="false">F5128*G5128</f>
        <v>1192</v>
      </c>
      <c r="I5128" s="6" t="s">
        <v>5122</v>
      </c>
    </row>
    <row r="5129" customFormat="false" ht="15" hidden="false" customHeight="false" outlineLevel="0" collapsed="false">
      <c r="A5129" s="6" t="s">
        <v>10353</v>
      </c>
      <c r="B5129" s="6" t="s">
        <v>4047</v>
      </c>
      <c r="C5129" s="26" t="n">
        <v>46185</v>
      </c>
      <c r="D5129" s="6" t="s">
        <v>5180</v>
      </c>
      <c r="E5129" s="6" t="s">
        <v>24</v>
      </c>
      <c r="F5129" s="6" t="n">
        <v>1</v>
      </c>
      <c r="G5129" s="10" t="n">
        <v>1987</v>
      </c>
      <c r="H5129" s="10" t="n">
        <f aca="false">F5129*G5129</f>
        <v>1987</v>
      </c>
      <c r="I5129" s="6" t="s">
        <v>5148</v>
      </c>
    </row>
    <row r="5130" customFormat="false" ht="15" hidden="false" customHeight="false" outlineLevel="0" collapsed="false">
      <c r="A5130" s="6" t="s">
        <v>10354</v>
      </c>
      <c r="B5130" s="6" t="s">
        <v>2469</v>
      </c>
      <c r="C5130" s="26" t="n">
        <v>46185</v>
      </c>
      <c r="D5130" s="6" t="s">
        <v>5423</v>
      </c>
      <c r="E5130" s="6" t="s">
        <v>21</v>
      </c>
      <c r="F5130" s="6" t="n">
        <v>1</v>
      </c>
      <c r="G5130" s="10" t="n">
        <v>2918</v>
      </c>
      <c r="H5130" s="10" t="n">
        <f aca="false">F5130*G5130</f>
        <v>2918</v>
      </c>
      <c r="I5130" s="6" t="s">
        <v>5122</v>
      </c>
    </row>
    <row r="5131" customFormat="false" ht="15" hidden="false" customHeight="false" outlineLevel="0" collapsed="false">
      <c r="A5131" s="6" t="s">
        <v>10355</v>
      </c>
      <c r="B5131" s="6" t="s">
        <v>3903</v>
      </c>
      <c r="C5131" s="26" t="n">
        <v>46185</v>
      </c>
      <c r="D5131" s="6" t="s">
        <v>5216</v>
      </c>
      <c r="E5131" s="6" t="s">
        <v>23</v>
      </c>
      <c r="F5131" s="6" t="n">
        <v>4</v>
      </c>
      <c r="G5131" s="10" t="n">
        <v>528</v>
      </c>
      <c r="H5131" s="10" t="n">
        <f aca="false">F5131*G5131</f>
        <v>2112</v>
      </c>
      <c r="I5131" s="6" t="s">
        <v>5122</v>
      </c>
    </row>
    <row r="5132" customFormat="false" ht="15" hidden="false" customHeight="false" outlineLevel="0" collapsed="false">
      <c r="A5132" s="6" t="s">
        <v>10356</v>
      </c>
      <c r="B5132" s="6" t="s">
        <v>2555</v>
      </c>
      <c r="C5132" s="26" t="n">
        <v>46185</v>
      </c>
      <c r="D5132" s="6" t="s">
        <v>5167</v>
      </c>
      <c r="E5132" s="6" t="s">
        <v>22</v>
      </c>
      <c r="F5132" s="6" t="n">
        <v>4</v>
      </c>
      <c r="G5132" s="10" t="n">
        <v>703</v>
      </c>
      <c r="H5132" s="10" t="n">
        <f aca="false">F5132*G5132</f>
        <v>2812</v>
      </c>
      <c r="I5132" s="6" t="s">
        <v>5130</v>
      </c>
    </row>
    <row r="5133" customFormat="false" ht="15" hidden="false" customHeight="false" outlineLevel="0" collapsed="false">
      <c r="A5133" s="6" t="s">
        <v>10357</v>
      </c>
      <c r="B5133" s="6" t="s">
        <v>2001</v>
      </c>
      <c r="C5133" s="26" t="n">
        <v>46185</v>
      </c>
      <c r="D5133" s="6" t="s">
        <v>5410</v>
      </c>
      <c r="E5133" s="6" t="s">
        <v>20</v>
      </c>
      <c r="F5133" s="6" t="n">
        <v>1</v>
      </c>
      <c r="G5133" s="10" t="n">
        <v>2548</v>
      </c>
      <c r="H5133" s="10" t="n">
        <f aca="false">F5133*G5133</f>
        <v>2548</v>
      </c>
      <c r="I5133" s="6" t="s">
        <v>5148</v>
      </c>
    </row>
    <row r="5134" customFormat="false" ht="15" hidden="false" customHeight="false" outlineLevel="0" collapsed="false">
      <c r="A5134" s="6" t="s">
        <v>10358</v>
      </c>
      <c r="B5134" s="6" t="s">
        <v>3143</v>
      </c>
      <c r="C5134" s="26" t="n">
        <v>46186</v>
      </c>
      <c r="D5134" s="6" t="s">
        <v>5127</v>
      </c>
      <c r="E5134" s="6" t="s">
        <v>21</v>
      </c>
      <c r="F5134" s="6" t="n">
        <v>1</v>
      </c>
      <c r="G5134" s="10" t="n">
        <v>885</v>
      </c>
      <c r="H5134" s="10" t="n">
        <f aca="false">F5134*G5134</f>
        <v>885</v>
      </c>
      <c r="I5134" s="6" t="s">
        <v>5125</v>
      </c>
    </row>
    <row r="5135" customFormat="false" ht="15" hidden="false" customHeight="false" outlineLevel="0" collapsed="false">
      <c r="A5135" s="6" t="s">
        <v>10359</v>
      </c>
      <c r="B5135" s="6" t="s">
        <v>807</v>
      </c>
      <c r="C5135" s="26" t="n">
        <v>46186</v>
      </c>
      <c r="D5135" s="6" t="s">
        <v>5235</v>
      </c>
      <c r="E5135" s="6" t="s">
        <v>21</v>
      </c>
      <c r="F5135" s="6" t="n">
        <v>1</v>
      </c>
      <c r="G5135" s="10" t="n">
        <v>1586</v>
      </c>
      <c r="H5135" s="10" t="n">
        <f aca="false">F5135*G5135</f>
        <v>1586</v>
      </c>
      <c r="I5135" s="6" t="s">
        <v>5130</v>
      </c>
    </row>
    <row r="5136" customFormat="false" ht="15" hidden="false" customHeight="false" outlineLevel="0" collapsed="false">
      <c r="A5136" s="6" t="s">
        <v>10360</v>
      </c>
      <c r="B5136" s="6" t="s">
        <v>1345</v>
      </c>
      <c r="C5136" s="26" t="n">
        <v>46186</v>
      </c>
      <c r="D5136" s="6" t="s">
        <v>5687</v>
      </c>
      <c r="E5136" s="6" t="s">
        <v>20</v>
      </c>
      <c r="F5136" s="6" t="n">
        <v>1</v>
      </c>
      <c r="G5136" s="10" t="n">
        <v>2038</v>
      </c>
      <c r="H5136" s="10" t="n">
        <f aca="false">F5136*G5136</f>
        <v>2038</v>
      </c>
      <c r="I5136" s="6" t="s">
        <v>5133</v>
      </c>
    </row>
    <row r="5137" customFormat="false" ht="15" hidden="false" customHeight="false" outlineLevel="0" collapsed="false">
      <c r="A5137" s="6" t="s">
        <v>10361</v>
      </c>
      <c r="B5137" s="6" t="s">
        <v>1199</v>
      </c>
      <c r="C5137" s="26" t="n">
        <v>46186</v>
      </c>
      <c r="D5137" s="6" t="s">
        <v>5163</v>
      </c>
      <c r="E5137" s="6" t="s">
        <v>23</v>
      </c>
      <c r="F5137" s="6" t="n">
        <v>4</v>
      </c>
      <c r="G5137" s="10" t="n">
        <v>744</v>
      </c>
      <c r="H5137" s="10" t="n">
        <f aca="false">F5137*G5137</f>
        <v>2976</v>
      </c>
      <c r="I5137" s="6" t="s">
        <v>5148</v>
      </c>
    </row>
    <row r="5138" customFormat="false" ht="15" hidden="false" customHeight="false" outlineLevel="0" collapsed="false">
      <c r="A5138" s="6" t="s">
        <v>10362</v>
      </c>
      <c r="B5138" s="6" t="s">
        <v>3233</v>
      </c>
      <c r="C5138" s="26" t="n">
        <v>46186</v>
      </c>
      <c r="D5138" s="6" t="s">
        <v>5261</v>
      </c>
      <c r="E5138" s="6" t="s">
        <v>23</v>
      </c>
      <c r="F5138" s="6" t="n">
        <v>2</v>
      </c>
      <c r="G5138" s="10" t="n">
        <v>175</v>
      </c>
      <c r="H5138" s="10" t="n">
        <f aca="false">F5138*G5138</f>
        <v>350</v>
      </c>
      <c r="I5138" s="6" t="s">
        <v>5130</v>
      </c>
    </row>
    <row r="5139" customFormat="false" ht="15" hidden="false" customHeight="false" outlineLevel="0" collapsed="false">
      <c r="A5139" s="6" t="s">
        <v>10363</v>
      </c>
      <c r="B5139" s="6" t="s">
        <v>2005</v>
      </c>
      <c r="C5139" s="26" t="n">
        <v>46186</v>
      </c>
      <c r="D5139" s="6" t="s">
        <v>5245</v>
      </c>
      <c r="E5139" s="6" t="s">
        <v>21</v>
      </c>
      <c r="F5139" s="6" t="n">
        <v>1</v>
      </c>
      <c r="G5139" s="10" t="n">
        <v>2456</v>
      </c>
      <c r="H5139" s="10" t="n">
        <f aca="false">F5139*G5139</f>
        <v>2456</v>
      </c>
      <c r="I5139" s="6" t="s">
        <v>5122</v>
      </c>
    </row>
    <row r="5140" customFormat="false" ht="15" hidden="false" customHeight="false" outlineLevel="0" collapsed="false">
      <c r="A5140" s="6" t="s">
        <v>10364</v>
      </c>
      <c r="B5140" s="6" t="s">
        <v>1189</v>
      </c>
      <c r="C5140" s="26" t="n">
        <v>46186</v>
      </c>
      <c r="D5140" s="6" t="s">
        <v>5167</v>
      </c>
      <c r="E5140" s="6" t="s">
        <v>22</v>
      </c>
      <c r="F5140" s="6" t="n">
        <v>2</v>
      </c>
      <c r="G5140" s="10" t="n">
        <v>782</v>
      </c>
      <c r="H5140" s="10" t="n">
        <f aca="false">F5140*G5140</f>
        <v>1564</v>
      </c>
      <c r="I5140" s="6" t="s">
        <v>5122</v>
      </c>
    </row>
    <row r="5141" customFormat="false" ht="15" hidden="false" customHeight="false" outlineLevel="0" collapsed="false">
      <c r="A5141" s="6" t="s">
        <v>10365</v>
      </c>
      <c r="B5141" s="6" t="s">
        <v>473</v>
      </c>
      <c r="C5141" s="26" t="n">
        <v>46186</v>
      </c>
      <c r="D5141" s="6" t="s">
        <v>5165</v>
      </c>
      <c r="E5141" s="6" t="s">
        <v>22</v>
      </c>
      <c r="F5141" s="6" t="n">
        <v>1</v>
      </c>
      <c r="G5141" s="10" t="n">
        <v>879</v>
      </c>
      <c r="H5141" s="10" t="n">
        <f aca="false">F5141*G5141</f>
        <v>879</v>
      </c>
      <c r="I5141" s="6" t="s">
        <v>5148</v>
      </c>
    </row>
    <row r="5142" customFormat="false" ht="15" hidden="false" customHeight="false" outlineLevel="0" collapsed="false">
      <c r="A5142" s="6" t="s">
        <v>10366</v>
      </c>
      <c r="B5142" s="6" t="s">
        <v>4391</v>
      </c>
      <c r="C5142" s="26" t="n">
        <v>46186</v>
      </c>
      <c r="D5142" s="6" t="s">
        <v>5150</v>
      </c>
      <c r="E5142" s="6" t="s">
        <v>24</v>
      </c>
      <c r="F5142" s="6" t="n">
        <v>3</v>
      </c>
      <c r="G5142" s="10" t="n">
        <v>508</v>
      </c>
      <c r="H5142" s="10" t="n">
        <f aca="false">F5142*G5142</f>
        <v>1524</v>
      </c>
      <c r="I5142" s="6" t="s">
        <v>5130</v>
      </c>
    </row>
    <row r="5143" customFormat="false" ht="15" hidden="false" customHeight="false" outlineLevel="0" collapsed="false">
      <c r="A5143" s="6" t="s">
        <v>10367</v>
      </c>
      <c r="B5143" s="6" t="s">
        <v>3913</v>
      </c>
      <c r="C5143" s="26" t="n">
        <v>46186</v>
      </c>
      <c r="D5143" s="6" t="s">
        <v>5167</v>
      </c>
      <c r="E5143" s="6" t="s">
        <v>22</v>
      </c>
      <c r="F5143" s="6" t="n">
        <v>2</v>
      </c>
      <c r="G5143" s="10" t="n">
        <v>782</v>
      </c>
      <c r="H5143" s="10" t="n">
        <f aca="false">F5143*G5143</f>
        <v>1564</v>
      </c>
      <c r="I5143" s="6" t="s">
        <v>5122</v>
      </c>
    </row>
    <row r="5144" customFormat="false" ht="15" hidden="false" customHeight="false" outlineLevel="0" collapsed="false">
      <c r="A5144" s="6" t="s">
        <v>10368</v>
      </c>
      <c r="B5144" s="6" t="s">
        <v>4129</v>
      </c>
      <c r="C5144" s="26" t="n">
        <v>46186</v>
      </c>
      <c r="D5144" s="6" t="s">
        <v>5171</v>
      </c>
      <c r="E5144" s="6" t="s">
        <v>23</v>
      </c>
      <c r="F5144" s="6" t="n">
        <v>2</v>
      </c>
      <c r="G5144" s="10" t="n">
        <v>697</v>
      </c>
      <c r="H5144" s="10" t="n">
        <f aca="false">F5144*G5144</f>
        <v>1394</v>
      </c>
      <c r="I5144" s="6" t="s">
        <v>5122</v>
      </c>
    </row>
    <row r="5145" customFormat="false" ht="15" hidden="false" customHeight="false" outlineLevel="0" collapsed="false">
      <c r="A5145" s="6" t="s">
        <v>10369</v>
      </c>
      <c r="B5145" s="6" t="s">
        <v>4657</v>
      </c>
      <c r="C5145" s="26" t="n">
        <v>46186</v>
      </c>
      <c r="D5145" s="6" t="s">
        <v>5167</v>
      </c>
      <c r="E5145" s="6" t="s">
        <v>22</v>
      </c>
      <c r="F5145" s="6" t="n">
        <v>3</v>
      </c>
      <c r="G5145" s="10" t="n">
        <v>782</v>
      </c>
      <c r="H5145" s="10" t="n">
        <f aca="false">F5145*G5145</f>
        <v>2346</v>
      </c>
      <c r="I5145" s="6" t="s">
        <v>5133</v>
      </c>
    </row>
    <row r="5146" customFormat="false" ht="15" hidden="false" customHeight="false" outlineLevel="0" collapsed="false">
      <c r="A5146" s="6" t="s">
        <v>10370</v>
      </c>
      <c r="B5146" s="6" t="s">
        <v>1157</v>
      </c>
      <c r="C5146" s="26" t="n">
        <v>46186</v>
      </c>
      <c r="D5146" s="6" t="s">
        <v>5139</v>
      </c>
      <c r="E5146" s="6" t="s">
        <v>23</v>
      </c>
      <c r="F5146" s="6" t="n">
        <v>1</v>
      </c>
      <c r="G5146" s="10" t="n">
        <v>279</v>
      </c>
      <c r="H5146" s="10" t="n">
        <f aca="false">F5146*G5146</f>
        <v>279</v>
      </c>
      <c r="I5146" s="6" t="s">
        <v>5130</v>
      </c>
    </row>
    <row r="5147" customFormat="false" ht="15" hidden="false" customHeight="false" outlineLevel="0" collapsed="false">
      <c r="A5147" s="6" t="s">
        <v>10371</v>
      </c>
      <c r="B5147" s="6" t="s">
        <v>1965</v>
      </c>
      <c r="C5147" s="26" t="n">
        <v>46186</v>
      </c>
      <c r="D5147" s="6" t="s">
        <v>5202</v>
      </c>
      <c r="E5147" s="6" t="s">
        <v>23</v>
      </c>
      <c r="F5147" s="6" t="n">
        <v>4</v>
      </c>
      <c r="G5147" s="10" t="n">
        <v>245</v>
      </c>
      <c r="H5147" s="10" t="n">
        <f aca="false">F5147*G5147</f>
        <v>980</v>
      </c>
      <c r="I5147" s="6" t="s">
        <v>5148</v>
      </c>
    </row>
    <row r="5148" customFormat="false" ht="15" hidden="false" customHeight="false" outlineLevel="0" collapsed="false">
      <c r="A5148" s="6" t="s">
        <v>10372</v>
      </c>
      <c r="B5148" s="6" t="s">
        <v>3549</v>
      </c>
      <c r="C5148" s="26" t="n">
        <v>46186</v>
      </c>
      <c r="D5148" s="6" t="s">
        <v>5318</v>
      </c>
      <c r="E5148" s="6" t="s">
        <v>20</v>
      </c>
      <c r="F5148" s="6" t="n">
        <v>1</v>
      </c>
      <c r="G5148" s="10" t="n">
        <v>1529</v>
      </c>
      <c r="H5148" s="10" t="n">
        <f aca="false">F5148*G5148</f>
        <v>1529</v>
      </c>
      <c r="I5148" s="6" t="s">
        <v>5122</v>
      </c>
    </row>
    <row r="5149" customFormat="false" ht="15" hidden="false" customHeight="false" outlineLevel="0" collapsed="false">
      <c r="A5149" s="6" t="s">
        <v>10373</v>
      </c>
      <c r="B5149" s="6" t="s">
        <v>2109</v>
      </c>
      <c r="C5149" s="26" t="n">
        <v>46186</v>
      </c>
      <c r="D5149" s="6" t="s">
        <v>5353</v>
      </c>
      <c r="E5149" s="6" t="s">
        <v>24</v>
      </c>
      <c r="F5149" s="6" t="n">
        <v>2</v>
      </c>
      <c r="G5149" s="10" t="n">
        <v>1466</v>
      </c>
      <c r="H5149" s="10" t="n">
        <f aca="false">F5149*G5149</f>
        <v>2932</v>
      </c>
      <c r="I5149" s="6" t="s">
        <v>5130</v>
      </c>
    </row>
    <row r="5150" customFormat="false" ht="15" hidden="false" customHeight="false" outlineLevel="0" collapsed="false">
      <c r="A5150" s="6" t="s">
        <v>10374</v>
      </c>
      <c r="B5150" s="6" t="s">
        <v>2893</v>
      </c>
      <c r="C5150" s="26" t="n">
        <v>46186</v>
      </c>
      <c r="D5150" s="6" t="s">
        <v>5165</v>
      </c>
      <c r="E5150" s="6" t="s">
        <v>22</v>
      </c>
      <c r="F5150" s="6" t="n">
        <v>3</v>
      </c>
      <c r="G5150" s="10" t="n">
        <v>977</v>
      </c>
      <c r="H5150" s="10" t="n">
        <f aca="false">F5150*G5150</f>
        <v>2931</v>
      </c>
      <c r="I5150" s="6" t="s">
        <v>5173</v>
      </c>
    </row>
    <row r="5151" customFormat="false" ht="15" hidden="false" customHeight="false" outlineLevel="0" collapsed="false">
      <c r="A5151" s="6" t="s">
        <v>10375</v>
      </c>
      <c r="B5151" s="6" t="s">
        <v>2951</v>
      </c>
      <c r="C5151" s="26" t="n">
        <v>46186</v>
      </c>
      <c r="D5151" s="6" t="s">
        <v>5171</v>
      </c>
      <c r="E5151" s="6" t="s">
        <v>23</v>
      </c>
      <c r="F5151" s="6" t="n">
        <v>4</v>
      </c>
      <c r="G5151" s="10" t="n">
        <v>734</v>
      </c>
      <c r="H5151" s="10" t="n">
        <f aca="false">F5151*G5151</f>
        <v>2936</v>
      </c>
      <c r="I5151" s="6" t="s">
        <v>5148</v>
      </c>
    </row>
    <row r="5152" customFormat="false" ht="15" hidden="false" customHeight="false" outlineLevel="0" collapsed="false">
      <c r="A5152" s="6" t="s">
        <v>10376</v>
      </c>
      <c r="B5152" s="6" t="s">
        <v>2105</v>
      </c>
      <c r="C5152" s="26" t="n">
        <v>46186</v>
      </c>
      <c r="D5152" s="6" t="s">
        <v>5137</v>
      </c>
      <c r="E5152" s="6" t="s">
        <v>21</v>
      </c>
      <c r="F5152" s="6" t="n">
        <v>1</v>
      </c>
      <c r="G5152" s="10" t="n">
        <v>1768</v>
      </c>
      <c r="H5152" s="10" t="n">
        <f aca="false">F5152*G5152</f>
        <v>1768</v>
      </c>
      <c r="I5152" s="6" t="s">
        <v>5130</v>
      </c>
    </row>
    <row r="5153" customFormat="false" ht="15" hidden="false" customHeight="false" outlineLevel="0" collapsed="false">
      <c r="A5153" s="6" t="s">
        <v>10377</v>
      </c>
      <c r="B5153" s="6" t="s">
        <v>144</v>
      </c>
      <c r="C5153" s="26" t="n">
        <v>46186</v>
      </c>
      <c r="D5153" s="6" t="s">
        <v>5561</v>
      </c>
      <c r="E5153" s="6" t="s">
        <v>20</v>
      </c>
      <c r="F5153" s="6" t="n">
        <v>1</v>
      </c>
      <c r="G5153" s="10" t="n">
        <v>3196</v>
      </c>
      <c r="H5153" s="10" t="n">
        <f aca="false">F5153*G5153</f>
        <v>3196</v>
      </c>
      <c r="I5153" s="6" t="s">
        <v>5148</v>
      </c>
    </row>
    <row r="5154" customFormat="false" ht="15" hidden="false" customHeight="false" outlineLevel="0" collapsed="false">
      <c r="A5154" s="6" t="s">
        <v>10378</v>
      </c>
      <c r="B5154" s="6" t="s">
        <v>4929</v>
      </c>
      <c r="C5154" s="26" t="n">
        <v>46186</v>
      </c>
      <c r="D5154" s="6" t="s">
        <v>5357</v>
      </c>
      <c r="E5154" s="6" t="s">
        <v>23</v>
      </c>
      <c r="F5154" s="6" t="n">
        <v>1</v>
      </c>
      <c r="G5154" s="10" t="n">
        <v>534</v>
      </c>
      <c r="H5154" s="10" t="n">
        <f aca="false">F5154*G5154</f>
        <v>534</v>
      </c>
      <c r="I5154" s="6" t="s">
        <v>5122</v>
      </c>
    </row>
    <row r="5155" customFormat="false" ht="15" hidden="false" customHeight="false" outlineLevel="0" collapsed="false">
      <c r="A5155" s="6" t="s">
        <v>10379</v>
      </c>
      <c r="B5155" s="6" t="s">
        <v>3835</v>
      </c>
      <c r="C5155" s="26" t="n">
        <v>46186</v>
      </c>
      <c r="D5155" s="6" t="s">
        <v>5410</v>
      </c>
      <c r="E5155" s="6" t="s">
        <v>20</v>
      </c>
      <c r="F5155" s="6" t="n">
        <v>1</v>
      </c>
      <c r="G5155" s="10" t="n">
        <v>2421</v>
      </c>
      <c r="H5155" s="10" t="n">
        <f aca="false">F5155*G5155</f>
        <v>2421</v>
      </c>
      <c r="I5155" s="6" t="s">
        <v>5125</v>
      </c>
    </row>
    <row r="5156" customFormat="false" ht="15" hidden="false" customHeight="false" outlineLevel="0" collapsed="false">
      <c r="A5156" s="6" t="s">
        <v>10380</v>
      </c>
      <c r="B5156" s="6" t="s">
        <v>2155</v>
      </c>
      <c r="C5156" s="26" t="n">
        <v>46186</v>
      </c>
      <c r="D5156" s="6" t="s">
        <v>5165</v>
      </c>
      <c r="E5156" s="6" t="s">
        <v>22</v>
      </c>
      <c r="F5156" s="6" t="n">
        <v>1</v>
      </c>
      <c r="G5156" s="10" t="n">
        <v>880</v>
      </c>
      <c r="H5156" s="10" t="n">
        <f aca="false">F5156*G5156</f>
        <v>880</v>
      </c>
      <c r="I5156" s="6" t="s">
        <v>5148</v>
      </c>
    </row>
    <row r="5157" customFormat="false" ht="15" hidden="false" customHeight="false" outlineLevel="0" collapsed="false">
      <c r="A5157" s="6" t="s">
        <v>10381</v>
      </c>
      <c r="B5157" s="6" t="s">
        <v>4183</v>
      </c>
      <c r="C5157" s="26" t="n">
        <v>46186</v>
      </c>
      <c r="D5157" s="6" t="s">
        <v>5345</v>
      </c>
      <c r="E5157" s="6" t="s">
        <v>23</v>
      </c>
      <c r="F5157" s="6" t="n">
        <v>1</v>
      </c>
      <c r="G5157" s="10" t="n">
        <v>436</v>
      </c>
      <c r="H5157" s="10" t="n">
        <f aca="false">F5157*G5157</f>
        <v>436</v>
      </c>
      <c r="I5157" s="6" t="s">
        <v>5122</v>
      </c>
    </row>
    <row r="5158" customFormat="false" ht="15" hidden="false" customHeight="false" outlineLevel="0" collapsed="false">
      <c r="A5158" s="6" t="s">
        <v>10382</v>
      </c>
      <c r="B5158" s="6" t="s">
        <v>2873</v>
      </c>
      <c r="C5158" s="26" t="n">
        <v>46186</v>
      </c>
      <c r="D5158" s="6" t="s">
        <v>5154</v>
      </c>
      <c r="E5158" s="6" t="s">
        <v>21</v>
      </c>
      <c r="F5158" s="6" t="n">
        <v>1</v>
      </c>
      <c r="G5158" s="10" t="n">
        <v>707</v>
      </c>
      <c r="H5158" s="10" t="n">
        <f aca="false">F5158*G5158</f>
        <v>707</v>
      </c>
      <c r="I5158" s="6" t="s">
        <v>5122</v>
      </c>
    </row>
    <row r="5159" customFormat="false" ht="15" hidden="false" customHeight="false" outlineLevel="0" collapsed="false">
      <c r="A5159" s="6" t="s">
        <v>10383</v>
      </c>
      <c r="B5159" s="6" t="s">
        <v>1029</v>
      </c>
      <c r="C5159" s="26" t="n">
        <v>46186</v>
      </c>
      <c r="D5159" s="6" t="s">
        <v>5145</v>
      </c>
      <c r="E5159" s="6" t="s">
        <v>21</v>
      </c>
      <c r="F5159" s="6" t="n">
        <v>1</v>
      </c>
      <c r="G5159" s="10" t="n">
        <v>1277</v>
      </c>
      <c r="H5159" s="10" t="n">
        <f aca="false">F5159*G5159</f>
        <v>1277</v>
      </c>
      <c r="I5159" s="6" t="s">
        <v>5130</v>
      </c>
    </row>
    <row r="5160" customFormat="false" ht="15" hidden="false" customHeight="false" outlineLevel="0" collapsed="false">
      <c r="A5160" s="6" t="s">
        <v>10384</v>
      </c>
      <c r="B5160" s="6" t="s">
        <v>2627</v>
      </c>
      <c r="C5160" s="26" t="n">
        <v>46186</v>
      </c>
      <c r="D5160" s="6" t="s">
        <v>5135</v>
      </c>
      <c r="E5160" s="6" t="s">
        <v>23</v>
      </c>
      <c r="F5160" s="6" t="n">
        <v>1</v>
      </c>
      <c r="G5160" s="10" t="n">
        <v>419</v>
      </c>
      <c r="H5160" s="10" t="n">
        <f aca="false">F5160*G5160</f>
        <v>419</v>
      </c>
      <c r="I5160" s="6" t="s">
        <v>5148</v>
      </c>
    </row>
    <row r="5161" customFormat="false" ht="15" hidden="false" customHeight="false" outlineLevel="0" collapsed="false">
      <c r="A5161" s="6" t="s">
        <v>10385</v>
      </c>
      <c r="B5161" s="6" t="s">
        <v>4535</v>
      </c>
      <c r="C5161" s="26" t="n">
        <v>46186</v>
      </c>
      <c r="D5161" s="6" t="s">
        <v>5132</v>
      </c>
      <c r="E5161" s="6" t="s">
        <v>23</v>
      </c>
      <c r="F5161" s="6" t="n">
        <v>4</v>
      </c>
      <c r="G5161" s="10" t="n">
        <v>342</v>
      </c>
      <c r="H5161" s="10" t="n">
        <f aca="false">F5161*G5161</f>
        <v>1368</v>
      </c>
      <c r="I5161" s="6" t="s">
        <v>5148</v>
      </c>
    </row>
    <row r="5162" customFormat="false" ht="15" hidden="false" customHeight="false" outlineLevel="0" collapsed="false">
      <c r="A5162" s="6" t="s">
        <v>10386</v>
      </c>
      <c r="B5162" s="6" t="s">
        <v>5093</v>
      </c>
      <c r="C5162" s="26" t="n">
        <v>46186</v>
      </c>
      <c r="D5162" s="6" t="s">
        <v>5488</v>
      </c>
      <c r="E5162" s="6" t="s">
        <v>24</v>
      </c>
      <c r="F5162" s="6" t="n">
        <v>3</v>
      </c>
      <c r="G5162" s="10" t="n">
        <v>779</v>
      </c>
      <c r="H5162" s="10" t="n">
        <f aca="false">F5162*G5162</f>
        <v>2337</v>
      </c>
      <c r="I5162" s="6" t="s">
        <v>5122</v>
      </c>
    </row>
    <row r="5163" customFormat="false" ht="15" hidden="false" customHeight="false" outlineLevel="0" collapsed="false">
      <c r="A5163" s="6" t="s">
        <v>10387</v>
      </c>
      <c r="B5163" s="6" t="s">
        <v>3839</v>
      </c>
      <c r="C5163" s="26" t="n">
        <v>46186</v>
      </c>
      <c r="D5163" s="6" t="s">
        <v>6114</v>
      </c>
      <c r="E5163" s="6" t="s">
        <v>20</v>
      </c>
      <c r="F5163" s="6" t="n">
        <v>1</v>
      </c>
      <c r="G5163" s="10" t="n">
        <v>12593</v>
      </c>
      <c r="H5163" s="10" t="n">
        <f aca="false">F5163*G5163</f>
        <v>12593</v>
      </c>
      <c r="I5163" s="6" t="s">
        <v>5130</v>
      </c>
    </row>
    <row r="5164" customFormat="false" ht="15" hidden="false" customHeight="false" outlineLevel="0" collapsed="false">
      <c r="A5164" s="6" t="s">
        <v>10388</v>
      </c>
      <c r="B5164" s="6" t="s">
        <v>3281</v>
      </c>
      <c r="C5164" s="26" t="n">
        <v>46186</v>
      </c>
      <c r="D5164" s="6" t="s">
        <v>5207</v>
      </c>
      <c r="E5164" s="6" t="s">
        <v>20</v>
      </c>
      <c r="F5164" s="6" t="n">
        <v>1</v>
      </c>
      <c r="G5164" s="10" t="n">
        <v>1325</v>
      </c>
      <c r="H5164" s="10" t="n">
        <f aca="false">F5164*G5164</f>
        <v>1325</v>
      </c>
      <c r="I5164" s="6" t="s">
        <v>5122</v>
      </c>
    </row>
    <row r="5165" customFormat="false" ht="15" hidden="false" customHeight="false" outlineLevel="0" collapsed="false">
      <c r="A5165" s="6" t="s">
        <v>10389</v>
      </c>
      <c r="B5165" s="6" t="s">
        <v>174</v>
      </c>
      <c r="C5165" s="26" t="n">
        <v>46186</v>
      </c>
      <c r="D5165" s="6" t="s">
        <v>5197</v>
      </c>
      <c r="E5165" s="6" t="s">
        <v>21</v>
      </c>
      <c r="F5165" s="6" t="n">
        <v>1</v>
      </c>
      <c r="G5165" s="10" t="n">
        <v>1026</v>
      </c>
      <c r="H5165" s="10" t="n">
        <f aca="false">F5165*G5165</f>
        <v>1026</v>
      </c>
      <c r="I5165" s="6" t="s">
        <v>5148</v>
      </c>
    </row>
    <row r="5166" customFormat="false" ht="15" hidden="false" customHeight="false" outlineLevel="0" collapsed="false">
      <c r="A5166" s="6" t="s">
        <v>10390</v>
      </c>
      <c r="B5166" s="6" t="s">
        <v>1309</v>
      </c>
      <c r="C5166" s="26" t="n">
        <v>46186</v>
      </c>
      <c r="D5166" s="6" t="s">
        <v>5137</v>
      </c>
      <c r="E5166" s="6" t="s">
        <v>21</v>
      </c>
      <c r="F5166" s="6" t="n">
        <v>1</v>
      </c>
      <c r="G5166" s="10" t="n">
        <v>1768</v>
      </c>
      <c r="H5166" s="10" t="n">
        <f aca="false">F5166*G5166</f>
        <v>1768</v>
      </c>
      <c r="I5166" s="6" t="s">
        <v>5122</v>
      </c>
    </row>
    <row r="5167" customFormat="false" ht="15" hidden="false" customHeight="false" outlineLevel="0" collapsed="false">
      <c r="A5167" s="6" t="s">
        <v>10391</v>
      </c>
      <c r="B5167" s="6" t="s">
        <v>2581</v>
      </c>
      <c r="C5167" s="26" t="n">
        <v>46186</v>
      </c>
      <c r="D5167" s="6" t="s">
        <v>5182</v>
      </c>
      <c r="E5167" s="6" t="s">
        <v>23</v>
      </c>
      <c r="F5167" s="6" t="n">
        <v>1</v>
      </c>
      <c r="G5167" s="10" t="n">
        <v>349</v>
      </c>
      <c r="H5167" s="10" t="n">
        <f aca="false">F5167*G5167</f>
        <v>349</v>
      </c>
      <c r="I5167" s="6" t="s">
        <v>5148</v>
      </c>
    </row>
    <row r="5168" customFormat="false" ht="15" hidden="false" customHeight="false" outlineLevel="0" collapsed="false">
      <c r="A5168" s="6" t="s">
        <v>10392</v>
      </c>
      <c r="B5168" s="6" t="s">
        <v>1469</v>
      </c>
      <c r="C5168" s="26" t="n">
        <v>46186</v>
      </c>
      <c r="D5168" s="6" t="s">
        <v>5141</v>
      </c>
      <c r="E5168" s="6" t="s">
        <v>20</v>
      </c>
      <c r="F5168" s="6" t="n">
        <v>1</v>
      </c>
      <c r="G5168" s="10" t="n">
        <v>1835</v>
      </c>
      <c r="H5168" s="10" t="n">
        <f aca="false">F5168*G5168</f>
        <v>1835</v>
      </c>
      <c r="I5168" s="6" t="s">
        <v>5122</v>
      </c>
    </row>
    <row r="5169" customFormat="false" ht="15" hidden="false" customHeight="false" outlineLevel="0" collapsed="false">
      <c r="A5169" s="6" t="s">
        <v>10393</v>
      </c>
      <c r="B5169" s="6" t="s">
        <v>2365</v>
      </c>
      <c r="C5169" s="26" t="n">
        <v>46186</v>
      </c>
      <c r="D5169" s="6" t="s">
        <v>5188</v>
      </c>
      <c r="E5169" s="6" t="s">
        <v>24</v>
      </c>
      <c r="F5169" s="6" t="n">
        <v>1</v>
      </c>
      <c r="G5169" s="10" t="n">
        <v>1018</v>
      </c>
      <c r="H5169" s="10" t="n">
        <f aca="false">F5169*G5169</f>
        <v>1018</v>
      </c>
      <c r="I5169" s="6" t="s">
        <v>5130</v>
      </c>
    </row>
    <row r="5170" customFormat="false" ht="15" hidden="false" customHeight="false" outlineLevel="0" collapsed="false">
      <c r="A5170" s="6" t="s">
        <v>10394</v>
      </c>
      <c r="B5170" s="6" t="s">
        <v>867</v>
      </c>
      <c r="C5170" s="26" t="n">
        <v>46186</v>
      </c>
      <c r="D5170" s="6" t="s">
        <v>5216</v>
      </c>
      <c r="E5170" s="6" t="s">
        <v>23</v>
      </c>
      <c r="F5170" s="6" t="n">
        <v>2</v>
      </c>
      <c r="G5170" s="10" t="n">
        <v>558</v>
      </c>
      <c r="H5170" s="10" t="n">
        <f aca="false">F5170*G5170</f>
        <v>1116</v>
      </c>
      <c r="I5170" s="6" t="s">
        <v>5148</v>
      </c>
    </row>
    <row r="5171" customFormat="false" ht="15" hidden="false" customHeight="false" outlineLevel="0" collapsed="false">
      <c r="A5171" s="6" t="s">
        <v>10395</v>
      </c>
      <c r="B5171" s="6" t="s">
        <v>1079</v>
      </c>
      <c r="C5171" s="26" t="n">
        <v>46186</v>
      </c>
      <c r="D5171" s="6" t="s">
        <v>5165</v>
      </c>
      <c r="E5171" s="6" t="s">
        <v>22</v>
      </c>
      <c r="F5171" s="6" t="n">
        <v>3</v>
      </c>
      <c r="G5171" s="10" t="n">
        <v>977</v>
      </c>
      <c r="H5171" s="10" t="n">
        <f aca="false">F5171*G5171</f>
        <v>2931</v>
      </c>
      <c r="I5171" s="6" t="s">
        <v>5130</v>
      </c>
    </row>
    <row r="5172" customFormat="false" ht="15" hidden="false" customHeight="false" outlineLevel="0" collapsed="false">
      <c r="A5172" s="6" t="s">
        <v>10396</v>
      </c>
      <c r="B5172" s="6" t="s">
        <v>4771</v>
      </c>
      <c r="C5172" s="26" t="n">
        <v>46186</v>
      </c>
      <c r="D5172" s="6" t="s">
        <v>5456</v>
      </c>
      <c r="E5172" s="6" t="s">
        <v>24</v>
      </c>
      <c r="F5172" s="6" t="n">
        <v>2</v>
      </c>
      <c r="G5172" s="10" t="n">
        <v>912</v>
      </c>
      <c r="H5172" s="10" t="n">
        <f aca="false">F5172*G5172</f>
        <v>1824</v>
      </c>
      <c r="I5172" s="6" t="s">
        <v>5122</v>
      </c>
    </row>
    <row r="5173" customFormat="false" ht="15" hidden="false" customHeight="false" outlineLevel="0" collapsed="false">
      <c r="A5173" s="6" t="s">
        <v>10397</v>
      </c>
      <c r="B5173" s="6" t="s">
        <v>3277</v>
      </c>
      <c r="C5173" s="26" t="n">
        <v>46186</v>
      </c>
      <c r="D5173" s="6" t="s">
        <v>5137</v>
      </c>
      <c r="E5173" s="6" t="s">
        <v>21</v>
      </c>
      <c r="F5173" s="6" t="n">
        <v>1</v>
      </c>
      <c r="G5173" s="10" t="n">
        <v>1768</v>
      </c>
      <c r="H5173" s="10" t="n">
        <f aca="false">F5173*G5173</f>
        <v>1768</v>
      </c>
      <c r="I5173" s="6" t="s">
        <v>5122</v>
      </c>
    </row>
    <row r="5174" customFormat="false" ht="15" hidden="false" customHeight="false" outlineLevel="0" collapsed="false">
      <c r="A5174" s="6" t="s">
        <v>10398</v>
      </c>
      <c r="B5174" s="6" t="s">
        <v>4341</v>
      </c>
      <c r="C5174" s="26" t="n">
        <v>46186</v>
      </c>
      <c r="D5174" s="6" t="s">
        <v>5145</v>
      </c>
      <c r="E5174" s="6" t="s">
        <v>21</v>
      </c>
      <c r="F5174" s="6" t="n">
        <v>1</v>
      </c>
      <c r="G5174" s="10" t="n">
        <v>1277</v>
      </c>
      <c r="H5174" s="10" t="n">
        <f aca="false">F5174*G5174</f>
        <v>1277</v>
      </c>
      <c r="I5174" s="6" t="s">
        <v>5122</v>
      </c>
    </row>
    <row r="5175" customFormat="false" ht="15" hidden="false" customHeight="false" outlineLevel="0" collapsed="false">
      <c r="A5175" s="6" t="s">
        <v>10399</v>
      </c>
      <c r="B5175" s="6" t="s">
        <v>2681</v>
      </c>
      <c r="C5175" s="26" t="n">
        <v>46186</v>
      </c>
      <c r="D5175" s="6" t="s">
        <v>5458</v>
      </c>
      <c r="E5175" s="6" t="s">
        <v>24</v>
      </c>
      <c r="F5175" s="6" t="n">
        <v>2</v>
      </c>
      <c r="G5175" s="10" t="n">
        <v>559</v>
      </c>
      <c r="H5175" s="10" t="n">
        <f aca="false">F5175*G5175</f>
        <v>1118</v>
      </c>
      <c r="I5175" s="6" t="s">
        <v>5122</v>
      </c>
    </row>
    <row r="5176" customFormat="false" ht="15" hidden="false" customHeight="false" outlineLevel="0" collapsed="false">
      <c r="A5176" s="6" t="s">
        <v>10400</v>
      </c>
      <c r="B5176" s="6" t="s">
        <v>1207</v>
      </c>
      <c r="C5176" s="26" t="n">
        <v>46186</v>
      </c>
      <c r="D5176" s="6" t="s">
        <v>5269</v>
      </c>
      <c r="E5176" s="6" t="s">
        <v>22</v>
      </c>
      <c r="F5176" s="6" t="n">
        <v>1</v>
      </c>
      <c r="G5176" s="10" t="n">
        <v>1271</v>
      </c>
      <c r="H5176" s="10" t="n">
        <f aca="false">F5176*G5176</f>
        <v>1271</v>
      </c>
      <c r="I5176" s="6" t="s">
        <v>5133</v>
      </c>
    </row>
    <row r="5177" customFormat="false" ht="15" hidden="false" customHeight="false" outlineLevel="0" collapsed="false">
      <c r="A5177" s="6" t="s">
        <v>10401</v>
      </c>
      <c r="B5177" s="6" t="s">
        <v>1449</v>
      </c>
      <c r="C5177" s="26" t="n">
        <v>46186</v>
      </c>
      <c r="D5177" s="6" t="s">
        <v>5171</v>
      </c>
      <c r="E5177" s="6" t="s">
        <v>23</v>
      </c>
      <c r="F5177" s="6" t="n">
        <v>3</v>
      </c>
      <c r="G5177" s="10" t="n">
        <v>661</v>
      </c>
      <c r="H5177" s="10" t="n">
        <f aca="false">F5177*G5177</f>
        <v>1983</v>
      </c>
      <c r="I5177" s="6" t="s">
        <v>5122</v>
      </c>
    </row>
    <row r="5178" customFormat="false" ht="15" hidden="false" customHeight="false" outlineLevel="0" collapsed="false">
      <c r="A5178" s="6" t="s">
        <v>10402</v>
      </c>
      <c r="B5178" s="6" t="s">
        <v>1687</v>
      </c>
      <c r="C5178" s="26" t="n">
        <v>46186</v>
      </c>
      <c r="D5178" s="6" t="s">
        <v>5137</v>
      </c>
      <c r="E5178" s="6" t="s">
        <v>21</v>
      </c>
      <c r="F5178" s="6" t="n">
        <v>1</v>
      </c>
      <c r="G5178" s="10" t="n">
        <v>1591</v>
      </c>
      <c r="H5178" s="10" t="n">
        <f aca="false">F5178*G5178</f>
        <v>1591</v>
      </c>
      <c r="I5178" s="6" t="s">
        <v>5125</v>
      </c>
    </row>
    <row r="5179" customFormat="false" ht="15" hidden="false" customHeight="false" outlineLevel="0" collapsed="false">
      <c r="A5179" s="6" t="s">
        <v>10403</v>
      </c>
      <c r="B5179" s="6" t="s">
        <v>4495</v>
      </c>
      <c r="C5179" s="26" t="n">
        <v>46187</v>
      </c>
      <c r="D5179" s="6" t="s">
        <v>5237</v>
      </c>
      <c r="E5179" s="6" t="s">
        <v>24</v>
      </c>
      <c r="F5179" s="6" t="n">
        <v>3</v>
      </c>
      <c r="G5179" s="10" t="n">
        <v>1833</v>
      </c>
      <c r="H5179" s="10" t="n">
        <f aca="false">F5179*G5179</f>
        <v>5499</v>
      </c>
      <c r="I5179" s="6" t="s">
        <v>5130</v>
      </c>
    </row>
    <row r="5180" customFormat="false" ht="15" hidden="false" customHeight="false" outlineLevel="0" collapsed="false">
      <c r="A5180" s="6" t="s">
        <v>10404</v>
      </c>
      <c r="B5180" s="6" t="s">
        <v>625</v>
      </c>
      <c r="C5180" s="26" t="n">
        <v>46187</v>
      </c>
      <c r="D5180" s="6" t="s">
        <v>5167</v>
      </c>
      <c r="E5180" s="6" t="s">
        <v>22</v>
      </c>
      <c r="F5180" s="6" t="n">
        <v>1</v>
      </c>
      <c r="G5180" s="10" t="n">
        <v>702</v>
      </c>
      <c r="H5180" s="10" t="n">
        <f aca="false">F5180*G5180</f>
        <v>702</v>
      </c>
      <c r="I5180" s="6" t="s">
        <v>5122</v>
      </c>
    </row>
    <row r="5181" customFormat="false" ht="15" hidden="false" customHeight="false" outlineLevel="0" collapsed="false">
      <c r="A5181" s="6" t="s">
        <v>10405</v>
      </c>
      <c r="B5181" s="6" t="s">
        <v>1471</v>
      </c>
      <c r="C5181" s="26" t="n">
        <v>46187</v>
      </c>
      <c r="D5181" s="6" t="s">
        <v>5154</v>
      </c>
      <c r="E5181" s="6" t="s">
        <v>21</v>
      </c>
      <c r="F5181" s="6" t="n">
        <v>1</v>
      </c>
      <c r="G5181" s="10" t="n">
        <v>707</v>
      </c>
      <c r="H5181" s="10" t="n">
        <f aca="false">F5181*G5181</f>
        <v>707</v>
      </c>
      <c r="I5181" s="6" t="s">
        <v>5148</v>
      </c>
    </row>
    <row r="5182" customFormat="false" ht="15" hidden="false" customHeight="false" outlineLevel="0" collapsed="false">
      <c r="A5182" s="6" t="s">
        <v>10406</v>
      </c>
      <c r="B5182" s="6" t="s">
        <v>1001</v>
      </c>
      <c r="C5182" s="26" t="n">
        <v>46187</v>
      </c>
      <c r="D5182" s="6" t="s">
        <v>5171</v>
      </c>
      <c r="E5182" s="6" t="s">
        <v>23</v>
      </c>
      <c r="F5182" s="6" t="n">
        <v>3</v>
      </c>
      <c r="G5182" s="10" t="n">
        <v>734</v>
      </c>
      <c r="H5182" s="10" t="n">
        <f aca="false">F5182*G5182</f>
        <v>2202</v>
      </c>
      <c r="I5182" s="6" t="s">
        <v>5148</v>
      </c>
    </row>
    <row r="5183" customFormat="false" ht="15" hidden="false" customHeight="false" outlineLevel="0" collapsed="false">
      <c r="A5183" s="6" t="s">
        <v>10407</v>
      </c>
      <c r="B5183" s="6" t="s">
        <v>4727</v>
      </c>
      <c r="C5183" s="26" t="n">
        <v>46187</v>
      </c>
      <c r="D5183" s="6" t="s">
        <v>5488</v>
      </c>
      <c r="E5183" s="6" t="s">
        <v>24</v>
      </c>
      <c r="F5183" s="6" t="n">
        <v>1</v>
      </c>
      <c r="G5183" s="10" t="n">
        <v>866</v>
      </c>
      <c r="H5183" s="10" t="n">
        <f aca="false">F5183*G5183</f>
        <v>866</v>
      </c>
      <c r="I5183" s="6" t="s">
        <v>5125</v>
      </c>
    </row>
    <row r="5184" customFormat="false" ht="15" hidden="false" customHeight="false" outlineLevel="0" collapsed="false">
      <c r="A5184" s="6" t="s">
        <v>10408</v>
      </c>
      <c r="B5184" s="6" t="s">
        <v>2003</v>
      </c>
      <c r="C5184" s="26" t="n">
        <v>46187</v>
      </c>
      <c r="D5184" s="6" t="s">
        <v>5683</v>
      </c>
      <c r="E5184" s="6" t="s">
        <v>22</v>
      </c>
      <c r="F5184" s="6" t="n">
        <v>1</v>
      </c>
      <c r="G5184" s="10" t="n">
        <v>1760</v>
      </c>
      <c r="H5184" s="10" t="n">
        <f aca="false">F5184*G5184</f>
        <v>1760</v>
      </c>
      <c r="I5184" s="6" t="s">
        <v>5148</v>
      </c>
    </row>
    <row r="5185" customFormat="false" ht="15" hidden="false" customHeight="false" outlineLevel="0" collapsed="false">
      <c r="A5185" s="6" t="s">
        <v>10409</v>
      </c>
      <c r="B5185" s="6" t="s">
        <v>3139</v>
      </c>
      <c r="C5185" s="26" t="n">
        <v>46187</v>
      </c>
      <c r="D5185" s="6" t="s">
        <v>5641</v>
      </c>
      <c r="E5185" s="6" t="s">
        <v>22</v>
      </c>
      <c r="F5185" s="6" t="n">
        <v>1</v>
      </c>
      <c r="G5185" s="10" t="n">
        <v>2249</v>
      </c>
      <c r="H5185" s="10" t="n">
        <f aca="false">F5185*G5185</f>
        <v>2249</v>
      </c>
      <c r="I5185" s="6" t="s">
        <v>5122</v>
      </c>
    </row>
    <row r="5186" customFormat="false" ht="15" hidden="false" customHeight="false" outlineLevel="0" collapsed="false">
      <c r="A5186" s="6" t="s">
        <v>10410</v>
      </c>
      <c r="B5186" s="6" t="s">
        <v>4429</v>
      </c>
      <c r="C5186" s="26" t="n">
        <v>46187</v>
      </c>
      <c r="D5186" s="6" t="s">
        <v>5345</v>
      </c>
      <c r="E5186" s="6" t="s">
        <v>23</v>
      </c>
      <c r="F5186" s="6" t="n">
        <v>4</v>
      </c>
      <c r="G5186" s="10" t="n">
        <v>414</v>
      </c>
      <c r="H5186" s="10" t="n">
        <f aca="false">F5186*G5186</f>
        <v>1656</v>
      </c>
      <c r="I5186" s="6" t="s">
        <v>5125</v>
      </c>
    </row>
    <row r="5187" customFormat="false" ht="15" hidden="false" customHeight="false" outlineLevel="0" collapsed="false">
      <c r="A5187" s="6" t="s">
        <v>10411</v>
      </c>
      <c r="B5187" s="6" t="s">
        <v>579</v>
      </c>
      <c r="C5187" s="26" t="n">
        <v>46187</v>
      </c>
      <c r="D5187" s="6" t="s">
        <v>5339</v>
      </c>
      <c r="E5187" s="6" t="s">
        <v>24</v>
      </c>
      <c r="F5187" s="6" t="n">
        <v>1</v>
      </c>
      <c r="G5187" s="10" t="n">
        <v>458</v>
      </c>
      <c r="H5187" s="10" t="n">
        <f aca="false">F5187*G5187</f>
        <v>458</v>
      </c>
      <c r="I5187" s="6" t="s">
        <v>5122</v>
      </c>
    </row>
    <row r="5188" customFormat="false" ht="15" hidden="false" customHeight="false" outlineLevel="0" collapsed="false">
      <c r="A5188" s="6" t="s">
        <v>10412</v>
      </c>
      <c r="B5188" s="6" t="s">
        <v>3835</v>
      </c>
      <c r="C5188" s="26" t="n">
        <v>46187</v>
      </c>
      <c r="D5188" s="6" t="s">
        <v>5290</v>
      </c>
      <c r="E5188" s="6" t="s">
        <v>23</v>
      </c>
      <c r="F5188" s="6" t="n">
        <v>1</v>
      </c>
      <c r="G5188" s="10" t="n">
        <v>106</v>
      </c>
      <c r="H5188" s="10" t="n">
        <f aca="false">F5188*G5188</f>
        <v>106</v>
      </c>
      <c r="I5188" s="6" t="s">
        <v>5122</v>
      </c>
    </row>
    <row r="5189" customFormat="false" ht="15" hidden="false" customHeight="false" outlineLevel="0" collapsed="false">
      <c r="A5189" s="6" t="s">
        <v>10413</v>
      </c>
      <c r="B5189" s="6" t="s">
        <v>1889</v>
      </c>
      <c r="C5189" s="26" t="n">
        <v>46187</v>
      </c>
      <c r="D5189" s="6" t="s">
        <v>5749</v>
      </c>
      <c r="E5189" s="6" t="s">
        <v>20</v>
      </c>
      <c r="F5189" s="6" t="n">
        <v>1</v>
      </c>
      <c r="G5189" s="10" t="n">
        <v>774</v>
      </c>
      <c r="H5189" s="10" t="n">
        <f aca="false">F5189*G5189</f>
        <v>774</v>
      </c>
      <c r="I5189" s="6" t="s">
        <v>5122</v>
      </c>
    </row>
    <row r="5190" customFormat="false" ht="15" hidden="false" customHeight="false" outlineLevel="0" collapsed="false">
      <c r="A5190" s="6" t="s">
        <v>10414</v>
      </c>
      <c r="B5190" s="6" t="s">
        <v>1149</v>
      </c>
      <c r="C5190" s="26" t="n">
        <v>46187</v>
      </c>
      <c r="D5190" s="6" t="s">
        <v>5216</v>
      </c>
      <c r="E5190" s="6" t="s">
        <v>23</v>
      </c>
      <c r="F5190" s="6" t="n">
        <v>3</v>
      </c>
      <c r="G5190" s="10" t="n">
        <v>587</v>
      </c>
      <c r="H5190" s="10" t="n">
        <f aca="false">F5190*G5190</f>
        <v>1761</v>
      </c>
      <c r="I5190" s="6" t="s">
        <v>5148</v>
      </c>
    </row>
    <row r="5191" customFormat="false" ht="15" hidden="false" customHeight="false" outlineLevel="0" collapsed="false">
      <c r="A5191" s="6" t="s">
        <v>10415</v>
      </c>
      <c r="B5191" s="6" t="s">
        <v>2593</v>
      </c>
      <c r="C5191" s="26" t="n">
        <v>46187</v>
      </c>
      <c r="D5191" s="6" t="s">
        <v>5180</v>
      </c>
      <c r="E5191" s="6" t="s">
        <v>24</v>
      </c>
      <c r="F5191" s="6" t="n">
        <v>1</v>
      </c>
      <c r="G5191" s="10" t="n">
        <v>1987</v>
      </c>
      <c r="H5191" s="10" t="n">
        <f aca="false">F5191*G5191</f>
        <v>1987</v>
      </c>
      <c r="I5191" s="6" t="s">
        <v>5125</v>
      </c>
    </row>
    <row r="5192" customFormat="false" ht="15" hidden="false" customHeight="false" outlineLevel="0" collapsed="false">
      <c r="A5192" s="6" t="s">
        <v>10416</v>
      </c>
      <c r="B5192" s="6" t="s">
        <v>4243</v>
      </c>
      <c r="C5192" s="26" t="n">
        <v>46187</v>
      </c>
      <c r="D5192" s="6" t="s">
        <v>5171</v>
      </c>
      <c r="E5192" s="6" t="s">
        <v>23</v>
      </c>
      <c r="F5192" s="6" t="n">
        <v>3</v>
      </c>
      <c r="G5192" s="10" t="n">
        <v>697</v>
      </c>
      <c r="H5192" s="10" t="n">
        <f aca="false">F5192*G5192</f>
        <v>2091</v>
      </c>
      <c r="I5192" s="6" t="s">
        <v>5125</v>
      </c>
    </row>
    <row r="5193" customFormat="false" ht="15" hidden="false" customHeight="false" outlineLevel="0" collapsed="false">
      <c r="A5193" s="6" t="s">
        <v>10417</v>
      </c>
      <c r="B5193" s="6" t="s">
        <v>5015</v>
      </c>
      <c r="C5193" s="26" t="n">
        <v>46187</v>
      </c>
      <c r="D5193" s="6" t="s">
        <v>5167</v>
      </c>
      <c r="E5193" s="6" t="s">
        <v>22</v>
      </c>
      <c r="F5193" s="6" t="n">
        <v>2</v>
      </c>
      <c r="G5193" s="10" t="n">
        <v>703</v>
      </c>
      <c r="H5193" s="10" t="n">
        <f aca="false">F5193*G5193</f>
        <v>1406</v>
      </c>
      <c r="I5193" s="6" t="s">
        <v>5122</v>
      </c>
    </row>
    <row r="5194" customFormat="false" ht="15" hidden="false" customHeight="false" outlineLevel="0" collapsed="false">
      <c r="A5194" s="6" t="s">
        <v>10418</v>
      </c>
      <c r="B5194" s="6" t="s">
        <v>2145</v>
      </c>
      <c r="C5194" s="26" t="n">
        <v>46187</v>
      </c>
      <c r="D5194" s="6" t="s">
        <v>5305</v>
      </c>
      <c r="E5194" s="6" t="s">
        <v>20</v>
      </c>
      <c r="F5194" s="6" t="n">
        <v>2</v>
      </c>
      <c r="G5194" s="10" t="n">
        <v>1631</v>
      </c>
      <c r="H5194" s="10" t="n">
        <f aca="false">F5194*G5194</f>
        <v>3262</v>
      </c>
      <c r="I5194" s="6" t="s">
        <v>5148</v>
      </c>
    </row>
    <row r="5195" customFormat="false" ht="15" hidden="false" customHeight="false" outlineLevel="0" collapsed="false">
      <c r="A5195" s="6" t="s">
        <v>10419</v>
      </c>
      <c r="B5195" s="6" t="s">
        <v>847</v>
      </c>
      <c r="C5195" s="26" t="n">
        <v>46187</v>
      </c>
      <c r="D5195" s="6" t="s">
        <v>5259</v>
      </c>
      <c r="E5195" s="6" t="s">
        <v>22</v>
      </c>
      <c r="F5195" s="6" t="n">
        <v>1</v>
      </c>
      <c r="G5195" s="10" t="n">
        <v>1564</v>
      </c>
      <c r="H5195" s="10" t="n">
        <f aca="false">F5195*G5195</f>
        <v>1564</v>
      </c>
      <c r="I5195" s="6" t="s">
        <v>5122</v>
      </c>
    </row>
    <row r="5196" customFormat="false" ht="15" hidden="false" customHeight="false" outlineLevel="0" collapsed="false">
      <c r="A5196" s="6" t="s">
        <v>10420</v>
      </c>
      <c r="B5196" s="6" t="s">
        <v>1017</v>
      </c>
      <c r="C5196" s="26" t="n">
        <v>46187</v>
      </c>
      <c r="D5196" s="6" t="s">
        <v>5121</v>
      </c>
      <c r="E5196" s="6" t="s">
        <v>22</v>
      </c>
      <c r="F5196" s="6" t="n">
        <v>2</v>
      </c>
      <c r="G5196" s="10" t="n">
        <v>880</v>
      </c>
      <c r="H5196" s="10" t="n">
        <f aca="false">F5196*G5196</f>
        <v>1760</v>
      </c>
      <c r="I5196" s="6" t="s">
        <v>5122</v>
      </c>
    </row>
    <row r="5197" customFormat="false" ht="15" hidden="false" customHeight="false" outlineLevel="0" collapsed="false">
      <c r="A5197" s="6" t="s">
        <v>10421</v>
      </c>
      <c r="B5197" s="6" t="s">
        <v>3535</v>
      </c>
      <c r="C5197" s="26" t="n">
        <v>46187</v>
      </c>
      <c r="D5197" s="6" t="s">
        <v>5145</v>
      </c>
      <c r="E5197" s="6" t="s">
        <v>21</v>
      </c>
      <c r="F5197" s="6" t="n">
        <v>2</v>
      </c>
      <c r="G5197" s="10" t="n">
        <v>1277</v>
      </c>
      <c r="H5197" s="10" t="n">
        <f aca="false">F5197*G5197</f>
        <v>2554</v>
      </c>
      <c r="I5197" s="6" t="s">
        <v>5173</v>
      </c>
    </row>
    <row r="5198" customFormat="false" ht="15" hidden="false" customHeight="false" outlineLevel="0" collapsed="false">
      <c r="A5198" s="6" t="s">
        <v>10422</v>
      </c>
      <c r="B5198" s="6" t="s">
        <v>256</v>
      </c>
      <c r="C5198" s="26" t="n">
        <v>46187</v>
      </c>
      <c r="D5198" s="6" t="s">
        <v>5171</v>
      </c>
      <c r="E5198" s="6" t="s">
        <v>23</v>
      </c>
      <c r="F5198" s="6" t="n">
        <v>4</v>
      </c>
      <c r="G5198" s="10" t="n">
        <v>661</v>
      </c>
      <c r="H5198" s="10" t="n">
        <f aca="false">F5198*G5198</f>
        <v>2644</v>
      </c>
      <c r="I5198" s="6" t="s">
        <v>5122</v>
      </c>
    </row>
    <row r="5199" customFormat="false" ht="15" hidden="false" customHeight="false" outlineLevel="0" collapsed="false">
      <c r="A5199" s="6" t="s">
        <v>10423</v>
      </c>
      <c r="B5199" s="6" t="s">
        <v>435</v>
      </c>
      <c r="C5199" s="26" t="n">
        <v>46187</v>
      </c>
      <c r="D5199" s="6" t="s">
        <v>5127</v>
      </c>
      <c r="E5199" s="6" t="s">
        <v>21</v>
      </c>
      <c r="F5199" s="6" t="n">
        <v>1</v>
      </c>
      <c r="G5199" s="10" t="n">
        <v>884</v>
      </c>
      <c r="H5199" s="10" t="n">
        <f aca="false">F5199*G5199</f>
        <v>884</v>
      </c>
      <c r="I5199" s="6" t="s">
        <v>5130</v>
      </c>
    </row>
    <row r="5200" customFormat="false" ht="15" hidden="false" customHeight="false" outlineLevel="0" collapsed="false">
      <c r="A5200" s="6" t="s">
        <v>10424</v>
      </c>
      <c r="B5200" s="6" t="s">
        <v>3171</v>
      </c>
      <c r="C5200" s="26" t="n">
        <v>46187</v>
      </c>
      <c r="D5200" s="6" t="s">
        <v>5357</v>
      </c>
      <c r="E5200" s="6" t="s">
        <v>23</v>
      </c>
      <c r="F5200" s="6" t="n">
        <v>4</v>
      </c>
      <c r="G5200" s="10" t="n">
        <v>507</v>
      </c>
      <c r="H5200" s="10" t="n">
        <f aca="false">F5200*G5200</f>
        <v>2028</v>
      </c>
      <c r="I5200" s="6" t="s">
        <v>5148</v>
      </c>
    </row>
    <row r="5201" customFormat="false" ht="15" hidden="false" customHeight="false" outlineLevel="0" collapsed="false">
      <c r="A5201" s="6" t="s">
        <v>10425</v>
      </c>
      <c r="B5201" s="6" t="s">
        <v>1731</v>
      </c>
      <c r="C5201" s="26" t="n">
        <v>46187</v>
      </c>
      <c r="D5201" s="6" t="s">
        <v>5281</v>
      </c>
      <c r="E5201" s="6" t="s">
        <v>24</v>
      </c>
      <c r="F5201" s="6" t="n">
        <v>3</v>
      </c>
      <c r="G5201" s="10" t="n">
        <v>773</v>
      </c>
      <c r="H5201" s="10" t="n">
        <f aca="false">F5201*G5201</f>
        <v>2319</v>
      </c>
      <c r="I5201" s="6" t="s">
        <v>5125</v>
      </c>
    </row>
    <row r="5202" customFormat="false" ht="15" hidden="false" customHeight="false" outlineLevel="0" collapsed="false">
      <c r="A5202" s="6" t="s">
        <v>10426</v>
      </c>
      <c r="B5202" s="6" t="s">
        <v>567</v>
      </c>
      <c r="C5202" s="26" t="n">
        <v>46187</v>
      </c>
      <c r="D5202" s="6" t="s">
        <v>5175</v>
      </c>
      <c r="E5202" s="6" t="s">
        <v>24</v>
      </c>
      <c r="F5202" s="6" t="n">
        <v>2</v>
      </c>
      <c r="G5202" s="10" t="n">
        <v>610</v>
      </c>
      <c r="H5202" s="10" t="n">
        <f aca="false">F5202*G5202</f>
        <v>1220</v>
      </c>
      <c r="I5202" s="6" t="s">
        <v>5122</v>
      </c>
    </row>
    <row r="5203" customFormat="false" ht="15" hidden="false" customHeight="false" outlineLevel="0" collapsed="false">
      <c r="A5203" s="6" t="s">
        <v>10427</v>
      </c>
      <c r="B5203" s="6" t="s">
        <v>1865</v>
      </c>
      <c r="C5203" s="26" t="n">
        <v>46187</v>
      </c>
      <c r="D5203" s="6" t="s">
        <v>5132</v>
      </c>
      <c r="E5203" s="6" t="s">
        <v>23</v>
      </c>
      <c r="F5203" s="6" t="n">
        <v>4</v>
      </c>
      <c r="G5203" s="10" t="n">
        <v>342</v>
      </c>
      <c r="H5203" s="10" t="n">
        <f aca="false">F5203*G5203</f>
        <v>1368</v>
      </c>
      <c r="I5203" s="6" t="s">
        <v>5122</v>
      </c>
    </row>
    <row r="5204" customFormat="false" ht="15" hidden="false" customHeight="false" outlineLevel="0" collapsed="false">
      <c r="A5204" s="6" t="s">
        <v>10428</v>
      </c>
      <c r="B5204" s="6" t="s">
        <v>2377</v>
      </c>
      <c r="C5204" s="26" t="n">
        <v>46187</v>
      </c>
      <c r="D5204" s="6" t="s">
        <v>5121</v>
      </c>
      <c r="E5204" s="6" t="s">
        <v>22</v>
      </c>
      <c r="F5204" s="6" t="n">
        <v>1</v>
      </c>
      <c r="G5204" s="10" t="n">
        <v>928</v>
      </c>
      <c r="H5204" s="10" t="n">
        <f aca="false">F5204*G5204</f>
        <v>928</v>
      </c>
      <c r="I5204" s="6" t="s">
        <v>5133</v>
      </c>
    </row>
    <row r="5205" customFormat="false" ht="15" hidden="false" customHeight="false" outlineLevel="0" collapsed="false">
      <c r="A5205" s="6" t="s">
        <v>10429</v>
      </c>
      <c r="B5205" s="6" t="s">
        <v>1355</v>
      </c>
      <c r="C5205" s="26" t="n">
        <v>46187</v>
      </c>
      <c r="D5205" s="6" t="s">
        <v>5216</v>
      </c>
      <c r="E5205" s="6" t="s">
        <v>23</v>
      </c>
      <c r="F5205" s="6" t="n">
        <v>4</v>
      </c>
      <c r="G5205" s="10" t="n">
        <v>528</v>
      </c>
      <c r="H5205" s="10" t="n">
        <f aca="false">F5205*G5205</f>
        <v>2112</v>
      </c>
      <c r="I5205" s="6" t="s">
        <v>5130</v>
      </c>
    </row>
    <row r="5206" customFormat="false" ht="15" hidden="false" customHeight="false" outlineLevel="0" collapsed="false">
      <c r="A5206" s="6" t="s">
        <v>10430</v>
      </c>
      <c r="B5206" s="6" t="s">
        <v>3157</v>
      </c>
      <c r="C5206" s="26" t="n">
        <v>46187</v>
      </c>
      <c r="D5206" s="6" t="s">
        <v>5224</v>
      </c>
      <c r="E5206" s="6" t="s">
        <v>23</v>
      </c>
      <c r="F5206" s="6" t="n">
        <v>3</v>
      </c>
      <c r="G5206" s="10" t="n">
        <v>195</v>
      </c>
      <c r="H5206" s="10" t="n">
        <f aca="false">F5206*G5206</f>
        <v>585</v>
      </c>
      <c r="I5206" s="6" t="s">
        <v>5133</v>
      </c>
    </row>
    <row r="5207" customFormat="false" ht="15" hidden="false" customHeight="false" outlineLevel="0" collapsed="false">
      <c r="A5207" s="6" t="s">
        <v>10431</v>
      </c>
      <c r="B5207" s="6" t="s">
        <v>3275</v>
      </c>
      <c r="C5207" s="26" t="n">
        <v>46187</v>
      </c>
      <c r="D5207" s="6" t="s">
        <v>5226</v>
      </c>
      <c r="E5207" s="6" t="s">
        <v>24</v>
      </c>
      <c r="F5207" s="6" t="n">
        <v>1</v>
      </c>
      <c r="G5207" s="10" t="n">
        <v>457</v>
      </c>
      <c r="H5207" s="10" t="n">
        <f aca="false">F5207*G5207</f>
        <v>457</v>
      </c>
      <c r="I5207" s="6" t="s">
        <v>5122</v>
      </c>
    </row>
    <row r="5208" customFormat="false" ht="15" hidden="false" customHeight="false" outlineLevel="0" collapsed="false">
      <c r="A5208" s="6" t="s">
        <v>10432</v>
      </c>
      <c r="B5208" s="6" t="s">
        <v>3195</v>
      </c>
      <c r="C5208" s="26" t="n">
        <v>46187</v>
      </c>
      <c r="D5208" s="6" t="s">
        <v>5171</v>
      </c>
      <c r="E5208" s="6" t="s">
        <v>23</v>
      </c>
      <c r="F5208" s="6" t="n">
        <v>3</v>
      </c>
      <c r="G5208" s="10" t="n">
        <v>661</v>
      </c>
      <c r="H5208" s="10" t="n">
        <f aca="false">F5208*G5208</f>
        <v>1983</v>
      </c>
      <c r="I5208" s="6" t="s">
        <v>5122</v>
      </c>
    </row>
    <row r="5209" customFormat="false" ht="15" hidden="false" customHeight="false" outlineLevel="0" collapsed="false">
      <c r="A5209" s="6" t="s">
        <v>10433</v>
      </c>
      <c r="B5209" s="6" t="s">
        <v>587</v>
      </c>
      <c r="C5209" s="26" t="n">
        <v>46187</v>
      </c>
      <c r="D5209" s="6" t="s">
        <v>5165</v>
      </c>
      <c r="E5209" s="6" t="s">
        <v>22</v>
      </c>
      <c r="F5209" s="6" t="n">
        <v>2</v>
      </c>
      <c r="G5209" s="10" t="n">
        <v>928</v>
      </c>
      <c r="H5209" s="10" t="n">
        <f aca="false">F5209*G5209</f>
        <v>1856</v>
      </c>
      <c r="I5209" s="6" t="s">
        <v>5173</v>
      </c>
    </row>
    <row r="5210" customFormat="false" ht="15" hidden="false" customHeight="false" outlineLevel="0" collapsed="false">
      <c r="A5210" s="6" t="s">
        <v>10434</v>
      </c>
      <c r="B5210" s="6" t="s">
        <v>2815</v>
      </c>
      <c r="C5210" s="26" t="n">
        <v>46187</v>
      </c>
      <c r="D5210" s="6" t="s">
        <v>5127</v>
      </c>
      <c r="E5210" s="6" t="s">
        <v>21</v>
      </c>
      <c r="F5210" s="6" t="n">
        <v>1</v>
      </c>
      <c r="G5210" s="10" t="n">
        <v>884</v>
      </c>
      <c r="H5210" s="10" t="n">
        <f aca="false">F5210*G5210</f>
        <v>884</v>
      </c>
      <c r="I5210" s="6" t="s">
        <v>5125</v>
      </c>
    </row>
    <row r="5211" customFormat="false" ht="15" hidden="false" customHeight="false" outlineLevel="0" collapsed="false">
      <c r="A5211" s="6" t="s">
        <v>10435</v>
      </c>
      <c r="B5211" s="6" t="s">
        <v>2637</v>
      </c>
      <c r="C5211" s="26" t="n">
        <v>46187</v>
      </c>
      <c r="D5211" s="6" t="s">
        <v>5167</v>
      </c>
      <c r="E5211" s="6" t="s">
        <v>22</v>
      </c>
      <c r="F5211" s="6" t="n">
        <v>1</v>
      </c>
      <c r="G5211" s="10" t="n">
        <v>782</v>
      </c>
      <c r="H5211" s="10" t="n">
        <f aca="false">F5211*G5211</f>
        <v>782</v>
      </c>
      <c r="I5211" s="6" t="s">
        <v>5173</v>
      </c>
    </row>
    <row r="5212" customFormat="false" ht="15" hidden="false" customHeight="false" outlineLevel="0" collapsed="false">
      <c r="A5212" s="6" t="s">
        <v>10436</v>
      </c>
      <c r="B5212" s="6" t="s">
        <v>1419</v>
      </c>
      <c r="C5212" s="26" t="n">
        <v>46187</v>
      </c>
      <c r="D5212" s="6" t="s">
        <v>5127</v>
      </c>
      <c r="E5212" s="6" t="s">
        <v>21</v>
      </c>
      <c r="F5212" s="6" t="n">
        <v>1</v>
      </c>
      <c r="G5212" s="10" t="n">
        <v>884</v>
      </c>
      <c r="H5212" s="10" t="n">
        <f aca="false">F5212*G5212</f>
        <v>884</v>
      </c>
      <c r="I5212" s="6" t="s">
        <v>5122</v>
      </c>
    </row>
    <row r="5213" customFormat="false" ht="15" hidden="false" customHeight="false" outlineLevel="0" collapsed="false">
      <c r="A5213" s="6" t="s">
        <v>10437</v>
      </c>
      <c r="B5213" s="6" t="s">
        <v>3907</v>
      </c>
      <c r="C5213" s="26" t="n">
        <v>46187</v>
      </c>
      <c r="D5213" s="6" t="s">
        <v>5220</v>
      </c>
      <c r="E5213" s="6" t="s">
        <v>24</v>
      </c>
      <c r="F5213" s="6" t="n">
        <v>3</v>
      </c>
      <c r="G5213" s="10" t="n">
        <v>1120</v>
      </c>
      <c r="H5213" s="10" t="n">
        <f aca="false">F5213*G5213</f>
        <v>3360</v>
      </c>
      <c r="I5213" s="6" t="s">
        <v>5122</v>
      </c>
    </row>
    <row r="5214" customFormat="false" ht="15" hidden="false" customHeight="false" outlineLevel="0" collapsed="false">
      <c r="A5214" s="6" t="s">
        <v>10438</v>
      </c>
      <c r="B5214" s="6" t="s">
        <v>5033</v>
      </c>
      <c r="C5214" s="26" t="n">
        <v>46187</v>
      </c>
      <c r="D5214" s="6" t="s">
        <v>5261</v>
      </c>
      <c r="E5214" s="6" t="s">
        <v>23</v>
      </c>
      <c r="F5214" s="6" t="n">
        <v>1</v>
      </c>
      <c r="G5214" s="10" t="n">
        <v>158</v>
      </c>
      <c r="H5214" s="10" t="n">
        <f aca="false">F5214*G5214</f>
        <v>158</v>
      </c>
      <c r="I5214" s="6" t="s">
        <v>5133</v>
      </c>
    </row>
    <row r="5215" customFormat="false" ht="15" hidden="false" customHeight="false" outlineLevel="0" collapsed="false">
      <c r="A5215" s="6" t="s">
        <v>10439</v>
      </c>
      <c r="B5215" s="6" t="s">
        <v>4955</v>
      </c>
      <c r="C5215" s="26" t="n">
        <v>46187</v>
      </c>
      <c r="D5215" s="6" t="s">
        <v>5167</v>
      </c>
      <c r="E5215" s="6" t="s">
        <v>22</v>
      </c>
      <c r="F5215" s="6" t="n">
        <v>3</v>
      </c>
      <c r="G5215" s="10" t="n">
        <v>782</v>
      </c>
      <c r="H5215" s="10" t="n">
        <f aca="false">F5215*G5215</f>
        <v>2346</v>
      </c>
      <c r="I5215" s="6" t="s">
        <v>5122</v>
      </c>
    </row>
    <row r="5216" customFormat="false" ht="15" hidden="false" customHeight="false" outlineLevel="0" collapsed="false">
      <c r="A5216" s="6" t="s">
        <v>10440</v>
      </c>
      <c r="B5216" s="6" t="s">
        <v>1405</v>
      </c>
      <c r="C5216" s="26" t="n">
        <v>46187</v>
      </c>
      <c r="D5216" s="6" t="s">
        <v>5165</v>
      </c>
      <c r="E5216" s="6" t="s">
        <v>22</v>
      </c>
      <c r="F5216" s="6" t="n">
        <v>1</v>
      </c>
      <c r="G5216" s="10" t="n">
        <v>880</v>
      </c>
      <c r="H5216" s="10" t="n">
        <f aca="false">F5216*G5216</f>
        <v>880</v>
      </c>
      <c r="I5216" s="6" t="s">
        <v>5133</v>
      </c>
    </row>
    <row r="5217" customFormat="false" ht="15" hidden="false" customHeight="false" outlineLevel="0" collapsed="false">
      <c r="A5217" s="6" t="s">
        <v>10441</v>
      </c>
      <c r="B5217" s="6" t="s">
        <v>4215</v>
      </c>
      <c r="C5217" s="26" t="n">
        <v>46187</v>
      </c>
      <c r="D5217" s="6" t="s">
        <v>5171</v>
      </c>
      <c r="E5217" s="6" t="s">
        <v>23</v>
      </c>
      <c r="F5217" s="6" t="n">
        <v>1</v>
      </c>
      <c r="G5217" s="10" t="n">
        <v>660</v>
      </c>
      <c r="H5217" s="10" t="n">
        <f aca="false">F5217*G5217</f>
        <v>660</v>
      </c>
      <c r="I5217" s="6" t="s">
        <v>5148</v>
      </c>
    </row>
    <row r="5218" customFormat="false" ht="15" hidden="false" customHeight="false" outlineLevel="0" collapsed="false">
      <c r="A5218" s="6" t="s">
        <v>10442</v>
      </c>
      <c r="B5218" s="6" t="s">
        <v>1589</v>
      </c>
      <c r="C5218" s="26" t="n">
        <v>46187</v>
      </c>
      <c r="D5218" s="6" t="s">
        <v>5163</v>
      </c>
      <c r="E5218" s="6" t="s">
        <v>23</v>
      </c>
      <c r="F5218" s="6" t="n">
        <v>1</v>
      </c>
      <c r="G5218" s="10" t="n">
        <v>783</v>
      </c>
      <c r="H5218" s="10" t="n">
        <f aca="false">F5218*G5218</f>
        <v>783</v>
      </c>
      <c r="I5218" s="6" t="s">
        <v>5122</v>
      </c>
    </row>
    <row r="5219" customFormat="false" ht="15" hidden="false" customHeight="false" outlineLevel="0" collapsed="false">
      <c r="A5219" s="6" t="s">
        <v>10443</v>
      </c>
      <c r="B5219" s="6" t="s">
        <v>3041</v>
      </c>
      <c r="C5219" s="26" t="n">
        <v>46187</v>
      </c>
      <c r="D5219" s="6" t="s">
        <v>5163</v>
      </c>
      <c r="E5219" s="6" t="s">
        <v>23</v>
      </c>
      <c r="F5219" s="6" t="n">
        <v>2</v>
      </c>
      <c r="G5219" s="10" t="n">
        <v>783</v>
      </c>
      <c r="H5219" s="10" t="n">
        <f aca="false">F5219*G5219</f>
        <v>1566</v>
      </c>
      <c r="I5219" s="6" t="s">
        <v>5148</v>
      </c>
    </row>
    <row r="5220" customFormat="false" ht="15" hidden="false" customHeight="false" outlineLevel="0" collapsed="false">
      <c r="A5220" s="6" t="s">
        <v>10444</v>
      </c>
      <c r="B5220" s="6" t="s">
        <v>1097</v>
      </c>
      <c r="C5220" s="26" t="n">
        <v>46187</v>
      </c>
      <c r="D5220" s="6" t="s">
        <v>5175</v>
      </c>
      <c r="E5220" s="6" t="s">
        <v>24</v>
      </c>
      <c r="F5220" s="6" t="n">
        <v>1</v>
      </c>
      <c r="G5220" s="10" t="n">
        <v>549</v>
      </c>
      <c r="H5220" s="10" t="n">
        <f aca="false">F5220*G5220</f>
        <v>549</v>
      </c>
      <c r="I5220" s="6" t="s">
        <v>5148</v>
      </c>
    </row>
    <row r="5221" customFormat="false" ht="15" hidden="false" customHeight="false" outlineLevel="0" collapsed="false">
      <c r="A5221" s="6" t="s">
        <v>10445</v>
      </c>
      <c r="B5221" s="6" t="s">
        <v>785</v>
      </c>
      <c r="C5221" s="26" t="n">
        <v>46187</v>
      </c>
      <c r="D5221" s="6" t="s">
        <v>5216</v>
      </c>
      <c r="E5221" s="6" t="s">
        <v>23</v>
      </c>
      <c r="F5221" s="6" t="n">
        <v>5</v>
      </c>
      <c r="G5221" s="10" t="n">
        <v>528</v>
      </c>
      <c r="H5221" s="10" t="n">
        <f aca="false">F5221*G5221</f>
        <v>2640</v>
      </c>
      <c r="I5221" s="6" t="s">
        <v>5122</v>
      </c>
    </row>
    <row r="5222" customFormat="false" ht="15" hidden="false" customHeight="false" outlineLevel="0" collapsed="false">
      <c r="A5222" s="6" t="s">
        <v>10446</v>
      </c>
      <c r="B5222" s="6" t="s">
        <v>2329</v>
      </c>
      <c r="C5222" s="26" t="n">
        <v>46188</v>
      </c>
      <c r="D5222" s="6" t="s">
        <v>5167</v>
      </c>
      <c r="E5222" s="6" t="s">
        <v>22</v>
      </c>
      <c r="F5222" s="6" t="n">
        <v>2</v>
      </c>
      <c r="G5222" s="10" t="n">
        <v>703</v>
      </c>
      <c r="H5222" s="10" t="n">
        <f aca="false">F5222*G5222</f>
        <v>1406</v>
      </c>
      <c r="I5222" s="6" t="s">
        <v>5148</v>
      </c>
    </row>
    <row r="5223" customFormat="false" ht="15" hidden="false" customHeight="false" outlineLevel="0" collapsed="false">
      <c r="A5223" s="6" t="s">
        <v>10447</v>
      </c>
      <c r="B5223" s="6" t="s">
        <v>925</v>
      </c>
      <c r="C5223" s="26" t="n">
        <v>46188</v>
      </c>
      <c r="D5223" s="6" t="s">
        <v>5273</v>
      </c>
      <c r="E5223" s="6" t="s">
        <v>23</v>
      </c>
      <c r="F5223" s="6" t="n">
        <v>3</v>
      </c>
      <c r="G5223" s="10" t="n">
        <v>240</v>
      </c>
      <c r="H5223" s="10" t="n">
        <f aca="false">F5223*G5223</f>
        <v>720</v>
      </c>
      <c r="I5223" s="6" t="s">
        <v>5122</v>
      </c>
    </row>
    <row r="5224" customFormat="false" ht="15" hidden="false" customHeight="false" outlineLevel="0" collapsed="false">
      <c r="A5224" s="6" t="s">
        <v>10448</v>
      </c>
      <c r="B5224" s="6" t="s">
        <v>673</v>
      </c>
      <c r="C5224" s="26" t="n">
        <v>46188</v>
      </c>
      <c r="D5224" s="6" t="s">
        <v>5180</v>
      </c>
      <c r="E5224" s="6" t="s">
        <v>24</v>
      </c>
      <c r="F5224" s="6" t="n">
        <v>1</v>
      </c>
      <c r="G5224" s="10" t="n">
        <v>1987</v>
      </c>
      <c r="H5224" s="10" t="n">
        <f aca="false">F5224*G5224</f>
        <v>1987</v>
      </c>
      <c r="I5224" s="6" t="s">
        <v>5130</v>
      </c>
    </row>
    <row r="5225" customFormat="false" ht="15" hidden="false" customHeight="false" outlineLevel="0" collapsed="false">
      <c r="A5225" s="6" t="s">
        <v>10449</v>
      </c>
      <c r="B5225" s="6" t="s">
        <v>3303</v>
      </c>
      <c r="C5225" s="26" t="n">
        <v>46188</v>
      </c>
      <c r="D5225" s="6" t="s">
        <v>5207</v>
      </c>
      <c r="E5225" s="6" t="s">
        <v>20</v>
      </c>
      <c r="F5225" s="6" t="n">
        <v>1</v>
      </c>
      <c r="G5225" s="10" t="n">
        <v>1325</v>
      </c>
      <c r="H5225" s="10" t="n">
        <f aca="false">F5225*G5225</f>
        <v>1325</v>
      </c>
      <c r="I5225" s="6" t="s">
        <v>5148</v>
      </c>
    </row>
    <row r="5226" customFormat="false" ht="15" hidden="false" customHeight="false" outlineLevel="0" collapsed="false">
      <c r="A5226" s="6" t="s">
        <v>10450</v>
      </c>
      <c r="B5226" s="6" t="s">
        <v>1925</v>
      </c>
      <c r="C5226" s="26" t="n">
        <v>46188</v>
      </c>
      <c r="D5226" s="6" t="s">
        <v>5357</v>
      </c>
      <c r="E5226" s="6" t="s">
        <v>23</v>
      </c>
      <c r="F5226" s="6" t="n">
        <v>2</v>
      </c>
      <c r="G5226" s="10" t="n">
        <v>534</v>
      </c>
      <c r="H5226" s="10" t="n">
        <f aca="false">F5226*G5226</f>
        <v>1068</v>
      </c>
      <c r="I5226" s="6" t="s">
        <v>5130</v>
      </c>
    </row>
    <row r="5227" customFormat="false" ht="15" hidden="false" customHeight="false" outlineLevel="0" collapsed="false">
      <c r="A5227" s="6" t="s">
        <v>10451</v>
      </c>
      <c r="B5227" s="6" t="s">
        <v>4437</v>
      </c>
      <c r="C5227" s="26" t="n">
        <v>46188</v>
      </c>
      <c r="D5227" s="6" t="s">
        <v>5169</v>
      </c>
      <c r="E5227" s="6" t="s">
        <v>20</v>
      </c>
      <c r="F5227" s="6" t="n">
        <v>1</v>
      </c>
      <c r="G5227" s="10" t="n">
        <v>5098</v>
      </c>
      <c r="H5227" s="10" t="n">
        <f aca="false">F5227*G5227</f>
        <v>5098</v>
      </c>
      <c r="I5227" s="6" t="s">
        <v>5122</v>
      </c>
    </row>
    <row r="5228" customFormat="false" ht="15" hidden="false" customHeight="false" outlineLevel="0" collapsed="false">
      <c r="A5228" s="6" t="s">
        <v>10452</v>
      </c>
      <c r="B5228" s="6" t="s">
        <v>2483</v>
      </c>
      <c r="C5228" s="26" t="n">
        <v>46188</v>
      </c>
      <c r="D5228" s="6" t="s">
        <v>5163</v>
      </c>
      <c r="E5228" s="6" t="s">
        <v>23</v>
      </c>
      <c r="F5228" s="6" t="n">
        <v>5</v>
      </c>
      <c r="G5228" s="10" t="n">
        <v>705</v>
      </c>
      <c r="H5228" s="10" t="n">
        <f aca="false">F5228*G5228</f>
        <v>3525</v>
      </c>
      <c r="I5228" s="6" t="s">
        <v>5122</v>
      </c>
    </row>
    <row r="5229" customFormat="false" ht="15" hidden="false" customHeight="false" outlineLevel="0" collapsed="false">
      <c r="A5229" s="6" t="s">
        <v>10453</v>
      </c>
      <c r="B5229" s="6" t="s">
        <v>1471</v>
      </c>
      <c r="C5229" s="26" t="n">
        <v>46188</v>
      </c>
      <c r="D5229" s="6" t="s">
        <v>5192</v>
      </c>
      <c r="E5229" s="6" t="s">
        <v>20</v>
      </c>
      <c r="F5229" s="6" t="n">
        <v>1</v>
      </c>
      <c r="G5229" s="10" t="n">
        <v>3874</v>
      </c>
      <c r="H5229" s="10" t="n">
        <f aca="false">F5229*G5229</f>
        <v>3874</v>
      </c>
      <c r="I5229" s="6" t="s">
        <v>5130</v>
      </c>
    </row>
    <row r="5230" customFormat="false" ht="15" hidden="false" customHeight="false" outlineLevel="0" collapsed="false">
      <c r="A5230" s="6" t="s">
        <v>10454</v>
      </c>
      <c r="B5230" s="6" t="s">
        <v>1973</v>
      </c>
      <c r="C5230" s="26" t="n">
        <v>46188</v>
      </c>
      <c r="D5230" s="6" t="s">
        <v>5298</v>
      </c>
      <c r="E5230" s="6" t="s">
        <v>23</v>
      </c>
      <c r="F5230" s="6" t="n">
        <v>2</v>
      </c>
      <c r="G5230" s="10" t="n">
        <v>293</v>
      </c>
      <c r="H5230" s="10" t="n">
        <f aca="false">F5230*G5230</f>
        <v>586</v>
      </c>
      <c r="I5230" s="6" t="s">
        <v>5122</v>
      </c>
    </row>
    <row r="5231" customFormat="false" ht="15" hidden="false" customHeight="false" outlineLevel="0" collapsed="false">
      <c r="A5231" s="6" t="s">
        <v>10455</v>
      </c>
      <c r="B5231" s="6" t="s">
        <v>4503</v>
      </c>
      <c r="C5231" s="26" t="n">
        <v>46188</v>
      </c>
      <c r="D5231" s="6" t="s">
        <v>5163</v>
      </c>
      <c r="E5231" s="6" t="s">
        <v>23</v>
      </c>
      <c r="F5231" s="6" t="n">
        <v>1</v>
      </c>
      <c r="G5231" s="10" t="n">
        <v>743</v>
      </c>
      <c r="H5231" s="10" t="n">
        <f aca="false">F5231*G5231</f>
        <v>743</v>
      </c>
      <c r="I5231" s="6" t="s">
        <v>5125</v>
      </c>
    </row>
    <row r="5232" customFormat="false" ht="15" hidden="false" customHeight="false" outlineLevel="0" collapsed="false">
      <c r="A5232" s="6" t="s">
        <v>10456</v>
      </c>
      <c r="B5232" s="6" t="s">
        <v>3815</v>
      </c>
      <c r="C5232" s="26" t="n">
        <v>46188</v>
      </c>
      <c r="D5232" s="6" t="s">
        <v>5224</v>
      </c>
      <c r="E5232" s="6" t="s">
        <v>23</v>
      </c>
      <c r="F5232" s="6" t="n">
        <v>5</v>
      </c>
      <c r="G5232" s="10" t="n">
        <v>185</v>
      </c>
      <c r="H5232" s="10" t="n">
        <f aca="false">F5232*G5232</f>
        <v>925</v>
      </c>
      <c r="I5232" s="6" t="s">
        <v>5122</v>
      </c>
    </row>
    <row r="5233" customFormat="false" ht="15" hidden="false" customHeight="false" outlineLevel="0" collapsed="false">
      <c r="A5233" s="6" t="s">
        <v>10457</v>
      </c>
      <c r="B5233" s="6" t="s">
        <v>3301</v>
      </c>
      <c r="C5233" s="26" t="n">
        <v>46188</v>
      </c>
      <c r="D5233" s="6" t="s">
        <v>5154</v>
      </c>
      <c r="E5233" s="6" t="s">
        <v>21</v>
      </c>
      <c r="F5233" s="6" t="n">
        <v>1</v>
      </c>
      <c r="G5233" s="10" t="n">
        <v>785</v>
      </c>
      <c r="H5233" s="10" t="n">
        <f aca="false">F5233*G5233</f>
        <v>785</v>
      </c>
      <c r="I5233" s="6" t="s">
        <v>5130</v>
      </c>
    </row>
    <row r="5234" customFormat="false" ht="15" hidden="false" customHeight="false" outlineLevel="0" collapsed="false">
      <c r="A5234" s="6" t="s">
        <v>10458</v>
      </c>
      <c r="B5234" s="6" t="s">
        <v>563</v>
      </c>
      <c r="C5234" s="26" t="n">
        <v>46188</v>
      </c>
      <c r="D5234" s="6" t="s">
        <v>5121</v>
      </c>
      <c r="E5234" s="6" t="s">
        <v>22</v>
      </c>
      <c r="F5234" s="6" t="n">
        <v>1</v>
      </c>
      <c r="G5234" s="10" t="n">
        <v>927</v>
      </c>
      <c r="H5234" s="10" t="n">
        <f aca="false">F5234*G5234</f>
        <v>927</v>
      </c>
      <c r="I5234" s="6" t="s">
        <v>5125</v>
      </c>
    </row>
    <row r="5235" customFormat="false" ht="15" hidden="false" customHeight="false" outlineLevel="0" collapsed="false">
      <c r="A5235" s="6" t="s">
        <v>10459</v>
      </c>
      <c r="B5235" s="6" t="s">
        <v>485</v>
      </c>
      <c r="C5235" s="26" t="n">
        <v>46188</v>
      </c>
      <c r="D5235" s="6" t="s">
        <v>5124</v>
      </c>
      <c r="E5235" s="6" t="s">
        <v>21</v>
      </c>
      <c r="F5235" s="6" t="n">
        <v>1</v>
      </c>
      <c r="G5235" s="10" t="n">
        <v>3439</v>
      </c>
      <c r="H5235" s="10" t="n">
        <f aca="false">F5235*G5235</f>
        <v>3439</v>
      </c>
      <c r="I5235" s="6" t="s">
        <v>5148</v>
      </c>
    </row>
    <row r="5236" customFormat="false" ht="15" hidden="false" customHeight="false" outlineLevel="0" collapsed="false">
      <c r="A5236" s="6" t="s">
        <v>10460</v>
      </c>
      <c r="B5236" s="6" t="s">
        <v>4605</v>
      </c>
      <c r="C5236" s="26" t="n">
        <v>46188</v>
      </c>
      <c r="D5236" s="6" t="s">
        <v>5257</v>
      </c>
      <c r="E5236" s="6" t="s">
        <v>22</v>
      </c>
      <c r="F5236" s="6" t="n">
        <v>2</v>
      </c>
      <c r="G5236" s="10" t="n">
        <v>2249</v>
      </c>
      <c r="H5236" s="10" t="n">
        <f aca="false">F5236*G5236</f>
        <v>4498</v>
      </c>
      <c r="I5236" s="6" t="s">
        <v>5122</v>
      </c>
    </row>
    <row r="5237" customFormat="false" ht="15" hidden="false" customHeight="false" outlineLevel="0" collapsed="false">
      <c r="A5237" s="6" t="s">
        <v>10461</v>
      </c>
      <c r="B5237" s="6" t="s">
        <v>1263</v>
      </c>
      <c r="C5237" s="26" t="n">
        <v>46188</v>
      </c>
      <c r="D5237" s="6" t="s">
        <v>5152</v>
      </c>
      <c r="E5237" s="6" t="s">
        <v>22</v>
      </c>
      <c r="F5237" s="6" t="n">
        <v>3</v>
      </c>
      <c r="G5237" s="10" t="n">
        <v>1760</v>
      </c>
      <c r="H5237" s="10" t="n">
        <f aca="false">F5237*G5237</f>
        <v>5280</v>
      </c>
      <c r="I5237" s="6" t="s">
        <v>5122</v>
      </c>
    </row>
    <row r="5238" customFormat="false" ht="15" hidden="false" customHeight="false" outlineLevel="0" collapsed="false">
      <c r="A5238" s="6" t="s">
        <v>10462</v>
      </c>
      <c r="B5238" s="6" t="s">
        <v>1641</v>
      </c>
      <c r="C5238" s="26" t="n">
        <v>46188</v>
      </c>
      <c r="D5238" s="6" t="s">
        <v>5188</v>
      </c>
      <c r="E5238" s="6" t="s">
        <v>24</v>
      </c>
      <c r="F5238" s="6" t="n">
        <v>1</v>
      </c>
      <c r="G5238" s="10" t="n">
        <v>1018</v>
      </c>
      <c r="H5238" s="10" t="n">
        <f aca="false">F5238*G5238</f>
        <v>1018</v>
      </c>
      <c r="I5238" s="6" t="s">
        <v>5148</v>
      </c>
    </row>
    <row r="5239" customFormat="false" ht="15" hidden="false" customHeight="false" outlineLevel="0" collapsed="false">
      <c r="A5239" s="6" t="s">
        <v>10463</v>
      </c>
      <c r="B5239" s="6" t="s">
        <v>891</v>
      </c>
      <c r="C5239" s="26" t="n">
        <v>46188</v>
      </c>
      <c r="D5239" s="6" t="s">
        <v>5269</v>
      </c>
      <c r="E5239" s="6" t="s">
        <v>22</v>
      </c>
      <c r="F5239" s="6" t="n">
        <v>1</v>
      </c>
      <c r="G5239" s="10" t="n">
        <v>1271</v>
      </c>
      <c r="H5239" s="10" t="n">
        <f aca="false">F5239*G5239</f>
        <v>1271</v>
      </c>
      <c r="I5239" s="6" t="s">
        <v>5122</v>
      </c>
    </row>
    <row r="5240" customFormat="false" ht="15" hidden="false" customHeight="false" outlineLevel="0" collapsed="false">
      <c r="A5240" s="6" t="s">
        <v>10464</v>
      </c>
      <c r="B5240" s="6" t="s">
        <v>3857</v>
      </c>
      <c r="C5240" s="26" t="n">
        <v>46188</v>
      </c>
      <c r="D5240" s="6" t="s">
        <v>5182</v>
      </c>
      <c r="E5240" s="6" t="s">
        <v>23</v>
      </c>
      <c r="F5240" s="6" t="n">
        <v>1</v>
      </c>
      <c r="G5240" s="10" t="n">
        <v>349</v>
      </c>
      <c r="H5240" s="10" t="n">
        <f aca="false">F5240*G5240</f>
        <v>349</v>
      </c>
      <c r="I5240" s="6" t="s">
        <v>5130</v>
      </c>
    </row>
    <row r="5241" customFormat="false" ht="15" hidden="false" customHeight="false" outlineLevel="0" collapsed="false">
      <c r="A5241" s="6" t="s">
        <v>10465</v>
      </c>
      <c r="B5241" s="6" t="s">
        <v>4423</v>
      </c>
      <c r="C5241" s="26" t="n">
        <v>46188</v>
      </c>
      <c r="D5241" s="6" t="s">
        <v>5180</v>
      </c>
      <c r="E5241" s="6" t="s">
        <v>24</v>
      </c>
      <c r="F5241" s="6" t="n">
        <v>1</v>
      </c>
      <c r="G5241" s="10" t="n">
        <v>1987</v>
      </c>
      <c r="H5241" s="10" t="n">
        <f aca="false">F5241*G5241</f>
        <v>1987</v>
      </c>
      <c r="I5241" s="6" t="s">
        <v>5148</v>
      </c>
    </row>
    <row r="5242" customFormat="false" ht="15" hidden="false" customHeight="false" outlineLevel="0" collapsed="false">
      <c r="A5242" s="6" t="s">
        <v>10466</v>
      </c>
      <c r="B5242" s="6" t="s">
        <v>857</v>
      </c>
      <c r="C5242" s="26" t="n">
        <v>46188</v>
      </c>
      <c r="D5242" s="6" t="s">
        <v>5357</v>
      </c>
      <c r="E5242" s="6" t="s">
        <v>23</v>
      </c>
      <c r="F5242" s="6" t="n">
        <v>4</v>
      </c>
      <c r="G5242" s="10" t="n">
        <v>534</v>
      </c>
      <c r="H5242" s="10" t="n">
        <f aca="false">F5242*G5242</f>
        <v>2136</v>
      </c>
      <c r="I5242" s="6" t="s">
        <v>5122</v>
      </c>
    </row>
    <row r="5243" customFormat="false" ht="15" hidden="false" customHeight="false" outlineLevel="0" collapsed="false">
      <c r="A5243" s="6" t="s">
        <v>10467</v>
      </c>
      <c r="B5243" s="6" t="s">
        <v>3081</v>
      </c>
      <c r="C5243" s="26" t="n">
        <v>46188</v>
      </c>
      <c r="D5243" s="6" t="s">
        <v>5163</v>
      </c>
      <c r="E5243" s="6" t="s">
        <v>23</v>
      </c>
      <c r="F5243" s="6" t="n">
        <v>1</v>
      </c>
      <c r="G5243" s="10" t="n">
        <v>744</v>
      </c>
      <c r="H5243" s="10" t="n">
        <f aca="false">F5243*G5243</f>
        <v>744</v>
      </c>
      <c r="I5243" s="6" t="s">
        <v>5173</v>
      </c>
    </row>
    <row r="5244" customFormat="false" ht="15" hidden="false" customHeight="false" outlineLevel="0" collapsed="false">
      <c r="A5244" s="6" t="s">
        <v>10468</v>
      </c>
      <c r="B5244" s="6" t="s">
        <v>2967</v>
      </c>
      <c r="C5244" s="26" t="n">
        <v>46188</v>
      </c>
      <c r="D5244" s="6" t="s">
        <v>5156</v>
      </c>
      <c r="E5244" s="6" t="s">
        <v>21</v>
      </c>
      <c r="F5244" s="6" t="n">
        <v>1</v>
      </c>
      <c r="G5244" s="10" t="n">
        <v>2161</v>
      </c>
      <c r="H5244" s="10" t="n">
        <f aca="false">F5244*G5244</f>
        <v>2161</v>
      </c>
      <c r="I5244" s="6" t="s">
        <v>5122</v>
      </c>
    </row>
    <row r="5245" customFormat="false" ht="15" hidden="false" customHeight="false" outlineLevel="0" collapsed="false">
      <c r="A5245" s="6" t="s">
        <v>10469</v>
      </c>
      <c r="B5245" s="6" t="s">
        <v>3087</v>
      </c>
      <c r="C5245" s="26" t="n">
        <v>46188</v>
      </c>
      <c r="D5245" s="6" t="s">
        <v>5132</v>
      </c>
      <c r="E5245" s="6" t="s">
        <v>23</v>
      </c>
      <c r="F5245" s="6" t="n">
        <v>5</v>
      </c>
      <c r="G5245" s="10" t="n">
        <v>325</v>
      </c>
      <c r="H5245" s="10" t="n">
        <f aca="false">F5245*G5245</f>
        <v>1625</v>
      </c>
      <c r="I5245" s="6" t="s">
        <v>5148</v>
      </c>
    </row>
    <row r="5246" customFormat="false" ht="15" hidden="false" customHeight="false" outlineLevel="0" collapsed="false">
      <c r="A5246" s="6" t="s">
        <v>10470</v>
      </c>
      <c r="B5246" s="6" t="s">
        <v>2057</v>
      </c>
      <c r="C5246" s="26" t="n">
        <v>46188</v>
      </c>
      <c r="D5246" s="6" t="s">
        <v>5167</v>
      </c>
      <c r="E5246" s="6" t="s">
        <v>22</v>
      </c>
      <c r="F5246" s="6" t="n">
        <v>3</v>
      </c>
      <c r="G5246" s="10" t="n">
        <v>782</v>
      </c>
      <c r="H5246" s="10" t="n">
        <f aca="false">F5246*G5246</f>
        <v>2346</v>
      </c>
      <c r="I5246" s="6" t="s">
        <v>5122</v>
      </c>
    </row>
    <row r="5247" customFormat="false" ht="15" hidden="false" customHeight="false" outlineLevel="0" collapsed="false">
      <c r="A5247" s="6" t="s">
        <v>10471</v>
      </c>
      <c r="B5247" s="6" t="s">
        <v>2505</v>
      </c>
      <c r="C5247" s="26" t="n">
        <v>46188</v>
      </c>
      <c r="D5247" s="6" t="s">
        <v>5488</v>
      </c>
      <c r="E5247" s="6" t="s">
        <v>24</v>
      </c>
      <c r="F5247" s="6" t="n">
        <v>1</v>
      </c>
      <c r="G5247" s="10" t="n">
        <v>780</v>
      </c>
      <c r="H5247" s="10" t="n">
        <f aca="false">F5247*G5247</f>
        <v>780</v>
      </c>
      <c r="I5247" s="6" t="s">
        <v>5130</v>
      </c>
    </row>
    <row r="5248" customFormat="false" ht="15" hidden="false" customHeight="false" outlineLevel="0" collapsed="false">
      <c r="A5248" s="6" t="s">
        <v>10472</v>
      </c>
      <c r="B5248" s="6" t="s">
        <v>4109</v>
      </c>
      <c r="C5248" s="26" t="n">
        <v>46188</v>
      </c>
      <c r="D5248" s="6" t="s">
        <v>5197</v>
      </c>
      <c r="E5248" s="6" t="s">
        <v>21</v>
      </c>
      <c r="F5248" s="6" t="n">
        <v>1</v>
      </c>
      <c r="G5248" s="10" t="n">
        <v>1080</v>
      </c>
      <c r="H5248" s="10" t="n">
        <f aca="false">F5248*G5248</f>
        <v>1080</v>
      </c>
      <c r="I5248" s="6" t="s">
        <v>5148</v>
      </c>
    </row>
    <row r="5249" customFormat="false" ht="15" hidden="false" customHeight="false" outlineLevel="0" collapsed="false">
      <c r="A5249" s="6" t="s">
        <v>10473</v>
      </c>
      <c r="B5249" s="6" t="s">
        <v>3761</v>
      </c>
      <c r="C5249" s="26" t="n">
        <v>46188</v>
      </c>
      <c r="D5249" s="6" t="s">
        <v>5158</v>
      </c>
      <c r="E5249" s="6" t="s">
        <v>24</v>
      </c>
      <c r="F5249" s="6" t="n">
        <v>2</v>
      </c>
      <c r="G5249" s="10" t="n">
        <v>433</v>
      </c>
      <c r="H5249" s="10" t="n">
        <f aca="false">F5249*G5249</f>
        <v>866</v>
      </c>
      <c r="I5249" s="6" t="s">
        <v>5130</v>
      </c>
    </row>
    <row r="5250" customFormat="false" ht="15" hidden="false" customHeight="false" outlineLevel="0" collapsed="false">
      <c r="A5250" s="6" t="s">
        <v>10474</v>
      </c>
      <c r="B5250" s="6" t="s">
        <v>2797</v>
      </c>
      <c r="C5250" s="26" t="n">
        <v>46188</v>
      </c>
      <c r="D5250" s="6" t="s">
        <v>5171</v>
      </c>
      <c r="E5250" s="6" t="s">
        <v>23</v>
      </c>
      <c r="F5250" s="6" t="n">
        <v>2</v>
      </c>
      <c r="G5250" s="10" t="n">
        <v>697</v>
      </c>
      <c r="H5250" s="10" t="n">
        <f aca="false">F5250*G5250</f>
        <v>1394</v>
      </c>
      <c r="I5250" s="6" t="s">
        <v>5130</v>
      </c>
    </row>
    <row r="5251" customFormat="false" ht="15" hidden="false" customHeight="false" outlineLevel="0" collapsed="false">
      <c r="A5251" s="6" t="s">
        <v>10475</v>
      </c>
      <c r="B5251" s="6" t="s">
        <v>1331</v>
      </c>
      <c r="C5251" s="26" t="n">
        <v>46188</v>
      </c>
      <c r="D5251" s="6" t="s">
        <v>5121</v>
      </c>
      <c r="E5251" s="6" t="s">
        <v>22</v>
      </c>
      <c r="F5251" s="6" t="n">
        <v>2</v>
      </c>
      <c r="G5251" s="10" t="n">
        <v>977</v>
      </c>
      <c r="H5251" s="10" t="n">
        <f aca="false">F5251*G5251</f>
        <v>1954</v>
      </c>
      <c r="I5251" s="6" t="s">
        <v>5122</v>
      </c>
    </row>
    <row r="5252" customFormat="false" ht="15" hidden="false" customHeight="false" outlineLevel="0" collapsed="false">
      <c r="A5252" s="6" t="s">
        <v>10476</v>
      </c>
      <c r="B5252" s="6" t="s">
        <v>358</v>
      </c>
      <c r="C5252" s="26" t="n">
        <v>46188</v>
      </c>
      <c r="D5252" s="6" t="s">
        <v>5171</v>
      </c>
      <c r="E5252" s="6" t="s">
        <v>23</v>
      </c>
      <c r="F5252" s="6" t="n">
        <v>2</v>
      </c>
      <c r="G5252" s="10" t="n">
        <v>734</v>
      </c>
      <c r="H5252" s="10" t="n">
        <f aca="false">F5252*G5252</f>
        <v>1468</v>
      </c>
      <c r="I5252" s="6" t="s">
        <v>5122</v>
      </c>
    </row>
    <row r="5253" customFormat="false" ht="15" hidden="false" customHeight="false" outlineLevel="0" collapsed="false">
      <c r="A5253" s="6" t="s">
        <v>10477</v>
      </c>
      <c r="B5253" s="6" t="s">
        <v>4551</v>
      </c>
      <c r="C5253" s="26" t="n">
        <v>46188</v>
      </c>
      <c r="D5253" s="6" t="s">
        <v>5165</v>
      </c>
      <c r="E5253" s="6" t="s">
        <v>22</v>
      </c>
      <c r="F5253" s="6" t="n">
        <v>1</v>
      </c>
      <c r="G5253" s="10" t="n">
        <v>976</v>
      </c>
      <c r="H5253" s="10" t="n">
        <f aca="false">F5253*G5253</f>
        <v>976</v>
      </c>
      <c r="I5253" s="6" t="s">
        <v>5125</v>
      </c>
    </row>
    <row r="5254" customFormat="false" ht="15" hidden="false" customHeight="false" outlineLevel="0" collapsed="false">
      <c r="A5254" s="6" t="s">
        <v>10478</v>
      </c>
      <c r="B5254" s="6" t="s">
        <v>2489</v>
      </c>
      <c r="C5254" s="26" t="n">
        <v>46188</v>
      </c>
      <c r="D5254" s="6" t="s">
        <v>5167</v>
      </c>
      <c r="E5254" s="6" t="s">
        <v>22</v>
      </c>
      <c r="F5254" s="6" t="n">
        <v>1</v>
      </c>
      <c r="G5254" s="10" t="n">
        <v>743</v>
      </c>
      <c r="H5254" s="10" t="n">
        <f aca="false">F5254*G5254</f>
        <v>743</v>
      </c>
      <c r="I5254" s="6" t="s">
        <v>5125</v>
      </c>
    </row>
    <row r="5255" customFormat="false" ht="15" hidden="false" customHeight="false" outlineLevel="0" collapsed="false">
      <c r="A5255" s="6" t="s">
        <v>10479</v>
      </c>
      <c r="B5255" s="6" t="s">
        <v>4539</v>
      </c>
      <c r="C5255" s="26" t="n">
        <v>46188</v>
      </c>
      <c r="D5255" s="6" t="s">
        <v>5197</v>
      </c>
      <c r="E5255" s="6" t="s">
        <v>21</v>
      </c>
      <c r="F5255" s="6" t="n">
        <v>2</v>
      </c>
      <c r="G5255" s="10" t="n">
        <v>1080</v>
      </c>
      <c r="H5255" s="10" t="n">
        <f aca="false">F5255*G5255</f>
        <v>2160</v>
      </c>
      <c r="I5255" s="6" t="s">
        <v>5122</v>
      </c>
    </row>
    <row r="5256" customFormat="false" ht="15" hidden="false" customHeight="false" outlineLevel="0" collapsed="false">
      <c r="A5256" s="6" t="s">
        <v>10480</v>
      </c>
      <c r="B5256" s="6" t="s">
        <v>4405</v>
      </c>
      <c r="C5256" s="26" t="n">
        <v>46188</v>
      </c>
      <c r="D5256" s="6" t="s">
        <v>5141</v>
      </c>
      <c r="E5256" s="6" t="s">
        <v>20</v>
      </c>
      <c r="F5256" s="6" t="n">
        <v>1</v>
      </c>
      <c r="G5256" s="10" t="n">
        <v>1835</v>
      </c>
      <c r="H5256" s="10" t="n">
        <f aca="false">F5256*G5256</f>
        <v>1835</v>
      </c>
      <c r="I5256" s="6" t="s">
        <v>5148</v>
      </c>
    </row>
    <row r="5257" customFormat="false" ht="15" hidden="false" customHeight="false" outlineLevel="0" collapsed="false">
      <c r="A5257" s="6" t="s">
        <v>10481</v>
      </c>
      <c r="B5257" s="6" t="s">
        <v>861</v>
      </c>
      <c r="C5257" s="26" t="n">
        <v>46188</v>
      </c>
      <c r="D5257" s="6" t="s">
        <v>5192</v>
      </c>
      <c r="E5257" s="6" t="s">
        <v>20</v>
      </c>
      <c r="F5257" s="6" t="n">
        <v>1</v>
      </c>
      <c r="G5257" s="10" t="n">
        <v>4078</v>
      </c>
      <c r="H5257" s="10" t="n">
        <f aca="false">F5257*G5257</f>
        <v>4078</v>
      </c>
      <c r="I5257" s="6" t="s">
        <v>5122</v>
      </c>
    </row>
    <row r="5258" customFormat="false" ht="15" hidden="false" customHeight="false" outlineLevel="0" collapsed="false">
      <c r="A5258" s="6" t="s">
        <v>10482</v>
      </c>
      <c r="B5258" s="6" t="s">
        <v>2037</v>
      </c>
      <c r="C5258" s="26" t="n">
        <v>46188</v>
      </c>
      <c r="D5258" s="6" t="s">
        <v>5163</v>
      </c>
      <c r="E5258" s="6" t="s">
        <v>23</v>
      </c>
      <c r="F5258" s="6" t="n">
        <v>5</v>
      </c>
      <c r="G5258" s="10" t="n">
        <v>783</v>
      </c>
      <c r="H5258" s="10" t="n">
        <f aca="false">F5258*G5258</f>
        <v>3915</v>
      </c>
      <c r="I5258" s="6" t="s">
        <v>5148</v>
      </c>
    </row>
    <row r="5259" customFormat="false" ht="15" hidden="false" customHeight="false" outlineLevel="0" collapsed="false">
      <c r="A5259" s="6" t="s">
        <v>10483</v>
      </c>
      <c r="B5259" s="6" t="s">
        <v>2697</v>
      </c>
      <c r="C5259" s="26" t="n">
        <v>46188</v>
      </c>
      <c r="D5259" s="6" t="s">
        <v>5242</v>
      </c>
      <c r="E5259" s="6" t="s">
        <v>23</v>
      </c>
      <c r="F5259" s="6" t="n">
        <v>4</v>
      </c>
      <c r="G5259" s="10" t="n">
        <v>354</v>
      </c>
      <c r="H5259" s="10" t="n">
        <f aca="false">F5259*G5259</f>
        <v>1416</v>
      </c>
      <c r="I5259" s="6" t="s">
        <v>5122</v>
      </c>
    </row>
    <row r="5260" customFormat="false" ht="15" hidden="false" customHeight="false" outlineLevel="0" collapsed="false">
      <c r="A5260" s="6" t="s">
        <v>10484</v>
      </c>
      <c r="B5260" s="6" t="s">
        <v>4105</v>
      </c>
      <c r="C5260" s="26" t="n">
        <v>46188</v>
      </c>
      <c r="D5260" s="6" t="s">
        <v>5167</v>
      </c>
      <c r="E5260" s="6" t="s">
        <v>22</v>
      </c>
      <c r="F5260" s="6" t="n">
        <v>1</v>
      </c>
      <c r="G5260" s="10" t="n">
        <v>743</v>
      </c>
      <c r="H5260" s="10" t="n">
        <f aca="false">F5260*G5260</f>
        <v>743</v>
      </c>
      <c r="I5260" s="6" t="s">
        <v>5122</v>
      </c>
    </row>
    <row r="5261" customFormat="false" ht="15" hidden="false" customHeight="false" outlineLevel="0" collapsed="false">
      <c r="A5261" s="6" t="s">
        <v>10485</v>
      </c>
      <c r="B5261" s="6" t="s">
        <v>459</v>
      </c>
      <c r="C5261" s="26" t="n">
        <v>46188</v>
      </c>
      <c r="D5261" s="6" t="s">
        <v>5137</v>
      </c>
      <c r="E5261" s="6" t="s">
        <v>21</v>
      </c>
      <c r="F5261" s="6" t="n">
        <v>1</v>
      </c>
      <c r="G5261" s="10" t="n">
        <v>1591</v>
      </c>
      <c r="H5261" s="10" t="n">
        <f aca="false">F5261*G5261</f>
        <v>1591</v>
      </c>
      <c r="I5261" s="6" t="s">
        <v>5122</v>
      </c>
    </row>
    <row r="5262" customFormat="false" ht="15" hidden="false" customHeight="false" outlineLevel="0" collapsed="false">
      <c r="A5262" s="6" t="s">
        <v>10486</v>
      </c>
      <c r="B5262" s="6" t="s">
        <v>4025</v>
      </c>
      <c r="C5262" s="26" t="n">
        <v>46188</v>
      </c>
      <c r="D5262" s="6" t="s">
        <v>5127</v>
      </c>
      <c r="E5262" s="6" t="s">
        <v>21</v>
      </c>
      <c r="F5262" s="6" t="n">
        <v>1</v>
      </c>
      <c r="G5262" s="10" t="n">
        <v>795</v>
      </c>
      <c r="H5262" s="10" t="n">
        <f aca="false">F5262*G5262</f>
        <v>795</v>
      </c>
      <c r="I5262" s="6" t="s">
        <v>5133</v>
      </c>
    </row>
    <row r="5263" customFormat="false" ht="15" hidden="false" customHeight="false" outlineLevel="0" collapsed="false">
      <c r="A5263" s="6" t="s">
        <v>10487</v>
      </c>
      <c r="B5263" s="6" t="s">
        <v>2121</v>
      </c>
      <c r="C5263" s="26" t="n">
        <v>46188</v>
      </c>
      <c r="D5263" s="6" t="s">
        <v>5226</v>
      </c>
      <c r="E5263" s="6" t="s">
        <v>24</v>
      </c>
      <c r="F5263" s="6" t="n">
        <v>2</v>
      </c>
      <c r="G5263" s="10" t="n">
        <v>457</v>
      </c>
      <c r="H5263" s="10" t="n">
        <f aca="false">F5263*G5263</f>
        <v>914</v>
      </c>
      <c r="I5263" s="6" t="s">
        <v>5122</v>
      </c>
    </row>
    <row r="5264" customFormat="false" ht="15" hidden="false" customHeight="false" outlineLevel="0" collapsed="false">
      <c r="A5264" s="6" t="s">
        <v>10488</v>
      </c>
      <c r="B5264" s="6" t="s">
        <v>3641</v>
      </c>
      <c r="C5264" s="26" t="n">
        <v>46188</v>
      </c>
      <c r="D5264" s="6" t="s">
        <v>5135</v>
      </c>
      <c r="E5264" s="6" t="s">
        <v>23</v>
      </c>
      <c r="F5264" s="6" t="n">
        <v>3</v>
      </c>
      <c r="G5264" s="10" t="n">
        <v>441</v>
      </c>
      <c r="H5264" s="10" t="n">
        <f aca="false">F5264*G5264</f>
        <v>1323</v>
      </c>
      <c r="I5264" s="6" t="s">
        <v>5122</v>
      </c>
    </row>
    <row r="5265" customFormat="false" ht="15" hidden="false" customHeight="false" outlineLevel="0" collapsed="false">
      <c r="A5265" s="6" t="s">
        <v>10489</v>
      </c>
      <c r="B5265" s="6" t="s">
        <v>168</v>
      </c>
      <c r="C5265" s="26" t="n">
        <v>46188</v>
      </c>
      <c r="D5265" s="6" t="s">
        <v>5273</v>
      </c>
      <c r="E5265" s="6" t="s">
        <v>23</v>
      </c>
      <c r="F5265" s="6" t="n">
        <v>1</v>
      </c>
      <c r="G5265" s="10" t="n">
        <v>240</v>
      </c>
      <c r="H5265" s="10" t="n">
        <f aca="false">F5265*G5265</f>
        <v>240</v>
      </c>
      <c r="I5265" s="6" t="s">
        <v>5122</v>
      </c>
    </row>
    <row r="5266" customFormat="false" ht="15" hidden="false" customHeight="false" outlineLevel="0" collapsed="false">
      <c r="A5266" s="6" t="s">
        <v>10490</v>
      </c>
      <c r="B5266" s="6" t="s">
        <v>1709</v>
      </c>
      <c r="C5266" s="26" t="n">
        <v>46188</v>
      </c>
      <c r="D5266" s="6" t="s">
        <v>5357</v>
      </c>
      <c r="E5266" s="6" t="s">
        <v>23</v>
      </c>
      <c r="F5266" s="6" t="n">
        <v>5</v>
      </c>
      <c r="G5266" s="10" t="n">
        <v>507</v>
      </c>
      <c r="H5266" s="10" t="n">
        <f aca="false">F5266*G5266</f>
        <v>2535</v>
      </c>
      <c r="I5266" s="6" t="s">
        <v>5122</v>
      </c>
    </row>
    <row r="5267" customFormat="false" ht="15" hidden="false" customHeight="false" outlineLevel="0" collapsed="false">
      <c r="A5267" s="6" t="s">
        <v>10491</v>
      </c>
      <c r="B5267" s="6" t="s">
        <v>5103</v>
      </c>
      <c r="C5267" s="26" t="n">
        <v>46188</v>
      </c>
      <c r="D5267" s="6" t="s">
        <v>5837</v>
      </c>
      <c r="E5267" s="6" t="s">
        <v>21</v>
      </c>
      <c r="F5267" s="6" t="n">
        <v>1</v>
      </c>
      <c r="G5267" s="10" t="n">
        <v>2800</v>
      </c>
      <c r="H5267" s="10" t="n">
        <f aca="false">F5267*G5267</f>
        <v>2800</v>
      </c>
      <c r="I5267" s="6" t="s">
        <v>5122</v>
      </c>
    </row>
    <row r="5268" customFormat="false" ht="15" hidden="false" customHeight="false" outlineLevel="0" collapsed="false">
      <c r="A5268" s="6" t="s">
        <v>10492</v>
      </c>
      <c r="B5268" s="6" t="s">
        <v>5063</v>
      </c>
      <c r="C5268" s="26" t="n">
        <v>46188</v>
      </c>
      <c r="D5268" s="6" t="s">
        <v>5121</v>
      </c>
      <c r="E5268" s="6" t="s">
        <v>22</v>
      </c>
      <c r="F5268" s="6" t="n">
        <v>1</v>
      </c>
      <c r="G5268" s="10" t="n">
        <v>928</v>
      </c>
      <c r="H5268" s="10" t="n">
        <f aca="false">F5268*G5268</f>
        <v>928</v>
      </c>
      <c r="I5268" s="6" t="s">
        <v>5148</v>
      </c>
    </row>
    <row r="5269" customFormat="false" ht="15" hidden="false" customHeight="false" outlineLevel="0" collapsed="false">
      <c r="A5269" s="6" t="s">
        <v>10493</v>
      </c>
      <c r="B5269" s="6" t="s">
        <v>4831</v>
      </c>
      <c r="C5269" s="26" t="n">
        <v>46188</v>
      </c>
      <c r="D5269" s="6" t="s">
        <v>5318</v>
      </c>
      <c r="E5269" s="6" t="s">
        <v>20</v>
      </c>
      <c r="F5269" s="6" t="n">
        <v>1</v>
      </c>
      <c r="G5269" s="10" t="n">
        <v>1528</v>
      </c>
      <c r="H5269" s="10" t="n">
        <f aca="false">F5269*G5269</f>
        <v>1528</v>
      </c>
      <c r="I5269" s="6" t="s">
        <v>5148</v>
      </c>
    </row>
    <row r="5270" customFormat="false" ht="15" hidden="false" customHeight="false" outlineLevel="0" collapsed="false">
      <c r="A5270" s="6" t="s">
        <v>10494</v>
      </c>
      <c r="B5270" s="6" t="s">
        <v>3911</v>
      </c>
      <c r="C5270" s="26" t="n">
        <v>46188</v>
      </c>
      <c r="D5270" s="6" t="s">
        <v>5456</v>
      </c>
      <c r="E5270" s="6" t="s">
        <v>24</v>
      </c>
      <c r="F5270" s="6" t="n">
        <v>1</v>
      </c>
      <c r="G5270" s="10" t="n">
        <v>821</v>
      </c>
      <c r="H5270" s="10" t="n">
        <f aca="false">F5270*G5270</f>
        <v>821</v>
      </c>
      <c r="I5270" s="6" t="s">
        <v>5133</v>
      </c>
    </row>
    <row r="5271" customFormat="false" ht="15" hidden="false" customHeight="false" outlineLevel="0" collapsed="false">
      <c r="A5271" s="6" t="s">
        <v>10495</v>
      </c>
      <c r="B5271" s="6" t="s">
        <v>2575</v>
      </c>
      <c r="C5271" s="26" t="n">
        <v>46188</v>
      </c>
      <c r="D5271" s="6" t="s">
        <v>5488</v>
      </c>
      <c r="E5271" s="6" t="s">
        <v>24</v>
      </c>
      <c r="F5271" s="6" t="n">
        <v>1</v>
      </c>
      <c r="G5271" s="10" t="n">
        <v>779</v>
      </c>
      <c r="H5271" s="10" t="n">
        <f aca="false">F5271*G5271</f>
        <v>779</v>
      </c>
      <c r="I5271" s="6" t="s">
        <v>5122</v>
      </c>
    </row>
    <row r="5272" customFormat="false" ht="15" hidden="false" customHeight="false" outlineLevel="0" collapsed="false">
      <c r="A5272" s="6" t="s">
        <v>10496</v>
      </c>
      <c r="B5272" s="6" t="s">
        <v>4841</v>
      </c>
      <c r="C5272" s="26" t="n">
        <v>46189</v>
      </c>
      <c r="D5272" s="6" t="s">
        <v>5257</v>
      </c>
      <c r="E5272" s="6" t="s">
        <v>22</v>
      </c>
      <c r="F5272" s="6" t="n">
        <v>3</v>
      </c>
      <c r="G5272" s="10" t="n">
        <v>2024</v>
      </c>
      <c r="H5272" s="10" t="n">
        <f aca="false">F5272*G5272</f>
        <v>6072</v>
      </c>
      <c r="I5272" s="6" t="s">
        <v>5148</v>
      </c>
    </row>
    <row r="5273" customFormat="false" ht="15" hidden="false" customHeight="false" outlineLevel="0" collapsed="false">
      <c r="A5273" s="6" t="s">
        <v>10497</v>
      </c>
      <c r="B5273" s="6" t="s">
        <v>3055</v>
      </c>
      <c r="C5273" s="26" t="n">
        <v>46189</v>
      </c>
      <c r="D5273" s="6" t="s">
        <v>5167</v>
      </c>
      <c r="E5273" s="6" t="s">
        <v>22</v>
      </c>
      <c r="F5273" s="6" t="n">
        <v>1</v>
      </c>
      <c r="G5273" s="10" t="n">
        <v>743</v>
      </c>
      <c r="H5273" s="10" t="n">
        <f aca="false">F5273*G5273</f>
        <v>743</v>
      </c>
      <c r="I5273" s="6" t="s">
        <v>5122</v>
      </c>
    </row>
    <row r="5274" customFormat="false" ht="15" hidden="false" customHeight="false" outlineLevel="0" collapsed="false">
      <c r="A5274" s="6" t="s">
        <v>10498</v>
      </c>
      <c r="B5274" s="6" t="s">
        <v>2117</v>
      </c>
      <c r="C5274" s="26" t="n">
        <v>46189</v>
      </c>
      <c r="D5274" s="6" t="s">
        <v>5383</v>
      </c>
      <c r="E5274" s="6" t="s">
        <v>20</v>
      </c>
      <c r="F5274" s="6" t="n">
        <v>1</v>
      </c>
      <c r="G5274" s="10" t="n">
        <v>1121</v>
      </c>
      <c r="H5274" s="10" t="n">
        <f aca="false">F5274*G5274</f>
        <v>1121</v>
      </c>
      <c r="I5274" s="6" t="s">
        <v>5148</v>
      </c>
    </row>
    <row r="5275" customFormat="false" ht="15" hidden="false" customHeight="false" outlineLevel="0" collapsed="false">
      <c r="A5275" s="6" t="s">
        <v>10499</v>
      </c>
      <c r="B5275" s="6" t="s">
        <v>4657</v>
      </c>
      <c r="C5275" s="26" t="n">
        <v>46189</v>
      </c>
      <c r="D5275" s="6" t="s">
        <v>5158</v>
      </c>
      <c r="E5275" s="6" t="s">
        <v>24</v>
      </c>
      <c r="F5275" s="6" t="n">
        <v>2</v>
      </c>
      <c r="G5275" s="10" t="n">
        <v>433</v>
      </c>
      <c r="H5275" s="10" t="n">
        <f aca="false">F5275*G5275</f>
        <v>866</v>
      </c>
      <c r="I5275" s="6" t="s">
        <v>5125</v>
      </c>
    </row>
    <row r="5276" customFormat="false" ht="15" hidden="false" customHeight="false" outlineLevel="0" collapsed="false">
      <c r="A5276" s="6" t="s">
        <v>10500</v>
      </c>
      <c r="B5276" s="6" t="s">
        <v>2403</v>
      </c>
      <c r="C5276" s="26" t="n">
        <v>46189</v>
      </c>
      <c r="D5276" s="6" t="s">
        <v>5357</v>
      </c>
      <c r="E5276" s="6" t="s">
        <v>23</v>
      </c>
      <c r="F5276" s="6" t="n">
        <v>1</v>
      </c>
      <c r="G5276" s="10" t="n">
        <v>534</v>
      </c>
      <c r="H5276" s="10" t="n">
        <f aca="false">F5276*G5276</f>
        <v>534</v>
      </c>
      <c r="I5276" s="6" t="s">
        <v>5122</v>
      </c>
    </row>
    <row r="5277" customFormat="false" ht="15" hidden="false" customHeight="false" outlineLevel="0" collapsed="false">
      <c r="A5277" s="6" t="s">
        <v>10501</v>
      </c>
      <c r="B5277" s="6" t="s">
        <v>1753</v>
      </c>
      <c r="C5277" s="26" t="n">
        <v>46189</v>
      </c>
      <c r="D5277" s="6" t="s">
        <v>5456</v>
      </c>
      <c r="E5277" s="6" t="s">
        <v>24</v>
      </c>
      <c r="F5277" s="6" t="n">
        <v>2</v>
      </c>
      <c r="G5277" s="10" t="n">
        <v>821</v>
      </c>
      <c r="H5277" s="10" t="n">
        <f aca="false">F5277*G5277</f>
        <v>1642</v>
      </c>
      <c r="I5277" s="6" t="s">
        <v>5130</v>
      </c>
    </row>
    <row r="5278" customFormat="false" ht="15" hidden="false" customHeight="false" outlineLevel="0" collapsed="false">
      <c r="A5278" s="6" t="s">
        <v>10502</v>
      </c>
      <c r="B5278" s="6" t="s">
        <v>4679</v>
      </c>
      <c r="C5278" s="26" t="n">
        <v>46189</v>
      </c>
      <c r="D5278" s="6" t="s">
        <v>5357</v>
      </c>
      <c r="E5278" s="6" t="s">
        <v>23</v>
      </c>
      <c r="F5278" s="6" t="n">
        <v>2</v>
      </c>
      <c r="G5278" s="10" t="n">
        <v>507</v>
      </c>
      <c r="H5278" s="10" t="n">
        <f aca="false">F5278*G5278</f>
        <v>1014</v>
      </c>
      <c r="I5278" s="6" t="s">
        <v>5122</v>
      </c>
    </row>
    <row r="5279" customFormat="false" ht="15" hidden="false" customHeight="false" outlineLevel="0" collapsed="false">
      <c r="A5279" s="6" t="s">
        <v>10503</v>
      </c>
      <c r="B5279" s="6" t="s">
        <v>2939</v>
      </c>
      <c r="C5279" s="26" t="n">
        <v>46189</v>
      </c>
      <c r="D5279" s="6" t="s">
        <v>5165</v>
      </c>
      <c r="E5279" s="6" t="s">
        <v>22</v>
      </c>
      <c r="F5279" s="6" t="n">
        <v>1</v>
      </c>
      <c r="G5279" s="10" t="n">
        <v>928</v>
      </c>
      <c r="H5279" s="10" t="n">
        <f aca="false">F5279*G5279</f>
        <v>928</v>
      </c>
      <c r="I5279" s="6" t="s">
        <v>5122</v>
      </c>
    </row>
    <row r="5280" customFormat="false" ht="15" hidden="false" customHeight="false" outlineLevel="0" collapsed="false">
      <c r="A5280" s="6" t="s">
        <v>10504</v>
      </c>
      <c r="B5280" s="6" t="s">
        <v>3439</v>
      </c>
      <c r="C5280" s="26" t="n">
        <v>46189</v>
      </c>
      <c r="D5280" s="6" t="s">
        <v>5216</v>
      </c>
      <c r="E5280" s="6" t="s">
        <v>23</v>
      </c>
      <c r="F5280" s="6" t="n">
        <v>2</v>
      </c>
      <c r="G5280" s="10" t="n">
        <v>558</v>
      </c>
      <c r="H5280" s="10" t="n">
        <f aca="false">F5280*G5280</f>
        <v>1116</v>
      </c>
      <c r="I5280" s="6" t="s">
        <v>5133</v>
      </c>
    </row>
    <row r="5281" customFormat="false" ht="15" hidden="false" customHeight="false" outlineLevel="0" collapsed="false">
      <c r="A5281" s="6" t="s">
        <v>10505</v>
      </c>
      <c r="B5281" s="6" t="s">
        <v>2223</v>
      </c>
      <c r="C5281" s="26" t="n">
        <v>46189</v>
      </c>
      <c r="D5281" s="6" t="s">
        <v>5150</v>
      </c>
      <c r="E5281" s="6" t="s">
        <v>24</v>
      </c>
      <c r="F5281" s="6" t="n">
        <v>1</v>
      </c>
      <c r="G5281" s="10" t="n">
        <v>458</v>
      </c>
      <c r="H5281" s="10" t="n">
        <f aca="false">F5281*G5281</f>
        <v>458</v>
      </c>
      <c r="I5281" s="6" t="s">
        <v>5130</v>
      </c>
    </row>
    <row r="5282" customFormat="false" ht="15" hidden="false" customHeight="false" outlineLevel="0" collapsed="false">
      <c r="A5282" s="6" t="s">
        <v>10506</v>
      </c>
      <c r="B5282" s="6" t="s">
        <v>675</v>
      </c>
      <c r="C5282" s="26" t="n">
        <v>46189</v>
      </c>
      <c r="D5282" s="6" t="s">
        <v>5163</v>
      </c>
      <c r="E5282" s="6" t="s">
        <v>23</v>
      </c>
      <c r="F5282" s="6" t="n">
        <v>2</v>
      </c>
      <c r="G5282" s="10" t="n">
        <v>783</v>
      </c>
      <c r="H5282" s="10" t="n">
        <f aca="false">F5282*G5282</f>
        <v>1566</v>
      </c>
      <c r="I5282" s="6" t="s">
        <v>5125</v>
      </c>
    </row>
    <row r="5283" customFormat="false" ht="15" hidden="false" customHeight="false" outlineLevel="0" collapsed="false">
      <c r="A5283" s="6" t="s">
        <v>10507</v>
      </c>
      <c r="B5283" s="6" t="s">
        <v>3515</v>
      </c>
      <c r="C5283" s="26" t="n">
        <v>46189</v>
      </c>
      <c r="D5283" s="6" t="s">
        <v>5163</v>
      </c>
      <c r="E5283" s="6" t="s">
        <v>23</v>
      </c>
      <c r="F5283" s="6" t="n">
        <v>1</v>
      </c>
      <c r="G5283" s="10" t="n">
        <v>783</v>
      </c>
      <c r="H5283" s="10" t="n">
        <f aca="false">F5283*G5283</f>
        <v>783</v>
      </c>
      <c r="I5283" s="6" t="s">
        <v>5122</v>
      </c>
    </row>
    <row r="5284" customFormat="false" ht="15" hidden="false" customHeight="false" outlineLevel="0" collapsed="false">
      <c r="A5284" s="6" t="s">
        <v>10508</v>
      </c>
      <c r="B5284" s="6" t="s">
        <v>2995</v>
      </c>
      <c r="C5284" s="26" t="n">
        <v>46189</v>
      </c>
      <c r="D5284" s="6" t="s">
        <v>5240</v>
      </c>
      <c r="E5284" s="6" t="s">
        <v>20</v>
      </c>
      <c r="F5284" s="6" t="n">
        <v>1</v>
      </c>
      <c r="G5284" s="10" t="n">
        <v>5098</v>
      </c>
      <c r="H5284" s="10" t="n">
        <f aca="false">F5284*G5284</f>
        <v>5098</v>
      </c>
      <c r="I5284" s="6" t="s">
        <v>5148</v>
      </c>
    </row>
    <row r="5285" customFormat="false" ht="15" hidden="false" customHeight="false" outlineLevel="0" collapsed="false">
      <c r="A5285" s="6" t="s">
        <v>10509</v>
      </c>
      <c r="B5285" s="6" t="s">
        <v>2055</v>
      </c>
      <c r="C5285" s="26" t="n">
        <v>46189</v>
      </c>
      <c r="D5285" s="6" t="s">
        <v>5273</v>
      </c>
      <c r="E5285" s="6" t="s">
        <v>23</v>
      </c>
      <c r="F5285" s="6" t="n">
        <v>1</v>
      </c>
      <c r="G5285" s="10" t="n">
        <v>240</v>
      </c>
      <c r="H5285" s="10" t="n">
        <f aca="false">F5285*G5285</f>
        <v>240</v>
      </c>
      <c r="I5285" s="6" t="s">
        <v>5130</v>
      </c>
    </row>
    <row r="5286" customFormat="false" ht="15" hidden="false" customHeight="false" outlineLevel="0" collapsed="false">
      <c r="A5286" s="6" t="s">
        <v>10510</v>
      </c>
      <c r="B5286" s="6" t="s">
        <v>2327</v>
      </c>
      <c r="C5286" s="26" t="n">
        <v>46189</v>
      </c>
      <c r="D5286" s="6" t="s">
        <v>5165</v>
      </c>
      <c r="E5286" s="6" t="s">
        <v>22</v>
      </c>
      <c r="F5286" s="6" t="n">
        <v>2</v>
      </c>
      <c r="G5286" s="10" t="n">
        <v>928</v>
      </c>
      <c r="H5286" s="10" t="n">
        <f aca="false">F5286*G5286</f>
        <v>1856</v>
      </c>
      <c r="I5286" s="6" t="s">
        <v>5122</v>
      </c>
    </row>
    <row r="5287" customFormat="false" ht="15" hidden="false" customHeight="false" outlineLevel="0" collapsed="false">
      <c r="A5287" s="6" t="s">
        <v>10511</v>
      </c>
      <c r="B5287" s="6" t="s">
        <v>2391</v>
      </c>
      <c r="C5287" s="26" t="n">
        <v>46189</v>
      </c>
      <c r="D5287" s="6" t="s">
        <v>5182</v>
      </c>
      <c r="E5287" s="6" t="s">
        <v>23</v>
      </c>
      <c r="F5287" s="6" t="n">
        <v>4</v>
      </c>
      <c r="G5287" s="10" t="n">
        <v>367</v>
      </c>
      <c r="H5287" s="10" t="n">
        <f aca="false">F5287*G5287</f>
        <v>1468</v>
      </c>
      <c r="I5287" s="6" t="s">
        <v>5122</v>
      </c>
    </row>
    <row r="5288" customFormat="false" ht="15" hidden="false" customHeight="false" outlineLevel="0" collapsed="false">
      <c r="A5288" s="6" t="s">
        <v>10512</v>
      </c>
      <c r="B5288" s="6" t="s">
        <v>2445</v>
      </c>
      <c r="C5288" s="26" t="n">
        <v>46189</v>
      </c>
      <c r="D5288" s="6" t="s">
        <v>5226</v>
      </c>
      <c r="E5288" s="6" t="s">
        <v>24</v>
      </c>
      <c r="F5288" s="6" t="n">
        <v>2</v>
      </c>
      <c r="G5288" s="10" t="n">
        <v>412</v>
      </c>
      <c r="H5288" s="10" t="n">
        <f aca="false">F5288*G5288</f>
        <v>824</v>
      </c>
      <c r="I5288" s="6" t="s">
        <v>5148</v>
      </c>
    </row>
    <row r="5289" customFormat="false" ht="15" hidden="false" customHeight="false" outlineLevel="0" collapsed="false">
      <c r="A5289" s="6" t="s">
        <v>10513</v>
      </c>
      <c r="B5289" s="6" t="s">
        <v>3049</v>
      </c>
      <c r="C5289" s="26" t="n">
        <v>46189</v>
      </c>
      <c r="D5289" s="6" t="s">
        <v>5156</v>
      </c>
      <c r="E5289" s="6" t="s">
        <v>21</v>
      </c>
      <c r="F5289" s="6" t="n">
        <v>1</v>
      </c>
      <c r="G5289" s="10" t="n">
        <v>2053</v>
      </c>
      <c r="H5289" s="10" t="n">
        <f aca="false">F5289*G5289</f>
        <v>2053</v>
      </c>
      <c r="I5289" s="6" t="s">
        <v>5125</v>
      </c>
    </row>
    <row r="5290" customFormat="false" ht="15" hidden="false" customHeight="false" outlineLevel="0" collapsed="false">
      <c r="A5290" s="6" t="s">
        <v>10514</v>
      </c>
      <c r="B5290" s="6" t="s">
        <v>4337</v>
      </c>
      <c r="C5290" s="26" t="n">
        <v>46189</v>
      </c>
      <c r="D5290" s="6" t="s">
        <v>5154</v>
      </c>
      <c r="E5290" s="6" t="s">
        <v>21</v>
      </c>
      <c r="F5290" s="6" t="n">
        <v>1</v>
      </c>
      <c r="G5290" s="10" t="n">
        <v>707</v>
      </c>
      <c r="H5290" s="10" t="n">
        <f aca="false">F5290*G5290</f>
        <v>707</v>
      </c>
      <c r="I5290" s="6" t="s">
        <v>5130</v>
      </c>
    </row>
    <row r="5291" customFormat="false" ht="15" hidden="false" customHeight="false" outlineLevel="0" collapsed="false">
      <c r="A5291" s="6" t="s">
        <v>10515</v>
      </c>
      <c r="B5291" s="6" t="s">
        <v>2299</v>
      </c>
      <c r="C5291" s="26" t="n">
        <v>46189</v>
      </c>
      <c r="D5291" s="6" t="s">
        <v>5316</v>
      </c>
      <c r="E5291" s="6" t="s">
        <v>23</v>
      </c>
      <c r="F5291" s="6" t="n">
        <v>1</v>
      </c>
      <c r="G5291" s="10" t="n">
        <v>260</v>
      </c>
      <c r="H5291" s="10" t="n">
        <f aca="false">F5291*G5291</f>
        <v>260</v>
      </c>
      <c r="I5291" s="6" t="s">
        <v>5148</v>
      </c>
    </row>
    <row r="5292" customFormat="false" ht="15" hidden="false" customHeight="false" outlineLevel="0" collapsed="false">
      <c r="A5292" s="6" t="s">
        <v>10516</v>
      </c>
      <c r="B5292" s="6" t="s">
        <v>2963</v>
      </c>
      <c r="C5292" s="26" t="n">
        <v>46189</v>
      </c>
      <c r="D5292" s="6" t="s">
        <v>5202</v>
      </c>
      <c r="E5292" s="6" t="s">
        <v>23</v>
      </c>
      <c r="F5292" s="6" t="n">
        <v>2</v>
      </c>
      <c r="G5292" s="10" t="n">
        <v>245</v>
      </c>
      <c r="H5292" s="10" t="n">
        <f aca="false">F5292*G5292</f>
        <v>490</v>
      </c>
      <c r="I5292" s="6" t="s">
        <v>5122</v>
      </c>
    </row>
    <row r="5293" customFormat="false" ht="15" hidden="false" customHeight="false" outlineLevel="0" collapsed="false">
      <c r="A5293" s="6" t="s">
        <v>10517</v>
      </c>
      <c r="B5293" s="6" t="s">
        <v>1935</v>
      </c>
      <c r="C5293" s="26" t="n">
        <v>46189</v>
      </c>
      <c r="D5293" s="6" t="s">
        <v>5171</v>
      </c>
      <c r="E5293" s="6" t="s">
        <v>23</v>
      </c>
      <c r="F5293" s="6" t="n">
        <v>1</v>
      </c>
      <c r="G5293" s="10" t="n">
        <v>661</v>
      </c>
      <c r="H5293" s="10" t="n">
        <f aca="false">F5293*G5293</f>
        <v>661</v>
      </c>
      <c r="I5293" s="6" t="s">
        <v>5125</v>
      </c>
    </row>
    <row r="5294" customFormat="false" ht="15" hidden="false" customHeight="false" outlineLevel="0" collapsed="false">
      <c r="A5294" s="6" t="s">
        <v>10518</v>
      </c>
      <c r="B5294" s="6" t="s">
        <v>2541</v>
      </c>
      <c r="C5294" s="26" t="n">
        <v>46189</v>
      </c>
      <c r="D5294" s="6" t="s">
        <v>5207</v>
      </c>
      <c r="E5294" s="6" t="s">
        <v>20</v>
      </c>
      <c r="F5294" s="6" t="n">
        <v>1</v>
      </c>
      <c r="G5294" s="10" t="n">
        <v>1324</v>
      </c>
      <c r="H5294" s="10" t="n">
        <f aca="false">F5294*G5294</f>
        <v>1324</v>
      </c>
      <c r="I5294" s="6" t="s">
        <v>5130</v>
      </c>
    </row>
    <row r="5295" customFormat="false" ht="15" hidden="false" customHeight="false" outlineLevel="0" collapsed="false">
      <c r="A5295" s="6" t="s">
        <v>10519</v>
      </c>
      <c r="B5295" s="6" t="s">
        <v>2017</v>
      </c>
      <c r="C5295" s="26" t="n">
        <v>46189</v>
      </c>
      <c r="D5295" s="6" t="s">
        <v>5749</v>
      </c>
      <c r="E5295" s="6" t="s">
        <v>20</v>
      </c>
      <c r="F5295" s="6" t="n">
        <v>2</v>
      </c>
      <c r="G5295" s="10" t="n">
        <v>774</v>
      </c>
      <c r="H5295" s="10" t="n">
        <f aca="false">F5295*G5295</f>
        <v>1548</v>
      </c>
      <c r="I5295" s="6" t="s">
        <v>5122</v>
      </c>
    </row>
    <row r="5296" customFormat="false" ht="15" hidden="false" customHeight="false" outlineLevel="0" collapsed="false">
      <c r="A5296" s="6" t="s">
        <v>10520</v>
      </c>
      <c r="B5296" s="6" t="s">
        <v>1731</v>
      </c>
      <c r="C5296" s="26" t="n">
        <v>46189</v>
      </c>
      <c r="D5296" s="6" t="s">
        <v>5456</v>
      </c>
      <c r="E5296" s="6" t="s">
        <v>24</v>
      </c>
      <c r="F5296" s="6" t="n">
        <v>2</v>
      </c>
      <c r="G5296" s="10" t="n">
        <v>821</v>
      </c>
      <c r="H5296" s="10" t="n">
        <f aca="false">F5296*G5296</f>
        <v>1642</v>
      </c>
      <c r="I5296" s="6" t="s">
        <v>5133</v>
      </c>
    </row>
    <row r="5297" customFormat="false" ht="15" hidden="false" customHeight="false" outlineLevel="0" collapsed="false">
      <c r="A5297" s="6" t="s">
        <v>10521</v>
      </c>
      <c r="B5297" s="6" t="s">
        <v>5047</v>
      </c>
      <c r="C5297" s="26" t="n">
        <v>46189</v>
      </c>
      <c r="D5297" s="6" t="s">
        <v>5207</v>
      </c>
      <c r="E5297" s="6" t="s">
        <v>20</v>
      </c>
      <c r="F5297" s="6" t="n">
        <v>1</v>
      </c>
      <c r="G5297" s="10" t="n">
        <v>1325</v>
      </c>
      <c r="H5297" s="10" t="n">
        <f aca="false">F5297*G5297</f>
        <v>1325</v>
      </c>
      <c r="I5297" s="6" t="s">
        <v>5148</v>
      </c>
    </row>
    <row r="5298" customFormat="false" ht="15" hidden="false" customHeight="false" outlineLevel="0" collapsed="false">
      <c r="A5298" s="6" t="s">
        <v>10522</v>
      </c>
      <c r="B5298" s="6" t="s">
        <v>4099</v>
      </c>
      <c r="C5298" s="26" t="n">
        <v>46189</v>
      </c>
      <c r="D5298" s="6" t="s">
        <v>5482</v>
      </c>
      <c r="E5298" s="6" t="s">
        <v>23</v>
      </c>
      <c r="F5298" s="6" t="n">
        <v>5</v>
      </c>
      <c r="G5298" s="10" t="n">
        <v>256</v>
      </c>
      <c r="H5298" s="10" t="n">
        <f aca="false">F5298*G5298</f>
        <v>1280</v>
      </c>
      <c r="I5298" s="6" t="s">
        <v>5173</v>
      </c>
    </row>
    <row r="5299" customFormat="false" ht="15" hidden="false" customHeight="false" outlineLevel="0" collapsed="false">
      <c r="A5299" s="6" t="s">
        <v>10523</v>
      </c>
      <c r="B5299" s="6" t="s">
        <v>3691</v>
      </c>
      <c r="C5299" s="26" t="n">
        <v>46189</v>
      </c>
      <c r="D5299" s="6" t="s">
        <v>5167</v>
      </c>
      <c r="E5299" s="6" t="s">
        <v>22</v>
      </c>
      <c r="F5299" s="6" t="n">
        <v>1</v>
      </c>
      <c r="G5299" s="10" t="n">
        <v>743</v>
      </c>
      <c r="H5299" s="10" t="n">
        <f aca="false">F5299*G5299</f>
        <v>743</v>
      </c>
      <c r="I5299" s="6" t="s">
        <v>5148</v>
      </c>
    </row>
    <row r="5300" customFormat="false" ht="15" hidden="false" customHeight="false" outlineLevel="0" collapsed="false">
      <c r="A5300" s="6" t="s">
        <v>10524</v>
      </c>
      <c r="B5300" s="6" t="s">
        <v>1145</v>
      </c>
      <c r="C5300" s="26" t="n">
        <v>46189</v>
      </c>
      <c r="D5300" s="6" t="s">
        <v>5171</v>
      </c>
      <c r="E5300" s="6" t="s">
        <v>23</v>
      </c>
      <c r="F5300" s="6" t="n">
        <v>3</v>
      </c>
      <c r="G5300" s="10" t="n">
        <v>734</v>
      </c>
      <c r="H5300" s="10" t="n">
        <f aca="false">F5300*G5300</f>
        <v>2202</v>
      </c>
      <c r="I5300" s="6" t="s">
        <v>5122</v>
      </c>
    </row>
    <row r="5301" customFormat="false" ht="15" hidden="false" customHeight="false" outlineLevel="0" collapsed="false">
      <c r="A5301" s="6" t="s">
        <v>10525</v>
      </c>
      <c r="B5301" s="6" t="s">
        <v>849</v>
      </c>
      <c r="C5301" s="26" t="n">
        <v>46189</v>
      </c>
      <c r="D5301" s="6" t="s">
        <v>5357</v>
      </c>
      <c r="E5301" s="6" t="s">
        <v>23</v>
      </c>
      <c r="F5301" s="6" t="n">
        <v>2</v>
      </c>
      <c r="G5301" s="10" t="n">
        <v>507</v>
      </c>
      <c r="H5301" s="10" t="n">
        <f aca="false">F5301*G5301</f>
        <v>1014</v>
      </c>
      <c r="I5301" s="6" t="s">
        <v>5122</v>
      </c>
    </row>
    <row r="5302" customFormat="false" ht="15" hidden="false" customHeight="false" outlineLevel="0" collapsed="false">
      <c r="A5302" s="6" t="s">
        <v>10526</v>
      </c>
      <c r="B5302" s="6" t="s">
        <v>491</v>
      </c>
      <c r="C5302" s="26" t="n">
        <v>46189</v>
      </c>
      <c r="D5302" s="6" t="s">
        <v>5165</v>
      </c>
      <c r="E5302" s="6" t="s">
        <v>22</v>
      </c>
      <c r="F5302" s="6" t="n">
        <v>1</v>
      </c>
      <c r="G5302" s="10" t="n">
        <v>977</v>
      </c>
      <c r="H5302" s="10" t="n">
        <f aca="false">F5302*G5302</f>
        <v>977</v>
      </c>
      <c r="I5302" s="6" t="s">
        <v>5122</v>
      </c>
    </row>
    <row r="5303" customFormat="false" ht="15" hidden="false" customHeight="false" outlineLevel="0" collapsed="false">
      <c r="A5303" s="6" t="s">
        <v>10527</v>
      </c>
      <c r="B5303" s="6" t="s">
        <v>4717</v>
      </c>
      <c r="C5303" s="26" t="n">
        <v>46189</v>
      </c>
      <c r="D5303" s="6" t="s">
        <v>5242</v>
      </c>
      <c r="E5303" s="6" t="s">
        <v>23</v>
      </c>
      <c r="F5303" s="6" t="n">
        <v>4</v>
      </c>
      <c r="G5303" s="10" t="n">
        <v>372</v>
      </c>
      <c r="H5303" s="10" t="n">
        <f aca="false">F5303*G5303</f>
        <v>1488</v>
      </c>
      <c r="I5303" s="6" t="s">
        <v>5173</v>
      </c>
    </row>
    <row r="5304" customFormat="false" ht="15" hidden="false" customHeight="false" outlineLevel="0" collapsed="false">
      <c r="A5304" s="6" t="s">
        <v>10528</v>
      </c>
      <c r="B5304" s="6" t="s">
        <v>2761</v>
      </c>
      <c r="C5304" s="26" t="n">
        <v>46189</v>
      </c>
      <c r="D5304" s="6" t="s">
        <v>5165</v>
      </c>
      <c r="E5304" s="6" t="s">
        <v>22</v>
      </c>
      <c r="F5304" s="6" t="n">
        <v>1</v>
      </c>
      <c r="G5304" s="10" t="n">
        <v>928</v>
      </c>
      <c r="H5304" s="10" t="n">
        <f aca="false">F5304*G5304</f>
        <v>928</v>
      </c>
      <c r="I5304" s="6" t="s">
        <v>5148</v>
      </c>
    </row>
    <row r="5305" customFormat="false" ht="15" hidden="false" customHeight="false" outlineLevel="0" collapsed="false">
      <c r="A5305" s="6" t="s">
        <v>10529</v>
      </c>
      <c r="B5305" s="6" t="s">
        <v>1803</v>
      </c>
      <c r="C5305" s="26" t="n">
        <v>46189</v>
      </c>
      <c r="D5305" s="6" t="s">
        <v>5139</v>
      </c>
      <c r="E5305" s="6" t="s">
        <v>23</v>
      </c>
      <c r="F5305" s="6" t="n">
        <v>1</v>
      </c>
      <c r="G5305" s="10" t="n">
        <v>265</v>
      </c>
      <c r="H5305" s="10" t="n">
        <f aca="false">F5305*G5305</f>
        <v>265</v>
      </c>
      <c r="I5305" s="6" t="s">
        <v>5125</v>
      </c>
    </row>
    <row r="5306" customFormat="false" ht="15" hidden="false" customHeight="false" outlineLevel="0" collapsed="false">
      <c r="A5306" s="6" t="s">
        <v>10530</v>
      </c>
      <c r="B5306" s="6" t="s">
        <v>1677</v>
      </c>
      <c r="C5306" s="26" t="n">
        <v>46189</v>
      </c>
      <c r="D5306" s="6" t="s">
        <v>5167</v>
      </c>
      <c r="E5306" s="6" t="s">
        <v>22</v>
      </c>
      <c r="F5306" s="6" t="n">
        <v>1</v>
      </c>
      <c r="G5306" s="10" t="n">
        <v>782</v>
      </c>
      <c r="H5306" s="10" t="n">
        <f aca="false">F5306*G5306</f>
        <v>782</v>
      </c>
      <c r="I5306" s="6" t="s">
        <v>5122</v>
      </c>
    </row>
    <row r="5307" customFormat="false" ht="15" hidden="false" customHeight="false" outlineLevel="0" collapsed="false">
      <c r="A5307" s="6" t="s">
        <v>10531</v>
      </c>
      <c r="B5307" s="6" t="s">
        <v>1655</v>
      </c>
      <c r="C5307" s="26" t="n">
        <v>46189</v>
      </c>
      <c r="D5307" s="6" t="s">
        <v>5127</v>
      </c>
      <c r="E5307" s="6" t="s">
        <v>21</v>
      </c>
      <c r="F5307" s="6" t="n">
        <v>2</v>
      </c>
      <c r="G5307" s="10" t="n">
        <v>839</v>
      </c>
      <c r="H5307" s="10" t="n">
        <f aca="false">F5307*G5307</f>
        <v>1678</v>
      </c>
      <c r="I5307" s="6" t="s">
        <v>5130</v>
      </c>
    </row>
    <row r="5308" customFormat="false" ht="15" hidden="false" customHeight="false" outlineLevel="0" collapsed="false">
      <c r="A5308" s="6" t="s">
        <v>10532</v>
      </c>
      <c r="B5308" s="6" t="s">
        <v>1035</v>
      </c>
      <c r="C5308" s="26" t="n">
        <v>46189</v>
      </c>
      <c r="D5308" s="6" t="s">
        <v>5345</v>
      </c>
      <c r="E5308" s="6" t="s">
        <v>23</v>
      </c>
      <c r="F5308" s="6" t="n">
        <v>1</v>
      </c>
      <c r="G5308" s="10" t="n">
        <v>391</v>
      </c>
      <c r="H5308" s="10" t="n">
        <f aca="false">F5308*G5308</f>
        <v>391</v>
      </c>
      <c r="I5308" s="6" t="s">
        <v>5122</v>
      </c>
    </row>
    <row r="5309" customFormat="false" ht="15" hidden="false" customHeight="false" outlineLevel="0" collapsed="false">
      <c r="A5309" s="6" t="s">
        <v>10533</v>
      </c>
      <c r="B5309" s="6" t="s">
        <v>3517</v>
      </c>
      <c r="C5309" s="26" t="n">
        <v>46189</v>
      </c>
      <c r="D5309" s="6" t="s">
        <v>5383</v>
      </c>
      <c r="E5309" s="6" t="s">
        <v>20</v>
      </c>
      <c r="F5309" s="6" t="n">
        <v>2</v>
      </c>
      <c r="G5309" s="10" t="n">
        <v>1009</v>
      </c>
      <c r="H5309" s="10" t="n">
        <f aca="false">F5309*G5309</f>
        <v>2018</v>
      </c>
      <c r="I5309" s="6" t="s">
        <v>5148</v>
      </c>
    </row>
    <row r="5310" customFormat="false" ht="15" hidden="false" customHeight="false" outlineLevel="0" collapsed="false">
      <c r="A5310" s="6" t="s">
        <v>10534</v>
      </c>
      <c r="B5310" s="6" t="s">
        <v>3371</v>
      </c>
      <c r="C5310" s="26" t="n">
        <v>46189</v>
      </c>
      <c r="D5310" s="6" t="s">
        <v>5167</v>
      </c>
      <c r="E5310" s="6" t="s">
        <v>22</v>
      </c>
      <c r="F5310" s="6" t="n">
        <v>1</v>
      </c>
      <c r="G5310" s="10" t="n">
        <v>743</v>
      </c>
      <c r="H5310" s="10" t="n">
        <f aca="false">F5310*G5310</f>
        <v>743</v>
      </c>
      <c r="I5310" s="6" t="s">
        <v>5130</v>
      </c>
    </row>
    <row r="5311" customFormat="false" ht="15" hidden="false" customHeight="false" outlineLevel="0" collapsed="false">
      <c r="A5311" s="6" t="s">
        <v>10535</v>
      </c>
      <c r="B5311" s="6" t="s">
        <v>4825</v>
      </c>
      <c r="C5311" s="26" t="n">
        <v>46189</v>
      </c>
      <c r="D5311" s="6" t="s">
        <v>5185</v>
      </c>
      <c r="E5311" s="6" t="s">
        <v>24</v>
      </c>
      <c r="F5311" s="6" t="n">
        <v>1</v>
      </c>
      <c r="G5311" s="10" t="n">
        <v>2140</v>
      </c>
      <c r="H5311" s="10" t="n">
        <f aca="false">F5311*G5311</f>
        <v>2140</v>
      </c>
      <c r="I5311" s="6" t="s">
        <v>5130</v>
      </c>
    </row>
    <row r="5312" customFormat="false" ht="15" hidden="false" customHeight="false" outlineLevel="0" collapsed="false">
      <c r="A5312" s="6" t="s">
        <v>10536</v>
      </c>
      <c r="B5312" s="6" t="s">
        <v>4601</v>
      </c>
      <c r="C5312" s="26" t="n">
        <v>46189</v>
      </c>
      <c r="D5312" s="6" t="s">
        <v>5749</v>
      </c>
      <c r="E5312" s="6" t="s">
        <v>20</v>
      </c>
      <c r="F5312" s="6" t="n">
        <v>1</v>
      </c>
      <c r="G5312" s="10" t="n">
        <v>815</v>
      </c>
      <c r="H5312" s="10" t="n">
        <f aca="false">F5312*G5312</f>
        <v>815</v>
      </c>
      <c r="I5312" s="6" t="s">
        <v>5130</v>
      </c>
    </row>
    <row r="5313" customFormat="false" ht="15" hidden="false" customHeight="false" outlineLevel="0" collapsed="false">
      <c r="A5313" s="6" t="s">
        <v>10537</v>
      </c>
      <c r="B5313" s="6" t="s">
        <v>3611</v>
      </c>
      <c r="C5313" s="26" t="n">
        <v>46189</v>
      </c>
      <c r="D5313" s="6" t="s">
        <v>5588</v>
      </c>
      <c r="E5313" s="6" t="s">
        <v>21</v>
      </c>
      <c r="F5313" s="6" t="n">
        <v>1</v>
      </c>
      <c r="G5313" s="10" t="n">
        <v>11204</v>
      </c>
      <c r="H5313" s="10" t="n">
        <f aca="false">F5313*G5313</f>
        <v>11204</v>
      </c>
      <c r="I5313" s="6" t="s">
        <v>5122</v>
      </c>
    </row>
    <row r="5314" customFormat="false" ht="15" hidden="false" customHeight="false" outlineLevel="0" collapsed="false">
      <c r="A5314" s="6" t="s">
        <v>10538</v>
      </c>
      <c r="B5314" s="6" t="s">
        <v>4673</v>
      </c>
      <c r="C5314" s="26" t="n">
        <v>46189</v>
      </c>
      <c r="D5314" s="6" t="s">
        <v>5158</v>
      </c>
      <c r="E5314" s="6" t="s">
        <v>24</v>
      </c>
      <c r="F5314" s="6" t="n">
        <v>1</v>
      </c>
      <c r="G5314" s="10" t="n">
        <v>433</v>
      </c>
      <c r="H5314" s="10" t="n">
        <f aca="false">F5314*G5314</f>
        <v>433</v>
      </c>
      <c r="I5314" s="6" t="s">
        <v>5122</v>
      </c>
    </row>
    <row r="5315" customFormat="false" ht="15" hidden="false" customHeight="false" outlineLevel="0" collapsed="false">
      <c r="A5315" s="6" t="s">
        <v>10539</v>
      </c>
      <c r="B5315" s="6" t="s">
        <v>3891</v>
      </c>
      <c r="C5315" s="26" t="n">
        <v>46189</v>
      </c>
      <c r="D5315" s="6" t="s">
        <v>5687</v>
      </c>
      <c r="E5315" s="6" t="s">
        <v>20</v>
      </c>
      <c r="F5315" s="6" t="n">
        <v>2</v>
      </c>
      <c r="G5315" s="10" t="n">
        <v>2039</v>
      </c>
      <c r="H5315" s="10" t="n">
        <f aca="false">F5315*G5315</f>
        <v>4078</v>
      </c>
      <c r="I5315" s="6" t="s">
        <v>5125</v>
      </c>
    </row>
    <row r="5316" customFormat="false" ht="15" hidden="false" customHeight="false" outlineLevel="0" collapsed="false">
      <c r="A5316" s="6" t="s">
        <v>10540</v>
      </c>
      <c r="B5316" s="6" t="s">
        <v>1563</v>
      </c>
      <c r="C5316" s="26" t="n">
        <v>46189</v>
      </c>
      <c r="D5316" s="6" t="s">
        <v>5398</v>
      </c>
      <c r="E5316" s="6" t="s">
        <v>24</v>
      </c>
      <c r="F5316" s="6" t="n">
        <v>1</v>
      </c>
      <c r="G5316" s="10" t="n">
        <v>610</v>
      </c>
      <c r="H5316" s="10" t="n">
        <f aca="false">F5316*G5316</f>
        <v>610</v>
      </c>
      <c r="I5316" s="6" t="s">
        <v>5125</v>
      </c>
    </row>
    <row r="5317" customFormat="false" ht="15" hidden="false" customHeight="false" outlineLevel="0" collapsed="false">
      <c r="A5317" s="6" t="s">
        <v>10541</v>
      </c>
      <c r="B5317" s="6" t="s">
        <v>2247</v>
      </c>
      <c r="C5317" s="26" t="n">
        <v>46189</v>
      </c>
      <c r="D5317" s="6" t="s">
        <v>5240</v>
      </c>
      <c r="E5317" s="6" t="s">
        <v>20</v>
      </c>
      <c r="F5317" s="6" t="n">
        <v>2</v>
      </c>
      <c r="G5317" s="10" t="n">
        <v>4843</v>
      </c>
      <c r="H5317" s="10" t="n">
        <f aca="false">F5317*G5317</f>
        <v>9686</v>
      </c>
      <c r="I5317" s="6" t="s">
        <v>5122</v>
      </c>
    </row>
    <row r="5318" customFormat="false" ht="15" hidden="false" customHeight="false" outlineLevel="0" collapsed="false">
      <c r="A5318" s="6" t="s">
        <v>10542</v>
      </c>
      <c r="B5318" s="6" t="s">
        <v>4167</v>
      </c>
      <c r="C5318" s="26" t="n">
        <v>46190</v>
      </c>
      <c r="D5318" s="6" t="s">
        <v>5163</v>
      </c>
      <c r="E5318" s="6" t="s">
        <v>23</v>
      </c>
      <c r="F5318" s="6" t="n">
        <v>5</v>
      </c>
      <c r="G5318" s="10" t="n">
        <v>783</v>
      </c>
      <c r="H5318" s="10" t="n">
        <f aca="false">F5318*G5318</f>
        <v>3915</v>
      </c>
      <c r="I5318" s="6" t="s">
        <v>5122</v>
      </c>
    </row>
    <row r="5319" customFormat="false" ht="15" hidden="false" customHeight="false" outlineLevel="0" collapsed="false">
      <c r="A5319" s="6" t="s">
        <v>10543</v>
      </c>
      <c r="B5319" s="6" t="s">
        <v>743</v>
      </c>
      <c r="C5319" s="26" t="n">
        <v>46190</v>
      </c>
      <c r="D5319" s="6" t="s">
        <v>5298</v>
      </c>
      <c r="E5319" s="6" t="s">
        <v>23</v>
      </c>
      <c r="F5319" s="6" t="n">
        <v>3</v>
      </c>
      <c r="G5319" s="10" t="n">
        <v>293</v>
      </c>
      <c r="H5319" s="10" t="n">
        <f aca="false">F5319*G5319</f>
        <v>879</v>
      </c>
      <c r="I5319" s="6" t="s">
        <v>5125</v>
      </c>
    </row>
    <row r="5320" customFormat="false" ht="15" hidden="false" customHeight="false" outlineLevel="0" collapsed="false">
      <c r="A5320" s="6" t="s">
        <v>10544</v>
      </c>
      <c r="B5320" s="6" t="s">
        <v>3657</v>
      </c>
      <c r="C5320" s="26" t="n">
        <v>46190</v>
      </c>
      <c r="D5320" s="6" t="s">
        <v>5139</v>
      </c>
      <c r="E5320" s="6" t="s">
        <v>23</v>
      </c>
      <c r="F5320" s="6" t="n">
        <v>3</v>
      </c>
      <c r="G5320" s="10" t="n">
        <v>279</v>
      </c>
      <c r="H5320" s="10" t="n">
        <f aca="false">F5320*G5320</f>
        <v>837</v>
      </c>
      <c r="I5320" s="6" t="s">
        <v>5148</v>
      </c>
    </row>
    <row r="5321" customFormat="false" ht="15" hidden="false" customHeight="false" outlineLevel="0" collapsed="false">
      <c r="A5321" s="6" t="s">
        <v>10545</v>
      </c>
      <c r="B5321" s="6" t="s">
        <v>3389</v>
      </c>
      <c r="C5321" s="26" t="n">
        <v>46190</v>
      </c>
      <c r="D5321" s="6" t="s">
        <v>5185</v>
      </c>
      <c r="E5321" s="6" t="s">
        <v>24</v>
      </c>
      <c r="F5321" s="6" t="n">
        <v>1</v>
      </c>
      <c r="G5321" s="10" t="n">
        <v>2140</v>
      </c>
      <c r="H5321" s="10" t="n">
        <f aca="false">F5321*G5321</f>
        <v>2140</v>
      </c>
      <c r="I5321" s="6" t="s">
        <v>5148</v>
      </c>
    </row>
    <row r="5322" customFormat="false" ht="15" hidden="false" customHeight="false" outlineLevel="0" collapsed="false">
      <c r="A5322" s="6" t="s">
        <v>10546</v>
      </c>
      <c r="B5322" s="6" t="s">
        <v>3907</v>
      </c>
      <c r="C5322" s="26" t="n">
        <v>46190</v>
      </c>
      <c r="D5322" s="6" t="s">
        <v>5180</v>
      </c>
      <c r="E5322" s="6" t="s">
        <v>24</v>
      </c>
      <c r="F5322" s="6" t="n">
        <v>1</v>
      </c>
      <c r="G5322" s="10" t="n">
        <v>1888</v>
      </c>
      <c r="H5322" s="10" t="n">
        <f aca="false">F5322*G5322</f>
        <v>1888</v>
      </c>
      <c r="I5322" s="6" t="s">
        <v>5148</v>
      </c>
    </row>
    <row r="5323" customFormat="false" ht="15" hidden="false" customHeight="false" outlineLevel="0" collapsed="false">
      <c r="A5323" s="6" t="s">
        <v>10547</v>
      </c>
      <c r="B5323" s="6" t="s">
        <v>4941</v>
      </c>
      <c r="C5323" s="26" t="n">
        <v>46190</v>
      </c>
      <c r="D5323" s="6" t="s">
        <v>5185</v>
      </c>
      <c r="E5323" s="6" t="s">
        <v>24</v>
      </c>
      <c r="F5323" s="6" t="n">
        <v>2</v>
      </c>
      <c r="G5323" s="10" t="n">
        <v>2140</v>
      </c>
      <c r="H5323" s="10" t="n">
        <f aca="false">F5323*G5323</f>
        <v>4280</v>
      </c>
      <c r="I5323" s="6" t="s">
        <v>5148</v>
      </c>
    </row>
    <row r="5324" customFormat="false" ht="15" hidden="false" customHeight="false" outlineLevel="0" collapsed="false">
      <c r="A5324" s="6" t="s">
        <v>10548</v>
      </c>
      <c r="B5324" s="6" t="s">
        <v>182</v>
      </c>
      <c r="C5324" s="26" t="n">
        <v>46190</v>
      </c>
      <c r="D5324" s="6" t="s">
        <v>5167</v>
      </c>
      <c r="E5324" s="6" t="s">
        <v>22</v>
      </c>
      <c r="F5324" s="6" t="n">
        <v>1</v>
      </c>
      <c r="G5324" s="10" t="n">
        <v>782</v>
      </c>
      <c r="H5324" s="10" t="n">
        <f aca="false">F5324*G5324</f>
        <v>782</v>
      </c>
      <c r="I5324" s="6" t="s">
        <v>5122</v>
      </c>
    </row>
    <row r="5325" customFormat="false" ht="15" hidden="false" customHeight="false" outlineLevel="0" collapsed="false">
      <c r="A5325" s="6" t="s">
        <v>10549</v>
      </c>
      <c r="B5325" s="6" t="s">
        <v>1645</v>
      </c>
      <c r="C5325" s="26" t="n">
        <v>46190</v>
      </c>
      <c r="D5325" s="6" t="s">
        <v>5460</v>
      </c>
      <c r="E5325" s="6" t="s">
        <v>24</v>
      </c>
      <c r="F5325" s="6" t="n">
        <v>4</v>
      </c>
      <c r="G5325" s="10" t="n">
        <v>555</v>
      </c>
      <c r="H5325" s="10" t="n">
        <f aca="false">F5325*G5325</f>
        <v>2220</v>
      </c>
      <c r="I5325" s="6" t="s">
        <v>5122</v>
      </c>
    </row>
    <row r="5326" customFormat="false" ht="15" hidden="false" customHeight="false" outlineLevel="0" collapsed="false">
      <c r="A5326" s="6" t="s">
        <v>10550</v>
      </c>
      <c r="B5326" s="6" t="s">
        <v>4147</v>
      </c>
      <c r="C5326" s="26" t="n">
        <v>46190</v>
      </c>
      <c r="D5326" s="6" t="s">
        <v>5345</v>
      </c>
      <c r="E5326" s="6" t="s">
        <v>23</v>
      </c>
      <c r="F5326" s="6" t="n">
        <v>3</v>
      </c>
      <c r="G5326" s="10" t="n">
        <v>392</v>
      </c>
      <c r="H5326" s="10" t="n">
        <f aca="false">F5326*G5326</f>
        <v>1176</v>
      </c>
      <c r="I5326" s="6" t="s">
        <v>5122</v>
      </c>
    </row>
    <row r="5327" customFormat="false" ht="15" hidden="false" customHeight="false" outlineLevel="0" collapsed="false">
      <c r="A5327" s="6" t="s">
        <v>10551</v>
      </c>
      <c r="B5327" s="6" t="s">
        <v>2179</v>
      </c>
      <c r="C5327" s="26" t="n">
        <v>46190</v>
      </c>
      <c r="D5327" s="6" t="s">
        <v>5121</v>
      </c>
      <c r="E5327" s="6" t="s">
        <v>22</v>
      </c>
      <c r="F5327" s="6" t="n">
        <v>1</v>
      </c>
      <c r="G5327" s="10" t="n">
        <v>977</v>
      </c>
      <c r="H5327" s="10" t="n">
        <f aca="false">F5327*G5327</f>
        <v>977</v>
      </c>
      <c r="I5327" s="6" t="s">
        <v>5125</v>
      </c>
    </row>
    <row r="5328" customFormat="false" ht="15" hidden="false" customHeight="false" outlineLevel="0" collapsed="false">
      <c r="A5328" s="6" t="s">
        <v>10552</v>
      </c>
      <c r="B5328" s="6" t="s">
        <v>3335</v>
      </c>
      <c r="C5328" s="26" t="n">
        <v>46190</v>
      </c>
      <c r="D5328" s="6" t="s">
        <v>5147</v>
      </c>
      <c r="E5328" s="6" t="s">
        <v>24</v>
      </c>
      <c r="F5328" s="6" t="n">
        <v>1</v>
      </c>
      <c r="G5328" s="10" t="n">
        <v>596</v>
      </c>
      <c r="H5328" s="10" t="n">
        <f aca="false">F5328*G5328</f>
        <v>596</v>
      </c>
      <c r="I5328" s="6" t="s">
        <v>5122</v>
      </c>
    </row>
    <row r="5329" customFormat="false" ht="15" hidden="false" customHeight="false" outlineLevel="0" collapsed="false">
      <c r="A5329" s="6" t="s">
        <v>10553</v>
      </c>
      <c r="B5329" s="6" t="s">
        <v>3207</v>
      </c>
      <c r="C5329" s="26" t="n">
        <v>46190</v>
      </c>
      <c r="D5329" s="6" t="s">
        <v>5226</v>
      </c>
      <c r="E5329" s="6" t="s">
        <v>24</v>
      </c>
      <c r="F5329" s="6" t="n">
        <v>2</v>
      </c>
      <c r="G5329" s="10" t="n">
        <v>412</v>
      </c>
      <c r="H5329" s="10" t="n">
        <f aca="false">F5329*G5329</f>
        <v>824</v>
      </c>
      <c r="I5329" s="6" t="s">
        <v>5133</v>
      </c>
    </row>
    <row r="5330" customFormat="false" ht="15" hidden="false" customHeight="false" outlineLevel="0" collapsed="false">
      <c r="A5330" s="6" t="s">
        <v>10554</v>
      </c>
      <c r="B5330" s="6" t="s">
        <v>1593</v>
      </c>
      <c r="C5330" s="26" t="n">
        <v>46190</v>
      </c>
      <c r="D5330" s="6" t="s">
        <v>5175</v>
      </c>
      <c r="E5330" s="6" t="s">
        <v>24</v>
      </c>
      <c r="F5330" s="6" t="n">
        <v>1</v>
      </c>
      <c r="G5330" s="10" t="n">
        <v>610</v>
      </c>
      <c r="H5330" s="10" t="n">
        <f aca="false">F5330*G5330</f>
        <v>610</v>
      </c>
      <c r="I5330" s="6" t="s">
        <v>5148</v>
      </c>
    </row>
    <row r="5331" customFormat="false" ht="15" hidden="false" customHeight="false" outlineLevel="0" collapsed="false">
      <c r="A5331" s="6" t="s">
        <v>10555</v>
      </c>
      <c r="B5331" s="6" t="s">
        <v>338</v>
      </c>
      <c r="C5331" s="26" t="n">
        <v>46190</v>
      </c>
      <c r="D5331" s="6" t="s">
        <v>5167</v>
      </c>
      <c r="E5331" s="6" t="s">
        <v>22</v>
      </c>
      <c r="F5331" s="6" t="n">
        <v>2</v>
      </c>
      <c r="G5331" s="10" t="n">
        <v>782</v>
      </c>
      <c r="H5331" s="10" t="n">
        <f aca="false">F5331*G5331</f>
        <v>1564</v>
      </c>
      <c r="I5331" s="6" t="s">
        <v>5130</v>
      </c>
    </row>
    <row r="5332" customFormat="false" ht="15" hidden="false" customHeight="false" outlineLevel="0" collapsed="false">
      <c r="A5332" s="6" t="s">
        <v>10556</v>
      </c>
      <c r="B5332" s="6" t="s">
        <v>3219</v>
      </c>
      <c r="C5332" s="26" t="n">
        <v>46190</v>
      </c>
      <c r="D5332" s="6" t="s">
        <v>5163</v>
      </c>
      <c r="E5332" s="6" t="s">
        <v>23</v>
      </c>
      <c r="F5332" s="6" t="n">
        <v>4</v>
      </c>
      <c r="G5332" s="10" t="n">
        <v>705</v>
      </c>
      <c r="H5332" s="10" t="n">
        <f aca="false">F5332*G5332</f>
        <v>2820</v>
      </c>
      <c r="I5332" s="6" t="s">
        <v>5148</v>
      </c>
    </row>
    <row r="5333" customFormat="false" ht="15" hidden="false" customHeight="false" outlineLevel="0" collapsed="false">
      <c r="A5333" s="6" t="s">
        <v>10557</v>
      </c>
      <c r="B5333" s="6" t="s">
        <v>1577</v>
      </c>
      <c r="C5333" s="26" t="n">
        <v>46190</v>
      </c>
      <c r="D5333" s="6" t="s">
        <v>5167</v>
      </c>
      <c r="E5333" s="6" t="s">
        <v>22</v>
      </c>
      <c r="F5333" s="6" t="n">
        <v>1</v>
      </c>
      <c r="G5333" s="10" t="n">
        <v>782</v>
      </c>
      <c r="H5333" s="10" t="n">
        <f aca="false">F5333*G5333</f>
        <v>782</v>
      </c>
      <c r="I5333" s="6" t="s">
        <v>5125</v>
      </c>
    </row>
    <row r="5334" customFormat="false" ht="15" hidden="false" customHeight="false" outlineLevel="0" collapsed="false">
      <c r="A5334" s="6" t="s">
        <v>10558</v>
      </c>
      <c r="B5334" s="6" t="s">
        <v>4537</v>
      </c>
      <c r="C5334" s="26" t="n">
        <v>46190</v>
      </c>
      <c r="D5334" s="6" t="s">
        <v>5214</v>
      </c>
      <c r="E5334" s="6" t="s">
        <v>20</v>
      </c>
      <c r="F5334" s="6" t="n">
        <v>1</v>
      </c>
      <c r="G5334" s="10" t="n">
        <v>1834</v>
      </c>
      <c r="H5334" s="10" t="n">
        <f aca="false">F5334*G5334</f>
        <v>1834</v>
      </c>
      <c r="I5334" s="6" t="s">
        <v>5130</v>
      </c>
    </row>
    <row r="5335" customFormat="false" ht="15" hidden="false" customHeight="false" outlineLevel="0" collapsed="false">
      <c r="A5335" s="6" t="s">
        <v>10559</v>
      </c>
      <c r="B5335" s="6" t="s">
        <v>1081</v>
      </c>
      <c r="C5335" s="26" t="n">
        <v>46190</v>
      </c>
      <c r="D5335" s="6" t="s">
        <v>5152</v>
      </c>
      <c r="E5335" s="6" t="s">
        <v>22</v>
      </c>
      <c r="F5335" s="6" t="n">
        <v>3</v>
      </c>
      <c r="G5335" s="10" t="n">
        <v>1760</v>
      </c>
      <c r="H5335" s="10" t="n">
        <f aca="false">F5335*G5335</f>
        <v>5280</v>
      </c>
      <c r="I5335" s="6" t="s">
        <v>5122</v>
      </c>
    </row>
    <row r="5336" customFormat="false" ht="15" hidden="false" customHeight="false" outlineLevel="0" collapsed="false">
      <c r="A5336" s="6" t="s">
        <v>10560</v>
      </c>
      <c r="B5336" s="6" t="s">
        <v>1351</v>
      </c>
      <c r="C5336" s="26" t="n">
        <v>46190</v>
      </c>
      <c r="D5336" s="6" t="s">
        <v>5137</v>
      </c>
      <c r="E5336" s="6" t="s">
        <v>21</v>
      </c>
      <c r="F5336" s="6" t="n">
        <v>1</v>
      </c>
      <c r="G5336" s="10" t="n">
        <v>1768</v>
      </c>
      <c r="H5336" s="10" t="n">
        <f aca="false">F5336*G5336</f>
        <v>1768</v>
      </c>
      <c r="I5336" s="6" t="s">
        <v>5125</v>
      </c>
    </row>
    <row r="5337" customFormat="false" ht="15" hidden="false" customHeight="false" outlineLevel="0" collapsed="false">
      <c r="A5337" s="6" t="s">
        <v>10561</v>
      </c>
      <c r="B5337" s="6" t="s">
        <v>1565</v>
      </c>
      <c r="C5337" s="26" t="n">
        <v>46190</v>
      </c>
      <c r="D5337" s="6" t="s">
        <v>5171</v>
      </c>
      <c r="E5337" s="6" t="s">
        <v>23</v>
      </c>
      <c r="F5337" s="6" t="n">
        <v>5</v>
      </c>
      <c r="G5337" s="10" t="n">
        <v>661</v>
      </c>
      <c r="H5337" s="10" t="n">
        <f aca="false">F5337*G5337</f>
        <v>3305</v>
      </c>
      <c r="I5337" s="6" t="s">
        <v>5148</v>
      </c>
    </row>
    <row r="5338" customFormat="false" ht="15" hidden="false" customHeight="false" outlineLevel="0" collapsed="false">
      <c r="A5338" s="6" t="s">
        <v>10562</v>
      </c>
      <c r="B5338" s="6" t="s">
        <v>3111</v>
      </c>
      <c r="C5338" s="26" t="n">
        <v>46190</v>
      </c>
      <c r="D5338" s="6" t="s">
        <v>5135</v>
      </c>
      <c r="E5338" s="6" t="s">
        <v>23</v>
      </c>
      <c r="F5338" s="6" t="n">
        <v>4</v>
      </c>
      <c r="G5338" s="10" t="n">
        <v>441</v>
      </c>
      <c r="H5338" s="10" t="n">
        <f aca="false">F5338*G5338</f>
        <v>1764</v>
      </c>
      <c r="I5338" s="6" t="s">
        <v>5148</v>
      </c>
    </row>
    <row r="5339" customFormat="false" ht="15" hidden="false" customHeight="false" outlineLevel="0" collapsed="false">
      <c r="A5339" s="6" t="s">
        <v>10563</v>
      </c>
      <c r="B5339" s="6" t="s">
        <v>2035</v>
      </c>
      <c r="C5339" s="26" t="n">
        <v>46190</v>
      </c>
      <c r="D5339" s="6" t="s">
        <v>5132</v>
      </c>
      <c r="E5339" s="6" t="s">
        <v>23</v>
      </c>
      <c r="F5339" s="6" t="n">
        <v>1</v>
      </c>
      <c r="G5339" s="10" t="n">
        <v>342</v>
      </c>
      <c r="H5339" s="10" t="n">
        <f aca="false">F5339*G5339</f>
        <v>342</v>
      </c>
      <c r="I5339" s="6" t="s">
        <v>5130</v>
      </c>
    </row>
    <row r="5340" customFormat="false" ht="15" hidden="false" customHeight="false" outlineLevel="0" collapsed="false">
      <c r="A5340" s="6" t="s">
        <v>10564</v>
      </c>
      <c r="B5340" s="6" t="s">
        <v>3725</v>
      </c>
      <c r="C5340" s="26" t="n">
        <v>46190</v>
      </c>
      <c r="D5340" s="6" t="s">
        <v>5145</v>
      </c>
      <c r="E5340" s="6" t="s">
        <v>21</v>
      </c>
      <c r="F5340" s="6" t="n">
        <v>1</v>
      </c>
      <c r="G5340" s="10" t="n">
        <v>1213</v>
      </c>
      <c r="H5340" s="10" t="n">
        <f aca="false">F5340*G5340</f>
        <v>1213</v>
      </c>
      <c r="I5340" s="6" t="s">
        <v>5173</v>
      </c>
    </row>
    <row r="5341" customFormat="false" ht="15" hidden="false" customHeight="false" outlineLevel="0" collapsed="false">
      <c r="A5341" s="6" t="s">
        <v>10565</v>
      </c>
      <c r="B5341" s="6" t="s">
        <v>1517</v>
      </c>
      <c r="C5341" s="26" t="n">
        <v>46190</v>
      </c>
      <c r="D5341" s="6" t="s">
        <v>5167</v>
      </c>
      <c r="E5341" s="6" t="s">
        <v>22</v>
      </c>
      <c r="F5341" s="6" t="n">
        <v>3</v>
      </c>
      <c r="G5341" s="10" t="n">
        <v>782</v>
      </c>
      <c r="H5341" s="10" t="n">
        <f aca="false">F5341*G5341</f>
        <v>2346</v>
      </c>
      <c r="I5341" s="6" t="s">
        <v>5122</v>
      </c>
    </row>
    <row r="5342" customFormat="false" ht="15" hidden="false" customHeight="false" outlineLevel="0" collapsed="false">
      <c r="A5342" s="6" t="s">
        <v>10566</v>
      </c>
      <c r="B5342" s="6" t="s">
        <v>3749</v>
      </c>
      <c r="C5342" s="26" t="n">
        <v>46190</v>
      </c>
      <c r="D5342" s="6" t="s">
        <v>5235</v>
      </c>
      <c r="E5342" s="6" t="s">
        <v>21</v>
      </c>
      <c r="F5342" s="6" t="n">
        <v>1</v>
      </c>
      <c r="G5342" s="10" t="n">
        <v>1670</v>
      </c>
      <c r="H5342" s="10" t="n">
        <f aca="false">F5342*G5342</f>
        <v>1670</v>
      </c>
      <c r="I5342" s="6" t="s">
        <v>5122</v>
      </c>
    </row>
    <row r="5343" customFormat="false" ht="15" hidden="false" customHeight="false" outlineLevel="0" collapsed="false">
      <c r="A5343" s="6" t="s">
        <v>10567</v>
      </c>
      <c r="B5343" s="6" t="s">
        <v>4649</v>
      </c>
      <c r="C5343" s="26" t="n">
        <v>46190</v>
      </c>
      <c r="D5343" s="6" t="s">
        <v>5197</v>
      </c>
      <c r="E5343" s="6" t="s">
        <v>21</v>
      </c>
      <c r="F5343" s="6" t="n">
        <v>1</v>
      </c>
      <c r="G5343" s="10" t="n">
        <v>1080</v>
      </c>
      <c r="H5343" s="10" t="n">
        <f aca="false">F5343*G5343</f>
        <v>1080</v>
      </c>
      <c r="I5343" s="6" t="s">
        <v>5122</v>
      </c>
    </row>
    <row r="5344" customFormat="false" ht="15" hidden="false" customHeight="false" outlineLevel="0" collapsed="false">
      <c r="A5344" s="6" t="s">
        <v>10568</v>
      </c>
      <c r="B5344" s="6" t="s">
        <v>2757</v>
      </c>
      <c r="C5344" s="26" t="n">
        <v>46190</v>
      </c>
      <c r="D5344" s="6" t="s">
        <v>5167</v>
      </c>
      <c r="E5344" s="6" t="s">
        <v>22</v>
      </c>
      <c r="F5344" s="6" t="n">
        <v>1</v>
      </c>
      <c r="G5344" s="10" t="n">
        <v>782</v>
      </c>
      <c r="H5344" s="10" t="n">
        <f aca="false">F5344*G5344</f>
        <v>782</v>
      </c>
      <c r="I5344" s="6" t="s">
        <v>5130</v>
      </c>
    </row>
    <row r="5345" customFormat="false" ht="15" hidden="false" customHeight="false" outlineLevel="0" collapsed="false">
      <c r="A5345" s="6" t="s">
        <v>10569</v>
      </c>
      <c r="B5345" s="6" t="s">
        <v>3481</v>
      </c>
      <c r="C5345" s="26" t="n">
        <v>46190</v>
      </c>
      <c r="D5345" s="6" t="s">
        <v>5482</v>
      </c>
      <c r="E5345" s="6" t="s">
        <v>23</v>
      </c>
      <c r="F5345" s="6" t="n">
        <v>3</v>
      </c>
      <c r="G5345" s="10" t="n">
        <v>243</v>
      </c>
      <c r="H5345" s="10" t="n">
        <f aca="false">F5345*G5345</f>
        <v>729</v>
      </c>
      <c r="I5345" s="6" t="s">
        <v>5122</v>
      </c>
    </row>
    <row r="5346" customFormat="false" ht="15" hidden="false" customHeight="false" outlineLevel="0" collapsed="false">
      <c r="A5346" s="6" t="s">
        <v>10570</v>
      </c>
      <c r="B5346" s="6" t="s">
        <v>93</v>
      </c>
      <c r="C5346" s="26" t="n">
        <v>46190</v>
      </c>
      <c r="D5346" s="6" t="s">
        <v>5707</v>
      </c>
      <c r="E5346" s="6" t="s">
        <v>22</v>
      </c>
      <c r="F5346" s="6" t="n">
        <v>3</v>
      </c>
      <c r="G5346" s="10" t="n">
        <v>2445</v>
      </c>
      <c r="H5346" s="10" t="n">
        <f aca="false">F5346*G5346</f>
        <v>7335</v>
      </c>
      <c r="I5346" s="6" t="s">
        <v>5122</v>
      </c>
    </row>
    <row r="5347" customFormat="false" ht="15" hidden="false" customHeight="false" outlineLevel="0" collapsed="false">
      <c r="A5347" s="6" t="s">
        <v>10571</v>
      </c>
      <c r="B5347" s="6" t="s">
        <v>3319</v>
      </c>
      <c r="C5347" s="26" t="n">
        <v>46190</v>
      </c>
      <c r="D5347" s="6" t="s">
        <v>5345</v>
      </c>
      <c r="E5347" s="6" t="s">
        <v>23</v>
      </c>
      <c r="F5347" s="6" t="n">
        <v>2</v>
      </c>
      <c r="G5347" s="10" t="n">
        <v>392</v>
      </c>
      <c r="H5347" s="10" t="n">
        <f aca="false">F5347*G5347</f>
        <v>784</v>
      </c>
      <c r="I5347" s="6" t="s">
        <v>5122</v>
      </c>
    </row>
    <row r="5348" customFormat="false" ht="15" hidden="false" customHeight="false" outlineLevel="0" collapsed="false">
      <c r="A5348" s="6" t="s">
        <v>10572</v>
      </c>
      <c r="B5348" s="6" t="s">
        <v>1027</v>
      </c>
      <c r="C5348" s="26" t="n">
        <v>46190</v>
      </c>
      <c r="D5348" s="6" t="s">
        <v>5129</v>
      </c>
      <c r="E5348" s="6" t="s">
        <v>21</v>
      </c>
      <c r="F5348" s="6" t="n">
        <v>2</v>
      </c>
      <c r="G5348" s="10" t="n">
        <v>589</v>
      </c>
      <c r="H5348" s="10" t="n">
        <f aca="false">F5348*G5348</f>
        <v>1178</v>
      </c>
      <c r="I5348" s="6" t="s">
        <v>5122</v>
      </c>
    </row>
    <row r="5349" customFormat="false" ht="15" hidden="false" customHeight="false" outlineLevel="0" collapsed="false">
      <c r="A5349" s="6" t="s">
        <v>10573</v>
      </c>
      <c r="B5349" s="6" t="s">
        <v>2269</v>
      </c>
      <c r="C5349" s="26" t="n">
        <v>46190</v>
      </c>
      <c r="D5349" s="6" t="s">
        <v>5145</v>
      </c>
      <c r="E5349" s="6" t="s">
        <v>21</v>
      </c>
      <c r="F5349" s="6" t="n">
        <v>1</v>
      </c>
      <c r="G5349" s="10" t="n">
        <v>1149</v>
      </c>
      <c r="H5349" s="10" t="n">
        <f aca="false">F5349*G5349</f>
        <v>1149</v>
      </c>
      <c r="I5349" s="6" t="s">
        <v>5130</v>
      </c>
    </row>
    <row r="5350" customFormat="false" ht="15" hidden="false" customHeight="false" outlineLevel="0" collapsed="false">
      <c r="A5350" s="6" t="s">
        <v>10574</v>
      </c>
      <c r="B5350" s="6" t="s">
        <v>3647</v>
      </c>
      <c r="C5350" s="26" t="n">
        <v>46190</v>
      </c>
      <c r="D5350" s="6" t="s">
        <v>5171</v>
      </c>
      <c r="E5350" s="6" t="s">
        <v>23</v>
      </c>
      <c r="F5350" s="6" t="n">
        <v>2</v>
      </c>
      <c r="G5350" s="10" t="n">
        <v>734</v>
      </c>
      <c r="H5350" s="10" t="n">
        <f aca="false">F5350*G5350</f>
        <v>1468</v>
      </c>
      <c r="I5350" s="6" t="s">
        <v>5148</v>
      </c>
    </row>
    <row r="5351" customFormat="false" ht="15" hidden="false" customHeight="false" outlineLevel="0" collapsed="false">
      <c r="A5351" s="6" t="s">
        <v>10575</v>
      </c>
      <c r="B5351" s="6" t="s">
        <v>2337</v>
      </c>
      <c r="C5351" s="26" t="n">
        <v>46190</v>
      </c>
      <c r="D5351" s="6" t="s">
        <v>5137</v>
      </c>
      <c r="E5351" s="6" t="s">
        <v>21</v>
      </c>
      <c r="F5351" s="6" t="n">
        <v>1</v>
      </c>
      <c r="G5351" s="10" t="n">
        <v>1680</v>
      </c>
      <c r="H5351" s="10" t="n">
        <f aca="false">F5351*G5351</f>
        <v>1680</v>
      </c>
      <c r="I5351" s="6" t="s">
        <v>5173</v>
      </c>
    </row>
    <row r="5352" customFormat="false" ht="15" hidden="false" customHeight="false" outlineLevel="0" collapsed="false">
      <c r="A5352" s="6" t="s">
        <v>10576</v>
      </c>
      <c r="B5352" s="6" t="s">
        <v>1085</v>
      </c>
      <c r="C5352" s="26" t="n">
        <v>46190</v>
      </c>
      <c r="D5352" s="6" t="s">
        <v>5345</v>
      </c>
      <c r="E5352" s="6" t="s">
        <v>23</v>
      </c>
      <c r="F5352" s="6" t="n">
        <v>3</v>
      </c>
      <c r="G5352" s="10" t="n">
        <v>414</v>
      </c>
      <c r="H5352" s="10" t="n">
        <f aca="false">F5352*G5352</f>
        <v>1242</v>
      </c>
      <c r="I5352" s="6" t="s">
        <v>5122</v>
      </c>
    </row>
    <row r="5353" customFormat="false" ht="15" hidden="false" customHeight="false" outlineLevel="0" collapsed="false">
      <c r="A5353" s="6" t="s">
        <v>10577</v>
      </c>
      <c r="B5353" s="6" t="s">
        <v>250</v>
      </c>
      <c r="C5353" s="26" t="n">
        <v>46190</v>
      </c>
      <c r="D5353" s="6" t="s">
        <v>5139</v>
      </c>
      <c r="E5353" s="6" t="s">
        <v>23</v>
      </c>
      <c r="F5353" s="6" t="n">
        <v>4</v>
      </c>
      <c r="G5353" s="10" t="n">
        <v>279</v>
      </c>
      <c r="H5353" s="10" t="n">
        <f aca="false">F5353*G5353</f>
        <v>1116</v>
      </c>
      <c r="I5353" s="6" t="s">
        <v>5122</v>
      </c>
    </row>
    <row r="5354" customFormat="false" ht="15" hidden="false" customHeight="false" outlineLevel="0" collapsed="false">
      <c r="A5354" s="6" t="s">
        <v>10578</v>
      </c>
      <c r="B5354" s="6" t="s">
        <v>4129</v>
      </c>
      <c r="C5354" s="26" t="n">
        <v>46190</v>
      </c>
      <c r="D5354" s="6" t="s">
        <v>5150</v>
      </c>
      <c r="E5354" s="6" t="s">
        <v>24</v>
      </c>
      <c r="F5354" s="6" t="n">
        <v>1</v>
      </c>
      <c r="G5354" s="10" t="n">
        <v>508</v>
      </c>
      <c r="H5354" s="10" t="n">
        <f aca="false">F5354*G5354</f>
        <v>508</v>
      </c>
      <c r="I5354" s="6" t="s">
        <v>5173</v>
      </c>
    </row>
    <row r="5355" customFormat="false" ht="15" hidden="false" customHeight="false" outlineLevel="0" collapsed="false">
      <c r="A5355" s="6" t="s">
        <v>10579</v>
      </c>
      <c r="B5355" s="6" t="s">
        <v>3127</v>
      </c>
      <c r="C5355" s="26" t="n">
        <v>46190</v>
      </c>
      <c r="D5355" s="6" t="s">
        <v>5163</v>
      </c>
      <c r="E5355" s="6" t="s">
        <v>23</v>
      </c>
      <c r="F5355" s="6" t="n">
        <v>1</v>
      </c>
      <c r="G5355" s="10" t="n">
        <v>782</v>
      </c>
      <c r="H5355" s="10" t="n">
        <f aca="false">F5355*G5355</f>
        <v>782</v>
      </c>
      <c r="I5355" s="6" t="s">
        <v>5122</v>
      </c>
    </row>
    <row r="5356" customFormat="false" ht="15" hidden="false" customHeight="false" outlineLevel="0" collapsed="false">
      <c r="A5356" s="6" t="s">
        <v>10580</v>
      </c>
      <c r="B5356" s="6" t="s">
        <v>1265</v>
      </c>
      <c r="C5356" s="26" t="n">
        <v>46190</v>
      </c>
      <c r="D5356" s="6" t="s">
        <v>5175</v>
      </c>
      <c r="E5356" s="6" t="s">
        <v>24</v>
      </c>
      <c r="F5356" s="6" t="n">
        <v>1</v>
      </c>
      <c r="G5356" s="10" t="n">
        <v>580</v>
      </c>
      <c r="H5356" s="10" t="n">
        <f aca="false">F5356*G5356</f>
        <v>580</v>
      </c>
      <c r="I5356" s="6" t="s">
        <v>5122</v>
      </c>
    </row>
    <row r="5357" customFormat="false" ht="15" hidden="false" customHeight="false" outlineLevel="0" collapsed="false">
      <c r="A5357" s="6" t="s">
        <v>10581</v>
      </c>
      <c r="B5357" s="6" t="s">
        <v>717</v>
      </c>
      <c r="C5357" s="26" t="n">
        <v>46190</v>
      </c>
      <c r="D5357" s="6" t="s">
        <v>5121</v>
      </c>
      <c r="E5357" s="6" t="s">
        <v>22</v>
      </c>
      <c r="F5357" s="6" t="n">
        <v>1</v>
      </c>
      <c r="G5357" s="10" t="n">
        <v>977</v>
      </c>
      <c r="H5357" s="10" t="n">
        <f aca="false">F5357*G5357</f>
        <v>977</v>
      </c>
      <c r="I5357" s="6" t="s">
        <v>5122</v>
      </c>
    </row>
    <row r="5358" customFormat="false" ht="15" hidden="false" customHeight="false" outlineLevel="0" collapsed="false">
      <c r="A5358" s="6" t="s">
        <v>10582</v>
      </c>
      <c r="B5358" s="6" t="s">
        <v>3485</v>
      </c>
      <c r="C5358" s="26" t="n">
        <v>46190</v>
      </c>
      <c r="D5358" s="6" t="s">
        <v>5167</v>
      </c>
      <c r="E5358" s="6" t="s">
        <v>22</v>
      </c>
      <c r="F5358" s="6" t="n">
        <v>1</v>
      </c>
      <c r="G5358" s="10" t="n">
        <v>702</v>
      </c>
      <c r="H5358" s="10" t="n">
        <f aca="false">F5358*G5358</f>
        <v>702</v>
      </c>
      <c r="I5358" s="6" t="s">
        <v>5122</v>
      </c>
    </row>
    <row r="5359" customFormat="false" ht="15" hidden="false" customHeight="false" outlineLevel="0" collapsed="false">
      <c r="A5359" s="6" t="s">
        <v>10583</v>
      </c>
      <c r="B5359" s="6" t="s">
        <v>4937</v>
      </c>
      <c r="C5359" s="26" t="n">
        <v>46190</v>
      </c>
      <c r="D5359" s="6" t="s">
        <v>5749</v>
      </c>
      <c r="E5359" s="6" t="s">
        <v>20</v>
      </c>
      <c r="F5359" s="6" t="n">
        <v>1</v>
      </c>
      <c r="G5359" s="10" t="n">
        <v>773</v>
      </c>
      <c r="H5359" s="10" t="n">
        <f aca="false">F5359*G5359</f>
        <v>773</v>
      </c>
      <c r="I5359" s="6" t="s">
        <v>5122</v>
      </c>
    </row>
    <row r="5360" customFormat="false" ht="15" hidden="false" customHeight="false" outlineLevel="0" collapsed="false">
      <c r="A5360" s="6" t="s">
        <v>10584</v>
      </c>
      <c r="B5360" s="6" t="s">
        <v>4667</v>
      </c>
      <c r="C5360" s="26" t="n">
        <v>46190</v>
      </c>
      <c r="D5360" s="6" t="s">
        <v>5167</v>
      </c>
      <c r="E5360" s="6" t="s">
        <v>22</v>
      </c>
      <c r="F5360" s="6" t="n">
        <v>1</v>
      </c>
      <c r="G5360" s="10" t="n">
        <v>782</v>
      </c>
      <c r="H5360" s="10" t="n">
        <f aca="false">F5360*G5360</f>
        <v>782</v>
      </c>
      <c r="I5360" s="6" t="s">
        <v>5130</v>
      </c>
    </row>
    <row r="5361" customFormat="false" ht="15" hidden="false" customHeight="false" outlineLevel="0" collapsed="false">
      <c r="A5361" s="6" t="s">
        <v>10585</v>
      </c>
      <c r="B5361" s="6" t="s">
        <v>797</v>
      </c>
      <c r="C5361" s="26" t="n">
        <v>46190</v>
      </c>
      <c r="D5361" s="6" t="s">
        <v>5167</v>
      </c>
      <c r="E5361" s="6" t="s">
        <v>22</v>
      </c>
      <c r="F5361" s="6" t="n">
        <v>4</v>
      </c>
      <c r="G5361" s="10" t="n">
        <v>782</v>
      </c>
      <c r="H5361" s="10" t="n">
        <f aca="false">F5361*G5361</f>
        <v>3128</v>
      </c>
      <c r="I5361" s="6" t="s">
        <v>5130</v>
      </c>
    </row>
    <row r="5362" customFormat="false" ht="15" hidden="false" customHeight="false" outlineLevel="0" collapsed="false">
      <c r="A5362" s="6" t="s">
        <v>10586</v>
      </c>
      <c r="B5362" s="6" t="s">
        <v>853</v>
      </c>
      <c r="C5362" s="26" t="n">
        <v>46191</v>
      </c>
      <c r="D5362" s="6" t="s">
        <v>5171</v>
      </c>
      <c r="E5362" s="6" t="s">
        <v>23</v>
      </c>
      <c r="F5362" s="6" t="n">
        <v>2</v>
      </c>
      <c r="G5362" s="10" t="n">
        <v>697</v>
      </c>
      <c r="H5362" s="10" t="n">
        <f aca="false">F5362*G5362</f>
        <v>1394</v>
      </c>
      <c r="I5362" s="6" t="s">
        <v>5122</v>
      </c>
    </row>
    <row r="5363" customFormat="false" ht="15" hidden="false" customHeight="false" outlineLevel="0" collapsed="false">
      <c r="A5363" s="6" t="s">
        <v>10587</v>
      </c>
      <c r="B5363" s="6" t="s">
        <v>4843</v>
      </c>
      <c r="C5363" s="26" t="n">
        <v>46191</v>
      </c>
      <c r="D5363" s="6" t="s">
        <v>5154</v>
      </c>
      <c r="E5363" s="6" t="s">
        <v>21</v>
      </c>
      <c r="F5363" s="6" t="n">
        <v>2</v>
      </c>
      <c r="G5363" s="10" t="n">
        <v>785</v>
      </c>
      <c r="H5363" s="10" t="n">
        <f aca="false">F5363*G5363</f>
        <v>1570</v>
      </c>
      <c r="I5363" s="6" t="s">
        <v>5133</v>
      </c>
    </row>
    <row r="5364" customFormat="false" ht="15" hidden="false" customHeight="false" outlineLevel="0" collapsed="false">
      <c r="A5364" s="6" t="s">
        <v>10588</v>
      </c>
      <c r="B5364" s="6" t="s">
        <v>4471</v>
      </c>
      <c r="C5364" s="26" t="n">
        <v>46191</v>
      </c>
      <c r="D5364" s="6" t="s">
        <v>5269</v>
      </c>
      <c r="E5364" s="6" t="s">
        <v>22</v>
      </c>
      <c r="F5364" s="6" t="n">
        <v>3</v>
      </c>
      <c r="G5364" s="10" t="n">
        <v>1207</v>
      </c>
      <c r="H5364" s="10" t="n">
        <f aca="false">F5364*G5364</f>
        <v>3621</v>
      </c>
      <c r="I5364" s="6" t="s">
        <v>5130</v>
      </c>
    </row>
    <row r="5365" customFormat="false" ht="15" hidden="false" customHeight="false" outlineLevel="0" collapsed="false">
      <c r="A5365" s="6" t="s">
        <v>10589</v>
      </c>
      <c r="B5365" s="6" t="s">
        <v>1955</v>
      </c>
      <c r="C5365" s="26" t="n">
        <v>46191</v>
      </c>
      <c r="D5365" s="6" t="s">
        <v>5200</v>
      </c>
      <c r="E5365" s="6" t="s">
        <v>24</v>
      </c>
      <c r="F5365" s="6" t="n">
        <v>1</v>
      </c>
      <c r="G5365" s="10" t="n">
        <v>726</v>
      </c>
      <c r="H5365" s="10" t="n">
        <f aca="false">F5365*G5365</f>
        <v>726</v>
      </c>
      <c r="I5365" s="6" t="s">
        <v>5148</v>
      </c>
    </row>
    <row r="5366" customFormat="false" ht="15" hidden="false" customHeight="false" outlineLevel="0" collapsed="false">
      <c r="A5366" s="6" t="s">
        <v>10590</v>
      </c>
      <c r="B5366" s="6" t="s">
        <v>4835</v>
      </c>
      <c r="C5366" s="26" t="n">
        <v>46191</v>
      </c>
      <c r="D5366" s="6" t="s">
        <v>5345</v>
      </c>
      <c r="E5366" s="6" t="s">
        <v>23</v>
      </c>
      <c r="F5366" s="6" t="n">
        <v>2</v>
      </c>
      <c r="G5366" s="10" t="n">
        <v>414</v>
      </c>
      <c r="H5366" s="10" t="n">
        <f aca="false">F5366*G5366</f>
        <v>828</v>
      </c>
      <c r="I5366" s="6" t="s">
        <v>5130</v>
      </c>
    </row>
    <row r="5367" customFormat="false" ht="15" hidden="false" customHeight="false" outlineLevel="0" collapsed="false">
      <c r="A5367" s="6" t="s">
        <v>10591</v>
      </c>
      <c r="B5367" s="6" t="s">
        <v>2587</v>
      </c>
      <c r="C5367" s="26" t="n">
        <v>46191</v>
      </c>
      <c r="D5367" s="6" t="s">
        <v>5269</v>
      </c>
      <c r="E5367" s="6" t="s">
        <v>22</v>
      </c>
      <c r="F5367" s="6" t="n">
        <v>1</v>
      </c>
      <c r="G5367" s="10" t="n">
        <v>1271</v>
      </c>
      <c r="H5367" s="10" t="n">
        <f aca="false">F5367*G5367</f>
        <v>1271</v>
      </c>
      <c r="I5367" s="6" t="s">
        <v>5130</v>
      </c>
    </row>
    <row r="5368" customFormat="false" ht="15" hidden="false" customHeight="false" outlineLevel="0" collapsed="false">
      <c r="A5368" s="6" t="s">
        <v>10592</v>
      </c>
      <c r="B5368" s="6" t="s">
        <v>326</v>
      </c>
      <c r="C5368" s="26" t="n">
        <v>46191</v>
      </c>
      <c r="D5368" s="6" t="s">
        <v>5216</v>
      </c>
      <c r="E5368" s="6" t="s">
        <v>23</v>
      </c>
      <c r="F5368" s="6" t="n">
        <v>3</v>
      </c>
      <c r="G5368" s="10" t="n">
        <v>528</v>
      </c>
      <c r="H5368" s="10" t="n">
        <f aca="false">F5368*G5368</f>
        <v>1584</v>
      </c>
      <c r="I5368" s="6" t="s">
        <v>5130</v>
      </c>
    </row>
    <row r="5369" customFormat="false" ht="15" hidden="false" customHeight="false" outlineLevel="0" collapsed="false">
      <c r="A5369" s="6" t="s">
        <v>10593</v>
      </c>
      <c r="B5369" s="6" t="s">
        <v>2243</v>
      </c>
      <c r="C5369" s="26" t="n">
        <v>46191</v>
      </c>
      <c r="D5369" s="6" t="s">
        <v>5216</v>
      </c>
      <c r="E5369" s="6" t="s">
        <v>23</v>
      </c>
      <c r="F5369" s="6" t="n">
        <v>4</v>
      </c>
      <c r="G5369" s="10" t="n">
        <v>558</v>
      </c>
      <c r="H5369" s="10" t="n">
        <f aca="false">F5369*G5369</f>
        <v>2232</v>
      </c>
      <c r="I5369" s="6" t="s">
        <v>5125</v>
      </c>
    </row>
    <row r="5370" customFormat="false" ht="15" hidden="false" customHeight="false" outlineLevel="0" collapsed="false">
      <c r="A5370" s="6" t="s">
        <v>10594</v>
      </c>
      <c r="B5370" s="6" t="s">
        <v>3189</v>
      </c>
      <c r="C5370" s="26" t="n">
        <v>46191</v>
      </c>
      <c r="D5370" s="6" t="s">
        <v>5269</v>
      </c>
      <c r="E5370" s="6" t="s">
        <v>22</v>
      </c>
      <c r="F5370" s="6" t="n">
        <v>1</v>
      </c>
      <c r="G5370" s="10" t="n">
        <v>1271</v>
      </c>
      <c r="H5370" s="10" t="n">
        <f aca="false">F5370*G5370</f>
        <v>1271</v>
      </c>
      <c r="I5370" s="6" t="s">
        <v>5148</v>
      </c>
    </row>
    <row r="5371" customFormat="false" ht="15" hidden="false" customHeight="false" outlineLevel="0" collapsed="false">
      <c r="A5371" s="6" t="s">
        <v>10595</v>
      </c>
      <c r="B5371" s="6" t="s">
        <v>2149</v>
      </c>
      <c r="C5371" s="26" t="n">
        <v>46191</v>
      </c>
      <c r="D5371" s="6" t="s">
        <v>5127</v>
      </c>
      <c r="E5371" s="6" t="s">
        <v>21</v>
      </c>
      <c r="F5371" s="6" t="n">
        <v>1</v>
      </c>
      <c r="G5371" s="10" t="n">
        <v>839</v>
      </c>
      <c r="H5371" s="10" t="n">
        <f aca="false">F5371*G5371</f>
        <v>839</v>
      </c>
      <c r="I5371" s="6" t="s">
        <v>5122</v>
      </c>
    </row>
    <row r="5372" customFormat="false" ht="15" hidden="false" customHeight="false" outlineLevel="0" collapsed="false">
      <c r="A5372" s="6" t="s">
        <v>10596</v>
      </c>
      <c r="B5372" s="6" t="s">
        <v>563</v>
      </c>
      <c r="C5372" s="26" t="n">
        <v>46191</v>
      </c>
      <c r="D5372" s="6" t="s">
        <v>5194</v>
      </c>
      <c r="E5372" s="6" t="s">
        <v>22</v>
      </c>
      <c r="F5372" s="6" t="n">
        <v>1</v>
      </c>
      <c r="G5372" s="10" t="n">
        <v>2044</v>
      </c>
      <c r="H5372" s="10" t="n">
        <f aca="false">F5372*G5372</f>
        <v>2044</v>
      </c>
      <c r="I5372" s="6" t="s">
        <v>5122</v>
      </c>
    </row>
    <row r="5373" customFormat="false" ht="15" hidden="false" customHeight="false" outlineLevel="0" collapsed="false">
      <c r="A5373" s="6" t="s">
        <v>10597</v>
      </c>
      <c r="B5373" s="6" t="s">
        <v>2283</v>
      </c>
      <c r="C5373" s="26" t="n">
        <v>46191</v>
      </c>
      <c r="D5373" s="6" t="s">
        <v>5237</v>
      </c>
      <c r="E5373" s="6" t="s">
        <v>24</v>
      </c>
      <c r="F5373" s="6" t="n">
        <v>1</v>
      </c>
      <c r="G5373" s="10" t="n">
        <v>1833</v>
      </c>
      <c r="H5373" s="10" t="n">
        <f aca="false">F5373*G5373</f>
        <v>1833</v>
      </c>
      <c r="I5373" s="6" t="s">
        <v>5125</v>
      </c>
    </row>
    <row r="5374" customFormat="false" ht="15" hidden="false" customHeight="false" outlineLevel="0" collapsed="false">
      <c r="A5374" s="6" t="s">
        <v>10598</v>
      </c>
      <c r="B5374" s="6" t="s">
        <v>3161</v>
      </c>
      <c r="C5374" s="26" t="n">
        <v>46191</v>
      </c>
      <c r="D5374" s="6" t="s">
        <v>5192</v>
      </c>
      <c r="E5374" s="6" t="s">
        <v>20</v>
      </c>
      <c r="F5374" s="6" t="n">
        <v>1</v>
      </c>
      <c r="G5374" s="10" t="n">
        <v>3670</v>
      </c>
      <c r="H5374" s="10" t="n">
        <f aca="false">F5374*G5374</f>
        <v>3670</v>
      </c>
      <c r="I5374" s="6" t="s">
        <v>5173</v>
      </c>
    </row>
    <row r="5375" customFormat="false" ht="15" hidden="false" customHeight="false" outlineLevel="0" collapsed="false">
      <c r="A5375" s="6" t="s">
        <v>10599</v>
      </c>
      <c r="B5375" s="6" t="s">
        <v>3287</v>
      </c>
      <c r="C5375" s="26" t="n">
        <v>46191</v>
      </c>
      <c r="D5375" s="6" t="s">
        <v>5224</v>
      </c>
      <c r="E5375" s="6" t="s">
        <v>23</v>
      </c>
      <c r="F5375" s="6" t="n">
        <v>2</v>
      </c>
      <c r="G5375" s="10" t="n">
        <v>195</v>
      </c>
      <c r="H5375" s="10" t="n">
        <f aca="false">F5375*G5375</f>
        <v>390</v>
      </c>
      <c r="I5375" s="6" t="s">
        <v>5122</v>
      </c>
    </row>
    <row r="5376" customFormat="false" ht="15" hidden="false" customHeight="false" outlineLevel="0" collapsed="false">
      <c r="A5376" s="6" t="s">
        <v>10600</v>
      </c>
      <c r="B5376" s="6" t="s">
        <v>2943</v>
      </c>
      <c r="C5376" s="26" t="n">
        <v>46191</v>
      </c>
      <c r="D5376" s="6" t="s">
        <v>5158</v>
      </c>
      <c r="E5376" s="6" t="s">
        <v>24</v>
      </c>
      <c r="F5376" s="6" t="n">
        <v>2</v>
      </c>
      <c r="G5376" s="10" t="n">
        <v>390</v>
      </c>
      <c r="H5376" s="10" t="n">
        <f aca="false">F5376*G5376</f>
        <v>780</v>
      </c>
      <c r="I5376" s="6" t="s">
        <v>5122</v>
      </c>
    </row>
    <row r="5377" customFormat="false" ht="15" hidden="false" customHeight="false" outlineLevel="0" collapsed="false">
      <c r="A5377" s="6" t="s">
        <v>10601</v>
      </c>
      <c r="B5377" s="6" t="s">
        <v>5043</v>
      </c>
      <c r="C5377" s="26" t="n">
        <v>46191</v>
      </c>
      <c r="D5377" s="6" t="s">
        <v>5687</v>
      </c>
      <c r="E5377" s="6" t="s">
        <v>20</v>
      </c>
      <c r="F5377" s="6" t="n">
        <v>1</v>
      </c>
      <c r="G5377" s="10" t="n">
        <v>2039</v>
      </c>
      <c r="H5377" s="10" t="n">
        <f aca="false">F5377*G5377</f>
        <v>2039</v>
      </c>
      <c r="I5377" s="6" t="s">
        <v>5148</v>
      </c>
    </row>
    <row r="5378" customFormat="false" ht="15" hidden="false" customHeight="false" outlineLevel="0" collapsed="false">
      <c r="A5378" s="6" t="s">
        <v>10602</v>
      </c>
      <c r="B5378" s="6" t="s">
        <v>3515</v>
      </c>
      <c r="C5378" s="26" t="n">
        <v>46191</v>
      </c>
      <c r="D5378" s="6" t="s">
        <v>5313</v>
      </c>
      <c r="E5378" s="6" t="s">
        <v>22</v>
      </c>
      <c r="F5378" s="6" t="n">
        <v>2</v>
      </c>
      <c r="G5378" s="10" t="n">
        <v>1672</v>
      </c>
      <c r="H5378" s="10" t="n">
        <f aca="false">F5378*G5378</f>
        <v>3344</v>
      </c>
      <c r="I5378" s="6" t="s">
        <v>5130</v>
      </c>
    </row>
    <row r="5379" customFormat="false" ht="15" hidden="false" customHeight="false" outlineLevel="0" collapsed="false">
      <c r="A5379" s="6" t="s">
        <v>10603</v>
      </c>
      <c r="B5379" s="6" t="s">
        <v>2381</v>
      </c>
      <c r="C5379" s="26" t="n">
        <v>46191</v>
      </c>
      <c r="D5379" s="6" t="s">
        <v>5167</v>
      </c>
      <c r="E5379" s="6" t="s">
        <v>22</v>
      </c>
      <c r="F5379" s="6" t="n">
        <v>3</v>
      </c>
      <c r="G5379" s="10" t="n">
        <v>743</v>
      </c>
      <c r="H5379" s="10" t="n">
        <f aca="false">F5379*G5379</f>
        <v>2229</v>
      </c>
      <c r="I5379" s="6" t="s">
        <v>5148</v>
      </c>
    </row>
    <row r="5380" customFormat="false" ht="15" hidden="false" customHeight="false" outlineLevel="0" collapsed="false">
      <c r="A5380" s="6" t="s">
        <v>10604</v>
      </c>
      <c r="B5380" s="6" t="s">
        <v>4675</v>
      </c>
      <c r="C5380" s="26" t="n">
        <v>46191</v>
      </c>
      <c r="D5380" s="6" t="s">
        <v>5171</v>
      </c>
      <c r="E5380" s="6" t="s">
        <v>23</v>
      </c>
      <c r="F5380" s="6" t="n">
        <v>2</v>
      </c>
      <c r="G5380" s="10" t="n">
        <v>661</v>
      </c>
      <c r="H5380" s="10" t="n">
        <f aca="false">F5380*G5380</f>
        <v>1322</v>
      </c>
      <c r="I5380" s="6" t="s">
        <v>5148</v>
      </c>
    </row>
    <row r="5381" customFormat="false" ht="15" hidden="false" customHeight="false" outlineLevel="0" collapsed="false">
      <c r="A5381" s="6" t="s">
        <v>10605</v>
      </c>
      <c r="B5381" s="6" t="s">
        <v>959</v>
      </c>
      <c r="C5381" s="26" t="n">
        <v>46191</v>
      </c>
      <c r="D5381" s="6" t="s">
        <v>5167</v>
      </c>
      <c r="E5381" s="6" t="s">
        <v>22</v>
      </c>
      <c r="F5381" s="6" t="n">
        <v>2</v>
      </c>
      <c r="G5381" s="10" t="n">
        <v>782</v>
      </c>
      <c r="H5381" s="10" t="n">
        <f aca="false">F5381*G5381</f>
        <v>1564</v>
      </c>
      <c r="I5381" s="6" t="s">
        <v>5148</v>
      </c>
    </row>
    <row r="5382" customFormat="false" ht="15" hidden="false" customHeight="false" outlineLevel="0" collapsed="false">
      <c r="A5382" s="6" t="s">
        <v>10606</v>
      </c>
      <c r="B5382" s="6" t="s">
        <v>923</v>
      </c>
      <c r="C5382" s="26" t="n">
        <v>46191</v>
      </c>
      <c r="D5382" s="6" t="s">
        <v>5152</v>
      </c>
      <c r="E5382" s="6" t="s">
        <v>22</v>
      </c>
      <c r="F5382" s="6" t="n">
        <v>1</v>
      </c>
      <c r="G5382" s="10" t="n">
        <v>1760</v>
      </c>
      <c r="H5382" s="10" t="n">
        <f aca="false">F5382*G5382</f>
        <v>1760</v>
      </c>
      <c r="I5382" s="6" t="s">
        <v>5122</v>
      </c>
    </row>
    <row r="5383" customFormat="false" ht="15" hidden="false" customHeight="false" outlineLevel="0" collapsed="false">
      <c r="A5383" s="6" t="s">
        <v>10607</v>
      </c>
      <c r="B5383" s="6" t="s">
        <v>2093</v>
      </c>
      <c r="C5383" s="26" t="n">
        <v>46191</v>
      </c>
      <c r="D5383" s="6" t="s">
        <v>5273</v>
      </c>
      <c r="E5383" s="6" t="s">
        <v>23</v>
      </c>
      <c r="F5383" s="6" t="n">
        <v>1</v>
      </c>
      <c r="G5383" s="10" t="n">
        <v>216</v>
      </c>
      <c r="H5383" s="10" t="n">
        <f aca="false">F5383*G5383</f>
        <v>216</v>
      </c>
      <c r="I5383" s="6" t="s">
        <v>5122</v>
      </c>
    </row>
    <row r="5384" customFormat="false" ht="15" hidden="false" customHeight="false" outlineLevel="0" collapsed="false">
      <c r="A5384" s="6" t="s">
        <v>10608</v>
      </c>
      <c r="B5384" s="6" t="s">
        <v>2255</v>
      </c>
      <c r="C5384" s="26" t="n">
        <v>46191</v>
      </c>
      <c r="D5384" s="6" t="s">
        <v>5165</v>
      </c>
      <c r="E5384" s="6" t="s">
        <v>22</v>
      </c>
      <c r="F5384" s="6" t="n">
        <v>2</v>
      </c>
      <c r="G5384" s="10" t="n">
        <v>880</v>
      </c>
      <c r="H5384" s="10" t="n">
        <f aca="false">F5384*G5384</f>
        <v>1760</v>
      </c>
      <c r="I5384" s="6" t="s">
        <v>5122</v>
      </c>
    </row>
    <row r="5385" customFormat="false" ht="15" hidden="false" customHeight="false" outlineLevel="0" collapsed="false">
      <c r="A5385" s="6" t="s">
        <v>10609</v>
      </c>
      <c r="B5385" s="6" t="s">
        <v>4891</v>
      </c>
      <c r="C5385" s="26" t="n">
        <v>46191</v>
      </c>
      <c r="D5385" s="6" t="s">
        <v>5200</v>
      </c>
      <c r="E5385" s="6" t="s">
        <v>24</v>
      </c>
      <c r="F5385" s="6" t="n">
        <v>1</v>
      </c>
      <c r="G5385" s="10" t="n">
        <v>687</v>
      </c>
      <c r="H5385" s="10" t="n">
        <f aca="false">F5385*G5385</f>
        <v>687</v>
      </c>
      <c r="I5385" s="6" t="s">
        <v>5148</v>
      </c>
    </row>
    <row r="5386" customFormat="false" ht="15" hidden="false" customHeight="false" outlineLevel="0" collapsed="false">
      <c r="A5386" s="6" t="s">
        <v>10610</v>
      </c>
      <c r="B5386" s="6" t="s">
        <v>3921</v>
      </c>
      <c r="C5386" s="26" t="n">
        <v>46191</v>
      </c>
      <c r="D5386" s="6" t="s">
        <v>5259</v>
      </c>
      <c r="E5386" s="6" t="s">
        <v>22</v>
      </c>
      <c r="F5386" s="6" t="n">
        <v>3</v>
      </c>
      <c r="G5386" s="10" t="n">
        <v>1564</v>
      </c>
      <c r="H5386" s="10" t="n">
        <f aca="false">F5386*G5386</f>
        <v>4692</v>
      </c>
      <c r="I5386" s="6" t="s">
        <v>5148</v>
      </c>
    </row>
    <row r="5387" customFormat="false" ht="15" hidden="false" customHeight="false" outlineLevel="0" collapsed="false">
      <c r="A5387" s="6" t="s">
        <v>10611</v>
      </c>
      <c r="B5387" s="6" t="s">
        <v>2387</v>
      </c>
      <c r="C5387" s="26" t="n">
        <v>46191</v>
      </c>
      <c r="D5387" s="6" t="s">
        <v>5357</v>
      </c>
      <c r="E5387" s="6" t="s">
        <v>23</v>
      </c>
      <c r="F5387" s="6" t="n">
        <v>1</v>
      </c>
      <c r="G5387" s="10" t="n">
        <v>534</v>
      </c>
      <c r="H5387" s="10" t="n">
        <f aca="false">F5387*G5387</f>
        <v>534</v>
      </c>
      <c r="I5387" s="6" t="s">
        <v>5133</v>
      </c>
    </row>
    <row r="5388" customFormat="false" ht="15" hidden="false" customHeight="false" outlineLevel="0" collapsed="false">
      <c r="A5388" s="6" t="s">
        <v>10612</v>
      </c>
      <c r="B5388" s="6" t="s">
        <v>3389</v>
      </c>
      <c r="C5388" s="26" t="n">
        <v>46191</v>
      </c>
      <c r="D5388" s="6" t="s">
        <v>5458</v>
      </c>
      <c r="E5388" s="6" t="s">
        <v>24</v>
      </c>
      <c r="F5388" s="6" t="n">
        <v>1</v>
      </c>
      <c r="G5388" s="10" t="n">
        <v>559</v>
      </c>
      <c r="H5388" s="10" t="n">
        <f aca="false">F5388*G5388</f>
        <v>559</v>
      </c>
      <c r="I5388" s="6" t="s">
        <v>5130</v>
      </c>
    </row>
    <row r="5389" customFormat="false" ht="15" hidden="false" customHeight="false" outlineLevel="0" collapsed="false">
      <c r="A5389" s="6" t="s">
        <v>10613</v>
      </c>
      <c r="B5389" s="6" t="s">
        <v>3293</v>
      </c>
      <c r="C5389" s="26" t="n">
        <v>46191</v>
      </c>
      <c r="D5389" s="6" t="s">
        <v>5165</v>
      </c>
      <c r="E5389" s="6" t="s">
        <v>22</v>
      </c>
      <c r="F5389" s="6" t="n">
        <v>1</v>
      </c>
      <c r="G5389" s="10" t="n">
        <v>977</v>
      </c>
      <c r="H5389" s="10" t="n">
        <f aca="false">F5389*G5389</f>
        <v>977</v>
      </c>
      <c r="I5389" s="6" t="s">
        <v>5122</v>
      </c>
    </row>
    <row r="5390" customFormat="false" ht="15" hidden="false" customHeight="false" outlineLevel="0" collapsed="false">
      <c r="A5390" s="6" t="s">
        <v>10614</v>
      </c>
      <c r="B5390" s="6" t="s">
        <v>4727</v>
      </c>
      <c r="C5390" s="26" t="n">
        <v>46191</v>
      </c>
      <c r="D5390" s="6" t="s">
        <v>5167</v>
      </c>
      <c r="E5390" s="6" t="s">
        <v>22</v>
      </c>
      <c r="F5390" s="6" t="n">
        <v>1</v>
      </c>
      <c r="G5390" s="10" t="n">
        <v>743</v>
      </c>
      <c r="H5390" s="10" t="n">
        <f aca="false">F5390*G5390</f>
        <v>743</v>
      </c>
      <c r="I5390" s="6" t="s">
        <v>5148</v>
      </c>
    </row>
    <row r="5391" customFormat="false" ht="15" hidden="false" customHeight="false" outlineLevel="0" collapsed="false">
      <c r="A5391" s="6" t="s">
        <v>10615</v>
      </c>
      <c r="B5391" s="6" t="s">
        <v>4687</v>
      </c>
      <c r="C5391" s="26" t="n">
        <v>46191</v>
      </c>
      <c r="D5391" s="6" t="s">
        <v>5185</v>
      </c>
      <c r="E5391" s="6" t="s">
        <v>24</v>
      </c>
      <c r="F5391" s="6" t="n">
        <v>3</v>
      </c>
      <c r="G5391" s="10" t="n">
        <v>2140</v>
      </c>
      <c r="H5391" s="10" t="n">
        <f aca="false">F5391*G5391</f>
        <v>6420</v>
      </c>
      <c r="I5391" s="6" t="s">
        <v>5122</v>
      </c>
    </row>
    <row r="5392" customFormat="false" ht="15" hidden="false" customHeight="false" outlineLevel="0" collapsed="false">
      <c r="A5392" s="6" t="s">
        <v>10616</v>
      </c>
      <c r="B5392" s="6" t="s">
        <v>4255</v>
      </c>
      <c r="C5392" s="26" t="n">
        <v>46191</v>
      </c>
      <c r="D5392" s="6" t="s">
        <v>5132</v>
      </c>
      <c r="E5392" s="6" t="s">
        <v>23</v>
      </c>
      <c r="F5392" s="6" t="n">
        <v>3</v>
      </c>
      <c r="G5392" s="10" t="n">
        <v>342</v>
      </c>
      <c r="H5392" s="10" t="n">
        <f aca="false">F5392*G5392</f>
        <v>1026</v>
      </c>
      <c r="I5392" s="6" t="s">
        <v>5133</v>
      </c>
    </row>
    <row r="5393" customFormat="false" ht="15" hidden="false" customHeight="false" outlineLevel="0" collapsed="false">
      <c r="A5393" s="6" t="s">
        <v>10617</v>
      </c>
      <c r="B5393" s="6" t="s">
        <v>4277</v>
      </c>
      <c r="C5393" s="26" t="n">
        <v>46191</v>
      </c>
      <c r="D5393" s="6" t="s">
        <v>5154</v>
      </c>
      <c r="E5393" s="6" t="s">
        <v>21</v>
      </c>
      <c r="F5393" s="6" t="n">
        <v>2</v>
      </c>
      <c r="G5393" s="10" t="n">
        <v>785</v>
      </c>
      <c r="H5393" s="10" t="n">
        <f aca="false">F5393*G5393</f>
        <v>1570</v>
      </c>
      <c r="I5393" s="6" t="s">
        <v>5148</v>
      </c>
    </row>
    <row r="5394" customFormat="false" ht="15" hidden="false" customHeight="false" outlineLevel="0" collapsed="false">
      <c r="A5394" s="6" t="s">
        <v>10618</v>
      </c>
      <c r="B5394" s="6" t="s">
        <v>2979</v>
      </c>
      <c r="C5394" s="26" t="n">
        <v>46191</v>
      </c>
      <c r="D5394" s="6" t="s">
        <v>5313</v>
      </c>
      <c r="E5394" s="6" t="s">
        <v>22</v>
      </c>
      <c r="F5394" s="6" t="n">
        <v>1</v>
      </c>
      <c r="G5394" s="10" t="n">
        <v>1760</v>
      </c>
      <c r="H5394" s="10" t="n">
        <f aca="false">F5394*G5394</f>
        <v>1760</v>
      </c>
      <c r="I5394" s="6" t="s">
        <v>5148</v>
      </c>
    </row>
    <row r="5395" customFormat="false" ht="15" hidden="false" customHeight="false" outlineLevel="0" collapsed="false">
      <c r="A5395" s="6" t="s">
        <v>10619</v>
      </c>
      <c r="B5395" s="6" t="s">
        <v>2595</v>
      </c>
      <c r="C5395" s="26" t="n">
        <v>46191</v>
      </c>
      <c r="D5395" s="6" t="s">
        <v>5410</v>
      </c>
      <c r="E5395" s="6" t="s">
        <v>20</v>
      </c>
      <c r="F5395" s="6" t="n">
        <v>1</v>
      </c>
      <c r="G5395" s="10" t="n">
        <v>2548</v>
      </c>
      <c r="H5395" s="10" t="n">
        <f aca="false">F5395*G5395</f>
        <v>2548</v>
      </c>
      <c r="I5395" s="6" t="s">
        <v>5148</v>
      </c>
    </row>
    <row r="5396" customFormat="false" ht="15" hidden="false" customHeight="false" outlineLevel="0" collapsed="false">
      <c r="A5396" s="6" t="s">
        <v>10620</v>
      </c>
      <c r="B5396" s="6" t="s">
        <v>543</v>
      </c>
      <c r="C5396" s="26" t="n">
        <v>46191</v>
      </c>
      <c r="D5396" s="6" t="s">
        <v>5139</v>
      </c>
      <c r="E5396" s="6" t="s">
        <v>23</v>
      </c>
      <c r="F5396" s="6" t="n">
        <v>5</v>
      </c>
      <c r="G5396" s="10" t="n">
        <v>279</v>
      </c>
      <c r="H5396" s="10" t="n">
        <f aca="false">F5396*G5396</f>
        <v>1395</v>
      </c>
      <c r="I5396" s="6" t="s">
        <v>5133</v>
      </c>
    </row>
    <row r="5397" customFormat="false" ht="15" hidden="false" customHeight="false" outlineLevel="0" collapsed="false">
      <c r="A5397" s="6" t="s">
        <v>10621</v>
      </c>
      <c r="B5397" s="6" t="s">
        <v>2023</v>
      </c>
      <c r="C5397" s="26" t="n">
        <v>46191</v>
      </c>
      <c r="D5397" s="6" t="s">
        <v>5218</v>
      </c>
      <c r="E5397" s="6" t="s">
        <v>23</v>
      </c>
      <c r="F5397" s="6" t="n">
        <v>3</v>
      </c>
      <c r="G5397" s="10" t="n">
        <v>165</v>
      </c>
      <c r="H5397" s="10" t="n">
        <f aca="false">F5397*G5397</f>
        <v>495</v>
      </c>
      <c r="I5397" s="6" t="s">
        <v>5122</v>
      </c>
    </row>
    <row r="5398" customFormat="false" ht="15" hidden="false" customHeight="false" outlineLevel="0" collapsed="false">
      <c r="A5398" s="6" t="s">
        <v>10622</v>
      </c>
      <c r="B5398" s="6" t="s">
        <v>3311</v>
      </c>
      <c r="C5398" s="26" t="n">
        <v>46191</v>
      </c>
      <c r="D5398" s="6" t="s">
        <v>5561</v>
      </c>
      <c r="E5398" s="6" t="s">
        <v>20</v>
      </c>
      <c r="F5398" s="6" t="n">
        <v>2</v>
      </c>
      <c r="G5398" s="10" t="n">
        <v>3364</v>
      </c>
      <c r="H5398" s="10" t="n">
        <f aca="false">F5398*G5398</f>
        <v>6728</v>
      </c>
      <c r="I5398" s="6" t="s">
        <v>5122</v>
      </c>
    </row>
    <row r="5399" customFormat="false" ht="15" hidden="false" customHeight="false" outlineLevel="0" collapsed="false">
      <c r="A5399" s="6" t="s">
        <v>10623</v>
      </c>
      <c r="B5399" s="6" t="s">
        <v>863</v>
      </c>
      <c r="C5399" s="26" t="n">
        <v>46191</v>
      </c>
      <c r="D5399" s="6" t="s">
        <v>5269</v>
      </c>
      <c r="E5399" s="6" t="s">
        <v>22</v>
      </c>
      <c r="F5399" s="6" t="n">
        <v>1</v>
      </c>
      <c r="G5399" s="10" t="n">
        <v>1144</v>
      </c>
      <c r="H5399" s="10" t="n">
        <f aca="false">F5399*G5399</f>
        <v>1144</v>
      </c>
      <c r="I5399" s="6" t="s">
        <v>5125</v>
      </c>
    </row>
    <row r="5400" customFormat="false" ht="15" hidden="false" customHeight="false" outlineLevel="0" collapsed="false">
      <c r="A5400" s="6" t="s">
        <v>10624</v>
      </c>
      <c r="B5400" s="6" t="s">
        <v>4151</v>
      </c>
      <c r="C5400" s="26" t="n">
        <v>46191</v>
      </c>
      <c r="D5400" s="6" t="s">
        <v>5167</v>
      </c>
      <c r="E5400" s="6" t="s">
        <v>22</v>
      </c>
      <c r="F5400" s="6" t="n">
        <v>3</v>
      </c>
      <c r="G5400" s="10" t="n">
        <v>743</v>
      </c>
      <c r="H5400" s="10" t="n">
        <f aca="false">F5400*G5400</f>
        <v>2229</v>
      </c>
      <c r="I5400" s="6" t="s">
        <v>5122</v>
      </c>
    </row>
    <row r="5401" customFormat="false" ht="15" hidden="false" customHeight="false" outlineLevel="0" collapsed="false">
      <c r="A5401" s="6" t="s">
        <v>10625</v>
      </c>
      <c r="B5401" s="6" t="s">
        <v>2739</v>
      </c>
      <c r="C5401" s="26" t="n">
        <v>46192</v>
      </c>
      <c r="D5401" s="6" t="s">
        <v>5298</v>
      </c>
      <c r="E5401" s="6" t="s">
        <v>23</v>
      </c>
      <c r="F5401" s="6" t="n">
        <v>1</v>
      </c>
      <c r="G5401" s="10" t="n">
        <v>278</v>
      </c>
      <c r="H5401" s="10" t="n">
        <f aca="false">F5401*G5401</f>
        <v>278</v>
      </c>
      <c r="I5401" s="6" t="s">
        <v>5122</v>
      </c>
    </row>
    <row r="5402" customFormat="false" ht="15" hidden="false" customHeight="false" outlineLevel="0" collapsed="false">
      <c r="A5402" s="6" t="s">
        <v>10626</v>
      </c>
      <c r="B5402" s="6" t="s">
        <v>1231</v>
      </c>
      <c r="C5402" s="26" t="n">
        <v>46192</v>
      </c>
      <c r="D5402" s="6" t="s">
        <v>5188</v>
      </c>
      <c r="E5402" s="6" t="s">
        <v>24</v>
      </c>
      <c r="F5402" s="6" t="n">
        <v>1</v>
      </c>
      <c r="G5402" s="10" t="n">
        <v>916</v>
      </c>
      <c r="H5402" s="10" t="n">
        <f aca="false">F5402*G5402</f>
        <v>916</v>
      </c>
      <c r="I5402" s="6" t="s">
        <v>5148</v>
      </c>
    </row>
    <row r="5403" customFormat="false" ht="15" hidden="false" customHeight="false" outlineLevel="0" collapsed="false">
      <c r="A5403" s="6" t="s">
        <v>10627</v>
      </c>
      <c r="B5403" s="6" t="s">
        <v>3301</v>
      </c>
      <c r="C5403" s="26" t="n">
        <v>46192</v>
      </c>
      <c r="D5403" s="6" t="s">
        <v>5456</v>
      </c>
      <c r="E5403" s="6" t="s">
        <v>24</v>
      </c>
      <c r="F5403" s="6" t="n">
        <v>1</v>
      </c>
      <c r="G5403" s="10" t="n">
        <v>912</v>
      </c>
      <c r="H5403" s="10" t="n">
        <f aca="false">F5403*G5403</f>
        <v>912</v>
      </c>
      <c r="I5403" s="6" t="s">
        <v>5122</v>
      </c>
    </row>
    <row r="5404" customFormat="false" ht="15" hidden="false" customHeight="false" outlineLevel="0" collapsed="false">
      <c r="A5404" s="6" t="s">
        <v>10628</v>
      </c>
      <c r="B5404" s="6" t="s">
        <v>1027</v>
      </c>
      <c r="C5404" s="26" t="n">
        <v>46192</v>
      </c>
      <c r="D5404" s="6" t="s">
        <v>5171</v>
      </c>
      <c r="E5404" s="6" t="s">
        <v>23</v>
      </c>
      <c r="F5404" s="6" t="n">
        <v>3</v>
      </c>
      <c r="G5404" s="10" t="n">
        <v>697</v>
      </c>
      <c r="H5404" s="10" t="n">
        <f aca="false">F5404*G5404</f>
        <v>2091</v>
      </c>
      <c r="I5404" s="6" t="s">
        <v>5148</v>
      </c>
    </row>
    <row r="5405" customFormat="false" ht="15" hidden="false" customHeight="false" outlineLevel="0" collapsed="false">
      <c r="A5405" s="6" t="s">
        <v>10629</v>
      </c>
      <c r="B5405" s="6" t="s">
        <v>4431</v>
      </c>
      <c r="C5405" s="26" t="n">
        <v>46192</v>
      </c>
      <c r="D5405" s="6" t="s">
        <v>5182</v>
      </c>
      <c r="E5405" s="6" t="s">
        <v>23</v>
      </c>
      <c r="F5405" s="6" t="n">
        <v>4</v>
      </c>
      <c r="G5405" s="10" t="n">
        <v>349</v>
      </c>
      <c r="H5405" s="10" t="n">
        <f aca="false">F5405*G5405</f>
        <v>1396</v>
      </c>
      <c r="I5405" s="6" t="s">
        <v>5122</v>
      </c>
    </row>
    <row r="5406" customFormat="false" ht="15" hidden="false" customHeight="false" outlineLevel="0" collapsed="false">
      <c r="A5406" s="6" t="s">
        <v>10630</v>
      </c>
      <c r="B5406" s="6" t="s">
        <v>2159</v>
      </c>
      <c r="C5406" s="26" t="n">
        <v>46192</v>
      </c>
      <c r="D5406" s="6" t="s">
        <v>5216</v>
      </c>
      <c r="E5406" s="6" t="s">
        <v>23</v>
      </c>
      <c r="F5406" s="6" t="n">
        <v>3</v>
      </c>
      <c r="G5406" s="10" t="n">
        <v>558</v>
      </c>
      <c r="H5406" s="10" t="n">
        <f aca="false">F5406*G5406</f>
        <v>1674</v>
      </c>
      <c r="I5406" s="6" t="s">
        <v>5130</v>
      </c>
    </row>
    <row r="5407" customFormat="false" ht="15" hidden="false" customHeight="false" outlineLevel="0" collapsed="false">
      <c r="A5407" s="6" t="s">
        <v>10631</v>
      </c>
      <c r="B5407" s="6" t="s">
        <v>3881</v>
      </c>
      <c r="C5407" s="26" t="n">
        <v>46192</v>
      </c>
      <c r="D5407" s="6" t="s">
        <v>5160</v>
      </c>
      <c r="E5407" s="6" t="s">
        <v>21</v>
      </c>
      <c r="F5407" s="6" t="n">
        <v>2</v>
      </c>
      <c r="G5407" s="10" t="n">
        <v>2751</v>
      </c>
      <c r="H5407" s="10" t="n">
        <f aca="false">F5407*G5407</f>
        <v>5502</v>
      </c>
      <c r="I5407" s="6" t="s">
        <v>5130</v>
      </c>
    </row>
    <row r="5408" customFormat="false" ht="15" hidden="false" customHeight="false" outlineLevel="0" collapsed="false">
      <c r="A5408" s="6" t="s">
        <v>10632</v>
      </c>
      <c r="B5408" s="6" t="s">
        <v>1001</v>
      </c>
      <c r="C5408" s="26" t="n">
        <v>46192</v>
      </c>
      <c r="D5408" s="6" t="s">
        <v>5165</v>
      </c>
      <c r="E5408" s="6" t="s">
        <v>22</v>
      </c>
      <c r="F5408" s="6" t="n">
        <v>2</v>
      </c>
      <c r="G5408" s="10" t="n">
        <v>880</v>
      </c>
      <c r="H5408" s="10" t="n">
        <f aca="false">F5408*G5408</f>
        <v>1760</v>
      </c>
      <c r="I5408" s="6" t="s">
        <v>5122</v>
      </c>
    </row>
    <row r="5409" customFormat="false" ht="15" hidden="false" customHeight="false" outlineLevel="0" collapsed="false">
      <c r="A5409" s="6" t="s">
        <v>10633</v>
      </c>
      <c r="B5409" s="6" t="s">
        <v>3233</v>
      </c>
      <c r="C5409" s="26" t="n">
        <v>46192</v>
      </c>
      <c r="D5409" s="6" t="s">
        <v>5167</v>
      </c>
      <c r="E5409" s="6" t="s">
        <v>22</v>
      </c>
      <c r="F5409" s="6" t="n">
        <v>1</v>
      </c>
      <c r="G5409" s="10" t="n">
        <v>782</v>
      </c>
      <c r="H5409" s="10" t="n">
        <f aca="false">F5409*G5409</f>
        <v>782</v>
      </c>
      <c r="I5409" s="6" t="s">
        <v>5122</v>
      </c>
    </row>
    <row r="5410" customFormat="false" ht="15" hidden="false" customHeight="false" outlineLevel="0" collapsed="false">
      <c r="A5410" s="6" t="s">
        <v>10634</v>
      </c>
      <c r="B5410" s="6" t="s">
        <v>513</v>
      </c>
      <c r="C5410" s="26" t="n">
        <v>46192</v>
      </c>
      <c r="D5410" s="6" t="s">
        <v>5121</v>
      </c>
      <c r="E5410" s="6" t="s">
        <v>22</v>
      </c>
      <c r="F5410" s="6" t="n">
        <v>2</v>
      </c>
      <c r="G5410" s="10" t="n">
        <v>977</v>
      </c>
      <c r="H5410" s="10" t="n">
        <f aca="false">F5410*G5410</f>
        <v>1954</v>
      </c>
      <c r="I5410" s="6" t="s">
        <v>5133</v>
      </c>
    </row>
    <row r="5411" customFormat="false" ht="15" hidden="false" customHeight="false" outlineLevel="0" collapsed="false">
      <c r="A5411" s="6" t="s">
        <v>10635</v>
      </c>
      <c r="B5411" s="6" t="s">
        <v>1011</v>
      </c>
      <c r="C5411" s="26" t="n">
        <v>46192</v>
      </c>
      <c r="D5411" s="6" t="s">
        <v>5150</v>
      </c>
      <c r="E5411" s="6" t="s">
        <v>24</v>
      </c>
      <c r="F5411" s="6" t="n">
        <v>3</v>
      </c>
      <c r="G5411" s="10" t="n">
        <v>483</v>
      </c>
      <c r="H5411" s="10" t="n">
        <f aca="false">F5411*G5411</f>
        <v>1449</v>
      </c>
      <c r="I5411" s="6" t="s">
        <v>5133</v>
      </c>
    </row>
    <row r="5412" customFormat="false" ht="15" hidden="false" customHeight="false" outlineLevel="0" collapsed="false">
      <c r="A5412" s="6" t="s">
        <v>10636</v>
      </c>
      <c r="B5412" s="6" t="s">
        <v>3403</v>
      </c>
      <c r="C5412" s="26" t="n">
        <v>46192</v>
      </c>
      <c r="D5412" s="6" t="s">
        <v>5339</v>
      </c>
      <c r="E5412" s="6" t="s">
        <v>24</v>
      </c>
      <c r="F5412" s="6" t="n">
        <v>4</v>
      </c>
      <c r="G5412" s="10" t="n">
        <v>483</v>
      </c>
      <c r="H5412" s="10" t="n">
        <f aca="false">F5412*G5412</f>
        <v>1932</v>
      </c>
      <c r="I5412" s="6" t="s">
        <v>5122</v>
      </c>
    </row>
    <row r="5413" customFormat="false" ht="15" hidden="false" customHeight="false" outlineLevel="0" collapsed="false">
      <c r="A5413" s="6" t="s">
        <v>10637</v>
      </c>
      <c r="B5413" s="6" t="s">
        <v>2325</v>
      </c>
      <c r="C5413" s="26" t="n">
        <v>46192</v>
      </c>
      <c r="D5413" s="6" t="s">
        <v>5167</v>
      </c>
      <c r="E5413" s="6" t="s">
        <v>22</v>
      </c>
      <c r="F5413" s="6" t="n">
        <v>1</v>
      </c>
      <c r="G5413" s="10" t="n">
        <v>782</v>
      </c>
      <c r="H5413" s="10" t="n">
        <f aca="false">F5413*G5413</f>
        <v>782</v>
      </c>
      <c r="I5413" s="6" t="s">
        <v>5122</v>
      </c>
    </row>
    <row r="5414" customFormat="false" ht="15" hidden="false" customHeight="false" outlineLevel="0" collapsed="false">
      <c r="A5414" s="6" t="s">
        <v>10638</v>
      </c>
      <c r="B5414" s="6" t="s">
        <v>1635</v>
      </c>
      <c r="C5414" s="26" t="n">
        <v>46192</v>
      </c>
      <c r="D5414" s="6" t="s">
        <v>5398</v>
      </c>
      <c r="E5414" s="6" t="s">
        <v>24</v>
      </c>
      <c r="F5414" s="6" t="n">
        <v>1</v>
      </c>
      <c r="G5414" s="10" t="n">
        <v>611</v>
      </c>
      <c r="H5414" s="10" t="n">
        <f aca="false">F5414*G5414</f>
        <v>611</v>
      </c>
      <c r="I5414" s="6" t="s">
        <v>5125</v>
      </c>
    </row>
    <row r="5415" customFormat="false" ht="15" hidden="false" customHeight="false" outlineLevel="0" collapsed="false">
      <c r="A5415" s="6" t="s">
        <v>10639</v>
      </c>
      <c r="B5415" s="6" t="s">
        <v>2779</v>
      </c>
      <c r="C5415" s="26" t="n">
        <v>46192</v>
      </c>
      <c r="D5415" s="6" t="s">
        <v>5121</v>
      </c>
      <c r="E5415" s="6" t="s">
        <v>22</v>
      </c>
      <c r="F5415" s="6" t="n">
        <v>1</v>
      </c>
      <c r="G5415" s="10" t="n">
        <v>976</v>
      </c>
      <c r="H5415" s="10" t="n">
        <f aca="false">F5415*G5415</f>
        <v>976</v>
      </c>
      <c r="I5415" s="6" t="s">
        <v>5122</v>
      </c>
    </row>
    <row r="5416" customFormat="false" ht="15" hidden="false" customHeight="false" outlineLevel="0" collapsed="false">
      <c r="A5416" s="6" t="s">
        <v>10640</v>
      </c>
      <c r="B5416" s="6" t="s">
        <v>2847</v>
      </c>
      <c r="C5416" s="26" t="n">
        <v>46192</v>
      </c>
      <c r="D5416" s="6" t="s">
        <v>5466</v>
      </c>
      <c r="E5416" s="6" t="s">
        <v>21</v>
      </c>
      <c r="F5416" s="6" t="n">
        <v>2</v>
      </c>
      <c r="G5416" s="10" t="n">
        <v>1965</v>
      </c>
      <c r="H5416" s="10" t="n">
        <f aca="false">F5416*G5416</f>
        <v>3930</v>
      </c>
      <c r="I5416" s="6" t="s">
        <v>5122</v>
      </c>
    </row>
    <row r="5417" customFormat="false" ht="15" hidden="false" customHeight="false" outlineLevel="0" collapsed="false">
      <c r="A5417" s="6" t="s">
        <v>10641</v>
      </c>
      <c r="B5417" s="6" t="s">
        <v>2683</v>
      </c>
      <c r="C5417" s="26" t="n">
        <v>46192</v>
      </c>
      <c r="D5417" s="6" t="s">
        <v>5458</v>
      </c>
      <c r="E5417" s="6" t="s">
        <v>24</v>
      </c>
      <c r="F5417" s="6" t="n">
        <v>1</v>
      </c>
      <c r="G5417" s="10" t="n">
        <v>559</v>
      </c>
      <c r="H5417" s="10" t="n">
        <f aca="false">F5417*G5417</f>
        <v>559</v>
      </c>
      <c r="I5417" s="6" t="s">
        <v>5148</v>
      </c>
    </row>
    <row r="5418" customFormat="false" ht="15" hidden="false" customHeight="false" outlineLevel="0" collapsed="false">
      <c r="A5418" s="6" t="s">
        <v>10642</v>
      </c>
      <c r="B5418" s="6" t="s">
        <v>1279</v>
      </c>
      <c r="C5418" s="26" t="n">
        <v>46192</v>
      </c>
      <c r="D5418" s="6" t="s">
        <v>5353</v>
      </c>
      <c r="E5418" s="6" t="s">
        <v>24</v>
      </c>
      <c r="F5418" s="6" t="n">
        <v>3</v>
      </c>
      <c r="G5418" s="10" t="n">
        <v>1629</v>
      </c>
      <c r="H5418" s="10" t="n">
        <f aca="false">F5418*G5418</f>
        <v>4887</v>
      </c>
      <c r="I5418" s="6" t="s">
        <v>5125</v>
      </c>
    </row>
    <row r="5419" customFormat="false" ht="15" hidden="false" customHeight="false" outlineLevel="0" collapsed="false">
      <c r="A5419" s="6" t="s">
        <v>10643</v>
      </c>
      <c r="B5419" s="6" t="s">
        <v>1805</v>
      </c>
      <c r="C5419" s="26" t="n">
        <v>46192</v>
      </c>
      <c r="D5419" s="6" t="s">
        <v>5171</v>
      </c>
      <c r="E5419" s="6" t="s">
        <v>23</v>
      </c>
      <c r="F5419" s="6" t="n">
        <v>4</v>
      </c>
      <c r="G5419" s="10" t="n">
        <v>734</v>
      </c>
      <c r="H5419" s="10" t="n">
        <f aca="false">F5419*G5419</f>
        <v>2936</v>
      </c>
      <c r="I5419" s="6" t="s">
        <v>5130</v>
      </c>
    </row>
    <row r="5420" customFormat="false" ht="15" hidden="false" customHeight="false" outlineLevel="0" collapsed="false">
      <c r="A5420" s="6" t="s">
        <v>10644</v>
      </c>
      <c r="B5420" s="6" t="s">
        <v>677</v>
      </c>
      <c r="C5420" s="26" t="n">
        <v>46192</v>
      </c>
      <c r="D5420" s="6" t="s">
        <v>5121</v>
      </c>
      <c r="E5420" s="6" t="s">
        <v>22</v>
      </c>
      <c r="F5420" s="6" t="n">
        <v>1</v>
      </c>
      <c r="G5420" s="10" t="n">
        <v>977</v>
      </c>
      <c r="H5420" s="10" t="n">
        <f aca="false">F5420*G5420</f>
        <v>977</v>
      </c>
      <c r="I5420" s="6" t="s">
        <v>5125</v>
      </c>
    </row>
    <row r="5421" customFormat="false" ht="15" hidden="false" customHeight="false" outlineLevel="0" collapsed="false">
      <c r="A5421" s="6" t="s">
        <v>10645</v>
      </c>
      <c r="B5421" s="6" t="s">
        <v>317</v>
      </c>
      <c r="C5421" s="26" t="n">
        <v>46192</v>
      </c>
      <c r="D5421" s="6" t="s">
        <v>5482</v>
      </c>
      <c r="E5421" s="6" t="s">
        <v>23</v>
      </c>
      <c r="F5421" s="6" t="n">
        <v>3</v>
      </c>
      <c r="G5421" s="10" t="n">
        <v>243</v>
      </c>
      <c r="H5421" s="10" t="n">
        <f aca="false">F5421*G5421</f>
        <v>729</v>
      </c>
      <c r="I5421" s="6" t="s">
        <v>5122</v>
      </c>
    </row>
    <row r="5422" customFormat="false" ht="15" hidden="false" customHeight="false" outlineLevel="0" collapsed="false">
      <c r="A5422" s="6" t="s">
        <v>10646</v>
      </c>
      <c r="B5422" s="6" t="s">
        <v>3181</v>
      </c>
      <c r="C5422" s="26" t="n">
        <v>46192</v>
      </c>
      <c r="D5422" s="6" t="s">
        <v>5316</v>
      </c>
      <c r="E5422" s="6" t="s">
        <v>23</v>
      </c>
      <c r="F5422" s="6" t="n">
        <v>5</v>
      </c>
      <c r="G5422" s="10" t="n">
        <v>260</v>
      </c>
      <c r="H5422" s="10" t="n">
        <f aca="false">F5422*G5422</f>
        <v>1300</v>
      </c>
      <c r="I5422" s="6" t="s">
        <v>5130</v>
      </c>
    </row>
    <row r="5423" customFormat="false" ht="15" hidden="false" customHeight="false" outlineLevel="0" collapsed="false">
      <c r="A5423" s="6" t="s">
        <v>10647</v>
      </c>
      <c r="B5423" s="6" t="s">
        <v>995</v>
      </c>
      <c r="C5423" s="26" t="n">
        <v>46192</v>
      </c>
      <c r="D5423" s="6" t="s">
        <v>5135</v>
      </c>
      <c r="E5423" s="6" t="s">
        <v>23</v>
      </c>
      <c r="F5423" s="6" t="n">
        <v>4</v>
      </c>
      <c r="G5423" s="10" t="n">
        <v>419</v>
      </c>
      <c r="H5423" s="10" t="n">
        <f aca="false">F5423*G5423</f>
        <v>1676</v>
      </c>
      <c r="I5423" s="6" t="s">
        <v>5133</v>
      </c>
    </row>
    <row r="5424" customFormat="false" ht="15" hidden="false" customHeight="false" outlineLevel="0" collapsed="false">
      <c r="A5424" s="6" t="s">
        <v>10648</v>
      </c>
      <c r="B5424" s="6" t="s">
        <v>2163</v>
      </c>
      <c r="C5424" s="26" t="n">
        <v>46192</v>
      </c>
      <c r="D5424" s="6" t="s">
        <v>5458</v>
      </c>
      <c r="E5424" s="6" t="s">
        <v>24</v>
      </c>
      <c r="F5424" s="6" t="n">
        <v>1</v>
      </c>
      <c r="G5424" s="10" t="n">
        <v>503</v>
      </c>
      <c r="H5424" s="10" t="n">
        <f aca="false">F5424*G5424</f>
        <v>503</v>
      </c>
      <c r="I5424" s="6" t="s">
        <v>5122</v>
      </c>
    </row>
    <row r="5425" customFormat="false" ht="15" hidden="false" customHeight="false" outlineLevel="0" collapsed="false">
      <c r="A5425" s="6" t="s">
        <v>10649</v>
      </c>
      <c r="B5425" s="6" t="s">
        <v>3835</v>
      </c>
      <c r="C5425" s="26" t="n">
        <v>46192</v>
      </c>
      <c r="D5425" s="6" t="s">
        <v>5165</v>
      </c>
      <c r="E5425" s="6" t="s">
        <v>22</v>
      </c>
      <c r="F5425" s="6" t="n">
        <v>3</v>
      </c>
      <c r="G5425" s="10" t="n">
        <v>977</v>
      </c>
      <c r="H5425" s="10" t="n">
        <f aca="false">F5425*G5425</f>
        <v>2931</v>
      </c>
      <c r="I5425" s="6" t="s">
        <v>5148</v>
      </c>
    </row>
    <row r="5426" customFormat="false" ht="15" hidden="false" customHeight="false" outlineLevel="0" collapsed="false">
      <c r="A5426" s="6" t="s">
        <v>10650</v>
      </c>
      <c r="B5426" s="6" t="s">
        <v>725</v>
      </c>
      <c r="C5426" s="26" t="n">
        <v>46192</v>
      </c>
      <c r="D5426" s="6" t="s">
        <v>5216</v>
      </c>
      <c r="E5426" s="6" t="s">
        <v>23</v>
      </c>
      <c r="F5426" s="6" t="n">
        <v>3</v>
      </c>
      <c r="G5426" s="10" t="n">
        <v>587</v>
      </c>
      <c r="H5426" s="10" t="n">
        <f aca="false">F5426*G5426</f>
        <v>1761</v>
      </c>
      <c r="I5426" s="6" t="s">
        <v>5125</v>
      </c>
    </row>
    <row r="5427" customFormat="false" ht="15" hidden="false" customHeight="false" outlineLevel="0" collapsed="false">
      <c r="A5427" s="6" t="s">
        <v>10651</v>
      </c>
      <c r="B5427" s="6" t="s">
        <v>283</v>
      </c>
      <c r="C5427" s="26" t="n">
        <v>46192</v>
      </c>
      <c r="D5427" s="6" t="s">
        <v>5152</v>
      </c>
      <c r="E5427" s="6" t="s">
        <v>22</v>
      </c>
      <c r="F5427" s="6" t="n">
        <v>3</v>
      </c>
      <c r="G5427" s="10" t="n">
        <v>1760</v>
      </c>
      <c r="H5427" s="10" t="n">
        <f aca="false">F5427*G5427</f>
        <v>5280</v>
      </c>
      <c r="I5427" s="6" t="s">
        <v>5125</v>
      </c>
    </row>
    <row r="5428" customFormat="false" ht="15" hidden="false" customHeight="false" outlineLevel="0" collapsed="false">
      <c r="A5428" s="6" t="s">
        <v>10652</v>
      </c>
      <c r="B5428" s="6" t="s">
        <v>3155</v>
      </c>
      <c r="C5428" s="26" t="n">
        <v>46192</v>
      </c>
      <c r="D5428" s="6" t="s">
        <v>5273</v>
      </c>
      <c r="E5428" s="6" t="s">
        <v>23</v>
      </c>
      <c r="F5428" s="6" t="n">
        <v>2</v>
      </c>
      <c r="G5428" s="10" t="n">
        <v>240</v>
      </c>
      <c r="H5428" s="10" t="n">
        <f aca="false">F5428*G5428</f>
        <v>480</v>
      </c>
      <c r="I5428" s="6" t="s">
        <v>5122</v>
      </c>
    </row>
    <row r="5429" customFormat="false" ht="15" hidden="false" customHeight="false" outlineLevel="0" collapsed="false">
      <c r="A5429" s="6" t="s">
        <v>10653</v>
      </c>
      <c r="B5429" s="6" t="s">
        <v>4215</v>
      </c>
      <c r="C5429" s="26" t="n">
        <v>46192</v>
      </c>
      <c r="D5429" s="6" t="s">
        <v>5837</v>
      </c>
      <c r="E5429" s="6" t="s">
        <v>21</v>
      </c>
      <c r="F5429" s="6" t="n">
        <v>1</v>
      </c>
      <c r="G5429" s="10" t="n">
        <v>2948</v>
      </c>
      <c r="H5429" s="10" t="n">
        <f aca="false">F5429*G5429</f>
        <v>2948</v>
      </c>
      <c r="I5429" s="6" t="s">
        <v>5173</v>
      </c>
    </row>
    <row r="5430" customFormat="false" ht="15" hidden="false" customHeight="false" outlineLevel="0" collapsed="false">
      <c r="A5430" s="6" t="s">
        <v>10654</v>
      </c>
      <c r="B5430" s="6" t="s">
        <v>1683</v>
      </c>
      <c r="C5430" s="26" t="n">
        <v>46192</v>
      </c>
      <c r="D5430" s="6" t="s">
        <v>5154</v>
      </c>
      <c r="E5430" s="6" t="s">
        <v>21</v>
      </c>
      <c r="F5430" s="6" t="n">
        <v>1</v>
      </c>
      <c r="G5430" s="10" t="n">
        <v>746</v>
      </c>
      <c r="H5430" s="10" t="n">
        <f aca="false">F5430*G5430</f>
        <v>746</v>
      </c>
      <c r="I5430" s="6" t="s">
        <v>5122</v>
      </c>
    </row>
    <row r="5431" customFormat="false" ht="15" hidden="false" customHeight="false" outlineLevel="0" collapsed="false">
      <c r="A5431" s="6" t="s">
        <v>10655</v>
      </c>
      <c r="B5431" s="6" t="s">
        <v>489</v>
      </c>
      <c r="C5431" s="26" t="n">
        <v>46192</v>
      </c>
      <c r="D5431" s="6" t="s">
        <v>5137</v>
      </c>
      <c r="E5431" s="6" t="s">
        <v>21</v>
      </c>
      <c r="F5431" s="6" t="n">
        <v>1</v>
      </c>
      <c r="G5431" s="10" t="n">
        <v>1768</v>
      </c>
      <c r="H5431" s="10" t="n">
        <f aca="false">F5431*G5431</f>
        <v>1768</v>
      </c>
      <c r="I5431" s="6" t="s">
        <v>5125</v>
      </c>
    </row>
    <row r="5432" customFormat="false" ht="15" hidden="false" customHeight="false" outlineLevel="0" collapsed="false">
      <c r="A5432" s="6" t="s">
        <v>10656</v>
      </c>
      <c r="B5432" s="6" t="s">
        <v>2925</v>
      </c>
      <c r="C5432" s="26" t="n">
        <v>46192</v>
      </c>
      <c r="D5432" s="6" t="s">
        <v>5121</v>
      </c>
      <c r="E5432" s="6" t="s">
        <v>22</v>
      </c>
      <c r="F5432" s="6" t="n">
        <v>2</v>
      </c>
      <c r="G5432" s="10" t="n">
        <v>977</v>
      </c>
      <c r="H5432" s="10" t="n">
        <f aca="false">F5432*G5432</f>
        <v>1954</v>
      </c>
      <c r="I5432" s="6" t="s">
        <v>5148</v>
      </c>
    </row>
    <row r="5433" customFormat="false" ht="15" hidden="false" customHeight="false" outlineLevel="0" collapsed="false">
      <c r="A5433" s="6" t="s">
        <v>10657</v>
      </c>
      <c r="B5433" s="6" t="s">
        <v>459</v>
      </c>
      <c r="C5433" s="26" t="n">
        <v>46192</v>
      </c>
      <c r="D5433" s="6" t="s">
        <v>6046</v>
      </c>
      <c r="E5433" s="6" t="s">
        <v>22</v>
      </c>
      <c r="F5433" s="6" t="n">
        <v>1</v>
      </c>
      <c r="G5433" s="10" t="n">
        <v>4401</v>
      </c>
      <c r="H5433" s="10" t="n">
        <f aca="false">F5433*G5433</f>
        <v>4401</v>
      </c>
      <c r="I5433" s="6" t="s">
        <v>5125</v>
      </c>
    </row>
    <row r="5434" customFormat="false" ht="15" hidden="false" customHeight="false" outlineLevel="0" collapsed="false">
      <c r="A5434" s="6" t="s">
        <v>10658</v>
      </c>
      <c r="B5434" s="6" t="s">
        <v>3417</v>
      </c>
      <c r="C5434" s="26" t="n">
        <v>46192</v>
      </c>
      <c r="D5434" s="6" t="s">
        <v>5339</v>
      </c>
      <c r="E5434" s="6" t="s">
        <v>24</v>
      </c>
      <c r="F5434" s="6" t="n">
        <v>1</v>
      </c>
      <c r="G5434" s="10" t="n">
        <v>458</v>
      </c>
      <c r="H5434" s="10" t="n">
        <f aca="false">F5434*G5434</f>
        <v>458</v>
      </c>
      <c r="I5434" s="6" t="s">
        <v>5125</v>
      </c>
    </row>
    <row r="5435" customFormat="false" ht="15" hidden="false" customHeight="false" outlineLevel="0" collapsed="false">
      <c r="A5435" s="6" t="s">
        <v>10659</v>
      </c>
      <c r="B5435" s="6" t="s">
        <v>3335</v>
      </c>
      <c r="C5435" s="26" t="n">
        <v>46192</v>
      </c>
      <c r="D5435" s="6" t="s">
        <v>5466</v>
      </c>
      <c r="E5435" s="6" t="s">
        <v>21</v>
      </c>
      <c r="F5435" s="6" t="n">
        <v>1</v>
      </c>
      <c r="G5435" s="10" t="n">
        <v>1965</v>
      </c>
      <c r="H5435" s="10" t="n">
        <f aca="false">F5435*G5435</f>
        <v>1965</v>
      </c>
      <c r="I5435" s="6" t="s">
        <v>5133</v>
      </c>
    </row>
    <row r="5436" customFormat="false" ht="15" hidden="false" customHeight="false" outlineLevel="0" collapsed="false">
      <c r="A5436" s="6" t="s">
        <v>10660</v>
      </c>
      <c r="B5436" s="6" t="s">
        <v>691</v>
      </c>
      <c r="C5436" s="26" t="n">
        <v>46193</v>
      </c>
      <c r="D5436" s="6" t="s">
        <v>5687</v>
      </c>
      <c r="E5436" s="6" t="s">
        <v>20</v>
      </c>
      <c r="F5436" s="6" t="n">
        <v>1</v>
      </c>
      <c r="G5436" s="10" t="n">
        <v>2038</v>
      </c>
      <c r="H5436" s="10" t="n">
        <f aca="false">F5436*G5436</f>
        <v>2038</v>
      </c>
      <c r="I5436" s="6" t="s">
        <v>5148</v>
      </c>
    </row>
    <row r="5437" customFormat="false" ht="15" hidden="false" customHeight="false" outlineLevel="0" collapsed="false">
      <c r="A5437" s="6" t="s">
        <v>10661</v>
      </c>
      <c r="B5437" s="6" t="s">
        <v>2753</v>
      </c>
      <c r="C5437" s="26" t="n">
        <v>46193</v>
      </c>
      <c r="D5437" s="6" t="s">
        <v>5145</v>
      </c>
      <c r="E5437" s="6" t="s">
        <v>21</v>
      </c>
      <c r="F5437" s="6" t="n">
        <v>1</v>
      </c>
      <c r="G5437" s="10" t="n">
        <v>1277</v>
      </c>
      <c r="H5437" s="10" t="n">
        <f aca="false">F5437*G5437</f>
        <v>1277</v>
      </c>
      <c r="I5437" s="6" t="s">
        <v>5122</v>
      </c>
    </row>
    <row r="5438" customFormat="false" ht="15" hidden="false" customHeight="false" outlineLevel="0" collapsed="false">
      <c r="A5438" s="6" t="s">
        <v>10662</v>
      </c>
      <c r="B5438" s="6" t="s">
        <v>3827</v>
      </c>
      <c r="C5438" s="26" t="n">
        <v>46193</v>
      </c>
      <c r="D5438" s="6" t="s">
        <v>5240</v>
      </c>
      <c r="E5438" s="6" t="s">
        <v>20</v>
      </c>
      <c r="F5438" s="6" t="n">
        <v>1</v>
      </c>
      <c r="G5438" s="10" t="n">
        <v>5098</v>
      </c>
      <c r="H5438" s="10" t="n">
        <f aca="false">F5438*G5438</f>
        <v>5098</v>
      </c>
      <c r="I5438" s="6" t="s">
        <v>5148</v>
      </c>
    </row>
    <row r="5439" customFormat="false" ht="15" hidden="false" customHeight="false" outlineLevel="0" collapsed="false">
      <c r="A5439" s="6" t="s">
        <v>10663</v>
      </c>
      <c r="B5439" s="6" t="s">
        <v>3745</v>
      </c>
      <c r="C5439" s="26" t="n">
        <v>46193</v>
      </c>
      <c r="D5439" s="6" t="s">
        <v>5182</v>
      </c>
      <c r="E5439" s="6" t="s">
        <v>23</v>
      </c>
      <c r="F5439" s="6" t="n">
        <v>3</v>
      </c>
      <c r="G5439" s="10" t="n">
        <v>349</v>
      </c>
      <c r="H5439" s="10" t="n">
        <f aca="false">F5439*G5439</f>
        <v>1047</v>
      </c>
      <c r="I5439" s="6" t="s">
        <v>5122</v>
      </c>
    </row>
    <row r="5440" customFormat="false" ht="15" hidden="false" customHeight="false" outlineLevel="0" collapsed="false">
      <c r="A5440" s="6" t="s">
        <v>10664</v>
      </c>
      <c r="B5440" s="6" t="s">
        <v>2299</v>
      </c>
      <c r="C5440" s="26" t="n">
        <v>46193</v>
      </c>
      <c r="D5440" s="6" t="s">
        <v>5188</v>
      </c>
      <c r="E5440" s="6" t="s">
        <v>24</v>
      </c>
      <c r="F5440" s="6" t="n">
        <v>2</v>
      </c>
      <c r="G5440" s="10" t="n">
        <v>1018</v>
      </c>
      <c r="H5440" s="10" t="n">
        <f aca="false">F5440*G5440</f>
        <v>2036</v>
      </c>
      <c r="I5440" s="6" t="s">
        <v>5122</v>
      </c>
    </row>
    <row r="5441" customFormat="false" ht="15" hidden="false" customHeight="false" outlineLevel="0" collapsed="false">
      <c r="A5441" s="6" t="s">
        <v>10665</v>
      </c>
      <c r="B5441" s="6" t="s">
        <v>3203</v>
      </c>
      <c r="C5441" s="26" t="n">
        <v>46193</v>
      </c>
      <c r="D5441" s="6" t="s">
        <v>5132</v>
      </c>
      <c r="E5441" s="6" t="s">
        <v>23</v>
      </c>
      <c r="F5441" s="6" t="n">
        <v>1</v>
      </c>
      <c r="G5441" s="10" t="n">
        <v>342</v>
      </c>
      <c r="H5441" s="10" t="n">
        <f aca="false">F5441*G5441</f>
        <v>342</v>
      </c>
      <c r="I5441" s="6" t="s">
        <v>5122</v>
      </c>
    </row>
    <row r="5442" customFormat="false" ht="15" hidden="false" customHeight="false" outlineLevel="0" collapsed="false">
      <c r="A5442" s="6" t="s">
        <v>10666</v>
      </c>
      <c r="B5442" s="6" t="s">
        <v>2163</v>
      </c>
      <c r="C5442" s="26" t="n">
        <v>46193</v>
      </c>
      <c r="D5442" s="6" t="s">
        <v>5277</v>
      </c>
      <c r="E5442" s="6" t="s">
        <v>22</v>
      </c>
      <c r="F5442" s="6" t="n">
        <v>1</v>
      </c>
      <c r="G5442" s="10" t="n">
        <v>2738</v>
      </c>
      <c r="H5442" s="10" t="n">
        <f aca="false">F5442*G5442</f>
        <v>2738</v>
      </c>
      <c r="I5442" s="6" t="s">
        <v>5122</v>
      </c>
    </row>
    <row r="5443" customFormat="false" ht="15" hidden="false" customHeight="false" outlineLevel="0" collapsed="false">
      <c r="A5443" s="6" t="s">
        <v>10667</v>
      </c>
      <c r="B5443" s="6" t="s">
        <v>2925</v>
      </c>
      <c r="C5443" s="26" t="n">
        <v>46193</v>
      </c>
      <c r="D5443" s="6" t="s">
        <v>5165</v>
      </c>
      <c r="E5443" s="6" t="s">
        <v>22</v>
      </c>
      <c r="F5443" s="6" t="n">
        <v>2</v>
      </c>
      <c r="G5443" s="10" t="n">
        <v>977</v>
      </c>
      <c r="H5443" s="10" t="n">
        <f aca="false">F5443*G5443</f>
        <v>1954</v>
      </c>
      <c r="I5443" s="6" t="s">
        <v>5148</v>
      </c>
    </row>
    <row r="5444" customFormat="false" ht="15" hidden="false" customHeight="false" outlineLevel="0" collapsed="false">
      <c r="A5444" s="6" t="s">
        <v>10668</v>
      </c>
      <c r="B5444" s="6" t="s">
        <v>2881</v>
      </c>
      <c r="C5444" s="26" t="n">
        <v>46193</v>
      </c>
      <c r="D5444" s="6" t="s">
        <v>5298</v>
      </c>
      <c r="E5444" s="6" t="s">
        <v>23</v>
      </c>
      <c r="F5444" s="6" t="n">
        <v>1</v>
      </c>
      <c r="G5444" s="10" t="n">
        <v>293</v>
      </c>
      <c r="H5444" s="10" t="n">
        <f aca="false">F5444*G5444</f>
        <v>293</v>
      </c>
      <c r="I5444" s="6" t="s">
        <v>5148</v>
      </c>
    </row>
    <row r="5445" customFormat="false" ht="15" hidden="false" customHeight="false" outlineLevel="0" collapsed="false">
      <c r="A5445" s="6" t="s">
        <v>10669</v>
      </c>
      <c r="B5445" s="6" t="s">
        <v>4333</v>
      </c>
      <c r="C5445" s="26" t="n">
        <v>46193</v>
      </c>
      <c r="D5445" s="6" t="s">
        <v>5318</v>
      </c>
      <c r="E5445" s="6" t="s">
        <v>20</v>
      </c>
      <c r="F5445" s="6" t="n">
        <v>1</v>
      </c>
      <c r="G5445" s="10" t="n">
        <v>1452</v>
      </c>
      <c r="H5445" s="10" t="n">
        <f aca="false">F5445*G5445</f>
        <v>1452</v>
      </c>
      <c r="I5445" s="6" t="s">
        <v>5148</v>
      </c>
    </row>
    <row r="5446" customFormat="false" ht="15" hidden="false" customHeight="false" outlineLevel="0" collapsed="false">
      <c r="A5446" s="6" t="s">
        <v>10670</v>
      </c>
      <c r="B5446" s="6" t="s">
        <v>4155</v>
      </c>
      <c r="C5446" s="26" t="n">
        <v>46193</v>
      </c>
      <c r="D5446" s="6" t="s">
        <v>5216</v>
      </c>
      <c r="E5446" s="6" t="s">
        <v>23</v>
      </c>
      <c r="F5446" s="6" t="n">
        <v>4</v>
      </c>
      <c r="G5446" s="10" t="n">
        <v>528</v>
      </c>
      <c r="H5446" s="10" t="n">
        <f aca="false">F5446*G5446</f>
        <v>2112</v>
      </c>
      <c r="I5446" s="6" t="s">
        <v>5148</v>
      </c>
    </row>
    <row r="5447" customFormat="false" ht="15" hidden="false" customHeight="false" outlineLevel="0" collapsed="false">
      <c r="A5447" s="6" t="s">
        <v>10671</v>
      </c>
      <c r="B5447" s="6" t="s">
        <v>340</v>
      </c>
      <c r="C5447" s="26" t="n">
        <v>46193</v>
      </c>
      <c r="D5447" s="6" t="s">
        <v>5182</v>
      </c>
      <c r="E5447" s="6" t="s">
        <v>23</v>
      </c>
      <c r="F5447" s="6" t="n">
        <v>3</v>
      </c>
      <c r="G5447" s="10" t="n">
        <v>367</v>
      </c>
      <c r="H5447" s="10" t="n">
        <f aca="false">F5447*G5447</f>
        <v>1101</v>
      </c>
      <c r="I5447" s="6" t="s">
        <v>5122</v>
      </c>
    </row>
    <row r="5448" customFormat="false" ht="15" hidden="false" customHeight="false" outlineLevel="0" collapsed="false">
      <c r="A5448" s="6" t="s">
        <v>10672</v>
      </c>
      <c r="B5448" s="6" t="s">
        <v>687</v>
      </c>
      <c r="C5448" s="26" t="n">
        <v>46193</v>
      </c>
      <c r="D5448" s="6" t="s">
        <v>5121</v>
      </c>
      <c r="E5448" s="6" t="s">
        <v>22</v>
      </c>
      <c r="F5448" s="6" t="n">
        <v>3</v>
      </c>
      <c r="G5448" s="10" t="n">
        <v>977</v>
      </c>
      <c r="H5448" s="10" t="n">
        <f aca="false">F5448*G5448</f>
        <v>2931</v>
      </c>
      <c r="I5448" s="6" t="s">
        <v>5125</v>
      </c>
    </row>
    <row r="5449" customFormat="false" ht="15" hidden="false" customHeight="false" outlineLevel="0" collapsed="false">
      <c r="A5449" s="6" t="s">
        <v>10673</v>
      </c>
      <c r="B5449" s="6" t="s">
        <v>2199</v>
      </c>
      <c r="C5449" s="26" t="n">
        <v>46193</v>
      </c>
      <c r="D5449" s="6" t="s">
        <v>5171</v>
      </c>
      <c r="E5449" s="6" t="s">
        <v>23</v>
      </c>
      <c r="F5449" s="6" t="n">
        <v>4</v>
      </c>
      <c r="G5449" s="10" t="n">
        <v>697</v>
      </c>
      <c r="H5449" s="10" t="n">
        <f aca="false">F5449*G5449</f>
        <v>2788</v>
      </c>
      <c r="I5449" s="6" t="s">
        <v>5122</v>
      </c>
    </row>
    <row r="5450" customFormat="false" ht="15" hidden="false" customHeight="false" outlineLevel="0" collapsed="false">
      <c r="A5450" s="6" t="s">
        <v>10674</v>
      </c>
      <c r="B5450" s="6" t="s">
        <v>717</v>
      </c>
      <c r="C5450" s="26" t="n">
        <v>46193</v>
      </c>
      <c r="D5450" s="6" t="s">
        <v>5318</v>
      </c>
      <c r="E5450" s="6" t="s">
        <v>20</v>
      </c>
      <c r="F5450" s="6" t="n">
        <v>3</v>
      </c>
      <c r="G5450" s="10" t="n">
        <v>1376</v>
      </c>
      <c r="H5450" s="10" t="n">
        <f aca="false">F5450*G5450</f>
        <v>4128</v>
      </c>
      <c r="I5450" s="6" t="s">
        <v>5133</v>
      </c>
    </row>
    <row r="5451" customFormat="false" ht="15" hidden="false" customHeight="false" outlineLevel="0" collapsed="false">
      <c r="A5451" s="6" t="s">
        <v>10675</v>
      </c>
      <c r="B5451" s="6" t="s">
        <v>941</v>
      </c>
      <c r="C5451" s="26" t="n">
        <v>46193</v>
      </c>
      <c r="D5451" s="6" t="s">
        <v>5269</v>
      </c>
      <c r="E5451" s="6" t="s">
        <v>22</v>
      </c>
      <c r="F5451" s="6" t="n">
        <v>1</v>
      </c>
      <c r="G5451" s="10" t="n">
        <v>1144</v>
      </c>
      <c r="H5451" s="10" t="n">
        <f aca="false">F5451*G5451</f>
        <v>1144</v>
      </c>
      <c r="I5451" s="6" t="s">
        <v>5125</v>
      </c>
    </row>
    <row r="5452" customFormat="false" ht="15" hidden="false" customHeight="false" outlineLevel="0" collapsed="false">
      <c r="A5452" s="6" t="s">
        <v>10676</v>
      </c>
      <c r="B5452" s="6" t="s">
        <v>89</v>
      </c>
      <c r="C5452" s="26" t="n">
        <v>46193</v>
      </c>
      <c r="D5452" s="6" t="s">
        <v>6149</v>
      </c>
      <c r="E5452" s="6" t="s">
        <v>20</v>
      </c>
      <c r="F5452" s="6" t="n">
        <v>1</v>
      </c>
      <c r="G5452" s="10" t="n">
        <v>27999</v>
      </c>
      <c r="H5452" s="10" t="n">
        <f aca="false">F5452*G5452</f>
        <v>27999</v>
      </c>
      <c r="I5452" s="6" t="s">
        <v>5122</v>
      </c>
    </row>
    <row r="5453" customFormat="false" ht="15" hidden="false" customHeight="false" outlineLevel="0" collapsed="false">
      <c r="A5453" s="6" t="s">
        <v>10677</v>
      </c>
      <c r="B5453" s="6" t="s">
        <v>1299</v>
      </c>
      <c r="C5453" s="26" t="n">
        <v>46193</v>
      </c>
      <c r="D5453" s="6" t="s">
        <v>5460</v>
      </c>
      <c r="E5453" s="6" t="s">
        <v>24</v>
      </c>
      <c r="F5453" s="6" t="n">
        <v>2</v>
      </c>
      <c r="G5453" s="10" t="n">
        <v>528</v>
      </c>
      <c r="H5453" s="10" t="n">
        <f aca="false">F5453*G5453</f>
        <v>1056</v>
      </c>
      <c r="I5453" s="6" t="s">
        <v>5122</v>
      </c>
    </row>
    <row r="5454" customFormat="false" ht="15" hidden="false" customHeight="false" outlineLevel="0" collapsed="false">
      <c r="A5454" s="6" t="s">
        <v>10678</v>
      </c>
      <c r="B5454" s="6" t="s">
        <v>3383</v>
      </c>
      <c r="C5454" s="26" t="n">
        <v>46193</v>
      </c>
      <c r="D5454" s="6" t="s">
        <v>5383</v>
      </c>
      <c r="E5454" s="6" t="s">
        <v>20</v>
      </c>
      <c r="F5454" s="6" t="n">
        <v>1</v>
      </c>
      <c r="G5454" s="10" t="n">
        <v>1009</v>
      </c>
      <c r="H5454" s="10" t="n">
        <f aca="false">F5454*G5454</f>
        <v>1009</v>
      </c>
      <c r="I5454" s="6" t="s">
        <v>5125</v>
      </c>
    </row>
    <row r="5455" customFormat="false" ht="15" hidden="false" customHeight="false" outlineLevel="0" collapsed="false">
      <c r="A5455" s="6" t="s">
        <v>10679</v>
      </c>
      <c r="B5455" s="6" t="s">
        <v>1711</v>
      </c>
      <c r="C5455" s="26" t="n">
        <v>46193</v>
      </c>
      <c r="D5455" s="6" t="s">
        <v>5167</v>
      </c>
      <c r="E5455" s="6" t="s">
        <v>22</v>
      </c>
      <c r="F5455" s="6" t="n">
        <v>2</v>
      </c>
      <c r="G5455" s="10" t="n">
        <v>782</v>
      </c>
      <c r="H5455" s="10" t="n">
        <f aca="false">F5455*G5455</f>
        <v>1564</v>
      </c>
      <c r="I5455" s="6" t="s">
        <v>5148</v>
      </c>
    </row>
    <row r="5456" customFormat="false" ht="15" hidden="false" customHeight="false" outlineLevel="0" collapsed="false">
      <c r="A5456" s="6" t="s">
        <v>10680</v>
      </c>
      <c r="B5456" s="6" t="s">
        <v>3891</v>
      </c>
      <c r="C5456" s="26" t="n">
        <v>46193</v>
      </c>
      <c r="D5456" s="6" t="s">
        <v>5152</v>
      </c>
      <c r="E5456" s="6" t="s">
        <v>22</v>
      </c>
      <c r="F5456" s="6" t="n">
        <v>2</v>
      </c>
      <c r="G5456" s="10" t="n">
        <v>1760</v>
      </c>
      <c r="H5456" s="10" t="n">
        <f aca="false">F5456*G5456</f>
        <v>3520</v>
      </c>
      <c r="I5456" s="6" t="s">
        <v>5130</v>
      </c>
    </row>
    <row r="5457" customFormat="false" ht="15" hidden="false" customHeight="false" outlineLevel="0" collapsed="false">
      <c r="A5457" s="6" t="s">
        <v>10681</v>
      </c>
      <c r="B5457" s="6" t="s">
        <v>4637</v>
      </c>
      <c r="C5457" s="26" t="n">
        <v>46193</v>
      </c>
      <c r="D5457" s="6" t="s">
        <v>5207</v>
      </c>
      <c r="E5457" s="6" t="s">
        <v>20</v>
      </c>
      <c r="F5457" s="6" t="n">
        <v>1</v>
      </c>
      <c r="G5457" s="10" t="n">
        <v>1325</v>
      </c>
      <c r="H5457" s="10" t="n">
        <f aca="false">F5457*G5457</f>
        <v>1325</v>
      </c>
      <c r="I5457" s="6" t="s">
        <v>5122</v>
      </c>
    </row>
    <row r="5458" customFormat="false" ht="15" hidden="false" customHeight="false" outlineLevel="0" collapsed="false">
      <c r="A5458" s="6" t="s">
        <v>10682</v>
      </c>
      <c r="B5458" s="6" t="s">
        <v>4437</v>
      </c>
      <c r="C5458" s="26" t="n">
        <v>46193</v>
      </c>
      <c r="D5458" s="6" t="s">
        <v>5121</v>
      </c>
      <c r="E5458" s="6" t="s">
        <v>22</v>
      </c>
      <c r="F5458" s="6" t="n">
        <v>2</v>
      </c>
      <c r="G5458" s="10" t="n">
        <v>977</v>
      </c>
      <c r="H5458" s="10" t="n">
        <f aca="false">F5458*G5458</f>
        <v>1954</v>
      </c>
      <c r="I5458" s="6" t="s">
        <v>5122</v>
      </c>
    </row>
    <row r="5459" customFormat="false" ht="15" hidden="false" customHeight="false" outlineLevel="0" collapsed="false">
      <c r="A5459" s="6" t="s">
        <v>10683</v>
      </c>
      <c r="B5459" s="6" t="s">
        <v>1897</v>
      </c>
      <c r="C5459" s="26" t="n">
        <v>46193</v>
      </c>
      <c r="D5459" s="6" t="s">
        <v>5357</v>
      </c>
      <c r="E5459" s="6" t="s">
        <v>23</v>
      </c>
      <c r="F5459" s="6" t="n">
        <v>2</v>
      </c>
      <c r="G5459" s="10" t="n">
        <v>534</v>
      </c>
      <c r="H5459" s="10" t="n">
        <f aca="false">F5459*G5459</f>
        <v>1068</v>
      </c>
      <c r="I5459" s="6" t="s">
        <v>5122</v>
      </c>
    </row>
    <row r="5460" customFormat="false" ht="15" hidden="false" customHeight="false" outlineLevel="0" collapsed="false">
      <c r="A5460" s="6" t="s">
        <v>10684</v>
      </c>
      <c r="B5460" s="6" t="s">
        <v>3433</v>
      </c>
      <c r="C5460" s="26" t="n">
        <v>46193</v>
      </c>
      <c r="D5460" s="6" t="s">
        <v>5188</v>
      </c>
      <c r="E5460" s="6" t="s">
        <v>24</v>
      </c>
      <c r="F5460" s="6" t="n">
        <v>2</v>
      </c>
      <c r="G5460" s="10" t="n">
        <v>967</v>
      </c>
      <c r="H5460" s="10" t="n">
        <f aca="false">F5460*G5460</f>
        <v>1934</v>
      </c>
      <c r="I5460" s="6" t="s">
        <v>5122</v>
      </c>
    </row>
    <row r="5461" customFormat="false" ht="15" hidden="false" customHeight="false" outlineLevel="0" collapsed="false">
      <c r="A5461" s="6" t="s">
        <v>10685</v>
      </c>
      <c r="B5461" s="6" t="s">
        <v>1601</v>
      </c>
      <c r="C5461" s="26" t="n">
        <v>46193</v>
      </c>
      <c r="D5461" s="6" t="s">
        <v>5127</v>
      </c>
      <c r="E5461" s="6" t="s">
        <v>21</v>
      </c>
      <c r="F5461" s="6" t="n">
        <v>1</v>
      </c>
      <c r="G5461" s="10" t="n">
        <v>884</v>
      </c>
      <c r="H5461" s="10" t="n">
        <f aca="false">F5461*G5461</f>
        <v>884</v>
      </c>
      <c r="I5461" s="6" t="s">
        <v>5130</v>
      </c>
    </row>
    <row r="5462" customFormat="false" ht="15" hidden="false" customHeight="false" outlineLevel="0" collapsed="false">
      <c r="A5462" s="6" t="s">
        <v>10686</v>
      </c>
      <c r="B5462" s="6" t="s">
        <v>783</v>
      </c>
      <c r="C5462" s="26" t="n">
        <v>46193</v>
      </c>
      <c r="D5462" s="6" t="s">
        <v>5488</v>
      </c>
      <c r="E5462" s="6" t="s">
        <v>24</v>
      </c>
      <c r="F5462" s="6" t="n">
        <v>1</v>
      </c>
      <c r="G5462" s="10" t="n">
        <v>866</v>
      </c>
      <c r="H5462" s="10" t="n">
        <f aca="false">F5462*G5462</f>
        <v>866</v>
      </c>
      <c r="I5462" s="6" t="s">
        <v>5122</v>
      </c>
    </row>
    <row r="5463" customFormat="false" ht="15" hidden="false" customHeight="false" outlineLevel="0" collapsed="false">
      <c r="A5463" s="6" t="s">
        <v>10687</v>
      </c>
      <c r="B5463" s="6" t="s">
        <v>2501</v>
      </c>
      <c r="C5463" s="26" t="n">
        <v>46193</v>
      </c>
      <c r="D5463" s="6" t="s">
        <v>5185</v>
      </c>
      <c r="E5463" s="6" t="s">
        <v>24</v>
      </c>
      <c r="F5463" s="6" t="n">
        <v>2</v>
      </c>
      <c r="G5463" s="10" t="n">
        <v>2033</v>
      </c>
      <c r="H5463" s="10" t="n">
        <f aca="false">F5463*G5463</f>
        <v>4066</v>
      </c>
      <c r="I5463" s="6" t="s">
        <v>5130</v>
      </c>
    </row>
    <row r="5464" customFormat="false" ht="15" hidden="false" customHeight="false" outlineLevel="0" collapsed="false">
      <c r="A5464" s="6" t="s">
        <v>10688</v>
      </c>
      <c r="B5464" s="6" t="s">
        <v>313</v>
      </c>
      <c r="C5464" s="26" t="n">
        <v>46193</v>
      </c>
      <c r="D5464" s="6" t="s">
        <v>5139</v>
      </c>
      <c r="E5464" s="6" t="s">
        <v>23</v>
      </c>
      <c r="F5464" s="6" t="n">
        <v>1</v>
      </c>
      <c r="G5464" s="10" t="n">
        <v>279</v>
      </c>
      <c r="H5464" s="10" t="n">
        <f aca="false">F5464*G5464</f>
        <v>279</v>
      </c>
      <c r="I5464" s="6" t="s">
        <v>5125</v>
      </c>
    </row>
    <row r="5465" customFormat="false" ht="15" hidden="false" customHeight="false" outlineLevel="0" collapsed="false">
      <c r="A5465" s="6" t="s">
        <v>10689</v>
      </c>
      <c r="B5465" s="6" t="s">
        <v>3233</v>
      </c>
      <c r="C5465" s="26" t="n">
        <v>46193</v>
      </c>
      <c r="D5465" s="6" t="s">
        <v>5143</v>
      </c>
      <c r="E5465" s="6" t="s">
        <v>21</v>
      </c>
      <c r="F5465" s="6" t="n">
        <v>3</v>
      </c>
      <c r="G5465" s="10" t="n">
        <v>1179</v>
      </c>
      <c r="H5465" s="10" t="n">
        <f aca="false">F5465*G5465</f>
        <v>3537</v>
      </c>
      <c r="I5465" s="6" t="s">
        <v>5122</v>
      </c>
    </row>
    <row r="5466" customFormat="false" ht="15" hidden="false" customHeight="false" outlineLevel="0" collapsed="false">
      <c r="A5466" s="6" t="s">
        <v>10690</v>
      </c>
      <c r="B5466" s="6" t="s">
        <v>2475</v>
      </c>
      <c r="C5466" s="26" t="n">
        <v>46193</v>
      </c>
      <c r="D5466" s="6" t="s">
        <v>5318</v>
      </c>
      <c r="E5466" s="6" t="s">
        <v>20</v>
      </c>
      <c r="F5466" s="6" t="n">
        <v>1</v>
      </c>
      <c r="G5466" s="10" t="n">
        <v>1528</v>
      </c>
      <c r="H5466" s="10" t="n">
        <f aca="false">F5466*G5466</f>
        <v>1528</v>
      </c>
      <c r="I5466" s="6" t="s">
        <v>5122</v>
      </c>
    </row>
    <row r="5467" customFormat="false" ht="15" hidden="false" customHeight="false" outlineLevel="0" collapsed="false">
      <c r="A5467" s="6" t="s">
        <v>10691</v>
      </c>
      <c r="B5467" s="6" t="s">
        <v>3511</v>
      </c>
      <c r="C5467" s="26" t="n">
        <v>46193</v>
      </c>
      <c r="D5467" s="6" t="s">
        <v>5167</v>
      </c>
      <c r="E5467" s="6" t="s">
        <v>22</v>
      </c>
      <c r="F5467" s="6" t="n">
        <v>1</v>
      </c>
      <c r="G5467" s="10" t="n">
        <v>703</v>
      </c>
      <c r="H5467" s="10" t="n">
        <f aca="false">F5467*G5467</f>
        <v>703</v>
      </c>
      <c r="I5467" s="6" t="s">
        <v>5148</v>
      </c>
    </row>
    <row r="5468" customFormat="false" ht="15" hidden="false" customHeight="false" outlineLevel="0" collapsed="false">
      <c r="A5468" s="6" t="s">
        <v>10692</v>
      </c>
      <c r="B5468" s="6" t="s">
        <v>1567</v>
      </c>
      <c r="C5468" s="26" t="n">
        <v>46193</v>
      </c>
      <c r="D5468" s="6" t="s">
        <v>5167</v>
      </c>
      <c r="E5468" s="6" t="s">
        <v>22</v>
      </c>
      <c r="F5468" s="6" t="n">
        <v>3</v>
      </c>
      <c r="G5468" s="10" t="n">
        <v>782</v>
      </c>
      <c r="H5468" s="10" t="n">
        <f aca="false">F5468*G5468</f>
        <v>2346</v>
      </c>
      <c r="I5468" s="6" t="s">
        <v>5130</v>
      </c>
    </row>
    <row r="5469" customFormat="false" ht="15" hidden="false" customHeight="false" outlineLevel="0" collapsed="false">
      <c r="A5469" s="6" t="s">
        <v>10693</v>
      </c>
      <c r="B5469" s="6" t="s">
        <v>358</v>
      </c>
      <c r="C5469" s="26" t="n">
        <v>46193</v>
      </c>
      <c r="D5469" s="6" t="s">
        <v>5165</v>
      </c>
      <c r="E5469" s="6" t="s">
        <v>22</v>
      </c>
      <c r="F5469" s="6" t="n">
        <v>1</v>
      </c>
      <c r="G5469" s="10" t="n">
        <v>880</v>
      </c>
      <c r="H5469" s="10" t="n">
        <f aca="false">F5469*G5469</f>
        <v>880</v>
      </c>
      <c r="I5469" s="6" t="s">
        <v>5130</v>
      </c>
    </row>
    <row r="5470" customFormat="false" ht="15" hidden="false" customHeight="false" outlineLevel="0" collapsed="false">
      <c r="A5470" s="6" t="s">
        <v>10694</v>
      </c>
      <c r="B5470" s="6" t="s">
        <v>517</v>
      </c>
      <c r="C5470" s="26" t="n">
        <v>46193</v>
      </c>
      <c r="D5470" s="6" t="s">
        <v>5154</v>
      </c>
      <c r="E5470" s="6" t="s">
        <v>21</v>
      </c>
      <c r="F5470" s="6" t="n">
        <v>1</v>
      </c>
      <c r="G5470" s="10" t="n">
        <v>785</v>
      </c>
      <c r="H5470" s="10" t="n">
        <f aca="false">F5470*G5470</f>
        <v>785</v>
      </c>
      <c r="I5470" s="6" t="s">
        <v>5133</v>
      </c>
    </row>
    <row r="5471" customFormat="false" ht="15" hidden="false" customHeight="false" outlineLevel="0" collapsed="false">
      <c r="A5471" s="6" t="s">
        <v>10695</v>
      </c>
      <c r="B5471" s="6" t="s">
        <v>1011</v>
      </c>
      <c r="C5471" s="26" t="n">
        <v>46193</v>
      </c>
      <c r="D5471" s="6" t="s">
        <v>5167</v>
      </c>
      <c r="E5471" s="6" t="s">
        <v>22</v>
      </c>
      <c r="F5471" s="6" t="n">
        <v>1</v>
      </c>
      <c r="G5471" s="10" t="n">
        <v>782</v>
      </c>
      <c r="H5471" s="10" t="n">
        <f aca="false">F5471*G5471</f>
        <v>782</v>
      </c>
      <c r="I5471" s="6" t="s">
        <v>5122</v>
      </c>
    </row>
    <row r="5472" customFormat="false" ht="15" hidden="false" customHeight="false" outlineLevel="0" collapsed="false">
      <c r="A5472" s="6" t="s">
        <v>10696</v>
      </c>
      <c r="B5472" s="6" t="s">
        <v>2273</v>
      </c>
      <c r="C5472" s="26" t="n">
        <v>46193</v>
      </c>
      <c r="D5472" s="6" t="s">
        <v>5154</v>
      </c>
      <c r="E5472" s="6" t="s">
        <v>21</v>
      </c>
      <c r="F5472" s="6" t="n">
        <v>2</v>
      </c>
      <c r="G5472" s="10" t="n">
        <v>785</v>
      </c>
      <c r="H5472" s="10" t="n">
        <f aca="false">F5472*G5472</f>
        <v>1570</v>
      </c>
      <c r="I5472" s="6" t="s">
        <v>5122</v>
      </c>
    </row>
    <row r="5473" customFormat="false" ht="15" hidden="false" customHeight="false" outlineLevel="0" collapsed="false">
      <c r="A5473" s="6" t="s">
        <v>10697</v>
      </c>
      <c r="B5473" s="6" t="s">
        <v>5097</v>
      </c>
      <c r="C5473" s="26" t="n">
        <v>46193</v>
      </c>
      <c r="D5473" s="6" t="s">
        <v>5232</v>
      </c>
      <c r="E5473" s="6" t="s">
        <v>23</v>
      </c>
      <c r="F5473" s="6" t="n">
        <v>1</v>
      </c>
      <c r="G5473" s="10" t="n">
        <v>185</v>
      </c>
      <c r="H5473" s="10" t="n">
        <f aca="false">F5473*G5473</f>
        <v>185</v>
      </c>
      <c r="I5473" s="6" t="s">
        <v>5122</v>
      </c>
    </row>
    <row r="5474" customFormat="false" ht="15" hidden="false" customHeight="false" outlineLevel="0" collapsed="false">
      <c r="A5474" s="6" t="s">
        <v>10698</v>
      </c>
      <c r="B5474" s="6" t="s">
        <v>3257</v>
      </c>
      <c r="C5474" s="26" t="n">
        <v>46193</v>
      </c>
      <c r="D5474" s="6" t="s">
        <v>5458</v>
      </c>
      <c r="E5474" s="6" t="s">
        <v>24</v>
      </c>
      <c r="F5474" s="6" t="n">
        <v>1</v>
      </c>
      <c r="G5474" s="10" t="n">
        <v>503</v>
      </c>
      <c r="H5474" s="10" t="n">
        <f aca="false">F5474*G5474</f>
        <v>503</v>
      </c>
      <c r="I5474" s="6" t="s">
        <v>5125</v>
      </c>
    </row>
    <row r="5475" customFormat="false" ht="15" hidden="false" customHeight="false" outlineLevel="0" collapsed="false">
      <c r="A5475" s="6" t="s">
        <v>10699</v>
      </c>
      <c r="B5475" s="6" t="s">
        <v>4763</v>
      </c>
      <c r="C5475" s="26" t="n">
        <v>46193</v>
      </c>
      <c r="D5475" s="6" t="s">
        <v>5316</v>
      </c>
      <c r="E5475" s="6" t="s">
        <v>23</v>
      </c>
      <c r="F5475" s="6" t="n">
        <v>4</v>
      </c>
      <c r="G5475" s="10" t="n">
        <v>260</v>
      </c>
      <c r="H5475" s="10" t="n">
        <f aca="false">F5475*G5475</f>
        <v>1040</v>
      </c>
      <c r="I5475" s="6" t="s">
        <v>5148</v>
      </c>
    </row>
    <row r="5476" customFormat="false" ht="15" hidden="false" customHeight="false" outlineLevel="0" collapsed="false">
      <c r="A5476" s="6" t="s">
        <v>10700</v>
      </c>
      <c r="B5476" s="6" t="s">
        <v>819</v>
      </c>
      <c r="C5476" s="26" t="n">
        <v>46193</v>
      </c>
      <c r="D5476" s="6" t="s">
        <v>5345</v>
      </c>
      <c r="E5476" s="6" t="s">
        <v>23</v>
      </c>
      <c r="F5476" s="6" t="n">
        <v>1</v>
      </c>
      <c r="G5476" s="10" t="n">
        <v>436</v>
      </c>
      <c r="H5476" s="10" t="n">
        <f aca="false">F5476*G5476</f>
        <v>436</v>
      </c>
      <c r="I5476" s="6" t="s">
        <v>5130</v>
      </c>
    </row>
    <row r="5477" customFormat="false" ht="15" hidden="false" customHeight="false" outlineLevel="0" collapsed="false">
      <c r="A5477" s="6" t="s">
        <v>10701</v>
      </c>
      <c r="B5477" s="6" t="s">
        <v>4293</v>
      </c>
      <c r="C5477" s="26" t="n">
        <v>46193</v>
      </c>
      <c r="D5477" s="6" t="s">
        <v>5163</v>
      </c>
      <c r="E5477" s="6" t="s">
        <v>23</v>
      </c>
      <c r="F5477" s="6" t="n">
        <v>3</v>
      </c>
      <c r="G5477" s="10" t="n">
        <v>783</v>
      </c>
      <c r="H5477" s="10" t="n">
        <f aca="false">F5477*G5477</f>
        <v>2349</v>
      </c>
      <c r="I5477" s="6" t="s">
        <v>5148</v>
      </c>
    </row>
    <row r="5478" customFormat="false" ht="15" hidden="false" customHeight="false" outlineLevel="0" collapsed="false">
      <c r="A5478" s="6" t="s">
        <v>10702</v>
      </c>
      <c r="B5478" s="6" t="s">
        <v>2683</v>
      </c>
      <c r="C5478" s="26" t="n">
        <v>46193</v>
      </c>
      <c r="D5478" s="6" t="s">
        <v>5202</v>
      </c>
      <c r="E5478" s="6" t="s">
        <v>23</v>
      </c>
      <c r="F5478" s="6" t="n">
        <v>2</v>
      </c>
      <c r="G5478" s="10" t="n">
        <v>233</v>
      </c>
      <c r="H5478" s="10" t="n">
        <f aca="false">F5478*G5478</f>
        <v>466</v>
      </c>
      <c r="I5478" s="6" t="s">
        <v>5122</v>
      </c>
    </row>
    <row r="5479" customFormat="false" ht="15" hidden="false" customHeight="false" outlineLevel="0" collapsed="false">
      <c r="A5479" s="6" t="s">
        <v>10703</v>
      </c>
      <c r="B5479" s="6" t="s">
        <v>5093</v>
      </c>
      <c r="C5479" s="26" t="n">
        <v>46193</v>
      </c>
      <c r="D5479" s="6" t="s">
        <v>5318</v>
      </c>
      <c r="E5479" s="6" t="s">
        <v>20</v>
      </c>
      <c r="F5479" s="6" t="n">
        <v>1</v>
      </c>
      <c r="G5479" s="10" t="n">
        <v>1528</v>
      </c>
      <c r="H5479" s="10" t="n">
        <f aca="false">F5479*G5479</f>
        <v>1528</v>
      </c>
      <c r="I5479" s="6" t="s">
        <v>5122</v>
      </c>
    </row>
    <row r="5480" customFormat="false" ht="15" hidden="false" customHeight="false" outlineLevel="0" collapsed="false">
      <c r="A5480" s="6" t="s">
        <v>10704</v>
      </c>
      <c r="B5480" s="6" t="s">
        <v>2339</v>
      </c>
      <c r="C5480" s="26" t="n">
        <v>46193</v>
      </c>
      <c r="D5480" s="6" t="s">
        <v>5194</v>
      </c>
      <c r="E5480" s="6" t="s">
        <v>22</v>
      </c>
      <c r="F5480" s="6" t="n">
        <v>1</v>
      </c>
      <c r="G5480" s="10" t="n">
        <v>2151</v>
      </c>
      <c r="H5480" s="10" t="n">
        <f aca="false">F5480*G5480</f>
        <v>2151</v>
      </c>
      <c r="I5480" s="6" t="s">
        <v>5148</v>
      </c>
    </row>
    <row r="5481" customFormat="false" ht="15" hidden="false" customHeight="false" outlineLevel="0" collapsed="false">
      <c r="A5481" s="6" t="s">
        <v>10705</v>
      </c>
      <c r="B5481" s="6" t="s">
        <v>3859</v>
      </c>
      <c r="C5481" s="26" t="n">
        <v>46193</v>
      </c>
      <c r="D5481" s="6" t="s">
        <v>5129</v>
      </c>
      <c r="E5481" s="6" t="s">
        <v>21</v>
      </c>
      <c r="F5481" s="6" t="n">
        <v>1</v>
      </c>
      <c r="G5481" s="10" t="n">
        <v>530</v>
      </c>
      <c r="H5481" s="10" t="n">
        <f aca="false">F5481*G5481</f>
        <v>530</v>
      </c>
      <c r="I5481" s="6" t="s">
        <v>5122</v>
      </c>
    </row>
    <row r="5482" customFormat="false" ht="15" hidden="false" customHeight="false" outlineLevel="0" collapsed="false">
      <c r="A5482" s="6" t="s">
        <v>10706</v>
      </c>
      <c r="B5482" s="6" t="s">
        <v>1841</v>
      </c>
      <c r="C5482" s="26" t="n">
        <v>46193</v>
      </c>
      <c r="D5482" s="6" t="s">
        <v>5129</v>
      </c>
      <c r="E5482" s="6" t="s">
        <v>21</v>
      </c>
      <c r="F5482" s="6" t="n">
        <v>1</v>
      </c>
      <c r="G5482" s="10" t="n">
        <v>530</v>
      </c>
      <c r="H5482" s="10" t="n">
        <f aca="false">F5482*G5482</f>
        <v>530</v>
      </c>
      <c r="I5482" s="6" t="s">
        <v>5122</v>
      </c>
    </row>
    <row r="5483" customFormat="false" ht="15" hidden="false" customHeight="false" outlineLevel="0" collapsed="false">
      <c r="A5483" s="6" t="s">
        <v>10707</v>
      </c>
      <c r="B5483" s="6" t="s">
        <v>3617</v>
      </c>
      <c r="C5483" s="26" t="n">
        <v>46194</v>
      </c>
      <c r="D5483" s="6" t="s">
        <v>5185</v>
      </c>
      <c r="E5483" s="6" t="s">
        <v>24</v>
      </c>
      <c r="F5483" s="6" t="n">
        <v>1</v>
      </c>
      <c r="G5483" s="10" t="n">
        <v>1926</v>
      </c>
      <c r="H5483" s="10" t="n">
        <f aca="false">F5483*G5483</f>
        <v>1926</v>
      </c>
      <c r="I5483" s="6" t="s">
        <v>5122</v>
      </c>
    </row>
    <row r="5484" customFormat="false" ht="15" hidden="false" customHeight="false" outlineLevel="0" collapsed="false">
      <c r="A5484" s="6" t="s">
        <v>10708</v>
      </c>
      <c r="B5484" s="6" t="s">
        <v>3149</v>
      </c>
      <c r="C5484" s="26" t="n">
        <v>46194</v>
      </c>
      <c r="D5484" s="6" t="s">
        <v>5482</v>
      </c>
      <c r="E5484" s="6" t="s">
        <v>23</v>
      </c>
      <c r="F5484" s="6" t="n">
        <v>1</v>
      </c>
      <c r="G5484" s="10" t="n">
        <v>269</v>
      </c>
      <c r="H5484" s="10" t="n">
        <f aca="false">F5484*G5484</f>
        <v>269</v>
      </c>
      <c r="I5484" s="6" t="s">
        <v>5148</v>
      </c>
    </row>
    <row r="5485" customFormat="false" ht="15" hidden="false" customHeight="false" outlineLevel="0" collapsed="false">
      <c r="A5485" s="6" t="s">
        <v>10709</v>
      </c>
      <c r="B5485" s="6" t="s">
        <v>781</v>
      </c>
      <c r="C5485" s="26" t="n">
        <v>46194</v>
      </c>
      <c r="D5485" s="6" t="s">
        <v>5423</v>
      </c>
      <c r="E5485" s="6" t="s">
        <v>21</v>
      </c>
      <c r="F5485" s="6" t="n">
        <v>1</v>
      </c>
      <c r="G5485" s="10" t="n">
        <v>3081</v>
      </c>
      <c r="H5485" s="10" t="n">
        <f aca="false">F5485*G5485</f>
        <v>3081</v>
      </c>
      <c r="I5485" s="6" t="s">
        <v>5122</v>
      </c>
    </row>
    <row r="5486" customFormat="false" ht="15" hidden="false" customHeight="false" outlineLevel="0" collapsed="false">
      <c r="A5486" s="6" t="s">
        <v>10710</v>
      </c>
      <c r="B5486" s="6" t="s">
        <v>4587</v>
      </c>
      <c r="C5486" s="26" t="n">
        <v>46194</v>
      </c>
      <c r="D5486" s="6" t="s">
        <v>5135</v>
      </c>
      <c r="E5486" s="6" t="s">
        <v>23</v>
      </c>
      <c r="F5486" s="6" t="n">
        <v>4</v>
      </c>
      <c r="G5486" s="10" t="n">
        <v>441</v>
      </c>
      <c r="H5486" s="10" t="n">
        <f aca="false">F5486*G5486</f>
        <v>1764</v>
      </c>
      <c r="I5486" s="6" t="s">
        <v>5122</v>
      </c>
    </row>
    <row r="5487" customFormat="false" ht="15" hidden="false" customHeight="false" outlineLevel="0" collapsed="false">
      <c r="A5487" s="6" t="s">
        <v>10711</v>
      </c>
      <c r="B5487" s="6" t="s">
        <v>3017</v>
      </c>
      <c r="C5487" s="26" t="n">
        <v>46194</v>
      </c>
      <c r="D5487" s="6" t="s">
        <v>5121</v>
      </c>
      <c r="E5487" s="6" t="s">
        <v>22</v>
      </c>
      <c r="F5487" s="6" t="n">
        <v>3</v>
      </c>
      <c r="G5487" s="10" t="n">
        <v>880</v>
      </c>
      <c r="H5487" s="10" t="n">
        <f aca="false">F5487*G5487</f>
        <v>2640</v>
      </c>
      <c r="I5487" s="6" t="s">
        <v>5122</v>
      </c>
    </row>
    <row r="5488" customFormat="false" ht="15" hidden="false" customHeight="false" outlineLevel="0" collapsed="false">
      <c r="A5488" s="6" t="s">
        <v>10712</v>
      </c>
      <c r="B5488" s="6" t="s">
        <v>2909</v>
      </c>
      <c r="C5488" s="26" t="n">
        <v>46194</v>
      </c>
      <c r="D5488" s="6" t="s">
        <v>5143</v>
      </c>
      <c r="E5488" s="6" t="s">
        <v>21</v>
      </c>
      <c r="F5488" s="6" t="n">
        <v>1</v>
      </c>
      <c r="G5488" s="10" t="n">
        <v>1179</v>
      </c>
      <c r="H5488" s="10" t="n">
        <f aca="false">F5488*G5488</f>
        <v>1179</v>
      </c>
      <c r="I5488" s="6" t="s">
        <v>5122</v>
      </c>
    </row>
    <row r="5489" customFormat="false" ht="15" hidden="false" customHeight="false" outlineLevel="0" collapsed="false">
      <c r="A5489" s="6" t="s">
        <v>10713</v>
      </c>
      <c r="B5489" s="6" t="s">
        <v>3325</v>
      </c>
      <c r="C5489" s="26" t="n">
        <v>46194</v>
      </c>
      <c r="D5489" s="6" t="s">
        <v>5188</v>
      </c>
      <c r="E5489" s="6" t="s">
        <v>24</v>
      </c>
      <c r="F5489" s="6" t="n">
        <v>2</v>
      </c>
      <c r="G5489" s="10" t="n">
        <v>1018</v>
      </c>
      <c r="H5489" s="10" t="n">
        <f aca="false">F5489*G5489</f>
        <v>2036</v>
      </c>
      <c r="I5489" s="6" t="s">
        <v>5122</v>
      </c>
    </row>
    <row r="5490" customFormat="false" ht="15" hidden="false" customHeight="false" outlineLevel="0" collapsed="false">
      <c r="A5490" s="6" t="s">
        <v>10714</v>
      </c>
      <c r="B5490" s="6" t="s">
        <v>2363</v>
      </c>
      <c r="C5490" s="26" t="n">
        <v>46194</v>
      </c>
      <c r="D5490" s="6" t="s">
        <v>5326</v>
      </c>
      <c r="E5490" s="6" t="s">
        <v>22</v>
      </c>
      <c r="F5490" s="6" t="n">
        <v>1</v>
      </c>
      <c r="G5490" s="10" t="n">
        <v>1466</v>
      </c>
      <c r="H5490" s="10" t="n">
        <f aca="false">F5490*G5490</f>
        <v>1466</v>
      </c>
      <c r="I5490" s="6" t="s">
        <v>5122</v>
      </c>
    </row>
    <row r="5491" customFormat="false" ht="15" hidden="false" customHeight="false" outlineLevel="0" collapsed="false">
      <c r="A5491" s="6" t="s">
        <v>10715</v>
      </c>
      <c r="B5491" s="6" t="s">
        <v>154</v>
      </c>
      <c r="C5491" s="26" t="n">
        <v>46194</v>
      </c>
      <c r="D5491" s="6" t="s">
        <v>5216</v>
      </c>
      <c r="E5491" s="6" t="s">
        <v>23</v>
      </c>
      <c r="F5491" s="6" t="n">
        <v>2</v>
      </c>
      <c r="G5491" s="10" t="n">
        <v>587</v>
      </c>
      <c r="H5491" s="10" t="n">
        <f aca="false">F5491*G5491</f>
        <v>1174</v>
      </c>
      <c r="I5491" s="6" t="s">
        <v>5122</v>
      </c>
    </row>
    <row r="5492" customFormat="false" ht="15" hidden="false" customHeight="false" outlineLevel="0" collapsed="false">
      <c r="A5492" s="6" t="s">
        <v>10716</v>
      </c>
      <c r="B5492" s="6" t="s">
        <v>5057</v>
      </c>
      <c r="C5492" s="26" t="n">
        <v>46194</v>
      </c>
      <c r="D5492" s="6" t="s">
        <v>5167</v>
      </c>
      <c r="E5492" s="6" t="s">
        <v>22</v>
      </c>
      <c r="F5492" s="6" t="n">
        <v>2</v>
      </c>
      <c r="G5492" s="10" t="n">
        <v>782</v>
      </c>
      <c r="H5492" s="10" t="n">
        <f aca="false">F5492*G5492</f>
        <v>1564</v>
      </c>
      <c r="I5492" s="6" t="s">
        <v>5130</v>
      </c>
    </row>
    <row r="5493" customFormat="false" ht="15" hidden="false" customHeight="false" outlineLevel="0" collapsed="false">
      <c r="A5493" s="6" t="s">
        <v>10717</v>
      </c>
      <c r="B5493" s="6" t="s">
        <v>1887</v>
      </c>
      <c r="C5493" s="26" t="n">
        <v>46194</v>
      </c>
      <c r="D5493" s="6" t="s">
        <v>5197</v>
      </c>
      <c r="E5493" s="6" t="s">
        <v>21</v>
      </c>
      <c r="F5493" s="6" t="n">
        <v>1</v>
      </c>
      <c r="G5493" s="10" t="n">
        <v>1080</v>
      </c>
      <c r="H5493" s="10" t="n">
        <f aca="false">F5493*G5493</f>
        <v>1080</v>
      </c>
      <c r="I5493" s="6" t="s">
        <v>5130</v>
      </c>
    </row>
    <row r="5494" customFormat="false" ht="15" hidden="false" customHeight="false" outlineLevel="0" collapsed="false">
      <c r="A5494" s="6" t="s">
        <v>10718</v>
      </c>
      <c r="B5494" s="6" t="s">
        <v>1659</v>
      </c>
      <c r="C5494" s="26" t="n">
        <v>46194</v>
      </c>
      <c r="D5494" s="6" t="s">
        <v>5171</v>
      </c>
      <c r="E5494" s="6" t="s">
        <v>23</v>
      </c>
      <c r="F5494" s="6" t="n">
        <v>4</v>
      </c>
      <c r="G5494" s="10" t="n">
        <v>734</v>
      </c>
      <c r="H5494" s="10" t="n">
        <f aca="false">F5494*G5494</f>
        <v>2936</v>
      </c>
      <c r="I5494" s="6" t="s">
        <v>5130</v>
      </c>
    </row>
    <row r="5495" customFormat="false" ht="15" hidden="false" customHeight="false" outlineLevel="0" collapsed="false">
      <c r="A5495" s="6" t="s">
        <v>10719</v>
      </c>
      <c r="B5495" s="6" t="s">
        <v>4175</v>
      </c>
      <c r="C5495" s="26" t="n">
        <v>46194</v>
      </c>
      <c r="D5495" s="6" t="s">
        <v>5180</v>
      </c>
      <c r="E5495" s="6" t="s">
        <v>24</v>
      </c>
      <c r="F5495" s="6" t="n">
        <v>3</v>
      </c>
      <c r="G5495" s="10" t="n">
        <v>1987</v>
      </c>
      <c r="H5495" s="10" t="n">
        <f aca="false">F5495*G5495</f>
        <v>5961</v>
      </c>
      <c r="I5495" s="6" t="s">
        <v>5122</v>
      </c>
    </row>
    <row r="5496" customFormat="false" ht="15" hidden="false" customHeight="false" outlineLevel="0" collapsed="false">
      <c r="A5496" s="6" t="s">
        <v>10720</v>
      </c>
      <c r="B5496" s="6" t="s">
        <v>1077</v>
      </c>
      <c r="C5496" s="26" t="n">
        <v>46194</v>
      </c>
      <c r="D5496" s="6" t="s">
        <v>5281</v>
      </c>
      <c r="E5496" s="6" t="s">
        <v>24</v>
      </c>
      <c r="F5496" s="6" t="n">
        <v>4</v>
      </c>
      <c r="G5496" s="10" t="n">
        <v>814</v>
      </c>
      <c r="H5496" s="10" t="n">
        <f aca="false">F5496*G5496</f>
        <v>3256</v>
      </c>
      <c r="I5496" s="6" t="s">
        <v>5148</v>
      </c>
    </row>
    <row r="5497" customFormat="false" ht="15" hidden="false" customHeight="false" outlineLevel="0" collapsed="false">
      <c r="A5497" s="6" t="s">
        <v>10721</v>
      </c>
      <c r="B5497" s="6" t="s">
        <v>879</v>
      </c>
      <c r="C5497" s="26" t="n">
        <v>46194</v>
      </c>
      <c r="D5497" s="6" t="s">
        <v>5137</v>
      </c>
      <c r="E5497" s="6" t="s">
        <v>21</v>
      </c>
      <c r="F5497" s="6" t="n">
        <v>1</v>
      </c>
      <c r="G5497" s="10" t="n">
        <v>1768</v>
      </c>
      <c r="H5497" s="10" t="n">
        <f aca="false">F5497*G5497</f>
        <v>1768</v>
      </c>
      <c r="I5497" s="6" t="s">
        <v>5122</v>
      </c>
    </row>
    <row r="5498" customFormat="false" ht="15" hidden="false" customHeight="false" outlineLevel="0" collapsed="false">
      <c r="A5498" s="6" t="s">
        <v>10722</v>
      </c>
      <c r="B5498" s="6" t="s">
        <v>1891</v>
      </c>
      <c r="C5498" s="26" t="n">
        <v>46194</v>
      </c>
      <c r="D5498" s="6" t="s">
        <v>5192</v>
      </c>
      <c r="E5498" s="6" t="s">
        <v>20</v>
      </c>
      <c r="F5498" s="6" t="n">
        <v>2</v>
      </c>
      <c r="G5498" s="10" t="n">
        <v>4078</v>
      </c>
      <c r="H5498" s="10" t="n">
        <f aca="false">F5498*G5498</f>
        <v>8156</v>
      </c>
      <c r="I5498" s="6" t="s">
        <v>5122</v>
      </c>
    </row>
    <row r="5499" customFormat="false" ht="15" hidden="false" customHeight="false" outlineLevel="0" collapsed="false">
      <c r="A5499" s="6" t="s">
        <v>10723</v>
      </c>
      <c r="B5499" s="6" t="s">
        <v>4377</v>
      </c>
      <c r="C5499" s="26" t="n">
        <v>46194</v>
      </c>
      <c r="D5499" s="6" t="s">
        <v>5345</v>
      </c>
      <c r="E5499" s="6" t="s">
        <v>23</v>
      </c>
      <c r="F5499" s="6" t="n">
        <v>2</v>
      </c>
      <c r="G5499" s="10" t="n">
        <v>436</v>
      </c>
      <c r="H5499" s="10" t="n">
        <f aca="false">F5499*G5499</f>
        <v>872</v>
      </c>
      <c r="I5499" s="6" t="s">
        <v>5130</v>
      </c>
    </row>
    <row r="5500" customFormat="false" ht="15" hidden="false" customHeight="false" outlineLevel="0" collapsed="false">
      <c r="A5500" s="6" t="s">
        <v>10724</v>
      </c>
      <c r="B5500" s="6" t="s">
        <v>3403</v>
      </c>
      <c r="C5500" s="26" t="n">
        <v>46194</v>
      </c>
      <c r="D5500" s="6" t="s">
        <v>5145</v>
      </c>
      <c r="E5500" s="6" t="s">
        <v>21</v>
      </c>
      <c r="F5500" s="6" t="n">
        <v>1</v>
      </c>
      <c r="G5500" s="10" t="n">
        <v>1277</v>
      </c>
      <c r="H5500" s="10" t="n">
        <f aca="false">F5500*G5500</f>
        <v>1277</v>
      </c>
      <c r="I5500" s="6" t="s">
        <v>5122</v>
      </c>
    </row>
    <row r="5501" customFormat="false" ht="15" hidden="false" customHeight="false" outlineLevel="0" collapsed="false">
      <c r="A5501" s="6" t="s">
        <v>10725</v>
      </c>
      <c r="B5501" s="6" t="s">
        <v>2919</v>
      </c>
      <c r="C5501" s="26" t="n">
        <v>46194</v>
      </c>
      <c r="D5501" s="6" t="s">
        <v>5687</v>
      </c>
      <c r="E5501" s="6" t="s">
        <v>20</v>
      </c>
      <c r="F5501" s="6" t="n">
        <v>1</v>
      </c>
      <c r="G5501" s="10" t="n">
        <v>1835</v>
      </c>
      <c r="H5501" s="10" t="n">
        <f aca="false">F5501*G5501</f>
        <v>1835</v>
      </c>
      <c r="I5501" s="6" t="s">
        <v>5173</v>
      </c>
    </row>
    <row r="5502" customFormat="false" ht="15" hidden="false" customHeight="false" outlineLevel="0" collapsed="false">
      <c r="A5502" s="6" t="s">
        <v>10726</v>
      </c>
      <c r="B5502" s="6" t="s">
        <v>4417</v>
      </c>
      <c r="C5502" s="26" t="n">
        <v>46194</v>
      </c>
      <c r="D5502" s="6" t="s">
        <v>5143</v>
      </c>
      <c r="E5502" s="6" t="s">
        <v>21</v>
      </c>
      <c r="F5502" s="6" t="n">
        <v>1</v>
      </c>
      <c r="G5502" s="10" t="n">
        <v>1180</v>
      </c>
      <c r="H5502" s="10" t="n">
        <f aca="false">F5502*G5502</f>
        <v>1180</v>
      </c>
      <c r="I5502" s="6" t="s">
        <v>5173</v>
      </c>
    </row>
    <row r="5503" customFormat="false" ht="15" hidden="false" customHeight="false" outlineLevel="0" collapsed="false">
      <c r="A5503" s="6" t="s">
        <v>10727</v>
      </c>
      <c r="B5503" s="6" t="s">
        <v>1807</v>
      </c>
      <c r="C5503" s="26" t="n">
        <v>46194</v>
      </c>
      <c r="D5503" s="6" t="s">
        <v>5237</v>
      </c>
      <c r="E5503" s="6" t="s">
        <v>24</v>
      </c>
      <c r="F5503" s="6" t="n">
        <v>2</v>
      </c>
      <c r="G5503" s="10" t="n">
        <v>1741</v>
      </c>
      <c r="H5503" s="10" t="n">
        <f aca="false">F5503*G5503</f>
        <v>3482</v>
      </c>
      <c r="I5503" s="6" t="s">
        <v>5122</v>
      </c>
    </row>
    <row r="5504" customFormat="false" ht="15" hidden="false" customHeight="false" outlineLevel="0" collapsed="false">
      <c r="A5504" s="6" t="s">
        <v>10728</v>
      </c>
      <c r="B5504" s="6" t="s">
        <v>4273</v>
      </c>
      <c r="C5504" s="26" t="n">
        <v>46194</v>
      </c>
      <c r="D5504" s="6" t="s">
        <v>5305</v>
      </c>
      <c r="E5504" s="6" t="s">
        <v>20</v>
      </c>
      <c r="F5504" s="6" t="n">
        <v>1</v>
      </c>
      <c r="G5504" s="10" t="n">
        <v>1631</v>
      </c>
      <c r="H5504" s="10" t="n">
        <f aca="false">F5504*G5504</f>
        <v>1631</v>
      </c>
      <c r="I5504" s="6" t="s">
        <v>5148</v>
      </c>
    </row>
    <row r="5505" customFormat="false" ht="15" hidden="false" customHeight="false" outlineLevel="0" collapsed="false">
      <c r="A5505" s="6" t="s">
        <v>10729</v>
      </c>
      <c r="B5505" s="6" t="s">
        <v>1779</v>
      </c>
      <c r="C5505" s="26" t="n">
        <v>46194</v>
      </c>
      <c r="D5505" s="6" t="s">
        <v>5235</v>
      </c>
      <c r="E5505" s="6" t="s">
        <v>21</v>
      </c>
      <c r="F5505" s="6" t="n">
        <v>1</v>
      </c>
      <c r="G5505" s="10" t="n">
        <v>1670</v>
      </c>
      <c r="H5505" s="10" t="n">
        <f aca="false">F5505*G5505</f>
        <v>1670</v>
      </c>
      <c r="I5505" s="6" t="s">
        <v>5130</v>
      </c>
    </row>
    <row r="5506" customFormat="false" ht="15" hidden="false" customHeight="false" outlineLevel="0" collapsed="false">
      <c r="A5506" s="6" t="s">
        <v>10730</v>
      </c>
      <c r="B5506" s="6" t="s">
        <v>3293</v>
      </c>
      <c r="C5506" s="26" t="n">
        <v>46194</v>
      </c>
      <c r="D5506" s="6" t="s">
        <v>5180</v>
      </c>
      <c r="E5506" s="6" t="s">
        <v>24</v>
      </c>
      <c r="F5506" s="6" t="n">
        <v>3</v>
      </c>
      <c r="G5506" s="10" t="n">
        <v>1888</v>
      </c>
      <c r="H5506" s="10" t="n">
        <f aca="false">F5506*G5506</f>
        <v>5664</v>
      </c>
      <c r="I5506" s="6" t="s">
        <v>5125</v>
      </c>
    </row>
    <row r="5507" customFormat="false" ht="15" hidden="false" customHeight="false" outlineLevel="0" collapsed="false">
      <c r="A5507" s="6" t="s">
        <v>10731</v>
      </c>
      <c r="B5507" s="6" t="s">
        <v>4235</v>
      </c>
      <c r="C5507" s="26" t="n">
        <v>46194</v>
      </c>
      <c r="D5507" s="6" t="s">
        <v>5171</v>
      </c>
      <c r="E5507" s="6" t="s">
        <v>23</v>
      </c>
      <c r="F5507" s="6" t="n">
        <v>3</v>
      </c>
      <c r="G5507" s="10" t="n">
        <v>734</v>
      </c>
      <c r="H5507" s="10" t="n">
        <f aca="false">F5507*G5507</f>
        <v>2202</v>
      </c>
      <c r="I5507" s="6" t="s">
        <v>5130</v>
      </c>
    </row>
    <row r="5508" customFormat="false" ht="15" hidden="false" customHeight="false" outlineLevel="0" collapsed="false">
      <c r="A5508" s="6" t="s">
        <v>10732</v>
      </c>
      <c r="B5508" s="6" t="s">
        <v>4739</v>
      </c>
      <c r="C5508" s="26" t="n">
        <v>46194</v>
      </c>
      <c r="D5508" s="6" t="s">
        <v>5488</v>
      </c>
      <c r="E5508" s="6" t="s">
        <v>24</v>
      </c>
      <c r="F5508" s="6" t="n">
        <v>1</v>
      </c>
      <c r="G5508" s="10" t="n">
        <v>867</v>
      </c>
      <c r="H5508" s="10" t="n">
        <f aca="false">F5508*G5508</f>
        <v>867</v>
      </c>
      <c r="I5508" s="6" t="s">
        <v>5122</v>
      </c>
    </row>
    <row r="5509" customFormat="false" ht="15" hidden="false" customHeight="false" outlineLevel="0" collapsed="false">
      <c r="A5509" s="6" t="s">
        <v>10733</v>
      </c>
      <c r="B5509" s="6" t="s">
        <v>2799</v>
      </c>
      <c r="C5509" s="26" t="n">
        <v>46194</v>
      </c>
      <c r="D5509" s="6" t="s">
        <v>5188</v>
      </c>
      <c r="E5509" s="6" t="s">
        <v>24</v>
      </c>
      <c r="F5509" s="6" t="n">
        <v>2</v>
      </c>
      <c r="G5509" s="10" t="n">
        <v>1018</v>
      </c>
      <c r="H5509" s="10" t="n">
        <f aca="false">F5509*G5509</f>
        <v>2036</v>
      </c>
      <c r="I5509" s="6" t="s">
        <v>5148</v>
      </c>
    </row>
    <row r="5510" customFormat="false" ht="15" hidden="false" customHeight="false" outlineLevel="0" collapsed="false">
      <c r="A5510" s="6" t="s">
        <v>10734</v>
      </c>
      <c r="B5510" s="6" t="s">
        <v>1577</v>
      </c>
      <c r="C5510" s="26" t="n">
        <v>46194</v>
      </c>
      <c r="D5510" s="6" t="s">
        <v>5169</v>
      </c>
      <c r="E5510" s="6" t="s">
        <v>20</v>
      </c>
      <c r="F5510" s="6" t="n">
        <v>1</v>
      </c>
      <c r="G5510" s="10" t="n">
        <v>4843</v>
      </c>
      <c r="H5510" s="10" t="n">
        <f aca="false">F5510*G5510</f>
        <v>4843</v>
      </c>
      <c r="I5510" s="6" t="s">
        <v>5122</v>
      </c>
    </row>
    <row r="5511" customFormat="false" ht="15" hidden="false" customHeight="false" outlineLevel="0" collapsed="false">
      <c r="A5511" s="6" t="s">
        <v>10735</v>
      </c>
      <c r="B5511" s="6" t="s">
        <v>2671</v>
      </c>
      <c r="C5511" s="26" t="n">
        <v>46194</v>
      </c>
      <c r="D5511" s="6" t="s">
        <v>5167</v>
      </c>
      <c r="E5511" s="6" t="s">
        <v>22</v>
      </c>
      <c r="F5511" s="6" t="n">
        <v>1</v>
      </c>
      <c r="G5511" s="10" t="n">
        <v>782</v>
      </c>
      <c r="H5511" s="10" t="n">
        <f aca="false">F5511*G5511</f>
        <v>782</v>
      </c>
      <c r="I5511" s="6" t="s">
        <v>5122</v>
      </c>
    </row>
    <row r="5512" customFormat="false" ht="15" hidden="false" customHeight="false" outlineLevel="0" collapsed="false">
      <c r="A5512" s="6" t="s">
        <v>10736</v>
      </c>
      <c r="B5512" s="6" t="s">
        <v>733</v>
      </c>
      <c r="C5512" s="26" t="n">
        <v>46194</v>
      </c>
      <c r="D5512" s="6" t="s">
        <v>5143</v>
      </c>
      <c r="E5512" s="6" t="s">
        <v>21</v>
      </c>
      <c r="F5512" s="6" t="n">
        <v>1</v>
      </c>
      <c r="G5512" s="10" t="n">
        <v>1179</v>
      </c>
      <c r="H5512" s="10" t="n">
        <f aca="false">F5512*G5512</f>
        <v>1179</v>
      </c>
      <c r="I5512" s="6" t="s">
        <v>5122</v>
      </c>
    </row>
    <row r="5513" customFormat="false" ht="15" hidden="false" customHeight="false" outlineLevel="0" collapsed="false">
      <c r="A5513" s="6" t="s">
        <v>10737</v>
      </c>
      <c r="B5513" s="6" t="s">
        <v>983</v>
      </c>
      <c r="C5513" s="26" t="n">
        <v>46194</v>
      </c>
      <c r="D5513" s="6" t="s">
        <v>5458</v>
      </c>
      <c r="E5513" s="6" t="s">
        <v>24</v>
      </c>
      <c r="F5513" s="6" t="n">
        <v>1</v>
      </c>
      <c r="G5513" s="10" t="n">
        <v>559</v>
      </c>
      <c r="H5513" s="10" t="n">
        <f aca="false">F5513*G5513</f>
        <v>559</v>
      </c>
      <c r="I5513" s="6" t="s">
        <v>5148</v>
      </c>
    </row>
    <row r="5514" customFormat="false" ht="15" hidden="false" customHeight="false" outlineLevel="0" collapsed="false">
      <c r="A5514" s="6" t="s">
        <v>10738</v>
      </c>
      <c r="B5514" s="6" t="s">
        <v>2477</v>
      </c>
      <c r="C5514" s="26" t="n">
        <v>46194</v>
      </c>
      <c r="D5514" s="6" t="s">
        <v>5167</v>
      </c>
      <c r="E5514" s="6" t="s">
        <v>22</v>
      </c>
      <c r="F5514" s="6" t="n">
        <v>1</v>
      </c>
      <c r="G5514" s="10" t="n">
        <v>743</v>
      </c>
      <c r="H5514" s="10" t="n">
        <f aca="false">F5514*G5514</f>
        <v>743</v>
      </c>
      <c r="I5514" s="6" t="s">
        <v>5122</v>
      </c>
    </row>
    <row r="5515" customFormat="false" ht="15" hidden="false" customHeight="false" outlineLevel="0" collapsed="false">
      <c r="A5515" s="6" t="s">
        <v>10739</v>
      </c>
      <c r="B5515" s="6" t="s">
        <v>2269</v>
      </c>
      <c r="C5515" s="26" t="n">
        <v>46194</v>
      </c>
      <c r="D5515" s="6" t="s">
        <v>5156</v>
      </c>
      <c r="E5515" s="6" t="s">
        <v>21</v>
      </c>
      <c r="F5515" s="6" t="n">
        <v>1</v>
      </c>
      <c r="G5515" s="10" t="n">
        <v>2161</v>
      </c>
      <c r="H5515" s="10" t="n">
        <f aca="false">F5515*G5515</f>
        <v>2161</v>
      </c>
      <c r="I5515" s="6" t="s">
        <v>5122</v>
      </c>
    </row>
    <row r="5516" customFormat="false" ht="15" hidden="false" customHeight="false" outlineLevel="0" collapsed="false">
      <c r="A5516" s="6" t="s">
        <v>10740</v>
      </c>
      <c r="B5516" s="6" t="s">
        <v>2519</v>
      </c>
      <c r="C5516" s="26" t="n">
        <v>46194</v>
      </c>
      <c r="D5516" s="6" t="s">
        <v>5216</v>
      </c>
      <c r="E5516" s="6" t="s">
        <v>23</v>
      </c>
      <c r="F5516" s="6" t="n">
        <v>2</v>
      </c>
      <c r="G5516" s="10" t="n">
        <v>587</v>
      </c>
      <c r="H5516" s="10" t="n">
        <f aca="false">F5516*G5516</f>
        <v>1174</v>
      </c>
      <c r="I5516" s="6" t="s">
        <v>5122</v>
      </c>
    </row>
    <row r="5517" customFormat="false" ht="15" hidden="false" customHeight="false" outlineLevel="0" collapsed="false">
      <c r="A5517" s="6" t="s">
        <v>10741</v>
      </c>
      <c r="B5517" s="6" t="s">
        <v>3827</v>
      </c>
      <c r="C5517" s="26" t="n">
        <v>46194</v>
      </c>
      <c r="D5517" s="6" t="s">
        <v>5482</v>
      </c>
      <c r="E5517" s="6" t="s">
        <v>23</v>
      </c>
      <c r="F5517" s="6" t="n">
        <v>1</v>
      </c>
      <c r="G5517" s="10" t="n">
        <v>243</v>
      </c>
      <c r="H5517" s="10" t="n">
        <f aca="false">F5517*G5517</f>
        <v>243</v>
      </c>
      <c r="I5517" s="6" t="s">
        <v>5122</v>
      </c>
    </row>
    <row r="5518" customFormat="false" ht="15" hidden="false" customHeight="false" outlineLevel="0" collapsed="false">
      <c r="A5518" s="6" t="s">
        <v>10742</v>
      </c>
      <c r="B5518" s="6" t="s">
        <v>4673</v>
      </c>
      <c r="C5518" s="26" t="n">
        <v>46194</v>
      </c>
      <c r="D5518" s="6" t="s">
        <v>5200</v>
      </c>
      <c r="E5518" s="6" t="s">
        <v>24</v>
      </c>
      <c r="F5518" s="6" t="n">
        <v>2</v>
      </c>
      <c r="G5518" s="10" t="n">
        <v>687</v>
      </c>
      <c r="H5518" s="10" t="n">
        <f aca="false">F5518*G5518</f>
        <v>1374</v>
      </c>
      <c r="I5518" s="6" t="s">
        <v>5122</v>
      </c>
    </row>
    <row r="5519" customFormat="false" ht="15" hidden="false" customHeight="false" outlineLevel="0" collapsed="false">
      <c r="A5519" s="6" t="s">
        <v>10743</v>
      </c>
      <c r="B5519" s="6" t="s">
        <v>833</v>
      </c>
      <c r="C5519" s="26" t="n">
        <v>46194</v>
      </c>
      <c r="D5519" s="6" t="s">
        <v>5147</v>
      </c>
      <c r="E5519" s="6" t="s">
        <v>24</v>
      </c>
      <c r="F5519" s="6" t="n">
        <v>1</v>
      </c>
      <c r="G5519" s="10" t="n">
        <v>661</v>
      </c>
      <c r="H5519" s="10" t="n">
        <f aca="false">F5519*G5519</f>
        <v>661</v>
      </c>
      <c r="I5519" s="6" t="s">
        <v>5148</v>
      </c>
    </row>
    <row r="5520" customFormat="false" ht="15" hidden="false" customHeight="false" outlineLevel="0" collapsed="false">
      <c r="A5520" s="6" t="s">
        <v>10744</v>
      </c>
      <c r="B5520" s="6" t="s">
        <v>3177</v>
      </c>
      <c r="C5520" s="26" t="n">
        <v>46194</v>
      </c>
      <c r="D5520" s="6" t="s">
        <v>5458</v>
      </c>
      <c r="E5520" s="6" t="s">
        <v>24</v>
      </c>
      <c r="F5520" s="6" t="n">
        <v>2</v>
      </c>
      <c r="G5520" s="10" t="n">
        <v>559</v>
      </c>
      <c r="H5520" s="10" t="n">
        <f aca="false">F5520*G5520</f>
        <v>1118</v>
      </c>
      <c r="I5520" s="6" t="s">
        <v>5125</v>
      </c>
    </row>
    <row r="5521" customFormat="false" ht="15" hidden="false" customHeight="false" outlineLevel="0" collapsed="false">
      <c r="A5521" s="6" t="s">
        <v>10745</v>
      </c>
      <c r="B5521" s="6" t="s">
        <v>4419</v>
      </c>
      <c r="C5521" s="26" t="n">
        <v>46195</v>
      </c>
      <c r="D5521" s="6" t="s">
        <v>5129</v>
      </c>
      <c r="E5521" s="6" t="s">
        <v>21</v>
      </c>
      <c r="F5521" s="6" t="n">
        <v>1</v>
      </c>
      <c r="G5521" s="10" t="n">
        <v>530</v>
      </c>
      <c r="H5521" s="10" t="n">
        <f aca="false">F5521*G5521</f>
        <v>530</v>
      </c>
      <c r="I5521" s="6" t="s">
        <v>5148</v>
      </c>
    </row>
    <row r="5522" customFormat="false" ht="15" hidden="false" customHeight="false" outlineLevel="0" collapsed="false">
      <c r="A5522" s="6" t="s">
        <v>10746</v>
      </c>
      <c r="B5522" s="6" t="s">
        <v>4679</v>
      </c>
      <c r="C5522" s="26" t="n">
        <v>46195</v>
      </c>
      <c r="D5522" s="6" t="s">
        <v>5121</v>
      </c>
      <c r="E5522" s="6" t="s">
        <v>22</v>
      </c>
      <c r="F5522" s="6" t="n">
        <v>1</v>
      </c>
      <c r="G5522" s="10" t="n">
        <v>976</v>
      </c>
      <c r="H5522" s="10" t="n">
        <f aca="false">F5522*G5522</f>
        <v>976</v>
      </c>
      <c r="I5522" s="6" t="s">
        <v>5122</v>
      </c>
    </row>
    <row r="5523" customFormat="false" ht="15" hidden="false" customHeight="false" outlineLevel="0" collapsed="false">
      <c r="A5523" s="6" t="s">
        <v>10747</v>
      </c>
      <c r="B5523" s="6" t="s">
        <v>5055</v>
      </c>
      <c r="C5523" s="26" t="n">
        <v>46195</v>
      </c>
      <c r="D5523" s="6" t="s">
        <v>5216</v>
      </c>
      <c r="E5523" s="6" t="s">
        <v>23</v>
      </c>
      <c r="F5523" s="6" t="n">
        <v>3</v>
      </c>
      <c r="G5523" s="10" t="n">
        <v>558</v>
      </c>
      <c r="H5523" s="10" t="n">
        <f aca="false">F5523*G5523</f>
        <v>1674</v>
      </c>
      <c r="I5523" s="6" t="s">
        <v>5122</v>
      </c>
    </row>
    <row r="5524" customFormat="false" ht="15" hidden="false" customHeight="false" outlineLevel="0" collapsed="false">
      <c r="A5524" s="6" t="s">
        <v>10748</v>
      </c>
      <c r="B5524" s="6" t="s">
        <v>4221</v>
      </c>
      <c r="C5524" s="26" t="n">
        <v>46195</v>
      </c>
      <c r="D5524" s="6" t="s">
        <v>5216</v>
      </c>
      <c r="E5524" s="6" t="s">
        <v>23</v>
      </c>
      <c r="F5524" s="6" t="n">
        <v>1</v>
      </c>
      <c r="G5524" s="10" t="n">
        <v>558</v>
      </c>
      <c r="H5524" s="10" t="n">
        <f aca="false">F5524*G5524</f>
        <v>558</v>
      </c>
      <c r="I5524" s="6" t="s">
        <v>5122</v>
      </c>
    </row>
    <row r="5525" customFormat="false" ht="15" hidden="false" customHeight="false" outlineLevel="0" collapsed="false">
      <c r="A5525" s="6" t="s">
        <v>10749</v>
      </c>
      <c r="B5525" s="6" t="s">
        <v>4979</v>
      </c>
      <c r="C5525" s="26" t="n">
        <v>46195</v>
      </c>
      <c r="D5525" s="6" t="s">
        <v>5357</v>
      </c>
      <c r="E5525" s="6" t="s">
        <v>23</v>
      </c>
      <c r="F5525" s="6" t="n">
        <v>2</v>
      </c>
      <c r="G5525" s="10" t="n">
        <v>534</v>
      </c>
      <c r="H5525" s="10" t="n">
        <f aca="false">F5525*G5525</f>
        <v>1068</v>
      </c>
      <c r="I5525" s="6" t="s">
        <v>5125</v>
      </c>
    </row>
    <row r="5526" customFormat="false" ht="15" hidden="false" customHeight="false" outlineLevel="0" collapsed="false">
      <c r="A5526" s="6" t="s">
        <v>10750</v>
      </c>
      <c r="B5526" s="6" t="s">
        <v>4437</v>
      </c>
      <c r="C5526" s="26" t="n">
        <v>46195</v>
      </c>
      <c r="D5526" s="6" t="s">
        <v>5165</v>
      </c>
      <c r="E5526" s="6" t="s">
        <v>22</v>
      </c>
      <c r="F5526" s="6" t="n">
        <v>1</v>
      </c>
      <c r="G5526" s="10" t="n">
        <v>976</v>
      </c>
      <c r="H5526" s="10" t="n">
        <f aca="false">F5526*G5526</f>
        <v>976</v>
      </c>
      <c r="I5526" s="6" t="s">
        <v>5133</v>
      </c>
    </row>
    <row r="5527" customFormat="false" ht="15" hidden="false" customHeight="false" outlineLevel="0" collapsed="false">
      <c r="A5527" s="6" t="s">
        <v>10751</v>
      </c>
      <c r="B5527" s="6" t="s">
        <v>1575</v>
      </c>
      <c r="C5527" s="26" t="n">
        <v>46195</v>
      </c>
      <c r="D5527" s="6" t="s">
        <v>5156</v>
      </c>
      <c r="E5527" s="6" t="s">
        <v>21</v>
      </c>
      <c r="F5527" s="6" t="n">
        <v>1</v>
      </c>
      <c r="G5527" s="10" t="n">
        <v>2161</v>
      </c>
      <c r="H5527" s="10" t="n">
        <f aca="false">F5527*G5527</f>
        <v>2161</v>
      </c>
      <c r="I5527" s="6" t="s">
        <v>5133</v>
      </c>
    </row>
    <row r="5528" customFormat="false" ht="15" hidden="false" customHeight="false" outlineLevel="0" collapsed="false">
      <c r="A5528" s="6" t="s">
        <v>10752</v>
      </c>
      <c r="B5528" s="6" t="s">
        <v>4921</v>
      </c>
      <c r="C5528" s="26" t="n">
        <v>46195</v>
      </c>
      <c r="D5528" s="6" t="s">
        <v>5488</v>
      </c>
      <c r="E5528" s="6" t="s">
        <v>24</v>
      </c>
      <c r="F5528" s="6" t="n">
        <v>1</v>
      </c>
      <c r="G5528" s="10" t="n">
        <v>866</v>
      </c>
      <c r="H5528" s="10" t="n">
        <f aca="false">F5528*G5528</f>
        <v>866</v>
      </c>
      <c r="I5528" s="6" t="s">
        <v>5122</v>
      </c>
    </row>
    <row r="5529" customFormat="false" ht="15" hidden="false" customHeight="false" outlineLevel="0" collapsed="false">
      <c r="A5529" s="6" t="s">
        <v>10753</v>
      </c>
      <c r="B5529" s="6" t="s">
        <v>1271</v>
      </c>
      <c r="C5529" s="26" t="n">
        <v>46195</v>
      </c>
      <c r="D5529" s="6" t="s">
        <v>5488</v>
      </c>
      <c r="E5529" s="6" t="s">
        <v>24</v>
      </c>
      <c r="F5529" s="6" t="n">
        <v>2</v>
      </c>
      <c r="G5529" s="10" t="n">
        <v>866</v>
      </c>
      <c r="H5529" s="10" t="n">
        <f aca="false">F5529*G5529</f>
        <v>1732</v>
      </c>
      <c r="I5529" s="6" t="s">
        <v>5122</v>
      </c>
    </row>
    <row r="5530" customFormat="false" ht="15" hidden="false" customHeight="false" outlineLevel="0" collapsed="false">
      <c r="A5530" s="6" t="s">
        <v>10754</v>
      </c>
      <c r="B5530" s="6" t="s">
        <v>4653</v>
      </c>
      <c r="C5530" s="26" t="n">
        <v>46195</v>
      </c>
      <c r="D5530" s="6" t="s">
        <v>5269</v>
      </c>
      <c r="E5530" s="6" t="s">
        <v>22</v>
      </c>
      <c r="F5530" s="6" t="n">
        <v>1</v>
      </c>
      <c r="G5530" s="10" t="n">
        <v>1143</v>
      </c>
      <c r="H5530" s="10" t="n">
        <f aca="false">F5530*G5530</f>
        <v>1143</v>
      </c>
      <c r="I5530" s="6" t="s">
        <v>5122</v>
      </c>
    </row>
    <row r="5531" customFormat="false" ht="15" hidden="false" customHeight="false" outlineLevel="0" collapsed="false">
      <c r="A5531" s="6" t="s">
        <v>10755</v>
      </c>
      <c r="B5531" s="6" t="s">
        <v>3921</v>
      </c>
      <c r="C5531" s="26" t="n">
        <v>46195</v>
      </c>
      <c r="D5531" s="6" t="s">
        <v>5163</v>
      </c>
      <c r="E5531" s="6" t="s">
        <v>23</v>
      </c>
      <c r="F5531" s="6" t="n">
        <v>2</v>
      </c>
      <c r="G5531" s="10" t="n">
        <v>705</v>
      </c>
      <c r="H5531" s="10" t="n">
        <f aca="false">F5531*G5531</f>
        <v>1410</v>
      </c>
      <c r="I5531" s="6" t="s">
        <v>5122</v>
      </c>
    </row>
    <row r="5532" customFormat="false" ht="15" hidden="false" customHeight="false" outlineLevel="0" collapsed="false">
      <c r="A5532" s="6" t="s">
        <v>10756</v>
      </c>
      <c r="B5532" s="6" t="s">
        <v>374</v>
      </c>
      <c r="C5532" s="26" t="n">
        <v>46195</v>
      </c>
      <c r="D5532" s="6" t="s">
        <v>5165</v>
      </c>
      <c r="E5532" s="6" t="s">
        <v>22</v>
      </c>
      <c r="F5532" s="6" t="n">
        <v>2</v>
      </c>
      <c r="G5532" s="10" t="n">
        <v>880</v>
      </c>
      <c r="H5532" s="10" t="n">
        <f aca="false">F5532*G5532</f>
        <v>1760</v>
      </c>
      <c r="I5532" s="6" t="s">
        <v>5125</v>
      </c>
    </row>
    <row r="5533" customFormat="false" ht="15" hidden="false" customHeight="false" outlineLevel="0" collapsed="false">
      <c r="A5533" s="6" t="s">
        <v>10757</v>
      </c>
      <c r="B5533" s="6" t="s">
        <v>2487</v>
      </c>
      <c r="C5533" s="26" t="n">
        <v>46195</v>
      </c>
      <c r="D5533" s="6" t="s">
        <v>5127</v>
      </c>
      <c r="E5533" s="6" t="s">
        <v>21</v>
      </c>
      <c r="F5533" s="6" t="n">
        <v>1</v>
      </c>
      <c r="G5533" s="10" t="n">
        <v>884</v>
      </c>
      <c r="H5533" s="10" t="n">
        <f aca="false">F5533*G5533</f>
        <v>884</v>
      </c>
      <c r="I5533" s="6" t="s">
        <v>5122</v>
      </c>
    </row>
    <row r="5534" customFormat="false" ht="15" hidden="false" customHeight="false" outlineLevel="0" collapsed="false">
      <c r="A5534" s="6" t="s">
        <v>10758</v>
      </c>
      <c r="B5534" s="6" t="s">
        <v>4719</v>
      </c>
      <c r="C5534" s="26" t="n">
        <v>46195</v>
      </c>
      <c r="D5534" s="6" t="s">
        <v>5167</v>
      </c>
      <c r="E5534" s="6" t="s">
        <v>22</v>
      </c>
      <c r="F5534" s="6" t="n">
        <v>2</v>
      </c>
      <c r="G5534" s="10" t="n">
        <v>743</v>
      </c>
      <c r="H5534" s="10" t="n">
        <f aca="false">F5534*G5534</f>
        <v>1486</v>
      </c>
      <c r="I5534" s="6" t="s">
        <v>5130</v>
      </c>
    </row>
    <row r="5535" customFormat="false" ht="15" hidden="false" customHeight="false" outlineLevel="0" collapsed="false">
      <c r="A5535" s="6" t="s">
        <v>10759</v>
      </c>
      <c r="B5535" s="6" t="s">
        <v>1781</v>
      </c>
      <c r="C5535" s="26" t="n">
        <v>46195</v>
      </c>
      <c r="D5535" s="6" t="s">
        <v>5216</v>
      </c>
      <c r="E5535" s="6" t="s">
        <v>23</v>
      </c>
      <c r="F5535" s="6" t="n">
        <v>4</v>
      </c>
      <c r="G5535" s="10" t="n">
        <v>528</v>
      </c>
      <c r="H5535" s="10" t="n">
        <f aca="false">F5535*G5535</f>
        <v>2112</v>
      </c>
      <c r="I5535" s="6" t="s">
        <v>5125</v>
      </c>
    </row>
    <row r="5536" customFormat="false" ht="15" hidden="false" customHeight="false" outlineLevel="0" collapsed="false">
      <c r="A5536" s="6" t="s">
        <v>10760</v>
      </c>
      <c r="B5536" s="6" t="s">
        <v>4263</v>
      </c>
      <c r="C5536" s="26" t="n">
        <v>46195</v>
      </c>
      <c r="D5536" s="6" t="s">
        <v>5150</v>
      </c>
      <c r="E5536" s="6" t="s">
        <v>24</v>
      </c>
      <c r="F5536" s="6" t="n">
        <v>2</v>
      </c>
      <c r="G5536" s="10" t="n">
        <v>508</v>
      </c>
      <c r="H5536" s="10" t="n">
        <f aca="false">F5536*G5536</f>
        <v>1016</v>
      </c>
      <c r="I5536" s="6" t="s">
        <v>5122</v>
      </c>
    </row>
    <row r="5537" customFormat="false" ht="15" hidden="false" customHeight="false" outlineLevel="0" collapsed="false">
      <c r="A5537" s="6" t="s">
        <v>10761</v>
      </c>
      <c r="B5537" s="6" t="s">
        <v>3037</v>
      </c>
      <c r="C5537" s="26" t="n">
        <v>46195</v>
      </c>
      <c r="D5537" s="6" t="s">
        <v>5357</v>
      </c>
      <c r="E5537" s="6" t="s">
        <v>23</v>
      </c>
      <c r="F5537" s="6" t="n">
        <v>2</v>
      </c>
      <c r="G5537" s="10" t="n">
        <v>534</v>
      </c>
      <c r="H5537" s="10" t="n">
        <f aca="false">F5537*G5537</f>
        <v>1068</v>
      </c>
      <c r="I5537" s="6" t="s">
        <v>5122</v>
      </c>
    </row>
    <row r="5538" customFormat="false" ht="15" hidden="false" customHeight="false" outlineLevel="0" collapsed="false">
      <c r="A5538" s="6" t="s">
        <v>10762</v>
      </c>
      <c r="B5538" s="6" t="s">
        <v>635</v>
      </c>
      <c r="C5538" s="26" t="n">
        <v>46195</v>
      </c>
      <c r="D5538" s="6" t="s">
        <v>5171</v>
      </c>
      <c r="E5538" s="6" t="s">
        <v>23</v>
      </c>
      <c r="F5538" s="6" t="n">
        <v>3</v>
      </c>
      <c r="G5538" s="10" t="n">
        <v>734</v>
      </c>
      <c r="H5538" s="10" t="n">
        <f aca="false">F5538*G5538</f>
        <v>2202</v>
      </c>
      <c r="I5538" s="6" t="s">
        <v>5148</v>
      </c>
    </row>
    <row r="5539" customFormat="false" ht="15" hidden="false" customHeight="false" outlineLevel="0" collapsed="false">
      <c r="A5539" s="6" t="s">
        <v>10763</v>
      </c>
      <c r="B5539" s="6" t="s">
        <v>4471</v>
      </c>
      <c r="C5539" s="26" t="n">
        <v>46195</v>
      </c>
      <c r="D5539" s="6" t="s">
        <v>5214</v>
      </c>
      <c r="E5539" s="6" t="s">
        <v>20</v>
      </c>
      <c r="F5539" s="6" t="n">
        <v>2</v>
      </c>
      <c r="G5539" s="10" t="n">
        <v>2039</v>
      </c>
      <c r="H5539" s="10" t="n">
        <f aca="false">F5539*G5539</f>
        <v>4078</v>
      </c>
      <c r="I5539" s="6" t="s">
        <v>5130</v>
      </c>
    </row>
    <row r="5540" customFormat="false" ht="15" hidden="false" customHeight="false" outlineLevel="0" collapsed="false">
      <c r="A5540" s="6" t="s">
        <v>10764</v>
      </c>
      <c r="B5540" s="6" t="s">
        <v>915</v>
      </c>
      <c r="C5540" s="26" t="n">
        <v>46195</v>
      </c>
      <c r="D5540" s="6" t="s">
        <v>5132</v>
      </c>
      <c r="E5540" s="6" t="s">
        <v>23</v>
      </c>
      <c r="F5540" s="6" t="n">
        <v>1</v>
      </c>
      <c r="G5540" s="10" t="n">
        <v>325</v>
      </c>
      <c r="H5540" s="10" t="n">
        <f aca="false">F5540*G5540</f>
        <v>325</v>
      </c>
      <c r="I5540" s="6" t="s">
        <v>5122</v>
      </c>
    </row>
    <row r="5541" customFormat="false" ht="15" hidden="false" customHeight="false" outlineLevel="0" collapsed="false">
      <c r="A5541" s="6" t="s">
        <v>10765</v>
      </c>
      <c r="B5541" s="6" t="s">
        <v>2419</v>
      </c>
      <c r="C5541" s="26" t="n">
        <v>46195</v>
      </c>
      <c r="D5541" s="6" t="s">
        <v>5482</v>
      </c>
      <c r="E5541" s="6" t="s">
        <v>23</v>
      </c>
      <c r="F5541" s="6" t="n">
        <v>3</v>
      </c>
      <c r="G5541" s="10" t="n">
        <v>269</v>
      </c>
      <c r="H5541" s="10" t="n">
        <f aca="false">F5541*G5541</f>
        <v>807</v>
      </c>
      <c r="I5541" s="6" t="s">
        <v>5122</v>
      </c>
    </row>
    <row r="5542" customFormat="false" ht="15" hidden="false" customHeight="false" outlineLevel="0" collapsed="false">
      <c r="A5542" s="6" t="s">
        <v>10766</v>
      </c>
      <c r="B5542" s="6" t="s">
        <v>1737</v>
      </c>
      <c r="C5542" s="26" t="n">
        <v>46195</v>
      </c>
      <c r="D5542" s="6" t="s">
        <v>5242</v>
      </c>
      <c r="E5542" s="6" t="s">
        <v>23</v>
      </c>
      <c r="F5542" s="6" t="n">
        <v>1</v>
      </c>
      <c r="G5542" s="10" t="n">
        <v>372</v>
      </c>
      <c r="H5542" s="10" t="n">
        <f aca="false">F5542*G5542</f>
        <v>372</v>
      </c>
      <c r="I5542" s="6" t="s">
        <v>5122</v>
      </c>
    </row>
    <row r="5543" customFormat="false" ht="15" hidden="false" customHeight="false" outlineLevel="0" collapsed="false">
      <c r="A5543" s="6" t="s">
        <v>10767</v>
      </c>
      <c r="B5543" s="6" t="s">
        <v>541</v>
      </c>
      <c r="C5543" s="26" t="n">
        <v>46195</v>
      </c>
      <c r="D5543" s="6" t="s">
        <v>5216</v>
      </c>
      <c r="E5543" s="6" t="s">
        <v>23</v>
      </c>
      <c r="F5543" s="6" t="n">
        <v>5</v>
      </c>
      <c r="G5543" s="10" t="n">
        <v>558</v>
      </c>
      <c r="H5543" s="10" t="n">
        <f aca="false">F5543*G5543</f>
        <v>2790</v>
      </c>
      <c r="I5543" s="6" t="s">
        <v>5173</v>
      </c>
    </row>
    <row r="5544" customFormat="false" ht="15" hidden="false" customHeight="false" outlineLevel="0" collapsed="false">
      <c r="A5544" s="6" t="s">
        <v>10768</v>
      </c>
      <c r="B5544" s="6" t="s">
        <v>2849</v>
      </c>
      <c r="C5544" s="26" t="n">
        <v>46195</v>
      </c>
      <c r="D5544" s="6" t="s">
        <v>5353</v>
      </c>
      <c r="E5544" s="6" t="s">
        <v>24</v>
      </c>
      <c r="F5544" s="6" t="n">
        <v>1</v>
      </c>
      <c r="G5544" s="10" t="n">
        <v>1629</v>
      </c>
      <c r="H5544" s="10" t="n">
        <f aca="false">F5544*G5544</f>
        <v>1629</v>
      </c>
      <c r="I5544" s="6" t="s">
        <v>5122</v>
      </c>
    </row>
    <row r="5545" customFormat="false" ht="15" hidden="false" customHeight="false" outlineLevel="0" collapsed="false">
      <c r="A5545" s="6" t="s">
        <v>10769</v>
      </c>
      <c r="B5545" s="6" t="s">
        <v>1493</v>
      </c>
      <c r="C5545" s="26" t="n">
        <v>46195</v>
      </c>
      <c r="D5545" s="6" t="s">
        <v>5171</v>
      </c>
      <c r="E5545" s="6" t="s">
        <v>23</v>
      </c>
      <c r="F5545" s="6" t="n">
        <v>1</v>
      </c>
      <c r="G5545" s="10" t="n">
        <v>734</v>
      </c>
      <c r="H5545" s="10" t="n">
        <f aca="false">F5545*G5545</f>
        <v>734</v>
      </c>
      <c r="I5545" s="6" t="s">
        <v>5122</v>
      </c>
    </row>
    <row r="5546" customFormat="false" ht="15" hidden="false" customHeight="false" outlineLevel="0" collapsed="false">
      <c r="A5546" s="6" t="s">
        <v>10770</v>
      </c>
      <c r="B5546" s="6" t="s">
        <v>3423</v>
      </c>
      <c r="C5546" s="26" t="n">
        <v>46195</v>
      </c>
      <c r="D5546" s="6" t="s">
        <v>5169</v>
      </c>
      <c r="E5546" s="6" t="s">
        <v>20</v>
      </c>
      <c r="F5546" s="6" t="n">
        <v>1</v>
      </c>
      <c r="G5546" s="10" t="n">
        <v>4842</v>
      </c>
      <c r="H5546" s="10" t="n">
        <f aca="false">F5546*G5546</f>
        <v>4842</v>
      </c>
      <c r="I5546" s="6" t="s">
        <v>5122</v>
      </c>
    </row>
    <row r="5547" customFormat="false" ht="15" hidden="false" customHeight="false" outlineLevel="0" collapsed="false">
      <c r="A5547" s="6" t="s">
        <v>10771</v>
      </c>
      <c r="B5547" s="6" t="s">
        <v>4687</v>
      </c>
      <c r="C5547" s="26" t="n">
        <v>46195</v>
      </c>
      <c r="D5547" s="6" t="s">
        <v>5169</v>
      </c>
      <c r="E5547" s="6" t="s">
        <v>20</v>
      </c>
      <c r="F5547" s="6" t="n">
        <v>1</v>
      </c>
      <c r="G5547" s="10" t="n">
        <v>4588</v>
      </c>
      <c r="H5547" s="10" t="n">
        <f aca="false">F5547*G5547</f>
        <v>4588</v>
      </c>
      <c r="I5547" s="6" t="s">
        <v>5122</v>
      </c>
    </row>
    <row r="5548" customFormat="false" ht="15" hidden="false" customHeight="false" outlineLevel="0" collapsed="false">
      <c r="A5548" s="6" t="s">
        <v>10772</v>
      </c>
      <c r="B5548" s="6" t="s">
        <v>3357</v>
      </c>
      <c r="C5548" s="26" t="n">
        <v>46195</v>
      </c>
      <c r="D5548" s="6" t="s">
        <v>5197</v>
      </c>
      <c r="E5548" s="6" t="s">
        <v>21</v>
      </c>
      <c r="F5548" s="6" t="n">
        <v>1</v>
      </c>
      <c r="G5548" s="10" t="n">
        <v>972</v>
      </c>
      <c r="H5548" s="10" t="n">
        <f aca="false">F5548*G5548</f>
        <v>972</v>
      </c>
      <c r="I5548" s="6" t="s">
        <v>5125</v>
      </c>
    </row>
    <row r="5549" customFormat="false" ht="15" hidden="false" customHeight="false" outlineLevel="0" collapsed="false">
      <c r="A5549" s="6" t="s">
        <v>10773</v>
      </c>
      <c r="B5549" s="6" t="s">
        <v>451</v>
      </c>
      <c r="C5549" s="26" t="n">
        <v>46195</v>
      </c>
      <c r="D5549" s="6" t="s">
        <v>5171</v>
      </c>
      <c r="E5549" s="6" t="s">
        <v>23</v>
      </c>
      <c r="F5549" s="6" t="n">
        <v>3</v>
      </c>
      <c r="G5549" s="10" t="n">
        <v>697</v>
      </c>
      <c r="H5549" s="10" t="n">
        <f aca="false">F5549*G5549</f>
        <v>2091</v>
      </c>
      <c r="I5549" s="6" t="s">
        <v>5133</v>
      </c>
    </row>
    <row r="5550" customFormat="false" ht="15" hidden="false" customHeight="false" outlineLevel="0" collapsed="false">
      <c r="A5550" s="6" t="s">
        <v>10774</v>
      </c>
      <c r="B5550" s="6" t="s">
        <v>2597</v>
      </c>
      <c r="C5550" s="26" t="n">
        <v>46195</v>
      </c>
      <c r="D5550" s="6" t="s">
        <v>5139</v>
      </c>
      <c r="E5550" s="6" t="s">
        <v>23</v>
      </c>
      <c r="F5550" s="6" t="n">
        <v>2</v>
      </c>
      <c r="G5550" s="10" t="n">
        <v>279</v>
      </c>
      <c r="H5550" s="10" t="n">
        <f aca="false">F5550*G5550</f>
        <v>558</v>
      </c>
      <c r="I5550" s="6" t="s">
        <v>5122</v>
      </c>
    </row>
    <row r="5551" customFormat="false" ht="15" hidden="false" customHeight="false" outlineLevel="0" collapsed="false">
      <c r="A5551" s="6" t="s">
        <v>10775</v>
      </c>
      <c r="B5551" s="6" t="s">
        <v>781</v>
      </c>
      <c r="C5551" s="26" t="n">
        <v>46195</v>
      </c>
      <c r="D5551" s="6" t="s">
        <v>5185</v>
      </c>
      <c r="E5551" s="6" t="s">
        <v>24</v>
      </c>
      <c r="F5551" s="6" t="n">
        <v>3</v>
      </c>
      <c r="G5551" s="10" t="n">
        <v>2140</v>
      </c>
      <c r="H5551" s="10" t="n">
        <f aca="false">F5551*G5551</f>
        <v>6420</v>
      </c>
      <c r="I5551" s="6" t="s">
        <v>5133</v>
      </c>
    </row>
    <row r="5552" customFormat="false" ht="15" hidden="false" customHeight="false" outlineLevel="0" collapsed="false">
      <c r="A5552" s="6" t="s">
        <v>10776</v>
      </c>
      <c r="B5552" s="6" t="s">
        <v>2747</v>
      </c>
      <c r="C5552" s="26" t="n">
        <v>46195</v>
      </c>
      <c r="D5552" s="6" t="s">
        <v>5139</v>
      </c>
      <c r="E5552" s="6" t="s">
        <v>23</v>
      </c>
      <c r="F5552" s="6" t="n">
        <v>1</v>
      </c>
      <c r="G5552" s="10" t="n">
        <v>251</v>
      </c>
      <c r="H5552" s="10" t="n">
        <f aca="false">F5552*G5552</f>
        <v>251</v>
      </c>
      <c r="I5552" s="6" t="s">
        <v>5122</v>
      </c>
    </row>
    <row r="5553" customFormat="false" ht="15" hidden="false" customHeight="false" outlineLevel="0" collapsed="false">
      <c r="A5553" s="6" t="s">
        <v>10777</v>
      </c>
      <c r="B5553" s="6" t="s">
        <v>2995</v>
      </c>
      <c r="C5553" s="26" t="n">
        <v>46195</v>
      </c>
      <c r="D5553" s="6" t="s">
        <v>5303</v>
      </c>
      <c r="E5553" s="6" t="s">
        <v>22</v>
      </c>
      <c r="F5553" s="6" t="n">
        <v>2</v>
      </c>
      <c r="G5553" s="10" t="n">
        <v>2445</v>
      </c>
      <c r="H5553" s="10" t="n">
        <f aca="false">F5553*G5553</f>
        <v>4890</v>
      </c>
      <c r="I5553" s="6" t="s">
        <v>5122</v>
      </c>
    </row>
    <row r="5554" customFormat="false" ht="15" hidden="false" customHeight="false" outlineLevel="0" collapsed="false">
      <c r="A5554" s="6" t="s">
        <v>10778</v>
      </c>
      <c r="B5554" s="6" t="s">
        <v>2779</v>
      </c>
      <c r="C5554" s="26" t="n">
        <v>46195</v>
      </c>
      <c r="D5554" s="6" t="s">
        <v>5169</v>
      </c>
      <c r="E5554" s="6" t="s">
        <v>20</v>
      </c>
      <c r="F5554" s="6" t="n">
        <v>1</v>
      </c>
      <c r="G5554" s="10" t="n">
        <v>5098</v>
      </c>
      <c r="H5554" s="10" t="n">
        <f aca="false">F5554*G5554</f>
        <v>5098</v>
      </c>
      <c r="I5554" s="6" t="s">
        <v>5173</v>
      </c>
    </row>
    <row r="5555" customFormat="false" ht="15" hidden="false" customHeight="false" outlineLevel="0" collapsed="false">
      <c r="A5555" s="6" t="s">
        <v>10779</v>
      </c>
      <c r="B5555" s="6" t="s">
        <v>2485</v>
      </c>
      <c r="C5555" s="26" t="n">
        <v>46195</v>
      </c>
      <c r="D5555" s="6" t="s">
        <v>5240</v>
      </c>
      <c r="E5555" s="6" t="s">
        <v>20</v>
      </c>
      <c r="F5555" s="6" t="n">
        <v>1</v>
      </c>
      <c r="G5555" s="10" t="n">
        <v>5098</v>
      </c>
      <c r="H5555" s="10" t="n">
        <f aca="false">F5555*G5555</f>
        <v>5098</v>
      </c>
      <c r="I5555" s="6" t="s">
        <v>5148</v>
      </c>
    </row>
    <row r="5556" customFormat="false" ht="15" hidden="false" customHeight="false" outlineLevel="0" collapsed="false">
      <c r="A5556" s="6" t="s">
        <v>10780</v>
      </c>
      <c r="B5556" s="6" t="s">
        <v>4891</v>
      </c>
      <c r="C5556" s="26" t="n">
        <v>46195</v>
      </c>
      <c r="D5556" s="6" t="s">
        <v>5318</v>
      </c>
      <c r="E5556" s="6" t="s">
        <v>20</v>
      </c>
      <c r="F5556" s="6" t="n">
        <v>1</v>
      </c>
      <c r="G5556" s="10" t="n">
        <v>1376</v>
      </c>
      <c r="H5556" s="10" t="n">
        <f aca="false">F5556*G5556</f>
        <v>1376</v>
      </c>
      <c r="I5556" s="6" t="s">
        <v>5148</v>
      </c>
    </row>
    <row r="5557" customFormat="false" ht="15" hidden="false" customHeight="false" outlineLevel="0" collapsed="false">
      <c r="A5557" s="6" t="s">
        <v>10781</v>
      </c>
      <c r="B5557" s="6" t="s">
        <v>130</v>
      </c>
      <c r="C5557" s="26" t="n">
        <v>46195</v>
      </c>
      <c r="D5557" s="6" t="s">
        <v>5188</v>
      </c>
      <c r="E5557" s="6" t="s">
        <v>24</v>
      </c>
      <c r="F5557" s="6" t="n">
        <v>3</v>
      </c>
      <c r="G5557" s="10" t="n">
        <v>1018</v>
      </c>
      <c r="H5557" s="10" t="n">
        <f aca="false">F5557*G5557</f>
        <v>3054</v>
      </c>
      <c r="I5557" s="6" t="s">
        <v>5173</v>
      </c>
    </row>
    <row r="5558" customFormat="false" ht="15" hidden="false" customHeight="false" outlineLevel="0" collapsed="false">
      <c r="A5558" s="6" t="s">
        <v>10782</v>
      </c>
      <c r="B5558" s="6" t="s">
        <v>3571</v>
      </c>
      <c r="C5558" s="26" t="n">
        <v>46195</v>
      </c>
      <c r="D5558" s="6" t="s">
        <v>5167</v>
      </c>
      <c r="E5558" s="6" t="s">
        <v>22</v>
      </c>
      <c r="F5558" s="6" t="n">
        <v>1</v>
      </c>
      <c r="G5558" s="10" t="n">
        <v>782</v>
      </c>
      <c r="H5558" s="10" t="n">
        <f aca="false">F5558*G5558</f>
        <v>782</v>
      </c>
      <c r="I5558" s="6" t="s">
        <v>5148</v>
      </c>
    </row>
    <row r="5559" customFormat="false" ht="15" hidden="false" customHeight="false" outlineLevel="0" collapsed="false">
      <c r="A5559" s="6" t="s">
        <v>10783</v>
      </c>
      <c r="B5559" s="6" t="s">
        <v>1039</v>
      </c>
      <c r="C5559" s="26" t="n">
        <v>46195</v>
      </c>
      <c r="D5559" s="6" t="s">
        <v>5216</v>
      </c>
      <c r="E5559" s="6" t="s">
        <v>23</v>
      </c>
      <c r="F5559" s="6" t="n">
        <v>2</v>
      </c>
      <c r="G5559" s="10" t="n">
        <v>587</v>
      </c>
      <c r="H5559" s="10" t="n">
        <f aca="false">F5559*G5559</f>
        <v>1174</v>
      </c>
      <c r="I5559" s="6" t="s">
        <v>5122</v>
      </c>
    </row>
    <row r="5560" customFormat="false" ht="15" hidden="false" customHeight="false" outlineLevel="0" collapsed="false">
      <c r="A5560" s="6" t="s">
        <v>10784</v>
      </c>
      <c r="B5560" s="6" t="s">
        <v>1057</v>
      </c>
      <c r="C5560" s="26" t="n">
        <v>46195</v>
      </c>
      <c r="D5560" s="6" t="s">
        <v>5216</v>
      </c>
      <c r="E5560" s="6" t="s">
        <v>23</v>
      </c>
      <c r="F5560" s="6" t="n">
        <v>3</v>
      </c>
      <c r="G5560" s="10" t="n">
        <v>528</v>
      </c>
      <c r="H5560" s="10" t="n">
        <f aca="false">F5560*G5560</f>
        <v>1584</v>
      </c>
      <c r="I5560" s="6" t="s">
        <v>5148</v>
      </c>
    </row>
    <row r="5561" customFormat="false" ht="15" hidden="false" customHeight="false" outlineLevel="0" collapsed="false">
      <c r="A5561" s="6" t="s">
        <v>10785</v>
      </c>
      <c r="B5561" s="6" t="s">
        <v>1121</v>
      </c>
      <c r="C5561" s="26" t="n">
        <v>46195</v>
      </c>
      <c r="D5561" s="6" t="s">
        <v>5163</v>
      </c>
      <c r="E5561" s="6" t="s">
        <v>23</v>
      </c>
      <c r="F5561" s="6" t="n">
        <v>3</v>
      </c>
      <c r="G5561" s="10" t="n">
        <v>783</v>
      </c>
      <c r="H5561" s="10" t="n">
        <f aca="false">F5561*G5561</f>
        <v>2349</v>
      </c>
      <c r="I5561" s="6" t="s">
        <v>5130</v>
      </c>
    </row>
    <row r="5562" customFormat="false" ht="15" hidden="false" customHeight="false" outlineLevel="0" collapsed="false">
      <c r="A5562" s="6" t="s">
        <v>10786</v>
      </c>
      <c r="B5562" s="6" t="s">
        <v>3711</v>
      </c>
      <c r="C5562" s="26" t="n">
        <v>46195</v>
      </c>
      <c r="D5562" s="6" t="s">
        <v>5269</v>
      </c>
      <c r="E5562" s="6" t="s">
        <v>22</v>
      </c>
      <c r="F5562" s="6" t="n">
        <v>2</v>
      </c>
      <c r="G5562" s="10" t="n">
        <v>1271</v>
      </c>
      <c r="H5562" s="10" t="n">
        <f aca="false">F5562*G5562</f>
        <v>2542</v>
      </c>
      <c r="I5562" s="6" t="s">
        <v>5122</v>
      </c>
    </row>
    <row r="5563" customFormat="false" ht="15" hidden="false" customHeight="false" outlineLevel="0" collapsed="false">
      <c r="A5563" s="6" t="s">
        <v>10787</v>
      </c>
      <c r="B5563" s="6" t="s">
        <v>3963</v>
      </c>
      <c r="C5563" s="26" t="n">
        <v>46195</v>
      </c>
      <c r="D5563" s="6" t="s">
        <v>5357</v>
      </c>
      <c r="E5563" s="6" t="s">
        <v>23</v>
      </c>
      <c r="F5563" s="6" t="n">
        <v>2</v>
      </c>
      <c r="G5563" s="10" t="n">
        <v>534</v>
      </c>
      <c r="H5563" s="10" t="n">
        <f aca="false">F5563*G5563</f>
        <v>1068</v>
      </c>
      <c r="I5563" s="6" t="s">
        <v>5148</v>
      </c>
    </row>
    <row r="5564" customFormat="false" ht="15" hidden="false" customHeight="false" outlineLevel="0" collapsed="false">
      <c r="A5564" s="6" t="s">
        <v>10788</v>
      </c>
      <c r="B5564" s="6" t="s">
        <v>1965</v>
      </c>
      <c r="C5564" s="26" t="n">
        <v>46195</v>
      </c>
      <c r="D5564" s="6" t="s">
        <v>5167</v>
      </c>
      <c r="E5564" s="6" t="s">
        <v>22</v>
      </c>
      <c r="F5564" s="6" t="n">
        <v>1</v>
      </c>
      <c r="G5564" s="10" t="n">
        <v>782</v>
      </c>
      <c r="H5564" s="10" t="n">
        <f aca="false">F5564*G5564</f>
        <v>782</v>
      </c>
      <c r="I5564" s="6" t="s">
        <v>5148</v>
      </c>
    </row>
    <row r="5565" customFormat="false" ht="15" hidden="false" customHeight="false" outlineLevel="0" collapsed="false">
      <c r="A5565" s="6" t="s">
        <v>10789</v>
      </c>
      <c r="B5565" s="6" t="s">
        <v>2279</v>
      </c>
      <c r="C5565" s="26" t="n">
        <v>46195</v>
      </c>
      <c r="D5565" s="6" t="s">
        <v>5175</v>
      </c>
      <c r="E5565" s="6" t="s">
        <v>24</v>
      </c>
      <c r="F5565" s="6" t="n">
        <v>2</v>
      </c>
      <c r="G5565" s="10" t="n">
        <v>580</v>
      </c>
      <c r="H5565" s="10" t="n">
        <f aca="false">F5565*G5565</f>
        <v>1160</v>
      </c>
      <c r="I5565" s="6" t="s">
        <v>5122</v>
      </c>
    </row>
    <row r="5566" customFormat="false" ht="15" hidden="false" customHeight="false" outlineLevel="0" collapsed="false">
      <c r="A5566" s="6" t="s">
        <v>10790</v>
      </c>
      <c r="B5566" s="6" t="s">
        <v>5079</v>
      </c>
      <c r="C5566" s="26" t="n">
        <v>46195</v>
      </c>
      <c r="D5566" s="6" t="s">
        <v>5167</v>
      </c>
      <c r="E5566" s="6" t="s">
        <v>22</v>
      </c>
      <c r="F5566" s="6" t="n">
        <v>1</v>
      </c>
      <c r="G5566" s="10" t="n">
        <v>782</v>
      </c>
      <c r="H5566" s="10" t="n">
        <f aca="false">F5566*G5566</f>
        <v>782</v>
      </c>
      <c r="I5566" s="6" t="s">
        <v>5148</v>
      </c>
    </row>
    <row r="5567" customFormat="false" ht="15" hidden="false" customHeight="false" outlineLevel="0" collapsed="false">
      <c r="A5567" s="6" t="s">
        <v>10791</v>
      </c>
      <c r="B5567" s="6" t="s">
        <v>4901</v>
      </c>
      <c r="C5567" s="26" t="n">
        <v>46195</v>
      </c>
      <c r="D5567" s="6" t="s">
        <v>5538</v>
      </c>
      <c r="E5567" s="6" t="s">
        <v>21</v>
      </c>
      <c r="F5567" s="6" t="n">
        <v>1</v>
      </c>
      <c r="G5567" s="10" t="n">
        <v>4865</v>
      </c>
      <c r="H5567" s="10" t="n">
        <f aca="false">F5567*G5567</f>
        <v>4865</v>
      </c>
      <c r="I5567" s="6" t="s">
        <v>5133</v>
      </c>
    </row>
    <row r="5568" customFormat="false" ht="15" hidden="false" customHeight="false" outlineLevel="0" collapsed="false">
      <c r="A5568" s="6" t="s">
        <v>10792</v>
      </c>
      <c r="B5568" s="6" t="s">
        <v>4965</v>
      </c>
      <c r="C5568" s="26" t="n">
        <v>46195</v>
      </c>
      <c r="D5568" s="6" t="s">
        <v>5245</v>
      </c>
      <c r="E5568" s="6" t="s">
        <v>21</v>
      </c>
      <c r="F5568" s="6" t="n">
        <v>1</v>
      </c>
      <c r="G5568" s="10" t="n">
        <v>2456</v>
      </c>
      <c r="H5568" s="10" t="n">
        <f aca="false">F5568*G5568</f>
        <v>2456</v>
      </c>
      <c r="I5568" s="6" t="s">
        <v>5122</v>
      </c>
    </row>
    <row r="5569" customFormat="false" ht="15" hidden="false" customHeight="false" outlineLevel="0" collapsed="false">
      <c r="A5569" s="6" t="s">
        <v>10793</v>
      </c>
      <c r="B5569" s="6" t="s">
        <v>3457</v>
      </c>
      <c r="C5569" s="26" t="n">
        <v>46195</v>
      </c>
      <c r="D5569" s="6" t="s">
        <v>5410</v>
      </c>
      <c r="E5569" s="6" t="s">
        <v>20</v>
      </c>
      <c r="F5569" s="6" t="n">
        <v>1</v>
      </c>
      <c r="G5569" s="10" t="n">
        <v>2548</v>
      </c>
      <c r="H5569" s="10" t="n">
        <f aca="false">F5569*G5569</f>
        <v>2548</v>
      </c>
      <c r="I5569" s="6" t="s">
        <v>5133</v>
      </c>
    </row>
    <row r="5570" customFormat="false" ht="15" hidden="false" customHeight="false" outlineLevel="0" collapsed="false">
      <c r="A5570" s="6" t="s">
        <v>10794</v>
      </c>
      <c r="B5570" s="6" t="s">
        <v>2867</v>
      </c>
      <c r="C5570" s="26" t="n">
        <v>46195</v>
      </c>
      <c r="D5570" s="6" t="s">
        <v>5456</v>
      </c>
      <c r="E5570" s="6" t="s">
        <v>24</v>
      </c>
      <c r="F5570" s="6" t="n">
        <v>1</v>
      </c>
      <c r="G5570" s="10" t="n">
        <v>821</v>
      </c>
      <c r="H5570" s="10" t="n">
        <f aca="false">F5570*G5570</f>
        <v>821</v>
      </c>
      <c r="I5570" s="6" t="s">
        <v>5130</v>
      </c>
    </row>
    <row r="5571" customFormat="false" ht="15" hidden="false" customHeight="false" outlineLevel="0" collapsed="false">
      <c r="A5571" s="6" t="s">
        <v>10795</v>
      </c>
      <c r="B5571" s="6" t="s">
        <v>1513</v>
      </c>
      <c r="C5571" s="26" t="n">
        <v>46195</v>
      </c>
      <c r="D5571" s="6" t="s">
        <v>6114</v>
      </c>
      <c r="E5571" s="6" t="s">
        <v>20</v>
      </c>
      <c r="F5571" s="6" t="n">
        <v>1</v>
      </c>
      <c r="G5571" s="10" t="n">
        <v>12593</v>
      </c>
      <c r="H5571" s="10" t="n">
        <f aca="false">F5571*G5571</f>
        <v>12593</v>
      </c>
      <c r="I5571" s="6" t="s">
        <v>5122</v>
      </c>
    </row>
    <row r="5572" customFormat="false" ht="15" hidden="false" customHeight="false" outlineLevel="0" collapsed="false">
      <c r="A5572" s="6" t="s">
        <v>10796</v>
      </c>
      <c r="B5572" s="6" t="s">
        <v>2501</v>
      </c>
      <c r="C5572" s="26" t="n">
        <v>46195</v>
      </c>
      <c r="D5572" s="6" t="s">
        <v>5143</v>
      </c>
      <c r="E5572" s="6" t="s">
        <v>21</v>
      </c>
      <c r="F5572" s="6" t="n">
        <v>1</v>
      </c>
      <c r="G5572" s="10" t="n">
        <v>1179</v>
      </c>
      <c r="H5572" s="10" t="n">
        <f aca="false">F5572*G5572</f>
        <v>1179</v>
      </c>
      <c r="I5572" s="6" t="s">
        <v>5133</v>
      </c>
    </row>
    <row r="5573" customFormat="false" ht="15" hidden="false" customHeight="false" outlineLevel="0" collapsed="false">
      <c r="A5573" s="6" t="s">
        <v>10797</v>
      </c>
      <c r="B5573" s="6" t="s">
        <v>3791</v>
      </c>
      <c r="C5573" s="26" t="n">
        <v>46195</v>
      </c>
      <c r="D5573" s="6" t="s">
        <v>5154</v>
      </c>
      <c r="E5573" s="6" t="s">
        <v>21</v>
      </c>
      <c r="F5573" s="6" t="n">
        <v>3</v>
      </c>
      <c r="G5573" s="10" t="n">
        <v>785</v>
      </c>
      <c r="H5573" s="10" t="n">
        <f aca="false">F5573*G5573</f>
        <v>2355</v>
      </c>
      <c r="I5573" s="6" t="s">
        <v>5122</v>
      </c>
    </row>
    <row r="5574" customFormat="false" ht="15" hidden="false" customHeight="false" outlineLevel="0" collapsed="false">
      <c r="A5574" s="6" t="s">
        <v>10798</v>
      </c>
      <c r="B5574" s="6" t="s">
        <v>2979</v>
      </c>
      <c r="C5574" s="26" t="n">
        <v>46195</v>
      </c>
      <c r="D5574" s="6" t="s">
        <v>5588</v>
      </c>
      <c r="E5574" s="6" t="s">
        <v>21</v>
      </c>
      <c r="F5574" s="6" t="n">
        <v>1</v>
      </c>
      <c r="G5574" s="10" t="n">
        <v>10615</v>
      </c>
      <c r="H5574" s="10" t="n">
        <f aca="false">F5574*G5574</f>
        <v>10615</v>
      </c>
      <c r="I5574" s="6" t="s">
        <v>5122</v>
      </c>
    </row>
    <row r="5575" customFormat="false" ht="15" hidden="false" customHeight="false" outlineLevel="0" collapsed="false">
      <c r="A5575" s="6" t="s">
        <v>10799</v>
      </c>
      <c r="B5575" s="6" t="s">
        <v>1415</v>
      </c>
      <c r="C5575" s="26" t="n">
        <v>46196</v>
      </c>
      <c r="D5575" s="6" t="s">
        <v>5121</v>
      </c>
      <c r="E5575" s="6" t="s">
        <v>22</v>
      </c>
      <c r="F5575" s="6" t="n">
        <v>1</v>
      </c>
      <c r="G5575" s="10" t="n">
        <v>928</v>
      </c>
      <c r="H5575" s="10" t="n">
        <f aca="false">F5575*G5575</f>
        <v>928</v>
      </c>
      <c r="I5575" s="6" t="s">
        <v>5125</v>
      </c>
    </row>
    <row r="5576" customFormat="false" ht="15" hidden="false" customHeight="false" outlineLevel="0" collapsed="false">
      <c r="A5576" s="6" t="s">
        <v>10800</v>
      </c>
      <c r="B5576" s="6" t="s">
        <v>837</v>
      </c>
      <c r="C5576" s="26" t="n">
        <v>46196</v>
      </c>
      <c r="D5576" s="6" t="s">
        <v>5237</v>
      </c>
      <c r="E5576" s="6" t="s">
        <v>24</v>
      </c>
      <c r="F5576" s="6" t="n">
        <v>3</v>
      </c>
      <c r="G5576" s="10" t="n">
        <v>1741</v>
      </c>
      <c r="H5576" s="10" t="n">
        <f aca="false">F5576*G5576</f>
        <v>5223</v>
      </c>
      <c r="I5576" s="6" t="s">
        <v>5133</v>
      </c>
    </row>
    <row r="5577" customFormat="false" ht="15" hidden="false" customHeight="false" outlineLevel="0" collapsed="false">
      <c r="A5577" s="6" t="s">
        <v>10801</v>
      </c>
      <c r="B5577" s="6" t="s">
        <v>4531</v>
      </c>
      <c r="C5577" s="26" t="n">
        <v>46196</v>
      </c>
      <c r="D5577" s="6" t="s">
        <v>5143</v>
      </c>
      <c r="E5577" s="6" t="s">
        <v>21</v>
      </c>
      <c r="F5577" s="6" t="n">
        <v>1</v>
      </c>
      <c r="G5577" s="10" t="n">
        <v>1061</v>
      </c>
      <c r="H5577" s="10" t="n">
        <f aca="false">F5577*G5577</f>
        <v>1061</v>
      </c>
      <c r="I5577" s="6" t="s">
        <v>5122</v>
      </c>
    </row>
    <row r="5578" customFormat="false" ht="15" hidden="false" customHeight="false" outlineLevel="0" collapsed="false">
      <c r="A5578" s="6" t="s">
        <v>10802</v>
      </c>
      <c r="B5578" s="6" t="s">
        <v>2803</v>
      </c>
      <c r="C5578" s="26" t="n">
        <v>46196</v>
      </c>
      <c r="D5578" s="6" t="s">
        <v>5180</v>
      </c>
      <c r="E5578" s="6" t="s">
        <v>24</v>
      </c>
      <c r="F5578" s="6" t="n">
        <v>4</v>
      </c>
      <c r="G5578" s="10" t="n">
        <v>1987</v>
      </c>
      <c r="H5578" s="10" t="n">
        <f aca="false">F5578*G5578</f>
        <v>7948</v>
      </c>
      <c r="I5578" s="6" t="s">
        <v>5122</v>
      </c>
    </row>
    <row r="5579" customFormat="false" ht="15" hidden="false" customHeight="false" outlineLevel="0" collapsed="false">
      <c r="A5579" s="6" t="s">
        <v>10803</v>
      </c>
      <c r="B5579" s="6" t="s">
        <v>1453</v>
      </c>
      <c r="C5579" s="26" t="n">
        <v>46196</v>
      </c>
      <c r="D5579" s="6" t="s">
        <v>5353</v>
      </c>
      <c r="E5579" s="6" t="s">
        <v>24</v>
      </c>
      <c r="F5579" s="6" t="n">
        <v>2</v>
      </c>
      <c r="G5579" s="10" t="n">
        <v>1548</v>
      </c>
      <c r="H5579" s="10" t="n">
        <f aca="false">F5579*G5579</f>
        <v>3096</v>
      </c>
      <c r="I5579" s="6" t="s">
        <v>5122</v>
      </c>
    </row>
    <row r="5580" customFormat="false" ht="15" hidden="false" customHeight="false" outlineLevel="0" collapsed="false">
      <c r="A5580" s="6" t="s">
        <v>10804</v>
      </c>
      <c r="B5580" s="6" t="s">
        <v>517</v>
      </c>
      <c r="C5580" s="26" t="n">
        <v>46196</v>
      </c>
      <c r="D5580" s="6" t="s">
        <v>5154</v>
      </c>
      <c r="E5580" s="6" t="s">
        <v>21</v>
      </c>
      <c r="F5580" s="6" t="n">
        <v>1</v>
      </c>
      <c r="G5580" s="10" t="n">
        <v>785</v>
      </c>
      <c r="H5580" s="10" t="n">
        <f aca="false">F5580*G5580</f>
        <v>785</v>
      </c>
      <c r="I5580" s="6" t="s">
        <v>5130</v>
      </c>
    </row>
    <row r="5581" customFormat="false" ht="15" hidden="false" customHeight="false" outlineLevel="0" collapsed="false">
      <c r="A5581" s="6" t="s">
        <v>10805</v>
      </c>
      <c r="B5581" s="6" t="s">
        <v>356</v>
      </c>
      <c r="C5581" s="26" t="n">
        <v>46196</v>
      </c>
      <c r="D5581" s="6" t="s">
        <v>5163</v>
      </c>
      <c r="E5581" s="6" t="s">
        <v>23</v>
      </c>
      <c r="F5581" s="6" t="n">
        <v>3</v>
      </c>
      <c r="G5581" s="10" t="n">
        <v>783</v>
      </c>
      <c r="H5581" s="10" t="n">
        <f aca="false">F5581*G5581</f>
        <v>2349</v>
      </c>
      <c r="I5581" s="6" t="s">
        <v>5130</v>
      </c>
    </row>
    <row r="5582" customFormat="false" ht="15" hidden="false" customHeight="false" outlineLevel="0" collapsed="false">
      <c r="A5582" s="6" t="s">
        <v>10806</v>
      </c>
      <c r="B5582" s="6" t="s">
        <v>4527</v>
      </c>
      <c r="C5582" s="26" t="n">
        <v>46196</v>
      </c>
      <c r="D5582" s="6" t="s">
        <v>5167</v>
      </c>
      <c r="E5582" s="6" t="s">
        <v>22</v>
      </c>
      <c r="F5582" s="6" t="n">
        <v>1</v>
      </c>
      <c r="G5582" s="10" t="n">
        <v>782</v>
      </c>
      <c r="H5582" s="10" t="n">
        <f aca="false">F5582*G5582</f>
        <v>782</v>
      </c>
      <c r="I5582" s="6" t="s">
        <v>5148</v>
      </c>
    </row>
    <row r="5583" customFormat="false" ht="15" hidden="false" customHeight="false" outlineLevel="0" collapsed="false">
      <c r="A5583" s="6" t="s">
        <v>10807</v>
      </c>
      <c r="B5583" s="6" t="s">
        <v>3495</v>
      </c>
      <c r="C5583" s="26" t="n">
        <v>46196</v>
      </c>
      <c r="D5583" s="6" t="s">
        <v>5163</v>
      </c>
      <c r="E5583" s="6" t="s">
        <v>23</v>
      </c>
      <c r="F5583" s="6" t="n">
        <v>4</v>
      </c>
      <c r="G5583" s="10" t="n">
        <v>783</v>
      </c>
      <c r="H5583" s="10" t="n">
        <f aca="false">F5583*G5583</f>
        <v>3132</v>
      </c>
      <c r="I5583" s="6" t="s">
        <v>5122</v>
      </c>
    </row>
    <row r="5584" customFormat="false" ht="15" hidden="false" customHeight="false" outlineLevel="0" collapsed="false">
      <c r="A5584" s="6" t="s">
        <v>10808</v>
      </c>
      <c r="B5584" s="6" t="s">
        <v>4345</v>
      </c>
      <c r="C5584" s="26" t="n">
        <v>46196</v>
      </c>
      <c r="D5584" s="6" t="s">
        <v>5145</v>
      </c>
      <c r="E5584" s="6" t="s">
        <v>21</v>
      </c>
      <c r="F5584" s="6" t="n">
        <v>2</v>
      </c>
      <c r="G5584" s="10" t="n">
        <v>1277</v>
      </c>
      <c r="H5584" s="10" t="n">
        <f aca="false">F5584*G5584</f>
        <v>2554</v>
      </c>
      <c r="I5584" s="6" t="s">
        <v>5122</v>
      </c>
    </row>
    <row r="5585" customFormat="false" ht="15" hidden="false" customHeight="false" outlineLevel="0" collapsed="false">
      <c r="A5585" s="6" t="s">
        <v>10809</v>
      </c>
      <c r="B5585" s="6" t="s">
        <v>1323</v>
      </c>
      <c r="C5585" s="26" t="n">
        <v>46196</v>
      </c>
      <c r="D5585" s="6" t="s">
        <v>5167</v>
      </c>
      <c r="E5585" s="6" t="s">
        <v>22</v>
      </c>
      <c r="F5585" s="6" t="n">
        <v>1</v>
      </c>
      <c r="G5585" s="10" t="n">
        <v>743</v>
      </c>
      <c r="H5585" s="10" t="n">
        <f aca="false">F5585*G5585</f>
        <v>743</v>
      </c>
      <c r="I5585" s="6" t="s">
        <v>5173</v>
      </c>
    </row>
    <row r="5586" customFormat="false" ht="15" hidden="false" customHeight="false" outlineLevel="0" collapsed="false">
      <c r="A5586" s="6" t="s">
        <v>10810</v>
      </c>
      <c r="B5586" s="6" t="s">
        <v>2671</v>
      </c>
      <c r="C5586" s="26" t="n">
        <v>46196</v>
      </c>
      <c r="D5586" s="6" t="s">
        <v>5154</v>
      </c>
      <c r="E5586" s="6" t="s">
        <v>21</v>
      </c>
      <c r="F5586" s="6" t="n">
        <v>1</v>
      </c>
      <c r="G5586" s="10" t="n">
        <v>746</v>
      </c>
      <c r="H5586" s="10" t="n">
        <f aca="false">F5586*G5586</f>
        <v>746</v>
      </c>
      <c r="I5586" s="6" t="s">
        <v>5125</v>
      </c>
    </row>
    <row r="5587" customFormat="false" ht="15" hidden="false" customHeight="false" outlineLevel="0" collapsed="false">
      <c r="A5587" s="6" t="s">
        <v>10811</v>
      </c>
      <c r="B5587" s="6" t="s">
        <v>1737</v>
      </c>
      <c r="C5587" s="26" t="n">
        <v>46196</v>
      </c>
      <c r="D5587" s="6" t="s">
        <v>5145</v>
      </c>
      <c r="E5587" s="6" t="s">
        <v>21</v>
      </c>
      <c r="F5587" s="6" t="n">
        <v>3</v>
      </c>
      <c r="G5587" s="10" t="n">
        <v>1277</v>
      </c>
      <c r="H5587" s="10" t="n">
        <f aca="false">F5587*G5587</f>
        <v>3831</v>
      </c>
      <c r="I5587" s="6" t="s">
        <v>5173</v>
      </c>
    </row>
    <row r="5588" customFormat="false" ht="15" hidden="false" customHeight="false" outlineLevel="0" collapsed="false">
      <c r="A5588" s="6" t="s">
        <v>10812</v>
      </c>
      <c r="B5588" s="6" t="s">
        <v>747</v>
      </c>
      <c r="C5588" s="26" t="n">
        <v>46196</v>
      </c>
      <c r="D5588" s="6" t="s">
        <v>5165</v>
      </c>
      <c r="E5588" s="6" t="s">
        <v>22</v>
      </c>
      <c r="F5588" s="6" t="n">
        <v>1</v>
      </c>
      <c r="G5588" s="10" t="n">
        <v>977</v>
      </c>
      <c r="H5588" s="10" t="n">
        <f aca="false">F5588*G5588</f>
        <v>977</v>
      </c>
      <c r="I5588" s="6" t="s">
        <v>5130</v>
      </c>
    </row>
    <row r="5589" customFormat="false" ht="15" hidden="false" customHeight="false" outlineLevel="0" collapsed="false">
      <c r="A5589" s="6" t="s">
        <v>10813</v>
      </c>
      <c r="B5589" s="6" t="s">
        <v>3657</v>
      </c>
      <c r="C5589" s="26" t="n">
        <v>46196</v>
      </c>
      <c r="D5589" s="6" t="s">
        <v>5458</v>
      </c>
      <c r="E5589" s="6" t="s">
        <v>24</v>
      </c>
      <c r="F5589" s="6" t="n">
        <v>2</v>
      </c>
      <c r="G5589" s="10" t="n">
        <v>559</v>
      </c>
      <c r="H5589" s="10" t="n">
        <f aca="false">F5589*G5589</f>
        <v>1118</v>
      </c>
      <c r="I5589" s="6" t="s">
        <v>5125</v>
      </c>
    </row>
    <row r="5590" customFormat="false" ht="15" hidden="false" customHeight="false" outlineLevel="0" collapsed="false">
      <c r="A5590" s="6" t="s">
        <v>10814</v>
      </c>
      <c r="B5590" s="6" t="s">
        <v>3257</v>
      </c>
      <c r="C5590" s="26" t="n">
        <v>46196</v>
      </c>
      <c r="D5590" s="6" t="s">
        <v>5357</v>
      </c>
      <c r="E5590" s="6" t="s">
        <v>23</v>
      </c>
      <c r="F5590" s="6" t="n">
        <v>3</v>
      </c>
      <c r="G5590" s="10" t="n">
        <v>481</v>
      </c>
      <c r="H5590" s="10" t="n">
        <f aca="false">F5590*G5590</f>
        <v>1443</v>
      </c>
      <c r="I5590" s="6" t="s">
        <v>5130</v>
      </c>
    </row>
    <row r="5591" customFormat="false" ht="15" hidden="false" customHeight="false" outlineLevel="0" collapsed="false">
      <c r="A5591" s="6" t="s">
        <v>10815</v>
      </c>
      <c r="B5591" s="6" t="s">
        <v>2863</v>
      </c>
      <c r="C5591" s="26" t="n">
        <v>46196</v>
      </c>
      <c r="D5591" s="6" t="s">
        <v>5163</v>
      </c>
      <c r="E5591" s="6" t="s">
        <v>23</v>
      </c>
      <c r="F5591" s="6" t="n">
        <v>4</v>
      </c>
      <c r="G5591" s="10" t="n">
        <v>744</v>
      </c>
      <c r="H5591" s="10" t="n">
        <f aca="false">F5591*G5591</f>
        <v>2976</v>
      </c>
      <c r="I5591" s="6" t="s">
        <v>5122</v>
      </c>
    </row>
    <row r="5592" customFormat="false" ht="15" hidden="false" customHeight="false" outlineLevel="0" collapsed="false">
      <c r="A5592" s="6" t="s">
        <v>10816</v>
      </c>
      <c r="B5592" s="6" t="s">
        <v>885</v>
      </c>
      <c r="C5592" s="26" t="n">
        <v>46196</v>
      </c>
      <c r="D5592" s="6" t="s">
        <v>5160</v>
      </c>
      <c r="E5592" s="6" t="s">
        <v>21</v>
      </c>
      <c r="F5592" s="6" t="n">
        <v>2</v>
      </c>
      <c r="G5592" s="10" t="n">
        <v>2751</v>
      </c>
      <c r="H5592" s="10" t="n">
        <f aca="false">F5592*G5592</f>
        <v>5502</v>
      </c>
      <c r="I5592" s="6" t="s">
        <v>5148</v>
      </c>
    </row>
    <row r="5593" customFormat="false" ht="15" hidden="false" customHeight="false" outlineLevel="0" collapsed="false">
      <c r="A5593" s="6" t="s">
        <v>10817</v>
      </c>
      <c r="B5593" s="6" t="s">
        <v>1203</v>
      </c>
      <c r="C5593" s="26" t="n">
        <v>46196</v>
      </c>
      <c r="D5593" s="6" t="s">
        <v>5167</v>
      </c>
      <c r="E5593" s="6" t="s">
        <v>22</v>
      </c>
      <c r="F5593" s="6" t="n">
        <v>1</v>
      </c>
      <c r="G5593" s="10" t="n">
        <v>782</v>
      </c>
      <c r="H5593" s="10" t="n">
        <f aca="false">F5593*G5593</f>
        <v>782</v>
      </c>
      <c r="I5593" s="6" t="s">
        <v>5122</v>
      </c>
    </row>
    <row r="5594" customFormat="false" ht="15" hidden="false" customHeight="false" outlineLevel="0" collapsed="false">
      <c r="A5594" s="6" t="s">
        <v>10818</v>
      </c>
      <c r="B5594" s="6" t="s">
        <v>3859</v>
      </c>
      <c r="C5594" s="26" t="n">
        <v>46196</v>
      </c>
      <c r="D5594" s="6" t="s">
        <v>5135</v>
      </c>
      <c r="E5594" s="6" t="s">
        <v>23</v>
      </c>
      <c r="F5594" s="6" t="n">
        <v>4</v>
      </c>
      <c r="G5594" s="10" t="n">
        <v>419</v>
      </c>
      <c r="H5594" s="10" t="n">
        <f aca="false">F5594*G5594</f>
        <v>1676</v>
      </c>
      <c r="I5594" s="6" t="s">
        <v>5122</v>
      </c>
    </row>
    <row r="5595" customFormat="false" ht="15" hidden="false" customHeight="false" outlineLevel="0" collapsed="false">
      <c r="A5595" s="6" t="s">
        <v>10819</v>
      </c>
      <c r="B5595" s="6" t="s">
        <v>2809</v>
      </c>
      <c r="C5595" s="26" t="n">
        <v>46196</v>
      </c>
      <c r="D5595" s="6" t="s">
        <v>5163</v>
      </c>
      <c r="E5595" s="6" t="s">
        <v>23</v>
      </c>
      <c r="F5595" s="6" t="n">
        <v>2</v>
      </c>
      <c r="G5595" s="10" t="n">
        <v>783</v>
      </c>
      <c r="H5595" s="10" t="n">
        <f aca="false">F5595*G5595</f>
        <v>1566</v>
      </c>
      <c r="I5595" s="6" t="s">
        <v>5122</v>
      </c>
    </row>
    <row r="5596" customFormat="false" ht="15" hidden="false" customHeight="false" outlineLevel="0" collapsed="false">
      <c r="A5596" s="6" t="s">
        <v>10820</v>
      </c>
      <c r="B5596" s="6" t="s">
        <v>1681</v>
      </c>
      <c r="C5596" s="26" t="n">
        <v>46196</v>
      </c>
      <c r="D5596" s="6" t="s">
        <v>5190</v>
      </c>
      <c r="E5596" s="6" t="s">
        <v>24</v>
      </c>
      <c r="F5596" s="6" t="n">
        <v>2</v>
      </c>
      <c r="G5596" s="10" t="n">
        <v>610</v>
      </c>
      <c r="H5596" s="10" t="n">
        <f aca="false">F5596*G5596</f>
        <v>1220</v>
      </c>
      <c r="I5596" s="6" t="s">
        <v>5130</v>
      </c>
    </row>
    <row r="5597" customFormat="false" ht="15" hidden="false" customHeight="false" outlineLevel="0" collapsed="false">
      <c r="A5597" s="6" t="s">
        <v>10821</v>
      </c>
      <c r="B5597" s="6" t="s">
        <v>2781</v>
      </c>
      <c r="C5597" s="26" t="n">
        <v>46196</v>
      </c>
      <c r="D5597" s="6" t="s">
        <v>5313</v>
      </c>
      <c r="E5597" s="6" t="s">
        <v>22</v>
      </c>
      <c r="F5597" s="6" t="n">
        <v>2</v>
      </c>
      <c r="G5597" s="10" t="n">
        <v>1760</v>
      </c>
      <c r="H5597" s="10" t="n">
        <f aca="false">F5597*G5597</f>
        <v>3520</v>
      </c>
      <c r="I5597" s="6" t="s">
        <v>5125</v>
      </c>
    </row>
    <row r="5598" customFormat="false" ht="15" hidden="false" customHeight="false" outlineLevel="0" collapsed="false">
      <c r="A5598" s="6" t="s">
        <v>10822</v>
      </c>
      <c r="B5598" s="6" t="s">
        <v>3515</v>
      </c>
      <c r="C5598" s="26" t="n">
        <v>46196</v>
      </c>
      <c r="D5598" s="6" t="s">
        <v>5318</v>
      </c>
      <c r="E5598" s="6" t="s">
        <v>20</v>
      </c>
      <c r="F5598" s="6" t="n">
        <v>2</v>
      </c>
      <c r="G5598" s="10" t="n">
        <v>1529</v>
      </c>
      <c r="H5598" s="10" t="n">
        <f aca="false">F5598*G5598</f>
        <v>3058</v>
      </c>
      <c r="I5598" s="6" t="s">
        <v>5148</v>
      </c>
    </row>
    <row r="5599" customFormat="false" ht="15" hidden="false" customHeight="false" outlineLevel="0" collapsed="false">
      <c r="A5599" s="6" t="s">
        <v>10823</v>
      </c>
      <c r="B5599" s="6" t="s">
        <v>701</v>
      </c>
      <c r="C5599" s="26" t="n">
        <v>46196</v>
      </c>
      <c r="D5599" s="6" t="s">
        <v>5165</v>
      </c>
      <c r="E5599" s="6" t="s">
        <v>22</v>
      </c>
      <c r="F5599" s="6" t="n">
        <v>2</v>
      </c>
      <c r="G5599" s="10" t="n">
        <v>928</v>
      </c>
      <c r="H5599" s="10" t="n">
        <f aca="false">F5599*G5599</f>
        <v>1856</v>
      </c>
      <c r="I5599" s="6" t="s">
        <v>5130</v>
      </c>
    </row>
    <row r="5600" customFormat="false" ht="15" hidden="false" customHeight="false" outlineLevel="0" collapsed="false">
      <c r="A5600" s="6" t="s">
        <v>10824</v>
      </c>
      <c r="B5600" s="6" t="s">
        <v>3355</v>
      </c>
      <c r="C5600" s="26" t="n">
        <v>46196</v>
      </c>
      <c r="D5600" s="6" t="s">
        <v>5158</v>
      </c>
      <c r="E5600" s="6" t="s">
        <v>24</v>
      </c>
      <c r="F5600" s="6" t="n">
        <v>1</v>
      </c>
      <c r="G5600" s="10" t="n">
        <v>412</v>
      </c>
      <c r="H5600" s="10" t="n">
        <f aca="false">F5600*G5600</f>
        <v>412</v>
      </c>
      <c r="I5600" s="6" t="s">
        <v>5122</v>
      </c>
    </row>
    <row r="5601" customFormat="false" ht="15" hidden="false" customHeight="false" outlineLevel="0" collapsed="false">
      <c r="A5601" s="6" t="s">
        <v>10825</v>
      </c>
      <c r="B5601" s="6" t="s">
        <v>4225</v>
      </c>
      <c r="C5601" s="26" t="n">
        <v>46196</v>
      </c>
      <c r="D5601" s="6" t="s">
        <v>5240</v>
      </c>
      <c r="E5601" s="6" t="s">
        <v>20</v>
      </c>
      <c r="F5601" s="6" t="n">
        <v>1</v>
      </c>
      <c r="G5601" s="10" t="n">
        <v>5098</v>
      </c>
      <c r="H5601" s="10" t="n">
        <f aca="false">F5601*G5601</f>
        <v>5098</v>
      </c>
      <c r="I5601" s="6" t="s">
        <v>5122</v>
      </c>
    </row>
    <row r="5602" customFormat="false" ht="15" hidden="false" customHeight="false" outlineLevel="0" collapsed="false">
      <c r="A5602" s="6" t="s">
        <v>10826</v>
      </c>
      <c r="B5602" s="6" t="s">
        <v>2315</v>
      </c>
      <c r="C5602" s="26" t="n">
        <v>46196</v>
      </c>
      <c r="D5602" s="6" t="s">
        <v>5316</v>
      </c>
      <c r="E5602" s="6" t="s">
        <v>23</v>
      </c>
      <c r="F5602" s="6" t="n">
        <v>5</v>
      </c>
      <c r="G5602" s="10" t="n">
        <v>260</v>
      </c>
      <c r="H5602" s="10" t="n">
        <f aca="false">F5602*G5602</f>
        <v>1300</v>
      </c>
      <c r="I5602" s="6" t="s">
        <v>5148</v>
      </c>
    </row>
    <row r="5603" customFormat="false" ht="15" hidden="false" customHeight="false" outlineLevel="0" collapsed="false">
      <c r="A5603" s="6" t="s">
        <v>10827</v>
      </c>
      <c r="B5603" s="6" t="s">
        <v>4183</v>
      </c>
      <c r="C5603" s="26" t="n">
        <v>46196</v>
      </c>
      <c r="D5603" s="6" t="s">
        <v>5139</v>
      </c>
      <c r="E5603" s="6" t="s">
        <v>23</v>
      </c>
      <c r="F5603" s="6" t="n">
        <v>5</v>
      </c>
      <c r="G5603" s="10" t="n">
        <v>279</v>
      </c>
      <c r="H5603" s="10" t="n">
        <f aca="false">F5603*G5603</f>
        <v>1395</v>
      </c>
      <c r="I5603" s="6" t="s">
        <v>5133</v>
      </c>
    </row>
    <row r="5604" customFormat="false" ht="15" hidden="false" customHeight="false" outlineLevel="0" collapsed="false">
      <c r="A5604" s="6" t="s">
        <v>10828</v>
      </c>
      <c r="B5604" s="6" t="s">
        <v>899</v>
      </c>
      <c r="C5604" s="26" t="n">
        <v>46196</v>
      </c>
      <c r="D5604" s="6" t="s">
        <v>5171</v>
      </c>
      <c r="E5604" s="6" t="s">
        <v>23</v>
      </c>
      <c r="F5604" s="6" t="n">
        <v>4</v>
      </c>
      <c r="G5604" s="10" t="n">
        <v>734</v>
      </c>
      <c r="H5604" s="10" t="n">
        <f aca="false">F5604*G5604</f>
        <v>2936</v>
      </c>
      <c r="I5604" s="6" t="s">
        <v>5148</v>
      </c>
    </row>
    <row r="5605" customFormat="false" ht="15" hidden="false" customHeight="false" outlineLevel="0" collapsed="false">
      <c r="A5605" s="6" t="s">
        <v>10829</v>
      </c>
      <c r="B5605" s="6" t="s">
        <v>765</v>
      </c>
      <c r="C5605" s="26" t="n">
        <v>46196</v>
      </c>
      <c r="D5605" s="6" t="s">
        <v>5127</v>
      </c>
      <c r="E5605" s="6" t="s">
        <v>21</v>
      </c>
      <c r="F5605" s="6" t="n">
        <v>1</v>
      </c>
      <c r="G5605" s="10" t="n">
        <v>839</v>
      </c>
      <c r="H5605" s="10" t="n">
        <f aca="false">F5605*G5605</f>
        <v>839</v>
      </c>
      <c r="I5605" s="6" t="s">
        <v>5122</v>
      </c>
    </row>
    <row r="5606" customFormat="false" ht="15" hidden="false" customHeight="false" outlineLevel="0" collapsed="false">
      <c r="A5606" s="6" t="s">
        <v>10830</v>
      </c>
      <c r="B5606" s="6" t="s">
        <v>4895</v>
      </c>
      <c r="C5606" s="26" t="n">
        <v>46196</v>
      </c>
      <c r="D5606" s="6" t="s">
        <v>5837</v>
      </c>
      <c r="E5606" s="6" t="s">
        <v>21</v>
      </c>
      <c r="F5606" s="6" t="n">
        <v>1</v>
      </c>
      <c r="G5606" s="10" t="n">
        <v>2653</v>
      </c>
      <c r="H5606" s="10" t="n">
        <f aca="false">F5606*G5606</f>
        <v>2653</v>
      </c>
      <c r="I5606" s="6" t="s">
        <v>5125</v>
      </c>
    </row>
    <row r="5607" customFormat="false" ht="15" hidden="false" customHeight="false" outlineLevel="0" collapsed="false">
      <c r="A5607" s="6" t="s">
        <v>10831</v>
      </c>
      <c r="B5607" s="6" t="s">
        <v>380</v>
      </c>
      <c r="C5607" s="26" t="n">
        <v>46196</v>
      </c>
      <c r="D5607" s="6" t="s">
        <v>5185</v>
      </c>
      <c r="E5607" s="6" t="s">
        <v>24</v>
      </c>
      <c r="F5607" s="6" t="n">
        <v>1</v>
      </c>
      <c r="G5607" s="10" t="n">
        <v>2033</v>
      </c>
      <c r="H5607" s="10" t="n">
        <f aca="false">F5607*G5607</f>
        <v>2033</v>
      </c>
      <c r="I5607" s="6" t="s">
        <v>5148</v>
      </c>
    </row>
    <row r="5608" customFormat="false" ht="15" hidden="false" customHeight="false" outlineLevel="0" collapsed="false">
      <c r="A5608" s="6" t="s">
        <v>10832</v>
      </c>
      <c r="B5608" s="6" t="s">
        <v>4553</v>
      </c>
      <c r="C5608" s="26" t="n">
        <v>46196</v>
      </c>
      <c r="D5608" s="6" t="s">
        <v>5197</v>
      </c>
      <c r="E5608" s="6" t="s">
        <v>21</v>
      </c>
      <c r="F5608" s="6" t="n">
        <v>1</v>
      </c>
      <c r="G5608" s="10" t="n">
        <v>972</v>
      </c>
      <c r="H5608" s="10" t="n">
        <f aca="false">F5608*G5608</f>
        <v>972</v>
      </c>
      <c r="I5608" s="6" t="s">
        <v>5122</v>
      </c>
    </row>
    <row r="5609" customFormat="false" ht="15" hidden="false" customHeight="false" outlineLevel="0" collapsed="false">
      <c r="A5609" s="6" t="s">
        <v>10833</v>
      </c>
      <c r="B5609" s="6" t="s">
        <v>3875</v>
      </c>
      <c r="C5609" s="26" t="n">
        <v>46196</v>
      </c>
      <c r="D5609" s="6" t="s">
        <v>5167</v>
      </c>
      <c r="E5609" s="6" t="s">
        <v>22</v>
      </c>
      <c r="F5609" s="6" t="n">
        <v>3</v>
      </c>
      <c r="G5609" s="10" t="n">
        <v>703</v>
      </c>
      <c r="H5609" s="10" t="n">
        <f aca="false">F5609*G5609</f>
        <v>2109</v>
      </c>
      <c r="I5609" s="6" t="s">
        <v>5148</v>
      </c>
    </row>
    <row r="5610" customFormat="false" ht="15" hidden="false" customHeight="false" outlineLevel="0" collapsed="false">
      <c r="A5610" s="6" t="s">
        <v>10834</v>
      </c>
      <c r="B5610" s="6" t="s">
        <v>2641</v>
      </c>
      <c r="C5610" s="26" t="n">
        <v>46196</v>
      </c>
      <c r="D5610" s="6" t="s">
        <v>5316</v>
      </c>
      <c r="E5610" s="6" t="s">
        <v>23</v>
      </c>
      <c r="F5610" s="6" t="n">
        <v>1</v>
      </c>
      <c r="G5610" s="10" t="n">
        <v>260</v>
      </c>
      <c r="H5610" s="10" t="n">
        <f aca="false">F5610*G5610</f>
        <v>260</v>
      </c>
      <c r="I5610" s="6" t="s">
        <v>5125</v>
      </c>
    </row>
    <row r="5611" customFormat="false" ht="15" hidden="false" customHeight="false" outlineLevel="0" collapsed="false">
      <c r="A5611" s="6" t="s">
        <v>10835</v>
      </c>
      <c r="B5611" s="6" t="s">
        <v>1199</v>
      </c>
      <c r="C5611" s="26" t="n">
        <v>46196</v>
      </c>
      <c r="D5611" s="6" t="s">
        <v>5127</v>
      </c>
      <c r="E5611" s="6" t="s">
        <v>21</v>
      </c>
      <c r="F5611" s="6" t="n">
        <v>1</v>
      </c>
      <c r="G5611" s="10" t="n">
        <v>884</v>
      </c>
      <c r="H5611" s="10" t="n">
        <f aca="false">F5611*G5611</f>
        <v>884</v>
      </c>
      <c r="I5611" s="6" t="s">
        <v>5125</v>
      </c>
    </row>
    <row r="5612" customFormat="false" ht="15" hidden="false" customHeight="false" outlineLevel="0" collapsed="false">
      <c r="A5612" s="6" t="s">
        <v>10836</v>
      </c>
      <c r="B5612" s="6" t="s">
        <v>5015</v>
      </c>
      <c r="C5612" s="26" t="n">
        <v>46196</v>
      </c>
      <c r="D5612" s="6" t="s">
        <v>5298</v>
      </c>
      <c r="E5612" s="6" t="s">
        <v>23</v>
      </c>
      <c r="F5612" s="6" t="n">
        <v>1</v>
      </c>
      <c r="G5612" s="10" t="n">
        <v>278</v>
      </c>
      <c r="H5612" s="10" t="n">
        <f aca="false">F5612*G5612</f>
        <v>278</v>
      </c>
      <c r="I5612" s="6" t="s">
        <v>5130</v>
      </c>
    </row>
    <row r="5613" customFormat="false" ht="15" hidden="false" customHeight="false" outlineLevel="0" collapsed="false">
      <c r="A5613" s="6" t="s">
        <v>10837</v>
      </c>
      <c r="B5613" s="6" t="s">
        <v>3829</v>
      </c>
      <c r="C5613" s="26" t="n">
        <v>46196</v>
      </c>
      <c r="D5613" s="6" t="s">
        <v>5129</v>
      </c>
      <c r="E5613" s="6" t="s">
        <v>21</v>
      </c>
      <c r="F5613" s="6" t="n">
        <v>1</v>
      </c>
      <c r="G5613" s="10" t="n">
        <v>589</v>
      </c>
      <c r="H5613" s="10" t="n">
        <f aca="false">F5613*G5613</f>
        <v>589</v>
      </c>
      <c r="I5613" s="6" t="s">
        <v>5122</v>
      </c>
    </row>
    <row r="5614" customFormat="false" ht="15" hidden="false" customHeight="false" outlineLevel="0" collapsed="false">
      <c r="A5614" s="6" t="s">
        <v>10838</v>
      </c>
      <c r="B5614" s="6" t="s">
        <v>1755</v>
      </c>
      <c r="C5614" s="26" t="n">
        <v>46196</v>
      </c>
      <c r="D5614" s="6" t="s">
        <v>5163</v>
      </c>
      <c r="E5614" s="6" t="s">
        <v>23</v>
      </c>
      <c r="F5614" s="6" t="n">
        <v>1</v>
      </c>
      <c r="G5614" s="10" t="n">
        <v>704</v>
      </c>
      <c r="H5614" s="10" t="n">
        <f aca="false">F5614*G5614</f>
        <v>704</v>
      </c>
      <c r="I5614" s="6" t="s">
        <v>5130</v>
      </c>
    </row>
    <row r="5615" customFormat="false" ht="15" hidden="false" customHeight="false" outlineLevel="0" collapsed="false">
      <c r="A5615" s="6" t="s">
        <v>10839</v>
      </c>
      <c r="B5615" s="6" t="s">
        <v>4993</v>
      </c>
      <c r="C5615" s="26" t="n">
        <v>46196</v>
      </c>
      <c r="D5615" s="6" t="s">
        <v>5167</v>
      </c>
      <c r="E5615" s="6" t="s">
        <v>22</v>
      </c>
      <c r="F5615" s="6" t="n">
        <v>3</v>
      </c>
      <c r="G5615" s="10" t="n">
        <v>782</v>
      </c>
      <c r="H5615" s="10" t="n">
        <f aca="false">F5615*G5615</f>
        <v>2346</v>
      </c>
      <c r="I5615" s="6" t="s">
        <v>5122</v>
      </c>
    </row>
    <row r="5616" customFormat="false" ht="15" hidden="false" customHeight="false" outlineLevel="0" collapsed="false">
      <c r="A5616" s="6" t="s">
        <v>10840</v>
      </c>
      <c r="B5616" s="6" t="s">
        <v>4253</v>
      </c>
      <c r="C5616" s="26" t="n">
        <v>46196</v>
      </c>
      <c r="D5616" s="6" t="s">
        <v>5175</v>
      </c>
      <c r="E5616" s="6" t="s">
        <v>24</v>
      </c>
      <c r="F5616" s="6" t="n">
        <v>1</v>
      </c>
      <c r="G5616" s="10" t="n">
        <v>610</v>
      </c>
      <c r="H5616" s="10" t="n">
        <f aca="false">F5616*G5616</f>
        <v>610</v>
      </c>
      <c r="I5616" s="6" t="s">
        <v>5122</v>
      </c>
    </row>
    <row r="5617" customFormat="false" ht="15" hidden="false" customHeight="false" outlineLevel="0" collapsed="false">
      <c r="A5617" s="6" t="s">
        <v>10841</v>
      </c>
      <c r="B5617" s="6" t="s">
        <v>4937</v>
      </c>
      <c r="C5617" s="26" t="n">
        <v>46196</v>
      </c>
      <c r="D5617" s="6" t="s">
        <v>5458</v>
      </c>
      <c r="E5617" s="6" t="s">
        <v>24</v>
      </c>
      <c r="F5617" s="6" t="n">
        <v>2</v>
      </c>
      <c r="G5617" s="10" t="n">
        <v>559</v>
      </c>
      <c r="H5617" s="10" t="n">
        <f aca="false">F5617*G5617</f>
        <v>1118</v>
      </c>
      <c r="I5617" s="6" t="s">
        <v>5125</v>
      </c>
    </row>
    <row r="5618" customFormat="false" ht="15" hidden="false" customHeight="false" outlineLevel="0" collapsed="false">
      <c r="A5618" s="6" t="s">
        <v>10842</v>
      </c>
      <c r="B5618" s="6" t="s">
        <v>685</v>
      </c>
      <c r="C5618" s="26" t="n">
        <v>46197</v>
      </c>
      <c r="D5618" s="6" t="s">
        <v>5171</v>
      </c>
      <c r="E5618" s="6" t="s">
        <v>23</v>
      </c>
      <c r="F5618" s="6" t="n">
        <v>1</v>
      </c>
      <c r="G5618" s="10" t="n">
        <v>733</v>
      </c>
      <c r="H5618" s="10" t="n">
        <f aca="false">F5618*G5618</f>
        <v>733</v>
      </c>
      <c r="I5618" s="6" t="s">
        <v>5148</v>
      </c>
    </row>
    <row r="5619" customFormat="false" ht="15" hidden="false" customHeight="false" outlineLevel="0" collapsed="false">
      <c r="A5619" s="6" t="s">
        <v>10843</v>
      </c>
      <c r="B5619" s="6" t="s">
        <v>260</v>
      </c>
      <c r="C5619" s="26" t="n">
        <v>46197</v>
      </c>
      <c r="D5619" s="6" t="s">
        <v>5167</v>
      </c>
      <c r="E5619" s="6" t="s">
        <v>22</v>
      </c>
      <c r="F5619" s="6" t="n">
        <v>1</v>
      </c>
      <c r="G5619" s="10" t="n">
        <v>703</v>
      </c>
      <c r="H5619" s="10" t="n">
        <f aca="false">F5619*G5619</f>
        <v>703</v>
      </c>
      <c r="I5619" s="6" t="s">
        <v>5130</v>
      </c>
    </row>
    <row r="5620" customFormat="false" ht="15" hidden="false" customHeight="false" outlineLevel="0" collapsed="false">
      <c r="A5620" s="6" t="s">
        <v>10844</v>
      </c>
      <c r="B5620" s="6" t="s">
        <v>627</v>
      </c>
      <c r="C5620" s="26" t="n">
        <v>46197</v>
      </c>
      <c r="D5620" s="6" t="s">
        <v>5357</v>
      </c>
      <c r="E5620" s="6" t="s">
        <v>23</v>
      </c>
      <c r="F5620" s="6" t="n">
        <v>1</v>
      </c>
      <c r="G5620" s="10" t="n">
        <v>506</v>
      </c>
      <c r="H5620" s="10" t="n">
        <f aca="false">F5620*G5620</f>
        <v>506</v>
      </c>
      <c r="I5620" s="6" t="s">
        <v>5130</v>
      </c>
    </row>
    <row r="5621" customFormat="false" ht="15" hidden="false" customHeight="false" outlineLevel="0" collapsed="false">
      <c r="A5621" s="6" t="s">
        <v>10845</v>
      </c>
      <c r="B5621" s="6" t="s">
        <v>1885</v>
      </c>
      <c r="C5621" s="26" t="n">
        <v>46197</v>
      </c>
      <c r="D5621" s="6" t="s">
        <v>5171</v>
      </c>
      <c r="E5621" s="6" t="s">
        <v>23</v>
      </c>
      <c r="F5621" s="6" t="n">
        <v>4</v>
      </c>
      <c r="G5621" s="10" t="n">
        <v>734</v>
      </c>
      <c r="H5621" s="10" t="n">
        <f aca="false">F5621*G5621</f>
        <v>2936</v>
      </c>
      <c r="I5621" s="6" t="s">
        <v>5130</v>
      </c>
    </row>
    <row r="5622" customFormat="false" ht="15" hidden="false" customHeight="false" outlineLevel="0" collapsed="false">
      <c r="A5622" s="6" t="s">
        <v>10846</v>
      </c>
      <c r="B5622" s="6" t="s">
        <v>3125</v>
      </c>
      <c r="C5622" s="26" t="n">
        <v>46197</v>
      </c>
      <c r="D5622" s="6" t="s">
        <v>5121</v>
      </c>
      <c r="E5622" s="6" t="s">
        <v>22</v>
      </c>
      <c r="F5622" s="6" t="n">
        <v>3</v>
      </c>
      <c r="G5622" s="10" t="n">
        <v>977</v>
      </c>
      <c r="H5622" s="10" t="n">
        <f aca="false">F5622*G5622</f>
        <v>2931</v>
      </c>
      <c r="I5622" s="6" t="s">
        <v>5122</v>
      </c>
    </row>
    <row r="5623" customFormat="false" ht="15" hidden="false" customHeight="false" outlineLevel="0" collapsed="false">
      <c r="A5623" s="6" t="s">
        <v>10847</v>
      </c>
      <c r="B5623" s="6" t="s">
        <v>3013</v>
      </c>
      <c r="C5623" s="26" t="n">
        <v>46197</v>
      </c>
      <c r="D5623" s="6" t="s">
        <v>5220</v>
      </c>
      <c r="E5623" s="6" t="s">
        <v>24</v>
      </c>
      <c r="F5623" s="6" t="n">
        <v>3</v>
      </c>
      <c r="G5623" s="10" t="n">
        <v>1064</v>
      </c>
      <c r="H5623" s="10" t="n">
        <f aca="false">F5623*G5623</f>
        <v>3192</v>
      </c>
      <c r="I5623" s="6" t="s">
        <v>5148</v>
      </c>
    </row>
    <row r="5624" customFormat="false" ht="15" hidden="false" customHeight="false" outlineLevel="0" collapsed="false">
      <c r="A5624" s="6" t="s">
        <v>10848</v>
      </c>
      <c r="B5624" s="6" t="s">
        <v>885</v>
      </c>
      <c r="C5624" s="26" t="n">
        <v>46197</v>
      </c>
      <c r="D5624" s="6" t="s">
        <v>5482</v>
      </c>
      <c r="E5624" s="6" t="s">
        <v>23</v>
      </c>
      <c r="F5624" s="6" t="n">
        <v>3</v>
      </c>
      <c r="G5624" s="10" t="n">
        <v>243</v>
      </c>
      <c r="H5624" s="10" t="n">
        <f aca="false">F5624*G5624</f>
        <v>729</v>
      </c>
      <c r="I5624" s="6" t="s">
        <v>5148</v>
      </c>
    </row>
    <row r="5625" customFormat="false" ht="15" hidden="false" customHeight="false" outlineLevel="0" collapsed="false">
      <c r="A5625" s="6" t="s">
        <v>10849</v>
      </c>
      <c r="B5625" s="6" t="s">
        <v>1365</v>
      </c>
      <c r="C5625" s="26" t="n">
        <v>46197</v>
      </c>
      <c r="D5625" s="6" t="s">
        <v>5154</v>
      </c>
      <c r="E5625" s="6" t="s">
        <v>21</v>
      </c>
      <c r="F5625" s="6" t="n">
        <v>2</v>
      </c>
      <c r="G5625" s="10" t="n">
        <v>707</v>
      </c>
      <c r="H5625" s="10" t="n">
        <f aca="false">F5625*G5625</f>
        <v>1414</v>
      </c>
      <c r="I5625" s="6" t="s">
        <v>5133</v>
      </c>
    </row>
    <row r="5626" customFormat="false" ht="15" hidden="false" customHeight="false" outlineLevel="0" collapsed="false">
      <c r="A5626" s="6" t="s">
        <v>10850</v>
      </c>
      <c r="B5626" s="6" t="s">
        <v>2821</v>
      </c>
      <c r="C5626" s="26" t="n">
        <v>46197</v>
      </c>
      <c r="D5626" s="6" t="s">
        <v>5121</v>
      </c>
      <c r="E5626" s="6" t="s">
        <v>22</v>
      </c>
      <c r="F5626" s="6" t="n">
        <v>2</v>
      </c>
      <c r="G5626" s="10" t="n">
        <v>977</v>
      </c>
      <c r="H5626" s="10" t="n">
        <f aca="false">F5626*G5626</f>
        <v>1954</v>
      </c>
      <c r="I5626" s="6" t="s">
        <v>5122</v>
      </c>
    </row>
    <row r="5627" customFormat="false" ht="15" hidden="false" customHeight="false" outlineLevel="0" collapsed="false">
      <c r="A5627" s="6" t="s">
        <v>10851</v>
      </c>
      <c r="B5627" s="6" t="s">
        <v>1067</v>
      </c>
      <c r="C5627" s="26" t="n">
        <v>46197</v>
      </c>
      <c r="D5627" s="6" t="s">
        <v>5139</v>
      </c>
      <c r="E5627" s="6" t="s">
        <v>23</v>
      </c>
      <c r="F5627" s="6" t="n">
        <v>2</v>
      </c>
      <c r="G5627" s="10" t="n">
        <v>265</v>
      </c>
      <c r="H5627" s="10" t="n">
        <f aca="false">F5627*G5627</f>
        <v>530</v>
      </c>
      <c r="I5627" s="6" t="s">
        <v>5122</v>
      </c>
    </row>
    <row r="5628" customFormat="false" ht="15" hidden="false" customHeight="false" outlineLevel="0" collapsed="false">
      <c r="A5628" s="6" t="s">
        <v>10852</v>
      </c>
      <c r="B5628" s="6" t="s">
        <v>2617</v>
      </c>
      <c r="C5628" s="26" t="n">
        <v>46197</v>
      </c>
      <c r="D5628" s="6" t="s">
        <v>5345</v>
      </c>
      <c r="E5628" s="6" t="s">
        <v>23</v>
      </c>
      <c r="F5628" s="6" t="n">
        <v>2</v>
      </c>
      <c r="G5628" s="10" t="n">
        <v>414</v>
      </c>
      <c r="H5628" s="10" t="n">
        <f aca="false">F5628*G5628</f>
        <v>828</v>
      </c>
      <c r="I5628" s="6" t="s">
        <v>5122</v>
      </c>
    </row>
    <row r="5629" customFormat="false" ht="15" hidden="false" customHeight="false" outlineLevel="0" collapsed="false">
      <c r="A5629" s="6" t="s">
        <v>10853</v>
      </c>
      <c r="B5629" s="6" t="s">
        <v>3683</v>
      </c>
      <c r="C5629" s="26" t="n">
        <v>46197</v>
      </c>
      <c r="D5629" s="6" t="s">
        <v>5273</v>
      </c>
      <c r="E5629" s="6" t="s">
        <v>23</v>
      </c>
      <c r="F5629" s="6" t="n">
        <v>3</v>
      </c>
      <c r="G5629" s="10" t="n">
        <v>240</v>
      </c>
      <c r="H5629" s="10" t="n">
        <f aca="false">F5629*G5629</f>
        <v>720</v>
      </c>
      <c r="I5629" s="6" t="s">
        <v>5122</v>
      </c>
    </row>
    <row r="5630" customFormat="false" ht="15" hidden="false" customHeight="false" outlineLevel="0" collapsed="false">
      <c r="A5630" s="6" t="s">
        <v>10854</v>
      </c>
      <c r="B5630" s="6" t="s">
        <v>2283</v>
      </c>
      <c r="C5630" s="26" t="n">
        <v>46197</v>
      </c>
      <c r="D5630" s="6" t="s">
        <v>5273</v>
      </c>
      <c r="E5630" s="6" t="s">
        <v>23</v>
      </c>
      <c r="F5630" s="6" t="n">
        <v>2</v>
      </c>
      <c r="G5630" s="10" t="n">
        <v>240</v>
      </c>
      <c r="H5630" s="10" t="n">
        <f aca="false">F5630*G5630</f>
        <v>480</v>
      </c>
      <c r="I5630" s="6" t="s">
        <v>5133</v>
      </c>
    </row>
    <row r="5631" customFormat="false" ht="15" hidden="false" customHeight="false" outlineLevel="0" collapsed="false">
      <c r="A5631" s="6" t="s">
        <v>10855</v>
      </c>
      <c r="B5631" s="6" t="s">
        <v>797</v>
      </c>
      <c r="C5631" s="26" t="n">
        <v>46197</v>
      </c>
      <c r="D5631" s="6" t="s">
        <v>5216</v>
      </c>
      <c r="E5631" s="6" t="s">
        <v>23</v>
      </c>
      <c r="F5631" s="6" t="n">
        <v>1</v>
      </c>
      <c r="G5631" s="10" t="n">
        <v>587</v>
      </c>
      <c r="H5631" s="10" t="n">
        <f aca="false">F5631*G5631</f>
        <v>587</v>
      </c>
      <c r="I5631" s="6" t="s">
        <v>5122</v>
      </c>
    </row>
    <row r="5632" customFormat="false" ht="15" hidden="false" customHeight="false" outlineLevel="0" collapsed="false">
      <c r="A5632" s="6" t="s">
        <v>10856</v>
      </c>
      <c r="B5632" s="6" t="s">
        <v>2715</v>
      </c>
      <c r="C5632" s="26" t="n">
        <v>46197</v>
      </c>
      <c r="D5632" s="6" t="s">
        <v>5121</v>
      </c>
      <c r="E5632" s="6" t="s">
        <v>22</v>
      </c>
      <c r="F5632" s="6" t="n">
        <v>2</v>
      </c>
      <c r="G5632" s="10" t="n">
        <v>880</v>
      </c>
      <c r="H5632" s="10" t="n">
        <f aca="false">F5632*G5632</f>
        <v>1760</v>
      </c>
      <c r="I5632" s="6" t="s">
        <v>5130</v>
      </c>
    </row>
    <row r="5633" customFormat="false" ht="15" hidden="false" customHeight="false" outlineLevel="0" collapsed="false">
      <c r="A5633" s="6" t="s">
        <v>10857</v>
      </c>
      <c r="B5633" s="6" t="s">
        <v>1083</v>
      </c>
      <c r="C5633" s="26" t="n">
        <v>46197</v>
      </c>
      <c r="D5633" s="6" t="s">
        <v>5129</v>
      </c>
      <c r="E5633" s="6" t="s">
        <v>21</v>
      </c>
      <c r="F5633" s="6" t="n">
        <v>1</v>
      </c>
      <c r="G5633" s="10" t="n">
        <v>589</v>
      </c>
      <c r="H5633" s="10" t="n">
        <f aca="false">F5633*G5633</f>
        <v>589</v>
      </c>
      <c r="I5633" s="6" t="s">
        <v>5122</v>
      </c>
    </row>
    <row r="5634" customFormat="false" ht="15" hidden="false" customHeight="false" outlineLevel="0" collapsed="false">
      <c r="A5634" s="6" t="s">
        <v>10858</v>
      </c>
      <c r="B5634" s="6" t="s">
        <v>2359</v>
      </c>
      <c r="C5634" s="26" t="n">
        <v>46197</v>
      </c>
      <c r="D5634" s="6" t="s">
        <v>5167</v>
      </c>
      <c r="E5634" s="6" t="s">
        <v>22</v>
      </c>
      <c r="F5634" s="6" t="n">
        <v>4</v>
      </c>
      <c r="G5634" s="10" t="n">
        <v>782</v>
      </c>
      <c r="H5634" s="10" t="n">
        <f aca="false">F5634*G5634</f>
        <v>3128</v>
      </c>
      <c r="I5634" s="6" t="s">
        <v>5173</v>
      </c>
    </row>
    <row r="5635" customFormat="false" ht="15" hidden="false" customHeight="false" outlineLevel="0" collapsed="false">
      <c r="A5635" s="6" t="s">
        <v>10859</v>
      </c>
      <c r="B5635" s="6" t="s">
        <v>4409</v>
      </c>
      <c r="C5635" s="26" t="n">
        <v>46197</v>
      </c>
      <c r="D5635" s="6" t="s">
        <v>5383</v>
      </c>
      <c r="E5635" s="6" t="s">
        <v>20</v>
      </c>
      <c r="F5635" s="6" t="n">
        <v>1</v>
      </c>
      <c r="G5635" s="10" t="n">
        <v>1009</v>
      </c>
      <c r="H5635" s="10" t="n">
        <f aca="false">F5635*G5635</f>
        <v>1009</v>
      </c>
      <c r="I5635" s="6" t="s">
        <v>5122</v>
      </c>
    </row>
    <row r="5636" customFormat="false" ht="15" hidden="false" customHeight="false" outlineLevel="0" collapsed="false">
      <c r="A5636" s="6" t="s">
        <v>10860</v>
      </c>
      <c r="B5636" s="6" t="s">
        <v>1405</v>
      </c>
      <c r="C5636" s="26" t="n">
        <v>46197</v>
      </c>
      <c r="D5636" s="6" t="s">
        <v>5237</v>
      </c>
      <c r="E5636" s="6" t="s">
        <v>24</v>
      </c>
      <c r="F5636" s="6" t="n">
        <v>1</v>
      </c>
      <c r="G5636" s="10" t="n">
        <v>1833</v>
      </c>
      <c r="H5636" s="10" t="n">
        <f aca="false">F5636*G5636</f>
        <v>1833</v>
      </c>
      <c r="I5636" s="6" t="s">
        <v>5148</v>
      </c>
    </row>
    <row r="5637" customFormat="false" ht="15" hidden="false" customHeight="false" outlineLevel="0" collapsed="false">
      <c r="A5637" s="6" t="s">
        <v>10861</v>
      </c>
      <c r="B5637" s="6" t="s">
        <v>761</v>
      </c>
      <c r="C5637" s="26" t="n">
        <v>46197</v>
      </c>
      <c r="D5637" s="6" t="s">
        <v>5132</v>
      </c>
      <c r="E5637" s="6" t="s">
        <v>23</v>
      </c>
      <c r="F5637" s="6" t="n">
        <v>1</v>
      </c>
      <c r="G5637" s="10" t="n">
        <v>342</v>
      </c>
      <c r="H5637" s="10" t="n">
        <f aca="false">F5637*G5637</f>
        <v>342</v>
      </c>
      <c r="I5637" s="6" t="s">
        <v>5122</v>
      </c>
    </row>
    <row r="5638" customFormat="false" ht="15" hidden="false" customHeight="false" outlineLevel="0" collapsed="false">
      <c r="A5638" s="6" t="s">
        <v>10862</v>
      </c>
      <c r="B5638" s="6" t="s">
        <v>2445</v>
      </c>
      <c r="C5638" s="26" t="n">
        <v>46197</v>
      </c>
      <c r="D5638" s="6" t="s">
        <v>5220</v>
      </c>
      <c r="E5638" s="6" t="s">
        <v>24</v>
      </c>
      <c r="F5638" s="6" t="n">
        <v>1</v>
      </c>
      <c r="G5638" s="10" t="n">
        <v>1120</v>
      </c>
      <c r="H5638" s="10" t="n">
        <f aca="false">F5638*G5638</f>
        <v>1120</v>
      </c>
      <c r="I5638" s="6" t="s">
        <v>5125</v>
      </c>
    </row>
    <row r="5639" customFormat="false" ht="15" hidden="false" customHeight="false" outlineLevel="0" collapsed="false">
      <c r="A5639" s="6" t="s">
        <v>10863</v>
      </c>
      <c r="B5639" s="6" t="s">
        <v>2203</v>
      </c>
      <c r="C5639" s="26" t="n">
        <v>46197</v>
      </c>
      <c r="D5639" s="6" t="s">
        <v>5224</v>
      </c>
      <c r="E5639" s="6" t="s">
        <v>23</v>
      </c>
      <c r="F5639" s="6" t="n">
        <v>1</v>
      </c>
      <c r="G5639" s="10" t="n">
        <v>195</v>
      </c>
      <c r="H5639" s="10" t="n">
        <f aca="false">F5639*G5639</f>
        <v>195</v>
      </c>
      <c r="I5639" s="6" t="s">
        <v>5125</v>
      </c>
    </row>
    <row r="5640" customFormat="false" ht="15" hidden="false" customHeight="false" outlineLevel="0" collapsed="false">
      <c r="A5640" s="6" t="s">
        <v>10864</v>
      </c>
      <c r="B5640" s="6" t="s">
        <v>4815</v>
      </c>
      <c r="C5640" s="26" t="n">
        <v>46197</v>
      </c>
      <c r="D5640" s="6" t="s">
        <v>5357</v>
      </c>
      <c r="E5640" s="6" t="s">
        <v>23</v>
      </c>
      <c r="F5640" s="6" t="n">
        <v>2</v>
      </c>
      <c r="G5640" s="10" t="n">
        <v>534</v>
      </c>
      <c r="H5640" s="10" t="n">
        <f aca="false">F5640*G5640</f>
        <v>1068</v>
      </c>
      <c r="I5640" s="6" t="s">
        <v>5173</v>
      </c>
    </row>
    <row r="5641" customFormat="false" ht="15" hidden="false" customHeight="false" outlineLevel="0" collapsed="false">
      <c r="A5641" s="6" t="s">
        <v>10865</v>
      </c>
      <c r="B5641" s="6" t="s">
        <v>2689</v>
      </c>
      <c r="C5641" s="26" t="n">
        <v>46197</v>
      </c>
      <c r="D5641" s="6" t="s">
        <v>5281</v>
      </c>
      <c r="E5641" s="6" t="s">
        <v>24</v>
      </c>
      <c r="F5641" s="6" t="n">
        <v>1</v>
      </c>
      <c r="G5641" s="10" t="n">
        <v>733</v>
      </c>
      <c r="H5641" s="10" t="n">
        <f aca="false">F5641*G5641</f>
        <v>733</v>
      </c>
      <c r="I5641" s="6" t="s">
        <v>5125</v>
      </c>
    </row>
    <row r="5642" customFormat="false" ht="15" hidden="false" customHeight="false" outlineLevel="0" collapsed="false">
      <c r="A5642" s="6" t="s">
        <v>10866</v>
      </c>
      <c r="B5642" s="6" t="s">
        <v>1161</v>
      </c>
      <c r="C5642" s="26" t="n">
        <v>46197</v>
      </c>
      <c r="D5642" s="6" t="s">
        <v>5245</v>
      </c>
      <c r="E5642" s="6" t="s">
        <v>21</v>
      </c>
      <c r="F5642" s="6" t="n">
        <v>2</v>
      </c>
      <c r="G5642" s="10" t="n">
        <v>2211</v>
      </c>
      <c r="H5642" s="10" t="n">
        <f aca="false">F5642*G5642</f>
        <v>4422</v>
      </c>
      <c r="I5642" s="6" t="s">
        <v>5122</v>
      </c>
    </row>
    <row r="5643" customFormat="false" ht="15" hidden="false" customHeight="false" outlineLevel="0" collapsed="false">
      <c r="A5643" s="6" t="s">
        <v>10867</v>
      </c>
      <c r="B5643" s="6" t="s">
        <v>3121</v>
      </c>
      <c r="C5643" s="26" t="n">
        <v>46197</v>
      </c>
      <c r="D5643" s="6" t="s">
        <v>5121</v>
      </c>
      <c r="E5643" s="6" t="s">
        <v>22</v>
      </c>
      <c r="F5643" s="6" t="n">
        <v>2</v>
      </c>
      <c r="G5643" s="10" t="n">
        <v>977</v>
      </c>
      <c r="H5643" s="10" t="n">
        <f aca="false">F5643*G5643</f>
        <v>1954</v>
      </c>
      <c r="I5643" s="6" t="s">
        <v>5173</v>
      </c>
    </row>
    <row r="5644" customFormat="false" ht="15" hidden="false" customHeight="false" outlineLevel="0" collapsed="false">
      <c r="A5644" s="6" t="s">
        <v>10868</v>
      </c>
      <c r="B5644" s="6" t="s">
        <v>595</v>
      </c>
      <c r="C5644" s="26" t="n">
        <v>46197</v>
      </c>
      <c r="D5644" s="6" t="s">
        <v>5261</v>
      </c>
      <c r="E5644" s="6" t="s">
        <v>23</v>
      </c>
      <c r="F5644" s="6" t="n">
        <v>2</v>
      </c>
      <c r="G5644" s="10" t="n">
        <v>175</v>
      </c>
      <c r="H5644" s="10" t="n">
        <f aca="false">F5644*G5644</f>
        <v>350</v>
      </c>
      <c r="I5644" s="6" t="s">
        <v>5148</v>
      </c>
    </row>
    <row r="5645" customFormat="false" ht="15" hidden="false" customHeight="false" outlineLevel="0" collapsed="false">
      <c r="A5645" s="6" t="s">
        <v>10869</v>
      </c>
      <c r="B5645" s="6" t="s">
        <v>1917</v>
      </c>
      <c r="C5645" s="26" t="n">
        <v>46197</v>
      </c>
      <c r="D5645" s="6" t="s">
        <v>5163</v>
      </c>
      <c r="E5645" s="6" t="s">
        <v>23</v>
      </c>
      <c r="F5645" s="6" t="n">
        <v>1</v>
      </c>
      <c r="G5645" s="10" t="n">
        <v>782</v>
      </c>
      <c r="H5645" s="10" t="n">
        <f aca="false">F5645*G5645</f>
        <v>782</v>
      </c>
      <c r="I5645" s="6" t="s">
        <v>5122</v>
      </c>
    </row>
    <row r="5646" customFormat="false" ht="15" hidden="false" customHeight="false" outlineLevel="0" collapsed="false">
      <c r="A5646" s="6" t="s">
        <v>10870</v>
      </c>
      <c r="B5646" s="6" t="s">
        <v>3791</v>
      </c>
      <c r="C5646" s="26" t="n">
        <v>46197</v>
      </c>
      <c r="D5646" s="6" t="s">
        <v>5216</v>
      </c>
      <c r="E5646" s="6" t="s">
        <v>23</v>
      </c>
      <c r="F5646" s="6" t="n">
        <v>1</v>
      </c>
      <c r="G5646" s="10" t="n">
        <v>528</v>
      </c>
      <c r="H5646" s="10" t="n">
        <f aca="false">F5646*G5646</f>
        <v>528</v>
      </c>
      <c r="I5646" s="6" t="s">
        <v>5125</v>
      </c>
    </row>
    <row r="5647" customFormat="false" ht="15" hidden="false" customHeight="false" outlineLevel="0" collapsed="false">
      <c r="A5647" s="6" t="s">
        <v>10871</v>
      </c>
      <c r="B5647" s="6" t="s">
        <v>2355</v>
      </c>
      <c r="C5647" s="26" t="n">
        <v>46197</v>
      </c>
      <c r="D5647" s="6" t="s">
        <v>5180</v>
      </c>
      <c r="E5647" s="6" t="s">
        <v>24</v>
      </c>
      <c r="F5647" s="6" t="n">
        <v>2</v>
      </c>
      <c r="G5647" s="10" t="n">
        <v>1888</v>
      </c>
      <c r="H5647" s="10" t="n">
        <f aca="false">F5647*G5647</f>
        <v>3776</v>
      </c>
      <c r="I5647" s="6" t="s">
        <v>5122</v>
      </c>
    </row>
    <row r="5648" customFormat="false" ht="15" hidden="false" customHeight="false" outlineLevel="0" collapsed="false">
      <c r="A5648" s="6" t="s">
        <v>10872</v>
      </c>
      <c r="B5648" s="6" t="s">
        <v>1487</v>
      </c>
      <c r="C5648" s="26" t="n">
        <v>46197</v>
      </c>
      <c r="D5648" s="6" t="s">
        <v>5163</v>
      </c>
      <c r="E5648" s="6" t="s">
        <v>23</v>
      </c>
      <c r="F5648" s="6" t="n">
        <v>2</v>
      </c>
      <c r="G5648" s="10" t="n">
        <v>744</v>
      </c>
      <c r="H5648" s="10" t="n">
        <f aca="false">F5648*G5648</f>
        <v>1488</v>
      </c>
      <c r="I5648" s="6" t="s">
        <v>5122</v>
      </c>
    </row>
    <row r="5649" customFormat="false" ht="15" hidden="false" customHeight="false" outlineLevel="0" collapsed="false">
      <c r="A5649" s="6" t="s">
        <v>10873</v>
      </c>
      <c r="B5649" s="6" t="s">
        <v>4213</v>
      </c>
      <c r="C5649" s="26" t="n">
        <v>46197</v>
      </c>
      <c r="D5649" s="6" t="s">
        <v>5167</v>
      </c>
      <c r="E5649" s="6" t="s">
        <v>22</v>
      </c>
      <c r="F5649" s="6" t="n">
        <v>1</v>
      </c>
      <c r="G5649" s="10" t="n">
        <v>703</v>
      </c>
      <c r="H5649" s="10" t="n">
        <f aca="false">F5649*G5649</f>
        <v>703</v>
      </c>
      <c r="I5649" s="6" t="s">
        <v>5148</v>
      </c>
    </row>
    <row r="5650" customFormat="false" ht="15" hidden="false" customHeight="false" outlineLevel="0" collapsed="false">
      <c r="A5650" s="6" t="s">
        <v>10874</v>
      </c>
      <c r="B5650" s="6" t="s">
        <v>965</v>
      </c>
      <c r="C5650" s="26" t="n">
        <v>46197</v>
      </c>
      <c r="D5650" s="6" t="s">
        <v>5188</v>
      </c>
      <c r="E5650" s="6" t="s">
        <v>24</v>
      </c>
      <c r="F5650" s="6" t="n">
        <v>1</v>
      </c>
      <c r="G5650" s="10" t="n">
        <v>916</v>
      </c>
      <c r="H5650" s="10" t="n">
        <f aca="false">F5650*G5650</f>
        <v>916</v>
      </c>
      <c r="I5650" s="6" t="s">
        <v>5122</v>
      </c>
    </row>
    <row r="5651" customFormat="false" ht="15" hidden="false" customHeight="false" outlineLevel="0" collapsed="false">
      <c r="A5651" s="6" t="s">
        <v>10875</v>
      </c>
      <c r="B5651" s="6" t="s">
        <v>1069</v>
      </c>
      <c r="C5651" s="26" t="n">
        <v>46197</v>
      </c>
      <c r="D5651" s="6" t="s">
        <v>5683</v>
      </c>
      <c r="E5651" s="6" t="s">
        <v>22</v>
      </c>
      <c r="F5651" s="6" t="n">
        <v>1</v>
      </c>
      <c r="G5651" s="10" t="n">
        <v>1672</v>
      </c>
      <c r="H5651" s="10" t="n">
        <f aca="false">F5651*G5651</f>
        <v>1672</v>
      </c>
      <c r="I5651" s="6" t="s">
        <v>5130</v>
      </c>
    </row>
    <row r="5652" customFormat="false" ht="15" hidden="false" customHeight="false" outlineLevel="0" collapsed="false">
      <c r="A5652" s="6" t="s">
        <v>10876</v>
      </c>
      <c r="B5652" s="6" t="s">
        <v>2615</v>
      </c>
      <c r="C5652" s="26" t="n">
        <v>46197</v>
      </c>
      <c r="D5652" s="6" t="s">
        <v>5197</v>
      </c>
      <c r="E5652" s="6" t="s">
        <v>21</v>
      </c>
      <c r="F5652" s="6" t="n">
        <v>1</v>
      </c>
      <c r="G5652" s="10" t="n">
        <v>1080</v>
      </c>
      <c r="H5652" s="10" t="n">
        <f aca="false">F5652*G5652</f>
        <v>1080</v>
      </c>
      <c r="I5652" s="6" t="s">
        <v>5125</v>
      </c>
    </row>
    <row r="5653" customFormat="false" ht="15" hidden="false" customHeight="false" outlineLevel="0" collapsed="false">
      <c r="A5653" s="6" t="s">
        <v>10877</v>
      </c>
      <c r="B5653" s="6" t="s">
        <v>4657</v>
      </c>
      <c r="C5653" s="26" t="n">
        <v>46197</v>
      </c>
      <c r="D5653" s="6" t="s">
        <v>5121</v>
      </c>
      <c r="E5653" s="6" t="s">
        <v>22</v>
      </c>
      <c r="F5653" s="6" t="n">
        <v>1</v>
      </c>
      <c r="G5653" s="10" t="n">
        <v>977</v>
      </c>
      <c r="H5653" s="10" t="n">
        <f aca="false">F5653*G5653</f>
        <v>977</v>
      </c>
      <c r="I5653" s="6" t="s">
        <v>5148</v>
      </c>
    </row>
    <row r="5654" customFormat="false" ht="15" hidden="false" customHeight="false" outlineLevel="0" collapsed="false">
      <c r="A5654" s="6" t="s">
        <v>10878</v>
      </c>
      <c r="B5654" s="6" t="s">
        <v>1157</v>
      </c>
      <c r="C5654" s="26" t="n">
        <v>46197</v>
      </c>
      <c r="D5654" s="6" t="s">
        <v>5145</v>
      </c>
      <c r="E5654" s="6" t="s">
        <v>21</v>
      </c>
      <c r="F5654" s="6" t="n">
        <v>1</v>
      </c>
      <c r="G5654" s="10" t="n">
        <v>1277</v>
      </c>
      <c r="H5654" s="10" t="n">
        <f aca="false">F5654*G5654</f>
        <v>1277</v>
      </c>
      <c r="I5654" s="6" t="s">
        <v>5125</v>
      </c>
    </row>
    <row r="5655" customFormat="false" ht="15" hidden="false" customHeight="false" outlineLevel="0" collapsed="false">
      <c r="A5655" s="6" t="s">
        <v>10879</v>
      </c>
      <c r="B5655" s="6" t="s">
        <v>3875</v>
      </c>
      <c r="C5655" s="26" t="n">
        <v>46197</v>
      </c>
      <c r="D5655" s="6" t="s">
        <v>5220</v>
      </c>
      <c r="E5655" s="6" t="s">
        <v>24</v>
      </c>
      <c r="F5655" s="6" t="n">
        <v>2</v>
      </c>
      <c r="G5655" s="10" t="n">
        <v>1120</v>
      </c>
      <c r="H5655" s="10" t="n">
        <f aca="false">F5655*G5655</f>
        <v>2240</v>
      </c>
      <c r="I5655" s="6" t="s">
        <v>5122</v>
      </c>
    </row>
    <row r="5656" customFormat="false" ht="15" hidden="false" customHeight="false" outlineLevel="0" collapsed="false">
      <c r="A5656" s="6" t="s">
        <v>10880</v>
      </c>
      <c r="B5656" s="6" t="s">
        <v>4909</v>
      </c>
      <c r="C5656" s="26" t="n">
        <v>46197</v>
      </c>
      <c r="D5656" s="6" t="s">
        <v>5837</v>
      </c>
      <c r="E5656" s="6" t="s">
        <v>21</v>
      </c>
      <c r="F5656" s="6" t="n">
        <v>1</v>
      </c>
      <c r="G5656" s="10" t="n">
        <v>2800</v>
      </c>
      <c r="H5656" s="10" t="n">
        <f aca="false">F5656*G5656</f>
        <v>2800</v>
      </c>
      <c r="I5656" s="6" t="s">
        <v>5122</v>
      </c>
    </row>
    <row r="5657" customFormat="false" ht="15" hidden="false" customHeight="false" outlineLevel="0" collapsed="false">
      <c r="A5657" s="6" t="s">
        <v>10881</v>
      </c>
      <c r="B5657" s="6" t="s">
        <v>1787</v>
      </c>
      <c r="C5657" s="26" t="n">
        <v>46197</v>
      </c>
      <c r="D5657" s="6" t="s">
        <v>5318</v>
      </c>
      <c r="E5657" s="6" t="s">
        <v>20</v>
      </c>
      <c r="F5657" s="6" t="n">
        <v>1</v>
      </c>
      <c r="G5657" s="10" t="n">
        <v>1529</v>
      </c>
      <c r="H5657" s="10" t="n">
        <f aca="false">F5657*G5657</f>
        <v>1529</v>
      </c>
      <c r="I5657" s="6" t="s">
        <v>5148</v>
      </c>
    </row>
    <row r="5658" customFormat="false" ht="15" hidden="false" customHeight="false" outlineLevel="0" collapsed="false">
      <c r="A5658" s="6" t="s">
        <v>10882</v>
      </c>
      <c r="B5658" s="6" t="s">
        <v>4745</v>
      </c>
      <c r="C5658" s="26" t="n">
        <v>46197</v>
      </c>
      <c r="D5658" s="6" t="s">
        <v>5127</v>
      </c>
      <c r="E5658" s="6" t="s">
        <v>21</v>
      </c>
      <c r="F5658" s="6" t="n">
        <v>1</v>
      </c>
      <c r="G5658" s="10" t="n">
        <v>795</v>
      </c>
      <c r="H5658" s="10" t="n">
        <f aca="false">F5658*G5658</f>
        <v>795</v>
      </c>
      <c r="I5658" s="6" t="s">
        <v>5122</v>
      </c>
    </row>
    <row r="5659" customFormat="false" ht="15" hidden="false" customHeight="false" outlineLevel="0" collapsed="false">
      <c r="A5659" s="6" t="s">
        <v>10883</v>
      </c>
      <c r="B5659" s="6" t="s">
        <v>5107</v>
      </c>
      <c r="C5659" s="26" t="n">
        <v>46197</v>
      </c>
      <c r="D5659" s="6" t="s">
        <v>5121</v>
      </c>
      <c r="E5659" s="6" t="s">
        <v>22</v>
      </c>
      <c r="F5659" s="6" t="n">
        <v>3</v>
      </c>
      <c r="G5659" s="10" t="n">
        <v>880</v>
      </c>
      <c r="H5659" s="10" t="n">
        <f aca="false">F5659*G5659</f>
        <v>2640</v>
      </c>
      <c r="I5659" s="6" t="s">
        <v>5122</v>
      </c>
    </row>
    <row r="5660" customFormat="false" ht="15" hidden="false" customHeight="false" outlineLevel="0" collapsed="false">
      <c r="A5660" s="6" t="s">
        <v>10884</v>
      </c>
      <c r="B5660" s="6" t="s">
        <v>2419</v>
      </c>
      <c r="C5660" s="26" t="n">
        <v>46197</v>
      </c>
      <c r="D5660" s="6" t="s">
        <v>5398</v>
      </c>
      <c r="E5660" s="6" t="s">
        <v>24</v>
      </c>
      <c r="F5660" s="6" t="n">
        <v>1</v>
      </c>
      <c r="G5660" s="10" t="n">
        <v>610</v>
      </c>
      <c r="H5660" s="10" t="n">
        <f aca="false">F5660*G5660</f>
        <v>610</v>
      </c>
      <c r="I5660" s="6" t="s">
        <v>5130</v>
      </c>
    </row>
    <row r="5661" customFormat="false" ht="15" hidden="false" customHeight="false" outlineLevel="0" collapsed="false">
      <c r="A5661" s="6" t="s">
        <v>10885</v>
      </c>
      <c r="B5661" s="6" t="s">
        <v>4039</v>
      </c>
      <c r="C5661" s="26" t="n">
        <v>46198</v>
      </c>
      <c r="D5661" s="6" t="s">
        <v>5482</v>
      </c>
      <c r="E5661" s="6" t="s">
        <v>23</v>
      </c>
      <c r="F5661" s="6" t="n">
        <v>3</v>
      </c>
      <c r="G5661" s="10" t="n">
        <v>269</v>
      </c>
      <c r="H5661" s="10" t="n">
        <f aca="false">F5661*G5661</f>
        <v>807</v>
      </c>
      <c r="I5661" s="6" t="s">
        <v>5122</v>
      </c>
    </row>
    <row r="5662" customFormat="false" ht="15" hidden="false" customHeight="false" outlineLevel="0" collapsed="false">
      <c r="A5662" s="6" t="s">
        <v>10886</v>
      </c>
      <c r="B5662" s="6" t="s">
        <v>3585</v>
      </c>
      <c r="C5662" s="26" t="n">
        <v>46198</v>
      </c>
      <c r="D5662" s="6" t="s">
        <v>5175</v>
      </c>
      <c r="E5662" s="6" t="s">
        <v>24</v>
      </c>
      <c r="F5662" s="6" t="n">
        <v>3</v>
      </c>
      <c r="G5662" s="10" t="n">
        <v>549</v>
      </c>
      <c r="H5662" s="10" t="n">
        <f aca="false">F5662*G5662</f>
        <v>1647</v>
      </c>
      <c r="I5662" s="6" t="s">
        <v>5125</v>
      </c>
    </row>
    <row r="5663" customFormat="false" ht="15" hidden="false" customHeight="false" outlineLevel="0" collapsed="false">
      <c r="A5663" s="6" t="s">
        <v>10887</v>
      </c>
      <c r="B5663" s="6" t="s">
        <v>4023</v>
      </c>
      <c r="C5663" s="26" t="n">
        <v>46198</v>
      </c>
      <c r="D5663" s="6" t="s">
        <v>5357</v>
      </c>
      <c r="E5663" s="6" t="s">
        <v>23</v>
      </c>
      <c r="F5663" s="6" t="n">
        <v>4</v>
      </c>
      <c r="G5663" s="10" t="n">
        <v>481</v>
      </c>
      <c r="H5663" s="10" t="n">
        <f aca="false">F5663*G5663</f>
        <v>1924</v>
      </c>
      <c r="I5663" s="6" t="s">
        <v>5122</v>
      </c>
    </row>
    <row r="5664" customFormat="false" ht="15" hidden="false" customHeight="false" outlineLevel="0" collapsed="false">
      <c r="A5664" s="6" t="s">
        <v>10888</v>
      </c>
      <c r="B5664" s="6" t="s">
        <v>3713</v>
      </c>
      <c r="C5664" s="26" t="n">
        <v>46198</v>
      </c>
      <c r="D5664" s="6" t="s">
        <v>5214</v>
      </c>
      <c r="E5664" s="6" t="s">
        <v>20</v>
      </c>
      <c r="F5664" s="6" t="n">
        <v>1</v>
      </c>
      <c r="G5664" s="10" t="n">
        <v>1835</v>
      </c>
      <c r="H5664" s="10" t="n">
        <f aca="false">F5664*G5664</f>
        <v>1835</v>
      </c>
      <c r="I5664" s="6" t="s">
        <v>5122</v>
      </c>
    </row>
    <row r="5665" customFormat="false" ht="15" hidden="false" customHeight="false" outlineLevel="0" collapsed="false">
      <c r="A5665" s="6" t="s">
        <v>10889</v>
      </c>
      <c r="B5665" s="6" t="s">
        <v>2207</v>
      </c>
      <c r="C5665" s="26" t="n">
        <v>46198</v>
      </c>
      <c r="D5665" s="6" t="s">
        <v>5121</v>
      </c>
      <c r="E5665" s="6" t="s">
        <v>22</v>
      </c>
      <c r="F5665" s="6" t="n">
        <v>1</v>
      </c>
      <c r="G5665" s="10" t="n">
        <v>927</v>
      </c>
      <c r="H5665" s="10" t="n">
        <f aca="false">F5665*G5665</f>
        <v>927</v>
      </c>
      <c r="I5665" s="6" t="s">
        <v>5148</v>
      </c>
    </row>
    <row r="5666" customFormat="false" ht="15" hidden="false" customHeight="false" outlineLevel="0" collapsed="false">
      <c r="A5666" s="6" t="s">
        <v>10890</v>
      </c>
      <c r="B5666" s="6" t="s">
        <v>4905</v>
      </c>
      <c r="C5666" s="26" t="n">
        <v>46198</v>
      </c>
      <c r="D5666" s="6" t="s">
        <v>5167</v>
      </c>
      <c r="E5666" s="6" t="s">
        <v>22</v>
      </c>
      <c r="F5666" s="6" t="n">
        <v>1</v>
      </c>
      <c r="G5666" s="10" t="n">
        <v>743</v>
      </c>
      <c r="H5666" s="10" t="n">
        <f aca="false">F5666*G5666</f>
        <v>743</v>
      </c>
      <c r="I5666" s="6" t="s">
        <v>5122</v>
      </c>
    </row>
    <row r="5667" customFormat="false" ht="15" hidden="false" customHeight="false" outlineLevel="0" collapsed="false">
      <c r="A5667" s="6" t="s">
        <v>10891</v>
      </c>
      <c r="B5667" s="6" t="s">
        <v>3301</v>
      </c>
      <c r="C5667" s="26" t="n">
        <v>46198</v>
      </c>
      <c r="D5667" s="6" t="s">
        <v>5200</v>
      </c>
      <c r="E5667" s="6" t="s">
        <v>24</v>
      </c>
      <c r="F5667" s="6" t="n">
        <v>1</v>
      </c>
      <c r="G5667" s="10" t="n">
        <v>687</v>
      </c>
      <c r="H5667" s="10" t="n">
        <f aca="false">F5667*G5667</f>
        <v>687</v>
      </c>
      <c r="I5667" s="6" t="s">
        <v>5122</v>
      </c>
    </row>
    <row r="5668" customFormat="false" ht="15" hidden="false" customHeight="false" outlineLevel="0" collapsed="false">
      <c r="A5668" s="6" t="s">
        <v>10892</v>
      </c>
      <c r="B5668" s="6" t="s">
        <v>1171</v>
      </c>
      <c r="C5668" s="26" t="n">
        <v>46198</v>
      </c>
      <c r="D5668" s="6" t="s">
        <v>5357</v>
      </c>
      <c r="E5668" s="6" t="s">
        <v>23</v>
      </c>
      <c r="F5668" s="6" t="n">
        <v>1</v>
      </c>
      <c r="G5668" s="10" t="n">
        <v>533</v>
      </c>
      <c r="H5668" s="10" t="n">
        <f aca="false">F5668*G5668</f>
        <v>533</v>
      </c>
      <c r="I5668" s="6" t="s">
        <v>5173</v>
      </c>
    </row>
    <row r="5669" customFormat="false" ht="15" hidden="false" customHeight="false" outlineLevel="0" collapsed="false">
      <c r="A5669" s="6" t="s">
        <v>10893</v>
      </c>
      <c r="B5669" s="6" t="s">
        <v>4703</v>
      </c>
      <c r="C5669" s="26" t="n">
        <v>46198</v>
      </c>
      <c r="D5669" s="6" t="s">
        <v>5167</v>
      </c>
      <c r="E5669" s="6" t="s">
        <v>22</v>
      </c>
      <c r="F5669" s="6" t="n">
        <v>2</v>
      </c>
      <c r="G5669" s="10" t="n">
        <v>782</v>
      </c>
      <c r="H5669" s="10" t="n">
        <f aca="false">F5669*G5669</f>
        <v>1564</v>
      </c>
      <c r="I5669" s="6" t="s">
        <v>5173</v>
      </c>
    </row>
    <row r="5670" customFormat="false" ht="15" hidden="false" customHeight="false" outlineLevel="0" collapsed="false">
      <c r="A5670" s="6" t="s">
        <v>10894</v>
      </c>
      <c r="B5670" s="6" t="s">
        <v>2537</v>
      </c>
      <c r="C5670" s="26" t="n">
        <v>46198</v>
      </c>
      <c r="D5670" s="6" t="s">
        <v>5158</v>
      </c>
      <c r="E5670" s="6" t="s">
        <v>24</v>
      </c>
      <c r="F5670" s="6" t="n">
        <v>1</v>
      </c>
      <c r="G5670" s="10" t="n">
        <v>433</v>
      </c>
      <c r="H5670" s="10" t="n">
        <f aca="false">F5670*G5670</f>
        <v>433</v>
      </c>
      <c r="I5670" s="6" t="s">
        <v>5122</v>
      </c>
    </row>
    <row r="5671" customFormat="false" ht="15" hidden="false" customHeight="false" outlineLevel="0" collapsed="false">
      <c r="A5671" s="6" t="s">
        <v>10895</v>
      </c>
      <c r="B5671" s="6" t="s">
        <v>2559</v>
      </c>
      <c r="C5671" s="26" t="n">
        <v>46198</v>
      </c>
      <c r="D5671" s="6" t="s">
        <v>5292</v>
      </c>
      <c r="E5671" s="6" t="s">
        <v>21</v>
      </c>
      <c r="F5671" s="6" t="n">
        <v>1</v>
      </c>
      <c r="G5671" s="10" t="n">
        <v>6880</v>
      </c>
      <c r="H5671" s="10" t="n">
        <f aca="false">F5671*G5671</f>
        <v>6880</v>
      </c>
      <c r="I5671" s="6" t="s">
        <v>5148</v>
      </c>
    </row>
    <row r="5672" customFormat="false" ht="15" hidden="false" customHeight="false" outlineLevel="0" collapsed="false">
      <c r="A5672" s="6" t="s">
        <v>10896</v>
      </c>
      <c r="B5672" s="6" t="s">
        <v>3927</v>
      </c>
      <c r="C5672" s="26" t="n">
        <v>46198</v>
      </c>
      <c r="D5672" s="6" t="s">
        <v>5185</v>
      </c>
      <c r="E5672" s="6" t="s">
        <v>24</v>
      </c>
      <c r="F5672" s="6" t="n">
        <v>3</v>
      </c>
      <c r="G5672" s="10" t="n">
        <v>2140</v>
      </c>
      <c r="H5672" s="10" t="n">
        <f aca="false">F5672*G5672</f>
        <v>6420</v>
      </c>
      <c r="I5672" s="6" t="s">
        <v>5122</v>
      </c>
    </row>
    <row r="5673" customFormat="false" ht="15" hidden="false" customHeight="false" outlineLevel="0" collapsed="false">
      <c r="A5673" s="6" t="s">
        <v>10897</v>
      </c>
      <c r="B5673" s="6" t="s">
        <v>549</v>
      </c>
      <c r="C5673" s="26" t="n">
        <v>46198</v>
      </c>
      <c r="D5673" s="6" t="s">
        <v>5163</v>
      </c>
      <c r="E5673" s="6" t="s">
        <v>23</v>
      </c>
      <c r="F5673" s="6" t="n">
        <v>3</v>
      </c>
      <c r="G5673" s="10" t="n">
        <v>744</v>
      </c>
      <c r="H5673" s="10" t="n">
        <f aca="false">F5673*G5673</f>
        <v>2232</v>
      </c>
      <c r="I5673" s="6" t="s">
        <v>5122</v>
      </c>
    </row>
    <row r="5674" customFormat="false" ht="15" hidden="false" customHeight="false" outlineLevel="0" collapsed="false">
      <c r="A5674" s="6" t="s">
        <v>10898</v>
      </c>
      <c r="B5674" s="6" t="s">
        <v>2613</v>
      </c>
      <c r="C5674" s="26" t="n">
        <v>46198</v>
      </c>
      <c r="D5674" s="6" t="s">
        <v>5235</v>
      </c>
      <c r="E5674" s="6" t="s">
        <v>21</v>
      </c>
      <c r="F5674" s="6" t="n">
        <v>3</v>
      </c>
      <c r="G5674" s="10" t="n">
        <v>1586</v>
      </c>
      <c r="H5674" s="10" t="n">
        <f aca="false">F5674*G5674</f>
        <v>4758</v>
      </c>
      <c r="I5674" s="6" t="s">
        <v>5125</v>
      </c>
    </row>
    <row r="5675" customFormat="false" ht="15" hidden="false" customHeight="false" outlineLevel="0" collapsed="false">
      <c r="A5675" s="6" t="s">
        <v>10899</v>
      </c>
      <c r="B5675" s="6" t="s">
        <v>4399</v>
      </c>
      <c r="C5675" s="26" t="n">
        <v>46198</v>
      </c>
      <c r="D5675" s="6" t="s">
        <v>5167</v>
      </c>
      <c r="E5675" s="6" t="s">
        <v>22</v>
      </c>
      <c r="F5675" s="6" t="n">
        <v>1</v>
      </c>
      <c r="G5675" s="10" t="n">
        <v>742</v>
      </c>
      <c r="H5675" s="10" t="n">
        <f aca="false">F5675*G5675</f>
        <v>742</v>
      </c>
      <c r="I5675" s="6" t="s">
        <v>5148</v>
      </c>
    </row>
    <row r="5676" customFormat="false" ht="15" hidden="false" customHeight="false" outlineLevel="0" collapsed="false">
      <c r="A5676" s="6" t="s">
        <v>10900</v>
      </c>
      <c r="B5676" s="6" t="s">
        <v>3247</v>
      </c>
      <c r="C5676" s="26" t="n">
        <v>46198</v>
      </c>
      <c r="D5676" s="6" t="s">
        <v>5163</v>
      </c>
      <c r="E5676" s="6" t="s">
        <v>23</v>
      </c>
      <c r="F5676" s="6" t="n">
        <v>2</v>
      </c>
      <c r="G5676" s="10" t="n">
        <v>744</v>
      </c>
      <c r="H5676" s="10" t="n">
        <f aca="false">F5676*G5676</f>
        <v>1488</v>
      </c>
      <c r="I5676" s="6" t="s">
        <v>5122</v>
      </c>
    </row>
    <row r="5677" customFormat="false" ht="15" hidden="false" customHeight="false" outlineLevel="0" collapsed="false">
      <c r="A5677" s="6" t="s">
        <v>10901</v>
      </c>
      <c r="B5677" s="6" t="s">
        <v>2269</v>
      </c>
      <c r="C5677" s="26" t="n">
        <v>46198</v>
      </c>
      <c r="D5677" s="6" t="s">
        <v>5269</v>
      </c>
      <c r="E5677" s="6" t="s">
        <v>22</v>
      </c>
      <c r="F5677" s="6" t="n">
        <v>1</v>
      </c>
      <c r="G5677" s="10" t="n">
        <v>1271</v>
      </c>
      <c r="H5677" s="10" t="n">
        <f aca="false">F5677*G5677</f>
        <v>1271</v>
      </c>
      <c r="I5677" s="6" t="s">
        <v>5122</v>
      </c>
    </row>
    <row r="5678" customFormat="false" ht="15" hidden="false" customHeight="false" outlineLevel="0" collapsed="false">
      <c r="A5678" s="6" t="s">
        <v>10902</v>
      </c>
      <c r="B5678" s="6" t="s">
        <v>4583</v>
      </c>
      <c r="C5678" s="26" t="n">
        <v>46198</v>
      </c>
      <c r="D5678" s="6" t="s">
        <v>5147</v>
      </c>
      <c r="E5678" s="6" t="s">
        <v>24</v>
      </c>
      <c r="F5678" s="6" t="n">
        <v>2</v>
      </c>
      <c r="G5678" s="10" t="n">
        <v>628</v>
      </c>
      <c r="H5678" s="10" t="n">
        <f aca="false">F5678*G5678</f>
        <v>1256</v>
      </c>
      <c r="I5678" s="6" t="s">
        <v>5122</v>
      </c>
    </row>
    <row r="5679" customFormat="false" ht="15" hidden="false" customHeight="false" outlineLevel="0" collapsed="false">
      <c r="A5679" s="6" t="s">
        <v>10903</v>
      </c>
      <c r="B5679" s="6" t="s">
        <v>2421</v>
      </c>
      <c r="C5679" s="26" t="n">
        <v>46198</v>
      </c>
      <c r="D5679" s="6" t="s">
        <v>5171</v>
      </c>
      <c r="E5679" s="6" t="s">
        <v>23</v>
      </c>
      <c r="F5679" s="6" t="n">
        <v>3</v>
      </c>
      <c r="G5679" s="10" t="n">
        <v>734</v>
      </c>
      <c r="H5679" s="10" t="n">
        <f aca="false">F5679*G5679</f>
        <v>2202</v>
      </c>
      <c r="I5679" s="6" t="s">
        <v>5133</v>
      </c>
    </row>
    <row r="5680" customFormat="false" ht="15" hidden="false" customHeight="false" outlineLevel="0" collapsed="false">
      <c r="A5680" s="6" t="s">
        <v>10904</v>
      </c>
      <c r="B5680" s="6" t="s">
        <v>1069</v>
      </c>
      <c r="C5680" s="26" t="n">
        <v>46198</v>
      </c>
      <c r="D5680" s="6" t="s">
        <v>5216</v>
      </c>
      <c r="E5680" s="6" t="s">
        <v>23</v>
      </c>
      <c r="F5680" s="6" t="n">
        <v>3</v>
      </c>
      <c r="G5680" s="10" t="n">
        <v>587</v>
      </c>
      <c r="H5680" s="10" t="n">
        <f aca="false">F5680*G5680</f>
        <v>1761</v>
      </c>
      <c r="I5680" s="6" t="s">
        <v>5122</v>
      </c>
    </row>
    <row r="5681" customFormat="false" ht="15" hidden="false" customHeight="false" outlineLevel="0" collapsed="false">
      <c r="A5681" s="6" t="s">
        <v>10905</v>
      </c>
      <c r="B5681" s="6" t="s">
        <v>211</v>
      </c>
      <c r="C5681" s="26" t="n">
        <v>46198</v>
      </c>
      <c r="D5681" s="6" t="s">
        <v>5197</v>
      </c>
      <c r="E5681" s="6" t="s">
        <v>21</v>
      </c>
      <c r="F5681" s="6" t="n">
        <v>1</v>
      </c>
      <c r="G5681" s="10" t="n">
        <v>1080</v>
      </c>
      <c r="H5681" s="10" t="n">
        <f aca="false">F5681*G5681</f>
        <v>1080</v>
      </c>
      <c r="I5681" s="6" t="s">
        <v>5125</v>
      </c>
    </row>
    <row r="5682" customFormat="false" ht="15" hidden="false" customHeight="false" outlineLevel="0" collapsed="false">
      <c r="A5682" s="6" t="s">
        <v>10906</v>
      </c>
      <c r="B5682" s="6" t="s">
        <v>4797</v>
      </c>
      <c r="C5682" s="26" t="n">
        <v>46198</v>
      </c>
      <c r="D5682" s="6" t="s">
        <v>5216</v>
      </c>
      <c r="E5682" s="6" t="s">
        <v>23</v>
      </c>
      <c r="F5682" s="6" t="n">
        <v>2</v>
      </c>
      <c r="G5682" s="10" t="n">
        <v>587</v>
      </c>
      <c r="H5682" s="10" t="n">
        <f aca="false">F5682*G5682</f>
        <v>1174</v>
      </c>
      <c r="I5682" s="6" t="s">
        <v>5122</v>
      </c>
    </row>
    <row r="5683" customFormat="false" ht="15" hidden="false" customHeight="false" outlineLevel="0" collapsed="false">
      <c r="A5683" s="6" t="s">
        <v>10907</v>
      </c>
      <c r="B5683" s="6" t="s">
        <v>4033</v>
      </c>
      <c r="C5683" s="26" t="n">
        <v>46198</v>
      </c>
      <c r="D5683" s="6" t="s">
        <v>5357</v>
      </c>
      <c r="E5683" s="6" t="s">
        <v>23</v>
      </c>
      <c r="F5683" s="6" t="n">
        <v>1</v>
      </c>
      <c r="G5683" s="10" t="n">
        <v>507</v>
      </c>
      <c r="H5683" s="10" t="n">
        <f aca="false">F5683*G5683</f>
        <v>507</v>
      </c>
      <c r="I5683" s="6" t="s">
        <v>5122</v>
      </c>
    </row>
    <row r="5684" customFormat="false" ht="15" hidden="false" customHeight="false" outlineLevel="0" collapsed="false">
      <c r="A5684" s="6" t="s">
        <v>10908</v>
      </c>
      <c r="B5684" s="6" t="s">
        <v>2671</v>
      </c>
      <c r="C5684" s="26" t="n">
        <v>46198</v>
      </c>
      <c r="D5684" s="6" t="s">
        <v>5167</v>
      </c>
      <c r="E5684" s="6" t="s">
        <v>22</v>
      </c>
      <c r="F5684" s="6" t="n">
        <v>3</v>
      </c>
      <c r="G5684" s="10" t="n">
        <v>782</v>
      </c>
      <c r="H5684" s="10" t="n">
        <f aca="false">F5684*G5684</f>
        <v>2346</v>
      </c>
      <c r="I5684" s="6" t="s">
        <v>5125</v>
      </c>
    </row>
    <row r="5685" customFormat="false" ht="15" hidden="false" customHeight="false" outlineLevel="0" collapsed="false">
      <c r="A5685" s="6" t="s">
        <v>10909</v>
      </c>
      <c r="B5685" s="6" t="s">
        <v>641</v>
      </c>
      <c r="C5685" s="26" t="n">
        <v>46198</v>
      </c>
      <c r="D5685" s="6" t="s">
        <v>5160</v>
      </c>
      <c r="E5685" s="6" t="s">
        <v>21</v>
      </c>
      <c r="F5685" s="6" t="n">
        <v>3</v>
      </c>
      <c r="G5685" s="10" t="n">
        <v>2476</v>
      </c>
      <c r="H5685" s="10" t="n">
        <f aca="false">F5685*G5685</f>
        <v>7428</v>
      </c>
      <c r="I5685" s="6" t="s">
        <v>5173</v>
      </c>
    </row>
    <row r="5686" customFormat="false" ht="15" hidden="false" customHeight="false" outlineLevel="0" collapsed="false">
      <c r="A5686" s="6" t="s">
        <v>10910</v>
      </c>
      <c r="B5686" s="6" t="s">
        <v>3273</v>
      </c>
      <c r="C5686" s="26" t="n">
        <v>46198</v>
      </c>
      <c r="D5686" s="6" t="s">
        <v>5121</v>
      </c>
      <c r="E5686" s="6" t="s">
        <v>22</v>
      </c>
      <c r="F5686" s="6" t="n">
        <v>1</v>
      </c>
      <c r="G5686" s="10" t="n">
        <v>977</v>
      </c>
      <c r="H5686" s="10" t="n">
        <f aca="false">F5686*G5686</f>
        <v>977</v>
      </c>
      <c r="I5686" s="6" t="s">
        <v>5122</v>
      </c>
    </row>
    <row r="5687" customFormat="false" ht="15" hidden="false" customHeight="false" outlineLevel="0" collapsed="false">
      <c r="A5687" s="6" t="s">
        <v>10911</v>
      </c>
      <c r="B5687" s="6" t="s">
        <v>322</v>
      </c>
      <c r="C5687" s="26" t="n">
        <v>46198</v>
      </c>
      <c r="D5687" s="6" t="s">
        <v>5207</v>
      </c>
      <c r="E5687" s="6" t="s">
        <v>20</v>
      </c>
      <c r="F5687" s="6" t="n">
        <v>1</v>
      </c>
      <c r="G5687" s="10" t="n">
        <v>1325</v>
      </c>
      <c r="H5687" s="10" t="n">
        <f aca="false">F5687*G5687</f>
        <v>1325</v>
      </c>
      <c r="I5687" s="6" t="s">
        <v>5130</v>
      </c>
    </row>
    <row r="5688" customFormat="false" ht="15" hidden="false" customHeight="false" outlineLevel="0" collapsed="false">
      <c r="A5688" s="6" t="s">
        <v>10912</v>
      </c>
      <c r="B5688" s="6" t="s">
        <v>4397</v>
      </c>
      <c r="C5688" s="26" t="n">
        <v>46198</v>
      </c>
      <c r="D5688" s="6" t="s">
        <v>5257</v>
      </c>
      <c r="E5688" s="6" t="s">
        <v>22</v>
      </c>
      <c r="F5688" s="6" t="n">
        <v>1</v>
      </c>
      <c r="G5688" s="10" t="n">
        <v>2248</v>
      </c>
      <c r="H5688" s="10" t="n">
        <f aca="false">F5688*G5688</f>
        <v>2248</v>
      </c>
      <c r="I5688" s="6" t="s">
        <v>5122</v>
      </c>
    </row>
    <row r="5689" customFormat="false" ht="15" hidden="false" customHeight="false" outlineLevel="0" collapsed="false">
      <c r="A5689" s="6" t="s">
        <v>10913</v>
      </c>
      <c r="B5689" s="6" t="s">
        <v>4053</v>
      </c>
      <c r="C5689" s="26" t="n">
        <v>46198</v>
      </c>
      <c r="D5689" s="6" t="s">
        <v>5242</v>
      </c>
      <c r="E5689" s="6" t="s">
        <v>23</v>
      </c>
      <c r="F5689" s="6" t="n">
        <v>4</v>
      </c>
      <c r="G5689" s="10" t="n">
        <v>372</v>
      </c>
      <c r="H5689" s="10" t="n">
        <f aca="false">F5689*G5689</f>
        <v>1488</v>
      </c>
      <c r="I5689" s="6" t="s">
        <v>5122</v>
      </c>
    </row>
    <row r="5690" customFormat="false" ht="15" hidden="false" customHeight="false" outlineLevel="0" collapsed="false">
      <c r="A5690" s="6" t="s">
        <v>10914</v>
      </c>
      <c r="B5690" s="6" t="s">
        <v>154</v>
      </c>
      <c r="C5690" s="26" t="n">
        <v>46198</v>
      </c>
      <c r="D5690" s="6" t="s">
        <v>5707</v>
      </c>
      <c r="E5690" s="6" t="s">
        <v>22</v>
      </c>
      <c r="F5690" s="6" t="n">
        <v>3</v>
      </c>
      <c r="G5690" s="10" t="n">
        <v>2445</v>
      </c>
      <c r="H5690" s="10" t="n">
        <f aca="false">F5690*G5690</f>
        <v>7335</v>
      </c>
      <c r="I5690" s="6" t="s">
        <v>5122</v>
      </c>
    </row>
    <row r="5691" customFormat="false" ht="15" hidden="false" customHeight="false" outlineLevel="0" collapsed="false">
      <c r="A5691" s="6" t="s">
        <v>10915</v>
      </c>
      <c r="B5691" s="6" t="s">
        <v>1401</v>
      </c>
      <c r="C5691" s="26" t="n">
        <v>46198</v>
      </c>
      <c r="D5691" s="6" t="s">
        <v>5197</v>
      </c>
      <c r="E5691" s="6" t="s">
        <v>21</v>
      </c>
      <c r="F5691" s="6" t="n">
        <v>1</v>
      </c>
      <c r="G5691" s="10" t="n">
        <v>1026</v>
      </c>
      <c r="H5691" s="10" t="n">
        <f aca="false">F5691*G5691</f>
        <v>1026</v>
      </c>
      <c r="I5691" s="6" t="s">
        <v>5122</v>
      </c>
    </row>
    <row r="5692" customFormat="false" ht="15" hidden="false" customHeight="false" outlineLevel="0" collapsed="false">
      <c r="A5692" s="6" t="s">
        <v>10916</v>
      </c>
      <c r="B5692" s="6" t="s">
        <v>1421</v>
      </c>
      <c r="C5692" s="26" t="n">
        <v>46198</v>
      </c>
      <c r="D5692" s="6" t="s">
        <v>5156</v>
      </c>
      <c r="E5692" s="6" t="s">
        <v>21</v>
      </c>
      <c r="F5692" s="6" t="n">
        <v>1</v>
      </c>
      <c r="G5692" s="10" t="n">
        <v>2054</v>
      </c>
      <c r="H5692" s="10" t="n">
        <f aca="false">F5692*G5692</f>
        <v>2054</v>
      </c>
      <c r="I5692" s="6" t="s">
        <v>5122</v>
      </c>
    </row>
    <row r="5693" customFormat="false" ht="15" hidden="false" customHeight="false" outlineLevel="0" collapsed="false">
      <c r="A5693" s="6" t="s">
        <v>10917</v>
      </c>
      <c r="B5693" s="6" t="s">
        <v>4387</v>
      </c>
      <c r="C5693" s="26" t="n">
        <v>46198</v>
      </c>
      <c r="D5693" s="6" t="s">
        <v>5269</v>
      </c>
      <c r="E5693" s="6" t="s">
        <v>22</v>
      </c>
      <c r="F5693" s="6" t="n">
        <v>2</v>
      </c>
      <c r="G5693" s="10" t="n">
        <v>1271</v>
      </c>
      <c r="H5693" s="10" t="n">
        <f aca="false">F5693*G5693</f>
        <v>2542</v>
      </c>
      <c r="I5693" s="6" t="s">
        <v>5133</v>
      </c>
    </row>
    <row r="5694" customFormat="false" ht="15" hidden="false" customHeight="false" outlineLevel="0" collapsed="false">
      <c r="A5694" s="6" t="s">
        <v>10918</v>
      </c>
      <c r="B5694" s="6" t="s">
        <v>4527</v>
      </c>
      <c r="C5694" s="26" t="n">
        <v>46198</v>
      </c>
      <c r="D5694" s="6" t="s">
        <v>5200</v>
      </c>
      <c r="E5694" s="6" t="s">
        <v>24</v>
      </c>
      <c r="F5694" s="6" t="n">
        <v>3</v>
      </c>
      <c r="G5694" s="10" t="n">
        <v>725</v>
      </c>
      <c r="H5694" s="10" t="n">
        <f aca="false">F5694*G5694</f>
        <v>2175</v>
      </c>
      <c r="I5694" s="6" t="s">
        <v>5130</v>
      </c>
    </row>
    <row r="5695" customFormat="false" ht="15" hidden="false" customHeight="false" outlineLevel="0" collapsed="false">
      <c r="A5695" s="6" t="s">
        <v>10919</v>
      </c>
      <c r="B5695" s="6" t="s">
        <v>1905</v>
      </c>
      <c r="C5695" s="26" t="n">
        <v>46198</v>
      </c>
      <c r="D5695" s="6" t="s">
        <v>5807</v>
      </c>
      <c r="E5695" s="6" t="s">
        <v>20</v>
      </c>
      <c r="F5695" s="6" t="n">
        <v>1</v>
      </c>
      <c r="G5695" s="10" t="n">
        <v>15296</v>
      </c>
      <c r="H5695" s="10" t="n">
        <f aca="false">F5695*G5695</f>
        <v>15296</v>
      </c>
      <c r="I5695" s="6" t="s">
        <v>5148</v>
      </c>
    </row>
    <row r="5696" customFormat="false" ht="15" hidden="false" customHeight="false" outlineLevel="0" collapsed="false">
      <c r="A5696" s="6" t="s">
        <v>10920</v>
      </c>
      <c r="B5696" s="6" t="s">
        <v>2609</v>
      </c>
      <c r="C5696" s="26" t="n">
        <v>46198</v>
      </c>
      <c r="D5696" s="6" t="s">
        <v>5749</v>
      </c>
      <c r="E5696" s="6" t="s">
        <v>20</v>
      </c>
      <c r="F5696" s="6" t="n">
        <v>1</v>
      </c>
      <c r="G5696" s="10" t="n">
        <v>815</v>
      </c>
      <c r="H5696" s="10" t="n">
        <f aca="false">F5696*G5696</f>
        <v>815</v>
      </c>
      <c r="I5696" s="6" t="s">
        <v>5122</v>
      </c>
    </row>
    <row r="5697" customFormat="false" ht="15" hidden="false" customHeight="false" outlineLevel="0" collapsed="false">
      <c r="A5697" s="6" t="s">
        <v>10921</v>
      </c>
      <c r="B5697" s="6" t="s">
        <v>2729</v>
      </c>
      <c r="C5697" s="26" t="n">
        <v>46198</v>
      </c>
      <c r="D5697" s="6" t="s">
        <v>5169</v>
      </c>
      <c r="E5697" s="6" t="s">
        <v>20</v>
      </c>
      <c r="F5697" s="6" t="n">
        <v>2</v>
      </c>
      <c r="G5697" s="10" t="n">
        <v>4843</v>
      </c>
      <c r="H5697" s="10" t="n">
        <f aca="false">F5697*G5697</f>
        <v>9686</v>
      </c>
      <c r="I5697" s="6" t="s">
        <v>5122</v>
      </c>
    </row>
    <row r="5698" customFormat="false" ht="15" hidden="false" customHeight="false" outlineLevel="0" collapsed="false">
      <c r="A5698" s="6" t="s">
        <v>10922</v>
      </c>
      <c r="B5698" s="6" t="s">
        <v>761</v>
      </c>
      <c r="C5698" s="26" t="n">
        <v>46199</v>
      </c>
      <c r="D5698" s="6" t="s">
        <v>5357</v>
      </c>
      <c r="E5698" s="6" t="s">
        <v>23</v>
      </c>
      <c r="F5698" s="6" t="n">
        <v>3</v>
      </c>
      <c r="G5698" s="10" t="n">
        <v>507</v>
      </c>
      <c r="H5698" s="10" t="n">
        <f aca="false">F5698*G5698</f>
        <v>1521</v>
      </c>
      <c r="I5698" s="6" t="s">
        <v>5122</v>
      </c>
    </row>
    <row r="5699" customFormat="false" ht="15" hidden="false" customHeight="false" outlineLevel="0" collapsed="false">
      <c r="A5699" s="6" t="s">
        <v>10923</v>
      </c>
      <c r="B5699" s="6" t="s">
        <v>2847</v>
      </c>
      <c r="C5699" s="26" t="n">
        <v>46199</v>
      </c>
      <c r="D5699" s="6" t="s">
        <v>5141</v>
      </c>
      <c r="E5699" s="6" t="s">
        <v>20</v>
      </c>
      <c r="F5699" s="6" t="n">
        <v>1</v>
      </c>
      <c r="G5699" s="10" t="n">
        <v>1835</v>
      </c>
      <c r="H5699" s="10" t="n">
        <f aca="false">F5699*G5699</f>
        <v>1835</v>
      </c>
      <c r="I5699" s="6" t="s">
        <v>5148</v>
      </c>
    </row>
    <row r="5700" customFormat="false" ht="15" hidden="false" customHeight="false" outlineLevel="0" collapsed="false">
      <c r="A5700" s="6" t="s">
        <v>10924</v>
      </c>
      <c r="B5700" s="6" t="s">
        <v>2139</v>
      </c>
      <c r="C5700" s="26" t="n">
        <v>46199</v>
      </c>
      <c r="D5700" s="6" t="s">
        <v>5687</v>
      </c>
      <c r="E5700" s="6" t="s">
        <v>20</v>
      </c>
      <c r="F5700" s="6" t="n">
        <v>1</v>
      </c>
      <c r="G5700" s="10" t="n">
        <v>2039</v>
      </c>
      <c r="H5700" s="10" t="n">
        <f aca="false">F5700*G5700</f>
        <v>2039</v>
      </c>
      <c r="I5700" s="6" t="s">
        <v>5122</v>
      </c>
    </row>
    <row r="5701" customFormat="false" ht="15" hidden="false" customHeight="false" outlineLevel="0" collapsed="false">
      <c r="A5701" s="6" t="s">
        <v>10925</v>
      </c>
      <c r="B5701" s="6" t="s">
        <v>1815</v>
      </c>
      <c r="C5701" s="26" t="n">
        <v>46199</v>
      </c>
      <c r="D5701" s="6" t="s">
        <v>5383</v>
      </c>
      <c r="E5701" s="6" t="s">
        <v>20</v>
      </c>
      <c r="F5701" s="6" t="n">
        <v>1</v>
      </c>
      <c r="G5701" s="10" t="n">
        <v>1008</v>
      </c>
      <c r="H5701" s="10" t="n">
        <f aca="false">F5701*G5701</f>
        <v>1008</v>
      </c>
      <c r="I5701" s="6" t="s">
        <v>5122</v>
      </c>
    </row>
    <row r="5702" customFormat="false" ht="15" hidden="false" customHeight="false" outlineLevel="0" collapsed="false">
      <c r="A5702" s="6" t="s">
        <v>10926</v>
      </c>
      <c r="B5702" s="6" t="s">
        <v>4385</v>
      </c>
      <c r="C5702" s="26" t="n">
        <v>46199</v>
      </c>
      <c r="D5702" s="6" t="s">
        <v>5171</v>
      </c>
      <c r="E5702" s="6" t="s">
        <v>23</v>
      </c>
      <c r="F5702" s="6" t="n">
        <v>4</v>
      </c>
      <c r="G5702" s="10" t="n">
        <v>734</v>
      </c>
      <c r="H5702" s="10" t="n">
        <f aca="false">F5702*G5702</f>
        <v>2936</v>
      </c>
      <c r="I5702" s="6" t="s">
        <v>5125</v>
      </c>
    </row>
    <row r="5703" customFormat="false" ht="15" hidden="false" customHeight="false" outlineLevel="0" collapsed="false">
      <c r="A5703" s="6" t="s">
        <v>10927</v>
      </c>
      <c r="B5703" s="6" t="s">
        <v>2059</v>
      </c>
      <c r="C5703" s="26" t="n">
        <v>46199</v>
      </c>
      <c r="D5703" s="6" t="s">
        <v>5216</v>
      </c>
      <c r="E5703" s="6" t="s">
        <v>23</v>
      </c>
      <c r="F5703" s="6" t="n">
        <v>2</v>
      </c>
      <c r="G5703" s="10" t="n">
        <v>528</v>
      </c>
      <c r="H5703" s="10" t="n">
        <f aca="false">F5703*G5703</f>
        <v>1056</v>
      </c>
      <c r="I5703" s="6" t="s">
        <v>5122</v>
      </c>
    </row>
    <row r="5704" customFormat="false" ht="15" hidden="false" customHeight="false" outlineLevel="0" collapsed="false">
      <c r="A5704" s="6" t="s">
        <v>10928</v>
      </c>
      <c r="B5704" s="6" t="s">
        <v>1325</v>
      </c>
      <c r="C5704" s="26" t="n">
        <v>46199</v>
      </c>
      <c r="D5704" s="6" t="s">
        <v>5242</v>
      </c>
      <c r="E5704" s="6" t="s">
        <v>23</v>
      </c>
      <c r="F5704" s="6" t="n">
        <v>3</v>
      </c>
      <c r="G5704" s="10" t="n">
        <v>354</v>
      </c>
      <c r="H5704" s="10" t="n">
        <f aca="false">F5704*G5704</f>
        <v>1062</v>
      </c>
      <c r="I5704" s="6" t="s">
        <v>5125</v>
      </c>
    </row>
    <row r="5705" customFormat="false" ht="15" hidden="false" customHeight="false" outlineLevel="0" collapsed="false">
      <c r="A5705" s="6" t="s">
        <v>10929</v>
      </c>
      <c r="B5705" s="6" t="s">
        <v>4353</v>
      </c>
      <c r="C5705" s="26" t="n">
        <v>46199</v>
      </c>
      <c r="D5705" s="6" t="s">
        <v>5456</v>
      </c>
      <c r="E5705" s="6" t="s">
        <v>24</v>
      </c>
      <c r="F5705" s="6" t="n">
        <v>1</v>
      </c>
      <c r="G5705" s="10" t="n">
        <v>912</v>
      </c>
      <c r="H5705" s="10" t="n">
        <f aca="false">F5705*G5705</f>
        <v>912</v>
      </c>
      <c r="I5705" s="6" t="s">
        <v>5148</v>
      </c>
    </row>
    <row r="5706" customFormat="false" ht="15" hidden="false" customHeight="false" outlineLevel="0" collapsed="false">
      <c r="A5706" s="6" t="s">
        <v>10930</v>
      </c>
      <c r="B5706" s="6" t="s">
        <v>3259</v>
      </c>
      <c r="C5706" s="26" t="n">
        <v>46199</v>
      </c>
      <c r="D5706" s="6" t="s">
        <v>5141</v>
      </c>
      <c r="E5706" s="6" t="s">
        <v>20</v>
      </c>
      <c r="F5706" s="6" t="n">
        <v>1</v>
      </c>
      <c r="G5706" s="10" t="n">
        <v>1742</v>
      </c>
      <c r="H5706" s="10" t="n">
        <f aca="false">F5706*G5706</f>
        <v>1742</v>
      </c>
      <c r="I5706" s="6" t="s">
        <v>5148</v>
      </c>
    </row>
    <row r="5707" customFormat="false" ht="15" hidden="false" customHeight="false" outlineLevel="0" collapsed="false">
      <c r="A5707" s="6" t="s">
        <v>10931</v>
      </c>
      <c r="B5707" s="6" t="s">
        <v>113</v>
      </c>
      <c r="C5707" s="26" t="n">
        <v>46199</v>
      </c>
      <c r="D5707" s="6" t="s">
        <v>6149</v>
      </c>
      <c r="E5707" s="6" t="s">
        <v>20</v>
      </c>
      <c r="F5707" s="6" t="n">
        <v>1</v>
      </c>
      <c r="G5707" s="10" t="n">
        <v>27999</v>
      </c>
      <c r="H5707" s="10" t="n">
        <f aca="false">F5707*G5707</f>
        <v>27999</v>
      </c>
      <c r="I5707" s="6" t="s">
        <v>5122</v>
      </c>
    </row>
    <row r="5708" customFormat="false" ht="15" hidden="false" customHeight="false" outlineLevel="0" collapsed="false">
      <c r="A5708" s="6" t="s">
        <v>10932</v>
      </c>
      <c r="B5708" s="6" t="s">
        <v>751</v>
      </c>
      <c r="C5708" s="26" t="n">
        <v>46199</v>
      </c>
      <c r="D5708" s="6" t="s">
        <v>5121</v>
      </c>
      <c r="E5708" s="6" t="s">
        <v>22</v>
      </c>
      <c r="F5708" s="6" t="n">
        <v>1</v>
      </c>
      <c r="G5708" s="10" t="n">
        <v>977</v>
      </c>
      <c r="H5708" s="10" t="n">
        <f aca="false">F5708*G5708</f>
        <v>977</v>
      </c>
      <c r="I5708" s="6" t="s">
        <v>5122</v>
      </c>
    </row>
    <row r="5709" customFormat="false" ht="15" hidden="false" customHeight="false" outlineLevel="0" collapsed="false">
      <c r="A5709" s="6" t="s">
        <v>10933</v>
      </c>
      <c r="B5709" s="6" t="s">
        <v>703</v>
      </c>
      <c r="C5709" s="26" t="n">
        <v>46199</v>
      </c>
      <c r="D5709" s="6" t="s">
        <v>5245</v>
      </c>
      <c r="E5709" s="6" t="s">
        <v>21</v>
      </c>
      <c r="F5709" s="6" t="n">
        <v>1</v>
      </c>
      <c r="G5709" s="10" t="n">
        <v>2456</v>
      </c>
      <c r="H5709" s="10" t="n">
        <f aca="false">F5709*G5709</f>
        <v>2456</v>
      </c>
      <c r="I5709" s="6" t="s">
        <v>5148</v>
      </c>
    </row>
    <row r="5710" customFormat="false" ht="15" hidden="false" customHeight="false" outlineLevel="0" collapsed="false">
      <c r="A5710" s="6" t="s">
        <v>10934</v>
      </c>
      <c r="B5710" s="6" t="s">
        <v>1039</v>
      </c>
      <c r="C5710" s="26" t="n">
        <v>46199</v>
      </c>
      <c r="D5710" s="6" t="s">
        <v>5345</v>
      </c>
      <c r="E5710" s="6" t="s">
        <v>23</v>
      </c>
      <c r="F5710" s="6" t="n">
        <v>2</v>
      </c>
      <c r="G5710" s="10" t="n">
        <v>392</v>
      </c>
      <c r="H5710" s="10" t="n">
        <f aca="false">F5710*G5710</f>
        <v>784</v>
      </c>
      <c r="I5710" s="6" t="s">
        <v>5148</v>
      </c>
    </row>
    <row r="5711" customFormat="false" ht="15" hidden="false" customHeight="false" outlineLevel="0" collapsed="false">
      <c r="A5711" s="6" t="s">
        <v>10935</v>
      </c>
      <c r="B5711" s="6" t="s">
        <v>2493</v>
      </c>
      <c r="C5711" s="26" t="n">
        <v>46199</v>
      </c>
      <c r="D5711" s="6" t="s">
        <v>5127</v>
      </c>
      <c r="E5711" s="6" t="s">
        <v>21</v>
      </c>
      <c r="F5711" s="6" t="n">
        <v>1</v>
      </c>
      <c r="G5711" s="10" t="n">
        <v>839</v>
      </c>
      <c r="H5711" s="10" t="n">
        <f aca="false">F5711*G5711</f>
        <v>839</v>
      </c>
      <c r="I5711" s="6" t="s">
        <v>5148</v>
      </c>
    </row>
    <row r="5712" customFormat="false" ht="15" hidden="false" customHeight="false" outlineLevel="0" collapsed="false">
      <c r="A5712" s="6" t="s">
        <v>10936</v>
      </c>
      <c r="B5712" s="6" t="s">
        <v>1679</v>
      </c>
      <c r="C5712" s="26" t="n">
        <v>46199</v>
      </c>
      <c r="D5712" s="6" t="s">
        <v>5175</v>
      </c>
      <c r="E5712" s="6" t="s">
        <v>24</v>
      </c>
      <c r="F5712" s="6" t="n">
        <v>1</v>
      </c>
      <c r="G5712" s="10" t="n">
        <v>610</v>
      </c>
      <c r="H5712" s="10" t="n">
        <f aca="false">F5712*G5712</f>
        <v>610</v>
      </c>
      <c r="I5712" s="6" t="s">
        <v>5148</v>
      </c>
    </row>
    <row r="5713" customFormat="false" ht="15" hidden="false" customHeight="false" outlineLevel="0" collapsed="false">
      <c r="A5713" s="6" t="s">
        <v>10937</v>
      </c>
      <c r="B5713" s="6" t="s">
        <v>2787</v>
      </c>
      <c r="C5713" s="26" t="n">
        <v>46199</v>
      </c>
      <c r="D5713" s="6" t="s">
        <v>5339</v>
      </c>
      <c r="E5713" s="6" t="s">
        <v>24</v>
      </c>
      <c r="F5713" s="6" t="n">
        <v>1</v>
      </c>
      <c r="G5713" s="10" t="n">
        <v>459</v>
      </c>
      <c r="H5713" s="10" t="n">
        <f aca="false">F5713*G5713</f>
        <v>459</v>
      </c>
      <c r="I5713" s="6" t="s">
        <v>5173</v>
      </c>
    </row>
    <row r="5714" customFormat="false" ht="15" hidden="false" customHeight="false" outlineLevel="0" collapsed="false">
      <c r="A5714" s="6" t="s">
        <v>10938</v>
      </c>
      <c r="B5714" s="6" t="s">
        <v>3721</v>
      </c>
      <c r="C5714" s="26" t="n">
        <v>46199</v>
      </c>
      <c r="D5714" s="6" t="s">
        <v>5171</v>
      </c>
      <c r="E5714" s="6" t="s">
        <v>23</v>
      </c>
      <c r="F5714" s="6" t="n">
        <v>2</v>
      </c>
      <c r="G5714" s="10" t="n">
        <v>697</v>
      </c>
      <c r="H5714" s="10" t="n">
        <f aca="false">F5714*G5714</f>
        <v>1394</v>
      </c>
      <c r="I5714" s="6" t="s">
        <v>5125</v>
      </c>
    </row>
    <row r="5715" customFormat="false" ht="15" hidden="false" customHeight="false" outlineLevel="0" collapsed="false">
      <c r="A5715" s="6" t="s">
        <v>10939</v>
      </c>
      <c r="B5715" s="6" t="s">
        <v>2573</v>
      </c>
      <c r="C5715" s="26" t="n">
        <v>46199</v>
      </c>
      <c r="D5715" s="6" t="s">
        <v>5158</v>
      </c>
      <c r="E5715" s="6" t="s">
        <v>24</v>
      </c>
      <c r="F5715" s="6" t="n">
        <v>4</v>
      </c>
      <c r="G5715" s="10" t="n">
        <v>390</v>
      </c>
      <c r="H5715" s="10" t="n">
        <f aca="false">F5715*G5715</f>
        <v>1560</v>
      </c>
      <c r="I5715" s="6" t="s">
        <v>5133</v>
      </c>
    </row>
    <row r="5716" customFormat="false" ht="15" hidden="false" customHeight="false" outlineLevel="0" collapsed="false">
      <c r="A5716" s="6" t="s">
        <v>10940</v>
      </c>
      <c r="B5716" s="6" t="s">
        <v>635</v>
      </c>
      <c r="C5716" s="26" t="n">
        <v>46199</v>
      </c>
      <c r="D5716" s="6" t="s">
        <v>5357</v>
      </c>
      <c r="E5716" s="6" t="s">
        <v>23</v>
      </c>
      <c r="F5716" s="6" t="n">
        <v>3</v>
      </c>
      <c r="G5716" s="10" t="n">
        <v>534</v>
      </c>
      <c r="H5716" s="10" t="n">
        <f aca="false">F5716*G5716</f>
        <v>1602</v>
      </c>
      <c r="I5716" s="6" t="s">
        <v>5122</v>
      </c>
    </row>
    <row r="5717" customFormat="false" ht="15" hidden="false" customHeight="false" outlineLevel="0" collapsed="false">
      <c r="A5717" s="6" t="s">
        <v>10941</v>
      </c>
      <c r="B5717" s="6" t="s">
        <v>1259</v>
      </c>
      <c r="C5717" s="26" t="n">
        <v>46199</v>
      </c>
      <c r="D5717" s="6" t="s">
        <v>5171</v>
      </c>
      <c r="E5717" s="6" t="s">
        <v>23</v>
      </c>
      <c r="F5717" s="6" t="n">
        <v>2</v>
      </c>
      <c r="G5717" s="10" t="n">
        <v>697</v>
      </c>
      <c r="H5717" s="10" t="n">
        <f aca="false">F5717*G5717</f>
        <v>1394</v>
      </c>
      <c r="I5717" s="6" t="s">
        <v>5125</v>
      </c>
    </row>
    <row r="5718" customFormat="false" ht="15" hidden="false" customHeight="false" outlineLevel="0" collapsed="false">
      <c r="A5718" s="6" t="s">
        <v>10942</v>
      </c>
      <c r="B5718" s="6" t="s">
        <v>4537</v>
      </c>
      <c r="C5718" s="26" t="n">
        <v>46199</v>
      </c>
      <c r="D5718" s="6" t="s">
        <v>5163</v>
      </c>
      <c r="E5718" s="6" t="s">
        <v>23</v>
      </c>
      <c r="F5718" s="6" t="n">
        <v>5</v>
      </c>
      <c r="G5718" s="10" t="n">
        <v>783</v>
      </c>
      <c r="H5718" s="10" t="n">
        <f aca="false">F5718*G5718</f>
        <v>3915</v>
      </c>
      <c r="I5718" s="6" t="s">
        <v>5148</v>
      </c>
    </row>
    <row r="5719" customFormat="false" ht="15" hidden="false" customHeight="false" outlineLevel="0" collapsed="false">
      <c r="A5719" s="6" t="s">
        <v>10943</v>
      </c>
      <c r="B5719" s="6" t="s">
        <v>5015</v>
      </c>
      <c r="C5719" s="26" t="n">
        <v>46199</v>
      </c>
      <c r="D5719" s="6" t="s">
        <v>5357</v>
      </c>
      <c r="E5719" s="6" t="s">
        <v>23</v>
      </c>
      <c r="F5719" s="6" t="n">
        <v>4</v>
      </c>
      <c r="G5719" s="10" t="n">
        <v>534</v>
      </c>
      <c r="H5719" s="10" t="n">
        <f aca="false">F5719*G5719</f>
        <v>2136</v>
      </c>
      <c r="I5719" s="6" t="s">
        <v>5122</v>
      </c>
    </row>
    <row r="5720" customFormat="false" ht="15" hidden="false" customHeight="false" outlineLevel="0" collapsed="false">
      <c r="A5720" s="6" t="s">
        <v>10944</v>
      </c>
      <c r="B5720" s="6" t="s">
        <v>3815</v>
      </c>
      <c r="C5720" s="26" t="n">
        <v>46199</v>
      </c>
      <c r="D5720" s="6" t="s">
        <v>5129</v>
      </c>
      <c r="E5720" s="6" t="s">
        <v>21</v>
      </c>
      <c r="F5720" s="6" t="n">
        <v>1</v>
      </c>
      <c r="G5720" s="10" t="n">
        <v>589</v>
      </c>
      <c r="H5720" s="10" t="n">
        <f aca="false">F5720*G5720</f>
        <v>589</v>
      </c>
      <c r="I5720" s="6" t="s">
        <v>5130</v>
      </c>
    </row>
    <row r="5721" customFormat="false" ht="15" hidden="false" customHeight="false" outlineLevel="0" collapsed="false">
      <c r="A5721" s="6" t="s">
        <v>10945</v>
      </c>
      <c r="B5721" s="6" t="s">
        <v>1449</v>
      </c>
      <c r="C5721" s="26" t="n">
        <v>46199</v>
      </c>
      <c r="D5721" s="6" t="s">
        <v>5171</v>
      </c>
      <c r="E5721" s="6" t="s">
        <v>23</v>
      </c>
      <c r="F5721" s="6" t="n">
        <v>1</v>
      </c>
      <c r="G5721" s="10" t="n">
        <v>734</v>
      </c>
      <c r="H5721" s="10" t="n">
        <f aca="false">F5721*G5721</f>
        <v>734</v>
      </c>
      <c r="I5721" s="6" t="s">
        <v>5122</v>
      </c>
    </row>
    <row r="5722" customFormat="false" ht="15" hidden="false" customHeight="false" outlineLevel="0" collapsed="false">
      <c r="A5722" s="6" t="s">
        <v>10946</v>
      </c>
      <c r="B5722" s="6" t="s">
        <v>849</v>
      </c>
      <c r="C5722" s="26" t="n">
        <v>46199</v>
      </c>
      <c r="D5722" s="6" t="s">
        <v>5261</v>
      </c>
      <c r="E5722" s="6" t="s">
        <v>23</v>
      </c>
      <c r="F5722" s="6" t="n">
        <v>3</v>
      </c>
      <c r="G5722" s="10" t="n">
        <v>175</v>
      </c>
      <c r="H5722" s="10" t="n">
        <f aca="false">F5722*G5722</f>
        <v>525</v>
      </c>
      <c r="I5722" s="6" t="s">
        <v>5148</v>
      </c>
    </row>
    <row r="5723" customFormat="false" ht="15" hidden="false" customHeight="false" outlineLevel="0" collapsed="false">
      <c r="A5723" s="6" t="s">
        <v>10947</v>
      </c>
      <c r="B5723" s="6" t="s">
        <v>3417</v>
      </c>
      <c r="C5723" s="26" t="n">
        <v>46199</v>
      </c>
      <c r="D5723" s="6" t="s">
        <v>5326</v>
      </c>
      <c r="E5723" s="6" t="s">
        <v>22</v>
      </c>
      <c r="F5723" s="6" t="n">
        <v>3</v>
      </c>
      <c r="G5723" s="10" t="n">
        <v>1466</v>
      </c>
      <c r="H5723" s="10" t="n">
        <f aca="false">F5723*G5723</f>
        <v>4398</v>
      </c>
      <c r="I5723" s="6" t="s">
        <v>5148</v>
      </c>
    </row>
    <row r="5724" customFormat="false" ht="15" hidden="false" customHeight="false" outlineLevel="0" collapsed="false">
      <c r="A5724" s="6" t="s">
        <v>10948</v>
      </c>
      <c r="B5724" s="6" t="s">
        <v>5037</v>
      </c>
      <c r="C5724" s="26" t="n">
        <v>46199</v>
      </c>
      <c r="D5724" s="6" t="s">
        <v>5200</v>
      </c>
      <c r="E5724" s="6" t="s">
        <v>24</v>
      </c>
      <c r="F5724" s="6" t="n">
        <v>2</v>
      </c>
      <c r="G5724" s="10" t="n">
        <v>763</v>
      </c>
      <c r="H5724" s="10" t="n">
        <f aca="false">F5724*G5724</f>
        <v>1526</v>
      </c>
      <c r="I5724" s="6" t="s">
        <v>5148</v>
      </c>
    </row>
    <row r="5725" customFormat="false" ht="15" hidden="false" customHeight="false" outlineLevel="0" collapsed="false">
      <c r="A5725" s="6" t="s">
        <v>10949</v>
      </c>
      <c r="B5725" s="6" t="s">
        <v>641</v>
      </c>
      <c r="C5725" s="26" t="n">
        <v>46199</v>
      </c>
      <c r="D5725" s="6" t="s">
        <v>5160</v>
      </c>
      <c r="E5725" s="6" t="s">
        <v>21</v>
      </c>
      <c r="F5725" s="6" t="n">
        <v>1</v>
      </c>
      <c r="G5725" s="10" t="n">
        <v>2751</v>
      </c>
      <c r="H5725" s="10" t="n">
        <f aca="false">F5725*G5725</f>
        <v>2751</v>
      </c>
      <c r="I5725" s="6" t="s">
        <v>5122</v>
      </c>
    </row>
    <row r="5726" customFormat="false" ht="15" hidden="false" customHeight="false" outlineLevel="0" collapsed="false">
      <c r="A5726" s="6" t="s">
        <v>10950</v>
      </c>
      <c r="B5726" s="6" t="s">
        <v>2793</v>
      </c>
      <c r="C5726" s="26" t="n">
        <v>46199</v>
      </c>
      <c r="D5726" s="6" t="s">
        <v>5121</v>
      </c>
      <c r="E5726" s="6" t="s">
        <v>22</v>
      </c>
      <c r="F5726" s="6" t="n">
        <v>2</v>
      </c>
      <c r="G5726" s="10" t="n">
        <v>880</v>
      </c>
      <c r="H5726" s="10" t="n">
        <f aca="false">F5726*G5726</f>
        <v>1760</v>
      </c>
      <c r="I5726" s="6" t="s">
        <v>5122</v>
      </c>
    </row>
    <row r="5727" customFormat="false" ht="15" hidden="false" customHeight="false" outlineLevel="0" collapsed="false">
      <c r="A5727" s="6" t="s">
        <v>10951</v>
      </c>
      <c r="B5727" s="6" t="s">
        <v>3609</v>
      </c>
      <c r="C5727" s="26" t="n">
        <v>46199</v>
      </c>
      <c r="D5727" s="6" t="s">
        <v>5167</v>
      </c>
      <c r="E5727" s="6" t="s">
        <v>22</v>
      </c>
      <c r="F5727" s="6" t="n">
        <v>1</v>
      </c>
      <c r="G5727" s="10" t="n">
        <v>782</v>
      </c>
      <c r="H5727" s="10" t="n">
        <f aca="false">F5727*G5727</f>
        <v>782</v>
      </c>
      <c r="I5727" s="6" t="s">
        <v>5148</v>
      </c>
    </row>
    <row r="5728" customFormat="false" ht="15" hidden="false" customHeight="false" outlineLevel="0" collapsed="false">
      <c r="A5728" s="6" t="s">
        <v>10952</v>
      </c>
      <c r="B5728" s="6" t="s">
        <v>4501</v>
      </c>
      <c r="C5728" s="26" t="n">
        <v>46199</v>
      </c>
      <c r="D5728" s="6" t="s">
        <v>5357</v>
      </c>
      <c r="E5728" s="6" t="s">
        <v>23</v>
      </c>
      <c r="F5728" s="6" t="n">
        <v>4</v>
      </c>
      <c r="G5728" s="10" t="n">
        <v>481</v>
      </c>
      <c r="H5728" s="10" t="n">
        <f aca="false">F5728*G5728</f>
        <v>1924</v>
      </c>
      <c r="I5728" s="6" t="s">
        <v>5148</v>
      </c>
    </row>
    <row r="5729" customFormat="false" ht="15" hidden="false" customHeight="false" outlineLevel="0" collapsed="false">
      <c r="A5729" s="6" t="s">
        <v>10953</v>
      </c>
      <c r="B5729" s="6" t="s">
        <v>1845</v>
      </c>
      <c r="C5729" s="26" t="n">
        <v>46199</v>
      </c>
      <c r="D5729" s="6" t="s">
        <v>5456</v>
      </c>
      <c r="E5729" s="6" t="s">
        <v>24</v>
      </c>
      <c r="F5729" s="6" t="n">
        <v>4</v>
      </c>
      <c r="G5729" s="10" t="n">
        <v>912</v>
      </c>
      <c r="H5729" s="10" t="n">
        <f aca="false">F5729*G5729</f>
        <v>3648</v>
      </c>
      <c r="I5729" s="6" t="s">
        <v>5125</v>
      </c>
    </row>
    <row r="5730" customFormat="false" ht="15" hidden="false" customHeight="false" outlineLevel="0" collapsed="false">
      <c r="A5730" s="6" t="s">
        <v>10954</v>
      </c>
      <c r="B5730" s="6" t="s">
        <v>3077</v>
      </c>
      <c r="C5730" s="26" t="n">
        <v>46199</v>
      </c>
      <c r="D5730" s="6" t="s">
        <v>5165</v>
      </c>
      <c r="E5730" s="6" t="s">
        <v>22</v>
      </c>
      <c r="F5730" s="6" t="n">
        <v>1</v>
      </c>
      <c r="G5730" s="10" t="n">
        <v>977</v>
      </c>
      <c r="H5730" s="10" t="n">
        <f aca="false">F5730*G5730</f>
        <v>977</v>
      </c>
      <c r="I5730" s="6" t="s">
        <v>5148</v>
      </c>
    </row>
    <row r="5731" customFormat="false" ht="15" hidden="false" customHeight="false" outlineLevel="0" collapsed="false">
      <c r="A5731" s="6" t="s">
        <v>10955</v>
      </c>
      <c r="B5731" s="6" t="s">
        <v>3731</v>
      </c>
      <c r="C5731" s="26" t="n">
        <v>46199</v>
      </c>
      <c r="D5731" s="6" t="s">
        <v>5190</v>
      </c>
      <c r="E5731" s="6" t="s">
        <v>24</v>
      </c>
      <c r="F5731" s="6" t="n">
        <v>2</v>
      </c>
      <c r="G5731" s="10" t="n">
        <v>580</v>
      </c>
      <c r="H5731" s="10" t="n">
        <f aca="false">F5731*G5731</f>
        <v>1160</v>
      </c>
      <c r="I5731" s="6" t="s">
        <v>5130</v>
      </c>
    </row>
    <row r="5732" customFormat="false" ht="15" hidden="false" customHeight="false" outlineLevel="0" collapsed="false">
      <c r="A5732" s="6" t="s">
        <v>10956</v>
      </c>
      <c r="B5732" s="6" t="s">
        <v>2759</v>
      </c>
      <c r="C5732" s="26" t="n">
        <v>46199</v>
      </c>
      <c r="D5732" s="6" t="s">
        <v>6114</v>
      </c>
      <c r="E5732" s="6" t="s">
        <v>20</v>
      </c>
      <c r="F5732" s="6" t="n">
        <v>1</v>
      </c>
      <c r="G5732" s="10" t="n">
        <v>13256</v>
      </c>
      <c r="H5732" s="10" t="n">
        <f aca="false">F5732*G5732</f>
        <v>13256</v>
      </c>
      <c r="I5732" s="6" t="s">
        <v>5130</v>
      </c>
    </row>
    <row r="5733" customFormat="false" ht="15" hidden="false" customHeight="false" outlineLevel="0" collapsed="false">
      <c r="A5733" s="6" t="s">
        <v>10957</v>
      </c>
      <c r="B5733" s="6" t="s">
        <v>4085</v>
      </c>
      <c r="C5733" s="26" t="n">
        <v>46199</v>
      </c>
      <c r="D5733" s="6" t="s">
        <v>5466</v>
      </c>
      <c r="E5733" s="6" t="s">
        <v>21</v>
      </c>
      <c r="F5733" s="6" t="n">
        <v>2</v>
      </c>
      <c r="G5733" s="10" t="n">
        <v>1965</v>
      </c>
      <c r="H5733" s="10" t="n">
        <f aca="false">F5733*G5733</f>
        <v>3930</v>
      </c>
      <c r="I5733" s="6" t="s">
        <v>5122</v>
      </c>
    </row>
    <row r="5734" customFormat="false" ht="15" hidden="false" customHeight="false" outlineLevel="0" collapsed="false">
      <c r="A5734" s="6" t="s">
        <v>10958</v>
      </c>
      <c r="B5734" s="6" t="s">
        <v>1097</v>
      </c>
      <c r="C5734" s="26" t="n">
        <v>46199</v>
      </c>
      <c r="D5734" s="6" t="s">
        <v>5410</v>
      </c>
      <c r="E5734" s="6" t="s">
        <v>20</v>
      </c>
      <c r="F5734" s="6" t="n">
        <v>2</v>
      </c>
      <c r="G5734" s="10" t="n">
        <v>2548</v>
      </c>
      <c r="H5734" s="10" t="n">
        <f aca="false">F5734*G5734</f>
        <v>5096</v>
      </c>
      <c r="I5734" s="6" t="s">
        <v>5122</v>
      </c>
    </row>
    <row r="5735" customFormat="false" ht="15" hidden="false" customHeight="false" outlineLevel="0" collapsed="false">
      <c r="A5735" s="6" t="s">
        <v>10959</v>
      </c>
      <c r="B5735" s="6" t="s">
        <v>4433</v>
      </c>
      <c r="C5735" s="26" t="n">
        <v>46199</v>
      </c>
      <c r="D5735" s="6" t="s">
        <v>5163</v>
      </c>
      <c r="E5735" s="6" t="s">
        <v>23</v>
      </c>
      <c r="F5735" s="6" t="n">
        <v>3</v>
      </c>
      <c r="G5735" s="10" t="n">
        <v>783</v>
      </c>
      <c r="H5735" s="10" t="n">
        <f aca="false">F5735*G5735</f>
        <v>2349</v>
      </c>
      <c r="I5735" s="6" t="s">
        <v>5122</v>
      </c>
    </row>
    <row r="5736" customFormat="false" ht="15" hidden="false" customHeight="false" outlineLevel="0" collapsed="false">
      <c r="A5736" s="6" t="s">
        <v>10960</v>
      </c>
      <c r="B5736" s="6" t="s">
        <v>2377</v>
      </c>
      <c r="C5736" s="26" t="n">
        <v>46200</v>
      </c>
      <c r="D5736" s="6" t="s">
        <v>5216</v>
      </c>
      <c r="E5736" s="6" t="s">
        <v>23</v>
      </c>
      <c r="F5736" s="6" t="n">
        <v>3</v>
      </c>
      <c r="G5736" s="10" t="n">
        <v>558</v>
      </c>
      <c r="H5736" s="10" t="n">
        <f aca="false">F5736*G5736</f>
        <v>1674</v>
      </c>
      <c r="I5736" s="6" t="s">
        <v>5122</v>
      </c>
    </row>
    <row r="5737" customFormat="false" ht="15" hidden="false" customHeight="false" outlineLevel="0" collapsed="false">
      <c r="A5737" s="6" t="s">
        <v>10961</v>
      </c>
      <c r="B5737" s="6" t="s">
        <v>4019</v>
      </c>
      <c r="C5737" s="26" t="n">
        <v>46200</v>
      </c>
      <c r="D5737" s="6" t="s">
        <v>5466</v>
      </c>
      <c r="E5737" s="6" t="s">
        <v>21</v>
      </c>
      <c r="F5737" s="6" t="n">
        <v>3</v>
      </c>
      <c r="G5737" s="10" t="n">
        <v>1965</v>
      </c>
      <c r="H5737" s="10" t="n">
        <f aca="false">F5737*G5737</f>
        <v>5895</v>
      </c>
      <c r="I5737" s="6" t="s">
        <v>5122</v>
      </c>
    </row>
    <row r="5738" customFormat="false" ht="15" hidden="false" customHeight="false" outlineLevel="0" collapsed="false">
      <c r="A5738" s="6" t="s">
        <v>10962</v>
      </c>
      <c r="B5738" s="6" t="s">
        <v>2527</v>
      </c>
      <c r="C5738" s="26" t="n">
        <v>46200</v>
      </c>
      <c r="D5738" s="6" t="s">
        <v>5460</v>
      </c>
      <c r="E5738" s="6" t="s">
        <v>24</v>
      </c>
      <c r="F5738" s="6" t="n">
        <v>2</v>
      </c>
      <c r="G5738" s="10" t="n">
        <v>555</v>
      </c>
      <c r="H5738" s="10" t="n">
        <f aca="false">F5738*G5738</f>
        <v>1110</v>
      </c>
      <c r="I5738" s="6" t="s">
        <v>5122</v>
      </c>
    </row>
    <row r="5739" customFormat="false" ht="15" hidden="false" customHeight="false" outlineLevel="0" collapsed="false">
      <c r="A5739" s="6" t="s">
        <v>10963</v>
      </c>
      <c r="B5739" s="6" t="s">
        <v>1665</v>
      </c>
      <c r="C5739" s="26" t="n">
        <v>46200</v>
      </c>
      <c r="D5739" s="6" t="s">
        <v>5383</v>
      </c>
      <c r="E5739" s="6" t="s">
        <v>20</v>
      </c>
      <c r="F5739" s="6" t="n">
        <v>1</v>
      </c>
      <c r="G5739" s="10" t="n">
        <v>1065</v>
      </c>
      <c r="H5739" s="10" t="n">
        <f aca="false">F5739*G5739</f>
        <v>1065</v>
      </c>
      <c r="I5739" s="6" t="s">
        <v>5122</v>
      </c>
    </row>
    <row r="5740" customFormat="false" ht="15" hidden="false" customHeight="false" outlineLevel="0" collapsed="false">
      <c r="A5740" s="6" t="s">
        <v>10964</v>
      </c>
      <c r="B5740" s="6" t="s">
        <v>761</v>
      </c>
      <c r="C5740" s="26" t="n">
        <v>46200</v>
      </c>
      <c r="D5740" s="6" t="s">
        <v>5150</v>
      </c>
      <c r="E5740" s="6" t="s">
        <v>24</v>
      </c>
      <c r="F5740" s="6" t="n">
        <v>1</v>
      </c>
      <c r="G5740" s="10" t="n">
        <v>459</v>
      </c>
      <c r="H5740" s="10" t="n">
        <f aca="false">F5740*G5740</f>
        <v>459</v>
      </c>
      <c r="I5740" s="6" t="s">
        <v>5130</v>
      </c>
    </row>
    <row r="5741" customFormat="false" ht="15" hidden="false" customHeight="false" outlineLevel="0" collapsed="false">
      <c r="A5741" s="6" t="s">
        <v>10965</v>
      </c>
      <c r="B5741" s="6" t="s">
        <v>2641</v>
      </c>
      <c r="C5741" s="26" t="n">
        <v>46200</v>
      </c>
      <c r="D5741" s="6" t="s">
        <v>5163</v>
      </c>
      <c r="E5741" s="6" t="s">
        <v>23</v>
      </c>
      <c r="F5741" s="6" t="n">
        <v>2</v>
      </c>
      <c r="G5741" s="10" t="n">
        <v>783</v>
      </c>
      <c r="H5741" s="10" t="n">
        <f aca="false">F5741*G5741</f>
        <v>1566</v>
      </c>
      <c r="I5741" s="6" t="s">
        <v>5122</v>
      </c>
    </row>
    <row r="5742" customFormat="false" ht="15" hidden="false" customHeight="false" outlineLevel="0" collapsed="false">
      <c r="A5742" s="6" t="s">
        <v>10966</v>
      </c>
      <c r="B5742" s="6" t="s">
        <v>543</v>
      </c>
      <c r="C5742" s="26" t="n">
        <v>46200</v>
      </c>
      <c r="D5742" s="6" t="s">
        <v>5132</v>
      </c>
      <c r="E5742" s="6" t="s">
        <v>23</v>
      </c>
      <c r="F5742" s="6" t="n">
        <v>2</v>
      </c>
      <c r="G5742" s="10" t="n">
        <v>342</v>
      </c>
      <c r="H5742" s="10" t="n">
        <f aca="false">F5742*G5742</f>
        <v>684</v>
      </c>
      <c r="I5742" s="6" t="s">
        <v>5130</v>
      </c>
    </row>
    <row r="5743" customFormat="false" ht="15" hidden="false" customHeight="false" outlineLevel="0" collapsed="false">
      <c r="A5743" s="6" t="s">
        <v>10967</v>
      </c>
      <c r="B5743" s="6" t="s">
        <v>4707</v>
      </c>
      <c r="C5743" s="26" t="n">
        <v>46200</v>
      </c>
      <c r="D5743" s="6" t="s">
        <v>5121</v>
      </c>
      <c r="E5743" s="6" t="s">
        <v>22</v>
      </c>
      <c r="F5743" s="6" t="n">
        <v>2</v>
      </c>
      <c r="G5743" s="10" t="n">
        <v>977</v>
      </c>
      <c r="H5743" s="10" t="n">
        <f aca="false">F5743*G5743</f>
        <v>1954</v>
      </c>
      <c r="I5743" s="6" t="s">
        <v>5122</v>
      </c>
    </row>
    <row r="5744" customFormat="false" ht="15" hidden="false" customHeight="false" outlineLevel="0" collapsed="false">
      <c r="A5744" s="6" t="s">
        <v>10968</v>
      </c>
      <c r="B5744" s="6" t="s">
        <v>1823</v>
      </c>
      <c r="C5744" s="26" t="n">
        <v>46200</v>
      </c>
      <c r="D5744" s="6" t="s">
        <v>5171</v>
      </c>
      <c r="E5744" s="6" t="s">
        <v>23</v>
      </c>
      <c r="F5744" s="6" t="n">
        <v>2</v>
      </c>
      <c r="G5744" s="10" t="n">
        <v>734</v>
      </c>
      <c r="H5744" s="10" t="n">
        <f aca="false">F5744*G5744</f>
        <v>1468</v>
      </c>
      <c r="I5744" s="6" t="s">
        <v>5133</v>
      </c>
    </row>
    <row r="5745" customFormat="false" ht="15" hidden="false" customHeight="false" outlineLevel="0" collapsed="false">
      <c r="A5745" s="6" t="s">
        <v>10969</v>
      </c>
      <c r="B5745" s="6" t="s">
        <v>881</v>
      </c>
      <c r="C5745" s="26" t="n">
        <v>46200</v>
      </c>
      <c r="D5745" s="6" t="s">
        <v>5143</v>
      </c>
      <c r="E5745" s="6" t="s">
        <v>21</v>
      </c>
      <c r="F5745" s="6" t="n">
        <v>1</v>
      </c>
      <c r="G5745" s="10" t="n">
        <v>1120</v>
      </c>
      <c r="H5745" s="10" t="n">
        <f aca="false">F5745*G5745</f>
        <v>1120</v>
      </c>
      <c r="I5745" s="6" t="s">
        <v>5130</v>
      </c>
    </row>
    <row r="5746" customFormat="false" ht="15" hidden="false" customHeight="false" outlineLevel="0" collapsed="false">
      <c r="A5746" s="6" t="s">
        <v>10970</v>
      </c>
      <c r="B5746" s="6" t="s">
        <v>2551</v>
      </c>
      <c r="C5746" s="26" t="n">
        <v>46200</v>
      </c>
      <c r="D5746" s="6" t="s">
        <v>5150</v>
      </c>
      <c r="E5746" s="6" t="s">
        <v>24</v>
      </c>
      <c r="F5746" s="6" t="n">
        <v>1</v>
      </c>
      <c r="G5746" s="10" t="n">
        <v>508</v>
      </c>
      <c r="H5746" s="10" t="n">
        <f aca="false">F5746*G5746</f>
        <v>508</v>
      </c>
      <c r="I5746" s="6" t="s">
        <v>5130</v>
      </c>
    </row>
    <row r="5747" customFormat="false" ht="15" hidden="false" customHeight="false" outlineLevel="0" collapsed="false">
      <c r="A5747" s="6" t="s">
        <v>10971</v>
      </c>
      <c r="B5747" s="6" t="s">
        <v>1809</v>
      </c>
      <c r="C5747" s="26" t="n">
        <v>46200</v>
      </c>
      <c r="D5747" s="6" t="s">
        <v>5383</v>
      </c>
      <c r="E5747" s="6" t="s">
        <v>20</v>
      </c>
      <c r="F5747" s="6" t="n">
        <v>1</v>
      </c>
      <c r="G5747" s="10" t="n">
        <v>1009</v>
      </c>
      <c r="H5747" s="10" t="n">
        <f aca="false">F5747*G5747</f>
        <v>1009</v>
      </c>
      <c r="I5747" s="6" t="s">
        <v>5122</v>
      </c>
    </row>
    <row r="5748" customFormat="false" ht="15" hidden="false" customHeight="false" outlineLevel="0" collapsed="false">
      <c r="A5748" s="6" t="s">
        <v>10972</v>
      </c>
      <c r="B5748" s="6" t="s">
        <v>4265</v>
      </c>
      <c r="C5748" s="26" t="n">
        <v>46200</v>
      </c>
      <c r="D5748" s="6" t="s">
        <v>5167</v>
      </c>
      <c r="E5748" s="6" t="s">
        <v>22</v>
      </c>
      <c r="F5748" s="6" t="n">
        <v>2</v>
      </c>
      <c r="G5748" s="10" t="n">
        <v>743</v>
      </c>
      <c r="H5748" s="10" t="n">
        <f aca="false">F5748*G5748</f>
        <v>1486</v>
      </c>
      <c r="I5748" s="6" t="s">
        <v>5122</v>
      </c>
    </row>
    <row r="5749" customFormat="false" ht="15" hidden="false" customHeight="false" outlineLevel="0" collapsed="false">
      <c r="A5749" s="6" t="s">
        <v>10973</v>
      </c>
      <c r="B5749" s="6" t="s">
        <v>1351</v>
      </c>
      <c r="C5749" s="26" t="n">
        <v>46200</v>
      </c>
      <c r="D5749" s="6" t="s">
        <v>5163</v>
      </c>
      <c r="E5749" s="6" t="s">
        <v>23</v>
      </c>
      <c r="F5749" s="6" t="n">
        <v>1</v>
      </c>
      <c r="G5749" s="10" t="n">
        <v>783</v>
      </c>
      <c r="H5749" s="10" t="n">
        <f aca="false">F5749*G5749</f>
        <v>783</v>
      </c>
      <c r="I5749" s="6" t="s">
        <v>5122</v>
      </c>
    </row>
    <row r="5750" customFormat="false" ht="15" hidden="false" customHeight="false" outlineLevel="0" collapsed="false">
      <c r="A5750" s="6" t="s">
        <v>10974</v>
      </c>
      <c r="B5750" s="6" t="s">
        <v>424</v>
      </c>
      <c r="C5750" s="26" t="n">
        <v>46200</v>
      </c>
      <c r="D5750" s="6" t="s">
        <v>5171</v>
      </c>
      <c r="E5750" s="6" t="s">
        <v>23</v>
      </c>
      <c r="F5750" s="6" t="n">
        <v>2</v>
      </c>
      <c r="G5750" s="10" t="n">
        <v>734</v>
      </c>
      <c r="H5750" s="10" t="n">
        <f aca="false">F5750*G5750</f>
        <v>1468</v>
      </c>
      <c r="I5750" s="6" t="s">
        <v>5130</v>
      </c>
    </row>
    <row r="5751" customFormat="false" ht="15" hidden="false" customHeight="false" outlineLevel="0" collapsed="false">
      <c r="A5751" s="6" t="s">
        <v>10975</v>
      </c>
      <c r="B5751" s="6" t="s">
        <v>4617</v>
      </c>
      <c r="C5751" s="26" t="n">
        <v>46200</v>
      </c>
      <c r="D5751" s="6" t="s">
        <v>5261</v>
      </c>
      <c r="E5751" s="6" t="s">
        <v>23</v>
      </c>
      <c r="F5751" s="6" t="n">
        <v>3</v>
      </c>
      <c r="G5751" s="10" t="n">
        <v>175</v>
      </c>
      <c r="H5751" s="10" t="n">
        <f aca="false">F5751*G5751</f>
        <v>525</v>
      </c>
      <c r="I5751" s="6" t="s">
        <v>5148</v>
      </c>
    </row>
    <row r="5752" customFormat="false" ht="15" hidden="false" customHeight="false" outlineLevel="0" collapsed="false">
      <c r="A5752" s="6" t="s">
        <v>10976</v>
      </c>
      <c r="B5752" s="6" t="s">
        <v>4615</v>
      </c>
      <c r="C5752" s="26" t="n">
        <v>46200</v>
      </c>
      <c r="D5752" s="6" t="s">
        <v>5214</v>
      </c>
      <c r="E5752" s="6" t="s">
        <v>20</v>
      </c>
      <c r="F5752" s="6" t="n">
        <v>1</v>
      </c>
      <c r="G5752" s="10" t="n">
        <v>2039</v>
      </c>
      <c r="H5752" s="10" t="n">
        <f aca="false">F5752*G5752</f>
        <v>2039</v>
      </c>
      <c r="I5752" s="6" t="s">
        <v>5122</v>
      </c>
    </row>
    <row r="5753" customFormat="false" ht="15" hidden="false" customHeight="false" outlineLevel="0" collapsed="false">
      <c r="A5753" s="6" t="s">
        <v>10977</v>
      </c>
      <c r="B5753" s="6" t="s">
        <v>1313</v>
      </c>
      <c r="C5753" s="26" t="n">
        <v>46200</v>
      </c>
      <c r="D5753" s="6" t="s">
        <v>5169</v>
      </c>
      <c r="E5753" s="6" t="s">
        <v>20</v>
      </c>
      <c r="F5753" s="6" t="n">
        <v>1</v>
      </c>
      <c r="G5753" s="10" t="n">
        <v>4588</v>
      </c>
      <c r="H5753" s="10" t="n">
        <f aca="false">F5753*G5753</f>
        <v>4588</v>
      </c>
      <c r="I5753" s="6" t="s">
        <v>5125</v>
      </c>
    </row>
    <row r="5754" customFormat="false" ht="15" hidden="false" customHeight="false" outlineLevel="0" collapsed="false">
      <c r="A5754" s="6" t="s">
        <v>10978</v>
      </c>
      <c r="B5754" s="6" t="s">
        <v>2939</v>
      </c>
      <c r="C5754" s="26" t="n">
        <v>46200</v>
      </c>
      <c r="D5754" s="6" t="s">
        <v>5139</v>
      </c>
      <c r="E5754" s="6" t="s">
        <v>23</v>
      </c>
      <c r="F5754" s="6" t="n">
        <v>1</v>
      </c>
      <c r="G5754" s="10" t="n">
        <v>279</v>
      </c>
      <c r="H5754" s="10" t="n">
        <f aca="false">F5754*G5754</f>
        <v>279</v>
      </c>
      <c r="I5754" s="6" t="s">
        <v>5122</v>
      </c>
    </row>
    <row r="5755" customFormat="false" ht="15" hidden="false" customHeight="false" outlineLevel="0" collapsed="false">
      <c r="A5755" s="6" t="s">
        <v>10979</v>
      </c>
      <c r="B5755" s="6" t="s">
        <v>1607</v>
      </c>
      <c r="C5755" s="26" t="n">
        <v>46200</v>
      </c>
      <c r="D5755" s="6" t="s">
        <v>5171</v>
      </c>
      <c r="E5755" s="6" t="s">
        <v>23</v>
      </c>
      <c r="F5755" s="6" t="n">
        <v>2</v>
      </c>
      <c r="G5755" s="10" t="n">
        <v>697</v>
      </c>
      <c r="H5755" s="10" t="n">
        <f aca="false">F5755*G5755</f>
        <v>1394</v>
      </c>
      <c r="I5755" s="6" t="s">
        <v>5130</v>
      </c>
    </row>
    <row r="5756" customFormat="false" ht="15" hidden="false" customHeight="false" outlineLevel="0" collapsed="false">
      <c r="A5756" s="6" t="s">
        <v>10980</v>
      </c>
      <c r="B5756" s="6" t="s">
        <v>1303</v>
      </c>
      <c r="C5756" s="26" t="n">
        <v>46200</v>
      </c>
      <c r="D5756" s="6" t="s">
        <v>5127</v>
      </c>
      <c r="E5756" s="6" t="s">
        <v>21</v>
      </c>
      <c r="F5756" s="6" t="n">
        <v>1</v>
      </c>
      <c r="G5756" s="10" t="n">
        <v>795</v>
      </c>
      <c r="H5756" s="10" t="n">
        <f aca="false">F5756*G5756</f>
        <v>795</v>
      </c>
      <c r="I5756" s="6" t="s">
        <v>5148</v>
      </c>
    </row>
    <row r="5757" customFormat="false" ht="15" hidden="false" customHeight="false" outlineLevel="0" collapsed="false">
      <c r="A5757" s="6" t="s">
        <v>10981</v>
      </c>
      <c r="B5757" s="6" t="s">
        <v>1713</v>
      </c>
      <c r="C5757" s="26" t="n">
        <v>46200</v>
      </c>
      <c r="D5757" s="6" t="s">
        <v>5216</v>
      </c>
      <c r="E5757" s="6" t="s">
        <v>23</v>
      </c>
      <c r="F5757" s="6" t="n">
        <v>5</v>
      </c>
      <c r="G5757" s="10" t="n">
        <v>558</v>
      </c>
      <c r="H5757" s="10" t="n">
        <f aca="false">F5757*G5757</f>
        <v>2790</v>
      </c>
      <c r="I5757" s="6" t="s">
        <v>5122</v>
      </c>
    </row>
    <row r="5758" customFormat="false" ht="15" hidden="false" customHeight="false" outlineLevel="0" collapsed="false">
      <c r="A5758" s="6" t="s">
        <v>10982</v>
      </c>
      <c r="B5758" s="6" t="s">
        <v>356</v>
      </c>
      <c r="C5758" s="26" t="n">
        <v>46200</v>
      </c>
      <c r="D5758" s="6" t="s">
        <v>5167</v>
      </c>
      <c r="E5758" s="6" t="s">
        <v>22</v>
      </c>
      <c r="F5758" s="6" t="n">
        <v>1</v>
      </c>
      <c r="G5758" s="10" t="n">
        <v>743</v>
      </c>
      <c r="H5758" s="10" t="n">
        <f aca="false">F5758*G5758</f>
        <v>743</v>
      </c>
      <c r="I5758" s="6" t="s">
        <v>5125</v>
      </c>
    </row>
    <row r="5759" customFormat="false" ht="15" hidden="false" customHeight="false" outlineLevel="0" collapsed="false">
      <c r="A5759" s="6" t="s">
        <v>10983</v>
      </c>
      <c r="B5759" s="6" t="s">
        <v>2005</v>
      </c>
      <c r="C5759" s="26" t="n">
        <v>46200</v>
      </c>
      <c r="D5759" s="6" t="s">
        <v>5143</v>
      </c>
      <c r="E5759" s="6" t="s">
        <v>21</v>
      </c>
      <c r="F5759" s="6" t="n">
        <v>1</v>
      </c>
      <c r="G5759" s="10" t="n">
        <v>1179</v>
      </c>
      <c r="H5759" s="10" t="n">
        <f aca="false">F5759*G5759</f>
        <v>1179</v>
      </c>
      <c r="I5759" s="6" t="s">
        <v>5148</v>
      </c>
    </row>
    <row r="5760" customFormat="false" ht="15" hidden="false" customHeight="false" outlineLevel="0" collapsed="false">
      <c r="A5760" s="6" t="s">
        <v>10984</v>
      </c>
      <c r="B5760" s="6" t="s">
        <v>3959</v>
      </c>
      <c r="C5760" s="26" t="n">
        <v>46200</v>
      </c>
      <c r="D5760" s="6" t="s">
        <v>5160</v>
      </c>
      <c r="E5760" s="6" t="s">
        <v>21</v>
      </c>
      <c r="F5760" s="6" t="n">
        <v>1</v>
      </c>
      <c r="G5760" s="10" t="n">
        <v>2476</v>
      </c>
      <c r="H5760" s="10" t="n">
        <f aca="false">F5760*G5760</f>
        <v>2476</v>
      </c>
      <c r="I5760" s="6" t="s">
        <v>5130</v>
      </c>
    </row>
    <row r="5761" customFormat="false" ht="15" hidden="false" customHeight="false" outlineLevel="0" collapsed="false">
      <c r="A5761" s="6" t="s">
        <v>10985</v>
      </c>
      <c r="B5761" s="6" t="s">
        <v>2071</v>
      </c>
      <c r="C5761" s="26" t="n">
        <v>46200</v>
      </c>
      <c r="D5761" s="6" t="s">
        <v>5135</v>
      </c>
      <c r="E5761" s="6" t="s">
        <v>23</v>
      </c>
      <c r="F5761" s="6" t="n">
        <v>2</v>
      </c>
      <c r="G5761" s="10" t="n">
        <v>441</v>
      </c>
      <c r="H5761" s="10" t="n">
        <f aca="false">F5761*G5761</f>
        <v>882</v>
      </c>
      <c r="I5761" s="6" t="s">
        <v>5148</v>
      </c>
    </row>
    <row r="5762" customFormat="false" ht="15" hidden="false" customHeight="false" outlineLevel="0" collapsed="false">
      <c r="A5762" s="6" t="s">
        <v>10986</v>
      </c>
      <c r="B5762" s="6" t="s">
        <v>3819</v>
      </c>
      <c r="C5762" s="26" t="n">
        <v>46200</v>
      </c>
      <c r="D5762" s="6" t="s">
        <v>5167</v>
      </c>
      <c r="E5762" s="6" t="s">
        <v>22</v>
      </c>
      <c r="F5762" s="6" t="n">
        <v>3</v>
      </c>
      <c r="G5762" s="10" t="n">
        <v>703</v>
      </c>
      <c r="H5762" s="10" t="n">
        <f aca="false">F5762*G5762</f>
        <v>2109</v>
      </c>
      <c r="I5762" s="6" t="s">
        <v>5173</v>
      </c>
    </row>
    <row r="5763" customFormat="false" ht="15" hidden="false" customHeight="false" outlineLevel="0" collapsed="false">
      <c r="A5763" s="6" t="s">
        <v>10987</v>
      </c>
      <c r="B5763" s="6" t="s">
        <v>1163</v>
      </c>
      <c r="C5763" s="26" t="n">
        <v>46200</v>
      </c>
      <c r="D5763" s="6" t="s">
        <v>5458</v>
      </c>
      <c r="E5763" s="6" t="s">
        <v>24</v>
      </c>
      <c r="F5763" s="6" t="n">
        <v>1</v>
      </c>
      <c r="G5763" s="10" t="n">
        <v>559</v>
      </c>
      <c r="H5763" s="10" t="n">
        <f aca="false">F5763*G5763</f>
        <v>559</v>
      </c>
      <c r="I5763" s="6" t="s">
        <v>5122</v>
      </c>
    </row>
    <row r="5764" customFormat="false" ht="15" hidden="false" customHeight="false" outlineLevel="0" collapsed="false">
      <c r="A5764" s="6" t="s">
        <v>10988</v>
      </c>
      <c r="B5764" s="6" t="s">
        <v>376</v>
      </c>
      <c r="C5764" s="26" t="n">
        <v>46200</v>
      </c>
      <c r="D5764" s="6" t="s">
        <v>5167</v>
      </c>
      <c r="E5764" s="6" t="s">
        <v>22</v>
      </c>
      <c r="F5764" s="6" t="n">
        <v>2</v>
      </c>
      <c r="G5764" s="10" t="n">
        <v>782</v>
      </c>
      <c r="H5764" s="10" t="n">
        <f aca="false">F5764*G5764</f>
        <v>1564</v>
      </c>
      <c r="I5764" s="6" t="s">
        <v>5122</v>
      </c>
    </row>
    <row r="5765" customFormat="false" ht="15" hidden="false" customHeight="false" outlineLevel="0" collapsed="false">
      <c r="A5765" s="6" t="s">
        <v>10989</v>
      </c>
      <c r="B5765" s="6" t="s">
        <v>1785</v>
      </c>
      <c r="C5765" s="26" t="n">
        <v>46200</v>
      </c>
      <c r="D5765" s="6" t="s">
        <v>5141</v>
      </c>
      <c r="E5765" s="6" t="s">
        <v>20</v>
      </c>
      <c r="F5765" s="6" t="n">
        <v>1</v>
      </c>
      <c r="G5765" s="10" t="n">
        <v>1835</v>
      </c>
      <c r="H5765" s="10" t="n">
        <f aca="false">F5765*G5765</f>
        <v>1835</v>
      </c>
      <c r="I5765" s="6" t="s">
        <v>5122</v>
      </c>
    </row>
    <row r="5766" customFormat="false" ht="15" hidden="false" customHeight="false" outlineLevel="0" collapsed="false">
      <c r="A5766" s="6" t="s">
        <v>10990</v>
      </c>
      <c r="B5766" s="6" t="s">
        <v>2029</v>
      </c>
      <c r="C5766" s="26" t="n">
        <v>46200</v>
      </c>
      <c r="D5766" s="6" t="s">
        <v>5132</v>
      </c>
      <c r="E5766" s="6" t="s">
        <v>23</v>
      </c>
      <c r="F5766" s="6" t="n">
        <v>4</v>
      </c>
      <c r="G5766" s="10" t="n">
        <v>342</v>
      </c>
      <c r="H5766" s="10" t="n">
        <f aca="false">F5766*G5766</f>
        <v>1368</v>
      </c>
      <c r="I5766" s="6" t="s">
        <v>5148</v>
      </c>
    </row>
    <row r="5767" customFormat="false" ht="15" hidden="false" customHeight="false" outlineLevel="0" collapsed="false">
      <c r="A5767" s="6" t="s">
        <v>10991</v>
      </c>
      <c r="B5767" s="6" t="s">
        <v>2357</v>
      </c>
      <c r="C5767" s="26" t="n">
        <v>46200</v>
      </c>
      <c r="D5767" s="6" t="s">
        <v>5167</v>
      </c>
      <c r="E5767" s="6" t="s">
        <v>22</v>
      </c>
      <c r="F5767" s="6" t="n">
        <v>1</v>
      </c>
      <c r="G5767" s="10" t="n">
        <v>703</v>
      </c>
      <c r="H5767" s="10" t="n">
        <f aca="false">F5767*G5767</f>
        <v>703</v>
      </c>
      <c r="I5767" s="6" t="s">
        <v>5133</v>
      </c>
    </row>
    <row r="5768" customFormat="false" ht="15" hidden="false" customHeight="false" outlineLevel="0" collapsed="false">
      <c r="A5768" s="6" t="s">
        <v>10992</v>
      </c>
      <c r="B5768" s="6" t="s">
        <v>3333</v>
      </c>
      <c r="C5768" s="26" t="n">
        <v>46200</v>
      </c>
      <c r="D5768" s="6" t="s">
        <v>5165</v>
      </c>
      <c r="E5768" s="6" t="s">
        <v>22</v>
      </c>
      <c r="F5768" s="6" t="n">
        <v>1</v>
      </c>
      <c r="G5768" s="10" t="n">
        <v>977</v>
      </c>
      <c r="H5768" s="10" t="n">
        <f aca="false">F5768*G5768</f>
        <v>977</v>
      </c>
      <c r="I5768" s="6" t="s">
        <v>5130</v>
      </c>
    </row>
    <row r="5769" customFormat="false" ht="15" hidden="false" customHeight="false" outlineLevel="0" collapsed="false">
      <c r="A5769" s="6" t="s">
        <v>10993</v>
      </c>
      <c r="B5769" s="6" t="s">
        <v>1089</v>
      </c>
      <c r="C5769" s="26" t="n">
        <v>46200</v>
      </c>
      <c r="D5769" s="6" t="s">
        <v>5145</v>
      </c>
      <c r="E5769" s="6" t="s">
        <v>21</v>
      </c>
      <c r="F5769" s="6" t="n">
        <v>1</v>
      </c>
      <c r="G5769" s="10" t="n">
        <v>1277</v>
      </c>
      <c r="H5769" s="10" t="n">
        <f aca="false">F5769*G5769</f>
        <v>1277</v>
      </c>
      <c r="I5769" s="6" t="s">
        <v>5130</v>
      </c>
    </row>
    <row r="5770" customFormat="false" ht="15" hidden="false" customHeight="false" outlineLevel="0" collapsed="false">
      <c r="A5770" s="6" t="s">
        <v>10994</v>
      </c>
      <c r="B5770" s="6" t="s">
        <v>901</v>
      </c>
      <c r="C5770" s="26" t="n">
        <v>46200</v>
      </c>
      <c r="D5770" s="6" t="s">
        <v>5226</v>
      </c>
      <c r="E5770" s="6" t="s">
        <v>24</v>
      </c>
      <c r="F5770" s="6" t="n">
        <v>2</v>
      </c>
      <c r="G5770" s="10" t="n">
        <v>457</v>
      </c>
      <c r="H5770" s="10" t="n">
        <f aca="false">F5770*G5770</f>
        <v>914</v>
      </c>
      <c r="I5770" s="6" t="s">
        <v>5122</v>
      </c>
    </row>
    <row r="5771" customFormat="false" ht="15" hidden="false" customHeight="false" outlineLevel="0" collapsed="false">
      <c r="A5771" s="6" t="s">
        <v>10995</v>
      </c>
      <c r="B5771" s="6" t="s">
        <v>1459</v>
      </c>
      <c r="C5771" s="26" t="n">
        <v>46200</v>
      </c>
      <c r="D5771" s="6" t="s">
        <v>5147</v>
      </c>
      <c r="E5771" s="6" t="s">
        <v>24</v>
      </c>
      <c r="F5771" s="6" t="n">
        <v>1</v>
      </c>
      <c r="G5771" s="10" t="n">
        <v>628</v>
      </c>
      <c r="H5771" s="10" t="n">
        <f aca="false">F5771*G5771</f>
        <v>628</v>
      </c>
      <c r="I5771" s="6" t="s">
        <v>5148</v>
      </c>
    </row>
    <row r="5772" customFormat="false" ht="15" hidden="false" customHeight="false" outlineLevel="0" collapsed="false">
      <c r="A5772" s="6" t="s">
        <v>10996</v>
      </c>
      <c r="B5772" s="6" t="s">
        <v>1433</v>
      </c>
      <c r="C5772" s="26" t="n">
        <v>46200</v>
      </c>
      <c r="D5772" s="6" t="s">
        <v>5127</v>
      </c>
      <c r="E5772" s="6" t="s">
        <v>21</v>
      </c>
      <c r="F5772" s="6" t="n">
        <v>1</v>
      </c>
      <c r="G5772" s="10" t="n">
        <v>884</v>
      </c>
      <c r="H5772" s="10" t="n">
        <f aca="false">F5772*G5772</f>
        <v>884</v>
      </c>
      <c r="I5772" s="6" t="s">
        <v>5173</v>
      </c>
    </row>
    <row r="5773" customFormat="false" ht="15" hidden="false" customHeight="false" outlineLevel="0" collapsed="false">
      <c r="A5773" s="6" t="s">
        <v>10997</v>
      </c>
      <c r="B5773" s="6" t="s">
        <v>358</v>
      </c>
      <c r="C5773" s="26" t="n">
        <v>46200</v>
      </c>
      <c r="D5773" s="6" t="s">
        <v>5121</v>
      </c>
      <c r="E5773" s="6" t="s">
        <v>22</v>
      </c>
      <c r="F5773" s="6" t="n">
        <v>4</v>
      </c>
      <c r="G5773" s="10" t="n">
        <v>880</v>
      </c>
      <c r="H5773" s="10" t="n">
        <f aca="false">F5773*G5773</f>
        <v>3520</v>
      </c>
      <c r="I5773" s="6" t="s">
        <v>5122</v>
      </c>
    </row>
    <row r="5774" customFormat="false" ht="15" hidden="false" customHeight="false" outlineLevel="0" collapsed="false">
      <c r="A5774" s="6" t="s">
        <v>10998</v>
      </c>
      <c r="B5774" s="6" t="s">
        <v>4343</v>
      </c>
      <c r="C5774" s="26" t="n">
        <v>46200</v>
      </c>
      <c r="D5774" s="6" t="s">
        <v>5171</v>
      </c>
      <c r="E5774" s="6" t="s">
        <v>23</v>
      </c>
      <c r="F5774" s="6" t="n">
        <v>3</v>
      </c>
      <c r="G5774" s="10" t="n">
        <v>734</v>
      </c>
      <c r="H5774" s="10" t="n">
        <f aca="false">F5774*G5774</f>
        <v>2202</v>
      </c>
      <c r="I5774" s="6" t="s">
        <v>5122</v>
      </c>
    </row>
    <row r="5775" customFormat="false" ht="15" hidden="false" customHeight="false" outlineLevel="0" collapsed="false">
      <c r="A5775" s="6" t="s">
        <v>10999</v>
      </c>
      <c r="B5775" s="6" t="s">
        <v>1907</v>
      </c>
      <c r="C5775" s="26" t="n">
        <v>46201</v>
      </c>
      <c r="D5775" s="6" t="s">
        <v>5171</v>
      </c>
      <c r="E5775" s="6" t="s">
        <v>23</v>
      </c>
      <c r="F5775" s="6" t="n">
        <v>2</v>
      </c>
      <c r="G5775" s="10" t="n">
        <v>734</v>
      </c>
      <c r="H5775" s="10" t="n">
        <f aca="false">F5775*G5775</f>
        <v>1468</v>
      </c>
      <c r="I5775" s="6" t="s">
        <v>5122</v>
      </c>
    </row>
    <row r="5776" customFormat="false" ht="15" hidden="false" customHeight="false" outlineLevel="0" collapsed="false">
      <c r="A5776" s="6" t="s">
        <v>11000</v>
      </c>
      <c r="B5776" s="6" t="s">
        <v>2273</v>
      </c>
      <c r="C5776" s="26" t="n">
        <v>46201</v>
      </c>
      <c r="D5776" s="6" t="s">
        <v>5216</v>
      </c>
      <c r="E5776" s="6" t="s">
        <v>23</v>
      </c>
      <c r="F5776" s="6" t="n">
        <v>2</v>
      </c>
      <c r="G5776" s="10" t="n">
        <v>587</v>
      </c>
      <c r="H5776" s="10" t="n">
        <f aca="false">F5776*G5776</f>
        <v>1174</v>
      </c>
      <c r="I5776" s="6" t="s">
        <v>5148</v>
      </c>
    </row>
    <row r="5777" customFormat="false" ht="15" hidden="false" customHeight="false" outlineLevel="0" collapsed="false">
      <c r="A5777" s="6" t="s">
        <v>11001</v>
      </c>
      <c r="B5777" s="6" t="s">
        <v>4657</v>
      </c>
      <c r="C5777" s="26" t="n">
        <v>46201</v>
      </c>
      <c r="D5777" s="6" t="s">
        <v>5163</v>
      </c>
      <c r="E5777" s="6" t="s">
        <v>23</v>
      </c>
      <c r="F5777" s="6" t="n">
        <v>5</v>
      </c>
      <c r="G5777" s="10" t="n">
        <v>705</v>
      </c>
      <c r="H5777" s="10" t="n">
        <f aca="false">F5777*G5777</f>
        <v>3525</v>
      </c>
      <c r="I5777" s="6" t="s">
        <v>5122</v>
      </c>
    </row>
    <row r="5778" customFormat="false" ht="15" hidden="false" customHeight="false" outlineLevel="0" collapsed="false">
      <c r="A5778" s="6" t="s">
        <v>11002</v>
      </c>
      <c r="B5778" s="6" t="s">
        <v>1825</v>
      </c>
      <c r="C5778" s="26" t="n">
        <v>46201</v>
      </c>
      <c r="D5778" s="6" t="s">
        <v>5147</v>
      </c>
      <c r="E5778" s="6" t="s">
        <v>24</v>
      </c>
      <c r="F5778" s="6" t="n">
        <v>1</v>
      </c>
      <c r="G5778" s="10" t="n">
        <v>662</v>
      </c>
      <c r="H5778" s="10" t="n">
        <f aca="false">F5778*G5778</f>
        <v>662</v>
      </c>
      <c r="I5778" s="6" t="s">
        <v>5125</v>
      </c>
    </row>
    <row r="5779" customFormat="false" ht="15" hidden="false" customHeight="false" outlineLevel="0" collapsed="false">
      <c r="A5779" s="6" t="s">
        <v>11003</v>
      </c>
      <c r="B5779" s="6" t="s">
        <v>4503</v>
      </c>
      <c r="C5779" s="26" t="n">
        <v>46201</v>
      </c>
      <c r="D5779" s="6" t="s">
        <v>5313</v>
      </c>
      <c r="E5779" s="6" t="s">
        <v>22</v>
      </c>
      <c r="F5779" s="6" t="n">
        <v>2</v>
      </c>
      <c r="G5779" s="10" t="n">
        <v>1584</v>
      </c>
      <c r="H5779" s="10" t="n">
        <f aca="false">F5779*G5779</f>
        <v>3168</v>
      </c>
      <c r="I5779" s="6" t="s">
        <v>5122</v>
      </c>
    </row>
    <row r="5780" customFormat="false" ht="15" hidden="false" customHeight="false" outlineLevel="0" collapsed="false">
      <c r="A5780" s="6" t="s">
        <v>11004</v>
      </c>
      <c r="B5780" s="6" t="s">
        <v>2771</v>
      </c>
      <c r="C5780" s="26" t="n">
        <v>46201</v>
      </c>
      <c r="D5780" s="6" t="s">
        <v>5141</v>
      </c>
      <c r="E5780" s="6" t="s">
        <v>20</v>
      </c>
      <c r="F5780" s="6" t="n">
        <v>1</v>
      </c>
      <c r="G5780" s="10" t="n">
        <v>1835</v>
      </c>
      <c r="H5780" s="10" t="n">
        <f aca="false">F5780*G5780</f>
        <v>1835</v>
      </c>
      <c r="I5780" s="6" t="s">
        <v>5125</v>
      </c>
    </row>
    <row r="5781" customFormat="false" ht="15" hidden="false" customHeight="false" outlineLevel="0" collapsed="false">
      <c r="A5781" s="6" t="s">
        <v>11005</v>
      </c>
      <c r="B5781" s="6" t="s">
        <v>1475</v>
      </c>
      <c r="C5781" s="26" t="n">
        <v>46201</v>
      </c>
      <c r="D5781" s="6" t="s">
        <v>5165</v>
      </c>
      <c r="E5781" s="6" t="s">
        <v>22</v>
      </c>
      <c r="F5781" s="6" t="n">
        <v>2</v>
      </c>
      <c r="G5781" s="10" t="n">
        <v>977</v>
      </c>
      <c r="H5781" s="10" t="n">
        <f aca="false">F5781*G5781</f>
        <v>1954</v>
      </c>
      <c r="I5781" s="6" t="s">
        <v>5122</v>
      </c>
    </row>
    <row r="5782" customFormat="false" ht="15" hidden="false" customHeight="false" outlineLevel="0" collapsed="false">
      <c r="A5782" s="6" t="s">
        <v>11006</v>
      </c>
      <c r="B5782" s="6" t="s">
        <v>3757</v>
      </c>
      <c r="C5782" s="26" t="n">
        <v>46201</v>
      </c>
      <c r="D5782" s="6" t="s">
        <v>5242</v>
      </c>
      <c r="E5782" s="6" t="s">
        <v>23</v>
      </c>
      <c r="F5782" s="6" t="n">
        <v>4</v>
      </c>
      <c r="G5782" s="10" t="n">
        <v>372</v>
      </c>
      <c r="H5782" s="10" t="n">
        <f aca="false">F5782*G5782</f>
        <v>1488</v>
      </c>
      <c r="I5782" s="6" t="s">
        <v>5148</v>
      </c>
    </row>
    <row r="5783" customFormat="false" ht="15" hidden="false" customHeight="false" outlineLevel="0" collapsed="false">
      <c r="A5783" s="6" t="s">
        <v>11007</v>
      </c>
      <c r="B5783" s="6" t="s">
        <v>1181</v>
      </c>
      <c r="C5783" s="26" t="n">
        <v>46201</v>
      </c>
      <c r="D5783" s="6" t="s">
        <v>5482</v>
      </c>
      <c r="E5783" s="6" t="s">
        <v>23</v>
      </c>
      <c r="F5783" s="6" t="n">
        <v>1</v>
      </c>
      <c r="G5783" s="10" t="n">
        <v>243</v>
      </c>
      <c r="H5783" s="10" t="n">
        <f aca="false">F5783*G5783</f>
        <v>243</v>
      </c>
      <c r="I5783" s="6" t="s">
        <v>5130</v>
      </c>
    </row>
    <row r="5784" customFormat="false" ht="15" hidden="false" customHeight="false" outlineLevel="0" collapsed="false">
      <c r="A5784" s="6" t="s">
        <v>11008</v>
      </c>
      <c r="B5784" s="6" t="s">
        <v>4337</v>
      </c>
      <c r="C5784" s="26" t="n">
        <v>46201</v>
      </c>
      <c r="D5784" s="6" t="s">
        <v>5837</v>
      </c>
      <c r="E5784" s="6" t="s">
        <v>21</v>
      </c>
      <c r="F5784" s="6" t="n">
        <v>3</v>
      </c>
      <c r="G5784" s="10" t="n">
        <v>2948</v>
      </c>
      <c r="H5784" s="10" t="n">
        <f aca="false">F5784*G5784</f>
        <v>8844</v>
      </c>
      <c r="I5784" s="6" t="s">
        <v>5122</v>
      </c>
    </row>
    <row r="5785" customFormat="false" ht="15" hidden="false" customHeight="false" outlineLevel="0" collapsed="false">
      <c r="A5785" s="6" t="s">
        <v>11009</v>
      </c>
      <c r="B5785" s="6" t="s">
        <v>4071</v>
      </c>
      <c r="C5785" s="26" t="n">
        <v>46201</v>
      </c>
      <c r="D5785" s="6" t="s">
        <v>5167</v>
      </c>
      <c r="E5785" s="6" t="s">
        <v>22</v>
      </c>
      <c r="F5785" s="6" t="n">
        <v>2</v>
      </c>
      <c r="G5785" s="10" t="n">
        <v>782</v>
      </c>
      <c r="H5785" s="10" t="n">
        <f aca="false">F5785*G5785</f>
        <v>1564</v>
      </c>
      <c r="I5785" s="6" t="s">
        <v>5148</v>
      </c>
    </row>
    <row r="5786" customFormat="false" ht="15" hidden="false" customHeight="false" outlineLevel="0" collapsed="false">
      <c r="A5786" s="6" t="s">
        <v>11010</v>
      </c>
      <c r="B5786" s="6" t="s">
        <v>2189</v>
      </c>
      <c r="C5786" s="26" t="n">
        <v>46201</v>
      </c>
      <c r="D5786" s="6" t="s">
        <v>9706</v>
      </c>
      <c r="E5786" s="6" t="s">
        <v>22</v>
      </c>
      <c r="F5786" s="6" t="n">
        <v>1</v>
      </c>
      <c r="G5786" s="10" t="n">
        <v>3912</v>
      </c>
      <c r="H5786" s="10" t="n">
        <f aca="false">F5786*G5786</f>
        <v>3912</v>
      </c>
      <c r="I5786" s="6" t="s">
        <v>5125</v>
      </c>
    </row>
    <row r="5787" customFormat="false" ht="15" hidden="false" customHeight="false" outlineLevel="0" collapsed="false">
      <c r="A5787" s="6" t="s">
        <v>11011</v>
      </c>
      <c r="B5787" s="6" t="s">
        <v>4683</v>
      </c>
      <c r="C5787" s="26" t="n">
        <v>46201</v>
      </c>
      <c r="D5787" s="6" t="s">
        <v>5273</v>
      </c>
      <c r="E5787" s="6" t="s">
        <v>23</v>
      </c>
      <c r="F5787" s="6" t="n">
        <v>2</v>
      </c>
      <c r="G5787" s="10" t="n">
        <v>228</v>
      </c>
      <c r="H5787" s="10" t="n">
        <f aca="false">F5787*G5787</f>
        <v>456</v>
      </c>
      <c r="I5787" s="6" t="s">
        <v>5122</v>
      </c>
    </row>
    <row r="5788" customFormat="false" ht="15" hidden="false" customHeight="false" outlineLevel="0" collapsed="false">
      <c r="A5788" s="6" t="s">
        <v>11012</v>
      </c>
      <c r="B5788" s="6" t="s">
        <v>801</v>
      </c>
      <c r="C5788" s="26" t="n">
        <v>46201</v>
      </c>
      <c r="D5788" s="6" t="s">
        <v>5185</v>
      </c>
      <c r="E5788" s="6" t="s">
        <v>24</v>
      </c>
      <c r="F5788" s="6" t="n">
        <v>2</v>
      </c>
      <c r="G5788" s="10" t="n">
        <v>2140</v>
      </c>
      <c r="H5788" s="10" t="n">
        <f aca="false">F5788*G5788</f>
        <v>4280</v>
      </c>
      <c r="I5788" s="6" t="s">
        <v>5148</v>
      </c>
    </row>
    <row r="5789" customFormat="false" ht="15" hidden="false" customHeight="false" outlineLevel="0" collapsed="false">
      <c r="A5789" s="6" t="s">
        <v>11013</v>
      </c>
      <c r="B5789" s="6" t="s">
        <v>138</v>
      </c>
      <c r="C5789" s="26" t="n">
        <v>46201</v>
      </c>
      <c r="D5789" s="6" t="s">
        <v>5339</v>
      </c>
      <c r="E5789" s="6" t="s">
        <v>24</v>
      </c>
      <c r="F5789" s="6" t="n">
        <v>1</v>
      </c>
      <c r="G5789" s="10" t="n">
        <v>458</v>
      </c>
      <c r="H5789" s="10" t="n">
        <f aca="false">F5789*G5789</f>
        <v>458</v>
      </c>
      <c r="I5789" s="6" t="s">
        <v>5148</v>
      </c>
    </row>
    <row r="5790" customFormat="false" ht="15" hidden="false" customHeight="false" outlineLevel="0" collapsed="false">
      <c r="A5790" s="6" t="s">
        <v>11014</v>
      </c>
      <c r="B5790" s="6" t="s">
        <v>475</v>
      </c>
      <c r="C5790" s="26" t="n">
        <v>46201</v>
      </c>
      <c r="D5790" s="6" t="s">
        <v>5167</v>
      </c>
      <c r="E5790" s="6" t="s">
        <v>22</v>
      </c>
      <c r="F5790" s="6" t="n">
        <v>3</v>
      </c>
      <c r="G5790" s="10" t="n">
        <v>743</v>
      </c>
      <c r="H5790" s="10" t="n">
        <f aca="false">F5790*G5790</f>
        <v>2229</v>
      </c>
      <c r="I5790" s="6" t="s">
        <v>5148</v>
      </c>
    </row>
    <row r="5791" customFormat="false" ht="15" hidden="false" customHeight="false" outlineLevel="0" collapsed="false">
      <c r="A5791" s="6" t="s">
        <v>11015</v>
      </c>
      <c r="B5791" s="6" t="s">
        <v>1563</v>
      </c>
      <c r="C5791" s="26" t="n">
        <v>46201</v>
      </c>
      <c r="D5791" s="6" t="s">
        <v>5235</v>
      </c>
      <c r="E5791" s="6" t="s">
        <v>21</v>
      </c>
      <c r="F5791" s="6" t="n">
        <v>1</v>
      </c>
      <c r="G5791" s="10" t="n">
        <v>1503</v>
      </c>
      <c r="H5791" s="10" t="n">
        <f aca="false">F5791*G5791</f>
        <v>1503</v>
      </c>
      <c r="I5791" s="6" t="s">
        <v>5148</v>
      </c>
    </row>
    <row r="5792" customFormat="false" ht="15" hidden="false" customHeight="false" outlineLevel="0" collapsed="false">
      <c r="A5792" s="6" t="s">
        <v>11016</v>
      </c>
      <c r="B5792" s="6" t="s">
        <v>3331</v>
      </c>
      <c r="C5792" s="26" t="n">
        <v>46201</v>
      </c>
      <c r="D5792" s="6" t="s">
        <v>5158</v>
      </c>
      <c r="E5792" s="6" t="s">
        <v>24</v>
      </c>
      <c r="F5792" s="6" t="n">
        <v>3</v>
      </c>
      <c r="G5792" s="10" t="n">
        <v>390</v>
      </c>
      <c r="H5792" s="10" t="n">
        <f aca="false">F5792*G5792</f>
        <v>1170</v>
      </c>
      <c r="I5792" s="6" t="s">
        <v>5122</v>
      </c>
    </row>
    <row r="5793" customFormat="false" ht="15" hidden="false" customHeight="false" outlineLevel="0" collapsed="false">
      <c r="A5793" s="6" t="s">
        <v>11017</v>
      </c>
      <c r="B5793" s="6" t="s">
        <v>4209</v>
      </c>
      <c r="C5793" s="26" t="n">
        <v>46201</v>
      </c>
      <c r="D5793" s="6" t="s">
        <v>5466</v>
      </c>
      <c r="E5793" s="6" t="s">
        <v>21</v>
      </c>
      <c r="F5793" s="6" t="n">
        <v>1</v>
      </c>
      <c r="G5793" s="10" t="n">
        <v>1965</v>
      </c>
      <c r="H5793" s="10" t="n">
        <f aca="false">F5793*G5793</f>
        <v>1965</v>
      </c>
      <c r="I5793" s="6" t="s">
        <v>5148</v>
      </c>
    </row>
    <row r="5794" customFormat="false" ht="15" hidden="false" customHeight="false" outlineLevel="0" collapsed="false">
      <c r="A5794" s="6" t="s">
        <v>11018</v>
      </c>
      <c r="B5794" s="6" t="s">
        <v>765</v>
      </c>
      <c r="C5794" s="26" t="n">
        <v>46201</v>
      </c>
      <c r="D5794" s="6" t="s">
        <v>5316</v>
      </c>
      <c r="E5794" s="6" t="s">
        <v>23</v>
      </c>
      <c r="F5794" s="6" t="n">
        <v>4</v>
      </c>
      <c r="G5794" s="10" t="n">
        <v>260</v>
      </c>
      <c r="H5794" s="10" t="n">
        <f aca="false">F5794*G5794</f>
        <v>1040</v>
      </c>
      <c r="I5794" s="6" t="s">
        <v>5148</v>
      </c>
    </row>
    <row r="5795" customFormat="false" ht="15" hidden="false" customHeight="false" outlineLevel="0" collapsed="false">
      <c r="A5795" s="6" t="s">
        <v>11019</v>
      </c>
      <c r="B5795" s="6" t="s">
        <v>431</v>
      </c>
      <c r="C5795" s="26" t="n">
        <v>46201</v>
      </c>
      <c r="D5795" s="6" t="s">
        <v>5167</v>
      </c>
      <c r="E5795" s="6" t="s">
        <v>22</v>
      </c>
      <c r="F5795" s="6" t="n">
        <v>2</v>
      </c>
      <c r="G5795" s="10" t="n">
        <v>782</v>
      </c>
      <c r="H5795" s="10" t="n">
        <f aca="false">F5795*G5795</f>
        <v>1564</v>
      </c>
      <c r="I5795" s="6" t="s">
        <v>5148</v>
      </c>
    </row>
    <row r="5796" customFormat="false" ht="15" hidden="false" customHeight="false" outlineLevel="0" collapsed="false">
      <c r="A5796" s="6" t="s">
        <v>11020</v>
      </c>
      <c r="B5796" s="6" t="s">
        <v>2027</v>
      </c>
      <c r="C5796" s="26" t="n">
        <v>46201</v>
      </c>
      <c r="D5796" s="6" t="s">
        <v>5163</v>
      </c>
      <c r="E5796" s="6" t="s">
        <v>23</v>
      </c>
      <c r="F5796" s="6" t="n">
        <v>3</v>
      </c>
      <c r="G5796" s="10" t="n">
        <v>744</v>
      </c>
      <c r="H5796" s="10" t="n">
        <f aca="false">F5796*G5796</f>
        <v>2232</v>
      </c>
      <c r="I5796" s="6" t="s">
        <v>5133</v>
      </c>
    </row>
    <row r="5797" customFormat="false" ht="15" hidden="false" customHeight="false" outlineLevel="0" collapsed="false">
      <c r="A5797" s="6" t="s">
        <v>11021</v>
      </c>
      <c r="B5797" s="6" t="s">
        <v>1771</v>
      </c>
      <c r="C5797" s="26" t="n">
        <v>46201</v>
      </c>
      <c r="D5797" s="6" t="s">
        <v>5466</v>
      </c>
      <c r="E5797" s="6" t="s">
        <v>21</v>
      </c>
      <c r="F5797" s="6" t="n">
        <v>1</v>
      </c>
      <c r="G5797" s="10" t="n">
        <v>1768</v>
      </c>
      <c r="H5797" s="10" t="n">
        <f aca="false">F5797*G5797</f>
        <v>1768</v>
      </c>
      <c r="I5797" s="6" t="s">
        <v>5148</v>
      </c>
    </row>
    <row r="5798" customFormat="false" ht="15" hidden="false" customHeight="false" outlineLevel="0" collapsed="false">
      <c r="A5798" s="6" t="s">
        <v>11022</v>
      </c>
      <c r="B5798" s="6" t="s">
        <v>340</v>
      </c>
      <c r="C5798" s="26" t="n">
        <v>46201</v>
      </c>
      <c r="D5798" s="6" t="s">
        <v>5185</v>
      </c>
      <c r="E5798" s="6" t="s">
        <v>24</v>
      </c>
      <c r="F5798" s="6" t="n">
        <v>1</v>
      </c>
      <c r="G5798" s="10" t="n">
        <v>2033</v>
      </c>
      <c r="H5798" s="10" t="n">
        <f aca="false">F5798*G5798</f>
        <v>2033</v>
      </c>
      <c r="I5798" s="6" t="s">
        <v>5122</v>
      </c>
    </row>
    <row r="5799" customFormat="false" ht="15" hidden="false" customHeight="false" outlineLevel="0" collapsed="false">
      <c r="A5799" s="6" t="s">
        <v>11023</v>
      </c>
      <c r="B5799" s="6" t="s">
        <v>4553</v>
      </c>
      <c r="C5799" s="26" t="n">
        <v>46201</v>
      </c>
      <c r="D5799" s="6" t="s">
        <v>5145</v>
      </c>
      <c r="E5799" s="6" t="s">
        <v>21</v>
      </c>
      <c r="F5799" s="6" t="n">
        <v>2</v>
      </c>
      <c r="G5799" s="10" t="n">
        <v>1277</v>
      </c>
      <c r="H5799" s="10" t="n">
        <f aca="false">F5799*G5799</f>
        <v>2554</v>
      </c>
      <c r="I5799" s="6" t="s">
        <v>5125</v>
      </c>
    </row>
    <row r="5800" customFormat="false" ht="15" hidden="false" customHeight="false" outlineLevel="0" collapsed="false">
      <c r="A5800" s="6" t="s">
        <v>11024</v>
      </c>
      <c r="B5800" s="6" t="s">
        <v>2467</v>
      </c>
      <c r="C5800" s="26" t="n">
        <v>46201</v>
      </c>
      <c r="D5800" s="6" t="s">
        <v>5185</v>
      </c>
      <c r="E5800" s="6" t="s">
        <v>24</v>
      </c>
      <c r="F5800" s="6" t="n">
        <v>1</v>
      </c>
      <c r="G5800" s="10" t="n">
        <v>2140</v>
      </c>
      <c r="H5800" s="10" t="n">
        <f aca="false">F5800*G5800</f>
        <v>2140</v>
      </c>
      <c r="I5800" s="6" t="s">
        <v>5122</v>
      </c>
    </row>
    <row r="5801" customFormat="false" ht="15" hidden="false" customHeight="false" outlineLevel="0" collapsed="false">
      <c r="A5801" s="6" t="s">
        <v>11025</v>
      </c>
      <c r="B5801" s="6" t="s">
        <v>132</v>
      </c>
      <c r="C5801" s="26" t="n">
        <v>46201</v>
      </c>
      <c r="D5801" s="6" t="s">
        <v>5326</v>
      </c>
      <c r="E5801" s="6" t="s">
        <v>22</v>
      </c>
      <c r="F5801" s="6" t="n">
        <v>1</v>
      </c>
      <c r="G5801" s="10" t="n">
        <v>1466</v>
      </c>
      <c r="H5801" s="10" t="n">
        <f aca="false">F5801*G5801</f>
        <v>1466</v>
      </c>
      <c r="I5801" s="6" t="s">
        <v>5148</v>
      </c>
    </row>
    <row r="5802" customFormat="false" ht="15" hidden="false" customHeight="false" outlineLevel="0" collapsed="false">
      <c r="A5802" s="6" t="s">
        <v>11026</v>
      </c>
      <c r="B5802" s="6" t="s">
        <v>366</v>
      </c>
      <c r="C5802" s="26" t="n">
        <v>46201</v>
      </c>
      <c r="D5802" s="6" t="s">
        <v>5139</v>
      </c>
      <c r="E5802" s="6" t="s">
        <v>23</v>
      </c>
      <c r="F5802" s="6" t="n">
        <v>5</v>
      </c>
      <c r="G5802" s="10" t="n">
        <v>251</v>
      </c>
      <c r="H5802" s="10" t="n">
        <f aca="false">F5802*G5802</f>
        <v>1255</v>
      </c>
      <c r="I5802" s="6" t="s">
        <v>5148</v>
      </c>
    </row>
    <row r="5803" customFormat="false" ht="15" hidden="false" customHeight="false" outlineLevel="0" collapsed="false">
      <c r="A5803" s="6" t="s">
        <v>11027</v>
      </c>
      <c r="B5803" s="6" t="s">
        <v>1653</v>
      </c>
      <c r="C5803" s="26" t="n">
        <v>46201</v>
      </c>
      <c r="D5803" s="6" t="s">
        <v>5163</v>
      </c>
      <c r="E5803" s="6" t="s">
        <v>23</v>
      </c>
      <c r="F5803" s="6" t="n">
        <v>3</v>
      </c>
      <c r="G5803" s="10" t="n">
        <v>783</v>
      </c>
      <c r="H5803" s="10" t="n">
        <f aca="false">F5803*G5803</f>
        <v>2349</v>
      </c>
      <c r="I5803" s="6" t="s">
        <v>5173</v>
      </c>
    </row>
    <row r="5804" customFormat="false" ht="15" hidden="false" customHeight="false" outlineLevel="0" collapsed="false">
      <c r="A5804" s="6" t="s">
        <v>11028</v>
      </c>
      <c r="B5804" s="6" t="s">
        <v>5083</v>
      </c>
      <c r="C5804" s="26" t="n">
        <v>46201</v>
      </c>
      <c r="D5804" s="6" t="s">
        <v>5141</v>
      </c>
      <c r="E5804" s="6" t="s">
        <v>20</v>
      </c>
      <c r="F5804" s="6" t="n">
        <v>1</v>
      </c>
      <c r="G5804" s="10" t="n">
        <v>1835</v>
      </c>
      <c r="H5804" s="10" t="n">
        <f aca="false">F5804*G5804</f>
        <v>1835</v>
      </c>
      <c r="I5804" s="6" t="s">
        <v>5122</v>
      </c>
    </row>
    <row r="5805" customFormat="false" ht="15" hidden="false" customHeight="false" outlineLevel="0" collapsed="false">
      <c r="A5805" s="6" t="s">
        <v>11029</v>
      </c>
      <c r="B5805" s="6" t="s">
        <v>2377</v>
      </c>
      <c r="C5805" s="26" t="n">
        <v>46201</v>
      </c>
      <c r="D5805" s="6" t="s">
        <v>5167</v>
      </c>
      <c r="E5805" s="6" t="s">
        <v>22</v>
      </c>
      <c r="F5805" s="6" t="n">
        <v>1</v>
      </c>
      <c r="G5805" s="10" t="n">
        <v>782</v>
      </c>
      <c r="H5805" s="10" t="n">
        <f aca="false">F5805*G5805</f>
        <v>782</v>
      </c>
      <c r="I5805" s="6" t="s">
        <v>5133</v>
      </c>
    </row>
    <row r="5806" customFormat="false" ht="15" hidden="false" customHeight="false" outlineLevel="0" collapsed="false">
      <c r="A5806" s="6" t="s">
        <v>11030</v>
      </c>
      <c r="B5806" s="6" t="s">
        <v>2851</v>
      </c>
      <c r="C5806" s="26" t="n">
        <v>46201</v>
      </c>
      <c r="D5806" s="6" t="s">
        <v>5171</v>
      </c>
      <c r="E5806" s="6" t="s">
        <v>23</v>
      </c>
      <c r="F5806" s="6" t="n">
        <v>1</v>
      </c>
      <c r="G5806" s="10" t="n">
        <v>734</v>
      </c>
      <c r="H5806" s="10" t="n">
        <f aca="false">F5806*G5806</f>
        <v>734</v>
      </c>
      <c r="I5806" s="6" t="s">
        <v>5173</v>
      </c>
    </row>
    <row r="5807" customFormat="false" ht="15" hidden="false" customHeight="false" outlineLevel="0" collapsed="false">
      <c r="A5807" s="6" t="s">
        <v>11031</v>
      </c>
      <c r="B5807" s="6" t="s">
        <v>1589</v>
      </c>
      <c r="C5807" s="26" t="n">
        <v>46201</v>
      </c>
      <c r="D5807" s="6" t="s">
        <v>5165</v>
      </c>
      <c r="E5807" s="6" t="s">
        <v>22</v>
      </c>
      <c r="F5807" s="6" t="n">
        <v>1</v>
      </c>
      <c r="G5807" s="10" t="n">
        <v>928</v>
      </c>
      <c r="H5807" s="10" t="n">
        <f aca="false">F5807*G5807</f>
        <v>928</v>
      </c>
      <c r="I5807" s="6" t="s">
        <v>5148</v>
      </c>
    </row>
    <row r="5808" customFormat="false" ht="15" hidden="false" customHeight="false" outlineLevel="0" collapsed="false">
      <c r="A5808" s="6" t="s">
        <v>11032</v>
      </c>
      <c r="B5808" s="6" t="s">
        <v>4623</v>
      </c>
      <c r="C5808" s="26" t="n">
        <v>46201</v>
      </c>
      <c r="D5808" s="6" t="s">
        <v>5165</v>
      </c>
      <c r="E5808" s="6" t="s">
        <v>22</v>
      </c>
      <c r="F5808" s="6" t="n">
        <v>1</v>
      </c>
      <c r="G5808" s="10" t="n">
        <v>977</v>
      </c>
      <c r="H5808" s="10" t="n">
        <f aca="false">F5808*G5808</f>
        <v>977</v>
      </c>
      <c r="I5808" s="6" t="s">
        <v>5122</v>
      </c>
    </row>
    <row r="5809" customFormat="false" ht="15" hidden="false" customHeight="false" outlineLevel="0" collapsed="false">
      <c r="A5809" s="6" t="s">
        <v>11033</v>
      </c>
      <c r="B5809" s="6" t="s">
        <v>533</v>
      </c>
      <c r="C5809" s="26" t="n">
        <v>46201</v>
      </c>
      <c r="D5809" s="6" t="s">
        <v>5318</v>
      </c>
      <c r="E5809" s="6" t="s">
        <v>20</v>
      </c>
      <c r="F5809" s="6" t="n">
        <v>1</v>
      </c>
      <c r="G5809" s="10" t="n">
        <v>1452</v>
      </c>
      <c r="H5809" s="10" t="n">
        <f aca="false">F5809*G5809</f>
        <v>1452</v>
      </c>
      <c r="I5809" s="6" t="s">
        <v>5122</v>
      </c>
    </row>
    <row r="5810" customFormat="false" ht="15" hidden="false" customHeight="false" outlineLevel="0" collapsed="false">
      <c r="A5810" s="6" t="s">
        <v>11034</v>
      </c>
      <c r="B5810" s="6" t="s">
        <v>1191</v>
      </c>
      <c r="C5810" s="26" t="n">
        <v>46201</v>
      </c>
      <c r="D5810" s="6" t="s">
        <v>5188</v>
      </c>
      <c r="E5810" s="6" t="s">
        <v>24</v>
      </c>
      <c r="F5810" s="6" t="n">
        <v>1</v>
      </c>
      <c r="G5810" s="10" t="n">
        <v>1018</v>
      </c>
      <c r="H5810" s="10" t="n">
        <f aca="false">F5810*G5810</f>
        <v>1018</v>
      </c>
      <c r="I5810" s="6" t="s">
        <v>5148</v>
      </c>
    </row>
    <row r="5811" customFormat="false" ht="15" hidden="false" customHeight="false" outlineLevel="0" collapsed="false">
      <c r="A5811" s="6" t="s">
        <v>11035</v>
      </c>
      <c r="B5811" s="6" t="s">
        <v>1077</v>
      </c>
      <c r="C5811" s="26" t="n">
        <v>46201</v>
      </c>
      <c r="D5811" s="6" t="s">
        <v>5837</v>
      </c>
      <c r="E5811" s="6" t="s">
        <v>21</v>
      </c>
      <c r="F5811" s="6" t="n">
        <v>2</v>
      </c>
      <c r="G5811" s="10" t="n">
        <v>2653</v>
      </c>
      <c r="H5811" s="10" t="n">
        <f aca="false">F5811*G5811</f>
        <v>5306</v>
      </c>
      <c r="I5811" s="6" t="s">
        <v>5130</v>
      </c>
    </row>
    <row r="5812" customFormat="false" ht="15" hidden="false" customHeight="false" outlineLevel="0" collapsed="false">
      <c r="A5812" s="6" t="s">
        <v>11036</v>
      </c>
      <c r="B5812" s="6" t="s">
        <v>390</v>
      </c>
      <c r="C5812" s="26" t="n">
        <v>46201</v>
      </c>
      <c r="D5812" s="6" t="s">
        <v>5188</v>
      </c>
      <c r="E5812" s="6" t="s">
        <v>24</v>
      </c>
      <c r="F5812" s="6" t="n">
        <v>3</v>
      </c>
      <c r="G5812" s="10" t="n">
        <v>967</v>
      </c>
      <c r="H5812" s="10" t="n">
        <f aca="false">F5812*G5812</f>
        <v>2901</v>
      </c>
      <c r="I5812" s="6" t="s">
        <v>5148</v>
      </c>
    </row>
    <row r="5813" customFormat="false" ht="15" hidden="false" customHeight="false" outlineLevel="0" collapsed="false">
      <c r="A5813" s="6" t="s">
        <v>11037</v>
      </c>
      <c r="B5813" s="6" t="s">
        <v>1351</v>
      </c>
      <c r="C5813" s="26" t="n">
        <v>46201</v>
      </c>
      <c r="D5813" s="6" t="s">
        <v>5141</v>
      </c>
      <c r="E5813" s="6" t="s">
        <v>20</v>
      </c>
      <c r="F5813" s="6" t="n">
        <v>1</v>
      </c>
      <c r="G5813" s="10" t="n">
        <v>1834</v>
      </c>
      <c r="H5813" s="10" t="n">
        <f aca="false">F5813*G5813</f>
        <v>1834</v>
      </c>
      <c r="I5813" s="6" t="s">
        <v>5148</v>
      </c>
    </row>
    <row r="5814" customFormat="false" ht="15" hidden="false" customHeight="false" outlineLevel="0" collapsed="false">
      <c r="A5814" s="6" t="s">
        <v>11038</v>
      </c>
      <c r="B5814" s="6" t="s">
        <v>1823</v>
      </c>
      <c r="C5814" s="26" t="n">
        <v>46201</v>
      </c>
      <c r="D5814" s="6" t="s">
        <v>5298</v>
      </c>
      <c r="E5814" s="6" t="s">
        <v>23</v>
      </c>
      <c r="F5814" s="6" t="n">
        <v>3</v>
      </c>
      <c r="G5814" s="10" t="n">
        <v>293</v>
      </c>
      <c r="H5814" s="10" t="n">
        <f aca="false">F5814*G5814</f>
        <v>879</v>
      </c>
      <c r="I5814" s="6" t="s">
        <v>5133</v>
      </c>
    </row>
    <row r="5815" customFormat="false" ht="15" hidden="false" customHeight="false" outlineLevel="0" collapsed="false">
      <c r="A5815" s="6" t="s">
        <v>11039</v>
      </c>
      <c r="B5815" s="6" t="s">
        <v>4397</v>
      </c>
      <c r="C5815" s="26" t="n">
        <v>46201</v>
      </c>
      <c r="D5815" s="6" t="s">
        <v>5298</v>
      </c>
      <c r="E5815" s="6" t="s">
        <v>23</v>
      </c>
      <c r="F5815" s="6" t="n">
        <v>3</v>
      </c>
      <c r="G5815" s="10" t="n">
        <v>278</v>
      </c>
      <c r="H5815" s="10" t="n">
        <f aca="false">F5815*G5815</f>
        <v>834</v>
      </c>
      <c r="I5815" s="6" t="s">
        <v>5122</v>
      </c>
    </row>
    <row r="5816" customFormat="false" ht="15" hidden="false" customHeight="false" outlineLevel="0" collapsed="false">
      <c r="A5816" s="6" t="s">
        <v>11040</v>
      </c>
      <c r="B5816" s="6" t="s">
        <v>4135</v>
      </c>
      <c r="C5816" s="26" t="n">
        <v>46201</v>
      </c>
      <c r="D5816" s="6" t="s">
        <v>5683</v>
      </c>
      <c r="E5816" s="6" t="s">
        <v>22</v>
      </c>
      <c r="F5816" s="6" t="n">
        <v>1</v>
      </c>
      <c r="G5816" s="10" t="n">
        <v>1672</v>
      </c>
      <c r="H5816" s="10" t="n">
        <f aca="false">F5816*G5816</f>
        <v>1672</v>
      </c>
      <c r="I5816" s="6" t="s">
        <v>5148</v>
      </c>
    </row>
    <row r="5817" customFormat="false" ht="15" hidden="false" customHeight="false" outlineLevel="0" collapsed="false">
      <c r="A5817" s="6" t="s">
        <v>11041</v>
      </c>
      <c r="B5817" s="6" t="s">
        <v>1213</v>
      </c>
      <c r="C5817" s="26" t="n">
        <v>46201</v>
      </c>
      <c r="D5817" s="6" t="s">
        <v>5167</v>
      </c>
      <c r="E5817" s="6" t="s">
        <v>22</v>
      </c>
      <c r="F5817" s="6" t="n">
        <v>3</v>
      </c>
      <c r="G5817" s="10" t="n">
        <v>782</v>
      </c>
      <c r="H5817" s="10" t="n">
        <f aca="false">F5817*G5817</f>
        <v>2346</v>
      </c>
      <c r="I5817" s="6" t="s">
        <v>5125</v>
      </c>
    </row>
    <row r="5818" customFormat="false" ht="15" hidden="false" customHeight="false" outlineLevel="0" collapsed="false">
      <c r="A5818" s="6" t="s">
        <v>11042</v>
      </c>
      <c r="B5818" s="6" t="s">
        <v>4021</v>
      </c>
      <c r="C5818" s="26" t="n">
        <v>46201</v>
      </c>
      <c r="D5818" s="6" t="s">
        <v>5145</v>
      </c>
      <c r="E5818" s="6" t="s">
        <v>21</v>
      </c>
      <c r="F5818" s="6" t="n">
        <v>1</v>
      </c>
      <c r="G5818" s="10" t="n">
        <v>1277</v>
      </c>
      <c r="H5818" s="10" t="n">
        <f aca="false">F5818*G5818</f>
        <v>1277</v>
      </c>
      <c r="I5818" s="6" t="s">
        <v>5133</v>
      </c>
    </row>
    <row r="5819" customFormat="false" ht="15" hidden="false" customHeight="false" outlineLevel="0" collapsed="false">
      <c r="A5819" s="6" t="s">
        <v>11043</v>
      </c>
      <c r="B5819" s="6" t="s">
        <v>1977</v>
      </c>
      <c r="C5819" s="26" t="n">
        <v>46201</v>
      </c>
      <c r="D5819" s="6" t="s">
        <v>5121</v>
      </c>
      <c r="E5819" s="6" t="s">
        <v>22</v>
      </c>
      <c r="F5819" s="6" t="n">
        <v>1</v>
      </c>
      <c r="G5819" s="10" t="n">
        <v>977</v>
      </c>
      <c r="H5819" s="10" t="n">
        <f aca="false">F5819*G5819</f>
        <v>977</v>
      </c>
      <c r="I5819" s="6" t="s">
        <v>5133</v>
      </c>
    </row>
    <row r="5820" customFormat="false" ht="15" hidden="false" customHeight="false" outlineLevel="0" collapsed="false">
      <c r="A5820" s="6" t="s">
        <v>11044</v>
      </c>
      <c r="B5820" s="6" t="s">
        <v>4891</v>
      </c>
      <c r="C5820" s="26" t="n">
        <v>46201</v>
      </c>
      <c r="D5820" s="6" t="s">
        <v>5121</v>
      </c>
      <c r="E5820" s="6" t="s">
        <v>22</v>
      </c>
      <c r="F5820" s="6" t="n">
        <v>2</v>
      </c>
      <c r="G5820" s="10" t="n">
        <v>977</v>
      </c>
      <c r="H5820" s="10" t="n">
        <f aca="false">F5820*G5820</f>
        <v>1954</v>
      </c>
      <c r="I5820" s="6" t="s">
        <v>5122</v>
      </c>
    </row>
    <row r="5821" customFormat="false" ht="15" hidden="false" customHeight="false" outlineLevel="0" collapsed="false">
      <c r="A5821" s="6" t="s">
        <v>11045</v>
      </c>
      <c r="B5821" s="6" t="s">
        <v>883</v>
      </c>
      <c r="C5821" s="26" t="n">
        <v>46201</v>
      </c>
      <c r="D5821" s="6" t="s">
        <v>5121</v>
      </c>
      <c r="E5821" s="6" t="s">
        <v>22</v>
      </c>
      <c r="F5821" s="6" t="n">
        <v>2</v>
      </c>
      <c r="G5821" s="10" t="n">
        <v>977</v>
      </c>
      <c r="H5821" s="10" t="n">
        <f aca="false">F5821*G5821</f>
        <v>1954</v>
      </c>
      <c r="I5821" s="6" t="s">
        <v>5122</v>
      </c>
    </row>
    <row r="5822" customFormat="false" ht="15" hidden="false" customHeight="false" outlineLevel="0" collapsed="false">
      <c r="A5822" s="6" t="s">
        <v>11046</v>
      </c>
      <c r="B5822" s="6" t="s">
        <v>3539</v>
      </c>
      <c r="C5822" s="26" t="n">
        <v>46201</v>
      </c>
      <c r="D5822" s="6" t="s">
        <v>5192</v>
      </c>
      <c r="E5822" s="6" t="s">
        <v>20</v>
      </c>
      <c r="F5822" s="6" t="n">
        <v>1</v>
      </c>
      <c r="G5822" s="10" t="n">
        <v>4077</v>
      </c>
      <c r="H5822" s="10" t="n">
        <f aca="false">F5822*G5822</f>
        <v>4077</v>
      </c>
      <c r="I5822" s="6" t="s">
        <v>5122</v>
      </c>
    </row>
    <row r="5823" customFormat="false" ht="15" hidden="false" customHeight="false" outlineLevel="0" collapsed="false">
      <c r="A5823" s="6" t="s">
        <v>11047</v>
      </c>
      <c r="B5823" s="6" t="s">
        <v>4495</v>
      </c>
      <c r="C5823" s="26" t="n">
        <v>46201</v>
      </c>
      <c r="D5823" s="6" t="s">
        <v>5197</v>
      </c>
      <c r="E5823" s="6" t="s">
        <v>21</v>
      </c>
      <c r="F5823" s="6" t="n">
        <v>1</v>
      </c>
      <c r="G5823" s="10" t="n">
        <v>1080</v>
      </c>
      <c r="H5823" s="10" t="n">
        <f aca="false">F5823*G5823</f>
        <v>1080</v>
      </c>
      <c r="I5823" s="6" t="s">
        <v>5122</v>
      </c>
    </row>
    <row r="5824" customFormat="false" ht="15" hidden="false" customHeight="false" outlineLevel="0" collapsed="false">
      <c r="A5824" s="6" t="s">
        <v>11048</v>
      </c>
      <c r="B5824" s="6" t="s">
        <v>3201</v>
      </c>
      <c r="C5824" s="26" t="n">
        <v>46201</v>
      </c>
      <c r="D5824" s="6" t="s">
        <v>5158</v>
      </c>
      <c r="E5824" s="6" t="s">
        <v>24</v>
      </c>
      <c r="F5824" s="6" t="n">
        <v>1</v>
      </c>
      <c r="G5824" s="10" t="n">
        <v>411</v>
      </c>
      <c r="H5824" s="10" t="n">
        <f aca="false">F5824*G5824</f>
        <v>411</v>
      </c>
      <c r="I5824" s="6" t="s">
        <v>5130</v>
      </c>
    </row>
    <row r="5825" customFormat="false" ht="15" hidden="false" customHeight="false" outlineLevel="0" collapsed="false">
      <c r="A5825" s="6" t="s">
        <v>11049</v>
      </c>
      <c r="B5825" s="6" t="s">
        <v>2103</v>
      </c>
      <c r="C5825" s="26" t="n">
        <v>46202</v>
      </c>
      <c r="D5825" s="6" t="s">
        <v>5538</v>
      </c>
      <c r="E5825" s="6" t="s">
        <v>21</v>
      </c>
      <c r="F5825" s="6" t="n">
        <v>1</v>
      </c>
      <c r="G5825" s="10" t="n">
        <v>5405</v>
      </c>
      <c r="H5825" s="10" t="n">
        <f aca="false">F5825*G5825</f>
        <v>5405</v>
      </c>
      <c r="I5825" s="6" t="s">
        <v>5125</v>
      </c>
    </row>
    <row r="5826" customFormat="false" ht="15" hidden="false" customHeight="false" outlineLevel="0" collapsed="false">
      <c r="A5826" s="6" t="s">
        <v>11050</v>
      </c>
      <c r="B5826" s="6" t="s">
        <v>995</v>
      </c>
      <c r="C5826" s="26" t="n">
        <v>46202</v>
      </c>
      <c r="D5826" s="6" t="s">
        <v>5837</v>
      </c>
      <c r="E5826" s="6" t="s">
        <v>21</v>
      </c>
      <c r="F5826" s="6" t="n">
        <v>1</v>
      </c>
      <c r="G5826" s="10" t="n">
        <v>2948</v>
      </c>
      <c r="H5826" s="10" t="n">
        <f aca="false">F5826*G5826</f>
        <v>2948</v>
      </c>
      <c r="I5826" s="6" t="s">
        <v>5125</v>
      </c>
    </row>
    <row r="5827" customFormat="false" ht="15" hidden="false" customHeight="false" outlineLevel="0" collapsed="false">
      <c r="A5827" s="6" t="s">
        <v>11051</v>
      </c>
      <c r="B5827" s="6" t="s">
        <v>1599</v>
      </c>
      <c r="C5827" s="26" t="n">
        <v>46202</v>
      </c>
      <c r="D5827" s="6" t="s">
        <v>5167</v>
      </c>
      <c r="E5827" s="6" t="s">
        <v>22</v>
      </c>
      <c r="F5827" s="6" t="n">
        <v>2</v>
      </c>
      <c r="G5827" s="10" t="n">
        <v>703</v>
      </c>
      <c r="H5827" s="10" t="n">
        <f aca="false">F5827*G5827</f>
        <v>1406</v>
      </c>
      <c r="I5827" s="6" t="s">
        <v>5122</v>
      </c>
    </row>
    <row r="5828" customFormat="false" ht="15" hidden="false" customHeight="false" outlineLevel="0" collapsed="false">
      <c r="A5828" s="6" t="s">
        <v>11052</v>
      </c>
      <c r="B5828" s="6" t="s">
        <v>2653</v>
      </c>
      <c r="C5828" s="26" t="n">
        <v>46202</v>
      </c>
      <c r="D5828" s="6" t="s">
        <v>5127</v>
      </c>
      <c r="E5828" s="6" t="s">
        <v>21</v>
      </c>
      <c r="F5828" s="6" t="n">
        <v>3</v>
      </c>
      <c r="G5828" s="10" t="n">
        <v>884</v>
      </c>
      <c r="H5828" s="10" t="n">
        <f aca="false">F5828*G5828</f>
        <v>2652</v>
      </c>
      <c r="I5828" s="6" t="s">
        <v>5122</v>
      </c>
    </row>
    <row r="5829" customFormat="false" ht="15" hidden="false" customHeight="false" outlineLevel="0" collapsed="false">
      <c r="A5829" s="6" t="s">
        <v>11053</v>
      </c>
      <c r="B5829" s="6" t="s">
        <v>549</v>
      </c>
      <c r="C5829" s="26" t="n">
        <v>46202</v>
      </c>
      <c r="D5829" s="6" t="s">
        <v>5242</v>
      </c>
      <c r="E5829" s="6" t="s">
        <v>23</v>
      </c>
      <c r="F5829" s="6" t="n">
        <v>2</v>
      </c>
      <c r="G5829" s="10" t="n">
        <v>372</v>
      </c>
      <c r="H5829" s="10" t="n">
        <f aca="false">F5829*G5829</f>
        <v>744</v>
      </c>
      <c r="I5829" s="6" t="s">
        <v>5122</v>
      </c>
    </row>
    <row r="5830" customFormat="false" ht="15" hidden="false" customHeight="false" outlineLevel="0" collapsed="false">
      <c r="A5830" s="6" t="s">
        <v>11054</v>
      </c>
      <c r="B5830" s="6" t="s">
        <v>2183</v>
      </c>
      <c r="C5830" s="26" t="n">
        <v>46202</v>
      </c>
      <c r="D5830" s="6" t="s">
        <v>5121</v>
      </c>
      <c r="E5830" s="6" t="s">
        <v>22</v>
      </c>
      <c r="F5830" s="6" t="n">
        <v>3</v>
      </c>
      <c r="G5830" s="10" t="n">
        <v>977</v>
      </c>
      <c r="H5830" s="10" t="n">
        <f aca="false">F5830*G5830</f>
        <v>2931</v>
      </c>
      <c r="I5830" s="6" t="s">
        <v>5148</v>
      </c>
    </row>
    <row r="5831" customFormat="false" ht="15" hidden="false" customHeight="false" outlineLevel="0" collapsed="false">
      <c r="A5831" s="6" t="s">
        <v>11055</v>
      </c>
      <c r="B5831" s="6" t="s">
        <v>4141</v>
      </c>
      <c r="C5831" s="26" t="n">
        <v>46202</v>
      </c>
      <c r="D5831" s="6" t="s">
        <v>5135</v>
      </c>
      <c r="E5831" s="6" t="s">
        <v>23</v>
      </c>
      <c r="F5831" s="6" t="n">
        <v>2</v>
      </c>
      <c r="G5831" s="10" t="n">
        <v>397</v>
      </c>
      <c r="H5831" s="10" t="n">
        <f aca="false">F5831*G5831</f>
        <v>794</v>
      </c>
      <c r="I5831" s="6" t="s">
        <v>5122</v>
      </c>
    </row>
    <row r="5832" customFormat="false" ht="15" hidden="false" customHeight="false" outlineLevel="0" collapsed="false">
      <c r="A5832" s="6" t="s">
        <v>11056</v>
      </c>
      <c r="B5832" s="6" t="s">
        <v>5097</v>
      </c>
      <c r="C5832" s="26" t="n">
        <v>46202</v>
      </c>
      <c r="D5832" s="6" t="s">
        <v>5143</v>
      </c>
      <c r="E5832" s="6" t="s">
        <v>21</v>
      </c>
      <c r="F5832" s="6" t="n">
        <v>1</v>
      </c>
      <c r="G5832" s="10" t="n">
        <v>1179</v>
      </c>
      <c r="H5832" s="10" t="n">
        <f aca="false">F5832*G5832</f>
        <v>1179</v>
      </c>
      <c r="I5832" s="6" t="s">
        <v>5125</v>
      </c>
    </row>
    <row r="5833" customFormat="false" ht="15" hidden="false" customHeight="false" outlineLevel="0" collapsed="false">
      <c r="A5833" s="6" t="s">
        <v>11057</v>
      </c>
      <c r="B5833" s="6" t="s">
        <v>1257</v>
      </c>
      <c r="C5833" s="26" t="n">
        <v>46202</v>
      </c>
      <c r="D5833" s="6" t="s">
        <v>5259</v>
      </c>
      <c r="E5833" s="6" t="s">
        <v>22</v>
      </c>
      <c r="F5833" s="6" t="n">
        <v>1</v>
      </c>
      <c r="G5833" s="10" t="n">
        <v>1564</v>
      </c>
      <c r="H5833" s="10" t="n">
        <f aca="false">F5833*G5833</f>
        <v>1564</v>
      </c>
      <c r="I5833" s="6" t="s">
        <v>5130</v>
      </c>
    </row>
    <row r="5834" customFormat="false" ht="15" hidden="false" customHeight="false" outlineLevel="0" collapsed="false">
      <c r="A5834" s="6" t="s">
        <v>11058</v>
      </c>
      <c r="B5834" s="6" t="s">
        <v>3459</v>
      </c>
      <c r="C5834" s="26" t="n">
        <v>46202</v>
      </c>
      <c r="D5834" s="6" t="s">
        <v>5182</v>
      </c>
      <c r="E5834" s="6" t="s">
        <v>23</v>
      </c>
      <c r="F5834" s="6" t="n">
        <v>2</v>
      </c>
      <c r="G5834" s="10" t="n">
        <v>367</v>
      </c>
      <c r="H5834" s="10" t="n">
        <f aca="false">F5834*G5834</f>
        <v>734</v>
      </c>
      <c r="I5834" s="6" t="s">
        <v>5122</v>
      </c>
    </row>
    <row r="5835" customFormat="false" ht="15" hidden="false" customHeight="false" outlineLevel="0" collapsed="false">
      <c r="A5835" s="6" t="s">
        <v>11059</v>
      </c>
      <c r="B5835" s="6" t="s">
        <v>4421</v>
      </c>
      <c r="C5835" s="26" t="n">
        <v>46202</v>
      </c>
      <c r="D5835" s="6" t="s">
        <v>5837</v>
      </c>
      <c r="E5835" s="6" t="s">
        <v>21</v>
      </c>
      <c r="F5835" s="6" t="n">
        <v>1</v>
      </c>
      <c r="G5835" s="10" t="n">
        <v>2800</v>
      </c>
      <c r="H5835" s="10" t="n">
        <f aca="false">F5835*G5835</f>
        <v>2800</v>
      </c>
      <c r="I5835" s="6" t="s">
        <v>5125</v>
      </c>
    </row>
    <row r="5836" customFormat="false" ht="15" hidden="false" customHeight="false" outlineLevel="0" collapsed="false">
      <c r="A5836" s="6" t="s">
        <v>11060</v>
      </c>
      <c r="B5836" s="6" t="s">
        <v>1563</v>
      </c>
      <c r="C5836" s="26" t="n">
        <v>46202</v>
      </c>
      <c r="D5836" s="6" t="s">
        <v>5127</v>
      </c>
      <c r="E5836" s="6" t="s">
        <v>21</v>
      </c>
      <c r="F5836" s="6" t="n">
        <v>1</v>
      </c>
      <c r="G5836" s="10" t="n">
        <v>795</v>
      </c>
      <c r="H5836" s="10" t="n">
        <f aca="false">F5836*G5836</f>
        <v>795</v>
      </c>
      <c r="I5836" s="6" t="s">
        <v>5148</v>
      </c>
    </row>
    <row r="5837" customFormat="false" ht="15" hidden="false" customHeight="false" outlineLevel="0" collapsed="false">
      <c r="A5837" s="6" t="s">
        <v>11061</v>
      </c>
      <c r="B5837" s="6" t="s">
        <v>2469</v>
      </c>
      <c r="C5837" s="26" t="n">
        <v>46202</v>
      </c>
      <c r="D5837" s="6" t="s">
        <v>5303</v>
      </c>
      <c r="E5837" s="6" t="s">
        <v>22</v>
      </c>
      <c r="F5837" s="6" t="n">
        <v>1</v>
      </c>
      <c r="G5837" s="10" t="n">
        <v>2445</v>
      </c>
      <c r="H5837" s="10" t="n">
        <f aca="false">F5837*G5837</f>
        <v>2445</v>
      </c>
      <c r="I5837" s="6" t="s">
        <v>5122</v>
      </c>
    </row>
    <row r="5838" customFormat="false" ht="15" hidden="false" customHeight="false" outlineLevel="0" collapsed="false">
      <c r="A5838" s="6" t="s">
        <v>11062</v>
      </c>
      <c r="B5838" s="6" t="s">
        <v>1837</v>
      </c>
      <c r="C5838" s="26" t="n">
        <v>46202</v>
      </c>
      <c r="D5838" s="6" t="s">
        <v>5167</v>
      </c>
      <c r="E5838" s="6" t="s">
        <v>22</v>
      </c>
      <c r="F5838" s="6" t="n">
        <v>2</v>
      </c>
      <c r="G5838" s="10" t="n">
        <v>703</v>
      </c>
      <c r="H5838" s="10" t="n">
        <f aca="false">F5838*G5838</f>
        <v>1406</v>
      </c>
      <c r="I5838" s="6" t="s">
        <v>5122</v>
      </c>
    </row>
    <row r="5839" customFormat="false" ht="15" hidden="false" customHeight="false" outlineLevel="0" collapsed="false">
      <c r="A5839" s="6" t="s">
        <v>11063</v>
      </c>
      <c r="B5839" s="6" t="s">
        <v>1935</v>
      </c>
      <c r="C5839" s="26" t="n">
        <v>46202</v>
      </c>
      <c r="D5839" s="6" t="s">
        <v>5339</v>
      </c>
      <c r="E5839" s="6" t="s">
        <v>24</v>
      </c>
      <c r="F5839" s="6" t="n">
        <v>1</v>
      </c>
      <c r="G5839" s="10" t="n">
        <v>484</v>
      </c>
      <c r="H5839" s="10" t="n">
        <f aca="false">F5839*G5839</f>
        <v>484</v>
      </c>
      <c r="I5839" s="6" t="s">
        <v>5122</v>
      </c>
    </row>
    <row r="5840" customFormat="false" ht="15" hidden="false" customHeight="false" outlineLevel="0" collapsed="false">
      <c r="A5840" s="6" t="s">
        <v>11064</v>
      </c>
      <c r="B5840" s="6" t="s">
        <v>3815</v>
      </c>
      <c r="C5840" s="26" t="n">
        <v>46202</v>
      </c>
      <c r="D5840" s="6" t="s">
        <v>5165</v>
      </c>
      <c r="E5840" s="6" t="s">
        <v>22</v>
      </c>
      <c r="F5840" s="6" t="n">
        <v>3</v>
      </c>
      <c r="G5840" s="10" t="n">
        <v>977</v>
      </c>
      <c r="H5840" s="10" t="n">
        <f aca="false">F5840*G5840</f>
        <v>2931</v>
      </c>
      <c r="I5840" s="6" t="s">
        <v>5125</v>
      </c>
    </row>
    <row r="5841" customFormat="false" ht="15" hidden="false" customHeight="false" outlineLevel="0" collapsed="false">
      <c r="A5841" s="6" t="s">
        <v>11065</v>
      </c>
      <c r="B5841" s="6" t="s">
        <v>3365</v>
      </c>
      <c r="C5841" s="26" t="n">
        <v>46202</v>
      </c>
      <c r="D5841" s="6" t="s">
        <v>5135</v>
      </c>
      <c r="E5841" s="6" t="s">
        <v>23</v>
      </c>
      <c r="F5841" s="6" t="n">
        <v>1</v>
      </c>
      <c r="G5841" s="10" t="n">
        <v>440</v>
      </c>
      <c r="H5841" s="10" t="n">
        <f aca="false">F5841*G5841</f>
        <v>440</v>
      </c>
      <c r="I5841" s="6" t="s">
        <v>5122</v>
      </c>
    </row>
    <row r="5842" customFormat="false" ht="15" hidden="false" customHeight="false" outlineLevel="0" collapsed="false">
      <c r="A5842" s="6" t="s">
        <v>11066</v>
      </c>
      <c r="B5842" s="6" t="s">
        <v>1857</v>
      </c>
      <c r="C5842" s="26" t="n">
        <v>46202</v>
      </c>
      <c r="D5842" s="6" t="s">
        <v>5202</v>
      </c>
      <c r="E5842" s="6" t="s">
        <v>23</v>
      </c>
      <c r="F5842" s="6" t="n">
        <v>3</v>
      </c>
      <c r="G5842" s="10" t="n">
        <v>233</v>
      </c>
      <c r="H5842" s="10" t="n">
        <f aca="false">F5842*G5842</f>
        <v>699</v>
      </c>
      <c r="I5842" s="6" t="s">
        <v>5122</v>
      </c>
    </row>
    <row r="5843" customFormat="false" ht="15" hidden="false" customHeight="false" outlineLevel="0" collapsed="false">
      <c r="A5843" s="6" t="s">
        <v>11067</v>
      </c>
      <c r="B5843" s="6" t="s">
        <v>2943</v>
      </c>
      <c r="C5843" s="26" t="n">
        <v>46202</v>
      </c>
      <c r="D5843" s="6" t="s">
        <v>5121</v>
      </c>
      <c r="E5843" s="6" t="s">
        <v>22</v>
      </c>
      <c r="F5843" s="6" t="n">
        <v>2</v>
      </c>
      <c r="G5843" s="10" t="n">
        <v>977</v>
      </c>
      <c r="H5843" s="10" t="n">
        <f aca="false">F5843*G5843</f>
        <v>1954</v>
      </c>
      <c r="I5843" s="6" t="s">
        <v>5125</v>
      </c>
    </row>
    <row r="5844" customFormat="false" ht="15" hidden="false" customHeight="false" outlineLevel="0" collapsed="false">
      <c r="A5844" s="6" t="s">
        <v>11068</v>
      </c>
      <c r="B5844" s="6" t="s">
        <v>4581</v>
      </c>
      <c r="C5844" s="26" t="n">
        <v>46202</v>
      </c>
      <c r="D5844" s="6" t="s">
        <v>5143</v>
      </c>
      <c r="E5844" s="6" t="s">
        <v>21</v>
      </c>
      <c r="F5844" s="6" t="n">
        <v>1</v>
      </c>
      <c r="G5844" s="10" t="n">
        <v>1061</v>
      </c>
      <c r="H5844" s="10" t="n">
        <f aca="false">F5844*G5844</f>
        <v>1061</v>
      </c>
      <c r="I5844" s="6" t="s">
        <v>5130</v>
      </c>
    </row>
    <row r="5845" customFormat="false" ht="15" hidden="false" customHeight="false" outlineLevel="0" collapsed="false">
      <c r="A5845" s="6" t="s">
        <v>11069</v>
      </c>
      <c r="B5845" s="6" t="s">
        <v>4605</v>
      </c>
      <c r="C5845" s="26" t="n">
        <v>46202</v>
      </c>
      <c r="D5845" s="6" t="s">
        <v>5357</v>
      </c>
      <c r="E5845" s="6" t="s">
        <v>23</v>
      </c>
      <c r="F5845" s="6" t="n">
        <v>3</v>
      </c>
      <c r="G5845" s="10" t="n">
        <v>534</v>
      </c>
      <c r="H5845" s="10" t="n">
        <f aca="false">F5845*G5845</f>
        <v>1602</v>
      </c>
      <c r="I5845" s="6" t="s">
        <v>5148</v>
      </c>
    </row>
    <row r="5846" customFormat="false" ht="15" hidden="false" customHeight="false" outlineLevel="0" collapsed="false">
      <c r="A5846" s="6" t="s">
        <v>11070</v>
      </c>
      <c r="B5846" s="6" t="s">
        <v>4459</v>
      </c>
      <c r="C5846" s="26" t="n">
        <v>46202</v>
      </c>
      <c r="D5846" s="6" t="s">
        <v>5167</v>
      </c>
      <c r="E5846" s="6" t="s">
        <v>22</v>
      </c>
      <c r="F5846" s="6" t="n">
        <v>2</v>
      </c>
      <c r="G5846" s="10" t="n">
        <v>782</v>
      </c>
      <c r="H5846" s="10" t="n">
        <f aca="false">F5846*G5846</f>
        <v>1564</v>
      </c>
      <c r="I5846" s="6" t="s">
        <v>5125</v>
      </c>
    </row>
    <row r="5847" customFormat="false" ht="15" hidden="false" customHeight="false" outlineLevel="0" collapsed="false">
      <c r="A5847" s="6" t="s">
        <v>11071</v>
      </c>
      <c r="B5847" s="6" t="s">
        <v>659</v>
      </c>
      <c r="C5847" s="26" t="n">
        <v>46202</v>
      </c>
      <c r="D5847" s="6" t="s">
        <v>5167</v>
      </c>
      <c r="E5847" s="6" t="s">
        <v>22</v>
      </c>
      <c r="F5847" s="6" t="n">
        <v>1</v>
      </c>
      <c r="G5847" s="10" t="n">
        <v>703</v>
      </c>
      <c r="H5847" s="10" t="n">
        <f aca="false">F5847*G5847</f>
        <v>703</v>
      </c>
      <c r="I5847" s="6" t="s">
        <v>5122</v>
      </c>
    </row>
    <row r="5848" customFormat="false" ht="15" hidden="false" customHeight="false" outlineLevel="0" collapsed="false">
      <c r="A5848" s="6" t="s">
        <v>11072</v>
      </c>
      <c r="B5848" s="6" t="s">
        <v>1777</v>
      </c>
      <c r="C5848" s="26" t="n">
        <v>46202</v>
      </c>
      <c r="D5848" s="6" t="s">
        <v>5357</v>
      </c>
      <c r="E5848" s="6" t="s">
        <v>23</v>
      </c>
      <c r="F5848" s="6" t="n">
        <v>1</v>
      </c>
      <c r="G5848" s="10" t="n">
        <v>506</v>
      </c>
      <c r="H5848" s="10" t="n">
        <f aca="false">F5848*G5848</f>
        <v>506</v>
      </c>
      <c r="I5848" s="6" t="s">
        <v>5148</v>
      </c>
    </row>
    <row r="5849" customFormat="false" ht="15" hidden="false" customHeight="false" outlineLevel="0" collapsed="false">
      <c r="A5849" s="6" t="s">
        <v>11073</v>
      </c>
      <c r="B5849" s="6" t="s">
        <v>2447</v>
      </c>
      <c r="C5849" s="26" t="n">
        <v>46202</v>
      </c>
      <c r="D5849" s="6" t="s">
        <v>5456</v>
      </c>
      <c r="E5849" s="6" t="s">
        <v>24</v>
      </c>
      <c r="F5849" s="6" t="n">
        <v>1</v>
      </c>
      <c r="G5849" s="10" t="n">
        <v>866</v>
      </c>
      <c r="H5849" s="10" t="n">
        <f aca="false">F5849*G5849</f>
        <v>866</v>
      </c>
      <c r="I5849" s="6" t="s">
        <v>5148</v>
      </c>
    </row>
    <row r="5850" customFormat="false" ht="15" hidden="false" customHeight="false" outlineLevel="0" collapsed="false">
      <c r="A5850" s="6" t="s">
        <v>11074</v>
      </c>
      <c r="B5850" s="6" t="s">
        <v>1865</v>
      </c>
      <c r="C5850" s="26" t="n">
        <v>46202</v>
      </c>
      <c r="D5850" s="6" t="s">
        <v>5185</v>
      </c>
      <c r="E5850" s="6" t="s">
        <v>24</v>
      </c>
      <c r="F5850" s="6" t="n">
        <v>1</v>
      </c>
      <c r="G5850" s="10" t="n">
        <v>2140</v>
      </c>
      <c r="H5850" s="10" t="n">
        <f aca="false">F5850*G5850</f>
        <v>2140</v>
      </c>
      <c r="I5850" s="6" t="s">
        <v>5133</v>
      </c>
    </row>
    <row r="5851" customFormat="false" ht="15" hidden="false" customHeight="false" outlineLevel="0" collapsed="false">
      <c r="A5851" s="6" t="s">
        <v>11075</v>
      </c>
      <c r="B5851" s="6" t="s">
        <v>2223</v>
      </c>
      <c r="C5851" s="26" t="n">
        <v>46202</v>
      </c>
      <c r="D5851" s="6" t="s">
        <v>5216</v>
      </c>
      <c r="E5851" s="6" t="s">
        <v>23</v>
      </c>
      <c r="F5851" s="6" t="n">
        <v>1</v>
      </c>
      <c r="G5851" s="10" t="n">
        <v>586</v>
      </c>
      <c r="H5851" s="10" t="n">
        <f aca="false">F5851*G5851</f>
        <v>586</v>
      </c>
      <c r="I5851" s="6" t="s">
        <v>5130</v>
      </c>
    </row>
    <row r="5852" customFormat="false" ht="15" hidden="false" customHeight="false" outlineLevel="0" collapsed="false">
      <c r="A5852" s="6" t="s">
        <v>11076</v>
      </c>
      <c r="B5852" s="6" t="s">
        <v>2891</v>
      </c>
      <c r="C5852" s="26" t="n">
        <v>46202</v>
      </c>
      <c r="D5852" s="6" t="s">
        <v>5121</v>
      </c>
      <c r="E5852" s="6" t="s">
        <v>22</v>
      </c>
      <c r="F5852" s="6" t="n">
        <v>2</v>
      </c>
      <c r="G5852" s="10" t="n">
        <v>977</v>
      </c>
      <c r="H5852" s="10" t="n">
        <f aca="false">F5852*G5852</f>
        <v>1954</v>
      </c>
      <c r="I5852" s="6" t="s">
        <v>5122</v>
      </c>
    </row>
    <row r="5853" customFormat="false" ht="15" hidden="false" customHeight="false" outlineLevel="0" collapsed="false">
      <c r="A5853" s="6" t="s">
        <v>11077</v>
      </c>
      <c r="B5853" s="6" t="s">
        <v>2723</v>
      </c>
      <c r="C5853" s="26" t="n">
        <v>46202</v>
      </c>
      <c r="D5853" s="6" t="s">
        <v>5188</v>
      </c>
      <c r="E5853" s="6" t="s">
        <v>24</v>
      </c>
      <c r="F5853" s="6" t="n">
        <v>3</v>
      </c>
      <c r="G5853" s="10" t="n">
        <v>967</v>
      </c>
      <c r="H5853" s="10" t="n">
        <f aca="false">F5853*G5853</f>
        <v>2901</v>
      </c>
      <c r="I5853" s="6" t="s">
        <v>5122</v>
      </c>
    </row>
    <row r="5854" customFormat="false" ht="15" hidden="false" customHeight="false" outlineLevel="0" collapsed="false">
      <c r="A5854" s="6" t="s">
        <v>11078</v>
      </c>
      <c r="B5854" s="6" t="s">
        <v>2569</v>
      </c>
      <c r="C5854" s="26" t="n">
        <v>46202</v>
      </c>
      <c r="D5854" s="6" t="s">
        <v>5245</v>
      </c>
      <c r="E5854" s="6" t="s">
        <v>21</v>
      </c>
      <c r="F5854" s="6" t="n">
        <v>1</v>
      </c>
      <c r="G5854" s="10" t="n">
        <v>2456</v>
      </c>
      <c r="H5854" s="10" t="n">
        <f aca="false">F5854*G5854</f>
        <v>2456</v>
      </c>
      <c r="I5854" s="6" t="s">
        <v>5148</v>
      </c>
    </row>
    <row r="5855" customFormat="false" ht="15" hidden="false" customHeight="false" outlineLevel="0" collapsed="false">
      <c r="A5855" s="6" t="s">
        <v>11079</v>
      </c>
      <c r="B5855" s="6" t="s">
        <v>2527</v>
      </c>
      <c r="C5855" s="26" t="n">
        <v>46202</v>
      </c>
      <c r="D5855" s="6" t="s">
        <v>5318</v>
      </c>
      <c r="E5855" s="6" t="s">
        <v>20</v>
      </c>
      <c r="F5855" s="6" t="n">
        <v>1</v>
      </c>
      <c r="G5855" s="10" t="n">
        <v>1529</v>
      </c>
      <c r="H5855" s="10" t="n">
        <f aca="false">F5855*G5855</f>
        <v>1529</v>
      </c>
      <c r="I5855" s="6" t="s">
        <v>5125</v>
      </c>
    </row>
    <row r="5856" customFormat="false" ht="15" hidden="false" customHeight="false" outlineLevel="0" collapsed="false">
      <c r="A5856" s="6" t="s">
        <v>11080</v>
      </c>
      <c r="B5856" s="6" t="s">
        <v>2027</v>
      </c>
      <c r="C5856" s="26" t="n">
        <v>46202</v>
      </c>
      <c r="D5856" s="6" t="s">
        <v>5466</v>
      </c>
      <c r="E5856" s="6" t="s">
        <v>21</v>
      </c>
      <c r="F5856" s="6" t="n">
        <v>1</v>
      </c>
      <c r="G5856" s="10" t="n">
        <v>1768</v>
      </c>
      <c r="H5856" s="10" t="n">
        <f aca="false">F5856*G5856</f>
        <v>1768</v>
      </c>
      <c r="I5856" s="6" t="s">
        <v>5130</v>
      </c>
    </row>
    <row r="5857" customFormat="false" ht="15" hidden="false" customHeight="false" outlineLevel="0" collapsed="false">
      <c r="A5857" s="6" t="s">
        <v>11081</v>
      </c>
      <c r="B5857" s="6" t="s">
        <v>174</v>
      </c>
      <c r="C5857" s="26" t="n">
        <v>46202</v>
      </c>
      <c r="D5857" s="6" t="s">
        <v>5326</v>
      </c>
      <c r="E5857" s="6" t="s">
        <v>22</v>
      </c>
      <c r="F5857" s="6" t="n">
        <v>1</v>
      </c>
      <c r="G5857" s="10" t="n">
        <v>1320</v>
      </c>
      <c r="H5857" s="10" t="n">
        <f aca="false">F5857*G5857</f>
        <v>1320</v>
      </c>
      <c r="I5857" s="6" t="s">
        <v>5130</v>
      </c>
    </row>
    <row r="5858" customFormat="false" ht="15" hidden="false" customHeight="false" outlineLevel="0" collapsed="false">
      <c r="A5858" s="6" t="s">
        <v>11082</v>
      </c>
      <c r="B5858" s="6" t="s">
        <v>877</v>
      </c>
      <c r="C5858" s="26" t="n">
        <v>46202</v>
      </c>
      <c r="D5858" s="6" t="s">
        <v>5318</v>
      </c>
      <c r="E5858" s="6" t="s">
        <v>20</v>
      </c>
      <c r="F5858" s="6" t="n">
        <v>1</v>
      </c>
      <c r="G5858" s="10" t="n">
        <v>1529</v>
      </c>
      <c r="H5858" s="10" t="n">
        <f aca="false">F5858*G5858</f>
        <v>1529</v>
      </c>
      <c r="I5858" s="6" t="s">
        <v>5122</v>
      </c>
    </row>
    <row r="5859" customFormat="false" ht="15" hidden="false" customHeight="false" outlineLevel="0" collapsed="false">
      <c r="A5859" s="6" t="s">
        <v>11083</v>
      </c>
      <c r="B5859" s="6" t="s">
        <v>2243</v>
      </c>
      <c r="C5859" s="26" t="n">
        <v>46202</v>
      </c>
      <c r="D5859" s="6" t="s">
        <v>5207</v>
      </c>
      <c r="E5859" s="6" t="s">
        <v>20</v>
      </c>
      <c r="F5859" s="6" t="n">
        <v>1</v>
      </c>
      <c r="G5859" s="10" t="n">
        <v>1258</v>
      </c>
      <c r="H5859" s="10" t="n">
        <f aca="false">F5859*G5859</f>
        <v>1258</v>
      </c>
      <c r="I5859" s="6" t="s">
        <v>5122</v>
      </c>
    </row>
    <row r="5860" customFormat="false" ht="15" hidden="false" customHeight="false" outlineLevel="0" collapsed="false">
      <c r="A5860" s="6" t="s">
        <v>11084</v>
      </c>
      <c r="B5860" s="6" t="s">
        <v>991</v>
      </c>
      <c r="C5860" s="26" t="n">
        <v>46203</v>
      </c>
      <c r="D5860" s="6" t="s">
        <v>5281</v>
      </c>
      <c r="E5860" s="6" t="s">
        <v>24</v>
      </c>
      <c r="F5860" s="6" t="n">
        <v>1</v>
      </c>
      <c r="G5860" s="10" t="n">
        <v>773</v>
      </c>
      <c r="H5860" s="10" t="n">
        <f aca="false">F5860*G5860</f>
        <v>773</v>
      </c>
      <c r="I5860" s="6" t="s">
        <v>5133</v>
      </c>
    </row>
    <row r="5861" customFormat="false" ht="15" hidden="false" customHeight="false" outlineLevel="0" collapsed="false">
      <c r="A5861" s="6" t="s">
        <v>11085</v>
      </c>
      <c r="B5861" s="6" t="s">
        <v>4583</v>
      </c>
      <c r="C5861" s="26" t="n">
        <v>46203</v>
      </c>
      <c r="D5861" s="6" t="s">
        <v>5357</v>
      </c>
      <c r="E5861" s="6" t="s">
        <v>23</v>
      </c>
      <c r="F5861" s="6" t="n">
        <v>2</v>
      </c>
      <c r="G5861" s="10" t="n">
        <v>534</v>
      </c>
      <c r="H5861" s="10" t="n">
        <f aca="false">F5861*G5861</f>
        <v>1068</v>
      </c>
      <c r="I5861" s="6" t="s">
        <v>5125</v>
      </c>
    </row>
    <row r="5862" customFormat="false" ht="15" hidden="false" customHeight="false" outlineLevel="0" collapsed="false">
      <c r="A5862" s="6" t="s">
        <v>11086</v>
      </c>
      <c r="B5862" s="6" t="s">
        <v>2035</v>
      </c>
      <c r="C5862" s="26" t="n">
        <v>46203</v>
      </c>
      <c r="D5862" s="6" t="s">
        <v>5488</v>
      </c>
      <c r="E5862" s="6" t="s">
        <v>24</v>
      </c>
      <c r="F5862" s="6" t="n">
        <v>2</v>
      </c>
      <c r="G5862" s="10" t="n">
        <v>823</v>
      </c>
      <c r="H5862" s="10" t="n">
        <f aca="false">F5862*G5862</f>
        <v>1646</v>
      </c>
      <c r="I5862" s="6" t="s">
        <v>5122</v>
      </c>
    </row>
    <row r="5863" customFormat="false" ht="15" hidden="false" customHeight="false" outlineLevel="0" collapsed="false">
      <c r="A5863" s="6" t="s">
        <v>11087</v>
      </c>
      <c r="B5863" s="6" t="s">
        <v>2809</v>
      </c>
      <c r="C5863" s="26" t="n">
        <v>46203</v>
      </c>
      <c r="D5863" s="6" t="s">
        <v>5163</v>
      </c>
      <c r="E5863" s="6" t="s">
        <v>23</v>
      </c>
      <c r="F5863" s="6" t="n">
        <v>3</v>
      </c>
      <c r="G5863" s="10" t="n">
        <v>783</v>
      </c>
      <c r="H5863" s="10" t="n">
        <f aca="false">F5863*G5863</f>
        <v>2349</v>
      </c>
      <c r="I5863" s="6" t="s">
        <v>5125</v>
      </c>
    </row>
    <row r="5864" customFormat="false" ht="15" hidden="false" customHeight="false" outlineLevel="0" collapsed="false">
      <c r="A5864" s="6" t="s">
        <v>11088</v>
      </c>
      <c r="B5864" s="6" t="s">
        <v>4425</v>
      </c>
      <c r="C5864" s="26" t="n">
        <v>46203</v>
      </c>
      <c r="D5864" s="6" t="s">
        <v>5357</v>
      </c>
      <c r="E5864" s="6" t="s">
        <v>23</v>
      </c>
      <c r="F5864" s="6" t="n">
        <v>3</v>
      </c>
      <c r="G5864" s="10" t="n">
        <v>507</v>
      </c>
      <c r="H5864" s="10" t="n">
        <f aca="false">F5864*G5864</f>
        <v>1521</v>
      </c>
      <c r="I5864" s="6" t="s">
        <v>5148</v>
      </c>
    </row>
    <row r="5865" customFormat="false" ht="15" hidden="false" customHeight="false" outlineLevel="0" collapsed="false">
      <c r="A5865" s="6" t="s">
        <v>11089</v>
      </c>
      <c r="B5865" s="6" t="s">
        <v>4067</v>
      </c>
      <c r="C5865" s="26" t="n">
        <v>46203</v>
      </c>
      <c r="D5865" s="6" t="s">
        <v>5180</v>
      </c>
      <c r="E5865" s="6" t="s">
        <v>24</v>
      </c>
      <c r="F5865" s="6" t="n">
        <v>2</v>
      </c>
      <c r="G5865" s="10" t="n">
        <v>1788</v>
      </c>
      <c r="H5865" s="10" t="n">
        <f aca="false">F5865*G5865</f>
        <v>3576</v>
      </c>
      <c r="I5865" s="6" t="s">
        <v>5122</v>
      </c>
    </row>
    <row r="5866" customFormat="false" ht="15" hidden="false" customHeight="false" outlineLevel="0" collapsed="false">
      <c r="A5866" s="6" t="s">
        <v>11090</v>
      </c>
      <c r="B5866" s="6" t="s">
        <v>1421</v>
      </c>
      <c r="C5866" s="26" t="n">
        <v>46203</v>
      </c>
      <c r="D5866" s="6" t="s">
        <v>5121</v>
      </c>
      <c r="E5866" s="6" t="s">
        <v>22</v>
      </c>
      <c r="F5866" s="6" t="n">
        <v>2</v>
      </c>
      <c r="G5866" s="10" t="n">
        <v>977</v>
      </c>
      <c r="H5866" s="10" t="n">
        <f aca="false">F5866*G5866</f>
        <v>1954</v>
      </c>
      <c r="I5866" s="6" t="s">
        <v>5130</v>
      </c>
    </row>
    <row r="5867" customFormat="false" ht="15" hidden="false" customHeight="false" outlineLevel="0" collapsed="false">
      <c r="A5867" s="6" t="s">
        <v>11091</v>
      </c>
      <c r="B5867" s="6" t="s">
        <v>4553</v>
      </c>
      <c r="C5867" s="26" t="n">
        <v>46203</v>
      </c>
      <c r="D5867" s="6" t="s">
        <v>5165</v>
      </c>
      <c r="E5867" s="6" t="s">
        <v>22</v>
      </c>
      <c r="F5867" s="6" t="n">
        <v>1</v>
      </c>
      <c r="G5867" s="10" t="n">
        <v>977</v>
      </c>
      <c r="H5867" s="10" t="n">
        <f aca="false">F5867*G5867</f>
        <v>977</v>
      </c>
      <c r="I5867" s="6" t="s">
        <v>5122</v>
      </c>
    </row>
    <row r="5868" customFormat="false" ht="15" hidden="false" customHeight="false" outlineLevel="0" collapsed="false">
      <c r="A5868" s="6" t="s">
        <v>11092</v>
      </c>
      <c r="B5868" s="6" t="s">
        <v>1665</v>
      </c>
      <c r="C5868" s="26" t="n">
        <v>46203</v>
      </c>
      <c r="D5868" s="6" t="s">
        <v>5237</v>
      </c>
      <c r="E5868" s="6" t="s">
        <v>24</v>
      </c>
      <c r="F5868" s="6" t="n">
        <v>3</v>
      </c>
      <c r="G5868" s="10" t="n">
        <v>1741</v>
      </c>
      <c r="H5868" s="10" t="n">
        <f aca="false">F5868*G5868</f>
        <v>5223</v>
      </c>
      <c r="I5868" s="6" t="s">
        <v>5122</v>
      </c>
    </row>
    <row r="5869" customFormat="false" ht="15" hidden="false" customHeight="false" outlineLevel="0" collapsed="false">
      <c r="A5869" s="6" t="s">
        <v>11093</v>
      </c>
      <c r="B5869" s="6" t="s">
        <v>3435</v>
      </c>
      <c r="C5869" s="26" t="n">
        <v>46203</v>
      </c>
      <c r="D5869" s="6" t="s">
        <v>5466</v>
      </c>
      <c r="E5869" s="6" t="s">
        <v>21</v>
      </c>
      <c r="F5869" s="6" t="n">
        <v>1</v>
      </c>
      <c r="G5869" s="10" t="n">
        <v>1965</v>
      </c>
      <c r="H5869" s="10" t="n">
        <f aca="false">F5869*G5869</f>
        <v>1965</v>
      </c>
      <c r="I5869" s="6" t="s">
        <v>5122</v>
      </c>
    </row>
    <row r="5870" customFormat="false" ht="15" hidden="false" customHeight="false" outlineLevel="0" collapsed="false">
      <c r="A5870" s="6" t="s">
        <v>11094</v>
      </c>
      <c r="B5870" s="6" t="s">
        <v>1623</v>
      </c>
      <c r="C5870" s="26" t="n">
        <v>46203</v>
      </c>
      <c r="D5870" s="6" t="s">
        <v>5190</v>
      </c>
      <c r="E5870" s="6" t="s">
        <v>24</v>
      </c>
      <c r="F5870" s="6" t="n">
        <v>2</v>
      </c>
      <c r="G5870" s="10" t="n">
        <v>610</v>
      </c>
      <c r="H5870" s="10" t="n">
        <f aca="false">F5870*G5870</f>
        <v>1220</v>
      </c>
      <c r="I5870" s="6" t="s">
        <v>5130</v>
      </c>
    </row>
    <row r="5871" customFormat="false" ht="15" hidden="false" customHeight="false" outlineLevel="0" collapsed="false">
      <c r="A5871" s="6" t="s">
        <v>11095</v>
      </c>
      <c r="B5871" s="6" t="s">
        <v>2141</v>
      </c>
      <c r="C5871" s="26" t="n">
        <v>46203</v>
      </c>
      <c r="D5871" s="6" t="s">
        <v>5339</v>
      </c>
      <c r="E5871" s="6" t="s">
        <v>24</v>
      </c>
      <c r="F5871" s="6" t="n">
        <v>2</v>
      </c>
      <c r="G5871" s="10" t="n">
        <v>508</v>
      </c>
      <c r="H5871" s="10" t="n">
        <f aca="false">F5871*G5871</f>
        <v>1016</v>
      </c>
      <c r="I5871" s="6" t="s">
        <v>5148</v>
      </c>
    </row>
    <row r="5872" customFormat="false" ht="15" hidden="false" customHeight="false" outlineLevel="0" collapsed="false">
      <c r="A5872" s="6" t="s">
        <v>11096</v>
      </c>
      <c r="B5872" s="6" t="s">
        <v>689</v>
      </c>
      <c r="C5872" s="26" t="n">
        <v>46203</v>
      </c>
      <c r="D5872" s="6" t="s">
        <v>5167</v>
      </c>
      <c r="E5872" s="6" t="s">
        <v>22</v>
      </c>
      <c r="F5872" s="6" t="n">
        <v>1</v>
      </c>
      <c r="G5872" s="10" t="n">
        <v>782</v>
      </c>
      <c r="H5872" s="10" t="n">
        <f aca="false">F5872*G5872</f>
        <v>782</v>
      </c>
      <c r="I5872" s="6" t="s">
        <v>5125</v>
      </c>
    </row>
    <row r="5873" customFormat="false" ht="15" hidden="false" customHeight="false" outlineLevel="0" collapsed="false">
      <c r="A5873" s="6" t="s">
        <v>11097</v>
      </c>
      <c r="B5873" s="6" t="s">
        <v>4487</v>
      </c>
      <c r="C5873" s="26" t="n">
        <v>46203</v>
      </c>
      <c r="D5873" s="6" t="s">
        <v>5121</v>
      </c>
      <c r="E5873" s="6" t="s">
        <v>22</v>
      </c>
      <c r="F5873" s="6" t="n">
        <v>1</v>
      </c>
      <c r="G5873" s="10" t="n">
        <v>977</v>
      </c>
      <c r="H5873" s="10" t="n">
        <f aca="false">F5873*G5873</f>
        <v>977</v>
      </c>
      <c r="I5873" s="6" t="s">
        <v>5148</v>
      </c>
    </row>
    <row r="5874" customFormat="false" ht="15" hidden="false" customHeight="false" outlineLevel="0" collapsed="false">
      <c r="A5874" s="6" t="s">
        <v>11098</v>
      </c>
      <c r="B5874" s="6" t="s">
        <v>733</v>
      </c>
      <c r="C5874" s="26" t="n">
        <v>46203</v>
      </c>
      <c r="D5874" s="6" t="s">
        <v>5121</v>
      </c>
      <c r="E5874" s="6" t="s">
        <v>22</v>
      </c>
      <c r="F5874" s="6" t="n">
        <v>1</v>
      </c>
      <c r="G5874" s="10" t="n">
        <v>977</v>
      </c>
      <c r="H5874" s="10" t="n">
        <f aca="false">F5874*G5874</f>
        <v>977</v>
      </c>
      <c r="I5874" s="6" t="s">
        <v>5148</v>
      </c>
    </row>
    <row r="5875" customFormat="false" ht="15" hidden="false" customHeight="false" outlineLevel="0" collapsed="false">
      <c r="A5875" s="6" t="s">
        <v>11099</v>
      </c>
      <c r="B5875" s="6" t="s">
        <v>3485</v>
      </c>
      <c r="C5875" s="26" t="n">
        <v>46203</v>
      </c>
      <c r="D5875" s="6" t="s">
        <v>5259</v>
      </c>
      <c r="E5875" s="6" t="s">
        <v>22</v>
      </c>
      <c r="F5875" s="6" t="n">
        <v>1</v>
      </c>
      <c r="G5875" s="10" t="n">
        <v>1486</v>
      </c>
      <c r="H5875" s="10" t="n">
        <f aca="false">F5875*G5875</f>
        <v>1486</v>
      </c>
      <c r="I5875" s="6" t="s">
        <v>5122</v>
      </c>
    </row>
    <row r="5876" customFormat="false" ht="15" hidden="false" customHeight="false" outlineLevel="0" collapsed="false">
      <c r="A5876" s="6" t="s">
        <v>11100</v>
      </c>
      <c r="B5876" s="6" t="s">
        <v>3479</v>
      </c>
      <c r="C5876" s="26" t="n">
        <v>46203</v>
      </c>
      <c r="D5876" s="6" t="s">
        <v>5383</v>
      </c>
      <c r="E5876" s="6" t="s">
        <v>20</v>
      </c>
      <c r="F5876" s="6" t="n">
        <v>1</v>
      </c>
      <c r="G5876" s="10" t="n">
        <v>1120</v>
      </c>
      <c r="H5876" s="10" t="n">
        <f aca="false">F5876*G5876</f>
        <v>1120</v>
      </c>
      <c r="I5876" s="6" t="s">
        <v>5133</v>
      </c>
    </row>
    <row r="5877" customFormat="false" ht="15" hidden="false" customHeight="false" outlineLevel="0" collapsed="false">
      <c r="A5877" s="6" t="s">
        <v>11101</v>
      </c>
      <c r="B5877" s="6" t="s">
        <v>2901</v>
      </c>
      <c r="C5877" s="26" t="n">
        <v>46203</v>
      </c>
      <c r="D5877" s="6" t="s">
        <v>5398</v>
      </c>
      <c r="E5877" s="6" t="s">
        <v>24</v>
      </c>
      <c r="F5877" s="6" t="n">
        <v>1</v>
      </c>
      <c r="G5877" s="10" t="n">
        <v>549</v>
      </c>
      <c r="H5877" s="10" t="n">
        <f aca="false">F5877*G5877</f>
        <v>549</v>
      </c>
      <c r="I5877" s="6" t="s">
        <v>5130</v>
      </c>
    </row>
    <row r="5878" customFormat="false" ht="15" hidden="false" customHeight="false" outlineLevel="0" collapsed="false">
      <c r="A5878" s="6" t="s">
        <v>11102</v>
      </c>
      <c r="B5878" s="6" t="s">
        <v>891</v>
      </c>
      <c r="C5878" s="26" t="n">
        <v>46203</v>
      </c>
      <c r="D5878" s="6" t="s">
        <v>5691</v>
      </c>
      <c r="E5878" s="6" t="s">
        <v>21</v>
      </c>
      <c r="F5878" s="6" t="n">
        <v>1</v>
      </c>
      <c r="G5878" s="10" t="n">
        <v>5602</v>
      </c>
      <c r="H5878" s="10" t="n">
        <f aca="false">F5878*G5878</f>
        <v>5602</v>
      </c>
      <c r="I5878" s="6" t="s">
        <v>5148</v>
      </c>
    </row>
    <row r="5879" customFormat="false" ht="15" hidden="false" customHeight="false" outlineLevel="0" collapsed="false">
      <c r="A5879" s="6" t="s">
        <v>11103</v>
      </c>
      <c r="B5879" s="6" t="s">
        <v>4179</v>
      </c>
      <c r="C5879" s="26" t="n">
        <v>46203</v>
      </c>
      <c r="D5879" s="6" t="s">
        <v>5687</v>
      </c>
      <c r="E5879" s="6" t="s">
        <v>20</v>
      </c>
      <c r="F5879" s="6" t="n">
        <v>1</v>
      </c>
      <c r="G5879" s="10" t="n">
        <v>1835</v>
      </c>
      <c r="H5879" s="10" t="n">
        <f aca="false">F5879*G5879</f>
        <v>1835</v>
      </c>
      <c r="I5879" s="6" t="s">
        <v>5125</v>
      </c>
    </row>
    <row r="5880" customFormat="false" ht="15" hidden="false" customHeight="false" outlineLevel="0" collapsed="false">
      <c r="A5880" s="6" t="s">
        <v>11104</v>
      </c>
      <c r="B5880" s="6" t="s">
        <v>4325</v>
      </c>
      <c r="C5880" s="26" t="n">
        <v>46203</v>
      </c>
      <c r="D5880" s="6" t="s">
        <v>5269</v>
      </c>
      <c r="E5880" s="6" t="s">
        <v>22</v>
      </c>
      <c r="F5880" s="6" t="n">
        <v>2</v>
      </c>
      <c r="G5880" s="10" t="n">
        <v>1271</v>
      </c>
      <c r="H5880" s="10" t="n">
        <f aca="false">F5880*G5880</f>
        <v>2542</v>
      </c>
      <c r="I5880" s="6" t="s">
        <v>5122</v>
      </c>
    </row>
    <row r="5881" customFormat="false" ht="15" hidden="false" customHeight="false" outlineLevel="0" collapsed="false">
      <c r="A5881" s="6" t="s">
        <v>11105</v>
      </c>
      <c r="B5881" s="6" t="s">
        <v>1137</v>
      </c>
      <c r="C5881" s="26" t="n">
        <v>46203</v>
      </c>
      <c r="D5881" s="6" t="s">
        <v>5163</v>
      </c>
      <c r="E5881" s="6" t="s">
        <v>23</v>
      </c>
      <c r="F5881" s="6" t="n">
        <v>2</v>
      </c>
      <c r="G5881" s="10" t="n">
        <v>744</v>
      </c>
      <c r="H5881" s="10" t="n">
        <f aca="false">F5881*G5881</f>
        <v>1488</v>
      </c>
      <c r="I5881" s="6" t="s">
        <v>5148</v>
      </c>
    </row>
    <row r="5882" customFormat="false" ht="15" hidden="false" customHeight="false" outlineLevel="0" collapsed="false">
      <c r="A5882" s="6" t="s">
        <v>11106</v>
      </c>
      <c r="B5882" s="6" t="s">
        <v>3129</v>
      </c>
      <c r="C5882" s="26" t="n">
        <v>46203</v>
      </c>
      <c r="D5882" s="6" t="s">
        <v>5194</v>
      </c>
      <c r="E5882" s="6" t="s">
        <v>22</v>
      </c>
      <c r="F5882" s="6" t="n">
        <v>2</v>
      </c>
      <c r="G5882" s="10" t="n">
        <v>2044</v>
      </c>
      <c r="H5882" s="10" t="n">
        <f aca="false">F5882*G5882</f>
        <v>4088</v>
      </c>
      <c r="I5882" s="6" t="s">
        <v>5130</v>
      </c>
    </row>
    <row r="5883" customFormat="false" ht="15" hidden="false" customHeight="false" outlineLevel="0" collapsed="false">
      <c r="A5883" s="6" t="s">
        <v>11107</v>
      </c>
      <c r="B5883" s="6" t="s">
        <v>2641</v>
      </c>
      <c r="C5883" s="26" t="n">
        <v>46203</v>
      </c>
      <c r="D5883" s="6" t="s">
        <v>5154</v>
      </c>
      <c r="E5883" s="6" t="s">
        <v>21</v>
      </c>
      <c r="F5883" s="6" t="n">
        <v>1</v>
      </c>
      <c r="G5883" s="10" t="n">
        <v>707</v>
      </c>
      <c r="H5883" s="10" t="n">
        <f aca="false">F5883*G5883</f>
        <v>707</v>
      </c>
      <c r="I5883" s="6" t="s">
        <v>5148</v>
      </c>
    </row>
    <row r="5884" customFormat="false" ht="15" hidden="false" customHeight="false" outlineLevel="0" collapsed="false">
      <c r="A5884" s="6" t="s">
        <v>11108</v>
      </c>
      <c r="B5884" s="6" t="s">
        <v>3753</v>
      </c>
      <c r="C5884" s="26" t="n">
        <v>46203</v>
      </c>
      <c r="D5884" s="6" t="s">
        <v>5147</v>
      </c>
      <c r="E5884" s="6" t="s">
        <v>24</v>
      </c>
      <c r="F5884" s="6" t="n">
        <v>1</v>
      </c>
      <c r="G5884" s="10" t="n">
        <v>661</v>
      </c>
      <c r="H5884" s="10" t="n">
        <f aca="false">F5884*G5884</f>
        <v>661</v>
      </c>
      <c r="I5884" s="6" t="s">
        <v>5148</v>
      </c>
    </row>
    <row r="5885" customFormat="false" ht="15" hidden="false" customHeight="false" outlineLevel="0" collapsed="false">
      <c r="A5885" s="6" t="s">
        <v>11109</v>
      </c>
      <c r="B5885" s="6" t="s">
        <v>801</v>
      </c>
      <c r="C5885" s="26" t="n">
        <v>46203</v>
      </c>
      <c r="D5885" s="6" t="s">
        <v>5345</v>
      </c>
      <c r="E5885" s="6" t="s">
        <v>23</v>
      </c>
      <c r="F5885" s="6" t="n">
        <v>2</v>
      </c>
      <c r="G5885" s="10" t="n">
        <v>414</v>
      </c>
      <c r="H5885" s="10" t="n">
        <f aca="false">F5885*G5885</f>
        <v>828</v>
      </c>
      <c r="I5885" s="6" t="s">
        <v>5122</v>
      </c>
    </row>
    <row r="5886" customFormat="false" ht="15" hidden="false" customHeight="false" outlineLevel="0" collapsed="false">
      <c r="A5886" s="6" t="s">
        <v>11110</v>
      </c>
      <c r="B5886" s="6" t="s">
        <v>1155</v>
      </c>
      <c r="C5886" s="26" t="n">
        <v>46203</v>
      </c>
      <c r="D5886" s="6" t="s">
        <v>5141</v>
      </c>
      <c r="E5886" s="6" t="s">
        <v>20</v>
      </c>
      <c r="F5886" s="6" t="n">
        <v>1</v>
      </c>
      <c r="G5886" s="10" t="n">
        <v>1835</v>
      </c>
      <c r="H5886" s="10" t="n">
        <f aca="false">F5886*G5886</f>
        <v>1835</v>
      </c>
      <c r="I5886" s="6" t="s">
        <v>5122</v>
      </c>
    </row>
    <row r="5887" customFormat="false" ht="15" hidden="false" customHeight="false" outlineLevel="0" collapsed="false">
      <c r="A5887" s="6" t="s">
        <v>11111</v>
      </c>
      <c r="B5887" s="6" t="s">
        <v>4149</v>
      </c>
      <c r="C5887" s="26" t="n">
        <v>46203</v>
      </c>
      <c r="D5887" s="6" t="s">
        <v>5154</v>
      </c>
      <c r="E5887" s="6" t="s">
        <v>21</v>
      </c>
      <c r="F5887" s="6" t="n">
        <v>3</v>
      </c>
      <c r="G5887" s="10" t="n">
        <v>785</v>
      </c>
      <c r="H5887" s="10" t="n">
        <f aca="false">F5887*G5887</f>
        <v>2355</v>
      </c>
      <c r="I5887" s="6" t="s">
        <v>5133</v>
      </c>
    </row>
    <row r="5888" customFormat="false" ht="15" hidden="false" customHeight="false" outlineLevel="0" collapsed="false">
      <c r="A5888" s="6" t="s">
        <v>11112</v>
      </c>
      <c r="B5888" s="6" t="s">
        <v>2365</v>
      </c>
      <c r="C5888" s="26" t="n">
        <v>46203</v>
      </c>
      <c r="D5888" s="6" t="s">
        <v>5180</v>
      </c>
      <c r="E5888" s="6" t="s">
        <v>24</v>
      </c>
      <c r="F5888" s="6" t="n">
        <v>1</v>
      </c>
      <c r="G5888" s="10" t="n">
        <v>1988</v>
      </c>
      <c r="H5888" s="10" t="n">
        <f aca="false">F5888*G5888</f>
        <v>1988</v>
      </c>
      <c r="I5888" s="6" t="s">
        <v>5148</v>
      </c>
    </row>
    <row r="5889" customFormat="false" ht="15" hidden="false" customHeight="false" outlineLevel="0" collapsed="false">
      <c r="A5889" s="6" t="s">
        <v>11113</v>
      </c>
      <c r="B5889" s="6" t="s">
        <v>1335</v>
      </c>
      <c r="C5889" s="26" t="n">
        <v>46203</v>
      </c>
      <c r="D5889" s="6" t="s">
        <v>5561</v>
      </c>
      <c r="E5889" s="6" t="s">
        <v>20</v>
      </c>
      <c r="F5889" s="6" t="n">
        <v>1</v>
      </c>
      <c r="G5889" s="10" t="n">
        <v>3363</v>
      </c>
      <c r="H5889" s="10" t="n">
        <f aca="false">F5889*G5889</f>
        <v>3363</v>
      </c>
      <c r="I5889" s="6" t="s">
        <v>5122</v>
      </c>
    </row>
    <row r="5890" customFormat="false" ht="15" hidden="false" customHeight="false" outlineLevel="0" collapsed="false">
      <c r="A5890" s="6" t="s">
        <v>11114</v>
      </c>
      <c r="B5890" s="6" t="s">
        <v>4015</v>
      </c>
      <c r="C5890" s="26" t="n">
        <v>46203</v>
      </c>
      <c r="D5890" s="6" t="s">
        <v>5158</v>
      </c>
      <c r="E5890" s="6" t="s">
        <v>24</v>
      </c>
      <c r="F5890" s="6" t="n">
        <v>1</v>
      </c>
      <c r="G5890" s="10" t="n">
        <v>434</v>
      </c>
      <c r="H5890" s="10" t="n">
        <f aca="false">F5890*G5890</f>
        <v>434</v>
      </c>
      <c r="I5890" s="6" t="s">
        <v>5122</v>
      </c>
    </row>
    <row r="5891" customFormat="false" ht="15" hidden="false" customHeight="false" outlineLevel="0" collapsed="false">
      <c r="A5891" s="6" t="s">
        <v>11115</v>
      </c>
      <c r="B5891" s="6" t="s">
        <v>4499</v>
      </c>
      <c r="C5891" s="26" t="n">
        <v>46203</v>
      </c>
      <c r="D5891" s="6" t="s">
        <v>5167</v>
      </c>
      <c r="E5891" s="6" t="s">
        <v>22</v>
      </c>
      <c r="F5891" s="6" t="n">
        <v>1</v>
      </c>
      <c r="G5891" s="10" t="n">
        <v>782</v>
      </c>
      <c r="H5891" s="10" t="n">
        <f aca="false">F5891*G5891</f>
        <v>782</v>
      </c>
      <c r="I5891" s="6" t="s">
        <v>5173</v>
      </c>
    </row>
    <row r="5892" customFormat="false" ht="15" hidden="false" customHeight="false" outlineLevel="0" collapsed="false">
      <c r="A5892" s="6" t="s">
        <v>11116</v>
      </c>
      <c r="B5892" s="6" t="s">
        <v>3579</v>
      </c>
      <c r="C5892" s="26" t="n">
        <v>46203</v>
      </c>
      <c r="D5892" s="6" t="s">
        <v>5197</v>
      </c>
      <c r="E5892" s="6" t="s">
        <v>21</v>
      </c>
      <c r="F5892" s="6" t="n">
        <v>1</v>
      </c>
      <c r="G5892" s="10" t="n">
        <v>1080</v>
      </c>
      <c r="H5892" s="10" t="n">
        <f aca="false">F5892*G5892</f>
        <v>1080</v>
      </c>
      <c r="I5892" s="6" t="s">
        <v>5148</v>
      </c>
    </row>
    <row r="5893" customFormat="false" ht="15" hidden="false" customHeight="false" outlineLevel="0" collapsed="false">
      <c r="A5893" s="6" t="s">
        <v>11117</v>
      </c>
      <c r="B5893" s="6" t="s">
        <v>1283</v>
      </c>
      <c r="C5893" s="26" t="n">
        <v>46204</v>
      </c>
      <c r="D5893" s="6" t="s">
        <v>5398</v>
      </c>
      <c r="E5893" s="6" t="s">
        <v>24</v>
      </c>
      <c r="F5893" s="6" t="n">
        <v>2</v>
      </c>
      <c r="G5893" s="10" t="n">
        <v>549</v>
      </c>
      <c r="H5893" s="10" t="n">
        <f aca="false">F5893*G5893</f>
        <v>1098</v>
      </c>
      <c r="I5893" s="6" t="s">
        <v>5122</v>
      </c>
    </row>
    <row r="5894" customFormat="false" ht="15" hidden="false" customHeight="false" outlineLevel="0" collapsed="false">
      <c r="A5894" s="6" t="s">
        <v>11118</v>
      </c>
      <c r="B5894" s="6" t="s">
        <v>2311</v>
      </c>
      <c r="C5894" s="26" t="n">
        <v>46204</v>
      </c>
      <c r="D5894" s="6" t="s">
        <v>5224</v>
      </c>
      <c r="E5894" s="6" t="s">
        <v>23</v>
      </c>
      <c r="F5894" s="6" t="n">
        <v>2</v>
      </c>
      <c r="G5894" s="10" t="n">
        <v>195</v>
      </c>
      <c r="H5894" s="10" t="n">
        <f aca="false">F5894*G5894</f>
        <v>390</v>
      </c>
      <c r="I5894" s="6" t="s">
        <v>5173</v>
      </c>
    </row>
    <row r="5895" customFormat="false" ht="15" hidden="false" customHeight="false" outlineLevel="0" collapsed="false">
      <c r="A5895" s="6" t="s">
        <v>11119</v>
      </c>
      <c r="B5895" s="6" t="s">
        <v>192</v>
      </c>
      <c r="C5895" s="26" t="n">
        <v>46204</v>
      </c>
      <c r="D5895" s="6" t="s">
        <v>5235</v>
      </c>
      <c r="E5895" s="6" t="s">
        <v>21</v>
      </c>
      <c r="F5895" s="6" t="n">
        <v>2</v>
      </c>
      <c r="G5895" s="10" t="n">
        <v>1670</v>
      </c>
      <c r="H5895" s="10" t="n">
        <f aca="false">F5895*G5895</f>
        <v>3340</v>
      </c>
      <c r="I5895" s="6" t="s">
        <v>5148</v>
      </c>
    </row>
    <row r="5896" customFormat="false" ht="15" hidden="false" customHeight="false" outlineLevel="0" collapsed="false">
      <c r="A5896" s="6" t="s">
        <v>11120</v>
      </c>
      <c r="B5896" s="6" t="s">
        <v>3623</v>
      </c>
      <c r="C5896" s="26" t="n">
        <v>46204</v>
      </c>
      <c r="D5896" s="6" t="s">
        <v>5318</v>
      </c>
      <c r="E5896" s="6" t="s">
        <v>20</v>
      </c>
      <c r="F5896" s="6" t="n">
        <v>1</v>
      </c>
      <c r="G5896" s="10" t="n">
        <v>1376</v>
      </c>
      <c r="H5896" s="10" t="n">
        <f aca="false">F5896*G5896</f>
        <v>1376</v>
      </c>
      <c r="I5896" s="6" t="s">
        <v>5122</v>
      </c>
    </row>
    <row r="5897" customFormat="false" ht="15" hidden="false" customHeight="false" outlineLevel="0" collapsed="false">
      <c r="A5897" s="6" t="s">
        <v>11121</v>
      </c>
      <c r="B5897" s="6" t="s">
        <v>4325</v>
      </c>
      <c r="C5897" s="26" t="n">
        <v>46204</v>
      </c>
      <c r="D5897" s="6" t="s">
        <v>5237</v>
      </c>
      <c r="E5897" s="6" t="s">
        <v>24</v>
      </c>
      <c r="F5897" s="6" t="n">
        <v>1</v>
      </c>
      <c r="G5897" s="10" t="n">
        <v>1741</v>
      </c>
      <c r="H5897" s="10" t="n">
        <f aca="false">F5897*G5897</f>
        <v>1741</v>
      </c>
      <c r="I5897" s="6" t="s">
        <v>5148</v>
      </c>
    </row>
    <row r="5898" customFormat="false" ht="15" hidden="false" customHeight="false" outlineLevel="0" collapsed="false">
      <c r="A5898" s="6" t="s">
        <v>11122</v>
      </c>
      <c r="B5898" s="6" t="s">
        <v>3045</v>
      </c>
      <c r="C5898" s="26" t="n">
        <v>46204</v>
      </c>
      <c r="D5898" s="6" t="s">
        <v>5200</v>
      </c>
      <c r="E5898" s="6" t="s">
        <v>24</v>
      </c>
      <c r="F5898" s="6" t="n">
        <v>1</v>
      </c>
      <c r="G5898" s="10" t="n">
        <v>763</v>
      </c>
      <c r="H5898" s="10" t="n">
        <f aca="false">F5898*G5898</f>
        <v>763</v>
      </c>
      <c r="I5898" s="6" t="s">
        <v>5122</v>
      </c>
    </row>
    <row r="5899" customFormat="false" ht="15" hidden="false" customHeight="false" outlineLevel="0" collapsed="false">
      <c r="A5899" s="6" t="s">
        <v>11123</v>
      </c>
      <c r="B5899" s="6" t="s">
        <v>3875</v>
      </c>
      <c r="C5899" s="26" t="n">
        <v>46204</v>
      </c>
      <c r="D5899" s="6" t="s">
        <v>5837</v>
      </c>
      <c r="E5899" s="6" t="s">
        <v>21</v>
      </c>
      <c r="F5899" s="6" t="n">
        <v>2</v>
      </c>
      <c r="G5899" s="10" t="n">
        <v>2948</v>
      </c>
      <c r="H5899" s="10" t="n">
        <f aca="false">F5899*G5899</f>
        <v>5896</v>
      </c>
      <c r="I5899" s="6" t="s">
        <v>5173</v>
      </c>
    </row>
    <row r="5900" customFormat="false" ht="15" hidden="false" customHeight="false" outlineLevel="0" collapsed="false">
      <c r="A5900" s="6" t="s">
        <v>11124</v>
      </c>
      <c r="B5900" s="6" t="s">
        <v>1825</v>
      </c>
      <c r="C5900" s="26" t="n">
        <v>46204</v>
      </c>
      <c r="D5900" s="6" t="s">
        <v>5298</v>
      </c>
      <c r="E5900" s="6" t="s">
        <v>23</v>
      </c>
      <c r="F5900" s="6" t="n">
        <v>1</v>
      </c>
      <c r="G5900" s="10" t="n">
        <v>292</v>
      </c>
      <c r="H5900" s="10" t="n">
        <f aca="false">F5900*G5900</f>
        <v>292</v>
      </c>
      <c r="I5900" s="6" t="s">
        <v>5148</v>
      </c>
    </row>
    <row r="5901" customFormat="false" ht="15" hidden="false" customHeight="false" outlineLevel="0" collapsed="false">
      <c r="A5901" s="6" t="s">
        <v>11125</v>
      </c>
      <c r="B5901" s="6" t="s">
        <v>4019</v>
      </c>
      <c r="C5901" s="26" t="n">
        <v>46204</v>
      </c>
      <c r="D5901" s="6" t="s">
        <v>5216</v>
      </c>
      <c r="E5901" s="6" t="s">
        <v>23</v>
      </c>
      <c r="F5901" s="6" t="n">
        <v>3</v>
      </c>
      <c r="G5901" s="10" t="n">
        <v>587</v>
      </c>
      <c r="H5901" s="10" t="n">
        <f aca="false">F5901*G5901</f>
        <v>1761</v>
      </c>
      <c r="I5901" s="6" t="s">
        <v>5125</v>
      </c>
    </row>
    <row r="5902" customFormat="false" ht="15" hidden="false" customHeight="false" outlineLevel="0" collapsed="false">
      <c r="A5902" s="6" t="s">
        <v>11126</v>
      </c>
      <c r="B5902" s="6" t="s">
        <v>4813</v>
      </c>
      <c r="C5902" s="26" t="n">
        <v>46204</v>
      </c>
      <c r="D5902" s="6" t="s">
        <v>5163</v>
      </c>
      <c r="E5902" s="6" t="s">
        <v>23</v>
      </c>
      <c r="F5902" s="6" t="n">
        <v>4</v>
      </c>
      <c r="G5902" s="10" t="n">
        <v>705</v>
      </c>
      <c r="H5902" s="10" t="n">
        <f aca="false">F5902*G5902</f>
        <v>2820</v>
      </c>
      <c r="I5902" s="6" t="s">
        <v>5133</v>
      </c>
    </row>
    <row r="5903" customFormat="false" ht="15" hidden="false" customHeight="false" outlineLevel="0" collapsed="false">
      <c r="A5903" s="6" t="s">
        <v>11127</v>
      </c>
      <c r="B5903" s="6" t="s">
        <v>2343</v>
      </c>
      <c r="C5903" s="26" t="n">
        <v>46204</v>
      </c>
      <c r="D5903" s="6" t="s">
        <v>5121</v>
      </c>
      <c r="E5903" s="6" t="s">
        <v>22</v>
      </c>
      <c r="F5903" s="6" t="n">
        <v>3</v>
      </c>
      <c r="G5903" s="10" t="n">
        <v>977</v>
      </c>
      <c r="H5903" s="10" t="n">
        <f aca="false">F5903*G5903</f>
        <v>2931</v>
      </c>
      <c r="I5903" s="6" t="s">
        <v>5122</v>
      </c>
    </row>
    <row r="5904" customFormat="false" ht="15" hidden="false" customHeight="false" outlineLevel="0" collapsed="false">
      <c r="A5904" s="6" t="s">
        <v>11128</v>
      </c>
      <c r="B5904" s="6" t="s">
        <v>1335</v>
      </c>
      <c r="C5904" s="26" t="n">
        <v>46204</v>
      </c>
      <c r="D5904" s="6" t="s">
        <v>5318</v>
      </c>
      <c r="E5904" s="6" t="s">
        <v>20</v>
      </c>
      <c r="F5904" s="6" t="n">
        <v>1</v>
      </c>
      <c r="G5904" s="10" t="n">
        <v>1529</v>
      </c>
      <c r="H5904" s="10" t="n">
        <f aca="false">F5904*G5904</f>
        <v>1529</v>
      </c>
      <c r="I5904" s="6" t="s">
        <v>5148</v>
      </c>
    </row>
    <row r="5905" customFormat="false" ht="15" hidden="false" customHeight="false" outlineLevel="0" collapsed="false">
      <c r="A5905" s="6" t="s">
        <v>11129</v>
      </c>
      <c r="B5905" s="6" t="s">
        <v>5035</v>
      </c>
      <c r="C5905" s="26" t="n">
        <v>46204</v>
      </c>
      <c r="D5905" s="6" t="s">
        <v>5691</v>
      </c>
      <c r="E5905" s="6" t="s">
        <v>21</v>
      </c>
      <c r="F5905" s="6" t="n">
        <v>3</v>
      </c>
      <c r="G5905" s="10" t="n">
        <v>5602</v>
      </c>
      <c r="H5905" s="10" t="n">
        <f aca="false">F5905*G5905</f>
        <v>16806</v>
      </c>
      <c r="I5905" s="6" t="s">
        <v>5122</v>
      </c>
    </row>
    <row r="5906" customFormat="false" ht="15" hidden="false" customHeight="false" outlineLevel="0" collapsed="false">
      <c r="A5906" s="6" t="s">
        <v>11130</v>
      </c>
      <c r="B5906" s="6" t="s">
        <v>5015</v>
      </c>
      <c r="C5906" s="26" t="n">
        <v>46204</v>
      </c>
      <c r="D5906" s="6" t="s">
        <v>5185</v>
      </c>
      <c r="E5906" s="6" t="s">
        <v>24</v>
      </c>
      <c r="F5906" s="6" t="n">
        <v>1</v>
      </c>
      <c r="G5906" s="10" t="n">
        <v>2033</v>
      </c>
      <c r="H5906" s="10" t="n">
        <f aca="false">F5906*G5906</f>
        <v>2033</v>
      </c>
      <c r="I5906" s="6" t="s">
        <v>5130</v>
      </c>
    </row>
    <row r="5907" customFormat="false" ht="15" hidden="false" customHeight="false" outlineLevel="0" collapsed="false">
      <c r="A5907" s="6" t="s">
        <v>11131</v>
      </c>
      <c r="B5907" s="6" t="s">
        <v>1153</v>
      </c>
      <c r="C5907" s="26" t="n">
        <v>46204</v>
      </c>
      <c r="D5907" s="6" t="s">
        <v>5410</v>
      </c>
      <c r="E5907" s="6" t="s">
        <v>20</v>
      </c>
      <c r="F5907" s="6" t="n">
        <v>1</v>
      </c>
      <c r="G5907" s="10" t="n">
        <v>2548</v>
      </c>
      <c r="H5907" s="10" t="n">
        <f aca="false">F5907*G5907</f>
        <v>2548</v>
      </c>
      <c r="I5907" s="6" t="s">
        <v>5125</v>
      </c>
    </row>
    <row r="5908" customFormat="false" ht="15" hidden="false" customHeight="false" outlineLevel="0" collapsed="false">
      <c r="A5908" s="6" t="s">
        <v>11132</v>
      </c>
      <c r="B5908" s="6" t="s">
        <v>170</v>
      </c>
      <c r="C5908" s="26" t="n">
        <v>46204</v>
      </c>
      <c r="D5908" s="6" t="s">
        <v>5216</v>
      </c>
      <c r="E5908" s="6" t="s">
        <v>23</v>
      </c>
      <c r="F5908" s="6" t="n">
        <v>3</v>
      </c>
      <c r="G5908" s="10" t="n">
        <v>587</v>
      </c>
      <c r="H5908" s="10" t="n">
        <f aca="false">F5908*G5908</f>
        <v>1761</v>
      </c>
      <c r="I5908" s="6" t="s">
        <v>5173</v>
      </c>
    </row>
    <row r="5909" customFormat="false" ht="15" hidden="false" customHeight="false" outlineLevel="0" collapsed="false">
      <c r="A5909" s="6" t="s">
        <v>11133</v>
      </c>
      <c r="B5909" s="6" t="s">
        <v>2005</v>
      </c>
      <c r="C5909" s="26" t="n">
        <v>46204</v>
      </c>
      <c r="D5909" s="6" t="s">
        <v>5277</v>
      </c>
      <c r="E5909" s="6" t="s">
        <v>22</v>
      </c>
      <c r="F5909" s="6" t="n">
        <v>1</v>
      </c>
      <c r="G5909" s="10" t="n">
        <v>2738</v>
      </c>
      <c r="H5909" s="10" t="n">
        <f aca="false">F5909*G5909</f>
        <v>2738</v>
      </c>
      <c r="I5909" s="6" t="s">
        <v>5122</v>
      </c>
    </row>
    <row r="5910" customFormat="false" ht="15" hidden="false" customHeight="false" outlineLevel="0" collapsed="false">
      <c r="A5910" s="6" t="s">
        <v>11134</v>
      </c>
      <c r="B5910" s="6" t="s">
        <v>2423</v>
      </c>
      <c r="C5910" s="26" t="n">
        <v>46204</v>
      </c>
      <c r="D5910" s="6" t="s">
        <v>5466</v>
      </c>
      <c r="E5910" s="6" t="s">
        <v>21</v>
      </c>
      <c r="F5910" s="6" t="n">
        <v>1</v>
      </c>
      <c r="G5910" s="10" t="n">
        <v>1965</v>
      </c>
      <c r="H5910" s="10" t="n">
        <f aca="false">F5910*G5910</f>
        <v>1965</v>
      </c>
      <c r="I5910" s="6" t="s">
        <v>5125</v>
      </c>
    </row>
    <row r="5911" customFormat="false" ht="15" hidden="false" customHeight="false" outlineLevel="0" collapsed="false">
      <c r="A5911" s="6" t="s">
        <v>11135</v>
      </c>
      <c r="B5911" s="6" t="s">
        <v>1179</v>
      </c>
      <c r="C5911" s="26" t="n">
        <v>46204</v>
      </c>
      <c r="D5911" s="6" t="s">
        <v>5180</v>
      </c>
      <c r="E5911" s="6" t="s">
        <v>24</v>
      </c>
      <c r="F5911" s="6" t="n">
        <v>1</v>
      </c>
      <c r="G5911" s="10" t="n">
        <v>1987</v>
      </c>
      <c r="H5911" s="10" t="n">
        <f aca="false">F5911*G5911</f>
        <v>1987</v>
      </c>
      <c r="I5911" s="6" t="s">
        <v>5130</v>
      </c>
    </row>
    <row r="5912" customFormat="false" ht="15" hidden="false" customHeight="false" outlineLevel="0" collapsed="false">
      <c r="A5912" s="6" t="s">
        <v>11136</v>
      </c>
      <c r="B5912" s="6" t="s">
        <v>2341</v>
      </c>
      <c r="C5912" s="26" t="n">
        <v>46204</v>
      </c>
      <c r="D5912" s="6" t="s">
        <v>5242</v>
      </c>
      <c r="E5912" s="6" t="s">
        <v>23</v>
      </c>
      <c r="F5912" s="6" t="n">
        <v>2</v>
      </c>
      <c r="G5912" s="10" t="n">
        <v>372</v>
      </c>
      <c r="H5912" s="10" t="n">
        <f aca="false">F5912*G5912</f>
        <v>744</v>
      </c>
      <c r="I5912" s="6" t="s">
        <v>5122</v>
      </c>
    </row>
    <row r="5913" customFormat="false" ht="15" hidden="false" customHeight="false" outlineLevel="0" collapsed="false">
      <c r="A5913" s="6" t="s">
        <v>11137</v>
      </c>
      <c r="B5913" s="6" t="s">
        <v>1939</v>
      </c>
      <c r="C5913" s="26" t="n">
        <v>46204</v>
      </c>
      <c r="D5913" s="6" t="s">
        <v>5345</v>
      </c>
      <c r="E5913" s="6" t="s">
        <v>23</v>
      </c>
      <c r="F5913" s="6" t="n">
        <v>2</v>
      </c>
      <c r="G5913" s="10" t="n">
        <v>436</v>
      </c>
      <c r="H5913" s="10" t="n">
        <f aca="false">F5913*G5913</f>
        <v>872</v>
      </c>
      <c r="I5913" s="6" t="s">
        <v>5148</v>
      </c>
    </row>
    <row r="5914" customFormat="false" ht="15" hidden="false" customHeight="false" outlineLevel="0" collapsed="false">
      <c r="A5914" s="6" t="s">
        <v>11138</v>
      </c>
      <c r="B5914" s="6" t="s">
        <v>3535</v>
      </c>
      <c r="C5914" s="26" t="n">
        <v>46204</v>
      </c>
      <c r="D5914" s="6" t="s">
        <v>5190</v>
      </c>
      <c r="E5914" s="6" t="s">
        <v>24</v>
      </c>
      <c r="F5914" s="6" t="n">
        <v>1</v>
      </c>
      <c r="G5914" s="10" t="n">
        <v>610</v>
      </c>
      <c r="H5914" s="10" t="n">
        <f aca="false">F5914*G5914</f>
        <v>610</v>
      </c>
      <c r="I5914" s="6" t="s">
        <v>5130</v>
      </c>
    </row>
    <row r="5915" customFormat="false" ht="15" hidden="false" customHeight="false" outlineLevel="0" collapsed="false">
      <c r="A5915" s="6" t="s">
        <v>11139</v>
      </c>
      <c r="B5915" s="6" t="s">
        <v>4387</v>
      </c>
      <c r="C5915" s="26" t="n">
        <v>46204</v>
      </c>
      <c r="D5915" s="6" t="s">
        <v>5423</v>
      </c>
      <c r="E5915" s="6" t="s">
        <v>21</v>
      </c>
      <c r="F5915" s="6" t="n">
        <v>3</v>
      </c>
      <c r="G5915" s="10" t="n">
        <v>3243</v>
      </c>
      <c r="H5915" s="10" t="n">
        <f aca="false">F5915*G5915</f>
        <v>9729</v>
      </c>
      <c r="I5915" s="6" t="s">
        <v>5122</v>
      </c>
    </row>
    <row r="5916" customFormat="false" ht="15" hidden="false" customHeight="false" outlineLevel="0" collapsed="false">
      <c r="A5916" s="6" t="s">
        <v>11140</v>
      </c>
      <c r="B5916" s="6" t="s">
        <v>346</v>
      </c>
      <c r="C5916" s="26" t="n">
        <v>46204</v>
      </c>
      <c r="D5916" s="6" t="s">
        <v>5152</v>
      </c>
      <c r="E5916" s="6" t="s">
        <v>22</v>
      </c>
      <c r="F5916" s="6" t="n">
        <v>4</v>
      </c>
      <c r="G5916" s="10" t="n">
        <v>1760</v>
      </c>
      <c r="H5916" s="10" t="n">
        <f aca="false">F5916*G5916</f>
        <v>7040</v>
      </c>
      <c r="I5916" s="6" t="s">
        <v>5122</v>
      </c>
    </row>
    <row r="5917" customFormat="false" ht="15" hidden="false" customHeight="false" outlineLevel="0" collapsed="false">
      <c r="A5917" s="6" t="s">
        <v>11141</v>
      </c>
      <c r="B5917" s="6" t="s">
        <v>837</v>
      </c>
      <c r="C5917" s="26" t="n">
        <v>46204</v>
      </c>
      <c r="D5917" s="6" t="s">
        <v>5220</v>
      </c>
      <c r="E5917" s="6" t="s">
        <v>24</v>
      </c>
      <c r="F5917" s="6" t="n">
        <v>4</v>
      </c>
      <c r="G5917" s="10" t="n">
        <v>1064</v>
      </c>
      <c r="H5917" s="10" t="n">
        <f aca="false">F5917*G5917</f>
        <v>4256</v>
      </c>
      <c r="I5917" s="6" t="s">
        <v>5125</v>
      </c>
    </row>
    <row r="5918" customFormat="false" ht="15" hidden="false" customHeight="false" outlineLevel="0" collapsed="false">
      <c r="A5918" s="6" t="s">
        <v>11142</v>
      </c>
      <c r="B5918" s="6" t="s">
        <v>1133</v>
      </c>
      <c r="C5918" s="26" t="n">
        <v>46204</v>
      </c>
      <c r="D5918" s="6" t="s">
        <v>5124</v>
      </c>
      <c r="E5918" s="6" t="s">
        <v>21</v>
      </c>
      <c r="F5918" s="6" t="n">
        <v>1</v>
      </c>
      <c r="G5918" s="10" t="n">
        <v>3439</v>
      </c>
      <c r="H5918" s="10" t="n">
        <f aca="false">F5918*G5918</f>
        <v>3439</v>
      </c>
      <c r="I5918" s="6" t="s">
        <v>5173</v>
      </c>
    </row>
    <row r="5919" customFormat="false" ht="15" hidden="false" customHeight="false" outlineLevel="0" collapsed="false">
      <c r="A5919" s="6" t="s">
        <v>11143</v>
      </c>
      <c r="B5919" s="6" t="s">
        <v>1113</v>
      </c>
      <c r="C5919" s="26" t="n">
        <v>46204</v>
      </c>
      <c r="D5919" s="6" t="s">
        <v>5326</v>
      </c>
      <c r="E5919" s="6" t="s">
        <v>22</v>
      </c>
      <c r="F5919" s="6" t="n">
        <v>1</v>
      </c>
      <c r="G5919" s="10" t="n">
        <v>1393</v>
      </c>
      <c r="H5919" s="10" t="n">
        <f aca="false">F5919*G5919</f>
        <v>1393</v>
      </c>
      <c r="I5919" s="6" t="s">
        <v>5130</v>
      </c>
    </row>
    <row r="5920" customFormat="false" ht="15" hidden="false" customHeight="false" outlineLevel="0" collapsed="false">
      <c r="A5920" s="6" t="s">
        <v>11144</v>
      </c>
      <c r="B5920" s="6" t="s">
        <v>2085</v>
      </c>
      <c r="C5920" s="26" t="n">
        <v>46204</v>
      </c>
      <c r="D5920" s="6" t="s">
        <v>5147</v>
      </c>
      <c r="E5920" s="6" t="s">
        <v>24</v>
      </c>
      <c r="F5920" s="6" t="n">
        <v>1</v>
      </c>
      <c r="G5920" s="10" t="n">
        <v>596</v>
      </c>
      <c r="H5920" s="10" t="n">
        <f aca="false">F5920*G5920</f>
        <v>596</v>
      </c>
      <c r="I5920" s="6" t="s">
        <v>5130</v>
      </c>
    </row>
    <row r="5921" customFormat="false" ht="15" hidden="false" customHeight="false" outlineLevel="0" collapsed="false">
      <c r="A5921" s="6" t="s">
        <v>11145</v>
      </c>
      <c r="B5921" s="6" t="s">
        <v>4307</v>
      </c>
      <c r="C5921" s="26" t="n">
        <v>46204</v>
      </c>
      <c r="D5921" s="6" t="s">
        <v>5171</v>
      </c>
      <c r="E5921" s="6" t="s">
        <v>23</v>
      </c>
      <c r="F5921" s="6" t="n">
        <v>4</v>
      </c>
      <c r="G5921" s="10" t="n">
        <v>734</v>
      </c>
      <c r="H5921" s="10" t="n">
        <f aca="false">F5921*G5921</f>
        <v>2936</v>
      </c>
      <c r="I5921" s="6" t="s">
        <v>5148</v>
      </c>
    </row>
    <row r="5922" customFormat="false" ht="15" hidden="false" customHeight="false" outlineLevel="0" collapsed="false">
      <c r="A5922" s="6" t="s">
        <v>11146</v>
      </c>
      <c r="B5922" s="6" t="s">
        <v>3047</v>
      </c>
      <c r="C5922" s="26" t="n">
        <v>46204</v>
      </c>
      <c r="D5922" s="6" t="s">
        <v>5194</v>
      </c>
      <c r="E5922" s="6" t="s">
        <v>22</v>
      </c>
      <c r="F5922" s="6" t="n">
        <v>1</v>
      </c>
      <c r="G5922" s="10" t="n">
        <v>2151</v>
      </c>
      <c r="H5922" s="10" t="n">
        <f aca="false">F5922*G5922</f>
        <v>2151</v>
      </c>
      <c r="I5922" s="6" t="s">
        <v>5130</v>
      </c>
    </row>
    <row r="5923" customFormat="false" ht="15" hidden="false" customHeight="false" outlineLevel="0" collapsed="false">
      <c r="A5923" s="6" t="s">
        <v>11147</v>
      </c>
      <c r="B5923" s="6" t="s">
        <v>3495</v>
      </c>
      <c r="C5923" s="26" t="n">
        <v>46204</v>
      </c>
      <c r="D5923" s="6" t="s">
        <v>5165</v>
      </c>
      <c r="E5923" s="6" t="s">
        <v>22</v>
      </c>
      <c r="F5923" s="6" t="n">
        <v>3</v>
      </c>
      <c r="G5923" s="10" t="n">
        <v>977</v>
      </c>
      <c r="H5923" s="10" t="n">
        <f aca="false">F5923*G5923</f>
        <v>2931</v>
      </c>
      <c r="I5923" s="6" t="s">
        <v>5125</v>
      </c>
    </row>
    <row r="5924" customFormat="false" ht="15" hidden="false" customHeight="false" outlineLevel="0" collapsed="false">
      <c r="A5924" s="6" t="s">
        <v>11148</v>
      </c>
      <c r="B5924" s="6" t="s">
        <v>3583</v>
      </c>
      <c r="C5924" s="26" t="n">
        <v>46204</v>
      </c>
      <c r="D5924" s="6" t="s">
        <v>5220</v>
      </c>
      <c r="E5924" s="6" t="s">
        <v>24</v>
      </c>
      <c r="F5924" s="6" t="n">
        <v>4</v>
      </c>
      <c r="G5924" s="10" t="n">
        <v>1120</v>
      </c>
      <c r="H5924" s="10" t="n">
        <f aca="false">F5924*G5924</f>
        <v>4480</v>
      </c>
      <c r="I5924" s="6" t="s">
        <v>5148</v>
      </c>
    </row>
    <row r="5925" customFormat="false" ht="15" hidden="false" customHeight="false" outlineLevel="0" collapsed="false">
      <c r="A5925" s="6" t="s">
        <v>11149</v>
      </c>
      <c r="B5925" s="6" t="s">
        <v>1209</v>
      </c>
      <c r="C5925" s="26" t="n">
        <v>46204</v>
      </c>
      <c r="D5925" s="6" t="s">
        <v>5135</v>
      </c>
      <c r="E5925" s="6" t="s">
        <v>23</v>
      </c>
      <c r="F5925" s="6" t="n">
        <v>2</v>
      </c>
      <c r="G5925" s="10" t="n">
        <v>441</v>
      </c>
      <c r="H5925" s="10" t="n">
        <f aca="false">F5925*G5925</f>
        <v>882</v>
      </c>
      <c r="I5925" s="6" t="s">
        <v>5130</v>
      </c>
    </row>
    <row r="5926" customFormat="false" ht="15" hidden="false" customHeight="false" outlineLevel="0" collapsed="false">
      <c r="A5926" s="6" t="s">
        <v>11150</v>
      </c>
      <c r="B5926" s="6" t="s">
        <v>3999</v>
      </c>
      <c r="C5926" s="26" t="n">
        <v>46204</v>
      </c>
      <c r="D5926" s="6" t="s">
        <v>5167</v>
      </c>
      <c r="E5926" s="6" t="s">
        <v>22</v>
      </c>
      <c r="F5926" s="6" t="n">
        <v>1</v>
      </c>
      <c r="G5926" s="10" t="n">
        <v>782</v>
      </c>
      <c r="H5926" s="10" t="n">
        <f aca="false">F5926*G5926</f>
        <v>782</v>
      </c>
      <c r="I5926" s="6" t="s">
        <v>5148</v>
      </c>
    </row>
    <row r="5927" customFormat="false" ht="15" hidden="false" customHeight="false" outlineLevel="0" collapsed="false">
      <c r="A5927" s="6" t="s">
        <v>11151</v>
      </c>
      <c r="B5927" s="6" t="s">
        <v>3207</v>
      </c>
      <c r="C5927" s="26" t="n">
        <v>46204</v>
      </c>
      <c r="D5927" s="6" t="s">
        <v>5305</v>
      </c>
      <c r="E5927" s="6" t="s">
        <v>20</v>
      </c>
      <c r="F5927" s="6" t="n">
        <v>1</v>
      </c>
      <c r="G5927" s="10" t="n">
        <v>1631</v>
      </c>
      <c r="H5927" s="10" t="n">
        <f aca="false">F5927*G5927</f>
        <v>1631</v>
      </c>
      <c r="I5927" s="6" t="s">
        <v>5130</v>
      </c>
    </row>
    <row r="5928" customFormat="false" ht="15" hidden="false" customHeight="false" outlineLevel="0" collapsed="false">
      <c r="A5928" s="6" t="s">
        <v>11152</v>
      </c>
      <c r="B5928" s="6" t="s">
        <v>2131</v>
      </c>
      <c r="C5928" s="26" t="n">
        <v>46204</v>
      </c>
      <c r="D5928" s="6" t="s">
        <v>5456</v>
      </c>
      <c r="E5928" s="6" t="s">
        <v>24</v>
      </c>
      <c r="F5928" s="6" t="n">
        <v>2</v>
      </c>
      <c r="G5928" s="10" t="n">
        <v>912</v>
      </c>
      <c r="H5928" s="10" t="n">
        <f aca="false">F5928*G5928</f>
        <v>1824</v>
      </c>
      <c r="I5928" s="6" t="s">
        <v>5133</v>
      </c>
    </row>
    <row r="5929" customFormat="false" ht="15" hidden="false" customHeight="false" outlineLevel="0" collapsed="false">
      <c r="A5929" s="6" t="s">
        <v>11153</v>
      </c>
      <c r="B5929" s="6" t="s">
        <v>4761</v>
      </c>
      <c r="C5929" s="26" t="n">
        <v>46204</v>
      </c>
      <c r="D5929" s="6" t="s">
        <v>5410</v>
      </c>
      <c r="E5929" s="6" t="s">
        <v>20</v>
      </c>
      <c r="F5929" s="6" t="n">
        <v>1</v>
      </c>
      <c r="G5929" s="10" t="n">
        <v>2421</v>
      </c>
      <c r="H5929" s="10" t="n">
        <f aca="false">F5929*G5929</f>
        <v>2421</v>
      </c>
      <c r="I5929" s="6" t="s">
        <v>5125</v>
      </c>
    </row>
    <row r="5930" customFormat="false" ht="15" hidden="false" customHeight="false" outlineLevel="0" collapsed="false">
      <c r="A5930" s="6" t="s">
        <v>11154</v>
      </c>
      <c r="B5930" s="6" t="s">
        <v>196</v>
      </c>
      <c r="C5930" s="26" t="n">
        <v>46204</v>
      </c>
      <c r="D5930" s="6" t="s">
        <v>5167</v>
      </c>
      <c r="E5930" s="6" t="s">
        <v>22</v>
      </c>
      <c r="F5930" s="6" t="n">
        <v>2</v>
      </c>
      <c r="G5930" s="10" t="n">
        <v>703</v>
      </c>
      <c r="H5930" s="10" t="n">
        <f aca="false">F5930*G5930</f>
        <v>1406</v>
      </c>
      <c r="I5930" s="6" t="s">
        <v>5122</v>
      </c>
    </row>
    <row r="5931" customFormat="false" ht="15" hidden="false" customHeight="false" outlineLevel="0" collapsed="false">
      <c r="A5931" s="6" t="s">
        <v>11155</v>
      </c>
      <c r="B5931" s="6" t="s">
        <v>3035</v>
      </c>
      <c r="C5931" s="26" t="n">
        <v>46204</v>
      </c>
      <c r="D5931" s="6" t="s">
        <v>5357</v>
      </c>
      <c r="E5931" s="6" t="s">
        <v>23</v>
      </c>
      <c r="F5931" s="6" t="n">
        <v>5</v>
      </c>
      <c r="G5931" s="10" t="n">
        <v>507</v>
      </c>
      <c r="H5931" s="10" t="n">
        <f aca="false">F5931*G5931</f>
        <v>2535</v>
      </c>
      <c r="I5931" s="6" t="s">
        <v>5148</v>
      </c>
    </row>
    <row r="5932" customFormat="false" ht="15" hidden="false" customHeight="false" outlineLevel="0" collapsed="false">
      <c r="A5932" s="6" t="s">
        <v>11156</v>
      </c>
      <c r="B5932" s="6" t="s">
        <v>260</v>
      </c>
      <c r="C5932" s="26" t="n">
        <v>46204</v>
      </c>
      <c r="D5932" s="6" t="s">
        <v>5561</v>
      </c>
      <c r="E5932" s="6" t="s">
        <v>20</v>
      </c>
      <c r="F5932" s="6" t="n">
        <v>2</v>
      </c>
      <c r="G5932" s="10" t="n">
        <v>3364</v>
      </c>
      <c r="H5932" s="10" t="n">
        <f aca="false">F5932*G5932</f>
        <v>6728</v>
      </c>
      <c r="I5932" s="6" t="s">
        <v>5125</v>
      </c>
    </row>
    <row r="5933" customFormat="false" ht="15" hidden="false" customHeight="false" outlineLevel="0" collapsed="false">
      <c r="A5933" s="6" t="s">
        <v>11157</v>
      </c>
      <c r="B5933" s="6" t="s">
        <v>1269</v>
      </c>
      <c r="C5933" s="26" t="n">
        <v>46204</v>
      </c>
      <c r="D5933" s="6" t="s">
        <v>5145</v>
      </c>
      <c r="E5933" s="6" t="s">
        <v>21</v>
      </c>
      <c r="F5933" s="6" t="n">
        <v>1</v>
      </c>
      <c r="G5933" s="10" t="n">
        <v>1213</v>
      </c>
      <c r="H5933" s="10" t="n">
        <f aca="false">F5933*G5933</f>
        <v>1213</v>
      </c>
      <c r="I5933" s="6" t="s">
        <v>5122</v>
      </c>
    </row>
    <row r="5934" customFormat="false" ht="15" hidden="false" customHeight="false" outlineLevel="0" collapsed="false">
      <c r="A5934" s="6" t="s">
        <v>11158</v>
      </c>
      <c r="B5934" s="6" t="s">
        <v>1771</v>
      </c>
      <c r="C5934" s="26" t="n">
        <v>46204</v>
      </c>
      <c r="D5934" s="6" t="s">
        <v>5482</v>
      </c>
      <c r="E5934" s="6" t="s">
        <v>23</v>
      </c>
      <c r="F5934" s="6" t="n">
        <v>2</v>
      </c>
      <c r="G5934" s="10" t="n">
        <v>243</v>
      </c>
      <c r="H5934" s="10" t="n">
        <f aca="false">F5934*G5934</f>
        <v>486</v>
      </c>
      <c r="I5934" s="6" t="s">
        <v>5130</v>
      </c>
    </row>
    <row r="5935" customFormat="false" ht="15" hidden="false" customHeight="false" outlineLevel="0" collapsed="false">
      <c r="A5935" s="6" t="s">
        <v>11159</v>
      </c>
      <c r="B5935" s="6" t="s">
        <v>3317</v>
      </c>
      <c r="C5935" s="26" t="n">
        <v>46204</v>
      </c>
      <c r="D5935" s="6" t="s">
        <v>5182</v>
      </c>
      <c r="E5935" s="6" t="s">
        <v>23</v>
      </c>
      <c r="F5935" s="6" t="n">
        <v>4</v>
      </c>
      <c r="G5935" s="10" t="n">
        <v>367</v>
      </c>
      <c r="H5935" s="10" t="n">
        <f aca="false">F5935*G5935</f>
        <v>1468</v>
      </c>
      <c r="I5935" s="6" t="s">
        <v>5130</v>
      </c>
    </row>
    <row r="5936" customFormat="false" ht="15" hidden="false" customHeight="false" outlineLevel="0" collapsed="false">
      <c r="A5936" s="6" t="s">
        <v>11160</v>
      </c>
      <c r="B5936" s="6" t="s">
        <v>2877</v>
      </c>
      <c r="C5936" s="26" t="n">
        <v>46204</v>
      </c>
      <c r="D5936" s="6" t="s">
        <v>5269</v>
      </c>
      <c r="E5936" s="6" t="s">
        <v>22</v>
      </c>
      <c r="F5936" s="6" t="n">
        <v>3</v>
      </c>
      <c r="G5936" s="10" t="n">
        <v>1271</v>
      </c>
      <c r="H5936" s="10" t="n">
        <f aca="false">F5936*G5936</f>
        <v>3813</v>
      </c>
      <c r="I5936" s="6" t="s">
        <v>5148</v>
      </c>
    </row>
    <row r="5937" customFormat="false" ht="15" hidden="false" customHeight="false" outlineLevel="0" collapsed="false">
      <c r="A5937" s="6" t="s">
        <v>11161</v>
      </c>
      <c r="B5937" s="6" t="s">
        <v>2027</v>
      </c>
      <c r="C5937" s="26" t="n">
        <v>46204</v>
      </c>
      <c r="D5937" s="6" t="s">
        <v>5207</v>
      </c>
      <c r="E5937" s="6" t="s">
        <v>20</v>
      </c>
      <c r="F5937" s="6" t="n">
        <v>1</v>
      </c>
      <c r="G5937" s="10" t="n">
        <v>1324</v>
      </c>
      <c r="H5937" s="10" t="n">
        <f aca="false">F5937*G5937</f>
        <v>1324</v>
      </c>
      <c r="I5937" s="6" t="s">
        <v>5148</v>
      </c>
    </row>
    <row r="5938" customFormat="false" ht="15" hidden="false" customHeight="false" outlineLevel="0" collapsed="false">
      <c r="A5938" s="6" t="s">
        <v>11162</v>
      </c>
      <c r="B5938" s="6" t="s">
        <v>4209</v>
      </c>
      <c r="C5938" s="26" t="n">
        <v>46205</v>
      </c>
      <c r="D5938" s="6" t="s">
        <v>5466</v>
      </c>
      <c r="E5938" s="6" t="s">
        <v>21</v>
      </c>
      <c r="F5938" s="6" t="n">
        <v>2</v>
      </c>
      <c r="G5938" s="10" t="n">
        <v>1965</v>
      </c>
      <c r="H5938" s="10" t="n">
        <f aca="false">F5938*G5938</f>
        <v>3930</v>
      </c>
      <c r="I5938" s="6" t="s">
        <v>5130</v>
      </c>
    </row>
    <row r="5939" customFormat="false" ht="15" hidden="false" customHeight="false" outlineLevel="0" collapsed="false">
      <c r="A5939" s="6" t="s">
        <v>11163</v>
      </c>
      <c r="B5939" s="6" t="s">
        <v>433</v>
      </c>
      <c r="C5939" s="26" t="n">
        <v>46205</v>
      </c>
      <c r="D5939" s="6" t="s">
        <v>5482</v>
      </c>
      <c r="E5939" s="6" t="s">
        <v>23</v>
      </c>
      <c r="F5939" s="6" t="n">
        <v>2</v>
      </c>
      <c r="G5939" s="10" t="n">
        <v>256</v>
      </c>
      <c r="H5939" s="10" t="n">
        <f aca="false">F5939*G5939</f>
        <v>512</v>
      </c>
      <c r="I5939" s="6" t="s">
        <v>5133</v>
      </c>
    </row>
    <row r="5940" customFormat="false" ht="15" hidden="false" customHeight="false" outlineLevel="0" collapsed="false">
      <c r="A5940" s="6" t="s">
        <v>11164</v>
      </c>
      <c r="B5940" s="6" t="s">
        <v>3735</v>
      </c>
      <c r="C5940" s="26" t="n">
        <v>46205</v>
      </c>
      <c r="D5940" s="6" t="s">
        <v>5171</v>
      </c>
      <c r="E5940" s="6" t="s">
        <v>23</v>
      </c>
      <c r="F5940" s="6" t="n">
        <v>3</v>
      </c>
      <c r="G5940" s="10" t="n">
        <v>734</v>
      </c>
      <c r="H5940" s="10" t="n">
        <f aca="false">F5940*G5940</f>
        <v>2202</v>
      </c>
      <c r="I5940" s="6" t="s">
        <v>5122</v>
      </c>
    </row>
    <row r="5941" customFormat="false" ht="15" hidden="false" customHeight="false" outlineLevel="0" collapsed="false">
      <c r="A5941" s="6" t="s">
        <v>11165</v>
      </c>
      <c r="B5941" s="6" t="s">
        <v>3371</v>
      </c>
      <c r="C5941" s="26" t="n">
        <v>46205</v>
      </c>
      <c r="D5941" s="6" t="s">
        <v>5175</v>
      </c>
      <c r="E5941" s="6" t="s">
        <v>24</v>
      </c>
      <c r="F5941" s="6" t="n">
        <v>1</v>
      </c>
      <c r="G5941" s="10" t="n">
        <v>550</v>
      </c>
      <c r="H5941" s="10" t="n">
        <f aca="false">F5941*G5941</f>
        <v>550</v>
      </c>
      <c r="I5941" s="6" t="s">
        <v>5122</v>
      </c>
    </row>
    <row r="5942" customFormat="false" ht="15" hidden="false" customHeight="false" outlineLevel="0" collapsed="false">
      <c r="A5942" s="6" t="s">
        <v>11166</v>
      </c>
      <c r="B5942" s="6" t="s">
        <v>1473</v>
      </c>
      <c r="C5942" s="26" t="n">
        <v>46205</v>
      </c>
      <c r="D5942" s="6" t="s">
        <v>5165</v>
      </c>
      <c r="E5942" s="6" t="s">
        <v>22</v>
      </c>
      <c r="F5942" s="6" t="n">
        <v>1</v>
      </c>
      <c r="G5942" s="10" t="n">
        <v>928</v>
      </c>
      <c r="H5942" s="10" t="n">
        <f aca="false">F5942*G5942</f>
        <v>928</v>
      </c>
      <c r="I5942" s="6" t="s">
        <v>5148</v>
      </c>
    </row>
    <row r="5943" customFormat="false" ht="15" hidden="false" customHeight="false" outlineLevel="0" collapsed="false">
      <c r="A5943" s="6" t="s">
        <v>11167</v>
      </c>
      <c r="B5943" s="6" t="s">
        <v>1471</v>
      </c>
      <c r="C5943" s="26" t="n">
        <v>46205</v>
      </c>
      <c r="D5943" s="6" t="s">
        <v>5185</v>
      </c>
      <c r="E5943" s="6" t="s">
        <v>24</v>
      </c>
      <c r="F5943" s="6" t="n">
        <v>1</v>
      </c>
      <c r="G5943" s="10" t="n">
        <v>2140</v>
      </c>
      <c r="H5943" s="10" t="n">
        <f aca="false">F5943*G5943</f>
        <v>2140</v>
      </c>
      <c r="I5943" s="6" t="s">
        <v>5148</v>
      </c>
    </row>
    <row r="5944" customFormat="false" ht="15" hidden="false" customHeight="false" outlineLevel="0" collapsed="false">
      <c r="A5944" s="6" t="s">
        <v>11168</v>
      </c>
      <c r="B5944" s="6" t="s">
        <v>2837</v>
      </c>
      <c r="C5944" s="26" t="n">
        <v>46205</v>
      </c>
      <c r="D5944" s="6" t="s">
        <v>5121</v>
      </c>
      <c r="E5944" s="6" t="s">
        <v>22</v>
      </c>
      <c r="F5944" s="6" t="n">
        <v>2</v>
      </c>
      <c r="G5944" s="10" t="n">
        <v>880</v>
      </c>
      <c r="H5944" s="10" t="n">
        <f aca="false">F5944*G5944</f>
        <v>1760</v>
      </c>
      <c r="I5944" s="6" t="s">
        <v>5148</v>
      </c>
    </row>
    <row r="5945" customFormat="false" ht="15" hidden="false" customHeight="false" outlineLevel="0" collapsed="false">
      <c r="A5945" s="6" t="s">
        <v>11169</v>
      </c>
      <c r="B5945" s="6" t="s">
        <v>2909</v>
      </c>
      <c r="C5945" s="26" t="n">
        <v>46205</v>
      </c>
      <c r="D5945" s="6" t="s">
        <v>5235</v>
      </c>
      <c r="E5945" s="6" t="s">
        <v>21</v>
      </c>
      <c r="F5945" s="6" t="n">
        <v>2</v>
      </c>
      <c r="G5945" s="10" t="n">
        <v>1503</v>
      </c>
      <c r="H5945" s="10" t="n">
        <f aca="false">F5945*G5945</f>
        <v>3006</v>
      </c>
      <c r="I5945" s="6" t="s">
        <v>5122</v>
      </c>
    </row>
    <row r="5946" customFormat="false" ht="15" hidden="false" customHeight="false" outlineLevel="0" collapsed="false">
      <c r="A5946" s="6" t="s">
        <v>11170</v>
      </c>
      <c r="B5946" s="6" t="s">
        <v>2515</v>
      </c>
      <c r="C5946" s="26" t="n">
        <v>46205</v>
      </c>
      <c r="D5946" s="6" t="s">
        <v>5171</v>
      </c>
      <c r="E5946" s="6" t="s">
        <v>23</v>
      </c>
      <c r="F5946" s="6" t="n">
        <v>3</v>
      </c>
      <c r="G5946" s="10" t="n">
        <v>697</v>
      </c>
      <c r="H5946" s="10" t="n">
        <f aca="false">F5946*G5946</f>
        <v>2091</v>
      </c>
      <c r="I5946" s="6" t="s">
        <v>5148</v>
      </c>
    </row>
    <row r="5947" customFormat="false" ht="15" hidden="false" customHeight="false" outlineLevel="0" collapsed="false">
      <c r="A5947" s="6" t="s">
        <v>11171</v>
      </c>
      <c r="B5947" s="6" t="s">
        <v>5073</v>
      </c>
      <c r="C5947" s="26" t="n">
        <v>46205</v>
      </c>
      <c r="D5947" s="6" t="s">
        <v>5200</v>
      </c>
      <c r="E5947" s="6" t="s">
        <v>24</v>
      </c>
      <c r="F5947" s="6" t="n">
        <v>2</v>
      </c>
      <c r="G5947" s="10" t="n">
        <v>725</v>
      </c>
      <c r="H5947" s="10" t="n">
        <f aca="false">F5947*G5947</f>
        <v>1450</v>
      </c>
      <c r="I5947" s="6" t="s">
        <v>5122</v>
      </c>
    </row>
    <row r="5948" customFormat="false" ht="15" hidden="false" customHeight="false" outlineLevel="0" collapsed="false">
      <c r="A5948" s="6" t="s">
        <v>11172</v>
      </c>
      <c r="B5948" s="6" t="s">
        <v>3773</v>
      </c>
      <c r="C5948" s="26" t="n">
        <v>46205</v>
      </c>
      <c r="D5948" s="6" t="s">
        <v>5237</v>
      </c>
      <c r="E5948" s="6" t="s">
        <v>24</v>
      </c>
      <c r="F5948" s="6" t="n">
        <v>2</v>
      </c>
      <c r="G5948" s="10" t="n">
        <v>1833</v>
      </c>
      <c r="H5948" s="10" t="n">
        <f aca="false">F5948*G5948</f>
        <v>3666</v>
      </c>
      <c r="I5948" s="6" t="s">
        <v>5148</v>
      </c>
    </row>
    <row r="5949" customFormat="false" ht="15" hidden="false" customHeight="false" outlineLevel="0" collapsed="false">
      <c r="A5949" s="6" t="s">
        <v>11173</v>
      </c>
      <c r="B5949" s="6" t="s">
        <v>3035</v>
      </c>
      <c r="C5949" s="26" t="n">
        <v>46205</v>
      </c>
      <c r="D5949" s="6" t="s">
        <v>5141</v>
      </c>
      <c r="E5949" s="6" t="s">
        <v>20</v>
      </c>
      <c r="F5949" s="6" t="n">
        <v>1</v>
      </c>
      <c r="G5949" s="10" t="n">
        <v>1835</v>
      </c>
      <c r="H5949" s="10" t="n">
        <f aca="false">F5949*G5949</f>
        <v>1835</v>
      </c>
      <c r="I5949" s="6" t="s">
        <v>5122</v>
      </c>
    </row>
    <row r="5950" customFormat="false" ht="15" hidden="false" customHeight="false" outlineLevel="0" collapsed="false">
      <c r="A5950" s="6" t="s">
        <v>11174</v>
      </c>
      <c r="B5950" s="6" t="s">
        <v>1027</v>
      </c>
      <c r="C5950" s="26" t="n">
        <v>46205</v>
      </c>
      <c r="D5950" s="6" t="s">
        <v>5357</v>
      </c>
      <c r="E5950" s="6" t="s">
        <v>23</v>
      </c>
      <c r="F5950" s="6" t="n">
        <v>2</v>
      </c>
      <c r="G5950" s="10" t="n">
        <v>534</v>
      </c>
      <c r="H5950" s="10" t="n">
        <f aca="false">F5950*G5950</f>
        <v>1068</v>
      </c>
      <c r="I5950" s="6" t="s">
        <v>5122</v>
      </c>
    </row>
    <row r="5951" customFormat="false" ht="15" hidden="false" customHeight="false" outlineLevel="0" collapsed="false">
      <c r="A5951" s="6" t="s">
        <v>11175</v>
      </c>
      <c r="B5951" s="6" t="s">
        <v>1643</v>
      </c>
      <c r="C5951" s="26" t="n">
        <v>46205</v>
      </c>
      <c r="D5951" s="6" t="s">
        <v>5240</v>
      </c>
      <c r="E5951" s="6" t="s">
        <v>20</v>
      </c>
      <c r="F5951" s="6" t="n">
        <v>1</v>
      </c>
      <c r="G5951" s="10" t="n">
        <v>5098</v>
      </c>
      <c r="H5951" s="10" t="n">
        <f aca="false">F5951*G5951</f>
        <v>5098</v>
      </c>
      <c r="I5951" s="6" t="s">
        <v>5125</v>
      </c>
    </row>
    <row r="5952" customFormat="false" ht="15" hidden="false" customHeight="false" outlineLevel="0" collapsed="false">
      <c r="A5952" s="6" t="s">
        <v>11176</v>
      </c>
      <c r="B5952" s="6" t="s">
        <v>1163</v>
      </c>
      <c r="C5952" s="26" t="n">
        <v>46205</v>
      </c>
      <c r="D5952" s="6" t="s">
        <v>5154</v>
      </c>
      <c r="E5952" s="6" t="s">
        <v>21</v>
      </c>
      <c r="F5952" s="6" t="n">
        <v>2</v>
      </c>
      <c r="G5952" s="10" t="n">
        <v>785</v>
      </c>
      <c r="H5952" s="10" t="n">
        <f aca="false">F5952*G5952</f>
        <v>1570</v>
      </c>
      <c r="I5952" s="6" t="s">
        <v>5122</v>
      </c>
    </row>
    <row r="5953" customFormat="false" ht="15" hidden="false" customHeight="false" outlineLevel="0" collapsed="false">
      <c r="A5953" s="6" t="s">
        <v>11177</v>
      </c>
      <c r="B5953" s="6" t="s">
        <v>3501</v>
      </c>
      <c r="C5953" s="26" t="n">
        <v>46205</v>
      </c>
      <c r="D5953" s="6" t="s">
        <v>5185</v>
      </c>
      <c r="E5953" s="6" t="s">
        <v>24</v>
      </c>
      <c r="F5953" s="6" t="n">
        <v>1</v>
      </c>
      <c r="G5953" s="10" t="n">
        <v>2140</v>
      </c>
      <c r="H5953" s="10" t="n">
        <f aca="false">F5953*G5953</f>
        <v>2140</v>
      </c>
      <c r="I5953" s="6" t="s">
        <v>5148</v>
      </c>
    </row>
    <row r="5954" customFormat="false" ht="15" hidden="false" customHeight="false" outlineLevel="0" collapsed="false">
      <c r="A5954" s="6" t="s">
        <v>11178</v>
      </c>
      <c r="B5954" s="6" t="s">
        <v>2549</v>
      </c>
      <c r="C5954" s="26" t="n">
        <v>46205</v>
      </c>
      <c r="D5954" s="6" t="s">
        <v>5121</v>
      </c>
      <c r="E5954" s="6" t="s">
        <v>22</v>
      </c>
      <c r="F5954" s="6" t="n">
        <v>3</v>
      </c>
      <c r="G5954" s="10" t="n">
        <v>977</v>
      </c>
      <c r="H5954" s="10" t="n">
        <f aca="false">F5954*G5954</f>
        <v>2931</v>
      </c>
      <c r="I5954" s="6" t="s">
        <v>5130</v>
      </c>
    </row>
    <row r="5955" customFormat="false" ht="15" hidden="false" customHeight="false" outlineLevel="0" collapsed="false">
      <c r="A5955" s="6" t="s">
        <v>11179</v>
      </c>
      <c r="B5955" s="6" t="s">
        <v>2001</v>
      </c>
      <c r="C5955" s="26" t="n">
        <v>46205</v>
      </c>
      <c r="D5955" s="6" t="s">
        <v>5165</v>
      </c>
      <c r="E5955" s="6" t="s">
        <v>22</v>
      </c>
      <c r="F5955" s="6" t="n">
        <v>1</v>
      </c>
      <c r="G5955" s="10" t="n">
        <v>880</v>
      </c>
      <c r="H5955" s="10" t="n">
        <f aca="false">F5955*G5955</f>
        <v>880</v>
      </c>
      <c r="I5955" s="6" t="s">
        <v>5122</v>
      </c>
    </row>
    <row r="5956" customFormat="false" ht="15" hidden="false" customHeight="false" outlineLevel="0" collapsed="false">
      <c r="A5956" s="6" t="s">
        <v>11180</v>
      </c>
      <c r="B5956" s="6" t="s">
        <v>1081</v>
      </c>
      <c r="C5956" s="26" t="n">
        <v>46205</v>
      </c>
      <c r="D5956" s="6" t="s">
        <v>5318</v>
      </c>
      <c r="E5956" s="6" t="s">
        <v>20</v>
      </c>
      <c r="F5956" s="6" t="n">
        <v>1</v>
      </c>
      <c r="G5956" s="10" t="n">
        <v>1452</v>
      </c>
      <c r="H5956" s="10" t="n">
        <f aca="false">F5956*G5956</f>
        <v>1452</v>
      </c>
      <c r="I5956" s="6" t="s">
        <v>5122</v>
      </c>
    </row>
    <row r="5957" customFormat="false" ht="15" hidden="false" customHeight="false" outlineLevel="0" collapsed="false">
      <c r="A5957" s="6" t="s">
        <v>11181</v>
      </c>
      <c r="B5957" s="6" t="s">
        <v>1825</v>
      </c>
      <c r="C5957" s="26" t="n">
        <v>46205</v>
      </c>
      <c r="D5957" s="6" t="s">
        <v>5200</v>
      </c>
      <c r="E5957" s="6" t="s">
        <v>24</v>
      </c>
      <c r="F5957" s="6" t="n">
        <v>1</v>
      </c>
      <c r="G5957" s="10" t="n">
        <v>764</v>
      </c>
      <c r="H5957" s="10" t="n">
        <f aca="false">F5957*G5957</f>
        <v>764</v>
      </c>
      <c r="I5957" s="6" t="s">
        <v>5125</v>
      </c>
    </row>
    <row r="5958" customFormat="false" ht="15" hidden="false" customHeight="false" outlineLevel="0" collapsed="false">
      <c r="A5958" s="6" t="s">
        <v>11182</v>
      </c>
      <c r="B5958" s="6" t="s">
        <v>2911</v>
      </c>
      <c r="C5958" s="26" t="n">
        <v>46205</v>
      </c>
      <c r="D5958" s="6" t="s">
        <v>5232</v>
      </c>
      <c r="E5958" s="6" t="s">
        <v>23</v>
      </c>
      <c r="F5958" s="6" t="n">
        <v>3</v>
      </c>
      <c r="G5958" s="10" t="n">
        <v>195</v>
      </c>
      <c r="H5958" s="10" t="n">
        <f aca="false">F5958*G5958</f>
        <v>585</v>
      </c>
      <c r="I5958" s="6" t="s">
        <v>5122</v>
      </c>
    </row>
    <row r="5959" customFormat="false" ht="15" hidden="false" customHeight="false" outlineLevel="0" collapsed="false">
      <c r="A5959" s="6" t="s">
        <v>11183</v>
      </c>
      <c r="B5959" s="6" t="s">
        <v>879</v>
      </c>
      <c r="C5959" s="26" t="n">
        <v>46205</v>
      </c>
      <c r="D5959" s="6" t="s">
        <v>5345</v>
      </c>
      <c r="E5959" s="6" t="s">
        <v>23</v>
      </c>
      <c r="F5959" s="6" t="n">
        <v>1</v>
      </c>
      <c r="G5959" s="10" t="n">
        <v>435</v>
      </c>
      <c r="H5959" s="10" t="n">
        <f aca="false">F5959*G5959</f>
        <v>435</v>
      </c>
      <c r="I5959" s="6" t="s">
        <v>5122</v>
      </c>
    </row>
    <row r="5960" customFormat="false" ht="15" hidden="false" customHeight="false" outlineLevel="0" collapsed="false">
      <c r="A5960" s="6" t="s">
        <v>11184</v>
      </c>
      <c r="B5960" s="6" t="s">
        <v>3163</v>
      </c>
      <c r="C5960" s="26" t="n">
        <v>46205</v>
      </c>
      <c r="D5960" s="6" t="s">
        <v>5345</v>
      </c>
      <c r="E5960" s="6" t="s">
        <v>23</v>
      </c>
      <c r="F5960" s="6" t="n">
        <v>5</v>
      </c>
      <c r="G5960" s="10" t="n">
        <v>436</v>
      </c>
      <c r="H5960" s="10" t="n">
        <f aca="false">F5960*G5960</f>
        <v>2180</v>
      </c>
      <c r="I5960" s="6" t="s">
        <v>5148</v>
      </c>
    </row>
    <row r="5961" customFormat="false" ht="15" hidden="false" customHeight="false" outlineLevel="0" collapsed="false">
      <c r="A5961" s="6" t="s">
        <v>11185</v>
      </c>
      <c r="B5961" s="6" t="s">
        <v>4581</v>
      </c>
      <c r="C5961" s="26" t="n">
        <v>46205</v>
      </c>
      <c r="D5961" s="6" t="s">
        <v>5277</v>
      </c>
      <c r="E5961" s="6" t="s">
        <v>22</v>
      </c>
      <c r="F5961" s="6" t="n">
        <v>3</v>
      </c>
      <c r="G5961" s="10" t="n">
        <v>2738</v>
      </c>
      <c r="H5961" s="10" t="n">
        <f aca="false">F5961*G5961</f>
        <v>8214</v>
      </c>
      <c r="I5961" s="6" t="s">
        <v>5122</v>
      </c>
    </row>
    <row r="5962" customFormat="false" ht="15" hidden="false" customHeight="false" outlineLevel="0" collapsed="false">
      <c r="A5962" s="6" t="s">
        <v>11186</v>
      </c>
      <c r="B5962" s="6" t="s">
        <v>4445</v>
      </c>
      <c r="C5962" s="26" t="n">
        <v>46205</v>
      </c>
      <c r="D5962" s="6" t="s">
        <v>5200</v>
      </c>
      <c r="E5962" s="6" t="s">
        <v>24</v>
      </c>
      <c r="F5962" s="6" t="n">
        <v>3</v>
      </c>
      <c r="G5962" s="10" t="n">
        <v>725</v>
      </c>
      <c r="H5962" s="10" t="n">
        <f aca="false">F5962*G5962</f>
        <v>2175</v>
      </c>
      <c r="I5962" s="6" t="s">
        <v>5130</v>
      </c>
    </row>
    <row r="5963" customFormat="false" ht="15" hidden="false" customHeight="false" outlineLevel="0" collapsed="false">
      <c r="A5963" s="6" t="s">
        <v>11187</v>
      </c>
      <c r="B5963" s="6" t="s">
        <v>2753</v>
      </c>
      <c r="C5963" s="26" t="n">
        <v>46205</v>
      </c>
      <c r="D5963" s="6" t="s">
        <v>5207</v>
      </c>
      <c r="E5963" s="6" t="s">
        <v>20</v>
      </c>
      <c r="F5963" s="6" t="n">
        <v>2</v>
      </c>
      <c r="G5963" s="10" t="n">
        <v>1325</v>
      </c>
      <c r="H5963" s="10" t="n">
        <f aca="false">F5963*G5963</f>
        <v>2650</v>
      </c>
      <c r="I5963" s="6" t="s">
        <v>5122</v>
      </c>
    </row>
    <row r="5964" customFormat="false" ht="15" hidden="false" customHeight="false" outlineLevel="0" collapsed="false">
      <c r="A5964" s="6" t="s">
        <v>11188</v>
      </c>
      <c r="B5964" s="6" t="s">
        <v>3233</v>
      </c>
      <c r="C5964" s="26" t="n">
        <v>46205</v>
      </c>
      <c r="D5964" s="6" t="s">
        <v>5292</v>
      </c>
      <c r="E5964" s="6" t="s">
        <v>21</v>
      </c>
      <c r="F5964" s="6" t="n">
        <v>1</v>
      </c>
      <c r="G5964" s="10" t="n">
        <v>6536</v>
      </c>
      <c r="H5964" s="10" t="n">
        <f aca="false">F5964*G5964</f>
        <v>6536</v>
      </c>
      <c r="I5964" s="6" t="s">
        <v>5122</v>
      </c>
    </row>
    <row r="5965" customFormat="false" ht="15" hidden="false" customHeight="false" outlineLevel="0" collapsed="false">
      <c r="A5965" s="6" t="s">
        <v>11189</v>
      </c>
      <c r="B5965" s="6" t="s">
        <v>485</v>
      </c>
      <c r="C5965" s="26" t="n">
        <v>46205</v>
      </c>
      <c r="D5965" s="6" t="s">
        <v>5147</v>
      </c>
      <c r="E5965" s="6" t="s">
        <v>24</v>
      </c>
      <c r="F5965" s="6" t="n">
        <v>1</v>
      </c>
      <c r="G5965" s="10" t="n">
        <v>661</v>
      </c>
      <c r="H5965" s="10" t="n">
        <f aca="false">F5965*G5965</f>
        <v>661</v>
      </c>
      <c r="I5965" s="6" t="s">
        <v>5122</v>
      </c>
    </row>
    <row r="5966" customFormat="false" ht="15" hidden="false" customHeight="false" outlineLevel="0" collapsed="false">
      <c r="A5966" s="6" t="s">
        <v>11190</v>
      </c>
      <c r="B5966" s="6" t="s">
        <v>1309</v>
      </c>
      <c r="C5966" s="26" t="n">
        <v>46205</v>
      </c>
      <c r="D5966" s="6" t="s">
        <v>5121</v>
      </c>
      <c r="E5966" s="6" t="s">
        <v>22</v>
      </c>
      <c r="F5966" s="6" t="n">
        <v>1</v>
      </c>
      <c r="G5966" s="10" t="n">
        <v>977</v>
      </c>
      <c r="H5966" s="10" t="n">
        <f aca="false">F5966*G5966</f>
        <v>977</v>
      </c>
      <c r="I5966" s="6" t="s">
        <v>5125</v>
      </c>
    </row>
    <row r="5967" customFormat="false" ht="15" hidden="false" customHeight="false" outlineLevel="0" collapsed="false">
      <c r="A5967" s="6" t="s">
        <v>11191</v>
      </c>
      <c r="B5967" s="6" t="s">
        <v>4829</v>
      </c>
      <c r="C5967" s="26" t="n">
        <v>46205</v>
      </c>
      <c r="D5967" s="6" t="s">
        <v>5129</v>
      </c>
      <c r="E5967" s="6" t="s">
        <v>21</v>
      </c>
      <c r="F5967" s="6" t="n">
        <v>1</v>
      </c>
      <c r="G5967" s="10" t="n">
        <v>530</v>
      </c>
      <c r="H5967" s="10" t="n">
        <f aca="false">F5967*G5967</f>
        <v>530</v>
      </c>
      <c r="I5967" s="6" t="s">
        <v>5122</v>
      </c>
    </row>
    <row r="5968" customFormat="false" ht="15" hidden="false" customHeight="false" outlineLevel="0" collapsed="false">
      <c r="A5968" s="6" t="s">
        <v>11192</v>
      </c>
      <c r="B5968" s="6" t="s">
        <v>1345</v>
      </c>
      <c r="C5968" s="26" t="n">
        <v>46205</v>
      </c>
      <c r="D5968" s="6" t="s">
        <v>5167</v>
      </c>
      <c r="E5968" s="6" t="s">
        <v>22</v>
      </c>
      <c r="F5968" s="6" t="n">
        <v>1</v>
      </c>
      <c r="G5968" s="10" t="n">
        <v>743</v>
      </c>
      <c r="H5968" s="10" t="n">
        <f aca="false">F5968*G5968</f>
        <v>743</v>
      </c>
      <c r="I5968" s="6" t="s">
        <v>5130</v>
      </c>
    </row>
    <row r="5969" customFormat="false" ht="15" hidden="false" customHeight="false" outlineLevel="0" collapsed="false">
      <c r="A5969" s="6" t="s">
        <v>11193</v>
      </c>
      <c r="B5969" s="6" t="s">
        <v>2421</v>
      </c>
      <c r="C5969" s="26" t="n">
        <v>46205</v>
      </c>
      <c r="D5969" s="6" t="s">
        <v>5197</v>
      </c>
      <c r="E5969" s="6" t="s">
        <v>21</v>
      </c>
      <c r="F5969" s="6" t="n">
        <v>1</v>
      </c>
      <c r="G5969" s="10" t="n">
        <v>1080</v>
      </c>
      <c r="H5969" s="10" t="n">
        <f aca="false">F5969*G5969</f>
        <v>1080</v>
      </c>
      <c r="I5969" s="6" t="s">
        <v>5122</v>
      </c>
    </row>
    <row r="5970" customFormat="false" ht="15" hidden="false" customHeight="false" outlineLevel="0" collapsed="false">
      <c r="A5970" s="6" t="s">
        <v>11194</v>
      </c>
      <c r="B5970" s="6" t="s">
        <v>250</v>
      </c>
      <c r="C5970" s="26" t="n">
        <v>46205</v>
      </c>
      <c r="D5970" s="6" t="s">
        <v>5458</v>
      </c>
      <c r="E5970" s="6" t="s">
        <v>24</v>
      </c>
      <c r="F5970" s="6" t="n">
        <v>2</v>
      </c>
      <c r="G5970" s="10" t="n">
        <v>503</v>
      </c>
      <c r="H5970" s="10" t="n">
        <f aca="false">F5970*G5970</f>
        <v>1006</v>
      </c>
      <c r="I5970" s="6" t="s">
        <v>5130</v>
      </c>
    </row>
    <row r="5971" customFormat="false" ht="15" hidden="false" customHeight="false" outlineLevel="0" collapsed="false">
      <c r="A5971" s="6" t="s">
        <v>11195</v>
      </c>
      <c r="B5971" s="6" t="s">
        <v>2415</v>
      </c>
      <c r="C5971" s="26" t="n">
        <v>46205</v>
      </c>
      <c r="D5971" s="6" t="s">
        <v>5226</v>
      </c>
      <c r="E5971" s="6" t="s">
        <v>24</v>
      </c>
      <c r="F5971" s="6" t="n">
        <v>3</v>
      </c>
      <c r="G5971" s="10" t="n">
        <v>457</v>
      </c>
      <c r="H5971" s="10" t="n">
        <f aca="false">F5971*G5971</f>
        <v>1371</v>
      </c>
      <c r="I5971" s="6" t="s">
        <v>5130</v>
      </c>
    </row>
    <row r="5972" customFormat="false" ht="15" hidden="false" customHeight="false" outlineLevel="0" collapsed="false">
      <c r="A5972" s="6" t="s">
        <v>11196</v>
      </c>
      <c r="B5972" s="6" t="s">
        <v>1463</v>
      </c>
      <c r="C5972" s="26" t="n">
        <v>46205</v>
      </c>
      <c r="D5972" s="6" t="s">
        <v>5121</v>
      </c>
      <c r="E5972" s="6" t="s">
        <v>22</v>
      </c>
      <c r="F5972" s="6" t="n">
        <v>1</v>
      </c>
      <c r="G5972" s="10" t="n">
        <v>977</v>
      </c>
      <c r="H5972" s="10" t="n">
        <f aca="false">F5972*G5972</f>
        <v>977</v>
      </c>
      <c r="I5972" s="6" t="s">
        <v>5133</v>
      </c>
    </row>
    <row r="5973" customFormat="false" ht="15" hidden="false" customHeight="false" outlineLevel="0" collapsed="false">
      <c r="A5973" s="6" t="s">
        <v>11197</v>
      </c>
      <c r="B5973" s="6" t="s">
        <v>709</v>
      </c>
      <c r="C5973" s="26" t="n">
        <v>46205</v>
      </c>
      <c r="D5973" s="6" t="s">
        <v>5357</v>
      </c>
      <c r="E5973" s="6" t="s">
        <v>23</v>
      </c>
      <c r="F5973" s="6" t="n">
        <v>2</v>
      </c>
      <c r="G5973" s="10" t="n">
        <v>534</v>
      </c>
      <c r="H5973" s="10" t="n">
        <f aca="false">F5973*G5973</f>
        <v>1068</v>
      </c>
      <c r="I5973" s="6" t="s">
        <v>5122</v>
      </c>
    </row>
    <row r="5974" customFormat="false" ht="15" hidden="false" customHeight="false" outlineLevel="0" collapsed="false">
      <c r="A5974" s="6" t="s">
        <v>11198</v>
      </c>
      <c r="B5974" s="6" t="s">
        <v>1481</v>
      </c>
      <c r="C5974" s="26" t="n">
        <v>46206</v>
      </c>
      <c r="D5974" s="6" t="s">
        <v>5237</v>
      </c>
      <c r="E5974" s="6" t="s">
        <v>24</v>
      </c>
      <c r="F5974" s="6" t="n">
        <v>1</v>
      </c>
      <c r="G5974" s="10" t="n">
        <v>1833</v>
      </c>
      <c r="H5974" s="10" t="n">
        <f aca="false">F5974*G5974</f>
        <v>1833</v>
      </c>
      <c r="I5974" s="6" t="s">
        <v>5122</v>
      </c>
    </row>
    <row r="5975" customFormat="false" ht="15" hidden="false" customHeight="false" outlineLevel="0" collapsed="false">
      <c r="A5975" s="6" t="s">
        <v>11199</v>
      </c>
      <c r="B5975" s="6" t="s">
        <v>4431</v>
      </c>
      <c r="C5975" s="26" t="n">
        <v>46206</v>
      </c>
      <c r="D5975" s="6" t="s">
        <v>5281</v>
      </c>
      <c r="E5975" s="6" t="s">
        <v>24</v>
      </c>
      <c r="F5975" s="6" t="n">
        <v>1</v>
      </c>
      <c r="G5975" s="10" t="n">
        <v>773</v>
      </c>
      <c r="H5975" s="10" t="n">
        <f aca="false">F5975*G5975</f>
        <v>773</v>
      </c>
      <c r="I5975" s="6" t="s">
        <v>5125</v>
      </c>
    </row>
    <row r="5976" customFormat="false" ht="15" hidden="false" customHeight="false" outlineLevel="0" collapsed="false">
      <c r="A5976" s="6" t="s">
        <v>11200</v>
      </c>
      <c r="B5976" s="6" t="s">
        <v>3659</v>
      </c>
      <c r="C5976" s="26" t="n">
        <v>46206</v>
      </c>
      <c r="D5976" s="6" t="s">
        <v>5226</v>
      </c>
      <c r="E5976" s="6" t="s">
        <v>24</v>
      </c>
      <c r="F5976" s="6" t="n">
        <v>1</v>
      </c>
      <c r="G5976" s="10" t="n">
        <v>458</v>
      </c>
      <c r="H5976" s="10" t="n">
        <f aca="false">F5976*G5976</f>
        <v>458</v>
      </c>
      <c r="I5976" s="6" t="s">
        <v>5148</v>
      </c>
    </row>
    <row r="5977" customFormat="false" ht="15" hidden="false" customHeight="false" outlineLevel="0" collapsed="false">
      <c r="A5977" s="6" t="s">
        <v>11201</v>
      </c>
      <c r="B5977" s="6" t="s">
        <v>1203</v>
      </c>
      <c r="C5977" s="26" t="n">
        <v>46206</v>
      </c>
      <c r="D5977" s="6" t="s">
        <v>5466</v>
      </c>
      <c r="E5977" s="6" t="s">
        <v>21</v>
      </c>
      <c r="F5977" s="6" t="n">
        <v>1</v>
      </c>
      <c r="G5977" s="10" t="n">
        <v>1768</v>
      </c>
      <c r="H5977" s="10" t="n">
        <f aca="false">F5977*G5977</f>
        <v>1768</v>
      </c>
      <c r="I5977" s="6" t="s">
        <v>5122</v>
      </c>
    </row>
    <row r="5978" customFormat="false" ht="15" hidden="false" customHeight="false" outlineLevel="0" collapsed="false">
      <c r="A5978" s="6" t="s">
        <v>11202</v>
      </c>
      <c r="B5978" s="6" t="s">
        <v>541</v>
      </c>
      <c r="C5978" s="26" t="n">
        <v>46206</v>
      </c>
      <c r="D5978" s="6" t="s">
        <v>5707</v>
      </c>
      <c r="E5978" s="6" t="s">
        <v>22</v>
      </c>
      <c r="F5978" s="6" t="n">
        <v>1</v>
      </c>
      <c r="G5978" s="10" t="n">
        <v>2445</v>
      </c>
      <c r="H5978" s="10" t="n">
        <f aca="false">F5978*G5978</f>
        <v>2445</v>
      </c>
      <c r="I5978" s="6" t="s">
        <v>5133</v>
      </c>
    </row>
    <row r="5979" customFormat="false" ht="15" hidden="false" customHeight="false" outlineLevel="0" collapsed="false">
      <c r="A5979" s="6" t="s">
        <v>11203</v>
      </c>
      <c r="B5979" s="6" t="s">
        <v>3275</v>
      </c>
      <c r="C5979" s="26" t="n">
        <v>46206</v>
      </c>
      <c r="D5979" s="6" t="s">
        <v>5167</v>
      </c>
      <c r="E5979" s="6" t="s">
        <v>22</v>
      </c>
      <c r="F5979" s="6" t="n">
        <v>2</v>
      </c>
      <c r="G5979" s="10" t="n">
        <v>743</v>
      </c>
      <c r="H5979" s="10" t="n">
        <f aca="false">F5979*G5979</f>
        <v>1486</v>
      </c>
      <c r="I5979" s="6" t="s">
        <v>5125</v>
      </c>
    </row>
    <row r="5980" customFormat="false" ht="15" hidden="false" customHeight="false" outlineLevel="0" collapsed="false">
      <c r="A5980" s="6" t="s">
        <v>11204</v>
      </c>
      <c r="B5980" s="6" t="s">
        <v>3129</v>
      </c>
      <c r="C5980" s="26" t="n">
        <v>46206</v>
      </c>
      <c r="D5980" s="6" t="s">
        <v>5224</v>
      </c>
      <c r="E5980" s="6" t="s">
        <v>23</v>
      </c>
      <c r="F5980" s="6" t="n">
        <v>5</v>
      </c>
      <c r="G5980" s="10" t="n">
        <v>195</v>
      </c>
      <c r="H5980" s="10" t="n">
        <f aca="false">F5980*G5980</f>
        <v>975</v>
      </c>
      <c r="I5980" s="6" t="s">
        <v>5148</v>
      </c>
    </row>
    <row r="5981" customFormat="false" ht="15" hidden="false" customHeight="false" outlineLevel="0" collapsed="false">
      <c r="A5981" s="6" t="s">
        <v>11205</v>
      </c>
      <c r="B5981" s="6" t="s">
        <v>4727</v>
      </c>
      <c r="C5981" s="26" t="n">
        <v>46206</v>
      </c>
      <c r="D5981" s="6" t="s">
        <v>5143</v>
      </c>
      <c r="E5981" s="6" t="s">
        <v>21</v>
      </c>
      <c r="F5981" s="6" t="n">
        <v>1</v>
      </c>
      <c r="G5981" s="10" t="n">
        <v>1061</v>
      </c>
      <c r="H5981" s="10" t="n">
        <f aca="false">F5981*G5981</f>
        <v>1061</v>
      </c>
      <c r="I5981" s="6" t="s">
        <v>5148</v>
      </c>
    </row>
    <row r="5982" customFormat="false" ht="15" hidden="false" customHeight="false" outlineLevel="0" collapsed="false">
      <c r="A5982" s="6" t="s">
        <v>11206</v>
      </c>
      <c r="B5982" s="6" t="s">
        <v>447</v>
      </c>
      <c r="C5982" s="26" t="n">
        <v>46206</v>
      </c>
      <c r="D5982" s="6" t="s">
        <v>5488</v>
      </c>
      <c r="E5982" s="6" t="s">
        <v>24</v>
      </c>
      <c r="F5982" s="6" t="n">
        <v>2</v>
      </c>
      <c r="G5982" s="10" t="n">
        <v>866</v>
      </c>
      <c r="H5982" s="10" t="n">
        <f aca="false">F5982*G5982</f>
        <v>1732</v>
      </c>
      <c r="I5982" s="6" t="s">
        <v>5130</v>
      </c>
    </row>
    <row r="5983" customFormat="false" ht="15" hidden="false" customHeight="false" outlineLevel="0" collapsed="false">
      <c r="A5983" s="6" t="s">
        <v>11207</v>
      </c>
      <c r="B5983" s="6" t="s">
        <v>174</v>
      </c>
      <c r="C5983" s="26" t="n">
        <v>46206</v>
      </c>
      <c r="D5983" s="6" t="s">
        <v>5160</v>
      </c>
      <c r="E5983" s="6" t="s">
        <v>21</v>
      </c>
      <c r="F5983" s="6" t="n">
        <v>2</v>
      </c>
      <c r="G5983" s="10" t="n">
        <v>2751</v>
      </c>
      <c r="H5983" s="10" t="n">
        <f aca="false">F5983*G5983</f>
        <v>5502</v>
      </c>
      <c r="I5983" s="6" t="s">
        <v>5125</v>
      </c>
    </row>
    <row r="5984" customFormat="false" ht="15" hidden="false" customHeight="false" outlineLevel="0" collapsed="false">
      <c r="A5984" s="6" t="s">
        <v>11208</v>
      </c>
      <c r="B5984" s="6" t="s">
        <v>2363</v>
      </c>
      <c r="C5984" s="26" t="n">
        <v>46206</v>
      </c>
      <c r="D5984" s="6" t="s">
        <v>5460</v>
      </c>
      <c r="E5984" s="6" t="s">
        <v>24</v>
      </c>
      <c r="F5984" s="6" t="n">
        <v>2</v>
      </c>
      <c r="G5984" s="10" t="n">
        <v>555</v>
      </c>
      <c r="H5984" s="10" t="n">
        <f aca="false">F5984*G5984</f>
        <v>1110</v>
      </c>
      <c r="I5984" s="6" t="s">
        <v>5122</v>
      </c>
    </row>
    <row r="5985" customFormat="false" ht="15" hidden="false" customHeight="false" outlineLevel="0" collapsed="false">
      <c r="A5985" s="6" t="s">
        <v>11209</v>
      </c>
      <c r="B5985" s="6" t="s">
        <v>443</v>
      </c>
      <c r="C5985" s="26" t="n">
        <v>46206</v>
      </c>
      <c r="D5985" s="6" t="s">
        <v>5167</v>
      </c>
      <c r="E5985" s="6" t="s">
        <v>22</v>
      </c>
      <c r="F5985" s="6" t="n">
        <v>2</v>
      </c>
      <c r="G5985" s="10" t="n">
        <v>782</v>
      </c>
      <c r="H5985" s="10" t="n">
        <f aca="false">F5985*G5985</f>
        <v>1564</v>
      </c>
      <c r="I5985" s="6" t="s">
        <v>5122</v>
      </c>
    </row>
    <row r="5986" customFormat="false" ht="15" hidden="false" customHeight="false" outlineLevel="0" collapsed="false">
      <c r="A5986" s="6" t="s">
        <v>11210</v>
      </c>
      <c r="B5986" s="6" t="s">
        <v>4847</v>
      </c>
      <c r="C5986" s="26" t="n">
        <v>46206</v>
      </c>
      <c r="D5986" s="6" t="s">
        <v>5163</v>
      </c>
      <c r="E5986" s="6" t="s">
        <v>23</v>
      </c>
      <c r="F5986" s="6" t="n">
        <v>4</v>
      </c>
      <c r="G5986" s="10" t="n">
        <v>783</v>
      </c>
      <c r="H5986" s="10" t="n">
        <f aca="false">F5986*G5986</f>
        <v>3132</v>
      </c>
      <c r="I5986" s="6" t="s">
        <v>5130</v>
      </c>
    </row>
    <row r="5987" customFormat="false" ht="15" hidden="false" customHeight="false" outlineLevel="0" collapsed="false">
      <c r="A5987" s="6" t="s">
        <v>11211</v>
      </c>
      <c r="B5987" s="6" t="s">
        <v>2345</v>
      </c>
      <c r="C5987" s="26" t="n">
        <v>46206</v>
      </c>
      <c r="D5987" s="6" t="s">
        <v>5180</v>
      </c>
      <c r="E5987" s="6" t="s">
        <v>24</v>
      </c>
      <c r="F5987" s="6" t="n">
        <v>3</v>
      </c>
      <c r="G5987" s="10" t="n">
        <v>1987</v>
      </c>
      <c r="H5987" s="10" t="n">
        <f aca="false">F5987*G5987</f>
        <v>5961</v>
      </c>
      <c r="I5987" s="6" t="s">
        <v>5130</v>
      </c>
    </row>
    <row r="5988" customFormat="false" ht="15" hidden="false" customHeight="false" outlineLevel="0" collapsed="false">
      <c r="A5988" s="6" t="s">
        <v>11212</v>
      </c>
      <c r="B5988" s="6" t="s">
        <v>4601</v>
      </c>
      <c r="C5988" s="26" t="n">
        <v>46206</v>
      </c>
      <c r="D5988" s="6" t="s">
        <v>5163</v>
      </c>
      <c r="E5988" s="6" t="s">
        <v>23</v>
      </c>
      <c r="F5988" s="6" t="n">
        <v>4</v>
      </c>
      <c r="G5988" s="10" t="n">
        <v>744</v>
      </c>
      <c r="H5988" s="10" t="n">
        <f aca="false">F5988*G5988</f>
        <v>2976</v>
      </c>
      <c r="I5988" s="6" t="s">
        <v>5122</v>
      </c>
    </row>
    <row r="5989" customFormat="false" ht="15" hidden="false" customHeight="false" outlineLevel="0" collapsed="false">
      <c r="A5989" s="6" t="s">
        <v>11213</v>
      </c>
      <c r="B5989" s="6" t="s">
        <v>3617</v>
      </c>
      <c r="C5989" s="26" t="n">
        <v>46206</v>
      </c>
      <c r="D5989" s="6" t="s">
        <v>5837</v>
      </c>
      <c r="E5989" s="6" t="s">
        <v>21</v>
      </c>
      <c r="F5989" s="6" t="n">
        <v>2</v>
      </c>
      <c r="G5989" s="10" t="n">
        <v>2948</v>
      </c>
      <c r="H5989" s="10" t="n">
        <f aca="false">F5989*G5989</f>
        <v>5896</v>
      </c>
      <c r="I5989" s="6" t="s">
        <v>5122</v>
      </c>
    </row>
    <row r="5990" customFormat="false" ht="15" hidden="false" customHeight="false" outlineLevel="0" collapsed="false">
      <c r="A5990" s="6" t="s">
        <v>11214</v>
      </c>
      <c r="B5990" s="6" t="s">
        <v>597</v>
      </c>
      <c r="C5990" s="26" t="n">
        <v>46206</v>
      </c>
      <c r="D5990" s="6" t="s">
        <v>5194</v>
      </c>
      <c r="E5990" s="6" t="s">
        <v>22</v>
      </c>
      <c r="F5990" s="6" t="n">
        <v>1</v>
      </c>
      <c r="G5990" s="10" t="n">
        <v>2151</v>
      </c>
      <c r="H5990" s="10" t="n">
        <f aca="false">F5990*G5990</f>
        <v>2151</v>
      </c>
      <c r="I5990" s="6" t="s">
        <v>5133</v>
      </c>
    </row>
    <row r="5991" customFormat="false" ht="15" hidden="false" customHeight="false" outlineLevel="0" collapsed="false">
      <c r="A5991" s="6" t="s">
        <v>11215</v>
      </c>
      <c r="B5991" s="6" t="s">
        <v>402</v>
      </c>
      <c r="C5991" s="26" t="n">
        <v>46206</v>
      </c>
      <c r="D5991" s="6" t="s">
        <v>5135</v>
      </c>
      <c r="E5991" s="6" t="s">
        <v>23</v>
      </c>
      <c r="F5991" s="6" t="n">
        <v>3</v>
      </c>
      <c r="G5991" s="10" t="n">
        <v>419</v>
      </c>
      <c r="H5991" s="10" t="n">
        <f aca="false">F5991*G5991</f>
        <v>1257</v>
      </c>
      <c r="I5991" s="6" t="s">
        <v>5148</v>
      </c>
    </row>
    <row r="5992" customFormat="false" ht="15" hidden="false" customHeight="false" outlineLevel="0" collapsed="false">
      <c r="A5992" s="6" t="s">
        <v>11216</v>
      </c>
      <c r="B5992" s="6" t="s">
        <v>4101</v>
      </c>
      <c r="C5992" s="26" t="n">
        <v>46206</v>
      </c>
      <c r="D5992" s="6" t="s">
        <v>5167</v>
      </c>
      <c r="E5992" s="6" t="s">
        <v>22</v>
      </c>
      <c r="F5992" s="6" t="n">
        <v>1</v>
      </c>
      <c r="G5992" s="10" t="n">
        <v>782</v>
      </c>
      <c r="H5992" s="10" t="n">
        <f aca="false">F5992*G5992</f>
        <v>782</v>
      </c>
      <c r="I5992" s="6" t="s">
        <v>5148</v>
      </c>
    </row>
    <row r="5993" customFormat="false" ht="15" hidden="false" customHeight="false" outlineLevel="0" collapsed="false">
      <c r="A5993" s="6" t="s">
        <v>11217</v>
      </c>
      <c r="B5993" s="6" t="s">
        <v>3073</v>
      </c>
      <c r="C5993" s="26" t="n">
        <v>46206</v>
      </c>
      <c r="D5993" s="6" t="s">
        <v>5345</v>
      </c>
      <c r="E5993" s="6" t="s">
        <v>23</v>
      </c>
      <c r="F5993" s="6" t="n">
        <v>5</v>
      </c>
      <c r="G5993" s="10" t="n">
        <v>414</v>
      </c>
      <c r="H5993" s="10" t="n">
        <f aca="false">F5993*G5993</f>
        <v>2070</v>
      </c>
      <c r="I5993" s="6" t="s">
        <v>5122</v>
      </c>
    </row>
    <row r="5994" customFormat="false" ht="15" hidden="false" customHeight="false" outlineLevel="0" collapsed="false">
      <c r="A5994" s="6" t="s">
        <v>11218</v>
      </c>
      <c r="B5994" s="6" t="s">
        <v>5007</v>
      </c>
      <c r="C5994" s="26" t="n">
        <v>46206</v>
      </c>
      <c r="D5994" s="6" t="s">
        <v>5383</v>
      </c>
      <c r="E5994" s="6" t="s">
        <v>20</v>
      </c>
      <c r="F5994" s="6" t="n">
        <v>1</v>
      </c>
      <c r="G5994" s="10" t="n">
        <v>1121</v>
      </c>
      <c r="H5994" s="10" t="n">
        <f aca="false">F5994*G5994</f>
        <v>1121</v>
      </c>
      <c r="I5994" s="6" t="s">
        <v>5148</v>
      </c>
    </row>
    <row r="5995" customFormat="false" ht="15" hidden="false" customHeight="false" outlineLevel="0" collapsed="false">
      <c r="A5995" s="6" t="s">
        <v>11219</v>
      </c>
      <c r="B5995" s="6" t="s">
        <v>613</v>
      </c>
      <c r="C5995" s="26" t="n">
        <v>46206</v>
      </c>
      <c r="D5995" s="6" t="s">
        <v>5121</v>
      </c>
      <c r="E5995" s="6" t="s">
        <v>22</v>
      </c>
      <c r="F5995" s="6" t="n">
        <v>2</v>
      </c>
      <c r="G5995" s="10" t="n">
        <v>977</v>
      </c>
      <c r="H5995" s="10" t="n">
        <f aca="false">F5995*G5995</f>
        <v>1954</v>
      </c>
      <c r="I5995" s="6" t="s">
        <v>5148</v>
      </c>
    </row>
    <row r="5996" customFormat="false" ht="15" hidden="false" customHeight="false" outlineLevel="0" collapsed="false">
      <c r="A5996" s="6" t="s">
        <v>11220</v>
      </c>
      <c r="B5996" s="6" t="s">
        <v>1437</v>
      </c>
      <c r="C5996" s="26" t="n">
        <v>46206</v>
      </c>
      <c r="D5996" s="6" t="s">
        <v>5129</v>
      </c>
      <c r="E5996" s="6" t="s">
        <v>21</v>
      </c>
      <c r="F5996" s="6" t="n">
        <v>1</v>
      </c>
      <c r="G5996" s="10" t="n">
        <v>559</v>
      </c>
      <c r="H5996" s="10" t="n">
        <f aca="false">F5996*G5996</f>
        <v>559</v>
      </c>
      <c r="I5996" s="6" t="s">
        <v>5122</v>
      </c>
    </row>
    <row r="5997" customFormat="false" ht="15" hidden="false" customHeight="false" outlineLevel="0" collapsed="false">
      <c r="A5997" s="6" t="s">
        <v>11221</v>
      </c>
      <c r="B5997" s="6" t="s">
        <v>4167</v>
      </c>
      <c r="C5997" s="26" t="n">
        <v>46206</v>
      </c>
      <c r="D5997" s="6" t="s">
        <v>5171</v>
      </c>
      <c r="E5997" s="6" t="s">
        <v>23</v>
      </c>
      <c r="F5997" s="6" t="n">
        <v>5</v>
      </c>
      <c r="G5997" s="10" t="n">
        <v>734</v>
      </c>
      <c r="H5997" s="10" t="n">
        <f aca="false">F5997*G5997</f>
        <v>3670</v>
      </c>
      <c r="I5997" s="6" t="s">
        <v>5122</v>
      </c>
    </row>
    <row r="5998" customFormat="false" ht="15" hidden="false" customHeight="false" outlineLevel="0" collapsed="false">
      <c r="A5998" s="6" t="s">
        <v>11222</v>
      </c>
      <c r="B5998" s="6" t="s">
        <v>793</v>
      </c>
      <c r="C5998" s="26" t="n">
        <v>46206</v>
      </c>
      <c r="D5998" s="6" t="s">
        <v>5127</v>
      </c>
      <c r="E5998" s="6" t="s">
        <v>21</v>
      </c>
      <c r="F5998" s="6" t="n">
        <v>3</v>
      </c>
      <c r="G5998" s="10" t="n">
        <v>884</v>
      </c>
      <c r="H5998" s="10" t="n">
        <f aca="false">F5998*G5998</f>
        <v>2652</v>
      </c>
      <c r="I5998" s="6" t="s">
        <v>5122</v>
      </c>
    </row>
    <row r="5999" customFormat="false" ht="15" hidden="false" customHeight="false" outlineLevel="0" collapsed="false">
      <c r="A5999" s="6" t="s">
        <v>11223</v>
      </c>
      <c r="B5999" s="6" t="s">
        <v>1331</v>
      </c>
      <c r="C5999" s="26" t="n">
        <v>46206</v>
      </c>
      <c r="D5999" s="6" t="s">
        <v>5192</v>
      </c>
      <c r="E5999" s="6" t="s">
        <v>20</v>
      </c>
      <c r="F5999" s="6" t="n">
        <v>1</v>
      </c>
      <c r="G5999" s="10" t="n">
        <v>3670</v>
      </c>
      <c r="H5999" s="10" t="n">
        <f aca="false">F5999*G5999</f>
        <v>3670</v>
      </c>
      <c r="I5999" s="6" t="s">
        <v>5133</v>
      </c>
    </row>
    <row r="6000" customFormat="false" ht="15" hidden="false" customHeight="false" outlineLevel="0" collapsed="false">
      <c r="A6000" s="6" t="s">
        <v>11224</v>
      </c>
      <c r="B6000" s="6" t="s">
        <v>4725</v>
      </c>
      <c r="C6000" s="26" t="n">
        <v>46206</v>
      </c>
      <c r="D6000" s="6" t="s">
        <v>5156</v>
      </c>
      <c r="E6000" s="6" t="s">
        <v>21</v>
      </c>
      <c r="F6000" s="6" t="n">
        <v>2</v>
      </c>
      <c r="G6000" s="10" t="n">
        <v>1945</v>
      </c>
      <c r="H6000" s="10" t="n">
        <f aca="false">F6000*G6000</f>
        <v>3890</v>
      </c>
      <c r="I6000" s="6" t="s">
        <v>5130</v>
      </c>
    </row>
    <row r="6001" customFormat="false" ht="15" hidden="false" customHeight="false" outlineLevel="0" collapsed="false">
      <c r="A6001" s="6" t="s">
        <v>11225</v>
      </c>
      <c r="B6001" s="6" t="s">
        <v>3079</v>
      </c>
      <c r="C6001" s="26" t="n">
        <v>46206</v>
      </c>
      <c r="D6001" s="6" t="s">
        <v>5410</v>
      </c>
      <c r="E6001" s="6" t="s">
        <v>20</v>
      </c>
      <c r="F6001" s="6" t="n">
        <v>1</v>
      </c>
      <c r="G6001" s="10" t="n">
        <v>2547</v>
      </c>
      <c r="H6001" s="10" t="n">
        <f aca="false">F6001*G6001</f>
        <v>2547</v>
      </c>
      <c r="I6001" s="6" t="s">
        <v>5148</v>
      </c>
    </row>
    <row r="6002" customFormat="false" ht="15" hidden="false" customHeight="false" outlineLevel="0" collapsed="false">
      <c r="A6002" s="6" t="s">
        <v>11226</v>
      </c>
      <c r="B6002" s="6" t="s">
        <v>1831</v>
      </c>
      <c r="C6002" s="26" t="n">
        <v>46206</v>
      </c>
      <c r="D6002" s="6" t="s">
        <v>5165</v>
      </c>
      <c r="E6002" s="6" t="s">
        <v>22</v>
      </c>
      <c r="F6002" s="6" t="n">
        <v>1</v>
      </c>
      <c r="G6002" s="10" t="n">
        <v>880</v>
      </c>
      <c r="H6002" s="10" t="n">
        <f aca="false">F6002*G6002</f>
        <v>880</v>
      </c>
      <c r="I6002" s="6" t="s">
        <v>5133</v>
      </c>
    </row>
    <row r="6003" customFormat="false" ht="15" hidden="false" customHeight="false" outlineLevel="0" collapsed="false">
      <c r="A6003" s="6" t="s">
        <v>11227</v>
      </c>
      <c r="B6003" s="6" t="s">
        <v>1483</v>
      </c>
      <c r="C6003" s="26" t="n">
        <v>46206</v>
      </c>
      <c r="D6003" s="6" t="s">
        <v>5298</v>
      </c>
      <c r="E6003" s="6" t="s">
        <v>23</v>
      </c>
      <c r="F6003" s="6" t="n">
        <v>3</v>
      </c>
      <c r="G6003" s="10" t="n">
        <v>264</v>
      </c>
      <c r="H6003" s="10" t="n">
        <f aca="false">F6003*G6003</f>
        <v>792</v>
      </c>
      <c r="I6003" s="6" t="s">
        <v>5148</v>
      </c>
    </row>
    <row r="6004" customFormat="false" ht="15" hidden="false" customHeight="false" outlineLevel="0" collapsed="false">
      <c r="A6004" s="6" t="s">
        <v>11228</v>
      </c>
      <c r="B6004" s="6" t="s">
        <v>665</v>
      </c>
      <c r="C6004" s="26" t="n">
        <v>46206</v>
      </c>
      <c r="D6004" s="6" t="s">
        <v>5129</v>
      </c>
      <c r="E6004" s="6" t="s">
        <v>21</v>
      </c>
      <c r="F6004" s="6" t="n">
        <v>2</v>
      </c>
      <c r="G6004" s="10" t="n">
        <v>530</v>
      </c>
      <c r="H6004" s="10" t="n">
        <f aca="false">F6004*G6004</f>
        <v>1060</v>
      </c>
      <c r="I6004" s="6" t="s">
        <v>5122</v>
      </c>
    </row>
    <row r="6005" customFormat="false" ht="15" hidden="false" customHeight="false" outlineLevel="0" collapsed="false">
      <c r="A6005" s="6" t="s">
        <v>11229</v>
      </c>
      <c r="B6005" s="6" t="s">
        <v>3627</v>
      </c>
      <c r="C6005" s="26" t="n">
        <v>46206</v>
      </c>
      <c r="D6005" s="6" t="s">
        <v>5158</v>
      </c>
      <c r="E6005" s="6" t="s">
        <v>24</v>
      </c>
      <c r="F6005" s="6" t="n">
        <v>3</v>
      </c>
      <c r="G6005" s="10" t="n">
        <v>433</v>
      </c>
      <c r="H6005" s="10" t="n">
        <f aca="false">F6005*G6005</f>
        <v>1299</v>
      </c>
      <c r="I6005" s="6" t="s">
        <v>5122</v>
      </c>
    </row>
    <row r="6006" customFormat="false" ht="15" hidden="false" customHeight="false" outlineLevel="0" collapsed="false">
      <c r="A6006" s="6" t="s">
        <v>11230</v>
      </c>
      <c r="B6006" s="6" t="s">
        <v>2405</v>
      </c>
      <c r="C6006" s="26" t="n">
        <v>46206</v>
      </c>
      <c r="D6006" s="6" t="s">
        <v>5237</v>
      </c>
      <c r="E6006" s="6" t="s">
        <v>24</v>
      </c>
      <c r="F6006" s="6" t="n">
        <v>1</v>
      </c>
      <c r="G6006" s="10" t="n">
        <v>1834</v>
      </c>
      <c r="H6006" s="10" t="n">
        <f aca="false">F6006*G6006</f>
        <v>1834</v>
      </c>
      <c r="I6006" s="6" t="s">
        <v>5130</v>
      </c>
    </row>
    <row r="6007" customFormat="false" ht="15" hidden="false" customHeight="false" outlineLevel="0" collapsed="false">
      <c r="A6007" s="6" t="s">
        <v>11231</v>
      </c>
      <c r="B6007" s="6" t="s">
        <v>4099</v>
      </c>
      <c r="C6007" s="26" t="n">
        <v>46206</v>
      </c>
      <c r="D6007" s="6" t="s">
        <v>5121</v>
      </c>
      <c r="E6007" s="6" t="s">
        <v>22</v>
      </c>
      <c r="F6007" s="6" t="n">
        <v>4</v>
      </c>
      <c r="G6007" s="10" t="n">
        <v>928</v>
      </c>
      <c r="H6007" s="10" t="n">
        <f aca="false">F6007*G6007</f>
        <v>3712</v>
      </c>
      <c r="I6007" s="6" t="s">
        <v>5148</v>
      </c>
    </row>
    <row r="6008" customFormat="false" ht="15" hidden="false" customHeight="false" outlineLevel="0" collapsed="false">
      <c r="A6008" s="6" t="s">
        <v>11232</v>
      </c>
      <c r="B6008" s="6" t="s">
        <v>3575</v>
      </c>
      <c r="C6008" s="26" t="n">
        <v>46206</v>
      </c>
      <c r="D6008" s="6" t="s">
        <v>5129</v>
      </c>
      <c r="E6008" s="6" t="s">
        <v>21</v>
      </c>
      <c r="F6008" s="6" t="n">
        <v>1</v>
      </c>
      <c r="G6008" s="10" t="n">
        <v>559</v>
      </c>
      <c r="H6008" s="10" t="n">
        <f aca="false">F6008*G6008</f>
        <v>559</v>
      </c>
      <c r="I6008" s="6" t="s">
        <v>5122</v>
      </c>
    </row>
    <row r="6009" customFormat="false" ht="15" hidden="false" customHeight="false" outlineLevel="0" collapsed="false">
      <c r="A6009" s="6" t="s">
        <v>11233</v>
      </c>
      <c r="B6009" s="6" t="s">
        <v>4193</v>
      </c>
      <c r="C6009" s="26" t="n">
        <v>46206</v>
      </c>
      <c r="D6009" s="6" t="s">
        <v>5398</v>
      </c>
      <c r="E6009" s="6" t="s">
        <v>24</v>
      </c>
      <c r="F6009" s="6" t="n">
        <v>2</v>
      </c>
      <c r="G6009" s="10" t="n">
        <v>549</v>
      </c>
      <c r="H6009" s="10" t="n">
        <f aca="false">F6009*G6009</f>
        <v>1098</v>
      </c>
      <c r="I6009" s="6" t="s">
        <v>5122</v>
      </c>
    </row>
    <row r="6010" customFormat="false" ht="15" hidden="false" customHeight="false" outlineLevel="0" collapsed="false">
      <c r="A6010" s="6" t="s">
        <v>11234</v>
      </c>
      <c r="B6010" s="6" t="s">
        <v>4191</v>
      </c>
      <c r="C6010" s="26" t="n">
        <v>46206</v>
      </c>
      <c r="D6010" s="6" t="s">
        <v>5863</v>
      </c>
      <c r="E6010" s="6" t="s">
        <v>20</v>
      </c>
      <c r="F6010" s="6" t="n">
        <v>1</v>
      </c>
      <c r="G6010" s="10" t="n">
        <v>20395</v>
      </c>
      <c r="H6010" s="10" t="n">
        <f aca="false">F6010*G6010</f>
        <v>20395</v>
      </c>
      <c r="I6010" s="6" t="s">
        <v>5122</v>
      </c>
    </row>
    <row r="6011" customFormat="false" ht="15" hidden="false" customHeight="false" outlineLevel="0" collapsed="false">
      <c r="A6011" s="6" t="s">
        <v>11235</v>
      </c>
      <c r="B6011" s="6" t="s">
        <v>977</v>
      </c>
      <c r="C6011" s="26" t="n">
        <v>46206</v>
      </c>
      <c r="D6011" s="6" t="s">
        <v>5207</v>
      </c>
      <c r="E6011" s="6" t="s">
        <v>20</v>
      </c>
      <c r="F6011" s="6" t="n">
        <v>3</v>
      </c>
      <c r="G6011" s="10" t="n">
        <v>1325</v>
      </c>
      <c r="H6011" s="10" t="n">
        <f aca="false">F6011*G6011</f>
        <v>3975</v>
      </c>
      <c r="I6011" s="6" t="s">
        <v>5122</v>
      </c>
    </row>
    <row r="6012" customFormat="false" ht="15" hidden="false" customHeight="false" outlineLevel="0" collapsed="false">
      <c r="A6012" s="6" t="s">
        <v>11236</v>
      </c>
      <c r="B6012" s="6" t="s">
        <v>5033</v>
      </c>
      <c r="C6012" s="26" t="n">
        <v>46206</v>
      </c>
      <c r="D6012" s="6" t="s">
        <v>5175</v>
      </c>
      <c r="E6012" s="6" t="s">
        <v>24</v>
      </c>
      <c r="F6012" s="6" t="n">
        <v>2</v>
      </c>
      <c r="G6012" s="10" t="n">
        <v>610</v>
      </c>
      <c r="H6012" s="10" t="n">
        <f aca="false">F6012*G6012</f>
        <v>1220</v>
      </c>
      <c r="I6012" s="6" t="s">
        <v>5122</v>
      </c>
    </row>
    <row r="6013" customFormat="false" ht="15" hidden="false" customHeight="false" outlineLevel="0" collapsed="false">
      <c r="A6013" s="6" t="s">
        <v>11237</v>
      </c>
      <c r="B6013" s="6" t="s">
        <v>2041</v>
      </c>
      <c r="C6013" s="26" t="n">
        <v>46206</v>
      </c>
      <c r="D6013" s="6" t="s">
        <v>5259</v>
      </c>
      <c r="E6013" s="6" t="s">
        <v>22</v>
      </c>
      <c r="F6013" s="6" t="n">
        <v>1</v>
      </c>
      <c r="G6013" s="10" t="n">
        <v>1564</v>
      </c>
      <c r="H6013" s="10" t="n">
        <f aca="false">F6013*G6013</f>
        <v>1564</v>
      </c>
      <c r="I6013" s="6" t="s">
        <v>5122</v>
      </c>
    </row>
    <row r="6014" customFormat="false" ht="15" hidden="false" customHeight="false" outlineLevel="0" collapsed="false">
      <c r="A6014" s="6" t="s">
        <v>11238</v>
      </c>
      <c r="B6014" s="6" t="s">
        <v>1623</v>
      </c>
      <c r="C6014" s="26" t="n">
        <v>46206</v>
      </c>
      <c r="D6014" s="6" t="s">
        <v>5163</v>
      </c>
      <c r="E6014" s="6" t="s">
        <v>23</v>
      </c>
      <c r="F6014" s="6" t="n">
        <v>4</v>
      </c>
      <c r="G6014" s="10" t="n">
        <v>783</v>
      </c>
      <c r="H6014" s="10" t="n">
        <f aca="false">F6014*G6014</f>
        <v>3132</v>
      </c>
      <c r="I6014" s="6" t="s">
        <v>5122</v>
      </c>
    </row>
    <row r="6015" customFormat="false" ht="15" hidden="false" customHeight="false" outlineLevel="0" collapsed="false">
      <c r="A6015" s="6" t="s">
        <v>11239</v>
      </c>
      <c r="B6015" s="6" t="s">
        <v>1079</v>
      </c>
      <c r="C6015" s="26" t="n">
        <v>46206</v>
      </c>
      <c r="D6015" s="6" t="s">
        <v>5165</v>
      </c>
      <c r="E6015" s="6" t="s">
        <v>22</v>
      </c>
      <c r="F6015" s="6" t="n">
        <v>1</v>
      </c>
      <c r="G6015" s="10" t="n">
        <v>977</v>
      </c>
      <c r="H6015" s="10" t="n">
        <f aca="false">F6015*G6015</f>
        <v>977</v>
      </c>
      <c r="I6015" s="6" t="s">
        <v>5130</v>
      </c>
    </row>
    <row r="6016" customFormat="false" ht="15" hidden="false" customHeight="false" outlineLevel="0" collapsed="false">
      <c r="A6016" s="6" t="s">
        <v>11240</v>
      </c>
      <c r="B6016" s="6" t="s">
        <v>743</v>
      </c>
      <c r="C6016" s="26" t="n">
        <v>46206</v>
      </c>
      <c r="D6016" s="6" t="s">
        <v>5687</v>
      </c>
      <c r="E6016" s="6" t="s">
        <v>20</v>
      </c>
      <c r="F6016" s="6" t="n">
        <v>1</v>
      </c>
      <c r="G6016" s="10" t="n">
        <v>2039</v>
      </c>
      <c r="H6016" s="10" t="n">
        <f aca="false">F6016*G6016</f>
        <v>2039</v>
      </c>
      <c r="I6016" s="6" t="s">
        <v>5133</v>
      </c>
    </row>
    <row r="6017" customFormat="false" ht="15" hidden="false" customHeight="false" outlineLevel="0" collapsed="false">
      <c r="A6017" s="6" t="s">
        <v>11241</v>
      </c>
      <c r="B6017" s="6" t="s">
        <v>1775</v>
      </c>
      <c r="C6017" s="26" t="n">
        <v>46206</v>
      </c>
      <c r="D6017" s="6" t="s">
        <v>5345</v>
      </c>
      <c r="E6017" s="6" t="s">
        <v>23</v>
      </c>
      <c r="F6017" s="6" t="n">
        <v>2</v>
      </c>
      <c r="G6017" s="10" t="n">
        <v>392</v>
      </c>
      <c r="H6017" s="10" t="n">
        <f aca="false">F6017*G6017</f>
        <v>784</v>
      </c>
      <c r="I6017" s="6" t="s">
        <v>5122</v>
      </c>
    </row>
    <row r="6018" customFormat="false" ht="15" hidden="false" customHeight="false" outlineLevel="0" collapsed="false">
      <c r="A6018" s="6" t="s">
        <v>11242</v>
      </c>
      <c r="B6018" s="6" t="s">
        <v>124</v>
      </c>
      <c r="C6018" s="26" t="n">
        <v>46206</v>
      </c>
      <c r="D6018" s="6" t="s">
        <v>6109</v>
      </c>
      <c r="E6018" s="6" t="s">
        <v>20</v>
      </c>
      <c r="F6018" s="6" t="n">
        <v>1</v>
      </c>
      <c r="G6018" s="10" t="n">
        <v>42999</v>
      </c>
      <c r="H6018" s="10" t="n">
        <f aca="false">F6018*G6018</f>
        <v>42999</v>
      </c>
      <c r="I6018" s="6" t="s">
        <v>5130</v>
      </c>
    </row>
    <row r="6019" customFormat="false" ht="15" hidden="false" customHeight="false" outlineLevel="0" collapsed="false">
      <c r="A6019" s="6" t="s">
        <v>11243</v>
      </c>
      <c r="B6019" s="6" t="s">
        <v>1599</v>
      </c>
      <c r="C6019" s="26" t="n">
        <v>46206</v>
      </c>
      <c r="D6019" s="6" t="s">
        <v>5158</v>
      </c>
      <c r="E6019" s="6" t="s">
        <v>24</v>
      </c>
      <c r="F6019" s="6" t="n">
        <v>2</v>
      </c>
      <c r="G6019" s="10" t="n">
        <v>390</v>
      </c>
      <c r="H6019" s="10" t="n">
        <f aca="false">F6019*G6019</f>
        <v>780</v>
      </c>
      <c r="I6019" s="6" t="s">
        <v>5148</v>
      </c>
    </row>
    <row r="6020" customFormat="false" ht="15" hidden="false" customHeight="false" outlineLevel="0" collapsed="false">
      <c r="A6020" s="6" t="s">
        <v>11244</v>
      </c>
      <c r="B6020" s="6" t="s">
        <v>374</v>
      </c>
      <c r="C6020" s="26" t="n">
        <v>46206</v>
      </c>
      <c r="D6020" s="6" t="s">
        <v>5226</v>
      </c>
      <c r="E6020" s="6" t="s">
        <v>24</v>
      </c>
      <c r="F6020" s="6" t="n">
        <v>1</v>
      </c>
      <c r="G6020" s="10" t="n">
        <v>412</v>
      </c>
      <c r="H6020" s="10" t="n">
        <f aca="false">F6020*G6020</f>
        <v>412</v>
      </c>
      <c r="I6020" s="6" t="s">
        <v>5122</v>
      </c>
    </row>
    <row r="6021" customFormat="false" ht="15" hidden="false" customHeight="false" outlineLevel="0" collapsed="false">
      <c r="A6021" s="6" t="s">
        <v>11245</v>
      </c>
      <c r="B6021" s="6" t="s">
        <v>2479</v>
      </c>
      <c r="C6021" s="26" t="n">
        <v>46207</v>
      </c>
      <c r="D6021" s="6" t="s">
        <v>5353</v>
      </c>
      <c r="E6021" s="6" t="s">
        <v>24</v>
      </c>
      <c r="F6021" s="6" t="n">
        <v>1</v>
      </c>
      <c r="G6021" s="10" t="n">
        <v>1548</v>
      </c>
      <c r="H6021" s="10" t="n">
        <f aca="false">F6021*G6021</f>
        <v>1548</v>
      </c>
      <c r="I6021" s="6" t="s">
        <v>5122</v>
      </c>
    </row>
    <row r="6022" customFormat="false" ht="15" hidden="false" customHeight="false" outlineLevel="0" collapsed="false">
      <c r="A6022" s="6" t="s">
        <v>11246</v>
      </c>
      <c r="B6022" s="6" t="s">
        <v>4615</v>
      </c>
      <c r="C6022" s="26" t="n">
        <v>46207</v>
      </c>
      <c r="D6022" s="6" t="s">
        <v>5165</v>
      </c>
      <c r="E6022" s="6" t="s">
        <v>22</v>
      </c>
      <c r="F6022" s="6" t="n">
        <v>1</v>
      </c>
      <c r="G6022" s="10" t="n">
        <v>977</v>
      </c>
      <c r="H6022" s="10" t="n">
        <f aca="false">F6022*G6022</f>
        <v>977</v>
      </c>
      <c r="I6022" s="6" t="s">
        <v>5122</v>
      </c>
    </row>
    <row r="6023" customFormat="false" ht="15" hidden="false" customHeight="false" outlineLevel="0" collapsed="false">
      <c r="A6023" s="6" t="s">
        <v>11247</v>
      </c>
      <c r="B6023" s="6" t="s">
        <v>2795</v>
      </c>
      <c r="C6023" s="26" t="n">
        <v>46207</v>
      </c>
      <c r="D6023" s="6" t="s">
        <v>5188</v>
      </c>
      <c r="E6023" s="6" t="s">
        <v>24</v>
      </c>
      <c r="F6023" s="6" t="n">
        <v>1</v>
      </c>
      <c r="G6023" s="10" t="n">
        <v>916</v>
      </c>
      <c r="H6023" s="10" t="n">
        <f aca="false">F6023*G6023</f>
        <v>916</v>
      </c>
      <c r="I6023" s="6" t="s">
        <v>5173</v>
      </c>
    </row>
    <row r="6024" customFormat="false" ht="15" hidden="false" customHeight="false" outlineLevel="0" collapsed="false">
      <c r="A6024" s="6" t="s">
        <v>11248</v>
      </c>
      <c r="B6024" s="6" t="s">
        <v>4795</v>
      </c>
      <c r="C6024" s="26" t="n">
        <v>46207</v>
      </c>
      <c r="D6024" s="6" t="s">
        <v>5121</v>
      </c>
      <c r="E6024" s="6" t="s">
        <v>22</v>
      </c>
      <c r="F6024" s="6" t="n">
        <v>1</v>
      </c>
      <c r="G6024" s="10" t="n">
        <v>977</v>
      </c>
      <c r="H6024" s="10" t="n">
        <f aca="false">F6024*G6024</f>
        <v>977</v>
      </c>
      <c r="I6024" s="6" t="s">
        <v>5148</v>
      </c>
    </row>
    <row r="6025" customFormat="false" ht="15" hidden="false" customHeight="false" outlineLevel="0" collapsed="false">
      <c r="A6025" s="6" t="s">
        <v>11249</v>
      </c>
      <c r="B6025" s="6" t="s">
        <v>2369</v>
      </c>
      <c r="C6025" s="26" t="n">
        <v>46207</v>
      </c>
      <c r="D6025" s="6" t="s">
        <v>5456</v>
      </c>
      <c r="E6025" s="6" t="s">
        <v>24</v>
      </c>
      <c r="F6025" s="6" t="n">
        <v>1</v>
      </c>
      <c r="G6025" s="10" t="n">
        <v>912</v>
      </c>
      <c r="H6025" s="10" t="n">
        <f aca="false">F6025*G6025</f>
        <v>912</v>
      </c>
      <c r="I6025" s="6" t="s">
        <v>5130</v>
      </c>
    </row>
    <row r="6026" customFormat="false" ht="15" hidden="false" customHeight="false" outlineLevel="0" collapsed="false">
      <c r="A6026" s="6" t="s">
        <v>11250</v>
      </c>
      <c r="B6026" s="6" t="s">
        <v>1313</v>
      </c>
      <c r="C6026" s="26" t="n">
        <v>46207</v>
      </c>
      <c r="D6026" s="6" t="s">
        <v>5538</v>
      </c>
      <c r="E6026" s="6" t="s">
        <v>21</v>
      </c>
      <c r="F6026" s="6" t="n">
        <v>2</v>
      </c>
      <c r="G6026" s="10" t="n">
        <v>4865</v>
      </c>
      <c r="H6026" s="10" t="n">
        <f aca="false">F6026*G6026</f>
        <v>9730</v>
      </c>
      <c r="I6026" s="6" t="s">
        <v>5133</v>
      </c>
    </row>
    <row r="6027" customFormat="false" ht="15" hidden="false" customHeight="false" outlineLevel="0" collapsed="false">
      <c r="A6027" s="6" t="s">
        <v>11251</v>
      </c>
      <c r="B6027" s="6" t="s">
        <v>2881</v>
      </c>
      <c r="C6027" s="26" t="n">
        <v>46207</v>
      </c>
      <c r="D6027" s="6" t="s">
        <v>5127</v>
      </c>
      <c r="E6027" s="6" t="s">
        <v>21</v>
      </c>
      <c r="F6027" s="6" t="n">
        <v>1</v>
      </c>
      <c r="G6027" s="10" t="n">
        <v>795</v>
      </c>
      <c r="H6027" s="10" t="n">
        <f aca="false">F6027*G6027</f>
        <v>795</v>
      </c>
      <c r="I6027" s="6" t="s">
        <v>5125</v>
      </c>
    </row>
    <row r="6028" customFormat="false" ht="15" hidden="false" customHeight="false" outlineLevel="0" collapsed="false">
      <c r="A6028" s="6" t="s">
        <v>11252</v>
      </c>
      <c r="B6028" s="6" t="s">
        <v>3631</v>
      </c>
      <c r="C6028" s="26" t="n">
        <v>46207</v>
      </c>
      <c r="D6028" s="6" t="s">
        <v>5298</v>
      </c>
      <c r="E6028" s="6" t="s">
        <v>23</v>
      </c>
      <c r="F6028" s="6" t="n">
        <v>1</v>
      </c>
      <c r="G6028" s="10" t="n">
        <v>264</v>
      </c>
      <c r="H6028" s="10" t="n">
        <f aca="false">F6028*G6028</f>
        <v>264</v>
      </c>
      <c r="I6028" s="6" t="s">
        <v>5133</v>
      </c>
    </row>
    <row r="6029" customFormat="false" ht="15" hidden="false" customHeight="false" outlineLevel="0" collapsed="false">
      <c r="A6029" s="6" t="s">
        <v>11253</v>
      </c>
      <c r="B6029" s="6" t="s">
        <v>4083</v>
      </c>
      <c r="C6029" s="26" t="n">
        <v>46207</v>
      </c>
      <c r="D6029" s="6" t="s">
        <v>5167</v>
      </c>
      <c r="E6029" s="6" t="s">
        <v>22</v>
      </c>
      <c r="F6029" s="6" t="n">
        <v>1</v>
      </c>
      <c r="G6029" s="10" t="n">
        <v>782</v>
      </c>
      <c r="H6029" s="10" t="n">
        <f aca="false">F6029*G6029</f>
        <v>782</v>
      </c>
      <c r="I6029" s="6" t="s">
        <v>5130</v>
      </c>
    </row>
    <row r="6030" customFormat="false" ht="15" hidden="false" customHeight="false" outlineLevel="0" collapsed="false">
      <c r="A6030" s="6" t="s">
        <v>11254</v>
      </c>
      <c r="B6030" s="6" t="s">
        <v>2911</v>
      </c>
      <c r="C6030" s="26" t="n">
        <v>46207</v>
      </c>
      <c r="D6030" s="6" t="s">
        <v>5259</v>
      </c>
      <c r="E6030" s="6" t="s">
        <v>22</v>
      </c>
      <c r="F6030" s="6" t="n">
        <v>2</v>
      </c>
      <c r="G6030" s="10" t="n">
        <v>1408</v>
      </c>
      <c r="H6030" s="10" t="n">
        <f aca="false">F6030*G6030</f>
        <v>2816</v>
      </c>
      <c r="I6030" s="6" t="s">
        <v>5122</v>
      </c>
    </row>
    <row r="6031" customFormat="false" ht="15" hidden="false" customHeight="false" outlineLevel="0" collapsed="false">
      <c r="A6031" s="6" t="s">
        <v>11255</v>
      </c>
      <c r="B6031" s="6" t="s">
        <v>565</v>
      </c>
      <c r="C6031" s="26" t="n">
        <v>46207</v>
      </c>
      <c r="D6031" s="6" t="s">
        <v>5135</v>
      </c>
      <c r="E6031" s="6" t="s">
        <v>23</v>
      </c>
      <c r="F6031" s="6" t="n">
        <v>3</v>
      </c>
      <c r="G6031" s="10" t="n">
        <v>441</v>
      </c>
      <c r="H6031" s="10" t="n">
        <f aca="false">F6031*G6031</f>
        <v>1323</v>
      </c>
      <c r="I6031" s="6" t="s">
        <v>5122</v>
      </c>
    </row>
    <row r="6032" customFormat="false" ht="15" hidden="false" customHeight="false" outlineLevel="0" collapsed="false">
      <c r="A6032" s="6" t="s">
        <v>11256</v>
      </c>
      <c r="B6032" s="6" t="s">
        <v>2095</v>
      </c>
      <c r="C6032" s="26" t="n">
        <v>46207</v>
      </c>
      <c r="D6032" s="6" t="s">
        <v>5167</v>
      </c>
      <c r="E6032" s="6" t="s">
        <v>22</v>
      </c>
      <c r="F6032" s="6" t="n">
        <v>2</v>
      </c>
      <c r="G6032" s="10" t="n">
        <v>782</v>
      </c>
      <c r="H6032" s="10" t="n">
        <f aca="false">F6032*G6032</f>
        <v>1564</v>
      </c>
      <c r="I6032" s="6" t="s">
        <v>5122</v>
      </c>
    </row>
    <row r="6033" customFormat="false" ht="15" hidden="false" customHeight="false" outlineLevel="0" collapsed="false">
      <c r="A6033" s="6" t="s">
        <v>11257</v>
      </c>
      <c r="B6033" s="6" t="s">
        <v>1351</v>
      </c>
      <c r="C6033" s="26" t="n">
        <v>46207</v>
      </c>
      <c r="D6033" s="6" t="s">
        <v>5141</v>
      </c>
      <c r="E6033" s="6" t="s">
        <v>20</v>
      </c>
      <c r="F6033" s="6" t="n">
        <v>1</v>
      </c>
      <c r="G6033" s="10" t="n">
        <v>1835</v>
      </c>
      <c r="H6033" s="10" t="n">
        <f aca="false">F6033*G6033</f>
        <v>1835</v>
      </c>
      <c r="I6033" s="6" t="s">
        <v>5122</v>
      </c>
    </row>
    <row r="6034" customFormat="false" ht="15" hidden="false" customHeight="false" outlineLevel="0" collapsed="false">
      <c r="A6034" s="6" t="s">
        <v>11258</v>
      </c>
      <c r="B6034" s="6" t="s">
        <v>3753</v>
      </c>
      <c r="C6034" s="26" t="n">
        <v>46207</v>
      </c>
      <c r="D6034" s="6" t="s">
        <v>5167</v>
      </c>
      <c r="E6034" s="6" t="s">
        <v>22</v>
      </c>
      <c r="F6034" s="6" t="n">
        <v>2</v>
      </c>
      <c r="G6034" s="10" t="n">
        <v>743</v>
      </c>
      <c r="H6034" s="10" t="n">
        <f aca="false">F6034*G6034</f>
        <v>1486</v>
      </c>
      <c r="I6034" s="6" t="s">
        <v>5122</v>
      </c>
    </row>
    <row r="6035" customFormat="false" ht="15" hidden="false" customHeight="false" outlineLevel="0" collapsed="false">
      <c r="A6035" s="6" t="s">
        <v>11259</v>
      </c>
      <c r="B6035" s="6" t="s">
        <v>309</v>
      </c>
      <c r="C6035" s="26" t="n">
        <v>46207</v>
      </c>
      <c r="D6035" s="6" t="s">
        <v>5235</v>
      </c>
      <c r="E6035" s="6" t="s">
        <v>21</v>
      </c>
      <c r="F6035" s="6" t="n">
        <v>1</v>
      </c>
      <c r="G6035" s="10" t="n">
        <v>1503</v>
      </c>
      <c r="H6035" s="10" t="n">
        <f aca="false">F6035*G6035</f>
        <v>1503</v>
      </c>
      <c r="I6035" s="6" t="s">
        <v>5130</v>
      </c>
    </row>
    <row r="6036" customFormat="false" ht="15" hidden="false" customHeight="false" outlineLevel="0" collapsed="false">
      <c r="A6036" s="6" t="s">
        <v>11260</v>
      </c>
      <c r="B6036" s="6" t="s">
        <v>211</v>
      </c>
      <c r="C6036" s="26" t="n">
        <v>46207</v>
      </c>
      <c r="D6036" s="6" t="s">
        <v>5214</v>
      </c>
      <c r="E6036" s="6" t="s">
        <v>20</v>
      </c>
      <c r="F6036" s="6" t="n">
        <v>1</v>
      </c>
      <c r="G6036" s="10" t="n">
        <v>2039</v>
      </c>
      <c r="H6036" s="10" t="n">
        <f aca="false">F6036*G6036</f>
        <v>2039</v>
      </c>
      <c r="I6036" s="6" t="s">
        <v>5130</v>
      </c>
    </row>
    <row r="6037" customFormat="false" ht="15" hidden="false" customHeight="false" outlineLevel="0" collapsed="false">
      <c r="A6037" s="6" t="s">
        <v>11261</v>
      </c>
      <c r="B6037" s="6" t="s">
        <v>4077</v>
      </c>
      <c r="C6037" s="26" t="n">
        <v>46207</v>
      </c>
      <c r="D6037" s="6" t="s">
        <v>5167</v>
      </c>
      <c r="E6037" s="6" t="s">
        <v>22</v>
      </c>
      <c r="F6037" s="6" t="n">
        <v>2</v>
      </c>
      <c r="G6037" s="10" t="n">
        <v>782</v>
      </c>
      <c r="H6037" s="10" t="n">
        <f aca="false">F6037*G6037</f>
        <v>1564</v>
      </c>
      <c r="I6037" s="6" t="s">
        <v>5122</v>
      </c>
    </row>
    <row r="6038" customFormat="false" ht="15" hidden="false" customHeight="false" outlineLevel="0" collapsed="false">
      <c r="A6038" s="6" t="s">
        <v>11262</v>
      </c>
      <c r="B6038" s="6" t="s">
        <v>130</v>
      </c>
      <c r="C6038" s="26" t="n">
        <v>46207</v>
      </c>
      <c r="D6038" s="6" t="s">
        <v>5182</v>
      </c>
      <c r="E6038" s="6" t="s">
        <v>23</v>
      </c>
      <c r="F6038" s="6" t="n">
        <v>4</v>
      </c>
      <c r="G6038" s="10" t="n">
        <v>349</v>
      </c>
      <c r="H6038" s="10" t="n">
        <f aca="false">F6038*G6038</f>
        <v>1396</v>
      </c>
      <c r="I6038" s="6" t="s">
        <v>5130</v>
      </c>
    </row>
    <row r="6039" customFormat="false" ht="15" hidden="false" customHeight="false" outlineLevel="0" collapsed="false">
      <c r="A6039" s="6" t="s">
        <v>11263</v>
      </c>
      <c r="B6039" s="6" t="s">
        <v>2199</v>
      </c>
      <c r="C6039" s="26" t="n">
        <v>46207</v>
      </c>
      <c r="D6039" s="6" t="s">
        <v>5313</v>
      </c>
      <c r="E6039" s="6" t="s">
        <v>22</v>
      </c>
      <c r="F6039" s="6" t="n">
        <v>2</v>
      </c>
      <c r="G6039" s="10" t="n">
        <v>1584</v>
      </c>
      <c r="H6039" s="10" t="n">
        <f aca="false">F6039*G6039</f>
        <v>3168</v>
      </c>
      <c r="I6039" s="6" t="s">
        <v>5148</v>
      </c>
    </row>
    <row r="6040" customFormat="false" ht="15" hidden="false" customHeight="false" outlineLevel="0" collapsed="false">
      <c r="A6040" s="6" t="s">
        <v>11264</v>
      </c>
      <c r="B6040" s="6" t="s">
        <v>2527</v>
      </c>
      <c r="C6040" s="26" t="n">
        <v>46207</v>
      </c>
      <c r="D6040" s="6" t="s">
        <v>5160</v>
      </c>
      <c r="E6040" s="6" t="s">
        <v>21</v>
      </c>
      <c r="F6040" s="6" t="n">
        <v>1</v>
      </c>
      <c r="G6040" s="10" t="n">
        <v>2751</v>
      </c>
      <c r="H6040" s="10" t="n">
        <f aca="false">F6040*G6040</f>
        <v>2751</v>
      </c>
      <c r="I6040" s="6" t="s">
        <v>5173</v>
      </c>
    </row>
    <row r="6041" customFormat="false" ht="15" hidden="false" customHeight="false" outlineLevel="0" collapsed="false">
      <c r="A6041" s="6" t="s">
        <v>11265</v>
      </c>
      <c r="B6041" s="6" t="s">
        <v>2869</v>
      </c>
      <c r="C6041" s="26" t="n">
        <v>46207</v>
      </c>
      <c r="D6041" s="6" t="s">
        <v>5139</v>
      </c>
      <c r="E6041" s="6" t="s">
        <v>23</v>
      </c>
      <c r="F6041" s="6" t="n">
        <v>1</v>
      </c>
      <c r="G6041" s="10" t="n">
        <v>278</v>
      </c>
      <c r="H6041" s="10" t="n">
        <f aca="false">F6041*G6041</f>
        <v>278</v>
      </c>
      <c r="I6041" s="6" t="s">
        <v>5173</v>
      </c>
    </row>
    <row r="6042" customFormat="false" ht="15" hidden="false" customHeight="false" outlineLevel="0" collapsed="false">
      <c r="A6042" s="6" t="s">
        <v>11266</v>
      </c>
      <c r="B6042" s="6" t="s">
        <v>4333</v>
      </c>
      <c r="C6042" s="26" t="n">
        <v>46207</v>
      </c>
      <c r="D6042" s="6" t="s">
        <v>5200</v>
      </c>
      <c r="E6042" s="6" t="s">
        <v>24</v>
      </c>
      <c r="F6042" s="6" t="n">
        <v>1</v>
      </c>
      <c r="G6042" s="10" t="n">
        <v>687</v>
      </c>
      <c r="H6042" s="10" t="n">
        <f aca="false">F6042*G6042</f>
        <v>687</v>
      </c>
      <c r="I6042" s="6" t="s">
        <v>5122</v>
      </c>
    </row>
    <row r="6043" customFormat="false" ht="15" hidden="false" customHeight="false" outlineLevel="0" collapsed="false">
      <c r="A6043" s="6" t="s">
        <v>11267</v>
      </c>
      <c r="B6043" s="6" t="s">
        <v>659</v>
      </c>
      <c r="C6043" s="26" t="n">
        <v>46207</v>
      </c>
      <c r="D6043" s="6" t="s">
        <v>5345</v>
      </c>
      <c r="E6043" s="6" t="s">
        <v>23</v>
      </c>
      <c r="F6043" s="6" t="n">
        <v>1</v>
      </c>
      <c r="G6043" s="10" t="n">
        <v>414</v>
      </c>
      <c r="H6043" s="10" t="n">
        <f aca="false">F6043*G6043</f>
        <v>414</v>
      </c>
      <c r="I6043" s="6" t="s">
        <v>5122</v>
      </c>
    </row>
    <row r="6044" customFormat="false" ht="15" hidden="false" customHeight="false" outlineLevel="0" collapsed="false">
      <c r="A6044" s="6" t="s">
        <v>11268</v>
      </c>
      <c r="B6044" s="6" t="s">
        <v>3715</v>
      </c>
      <c r="C6044" s="26" t="n">
        <v>46207</v>
      </c>
      <c r="D6044" s="6" t="s">
        <v>5216</v>
      </c>
      <c r="E6044" s="6" t="s">
        <v>23</v>
      </c>
      <c r="F6044" s="6" t="n">
        <v>1</v>
      </c>
      <c r="G6044" s="10" t="n">
        <v>557</v>
      </c>
      <c r="H6044" s="10" t="n">
        <f aca="false">F6044*G6044</f>
        <v>557</v>
      </c>
      <c r="I6044" s="6" t="s">
        <v>5133</v>
      </c>
    </row>
    <row r="6045" customFormat="false" ht="15" hidden="false" customHeight="false" outlineLevel="0" collapsed="false">
      <c r="A6045" s="6" t="s">
        <v>11269</v>
      </c>
      <c r="B6045" s="6" t="s">
        <v>340</v>
      </c>
      <c r="C6045" s="26" t="n">
        <v>46207</v>
      </c>
      <c r="D6045" s="6" t="s">
        <v>5127</v>
      </c>
      <c r="E6045" s="6" t="s">
        <v>21</v>
      </c>
      <c r="F6045" s="6" t="n">
        <v>1</v>
      </c>
      <c r="G6045" s="10" t="n">
        <v>839</v>
      </c>
      <c r="H6045" s="10" t="n">
        <f aca="false">F6045*G6045</f>
        <v>839</v>
      </c>
      <c r="I6045" s="6" t="s">
        <v>5122</v>
      </c>
    </row>
    <row r="6046" customFormat="false" ht="15" hidden="false" customHeight="false" outlineLevel="0" collapsed="false">
      <c r="A6046" s="6" t="s">
        <v>11270</v>
      </c>
      <c r="B6046" s="6" t="s">
        <v>4045</v>
      </c>
      <c r="C6046" s="26" t="n">
        <v>46207</v>
      </c>
      <c r="D6046" s="6" t="s">
        <v>5163</v>
      </c>
      <c r="E6046" s="6" t="s">
        <v>23</v>
      </c>
      <c r="F6046" s="6" t="n">
        <v>2</v>
      </c>
      <c r="G6046" s="10" t="n">
        <v>783</v>
      </c>
      <c r="H6046" s="10" t="n">
        <f aca="false">F6046*G6046</f>
        <v>1566</v>
      </c>
      <c r="I6046" s="6" t="s">
        <v>5122</v>
      </c>
    </row>
    <row r="6047" customFormat="false" ht="15" hidden="false" customHeight="false" outlineLevel="0" collapsed="false">
      <c r="A6047" s="6" t="s">
        <v>11271</v>
      </c>
      <c r="B6047" s="6" t="s">
        <v>721</v>
      </c>
      <c r="C6047" s="26" t="n">
        <v>46207</v>
      </c>
      <c r="D6047" s="6" t="s">
        <v>5353</v>
      </c>
      <c r="E6047" s="6" t="s">
        <v>24</v>
      </c>
      <c r="F6047" s="6" t="n">
        <v>2</v>
      </c>
      <c r="G6047" s="10" t="n">
        <v>1548</v>
      </c>
      <c r="H6047" s="10" t="n">
        <f aca="false">F6047*G6047</f>
        <v>3096</v>
      </c>
      <c r="I6047" s="6" t="s">
        <v>5122</v>
      </c>
    </row>
    <row r="6048" customFormat="false" ht="15" hidden="false" customHeight="false" outlineLevel="0" collapsed="false">
      <c r="A6048" s="6" t="s">
        <v>11272</v>
      </c>
      <c r="B6048" s="6" t="s">
        <v>109</v>
      </c>
      <c r="C6048" s="26" t="n">
        <v>46207</v>
      </c>
      <c r="D6048" s="6" t="s">
        <v>5163</v>
      </c>
      <c r="E6048" s="6" t="s">
        <v>23</v>
      </c>
      <c r="F6048" s="6" t="n">
        <v>4</v>
      </c>
      <c r="G6048" s="10" t="n">
        <v>783</v>
      </c>
      <c r="H6048" s="10" t="n">
        <f aca="false">F6048*G6048</f>
        <v>3132</v>
      </c>
      <c r="I6048" s="6" t="s">
        <v>5122</v>
      </c>
    </row>
    <row r="6049" customFormat="false" ht="15" hidden="false" customHeight="false" outlineLevel="0" collapsed="false">
      <c r="A6049" s="6" t="s">
        <v>11273</v>
      </c>
      <c r="B6049" s="6" t="s">
        <v>1855</v>
      </c>
      <c r="C6049" s="26" t="n">
        <v>46207</v>
      </c>
      <c r="D6049" s="6" t="s">
        <v>5171</v>
      </c>
      <c r="E6049" s="6" t="s">
        <v>23</v>
      </c>
      <c r="F6049" s="6" t="n">
        <v>3</v>
      </c>
      <c r="G6049" s="10" t="n">
        <v>661</v>
      </c>
      <c r="H6049" s="10" t="n">
        <f aca="false">F6049*G6049</f>
        <v>1983</v>
      </c>
      <c r="I6049" s="6" t="s">
        <v>5148</v>
      </c>
    </row>
    <row r="6050" customFormat="false" ht="15" hidden="false" customHeight="false" outlineLevel="0" collapsed="false">
      <c r="A6050" s="6" t="s">
        <v>11274</v>
      </c>
      <c r="B6050" s="6" t="s">
        <v>855</v>
      </c>
      <c r="C6050" s="26" t="n">
        <v>46207</v>
      </c>
      <c r="D6050" s="6" t="s">
        <v>5175</v>
      </c>
      <c r="E6050" s="6" t="s">
        <v>24</v>
      </c>
      <c r="F6050" s="6" t="n">
        <v>4</v>
      </c>
      <c r="G6050" s="10" t="n">
        <v>549</v>
      </c>
      <c r="H6050" s="10" t="n">
        <f aca="false">F6050*G6050</f>
        <v>2196</v>
      </c>
      <c r="I6050" s="6" t="s">
        <v>5122</v>
      </c>
    </row>
    <row r="6051" customFormat="false" ht="15" hidden="false" customHeight="false" outlineLevel="0" collapsed="false">
      <c r="A6051" s="6" t="s">
        <v>11275</v>
      </c>
      <c r="B6051" s="6" t="s">
        <v>3473</v>
      </c>
      <c r="C6051" s="26" t="n">
        <v>46207</v>
      </c>
      <c r="D6051" s="6" t="s">
        <v>5423</v>
      </c>
      <c r="E6051" s="6" t="s">
        <v>21</v>
      </c>
      <c r="F6051" s="6" t="n">
        <v>1</v>
      </c>
      <c r="G6051" s="10" t="n">
        <v>3243</v>
      </c>
      <c r="H6051" s="10" t="n">
        <f aca="false">F6051*G6051</f>
        <v>3243</v>
      </c>
      <c r="I6051" s="6" t="s">
        <v>5130</v>
      </c>
    </row>
    <row r="6052" customFormat="false" ht="15" hidden="false" customHeight="false" outlineLevel="0" collapsed="false">
      <c r="A6052" s="6" t="s">
        <v>11276</v>
      </c>
      <c r="B6052" s="6" t="s">
        <v>1821</v>
      </c>
      <c r="C6052" s="26" t="n">
        <v>46207</v>
      </c>
      <c r="D6052" s="6" t="s">
        <v>5220</v>
      </c>
      <c r="E6052" s="6" t="s">
        <v>24</v>
      </c>
      <c r="F6052" s="6" t="n">
        <v>4</v>
      </c>
      <c r="G6052" s="10" t="n">
        <v>1120</v>
      </c>
      <c r="H6052" s="10" t="n">
        <f aca="false">F6052*G6052</f>
        <v>4480</v>
      </c>
      <c r="I6052" s="6" t="s">
        <v>5130</v>
      </c>
    </row>
    <row r="6053" customFormat="false" ht="15" hidden="false" customHeight="false" outlineLevel="0" collapsed="false">
      <c r="A6053" s="6" t="s">
        <v>11277</v>
      </c>
      <c r="B6053" s="6" t="s">
        <v>3663</v>
      </c>
      <c r="C6053" s="26" t="n">
        <v>46207</v>
      </c>
      <c r="D6053" s="6" t="s">
        <v>5357</v>
      </c>
      <c r="E6053" s="6" t="s">
        <v>23</v>
      </c>
      <c r="F6053" s="6" t="n">
        <v>5</v>
      </c>
      <c r="G6053" s="10" t="n">
        <v>507</v>
      </c>
      <c r="H6053" s="10" t="n">
        <f aca="false">F6053*G6053</f>
        <v>2535</v>
      </c>
      <c r="I6053" s="6" t="s">
        <v>5122</v>
      </c>
    </row>
    <row r="6054" customFormat="false" ht="15" hidden="false" customHeight="false" outlineLevel="0" collapsed="false">
      <c r="A6054" s="6" t="s">
        <v>11278</v>
      </c>
      <c r="B6054" s="6" t="s">
        <v>2165</v>
      </c>
      <c r="C6054" s="26" t="n">
        <v>46207</v>
      </c>
      <c r="D6054" s="6" t="s">
        <v>5641</v>
      </c>
      <c r="E6054" s="6" t="s">
        <v>22</v>
      </c>
      <c r="F6054" s="6" t="n">
        <v>1</v>
      </c>
      <c r="G6054" s="10" t="n">
        <v>2137</v>
      </c>
      <c r="H6054" s="10" t="n">
        <f aca="false">F6054*G6054</f>
        <v>2137</v>
      </c>
      <c r="I6054" s="6" t="s">
        <v>5122</v>
      </c>
    </row>
    <row r="6055" customFormat="false" ht="15" hidden="false" customHeight="false" outlineLevel="0" collapsed="false">
      <c r="A6055" s="6" t="s">
        <v>11279</v>
      </c>
      <c r="B6055" s="6" t="s">
        <v>4487</v>
      </c>
      <c r="C6055" s="26" t="n">
        <v>46207</v>
      </c>
      <c r="D6055" s="6" t="s">
        <v>5561</v>
      </c>
      <c r="E6055" s="6" t="s">
        <v>20</v>
      </c>
      <c r="F6055" s="6" t="n">
        <v>2</v>
      </c>
      <c r="G6055" s="10" t="n">
        <v>3364</v>
      </c>
      <c r="H6055" s="10" t="n">
        <f aca="false">F6055*G6055</f>
        <v>6728</v>
      </c>
      <c r="I6055" s="6" t="s">
        <v>5148</v>
      </c>
    </row>
    <row r="6056" customFormat="false" ht="15" hidden="false" customHeight="false" outlineLevel="0" collapsed="false">
      <c r="A6056" s="6" t="s">
        <v>11280</v>
      </c>
      <c r="B6056" s="6" t="s">
        <v>1563</v>
      </c>
      <c r="C6056" s="26" t="n">
        <v>46207</v>
      </c>
      <c r="D6056" s="6" t="s">
        <v>5466</v>
      </c>
      <c r="E6056" s="6" t="s">
        <v>21</v>
      </c>
      <c r="F6056" s="6" t="n">
        <v>2</v>
      </c>
      <c r="G6056" s="10" t="n">
        <v>1768</v>
      </c>
      <c r="H6056" s="10" t="n">
        <f aca="false">F6056*G6056</f>
        <v>3536</v>
      </c>
      <c r="I6056" s="6" t="s">
        <v>5148</v>
      </c>
    </row>
    <row r="6057" customFormat="false" ht="15" hidden="false" customHeight="false" outlineLevel="0" collapsed="false">
      <c r="A6057" s="6" t="s">
        <v>11281</v>
      </c>
      <c r="B6057" s="6" t="s">
        <v>3399</v>
      </c>
      <c r="C6057" s="26" t="n">
        <v>46207</v>
      </c>
      <c r="D6057" s="6" t="s">
        <v>5169</v>
      </c>
      <c r="E6057" s="6" t="s">
        <v>20</v>
      </c>
      <c r="F6057" s="6" t="n">
        <v>1</v>
      </c>
      <c r="G6057" s="10" t="n">
        <v>4588</v>
      </c>
      <c r="H6057" s="10" t="n">
        <f aca="false">F6057*G6057</f>
        <v>4588</v>
      </c>
      <c r="I6057" s="6" t="s">
        <v>5122</v>
      </c>
    </row>
    <row r="6058" customFormat="false" ht="15" hidden="false" customHeight="false" outlineLevel="0" collapsed="false">
      <c r="A6058" s="6" t="s">
        <v>11282</v>
      </c>
      <c r="B6058" s="6" t="s">
        <v>901</v>
      </c>
      <c r="C6058" s="26" t="n">
        <v>46207</v>
      </c>
      <c r="D6058" s="6" t="s">
        <v>5687</v>
      </c>
      <c r="E6058" s="6" t="s">
        <v>20</v>
      </c>
      <c r="F6058" s="6" t="n">
        <v>1</v>
      </c>
      <c r="G6058" s="10" t="n">
        <v>1835</v>
      </c>
      <c r="H6058" s="10" t="n">
        <f aca="false">F6058*G6058</f>
        <v>1835</v>
      </c>
      <c r="I6058" s="6" t="s">
        <v>5148</v>
      </c>
    </row>
    <row r="6059" customFormat="false" ht="15" hidden="false" customHeight="false" outlineLevel="0" collapsed="false">
      <c r="A6059" s="6" t="s">
        <v>11283</v>
      </c>
      <c r="B6059" s="6" t="s">
        <v>1079</v>
      </c>
      <c r="C6059" s="26" t="n">
        <v>46207</v>
      </c>
      <c r="D6059" s="6" t="s">
        <v>5135</v>
      </c>
      <c r="E6059" s="6" t="s">
        <v>23</v>
      </c>
      <c r="F6059" s="6" t="n">
        <v>2</v>
      </c>
      <c r="G6059" s="10" t="n">
        <v>441</v>
      </c>
      <c r="H6059" s="10" t="n">
        <f aca="false">F6059*G6059</f>
        <v>882</v>
      </c>
      <c r="I6059" s="6" t="s">
        <v>5173</v>
      </c>
    </row>
    <row r="6060" customFormat="false" ht="15" hidden="false" customHeight="false" outlineLevel="0" collapsed="false">
      <c r="A6060" s="6" t="s">
        <v>11284</v>
      </c>
      <c r="B6060" s="6" t="s">
        <v>2415</v>
      </c>
      <c r="C6060" s="26" t="n">
        <v>46207</v>
      </c>
      <c r="D6060" s="6" t="s">
        <v>5345</v>
      </c>
      <c r="E6060" s="6" t="s">
        <v>23</v>
      </c>
      <c r="F6060" s="6" t="n">
        <v>2</v>
      </c>
      <c r="G6060" s="10" t="n">
        <v>436</v>
      </c>
      <c r="H6060" s="10" t="n">
        <f aca="false">F6060*G6060</f>
        <v>872</v>
      </c>
      <c r="I6060" s="6" t="s">
        <v>5122</v>
      </c>
    </row>
    <row r="6061" customFormat="false" ht="15" hidden="false" customHeight="false" outlineLevel="0" collapsed="false">
      <c r="A6061" s="6" t="s">
        <v>11285</v>
      </c>
      <c r="B6061" s="6" t="s">
        <v>1937</v>
      </c>
      <c r="C6061" s="26" t="n">
        <v>46208</v>
      </c>
      <c r="D6061" s="6" t="s">
        <v>5165</v>
      </c>
      <c r="E6061" s="6" t="s">
        <v>22</v>
      </c>
      <c r="F6061" s="6" t="n">
        <v>2</v>
      </c>
      <c r="G6061" s="10" t="n">
        <v>928</v>
      </c>
      <c r="H6061" s="10" t="n">
        <f aca="false">F6061*G6061</f>
        <v>1856</v>
      </c>
      <c r="I6061" s="6" t="s">
        <v>5125</v>
      </c>
    </row>
    <row r="6062" customFormat="false" ht="15" hidden="false" customHeight="false" outlineLevel="0" collapsed="false">
      <c r="A6062" s="6" t="s">
        <v>11286</v>
      </c>
      <c r="B6062" s="6" t="s">
        <v>1863</v>
      </c>
      <c r="C6062" s="26" t="n">
        <v>46208</v>
      </c>
      <c r="D6062" s="6" t="s">
        <v>5158</v>
      </c>
      <c r="E6062" s="6" t="s">
        <v>24</v>
      </c>
      <c r="F6062" s="6" t="n">
        <v>2</v>
      </c>
      <c r="G6062" s="10" t="n">
        <v>433</v>
      </c>
      <c r="H6062" s="10" t="n">
        <f aca="false">F6062*G6062</f>
        <v>866</v>
      </c>
      <c r="I6062" s="6" t="s">
        <v>5173</v>
      </c>
    </row>
    <row r="6063" customFormat="false" ht="15" hidden="false" customHeight="false" outlineLevel="0" collapsed="false">
      <c r="A6063" s="6" t="s">
        <v>11287</v>
      </c>
      <c r="B6063" s="6" t="s">
        <v>1405</v>
      </c>
      <c r="C6063" s="26" t="n">
        <v>46208</v>
      </c>
      <c r="D6063" s="6" t="s">
        <v>5158</v>
      </c>
      <c r="E6063" s="6" t="s">
        <v>24</v>
      </c>
      <c r="F6063" s="6" t="n">
        <v>1</v>
      </c>
      <c r="G6063" s="10" t="n">
        <v>391</v>
      </c>
      <c r="H6063" s="10" t="n">
        <f aca="false">F6063*G6063</f>
        <v>391</v>
      </c>
      <c r="I6063" s="6" t="s">
        <v>5148</v>
      </c>
    </row>
    <row r="6064" customFormat="false" ht="15" hidden="false" customHeight="false" outlineLevel="0" collapsed="false">
      <c r="A6064" s="6" t="s">
        <v>11288</v>
      </c>
      <c r="B6064" s="6" t="s">
        <v>1369</v>
      </c>
      <c r="C6064" s="26" t="n">
        <v>46208</v>
      </c>
      <c r="D6064" s="6" t="s">
        <v>5150</v>
      </c>
      <c r="E6064" s="6" t="s">
        <v>24</v>
      </c>
      <c r="F6064" s="6" t="n">
        <v>2</v>
      </c>
      <c r="G6064" s="10" t="n">
        <v>508</v>
      </c>
      <c r="H6064" s="10" t="n">
        <f aca="false">F6064*G6064</f>
        <v>1016</v>
      </c>
      <c r="I6064" s="6" t="s">
        <v>5133</v>
      </c>
    </row>
    <row r="6065" customFormat="false" ht="15" hidden="false" customHeight="false" outlineLevel="0" collapsed="false">
      <c r="A6065" s="6" t="s">
        <v>11289</v>
      </c>
      <c r="B6065" s="6" t="s">
        <v>1045</v>
      </c>
      <c r="C6065" s="26" t="n">
        <v>46208</v>
      </c>
      <c r="D6065" s="6" t="s">
        <v>5313</v>
      </c>
      <c r="E6065" s="6" t="s">
        <v>22</v>
      </c>
      <c r="F6065" s="6" t="n">
        <v>2</v>
      </c>
      <c r="G6065" s="10" t="n">
        <v>1760</v>
      </c>
      <c r="H6065" s="10" t="n">
        <f aca="false">F6065*G6065</f>
        <v>3520</v>
      </c>
      <c r="I6065" s="6" t="s">
        <v>5122</v>
      </c>
    </row>
    <row r="6066" customFormat="false" ht="15" hidden="false" customHeight="false" outlineLevel="0" collapsed="false">
      <c r="A6066" s="6" t="s">
        <v>11290</v>
      </c>
      <c r="B6066" s="6" t="s">
        <v>1487</v>
      </c>
      <c r="C6066" s="26" t="n">
        <v>46208</v>
      </c>
      <c r="D6066" s="6" t="s">
        <v>5357</v>
      </c>
      <c r="E6066" s="6" t="s">
        <v>23</v>
      </c>
      <c r="F6066" s="6" t="n">
        <v>4</v>
      </c>
      <c r="G6066" s="10" t="n">
        <v>534</v>
      </c>
      <c r="H6066" s="10" t="n">
        <f aca="false">F6066*G6066</f>
        <v>2136</v>
      </c>
      <c r="I6066" s="6" t="s">
        <v>5125</v>
      </c>
    </row>
    <row r="6067" customFormat="false" ht="15" hidden="false" customHeight="false" outlineLevel="0" collapsed="false">
      <c r="A6067" s="6" t="s">
        <v>11291</v>
      </c>
      <c r="B6067" s="6" t="s">
        <v>1945</v>
      </c>
      <c r="C6067" s="26" t="n">
        <v>46208</v>
      </c>
      <c r="D6067" s="6" t="s">
        <v>5316</v>
      </c>
      <c r="E6067" s="6" t="s">
        <v>23</v>
      </c>
      <c r="F6067" s="6" t="n">
        <v>1</v>
      </c>
      <c r="G6067" s="10" t="n">
        <v>259</v>
      </c>
      <c r="H6067" s="10" t="n">
        <f aca="false">F6067*G6067</f>
        <v>259</v>
      </c>
      <c r="I6067" s="6" t="s">
        <v>5148</v>
      </c>
    </row>
    <row r="6068" customFormat="false" ht="15" hidden="false" customHeight="false" outlineLevel="0" collapsed="false">
      <c r="A6068" s="6" t="s">
        <v>11292</v>
      </c>
      <c r="B6068" s="6" t="s">
        <v>3887</v>
      </c>
      <c r="C6068" s="26" t="n">
        <v>46208</v>
      </c>
      <c r="D6068" s="6" t="s">
        <v>5458</v>
      </c>
      <c r="E6068" s="6" t="s">
        <v>24</v>
      </c>
      <c r="F6068" s="6" t="n">
        <v>1</v>
      </c>
      <c r="G6068" s="10" t="n">
        <v>503</v>
      </c>
      <c r="H6068" s="10" t="n">
        <f aca="false">F6068*G6068</f>
        <v>503</v>
      </c>
      <c r="I6068" s="6" t="s">
        <v>5122</v>
      </c>
    </row>
    <row r="6069" customFormat="false" ht="15" hidden="false" customHeight="false" outlineLevel="0" collapsed="false">
      <c r="A6069" s="6" t="s">
        <v>11293</v>
      </c>
      <c r="B6069" s="6" t="s">
        <v>2861</v>
      </c>
      <c r="C6069" s="26" t="n">
        <v>46208</v>
      </c>
      <c r="D6069" s="6" t="s">
        <v>5158</v>
      </c>
      <c r="E6069" s="6" t="s">
        <v>24</v>
      </c>
      <c r="F6069" s="6" t="n">
        <v>1</v>
      </c>
      <c r="G6069" s="10" t="n">
        <v>411</v>
      </c>
      <c r="H6069" s="10" t="n">
        <f aca="false">F6069*G6069</f>
        <v>411</v>
      </c>
      <c r="I6069" s="6" t="s">
        <v>5122</v>
      </c>
    </row>
    <row r="6070" customFormat="false" ht="15" hidden="false" customHeight="false" outlineLevel="0" collapsed="false">
      <c r="A6070" s="6" t="s">
        <v>11294</v>
      </c>
      <c r="B6070" s="6" t="s">
        <v>1535</v>
      </c>
      <c r="C6070" s="26" t="n">
        <v>46208</v>
      </c>
      <c r="D6070" s="6" t="s">
        <v>5235</v>
      </c>
      <c r="E6070" s="6" t="s">
        <v>21</v>
      </c>
      <c r="F6070" s="6" t="n">
        <v>1</v>
      </c>
      <c r="G6070" s="10" t="n">
        <v>1670</v>
      </c>
      <c r="H6070" s="10" t="n">
        <f aca="false">F6070*G6070</f>
        <v>1670</v>
      </c>
      <c r="I6070" s="6" t="s">
        <v>5148</v>
      </c>
    </row>
    <row r="6071" customFormat="false" ht="15" hidden="false" customHeight="false" outlineLevel="0" collapsed="false">
      <c r="A6071" s="6" t="s">
        <v>11295</v>
      </c>
      <c r="B6071" s="6" t="s">
        <v>5021</v>
      </c>
      <c r="C6071" s="26" t="n">
        <v>46208</v>
      </c>
      <c r="D6071" s="6" t="s">
        <v>5482</v>
      </c>
      <c r="E6071" s="6" t="s">
        <v>23</v>
      </c>
      <c r="F6071" s="6" t="n">
        <v>5</v>
      </c>
      <c r="G6071" s="10" t="n">
        <v>269</v>
      </c>
      <c r="H6071" s="10" t="n">
        <f aca="false">F6071*G6071</f>
        <v>1345</v>
      </c>
      <c r="I6071" s="6" t="s">
        <v>5122</v>
      </c>
    </row>
    <row r="6072" customFormat="false" ht="15" hidden="false" customHeight="false" outlineLevel="0" collapsed="false">
      <c r="A6072" s="6" t="s">
        <v>11296</v>
      </c>
      <c r="B6072" s="6" t="s">
        <v>3927</v>
      </c>
      <c r="C6072" s="26" t="n">
        <v>46208</v>
      </c>
      <c r="D6072" s="6" t="s">
        <v>5121</v>
      </c>
      <c r="E6072" s="6" t="s">
        <v>22</v>
      </c>
      <c r="F6072" s="6" t="n">
        <v>1</v>
      </c>
      <c r="G6072" s="10" t="n">
        <v>928</v>
      </c>
      <c r="H6072" s="10" t="n">
        <f aca="false">F6072*G6072</f>
        <v>928</v>
      </c>
      <c r="I6072" s="6" t="s">
        <v>5122</v>
      </c>
    </row>
    <row r="6073" customFormat="false" ht="15" hidden="false" customHeight="false" outlineLevel="0" collapsed="false">
      <c r="A6073" s="6" t="s">
        <v>11297</v>
      </c>
      <c r="B6073" s="6" t="s">
        <v>721</v>
      </c>
      <c r="C6073" s="26" t="n">
        <v>46208</v>
      </c>
      <c r="D6073" s="6" t="s">
        <v>5163</v>
      </c>
      <c r="E6073" s="6" t="s">
        <v>23</v>
      </c>
      <c r="F6073" s="6" t="n">
        <v>5</v>
      </c>
      <c r="G6073" s="10" t="n">
        <v>783</v>
      </c>
      <c r="H6073" s="10" t="n">
        <f aca="false">F6073*G6073</f>
        <v>3915</v>
      </c>
      <c r="I6073" s="6" t="s">
        <v>5148</v>
      </c>
    </row>
    <row r="6074" customFormat="false" ht="15" hidden="false" customHeight="false" outlineLevel="0" collapsed="false">
      <c r="A6074" s="6" t="s">
        <v>11298</v>
      </c>
      <c r="B6074" s="6" t="s">
        <v>3201</v>
      </c>
      <c r="C6074" s="26" t="n">
        <v>46208</v>
      </c>
      <c r="D6074" s="6" t="s">
        <v>5171</v>
      </c>
      <c r="E6074" s="6" t="s">
        <v>23</v>
      </c>
      <c r="F6074" s="6" t="n">
        <v>1</v>
      </c>
      <c r="G6074" s="10" t="n">
        <v>661</v>
      </c>
      <c r="H6074" s="10" t="n">
        <f aca="false">F6074*G6074</f>
        <v>661</v>
      </c>
      <c r="I6074" s="6" t="s">
        <v>5122</v>
      </c>
    </row>
    <row r="6075" customFormat="false" ht="15" hidden="false" customHeight="false" outlineLevel="0" collapsed="false">
      <c r="A6075" s="6" t="s">
        <v>11299</v>
      </c>
      <c r="B6075" s="6" t="s">
        <v>977</v>
      </c>
      <c r="C6075" s="26" t="n">
        <v>46208</v>
      </c>
      <c r="D6075" s="6" t="s">
        <v>5641</v>
      </c>
      <c r="E6075" s="6" t="s">
        <v>22</v>
      </c>
      <c r="F6075" s="6" t="n">
        <v>3</v>
      </c>
      <c r="G6075" s="10" t="n">
        <v>2249</v>
      </c>
      <c r="H6075" s="10" t="n">
        <f aca="false">F6075*G6075</f>
        <v>6747</v>
      </c>
      <c r="I6075" s="6" t="s">
        <v>5148</v>
      </c>
    </row>
    <row r="6076" customFormat="false" ht="15" hidden="false" customHeight="false" outlineLevel="0" collapsed="false">
      <c r="A6076" s="6" t="s">
        <v>11300</v>
      </c>
      <c r="B6076" s="6" t="s">
        <v>1745</v>
      </c>
      <c r="C6076" s="26" t="n">
        <v>46208</v>
      </c>
      <c r="D6076" s="6" t="s">
        <v>5121</v>
      </c>
      <c r="E6076" s="6" t="s">
        <v>22</v>
      </c>
      <c r="F6076" s="6" t="n">
        <v>1</v>
      </c>
      <c r="G6076" s="10" t="n">
        <v>928</v>
      </c>
      <c r="H6076" s="10" t="n">
        <f aca="false">F6076*G6076</f>
        <v>928</v>
      </c>
      <c r="I6076" s="6" t="s">
        <v>5125</v>
      </c>
    </row>
    <row r="6077" customFormat="false" ht="15" hidden="false" customHeight="false" outlineLevel="0" collapsed="false">
      <c r="A6077" s="6" t="s">
        <v>11301</v>
      </c>
      <c r="B6077" s="6" t="s">
        <v>1573</v>
      </c>
      <c r="C6077" s="26" t="n">
        <v>46208</v>
      </c>
      <c r="D6077" s="6" t="s">
        <v>5458</v>
      </c>
      <c r="E6077" s="6" t="s">
        <v>24</v>
      </c>
      <c r="F6077" s="6" t="n">
        <v>1</v>
      </c>
      <c r="G6077" s="10" t="n">
        <v>559</v>
      </c>
      <c r="H6077" s="10" t="n">
        <f aca="false">F6077*G6077</f>
        <v>559</v>
      </c>
      <c r="I6077" s="6" t="s">
        <v>5133</v>
      </c>
    </row>
    <row r="6078" customFormat="false" ht="15" hidden="false" customHeight="false" outlineLevel="0" collapsed="false">
      <c r="A6078" s="6" t="s">
        <v>11302</v>
      </c>
      <c r="B6078" s="6" t="s">
        <v>3711</v>
      </c>
      <c r="C6078" s="26" t="n">
        <v>46208</v>
      </c>
      <c r="D6078" s="6" t="s">
        <v>5137</v>
      </c>
      <c r="E6078" s="6" t="s">
        <v>21</v>
      </c>
      <c r="F6078" s="6" t="n">
        <v>1</v>
      </c>
      <c r="G6078" s="10" t="n">
        <v>1680</v>
      </c>
      <c r="H6078" s="10" t="n">
        <f aca="false">F6078*G6078</f>
        <v>1680</v>
      </c>
      <c r="I6078" s="6" t="s">
        <v>5148</v>
      </c>
    </row>
    <row r="6079" customFormat="false" ht="15" hidden="false" customHeight="false" outlineLevel="0" collapsed="false">
      <c r="A6079" s="6" t="s">
        <v>11303</v>
      </c>
      <c r="B6079" s="6" t="s">
        <v>2775</v>
      </c>
      <c r="C6079" s="26" t="n">
        <v>46208</v>
      </c>
      <c r="D6079" s="6" t="s">
        <v>5141</v>
      </c>
      <c r="E6079" s="6" t="s">
        <v>20</v>
      </c>
      <c r="F6079" s="6" t="n">
        <v>1</v>
      </c>
      <c r="G6079" s="10" t="n">
        <v>1743</v>
      </c>
      <c r="H6079" s="10" t="n">
        <f aca="false">F6079*G6079</f>
        <v>1743</v>
      </c>
      <c r="I6079" s="6" t="s">
        <v>5133</v>
      </c>
    </row>
    <row r="6080" customFormat="false" ht="15" hidden="false" customHeight="false" outlineLevel="0" collapsed="false">
      <c r="A6080" s="6" t="s">
        <v>11304</v>
      </c>
      <c r="B6080" s="6" t="s">
        <v>227</v>
      </c>
      <c r="C6080" s="26" t="n">
        <v>46208</v>
      </c>
      <c r="D6080" s="6" t="s">
        <v>5423</v>
      </c>
      <c r="E6080" s="6" t="s">
        <v>21</v>
      </c>
      <c r="F6080" s="6" t="n">
        <v>2</v>
      </c>
      <c r="G6080" s="10" t="n">
        <v>3243</v>
      </c>
      <c r="H6080" s="10" t="n">
        <f aca="false">F6080*G6080</f>
        <v>6486</v>
      </c>
      <c r="I6080" s="6" t="s">
        <v>5125</v>
      </c>
    </row>
    <row r="6081" customFormat="false" ht="15" hidden="false" customHeight="false" outlineLevel="0" collapsed="false">
      <c r="A6081" s="6" t="s">
        <v>11305</v>
      </c>
      <c r="B6081" s="6" t="s">
        <v>3757</v>
      </c>
      <c r="C6081" s="26" t="n">
        <v>46208</v>
      </c>
      <c r="D6081" s="6" t="s">
        <v>5318</v>
      </c>
      <c r="E6081" s="6" t="s">
        <v>20</v>
      </c>
      <c r="F6081" s="6" t="n">
        <v>1</v>
      </c>
      <c r="G6081" s="10" t="n">
        <v>1529</v>
      </c>
      <c r="H6081" s="10" t="n">
        <f aca="false">F6081*G6081</f>
        <v>1529</v>
      </c>
      <c r="I6081" s="6" t="s">
        <v>5122</v>
      </c>
    </row>
    <row r="6082" customFormat="false" ht="15" hidden="false" customHeight="false" outlineLevel="0" collapsed="false">
      <c r="A6082" s="6" t="s">
        <v>11306</v>
      </c>
      <c r="B6082" s="6" t="s">
        <v>3647</v>
      </c>
      <c r="C6082" s="26" t="n">
        <v>46208</v>
      </c>
      <c r="D6082" s="6" t="s">
        <v>5163</v>
      </c>
      <c r="E6082" s="6" t="s">
        <v>23</v>
      </c>
      <c r="F6082" s="6" t="n">
        <v>4</v>
      </c>
      <c r="G6082" s="10" t="n">
        <v>783</v>
      </c>
      <c r="H6082" s="10" t="n">
        <f aca="false">F6082*G6082</f>
        <v>3132</v>
      </c>
      <c r="I6082" s="6" t="s">
        <v>5148</v>
      </c>
    </row>
    <row r="6083" customFormat="false" ht="15" hidden="false" customHeight="false" outlineLevel="0" collapsed="false">
      <c r="A6083" s="6" t="s">
        <v>11307</v>
      </c>
      <c r="B6083" s="6" t="s">
        <v>5085</v>
      </c>
      <c r="C6083" s="26" t="n">
        <v>46208</v>
      </c>
      <c r="D6083" s="6" t="s">
        <v>5245</v>
      </c>
      <c r="E6083" s="6" t="s">
        <v>21</v>
      </c>
      <c r="F6083" s="6" t="n">
        <v>2</v>
      </c>
      <c r="G6083" s="10" t="n">
        <v>2456</v>
      </c>
      <c r="H6083" s="10" t="n">
        <f aca="false">F6083*G6083</f>
        <v>4912</v>
      </c>
      <c r="I6083" s="6" t="s">
        <v>5173</v>
      </c>
    </row>
    <row r="6084" customFormat="false" ht="15" hidden="false" customHeight="false" outlineLevel="0" collapsed="false">
      <c r="A6084" s="6" t="s">
        <v>11308</v>
      </c>
      <c r="B6084" s="6" t="s">
        <v>4131</v>
      </c>
      <c r="C6084" s="26" t="n">
        <v>46208</v>
      </c>
      <c r="D6084" s="6" t="s">
        <v>5135</v>
      </c>
      <c r="E6084" s="6" t="s">
        <v>23</v>
      </c>
      <c r="F6084" s="6" t="n">
        <v>2</v>
      </c>
      <c r="G6084" s="10" t="n">
        <v>397</v>
      </c>
      <c r="H6084" s="10" t="n">
        <f aca="false">F6084*G6084</f>
        <v>794</v>
      </c>
      <c r="I6084" s="6" t="s">
        <v>5125</v>
      </c>
    </row>
    <row r="6085" customFormat="false" ht="15" hidden="false" customHeight="false" outlineLevel="0" collapsed="false">
      <c r="A6085" s="6" t="s">
        <v>11309</v>
      </c>
      <c r="B6085" s="6" t="s">
        <v>260</v>
      </c>
      <c r="C6085" s="26" t="n">
        <v>46208</v>
      </c>
      <c r="D6085" s="6" t="s">
        <v>5167</v>
      </c>
      <c r="E6085" s="6" t="s">
        <v>22</v>
      </c>
      <c r="F6085" s="6" t="n">
        <v>1</v>
      </c>
      <c r="G6085" s="10" t="n">
        <v>703</v>
      </c>
      <c r="H6085" s="10" t="n">
        <f aca="false">F6085*G6085</f>
        <v>703</v>
      </c>
      <c r="I6085" s="6" t="s">
        <v>5125</v>
      </c>
    </row>
    <row r="6086" customFormat="false" ht="15" hidden="false" customHeight="false" outlineLevel="0" collapsed="false">
      <c r="A6086" s="6" t="s">
        <v>11310</v>
      </c>
      <c r="B6086" s="6" t="s">
        <v>4535</v>
      </c>
      <c r="C6086" s="26" t="n">
        <v>46208</v>
      </c>
      <c r="D6086" s="6" t="s">
        <v>5175</v>
      </c>
      <c r="E6086" s="6" t="s">
        <v>24</v>
      </c>
      <c r="F6086" s="6" t="n">
        <v>1</v>
      </c>
      <c r="G6086" s="10" t="n">
        <v>611</v>
      </c>
      <c r="H6086" s="10" t="n">
        <f aca="false">F6086*G6086</f>
        <v>611</v>
      </c>
      <c r="I6086" s="6" t="s">
        <v>5130</v>
      </c>
    </row>
    <row r="6087" customFormat="false" ht="15" hidden="false" customHeight="false" outlineLevel="0" collapsed="false">
      <c r="A6087" s="6" t="s">
        <v>11311</v>
      </c>
      <c r="B6087" s="6" t="s">
        <v>549</v>
      </c>
      <c r="C6087" s="26" t="n">
        <v>46208</v>
      </c>
      <c r="D6087" s="6" t="s">
        <v>5357</v>
      </c>
      <c r="E6087" s="6" t="s">
        <v>23</v>
      </c>
      <c r="F6087" s="6" t="n">
        <v>3</v>
      </c>
      <c r="G6087" s="10" t="n">
        <v>507</v>
      </c>
      <c r="H6087" s="10" t="n">
        <f aca="false">F6087*G6087</f>
        <v>1521</v>
      </c>
      <c r="I6087" s="6" t="s">
        <v>5122</v>
      </c>
    </row>
    <row r="6088" customFormat="false" ht="15" hidden="false" customHeight="false" outlineLevel="0" collapsed="false">
      <c r="A6088" s="6" t="s">
        <v>11312</v>
      </c>
      <c r="B6088" s="6" t="s">
        <v>4071</v>
      </c>
      <c r="C6088" s="26" t="n">
        <v>46209</v>
      </c>
      <c r="D6088" s="6" t="s">
        <v>5298</v>
      </c>
      <c r="E6088" s="6" t="s">
        <v>23</v>
      </c>
      <c r="F6088" s="6" t="n">
        <v>3</v>
      </c>
      <c r="G6088" s="10" t="n">
        <v>293</v>
      </c>
      <c r="H6088" s="10" t="n">
        <f aca="false">F6088*G6088</f>
        <v>879</v>
      </c>
      <c r="I6088" s="6" t="s">
        <v>5122</v>
      </c>
    </row>
    <row r="6089" customFormat="false" ht="15" hidden="false" customHeight="false" outlineLevel="0" collapsed="false">
      <c r="A6089" s="6" t="s">
        <v>11313</v>
      </c>
      <c r="B6089" s="6" t="s">
        <v>2673</v>
      </c>
      <c r="C6089" s="26" t="n">
        <v>46209</v>
      </c>
      <c r="D6089" s="6" t="s">
        <v>5135</v>
      </c>
      <c r="E6089" s="6" t="s">
        <v>23</v>
      </c>
      <c r="F6089" s="6" t="n">
        <v>4</v>
      </c>
      <c r="G6089" s="10" t="n">
        <v>419</v>
      </c>
      <c r="H6089" s="10" t="n">
        <f aca="false">F6089*G6089</f>
        <v>1676</v>
      </c>
      <c r="I6089" s="6" t="s">
        <v>5122</v>
      </c>
    </row>
    <row r="6090" customFormat="false" ht="15" hidden="false" customHeight="false" outlineLevel="0" collapsed="false">
      <c r="A6090" s="6" t="s">
        <v>11314</v>
      </c>
      <c r="B6090" s="6" t="s">
        <v>4399</v>
      </c>
      <c r="C6090" s="26" t="n">
        <v>46209</v>
      </c>
      <c r="D6090" s="6" t="s">
        <v>5167</v>
      </c>
      <c r="E6090" s="6" t="s">
        <v>22</v>
      </c>
      <c r="F6090" s="6" t="n">
        <v>1</v>
      </c>
      <c r="G6090" s="10" t="n">
        <v>782</v>
      </c>
      <c r="H6090" s="10" t="n">
        <f aca="false">F6090*G6090</f>
        <v>782</v>
      </c>
      <c r="I6090" s="6" t="s">
        <v>5122</v>
      </c>
    </row>
    <row r="6091" customFormat="false" ht="15" hidden="false" customHeight="false" outlineLevel="0" collapsed="false">
      <c r="A6091" s="6" t="s">
        <v>11315</v>
      </c>
      <c r="B6091" s="6" t="s">
        <v>1785</v>
      </c>
      <c r="C6091" s="26" t="n">
        <v>46209</v>
      </c>
      <c r="D6091" s="6" t="s">
        <v>5561</v>
      </c>
      <c r="E6091" s="6" t="s">
        <v>20</v>
      </c>
      <c r="F6091" s="6" t="n">
        <v>1</v>
      </c>
      <c r="G6091" s="10" t="n">
        <v>3364</v>
      </c>
      <c r="H6091" s="10" t="n">
        <f aca="false">F6091*G6091</f>
        <v>3364</v>
      </c>
      <c r="I6091" s="6" t="s">
        <v>5122</v>
      </c>
    </row>
    <row r="6092" customFormat="false" ht="15" hidden="false" customHeight="false" outlineLevel="0" collapsed="false">
      <c r="A6092" s="6" t="s">
        <v>11316</v>
      </c>
      <c r="B6092" s="6" t="s">
        <v>4519</v>
      </c>
      <c r="C6092" s="26" t="n">
        <v>46209</v>
      </c>
      <c r="D6092" s="6" t="s">
        <v>5707</v>
      </c>
      <c r="E6092" s="6" t="s">
        <v>22</v>
      </c>
      <c r="F6092" s="6" t="n">
        <v>1</v>
      </c>
      <c r="G6092" s="10" t="n">
        <v>2200</v>
      </c>
      <c r="H6092" s="10" t="n">
        <f aca="false">F6092*G6092</f>
        <v>2200</v>
      </c>
      <c r="I6092" s="6" t="s">
        <v>5148</v>
      </c>
    </row>
    <row r="6093" customFormat="false" ht="15" hidden="false" customHeight="false" outlineLevel="0" collapsed="false">
      <c r="A6093" s="6" t="s">
        <v>11317</v>
      </c>
      <c r="B6093" s="6" t="s">
        <v>3067</v>
      </c>
      <c r="C6093" s="26" t="n">
        <v>46209</v>
      </c>
      <c r="D6093" s="6" t="s">
        <v>5339</v>
      </c>
      <c r="E6093" s="6" t="s">
        <v>24</v>
      </c>
      <c r="F6093" s="6" t="n">
        <v>2</v>
      </c>
      <c r="G6093" s="10" t="n">
        <v>458</v>
      </c>
      <c r="H6093" s="10" t="n">
        <f aca="false">F6093*G6093</f>
        <v>916</v>
      </c>
      <c r="I6093" s="6" t="s">
        <v>5130</v>
      </c>
    </row>
    <row r="6094" customFormat="false" ht="15" hidden="false" customHeight="false" outlineLevel="0" collapsed="false">
      <c r="A6094" s="6" t="s">
        <v>11318</v>
      </c>
      <c r="B6094" s="6" t="s">
        <v>2227</v>
      </c>
      <c r="C6094" s="26" t="n">
        <v>46209</v>
      </c>
      <c r="D6094" s="6" t="s">
        <v>5242</v>
      </c>
      <c r="E6094" s="6" t="s">
        <v>23</v>
      </c>
      <c r="F6094" s="6" t="n">
        <v>2</v>
      </c>
      <c r="G6094" s="10" t="n">
        <v>354</v>
      </c>
      <c r="H6094" s="10" t="n">
        <f aca="false">F6094*G6094</f>
        <v>708</v>
      </c>
      <c r="I6094" s="6" t="s">
        <v>5122</v>
      </c>
    </row>
    <row r="6095" customFormat="false" ht="15" hidden="false" customHeight="false" outlineLevel="0" collapsed="false">
      <c r="A6095" s="6" t="s">
        <v>11319</v>
      </c>
      <c r="B6095" s="6" t="s">
        <v>2003</v>
      </c>
      <c r="C6095" s="26" t="n">
        <v>46209</v>
      </c>
      <c r="D6095" s="6" t="s">
        <v>5220</v>
      </c>
      <c r="E6095" s="6" t="s">
        <v>24</v>
      </c>
      <c r="F6095" s="6" t="n">
        <v>2</v>
      </c>
      <c r="G6095" s="10" t="n">
        <v>1064</v>
      </c>
      <c r="H6095" s="10" t="n">
        <f aca="false">F6095*G6095</f>
        <v>2128</v>
      </c>
      <c r="I6095" s="6" t="s">
        <v>5122</v>
      </c>
    </row>
    <row r="6096" customFormat="false" ht="15" hidden="false" customHeight="false" outlineLevel="0" collapsed="false">
      <c r="A6096" s="6" t="s">
        <v>11320</v>
      </c>
      <c r="B6096" s="6" t="s">
        <v>1801</v>
      </c>
      <c r="C6096" s="26" t="n">
        <v>46209</v>
      </c>
      <c r="D6096" s="6" t="s">
        <v>5163</v>
      </c>
      <c r="E6096" s="6" t="s">
        <v>23</v>
      </c>
      <c r="F6096" s="6" t="n">
        <v>5</v>
      </c>
      <c r="G6096" s="10" t="n">
        <v>783</v>
      </c>
      <c r="H6096" s="10" t="n">
        <f aca="false">F6096*G6096</f>
        <v>3915</v>
      </c>
      <c r="I6096" s="6" t="s">
        <v>5130</v>
      </c>
    </row>
    <row r="6097" customFormat="false" ht="15" hidden="false" customHeight="false" outlineLevel="0" collapsed="false">
      <c r="A6097" s="6" t="s">
        <v>11321</v>
      </c>
      <c r="B6097" s="6" t="s">
        <v>374</v>
      </c>
      <c r="C6097" s="26" t="n">
        <v>46209</v>
      </c>
      <c r="D6097" s="6" t="s">
        <v>5190</v>
      </c>
      <c r="E6097" s="6" t="s">
        <v>24</v>
      </c>
      <c r="F6097" s="6" t="n">
        <v>2</v>
      </c>
      <c r="G6097" s="10" t="n">
        <v>549</v>
      </c>
      <c r="H6097" s="10" t="n">
        <f aca="false">F6097*G6097</f>
        <v>1098</v>
      </c>
      <c r="I6097" s="6" t="s">
        <v>5148</v>
      </c>
    </row>
    <row r="6098" customFormat="false" ht="15" hidden="false" customHeight="false" outlineLevel="0" collapsed="false">
      <c r="A6098" s="6" t="s">
        <v>11322</v>
      </c>
      <c r="B6098" s="6" t="s">
        <v>4979</v>
      </c>
      <c r="C6098" s="26" t="n">
        <v>46209</v>
      </c>
      <c r="D6098" s="6" t="s">
        <v>5691</v>
      </c>
      <c r="E6098" s="6" t="s">
        <v>21</v>
      </c>
      <c r="F6098" s="6" t="n">
        <v>1</v>
      </c>
      <c r="G6098" s="10" t="n">
        <v>5897</v>
      </c>
      <c r="H6098" s="10" t="n">
        <f aca="false">F6098*G6098</f>
        <v>5897</v>
      </c>
      <c r="I6098" s="6" t="s">
        <v>5122</v>
      </c>
    </row>
    <row r="6099" customFormat="false" ht="15" hidden="false" customHeight="false" outlineLevel="0" collapsed="false">
      <c r="A6099" s="6" t="s">
        <v>11323</v>
      </c>
      <c r="B6099" s="6" t="s">
        <v>1843</v>
      </c>
      <c r="C6099" s="26" t="n">
        <v>46209</v>
      </c>
      <c r="D6099" s="6" t="s">
        <v>5165</v>
      </c>
      <c r="E6099" s="6" t="s">
        <v>22</v>
      </c>
      <c r="F6099" s="6" t="n">
        <v>2</v>
      </c>
      <c r="G6099" s="10" t="n">
        <v>977</v>
      </c>
      <c r="H6099" s="10" t="n">
        <f aca="false">F6099*G6099</f>
        <v>1954</v>
      </c>
      <c r="I6099" s="6" t="s">
        <v>5148</v>
      </c>
    </row>
    <row r="6100" customFormat="false" ht="15" hidden="false" customHeight="false" outlineLevel="0" collapsed="false">
      <c r="A6100" s="6" t="s">
        <v>11324</v>
      </c>
      <c r="B6100" s="6" t="s">
        <v>909</v>
      </c>
      <c r="C6100" s="26" t="n">
        <v>46209</v>
      </c>
      <c r="D6100" s="6" t="s">
        <v>5163</v>
      </c>
      <c r="E6100" s="6" t="s">
        <v>23</v>
      </c>
      <c r="F6100" s="6" t="n">
        <v>1</v>
      </c>
      <c r="G6100" s="10" t="n">
        <v>782</v>
      </c>
      <c r="H6100" s="10" t="n">
        <f aca="false">F6100*G6100</f>
        <v>782</v>
      </c>
      <c r="I6100" s="6" t="s">
        <v>5173</v>
      </c>
    </row>
    <row r="6101" customFormat="false" ht="15" hidden="false" customHeight="false" outlineLevel="0" collapsed="false">
      <c r="A6101" s="6" t="s">
        <v>11325</v>
      </c>
      <c r="B6101" s="6" t="s">
        <v>3177</v>
      </c>
      <c r="C6101" s="26" t="n">
        <v>46209</v>
      </c>
      <c r="D6101" s="6" t="s">
        <v>5197</v>
      </c>
      <c r="E6101" s="6" t="s">
        <v>21</v>
      </c>
      <c r="F6101" s="6" t="n">
        <v>3</v>
      </c>
      <c r="G6101" s="10" t="n">
        <v>1080</v>
      </c>
      <c r="H6101" s="10" t="n">
        <f aca="false">F6101*G6101</f>
        <v>3240</v>
      </c>
      <c r="I6101" s="6" t="s">
        <v>5125</v>
      </c>
    </row>
    <row r="6102" customFormat="false" ht="15" hidden="false" customHeight="false" outlineLevel="0" collapsed="false">
      <c r="A6102" s="6" t="s">
        <v>11326</v>
      </c>
      <c r="B6102" s="6" t="s">
        <v>4659</v>
      </c>
      <c r="C6102" s="26" t="n">
        <v>46209</v>
      </c>
      <c r="D6102" s="6" t="s">
        <v>5160</v>
      </c>
      <c r="E6102" s="6" t="s">
        <v>21</v>
      </c>
      <c r="F6102" s="6" t="n">
        <v>1</v>
      </c>
      <c r="G6102" s="10" t="n">
        <v>2751</v>
      </c>
      <c r="H6102" s="10" t="n">
        <f aca="false">F6102*G6102</f>
        <v>2751</v>
      </c>
      <c r="I6102" s="6" t="s">
        <v>5122</v>
      </c>
    </row>
    <row r="6103" customFormat="false" ht="15" hidden="false" customHeight="false" outlineLevel="0" collapsed="false">
      <c r="A6103" s="6" t="s">
        <v>11327</v>
      </c>
      <c r="B6103" s="6" t="s">
        <v>3301</v>
      </c>
      <c r="C6103" s="26" t="n">
        <v>46209</v>
      </c>
      <c r="D6103" s="6" t="s">
        <v>5167</v>
      </c>
      <c r="E6103" s="6" t="s">
        <v>22</v>
      </c>
      <c r="F6103" s="6" t="n">
        <v>1</v>
      </c>
      <c r="G6103" s="10" t="n">
        <v>702</v>
      </c>
      <c r="H6103" s="10" t="n">
        <f aca="false">F6103*G6103</f>
        <v>702</v>
      </c>
      <c r="I6103" s="6" t="s">
        <v>5122</v>
      </c>
    </row>
    <row r="6104" customFormat="false" ht="15" hidden="false" customHeight="false" outlineLevel="0" collapsed="false">
      <c r="A6104" s="6" t="s">
        <v>11328</v>
      </c>
      <c r="B6104" s="6" t="s">
        <v>4333</v>
      </c>
      <c r="C6104" s="26" t="n">
        <v>46209</v>
      </c>
      <c r="D6104" s="6" t="s">
        <v>5167</v>
      </c>
      <c r="E6104" s="6" t="s">
        <v>22</v>
      </c>
      <c r="F6104" s="6" t="n">
        <v>2</v>
      </c>
      <c r="G6104" s="10" t="n">
        <v>703</v>
      </c>
      <c r="H6104" s="10" t="n">
        <f aca="false">F6104*G6104</f>
        <v>1406</v>
      </c>
      <c r="I6104" s="6" t="s">
        <v>5125</v>
      </c>
    </row>
    <row r="6105" customFormat="false" ht="15" hidden="false" customHeight="false" outlineLevel="0" collapsed="false">
      <c r="A6105" s="6" t="s">
        <v>11329</v>
      </c>
      <c r="B6105" s="6" t="s">
        <v>1245</v>
      </c>
      <c r="C6105" s="26" t="n">
        <v>46209</v>
      </c>
      <c r="D6105" s="6" t="s">
        <v>5160</v>
      </c>
      <c r="E6105" s="6" t="s">
        <v>21</v>
      </c>
      <c r="F6105" s="6" t="n">
        <v>3</v>
      </c>
      <c r="G6105" s="10" t="n">
        <v>2476</v>
      </c>
      <c r="H6105" s="10" t="n">
        <f aca="false">F6105*G6105</f>
        <v>7428</v>
      </c>
      <c r="I6105" s="6" t="s">
        <v>5122</v>
      </c>
    </row>
    <row r="6106" customFormat="false" ht="15" hidden="false" customHeight="false" outlineLevel="0" collapsed="false">
      <c r="A6106" s="6" t="s">
        <v>11330</v>
      </c>
      <c r="B6106" s="6" t="s">
        <v>729</v>
      </c>
      <c r="C6106" s="26" t="n">
        <v>46209</v>
      </c>
      <c r="D6106" s="6" t="s">
        <v>5200</v>
      </c>
      <c r="E6106" s="6" t="s">
        <v>24</v>
      </c>
      <c r="F6106" s="6" t="n">
        <v>3</v>
      </c>
      <c r="G6106" s="10" t="n">
        <v>763</v>
      </c>
      <c r="H6106" s="10" t="n">
        <f aca="false">F6106*G6106</f>
        <v>2289</v>
      </c>
      <c r="I6106" s="6" t="s">
        <v>5133</v>
      </c>
    </row>
    <row r="6107" customFormat="false" ht="15" hidden="false" customHeight="false" outlineLevel="0" collapsed="false">
      <c r="A6107" s="6" t="s">
        <v>11331</v>
      </c>
      <c r="B6107" s="6" t="s">
        <v>4045</v>
      </c>
      <c r="C6107" s="26" t="n">
        <v>46209</v>
      </c>
      <c r="D6107" s="6" t="s">
        <v>5124</v>
      </c>
      <c r="E6107" s="6" t="s">
        <v>21</v>
      </c>
      <c r="F6107" s="6" t="n">
        <v>1</v>
      </c>
      <c r="G6107" s="10" t="n">
        <v>3439</v>
      </c>
      <c r="H6107" s="10" t="n">
        <f aca="false">F6107*G6107</f>
        <v>3439</v>
      </c>
      <c r="I6107" s="6" t="s">
        <v>5133</v>
      </c>
    </row>
    <row r="6108" customFormat="false" ht="15" hidden="false" customHeight="false" outlineLevel="0" collapsed="false">
      <c r="A6108" s="6" t="s">
        <v>11332</v>
      </c>
      <c r="B6108" s="6" t="s">
        <v>96</v>
      </c>
      <c r="C6108" s="26" t="n">
        <v>46209</v>
      </c>
      <c r="D6108" s="6" t="s">
        <v>5863</v>
      </c>
      <c r="E6108" s="6" t="s">
        <v>20</v>
      </c>
      <c r="F6108" s="6" t="n">
        <v>1</v>
      </c>
      <c r="G6108" s="10" t="n">
        <v>19999</v>
      </c>
      <c r="H6108" s="10" t="n">
        <f aca="false">F6108*G6108</f>
        <v>19999</v>
      </c>
      <c r="I6108" s="6" t="s">
        <v>5122</v>
      </c>
    </row>
    <row r="6109" customFormat="false" ht="15" hidden="false" customHeight="false" outlineLevel="0" collapsed="false">
      <c r="A6109" s="6" t="s">
        <v>11333</v>
      </c>
      <c r="B6109" s="6" t="s">
        <v>3627</v>
      </c>
      <c r="C6109" s="26" t="n">
        <v>46209</v>
      </c>
      <c r="D6109" s="6" t="s">
        <v>5188</v>
      </c>
      <c r="E6109" s="6" t="s">
        <v>24</v>
      </c>
      <c r="F6109" s="6" t="n">
        <v>3</v>
      </c>
      <c r="G6109" s="10" t="n">
        <v>1018</v>
      </c>
      <c r="H6109" s="10" t="n">
        <f aca="false">F6109*G6109</f>
        <v>3054</v>
      </c>
      <c r="I6109" s="6" t="s">
        <v>5148</v>
      </c>
    </row>
    <row r="6110" customFormat="false" ht="15" hidden="false" customHeight="false" outlineLevel="0" collapsed="false">
      <c r="A6110" s="6" t="s">
        <v>11334</v>
      </c>
      <c r="B6110" s="6" t="s">
        <v>5027</v>
      </c>
      <c r="C6110" s="26" t="n">
        <v>46209</v>
      </c>
      <c r="D6110" s="6" t="s">
        <v>5218</v>
      </c>
      <c r="E6110" s="6" t="s">
        <v>23</v>
      </c>
      <c r="F6110" s="6" t="n">
        <v>2</v>
      </c>
      <c r="G6110" s="10" t="n">
        <v>148</v>
      </c>
      <c r="H6110" s="10" t="n">
        <f aca="false">F6110*G6110</f>
        <v>296</v>
      </c>
      <c r="I6110" s="6" t="s">
        <v>5122</v>
      </c>
    </row>
    <row r="6111" customFormat="false" ht="15" hidden="false" customHeight="false" outlineLevel="0" collapsed="false">
      <c r="A6111" s="6" t="s">
        <v>11335</v>
      </c>
      <c r="B6111" s="6" t="s">
        <v>1669</v>
      </c>
      <c r="C6111" s="26" t="n">
        <v>46209</v>
      </c>
      <c r="D6111" s="6" t="s">
        <v>5163</v>
      </c>
      <c r="E6111" s="6" t="s">
        <v>23</v>
      </c>
      <c r="F6111" s="6" t="n">
        <v>1</v>
      </c>
      <c r="G6111" s="10" t="n">
        <v>782</v>
      </c>
      <c r="H6111" s="10" t="n">
        <f aca="false">F6111*G6111</f>
        <v>782</v>
      </c>
      <c r="I6111" s="6" t="s">
        <v>5122</v>
      </c>
    </row>
    <row r="6112" customFormat="false" ht="15" hidden="false" customHeight="false" outlineLevel="0" collapsed="false">
      <c r="A6112" s="6" t="s">
        <v>11336</v>
      </c>
      <c r="B6112" s="6" t="s">
        <v>4465</v>
      </c>
      <c r="C6112" s="26" t="n">
        <v>46209</v>
      </c>
      <c r="D6112" s="6" t="s">
        <v>5190</v>
      </c>
      <c r="E6112" s="6" t="s">
        <v>24</v>
      </c>
      <c r="F6112" s="6" t="n">
        <v>1</v>
      </c>
      <c r="G6112" s="10" t="n">
        <v>549</v>
      </c>
      <c r="H6112" s="10" t="n">
        <f aca="false">F6112*G6112</f>
        <v>549</v>
      </c>
      <c r="I6112" s="6" t="s">
        <v>5148</v>
      </c>
    </row>
    <row r="6113" customFormat="false" ht="15" hidden="false" customHeight="false" outlineLevel="0" collapsed="false">
      <c r="A6113" s="6" t="s">
        <v>11337</v>
      </c>
      <c r="B6113" s="6" t="s">
        <v>4647</v>
      </c>
      <c r="C6113" s="26" t="n">
        <v>46209</v>
      </c>
      <c r="D6113" s="6" t="s">
        <v>5163</v>
      </c>
      <c r="E6113" s="6" t="s">
        <v>23</v>
      </c>
      <c r="F6113" s="6" t="n">
        <v>5</v>
      </c>
      <c r="G6113" s="10" t="n">
        <v>705</v>
      </c>
      <c r="H6113" s="10" t="n">
        <f aca="false">F6113*G6113</f>
        <v>3525</v>
      </c>
      <c r="I6113" s="6" t="s">
        <v>5125</v>
      </c>
    </row>
    <row r="6114" customFormat="false" ht="15" hidden="false" customHeight="false" outlineLevel="0" collapsed="false">
      <c r="A6114" s="6" t="s">
        <v>11338</v>
      </c>
      <c r="B6114" s="6" t="s">
        <v>1733</v>
      </c>
      <c r="C6114" s="26" t="n">
        <v>46209</v>
      </c>
      <c r="D6114" s="6" t="s">
        <v>5121</v>
      </c>
      <c r="E6114" s="6" t="s">
        <v>22</v>
      </c>
      <c r="F6114" s="6" t="n">
        <v>2</v>
      </c>
      <c r="G6114" s="10" t="n">
        <v>977</v>
      </c>
      <c r="H6114" s="10" t="n">
        <f aca="false">F6114*G6114</f>
        <v>1954</v>
      </c>
      <c r="I6114" s="6" t="s">
        <v>5148</v>
      </c>
    </row>
    <row r="6115" customFormat="false" ht="15" hidden="false" customHeight="false" outlineLevel="0" collapsed="false">
      <c r="A6115" s="6" t="s">
        <v>11339</v>
      </c>
      <c r="B6115" s="6" t="s">
        <v>3783</v>
      </c>
      <c r="C6115" s="26" t="n">
        <v>46209</v>
      </c>
      <c r="D6115" s="6" t="s">
        <v>5216</v>
      </c>
      <c r="E6115" s="6" t="s">
        <v>23</v>
      </c>
      <c r="F6115" s="6" t="n">
        <v>2</v>
      </c>
      <c r="G6115" s="10" t="n">
        <v>587</v>
      </c>
      <c r="H6115" s="10" t="n">
        <f aca="false">F6115*G6115</f>
        <v>1174</v>
      </c>
      <c r="I6115" s="6" t="s">
        <v>5148</v>
      </c>
    </row>
    <row r="6116" customFormat="false" ht="15" hidden="false" customHeight="false" outlineLevel="0" collapsed="false">
      <c r="A6116" s="6" t="s">
        <v>11340</v>
      </c>
      <c r="B6116" s="6" t="s">
        <v>2175</v>
      </c>
      <c r="C6116" s="26" t="n">
        <v>46209</v>
      </c>
      <c r="D6116" s="6" t="s">
        <v>5171</v>
      </c>
      <c r="E6116" s="6" t="s">
        <v>23</v>
      </c>
      <c r="F6116" s="6" t="n">
        <v>1</v>
      </c>
      <c r="G6116" s="10" t="n">
        <v>733</v>
      </c>
      <c r="H6116" s="10" t="n">
        <f aca="false">F6116*G6116</f>
        <v>733</v>
      </c>
      <c r="I6116" s="6" t="s">
        <v>5148</v>
      </c>
    </row>
    <row r="6117" customFormat="false" ht="15" hidden="false" customHeight="false" outlineLevel="0" collapsed="false">
      <c r="A6117" s="6" t="s">
        <v>11341</v>
      </c>
      <c r="B6117" s="6" t="s">
        <v>4087</v>
      </c>
      <c r="C6117" s="26" t="n">
        <v>46209</v>
      </c>
      <c r="D6117" s="6" t="s">
        <v>5135</v>
      </c>
      <c r="E6117" s="6" t="s">
        <v>23</v>
      </c>
      <c r="F6117" s="6" t="n">
        <v>3</v>
      </c>
      <c r="G6117" s="10" t="n">
        <v>441</v>
      </c>
      <c r="H6117" s="10" t="n">
        <f aca="false">F6117*G6117</f>
        <v>1323</v>
      </c>
      <c r="I6117" s="6" t="s">
        <v>5148</v>
      </c>
    </row>
    <row r="6118" customFormat="false" ht="15" hidden="false" customHeight="false" outlineLevel="0" collapsed="false">
      <c r="A6118" s="6" t="s">
        <v>11342</v>
      </c>
      <c r="B6118" s="6" t="s">
        <v>2217</v>
      </c>
      <c r="C6118" s="26" t="n">
        <v>46209</v>
      </c>
      <c r="D6118" s="6" t="s">
        <v>5182</v>
      </c>
      <c r="E6118" s="6" t="s">
        <v>23</v>
      </c>
      <c r="F6118" s="6" t="n">
        <v>3</v>
      </c>
      <c r="G6118" s="10" t="n">
        <v>367</v>
      </c>
      <c r="H6118" s="10" t="n">
        <f aca="false">F6118*G6118</f>
        <v>1101</v>
      </c>
      <c r="I6118" s="6" t="s">
        <v>5122</v>
      </c>
    </row>
    <row r="6119" customFormat="false" ht="15" hidden="false" customHeight="false" outlineLevel="0" collapsed="false">
      <c r="A6119" s="6" t="s">
        <v>11343</v>
      </c>
      <c r="B6119" s="6" t="s">
        <v>3927</v>
      </c>
      <c r="C6119" s="26" t="n">
        <v>46209</v>
      </c>
      <c r="D6119" s="6" t="s">
        <v>5141</v>
      </c>
      <c r="E6119" s="6" t="s">
        <v>20</v>
      </c>
      <c r="F6119" s="6" t="n">
        <v>1</v>
      </c>
      <c r="G6119" s="10" t="n">
        <v>1650</v>
      </c>
      <c r="H6119" s="10" t="n">
        <f aca="false">F6119*G6119</f>
        <v>1650</v>
      </c>
      <c r="I6119" s="6" t="s">
        <v>5122</v>
      </c>
    </row>
    <row r="6120" customFormat="false" ht="15" hidden="false" customHeight="false" outlineLevel="0" collapsed="false">
      <c r="A6120" s="6" t="s">
        <v>11344</v>
      </c>
      <c r="B6120" s="6" t="s">
        <v>3495</v>
      </c>
      <c r="C6120" s="26" t="n">
        <v>46209</v>
      </c>
      <c r="D6120" s="6" t="s">
        <v>5240</v>
      </c>
      <c r="E6120" s="6" t="s">
        <v>20</v>
      </c>
      <c r="F6120" s="6" t="n">
        <v>2</v>
      </c>
      <c r="G6120" s="10" t="n">
        <v>5098</v>
      </c>
      <c r="H6120" s="10" t="n">
        <f aca="false">F6120*G6120</f>
        <v>10196</v>
      </c>
      <c r="I6120" s="6" t="s">
        <v>5122</v>
      </c>
    </row>
    <row r="6121" customFormat="false" ht="15" hidden="false" customHeight="false" outlineLevel="0" collapsed="false">
      <c r="A6121" s="6" t="s">
        <v>11345</v>
      </c>
      <c r="B6121" s="6" t="s">
        <v>4373</v>
      </c>
      <c r="C6121" s="26" t="n">
        <v>46209</v>
      </c>
      <c r="D6121" s="6" t="s">
        <v>5197</v>
      </c>
      <c r="E6121" s="6" t="s">
        <v>21</v>
      </c>
      <c r="F6121" s="6" t="n">
        <v>2</v>
      </c>
      <c r="G6121" s="10" t="n">
        <v>972</v>
      </c>
      <c r="H6121" s="10" t="n">
        <f aca="false">F6121*G6121</f>
        <v>1944</v>
      </c>
      <c r="I6121" s="6" t="s">
        <v>5130</v>
      </c>
    </row>
    <row r="6122" customFormat="false" ht="15" hidden="false" customHeight="false" outlineLevel="0" collapsed="false">
      <c r="A6122" s="6" t="s">
        <v>11346</v>
      </c>
      <c r="B6122" s="6" t="s">
        <v>3757</v>
      </c>
      <c r="C6122" s="26" t="n">
        <v>46209</v>
      </c>
      <c r="D6122" s="6" t="s">
        <v>5124</v>
      </c>
      <c r="E6122" s="6" t="s">
        <v>21</v>
      </c>
      <c r="F6122" s="6" t="n">
        <v>1</v>
      </c>
      <c r="G6122" s="10" t="n">
        <v>3439</v>
      </c>
      <c r="H6122" s="10" t="n">
        <f aca="false">F6122*G6122</f>
        <v>3439</v>
      </c>
      <c r="I6122" s="6" t="s">
        <v>5133</v>
      </c>
    </row>
    <row r="6123" customFormat="false" ht="15" hidden="false" customHeight="false" outlineLevel="0" collapsed="false">
      <c r="A6123" s="6" t="s">
        <v>11347</v>
      </c>
      <c r="B6123" s="6" t="s">
        <v>4371</v>
      </c>
      <c r="C6123" s="26" t="n">
        <v>46209</v>
      </c>
      <c r="D6123" s="6" t="s">
        <v>5163</v>
      </c>
      <c r="E6123" s="6" t="s">
        <v>23</v>
      </c>
      <c r="F6123" s="6" t="n">
        <v>1</v>
      </c>
      <c r="G6123" s="10" t="n">
        <v>783</v>
      </c>
      <c r="H6123" s="10" t="n">
        <f aca="false">F6123*G6123</f>
        <v>783</v>
      </c>
      <c r="I6123" s="6" t="s">
        <v>5122</v>
      </c>
    </row>
    <row r="6124" customFormat="false" ht="15" hidden="false" customHeight="false" outlineLevel="0" collapsed="false">
      <c r="A6124" s="6" t="s">
        <v>11348</v>
      </c>
      <c r="B6124" s="6" t="s">
        <v>4871</v>
      </c>
      <c r="C6124" s="26" t="n">
        <v>46209</v>
      </c>
      <c r="D6124" s="6" t="s">
        <v>5167</v>
      </c>
      <c r="E6124" s="6" t="s">
        <v>22</v>
      </c>
      <c r="F6124" s="6" t="n">
        <v>1</v>
      </c>
      <c r="G6124" s="10" t="n">
        <v>703</v>
      </c>
      <c r="H6124" s="10" t="n">
        <f aca="false">F6124*G6124</f>
        <v>703</v>
      </c>
      <c r="I6124" s="6" t="s">
        <v>5130</v>
      </c>
    </row>
    <row r="6125" customFormat="false" ht="15" hidden="false" customHeight="false" outlineLevel="0" collapsed="false">
      <c r="A6125" s="6" t="s">
        <v>11349</v>
      </c>
      <c r="B6125" s="6" t="s">
        <v>3977</v>
      </c>
      <c r="C6125" s="26" t="n">
        <v>46209</v>
      </c>
      <c r="D6125" s="6" t="s">
        <v>5141</v>
      </c>
      <c r="E6125" s="6" t="s">
        <v>20</v>
      </c>
      <c r="F6125" s="6" t="n">
        <v>1</v>
      </c>
      <c r="G6125" s="10" t="n">
        <v>1835</v>
      </c>
      <c r="H6125" s="10" t="n">
        <f aca="false">F6125*G6125</f>
        <v>1835</v>
      </c>
      <c r="I6125" s="6" t="s">
        <v>5125</v>
      </c>
    </row>
    <row r="6126" customFormat="false" ht="15" hidden="false" customHeight="false" outlineLevel="0" collapsed="false">
      <c r="A6126" s="6" t="s">
        <v>11350</v>
      </c>
      <c r="B6126" s="6" t="s">
        <v>4859</v>
      </c>
      <c r="C6126" s="26" t="n">
        <v>46209</v>
      </c>
      <c r="D6126" s="6" t="s">
        <v>5353</v>
      </c>
      <c r="E6126" s="6" t="s">
        <v>24</v>
      </c>
      <c r="F6126" s="6" t="n">
        <v>4</v>
      </c>
      <c r="G6126" s="10" t="n">
        <v>1629</v>
      </c>
      <c r="H6126" s="10" t="n">
        <f aca="false">F6126*G6126</f>
        <v>6516</v>
      </c>
      <c r="I6126" s="6" t="s">
        <v>5130</v>
      </c>
    </row>
    <row r="6127" customFormat="false" ht="15" hidden="false" customHeight="false" outlineLevel="0" collapsed="false">
      <c r="A6127" s="6" t="s">
        <v>11351</v>
      </c>
      <c r="B6127" s="6" t="s">
        <v>1635</v>
      </c>
      <c r="C6127" s="26" t="n">
        <v>46210</v>
      </c>
      <c r="D6127" s="6" t="s">
        <v>5180</v>
      </c>
      <c r="E6127" s="6" t="s">
        <v>24</v>
      </c>
      <c r="F6127" s="6" t="n">
        <v>2</v>
      </c>
      <c r="G6127" s="10" t="n">
        <v>1888</v>
      </c>
      <c r="H6127" s="10" t="n">
        <f aca="false">F6127*G6127</f>
        <v>3776</v>
      </c>
      <c r="I6127" s="6" t="s">
        <v>5122</v>
      </c>
    </row>
    <row r="6128" customFormat="false" ht="15" hidden="false" customHeight="false" outlineLevel="0" collapsed="false">
      <c r="A6128" s="6" t="s">
        <v>11352</v>
      </c>
      <c r="B6128" s="6" t="s">
        <v>4467</v>
      </c>
      <c r="C6128" s="26" t="n">
        <v>46210</v>
      </c>
      <c r="D6128" s="6" t="s">
        <v>5121</v>
      </c>
      <c r="E6128" s="6" t="s">
        <v>22</v>
      </c>
      <c r="F6128" s="6" t="n">
        <v>2</v>
      </c>
      <c r="G6128" s="10" t="n">
        <v>880</v>
      </c>
      <c r="H6128" s="10" t="n">
        <f aca="false">F6128*G6128</f>
        <v>1760</v>
      </c>
      <c r="I6128" s="6" t="s">
        <v>5122</v>
      </c>
    </row>
    <row r="6129" customFormat="false" ht="15" hidden="false" customHeight="false" outlineLevel="0" collapsed="false">
      <c r="A6129" s="6" t="s">
        <v>11353</v>
      </c>
      <c r="B6129" s="6" t="s">
        <v>5007</v>
      </c>
      <c r="C6129" s="26" t="n">
        <v>46210</v>
      </c>
      <c r="D6129" s="6" t="s">
        <v>5261</v>
      </c>
      <c r="E6129" s="6" t="s">
        <v>23</v>
      </c>
      <c r="F6129" s="6" t="n">
        <v>4</v>
      </c>
      <c r="G6129" s="10" t="n">
        <v>175</v>
      </c>
      <c r="H6129" s="10" t="n">
        <f aca="false">F6129*G6129</f>
        <v>700</v>
      </c>
      <c r="I6129" s="6" t="s">
        <v>5130</v>
      </c>
    </row>
    <row r="6130" customFormat="false" ht="15" hidden="false" customHeight="false" outlineLevel="0" collapsed="false">
      <c r="A6130" s="6" t="s">
        <v>11354</v>
      </c>
      <c r="B6130" s="6" t="s">
        <v>2959</v>
      </c>
      <c r="C6130" s="26" t="n">
        <v>46210</v>
      </c>
      <c r="D6130" s="6" t="s">
        <v>5165</v>
      </c>
      <c r="E6130" s="6" t="s">
        <v>22</v>
      </c>
      <c r="F6130" s="6" t="n">
        <v>1</v>
      </c>
      <c r="G6130" s="10" t="n">
        <v>928</v>
      </c>
      <c r="H6130" s="10" t="n">
        <f aca="false">F6130*G6130</f>
        <v>928</v>
      </c>
      <c r="I6130" s="6" t="s">
        <v>5148</v>
      </c>
    </row>
    <row r="6131" customFormat="false" ht="15" hidden="false" customHeight="false" outlineLevel="0" collapsed="false">
      <c r="A6131" s="6" t="s">
        <v>11355</v>
      </c>
      <c r="B6131" s="6" t="s">
        <v>4849</v>
      </c>
      <c r="C6131" s="26" t="n">
        <v>46210</v>
      </c>
      <c r="D6131" s="6" t="s">
        <v>5339</v>
      </c>
      <c r="E6131" s="6" t="s">
        <v>24</v>
      </c>
      <c r="F6131" s="6" t="n">
        <v>1</v>
      </c>
      <c r="G6131" s="10" t="n">
        <v>458</v>
      </c>
      <c r="H6131" s="10" t="n">
        <f aca="false">F6131*G6131</f>
        <v>458</v>
      </c>
      <c r="I6131" s="6" t="s">
        <v>5173</v>
      </c>
    </row>
    <row r="6132" customFormat="false" ht="15" hidden="false" customHeight="false" outlineLevel="0" collapsed="false">
      <c r="A6132" s="6" t="s">
        <v>11356</v>
      </c>
      <c r="B6132" s="6" t="s">
        <v>2477</v>
      </c>
      <c r="C6132" s="26" t="n">
        <v>46210</v>
      </c>
      <c r="D6132" s="6" t="s">
        <v>5165</v>
      </c>
      <c r="E6132" s="6" t="s">
        <v>22</v>
      </c>
      <c r="F6132" s="6" t="n">
        <v>1</v>
      </c>
      <c r="G6132" s="10" t="n">
        <v>977</v>
      </c>
      <c r="H6132" s="10" t="n">
        <f aca="false">F6132*G6132</f>
        <v>977</v>
      </c>
      <c r="I6132" s="6" t="s">
        <v>5148</v>
      </c>
    </row>
    <row r="6133" customFormat="false" ht="15" hidden="false" customHeight="false" outlineLevel="0" collapsed="false">
      <c r="A6133" s="6" t="s">
        <v>11357</v>
      </c>
      <c r="B6133" s="6" t="s">
        <v>1857</v>
      </c>
      <c r="C6133" s="26" t="n">
        <v>46210</v>
      </c>
      <c r="D6133" s="6" t="s">
        <v>5171</v>
      </c>
      <c r="E6133" s="6" t="s">
        <v>23</v>
      </c>
      <c r="F6133" s="6" t="n">
        <v>4</v>
      </c>
      <c r="G6133" s="10" t="n">
        <v>734</v>
      </c>
      <c r="H6133" s="10" t="n">
        <f aca="false">F6133*G6133</f>
        <v>2936</v>
      </c>
      <c r="I6133" s="6" t="s">
        <v>5122</v>
      </c>
    </row>
    <row r="6134" customFormat="false" ht="15" hidden="false" customHeight="false" outlineLevel="0" collapsed="false">
      <c r="A6134" s="6" t="s">
        <v>11358</v>
      </c>
      <c r="B6134" s="6" t="s">
        <v>923</v>
      </c>
      <c r="C6134" s="26" t="n">
        <v>46210</v>
      </c>
      <c r="D6134" s="6" t="s">
        <v>5269</v>
      </c>
      <c r="E6134" s="6" t="s">
        <v>22</v>
      </c>
      <c r="F6134" s="6" t="n">
        <v>1</v>
      </c>
      <c r="G6134" s="10" t="n">
        <v>1144</v>
      </c>
      <c r="H6134" s="10" t="n">
        <f aca="false">F6134*G6134</f>
        <v>1144</v>
      </c>
      <c r="I6134" s="6" t="s">
        <v>5122</v>
      </c>
    </row>
    <row r="6135" customFormat="false" ht="15" hidden="false" customHeight="false" outlineLevel="0" collapsed="false">
      <c r="A6135" s="6" t="s">
        <v>11359</v>
      </c>
      <c r="B6135" s="6" t="s">
        <v>2825</v>
      </c>
      <c r="C6135" s="26" t="n">
        <v>46210</v>
      </c>
      <c r="D6135" s="6" t="s">
        <v>5143</v>
      </c>
      <c r="E6135" s="6" t="s">
        <v>21</v>
      </c>
      <c r="F6135" s="6" t="n">
        <v>1</v>
      </c>
      <c r="G6135" s="10" t="n">
        <v>1061</v>
      </c>
      <c r="H6135" s="10" t="n">
        <f aca="false">F6135*G6135</f>
        <v>1061</v>
      </c>
      <c r="I6135" s="6" t="s">
        <v>5130</v>
      </c>
    </row>
    <row r="6136" customFormat="false" ht="15" hidden="false" customHeight="false" outlineLevel="0" collapsed="false">
      <c r="A6136" s="6" t="s">
        <v>11360</v>
      </c>
      <c r="B6136" s="6" t="s">
        <v>2641</v>
      </c>
      <c r="C6136" s="26" t="n">
        <v>46210</v>
      </c>
      <c r="D6136" s="6" t="s">
        <v>5137</v>
      </c>
      <c r="E6136" s="6" t="s">
        <v>21</v>
      </c>
      <c r="F6136" s="6" t="n">
        <v>1</v>
      </c>
      <c r="G6136" s="10" t="n">
        <v>1768</v>
      </c>
      <c r="H6136" s="10" t="n">
        <f aca="false">F6136*G6136</f>
        <v>1768</v>
      </c>
      <c r="I6136" s="6" t="s">
        <v>5122</v>
      </c>
    </row>
    <row r="6137" customFormat="false" ht="15" hidden="false" customHeight="false" outlineLevel="0" collapsed="false">
      <c r="A6137" s="6" t="s">
        <v>11361</v>
      </c>
      <c r="B6137" s="6" t="s">
        <v>107</v>
      </c>
      <c r="C6137" s="26" t="n">
        <v>46210</v>
      </c>
      <c r="D6137" s="6" t="s">
        <v>5143</v>
      </c>
      <c r="E6137" s="6" t="s">
        <v>21</v>
      </c>
      <c r="F6137" s="6" t="n">
        <v>1</v>
      </c>
      <c r="G6137" s="10" t="n">
        <v>1179</v>
      </c>
      <c r="H6137" s="10" t="n">
        <f aca="false">F6137*G6137</f>
        <v>1179</v>
      </c>
      <c r="I6137" s="6" t="s">
        <v>5130</v>
      </c>
    </row>
    <row r="6138" customFormat="false" ht="15" hidden="false" customHeight="false" outlineLevel="0" collapsed="false">
      <c r="A6138" s="6" t="s">
        <v>11362</v>
      </c>
      <c r="B6138" s="6" t="s">
        <v>1481</v>
      </c>
      <c r="C6138" s="26" t="n">
        <v>46210</v>
      </c>
      <c r="D6138" s="6" t="s">
        <v>5139</v>
      </c>
      <c r="E6138" s="6" t="s">
        <v>23</v>
      </c>
      <c r="F6138" s="6" t="n">
        <v>2</v>
      </c>
      <c r="G6138" s="10" t="n">
        <v>279</v>
      </c>
      <c r="H6138" s="10" t="n">
        <f aca="false">F6138*G6138</f>
        <v>558</v>
      </c>
      <c r="I6138" s="6" t="s">
        <v>5148</v>
      </c>
    </row>
    <row r="6139" customFormat="false" ht="15" hidden="false" customHeight="false" outlineLevel="0" collapsed="false">
      <c r="A6139" s="6" t="s">
        <v>11363</v>
      </c>
      <c r="B6139" s="6" t="s">
        <v>4717</v>
      </c>
      <c r="C6139" s="26" t="n">
        <v>46210</v>
      </c>
      <c r="D6139" s="6" t="s">
        <v>5132</v>
      </c>
      <c r="E6139" s="6" t="s">
        <v>23</v>
      </c>
      <c r="F6139" s="6" t="n">
        <v>2</v>
      </c>
      <c r="G6139" s="10" t="n">
        <v>325</v>
      </c>
      <c r="H6139" s="10" t="n">
        <f aca="false">F6139*G6139</f>
        <v>650</v>
      </c>
      <c r="I6139" s="6" t="s">
        <v>5173</v>
      </c>
    </row>
    <row r="6140" customFormat="false" ht="15" hidden="false" customHeight="false" outlineLevel="0" collapsed="false">
      <c r="A6140" s="6" t="s">
        <v>11364</v>
      </c>
      <c r="B6140" s="6" t="s">
        <v>3655</v>
      </c>
      <c r="C6140" s="26" t="n">
        <v>46210</v>
      </c>
      <c r="D6140" s="6" t="s">
        <v>5460</v>
      </c>
      <c r="E6140" s="6" t="s">
        <v>24</v>
      </c>
      <c r="F6140" s="6" t="n">
        <v>3</v>
      </c>
      <c r="G6140" s="10" t="n">
        <v>555</v>
      </c>
      <c r="H6140" s="10" t="n">
        <f aca="false">F6140*G6140</f>
        <v>1665</v>
      </c>
      <c r="I6140" s="6" t="s">
        <v>5122</v>
      </c>
    </row>
    <row r="6141" customFormat="false" ht="15" hidden="false" customHeight="false" outlineLevel="0" collapsed="false">
      <c r="A6141" s="6" t="s">
        <v>11365</v>
      </c>
      <c r="B6141" s="6" t="s">
        <v>2293</v>
      </c>
      <c r="C6141" s="26" t="n">
        <v>46210</v>
      </c>
      <c r="D6141" s="6" t="s">
        <v>5687</v>
      </c>
      <c r="E6141" s="6" t="s">
        <v>20</v>
      </c>
      <c r="F6141" s="6" t="n">
        <v>1</v>
      </c>
      <c r="G6141" s="10" t="n">
        <v>2039</v>
      </c>
      <c r="H6141" s="10" t="n">
        <f aca="false">F6141*G6141</f>
        <v>2039</v>
      </c>
      <c r="I6141" s="6" t="s">
        <v>5122</v>
      </c>
    </row>
    <row r="6142" customFormat="false" ht="15" hidden="false" customHeight="false" outlineLevel="0" collapsed="false">
      <c r="A6142" s="6" t="s">
        <v>11366</v>
      </c>
      <c r="B6142" s="6" t="s">
        <v>4179</v>
      </c>
      <c r="C6142" s="26" t="n">
        <v>46210</v>
      </c>
      <c r="D6142" s="6" t="s">
        <v>6109</v>
      </c>
      <c r="E6142" s="6" t="s">
        <v>20</v>
      </c>
      <c r="F6142" s="6" t="n">
        <v>1</v>
      </c>
      <c r="G6142" s="10" t="n">
        <v>43850</v>
      </c>
      <c r="H6142" s="10" t="n">
        <f aca="false">F6142*G6142</f>
        <v>43850</v>
      </c>
      <c r="I6142" s="6" t="s">
        <v>5125</v>
      </c>
    </row>
    <row r="6143" customFormat="false" ht="15" hidden="false" customHeight="false" outlineLevel="0" collapsed="false">
      <c r="A6143" s="6" t="s">
        <v>11367</v>
      </c>
      <c r="B6143" s="6" t="s">
        <v>172</v>
      </c>
      <c r="C6143" s="26" t="n">
        <v>46210</v>
      </c>
      <c r="D6143" s="6" t="s">
        <v>5132</v>
      </c>
      <c r="E6143" s="6" t="s">
        <v>23</v>
      </c>
      <c r="F6143" s="6" t="n">
        <v>4</v>
      </c>
      <c r="G6143" s="10" t="n">
        <v>308</v>
      </c>
      <c r="H6143" s="10" t="n">
        <f aca="false">F6143*G6143</f>
        <v>1232</v>
      </c>
      <c r="I6143" s="6" t="s">
        <v>5130</v>
      </c>
    </row>
    <row r="6144" customFormat="false" ht="15" hidden="false" customHeight="false" outlineLevel="0" collapsed="false">
      <c r="A6144" s="6" t="s">
        <v>11368</v>
      </c>
      <c r="B6144" s="6" t="s">
        <v>3335</v>
      </c>
      <c r="C6144" s="26" t="n">
        <v>46210</v>
      </c>
      <c r="D6144" s="6" t="s">
        <v>5127</v>
      </c>
      <c r="E6144" s="6" t="s">
        <v>21</v>
      </c>
      <c r="F6144" s="6" t="n">
        <v>1</v>
      </c>
      <c r="G6144" s="10" t="n">
        <v>884</v>
      </c>
      <c r="H6144" s="10" t="n">
        <f aca="false">F6144*G6144</f>
        <v>884</v>
      </c>
      <c r="I6144" s="6" t="s">
        <v>5125</v>
      </c>
    </row>
    <row r="6145" customFormat="false" ht="15" hidden="false" customHeight="false" outlineLevel="0" collapsed="false">
      <c r="A6145" s="6" t="s">
        <v>11369</v>
      </c>
      <c r="B6145" s="6" t="s">
        <v>3085</v>
      </c>
      <c r="C6145" s="26" t="n">
        <v>46210</v>
      </c>
      <c r="D6145" s="6" t="s">
        <v>5216</v>
      </c>
      <c r="E6145" s="6" t="s">
        <v>23</v>
      </c>
      <c r="F6145" s="6" t="n">
        <v>3</v>
      </c>
      <c r="G6145" s="10" t="n">
        <v>558</v>
      </c>
      <c r="H6145" s="10" t="n">
        <f aca="false">F6145*G6145</f>
        <v>1674</v>
      </c>
      <c r="I6145" s="6" t="s">
        <v>5122</v>
      </c>
    </row>
    <row r="6146" customFormat="false" ht="15" hidden="false" customHeight="false" outlineLevel="0" collapsed="false">
      <c r="A6146" s="6" t="s">
        <v>11370</v>
      </c>
      <c r="B6146" s="6" t="s">
        <v>2911</v>
      </c>
      <c r="C6146" s="26" t="n">
        <v>46210</v>
      </c>
      <c r="D6146" s="6" t="s">
        <v>5281</v>
      </c>
      <c r="E6146" s="6" t="s">
        <v>24</v>
      </c>
      <c r="F6146" s="6" t="n">
        <v>1</v>
      </c>
      <c r="G6146" s="10" t="n">
        <v>814</v>
      </c>
      <c r="H6146" s="10" t="n">
        <f aca="false">F6146*G6146</f>
        <v>814</v>
      </c>
      <c r="I6146" s="6" t="s">
        <v>5130</v>
      </c>
    </row>
    <row r="6147" customFormat="false" ht="15" hidden="false" customHeight="false" outlineLevel="0" collapsed="false">
      <c r="A6147" s="6" t="s">
        <v>11371</v>
      </c>
      <c r="B6147" s="6" t="s">
        <v>4161</v>
      </c>
      <c r="C6147" s="26" t="n">
        <v>46210</v>
      </c>
      <c r="D6147" s="6" t="s">
        <v>5398</v>
      </c>
      <c r="E6147" s="6" t="s">
        <v>24</v>
      </c>
      <c r="F6147" s="6" t="n">
        <v>1</v>
      </c>
      <c r="G6147" s="10" t="n">
        <v>550</v>
      </c>
      <c r="H6147" s="10" t="n">
        <f aca="false">F6147*G6147</f>
        <v>550</v>
      </c>
      <c r="I6147" s="6" t="s">
        <v>5130</v>
      </c>
    </row>
    <row r="6148" customFormat="false" ht="15" hidden="false" customHeight="false" outlineLevel="0" collapsed="false">
      <c r="A6148" s="6" t="s">
        <v>11372</v>
      </c>
      <c r="B6148" s="6" t="s">
        <v>3229</v>
      </c>
      <c r="C6148" s="26" t="n">
        <v>46210</v>
      </c>
      <c r="D6148" s="6" t="s">
        <v>5167</v>
      </c>
      <c r="E6148" s="6" t="s">
        <v>22</v>
      </c>
      <c r="F6148" s="6" t="n">
        <v>2</v>
      </c>
      <c r="G6148" s="10" t="n">
        <v>782</v>
      </c>
      <c r="H6148" s="10" t="n">
        <f aca="false">F6148*G6148</f>
        <v>1564</v>
      </c>
      <c r="I6148" s="6" t="s">
        <v>5125</v>
      </c>
    </row>
    <row r="6149" customFormat="false" ht="15" hidden="false" customHeight="false" outlineLevel="0" collapsed="false">
      <c r="A6149" s="6" t="s">
        <v>11373</v>
      </c>
      <c r="B6149" s="6" t="s">
        <v>3539</v>
      </c>
      <c r="C6149" s="26" t="n">
        <v>46210</v>
      </c>
      <c r="D6149" s="6" t="s">
        <v>5423</v>
      </c>
      <c r="E6149" s="6" t="s">
        <v>21</v>
      </c>
      <c r="F6149" s="6" t="n">
        <v>1</v>
      </c>
      <c r="G6149" s="10" t="n">
        <v>3243</v>
      </c>
      <c r="H6149" s="10" t="n">
        <f aca="false">F6149*G6149</f>
        <v>3243</v>
      </c>
      <c r="I6149" s="6" t="s">
        <v>5148</v>
      </c>
    </row>
    <row r="6150" customFormat="false" ht="15" hidden="false" customHeight="false" outlineLevel="0" collapsed="false">
      <c r="A6150" s="6" t="s">
        <v>11374</v>
      </c>
      <c r="B6150" s="6" t="s">
        <v>4391</v>
      </c>
      <c r="C6150" s="26" t="n">
        <v>46210</v>
      </c>
      <c r="D6150" s="6" t="s">
        <v>5220</v>
      </c>
      <c r="E6150" s="6" t="s">
        <v>24</v>
      </c>
      <c r="F6150" s="6" t="n">
        <v>3</v>
      </c>
      <c r="G6150" s="10" t="n">
        <v>1120</v>
      </c>
      <c r="H6150" s="10" t="n">
        <f aca="false">F6150*G6150</f>
        <v>3360</v>
      </c>
      <c r="I6150" s="6" t="s">
        <v>5125</v>
      </c>
    </row>
    <row r="6151" customFormat="false" ht="15" hidden="false" customHeight="false" outlineLevel="0" collapsed="false">
      <c r="A6151" s="6" t="s">
        <v>11375</v>
      </c>
      <c r="B6151" s="6" t="s">
        <v>3307</v>
      </c>
      <c r="C6151" s="26" t="n">
        <v>46210</v>
      </c>
      <c r="D6151" s="6" t="s">
        <v>5121</v>
      </c>
      <c r="E6151" s="6" t="s">
        <v>22</v>
      </c>
      <c r="F6151" s="6" t="n">
        <v>1</v>
      </c>
      <c r="G6151" s="10" t="n">
        <v>928</v>
      </c>
      <c r="H6151" s="10" t="n">
        <f aca="false">F6151*G6151</f>
        <v>928</v>
      </c>
      <c r="I6151" s="6" t="s">
        <v>5130</v>
      </c>
    </row>
    <row r="6152" customFormat="false" ht="15" hidden="false" customHeight="false" outlineLevel="0" collapsed="false">
      <c r="A6152" s="6" t="s">
        <v>11376</v>
      </c>
      <c r="B6152" s="6" t="s">
        <v>192</v>
      </c>
      <c r="C6152" s="26" t="n">
        <v>46210</v>
      </c>
      <c r="D6152" s="6" t="s">
        <v>5171</v>
      </c>
      <c r="E6152" s="6" t="s">
        <v>23</v>
      </c>
      <c r="F6152" s="6" t="n">
        <v>3</v>
      </c>
      <c r="G6152" s="10" t="n">
        <v>734</v>
      </c>
      <c r="H6152" s="10" t="n">
        <f aca="false">F6152*G6152</f>
        <v>2202</v>
      </c>
      <c r="I6152" s="6" t="s">
        <v>5122</v>
      </c>
    </row>
    <row r="6153" customFormat="false" ht="15" hidden="false" customHeight="false" outlineLevel="0" collapsed="false">
      <c r="A6153" s="6" t="s">
        <v>11377</v>
      </c>
      <c r="B6153" s="6" t="s">
        <v>891</v>
      </c>
      <c r="C6153" s="26" t="n">
        <v>46210</v>
      </c>
      <c r="D6153" s="6" t="s">
        <v>5167</v>
      </c>
      <c r="E6153" s="6" t="s">
        <v>22</v>
      </c>
      <c r="F6153" s="6" t="n">
        <v>2</v>
      </c>
      <c r="G6153" s="10" t="n">
        <v>743</v>
      </c>
      <c r="H6153" s="10" t="n">
        <f aca="false">F6153*G6153</f>
        <v>1486</v>
      </c>
      <c r="I6153" s="6" t="s">
        <v>5130</v>
      </c>
    </row>
    <row r="6154" customFormat="false" ht="15" hidden="false" customHeight="false" outlineLevel="0" collapsed="false">
      <c r="A6154" s="6" t="s">
        <v>11378</v>
      </c>
      <c r="B6154" s="6" t="s">
        <v>1379</v>
      </c>
      <c r="C6154" s="26" t="n">
        <v>46210</v>
      </c>
      <c r="D6154" s="6" t="s">
        <v>5687</v>
      </c>
      <c r="E6154" s="6" t="s">
        <v>20</v>
      </c>
      <c r="F6154" s="6" t="n">
        <v>1</v>
      </c>
      <c r="G6154" s="10" t="n">
        <v>1835</v>
      </c>
      <c r="H6154" s="10" t="n">
        <f aca="false">F6154*G6154</f>
        <v>1835</v>
      </c>
      <c r="I6154" s="6" t="s">
        <v>5148</v>
      </c>
    </row>
    <row r="6155" customFormat="false" ht="15" hidden="false" customHeight="false" outlineLevel="0" collapsed="false">
      <c r="A6155" s="6" t="s">
        <v>11379</v>
      </c>
      <c r="B6155" s="6" t="s">
        <v>262</v>
      </c>
      <c r="C6155" s="26" t="n">
        <v>46210</v>
      </c>
      <c r="D6155" s="6" t="s">
        <v>5167</v>
      </c>
      <c r="E6155" s="6" t="s">
        <v>22</v>
      </c>
      <c r="F6155" s="6" t="n">
        <v>2</v>
      </c>
      <c r="G6155" s="10" t="n">
        <v>782</v>
      </c>
      <c r="H6155" s="10" t="n">
        <f aca="false">F6155*G6155</f>
        <v>1564</v>
      </c>
      <c r="I6155" s="6" t="s">
        <v>5122</v>
      </c>
    </row>
    <row r="6156" customFormat="false" ht="15" hidden="false" customHeight="false" outlineLevel="0" collapsed="false">
      <c r="A6156" s="6" t="s">
        <v>11380</v>
      </c>
      <c r="B6156" s="6" t="s">
        <v>1279</v>
      </c>
      <c r="C6156" s="26" t="n">
        <v>46210</v>
      </c>
      <c r="D6156" s="6" t="s">
        <v>5261</v>
      </c>
      <c r="E6156" s="6" t="s">
        <v>23</v>
      </c>
      <c r="F6156" s="6" t="n">
        <v>3</v>
      </c>
      <c r="G6156" s="10" t="n">
        <v>158</v>
      </c>
      <c r="H6156" s="10" t="n">
        <f aca="false">F6156*G6156</f>
        <v>474</v>
      </c>
      <c r="I6156" s="6" t="s">
        <v>5125</v>
      </c>
    </row>
    <row r="6157" customFormat="false" ht="15" hidden="false" customHeight="false" outlineLevel="0" collapsed="false">
      <c r="A6157" s="6" t="s">
        <v>11381</v>
      </c>
      <c r="B6157" s="6" t="s">
        <v>561</v>
      </c>
      <c r="C6157" s="26" t="n">
        <v>46210</v>
      </c>
      <c r="D6157" s="6" t="s">
        <v>5180</v>
      </c>
      <c r="E6157" s="6" t="s">
        <v>24</v>
      </c>
      <c r="F6157" s="6" t="n">
        <v>1</v>
      </c>
      <c r="G6157" s="10" t="n">
        <v>1888</v>
      </c>
      <c r="H6157" s="10" t="n">
        <f aca="false">F6157*G6157</f>
        <v>1888</v>
      </c>
      <c r="I6157" s="6" t="s">
        <v>5148</v>
      </c>
    </row>
    <row r="6158" customFormat="false" ht="15" hidden="false" customHeight="false" outlineLevel="0" collapsed="false">
      <c r="A6158" s="6" t="s">
        <v>11382</v>
      </c>
      <c r="B6158" s="6" t="s">
        <v>2749</v>
      </c>
      <c r="C6158" s="26" t="n">
        <v>46210</v>
      </c>
      <c r="D6158" s="6" t="s">
        <v>5298</v>
      </c>
      <c r="E6158" s="6" t="s">
        <v>23</v>
      </c>
      <c r="F6158" s="6" t="n">
        <v>4</v>
      </c>
      <c r="G6158" s="10" t="n">
        <v>293</v>
      </c>
      <c r="H6158" s="10" t="n">
        <f aca="false">F6158*G6158</f>
        <v>1172</v>
      </c>
      <c r="I6158" s="6" t="s">
        <v>5133</v>
      </c>
    </row>
    <row r="6159" customFormat="false" ht="15" hidden="false" customHeight="false" outlineLevel="0" collapsed="false">
      <c r="A6159" s="6" t="s">
        <v>11383</v>
      </c>
      <c r="B6159" s="6" t="s">
        <v>1855</v>
      </c>
      <c r="C6159" s="26" t="n">
        <v>46210</v>
      </c>
      <c r="D6159" s="6" t="s">
        <v>5165</v>
      </c>
      <c r="E6159" s="6" t="s">
        <v>22</v>
      </c>
      <c r="F6159" s="6" t="n">
        <v>4</v>
      </c>
      <c r="G6159" s="10" t="n">
        <v>928</v>
      </c>
      <c r="H6159" s="10" t="n">
        <f aca="false">F6159*G6159</f>
        <v>3712</v>
      </c>
      <c r="I6159" s="6" t="s">
        <v>5122</v>
      </c>
    </row>
    <row r="6160" customFormat="false" ht="15" hidden="false" customHeight="false" outlineLevel="0" collapsed="false">
      <c r="A6160" s="6" t="s">
        <v>11384</v>
      </c>
      <c r="B6160" s="6" t="s">
        <v>3417</v>
      </c>
      <c r="C6160" s="26" t="n">
        <v>46210</v>
      </c>
      <c r="D6160" s="6" t="s">
        <v>5135</v>
      </c>
      <c r="E6160" s="6" t="s">
        <v>23</v>
      </c>
      <c r="F6160" s="6" t="n">
        <v>3</v>
      </c>
      <c r="G6160" s="10" t="n">
        <v>441</v>
      </c>
      <c r="H6160" s="10" t="n">
        <f aca="false">F6160*G6160</f>
        <v>1323</v>
      </c>
      <c r="I6160" s="6" t="s">
        <v>5122</v>
      </c>
    </row>
    <row r="6161" customFormat="false" ht="15" hidden="false" customHeight="false" outlineLevel="0" collapsed="false">
      <c r="A6161" s="6" t="s">
        <v>11385</v>
      </c>
      <c r="B6161" s="6" t="s">
        <v>2197</v>
      </c>
      <c r="C6161" s="26" t="n">
        <v>46210</v>
      </c>
      <c r="D6161" s="6" t="s">
        <v>5588</v>
      </c>
      <c r="E6161" s="6" t="s">
        <v>21</v>
      </c>
      <c r="F6161" s="6" t="n">
        <v>1</v>
      </c>
      <c r="G6161" s="10" t="n">
        <v>10615</v>
      </c>
      <c r="H6161" s="10" t="n">
        <f aca="false">F6161*G6161</f>
        <v>10615</v>
      </c>
      <c r="I6161" s="6" t="s">
        <v>5130</v>
      </c>
    </row>
    <row r="6162" customFormat="false" ht="15" hidden="false" customHeight="false" outlineLevel="0" collapsed="false">
      <c r="A6162" s="6" t="s">
        <v>11386</v>
      </c>
      <c r="B6162" s="6" t="s">
        <v>2799</v>
      </c>
      <c r="C6162" s="26" t="n">
        <v>46210</v>
      </c>
      <c r="D6162" s="6" t="s">
        <v>5165</v>
      </c>
      <c r="E6162" s="6" t="s">
        <v>22</v>
      </c>
      <c r="F6162" s="6" t="n">
        <v>1</v>
      </c>
      <c r="G6162" s="10" t="n">
        <v>880</v>
      </c>
      <c r="H6162" s="10" t="n">
        <f aca="false">F6162*G6162</f>
        <v>880</v>
      </c>
      <c r="I6162" s="6" t="s">
        <v>5122</v>
      </c>
    </row>
    <row r="6163" customFormat="false" ht="15" hidden="false" customHeight="false" outlineLevel="0" collapsed="false">
      <c r="A6163" s="6" t="s">
        <v>11387</v>
      </c>
      <c r="B6163" s="6" t="s">
        <v>2751</v>
      </c>
      <c r="C6163" s="26" t="n">
        <v>46210</v>
      </c>
      <c r="D6163" s="6" t="s">
        <v>5163</v>
      </c>
      <c r="E6163" s="6" t="s">
        <v>23</v>
      </c>
      <c r="F6163" s="6" t="n">
        <v>4</v>
      </c>
      <c r="G6163" s="10" t="n">
        <v>783</v>
      </c>
      <c r="H6163" s="10" t="n">
        <f aca="false">F6163*G6163</f>
        <v>3132</v>
      </c>
      <c r="I6163" s="6" t="s">
        <v>5122</v>
      </c>
    </row>
    <row r="6164" customFormat="false" ht="15" hidden="false" customHeight="false" outlineLevel="0" collapsed="false">
      <c r="A6164" s="6" t="s">
        <v>11388</v>
      </c>
      <c r="B6164" s="6" t="s">
        <v>4235</v>
      </c>
      <c r="C6164" s="26" t="n">
        <v>46210</v>
      </c>
      <c r="D6164" s="6" t="s">
        <v>5141</v>
      </c>
      <c r="E6164" s="6" t="s">
        <v>20</v>
      </c>
      <c r="F6164" s="6" t="n">
        <v>1</v>
      </c>
      <c r="G6164" s="10" t="n">
        <v>1835</v>
      </c>
      <c r="H6164" s="10" t="n">
        <f aca="false">F6164*G6164</f>
        <v>1835</v>
      </c>
      <c r="I6164" s="6" t="s">
        <v>5130</v>
      </c>
    </row>
    <row r="6165" customFormat="false" ht="15" hidden="false" customHeight="false" outlineLevel="0" collapsed="false">
      <c r="A6165" s="6" t="s">
        <v>11389</v>
      </c>
      <c r="B6165" s="6" t="s">
        <v>394</v>
      </c>
      <c r="C6165" s="26" t="n">
        <v>46210</v>
      </c>
      <c r="D6165" s="6" t="s">
        <v>5345</v>
      </c>
      <c r="E6165" s="6" t="s">
        <v>23</v>
      </c>
      <c r="F6165" s="6" t="n">
        <v>2</v>
      </c>
      <c r="G6165" s="10" t="n">
        <v>436</v>
      </c>
      <c r="H6165" s="10" t="n">
        <f aca="false">F6165*G6165</f>
        <v>872</v>
      </c>
      <c r="I6165" s="6" t="s">
        <v>5133</v>
      </c>
    </row>
    <row r="6166" customFormat="false" ht="15" hidden="false" customHeight="false" outlineLevel="0" collapsed="false">
      <c r="A6166" s="6" t="s">
        <v>11390</v>
      </c>
      <c r="B6166" s="6" t="s">
        <v>3617</v>
      </c>
      <c r="C6166" s="26" t="n">
        <v>46210</v>
      </c>
      <c r="D6166" s="6" t="s">
        <v>5326</v>
      </c>
      <c r="E6166" s="6" t="s">
        <v>22</v>
      </c>
      <c r="F6166" s="6" t="n">
        <v>2</v>
      </c>
      <c r="G6166" s="10" t="n">
        <v>1466</v>
      </c>
      <c r="H6166" s="10" t="n">
        <f aca="false">F6166*G6166</f>
        <v>2932</v>
      </c>
      <c r="I6166" s="6" t="s">
        <v>5130</v>
      </c>
    </row>
    <row r="6167" customFormat="false" ht="15" hidden="false" customHeight="false" outlineLevel="0" collapsed="false">
      <c r="A6167" s="6" t="s">
        <v>11391</v>
      </c>
      <c r="B6167" s="6" t="s">
        <v>905</v>
      </c>
      <c r="C6167" s="26" t="n">
        <v>46210</v>
      </c>
      <c r="D6167" s="6" t="s">
        <v>5383</v>
      </c>
      <c r="E6167" s="6" t="s">
        <v>20</v>
      </c>
      <c r="F6167" s="6" t="n">
        <v>1</v>
      </c>
      <c r="G6167" s="10" t="n">
        <v>1065</v>
      </c>
      <c r="H6167" s="10" t="n">
        <f aca="false">F6167*G6167</f>
        <v>1065</v>
      </c>
      <c r="I6167" s="6" t="s">
        <v>5125</v>
      </c>
    </row>
    <row r="6168" customFormat="false" ht="15" hidden="false" customHeight="false" outlineLevel="0" collapsed="false">
      <c r="A6168" s="6" t="s">
        <v>11392</v>
      </c>
      <c r="B6168" s="6" t="s">
        <v>2047</v>
      </c>
      <c r="C6168" s="26" t="n">
        <v>46210</v>
      </c>
      <c r="D6168" s="6" t="s">
        <v>5185</v>
      </c>
      <c r="E6168" s="6" t="s">
        <v>24</v>
      </c>
      <c r="F6168" s="6" t="n">
        <v>1</v>
      </c>
      <c r="G6168" s="10" t="n">
        <v>2140</v>
      </c>
      <c r="H6168" s="10" t="n">
        <f aca="false">F6168*G6168</f>
        <v>2140</v>
      </c>
      <c r="I6168" s="6" t="s">
        <v>5122</v>
      </c>
    </row>
    <row r="6169" customFormat="false" ht="15" hidden="false" customHeight="false" outlineLevel="0" collapsed="false">
      <c r="A6169" s="6" t="s">
        <v>11393</v>
      </c>
      <c r="B6169" s="6" t="s">
        <v>4209</v>
      </c>
      <c r="C6169" s="26" t="n">
        <v>46211</v>
      </c>
      <c r="D6169" s="6" t="s">
        <v>5145</v>
      </c>
      <c r="E6169" s="6" t="s">
        <v>21</v>
      </c>
      <c r="F6169" s="6" t="n">
        <v>1</v>
      </c>
      <c r="G6169" s="10" t="n">
        <v>1277</v>
      </c>
      <c r="H6169" s="10" t="n">
        <f aca="false">F6169*G6169</f>
        <v>1277</v>
      </c>
      <c r="I6169" s="6" t="s">
        <v>5148</v>
      </c>
    </row>
    <row r="6170" customFormat="false" ht="15" hidden="false" customHeight="false" outlineLevel="0" collapsed="false">
      <c r="A6170" s="6" t="s">
        <v>11394</v>
      </c>
      <c r="B6170" s="6" t="s">
        <v>4743</v>
      </c>
      <c r="C6170" s="26" t="n">
        <v>46211</v>
      </c>
      <c r="D6170" s="6" t="s">
        <v>5165</v>
      </c>
      <c r="E6170" s="6" t="s">
        <v>22</v>
      </c>
      <c r="F6170" s="6" t="n">
        <v>3</v>
      </c>
      <c r="G6170" s="10" t="n">
        <v>928</v>
      </c>
      <c r="H6170" s="10" t="n">
        <f aca="false">F6170*G6170</f>
        <v>2784</v>
      </c>
      <c r="I6170" s="6" t="s">
        <v>5148</v>
      </c>
    </row>
    <row r="6171" customFormat="false" ht="15" hidden="false" customHeight="false" outlineLevel="0" collapsed="false">
      <c r="A6171" s="6" t="s">
        <v>11395</v>
      </c>
      <c r="B6171" s="6" t="s">
        <v>1685</v>
      </c>
      <c r="C6171" s="26" t="n">
        <v>46211</v>
      </c>
      <c r="D6171" s="6" t="s">
        <v>5281</v>
      </c>
      <c r="E6171" s="6" t="s">
        <v>24</v>
      </c>
      <c r="F6171" s="6" t="n">
        <v>2</v>
      </c>
      <c r="G6171" s="10" t="n">
        <v>814</v>
      </c>
      <c r="H6171" s="10" t="n">
        <f aca="false">F6171*G6171</f>
        <v>1628</v>
      </c>
      <c r="I6171" s="6" t="s">
        <v>5125</v>
      </c>
    </row>
    <row r="6172" customFormat="false" ht="15" hidden="false" customHeight="false" outlineLevel="0" collapsed="false">
      <c r="A6172" s="6" t="s">
        <v>11396</v>
      </c>
      <c r="B6172" s="6" t="s">
        <v>5037</v>
      </c>
      <c r="C6172" s="26" t="n">
        <v>46211</v>
      </c>
      <c r="D6172" s="6" t="s">
        <v>5135</v>
      </c>
      <c r="E6172" s="6" t="s">
        <v>23</v>
      </c>
      <c r="F6172" s="6" t="n">
        <v>2</v>
      </c>
      <c r="G6172" s="10" t="n">
        <v>441</v>
      </c>
      <c r="H6172" s="10" t="n">
        <f aca="false">F6172*G6172</f>
        <v>882</v>
      </c>
      <c r="I6172" s="6" t="s">
        <v>5148</v>
      </c>
    </row>
    <row r="6173" customFormat="false" ht="15" hidden="false" customHeight="false" outlineLevel="0" collapsed="false">
      <c r="A6173" s="6" t="s">
        <v>11397</v>
      </c>
      <c r="B6173" s="6" t="s">
        <v>346</v>
      </c>
      <c r="C6173" s="26" t="n">
        <v>46211</v>
      </c>
      <c r="D6173" s="6" t="s">
        <v>5182</v>
      </c>
      <c r="E6173" s="6" t="s">
        <v>23</v>
      </c>
      <c r="F6173" s="6" t="n">
        <v>3</v>
      </c>
      <c r="G6173" s="10" t="n">
        <v>367</v>
      </c>
      <c r="H6173" s="10" t="n">
        <f aca="false">F6173*G6173</f>
        <v>1101</v>
      </c>
      <c r="I6173" s="6" t="s">
        <v>5122</v>
      </c>
    </row>
    <row r="6174" customFormat="false" ht="15" hidden="false" customHeight="false" outlineLevel="0" collapsed="false">
      <c r="A6174" s="6" t="s">
        <v>11398</v>
      </c>
      <c r="B6174" s="6" t="s">
        <v>4483</v>
      </c>
      <c r="C6174" s="26" t="n">
        <v>46211</v>
      </c>
      <c r="D6174" s="6" t="s">
        <v>5154</v>
      </c>
      <c r="E6174" s="6" t="s">
        <v>21</v>
      </c>
      <c r="F6174" s="6" t="n">
        <v>2</v>
      </c>
      <c r="G6174" s="10" t="n">
        <v>707</v>
      </c>
      <c r="H6174" s="10" t="n">
        <f aca="false">F6174*G6174</f>
        <v>1414</v>
      </c>
      <c r="I6174" s="6" t="s">
        <v>5148</v>
      </c>
    </row>
    <row r="6175" customFormat="false" ht="15" hidden="false" customHeight="false" outlineLevel="0" collapsed="false">
      <c r="A6175" s="6" t="s">
        <v>11399</v>
      </c>
      <c r="B6175" s="6" t="s">
        <v>3711</v>
      </c>
      <c r="C6175" s="26" t="n">
        <v>46211</v>
      </c>
      <c r="D6175" s="6" t="s">
        <v>5197</v>
      </c>
      <c r="E6175" s="6" t="s">
        <v>21</v>
      </c>
      <c r="F6175" s="6" t="n">
        <v>2</v>
      </c>
      <c r="G6175" s="10" t="n">
        <v>1080</v>
      </c>
      <c r="H6175" s="10" t="n">
        <f aca="false">F6175*G6175</f>
        <v>2160</v>
      </c>
      <c r="I6175" s="6" t="s">
        <v>5122</v>
      </c>
    </row>
    <row r="6176" customFormat="false" ht="15" hidden="false" customHeight="false" outlineLevel="0" collapsed="false">
      <c r="A6176" s="6" t="s">
        <v>11400</v>
      </c>
      <c r="B6176" s="6" t="s">
        <v>3531</v>
      </c>
      <c r="C6176" s="26" t="n">
        <v>46211</v>
      </c>
      <c r="D6176" s="6" t="s">
        <v>5298</v>
      </c>
      <c r="E6176" s="6" t="s">
        <v>23</v>
      </c>
      <c r="F6176" s="6" t="n">
        <v>1</v>
      </c>
      <c r="G6176" s="10" t="n">
        <v>293</v>
      </c>
      <c r="H6176" s="10" t="n">
        <f aca="false">F6176*G6176</f>
        <v>293</v>
      </c>
      <c r="I6176" s="6" t="s">
        <v>5148</v>
      </c>
    </row>
    <row r="6177" customFormat="false" ht="15" hidden="false" customHeight="false" outlineLevel="0" collapsed="false">
      <c r="A6177" s="6" t="s">
        <v>11401</v>
      </c>
      <c r="B6177" s="6" t="s">
        <v>2797</v>
      </c>
      <c r="C6177" s="26" t="n">
        <v>46211</v>
      </c>
      <c r="D6177" s="6" t="s">
        <v>5135</v>
      </c>
      <c r="E6177" s="6" t="s">
        <v>23</v>
      </c>
      <c r="F6177" s="6" t="n">
        <v>2</v>
      </c>
      <c r="G6177" s="10" t="n">
        <v>419</v>
      </c>
      <c r="H6177" s="10" t="n">
        <f aca="false">F6177*G6177</f>
        <v>838</v>
      </c>
      <c r="I6177" s="6" t="s">
        <v>5122</v>
      </c>
    </row>
    <row r="6178" customFormat="false" ht="15" hidden="false" customHeight="false" outlineLevel="0" collapsed="false">
      <c r="A6178" s="6" t="s">
        <v>11402</v>
      </c>
      <c r="B6178" s="6" t="s">
        <v>1653</v>
      </c>
      <c r="C6178" s="26" t="n">
        <v>46211</v>
      </c>
      <c r="D6178" s="6" t="s">
        <v>5192</v>
      </c>
      <c r="E6178" s="6" t="s">
        <v>20</v>
      </c>
      <c r="F6178" s="6" t="n">
        <v>1</v>
      </c>
      <c r="G6178" s="10" t="n">
        <v>3670</v>
      </c>
      <c r="H6178" s="10" t="n">
        <f aca="false">F6178*G6178</f>
        <v>3670</v>
      </c>
      <c r="I6178" s="6" t="s">
        <v>5130</v>
      </c>
    </row>
    <row r="6179" customFormat="false" ht="15" hidden="false" customHeight="false" outlineLevel="0" collapsed="false">
      <c r="A6179" s="6" t="s">
        <v>11403</v>
      </c>
      <c r="B6179" s="6" t="s">
        <v>1305</v>
      </c>
      <c r="C6179" s="26" t="n">
        <v>46211</v>
      </c>
      <c r="D6179" s="6" t="s">
        <v>5281</v>
      </c>
      <c r="E6179" s="6" t="s">
        <v>24</v>
      </c>
      <c r="F6179" s="6" t="n">
        <v>1</v>
      </c>
      <c r="G6179" s="10" t="n">
        <v>733</v>
      </c>
      <c r="H6179" s="10" t="n">
        <f aca="false">F6179*G6179</f>
        <v>733</v>
      </c>
      <c r="I6179" s="6" t="s">
        <v>5133</v>
      </c>
    </row>
    <row r="6180" customFormat="false" ht="15" hidden="false" customHeight="false" outlineLevel="0" collapsed="false">
      <c r="A6180" s="6" t="s">
        <v>11404</v>
      </c>
      <c r="B6180" s="6" t="s">
        <v>2169</v>
      </c>
      <c r="C6180" s="26" t="n">
        <v>46211</v>
      </c>
      <c r="D6180" s="6" t="s">
        <v>5298</v>
      </c>
      <c r="E6180" s="6" t="s">
        <v>23</v>
      </c>
      <c r="F6180" s="6" t="n">
        <v>2</v>
      </c>
      <c r="G6180" s="10" t="n">
        <v>293</v>
      </c>
      <c r="H6180" s="10" t="n">
        <f aca="false">F6180*G6180</f>
        <v>586</v>
      </c>
      <c r="I6180" s="6" t="s">
        <v>5122</v>
      </c>
    </row>
    <row r="6181" customFormat="false" ht="15" hidden="false" customHeight="false" outlineLevel="0" collapsed="false">
      <c r="A6181" s="6" t="s">
        <v>11405</v>
      </c>
      <c r="B6181" s="6" t="s">
        <v>1153</v>
      </c>
      <c r="C6181" s="26" t="n">
        <v>46211</v>
      </c>
      <c r="D6181" s="6" t="s">
        <v>5353</v>
      </c>
      <c r="E6181" s="6" t="s">
        <v>24</v>
      </c>
      <c r="F6181" s="6" t="n">
        <v>2</v>
      </c>
      <c r="G6181" s="10" t="n">
        <v>1548</v>
      </c>
      <c r="H6181" s="10" t="n">
        <f aca="false">F6181*G6181</f>
        <v>3096</v>
      </c>
      <c r="I6181" s="6" t="s">
        <v>5130</v>
      </c>
    </row>
    <row r="6182" customFormat="false" ht="15" hidden="false" customHeight="false" outlineLevel="0" collapsed="false">
      <c r="A6182" s="6" t="s">
        <v>11406</v>
      </c>
      <c r="B6182" s="6" t="s">
        <v>1631</v>
      </c>
      <c r="C6182" s="26" t="n">
        <v>46211</v>
      </c>
      <c r="D6182" s="6" t="s">
        <v>5687</v>
      </c>
      <c r="E6182" s="6" t="s">
        <v>20</v>
      </c>
      <c r="F6182" s="6" t="n">
        <v>1</v>
      </c>
      <c r="G6182" s="10" t="n">
        <v>2039</v>
      </c>
      <c r="H6182" s="10" t="n">
        <f aca="false">F6182*G6182</f>
        <v>2039</v>
      </c>
      <c r="I6182" s="6" t="s">
        <v>5125</v>
      </c>
    </row>
    <row r="6183" customFormat="false" ht="15" hidden="false" customHeight="false" outlineLevel="0" collapsed="false">
      <c r="A6183" s="6" t="s">
        <v>11407</v>
      </c>
      <c r="B6183" s="6" t="s">
        <v>3683</v>
      </c>
      <c r="C6183" s="26" t="n">
        <v>46211</v>
      </c>
      <c r="D6183" s="6" t="s">
        <v>5163</v>
      </c>
      <c r="E6183" s="6" t="s">
        <v>23</v>
      </c>
      <c r="F6183" s="6" t="n">
        <v>3</v>
      </c>
      <c r="G6183" s="10" t="n">
        <v>705</v>
      </c>
      <c r="H6183" s="10" t="n">
        <f aca="false">F6183*G6183</f>
        <v>2115</v>
      </c>
      <c r="I6183" s="6" t="s">
        <v>5122</v>
      </c>
    </row>
    <row r="6184" customFormat="false" ht="15" hidden="false" customHeight="false" outlineLevel="0" collapsed="false">
      <c r="A6184" s="6" t="s">
        <v>11408</v>
      </c>
      <c r="B6184" s="6" t="s">
        <v>4227</v>
      </c>
      <c r="C6184" s="26" t="n">
        <v>46211</v>
      </c>
      <c r="D6184" s="6" t="s">
        <v>5240</v>
      </c>
      <c r="E6184" s="6" t="s">
        <v>20</v>
      </c>
      <c r="F6184" s="6" t="n">
        <v>1</v>
      </c>
      <c r="G6184" s="10" t="n">
        <v>5097</v>
      </c>
      <c r="H6184" s="10" t="n">
        <f aca="false">F6184*G6184</f>
        <v>5097</v>
      </c>
      <c r="I6184" s="6" t="s">
        <v>5148</v>
      </c>
    </row>
    <row r="6185" customFormat="false" ht="15" hidden="false" customHeight="false" outlineLevel="0" collapsed="false">
      <c r="A6185" s="6" t="s">
        <v>11409</v>
      </c>
      <c r="B6185" s="6" t="s">
        <v>631</v>
      </c>
      <c r="C6185" s="26" t="n">
        <v>46211</v>
      </c>
      <c r="D6185" s="6" t="s">
        <v>5290</v>
      </c>
      <c r="E6185" s="6" t="s">
        <v>23</v>
      </c>
      <c r="F6185" s="6" t="n">
        <v>3</v>
      </c>
      <c r="G6185" s="10" t="n">
        <v>106</v>
      </c>
      <c r="H6185" s="10" t="n">
        <f aca="false">F6185*G6185</f>
        <v>318</v>
      </c>
      <c r="I6185" s="6" t="s">
        <v>5122</v>
      </c>
    </row>
    <row r="6186" customFormat="false" ht="15" hidden="false" customHeight="false" outlineLevel="0" collapsed="false">
      <c r="A6186" s="6" t="s">
        <v>11410</v>
      </c>
      <c r="B6186" s="6" t="s">
        <v>1379</v>
      </c>
      <c r="C6186" s="26" t="n">
        <v>46211</v>
      </c>
      <c r="D6186" s="6" t="s">
        <v>5167</v>
      </c>
      <c r="E6186" s="6" t="s">
        <v>22</v>
      </c>
      <c r="F6186" s="6" t="n">
        <v>3</v>
      </c>
      <c r="G6186" s="10" t="n">
        <v>782</v>
      </c>
      <c r="H6186" s="10" t="n">
        <f aca="false">F6186*G6186</f>
        <v>2346</v>
      </c>
      <c r="I6186" s="6" t="s">
        <v>5122</v>
      </c>
    </row>
    <row r="6187" customFormat="false" ht="15" hidden="false" customHeight="false" outlineLevel="0" collapsed="false">
      <c r="A6187" s="6" t="s">
        <v>11411</v>
      </c>
      <c r="B6187" s="6" t="s">
        <v>4817</v>
      </c>
      <c r="C6187" s="26" t="n">
        <v>46211</v>
      </c>
      <c r="D6187" s="6" t="s">
        <v>5188</v>
      </c>
      <c r="E6187" s="6" t="s">
        <v>24</v>
      </c>
      <c r="F6187" s="6" t="n">
        <v>2</v>
      </c>
      <c r="G6187" s="10" t="n">
        <v>916</v>
      </c>
      <c r="H6187" s="10" t="n">
        <f aca="false">F6187*G6187</f>
        <v>1832</v>
      </c>
      <c r="I6187" s="6" t="s">
        <v>5122</v>
      </c>
    </row>
    <row r="6188" customFormat="false" ht="15" hidden="false" customHeight="false" outlineLevel="0" collapsed="false">
      <c r="A6188" s="6" t="s">
        <v>11412</v>
      </c>
      <c r="B6188" s="6" t="s">
        <v>4037</v>
      </c>
      <c r="C6188" s="26" t="n">
        <v>46211</v>
      </c>
      <c r="D6188" s="6" t="s">
        <v>5121</v>
      </c>
      <c r="E6188" s="6" t="s">
        <v>22</v>
      </c>
      <c r="F6188" s="6" t="n">
        <v>1</v>
      </c>
      <c r="G6188" s="10" t="n">
        <v>977</v>
      </c>
      <c r="H6188" s="10" t="n">
        <f aca="false">F6188*G6188</f>
        <v>977</v>
      </c>
      <c r="I6188" s="6" t="s">
        <v>5130</v>
      </c>
    </row>
    <row r="6189" customFormat="false" ht="15" hidden="false" customHeight="false" outlineLevel="0" collapsed="false">
      <c r="A6189" s="6" t="s">
        <v>11413</v>
      </c>
      <c r="B6189" s="6" t="s">
        <v>1993</v>
      </c>
      <c r="C6189" s="26" t="n">
        <v>46211</v>
      </c>
      <c r="D6189" s="6" t="s">
        <v>5171</v>
      </c>
      <c r="E6189" s="6" t="s">
        <v>23</v>
      </c>
      <c r="F6189" s="6" t="n">
        <v>4</v>
      </c>
      <c r="G6189" s="10" t="n">
        <v>661</v>
      </c>
      <c r="H6189" s="10" t="n">
        <f aca="false">F6189*G6189</f>
        <v>2644</v>
      </c>
      <c r="I6189" s="6" t="s">
        <v>5133</v>
      </c>
    </row>
    <row r="6190" customFormat="false" ht="15" hidden="false" customHeight="false" outlineLevel="0" collapsed="false">
      <c r="A6190" s="6" t="s">
        <v>11414</v>
      </c>
      <c r="B6190" s="6" t="s">
        <v>4413</v>
      </c>
      <c r="C6190" s="26" t="n">
        <v>46211</v>
      </c>
      <c r="D6190" s="6" t="s">
        <v>5456</v>
      </c>
      <c r="E6190" s="6" t="s">
        <v>24</v>
      </c>
      <c r="F6190" s="6" t="n">
        <v>1</v>
      </c>
      <c r="G6190" s="10" t="n">
        <v>822</v>
      </c>
      <c r="H6190" s="10" t="n">
        <f aca="false">F6190*G6190</f>
        <v>822</v>
      </c>
      <c r="I6190" s="6" t="s">
        <v>5148</v>
      </c>
    </row>
    <row r="6191" customFormat="false" ht="15" hidden="false" customHeight="false" outlineLevel="0" collapsed="false">
      <c r="A6191" s="6" t="s">
        <v>11415</v>
      </c>
      <c r="B6191" s="6" t="s">
        <v>655</v>
      </c>
      <c r="C6191" s="26" t="n">
        <v>46211</v>
      </c>
      <c r="D6191" s="6" t="s">
        <v>5182</v>
      </c>
      <c r="E6191" s="6" t="s">
        <v>23</v>
      </c>
      <c r="F6191" s="6" t="n">
        <v>2</v>
      </c>
      <c r="G6191" s="10" t="n">
        <v>331</v>
      </c>
      <c r="H6191" s="10" t="n">
        <f aca="false">F6191*G6191</f>
        <v>662</v>
      </c>
      <c r="I6191" s="6" t="s">
        <v>5122</v>
      </c>
    </row>
    <row r="6192" customFormat="false" ht="15" hidden="false" customHeight="false" outlineLevel="0" collapsed="false">
      <c r="A6192" s="6" t="s">
        <v>11416</v>
      </c>
      <c r="B6192" s="6" t="s">
        <v>3773</v>
      </c>
      <c r="C6192" s="26" t="n">
        <v>46211</v>
      </c>
      <c r="D6192" s="6" t="s">
        <v>5129</v>
      </c>
      <c r="E6192" s="6" t="s">
        <v>21</v>
      </c>
      <c r="F6192" s="6" t="n">
        <v>1</v>
      </c>
      <c r="G6192" s="10" t="n">
        <v>589</v>
      </c>
      <c r="H6192" s="10" t="n">
        <f aca="false">F6192*G6192</f>
        <v>589</v>
      </c>
      <c r="I6192" s="6" t="s">
        <v>5173</v>
      </c>
    </row>
    <row r="6193" customFormat="false" ht="15" hidden="false" customHeight="false" outlineLevel="0" collapsed="false">
      <c r="A6193" s="6" t="s">
        <v>11417</v>
      </c>
      <c r="B6193" s="6" t="s">
        <v>4731</v>
      </c>
      <c r="C6193" s="26" t="n">
        <v>46211</v>
      </c>
      <c r="D6193" s="6" t="s">
        <v>5152</v>
      </c>
      <c r="E6193" s="6" t="s">
        <v>22</v>
      </c>
      <c r="F6193" s="6" t="n">
        <v>2</v>
      </c>
      <c r="G6193" s="10" t="n">
        <v>1672</v>
      </c>
      <c r="H6193" s="10" t="n">
        <f aca="false">F6193*G6193</f>
        <v>3344</v>
      </c>
      <c r="I6193" s="6" t="s">
        <v>5125</v>
      </c>
    </row>
    <row r="6194" customFormat="false" ht="15" hidden="false" customHeight="false" outlineLevel="0" collapsed="false">
      <c r="A6194" s="6" t="s">
        <v>11418</v>
      </c>
      <c r="B6194" s="6" t="s">
        <v>3745</v>
      </c>
      <c r="C6194" s="26" t="n">
        <v>46211</v>
      </c>
      <c r="D6194" s="6" t="s">
        <v>5167</v>
      </c>
      <c r="E6194" s="6" t="s">
        <v>22</v>
      </c>
      <c r="F6194" s="6" t="n">
        <v>2</v>
      </c>
      <c r="G6194" s="10" t="n">
        <v>782</v>
      </c>
      <c r="H6194" s="10" t="n">
        <f aca="false">F6194*G6194</f>
        <v>1564</v>
      </c>
      <c r="I6194" s="6" t="s">
        <v>5125</v>
      </c>
    </row>
    <row r="6195" customFormat="false" ht="15" hidden="false" customHeight="false" outlineLevel="0" collapsed="false">
      <c r="A6195" s="6" t="s">
        <v>11419</v>
      </c>
      <c r="B6195" s="6" t="s">
        <v>202</v>
      </c>
      <c r="C6195" s="26" t="n">
        <v>46211</v>
      </c>
      <c r="D6195" s="6" t="s">
        <v>5192</v>
      </c>
      <c r="E6195" s="6" t="s">
        <v>20</v>
      </c>
      <c r="F6195" s="6" t="n">
        <v>1</v>
      </c>
      <c r="G6195" s="10" t="n">
        <v>4078</v>
      </c>
      <c r="H6195" s="10" t="n">
        <f aca="false">F6195*G6195</f>
        <v>4078</v>
      </c>
      <c r="I6195" s="6" t="s">
        <v>5122</v>
      </c>
    </row>
    <row r="6196" customFormat="false" ht="15" hidden="false" customHeight="false" outlineLevel="0" collapsed="false">
      <c r="A6196" s="6" t="s">
        <v>11420</v>
      </c>
      <c r="B6196" s="6" t="s">
        <v>2305</v>
      </c>
      <c r="C6196" s="26" t="n">
        <v>46211</v>
      </c>
      <c r="D6196" s="6" t="s">
        <v>5145</v>
      </c>
      <c r="E6196" s="6" t="s">
        <v>21</v>
      </c>
      <c r="F6196" s="6" t="n">
        <v>1</v>
      </c>
      <c r="G6196" s="10" t="n">
        <v>1277</v>
      </c>
      <c r="H6196" s="10" t="n">
        <f aca="false">F6196*G6196</f>
        <v>1277</v>
      </c>
      <c r="I6196" s="6" t="s">
        <v>5122</v>
      </c>
    </row>
    <row r="6197" customFormat="false" ht="15" hidden="false" customHeight="false" outlineLevel="0" collapsed="false">
      <c r="A6197" s="6" t="s">
        <v>11421</v>
      </c>
      <c r="B6197" s="6" t="s">
        <v>256</v>
      </c>
      <c r="C6197" s="26" t="n">
        <v>46211</v>
      </c>
      <c r="D6197" s="6" t="s">
        <v>5207</v>
      </c>
      <c r="E6197" s="6" t="s">
        <v>20</v>
      </c>
      <c r="F6197" s="6" t="n">
        <v>1</v>
      </c>
      <c r="G6197" s="10" t="n">
        <v>1325</v>
      </c>
      <c r="H6197" s="10" t="n">
        <f aca="false">F6197*G6197</f>
        <v>1325</v>
      </c>
      <c r="I6197" s="6" t="s">
        <v>5125</v>
      </c>
    </row>
    <row r="6198" customFormat="false" ht="15" hidden="false" customHeight="false" outlineLevel="0" collapsed="false">
      <c r="A6198" s="6" t="s">
        <v>11422</v>
      </c>
      <c r="B6198" s="6" t="s">
        <v>569</v>
      </c>
      <c r="C6198" s="26" t="n">
        <v>46211</v>
      </c>
      <c r="D6198" s="6" t="s">
        <v>5127</v>
      </c>
      <c r="E6198" s="6" t="s">
        <v>21</v>
      </c>
      <c r="F6198" s="6" t="n">
        <v>1</v>
      </c>
      <c r="G6198" s="10" t="n">
        <v>839</v>
      </c>
      <c r="H6198" s="10" t="n">
        <f aca="false">F6198*G6198</f>
        <v>839</v>
      </c>
      <c r="I6198" s="6" t="s">
        <v>5122</v>
      </c>
    </row>
    <row r="6199" customFormat="false" ht="15" hidden="false" customHeight="false" outlineLevel="0" collapsed="false">
      <c r="A6199" s="6" t="s">
        <v>11423</v>
      </c>
      <c r="B6199" s="6" t="s">
        <v>2585</v>
      </c>
      <c r="C6199" s="26" t="n">
        <v>46211</v>
      </c>
      <c r="D6199" s="6" t="s">
        <v>5129</v>
      </c>
      <c r="E6199" s="6" t="s">
        <v>21</v>
      </c>
      <c r="F6199" s="6" t="n">
        <v>1</v>
      </c>
      <c r="G6199" s="10" t="n">
        <v>559</v>
      </c>
      <c r="H6199" s="10" t="n">
        <f aca="false">F6199*G6199</f>
        <v>559</v>
      </c>
      <c r="I6199" s="6" t="s">
        <v>5122</v>
      </c>
    </row>
    <row r="6200" customFormat="false" ht="15" hidden="false" customHeight="false" outlineLevel="0" collapsed="false">
      <c r="A6200" s="6" t="s">
        <v>11424</v>
      </c>
      <c r="B6200" s="6" t="s">
        <v>3943</v>
      </c>
      <c r="C6200" s="26" t="n">
        <v>46211</v>
      </c>
      <c r="D6200" s="6" t="s">
        <v>5410</v>
      </c>
      <c r="E6200" s="6" t="s">
        <v>20</v>
      </c>
      <c r="F6200" s="6" t="n">
        <v>1</v>
      </c>
      <c r="G6200" s="10" t="n">
        <v>2294</v>
      </c>
      <c r="H6200" s="10" t="n">
        <f aca="false">F6200*G6200</f>
        <v>2294</v>
      </c>
      <c r="I6200" s="6" t="s">
        <v>5148</v>
      </c>
    </row>
    <row r="6201" customFormat="false" ht="15" hidden="false" customHeight="false" outlineLevel="0" collapsed="false">
      <c r="A6201" s="6" t="s">
        <v>11425</v>
      </c>
      <c r="B6201" s="6" t="s">
        <v>1843</v>
      </c>
      <c r="C6201" s="26" t="n">
        <v>46211</v>
      </c>
      <c r="D6201" s="6" t="s">
        <v>5326</v>
      </c>
      <c r="E6201" s="6" t="s">
        <v>22</v>
      </c>
      <c r="F6201" s="6" t="n">
        <v>1</v>
      </c>
      <c r="G6201" s="10" t="n">
        <v>1320</v>
      </c>
      <c r="H6201" s="10" t="n">
        <f aca="false">F6201*G6201</f>
        <v>1320</v>
      </c>
      <c r="I6201" s="6" t="s">
        <v>5125</v>
      </c>
    </row>
    <row r="6202" customFormat="false" ht="15" hidden="false" customHeight="false" outlineLevel="0" collapsed="false">
      <c r="A6202" s="6" t="s">
        <v>11426</v>
      </c>
      <c r="B6202" s="6" t="s">
        <v>4611</v>
      </c>
      <c r="C6202" s="26" t="n">
        <v>46211</v>
      </c>
      <c r="D6202" s="6" t="s">
        <v>5182</v>
      </c>
      <c r="E6202" s="6" t="s">
        <v>23</v>
      </c>
      <c r="F6202" s="6" t="n">
        <v>2</v>
      </c>
      <c r="G6202" s="10" t="n">
        <v>331</v>
      </c>
      <c r="H6202" s="10" t="n">
        <f aca="false">F6202*G6202</f>
        <v>662</v>
      </c>
      <c r="I6202" s="6" t="s">
        <v>5148</v>
      </c>
    </row>
    <row r="6203" customFormat="false" ht="15" hidden="false" customHeight="false" outlineLevel="0" collapsed="false">
      <c r="A6203" s="6" t="s">
        <v>11427</v>
      </c>
      <c r="B6203" s="6" t="s">
        <v>4529</v>
      </c>
      <c r="C6203" s="26" t="n">
        <v>46211</v>
      </c>
      <c r="D6203" s="6" t="s">
        <v>5165</v>
      </c>
      <c r="E6203" s="6" t="s">
        <v>22</v>
      </c>
      <c r="F6203" s="6" t="n">
        <v>2</v>
      </c>
      <c r="G6203" s="10" t="n">
        <v>977</v>
      </c>
      <c r="H6203" s="10" t="n">
        <f aca="false">F6203*G6203</f>
        <v>1954</v>
      </c>
      <c r="I6203" s="6" t="s">
        <v>5122</v>
      </c>
    </row>
    <row r="6204" customFormat="false" ht="15" hidden="false" customHeight="false" outlineLevel="0" collapsed="false">
      <c r="A6204" s="6" t="s">
        <v>11428</v>
      </c>
      <c r="B6204" s="6" t="s">
        <v>2861</v>
      </c>
      <c r="C6204" s="26" t="n">
        <v>46211</v>
      </c>
      <c r="D6204" s="6" t="s">
        <v>5218</v>
      </c>
      <c r="E6204" s="6" t="s">
        <v>23</v>
      </c>
      <c r="F6204" s="6" t="n">
        <v>2</v>
      </c>
      <c r="G6204" s="10" t="n">
        <v>156</v>
      </c>
      <c r="H6204" s="10" t="n">
        <f aca="false">F6204*G6204</f>
        <v>312</v>
      </c>
      <c r="I6204" s="6" t="s">
        <v>5125</v>
      </c>
    </row>
    <row r="6205" customFormat="false" ht="15" hidden="false" customHeight="false" outlineLevel="0" collapsed="false">
      <c r="A6205" s="6" t="s">
        <v>11429</v>
      </c>
      <c r="B6205" s="6" t="s">
        <v>2991</v>
      </c>
      <c r="C6205" s="26" t="n">
        <v>46211</v>
      </c>
      <c r="D6205" s="6" t="s">
        <v>5216</v>
      </c>
      <c r="E6205" s="6" t="s">
        <v>23</v>
      </c>
      <c r="F6205" s="6" t="n">
        <v>3</v>
      </c>
      <c r="G6205" s="10" t="n">
        <v>587</v>
      </c>
      <c r="H6205" s="10" t="n">
        <f aca="false">F6205*G6205</f>
        <v>1761</v>
      </c>
      <c r="I6205" s="6" t="s">
        <v>5125</v>
      </c>
    </row>
    <row r="6206" customFormat="false" ht="15" hidden="false" customHeight="false" outlineLevel="0" collapsed="false">
      <c r="A6206" s="6" t="s">
        <v>11430</v>
      </c>
      <c r="B6206" s="6" t="s">
        <v>4283</v>
      </c>
      <c r="C6206" s="26" t="n">
        <v>46211</v>
      </c>
      <c r="D6206" s="6" t="s">
        <v>5165</v>
      </c>
      <c r="E6206" s="6" t="s">
        <v>22</v>
      </c>
      <c r="F6206" s="6" t="n">
        <v>2</v>
      </c>
      <c r="G6206" s="10" t="n">
        <v>928</v>
      </c>
      <c r="H6206" s="10" t="n">
        <f aca="false">F6206*G6206</f>
        <v>1856</v>
      </c>
      <c r="I6206" s="6" t="s">
        <v>5122</v>
      </c>
    </row>
    <row r="6207" customFormat="false" ht="15" hidden="false" customHeight="false" outlineLevel="0" collapsed="false">
      <c r="A6207" s="6" t="s">
        <v>11431</v>
      </c>
      <c r="B6207" s="6" t="s">
        <v>833</v>
      </c>
      <c r="C6207" s="26" t="n">
        <v>46212</v>
      </c>
      <c r="D6207" s="6" t="s">
        <v>5145</v>
      </c>
      <c r="E6207" s="6" t="s">
        <v>21</v>
      </c>
      <c r="F6207" s="6" t="n">
        <v>1</v>
      </c>
      <c r="G6207" s="10" t="n">
        <v>1149</v>
      </c>
      <c r="H6207" s="10" t="n">
        <f aca="false">F6207*G6207</f>
        <v>1149</v>
      </c>
      <c r="I6207" s="6" t="s">
        <v>5125</v>
      </c>
    </row>
    <row r="6208" customFormat="false" ht="15" hidden="false" customHeight="false" outlineLevel="0" collapsed="false">
      <c r="A6208" s="6" t="s">
        <v>11432</v>
      </c>
      <c r="B6208" s="6" t="s">
        <v>1471</v>
      </c>
      <c r="C6208" s="26" t="n">
        <v>46212</v>
      </c>
      <c r="D6208" s="6" t="s">
        <v>5141</v>
      </c>
      <c r="E6208" s="6" t="s">
        <v>20</v>
      </c>
      <c r="F6208" s="6" t="n">
        <v>1</v>
      </c>
      <c r="G6208" s="10" t="n">
        <v>1835</v>
      </c>
      <c r="H6208" s="10" t="n">
        <f aca="false">F6208*G6208</f>
        <v>1835</v>
      </c>
      <c r="I6208" s="6" t="s">
        <v>5173</v>
      </c>
    </row>
    <row r="6209" customFormat="false" ht="15" hidden="false" customHeight="false" outlineLevel="0" collapsed="false">
      <c r="A6209" s="6" t="s">
        <v>11433</v>
      </c>
      <c r="B6209" s="6" t="s">
        <v>569</v>
      </c>
      <c r="C6209" s="26" t="n">
        <v>46212</v>
      </c>
      <c r="D6209" s="6" t="s">
        <v>5135</v>
      </c>
      <c r="E6209" s="6" t="s">
        <v>23</v>
      </c>
      <c r="F6209" s="6" t="n">
        <v>5</v>
      </c>
      <c r="G6209" s="10" t="n">
        <v>419</v>
      </c>
      <c r="H6209" s="10" t="n">
        <f aca="false">F6209*G6209</f>
        <v>2095</v>
      </c>
      <c r="I6209" s="6" t="s">
        <v>5125</v>
      </c>
    </row>
    <row r="6210" customFormat="false" ht="15" hidden="false" customHeight="false" outlineLevel="0" collapsed="false">
      <c r="A6210" s="6" t="s">
        <v>11434</v>
      </c>
      <c r="B6210" s="6" t="s">
        <v>190</v>
      </c>
      <c r="C6210" s="26" t="n">
        <v>46212</v>
      </c>
      <c r="D6210" s="6" t="s">
        <v>5132</v>
      </c>
      <c r="E6210" s="6" t="s">
        <v>23</v>
      </c>
      <c r="F6210" s="6" t="n">
        <v>2</v>
      </c>
      <c r="G6210" s="10" t="n">
        <v>325</v>
      </c>
      <c r="H6210" s="10" t="n">
        <f aca="false">F6210*G6210</f>
        <v>650</v>
      </c>
      <c r="I6210" s="6" t="s">
        <v>5133</v>
      </c>
    </row>
    <row r="6211" customFormat="false" ht="15" hidden="false" customHeight="false" outlineLevel="0" collapsed="false">
      <c r="A6211" s="6" t="s">
        <v>11435</v>
      </c>
      <c r="B6211" s="6" t="s">
        <v>2199</v>
      </c>
      <c r="C6211" s="26" t="n">
        <v>46212</v>
      </c>
      <c r="D6211" s="6" t="s">
        <v>5127</v>
      </c>
      <c r="E6211" s="6" t="s">
        <v>21</v>
      </c>
      <c r="F6211" s="6" t="n">
        <v>1</v>
      </c>
      <c r="G6211" s="10" t="n">
        <v>884</v>
      </c>
      <c r="H6211" s="10" t="n">
        <f aca="false">F6211*G6211</f>
        <v>884</v>
      </c>
      <c r="I6211" s="6" t="s">
        <v>5148</v>
      </c>
    </row>
    <row r="6212" customFormat="false" ht="15" hidden="false" customHeight="false" outlineLevel="0" collapsed="false">
      <c r="A6212" s="6" t="s">
        <v>11436</v>
      </c>
      <c r="B6212" s="6" t="s">
        <v>4109</v>
      </c>
      <c r="C6212" s="26" t="n">
        <v>46212</v>
      </c>
      <c r="D6212" s="6" t="s">
        <v>5357</v>
      </c>
      <c r="E6212" s="6" t="s">
        <v>23</v>
      </c>
      <c r="F6212" s="6" t="n">
        <v>2</v>
      </c>
      <c r="G6212" s="10" t="n">
        <v>507</v>
      </c>
      <c r="H6212" s="10" t="n">
        <f aca="false">F6212*G6212</f>
        <v>1014</v>
      </c>
      <c r="I6212" s="6" t="s">
        <v>5130</v>
      </c>
    </row>
    <row r="6213" customFormat="false" ht="15" hidden="false" customHeight="false" outlineLevel="0" collapsed="false">
      <c r="A6213" s="6" t="s">
        <v>11437</v>
      </c>
      <c r="B6213" s="6" t="s">
        <v>2549</v>
      </c>
      <c r="C6213" s="26" t="n">
        <v>46212</v>
      </c>
      <c r="D6213" s="6" t="s">
        <v>5837</v>
      </c>
      <c r="E6213" s="6" t="s">
        <v>21</v>
      </c>
      <c r="F6213" s="6" t="n">
        <v>1</v>
      </c>
      <c r="G6213" s="10" t="n">
        <v>2948</v>
      </c>
      <c r="H6213" s="10" t="n">
        <f aca="false">F6213*G6213</f>
        <v>2948</v>
      </c>
      <c r="I6213" s="6" t="s">
        <v>5133</v>
      </c>
    </row>
    <row r="6214" customFormat="false" ht="15" hidden="false" customHeight="false" outlineLevel="0" collapsed="false">
      <c r="A6214" s="6" t="s">
        <v>11438</v>
      </c>
      <c r="B6214" s="6" t="s">
        <v>4313</v>
      </c>
      <c r="C6214" s="26" t="n">
        <v>46212</v>
      </c>
      <c r="D6214" s="6" t="s">
        <v>5167</v>
      </c>
      <c r="E6214" s="6" t="s">
        <v>22</v>
      </c>
      <c r="F6214" s="6" t="n">
        <v>2</v>
      </c>
      <c r="G6214" s="10" t="n">
        <v>782</v>
      </c>
      <c r="H6214" s="10" t="n">
        <f aca="false">F6214*G6214</f>
        <v>1564</v>
      </c>
      <c r="I6214" s="6" t="s">
        <v>5130</v>
      </c>
    </row>
    <row r="6215" customFormat="false" ht="15" hidden="false" customHeight="false" outlineLevel="0" collapsed="false">
      <c r="A6215" s="6" t="s">
        <v>11439</v>
      </c>
      <c r="B6215" s="6" t="s">
        <v>3015</v>
      </c>
      <c r="C6215" s="26" t="n">
        <v>46212</v>
      </c>
      <c r="D6215" s="6" t="s">
        <v>5269</v>
      </c>
      <c r="E6215" s="6" t="s">
        <v>22</v>
      </c>
      <c r="F6215" s="6" t="n">
        <v>1</v>
      </c>
      <c r="G6215" s="10" t="n">
        <v>1207</v>
      </c>
      <c r="H6215" s="10" t="n">
        <f aca="false">F6215*G6215</f>
        <v>1207</v>
      </c>
      <c r="I6215" s="6" t="s">
        <v>5122</v>
      </c>
    </row>
    <row r="6216" customFormat="false" ht="15" hidden="false" customHeight="false" outlineLevel="0" collapsed="false">
      <c r="A6216" s="6" t="s">
        <v>11440</v>
      </c>
      <c r="B6216" s="6" t="s">
        <v>1805</v>
      </c>
      <c r="C6216" s="26" t="n">
        <v>46212</v>
      </c>
      <c r="D6216" s="6" t="s">
        <v>5135</v>
      </c>
      <c r="E6216" s="6" t="s">
        <v>23</v>
      </c>
      <c r="F6216" s="6" t="n">
        <v>3</v>
      </c>
      <c r="G6216" s="10" t="n">
        <v>419</v>
      </c>
      <c r="H6216" s="10" t="n">
        <f aca="false">F6216*G6216</f>
        <v>1257</v>
      </c>
      <c r="I6216" s="6" t="s">
        <v>5130</v>
      </c>
    </row>
    <row r="6217" customFormat="false" ht="15" hidden="false" customHeight="false" outlineLevel="0" collapsed="false">
      <c r="A6217" s="6" t="s">
        <v>11441</v>
      </c>
      <c r="B6217" s="6" t="s">
        <v>4033</v>
      </c>
      <c r="C6217" s="26" t="n">
        <v>46212</v>
      </c>
      <c r="D6217" s="6" t="s">
        <v>5163</v>
      </c>
      <c r="E6217" s="6" t="s">
        <v>23</v>
      </c>
      <c r="F6217" s="6" t="n">
        <v>2</v>
      </c>
      <c r="G6217" s="10" t="n">
        <v>744</v>
      </c>
      <c r="H6217" s="10" t="n">
        <f aca="false">F6217*G6217</f>
        <v>1488</v>
      </c>
      <c r="I6217" s="6" t="s">
        <v>5122</v>
      </c>
    </row>
    <row r="6218" customFormat="false" ht="15" hidden="false" customHeight="false" outlineLevel="0" collapsed="false">
      <c r="A6218" s="6" t="s">
        <v>11442</v>
      </c>
      <c r="B6218" s="6" t="s">
        <v>4509</v>
      </c>
      <c r="C6218" s="26" t="n">
        <v>46212</v>
      </c>
      <c r="D6218" s="6" t="s">
        <v>5167</v>
      </c>
      <c r="E6218" s="6" t="s">
        <v>22</v>
      </c>
      <c r="F6218" s="6" t="n">
        <v>1</v>
      </c>
      <c r="G6218" s="10" t="n">
        <v>782</v>
      </c>
      <c r="H6218" s="10" t="n">
        <f aca="false">F6218*G6218</f>
        <v>782</v>
      </c>
      <c r="I6218" s="6" t="s">
        <v>5130</v>
      </c>
    </row>
    <row r="6219" customFormat="false" ht="15" hidden="false" customHeight="false" outlineLevel="0" collapsed="false">
      <c r="A6219" s="6" t="s">
        <v>11443</v>
      </c>
      <c r="B6219" s="6" t="s">
        <v>2881</v>
      </c>
      <c r="C6219" s="26" t="n">
        <v>46212</v>
      </c>
      <c r="D6219" s="6" t="s">
        <v>5269</v>
      </c>
      <c r="E6219" s="6" t="s">
        <v>22</v>
      </c>
      <c r="F6219" s="6" t="n">
        <v>1</v>
      </c>
      <c r="G6219" s="10" t="n">
        <v>1271</v>
      </c>
      <c r="H6219" s="10" t="n">
        <f aca="false">F6219*G6219</f>
        <v>1271</v>
      </c>
      <c r="I6219" s="6" t="s">
        <v>5122</v>
      </c>
    </row>
    <row r="6220" customFormat="false" ht="15" hidden="false" customHeight="false" outlineLevel="0" collapsed="false">
      <c r="A6220" s="6" t="s">
        <v>11444</v>
      </c>
      <c r="B6220" s="6" t="s">
        <v>3981</v>
      </c>
      <c r="C6220" s="26" t="n">
        <v>46212</v>
      </c>
      <c r="D6220" s="6" t="s">
        <v>5135</v>
      </c>
      <c r="E6220" s="6" t="s">
        <v>23</v>
      </c>
      <c r="F6220" s="6" t="n">
        <v>3</v>
      </c>
      <c r="G6220" s="10" t="n">
        <v>397</v>
      </c>
      <c r="H6220" s="10" t="n">
        <f aca="false">F6220*G6220</f>
        <v>1191</v>
      </c>
      <c r="I6220" s="6" t="s">
        <v>5122</v>
      </c>
    </row>
    <row r="6221" customFormat="false" ht="15" hidden="false" customHeight="false" outlineLevel="0" collapsed="false">
      <c r="A6221" s="6" t="s">
        <v>11445</v>
      </c>
      <c r="B6221" s="6" t="s">
        <v>2319</v>
      </c>
      <c r="C6221" s="26" t="n">
        <v>46212</v>
      </c>
      <c r="D6221" s="6" t="s">
        <v>5163</v>
      </c>
      <c r="E6221" s="6" t="s">
        <v>23</v>
      </c>
      <c r="F6221" s="6" t="n">
        <v>2</v>
      </c>
      <c r="G6221" s="10" t="n">
        <v>705</v>
      </c>
      <c r="H6221" s="10" t="n">
        <f aca="false">F6221*G6221</f>
        <v>1410</v>
      </c>
      <c r="I6221" s="6" t="s">
        <v>5122</v>
      </c>
    </row>
    <row r="6222" customFormat="false" ht="15" hidden="false" customHeight="false" outlineLevel="0" collapsed="false">
      <c r="A6222" s="6" t="s">
        <v>11446</v>
      </c>
      <c r="B6222" s="6" t="s">
        <v>1391</v>
      </c>
      <c r="C6222" s="26" t="n">
        <v>46212</v>
      </c>
      <c r="D6222" s="6" t="s">
        <v>5180</v>
      </c>
      <c r="E6222" s="6" t="s">
        <v>24</v>
      </c>
      <c r="F6222" s="6" t="n">
        <v>1</v>
      </c>
      <c r="G6222" s="10" t="n">
        <v>1788</v>
      </c>
      <c r="H6222" s="10" t="n">
        <f aca="false">F6222*G6222</f>
        <v>1788</v>
      </c>
      <c r="I6222" s="6" t="s">
        <v>5130</v>
      </c>
    </row>
    <row r="6223" customFormat="false" ht="15" hidden="false" customHeight="false" outlineLevel="0" collapsed="false">
      <c r="A6223" s="6" t="s">
        <v>11447</v>
      </c>
      <c r="B6223" s="6" t="s">
        <v>2357</v>
      </c>
      <c r="C6223" s="26" t="n">
        <v>46212</v>
      </c>
      <c r="D6223" s="6" t="s">
        <v>5165</v>
      </c>
      <c r="E6223" s="6" t="s">
        <v>22</v>
      </c>
      <c r="F6223" s="6" t="n">
        <v>1</v>
      </c>
      <c r="G6223" s="10" t="n">
        <v>977</v>
      </c>
      <c r="H6223" s="10" t="n">
        <f aca="false">F6223*G6223</f>
        <v>977</v>
      </c>
      <c r="I6223" s="6" t="s">
        <v>5148</v>
      </c>
    </row>
    <row r="6224" customFormat="false" ht="15" hidden="false" customHeight="false" outlineLevel="0" collapsed="false">
      <c r="A6224" s="6" t="s">
        <v>11448</v>
      </c>
      <c r="B6224" s="6" t="s">
        <v>2085</v>
      </c>
      <c r="C6224" s="26" t="n">
        <v>46212</v>
      </c>
      <c r="D6224" s="6" t="s">
        <v>5171</v>
      </c>
      <c r="E6224" s="6" t="s">
        <v>23</v>
      </c>
      <c r="F6224" s="6" t="n">
        <v>1</v>
      </c>
      <c r="G6224" s="10" t="n">
        <v>697</v>
      </c>
      <c r="H6224" s="10" t="n">
        <f aca="false">F6224*G6224</f>
        <v>697</v>
      </c>
      <c r="I6224" s="6" t="s">
        <v>5130</v>
      </c>
    </row>
    <row r="6225" customFormat="false" ht="15" hidden="false" customHeight="false" outlineLevel="0" collapsed="false">
      <c r="A6225" s="6" t="s">
        <v>11449</v>
      </c>
      <c r="B6225" s="6" t="s">
        <v>5011</v>
      </c>
      <c r="C6225" s="26" t="n">
        <v>46212</v>
      </c>
      <c r="D6225" s="6" t="s">
        <v>5259</v>
      </c>
      <c r="E6225" s="6" t="s">
        <v>22</v>
      </c>
      <c r="F6225" s="6" t="n">
        <v>1</v>
      </c>
      <c r="G6225" s="10" t="n">
        <v>1486</v>
      </c>
      <c r="H6225" s="10" t="n">
        <f aca="false">F6225*G6225</f>
        <v>1486</v>
      </c>
      <c r="I6225" s="6" t="s">
        <v>5148</v>
      </c>
    </row>
    <row r="6226" customFormat="false" ht="15" hidden="false" customHeight="false" outlineLevel="0" collapsed="false">
      <c r="A6226" s="6" t="s">
        <v>11450</v>
      </c>
      <c r="B6226" s="6" t="s">
        <v>4373</v>
      </c>
      <c r="C6226" s="26" t="n">
        <v>46212</v>
      </c>
      <c r="D6226" s="6" t="s">
        <v>5242</v>
      </c>
      <c r="E6226" s="6" t="s">
        <v>23</v>
      </c>
      <c r="F6226" s="6" t="n">
        <v>1</v>
      </c>
      <c r="G6226" s="10" t="n">
        <v>354</v>
      </c>
      <c r="H6226" s="10" t="n">
        <f aca="false">F6226*G6226</f>
        <v>354</v>
      </c>
      <c r="I6226" s="6" t="s">
        <v>5122</v>
      </c>
    </row>
    <row r="6227" customFormat="false" ht="15" hidden="false" customHeight="false" outlineLevel="0" collapsed="false">
      <c r="A6227" s="6" t="s">
        <v>11451</v>
      </c>
      <c r="B6227" s="6" t="s">
        <v>4241</v>
      </c>
      <c r="C6227" s="26" t="n">
        <v>46212</v>
      </c>
      <c r="D6227" s="6" t="s">
        <v>5165</v>
      </c>
      <c r="E6227" s="6" t="s">
        <v>22</v>
      </c>
      <c r="F6227" s="6" t="n">
        <v>2</v>
      </c>
      <c r="G6227" s="10" t="n">
        <v>977</v>
      </c>
      <c r="H6227" s="10" t="n">
        <f aca="false">F6227*G6227</f>
        <v>1954</v>
      </c>
      <c r="I6227" s="6" t="s">
        <v>5122</v>
      </c>
    </row>
    <row r="6228" customFormat="false" ht="15" hidden="false" customHeight="false" outlineLevel="0" collapsed="false">
      <c r="A6228" s="6" t="s">
        <v>11452</v>
      </c>
      <c r="B6228" s="6" t="s">
        <v>4601</v>
      </c>
      <c r="C6228" s="26" t="n">
        <v>46212</v>
      </c>
      <c r="D6228" s="6" t="s">
        <v>5357</v>
      </c>
      <c r="E6228" s="6" t="s">
        <v>23</v>
      </c>
      <c r="F6228" s="6" t="n">
        <v>2</v>
      </c>
      <c r="G6228" s="10" t="n">
        <v>534</v>
      </c>
      <c r="H6228" s="10" t="n">
        <f aca="false">F6228*G6228</f>
        <v>1068</v>
      </c>
      <c r="I6228" s="6" t="s">
        <v>5122</v>
      </c>
    </row>
    <row r="6229" customFormat="false" ht="15" hidden="false" customHeight="false" outlineLevel="0" collapsed="false">
      <c r="A6229" s="6" t="s">
        <v>11453</v>
      </c>
      <c r="B6229" s="6" t="s">
        <v>4859</v>
      </c>
      <c r="C6229" s="26" t="n">
        <v>46212</v>
      </c>
      <c r="D6229" s="6" t="s">
        <v>5259</v>
      </c>
      <c r="E6229" s="6" t="s">
        <v>22</v>
      </c>
      <c r="F6229" s="6" t="n">
        <v>1</v>
      </c>
      <c r="G6229" s="10" t="n">
        <v>1564</v>
      </c>
      <c r="H6229" s="10" t="n">
        <f aca="false">F6229*G6229</f>
        <v>1564</v>
      </c>
      <c r="I6229" s="6" t="s">
        <v>5122</v>
      </c>
    </row>
    <row r="6230" customFormat="false" ht="15" hidden="false" customHeight="false" outlineLevel="0" collapsed="false">
      <c r="A6230" s="6" t="s">
        <v>11454</v>
      </c>
      <c r="B6230" s="6" t="s">
        <v>4399</v>
      </c>
      <c r="C6230" s="26" t="n">
        <v>46212</v>
      </c>
      <c r="D6230" s="6" t="s">
        <v>5345</v>
      </c>
      <c r="E6230" s="6" t="s">
        <v>23</v>
      </c>
      <c r="F6230" s="6" t="n">
        <v>5</v>
      </c>
      <c r="G6230" s="10" t="n">
        <v>414</v>
      </c>
      <c r="H6230" s="10" t="n">
        <f aca="false">F6230*G6230</f>
        <v>2070</v>
      </c>
      <c r="I6230" s="6" t="s">
        <v>5125</v>
      </c>
    </row>
    <row r="6231" customFormat="false" ht="15" hidden="false" customHeight="false" outlineLevel="0" collapsed="false">
      <c r="A6231" s="6" t="s">
        <v>11455</v>
      </c>
      <c r="B6231" s="6" t="s">
        <v>1255</v>
      </c>
      <c r="C6231" s="26" t="n">
        <v>46212</v>
      </c>
      <c r="D6231" s="6" t="s">
        <v>5182</v>
      </c>
      <c r="E6231" s="6" t="s">
        <v>23</v>
      </c>
      <c r="F6231" s="6" t="n">
        <v>1</v>
      </c>
      <c r="G6231" s="10" t="n">
        <v>331</v>
      </c>
      <c r="H6231" s="10" t="n">
        <f aca="false">F6231*G6231</f>
        <v>331</v>
      </c>
      <c r="I6231" s="6" t="s">
        <v>5148</v>
      </c>
    </row>
    <row r="6232" customFormat="false" ht="15" hidden="false" customHeight="false" outlineLevel="0" collapsed="false">
      <c r="A6232" s="6" t="s">
        <v>11456</v>
      </c>
      <c r="B6232" s="6" t="s">
        <v>2909</v>
      </c>
      <c r="C6232" s="26" t="n">
        <v>46212</v>
      </c>
      <c r="D6232" s="6" t="s">
        <v>5121</v>
      </c>
      <c r="E6232" s="6" t="s">
        <v>22</v>
      </c>
      <c r="F6232" s="6" t="n">
        <v>1</v>
      </c>
      <c r="G6232" s="10" t="n">
        <v>880</v>
      </c>
      <c r="H6232" s="10" t="n">
        <f aca="false">F6232*G6232</f>
        <v>880</v>
      </c>
      <c r="I6232" s="6" t="s">
        <v>5125</v>
      </c>
    </row>
    <row r="6233" customFormat="false" ht="15" hidden="false" customHeight="false" outlineLevel="0" collapsed="false">
      <c r="A6233" s="6" t="s">
        <v>11457</v>
      </c>
      <c r="B6233" s="6" t="s">
        <v>4891</v>
      </c>
      <c r="C6233" s="26" t="n">
        <v>46212</v>
      </c>
      <c r="D6233" s="6" t="s">
        <v>5167</v>
      </c>
      <c r="E6233" s="6" t="s">
        <v>22</v>
      </c>
      <c r="F6233" s="6" t="n">
        <v>1</v>
      </c>
      <c r="G6233" s="10" t="n">
        <v>781</v>
      </c>
      <c r="H6233" s="10" t="n">
        <f aca="false">F6233*G6233</f>
        <v>781</v>
      </c>
      <c r="I6233" s="6" t="s">
        <v>5130</v>
      </c>
    </row>
    <row r="6234" customFormat="false" ht="15" hidden="false" customHeight="false" outlineLevel="0" collapsed="false">
      <c r="A6234" s="6" t="s">
        <v>11458</v>
      </c>
      <c r="B6234" s="6" t="s">
        <v>1865</v>
      </c>
      <c r="C6234" s="26" t="n">
        <v>46212</v>
      </c>
      <c r="D6234" s="6" t="s">
        <v>5129</v>
      </c>
      <c r="E6234" s="6" t="s">
        <v>21</v>
      </c>
      <c r="F6234" s="6" t="n">
        <v>1</v>
      </c>
      <c r="G6234" s="10" t="n">
        <v>559</v>
      </c>
      <c r="H6234" s="10" t="n">
        <f aca="false">F6234*G6234</f>
        <v>559</v>
      </c>
      <c r="I6234" s="6" t="s">
        <v>5122</v>
      </c>
    </row>
    <row r="6235" customFormat="false" ht="15" hidden="false" customHeight="false" outlineLevel="0" collapsed="false">
      <c r="A6235" s="6" t="s">
        <v>11459</v>
      </c>
      <c r="B6235" s="6" t="s">
        <v>3073</v>
      </c>
      <c r="C6235" s="26" t="n">
        <v>46212</v>
      </c>
      <c r="D6235" s="6" t="s">
        <v>5269</v>
      </c>
      <c r="E6235" s="6" t="s">
        <v>22</v>
      </c>
      <c r="F6235" s="6" t="n">
        <v>3</v>
      </c>
      <c r="G6235" s="10" t="n">
        <v>1271</v>
      </c>
      <c r="H6235" s="10" t="n">
        <f aca="false">F6235*G6235</f>
        <v>3813</v>
      </c>
      <c r="I6235" s="6" t="s">
        <v>5130</v>
      </c>
    </row>
    <row r="6236" customFormat="false" ht="15" hidden="false" customHeight="false" outlineLevel="0" collapsed="false">
      <c r="A6236" s="6" t="s">
        <v>11460</v>
      </c>
      <c r="B6236" s="6" t="s">
        <v>3901</v>
      </c>
      <c r="C6236" s="26" t="n">
        <v>46212</v>
      </c>
      <c r="D6236" s="6" t="s">
        <v>5410</v>
      </c>
      <c r="E6236" s="6" t="s">
        <v>20</v>
      </c>
      <c r="F6236" s="6" t="n">
        <v>1</v>
      </c>
      <c r="G6236" s="10" t="n">
        <v>2548</v>
      </c>
      <c r="H6236" s="10" t="n">
        <f aca="false">F6236*G6236</f>
        <v>2548</v>
      </c>
      <c r="I6236" s="6" t="s">
        <v>5125</v>
      </c>
    </row>
    <row r="6237" customFormat="false" ht="15" hidden="false" customHeight="false" outlineLevel="0" collapsed="false">
      <c r="A6237" s="6" t="s">
        <v>11461</v>
      </c>
      <c r="B6237" s="6" t="s">
        <v>5073</v>
      </c>
      <c r="C6237" s="26" t="n">
        <v>46212</v>
      </c>
      <c r="D6237" s="6" t="s">
        <v>5152</v>
      </c>
      <c r="E6237" s="6" t="s">
        <v>22</v>
      </c>
      <c r="F6237" s="6" t="n">
        <v>3</v>
      </c>
      <c r="G6237" s="10" t="n">
        <v>1760</v>
      </c>
      <c r="H6237" s="10" t="n">
        <f aca="false">F6237*G6237</f>
        <v>5280</v>
      </c>
      <c r="I6237" s="6" t="s">
        <v>5133</v>
      </c>
    </row>
    <row r="6238" customFormat="false" ht="15" hidden="false" customHeight="false" outlineLevel="0" collapsed="false">
      <c r="A6238" s="6" t="s">
        <v>11462</v>
      </c>
      <c r="B6238" s="6" t="s">
        <v>4265</v>
      </c>
      <c r="C6238" s="26" t="n">
        <v>46212</v>
      </c>
      <c r="D6238" s="6" t="s">
        <v>5135</v>
      </c>
      <c r="E6238" s="6" t="s">
        <v>23</v>
      </c>
      <c r="F6238" s="6" t="n">
        <v>3</v>
      </c>
      <c r="G6238" s="10" t="n">
        <v>419</v>
      </c>
      <c r="H6238" s="10" t="n">
        <f aca="false">F6238*G6238</f>
        <v>1257</v>
      </c>
      <c r="I6238" s="6" t="s">
        <v>5122</v>
      </c>
    </row>
    <row r="6239" customFormat="false" ht="15" hidden="false" customHeight="false" outlineLevel="0" collapsed="false">
      <c r="A6239" s="6" t="s">
        <v>11463</v>
      </c>
      <c r="B6239" s="6" t="s">
        <v>2557</v>
      </c>
      <c r="C6239" s="26" t="n">
        <v>46212</v>
      </c>
      <c r="D6239" s="6" t="s">
        <v>5143</v>
      </c>
      <c r="E6239" s="6" t="s">
        <v>21</v>
      </c>
      <c r="F6239" s="6" t="n">
        <v>1</v>
      </c>
      <c r="G6239" s="10" t="n">
        <v>1179</v>
      </c>
      <c r="H6239" s="10" t="n">
        <f aca="false">F6239*G6239</f>
        <v>1179</v>
      </c>
      <c r="I6239" s="6" t="s">
        <v>5125</v>
      </c>
    </row>
    <row r="6240" customFormat="false" ht="15" hidden="false" customHeight="false" outlineLevel="0" collapsed="false">
      <c r="A6240" s="6" t="s">
        <v>11464</v>
      </c>
      <c r="B6240" s="6" t="s">
        <v>725</v>
      </c>
      <c r="C6240" s="26" t="n">
        <v>46212</v>
      </c>
      <c r="D6240" s="6" t="s">
        <v>5214</v>
      </c>
      <c r="E6240" s="6" t="s">
        <v>20</v>
      </c>
      <c r="F6240" s="6" t="n">
        <v>1</v>
      </c>
      <c r="G6240" s="10" t="n">
        <v>1937</v>
      </c>
      <c r="H6240" s="10" t="n">
        <f aca="false">F6240*G6240</f>
        <v>1937</v>
      </c>
      <c r="I6240" s="6" t="s">
        <v>5122</v>
      </c>
    </row>
    <row r="6241" customFormat="false" ht="15" hidden="false" customHeight="false" outlineLevel="0" collapsed="false">
      <c r="A6241" s="6" t="s">
        <v>11465</v>
      </c>
      <c r="B6241" s="6" t="s">
        <v>759</v>
      </c>
      <c r="C6241" s="26" t="n">
        <v>46212</v>
      </c>
      <c r="D6241" s="6" t="s">
        <v>5154</v>
      </c>
      <c r="E6241" s="6" t="s">
        <v>21</v>
      </c>
      <c r="F6241" s="6" t="n">
        <v>1</v>
      </c>
      <c r="G6241" s="10" t="n">
        <v>747</v>
      </c>
      <c r="H6241" s="10" t="n">
        <f aca="false">F6241*G6241</f>
        <v>747</v>
      </c>
      <c r="I6241" s="6" t="s">
        <v>5130</v>
      </c>
    </row>
    <row r="6242" customFormat="false" ht="15" hidden="false" customHeight="false" outlineLevel="0" collapsed="false">
      <c r="A6242" s="6" t="s">
        <v>11466</v>
      </c>
      <c r="B6242" s="6" t="s">
        <v>567</v>
      </c>
      <c r="C6242" s="26" t="n">
        <v>46212</v>
      </c>
      <c r="D6242" s="6" t="s">
        <v>5154</v>
      </c>
      <c r="E6242" s="6" t="s">
        <v>21</v>
      </c>
      <c r="F6242" s="6" t="n">
        <v>1</v>
      </c>
      <c r="G6242" s="10" t="n">
        <v>746</v>
      </c>
      <c r="H6242" s="10" t="n">
        <f aca="false">F6242*G6242</f>
        <v>746</v>
      </c>
      <c r="I6242" s="6" t="s">
        <v>5148</v>
      </c>
    </row>
    <row r="6243" customFormat="false" ht="15" hidden="false" customHeight="false" outlineLevel="0" collapsed="false">
      <c r="A6243" s="6" t="s">
        <v>11467</v>
      </c>
      <c r="B6243" s="6" t="s">
        <v>1355</v>
      </c>
      <c r="C6243" s="26" t="n">
        <v>46212</v>
      </c>
      <c r="D6243" s="6" t="s">
        <v>5224</v>
      </c>
      <c r="E6243" s="6" t="s">
        <v>23</v>
      </c>
      <c r="F6243" s="6" t="n">
        <v>3</v>
      </c>
      <c r="G6243" s="10" t="n">
        <v>175</v>
      </c>
      <c r="H6243" s="10" t="n">
        <f aca="false">F6243*G6243</f>
        <v>525</v>
      </c>
      <c r="I6243" s="6" t="s">
        <v>5148</v>
      </c>
    </row>
    <row r="6244" customFormat="false" ht="15" hidden="false" customHeight="false" outlineLevel="0" collapsed="false">
      <c r="A6244" s="6" t="s">
        <v>11468</v>
      </c>
      <c r="B6244" s="6" t="s">
        <v>4017</v>
      </c>
      <c r="C6244" s="26" t="n">
        <v>46212</v>
      </c>
      <c r="D6244" s="6" t="s">
        <v>5127</v>
      </c>
      <c r="E6244" s="6" t="s">
        <v>21</v>
      </c>
      <c r="F6244" s="6" t="n">
        <v>2</v>
      </c>
      <c r="G6244" s="10" t="n">
        <v>839</v>
      </c>
      <c r="H6244" s="10" t="n">
        <f aca="false">F6244*G6244</f>
        <v>1678</v>
      </c>
      <c r="I6244" s="6" t="s">
        <v>5122</v>
      </c>
    </row>
    <row r="6245" customFormat="false" ht="15" hidden="false" customHeight="false" outlineLevel="0" collapsed="false">
      <c r="A6245" s="6" t="s">
        <v>11469</v>
      </c>
      <c r="B6245" s="6" t="s">
        <v>1155</v>
      </c>
      <c r="C6245" s="26" t="n">
        <v>46212</v>
      </c>
      <c r="D6245" s="6" t="s">
        <v>5167</v>
      </c>
      <c r="E6245" s="6" t="s">
        <v>22</v>
      </c>
      <c r="F6245" s="6" t="n">
        <v>2</v>
      </c>
      <c r="G6245" s="10" t="n">
        <v>782</v>
      </c>
      <c r="H6245" s="10" t="n">
        <f aca="false">F6245*G6245</f>
        <v>1564</v>
      </c>
      <c r="I6245" s="6" t="s">
        <v>5122</v>
      </c>
    </row>
    <row r="6246" customFormat="false" ht="15" hidden="false" customHeight="false" outlineLevel="0" collapsed="false">
      <c r="A6246" s="6" t="s">
        <v>11470</v>
      </c>
      <c r="B6246" s="6" t="s">
        <v>4853</v>
      </c>
      <c r="C6246" s="26" t="n">
        <v>46212</v>
      </c>
      <c r="D6246" s="6" t="s">
        <v>5171</v>
      </c>
      <c r="E6246" s="6" t="s">
        <v>23</v>
      </c>
      <c r="F6246" s="6" t="n">
        <v>2</v>
      </c>
      <c r="G6246" s="10" t="n">
        <v>734</v>
      </c>
      <c r="H6246" s="10" t="n">
        <f aca="false">F6246*G6246</f>
        <v>1468</v>
      </c>
      <c r="I6246" s="6" t="s">
        <v>5125</v>
      </c>
    </row>
    <row r="6247" customFormat="false" ht="15" hidden="false" customHeight="false" outlineLevel="0" collapsed="false">
      <c r="A6247" s="6" t="s">
        <v>11471</v>
      </c>
      <c r="B6247" s="6" t="s">
        <v>969</v>
      </c>
      <c r="C6247" s="26" t="n">
        <v>46212</v>
      </c>
      <c r="D6247" s="6" t="s">
        <v>5561</v>
      </c>
      <c r="E6247" s="6" t="s">
        <v>20</v>
      </c>
      <c r="F6247" s="6" t="n">
        <v>1</v>
      </c>
      <c r="G6247" s="10" t="n">
        <v>3364</v>
      </c>
      <c r="H6247" s="10" t="n">
        <f aca="false">F6247*G6247</f>
        <v>3364</v>
      </c>
      <c r="I6247" s="6" t="s">
        <v>5173</v>
      </c>
    </row>
    <row r="6248" customFormat="false" ht="15" hidden="false" customHeight="false" outlineLevel="0" collapsed="false">
      <c r="A6248" s="6" t="s">
        <v>11472</v>
      </c>
      <c r="B6248" s="6" t="s">
        <v>2999</v>
      </c>
      <c r="C6248" s="26" t="n">
        <v>46212</v>
      </c>
      <c r="D6248" s="6" t="s">
        <v>5240</v>
      </c>
      <c r="E6248" s="6" t="s">
        <v>20</v>
      </c>
      <c r="F6248" s="6" t="n">
        <v>1</v>
      </c>
      <c r="G6248" s="10" t="n">
        <v>5097</v>
      </c>
      <c r="H6248" s="10" t="n">
        <f aca="false">F6248*G6248</f>
        <v>5097</v>
      </c>
      <c r="I6248" s="6" t="s">
        <v>5130</v>
      </c>
    </row>
    <row r="6249" customFormat="false" ht="15" hidden="false" customHeight="false" outlineLevel="0" collapsed="false">
      <c r="A6249" s="6" t="s">
        <v>11473</v>
      </c>
      <c r="B6249" s="6" t="s">
        <v>5089</v>
      </c>
      <c r="C6249" s="26" t="n">
        <v>46212</v>
      </c>
      <c r="D6249" s="6" t="s">
        <v>5207</v>
      </c>
      <c r="E6249" s="6" t="s">
        <v>20</v>
      </c>
      <c r="F6249" s="6" t="n">
        <v>1</v>
      </c>
      <c r="G6249" s="10" t="n">
        <v>1191</v>
      </c>
      <c r="H6249" s="10" t="n">
        <f aca="false">F6249*G6249</f>
        <v>1191</v>
      </c>
      <c r="I6249" s="6" t="s">
        <v>5148</v>
      </c>
    </row>
    <row r="6250" customFormat="false" ht="15" hidden="false" customHeight="false" outlineLevel="0" collapsed="false">
      <c r="A6250" s="6" t="s">
        <v>11474</v>
      </c>
      <c r="B6250" s="6" t="s">
        <v>287</v>
      </c>
      <c r="C6250" s="26" t="n">
        <v>46212</v>
      </c>
      <c r="D6250" s="6" t="s">
        <v>5458</v>
      </c>
      <c r="E6250" s="6" t="s">
        <v>24</v>
      </c>
      <c r="F6250" s="6" t="n">
        <v>4</v>
      </c>
      <c r="G6250" s="10" t="n">
        <v>503</v>
      </c>
      <c r="H6250" s="10" t="n">
        <f aca="false">F6250*G6250</f>
        <v>2012</v>
      </c>
      <c r="I6250" s="6" t="s">
        <v>5148</v>
      </c>
    </row>
    <row r="6251" customFormat="false" ht="15" hidden="false" customHeight="false" outlineLevel="0" collapsed="false">
      <c r="A6251" s="6" t="s">
        <v>11475</v>
      </c>
      <c r="B6251" s="6" t="s">
        <v>1369</v>
      </c>
      <c r="C6251" s="26" t="n">
        <v>46213</v>
      </c>
      <c r="D6251" s="6" t="s">
        <v>5129</v>
      </c>
      <c r="E6251" s="6" t="s">
        <v>21</v>
      </c>
      <c r="F6251" s="6" t="n">
        <v>3</v>
      </c>
      <c r="G6251" s="10" t="n">
        <v>589</v>
      </c>
      <c r="H6251" s="10" t="n">
        <f aca="false">F6251*G6251</f>
        <v>1767</v>
      </c>
      <c r="I6251" s="6" t="s">
        <v>5122</v>
      </c>
    </row>
    <row r="6252" customFormat="false" ht="15" hidden="false" customHeight="false" outlineLevel="0" collapsed="false">
      <c r="A6252" s="6" t="s">
        <v>11476</v>
      </c>
      <c r="B6252" s="6" t="s">
        <v>2063</v>
      </c>
      <c r="C6252" s="26" t="n">
        <v>46213</v>
      </c>
      <c r="D6252" s="6" t="s">
        <v>5180</v>
      </c>
      <c r="E6252" s="6" t="s">
        <v>24</v>
      </c>
      <c r="F6252" s="6" t="n">
        <v>2</v>
      </c>
      <c r="G6252" s="10" t="n">
        <v>1987</v>
      </c>
      <c r="H6252" s="10" t="n">
        <f aca="false">F6252*G6252</f>
        <v>3974</v>
      </c>
      <c r="I6252" s="6" t="s">
        <v>5130</v>
      </c>
    </row>
    <row r="6253" customFormat="false" ht="15" hidden="false" customHeight="false" outlineLevel="0" collapsed="false">
      <c r="A6253" s="6" t="s">
        <v>11477</v>
      </c>
      <c r="B6253" s="6" t="s">
        <v>529</v>
      </c>
      <c r="C6253" s="26" t="n">
        <v>46213</v>
      </c>
      <c r="D6253" s="6" t="s">
        <v>5273</v>
      </c>
      <c r="E6253" s="6" t="s">
        <v>23</v>
      </c>
      <c r="F6253" s="6" t="n">
        <v>2</v>
      </c>
      <c r="G6253" s="10" t="n">
        <v>240</v>
      </c>
      <c r="H6253" s="10" t="n">
        <f aca="false">F6253*G6253</f>
        <v>480</v>
      </c>
      <c r="I6253" s="6" t="s">
        <v>5148</v>
      </c>
    </row>
    <row r="6254" customFormat="false" ht="15" hidden="false" customHeight="false" outlineLevel="0" collapsed="false">
      <c r="A6254" s="6" t="s">
        <v>11478</v>
      </c>
      <c r="B6254" s="6" t="s">
        <v>1981</v>
      </c>
      <c r="C6254" s="26" t="n">
        <v>46213</v>
      </c>
      <c r="D6254" s="6" t="s">
        <v>5163</v>
      </c>
      <c r="E6254" s="6" t="s">
        <v>23</v>
      </c>
      <c r="F6254" s="6" t="n">
        <v>4</v>
      </c>
      <c r="G6254" s="10" t="n">
        <v>783</v>
      </c>
      <c r="H6254" s="10" t="n">
        <f aca="false">F6254*G6254</f>
        <v>3132</v>
      </c>
      <c r="I6254" s="6" t="s">
        <v>5148</v>
      </c>
    </row>
    <row r="6255" customFormat="false" ht="15" hidden="false" customHeight="false" outlineLevel="0" collapsed="false">
      <c r="A6255" s="6" t="s">
        <v>11479</v>
      </c>
      <c r="B6255" s="6" t="s">
        <v>1079</v>
      </c>
      <c r="C6255" s="26" t="n">
        <v>46213</v>
      </c>
      <c r="D6255" s="6" t="s">
        <v>5143</v>
      </c>
      <c r="E6255" s="6" t="s">
        <v>21</v>
      </c>
      <c r="F6255" s="6" t="n">
        <v>1</v>
      </c>
      <c r="G6255" s="10" t="n">
        <v>1120</v>
      </c>
      <c r="H6255" s="10" t="n">
        <f aca="false">F6255*G6255</f>
        <v>1120</v>
      </c>
      <c r="I6255" s="6" t="s">
        <v>5122</v>
      </c>
    </row>
    <row r="6256" customFormat="false" ht="15" hidden="false" customHeight="false" outlineLevel="0" collapsed="false">
      <c r="A6256" s="6" t="s">
        <v>11480</v>
      </c>
      <c r="B6256" s="6" t="s">
        <v>879</v>
      </c>
      <c r="C6256" s="26" t="n">
        <v>46213</v>
      </c>
      <c r="D6256" s="6" t="s">
        <v>5167</v>
      </c>
      <c r="E6256" s="6" t="s">
        <v>22</v>
      </c>
      <c r="F6256" s="6" t="n">
        <v>1</v>
      </c>
      <c r="G6256" s="10" t="n">
        <v>742</v>
      </c>
      <c r="H6256" s="10" t="n">
        <f aca="false">F6256*G6256</f>
        <v>742</v>
      </c>
      <c r="I6256" s="6" t="s">
        <v>5125</v>
      </c>
    </row>
    <row r="6257" customFormat="false" ht="15" hidden="false" customHeight="false" outlineLevel="0" collapsed="false">
      <c r="A6257" s="6" t="s">
        <v>11481</v>
      </c>
      <c r="B6257" s="6" t="s">
        <v>4509</v>
      </c>
      <c r="C6257" s="26" t="n">
        <v>46213</v>
      </c>
      <c r="D6257" s="6" t="s">
        <v>5588</v>
      </c>
      <c r="E6257" s="6" t="s">
        <v>21</v>
      </c>
      <c r="F6257" s="6" t="n">
        <v>3</v>
      </c>
      <c r="G6257" s="10" t="n">
        <v>11794</v>
      </c>
      <c r="H6257" s="10" t="n">
        <f aca="false">F6257*G6257</f>
        <v>35382</v>
      </c>
      <c r="I6257" s="6" t="s">
        <v>5173</v>
      </c>
    </row>
    <row r="6258" customFormat="false" ht="15" hidden="false" customHeight="false" outlineLevel="0" collapsed="false">
      <c r="A6258" s="6" t="s">
        <v>11482</v>
      </c>
      <c r="B6258" s="6" t="s">
        <v>4307</v>
      </c>
      <c r="C6258" s="26" t="n">
        <v>46213</v>
      </c>
      <c r="D6258" s="6" t="s">
        <v>5167</v>
      </c>
      <c r="E6258" s="6" t="s">
        <v>22</v>
      </c>
      <c r="F6258" s="6" t="n">
        <v>1</v>
      </c>
      <c r="G6258" s="10" t="n">
        <v>703</v>
      </c>
      <c r="H6258" s="10" t="n">
        <f aca="false">F6258*G6258</f>
        <v>703</v>
      </c>
      <c r="I6258" s="6" t="s">
        <v>5122</v>
      </c>
    </row>
    <row r="6259" customFormat="false" ht="15" hidden="false" customHeight="false" outlineLevel="0" collapsed="false">
      <c r="A6259" s="6" t="s">
        <v>11483</v>
      </c>
      <c r="B6259" s="6" t="s">
        <v>368</v>
      </c>
      <c r="C6259" s="26" t="n">
        <v>46213</v>
      </c>
      <c r="D6259" s="6" t="s">
        <v>5458</v>
      </c>
      <c r="E6259" s="6" t="s">
        <v>24</v>
      </c>
      <c r="F6259" s="6" t="n">
        <v>1</v>
      </c>
      <c r="G6259" s="10" t="n">
        <v>559</v>
      </c>
      <c r="H6259" s="10" t="n">
        <f aca="false">F6259*G6259</f>
        <v>559</v>
      </c>
      <c r="I6259" s="6" t="s">
        <v>5122</v>
      </c>
    </row>
    <row r="6260" customFormat="false" ht="15" hidden="false" customHeight="false" outlineLevel="0" collapsed="false">
      <c r="A6260" s="6" t="s">
        <v>11484</v>
      </c>
      <c r="B6260" s="6" t="s">
        <v>2751</v>
      </c>
      <c r="C6260" s="26" t="n">
        <v>46213</v>
      </c>
      <c r="D6260" s="6" t="s">
        <v>5357</v>
      </c>
      <c r="E6260" s="6" t="s">
        <v>23</v>
      </c>
      <c r="F6260" s="6" t="n">
        <v>2</v>
      </c>
      <c r="G6260" s="10" t="n">
        <v>534</v>
      </c>
      <c r="H6260" s="10" t="n">
        <f aca="false">F6260*G6260</f>
        <v>1068</v>
      </c>
      <c r="I6260" s="6" t="s">
        <v>5122</v>
      </c>
    </row>
    <row r="6261" customFormat="false" ht="15" hidden="false" customHeight="false" outlineLevel="0" collapsed="false">
      <c r="A6261" s="6" t="s">
        <v>11485</v>
      </c>
      <c r="B6261" s="6" t="s">
        <v>390</v>
      </c>
      <c r="C6261" s="26" t="n">
        <v>46213</v>
      </c>
      <c r="D6261" s="6" t="s">
        <v>5135</v>
      </c>
      <c r="E6261" s="6" t="s">
        <v>23</v>
      </c>
      <c r="F6261" s="6" t="n">
        <v>5</v>
      </c>
      <c r="G6261" s="10" t="n">
        <v>441</v>
      </c>
      <c r="H6261" s="10" t="n">
        <f aca="false">F6261*G6261</f>
        <v>2205</v>
      </c>
      <c r="I6261" s="6" t="s">
        <v>5122</v>
      </c>
    </row>
    <row r="6262" customFormat="false" ht="15" hidden="false" customHeight="false" outlineLevel="0" collapsed="false">
      <c r="A6262" s="6" t="s">
        <v>11486</v>
      </c>
      <c r="B6262" s="6" t="s">
        <v>1031</v>
      </c>
      <c r="C6262" s="26" t="n">
        <v>46213</v>
      </c>
      <c r="D6262" s="6" t="s">
        <v>5167</v>
      </c>
      <c r="E6262" s="6" t="s">
        <v>22</v>
      </c>
      <c r="F6262" s="6" t="n">
        <v>1</v>
      </c>
      <c r="G6262" s="10" t="n">
        <v>781</v>
      </c>
      <c r="H6262" s="10" t="n">
        <f aca="false">F6262*G6262</f>
        <v>781</v>
      </c>
      <c r="I6262" s="6" t="s">
        <v>5148</v>
      </c>
    </row>
    <row r="6263" customFormat="false" ht="15" hidden="false" customHeight="false" outlineLevel="0" collapsed="false">
      <c r="A6263" s="6" t="s">
        <v>11487</v>
      </c>
      <c r="B6263" s="6" t="s">
        <v>3627</v>
      </c>
      <c r="C6263" s="26" t="n">
        <v>46213</v>
      </c>
      <c r="D6263" s="6" t="s">
        <v>5127</v>
      </c>
      <c r="E6263" s="6" t="s">
        <v>21</v>
      </c>
      <c r="F6263" s="6" t="n">
        <v>1</v>
      </c>
      <c r="G6263" s="10" t="n">
        <v>795</v>
      </c>
      <c r="H6263" s="10" t="n">
        <f aca="false">F6263*G6263</f>
        <v>795</v>
      </c>
      <c r="I6263" s="6" t="s">
        <v>5125</v>
      </c>
    </row>
    <row r="6264" customFormat="false" ht="15" hidden="false" customHeight="false" outlineLevel="0" collapsed="false">
      <c r="A6264" s="6" t="s">
        <v>11488</v>
      </c>
      <c r="B6264" s="6" t="s">
        <v>3195</v>
      </c>
      <c r="C6264" s="26" t="n">
        <v>46213</v>
      </c>
      <c r="D6264" s="6" t="s">
        <v>5171</v>
      </c>
      <c r="E6264" s="6" t="s">
        <v>23</v>
      </c>
      <c r="F6264" s="6" t="n">
        <v>1</v>
      </c>
      <c r="G6264" s="10" t="n">
        <v>734</v>
      </c>
      <c r="H6264" s="10" t="n">
        <f aca="false">F6264*G6264</f>
        <v>734</v>
      </c>
      <c r="I6264" s="6" t="s">
        <v>5148</v>
      </c>
    </row>
    <row r="6265" customFormat="false" ht="15" hidden="false" customHeight="false" outlineLevel="0" collapsed="false">
      <c r="A6265" s="6" t="s">
        <v>11489</v>
      </c>
      <c r="B6265" s="6" t="s">
        <v>2555</v>
      </c>
      <c r="C6265" s="26" t="n">
        <v>46213</v>
      </c>
      <c r="D6265" s="6" t="s">
        <v>5135</v>
      </c>
      <c r="E6265" s="6" t="s">
        <v>23</v>
      </c>
      <c r="F6265" s="6" t="n">
        <v>2</v>
      </c>
      <c r="G6265" s="10" t="n">
        <v>441</v>
      </c>
      <c r="H6265" s="10" t="n">
        <f aca="false">F6265*G6265</f>
        <v>882</v>
      </c>
      <c r="I6265" s="6" t="s">
        <v>5148</v>
      </c>
    </row>
    <row r="6266" customFormat="false" ht="15" hidden="false" customHeight="false" outlineLevel="0" collapsed="false">
      <c r="A6266" s="6" t="s">
        <v>11490</v>
      </c>
      <c r="B6266" s="6" t="s">
        <v>2629</v>
      </c>
      <c r="C6266" s="26" t="n">
        <v>46213</v>
      </c>
      <c r="D6266" s="6" t="s">
        <v>5152</v>
      </c>
      <c r="E6266" s="6" t="s">
        <v>22</v>
      </c>
      <c r="F6266" s="6" t="n">
        <v>3</v>
      </c>
      <c r="G6266" s="10" t="n">
        <v>1760</v>
      </c>
      <c r="H6266" s="10" t="n">
        <f aca="false">F6266*G6266</f>
        <v>5280</v>
      </c>
      <c r="I6266" s="6" t="s">
        <v>5122</v>
      </c>
    </row>
    <row r="6267" customFormat="false" ht="15" hidden="false" customHeight="false" outlineLevel="0" collapsed="false">
      <c r="A6267" s="6" t="s">
        <v>11491</v>
      </c>
      <c r="B6267" s="6" t="s">
        <v>1817</v>
      </c>
      <c r="C6267" s="26" t="n">
        <v>46213</v>
      </c>
      <c r="D6267" s="6" t="s">
        <v>5218</v>
      </c>
      <c r="E6267" s="6" t="s">
        <v>23</v>
      </c>
      <c r="F6267" s="6" t="n">
        <v>1</v>
      </c>
      <c r="G6267" s="10" t="n">
        <v>156</v>
      </c>
      <c r="H6267" s="10" t="n">
        <f aca="false">F6267*G6267</f>
        <v>156</v>
      </c>
      <c r="I6267" s="6" t="s">
        <v>5122</v>
      </c>
    </row>
    <row r="6268" customFormat="false" ht="15" hidden="false" customHeight="false" outlineLevel="0" collapsed="false">
      <c r="A6268" s="6" t="s">
        <v>11492</v>
      </c>
      <c r="B6268" s="6" t="s">
        <v>1865</v>
      </c>
      <c r="C6268" s="26" t="n">
        <v>46213</v>
      </c>
      <c r="D6268" s="6" t="s">
        <v>5292</v>
      </c>
      <c r="E6268" s="6" t="s">
        <v>21</v>
      </c>
      <c r="F6268" s="6" t="n">
        <v>1</v>
      </c>
      <c r="G6268" s="10" t="n">
        <v>6880</v>
      </c>
      <c r="H6268" s="10" t="n">
        <f aca="false">F6268*G6268</f>
        <v>6880</v>
      </c>
      <c r="I6268" s="6" t="s">
        <v>5125</v>
      </c>
    </row>
    <row r="6269" customFormat="false" ht="15" hidden="false" customHeight="false" outlineLevel="0" collapsed="false">
      <c r="A6269" s="6" t="s">
        <v>11493</v>
      </c>
      <c r="B6269" s="6" t="s">
        <v>4427</v>
      </c>
      <c r="C6269" s="26" t="n">
        <v>46213</v>
      </c>
      <c r="D6269" s="6" t="s">
        <v>5129</v>
      </c>
      <c r="E6269" s="6" t="s">
        <v>21</v>
      </c>
      <c r="F6269" s="6" t="n">
        <v>1</v>
      </c>
      <c r="G6269" s="10" t="n">
        <v>530</v>
      </c>
      <c r="H6269" s="10" t="n">
        <f aca="false">F6269*G6269</f>
        <v>530</v>
      </c>
      <c r="I6269" s="6" t="s">
        <v>5148</v>
      </c>
    </row>
    <row r="6270" customFormat="false" ht="15" hidden="false" customHeight="false" outlineLevel="0" collapsed="false">
      <c r="A6270" s="6" t="s">
        <v>11494</v>
      </c>
      <c r="B6270" s="6" t="s">
        <v>3131</v>
      </c>
      <c r="C6270" s="26" t="n">
        <v>46213</v>
      </c>
      <c r="D6270" s="6" t="s">
        <v>5269</v>
      </c>
      <c r="E6270" s="6" t="s">
        <v>22</v>
      </c>
      <c r="F6270" s="6" t="n">
        <v>1</v>
      </c>
      <c r="G6270" s="10" t="n">
        <v>1144</v>
      </c>
      <c r="H6270" s="10" t="n">
        <f aca="false">F6270*G6270</f>
        <v>1144</v>
      </c>
      <c r="I6270" s="6" t="s">
        <v>5130</v>
      </c>
    </row>
    <row r="6271" customFormat="false" ht="15" hidden="false" customHeight="false" outlineLevel="0" collapsed="false">
      <c r="A6271" s="6" t="s">
        <v>11495</v>
      </c>
      <c r="B6271" s="6" t="s">
        <v>2143</v>
      </c>
      <c r="C6271" s="26" t="n">
        <v>46213</v>
      </c>
      <c r="D6271" s="6" t="s">
        <v>5326</v>
      </c>
      <c r="E6271" s="6" t="s">
        <v>22</v>
      </c>
      <c r="F6271" s="6" t="n">
        <v>2</v>
      </c>
      <c r="G6271" s="10" t="n">
        <v>1466</v>
      </c>
      <c r="H6271" s="10" t="n">
        <f aca="false">F6271*G6271</f>
        <v>2932</v>
      </c>
      <c r="I6271" s="6" t="s">
        <v>5148</v>
      </c>
    </row>
    <row r="6272" customFormat="false" ht="15" hidden="false" customHeight="false" outlineLevel="0" collapsed="false">
      <c r="A6272" s="6" t="s">
        <v>11496</v>
      </c>
      <c r="B6272" s="6" t="s">
        <v>3731</v>
      </c>
      <c r="C6272" s="26" t="n">
        <v>46213</v>
      </c>
      <c r="D6272" s="6" t="s">
        <v>5357</v>
      </c>
      <c r="E6272" s="6" t="s">
        <v>23</v>
      </c>
      <c r="F6272" s="6" t="n">
        <v>4</v>
      </c>
      <c r="G6272" s="10" t="n">
        <v>534</v>
      </c>
      <c r="H6272" s="10" t="n">
        <f aca="false">F6272*G6272</f>
        <v>2136</v>
      </c>
      <c r="I6272" s="6" t="s">
        <v>5130</v>
      </c>
    </row>
    <row r="6273" customFormat="false" ht="15" hidden="false" customHeight="false" outlineLevel="0" collapsed="false">
      <c r="A6273" s="6" t="s">
        <v>11497</v>
      </c>
      <c r="B6273" s="6" t="s">
        <v>4011</v>
      </c>
      <c r="C6273" s="26" t="n">
        <v>46213</v>
      </c>
      <c r="D6273" s="6" t="s">
        <v>5139</v>
      </c>
      <c r="E6273" s="6" t="s">
        <v>23</v>
      </c>
      <c r="F6273" s="6" t="n">
        <v>1</v>
      </c>
      <c r="G6273" s="10" t="n">
        <v>278</v>
      </c>
      <c r="H6273" s="10" t="n">
        <f aca="false">F6273*G6273</f>
        <v>278</v>
      </c>
      <c r="I6273" s="6" t="s">
        <v>5122</v>
      </c>
    </row>
    <row r="6274" customFormat="false" ht="15" hidden="false" customHeight="false" outlineLevel="0" collapsed="false">
      <c r="A6274" s="6" t="s">
        <v>11498</v>
      </c>
      <c r="B6274" s="6" t="s">
        <v>4245</v>
      </c>
      <c r="C6274" s="26" t="n">
        <v>46213</v>
      </c>
      <c r="D6274" s="6" t="s">
        <v>5313</v>
      </c>
      <c r="E6274" s="6" t="s">
        <v>22</v>
      </c>
      <c r="F6274" s="6" t="n">
        <v>3</v>
      </c>
      <c r="G6274" s="10" t="n">
        <v>1760</v>
      </c>
      <c r="H6274" s="10" t="n">
        <f aca="false">F6274*G6274</f>
        <v>5280</v>
      </c>
      <c r="I6274" s="6" t="s">
        <v>5148</v>
      </c>
    </row>
    <row r="6275" customFormat="false" ht="15" hidden="false" customHeight="false" outlineLevel="0" collapsed="false">
      <c r="A6275" s="6" t="s">
        <v>11499</v>
      </c>
      <c r="B6275" s="6" t="s">
        <v>1757</v>
      </c>
      <c r="C6275" s="26" t="n">
        <v>46213</v>
      </c>
      <c r="D6275" s="6" t="s">
        <v>5318</v>
      </c>
      <c r="E6275" s="6" t="s">
        <v>20</v>
      </c>
      <c r="F6275" s="6" t="n">
        <v>1</v>
      </c>
      <c r="G6275" s="10" t="n">
        <v>1452</v>
      </c>
      <c r="H6275" s="10" t="n">
        <f aca="false">F6275*G6275</f>
        <v>1452</v>
      </c>
      <c r="I6275" s="6" t="s">
        <v>5122</v>
      </c>
    </row>
    <row r="6276" customFormat="false" ht="15" hidden="false" customHeight="false" outlineLevel="0" collapsed="false">
      <c r="A6276" s="6" t="s">
        <v>11500</v>
      </c>
      <c r="B6276" s="6" t="s">
        <v>3887</v>
      </c>
      <c r="C6276" s="26" t="n">
        <v>46213</v>
      </c>
      <c r="D6276" s="6" t="s">
        <v>5207</v>
      </c>
      <c r="E6276" s="6" t="s">
        <v>20</v>
      </c>
      <c r="F6276" s="6" t="n">
        <v>1</v>
      </c>
      <c r="G6276" s="10" t="n">
        <v>1258</v>
      </c>
      <c r="H6276" s="10" t="n">
        <f aca="false">F6276*G6276</f>
        <v>1258</v>
      </c>
      <c r="I6276" s="6" t="s">
        <v>5125</v>
      </c>
    </row>
    <row r="6277" customFormat="false" ht="15" hidden="false" customHeight="false" outlineLevel="0" collapsed="false">
      <c r="A6277" s="6" t="s">
        <v>11501</v>
      </c>
      <c r="B6277" s="6" t="s">
        <v>2255</v>
      </c>
      <c r="C6277" s="26" t="n">
        <v>46214</v>
      </c>
      <c r="D6277" s="6" t="s">
        <v>5175</v>
      </c>
      <c r="E6277" s="6" t="s">
        <v>24</v>
      </c>
      <c r="F6277" s="6" t="n">
        <v>3</v>
      </c>
      <c r="G6277" s="10" t="n">
        <v>549</v>
      </c>
      <c r="H6277" s="10" t="n">
        <f aca="false">F6277*G6277</f>
        <v>1647</v>
      </c>
      <c r="I6277" s="6" t="s">
        <v>5173</v>
      </c>
    </row>
    <row r="6278" customFormat="false" ht="15" hidden="false" customHeight="false" outlineLevel="0" collapsed="false">
      <c r="A6278" s="6" t="s">
        <v>11502</v>
      </c>
      <c r="B6278" s="6" t="s">
        <v>326</v>
      </c>
      <c r="C6278" s="26" t="n">
        <v>46214</v>
      </c>
      <c r="D6278" s="6" t="s">
        <v>5135</v>
      </c>
      <c r="E6278" s="6" t="s">
        <v>23</v>
      </c>
      <c r="F6278" s="6" t="n">
        <v>2</v>
      </c>
      <c r="G6278" s="10" t="n">
        <v>441</v>
      </c>
      <c r="H6278" s="10" t="n">
        <f aca="false">F6278*G6278</f>
        <v>882</v>
      </c>
      <c r="I6278" s="6" t="s">
        <v>5133</v>
      </c>
    </row>
    <row r="6279" customFormat="false" ht="15" hidden="false" customHeight="false" outlineLevel="0" collapsed="false">
      <c r="A6279" s="6" t="s">
        <v>11503</v>
      </c>
      <c r="B6279" s="6" t="s">
        <v>2269</v>
      </c>
      <c r="C6279" s="26" t="n">
        <v>46214</v>
      </c>
      <c r="D6279" s="6" t="s">
        <v>5339</v>
      </c>
      <c r="E6279" s="6" t="s">
        <v>24</v>
      </c>
      <c r="F6279" s="6" t="n">
        <v>1</v>
      </c>
      <c r="G6279" s="10" t="n">
        <v>509</v>
      </c>
      <c r="H6279" s="10" t="n">
        <f aca="false">F6279*G6279</f>
        <v>509</v>
      </c>
      <c r="I6279" s="6" t="s">
        <v>5122</v>
      </c>
    </row>
    <row r="6280" customFormat="false" ht="15" hidden="false" customHeight="false" outlineLevel="0" collapsed="false">
      <c r="A6280" s="6" t="s">
        <v>11504</v>
      </c>
      <c r="B6280" s="6" t="s">
        <v>669</v>
      </c>
      <c r="C6280" s="26" t="n">
        <v>46214</v>
      </c>
      <c r="D6280" s="6" t="s">
        <v>5345</v>
      </c>
      <c r="E6280" s="6" t="s">
        <v>23</v>
      </c>
      <c r="F6280" s="6" t="n">
        <v>1</v>
      </c>
      <c r="G6280" s="10" t="n">
        <v>435</v>
      </c>
      <c r="H6280" s="10" t="n">
        <f aca="false">F6280*G6280</f>
        <v>435</v>
      </c>
      <c r="I6280" s="6" t="s">
        <v>5122</v>
      </c>
    </row>
    <row r="6281" customFormat="false" ht="15" hidden="false" customHeight="false" outlineLevel="0" collapsed="false">
      <c r="A6281" s="6" t="s">
        <v>11505</v>
      </c>
      <c r="B6281" s="6" t="s">
        <v>3143</v>
      </c>
      <c r="C6281" s="26" t="n">
        <v>46214</v>
      </c>
      <c r="D6281" s="6" t="s">
        <v>5242</v>
      </c>
      <c r="E6281" s="6" t="s">
        <v>23</v>
      </c>
      <c r="F6281" s="6" t="n">
        <v>3</v>
      </c>
      <c r="G6281" s="10" t="n">
        <v>335</v>
      </c>
      <c r="H6281" s="10" t="n">
        <f aca="false">F6281*G6281</f>
        <v>1005</v>
      </c>
      <c r="I6281" s="6" t="s">
        <v>5122</v>
      </c>
    </row>
    <row r="6282" customFormat="false" ht="15" hidden="false" customHeight="false" outlineLevel="0" collapsed="false">
      <c r="A6282" s="6" t="s">
        <v>11506</v>
      </c>
      <c r="B6282" s="6" t="s">
        <v>3523</v>
      </c>
      <c r="C6282" s="26" t="n">
        <v>46214</v>
      </c>
      <c r="D6282" s="6" t="s">
        <v>5163</v>
      </c>
      <c r="E6282" s="6" t="s">
        <v>23</v>
      </c>
      <c r="F6282" s="6" t="n">
        <v>3</v>
      </c>
      <c r="G6282" s="10" t="n">
        <v>783</v>
      </c>
      <c r="H6282" s="10" t="n">
        <f aca="false">F6282*G6282</f>
        <v>2349</v>
      </c>
      <c r="I6282" s="6" t="s">
        <v>5125</v>
      </c>
    </row>
    <row r="6283" customFormat="false" ht="15" hidden="false" customHeight="false" outlineLevel="0" collapsed="false">
      <c r="A6283" s="6" t="s">
        <v>11507</v>
      </c>
      <c r="B6283" s="6" t="s">
        <v>2343</v>
      </c>
      <c r="C6283" s="26" t="n">
        <v>46214</v>
      </c>
      <c r="D6283" s="6" t="s">
        <v>5488</v>
      </c>
      <c r="E6283" s="6" t="s">
        <v>24</v>
      </c>
      <c r="F6283" s="6" t="n">
        <v>1</v>
      </c>
      <c r="G6283" s="10" t="n">
        <v>779</v>
      </c>
      <c r="H6283" s="10" t="n">
        <f aca="false">F6283*G6283</f>
        <v>779</v>
      </c>
      <c r="I6283" s="6" t="s">
        <v>5122</v>
      </c>
    </row>
    <row r="6284" customFormat="false" ht="15" hidden="false" customHeight="false" outlineLevel="0" collapsed="false">
      <c r="A6284" s="6" t="s">
        <v>11508</v>
      </c>
      <c r="B6284" s="6" t="s">
        <v>573</v>
      </c>
      <c r="C6284" s="26" t="n">
        <v>46214</v>
      </c>
      <c r="D6284" s="6" t="s">
        <v>5137</v>
      </c>
      <c r="E6284" s="6" t="s">
        <v>21</v>
      </c>
      <c r="F6284" s="6" t="n">
        <v>2</v>
      </c>
      <c r="G6284" s="10" t="n">
        <v>1680</v>
      </c>
      <c r="H6284" s="10" t="n">
        <f aca="false">F6284*G6284</f>
        <v>3360</v>
      </c>
      <c r="I6284" s="6" t="s">
        <v>5122</v>
      </c>
    </row>
    <row r="6285" customFormat="false" ht="15" hidden="false" customHeight="false" outlineLevel="0" collapsed="false">
      <c r="A6285" s="6" t="s">
        <v>11509</v>
      </c>
      <c r="B6285" s="6" t="s">
        <v>2491</v>
      </c>
      <c r="C6285" s="26" t="n">
        <v>46214</v>
      </c>
      <c r="D6285" s="6" t="s">
        <v>5127</v>
      </c>
      <c r="E6285" s="6" t="s">
        <v>21</v>
      </c>
      <c r="F6285" s="6" t="n">
        <v>1</v>
      </c>
      <c r="G6285" s="10" t="n">
        <v>885</v>
      </c>
      <c r="H6285" s="10" t="n">
        <f aca="false">F6285*G6285</f>
        <v>885</v>
      </c>
      <c r="I6285" s="6" t="s">
        <v>5148</v>
      </c>
    </row>
    <row r="6286" customFormat="false" ht="15" hidden="false" customHeight="false" outlineLevel="0" collapsed="false">
      <c r="A6286" s="6" t="s">
        <v>11510</v>
      </c>
      <c r="B6286" s="6" t="s">
        <v>4583</v>
      </c>
      <c r="C6286" s="26" t="n">
        <v>46214</v>
      </c>
      <c r="D6286" s="6" t="s">
        <v>5165</v>
      </c>
      <c r="E6286" s="6" t="s">
        <v>22</v>
      </c>
      <c r="F6286" s="6" t="n">
        <v>2</v>
      </c>
      <c r="G6286" s="10" t="n">
        <v>977</v>
      </c>
      <c r="H6286" s="10" t="n">
        <f aca="false">F6286*G6286</f>
        <v>1954</v>
      </c>
      <c r="I6286" s="6" t="s">
        <v>5122</v>
      </c>
    </row>
    <row r="6287" customFormat="false" ht="15" hidden="false" customHeight="false" outlineLevel="0" collapsed="false">
      <c r="A6287" s="6" t="s">
        <v>11511</v>
      </c>
      <c r="B6287" s="6" t="s">
        <v>5015</v>
      </c>
      <c r="C6287" s="26" t="n">
        <v>46214</v>
      </c>
      <c r="D6287" s="6" t="s">
        <v>5273</v>
      </c>
      <c r="E6287" s="6" t="s">
        <v>23</v>
      </c>
      <c r="F6287" s="6" t="n">
        <v>3</v>
      </c>
      <c r="G6287" s="10" t="n">
        <v>228</v>
      </c>
      <c r="H6287" s="10" t="n">
        <f aca="false">F6287*G6287</f>
        <v>684</v>
      </c>
      <c r="I6287" s="6" t="s">
        <v>5130</v>
      </c>
    </row>
    <row r="6288" customFormat="false" ht="15" hidden="false" customHeight="false" outlineLevel="0" collapsed="false">
      <c r="A6288" s="6" t="s">
        <v>11512</v>
      </c>
      <c r="B6288" s="6" t="s">
        <v>1999</v>
      </c>
      <c r="C6288" s="26" t="n">
        <v>46214</v>
      </c>
      <c r="D6288" s="6" t="s">
        <v>5458</v>
      </c>
      <c r="E6288" s="6" t="s">
        <v>24</v>
      </c>
      <c r="F6288" s="6" t="n">
        <v>3</v>
      </c>
      <c r="G6288" s="10" t="n">
        <v>559</v>
      </c>
      <c r="H6288" s="10" t="n">
        <f aca="false">F6288*G6288</f>
        <v>1677</v>
      </c>
      <c r="I6288" s="6" t="s">
        <v>5122</v>
      </c>
    </row>
    <row r="6289" customFormat="false" ht="15" hidden="false" customHeight="false" outlineLevel="0" collapsed="false">
      <c r="A6289" s="6" t="s">
        <v>11513</v>
      </c>
      <c r="B6289" s="6" t="s">
        <v>2089</v>
      </c>
      <c r="C6289" s="26" t="n">
        <v>46214</v>
      </c>
      <c r="D6289" s="6" t="s">
        <v>5522</v>
      </c>
      <c r="E6289" s="6" t="s">
        <v>21</v>
      </c>
      <c r="F6289" s="6" t="n">
        <v>2</v>
      </c>
      <c r="G6289" s="10" t="n">
        <v>12777</v>
      </c>
      <c r="H6289" s="10" t="n">
        <f aca="false">F6289*G6289</f>
        <v>25554</v>
      </c>
      <c r="I6289" s="6" t="s">
        <v>5148</v>
      </c>
    </row>
    <row r="6290" customFormat="false" ht="15" hidden="false" customHeight="false" outlineLevel="0" collapsed="false">
      <c r="A6290" s="6" t="s">
        <v>11514</v>
      </c>
      <c r="B6290" s="6" t="s">
        <v>174</v>
      </c>
      <c r="C6290" s="26" t="n">
        <v>46214</v>
      </c>
      <c r="D6290" s="6" t="s">
        <v>5245</v>
      </c>
      <c r="E6290" s="6" t="s">
        <v>21</v>
      </c>
      <c r="F6290" s="6" t="n">
        <v>2</v>
      </c>
      <c r="G6290" s="10" t="n">
        <v>2456</v>
      </c>
      <c r="H6290" s="10" t="n">
        <f aca="false">F6290*G6290</f>
        <v>4912</v>
      </c>
      <c r="I6290" s="6" t="s">
        <v>5122</v>
      </c>
    </row>
    <row r="6291" customFormat="false" ht="15" hidden="false" customHeight="false" outlineLevel="0" collapsed="false">
      <c r="A6291" s="6" t="s">
        <v>11515</v>
      </c>
      <c r="B6291" s="6" t="s">
        <v>2081</v>
      </c>
      <c r="C6291" s="26" t="n">
        <v>46214</v>
      </c>
      <c r="D6291" s="6" t="s">
        <v>5326</v>
      </c>
      <c r="E6291" s="6" t="s">
        <v>22</v>
      </c>
      <c r="F6291" s="6" t="n">
        <v>1</v>
      </c>
      <c r="G6291" s="10" t="n">
        <v>1466</v>
      </c>
      <c r="H6291" s="10" t="n">
        <f aca="false">F6291*G6291</f>
        <v>1466</v>
      </c>
      <c r="I6291" s="6" t="s">
        <v>5125</v>
      </c>
    </row>
    <row r="6292" customFormat="false" ht="15" hidden="false" customHeight="false" outlineLevel="0" collapsed="false">
      <c r="A6292" s="6" t="s">
        <v>11516</v>
      </c>
      <c r="B6292" s="6" t="s">
        <v>4531</v>
      </c>
      <c r="C6292" s="26" t="n">
        <v>46214</v>
      </c>
      <c r="D6292" s="6" t="s">
        <v>5165</v>
      </c>
      <c r="E6292" s="6" t="s">
        <v>22</v>
      </c>
      <c r="F6292" s="6" t="n">
        <v>1</v>
      </c>
      <c r="G6292" s="10" t="n">
        <v>879</v>
      </c>
      <c r="H6292" s="10" t="n">
        <f aca="false">F6292*G6292</f>
        <v>879</v>
      </c>
      <c r="I6292" s="6" t="s">
        <v>5122</v>
      </c>
    </row>
    <row r="6293" customFormat="false" ht="15" hidden="false" customHeight="false" outlineLevel="0" collapsed="false">
      <c r="A6293" s="6" t="s">
        <v>11517</v>
      </c>
      <c r="B6293" s="6" t="s">
        <v>4125</v>
      </c>
      <c r="C6293" s="26" t="n">
        <v>46214</v>
      </c>
      <c r="D6293" s="6" t="s">
        <v>5141</v>
      </c>
      <c r="E6293" s="6" t="s">
        <v>20</v>
      </c>
      <c r="F6293" s="6" t="n">
        <v>1</v>
      </c>
      <c r="G6293" s="10" t="n">
        <v>1835</v>
      </c>
      <c r="H6293" s="10" t="n">
        <f aca="false">F6293*G6293</f>
        <v>1835</v>
      </c>
      <c r="I6293" s="6" t="s">
        <v>5148</v>
      </c>
    </row>
    <row r="6294" customFormat="false" ht="15" hidden="false" customHeight="false" outlineLevel="0" collapsed="false">
      <c r="A6294" s="6" t="s">
        <v>11518</v>
      </c>
      <c r="B6294" s="6" t="s">
        <v>973</v>
      </c>
      <c r="C6294" s="26" t="n">
        <v>46214</v>
      </c>
      <c r="D6294" s="6" t="s">
        <v>5167</v>
      </c>
      <c r="E6294" s="6" t="s">
        <v>22</v>
      </c>
      <c r="F6294" s="6" t="n">
        <v>1</v>
      </c>
      <c r="G6294" s="10" t="n">
        <v>782</v>
      </c>
      <c r="H6294" s="10" t="n">
        <f aca="false">F6294*G6294</f>
        <v>782</v>
      </c>
      <c r="I6294" s="6" t="s">
        <v>5122</v>
      </c>
    </row>
    <row r="6295" customFormat="false" ht="15" hidden="false" customHeight="false" outlineLevel="0" collapsed="false">
      <c r="A6295" s="6" t="s">
        <v>11519</v>
      </c>
      <c r="B6295" s="6" t="s">
        <v>791</v>
      </c>
      <c r="C6295" s="26" t="n">
        <v>46214</v>
      </c>
      <c r="D6295" s="6" t="s">
        <v>5522</v>
      </c>
      <c r="E6295" s="6" t="s">
        <v>21</v>
      </c>
      <c r="F6295" s="6" t="n">
        <v>1</v>
      </c>
      <c r="G6295" s="10" t="n">
        <v>12777</v>
      </c>
      <c r="H6295" s="10" t="n">
        <f aca="false">F6295*G6295</f>
        <v>12777</v>
      </c>
      <c r="I6295" s="6" t="s">
        <v>5125</v>
      </c>
    </row>
    <row r="6296" customFormat="false" ht="15" hidden="false" customHeight="false" outlineLevel="0" collapsed="false">
      <c r="A6296" s="6" t="s">
        <v>11520</v>
      </c>
      <c r="B6296" s="6" t="s">
        <v>485</v>
      </c>
      <c r="C6296" s="26" t="n">
        <v>46214</v>
      </c>
      <c r="D6296" s="6" t="s">
        <v>5121</v>
      </c>
      <c r="E6296" s="6" t="s">
        <v>22</v>
      </c>
      <c r="F6296" s="6" t="n">
        <v>2</v>
      </c>
      <c r="G6296" s="10" t="n">
        <v>928</v>
      </c>
      <c r="H6296" s="10" t="n">
        <f aca="false">F6296*G6296</f>
        <v>1856</v>
      </c>
      <c r="I6296" s="6" t="s">
        <v>5122</v>
      </c>
    </row>
    <row r="6297" customFormat="false" ht="15" hidden="false" customHeight="false" outlineLevel="0" collapsed="false">
      <c r="A6297" s="6" t="s">
        <v>11521</v>
      </c>
      <c r="B6297" s="6" t="s">
        <v>152</v>
      </c>
      <c r="C6297" s="26" t="n">
        <v>46214</v>
      </c>
      <c r="D6297" s="6" t="s">
        <v>5158</v>
      </c>
      <c r="E6297" s="6" t="s">
        <v>24</v>
      </c>
      <c r="F6297" s="6" t="n">
        <v>1</v>
      </c>
      <c r="G6297" s="10" t="n">
        <v>411</v>
      </c>
      <c r="H6297" s="10" t="n">
        <f aca="false">F6297*G6297</f>
        <v>411</v>
      </c>
      <c r="I6297" s="6" t="s">
        <v>5122</v>
      </c>
    </row>
    <row r="6298" customFormat="false" ht="15" hidden="false" customHeight="false" outlineLevel="0" collapsed="false">
      <c r="A6298" s="6" t="s">
        <v>11522</v>
      </c>
      <c r="B6298" s="6" t="s">
        <v>3675</v>
      </c>
      <c r="C6298" s="26" t="n">
        <v>46214</v>
      </c>
      <c r="D6298" s="6" t="s">
        <v>5188</v>
      </c>
      <c r="E6298" s="6" t="s">
        <v>24</v>
      </c>
      <c r="F6298" s="6" t="n">
        <v>2</v>
      </c>
      <c r="G6298" s="10" t="n">
        <v>1018</v>
      </c>
      <c r="H6298" s="10" t="n">
        <f aca="false">F6298*G6298</f>
        <v>2036</v>
      </c>
      <c r="I6298" s="6" t="s">
        <v>5122</v>
      </c>
    </row>
    <row r="6299" customFormat="false" ht="15" hidden="false" customHeight="false" outlineLevel="0" collapsed="false">
      <c r="A6299" s="6" t="s">
        <v>11523</v>
      </c>
      <c r="B6299" s="6" t="s">
        <v>2653</v>
      </c>
      <c r="C6299" s="26" t="n">
        <v>46214</v>
      </c>
      <c r="D6299" s="6" t="s">
        <v>5175</v>
      </c>
      <c r="E6299" s="6" t="s">
        <v>24</v>
      </c>
      <c r="F6299" s="6" t="n">
        <v>2</v>
      </c>
      <c r="G6299" s="10" t="n">
        <v>610</v>
      </c>
      <c r="H6299" s="10" t="n">
        <f aca="false">F6299*G6299</f>
        <v>1220</v>
      </c>
      <c r="I6299" s="6" t="s">
        <v>5130</v>
      </c>
    </row>
    <row r="6300" customFormat="false" ht="15" hidden="false" customHeight="false" outlineLevel="0" collapsed="false">
      <c r="A6300" s="6" t="s">
        <v>11524</v>
      </c>
      <c r="B6300" s="6" t="s">
        <v>1189</v>
      </c>
      <c r="C6300" s="26" t="n">
        <v>46214</v>
      </c>
      <c r="D6300" s="6" t="s">
        <v>5182</v>
      </c>
      <c r="E6300" s="6" t="s">
        <v>23</v>
      </c>
      <c r="F6300" s="6" t="n">
        <v>1</v>
      </c>
      <c r="G6300" s="10" t="n">
        <v>366</v>
      </c>
      <c r="H6300" s="10" t="n">
        <f aca="false">F6300*G6300</f>
        <v>366</v>
      </c>
      <c r="I6300" s="6" t="s">
        <v>5122</v>
      </c>
    </row>
    <row r="6301" customFormat="false" ht="15" hidden="false" customHeight="false" outlineLevel="0" collapsed="false">
      <c r="A6301" s="6" t="s">
        <v>11525</v>
      </c>
      <c r="B6301" s="6" t="s">
        <v>2877</v>
      </c>
      <c r="C6301" s="26" t="n">
        <v>46214</v>
      </c>
      <c r="D6301" s="6" t="s">
        <v>5313</v>
      </c>
      <c r="E6301" s="6" t="s">
        <v>22</v>
      </c>
      <c r="F6301" s="6" t="n">
        <v>1</v>
      </c>
      <c r="G6301" s="10" t="n">
        <v>1760</v>
      </c>
      <c r="H6301" s="10" t="n">
        <f aca="false">F6301*G6301</f>
        <v>1760</v>
      </c>
      <c r="I6301" s="6" t="s">
        <v>5122</v>
      </c>
    </row>
    <row r="6302" customFormat="false" ht="15" hidden="false" customHeight="false" outlineLevel="0" collapsed="false">
      <c r="A6302" s="6" t="s">
        <v>11526</v>
      </c>
      <c r="B6302" s="6" t="s">
        <v>5043</v>
      </c>
      <c r="C6302" s="26" t="n">
        <v>46214</v>
      </c>
      <c r="D6302" s="6" t="s">
        <v>5466</v>
      </c>
      <c r="E6302" s="6" t="s">
        <v>21</v>
      </c>
      <c r="F6302" s="6" t="n">
        <v>2</v>
      </c>
      <c r="G6302" s="10" t="n">
        <v>1768</v>
      </c>
      <c r="H6302" s="10" t="n">
        <f aca="false">F6302*G6302</f>
        <v>3536</v>
      </c>
      <c r="I6302" s="6" t="s">
        <v>5122</v>
      </c>
    </row>
    <row r="6303" customFormat="false" ht="15" hidden="false" customHeight="false" outlineLevel="0" collapsed="false">
      <c r="A6303" s="6" t="s">
        <v>11527</v>
      </c>
      <c r="B6303" s="6" t="s">
        <v>4553</v>
      </c>
      <c r="C6303" s="26" t="n">
        <v>46214</v>
      </c>
      <c r="D6303" s="6" t="s">
        <v>5200</v>
      </c>
      <c r="E6303" s="6" t="s">
        <v>24</v>
      </c>
      <c r="F6303" s="6" t="n">
        <v>1</v>
      </c>
      <c r="G6303" s="10" t="n">
        <v>763</v>
      </c>
      <c r="H6303" s="10" t="n">
        <f aca="false">F6303*G6303</f>
        <v>763</v>
      </c>
      <c r="I6303" s="6" t="s">
        <v>5130</v>
      </c>
    </row>
    <row r="6304" customFormat="false" ht="15" hidden="false" customHeight="false" outlineLevel="0" collapsed="false">
      <c r="A6304" s="6" t="s">
        <v>11528</v>
      </c>
      <c r="B6304" s="6" t="s">
        <v>265</v>
      </c>
      <c r="C6304" s="26" t="n">
        <v>46214</v>
      </c>
      <c r="D6304" s="6" t="s">
        <v>5261</v>
      </c>
      <c r="E6304" s="6" t="s">
        <v>23</v>
      </c>
      <c r="F6304" s="6" t="n">
        <v>2</v>
      </c>
      <c r="G6304" s="10" t="n">
        <v>175</v>
      </c>
      <c r="H6304" s="10" t="n">
        <f aca="false">F6304*G6304</f>
        <v>350</v>
      </c>
      <c r="I6304" s="6" t="s">
        <v>5122</v>
      </c>
    </row>
    <row r="6305" customFormat="false" ht="15" hidden="false" customHeight="false" outlineLevel="0" collapsed="false">
      <c r="A6305" s="6" t="s">
        <v>11529</v>
      </c>
      <c r="B6305" s="6" t="s">
        <v>461</v>
      </c>
      <c r="C6305" s="26" t="n">
        <v>46214</v>
      </c>
      <c r="D6305" s="6" t="s">
        <v>5152</v>
      </c>
      <c r="E6305" s="6" t="s">
        <v>22</v>
      </c>
      <c r="F6305" s="6" t="n">
        <v>1</v>
      </c>
      <c r="G6305" s="10" t="n">
        <v>1759</v>
      </c>
      <c r="H6305" s="10" t="n">
        <f aca="false">F6305*G6305</f>
        <v>1759</v>
      </c>
      <c r="I6305" s="6" t="s">
        <v>5148</v>
      </c>
    </row>
    <row r="6306" customFormat="false" ht="15" hidden="false" customHeight="false" outlineLevel="0" collapsed="false">
      <c r="A6306" s="6" t="s">
        <v>11530</v>
      </c>
      <c r="B6306" s="6" t="s">
        <v>1121</v>
      </c>
      <c r="C6306" s="26" t="n">
        <v>46214</v>
      </c>
      <c r="D6306" s="6" t="s">
        <v>5141</v>
      </c>
      <c r="E6306" s="6" t="s">
        <v>20</v>
      </c>
      <c r="F6306" s="6" t="n">
        <v>1</v>
      </c>
      <c r="G6306" s="10" t="n">
        <v>1835</v>
      </c>
      <c r="H6306" s="10" t="n">
        <f aca="false">F6306*G6306</f>
        <v>1835</v>
      </c>
      <c r="I6306" s="6" t="s">
        <v>5125</v>
      </c>
    </row>
    <row r="6307" customFormat="false" ht="15" hidden="false" customHeight="false" outlineLevel="0" collapsed="false">
      <c r="A6307" s="6" t="s">
        <v>11531</v>
      </c>
      <c r="B6307" s="6" t="s">
        <v>2493</v>
      </c>
      <c r="C6307" s="26" t="n">
        <v>46214</v>
      </c>
      <c r="D6307" s="6" t="s">
        <v>5281</v>
      </c>
      <c r="E6307" s="6" t="s">
        <v>24</v>
      </c>
      <c r="F6307" s="6" t="n">
        <v>1</v>
      </c>
      <c r="G6307" s="10" t="n">
        <v>815</v>
      </c>
      <c r="H6307" s="10" t="n">
        <f aca="false">F6307*G6307</f>
        <v>815</v>
      </c>
      <c r="I6307" s="6" t="s">
        <v>5133</v>
      </c>
    </row>
    <row r="6308" customFormat="false" ht="15" hidden="false" customHeight="false" outlineLevel="0" collapsed="false">
      <c r="A6308" s="6" t="s">
        <v>11532</v>
      </c>
      <c r="B6308" s="6" t="s">
        <v>4425</v>
      </c>
      <c r="C6308" s="26" t="n">
        <v>46214</v>
      </c>
      <c r="D6308" s="6" t="s">
        <v>5141</v>
      </c>
      <c r="E6308" s="6" t="s">
        <v>20</v>
      </c>
      <c r="F6308" s="6" t="n">
        <v>1</v>
      </c>
      <c r="G6308" s="10" t="n">
        <v>1835</v>
      </c>
      <c r="H6308" s="10" t="n">
        <f aca="false">F6308*G6308</f>
        <v>1835</v>
      </c>
      <c r="I6308" s="6" t="s">
        <v>5130</v>
      </c>
    </row>
    <row r="6309" customFormat="false" ht="15" hidden="false" customHeight="false" outlineLevel="0" collapsed="false">
      <c r="A6309" s="6" t="s">
        <v>11533</v>
      </c>
      <c r="B6309" s="6" t="s">
        <v>3249</v>
      </c>
      <c r="C6309" s="26" t="n">
        <v>46214</v>
      </c>
      <c r="D6309" s="6" t="s">
        <v>5488</v>
      </c>
      <c r="E6309" s="6" t="s">
        <v>24</v>
      </c>
      <c r="F6309" s="6" t="n">
        <v>1</v>
      </c>
      <c r="G6309" s="10" t="n">
        <v>867</v>
      </c>
      <c r="H6309" s="10" t="n">
        <f aca="false">F6309*G6309</f>
        <v>867</v>
      </c>
      <c r="I6309" s="6" t="s">
        <v>5122</v>
      </c>
    </row>
    <row r="6310" customFormat="false" ht="15" hidden="false" customHeight="false" outlineLevel="0" collapsed="false">
      <c r="A6310" s="6" t="s">
        <v>11534</v>
      </c>
      <c r="B6310" s="6" t="s">
        <v>1363</v>
      </c>
      <c r="C6310" s="26" t="n">
        <v>46214</v>
      </c>
      <c r="D6310" s="6" t="s">
        <v>5383</v>
      </c>
      <c r="E6310" s="6" t="s">
        <v>20</v>
      </c>
      <c r="F6310" s="6" t="n">
        <v>1</v>
      </c>
      <c r="G6310" s="10" t="n">
        <v>1121</v>
      </c>
      <c r="H6310" s="10" t="n">
        <f aca="false">F6310*G6310</f>
        <v>1121</v>
      </c>
      <c r="I6310" s="6" t="s">
        <v>5122</v>
      </c>
    </row>
    <row r="6311" customFormat="false" ht="15" hidden="false" customHeight="false" outlineLevel="0" collapsed="false">
      <c r="A6311" s="6" t="s">
        <v>11535</v>
      </c>
      <c r="B6311" s="6" t="s">
        <v>631</v>
      </c>
      <c r="C6311" s="26" t="n">
        <v>46214</v>
      </c>
      <c r="D6311" s="6" t="s">
        <v>5522</v>
      </c>
      <c r="E6311" s="6" t="s">
        <v>21</v>
      </c>
      <c r="F6311" s="6" t="n">
        <v>1</v>
      </c>
      <c r="G6311" s="10" t="n">
        <v>12777</v>
      </c>
      <c r="H6311" s="10" t="n">
        <f aca="false">F6311*G6311</f>
        <v>12777</v>
      </c>
      <c r="I6311" s="6" t="s">
        <v>5122</v>
      </c>
    </row>
    <row r="6312" customFormat="false" ht="15" hidden="false" customHeight="false" outlineLevel="0" collapsed="false">
      <c r="A6312" s="6" t="s">
        <v>11536</v>
      </c>
      <c r="B6312" s="6" t="s">
        <v>1971</v>
      </c>
      <c r="C6312" s="26" t="n">
        <v>46214</v>
      </c>
      <c r="D6312" s="6" t="s">
        <v>5456</v>
      </c>
      <c r="E6312" s="6" t="s">
        <v>24</v>
      </c>
      <c r="F6312" s="6" t="n">
        <v>1</v>
      </c>
      <c r="G6312" s="10" t="n">
        <v>912</v>
      </c>
      <c r="H6312" s="10" t="n">
        <f aca="false">F6312*G6312</f>
        <v>912</v>
      </c>
      <c r="I6312" s="6" t="s">
        <v>5122</v>
      </c>
    </row>
    <row r="6313" customFormat="false" ht="15" hidden="false" customHeight="false" outlineLevel="0" collapsed="false">
      <c r="A6313" s="6" t="s">
        <v>11537</v>
      </c>
      <c r="B6313" s="6" t="s">
        <v>4699</v>
      </c>
      <c r="C6313" s="26" t="n">
        <v>46214</v>
      </c>
      <c r="D6313" s="6" t="s">
        <v>5167</v>
      </c>
      <c r="E6313" s="6" t="s">
        <v>22</v>
      </c>
      <c r="F6313" s="6" t="n">
        <v>1</v>
      </c>
      <c r="G6313" s="10" t="n">
        <v>782</v>
      </c>
      <c r="H6313" s="10" t="n">
        <f aca="false">F6313*G6313</f>
        <v>782</v>
      </c>
      <c r="I6313" s="6" t="s">
        <v>5122</v>
      </c>
    </row>
    <row r="6314" customFormat="false" ht="15" hidden="false" customHeight="false" outlineLevel="0" collapsed="false">
      <c r="A6314" s="6" t="s">
        <v>11538</v>
      </c>
      <c r="B6314" s="6" t="s">
        <v>3041</v>
      </c>
      <c r="C6314" s="26" t="n">
        <v>46214</v>
      </c>
      <c r="D6314" s="6" t="s">
        <v>5156</v>
      </c>
      <c r="E6314" s="6" t="s">
        <v>21</v>
      </c>
      <c r="F6314" s="6" t="n">
        <v>1</v>
      </c>
      <c r="G6314" s="10" t="n">
        <v>1945</v>
      </c>
      <c r="H6314" s="10" t="n">
        <f aca="false">F6314*G6314</f>
        <v>1945</v>
      </c>
      <c r="I6314" s="6" t="s">
        <v>5148</v>
      </c>
    </row>
    <row r="6315" customFormat="false" ht="15" hidden="false" customHeight="false" outlineLevel="0" collapsed="false">
      <c r="A6315" s="6" t="s">
        <v>11539</v>
      </c>
      <c r="B6315" s="6" t="s">
        <v>1117</v>
      </c>
      <c r="C6315" s="26" t="n">
        <v>46214</v>
      </c>
      <c r="D6315" s="6" t="s">
        <v>5339</v>
      </c>
      <c r="E6315" s="6" t="s">
        <v>24</v>
      </c>
      <c r="F6315" s="6" t="n">
        <v>3</v>
      </c>
      <c r="G6315" s="10" t="n">
        <v>508</v>
      </c>
      <c r="H6315" s="10" t="n">
        <f aca="false">F6315*G6315</f>
        <v>1524</v>
      </c>
      <c r="I6315" s="6" t="s">
        <v>5125</v>
      </c>
    </row>
    <row r="6316" customFormat="false" ht="15" hidden="false" customHeight="false" outlineLevel="0" collapsed="false">
      <c r="A6316" s="6" t="s">
        <v>11540</v>
      </c>
      <c r="B6316" s="6" t="s">
        <v>1047</v>
      </c>
      <c r="C6316" s="26" t="n">
        <v>46214</v>
      </c>
      <c r="D6316" s="6" t="s">
        <v>5171</v>
      </c>
      <c r="E6316" s="6" t="s">
        <v>23</v>
      </c>
      <c r="F6316" s="6" t="n">
        <v>2</v>
      </c>
      <c r="G6316" s="10" t="n">
        <v>734</v>
      </c>
      <c r="H6316" s="10" t="n">
        <f aca="false">F6316*G6316</f>
        <v>1468</v>
      </c>
      <c r="I6316" s="6" t="s">
        <v>5122</v>
      </c>
    </row>
    <row r="6317" customFormat="false" ht="15" hidden="false" customHeight="false" outlineLevel="0" collapsed="false">
      <c r="A6317" s="6" t="s">
        <v>11541</v>
      </c>
      <c r="B6317" s="6" t="s">
        <v>1963</v>
      </c>
      <c r="C6317" s="26" t="n">
        <v>46214</v>
      </c>
      <c r="D6317" s="6" t="s">
        <v>5171</v>
      </c>
      <c r="E6317" s="6" t="s">
        <v>23</v>
      </c>
      <c r="F6317" s="6" t="n">
        <v>2</v>
      </c>
      <c r="G6317" s="10" t="n">
        <v>661</v>
      </c>
      <c r="H6317" s="10" t="n">
        <f aca="false">F6317*G6317</f>
        <v>1322</v>
      </c>
      <c r="I6317" s="6" t="s">
        <v>5148</v>
      </c>
    </row>
    <row r="6318" customFormat="false" ht="15" hidden="false" customHeight="false" outlineLevel="0" collapsed="false">
      <c r="A6318" s="6" t="s">
        <v>11542</v>
      </c>
      <c r="B6318" s="6" t="s">
        <v>3069</v>
      </c>
      <c r="C6318" s="26" t="n">
        <v>46214</v>
      </c>
      <c r="D6318" s="6" t="s">
        <v>5237</v>
      </c>
      <c r="E6318" s="6" t="s">
        <v>24</v>
      </c>
      <c r="F6318" s="6" t="n">
        <v>2</v>
      </c>
      <c r="G6318" s="10" t="n">
        <v>1833</v>
      </c>
      <c r="H6318" s="10" t="n">
        <f aca="false">F6318*G6318</f>
        <v>3666</v>
      </c>
      <c r="I6318" s="6" t="s">
        <v>5125</v>
      </c>
    </row>
    <row r="6319" customFormat="false" ht="15" hidden="false" customHeight="false" outlineLevel="0" collapsed="false">
      <c r="A6319" s="6" t="s">
        <v>11543</v>
      </c>
      <c r="B6319" s="6" t="s">
        <v>4759</v>
      </c>
      <c r="C6319" s="26" t="n">
        <v>46214</v>
      </c>
      <c r="D6319" s="6" t="s">
        <v>5197</v>
      </c>
      <c r="E6319" s="6" t="s">
        <v>21</v>
      </c>
      <c r="F6319" s="6" t="n">
        <v>2</v>
      </c>
      <c r="G6319" s="10" t="n">
        <v>1080</v>
      </c>
      <c r="H6319" s="10" t="n">
        <f aca="false">F6319*G6319</f>
        <v>2160</v>
      </c>
      <c r="I6319" s="6" t="s">
        <v>5122</v>
      </c>
    </row>
    <row r="6320" customFormat="false" ht="15" hidden="false" customHeight="false" outlineLevel="0" collapsed="false">
      <c r="A6320" s="6" t="s">
        <v>11544</v>
      </c>
      <c r="B6320" s="6" t="s">
        <v>3941</v>
      </c>
      <c r="C6320" s="26" t="n">
        <v>46214</v>
      </c>
      <c r="D6320" s="6" t="s">
        <v>5141</v>
      </c>
      <c r="E6320" s="6" t="s">
        <v>20</v>
      </c>
      <c r="F6320" s="6" t="n">
        <v>1</v>
      </c>
      <c r="G6320" s="10" t="n">
        <v>1834</v>
      </c>
      <c r="H6320" s="10" t="n">
        <f aca="false">F6320*G6320</f>
        <v>1834</v>
      </c>
      <c r="I6320" s="6" t="s">
        <v>5122</v>
      </c>
    </row>
    <row r="6321" customFormat="false" ht="15" hidden="false" customHeight="false" outlineLevel="0" collapsed="false">
      <c r="A6321" s="6" t="s">
        <v>11545</v>
      </c>
      <c r="B6321" s="6" t="s">
        <v>4459</v>
      </c>
      <c r="C6321" s="26" t="n">
        <v>46214</v>
      </c>
      <c r="D6321" s="6" t="s">
        <v>5171</v>
      </c>
      <c r="E6321" s="6" t="s">
        <v>23</v>
      </c>
      <c r="F6321" s="6" t="n">
        <v>3</v>
      </c>
      <c r="G6321" s="10" t="n">
        <v>734</v>
      </c>
      <c r="H6321" s="10" t="n">
        <f aca="false">F6321*G6321</f>
        <v>2202</v>
      </c>
      <c r="I6321" s="6" t="s">
        <v>5122</v>
      </c>
    </row>
    <row r="6322" customFormat="false" ht="15" hidden="false" customHeight="false" outlineLevel="0" collapsed="false">
      <c r="A6322" s="6" t="s">
        <v>11546</v>
      </c>
      <c r="B6322" s="6" t="s">
        <v>4387</v>
      </c>
      <c r="C6322" s="26" t="n">
        <v>46214</v>
      </c>
      <c r="D6322" s="6" t="s">
        <v>5197</v>
      </c>
      <c r="E6322" s="6" t="s">
        <v>21</v>
      </c>
      <c r="F6322" s="6" t="n">
        <v>1</v>
      </c>
      <c r="G6322" s="10" t="n">
        <v>972</v>
      </c>
      <c r="H6322" s="10" t="n">
        <f aca="false">F6322*G6322</f>
        <v>972</v>
      </c>
      <c r="I6322" s="6" t="s">
        <v>5173</v>
      </c>
    </row>
    <row r="6323" customFormat="false" ht="15" hidden="false" customHeight="false" outlineLevel="0" collapsed="false">
      <c r="A6323" s="6" t="s">
        <v>11547</v>
      </c>
      <c r="B6323" s="6" t="s">
        <v>2575</v>
      </c>
      <c r="C6323" s="26" t="n">
        <v>46214</v>
      </c>
      <c r="D6323" s="6" t="s">
        <v>5127</v>
      </c>
      <c r="E6323" s="6" t="s">
        <v>21</v>
      </c>
      <c r="F6323" s="6" t="n">
        <v>1</v>
      </c>
      <c r="G6323" s="10" t="n">
        <v>795</v>
      </c>
      <c r="H6323" s="10" t="n">
        <f aca="false">F6323*G6323</f>
        <v>795</v>
      </c>
      <c r="I6323" s="6" t="s">
        <v>5125</v>
      </c>
    </row>
    <row r="6324" customFormat="false" ht="15" hidden="false" customHeight="false" outlineLevel="0" collapsed="false">
      <c r="A6324" s="6" t="s">
        <v>11548</v>
      </c>
      <c r="B6324" s="6" t="s">
        <v>639</v>
      </c>
      <c r="C6324" s="26" t="n">
        <v>46214</v>
      </c>
      <c r="D6324" s="6" t="s">
        <v>5237</v>
      </c>
      <c r="E6324" s="6" t="s">
        <v>24</v>
      </c>
      <c r="F6324" s="6" t="n">
        <v>1</v>
      </c>
      <c r="G6324" s="10" t="n">
        <v>1833</v>
      </c>
      <c r="H6324" s="10" t="n">
        <f aca="false">F6324*G6324</f>
        <v>1833</v>
      </c>
      <c r="I6324" s="6" t="s">
        <v>5148</v>
      </c>
    </row>
    <row r="6325" customFormat="false" ht="15" hidden="false" customHeight="false" outlineLevel="0" collapsed="false">
      <c r="A6325" s="6" t="s">
        <v>11549</v>
      </c>
      <c r="B6325" s="6" t="s">
        <v>2571</v>
      </c>
      <c r="C6325" s="26" t="n">
        <v>46215</v>
      </c>
      <c r="D6325" s="6" t="s">
        <v>5216</v>
      </c>
      <c r="E6325" s="6" t="s">
        <v>23</v>
      </c>
      <c r="F6325" s="6" t="n">
        <v>2</v>
      </c>
      <c r="G6325" s="10" t="n">
        <v>587</v>
      </c>
      <c r="H6325" s="10" t="n">
        <f aca="false">F6325*G6325</f>
        <v>1174</v>
      </c>
      <c r="I6325" s="6" t="s">
        <v>5133</v>
      </c>
    </row>
    <row r="6326" customFormat="false" ht="15" hidden="false" customHeight="false" outlineLevel="0" collapsed="false">
      <c r="A6326" s="6" t="s">
        <v>11550</v>
      </c>
      <c r="B6326" s="6" t="s">
        <v>3503</v>
      </c>
      <c r="C6326" s="26" t="n">
        <v>46215</v>
      </c>
      <c r="D6326" s="6" t="s">
        <v>5135</v>
      </c>
      <c r="E6326" s="6" t="s">
        <v>23</v>
      </c>
      <c r="F6326" s="6" t="n">
        <v>1</v>
      </c>
      <c r="G6326" s="10" t="n">
        <v>397</v>
      </c>
      <c r="H6326" s="10" t="n">
        <f aca="false">F6326*G6326</f>
        <v>397</v>
      </c>
      <c r="I6326" s="6" t="s">
        <v>5122</v>
      </c>
    </row>
    <row r="6327" customFormat="false" ht="15" hidden="false" customHeight="false" outlineLevel="0" collapsed="false">
      <c r="A6327" s="6" t="s">
        <v>11551</v>
      </c>
      <c r="B6327" s="6" t="s">
        <v>2829</v>
      </c>
      <c r="C6327" s="26" t="n">
        <v>46215</v>
      </c>
      <c r="D6327" s="6" t="s">
        <v>5167</v>
      </c>
      <c r="E6327" s="6" t="s">
        <v>22</v>
      </c>
      <c r="F6327" s="6" t="n">
        <v>2</v>
      </c>
      <c r="G6327" s="10" t="n">
        <v>782</v>
      </c>
      <c r="H6327" s="10" t="n">
        <f aca="false">F6327*G6327</f>
        <v>1564</v>
      </c>
      <c r="I6327" s="6" t="s">
        <v>5122</v>
      </c>
    </row>
    <row r="6328" customFormat="false" ht="15" hidden="false" customHeight="false" outlineLevel="0" collapsed="false">
      <c r="A6328" s="6" t="s">
        <v>11552</v>
      </c>
      <c r="B6328" s="6" t="s">
        <v>4239</v>
      </c>
      <c r="C6328" s="26" t="n">
        <v>46215</v>
      </c>
      <c r="D6328" s="6" t="s">
        <v>5163</v>
      </c>
      <c r="E6328" s="6" t="s">
        <v>23</v>
      </c>
      <c r="F6328" s="6" t="n">
        <v>1</v>
      </c>
      <c r="G6328" s="10" t="n">
        <v>744</v>
      </c>
      <c r="H6328" s="10" t="n">
        <f aca="false">F6328*G6328</f>
        <v>744</v>
      </c>
      <c r="I6328" s="6" t="s">
        <v>5122</v>
      </c>
    </row>
    <row r="6329" customFormat="false" ht="15" hidden="false" customHeight="false" outlineLevel="0" collapsed="false">
      <c r="A6329" s="6" t="s">
        <v>11553</v>
      </c>
      <c r="B6329" s="6" t="s">
        <v>4555</v>
      </c>
      <c r="C6329" s="26" t="n">
        <v>46215</v>
      </c>
      <c r="D6329" s="6" t="s">
        <v>5194</v>
      </c>
      <c r="E6329" s="6" t="s">
        <v>22</v>
      </c>
      <c r="F6329" s="6" t="n">
        <v>1</v>
      </c>
      <c r="G6329" s="10" t="n">
        <v>2150</v>
      </c>
      <c r="H6329" s="10" t="n">
        <f aca="false">F6329*G6329</f>
        <v>2150</v>
      </c>
      <c r="I6329" s="6" t="s">
        <v>5125</v>
      </c>
    </row>
    <row r="6330" customFormat="false" ht="15" hidden="false" customHeight="false" outlineLevel="0" collapsed="false">
      <c r="A6330" s="6" t="s">
        <v>11554</v>
      </c>
      <c r="B6330" s="6" t="s">
        <v>368</v>
      </c>
      <c r="C6330" s="26" t="n">
        <v>46215</v>
      </c>
      <c r="D6330" s="6" t="s">
        <v>5326</v>
      </c>
      <c r="E6330" s="6" t="s">
        <v>22</v>
      </c>
      <c r="F6330" s="6" t="n">
        <v>2</v>
      </c>
      <c r="G6330" s="10" t="n">
        <v>1320</v>
      </c>
      <c r="H6330" s="10" t="n">
        <f aca="false">F6330*G6330</f>
        <v>2640</v>
      </c>
      <c r="I6330" s="6" t="s">
        <v>5122</v>
      </c>
    </row>
    <row r="6331" customFormat="false" ht="15" hidden="false" customHeight="false" outlineLevel="0" collapsed="false">
      <c r="A6331" s="6" t="s">
        <v>11555</v>
      </c>
      <c r="B6331" s="6" t="s">
        <v>691</v>
      </c>
      <c r="C6331" s="26" t="n">
        <v>46215</v>
      </c>
      <c r="D6331" s="6" t="s">
        <v>5226</v>
      </c>
      <c r="E6331" s="6" t="s">
        <v>24</v>
      </c>
      <c r="F6331" s="6" t="n">
        <v>1</v>
      </c>
      <c r="G6331" s="10" t="n">
        <v>457</v>
      </c>
      <c r="H6331" s="10" t="n">
        <f aca="false">F6331*G6331</f>
        <v>457</v>
      </c>
      <c r="I6331" s="6" t="s">
        <v>5125</v>
      </c>
    </row>
    <row r="6332" customFormat="false" ht="15" hidden="false" customHeight="false" outlineLevel="0" collapsed="false">
      <c r="A6332" s="6" t="s">
        <v>11556</v>
      </c>
      <c r="B6332" s="6" t="s">
        <v>3655</v>
      </c>
      <c r="C6332" s="26" t="n">
        <v>46215</v>
      </c>
      <c r="D6332" s="6" t="s">
        <v>5641</v>
      </c>
      <c r="E6332" s="6" t="s">
        <v>22</v>
      </c>
      <c r="F6332" s="6" t="n">
        <v>1</v>
      </c>
      <c r="G6332" s="10" t="n">
        <v>2137</v>
      </c>
      <c r="H6332" s="10" t="n">
        <f aca="false">F6332*G6332</f>
        <v>2137</v>
      </c>
      <c r="I6332" s="6" t="s">
        <v>5122</v>
      </c>
    </row>
    <row r="6333" customFormat="false" ht="15" hidden="false" customHeight="false" outlineLevel="0" collapsed="false">
      <c r="A6333" s="6" t="s">
        <v>11557</v>
      </c>
      <c r="B6333" s="6" t="s">
        <v>1507</v>
      </c>
      <c r="C6333" s="26" t="n">
        <v>46215</v>
      </c>
      <c r="D6333" s="6" t="s">
        <v>5135</v>
      </c>
      <c r="E6333" s="6" t="s">
        <v>23</v>
      </c>
      <c r="F6333" s="6" t="n">
        <v>3</v>
      </c>
      <c r="G6333" s="10" t="n">
        <v>441</v>
      </c>
      <c r="H6333" s="10" t="n">
        <f aca="false">F6333*G6333</f>
        <v>1323</v>
      </c>
      <c r="I6333" s="6" t="s">
        <v>5122</v>
      </c>
    </row>
    <row r="6334" customFormat="false" ht="15" hidden="false" customHeight="false" outlineLevel="0" collapsed="false">
      <c r="A6334" s="6" t="s">
        <v>11558</v>
      </c>
      <c r="B6334" s="6" t="s">
        <v>1967</v>
      </c>
      <c r="C6334" s="26" t="n">
        <v>46215</v>
      </c>
      <c r="D6334" s="6" t="s">
        <v>5167</v>
      </c>
      <c r="E6334" s="6" t="s">
        <v>22</v>
      </c>
      <c r="F6334" s="6" t="n">
        <v>2</v>
      </c>
      <c r="G6334" s="10" t="n">
        <v>782</v>
      </c>
      <c r="H6334" s="10" t="n">
        <f aca="false">F6334*G6334</f>
        <v>1564</v>
      </c>
      <c r="I6334" s="6" t="s">
        <v>5122</v>
      </c>
    </row>
    <row r="6335" customFormat="false" ht="15" hidden="false" customHeight="false" outlineLevel="0" collapsed="false">
      <c r="A6335" s="6" t="s">
        <v>11559</v>
      </c>
      <c r="B6335" s="6" t="s">
        <v>1431</v>
      </c>
      <c r="C6335" s="26" t="n">
        <v>46215</v>
      </c>
      <c r="D6335" s="6" t="s">
        <v>5273</v>
      </c>
      <c r="E6335" s="6" t="s">
        <v>23</v>
      </c>
      <c r="F6335" s="6" t="n">
        <v>1</v>
      </c>
      <c r="G6335" s="10" t="n">
        <v>240</v>
      </c>
      <c r="H6335" s="10" t="n">
        <f aca="false">F6335*G6335</f>
        <v>240</v>
      </c>
      <c r="I6335" s="6" t="s">
        <v>5122</v>
      </c>
    </row>
    <row r="6336" customFormat="false" ht="15" hidden="false" customHeight="false" outlineLevel="0" collapsed="false">
      <c r="A6336" s="6" t="s">
        <v>11560</v>
      </c>
      <c r="B6336" s="6" t="s">
        <v>2199</v>
      </c>
      <c r="C6336" s="26" t="n">
        <v>46215</v>
      </c>
      <c r="D6336" s="6" t="s">
        <v>5163</v>
      </c>
      <c r="E6336" s="6" t="s">
        <v>23</v>
      </c>
      <c r="F6336" s="6" t="n">
        <v>3</v>
      </c>
      <c r="G6336" s="10" t="n">
        <v>744</v>
      </c>
      <c r="H6336" s="10" t="n">
        <f aca="false">F6336*G6336</f>
        <v>2232</v>
      </c>
      <c r="I6336" s="6" t="s">
        <v>5122</v>
      </c>
    </row>
    <row r="6337" customFormat="false" ht="15" hidden="false" customHeight="false" outlineLevel="0" collapsed="false">
      <c r="A6337" s="6" t="s">
        <v>11561</v>
      </c>
      <c r="B6337" s="6" t="s">
        <v>1461</v>
      </c>
      <c r="C6337" s="26" t="n">
        <v>46215</v>
      </c>
      <c r="D6337" s="6" t="s">
        <v>5121</v>
      </c>
      <c r="E6337" s="6" t="s">
        <v>22</v>
      </c>
      <c r="F6337" s="6" t="n">
        <v>4</v>
      </c>
      <c r="G6337" s="10" t="n">
        <v>977</v>
      </c>
      <c r="H6337" s="10" t="n">
        <f aca="false">F6337*G6337</f>
        <v>3908</v>
      </c>
      <c r="I6337" s="6" t="s">
        <v>5133</v>
      </c>
    </row>
    <row r="6338" customFormat="false" ht="15" hidden="false" customHeight="false" outlineLevel="0" collapsed="false">
      <c r="A6338" s="6" t="s">
        <v>11562</v>
      </c>
      <c r="B6338" s="6" t="s">
        <v>2017</v>
      </c>
      <c r="C6338" s="26" t="n">
        <v>46215</v>
      </c>
      <c r="D6338" s="6" t="s">
        <v>5458</v>
      </c>
      <c r="E6338" s="6" t="s">
        <v>24</v>
      </c>
      <c r="F6338" s="6" t="n">
        <v>2</v>
      </c>
      <c r="G6338" s="10" t="n">
        <v>531</v>
      </c>
      <c r="H6338" s="10" t="n">
        <f aca="false">F6338*G6338</f>
        <v>1062</v>
      </c>
      <c r="I6338" s="6" t="s">
        <v>5148</v>
      </c>
    </row>
    <row r="6339" customFormat="false" ht="15" hidden="false" customHeight="false" outlineLevel="0" collapsed="false">
      <c r="A6339" s="6" t="s">
        <v>11563</v>
      </c>
      <c r="B6339" s="6" t="s">
        <v>1419</v>
      </c>
      <c r="C6339" s="26" t="n">
        <v>46215</v>
      </c>
      <c r="D6339" s="6" t="s">
        <v>5207</v>
      </c>
      <c r="E6339" s="6" t="s">
        <v>20</v>
      </c>
      <c r="F6339" s="6" t="n">
        <v>1</v>
      </c>
      <c r="G6339" s="10" t="n">
        <v>1325</v>
      </c>
      <c r="H6339" s="10" t="n">
        <f aca="false">F6339*G6339</f>
        <v>1325</v>
      </c>
      <c r="I6339" s="6" t="s">
        <v>5125</v>
      </c>
    </row>
    <row r="6340" customFormat="false" ht="15" hidden="false" customHeight="false" outlineLevel="0" collapsed="false">
      <c r="A6340" s="6" t="s">
        <v>11564</v>
      </c>
      <c r="B6340" s="6" t="s">
        <v>4415</v>
      </c>
      <c r="C6340" s="26" t="n">
        <v>46215</v>
      </c>
      <c r="D6340" s="6" t="s">
        <v>5357</v>
      </c>
      <c r="E6340" s="6" t="s">
        <v>23</v>
      </c>
      <c r="F6340" s="6" t="n">
        <v>3</v>
      </c>
      <c r="G6340" s="10" t="n">
        <v>534</v>
      </c>
      <c r="H6340" s="10" t="n">
        <f aca="false">F6340*G6340</f>
        <v>1602</v>
      </c>
      <c r="I6340" s="6" t="s">
        <v>5122</v>
      </c>
    </row>
    <row r="6341" customFormat="false" ht="15" hidden="false" customHeight="false" outlineLevel="0" collapsed="false">
      <c r="A6341" s="6" t="s">
        <v>11565</v>
      </c>
      <c r="B6341" s="6" t="s">
        <v>1509</v>
      </c>
      <c r="C6341" s="26" t="n">
        <v>46215</v>
      </c>
      <c r="D6341" s="6" t="s">
        <v>5240</v>
      </c>
      <c r="E6341" s="6" t="s">
        <v>20</v>
      </c>
      <c r="F6341" s="6" t="n">
        <v>1</v>
      </c>
      <c r="G6341" s="10" t="n">
        <v>5097</v>
      </c>
      <c r="H6341" s="10" t="n">
        <f aca="false">F6341*G6341</f>
        <v>5097</v>
      </c>
      <c r="I6341" s="6" t="s">
        <v>5122</v>
      </c>
    </row>
    <row r="6342" customFormat="false" ht="15" hidden="false" customHeight="false" outlineLevel="0" collapsed="false">
      <c r="A6342" s="6" t="s">
        <v>11566</v>
      </c>
      <c r="B6342" s="6" t="s">
        <v>1081</v>
      </c>
      <c r="C6342" s="26" t="n">
        <v>46215</v>
      </c>
      <c r="D6342" s="6" t="s">
        <v>5154</v>
      </c>
      <c r="E6342" s="6" t="s">
        <v>21</v>
      </c>
      <c r="F6342" s="6" t="n">
        <v>1</v>
      </c>
      <c r="G6342" s="10" t="n">
        <v>786</v>
      </c>
      <c r="H6342" s="10" t="n">
        <f aca="false">F6342*G6342</f>
        <v>786</v>
      </c>
      <c r="I6342" s="6" t="s">
        <v>5130</v>
      </c>
    </row>
    <row r="6343" customFormat="false" ht="15" hidden="false" customHeight="false" outlineLevel="0" collapsed="false">
      <c r="A6343" s="6" t="s">
        <v>11567</v>
      </c>
      <c r="B6343" s="6" t="s">
        <v>1255</v>
      </c>
      <c r="C6343" s="26" t="n">
        <v>46215</v>
      </c>
      <c r="D6343" s="6" t="s">
        <v>5137</v>
      </c>
      <c r="E6343" s="6" t="s">
        <v>21</v>
      </c>
      <c r="F6343" s="6" t="n">
        <v>1</v>
      </c>
      <c r="G6343" s="10" t="n">
        <v>1591</v>
      </c>
      <c r="H6343" s="10" t="n">
        <f aca="false">F6343*G6343</f>
        <v>1591</v>
      </c>
      <c r="I6343" s="6" t="s">
        <v>5148</v>
      </c>
    </row>
    <row r="6344" customFormat="false" ht="15" hidden="false" customHeight="false" outlineLevel="0" collapsed="false">
      <c r="A6344" s="6" t="s">
        <v>11568</v>
      </c>
      <c r="B6344" s="6" t="s">
        <v>3173</v>
      </c>
      <c r="C6344" s="26" t="n">
        <v>46215</v>
      </c>
      <c r="D6344" s="6" t="s">
        <v>5197</v>
      </c>
      <c r="E6344" s="6" t="s">
        <v>21</v>
      </c>
      <c r="F6344" s="6" t="n">
        <v>1</v>
      </c>
      <c r="G6344" s="10" t="n">
        <v>1026</v>
      </c>
      <c r="H6344" s="10" t="n">
        <f aca="false">F6344*G6344</f>
        <v>1026</v>
      </c>
      <c r="I6344" s="6" t="s">
        <v>5130</v>
      </c>
    </row>
    <row r="6345" customFormat="false" ht="15" hidden="false" customHeight="false" outlineLevel="0" collapsed="false">
      <c r="A6345" s="6" t="s">
        <v>11569</v>
      </c>
      <c r="B6345" s="6" t="s">
        <v>2013</v>
      </c>
      <c r="C6345" s="26" t="n">
        <v>46215</v>
      </c>
      <c r="D6345" s="6" t="s">
        <v>5197</v>
      </c>
      <c r="E6345" s="6" t="s">
        <v>21</v>
      </c>
      <c r="F6345" s="6" t="n">
        <v>1</v>
      </c>
      <c r="G6345" s="10" t="n">
        <v>1080</v>
      </c>
      <c r="H6345" s="10" t="n">
        <f aca="false">F6345*G6345</f>
        <v>1080</v>
      </c>
      <c r="I6345" s="6" t="s">
        <v>5148</v>
      </c>
    </row>
    <row r="6346" customFormat="false" ht="15" hidden="false" customHeight="false" outlineLevel="0" collapsed="false">
      <c r="A6346" s="6" t="s">
        <v>11570</v>
      </c>
      <c r="B6346" s="6" t="s">
        <v>1803</v>
      </c>
      <c r="C6346" s="26" t="n">
        <v>46215</v>
      </c>
      <c r="D6346" s="6" t="s">
        <v>5192</v>
      </c>
      <c r="E6346" s="6" t="s">
        <v>20</v>
      </c>
      <c r="F6346" s="6" t="n">
        <v>1</v>
      </c>
      <c r="G6346" s="10" t="n">
        <v>4078</v>
      </c>
      <c r="H6346" s="10" t="n">
        <f aca="false">F6346*G6346</f>
        <v>4078</v>
      </c>
      <c r="I6346" s="6" t="s">
        <v>5173</v>
      </c>
    </row>
    <row r="6347" customFormat="false" ht="15" hidden="false" customHeight="false" outlineLevel="0" collapsed="false">
      <c r="A6347" s="6" t="s">
        <v>11571</v>
      </c>
      <c r="B6347" s="6" t="s">
        <v>338</v>
      </c>
      <c r="C6347" s="26" t="n">
        <v>46215</v>
      </c>
      <c r="D6347" s="6" t="s">
        <v>5749</v>
      </c>
      <c r="E6347" s="6" t="s">
        <v>20</v>
      </c>
      <c r="F6347" s="6" t="n">
        <v>1</v>
      </c>
      <c r="G6347" s="10" t="n">
        <v>815</v>
      </c>
      <c r="H6347" s="10" t="n">
        <f aca="false">F6347*G6347</f>
        <v>815</v>
      </c>
      <c r="I6347" s="6" t="s">
        <v>5130</v>
      </c>
    </row>
    <row r="6348" customFormat="false" ht="15" hidden="false" customHeight="false" outlineLevel="0" collapsed="false">
      <c r="A6348" s="6" t="s">
        <v>11572</v>
      </c>
      <c r="B6348" s="6" t="s">
        <v>2299</v>
      </c>
      <c r="C6348" s="26" t="n">
        <v>46215</v>
      </c>
      <c r="D6348" s="6" t="s">
        <v>5357</v>
      </c>
      <c r="E6348" s="6" t="s">
        <v>23</v>
      </c>
      <c r="F6348" s="6" t="n">
        <v>2</v>
      </c>
      <c r="G6348" s="10" t="n">
        <v>534</v>
      </c>
      <c r="H6348" s="10" t="n">
        <f aca="false">F6348*G6348</f>
        <v>1068</v>
      </c>
      <c r="I6348" s="6" t="s">
        <v>5122</v>
      </c>
    </row>
    <row r="6349" customFormat="false" ht="15" hidden="false" customHeight="false" outlineLevel="0" collapsed="false">
      <c r="A6349" s="6" t="s">
        <v>11573</v>
      </c>
      <c r="B6349" s="6" t="s">
        <v>1981</v>
      </c>
      <c r="C6349" s="26" t="n">
        <v>46215</v>
      </c>
      <c r="D6349" s="6" t="s">
        <v>5273</v>
      </c>
      <c r="E6349" s="6" t="s">
        <v>23</v>
      </c>
      <c r="F6349" s="6" t="n">
        <v>2</v>
      </c>
      <c r="G6349" s="10" t="n">
        <v>240</v>
      </c>
      <c r="H6349" s="10" t="n">
        <f aca="false">F6349*G6349</f>
        <v>480</v>
      </c>
      <c r="I6349" s="6" t="s">
        <v>5148</v>
      </c>
    </row>
    <row r="6350" customFormat="false" ht="15" hidden="false" customHeight="false" outlineLevel="0" collapsed="false">
      <c r="A6350" s="6" t="s">
        <v>11574</v>
      </c>
      <c r="B6350" s="6" t="s">
        <v>2449</v>
      </c>
      <c r="C6350" s="26" t="n">
        <v>46215</v>
      </c>
      <c r="D6350" s="6" t="s">
        <v>5683</v>
      </c>
      <c r="E6350" s="6" t="s">
        <v>22</v>
      </c>
      <c r="F6350" s="6" t="n">
        <v>1</v>
      </c>
      <c r="G6350" s="10" t="n">
        <v>1760</v>
      </c>
      <c r="H6350" s="10" t="n">
        <f aca="false">F6350*G6350</f>
        <v>1760</v>
      </c>
      <c r="I6350" s="6" t="s">
        <v>5125</v>
      </c>
    </row>
    <row r="6351" customFormat="false" ht="15" hidden="false" customHeight="false" outlineLevel="0" collapsed="false">
      <c r="A6351" s="6" t="s">
        <v>11575</v>
      </c>
      <c r="B6351" s="6" t="s">
        <v>1299</v>
      </c>
      <c r="C6351" s="26" t="n">
        <v>46215</v>
      </c>
      <c r="D6351" s="6" t="s">
        <v>5261</v>
      </c>
      <c r="E6351" s="6" t="s">
        <v>23</v>
      </c>
      <c r="F6351" s="6" t="n">
        <v>1</v>
      </c>
      <c r="G6351" s="10" t="n">
        <v>158</v>
      </c>
      <c r="H6351" s="10" t="n">
        <f aca="false">F6351*G6351</f>
        <v>158</v>
      </c>
      <c r="I6351" s="6" t="s">
        <v>5148</v>
      </c>
    </row>
    <row r="6352" customFormat="false" ht="15" hidden="false" customHeight="false" outlineLevel="0" collapsed="false">
      <c r="A6352" s="6" t="s">
        <v>11576</v>
      </c>
      <c r="B6352" s="6" t="s">
        <v>969</v>
      </c>
      <c r="C6352" s="26" t="n">
        <v>46215</v>
      </c>
      <c r="D6352" s="6" t="s">
        <v>5167</v>
      </c>
      <c r="E6352" s="6" t="s">
        <v>22</v>
      </c>
      <c r="F6352" s="6" t="n">
        <v>2</v>
      </c>
      <c r="G6352" s="10" t="n">
        <v>782</v>
      </c>
      <c r="H6352" s="10" t="n">
        <f aca="false">F6352*G6352</f>
        <v>1564</v>
      </c>
      <c r="I6352" s="6" t="s">
        <v>5122</v>
      </c>
    </row>
    <row r="6353" customFormat="false" ht="15" hidden="false" customHeight="false" outlineLevel="0" collapsed="false">
      <c r="A6353" s="6" t="s">
        <v>11577</v>
      </c>
      <c r="B6353" s="6" t="s">
        <v>977</v>
      </c>
      <c r="C6353" s="26" t="n">
        <v>46215</v>
      </c>
      <c r="D6353" s="6" t="s">
        <v>5147</v>
      </c>
      <c r="E6353" s="6" t="s">
        <v>24</v>
      </c>
      <c r="F6353" s="6" t="n">
        <v>1</v>
      </c>
      <c r="G6353" s="10" t="n">
        <v>662</v>
      </c>
      <c r="H6353" s="10" t="n">
        <f aca="false">F6353*G6353</f>
        <v>662</v>
      </c>
      <c r="I6353" s="6" t="s">
        <v>5130</v>
      </c>
    </row>
    <row r="6354" customFormat="false" ht="15" hidden="false" customHeight="false" outlineLevel="0" collapsed="false">
      <c r="A6354" s="6" t="s">
        <v>11578</v>
      </c>
      <c r="B6354" s="6" t="s">
        <v>4307</v>
      </c>
      <c r="C6354" s="26" t="n">
        <v>46215</v>
      </c>
      <c r="D6354" s="6" t="s">
        <v>5456</v>
      </c>
      <c r="E6354" s="6" t="s">
        <v>24</v>
      </c>
      <c r="F6354" s="6" t="n">
        <v>1</v>
      </c>
      <c r="G6354" s="10" t="n">
        <v>866</v>
      </c>
      <c r="H6354" s="10" t="n">
        <f aca="false">F6354*G6354</f>
        <v>866</v>
      </c>
      <c r="I6354" s="6" t="s">
        <v>5122</v>
      </c>
    </row>
    <row r="6355" customFormat="false" ht="15" hidden="false" customHeight="false" outlineLevel="0" collapsed="false">
      <c r="A6355" s="6" t="s">
        <v>11579</v>
      </c>
      <c r="B6355" s="6" t="s">
        <v>3069</v>
      </c>
      <c r="C6355" s="26" t="n">
        <v>46215</v>
      </c>
      <c r="D6355" s="6" t="s">
        <v>5345</v>
      </c>
      <c r="E6355" s="6" t="s">
        <v>23</v>
      </c>
      <c r="F6355" s="6" t="n">
        <v>3</v>
      </c>
      <c r="G6355" s="10" t="n">
        <v>414</v>
      </c>
      <c r="H6355" s="10" t="n">
        <f aca="false">F6355*G6355</f>
        <v>1242</v>
      </c>
      <c r="I6355" s="6" t="s">
        <v>5148</v>
      </c>
    </row>
    <row r="6356" customFormat="false" ht="15" hidden="false" customHeight="false" outlineLevel="0" collapsed="false">
      <c r="A6356" s="6" t="s">
        <v>11580</v>
      </c>
      <c r="B6356" s="6" t="s">
        <v>4337</v>
      </c>
      <c r="C6356" s="26" t="n">
        <v>46215</v>
      </c>
      <c r="D6356" s="6" t="s">
        <v>5167</v>
      </c>
      <c r="E6356" s="6" t="s">
        <v>22</v>
      </c>
      <c r="F6356" s="6" t="n">
        <v>1</v>
      </c>
      <c r="G6356" s="10" t="n">
        <v>703</v>
      </c>
      <c r="H6356" s="10" t="n">
        <f aca="false">F6356*G6356</f>
        <v>703</v>
      </c>
      <c r="I6356" s="6" t="s">
        <v>5130</v>
      </c>
    </row>
    <row r="6357" customFormat="false" ht="15" hidden="false" customHeight="false" outlineLevel="0" collapsed="false">
      <c r="A6357" s="6" t="s">
        <v>11581</v>
      </c>
      <c r="B6357" s="6" t="s">
        <v>3627</v>
      </c>
      <c r="C6357" s="26" t="n">
        <v>46215</v>
      </c>
      <c r="D6357" s="6" t="s">
        <v>5150</v>
      </c>
      <c r="E6357" s="6" t="s">
        <v>24</v>
      </c>
      <c r="F6357" s="6" t="n">
        <v>1</v>
      </c>
      <c r="G6357" s="10" t="n">
        <v>508</v>
      </c>
      <c r="H6357" s="10" t="n">
        <f aca="false">F6357*G6357</f>
        <v>508</v>
      </c>
      <c r="I6357" s="6" t="s">
        <v>5148</v>
      </c>
    </row>
    <row r="6358" customFormat="false" ht="15" hidden="false" customHeight="false" outlineLevel="0" collapsed="false">
      <c r="A6358" s="6" t="s">
        <v>11582</v>
      </c>
      <c r="B6358" s="6" t="s">
        <v>1811</v>
      </c>
      <c r="C6358" s="26" t="n">
        <v>46215</v>
      </c>
      <c r="D6358" s="6" t="s">
        <v>5197</v>
      </c>
      <c r="E6358" s="6" t="s">
        <v>21</v>
      </c>
      <c r="F6358" s="6" t="n">
        <v>3</v>
      </c>
      <c r="G6358" s="10" t="n">
        <v>1080</v>
      </c>
      <c r="H6358" s="10" t="n">
        <f aca="false">F6358*G6358</f>
        <v>3240</v>
      </c>
      <c r="I6358" s="6" t="s">
        <v>5122</v>
      </c>
    </row>
    <row r="6359" customFormat="false" ht="15" hidden="false" customHeight="false" outlineLevel="0" collapsed="false">
      <c r="A6359" s="6" t="s">
        <v>11583</v>
      </c>
      <c r="B6359" s="6" t="s">
        <v>891</v>
      </c>
      <c r="C6359" s="26" t="n">
        <v>46215</v>
      </c>
      <c r="D6359" s="6" t="s">
        <v>5687</v>
      </c>
      <c r="E6359" s="6" t="s">
        <v>20</v>
      </c>
      <c r="F6359" s="6" t="n">
        <v>1</v>
      </c>
      <c r="G6359" s="10" t="n">
        <v>2039</v>
      </c>
      <c r="H6359" s="10" t="n">
        <f aca="false">F6359*G6359</f>
        <v>2039</v>
      </c>
      <c r="I6359" s="6" t="s">
        <v>5148</v>
      </c>
    </row>
    <row r="6360" customFormat="false" ht="15" hidden="false" customHeight="false" outlineLevel="0" collapsed="false">
      <c r="A6360" s="6" t="s">
        <v>11584</v>
      </c>
      <c r="B6360" s="6" t="s">
        <v>1043</v>
      </c>
      <c r="C6360" s="26" t="n">
        <v>46216</v>
      </c>
      <c r="D6360" s="6" t="s">
        <v>5216</v>
      </c>
      <c r="E6360" s="6" t="s">
        <v>23</v>
      </c>
      <c r="F6360" s="6" t="n">
        <v>5</v>
      </c>
      <c r="G6360" s="10" t="n">
        <v>558</v>
      </c>
      <c r="H6360" s="10" t="n">
        <f aca="false">F6360*G6360</f>
        <v>2790</v>
      </c>
      <c r="I6360" s="6" t="s">
        <v>5122</v>
      </c>
    </row>
    <row r="6361" customFormat="false" ht="15" hidden="false" customHeight="false" outlineLevel="0" collapsed="false">
      <c r="A6361" s="6" t="s">
        <v>11585</v>
      </c>
      <c r="B6361" s="6" t="s">
        <v>1941</v>
      </c>
      <c r="C6361" s="26" t="n">
        <v>46216</v>
      </c>
      <c r="D6361" s="6" t="s">
        <v>5121</v>
      </c>
      <c r="E6361" s="6" t="s">
        <v>22</v>
      </c>
      <c r="F6361" s="6" t="n">
        <v>1</v>
      </c>
      <c r="G6361" s="10" t="n">
        <v>880</v>
      </c>
      <c r="H6361" s="10" t="n">
        <f aca="false">F6361*G6361</f>
        <v>880</v>
      </c>
      <c r="I6361" s="6" t="s">
        <v>5148</v>
      </c>
    </row>
    <row r="6362" customFormat="false" ht="15" hidden="false" customHeight="false" outlineLevel="0" collapsed="false">
      <c r="A6362" s="6" t="s">
        <v>11586</v>
      </c>
      <c r="B6362" s="6" t="s">
        <v>3797</v>
      </c>
      <c r="C6362" s="26" t="n">
        <v>46216</v>
      </c>
      <c r="D6362" s="6" t="s">
        <v>5216</v>
      </c>
      <c r="E6362" s="6" t="s">
        <v>23</v>
      </c>
      <c r="F6362" s="6" t="n">
        <v>1</v>
      </c>
      <c r="G6362" s="10" t="n">
        <v>587</v>
      </c>
      <c r="H6362" s="10" t="n">
        <f aca="false">F6362*G6362</f>
        <v>587</v>
      </c>
      <c r="I6362" s="6" t="s">
        <v>5125</v>
      </c>
    </row>
    <row r="6363" customFormat="false" ht="15" hidden="false" customHeight="false" outlineLevel="0" collapsed="false">
      <c r="A6363" s="6" t="s">
        <v>11587</v>
      </c>
      <c r="B6363" s="6" t="s">
        <v>637</v>
      </c>
      <c r="C6363" s="26" t="n">
        <v>46216</v>
      </c>
      <c r="D6363" s="6" t="s">
        <v>5141</v>
      </c>
      <c r="E6363" s="6" t="s">
        <v>20</v>
      </c>
      <c r="F6363" s="6" t="n">
        <v>1</v>
      </c>
      <c r="G6363" s="10" t="n">
        <v>1835</v>
      </c>
      <c r="H6363" s="10" t="n">
        <f aca="false">F6363*G6363</f>
        <v>1835</v>
      </c>
      <c r="I6363" s="6" t="s">
        <v>5173</v>
      </c>
    </row>
    <row r="6364" customFormat="false" ht="15" hidden="false" customHeight="false" outlineLevel="0" collapsed="false">
      <c r="A6364" s="6" t="s">
        <v>11588</v>
      </c>
      <c r="B6364" s="6" t="s">
        <v>1825</v>
      </c>
      <c r="C6364" s="26" t="n">
        <v>46216</v>
      </c>
      <c r="D6364" s="6" t="s">
        <v>5129</v>
      </c>
      <c r="E6364" s="6" t="s">
        <v>21</v>
      </c>
      <c r="F6364" s="6" t="n">
        <v>1</v>
      </c>
      <c r="G6364" s="10" t="n">
        <v>559</v>
      </c>
      <c r="H6364" s="10" t="n">
        <f aca="false">F6364*G6364</f>
        <v>559</v>
      </c>
      <c r="I6364" s="6" t="s">
        <v>5122</v>
      </c>
    </row>
    <row r="6365" customFormat="false" ht="15" hidden="false" customHeight="false" outlineLevel="0" collapsed="false">
      <c r="A6365" s="6" t="s">
        <v>11589</v>
      </c>
      <c r="B6365" s="6" t="s">
        <v>4553</v>
      </c>
      <c r="C6365" s="26" t="n">
        <v>46216</v>
      </c>
      <c r="D6365" s="6" t="s">
        <v>5154</v>
      </c>
      <c r="E6365" s="6" t="s">
        <v>21</v>
      </c>
      <c r="F6365" s="6" t="n">
        <v>1</v>
      </c>
      <c r="G6365" s="10" t="n">
        <v>746</v>
      </c>
      <c r="H6365" s="10" t="n">
        <f aca="false">F6365*G6365</f>
        <v>746</v>
      </c>
      <c r="I6365" s="6" t="s">
        <v>5122</v>
      </c>
    </row>
    <row r="6366" customFormat="false" ht="15" hidden="false" customHeight="false" outlineLevel="0" collapsed="false">
      <c r="A6366" s="6" t="s">
        <v>11590</v>
      </c>
      <c r="B6366" s="6" t="s">
        <v>1919</v>
      </c>
      <c r="C6366" s="26" t="n">
        <v>46216</v>
      </c>
      <c r="D6366" s="6" t="s">
        <v>5458</v>
      </c>
      <c r="E6366" s="6" t="s">
        <v>24</v>
      </c>
      <c r="F6366" s="6" t="n">
        <v>1</v>
      </c>
      <c r="G6366" s="10" t="n">
        <v>559</v>
      </c>
      <c r="H6366" s="10" t="n">
        <f aca="false">F6366*G6366</f>
        <v>559</v>
      </c>
      <c r="I6366" s="6" t="s">
        <v>5122</v>
      </c>
    </row>
    <row r="6367" customFormat="false" ht="15" hidden="false" customHeight="false" outlineLevel="0" collapsed="false">
      <c r="A6367" s="6" t="s">
        <v>11591</v>
      </c>
      <c r="B6367" s="6" t="s">
        <v>3827</v>
      </c>
      <c r="C6367" s="26" t="n">
        <v>46216</v>
      </c>
      <c r="D6367" s="6" t="s">
        <v>5345</v>
      </c>
      <c r="E6367" s="6" t="s">
        <v>23</v>
      </c>
      <c r="F6367" s="6" t="n">
        <v>3</v>
      </c>
      <c r="G6367" s="10" t="n">
        <v>436</v>
      </c>
      <c r="H6367" s="10" t="n">
        <f aca="false">F6367*G6367</f>
        <v>1308</v>
      </c>
      <c r="I6367" s="6" t="s">
        <v>5130</v>
      </c>
    </row>
    <row r="6368" customFormat="false" ht="15" hidden="false" customHeight="false" outlineLevel="0" collapsed="false">
      <c r="A6368" s="6" t="s">
        <v>11592</v>
      </c>
      <c r="B6368" s="6" t="s">
        <v>1121</v>
      </c>
      <c r="C6368" s="26" t="n">
        <v>46216</v>
      </c>
      <c r="D6368" s="6" t="s">
        <v>5167</v>
      </c>
      <c r="E6368" s="6" t="s">
        <v>22</v>
      </c>
      <c r="F6368" s="6" t="n">
        <v>1</v>
      </c>
      <c r="G6368" s="10" t="n">
        <v>743</v>
      </c>
      <c r="H6368" s="10" t="n">
        <f aca="false">F6368*G6368</f>
        <v>743</v>
      </c>
      <c r="I6368" s="6" t="s">
        <v>5122</v>
      </c>
    </row>
    <row r="6369" customFormat="false" ht="15" hidden="false" customHeight="false" outlineLevel="0" collapsed="false">
      <c r="A6369" s="6" t="s">
        <v>11593</v>
      </c>
      <c r="B6369" s="6" t="s">
        <v>3735</v>
      </c>
      <c r="C6369" s="26" t="n">
        <v>46216</v>
      </c>
      <c r="D6369" s="6" t="s">
        <v>5121</v>
      </c>
      <c r="E6369" s="6" t="s">
        <v>22</v>
      </c>
      <c r="F6369" s="6" t="n">
        <v>1</v>
      </c>
      <c r="G6369" s="10" t="n">
        <v>977</v>
      </c>
      <c r="H6369" s="10" t="n">
        <f aca="false">F6369*G6369</f>
        <v>977</v>
      </c>
      <c r="I6369" s="6" t="s">
        <v>5122</v>
      </c>
    </row>
    <row r="6370" customFormat="false" ht="15" hidden="false" customHeight="false" outlineLevel="0" collapsed="false">
      <c r="A6370" s="6" t="s">
        <v>11594</v>
      </c>
      <c r="B6370" s="6" t="s">
        <v>2651</v>
      </c>
      <c r="C6370" s="26" t="n">
        <v>46216</v>
      </c>
      <c r="D6370" s="6" t="s">
        <v>5171</v>
      </c>
      <c r="E6370" s="6" t="s">
        <v>23</v>
      </c>
      <c r="F6370" s="6" t="n">
        <v>1</v>
      </c>
      <c r="G6370" s="10" t="n">
        <v>734</v>
      </c>
      <c r="H6370" s="10" t="n">
        <f aca="false">F6370*G6370</f>
        <v>734</v>
      </c>
      <c r="I6370" s="6" t="s">
        <v>5125</v>
      </c>
    </row>
    <row r="6371" customFormat="false" ht="15" hidden="false" customHeight="false" outlineLevel="0" collapsed="false">
      <c r="A6371" s="6" t="s">
        <v>11595</v>
      </c>
      <c r="B6371" s="6" t="s">
        <v>2149</v>
      </c>
      <c r="C6371" s="26" t="n">
        <v>46216</v>
      </c>
      <c r="D6371" s="6" t="s">
        <v>5292</v>
      </c>
      <c r="E6371" s="6" t="s">
        <v>21</v>
      </c>
      <c r="F6371" s="6" t="n">
        <v>1</v>
      </c>
      <c r="G6371" s="10" t="n">
        <v>6536</v>
      </c>
      <c r="H6371" s="10" t="n">
        <f aca="false">F6371*G6371</f>
        <v>6536</v>
      </c>
      <c r="I6371" s="6" t="s">
        <v>5122</v>
      </c>
    </row>
    <row r="6372" customFormat="false" ht="15" hidden="false" customHeight="false" outlineLevel="0" collapsed="false">
      <c r="A6372" s="6" t="s">
        <v>11596</v>
      </c>
      <c r="B6372" s="6" t="s">
        <v>557</v>
      </c>
      <c r="C6372" s="26" t="n">
        <v>46216</v>
      </c>
      <c r="D6372" s="6" t="s">
        <v>5242</v>
      </c>
      <c r="E6372" s="6" t="s">
        <v>23</v>
      </c>
      <c r="F6372" s="6" t="n">
        <v>3</v>
      </c>
      <c r="G6372" s="10" t="n">
        <v>372</v>
      </c>
      <c r="H6372" s="10" t="n">
        <f aca="false">F6372*G6372</f>
        <v>1116</v>
      </c>
      <c r="I6372" s="6" t="s">
        <v>5133</v>
      </c>
    </row>
    <row r="6373" customFormat="false" ht="15" hidden="false" customHeight="false" outlineLevel="0" collapsed="false">
      <c r="A6373" s="6" t="s">
        <v>11597</v>
      </c>
      <c r="B6373" s="6" t="s">
        <v>3929</v>
      </c>
      <c r="C6373" s="26" t="n">
        <v>46216</v>
      </c>
      <c r="D6373" s="6" t="s">
        <v>5167</v>
      </c>
      <c r="E6373" s="6" t="s">
        <v>22</v>
      </c>
      <c r="F6373" s="6" t="n">
        <v>1</v>
      </c>
      <c r="G6373" s="10" t="n">
        <v>743</v>
      </c>
      <c r="H6373" s="10" t="n">
        <f aca="false">F6373*G6373</f>
        <v>743</v>
      </c>
      <c r="I6373" s="6" t="s">
        <v>5122</v>
      </c>
    </row>
    <row r="6374" customFormat="false" ht="15" hidden="false" customHeight="false" outlineLevel="0" collapsed="false">
      <c r="A6374" s="6" t="s">
        <v>11598</v>
      </c>
      <c r="B6374" s="6" t="s">
        <v>4267</v>
      </c>
      <c r="C6374" s="26" t="n">
        <v>46216</v>
      </c>
      <c r="D6374" s="6" t="s">
        <v>5488</v>
      </c>
      <c r="E6374" s="6" t="s">
        <v>24</v>
      </c>
      <c r="F6374" s="6" t="n">
        <v>2</v>
      </c>
      <c r="G6374" s="10" t="n">
        <v>823</v>
      </c>
      <c r="H6374" s="10" t="n">
        <f aca="false">F6374*G6374</f>
        <v>1646</v>
      </c>
      <c r="I6374" s="6" t="s">
        <v>5173</v>
      </c>
    </row>
    <row r="6375" customFormat="false" ht="15" hidden="false" customHeight="false" outlineLevel="0" collapsed="false">
      <c r="A6375" s="6" t="s">
        <v>11599</v>
      </c>
      <c r="B6375" s="6" t="s">
        <v>2079</v>
      </c>
      <c r="C6375" s="26" t="n">
        <v>46216</v>
      </c>
      <c r="D6375" s="6" t="s">
        <v>5163</v>
      </c>
      <c r="E6375" s="6" t="s">
        <v>23</v>
      </c>
      <c r="F6375" s="6" t="n">
        <v>1</v>
      </c>
      <c r="G6375" s="10" t="n">
        <v>783</v>
      </c>
      <c r="H6375" s="10" t="n">
        <f aca="false">F6375*G6375</f>
        <v>783</v>
      </c>
      <c r="I6375" s="6" t="s">
        <v>5133</v>
      </c>
    </row>
    <row r="6376" customFormat="false" ht="15" hidden="false" customHeight="false" outlineLevel="0" collapsed="false">
      <c r="A6376" s="6" t="s">
        <v>11600</v>
      </c>
      <c r="B6376" s="6" t="s">
        <v>1549</v>
      </c>
      <c r="C6376" s="26" t="n">
        <v>46216</v>
      </c>
      <c r="D6376" s="6" t="s">
        <v>5156</v>
      </c>
      <c r="E6376" s="6" t="s">
        <v>21</v>
      </c>
      <c r="F6376" s="6" t="n">
        <v>1</v>
      </c>
      <c r="G6376" s="10" t="n">
        <v>2161</v>
      </c>
      <c r="H6376" s="10" t="n">
        <f aca="false">F6376*G6376</f>
        <v>2161</v>
      </c>
      <c r="I6376" s="6" t="s">
        <v>5122</v>
      </c>
    </row>
    <row r="6377" customFormat="false" ht="15" hidden="false" customHeight="false" outlineLevel="0" collapsed="false">
      <c r="A6377" s="6" t="s">
        <v>11601</v>
      </c>
      <c r="B6377" s="6" t="s">
        <v>4273</v>
      </c>
      <c r="C6377" s="26" t="n">
        <v>46216</v>
      </c>
      <c r="D6377" s="6" t="s">
        <v>5156</v>
      </c>
      <c r="E6377" s="6" t="s">
        <v>21</v>
      </c>
      <c r="F6377" s="6" t="n">
        <v>1</v>
      </c>
      <c r="G6377" s="10" t="n">
        <v>1945</v>
      </c>
      <c r="H6377" s="10" t="n">
        <f aca="false">F6377*G6377</f>
        <v>1945</v>
      </c>
      <c r="I6377" s="6" t="s">
        <v>5130</v>
      </c>
    </row>
    <row r="6378" customFormat="false" ht="15" hidden="false" customHeight="false" outlineLevel="0" collapsed="false">
      <c r="A6378" s="6" t="s">
        <v>11602</v>
      </c>
      <c r="B6378" s="6" t="s">
        <v>4595</v>
      </c>
      <c r="C6378" s="26" t="n">
        <v>46216</v>
      </c>
      <c r="D6378" s="6" t="s">
        <v>5398</v>
      </c>
      <c r="E6378" s="6" t="s">
        <v>24</v>
      </c>
      <c r="F6378" s="6" t="n">
        <v>1</v>
      </c>
      <c r="G6378" s="10" t="n">
        <v>611</v>
      </c>
      <c r="H6378" s="10" t="n">
        <f aca="false">F6378*G6378</f>
        <v>611</v>
      </c>
      <c r="I6378" s="6" t="s">
        <v>5122</v>
      </c>
    </row>
    <row r="6379" customFormat="false" ht="15" hidden="false" customHeight="false" outlineLevel="0" collapsed="false">
      <c r="A6379" s="6" t="s">
        <v>11603</v>
      </c>
      <c r="B6379" s="6" t="s">
        <v>1091</v>
      </c>
      <c r="C6379" s="26" t="n">
        <v>46216</v>
      </c>
      <c r="D6379" s="6" t="s">
        <v>5158</v>
      </c>
      <c r="E6379" s="6" t="s">
        <v>24</v>
      </c>
      <c r="F6379" s="6" t="n">
        <v>3</v>
      </c>
      <c r="G6379" s="10" t="n">
        <v>433</v>
      </c>
      <c r="H6379" s="10" t="n">
        <f aca="false">F6379*G6379</f>
        <v>1299</v>
      </c>
      <c r="I6379" s="6" t="s">
        <v>5130</v>
      </c>
    </row>
    <row r="6380" customFormat="false" ht="15" hidden="false" customHeight="false" outlineLevel="0" collapsed="false">
      <c r="A6380" s="6" t="s">
        <v>11604</v>
      </c>
      <c r="B6380" s="6" t="s">
        <v>4123</v>
      </c>
      <c r="C6380" s="26" t="n">
        <v>46216</v>
      </c>
      <c r="D6380" s="6" t="s">
        <v>5171</v>
      </c>
      <c r="E6380" s="6" t="s">
        <v>23</v>
      </c>
      <c r="F6380" s="6" t="n">
        <v>5</v>
      </c>
      <c r="G6380" s="10" t="n">
        <v>734</v>
      </c>
      <c r="H6380" s="10" t="n">
        <f aca="false">F6380*G6380</f>
        <v>3670</v>
      </c>
      <c r="I6380" s="6" t="s">
        <v>5148</v>
      </c>
    </row>
    <row r="6381" customFormat="false" ht="15" hidden="false" customHeight="false" outlineLevel="0" collapsed="false">
      <c r="A6381" s="6" t="s">
        <v>11605</v>
      </c>
      <c r="B6381" s="6" t="s">
        <v>1173</v>
      </c>
      <c r="C6381" s="26" t="n">
        <v>46216</v>
      </c>
      <c r="D6381" s="6" t="s">
        <v>5185</v>
      </c>
      <c r="E6381" s="6" t="s">
        <v>24</v>
      </c>
      <c r="F6381" s="6" t="n">
        <v>2</v>
      </c>
      <c r="G6381" s="10" t="n">
        <v>2140</v>
      </c>
      <c r="H6381" s="10" t="n">
        <f aca="false">F6381*G6381</f>
        <v>4280</v>
      </c>
      <c r="I6381" s="6" t="s">
        <v>5122</v>
      </c>
    </row>
    <row r="6382" customFormat="false" ht="15" hidden="false" customHeight="false" outlineLevel="0" collapsed="false">
      <c r="A6382" s="6" t="s">
        <v>11606</v>
      </c>
      <c r="B6382" s="6" t="s">
        <v>2963</v>
      </c>
      <c r="C6382" s="26" t="n">
        <v>46216</v>
      </c>
      <c r="D6382" s="6" t="s">
        <v>5167</v>
      </c>
      <c r="E6382" s="6" t="s">
        <v>22</v>
      </c>
      <c r="F6382" s="6" t="n">
        <v>1</v>
      </c>
      <c r="G6382" s="10" t="n">
        <v>743</v>
      </c>
      <c r="H6382" s="10" t="n">
        <f aca="false">F6382*G6382</f>
        <v>743</v>
      </c>
      <c r="I6382" s="6" t="s">
        <v>5122</v>
      </c>
    </row>
    <row r="6383" customFormat="false" ht="15" hidden="false" customHeight="false" outlineLevel="0" collapsed="false">
      <c r="A6383" s="6" t="s">
        <v>11607</v>
      </c>
      <c r="B6383" s="6" t="s">
        <v>4097</v>
      </c>
      <c r="C6383" s="26" t="n">
        <v>46216</v>
      </c>
      <c r="D6383" s="6" t="s">
        <v>5165</v>
      </c>
      <c r="E6383" s="6" t="s">
        <v>22</v>
      </c>
      <c r="F6383" s="6" t="n">
        <v>2</v>
      </c>
      <c r="G6383" s="10" t="n">
        <v>977</v>
      </c>
      <c r="H6383" s="10" t="n">
        <f aca="false">F6383*G6383</f>
        <v>1954</v>
      </c>
      <c r="I6383" s="6" t="s">
        <v>5125</v>
      </c>
    </row>
    <row r="6384" customFormat="false" ht="15" hidden="false" customHeight="false" outlineLevel="0" collapsed="false">
      <c r="A6384" s="6" t="s">
        <v>11608</v>
      </c>
      <c r="B6384" s="6" t="s">
        <v>4583</v>
      </c>
      <c r="C6384" s="26" t="n">
        <v>46216</v>
      </c>
      <c r="D6384" s="6" t="s">
        <v>5410</v>
      </c>
      <c r="E6384" s="6" t="s">
        <v>20</v>
      </c>
      <c r="F6384" s="6" t="n">
        <v>1</v>
      </c>
      <c r="G6384" s="10" t="n">
        <v>2294</v>
      </c>
      <c r="H6384" s="10" t="n">
        <f aca="false">F6384*G6384</f>
        <v>2294</v>
      </c>
      <c r="I6384" s="6" t="s">
        <v>5122</v>
      </c>
    </row>
    <row r="6385" customFormat="false" ht="15" hidden="false" customHeight="false" outlineLevel="0" collapsed="false">
      <c r="A6385" s="6" t="s">
        <v>11609</v>
      </c>
      <c r="B6385" s="6" t="s">
        <v>3603</v>
      </c>
      <c r="C6385" s="26" t="n">
        <v>46216</v>
      </c>
      <c r="D6385" s="6" t="s">
        <v>5165</v>
      </c>
      <c r="E6385" s="6" t="s">
        <v>22</v>
      </c>
      <c r="F6385" s="6" t="n">
        <v>2</v>
      </c>
      <c r="G6385" s="10" t="n">
        <v>977</v>
      </c>
      <c r="H6385" s="10" t="n">
        <f aca="false">F6385*G6385</f>
        <v>1954</v>
      </c>
      <c r="I6385" s="6" t="s">
        <v>5130</v>
      </c>
    </row>
    <row r="6386" customFormat="false" ht="15" hidden="false" customHeight="false" outlineLevel="0" collapsed="false">
      <c r="A6386" s="6" t="s">
        <v>11610</v>
      </c>
      <c r="B6386" s="6" t="s">
        <v>1843</v>
      </c>
      <c r="C6386" s="26" t="n">
        <v>46216</v>
      </c>
      <c r="D6386" s="6" t="s">
        <v>5167</v>
      </c>
      <c r="E6386" s="6" t="s">
        <v>22</v>
      </c>
      <c r="F6386" s="6" t="n">
        <v>1</v>
      </c>
      <c r="G6386" s="10" t="n">
        <v>781</v>
      </c>
      <c r="H6386" s="10" t="n">
        <f aca="false">F6386*G6386</f>
        <v>781</v>
      </c>
      <c r="I6386" s="6" t="s">
        <v>5122</v>
      </c>
    </row>
    <row r="6387" customFormat="false" ht="15" hidden="false" customHeight="false" outlineLevel="0" collapsed="false">
      <c r="A6387" s="6" t="s">
        <v>11611</v>
      </c>
      <c r="B6387" s="6" t="s">
        <v>4241</v>
      </c>
      <c r="C6387" s="26" t="n">
        <v>46216</v>
      </c>
      <c r="D6387" s="6" t="s">
        <v>5197</v>
      </c>
      <c r="E6387" s="6" t="s">
        <v>21</v>
      </c>
      <c r="F6387" s="6" t="n">
        <v>1</v>
      </c>
      <c r="G6387" s="10" t="n">
        <v>1026</v>
      </c>
      <c r="H6387" s="10" t="n">
        <f aca="false">F6387*G6387</f>
        <v>1026</v>
      </c>
      <c r="I6387" s="6" t="s">
        <v>5125</v>
      </c>
    </row>
    <row r="6388" customFormat="false" ht="15" hidden="false" customHeight="false" outlineLevel="0" collapsed="false">
      <c r="A6388" s="6" t="s">
        <v>11612</v>
      </c>
      <c r="B6388" s="6" t="s">
        <v>929</v>
      </c>
      <c r="C6388" s="26" t="n">
        <v>46216</v>
      </c>
      <c r="D6388" s="6" t="s">
        <v>5188</v>
      </c>
      <c r="E6388" s="6" t="s">
        <v>24</v>
      </c>
      <c r="F6388" s="6" t="n">
        <v>2</v>
      </c>
      <c r="G6388" s="10" t="n">
        <v>1018</v>
      </c>
      <c r="H6388" s="10" t="n">
        <f aca="false">F6388*G6388</f>
        <v>2036</v>
      </c>
      <c r="I6388" s="6" t="s">
        <v>5148</v>
      </c>
    </row>
    <row r="6389" customFormat="false" ht="15" hidden="false" customHeight="false" outlineLevel="0" collapsed="false">
      <c r="A6389" s="6" t="s">
        <v>11613</v>
      </c>
      <c r="B6389" s="6" t="s">
        <v>461</v>
      </c>
      <c r="C6389" s="26" t="n">
        <v>46216</v>
      </c>
      <c r="D6389" s="6" t="s">
        <v>5160</v>
      </c>
      <c r="E6389" s="6" t="s">
        <v>21</v>
      </c>
      <c r="F6389" s="6" t="n">
        <v>3</v>
      </c>
      <c r="G6389" s="10" t="n">
        <v>2751</v>
      </c>
      <c r="H6389" s="10" t="n">
        <f aca="false">F6389*G6389</f>
        <v>8253</v>
      </c>
      <c r="I6389" s="6" t="s">
        <v>5122</v>
      </c>
    </row>
    <row r="6390" customFormat="false" ht="15" hidden="false" customHeight="false" outlineLevel="0" collapsed="false">
      <c r="A6390" s="6" t="s">
        <v>11614</v>
      </c>
      <c r="B6390" s="6" t="s">
        <v>4683</v>
      </c>
      <c r="C6390" s="26" t="n">
        <v>46216</v>
      </c>
      <c r="D6390" s="6" t="s">
        <v>5167</v>
      </c>
      <c r="E6390" s="6" t="s">
        <v>22</v>
      </c>
      <c r="F6390" s="6" t="n">
        <v>1</v>
      </c>
      <c r="G6390" s="10" t="n">
        <v>782</v>
      </c>
      <c r="H6390" s="10" t="n">
        <f aca="false">F6390*G6390</f>
        <v>782</v>
      </c>
      <c r="I6390" s="6" t="s">
        <v>5122</v>
      </c>
    </row>
    <row r="6391" customFormat="false" ht="15" hidden="false" customHeight="false" outlineLevel="0" collapsed="false">
      <c r="A6391" s="6" t="s">
        <v>11615</v>
      </c>
      <c r="B6391" s="6" t="s">
        <v>1263</v>
      </c>
      <c r="C6391" s="26" t="n">
        <v>46216</v>
      </c>
      <c r="D6391" s="6" t="s">
        <v>5165</v>
      </c>
      <c r="E6391" s="6" t="s">
        <v>22</v>
      </c>
      <c r="F6391" s="6" t="n">
        <v>1</v>
      </c>
      <c r="G6391" s="10" t="n">
        <v>879</v>
      </c>
      <c r="H6391" s="10" t="n">
        <f aca="false">F6391*G6391</f>
        <v>879</v>
      </c>
      <c r="I6391" s="6" t="s">
        <v>5122</v>
      </c>
    </row>
    <row r="6392" customFormat="false" ht="15" hidden="false" customHeight="false" outlineLevel="0" collapsed="false">
      <c r="A6392" s="6" t="s">
        <v>11616</v>
      </c>
      <c r="B6392" s="6" t="s">
        <v>1841</v>
      </c>
      <c r="C6392" s="26" t="n">
        <v>46216</v>
      </c>
      <c r="D6392" s="6" t="s">
        <v>5460</v>
      </c>
      <c r="E6392" s="6" t="s">
        <v>24</v>
      </c>
      <c r="F6392" s="6" t="n">
        <v>2</v>
      </c>
      <c r="G6392" s="10" t="n">
        <v>555</v>
      </c>
      <c r="H6392" s="10" t="n">
        <f aca="false">F6392*G6392</f>
        <v>1110</v>
      </c>
      <c r="I6392" s="6" t="s">
        <v>5125</v>
      </c>
    </row>
    <row r="6393" customFormat="false" ht="15" hidden="false" customHeight="false" outlineLevel="0" collapsed="false">
      <c r="A6393" s="6" t="s">
        <v>11617</v>
      </c>
      <c r="B6393" s="6" t="s">
        <v>1451</v>
      </c>
      <c r="C6393" s="26" t="n">
        <v>46216</v>
      </c>
      <c r="D6393" s="6" t="s">
        <v>5163</v>
      </c>
      <c r="E6393" s="6" t="s">
        <v>23</v>
      </c>
      <c r="F6393" s="6" t="n">
        <v>3</v>
      </c>
      <c r="G6393" s="10" t="n">
        <v>783</v>
      </c>
      <c r="H6393" s="10" t="n">
        <f aca="false">F6393*G6393</f>
        <v>2349</v>
      </c>
      <c r="I6393" s="6" t="s">
        <v>5148</v>
      </c>
    </row>
    <row r="6394" customFormat="false" ht="15" hidden="false" customHeight="false" outlineLevel="0" collapsed="false">
      <c r="A6394" s="6" t="s">
        <v>11618</v>
      </c>
      <c r="B6394" s="6" t="s">
        <v>1663</v>
      </c>
      <c r="C6394" s="26" t="n">
        <v>46217</v>
      </c>
      <c r="D6394" s="6" t="s">
        <v>5197</v>
      </c>
      <c r="E6394" s="6" t="s">
        <v>21</v>
      </c>
      <c r="F6394" s="6" t="n">
        <v>2</v>
      </c>
      <c r="G6394" s="10" t="n">
        <v>1080</v>
      </c>
      <c r="H6394" s="10" t="n">
        <f aca="false">F6394*G6394</f>
        <v>2160</v>
      </c>
      <c r="I6394" s="6" t="s">
        <v>5122</v>
      </c>
    </row>
    <row r="6395" customFormat="false" ht="15" hidden="false" customHeight="false" outlineLevel="0" collapsed="false">
      <c r="A6395" s="6" t="s">
        <v>11619</v>
      </c>
      <c r="B6395" s="6" t="s">
        <v>1321</v>
      </c>
      <c r="C6395" s="26" t="n">
        <v>46217</v>
      </c>
      <c r="D6395" s="6" t="s">
        <v>5683</v>
      </c>
      <c r="E6395" s="6" t="s">
        <v>22</v>
      </c>
      <c r="F6395" s="6" t="n">
        <v>1</v>
      </c>
      <c r="G6395" s="10" t="n">
        <v>1760</v>
      </c>
      <c r="H6395" s="10" t="n">
        <f aca="false">F6395*G6395</f>
        <v>1760</v>
      </c>
      <c r="I6395" s="6" t="s">
        <v>5130</v>
      </c>
    </row>
    <row r="6396" customFormat="false" ht="15" hidden="false" customHeight="false" outlineLevel="0" collapsed="false">
      <c r="A6396" s="6" t="s">
        <v>11620</v>
      </c>
      <c r="B6396" s="6" t="s">
        <v>4119</v>
      </c>
      <c r="C6396" s="26" t="n">
        <v>46217</v>
      </c>
      <c r="D6396" s="6" t="s">
        <v>5167</v>
      </c>
      <c r="E6396" s="6" t="s">
        <v>22</v>
      </c>
      <c r="F6396" s="6" t="n">
        <v>1</v>
      </c>
      <c r="G6396" s="10" t="n">
        <v>703</v>
      </c>
      <c r="H6396" s="10" t="n">
        <f aca="false">F6396*G6396</f>
        <v>703</v>
      </c>
      <c r="I6396" s="6" t="s">
        <v>5122</v>
      </c>
    </row>
    <row r="6397" customFormat="false" ht="15" hidden="false" customHeight="false" outlineLevel="0" collapsed="false">
      <c r="A6397" s="6" t="s">
        <v>11621</v>
      </c>
      <c r="B6397" s="6" t="s">
        <v>3093</v>
      </c>
      <c r="C6397" s="26" t="n">
        <v>46217</v>
      </c>
      <c r="D6397" s="6" t="s">
        <v>5318</v>
      </c>
      <c r="E6397" s="6" t="s">
        <v>20</v>
      </c>
      <c r="F6397" s="6" t="n">
        <v>1</v>
      </c>
      <c r="G6397" s="10" t="n">
        <v>1528</v>
      </c>
      <c r="H6397" s="10" t="n">
        <f aca="false">F6397*G6397</f>
        <v>1528</v>
      </c>
      <c r="I6397" s="6" t="s">
        <v>5122</v>
      </c>
    </row>
    <row r="6398" customFormat="false" ht="15" hidden="false" customHeight="false" outlineLevel="0" collapsed="false">
      <c r="A6398" s="6" t="s">
        <v>11622</v>
      </c>
      <c r="B6398" s="6" t="s">
        <v>4447</v>
      </c>
      <c r="C6398" s="26" t="n">
        <v>46217</v>
      </c>
      <c r="D6398" s="6" t="s">
        <v>5298</v>
      </c>
      <c r="E6398" s="6" t="s">
        <v>23</v>
      </c>
      <c r="F6398" s="6" t="n">
        <v>4</v>
      </c>
      <c r="G6398" s="10" t="n">
        <v>293</v>
      </c>
      <c r="H6398" s="10" t="n">
        <f aca="false">F6398*G6398</f>
        <v>1172</v>
      </c>
      <c r="I6398" s="6" t="s">
        <v>5122</v>
      </c>
    </row>
    <row r="6399" customFormat="false" ht="15" hidden="false" customHeight="false" outlineLevel="0" collapsed="false">
      <c r="A6399" s="6" t="s">
        <v>11623</v>
      </c>
      <c r="B6399" s="6" t="s">
        <v>4527</v>
      </c>
      <c r="C6399" s="26" t="n">
        <v>46217</v>
      </c>
      <c r="D6399" s="6" t="s">
        <v>5154</v>
      </c>
      <c r="E6399" s="6" t="s">
        <v>21</v>
      </c>
      <c r="F6399" s="6" t="n">
        <v>1</v>
      </c>
      <c r="G6399" s="10" t="n">
        <v>785</v>
      </c>
      <c r="H6399" s="10" t="n">
        <f aca="false">F6399*G6399</f>
        <v>785</v>
      </c>
      <c r="I6399" s="6" t="s">
        <v>5122</v>
      </c>
    </row>
    <row r="6400" customFormat="false" ht="15" hidden="false" customHeight="false" outlineLevel="0" collapsed="false">
      <c r="A6400" s="6" t="s">
        <v>11624</v>
      </c>
      <c r="B6400" s="6" t="s">
        <v>2777</v>
      </c>
      <c r="C6400" s="26" t="n">
        <v>46217</v>
      </c>
      <c r="D6400" s="6" t="s">
        <v>5167</v>
      </c>
      <c r="E6400" s="6" t="s">
        <v>22</v>
      </c>
      <c r="F6400" s="6" t="n">
        <v>1</v>
      </c>
      <c r="G6400" s="10" t="n">
        <v>743</v>
      </c>
      <c r="H6400" s="10" t="n">
        <f aca="false">F6400*G6400</f>
        <v>743</v>
      </c>
      <c r="I6400" s="6" t="s">
        <v>5122</v>
      </c>
    </row>
    <row r="6401" customFormat="false" ht="15" hidden="false" customHeight="false" outlineLevel="0" collapsed="false">
      <c r="A6401" s="6" t="s">
        <v>11625</v>
      </c>
      <c r="B6401" s="6" t="s">
        <v>1713</v>
      </c>
      <c r="C6401" s="26" t="n">
        <v>46217</v>
      </c>
      <c r="D6401" s="6" t="s">
        <v>5190</v>
      </c>
      <c r="E6401" s="6" t="s">
        <v>24</v>
      </c>
      <c r="F6401" s="6" t="n">
        <v>1</v>
      </c>
      <c r="G6401" s="10" t="n">
        <v>549</v>
      </c>
      <c r="H6401" s="10" t="n">
        <f aca="false">F6401*G6401</f>
        <v>549</v>
      </c>
      <c r="I6401" s="6" t="s">
        <v>5122</v>
      </c>
    </row>
    <row r="6402" customFormat="false" ht="15" hidden="false" customHeight="false" outlineLevel="0" collapsed="false">
      <c r="A6402" s="6" t="s">
        <v>11626</v>
      </c>
      <c r="B6402" s="6" t="s">
        <v>3117</v>
      </c>
      <c r="C6402" s="26" t="n">
        <v>46217</v>
      </c>
      <c r="D6402" s="6" t="s">
        <v>5171</v>
      </c>
      <c r="E6402" s="6" t="s">
        <v>23</v>
      </c>
      <c r="F6402" s="6" t="n">
        <v>3</v>
      </c>
      <c r="G6402" s="10" t="n">
        <v>661</v>
      </c>
      <c r="H6402" s="10" t="n">
        <f aca="false">F6402*G6402</f>
        <v>1983</v>
      </c>
      <c r="I6402" s="6" t="s">
        <v>5122</v>
      </c>
    </row>
    <row r="6403" customFormat="false" ht="15" hidden="false" customHeight="false" outlineLevel="0" collapsed="false">
      <c r="A6403" s="6" t="s">
        <v>11627</v>
      </c>
      <c r="B6403" s="6" t="s">
        <v>1447</v>
      </c>
      <c r="C6403" s="26" t="n">
        <v>46217</v>
      </c>
      <c r="D6403" s="6" t="s">
        <v>5139</v>
      </c>
      <c r="E6403" s="6" t="s">
        <v>23</v>
      </c>
      <c r="F6403" s="6" t="n">
        <v>1</v>
      </c>
      <c r="G6403" s="10" t="n">
        <v>265</v>
      </c>
      <c r="H6403" s="10" t="n">
        <f aca="false">F6403*G6403</f>
        <v>265</v>
      </c>
      <c r="I6403" s="6" t="s">
        <v>5148</v>
      </c>
    </row>
    <row r="6404" customFormat="false" ht="15" hidden="false" customHeight="false" outlineLevel="0" collapsed="false">
      <c r="A6404" s="6" t="s">
        <v>11628</v>
      </c>
      <c r="B6404" s="6" t="s">
        <v>2631</v>
      </c>
      <c r="C6404" s="26" t="n">
        <v>46217</v>
      </c>
      <c r="D6404" s="6" t="s">
        <v>5345</v>
      </c>
      <c r="E6404" s="6" t="s">
        <v>23</v>
      </c>
      <c r="F6404" s="6" t="n">
        <v>4</v>
      </c>
      <c r="G6404" s="10" t="n">
        <v>392</v>
      </c>
      <c r="H6404" s="10" t="n">
        <f aca="false">F6404*G6404</f>
        <v>1568</v>
      </c>
      <c r="I6404" s="6" t="s">
        <v>5148</v>
      </c>
    </row>
    <row r="6405" customFormat="false" ht="15" hidden="false" customHeight="false" outlineLevel="0" collapsed="false">
      <c r="A6405" s="6" t="s">
        <v>11629</v>
      </c>
      <c r="B6405" s="6" t="s">
        <v>1863</v>
      </c>
      <c r="C6405" s="26" t="n">
        <v>46217</v>
      </c>
      <c r="D6405" s="6" t="s">
        <v>5235</v>
      </c>
      <c r="E6405" s="6" t="s">
        <v>21</v>
      </c>
      <c r="F6405" s="6" t="n">
        <v>1</v>
      </c>
      <c r="G6405" s="10" t="n">
        <v>1670</v>
      </c>
      <c r="H6405" s="10" t="n">
        <f aca="false">F6405*G6405</f>
        <v>1670</v>
      </c>
      <c r="I6405" s="6" t="s">
        <v>5122</v>
      </c>
    </row>
    <row r="6406" customFormat="false" ht="15" hidden="false" customHeight="false" outlineLevel="0" collapsed="false">
      <c r="A6406" s="6" t="s">
        <v>11630</v>
      </c>
      <c r="B6406" s="6" t="s">
        <v>2065</v>
      </c>
      <c r="C6406" s="26" t="n">
        <v>46217</v>
      </c>
      <c r="D6406" s="6" t="s">
        <v>5154</v>
      </c>
      <c r="E6406" s="6" t="s">
        <v>21</v>
      </c>
      <c r="F6406" s="6" t="n">
        <v>1</v>
      </c>
      <c r="G6406" s="10" t="n">
        <v>746</v>
      </c>
      <c r="H6406" s="10" t="n">
        <f aca="false">F6406*G6406</f>
        <v>746</v>
      </c>
      <c r="I6406" s="6" t="s">
        <v>5148</v>
      </c>
    </row>
    <row r="6407" customFormat="false" ht="15" hidden="false" customHeight="false" outlineLevel="0" collapsed="false">
      <c r="A6407" s="6" t="s">
        <v>11631</v>
      </c>
      <c r="B6407" s="6" t="s">
        <v>3481</v>
      </c>
      <c r="C6407" s="26" t="n">
        <v>46217</v>
      </c>
      <c r="D6407" s="6" t="s">
        <v>5137</v>
      </c>
      <c r="E6407" s="6" t="s">
        <v>21</v>
      </c>
      <c r="F6407" s="6" t="n">
        <v>1</v>
      </c>
      <c r="G6407" s="10" t="n">
        <v>1768</v>
      </c>
      <c r="H6407" s="10" t="n">
        <f aca="false">F6407*G6407</f>
        <v>1768</v>
      </c>
      <c r="I6407" s="6" t="s">
        <v>5148</v>
      </c>
    </row>
    <row r="6408" customFormat="false" ht="15" hidden="false" customHeight="false" outlineLevel="0" collapsed="false">
      <c r="A6408" s="6" t="s">
        <v>11632</v>
      </c>
      <c r="B6408" s="6" t="s">
        <v>655</v>
      </c>
      <c r="C6408" s="26" t="n">
        <v>46217</v>
      </c>
      <c r="D6408" s="6" t="s">
        <v>5165</v>
      </c>
      <c r="E6408" s="6" t="s">
        <v>22</v>
      </c>
      <c r="F6408" s="6" t="n">
        <v>1</v>
      </c>
      <c r="G6408" s="10" t="n">
        <v>880</v>
      </c>
      <c r="H6408" s="10" t="n">
        <f aca="false">F6408*G6408</f>
        <v>880</v>
      </c>
      <c r="I6408" s="6" t="s">
        <v>5148</v>
      </c>
    </row>
    <row r="6409" customFormat="false" ht="15" hidden="false" customHeight="false" outlineLevel="0" collapsed="false">
      <c r="A6409" s="6" t="s">
        <v>11633</v>
      </c>
      <c r="B6409" s="6" t="s">
        <v>3501</v>
      </c>
      <c r="C6409" s="26" t="n">
        <v>46217</v>
      </c>
      <c r="D6409" s="6" t="s">
        <v>5353</v>
      </c>
      <c r="E6409" s="6" t="s">
        <v>24</v>
      </c>
      <c r="F6409" s="6" t="n">
        <v>1</v>
      </c>
      <c r="G6409" s="10" t="n">
        <v>1548</v>
      </c>
      <c r="H6409" s="10" t="n">
        <f aca="false">F6409*G6409</f>
        <v>1548</v>
      </c>
      <c r="I6409" s="6" t="s">
        <v>5125</v>
      </c>
    </row>
    <row r="6410" customFormat="false" ht="15" hidden="false" customHeight="false" outlineLevel="0" collapsed="false">
      <c r="A6410" s="6" t="s">
        <v>11634</v>
      </c>
      <c r="B6410" s="6" t="s">
        <v>573</v>
      </c>
      <c r="C6410" s="26" t="n">
        <v>46217</v>
      </c>
      <c r="D6410" s="6" t="s">
        <v>5353</v>
      </c>
      <c r="E6410" s="6" t="s">
        <v>24</v>
      </c>
      <c r="F6410" s="6" t="n">
        <v>2</v>
      </c>
      <c r="G6410" s="10" t="n">
        <v>1548</v>
      </c>
      <c r="H6410" s="10" t="n">
        <f aca="false">F6410*G6410</f>
        <v>3096</v>
      </c>
      <c r="I6410" s="6" t="s">
        <v>5148</v>
      </c>
    </row>
    <row r="6411" customFormat="false" ht="15" hidden="false" customHeight="false" outlineLevel="0" collapsed="false">
      <c r="A6411" s="6" t="s">
        <v>11635</v>
      </c>
      <c r="B6411" s="6" t="s">
        <v>4833</v>
      </c>
      <c r="C6411" s="26" t="n">
        <v>46217</v>
      </c>
      <c r="D6411" s="6" t="s">
        <v>5466</v>
      </c>
      <c r="E6411" s="6" t="s">
        <v>21</v>
      </c>
      <c r="F6411" s="6" t="n">
        <v>3</v>
      </c>
      <c r="G6411" s="10" t="n">
        <v>1965</v>
      </c>
      <c r="H6411" s="10" t="n">
        <f aca="false">F6411*G6411</f>
        <v>5895</v>
      </c>
      <c r="I6411" s="6" t="s">
        <v>5125</v>
      </c>
    </row>
    <row r="6412" customFormat="false" ht="15" hidden="false" customHeight="false" outlineLevel="0" collapsed="false">
      <c r="A6412" s="6" t="s">
        <v>11636</v>
      </c>
      <c r="B6412" s="6" t="s">
        <v>543</v>
      </c>
      <c r="C6412" s="26" t="n">
        <v>46217</v>
      </c>
      <c r="D6412" s="6" t="s">
        <v>5466</v>
      </c>
      <c r="E6412" s="6" t="s">
        <v>21</v>
      </c>
      <c r="F6412" s="6" t="n">
        <v>1</v>
      </c>
      <c r="G6412" s="10" t="n">
        <v>1965</v>
      </c>
      <c r="H6412" s="10" t="n">
        <f aca="false">F6412*G6412</f>
        <v>1965</v>
      </c>
      <c r="I6412" s="6" t="s">
        <v>5125</v>
      </c>
    </row>
    <row r="6413" customFormat="false" ht="15" hidden="false" customHeight="false" outlineLevel="0" collapsed="false">
      <c r="A6413" s="6" t="s">
        <v>11637</v>
      </c>
      <c r="B6413" s="6" t="s">
        <v>2425</v>
      </c>
      <c r="C6413" s="26" t="n">
        <v>46217</v>
      </c>
      <c r="D6413" s="6" t="s">
        <v>5158</v>
      </c>
      <c r="E6413" s="6" t="s">
        <v>24</v>
      </c>
      <c r="F6413" s="6" t="n">
        <v>2</v>
      </c>
      <c r="G6413" s="10" t="n">
        <v>433</v>
      </c>
      <c r="H6413" s="10" t="n">
        <f aca="false">F6413*G6413</f>
        <v>866</v>
      </c>
      <c r="I6413" s="6" t="s">
        <v>5148</v>
      </c>
    </row>
    <row r="6414" customFormat="false" ht="15" hidden="false" customHeight="false" outlineLevel="0" collapsed="false">
      <c r="A6414" s="6" t="s">
        <v>11638</v>
      </c>
      <c r="B6414" s="6" t="s">
        <v>1155</v>
      </c>
      <c r="C6414" s="26" t="n">
        <v>46217</v>
      </c>
      <c r="D6414" s="6" t="s">
        <v>5261</v>
      </c>
      <c r="E6414" s="6" t="s">
        <v>23</v>
      </c>
      <c r="F6414" s="6" t="n">
        <v>1</v>
      </c>
      <c r="G6414" s="10" t="n">
        <v>174</v>
      </c>
      <c r="H6414" s="10" t="n">
        <f aca="false">F6414*G6414</f>
        <v>174</v>
      </c>
      <c r="I6414" s="6" t="s">
        <v>5122</v>
      </c>
    </row>
    <row r="6415" customFormat="false" ht="15" hidden="false" customHeight="false" outlineLevel="0" collapsed="false">
      <c r="A6415" s="6" t="s">
        <v>11639</v>
      </c>
      <c r="B6415" s="6" t="s">
        <v>2477</v>
      </c>
      <c r="C6415" s="26" t="n">
        <v>46217</v>
      </c>
      <c r="D6415" s="6" t="s">
        <v>5242</v>
      </c>
      <c r="E6415" s="6" t="s">
        <v>23</v>
      </c>
      <c r="F6415" s="6" t="n">
        <v>5</v>
      </c>
      <c r="G6415" s="10" t="n">
        <v>354</v>
      </c>
      <c r="H6415" s="10" t="n">
        <f aca="false">F6415*G6415</f>
        <v>1770</v>
      </c>
      <c r="I6415" s="6" t="s">
        <v>5125</v>
      </c>
    </row>
    <row r="6416" customFormat="false" ht="15" hidden="false" customHeight="false" outlineLevel="0" collapsed="false">
      <c r="A6416" s="6" t="s">
        <v>11640</v>
      </c>
      <c r="B6416" s="6" t="s">
        <v>5035</v>
      </c>
      <c r="C6416" s="26" t="n">
        <v>46217</v>
      </c>
      <c r="D6416" s="6" t="s">
        <v>5180</v>
      </c>
      <c r="E6416" s="6" t="s">
        <v>24</v>
      </c>
      <c r="F6416" s="6" t="n">
        <v>3</v>
      </c>
      <c r="G6416" s="10" t="n">
        <v>1987</v>
      </c>
      <c r="H6416" s="10" t="n">
        <f aca="false">F6416*G6416</f>
        <v>5961</v>
      </c>
      <c r="I6416" s="6" t="s">
        <v>5148</v>
      </c>
    </row>
    <row r="6417" customFormat="false" ht="15" hidden="false" customHeight="false" outlineLevel="0" collapsed="false">
      <c r="A6417" s="6" t="s">
        <v>11641</v>
      </c>
      <c r="B6417" s="6" t="s">
        <v>3191</v>
      </c>
      <c r="C6417" s="26" t="n">
        <v>46217</v>
      </c>
      <c r="D6417" s="6" t="s">
        <v>5121</v>
      </c>
      <c r="E6417" s="6" t="s">
        <v>22</v>
      </c>
      <c r="F6417" s="6" t="n">
        <v>2</v>
      </c>
      <c r="G6417" s="10" t="n">
        <v>977</v>
      </c>
      <c r="H6417" s="10" t="n">
        <f aca="false">F6417*G6417</f>
        <v>1954</v>
      </c>
      <c r="I6417" s="6" t="s">
        <v>5130</v>
      </c>
    </row>
    <row r="6418" customFormat="false" ht="15" hidden="false" customHeight="false" outlineLevel="0" collapsed="false">
      <c r="A6418" s="6" t="s">
        <v>11642</v>
      </c>
      <c r="B6418" s="6" t="s">
        <v>4847</v>
      </c>
      <c r="C6418" s="26" t="n">
        <v>46217</v>
      </c>
      <c r="D6418" s="6" t="s">
        <v>5167</v>
      </c>
      <c r="E6418" s="6" t="s">
        <v>22</v>
      </c>
      <c r="F6418" s="6" t="n">
        <v>1</v>
      </c>
      <c r="G6418" s="10" t="n">
        <v>782</v>
      </c>
      <c r="H6418" s="10" t="n">
        <f aca="false">F6418*G6418</f>
        <v>782</v>
      </c>
      <c r="I6418" s="6" t="s">
        <v>5122</v>
      </c>
    </row>
    <row r="6419" customFormat="false" ht="15" hidden="false" customHeight="false" outlineLevel="0" collapsed="false">
      <c r="A6419" s="6" t="s">
        <v>11643</v>
      </c>
      <c r="B6419" s="6" t="s">
        <v>408</v>
      </c>
      <c r="C6419" s="26" t="n">
        <v>46217</v>
      </c>
      <c r="D6419" s="6" t="s">
        <v>5200</v>
      </c>
      <c r="E6419" s="6" t="s">
        <v>24</v>
      </c>
      <c r="F6419" s="6" t="n">
        <v>3</v>
      </c>
      <c r="G6419" s="10" t="n">
        <v>763</v>
      </c>
      <c r="H6419" s="10" t="n">
        <f aca="false">F6419*G6419</f>
        <v>2289</v>
      </c>
      <c r="I6419" s="6" t="s">
        <v>5122</v>
      </c>
    </row>
    <row r="6420" customFormat="false" ht="15" hidden="false" customHeight="false" outlineLevel="0" collapsed="false">
      <c r="A6420" s="6" t="s">
        <v>11644</v>
      </c>
      <c r="B6420" s="6" t="s">
        <v>1097</v>
      </c>
      <c r="C6420" s="26" t="n">
        <v>46217</v>
      </c>
      <c r="D6420" s="6" t="s">
        <v>5167</v>
      </c>
      <c r="E6420" s="6" t="s">
        <v>22</v>
      </c>
      <c r="F6420" s="6" t="n">
        <v>2</v>
      </c>
      <c r="G6420" s="10" t="n">
        <v>782</v>
      </c>
      <c r="H6420" s="10" t="n">
        <f aca="false">F6420*G6420</f>
        <v>1564</v>
      </c>
      <c r="I6420" s="6" t="s">
        <v>5125</v>
      </c>
    </row>
    <row r="6421" customFormat="false" ht="15" hidden="false" customHeight="false" outlineLevel="0" collapsed="false">
      <c r="A6421" s="6" t="s">
        <v>11645</v>
      </c>
      <c r="B6421" s="6" t="s">
        <v>4659</v>
      </c>
      <c r="C6421" s="26" t="n">
        <v>46217</v>
      </c>
      <c r="D6421" s="6" t="s">
        <v>5167</v>
      </c>
      <c r="E6421" s="6" t="s">
        <v>22</v>
      </c>
      <c r="F6421" s="6" t="n">
        <v>2</v>
      </c>
      <c r="G6421" s="10" t="n">
        <v>782</v>
      </c>
      <c r="H6421" s="10" t="n">
        <f aca="false">F6421*G6421</f>
        <v>1564</v>
      </c>
      <c r="I6421" s="6" t="s">
        <v>5122</v>
      </c>
    </row>
    <row r="6422" customFormat="false" ht="15" hidden="false" customHeight="false" outlineLevel="0" collapsed="false">
      <c r="A6422" s="6" t="s">
        <v>11646</v>
      </c>
      <c r="B6422" s="6" t="s">
        <v>2581</v>
      </c>
      <c r="C6422" s="26" t="n">
        <v>46217</v>
      </c>
      <c r="D6422" s="6" t="s">
        <v>5353</v>
      </c>
      <c r="E6422" s="6" t="s">
        <v>24</v>
      </c>
      <c r="F6422" s="6" t="n">
        <v>1</v>
      </c>
      <c r="G6422" s="10" t="n">
        <v>1467</v>
      </c>
      <c r="H6422" s="10" t="n">
        <f aca="false">F6422*G6422</f>
        <v>1467</v>
      </c>
      <c r="I6422" s="6" t="s">
        <v>5148</v>
      </c>
    </row>
    <row r="6423" customFormat="false" ht="15" hidden="false" customHeight="false" outlineLevel="0" collapsed="false">
      <c r="A6423" s="6" t="s">
        <v>11647</v>
      </c>
      <c r="B6423" s="6" t="s">
        <v>733</v>
      </c>
      <c r="C6423" s="26" t="n">
        <v>46217</v>
      </c>
      <c r="D6423" s="6" t="s">
        <v>5171</v>
      </c>
      <c r="E6423" s="6" t="s">
        <v>23</v>
      </c>
      <c r="F6423" s="6" t="n">
        <v>1</v>
      </c>
      <c r="G6423" s="10" t="n">
        <v>660</v>
      </c>
      <c r="H6423" s="10" t="n">
        <f aca="false">F6423*G6423</f>
        <v>660</v>
      </c>
      <c r="I6423" s="6" t="s">
        <v>5122</v>
      </c>
    </row>
    <row r="6424" customFormat="false" ht="15" hidden="false" customHeight="false" outlineLevel="0" collapsed="false">
      <c r="A6424" s="6" t="s">
        <v>11648</v>
      </c>
      <c r="B6424" s="6" t="s">
        <v>1201</v>
      </c>
      <c r="C6424" s="26" t="n">
        <v>46217</v>
      </c>
      <c r="D6424" s="6" t="s">
        <v>5167</v>
      </c>
      <c r="E6424" s="6" t="s">
        <v>22</v>
      </c>
      <c r="F6424" s="6" t="n">
        <v>1</v>
      </c>
      <c r="G6424" s="10" t="n">
        <v>703</v>
      </c>
      <c r="H6424" s="10" t="n">
        <f aca="false">F6424*G6424</f>
        <v>703</v>
      </c>
      <c r="I6424" s="6" t="s">
        <v>5122</v>
      </c>
    </row>
    <row r="6425" customFormat="false" ht="15" hidden="false" customHeight="false" outlineLevel="0" collapsed="false">
      <c r="A6425" s="6" t="s">
        <v>11649</v>
      </c>
      <c r="B6425" s="6" t="s">
        <v>1053</v>
      </c>
      <c r="C6425" s="26" t="n">
        <v>46217</v>
      </c>
      <c r="D6425" s="6" t="s">
        <v>5163</v>
      </c>
      <c r="E6425" s="6" t="s">
        <v>23</v>
      </c>
      <c r="F6425" s="6" t="n">
        <v>2</v>
      </c>
      <c r="G6425" s="10" t="n">
        <v>705</v>
      </c>
      <c r="H6425" s="10" t="n">
        <f aca="false">F6425*G6425</f>
        <v>1410</v>
      </c>
      <c r="I6425" s="6" t="s">
        <v>5122</v>
      </c>
    </row>
    <row r="6426" customFormat="false" ht="15" hidden="false" customHeight="false" outlineLevel="0" collapsed="false">
      <c r="A6426" s="6" t="s">
        <v>11650</v>
      </c>
      <c r="B6426" s="6" t="s">
        <v>299</v>
      </c>
      <c r="C6426" s="26" t="n">
        <v>46217</v>
      </c>
      <c r="D6426" s="6" t="s">
        <v>5121</v>
      </c>
      <c r="E6426" s="6" t="s">
        <v>22</v>
      </c>
      <c r="F6426" s="6" t="n">
        <v>1</v>
      </c>
      <c r="G6426" s="10" t="n">
        <v>977</v>
      </c>
      <c r="H6426" s="10" t="n">
        <f aca="false">F6426*G6426</f>
        <v>977</v>
      </c>
      <c r="I6426" s="6" t="s">
        <v>5148</v>
      </c>
    </row>
    <row r="6427" customFormat="false" ht="15" hidden="false" customHeight="false" outlineLevel="0" collapsed="false">
      <c r="A6427" s="6" t="s">
        <v>11651</v>
      </c>
      <c r="B6427" s="6" t="s">
        <v>1513</v>
      </c>
      <c r="C6427" s="26" t="n">
        <v>46217</v>
      </c>
      <c r="D6427" s="6" t="s">
        <v>5235</v>
      </c>
      <c r="E6427" s="6" t="s">
        <v>21</v>
      </c>
      <c r="F6427" s="6" t="n">
        <v>2</v>
      </c>
      <c r="G6427" s="10" t="n">
        <v>1586</v>
      </c>
      <c r="H6427" s="10" t="n">
        <f aca="false">F6427*G6427</f>
        <v>3172</v>
      </c>
      <c r="I6427" s="6" t="s">
        <v>5125</v>
      </c>
    </row>
    <row r="6428" customFormat="false" ht="15" hidden="false" customHeight="false" outlineLevel="0" collapsed="false">
      <c r="A6428" s="6" t="s">
        <v>11652</v>
      </c>
      <c r="B6428" s="6" t="s">
        <v>1401</v>
      </c>
      <c r="C6428" s="26" t="n">
        <v>46217</v>
      </c>
      <c r="D6428" s="6" t="s">
        <v>5160</v>
      </c>
      <c r="E6428" s="6" t="s">
        <v>21</v>
      </c>
      <c r="F6428" s="6" t="n">
        <v>2</v>
      </c>
      <c r="G6428" s="10" t="n">
        <v>2751</v>
      </c>
      <c r="H6428" s="10" t="n">
        <f aca="false">F6428*G6428</f>
        <v>5502</v>
      </c>
      <c r="I6428" s="6" t="s">
        <v>5125</v>
      </c>
    </row>
    <row r="6429" customFormat="false" ht="15" hidden="false" customHeight="false" outlineLevel="0" collapsed="false">
      <c r="A6429" s="6" t="s">
        <v>11653</v>
      </c>
      <c r="B6429" s="6" t="s">
        <v>2691</v>
      </c>
      <c r="C6429" s="26" t="n">
        <v>46217</v>
      </c>
      <c r="D6429" s="6" t="s">
        <v>5171</v>
      </c>
      <c r="E6429" s="6" t="s">
        <v>23</v>
      </c>
      <c r="F6429" s="6" t="n">
        <v>5</v>
      </c>
      <c r="G6429" s="10" t="n">
        <v>734</v>
      </c>
      <c r="H6429" s="10" t="n">
        <f aca="false">F6429*G6429</f>
        <v>3670</v>
      </c>
      <c r="I6429" s="6" t="s">
        <v>5130</v>
      </c>
    </row>
    <row r="6430" customFormat="false" ht="15" hidden="false" customHeight="false" outlineLevel="0" collapsed="false">
      <c r="A6430" s="6" t="s">
        <v>11654</v>
      </c>
      <c r="B6430" s="6" t="s">
        <v>5087</v>
      </c>
      <c r="C6430" s="26" t="n">
        <v>46217</v>
      </c>
      <c r="D6430" s="6" t="s">
        <v>5410</v>
      </c>
      <c r="E6430" s="6" t="s">
        <v>20</v>
      </c>
      <c r="F6430" s="6" t="n">
        <v>1</v>
      </c>
      <c r="G6430" s="10" t="n">
        <v>2548</v>
      </c>
      <c r="H6430" s="10" t="n">
        <f aca="false">F6430*G6430</f>
        <v>2548</v>
      </c>
      <c r="I6430" s="6" t="s">
        <v>5122</v>
      </c>
    </row>
    <row r="6431" customFormat="false" ht="15" hidden="false" customHeight="false" outlineLevel="0" collapsed="false">
      <c r="A6431" s="6" t="s">
        <v>11655</v>
      </c>
      <c r="B6431" s="6" t="s">
        <v>2835</v>
      </c>
      <c r="C6431" s="26" t="n">
        <v>46217</v>
      </c>
      <c r="D6431" s="6" t="s">
        <v>5167</v>
      </c>
      <c r="E6431" s="6" t="s">
        <v>22</v>
      </c>
      <c r="F6431" s="6" t="n">
        <v>2</v>
      </c>
      <c r="G6431" s="10" t="n">
        <v>703</v>
      </c>
      <c r="H6431" s="10" t="n">
        <f aca="false">F6431*G6431</f>
        <v>1406</v>
      </c>
      <c r="I6431" s="6" t="s">
        <v>5130</v>
      </c>
    </row>
    <row r="6432" customFormat="false" ht="15" hidden="false" customHeight="false" outlineLevel="0" collapsed="false">
      <c r="A6432" s="6" t="s">
        <v>11656</v>
      </c>
      <c r="B6432" s="6" t="s">
        <v>1255</v>
      </c>
      <c r="C6432" s="26" t="n">
        <v>46217</v>
      </c>
      <c r="D6432" s="6" t="s">
        <v>5237</v>
      </c>
      <c r="E6432" s="6" t="s">
        <v>24</v>
      </c>
      <c r="F6432" s="6" t="n">
        <v>1</v>
      </c>
      <c r="G6432" s="10" t="n">
        <v>1650</v>
      </c>
      <c r="H6432" s="10" t="n">
        <f aca="false">F6432*G6432</f>
        <v>1650</v>
      </c>
      <c r="I6432" s="6" t="s">
        <v>5122</v>
      </c>
    </row>
    <row r="6433" customFormat="false" ht="15" hidden="false" customHeight="false" outlineLevel="0" collapsed="false">
      <c r="A6433" s="6" t="s">
        <v>11657</v>
      </c>
      <c r="B6433" s="6" t="s">
        <v>2131</v>
      </c>
      <c r="C6433" s="26" t="n">
        <v>46217</v>
      </c>
      <c r="D6433" s="6" t="s">
        <v>5269</v>
      </c>
      <c r="E6433" s="6" t="s">
        <v>22</v>
      </c>
      <c r="F6433" s="6" t="n">
        <v>3</v>
      </c>
      <c r="G6433" s="10" t="n">
        <v>1271</v>
      </c>
      <c r="H6433" s="10" t="n">
        <f aca="false">F6433*G6433</f>
        <v>3813</v>
      </c>
      <c r="I6433" s="6" t="s">
        <v>5148</v>
      </c>
    </row>
    <row r="6434" customFormat="false" ht="15" hidden="false" customHeight="false" outlineLevel="0" collapsed="false">
      <c r="A6434" s="6" t="s">
        <v>11658</v>
      </c>
      <c r="B6434" s="6" t="s">
        <v>2863</v>
      </c>
      <c r="C6434" s="26" t="n">
        <v>46217</v>
      </c>
      <c r="D6434" s="6" t="s">
        <v>5357</v>
      </c>
      <c r="E6434" s="6" t="s">
        <v>23</v>
      </c>
      <c r="F6434" s="6" t="n">
        <v>1</v>
      </c>
      <c r="G6434" s="10" t="n">
        <v>481</v>
      </c>
      <c r="H6434" s="10" t="n">
        <f aca="false">F6434*G6434</f>
        <v>481</v>
      </c>
      <c r="I6434" s="6" t="s">
        <v>5122</v>
      </c>
    </row>
    <row r="6435" customFormat="false" ht="15" hidden="false" customHeight="false" outlineLevel="0" collapsed="false">
      <c r="A6435" s="6" t="s">
        <v>11659</v>
      </c>
      <c r="B6435" s="6" t="s">
        <v>1211</v>
      </c>
      <c r="C6435" s="26" t="n">
        <v>46217</v>
      </c>
      <c r="D6435" s="6" t="s">
        <v>5171</v>
      </c>
      <c r="E6435" s="6" t="s">
        <v>23</v>
      </c>
      <c r="F6435" s="6" t="n">
        <v>2</v>
      </c>
      <c r="G6435" s="10" t="n">
        <v>734</v>
      </c>
      <c r="H6435" s="10" t="n">
        <f aca="false">F6435*G6435</f>
        <v>1468</v>
      </c>
      <c r="I6435" s="6" t="s">
        <v>5125</v>
      </c>
    </row>
    <row r="6436" customFormat="false" ht="15" hidden="false" customHeight="false" outlineLevel="0" collapsed="false">
      <c r="A6436" s="6" t="s">
        <v>11660</v>
      </c>
      <c r="B6436" s="6" t="s">
        <v>3683</v>
      </c>
      <c r="C6436" s="26" t="n">
        <v>46217</v>
      </c>
      <c r="D6436" s="6" t="s">
        <v>5357</v>
      </c>
      <c r="E6436" s="6" t="s">
        <v>23</v>
      </c>
      <c r="F6436" s="6" t="n">
        <v>4</v>
      </c>
      <c r="G6436" s="10" t="n">
        <v>534</v>
      </c>
      <c r="H6436" s="10" t="n">
        <f aca="false">F6436*G6436</f>
        <v>2136</v>
      </c>
      <c r="I6436" s="6" t="s">
        <v>5125</v>
      </c>
    </row>
    <row r="6437" customFormat="false" ht="15" hidden="false" customHeight="false" outlineLevel="0" collapsed="false">
      <c r="A6437" s="6" t="s">
        <v>11661</v>
      </c>
      <c r="B6437" s="6" t="s">
        <v>4209</v>
      </c>
      <c r="C6437" s="26" t="n">
        <v>46217</v>
      </c>
      <c r="D6437" s="6" t="s">
        <v>5318</v>
      </c>
      <c r="E6437" s="6" t="s">
        <v>20</v>
      </c>
      <c r="F6437" s="6" t="n">
        <v>1</v>
      </c>
      <c r="G6437" s="10" t="n">
        <v>1376</v>
      </c>
      <c r="H6437" s="10" t="n">
        <f aca="false">F6437*G6437</f>
        <v>1376</v>
      </c>
      <c r="I6437" s="6" t="s">
        <v>5148</v>
      </c>
    </row>
    <row r="6438" customFormat="false" ht="15" hidden="false" customHeight="false" outlineLevel="0" collapsed="false">
      <c r="A6438" s="6" t="s">
        <v>11662</v>
      </c>
      <c r="B6438" s="6" t="s">
        <v>1439</v>
      </c>
      <c r="C6438" s="26" t="n">
        <v>46217</v>
      </c>
      <c r="D6438" s="6" t="s">
        <v>5143</v>
      </c>
      <c r="E6438" s="6" t="s">
        <v>21</v>
      </c>
      <c r="F6438" s="6" t="n">
        <v>1</v>
      </c>
      <c r="G6438" s="10" t="n">
        <v>1179</v>
      </c>
      <c r="H6438" s="10" t="n">
        <f aca="false">F6438*G6438</f>
        <v>1179</v>
      </c>
      <c r="I6438" s="6" t="s">
        <v>5130</v>
      </c>
    </row>
    <row r="6439" customFormat="false" ht="15" hidden="false" customHeight="false" outlineLevel="0" collapsed="false">
      <c r="A6439" s="6" t="s">
        <v>11663</v>
      </c>
      <c r="B6439" s="6" t="s">
        <v>641</v>
      </c>
      <c r="C6439" s="26" t="n">
        <v>46217</v>
      </c>
      <c r="D6439" s="6" t="s">
        <v>5214</v>
      </c>
      <c r="E6439" s="6" t="s">
        <v>20</v>
      </c>
      <c r="F6439" s="6" t="n">
        <v>1</v>
      </c>
      <c r="G6439" s="10" t="n">
        <v>2039</v>
      </c>
      <c r="H6439" s="10" t="n">
        <f aca="false">F6439*G6439</f>
        <v>2039</v>
      </c>
      <c r="I6439" s="6" t="s">
        <v>5130</v>
      </c>
    </row>
    <row r="6440" customFormat="false" ht="15" hidden="false" customHeight="false" outlineLevel="0" collapsed="false">
      <c r="A6440" s="6" t="s">
        <v>11664</v>
      </c>
      <c r="B6440" s="6" t="s">
        <v>721</v>
      </c>
      <c r="C6440" s="26" t="n">
        <v>46218</v>
      </c>
      <c r="D6440" s="6" t="s">
        <v>5707</v>
      </c>
      <c r="E6440" s="6" t="s">
        <v>22</v>
      </c>
      <c r="F6440" s="6" t="n">
        <v>1</v>
      </c>
      <c r="G6440" s="10" t="n">
        <v>2322</v>
      </c>
      <c r="H6440" s="10" t="n">
        <f aca="false">F6440*G6440</f>
        <v>2322</v>
      </c>
      <c r="I6440" s="6" t="s">
        <v>5122</v>
      </c>
    </row>
    <row r="6441" customFormat="false" ht="15" hidden="false" customHeight="false" outlineLevel="0" collapsed="false">
      <c r="A6441" s="6" t="s">
        <v>11665</v>
      </c>
      <c r="B6441" s="6" t="s">
        <v>1189</v>
      </c>
      <c r="C6441" s="26" t="n">
        <v>46218</v>
      </c>
      <c r="D6441" s="6" t="s">
        <v>5326</v>
      </c>
      <c r="E6441" s="6" t="s">
        <v>22</v>
      </c>
      <c r="F6441" s="6" t="n">
        <v>2</v>
      </c>
      <c r="G6441" s="10" t="n">
        <v>1466</v>
      </c>
      <c r="H6441" s="10" t="n">
        <f aca="false">F6441*G6441</f>
        <v>2932</v>
      </c>
      <c r="I6441" s="6" t="s">
        <v>5122</v>
      </c>
    </row>
    <row r="6442" customFormat="false" ht="15" hidden="false" customHeight="false" outlineLevel="0" collapsed="false">
      <c r="A6442" s="6" t="s">
        <v>11666</v>
      </c>
      <c r="B6442" s="6" t="s">
        <v>4851</v>
      </c>
      <c r="C6442" s="26" t="n">
        <v>46218</v>
      </c>
      <c r="D6442" s="6" t="s">
        <v>5345</v>
      </c>
      <c r="E6442" s="6" t="s">
        <v>23</v>
      </c>
      <c r="F6442" s="6" t="n">
        <v>2</v>
      </c>
      <c r="G6442" s="10" t="n">
        <v>392</v>
      </c>
      <c r="H6442" s="10" t="n">
        <f aca="false">F6442*G6442</f>
        <v>784</v>
      </c>
      <c r="I6442" s="6" t="s">
        <v>5125</v>
      </c>
    </row>
    <row r="6443" customFormat="false" ht="15" hidden="false" customHeight="false" outlineLevel="0" collapsed="false">
      <c r="A6443" s="6" t="s">
        <v>11667</v>
      </c>
      <c r="B6443" s="6" t="s">
        <v>879</v>
      </c>
      <c r="C6443" s="26" t="n">
        <v>46218</v>
      </c>
      <c r="D6443" s="6" t="s">
        <v>5357</v>
      </c>
      <c r="E6443" s="6" t="s">
        <v>23</v>
      </c>
      <c r="F6443" s="6" t="n">
        <v>2</v>
      </c>
      <c r="G6443" s="10" t="n">
        <v>534</v>
      </c>
      <c r="H6443" s="10" t="n">
        <f aca="false">F6443*G6443</f>
        <v>1068</v>
      </c>
      <c r="I6443" s="6" t="s">
        <v>5122</v>
      </c>
    </row>
    <row r="6444" customFormat="false" ht="15" hidden="false" customHeight="false" outlineLevel="0" collapsed="false">
      <c r="A6444" s="6" t="s">
        <v>11668</v>
      </c>
      <c r="B6444" s="6" t="s">
        <v>3453</v>
      </c>
      <c r="C6444" s="26" t="n">
        <v>46218</v>
      </c>
      <c r="D6444" s="6" t="s">
        <v>5165</v>
      </c>
      <c r="E6444" s="6" t="s">
        <v>22</v>
      </c>
      <c r="F6444" s="6" t="n">
        <v>1</v>
      </c>
      <c r="G6444" s="10" t="n">
        <v>977</v>
      </c>
      <c r="H6444" s="10" t="n">
        <f aca="false">F6444*G6444</f>
        <v>977</v>
      </c>
      <c r="I6444" s="6" t="s">
        <v>5148</v>
      </c>
    </row>
    <row r="6445" customFormat="false" ht="15" hidden="false" customHeight="false" outlineLevel="0" collapsed="false">
      <c r="A6445" s="6" t="s">
        <v>11669</v>
      </c>
      <c r="B6445" s="6" t="s">
        <v>999</v>
      </c>
      <c r="C6445" s="26" t="n">
        <v>46218</v>
      </c>
      <c r="D6445" s="6" t="s">
        <v>5132</v>
      </c>
      <c r="E6445" s="6" t="s">
        <v>23</v>
      </c>
      <c r="F6445" s="6" t="n">
        <v>2</v>
      </c>
      <c r="G6445" s="10" t="n">
        <v>325</v>
      </c>
      <c r="H6445" s="10" t="n">
        <f aca="false">F6445*G6445</f>
        <v>650</v>
      </c>
      <c r="I6445" s="6" t="s">
        <v>5130</v>
      </c>
    </row>
    <row r="6446" customFormat="false" ht="15" hidden="false" customHeight="false" outlineLevel="0" collapsed="false">
      <c r="A6446" s="6" t="s">
        <v>11670</v>
      </c>
      <c r="B6446" s="6" t="s">
        <v>2861</v>
      </c>
      <c r="C6446" s="26" t="n">
        <v>46218</v>
      </c>
      <c r="D6446" s="6" t="s">
        <v>5259</v>
      </c>
      <c r="E6446" s="6" t="s">
        <v>22</v>
      </c>
      <c r="F6446" s="6" t="n">
        <v>3</v>
      </c>
      <c r="G6446" s="10" t="n">
        <v>1564</v>
      </c>
      <c r="H6446" s="10" t="n">
        <f aca="false">F6446*G6446</f>
        <v>4692</v>
      </c>
      <c r="I6446" s="6" t="s">
        <v>5130</v>
      </c>
    </row>
    <row r="6447" customFormat="false" ht="15" hidden="false" customHeight="false" outlineLevel="0" collapsed="false">
      <c r="A6447" s="6" t="s">
        <v>11671</v>
      </c>
      <c r="B6447" s="6" t="s">
        <v>3495</v>
      </c>
      <c r="C6447" s="26" t="n">
        <v>46218</v>
      </c>
      <c r="D6447" s="6" t="s">
        <v>5163</v>
      </c>
      <c r="E6447" s="6" t="s">
        <v>23</v>
      </c>
      <c r="F6447" s="6" t="n">
        <v>3</v>
      </c>
      <c r="G6447" s="10" t="n">
        <v>783</v>
      </c>
      <c r="H6447" s="10" t="n">
        <f aca="false">F6447*G6447</f>
        <v>2349</v>
      </c>
      <c r="I6447" s="6" t="s">
        <v>5122</v>
      </c>
    </row>
    <row r="6448" customFormat="false" ht="15" hidden="false" customHeight="false" outlineLevel="0" collapsed="false">
      <c r="A6448" s="6" t="s">
        <v>11672</v>
      </c>
      <c r="B6448" s="6" t="s">
        <v>973</v>
      </c>
      <c r="C6448" s="26" t="n">
        <v>46218</v>
      </c>
      <c r="D6448" s="6" t="s">
        <v>5143</v>
      </c>
      <c r="E6448" s="6" t="s">
        <v>21</v>
      </c>
      <c r="F6448" s="6" t="n">
        <v>1</v>
      </c>
      <c r="G6448" s="10" t="n">
        <v>1179</v>
      </c>
      <c r="H6448" s="10" t="n">
        <f aca="false">F6448*G6448</f>
        <v>1179</v>
      </c>
      <c r="I6448" s="6" t="s">
        <v>5148</v>
      </c>
    </row>
    <row r="6449" customFormat="false" ht="15" hidden="false" customHeight="false" outlineLevel="0" collapsed="false">
      <c r="A6449" s="6" t="s">
        <v>11673</v>
      </c>
      <c r="B6449" s="6" t="s">
        <v>821</v>
      </c>
      <c r="C6449" s="26" t="n">
        <v>46218</v>
      </c>
      <c r="D6449" s="6" t="s">
        <v>5188</v>
      </c>
      <c r="E6449" s="6" t="s">
        <v>24</v>
      </c>
      <c r="F6449" s="6" t="n">
        <v>4</v>
      </c>
      <c r="G6449" s="10" t="n">
        <v>1018</v>
      </c>
      <c r="H6449" s="10" t="n">
        <f aca="false">F6449*G6449</f>
        <v>4072</v>
      </c>
      <c r="I6449" s="6" t="s">
        <v>5173</v>
      </c>
    </row>
    <row r="6450" customFormat="false" ht="15" hidden="false" customHeight="false" outlineLevel="0" collapsed="false">
      <c r="A6450" s="6" t="s">
        <v>11674</v>
      </c>
      <c r="B6450" s="6" t="s">
        <v>2841</v>
      </c>
      <c r="C6450" s="26" t="n">
        <v>46218</v>
      </c>
      <c r="D6450" s="6" t="s">
        <v>5216</v>
      </c>
      <c r="E6450" s="6" t="s">
        <v>23</v>
      </c>
      <c r="F6450" s="6" t="n">
        <v>4</v>
      </c>
      <c r="G6450" s="10" t="n">
        <v>587</v>
      </c>
      <c r="H6450" s="10" t="n">
        <f aca="false">F6450*G6450</f>
        <v>2348</v>
      </c>
      <c r="I6450" s="6" t="s">
        <v>5148</v>
      </c>
    </row>
    <row r="6451" customFormat="false" ht="15" hidden="false" customHeight="false" outlineLevel="0" collapsed="false">
      <c r="A6451" s="6" t="s">
        <v>11675</v>
      </c>
      <c r="B6451" s="6" t="s">
        <v>1527</v>
      </c>
      <c r="C6451" s="26" t="n">
        <v>46218</v>
      </c>
      <c r="D6451" s="6" t="s">
        <v>5345</v>
      </c>
      <c r="E6451" s="6" t="s">
        <v>23</v>
      </c>
      <c r="F6451" s="6" t="n">
        <v>3</v>
      </c>
      <c r="G6451" s="10" t="n">
        <v>436</v>
      </c>
      <c r="H6451" s="10" t="n">
        <f aca="false">F6451*G6451</f>
        <v>1308</v>
      </c>
      <c r="I6451" s="6" t="s">
        <v>5122</v>
      </c>
    </row>
    <row r="6452" customFormat="false" ht="15" hidden="false" customHeight="false" outlineLevel="0" collapsed="false">
      <c r="A6452" s="6" t="s">
        <v>11676</v>
      </c>
      <c r="B6452" s="6" t="s">
        <v>4219</v>
      </c>
      <c r="C6452" s="26" t="n">
        <v>46218</v>
      </c>
      <c r="D6452" s="6" t="s">
        <v>5687</v>
      </c>
      <c r="E6452" s="6" t="s">
        <v>20</v>
      </c>
      <c r="F6452" s="6" t="n">
        <v>1</v>
      </c>
      <c r="G6452" s="10" t="n">
        <v>2039</v>
      </c>
      <c r="H6452" s="10" t="n">
        <f aca="false">F6452*G6452</f>
        <v>2039</v>
      </c>
      <c r="I6452" s="6" t="s">
        <v>5122</v>
      </c>
    </row>
    <row r="6453" customFormat="false" ht="15" hidden="false" customHeight="false" outlineLevel="0" collapsed="false">
      <c r="A6453" s="6" t="s">
        <v>11677</v>
      </c>
      <c r="B6453" s="6" t="s">
        <v>154</v>
      </c>
      <c r="C6453" s="26" t="n">
        <v>46218</v>
      </c>
      <c r="D6453" s="6" t="s">
        <v>5163</v>
      </c>
      <c r="E6453" s="6" t="s">
        <v>23</v>
      </c>
      <c r="F6453" s="6" t="n">
        <v>4</v>
      </c>
      <c r="G6453" s="10" t="n">
        <v>783</v>
      </c>
      <c r="H6453" s="10" t="n">
        <f aca="false">F6453*G6453</f>
        <v>3132</v>
      </c>
      <c r="I6453" s="6" t="s">
        <v>5122</v>
      </c>
    </row>
    <row r="6454" customFormat="false" ht="15" hidden="false" customHeight="false" outlineLevel="0" collapsed="false">
      <c r="A6454" s="6" t="s">
        <v>11678</v>
      </c>
      <c r="B6454" s="6" t="s">
        <v>3773</v>
      </c>
      <c r="C6454" s="26" t="n">
        <v>46218</v>
      </c>
      <c r="D6454" s="6" t="s">
        <v>5154</v>
      </c>
      <c r="E6454" s="6" t="s">
        <v>21</v>
      </c>
      <c r="F6454" s="6" t="n">
        <v>1</v>
      </c>
      <c r="G6454" s="10" t="n">
        <v>785</v>
      </c>
      <c r="H6454" s="10" t="n">
        <f aca="false">F6454*G6454</f>
        <v>785</v>
      </c>
      <c r="I6454" s="6" t="s">
        <v>5122</v>
      </c>
    </row>
    <row r="6455" customFormat="false" ht="15" hidden="false" customHeight="false" outlineLevel="0" collapsed="false">
      <c r="A6455" s="6" t="s">
        <v>11679</v>
      </c>
      <c r="B6455" s="6" t="s">
        <v>1905</v>
      </c>
      <c r="C6455" s="26" t="n">
        <v>46218</v>
      </c>
      <c r="D6455" s="6" t="s">
        <v>5145</v>
      </c>
      <c r="E6455" s="6" t="s">
        <v>21</v>
      </c>
      <c r="F6455" s="6" t="n">
        <v>1</v>
      </c>
      <c r="G6455" s="10" t="n">
        <v>1277</v>
      </c>
      <c r="H6455" s="10" t="n">
        <f aca="false">F6455*G6455</f>
        <v>1277</v>
      </c>
      <c r="I6455" s="6" t="s">
        <v>5122</v>
      </c>
    </row>
    <row r="6456" customFormat="false" ht="15" hidden="false" customHeight="false" outlineLevel="0" collapsed="false">
      <c r="A6456" s="6" t="s">
        <v>11680</v>
      </c>
      <c r="B6456" s="6" t="s">
        <v>1203</v>
      </c>
      <c r="C6456" s="26" t="n">
        <v>46218</v>
      </c>
      <c r="D6456" s="6" t="s">
        <v>5188</v>
      </c>
      <c r="E6456" s="6" t="s">
        <v>24</v>
      </c>
      <c r="F6456" s="6" t="n">
        <v>2</v>
      </c>
      <c r="G6456" s="10" t="n">
        <v>916</v>
      </c>
      <c r="H6456" s="10" t="n">
        <f aca="false">F6456*G6456</f>
        <v>1832</v>
      </c>
      <c r="I6456" s="6" t="s">
        <v>5122</v>
      </c>
    </row>
    <row r="6457" customFormat="false" ht="15" hidden="false" customHeight="false" outlineLevel="0" collapsed="false">
      <c r="A6457" s="6" t="s">
        <v>11681</v>
      </c>
      <c r="B6457" s="6" t="s">
        <v>1157</v>
      </c>
      <c r="C6457" s="26" t="n">
        <v>46218</v>
      </c>
      <c r="D6457" s="6" t="s">
        <v>5163</v>
      </c>
      <c r="E6457" s="6" t="s">
        <v>23</v>
      </c>
      <c r="F6457" s="6" t="n">
        <v>2</v>
      </c>
      <c r="G6457" s="10" t="n">
        <v>783</v>
      </c>
      <c r="H6457" s="10" t="n">
        <f aca="false">F6457*G6457</f>
        <v>1566</v>
      </c>
      <c r="I6457" s="6" t="s">
        <v>5122</v>
      </c>
    </row>
    <row r="6458" customFormat="false" ht="15" hidden="false" customHeight="false" outlineLevel="0" collapsed="false">
      <c r="A6458" s="6" t="s">
        <v>11682</v>
      </c>
      <c r="B6458" s="6" t="s">
        <v>1669</v>
      </c>
      <c r="C6458" s="26" t="n">
        <v>46218</v>
      </c>
      <c r="D6458" s="6" t="s">
        <v>5488</v>
      </c>
      <c r="E6458" s="6" t="s">
        <v>24</v>
      </c>
      <c r="F6458" s="6" t="n">
        <v>1</v>
      </c>
      <c r="G6458" s="10" t="n">
        <v>866</v>
      </c>
      <c r="H6458" s="10" t="n">
        <f aca="false">F6458*G6458</f>
        <v>866</v>
      </c>
      <c r="I6458" s="6" t="s">
        <v>5122</v>
      </c>
    </row>
    <row r="6459" customFormat="false" ht="15" hidden="false" customHeight="false" outlineLevel="0" collapsed="false">
      <c r="A6459" s="6" t="s">
        <v>11683</v>
      </c>
      <c r="B6459" s="6" t="s">
        <v>1955</v>
      </c>
      <c r="C6459" s="26" t="n">
        <v>46218</v>
      </c>
      <c r="D6459" s="6" t="s">
        <v>5269</v>
      </c>
      <c r="E6459" s="6" t="s">
        <v>22</v>
      </c>
      <c r="F6459" s="6" t="n">
        <v>1</v>
      </c>
      <c r="G6459" s="10" t="n">
        <v>1144</v>
      </c>
      <c r="H6459" s="10" t="n">
        <f aca="false">F6459*G6459</f>
        <v>1144</v>
      </c>
      <c r="I6459" s="6" t="s">
        <v>5130</v>
      </c>
    </row>
    <row r="6460" customFormat="false" ht="15" hidden="false" customHeight="false" outlineLevel="0" collapsed="false">
      <c r="A6460" s="6" t="s">
        <v>11684</v>
      </c>
      <c r="B6460" s="6" t="s">
        <v>3333</v>
      </c>
      <c r="C6460" s="26" t="n">
        <v>46218</v>
      </c>
      <c r="D6460" s="6" t="s">
        <v>5259</v>
      </c>
      <c r="E6460" s="6" t="s">
        <v>22</v>
      </c>
      <c r="F6460" s="6" t="n">
        <v>1</v>
      </c>
      <c r="G6460" s="10" t="n">
        <v>1408</v>
      </c>
      <c r="H6460" s="10" t="n">
        <f aca="false">F6460*G6460</f>
        <v>1408</v>
      </c>
      <c r="I6460" s="6" t="s">
        <v>5122</v>
      </c>
    </row>
    <row r="6461" customFormat="false" ht="15" hidden="false" customHeight="false" outlineLevel="0" collapsed="false">
      <c r="A6461" s="6" t="s">
        <v>11685</v>
      </c>
      <c r="B6461" s="6" t="s">
        <v>5037</v>
      </c>
      <c r="C6461" s="26" t="n">
        <v>46218</v>
      </c>
      <c r="D6461" s="6" t="s">
        <v>5197</v>
      </c>
      <c r="E6461" s="6" t="s">
        <v>21</v>
      </c>
      <c r="F6461" s="6" t="n">
        <v>3</v>
      </c>
      <c r="G6461" s="10" t="n">
        <v>1080</v>
      </c>
      <c r="H6461" s="10" t="n">
        <f aca="false">F6461*G6461</f>
        <v>3240</v>
      </c>
      <c r="I6461" s="6" t="s">
        <v>5122</v>
      </c>
    </row>
    <row r="6462" customFormat="false" ht="15" hidden="false" customHeight="false" outlineLevel="0" collapsed="false">
      <c r="A6462" s="6" t="s">
        <v>11686</v>
      </c>
      <c r="B6462" s="6" t="s">
        <v>2223</v>
      </c>
      <c r="C6462" s="26" t="n">
        <v>46218</v>
      </c>
      <c r="D6462" s="6" t="s">
        <v>5226</v>
      </c>
      <c r="E6462" s="6" t="s">
        <v>24</v>
      </c>
      <c r="F6462" s="6" t="n">
        <v>1</v>
      </c>
      <c r="G6462" s="10" t="n">
        <v>412</v>
      </c>
      <c r="H6462" s="10" t="n">
        <f aca="false">F6462*G6462</f>
        <v>412</v>
      </c>
      <c r="I6462" s="6" t="s">
        <v>5125</v>
      </c>
    </row>
    <row r="6463" customFormat="false" ht="15" hidden="false" customHeight="false" outlineLevel="0" collapsed="false">
      <c r="A6463" s="6" t="s">
        <v>11687</v>
      </c>
      <c r="B6463" s="6" t="s">
        <v>4501</v>
      </c>
      <c r="C6463" s="26" t="n">
        <v>46218</v>
      </c>
      <c r="D6463" s="6" t="s">
        <v>5121</v>
      </c>
      <c r="E6463" s="6" t="s">
        <v>22</v>
      </c>
      <c r="F6463" s="6" t="n">
        <v>1</v>
      </c>
      <c r="G6463" s="10" t="n">
        <v>977</v>
      </c>
      <c r="H6463" s="10" t="n">
        <f aca="false">F6463*G6463</f>
        <v>977</v>
      </c>
      <c r="I6463" s="6" t="s">
        <v>5173</v>
      </c>
    </row>
    <row r="6464" customFormat="false" ht="15" hidden="false" customHeight="false" outlineLevel="0" collapsed="false">
      <c r="A6464" s="6" t="s">
        <v>11688</v>
      </c>
      <c r="B6464" s="6" t="s">
        <v>3897</v>
      </c>
      <c r="C6464" s="26" t="n">
        <v>46218</v>
      </c>
      <c r="D6464" s="6" t="s">
        <v>5175</v>
      </c>
      <c r="E6464" s="6" t="s">
        <v>24</v>
      </c>
      <c r="F6464" s="6" t="n">
        <v>1</v>
      </c>
      <c r="G6464" s="10" t="n">
        <v>610</v>
      </c>
      <c r="H6464" s="10" t="n">
        <f aca="false">F6464*G6464</f>
        <v>610</v>
      </c>
      <c r="I6464" s="6" t="s">
        <v>5122</v>
      </c>
    </row>
    <row r="6465" customFormat="false" ht="15" hidden="false" customHeight="false" outlineLevel="0" collapsed="false">
      <c r="A6465" s="6" t="s">
        <v>11689</v>
      </c>
      <c r="B6465" s="6" t="s">
        <v>4535</v>
      </c>
      <c r="C6465" s="26" t="n">
        <v>46218</v>
      </c>
      <c r="D6465" s="6" t="s">
        <v>5167</v>
      </c>
      <c r="E6465" s="6" t="s">
        <v>22</v>
      </c>
      <c r="F6465" s="6" t="n">
        <v>2</v>
      </c>
      <c r="G6465" s="10" t="n">
        <v>743</v>
      </c>
      <c r="H6465" s="10" t="n">
        <f aca="false">F6465*G6465</f>
        <v>1486</v>
      </c>
      <c r="I6465" s="6" t="s">
        <v>5122</v>
      </c>
    </row>
    <row r="6466" customFormat="false" ht="15" hidden="false" customHeight="false" outlineLevel="0" collapsed="false">
      <c r="A6466" s="6" t="s">
        <v>11690</v>
      </c>
      <c r="B6466" s="6" t="s">
        <v>829</v>
      </c>
      <c r="C6466" s="26" t="n">
        <v>46218</v>
      </c>
      <c r="D6466" s="6" t="s">
        <v>5687</v>
      </c>
      <c r="E6466" s="6" t="s">
        <v>20</v>
      </c>
      <c r="F6466" s="6" t="n">
        <v>1</v>
      </c>
      <c r="G6466" s="10" t="n">
        <v>2038</v>
      </c>
      <c r="H6466" s="10" t="n">
        <f aca="false">F6466*G6466</f>
        <v>2038</v>
      </c>
      <c r="I6466" s="6" t="s">
        <v>5125</v>
      </c>
    </row>
    <row r="6467" customFormat="false" ht="15" hidden="false" customHeight="false" outlineLevel="0" collapsed="false">
      <c r="A6467" s="6" t="s">
        <v>11691</v>
      </c>
      <c r="B6467" s="6" t="s">
        <v>1215</v>
      </c>
      <c r="C6467" s="26" t="n">
        <v>46218</v>
      </c>
      <c r="D6467" s="6" t="s">
        <v>5135</v>
      </c>
      <c r="E6467" s="6" t="s">
        <v>23</v>
      </c>
      <c r="F6467" s="6" t="n">
        <v>1</v>
      </c>
      <c r="G6467" s="10" t="n">
        <v>441</v>
      </c>
      <c r="H6467" s="10" t="n">
        <f aca="false">F6467*G6467</f>
        <v>441</v>
      </c>
      <c r="I6467" s="6" t="s">
        <v>5173</v>
      </c>
    </row>
    <row r="6468" customFormat="false" ht="15" hidden="false" customHeight="false" outlineLevel="0" collapsed="false">
      <c r="A6468" s="6" t="s">
        <v>11692</v>
      </c>
      <c r="B6468" s="6" t="s">
        <v>2521</v>
      </c>
      <c r="C6468" s="26" t="n">
        <v>46218</v>
      </c>
      <c r="D6468" s="6" t="s">
        <v>5240</v>
      </c>
      <c r="E6468" s="6" t="s">
        <v>20</v>
      </c>
      <c r="F6468" s="6" t="n">
        <v>1</v>
      </c>
      <c r="G6468" s="10" t="n">
        <v>5098</v>
      </c>
      <c r="H6468" s="10" t="n">
        <f aca="false">F6468*G6468</f>
        <v>5098</v>
      </c>
      <c r="I6468" s="6" t="s">
        <v>5122</v>
      </c>
    </row>
    <row r="6469" customFormat="false" ht="15" hidden="false" customHeight="false" outlineLevel="0" collapsed="false">
      <c r="A6469" s="6" t="s">
        <v>11693</v>
      </c>
      <c r="B6469" s="6" t="s">
        <v>3223</v>
      </c>
      <c r="C6469" s="26" t="n">
        <v>46218</v>
      </c>
      <c r="D6469" s="6" t="s">
        <v>5167</v>
      </c>
      <c r="E6469" s="6" t="s">
        <v>22</v>
      </c>
      <c r="F6469" s="6" t="n">
        <v>1</v>
      </c>
      <c r="G6469" s="10" t="n">
        <v>743</v>
      </c>
      <c r="H6469" s="10" t="n">
        <f aca="false">F6469*G6469</f>
        <v>743</v>
      </c>
      <c r="I6469" s="6" t="s">
        <v>5122</v>
      </c>
    </row>
    <row r="6470" customFormat="false" ht="15" hidden="false" customHeight="false" outlineLevel="0" collapsed="false">
      <c r="A6470" s="6" t="s">
        <v>11694</v>
      </c>
      <c r="B6470" s="6" t="s">
        <v>3535</v>
      </c>
      <c r="C6470" s="26" t="n">
        <v>46218</v>
      </c>
      <c r="D6470" s="6" t="s">
        <v>5345</v>
      </c>
      <c r="E6470" s="6" t="s">
        <v>23</v>
      </c>
      <c r="F6470" s="6" t="n">
        <v>4</v>
      </c>
      <c r="G6470" s="10" t="n">
        <v>392</v>
      </c>
      <c r="H6470" s="10" t="n">
        <f aca="false">F6470*G6470</f>
        <v>1568</v>
      </c>
      <c r="I6470" s="6" t="s">
        <v>5125</v>
      </c>
    </row>
    <row r="6471" customFormat="false" ht="15" hidden="false" customHeight="false" outlineLevel="0" collapsed="false">
      <c r="A6471" s="6" t="s">
        <v>11695</v>
      </c>
      <c r="B6471" s="6" t="s">
        <v>1487</v>
      </c>
      <c r="C6471" s="26" t="n">
        <v>46218</v>
      </c>
      <c r="D6471" s="6" t="s">
        <v>5277</v>
      </c>
      <c r="E6471" s="6" t="s">
        <v>22</v>
      </c>
      <c r="F6471" s="6" t="n">
        <v>1</v>
      </c>
      <c r="G6471" s="10" t="n">
        <v>2738</v>
      </c>
      <c r="H6471" s="10" t="n">
        <f aca="false">F6471*G6471</f>
        <v>2738</v>
      </c>
      <c r="I6471" s="6" t="s">
        <v>5148</v>
      </c>
    </row>
    <row r="6472" customFormat="false" ht="15" hidden="false" customHeight="false" outlineLevel="0" collapsed="false">
      <c r="A6472" s="6" t="s">
        <v>11696</v>
      </c>
      <c r="B6472" s="6" t="s">
        <v>1919</v>
      </c>
      <c r="C6472" s="26" t="n">
        <v>46218</v>
      </c>
      <c r="D6472" s="6" t="s">
        <v>5216</v>
      </c>
      <c r="E6472" s="6" t="s">
        <v>23</v>
      </c>
      <c r="F6472" s="6" t="n">
        <v>2</v>
      </c>
      <c r="G6472" s="10" t="n">
        <v>587</v>
      </c>
      <c r="H6472" s="10" t="n">
        <f aca="false">F6472*G6472</f>
        <v>1174</v>
      </c>
      <c r="I6472" s="6" t="s">
        <v>5133</v>
      </c>
    </row>
    <row r="6473" customFormat="false" ht="15" hidden="false" customHeight="false" outlineLevel="0" collapsed="false">
      <c r="A6473" s="6" t="s">
        <v>11697</v>
      </c>
      <c r="B6473" s="6" t="s">
        <v>1325</v>
      </c>
      <c r="C6473" s="26" t="n">
        <v>46218</v>
      </c>
      <c r="D6473" s="6" t="s">
        <v>6114</v>
      </c>
      <c r="E6473" s="6" t="s">
        <v>20</v>
      </c>
      <c r="F6473" s="6" t="n">
        <v>1</v>
      </c>
      <c r="G6473" s="10" t="n">
        <v>12593</v>
      </c>
      <c r="H6473" s="10" t="n">
        <f aca="false">F6473*G6473</f>
        <v>12593</v>
      </c>
      <c r="I6473" s="6" t="s">
        <v>5125</v>
      </c>
    </row>
    <row r="6474" customFormat="false" ht="15" hidden="false" customHeight="false" outlineLevel="0" collapsed="false">
      <c r="A6474" s="6" t="s">
        <v>11698</v>
      </c>
      <c r="B6474" s="6" t="s">
        <v>3187</v>
      </c>
      <c r="C6474" s="26" t="n">
        <v>46218</v>
      </c>
      <c r="D6474" s="6" t="s">
        <v>5135</v>
      </c>
      <c r="E6474" s="6" t="s">
        <v>23</v>
      </c>
      <c r="F6474" s="6" t="n">
        <v>4</v>
      </c>
      <c r="G6474" s="10" t="n">
        <v>419</v>
      </c>
      <c r="H6474" s="10" t="n">
        <f aca="false">F6474*G6474</f>
        <v>1676</v>
      </c>
      <c r="I6474" s="6" t="s">
        <v>5122</v>
      </c>
    </row>
    <row r="6475" customFormat="false" ht="15" hidden="false" customHeight="false" outlineLevel="0" collapsed="false">
      <c r="A6475" s="6" t="s">
        <v>11699</v>
      </c>
      <c r="B6475" s="6" t="s">
        <v>221</v>
      </c>
      <c r="C6475" s="26" t="n">
        <v>46218</v>
      </c>
      <c r="D6475" s="6" t="s">
        <v>5339</v>
      </c>
      <c r="E6475" s="6" t="s">
        <v>24</v>
      </c>
      <c r="F6475" s="6" t="n">
        <v>2</v>
      </c>
      <c r="G6475" s="10" t="n">
        <v>508</v>
      </c>
      <c r="H6475" s="10" t="n">
        <f aca="false">F6475*G6475</f>
        <v>1016</v>
      </c>
      <c r="I6475" s="6" t="s">
        <v>5133</v>
      </c>
    </row>
    <row r="6476" customFormat="false" ht="15" hidden="false" customHeight="false" outlineLevel="0" collapsed="false">
      <c r="A6476" s="6" t="s">
        <v>11700</v>
      </c>
      <c r="B6476" s="6" t="s">
        <v>1979</v>
      </c>
      <c r="C6476" s="26" t="n">
        <v>46218</v>
      </c>
      <c r="D6476" s="6" t="s">
        <v>5154</v>
      </c>
      <c r="E6476" s="6" t="s">
        <v>21</v>
      </c>
      <c r="F6476" s="6" t="n">
        <v>1</v>
      </c>
      <c r="G6476" s="10" t="n">
        <v>708</v>
      </c>
      <c r="H6476" s="10" t="n">
        <f aca="false">F6476*G6476</f>
        <v>708</v>
      </c>
      <c r="I6476" s="6" t="s">
        <v>5148</v>
      </c>
    </row>
    <row r="6477" customFormat="false" ht="15" hidden="false" customHeight="false" outlineLevel="0" collapsed="false">
      <c r="A6477" s="6" t="s">
        <v>11701</v>
      </c>
      <c r="B6477" s="6" t="s">
        <v>707</v>
      </c>
      <c r="C6477" s="26" t="n">
        <v>46218</v>
      </c>
      <c r="D6477" s="6" t="s">
        <v>5488</v>
      </c>
      <c r="E6477" s="6" t="s">
        <v>24</v>
      </c>
      <c r="F6477" s="6" t="n">
        <v>2</v>
      </c>
      <c r="G6477" s="10" t="n">
        <v>866</v>
      </c>
      <c r="H6477" s="10" t="n">
        <f aca="false">F6477*G6477</f>
        <v>1732</v>
      </c>
      <c r="I6477" s="6" t="s">
        <v>5122</v>
      </c>
    </row>
    <row r="6478" customFormat="false" ht="15" hidden="false" customHeight="false" outlineLevel="0" collapsed="false">
      <c r="A6478" s="6" t="s">
        <v>11702</v>
      </c>
      <c r="B6478" s="6" t="s">
        <v>4447</v>
      </c>
      <c r="C6478" s="26" t="n">
        <v>46218</v>
      </c>
      <c r="D6478" s="6" t="s">
        <v>5121</v>
      </c>
      <c r="E6478" s="6" t="s">
        <v>22</v>
      </c>
      <c r="F6478" s="6" t="n">
        <v>2</v>
      </c>
      <c r="G6478" s="10" t="n">
        <v>977</v>
      </c>
      <c r="H6478" s="10" t="n">
        <f aca="false">F6478*G6478</f>
        <v>1954</v>
      </c>
      <c r="I6478" s="6" t="s">
        <v>5122</v>
      </c>
    </row>
    <row r="6479" customFormat="false" ht="15" hidden="false" customHeight="false" outlineLevel="0" collapsed="false">
      <c r="A6479" s="6" t="s">
        <v>11703</v>
      </c>
      <c r="B6479" s="6" t="s">
        <v>3731</v>
      </c>
      <c r="C6479" s="26" t="n">
        <v>46218</v>
      </c>
      <c r="D6479" s="6" t="s">
        <v>5190</v>
      </c>
      <c r="E6479" s="6" t="s">
        <v>24</v>
      </c>
      <c r="F6479" s="6" t="n">
        <v>2</v>
      </c>
      <c r="G6479" s="10" t="n">
        <v>580</v>
      </c>
      <c r="H6479" s="10" t="n">
        <f aca="false">F6479*G6479</f>
        <v>1160</v>
      </c>
      <c r="I6479" s="6" t="s">
        <v>5130</v>
      </c>
    </row>
    <row r="6480" customFormat="false" ht="15" hidden="false" customHeight="false" outlineLevel="0" collapsed="false">
      <c r="A6480" s="6" t="s">
        <v>11704</v>
      </c>
      <c r="B6480" s="6" t="s">
        <v>265</v>
      </c>
      <c r="C6480" s="26" t="n">
        <v>46218</v>
      </c>
      <c r="D6480" s="6" t="s">
        <v>5318</v>
      </c>
      <c r="E6480" s="6" t="s">
        <v>20</v>
      </c>
      <c r="F6480" s="6" t="n">
        <v>1</v>
      </c>
      <c r="G6480" s="10" t="n">
        <v>1452</v>
      </c>
      <c r="H6480" s="10" t="n">
        <f aca="false">F6480*G6480</f>
        <v>1452</v>
      </c>
      <c r="I6480" s="6" t="s">
        <v>5133</v>
      </c>
    </row>
    <row r="6481" customFormat="false" ht="15" hidden="false" customHeight="false" outlineLevel="0" collapsed="false">
      <c r="A6481" s="6" t="s">
        <v>11705</v>
      </c>
      <c r="B6481" s="6" t="s">
        <v>3603</v>
      </c>
      <c r="C6481" s="26" t="n">
        <v>46218</v>
      </c>
      <c r="D6481" s="6" t="s">
        <v>5316</v>
      </c>
      <c r="E6481" s="6" t="s">
        <v>23</v>
      </c>
      <c r="F6481" s="6" t="n">
        <v>1</v>
      </c>
      <c r="G6481" s="10" t="n">
        <v>259</v>
      </c>
      <c r="H6481" s="10" t="n">
        <f aca="false">F6481*G6481</f>
        <v>259</v>
      </c>
      <c r="I6481" s="6" t="s">
        <v>5122</v>
      </c>
    </row>
    <row r="6482" customFormat="false" ht="15" hidden="false" customHeight="false" outlineLevel="0" collapsed="false">
      <c r="A6482" s="6" t="s">
        <v>11706</v>
      </c>
      <c r="B6482" s="6" t="s">
        <v>4497</v>
      </c>
      <c r="C6482" s="26" t="n">
        <v>46218</v>
      </c>
      <c r="D6482" s="6" t="s">
        <v>5318</v>
      </c>
      <c r="E6482" s="6" t="s">
        <v>20</v>
      </c>
      <c r="F6482" s="6" t="n">
        <v>1</v>
      </c>
      <c r="G6482" s="10" t="n">
        <v>1452</v>
      </c>
      <c r="H6482" s="10" t="n">
        <f aca="false">F6482*G6482</f>
        <v>1452</v>
      </c>
      <c r="I6482" s="6" t="s">
        <v>5125</v>
      </c>
    </row>
    <row r="6483" customFormat="false" ht="15" hidden="false" customHeight="false" outlineLevel="0" collapsed="false">
      <c r="A6483" s="6" t="s">
        <v>11707</v>
      </c>
      <c r="B6483" s="6" t="s">
        <v>3989</v>
      </c>
      <c r="C6483" s="26" t="n">
        <v>46218</v>
      </c>
      <c r="D6483" s="6" t="s">
        <v>5129</v>
      </c>
      <c r="E6483" s="6" t="s">
        <v>21</v>
      </c>
      <c r="F6483" s="6" t="n">
        <v>2</v>
      </c>
      <c r="G6483" s="10" t="n">
        <v>530</v>
      </c>
      <c r="H6483" s="10" t="n">
        <f aca="false">F6483*G6483</f>
        <v>1060</v>
      </c>
      <c r="I6483" s="6" t="s">
        <v>5130</v>
      </c>
    </row>
    <row r="6484" customFormat="false" ht="15" hidden="false" customHeight="false" outlineLevel="0" collapsed="false">
      <c r="A6484" s="6" t="s">
        <v>11708</v>
      </c>
      <c r="B6484" s="6" t="s">
        <v>1003</v>
      </c>
      <c r="C6484" s="26" t="n">
        <v>46218</v>
      </c>
      <c r="D6484" s="6" t="s">
        <v>5167</v>
      </c>
      <c r="E6484" s="6" t="s">
        <v>22</v>
      </c>
      <c r="F6484" s="6" t="n">
        <v>1</v>
      </c>
      <c r="G6484" s="10" t="n">
        <v>782</v>
      </c>
      <c r="H6484" s="10" t="n">
        <f aca="false">F6484*G6484</f>
        <v>782</v>
      </c>
      <c r="I6484" s="6" t="s">
        <v>5122</v>
      </c>
    </row>
    <row r="6485" customFormat="false" ht="15" hidden="false" customHeight="false" outlineLevel="0" collapsed="false">
      <c r="A6485" s="6" t="s">
        <v>11709</v>
      </c>
      <c r="B6485" s="6" t="s">
        <v>3425</v>
      </c>
      <c r="C6485" s="26" t="n">
        <v>46218</v>
      </c>
      <c r="D6485" s="6" t="s">
        <v>7185</v>
      </c>
      <c r="E6485" s="6" t="s">
        <v>22</v>
      </c>
      <c r="F6485" s="6" t="n">
        <v>3</v>
      </c>
      <c r="G6485" s="10" t="n">
        <v>2734</v>
      </c>
      <c r="H6485" s="10" t="n">
        <f aca="false">F6485*G6485</f>
        <v>8202</v>
      </c>
      <c r="I6485" s="6" t="s">
        <v>5125</v>
      </c>
    </row>
    <row r="6486" customFormat="false" ht="15" hidden="false" customHeight="false" outlineLevel="0" collapsed="false">
      <c r="A6486" s="6" t="s">
        <v>11710</v>
      </c>
      <c r="B6486" s="6" t="s">
        <v>1777</v>
      </c>
      <c r="C6486" s="26" t="n">
        <v>46218</v>
      </c>
      <c r="D6486" s="6" t="s">
        <v>5185</v>
      </c>
      <c r="E6486" s="6" t="s">
        <v>24</v>
      </c>
      <c r="F6486" s="6" t="n">
        <v>1</v>
      </c>
      <c r="G6486" s="10" t="n">
        <v>1926</v>
      </c>
      <c r="H6486" s="10" t="n">
        <f aca="false">F6486*G6486</f>
        <v>1926</v>
      </c>
      <c r="I6486" s="6" t="s">
        <v>5122</v>
      </c>
    </row>
    <row r="6487" customFormat="false" ht="15" hidden="false" customHeight="false" outlineLevel="0" collapsed="false">
      <c r="A6487" s="6" t="s">
        <v>11711</v>
      </c>
      <c r="B6487" s="6" t="s">
        <v>891</v>
      </c>
      <c r="C6487" s="26" t="n">
        <v>46219</v>
      </c>
      <c r="D6487" s="6" t="s">
        <v>5163</v>
      </c>
      <c r="E6487" s="6" t="s">
        <v>23</v>
      </c>
      <c r="F6487" s="6" t="n">
        <v>3</v>
      </c>
      <c r="G6487" s="10" t="n">
        <v>744</v>
      </c>
      <c r="H6487" s="10" t="n">
        <f aca="false">F6487*G6487</f>
        <v>2232</v>
      </c>
      <c r="I6487" s="6" t="s">
        <v>5122</v>
      </c>
    </row>
    <row r="6488" customFormat="false" ht="15" hidden="false" customHeight="false" outlineLevel="0" collapsed="false">
      <c r="A6488" s="6" t="s">
        <v>11712</v>
      </c>
      <c r="B6488" s="6" t="s">
        <v>2973</v>
      </c>
      <c r="C6488" s="26" t="n">
        <v>46219</v>
      </c>
      <c r="D6488" s="6" t="s">
        <v>5488</v>
      </c>
      <c r="E6488" s="6" t="s">
        <v>24</v>
      </c>
      <c r="F6488" s="6" t="n">
        <v>2</v>
      </c>
      <c r="G6488" s="10" t="n">
        <v>823</v>
      </c>
      <c r="H6488" s="10" t="n">
        <f aca="false">F6488*G6488</f>
        <v>1646</v>
      </c>
      <c r="I6488" s="6" t="s">
        <v>5122</v>
      </c>
    </row>
    <row r="6489" customFormat="false" ht="15" hidden="false" customHeight="false" outlineLevel="0" collapsed="false">
      <c r="A6489" s="6" t="s">
        <v>11713</v>
      </c>
      <c r="B6489" s="6" t="s">
        <v>3527</v>
      </c>
      <c r="C6489" s="26" t="n">
        <v>46219</v>
      </c>
      <c r="D6489" s="6" t="s">
        <v>5357</v>
      </c>
      <c r="E6489" s="6" t="s">
        <v>23</v>
      </c>
      <c r="F6489" s="6" t="n">
        <v>2</v>
      </c>
      <c r="G6489" s="10" t="n">
        <v>534</v>
      </c>
      <c r="H6489" s="10" t="n">
        <f aca="false">F6489*G6489</f>
        <v>1068</v>
      </c>
      <c r="I6489" s="6" t="s">
        <v>5148</v>
      </c>
    </row>
    <row r="6490" customFormat="false" ht="15" hidden="false" customHeight="false" outlineLevel="0" collapsed="false">
      <c r="A6490" s="6" t="s">
        <v>11714</v>
      </c>
      <c r="B6490" s="6" t="s">
        <v>4943</v>
      </c>
      <c r="C6490" s="26" t="n">
        <v>46219</v>
      </c>
      <c r="D6490" s="6" t="s">
        <v>5218</v>
      </c>
      <c r="E6490" s="6" t="s">
        <v>23</v>
      </c>
      <c r="F6490" s="6" t="n">
        <v>3</v>
      </c>
      <c r="G6490" s="10" t="n">
        <v>165</v>
      </c>
      <c r="H6490" s="10" t="n">
        <f aca="false">F6490*G6490</f>
        <v>495</v>
      </c>
      <c r="I6490" s="6" t="s">
        <v>5125</v>
      </c>
    </row>
    <row r="6491" customFormat="false" ht="15" hidden="false" customHeight="false" outlineLevel="0" collapsed="false">
      <c r="A6491" s="6" t="s">
        <v>11715</v>
      </c>
      <c r="B6491" s="6" t="s">
        <v>2503</v>
      </c>
      <c r="C6491" s="26" t="n">
        <v>46219</v>
      </c>
      <c r="D6491" s="6" t="s">
        <v>5137</v>
      </c>
      <c r="E6491" s="6" t="s">
        <v>21</v>
      </c>
      <c r="F6491" s="6" t="n">
        <v>1</v>
      </c>
      <c r="G6491" s="10" t="n">
        <v>1768</v>
      </c>
      <c r="H6491" s="10" t="n">
        <f aca="false">F6491*G6491</f>
        <v>1768</v>
      </c>
      <c r="I6491" s="6" t="s">
        <v>5133</v>
      </c>
    </row>
    <row r="6492" customFormat="false" ht="15" hidden="false" customHeight="false" outlineLevel="0" collapsed="false">
      <c r="A6492" s="6" t="s">
        <v>11716</v>
      </c>
      <c r="B6492" s="6" t="s">
        <v>4885</v>
      </c>
      <c r="C6492" s="26" t="n">
        <v>46219</v>
      </c>
      <c r="D6492" s="6" t="s">
        <v>5167</v>
      </c>
      <c r="E6492" s="6" t="s">
        <v>22</v>
      </c>
      <c r="F6492" s="6" t="n">
        <v>2</v>
      </c>
      <c r="G6492" s="10" t="n">
        <v>782</v>
      </c>
      <c r="H6492" s="10" t="n">
        <f aca="false">F6492*G6492</f>
        <v>1564</v>
      </c>
      <c r="I6492" s="6" t="s">
        <v>5122</v>
      </c>
    </row>
    <row r="6493" customFormat="false" ht="15" hidden="false" customHeight="false" outlineLevel="0" collapsed="false">
      <c r="A6493" s="6" t="s">
        <v>11717</v>
      </c>
      <c r="B6493" s="6" t="s">
        <v>3485</v>
      </c>
      <c r="C6493" s="26" t="n">
        <v>46219</v>
      </c>
      <c r="D6493" s="6" t="s">
        <v>5298</v>
      </c>
      <c r="E6493" s="6" t="s">
        <v>23</v>
      </c>
      <c r="F6493" s="6" t="n">
        <v>3</v>
      </c>
      <c r="G6493" s="10" t="n">
        <v>293</v>
      </c>
      <c r="H6493" s="10" t="n">
        <f aca="false">F6493*G6493</f>
        <v>879</v>
      </c>
      <c r="I6493" s="6" t="s">
        <v>5125</v>
      </c>
    </row>
    <row r="6494" customFormat="false" ht="15" hidden="false" customHeight="false" outlineLevel="0" collapsed="false">
      <c r="A6494" s="6" t="s">
        <v>11718</v>
      </c>
      <c r="B6494" s="6" t="s">
        <v>1031</v>
      </c>
      <c r="C6494" s="26" t="n">
        <v>46219</v>
      </c>
      <c r="D6494" s="6" t="s">
        <v>5326</v>
      </c>
      <c r="E6494" s="6" t="s">
        <v>22</v>
      </c>
      <c r="F6494" s="6" t="n">
        <v>3</v>
      </c>
      <c r="G6494" s="10" t="n">
        <v>1466</v>
      </c>
      <c r="H6494" s="10" t="n">
        <f aca="false">F6494*G6494</f>
        <v>4398</v>
      </c>
      <c r="I6494" s="6" t="s">
        <v>5122</v>
      </c>
    </row>
    <row r="6495" customFormat="false" ht="15" hidden="false" customHeight="false" outlineLevel="0" collapsed="false">
      <c r="A6495" s="6" t="s">
        <v>11719</v>
      </c>
      <c r="B6495" s="6" t="s">
        <v>3403</v>
      </c>
      <c r="C6495" s="26" t="n">
        <v>46219</v>
      </c>
      <c r="D6495" s="6" t="s">
        <v>5357</v>
      </c>
      <c r="E6495" s="6" t="s">
        <v>23</v>
      </c>
      <c r="F6495" s="6" t="n">
        <v>1</v>
      </c>
      <c r="G6495" s="10" t="n">
        <v>533</v>
      </c>
      <c r="H6495" s="10" t="n">
        <f aca="false">F6495*G6495</f>
        <v>533</v>
      </c>
      <c r="I6495" s="6" t="s">
        <v>5122</v>
      </c>
    </row>
    <row r="6496" customFormat="false" ht="15" hidden="false" customHeight="false" outlineLevel="0" collapsed="false">
      <c r="A6496" s="6" t="s">
        <v>11720</v>
      </c>
      <c r="B6496" s="6" t="s">
        <v>4779</v>
      </c>
      <c r="C6496" s="26" t="n">
        <v>46219</v>
      </c>
      <c r="D6496" s="6" t="s">
        <v>5163</v>
      </c>
      <c r="E6496" s="6" t="s">
        <v>23</v>
      </c>
      <c r="F6496" s="6" t="n">
        <v>4</v>
      </c>
      <c r="G6496" s="10" t="n">
        <v>744</v>
      </c>
      <c r="H6496" s="10" t="n">
        <f aca="false">F6496*G6496</f>
        <v>2976</v>
      </c>
      <c r="I6496" s="6" t="s">
        <v>5125</v>
      </c>
    </row>
    <row r="6497" customFormat="false" ht="15" hidden="false" customHeight="false" outlineLevel="0" collapsed="false">
      <c r="A6497" s="6" t="s">
        <v>11721</v>
      </c>
      <c r="B6497" s="6" t="s">
        <v>673</v>
      </c>
      <c r="C6497" s="26" t="n">
        <v>46219</v>
      </c>
      <c r="D6497" s="6" t="s">
        <v>5163</v>
      </c>
      <c r="E6497" s="6" t="s">
        <v>23</v>
      </c>
      <c r="F6497" s="6" t="n">
        <v>2</v>
      </c>
      <c r="G6497" s="10" t="n">
        <v>783</v>
      </c>
      <c r="H6497" s="10" t="n">
        <f aca="false">F6497*G6497</f>
        <v>1566</v>
      </c>
      <c r="I6497" s="6" t="s">
        <v>5122</v>
      </c>
    </row>
    <row r="6498" customFormat="false" ht="15" hidden="false" customHeight="false" outlineLevel="0" collapsed="false">
      <c r="A6498" s="6" t="s">
        <v>11722</v>
      </c>
      <c r="B6498" s="6" t="s">
        <v>1695</v>
      </c>
      <c r="C6498" s="26" t="n">
        <v>46219</v>
      </c>
      <c r="D6498" s="6" t="s">
        <v>5165</v>
      </c>
      <c r="E6498" s="6" t="s">
        <v>22</v>
      </c>
      <c r="F6498" s="6" t="n">
        <v>1</v>
      </c>
      <c r="G6498" s="10" t="n">
        <v>977</v>
      </c>
      <c r="H6498" s="10" t="n">
        <f aca="false">F6498*G6498</f>
        <v>977</v>
      </c>
      <c r="I6498" s="6" t="s">
        <v>5148</v>
      </c>
    </row>
    <row r="6499" customFormat="false" ht="15" hidden="false" customHeight="false" outlineLevel="0" collapsed="false">
      <c r="A6499" s="6" t="s">
        <v>11723</v>
      </c>
      <c r="B6499" s="6" t="s">
        <v>2927</v>
      </c>
      <c r="C6499" s="26" t="n">
        <v>46219</v>
      </c>
      <c r="D6499" s="6" t="s">
        <v>5152</v>
      </c>
      <c r="E6499" s="6" t="s">
        <v>22</v>
      </c>
      <c r="F6499" s="6" t="n">
        <v>1</v>
      </c>
      <c r="G6499" s="10" t="n">
        <v>1760</v>
      </c>
      <c r="H6499" s="10" t="n">
        <f aca="false">F6499*G6499</f>
        <v>1760</v>
      </c>
      <c r="I6499" s="6" t="s">
        <v>5122</v>
      </c>
    </row>
    <row r="6500" customFormat="false" ht="15" hidden="false" customHeight="false" outlineLevel="0" collapsed="false">
      <c r="A6500" s="6" t="s">
        <v>11724</v>
      </c>
      <c r="B6500" s="6" t="s">
        <v>543</v>
      </c>
      <c r="C6500" s="26" t="n">
        <v>46219</v>
      </c>
      <c r="D6500" s="6" t="s">
        <v>5188</v>
      </c>
      <c r="E6500" s="6" t="s">
        <v>24</v>
      </c>
      <c r="F6500" s="6" t="n">
        <v>1</v>
      </c>
      <c r="G6500" s="10" t="n">
        <v>916</v>
      </c>
      <c r="H6500" s="10" t="n">
        <f aca="false">F6500*G6500</f>
        <v>916</v>
      </c>
      <c r="I6500" s="6" t="s">
        <v>5148</v>
      </c>
    </row>
    <row r="6501" customFormat="false" ht="15" hidden="false" customHeight="false" outlineLevel="0" collapsed="false">
      <c r="A6501" s="6" t="s">
        <v>11725</v>
      </c>
      <c r="B6501" s="6" t="s">
        <v>4409</v>
      </c>
      <c r="C6501" s="26" t="n">
        <v>46219</v>
      </c>
      <c r="D6501" s="6" t="s">
        <v>5180</v>
      </c>
      <c r="E6501" s="6" t="s">
        <v>24</v>
      </c>
      <c r="F6501" s="6" t="n">
        <v>2</v>
      </c>
      <c r="G6501" s="10" t="n">
        <v>1888</v>
      </c>
      <c r="H6501" s="10" t="n">
        <f aca="false">F6501*G6501</f>
        <v>3776</v>
      </c>
      <c r="I6501" s="6" t="s">
        <v>5122</v>
      </c>
    </row>
    <row r="6502" customFormat="false" ht="15" hidden="false" customHeight="false" outlineLevel="0" collapsed="false">
      <c r="A6502" s="6" t="s">
        <v>11726</v>
      </c>
      <c r="B6502" s="6" t="s">
        <v>1803</v>
      </c>
      <c r="C6502" s="26" t="n">
        <v>46219</v>
      </c>
      <c r="D6502" s="6" t="s">
        <v>5326</v>
      </c>
      <c r="E6502" s="6" t="s">
        <v>22</v>
      </c>
      <c r="F6502" s="6" t="n">
        <v>2</v>
      </c>
      <c r="G6502" s="10" t="n">
        <v>1393</v>
      </c>
      <c r="H6502" s="10" t="n">
        <f aca="false">F6502*G6502</f>
        <v>2786</v>
      </c>
      <c r="I6502" s="6" t="s">
        <v>5130</v>
      </c>
    </row>
    <row r="6503" customFormat="false" ht="15" hidden="false" customHeight="false" outlineLevel="0" collapsed="false">
      <c r="A6503" s="6" t="s">
        <v>11727</v>
      </c>
      <c r="B6503" s="6" t="s">
        <v>1825</v>
      </c>
      <c r="C6503" s="26" t="n">
        <v>46219</v>
      </c>
      <c r="D6503" s="6" t="s">
        <v>5135</v>
      </c>
      <c r="E6503" s="6" t="s">
        <v>23</v>
      </c>
      <c r="F6503" s="6" t="n">
        <v>2</v>
      </c>
      <c r="G6503" s="10" t="n">
        <v>441</v>
      </c>
      <c r="H6503" s="10" t="n">
        <f aca="false">F6503*G6503</f>
        <v>882</v>
      </c>
      <c r="I6503" s="6" t="s">
        <v>5148</v>
      </c>
    </row>
    <row r="6504" customFormat="false" ht="15" hidden="false" customHeight="false" outlineLevel="0" collapsed="false">
      <c r="A6504" s="6" t="s">
        <v>11728</v>
      </c>
      <c r="B6504" s="6" t="s">
        <v>79</v>
      </c>
      <c r="C6504" s="26" t="n">
        <v>46219</v>
      </c>
      <c r="D6504" s="6" t="s">
        <v>5906</v>
      </c>
      <c r="E6504" s="6" t="s">
        <v>20</v>
      </c>
      <c r="F6504" s="6" t="n">
        <v>1</v>
      </c>
      <c r="G6504" s="10" t="n">
        <v>54999</v>
      </c>
      <c r="H6504" s="10" t="n">
        <f aca="false">F6504*G6504</f>
        <v>54999</v>
      </c>
      <c r="I6504" s="6" t="s">
        <v>5122</v>
      </c>
    </row>
    <row r="6505" customFormat="false" ht="15" hidden="false" customHeight="false" outlineLevel="0" collapsed="false">
      <c r="A6505" s="6" t="s">
        <v>11729</v>
      </c>
      <c r="B6505" s="6" t="s">
        <v>1015</v>
      </c>
      <c r="C6505" s="26" t="n">
        <v>46219</v>
      </c>
      <c r="D6505" s="6" t="s">
        <v>5139</v>
      </c>
      <c r="E6505" s="6" t="s">
        <v>23</v>
      </c>
      <c r="F6505" s="6" t="n">
        <v>3</v>
      </c>
      <c r="G6505" s="10" t="n">
        <v>265</v>
      </c>
      <c r="H6505" s="10" t="n">
        <f aca="false">F6505*G6505</f>
        <v>795</v>
      </c>
      <c r="I6505" s="6" t="s">
        <v>5122</v>
      </c>
    </row>
    <row r="6506" customFormat="false" ht="15" hidden="false" customHeight="false" outlineLevel="0" collapsed="false">
      <c r="A6506" s="6" t="s">
        <v>11730</v>
      </c>
      <c r="B6506" s="6" t="s">
        <v>2571</v>
      </c>
      <c r="C6506" s="26" t="n">
        <v>46219</v>
      </c>
      <c r="D6506" s="6" t="s">
        <v>5458</v>
      </c>
      <c r="E6506" s="6" t="s">
        <v>24</v>
      </c>
      <c r="F6506" s="6" t="n">
        <v>2</v>
      </c>
      <c r="G6506" s="10" t="n">
        <v>559</v>
      </c>
      <c r="H6506" s="10" t="n">
        <f aca="false">F6506*G6506</f>
        <v>1118</v>
      </c>
      <c r="I6506" s="6" t="s">
        <v>5130</v>
      </c>
    </row>
    <row r="6507" customFormat="false" ht="15" hidden="false" customHeight="false" outlineLevel="0" collapsed="false">
      <c r="A6507" s="6" t="s">
        <v>11731</v>
      </c>
      <c r="B6507" s="6" t="s">
        <v>204</v>
      </c>
      <c r="C6507" s="26" t="n">
        <v>46219</v>
      </c>
      <c r="D6507" s="6" t="s">
        <v>5214</v>
      </c>
      <c r="E6507" s="6" t="s">
        <v>20</v>
      </c>
      <c r="F6507" s="6" t="n">
        <v>1</v>
      </c>
      <c r="G6507" s="10" t="n">
        <v>1937</v>
      </c>
      <c r="H6507" s="10" t="n">
        <f aca="false">F6507*G6507</f>
        <v>1937</v>
      </c>
      <c r="I6507" s="6" t="s">
        <v>5122</v>
      </c>
    </row>
    <row r="6508" customFormat="false" ht="15" hidden="false" customHeight="false" outlineLevel="0" collapsed="false">
      <c r="A6508" s="6" t="s">
        <v>11732</v>
      </c>
      <c r="B6508" s="6" t="s">
        <v>4839</v>
      </c>
      <c r="C6508" s="26" t="n">
        <v>46219</v>
      </c>
      <c r="D6508" s="6" t="s">
        <v>5127</v>
      </c>
      <c r="E6508" s="6" t="s">
        <v>21</v>
      </c>
      <c r="F6508" s="6" t="n">
        <v>2</v>
      </c>
      <c r="G6508" s="10" t="n">
        <v>795</v>
      </c>
      <c r="H6508" s="10" t="n">
        <f aca="false">F6508*G6508</f>
        <v>1590</v>
      </c>
      <c r="I6508" s="6" t="s">
        <v>5122</v>
      </c>
    </row>
    <row r="6509" customFormat="false" ht="15" hidden="false" customHeight="false" outlineLevel="0" collapsed="false">
      <c r="A6509" s="6" t="s">
        <v>11733</v>
      </c>
      <c r="B6509" s="6" t="s">
        <v>441</v>
      </c>
      <c r="C6509" s="26" t="n">
        <v>46219</v>
      </c>
      <c r="D6509" s="6" t="s">
        <v>5163</v>
      </c>
      <c r="E6509" s="6" t="s">
        <v>23</v>
      </c>
      <c r="F6509" s="6" t="n">
        <v>4</v>
      </c>
      <c r="G6509" s="10" t="n">
        <v>705</v>
      </c>
      <c r="H6509" s="10" t="n">
        <f aca="false">F6509*G6509</f>
        <v>2820</v>
      </c>
      <c r="I6509" s="6" t="s">
        <v>5122</v>
      </c>
    </row>
    <row r="6510" customFormat="false" ht="15" hidden="false" customHeight="false" outlineLevel="0" collapsed="false">
      <c r="A6510" s="6" t="s">
        <v>11734</v>
      </c>
      <c r="B6510" s="6" t="s">
        <v>3829</v>
      </c>
      <c r="C6510" s="26" t="n">
        <v>46219</v>
      </c>
      <c r="D6510" s="6" t="s">
        <v>5171</v>
      </c>
      <c r="E6510" s="6" t="s">
        <v>23</v>
      </c>
      <c r="F6510" s="6" t="n">
        <v>4</v>
      </c>
      <c r="G6510" s="10" t="n">
        <v>734</v>
      </c>
      <c r="H6510" s="10" t="n">
        <f aca="false">F6510*G6510</f>
        <v>2936</v>
      </c>
      <c r="I6510" s="6" t="s">
        <v>5148</v>
      </c>
    </row>
    <row r="6511" customFormat="false" ht="15" hidden="false" customHeight="false" outlineLevel="0" collapsed="false">
      <c r="A6511" s="6" t="s">
        <v>11735</v>
      </c>
      <c r="B6511" s="6" t="s">
        <v>1503</v>
      </c>
      <c r="C6511" s="26" t="n">
        <v>46219</v>
      </c>
      <c r="D6511" s="6" t="s">
        <v>5269</v>
      </c>
      <c r="E6511" s="6" t="s">
        <v>22</v>
      </c>
      <c r="F6511" s="6" t="n">
        <v>2</v>
      </c>
      <c r="G6511" s="10" t="n">
        <v>1271</v>
      </c>
      <c r="H6511" s="10" t="n">
        <f aca="false">F6511*G6511</f>
        <v>2542</v>
      </c>
      <c r="I6511" s="6" t="s">
        <v>5148</v>
      </c>
    </row>
    <row r="6512" customFormat="false" ht="15" hidden="false" customHeight="false" outlineLevel="0" collapsed="false">
      <c r="A6512" s="6" t="s">
        <v>11736</v>
      </c>
      <c r="B6512" s="6" t="s">
        <v>4777</v>
      </c>
      <c r="C6512" s="26" t="n">
        <v>46219</v>
      </c>
      <c r="D6512" s="6" t="s">
        <v>5226</v>
      </c>
      <c r="E6512" s="6" t="s">
        <v>24</v>
      </c>
      <c r="F6512" s="6" t="n">
        <v>2</v>
      </c>
      <c r="G6512" s="10" t="n">
        <v>412</v>
      </c>
      <c r="H6512" s="10" t="n">
        <f aca="false">F6512*G6512</f>
        <v>824</v>
      </c>
      <c r="I6512" s="6" t="s">
        <v>5125</v>
      </c>
    </row>
    <row r="6513" customFormat="false" ht="15" hidden="false" customHeight="false" outlineLevel="0" collapsed="false">
      <c r="A6513" s="6" t="s">
        <v>11737</v>
      </c>
      <c r="B6513" s="6" t="s">
        <v>819</v>
      </c>
      <c r="C6513" s="26" t="n">
        <v>46219</v>
      </c>
      <c r="D6513" s="6" t="s">
        <v>5180</v>
      </c>
      <c r="E6513" s="6" t="s">
        <v>24</v>
      </c>
      <c r="F6513" s="6" t="n">
        <v>2</v>
      </c>
      <c r="G6513" s="10" t="n">
        <v>1987</v>
      </c>
      <c r="H6513" s="10" t="n">
        <f aca="false">F6513*G6513</f>
        <v>3974</v>
      </c>
      <c r="I6513" s="6" t="s">
        <v>5122</v>
      </c>
    </row>
    <row r="6514" customFormat="false" ht="15" hidden="false" customHeight="false" outlineLevel="0" collapsed="false">
      <c r="A6514" s="6" t="s">
        <v>11738</v>
      </c>
      <c r="B6514" s="6" t="s">
        <v>4145</v>
      </c>
      <c r="C6514" s="26" t="n">
        <v>46219</v>
      </c>
      <c r="D6514" s="6" t="s">
        <v>5224</v>
      </c>
      <c r="E6514" s="6" t="s">
        <v>23</v>
      </c>
      <c r="F6514" s="6" t="n">
        <v>5</v>
      </c>
      <c r="G6514" s="10" t="n">
        <v>195</v>
      </c>
      <c r="H6514" s="10" t="n">
        <f aca="false">F6514*G6514</f>
        <v>975</v>
      </c>
      <c r="I6514" s="6" t="s">
        <v>5122</v>
      </c>
    </row>
    <row r="6515" customFormat="false" ht="15" hidden="false" customHeight="false" outlineLevel="0" collapsed="false">
      <c r="A6515" s="6" t="s">
        <v>11739</v>
      </c>
      <c r="B6515" s="6" t="s">
        <v>613</v>
      </c>
      <c r="C6515" s="26" t="n">
        <v>46219</v>
      </c>
      <c r="D6515" s="6" t="s">
        <v>5163</v>
      </c>
      <c r="E6515" s="6" t="s">
        <v>23</v>
      </c>
      <c r="F6515" s="6" t="n">
        <v>2</v>
      </c>
      <c r="G6515" s="10" t="n">
        <v>783</v>
      </c>
      <c r="H6515" s="10" t="n">
        <f aca="false">F6515*G6515</f>
        <v>1566</v>
      </c>
      <c r="I6515" s="6" t="s">
        <v>5148</v>
      </c>
    </row>
    <row r="6516" customFormat="false" ht="15" hidden="false" customHeight="false" outlineLevel="0" collapsed="false">
      <c r="A6516" s="6" t="s">
        <v>11740</v>
      </c>
      <c r="B6516" s="6" t="s">
        <v>951</v>
      </c>
      <c r="C6516" s="26" t="n">
        <v>46219</v>
      </c>
      <c r="D6516" s="6" t="s">
        <v>5345</v>
      </c>
      <c r="E6516" s="6" t="s">
        <v>23</v>
      </c>
      <c r="F6516" s="6" t="n">
        <v>3</v>
      </c>
      <c r="G6516" s="10" t="n">
        <v>414</v>
      </c>
      <c r="H6516" s="10" t="n">
        <f aca="false">F6516*G6516</f>
        <v>1242</v>
      </c>
      <c r="I6516" s="6" t="s">
        <v>5122</v>
      </c>
    </row>
    <row r="6517" customFormat="false" ht="15" hidden="false" customHeight="false" outlineLevel="0" collapsed="false">
      <c r="A6517" s="6" t="s">
        <v>11741</v>
      </c>
      <c r="B6517" s="6" t="s">
        <v>1533</v>
      </c>
      <c r="C6517" s="26" t="n">
        <v>46219</v>
      </c>
      <c r="D6517" s="6" t="s">
        <v>5152</v>
      </c>
      <c r="E6517" s="6" t="s">
        <v>22</v>
      </c>
      <c r="F6517" s="6" t="n">
        <v>1</v>
      </c>
      <c r="G6517" s="10" t="n">
        <v>1760</v>
      </c>
      <c r="H6517" s="10" t="n">
        <f aca="false">F6517*G6517</f>
        <v>1760</v>
      </c>
      <c r="I6517" s="6" t="s">
        <v>5122</v>
      </c>
    </row>
    <row r="6518" customFormat="false" ht="15" hidden="false" customHeight="false" outlineLevel="0" collapsed="false">
      <c r="A6518" s="6" t="s">
        <v>11742</v>
      </c>
      <c r="B6518" s="6" t="s">
        <v>390</v>
      </c>
      <c r="C6518" s="26" t="n">
        <v>46219</v>
      </c>
      <c r="D6518" s="6" t="s">
        <v>5158</v>
      </c>
      <c r="E6518" s="6" t="s">
        <v>24</v>
      </c>
      <c r="F6518" s="6" t="n">
        <v>1</v>
      </c>
      <c r="G6518" s="10" t="n">
        <v>390</v>
      </c>
      <c r="H6518" s="10" t="n">
        <f aca="false">F6518*G6518</f>
        <v>390</v>
      </c>
      <c r="I6518" s="6" t="s">
        <v>5173</v>
      </c>
    </row>
    <row r="6519" customFormat="false" ht="15" hidden="false" customHeight="false" outlineLevel="0" collapsed="false">
      <c r="A6519" s="6" t="s">
        <v>11743</v>
      </c>
      <c r="B6519" s="6" t="s">
        <v>1669</v>
      </c>
      <c r="C6519" s="26" t="n">
        <v>46219</v>
      </c>
      <c r="D6519" s="6" t="s">
        <v>5180</v>
      </c>
      <c r="E6519" s="6" t="s">
        <v>24</v>
      </c>
      <c r="F6519" s="6" t="n">
        <v>2</v>
      </c>
      <c r="G6519" s="10" t="n">
        <v>1987</v>
      </c>
      <c r="H6519" s="10" t="n">
        <f aca="false">F6519*G6519</f>
        <v>3974</v>
      </c>
      <c r="I6519" s="6" t="s">
        <v>5122</v>
      </c>
    </row>
    <row r="6520" customFormat="false" ht="15" hidden="false" customHeight="false" outlineLevel="0" collapsed="false">
      <c r="A6520" s="6" t="s">
        <v>11744</v>
      </c>
      <c r="B6520" s="6" t="s">
        <v>965</v>
      </c>
      <c r="C6520" s="26" t="n">
        <v>46219</v>
      </c>
      <c r="D6520" s="6" t="s">
        <v>5410</v>
      </c>
      <c r="E6520" s="6" t="s">
        <v>20</v>
      </c>
      <c r="F6520" s="6" t="n">
        <v>1</v>
      </c>
      <c r="G6520" s="10" t="n">
        <v>2548</v>
      </c>
      <c r="H6520" s="10" t="n">
        <f aca="false">F6520*G6520</f>
        <v>2548</v>
      </c>
      <c r="I6520" s="6" t="s">
        <v>5148</v>
      </c>
    </row>
    <row r="6521" customFormat="false" ht="15" hidden="false" customHeight="false" outlineLevel="0" collapsed="false">
      <c r="A6521" s="6" t="s">
        <v>11745</v>
      </c>
      <c r="B6521" s="6" t="s">
        <v>1725</v>
      </c>
      <c r="C6521" s="26" t="n">
        <v>46219</v>
      </c>
      <c r="D6521" s="6" t="s">
        <v>5226</v>
      </c>
      <c r="E6521" s="6" t="s">
        <v>24</v>
      </c>
      <c r="F6521" s="6" t="n">
        <v>1</v>
      </c>
      <c r="G6521" s="10" t="n">
        <v>457</v>
      </c>
      <c r="H6521" s="10" t="n">
        <f aca="false">F6521*G6521</f>
        <v>457</v>
      </c>
      <c r="I6521" s="6" t="s">
        <v>5173</v>
      </c>
    </row>
    <row r="6522" customFormat="false" ht="15" hidden="false" customHeight="false" outlineLevel="0" collapsed="false">
      <c r="A6522" s="6" t="s">
        <v>11746</v>
      </c>
      <c r="B6522" s="6" t="s">
        <v>1859</v>
      </c>
      <c r="C6522" s="26" t="n">
        <v>46219</v>
      </c>
      <c r="D6522" s="6" t="s">
        <v>5202</v>
      </c>
      <c r="E6522" s="6" t="s">
        <v>23</v>
      </c>
      <c r="F6522" s="6" t="n">
        <v>2</v>
      </c>
      <c r="G6522" s="10" t="n">
        <v>220</v>
      </c>
      <c r="H6522" s="10" t="n">
        <f aca="false">F6522*G6522</f>
        <v>440</v>
      </c>
      <c r="I6522" s="6" t="s">
        <v>5122</v>
      </c>
    </row>
    <row r="6523" customFormat="false" ht="15" hidden="false" customHeight="false" outlineLevel="0" collapsed="false">
      <c r="A6523" s="6" t="s">
        <v>11747</v>
      </c>
      <c r="B6523" s="6" t="s">
        <v>3197</v>
      </c>
      <c r="C6523" s="26" t="n">
        <v>46219</v>
      </c>
      <c r="D6523" s="6" t="s">
        <v>5269</v>
      </c>
      <c r="E6523" s="6" t="s">
        <v>22</v>
      </c>
      <c r="F6523" s="6" t="n">
        <v>2</v>
      </c>
      <c r="G6523" s="10" t="n">
        <v>1271</v>
      </c>
      <c r="H6523" s="10" t="n">
        <f aca="false">F6523*G6523</f>
        <v>2542</v>
      </c>
      <c r="I6523" s="6" t="s">
        <v>5122</v>
      </c>
    </row>
    <row r="6524" customFormat="false" ht="15" hidden="false" customHeight="false" outlineLevel="0" collapsed="false">
      <c r="A6524" s="6" t="s">
        <v>11748</v>
      </c>
      <c r="B6524" s="6" t="s">
        <v>3077</v>
      </c>
      <c r="C6524" s="26" t="n">
        <v>46219</v>
      </c>
      <c r="D6524" s="6" t="s">
        <v>5156</v>
      </c>
      <c r="E6524" s="6" t="s">
        <v>21</v>
      </c>
      <c r="F6524" s="6" t="n">
        <v>1</v>
      </c>
      <c r="G6524" s="10" t="n">
        <v>1945</v>
      </c>
      <c r="H6524" s="10" t="n">
        <f aca="false">F6524*G6524</f>
        <v>1945</v>
      </c>
      <c r="I6524" s="6" t="s">
        <v>5122</v>
      </c>
    </row>
    <row r="6525" customFormat="false" ht="15" hidden="false" customHeight="false" outlineLevel="0" collapsed="false">
      <c r="A6525" s="6" t="s">
        <v>11749</v>
      </c>
      <c r="B6525" s="6" t="s">
        <v>4967</v>
      </c>
      <c r="C6525" s="26" t="n">
        <v>46219</v>
      </c>
      <c r="D6525" s="6" t="s">
        <v>5171</v>
      </c>
      <c r="E6525" s="6" t="s">
        <v>23</v>
      </c>
      <c r="F6525" s="6" t="n">
        <v>5</v>
      </c>
      <c r="G6525" s="10" t="n">
        <v>734</v>
      </c>
      <c r="H6525" s="10" t="n">
        <f aca="false">F6525*G6525</f>
        <v>3670</v>
      </c>
      <c r="I6525" s="6" t="s">
        <v>5122</v>
      </c>
    </row>
    <row r="6526" customFormat="false" ht="15" hidden="false" customHeight="false" outlineLevel="0" collapsed="false">
      <c r="A6526" s="6" t="s">
        <v>11750</v>
      </c>
      <c r="B6526" s="6" t="s">
        <v>1927</v>
      </c>
      <c r="C6526" s="26" t="n">
        <v>46219</v>
      </c>
      <c r="D6526" s="6" t="s">
        <v>5171</v>
      </c>
      <c r="E6526" s="6" t="s">
        <v>23</v>
      </c>
      <c r="F6526" s="6" t="n">
        <v>2</v>
      </c>
      <c r="G6526" s="10" t="n">
        <v>697</v>
      </c>
      <c r="H6526" s="10" t="n">
        <f aca="false">F6526*G6526</f>
        <v>1394</v>
      </c>
      <c r="I6526" s="6" t="s">
        <v>5133</v>
      </c>
    </row>
    <row r="6527" customFormat="false" ht="15" hidden="false" customHeight="false" outlineLevel="0" collapsed="false">
      <c r="A6527" s="6" t="s">
        <v>11751</v>
      </c>
      <c r="B6527" s="6" t="s">
        <v>5061</v>
      </c>
      <c r="C6527" s="26" t="n">
        <v>46219</v>
      </c>
      <c r="D6527" s="6" t="s">
        <v>5807</v>
      </c>
      <c r="E6527" s="6" t="s">
        <v>20</v>
      </c>
      <c r="F6527" s="6" t="n">
        <v>1</v>
      </c>
      <c r="G6527" s="10" t="n">
        <v>15296</v>
      </c>
      <c r="H6527" s="10" t="n">
        <f aca="false">F6527*G6527</f>
        <v>15296</v>
      </c>
      <c r="I6527" s="6" t="s">
        <v>5125</v>
      </c>
    </row>
    <row r="6528" customFormat="false" ht="15" hidden="false" customHeight="false" outlineLevel="0" collapsed="false">
      <c r="A6528" s="6" t="s">
        <v>11752</v>
      </c>
      <c r="B6528" s="6" t="s">
        <v>3619</v>
      </c>
      <c r="C6528" s="26" t="n">
        <v>46219</v>
      </c>
      <c r="D6528" s="6" t="s">
        <v>5141</v>
      </c>
      <c r="E6528" s="6" t="s">
        <v>20</v>
      </c>
      <c r="F6528" s="6" t="n">
        <v>3</v>
      </c>
      <c r="G6528" s="10" t="n">
        <v>1743</v>
      </c>
      <c r="H6528" s="10" t="n">
        <f aca="false">F6528*G6528</f>
        <v>5229</v>
      </c>
      <c r="I6528" s="6" t="s">
        <v>5130</v>
      </c>
    </row>
    <row r="6529" customFormat="false" ht="15" hidden="false" customHeight="false" outlineLevel="0" collapsed="false">
      <c r="A6529" s="6" t="s">
        <v>11753</v>
      </c>
      <c r="B6529" s="6" t="s">
        <v>4457</v>
      </c>
      <c r="C6529" s="26" t="n">
        <v>46219</v>
      </c>
      <c r="D6529" s="6" t="s">
        <v>5121</v>
      </c>
      <c r="E6529" s="6" t="s">
        <v>22</v>
      </c>
      <c r="F6529" s="6" t="n">
        <v>2</v>
      </c>
      <c r="G6529" s="10" t="n">
        <v>977</v>
      </c>
      <c r="H6529" s="10" t="n">
        <f aca="false">F6529*G6529</f>
        <v>1954</v>
      </c>
      <c r="I6529" s="6" t="s">
        <v>5148</v>
      </c>
    </row>
    <row r="6530" customFormat="false" ht="15" hidden="false" customHeight="false" outlineLevel="0" collapsed="false">
      <c r="A6530" s="6" t="s">
        <v>11754</v>
      </c>
      <c r="B6530" s="6" t="s">
        <v>4729</v>
      </c>
      <c r="C6530" s="26" t="n">
        <v>46219</v>
      </c>
      <c r="D6530" s="6" t="s">
        <v>5165</v>
      </c>
      <c r="E6530" s="6" t="s">
        <v>22</v>
      </c>
      <c r="F6530" s="6" t="n">
        <v>1</v>
      </c>
      <c r="G6530" s="10" t="n">
        <v>880</v>
      </c>
      <c r="H6530" s="10" t="n">
        <f aca="false">F6530*G6530</f>
        <v>880</v>
      </c>
      <c r="I6530" s="6" t="s">
        <v>5130</v>
      </c>
    </row>
    <row r="6531" customFormat="false" ht="15" hidden="false" customHeight="false" outlineLevel="0" collapsed="false">
      <c r="A6531" s="6" t="s">
        <v>11755</v>
      </c>
      <c r="B6531" s="6" t="s">
        <v>2773</v>
      </c>
      <c r="C6531" s="26" t="n">
        <v>46220</v>
      </c>
      <c r="D6531" s="6" t="s">
        <v>5259</v>
      </c>
      <c r="E6531" s="6" t="s">
        <v>22</v>
      </c>
      <c r="F6531" s="6" t="n">
        <v>1</v>
      </c>
      <c r="G6531" s="10" t="n">
        <v>1486</v>
      </c>
      <c r="H6531" s="10" t="n">
        <f aca="false">F6531*G6531</f>
        <v>1486</v>
      </c>
      <c r="I6531" s="6" t="s">
        <v>5130</v>
      </c>
    </row>
    <row r="6532" customFormat="false" ht="15" hidden="false" customHeight="false" outlineLevel="0" collapsed="false">
      <c r="A6532" s="6" t="s">
        <v>11756</v>
      </c>
      <c r="B6532" s="6" t="s">
        <v>2041</v>
      </c>
      <c r="C6532" s="26" t="n">
        <v>46220</v>
      </c>
      <c r="D6532" s="6" t="s">
        <v>5139</v>
      </c>
      <c r="E6532" s="6" t="s">
        <v>23</v>
      </c>
      <c r="F6532" s="6" t="n">
        <v>3</v>
      </c>
      <c r="G6532" s="10" t="n">
        <v>279</v>
      </c>
      <c r="H6532" s="10" t="n">
        <f aca="false">F6532*G6532</f>
        <v>837</v>
      </c>
      <c r="I6532" s="6" t="s">
        <v>5173</v>
      </c>
    </row>
    <row r="6533" customFormat="false" ht="15" hidden="false" customHeight="false" outlineLevel="0" collapsed="false">
      <c r="A6533" s="6" t="s">
        <v>11757</v>
      </c>
      <c r="B6533" s="6" t="s">
        <v>4919</v>
      </c>
      <c r="C6533" s="26" t="n">
        <v>46220</v>
      </c>
      <c r="D6533" s="6" t="s">
        <v>5345</v>
      </c>
      <c r="E6533" s="6" t="s">
        <v>23</v>
      </c>
      <c r="F6533" s="6" t="n">
        <v>3</v>
      </c>
      <c r="G6533" s="10" t="n">
        <v>392</v>
      </c>
      <c r="H6533" s="10" t="n">
        <f aca="false">F6533*G6533</f>
        <v>1176</v>
      </c>
      <c r="I6533" s="6" t="s">
        <v>5122</v>
      </c>
    </row>
    <row r="6534" customFormat="false" ht="15" hidden="false" customHeight="false" outlineLevel="0" collapsed="false">
      <c r="A6534" s="6" t="s">
        <v>11758</v>
      </c>
      <c r="B6534" s="6" t="s">
        <v>4483</v>
      </c>
      <c r="C6534" s="26" t="n">
        <v>46220</v>
      </c>
      <c r="D6534" s="6" t="s">
        <v>5353</v>
      </c>
      <c r="E6534" s="6" t="s">
        <v>24</v>
      </c>
      <c r="F6534" s="6" t="n">
        <v>1</v>
      </c>
      <c r="G6534" s="10" t="n">
        <v>1548</v>
      </c>
      <c r="H6534" s="10" t="n">
        <f aca="false">F6534*G6534</f>
        <v>1548</v>
      </c>
      <c r="I6534" s="6" t="s">
        <v>5122</v>
      </c>
    </row>
    <row r="6535" customFormat="false" ht="15" hidden="false" customHeight="false" outlineLevel="0" collapsed="false">
      <c r="A6535" s="6" t="s">
        <v>11759</v>
      </c>
      <c r="B6535" s="6" t="s">
        <v>4037</v>
      </c>
      <c r="C6535" s="26" t="n">
        <v>46220</v>
      </c>
      <c r="D6535" s="6" t="s">
        <v>5410</v>
      </c>
      <c r="E6535" s="6" t="s">
        <v>20</v>
      </c>
      <c r="F6535" s="6" t="n">
        <v>2</v>
      </c>
      <c r="G6535" s="10" t="n">
        <v>2548</v>
      </c>
      <c r="H6535" s="10" t="n">
        <f aca="false">F6535*G6535</f>
        <v>5096</v>
      </c>
      <c r="I6535" s="6" t="s">
        <v>5125</v>
      </c>
    </row>
    <row r="6536" customFormat="false" ht="15" hidden="false" customHeight="false" outlineLevel="0" collapsed="false">
      <c r="A6536" s="6" t="s">
        <v>11760</v>
      </c>
      <c r="B6536" s="6" t="s">
        <v>941</v>
      </c>
      <c r="C6536" s="26" t="n">
        <v>46220</v>
      </c>
      <c r="D6536" s="6" t="s">
        <v>5139</v>
      </c>
      <c r="E6536" s="6" t="s">
        <v>23</v>
      </c>
      <c r="F6536" s="6" t="n">
        <v>5</v>
      </c>
      <c r="G6536" s="10" t="n">
        <v>279</v>
      </c>
      <c r="H6536" s="10" t="n">
        <f aca="false">F6536*G6536</f>
        <v>1395</v>
      </c>
      <c r="I6536" s="6" t="s">
        <v>5148</v>
      </c>
    </row>
    <row r="6537" customFormat="false" ht="15" hidden="false" customHeight="false" outlineLevel="0" collapsed="false">
      <c r="A6537" s="6" t="s">
        <v>11761</v>
      </c>
      <c r="B6537" s="6" t="s">
        <v>1965</v>
      </c>
      <c r="C6537" s="26" t="n">
        <v>46220</v>
      </c>
      <c r="D6537" s="6" t="s">
        <v>5167</v>
      </c>
      <c r="E6537" s="6" t="s">
        <v>22</v>
      </c>
      <c r="F6537" s="6" t="n">
        <v>1</v>
      </c>
      <c r="G6537" s="10" t="n">
        <v>743</v>
      </c>
      <c r="H6537" s="10" t="n">
        <f aca="false">F6537*G6537</f>
        <v>743</v>
      </c>
      <c r="I6537" s="6" t="s">
        <v>5130</v>
      </c>
    </row>
    <row r="6538" customFormat="false" ht="15" hidden="false" customHeight="false" outlineLevel="0" collapsed="false">
      <c r="A6538" s="6" t="s">
        <v>11762</v>
      </c>
      <c r="B6538" s="6" t="s">
        <v>2431</v>
      </c>
      <c r="C6538" s="26" t="n">
        <v>46220</v>
      </c>
      <c r="D6538" s="6" t="s">
        <v>5163</v>
      </c>
      <c r="E6538" s="6" t="s">
        <v>23</v>
      </c>
      <c r="F6538" s="6" t="n">
        <v>3</v>
      </c>
      <c r="G6538" s="10" t="n">
        <v>783</v>
      </c>
      <c r="H6538" s="10" t="n">
        <f aca="false">F6538*G6538</f>
        <v>2349</v>
      </c>
      <c r="I6538" s="6" t="s">
        <v>5122</v>
      </c>
    </row>
    <row r="6539" customFormat="false" ht="15" hidden="false" customHeight="false" outlineLevel="0" collapsed="false">
      <c r="A6539" s="6" t="s">
        <v>11763</v>
      </c>
      <c r="B6539" s="6" t="s">
        <v>519</v>
      </c>
      <c r="C6539" s="26" t="n">
        <v>46220</v>
      </c>
      <c r="D6539" s="6" t="s">
        <v>5165</v>
      </c>
      <c r="E6539" s="6" t="s">
        <v>22</v>
      </c>
      <c r="F6539" s="6" t="n">
        <v>1</v>
      </c>
      <c r="G6539" s="10" t="n">
        <v>879</v>
      </c>
      <c r="H6539" s="10" t="n">
        <f aca="false">F6539*G6539</f>
        <v>879</v>
      </c>
      <c r="I6539" s="6" t="s">
        <v>5148</v>
      </c>
    </row>
    <row r="6540" customFormat="false" ht="15" hidden="false" customHeight="false" outlineLevel="0" collapsed="false">
      <c r="A6540" s="6" t="s">
        <v>11764</v>
      </c>
      <c r="B6540" s="6" t="s">
        <v>2899</v>
      </c>
      <c r="C6540" s="26" t="n">
        <v>46220</v>
      </c>
      <c r="D6540" s="6" t="s">
        <v>5139</v>
      </c>
      <c r="E6540" s="6" t="s">
        <v>23</v>
      </c>
      <c r="F6540" s="6" t="n">
        <v>1</v>
      </c>
      <c r="G6540" s="10" t="n">
        <v>279</v>
      </c>
      <c r="H6540" s="10" t="n">
        <f aca="false">F6540*G6540</f>
        <v>279</v>
      </c>
      <c r="I6540" s="6" t="s">
        <v>5122</v>
      </c>
    </row>
    <row r="6541" customFormat="false" ht="15" hidden="false" customHeight="false" outlineLevel="0" collapsed="false">
      <c r="A6541" s="6" t="s">
        <v>11765</v>
      </c>
      <c r="B6541" s="6" t="s">
        <v>2473</v>
      </c>
      <c r="C6541" s="26" t="n">
        <v>46220</v>
      </c>
      <c r="D6541" s="6" t="s">
        <v>5182</v>
      </c>
      <c r="E6541" s="6" t="s">
        <v>23</v>
      </c>
      <c r="F6541" s="6" t="n">
        <v>4</v>
      </c>
      <c r="G6541" s="10" t="n">
        <v>367</v>
      </c>
      <c r="H6541" s="10" t="n">
        <f aca="false">F6541*G6541</f>
        <v>1468</v>
      </c>
      <c r="I6541" s="6" t="s">
        <v>5173</v>
      </c>
    </row>
    <row r="6542" customFormat="false" ht="15" hidden="false" customHeight="false" outlineLevel="0" collapsed="false">
      <c r="A6542" s="6" t="s">
        <v>11766</v>
      </c>
      <c r="B6542" s="6" t="s">
        <v>1939</v>
      </c>
      <c r="C6542" s="26" t="n">
        <v>46220</v>
      </c>
      <c r="D6542" s="6" t="s">
        <v>5137</v>
      </c>
      <c r="E6542" s="6" t="s">
        <v>21</v>
      </c>
      <c r="F6542" s="6" t="n">
        <v>1</v>
      </c>
      <c r="G6542" s="10" t="n">
        <v>1591</v>
      </c>
      <c r="H6542" s="10" t="n">
        <f aca="false">F6542*G6542</f>
        <v>1591</v>
      </c>
      <c r="I6542" s="6" t="s">
        <v>5122</v>
      </c>
    </row>
    <row r="6543" customFormat="false" ht="15" hidden="false" customHeight="false" outlineLevel="0" collapsed="false">
      <c r="A6543" s="6" t="s">
        <v>11767</v>
      </c>
      <c r="B6543" s="6" t="s">
        <v>1309</v>
      </c>
      <c r="C6543" s="26" t="n">
        <v>46220</v>
      </c>
      <c r="D6543" s="6" t="s">
        <v>5121</v>
      </c>
      <c r="E6543" s="6" t="s">
        <v>22</v>
      </c>
      <c r="F6543" s="6" t="n">
        <v>2</v>
      </c>
      <c r="G6543" s="10" t="n">
        <v>977</v>
      </c>
      <c r="H6543" s="10" t="n">
        <f aca="false">F6543*G6543</f>
        <v>1954</v>
      </c>
      <c r="I6543" s="6" t="s">
        <v>5122</v>
      </c>
    </row>
    <row r="6544" customFormat="false" ht="15" hidden="false" customHeight="false" outlineLevel="0" collapsed="false">
      <c r="A6544" s="6" t="s">
        <v>11768</v>
      </c>
      <c r="B6544" s="6" t="s">
        <v>3193</v>
      </c>
      <c r="C6544" s="26" t="n">
        <v>46220</v>
      </c>
      <c r="D6544" s="6" t="s">
        <v>5456</v>
      </c>
      <c r="E6544" s="6" t="s">
        <v>24</v>
      </c>
      <c r="F6544" s="6" t="n">
        <v>3</v>
      </c>
      <c r="G6544" s="10" t="n">
        <v>912</v>
      </c>
      <c r="H6544" s="10" t="n">
        <f aca="false">F6544*G6544</f>
        <v>2736</v>
      </c>
      <c r="I6544" s="6" t="s">
        <v>5148</v>
      </c>
    </row>
    <row r="6545" customFormat="false" ht="15" hidden="false" customHeight="false" outlineLevel="0" collapsed="false">
      <c r="A6545" s="6" t="s">
        <v>11769</v>
      </c>
      <c r="B6545" s="6" t="s">
        <v>3399</v>
      </c>
      <c r="C6545" s="26" t="n">
        <v>46220</v>
      </c>
      <c r="D6545" s="6" t="s">
        <v>5200</v>
      </c>
      <c r="E6545" s="6" t="s">
        <v>24</v>
      </c>
      <c r="F6545" s="6" t="n">
        <v>1</v>
      </c>
      <c r="G6545" s="10" t="n">
        <v>725</v>
      </c>
      <c r="H6545" s="10" t="n">
        <f aca="false">F6545*G6545</f>
        <v>725</v>
      </c>
      <c r="I6545" s="6" t="s">
        <v>5122</v>
      </c>
    </row>
    <row r="6546" customFormat="false" ht="15" hidden="false" customHeight="false" outlineLevel="0" collapsed="false">
      <c r="A6546" s="6" t="s">
        <v>11770</v>
      </c>
      <c r="B6546" s="6" t="s">
        <v>725</v>
      </c>
      <c r="C6546" s="26" t="n">
        <v>46220</v>
      </c>
      <c r="D6546" s="6" t="s">
        <v>5139</v>
      </c>
      <c r="E6546" s="6" t="s">
        <v>23</v>
      </c>
      <c r="F6546" s="6" t="n">
        <v>3</v>
      </c>
      <c r="G6546" s="10" t="n">
        <v>265</v>
      </c>
      <c r="H6546" s="10" t="n">
        <f aca="false">F6546*G6546</f>
        <v>795</v>
      </c>
      <c r="I6546" s="6" t="s">
        <v>5173</v>
      </c>
    </row>
    <row r="6547" customFormat="false" ht="15" hidden="false" customHeight="false" outlineLevel="0" collapsed="false">
      <c r="A6547" s="6" t="s">
        <v>11771</v>
      </c>
      <c r="B6547" s="6" t="s">
        <v>317</v>
      </c>
      <c r="C6547" s="26" t="n">
        <v>46220</v>
      </c>
      <c r="D6547" s="6" t="s">
        <v>5160</v>
      </c>
      <c r="E6547" s="6" t="s">
        <v>21</v>
      </c>
      <c r="F6547" s="6" t="n">
        <v>2</v>
      </c>
      <c r="G6547" s="10" t="n">
        <v>2751</v>
      </c>
      <c r="H6547" s="10" t="n">
        <f aca="false">F6547*G6547</f>
        <v>5502</v>
      </c>
      <c r="I6547" s="6" t="s">
        <v>5148</v>
      </c>
    </row>
    <row r="6548" customFormat="false" ht="15" hidden="false" customHeight="false" outlineLevel="0" collapsed="false">
      <c r="A6548" s="6" t="s">
        <v>11772</v>
      </c>
      <c r="B6548" s="6" t="s">
        <v>1433</v>
      </c>
      <c r="C6548" s="26" t="n">
        <v>46220</v>
      </c>
      <c r="D6548" s="6" t="s">
        <v>5165</v>
      </c>
      <c r="E6548" s="6" t="s">
        <v>22</v>
      </c>
      <c r="F6548" s="6" t="n">
        <v>3</v>
      </c>
      <c r="G6548" s="10" t="n">
        <v>928</v>
      </c>
      <c r="H6548" s="10" t="n">
        <f aca="false">F6548*G6548</f>
        <v>2784</v>
      </c>
      <c r="I6548" s="6" t="s">
        <v>5125</v>
      </c>
    </row>
    <row r="6549" customFormat="false" ht="15" hidden="false" customHeight="false" outlineLevel="0" collapsed="false">
      <c r="A6549" s="6" t="s">
        <v>11773</v>
      </c>
      <c r="B6549" s="6" t="s">
        <v>4725</v>
      </c>
      <c r="C6549" s="26" t="n">
        <v>46220</v>
      </c>
      <c r="D6549" s="6" t="s">
        <v>5156</v>
      </c>
      <c r="E6549" s="6" t="s">
        <v>21</v>
      </c>
      <c r="F6549" s="6" t="n">
        <v>1</v>
      </c>
      <c r="G6549" s="10" t="n">
        <v>2161</v>
      </c>
      <c r="H6549" s="10" t="n">
        <f aca="false">F6549*G6549</f>
        <v>2161</v>
      </c>
      <c r="I6549" s="6" t="s">
        <v>5122</v>
      </c>
    </row>
    <row r="6550" customFormat="false" ht="15" hidden="false" customHeight="false" outlineLevel="0" collapsed="false">
      <c r="A6550" s="6" t="s">
        <v>11774</v>
      </c>
      <c r="B6550" s="6" t="s">
        <v>2671</v>
      </c>
      <c r="C6550" s="26" t="n">
        <v>46220</v>
      </c>
      <c r="D6550" s="6" t="s">
        <v>5171</v>
      </c>
      <c r="E6550" s="6" t="s">
        <v>23</v>
      </c>
      <c r="F6550" s="6" t="n">
        <v>4</v>
      </c>
      <c r="G6550" s="10" t="n">
        <v>661</v>
      </c>
      <c r="H6550" s="10" t="n">
        <f aca="false">F6550*G6550</f>
        <v>2644</v>
      </c>
      <c r="I6550" s="6" t="s">
        <v>5122</v>
      </c>
    </row>
    <row r="6551" customFormat="false" ht="15" hidden="false" customHeight="false" outlineLevel="0" collapsed="false">
      <c r="A6551" s="6" t="s">
        <v>11775</v>
      </c>
      <c r="B6551" s="6" t="s">
        <v>853</v>
      </c>
      <c r="C6551" s="26" t="n">
        <v>46220</v>
      </c>
      <c r="D6551" s="6" t="s">
        <v>5171</v>
      </c>
      <c r="E6551" s="6" t="s">
        <v>23</v>
      </c>
      <c r="F6551" s="6" t="n">
        <v>3</v>
      </c>
      <c r="G6551" s="10" t="n">
        <v>661</v>
      </c>
      <c r="H6551" s="10" t="n">
        <f aca="false">F6551*G6551</f>
        <v>1983</v>
      </c>
      <c r="I6551" s="6" t="s">
        <v>5130</v>
      </c>
    </row>
    <row r="6552" customFormat="false" ht="15" hidden="false" customHeight="false" outlineLevel="0" collapsed="false">
      <c r="A6552" s="6" t="s">
        <v>11776</v>
      </c>
      <c r="B6552" s="6" t="s">
        <v>2319</v>
      </c>
      <c r="C6552" s="26" t="n">
        <v>46220</v>
      </c>
      <c r="D6552" s="6" t="s">
        <v>5167</v>
      </c>
      <c r="E6552" s="6" t="s">
        <v>22</v>
      </c>
      <c r="F6552" s="6" t="n">
        <v>1</v>
      </c>
      <c r="G6552" s="10" t="n">
        <v>781</v>
      </c>
      <c r="H6552" s="10" t="n">
        <f aca="false">F6552*G6552</f>
        <v>781</v>
      </c>
      <c r="I6552" s="6" t="s">
        <v>5122</v>
      </c>
    </row>
    <row r="6553" customFormat="false" ht="15" hidden="false" customHeight="false" outlineLevel="0" collapsed="false">
      <c r="A6553" s="6" t="s">
        <v>11777</v>
      </c>
      <c r="B6553" s="6" t="s">
        <v>3315</v>
      </c>
      <c r="C6553" s="26" t="n">
        <v>46220</v>
      </c>
      <c r="D6553" s="6" t="s">
        <v>5561</v>
      </c>
      <c r="E6553" s="6" t="s">
        <v>20</v>
      </c>
      <c r="F6553" s="6" t="n">
        <v>2</v>
      </c>
      <c r="G6553" s="10" t="n">
        <v>3364</v>
      </c>
      <c r="H6553" s="10" t="n">
        <f aca="false">F6553*G6553</f>
        <v>6728</v>
      </c>
      <c r="I6553" s="6" t="s">
        <v>5130</v>
      </c>
    </row>
    <row r="6554" customFormat="false" ht="15" hidden="false" customHeight="false" outlineLevel="0" collapsed="false">
      <c r="A6554" s="6" t="s">
        <v>11778</v>
      </c>
      <c r="B6554" s="6" t="s">
        <v>2031</v>
      </c>
      <c r="C6554" s="26" t="n">
        <v>46220</v>
      </c>
      <c r="D6554" s="6" t="s">
        <v>5277</v>
      </c>
      <c r="E6554" s="6" t="s">
        <v>22</v>
      </c>
      <c r="F6554" s="6" t="n">
        <v>1</v>
      </c>
      <c r="G6554" s="10" t="n">
        <v>2738</v>
      </c>
      <c r="H6554" s="10" t="n">
        <f aca="false">F6554*G6554</f>
        <v>2738</v>
      </c>
      <c r="I6554" s="6" t="s">
        <v>5125</v>
      </c>
    </row>
    <row r="6555" customFormat="false" ht="15" hidden="false" customHeight="false" outlineLevel="0" collapsed="false">
      <c r="A6555" s="6" t="s">
        <v>11779</v>
      </c>
      <c r="B6555" s="6" t="s">
        <v>1245</v>
      </c>
      <c r="C6555" s="26" t="n">
        <v>46220</v>
      </c>
      <c r="D6555" s="6" t="s">
        <v>5180</v>
      </c>
      <c r="E6555" s="6" t="s">
        <v>24</v>
      </c>
      <c r="F6555" s="6" t="n">
        <v>2</v>
      </c>
      <c r="G6555" s="10" t="n">
        <v>1987</v>
      </c>
      <c r="H6555" s="10" t="n">
        <f aca="false">F6555*G6555</f>
        <v>3974</v>
      </c>
      <c r="I6555" s="6" t="s">
        <v>5122</v>
      </c>
    </row>
    <row r="6556" customFormat="false" ht="15" hidden="false" customHeight="false" outlineLevel="0" collapsed="false">
      <c r="A6556" s="6" t="s">
        <v>11780</v>
      </c>
      <c r="B6556" s="6" t="s">
        <v>2057</v>
      </c>
      <c r="C6556" s="26" t="n">
        <v>46220</v>
      </c>
      <c r="D6556" s="6" t="s">
        <v>5163</v>
      </c>
      <c r="E6556" s="6" t="s">
        <v>23</v>
      </c>
      <c r="F6556" s="6" t="n">
        <v>5</v>
      </c>
      <c r="G6556" s="10" t="n">
        <v>783</v>
      </c>
      <c r="H6556" s="10" t="n">
        <f aca="false">F6556*G6556</f>
        <v>3915</v>
      </c>
      <c r="I6556" s="6" t="s">
        <v>5122</v>
      </c>
    </row>
    <row r="6557" customFormat="false" ht="15" hidden="false" customHeight="false" outlineLevel="0" collapsed="false">
      <c r="A6557" s="6" t="s">
        <v>11781</v>
      </c>
      <c r="B6557" s="6" t="s">
        <v>3789</v>
      </c>
      <c r="C6557" s="26" t="n">
        <v>46220</v>
      </c>
      <c r="D6557" s="6" t="s">
        <v>5305</v>
      </c>
      <c r="E6557" s="6" t="s">
        <v>20</v>
      </c>
      <c r="F6557" s="6" t="n">
        <v>1</v>
      </c>
      <c r="G6557" s="10" t="n">
        <v>1468</v>
      </c>
      <c r="H6557" s="10" t="n">
        <f aca="false">F6557*G6557</f>
        <v>1468</v>
      </c>
      <c r="I6557" s="6" t="s">
        <v>5122</v>
      </c>
    </row>
    <row r="6558" customFormat="false" ht="15" hidden="false" customHeight="false" outlineLevel="0" collapsed="false">
      <c r="A6558" s="6" t="s">
        <v>11782</v>
      </c>
      <c r="B6558" s="6" t="s">
        <v>683</v>
      </c>
      <c r="C6558" s="26" t="n">
        <v>46220</v>
      </c>
      <c r="D6558" s="6" t="s">
        <v>5167</v>
      </c>
      <c r="E6558" s="6" t="s">
        <v>22</v>
      </c>
      <c r="F6558" s="6" t="n">
        <v>1</v>
      </c>
      <c r="G6558" s="10" t="n">
        <v>781</v>
      </c>
      <c r="H6558" s="10" t="n">
        <f aca="false">F6558*G6558</f>
        <v>781</v>
      </c>
      <c r="I6558" s="6" t="s">
        <v>5122</v>
      </c>
    </row>
    <row r="6559" customFormat="false" ht="15" hidden="false" customHeight="false" outlineLevel="0" collapsed="false">
      <c r="A6559" s="6" t="s">
        <v>11783</v>
      </c>
      <c r="B6559" s="6" t="s">
        <v>5097</v>
      </c>
      <c r="C6559" s="26" t="n">
        <v>46220</v>
      </c>
      <c r="D6559" s="6" t="s">
        <v>5135</v>
      </c>
      <c r="E6559" s="6" t="s">
        <v>23</v>
      </c>
      <c r="F6559" s="6" t="n">
        <v>4</v>
      </c>
      <c r="G6559" s="10" t="n">
        <v>397</v>
      </c>
      <c r="H6559" s="10" t="n">
        <f aca="false">F6559*G6559</f>
        <v>1588</v>
      </c>
      <c r="I6559" s="6" t="s">
        <v>5148</v>
      </c>
    </row>
    <row r="6560" customFormat="false" ht="15" hidden="false" customHeight="false" outlineLevel="0" collapsed="false">
      <c r="A6560" s="6" t="s">
        <v>11784</v>
      </c>
      <c r="B6560" s="6" t="s">
        <v>4877</v>
      </c>
      <c r="C6560" s="26" t="n">
        <v>46220</v>
      </c>
      <c r="D6560" s="6" t="s">
        <v>5863</v>
      </c>
      <c r="E6560" s="6" t="s">
        <v>20</v>
      </c>
      <c r="F6560" s="6" t="n">
        <v>2</v>
      </c>
      <c r="G6560" s="10" t="n">
        <v>19375</v>
      </c>
      <c r="H6560" s="10" t="n">
        <f aca="false">F6560*G6560</f>
        <v>38750</v>
      </c>
      <c r="I6560" s="6" t="s">
        <v>5130</v>
      </c>
    </row>
    <row r="6561" customFormat="false" ht="15" hidden="false" customHeight="false" outlineLevel="0" collapsed="false">
      <c r="A6561" s="6" t="s">
        <v>11785</v>
      </c>
      <c r="B6561" s="6" t="s">
        <v>3927</v>
      </c>
      <c r="C6561" s="26" t="n">
        <v>46220</v>
      </c>
      <c r="D6561" s="6" t="s">
        <v>5837</v>
      </c>
      <c r="E6561" s="6" t="s">
        <v>21</v>
      </c>
      <c r="F6561" s="6" t="n">
        <v>1</v>
      </c>
      <c r="G6561" s="10" t="n">
        <v>2800</v>
      </c>
      <c r="H6561" s="10" t="n">
        <f aca="false">F6561*G6561</f>
        <v>2800</v>
      </c>
      <c r="I6561" s="6" t="s">
        <v>5125</v>
      </c>
    </row>
    <row r="6562" customFormat="false" ht="15" hidden="false" customHeight="false" outlineLevel="0" collapsed="false">
      <c r="A6562" s="6" t="s">
        <v>11786</v>
      </c>
      <c r="B6562" s="6" t="s">
        <v>3863</v>
      </c>
      <c r="C6562" s="26" t="n">
        <v>46220</v>
      </c>
      <c r="D6562" s="6" t="s">
        <v>5165</v>
      </c>
      <c r="E6562" s="6" t="s">
        <v>22</v>
      </c>
      <c r="F6562" s="6" t="n">
        <v>1</v>
      </c>
      <c r="G6562" s="10" t="n">
        <v>977</v>
      </c>
      <c r="H6562" s="10" t="n">
        <f aca="false">F6562*G6562</f>
        <v>977</v>
      </c>
      <c r="I6562" s="6" t="s">
        <v>5125</v>
      </c>
    </row>
    <row r="6563" customFormat="false" ht="15" hidden="false" customHeight="false" outlineLevel="0" collapsed="false">
      <c r="A6563" s="6" t="s">
        <v>11787</v>
      </c>
      <c r="B6563" s="6" t="s">
        <v>5067</v>
      </c>
      <c r="C6563" s="26" t="n">
        <v>46220</v>
      </c>
      <c r="D6563" s="6" t="s">
        <v>5171</v>
      </c>
      <c r="E6563" s="6" t="s">
        <v>23</v>
      </c>
      <c r="F6563" s="6" t="n">
        <v>3</v>
      </c>
      <c r="G6563" s="10" t="n">
        <v>734</v>
      </c>
      <c r="H6563" s="10" t="n">
        <f aca="false">F6563*G6563</f>
        <v>2202</v>
      </c>
      <c r="I6563" s="6" t="s">
        <v>5122</v>
      </c>
    </row>
    <row r="6564" customFormat="false" ht="15" hidden="false" customHeight="false" outlineLevel="0" collapsed="false">
      <c r="A6564" s="6" t="s">
        <v>11788</v>
      </c>
      <c r="B6564" s="6" t="s">
        <v>3417</v>
      </c>
      <c r="C6564" s="26" t="n">
        <v>46220</v>
      </c>
      <c r="D6564" s="6" t="s">
        <v>5121</v>
      </c>
      <c r="E6564" s="6" t="s">
        <v>22</v>
      </c>
      <c r="F6564" s="6" t="n">
        <v>1</v>
      </c>
      <c r="G6564" s="10" t="n">
        <v>977</v>
      </c>
      <c r="H6564" s="10" t="n">
        <f aca="false">F6564*G6564</f>
        <v>977</v>
      </c>
      <c r="I6564" s="6" t="s">
        <v>5173</v>
      </c>
    </row>
    <row r="6565" customFormat="false" ht="15" hidden="false" customHeight="false" outlineLevel="0" collapsed="false">
      <c r="A6565" s="6" t="s">
        <v>11789</v>
      </c>
      <c r="B6565" s="6" t="s">
        <v>891</v>
      </c>
      <c r="C6565" s="26" t="n">
        <v>46220</v>
      </c>
      <c r="D6565" s="6" t="s">
        <v>5259</v>
      </c>
      <c r="E6565" s="6" t="s">
        <v>22</v>
      </c>
      <c r="F6565" s="6" t="n">
        <v>1</v>
      </c>
      <c r="G6565" s="10" t="n">
        <v>1564</v>
      </c>
      <c r="H6565" s="10" t="n">
        <f aca="false">F6565*G6565</f>
        <v>1564</v>
      </c>
      <c r="I6565" s="6" t="s">
        <v>5125</v>
      </c>
    </row>
    <row r="6566" customFormat="false" ht="15" hidden="false" customHeight="false" outlineLevel="0" collapsed="false">
      <c r="A6566" s="6" t="s">
        <v>11790</v>
      </c>
      <c r="B6566" s="6" t="s">
        <v>2683</v>
      </c>
      <c r="C6566" s="26" t="n">
        <v>46221</v>
      </c>
      <c r="D6566" s="6" t="s">
        <v>5197</v>
      </c>
      <c r="E6566" s="6" t="s">
        <v>21</v>
      </c>
      <c r="F6566" s="6" t="n">
        <v>1</v>
      </c>
      <c r="G6566" s="10" t="n">
        <v>972</v>
      </c>
      <c r="H6566" s="10" t="n">
        <f aca="false">F6566*G6566</f>
        <v>972</v>
      </c>
      <c r="I6566" s="6" t="s">
        <v>5122</v>
      </c>
    </row>
    <row r="6567" customFormat="false" ht="15" hidden="false" customHeight="false" outlineLevel="0" collapsed="false">
      <c r="A6567" s="6" t="s">
        <v>11791</v>
      </c>
      <c r="B6567" s="6" t="s">
        <v>2059</v>
      </c>
      <c r="C6567" s="26" t="n">
        <v>46221</v>
      </c>
      <c r="D6567" s="6" t="s">
        <v>5171</v>
      </c>
      <c r="E6567" s="6" t="s">
        <v>23</v>
      </c>
      <c r="F6567" s="6" t="n">
        <v>2</v>
      </c>
      <c r="G6567" s="10" t="n">
        <v>734</v>
      </c>
      <c r="H6567" s="10" t="n">
        <f aca="false">F6567*G6567</f>
        <v>1468</v>
      </c>
      <c r="I6567" s="6" t="s">
        <v>5148</v>
      </c>
    </row>
    <row r="6568" customFormat="false" ht="15" hidden="false" customHeight="false" outlineLevel="0" collapsed="false">
      <c r="A6568" s="6" t="s">
        <v>11792</v>
      </c>
      <c r="B6568" s="6" t="s">
        <v>3817</v>
      </c>
      <c r="C6568" s="26" t="n">
        <v>46221</v>
      </c>
      <c r="D6568" s="6" t="s">
        <v>5240</v>
      </c>
      <c r="E6568" s="6" t="s">
        <v>20</v>
      </c>
      <c r="F6568" s="6" t="n">
        <v>1</v>
      </c>
      <c r="G6568" s="10" t="n">
        <v>4588</v>
      </c>
      <c r="H6568" s="10" t="n">
        <f aca="false">F6568*G6568</f>
        <v>4588</v>
      </c>
      <c r="I6568" s="6" t="s">
        <v>5122</v>
      </c>
    </row>
    <row r="6569" customFormat="false" ht="15" hidden="false" customHeight="false" outlineLevel="0" collapsed="false">
      <c r="A6569" s="6" t="s">
        <v>11793</v>
      </c>
      <c r="B6569" s="6" t="s">
        <v>3553</v>
      </c>
      <c r="C6569" s="26" t="n">
        <v>46221</v>
      </c>
      <c r="D6569" s="6" t="s">
        <v>5192</v>
      </c>
      <c r="E6569" s="6" t="s">
        <v>20</v>
      </c>
      <c r="F6569" s="6" t="n">
        <v>1</v>
      </c>
      <c r="G6569" s="10" t="n">
        <v>4078</v>
      </c>
      <c r="H6569" s="10" t="n">
        <f aca="false">F6569*G6569</f>
        <v>4078</v>
      </c>
      <c r="I6569" s="6" t="s">
        <v>5148</v>
      </c>
    </row>
    <row r="6570" customFormat="false" ht="15" hidden="false" customHeight="false" outlineLevel="0" collapsed="false">
      <c r="A6570" s="6" t="s">
        <v>11794</v>
      </c>
      <c r="B6570" s="6" t="s">
        <v>1109</v>
      </c>
      <c r="C6570" s="26" t="n">
        <v>46221</v>
      </c>
      <c r="D6570" s="6" t="s">
        <v>5137</v>
      </c>
      <c r="E6570" s="6" t="s">
        <v>21</v>
      </c>
      <c r="F6570" s="6" t="n">
        <v>1</v>
      </c>
      <c r="G6570" s="10" t="n">
        <v>1680</v>
      </c>
      <c r="H6570" s="10" t="n">
        <f aca="false">F6570*G6570</f>
        <v>1680</v>
      </c>
      <c r="I6570" s="6" t="s">
        <v>5148</v>
      </c>
    </row>
    <row r="6571" customFormat="false" ht="15" hidden="false" customHeight="false" outlineLevel="0" collapsed="false">
      <c r="A6571" s="6" t="s">
        <v>11795</v>
      </c>
      <c r="B6571" s="6" t="s">
        <v>3777</v>
      </c>
      <c r="C6571" s="26" t="n">
        <v>46221</v>
      </c>
      <c r="D6571" s="6" t="s">
        <v>5691</v>
      </c>
      <c r="E6571" s="6" t="s">
        <v>21</v>
      </c>
      <c r="F6571" s="6" t="n">
        <v>1</v>
      </c>
      <c r="G6571" s="10" t="n">
        <v>5897</v>
      </c>
      <c r="H6571" s="10" t="n">
        <f aca="false">F6571*G6571</f>
        <v>5897</v>
      </c>
      <c r="I6571" s="6" t="s">
        <v>5130</v>
      </c>
    </row>
    <row r="6572" customFormat="false" ht="15" hidden="false" customHeight="false" outlineLevel="0" collapsed="false">
      <c r="A6572" s="6" t="s">
        <v>11796</v>
      </c>
      <c r="B6572" s="6" t="s">
        <v>2833</v>
      </c>
      <c r="C6572" s="26" t="n">
        <v>46221</v>
      </c>
      <c r="D6572" s="6" t="s">
        <v>5129</v>
      </c>
      <c r="E6572" s="6" t="s">
        <v>21</v>
      </c>
      <c r="F6572" s="6" t="n">
        <v>2</v>
      </c>
      <c r="G6572" s="10" t="n">
        <v>589</v>
      </c>
      <c r="H6572" s="10" t="n">
        <f aca="false">F6572*G6572</f>
        <v>1178</v>
      </c>
      <c r="I6572" s="6" t="s">
        <v>5148</v>
      </c>
    </row>
    <row r="6573" customFormat="false" ht="15" hidden="false" customHeight="false" outlineLevel="0" collapsed="false">
      <c r="A6573" s="6" t="s">
        <v>11797</v>
      </c>
      <c r="B6573" s="6" t="s">
        <v>2239</v>
      </c>
      <c r="C6573" s="26" t="n">
        <v>46221</v>
      </c>
      <c r="D6573" s="6" t="s">
        <v>5259</v>
      </c>
      <c r="E6573" s="6" t="s">
        <v>22</v>
      </c>
      <c r="F6573" s="6" t="n">
        <v>3</v>
      </c>
      <c r="G6573" s="10" t="n">
        <v>1564</v>
      </c>
      <c r="H6573" s="10" t="n">
        <f aca="false">F6573*G6573</f>
        <v>4692</v>
      </c>
      <c r="I6573" s="6" t="s">
        <v>5130</v>
      </c>
    </row>
    <row r="6574" customFormat="false" ht="15" hidden="false" customHeight="false" outlineLevel="0" collapsed="false">
      <c r="A6574" s="6" t="s">
        <v>11798</v>
      </c>
      <c r="B6574" s="6" t="s">
        <v>1189</v>
      </c>
      <c r="C6574" s="26" t="n">
        <v>46221</v>
      </c>
      <c r="D6574" s="6" t="s">
        <v>5175</v>
      </c>
      <c r="E6574" s="6" t="s">
        <v>24</v>
      </c>
      <c r="F6574" s="6" t="n">
        <v>1</v>
      </c>
      <c r="G6574" s="10" t="n">
        <v>611</v>
      </c>
      <c r="H6574" s="10" t="n">
        <f aca="false">F6574*G6574</f>
        <v>611</v>
      </c>
      <c r="I6574" s="6" t="s">
        <v>5133</v>
      </c>
    </row>
    <row r="6575" customFormat="false" ht="15" hidden="false" customHeight="false" outlineLevel="0" collapsed="false">
      <c r="A6575" s="6" t="s">
        <v>11799</v>
      </c>
      <c r="B6575" s="6" t="s">
        <v>2877</v>
      </c>
      <c r="C6575" s="26" t="n">
        <v>46221</v>
      </c>
      <c r="D6575" s="6" t="s">
        <v>5163</v>
      </c>
      <c r="E6575" s="6" t="s">
        <v>23</v>
      </c>
      <c r="F6575" s="6" t="n">
        <v>2</v>
      </c>
      <c r="G6575" s="10" t="n">
        <v>783</v>
      </c>
      <c r="H6575" s="10" t="n">
        <f aca="false">F6575*G6575</f>
        <v>1566</v>
      </c>
      <c r="I6575" s="6" t="s">
        <v>5122</v>
      </c>
    </row>
    <row r="6576" customFormat="false" ht="15" hidden="false" customHeight="false" outlineLevel="0" collapsed="false">
      <c r="A6576" s="6" t="s">
        <v>11800</v>
      </c>
      <c r="B6576" s="6" t="s">
        <v>4157</v>
      </c>
      <c r="C6576" s="26" t="n">
        <v>46221</v>
      </c>
      <c r="D6576" s="6" t="s">
        <v>5237</v>
      </c>
      <c r="E6576" s="6" t="s">
        <v>24</v>
      </c>
      <c r="F6576" s="6" t="n">
        <v>1</v>
      </c>
      <c r="G6576" s="10" t="n">
        <v>1741</v>
      </c>
      <c r="H6576" s="10" t="n">
        <f aca="false">F6576*G6576</f>
        <v>1741</v>
      </c>
      <c r="I6576" s="6" t="s">
        <v>5122</v>
      </c>
    </row>
    <row r="6577" customFormat="false" ht="15" hidden="false" customHeight="false" outlineLevel="0" collapsed="false">
      <c r="A6577" s="6" t="s">
        <v>11801</v>
      </c>
      <c r="B6577" s="6" t="s">
        <v>3629</v>
      </c>
      <c r="C6577" s="26" t="n">
        <v>46221</v>
      </c>
      <c r="D6577" s="6" t="s">
        <v>5165</v>
      </c>
      <c r="E6577" s="6" t="s">
        <v>22</v>
      </c>
      <c r="F6577" s="6" t="n">
        <v>2</v>
      </c>
      <c r="G6577" s="10" t="n">
        <v>977</v>
      </c>
      <c r="H6577" s="10" t="n">
        <f aca="false">F6577*G6577</f>
        <v>1954</v>
      </c>
      <c r="I6577" s="6" t="s">
        <v>5148</v>
      </c>
    </row>
    <row r="6578" customFormat="false" ht="15" hidden="false" customHeight="false" outlineLevel="0" collapsed="false">
      <c r="A6578" s="6" t="s">
        <v>11802</v>
      </c>
      <c r="B6578" s="6" t="s">
        <v>215</v>
      </c>
      <c r="C6578" s="26" t="n">
        <v>46221</v>
      </c>
      <c r="D6578" s="6" t="s">
        <v>5121</v>
      </c>
      <c r="E6578" s="6" t="s">
        <v>22</v>
      </c>
      <c r="F6578" s="6" t="n">
        <v>1</v>
      </c>
      <c r="G6578" s="10" t="n">
        <v>928</v>
      </c>
      <c r="H6578" s="10" t="n">
        <f aca="false">F6578*G6578</f>
        <v>928</v>
      </c>
      <c r="I6578" s="6" t="s">
        <v>5122</v>
      </c>
    </row>
    <row r="6579" customFormat="false" ht="15" hidden="false" customHeight="false" outlineLevel="0" collapsed="false">
      <c r="A6579" s="6" t="s">
        <v>11803</v>
      </c>
      <c r="B6579" s="6" t="s">
        <v>1137</v>
      </c>
      <c r="C6579" s="26" t="n">
        <v>46221</v>
      </c>
      <c r="D6579" s="6" t="s">
        <v>5141</v>
      </c>
      <c r="E6579" s="6" t="s">
        <v>20</v>
      </c>
      <c r="F6579" s="6" t="n">
        <v>1</v>
      </c>
      <c r="G6579" s="10" t="n">
        <v>1835</v>
      </c>
      <c r="H6579" s="10" t="n">
        <f aca="false">F6579*G6579</f>
        <v>1835</v>
      </c>
      <c r="I6579" s="6" t="s">
        <v>5125</v>
      </c>
    </row>
    <row r="6580" customFormat="false" ht="15" hidden="false" customHeight="false" outlineLevel="0" collapsed="false">
      <c r="A6580" s="6" t="s">
        <v>11804</v>
      </c>
      <c r="B6580" s="6" t="s">
        <v>1499</v>
      </c>
      <c r="C6580" s="26" t="n">
        <v>46221</v>
      </c>
      <c r="D6580" s="6" t="s">
        <v>5143</v>
      </c>
      <c r="E6580" s="6" t="s">
        <v>21</v>
      </c>
      <c r="F6580" s="6" t="n">
        <v>1</v>
      </c>
      <c r="G6580" s="10" t="n">
        <v>1179</v>
      </c>
      <c r="H6580" s="10" t="n">
        <f aca="false">F6580*G6580</f>
        <v>1179</v>
      </c>
      <c r="I6580" s="6" t="s">
        <v>5130</v>
      </c>
    </row>
    <row r="6581" customFormat="false" ht="15" hidden="false" customHeight="false" outlineLevel="0" collapsed="false">
      <c r="A6581" s="6" t="s">
        <v>11805</v>
      </c>
      <c r="B6581" s="6" t="s">
        <v>4303</v>
      </c>
      <c r="C6581" s="26" t="n">
        <v>46221</v>
      </c>
      <c r="D6581" s="6" t="s">
        <v>5305</v>
      </c>
      <c r="E6581" s="6" t="s">
        <v>20</v>
      </c>
      <c r="F6581" s="6" t="n">
        <v>3</v>
      </c>
      <c r="G6581" s="10" t="n">
        <v>1631</v>
      </c>
      <c r="H6581" s="10" t="n">
        <f aca="false">F6581*G6581</f>
        <v>4893</v>
      </c>
      <c r="I6581" s="6" t="s">
        <v>5148</v>
      </c>
    </row>
    <row r="6582" customFormat="false" ht="15" hidden="false" customHeight="false" outlineLevel="0" collapsed="false">
      <c r="A6582" s="6" t="s">
        <v>11806</v>
      </c>
      <c r="B6582" s="6" t="s">
        <v>1405</v>
      </c>
      <c r="C6582" s="26" t="n">
        <v>46221</v>
      </c>
      <c r="D6582" s="6" t="s">
        <v>5129</v>
      </c>
      <c r="E6582" s="6" t="s">
        <v>21</v>
      </c>
      <c r="F6582" s="6" t="n">
        <v>1</v>
      </c>
      <c r="G6582" s="10" t="n">
        <v>530</v>
      </c>
      <c r="H6582" s="10" t="n">
        <f aca="false">F6582*G6582</f>
        <v>530</v>
      </c>
      <c r="I6582" s="6" t="s">
        <v>5125</v>
      </c>
    </row>
    <row r="6583" customFormat="false" ht="15" hidden="false" customHeight="false" outlineLevel="0" collapsed="false">
      <c r="A6583" s="6" t="s">
        <v>11807</v>
      </c>
      <c r="B6583" s="6" t="s">
        <v>883</v>
      </c>
      <c r="C6583" s="26" t="n">
        <v>46221</v>
      </c>
      <c r="D6583" s="6" t="s">
        <v>5410</v>
      </c>
      <c r="E6583" s="6" t="s">
        <v>20</v>
      </c>
      <c r="F6583" s="6" t="n">
        <v>1</v>
      </c>
      <c r="G6583" s="10" t="n">
        <v>2548</v>
      </c>
      <c r="H6583" s="10" t="n">
        <f aca="false">F6583*G6583</f>
        <v>2548</v>
      </c>
      <c r="I6583" s="6" t="s">
        <v>5173</v>
      </c>
    </row>
    <row r="6584" customFormat="false" ht="15" hidden="false" customHeight="false" outlineLevel="0" collapsed="false">
      <c r="A6584" s="6" t="s">
        <v>11808</v>
      </c>
      <c r="B6584" s="6" t="s">
        <v>5043</v>
      </c>
      <c r="C6584" s="26" t="n">
        <v>46221</v>
      </c>
      <c r="D6584" s="6" t="s">
        <v>5124</v>
      </c>
      <c r="E6584" s="6" t="s">
        <v>21</v>
      </c>
      <c r="F6584" s="6" t="n">
        <v>1</v>
      </c>
      <c r="G6584" s="10" t="n">
        <v>3095</v>
      </c>
      <c r="H6584" s="10" t="n">
        <f aca="false">F6584*G6584</f>
        <v>3095</v>
      </c>
      <c r="I6584" s="6" t="s">
        <v>5122</v>
      </c>
    </row>
    <row r="6585" customFormat="false" ht="15" hidden="false" customHeight="false" outlineLevel="0" collapsed="false">
      <c r="A6585" s="6" t="s">
        <v>11809</v>
      </c>
      <c r="B6585" s="6" t="s">
        <v>2839</v>
      </c>
      <c r="C6585" s="26" t="n">
        <v>46221</v>
      </c>
      <c r="D6585" s="6" t="s">
        <v>6046</v>
      </c>
      <c r="E6585" s="6" t="s">
        <v>22</v>
      </c>
      <c r="F6585" s="6" t="n">
        <v>2</v>
      </c>
      <c r="G6585" s="10" t="n">
        <v>4401</v>
      </c>
      <c r="H6585" s="10" t="n">
        <f aca="false">F6585*G6585</f>
        <v>8802</v>
      </c>
      <c r="I6585" s="6" t="s">
        <v>5122</v>
      </c>
    </row>
    <row r="6586" customFormat="false" ht="15" hidden="false" customHeight="false" outlineLevel="0" collapsed="false">
      <c r="A6586" s="6" t="s">
        <v>11810</v>
      </c>
      <c r="B6586" s="6" t="s">
        <v>3059</v>
      </c>
      <c r="C6586" s="26" t="n">
        <v>46221</v>
      </c>
      <c r="D6586" s="6" t="s">
        <v>5127</v>
      </c>
      <c r="E6586" s="6" t="s">
        <v>21</v>
      </c>
      <c r="F6586" s="6" t="n">
        <v>1</v>
      </c>
      <c r="G6586" s="10" t="n">
        <v>796</v>
      </c>
      <c r="H6586" s="10" t="n">
        <f aca="false">F6586*G6586</f>
        <v>796</v>
      </c>
      <c r="I6586" s="6" t="s">
        <v>5125</v>
      </c>
    </row>
    <row r="6587" customFormat="false" ht="15" hidden="false" customHeight="false" outlineLevel="0" collapsed="false">
      <c r="A6587" s="6" t="s">
        <v>11811</v>
      </c>
      <c r="B6587" s="6" t="s">
        <v>3199</v>
      </c>
      <c r="C6587" s="26" t="n">
        <v>46221</v>
      </c>
      <c r="D6587" s="6" t="s">
        <v>5216</v>
      </c>
      <c r="E6587" s="6" t="s">
        <v>23</v>
      </c>
      <c r="F6587" s="6" t="n">
        <v>5</v>
      </c>
      <c r="G6587" s="10" t="n">
        <v>528</v>
      </c>
      <c r="H6587" s="10" t="n">
        <f aca="false">F6587*G6587</f>
        <v>2640</v>
      </c>
      <c r="I6587" s="6" t="s">
        <v>5122</v>
      </c>
    </row>
    <row r="6588" customFormat="false" ht="15" hidden="false" customHeight="false" outlineLevel="0" collapsed="false">
      <c r="A6588" s="6" t="s">
        <v>11812</v>
      </c>
      <c r="B6588" s="6" t="s">
        <v>4681</v>
      </c>
      <c r="C6588" s="26" t="n">
        <v>46221</v>
      </c>
      <c r="D6588" s="6" t="s">
        <v>5121</v>
      </c>
      <c r="E6588" s="6" t="s">
        <v>22</v>
      </c>
      <c r="F6588" s="6" t="n">
        <v>1</v>
      </c>
      <c r="G6588" s="10" t="n">
        <v>977</v>
      </c>
      <c r="H6588" s="10" t="n">
        <f aca="false">F6588*G6588</f>
        <v>977</v>
      </c>
      <c r="I6588" s="6" t="s">
        <v>5148</v>
      </c>
    </row>
    <row r="6589" customFormat="false" ht="15" hidden="false" customHeight="false" outlineLevel="0" collapsed="false">
      <c r="A6589" s="6" t="s">
        <v>11813</v>
      </c>
      <c r="B6589" s="6" t="s">
        <v>4473</v>
      </c>
      <c r="C6589" s="26" t="n">
        <v>46221</v>
      </c>
      <c r="D6589" s="6" t="s">
        <v>5298</v>
      </c>
      <c r="E6589" s="6" t="s">
        <v>23</v>
      </c>
      <c r="F6589" s="6" t="n">
        <v>1</v>
      </c>
      <c r="G6589" s="10" t="n">
        <v>293</v>
      </c>
      <c r="H6589" s="10" t="n">
        <f aca="false">F6589*G6589</f>
        <v>293</v>
      </c>
      <c r="I6589" s="6" t="s">
        <v>5122</v>
      </c>
    </row>
    <row r="6590" customFormat="false" ht="15" hidden="false" customHeight="false" outlineLevel="0" collapsed="false">
      <c r="A6590" s="6" t="s">
        <v>11814</v>
      </c>
      <c r="B6590" s="6" t="s">
        <v>1737</v>
      </c>
      <c r="C6590" s="26" t="n">
        <v>46221</v>
      </c>
      <c r="D6590" s="6" t="s">
        <v>5147</v>
      </c>
      <c r="E6590" s="6" t="s">
        <v>24</v>
      </c>
      <c r="F6590" s="6" t="n">
        <v>1</v>
      </c>
      <c r="G6590" s="10" t="n">
        <v>595</v>
      </c>
      <c r="H6590" s="10" t="n">
        <f aca="false">F6590*G6590</f>
        <v>595</v>
      </c>
      <c r="I6590" s="6" t="s">
        <v>5148</v>
      </c>
    </row>
    <row r="6591" customFormat="false" ht="15" hidden="false" customHeight="false" outlineLevel="0" collapsed="false">
      <c r="A6591" s="6" t="s">
        <v>11815</v>
      </c>
      <c r="B6591" s="6" t="s">
        <v>4935</v>
      </c>
      <c r="C6591" s="26" t="n">
        <v>46221</v>
      </c>
      <c r="D6591" s="6" t="s">
        <v>5188</v>
      </c>
      <c r="E6591" s="6" t="s">
        <v>24</v>
      </c>
      <c r="F6591" s="6" t="n">
        <v>1</v>
      </c>
      <c r="G6591" s="10" t="n">
        <v>1019</v>
      </c>
      <c r="H6591" s="10" t="n">
        <f aca="false">F6591*G6591</f>
        <v>1019</v>
      </c>
      <c r="I6591" s="6" t="s">
        <v>5173</v>
      </c>
    </row>
    <row r="6592" customFormat="false" ht="15" hidden="false" customHeight="false" outlineLevel="0" collapsed="false">
      <c r="A6592" s="6" t="s">
        <v>11816</v>
      </c>
      <c r="B6592" s="6" t="s">
        <v>164</v>
      </c>
      <c r="C6592" s="26" t="n">
        <v>46221</v>
      </c>
      <c r="D6592" s="6" t="s">
        <v>5235</v>
      </c>
      <c r="E6592" s="6" t="s">
        <v>21</v>
      </c>
      <c r="F6592" s="6" t="n">
        <v>2</v>
      </c>
      <c r="G6592" s="10" t="n">
        <v>1503</v>
      </c>
      <c r="H6592" s="10" t="n">
        <f aca="false">F6592*G6592</f>
        <v>3006</v>
      </c>
      <c r="I6592" s="6" t="s">
        <v>5122</v>
      </c>
    </row>
    <row r="6593" customFormat="false" ht="15" hidden="false" customHeight="false" outlineLevel="0" collapsed="false">
      <c r="A6593" s="6" t="s">
        <v>11817</v>
      </c>
      <c r="B6593" s="6" t="s">
        <v>3799</v>
      </c>
      <c r="C6593" s="26" t="n">
        <v>46221</v>
      </c>
      <c r="D6593" s="6" t="s">
        <v>5121</v>
      </c>
      <c r="E6593" s="6" t="s">
        <v>22</v>
      </c>
      <c r="F6593" s="6" t="n">
        <v>2</v>
      </c>
      <c r="G6593" s="10" t="n">
        <v>977</v>
      </c>
      <c r="H6593" s="10" t="n">
        <f aca="false">F6593*G6593</f>
        <v>1954</v>
      </c>
      <c r="I6593" s="6" t="s">
        <v>5122</v>
      </c>
    </row>
    <row r="6594" customFormat="false" ht="15" hidden="false" customHeight="false" outlineLevel="0" collapsed="false">
      <c r="A6594" s="6" t="s">
        <v>11818</v>
      </c>
      <c r="B6594" s="6" t="s">
        <v>4687</v>
      </c>
      <c r="C6594" s="26" t="n">
        <v>46221</v>
      </c>
      <c r="D6594" s="6" t="s">
        <v>5749</v>
      </c>
      <c r="E6594" s="6" t="s">
        <v>20</v>
      </c>
      <c r="F6594" s="6" t="n">
        <v>1</v>
      </c>
      <c r="G6594" s="10" t="n">
        <v>732</v>
      </c>
      <c r="H6594" s="10" t="n">
        <f aca="false">F6594*G6594</f>
        <v>732</v>
      </c>
      <c r="I6594" s="6" t="s">
        <v>5130</v>
      </c>
    </row>
    <row r="6595" customFormat="false" ht="15" hidden="false" customHeight="false" outlineLevel="0" collapsed="false">
      <c r="A6595" s="6" t="s">
        <v>11819</v>
      </c>
      <c r="B6595" s="6" t="s">
        <v>1613</v>
      </c>
      <c r="C6595" s="26" t="n">
        <v>46221</v>
      </c>
      <c r="D6595" s="6" t="s">
        <v>5192</v>
      </c>
      <c r="E6595" s="6" t="s">
        <v>20</v>
      </c>
      <c r="F6595" s="6" t="n">
        <v>1</v>
      </c>
      <c r="G6595" s="10" t="n">
        <v>4078</v>
      </c>
      <c r="H6595" s="10" t="n">
        <f aca="false">F6595*G6595</f>
        <v>4078</v>
      </c>
      <c r="I6595" s="6" t="s">
        <v>5122</v>
      </c>
    </row>
    <row r="6596" customFormat="false" ht="15" hidden="false" customHeight="false" outlineLevel="0" collapsed="false">
      <c r="A6596" s="6" t="s">
        <v>11820</v>
      </c>
      <c r="B6596" s="6" t="s">
        <v>3295</v>
      </c>
      <c r="C6596" s="26" t="n">
        <v>46221</v>
      </c>
      <c r="D6596" s="6" t="s">
        <v>5837</v>
      </c>
      <c r="E6596" s="6" t="s">
        <v>21</v>
      </c>
      <c r="F6596" s="6" t="n">
        <v>1</v>
      </c>
      <c r="G6596" s="10" t="n">
        <v>2948</v>
      </c>
      <c r="H6596" s="10" t="n">
        <f aca="false">F6596*G6596</f>
        <v>2948</v>
      </c>
      <c r="I6596" s="6" t="s">
        <v>5130</v>
      </c>
    </row>
    <row r="6597" customFormat="false" ht="15" hidden="false" customHeight="false" outlineLevel="0" collapsed="false">
      <c r="A6597" s="6" t="s">
        <v>11821</v>
      </c>
      <c r="B6597" s="6" t="s">
        <v>4173</v>
      </c>
      <c r="C6597" s="26" t="n">
        <v>46221</v>
      </c>
      <c r="D6597" s="6" t="s">
        <v>5139</v>
      </c>
      <c r="E6597" s="6" t="s">
        <v>23</v>
      </c>
      <c r="F6597" s="6" t="n">
        <v>3</v>
      </c>
      <c r="G6597" s="10" t="n">
        <v>265</v>
      </c>
      <c r="H6597" s="10" t="n">
        <f aca="false">F6597*G6597</f>
        <v>795</v>
      </c>
      <c r="I6597" s="6" t="s">
        <v>5130</v>
      </c>
    </row>
    <row r="6598" customFormat="false" ht="15" hidden="false" customHeight="false" outlineLevel="0" collapsed="false">
      <c r="A6598" s="6" t="s">
        <v>11822</v>
      </c>
      <c r="B6598" s="6" t="s">
        <v>4745</v>
      </c>
      <c r="C6598" s="26" t="n">
        <v>46221</v>
      </c>
      <c r="D6598" s="6" t="s">
        <v>5837</v>
      </c>
      <c r="E6598" s="6" t="s">
        <v>21</v>
      </c>
      <c r="F6598" s="6" t="n">
        <v>2</v>
      </c>
      <c r="G6598" s="10" t="n">
        <v>2948</v>
      </c>
      <c r="H6598" s="10" t="n">
        <f aca="false">F6598*G6598</f>
        <v>5896</v>
      </c>
      <c r="I6598" s="6" t="s">
        <v>5148</v>
      </c>
    </row>
    <row r="6599" customFormat="false" ht="15" hidden="false" customHeight="false" outlineLevel="0" collapsed="false">
      <c r="A6599" s="6" t="s">
        <v>11823</v>
      </c>
      <c r="B6599" s="6" t="s">
        <v>192</v>
      </c>
      <c r="C6599" s="26" t="n">
        <v>46221</v>
      </c>
      <c r="D6599" s="6" t="s">
        <v>5707</v>
      </c>
      <c r="E6599" s="6" t="s">
        <v>22</v>
      </c>
      <c r="F6599" s="6" t="n">
        <v>4</v>
      </c>
      <c r="G6599" s="10" t="n">
        <v>2322</v>
      </c>
      <c r="H6599" s="10" t="n">
        <f aca="false">F6599*G6599</f>
        <v>9288</v>
      </c>
      <c r="I6599" s="6" t="s">
        <v>5133</v>
      </c>
    </row>
    <row r="6600" customFormat="false" ht="15" hidden="false" customHeight="false" outlineLevel="0" collapsed="false">
      <c r="A6600" s="6" t="s">
        <v>11824</v>
      </c>
      <c r="B6600" s="6" t="s">
        <v>3243</v>
      </c>
      <c r="C6600" s="26" t="n">
        <v>46221</v>
      </c>
      <c r="D6600" s="6" t="s">
        <v>5345</v>
      </c>
      <c r="E6600" s="6" t="s">
        <v>23</v>
      </c>
      <c r="F6600" s="6" t="n">
        <v>1</v>
      </c>
      <c r="G6600" s="10" t="n">
        <v>435</v>
      </c>
      <c r="H6600" s="10" t="n">
        <f aca="false">F6600*G6600</f>
        <v>435</v>
      </c>
      <c r="I6600" s="6" t="s">
        <v>5130</v>
      </c>
    </row>
    <row r="6601" customFormat="false" ht="15" hidden="false" customHeight="false" outlineLevel="0" collapsed="false">
      <c r="A6601" s="6" t="s">
        <v>11825</v>
      </c>
      <c r="B6601" s="6" t="s">
        <v>3941</v>
      </c>
      <c r="C6601" s="26" t="n">
        <v>46221</v>
      </c>
      <c r="D6601" s="6" t="s">
        <v>6046</v>
      </c>
      <c r="E6601" s="6" t="s">
        <v>22</v>
      </c>
      <c r="F6601" s="6" t="n">
        <v>3</v>
      </c>
      <c r="G6601" s="10" t="n">
        <v>4401</v>
      </c>
      <c r="H6601" s="10" t="n">
        <f aca="false">F6601*G6601</f>
        <v>13203</v>
      </c>
      <c r="I6601" s="6" t="s">
        <v>5148</v>
      </c>
    </row>
    <row r="6602" customFormat="false" ht="15" hidden="false" customHeight="false" outlineLevel="0" collapsed="false">
      <c r="A6602" s="6" t="s">
        <v>11826</v>
      </c>
      <c r="B6602" s="6" t="s">
        <v>3513</v>
      </c>
      <c r="C6602" s="26" t="n">
        <v>46221</v>
      </c>
      <c r="D6602" s="6" t="s">
        <v>5163</v>
      </c>
      <c r="E6602" s="6" t="s">
        <v>23</v>
      </c>
      <c r="F6602" s="6" t="n">
        <v>4</v>
      </c>
      <c r="G6602" s="10" t="n">
        <v>705</v>
      </c>
      <c r="H6602" s="10" t="n">
        <f aca="false">F6602*G6602</f>
        <v>2820</v>
      </c>
      <c r="I6602" s="6" t="s">
        <v>5122</v>
      </c>
    </row>
    <row r="6603" customFormat="false" ht="15" hidden="false" customHeight="false" outlineLevel="0" collapsed="false">
      <c r="A6603" s="6" t="s">
        <v>11827</v>
      </c>
      <c r="B6603" s="6" t="s">
        <v>2015</v>
      </c>
      <c r="C6603" s="26" t="n">
        <v>46221</v>
      </c>
      <c r="D6603" s="6" t="s">
        <v>5165</v>
      </c>
      <c r="E6603" s="6" t="s">
        <v>22</v>
      </c>
      <c r="F6603" s="6" t="n">
        <v>1</v>
      </c>
      <c r="G6603" s="10" t="n">
        <v>880</v>
      </c>
      <c r="H6603" s="10" t="n">
        <f aca="false">F6603*G6603</f>
        <v>880</v>
      </c>
      <c r="I6603" s="6" t="s">
        <v>5122</v>
      </c>
    </row>
    <row r="6604" customFormat="false" ht="15" hidden="false" customHeight="false" outlineLevel="0" collapsed="false">
      <c r="A6604" s="6" t="s">
        <v>11828</v>
      </c>
      <c r="B6604" s="6" t="s">
        <v>1245</v>
      </c>
      <c r="C6604" s="26" t="n">
        <v>46221</v>
      </c>
      <c r="D6604" s="6" t="s">
        <v>5129</v>
      </c>
      <c r="E6604" s="6" t="s">
        <v>21</v>
      </c>
      <c r="F6604" s="6" t="n">
        <v>1</v>
      </c>
      <c r="G6604" s="10" t="n">
        <v>589</v>
      </c>
      <c r="H6604" s="10" t="n">
        <f aca="false">F6604*G6604</f>
        <v>589</v>
      </c>
      <c r="I6604" s="6" t="s">
        <v>5122</v>
      </c>
    </row>
    <row r="6605" customFormat="false" ht="15" hidden="false" customHeight="false" outlineLevel="0" collapsed="false">
      <c r="A6605" s="6" t="s">
        <v>11829</v>
      </c>
      <c r="B6605" s="6" t="s">
        <v>410</v>
      </c>
      <c r="C6605" s="26" t="n">
        <v>46221</v>
      </c>
      <c r="D6605" s="6" t="s">
        <v>5163</v>
      </c>
      <c r="E6605" s="6" t="s">
        <v>23</v>
      </c>
      <c r="F6605" s="6" t="n">
        <v>2</v>
      </c>
      <c r="G6605" s="10" t="n">
        <v>783</v>
      </c>
      <c r="H6605" s="10" t="n">
        <f aca="false">F6605*G6605</f>
        <v>1566</v>
      </c>
      <c r="I6605" s="6" t="s">
        <v>5148</v>
      </c>
    </row>
    <row r="6606" customFormat="false" ht="15" hidden="false" customHeight="false" outlineLevel="0" collapsed="false">
      <c r="A6606" s="6" t="s">
        <v>11830</v>
      </c>
      <c r="B6606" s="6" t="s">
        <v>2105</v>
      </c>
      <c r="C6606" s="26" t="n">
        <v>46221</v>
      </c>
      <c r="D6606" s="6" t="s">
        <v>5224</v>
      </c>
      <c r="E6606" s="6" t="s">
        <v>23</v>
      </c>
      <c r="F6606" s="6" t="n">
        <v>2</v>
      </c>
      <c r="G6606" s="10" t="n">
        <v>175</v>
      </c>
      <c r="H6606" s="10" t="n">
        <f aca="false">F6606*G6606</f>
        <v>350</v>
      </c>
      <c r="I6606" s="6" t="s">
        <v>5148</v>
      </c>
    </row>
    <row r="6607" customFormat="false" ht="15" hidden="false" customHeight="false" outlineLevel="0" collapsed="false">
      <c r="A6607" s="6" t="s">
        <v>11831</v>
      </c>
      <c r="B6607" s="6" t="s">
        <v>3557</v>
      </c>
      <c r="C6607" s="26" t="n">
        <v>46221</v>
      </c>
      <c r="D6607" s="6" t="s">
        <v>7185</v>
      </c>
      <c r="E6607" s="6" t="s">
        <v>22</v>
      </c>
      <c r="F6607" s="6" t="n">
        <v>2</v>
      </c>
      <c r="G6607" s="10" t="n">
        <v>2597</v>
      </c>
      <c r="H6607" s="10" t="n">
        <f aca="false">F6607*G6607</f>
        <v>5194</v>
      </c>
      <c r="I6607" s="6" t="s">
        <v>5122</v>
      </c>
    </row>
    <row r="6608" customFormat="false" ht="15" hidden="false" customHeight="false" outlineLevel="0" collapsed="false">
      <c r="A6608" s="6" t="s">
        <v>11832</v>
      </c>
      <c r="B6608" s="6" t="s">
        <v>4373</v>
      </c>
      <c r="C6608" s="26" t="n">
        <v>46221</v>
      </c>
      <c r="D6608" s="6" t="s">
        <v>5167</v>
      </c>
      <c r="E6608" s="6" t="s">
        <v>22</v>
      </c>
      <c r="F6608" s="6" t="n">
        <v>1</v>
      </c>
      <c r="G6608" s="10" t="n">
        <v>703</v>
      </c>
      <c r="H6608" s="10" t="n">
        <f aca="false">F6608*G6608</f>
        <v>703</v>
      </c>
      <c r="I6608" s="6" t="s">
        <v>5130</v>
      </c>
    </row>
    <row r="6609" customFormat="false" ht="15" hidden="false" customHeight="false" outlineLevel="0" collapsed="false">
      <c r="A6609" s="6" t="s">
        <v>11833</v>
      </c>
      <c r="B6609" s="6" t="s">
        <v>2271</v>
      </c>
      <c r="C6609" s="26" t="n">
        <v>46221</v>
      </c>
      <c r="D6609" s="6" t="s">
        <v>5132</v>
      </c>
      <c r="E6609" s="6" t="s">
        <v>23</v>
      </c>
      <c r="F6609" s="6" t="n">
        <v>1</v>
      </c>
      <c r="G6609" s="10" t="n">
        <v>342</v>
      </c>
      <c r="H6609" s="10" t="n">
        <f aca="false">F6609*G6609</f>
        <v>342</v>
      </c>
      <c r="I6609" s="6" t="s">
        <v>5122</v>
      </c>
    </row>
    <row r="6610" customFormat="false" ht="15" hidden="false" customHeight="false" outlineLevel="0" collapsed="false">
      <c r="A6610" s="6" t="s">
        <v>11834</v>
      </c>
      <c r="B6610" s="6" t="s">
        <v>2241</v>
      </c>
      <c r="C6610" s="26" t="n">
        <v>46221</v>
      </c>
      <c r="D6610" s="6" t="s">
        <v>5216</v>
      </c>
      <c r="E6610" s="6" t="s">
        <v>23</v>
      </c>
      <c r="F6610" s="6" t="n">
        <v>2</v>
      </c>
      <c r="G6610" s="10" t="n">
        <v>587</v>
      </c>
      <c r="H6610" s="10" t="n">
        <f aca="false">F6610*G6610</f>
        <v>1174</v>
      </c>
      <c r="I6610" s="6" t="s">
        <v>5122</v>
      </c>
    </row>
    <row r="6611" customFormat="false" ht="15" hidden="false" customHeight="false" outlineLevel="0" collapsed="false">
      <c r="A6611" s="6" t="s">
        <v>11835</v>
      </c>
      <c r="B6611" s="6" t="s">
        <v>3791</v>
      </c>
      <c r="C6611" s="26" t="n">
        <v>46222</v>
      </c>
      <c r="D6611" s="6" t="s">
        <v>5121</v>
      </c>
      <c r="E6611" s="6" t="s">
        <v>22</v>
      </c>
      <c r="F6611" s="6" t="n">
        <v>1</v>
      </c>
      <c r="G6611" s="10" t="n">
        <v>880</v>
      </c>
      <c r="H6611" s="10" t="n">
        <f aca="false">F6611*G6611</f>
        <v>880</v>
      </c>
      <c r="I6611" s="6" t="s">
        <v>5122</v>
      </c>
    </row>
    <row r="6612" customFormat="false" ht="15" hidden="false" customHeight="false" outlineLevel="0" collapsed="false">
      <c r="A6612" s="6" t="s">
        <v>11836</v>
      </c>
      <c r="B6612" s="6" t="s">
        <v>4307</v>
      </c>
      <c r="C6612" s="26" t="n">
        <v>46222</v>
      </c>
      <c r="D6612" s="6" t="s">
        <v>5298</v>
      </c>
      <c r="E6612" s="6" t="s">
        <v>23</v>
      </c>
      <c r="F6612" s="6" t="n">
        <v>2</v>
      </c>
      <c r="G6612" s="10" t="n">
        <v>293</v>
      </c>
      <c r="H6612" s="10" t="n">
        <f aca="false">F6612*G6612</f>
        <v>586</v>
      </c>
      <c r="I6612" s="6" t="s">
        <v>5130</v>
      </c>
    </row>
    <row r="6613" customFormat="false" ht="15" hidden="false" customHeight="false" outlineLevel="0" collapsed="false">
      <c r="A6613" s="6" t="s">
        <v>11837</v>
      </c>
      <c r="B6613" s="6" t="s">
        <v>1587</v>
      </c>
      <c r="C6613" s="26" t="n">
        <v>46222</v>
      </c>
      <c r="D6613" s="6" t="s">
        <v>5165</v>
      </c>
      <c r="E6613" s="6" t="s">
        <v>22</v>
      </c>
      <c r="F6613" s="6" t="n">
        <v>3</v>
      </c>
      <c r="G6613" s="10" t="n">
        <v>928</v>
      </c>
      <c r="H6613" s="10" t="n">
        <f aca="false">F6613*G6613</f>
        <v>2784</v>
      </c>
      <c r="I6613" s="6" t="s">
        <v>5130</v>
      </c>
    </row>
    <row r="6614" customFormat="false" ht="15" hidden="false" customHeight="false" outlineLevel="0" collapsed="false">
      <c r="A6614" s="6" t="s">
        <v>11838</v>
      </c>
      <c r="B6614" s="6" t="s">
        <v>1335</v>
      </c>
      <c r="C6614" s="26" t="n">
        <v>46222</v>
      </c>
      <c r="D6614" s="6" t="s">
        <v>5269</v>
      </c>
      <c r="E6614" s="6" t="s">
        <v>22</v>
      </c>
      <c r="F6614" s="6" t="n">
        <v>1</v>
      </c>
      <c r="G6614" s="10" t="n">
        <v>1271</v>
      </c>
      <c r="H6614" s="10" t="n">
        <f aca="false">F6614*G6614</f>
        <v>1271</v>
      </c>
      <c r="I6614" s="6" t="s">
        <v>5133</v>
      </c>
    </row>
    <row r="6615" customFormat="false" ht="15" hidden="false" customHeight="false" outlineLevel="0" collapsed="false">
      <c r="A6615" s="6" t="s">
        <v>11839</v>
      </c>
      <c r="B6615" s="6" t="s">
        <v>1605</v>
      </c>
      <c r="C6615" s="26" t="n">
        <v>46222</v>
      </c>
      <c r="D6615" s="6" t="s">
        <v>5165</v>
      </c>
      <c r="E6615" s="6" t="s">
        <v>22</v>
      </c>
      <c r="F6615" s="6" t="n">
        <v>1</v>
      </c>
      <c r="G6615" s="10" t="n">
        <v>928</v>
      </c>
      <c r="H6615" s="10" t="n">
        <f aca="false">F6615*G6615</f>
        <v>928</v>
      </c>
      <c r="I6615" s="6" t="s">
        <v>5130</v>
      </c>
    </row>
    <row r="6616" customFormat="false" ht="15" hidden="false" customHeight="false" outlineLevel="0" collapsed="false">
      <c r="A6616" s="6" t="s">
        <v>11840</v>
      </c>
      <c r="B6616" s="6" t="s">
        <v>451</v>
      </c>
      <c r="C6616" s="26" t="n">
        <v>46222</v>
      </c>
      <c r="D6616" s="6" t="s">
        <v>5410</v>
      </c>
      <c r="E6616" s="6" t="s">
        <v>20</v>
      </c>
      <c r="F6616" s="6" t="n">
        <v>1</v>
      </c>
      <c r="G6616" s="10" t="n">
        <v>2548</v>
      </c>
      <c r="H6616" s="10" t="n">
        <f aca="false">F6616*G6616</f>
        <v>2548</v>
      </c>
      <c r="I6616" s="6" t="s">
        <v>5122</v>
      </c>
    </row>
    <row r="6617" customFormat="false" ht="15" hidden="false" customHeight="false" outlineLevel="0" collapsed="false">
      <c r="A6617" s="6" t="s">
        <v>11841</v>
      </c>
      <c r="B6617" s="6" t="s">
        <v>2641</v>
      </c>
      <c r="C6617" s="26" t="n">
        <v>46222</v>
      </c>
      <c r="D6617" s="6" t="s">
        <v>5167</v>
      </c>
      <c r="E6617" s="6" t="s">
        <v>22</v>
      </c>
      <c r="F6617" s="6" t="n">
        <v>1</v>
      </c>
      <c r="G6617" s="10" t="n">
        <v>781</v>
      </c>
      <c r="H6617" s="10" t="n">
        <f aca="false">F6617*G6617</f>
        <v>781</v>
      </c>
      <c r="I6617" s="6" t="s">
        <v>5122</v>
      </c>
    </row>
    <row r="6618" customFormat="false" ht="15" hidden="false" customHeight="false" outlineLevel="0" collapsed="false">
      <c r="A6618" s="6" t="s">
        <v>11842</v>
      </c>
      <c r="B6618" s="6" t="s">
        <v>711</v>
      </c>
      <c r="C6618" s="26" t="n">
        <v>46222</v>
      </c>
      <c r="D6618" s="6" t="s">
        <v>5141</v>
      </c>
      <c r="E6618" s="6" t="s">
        <v>20</v>
      </c>
      <c r="F6618" s="6" t="n">
        <v>1</v>
      </c>
      <c r="G6618" s="10" t="n">
        <v>1834</v>
      </c>
      <c r="H6618" s="10" t="n">
        <f aca="false">F6618*G6618</f>
        <v>1834</v>
      </c>
      <c r="I6618" s="6" t="s">
        <v>5173</v>
      </c>
    </row>
    <row r="6619" customFormat="false" ht="15" hidden="false" customHeight="false" outlineLevel="0" collapsed="false">
      <c r="A6619" s="6" t="s">
        <v>11843</v>
      </c>
      <c r="B6619" s="6" t="s">
        <v>2089</v>
      </c>
      <c r="C6619" s="26" t="n">
        <v>46222</v>
      </c>
      <c r="D6619" s="6" t="s">
        <v>5127</v>
      </c>
      <c r="E6619" s="6" t="s">
        <v>21</v>
      </c>
      <c r="F6619" s="6" t="n">
        <v>1</v>
      </c>
      <c r="G6619" s="10" t="n">
        <v>884</v>
      </c>
      <c r="H6619" s="10" t="n">
        <f aca="false">F6619*G6619</f>
        <v>884</v>
      </c>
      <c r="I6619" s="6" t="s">
        <v>5125</v>
      </c>
    </row>
    <row r="6620" customFormat="false" ht="15" hidden="false" customHeight="false" outlineLevel="0" collapsed="false">
      <c r="A6620" s="6" t="s">
        <v>11844</v>
      </c>
      <c r="B6620" s="6" t="s">
        <v>3603</v>
      </c>
      <c r="C6620" s="26" t="n">
        <v>46222</v>
      </c>
      <c r="D6620" s="6" t="s">
        <v>5165</v>
      </c>
      <c r="E6620" s="6" t="s">
        <v>22</v>
      </c>
      <c r="F6620" s="6" t="n">
        <v>2</v>
      </c>
      <c r="G6620" s="10" t="n">
        <v>977</v>
      </c>
      <c r="H6620" s="10" t="n">
        <f aca="false">F6620*G6620</f>
        <v>1954</v>
      </c>
      <c r="I6620" s="6" t="s">
        <v>5148</v>
      </c>
    </row>
    <row r="6621" customFormat="false" ht="15" hidden="false" customHeight="false" outlineLevel="0" collapsed="false">
      <c r="A6621" s="6" t="s">
        <v>11845</v>
      </c>
      <c r="B6621" s="6" t="s">
        <v>1415</v>
      </c>
      <c r="C6621" s="26" t="n">
        <v>46222</v>
      </c>
      <c r="D6621" s="6" t="s">
        <v>5197</v>
      </c>
      <c r="E6621" s="6" t="s">
        <v>21</v>
      </c>
      <c r="F6621" s="6" t="n">
        <v>1</v>
      </c>
      <c r="G6621" s="10" t="n">
        <v>1080</v>
      </c>
      <c r="H6621" s="10" t="n">
        <f aca="false">F6621*G6621</f>
        <v>1080</v>
      </c>
      <c r="I6621" s="6" t="s">
        <v>5130</v>
      </c>
    </row>
    <row r="6622" customFormat="false" ht="15" hidden="false" customHeight="false" outlineLevel="0" collapsed="false">
      <c r="A6622" s="6" t="s">
        <v>11846</v>
      </c>
      <c r="B6622" s="6" t="s">
        <v>1613</v>
      </c>
      <c r="C6622" s="26" t="n">
        <v>46222</v>
      </c>
      <c r="D6622" s="6" t="s">
        <v>5466</v>
      </c>
      <c r="E6622" s="6" t="s">
        <v>21</v>
      </c>
      <c r="F6622" s="6" t="n">
        <v>1</v>
      </c>
      <c r="G6622" s="10" t="n">
        <v>1965</v>
      </c>
      <c r="H6622" s="10" t="n">
        <f aca="false">F6622*G6622</f>
        <v>1965</v>
      </c>
      <c r="I6622" s="6" t="s">
        <v>5133</v>
      </c>
    </row>
    <row r="6623" customFormat="false" ht="15" hidden="false" customHeight="false" outlineLevel="0" collapsed="false">
      <c r="A6623" s="6" t="s">
        <v>11847</v>
      </c>
      <c r="B6623" s="6" t="s">
        <v>2201</v>
      </c>
      <c r="C6623" s="26" t="n">
        <v>46222</v>
      </c>
      <c r="D6623" s="6" t="s">
        <v>5165</v>
      </c>
      <c r="E6623" s="6" t="s">
        <v>22</v>
      </c>
      <c r="F6623" s="6" t="n">
        <v>2</v>
      </c>
      <c r="G6623" s="10" t="n">
        <v>977</v>
      </c>
      <c r="H6623" s="10" t="n">
        <f aca="false">F6623*G6623</f>
        <v>1954</v>
      </c>
      <c r="I6623" s="6" t="s">
        <v>5125</v>
      </c>
    </row>
    <row r="6624" customFormat="false" ht="15" hidden="false" customHeight="false" outlineLevel="0" collapsed="false">
      <c r="A6624" s="6" t="s">
        <v>11848</v>
      </c>
      <c r="B6624" s="6" t="s">
        <v>1255</v>
      </c>
      <c r="C6624" s="26" t="n">
        <v>46222</v>
      </c>
      <c r="D6624" s="6" t="s">
        <v>5171</v>
      </c>
      <c r="E6624" s="6" t="s">
        <v>23</v>
      </c>
      <c r="F6624" s="6" t="n">
        <v>1</v>
      </c>
      <c r="G6624" s="10" t="n">
        <v>734</v>
      </c>
      <c r="H6624" s="10" t="n">
        <f aca="false">F6624*G6624</f>
        <v>734</v>
      </c>
      <c r="I6624" s="6" t="s">
        <v>5133</v>
      </c>
    </row>
    <row r="6625" customFormat="false" ht="15" hidden="false" customHeight="false" outlineLevel="0" collapsed="false">
      <c r="A6625" s="6" t="s">
        <v>11849</v>
      </c>
      <c r="B6625" s="6" t="s">
        <v>3919</v>
      </c>
      <c r="C6625" s="26" t="n">
        <v>46222</v>
      </c>
      <c r="D6625" s="6" t="s">
        <v>5197</v>
      </c>
      <c r="E6625" s="6" t="s">
        <v>21</v>
      </c>
      <c r="F6625" s="6" t="n">
        <v>1</v>
      </c>
      <c r="G6625" s="10" t="n">
        <v>1026</v>
      </c>
      <c r="H6625" s="10" t="n">
        <f aca="false">F6625*G6625</f>
        <v>1026</v>
      </c>
      <c r="I6625" s="6" t="s">
        <v>5148</v>
      </c>
    </row>
    <row r="6626" customFormat="false" ht="15" hidden="false" customHeight="false" outlineLevel="0" collapsed="false">
      <c r="A6626" s="6" t="s">
        <v>11850</v>
      </c>
      <c r="B6626" s="6" t="s">
        <v>1863</v>
      </c>
      <c r="C6626" s="26" t="n">
        <v>46222</v>
      </c>
      <c r="D6626" s="6" t="s">
        <v>5152</v>
      </c>
      <c r="E6626" s="6" t="s">
        <v>22</v>
      </c>
      <c r="F6626" s="6" t="n">
        <v>2</v>
      </c>
      <c r="G6626" s="10" t="n">
        <v>1760</v>
      </c>
      <c r="H6626" s="10" t="n">
        <f aca="false">F6626*G6626</f>
        <v>3520</v>
      </c>
      <c r="I6626" s="6" t="s">
        <v>5130</v>
      </c>
    </row>
    <row r="6627" customFormat="false" ht="15" hidden="false" customHeight="false" outlineLevel="0" collapsed="false">
      <c r="A6627" s="6" t="s">
        <v>11851</v>
      </c>
      <c r="B6627" s="6" t="s">
        <v>517</v>
      </c>
      <c r="C6627" s="26" t="n">
        <v>46222</v>
      </c>
      <c r="D6627" s="6" t="s">
        <v>5259</v>
      </c>
      <c r="E6627" s="6" t="s">
        <v>22</v>
      </c>
      <c r="F6627" s="6" t="n">
        <v>1</v>
      </c>
      <c r="G6627" s="10" t="n">
        <v>1564</v>
      </c>
      <c r="H6627" s="10" t="n">
        <f aca="false">F6627*G6627</f>
        <v>1564</v>
      </c>
      <c r="I6627" s="6" t="s">
        <v>5133</v>
      </c>
    </row>
    <row r="6628" customFormat="false" ht="15" hidden="false" customHeight="false" outlineLevel="0" collapsed="false">
      <c r="A6628" s="6" t="s">
        <v>11852</v>
      </c>
      <c r="B6628" s="6" t="s">
        <v>2547</v>
      </c>
      <c r="C6628" s="26" t="n">
        <v>46222</v>
      </c>
      <c r="D6628" s="6" t="s">
        <v>5154</v>
      </c>
      <c r="E6628" s="6" t="s">
        <v>21</v>
      </c>
      <c r="F6628" s="6" t="n">
        <v>2</v>
      </c>
      <c r="G6628" s="10" t="n">
        <v>785</v>
      </c>
      <c r="H6628" s="10" t="n">
        <f aca="false">F6628*G6628</f>
        <v>1570</v>
      </c>
      <c r="I6628" s="6" t="s">
        <v>5122</v>
      </c>
    </row>
    <row r="6629" customFormat="false" ht="15" hidden="false" customHeight="false" outlineLevel="0" collapsed="false">
      <c r="A6629" s="6" t="s">
        <v>11853</v>
      </c>
      <c r="B6629" s="6" t="s">
        <v>695</v>
      </c>
      <c r="C6629" s="26" t="n">
        <v>46222</v>
      </c>
      <c r="D6629" s="6" t="s">
        <v>5316</v>
      </c>
      <c r="E6629" s="6" t="s">
        <v>23</v>
      </c>
      <c r="F6629" s="6" t="n">
        <v>2</v>
      </c>
      <c r="G6629" s="10" t="n">
        <v>260</v>
      </c>
      <c r="H6629" s="10" t="n">
        <f aca="false">F6629*G6629</f>
        <v>520</v>
      </c>
      <c r="I6629" s="6" t="s">
        <v>5148</v>
      </c>
    </row>
    <row r="6630" customFormat="false" ht="15" hidden="false" customHeight="false" outlineLevel="0" collapsed="false">
      <c r="A6630" s="6" t="s">
        <v>11854</v>
      </c>
      <c r="B6630" s="6" t="s">
        <v>2935</v>
      </c>
      <c r="C6630" s="26" t="n">
        <v>46222</v>
      </c>
      <c r="D6630" s="6" t="s">
        <v>5185</v>
      </c>
      <c r="E6630" s="6" t="s">
        <v>24</v>
      </c>
      <c r="F6630" s="6" t="n">
        <v>2</v>
      </c>
      <c r="G6630" s="10" t="n">
        <v>2140</v>
      </c>
      <c r="H6630" s="10" t="n">
        <f aca="false">F6630*G6630</f>
        <v>4280</v>
      </c>
      <c r="I6630" s="6" t="s">
        <v>5125</v>
      </c>
    </row>
    <row r="6631" customFormat="false" ht="15" hidden="false" customHeight="false" outlineLevel="0" collapsed="false">
      <c r="A6631" s="6" t="s">
        <v>11855</v>
      </c>
      <c r="B6631" s="6" t="s">
        <v>4701</v>
      </c>
      <c r="C6631" s="26" t="n">
        <v>46222</v>
      </c>
      <c r="D6631" s="6" t="s">
        <v>5175</v>
      </c>
      <c r="E6631" s="6" t="s">
        <v>24</v>
      </c>
      <c r="F6631" s="6" t="n">
        <v>1</v>
      </c>
      <c r="G6631" s="10" t="n">
        <v>580</v>
      </c>
      <c r="H6631" s="10" t="n">
        <f aca="false">F6631*G6631</f>
        <v>580</v>
      </c>
      <c r="I6631" s="6" t="s">
        <v>5148</v>
      </c>
    </row>
    <row r="6632" customFormat="false" ht="15" hidden="false" customHeight="false" outlineLevel="0" collapsed="false">
      <c r="A6632" s="6" t="s">
        <v>11856</v>
      </c>
      <c r="B6632" s="6" t="s">
        <v>2571</v>
      </c>
      <c r="C6632" s="26" t="n">
        <v>46222</v>
      </c>
      <c r="D6632" s="6" t="s">
        <v>5357</v>
      </c>
      <c r="E6632" s="6" t="s">
        <v>23</v>
      </c>
      <c r="F6632" s="6" t="n">
        <v>4</v>
      </c>
      <c r="G6632" s="10" t="n">
        <v>534</v>
      </c>
      <c r="H6632" s="10" t="n">
        <f aca="false">F6632*G6632</f>
        <v>2136</v>
      </c>
      <c r="I6632" s="6" t="s">
        <v>5148</v>
      </c>
    </row>
    <row r="6633" customFormat="false" ht="15" hidden="false" customHeight="false" outlineLevel="0" collapsed="false">
      <c r="A6633" s="6" t="s">
        <v>11857</v>
      </c>
      <c r="B6633" s="6" t="s">
        <v>2009</v>
      </c>
      <c r="C6633" s="26" t="n">
        <v>46222</v>
      </c>
      <c r="D6633" s="6" t="s">
        <v>5318</v>
      </c>
      <c r="E6633" s="6" t="s">
        <v>20</v>
      </c>
      <c r="F6633" s="6" t="n">
        <v>1</v>
      </c>
      <c r="G6633" s="10" t="n">
        <v>1529</v>
      </c>
      <c r="H6633" s="10" t="n">
        <f aca="false">F6633*G6633</f>
        <v>1529</v>
      </c>
      <c r="I6633" s="6" t="s">
        <v>5125</v>
      </c>
    </row>
    <row r="6634" customFormat="false" ht="15" hidden="false" customHeight="false" outlineLevel="0" collapsed="false">
      <c r="A6634" s="6" t="s">
        <v>11858</v>
      </c>
      <c r="B6634" s="6" t="s">
        <v>3067</v>
      </c>
      <c r="C6634" s="26" t="n">
        <v>46222</v>
      </c>
      <c r="D6634" s="6" t="s">
        <v>5152</v>
      </c>
      <c r="E6634" s="6" t="s">
        <v>22</v>
      </c>
      <c r="F6634" s="6" t="n">
        <v>2</v>
      </c>
      <c r="G6634" s="10" t="n">
        <v>1672</v>
      </c>
      <c r="H6634" s="10" t="n">
        <f aca="false">F6634*G6634</f>
        <v>3344</v>
      </c>
      <c r="I6634" s="6" t="s">
        <v>5122</v>
      </c>
    </row>
    <row r="6635" customFormat="false" ht="15" hidden="false" customHeight="false" outlineLevel="0" collapsed="false">
      <c r="A6635" s="6" t="s">
        <v>11859</v>
      </c>
      <c r="B6635" s="6" t="s">
        <v>1569</v>
      </c>
      <c r="C6635" s="26" t="n">
        <v>46222</v>
      </c>
      <c r="D6635" s="6" t="s">
        <v>5192</v>
      </c>
      <c r="E6635" s="6" t="s">
        <v>20</v>
      </c>
      <c r="F6635" s="6" t="n">
        <v>1</v>
      </c>
      <c r="G6635" s="10" t="n">
        <v>4078</v>
      </c>
      <c r="H6635" s="10" t="n">
        <f aca="false">F6635*G6635</f>
        <v>4078</v>
      </c>
      <c r="I6635" s="6" t="s">
        <v>5122</v>
      </c>
    </row>
    <row r="6636" customFormat="false" ht="15" hidden="false" customHeight="false" outlineLevel="0" collapsed="false">
      <c r="A6636" s="6" t="s">
        <v>11860</v>
      </c>
      <c r="B6636" s="6" t="s">
        <v>156</v>
      </c>
      <c r="C6636" s="26" t="n">
        <v>46222</v>
      </c>
      <c r="D6636" s="6" t="s">
        <v>5220</v>
      </c>
      <c r="E6636" s="6" t="s">
        <v>24</v>
      </c>
      <c r="F6636" s="6" t="n">
        <v>2</v>
      </c>
      <c r="G6636" s="10" t="n">
        <v>1008</v>
      </c>
      <c r="H6636" s="10" t="n">
        <f aca="false">F6636*G6636</f>
        <v>2016</v>
      </c>
      <c r="I6636" s="6" t="s">
        <v>5130</v>
      </c>
    </row>
    <row r="6637" customFormat="false" ht="15" hidden="false" customHeight="false" outlineLevel="0" collapsed="false">
      <c r="A6637" s="6" t="s">
        <v>11861</v>
      </c>
      <c r="B6637" s="6" t="s">
        <v>1079</v>
      </c>
      <c r="C6637" s="26" t="n">
        <v>46222</v>
      </c>
      <c r="D6637" s="6" t="s">
        <v>5224</v>
      </c>
      <c r="E6637" s="6" t="s">
        <v>23</v>
      </c>
      <c r="F6637" s="6" t="n">
        <v>3</v>
      </c>
      <c r="G6637" s="10" t="n">
        <v>195</v>
      </c>
      <c r="H6637" s="10" t="n">
        <f aca="false">F6637*G6637</f>
        <v>585</v>
      </c>
      <c r="I6637" s="6" t="s">
        <v>5133</v>
      </c>
    </row>
    <row r="6638" customFormat="false" ht="15" hidden="false" customHeight="false" outlineLevel="0" collapsed="false">
      <c r="A6638" s="6" t="s">
        <v>11862</v>
      </c>
      <c r="B6638" s="6" t="s">
        <v>1013</v>
      </c>
      <c r="C6638" s="26" t="n">
        <v>46222</v>
      </c>
      <c r="D6638" s="6" t="s">
        <v>5163</v>
      </c>
      <c r="E6638" s="6" t="s">
        <v>23</v>
      </c>
      <c r="F6638" s="6" t="n">
        <v>3</v>
      </c>
      <c r="G6638" s="10" t="n">
        <v>783</v>
      </c>
      <c r="H6638" s="10" t="n">
        <f aca="false">F6638*G6638</f>
        <v>2349</v>
      </c>
      <c r="I6638" s="6" t="s">
        <v>5148</v>
      </c>
    </row>
    <row r="6639" customFormat="false" ht="15" hidden="false" customHeight="false" outlineLevel="0" collapsed="false">
      <c r="A6639" s="6" t="s">
        <v>11863</v>
      </c>
      <c r="B6639" s="6" t="s">
        <v>1477</v>
      </c>
      <c r="C6639" s="26" t="n">
        <v>46222</v>
      </c>
      <c r="D6639" s="6" t="s">
        <v>5197</v>
      </c>
      <c r="E6639" s="6" t="s">
        <v>21</v>
      </c>
      <c r="F6639" s="6" t="n">
        <v>1</v>
      </c>
      <c r="G6639" s="10" t="n">
        <v>1080</v>
      </c>
      <c r="H6639" s="10" t="n">
        <f aca="false">F6639*G6639</f>
        <v>1080</v>
      </c>
      <c r="I6639" s="6" t="s">
        <v>5125</v>
      </c>
    </row>
    <row r="6640" customFormat="false" ht="15" hidden="false" customHeight="false" outlineLevel="0" collapsed="false">
      <c r="A6640" s="6" t="s">
        <v>11864</v>
      </c>
      <c r="B6640" s="6" t="s">
        <v>2365</v>
      </c>
      <c r="C6640" s="26" t="n">
        <v>46222</v>
      </c>
      <c r="D6640" s="6" t="s">
        <v>5154</v>
      </c>
      <c r="E6640" s="6" t="s">
        <v>21</v>
      </c>
      <c r="F6640" s="6" t="n">
        <v>1</v>
      </c>
      <c r="G6640" s="10" t="n">
        <v>746</v>
      </c>
      <c r="H6640" s="10" t="n">
        <f aca="false">F6640*G6640</f>
        <v>746</v>
      </c>
      <c r="I6640" s="6" t="s">
        <v>5122</v>
      </c>
    </row>
    <row r="6641" customFormat="false" ht="15" hidden="false" customHeight="false" outlineLevel="0" collapsed="false">
      <c r="A6641" s="6" t="s">
        <v>11865</v>
      </c>
      <c r="B6641" s="6" t="s">
        <v>366</v>
      </c>
      <c r="C6641" s="26" t="n">
        <v>46222</v>
      </c>
      <c r="D6641" s="6" t="s">
        <v>5357</v>
      </c>
      <c r="E6641" s="6" t="s">
        <v>23</v>
      </c>
      <c r="F6641" s="6" t="n">
        <v>1</v>
      </c>
      <c r="G6641" s="10" t="n">
        <v>506</v>
      </c>
      <c r="H6641" s="10" t="n">
        <f aca="false">F6641*G6641</f>
        <v>506</v>
      </c>
      <c r="I6641" s="6" t="s">
        <v>5148</v>
      </c>
    </row>
    <row r="6642" customFormat="false" ht="15" hidden="false" customHeight="false" outlineLevel="0" collapsed="false">
      <c r="A6642" s="6" t="s">
        <v>11866</v>
      </c>
      <c r="B6642" s="6" t="s">
        <v>2673</v>
      </c>
      <c r="C6642" s="26" t="n">
        <v>46222</v>
      </c>
      <c r="D6642" s="6" t="s">
        <v>5150</v>
      </c>
      <c r="E6642" s="6" t="s">
        <v>24</v>
      </c>
      <c r="F6642" s="6" t="n">
        <v>2</v>
      </c>
      <c r="G6642" s="10" t="n">
        <v>483</v>
      </c>
      <c r="H6642" s="10" t="n">
        <f aca="false">F6642*G6642</f>
        <v>966</v>
      </c>
      <c r="I6642" s="6" t="s">
        <v>5173</v>
      </c>
    </row>
    <row r="6643" customFormat="false" ht="15" hidden="false" customHeight="false" outlineLevel="0" collapsed="false">
      <c r="A6643" s="6" t="s">
        <v>11867</v>
      </c>
      <c r="B6643" s="6" t="s">
        <v>4437</v>
      </c>
      <c r="C6643" s="26" t="n">
        <v>46222</v>
      </c>
      <c r="D6643" s="6" t="s">
        <v>5127</v>
      </c>
      <c r="E6643" s="6" t="s">
        <v>21</v>
      </c>
      <c r="F6643" s="6" t="n">
        <v>2</v>
      </c>
      <c r="G6643" s="10" t="n">
        <v>795</v>
      </c>
      <c r="H6643" s="10" t="n">
        <f aca="false">F6643*G6643</f>
        <v>1590</v>
      </c>
      <c r="I6643" s="6" t="s">
        <v>5122</v>
      </c>
    </row>
    <row r="6644" customFormat="false" ht="15" hidden="false" customHeight="false" outlineLevel="0" collapsed="false">
      <c r="A6644" s="6" t="s">
        <v>11868</v>
      </c>
      <c r="B6644" s="6" t="s">
        <v>1219</v>
      </c>
      <c r="C6644" s="26" t="n">
        <v>46223</v>
      </c>
      <c r="D6644" s="6" t="s">
        <v>5226</v>
      </c>
      <c r="E6644" s="6" t="s">
        <v>24</v>
      </c>
      <c r="F6644" s="6" t="n">
        <v>1</v>
      </c>
      <c r="G6644" s="10" t="n">
        <v>457</v>
      </c>
      <c r="H6644" s="10" t="n">
        <f aca="false">F6644*G6644</f>
        <v>457</v>
      </c>
      <c r="I6644" s="6" t="s">
        <v>5122</v>
      </c>
    </row>
    <row r="6645" customFormat="false" ht="15" hidden="false" customHeight="false" outlineLevel="0" collapsed="false">
      <c r="A6645" s="6" t="s">
        <v>11869</v>
      </c>
      <c r="B6645" s="6" t="s">
        <v>4751</v>
      </c>
      <c r="C6645" s="26" t="n">
        <v>46223</v>
      </c>
      <c r="D6645" s="6" t="s">
        <v>5129</v>
      </c>
      <c r="E6645" s="6" t="s">
        <v>21</v>
      </c>
      <c r="F6645" s="6" t="n">
        <v>2</v>
      </c>
      <c r="G6645" s="10" t="n">
        <v>559</v>
      </c>
      <c r="H6645" s="10" t="n">
        <f aca="false">F6645*G6645</f>
        <v>1118</v>
      </c>
      <c r="I6645" s="6" t="s">
        <v>5122</v>
      </c>
    </row>
    <row r="6646" customFormat="false" ht="15" hidden="false" customHeight="false" outlineLevel="0" collapsed="false">
      <c r="A6646" s="6" t="s">
        <v>11870</v>
      </c>
      <c r="B6646" s="6" t="s">
        <v>1517</v>
      </c>
      <c r="C6646" s="26" t="n">
        <v>46223</v>
      </c>
      <c r="D6646" s="6" t="s">
        <v>5185</v>
      </c>
      <c r="E6646" s="6" t="s">
        <v>24</v>
      </c>
      <c r="F6646" s="6" t="n">
        <v>1</v>
      </c>
      <c r="G6646" s="10" t="n">
        <v>2140</v>
      </c>
      <c r="H6646" s="10" t="n">
        <f aca="false">F6646*G6646</f>
        <v>2140</v>
      </c>
      <c r="I6646" s="6" t="s">
        <v>5122</v>
      </c>
    </row>
    <row r="6647" customFormat="false" ht="15" hidden="false" customHeight="false" outlineLevel="0" collapsed="false">
      <c r="A6647" s="6" t="s">
        <v>11871</v>
      </c>
      <c r="B6647" s="6" t="s">
        <v>4061</v>
      </c>
      <c r="C6647" s="26" t="n">
        <v>46223</v>
      </c>
      <c r="D6647" s="6" t="s">
        <v>5135</v>
      </c>
      <c r="E6647" s="6" t="s">
        <v>23</v>
      </c>
      <c r="F6647" s="6" t="n">
        <v>2</v>
      </c>
      <c r="G6647" s="10" t="n">
        <v>397</v>
      </c>
      <c r="H6647" s="10" t="n">
        <f aca="false">F6647*G6647</f>
        <v>794</v>
      </c>
      <c r="I6647" s="6" t="s">
        <v>5148</v>
      </c>
    </row>
    <row r="6648" customFormat="false" ht="15" hidden="false" customHeight="false" outlineLevel="0" collapsed="false">
      <c r="A6648" s="6" t="s">
        <v>11872</v>
      </c>
      <c r="B6648" s="6" t="s">
        <v>2855</v>
      </c>
      <c r="C6648" s="26" t="n">
        <v>46223</v>
      </c>
      <c r="D6648" s="6" t="s">
        <v>5269</v>
      </c>
      <c r="E6648" s="6" t="s">
        <v>22</v>
      </c>
      <c r="F6648" s="6" t="n">
        <v>1</v>
      </c>
      <c r="G6648" s="10" t="n">
        <v>1270</v>
      </c>
      <c r="H6648" s="10" t="n">
        <f aca="false">F6648*G6648</f>
        <v>1270</v>
      </c>
      <c r="I6648" s="6" t="s">
        <v>5133</v>
      </c>
    </row>
    <row r="6649" customFormat="false" ht="15" hidden="false" customHeight="false" outlineLevel="0" collapsed="false">
      <c r="A6649" s="6" t="s">
        <v>11873</v>
      </c>
      <c r="B6649" s="6" t="s">
        <v>4887</v>
      </c>
      <c r="C6649" s="26" t="n">
        <v>46223</v>
      </c>
      <c r="D6649" s="6" t="s">
        <v>5182</v>
      </c>
      <c r="E6649" s="6" t="s">
        <v>23</v>
      </c>
      <c r="F6649" s="6" t="n">
        <v>1</v>
      </c>
      <c r="G6649" s="10" t="n">
        <v>367</v>
      </c>
      <c r="H6649" s="10" t="n">
        <f aca="false">F6649*G6649</f>
        <v>367</v>
      </c>
      <c r="I6649" s="6" t="s">
        <v>5130</v>
      </c>
    </row>
    <row r="6650" customFormat="false" ht="15" hidden="false" customHeight="false" outlineLevel="0" collapsed="false">
      <c r="A6650" s="6" t="s">
        <v>11874</v>
      </c>
      <c r="B6650" s="6" t="s">
        <v>4019</v>
      </c>
      <c r="C6650" s="26" t="n">
        <v>46223</v>
      </c>
      <c r="D6650" s="6" t="s">
        <v>5171</v>
      </c>
      <c r="E6650" s="6" t="s">
        <v>23</v>
      </c>
      <c r="F6650" s="6" t="n">
        <v>5</v>
      </c>
      <c r="G6650" s="10" t="n">
        <v>734</v>
      </c>
      <c r="H6650" s="10" t="n">
        <f aca="false">F6650*G6650</f>
        <v>3670</v>
      </c>
      <c r="I6650" s="6" t="s">
        <v>5148</v>
      </c>
    </row>
    <row r="6651" customFormat="false" ht="15" hidden="false" customHeight="false" outlineLevel="0" collapsed="false">
      <c r="A6651" s="6" t="s">
        <v>11875</v>
      </c>
      <c r="B6651" s="6" t="s">
        <v>4667</v>
      </c>
      <c r="C6651" s="26" t="n">
        <v>46223</v>
      </c>
      <c r="D6651" s="6" t="s">
        <v>5185</v>
      </c>
      <c r="E6651" s="6" t="s">
        <v>24</v>
      </c>
      <c r="F6651" s="6" t="n">
        <v>4</v>
      </c>
      <c r="G6651" s="10" t="n">
        <v>2140</v>
      </c>
      <c r="H6651" s="10" t="n">
        <f aca="false">F6651*G6651</f>
        <v>8560</v>
      </c>
      <c r="I6651" s="6" t="s">
        <v>5122</v>
      </c>
    </row>
    <row r="6652" customFormat="false" ht="15" hidden="false" customHeight="false" outlineLevel="0" collapsed="false">
      <c r="A6652" s="6" t="s">
        <v>11876</v>
      </c>
      <c r="B6652" s="6" t="s">
        <v>3779</v>
      </c>
      <c r="C6652" s="26" t="n">
        <v>46223</v>
      </c>
      <c r="D6652" s="6" t="s">
        <v>5167</v>
      </c>
      <c r="E6652" s="6" t="s">
        <v>22</v>
      </c>
      <c r="F6652" s="6" t="n">
        <v>1</v>
      </c>
      <c r="G6652" s="10" t="n">
        <v>743</v>
      </c>
      <c r="H6652" s="10" t="n">
        <f aca="false">F6652*G6652</f>
        <v>743</v>
      </c>
      <c r="I6652" s="6" t="s">
        <v>5122</v>
      </c>
    </row>
    <row r="6653" customFormat="false" ht="15" hidden="false" customHeight="false" outlineLevel="0" collapsed="false">
      <c r="A6653" s="6" t="s">
        <v>11877</v>
      </c>
      <c r="B6653" s="6" t="s">
        <v>3891</v>
      </c>
      <c r="C6653" s="26" t="n">
        <v>46223</v>
      </c>
      <c r="D6653" s="6" t="s">
        <v>5182</v>
      </c>
      <c r="E6653" s="6" t="s">
        <v>23</v>
      </c>
      <c r="F6653" s="6" t="n">
        <v>2</v>
      </c>
      <c r="G6653" s="10" t="n">
        <v>349</v>
      </c>
      <c r="H6653" s="10" t="n">
        <f aca="false">F6653*G6653</f>
        <v>698</v>
      </c>
      <c r="I6653" s="6" t="s">
        <v>5122</v>
      </c>
    </row>
    <row r="6654" customFormat="false" ht="15" hidden="false" customHeight="false" outlineLevel="0" collapsed="false">
      <c r="A6654" s="6" t="s">
        <v>11878</v>
      </c>
      <c r="B6654" s="6" t="s">
        <v>3169</v>
      </c>
      <c r="C6654" s="26" t="n">
        <v>46223</v>
      </c>
      <c r="D6654" s="6" t="s">
        <v>5150</v>
      </c>
      <c r="E6654" s="6" t="s">
        <v>24</v>
      </c>
      <c r="F6654" s="6" t="n">
        <v>1</v>
      </c>
      <c r="G6654" s="10" t="n">
        <v>484</v>
      </c>
      <c r="H6654" s="10" t="n">
        <f aca="false">F6654*G6654</f>
        <v>484</v>
      </c>
      <c r="I6654" s="6" t="s">
        <v>5148</v>
      </c>
    </row>
    <row r="6655" customFormat="false" ht="15" hidden="false" customHeight="false" outlineLevel="0" collapsed="false">
      <c r="A6655" s="6" t="s">
        <v>11879</v>
      </c>
      <c r="B6655" s="6" t="s">
        <v>523</v>
      </c>
      <c r="C6655" s="26" t="n">
        <v>46223</v>
      </c>
      <c r="D6655" s="6" t="s">
        <v>5121</v>
      </c>
      <c r="E6655" s="6" t="s">
        <v>22</v>
      </c>
      <c r="F6655" s="6" t="n">
        <v>1</v>
      </c>
      <c r="G6655" s="10" t="n">
        <v>977</v>
      </c>
      <c r="H6655" s="10" t="n">
        <f aca="false">F6655*G6655</f>
        <v>977</v>
      </c>
      <c r="I6655" s="6" t="s">
        <v>5148</v>
      </c>
    </row>
    <row r="6656" customFormat="false" ht="15" hidden="false" customHeight="false" outlineLevel="0" collapsed="false">
      <c r="A6656" s="6" t="s">
        <v>11880</v>
      </c>
      <c r="B6656" s="6" t="s">
        <v>513</v>
      </c>
      <c r="C6656" s="26" t="n">
        <v>46223</v>
      </c>
      <c r="D6656" s="6" t="s">
        <v>5269</v>
      </c>
      <c r="E6656" s="6" t="s">
        <v>22</v>
      </c>
      <c r="F6656" s="6" t="n">
        <v>1</v>
      </c>
      <c r="G6656" s="10" t="n">
        <v>1271</v>
      </c>
      <c r="H6656" s="10" t="n">
        <f aca="false">F6656*G6656</f>
        <v>1271</v>
      </c>
      <c r="I6656" s="6" t="s">
        <v>5122</v>
      </c>
    </row>
    <row r="6657" customFormat="false" ht="15" hidden="false" customHeight="false" outlineLevel="0" collapsed="false">
      <c r="A6657" s="6" t="s">
        <v>11881</v>
      </c>
      <c r="B6657" s="6" t="s">
        <v>1199</v>
      </c>
      <c r="C6657" s="26" t="n">
        <v>46223</v>
      </c>
      <c r="D6657" s="6" t="s">
        <v>5240</v>
      </c>
      <c r="E6657" s="6" t="s">
        <v>20</v>
      </c>
      <c r="F6657" s="6" t="n">
        <v>1</v>
      </c>
      <c r="G6657" s="10" t="n">
        <v>5098</v>
      </c>
      <c r="H6657" s="10" t="n">
        <f aca="false">F6657*G6657</f>
        <v>5098</v>
      </c>
      <c r="I6657" s="6" t="s">
        <v>5122</v>
      </c>
    </row>
    <row r="6658" customFormat="false" ht="15" hidden="false" customHeight="false" outlineLevel="0" collapsed="false">
      <c r="A6658" s="6" t="s">
        <v>11882</v>
      </c>
      <c r="B6658" s="6" t="s">
        <v>455</v>
      </c>
      <c r="C6658" s="26" t="n">
        <v>46223</v>
      </c>
      <c r="D6658" s="6" t="s">
        <v>5169</v>
      </c>
      <c r="E6658" s="6" t="s">
        <v>20</v>
      </c>
      <c r="F6658" s="6" t="n">
        <v>1</v>
      </c>
      <c r="G6658" s="10" t="n">
        <v>5098</v>
      </c>
      <c r="H6658" s="10" t="n">
        <f aca="false">F6658*G6658</f>
        <v>5098</v>
      </c>
      <c r="I6658" s="6" t="s">
        <v>5130</v>
      </c>
    </row>
    <row r="6659" customFormat="false" ht="15" hidden="false" customHeight="false" outlineLevel="0" collapsed="false">
      <c r="A6659" s="6" t="s">
        <v>11883</v>
      </c>
      <c r="B6659" s="6" t="s">
        <v>4511</v>
      </c>
      <c r="C6659" s="26" t="n">
        <v>46223</v>
      </c>
      <c r="D6659" s="6" t="s">
        <v>5538</v>
      </c>
      <c r="E6659" s="6" t="s">
        <v>21</v>
      </c>
      <c r="F6659" s="6" t="n">
        <v>1</v>
      </c>
      <c r="G6659" s="10" t="n">
        <v>5405</v>
      </c>
      <c r="H6659" s="10" t="n">
        <f aca="false">F6659*G6659</f>
        <v>5405</v>
      </c>
      <c r="I6659" s="6" t="s">
        <v>5125</v>
      </c>
    </row>
    <row r="6660" customFormat="false" ht="15" hidden="false" customHeight="false" outlineLevel="0" collapsed="false">
      <c r="A6660" s="6" t="s">
        <v>11884</v>
      </c>
      <c r="B6660" s="6" t="s">
        <v>3441</v>
      </c>
      <c r="C6660" s="26" t="n">
        <v>46223</v>
      </c>
      <c r="D6660" s="6" t="s">
        <v>5167</v>
      </c>
      <c r="E6660" s="6" t="s">
        <v>22</v>
      </c>
      <c r="F6660" s="6" t="n">
        <v>1</v>
      </c>
      <c r="G6660" s="10" t="n">
        <v>703</v>
      </c>
      <c r="H6660" s="10" t="n">
        <f aca="false">F6660*G6660</f>
        <v>703</v>
      </c>
      <c r="I6660" s="6" t="s">
        <v>5133</v>
      </c>
    </row>
    <row r="6661" customFormat="false" ht="15" hidden="false" customHeight="false" outlineLevel="0" collapsed="false">
      <c r="A6661" s="6" t="s">
        <v>11885</v>
      </c>
      <c r="B6661" s="6" t="s">
        <v>3093</v>
      </c>
      <c r="C6661" s="26" t="n">
        <v>46223</v>
      </c>
      <c r="D6661" s="6" t="s">
        <v>5171</v>
      </c>
      <c r="E6661" s="6" t="s">
        <v>23</v>
      </c>
      <c r="F6661" s="6" t="n">
        <v>2</v>
      </c>
      <c r="G6661" s="10" t="n">
        <v>734</v>
      </c>
      <c r="H6661" s="10" t="n">
        <f aca="false">F6661*G6661</f>
        <v>1468</v>
      </c>
      <c r="I6661" s="6" t="s">
        <v>5130</v>
      </c>
    </row>
    <row r="6662" customFormat="false" ht="15" hidden="false" customHeight="false" outlineLevel="0" collapsed="false">
      <c r="A6662" s="6" t="s">
        <v>11886</v>
      </c>
      <c r="B6662" s="6" t="s">
        <v>1405</v>
      </c>
      <c r="C6662" s="26" t="n">
        <v>46223</v>
      </c>
      <c r="D6662" s="6" t="s">
        <v>5165</v>
      </c>
      <c r="E6662" s="6" t="s">
        <v>22</v>
      </c>
      <c r="F6662" s="6" t="n">
        <v>3</v>
      </c>
      <c r="G6662" s="10" t="n">
        <v>928</v>
      </c>
      <c r="H6662" s="10" t="n">
        <f aca="false">F6662*G6662</f>
        <v>2784</v>
      </c>
      <c r="I6662" s="6" t="s">
        <v>5122</v>
      </c>
    </row>
    <row r="6663" customFormat="false" ht="15" hidden="false" customHeight="false" outlineLevel="0" collapsed="false">
      <c r="A6663" s="6" t="s">
        <v>11887</v>
      </c>
      <c r="B6663" s="6" t="s">
        <v>735</v>
      </c>
      <c r="C6663" s="26" t="n">
        <v>46223</v>
      </c>
      <c r="D6663" s="6" t="s">
        <v>5357</v>
      </c>
      <c r="E6663" s="6" t="s">
        <v>23</v>
      </c>
      <c r="F6663" s="6" t="n">
        <v>1</v>
      </c>
      <c r="G6663" s="10" t="n">
        <v>533</v>
      </c>
      <c r="H6663" s="10" t="n">
        <f aca="false">F6663*G6663</f>
        <v>533</v>
      </c>
      <c r="I6663" s="6" t="s">
        <v>5122</v>
      </c>
    </row>
    <row r="6664" customFormat="false" ht="15" hidden="false" customHeight="false" outlineLevel="0" collapsed="false">
      <c r="A6664" s="6" t="s">
        <v>11888</v>
      </c>
      <c r="B6664" s="6" t="s">
        <v>4471</v>
      </c>
      <c r="C6664" s="26" t="n">
        <v>46223</v>
      </c>
      <c r="D6664" s="6" t="s">
        <v>5167</v>
      </c>
      <c r="E6664" s="6" t="s">
        <v>22</v>
      </c>
      <c r="F6664" s="6" t="n">
        <v>1</v>
      </c>
      <c r="G6664" s="10" t="n">
        <v>782</v>
      </c>
      <c r="H6664" s="10" t="n">
        <f aca="false">F6664*G6664</f>
        <v>782</v>
      </c>
      <c r="I6664" s="6" t="s">
        <v>5148</v>
      </c>
    </row>
    <row r="6665" customFormat="false" ht="15" hidden="false" customHeight="false" outlineLevel="0" collapsed="false">
      <c r="A6665" s="6" t="s">
        <v>11889</v>
      </c>
      <c r="B6665" s="6" t="s">
        <v>3157</v>
      </c>
      <c r="C6665" s="26" t="n">
        <v>46223</v>
      </c>
      <c r="D6665" s="6" t="s">
        <v>5245</v>
      </c>
      <c r="E6665" s="6" t="s">
        <v>21</v>
      </c>
      <c r="F6665" s="6" t="n">
        <v>1</v>
      </c>
      <c r="G6665" s="10" t="n">
        <v>2456</v>
      </c>
      <c r="H6665" s="10" t="n">
        <f aca="false">F6665*G6665</f>
        <v>2456</v>
      </c>
      <c r="I6665" s="6" t="s">
        <v>5130</v>
      </c>
    </row>
    <row r="6666" customFormat="false" ht="15" hidden="false" customHeight="false" outlineLevel="0" collapsed="false">
      <c r="A6666" s="6" t="s">
        <v>11890</v>
      </c>
      <c r="B6666" s="6" t="s">
        <v>368</v>
      </c>
      <c r="C6666" s="26" t="n">
        <v>46223</v>
      </c>
      <c r="D6666" s="6" t="s">
        <v>5163</v>
      </c>
      <c r="E6666" s="6" t="s">
        <v>23</v>
      </c>
      <c r="F6666" s="6" t="n">
        <v>2</v>
      </c>
      <c r="G6666" s="10" t="n">
        <v>705</v>
      </c>
      <c r="H6666" s="10" t="n">
        <f aca="false">F6666*G6666</f>
        <v>1410</v>
      </c>
      <c r="I6666" s="6" t="s">
        <v>5122</v>
      </c>
    </row>
    <row r="6667" customFormat="false" ht="15" hidden="false" customHeight="false" outlineLevel="0" collapsed="false">
      <c r="A6667" s="6" t="s">
        <v>11891</v>
      </c>
      <c r="B6667" s="6" t="s">
        <v>3509</v>
      </c>
      <c r="C6667" s="26" t="n">
        <v>46223</v>
      </c>
      <c r="D6667" s="6" t="s">
        <v>5154</v>
      </c>
      <c r="E6667" s="6" t="s">
        <v>21</v>
      </c>
      <c r="F6667" s="6" t="n">
        <v>1</v>
      </c>
      <c r="G6667" s="10" t="n">
        <v>746</v>
      </c>
      <c r="H6667" s="10" t="n">
        <f aca="false">F6667*G6667</f>
        <v>746</v>
      </c>
      <c r="I6667" s="6" t="s">
        <v>5148</v>
      </c>
    </row>
    <row r="6668" customFormat="false" ht="15" hidden="false" customHeight="false" outlineLevel="0" collapsed="false">
      <c r="A6668" s="6" t="s">
        <v>11892</v>
      </c>
      <c r="B6668" s="6" t="s">
        <v>2653</v>
      </c>
      <c r="C6668" s="26" t="n">
        <v>46223</v>
      </c>
      <c r="D6668" s="6" t="s">
        <v>5357</v>
      </c>
      <c r="E6668" s="6" t="s">
        <v>23</v>
      </c>
      <c r="F6668" s="6" t="n">
        <v>2</v>
      </c>
      <c r="G6668" s="10" t="n">
        <v>507</v>
      </c>
      <c r="H6668" s="10" t="n">
        <f aca="false">F6668*G6668</f>
        <v>1014</v>
      </c>
      <c r="I6668" s="6" t="s">
        <v>5133</v>
      </c>
    </row>
    <row r="6669" customFormat="false" ht="15" hidden="false" customHeight="false" outlineLevel="0" collapsed="false">
      <c r="A6669" s="6" t="s">
        <v>11893</v>
      </c>
      <c r="B6669" s="6" t="s">
        <v>2269</v>
      </c>
      <c r="C6669" s="26" t="n">
        <v>46223</v>
      </c>
      <c r="D6669" s="6" t="s">
        <v>5163</v>
      </c>
      <c r="E6669" s="6" t="s">
        <v>23</v>
      </c>
      <c r="F6669" s="6" t="n">
        <v>2</v>
      </c>
      <c r="G6669" s="10" t="n">
        <v>744</v>
      </c>
      <c r="H6669" s="10" t="n">
        <f aca="false">F6669*G6669</f>
        <v>1488</v>
      </c>
      <c r="I6669" s="6" t="s">
        <v>5122</v>
      </c>
    </row>
    <row r="6670" customFormat="false" ht="15" hidden="false" customHeight="false" outlineLevel="0" collapsed="false">
      <c r="A6670" s="6" t="s">
        <v>11894</v>
      </c>
      <c r="B6670" s="6" t="s">
        <v>1097</v>
      </c>
      <c r="C6670" s="26" t="n">
        <v>46223</v>
      </c>
      <c r="D6670" s="6" t="s">
        <v>5410</v>
      </c>
      <c r="E6670" s="6" t="s">
        <v>20</v>
      </c>
      <c r="F6670" s="6" t="n">
        <v>1</v>
      </c>
      <c r="G6670" s="10" t="n">
        <v>2548</v>
      </c>
      <c r="H6670" s="10" t="n">
        <f aca="false">F6670*G6670</f>
        <v>2548</v>
      </c>
      <c r="I6670" s="6" t="s">
        <v>5122</v>
      </c>
    </row>
    <row r="6671" customFormat="false" ht="15" hidden="false" customHeight="false" outlineLevel="0" collapsed="false">
      <c r="A6671" s="6" t="s">
        <v>11895</v>
      </c>
      <c r="B6671" s="6" t="s">
        <v>1137</v>
      </c>
      <c r="C6671" s="26" t="n">
        <v>46223</v>
      </c>
      <c r="D6671" s="6" t="s">
        <v>5345</v>
      </c>
      <c r="E6671" s="6" t="s">
        <v>23</v>
      </c>
      <c r="F6671" s="6" t="n">
        <v>2</v>
      </c>
      <c r="G6671" s="10" t="n">
        <v>392</v>
      </c>
      <c r="H6671" s="10" t="n">
        <f aca="false">F6671*G6671</f>
        <v>784</v>
      </c>
      <c r="I6671" s="6" t="s">
        <v>5130</v>
      </c>
    </row>
    <row r="6672" customFormat="false" ht="15" hidden="false" customHeight="false" outlineLevel="0" collapsed="false">
      <c r="A6672" s="6" t="s">
        <v>11896</v>
      </c>
      <c r="B6672" s="6" t="s">
        <v>1261</v>
      </c>
      <c r="C6672" s="26" t="n">
        <v>46223</v>
      </c>
      <c r="D6672" s="6" t="s">
        <v>5167</v>
      </c>
      <c r="E6672" s="6" t="s">
        <v>22</v>
      </c>
      <c r="F6672" s="6" t="n">
        <v>1</v>
      </c>
      <c r="G6672" s="10" t="n">
        <v>743</v>
      </c>
      <c r="H6672" s="10" t="n">
        <f aca="false">F6672*G6672</f>
        <v>743</v>
      </c>
      <c r="I6672" s="6" t="s">
        <v>5130</v>
      </c>
    </row>
    <row r="6673" customFormat="false" ht="15" hidden="false" customHeight="false" outlineLevel="0" collapsed="false">
      <c r="A6673" s="6" t="s">
        <v>11897</v>
      </c>
      <c r="B6673" s="6" t="s">
        <v>3413</v>
      </c>
      <c r="C6673" s="26" t="n">
        <v>46223</v>
      </c>
      <c r="D6673" s="6" t="s">
        <v>5240</v>
      </c>
      <c r="E6673" s="6" t="s">
        <v>20</v>
      </c>
      <c r="F6673" s="6" t="n">
        <v>1</v>
      </c>
      <c r="G6673" s="10" t="n">
        <v>5098</v>
      </c>
      <c r="H6673" s="10" t="n">
        <f aca="false">F6673*G6673</f>
        <v>5098</v>
      </c>
      <c r="I6673" s="6" t="s">
        <v>5122</v>
      </c>
    </row>
    <row r="6674" customFormat="false" ht="15" hidden="false" customHeight="false" outlineLevel="0" collapsed="false">
      <c r="A6674" s="6" t="s">
        <v>11898</v>
      </c>
      <c r="B6674" s="6" t="s">
        <v>4453</v>
      </c>
      <c r="C6674" s="26" t="n">
        <v>46223</v>
      </c>
      <c r="D6674" s="6" t="s">
        <v>5488</v>
      </c>
      <c r="E6674" s="6" t="s">
        <v>24</v>
      </c>
      <c r="F6674" s="6" t="n">
        <v>3</v>
      </c>
      <c r="G6674" s="10" t="n">
        <v>866</v>
      </c>
      <c r="H6674" s="10" t="n">
        <f aca="false">F6674*G6674</f>
        <v>2598</v>
      </c>
      <c r="I6674" s="6" t="s">
        <v>5148</v>
      </c>
    </row>
    <row r="6675" customFormat="false" ht="15" hidden="false" customHeight="false" outlineLevel="0" collapsed="false">
      <c r="A6675" s="6" t="s">
        <v>11899</v>
      </c>
      <c r="B6675" s="6" t="s">
        <v>297</v>
      </c>
      <c r="C6675" s="26" t="n">
        <v>46223</v>
      </c>
      <c r="D6675" s="6" t="s">
        <v>5188</v>
      </c>
      <c r="E6675" s="6" t="s">
        <v>24</v>
      </c>
      <c r="F6675" s="6" t="n">
        <v>1</v>
      </c>
      <c r="G6675" s="10" t="n">
        <v>1019</v>
      </c>
      <c r="H6675" s="10" t="n">
        <f aca="false">F6675*G6675</f>
        <v>1019</v>
      </c>
      <c r="I6675" s="6" t="s">
        <v>5122</v>
      </c>
    </row>
    <row r="6676" customFormat="false" ht="15" hidden="false" customHeight="false" outlineLevel="0" collapsed="false">
      <c r="A6676" s="6" t="s">
        <v>11900</v>
      </c>
      <c r="B6676" s="6" t="s">
        <v>1123</v>
      </c>
      <c r="C6676" s="26" t="n">
        <v>46223</v>
      </c>
      <c r="D6676" s="6" t="s">
        <v>5345</v>
      </c>
      <c r="E6676" s="6" t="s">
        <v>23</v>
      </c>
      <c r="F6676" s="6" t="n">
        <v>1</v>
      </c>
      <c r="G6676" s="10" t="n">
        <v>435</v>
      </c>
      <c r="H6676" s="10" t="n">
        <f aca="false">F6676*G6676</f>
        <v>435</v>
      </c>
      <c r="I6676" s="6" t="s">
        <v>5130</v>
      </c>
    </row>
    <row r="6677" customFormat="false" ht="15" hidden="false" customHeight="false" outlineLevel="0" collapsed="false">
      <c r="A6677" s="6" t="s">
        <v>11901</v>
      </c>
      <c r="B6677" s="6" t="s">
        <v>1067</v>
      </c>
      <c r="C6677" s="26" t="n">
        <v>46223</v>
      </c>
      <c r="D6677" s="6" t="s">
        <v>5687</v>
      </c>
      <c r="E6677" s="6" t="s">
        <v>20</v>
      </c>
      <c r="F6677" s="6" t="n">
        <v>1</v>
      </c>
      <c r="G6677" s="10" t="n">
        <v>1937</v>
      </c>
      <c r="H6677" s="10" t="n">
        <f aca="false">F6677*G6677</f>
        <v>1937</v>
      </c>
      <c r="I6677" s="6" t="s">
        <v>5148</v>
      </c>
    </row>
    <row r="6678" customFormat="false" ht="15" hidden="false" customHeight="false" outlineLevel="0" collapsed="false">
      <c r="A6678" s="6" t="s">
        <v>11902</v>
      </c>
      <c r="B6678" s="6" t="s">
        <v>4313</v>
      </c>
      <c r="C6678" s="26" t="n">
        <v>46224</v>
      </c>
      <c r="D6678" s="6" t="s">
        <v>5165</v>
      </c>
      <c r="E6678" s="6" t="s">
        <v>22</v>
      </c>
      <c r="F6678" s="6" t="n">
        <v>1</v>
      </c>
      <c r="G6678" s="10" t="n">
        <v>977</v>
      </c>
      <c r="H6678" s="10" t="n">
        <f aca="false">F6678*G6678</f>
        <v>977</v>
      </c>
      <c r="I6678" s="6" t="s">
        <v>5122</v>
      </c>
    </row>
    <row r="6679" customFormat="false" ht="15" hidden="false" customHeight="false" outlineLevel="0" collapsed="false">
      <c r="A6679" s="6" t="s">
        <v>11903</v>
      </c>
      <c r="B6679" s="6" t="s">
        <v>2581</v>
      </c>
      <c r="C6679" s="26" t="n">
        <v>46224</v>
      </c>
      <c r="D6679" s="6" t="s">
        <v>5214</v>
      </c>
      <c r="E6679" s="6" t="s">
        <v>20</v>
      </c>
      <c r="F6679" s="6" t="n">
        <v>2</v>
      </c>
      <c r="G6679" s="10" t="n">
        <v>2039</v>
      </c>
      <c r="H6679" s="10" t="n">
        <f aca="false">F6679*G6679</f>
        <v>4078</v>
      </c>
      <c r="I6679" s="6" t="s">
        <v>5148</v>
      </c>
    </row>
    <row r="6680" customFormat="false" ht="15" hidden="false" customHeight="false" outlineLevel="0" collapsed="false">
      <c r="A6680" s="6" t="s">
        <v>11904</v>
      </c>
      <c r="B6680" s="6" t="s">
        <v>4899</v>
      </c>
      <c r="C6680" s="26" t="n">
        <v>46224</v>
      </c>
      <c r="D6680" s="6" t="s">
        <v>5410</v>
      </c>
      <c r="E6680" s="6" t="s">
        <v>20</v>
      </c>
      <c r="F6680" s="6" t="n">
        <v>1</v>
      </c>
      <c r="G6680" s="10" t="n">
        <v>2548</v>
      </c>
      <c r="H6680" s="10" t="n">
        <f aca="false">F6680*G6680</f>
        <v>2548</v>
      </c>
      <c r="I6680" s="6" t="s">
        <v>5130</v>
      </c>
    </row>
    <row r="6681" customFormat="false" ht="15" hidden="false" customHeight="false" outlineLevel="0" collapsed="false">
      <c r="A6681" s="6" t="s">
        <v>11905</v>
      </c>
      <c r="B6681" s="6" t="s">
        <v>1071</v>
      </c>
      <c r="C6681" s="26" t="n">
        <v>46224</v>
      </c>
      <c r="D6681" s="6" t="s">
        <v>5152</v>
      </c>
      <c r="E6681" s="6" t="s">
        <v>22</v>
      </c>
      <c r="F6681" s="6" t="n">
        <v>1</v>
      </c>
      <c r="G6681" s="10" t="n">
        <v>1672</v>
      </c>
      <c r="H6681" s="10" t="n">
        <f aca="false">F6681*G6681</f>
        <v>1672</v>
      </c>
      <c r="I6681" s="6" t="s">
        <v>5148</v>
      </c>
    </row>
    <row r="6682" customFormat="false" ht="15" hidden="false" customHeight="false" outlineLevel="0" collapsed="false">
      <c r="A6682" s="6" t="s">
        <v>11906</v>
      </c>
      <c r="B6682" s="6" t="s">
        <v>751</v>
      </c>
      <c r="C6682" s="26" t="n">
        <v>46224</v>
      </c>
      <c r="D6682" s="6" t="s">
        <v>5269</v>
      </c>
      <c r="E6682" s="6" t="s">
        <v>22</v>
      </c>
      <c r="F6682" s="6" t="n">
        <v>1</v>
      </c>
      <c r="G6682" s="10" t="n">
        <v>1271</v>
      </c>
      <c r="H6682" s="10" t="n">
        <f aca="false">F6682*G6682</f>
        <v>1271</v>
      </c>
      <c r="I6682" s="6" t="s">
        <v>5122</v>
      </c>
    </row>
    <row r="6683" customFormat="false" ht="15" hidden="false" customHeight="false" outlineLevel="0" collapsed="false">
      <c r="A6683" s="6" t="s">
        <v>11907</v>
      </c>
      <c r="B6683" s="6" t="s">
        <v>2703</v>
      </c>
      <c r="C6683" s="26" t="n">
        <v>46224</v>
      </c>
      <c r="D6683" s="6" t="s">
        <v>5165</v>
      </c>
      <c r="E6683" s="6" t="s">
        <v>22</v>
      </c>
      <c r="F6683" s="6" t="n">
        <v>1</v>
      </c>
      <c r="G6683" s="10" t="n">
        <v>977</v>
      </c>
      <c r="H6683" s="10" t="n">
        <f aca="false">F6683*G6683</f>
        <v>977</v>
      </c>
      <c r="I6683" s="6" t="s">
        <v>5130</v>
      </c>
    </row>
    <row r="6684" customFormat="false" ht="15" hidden="false" customHeight="false" outlineLevel="0" collapsed="false">
      <c r="A6684" s="6" t="s">
        <v>11908</v>
      </c>
      <c r="B6684" s="6" t="s">
        <v>1137</v>
      </c>
      <c r="C6684" s="26" t="n">
        <v>46224</v>
      </c>
      <c r="D6684" s="6" t="s">
        <v>5180</v>
      </c>
      <c r="E6684" s="6" t="s">
        <v>24</v>
      </c>
      <c r="F6684" s="6" t="n">
        <v>1</v>
      </c>
      <c r="G6684" s="10" t="n">
        <v>1888</v>
      </c>
      <c r="H6684" s="10" t="n">
        <f aca="false">F6684*G6684</f>
        <v>1888</v>
      </c>
      <c r="I6684" s="6" t="s">
        <v>5148</v>
      </c>
    </row>
    <row r="6685" customFormat="false" ht="15" hidden="false" customHeight="false" outlineLevel="0" collapsed="false">
      <c r="A6685" s="6" t="s">
        <v>11909</v>
      </c>
      <c r="B6685" s="6" t="s">
        <v>1499</v>
      </c>
      <c r="C6685" s="26" t="n">
        <v>46224</v>
      </c>
      <c r="D6685" s="6" t="s">
        <v>5837</v>
      </c>
      <c r="E6685" s="6" t="s">
        <v>21</v>
      </c>
      <c r="F6685" s="6" t="n">
        <v>2</v>
      </c>
      <c r="G6685" s="10" t="n">
        <v>2948</v>
      </c>
      <c r="H6685" s="10" t="n">
        <f aca="false">F6685*G6685</f>
        <v>5896</v>
      </c>
      <c r="I6685" s="6" t="s">
        <v>5130</v>
      </c>
    </row>
    <row r="6686" customFormat="false" ht="15" hidden="false" customHeight="false" outlineLevel="0" collapsed="false">
      <c r="A6686" s="6" t="s">
        <v>11910</v>
      </c>
      <c r="B6686" s="6" t="s">
        <v>4147</v>
      </c>
      <c r="C6686" s="26" t="n">
        <v>46224</v>
      </c>
      <c r="D6686" s="6" t="s">
        <v>5182</v>
      </c>
      <c r="E6686" s="6" t="s">
        <v>23</v>
      </c>
      <c r="F6686" s="6" t="n">
        <v>5</v>
      </c>
      <c r="G6686" s="10" t="n">
        <v>367</v>
      </c>
      <c r="H6686" s="10" t="n">
        <f aca="false">F6686*G6686</f>
        <v>1835</v>
      </c>
      <c r="I6686" s="6" t="s">
        <v>5122</v>
      </c>
    </row>
    <row r="6687" customFormat="false" ht="15" hidden="false" customHeight="false" outlineLevel="0" collapsed="false">
      <c r="A6687" s="6" t="s">
        <v>11911</v>
      </c>
      <c r="B6687" s="6" t="s">
        <v>273</v>
      </c>
      <c r="C6687" s="26" t="n">
        <v>46224</v>
      </c>
      <c r="D6687" s="6" t="s">
        <v>5167</v>
      </c>
      <c r="E6687" s="6" t="s">
        <v>22</v>
      </c>
      <c r="F6687" s="6" t="n">
        <v>2</v>
      </c>
      <c r="G6687" s="10" t="n">
        <v>743</v>
      </c>
      <c r="H6687" s="10" t="n">
        <f aca="false">F6687*G6687</f>
        <v>1486</v>
      </c>
      <c r="I6687" s="6" t="s">
        <v>5122</v>
      </c>
    </row>
    <row r="6688" customFormat="false" ht="15" hidden="false" customHeight="false" outlineLevel="0" collapsed="false">
      <c r="A6688" s="6" t="s">
        <v>11912</v>
      </c>
      <c r="B6688" s="6" t="s">
        <v>4891</v>
      </c>
      <c r="C6688" s="26" t="n">
        <v>46224</v>
      </c>
      <c r="D6688" s="6" t="s">
        <v>5588</v>
      </c>
      <c r="E6688" s="6" t="s">
        <v>21</v>
      </c>
      <c r="F6688" s="6" t="n">
        <v>1</v>
      </c>
      <c r="G6688" s="10" t="n">
        <v>11204</v>
      </c>
      <c r="H6688" s="10" t="n">
        <f aca="false">F6688*G6688</f>
        <v>11204</v>
      </c>
      <c r="I6688" s="6" t="s">
        <v>5122</v>
      </c>
    </row>
    <row r="6689" customFormat="false" ht="15" hidden="false" customHeight="false" outlineLevel="0" collapsed="false">
      <c r="A6689" s="6" t="s">
        <v>11913</v>
      </c>
      <c r="B6689" s="6" t="s">
        <v>4571</v>
      </c>
      <c r="C6689" s="26" t="n">
        <v>46224</v>
      </c>
      <c r="D6689" s="6" t="s">
        <v>5147</v>
      </c>
      <c r="E6689" s="6" t="s">
        <v>24</v>
      </c>
      <c r="F6689" s="6" t="n">
        <v>2</v>
      </c>
      <c r="G6689" s="10" t="n">
        <v>661</v>
      </c>
      <c r="H6689" s="10" t="n">
        <f aca="false">F6689*G6689</f>
        <v>1322</v>
      </c>
      <c r="I6689" s="6" t="s">
        <v>5148</v>
      </c>
    </row>
    <row r="6690" customFormat="false" ht="15" hidden="false" customHeight="false" outlineLevel="0" collapsed="false">
      <c r="A6690" s="6" t="s">
        <v>11914</v>
      </c>
      <c r="B6690" s="6" t="s">
        <v>4439</v>
      </c>
      <c r="C6690" s="26" t="n">
        <v>46224</v>
      </c>
      <c r="D6690" s="6" t="s">
        <v>5269</v>
      </c>
      <c r="E6690" s="6" t="s">
        <v>22</v>
      </c>
      <c r="F6690" s="6" t="n">
        <v>1</v>
      </c>
      <c r="G6690" s="10" t="n">
        <v>1207</v>
      </c>
      <c r="H6690" s="10" t="n">
        <f aca="false">F6690*G6690</f>
        <v>1207</v>
      </c>
      <c r="I6690" s="6" t="s">
        <v>5148</v>
      </c>
    </row>
    <row r="6691" customFormat="false" ht="15" hidden="false" customHeight="false" outlineLevel="0" collapsed="false">
      <c r="A6691" s="6" t="s">
        <v>11915</v>
      </c>
      <c r="B6691" s="6" t="s">
        <v>3753</v>
      </c>
      <c r="C6691" s="26" t="n">
        <v>46224</v>
      </c>
      <c r="D6691" s="6" t="s">
        <v>5273</v>
      </c>
      <c r="E6691" s="6" t="s">
        <v>23</v>
      </c>
      <c r="F6691" s="6" t="n">
        <v>2</v>
      </c>
      <c r="G6691" s="10" t="n">
        <v>240</v>
      </c>
      <c r="H6691" s="10" t="n">
        <f aca="false">F6691*G6691</f>
        <v>480</v>
      </c>
      <c r="I6691" s="6" t="s">
        <v>5122</v>
      </c>
    </row>
    <row r="6692" customFormat="false" ht="15" hidden="false" customHeight="false" outlineLevel="0" collapsed="false">
      <c r="A6692" s="6" t="s">
        <v>11916</v>
      </c>
      <c r="B6692" s="6" t="s">
        <v>4481</v>
      </c>
      <c r="C6692" s="26" t="n">
        <v>46224</v>
      </c>
      <c r="D6692" s="6" t="s">
        <v>5538</v>
      </c>
      <c r="E6692" s="6" t="s">
        <v>21</v>
      </c>
      <c r="F6692" s="6" t="n">
        <v>3</v>
      </c>
      <c r="G6692" s="10" t="n">
        <v>5405</v>
      </c>
      <c r="H6692" s="10" t="n">
        <f aca="false">F6692*G6692</f>
        <v>16215</v>
      </c>
      <c r="I6692" s="6" t="s">
        <v>5173</v>
      </c>
    </row>
    <row r="6693" customFormat="false" ht="15" hidden="false" customHeight="false" outlineLevel="0" collapsed="false">
      <c r="A6693" s="6" t="s">
        <v>11917</v>
      </c>
      <c r="B6693" s="6" t="s">
        <v>3987</v>
      </c>
      <c r="C6693" s="26" t="n">
        <v>46224</v>
      </c>
      <c r="D6693" s="6" t="s">
        <v>5175</v>
      </c>
      <c r="E6693" s="6" t="s">
        <v>24</v>
      </c>
      <c r="F6693" s="6" t="n">
        <v>2</v>
      </c>
      <c r="G6693" s="10" t="n">
        <v>610</v>
      </c>
      <c r="H6693" s="10" t="n">
        <f aca="false">F6693*G6693</f>
        <v>1220</v>
      </c>
      <c r="I6693" s="6" t="s">
        <v>5130</v>
      </c>
    </row>
    <row r="6694" customFormat="false" ht="15" hidden="false" customHeight="false" outlineLevel="0" collapsed="false">
      <c r="A6694" s="6" t="s">
        <v>11918</v>
      </c>
      <c r="B6694" s="6" t="s">
        <v>4077</v>
      </c>
      <c r="C6694" s="26" t="n">
        <v>46224</v>
      </c>
      <c r="D6694" s="6" t="s">
        <v>5216</v>
      </c>
      <c r="E6694" s="6" t="s">
        <v>23</v>
      </c>
      <c r="F6694" s="6" t="n">
        <v>1</v>
      </c>
      <c r="G6694" s="10" t="n">
        <v>587</v>
      </c>
      <c r="H6694" s="10" t="n">
        <f aca="false">F6694*G6694</f>
        <v>587</v>
      </c>
      <c r="I6694" s="6" t="s">
        <v>5122</v>
      </c>
    </row>
    <row r="6695" customFormat="false" ht="15" hidden="false" customHeight="false" outlineLevel="0" collapsed="false">
      <c r="A6695" s="6" t="s">
        <v>11919</v>
      </c>
      <c r="B6695" s="6" t="s">
        <v>1915</v>
      </c>
      <c r="C6695" s="26" t="n">
        <v>46224</v>
      </c>
      <c r="D6695" s="6" t="s">
        <v>5154</v>
      </c>
      <c r="E6695" s="6" t="s">
        <v>21</v>
      </c>
      <c r="F6695" s="6" t="n">
        <v>2</v>
      </c>
      <c r="G6695" s="10" t="n">
        <v>785</v>
      </c>
      <c r="H6695" s="10" t="n">
        <f aca="false">F6695*G6695</f>
        <v>1570</v>
      </c>
      <c r="I6695" s="6" t="s">
        <v>5148</v>
      </c>
    </row>
    <row r="6696" customFormat="false" ht="15" hidden="false" customHeight="false" outlineLevel="0" collapsed="false">
      <c r="A6696" s="6" t="s">
        <v>11920</v>
      </c>
      <c r="B6696" s="6" t="s">
        <v>4505</v>
      </c>
      <c r="C6696" s="26" t="n">
        <v>46224</v>
      </c>
      <c r="D6696" s="6" t="s">
        <v>5135</v>
      </c>
      <c r="E6696" s="6" t="s">
        <v>23</v>
      </c>
      <c r="F6696" s="6" t="n">
        <v>3</v>
      </c>
      <c r="G6696" s="10" t="n">
        <v>441</v>
      </c>
      <c r="H6696" s="10" t="n">
        <f aca="false">F6696*G6696</f>
        <v>1323</v>
      </c>
      <c r="I6696" s="6" t="s">
        <v>5148</v>
      </c>
    </row>
    <row r="6697" customFormat="false" ht="15" hidden="false" customHeight="false" outlineLevel="0" collapsed="false">
      <c r="A6697" s="6" t="s">
        <v>11921</v>
      </c>
      <c r="B6697" s="6" t="s">
        <v>2421</v>
      </c>
      <c r="C6697" s="26" t="n">
        <v>46224</v>
      </c>
      <c r="D6697" s="6" t="s">
        <v>5135</v>
      </c>
      <c r="E6697" s="6" t="s">
        <v>23</v>
      </c>
      <c r="F6697" s="6" t="n">
        <v>5</v>
      </c>
      <c r="G6697" s="10" t="n">
        <v>441</v>
      </c>
      <c r="H6697" s="10" t="n">
        <f aca="false">F6697*G6697</f>
        <v>2205</v>
      </c>
      <c r="I6697" s="6" t="s">
        <v>5173</v>
      </c>
    </row>
    <row r="6698" customFormat="false" ht="15" hidden="false" customHeight="false" outlineLevel="0" collapsed="false">
      <c r="A6698" s="6" t="s">
        <v>11922</v>
      </c>
      <c r="B6698" s="6" t="s">
        <v>4789</v>
      </c>
      <c r="C6698" s="26" t="n">
        <v>46224</v>
      </c>
      <c r="D6698" s="6" t="s">
        <v>5167</v>
      </c>
      <c r="E6698" s="6" t="s">
        <v>22</v>
      </c>
      <c r="F6698" s="6" t="n">
        <v>3</v>
      </c>
      <c r="G6698" s="10" t="n">
        <v>782</v>
      </c>
      <c r="H6698" s="10" t="n">
        <f aca="false">F6698*G6698</f>
        <v>2346</v>
      </c>
      <c r="I6698" s="6" t="s">
        <v>5148</v>
      </c>
    </row>
    <row r="6699" customFormat="false" ht="15" hidden="false" customHeight="false" outlineLevel="0" collapsed="false">
      <c r="A6699" s="6" t="s">
        <v>11923</v>
      </c>
      <c r="B6699" s="6" t="s">
        <v>2349</v>
      </c>
      <c r="C6699" s="26" t="n">
        <v>46224</v>
      </c>
      <c r="D6699" s="6" t="s">
        <v>5121</v>
      </c>
      <c r="E6699" s="6" t="s">
        <v>22</v>
      </c>
      <c r="F6699" s="6" t="n">
        <v>2</v>
      </c>
      <c r="G6699" s="10" t="n">
        <v>977</v>
      </c>
      <c r="H6699" s="10" t="n">
        <f aca="false">F6699*G6699</f>
        <v>1954</v>
      </c>
      <c r="I6699" s="6" t="s">
        <v>5122</v>
      </c>
    </row>
    <row r="6700" customFormat="false" ht="15" hidden="false" customHeight="false" outlineLevel="0" collapsed="false">
      <c r="A6700" s="6" t="s">
        <v>11924</v>
      </c>
      <c r="B6700" s="6" t="s">
        <v>729</v>
      </c>
      <c r="C6700" s="26" t="n">
        <v>46224</v>
      </c>
      <c r="D6700" s="6" t="s">
        <v>5353</v>
      </c>
      <c r="E6700" s="6" t="s">
        <v>24</v>
      </c>
      <c r="F6700" s="6" t="n">
        <v>1</v>
      </c>
      <c r="G6700" s="10" t="n">
        <v>1548</v>
      </c>
      <c r="H6700" s="10" t="n">
        <f aca="false">F6700*G6700</f>
        <v>1548</v>
      </c>
      <c r="I6700" s="6" t="s">
        <v>5122</v>
      </c>
    </row>
    <row r="6701" customFormat="false" ht="15" hidden="false" customHeight="false" outlineLevel="0" collapsed="false">
      <c r="A6701" s="6" t="s">
        <v>11925</v>
      </c>
      <c r="B6701" s="6" t="s">
        <v>2999</v>
      </c>
      <c r="C6701" s="26" t="n">
        <v>46224</v>
      </c>
      <c r="D6701" s="6" t="s">
        <v>5147</v>
      </c>
      <c r="E6701" s="6" t="s">
        <v>24</v>
      </c>
      <c r="F6701" s="6" t="n">
        <v>1</v>
      </c>
      <c r="G6701" s="10" t="n">
        <v>661</v>
      </c>
      <c r="H6701" s="10" t="n">
        <f aca="false">F6701*G6701</f>
        <v>661</v>
      </c>
      <c r="I6701" s="6" t="s">
        <v>5122</v>
      </c>
    </row>
    <row r="6702" customFormat="false" ht="15" hidden="false" customHeight="false" outlineLevel="0" collapsed="false">
      <c r="A6702" s="6" t="s">
        <v>11926</v>
      </c>
      <c r="B6702" s="6" t="s">
        <v>4071</v>
      </c>
      <c r="C6702" s="26" t="n">
        <v>46224</v>
      </c>
      <c r="D6702" s="6" t="s">
        <v>5129</v>
      </c>
      <c r="E6702" s="6" t="s">
        <v>21</v>
      </c>
      <c r="F6702" s="6" t="n">
        <v>1</v>
      </c>
      <c r="G6702" s="10" t="n">
        <v>589</v>
      </c>
      <c r="H6702" s="10" t="n">
        <f aca="false">F6702*G6702</f>
        <v>589</v>
      </c>
      <c r="I6702" s="6" t="s">
        <v>5133</v>
      </c>
    </row>
    <row r="6703" customFormat="false" ht="15" hidden="false" customHeight="false" outlineLevel="0" collapsed="false">
      <c r="A6703" s="6" t="s">
        <v>11927</v>
      </c>
      <c r="B6703" s="6" t="s">
        <v>4129</v>
      </c>
      <c r="C6703" s="26" t="n">
        <v>46224</v>
      </c>
      <c r="D6703" s="6" t="s">
        <v>5259</v>
      </c>
      <c r="E6703" s="6" t="s">
        <v>22</v>
      </c>
      <c r="F6703" s="6" t="n">
        <v>1</v>
      </c>
      <c r="G6703" s="10" t="n">
        <v>1486</v>
      </c>
      <c r="H6703" s="10" t="n">
        <f aca="false">F6703*G6703</f>
        <v>1486</v>
      </c>
      <c r="I6703" s="6" t="s">
        <v>5173</v>
      </c>
    </row>
    <row r="6704" customFormat="false" ht="15" hidden="false" customHeight="false" outlineLevel="0" collapsed="false">
      <c r="A6704" s="6" t="s">
        <v>11928</v>
      </c>
      <c r="B6704" s="6" t="s">
        <v>2135</v>
      </c>
      <c r="C6704" s="26" t="n">
        <v>46224</v>
      </c>
      <c r="D6704" s="6" t="s">
        <v>5261</v>
      </c>
      <c r="E6704" s="6" t="s">
        <v>23</v>
      </c>
      <c r="F6704" s="6" t="n">
        <v>4</v>
      </c>
      <c r="G6704" s="10" t="n">
        <v>175</v>
      </c>
      <c r="H6704" s="10" t="n">
        <f aca="false">F6704*G6704</f>
        <v>700</v>
      </c>
      <c r="I6704" s="6" t="s">
        <v>5148</v>
      </c>
    </row>
    <row r="6705" customFormat="false" ht="15" hidden="false" customHeight="false" outlineLevel="0" collapsed="false">
      <c r="A6705" s="6" t="s">
        <v>11929</v>
      </c>
      <c r="B6705" s="6" t="s">
        <v>1421</v>
      </c>
      <c r="C6705" s="26" t="n">
        <v>46224</v>
      </c>
      <c r="D6705" s="6" t="s">
        <v>5167</v>
      </c>
      <c r="E6705" s="6" t="s">
        <v>22</v>
      </c>
      <c r="F6705" s="6" t="n">
        <v>2</v>
      </c>
      <c r="G6705" s="10" t="n">
        <v>782</v>
      </c>
      <c r="H6705" s="10" t="n">
        <f aca="false">F6705*G6705</f>
        <v>1564</v>
      </c>
      <c r="I6705" s="6" t="s">
        <v>5148</v>
      </c>
    </row>
    <row r="6706" customFormat="false" ht="15" hidden="false" customHeight="false" outlineLevel="0" collapsed="false">
      <c r="A6706" s="6" t="s">
        <v>11930</v>
      </c>
      <c r="B6706" s="6" t="s">
        <v>4647</v>
      </c>
      <c r="C6706" s="26" t="n">
        <v>46224</v>
      </c>
      <c r="D6706" s="6" t="s">
        <v>5460</v>
      </c>
      <c r="E6706" s="6" t="s">
        <v>24</v>
      </c>
      <c r="F6706" s="6" t="n">
        <v>1</v>
      </c>
      <c r="G6706" s="10" t="n">
        <v>555</v>
      </c>
      <c r="H6706" s="10" t="n">
        <f aca="false">F6706*G6706</f>
        <v>555</v>
      </c>
      <c r="I6706" s="6" t="s">
        <v>5148</v>
      </c>
    </row>
    <row r="6707" customFormat="false" ht="15" hidden="false" customHeight="false" outlineLevel="0" collapsed="false">
      <c r="A6707" s="6" t="s">
        <v>11931</v>
      </c>
      <c r="B6707" s="6" t="s">
        <v>649</v>
      </c>
      <c r="C6707" s="26" t="n">
        <v>46224</v>
      </c>
      <c r="D6707" s="6" t="s">
        <v>5163</v>
      </c>
      <c r="E6707" s="6" t="s">
        <v>23</v>
      </c>
      <c r="F6707" s="6" t="n">
        <v>1</v>
      </c>
      <c r="G6707" s="10" t="n">
        <v>744</v>
      </c>
      <c r="H6707" s="10" t="n">
        <f aca="false">F6707*G6707</f>
        <v>744</v>
      </c>
      <c r="I6707" s="6" t="s">
        <v>5125</v>
      </c>
    </row>
    <row r="6708" customFormat="false" ht="15" hidden="false" customHeight="false" outlineLevel="0" collapsed="false">
      <c r="A6708" s="6" t="s">
        <v>11932</v>
      </c>
      <c r="B6708" s="6" t="s">
        <v>1795</v>
      </c>
      <c r="C6708" s="26" t="n">
        <v>46224</v>
      </c>
      <c r="D6708" s="6" t="s">
        <v>5163</v>
      </c>
      <c r="E6708" s="6" t="s">
        <v>23</v>
      </c>
      <c r="F6708" s="6" t="n">
        <v>1</v>
      </c>
      <c r="G6708" s="10" t="n">
        <v>782</v>
      </c>
      <c r="H6708" s="10" t="n">
        <f aca="false">F6708*G6708</f>
        <v>782</v>
      </c>
      <c r="I6708" s="6" t="s">
        <v>5122</v>
      </c>
    </row>
    <row r="6709" customFormat="false" ht="15" hidden="false" customHeight="false" outlineLevel="0" collapsed="false">
      <c r="A6709" s="6" t="s">
        <v>11933</v>
      </c>
      <c r="B6709" s="6" t="s">
        <v>1465</v>
      </c>
      <c r="C6709" s="26" t="n">
        <v>46224</v>
      </c>
      <c r="D6709" s="6" t="s">
        <v>5242</v>
      </c>
      <c r="E6709" s="6" t="s">
        <v>23</v>
      </c>
      <c r="F6709" s="6" t="n">
        <v>2</v>
      </c>
      <c r="G6709" s="10" t="n">
        <v>372</v>
      </c>
      <c r="H6709" s="10" t="n">
        <f aca="false">F6709*G6709</f>
        <v>744</v>
      </c>
      <c r="I6709" s="6" t="s">
        <v>5130</v>
      </c>
    </row>
    <row r="6710" customFormat="false" ht="15" hidden="false" customHeight="false" outlineLevel="0" collapsed="false">
      <c r="A6710" s="6" t="s">
        <v>11934</v>
      </c>
      <c r="B6710" s="6" t="s">
        <v>2761</v>
      </c>
      <c r="C6710" s="26" t="n">
        <v>46224</v>
      </c>
      <c r="D6710" s="6" t="s">
        <v>5167</v>
      </c>
      <c r="E6710" s="6" t="s">
        <v>22</v>
      </c>
      <c r="F6710" s="6" t="n">
        <v>1</v>
      </c>
      <c r="G6710" s="10" t="n">
        <v>782</v>
      </c>
      <c r="H6710" s="10" t="n">
        <f aca="false">F6710*G6710</f>
        <v>782</v>
      </c>
      <c r="I6710" s="6" t="s">
        <v>5125</v>
      </c>
    </row>
    <row r="6711" customFormat="false" ht="15" hidden="false" customHeight="false" outlineLevel="0" collapsed="false">
      <c r="A6711" s="6" t="s">
        <v>11935</v>
      </c>
      <c r="B6711" s="6" t="s">
        <v>4353</v>
      </c>
      <c r="C6711" s="26" t="n">
        <v>46224</v>
      </c>
      <c r="D6711" s="6" t="s">
        <v>5318</v>
      </c>
      <c r="E6711" s="6" t="s">
        <v>20</v>
      </c>
      <c r="F6711" s="6" t="n">
        <v>1</v>
      </c>
      <c r="G6711" s="10" t="n">
        <v>1376</v>
      </c>
      <c r="H6711" s="10" t="n">
        <f aca="false">F6711*G6711</f>
        <v>1376</v>
      </c>
      <c r="I6711" s="6" t="s">
        <v>5173</v>
      </c>
    </row>
    <row r="6712" customFormat="false" ht="15" hidden="false" customHeight="false" outlineLevel="0" collapsed="false">
      <c r="A6712" s="6" t="s">
        <v>11936</v>
      </c>
      <c r="B6712" s="6" t="s">
        <v>4513</v>
      </c>
      <c r="C6712" s="26" t="n">
        <v>46224</v>
      </c>
      <c r="D6712" s="6" t="s">
        <v>5197</v>
      </c>
      <c r="E6712" s="6" t="s">
        <v>21</v>
      </c>
      <c r="F6712" s="6" t="n">
        <v>1</v>
      </c>
      <c r="G6712" s="10" t="n">
        <v>1080</v>
      </c>
      <c r="H6712" s="10" t="n">
        <f aca="false">F6712*G6712</f>
        <v>1080</v>
      </c>
      <c r="I6712" s="6" t="s">
        <v>5122</v>
      </c>
    </row>
    <row r="6713" customFormat="false" ht="15" hidden="false" customHeight="false" outlineLevel="0" collapsed="false">
      <c r="A6713" s="6" t="s">
        <v>11937</v>
      </c>
      <c r="B6713" s="6" t="s">
        <v>2443</v>
      </c>
      <c r="C6713" s="26" t="n">
        <v>46224</v>
      </c>
      <c r="D6713" s="6" t="s">
        <v>5145</v>
      </c>
      <c r="E6713" s="6" t="s">
        <v>21</v>
      </c>
      <c r="F6713" s="6" t="n">
        <v>1</v>
      </c>
      <c r="G6713" s="10" t="n">
        <v>1277</v>
      </c>
      <c r="H6713" s="10" t="n">
        <f aca="false">F6713*G6713</f>
        <v>1277</v>
      </c>
      <c r="I6713" s="6" t="s">
        <v>5148</v>
      </c>
    </row>
    <row r="6714" customFormat="false" ht="15" hidden="false" customHeight="false" outlineLevel="0" collapsed="false">
      <c r="A6714" s="6" t="s">
        <v>11938</v>
      </c>
      <c r="B6714" s="6" t="s">
        <v>297</v>
      </c>
      <c r="C6714" s="26" t="n">
        <v>46224</v>
      </c>
      <c r="D6714" s="6" t="s">
        <v>5167</v>
      </c>
      <c r="E6714" s="6" t="s">
        <v>22</v>
      </c>
      <c r="F6714" s="6" t="n">
        <v>1</v>
      </c>
      <c r="G6714" s="10" t="n">
        <v>782</v>
      </c>
      <c r="H6714" s="10" t="n">
        <f aca="false">F6714*G6714</f>
        <v>782</v>
      </c>
      <c r="I6714" s="6" t="s">
        <v>5122</v>
      </c>
    </row>
    <row r="6715" customFormat="false" ht="15" hidden="false" customHeight="false" outlineLevel="0" collapsed="false">
      <c r="A6715" s="6" t="s">
        <v>11939</v>
      </c>
      <c r="B6715" s="6" t="s">
        <v>3013</v>
      </c>
      <c r="C6715" s="26" t="n">
        <v>46224</v>
      </c>
      <c r="D6715" s="6" t="s">
        <v>5167</v>
      </c>
      <c r="E6715" s="6" t="s">
        <v>22</v>
      </c>
      <c r="F6715" s="6" t="n">
        <v>1</v>
      </c>
      <c r="G6715" s="10" t="n">
        <v>782</v>
      </c>
      <c r="H6715" s="10" t="n">
        <f aca="false">F6715*G6715</f>
        <v>782</v>
      </c>
      <c r="I6715" s="6" t="s">
        <v>5122</v>
      </c>
    </row>
    <row r="6716" customFormat="false" ht="15" hidden="false" customHeight="false" outlineLevel="0" collapsed="false">
      <c r="A6716" s="6" t="s">
        <v>11940</v>
      </c>
      <c r="B6716" s="6" t="s">
        <v>879</v>
      </c>
      <c r="C6716" s="26" t="n">
        <v>46224</v>
      </c>
      <c r="D6716" s="6" t="s">
        <v>5237</v>
      </c>
      <c r="E6716" s="6" t="s">
        <v>24</v>
      </c>
      <c r="F6716" s="6" t="n">
        <v>3</v>
      </c>
      <c r="G6716" s="10" t="n">
        <v>1833</v>
      </c>
      <c r="H6716" s="10" t="n">
        <f aca="false">F6716*G6716</f>
        <v>5499</v>
      </c>
      <c r="I6716" s="6" t="s">
        <v>5122</v>
      </c>
    </row>
    <row r="6717" customFormat="false" ht="15" hidden="false" customHeight="false" outlineLevel="0" collapsed="false">
      <c r="A6717" s="6" t="s">
        <v>11941</v>
      </c>
      <c r="B6717" s="6" t="s">
        <v>3307</v>
      </c>
      <c r="C6717" s="26" t="n">
        <v>46224</v>
      </c>
      <c r="D6717" s="6" t="s">
        <v>5171</v>
      </c>
      <c r="E6717" s="6" t="s">
        <v>23</v>
      </c>
      <c r="F6717" s="6" t="n">
        <v>5</v>
      </c>
      <c r="G6717" s="10" t="n">
        <v>734</v>
      </c>
      <c r="H6717" s="10" t="n">
        <f aca="false">F6717*G6717</f>
        <v>3670</v>
      </c>
      <c r="I6717" s="6" t="s">
        <v>5130</v>
      </c>
    </row>
    <row r="6718" customFormat="false" ht="15" hidden="false" customHeight="false" outlineLevel="0" collapsed="false">
      <c r="A6718" s="6" t="s">
        <v>11942</v>
      </c>
      <c r="B6718" s="6" t="s">
        <v>3887</v>
      </c>
      <c r="C6718" s="26" t="n">
        <v>46224</v>
      </c>
      <c r="D6718" s="6" t="s">
        <v>5129</v>
      </c>
      <c r="E6718" s="6" t="s">
        <v>21</v>
      </c>
      <c r="F6718" s="6" t="n">
        <v>1</v>
      </c>
      <c r="G6718" s="10" t="n">
        <v>589</v>
      </c>
      <c r="H6718" s="10" t="n">
        <f aca="false">F6718*G6718</f>
        <v>589</v>
      </c>
      <c r="I6718" s="6" t="s">
        <v>5148</v>
      </c>
    </row>
    <row r="6719" customFormat="false" ht="15" hidden="false" customHeight="false" outlineLevel="0" collapsed="false">
      <c r="A6719" s="6" t="s">
        <v>11943</v>
      </c>
      <c r="B6719" s="6" t="s">
        <v>3195</v>
      </c>
      <c r="C6719" s="26" t="n">
        <v>46224</v>
      </c>
      <c r="D6719" s="6" t="s">
        <v>5143</v>
      </c>
      <c r="E6719" s="6" t="s">
        <v>21</v>
      </c>
      <c r="F6719" s="6" t="n">
        <v>1</v>
      </c>
      <c r="G6719" s="10" t="n">
        <v>1179</v>
      </c>
      <c r="H6719" s="10" t="n">
        <f aca="false">F6719*G6719</f>
        <v>1179</v>
      </c>
      <c r="I6719" s="6" t="s">
        <v>5122</v>
      </c>
    </row>
    <row r="6720" customFormat="false" ht="15" hidden="false" customHeight="false" outlineLevel="0" collapsed="false">
      <c r="A6720" s="6" t="s">
        <v>11944</v>
      </c>
      <c r="B6720" s="6" t="s">
        <v>1133</v>
      </c>
      <c r="C6720" s="26" t="n">
        <v>46224</v>
      </c>
      <c r="D6720" s="6" t="s">
        <v>5269</v>
      </c>
      <c r="E6720" s="6" t="s">
        <v>22</v>
      </c>
      <c r="F6720" s="6" t="n">
        <v>2</v>
      </c>
      <c r="G6720" s="10" t="n">
        <v>1207</v>
      </c>
      <c r="H6720" s="10" t="n">
        <f aca="false">F6720*G6720</f>
        <v>2414</v>
      </c>
      <c r="I6720" s="6" t="s">
        <v>5122</v>
      </c>
    </row>
    <row r="6721" customFormat="false" ht="15" hidden="false" customHeight="false" outlineLevel="0" collapsed="false">
      <c r="A6721" s="6" t="s">
        <v>11945</v>
      </c>
      <c r="B6721" s="6" t="s">
        <v>4325</v>
      </c>
      <c r="C6721" s="26" t="n">
        <v>46224</v>
      </c>
      <c r="D6721" s="6" t="s">
        <v>5345</v>
      </c>
      <c r="E6721" s="6" t="s">
        <v>23</v>
      </c>
      <c r="F6721" s="6" t="n">
        <v>1</v>
      </c>
      <c r="G6721" s="10" t="n">
        <v>435</v>
      </c>
      <c r="H6721" s="10" t="n">
        <f aca="false">F6721*G6721</f>
        <v>435</v>
      </c>
      <c r="I6721" s="6" t="s">
        <v>5125</v>
      </c>
    </row>
    <row r="6722" customFormat="false" ht="15" hidden="false" customHeight="false" outlineLevel="0" collapsed="false">
      <c r="A6722" s="6" t="s">
        <v>11946</v>
      </c>
      <c r="B6722" s="6" t="s">
        <v>4973</v>
      </c>
      <c r="C6722" s="26" t="n">
        <v>46225</v>
      </c>
      <c r="D6722" s="6" t="s">
        <v>5167</v>
      </c>
      <c r="E6722" s="6" t="s">
        <v>22</v>
      </c>
      <c r="F6722" s="6" t="n">
        <v>2</v>
      </c>
      <c r="G6722" s="10" t="n">
        <v>782</v>
      </c>
      <c r="H6722" s="10" t="n">
        <f aca="false">F6722*G6722</f>
        <v>1564</v>
      </c>
      <c r="I6722" s="6" t="s">
        <v>5122</v>
      </c>
    </row>
    <row r="6723" customFormat="false" ht="15" hidden="false" customHeight="false" outlineLevel="0" collapsed="false">
      <c r="A6723" s="6" t="s">
        <v>11947</v>
      </c>
      <c r="B6723" s="6" t="s">
        <v>2843</v>
      </c>
      <c r="C6723" s="26" t="n">
        <v>46225</v>
      </c>
      <c r="D6723" s="6" t="s">
        <v>5200</v>
      </c>
      <c r="E6723" s="6" t="s">
        <v>24</v>
      </c>
      <c r="F6723" s="6" t="n">
        <v>1</v>
      </c>
      <c r="G6723" s="10" t="n">
        <v>687</v>
      </c>
      <c r="H6723" s="10" t="n">
        <f aca="false">F6723*G6723</f>
        <v>687</v>
      </c>
      <c r="I6723" s="6" t="s">
        <v>5122</v>
      </c>
    </row>
    <row r="6724" customFormat="false" ht="15" hidden="false" customHeight="false" outlineLevel="0" collapsed="false">
      <c r="A6724" s="6" t="s">
        <v>11948</v>
      </c>
      <c r="B6724" s="6" t="s">
        <v>801</v>
      </c>
      <c r="C6724" s="26" t="n">
        <v>46225</v>
      </c>
      <c r="D6724" s="6" t="s">
        <v>5127</v>
      </c>
      <c r="E6724" s="6" t="s">
        <v>21</v>
      </c>
      <c r="F6724" s="6" t="n">
        <v>1</v>
      </c>
      <c r="G6724" s="10" t="n">
        <v>884</v>
      </c>
      <c r="H6724" s="10" t="n">
        <f aca="false">F6724*G6724</f>
        <v>884</v>
      </c>
      <c r="I6724" s="6" t="s">
        <v>5148</v>
      </c>
    </row>
    <row r="6725" customFormat="false" ht="15" hidden="false" customHeight="false" outlineLevel="0" collapsed="false">
      <c r="A6725" s="6" t="s">
        <v>11949</v>
      </c>
      <c r="B6725" s="6" t="s">
        <v>4647</v>
      </c>
      <c r="C6725" s="26" t="n">
        <v>46225</v>
      </c>
      <c r="D6725" s="6" t="s">
        <v>5482</v>
      </c>
      <c r="E6725" s="6" t="s">
        <v>23</v>
      </c>
      <c r="F6725" s="6" t="n">
        <v>4</v>
      </c>
      <c r="G6725" s="10" t="n">
        <v>256</v>
      </c>
      <c r="H6725" s="10" t="n">
        <f aca="false">F6725*G6725</f>
        <v>1024</v>
      </c>
      <c r="I6725" s="6" t="s">
        <v>5148</v>
      </c>
    </row>
    <row r="6726" customFormat="false" ht="15" hidden="false" customHeight="false" outlineLevel="0" collapsed="false">
      <c r="A6726" s="6" t="s">
        <v>11950</v>
      </c>
      <c r="B6726" s="6" t="s">
        <v>4371</v>
      </c>
      <c r="C6726" s="26" t="n">
        <v>46225</v>
      </c>
      <c r="D6726" s="6" t="s">
        <v>5383</v>
      </c>
      <c r="E6726" s="6" t="s">
        <v>20</v>
      </c>
      <c r="F6726" s="6" t="n">
        <v>1</v>
      </c>
      <c r="G6726" s="10" t="n">
        <v>1121</v>
      </c>
      <c r="H6726" s="10" t="n">
        <f aca="false">F6726*G6726</f>
        <v>1121</v>
      </c>
      <c r="I6726" s="6" t="s">
        <v>5122</v>
      </c>
    </row>
    <row r="6727" customFormat="false" ht="15" hidden="false" customHeight="false" outlineLevel="0" collapsed="false">
      <c r="A6727" s="6" t="s">
        <v>11951</v>
      </c>
      <c r="B6727" s="6" t="s">
        <v>681</v>
      </c>
      <c r="C6727" s="26" t="n">
        <v>46225</v>
      </c>
      <c r="D6727" s="6" t="s">
        <v>5180</v>
      </c>
      <c r="E6727" s="6" t="s">
        <v>24</v>
      </c>
      <c r="F6727" s="6" t="n">
        <v>1</v>
      </c>
      <c r="G6727" s="10" t="n">
        <v>1988</v>
      </c>
      <c r="H6727" s="10" t="n">
        <f aca="false">F6727*G6727</f>
        <v>1988</v>
      </c>
      <c r="I6727" s="6" t="s">
        <v>5148</v>
      </c>
    </row>
    <row r="6728" customFormat="false" ht="15" hidden="false" customHeight="false" outlineLevel="0" collapsed="false">
      <c r="A6728" s="6" t="s">
        <v>11952</v>
      </c>
      <c r="B6728" s="6" t="s">
        <v>849</v>
      </c>
      <c r="C6728" s="26" t="n">
        <v>46225</v>
      </c>
      <c r="D6728" s="6" t="s">
        <v>5410</v>
      </c>
      <c r="E6728" s="6" t="s">
        <v>20</v>
      </c>
      <c r="F6728" s="6" t="n">
        <v>2</v>
      </c>
      <c r="G6728" s="10" t="n">
        <v>2294</v>
      </c>
      <c r="H6728" s="10" t="n">
        <f aca="false">F6728*G6728</f>
        <v>4588</v>
      </c>
      <c r="I6728" s="6" t="s">
        <v>5148</v>
      </c>
    </row>
    <row r="6729" customFormat="false" ht="15" hidden="false" customHeight="false" outlineLevel="0" collapsed="false">
      <c r="A6729" s="6" t="s">
        <v>11953</v>
      </c>
      <c r="B6729" s="6" t="s">
        <v>633</v>
      </c>
      <c r="C6729" s="26" t="n">
        <v>46225</v>
      </c>
      <c r="D6729" s="6" t="s">
        <v>5163</v>
      </c>
      <c r="E6729" s="6" t="s">
        <v>23</v>
      </c>
      <c r="F6729" s="6" t="n">
        <v>5</v>
      </c>
      <c r="G6729" s="10" t="n">
        <v>783</v>
      </c>
      <c r="H6729" s="10" t="n">
        <f aca="false">F6729*G6729</f>
        <v>3915</v>
      </c>
      <c r="I6729" s="6" t="s">
        <v>5122</v>
      </c>
    </row>
    <row r="6730" customFormat="false" ht="15" hidden="false" customHeight="false" outlineLevel="0" collapsed="false">
      <c r="A6730" s="6" t="s">
        <v>11954</v>
      </c>
      <c r="B6730" s="6" t="s">
        <v>1447</v>
      </c>
      <c r="C6730" s="26" t="n">
        <v>46225</v>
      </c>
      <c r="D6730" s="6" t="s">
        <v>5163</v>
      </c>
      <c r="E6730" s="6" t="s">
        <v>23</v>
      </c>
      <c r="F6730" s="6" t="n">
        <v>1</v>
      </c>
      <c r="G6730" s="10" t="n">
        <v>783</v>
      </c>
      <c r="H6730" s="10" t="n">
        <f aca="false">F6730*G6730</f>
        <v>783</v>
      </c>
      <c r="I6730" s="6" t="s">
        <v>5122</v>
      </c>
    </row>
    <row r="6731" customFormat="false" ht="15" hidden="false" customHeight="false" outlineLevel="0" collapsed="false">
      <c r="A6731" s="6" t="s">
        <v>11955</v>
      </c>
      <c r="B6731" s="6" t="s">
        <v>2123</v>
      </c>
      <c r="C6731" s="26" t="n">
        <v>46225</v>
      </c>
      <c r="D6731" s="6" t="s">
        <v>5216</v>
      </c>
      <c r="E6731" s="6" t="s">
        <v>23</v>
      </c>
      <c r="F6731" s="6" t="n">
        <v>5</v>
      </c>
      <c r="G6731" s="10" t="n">
        <v>558</v>
      </c>
      <c r="H6731" s="10" t="n">
        <f aca="false">F6731*G6731</f>
        <v>2790</v>
      </c>
      <c r="I6731" s="6" t="s">
        <v>5125</v>
      </c>
    </row>
    <row r="6732" customFormat="false" ht="15" hidden="false" customHeight="false" outlineLevel="0" collapsed="false">
      <c r="A6732" s="6" t="s">
        <v>11956</v>
      </c>
      <c r="B6732" s="6" t="s">
        <v>1663</v>
      </c>
      <c r="C6732" s="26" t="n">
        <v>46225</v>
      </c>
      <c r="D6732" s="6" t="s">
        <v>5180</v>
      </c>
      <c r="E6732" s="6" t="s">
        <v>24</v>
      </c>
      <c r="F6732" s="6" t="n">
        <v>3</v>
      </c>
      <c r="G6732" s="10" t="n">
        <v>1888</v>
      </c>
      <c r="H6732" s="10" t="n">
        <f aca="false">F6732*G6732</f>
        <v>5664</v>
      </c>
      <c r="I6732" s="6" t="s">
        <v>5148</v>
      </c>
    </row>
    <row r="6733" customFormat="false" ht="15" hidden="false" customHeight="false" outlineLevel="0" collapsed="false">
      <c r="A6733" s="6" t="s">
        <v>11957</v>
      </c>
      <c r="B6733" s="6" t="s">
        <v>1827</v>
      </c>
      <c r="C6733" s="26" t="n">
        <v>46225</v>
      </c>
      <c r="D6733" s="6" t="s">
        <v>5167</v>
      </c>
      <c r="E6733" s="6" t="s">
        <v>22</v>
      </c>
      <c r="F6733" s="6" t="n">
        <v>2</v>
      </c>
      <c r="G6733" s="10" t="n">
        <v>703</v>
      </c>
      <c r="H6733" s="10" t="n">
        <f aca="false">F6733*G6733</f>
        <v>1406</v>
      </c>
      <c r="I6733" s="6" t="s">
        <v>5148</v>
      </c>
    </row>
    <row r="6734" customFormat="false" ht="15" hidden="false" customHeight="false" outlineLevel="0" collapsed="false">
      <c r="A6734" s="6" t="s">
        <v>11958</v>
      </c>
      <c r="B6734" s="6" t="s">
        <v>1919</v>
      </c>
      <c r="C6734" s="26" t="n">
        <v>46225</v>
      </c>
      <c r="D6734" s="6" t="s">
        <v>5147</v>
      </c>
      <c r="E6734" s="6" t="s">
        <v>24</v>
      </c>
      <c r="F6734" s="6" t="n">
        <v>2</v>
      </c>
      <c r="G6734" s="10" t="n">
        <v>595</v>
      </c>
      <c r="H6734" s="10" t="n">
        <f aca="false">F6734*G6734</f>
        <v>1190</v>
      </c>
      <c r="I6734" s="6" t="s">
        <v>5125</v>
      </c>
    </row>
    <row r="6735" customFormat="false" ht="15" hidden="false" customHeight="false" outlineLevel="0" collapsed="false">
      <c r="A6735" s="6" t="s">
        <v>11959</v>
      </c>
      <c r="B6735" s="6" t="s">
        <v>2141</v>
      </c>
      <c r="C6735" s="26" t="n">
        <v>46225</v>
      </c>
      <c r="D6735" s="6" t="s">
        <v>5167</v>
      </c>
      <c r="E6735" s="6" t="s">
        <v>22</v>
      </c>
      <c r="F6735" s="6" t="n">
        <v>1</v>
      </c>
      <c r="G6735" s="10" t="n">
        <v>703</v>
      </c>
      <c r="H6735" s="10" t="n">
        <f aca="false">F6735*G6735</f>
        <v>703</v>
      </c>
      <c r="I6735" s="6" t="s">
        <v>5148</v>
      </c>
    </row>
    <row r="6736" customFormat="false" ht="15" hidden="false" customHeight="false" outlineLevel="0" collapsed="false">
      <c r="A6736" s="6" t="s">
        <v>11960</v>
      </c>
      <c r="B6736" s="6" t="s">
        <v>4353</v>
      </c>
      <c r="C6736" s="26" t="n">
        <v>46225</v>
      </c>
      <c r="D6736" s="6" t="s">
        <v>5235</v>
      </c>
      <c r="E6736" s="6" t="s">
        <v>21</v>
      </c>
      <c r="F6736" s="6" t="n">
        <v>1</v>
      </c>
      <c r="G6736" s="10" t="n">
        <v>1586</v>
      </c>
      <c r="H6736" s="10" t="n">
        <f aca="false">F6736*G6736</f>
        <v>1586</v>
      </c>
      <c r="I6736" s="6" t="s">
        <v>5125</v>
      </c>
    </row>
    <row r="6737" customFormat="false" ht="15" hidden="false" customHeight="false" outlineLevel="0" collapsed="false">
      <c r="A6737" s="6" t="s">
        <v>11961</v>
      </c>
      <c r="B6737" s="6" t="s">
        <v>4511</v>
      </c>
      <c r="C6737" s="26" t="n">
        <v>46225</v>
      </c>
      <c r="D6737" s="6" t="s">
        <v>5175</v>
      </c>
      <c r="E6737" s="6" t="s">
        <v>24</v>
      </c>
      <c r="F6737" s="6" t="n">
        <v>2</v>
      </c>
      <c r="G6737" s="10" t="n">
        <v>549</v>
      </c>
      <c r="H6737" s="10" t="n">
        <f aca="false">F6737*G6737</f>
        <v>1098</v>
      </c>
      <c r="I6737" s="6" t="s">
        <v>5130</v>
      </c>
    </row>
    <row r="6738" customFormat="false" ht="15" hidden="false" customHeight="false" outlineLevel="0" collapsed="false">
      <c r="A6738" s="6" t="s">
        <v>11962</v>
      </c>
      <c r="B6738" s="6" t="s">
        <v>4777</v>
      </c>
      <c r="C6738" s="26" t="n">
        <v>46225</v>
      </c>
      <c r="D6738" s="6" t="s">
        <v>5163</v>
      </c>
      <c r="E6738" s="6" t="s">
        <v>23</v>
      </c>
      <c r="F6738" s="6" t="n">
        <v>4</v>
      </c>
      <c r="G6738" s="10" t="n">
        <v>783</v>
      </c>
      <c r="H6738" s="10" t="n">
        <f aca="false">F6738*G6738</f>
        <v>3132</v>
      </c>
      <c r="I6738" s="6" t="s">
        <v>5122</v>
      </c>
    </row>
    <row r="6739" customFormat="false" ht="15" hidden="false" customHeight="false" outlineLevel="0" collapsed="false">
      <c r="A6739" s="6" t="s">
        <v>11963</v>
      </c>
      <c r="B6739" s="6" t="s">
        <v>517</v>
      </c>
      <c r="C6739" s="26" t="n">
        <v>46225</v>
      </c>
      <c r="D6739" s="6" t="s">
        <v>5326</v>
      </c>
      <c r="E6739" s="6" t="s">
        <v>22</v>
      </c>
      <c r="F6739" s="6" t="n">
        <v>1</v>
      </c>
      <c r="G6739" s="10" t="n">
        <v>1320</v>
      </c>
      <c r="H6739" s="10" t="n">
        <f aca="false">F6739*G6739</f>
        <v>1320</v>
      </c>
      <c r="I6739" s="6" t="s">
        <v>5122</v>
      </c>
    </row>
    <row r="6740" customFormat="false" ht="15" hidden="false" customHeight="false" outlineLevel="0" collapsed="false">
      <c r="A6740" s="6" t="s">
        <v>11964</v>
      </c>
      <c r="B6740" s="6" t="s">
        <v>923</v>
      </c>
      <c r="C6740" s="26" t="n">
        <v>46225</v>
      </c>
      <c r="D6740" s="6" t="s">
        <v>5458</v>
      </c>
      <c r="E6740" s="6" t="s">
        <v>24</v>
      </c>
      <c r="F6740" s="6" t="n">
        <v>1</v>
      </c>
      <c r="G6740" s="10" t="n">
        <v>531</v>
      </c>
      <c r="H6740" s="10" t="n">
        <f aca="false">F6740*G6740</f>
        <v>531</v>
      </c>
      <c r="I6740" s="6" t="s">
        <v>5130</v>
      </c>
    </row>
    <row r="6741" customFormat="false" ht="15" hidden="false" customHeight="false" outlineLevel="0" collapsed="false">
      <c r="A6741" s="6" t="s">
        <v>11965</v>
      </c>
      <c r="B6741" s="6" t="s">
        <v>3931</v>
      </c>
      <c r="C6741" s="26" t="n">
        <v>46225</v>
      </c>
      <c r="D6741" s="6" t="s">
        <v>5121</v>
      </c>
      <c r="E6741" s="6" t="s">
        <v>22</v>
      </c>
      <c r="F6741" s="6" t="n">
        <v>1</v>
      </c>
      <c r="G6741" s="10" t="n">
        <v>879</v>
      </c>
      <c r="H6741" s="10" t="n">
        <f aca="false">F6741*G6741</f>
        <v>879</v>
      </c>
      <c r="I6741" s="6" t="s">
        <v>5122</v>
      </c>
    </row>
    <row r="6742" customFormat="false" ht="15" hidden="false" customHeight="false" outlineLevel="0" collapsed="false">
      <c r="A6742" s="6" t="s">
        <v>11966</v>
      </c>
      <c r="B6742" s="6" t="s">
        <v>4235</v>
      </c>
      <c r="C6742" s="26" t="n">
        <v>46225</v>
      </c>
      <c r="D6742" s="6" t="s">
        <v>5163</v>
      </c>
      <c r="E6742" s="6" t="s">
        <v>23</v>
      </c>
      <c r="F6742" s="6" t="n">
        <v>2</v>
      </c>
      <c r="G6742" s="10" t="n">
        <v>783</v>
      </c>
      <c r="H6742" s="10" t="n">
        <f aca="false">F6742*G6742</f>
        <v>1566</v>
      </c>
      <c r="I6742" s="6" t="s">
        <v>5125</v>
      </c>
    </row>
    <row r="6743" customFormat="false" ht="15" hidden="false" customHeight="false" outlineLevel="0" collapsed="false">
      <c r="A6743" s="6" t="s">
        <v>11967</v>
      </c>
      <c r="B6743" s="6" t="s">
        <v>3563</v>
      </c>
      <c r="C6743" s="26" t="n">
        <v>46225</v>
      </c>
      <c r="D6743" s="6" t="s">
        <v>5121</v>
      </c>
      <c r="E6743" s="6" t="s">
        <v>22</v>
      </c>
      <c r="F6743" s="6" t="n">
        <v>1</v>
      </c>
      <c r="G6743" s="10" t="n">
        <v>977</v>
      </c>
      <c r="H6743" s="10" t="n">
        <f aca="false">F6743*G6743</f>
        <v>977</v>
      </c>
      <c r="I6743" s="6" t="s">
        <v>5148</v>
      </c>
    </row>
    <row r="6744" customFormat="false" ht="15" hidden="false" customHeight="false" outlineLevel="0" collapsed="false">
      <c r="A6744" s="6" t="s">
        <v>11968</v>
      </c>
      <c r="B6744" s="6" t="s">
        <v>3441</v>
      </c>
      <c r="C6744" s="26" t="n">
        <v>46225</v>
      </c>
      <c r="D6744" s="6" t="s">
        <v>5182</v>
      </c>
      <c r="E6744" s="6" t="s">
        <v>23</v>
      </c>
      <c r="F6744" s="6" t="n">
        <v>1</v>
      </c>
      <c r="G6744" s="10" t="n">
        <v>366</v>
      </c>
      <c r="H6744" s="10" t="n">
        <f aca="false">F6744*G6744</f>
        <v>366</v>
      </c>
      <c r="I6744" s="6" t="s">
        <v>5130</v>
      </c>
    </row>
    <row r="6745" customFormat="false" ht="15" hidden="false" customHeight="false" outlineLevel="0" collapsed="false">
      <c r="A6745" s="6" t="s">
        <v>11969</v>
      </c>
      <c r="B6745" s="6" t="s">
        <v>4209</v>
      </c>
      <c r="C6745" s="26" t="n">
        <v>46225</v>
      </c>
      <c r="D6745" s="6" t="s">
        <v>5167</v>
      </c>
      <c r="E6745" s="6" t="s">
        <v>22</v>
      </c>
      <c r="F6745" s="6" t="n">
        <v>2</v>
      </c>
      <c r="G6745" s="10" t="n">
        <v>703</v>
      </c>
      <c r="H6745" s="10" t="n">
        <f aca="false">F6745*G6745</f>
        <v>1406</v>
      </c>
      <c r="I6745" s="6" t="s">
        <v>5130</v>
      </c>
    </row>
    <row r="6746" customFormat="false" ht="15" hidden="false" customHeight="false" outlineLevel="0" collapsed="false">
      <c r="A6746" s="6" t="s">
        <v>11970</v>
      </c>
      <c r="B6746" s="6" t="s">
        <v>1563</v>
      </c>
      <c r="C6746" s="26" t="n">
        <v>46225</v>
      </c>
      <c r="D6746" s="6" t="s">
        <v>5167</v>
      </c>
      <c r="E6746" s="6" t="s">
        <v>22</v>
      </c>
      <c r="F6746" s="6" t="n">
        <v>1</v>
      </c>
      <c r="G6746" s="10" t="n">
        <v>782</v>
      </c>
      <c r="H6746" s="10" t="n">
        <f aca="false">F6746*G6746</f>
        <v>782</v>
      </c>
      <c r="I6746" s="6" t="s">
        <v>5125</v>
      </c>
    </row>
    <row r="6747" customFormat="false" ht="15" hidden="false" customHeight="false" outlineLevel="0" collapsed="false">
      <c r="A6747" s="6" t="s">
        <v>11971</v>
      </c>
      <c r="B6747" s="6" t="s">
        <v>2711</v>
      </c>
      <c r="C6747" s="26" t="n">
        <v>46225</v>
      </c>
      <c r="D6747" s="6" t="s">
        <v>5202</v>
      </c>
      <c r="E6747" s="6" t="s">
        <v>23</v>
      </c>
      <c r="F6747" s="6" t="n">
        <v>2</v>
      </c>
      <c r="G6747" s="10" t="n">
        <v>233</v>
      </c>
      <c r="H6747" s="10" t="n">
        <f aca="false">F6747*G6747</f>
        <v>466</v>
      </c>
      <c r="I6747" s="6" t="s">
        <v>5122</v>
      </c>
    </row>
    <row r="6748" customFormat="false" ht="15" hidden="false" customHeight="false" outlineLevel="0" collapsed="false">
      <c r="A6748" s="6" t="s">
        <v>11972</v>
      </c>
      <c r="B6748" s="6" t="s">
        <v>3275</v>
      </c>
      <c r="C6748" s="26" t="n">
        <v>46225</v>
      </c>
      <c r="D6748" s="6" t="s">
        <v>5167</v>
      </c>
      <c r="E6748" s="6" t="s">
        <v>22</v>
      </c>
      <c r="F6748" s="6" t="n">
        <v>1</v>
      </c>
      <c r="G6748" s="10" t="n">
        <v>782</v>
      </c>
      <c r="H6748" s="10" t="n">
        <f aca="false">F6748*G6748</f>
        <v>782</v>
      </c>
      <c r="I6748" s="6" t="s">
        <v>5122</v>
      </c>
    </row>
    <row r="6749" customFormat="false" ht="15" hidden="false" customHeight="false" outlineLevel="0" collapsed="false">
      <c r="A6749" s="6" t="s">
        <v>11973</v>
      </c>
      <c r="B6749" s="6" t="s">
        <v>2641</v>
      </c>
      <c r="C6749" s="26" t="n">
        <v>46225</v>
      </c>
      <c r="D6749" s="6" t="s">
        <v>5269</v>
      </c>
      <c r="E6749" s="6" t="s">
        <v>22</v>
      </c>
      <c r="F6749" s="6" t="n">
        <v>1</v>
      </c>
      <c r="G6749" s="10" t="n">
        <v>1271</v>
      </c>
      <c r="H6749" s="10" t="n">
        <f aca="false">F6749*G6749</f>
        <v>1271</v>
      </c>
      <c r="I6749" s="6" t="s">
        <v>5148</v>
      </c>
    </row>
    <row r="6750" customFormat="false" ht="15" hidden="false" customHeight="false" outlineLevel="0" collapsed="false">
      <c r="A6750" s="6" t="s">
        <v>11974</v>
      </c>
      <c r="B6750" s="6" t="s">
        <v>2551</v>
      </c>
      <c r="C6750" s="26" t="n">
        <v>46225</v>
      </c>
      <c r="D6750" s="6" t="s">
        <v>5167</v>
      </c>
      <c r="E6750" s="6" t="s">
        <v>22</v>
      </c>
      <c r="F6750" s="6" t="n">
        <v>2</v>
      </c>
      <c r="G6750" s="10" t="n">
        <v>782</v>
      </c>
      <c r="H6750" s="10" t="n">
        <f aca="false">F6750*G6750</f>
        <v>1564</v>
      </c>
      <c r="I6750" s="6" t="s">
        <v>5122</v>
      </c>
    </row>
    <row r="6751" customFormat="false" ht="15" hidden="false" customHeight="false" outlineLevel="0" collapsed="false">
      <c r="A6751" s="6" t="s">
        <v>11975</v>
      </c>
      <c r="B6751" s="6" t="s">
        <v>1163</v>
      </c>
      <c r="C6751" s="26" t="n">
        <v>46225</v>
      </c>
      <c r="D6751" s="6" t="s">
        <v>5163</v>
      </c>
      <c r="E6751" s="6" t="s">
        <v>23</v>
      </c>
      <c r="F6751" s="6" t="n">
        <v>2</v>
      </c>
      <c r="G6751" s="10" t="n">
        <v>783</v>
      </c>
      <c r="H6751" s="10" t="n">
        <f aca="false">F6751*G6751</f>
        <v>1566</v>
      </c>
      <c r="I6751" s="6" t="s">
        <v>5122</v>
      </c>
    </row>
    <row r="6752" customFormat="false" ht="15" hidden="false" customHeight="false" outlineLevel="0" collapsed="false">
      <c r="A6752" s="6" t="s">
        <v>11976</v>
      </c>
      <c r="B6752" s="6" t="s">
        <v>2723</v>
      </c>
      <c r="C6752" s="26" t="n">
        <v>46225</v>
      </c>
      <c r="D6752" s="6" t="s">
        <v>5188</v>
      </c>
      <c r="E6752" s="6" t="s">
        <v>24</v>
      </c>
      <c r="F6752" s="6" t="n">
        <v>3</v>
      </c>
      <c r="G6752" s="10" t="n">
        <v>1018</v>
      </c>
      <c r="H6752" s="10" t="n">
        <f aca="false">F6752*G6752</f>
        <v>3054</v>
      </c>
      <c r="I6752" s="6" t="s">
        <v>5122</v>
      </c>
    </row>
    <row r="6753" customFormat="false" ht="15" hidden="false" customHeight="false" outlineLevel="0" collapsed="false">
      <c r="A6753" s="6" t="s">
        <v>11977</v>
      </c>
      <c r="B6753" s="6" t="s">
        <v>3659</v>
      </c>
      <c r="C6753" s="26" t="n">
        <v>46225</v>
      </c>
      <c r="D6753" s="6" t="s">
        <v>5135</v>
      </c>
      <c r="E6753" s="6" t="s">
        <v>23</v>
      </c>
      <c r="F6753" s="6" t="n">
        <v>5</v>
      </c>
      <c r="G6753" s="10" t="n">
        <v>397</v>
      </c>
      <c r="H6753" s="10" t="n">
        <f aca="false">F6753*G6753</f>
        <v>1985</v>
      </c>
      <c r="I6753" s="6" t="s">
        <v>5122</v>
      </c>
    </row>
    <row r="6754" customFormat="false" ht="15" hidden="false" customHeight="false" outlineLevel="0" collapsed="false">
      <c r="A6754" s="6" t="s">
        <v>11978</v>
      </c>
      <c r="B6754" s="6" t="s">
        <v>3035</v>
      </c>
      <c r="C6754" s="26" t="n">
        <v>46225</v>
      </c>
      <c r="D6754" s="6" t="s">
        <v>5687</v>
      </c>
      <c r="E6754" s="6" t="s">
        <v>20</v>
      </c>
      <c r="F6754" s="6" t="n">
        <v>1</v>
      </c>
      <c r="G6754" s="10" t="n">
        <v>1937</v>
      </c>
      <c r="H6754" s="10" t="n">
        <f aca="false">F6754*G6754</f>
        <v>1937</v>
      </c>
      <c r="I6754" s="6" t="s">
        <v>5130</v>
      </c>
    </row>
    <row r="6755" customFormat="false" ht="15" hidden="false" customHeight="false" outlineLevel="0" collapsed="false">
      <c r="A6755" s="6" t="s">
        <v>11979</v>
      </c>
      <c r="B6755" s="6" t="s">
        <v>751</v>
      </c>
      <c r="C6755" s="26" t="n">
        <v>46225</v>
      </c>
      <c r="D6755" s="6" t="s">
        <v>5357</v>
      </c>
      <c r="E6755" s="6" t="s">
        <v>23</v>
      </c>
      <c r="F6755" s="6" t="n">
        <v>3</v>
      </c>
      <c r="G6755" s="10" t="n">
        <v>534</v>
      </c>
      <c r="H6755" s="10" t="n">
        <f aca="false">F6755*G6755</f>
        <v>1602</v>
      </c>
      <c r="I6755" s="6" t="s">
        <v>5125</v>
      </c>
    </row>
    <row r="6756" customFormat="false" ht="15" hidden="false" customHeight="false" outlineLevel="0" collapsed="false">
      <c r="A6756" s="6" t="s">
        <v>11980</v>
      </c>
      <c r="B6756" s="6" t="s">
        <v>2311</v>
      </c>
      <c r="C6756" s="26" t="n">
        <v>46225</v>
      </c>
      <c r="D6756" s="6" t="s">
        <v>5167</v>
      </c>
      <c r="E6756" s="6" t="s">
        <v>22</v>
      </c>
      <c r="F6756" s="6" t="n">
        <v>2</v>
      </c>
      <c r="G6756" s="10" t="n">
        <v>782</v>
      </c>
      <c r="H6756" s="10" t="n">
        <f aca="false">F6756*G6756</f>
        <v>1564</v>
      </c>
      <c r="I6756" s="6" t="s">
        <v>5173</v>
      </c>
    </row>
    <row r="6757" customFormat="false" ht="15" hidden="false" customHeight="false" outlineLevel="0" collapsed="false">
      <c r="A6757" s="6" t="s">
        <v>11981</v>
      </c>
      <c r="B6757" s="6" t="s">
        <v>3307</v>
      </c>
      <c r="C6757" s="26" t="n">
        <v>46225</v>
      </c>
      <c r="D6757" s="6" t="s">
        <v>5345</v>
      </c>
      <c r="E6757" s="6" t="s">
        <v>23</v>
      </c>
      <c r="F6757" s="6" t="n">
        <v>3</v>
      </c>
      <c r="G6757" s="10" t="n">
        <v>436</v>
      </c>
      <c r="H6757" s="10" t="n">
        <f aca="false">F6757*G6757</f>
        <v>1308</v>
      </c>
      <c r="I6757" s="6" t="s">
        <v>5122</v>
      </c>
    </row>
    <row r="6758" customFormat="false" ht="15" hidden="false" customHeight="false" outlineLevel="0" collapsed="false">
      <c r="A6758" s="6" t="s">
        <v>11982</v>
      </c>
      <c r="B6758" s="6" t="s">
        <v>4593</v>
      </c>
      <c r="C6758" s="26" t="n">
        <v>46226</v>
      </c>
      <c r="D6758" s="6" t="s">
        <v>5185</v>
      </c>
      <c r="E6758" s="6" t="s">
        <v>24</v>
      </c>
      <c r="F6758" s="6" t="n">
        <v>3</v>
      </c>
      <c r="G6758" s="10" t="n">
        <v>2140</v>
      </c>
      <c r="H6758" s="10" t="n">
        <f aca="false">F6758*G6758</f>
        <v>6420</v>
      </c>
      <c r="I6758" s="6" t="s">
        <v>5148</v>
      </c>
    </row>
    <row r="6759" customFormat="false" ht="15" hidden="false" customHeight="false" outlineLevel="0" collapsed="false">
      <c r="A6759" s="6" t="s">
        <v>11983</v>
      </c>
      <c r="B6759" s="6" t="s">
        <v>3801</v>
      </c>
      <c r="C6759" s="26" t="n">
        <v>46226</v>
      </c>
      <c r="D6759" s="6" t="s">
        <v>5167</v>
      </c>
      <c r="E6759" s="6" t="s">
        <v>22</v>
      </c>
      <c r="F6759" s="6" t="n">
        <v>1</v>
      </c>
      <c r="G6759" s="10" t="n">
        <v>703</v>
      </c>
      <c r="H6759" s="10" t="n">
        <f aca="false">F6759*G6759</f>
        <v>703</v>
      </c>
      <c r="I6759" s="6" t="s">
        <v>5130</v>
      </c>
    </row>
    <row r="6760" customFormat="false" ht="15" hidden="false" customHeight="false" outlineLevel="0" collapsed="false">
      <c r="A6760" s="6" t="s">
        <v>11984</v>
      </c>
      <c r="B6760" s="6" t="s">
        <v>1487</v>
      </c>
      <c r="C6760" s="26" t="n">
        <v>46226</v>
      </c>
      <c r="D6760" s="6" t="s">
        <v>5353</v>
      </c>
      <c r="E6760" s="6" t="s">
        <v>24</v>
      </c>
      <c r="F6760" s="6" t="n">
        <v>1</v>
      </c>
      <c r="G6760" s="10" t="n">
        <v>1548</v>
      </c>
      <c r="H6760" s="10" t="n">
        <f aca="false">F6760*G6760</f>
        <v>1548</v>
      </c>
      <c r="I6760" s="6" t="s">
        <v>5122</v>
      </c>
    </row>
    <row r="6761" customFormat="false" ht="15" hidden="false" customHeight="false" outlineLevel="0" collapsed="false">
      <c r="A6761" s="6" t="s">
        <v>11985</v>
      </c>
      <c r="B6761" s="6" t="s">
        <v>2651</v>
      </c>
      <c r="C6761" s="26" t="n">
        <v>46226</v>
      </c>
      <c r="D6761" s="6" t="s">
        <v>5357</v>
      </c>
      <c r="E6761" s="6" t="s">
        <v>23</v>
      </c>
      <c r="F6761" s="6" t="n">
        <v>2</v>
      </c>
      <c r="G6761" s="10" t="n">
        <v>507</v>
      </c>
      <c r="H6761" s="10" t="n">
        <f aca="false">F6761*G6761</f>
        <v>1014</v>
      </c>
      <c r="I6761" s="6" t="s">
        <v>5173</v>
      </c>
    </row>
    <row r="6762" customFormat="false" ht="15" hidden="false" customHeight="false" outlineLevel="0" collapsed="false">
      <c r="A6762" s="6" t="s">
        <v>11986</v>
      </c>
      <c r="B6762" s="6" t="s">
        <v>1155</v>
      </c>
      <c r="C6762" s="26" t="n">
        <v>46226</v>
      </c>
      <c r="D6762" s="6" t="s">
        <v>5281</v>
      </c>
      <c r="E6762" s="6" t="s">
        <v>24</v>
      </c>
      <c r="F6762" s="6" t="n">
        <v>3</v>
      </c>
      <c r="G6762" s="10" t="n">
        <v>814</v>
      </c>
      <c r="H6762" s="10" t="n">
        <f aca="false">F6762*G6762</f>
        <v>2442</v>
      </c>
      <c r="I6762" s="6" t="s">
        <v>5122</v>
      </c>
    </row>
    <row r="6763" customFormat="false" ht="15" hidden="false" customHeight="false" outlineLevel="0" collapsed="false">
      <c r="A6763" s="6" t="s">
        <v>11987</v>
      </c>
      <c r="B6763" s="6" t="s">
        <v>1883</v>
      </c>
      <c r="C6763" s="26" t="n">
        <v>46226</v>
      </c>
      <c r="D6763" s="6" t="s">
        <v>5154</v>
      </c>
      <c r="E6763" s="6" t="s">
        <v>21</v>
      </c>
      <c r="F6763" s="6" t="n">
        <v>1</v>
      </c>
      <c r="G6763" s="10" t="n">
        <v>707</v>
      </c>
      <c r="H6763" s="10" t="n">
        <f aca="false">F6763*G6763</f>
        <v>707</v>
      </c>
      <c r="I6763" s="6" t="s">
        <v>5148</v>
      </c>
    </row>
    <row r="6764" customFormat="false" ht="15" hidden="false" customHeight="false" outlineLevel="0" collapsed="false">
      <c r="A6764" s="6" t="s">
        <v>11988</v>
      </c>
      <c r="B6764" s="6" t="s">
        <v>3381</v>
      </c>
      <c r="C6764" s="26" t="n">
        <v>46226</v>
      </c>
      <c r="D6764" s="6" t="s">
        <v>5353</v>
      </c>
      <c r="E6764" s="6" t="s">
        <v>24</v>
      </c>
      <c r="F6764" s="6" t="n">
        <v>3</v>
      </c>
      <c r="G6764" s="10" t="n">
        <v>1548</v>
      </c>
      <c r="H6764" s="10" t="n">
        <f aca="false">F6764*G6764</f>
        <v>4644</v>
      </c>
      <c r="I6764" s="6" t="s">
        <v>5122</v>
      </c>
    </row>
    <row r="6765" customFormat="false" ht="15" hidden="false" customHeight="false" outlineLevel="0" collapsed="false">
      <c r="A6765" s="6" t="s">
        <v>11989</v>
      </c>
      <c r="B6765" s="6" t="s">
        <v>3789</v>
      </c>
      <c r="C6765" s="26" t="n">
        <v>46226</v>
      </c>
      <c r="D6765" s="6" t="s">
        <v>5163</v>
      </c>
      <c r="E6765" s="6" t="s">
        <v>23</v>
      </c>
      <c r="F6765" s="6" t="n">
        <v>4</v>
      </c>
      <c r="G6765" s="10" t="n">
        <v>744</v>
      </c>
      <c r="H6765" s="10" t="n">
        <f aca="false">F6765*G6765</f>
        <v>2976</v>
      </c>
      <c r="I6765" s="6" t="s">
        <v>5122</v>
      </c>
    </row>
    <row r="6766" customFormat="false" ht="15" hidden="false" customHeight="false" outlineLevel="0" collapsed="false">
      <c r="A6766" s="6" t="s">
        <v>11990</v>
      </c>
      <c r="B6766" s="6" t="s">
        <v>599</v>
      </c>
      <c r="C6766" s="26" t="n">
        <v>46226</v>
      </c>
      <c r="D6766" s="6" t="s">
        <v>5410</v>
      </c>
      <c r="E6766" s="6" t="s">
        <v>20</v>
      </c>
      <c r="F6766" s="6" t="n">
        <v>1</v>
      </c>
      <c r="G6766" s="10" t="n">
        <v>2294</v>
      </c>
      <c r="H6766" s="10" t="n">
        <f aca="false">F6766*G6766</f>
        <v>2294</v>
      </c>
      <c r="I6766" s="6" t="s">
        <v>5125</v>
      </c>
    </row>
    <row r="6767" customFormat="false" ht="15" hidden="false" customHeight="false" outlineLevel="0" collapsed="false">
      <c r="A6767" s="6" t="s">
        <v>11991</v>
      </c>
      <c r="B6767" s="6" t="s">
        <v>4275</v>
      </c>
      <c r="C6767" s="26" t="n">
        <v>46226</v>
      </c>
      <c r="D6767" s="6" t="s">
        <v>5197</v>
      </c>
      <c r="E6767" s="6" t="s">
        <v>21</v>
      </c>
      <c r="F6767" s="6" t="n">
        <v>1</v>
      </c>
      <c r="G6767" s="10" t="n">
        <v>1080</v>
      </c>
      <c r="H6767" s="10" t="n">
        <f aca="false">F6767*G6767</f>
        <v>1080</v>
      </c>
      <c r="I6767" s="6" t="s">
        <v>5148</v>
      </c>
    </row>
    <row r="6768" customFormat="false" ht="15" hidden="false" customHeight="false" outlineLevel="0" collapsed="false">
      <c r="A6768" s="6" t="s">
        <v>11992</v>
      </c>
      <c r="B6768" s="6" t="s">
        <v>5089</v>
      </c>
      <c r="C6768" s="26" t="n">
        <v>46226</v>
      </c>
      <c r="D6768" s="6" t="s">
        <v>5235</v>
      </c>
      <c r="E6768" s="6" t="s">
        <v>21</v>
      </c>
      <c r="F6768" s="6" t="n">
        <v>1</v>
      </c>
      <c r="G6768" s="10" t="n">
        <v>1670</v>
      </c>
      <c r="H6768" s="10" t="n">
        <f aca="false">F6768*G6768</f>
        <v>1670</v>
      </c>
      <c r="I6768" s="6" t="s">
        <v>5125</v>
      </c>
    </row>
    <row r="6769" customFormat="false" ht="15" hidden="false" customHeight="false" outlineLevel="0" collapsed="false">
      <c r="A6769" s="6" t="s">
        <v>11993</v>
      </c>
      <c r="B6769" s="6" t="s">
        <v>941</v>
      </c>
      <c r="C6769" s="26" t="n">
        <v>46226</v>
      </c>
      <c r="D6769" s="6" t="s">
        <v>5313</v>
      </c>
      <c r="E6769" s="6" t="s">
        <v>22</v>
      </c>
      <c r="F6769" s="6" t="n">
        <v>1</v>
      </c>
      <c r="G6769" s="10" t="n">
        <v>1584</v>
      </c>
      <c r="H6769" s="10" t="n">
        <f aca="false">F6769*G6769</f>
        <v>1584</v>
      </c>
      <c r="I6769" s="6" t="s">
        <v>5122</v>
      </c>
    </row>
    <row r="6770" customFormat="false" ht="15" hidden="false" customHeight="false" outlineLevel="0" collapsed="false">
      <c r="A6770" s="6" t="s">
        <v>11994</v>
      </c>
      <c r="B6770" s="6" t="s">
        <v>1269</v>
      </c>
      <c r="C6770" s="26" t="n">
        <v>46226</v>
      </c>
      <c r="D6770" s="6" t="s">
        <v>5240</v>
      </c>
      <c r="E6770" s="6" t="s">
        <v>20</v>
      </c>
      <c r="F6770" s="6" t="n">
        <v>1</v>
      </c>
      <c r="G6770" s="10" t="n">
        <v>4843</v>
      </c>
      <c r="H6770" s="10" t="n">
        <f aca="false">F6770*G6770</f>
        <v>4843</v>
      </c>
      <c r="I6770" s="6" t="s">
        <v>5122</v>
      </c>
    </row>
    <row r="6771" customFormat="false" ht="15" hidden="false" customHeight="false" outlineLevel="0" collapsed="false">
      <c r="A6771" s="6" t="s">
        <v>11995</v>
      </c>
      <c r="B6771" s="6" t="s">
        <v>4077</v>
      </c>
      <c r="C6771" s="26" t="n">
        <v>46226</v>
      </c>
      <c r="D6771" s="6" t="s">
        <v>5456</v>
      </c>
      <c r="E6771" s="6" t="s">
        <v>24</v>
      </c>
      <c r="F6771" s="6" t="n">
        <v>3</v>
      </c>
      <c r="G6771" s="10" t="n">
        <v>912</v>
      </c>
      <c r="H6771" s="10" t="n">
        <f aca="false">F6771*G6771</f>
        <v>2736</v>
      </c>
      <c r="I6771" s="6" t="s">
        <v>5122</v>
      </c>
    </row>
    <row r="6772" customFormat="false" ht="15" hidden="false" customHeight="false" outlineLevel="0" collapsed="false">
      <c r="A6772" s="6" t="s">
        <v>11996</v>
      </c>
      <c r="B6772" s="6" t="s">
        <v>969</v>
      </c>
      <c r="C6772" s="26" t="n">
        <v>46226</v>
      </c>
      <c r="D6772" s="6" t="s">
        <v>5245</v>
      </c>
      <c r="E6772" s="6" t="s">
        <v>21</v>
      </c>
      <c r="F6772" s="6" t="n">
        <v>1</v>
      </c>
      <c r="G6772" s="10" t="n">
        <v>2456</v>
      </c>
      <c r="H6772" s="10" t="n">
        <f aca="false">F6772*G6772</f>
        <v>2456</v>
      </c>
      <c r="I6772" s="6" t="s">
        <v>5122</v>
      </c>
    </row>
    <row r="6773" customFormat="false" ht="15" hidden="false" customHeight="false" outlineLevel="0" collapsed="false">
      <c r="A6773" s="6" t="s">
        <v>11997</v>
      </c>
      <c r="B6773" s="6" t="s">
        <v>2959</v>
      </c>
      <c r="C6773" s="26" t="n">
        <v>46226</v>
      </c>
      <c r="D6773" s="6" t="s">
        <v>5129</v>
      </c>
      <c r="E6773" s="6" t="s">
        <v>21</v>
      </c>
      <c r="F6773" s="6" t="n">
        <v>1</v>
      </c>
      <c r="G6773" s="10" t="n">
        <v>530</v>
      </c>
      <c r="H6773" s="10" t="n">
        <f aca="false">F6773*G6773</f>
        <v>530</v>
      </c>
      <c r="I6773" s="6" t="s">
        <v>5148</v>
      </c>
    </row>
    <row r="6774" customFormat="false" ht="15" hidden="false" customHeight="false" outlineLevel="0" collapsed="false">
      <c r="A6774" s="6" t="s">
        <v>11998</v>
      </c>
      <c r="B6774" s="6" t="s">
        <v>3499</v>
      </c>
      <c r="C6774" s="26" t="n">
        <v>46226</v>
      </c>
      <c r="D6774" s="6" t="s">
        <v>5316</v>
      </c>
      <c r="E6774" s="6" t="s">
        <v>23</v>
      </c>
      <c r="F6774" s="6" t="n">
        <v>3</v>
      </c>
      <c r="G6774" s="10" t="n">
        <v>260</v>
      </c>
      <c r="H6774" s="10" t="n">
        <f aca="false">F6774*G6774</f>
        <v>780</v>
      </c>
      <c r="I6774" s="6" t="s">
        <v>5173</v>
      </c>
    </row>
    <row r="6775" customFormat="false" ht="15" hidden="false" customHeight="false" outlineLevel="0" collapsed="false">
      <c r="A6775" s="6" t="s">
        <v>11999</v>
      </c>
      <c r="B6775" s="6" t="s">
        <v>3655</v>
      </c>
      <c r="C6775" s="26" t="n">
        <v>46226</v>
      </c>
      <c r="D6775" s="6" t="s">
        <v>5466</v>
      </c>
      <c r="E6775" s="6" t="s">
        <v>21</v>
      </c>
      <c r="F6775" s="6" t="n">
        <v>1</v>
      </c>
      <c r="G6775" s="10" t="n">
        <v>1965</v>
      </c>
      <c r="H6775" s="10" t="n">
        <f aca="false">F6775*G6775</f>
        <v>1965</v>
      </c>
      <c r="I6775" s="6" t="s">
        <v>5122</v>
      </c>
    </row>
    <row r="6776" customFormat="false" ht="15" hidden="false" customHeight="false" outlineLevel="0" collapsed="false">
      <c r="A6776" s="6" t="s">
        <v>12000</v>
      </c>
      <c r="B6776" s="6" t="s">
        <v>3131</v>
      </c>
      <c r="C6776" s="26" t="n">
        <v>46226</v>
      </c>
      <c r="D6776" s="6" t="s">
        <v>5259</v>
      </c>
      <c r="E6776" s="6" t="s">
        <v>22</v>
      </c>
      <c r="F6776" s="6" t="n">
        <v>1</v>
      </c>
      <c r="G6776" s="10" t="n">
        <v>1564</v>
      </c>
      <c r="H6776" s="10" t="n">
        <f aca="false">F6776*G6776</f>
        <v>1564</v>
      </c>
      <c r="I6776" s="6" t="s">
        <v>5130</v>
      </c>
    </row>
    <row r="6777" customFormat="false" ht="15" hidden="false" customHeight="false" outlineLevel="0" collapsed="false">
      <c r="A6777" s="6" t="s">
        <v>12001</v>
      </c>
      <c r="B6777" s="6" t="s">
        <v>2847</v>
      </c>
      <c r="C6777" s="26" t="n">
        <v>46226</v>
      </c>
      <c r="D6777" s="6" t="s">
        <v>5353</v>
      </c>
      <c r="E6777" s="6" t="s">
        <v>24</v>
      </c>
      <c r="F6777" s="6" t="n">
        <v>3</v>
      </c>
      <c r="G6777" s="10" t="n">
        <v>1466</v>
      </c>
      <c r="H6777" s="10" t="n">
        <f aca="false">F6777*G6777</f>
        <v>4398</v>
      </c>
      <c r="I6777" s="6" t="s">
        <v>5122</v>
      </c>
    </row>
    <row r="6778" customFormat="false" ht="15" hidden="false" customHeight="false" outlineLevel="0" collapsed="false">
      <c r="A6778" s="6" t="s">
        <v>12002</v>
      </c>
      <c r="B6778" s="6" t="s">
        <v>2943</v>
      </c>
      <c r="C6778" s="26" t="n">
        <v>46226</v>
      </c>
      <c r="D6778" s="6" t="s">
        <v>5202</v>
      </c>
      <c r="E6778" s="6" t="s">
        <v>23</v>
      </c>
      <c r="F6778" s="6" t="n">
        <v>3</v>
      </c>
      <c r="G6778" s="10" t="n">
        <v>245</v>
      </c>
      <c r="H6778" s="10" t="n">
        <f aca="false">F6778*G6778</f>
        <v>735</v>
      </c>
      <c r="I6778" s="6" t="s">
        <v>5122</v>
      </c>
    </row>
    <row r="6779" customFormat="false" ht="15" hidden="false" customHeight="false" outlineLevel="0" collapsed="false">
      <c r="A6779" s="6" t="s">
        <v>12003</v>
      </c>
      <c r="B6779" s="6" t="s">
        <v>1919</v>
      </c>
      <c r="C6779" s="26" t="n">
        <v>46226</v>
      </c>
      <c r="D6779" s="6" t="s">
        <v>5353</v>
      </c>
      <c r="E6779" s="6" t="s">
        <v>24</v>
      </c>
      <c r="F6779" s="6" t="n">
        <v>2</v>
      </c>
      <c r="G6779" s="10" t="n">
        <v>1548</v>
      </c>
      <c r="H6779" s="10" t="n">
        <f aca="false">F6779*G6779</f>
        <v>3096</v>
      </c>
      <c r="I6779" s="6" t="s">
        <v>5148</v>
      </c>
    </row>
    <row r="6780" customFormat="false" ht="15" hidden="false" customHeight="false" outlineLevel="0" collapsed="false">
      <c r="A6780" s="6" t="s">
        <v>12004</v>
      </c>
      <c r="B6780" s="6" t="s">
        <v>563</v>
      </c>
      <c r="C6780" s="26" t="n">
        <v>46226</v>
      </c>
      <c r="D6780" s="6" t="s">
        <v>5145</v>
      </c>
      <c r="E6780" s="6" t="s">
        <v>21</v>
      </c>
      <c r="F6780" s="6" t="n">
        <v>1</v>
      </c>
      <c r="G6780" s="10" t="n">
        <v>1213</v>
      </c>
      <c r="H6780" s="10" t="n">
        <f aca="false">F6780*G6780</f>
        <v>1213</v>
      </c>
      <c r="I6780" s="6" t="s">
        <v>5122</v>
      </c>
    </row>
    <row r="6781" customFormat="false" ht="15" hidden="false" customHeight="false" outlineLevel="0" collapsed="false">
      <c r="A6781" s="6" t="s">
        <v>12005</v>
      </c>
      <c r="B6781" s="6" t="s">
        <v>2423</v>
      </c>
      <c r="C6781" s="26" t="n">
        <v>46226</v>
      </c>
      <c r="D6781" s="6" t="s">
        <v>5167</v>
      </c>
      <c r="E6781" s="6" t="s">
        <v>22</v>
      </c>
      <c r="F6781" s="6" t="n">
        <v>3</v>
      </c>
      <c r="G6781" s="10" t="n">
        <v>782</v>
      </c>
      <c r="H6781" s="10" t="n">
        <f aca="false">F6781*G6781</f>
        <v>2346</v>
      </c>
      <c r="I6781" s="6" t="s">
        <v>5173</v>
      </c>
    </row>
    <row r="6782" customFormat="false" ht="15" hidden="false" customHeight="false" outlineLevel="0" collapsed="false">
      <c r="A6782" s="6" t="s">
        <v>12006</v>
      </c>
      <c r="B6782" s="6" t="s">
        <v>4757</v>
      </c>
      <c r="C6782" s="26" t="n">
        <v>46226</v>
      </c>
      <c r="D6782" s="6" t="s">
        <v>5261</v>
      </c>
      <c r="E6782" s="6" t="s">
        <v>23</v>
      </c>
      <c r="F6782" s="6" t="n">
        <v>1</v>
      </c>
      <c r="G6782" s="10" t="n">
        <v>166</v>
      </c>
      <c r="H6782" s="10" t="n">
        <f aca="false">F6782*G6782</f>
        <v>166</v>
      </c>
      <c r="I6782" s="6" t="s">
        <v>5130</v>
      </c>
    </row>
    <row r="6783" customFormat="false" ht="15" hidden="false" customHeight="false" outlineLevel="0" collapsed="false">
      <c r="A6783" s="6" t="s">
        <v>12007</v>
      </c>
      <c r="B6783" s="6" t="s">
        <v>196</v>
      </c>
      <c r="C6783" s="26" t="n">
        <v>46226</v>
      </c>
      <c r="D6783" s="6" t="s">
        <v>5298</v>
      </c>
      <c r="E6783" s="6" t="s">
        <v>23</v>
      </c>
      <c r="F6783" s="6" t="n">
        <v>1</v>
      </c>
      <c r="G6783" s="10" t="n">
        <v>264</v>
      </c>
      <c r="H6783" s="10" t="n">
        <f aca="false">F6783*G6783</f>
        <v>264</v>
      </c>
      <c r="I6783" s="6" t="s">
        <v>5173</v>
      </c>
    </row>
    <row r="6784" customFormat="false" ht="15" hidden="false" customHeight="false" outlineLevel="0" collapsed="false">
      <c r="A6784" s="6" t="s">
        <v>12008</v>
      </c>
      <c r="B6784" s="6" t="s">
        <v>4409</v>
      </c>
      <c r="C6784" s="26" t="n">
        <v>46227</v>
      </c>
      <c r="D6784" s="6" t="s">
        <v>5410</v>
      </c>
      <c r="E6784" s="6" t="s">
        <v>20</v>
      </c>
      <c r="F6784" s="6" t="n">
        <v>1</v>
      </c>
      <c r="G6784" s="10" t="n">
        <v>2548</v>
      </c>
      <c r="H6784" s="10" t="n">
        <f aca="false">F6784*G6784</f>
        <v>2548</v>
      </c>
      <c r="I6784" s="6" t="s">
        <v>5122</v>
      </c>
    </row>
    <row r="6785" customFormat="false" ht="15" hidden="false" customHeight="false" outlineLevel="0" collapsed="false">
      <c r="A6785" s="6" t="s">
        <v>12009</v>
      </c>
      <c r="B6785" s="6" t="s">
        <v>3035</v>
      </c>
      <c r="C6785" s="26" t="n">
        <v>46227</v>
      </c>
      <c r="D6785" s="6" t="s">
        <v>5165</v>
      </c>
      <c r="E6785" s="6" t="s">
        <v>22</v>
      </c>
      <c r="F6785" s="6" t="n">
        <v>3</v>
      </c>
      <c r="G6785" s="10" t="n">
        <v>977</v>
      </c>
      <c r="H6785" s="10" t="n">
        <f aca="false">F6785*G6785</f>
        <v>2931</v>
      </c>
      <c r="I6785" s="6" t="s">
        <v>5122</v>
      </c>
    </row>
    <row r="6786" customFormat="false" ht="15" hidden="false" customHeight="false" outlineLevel="0" collapsed="false">
      <c r="A6786" s="6" t="s">
        <v>12010</v>
      </c>
      <c r="B6786" s="6" t="s">
        <v>4481</v>
      </c>
      <c r="C6786" s="26" t="n">
        <v>46227</v>
      </c>
      <c r="D6786" s="6" t="s">
        <v>5163</v>
      </c>
      <c r="E6786" s="6" t="s">
        <v>23</v>
      </c>
      <c r="F6786" s="6" t="n">
        <v>4</v>
      </c>
      <c r="G6786" s="10" t="n">
        <v>783</v>
      </c>
      <c r="H6786" s="10" t="n">
        <f aca="false">F6786*G6786</f>
        <v>3132</v>
      </c>
      <c r="I6786" s="6" t="s">
        <v>5122</v>
      </c>
    </row>
    <row r="6787" customFormat="false" ht="15" hidden="false" customHeight="false" outlineLevel="0" collapsed="false">
      <c r="A6787" s="6" t="s">
        <v>12011</v>
      </c>
      <c r="B6787" s="6" t="s">
        <v>3247</v>
      </c>
      <c r="C6787" s="26" t="n">
        <v>46227</v>
      </c>
      <c r="D6787" s="6" t="s">
        <v>5488</v>
      </c>
      <c r="E6787" s="6" t="s">
        <v>24</v>
      </c>
      <c r="F6787" s="6" t="n">
        <v>2</v>
      </c>
      <c r="G6787" s="10" t="n">
        <v>866</v>
      </c>
      <c r="H6787" s="10" t="n">
        <f aca="false">F6787*G6787</f>
        <v>1732</v>
      </c>
      <c r="I6787" s="6" t="s">
        <v>5122</v>
      </c>
    </row>
    <row r="6788" customFormat="false" ht="15" hidden="false" customHeight="false" outlineLevel="0" collapsed="false">
      <c r="A6788" s="6" t="s">
        <v>12012</v>
      </c>
      <c r="B6788" s="6" t="s">
        <v>3459</v>
      </c>
      <c r="C6788" s="26" t="n">
        <v>46227</v>
      </c>
      <c r="D6788" s="6" t="s">
        <v>5171</v>
      </c>
      <c r="E6788" s="6" t="s">
        <v>23</v>
      </c>
      <c r="F6788" s="6" t="n">
        <v>4</v>
      </c>
      <c r="G6788" s="10" t="n">
        <v>697</v>
      </c>
      <c r="H6788" s="10" t="n">
        <f aca="false">F6788*G6788</f>
        <v>2788</v>
      </c>
      <c r="I6788" s="6" t="s">
        <v>5148</v>
      </c>
    </row>
    <row r="6789" customFormat="false" ht="15" hidden="false" customHeight="false" outlineLevel="0" collapsed="false">
      <c r="A6789" s="6" t="s">
        <v>12013</v>
      </c>
      <c r="B6789" s="6" t="s">
        <v>3821</v>
      </c>
      <c r="C6789" s="26" t="n">
        <v>46227</v>
      </c>
      <c r="D6789" s="6" t="s">
        <v>5423</v>
      </c>
      <c r="E6789" s="6" t="s">
        <v>21</v>
      </c>
      <c r="F6789" s="6" t="n">
        <v>1</v>
      </c>
      <c r="G6789" s="10" t="n">
        <v>3081</v>
      </c>
      <c r="H6789" s="10" t="n">
        <f aca="false">F6789*G6789</f>
        <v>3081</v>
      </c>
      <c r="I6789" s="6" t="s">
        <v>5125</v>
      </c>
    </row>
    <row r="6790" customFormat="false" ht="15" hidden="false" customHeight="false" outlineLevel="0" collapsed="false">
      <c r="A6790" s="6" t="s">
        <v>12014</v>
      </c>
      <c r="B6790" s="6" t="s">
        <v>1843</v>
      </c>
      <c r="C6790" s="26" t="n">
        <v>46227</v>
      </c>
      <c r="D6790" s="6" t="s">
        <v>5456</v>
      </c>
      <c r="E6790" s="6" t="s">
        <v>24</v>
      </c>
      <c r="F6790" s="6" t="n">
        <v>2</v>
      </c>
      <c r="G6790" s="10" t="n">
        <v>821</v>
      </c>
      <c r="H6790" s="10" t="n">
        <f aca="false">F6790*G6790</f>
        <v>1642</v>
      </c>
      <c r="I6790" s="6" t="s">
        <v>5130</v>
      </c>
    </row>
    <row r="6791" customFormat="false" ht="15" hidden="false" customHeight="false" outlineLevel="0" collapsed="false">
      <c r="A6791" s="6" t="s">
        <v>12015</v>
      </c>
      <c r="B6791" s="6" t="s">
        <v>2743</v>
      </c>
      <c r="C6791" s="26" t="n">
        <v>46227</v>
      </c>
      <c r="D6791" s="6" t="s">
        <v>5163</v>
      </c>
      <c r="E6791" s="6" t="s">
        <v>23</v>
      </c>
      <c r="F6791" s="6" t="n">
        <v>2</v>
      </c>
      <c r="G6791" s="10" t="n">
        <v>783</v>
      </c>
      <c r="H6791" s="10" t="n">
        <f aca="false">F6791*G6791</f>
        <v>1566</v>
      </c>
      <c r="I6791" s="6" t="s">
        <v>5148</v>
      </c>
    </row>
    <row r="6792" customFormat="false" ht="15" hidden="false" customHeight="false" outlineLevel="0" collapsed="false">
      <c r="A6792" s="6" t="s">
        <v>12016</v>
      </c>
      <c r="B6792" s="6" t="s">
        <v>3235</v>
      </c>
      <c r="C6792" s="26" t="n">
        <v>46227</v>
      </c>
      <c r="D6792" s="6" t="s">
        <v>5171</v>
      </c>
      <c r="E6792" s="6" t="s">
        <v>23</v>
      </c>
      <c r="F6792" s="6" t="n">
        <v>3</v>
      </c>
      <c r="G6792" s="10" t="n">
        <v>734</v>
      </c>
      <c r="H6792" s="10" t="n">
        <f aca="false">F6792*G6792</f>
        <v>2202</v>
      </c>
      <c r="I6792" s="6" t="s">
        <v>5148</v>
      </c>
    </row>
    <row r="6793" customFormat="false" ht="15" hidden="false" customHeight="false" outlineLevel="0" collapsed="false">
      <c r="A6793" s="6" t="s">
        <v>12017</v>
      </c>
      <c r="B6793" s="6" t="s">
        <v>1189</v>
      </c>
      <c r="C6793" s="26" t="n">
        <v>46227</v>
      </c>
      <c r="D6793" s="6" t="s">
        <v>5141</v>
      </c>
      <c r="E6793" s="6" t="s">
        <v>20</v>
      </c>
      <c r="F6793" s="6" t="n">
        <v>1</v>
      </c>
      <c r="G6793" s="10" t="n">
        <v>1743</v>
      </c>
      <c r="H6793" s="10" t="n">
        <f aca="false">F6793*G6793</f>
        <v>1743</v>
      </c>
      <c r="I6793" s="6" t="s">
        <v>5122</v>
      </c>
    </row>
    <row r="6794" customFormat="false" ht="15" hidden="false" customHeight="false" outlineLevel="0" collapsed="false">
      <c r="A6794" s="6" t="s">
        <v>12018</v>
      </c>
      <c r="B6794" s="6" t="s">
        <v>2935</v>
      </c>
      <c r="C6794" s="26" t="n">
        <v>46227</v>
      </c>
      <c r="D6794" s="6" t="s">
        <v>5145</v>
      </c>
      <c r="E6794" s="6" t="s">
        <v>21</v>
      </c>
      <c r="F6794" s="6" t="n">
        <v>1</v>
      </c>
      <c r="G6794" s="10" t="n">
        <v>1213</v>
      </c>
      <c r="H6794" s="10" t="n">
        <f aca="false">F6794*G6794</f>
        <v>1213</v>
      </c>
      <c r="I6794" s="6" t="s">
        <v>5122</v>
      </c>
    </row>
    <row r="6795" customFormat="false" ht="15" hidden="false" customHeight="false" outlineLevel="0" collapsed="false">
      <c r="A6795" s="6" t="s">
        <v>12019</v>
      </c>
      <c r="B6795" s="6" t="s">
        <v>4003</v>
      </c>
      <c r="C6795" s="26" t="n">
        <v>46227</v>
      </c>
      <c r="D6795" s="6" t="s">
        <v>5171</v>
      </c>
      <c r="E6795" s="6" t="s">
        <v>23</v>
      </c>
      <c r="F6795" s="6" t="n">
        <v>3</v>
      </c>
      <c r="G6795" s="10" t="n">
        <v>697</v>
      </c>
      <c r="H6795" s="10" t="n">
        <f aca="false">F6795*G6795</f>
        <v>2091</v>
      </c>
      <c r="I6795" s="6" t="s">
        <v>5122</v>
      </c>
    </row>
    <row r="6796" customFormat="false" ht="15" hidden="false" customHeight="false" outlineLevel="0" collapsed="false">
      <c r="A6796" s="6" t="s">
        <v>12020</v>
      </c>
      <c r="B6796" s="6" t="s">
        <v>2431</v>
      </c>
      <c r="C6796" s="26" t="n">
        <v>46227</v>
      </c>
      <c r="D6796" s="6" t="s">
        <v>5353</v>
      </c>
      <c r="E6796" s="6" t="s">
        <v>24</v>
      </c>
      <c r="F6796" s="6" t="n">
        <v>1</v>
      </c>
      <c r="G6796" s="10" t="n">
        <v>1629</v>
      </c>
      <c r="H6796" s="10" t="n">
        <f aca="false">F6796*G6796</f>
        <v>1629</v>
      </c>
      <c r="I6796" s="6" t="s">
        <v>5130</v>
      </c>
    </row>
    <row r="6797" customFormat="false" ht="15" hidden="false" customHeight="false" outlineLevel="0" collapsed="false">
      <c r="A6797" s="6" t="s">
        <v>12021</v>
      </c>
      <c r="B6797" s="6" t="s">
        <v>2115</v>
      </c>
      <c r="C6797" s="26" t="n">
        <v>46227</v>
      </c>
      <c r="D6797" s="6" t="s">
        <v>5216</v>
      </c>
      <c r="E6797" s="6" t="s">
        <v>23</v>
      </c>
      <c r="F6797" s="6" t="n">
        <v>4</v>
      </c>
      <c r="G6797" s="10" t="n">
        <v>587</v>
      </c>
      <c r="H6797" s="10" t="n">
        <f aca="false">F6797*G6797</f>
        <v>2348</v>
      </c>
      <c r="I6797" s="6" t="s">
        <v>5122</v>
      </c>
    </row>
    <row r="6798" customFormat="false" ht="15" hidden="false" customHeight="false" outlineLevel="0" collapsed="false">
      <c r="A6798" s="6" t="s">
        <v>12022</v>
      </c>
      <c r="B6798" s="6" t="s">
        <v>2775</v>
      </c>
      <c r="C6798" s="26" t="n">
        <v>46227</v>
      </c>
      <c r="D6798" s="6" t="s">
        <v>5160</v>
      </c>
      <c r="E6798" s="6" t="s">
        <v>21</v>
      </c>
      <c r="F6798" s="6" t="n">
        <v>2</v>
      </c>
      <c r="G6798" s="10" t="n">
        <v>2751</v>
      </c>
      <c r="H6798" s="10" t="n">
        <f aca="false">F6798*G6798</f>
        <v>5502</v>
      </c>
      <c r="I6798" s="6" t="s">
        <v>5122</v>
      </c>
    </row>
    <row r="6799" customFormat="false" ht="15" hidden="false" customHeight="false" outlineLevel="0" collapsed="false">
      <c r="A6799" s="6" t="s">
        <v>12023</v>
      </c>
      <c r="B6799" s="6" t="s">
        <v>3941</v>
      </c>
      <c r="C6799" s="26" t="n">
        <v>46227</v>
      </c>
      <c r="D6799" s="6" t="s">
        <v>5121</v>
      </c>
      <c r="E6799" s="6" t="s">
        <v>22</v>
      </c>
      <c r="F6799" s="6" t="n">
        <v>1</v>
      </c>
      <c r="G6799" s="10" t="n">
        <v>976</v>
      </c>
      <c r="H6799" s="10" t="n">
        <f aca="false">F6799*G6799</f>
        <v>976</v>
      </c>
      <c r="I6799" s="6" t="s">
        <v>5130</v>
      </c>
    </row>
    <row r="6800" customFormat="false" ht="15" hidden="false" customHeight="false" outlineLevel="0" collapsed="false">
      <c r="A6800" s="6" t="s">
        <v>12024</v>
      </c>
      <c r="B6800" s="6" t="s">
        <v>675</v>
      </c>
      <c r="C6800" s="26" t="n">
        <v>46227</v>
      </c>
      <c r="D6800" s="6" t="s">
        <v>5482</v>
      </c>
      <c r="E6800" s="6" t="s">
        <v>23</v>
      </c>
      <c r="F6800" s="6" t="n">
        <v>4</v>
      </c>
      <c r="G6800" s="10" t="n">
        <v>269</v>
      </c>
      <c r="H6800" s="10" t="n">
        <f aca="false">F6800*G6800</f>
        <v>1076</v>
      </c>
      <c r="I6800" s="6" t="s">
        <v>5122</v>
      </c>
    </row>
    <row r="6801" customFormat="false" ht="15" hidden="false" customHeight="false" outlineLevel="0" collapsed="false">
      <c r="A6801" s="6" t="s">
        <v>12025</v>
      </c>
      <c r="B6801" s="6" t="s">
        <v>1415</v>
      </c>
      <c r="C6801" s="26" t="n">
        <v>46227</v>
      </c>
      <c r="D6801" s="6" t="s">
        <v>5167</v>
      </c>
      <c r="E6801" s="6" t="s">
        <v>22</v>
      </c>
      <c r="F6801" s="6" t="n">
        <v>3</v>
      </c>
      <c r="G6801" s="10" t="n">
        <v>703</v>
      </c>
      <c r="H6801" s="10" t="n">
        <f aca="false">F6801*G6801</f>
        <v>2109</v>
      </c>
      <c r="I6801" s="6" t="s">
        <v>5148</v>
      </c>
    </row>
    <row r="6802" customFormat="false" ht="15" hidden="false" customHeight="false" outlineLevel="0" collapsed="false">
      <c r="A6802" s="6" t="s">
        <v>12026</v>
      </c>
      <c r="B6802" s="6" t="s">
        <v>1369</v>
      </c>
      <c r="C6802" s="26" t="n">
        <v>46227</v>
      </c>
      <c r="D6802" s="6" t="s">
        <v>5167</v>
      </c>
      <c r="E6802" s="6" t="s">
        <v>22</v>
      </c>
      <c r="F6802" s="6" t="n">
        <v>2</v>
      </c>
      <c r="G6802" s="10" t="n">
        <v>782</v>
      </c>
      <c r="H6802" s="10" t="n">
        <f aca="false">F6802*G6802</f>
        <v>1564</v>
      </c>
      <c r="I6802" s="6" t="s">
        <v>5122</v>
      </c>
    </row>
    <row r="6803" customFormat="false" ht="15" hidden="false" customHeight="false" outlineLevel="0" collapsed="false">
      <c r="A6803" s="6" t="s">
        <v>12027</v>
      </c>
      <c r="B6803" s="6" t="s">
        <v>2271</v>
      </c>
      <c r="C6803" s="26" t="n">
        <v>46227</v>
      </c>
      <c r="D6803" s="6" t="s">
        <v>5357</v>
      </c>
      <c r="E6803" s="6" t="s">
        <v>23</v>
      </c>
      <c r="F6803" s="6" t="n">
        <v>3</v>
      </c>
      <c r="G6803" s="10" t="n">
        <v>481</v>
      </c>
      <c r="H6803" s="10" t="n">
        <f aca="false">F6803*G6803</f>
        <v>1443</v>
      </c>
      <c r="I6803" s="6" t="s">
        <v>5122</v>
      </c>
    </row>
    <row r="6804" customFormat="false" ht="15" hidden="false" customHeight="false" outlineLevel="0" collapsed="false">
      <c r="A6804" s="6" t="s">
        <v>12028</v>
      </c>
      <c r="B6804" s="6" t="s">
        <v>927</v>
      </c>
      <c r="C6804" s="26" t="n">
        <v>46227</v>
      </c>
      <c r="D6804" s="6" t="s">
        <v>5167</v>
      </c>
      <c r="E6804" s="6" t="s">
        <v>22</v>
      </c>
      <c r="F6804" s="6" t="n">
        <v>1</v>
      </c>
      <c r="G6804" s="10" t="n">
        <v>782</v>
      </c>
      <c r="H6804" s="10" t="n">
        <f aca="false">F6804*G6804</f>
        <v>782</v>
      </c>
      <c r="I6804" s="6" t="s">
        <v>5122</v>
      </c>
    </row>
    <row r="6805" customFormat="false" ht="15" hidden="false" customHeight="false" outlineLevel="0" collapsed="false">
      <c r="A6805" s="6" t="s">
        <v>12029</v>
      </c>
      <c r="B6805" s="6" t="s">
        <v>1363</v>
      </c>
      <c r="C6805" s="26" t="n">
        <v>46227</v>
      </c>
      <c r="D6805" s="6" t="s">
        <v>5135</v>
      </c>
      <c r="E6805" s="6" t="s">
        <v>23</v>
      </c>
      <c r="F6805" s="6" t="n">
        <v>2</v>
      </c>
      <c r="G6805" s="10" t="n">
        <v>441</v>
      </c>
      <c r="H6805" s="10" t="n">
        <f aca="false">F6805*G6805</f>
        <v>882</v>
      </c>
      <c r="I6805" s="6" t="s">
        <v>5122</v>
      </c>
    </row>
    <row r="6806" customFormat="false" ht="15" hidden="false" customHeight="false" outlineLevel="0" collapsed="false">
      <c r="A6806" s="6" t="s">
        <v>12030</v>
      </c>
      <c r="B6806" s="6" t="s">
        <v>3173</v>
      </c>
      <c r="C6806" s="26" t="n">
        <v>46227</v>
      </c>
      <c r="D6806" s="6" t="s">
        <v>5143</v>
      </c>
      <c r="E6806" s="6" t="s">
        <v>21</v>
      </c>
      <c r="F6806" s="6" t="n">
        <v>1</v>
      </c>
      <c r="G6806" s="10" t="n">
        <v>1179</v>
      </c>
      <c r="H6806" s="10" t="n">
        <f aca="false">F6806*G6806</f>
        <v>1179</v>
      </c>
      <c r="I6806" s="6" t="s">
        <v>5122</v>
      </c>
    </row>
    <row r="6807" customFormat="false" ht="15" hidden="false" customHeight="false" outlineLevel="0" collapsed="false">
      <c r="A6807" s="6" t="s">
        <v>12031</v>
      </c>
      <c r="B6807" s="6" t="s">
        <v>4301</v>
      </c>
      <c r="C6807" s="26" t="n">
        <v>46227</v>
      </c>
      <c r="D6807" s="6" t="s">
        <v>5167</v>
      </c>
      <c r="E6807" s="6" t="s">
        <v>22</v>
      </c>
      <c r="F6807" s="6" t="n">
        <v>1</v>
      </c>
      <c r="G6807" s="10" t="n">
        <v>782</v>
      </c>
      <c r="H6807" s="10" t="n">
        <f aca="false">F6807*G6807</f>
        <v>782</v>
      </c>
      <c r="I6807" s="6" t="s">
        <v>5148</v>
      </c>
    </row>
    <row r="6808" customFormat="false" ht="15" hidden="false" customHeight="false" outlineLevel="0" collapsed="false">
      <c r="A6808" s="6" t="s">
        <v>12032</v>
      </c>
      <c r="B6808" s="6" t="s">
        <v>3539</v>
      </c>
      <c r="C6808" s="26" t="n">
        <v>46227</v>
      </c>
      <c r="D6808" s="6" t="s">
        <v>5163</v>
      </c>
      <c r="E6808" s="6" t="s">
        <v>23</v>
      </c>
      <c r="F6808" s="6" t="n">
        <v>2</v>
      </c>
      <c r="G6808" s="10" t="n">
        <v>783</v>
      </c>
      <c r="H6808" s="10" t="n">
        <f aca="false">F6808*G6808</f>
        <v>1566</v>
      </c>
      <c r="I6808" s="6" t="s">
        <v>5148</v>
      </c>
    </row>
    <row r="6809" customFormat="false" ht="15" hidden="false" customHeight="false" outlineLevel="0" collapsed="false">
      <c r="A6809" s="6" t="s">
        <v>12033</v>
      </c>
      <c r="B6809" s="6" t="s">
        <v>4031</v>
      </c>
      <c r="C6809" s="26" t="n">
        <v>46227</v>
      </c>
      <c r="D6809" s="6" t="s">
        <v>5171</v>
      </c>
      <c r="E6809" s="6" t="s">
        <v>23</v>
      </c>
      <c r="F6809" s="6" t="n">
        <v>1</v>
      </c>
      <c r="G6809" s="10" t="n">
        <v>734</v>
      </c>
      <c r="H6809" s="10" t="n">
        <f aca="false">F6809*G6809</f>
        <v>734</v>
      </c>
      <c r="I6809" s="6" t="s">
        <v>5133</v>
      </c>
    </row>
    <row r="6810" customFormat="false" ht="15" hidden="false" customHeight="false" outlineLevel="0" collapsed="false">
      <c r="A6810" s="6" t="s">
        <v>12034</v>
      </c>
      <c r="B6810" s="6" t="s">
        <v>4159</v>
      </c>
      <c r="C6810" s="26" t="n">
        <v>46227</v>
      </c>
      <c r="D6810" s="6" t="s">
        <v>5305</v>
      </c>
      <c r="E6810" s="6" t="s">
        <v>20</v>
      </c>
      <c r="F6810" s="6" t="n">
        <v>1</v>
      </c>
      <c r="G6810" s="10" t="n">
        <v>1549</v>
      </c>
      <c r="H6810" s="10" t="n">
        <f aca="false">F6810*G6810</f>
        <v>1549</v>
      </c>
      <c r="I6810" s="6" t="s">
        <v>5148</v>
      </c>
    </row>
    <row r="6811" customFormat="false" ht="15" hidden="false" customHeight="false" outlineLevel="0" collapsed="false">
      <c r="A6811" s="6" t="s">
        <v>12035</v>
      </c>
      <c r="B6811" s="6" t="s">
        <v>1471</v>
      </c>
      <c r="C6811" s="26" t="n">
        <v>46227</v>
      </c>
      <c r="D6811" s="6" t="s">
        <v>5156</v>
      </c>
      <c r="E6811" s="6" t="s">
        <v>21</v>
      </c>
      <c r="F6811" s="6" t="n">
        <v>1</v>
      </c>
      <c r="G6811" s="10" t="n">
        <v>2161</v>
      </c>
      <c r="H6811" s="10" t="n">
        <f aca="false">F6811*G6811</f>
        <v>2161</v>
      </c>
      <c r="I6811" s="6" t="s">
        <v>5122</v>
      </c>
    </row>
    <row r="6812" customFormat="false" ht="15" hidden="false" customHeight="false" outlineLevel="0" collapsed="false">
      <c r="A6812" s="6" t="s">
        <v>12036</v>
      </c>
      <c r="B6812" s="6" t="s">
        <v>4527</v>
      </c>
      <c r="C6812" s="26" t="n">
        <v>46227</v>
      </c>
      <c r="D6812" s="6" t="s">
        <v>5687</v>
      </c>
      <c r="E6812" s="6" t="s">
        <v>20</v>
      </c>
      <c r="F6812" s="6" t="n">
        <v>1</v>
      </c>
      <c r="G6812" s="10" t="n">
        <v>2039</v>
      </c>
      <c r="H6812" s="10" t="n">
        <f aca="false">F6812*G6812</f>
        <v>2039</v>
      </c>
      <c r="I6812" s="6" t="s">
        <v>5148</v>
      </c>
    </row>
    <row r="6813" customFormat="false" ht="15" hidden="false" customHeight="false" outlineLevel="0" collapsed="false">
      <c r="A6813" s="6" t="s">
        <v>12037</v>
      </c>
      <c r="B6813" s="6" t="s">
        <v>901</v>
      </c>
      <c r="C6813" s="26" t="n">
        <v>46227</v>
      </c>
      <c r="D6813" s="6" t="s">
        <v>5207</v>
      </c>
      <c r="E6813" s="6" t="s">
        <v>20</v>
      </c>
      <c r="F6813" s="6" t="n">
        <v>1</v>
      </c>
      <c r="G6813" s="10" t="n">
        <v>1325</v>
      </c>
      <c r="H6813" s="10" t="n">
        <f aca="false">F6813*G6813</f>
        <v>1325</v>
      </c>
      <c r="I6813" s="6" t="s">
        <v>5122</v>
      </c>
    </row>
    <row r="6814" customFormat="false" ht="15" hidden="false" customHeight="false" outlineLevel="0" collapsed="false">
      <c r="A6814" s="6" t="s">
        <v>12038</v>
      </c>
      <c r="B6814" s="6" t="s">
        <v>3641</v>
      </c>
      <c r="C6814" s="26" t="n">
        <v>46227</v>
      </c>
      <c r="D6814" s="6" t="s">
        <v>5316</v>
      </c>
      <c r="E6814" s="6" t="s">
        <v>23</v>
      </c>
      <c r="F6814" s="6" t="n">
        <v>1</v>
      </c>
      <c r="G6814" s="10" t="n">
        <v>260</v>
      </c>
      <c r="H6814" s="10" t="n">
        <f aca="false">F6814*G6814</f>
        <v>260</v>
      </c>
      <c r="I6814" s="6" t="s">
        <v>5130</v>
      </c>
    </row>
    <row r="6815" customFormat="false" ht="15" hidden="false" customHeight="false" outlineLevel="0" collapsed="false">
      <c r="A6815" s="6" t="s">
        <v>12039</v>
      </c>
      <c r="B6815" s="6" t="s">
        <v>4605</v>
      </c>
      <c r="C6815" s="26" t="n">
        <v>46227</v>
      </c>
      <c r="D6815" s="6" t="s">
        <v>5167</v>
      </c>
      <c r="E6815" s="6" t="s">
        <v>22</v>
      </c>
      <c r="F6815" s="6" t="n">
        <v>3</v>
      </c>
      <c r="G6815" s="10" t="n">
        <v>743</v>
      </c>
      <c r="H6815" s="10" t="n">
        <f aca="false">F6815*G6815</f>
        <v>2229</v>
      </c>
      <c r="I6815" s="6" t="s">
        <v>5148</v>
      </c>
    </row>
    <row r="6816" customFormat="false" ht="15" hidden="false" customHeight="false" outlineLevel="0" collapsed="false">
      <c r="A6816" s="6" t="s">
        <v>12040</v>
      </c>
      <c r="B6816" s="6" t="s">
        <v>1077</v>
      </c>
      <c r="C6816" s="26" t="n">
        <v>46227</v>
      </c>
      <c r="D6816" s="6" t="s">
        <v>5152</v>
      </c>
      <c r="E6816" s="6" t="s">
        <v>22</v>
      </c>
      <c r="F6816" s="6" t="n">
        <v>1</v>
      </c>
      <c r="G6816" s="10" t="n">
        <v>1759</v>
      </c>
      <c r="H6816" s="10" t="n">
        <f aca="false">F6816*G6816</f>
        <v>1759</v>
      </c>
      <c r="I6816" s="6" t="s">
        <v>5122</v>
      </c>
    </row>
    <row r="6817" customFormat="false" ht="15" hidden="false" customHeight="false" outlineLevel="0" collapsed="false">
      <c r="A6817" s="6" t="s">
        <v>12041</v>
      </c>
      <c r="B6817" s="6" t="s">
        <v>4045</v>
      </c>
      <c r="C6817" s="26" t="n">
        <v>46227</v>
      </c>
      <c r="D6817" s="6" t="s">
        <v>5235</v>
      </c>
      <c r="E6817" s="6" t="s">
        <v>21</v>
      </c>
      <c r="F6817" s="6" t="n">
        <v>1</v>
      </c>
      <c r="G6817" s="10" t="n">
        <v>1503</v>
      </c>
      <c r="H6817" s="10" t="n">
        <f aca="false">F6817*G6817</f>
        <v>1503</v>
      </c>
      <c r="I6817" s="6" t="s">
        <v>5125</v>
      </c>
    </row>
    <row r="6818" customFormat="false" ht="15" hidden="false" customHeight="false" outlineLevel="0" collapsed="false">
      <c r="A6818" s="6" t="s">
        <v>12042</v>
      </c>
      <c r="B6818" s="6" t="s">
        <v>1917</v>
      </c>
      <c r="C6818" s="26" t="n">
        <v>46228</v>
      </c>
      <c r="D6818" s="6" t="s">
        <v>5200</v>
      </c>
      <c r="E6818" s="6" t="s">
        <v>24</v>
      </c>
      <c r="F6818" s="6" t="n">
        <v>1</v>
      </c>
      <c r="G6818" s="10" t="n">
        <v>763</v>
      </c>
      <c r="H6818" s="10" t="n">
        <f aca="false">F6818*G6818</f>
        <v>763</v>
      </c>
      <c r="I6818" s="6" t="s">
        <v>5148</v>
      </c>
    </row>
    <row r="6819" customFormat="false" ht="15" hidden="false" customHeight="false" outlineLevel="0" collapsed="false">
      <c r="A6819" s="6" t="s">
        <v>12043</v>
      </c>
      <c r="B6819" s="6" t="s">
        <v>1493</v>
      </c>
      <c r="C6819" s="26" t="n">
        <v>46228</v>
      </c>
      <c r="D6819" s="6" t="s">
        <v>5383</v>
      </c>
      <c r="E6819" s="6" t="s">
        <v>20</v>
      </c>
      <c r="F6819" s="6" t="n">
        <v>1</v>
      </c>
      <c r="G6819" s="10" t="n">
        <v>1065</v>
      </c>
      <c r="H6819" s="10" t="n">
        <f aca="false">F6819*G6819</f>
        <v>1065</v>
      </c>
      <c r="I6819" s="6" t="s">
        <v>5125</v>
      </c>
    </row>
    <row r="6820" customFormat="false" ht="15" hidden="false" customHeight="false" outlineLevel="0" collapsed="false">
      <c r="A6820" s="6" t="s">
        <v>12044</v>
      </c>
      <c r="B6820" s="6" t="s">
        <v>3775</v>
      </c>
      <c r="C6820" s="26" t="n">
        <v>46228</v>
      </c>
      <c r="D6820" s="6" t="s">
        <v>5135</v>
      </c>
      <c r="E6820" s="6" t="s">
        <v>23</v>
      </c>
      <c r="F6820" s="6" t="n">
        <v>2</v>
      </c>
      <c r="G6820" s="10" t="n">
        <v>441</v>
      </c>
      <c r="H6820" s="10" t="n">
        <f aca="false">F6820*G6820</f>
        <v>882</v>
      </c>
      <c r="I6820" s="6" t="s">
        <v>5122</v>
      </c>
    </row>
    <row r="6821" customFormat="false" ht="15" hidden="false" customHeight="false" outlineLevel="0" collapsed="false">
      <c r="A6821" s="6" t="s">
        <v>12045</v>
      </c>
      <c r="B6821" s="6" t="s">
        <v>1201</v>
      </c>
      <c r="C6821" s="26" t="n">
        <v>46228</v>
      </c>
      <c r="D6821" s="6" t="s">
        <v>5180</v>
      </c>
      <c r="E6821" s="6" t="s">
        <v>24</v>
      </c>
      <c r="F6821" s="6" t="n">
        <v>3</v>
      </c>
      <c r="G6821" s="10" t="n">
        <v>1788</v>
      </c>
      <c r="H6821" s="10" t="n">
        <f aca="false">F6821*G6821</f>
        <v>5364</v>
      </c>
      <c r="I6821" s="6" t="s">
        <v>5122</v>
      </c>
    </row>
    <row r="6822" customFormat="false" ht="15" hidden="false" customHeight="false" outlineLevel="0" collapsed="false">
      <c r="A6822" s="6" t="s">
        <v>12046</v>
      </c>
      <c r="B6822" s="6" t="s">
        <v>3097</v>
      </c>
      <c r="C6822" s="26" t="n">
        <v>46228</v>
      </c>
      <c r="D6822" s="6" t="s">
        <v>5160</v>
      </c>
      <c r="E6822" s="6" t="s">
        <v>21</v>
      </c>
      <c r="F6822" s="6" t="n">
        <v>1</v>
      </c>
      <c r="G6822" s="10" t="n">
        <v>2614</v>
      </c>
      <c r="H6822" s="10" t="n">
        <f aca="false">F6822*G6822</f>
        <v>2614</v>
      </c>
      <c r="I6822" s="6" t="s">
        <v>5133</v>
      </c>
    </row>
    <row r="6823" customFormat="false" ht="15" hidden="false" customHeight="false" outlineLevel="0" collapsed="false">
      <c r="A6823" s="6" t="s">
        <v>12047</v>
      </c>
      <c r="B6823" s="6" t="s">
        <v>1295</v>
      </c>
      <c r="C6823" s="26" t="n">
        <v>46228</v>
      </c>
      <c r="D6823" s="6" t="s">
        <v>5141</v>
      </c>
      <c r="E6823" s="6" t="s">
        <v>20</v>
      </c>
      <c r="F6823" s="6" t="n">
        <v>1</v>
      </c>
      <c r="G6823" s="10" t="n">
        <v>1743</v>
      </c>
      <c r="H6823" s="10" t="n">
        <f aca="false">F6823*G6823</f>
        <v>1743</v>
      </c>
      <c r="I6823" s="6" t="s">
        <v>5122</v>
      </c>
    </row>
    <row r="6824" customFormat="false" ht="15" hidden="false" customHeight="false" outlineLevel="0" collapsed="false">
      <c r="A6824" s="6" t="s">
        <v>12048</v>
      </c>
      <c r="B6824" s="6" t="s">
        <v>2849</v>
      </c>
      <c r="C6824" s="26" t="n">
        <v>46228</v>
      </c>
      <c r="D6824" s="6" t="s">
        <v>5167</v>
      </c>
      <c r="E6824" s="6" t="s">
        <v>22</v>
      </c>
      <c r="F6824" s="6" t="n">
        <v>4</v>
      </c>
      <c r="G6824" s="10" t="n">
        <v>782</v>
      </c>
      <c r="H6824" s="10" t="n">
        <f aca="false">F6824*G6824</f>
        <v>3128</v>
      </c>
      <c r="I6824" s="6" t="s">
        <v>5148</v>
      </c>
    </row>
    <row r="6825" customFormat="false" ht="15" hidden="false" customHeight="false" outlineLevel="0" collapsed="false">
      <c r="A6825" s="6" t="s">
        <v>12049</v>
      </c>
      <c r="B6825" s="6" t="s">
        <v>4371</v>
      </c>
      <c r="C6825" s="26" t="n">
        <v>46228</v>
      </c>
      <c r="D6825" s="6" t="s">
        <v>5269</v>
      </c>
      <c r="E6825" s="6" t="s">
        <v>22</v>
      </c>
      <c r="F6825" s="6" t="n">
        <v>1</v>
      </c>
      <c r="G6825" s="10" t="n">
        <v>1271</v>
      </c>
      <c r="H6825" s="10" t="n">
        <f aca="false">F6825*G6825</f>
        <v>1271</v>
      </c>
      <c r="I6825" s="6" t="s">
        <v>5148</v>
      </c>
    </row>
    <row r="6826" customFormat="false" ht="15" hidden="false" customHeight="false" outlineLevel="0" collapsed="false">
      <c r="A6826" s="6" t="s">
        <v>12050</v>
      </c>
      <c r="B6826" s="6" t="s">
        <v>4759</v>
      </c>
      <c r="C6826" s="26" t="n">
        <v>46228</v>
      </c>
      <c r="D6826" s="6" t="s">
        <v>5129</v>
      </c>
      <c r="E6826" s="6" t="s">
        <v>21</v>
      </c>
      <c r="F6826" s="6" t="n">
        <v>2</v>
      </c>
      <c r="G6826" s="10" t="n">
        <v>559</v>
      </c>
      <c r="H6826" s="10" t="n">
        <f aca="false">F6826*G6826</f>
        <v>1118</v>
      </c>
      <c r="I6826" s="6" t="s">
        <v>5148</v>
      </c>
    </row>
    <row r="6827" customFormat="false" ht="15" hidden="false" customHeight="false" outlineLevel="0" collapsed="false">
      <c r="A6827" s="6" t="s">
        <v>12051</v>
      </c>
      <c r="B6827" s="6" t="s">
        <v>2361</v>
      </c>
      <c r="C6827" s="26" t="n">
        <v>46228</v>
      </c>
      <c r="D6827" s="6" t="s">
        <v>5171</v>
      </c>
      <c r="E6827" s="6" t="s">
        <v>23</v>
      </c>
      <c r="F6827" s="6" t="n">
        <v>2</v>
      </c>
      <c r="G6827" s="10" t="n">
        <v>697</v>
      </c>
      <c r="H6827" s="10" t="n">
        <f aca="false">F6827*G6827</f>
        <v>1394</v>
      </c>
      <c r="I6827" s="6" t="s">
        <v>5125</v>
      </c>
    </row>
    <row r="6828" customFormat="false" ht="15" hidden="false" customHeight="false" outlineLevel="0" collapsed="false">
      <c r="A6828" s="6" t="s">
        <v>12052</v>
      </c>
      <c r="B6828" s="6" t="s">
        <v>4011</v>
      </c>
      <c r="C6828" s="26" t="n">
        <v>46228</v>
      </c>
      <c r="D6828" s="6" t="s">
        <v>5190</v>
      </c>
      <c r="E6828" s="6" t="s">
        <v>24</v>
      </c>
      <c r="F6828" s="6" t="n">
        <v>2</v>
      </c>
      <c r="G6828" s="10" t="n">
        <v>610</v>
      </c>
      <c r="H6828" s="10" t="n">
        <f aca="false">F6828*G6828</f>
        <v>1220</v>
      </c>
      <c r="I6828" s="6" t="s">
        <v>5122</v>
      </c>
    </row>
    <row r="6829" customFormat="false" ht="15" hidden="false" customHeight="false" outlineLevel="0" collapsed="false">
      <c r="A6829" s="6" t="s">
        <v>12053</v>
      </c>
      <c r="B6829" s="6" t="s">
        <v>1993</v>
      </c>
      <c r="C6829" s="26" t="n">
        <v>46228</v>
      </c>
      <c r="D6829" s="6" t="s">
        <v>5460</v>
      </c>
      <c r="E6829" s="6" t="s">
        <v>24</v>
      </c>
      <c r="F6829" s="6" t="n">
        <v>1</v>
      </c>
      <c r="G6829" s="10" t="n">
        <v>528</v>
      </c>
      <c r="H6829" s="10" t="n">
        <f aca="false">F6829*G6829</f>
        <v>528</v>
      </c>
      <c r="I6829" s="6" t="s">
        <v>5122</v>
      </c>
    </row>
    <row r="6830" customFormat="false" ht="15" hidden="false" customHeight="false" outlineLevel="0" collapsed="false">
      <c r="A6830" s="6" t="s">
        <v>12054</v>
      </c>
      <c r="B6830" s="6" t="s">
        <v>297</v>
      </c>
      <c r="C6830" s="26" t="n">
        <v>46228</v>
      </c>
      <c r="D6830" s="6" t="s">
        <v>5167</v>
      </c>
      <c r="E6830" s="6" t="s">
        <v>22</v>
      </c>
      <c r="F6830" s="6" t="n">
        <v>1</v>
      </c>
      <c r="G6830" s="10" t="n">
        <v>743</v>
      </c>
      <c r="H6830" s="10" t="n">
        <f aca="false">F6830*G6830</f>
        <v>743</v>
      </c>
      <c r="I6830" s="6" t="s">
        <v>5122</v>
      </c>
    </row>
    <row r="6831" customFormat="false" ht="15" hidden="false" customHeight="false" outlineLevel="0" collapsed="false">
      <c r="A6831" s="6" t="s">
        <v>12055</v>
      </c>
      <c r="B6831" s="6" t="s">
        <v>599</v>
      </c>
      <c r="C6831" s="26" t="n">
        <v>46228</v>
      </c>
      <c r="D6831" s="6" t="s">
        <v>5165</v>
      </c>
      <c r="E6831" s="6" t="s">
        <v>22</v>
      </c>
      <c r="F6831" s="6" t="n">
        <v>1</v>
      </c>
      <c r="G6831" s="10" t="n">
        <v>977</v>
      </c>
      <c r="H6831" s="10" t="n">
        <f aca="false">F6831*G6831</f>
        <v>977</v>
      </c>
      <c r="I6831" s="6" t="s">
        <v>5148</v>
      </c>
    </row>
    <row r="6832" customFormat="false" ht="15" hidden="false" customHeight="false" outlineLevel="0" collapsed="false">
      <c r="A6832" s="6" t="s">
        <v>12056</v>
      </c>
      <c r="B6832" s="6" t="s">
        <v>5027</v>
      </c>
      <c r="C6832" s="26" t="n">
        <v>46228</v>
      </c>
      <c r="D6832" s="6" t="s">
        <v>5707</v>
      </c>
      <c r="E6832" s="6" t="s">
        <v>22</v>
      </c>
      <c r="F6832" s="6" t="n">
        <v>2</v>
      </c>
      <c r="G6832" s="10" t="n">
        <v>2445</v>
      </c>
      <c r="H6832" s="10" t="n">
        <f aca="false">F6832*G6832</f>
        <v>4890</v>
      </c>
      <c r="I6832" s="6" t="s">
        <v>5122</v>
      </c>
    </row>
    <row r="6833" customFormat="false" ht="15" hidden="false" customHeight="false" outlineLevel="0" collapsed="false">
      <c r="A6833" s="6" t="s">
        <v>12057</v>
      </c>
      <c r="B6833" s="6" t="s">
        <v>475</v>
      </c>
      <c r="C6833" s="26" t="n">
        <v>46228</v>
      </c>
      <c r="D6833" s="6" t="s">
        <v>5121</v>
      </c>
      <c r="E6833" s="6" t="s">
        <v>22</v>
      </c>
      <c r="F6833" s="6" t="n">
        <v>4</v>
      </c>
      <c r="G6833" s="10" t="n">
        <v>977</v>
      </c>
      <c r="H6833" s="10" t="n">
        <f aca="false">F6833*G6833</f>
        <v>3908</v>
      </c>
      <c r="I6833" s="6" t="s">
        <v>5122</v>
      </c>
    </row>
    <row r="6834" customFormat="false" ht="15" hidden="false" customHeight="false" outlineLevel="0" collapsed="false">
      <c r="A6834" s="6" t="s">
        <v>12058</v>
      </c>
      <c r="B6834" s="6" t="s">
        <v>2955</v>
      </c>
      <c r="C6834" s="26" t="n">
        <v>46228</v>
      </c>
      <c r="D6834" s="6" t="s">
        <v>5167</v>
      </c>
      <c r="E6834" s="6" t="s">
        <v>22</v>
      </c>
      <c r="F6834" s="6" t="n">
        <v>2</v>
      </c>
      <c r="G6834" s="10" t="n">
        <v>743</v>
      </c>
      <c r="H6834" s="10" t="n">
        <f aca="false">F6834*G6834</f>
        <v>1486</v>
      </c>
      <c r="I6834" s="6" t="s">
        <v>5148</v>
      </c>
    </row>
    <row r="6835" customFormat="false" ht="15" hidden="false" customHeight="false" outlineLevel="0" collapsed="false">
      <c r="A6835" s="6" t="s">
        <v>12059</v>
      </c>
      <c r="B6835" s="6" t="s">
        <v>3829</v>
      </c>
      <c r="C6835" s="26" t="n">
        <v>46228</v>
      </c>
      <c r="D6835" s="6" t="s">
        <v>5353</v>
      </c>
      <c r="E6835" s="6" t="s">
        <v>24</v>
      </c>
      <c r="F6835" s="6" t="n">
        <v>3</v>
      </c>
      <c r="G6835" s="10" t="n">
        <v>1629</v>
      </c>
      <c r="H6835" s="10" t="n">
        <f aca="false">F6835*G6835</f>
        <v>4887</v>
      </c>
      <c r="I6835" s="6" t="s">
        <v>5130</v>
      </c>
    </row>
    <row r="6836" customFormat="false" ht="15" hidden="false" customHeight="false" outlineLevel="0" collapsed="false">
      <c r="A6836" s="6" t="s">
        <v>12060</v>
      </c>
      <c r="B6836" s="6" t="s">
        <v>3199</v>
      </c>
      <c r="C6836" s="26" t="n">
        <v>46228</v>
      </c>
      <c r="D6836" s="6" t="s">
        <v>5200</v>
      </c>
      <c r="E6836" s="6" t="s">
        <v>24</v>
      </c>
      <c r="F6836" s="6" t="n">
        <v>4</v>
      </c>
      <c r="G6836" s="10" t="n">
        <v>763</v>
      </c>
      <c r="H6836" s="10" t="n">
        <f aca="false">F6836*G6836</f>
        <v>3052</v>
      </c>
      <c r="I6836" s="6" t="s">
        <v>5125</v>
      </c>
    </row>
    <row r="6837" customFormat="false" ht="15" hidden="false" customHeight="false" outlineLevel="0" collapsed="false">
      <c r="A6837" s="6" t="s">
        <v>12061</v>
      </c>
      <c r="B6837" s="6" t="s">
        <v>4389</v>
      </c>
      <c r="C6837" s="26" t="n">
        <v>46228</v>
      </c>
      <c r="D6837" s="6" t="s">
        <v>5167</v>
      </c>
      <c r="E6837" s="6" t="s">
        <v>22</v>
      </c>
      <c r="F6837" s="6" t="n">
        <v>3</v>
      </c>
      <c r="G6837" s="10" t="n">
        <v>703</v>
      </c>
      <c r="H6837" s="10" t="n">
        <f aca="false">F6837*G6837</f>
        <v>2109</v>
      </c>
      <c r="I6837" s="6" t="s">
        <v>5148</v>
      </c>
    </row>
    <row r="6838" customFormat="false" ht="15" hidden="false" customHeight="false" outlineLevel="0" collapsed="false">
      <c r="A6838" s="6" t="s">
        <v>12062</v>
      </c>
      <c r="B6838" s="6" t="s">
        <v>100</v>
      </c>
      <c r="C6838" s="26" t="n">
        <v>46228</v>
      </c>
      <c r="D6838" s="6" t="s">
        <v>5145</v>
      </c>
      <c r="E6838" s="6" t="s">
        <v>21</v>
      </c>
      <c r="F6838" s="6" t="n">
        <v>1</v>
      </c>
      <c r="G6838" s="10" t="n">
        <v>1277</v>
      </c>
      <c r="H6838" s="10" t="n">
        <f aca="false">F6838*G6838</f>
        <v>1277</v>
      </c>
      <c r="I6838" s="6" t="s">
        <v>5148</v>
      </c>
    </row>
    <row r="6839" customFormat="false" ht="15" hidden="false" customHeight="false" outlineLevel="0" collapsed="false">
      <c r="A6839" s="6" t="s">
        <v>12063</v>
      </c>
      <c r="B6839" s="6" t="s">
        <v>613</v>
      </c>
      <c r="C6839" s="26" t="n">
        <v>46228</v>
      </c>
      <c r="D6839" s="6" t="s">
        <v>5216</v>
      </c>
      <c r="E6839" s="6" t="s">
        <v>23</v>
      </c>
      <c r="F6839" s="6" t="n">
        <v>2</v>
      </c>
      <c r="G6839" s="10" t="n">
        <v>587</v>
      </c>
      <c r="H6839" s="10" t="n">
        <f aca="false">F6839*G6839</f>
        <v>1174</v>
      </c>
      <c r="I6839" s="6" t="s">
        <v>5130</v>
      </c>
    </row>
    <row r="6840" customFormat="false" ht="15" hidden="false" customHeight="false" outlineLevel="0" collapsed="false">
      <c r="A6840" s="6" t="s">
        <v>12064</v>
      </c>
      <c r="B6840" s="6" t="s">
        <v>655</v>
      </c>
      <c r="C6840" s="26" t="n">
        <v>46228</v>
      </c>
      <c r="D6840" s="6" t="s">
        <v>5190</v>
      </c>
      <c r="E6840" s="6" t="s">
        <v>24</v>
      </c>
      <c r="F6840" s="6" t="n">
        <v>1</v>
      </c>
      <c r="G6840" s="10" t="n">
        <v>610</v>
      </c>
      <c r="H6840" s="10" t="n">
        <f aca="false">F6840*G6840</f>
        <v>610</v>
      </c>
      <c r="I6840" s="6" t="s">
        <v>5125</v>
      </c>
    </row>
    <row r="6841" customFormat="false" ht="15" hidden="false" customHeight="false" outlineLevel="0" collapsed="false">
      <c r="A6841" s="6" t="s">
        <v>12065</v>
      </c>
      <c r="B6841" s="6" t="s">
        <v>1693</v>
      </c>
      <c r="C6841" s="26" t="n">
        <v>46228</v>
      </c>
      <c r="D6841" s="6" t="s">
        <v>5167</v>
      </c>
      <c r="E6841" s="6" t="s">
        <v>22</v>
      </c>
      <c r="F6841" s="6" t="n">
        <v>1</v>
      </c>
      <c r="G6841" s="10" t="n">
        <v>781</v>
      </c>
      <c r="H6841" s="10" t="n">
        <f aca="false">F6841*G6841</f>
        <v>781</v>
      </c>
      <c r="I6841" s="6" t="s">
        <v>5133</v>
      </c>
    </row>
    <row r="6842" customFormat="false" ht="15" hidden="false" customHeight="false" outlineLevel="0" collapsed="false">
      <c r="A6842" s="6" t="s">
        <v>12066</v>
      </c>
      <c r="B6842" s="6" t="s">
        <v>1103</v>
      </c>
      <c r="C6842" s="26" t="n">
        <v>46228</v>
      </c>
      <c r="D6842" s="6" t="s">
        <v>5154</v>
      </c>
      <c r="E6842" s="6" t="s">
        <v>21</v>
      </c>
      <c r="F6842" s="6" t="n">
        <v>2</v>
      </c>
      <c r="G6842" s="10" t="n">
        <v>785</v>
      </c>
      <c r="H6842" s="10" t="n">
        <f aca="false">F6842*G6842</f>
        <v>1570</v>
      </c>
      <c r="I6842" s="6" t="s">
        <v>5130</v>
      </c>
    </row>
    <row r="6843" customFormat="false" ht="15" hidden="false" customHeight="false" outlineLevel="0" collapsed="false">
      <c r="A6843" s="6" t="s">
        <v>12067</v>
      </c>
      <c r="B6843" s="6" t="s">
        <v>849</v>
      </c>
      <c r="C6843" s="26" t="n">
        <v>46228</v>
      </c>
      <c r="D6843" s="6" t="s">
        <v>5121</v>
      </c>
      <c r="E6843" s="6" t="s">
        <v>22</v>
      </c>
      <c r="F6843" s="6" t="n">
        <v>1</v>
      </c>
      <c r="G6843" s="10" t="n">
        <v>977</v>
      </c>
      <c r="H6843" s="10" t="n">
        <f aca="false">F6843*G6843</f>
        <v>977</v>
      </c>
      <c r="I6843" s="6" t="s">
        <v>5122</v>
      </c>
    </row>
    <row r="6844" customFormat="false" ht="15" hidden="false" customHeight="false" outlineLevel="0" collapsed="false">
      <c r="A6844" s="6" t="s">
        <v>12068</v>
      </c>
      <c r="B6844" s="6" t="s">
        <v>5055</v>
      </c>
      <c r="C6844" s="26" t="n">
        <v>46228</v>
      </c>
      <c r="D6844" s="6" t="s">
        <v>5163</v>
      </c>
      <c r="E6844" s="6" t="s">
        <v>23</v>
      </c>
      <c r="F6844" s="6" t="n">
        <v>1</v>
      </c>
      <c r="G6844" s="10" t="n">
        <v>783</v>
      </c>
      <c r="H6844" s="10" t="n">
        <f aca="false">F6844*G6844</f>
        <v>783</v>
      </c>
      <c r="I6844" s="6" t="s">
        <v>5122</v>
      </c>
    </row>
    <row r="6845" customFormat="false" ht="15" hidden="false" customHeight="false" outlineLevel="0" collapsed="false">
      <c r="A6845" s="6" t="s">
        <v>12069</v>
      </c>
      <c r="B6845" s="6" t="s">
        <v>4969</v>
      </c>
      <c r="C6845" s="26" t="n">
        <v>46228</v>
      </c>
      <c r="D6845" s="6" t="s">
        <v>5458</v>
      </c>
      <c r="E6845" s="6" t="s">
        <v>24</v>
      </c>
      <c r="F6845" s="6" t="n">
        <v>2</v>
      </c>
      <c r="G6845" s="10" t="n">
        <v>531</v>
      </c>
      <c r="H6845" s="10" t="n">
        <f aca="false">F6845*G6845</f>
        <v>1062</v>
      </c>
      <c r="I6845" s="6" t="s">
        <v>5122</v>
      </c>
    </row>
    <row r="6846" customFormat="false" ht="15" hidden="false" customHeight="false" outlineLevel="0" collapsed="false">
      <c r="A6846" s="6" t="s">
        <v>12070</v>
      </c>
      <c r="B6846" s="6" t="s">
        <v>4207</v>
      </c>
      <c r="C6846" s="26" t="n">
        <v>46228</v>
      </c>
      <c r="D6846" s="6" t="s">
        <v>5807</v>
      </c>
      <c r="E6846" s="6" t="s">
        <v>20</v>
      </c>
      <c r="F6846" s="6" t="n">
        <v>1</v>
      </c>
      <c r="G6846" s="10" t="n">
        <v>15296</v>
      </c>
      <c r="H6846" s="10" t="n">
        <f aca="false">F6846*G6846</f>
        <v>15296</v>
      </c>
      <c r="I6846" s="6" t="s">
        <v>5125</v>
      </c>
    </row>
    <row r="6847" customFormat="false" ht="15" hidden="false" customHeight="false" outlineLevel="0" collapsed="false">
      <c r="A6847" s="6" t="s">
        <v>12071</v>
      </c>
      <c r="B6847" s="6" t="s">
        <v>4003</v>
      </c>
      <c r="C6847" s="26" t="n">
        <v>46228</v>
      </c>
      <c r="D6847" s="6" t="s">
        <v>5169</v>
      </c>
      <c r="E6847" s="6" t="s">
        <v>20</v>
      </c>
      <c r="F6847" s="6" t="n">
        <v>1</v>
      </c>
      <c r="G6847" s="10" t="n">
        <v>5098</v>
      </c>
      <c r="H6847" s="10" t="n">
        <f aca="false">F6847*G6847</f>
        <v>5098</v>
      </c>
      <c r="I6847" s="6" t="s">
        <v>5130</v>
      </c>
    </row>
    <row r="6848" customFormat="false" ht="15" hidden="false" customHeight="false" outlineLevel="0" collapsed="false">
      <c r="A6848" s="6" t="s">
        <v>12072</v>
      </c>
      <c r="B6848" s="6" t="s">
        <v>1869</v>
      </c>
      <c r="C6848" s="26" t="n">
        <v>46228</v>
      </c>
      <c r="D6848" s="6" t="s">
        <v>5124</v>
      </c>
      <c r="E6848" s="6" t="s">
        <v>21</v>
      </c>
      <c r="F6848" s="6" t="n">
        <v>2</v>
      </c>
      <c r="G6848" s="10" t="n">
        <v>3439</v>
      </c>
      <c r="H6848" s="10" t="n">
        <f aca="false">F6848*G6848</f>
        <v>6878</v>
      </c>
      <c r="I6848" s="6" t="s">
        <v>5130</v>
      </c>
    </row>
    <row r="6849" customFormat="false" ht="15" hidden="false" customHeight="false" outlineLevel="0" collapsed="false">
      <c r="A6849" s="6" t="s">
        <v>12073</v>
      </c>
      <c r="B6849" s="6" t="s">
        <v>533</v>
      </c>
      <c r="C6849" s="26" t="n">
        <v>46228</v>
      </c>
      <c r="D6849" s="6" t="s">
        <v>5242</v>
      </c>
      <c r="E6849" s="6" t="s">
        <v>23</v>
      </c>
      <c r="F6849" s="6" t="n">
        <v>3</v>
      </c>
      <c r="G6849" s="10" t="n">
        <v>335</v>
      </c>
      <c r="H6849" s="10" t="n">
        <f aca="false">F6849*G6849</f>
        <v>1005</v>
      </c>
      <c r="I6849" s="6" t="s">
        <v>5125</v>
      </c>
    </row>
    <row r="6850" customFormat="false" ht="15" hidden="false" customHeight="false" outlineLevel="0" collapsed="false">
      <c r="A6850" s="6" t="s">
        <v>12074</v>
      </c>
      <c r="B6850" s="6" t="s">
        <v>3485</v>
      </c>
      <c r="C6850" s="26" t="n">
        <v>46228</v>
      </c>
      <c r="D6850" s="6" t="s">
        <v>5129</v>
      </c>
      <c r="E6850" s="6" t="s">
        <v>21</v>
      </c>
      <c r="F6850" s="6" t="n">
        <v>1</v>
      </c>
      <c r="G6850" s="10" t="n">
        <v>589</v>
      </c>
      <c r="H6850" s="10" t="n">
        <f aca="false">F6850*G6850</f>
        <v>589</v>
      </c>
      <c r="I6850" s="6" t="s">
        <v>5122</v>
      </c>
    </row>
    <row r="6851" customFormat="false" ht="15" hidden="false" customHeight="false" outlineLevel="0" collapsed="false">
      <c r="A6851" s="6" t="s">
        <v>12075</v>
      </c>
      <c r="B6851" s="6" t="s">
        <v>4305</v>
      </c>
      <c r="C6851" s="26" t="n">
        <v>46228</v>
      </c>
      <c r="D6851" s="6" t="s">
        <v>5303</v>
      </c>
      <c r="E6851" s="6" t="s">
        <v>22</v>
      </c>
      <c r="F6851" s="6" t="n">
        <v>1</v>
      </c>
      <c r="G6851" s="10" t="n">
        <v>2445</v>
      </c>
      <c r="H6851" s="10" t="n">
        <f aca="false">F6851*G6851</f>
        <v>2445</v>
      </c>
      <c r="I6851" s="6" t="s">
        <v>5125</v>
      </c>
    </row>
    <row r="6852" customFormat="false" ht="15" hidden="false" customHeight="false" outlineLevel="0" collapsed="false">
      <c r="A6852" s="6" t="s">
        <v>12076</v>
      </c>
      <c r="B6852" s="6" t="s">
        <v>370</v>
      </c>
      <c r="C6852" s="26" t="n">
        <v>46228</v>
      </c>
      <c r="D6852" s="6" t="s">
        <v>5202</v>
      </c>
      <c r="E6852" s="6" t="s">
        <v>23</v>
      </c>
      <c r="F6852" s="6" t="n">
        <v>4</v>
      </c>
      <c r="G6852" s="10" t="n">
        <v>220</v>
      </c>
      <c r="H6852" s="10" t="n">
        <f aca="false">F6852*G6852</f>
        <v>880</v>
      </c>
      <c r="I6852" s="6" t="s">
        <v>5122</v>
      </c>
    </row>
    <row r="6853" customFormat="false" ht="15" hidden="false" customHeight="false" outlineLevel="0" collapsed="false">
      <c r="A6853" s="6" t="s">
        <v>12077</v>
      </c>
      <c r="B6853" s="6" t="s">
        <v>2089</v>
      </c>
      <c r="C6853" s="26" t="n">
        <v>46228</v>
      </c>
      <c r="D6853" s="6" t="s">
        <v>5182</v>
      </c>
      <c r="E6853" s="6" t="s">
        <v>23</v>
      </c>
      <c r="F6853" s="6" t="n">
        <v>3</v>
      </c>
      <c r="G6853" s="10" t="n">
        <v>367</v>
      </c>
      <c r="H6853" s="10" t="n">
        <f aca="false">F6853*G6853</f>
        <v>1101</v>
      </c>
      <c r="I6853" s="6" t="s">
        <v>5122</v>
      </c>
    </row>
    <row r="6854" customFormat="false" ht="15" hidden="false" customHeight="false" outlineLevel="0" collapsed="false">
      <c r="A6854" s="6" t="s">
        <v>12078</v>
      </c>
      <c r="B6854" s="6" t="s">
        <v>4795</v>
      </c>
      <c r="C6854" s="26" t="n">
        <v>46229</v>
      </c>
      <c r="D6854" s="6" t="s">
        <v>5237</v>
      </c>
      <c r="E6854" s="6" t="s">
        <v>24</v>
      </c>
      <c r="F6854" s="6" t="n">
        <v>3</v>
      </c>
      <c r="G6854" s="10" t="n">
        <v>1741</v>
      </c>
      <c r="H6854" s="10" t="n">
        <f aca="false">F6854*G6854</f>
        <v>5223</v>
      </c>
      <c r="I6854" s="6" t="s">
        <v>5148</v>
      </c>
    </row>
    <row r="6855" customFormat="false" ht="15" hidden="false" customHeight="false" outlineLevel="0" collapsed="false">
      <c r="A6855" s="6" t="s">
        <v>12079</v>
      </c>
      <c r="B6855" s="6" t="s">
        <v>3267</v>
      </c>
      <c r="C6855" s="26" t="n">
        <v>46229</v>
      </c>
      <c r="D6855" s="6" t="s">
        <v>5318</v>
      </c>
      <c r="E6855" s="6" t="s">
        <v>20</v>
      </c>
      <c r="F6855" s="6" t="n">
        <v>1</v>
      </c>
      <c r="G6855" s="10" t="n">
        <v>1529</v>
      </c>
      <c r="H6855" s="10" t="n">
        <f aca="false">F6855*G6855</f>
        <v>1529</v>
      </c>
      <c r="I6855" s="6" t="s">
        <v>5122</v>
      </c>
    </row>
    <row r="6856" customFormat="false" ht="15" hidden="false" customHeight="false" outlineLevel="0" collapsed="false">
      <c r="A6856" s="6" t="s">
        <v>12080</v>
      </c>
      <c r="B6856" s="6" t="s">
        <v>1601</v>
      </c>
      <c r="C6856" s="26" t="n">
        <v>46229</v>
      </c>
      <c r="D6856" s="6" t="s">
        <v>5163</v>
      </c>
      <c r="E6856" s="6" t="s">
        <v>23</v>
      </c>
      <c r="F6856" s="6" t="n">
        <v>4</v>
      </c>
      <c r="G6856" s="10" t="n">
        <v>783</v>
      </c>
      <c r="H6856" s="10" t="n">
        <f aca="false">F6856*G6856</f>
        <v>3132</v>
      </c>
      <c r="I6856" s="6" t="s">
        <v>5122</v>
      </c>
    </row>
    <row r="6857" customFormat="false" ht="15" hidden="false" customHeight="false" outlineLevel="0" collapsed="false">
      <c r="A6857" s="6" t="s">
        <v>12081</v>
      </c>
      <c r="B6857" s="6" t="s">
        <v>2485</v>
      </c>
      <c r="C6857" s="26" t="n">
        <v>46229</v>
      </c>
      <c r="D6857" s="6" t="s">
        <v>5156</v>
      </c>
      <c r="E6857" s="6" t="s">
        <v>21</v>
      </c>
      <c r="F6857" s="6" t="n">
        <v>1</v>
      </c>
      <c r="G6857" s="10" t="n">
        <v>2161</v>
      </c>
      <c r="H6857" s="10" t="n">
        <f aca="false">F6857*G6857</f>
        <v>2161</v>
      </c>
      <c r="I6857" s="6" t="s">
        <v>5130</v>
      </c>
    </row>
    <row r="6858" customFormat="false" ht="15" hidden="false" customHeight="false" outlineLevel="0" collapsed="false">
      <c r="A6858" s="6" t="s">
        <v>12082</v>
      </c>
      <c r="B6858" s="6" t="s">
        <v>4221</v>
      </c>
      <c r="C6858" s="26" t="n">
        <v>46229</v>
      </c>
      <c r="D6858" s="6" t="s">
        <v>5216</v>
      </c>
      <c r="E6858" s="6" t="s">
        <v>23</v>
      </c>
      <c r="F6858" s="6" t="n">
        <v>1</v>
      </c>
      <c r="G6858" s="10" t="n">
        <v>558</v>
      </c>
      <c r="H6858" s="10" t="n">
        <f aca="false">F6858*G6858</f>
        <v>558</v>
      </c>
      <c r="I6858" s="6" t="s">
        <v>5130</v>
      </c>
    </row>
    <row r="6859" customFormat="false" ht="15" hidden="false" customHeight="false" outlineLevel="0" collapsed="false">
      <c r="A6859" s="6" t="s">
        <v>12083</v>
      </c>
      <c r="B6859" s="6" t="s">
        <v>4535</v>
      </c>
      <c r="C6859" s="26" t="n">
        <v>46229</v>
      </c>
      <c r="D6859" s="6" t="s">
        <v>5124</v>
      </c>
      <c r="E6859" s="6" t="s">
        <v>21</v>
      </c>
      <c r="F6859" s="6" t="n">
        <v>2</v>
      </c>
      <c r="G6859" s="10" t="n">
        <v>3439</v>
      </c>
      <c r="H6859" s="10" t="n">
        <f aca="false">F6859*G6859</f>
        <v>6878</v>
      </c>
      <c r="I6859" s="6" t="s">
        <v>5148</v>
      </c>
    </row>
    <row r="6860" customFormat="false" ht="15" hidden="false" customHeight="false" outlineLevel="0" collapsed="false">
      <c r="A6860" s="6" t="s">
        <v>12084</v>
      </c>
      <c r="B6860" s="6" t="s">
        <v>463</v>
      </c>
      <c r="C6860" s="26" t="n">
        <v>46229</v>
      </c>
      <c r="D6860" s="6" t="s">
        <v>5167</v>
      </c>
      <c r="E6860" s="6" t="s">
        <v>22</v>
      </c>
      <c r="F6860" s="6" t="n">
        <v>3</v>
      </c>
      <c r="G6860" s="10" t="n">
        <v>782</v>
      </c>
      <c r="H6860" s="10" t="n">
        <f aca="false">F6860*G6860</f>
        <v>2346</v>
      </c>
      <c r="I6860" s="6" t="s">
        <v>5122</v>
      </c>
    </row>
    <row r="6861" customFormat="false" ht="15" hidden="false" customHeight="false" outlineLevel="0" collapsed="false">
      <c r="A6861" s="6" t="s">
        <v>12085</v>
      </c>
      <c r="B6861" s="6" t="s">
        <v>665</v>
      </c>
      <c r="C6861" s="26" t="n">
        <v>46229</v>
      </c>
      <c r="D6861" s="6" t="s">
        <v>5357</v>
      </c>
      <c r="E6861" s="6" t="s">
        <v>23</v>
      </c>
      <c r="F6861" s="6" t="n">
        <v>3</v>
      </c>
      <c r="G6861" s="10" t="n">
        <v>481</v>
      </c>
      <c r="H6861" s="10" t="n">
        <f aca="false">F6861*G6861</f>
        <v>1443</v>
      </c>
      <c r="I6861" s="6" t="s">
        <v>5122</v>
      </c>
    </row>
    <row r="6862" customFormat="false" ht="15" hidden="false" customHeight="false" outlineLevel="0" collapsed="false">
      <c r="A6862" s="6" t="s">
        <v>12086</v>
      </c>
      <c r="B6862" s="6" t="s">
        <v>733</v>
      </c>
      <c r="C6862" s="26" t="n">
        <v>46229</v>
      </c>
      <c r="D6862" s="6" t="s">
        <v>5127</v>
      </c>
      <c r="E6862" s="6" t="s">
        <v>21</v>
      </c>
      <c r="F6862" s="6" t="n">
        <v>1</v>
      </c>
      <c r="G6862" s="10" t="n">
        <v>839</v>
      </c>
      <c r="H6862" s="10" t="n">
        <f aca="false">F6862*G6862</f>
        <v>839</v>
      </c>
      <c r="I6862" s="6" t="s">
        <v>5133</v>
      </c>
    </row>
    <row r="6863" customFormat="false" ht="15" hidden="false" customHeight="false" outlineLevel="0" collapsed="false">
      <c r="A6863" s="6" t="s">
        <v>12087</v>
      </c>
      <c r="B6863" s="6" t="s">
        <v>3389</v>
      </c>
      <c r="C6863" s="26" t="n">
        <v>46229</v>
      </c>
      <c r="D6863" s="6" t="s">
        <v>5171</v>
      </c>
      <c r="E6863" s="6" t="s">
        <v>23</v>
      </c>
      <c r="F6863" s="6" t="n">
        <v>1</v>
      </c>
      <c r="G6863" s="10" t="n">
        <v>733</v>
      </c>
      <c r="H6863" s="10" t="n">
        <f aca="false">F6863*G6863</f>
        <v>733</v>
      </c>
      <c r="I6863" s="6" t="s">
        <v>5148</v>
      </c>
    </row>
    <row r="6864" customFormat="false" ht="15" hidden="false" customHeight="false" outlineLevel="0" collapsed="false">
      <c r="A6864" s="6" t="s">
        <v>12088</v>
      </c>
      <c r="B6864" s="6" t="s">
        <v>202</v>
      </c>
      <c r="C6864" s="26" t="n">
        <v>46229</v>
      </c>
      <c r="D6864" s="6" t="s">
        <v>5150</v>
      </c>
      <c r="E6864" s="6" t="s">
        <v>24</v>
      </c>
      <c r="F6864" s="6" t="n">
        <v>1</v>
      </c>
      <c r="G6864" s="10" t="n">
        <v>483</v>
      </c>
      <c r="H6864" s="10" t="n">
        <f aca="false">F6864*G6864</f>
        <v>483</v>
      </c>
      <c r="I6864" s="6" t="s">
        <v>5122</v>
      </c>
    </row>
    <row r="6865" customFormat="false" ht="15" hidden="false" customHeight="false" outlineLevel="0" collapsed="false">
      <c r="A6865" s="6" t="s">
        <v>12089</v>
      </c>
      <c r="B6865" s="6" t="s">
        <v>1125</v>
      </c>
      <c r="C6865" s="26" t="n">
        <v>46229</v>
      </c>
      <c r="D6865" s="6" t="s">
        <v>5163</v>
      </c>
      <c r="E6865" s="6" t="s">
        <v>23</v>
      </c>
      <c r="F6865" s="6" t="n">
        <v>5</v>
      </c>
      <c r="G6865" s="10" t="n">
        <v>705</v>
      </c>
      <c r="H6865" s="10" t="n">
        <f aca="false">F6865*G6865</f>
        <v>3525</v>
      </c>
      <c r="I6865" s="6" t="s">
        <v>5122</v>
      </c>
    </row>
    <row r="6866" customFormat="false" ht="15" hidden="false" customHeight="false" outlineLevel="0" collapsed="false">
      <c r="A6866" s="6" t="s">
        <v>12090</v>
      </c>
      <c r="B6866" s="6" t="s">
        <v>1835</v>
      </c>
      <c r="C6866" s="26" t="n">
        <v>46229</v>
      </c>
      <c r="D6866" s="6" t="s">
        <v>5132</v>
      </c>
      <c r="E6866" s="6" t="s">
        <v>23</v>
      </c>
      <c r="F6866" s="6" t="n">
        <v>5</v>
      </c>
      <c r="G6866" s="10" t="n">
        <v>342</v>
      </c>
      <c r="H6866" s="10" t="n">
        <f aca="false">F6866*G6866</f>
        <v>1710</v>
      </c>
      <c r="I6866" s="6" t="s">
        <v>5125</v>
      </c>
    </row>
    <row r="6867" customFormat="false" ht="15" hidden="false" customHeight="false" outlineLevel="0" collapsed="false">
      <c r="A6867" s="6" t="s">
        <v>12091</v>
      </c>
      <c r="B6867" s="6" t="s">
        <v>3041</v>
      </c>
      <c r="C6867" s="26" t="n">
        <v>46229</v>
      </c>
      <c r="D6867" s="6" t="s">
        <v>5160</v>
      </c>
      <c r="E6867" s="6" t="s">
        <v>21</v>
      </c>
      <c r="F6867" s="6" t="n">
        <v>1</v>
      </c>
      <c r="G6867" s="10" t="n">
        <v>2751</v>
      </c>
      <c r="H6867" s="10" t="n">
        <f aca="false">F6867*G6867</f>
        <v>2751</v>
      </c>
      <c r="I6867" s="6" t="s">
        <v>5130</v>
      </c>
    </row>
    <row r="6868" customFormat="false" ht="15" hidden="false" customHeight="false" outlineLevel="0" collapsed="false">
      <c r="A6868" s="6" t="s">
        <v>12092</v>
      </c>
      <c r="B6868" s="6" t="s">
        <v>4759</v>
      </c>
      <c r="C6868" s="26" t="n">
        <v>46229</v>
      </c>
      <c r="D6868" s="6" t="s">
        <v>5171</v>
      </c>
      <c r="E6868" s="6" t="s">
        <v>23</v>
      </c>
      <c r="F6868" s="6" t="n">
        <v>1</v>
      </c>
      <c r="G6868" s="10" t="n">
        <v>660</v>
      </c>
      <c r="H6868" s="10" t="n">
        <f aca="false">F6868*G6868</f>
        <v>660</v>
      </c>
      <c r="I6868" s="6" t="s">
        <v>5130</v>
      </c>
    </row>
    <row r="6869" customFormat="false" ht="15" hidden="false" customHeight="false" outlineLevel="0" collapsed="false">
      <c r="A6869" s="6" t="s">
        <v>12093</v>
      </c>
      <c r="B6869" s="6" t="s">
        <v>2597</v>
      </c>
      <c r="C6869" s="26" t="n">
        <v>46229</v>
      </c>
      <c r="D6869" s="6" t="s">
        <v>5163</v>
      </c>
      <c r="E6869" s="6" t="s">
        <v>23</v>
      </c>
      <c r="F6869" s="6" t="n">
        <v>1</v>
      </c>
      <c r="G6869" s="10" t="n">
        <v>782</v>
      </c>
      <c r="H6869" s="10" t="n">
        <f aca="false">F6869*G6869</f>
        <v>782</v>
      </c>
      <c r="I6869" s="6" t="s">
        <v>5148</v>
      </c>
    </row>
    <row r="6870" customFormat="false" ht="15" hidden="false" customHeight="false" outlineLevel="0" collapsed="false">
      <c r="A6870" s="6" t="s">
        <v>12094</v>
      </c>
      <c r="B6870" s="6" t="s">
        <v>4235</v>
      </c>
      <c r="C6870" s="26" t="n">
        <v>46229</v>
      </c>
      <c r="D6870" s="6" t="s">
        <v>5488</v>
      </c>
      <c r="E6870" s="6" t="s">
        <v>24</v>
      </c>
      <c r="F6870" s="6" t="n">
        <v>2</v>
      </c>
      <c r="G6870" s="10" t="n">
        <v>866</v>
      </c>
      <c r="H6870" s="10" t="n">
        <f aca="false">F6870*G6870</f>
        <v>1732</v>
      </c>
      <c r="I6870" s="6" t="s">
        <v>5122</v>
      </c>
    </row>
    <row r="6871" customFormat="false" ht="15" hidden="false" customHeight="false" outlineLevel="0" collapsed="false">
      <c r="A6871" s="6" t="s">
        <v>12095</v>
      </c>
      <c r="B6871" s="6" t="s">
        <v>2735</v>
      </c>
      <c r="C6871" s="26" t="n">
        <v>46229</v>
      </c>
      <c r="D6871" s="6" t="s">
        <v>5167</v>
      </c>
      <c r="E6871" s="6" t="s">
        <v>22</v>
      </c>
      <c r="F6871" s="6" t="n">
        <v>1</v>
      </c>
      <c r="G6871" s="10" t="n">
        <v>703</v>
      </c>
      <c r="H6871" s="10" t="n">
        <f aca="false">F6871*G6871</f>
        <v>703</v>
      </c>
      <c r="I6871" s="6" t="s">
        <v>5122</v>
      </c>
    </row>
    <row r="6872" customFormat="false" ht="15" hidden="false" customHeight="false" outlineLevel="0" collapsed="false">
      <c r="A6872" s="6" t="s">
        <v>12096</v>
      </c>
      <c r="B6872" s="6" t="s">
        <v>4239</v>
      </c>
      <c r="C6872" s="26" t="n">
        <v>46229</v>
      </c>
      <c r="D6872" s="6" t="s">
        <v>5167</v>
      </c>
      <c r="E6872" s="6" t="s">
        <v>22</v>
      </c>
      <c r="F6872" s="6" t="n">
        <v>1</v>
      </c>
      <c r="G6872" s="10" t="n">
        <v>782</v>
      </c>
      <c r="H6872" s="10" t="n">
        <f aca="false">F6872*G6872</f>
        <v>782</v>
      </c>
      <c r="I6872" s="6" t="s">
        <v>5130</v>
      </c>
    </row>
    <row r="6873" customFormat="false" ht="15" hidden="false" customHeight="false" outlineLevel="0" collapsed="false">
      <c r="A6873" s="6" t="s">
        <v>12097</v>
      </c>
      <c r="B6873" s="6" t="s">
        <v>3183</v>
      </c>
      <c r="C6873" s="26" t="n">
        <v>46229</v>
      </c>
      <c r="D6873" s="6" t="s">
        <v>5165</v>
      </c>
      <c r="E6873" s="6" t="s">
        <v>22</v>
      </c>
      <c r="F6873" s="6" t="n">
        <v>2</v>
      </c>
      <c r="G6873" s="10" t="n">
        <v>977</v>
      </c>
      <c r="H6873" s="10" t="n">
        <f aca="false">F6873*G6873</f>
        <v>1954</v>
      </c>
      <c r="I6873" s="6" t="s">
        <v>5122</v>
      </c>
    </row>
    <row r="6874" customFormat="false" ht="15" hidden="false" customHeight="false" outlineLevel="0" collapsed="false">
      <c r="A6874" s="6" t="s">
        <v>12098</v>
      </c>
      <c r="B6874" s="6" t="s">
        <v>3111</v>
      </c>
      <c r="C6874" s="26" t="n">
        <v>46229</v>
      </c>
      <c r="D6874" s="6" t="s">
        <v>5129</v>
      </c>
      <c r="E6874" s="6" t="s">
        <v>21</v>
      </c>
      <c r="F6874" s="6" t="n">
        <v>1</v>
      </c>
      <c r="G6874" s="10" t="n">
        <v>559</v>
      </c>
      <c r="H6874" s="10" t="n">
        <f aca="false">F6874*G6874</f>
        <v>559</v>
      </c>
      <c r="I6874" s="6" t="s">
        <v>5122</v>
      </c>
    </row>
    <row r="6875" customFormat="false" ht="15" hidden="false" customHeight="false" outlineLevel="0" collapsed="false">
      <c r="A6875" s="6" t="s">
        <v>12099</v>
      </c>
      <c r="B6875" s="6" t="s">
        <v>4159</v>
      </c>
      <c r="C6875" s="26" t="n">
        <v>46229</v>
      </c>
      <c r="D6875" s="6" t="s">
        <v>5171</v>
      </c>
      <c r="E6875" s="6" t="s">
        <v>23</v>
      </c>
      <c r="F6875" s="6" t="n">
        <v>3</v>
      </c>
      <c r="G6875" s="10" t="n">
        <v>734</v>
      </c>
      <c r="H6875" s="10" t="n">
        <f aca="false">F6875*G6875</f>
        <v>2202</v>
      </c>
      <c r="I6875" s="6" t="s">
        <v>5130</v>
      </c>
    </row>
    <row r="6876" customFormat="false" ht="15" hidden="false" customHeight="false" outlineLevel="0" collapsed="false">
      <c r="A6876" s="6" t="s">
        <v>12100</v>
      </c>
      <c r="B6876" s="6" t="s">
        <v>182</v>
      </c>
      <c r="C6876" s="26" t="n">
        <v>46229</v>
      </c>
      <c r="D6876" s="6" t="s">
        <v>5207</v>
      </c>
      <c r="E6876" s="6" t="s">
        <v>20</v>
      </c>
      <c r="F6876" s="6" t="n">
        <v>1</v>
      </c>
      <c r="G6876" s="10" t="n">
        <v>1192</v>
      </c>
      <c r="H6876" s="10" t="n">
        <f aca="false">F6876*G6876</f>
        <v>1192</v>
      </c>
      <c r="I6876" s="6" t="s">
        <v>5148</v>
      </c>
    </row>
    <row r="6877" customFormat="false" ht="15" hidden="false" customHeight="false" outlineLevel="0" collapsed="false">
      <c r="A6877" s="6" t="s">
        <v>12101</v>
      </c>
      <c r="B6877" s="6" t="s">
        <v>3711</v>
      </c>
      <c r="C6877" s="26" t="n">
        <v>46229</v>
      </c>
      <c r="D6877" s="6" t="s">
        <v>5163</v>
      </c>
      <c r="E6877" s="6" t="s">
        <v>23</v>
      </c>
      <c r="F6877" s="6" t="n">
        <v>3</v>
      </c>
      <c r="G6877" s="10" t="n">
        <v>705</v>
      </c>
      <c r="H6877" s="10" t="n">
        <f aca="false">F6877*G6877</f>
        <v>2115</v>
      </c>
      <c r="I6877" s="6" t="s">
        <v>5173</v>
      </c>
    </row>
    <row r="6878" customFormat="false" ht="15" hidden="false" customHeight="false" outlineLevel="0" collapsed="false">
      <c r="A6878" s="6" t="s">
        <v>12102</v>
      </c>
      <c r="B6878" s="6" t="s">
        <v>2687</v>
      </c>
      <c r="C6878" s="26" t="n">
        <v>46229</v>
      </c>
      <c r="D6878" s="6" t="s">
        <v>5188</v>
      </c>
      <c r="E6878" s="6" t="s">
        <v>24</v>
      </c>
      <c r="F6878" s="6" t="n">
        <v>1</v>
      </c>
      <c r="G6878" s="10" t="n">
        <v>1018</v>
      </c>
      <c r="H6878" s="10" t="n">
        <f aca="false">F6878*G6878</f>
        <v>1018</v>
      </c>
      <c r="I6878" s="6" t="s">
        <v>5130</v>
      </c>
    </row>
    <row r="6879" customFormat="false" ht="15" hidden="false" customHeight="false" outlineLevel="0" collapsed="false">
      <c r="A6879" s="6" t="s">
        <v>12103</v>
      </c>
      <c r="B6879" s="6" t="s">
        <v>1309</v>
      </c>
      <c r="C6879" s="26" t="n">
        <v>46229</v>
      </c>
      <c r="D6879" s="6" t="s">
        <v>5171</v>
      </c>
      <c r="E6879" s="6" t="s">
        <v>23</v>
      </c>
      <c r="F6879" s="6" t="n">
        <v>1</v>
      </c>
      <c r="G6879" s="10" t="n">
        <v>733</v>
      </c>
      <c r="H6879" s="10" t="n">
        <f aca="false">F6879*G6879</f>
        <v>733</v>
      </c>
      <c r="I6879" s="6" t="s">
        <v>5122</v>
      </c>
    </row>
    <row r="6880" customFormat="false" ht="15" hidden="false" customHeight="false" outlineLevel="0" collapsed="false">
      <c r="A6880" s="6" t="s">
        <v>12104</v>
      </c>
      <c r="B6880" s="6" t="s">
        <v>4625</v>
      </c>
      <c r="C6880" s="26" t="n">
        <v>46229</v>
      </c>
      <c r="D6880" s="6" t="s">
        <v>5561</v>
      </c>
      <c r="E6880" s="6" t="s">
        <v>20</v>
      </c>
      <c r="F6880" s="6" t="n">
        <v>1</v>
      </c>
      <c r="G6880" s="10" t="n">
        <v>3364</v>
      </c>
      <c r="H6880" s="10" t="n">
        <f aca="false">F6880*G6880</f>
        <v>3364</v>
      </c>
      <c r="I6880" s="6" t="s">
        <v>5148</v>
      </c>
    </row>
    <row r="6881" customFormat="false" ht="15" hidden="false" customHeight="false" outlineLevel="0" collapsed="false">
      <c r="A6881" s="6" t="s">
        <v>12105</v>
      </c>
      <c r="B6881" s="6" t="s">
        <v>527</v>
      </c>
      <c r="C6881" s="26" t="n">
        <v>46229</v>
      </c>
      <c r="D6881" s="6" t="s">
        <v>5345</v>
      </c>
      <c r="E6881" s="6" t="s">
        <v>23</v>
      </c>
      <c r="F6881" s="6" t="n">
        <v>2</v>
      </c>
      <c r="G6881" s="10" t="n">
        <v>414</v>
      </c>
      <c r="H6881" s="10" t="n">
        <f aca="false">F6881*G6881</f>
        <v>828</v>
      </c>
      <c r="I6881" s="6" t="s">
        <v>5148</v>
      </c>
    </row>
    <row r="6882" customFormat="false" ht="15" hidden="false" customHeight="false" outlineLevel="0" collapsed="false">
      <c r="A6882" s="6" t="s">
        <v>12106</v>
      </c>
      <c r="B6882" s="6" t="s">
        <v>3757</v>
      </c>
      <c r="C6882" s="26" t="n">
        <v>46229</v>
      </c>
      <c r="D6882" s="6" t="s">
        <v>5158</v>
      </c>
      <c r="E6882" s="6" t="s">
        <v>24</v>
      </c>
      <c r="F6882" s="6" t="n">
        <v>1</v>
      </c>
      <c r="G6882" s="10" t="n">
        <v>411</v>
      </c>
      <c r="H6882" s="10" t="n">
        <f aca="false">F6882*G6882</f>
        <v>411</v>
      </c>
      <c r="I6882" s="6" t="s">
        <v>5148</v>
      </c>
    </row>
    <row r="6883" customFormat="false" ht="15" hidden="false" customHeight="false" outlineLevel="0" collapsed="false">
      <c r="A6883" s="6" t="s">
        <v>12107</v>
      </c>
      <c r="B6883" s="6" t="s">
        <v>200</v>
      </c>
      <c r="C6883" s="26" t="n">
        <v>46229</v>
      </c>
      <c r="D6883" s="6" t="s">
        <v>5257</v>
      </c>
      <c r="E6883" s="6" t="s">
        <v>22</v>
      </c>
      <c r="F6883" s="6" t="n">
        <v>1</v>
      </c>
      <c r="G6883" s="10" t="n">
        <v>2248</v>
      </c>
      <c r="H6883" s="10" t="n">
        <f aca="false">F6883*G6883</f>
        <v>2248</v>
      </c>
      <c r="I6883" s="6" t="s">
        <v>5148</v>
      </c>
    </row>
    <row r="6884" customFormat="false" ht="15" hidden="false" customHeight="false" outlineLevel="0" collapsed="false">
      <c r="A6884" s="6" t="s">
        <v>12108</v>
      </c>
      <c r="B6884" s="6" t="s">
        <v>1891</v>
      </c>
      <c r="C6884" s="26" t="n">
        <v>46229</v>
      </c>
      <c r="D6884" s="6" t="s">
        <v>5316</v>
      </c>
      <c r="E6884" s="6" t="s">
        <v>23</v>
      </c>
      <c r="F6884" s="6" t="n">
        <v>3</v>
      </c>
      <c r="G6884" s="10" t="n">
        <v>260</v>
      </c>
      <c r="H6884" s="10" t="n">
        <f aca="false">F6884*G6884</f>
        <v>780</v>
      </c>
      <c r="I6884" s="6" t="s">
        <v>5148</v>
      </c>
    </row>
    <row r="6885" customFormat="false" ht="15" hidden="false" customHeight="false" outlineLevel="0" collapsed="false">
      <c r="A6885" s="6" t="s">
        <v>12109</v>
      </c>
      <c r="B6885" s="6" t="s">
        <v>3721</v>
      </c>
      <c r="C6885" s="26" t="n">
        <v>46229</v>
      </c>
      <c r="D6885" s="6" t="s">
        <v>5163</v>
      </c>
      <c r="E6885" s="6" t="s">
        <v>23</v>
      </c>
      <c r="F6885" s="6" t="n">
        <v>3</v>
      </c>
      <c r="G6885" s="10" t="n">
        <v>705</v>
      </c>
      <c r="H6885" s="10" t="n">
        <f aca="false">F6885*G6885</f>
        <v>2115</v>
      </c>
      <c r="I6885" s="6" t="s">
        <v>5133</v>
      </c>
    </row>
    <row r="6886" customFormat="false" ht="15" hidden="false" customHeight="false" outlineLevel="0" collapsed="false">
      <c r="A6886" s="6" t="s">
        <v>12110</v>
      </c>
      <c r="B6886" s="6" t="s">
        <v>4461</v>
      </c>
      <c r="C6886" s="26" t="n">
        <v>46229</v>
      </c>
      <c r="D6886" s="6" t="s">
        <v>5167</v>
      </c>
      <c r="E6886" s="6" t="s">
        <v>22</v>
      </c>
      <c r="F6886" s="6" t="n">
        <v>1</v>
      </c>
      <c r="G6886" s="10" t="n">
        <v>782</v>
      </c>
      <c r="H6886" s="10" t="n">
        <f aca="false">F6886*G6886</f>
        <v>782</v>
      </c>
      <c r="I6886" s="6" t="s">
        <v>5130</v>
      </c>
    </row>
    <row r="6887" customFormat="false" ht="15" hidden="false" customHeight="false" outlineLevel="0" collapsed="false">
      <c r="A6887" s="6" t="s">
        <v>12111</v>
      </c>
      <c r="B6887" s="6" t="s">
        <v>2427</v>
      </c>
      <c r="C6887" s="26" t="n">
        <v>46229</v>
      </c>
      <c r="D6887" s="6" t="s">
        <v>5163</v>
      </c>
      <c r="E6887" s="6" t="s">
        <v>23</v>
      </c>
      <c r="F6887" s="6" t="n">
        <v>1</v>
      </c>
      <c r="G6887" s="10" t="n">
        <v>705</v>
      </c>
      <c r="H6887" s="10" t="n">
        <f aca="false">F6887*G6887</f>
        <v>705</v>
      </c>
      <c r="I6887" s="6" t="s">
        <v>5122</v>
      </c>
    </row>
    <row r="6888" customFormat="false" ht="15" hidden="false" customHeight="false" outlineLevel="0" collapsed="false">
      <c r="A6888" s="6" t="s">
        <v>12112</v>
      </c>
      <c r="B6888" s="6" t="s">
        <v>4173</v>
      </c>
      <c r="C6888" s="26" t="n">
        <v>46229</v>
      </c>
      <c r="D6888" s="6" t="s">
        <v>5423</v>
      </c>
      <c r="E6888" s="6" t="s">
        <v>21</v>
      </c>
      <c r="F6888" s="6" t="n">
        <v>2</v>
      </c>
      <c r="G6888" s="10" t="n">
        <v>2918</v>
      </c>
      <c r="H6888" s="10" t="n">
        <f aca="false">F6888*G6888</f>
        <v>5836</v>
      </c>
      <c r="I6888" s="6" t="s">
        <v>5122</v>
      </c>
    </row>
    <row r="6889" customFormat="false" ht="15" hidden="false" customHeight="false" outlineLevel="0" collapsed="false">
      <c r="A6889" s="6" t="s">
        <v>12113</v>
      </c>
      <c r="B6889" s="6" t="s">
        <v>1345</v>
      </c>
      <c r="C6889" s="26" t="n">
        <v>46229</v>
      </c>
      <c r="D6889" s="6" t="s">
        <v>5383</v>
      </c>
      <c r="E6889" s="6" t="s">
        <v>20</v>
      </c>
      <c r="F6889" s="6" t="n">
        <v>1</v>
      </c>
      <c r="G6889" s="10" t="n">
        <v>1065</v>
      </c>
      <c r="H6889" s="10" t="n">
        <f aca="false">F6889*G6889</f>
        <v>1065</v>
      </c>
      <c r="I6889" s="6" t="s">
        <v>5125</v>
      </c>
    </row>
    <row r="6890" customFormat="false" ht="15" hidden="false" customHeight="false" outlineLevel="0" collapsed="false">
      <c r="A6890" s="6" t="s">
        <v>12114</v>
      </c>
      <c r="B6890" s="6" t="s">
        <v>925</v>
      </c>
      <c r="C6890" s="26" t="n">
        <v>46229</v>
      </c>
      <c r="D6890" s="6" t="s">
        <v>5269</v>
      </c>
      <c r="E6890" s="6" t="s">
        <v>22</v>
      </c>
      <c r="F6890" s="6" t="n">
        <v>3</v>
      </c>
      <c r="G6890" s="10" t="n">
        <v>1271</v>
      </c>
      <c r="H6890" s="10" t="n">
        <f aca="false">F6890*G6890</f>
        <v>3813</v>
      </c>
      <c r="I6890" s="6" t="s">
        <v>5125</v>
      </c>
    </row>
    <row r="6891" customFormat="false" ht="15" hidden="false" customHeight="false" outlineLevel="0" collapsed="false">
      <c r="A6891" s="6" t="s">
        <v>12115</v>
      </c>
      <c r="B6891" s="6" t="s">
        <v>4201</v>
      </c>
      <c r="C6891" s="26" t="n">
        <v>46229</v>
      </c>
      <c r="D6891" s="6" t="s">
        <v>5281</v>
      </c>
      <c r="E6891" s="6" t="s">
        <v>24</v>
      </c>
      <c r="F6891" s="6" t="n">
        <v>1</v>
      </c>
      <c r="G6891" s="10" t="n">
        <v>814</v>
      </c>
      <c r="H6891" s="10" t="n">
        <f aca="false">F6891*G6891</f>
        <v>814</v>
      </c>
      <c r="I6891" s="6" t="s">
        <v>5122</v>
      </c>
    </row>
    <row r="6892" customFormat="false" ht="15" hidden="false" customHeight="false" outlineLevel="0" collapsed="false">
      <c r="A6892" s="6" t="s">
        <v>12116</v>
      </c>
      <c r="B6892" s="6" t="s">
        <v>933</v>
      </c>
      <c r="C6892" s="26" t="n">
        <v>46229</v>
      </c>
      <c r="D6892" s="6" t="s">
        <v>5127</v>
      </c>
      <c r="E6892" s="6" t="s">
        <v>21</v>
      </c>
      <c r="F6892" s="6" t="n">
        <v>1</v>
      </c>
      <c r="G6892" s="10" t="n">
        <v>795</v>
      </c>
      <c r="H6892" s="10" t="n">
        <f aca="false">F6892*G6892</f>
        <v>795</v>
      </c>
      <c r="I6892" s="6" t="s">
        <v>5173</v>
      </c>
    </row>
    <row r="6893" customFormat="false" ht="15" hidden="false" customHeight="false" outlineLevel="0" collapsed="false">
      <c r="A6893" s="6" t="s">
        <v>12117</v>
      </c>
      <c r="B6893" s="6" t="s">
        <v>4819</v>
      </c>
      <c r="C6893" s="26" t="n">
        <v>46229</v>
      </c>
      <c r="D6893" s="6" t="s">
        <v>5522</v>
      </c>
      <c r="E6893" s="6" t="s">
        <v>21</v>
      </c>
      <c r="F6893" s="6" t="n">
        <v>1</v>
      </c>
      <c r="G6893" s="10" t="n">
        <v>12777</v>
      </c>
      <c r="H6893" s="10" t="n">
        <f aca="false">F6893*G6893</f>
        <v>12777</v>
      </c>
      <c r="I6893" s="6" t="s">
        <v>5148</v>
      </c>
    </row>
    <row r="6894" customFormat="false" ht="15" hidden="false" customHeight="false" outlineLevel="0" collapsed="false">
      <c r="A6894" s="6" t="s">
        <v>12118</v>
      </c>
      <c r="B6894" s="6" t="s">
        <v>2367</v>
      </c>
      <c r="C6894" s="26" t="n">
        <v>46229</v>
      </c>
      <c r="D6894" s="6" t="s">
        <v>5167</v>
      </c>
      <c r="E6894" s="6" t="s">
        <v>22</v>
      </c>
      <c r="F6894" s="6" t="n">
        <v>1</v>
      </c>
      <c r="G6894" s="10" t="n">
        <v>782</v>
      </c>
      <c r="H6894" s="10" t="n">
        <f aca="false">F6894*G6894</f>
        <v>782</v>
      </c>
      <c r="I6894" s="6" t="s">
        <v>5130</v>
      </c>
    </row>
    <row r="6895" customFormat="false" ht="15" hidden="false" customHeight="false" outlineLevel="0" collapsed="false">
      <c r="A6895" s="6" t="s">
        <v>12119</v>
      </c>
      <c r="B6895" s="6" t="s">
        <v>1517</v>
      </c>
      <c r="C6895" s="26" t="n">
        <v>46229</v>
      </c>
      <c r="D6895" s="6" t="s">
        <v>5588</v>
      </c>
      <c r="E6895" s="6" t="s">
        <v>21</v>
      </c>
      <c r="F6895" s="6" t="n">
        <v>2</v>
      </c>
      <c r="G6895" s="10" t="n">
        <v>11794</v>
      </c>
      <c r="H6895" s="10" t="n">
        <f aca="false">F6895*G6895</f>
        <v>23588</v>
      </c>
      <c r="I6895" s="6" t="s">
        <v>5122</v>
      </c>
    </row>
    <row r="6896" customFormat="false" ht="15" hidden="false" customHeight="false" outlineLevel="0" collapsed="false">
      <c r="A6896" s="6" t="s">
        <v>12120</v>
      </c>
      <c r="B6896" s="6" t="s">
        <v>3695</v>
      </c>
      <c r="C6896" s="26" t="n">
        <v>46229</v>
      </c>
      <c r="D6896" s="6" t="s">
        <v>5127</v>
      </c>
      <c r="E6896" s="6" t="s">
        <v>21</v>
      </c>
      <c r="F6896" s="6" t="n">
        <v>1</v>
      </c>
      <c r="G6896" s="10" t="n">
        <v>795</v>
      </c>
      <c r="H6896" s="10" t="n">
        <f aca="false">F6896*G6896</f>
        <v>795</v>
      </c>
      <c r="I6896" s="6" t="s">
        <v>5130</v>
      </c>
    </row>
    <row r="6897" customFormat="false" ht="15" hidden="false" customHeight="false" outlineLevel="0" collapsed="false">
      <c r="A6897" s="6" t="s">
        <v>12121</v>
      </c>
      <c r="B6897" s="6" t="s">
        <v>1279</v>
      </c>
      <c r="C6897" s="26" t="n">
        <v>46229</v>
      </c>
      <c r="D6897" s="6" t="s">
        <v>5139</v>
      </c>
      <c r="E6897" s="6" t="s">
        <v>23</v>
      </c>
      <c r="F6897" s="6" t="n">
        <v>3</v>
      </c>
      <c r="G6897" s="10" t="n">
        <v>279</v>
      </c>
      <c r="H6897" s="10" t="n">
        <f aca="false">F6897*G6897</f>
        <v>837</v>
      </c>
      <c r="I6897" s="6" t="s">
        <v>5122</v>
      </c>
    </row>
    <row r="6898" customFormat="false" ht="15" hidden="false" customHeight="false" outlineLevel="0" collapsed="false">
      <c r="A6898" s="6" t="s">
        <v>12122</v>
      </c>
      <c r="B6898" s="6" t="s">
        <v>1041</v>
      </c>
      <c r="C6898" s="26" t="n">
        <v>46229</v>
      </c>
      <c r="D6898" s="6" t="s">
        <v>5169</v>
      </c>
      <c r="E6898" s="6" t="s">
        <v>20</v>
      </c>
      <c r="F6898" s="6" t="n">
        <v>1</v>
      </c>
      <c r="G6898" s="10" t="n">
        <v>5098</v>
      </c>
      <c r="H6898" s="10" t="n">
        <f aca="false">F6898*G6898</f>
        <v>5098</v>
      </c>
      <c r="I6898" s="6" t="s">
        <v>5130</v>
      </c>
    </row>
    <row r="6899" customFormat="false" ht="15" hidden="false" customHeight="false" outlineLevel="0" collapsed="false">
      <c r="A6899" s="6" t="s">
        <v>12123</v>
      </c>
      <c r="B6899" s="6" t="s">
        <v>3209</v>
      </c>
      <c r="C6899" s="26" t="n">
        <v>46230</v>
      </c>
      <c r="D6899" s="6" t="s">
        <v>5261</v>
      </c>
      <c r="E6899" s="6" t="s">
        <v>23</v>
      </c>
      <c r="F6899" s="6" t="n">
        <v>2</v>
      </c>
      <c r="G6899" s="10" t="n">
        <v>175</v>
      </c>
      <c r="H6899" s="10" t="n">
        <f aca="false">F6899*G6899</f>
        <v>350</v>
      </c>
      <c r="I6899" s="6" t="s">
        <v>5122</v>
      </c>
    </row>
    <row r="6900" customFormat="false" ht="15" hidden="false" customHeight="false" outlineLevel="0" collapsed="false">
      <c r="A6900" s="6" t="s">
        <v>12124</v>
      </c>
      <c r="B6900" s="6" t="s">
        <v>2123</v>
      </c>
      <c r="C6900" s="26" t="n">
        <v>46230</v>
      </c>
      <c r="D6900" s="6" t="s">
        <v>5466</v>
      </c>
      <c r="E6900" s="6" t="s">
        <v>21</v>
      </c>
      <c r="F6900" s="6" t="n">
        <v>1</v>
      </c>
      <c r="G6900" s="10" t="n">
        <v>1965</v>
      </c>
      <c r="H6900" s="10" t="n">
        <f aca="false">F6900*G6900</f>
        <v>1965</v>
      </c>
      <c r="I6900" s="6" t="s">
        <v>5125</v>
      </c>
    </row>
    <row r="6901" customFormat="false" ht="15" hidden="false" customHeight="false" outlineLevel="0" collapsed="false">
      <c r="A6901" s="6" t="s">
        <v>12125</v>
      </c>
      <c r="B6901" s="6" t="s">
        <v>3103</v>
      </c>
      <c r="C6901" s="26" t="n">
        <v>46230</v>
      </c>
      <c r="D6901" s="6" t="s">
        <v>5132</v>
      </c>
      <c r="E6901" s="6" t="s">
        <v>23</v>
      </c>
      <c r="F6901" s="6" t="n">
        <v>3</v>
      </c>
      <c r="G6901" s="10" t="n">
        <v>342</v>
      </c>
      <c r="H6901" s="10" t="n">
        <f aca="false">F6901*G6901</f>
        <v>1026</v>
      </c>
      <c r="I6901" s="6" t="s">
        <v>5122</v>
      </c>
    </row>
    <row r="6902" customFormat="false" ht="15" hidden="false" customHeight="false" outlineLevel="0" collapsed="false">
      <c r="A6902" s="6" t="s">
        <v>12126</v>
      </c>
      <c r="B6902" s="6" t="s">
        <v>1259</v>
      </c>
      <c r="C6902" s="26" t="n">
        <v>46230</v>
      </c>
      <c r="D6902" s="6" t="s">
        <v>5152</v>
      </c>
      <c r="E6902" s="6" t="s">
        <v>22</v>
      </c>
      <c r="F6902" s="6" t="n">
        <v>1</v>
      </c>
      <c r="G6902" s="10" t="n">
        <v>1584</v>
      </c>
      <c r="H6902" s="10" t="n">
        <f aca="false">F6902*G6902</f>
        <v>1584</v>
      </c>
      <c r="I6902" s="6" t="s">
        <v>5125</v>
      </c>
    </row>
    <row r="6903" customFormat="false" ht="15" hidden="false" customHeight="false" outlineLevel="0" collapsed="false">
      <c r="A6903" s="6" t="s">
        <v>12127</v>
      </c>
      <c r="B6903" s="6" t="s">
        <v>5001</v>
      </c>
      <c r="C6903" s="26" t="n">
        <v>46230</v>
      </c>
      <c r="D6903" s="6" t="s">
        <v>5147</v>
      </c>
      <c r="E6903" s="6" t="s">
        <v>24</v>
      </c>
      <c r="F6903" s="6" t="n">
        <v>3</v>
      </c>
      <c r="G6903" s="10" t="n">
        <v>595</v>
      </c>
      <c r="H6903" s="10" t="n">
        <f aca="false">F6903*G6903</f>
        <v>1785</v>
      </c>
      <c r="I6903" s="6" t="s">
        <v>5173</v>
      </c>
    </row>
    <row r="6904" customFormat="false" ht="15" hidden="false" customHeight="false" outlineLevel="0" collapsed="false">
      <c r="A6904" s="6" t="s">
        <v>12128</v>
      </c>
      <c r="B6904" s="6" t="s">
        <v>4761</v>
      </c>
      <c r="C6904" s="26" t="n">
        <v>46230</v>
      </c>
      <c r="D6904" s="6" t="s">
        <v>5318</v>
      </c>
      <c r="E6904" s="6" t="s">
        <v>20</v>
      </c>
      <c r="F6904" s="6" t="n">
        <v>1</v>
      </c>
      <c r="G6904" s="10" t="n">
        <v>1529</v>
      </c>
      <c r="H6904" s="10" t="n">
        <f aca="false">F6904*G6904</f>
        <v>1529</v>
      </c>
      <c r="I6904" s="6" t="s">
        <v>5122</v>
      </c>
    </row>
    <row r="6905" customFormat="false" ht="15" hidden="false" customHeight="false" outlineLevel="0" collapsed="false">
      <c r="A6905" s="6" t="s">
        <v>12129</v>
      </c>
      <c r="B6905" s="6" t="s">
        <v>1721</v>
      </c>
      <c r="C6905" s="26" t="n">
        <v>46230</v>
      </c>
      <c r="D6905" s="6" t="s">
        <v>5458</v>
      </c>
      <c r="E6905" s="6" t="s">
        <v>24</v>
      </c>
      <c r="F6905" s="6" t="n">
        <v>4</v>
      </c>
      <c r="G6905" s="10" t="n">
        <v>503</v>
      </c>
      <c r="H6905" s="10" t="n">
        <f aca="false">F6905*G6905</f>
        <v>2012</v>
      </c>
      <c r="I6905" s="6" t="s">
        <v>5122</v>
      </c>
    </row>
    <row r="6906" customFormat="false" ht="15" hidden="false" customHeight="false" outlineLevel="0" collapsed="false">
      <c r="A6906" s="6" t="s">
        <v>12130</v>
      </c>
      <c r="B6906" s="6" t="s">
        <v>1017</v>
      </c>
      <c r="C6906" s="26" t="n">
        <v>46230</v>
      </c>
      <c r="D6906" s="6" t="s">
        <v>5345</v>
      </c>
      <c r="E6906" s="6" t="s">
        <v>23</v>
      </c>
      <c r="F6906" s="6" t="n">
        <v>1</v>
      </c>
      <c r="G6906" s="10" t="n">
        <v>436</v>
      </c>
      <c r="H6906" s="10" t="n">
        <f aca="false">F6906*G6906</f>
        <v>436</v>
      </c>
      <c r="I6906" s="6" t="s">
        <v>5148</v>
      </c>
    </row>
    <row r="6907" customFormat="false" ht="15" hidden="false" customHeight="false" outlineLevel="0" collapsed="false">
      <c r="A6907" s="6" t="s">
        <v>12131</v>
      </c>
      <c r="B6907" s="6" t="s">
        <v>2209</v>
      </c>
      <c r="C6907" s="26" t="n">
        <v>46230</v>
      </c>
      <c r="D6907" s="6" t="s">
        <v>5167</v>
      </c>
      <c r="E6907" s="6" t="s">
        <v>22</v>
      </c>
      <c r="F6907" s="6" t="n">
        <v>2</v>
      </c>
      <c r="G6907" s="10" t="n">
        <v>782</v>
      </c>
      <c r="H6907" s="10" t="n">
        <f aca="false">F6907*G6907</f>
        <v>1564</v>
      </c>
      <c r="I6907" s="6" t="s">
        <v>5122</v>
      </c>
    </row>
    <row r="6908" customFormat="false" ht="15" hidden="false" customHeight="false" outlineLevel="0" collapsed="false">
      <c r="A6908" s="6" t="s">
        <v>12132</v>
      </c>
      <c r="B6908" s="6" t="s">
        <v>4247</v>
      </c>
      <c r="C6908" s="26" t="n">
        <v>46230</v>
      </c>
      <c r="D6908" s="6" t="s">
        <v>5154</v>
      </c>
      <c r="E6908" s="6" t="s">
        <v>21</v>
      </c>
      <c r="F6908" s="6" t="n">
        <v>1</v>
      </c>
      <c r="G6908" s="10" t="n">
        <v>746</v>
      </c>
      <c r="H6908" s="10" t="n">
        <f aca="false">F6908*G6908</f>
        <v>746</v>
      </c>
      <c r="I6908" s="6" t="s">
        <v>5122</v>
      </c>
    </row>
    <row r="6909" customFormat="false" ht="15" hidden="false" customHeight="false" outlineLevel="0" collapsed="false">
      <c r="A6909" s="6" t="s">
        <v>12133</v>
      </c>
      <c r="B6909" s="6" t="s">
        <v>3563</v>
      </c>
      <c r="C6909" s="26" t="n">
        <v>46230</v>
      </c>
      <c r="D6909" s="6" t="s">
        <v>5127</v>
      </c>
      <c r="E6909" s="6" t="s">
        <v>21</v>
      </c>
      <c r="F6909" s="6" t="n">
        <v>2</v>
      </c>
      <c r="G6909" s="10" t="n">
        <v>884</v>
      </c>
      <c r="H6909" s="10" t="n">
        <f aca="false">F6909*G6909</f>
        <v>1768</v>
      </c>
      <c r="I6909" s="6" t="s">
        <v>5130</v>
      </c>
    </row>
    <row r="6910" customFormat="false" ht="15" hidden="false" customHeight="false" outlineLevel="0" collapsed="false">
      <c r="A6910" s="6" t="s">
        <v>12134</v>
      </c>
      <c r="B6910" s="6" t="s">
        <v>4839</v>
      </c>
      <c r="C6910" s="26" t="n">
        <v>46230</v>
      </c>
      <c r="D6910" s="6" t="s">
        <v>5150</v>
      </c>
      <c r="E6910" s="6" t="s">
        <v>24</v>
      </c>
      <c r="F6910" s="6" t="n">
        <v>1</v>
      </c>
      <c r="G6910" s="10" t="n">
        <v>459</v>
      </c>
      <c r="H6910" s="10" t="n">
        <f aca="false">F6910*G6910</f>
        <v>459</v>
      </c>
      <c r="I6910" s="6" t="s">
        <v>5125</v>
      </c>
    </row>
    <row r="6911" customFormat="false" ht="15" hidden="false" customHeight="false" outlineLevel="0" collapsed="false">
      <c r="A6911" s="6" t="s">
        <v>12135</v>
      </c>
      <c r="B6911" s="6" t="s">
        <v>4645</v>
      </c>
      <c r="C6911" s="26" t="n">
        <v>46230</v>
      </c>
      <c r="D6911" s="6" t="s">
        <v>5482</v>
      </c>
      <c r="E6911" s="6" t="s">
        <v>23</v>
      </c>
      <c r="F6911" s="6" t="n">
        <v>3</v>
      </c>
      <c r="G6911" s="10" t="n">
        <v>269</v>
      </c>
      <c r="H6911" s="10" t="n">
        <f aca="false">F6911*G6911</f>
        <v>807</v>
      </c>
      <c r="I6911" s="6" t="s">
        <v>5133</v>
      </c>
    </row>
    <row r="6912" customFormat="false" ht="15" hidden="false" customHeight="false" outlineLevel="0" collapsed="false">
      <c r="A6912" s="6" t="s">
        <v>12136</v>
      </c>
      <c r="B6912" s="6" t="s">
        <v>1095</v>
      </c>
      <c r="C6912" s="26" t="n">
        <v>46230</v>
      </c>
      <c r="D6912" s="6" t="s">
        <v>5121</v>
      </c>
      <c r="E6912" s="6" t="s">
        <v>22</v>
      </c>
      <c r="F6912" s="6" t="n">
        <v>2</v>
      </c>
      <c r="G6912" s="10" t="n">
        <v>928</v>
      </c>
      <c r="H6912" s="10" t="n">
        <f aca="false">F6912*G6912</f>
        <v>1856</v>
      </c>
      <c r="I6912" s="6" t="s">
        <v>5122</v>
      </c>
    </row>
    <row r="6913" customFormat="false" ht="15" hidden="false" customHeight="false" outlineLevel="0" collapsed="false">
      <c r="A6913" s="6" t="s">
        <v>12137</v>
      </c>
      <c r="B6913" s="6" t="s">
        <v>3011</v>
      </c>
      <c r="C6913" s="26" t="n">
        <v>46230</v>
      </c>
      <c r="D6913" s="6" t="s">
        <v>5482</v>
      </c>
      <c r="E6913" s="6" t="s">
        <v>23</v>
      </c>
      <c r="F6913" s="6" t="n">
        <v>5</v>
      </c>
      <c r="G6913" s="10" t="n">
        <v>269</v>
      </c>
      <c r="H6913" s="10" t="n">
        <f aca="false">F6913*G6913</f>
        <v>1345</v>
      </c>
      <c r="I6913" s="6" t="s">
        <v>5122</v>
      </c>
    </row>
    <row r="6914" customFormat="false" ht="15" hidden="false" customHeight="false" outlineLevel="0" collapsed="false">
      <c r="A6914" s="6" t="s">
        <v>12138</v>
      </c>
      <c r="B6914" s="6" t="s">
        <v>1073</v>
      </c>
      <c r="C6914" s="26" t="n">
        <v>46230</v>
      </c>
      <c r="D6914" s="6" t="s">
        <v>5167</v>
      </c>
      <c r="E6914" s="6" t="s">
        <v>22</v>
      </c>
      <c r="F6914" s="6" t="n">
        <v>1</v>
      </c>
      <c r="G6914" s="10" t="n">
        <v>781</v>
      </c>
      <c r="H6914" s="10" t="n">
        <f aca="false">F6914*G6914</f>
        <v>781</v>
      </c>
      <c r="I6914" s="6" t="s">
        <v>5122</v>
      </c>
    </row>
    <row r="6915" customFormat="false" ht="15" hidden="false" customHeight="false" outlineLevel="0" collapsed="false">
      <c r="A6915" s="6" t="s">
        <v>12139</v>
      </c>
      <c r="B6915" s="6" t="s">
        <v>637</v>
      </c>
      <c r="C6915" s="26" t="n">
        <v>46230</v>
      </c>
      <c r="D6915" s="6" t="s">
        <v>5353</v>
      </c>
      <c r="E6915" s="6" t="s">
        <v>24</v>
      </c>
      <c r="F6915" s="6" t="n">
        <v>1</v>
      </c>
      <c r="G6915" s="10" t="n">
        <v>1466</v>
      </c>
      <c r="H6915" s="10" t="n">
        <f aca="false">F6915*G6915</f>
        <v>1466</v>
      </c>
      <c r="I6915" s="6" t="s">
        <v>5125</v>
      </c>
    </row>
    <row r="6916" customFormat="false" ht="15" hidden="false" customHeight="false" outlineLevel="0" collapsed="false">
      <c r="A6916" s="6" t="s">
        <v>12140</v>
      </c>
      <c r="B6916" s="6" t="s">
        <v>1527</v>
      </c>
      <c r="C6916" s="26" t="n">
        <v>46230</v>
      </c>
      <c r="D6916" s="6" t="s">
        <v>5121</v>
      </c>
      <c r="E6916" s="6" t="s">
        <v>22</v>
      </c>
      <c r="F6916" s="6" t="n">
        <v>2</v>
      </c>
      <c r="G6916" s="10" t="n">
        <v>977</v>
      </c>
      <c r="H6916" s="10" t="n">
        <f aca="false">F6916*G6916</f>
        <v>1954</v>
      </c>
      <c r="I6916" s="6" t="s">
        <v>5148</v>
      </c>
    </row>
    <row r="6917" customFormat="false" ht="15" hidden="false" customHeight="false" outlineLevel="0" collapsed="false">
      <c r="A6917" s="6" t="s">
        <v>12141</v>
      </c>
      <c r="B6917" s="6" t="s">
        <v>4109</v>
      </c>
      <c r="C6917" s="26" t="n">
        <v>46230</v>
      </c>
      <c r="D6917" s="6" t="s">
        <v>5235</v>
      </c>
      <c r="E6917" s="6" t="s">
        <v>21</v>
      </c>
      <c r="F6917" s="6" t="n">
        <v>1</v>
      </c>
      <c r="G6917" s="10" t="n">
        <v>1503</v>
      </c>
      <c r="H6917" s="10" t="n">
        <f aca="false">F6917*G6917</f>
        <v>1503</v>
      </c>
      <c r="I6917" s="6" t="s">
        <v>5122</v>
      </c>
    </row>
    <row r="6918" customFormat="false" ht="15" hidden="false" customHeight="false" outlineLevel="0" collapsed="false">
      <c r="A6918" s="6" t="s">
        <v>12142</v>
      </c>
      <c r="B6918" s="6" t="s">
        <v>1447</v>
      </c>
      <c r="C6918" s="26" t="n">
        <v>46230</v>
      </c>
      <c r="D6918" s="6" t="s">
        <v>5167</v>
      </c>
      <c r="E6918" s="6" t="s">
        <v>22</v>
      </c>
      <c r="F6918" s="6" t="n">
        <v>3</v>
      </c>
      <c r="G6918" s="10" t="n">
        <v>703</v>
      </c>
      <c r="H6918" s="10" t="n">
        <f aca="false">F6918*G6918</f>
        <v>2109</v>
      </c>
      <c r="I6918" s="6" t="s">
        <v>5122</v>
      </c>
    </row>
    <row r="6919" customFormat="false" ht="15" hidden="false" customHeight="false" outlineLevel="0" collapsed="false">
      <c r="A6919" s="6" t="s">
        <v>12143</v>
      </c>
      <c r="B6919" s="6" t="s">
        <v>1613</v>
      </c>
      <c r="C6919" s="26" t="n">
        <v>46230</v>
      </c>
      <c r="D6919" s="6" t="s">
        <v>5171</v>
      </c>
      <c r="E6919" s="6" t="s">
        <v>23</v>
      </c>
      <c r="F6919" s="6" t="n">
        <v>3</v>
      </c>
      <c r="G6919" s="10" t="n">
        <v>734</v>
      </c>
      <c r="H6919" s="10" t="n">
        <f aca="false">F6919*G6919</f>
        <v>2202</v>
      </c>
      <c r="I6919" s="6" t="s">
        <v>5148</v>
      </c>
    </row>
    <row r="6920" customFormat="false" ht="15" hidden="false" customHeight="false" outlineLevel="0" collapsed="false">
      <c r="A6920" s="6" t="s">
        <v>12144</v>
      </c>
      <c r="B6920" s="6" t="s">
        <v>1739</v>
      </c>
      <c r="C6920" s="26" t="n">
        <v>46230</v>
      </c>
      <c r="D6920" s="6" t="s">
        <v>5273</v>
      </c>
      <c r="E6920" s="6" t="s">
        <v>23</v>
      </c>
      <c r="F6920" s="6" t="n">
        <v>1</v>
      </c>
      <c r="G6920" s="10" t="n">
        <v>240</v>
      </c>
      <c r="H6920" s="10" t="n">
        <f aca="false">F6920*G6920</f>
        <v>240</v>
      </c>
      <c r="I6920" s="6" t="s">
        <v>5133</v>
      </c>
    </row>
    <row r="6921" customFormat="false" ht="15" hidden="false" customHeight="false" outlineLevel="0" collapsed="false">
      <c r="A6921" s="6" t="s">
        <v>12145</v>
      </c>
      <c r="B6921" s="6" t="s">
        <v>1225</v>
      </c>
      <c r="C6921" s="26" t="n">
        <v>46230</v>
      </c>
      <c r="D6921" s="6" t="s">
        <v>5345</v>
      </c>
      <c r="E6921" s="6" t="s">
        <v>23</v>
      </c>
      <c r="F6921" s="6" t="n">
        <v>2</v>
      </c>
      <c r="G6921" s="10" t="n">
        <v>392</v>
      </c>
      <c r="H6921" s="10" t="n">
        <f aca="false">F6921*G6921</f>
        <v>784</v>
      </c>
      <c r="I6921" s="6" t="s">
        <v>5122</v>
      </c>
    </row>
    <row r="6922" customFormat="false" ht="15" hidden="false" customHeight="false" outlineLevel="0" collapsed="false">
      <c r="A6922" s="6" t="s">
        <v>12146</v>
      </c>
      <c r="B6922" s="6" t="s">
        <v>3731</v>
      </c>
      <c r="C6922" s="26" t="n">
        <v>46230</v>
      </c>
      <c r="D6922" s="6" t="s">
        <v>5237</v>
      </c>
      <c r="E6922" s="6" t="s">
        <v>24</v>
      </c>
      <c r="F6922" s="6" t="n">
        <v>1</v>
      </c>
      <c r="G6922" s="10" t="n">
        <v>1834</v>
      </c>
      <c r="H6922" s="10" t="n">
        <f aca="false">F6922*G6922</f>
        <v>1834</v>
      </c>
      <c r="I6922" s="6" t="s">
        <v>5148</v>
      </c>
    </row>
    <row r="6923" customFormat="false" ht="15" hidden="false" customHeight="false" outlineLevel="0" collapsed="false">
      <c r="A6923" s="6" t="s">
        <v>12147</v>
      </c>
      <c r="B6923" s="6" t="s">
        <v>4249</v>
      </c>
      <c r="C6923" s="26" t="n">
        <v>46230</v>
      </c>
      <c r="D6923" s="6" t="s">
        <v>5143</v>
      </c>
      <c r="E6923" s="6" t="s">
        <v>21</v>
      </c>
      <c r="F6923" s="6" t="n">
        <v>1</v>
      </c>
      <c r="G6923" s="10" t="n">
        <v>1179</v>
      </c>
      <c r="H6923" s="10" t="n">
        <f aca="false">F6923*G6923</f>
        <v>1179</v>
      </c>
      <c r="I6923" s="6" t="s">
        <v>5125</v>
      </c>
    </row>
    <row r="6924" customFormat="false" ht="15" hidden="false" customHeight="false" outlineLevel="0" collapsed="false">
      <c r="A6924" s="6" t="s">
        <v>12148</v>
      </c>
      <c r="B6924" s="6" t="s">
        <v>4517</v>
      </c>
      <c r="C6924" s="26" t="n">
        <v>46230</v>
      </c>
      <c r="D6924" s="6" t="s">
        <v>5171</v>
      </c>
      <c r="E6924" s="6" t="s">
        <v>23</v>
      </c>
      <c r="F6924" s="6" t="n">
        <v>3</v>
      </c>
      <c r="G6924" s="10" t="n">
        <v>734</v>
      </c>
      <c r="H6924" s="10" t="n">
        <f aca="false">F6924*G6924</f>
        <v>2202</v>
      </c>
      <c r="I6924" s="6" t="s">
        <v>5130</v>
      </c>
    </row>
    <row r="6925" customFormat="false" ht="15" hidden="false" customHeight="false" outlineLevel="0" collapsed="false">
      <c r="A6925" s="6" t="s">
        <v>12149</v>
      </c>
      <c r="B6925" s="6" t="s">
        <v>1341</v>
      </c>
      <c r="C6925" s="26" t="n">
        <v>46230</v>
      </c>
      <c r="D6925" s="6" t="s">
        <v>5167</v>
      </c>
      <c r="E6925" s="6" t="s">
        <v>22</v>
      </c>
      <c r="F6925" s="6" t="n">
        <v>2</v>
      </c>
      <c r="G6925" s="10" t="n">
        <v>782</v>
      </c>
      <c r="H6925" s="10" t="n">
        <f aca="false">F6925*G6925</f>
        <v>1564</v>
      </c>
      <c r="I6925" s="6" t="s">
        <v>5130</v>
      </c>
    </row>
    <row r="6926" customFormat="false" ht="15" hidden="false" customHeight="false" outlineLevel="0" collapsed="false">
      <c r="A6926" s="6" t="s">
        <v>12150</v>
      </c>
      <c r="B6926" s="6" t="s">
        <v>843</v>
      </c>
      <c r="C6926" s="26" t="n">
        <v>46230</v>
      </c>
      <c r="D6926" s="6" t="s">
        <v>5121</v>
      </c>
      <c r="E6926" s="6" t="s">
        <v>22</v>
      </c>
      <c r="F6926" s="6" t="n">
        <v>1</v>
      </c>
      <c r="G6926" s="10" t="n">
        <v>928</v>
      </c>
      <c r="H6926" s="10" t="n">
        <f aca="false">F6926*G6926</f>
        <v>928</v>
      </c>
      <c r="I6926" s="6" t="s">
        <v>5130</v>
      </c>
    </row>
    <row r="6927" customFormat="false" ht="15" hidden="false" customHeight="false" outlineLevel="0" collapsed="false">
      <c r="A6927" s="6" t="s">
        <v>12151</v>
      </c>
      <c r="B6927" s="6" t="s">
        <v>723</v>
      </c>
      <c r="C6927" s="26" t="n">
        <v>46230</v>
      </c>
      <c r="D6927" s="6" t="s">
        <v>5154</v>
      </c>
      <c r="E6927" s="6" t="s">
        <v>21</v>
      </c>
      <c r="F6927" s="6" t="n">
        <v>1</v>
      </c>
      <c r="G6927" s="10" t="n">
        <v>785</v>
      </c>
      <c r="H6927" s="10" t="n">
        <f aca="false">F6927*G6927</f>
        <v>785</v>
      </c>
      <c r="I6927" s="6" t="s">
        <v>5173</v>
      </c>
    </row>
    <row r="6928" customFormat="false" ht="15" hidden="false" customHeight="false" outlineLevel="0" collapsed="false">
      <c r="A6928" s="6" t="s">
        <v>12152</v>
      </c>
      <c r="B6928" s="6" t="s">
        <v>3237</v>
      </c>
      <c r="C6928" s="26" t="n">
        <v>46230</v>
      </c>
      <c r="D6928" s="6" t="s">
        <v>5165</v>
      </c>
      <c r="E6928" s="6" t="s">
        <v>22</v>
      </c>
      <c r="F6928" s="6" t="n">
        <v>2</v>
      </c>
      <c r="G6928" s="10" t="n">
        <v>880</v>
      </c>
      <c r="H6928" s="10" t="n">
        <f aca="false">F6928*G6928</f>
        <v>1760</v>
      </c>
      <c r="I6928" s="6" t="s">
        <v>5133</v>
      </c>
    </row>
    <row r="6929" customFormat="false" ht="15" hidden="false" customHeight="false" outlineLevel="0" collapsed="false">
      <c r="A6929" s="6" t="s">
        <v>12153</v>
      </c>
      <c r="B6929" s="6" t="s">
        <v>1777</v>
      </c>
      <c r="C6929" s="26" t="n">
        <v>46230</v>
      </c>
      <c r="D6929" s="6" t="s">
        <v>5165</v>
      </c>
      <c r="E6929" s="6" t="s">
        <v>22</v>
      </c>
      <c r="F6929" s="6" t="n">
        <v>1</v>
      </c>
      <c r="G6929" s="10" t="n">
        <v>977</v>
      </c>
      <c r="H6929" s="10" t="n">
        <f aca="false">F6929*G6929</f>
        <v>977</v>
      </c>
      <c r="I6929" s="6" t="s">
        <v>5122</v>
      </c>
    </row>
    <row r="6930" customFormat="false" ht="15" hidden="false" customHeight="false" outlineLevel="0" collapsed="false">
      <c r="A6930" s="6" t="s">
        <v>12154</v>
      </c>
      <c r="B6930" s="6" t="s">
        <v>3151</v>
      </c>
      <c r="C6930" s="26" t="n">
        <v>46230</v>
      </c>
      <c r="D6930" s="6" t="s">
        <v>5318</v>
      </c>
      <c r="E6930" s="6" t="s">
        <v>20</v>
      </c>
      <c r="F6930" s="6" t="n">
        <v>1</v>
      </c>
      <c r="G6930" s="10" t="n">
        <v>1529</v>
      </c>
      <c r="H6930" s="10" t="n">
        <f aca="false">F6930*G6930</f>
        <v>1529</v>
      </c>
      <c r="I6930" s="6" t="s">
        <v>5148</v>
      </c>
    </row>
    <row r="6931" customFormat="false" ht="15" hidden="false" customHeight="false" outlineLevel="0" collapsed="false">
      <c r="A6931" s="6" t="s">
        <v>12155</v>
      </c>
      <c r="B6931" s="6" t="s">
        <v>2691</v>
      </c>
      <c r="C6931" s="26" t="n">
        <v>46231</v>
      </c>
      <c r="D6931" s="6" t="s">
        <v>5163</v>
      </c>
      <c r="E6931" s="6" t="s">
        <v>23</v>
      </c>
      <c r="F6931" s="6" t="n">
        <v>3</v>
      </c>
      <c r="G6931" s="10" t="n">
        <v>783</v>
      </c>
      <c r="H6931" s="10" t="n">
        <f aca="false">F6931*G6931</f>
        <v>2349</v>
      </c>
      <c r="I6931" s="6" t="s">
        <v>5130</v>
      </c>
    </row>
    <row r="6932" customFormat="false" ht="15" hidden="false" customHeight="false" outlineLevel="0" collapsed="false">
      <c r="A6932" s="6" t="s">
        <v>12156</v>
      </c>
      <c r="B6932" s="6" t="s">
        <v>2383</v>
      </c>
      <c r="C6932" s="26" t="n">
        <v>46231</v>
      </c>
      <c r="D6932" s="6" t="s">
        <v>5175</v>
      </c>
      <c r="E6932" s="6" t="s">
        <v>24</v>
      </c>
      <c r="F6932" s="6" t="n">
        <v>1</v>
      </c>
      <c r="G6932" s="10" t="n">
        <v>610</v>
      </c>
      <c r="H6932" s="10" t="n">
        <f aca="false">F6932*G6932</f>
        <v>610</v>
      </c>
      <c r="I6932" s="6" t="s">
        <v>5133</v>
      </c>
    </row>
    <row r="6933" customFormat="false" ht="15" hidden="false" customHeight="false" outlineLevel="0" collapsed="false">
      <c r="A6933" s="6" t="s">
        <v>12157</v>
      </c>
      <c r="B6933" s="6" t="s">
        <v>4973</v>
      </c>
      <c r="C6933" s="26" t="n">
        <v>46231</v>
      </c>
      <c r="D6933" s="6" t="s">
        <v>5163</v>
      </c>
      <c r="E6933" s="6" t="s">
        <v>23</v>
      </c>
      <c r="F6933" s="6" t="n">
        <v>3</v>
      </c>
      <c r="G6933" s="10" t="n">
        <v>783</v>
      </c>
      <c r="H6933" s="10" t="n">
        <f aca="false">F6933*G6933</f>
        <v>2349</v>
      </c>
      <c r="I6933" s="6" t="s">
        <v>5122</v>
      </c>
    </row>
    <row r="6934" customFormat="false" ht="15" hidden="false" customHeight="false" outlineLevel="0" collapsed="false">
      <c r="A6934" s="6" t="s">
        <v>12158</v>
      </c>
      <c r="B6934" s="6" t="s">
        <v>338</v>
      </c>
      <c r="C6934" s="26" t="n">
        <v>46231</v>
      </c>
      <c r="D6934" s="6" t="s">
        <v>5214</v>
      </c>
      <c r="E6934" s="6" t="s">
        <v>20</v>
      </c>
      <c r="F6934" s="6" t="n">
        <v>1</v>
      </c>
      <c r="G6934" s="10" t="n">
        <v>2039</v>
      </c>
      <c r="H6934" s="10" t="n">
        <f aca="false">F6934*G6934</f>
        <v>2039</v>
      </c>
      <c r="I6934" s="6" t="s">
        <v>5148</v>
      </c>
    </row>
    <row r="6935" customFormat="false" ht="15" hidden="false" customHeight="false" outlineLevel="0" collapsed="false">
      <c r="A6935" s="6" t="s">
        <v>12159</v>
      </c>
      <c r="B6935" s="6" t="s">
        <v>4465</v>
      </c>
      <c r="C6935" s="26" t="n">
        <v>46231</v>
      </c>
      <c r="D6935" s="6" t="s">
        <v>5127</v>
      </c>
      <c r="E6935" s="6" t="s">
        <v>21</v>
      </c>
      <c r="F6935" s="6" t="n">
        <v>1</v>
      </c>
      <c r="G6935" s="10" t="n">
        <v>884</v>
      </c>
      <c r="H6935" s="10" t="n">
        <f aca="false">F6935*G6935</f>
        <v>884</v>
      </c>
      <c r="I6935" s="6" t="s">
        <v>5122</v>
      </c>
    </row>
    <row r="6936" customFormat="false" ht="15" hidden="false" customHeight="false" outlineLevel="0" collapsed="false">
      <c r="A6936" s="6" t="s">
        <v>12160</v>
      </c>
      <c r="B6936" s="6" t="s">
        <v>4021</v>
      </c>
      <c r="C6936" s="26" t="n">
        <v>46231</v>
      </c>
      <c r="D6936" s="6" t="s">
        <v>5163</v>
      </c>
      <c r="E6936" s="6" t="s">
        <v>23</v>
      </c>
      <c r="F6936" s="6" t="n">
        <v>3</v>
      </c>
      <c r="G6936" s="10" t="n">
        <v>744</v>
      </c>
      <c r="H6936" s="10" t="n">
        <f aca="false">F6936*G6936</f>
        <v>2232</v>
      </c>
      <c r="I6936" s="6" t="s">
        <v>5148</v>
      </c>
    </row>
    <row r="6937" customFormat="false" ht="15" hidden="false" customHeight="false" outlineLevel="0" collapsed="false">
      <c r="A6937" s="6" t="s">
        <v>12161</v>
      </c>
      <c r="B6937" s="6" t="s">
        <v>1863</v>
      </c>
      <c r="C6937" s="26" t="n">
        <v>46231</v>
      </c>
      <c r="D6937" s="6" t="s">
        <v>5135</v>
      </c>
      <c r="E6937" s="6" t="s">
        <v>23</v>
      </c>
      <c r="F6937" s="6" t="n">
        <v>2</v>
      </c>
      <c r="G6937" s="10" t="n">
        <v>397</v>
      </c>
      <c r="H6937" s="10" t="n">
        <f aca="false">F6937*G6937</f>
        <v>794</v>
      </c>
      <c r="I6937" s="6" t="s">
        <v>5122</v>
      </c>
    </row>
    <row r="6938" customFormat="false" ht="15" hidden="false" customHeight="false" outlineLevel="0" collapsed="false">
      <c r="A6938" s="6" t="s">
        <v>12162</v>
      </c>
      <c r="B6938" s="6" t="s">
        <v>541</v>
      </c>
      <c r="C6938" s="26" t="n">
        <v>46231</v>
      </c>
      <c r="D6938" s="6" t="s">
        <v>5216</v>
      </c>
      <c r="E6938" s="6" t="s">
        <v>23</v>
      </c>
      <c r="F6938" s="6" t="n">
        <v>3</v>
      </c>
      <c r="G6938" s="10" t="n">
        <v>587</v>
      </c>
      <c r="H6938" s="10" t="n">
        <f aca="false">F6938*G6938</f>
        <v>1761</v>
      </c>
      <c r="I6938" s="6" t="s">
        <v>5130</v>
      </c>
    </row>
    <row r="6939" customFormat="false" ht="15" hidden="false" customHeight="false" outlineLevel="0" collapsed="false">
      <c r="A6939" s="6" t="s">
        <v>12163</v>
      </c>
      <c r="B6939" s="6" t="s">
        <v>2481</v>
      </c>
      <c r="C6939" s="26" t="n">
        <v>46231</v>
      </c>
      <c r="D6939" s="6" t="s">
        <v>5318</v>
      </c>
      <c r="E6939" s="6" t="s">
        <v>20</v>
      </c>
      <c r="F6939" s="6" t="n">
        <v>1</v>
      </c>
      <c r="G6939" s="10" t="n">
        <v>1528</v>
      </c>
      <c r="H6939" s="10" t="n">
        <f aca="false">F6939*G6939</f>
        <v>1528</v>
      </c>
      <c r="I6939" s="6" t="s">
        <v>5122</v>
      </c>
    </row>
    <row r="6940" customFormat="false" ht="15" hidden="false" customHeight="false" outlineLevel="0" collapsed="false">
      <c r="A6940" s="6" t="s">
        <v>12164</v>
      </c>
      <c r="B6940" s="6" t="s">
        <v>4391</v>
      </c>
      <c r="C6940" s="26" t="n">
        <v>46231</v>
      </c>
      <c r="D6940" s="6" t="s">
        <v>5129</v>
      </c>
      <c r="E6940" s="6" t="s">
        <v>21</v>
      </c>
      <c r="F6940" s="6" t="n">
        <v>1</v>
      </c>
      <c r="G6940" s="10" t="n">
        <v>589</v>
      </c>
      <c r="H6940" s="10" t="n">
        <f aca="false">F6940*G6940</f>
        <v>589</v>
      </c>
      <c r="I6940" s="6" t="s">
        <v>5133</v>
      </c>
    </row>
    <row r="6941" customFormat="false" ht="15" hidden="false" customHeight="false" outlineLevel="0" collapsed="false">
      <c r="A6941" s="6" t="s">
        <v>12165</v>
      </c>
      <c r="B6941" s="6" t="s">
        <v>881</v>
      </c>
      <c r="C6941" s="26" t="n">
        <v>46231</v>
      </c>
      <c r="D6941" s="6" t="s">
        <v>5163</v>
      </c>
      <c r="E6941" s="6" t="s">
        <v>23</v>
      </c>
      <c r="F6941" s="6" t="n">
        <v>2</v>
      </c>
      <c r="G6941" s="10" t="n">
        <v>783</v>
      </c>
      <c r="H6941" s="10" t="n">
        <f aca="false">F6941*G6941</f>
        <v>1566</v>
      </c>
      <c r="I6941" s="6" t="s">
        <v>5122</v>
      </c>
    </row>
    <row r="6942" customFormat="false" ht="15" hidden="false" customHeight="false" outlineLevel="0" collapsed="false">
      <c r="A6942" s="6" t="s">
        <v>12166</v>
      </c>
      <c r="B6942" s="6" t="s">
        <v>1109</v>
      </c>
      <c r="C6942" s="26" t="n">
        <v>46231</v>
      </c>
      <c r="D6942" s="6" t="s">
        <v>5124</v>
      </c>
      <c r="E6942" s="6" t="s">
        <v>21</v>
      </c>
      <c r="F6942" s="6" t="n">
        <v>1</v>
      </c>
      <c r="G6942" s="10" t="n">
        <v>3267</v>
      </c>
      <c r="H6942" s="10" t="n">
        <f aca="false">F6942*G6942</f>
        <v>3267</v>
      </c>
      <c r="I6942" s="6" t="s">
        <v>5125</v>
      </c>
    </row>
    <row r="6943" customFormat="false" ht="15" hidden="false" customHeight="false" outlineLevel="0" collapsed="false">
      <c r="A6943" s="6" t="s">
        <v>12167</v>
      </c>
      <c r="B6943" s="6" t="s">
        <v>1661</v>
      </c>
      <c r="C6943" s="26" t="n">
        <v>46231</v>
      </c>
      <c r="D6943" s="6" t="s">
        <v>5423</v>
      </c>
      <c r="E6943" s="6" t="s">
        <v>21</v>
      </c>
      <c r="F6943" s="6" t="n">
        <v>1</v>
      </c>
      <c r="G6943" s="10" t="n">
        <v>3243</v>
      </c>
      <c r="H6943" s="10" t="n">
        <f aca="false">F6943*G6943</f>
        <v>3243</v>
      </c>
      <c r="I6943" s="6" t="s">
        <v>5130</v>
      </c>
    </row>
    <row r="6944" customFormat="false" ht="15" hidden="false" customHeight="false" outlineLevel="0" collapsed="false">
      <c r="A6944" s="6" t="s">
        <v>12168</v>
      </c>
      <c r="B6944" s="6" t="s">
        <v>2991</v>
      </c>
      <c r="C6944" s="26" t="n">
        <v>46231</v>
      </c>
      <c r="D6944" s="6" t="s">
        <v>5188</v>
      </c>
      <c r="E6944" s="6" t="s">
        <v>24</v>
      </c>
      <c r="F6944" s="6" t="n">
        <v>2</v>
      </c>
      <c r="G6944" s="10" t="n">
        <v>1018</v>
      </c>
      <c r="H6944" s="10" t="n">
        <f aca="false">F6944*G6944</f>
        <v>2036</v>
      </c>
      <c r="I6944" s="6" t="s">
        <v>5130</v>
      </c>
    </row>
    <row r="6945" customFormat="false" ht="15" hidden="false" customHeight="false" outlineLevel="0" collapsed="false">
      <c r="A6945" s="6" t="s">
        <v>12169</v>
      </c>
      <c r="B6945" s="6" t="s">
        <v>2077</v>
      </c>
      <c r="C6945" s="26" t="n">
        <v>46231</v>
      </c>
      <c r="D6945" s="6" t="s">
        <v>5135</v>
      </c>
      <c r="E6945" s="6" t="s">
        <v>23</v>
      </c>
      <c r="F6945" s="6" t="n">
        <v>2</v>
      </c>
      <c r="G6945" s="10" t="n">
        <v>397</v>
      </c>
      <c r="H6945" s="10" t="n">
        <f aca="false">F6945*G6945</f>
        <v>794</v>
      </c>
      <c r="I6945" s="6" t="s">
        <v>5148</v>
      </c>
    </row>
    <row r="6946" customFormat="false" ht="15" hidden="false" customHeight="false" outlineLevel="0" collapsed="false">
      <c r="A6946" s="6" t="s">
        <v>12170</v>
      </c>
      <c r="B6946" s="6" t="s">
        <v>2877</v>
      </c>
      <c r="C6946" s="26" t="n">
        <v>46231</v>
      </c>
      <c r="D6946" s="6" t="s">
        <v>5220</v>
      </c>
      <c r="E6946" s="6" t="s">
        <v>24</v>
      </c>
      <c r="F6946" s="6" t="n">
        <v>1</v>
      </c>
      <c r="G6946" s="10" t="n">
        <v>1120</v>
      </c>
      <c r="H6946" s="10" t="n">
        <f aca="false">F6946*G6946</f>
        <v>1120</v>
      </c>
      <c r="I6946" s="6" t="s">
        <v>5130</v>
      </c>
    </row>
    <row r="6947" customFormat="false" ht="15" hidden="false" customHeight="false" outlineLevel="0" collapsed="false">
      <c r="A6947" s="6" t="s">
        <v>12171</v>
      </c>
      <c r="B6947" s="6" t="s">
        <v>4641</v>
      </c>
      <c r="C6947" s="26" t="n">
        <v>46231</v>
      </c>
      <c r="D6947" s="6" t="s">
        <v>5139</v>
      </c>
      <c r="E6947" s="6" t="s">
        <v>23</v>
      </c>
      <c r="F6947" s="6" t="n">
        <v>3</v>
      </c>
      <c r="G6947" s="10" t="n">
        <v>251</v>
      </c>
      <c r="H6947" s="10" t="n">
        <f aca="false">F6947*G6947</f>
        <v>753</v>
      </c>
      <c r="I6947" s="6" t="s">
        <v>5133</v>
      </c>
    </row>
    <row r="6948" customFormat="false" ht="15" hidden="false" customHeight="false" outlineLevel="0" collapsed="false">
      <c r="A6948" s="6" t="s">
        <v>12172</v>
      </c>
      <c r="B6948" s="6" t="s">
        <v>3581</v>
      </c>
      <c r="C6948" s="26" t="n">
        <v>46231</v>
      </c>
      <c r="D6948" s="6" t="s">
        <v>5245</v>
      </c>
      <c r="E6948" s="6" t="s">
        <v>21</v>
      </c>
      <c r="F6948" s="6" t="n">
        <v>1</v>
      </c>
      <c r="G6948" s="10" t="n">
        <v>2456</v>
      </c>
      <c r="H6948" s="10" t="n">
        <f aca="false">F6948*G6948</f>
        <v>2456</v>
      </c>
      <c r="I6948" s="6" t="s">
        <v>5122</v>
      </c>
    </row>
    <row r="6949" customFormat="false" ht="15" hidden="false" customHeight="false" outlineLevel="0" collapsed="false">
      <c r="A6949" s="6" t="s">
        <v>12173</v>
      </c>
      <c r="B6949" s="6" t="s">
        <v>3597</v>
      </c>
      <c r="C6949" s="26" t="n">
        <v>46231</v>
      </c>
      <c r="D6949" s="6" t="s">
        <v>5303</v>
      </c>
      <c r="E6949" s="6" t="s">
        <v>22</v>
      </c>
      <c r="F6949" s="6" t="n">
        <v>1</v>
      </c>
      <c r="G6949" s="10" t="n">
        <v>2200</v>
      </c>
      <c r="H6949" s="10" t="n">
        <f aca="false">F6949*G6949</f>
        <v>2200</v>
      </c>
      <c r="I6949" s="6" t="s">
        <v>5125</v>
      </c>
    </row>
    <row r="6950" customFormat="false" ht="15" hidden="false" customHeight="false" outlineLevel="0" collapsed="false">
      <c r="A6950" s="6" t="s">
        <v>12174</v>
      </c>
      <c r="B6950" s="6" t="s">
        <v>769</v>
      </c>
      <c r="C6950" s="26" t="n">
        <v>46231</v>
      </c>
      <c r="D6950" s="6" t="s">
        <v>5353</v>
      </c>
      <c r="E6950" s="6" t="s">
        <v>24</v>
      </c>
      <c r="F6950" s="6" t="n">
        <v>2</v>
      </c>
      <c r="G6950" s="10" t="n">
        <v>1629</v>
      </c>
      <c r="H6950" s="10" t="n">
        <f aca="false">F6950*G6950</f>
        <v>3258</v>
      </c>
      <c r="I6950" s="6" t="s">
        <v>5148</v>
      </c>
    </row>
    <row r="6951" customFormat="false" ht="15" hidden="false" customHeight="false" outlineLevel="0" collapsed="false">
      <c r="A6951" s="6" t="s">
        <v>12175</v>
      </c>
      <c r="B6951" s="6" t="s">
        <v>356</v>
      </c>
      <c r="C6951" s="26" t="n">
        <v>46231</v>
      </c>
      <c r="D6951" s="6" t="s">
        <v>5202</v>
      </c>
      <c r="E6951" s="6" t="s">
        <v>23</v>
      </c>
      <c r="F6951" s="6" t="n">
        <v>3</v>
      </c>
      <c r="G6951" s="10" t="n">
        <v>245</v>
      </c>
      <c r="H6951" s="10" t="n">
        <f aca="false">F6951*G6951</f>
        <v>735</v>
      </c>
      <c r="I6951" s="6" t="s">
        <v>5125</v>
      </c>
    </row>
    <row r="6952" customFormat="false" ht="15" hidden="false" customHeight="false" outlineLevel="0" collapsed="false">
      <c r="A6952" s="6" t="s">
        <v>12176</v>
      </c>
      <c r="B6952" s="6" t="s">
        <v>1571</v>
      </c>
      <c r="C6952" s="26" t="n">
        <v>46231</v>
      </c>
      <c r="D6952" s="6" t="s">
        <v>5132</v>
      </c>
      <c r="E6952" s="6" t="s">
        <v>23</v>
      </c>
      <c r="F6952" s="6" t="n">
        <v>2</v>
      </c>
      <c r="G6952" s="10" t="n">
        <v>342</v>
      </c>
      <c r="H6952" s="10" t="n">
        <f aca="false">F6952*G6952</f>
        <v>684</v>
      </c>
      <c r="I6952" s="6" t="s">
        <v>5130</v>
      </c>
    </row>
    <row r="6953" customFormat="false" ht="15" hidden="false" customHeight="false" outlineLevel="0" collapsed="false">
      <c r="A6953" s="6" t="s">
        <v>12177</v>
      </c>
      <c r="B6953" s="6" t="s">
        <v>4657</v>
      </c>
      <c r="C6953" s="26" t="n">
        <v>46231</v>
      </c>
      <c r="D6953" s="6" t="s">
        <v>5121</v>
      </c>
      <c r="E6953" s="6" t="s">
        <v>22</v>
      </c>
      <c r="F6953" s="6" t="n">
        <v>1</v>
      </c>
      <c r="G6953" s="10" t="n">
        <v>880</v>
      </c>
      <c r="H6953" s="10" t="n">
        <f aca="false">F6953*G6953</f>
        <v>880</v>
      </c>
      <c r="I6953" s="6" t="s">
        <v>5125</v>
      </c>
    </row>
    <row r="6954" customFormat="false" ht="15" hidden="false" customHeight="false" outlineLevel="0" collapsed="false">
      <c r="A6954" s="6" t="s">
        <v>12178</v>
      </c>
      <c r="B6954" s="6" t="s">
        <v>362</v>
      </c>
      <c r="C6954" s="26" t="n">
        <v>46231</v>
      </c>
      <c r="D6954" s="6" t="s">
        <v>5171</v>
      </c>
      <c r="E6954" s="6" t="s">
        <v>23</v>
      </c>
      <c r="F6954" s="6" t="n">
        <v>3</v>
      </c>
      <c r="G6954" s="10" t="n">
        <v>734</v>
      </c>
      <c r="H6954" s="10" t="n">
        <f aca="false">F6954*G6954</f>
        <v>2202</v>
      </c>
      <c r="I6954" s="6" t="s">
        <v>5148</v>
      </c>
    </row>
    <row r="6955" customFormat="false" ht="15" hidden="false" customHeight="false" outlineLevel="0" collapsed="false">
      <c r="A6955" s="6" t="s">
        <v>12179</v>
      </c>
      <c r="B6955" s="6" t="s">
        <v>2351</v>
      </c>
      <c r="C6955" s="26" t="n">
        <v>46231</v>
      </c>
      <c r="D6955" s="6" t="s">
        <v>5466</v>
      </c>
      <c r="E6955" s="6" t="s">
        <v>21</v>
      </c>
      <c r="F6955" s="6" t="n">
        <v>1</v>
      </c>
      <c r="G6955" s="10" t="n">
        <v>1768</v>
      </c>
      <c r="H6955" s="10" t="n">
        <f aca="false">F6955*G6955</f>
        <v>1768</v>
      </c>
      <c r="I6955" s="6" t="s">
        <v>5125</v>
      </c>
    </row>
    <row r="6956" customFormat="false" ht="15" hidden="false" customHeight="false" outlineLevel="0" collapsed="false">
      <c r="A6956" s="6" t="s">
        <v>12180</v>
      </c>
      <c r="B6956" s="6" t="s">
        <v>3967</v>
      </c>
      <c r="C6956" s="26" t="n">
        <v>46231</v>
      </c>
      <c r="D6956" s="6" t="s">
        <v>5216</v>
      </c>
      <c r="E6956" s="6" t="s">
        <v>23</v>
      </c>
      <c r="F6956" s="6" t="n">
        <v>3</v>
      </c>
      <c r="G6956" s="10" t="n">
        <v>587</v>
      </c>
      <c r="H6956" s="10" t="n">
        <f aca="false">F6956*G6956</f>
        <v>1761</v>
      </c>
      <c r="I6956" s="6" t="s">
        <v>5122</v>
      </c>
    </row>
    <row r="6957" customFormat="false" ht="15" hidden="false" customHeight="false" outlineLevel="0" collapsed="false">
      <c r="A6957" s="6" t="s">
        <v>12181</v>
      </c>
      <c r="B6957" s="6" t="s">
        <v>4979</v>
      </c>
      <c r="C6957" s="26" t="n">
        <v>46231</v>
      </c>
      <c r="D6957" s="6" t="s">
        <v>5141</v>
      </c>
      <c r="E6957" s="6" t="s">
        <v>20</v>
      </c>
      <c r="F6957" s="6" t="n">
        <v>2</v>
      </c>
      <c r="G6957" s="10" t="n">
        <v>1835</v>
      </c>
      <c r="H6957" s="10" t="n">
        <f aca="false">F6957*G6957</f>
        <v>3670</v>
      </c>
      <c r="I6957" s="6" t="s">
        <v>5130</v>
      </c>
    </row>
    <row r="6958" customFormat="false" ht="15" hidden="false" customHeight="false" outlineLevel="0" collapsed="false">
      <c r="A6958" s="6" t="s">
        <v>12182</v>
      </c>
      <c r="B6958" s="6" t="s">
        <v>4091</v>
      </c>
      <c r="C6958" s="26" t="n">
        <v>46231</v>
      </c>
      <c r="D6958" s="6" t="s">
        <v>5121</v>
      </c>
      <c r="E6958" s="6" t="s">
        <v>22</v>
      </c>
      <c r="F6958" s="6" t="n">
        <v>1</v>
      </c>
      <c r="G6958" s="10" t="n">
        <v>977</v>
      </c>
      <c r="H6958" s="10" t="n">
        <f aca="false">F6958*G6958</f>
        <v>977</v>
      </c>
      <c r="I6958" s="6" t="s">
        <v>5125</v>
      </c>
    </row>
    <row r="6959" customFormat="false" ht="15" hidden="false" customHeight="false" outlineLevel="0" collapsed="false">
      <c r="A6959" s="6" t="s">
        <v>12183</v>
      </c>
      <c r="B6959" s="6" t="s">
        <v>4013</v>
      </c>
      <c r="C6959" s="26" t="n">
        <v>46231</v>
      </c>
      <c r="D6959" s="6" t="s">
        <v>5273</v>
      </c>
      <c r="E6959" s="6" t="s">
        <v>23</v>
      </c>
      <c r="F6959" s="6" t="n">
        <v>2</v>
      </c>
      <c r="G6959" s="10" t="n">
        <v>240</v>
      </c>
      <c r="H6959" s="10" t="n">
        <f aca="false">F6959*G6959</f>
        <v>480</v>
      </c>
      <c r="I6959" s="6" t="s">
        <v>5122</v>
      </c>
    </row>
    <row r="6960" customFormat="false" ht="15" hidden="false" customHeight="false" outlineLevel="0" collapsed="false">
      <c r="A6960" s="6" t="s">
        <v>12184</v>
      </c>
      <c r="B6960" s="6" t="s">
        <v>324</v>
      </c>
      <c r="C6960" s="26" t="n">
        <v>46231</v>
      </c>
      <c r="D6960" s="6" t="s">
        <v>5121</v>
      </c>
      <c r="E6960" s="6" t="s">
        <v>22</v>
      </c>
      <c r="F6960" s="6" t="n">
        <v>3</v>
      </c>
      <c r="G6960" s="10" t="n">
        <v>977</v>
      </c>
      <c r="H6960" s="10" t="n">
        <f aca="false">F6960*G6960</f>
        <v>2931</v>
      </c>
      <c r="I6960" s="6" t="s">
        <v>5130</v>
      </c>
    </row>
    <row r="6961" customFormat="false" ht="15" hidden="false" customHeight="false" outlineLevel="0" collapsed="false">
      <c r="A6961" s="6" t="s">
        <v>12185</v>
      </c>
      <c r="B6961" s="6" t="s">
        <v>2987</v>
      </c>
      <c r="C6961" s="26" t="n">
        <v>46231</v>
      </c>
      <c r="D6961" s="6" t="s">
        <v>5132</v>
      </c>
      <c r="E6961" s="6" t="s">
        <v>23</v>
      </c>
      <c r="F6961" s="6" t="n">
        <v>1</v>
      </c>
      <c r="G6961" s="10" t="n">
        <v>324</v>
      </c>
      <c r="H6961" s="10" t="n">
        <f aca="false">F6961*G6961</f>
        <v>324</v>
      </c>
      <c r="I6961" s="6" t="s">
        <v>5173</v>
      </c>
    </row>
    <row r="6962" customFormat="false" ht="15" hidden="false" customHeight="false" outlineLevel="0" collapsed="false">
      <c r="A6962" s="6" t="s">
        <v>12186</v>
      </c>
      <c r="B6962" s="6" t="s">
        <v>1843</v>
      </c>
      <c r="C6962" s="26" t="n">
        <v>46231</v>
      </c>
      <c r="D6962" s="6" t="s">
        <v>5139</v>
      </c>
      <c r="E6962" s="6" t="s">
        <v>23</v>
      </c>
      <c r="F6962" s="6" t="n">
        <v>1</v>
      </c>
      <c r="G6962" s="10" t="n">
        <v>279</v>
      </c>
      <c r="H6962" s="10" t="n">
        <f aca="false">F6962*G6962</f>
        <v>279</v>
      </c>
      <c r="I6962" s="6" t="s">
        <v>5148</v>
      </c>
    </row>
    <row r="6963" customFormat="false" ht="15" hidden="false" customHeight="false" outlineLevel="0" collapsed="false">
      <c r="A6963" s="6" t="s">
        <v>12187</v>
      </c>
      <c r="B6963" s="6" t="s">
        <v>1463</v>
      </c>
      <c r="C6963" s="26" t="n">
        <v>46231</v>
      </c>
      <c r="D6963" s="6" t="s">
        <v>5167</v>
      </c>
      <c r="E6963" s="6" t="s">
        <v>22</v>
      </c>
      <c r="F6963" s="6" t="n">
        <v>1</v>
      </c>
      <c r="G6963" s="10" t="n">
        <v>743</v>
      </c>
      <c r="H6963" s="10" t="n">
        <f aca="false">F6963*G6963</f>
        <v>743</v>
      </c>
      <c r="I6963" s="6" t="s">
        <v>5125</v>
      </c>
    </row>
    <row r="6964" customFormat="false" ht="15" hidden="false" customHeight="false" outlineLevel="0" collapsed="false">
      <c r="A6964" s="6" t="s">
        <v>12188</v>
      </c>
      <c r="B6964" s="6" t="s">
        <v>2773</v>
      </c>
      <c r="C6964" s="26" t="n">
        <v>46232</v>
      </c>
      <c r="D6964" s="6" t="s">
        <v>5165</v>
      </c>
      <c r="E6964" s="6" t="s">
        <v>22</v>
      </c>
      <c r="F6964" s="6" t="n">
        <v>4</v>
      </c>
      <c r="G6964" s="10" t="n">
        <v>880</v>
      </c>
      <c r="H6964" s="10" t="n">
        <f aca="false">F6964*G6964</f>
        <v>3520</v>
      </c>
      <c r="I6964" s="6" t="s">
        <v>5148</v>
      </c>
    </row>
    <row r="6965" customFormat="false" ht="15" hidden="false" customHeight="false" outlineLevel="0" collapsed="false">
      <c r="A6965" s="6" t="s">
        <v>12189</v>
      </c>
      <c r="B6965" s="6" t="s">
        <v>1227</v>
      </c>
      <c r="C6965" s="26" t="n">
        <v>46232</v>
      </c>
      <c r="D6965" s="6" t="s">
        <v>5235</v>
      </c>
      <c r="E6965" s="6" t="s">
        <v>21</v>
      </c>
      <c r="F6965" s="6" t="n">
        <v>1</v>
      </c>
      <c r="G6965" s="10" t="n">
        <v>1670</v>
      </c>
      <c r="H6965" s="10" t="n">
        <f aca="false">F6965*G6965</f>
        <v>1670</v>
      </c>
      <c r="I6965" s="6" t="s">
        <v>5148</v>
      </c>
    </row>
    <row r="6966" customFormat="false" ht="15" hidden="false" customHeight="false" outlineLevel="0" collapsed="false">
      <c r="A6966" s="6" t="s">
        <v>12190</v>
      </c>
      <c r="B6966" s="6" t="s">
        <v>366</v>
      </c>
      <c r="C6966" s="26" t="n">
        <v>46232</v>
      </c>
      <c r="D6966" s="6" t="s">
        <v>5240</v>
      </c>
      <c r="E6966" s="6" t="s">
        <v>20</v>
      </c>
      <c r="F6966" s="6" t="n">
        <v>1</v>
      </c>
      <c r="G6966" s="10" t="n">
        <v>4843</v>
      </c>
      <c r="H6966" s="10" t="n">
        <f aca="false">F6966*G6966</f>
        <v>4843</v>
      </c>
      <c r="I6966" s="6" t="s">
        <v>5173</v>
      </c>
    </row>
    <row r="6967" customFormat="false" ht="15" hidden="false" customHeight="false" outlineLevel="0" collapsed="false">
      <c r="A6967" s="6" t="s">
        <v>12191</v>
      </c>
      <c r="B6967" s="6" t="s">
        <v>2877</v>
      </c>
      <c r="C6967" s="26" t="n">
        <v>46232</v>
      </c>
      <c r="D6967" s="6" t="s">
        <v>5158</v>
      </c>
      <c r="E6967" s="6" t="s">
        <v>24</v>
      </c>
      <c r="F6967" s="6" t="n">
        <v>1</v>
      </c>
      <c r="G6967" s="10" t="n">
        <v>390</v>
      </c>
      <c r="H6967" s="10" t="n">
        <f aca="false">F6967*G6967</f>
        <v>390</v>
      </c>
      <c r="I6967" s="6" t="s">
        <v>5122</v>
      </c>
    </row>
    <row r="6968" customFormat="false" ht="15" hidden="false" customHeight="false" outlineLevel="0" collapsed="false">
      <c r="A6968" s="6" t="s">
        <v>12192</v>
      </c>
      <c r="B6968" s="6" t="s">
        <v>4799</v>
      </c>
      <c r="C6968" s="26" t="n">
        <v>46232</v>
      </c>
      <c r="D6968" s="6" t="s">
        <v>5171</v>
      </c>
      <c r="E6968" s="6" t="s">
        <v>23</v>
      </c>
      <c r="F6968" s="6" t="n">
        <v>3</v>
      </c>
      <c r="G6968" s="10" t="n">
        <v>734</v>
      </c>
      <c r="H6968" s="10" t="n">
        <f aca="false">F6968*G6968</f>
        <v>2202</v>
      </c>
      <c r="I6968" s="6" t="s">
        <v>5122</v>
      </c>
    </row>
    <row r="6969" customFormat="false" ht="15" hidden="false" customHeight="false" outlineLevel="0" collapsed="false">
      <c r="A6969" s="6" t="s">
        <v>12193</v>
      </c>
      <c r="B6969" s="6" t="s">
        <v>2855</v>
      </c>
      <c r="C6969" s="26" t="n">
        <v>46232</v>
      </c>
      <c r="D6969" s="6" t="s">
        <v>5200</v>
      </c>
      <c r="E6969" s="6" t="s">
        <v>24</v>
      </c>
      <c r="F6969" s="6" t="n">
        <v>2</v>
      </c>
      <c r="G6969" s="10" t="n">
        <v>687</v>
      </c>
      <c r="H6969" s="10" t="n">
        <f aca="false">F6969*G6969</f>
        <v>1374</v>
      </c>
      <c r="I6969" s="6" t="s">
        <v>5130</v>
      </c>
    </row>
    <row r="6970" customFormat="false" ht="15" hidden="false" customHeight="false" outlineLevel="0" collapsed="false">
      <c r="A6970" s="6" t="s">
        <v>12194</v>
      </c>
      <c r="B6970" s="6" t="s">
        <v>1655</v>
      </c>
      <c r="C6970" s="26" t="n">
        <v>46232</v>
      </c>
      <c r="D6970" s="6" t="s">
        <v>5167</v>
      </c>
      <c r="E6970" s="6" t="s">
        <v>22</v>
      </c>
      <c r="F6970" s="6" t="n">
        <v>4</v>
      </c>
      <c r="G6970" s="10" t="n">
        <v>743</v>
      </c>
      <c r="H6970" s="10" t="n">
        <f aca="false">F6970*G6970</f>
        <v>2972</v>
      </c>
      <c r="I6970" s="6" t="s">
        <v>5130</v>
      </c>
    </row>
    <row r="6971" customFormat="false" ht="15" hidden="false" customHeight="false" outlineLevel="0" collapsed="false">
      <c r="A6971" s="6" t="s">
        <v>12195</v>
      </c>
      <c r="B6971" s="6" t="s">
        <v>3275</v>
      </c>
      <c r="C6971" s="26" t="n">
        <v>46232</v>
      </c>
      <c r="D6971" s="6" t="s">
        <v>5165</v>
      </c>
      <c r="E6971" s="6" t="s">
        <v>22</v>
      </c>
      <c r="F6971" s="6" t="n">
        <v>3</v>
      </c>
      <c r="G6971" s="10" t="n">
        <v>880</v>
      </c>
      <c r="H6971" s="10" t="n">
        <f aca="false">F6971*G6971</f>
        <v>2640</v>
      </c>
      <c r="I6971" s="6" t="s">
        <v>5122</v>
      </c>
    </row>
    <row r="6972" customFormat="false" ht="15" hidden="false" customHeight="false" outlineLevel="0" collapsed="false">
      <c r="A6972" s="6" t="s">
        <v>12196</v>
      </c>
      <c r="B6972" s="6" t="s">
        <v>4725</v>
      </c>
      <c r="C6972" s="26" t="n">
        <v>46232</v>
      </c>
      <c r="D6972" s="6" t="s">
        <v>5121</v>
      </c>
      <c r="E6972" s="6" t="s">
        <v>22</v>
      </c>
      <c r="F6972" s="6" t="n">
        <v>1</v>
      </c>
      <c r="G6972" s="10" t="n">
        <v>977</v>
      </c>
      <c r="H6972" s="10" t="n">
        <f aca="false">F6972*G6972</f>
        <v>977</v>
      </c>
      <c r="I6972" s="6" t="s">
        <v>5122</v>
      </c>
    </row>
    <row r="6973" customFormat="false" ht="15" hidden="false" customHeight="false" outlineLevel="0" collapsed="false">
      <c r="A6973" s="6" t="s">
        <v>12197</v>
      </c>
      <c r="B6973" s="6" t="s">
        <v>1563</v>
      </c>
      <c r="C6973" s="26" t="n">
        <v>46232</v>
      </c>
      <c r="D6973" s="6" t="s">
        <v>5683</v>
      </c>
      <c r="E6973" s="6" t="s">
        <v>22</v>
      </c>
      <c r="F6973" s="6" t="n">
        <v>1</v>
      </c>
      <c r="G6973" s="10" t="n">
        <v>1584</v>
      </c>
      <c r="H6973" s="10" t="n">
        <f aca="false">F6973*G6973</f>
        <v>1584</v>
      </c>
      <c r="I6973" s="6" t="s">
        <v>5130</v>
      </c>
    </row>
    <row r="6974" customFormat="false" ht="15" hidden="false" customHeight="false" outlineLevel="0" collapsed="false">
      <c r="A6974" s="6" t="s">
        <v>12198</v>
      </c>
      <c r="B6974" s="6" t="s">
        <v>589</v>
      </c>
      <c r="C6974" s="26" t="n">
        <v>46232</v>
      </c>
      <c r="D6974" s="6" t="s">
        <v>5143</v>
      </c>
      <c r="E6974" s="6" t="s">
        <v>21</v>
      </c>
      <c r="F6974" s="6" t="n">
        <v>2</v>
      </c>
      <c r="G6974" s="10" t="n">
        <v>1179</v>
      </c>
      <c r="H6974" s="10" t="n">
        <f aca="false">F6974*G6974</f>
        <v>2358</v>
      </c>
      <c r="I6974" s="6" t="s">
        <v>5148</v>
      </c>
    </row>
    <row r="6975" customFormat="false" ht="15" hidden="false" customHeight="false" outlineLevel="0" collapsed="false">
      <c r="A6975" s="6" t="s">
        <v>12199</v>
      </c>
      <c r="B6975" s="6" t="s">
        <v>1089</v>
      </c>
      <c r="C6975" s="26" t="n">
        <v>46232</v>
      </c>
      <c r="D6975" s="6" t="s">
        <v>5165</v>
      </c>
      <c r="E6975" s="6" t="s">
        <v>22</v>
      </c>
      <c r="F6975" s="6" t="n">
        <v>1</v>
      </c>
      <c r="G6975" s="10" t="n">
        <v>977</v>
      </c>
      <c r="H6975" s="10" t="n">
        <f aca="false">F6975*G6975</f>
        <v>977</v>
      </c>
      <c r="I6975" s="6" t="s">
        <v>5122</v>
      </c>
    </row>
    <row r="6976" customFormat="false" ht="15" hidden="false" customHeight="false" outlineLevel="0" collapsed="false">
      <c r="A6976" s="6" t="s">
        <v>12200</v>
      </c>
      <c r="B6976" s="6" t="s">
        <v>2491</v>
      </c>
      <c r="C6976" s="26" t="n">
        <v>46232</v>
      </c>
      <c r="D6976" s="6" t="s">
        <v>5237</v>
      </c>
      <c r="E6976" s="6" t="s">
        <v>24</v>
      </c>
      <c r="F6976" s="6" t="n">
        <v>1</v>
      </c>
      <c r="G6976" s="10" t="n">
        <v>1650</v>
      </c>
      <c r="H6976" s="10" t="n">
        <f aca="false">F6976*G6976</f>
        <v>1650</v>
      </c>
      <c r="I6976" s="6" t="s">
        <v>5122</v>
      </c>
    </row>
    <row r="6977" customFormat="false" ht="15" hidden="false" customHeight="false" outlineLevel="0" collapsed="false">
      <c r="A6977" s="6" t="s">
        <v>12201</v>
      </c>
      <c r="B6977" s="6" t="s">
        <v>2443</v>
      </c>
      <c r="C6977" s="26" t="n">
        <v>46232</v>
      </c>
      <c r="D6977" s="6" t="s">
        <v>5214</v>
      </c>
      <c r="E6977" s="6" t="s">
        <v>20</v>
      </c>
      <c r="F6977" s="6" t="n">
        <v>2</v>
      </c>
      <c r="G6977" s="10" t="n">
        <v>1835</v>
      </c>
      <c r="H6977" s="10" t="n">
        <f aca="false">F6977*G6977</f>
        <v>3670</v>
      </c>
      <c r="I6977" s="6" t="s">
        <v>5122</v>
      </c>
    </row>
    <row r="6978" customFormat="false" ht="15" hidden="false" customHeight="false" outlineLevel="0" collapsed="false">
      <c r="A6978" s="6" t="s">
        <v>12202</v>
      </c>
      <c r="B6978" s="6" t="s">
        <v>4771</v>
      </c>
      <c r="C6978" s="26" t="n">
        <v>46232</v>
      </c>
      <c r="D6978" s="6" t="s">
        <v>5154</v>
      </c>
      <c r="E6978" s="6" t="s">
        <v>21</v>
      </c>
      <c r="F6978" s="6" t="n">
        <v>1</v>
      </c>
      <c r="G6978" s="10" t="n">
        <v>785</v>
      </c>
      <c r="H6978" s="10" t="n">
        <f aca="false">F6978*G6978</f>
        <v>785</v>
      </c>
      <c r="I6978" s="6" t="s">
        <v>5122</v>
      </c>
    </row>
    <row r="6979" customFormat="false" ht="15" hidden="false" customHeight="false" outlineLevel="0" collapsed="false">
      <c r="A6979" s="6" t="s">
        <v>12203</v>
      </c>
      <c r="B6979" s="6" t="s">
        <v>4033</v>
      </c>
      <c r="C6979" s="26" t="n">
        <v>46232</v>
      </c>
      <c r="D6979" s="6" t="s">
        <v>5135</v>
      </c>
      <c r="E6979" s="6" t="s">
        <v>23</v>
      </c>
      <c r="F6979" s="6" t="n">
        <v>5</v>
      </c>
      <c r="G6979" s="10" t="n">
        <v>441</v>
      </c>
      <c r="H6979" s="10" t="n">
        <f aca="false">F6979*G6979</f>
        <v>2205</v>
      </c>
      <c r="I6979" s="6" t="s">
        <v>5148</v>
      </c>
    </row>
    <row r="6980" customFormat="false" ht="15" hidden="false" customHeight="false" outlineLevel="0" collapsed="false">
      <c r="A6980" s="6" t="s">
        <v>12204</v>
      </c>
      <c r="B6980" s="6" t="s">
        <v>777</v>
      </c>
      <c r="C6980" s="26" t="n">
        <v>46232</v>
      </c>
      <c r="D6980" s="6" t="s">
        <v>5345</v>
      </c>
      <c r="E6980" s="6" t="s">
        <v>23</v>
      </c>
      <c r="F6980" s="6" t="n">
        <v>3</v>
      </c>
      <c r="G6980" s="10" t="n">
        <v>436</v>
      </c>
      <c r="H6980" s="10" t="n">
        <f aca="false">F6980*G6980</f>
        <v>1308</v>
      </c>
      <c r="I6980" s="6" t="s">
        <v>5133</v>
      </c>
    </row>
    <row r="6981" customFormat="false" ht="15" hidden="false" customHeight="false" outlineLevel="0" collapsed="false">
      <c r="A6981" s="6" t="s">
        <v>12205</v>
      </c>
      <c r="B6981" s="6" t="s">
        <v>475</v>
      </c>
      <c r="C6981" s="26" t="n">
        <v>46232</v>
      </c>
      <c r="D6981" s="6" t="s">
        <v>5163</v>
      </c>
      <c r="E6981" s="6" t="s">
        <v>23</v>
      </c>
      <c r="F6981" s="6" t="n">
        <v>4</v>
      </c>
      <c r="G6981" s="10" t="n">
        <v>744</v>
      </c>
      <c r="H6981" s="10" t="n">
        <f aca="false">F6981*G6981</f>
        <v>2976</v>
      </c>
      <c r="I6981" s="6" t="s">
        <v>5122</v>
      </c>
    </row>
    <row r="6982" customFormat="false" ht="15" hidden="false" customHeight="false" outlineLevel="0" collapsed="false">
      <c r="A6982" s="6" t="s">
        <v>12206</v>
      </c>
      <c r="B6982" s="6" t="s">
        <v>3129</v>
      </c>
      <c r="C6982" s="26" t="n">
        <v>46232</v>
      </c>
      <c r="D6982" s="6" t="s">
        <v>5466</v>
      </c>
      <c r="E6982" s="6" t="s">
        <v>21</v>
      </c>
      <c r="F6982" s="6" t="n">
        <v>1</v>
      </c>
      <c r="G6982" s="10" t="n">
        <v>1965</v>
      </c>
      <c r="H6982" s="10" t="n">
        <f aca="false">F6982*G6982</f>
        <v>1965</v>
      </c>
      <c r="I6982" s="6" t="s">
        <v>5148</v>
      </c>
    </row>
    <row r="6983" customFormat="false" ht="15" hidden="false" customHeight="false" outlineLevel="0" collapsed="false">
      <c r="A6983" s="6" t="s">
        <v>12207</v>
      </c>
      <c r="B6983" s="6" t="s">
        <v>683</v>
      </c>
      <c r="C6983" s="26" t="n">
        <v>46232</v>
      </c>
      <c r="D6983" s="6" t="s">
        <v>5807</v>
      </c>
      <c r="E6983" s="6" t="s">
        <v>20</v>
      </c>
      <c r="F6983" s="6" t="n">
        <v>1</v>
      </c>
      <c r="G6983" s="10" t="n">
        <v>15296</v>
      </c>
      <c r="H6983" s="10" t="n">
        <f aca="false">F6983*G6983</f>
        <v>15296</v>
      </c>
      <c r="I6983" s="6" t="s">
        <v>5130</v>
      </c>
    </row>
    <row r="6984" customFormat="false" ht="15" hidden="false" customHeight="false" outlineLevel="0" collapsed="false">
      <c r="A6984" s="6" t="s">
        <v>12208</v>
      </c>
      <c r="B6984" s="6" t="s">
        <v>2785</v>
      </c>
      <c r="C6984" s="26" t="n">
        <v>46232</v>
      </c>
      <c r="D6984" s="6" t="s">
        <v>5460</v>
      </c>
      <c r="E6984" s="6" t="s">
        <v>24</v>
      </c>
      <c r="F6984" s="6" t="n">
        <v>1</v>
      </c>
      <c r="G6984" s="10" t="n">
        <v>500</v>
      </c>
      <c r="H6984" s="10" t="n">
        <f aca="false">F6984*G6984</f>
        <v>500</v>
      </c>
      <c r="I6984" s="6" t="s">
        <v>5130</v>
      </c>
    </row>
    <row r="6985" customFormat="false" ht="15" hidden="false" customHeight="false" outlineLevel="0" collapsed="false">
      <c r="A6985" s="6" t="s">
        <v>12209</v>
      </c>
      <c r="B6985" s="6" t="s">
        <v>1539</v>
      </c>
      <c r="C6985" s="26" t="n">
        <v>46232</v>
      </c>
      <c r="D6985" s="6" t="s">
        <v>5269</v>
      </c>
      <c r="E6985" s="6" t="s">
        <v>22</v>
      </c>
      <c r="F6985" s="6" t="n">
        <v>2</v>
      </c>
      <c r="G6985" s="10" t="n">
        <v>1144</v>
      </c>
      <c r="H6985" s="10" t="n">
        <f aca="false">F6985*G6985</f>
        <v>2288</v>
      </c>
      <c r="I6985" s="6" t="s">
        <v>5130</v>
      </c>
    </row>
    <row r="6986" customFormat="false" ht="15" hidden="false" customHeight="false" outlineLevel="0" collapsed="false">
      <c r="A6986" s="6" t="s">
        <v>12210</v>
      </c>
      <c r="B6986" s="6" t="s">
        <v>4373</v>
      </c>
      <c r="C6986" s="26" t="n">
        <v>46232</v>
      </c>
      <c r="D6986" s="6" t="s">
        <v>5423</v>
      </c>
      <c r="E6986" s="6" t="s">
        <v>21</v>
      </c>
      <c r="F6986" s="6" t="n">
        <v>1</v>
      </c>
      <c r="G6986" s="10" t="n">
        <v>2918</v>
      </c>
      <c r="H6986" s="10" t="n">
        <f aca="false">F6986*G6986</f>
        <v>2918</v>
      </c>
      <c r="I6986" s="6" t="s">
        <v>5125</v>
      </c>
    </row>
    <row r="6987" customFormat="false" ht="15" hidden="false" customHeight="false" outlineLevel="0" collapsed="false">
      <c r="A6987" s="6" t="s">
        <v>12211</v>
      </c>
      <c r="B6987" s="6" t="s">
        <v>3073</v>
      </c>
      <c r="C6987" s="26" t="n">
        <v>46232</v>
      </c>
      <c r="D6987" s="6" t="s">
        <v>5906</v>
      </c>
      <c r="E6987" s="6" t="s">
        <v>20</v>
      </c>
      <c r="F6987" s="6" t="n">
        <v>1</v>
      </c>
      <c r="G6987" s="10" t="n">
        <v>56087</v>
      </c>
      <c r="H6987" s="10" t="n">
        <f aca="false">F6987*G6987</f>
        <v>56087</v>
      </c>
      <c r="I6987" s="6" t="s">
        <v>5122</v>
      </c>
    </row>
    <row r="6988" customFormat="false" ht="15" hidden="false" customHeight="false" outlineLevel="0" collapsed="false">
      <c r="A6988" s="6" t="s">
        <v>12212</v>
      </c>
      <c r="B6988" s="6" t="s">
        <v>3835</v>
      </c>
      <c r="C6988" s="26" t="n">
        <v>46232</v>
      </c>
      <c r="D6988" s="6" t="s">
        <v>5171</v>
      </c>
      <c r="E6988" s="6" t="s">
        <v>23</v>
      </c>
      <c r="F6988" s="6" t="n">
        <v>4</v>
      </c>
      <c r="G6988" s="10" t="n">
        <v>734</v>
      </c>
      <c r="H6988" s="10" t="n">
        <f aca="false">F6988*G6988</f>
        <v>2936</v>
      </c>
      <c r="I6988" s="6" t="s">
        <v>5133</v>
      </c>
    </row>
    <row r="6989" customFormat="false" ht="15" hidden="false" customHeight="false" outlineLevel="0" collapsed="false">
      <c r="A6989" s="6" t="s">
        <v>12213</v>
      </c>
      <c r="B6989" s="6" t="s">
        <v>2691</v>
      </c>
      <c r="C6989" s="26" t="n">
        <v>46232</v>
      </c>
      <c r="D6989" s="6" t="s">
        <v>5158</v>
      </c>
      <c r="E6989" s="6" t="s">
        <v>24</v>
      </c>
      <c r="F6989" s="6" t="n">
        <v>1</v>
      </c>
      <c r="G6989" s="10" t="n">
        <v>390</v>
      </c>
      <c r="H6989" s="10" t="n">
        <f aca="false">F6989*G6989</f>
        <v>390</v>
      </c>
      <c r="I6989" s="6" t="s">
        <v>5133</v>
      </c>
    </row>
    <row r="6990" customFormat="false" ht="15" hidden="false" customHeight="false" outlineLevel="0" collapsed="false">
      <c r="A6990" s="6" t="s">
        <v>12214</v>
      </c>
      <c r="B6990" s="6" t="s">
        <v>1863</v>
      </c>
      <c r="C6990" s="26" t="n">
        <v>46232</v>
      </c>
      <c r="D6990" s="6" t="s">
        <v>5683</v>
      </c>
      <c r="E6990" s="6" t="s">
        <v>22</v>
      </c>
      <c r="F6990" s="6" t="n">
        <v>2</v>
      </c>
      <c r="G6990" s="10" t="n">
        <v>1760</v>
      </c>
      <c r="H6990" s="10" t="n">
        <f aca="false">F6990*G6990</f>
        <v>3520</v>
      </c>
      <c r="I6990" s="6" t="s">
        <v>5133</v>
      </c>
    </row>
    <row r="6991" customFormat="false" ht="15" hidden="false" customHeight="false" outlineLevel="0" collapsed="false">
      <c r="A6991" s="6" t="s">
        <v>12215</v>
      </c>
      <c r="B6991" s="6" t="s">
        <v>3539</v>
      </c>
      <c r="C6991" s="26" t="n">
        <v>46232</v>
      </c>
      <c r="D6991" s="6" t="s">
        <v>5197</v>
      </c>
      <c r="E6991" s="6" t="s">
        <v>21</v>
      </c>
      <c r="F6991" s="6" t="n">
        <v>1</v>
      </c>
      <c r="G6991" s="10" t="n">
        <v>1026</v>
      </c>
      <c r="H6991" s="10" t="n">
        <f aca="false">F6991*G6991</f>
        <v>1026</v>
      </c>
      <c r="I6991" s="6" t="s">
        <v>5148</v>
      </c>
    </row>
    <row r="6992" customFormat="false" ht="15" hidden="false" customHeight="false" outlineLevel="0" collapsed="false">
      <c r="A6992" s="6" t="s">
        <v>12216</v>
      </c>
      <c r="B6992" s="6" t="s">
        <v>4615</v>
      </c>
      <c r="C6992" s="26" t="n">
        <v>46232</v>
      </c>
      <c r="D6992" s="6" t="s">
        <v>5235</v>
      </c>
      <c r="E6992" s="6" t="s">
        <v>21</v>
      </c>
      <c r="F6992" s="6" t="n">
        <v>1</v>
      </c>
      <c r="G6992" s="10" t="n">
        <v>1670</v>
      </c>
      <c r="H6992" s="10" t="n">
        <f aca="false">F6992*G6992</f>
        <v>1670</v>
      </c>
      <c r="I6992" s="6" t="s">
        <v>5122</v>
      </c>
    </row>
    <row r="6993" customFormat="false" ht="15" hidden="false" customHeight="false" outlineLevel="0" collapsed="false">
      <c r="A6993" s="6" t="s">
        <v>12217</v>
      </c>
      <c r="B6993" s="6" t="s">
        <v>4369</v>
      </c>
      <c r="C6993" s="26" t="n">
        <v>46232</v>
      </c>
      <c r="D6993" s="6" t="s">
        <v>5339</v>
      </c>
      <c r="E6993" s="6" t="s">
        <v>24</v>
      </c>
      <c r="F6993" s="6" t="n">
        <v>1</v>
      </c>
      <c r="G6993" s="10" t="n">
        <v>508</v>
      </c>
      <c r="H6993" s="10" t="n">
        <f aca="false">F6993*G6993</f>
        <v>508</v>
      </c>
      <c r="I6993" s="6" t="s">
        <v>5133</v>
      </c>
    </row>
    <row r="6994" customFormat="false" ht="15" hidden="false" customHeight="false" outlineLevel="0" collapsed="false">
      <c r="A6994" s="6" t="s">
        <v>12218</v>
      </c>
      <c r="B6994" s="6" t="s">
        <v>1363</v>
      </c>
      <c r="C6994" s="26" t="n">
        <v>46232</v>
      </c>
      <c r="D6994" s="6" t="s">
        <v>5488</v>
      </c>
      <c r="E6994" s="6" t="s">
        <v>24</v>
      </c>
      <c r="F6994" s="6" t="n">
        <v>2</v>
      </c>
      <c r="G6994" s="10" t="n">
        <v>866</v>
      </c>
      <c r="H6994" s="10" t="n">
        <f aca="false">F6994*G6994</f>
        <v>1732</v>
      </c>
      <c r="I6994" s="6" t="s">
        <v>5122</v>
      </c>
    </row>
    <row r="6995" customFormat="false" ht="15" hidden="false" customHeight="false" outlineLevel="0" collapsed="false">
      <c r="A6995" s="6" t="s">
        <v>12219</v>
      </c>
      <c r="B6995" s="6" t="s">
        <v>4429</v>
      </c>
      <c r="C6995" s="26" t="n">
        <v>46232</v>
      </c>
      <c r="D6995" s="6" t="s">
        <v>5456</v>
      </c>
      <c r="E6995" s="6" t="s">
        <v>24</v>
      </c>
      <c r="F6995" s="6" t="n">
        <v>1</v>
      </c>
      <c r="G6995" s="10" t="n">
        <v>912</v>
      </c>
      <c r="H6995" s="10" t="n">
        <f aca="false">F6995*G6995</f>
        <v>912</v>
      </c>
      <c r="I6995" s="6" t="s">
        <v>5125</v>
      </c>
    </row>
    <row r="6996" customFormat="false" ht="15" hidden="false" customHeight="false" outlineLevel="0" collapsed="false">
      <c r="A6996" s="6" t="s">
        <v>12220</v>
      </c>
      <c r="B6996" s="6" t="s">
        <v>1175</v>
      </c>
      <c r="C6996" s="26" t="n">
        <v>46232</v>
      </c>
      <c r="D6996" s="6" t="s">
        <v>6114</v>
      </c>
      <c r="E6996" s="6" t="s">
        <v>20</v>
      </c>
      <c r="F6996" s="6" t="n">
        <v>1</v>
      </c>
      <c r="G6996" s="10" t="n">
        <v>13256</v>
      </c>
      <c r="H6996" s="10" t="n">
        <f aca="false">F6996*G6996</f>
        <v>13256</v>
      </c>
      <c r="I6996" s="6" t="s">
        <v>5173</v>
      </c>
    </row>
    <row r="6997" customFormat="false" ht="15" hidden="false" customHeight="false" outlineLevel="0" collapsed="false">
      <c r="A6997" s="6" t="s">
        <v>12221</v>
      </c>
      <c r="B6997" s="6" t="s">
        <v>4495</v>
      </c>
      <c r="C6997" s="26" t="n">
        <v>46232</v>
      </c>
      <c r="D6997" s="6" t="s">
        <v>5318</v>
      </c>
      <c r="E6997" s="6" t="s">
        <v>20</v>
      </c>
      <c r="F6997" s="6" t="n">
        <v>1</v>
      </c>
      <c r="G6997" s="10" t="n">
        <v>1529</v>
      </c>
      <c r="H6997" s="10" t="n">
        <f aca="false">F6997*G6997</f>
        <v>1529</v>
      </c>
      <c r="I6997" s="6" t="s">
        <v>5130</v>
      </c>
    </row>
    <row r="6998" customFormat="false" ht="15" hidden="false" customHeight="false" outlineLevel="0" collapsed="false">
      <c r="A6998" s="6" t="s">
        <v>12222</v>
      </c>
      <c r="B6998" s="6" t="s">
        <v>2459</v>
      </c>
      <c r="C6998" s="26" t="n">
        <v>46232</v>
      </c>
      <c r="D6998" s="6" t="s">
        <v>5167</v>
      </c>
      <c r="E6998" s="6" t="s">
        <v>22</v>
      </c>
      <c r="F6998" s="6" t="n">
        <v>2</v>
      </c>
      <c r="G6998" s="10" t="n">
        <v>782</v>
      </c>
      <c r="H6998" s="10" t="n">
        <f aca="false">F6998*G6998</f>
        <v>1564</v>
      </c>
      <c r="I6998" s="6" t="s">
        <v>5148</v>
      </c>
    </row>
    <row r="6999" customFormat="false" ht="15" hidden="false" customHeight="false" outlineLevel="0" collapsed="false">
      <c r="A6999" s="6" t="s">
        <v>12223</v>
      </c>
      <c r="B6999" s="6" t="s">
        <v>1341</v>
      </c>
      <c r="C6999" s="26" t="n">
        <v>46232</v>
      </c>
      <c r="D6999" s="6" t="s">
        <v>5410</v>
      </c>
      <c r="E6999" s="6" t="s">
        <v>20</v>
      </c>
      <c r="F6999" s="6" t="n">
        <v>1</v>
      </c>
      <c r="G6999" s="10" t="n">
        <v>2548</v>
      </c>
      <c r="H6999" s="10" t="n">
        <f aca="false">F6999*G6999</f>
        <v>2548</v>
      </c>
      <c r="I6999" s="6" t="s">
        <v>5148</v>
      </c>
    </row>
    <row r="7000" customFormat="false" ht="15" hidden="false" customHeight="false" outlineLevel="0" collapsed="false">
      <c r="A7000" s="6" t="s">
        <v>12224</v>
      </c>
      <c r="B7000" s="6" t="s">
        <v>3985</v>
      </c>
      <c r="C7000" s="26" t="n">
        <v>46232</v>
      </c>
      <c r="D7000" s="6" t="s">
        <v>5121</v>
      </c>
      <c r="E7000" s="6" t="s">
        <v>22</v>
      </c>
      <c r="F7000" s="6" t="n">
        <v>3</v>
      </c>
      <c r="G7000" s="10" t="n">
        <v>977</v>
      </c>
      <c r="H7000" s="10" t="n">
        <f aca="false">F7000*G7000</f>
        <v>2931</v>
      </c>
      <c r="I7000" s="6" t="s">
        <v>5148</v>
      </c>
    </row>
    <row r="7001" customFormat="false" ht="15" hidden="false" customHeight="false" outlineLevel="0" collapsed="false">
      <c r="A7001" s="6" t="s">
        <v>12225</v>
      </c>
      <c r="B7001" s="6" t="s">
        <v>3233</v>
      </c>
      <c r="C7001" s="26" t="n">
        <v>46232</v>
      </c>
      <c r="D7001" s="6" t="s">
        <v>5207</v>
      </c>
      <c r="E7001" s="6" t="s">
        <v>20</v>
      </c>
      <c r="F7001" s="6" t="n">
        <v>1</v>
      </c>
      <c r="G7001" s="10" t="n">
        <v>1258</v>
      </c>
      <c r="H7001" s="10" t="n">
        <f aca="false">F7001*G7001</f>
        <v>1258</v>
      </c>
      <c r="I7001" s="6" t="s">
        <v>5130</v>
      </c>
    </row>
    <row r="7002" customFormat="false" ht="15" hidden="false" customHeight="false" outlineLevel="0" collapsed="false">
      <c r="A7002" s="6" t="s">
        <v>12226</v>
      </c>
      <c r="B7002" s="6" t="s">
        <v>5015</v>
      </c>
      <c r="C7002" s="26" t="n">
        <v>46232</v>
      </c>
      <c r="D7002" s="6" t="s">
        <v>5165</v>
      </c>
      <c r="E7002" s="6" t="s">
        <v>22</v>
      </c>
      <c r="F7002" s="6" t="n">
        <v>2</v>
      </c>
      <c r="G7002" s="10" t="n">
        <v>977</v>
      </c>
      <c r="H7002" s="10" t="n">
        <f aca="false">F7002*G7002</f>
        <v>1954</v>
      </c>
      <c r="I7002" s="6" t="s">
        <v>5130</v>
      </c>
    </row>
    <row r="7003" customFormat="false" ht="15" hidden="false" customHeight="false" outlineLevel="0" collapsed="false">
      <c r="A7003" s="6" t="s">
        <v>12227</v>
      </c>
      <c r="B7003" s="6" t="s">
        <v>1853</v>
      </c>
      <c r="C7003" s="26" t="n">
        <v>46232</v>
      </c>
      <c r="D7003" s="6" t="s">
        <v>5290</v>
      </c>
      <c r="E7003" s="6" t="s">
        <v>23</v>
      </c>
      <c r="F7003" s="6" t="n">
        <v>3</v>
      </c>
      <c r="G7003" s="10" t="n">
        <v>118</v>
      </c>
      <c r="H7003" s="10" t="n">
        <f aca="false">F7003*G7003</f>
        <v>354</v>
      </c>
      <c r="I7003" s="6" t="s">
        <v>5122</v>
      </c>
    </row>
    <row r="7004" customFormat="false" ht="15" hidden="false" customHeight="false" outlineLevel="0" collapsed="false">
      <c r="A7004" s="6" t="s">
        <v>12228</v>
      </c>
      <c r="B7004" s="6" t="s">
        <v>3365</v>
      </c>
      <c r="C7004" s="26" t="n">
        <v>46232</v>
      </c>
      <c r="D7004" s="6" t="s">
        <v>5339</v>
      </c>
      <c r="E7004" s="6" t="s">
        <v>24</v>
      </c>
      <c r="F7004" s="6" t="n">
        <v>1</v>
      </c>
      <c r="G7004" s="10" t="n">
        <v>458</v>
      </c>
      <c r="H7004" s="10" t="n">
        <f aca="false">F7004*G7004</f>
        <v>458</v>
      </c>
      <c r="I7004" s="6" t="s">
        <v>5122</v>
      </c>
    </row>
    <row r="7005" customFormat="false" ht="15" hidden="false" customHeight="false" outlineLevel="0" collapsed="false">
      <c r="A7005" s="6" t="s">
        <v>12229</v>
      </c>
      <c r="B7005" s="6" t="s">
        <v>1351</v>
      </c>
      <c r="C7005" s="26" t="n">
        <v>46232</v>
      </c>
      <c r="D7005" s="6" t="s">
        <v>5298</v>
      </c>
      <c r="E7005" s="6" t="s">
        <v>23</v>
      </c>
      <c r="F7005" s="6" t="n">
        <v>5</v>
      </c>
      <c r="G7005" s="10" t="n">
        <v>264</v>
      </c>
      <c r="H7005" s="10" t="n">
        <f aca="false">F7005*G7005</f>
        <v>1320</v>
      </c>
      <c r="I7005" s="6" t="s">
        <v>5173</v>
      </c>
    </row>
    <row r="7006" customFormat="false" ht="15" hidden="false" customHeight="false" outlineLevel="0" collapsed="false">
      <c r="A7006" s="6" t="s">
        <v>12230</v>
      </c>
      <c r="B7006" s="6" t="s">
        <v>1077</v>
      </c>
      <c r="C7006" s="26" t="n">
        <v>46232</v>
      </c>
      <c r="D7006" s="6" t="s">
        <v>5466</v>
      </c>
      <c r="E7006" s="6" t="s">
        <v>21</v>
      </c>
      <c r="F7006" s="6" t="n">
        <v>1</v>
      </c>
      <c r="G7006" s="10" t="n">
        <v>1965</v>
      </c>
      <c r="H7006" s="10" t="n">
        <f aca="false">F7006*G7006</f>
        <v>1965</v>
      </c>
      <c r="I7006" s="6" t="s">
        <v>5122</v>
      </c>
    </row>
    <row r="7007" customFormat="false" ht="15" hidden="false" customHeight="false" outlineLevel="0" collapsed="false">
      <c r="A7007" s="6" t="s">
        <v>12231</v>
      </c>
      <c r="B7007" s="6" t="s">
        <v>2171</v>
      </c>
      <c r="C7007" s="26" t="n">
        <v>46232</v>
      </c>
      <c r="D7007" s="6" t="s">
        <v>5137</v>
      </c>
      <c r="E7007" s="6" t="s">
        <v>21</v>
      </c>
      <c r="F7007" s="6" t="n">
        <v>3</v>
      </c>
      <c r="G7007" s="10" t="n">
        <v>1768</v>
      </c>
      <c r="H7007" s="10" t="n">
        <f aca="false">F7007*G7007</f>
        <v>5304</v>
      </c>
      <c r="I7007" s="6" t="s">
        <v>5122</v>
      </c>
    </row>
    <row r="7008" customFormat="false" ht="15" hidden="false" customHeight="false" outlineLevel="0" collapsed="false">
      <c r="A7008" s="6" t="s">
        <v>12232</v>
      </c>
      <c r="B7008" s="6" t="s">
        <v>1401</v>
      </c>
      <c r="C7008" s="26" t="n">
        <v>46232</v>
      </c>
      <c r="D7008" s="6" t="s">
        <v>5383</v>
      </c>
      <c r="E7008" s="6" t="s">
        <v>20</v>
      </c>
      <c r="F7008" s="6" t="n">
        <v>1</v>
      </c>
      <c r="G7008" s="10" t="n">
        <v>1009</v>
      </c>
      <c r="H7008" s="10" t="n">
        <f aca="false">F7008*G7008</f>
        <v>1009</v>
      </c>
      <c r="I7008" s="6" t="s">
        <v>5130</v>
      </c>
    </row>
    <row r="7009" customFormat="false" ht="15" hidden="false" customHeight="false" outlineLevel="0" collapsed="false">
      <c r="A7009" s="6" t="s">
        <v>12233</v>
      </c>
      <c r="B7009" s="6" t="s">
        <v>3187</v>
      </c>
      <c r="C7009" s="26" t="n">
        <v>46232</v>
      </c>
      <c r="D7009" s="6" t="s">
        <v>5200</v>
      </c>
      <c r="E7009" s="6" t="s">
        <v>24</v>
      </c>
      <c r="F7009" s="6" t="n">
        <v>1</v>
      </c>
      <c r="G7009" s="10" t="n">
        <v>764</v>
      </c>
      <c r="H7009" s="10" t="n">
        <f aca="false">F7009*G7009</f>
        <v>764</v>
      </c>
      <c r="I7009" s="6" t="s">
        <v>5122</v>
      </c>
    </row>
    <row r="7010" customFormat="false" ht="15" hidden="false" customHeight="false" outlineLevel="0" collapsed="false">
      <c r="A7010" s="6" t="s">
        <v>12234</v>
      </c>
      <c r="B7010" s="6" t="s">
        <v>1827</v>
      </c>
      <c r="C7010" s="26" t="n">
        <v>46232</v>
      </c>
      <c r="D7010" s="6" t="s">
        <v>5135</v>
      </c>
      <c r="E7010" s="6" t="s">
        <v>23</v>
      </c>
      <c r="F7010" s="6" t="n">
        <v>2</v>
      </c>
      <c r="G7010" s="10" t="n">
        <v>441</v>
      </c>
      <c r="H7010" s="10" t="n">
        <f aca="false">F7010*G7010</f>
        <v>882</v>
      </c>
      <c r="I7010" s="6" t="s">
        <v>5122</v>
      </c>
    </row>
    <row r="7011" customFormat="false" ht="15" hidden="false" customHeight="false" outlineLevel="0" collapsed="false">
      <c r="A7011" s="6" t="s">
        <v>12235</v>
      </c>
      <c r="B7011" s="6" t="s">
        <v>2003</v>
      </c>
      <c r="C7011" s="26" t="n">
        <v>46233</v>
      </c>
      <c r="D7011" s="6" t="s">
        <v>5242</v>
      </c>
      <c r="E7011" s="6" t="s">
        <v>23</v>
      </c>
      <c r="F7011" s="6" t="n">
        <v>5</v>
      </c>
      <c r="G7011" s="10" t="n">
        <v>372</v>
      </c>
      <c r="H7011" s="10" t="n">
        <f aca="false">F7011*G7011</f>
        <v>1860</v>
      </c>
      <c r="I7011" s="6" t="s">
        <v>5133</v>
      </c>
    </row>
    <row r="7012" customFormat="false" ht="15" hidden="false" customHeight="false" outlineLevel="0" collapsed="false">
      <c r="A7012" s="6" t="s">
        <v>12236</v>
      </c>
      <c r="B7012" s="6" t="s">
        <v>2595</v>
      </c>
      <c r="C7012" s="26" t="n">
        <v>46233</v>
      </c>
      <c r="D7012" s="6" t="s">
        <v>5158</v>
      </c>
      <c r="E7012" s="6" t="s">
        <v>24</v>
      </c>
      <c r="F7012" s="6" t="n">
        <v>1</v>
      </c>
      <c r="G7012" s="10" t="n">
        <v>411</v>
      </c>
      <c r="H7012" s="10" t="n">
        <f aca="false">F7012*G7012</f>
        <v>411</v>
      </c>
      <c r="I7012" s="6" t="s">
        <v>5130</v>
      </c>
    </row>
    <row r="7013" customFormat="false" ht="15" hidden="false" customHeight="false" outlineLevel="0" collapsed="false">
      <c r="A7013" s="6" t="s">
        <v>12237</v>
      </c>
      <c r="B7013" s="6" t="s">
        <v>2421</v>
      </c>
      <c r="C7013" s="26" t="n">
        <v>46233</v>
      </c>
      <c r="D7013" s="6" t="s">
        <v>5127</v>
      </c>
      <c r="E7013" s="6" t="s">
        <v>21</v>
      </c>
      <c r="F7013" s="6" t="n">
        <v>1</v>
      </c>
      <c r="G7013" s="10" t="n">
        <v>884</v>
      </c>
      <c r="H7013" s="10" t="n">
        <f aca="false">F7013*G7013</f>
        <v>884</v>
      </c>
      <c r="I7013" s="6" t="s">
        <v>5148</v>
      </c>
    </row>
    <row r="7014" customFormat="false" ht="15" hidden="false" customHeight="false" outlineLevel="0" collapsed="false">
      <c r="A7014" s="6" t="s">
        <v>12238</v>
      </c>
      <c r="B7014" s="6" t="s">
        <v>3529</v>
      </c>
      <c r="C7014" s="26" t="n">
        <v>46233</v>
      </c>
      <c r="D7014" s="6" t="s">
        <v>5171</v>
      </c>
      <c r="E7014" s="6" t="s">
        <v>23</v>
      </c>
      <c r="F7014" s="6" t="n">
        <v>1</v>
      </c>
      <c r="G7014" s="10" t="n">
        <v>734</v>
      </c>
      <c r="H7014" s="10" t="n">
        <f aca="false">F7014*G7014</f>
        <v>734</v>
      </c>
      <c r="I7014" s="6" t="s">
        <v>5122</v>
      </c>
    </row>
    <row r="7015" customFormat="false" ht="15" hidden="false" customHeight="false" outlineLevel="0" collapsed="false">
      <c r="A7015" s="6" t="s">
        <v>12239</v>
      </c>
      <c r="B7015" s="6" t="s">
        <v>4313</v>
      </c>
      <c r="C7015" s="26" t="n">
        <v>46233</v>
      </c>
      <c r="D7015" s="6" t="s">
        <v>5169</v>
      </c>
      <c r="E7015" s="6" t="s">
        <v>20</v>
      </c>
      <c r="F7015" s="6" t="n">
        <v>1</v>
      </c>
      <c r="G7015" s="10" t="n">
        <v>5098</v>
      </c>
      <c r="H7015" s="10" t="n">
        <f aca="false">F7015*G7015</f>
        <v>5098</v>
      </c>
      <c r="I7015" s="6" t="s">
        <v>5122</v>
      </c>
    </row>
    <row r="7016" customFormat="false" ht="15" hidden="false" customHeight="false" outlineLevel="0" collapsed="false">
      <c r="A7016" s="6" t="s">
        <v>12240</v>
      </c>
      <c r="B7016" s="6" t="s">
        <v>529</v>
      </c>
      <c r="C7016" s="26" t="n">
        <v>46233</v>
      </c>
      <c r="D7016" s="6" t="s">
        <v>5357</v>
      </c>
      <c r="E7016" s="6" t="s">
        <v>23</v>
      </c>
      <c r="F7016" s="6" t="n">
        <v>2</v>
      </c>
      <c r="G7016" s="10" t="n">
        <v>534</v>
      </c>
      <c r="H7016" s="10" t="n">
        <f aca="false">F7016*G7016</f>
        <v>1068</v>
      </c>
      <c r="I7016" s="6" t="s">
        <v>5122</v>
      </c>
    </row>
    <row r="7017" customFormat="false" ht="15" hidden="false" customHeight="false" outlineLevel="0" collapsed="false">
      <c r="A7017" s="6" t="s">
        <v>12241</v>
      </c>
      <c r="B7017" s="6" t="s">
        <v>533</v>
      </c>
      <c r="C7017" s="26" t="n">
        <v>46233</v>
      </c>
      <c r="D7017" s="6" t="s">
        <v>5121</v>
      </c>
      <c r="E7017" s="6" t="s">
        <v>22</v>
      </c>
      <c r="F7017" s="6" t="n">
        <v>1</v>
      </c>
      <c r="G7017" s="10" t="n">
        <v>880</v>
      </c>
      <c r="H7017" s="10" t="n">
        <f aca="false">F7017*G7017</f>
        <v>880</v>
      </c>
      <c r="I7017" s="6" t="s">
        <v>5125</v>
      </c>
    </row>
    <row r="7018" customFormat="false" ht="15" hidden="false" customHeight="false" outlineLevel="0" collapsed="false">
      <c r="A7018" s="6" t="s">
        <v>12242</v>
      </c>
      <c r="B7018" s="6" t="s">
        <v>1581</v>
      </c>
      <c r="C7018" s="26" t="n">
        <v>46233</v>
      </c>
      <c r="D7018" s="6" t="s">
        <v>5200</v>
      </c>
      <c r="E7018" s="6" t="s">
        <v>24</v>
      </c>
      <c r="F7018" s="6" t="n">
        <v>1</v>
      </c>
      <c r="G7018" s="10" t="n">
        <v>763</v>
      </c>
      <c r="H7018" s="10" t="n">
        <f aca="false">F7018*G7018</f>
        <v>763</v>
      </c>
      <c r="I7018" s="6" t="s">
        <v>5148</v>
      </c>
    </row>
    <row r="7019" customFormat="false" ht="15" hidden="false" customHeight="false" outlineLevel="0" collapsed="false">
      <c r="A7019" s="6" t="s">
        <v>12243</v>
      </c>
      <c r="B7019" s="6" t="s">
        <v>4973</v>
      </c>
      <c r="C7019" s="26" t="n">
        <v>46233</v>
      </c>
      <c r="D7019" s="6" t="s">
        <v>5165</v>
      </c>
      <c r="E7019" s="6" t="s">
        <v>22</v>
      </c>
      <c r="F7019" s="6" t="n">
        <v>1</v>
      </c>
      <c r="G7019" s="10" t="n">
        <v>928</v>
      </c>
      <c r="H7019" s="10" t="n">
        <f aca="false">F7019*G7019</f>
        <v>928</v>
      </c>
      <c r="I7019" s="6" t="s">
        <v>5125</v>
      </c>
    </row>
    <row r="7020" customFormat="false" ht="15" hidden="false" customHeight="false" outlineLevel="0" collapsed="false">
      <c r="A7020" s="6" t="s">
        <v>12244</v>
      </c>
      <c r="B7020" s="6" t="s">
        <v>277</v>
      </c>
      <c r="C7020" s="26" t="n">
        <v>46233</v>
      </c>
      <c r="D7020" s="6" t="s">
        <v>5165</v>
      </c>
      <c r="E7020" s="6" t="s">
        <v>22</v>
      </c>
      <c r="F7020" s="6" t="n">
        <v>2</v>
      </c>
      <c r="G7020" s="10" t="n">
        <v>880</v>
      </c>
      <c r="H7020" s="10" t="n">
        <f aca="false">F7020*G7020</f>
        <v>1760</v>
      </c>
      <c r="I7020" s="6" t="s">
        <v>5133</v>
      </c>
    </row>
    <row r="7021" customFormat="false" ht="15" hidden="false" customHeight="false" outlineLevel="0" collapsed="false">
      <c r="A7021" s="6" t="s">
        <v>12245</v>
      </c>
      <c r="B7021" s="6" t="s">
        <v>5035</v>
      </c>
      <c r="C7021" s="26" t="n">
        <v>46233</v>
      </c>
      <c r="D7021" s="6" t="s">
        <v>5175</v>
      </c>
      <c r="E7021" s="6" t="s">
        <v>24</v>
      </c>
      <c r="F7021" s="6" t="n">
        <v>3</v>
      </c>
      <c r="G7021" s="10" t="n">
        <v>610</v>
      </c>
      <c r="H7021" s="10" t="n">
        <f aca="false">F7021*G7021</f>
        <v>1830</v>
      </c>
      <c r="I7021" s="6" t="s">
        <v>5122</v>
      </c>
    </row>
    <row r="7022" customFormat="false" ht="15" hidden="false" customHeight="false" outlineLevel="0" collapsed="false">
      <c r="A7022" s="6" t="s">
        <v>12246</v>
      </c>
      <c r="B7022" s="6" t="s">
        <v>639</v>
      </c>
      <c r="C7022" s="26" t="n">
        <v>46233</v>
      </c>
      <c r="D7022" s="6" t="s">
        <v>5165</v>
      </c>
      <c r="E7022" s="6" t="s">
        <v>22</v>
      </c>
      <c r="F7022" s="6" t="n">
        <v>2</v>
      </c>
      <c r="G7022" s="10" t="n">
        <v>928</v>
      </c>
      <c r="H7022" s="10" t="n">
        <f aca="false">F7022*G7022</f>
        <v>1856</v>
      </c>
      <c r="I7022" s="6" t="s">
        <v>5173</v>
      </c>
    </row>
    <row r="7023" customFormat="false" ht="15" hidden="false" customHeight="false" outlineLevel="0" collapsed="false">
      <c r="A7023" s="6" t="s">
        <v>12247</v>
      </c>
      <c r="B7023" s="6" t="s">
        <v>1669</v>
      </c>
      <c r="C7023" s="26" t="n">
        <v>46233</v>
      </c>
      <c r="D7023" s="6" t="s">
        <v>5185</v>
      </c>
      <c r="E7023" s="6" t="s">
        <v>24</v>
      </c>
      <c r="F7023" s="6" t="n">
        <v>2</v>
      </c>
      <c r="G7023" s="10" t="n">
        <v>1926</v>
      </c>
      <c r="H7023" s="10" t="n">
        <f aca="false">F7023*G7023</f>
        <v>3852</v>
      </c>
      <c r="I7023" s="6" t="s">
        <v>5133</v>
      </c>
    </row>
    <row r="7024" customFormat="false" ht="15" hidden="false" customHeight="false" outlineLevel="0" collapsed="false">
      <c r="A7024" s="6" t="s">
        <v>12248</v>
      </c>
      <c r="B7024" s="6" t="s">
        <v>5079</v>
      </c>
      <c r="C7024" s="26" t="n">
        <v>46233</v>
      </c>
      <c r="D7024" s="6" t="s">
        <v>5216</v>
      </c>
      <c r="E7024" s="6" t="s">
        <v>23</v>
      </c>
      <c r="F7024" s="6" t="n">
        <v>1</v>
      </c>
      <c r="G7024" s="10" t="n">
        <v>528</v>
      </c>
      <c r="H7024" s="10" t="n">
        <f aca="false">F7024*G7024</f>
        <v>528</v>
      </c>
      <c r="I7024" s="6" t="s">
        <v>5125</v>
      </c>
    </row>
    <row r="7025" customFormat="false" ht="15" hidden="false" customHeight="false" outlineLevel="0" collapsed="false">
      <c r="A7025" s="6" t="s">
        <v>12249</v>
      </c>
      <c r="B7025" s="6" t="s">
        <v>5051</v>
      </c>
      <c r="C7025" s="26" t="n">
        <v>46233</v>
      </c>
      <c r="D7025" s="6" t="s">
        <v>5156</v>
      </c>
      <c r="E7025" s="6" t="s">
        <v>21</v>
      </c>
      <c r="F7025" s="6" t="n">
        <v>2</v>
      </c>
      <c r="G7025" s="10" t="n">
        <v>2053</v>
      </c>
      <c r="H7025" s="10" t="n">
        <f aca="false">F7025*G7025</f>
        <v>4106</v>
      </c>
      <c r="I7025" s="6" t="s">
        <v>5122</v>
      </c>
    </row>
    <row r="7026" customFormat="false" ht="15" hidden="false" customHeight="false" outlineLevel="0" collapsed="false">
      <c r="A7026" s="6" t="s">
        <v>12250</v>
      </c>
      <c r="B7026" s="6" t="s">
        <v>342</v>
      </c>
      <c r="C7026" s="26" t="n">
        <v>46233</v>
      </c>
      <c r="D7026" s="6" t="s">
        <v>5188</v>
      </c>
      <c r="E7026" s="6" t="s">
        <v>24</v>
      </c>
      <c r="F7026" s="6" t="n">
        <v>2</v>
      </c>
      <c r="G7026" s="10" t="n">
        <v>1018</v>
      </c>
      <c r="H7026" s="10" t="n">
        <f aca="false">F7026*G7026</f>
        <v>2036</v>
      </c>
      <c r="I7026" s="6" t="s">
        <v>5130</v>
      </c>
    </row>
    <row r="7027" customFormat="false" ht="15" hidden="false" customHeight="false" outlineLevel="0" collapsed="false">
      <c r="A7027" s="6" t="s">
        <v>12251</v>
      </c>
      <c r="B7027" s="6" t="s">
        <v>4373</v>
      </c>
      <c r="C7027" s="26" t="n">
        <v>46233</v>
      </c>
      <c r="D7027" s="6" t="s">
        <v>5749</v>
      </c>
      <c r="E7027" s="6" t="s">
        <v>20</v>
      </c>
      <c r="F7027" s="6" t="n">
        <v>1</v>
      </c>
      <c r="G7027" s="10" t="n">
        <v>733</v>
      </c>
      <c r="H7027" s="10" t="n">
        <f aca="false">F7027*G7027</f>
        <v>733</v>
      </c>
      <c r="I7027" s="6" t="s">
        <v>5122</v>
      </c>
    </row>
    <row r="7028" customFormat="false" ht="15" hidden="false" customHeight="false" outlineLevel="0" collapsed="false">
      <c r="A7028" s="6" t="s">
        <v>12252</v>
      </c>
      <c r="B7028" s="6" t="s">
        <v>4085</v>
      </c>
      <c r="C7028" s="26" t="n">
        <v>46233</v>
      </c>
      <c r="D7028" s="6" t="s">
        <v>5163</v>
      </c>
      <c r="E7028" s="6" t="s">
        <v>23</v>
      </c>
      <c r="F7028" s="6" t="n">
        <v>1</v>
      </c>
      <c r="G7028" s="10" t="n">
        <v>744</v>
      </c>
      <c r="H7028" s="10" t="n">
        <f aca="false">F7028*G7028</f>
        <v>744</v>
      </c>
      <c r="I7028" s="6" t="s">
        <v>5133</v>
      </c>
    </row>
    <row r="7029" customFormat="false" ht="15" hidden="false" customHeight="false" outlineLevel="0" collapsed="false">
      <c r="A7029" s="6" t="s">
        <v>12253</v>
      </c>
      <c r="B7029" s="6" t="s">
        <v>3181</v>
      </c>
      <c r="C7029" s="26" t="n">
        <v>46233</v>
      </c>
      <c r="D7029" s="6" t="s">
        <v>5167</v>
      </c>
      <c r="E7029" s="6" t="s">
        <v>22</v>
      </c>
      <c r="F7029" s="6" t="n">
        <v>3</v>
      </c>
      <c r="G7029" s="10" t="n">
        <v>782</v>
      </c>
      <c r="H7029" s="10" t="n">
        <f aca="false">F7029*G7029</f>
        <v>2346</v>
      </c>
      <c r="I7029" s="6" t="s">
        <v>5122</v>
      </c>
    </row>
    <row r="7030" customFormat="false" ht="15" hidden="false" customHeight="false" outlineLevel="0" collapsed="false">
      <c r="A7030" s="6" t="s">
        <v>12254</v>
      </c>
      <c r="B7030" s="6" t="s">
        <v>1779</v>
      </c>
      <c r="C7030" s="26" t="n">
        <v>46233</v>
      </c>
      <c r="D7030" s="6" t="s">
        <v>5863</v>
      </c>
      <c r="E7030" s="6" t="s">
        <v>20</v>
      </c>
      <c r="F7030" s="6" t="n">
        <v>1</v>
      </c>
      <c r="G7030" s="10" t="n">
        <v>20395</v>
      </c>
      <c r="H7030" s="10" t="n">
        <f aca="false">F7030*G7030</f>
        <v>20395</v>
      </c>
      <c r="I7030" s="6" t="s">
        <v>5133</v>
      </c>
    </row>
    <row r="7031" customFormat="false" ht="15" hidden="false" customHeight="false" outlineLevel="0" collapsed="false">
      <c r="A7031" s="6" t="s">
        <v>12255</v>
      </c>
      <c r="B7031" s="6" t="s">
        <v>689</v>
      </c>
      <c r="C7031" s="26" t="n">
        <v>46233</v>
      </c>
      <c r="D7031" s="6" t="s">
        <v>5167</v>
      </c>
      <c r="E7031" s="6" t="s">
        <v>22</v>
      </c>
      <c r="F7031" s="6" t="n">
        <v>1</v>
      </c>
      <c r="G7031" s="10" t="n">
        <v>782</v>
      </c>
      <c r="H7031" s="10" t="n">
        <f aca="false">F7031*G7031</f>
        <v>782</v>
      </c>
      <c r="I7031" s="6" t="s">
        <v>5125</v>
      </c>
    </row>
    <row r="7032" customFormat="false" ht="15" hidden="false" customHeight="false" outlineLevel="0" collapsed="false">
      <c r="A7032" s="6" t="s">
        <v>12256</v>
      </c>
      <c r="B7032" s="6" t="s">
        <v>2101</v>
      </c>
      <c r="C7032" s="26" t="n">
        <v>46233</v>
      </c>
      <c r="D7032" s="6" t="s">
        <v>5165</v>
      </c>
      <c r="E7032" s="6" t="s">
        <v>22</v>
      </c>
      <c r="F7032" s="6" t="n">
        <v>2</v>
      </c>
      <c r="G7032" s="10" t="n">
        <v>977</v>
      </c>
      <c r="H7032" s="10" t="n">
        <f aca="false">F7032*G7032</f>
        <v>1954</v>
      </c>
      <c r="I7032" s="6" t="s">
        <v>5148</v>
      </c>
    </row>
    <row r="7033" customFormat="false" ht="15" hidden="false" customHeight="false" outlineLevel="0" collapsed="false">
      <c r="A7033" s="6" t="s">
        <v>12257</v>
      </c>
      <c r="B7033" s="6" t="s">
        <v>469</v>
      </c>
      <c r="C7033" s="26" t="n">
        <v>46233</v>
      </c>
      <c r="D7033" s="6" t="s">
        <v>5298</v>
      </c>
      <c r="E7033" s="6" t="s">
        <v>23</v>
      </c>
      <c r="F7033" s="6" t="n">
        <v>3</v>
      </c>
      <c r="G7033" s="10" t="n">
        <v>293</v>
      </c>
      <c r="H7033" s="10" t="n">
        <f aca="false">F7033*G7033</f>
        <v>879</v>
      </c>
      <c r="I7033" s="6" t="s">
        <v>5125</v>
      </c>
    </row>
    <row r="7034" customFormat="false" ht="15" hidden="false" customHeight="false" outlineLevel="0" collapsed="false">
      <c r="A7034" s="6" t="s">
        <v>12258</v>
      </c>
      <c r="B7034" s="6" t="s">
        <v>977</v>
      </c>
      <c r="C7034" s="26" t="n">
        <v>46233</v>
      </c>
      <c r="D7034" s="6" t="s">
        <v>5165</v>
      </c>
      <c r="E7034" s="6" t="s">
        <v>22</v>
      </c>
      <c r="F7034" s="6" t="n">
        <v>2</v>
      </c>
      <c r="G7034" s="10" t="n">
        <v>880</v>
      </c>
      <c r="H7034" s="10" t="n">
        <f aca="false">F7034*G7034</f>
        <v>1760</v>
      </c>
      <c r="I7034" s="6" t="s">
        <v>5122</v>
      </c>
    </row>
    <row r="7035" customFormat="false" ht="15" hidden="false" customHeight="false" outlineLevel="0" collapsed="false">
      <c r="A7035" s="6" t="s">
        <v>12259</v>
      </c>
      <c r="B7035" s="6" t="s">
        <v>457</v>
      </c>
      <c r="C7035" s="26" t="n">
        <v>46233</v>
      </c>
      <c r="D7035" s="6" t="s">
        <v>5167</v>
      </c>
      <c r="E7035" s="6" t="s">
        <v>22</v>
      </c>
      <c r="F7035" s="6" t="n">
        <v>1</v>
      </c>
      <c r="G7035" s="10" t="n">
        <v>782</v>
      </c>
      <c r="H7035" s="10" t="n">
        <f aca="false">F7035*G7035</f>
        <v>782</v>
      </c>
      <c r="I7035" s="6" t="s">
        <v>5130</v>
      </c>
    </row>
    <row r="7036" customFormat="false" ht="15" hidden="false" customHeight="false" outlineLevel="0" collapsed="false">
      <c r="A7036" s="6" t="s">
        <v>12260</v>
      </c>
      <c r="B7036" s="6" t="s">
        <v>2067</v>
      </c>
      <c r="C7036" s="26" t="n">
        <v>46233</v>
      </c>
      <c r="D7036" s="6" t="s">
        <v>5269</v>
      </c>
      <c r="E7036" s="6" t="s">
        <v>22</v>
      </c>
      <c r="F7036" s="6" t="n">
        <v>1</v>
      </c>
      <c r="G7036" s="10" t="n">
        <v>1271</v>
      </c>
      <c r="H7036" s="10" t="n">
        <f aca="false">F7036*G7036</f>
        <v>1271</v>
      </c>
      <c r="I7036" s="6" t="s">
        <v>5122</v>
      </c>
    </row>
    <row r="7037" customFormat="false" ht="15" hidden="false" customHeight="false" outlineLevel="0" collapsed="false">
      <c r="A7037" s="6" t="s">
        <v>12261</v>
      </c>
      <c r="B7037" s="6" t="s">
        <v>1499</v>
      </c>
      <c r="C7037" s="26" t="n">
        <v>46233</v>
      </c>
      <c r="D7037" s="6" t="s">
        <v>5143</v>
      </c>
      <c r="E7037" s="6" t="s">
        <v>21</v>
      </c>
      <c r="F7037" s="6" t="n">
        <v>2</v>
      </c>
      <c r="G7037" s="10" t="n">
        <v>1179</v>
      </c>
      <c r="H7037" s="10" t="n">
        <f aca="false">F7037*G7037</f>
        <v>2358</v>
      </c>
      <c r="I7037" s="6" t="s">
        <v>5122</v>
      </c>
    </row>
    <row r="7038" customFormat="false" ht="15" hidden="false" customHeight="false" outlineLevel="0" collapsed="false">
      <c r="A7038" s="6" t="s">
        <v>12262</v>
      </c>
      <c r="B7038" s="6" t="s">
        <v>4117</v>
      </c>
      <c r="C7038" s="26" t="n">
        <v>46233</v>
      </c>
      <c r="D7038" s="6" t="s">
        <v>5156</v>
      </c>
      <c r="E7038" s="6" t="s">
        <v>21</v>
      </c>
      <c r="F7038" s="6" t="n">
        <v>2</v>
      </c>
      <c r="G7038" s="10" t="n">
        <v>2161</v>
      </c>
      <c r="H7038" s="10" t="n">
        <f aca="false">F7038*G7038</f>
        <v>4322</v>
      </c>
      <c r="I7038" s="6" t="s">
        <v>5130</v>
      </c>
    </row>
    <row r="7039" customFormat="false" ht="15" hidden="false" customHeight="false" outlineLevel="0" collapsed="false">
      <c r="A7039" s="6" t="s">
        <v>12263</v>
      </c>
      <c r="B7039" s="6" t="s">
        <v>317</v>
      </c>
      <c r="C7039" s="26" t="n">
        <v>46233</v>
      </c>
      <c r="D7039" s="6" t="s">
        <v>5185</v>
      </c>
      <c r="E7039" s="6" t="s">
        <v>24</v>
      </c>
      <c r="F7039" s="6" t="n">
        <v>3</v>
      </c>
      <c r="G7039" s="10" t="n">
        <v>2140</v>
      </c>
      <c r="H7039" s="10" t="n">
        <f aca="false">F7039*G7039</f>
        <v>6420</v>
      </c>
      <c r="I7039" s="6" t="s">
        <v>5125</v>
      </c>
    </row>
    <row r="7040" customFormat="false" ht="15" hidden="false" customHeight="false" outlineLevel="0" collapsed="false">
      <c r="A7040" s="6" t="s">
        <v>12264</v>
      </c>
      <c r="B7040" s="6" t="s">
        <v>3505</v>
      </c>
      <c r="C7040" s="26" t="n">
        <v>46233</v>
      </c>
      <c r="D7040" s="6" t="s">
        <v>5281</v>
      </c>
      <c r="E7040" s="6" t="s">
        <v>24</v>
      </c>
      <c r="F7040" s="6" t="n">
        <v>1</v>
      </c>
      <c r="G7040" s="10" t="n">
        <v>773</v>
      </c>
      <c r="H7040" s="10" t="n">
        <f aca="false">F7040*G7040</f>
        <v>773</v>
      </c>
      <c r="I7040" s="6" t="s">
        <v>5125</v>
      </c>
    </row>
    <row r="7041" customFormat="false" ht="15" hidden="false" customHeight="false" outlineLevel="0" collapsed="false">
      <c r="A7041" s="6" t="s">
        <v>12265</v>
      </c>
      <c r="B7041" s="6" t="s">
        <v>1567</v>
      </c>
      <c r="C7041" s="26" t="n">
        <v>46233</v>
      </c>
      <c r="D7041" s="6" t="s">
        <v>5165</v>
      </c>
      <c r="E7041" s="6" t="s">
        <v>22</v>
      </c>
      <c r="F7041" s="6" t="n">
        <v>1</v>
      </c>
      <c r="G7041" s="10" t="n">
        <v>977</v>
      </c>
      <c r="H7041" s="10" t="n">
        <f aca="false">F7041*G7041</f>
        <v>977</v>
      </c>
      <c r="I7041" s="6" t="s">
        <v>5122</v>
      </c>
    </row>
    <row r="7042" customFormat="false" ht="15" hidden="false" customHeight="false" outlineLevel="0" collapsed="false">
      <c r="A7042" s="6" t="s">
        <v>12266</v>
      </c>
      <c r="B7042" s="6" t="s">
        <v>837</v>
      </c>
      <c r="C7042" s="26" t="n">
        <v>46233</v>
      </c>
      <c r="D7042" s="6" t="s">
        <v>5163</v>
      </c>
      <c r="E7042" s="6" t="s">
        <v>23</v>
      </c>
      <c r="F7042" s="6" t="n">
        <v>3</v>
      </c>
      <c r="G7042" s="10" t="n">
        <v>783</v>
      </c>
      <c r="H7042" s="10" t="n">
        <f aca="false">F7042*G7042</f>
        <v>2349</v>
      </c>
      <c r="I7042" s="6" t="s">
        <v>5148</v>
      </c>
    </row>
    <row r="7043" customFormat="false" ht="15" hidden="false" customHeight="false" outlineLevel="0" collapsed="false">
      <c r="A7043" s="6" t="s">
        <v>12267</v>
      </c>
      <c r="B7043" s="6" t="s">
        <v>705</v>
      </c>
      <c r="C7043" s="26" t="n">
        <v>46233</v>
      </c>
      <c r="D7043" s="6" t="s">
        <v>5235</v>
      </c>
      <c r="E7043" s="6" t="s">
        <v>21</v>
      </c>
      <c r="F7043" s="6" t="n">
        <v>1</v>
      </c>
      <c r="G7043" s="10" t="n">
        <v>1670</v>
      </c>
      <c r="H7043" s="10" t="n">
        <f aca="false">F7043*G7043</f>
        <v>1670</v>
      </c>
      <c r="I7043" s="6" t="s">
        <v>5122</v>
      </c>
    </row>
    <row r="7044" customFormat="false" ht="15" hidden="false" customHeight="false" outlineLevel="0" collapsed="false">
      <c r="A7044" s="6" t="s">
        <v>12268</v>
      </c>
      <c r="B7044" s="6" t="s">
        <v>3459</v>
      </c>
      <c r="C7044" s="26" t="n">
        <v>46233</v>
      </c>
      <c r="D7044" s="6" t="s">
        <v>5242</v>
      </c>
      <c r="E7044" s="6" t="s">
        <v>23</v>
      </c>
      <c r="F7044" s="6" t="n">
        <v>1</v>
      </c>
      <c r="G7044" s="10" t="n">
        <v>354</v>
      </c>
      <c r="H7044" s="10" t="n">
        <f aca="false">F7044*G7044</f>
        <v>354</v>
      </c>
      <c r="I7044" s="6" t="s">
        <v>5148</v>
      </c>
    </row>
    <row r="7045" customFormat="false" ht="15" hidden="false" customHeight="false" outlineLevel="0" collapsed="false">
      <c r="A7045" s="6" t="s">
        <v>12269</v>
      </c>
      <c r="B7045" s="6" t="s">
        <v>3035</v>
      </c>
      <c r="C7045" s="26" t="n">
        <v>46233</v>
      </c>
      <c r="D7045" s="6" t="s">
        <v>5216</v>
      </c>
      <c r="E7045" s="6" t="s">
        <v>23</v>
      </c>
      <c r="F7045" s="6" t="n">
        <v>4</v>
      </c>
      <c r="G7045" s="10" t="n">
        <v>528</v>
      </c>
      <c r="H7045" s="10" t="n">
        <f aca="false">F7045*G7045</f>
        <v>2112</v>
      </c>
      <c r="I7045" s="6" t="s">
        <v>5148</v>
      </c>
    </row>
    <row r="7046" customFormat="false" ht="15" hidden="false" customHeight="false" outlineLevel="0" collapsed="false">
      <c r="A7046" s="6" t="s">
        <v>12270</v>
      </c>
      <c r="B7046" s="6" t="s">
        <v>4461</v>
      </c>
      <c r="C7046" s="26" t="n">
        <v>46233</v>
      </c>
      <c r="D7046" s="6" t="s">
        <v>5353</v>
      </c>
      <c r="E7046" s="6" t="s">
        <v>24</v>
      </c>
      <c r="F7046" s="6" t="n">
        <v>2</v>
      </c>
      <c r="G7046" s="10" t="n">
        <v>1629</v>
      </c>
      <c r="H7046" s="10" t="n">
        <f aca="false">F7046*G7046</f>
        <v>3258</v>
      </c>
      <c r="I7046" s="6" t="s">
        <v>5125</v>
      </c>
    </row>
    <row r="7047" customFormat="false" ht="15" hidden="false" customHeight="false" outlineLevel="0" collapsed="false">
      <c r="A7047" s="6" t="s">
        <v>12271</v>
      </c>
      <c r="B7047" s="6" t="s">
        <v>1355</v>
      </c>
      <c r="C7047" s="26" t="n">
        <v>46233</v>
      </c>
      <c r="D7047" s="6" t="s">
        <v>5220</v>
      </c>
      <c r="E7047" s="6" t="s">
        <v>24</v>
      </c>
      <c r="F7047" s="6" t="n">
        <v>3</v>
      </c>
      <c r="G7047" s="10" t="n">
        <v>1120</v>
      </c>
      <c r="H7047" s="10" t="n">
        <f aca="false">F7047*G7047</f>
        <v>3360</v>
      </c>
      <c r="I7047" s="6" t="s">
        <v>5130</v>
      </c>
    </row>
    <row r="7048" customFormat="false" ht="15" hidden="false" customHeight="false" outlineLevel="0" collapsed="false">
      <c r="A7048" s="6" t="s">
        <v>12272</v>
      </c>
      <c r="B7048" s="6" t="s">
        <v>1905</v>
      </c>
      <c r="C7048" s="26" t="n">
        <v>46233</v>
      </c>
      <c r="D7048" s="6" t="s">
        <v>5357</v>
      </c>
      <c r="E7048" s="6" t="s">
        <v>23</v>
      </c>
      <c r="F7048" s="6" t="n">
        <v>1</v>
      </c>
      <c r="G7048" s="10" t="n">
        <v>507</v>
      </c>
      <c r="H7048" s="10" t="n">
        <f aca="false">F7048*G7048</f>
        <v>507</v>
      </c>
      <c r="I7048" s="6" t="s">
        <v>5122</v>
      </c>
    </row>
    <row r="7049" customFormat="false" ht="15" hidden="false" customHeight="false" outlineLevel="0" collapsed="false">
      <c r="A7049" s="6" t="s">
        <v>12273</v>
      </c>
      <c r="B7049" s="6" t="s">
        <v>4081</v>
      </c>
      <c r="C7049" s="26" t="n">
        <v>46233</v>
      </c>
      <c r="D7049" s="6" t="s">
        <v>5129</v>
      </c>
      <c r="E7049" s="6" t="s">
        <v>21</v>
      </c>
      <c r="F7049" s="6" t="n">
        <v>1</v>
      </c>
      <c r="G7049" s="10" t="n">
        <v>559</v>
      </c>
      <c r="H7049" s="10" t="n">
        <f aca="false">F7049*G7049</f>
        <v>559</v>
      </c>
      <c r="I7049" s="6" t="s">
        <v>5133</v>
      </c>
    </row>
    <row r="7050" customFormat="false" ht="15" hidden="false" customHeight="false" outlineLevel="0" collapsed="false">
      <c r="A7050" s="6" t="s">
        <v>12274</v>
      </c>
      <c r="B7050" s="6" t="s">
        <v>431</v>
      </c>
      <c r="C7050" s="26" t="n">
        <v>46233</v>
      </c>
      <c r="D7050" s="6" t="s">
        <v>5237</v>
      </c>
      <c r="E7050" s="6" t="s">
        <v>24</v>
      </c>
      <c r="F7050" s="6" t="n">
        <v>1</v>
      </c>
      <c r="G7050" s="10" t="n">
        <v>1833</v>
      </c>
      <c r="H7050" s="10" t="n">
        <f aca="false">F7050*G7050</f>
        <v>1833</v>
      </c>
      <c r="I7050" s="6" t="s">
        <v>5130</v>
      </c>
    </row>
    <row r="7051" customFormat="false" ht="15" hidden="false" customHeight="false" outlineLevel="0" collapsed="false">
      <c r="A7051" s="6" t="s">
        <v>12275</v>
      </c>
      <c r="B7051" s="6" t="s">
        <v>2377</v>
      </c>
      <c r="C7051" s="26" t="n">
        <v>46233</v>
      </c>
      <c r="D7051" s="6" t="s">
        <v>5163</v>
      </c>
      <c r="E7051" s="6" t="s">
        <v>23</v>
      </c>
      <c r="F7051" s="6" t="n">
        <v>1</v>
      </c>
      <c r="G7051" s="10" t="n">
        <v>783</v>
      </c>
      <c r="H7051" s="10" t="n">
        <f aca="false">F7051*G7051</f>
        <v>783</v>
      </c>
      <c r="I7051" s="6" t="s">
        <v>5133</v>
      </c>
    </row>
    <row r="7052" customFormat="false" ht="15" hidden="false" customHeight="false" outlineLevel="0" collapsed="false">
      <c r="A7052" s="6" t="s">
        <v>12276</v>
      </c>
      <c r="B7052" s="6" t="s">
        <v>4521</v>
      </c>
      <c r="C7052" s="26" t="n">
        <v>46233</v>
      </c>
      <c r="D7052" s="6" t="s">
        <v>5837</v>
      </c>
      <c r="E7052" s="6" t="s">
        <v>21</v>
      </c>
      <c r="F7052" s="6" t="n">
        <v>1</v>
      </c>
      <c r="G7052" s="10" t="n">
        <v>2948</v>
      </c>
      <c r="H7052" s="10" t="n">
        <f aca="false">F7052*G7052</f>
        <v>2948</v>
      </c>
      <c r="I7052" s="6" t="s">
        <v>5122</v>
      </c>
    </row>
    <row r="7053" customFormat="false" ht="15" hidden="false" customHeight="false" outlineLevel="0" collapsed="false">
      <c r="A7053" s="6" t="s">
        <v>12277</v>
      </c>
      <c r="B7053" s="6" t="s">
        <v>4051</v>
      </c>
      <c r="C7053" s="26" t="n">
        <v>46233</v>
      </c>
      <c r="D7053" s="6" t="s">
        <v>5171</v>
      </c>
      <c r="E7053" s="6" t="s">
        <v>23</v>
      </c>
      <c r="F7053" s="6" t="n">
        <v>2</v>
      </c>
      <c r="G7053" s="10" t="n">
        <v>734</v>
      </c>
      <c r="H7053" s="10" t="n">
        <f aca="false">F7053*G7053</f>
        <v>1468</v>
      </c>
      <c r="I7053" s="6" t="s">
        <v>5130</v>
      </c>
    </row>
    <row r="7054" customFormat="false" ht="15" hidden="false" customHeight="false" outlineLevel="0" collapsed="false">
      <c r="A7054" s="6" t="s">
        <v>12278</v>
      </c>
      <c r="B7054" s="6" t="s">
        <v>4239</v>
      </c>
      <c r="C7054" s="26" t="n">
        <v>46233</v>
      </c>
      <c r="D7054" s="6" t="s">
        <v>6101</v>
      </c>
      <c r="E7054" s="6" t="s">
        <v>20</v>
      </c>
      <c r="F7054" s="6" t="n">
        <v>1</v>
      </c>
      <c r="G7054" s="10" t="n">
        <v>21313</v>
      </c>
      <c r="H7054" s="10" t="n">
        <f aca="false">F7054*G7054</f>
        <v>21313</v>
      </c>
      <c r="I7054" s="6" t="s">
        <v>5148</v>
      </c>
    </row>
    <row r="7055" customFormat="false" ht="15" hidden="false" customHeight="false" outlineLevel="0" collapsed="false">
      <c r="A7055" s="6" t="s">
        <v>12279</v>
      </c>
      <c r="B7055" s="6" t="s">
        <v>4527</v>
      </c>
      <c r="C7055" s="26" t="n">
        <v>46233</v>
      </c>
      <c r="D7055" s="6" t="s">
        <v>5175</v>
      </c>
      <c r="E7055" s="6" t="s">
        <v>24</v>
      </c>
      <c r="F7055" s="6" t="n">
        <v>1</v>
      </c>
      <c r="G7055" s="10" t="n">
        <v>611</v>
      </c>
      <c r="H7055" s="10" t="n">
        <f aca="false">F7055*G7055</f>
        <v>611</v>
      </c>
      <c r="I7055" s="6" t="s">
        <v>5125</v>
      </c>
    </row>
    <row r="7056" customFormat="false" ht="15" hidden="false" customHeight="false" outlineLevel="0" collapsed="false">
      <c r="A7056" s="6" t="s">
        <v>12280</v>
      </c>
      <c r="B7056" s="6" t="s">
        <v>1279</v>
      </c>
      <c r="C7056" s="26" t="n">
        <v>46234</v>
      </c>
      <c r="D7056" s="6" t="s">
        <v>5398</v>
      </c>
      <c r="E7056" s="6" t="s">
        <v>24</v>
      </c>
      <c r="F7056" s="6" t="n">
        <v>1</v>
      </c>
      <c r="G7056" s="10" t="n">
        <v>549</v>
      </c>
      <c r="H7056" s="10" t="n">
        <f aca="false">F7056*G7056</f>
        <v>549</v>
      </c>
      <c r="I7056" s="6" t="s">
        <v>5148</v>
      </c>
    </row>
    <row r="7057" customFormat="false" ht="15" hidden="false" customHeight="false" outlineLevel="0" collapsed="false">
      <c r="A7057" s="6" t="s">
        <v>12281</v>
      </c>
      <c r="B7057" s="6" t="s">
        <v>1043</v>
      </c>
      <c r="C7057" s="26" t="n">
        <v>46234</v>
      </c>
      <c r="D7057" s="6" t="s">
        <v>5273</v>
      </c>
      <c r="E7057" s="6" t="s">
        <v>23</v>
      </c>
      <c r="F7057" s="6" t="n">
        <v>3</v>
      </c>
      <c r="G7057" s="10" t="n">
        <v>240</v>
      </c>
      <c r="H7057" s="10" t="n">
        <f aca="false">F7057*G7057</f>
        <v>720</v>
      </c>
      <c r="I7057" s="6" t="s">
        <v>5173</v>
      </c>
    </row>
    <row r="7058" customFormat="false" ht="15" hidden="false" customHeight="false" outlineLevel="0" collapsed="false">
      <c r="A7058" s="6" t="s">
        <v>12282</v>
      </c>
      <c r="B7058" s="6" t="s">
        <v>3411</v>
      </c>
      <c r="C7058" s="26" t="n">
        <v>46234</v>
      </c>
      <c r="D7058" s="6" t="s">
        <v>5121</v>
      </c>
      <c r="E7058" s="6" t="s">
        <v>22</v>
      </c>
      <c r="F7058" s="6" t="n">
        <v>2</v>
      </c>
      <c r="G7058" s="10" t="n">
        <v>977</v>
      </c>
      <c r="H7058" s="10" t="n">
        <f aca="false">F7058*G7058</f>
        <v>1954</v>
      </c>
      <c r="I7058" s="6" t="s">
        <v>5148</v>
      </c>
    </row>
    <row r="7059" customFormat="false" ht="15" hidden="false" customHeight="false" outlineLevel="0" collapsed="false">
      <c r="A7059" s="6" t="s">
        <v>12283</v>
      </c>
      <c r="B7059" s="6" t="s">
        <v>2175</v>
      </c>
      <c r="C7059" s="26" t="n">
        <v>46234</v>
      </c>
      <c r="D7059" s="6" t="s">
        <v>5137</v>
      </c>
      <c r="E7059" s="6" t="s">
        <v>21</v>
      </c>
      <c r="F7059" s="6" t="n">
        <v>1</v>
      </c>
      <c r="G7059" s="10" t="n">
        <v>1768</v>
      </c>
      <c r="H7059" s="10" t="n">
        <f aca="false">F7059*G7059</f>
        <v>1768</v>
      </c>
      <c r="I7059" s="6" t="s">
        <v>5122</v>
      </c>
    </row>
    <row r="7060" customFormat="false" ht="15" hidden="false" customHeight="false" outlineLevel="0" collapsed="false">
      <c r="A7060" s="6" t="s">
        <v>12284</v>
      </c>
      <c r="B7060" s="6" t="s">
        <v>1093</v>
      </c>
      <c r="C7060" s="26" t="n">
        <v>46234</v>
      </c>
      <c r="D7060" s="6" t="s">
        <v>5165</v>
      </c>
      <c r="E7060" s="6" t="s">
        <v>22</v>
      </c>
      <c r="F7060" s="6" t="n">
        <v>1</v>
      </c>
      <c r="G7060" s="10" t="n">
        <v>928</v>
      </c>
      <c r="H7060" s="10" t="n">
        <f aca="false">F7060*G7060</f>
        <v>928</v>
      </c>
      <c r="I7060" s="6" t="s">
        <v>5122</v>
      </c>
    </row>
    <row r="7061" customFormat="false" ht="15" hidden="false" customHeight="false" outlineLevel="0" collapsed="false">
      <c r="A7061" s="6" t="s">
        <v>12285</v>
      </c>
      <c r="B7061" s="6" t="s">
        <v>1249</v>
      </c>
      <c r="C7061" s="26" t="n">
        <v>46234</v>
      </c>
      <c r="D7061" s="6" t="s">
        <v>5167</v>
      </c>
      <c r="E7061" s="6" t="s">
        <v>22</v>
      </c>
      <c r="F7061" s="6" t="n">
        <v>1</v>
      </c>
      <c r="G7061" s="10" t="n">
        <v>703</v>
      </c>
      <c r="H7061" s="10" t="n">
        <f aca="false">F7061*G7061</f>
        <v>703</v>
      </c>
      <c r="I7061" s="6" t="s">
        <v>5122</v>
      </c>
    </row>
    <row r="7062" customFormat="false" ht="15" hidden="false" customHeight="false" outlineLevel="0" collapsed="false">
      <c r="A7062" s="6" t="s">
        <v>12286</v>
      </c>
      <c r="B7062" s="6" t="s">
        <v>3317</v>
      </c>
      <c r="C7062" s="26" t="n">
        <v>46234</v>
      </c>
      <c r="D7062" s="6" t="s">
        <v>5167</v>
      </c>
      <c r="E7062" s="6" t="s">
        <v>22</v>
      </c>
      <c r="F7062" s="6" t="n">
        <v>1</v>
      </c>
      <c r="G7062" s="10" t="n">
        <v>782</v>
      </c>
      <c r="H7062" s="10" t="n">
        <f aca="false">F7062*G7062</f>
        <v>782</v>
      </c>
      <c r="I7062" s="6" t="s">
        <v>5122</v>
      </c>
    </row>
    <row r="7063" customFormat="false" ht="15" hidden="false" customHeight="false" outlineLevel="0" collapsed="false">
      <c r="A7063" s="6" t="s">
        <v>12287</v>
      </c>
      <c r="B7063" s="6" t="s">
        <v>2533</v>
      </c>
      <c r="C7063" s="26" t="n">
        <v>46234</v>
      </c>
      <c r="D7063" s="6" t="s">
        <v>5220</v>
      </c>
      <c r="E7063" s="6" t="s">
        <v>24</v>
      </c>
      <c r="F7063" s="6" t="n">
        <v>1</v>
      </c>
      <c r="G7063" s="10" t="n">
        <v>1120</v>
      </c>
      <c r="H7063" s="10" t="n">
        <f aca="false">F7063*G7063</f>
        <v>1120</v>
      </c>
      <c r="I7063" s="6" t="s">
        <v>5148</v>
      </c>
    </row>
    <row r="7064" customFormat="false" ht="15" hidden="false" customHeight="false" outlineLevel="0" collapsed="false">
      <c r="A7064" s="6" t="s">
        <v>12288</v>
      </c>
      <c r="B7064" s="6" t="s">
        <v>1507</v>
      </c>
      <c r="C7064" s="26" t="n">
        <v>46234</v>
      </c>
      <c r="D7064" s="6" t="s">
        <v>5129</v>
      </c>
      <c r="E7064" s="6" t="s">
        <v>21</v>
      </c>
      <c r="F7064" s="6" t="n">
        <v>1</v>
      </c>
      <c r="G7064" s="10" t="n">
        <v>589</v>
      </c>
      <c r="H7064" s="10" t="n">
        <f aca="false">F7064*G7064</f>
        <v>589</v>
      </c>
      <c r="I7064" s="6" t="s">
        <v>5122</v>
      </c>
    </row>
    <row r="7065" customFormat="false" ht="15" hidden="false" customHeight="false" outlineLevel="0" collapsed="false">
      <c r="A7065" s="6" t="s">
        <v>12289</v>
      </c>
      <c r="B7065" s="6" t="s">
        <v>1527</v>
      </c>
      <c r="C7065" s="26" t="n">
        <v>46234</v>
      </c>
      <c r="D7065" s="6" t="s">
        <v>5837</v>
      </c>
      <c r="E7065" s="6" t="s">
        <v>21</v>
      </c>
      <c r="F7065" s="6" t="n">
        <v>1</v>
      </c>
      <c r="G7065" s="10" t="n">
        <v>2800</v>
      </c>
      <c r="H7065" s="10" t="n">
        <f aca="false">F7065*G7065</f>
        <v>2800</v>
      </c>
      <c r="I7065" s="6" t="s">
        <v>5125</v>
      </c>
    </row>
    <row r="7066" customFormat="false" ht="15" hidden="false" customHeight="false" outlineLevel="0" collapsed="false">
      <c r="A7066" s="6" t="s">
        <v>12290</v>
      </c>
      <c r="B7066" s="6" t="s">
        <v>398</v>
      </c>
      <c r="C7066" s="26" t="n">
        <v>46234</v>
      </c>
      <c r="D7066" s="6" t="s">
        <v>5456</v>
      </c>
      <c r="E7066" s="6" t="s">
        <v>24</v>
      </c>
      <c r="F7066" s="6" t="n">
        <v>1</v>
      </c>
      <c r="G7066" s="10" t="n">
        <v>821</v>
      </c>
      <c r="H7066" s="10" t="n">
        <f aca="false">F7066*G7066</f>
        <v>821</v>
      </c>
      <c r="I7066" s="6" t="s">
        <v>5130</v>
      </c>
    </row>
    <row r="7067" customFormat="false" ht="15" hidden="false" customHeight="false" outlineLevel="0" collapsed="false">
      <c r="A7067" s="6" t="s">
        <v>12291</v>
      </c>
      <c r="B7067" s="6" t="s">
        <v>4405</v>
      </c>
      <c r="C7067" s="26" t="n">
        <v>46234</v>
      </c>
      <c r="D7067" s="6" t="s">
        <v>5171</v>
      </c>
      <c r="E7067" s="6" t="s">
        <v>23</v>
      </c>
      <c r="F7067" s="6" t="n">
        <v>4</v>
      </c>
      <c r="G7067" s="10" t="n">
        <v>734</v>
      </c>
      <c r="H7067" s="10" t="n">
        <f aca="false">F7067*G7067</f>
        <v>2936</v>
      </c>
      <c r="I7067" s="6" t="s">
        <v>5130</v>
      </c>
    </row>
    <row r="7068" customFormat="false" ht="15" hidden="false" customHeight="false" outlineLevel="0" collapsed="false">
      <c r="A7068" s="6" t="s">
        <v>12292</v>
      </c>
      <c r="B7068" s="6" t="s">
        <v>3333</v>
      </c>
      <c r="C7068" s="26" t="n">
        <v>46234</v>
      </c>
      <c r="D7068" s="6" t="s">
        <v>5154</v>
      </c>
      <c r="E7068" s="6" t="s">
        <v>21</v>
      </c>
      <c r="F7068" s="6" t="n">
        <v>1</v>
      </c>
      <c r="G7068" s="10" t="n">
        <v>785</v>
      </c>
      <c r="H7068" s="10" t="n">
        <f aca="false">F7068*G7068</f>
        <v>785</v>
      </c>
      <c r="I7068" s="6" t="s">
        <v>5173</v>
      </c>
    </row>
    <row r="7069" customFormat="false" ht="15" hidden="false" customHeight="false" outlineLevel="0" collapsed="false">
      <c r="A7069" s="6" t="s">
        <v>12293</v>
      </c>
      <c r="B7069" s="6" t="s">
        <v>4683</v>
      </c>
      <c r="C7069" s="26" t="n">
        <v>46234</v>
      </c>
      <c r="D7069" s="6" t="s">
        <v>6046</v>
      </c>
      <c r="E7069" s="6" t="s">
        <v>22</v>
      </c>
      <c r="F7069" s="6" t="n">
        <v>2</v>
      </c>
      <c r="G7069" s="10" t="n">
        <v>4181</v>
      </c>
      <c r="H7069" s="10" t="n">
        <f aca="false">F7069*G7069</f>
        <v>8362</v>
      </c>
      <c r="I7069" s="6" t="s">
        <v>5122</v>
      </c>
    </row>
    <row r="7070" customFormat="false" ht="15" hidden="false" customHeight="false" outlineLevel="0" collapsed="false">
      <c r="A7070" s="6" t="s">
        <v>12294</v>
      </c>
      <c r="B7070" s="6" t="s">
        <v>1179</v>
      </c>
      <c r="C7070" s="26" t="n">
        <v>46234</v>
      </c>
      <c r="D7070" s="6" t="s">
        <v>5188</v>
      </c>
      <c r="E7070" s="6" t="s">
        <v>24</v>
      </c>
      <c r="F7070" s="6" t="n">
        <v>1</v>
      </c>
      <c r="G7070" s="10" t="n">
        <v>1018</v>
      </c>
      <c r="H7070" s="10" t="n">
        <f aca="false">F7070*G7070</f>
        <v>1018</v>
      </c>
      <c r="I7070" s="6" t="s">
        <v>5148</v>
      </c>
    </row>
    <row r="7071" customFormat="false" ht="15" hidden="false" customHeight="false" outlineLevel="0" collapsed="false">
      <c r="A7071" s="6" t="s">
        <v>12295</v>
      </c>
      <c r="B7071" s="6" t="s">
        <v>529</v>
      </c>
      <c r="C7071" s="26" t="n">
        <v>46234</v>
      </c>
      <c r="D7071" s="6" t="s">
        <v>5207</v>
      </c>
      <c r="E7071" s="6" t="s">
        <v>20</v>
      </c>
      <c r="F7071" s="6" t="n">
        <v>1</v>
      </c>
      <c r="G7071" s="10" t="n">
        <v>1325</v>
      </c>
      <c r="H7071" s="10" t="n">
        <f aca="false">F7071*G7071</f>
        <v>1325</v>
      </c>
      <c r="I7071" s="6" t="s">
        <v>5122</v>
      </c>
    </row>
    <row r="7072" customFormat="false" ht="15" hidden="false" customHeight="false" outlineLevel="0" collapsed="false">
      <c r="A7072" s="6" t="s">
        <v>12296</v>
      </c>
      <c r="B7072" s="6" t="s">
        <v>3131</v>
      </c>
      <c r="C7072" s="26" t="n">
        <v>46234</v>
      </c>
      <c r="D7072" s="6" t="s">
        <v>5357</v>
      </c>
      <c r="E7072" s="6" t="s">
        <v>23</v>
      </c>
      <c r="F7072" s="6" t="n">
        <v>2</v>
      </c>
      <c r="G7072" s="10" t="n">
        <v>534</v>
      </c>
      <c r="H7072" s="10" t="n">
        <f aca="false">F7072*G7072</f>
        <v>1068</v>
      </c>
      <c r="I7072" s="6" t="s">
        <v>5122</v>
      </c>
    </row>
    <row r="7073" customFormat="false" ht="15" hidden="false" customHeight="false" outlineLevel="0" collapsed="false">
      <c r="A7073" s="6" t="s">
        <v>12297</v>
      </c>
      <c r="B7073" s="6" t="s">
        <v>3959</v>
      </c>
      <c r="C7073" s="26" t="n">
        <v>46234</v>
      </c>
      <c r="D7073" s="6" t="s">
        <v>5160</v>
      </c>
      <c r="E7073" s="6" t="s">
        <v>21</v>
      </c>
      <c r="F7073" s="6" t="n">
        <v>3</v>
      </c>
      <c r="G7073" s="10" t="n">
        <v>2614</v>
      </c>
      <c r="H7073" s="10" t="n">
        <f aca="false">F7073*G7073</f>
        <v>7842</v>
      </c>
      <c r="I7073" s="6" t="s">
        <v>5130</v>
      </c>
    </row>
    <row r="7074" customFormat="false" ht="15" hidden="false" customHeight="false" outlineLevel="0" collapsed="false">
      <c r="A7074" s="6" t="s">
        <v>12298</v>
      </c>
      <c r="B7074" s="6" t="s">
        <v>258</v>
      </c>
      <c r="C7074" s="26" t="n">
        <v>46234</v>
      </c>
      <c r="D7074" s="6" t="s">
        <v>5232</v>
      </c>
      <c r="E7074" s="6" t="s">
        <v>23</v>
      </c>
      <c r="F7074" s="6" t="n">
        <v>2</v>
      </c>
      <c r="G7074" s="10" t="n">
        <v>206</v>
      </c>
      <c r="H7074" s="10" t="n">
        <f aca="false">F7074*G7074</f>
        <v>412</v>
      </c>
      <c r="I7074" s="6" t="s">
        <v>5122</v>
      </c>
    </row>
    <row r="7075" customFormat="false" ht="15" hidden="false" customHeight="false" outlineLevel="0" collapsed="false">
      <c r="A7075" s="6" t="s">
        <v>12299</v>
      </c>
      <c r="B7075" s="6" t="s">
        <v>3973</v>
      </c>
      <c r="C7075" s="26" t="n">
        <v>46234</v>
      </c>
      <c r="D7075" s="6" t="s">
        <v>5561</v>
      </c>
      <c r="E7075" s="6" t="s">
        <v>20</v>
      </c>
      <c r="F7075" s="6" t="n">
        <v>1</v>
      </c>
      <c r="G7075" s="10" t="n">
        <v>3027</v>
      </c>
      <c r="H7075" s="10" t="n">
        <f aca="false">F7075*G7075</f>
        <v>3027</v>
      </c>
      <c r="I7075" s="6" t="s">
        <v>5148</v>
      </c>
    </row>
    <row r="7076" customFormat="false" ht="15" hidden="false" customHeight="false" outlineLevel="0" collapsed="false">
      <c r="A7076" s="6" t="s">
        <v>12300</v>
      </c>
      <c r="B7076" s="6" t="s">
        <v>3087</v>
      </c>
      <c r="C7076" s="26" t="n">
        <v>46234</v>
      </c>
      <c r="D7076" s="6" t="s">
        <v>5147</v>
      </c>
      <c r="E7076" s="6" t="s">
        <v>24</v>
      </c>
      <c r="F7076" s="6" t="n">
        <v>1</v>
      </c>
      <c r="G7076" s="10" t="n">
        <v>661</v>
      </c>
      <c r="H7076" s="10" t="n">
        <f aca="false">F7076*G7076</f>
        <v>661</v>
      </c>
      <c r="I7076" s="6" t="s">
        <v>5122</v>
      </c>
    </row>
    <row r="7077" customFormat="false" ht="15" hidden="false" customHeight="false" outlineLevel="0" collapsed="false">
      <c r="A7077" s="6" t="s">
        <v>12301</v>
      </c>
      <c r="B7077" s="6" t="s">
        <v>138</v>
      </c>
      <c r="C7077" s="26" t="n">
        <v>46234</v>
      </c>
      <c r="D7077" s="6" t="s">
        <v>5139</v>
      </c>
      <c r="E7077" s="6" t="s">
        <v>23</v>
      </c>
      <c r="F7077" s="6" t="n">
        <v>2</v>
      </c>
      <c r="G7077" s="10" t="n">
        <v>279</v>
      </c>
      <c r="H7077" s="10" t="n">
        <f aca="false">F7077*G7077</f>
        <v>558</v>
      </c>
      <c r="I7077" s="6" t="s">
        <v>5173</v>
      </c>
    </row>
    <row r="7078" customFormat="false" ht="15" hidden="false" customHeight="false" outlineLevel="0" collapsed="false">
      <c r="A7078" s="6" t="s">
        <v>12302</v>
      </c>
      <c r="B7078" s="6" t="s">
        <v>3927</v>
      </c>
      <c r="C7078" s="26" t="n">
        <v>46234</v>
      </c>
      <c r="D7078" s="6" t="s">
        <v>5242</v>
      </c>
      <c r="E7078" s="6" t="s">
        <v>23</v>
      </c>
      <c r="F7078" s="6" t="n">
        <v>1</v>
      </c>
      <c r="G7078" s="10" t="n">
        <v>334</v>
      </c>
      <c r="H7078" s="10" t="n">
        <f aca="false">F7078*G7078</f>
        <v>334</v>
      </c>
      <c r="I7078" s="6" t="s">
        <v>5125</v>
      </c>
    </row>
    <row r="7079" customFormat="false" ht="15" hidden="false" customHeight="false" outlineLevel="0" collapsed="false">
      <c r="A7079" s="6" t="s">
        <v>12303</v>
      </c>
      <c r="B7079" s="6" t="s">
        <v>3257</v>
      </c>
      <c r="C7079" s="26" t="n">
        <v>46234</v>
      </c>
      <c r="D7079" s="6" t="s">
        <v>5167</v>
      </c>
      <c r="E7079" s="6" t="s">
        <v>22</v>
      </c>
      <c r="F7079" s="6" t="n">
        <v>2</v>
      </c>
      <c r="G7079" s="10" t="n">
        <v>782</v>
      </c>
      <c r="H7079" s="10" t="n">
        <f aca="false">F7079*G7079</f>
        <v>1564</v>
      </c>
      <c r="I7079" s="6" t="s">
        <v>5122</v>
      </c>
    </row>
    <row r="7080" customFormat="false" ht="15" hidden="false" customHeight="false" outlineLevel="0" collapsed="false">
      <c r="A7080" s="6" t="s">
        <v>12304</v>
      </c>
      <c r="B7080" s="6" t="s">
        <v>2469</v>
      </c>
      <c r="C7080" s="26" t="n">
        <v>46234</v>
      </c>
      <c r="D7080" s="6" t="s">
        <v>5180</v>
      </c>
      <c r="E7080" s="6" t="s">
        <v>24</v>
      </c>
      <c r="F7080" s="6" t="n">
        <v>2</v>
      </c>
      <c r="G7080" s="10" t="n">
        <v>1888</v>
      </c>
      <c r="H7080" s="10" t="n">
        <f aca="false">F7080*G7080</f>
        <v>3776</v>
      </c>
      <c r="I7080" s="6" t="s">
        <v>5148</v>
      </c>
    </row>
    <row r="7081" customFormat="false" ht="15" hidden="false" customHeight="false" outlineLevel="0" collapsed="false">
      <c r="A7081" s="6" t="s">
        <v>12305</v>
      </c>
      <c r="B7081" s="6" t="s">
        <v>3181</v>
      </c>
      <c r="C7081" s="26" t="n">
        <v>46234</v>
      </c>
      <c r="D7081" s="6" t="s">
        <v>5121</v>
      </c>
      <c r="E7081" s="6" t="s">
        <v>22</v>
      </c>
      <c r="F7081" s="6" t="n">
        <v>2</v>
      </c>
      <c r="G7081" s="10" t="n">
        <v>880</v>
      </c>
      <c r="H7081" s="10" t="n">
        <f aca="false">F7081*G7081</f>
        <v>1760</v>
      </c>
      <c r="I7081" s="6" t="s">
        <v>5122</v>
      </c>
    </row>
    <row r="7082" customFormat="false" ht="15" hidden="false" customHeight="false" outlineLevel="0" collapsed="false">
      <c r="A7082" s="6" t="s">
        <v>12306</v>
      </c>
      <c r="B7082" s="6" t="s">
        <v>761</v>
      </c>
      <c r="C7082" s="26" t="n">
        <v>46234</v>
      </c>
      <c r="D7082" s="6" t="s">
        <v>5423</v>
      </c>
      <c r="E7082" s="6" t="s">
        <v>21</v>
      </c>
      <c r="F7082" s="6" t="n">
        <v>1</v>
      </c>
      <c r="G7082" s="10" t="n">
        <v>3243</v>
      </c>
      <c r="H7082" s="10" t="n">
        <f aca="false">F7082*G7082</f>
        <v>3243</v>
      </c>
      <c r="I7082" s="6" t="s">
        <v>5122</v>
      </c>
    </row>
    <row r="7083" customFormat="false" ht="15" hidden="false" customHeight="false" outlineLevel="0" collapsed="false">
      <c r="A7083" s="6" t="s">
        <v>12307</v>
      </c>
      <c r="B7083" s="6" t="s">
        <v>3741</v>
      </c>
      <c r="C7083" s="26" t="n">
        <v>46234</v>
      </c>
      <c r="D7083" s="6" t="s">
        <v>5141</v>
      </c>
      <c r="E7083" s="6" t="s">
        <v>20</v>
      </c>
      <c r="F7083" s="6" t="n">
        <v>1</v>
      </c>
      <c r="G7083" s="10" t="n">
        <v>1835</v>
      </c>
      <c r="H7083" s="10" t="n">
        <f aca="false">F7083*G7083</f>
        <v>1835</v>
      </c>
      <c r="I7083" s="6" t="s">
        <v>5125</v>
      </c>
    </row>
    <row r="7084" customFormat="false" ht="15" hidden="false" customHeight="false" outlineLevel="0" collapsed="false">
      <c r="A7084" s="6" t="s">
        <v>12308</v>
      </c>
      <c r="B7084" s="6" t="s">
        <v>809</v>
      </c>
      <c r="C7084" s="26" t="n">
        <v>46234</v>
      </c>
      <c r="D7084" s="6" t="s">
        <v>5165</v>
      </c>
      <c r="E7084" s="6" t="s">
        <v>22</v>
      </c>
      <c r="F7084" s="6" t="n">
        <v>1</v>
      </c>
      <c r="G7084" s="10" t="n">
        <v>977</v>
      </c>
      <c r="H7084" s="10" t="n">
        <f aca="false">F7084*G7084</f>
        <v>977</v>
      </c>
      <c r="I7084" s="6" t="s">
        <v>5130</v>
      </c>
    </row>
    <row r="7085" customFormat="false" ht="15" hidden="false" customHeight="false" outlineLevel="0" collapsed="false">
      <c r="A7085" s="6" t="s">
        <v>12309</v>
      </c>
      <c r="B7085" s="6" t="s">
        <v>4509</v>
      </c>
      <c r="C7085" s="26" t="n">
        <v>46234</v>
      </c>
      <c r="D7085" s="6" t="s">
        <v>5214</v>
      </c>
      <c r="E7085" s="6" t="s">
        <v>20</v>
      </c>
      <c r="F7085" s="6" t="n">
        <v>2</v>
      </c>
      <c r="G7085" s="10" t="n">
        <v>2039</v>
      </c>
      <c r="H7085" s="10" t="n">
        <f aca="false">F7085*G7085</f>
        <v>4078</v>
      </c>
      <c r="I7085" s="6" t="s">
        <v>5122</v>
      </c>
    </row>
    <row r="7086" customFormat="false" ht="15" hidden="false" customHeight="false" outlineLevel="0" collapsed="false">
      <c r="A7086" s="6" t="s">
        <v>12310</v>
      </c>
      <c r="B7086" s="6" t="s">
        <v>723</v>
      </c>
      <c r="C7086" s="26" t="n">
        <v>46234</v>
      </c>
      <c r="D7086" s="6" t="s">
        <v>5298</v>
      </c>
      <c r="E7086" s="6" t="s">
        <v>23</v>
      </c>
      <c r="F7086" s="6" t="n">
        <v>2</v>
      </c>
      <c r="G7086" s="10" t="n">
        <v>293</v>
      </c>
      <c r="H7086" s="10" t="n">
        <f aca="false">F7086*G7086</f>
        <v>586</v>
      </c>
      <c r="I7086" s="6" t="s">
        <v>5125</v>
      </c>
    </row>
    <row r="7087" customFormat="false" ht="15" hidden="false" customHeight="false" outlineLevel="0" collapsed="false">
      <c r="A7087" s="6" t="s">
        <v>12311</v>
      </c>
      <c r="B7087" s="6" t="s">
        <v>2027</v>
      </c>
      <c r="C7087" s="26" t="n">
        <v>46234</v>
      </c>
      <c r="D7087" s="6" t="s">
        <v>5154</v>
      </c>
      <c r="E7087" s="6" t="s">
        <v>21</v>
      </c>
      <c r="F7087" s="6" t="n">
        <v>1</v>
      </c>
      <c r="G7087" s="10" t="n">
        <v>707</v>
      </c>
      <c r="H7087" s="10" t="n">
        <f aca="false">F7087*G7087</f>
        <v>707</v>
      </c>
      <c r="I7087" s="6" t="s">
        <v>5148</v>
      </c>
    </row>
    <row r="7088" customFormat="false" ht="15" hidden="false" customHeight="false" outlineLevel="0" collapsed="false">
      <c r="A7088" s="6" t="s">
        <v>12312</v>
      </c>
      <c r="B7088" s="6" t="s">
        <v>2707</v>
      </c>
      <c r="C7088" s="26" t="n">
        <v>46234</v>
      </c>
      <c r="D7088" s="6" t="s">
        <v>5182</v>
      </c>
      <c r="E7088" s="6" t="s">
        <v>23</v>
      </c>
      <c r="F7088" s="6" t="n">
        <v>2</v>
      </c>
      <c r="G7088" s="10" t="n">
        <v>349</v>
      </c>
      <c r="H7088" s="10" t="n">
        <f aca="false">F7088*G7088</f>
        <v>698</v>
      </c>
      <c r="I7088" s="6" t="s">
        <v>5122</v>
      </c>
    </row>
    <row r="7089" customFormat="false" ht="15" hidden="false" customHeight="false" outlineLevel="0" collapsed="false">
      <c r="A7089" s="6" t="s">
        <v>12313</v>
      </c>
      <c r="B7089" s="6" t="s">
        <v>3283</v>
      </c>
      <c r="C7089" s="26" t="n">
        <v>46234</v>
      </c>
      <c r="D7089" s="6" t="s">
        <v>5124</v>
      </c>
      <c r="E7089" s="6" t="s">
        <v>21</v>
      </c>
      <c r="F7089" s="6" t="n">
        <v>2</v>
      </c>
      <c r="G7089" s="10" t="n">
        <v>3267</v>
      </c>
      <c r="H7089" s="10" t="n">
        <f aca="false">F7089*G7089</f>
        <v>6534</v>
      </c>
      <c r="I7089" s="6" t="s">
        <v>5148</v>
      </c>
    </row>
    <row r="7090" customFormat="false" ht="15" hidden="false" customHeight="false" outlineLevel="0" collapsed="false">
      <c r="A7090" s="6" t="s">
        <v>12314</v>
      </c>
      <c r="B7090" s="6" t="s">
        <v>4863</v>
      </c>
      <c r="C7090" s="26" t="n">
        <v>46234</v>
      </c>
      <c r="D7090" s="6" t="s">
        <v>5167</v>
      </c>
      <c r="E7090" s="6" t="s">
        <v>22</v>
      </c>
      <c r="F7090" s="6" t="n">
        <v>2</v>
      </c>
      <c r="G7090" s="10" t="n">
        <v>782</v>
      </c>
      <c r="H7090" s="10" t="n">
        <f aca="false">F7090*G7090</f>
        <v>1564</v>
      </c>
      <c r="I7090" s="6" t="s">
        <v>5133</v>
      </c>
    </row>
    <row r="7091" customFormat="false" ht="15" hidden="false" customHeight="false" outlineLevel="0" collapsed="false">
      <c r="A7091" s="6" t="s">
        <v>12315</v>
      </c>
      <c r="B7091" s="6" t="s">
        <v>1069</v>
      </c>
      <c r="C7091" s="26" t="n">
        <v>46234</v>
      </c>
      <c r="D7091" s="6" t="s">
        <v>5237</v>
      </c>
      <c r="E7091" s="6" t="s">
        <v>24</v>
      </c>
      <c r="F7091" s="6" t="n">
        <v>1</v>
      </c>
      <c r="G7091" s="10" t="n">
        <v>1834</v>
      </c>
      <c r="H7091" s="10" t="n">
        <f aca="false">F7091*G7091</f>
        <v>1834</v>
      </c>
      <c r="I7091" s="6" t="s">
        <v>5130</v>
      </c>
    </row>
    <row r="7092" customFormat="false" ht="15" hidden="false" customHeight="false" outlineLevel="0" collapsed="false">
      <c r="A7092" s="6" t="s">
        <v>12316</v>
      </c>
      <c r="B7092" s="6" t="s">
        <v>931</v>
      </c>
      <c r="C7092" s="26" t="n">
        <v>46235</v>
      </c>
      <c r="D7092" s="6" t="s">
        <v>5460</v>
      </c>
      <c r="E7092" s="6" t="s">
        <v>24</v>
      </c>
      <c r="F7092" s="6" t="n">
        <v>2</v>
      </c>
      <c r="G7092" s="10" t="n">
        <v>528</v>
      </c>
      <c r="H7092" s="10" t="n">
        <f aca="false">F7092*G7092</f>
        <v>1056</v>
      </c>
      <c r="I7092" s="6" t="s">
        <v>5130</v>
      </c>
    </row>
    <row r="7093" customFormat="false" ht="15" hidden="false" customHeight="false" outlineLevel="0" collapsed="false">
      <c r="A7093" s="6" t="s">
        <v>12317</v>
      </c>
      <c r="B7093" s="6" t="s">
        <v>637</v>
      </c>
      <c r="C7093" s="26" t="n">
        <v>46235</v>
      </c>
      <c r="D7093" s="6" t="s">
        <v>5313</v>
      </c>
      <c r="E7093" s="6" t="s">
        <v>22</v>
      </c>
      <c r="F7093" s="6" t="n">
        <v>2</v>
      </c>
      <c r="G7093" s="10" t="n">
        <v>1584</v>
      </c>
      <c r="H7093" s="10" t="n">
        <f aca="false">F7093*G7093</f>
        <v>3168</v>
      </c>
      <c r="I7093" s="6" t="s">
        <v>5148</v>
      </c>
    </row>
    <row r="7094" customFormat="false" ht="15" hidden="false" customHeight="false" outlineLevel="0" collapsed="false">
      <c r="A7094" s="6" t="s">
        <v>12318</v>
      </c>
      <c r="B7094" s="6" t="s">
        <v>1583</v>
      </c>
      <c r="C7094" s="26" t="n">
        <v>46235</v>
      </c>
      <c r="D7094" s="6" t="s">
        <v>5683</v>
      </c>
      <c r="E7094" s="6" t="s">
        <v>22</v>
      </c>
      <c r="F7094" s="6" t="n">
        <v>1</v>
      </c>
      <c r="G7094" s="10" t="n">
        <v>1672</v>
      </c>
      <c r="H7094" s="10" t="n">
        <f aca="false">F7094*G7094</f>
        <v>1672</v>
      </c>
      <c r="I7094" s="6" t="s">
        <v>5122</v>
      </c>
    </row>
    <row r="7095" customFormat="false" ht="15" hidden="false" customHeight="false" outlineLevel="0" collapsed="false">
      <c r="A7095" s="6" t="s">
        <v>12319</v>
      </c>
      <c r="B7095" s="6" t="s">
        <v>1841</v>
      </c>
      <c r="C7095" s="26" t="n">
        <v>46235</v>
      </c>
      <c r="D7095" s="6" t="s">
        <v>5466</v>
      </c>
      <c r="E7095" s="6" t="s">
        <v>21</v>
      </c>
      <c r="F7095" s="6" t="n">
        <v>1</v>
      </c>
      <c r="G7095" s="10" t="n">
        <v>1867</v>
      </c>
      <c r="H7095" s="10" t="n">
        <f aca="false">F7095*G7095</f>
        <v>1867</v>
      </c>
      <c r="I7095" s="6" t="s">
        <v>5122</v>
      </c>
    </row>
    <row r="7096" customFormat="false" ht="15" hidden="false" customHeight="false" outlineLevel="0" collapsed="false">
      <c r="A7096" s="6" t="s">
        <v>12320</v>
      </c>
      <c r="B7096" s="6" t="s">
        <v>3701</v>
      </c>
      <c r="C7096" s="26" t="n">
        <v>46235</v>
      </c>
      <c r="D7096" s="6" t="s">
        <v>5216</v>
      </c>
      <c r="E7096" s="6" t="s">
        <v>23</v>
      </c>
      <c r="F7096" s="6" t="n">
        <v>1</v>
      </c>
      <c r="G7096" s="10" t="n">
        <v>587</v>
      </c>
      <c r="H7096" s="10" t="n">
        <f aca="false">F7096*G7096</f>
        <v>587</v>
      </c>
      <c r="I7096" s="6" t="s">
        <v>5148</v>
      </c>
    </row>
    <row r="7097" customFormat="false" ht="15" hidden="false" customHeight="false" outlineLevel="0" collapsed="false">
      <c r="A7097" s="6" t="s">
        <v>12321</v>
      </c>
      <c r="B7097" s="6" t="s">
        <v>4265</v>
      </c>
      <c r="C7097" s="26" t="n">
        <v>46235</v>
      </c>
      <c r="D7097" s="6" t="s">
        <v>5171</v>
      </c>
      <c r="E7097" s="6" t="s">
        <v>23</v>
      </c>
      <c r="F7097" s="6" t="n">
        <v>2</v>
      </c>
      <c r="G7097" s="10" t="n">
        <v>734</v>
      </c>
      <c r="H7097" s="10" t="n">
        <f aca="false">F7097*G7097</f>
        <v>1468</v>
      </c>
      <c r="I7097" s="6" t="s">
        <v>5122</v>
      </c>
    </row>
    <row r="7098" customFormat="false" ht="15" hidden="false" customHeight="false" outlineLevel="0" collapsed="false">
      <c r="A7098" s="6" t="s">
        <v>12322</v>
      </c>
      <c r="B7098" s="6" t="s">
        <v>295</v>
      </c>
      <c r="C7098" s="26" t="n">
        <v>46235</v>
      </c>
      <c r="D7098" s="6" t="s">
        <v>5357</v>
      </c>
      <c r="E7098" s="6" t="s">
        <v>23</v>
      </c>
      <c r="F7098" s="6" t="n">
        <v>3</v>
      </c>
      <c r="G7098" s="10" t="n">
        <v>534</v>
      </c>
      <c r="H7098" s="10" t="n">
        <f aca="false">F7098*G7098</f>
        <v>1602</v>
      </c>
      <c r="I7098" s="6" t="s">
        <v>5122</v>
      </c>
    </row>
    <row r="7099" customFormat="false" ht="15" hidden="false" customHeight="false" outlineLevel="0" collapsed="false">
      <c r="A7099" s="6" t="s">
        <v>12323</v>
      </c>
      <c r="B7099" s="6" t="s">
        <v>1735</v>
      </c>
      <c r="C7099" s="26" t="n">
        <v>46235</v>
      </c>
      <c r="D7099" s="6" t="s">
        <v>5135</v>
      </c>
      <c r="E7099" s="6" t="s">
        <v>23</v>
      </c>
      <c r="F7099" s="6" t="n">
        <v>5</v>
      </c>
      <c r="G7099" s="10" t="n">
        <v>419</v>
      </c>
      <c r="H7099" s="10" t="n">
        <f aca="false">F7099*G7099</f>
        <v>2095</v>
      </c>
      <c r="I7099" s="6" t="s">
        <v>5122</v>
      </c>
    </row>
    <row r="7100" customFormat="false" ht="15" hidden="false" customHeight="false" outlineLevel="0" collapsed="false">
      <c r="A7100" s="6" t="s">
        <v>12324</v>
      </c>
      <c r="B7100" s="6" t="s">
        <v>4145</v>
      </c>
      <c r="C7100" s="26" t="n">
        <v>46235</v>
      </c>
      <c r="D7100" s="6" t="s">
        <v>5298</v>
      </c>
      <c r="E7100" s="6" t="s">
        <v>23</v>
      </c>
      <c r="F7100" s="6" t="n">
        <v>3</v>
      </c>
      <c r="G7100" s="10" t="n">
        <v>293</v>
      </c>
      <c r="H7100" s="10" t="n">
        <f aca="false">F7100*G7100</f>
        <v>879</v>
      </c>
      <c r="I7100" s="6" t="s">
        <v>5125</v>
      </c>
    </row>
    <row r="7101" customFormat="false" ht="15" hidden="false" customHeight="false" outlineLevel="0" collapsed="false">
      <c r="A7101" s="6" t="s">
        <v>12325</v>
      </c>
      <c r="B7101" s="6" t="s">
        <v>4425</v>
      </c>
      <c r="C7101" s="26" t="n">
        <v>46235</v>
      </c>
      <c r="D7101" s="6" t="s">
        <v>5353</v>
      </c>
      <c r="E7101" s="6" t="s">
        <v>24</v>
      </c>
      <c r="F7101" s="6" t="n">
        <v>1</v>
      </c>
      <c r="G7101" s="10" t="n">
        <v>1629</v>
      </c>
      <c r="H7101" s="10" t="n">
        <f aca="false">F7101*G7101</f>
        <v>1629</v>
      </c>
      <c r="I7101" s="6" t="s">
        <v>5125</v>
      </c>
    </row>
    <row r="7102" customFormat="false" ht="15" hidden="false" customHeight="false" outlineLevel="0" collapsed="false">
      <c r="A7102" s="6" t="s">
        <v>12326</v>
      </c>
      <c r="B7102" s="6" t="s">
        <v>404</v>
      </c>
      <c r="C7102" s="26" t="n">
        <v>46235</v>
      </c>
      <c r="D7102" s="6" t="s">
        <v>5194</v>
      </c>
      <c r="E7102" s="6" t="s">
        <v>22</v>
      </c>
      <c r="F7102" s="6" t="n">
        <v>1</v>
      </c>
      <c r="G7102" s="10" t="n">
        <v>2044</v>
      </c>
      <c r="H7102" s="10" t="n">
        <f aca="false">F7102*G7102</f>
        <v>2044</v>
      </c>
      <c r="I7102" s="6" t="s">
        <v>5148</v>
      </c>
    </row>
    <row r="7103" customFormat="false" ht="15" hidden="false" customHeight="false" outlineLevel="0" collapsed="false">
      <c r="A7103" s="6" t="s">
        <v>12327</v>
      </c>
      <c r="B7103" s="6" t="s">
        <v>4819</v>
      </c>
      <c r="C7103" s="26" t="n">
        <v>46235</v>
      </c>
      <c r="D7103" s="6" t="s">
        <v>5226</v>
      </c>
      <c r="E7103" s="6" t="s">
        <v>24</v>
      </c>
      <c r="F7103" s="6" t="n">
        <v>1</v>
      </c>
      <c r="G7103" s="10" t="n">
        <v>435</v>
      </c>
      <c r="H7103" s="10" t="n">
        <f aca="false">F7103*G7103</f>
        <v>435</v>
      </c>
      <c r="I7103" s="6" t="s">
        <v>5122</v>
      </c>
    </row>
    <row r="7104" customFormat="false" ht="15" hidden="false" customHeight="false" outlineLevel="0" collapsed="false">
      <c r="A7104" s="6" t="s">
        <v>12328</v>
      </c>
      <c r="B7104" s="6" t="s">
        <v>3979</v>
      </c>
      <c r="C7104" s="26" t="n">
        <v>46235</v>
      </c>
      <c r="D7104" s="6" t="s">
        <v>5202</v>
      </c>
      <c r="E7104" s="6" t="s">
        <v>23</v>
      </c>
      <c r="F7104" s="6" t="n">
        <v>4</v>
      </c>
      <c r="G7104" s="10" t="n">
        <v>220</v>
      </c>
      <c r="H7104" s="10" t="n">
        <f aca="false">F7104*G7104</f>
        <v>880</v>
      </c>
      <c r="I7104" s="6" t="s">
        <v>5133</v>
      </c>
    </row>
    <row r="7105" customFormat="false" ht="15" hidden="false" customHeight="false" outlineLevel="0" collapsed="false">
      <c r="A7105" s="6" t="s">
        <v>12329</v>
      </c>
      <c r="B7105" s="6" t="s">
        <v>4501</v>
      </c>
      <c r="C7105" s="26" t="n">
        <v>46235</v>
      </c>
      <c r="D7105" s="6" t="s">
        <v>5121</v>
      </c>
      <c r="E7105" s="6" t="s">
        <v>22</v>
      </c>
      <c r="F7105" s="6" t="n">
        <v>1</v>
      </c>
      <c r="G7105" s="10" t="n">
        <v>977</v>
      </c>
      <c r="H7105" s="10" t="n">
        <f aca="false">F7105*G7105</f>
        <v>977</v>
      </c>
      <c r="I7105" s="6" t="s">
        <v>5122</v>
      </c>
    </row>
    <row r="7106" customFormat="false" ht="15" hidden="false" customHeight="false" outlineLevel="0" collapsed="false">
      <c r="A7106" s="6" t="s">
        <v>12330</v>
      </c>
      <c r="B7106" s="6" t="s">
        <v>1993</v>
      </c>
      <c r="C7106" s="26" t="n">
        <v>46235</v>
      </c>
      <c r="D7106" s="6" t="s">
        <v>5132</v>
      </c>
      <c r="E7106" s="6" t="s">
        <v>23</v>
      </c>
      <c r="F7106" s="6" t="n">
        <v>4</v>
      </c>
      <c r="G7106" s="10" t="n">
        <v>308</v>
      </c>
      <c r="H7106" s="10" t="n">
        <f aca="false">F7106*G7106</f>
        <v>1232</v>
      </c>
      <c r="I7106" s="6" t="s">
        <v>5122</v>
      </c>
    </row>
    <row r="7107" customFormat="false" ht="15" hidden="false" customHeight="false" outlineLevel="0" collapsed="false">
      <c r="A7107" s="6" t="s">
        <v>12331</v>
      </c>
      <c r="B7107" s="6" t="s">
        <v>2719</v>
      </c>
      <c r="C7107" s="26" t="n">
        <v>46235</v>
      </c>
      <c r="D7107" s="6" t="s">
        <v>5326</v>
      </c>
      <c r="E7107" s="6" t="s">
        <v>22</v>
      </c>
      <c r="F7107" s="6" t="n">
        <v>1</v>
      </c>
      <c r="G7107" s="10" t="n">
        <v>1320</v>
      </c>
      <c r="H7107" s="10" t="n">
        <f aca="false">F7107*G7107</f>
        <v>1320</v>
      </c>
      <c r="I7107" s="6" t="s">
        <v>5148</v>
      </c>
    </row>
    <row r="7108" customFormat="false" ht="15" hidden="false" customHeight="false" outlineLevel="0" collapsed="false">
      <c r="A7108" s="6" t="s">
        <v>12332</v>
      </c>
      <c r="B7108" s="6" t="s">
        <v>2765</v>
      </c>
      <c r="C7108" s="26" t="n">
        <v>46235</v>
      </c>
      <c r="D7108" s="6" t="s">
        <v>5353</v>
      </c>
      <c r="E7108" s="6" t="s">
        <v>24</v>
      </c>
      <c r="F7108" s="6" t="n">
        <v>3</v>
      </c>
      <c r="G7108" s="10" t="n">
        <v>1629</v>
      </c>
      <c r="H7108" s="10" t="n">
        <f aca="false">F7108*G7108</f>
        <v>4887</v>
      </c>
      <c r="I7108" s="6" t="s">
        <v>5130</v>
      </c>
    </row>
    <row r="7109" customFormat="false" ht="15" hidden="false" customHeight="false" outlineLevel="0" collapsed="false">
      <c r="A7109" s="6" t="s">
        <v>12333</v>
      </c>
      <c r="B7109" s="6" t="s">
        <v>3875</v>
      </c>
      <c r="C7109" s="26" t="n">
        <v>46235</v>
      </c>
      <c r="D7109" s="6" t="s">
        <v>5167</v>
      </c>
      <c r="E7109" s="6" t="s">
        <v>22</v>
      </c>
      <c r="F7109" s="6" t="n">
        <v>1</v>
      </c>
      <c r="G7109" s="10" t="n">
        <v>703</v>
      </c>
      <c r="H7109" s="10" t="n">
        <f aca="false">F7109*G7109</f>
        <v>703</v>
      </c>
      <c r="I7109" s="6" t="s">
        <v>5122</v>
      </c>
    </row>
    <row r="7110" customFormat="false" ht="15" hidden="false" customHeight="false" outlineLevel="0" collapsed="false">
      <c r="A7110" s="6" t="s">
        <v>12334</v>
      </c>
      <c r="B7110" s="6" t="s">
        <v>1781</v>
      </c>
      <c r="C7110" s="26" t="n">
        <v>46235</v>
      </c>
      <c r="D7110" s="6" t="s">
        <v>5687</v>
      </c>
      <c r="E7110" s="6" t="s">
        <v>20</v>
      </c>
      <c r="F7110" s="6" t="n">
        <v>1</v>
      </c>
      <c r="G7110" s="10" t="n">
        <v>2039</v>
      </c>
      <c r="H7110" s="10" t="n">
        <f aca="false">F7110*G7110</f>
        <v>2039</v>
      </c>
      <c r="I7110" s="6" t="s">
        <v>5148</v>
      </c>
    </row>
    <row r="7111" customFormat="false" ht="15" hidden="false" customHeight="false" outlineLevel="0" collapsed="false">
      <c r="A7111" s="6" t="s">
        <v>12335</v>
      </c>
      <c r="B7111" s="6" t="s">
        <v>2659</v>
      </c>
      <c r="C7111" s="26" t="n">
        <v>46235</v>
      </c>
      <c r="D7111" s="6" t="s">
        <v>5305</v>
      </c>
      <c r="E7111" s="6" t="s">
        <v>20</v>
      </c>
      <c r="F7111" s="6" t="n">
        <v>1</v>
      </c>
      <c r="G7111" s="10" t="n">
        <v>1631</v>
      </c>
      <c r="H7111" s="10" t="n">
        <f aca="false">F7111*G7111</f>
        <v>1631</v>
      </c>
      <c r="I7111" s="6" t="s">
        <v>5122</v>
      </c>
    </row>
    <row r="7112" customFormat="false" ht="15" hidden="false" customHeight="false" outlineLevel="0" collapsed="false">
      <c r="A7112" s="6" t="s">
        <v>12336</v>
      </c>
      <c r="B7112" s="6" t="s">
        <v>803</v>
      </c>
      <c r="C7112" s="26" t="n">
        <v>46235</v>
      </c>
      <c r="D7112" s="6" t="s">
        <v>5182</v>
      </c>
      <c r="E7112" s="6" t="s">
        <v>23</v>
      </c>
      <c r="F7112" s="6" t="n">
        <v>2</v>
      </c>
      <c r="G7112" s="10" t="n">
        <v>331</v>
      </c>
      <c r="H7112" s="10" t="n">
        <f aca="false">F7112*G7112</f>
        <v>662</v>
      </c>
      <c r="I7112" s="6" t="s">
        <v>5122</v>
      </c>
    </row>
    <row r="7113" customFormat="false" ht="15" hidden="false" customHeight="false" outlineLevel="0" collapsed="false">
      <c r="A7113" s="6" t="s">
        <v>12337</v>
      </c>
      <c r="B7113" s="6" t="s">
        <v>1081</v>
      </c>
      <c r="C7113" s="26" t="n">
        <v>46235</v>
      </c>
      <c r="D7113" s="6" t="s">
        <v>5137</v>
      </c>
      <c r="E7113" s="6" t="s">
        <v>21</v>
      </c>
      <c r="F7113" s="6" t="n">
        <v>1</v>
      </c>
      <c r="G7113" s="10" t="n">
        <v>1768</v>
      </c>
      <c r="H7113" s="10" t="n">
        <f aca="false">F7113*G7113</f>
        <v>1768</v>
      </c>
      <c r="I7113" s="6" t="s">
        <v>5122</v>
      </c>
    </row>
    <row r="7114" customFormat="false" ht="15" hidden="false" customHeight="false" outlineLevel="0" collapsed="false">
      <c r="A7114" s="6" t="s">
        <v>12338</v>
      </c>
      <c r="B7114" s="6" t="s">
        <v>3653</v>
      </c>
      <c r="C7114" s="26" t="n">
        <v>46235</v>
      </c>
      <c r="D7114" s="6" t="s">
        <v>5147</v>
      </c>
      <c r="E7114" s="6" t="s">
        <v>24</v>
      </c>
      <c r="F7114" s="6" t="n">
        <v>1</v>
      </c>
      <c r="G7114" s="10" t="n">
        <v>661</v>
      </c>
      <c r="H7114" s="10" t="n">
        <f aca="false">F7114*G7114</f>
        <v>661</v>
      </c>
      <c r="I7114" s="6" t="s">
        <v>5148</v>
      </c>
    </row>
    <row r="7115" customFormat="false" ht="15" hidden="false" customHeight="false" outlineLevel="0" collapsed="false">
      <c r="A7115" s="6" t="s">
        <v>12339</v>
      </c>
      <c r="B7115" s="6" t="s">
        <v>265</v>
      </c>
      <c r="C7115" s="26" t="n">
        <v>46235</v>
      </c>
      <c r="D7115" s="6" t="s">
        <v>5242</v>
      </c>
      <c r="E7115" s="6" t="s">
        <v>23</v>
      </c>
      <c r="F7115" s="6" t="n">
        <v>3</v>
      </c>
      <c r="G7115" s="10" t="n">
        <v>335</v>
      </c>
      <c r="H7115" s="10" t="n">
        <f aca="false">F7115*G7115</f>
        <v>1005</v>
      </c>
      <c r="I7115" s="6" t="s">
        <v>5148</v>
      </c>
    </row>
    <row r="7116" customFormat="false" ht="15" hidden="false" customHeight="false" outlineLevel="0" collapsed="false">
      <c r="A7116" s="6" t="s">
        <v>12340</v>
      </c>
      <c r="B7116" s="6" t="s">
        <v>3417</v>
      </c>
      <c r="C7116" s="26" t="n">
        <v>46235</v>
      </c>
      <c r="D7116" s="6" t="s">
        <v>5139</v>
      </c>
      <c r="E7116" s="6" t="s">
        <v>23</v>
      </c>
      <c r="F7116" s="6" t="n">
        <v>5</v>
      </c>
      <c r="G7116" s="10" t="n">
        <v>265</v>
      </c>
      <c r="H7116" s="10" t="n">
        <f aca="false">F7116*G7116</f>
        <v>1325</v>
      </c>
      <c r="I7116" s="6" t="s">
        <v>5130</v>
      </c>
    </row>
    <row r="7117" customFormat="false" ht="15" hidden="false" customHeight="false" outlineLevel="0" collapsed="false">
      <c r="A7117" s="6" t="s">
        <v>12341</v>
      </c>
      <c r="B7117" s="6" t="s">
        <v>3449</v>
      </c>
      <c r="C7117" s="26" t="n">
        <v>46235</v>
      </c>
      <c r="D7117" s="6" t="s">
        <v>5121</v>
      </c>
      <c r="E7117" s="6" t="s">
        <v>22</v>
      </c>
      <c r="F7117" s="6" t="n">
        <v>2</v>
      </c>
      <c r="G7117" s="10" t="n">
        <v>977</v>
      </c>
      <c r="H7117" s="10" t="n">
        <f aca="false">F7117*G7117</f>
        <v>1954</v>
      </c>
      <c r="I7117" s="6" t="s">
        <v>5148</v>
      </c>
    </row>
    <row r="7118" customFormat="false" ht="15" hidden="false" customHeight="false" outlineLevel="0" collapsed="false">
      <c r="A7118" s="6" t="s">
        <v>12342</v>
      </c>
      <c r="B7118" s="6" t="s">
        <v>4301</v>
      </c>
      <c r="C7118" s="26" t="n">
        <v>46235</v>
      </c>
      <c r="D7118" s="6" t="s">
        <v>5167</v>
      </c>
      <c r="E7118" s="6" t="s">
        <v>22</v>
      </c>
      <c r="F7118" s="6" t="n">
        <v>1</v>
      </c>
      <c r="G7118" s="10" t="n">
        <v>782</v>
      </c>
      <c r="H7118" s="10" t="n">
        <f aca="false">F7118*G7118</f>
        <v>782</v>
      </c>
      <c r="I7118" s="6" t="s">
        <v>5148</v>
      </c>
    </row>
    <row r="7119" customFormat="false" ht="15" hidden="false" customHeight="false" outlineLevel="0" collapsed="false">
      <c r="A7119" s="6" t="s">
        <v>12343</v>
      </c>
      <c r="B7119" s="6" t="s">
        <v>1045</v>
      </c>
      <c r="C7119" s="26" t="n">
        <v>46235</v>
      </c>
      <c r="D7119" s="6" t="s">
        <v>5318</v>
      </c>
      <c r="E7119" s="6" t="s">
        <v>20</v>
      </c>
      <c r="F7119" s="6" t="n">
        <v>2</v>
      </c>
      <c r="G7119" s="10" t="n">
        <v>1452</v>
      </c>
      <c r="H7119" s="10" t="n">
        <f aca="false">F7119*G7119</f>
        <v>2904</v>
      </c>
      <c r="I7119" s="6" t="s">
        <v>5122</v>
      </c>
    </row>
    <row r="7120" customFormat="false" ht="15" hidden="false" customHeight="false" outlineLevel="0" collapsed="false">
      <c r="A7120" s="6" t="s">
        <v>12344</v>
      </c>
      <c r="B7120" s="6" t="s">
        <v>3421</v>
      </c>
      <c r="C7120" s="26" t="n">
        <v>46235</v>
      </c>
      <c r="D7120" s="6" t="s">
        <v>5165</v>
      </c>
      <c r="E7120" s="6" t="s">
        <v>22</v>
      </c>
      <c r="F7120" s="6" t="n">
        <v>3</v>
      </c>
      <c r="G7120" s="10" t="n">
        <v>928</v>
      </c>
      <c r="H7120" s="10" t="n">
        <f aca="false">F7120*G7120</f>
        <v>2784</v>
      </c>
      <c r="I7120" s="6" t="s">
        <v>5130</v>
      </c>
    </row>
    <row r="7121" customFormat="false" ht="15" hidden="false" customHeight="false" outlineLevel="0" collapsed="false">
      <c r="A7121" s="6" t="s">
        <v>12345</v>
      </c>
      <c r="B7121" s="6" t="s">
        <v>2269</v>
      </c>
      <c r="C7121" s="26" t="n">
        <v>46235</v>
      </c>
      <c r="D7121" s="6" t="s">
        <v>5171</v>
      </c>
      <c r="E7121" s="6" t="s">
        <v>23</v>
      </c>
      <c r="F7121" s="6" t="n">
        <v>2</v>
      </c>
      <c r="G7121" s="10" t="n">
        <v>734</v>
      </c>
      <c r="H7121" s="10" t="n">
        <f aca="false">F7121*G7121</f>
        <v>1468</v>
      </c>
      <c r="I7121" s="6" t="s">
        <v>5122</v>
      </c>
    </row>
    <row r="7122" customFormat="false" ht="15" hidden="false" customHeight="false" outlineLevel="0" collapsed="false">
      <c r="A7122" s="6" t="s">
        <v>12346</v>
      </c>
      <c r="B7122" s="6" t="s">
        <v>4215</v>
      </c>
      <c r="C7122" s="26" t="n">
        <v>46235</v>
      </c>
      <c r="D7122" s="6" t="s">
        <v>5154</v>
      </c>
      <c r="E7122" s="6" t="s">
        <v>21</v>
      </c>
      <c r="F7122" s="6" t="n">
        <v>2</v>
      </c>
      <c r="G7122" s="10" t="n">
        <v>707</v>
      </c>
      <c r="H7122" s="10" t="n">
        <f aca="false">F7122*G7122</f>
        <v>1414</v>
      </c>
      <c r="I7122" s="6" t="s">
        <v>5130</v>
      </c>
    </row>
    <row r="7123" customFormat="false" ht="15" hidden="false" customHeight="false" outlineLevel="0" collapsed="false">
      <c r="A7123" s="6" t="s">
        <v>12347</v>
      </c>
      <c r="B7123" s="6" t="s">
        <v>4077</v>
      </c>
      <c r="C7123" s="26" t="n">
        <v>46235</v>
      </c>
      <c r="D7123" s="6" t="s">
        <v>5121</v>
      </c>
      <c r="E7123" s="6" t="s">
        <v>22</v>
      </c>
      <c r="F7123" s="6" t="n">
        <v>1</v>
      </c>
      <c r="G7123" s="10" t="n">
        <v>880</v>
      </c>
      <c r="H7123" s="10" t="n">
        <f aca="false">F7123*G7123</f>
        <v>880</v>
      </c>
      <c r="I7123" s="6" t="s">
        <v>5130</v>
      </c>
    </row>
    <row r="7124" customFormat="false" ht="15" hidden="false" customHeight="false" outlineLevel="0" collapsed="false">
      <c r="A7124" s="6" t="s">
        <v>12348</v>
      </c>
      <c r="B7124" s="6" t="s">
        <v>4139</v>
      </c>
      <c r="C7124" s="26" t="n">
        <v>46235</v>
      </c>
      <c r="D7124" s="6" t="s">
        <v>5257</v>
      </c>
      <c r="E7124" s="6" t="s">
        <v>22</v>
      </c>
      <c r="F7124" s="6" t="n">
        <v>1</v>
      </c>
      <c r="G7124" s="10" t="n">
        <v>2248</v>
      </c>
      <c r="H7124" s="10" t="n">
        <f aca="false">F7124*G7124</f>
        <v>2248</v>
      </c>
      <c r="I7124" s="6" t="s">
        <v>5122</v>
      </c>
    </row>
    <row r="7125" customFormat="false" ht="15" hidden="false" customHeight="false" outlineLevel="0" collapsed="false">
      <c r="A7125" s="6" t="s">
        <v>12349</v>
      </c>
      <c r="B7125" s="6" t="s">
        <v>2035</v>
      </c>
      <c r="C7125" s="26" t="n">
        <v>46235</v>
      </c>
      <c r="D7125" s="6" t="s">
        <v>5129</v>
      </c>
      <c r="E7125" s="6" t="s">
        <v>21</v>
      </c>
      <c r="F7125" s="6" t="n">
        <v>1</v>
      </c>
      <c r="G7125" s="10" t="n">
        <v>559</v>
      </c>
      <c r="H7125" s="10" t="n">
        <f aca="false">F7125*G7125</f>
        <v>559</v>
      </c>
      <c r="I7125" s="6" t="s">
        <v>5122</v>
      </c>
    </row>
    <row r="7126" customFormat="false" ht="15" hidden="false" customHeight="false" outlineLevel="0" collapsed="false">
      <c r="A7126" s="6" t="s">
        <v>12350</v>
      </c>
      <c r="B7126" s="6" t="s">
        <v>4817</v>
      </c>
      <c r="C7126" s="26" t="n">
        <v>46235</v>
      </c>
      <c r="D7126" s="6" t="s">
        <v>5224</v>
      </c>
      <c r="E7126" s="6" t="s">
        <v>23</v>
      </c>
      <c r="F7126" s="6" t="n">
        <v>3</v>
      </c>
      <c r="G7126" s="10" t="n">
        <v>195</v>
      </c>
      <c r="H7126" s="10" t="n">
        <f aca="false">F7126*G7126</f>
        <v>585</v>
      </c>
      <c r="I7126" s="6" t="s">
        <v>5122</v>
      </c>
    </row>
    <row r="7127" customFormat="false" ht="15" hidden="false" customHeight="false" outlineLevel="0" collapsed="false">
      <c r="A7127" s="6" t="s">
        <v>12351</v>
      </c>
      <c r="B7127" s="6" t="s">
        <v>477</v>
      </c>
      <c r="C7127" s="26" t="n">
        <v>46236</v>
      </c>
      <c r="D7127" s="6" t="s">
        <v>5143</v>
      </c>
      <c r="E7127" s="6" t="s">
        <v>21</v>
      </c>
      <c r="F7127" s="6" t="n">
        <v>1</v>
      </c>
      <c r="G7127" s="10" t="n">
        <v>1179</v>
      </c>
      <c r="H7127" s="10" t="n">
        <f aca="false">F7127*G7127</f>
        <v>1179</v>
      </c>
      <c r="I7127" s="6" t="s">
        <v>5148</v>
      </c>
    </row>
    <row r="7128" customFormat="false" ht="15" hidden="false" customHeight="false" outlineLevel="0" collapsed="false">
      <c r="A7128" s="6" t="s">
        <v>12352</v>
      </c>
      <c r="B7128" s="6" t="s">
        <v>603</v>
      </c>
      <c r="C7128" s="26" t="n">
        <v>46236</v>
      </c>
      <c r="D7128" s="6" t="s">
        <v>5171</v>
      </c>
      <c r="E7128" s="6" t="s">
        <v>23</v>
      </c>
      <c r="F7128" s="6" t="n">
        <v>4</v>
      </c>
      <c r="G7128" s="10" t="n">
        <v>734</v>
      </c>
      <c r="H7128" s="10" t="n">
        <f aca="false">F7128*G7128</f>
        <v>2936</v>
      </c>
      <c r="I7128" s="6" t="s">
        <v>5130</v>
      </c>
    </row>
    <row r="7129" customFormat="false" ht="15" hidden="false" customHeight="false" outlineLevel="0" collapsed="false">
      <c r="A7129" s="6" t="s">
        <v>12353</v>
      </c>
      <c r="B7129" s="6" t="s">
        <v>3129</v>
      </c>
      <c r="C7129" s="26" t="n">
        <v>46236</v>
      </c>
      <c r="D7129" s="6" t="s">
        <v>5357</v>
      </c>
      <c r="E7129" s="6" t="s">
        <v>23</v>
      </c>
      <c r="F7129" s="6" t="n">
        <v>1</v>
      </c>
      <c r="G7129" s="10" t="n">
        <v>534</v>
      </c>
      <c r="H7129" s="10" t="n">
        <f aca="false">F7129*G7129</f>
        <v>534</v>
      </c>
      <c r="I7129" s="6" t="s">
        <v>5122</v>
      </c>
    </row>
    <row r="7130" customFormat="false" ht="15" hidden="false" customHeight="false" outlineLevel="0" collapsed="false">
      <c r="A7130" s="6" t="s">
        <v>12354</v>
      </c>
      <c r="B7130" s="6" t="s">
        <v>358</v>
      </c>
      <c r="C7130" s="26" t="n">
        <v>46236</v>
      </c>
      <c r="D7130" s="6" t="s">
        <v>5129</v>
      </c>
      <c r="E7130" s="6" t="s">
        <v>21</v>
      </c>
      <c r="F7130" s="6" t="n">
        <v>1</v>
      </c>
      <c r="G7130" s="10" t="n">
        <v>589</v>
      </c>
      <c r="H7130" s="10" t="n">
        <f aca="false">F7130*G7130</f>
        <v>589</v>
      </c>
      <c r="I7130" s="6" t="s">
        <v>5148</v>
      </c>
    </row>
    <row r="7131" customFormat="false" ht="15" hidden="false" customHeight="false" outlineLevel="0" collapsed="false">
      <c r="A7131" s="6" t="s">
        <v>12355</v>
      </c>
      <c r="B7131" s="6" t="s">
        <v>1947</v>
      </c>
      <c r="C7131" s="26" t="n">
        <v>46236</v>
      </c>
      <c r="D7131" s="6" t="s">
        <v>5127</v>
      </c>
      <c r="E7131" s="6" t="s">
        <v>21</v>
      </c>
      <c r="F7131" s="6" t="n">
        <v>1</v>
      </c>
      <c r="G7131" s="10" t="n">
        <v>884</v>
      </c>
      <c r="H7131" s="10" t="n">
        <f aca="false">F7131*G7131</f>
        <v>884</v>
      </c>
      <c r="I7131" s="6" t="s">
        <v>5122</v>
      </c>
    </row>
    <row r="7132" customFormat="false" ht="15" hidden="false" customHeight="false" outlineLevel="0" collapsed="false">
      <c r="A7132" s="6" t="s">
        <v>12356</v>
      </c>
      <c r="B7132" s="6" t="s">
        <v>2107</v>
      </c>
      <c r="C7132" s="26" t="n">
        <v>46236</v>
      </c>
      <c r="D7132" s="6" t="s">
        <v>5216</v>
      </c>
      <c r="E7132" s="6" t="s">
        <v>23</v>
      </c>
      <c r="F7132" s="6" t="n">
        <v>4</v>
      </c>
      <c r="G7132" s="10" t="n">
        <v>587</v>
      </c>
      <c r="H7132" s="10" t="n">
        <f aca="false">F7132*G7132</f>
        <v>2348</v>
      </c>
      <c r="I7132" s="6" t="s">
        <v>5173</v>
      </c>
    </row>
    <row r="7133" customFormat="false" ht="15" hidden="false" customHeight="false" outlineLevel="0" collapsed="false">
      <c r="A7133" s="6" t="s">
        <v>12357</v>
      </c>
      <c r="B7133" s="6" t="s">
        <v>3207</v>
      </c>
      <c r="C7133" s="26" t="n">
        <v>46236</v>
      </c>
      <c r="D7133" s="6" t="s">
        <v>5456</v>
      </c>
      <c r="E7133" s="6" t="s">
        <v>24</v>
      </c>
      <c r="F7133" s="6" t="n">
        <v>1</v>
      </c>
      <c r="G7133" s="10" t="n">
        <v>912</v>
      </c>
      <c r="H7133" s="10" t="n">
        <f aca="false">F7133*G7133</f>
        <v>912</v>
      </c>
      <c r="I7133" s="6" t="s">
        <v>5122</v>
      </c>
    </row>
    <row r="7134" customFormat="false" ht="15" hidden="false" customHeight="false" outlineLevel="0" collapsed="false">
      <c r="A7134" s="6" t="s">
        <v>12358</v>
      </c>
      <c r="B7134" s="6" t="s">
        <v>3469</v>
      </c>
      <c r="C7134" s="26" t="n">
        <v>46236</v>
      </c>
      <c r="D7134" s="6" t="s">
        <v>5353</v>
      </c>
      <c r="E7134" s="6" t="s">
        <v>24</v>
      </c>
      <c r="F7134" s="6" t="n">
        <v>1</v>
      </c>
      <c r="G7134" s="10" t="n">
        <v>1629</v>
      </c>
      <c r="H7134" s="10" t="n">
        <f aca="false">F7134*G7134</f>
        <v>1629</v>
      </c>
      <c r="I7134" s="6" t="s">
        <v>5130</v>
      </c>
    </row>
    <row r="7135" customFormat="false" ht="15" hidden="false" customHeight="false" outlineLevel="0" collapsed="false">
      <c r="A7135" s="6" t="s">
        <v>12359</v>
      </c>
      <c r="B7135" s="6" t="s">
        <v>1461</v>
      </c>
      <c r="C7135" s="26" t="n">
        <v>46236</v>
      </c>
      <c r="D7135" s="6" t="s">
        <v>5124</v>
      </c>
      <c r="E7135" s="6" t="s">
        <v>21</v>
      </c>
      <c r="F7135" s="6" t="n">
        <v>1</v>
      </c>
      <c r="G7135" s="10" t="n">
        <v>3439</v>
      </c>
      <c r="H7135" s="10" t="n">
        <f aca="false">F7135*G7135</f>
        <v>3439</v>
      </c>
      <c r="I7135" s="6" t="s">
        <v>5122</v>
      </c>
    </row>
    <row r="7136" customFormat="false" ht="15" hidden="false" customHeight="false" outlineLevel="0" collapsed="false">
      <c r="A7136" s="6" t="s">
        <v>12360</v>
      </c>
      <c r="B7136" s="6" t="s">
        <v>184</v>
      </c>
      <c r="C7136" s="26" t="n">
        <v>46236</v>
      </c>
      <c r="D7136" s="6" t="s">
        <v>5165</v>
      </c>
      <c r="E7136" s="6" t="s">
        <v>22</v>
      </c>
      <c r="F7136" s="6" t="n">
        <v>2</v>
      </c>
      <c r="G7136" s="10" t="n">
        <v>880</v>
      </c>
      <c r="H7136" s="10" t="n">
        <f aca="false">F7136*G7136</f>
        <v>1760</v>
      </c>
      <c r="I7136" s="6" t="s">
        <v>5133</v>
      </c>
    </row>
    <row r="7137" customFormat="false" ht="15" hidden="false" customHeight="false" outlineLevel="0" collapsed="false">
      <c r="A7137" s="6" t="s">
        <v>12361</v>
      </c>
      <c r="B7137" s="6" t="s">
        <v>4163</v>
      </c>
      <c r="C7137" s="26" t="n">
        <v>46236</v>
      </c>
      <c r="D7137" s="6" t="s">
        <v>5167</v>
      </c>
      <c r="E7137" s="6" t="s">
        <v>22</v>
      </c>
      <c r="F7137" s="6" t="n">
        <v>3</v>
      </c>
      <c r="G7137" s="10" t="n">
        <v>782</v>
      </c>
      <c r="H7137" s="10" t="n">
        <f aca="false">F7137*G7137</f>
        <v>2346</v>
      </c>
      <c r="I7137" s="6" t="s">
        <v>5148</v>
      </c>
    </row>
    <row r="7138" customFormat="false" ht="15" hidden="false" customHeight="false" outlineLevel="0" collapsed="false">
      <c r="A7138" s="6" t="s">
        <v>12362</v>
      </c>
      <c r="B7138" s="6" t="s">
        <v>4243</v>
      </c>
      <c r="C7138" s="26" t="n">
        <v>46236</v>
      </c>
      <c r="D7138" s="6" t="s">
        <v>5410</v>
      </c>
      <c r="E7138" s="6" t="s">
        <v>20</v>
      </c>
      <c r="F7138" s="6" t="n">
        <v>1</v>
      </c>
      <c r="G7138" s="10" t="n">
        <v>2547</v>
      </c>
      <c r="H7138" s="10" t="n">
        <f aca="false">F7138*G7138</f>
        <v>2547</v>
      </c>
      <c r="I7138" s="6" t="s">
        <v>5148</v>
      </c>
    </row>
    <row r="7139" customFormat="false" ht="15" hidden="false" customHeight="false" outlineLevel="0" collapsed="false">
      <c r="A7139" s="6" t="s">
        <v>12363</v>
      </c>
      <c r="B7139" s="6" t="s">
        <v>4637</v>
      </c>
      <c r="C7139" s="26" t="n">
        <v>46236</v>
      </c>
      <c r="D7139" s="6" t="s">
        <v>5235</v>
      </c>
      <c r="E7139" s="6" t="s">
        <v>21</v>
      </c>
      <c r="F7139" s="6" t="n">
        <v>1</v>
      </c>
      <c r="G7139" s="10" t="n">
        <v>1670</v>
      </c>
      <c r="H7139" s="10" t="n">
        <f aca="false">F7139*G7139</f>
        <v>1670</v>
      </c>
      <c r="I7139" s="6" t="s">
        <v>5130</v>
      </c>
    </row>
    <row r="7140" customFormat="false" ht="15" hidden="false" customHeight="false" outlineLevel="0" collapsed="false">
      <c r="A7140" s="6" t="s">
        <v>12364</v>
      </c>
      <c r="B7140" s="6" t="s">
        <v>3711</v>
      </c>
      <c r="C7140" s="26" t="n">
        <v>46236</v>
      </c>
      <c r="D7140" s="6" t="s">
        <v>5182</v>
      </c>
      <c r="E7140" s="6" t="s">
        <v>23</v>
      </c>
      <c r="F7140" s="6" t="n">
        <v>5</v>
      </c>
      <c r="G7140" s="10" t="n">
        <v>367</v>
      </c>
      <c r="H7140" s="10" t="n">
        <f aca="false">F7140*G7140</f>
        <v>1835</v>
      </c>
      <c r="I7140" s="6" t="s">
        <v>5125</v>
      </c>
    </row>
    <row r="7141" customFormat="false" ht="15" hidden="false" customHeight="false" outlineLevel="0" collapsed="false">
      <c r="A7141" s="6" t="s">
        <v>12365</v>
      </c>
      <c r="B7141" s="6" t="s">
        <v>2851</v>
      </c>
      <c r="C7141" s="26" t="n">
        <v>46236</v>
      </c>
      <c r="D7141" s="6" t="s">
        <v>5292</v>
      </c>
      <c r="E7141" s="6" t="s">
        <v>21</v>
      </c>
      <c r="F7141" s="6" t="n">
        <v>3</v>
      </c>
      <c r="G7141" s="10" t="n">
        <v>6880</v>
      </c>
      <c r="H7141" s="10" t="n">
        <f aca="false">F7141*G7141</f>
        <v>20640</v>
      </c>
      <c r="I7141" s="6" t="s">
        <v>5130</v>
      </c>
    </row>
    <row r="7142" customFormat="false" ht="15" hidden="false" customHeight="false" outlineLevel="0" collapsed="false">
      <c r="A7142" s="6" t="s">
        <v>12366</v>
      </c>
      <c r="B7142" s="6" t="s">
        <v>1695</v>
      </c>
      <c r="C7142" s="26" t="n">
        <v>46236</v>
      </c>
      <c r="D7142" s="6" t="s">
        <v>5207</v>
      </c>
      <c r="E7142" s="6" t="s">
        <v>20</v>
      </c>
      <c r="F7142" s="6" t="n">
        <v>2</v>
      </c>
      <c r="G7142" s="10" t="n">
        <v>1325</v>
      </c>
      <c r="H7142" s="10" t="n">
        <f aca="false">F7142*G7142</f>
        <v>2650</v>
      </c>
      <c r="I7142" s="6" t="s">
        <v>5133</v>
      </c>
    </row>
    <row r="7143" customFormat="false" ht="15" hidden="false" customHeight="false" outlineLevel="0" collapsed="false">
      <c r="A7143" s="6" t="s">
        <v>12367</v>
      </c>
      <c r="B7143" s="6" t="s">
        <v>3723</v>
      </c>
      <c r="C7143" s="26" t="n">
        <v>46236</v>
      </c>
      <c r="D7143" s="6" t="s">
        <v>5129</v>
      </c>
      <c r="E7143" s="6" t="s">
        <v>21</v>
      </c>
      <c r="F7143" s="6" t="n">
        <v>3</v>
      </c>
      <c r="G7143" s="10" t="n">
        <v>530</v>
      </c>
      <c r="H7143" s="10" t="n">
        <f aca="false">F7143*G7143</f>
        <v>1590</v>
      </c>
      <c r="I7143" s="6" t="s">
        <v>5148</v>
      </c>
    </row>
    <row r="7144" customFormat="false" ht="15" hidden="false" customHeight="false" outlineLevel="0" collapsed="false">
      <c r="A7144" s="6" t="s">
        <v>12368</v>
      </c>
      <c r="B7144" s="6" t="s">
        <v>1635</v>
      </c>
      <c r="C7144" s="26" t="n">
        <v>46236</v>
      </c>
      <c r="D7144" s="6" t="s">
        <v>5357</v>
      </c>
      <c r="E7144" s="6" t="s">
        <v>23</v>
      </c>
      <c r="F7144" s="6" t="n">
        <v>2</v>
      </c>
      <c r="G7144" s="10" t="n">
        <v>481</v>
      </c>
      <c r="H7144" s="10" t="n">
        <f aca="false">F7144*G7144</f>
        <v>962</v>
      </c>
      <c r="I7144" s="6" t="s">
        <v>5148</v>
      </c>
    </row>
    <row r="7145" customFormat="false" ht="15" hidden="false" customHeight="false" outlineLevel="0" collapsed="false">
      <c r="A7145" s="6" t="s">
        <v>12369</v>
      </c>
      <c r="B7145" s="6" t="s">
        <v>4215</v>
      </c>
      <c r="C7145" s="26" t="n">
        <v>46236</v>
      </c>
      <c r="D7145" s="6" t="s">
        <v>5488</v>
      </c>
      <c r="E7145" s="6" t="s">
        <v>24</v>
      </c>
      <c r="F7145" s="6" t="n">
        <v>1</v>
      </c>
      <c r="G7145" s="10" t="n">
        <v>866</v>
      </c>
      <c r="H7145" s="10" t="n">
        <f aca="false">F7145*G7145</f>
        <v>866</v>
      </c>
      <c r="I7145" s="6" t="s">
        <v>5122</v>
      </c>
    </row>
    <row r="7146" customFormat="false" ht="15" hidden="false" customHeight="false" outlineLevel="0" collapsed="false">
      <c r="A7146" s="6" t="s">
        <v>12370</v>
      </c>
      <c r="B7146" s="6" t="s">
        <v>4409</v>
      </c>
      <c r="C7146" s="26" t="n">
        <v>46236</v>
      </c>
      <c r="D7146" s="6" t="s">
        <v>5167</v>
      </c>
      <c r="E7146" s="6" t="s">
        <v>22</v>
      </c>
      <c r="F7146" s="6" t="n">
        <v>1</v>
      </c>
      <c r="G7146" s="10" t="n">
        <v>782</v>
      </c>
      <c r="H7146" s="10" t="n">
        <f aca="false">F7146*G7146</f>
        <v>782</v>
      </c>
      <c r="I7146" s="6" t="s">
        <v>5122</v>
      </c>
    </row>
    <row r="7147" customFormat="false" ht="15" hidden="false" customHeight="false" outlineLevel="0" collapsed="false">
      <c r="A7147" s="6" t="s">
        <v>12371</v>
      </c>
      <c r="B7147" s="6" t="s">
        <v>4617</v>
      </c>
      <c r="C7147" s="26" t="n">
        <v>46236</v>
      </c>
      <c r="D7147" s="6" t="s">
        <v>5143</v>
      </c>
      <c r="E7147" s="6" t="s">
        <v>21</v>
      </c>
      <c r="F7147" s="6" t="n">
        <v>1</v>
      </c>
      <c r="G7147" s="10" t="n">
        <v>1061</v>
      </c>
      <c r="H7147" s="10" t="n">
        <f aca="false">F7147*G7147</f>
        <v>1061</v>
      </c>
      <c r="I7147" s="6" t="s">
        <v>5133</v>
      </c>
    </row>
    <row r="7148" customFormat="false" ht="15" hidden="false" customHeight="false" outlineLevel="0" collapsed="false">
      <c r="A7148" s="6" t="s">
        <v>12372</v>
      </c>
      <c r="B7148" s="6" t="s">
        <v>1589</v>
      </c>
      <c r="C7148" s="26" t="n">
        <v>46236</v>
      </c>
      <c r="D7148" s="6" t="s">
        <v>5167</v>
      </c>
      <c r="E7148" s="6" t="s">
        <v>22</v>
      </c>
      <c r="F7148" s="6" t="n">
        <v>2</v>
      </c>
      <c r="G7148" s="10" t="n">
        <v>782</v>
      </c>
      <c r="H7148" s="10" t="n">
        <f aca="false">F7148*G7148</f>
        <v>1564</v>
      </c>
      <c r="I7148" s="6" t="s">
        <v>5148</v>
      </c>
    </row>
    <row r="7149" customFormat="false" ht="15" hidden="false" customHeight="false" outlineLevel="0" collapsed="false">
      <c r="A7149" s="6" t="s">
        <v>12373</v>
      </c>
      <c r="B7149" s="6" t="s">
        <v>4239</v>
      </c>
      <c r="C7149" s="26" t="n">
        <v>46236</v>
      </c>
      <c r="D7149" s="6" t="s">
        <v>5158</v>
      </c>
      <c r="E7149" s="6" t="s">
        <v>24</v>
      </c>
      <c r="F7149" s="6" t="n">
        <v>1</v>
      </c>
      <c r="G7149" s="10" t="n">
        <v>433</v>
      </c>
      <c r="H7149" s="10" t="n">
        <f aca="false">F7149*G7149</f>
        <v>433</v>
      </c>
      <c r="I7149" s="6" t="s">
        <v>5148</v>
      </c>
    </row>
    <row r="7150" customFormat="false" ht="15" hidden="false" customHeight="false" outlineLevel="0" collapsed="false">
      <c r="A7150" s="6" t="s">
        <v>12374</v>
      </c>
      <c r="B7150" s="6" t="s">
        <v>2875</v>
      </c>
      <c r="C7150" s="26" t="n">
        <v>46236</v>
      </c>
      <c r="D7150" s="6" t="s">
        <v>5281</v>
      </c>
      <c r="E7150" s="6" t="s">
        <v>24</v>
      </c>
      <c r="F7150" s="6" t="n">
        <v>2</v>
      </c>
      <c r="G7150" s="10" t="n">
        <v>773</v>
      </c>
      <c r="H7150" s="10" t="n">
        <f aca="false">F7150*G7150</f>
        <v>1546</v>
      </c>
      <c r="I7150" s="6" t="s">
        <v>5148</v>
      </c>
    </row>
    <row r="7151" customFormat="false" ht="15" hidden="false" customHeight="false" outlineLevel="0" collapsed="false">
      <c r="A7151" s="6" t="s">
        <v>12375</v>
      </c>
      <c r="B7151" s="6" t="s">
        <v>1201</v>
      </c>
      <c r="C7151" s="26" t="n">
        <v>46236</v>
      </c>
      <c r="D7151" s="6" t="s">
        <v>5180</v>
      </c>
      <c r="E7151" s="6" t="s">
        <v>24</v>
      </c>
      <c r="F7151" s="6" t="n">
        <v>2</v>
      </c>
      <c r="G7151" s="10" t="n">
        <v>1888</v>
      </c>
      <c r="H7151" s="10" t="n">
        <f aca="false">F7151*G7151</f>
        <v>3776</v>
      </c>
      <c r="I7151" s="6" t="s">
        <v>5133</v>
      </c>
    </row>
    <row r="7152" customFormat="false" ht="15" hidden="false" customHeight="false" outlineLevel="0" collapsed="false">
      <c r="A7152" s="6" t="s">
        <v>12376</v>
      </c>
      <c r="B7152" s="6" t="s">
        <v>765</v>
      </c>
      <c r="C7152" s="26" t="n">
        <v>46236</v>
      </c>
      <c r="D7152" s="6" t="s">
        <v>5163</v>
      </c>
      <c r="E7152" s="6" t="s">
        <v>23</v>
      </c>
      <c r="F7152" s="6" t="n">
        <v>4</v>
      </c>
      <c r="G7152" s="10" t="n">
        <v>783</v>
      </c>
      <c r="H7152" s="10" t="n">
        <f aca="false">F7152*G7152</f>
        <v>3132</v>
      </c>
      <c r="I7152" s="6" t="s">
        <v>5148</v>
      </c>
    </row>
    <row r="7153" customFormat="false" ht="15" hidden="false" customHeight="false" outlineLevel="0" collapsed="false">
      <c r="A7153" s="6" t="s">
        <v>12377</v>
      </c>
      <c r="B7153" s="6" t="s">
        <v>3231</v>
      </c>
      <c r="C7153" s="26" t="n">
        <v>46236</v>
      </c>
      <c r="D7153" s="6" t="s">
        <v>5226</v>
      </c>
      <c r="E7153" s="6" t="s">
        <v>24</v>
      </c>
      <c r="F7153" s="6" t="n">
        <v>2</v>
      </c>
      <c r="G7153" s="10" t="n">
        <v>457</v>
      </c>
      <c r="H7153" s="10" t="n">
        <f aca="false">F7153*G7153</f>
        <v>914</v>
      </c>
      <c r="I7153" s="6" t="s">
        <v>5173</v>
      </c>
    </row>
    <row r="7154" customFormat="false" ht="15" hidden="false" customHeight="false" outlineLevel="0" collapsed="false">
      <c r="A7154" s="6" t="s">
        <v>12378</v>
      </c>
      <c r="B7154" s="6" t="s">
        <v>3249</v>
      </c>
      <c r="C7154" s="26" t="n">
        <v>46236</v>
      </c>
      <c r="D7154" s="6" t="s">
        <v>5242</v>
      </c>
      <c r="E7154" s="6" t="s">
        <v>23</v>
      </c>
      <c r="F7154" s="6" t="n">
        <v>4</v>
      </c>
      <c r="G7154" s="10" t="n">
        <v>372</v>
      </c>
      <c r="H7154" s="10" t="n">
        <f aca="false">F7154*G7154</f>
        <v>1488</v>
      </c>
      <c r="I7154" s="6" t="s">
        <v>5122</v>
      </c>
    </row>
    <row r="7155" customFormat="false" ht="15" hidden="false" customHeight="false" outlineLevel="0" collapsed="false">
      <c r="A7155" s="6" t="s">
        <v>12379</v>
      </c>
      <c r="B7155" s="6" t="s">
        <v>4325</v>
      </c>
      <c r="C7155" s="26" t="n">
        <v>46236</v>
      </c>
      <c r="D7155" s="6" t="s">
        <v>5167</v>
      </c>
      <c r="E7155" s="6" t="s">
        <v>22</v>
      </c>
      <c r="F7155" s="6" t="n">
        <v>1</v>
      </c>
      <c r="G7155" s="10" t="n">
        <v>781</v>
      </c>
      <c r="H7155" s="10" t="n">
        <f aca="false">F7155*G7155</f>
        <v>781</v>
      </c>
      <c r="I7155" s="6" t="s">
        <v>5148</v>
      </c>
    </row>
    <row r="7156" customFormat="false" ht="15" hidden="false" customHeight="false" outlineLevel="0" collapsed="false">
      <c r="A7156" s="6" t="s">
        <v>12380</v>
      </c>
      <c r="B7156" s="6" t="s">
        <v>1027</v>
      </c>
      <c r="C7156" s="26" t="n">
        <v>46236</v>
      </c>
      <c r="D7156" s="6" t="s">
        <v>5182</v>
      </c>
      <c r="E7156" s="6" t="s">
        <v>23</v>
      </c>
      <c r="F7156" s="6" t="n">
        <v>3</v>
      </c>
      <c r="G7156" s="10" t="n">
        <v>367</v>
      </c>
      <c r="H7156" s="10" t="n">
        <f aca="false">F7156*G7156</f>
        <v>1101</v>
      </c>
      <c r="I7156" s="6" t="s">
        <v>5122</v>
      </c>
    </row>
    <row r="7157" customFormat="false" ht="15" hidden="false" customHeight="false" outlineLevel="0" collapsed="false">
      <c r="A7157" s="6" t="s">
        <v>12381</v>
      </c>
      <c r="B7157" s="6" t="s">
        <v>4839</v>
      </c>
      <c r="C7157" s="26" t="n">
        <v>46236</v>
      </c>
      <c r="D7157" s="6" t="s">
        <v>5683</v>
      </c>
      <c r="E7157" s="6" t="s">
        <v>22</v>
      </c>
      <c r="F7157" s="6" t="n">
        <v>2</v>
      </c>
      <c r="G7157" s="10" t="n">
        <v>1760</v>
      </c>
      <c r="H7157" s="10" t="n">
        <f aca="false">F7157*G7157</f>
        <v>3520</v>
      </c>
      <c r="I7157" s="6" t="s">
        <v>5122</v>
      </c>
    </row>
    <row r="7158" customFormat="false" ht="15" hidden="false" customHeight="false" outlineLevel="0" collapsed="false">
      <c r="A7158" s="6" t="s">
        <v>12382</v>
      </c>
      <c r="B7158" s="6" t="s">
        <v>1655</v>
      </c>
      <c r="C7158" s="26" t="n">
        <v>46236</v>
      </c>
      <c r="D7158" s="6" t="s">
        <v>5216</v>
      </c>
      <c r="E7158" s="6" t="s">
        <v>23</v>
      </c>
      <c r="F7158" s="6" t="n">
        <v>3</v>
      </c>
      <c r="G7158" s="10" t="n">
        <v>528</v>
      </c>
      <c r="H7158" s="10" t="n">
        <f aca="false">F7158*G7158</f>
        <v>1584</v>
      </c>
      <c r="I7158" s="6" t="s">
        <v>5122</v>
      </c>
    </row>
    <row r="7159" customFormat="false" ht="15" hidden="false" customHeight="false" outlineLevel="0" collapsed="false">
      <c r="A7159" s="6" t="s">
        <v>12383</v>
      </c>
      <c r="B7159" s="6" t="s">
        <v>4483</v>
      </c>
      <c r="C7159" s="26" t="n">
        <v>46236</v>
      </c>
      <c r="D7159" s="6" t="s">
        <v>5482</v>
      </c>
      <c r="E7159" s="6" t="s">
        <v>23</v>
      </c>
      <c r="F7159" s="6" t="n">
        <v>3</v>
      </c>
      <c r="G7159" s="10" t="n">
        <v>243</v>
      </c>
      <c r="H7159" s="10" t="n">
        <f aca="false">F7159*G7159</f>
        <v>729</v>
      </c>
      <c r="I7159" s="6" t="s">
        <v>5133</v>
      </c>
    </row>
    <row r="7160" customFormat="false" ht="15" hidden="false" customHeight="false" outlineLevel="0" collapsed="false">
      <c r="A7160" s="6" t="s">
        <v>12384</v>
      </c>
      <c r="B7160" s="6" t="s">
        <v>907</v>
      </c>
      <c r="C7160" s="26" t="n">
        <v>46236</v>
      </c>
      <c r="D7160" s="6" t="s">
        <v>5281</v>
      </c>
      <c r="E7160" s="6" t="s">
        <v>24</v>
      </c>
      <c r="F7160" s="6" t="n">
        <v>2</v>
      </c>
      <c r="G7160" s="10" t="n">
        <v>814</v>
      </c>
      <c r="H7160" s="10" t="n">
        <f aca="false">F7160*G7160</f>
        <v>1628</v>
      </c>
      <c r="I7160" s="6" t="s">
        <v>5148</v>
      </c>
    </row>
    <row r="7161" customFormat="false" ht="15" hidden="false" customHeight="false" outlineLevel="0" collapsed="false">
      <c r="A7161" s="6" t="s">
        <v>12385</v>
      </c>
      <c r="B7161" s="6" t="s">
        <v>4055</v>
      </c>
      <c r="C7161" s="26" t="n">
        <v>46236</v>
      </c>
      <c r="D7161" s="6" t="s">
        <v>5466</v>
      </c>
      <c r="E7161" s="6" t="s">
        <v>21</v>
      </c>
      <c r="F7161" s="6" t="n">
        <v>1</v>
      </c>
      <c r="G7161" s="10" t="n">
        <v>1768</v>
      </c>
      <c r="H7161" s="10" t="n">
        <f aca="false">F7161*G7161</f>
        <v>1768</v>
      </c>
      <c r="I7161" s="6" t="s">
        <v>5122</v>
      </c>
    </row>
    <row r="7162" customFormat="false" ht="15" hidden="false" customHeight="false" outlineLevel="0" collapsed="false">
      <c r="A7162" s="6" t="s">
        <v>12386</v>
      </c>
      <c r="B7162" s="6" t="s">
        <v>3079</v>
      </c>
      <c r="C7162" s="26" t="n">
        <v>46236</v>
      </c>
      <c r="D7162" s="6" t="s">
        <v>5129</v>
      </c>
      <c r="E7162" s="6" t="s">
        <v>21</v>
      </c>
      <c r="F7162" s="6" t="n">
        <v>1</v>
      </c>
      <c r="G7162" s="10" t="n">
        <v>530</v>
      </c>
      <c r="H7162" s="10" t="n">
        <f aca="false">F7162*G7162</f>
        <v>530</v>
      </c>
      <c r="I7162" s="6" t="s">
        <v>5130</v>
      </c>
    </row>
    <row r="7163" customFormat="false" ht="15" hidden="false" customHeight="false" outlineLevel="0" collapsed="false">
      <c r="A7163" s="6" t="s">
        <v>12387</v>
      </c>
      <c r="B7163" s="6" t="s">
        <v>1405</v>
      </c>
      <c r="C7163" s="26" t="n">
        <v>46236</v>
      </c>
      <c r="D7163" s="6" t="s">
        <v>5242</v>
      </c>
      <c r="E7163" s="6" t="s">
        <v>23</v>
      </c>
      <c r="F7163" s="6" t="n">
        <v>2</v>
      </c>
      <c r="G7163" s="10" t="n">
        <v>372</v>
      </c>
      <c r="H7163" s="10" t="n">
        <f aca="false">F7163*G7163</f>
        <v>744</v>
      </c>
      <c r="I7163" s="6" t="s">
        <v>5125</v>
      </c>
    </row>
    <row r="7164" customFormat="false" ht="15" hidden="false" customHeight="false" outlineLevel="0" collapsed="false">
      <c r="A7164" s="6" t="s">
        <v>12388</v>
      </c>
      <c r="B7164" s="6" t="s">
        <v>279</v>
      </c>
      <c r="C7164" s="26" t="n">
        <v>46236</v>
      </c>
      <c r="D7164" s="6" t="s">
        <v>5135</v>
      </c>
      <c r="E7164" s="6" t="s">
        <v>23</v>
      </c>
      <c r="F7164" s="6" t="n">
        <v>3</v>
      </c>
      <c r="G7164" s="10" t="n">
        <v>397</v>
      </c>
      <c r="H7164" s="10" t="n">
        <f aca="false">F7164*G7164</f>
        <v>1191</v>
      </c>
      <c r="I7164" s="6" t="s">
        <v>5122</v>
      </c>
    </row>
    <row r="7165" customFormat="false" ht="15" hidden="false" customHeight="false" outlineLevel="0" collapsed="false">
      <c r="A7165" s="6" t="s">
        <v>12389</v>
      </c>
      <c r="B7165" s="6" t="s">
        <v>3647</v>
      </c>
      <c r="C7165" s="26" t="n">
        <v>46236</v>
      </c>
      <c r="D7165" s="6" t="s">
        <v>5150</v>
      </c>
      <c r="E7165" s="6" t="s">
        <v>24</v>
      </c>
      <c r="F7165" s="6" t="n">
        <v>2</v>
      </c>
      <c r="G7165" s="10" t="n">
        <v>508</v>
      </c>
      <c r="H7165" s="10" t="n">
        <f aca="false">F7165*G7165</f>
        <v>1016</v>
      </c>
      <c r="I7165" s="6" t="s">
        <v>5122</v>
      </c>
    </row>
    <row r="7166" customFormat="false" ht="15" hidden="false" customHeight="false" outlineLevel="0" collapsed="false">
      <c r="A7166" s="6" t="s">
        <v>12390</v>
      </c>
      <c r="B7166" s="6" t="s">
        <v>4021</v>
      </c>
      <c r="C7166" s="26" t="n">
        <v>46236</v>
      </c>
      <c r="D7166" s="6" t="s">
        <v>5167</v>
      </c>
      <c r="E7166" s="6" t="s">
        <v>22</v>
      </c>
      <c r="F7166" s="6" t="n">
        <v>1</v>
      </c>
      <c r="G7166" s="10" t="n">
        <v>703</v>
      </c>
      <c r="H7166" s="10" t="n">
        <f aca="false">F7166*G7166</f>
        <v>703</v>
      </c>
      <c r="I7166" s="6" t="s">
        <v>5122</v>
      </c>
    </row>
    <row r="7167" customFormat="false" ht="15" hidden="false" customHeight="false" outlineLevel="0" collapsed="false">
      <c r="A7167" s="6" t="s">
        <v>12391</v>
      </c>
      <c r="B7167" s="6" t="s">
        <v>4429</v>
      </c>
      <c r="C7167" s="26" t="n">
        <v>46236</v>
      </c>
      <c r="D7167" s="6" t="s">
        <v>5202</v>
      </c>
      <c r="E7167" s="6" t="s">
        <v>23</v>
      </c>
      <c r="F7167" s="6" t="n">
        <v>5</v>
      </c>
      <c r="G7167" s="10" t="n">
        <v>220</v>
      </c>
      <c r="H7167" s="10" t="n">
        <f aca="false">F7167*G7167</f>
        <v>1100</v>
      </c>
      <c r="I7167" s="6" t="s">
        <v>5122</v>
      </c>
    </row>
    <row r="7168" customFormat="false" ht="15" hidden="false" customHeight="false" outlineLevel="0" collapsed="false">
      <c r="A7168" s="6" t="s">
        <v>12392</v>
      </c>
      <c r="B7168" s="6" t="s">
        <v>779</v>
      </c>
      <c r="C7168" s="26" t="n">
        <v>46236</v>
      </c>
      <c r="D7168" s="6" t="s">
        <v>5147</v>
      </c>
      <c r="E7168" s="6" t="s">
        <v>24</v>
      </c>
      <c r="F7168" s="6" t="n">
        <v>1</v>
      </c>
      <c r="G7168" s="10" t="n">
        <v>661</v>
      </c>
      <c r="H7168" s="10" t="n">
        <f aca="false">F7168*G7168</f>
        <v>661</v>
      </c>
      <c r="I7168" s="6" t="s">
        <v>5133</v>
      </c>
    </row>
    <row r="7169" customFormat="false" ht="15" hidden="false" customHeight="false" outlineLevel="0" collapsed="false">
      <c r="A7169" s="6" t="s">
        <v>12393</v>
      </c>
      <c r="B7169" s="6" t="s">
        <v>396</v>
      </c>
      <c r="C7169" s="26" t="n">
        <v>46236</v>
      </c>
      <c r="D7169" s="6" t="s">
        <v>5456</v>
      </c>
      <c r="E7169" s="6" t="s">
        <v>24</v>
      </c>
      <c r="F7169" s="6" t="n">
        <v>1</v>
      </c>
      <c r="G7169" s="10" t="n">
        <v>912</v>
      </c>
      <c r="H7169" s="10" t="n">
        <f aca="false">F7169*G7169</f>
        <v>912</v>
      </c>
      <c r="I7169" s="6" t="s">
        <v>5148</v>
      </c>
    </row>
    <row r="7170" customFormat="false" ht="15" hidden="false" customHeight="false" outlineLevel="0" collapsed="false">
      <c r="A7170" s="6" t="s">
        <v>12394</v>
      </c>
      <c r="B7170" s="6" t="s">
        <v>3597</v>
      </c>
      <c r="C7170" s="26" t="n">
        <v>46236</v>
      </c>
      <c r="D7170" s="6" t="s">
        <v>5163</v>
      </c>
      <c r="E7170" s="6" t="s">
        <v>23</v>
      </c>
      <c r="F7170" s="6" t="n">
        <v>2</v>
      </c>
      <c r="G7170" s="10" t="n">
        <v>705</v>
      </c>
      <c r="H7170" s="10" t="n">
        <f aca="false">F7170*G7170</f>
        <v>1410</v>
      </c>
      <c r="I7170" s="6" t="s">
        <v>5148</v>
      </c>
    </row>
    <row r="7171" customFormat="false" ht="15" hidden="false" customHeight="false" outlineLevel="0" collapsed="false">
      <c r="A7171" s="6" t="s">
        <v>12395</v>
      </c>
      <c r="B7171" s="6" t="s">
        <v>3437</v>
      </c>
      <c r="C7171" s="26" t="n">
        <v>46236</v>
      </c>
      <c r="D7171" s="6" t="s">
        <v>5423</v>
      </c>
      <c r="E7171" s="6" t="s">
        <v>21</v>
      </c>
      <c r="F7171" s="6" t="n">
        <v>1</v>
      </c>
      <c r="G7171" s="10" t="n">
        <v>3243</v>
      </c>
      <c r="H7171" s="10" t="n">
        <f aca="false">F7171*G7171</f>
        <v>3243</v>
      </c>
      <c r="I7171" s="6" t="s">
        <v>5148</v>
      </c>
    </row>
    <row r="7172" customFormat="false" ht="15" hidden="false" customHeight="false" outlineLevel="0" collapsed="false">
      <c r="A7172" s="6" t="s">
        <v>12396</v>
      </c>
      <c r="B7172" s="6" t="s">
        <v>3615</v>
      </c>
      <c r="C7172" s="26" t="n">
        <v>46236</v>
      </c>
      <c r="D7172" s="6" t="s">
        <v>5185</v>
      </c>
      <c r="E7172" s="6" t="s">
        <v>24</v>
      </c>
      <c r="F7172" s="6" t="n">
        <v>2</v>
      </c>
      <c r="G7172" s="10" t="n">
        <v>2140</v>
      </c>
      <c r="H7172" s="10" t="n">
        <f aca="false">F7172*G7172</f>
        <v>4280</v>
      </c>
      <c r="I7172" s="6" t="s">
        <v>5122</v>
      </c>
    </row>
    <row r="7173" customFormat="false" ht="15" hidden="false" customHeight="false" outlineLevel="0" collapsed="false">
      <c r="A7173" s="6" t="s">
        <v>12397</v>
      </c>
      <c r="B7173" s="6" t="s">
        <v>777</v>
      </c>
      <c r="C7173" s="26" t="n">
        <v>46236</v>
      </c>
      <c r="D7173" s="6" t="s">
        <v>5269</v>
      </c>
      <c r="E7173" s="6" t="s">
        <v>22</v>
      </c>
      <c r="F7173" s="6" t="n">
        <v>1</v>
      </c>
      <c r="G7173" s="10" t="n">
        <v>1144</v>
      </c>
      <c r="H7173" s="10" t="n">
        <f aca="false">F7173*G7173</f>
        <v>1144</v>
      </c>
      <c r="I7173" s="6" t="s">
        <v>5122</v>
      </c>
    </row>
    <row r="7174" customFormat="false" ht="15" hidden="false" customHeight="false" outlineLevel="0" collapsed="false">
      <c r="A7174" s="6" t="s">
        <v>12398</v>
      </c>
      <c r="B7174" s="6" t="s">
        <v>4211</v>
      </c>
      <c r="C7174" s="26" t="n">
        <v>46236</v>
      </c>
      <c r="D7174" s="6" t="s">
        <v>5167</v>
      </c>
      <c r="E7174" s="6" t="s">
        <v>22</v>
      </c>
      <c r="F7174" s="6" t="n">
        <v>3</v>
      </c>
      <c r="G7174" s="10" t="n">
        <v>782</v>
      </c>
      <c r="H7174" s="10" t="n">
        <f aca="false">F7174*G7174</f>
        <v>2346</v>
      </c>
      <c r="I7174" s="6" t="s">
        <v>5130</v>
      </c>
    </row>
    <row r="7175" customFormat="false" ht="15" hidden="false" customHeight="false" outlineLevel="0" collapsed="false">
      <c r="A7175" s="6" t="s">
        <v>12399</v>
      </c>
      <c r="B7175" s="6" t="s">
        <v>479</v>
      </c>
      <c r="C7175" s="26" t="n">
        <v>46236</v>
      </c>
      <c r="D7175" s="6" t="s">
        <v>5339</v>
      </c>
      <c r="E7175" s="6" t="s">
        <v>24</v>
      </c>
      <c r="F7175" s="6" t="n">
        <v>2</v>
      </c>
      <c r="G7175" s="10" t="n">
        <v>483</v>
      </c>
      <c r="H7175" s="10" t="n">
        <f aca="false">F7175*G7175</f>
        <v>966</v>
      </c>
      <c r="I7175" s="6" t="s">
        <v>5148</v>
      </c>
    </row>
    <row r="7176" customFormat="false" ht="15" hidden="false" customHeight="false" outlineLevel="0" collapsed="false">
      <c r="A7176" s="6" t="s">
        <v>12400</v>
      </c>
      <c r="B7176" s="6" t="s">
        <v>3943</v>
      </c>
      <c r="C7176" s="26" t="n">
        <v>46236</v>
      </c>
      <c r="D7176" s="6" t="s">
        <v>5147</v>
      </c>
      <c r="E7176" s="6" t="s">
        <v>24</v>
      </c>
      <c r="F7176" s="6" t="n">
        <v>2</v>
      </c>
      <c r="G7176" s="10" t="n">
        <v>595</v>
      </c>
      <c r="H7176" s="10" t="n">
        <f aca="false">F7176*G7176</f>
        <v>1190</v>
      </c>
      <c r="I7176" s="6" t="s">
        <v>5125</v>
      </c>
    </row>
    <row r="7177" customFormat="false" ht="15" hidden="false" customHeight="false" outlineLevel="0" collapsed="false">
      <c r="A7177" s="6" t="s">
        <v>12401</v>
      </c>
      <c r="B7177" s="6" t="s">
        <v>1123</v>
      </c>
      <c r="C7177" s="26" t="n">
        <v>46236</v>
      </c>
      <c r="D7177" s="6" t="s">
        <v>5143</v>
      </c>
      <c r="E7177" s="6" t="s">
        <v>21</v>
      </c>
      <c r="F7177" s="6" t="n">
        <v>1</v>
      </c>
      <c r="G7177" s="10" t="n">
        <v>1061</v>
      </c>
      <c r="H7177" s="10" t="n">
        <f aca="false">F7177*G7177</f>
        <v>1061</v>
      </c>
      <c r="I7177" s="6" t="s">
        <v>5125</v>
      </c>
    </row>
    <row r="7178" customFormat="false" ht="15" hidden="false" customHeight="false" outlineLevel="0" collapsed="false">
      <c r="A7178" s="6" t="s">
        <v>12402</v>
      </c>
      <c r="B7178" s="6" t="s">
        <v>1961</v>
      </c>
      <c r="C7178" s="26" t="n">
        <v>46237</v>
      </c>
      <c r="D7178" s="6" t="s">
        <v>9706</v>
      </c>
      <c r="E7178" s="6" t="s">
        <v>22</v>
      </c>
      <c r="F7178" s="6" t="n">
        <v>1</v>
      </c>
      <c r="G7178" s="10" t="n">
        <v>3716</v>
      </c>
      <c r="H7178" s="10" t="n">
        <f aca="false">F7178*G7178</f>
        <v>3716</v>
      </c>
      <c r="I7178" s="6" t="s">
        <v>5148</v>
      </c>
    </row>
    <row r="7179" customFormat="false" ht="15" hidden="false" customHeight="false" outlineLevel="0" collapsed="false">
      <c r="A7179" s="6" t="s">
        <v>12403</v>
      </c>
      <c r="B7179" s="6" t="s">
        <v>3969</v>
      </c>
      <c r="C7179" s="26" t="n">
        <v>46237</v>
      </c>
      <c r="D7179" s="6" t="s">
        <v>5124</v>
      </c>
      <c r="E7179" s="6" t="s">
        <v>21</v>
      </c>
      <c r="F7179" s="6" t="n">
        <v>1</v>
      </c>
      <c r="G7179" s="10" t="n">
        <v>3439</v>
      </c>
      <c r="H7179" s="10" t="n">
        <f aca="false">F7179*G7179</f>
        <v>3439</v>
      </c>
      <c r="I7179" s="6" t="s">
        <v>5125</v>
      </c>
    </row>
    <row r="7180" customFormat="false" ht="15" hidden="false" customHeight="false" outlineLevel="0" collapsed="false">
      <c r="A7180" s="6" t="s">
        <v>12404</v>
      </c>
      <c r="B7180" s="6" t="s">
        <v>2505</v>
      </c>
      <c r="C7180" s="26" t="n">
        <v>46237</v>
      </c>
      <c r="D7180" s="6" t="s">
        <v>5171</v>
      </c>
      <c r="E7180" s="6" t="s">
        <v>23</v>
      </c>
      <c r="F7180" s="6" t="n">
        <v>4</v>
      </c>
      <c r="G7180" s="10" t="n">
        <v>734</v>
      </c>
      <c r="H7180" s="10" t="n">
        <f aca="false">F7180*G7180</f>
        <v>2936</v>
      </c>
      <c r="I7180" s="6" t="s">
        <v>5148</v>
      </c>
    </row>
    <row r="7181" customFormat="false" ht="15" hidden="false" customHeight="false" outlineLevel="0" collapsed="false">
      <c r="A7181" s="6" t="s">
        <v>12405</v>
      </c>
      <c r="B7181" s="6" t="s">
        <v>184</v>
      </c>
      <c r="C7181" s="26" t="n">
        <v>46237</v>
      </c>
      <c r="D7181" s="6" t="s">
        <v>5167</v>
      </c>
      <c r="E7181" s="6" t="s">
        <v>22</v>
      </c>
      <c r="F7181" s="6" t="n">
        <v>2</v>
      </c>
      <c r="G7181" s="10" t="n">
        <v>743</v>
      </c>
      <c r="H7181" s="10" t="n">
        <f aca="false">F7181*G7181</f>
        <v>1486</v>
      </c>
      <c r="I7181" s="6" t="s">
        <v>5148</v>
      </c>
    </row>
    <row r="7182" customFormat="false" ht="15" hidden="false" customHeight="false" outlineLevel="0" collapsed="false">
      <c r="A7182" s="6" t="s">
        <v>12406</v>
      </c>
      <c r="B7182" s="6" t="s">
        <v>4909</v>
      </c>
      <c r="C7182" s="26" t="n">
        <v>46237</v>
      </c>
      <c r="D7182" s="6" t="s">
        <v>5458</v>
      </c>
      <c r="E7182" s="6" t="s">
        <v>24</v>
      </c>
      <c r="F7182" s="6" t="n">
        <v>2</v>
      </c>
      <c r="G7182" s="10" t="n">
        <v>503</v>
      </c>
      <c r="H7182" s="10" t="n">
        <f aca="false">F7182*G7182</f>
        <v>1006</v>
      </c>
      <c r="I7182" s="6" t="s">
        <v>5148</v>
      </c>
    </row>
    <row r="7183" customFormat="false" ht="15" hidden="false" customHeight="false" outlineLevel="0" collapsed="false">
      <c r="A7183" s="6" t="s">
        <v>12407</v>
      </c>
      <c r="B7183" s="6" t="s">
        <v>2361</v>
      </c>
      <c r="C7183" s="26" t="n">
        <v>46237</v>
      </c>
      <c r="D7183" s="6" t="s">
        <v>5135</v>
      </c>
      <c r="E7183" s="6" t="s">
        <v>23</v>
      </c>
      <c r="F7183" s="6" t="n">
        <v>4</v>
      </c>
      <c r="G7183" s="10" t="n">
        <v>419</v>
      </c>
      <c r="H7183" s="10" t="n">
        <f aca="false">F7183*G7183</f>
        <v>1676</v>
      </c>
      <c r="I7183" s="6" t="s">
        <v>5148</v>
      </c>
    </row>
    <row r="7184" customFormat="false" ht="15" hidden="false" customHeight="false" outlineLevel="0" collapsed="false">
      <c r="A7184" s="6" t="s">
        <v>12408</v>
      </c>
      <c r="B7184" s="6" t="s">
        <v>3597</v>
      </c>
      <c r="C7184" s="26" t="n">
        <v>46237</v>
      </c>
      <c r="D7184" s="6" t="s">
        <v>5165</v>
      </c>
      <c r="E7184" s="6" t="s">
        <v>22</v>
      </c>
      <c r="F7184" s="6" t="n">
        <v>1</v>
      </c>
      <c r="G7184" s="10" t="n">
        <v>977</v>
      </c>
      <c r="H7184" s="10" t="n">
        <f aca="false">F7184*G7184</f>
        <v>977</v>
      </c>
      <c r="I7184" s="6" t="s">
        <v>5130</v>
      </c>
    </row>
    <row r="7185" customFormat="false" ht="15" hidden="false" customHeight="false" outlineLevel="0" collapsed="false">
      <c r="A7185" s="6" t="s">
        <v>12409</v>
      </c>
      <c r="B7185" s="6" t="s">
        <v>3745</v>
      </c>
      <c r="C7185" s="26" t="n">
        <v>46237</v>
      </c>
      <c r="D7185" s="6" t="s">
        <v>5837</v>
      </c>
      <c r="E7185" s="6" t="s">
        <v>21</v>
      </c>
      <c r="F7185" s="6" t="n">
        <v>1</v>
      </c>
      <c r="G7185" s="10" t="n">
        <v>2800</v>
      </c>
      <c r="H7185" s="10" t="n">
        <f aca="false">F7185*G7185</f>
        <v>2800</v>
      </c>
      <c r="I7185" s="6" t="s">
        <v>5148</v>
      </c>
    </row>
    <row r="7186" customFormat="false" ht="15" hidden="false" customHeight="false" outlineLevel="0" collapsed="false">
      <c r="A7186" s="6" t="s">
        <v>12410</v>
      </c>
      <c r="B7186" s="6" t="s">
        <v>1143</v>
      </c>
      <c r="C7186" s="26" t="n">
        <v>46237</v>
      </c>
      <c r="D7186" s="6" t="s">
        <v>5185</v>
      </c>
      <c r="E7186" s="6" t="s">
        <v>24</v>
      </c>
      <c r="F7186" s="6" t="n">
        <v>1</v>
      </c>
      <c r="G7186" s="10" t="n">
        <v>1926</v>
      </c>
      <c r="H7186" s="10" t="n">
        <f aca="false">F7186*G7186</f>
        <v>1926</v>
      </c>
      <c r="I7186" s="6" t="s">
        <v>5125</v>
      </c>
    </row>
    <row r="7187" customFormat="false" ht="15" hidden="false" customHeight="false" outlineLevel="0" collapsed="false">
      <c r="A7187" s="6" t="s">
        <v>12411</v>
      </c>
      <c r="B7187" s="6" t="s">
        <v>3495</v>
      </c>
      <c r="C7187" s="26" t="n">
        <v>46237</v>
      </c>
      <c r="D7187" s="6" t="s">
        <v>5242</v>
      </c>
      <c r="E7187" s="6" t="s">
        <v>23</v>
      </c>
      <c r="F7187" s="6" t="n">
        <v>2</v>
      </c>
      <c r="G7187" s="10" t="n">
        <v>354</v>
      </c>
      <c r="H7187" s="10" t="n">
        <f aca="false">F7187*G7187</f>
        <v>708</v>
      </c>
      <c r="I7187" s="6" t="s">
        <v>5130</v>
      </c>
    </row>
    <row r="7188" customFormat="false" ht="15" hidden="false" customHeight="false" outlineLevel="0" collapsed="false">
      <c r="A7188" s="6" t="s">
        <v>12412</v>
      </c>
      <c r="B7188" s="6" t="s">
        <v>2161</v>
      </c>
      <c r="C7188" s="26" t="n">
        <v>46237</v>
      </c>
      <c r="D7188" s="6" t="s">
        <v>5339</v>
      </c>
      <c r="E7188" s="6" t="s">
        <v>24</v>
      </c>
      <c r="F7188" s="6" t="n">
        <v>1</v>
      </c>
      <c r="G7188" s="10" t="n">
        <v>458</v>
      </c>
      <c r="H7188" s="10" t="n">
        <f aca="false">F7188*G7188</f>
        <v>458</v>
      </c>
      <c r="I7188" s="6" t="s">
        <v>5122</v>
      </c>
    </row>
    <row r="7189" customFormat="false" ht="15" hidden="false" customHeight="false" outlineLevel="0" collapsed="false">
      <c r="A7189" s="6" t="s">
        <v>12413</v>
      </c>
      <c r="B7189" s="6" t="s">
        <v>3905</v>
      </c>
      <c r="C7189" s="26" t="n">
        <v>46237</v>
      </c>
      <c r="D7189" s="6" t="s">
        <v>5129</v>
      </c>
      <c r="E7189" s="6" t="s">
        <v>21</v>
      </c>
      <c r="F7189" s="6" t="n">
        <v>1</v>
      </c>
      <c r="G7189" s="10" t="n">
        <v>559</v>
      </c>
      <c r="H7189" s="10" t="n">
        <f aca="false">F7189*G7189</f>
        <v>559</v>
      </c>
      <c r="I7189" s="6" t="s">
        <v>5122</v>
      </c>
    </row>
    <row r="7190" customFormat="false" ht="15" hidden="false" customHeight="false" outlineLevel="0" collapsed="false">
      <c r="A7190" s="6" t="s">
        <v>12414</v>
      </c>
      <c r="B7190" s="6" t="s">
        <v>154</v>
      </c>
      <c r="C7190" s="26" t="n">
        <v>46237</v>
      </c>
      <c r="D7190" s="6" t="s">
        <v>5129</v>
      </c>
      <c r="E7190" s="6" t="s">
        <v>21</v>
      </c>
      <c r="F7190" s="6" t="n">
        <v>1</v>
      </c>
      <c r="G7190" s="10" t="n">
        <v>559</v>
      </c>
      <c r="H7190" s="10" t="n">
        <f aca="false">F7190*G7190</f>
        <v>559</v>
      </c>
      <c r="I7190" s="6" t="s">
        <v>5122</v>
      </c>
    </row>
    <row r="7191" customFormat="false" ht="15" hidden="false" customHeight="false" outlineLevel="0" collapsed="false">
      <c r="A7191" s="6" t="s">
        <v>12415</v>
      </c>
      <c r="B7191" s="6" t="s">
        <v>651</v>
      </c>
      <c r="C7191" s="26" t="n">
        <v>46237</v>
      </c>
      <c r="D7191" s="6" t="s">
        <v>5318</v>
      </c>
      <c r="E7191" s="6" t="s">
        <v>20</v>
      </c>
      <c r="F7191" s="6" t="n">
        <v>1</v>
      </c>
      <c r="G7191" s="10" t="n">
        <v>1529</v>
      </c>
      <c r="H7191" s="10" t="n">
        <f aca="false">F7191*G7191</f>
        <v>1529</v>
      </c>
      <c r="I7191" s="6" t="s">
        <v>5122</v>
      </c>
    </row>
    <row r="7192" customFormat="false" ht="15" hidden="false" customHeight="false" outlineLevel="0" collapsed="false">
      <c r="A7192" s="6" t="s">
        <v>12416</v>
      </c>
      <c r="B7192" s="6" t="s">
        <v>2237</v>
      </c>
      <c r="C7192" s="26" t="n">
        <v>46237</v>
      </c>
      <c r="D7192" s="6" t="s">
        <v>5185</v>
      </c>
      <c r="E7192" s="6" t="s">
        <v>24</v>
      </c>
      <c r="F7192" s="6" t="n">
        <v>1</v>
      </c>
      <c r="G7192" s="10" t="n">
        <v>1926</v>
      </c>
      <c r="H7192" s="10" t="n">
        <f aca="false">F7192*G7192</f>
        <v>1926</v>
      </c>
      <c r="I7192" s="6" t="s">
        <v>5130</v>
      </c>
    </row>
    <row r="7193" customFormat="false" ht="15" hidden="false" customHeight="false" outlineLevel="0" collapsed="false">
      <c r="A7193" s="6" t="s">
        <v>12417</v>
      </c>
      <c r="B7193" s="6" t="s">
        <v>338</v>
      </c>
      <c r="C7193" s="26" t="n">
        <v>46237</v>
      </c>
      <c r="D7193" s="6" t="s">
        <v>5458</v>
      </c>
      <c r="E7193" s="6" t="s">
        <v>24</v>
      </c>
      <c r="F7193" s="6" t="n">
        <v>3</v>
      </c>
      <c r="G7193" s="10" t="n">
        <v>559</v>
      </c>
      <c r="H7193" s="10" t="n">
        <f aca="false">F7193*G7193</f>
        <v>1677</v>
      </c>
      <c r="I7193" s="6" t="s">
        <v>5133</v>
      </c>
    </row>
    <row r="7194" customFormat="false" ht="15" hidden="false" customHeight="false" outlineLevel="0" collapsed="false">
      <c r="A7194" s="6" t="s">
        <v>12418</v>
      </c>
      <c r="B7194" s="6" t="s">
        <v>2141</v>
      </c>
      <c r="C7194" s="26" t="n">
        <v>46237</v>
      </c>
      <c r="D7194" s="6" t="s">
        <v>5192</v>
      </c>
      <c r="E7194" s="6" t="s">
        <v>20</v>
      </c>
      <c r="F7194" s="6" t="n">
        <v>1</v>
      </c>
      <c r="G7194" s="10" t="n">
        <v>3670</v>
      </c>
      <c r="H7194" s="10" t="n">
        <f aca="false">F7194*G7194</f>
        <v>3670</v>
      </c>
      <c r="I7194" s="6" t="s">
        <v>5173</v>
      </c>
    </row>
    <row r="7195" customFormat="false" ht="15" hidden="false" customHeight="false" outlineLevel="0" collapsed="false">
      <c r="A7195" s="6" t="s">
        <v>12419</v>
      </c>
      <c r="B7195" s="6" t="s">
        <v>4967</v>
      </c>
      <c r="C7195" s="26" t="n">
        <v>46237</v>
      </c>
      <c r="D7195" s="6" t="s">
        <v>5242</v>
      </c>
      <c r="E7195" s="6" t="s">
        <v>23</v>
      </c>
      <c r="F7195" s="6" t="n">
        <v>2</v>
      </c>
      <c r="G7195" s="10" t="n">
        <v>335</v>
      </c>
      <c r="H7195" s="10" t="n">
        <f aca="false">F7195*G7195</f>
        <v>670</v>
      </c>
      <c r="I7195" s="6" t="s">
        <v>5148</v>
      </c>
    </row>
    <row r="7196" customFormat="false" ht="15" hidden="false" customHeight="false" outlineLevel="0" collapsed="false">
      <c r="A7196" s="6" t="s">
        <v>12420</v>
      </c>
      <c r="B7196" s="6" t="s">
        <v>2735</v>
      </c>
      <c r="C7196" s="26" t="n">
        <v>46237</v>
      </c>
      <c r="D7196" s="6" t="s">
        <v>5165</v>
      </c>
      <c r="E7196" s="6" t="s">
        <v>22</v>
      </c>
      <c r="F7196" s="6" t="n">
        <v>1</v>
      </c>
      <c r="G7196" s="10" t="n">
        <v>928</v>
      </c>
      <c r="H7196" s="10" t="n">
        <f aca="false">F7196*G7196</f>
        <v>928</v>
      </c>
      <c r="I7196" s="6" t="s">
        <v>5148</v>
      </c>
    </row>
    <row r="7197" customFormat="false" ht="15" hidden="false" customHeight="false" outlineLevel="0" collapsed="false">
      <c r="A7197" s="6" t="s">
        <v>12421</v>
      </c>
      <c r="B7197" s="6" t="s">
        <v>3537</v>
      </c>
      <c r="C7197" s="26" t="n">
        <v>46237</v>
      </c>
      <c r="D7197" s="6" t="s">
        <v>5135</v>
      </c>
      <c r="E7197" s="6" t="s">
        <v>23</v>
      </c>
      <c r="F7197" s="6" t="n">
        <v>2</v>
      </c>
      <c r="G7197" s="10" t="n">
        <v>397</v>
      </c>
      <c r="H7197" s="10" t="n">
        <f aca="false">F7197*G7197</f>
        <v>794</v>
      </c>
      <c r="I7197" s="6" t="s">
        <v>5122</v>
      </c>
    </row>
    <row r="7198" customFormat="false" ht="15" hidden="false" customHeight="false" outlineLevel="0" collapsed="false">
      <c r="A7198" s="6" t="s">
        <v>12422</v>
      </c>
      <c r="B7198" s="6" t="s">
        <v>3437</v>
      </c>
      <c r="C7198" s="26" t="n">
        <v>46237</v>
      </c>
      <c r="D7198" s="6" t="s">
        <v>5167</v>
      </c>
      <c r="E7198" s="6" t="s">
        <v>22</v>
      </c>
      <c r="F7198" s="6" t="n">
        <v>1</v>
      </c>
      <c r="G7198" s="10" t="n">
        <v>743</v>
      </c>
      <c r="H7198" s="10" t="n">
        <f aca="false">F7198*G7198</f>
        <v>743</v>
      </c>
      <c r="I7198" s="6" t="s">
        <v>5122</v>
      </c>
    </row>
    <row r="7199" customFormat="false" ht="15" hidden="false" customHeight="false" outlineLevel="0" collapsed="false">
      <c r="A7199" s="6" t="s">
        <v>12423</v>
      </c>
      <c r="B7199" s="6" t="s">
        <v>953</v>
      </c>
      <c r="C7199" s="26" t="n">
        <v>46237</v>
      </c>
      <c r="D7199" s="6" t="s">
        <v>5345</v>
      </c>
      <c r="E7199" s="6" t="s">
        <v>23</v>
      </c>
      <c r="F7199" s="6" t="n">
        <v>2</v>
      </c>
      <c r="G7199" s="10" t="n">
        <v>436</v>
      </c>
      <c r="H7199" s="10" t="n">
        <f aca="false">F7199*G7199</f>
        <v>872</v>
      </c>
      <c r="I7199" s="6" t="s">
        <v>5148</v>
      </c>
    </row>
    <row r="7200" customFormat="false" ht="15" hidden="false" customHeight="false" outlineLevel="0" collapsed="false">
      <c r="A7200" s="6" t="s">
        <v>12424</v>
      </c>
      <c r="B7200" s="6" t="s">
        <v>3513</v>
      </c>
      <c r="C7200" s="26" t="n">
        <v>46237</v>
      </c>
      <c r="D7200" s="6" t="s">
        <v>5171</v>
      </c>
      <c r="E7200" s="6" t="s">
        <v>23</v>
      </c>
      <c r="F7200" s="6" t="n">
        <v>3</v>
      </c>
      <c r="G7200" s="10" t="n">
        <v>734</v>
      </c>
      <c r="H7200" s="10" t="n">
        <f aca="false">F7200*G7200</f>
        <v>2202</v>
      </c>
      <c r="I7200" s="6" t="s">
        <v>5122</v>
      </c>
    </row>
    <row r="7201" customFormat="false" ht="15" hidden="false" customHeight="false" outlineLevel="0" collapsed="false">
      <c r="A7201" s="6" t="s">
        <v>12425</v>
      </c>
      <c r="B7201" s="6" t="s">
        <v>879</v>
      </c>
      <c r="C7201" s="26" t="n">
        <v>46237</v>
      </c>
      <c r="D7201" s="6" t="s">
        <v>5220</v>
      </c>
      <c r="E7201" s="6" t="s">
        <v>24</v>
      </c>
      <c r="F7201" s="6" t="n">
        <v>1</v>
      </c>
      <c r="G7201" s="10" t="n">
        <v>1064</v>
      </c>
      <c r="H7201" s="10" t="n">
        <f aca="false">F7201*G7201</f>
        <v>1064</v>
      </c>
      <c r="I7201" s="6" t="s">
        <v>5122</v>
      </c>
    </row>
    <row r="7202" customFormat="false" ht="15" hidden="false" customHeight="false" outlineLevel="0" collapsed="false">
      <c r="A7202" s="6" t="s">
        <v>12426</v>
      </c>
      <c r="B7202" s="6" t="s">
        <v>130</v>
      </c>
      <c r="C7202" s="26" t="n">
        <v>46237</v>
      </c>
      <c r="D7202" s="6" t="s">
        <v>5345</v>
      </c>
      <c r="E7202" s="6" t="s">
        <v>23</v>
      </c>
      <c r="F7202" s="6" t="n">
        <v>1</v>
      </c>
      <c r="G7202" s="10" t="n">
        <v>436</v>
      </c>
      <c r="H7202" s="10" t="n">
        <f aca="false">F7202*G7202</f>
        <v>436</v>
      </c>
      <c r="I7202" s="6" t="s">
        <v>5148</v>
      </c>
    </row>
    <row r="7203" customFormat="false" ht="15" hidden="false" customHeight="false" outlineLevel="0" collapsed="false">
      <c r="A7203" s="6" t="s">
        <v>12427</v>
      </c>
      <c r="B7203" s="6" t="s">
        <v>2027</v>
      </c>
      <c r="C7203" s="26" t="n">
        <v>46237</v>
      </c>
      <c r="D7203" s="6" t="s">
        <v>5185</v>
      </c>
      <c r="E7203" s="6" t="s">
        <v>24</v>
      </c>
      <c r="F7203" s="6" t="n">
        <v>3</v>
      </c>
      <c r="G7203" s="10" t="n">
        <v>2140</v>
      </c>
      <c r="H7203" s="10" t="n">
        <f aca="false">F7203*G7203</f>
        <v>6420</v>
      </c>
      <c r="I7203" s="6" t="s">
        <v>5148</v>
      </c>
    </row>
    <row r="7204" customFormat="false" ht="15" hidden="false" customHeight="false" outlineLevel="0" collapsed="false">
      <c r="A7204" s="6" t="s">
        <v>12428</v>
      </c>
      <c r="B7204" s="6" t="s">
        <v>705</v>
      </c>
      <c r="C7204" s="26" t="n">
        <v>46237</v>
      </c>
      <c r="D7204" s="6" t="s">
        <v>5156</v>
      </c>
      <c r="E7204" s="6" t="s">
        <v>21</v>
      </c>
      <c r="F7204" s="6" t="n">
        <v>1</v>
      </c>
      <c r="G7204" s="10" t="n">
        <v>1945</v>
      </c>
      <c r="H7204" s="10" t="n">
        <f aca="false">F7204*G7204</f>
        <v>1945</v>
      </c>
      <c r="I7204" s="6" t="s">
        <v>5133</v>
      </c>
    </row>
    <row r="7205" customFormat="false" ht="15" hidden="false" customHeight="false" outlineLevel="0" collapsed="false">
      <c r="A7205" s="6" t="s">
        <v>12429</v>
      </c>
      <c r="B7205" s="6" t="s">
        <v>2847</v>
      </c>
      <c r="C7205" s="26" t="n">
        <v>46237</v>
      </c>
      <c r="D7205" s="6" t="s">
        <v>5163</v>
      </c>
      <c r="E7205" s="6" t="s">
        <v>23</v>
      </c>
      <c r="F7205" s="6" t="n">
        <v>3</v>
      </c>
      <c r="G7205" s="10" t="n">
        <v>744</v>
      </c>
      <c r="H7205" s="10" t="n">
        <f aca="false">F7205*G7205</f>
        <v>2232</v>
      </c>
      <c r="I7205" s="6" t="s">
        <v>5122</v>
      </c>
    </row>
    <row r="7206" customFormat="false" ht="15" hidden="false" customHeight="false" outlineLevel="0" collapsed="false">
      <c r="A7206" s="6" t="s">
        <v>12430</v>
      </c>
      <c r="B7206" s="6" t="s">
        <v>2115</v>
      </c>
      <c r="C7206" s="26" t="n">
        <v>46237</v>
      </c>
      <c r="D7206" s="6" t="s">
        <v>5152</v>
      </c>
      <c r="E7206" s="6" t="s">
        <v>22</v>
      </c>
      <c r="F7206" s="6" t="n">
        <v>1</v>
      </c>
      <c r="G7206" s="10" t="n">
        <v>1760</v>
      </c>
      <c r="H7206" s="10" t="n">
        <f aca="false">F7206*G7206</f>
        <v>1760</v>
      </c>
      <c r="I7206" s="6" t="s">
        <v>5133</v>
      </c>
    </row>
    <row r="7207" customFormat="false" ht="15" hidden="false" customHeight="false" outlineLevel="0" collapsed="false">
      <c r="A7207" s="6" t="s">
        <v>12431</v>
      </c>
      <c r="B7207" s="6" t="s">
        <v>605</v>
      </c>
      <c r="C7207" s="26" t="n">
        <v>46237</v>
      </c>
      <c r="D7207" s="6" t="s">
        <v>5145</v>
      </c>
      <c r="E7207" s="6" t="s">
        <v>21</v>
      </c>
      <c r="F7207" s="6" t="n">
        <v>1</v>
      </c>
      <c r="G7207" s="10" t="n">
        <v>1277</v>
      </c>
      <c r="H7207" s="10" t="n">
        <f aca="false">F7207*G7207</f>
        <v>1277</v>
      </c>
      <c r="I7207" s="6" t="s">
        <v>5122</v>
      </c>
    </row>
    <row r="7208" customFormat="false" ht="15" hidden="false" customHeight="false" outlineLevel="0" collapsed="false">
      <c r="A7208" s="6" t="s">
        <v>12432</v>
      </c>
      <c r="B7208" s="6" t="s">
        <v>3913</v>
      </c>
      <c r="C7208" s="26" t="n">
        <v>46237</v>
      </c>
      <c r="D7208" s="6" t="s">
        <v>5235</v>
      </c>
      <c r="E7208" s="6" t="s">
        <v>21</v>
      </c>
      <c r="F7208" s="6" t="n">
        <v>1</v>
      </c>
      <c r="G7208" s="10" t="n">
        <v>1670</v>
      </c>
      <c r="H7208" s="10" t="n">
        <f aca="false">F7208*G7208</f>
        <v>1670</v>
      </c>
      <c r="I7208" s="6" t="s">
        <v>5130</v>
      </c>
    </row>
    <row r="7209" customFormat="false" ht="15" hidden="false" customHeight="false" outlineLevel="0" collapsed="false">
      <c r="A7209" s="6" t="s">
        <v>12433</v>
      </c>
      <c r="B7209" s="6" t="s">
        <v>973</v>
      </c>
      <c r="C7209" s="26" t="n">
        <v>46237</v>
      </c>
      <c r="D7209" s="6" t="s">
        <v>5522</v>
      </c>
      <c r="E7209" s="6" t="s">
        <v>21</v>
      </c>
      <c r="F7209" s="6" t="n">
        <v>1</v>
      </c>
      <c r="G7209" s="10" t="n">
        <v>11499</v>
      </c>
      <c r="H7209" s="10" t="n">
        <f aca="false">F7209*G7209</f>
        <v>11499</v>
      </c>
      <c r="I7209" s="6" t="s">
        <v>5130</v>
      </c>
    </row>
    <row r="7210" customFormat="false" ht="15" hidden="false" customHeight="false" outlineLevel="0" collapsed="false">
      <c r="A7210" s="6" t="s">
        <v>12434</v>
      </c>
      <c r="B7210" s="6" t="s">
        <v>1621</v>
      </c>
      <c r="C7210" s="26" t="n">
        <v>46237</v>
      </c>
      <c r="D7210" s="6" t="s">
        <v>5383</v>
      </c>
      <c r="E7210" s="6" t="s">
        <v>20</v>
      </c>
      <c r="F7210" s="6" t="n">
        <v>1</v>
      </c>
      <c r="G7210" s="10" t="n">
        <v>1009</v>
      </c>
      <c r="H7210" s="10" t="n">
        <f aca="false">F7210*G7210</f>
        <v>1009</v>
      </c>
      <c r="I7210" s="6" t="s">
        <v>5133</v>
      </c>
    </row>
    <row r="7211" customFormat="false" ht="15" hidden="false" customHeight="false" outlineLevel="0" collapsed="false">
      <c r="A7211" s="6" t="s">
        <v>12435</v>
      </c>
      <c r="B7211" s="6" t="s">
        <v>977</v>
      </c>
      <c r="C7211" s="26" t="n">
        <v>46237</v>
      </c>
      <c r="D7211" s="6" t="s">
        <v>5137</v>
      </c>
      <c r="E7211" s="6" t="s">
        <v>21</v>
      </c>
      <c r="F7211" s="6" t="n">
        <v>1</v>
      </c>
      <c r="G7211" s="10" t="n">
        <v>1591</v>
      </c>
      <c r="H7211" s="10" t="n">
        <f aca="false">F7211*G7211</f>
        <v>1591</v>
      </c>
      <c r="I7211" s="6" t="s">
        <v>5130</v>
      </c>
    </row>
    <row r="7212" customFormat="false" ht="15" hidden="false" customHeight="false" outlineLevel="0" collapsed="false">
      <c r="A7212" s="6" t="s">
        <v>12436</v>
      </c>
      <c r="B7212" s="6" t="s">
        <v>2013</v>
      </c>
      <c r="C7212" s="26" t="n">
        <v>46237</v>
      </c>
      <c r="D7212" s="6" t="s">
        <v>5488</v>
      </c>
      <c r="E7212" s="6" t="s">
        <v>24</v>
      </c>
      <c r="F7212" s="6" t="n">
        <v>1</v>
      </c>
      <c r="G7212" s="10" t="n">
        <v>866</v>
      </c>
      <c r="H7212" s="10" t="n">
        <f aca="false">F7212*G7212</f>
        <v>866</v>
      </c>
      <c r="I7212" s="6" t="s">
        <v>5148</v>
      </c>
    </row>
    <row r="7213" customFormat="false" ht="15" hidden="false" customHeight="false" outlineLevel="0" collapsed="false">
      <c r="A7213" s="6" t="s">
        <v>12437</v>
      </c>
      <c r="B7213" s="6" t="s">
        <v>729</v>
      </c>
      <c r="C7213" s="26" t="n">
        <v>46237</v>
      </c>
      <c r="D7213" s="6" t="s">
        <v>5561</v>
      </c>
      <c r="E7213" s="6" t="s">
        <v>20</v>
      </c>
      <c r="F7213" s="6" t="n">
        <v>1</v>
      </c>
      <c r="G7213" s="10" t="n">
        <v>3028</v>
      </c>
      <c r="H7213" s="10" t="n">
        <f aca="false">F7213*G7213</f>
        <v>3028</v>
      </c>
      <c r="I7213" s="6" t="s">
        <v>5122</v>
      </c>
    </row>
    <row r="7214" customFormat="false" ht="15" hidden="false" customHeight="false" outlineLevel="0" collapsed="false">
      <c r="A7214" s="6" t="s">
        <v>12438</v>
      </c>
      <c r="B7214" s="6" t="s">
        <v>4647</v>
      </c>
      <c r="C7214" s="26" t="n">
        <v>46237</v>
      </c>
      <c r="D7214" s="6" t="s">
        <v>5863</v>
      </c>
      <c r="E7214" s="6" t="s">
        <v>20</v>
      </c>
      <c r="F7214" s="6" t="n">
        <v>1</v>
      </c>
      <c r="G7214" s="10" t="n">
        <v>19375</v>
      </c>
      <c r="H7214" s="10" t="n">
        <f aca="false">F7214*G7214</f>
        <v>19375</v>
      </c>
      <c r="I7214" s="6" t="s">
        <v>5130</v>
      </c>
    </row>
    <row r="7215" customFormat="false" ht="15" hidden="false" customHeight="false" outlineLevel="0" collapsed="false">
      <c r="A7215" s="6" t="s">
        <v>12439</v>
      </c>
      <c r="B7215" s="6" t="s">
        <v>1485</v>
      </c>
      <c r="C7215" s="26" t="n">
        <v>46237</v>
      </c>
      <c r="D7215" s="6" t="s">
        <v>5163</v>
      </c>
      <c r="E7215" s="6" t="s">
        <v>23</v>
      </c>
      <c r="F7215" s="6" t="n">
        <v>4</v>
      </c>
      <c r="G7215" s="10" t="n">
        <v>783</v>
      </c>
      <c r="H7215" s="10" t="n">
        <f aca="false">F7215*G7215</f>
        <v>3132</v>
      </c>
      <c r="I7215" s="6" t="s">
        <v>5122</v>
      </c>
    </row>
    <row r="7216" customFormat="false" ht="15" hidden="false" customHeight="false" outlineLevel="0" collapsed="false">
      <c r="A7216" s="6" t="s">
        <v>12440</v>
      </c>
      <c r="B7216" s="6" t="s">
        <v>3067</v>
      </c>
      <c r="C7216" s="26" t="n">
        <v>46237</v>
      </c>
      <c r="D7216" s="6" t="s">
        <v>5141</v>
      </c>
      <c r="E7216" s="6" t="s">
        <v>20</v>
      </c>
      <c r="F7216" s="6" t="n">
        <v>2</v>
      </c>
      <c r="G7216" s="10" t="n">
        <v>1835</v>
      </c>
      <c r="H7216" s="10" t="n">
        <f aca="false">F7216*G7216</f>
        <v>3670</v>
      </c>
      <c r="I7216" s="6" t="s">
        <v>5173</v>
      </c>
    </row>
    <row r="7217" customFormat="false" ht="15" hidden="false" customHeight="false" outlineLevel="0" collapsed="false">
      <c r="A7217" s="6" t="s">
        <v>12441</v>
      </c>
      <c r="B7217" s="6" t="s">
        <v>1317</v>
      </c>
      <c r="C7217" s="26" t="n">
        <v>46237</v>
      </c>
      <c r="D7217" s="6" t="s">
        <v>5121</v>
      </c>
      <c r="E7217" s="6" t="s">
        <v>22</v>
      </c>
      <c r="F7217" s="6" t="n">
        <v>1</v>
      </c>
      <c r="G7217" s="10" t="n">
        <v>977</v>
      </c>
      <c r="H7217" s="10" t="n">
        <f aca="false">F7217*G7217</f>
        <v>977</v>
      </c>
      <c r="I7217" s="6" t="s">
        <v>5148</v>
      </c>
    </row>
    <row r="7218" customFormat="false" ht="15" hidden="false" customHeight="false" outlineLevel="0" collapsed="false">
      <c r="A7218" s="6" t="s">
        <v>12442</v>
      </c>
      <c r="B7218" s="6" t="s">
        <v>2057</v>
      </c>
      <c r="C7218" s="26" t="n">
        <v>46237</v>
      </c>
      <c r="D7218" s="6" t="s">
        <v>5143</v>
      </c>
      <c r="E7218" s="6" t="s">
        <v>21</v>
      </c>
      <c r="F7218" s="6" t="n">
        <v>2</v>
      </c>
      <c r="G7218" s="10" t="n">
        <v>1061</v>
      </c>
      <c r="H7218" s="10" t="n">
        <f aca="false">F7218*G7218</f>
        <v>2122</v>
      </c>
      <c r="I7218" s="6" t="s">
        <v>5122</v>
      </c>
    </row>
    <row r="7219" customFormat="false" ht="15" hidden="false" customHeight="false" outlineLevel="0" collapsed="false">
      <c r="A7219" s="6" t="s">
        <v>12443</v>
      </c>
      <c r="B7219" s="6" t="s">
        <v>1379</v>
      </c>
      <c r="C7219" s="26" t="n">
        <v>46237</v>
      </c>
      <c r="D7219" s="6" t="s">
        <v>5137</v>
      </c>
      <c r="E7219" s="6" t="s">
        <v>21</v>
      </c>
      <c r="F7219" s="6" t="n">
        <v>1</v>
      </c>
      <c r="G7219" s="10" t="n">
        <v>1680</v>
      </c>
      <c r="H7219" s="10" t="n">
        <f aca="false">F7219*G7219</f>
        <v>1680</v>
      </c>
      <c r="I7219" s="6" t="s">
        <v>5148</v>
      </c>
    </row>
    <row r="7220" customFormat="false" ht="15" hidden="false" customHeight="false" outlineLevel="0" collapsed="false">
      <c r="A7220" s="6" t="s">
        <v>12444</v>
      </c>
      <c r="B7220" s="6" t="s">
        <v>4859</v>
      </c>
      <c r="C7220" s="26" t="n">
        <v>46237</v>
      </c>
      <c r="D7220" s="6" t="s">
        <v>5410</v>
      </c>
      <c r="E7220" s="6" t="s">
        <v>20</v>
      </c>
      <c r="F7220" s="6" t="n">
        <v>1</v>
      </c>
      <c r="G7220" s="10" t="n">
        <v>2548</v>
      </c>
      <c r="H7220" s="10" t="n">
        <f aca="false">F7220*G7220</f>
        <v>2548</v>
      </c>
      <c r="I7220" s="6" t="s">
        <v>5148</v>
      </c>
    </row>
    <row r="7221" customFormat="false" ht="15" hidden="false" customHeight="false" outlineLevel="0" collapsed="false">
      <c r="A7221" s="6" t="s">
        <v>12445</v>
      </c>
      <c r="B7221" s="6" t="s">
        <v>186</v>
      </c>
      <c r="C7221" s="26" t="n">
        <v>46237</v>
      </c>
      <c r="D7221" s="6" t="s">
        <v>5398</v>
      </c>
      <c r="E7221" s="6" t="s">
        <v>24</v>
      </c>
      <c r="F7221" s="6" t="n">
        <v>3</v>
      </c>
      <c r="G7221" s="10" t="n">
        <v>580</v>
      </c>
      <c r="H7221" s="10" t="n">
        <f aca="false">F7221*G7221</f>
        <v>1740</v>
      </c>
      <c r="I7221" s="6" t="s">
        <v>5148</v>
      </c>
    </row>
    <row r="7222" customFormat="false" ht="15" hidden="false" customHeight="false" outlineLevel="0" collapsed="false">
      <c r="A7222" s="6" t="s">
        <v>12446</v>
      </c>
      <c r="B7222" s="6" t="s">
        <v>2441</v>
      </c>
      <c r="C7222" s="26" t="n">
        <v>46237</v>
      </c>
      <c r="D7222" s="6" t="s">
        <v>5167</v>
      </c>
      <c r="E7222" s="6" t="s">
        <v>22</v>
      </c>
      <c r="F7222" s="6" t="n">
        <v>3</v>
      </c>
      <c r="G7222" s="10" t="n">
        <v>782</v>
      </c>
      <c r="H7222" s="10" t="n">
        <f aca="false">F7222*G7222</f>
        <v>2346</v>
      </c>
      <c r="I7222" s="6" t="s">
        <v>5125</v>
      </c>
    </row>
    <row r="7223" customFormat="false" ht="15" hidden="false" customHeight="false" outlineLevel="0" collapsed="false">
      <c r="A7223" s="6" t="s">
        <v>12447</v>
      </c>
      <c r="B7223" s="6" t="s">
        <v>3419</v>
      </c>
      <c r="C7223" s="26" t="n">
        <v>46237</v>
      </c>
      <c r="D7223" s="6" t="s">
        <v>5180</v>
      </c>
      <c r="E7223" s="6" t="s">
        <v>24</v>
      </c>
      <c r="F7223" s="6" t="n">
        <v>4</v>
      </c>
      <c r="G7223" s="10" t="n">
        <v>1788</v>
      </c>
      <c r="H7223" s="10" t="n">
        <f aca="false">F7223*G7223</f>
        <v>7152</v>
      </c>
      <c r="I7223" s="6" t="s">
        <v>5122</v>
      </c>
    </row>
    <row r="7224" customFormat="false" ht="15" hidden="false" customHeight="false" outlineLevel="0" collapsed="false">
      <c r="A7224" s="6" t="s">
        <v>12448</v>
      </c>
      <c r="B7224" s="6" t="s">
        <v>3485</v>
      </c>
      <c r="C7224" s="26" t="n">
        <v>46237</v>
      </c>
      <c r="D7224" s="6" t="s">
        <v>5171</v>
      </c>
      <c r="E7224" s="6" t="s">
        <v>23</v>
      </c>
      <c r="F7224" s="6" t="n">
        <v>3</v>
      </c>
      <c r="G7224" s="10" t="n">
        <v>734</v>
      </c>
      <c r="H7224" s="10" t="n">
        <f aca="false">F7224*G7224</f>
        <v>2202</v>
      </c>
      <c r="I7224" s="6" t="s">
        <v>5122</v>
      </c>
    </row>
    <row r="7225" customFormat="false" ht="15" hidden="false" customHeight="false" outlineLevel="0" collapsed="false">
      <c r="A7225" s="6" t="s">
        <v>12449</v>
      </c>
      <c r="B7225" s="6" t="s">
        <v>2999</v>
      </c>
      <c r="C7225" s="26" t="n">
        <v>46237</v>
      </c>
      <c r="D7225" s="6" t="s">
        <v>5167</v>
      </c>
      <c r="E7225" s="6" t="s">
        <v>22</v>
      </c>
      <c r="F7225" s="6" t="n">
        <v>1</v>
      </c>
      <c r="G7225" s="10" t="n">
        <v>782</v>
      </c>
      <c r="H7225" s="10" t="n">
        <f aca="false">F7225*G7225</f>
        <v>782</v>
      </c>
      <c r="I7225" s="6" t="s">
        <v>5122</v>
      </c>
    </row>
    <row r="7226" customFormat="false" ht="15" hidden="false" customHeight="false" outlineLevel="0" collapsed="false">
      <c r="A7226" s="6" t="s">
        <v>12450</v>
      </c>
      <c r="B7226" s="6" t="s">
        <v>2367</v>
      </c>
      <c r="C7226" s="26" t="n">
        <v>46237</v>
      </c>
      <c r="D7226" s="6" t="s">
        <v>5165</v>
      </c>
      <c r="E7226" s="6" t="s">
        <v>22</v>
      </c>
      <c r="F7226" s="6" t="n">
        <v>4</v>
      </c>
      <c r="G7226" s="10" t="n">
        <v>977</v>
      </c>
      <c r="H7226" s="10" t="n">
        <f aca="false">F7226*G7226</f>
        <v>3908</v>
      </c>
      <c r="I7226" s="6" t="s">
        <v>5148</v>
      </c>
    </row>
    <row r="7227" customFormat="false" ht="15" hidden="false" customHeight="false" outlineLevel="0" collapsed="false">
      <c r="A7227" s="6" t="s">
        <v>12451</v>
      </c>
      <c r="B7227" s="6" t="s">
        <v>835</v>
      </c>
      <c r="C7227" s="26" t="n">
        <v>46237</v>
      </c>
      <c r="D7227" s="6" t="s">
        <v>5273</v>
      </c>
      <c r="E7227" s="6" t="s">
        <v>23</v>
      </c>
      <c r="F7227" s="6" t="n">
        <v>5</v>
      </c>
      <c r="G7227" s="10" t="n">
        <v>240</v>
      </c>
      <c r="H7227" s="10" t="n">
        <f aca="false">F7227*G7227</f>
        <v>1200</v>
      </c>
      <c r="I7227" s="6" t="s">
        <v>5130</v>
      </c>
    </row>
    <row r="7228" customFormat="false" ht="15" hidden="false" customHeight="false" outlineLevel="0" collapsed="false">
      <c r="A7228" s="6" t="s">
        <v>12452</v>
      </c>
      <c r="B7228" s="6" t="s">
        <v>1001</v>
      </c>
      <c r="C7228" s="26" t="n">
        <v>46237</v>
      </c>
      <c r="D7228" s="6" t="s">
        <v>5318</v>
      </c>
      <c r="E7228" s="6" t="s">
        <v>20</v>
      </c>
      <c r="F7228" s="6" t="n">
        <v>1</v>
      </c>
      <c r="G7228" s="10" t="n">
        <v>1452</v>
      </c>
      <c r="H7228" s="10" t="n">
        <f aca="false">F7228*G7228</f>
        <v>1452</v>
      </c>
      <c r="I7228" s="6" t="s">
        <v>5122</v>
      </c>
    </row>
    <row r="7229" customFormat="false" ht="15" hidden="false" customHeight="false" outlineLevel="0" collapsed="false">
      <c r="A7229" s="6" t="s">
        <v>12453</v>
      </c>
      <c r="B7229" s="6" t="s">
        <v>5097</v>
      </c>
      <c r="C7229" s="26" t="n">
        <v>46238</v>
      </c>
      <c r="D7229" s="6" t="s">
        <v>5167</v>
      </c>
      <c r="E7229" s="6" t="s">
        <v>22</v>
      </c>
      <c r="F7229" s="6" t="n">
        <v>1</v>
      </c>
      <c r="G7229" s="10" t="n">
        <v>743</v>
      </c>
      <c r="H7229" s="10" t="n">
        <f aca="false">F7229*G7229</f>
        <v>743</v>
      </c>
      <c r="I7229" s="6" t="s">
        <v>5122</v>
      </c>
    </row>
    <row r="7230" customFormat="false" ht="15" hidden="false" customHeight="false" outlineLevel="0" collapsed="false">
      <c r="A7230" s="6" t="s">
        <v>12454</v>
      </c>
      <c r="B7230" s="6" t="s">
        <v>1355</v>
      </c>
      <c r="C7230" s="26" t="n">
        <v>46238</v>
      </c>
      <c r="D7230" s="6" t="s">
        <v>5269</v>
      </c>
      <c r="E7230" s="6" t="s">
        <v>22</v>
      </c>
      <c r="F7230" s="6" t="n">
        <v>1</v>
      </c>
      <c r="G7230" s="10" t="n">
        <v>1271</v>
      </c>
      <c r="H7230" s="10" t="n">
        <f aca="false">F7230*G7230</f>
        <v>1271</v>
      </c>
      <c r="I7230" s="6" t="s">
        <v>5122</v>
      </c>
    </row>
    <row r="7231" customFormat="false" ht="15" hidden="false" customHeight="false" outlineLevel="0" collapsed="false">
      <c r="A7231" s="6" t="s">
        <v>12455</v>
      </c>
      <c r="B7231" s="6" t="s">
        <v>2891</v>
      </c>
      <c r="C7231" s="26" t="n">
        <v>46238</v>
      </c>
      <c r="D7231" s="6" t="s">
        <v>5163</v>
      </c>
      <c r="E7231" s="6" t="s">
        <v>23</v>
      </c>
      <c r="F7231" s="6" t="n">
        <v>1</v>
      </c>
      <c r="G7231" s="10" t="n">
        <v>783</v>
      </c>
      <c r="H7231" s="10" t="n">
        <f aca="false">F7231*G7231</f>
        <v>783</v>
      </c>
      <c r="I7231" s="6" t="s">
        <v>5130</v>
      </c>
    </row>
    <row r="7232" customFormat="false" ht="15" hidden="false" customHeight="false" outlineLevel="0" collapsed="false">
      <c r="A7232" s="6" t="s">
        <v>12456</v>
      </c>
      <c r="B7232" s="6" t="s">
        <v>755</v>
      </c>
      <c r="C7232" s="26" t="n">
        <v>46238</v>
      </c>
      <c r="D7232" s="6" t="s">
        <v>5139</v>
      </c>
      <c r="E7232" s="6" t="s">
        <v>23</v>
      </c>
      <c r="F7232" s="6" t="n">
        <v>3</v>
      </c>
      <c r="G7232" s="10" t="n">
        <v>279</v>
      </c>
      <c r="H7232" s="10" t="n">
        <f aca="false">F7232*G7232</f>
        <v>837</v>
      </c>
      <c r="I7232" s="6" t="s">
        <v>5130</v>
      </c>
    </row>
    <row r="7233" customFormat="false" ht="15" hidden="false" customHeight="false" outlineLevel="0" collapsed="false">
      <c r="A7233" s="6" t="s">
        <v>12457</v>
      </c>
      <c r="B7233" s="6" t="s">
        <v>1965</v>
      </c>
      <c r="C7233" s="26" t="n">
        <v>46238</v>
      </c>
      <c r="D7233" s="6" t="s">
        <v>5242</v>
      </c>
      <c r="E7233" s="6" t="s">
        <v>23</v>
      </c>
      <c r="F7233" s="6" t="n">
        <v>2</v>
      </c>
      <c r="G7233" s="10" t="n">
        <v>354</v>
      </c>
      <c r="H7233" s="10" t="n">
        <f aca="false">F7233*G7233</f>
        <v>708</v>
      </c>
      <c r="I7233" s="6" t="s">
        <v>5122</v>
      </c>
    </row>
    <row r="7234" customFormat="false" ht="15" hidden="false" customHeight="false" outlineLevel="0" collapsed="false">
      <c r="A7234" s="6" t="s">
        <v>12458</v>
      </c>
      <c r="B7234" s="6" t="s">
        <v>4605</v>
      </c>
      <c r="C7234" s="26" t="n">
        <v>46238</v>
      </c>
      <c r="D7234" s="6" t="s">
        <v>5456</v>
      </c>
      <c r="E7234" s="6" t="s">
        <v>24</v>
      </c>
      <c r="F7234" s="6" t="n">
        <v>2</v>
      </c>
      <c r="G7234" s="10" t="n">
        <v>912</v>
      </c>
      <c r="H7234" s="10" t="n">
        <f aca="false">F7234*G7234</f>
        <v>1824</v>
      </c>
      <c r="I7234" s="6" t="s">
        <v>5148</v>
      </c>
    </row>
    <row r="7235" customFormat="false" ht="15" hidden="false" customHeight="false" outlineLevel="0" collapsed="false">
      <c r="A7235" s="6" t="s">
        <v>12459</v>
      </c>
      <c r="B7235" s="6" t="s">
        <v>4957</v>
      </c>
      <c r="C7235" s="26" t="n">
        <v>46238</v>
      </c>
      <c r="D7235" s="6" t="s">
        <v>5121</v>
      </c>
      <c r="E7235" s="6" t="s">
        <v>22</v>
      </c>
      <c r="F7235" s="6" t="n">
        <v>1</v>
      </c>
      <c r="G7235" s="10" t="n">
        <v>976</v>
      </c>
      <c r="H7235" s="10" t="n">
        <f aca="false">F7235*G7235</f>
        <v>976</v>
      </c>
      <c r="I7235" s="6" t="s">
        <v>5122</v>
      </c>
    </row>
    <row r="7236" customFormat="false" ht="15" hidden="false" customHeight="false" outlineLevel="0" collapsed="false">
      <c r="A7236" s="6" t="s">
        <v>12460</v>
      </c>
      <c r="B7236" s="6" t="s">
        <v>1141</v>
      </c>
      <c r="C7236" s="26" t="n">
        <v>46238</v>
      </c>
      <c r="D7236" s="6" t="s">
        <v>5132</v>
      </c>
      <c r="E7236" s="6" t="s">
        <v>23</v>
      </c>
      <c r="F7236" s="6" t="n">
        <v>3</v>
      </c>
      <c r="G7236" s="10" t="n">
        <v>342</v>
      </c>
      <c r="H7236" s="10" t="n">
        <f aca="false">F7236*G7236</f>
        <v>1026</v>
      </c>
      <c r="I7236" s="6" t="s">
        <v>5122</v>
      </c>
    </row>
    <row r="7237" customFormat="false" ht="15" hidden="false" customHeight="false" outlineLevel="0" collapsed="false">
      <c r="A7237" s="6" t="s">
        <v>12461</v>
      </c>
      <c r="B7237" s="6" t="s">
        <v>4893</v>
      </c>
      <c r="C7237" s="26" t="n">
        <v>46238</v>
      </c>
      <c r="D7237" s="6" t="s">
        <v>5345</v>
      </c>
      <c r="E7237" s="6" t="s">
        <v>23</v>
      </c>
      <c r="F7237" s="6" t="n">
        <v>3</v>
      </c>
      <c r="G7237" s="10" t="n">
        <v>436</v>
      </c>
      <c r="H7237" s="10" t="n">
        <f aca="false">F7237*G7237</f>
        <v>1308</v>
      </c>
      <c r="I7237" s="6" t="s">
        <v>5173</v>
      </c>
    </row>
    <row r="7238" customFormat="false" ht="15" hidden="false" customHeight="false" outlineLevel="0" collapsed="false">
      <c r="A7238" s="6" t="s">
        <v>12462</v>
      </c>
      <c r="B7238" s="6" t="s">
        <v>103</v>
      </c>
      <c r="C7238" s="26" t="n">
        <v>46238</v>
      </c>
      <c r="D7238" s="6" t="s">
        <v>5169</v>
      </c>
      <c r="E7238" s="6" t="s">
        <v>20</v>
      </c>
      <c r="F7238" s="6" t="n">
        <v>2</v>
      </c>
      <c r="G7238" s="10" t="n">
        <v>4843</v>
      </c>
      <c r="H7238" s="10" t="n">
        <f aca="false">F7238*G7238</f>
        <v>9686</v>
      </c>
      <c r="I7238" s="6" t="s">
        <v>5122</v>
      </c>
    </row>
    <row r="7239" customFormat="false" ht="15" hidden="false" customHeight="false" outlineLevel="0" collapsed="false">
      <c r="A7239" s="6" t="s">
        <v>12463</v>
      </c>
      <c r="B7239" s="6" t="s">
        <v>1587</v>
      </c>
      <c r="C7239" s="26" t="n">
        <v>46238</v>
      </c>
      <c r="D7239" s="6" t="s">
        <v>5345</v>
      </c>
      <c r="E7239" s="6" t="s">
        <v>23</v>
      </c>
      <c r="F7239" s="6" t="n">
        <v>3</v>
      </c>
      <c r="G7239" s="10" t="n">
        <v>436</v>
      </c>
      <c r="H7239" s="10" t="n">
        <f aca="false">F7239*G7239</f>
        <v>1308</v>
      </c>
      <c r="I7239" s="6" t="s">
        <v>5125</v>
      </c>
    </row>
    <row r="7240" customFormat="false" ht="15" hidden="false" customHeight="false" outlineLevel="0" collapsed="false">
      <c r="A7240" s="6" t="s">
        <v>12464</v>
      </c>
      <c r="B7240" s="6" t="s">
        <v>4783</v>
      </c>
      <c r="C7240" s="26" t="n">
        <v>46238</v>
      </c>
      <c r="D7240" s="6" t="s">
        <v>5220</v>
      </c>
      <c r="E7240" s="6" t="s">
        <v>24</v>
      </c>
      <c r="F7240" s="6" t="n">
        <v>3</v>
      </c>
      <c r="G7240" s="10" t="n">
        <v>1120</v>
      </c>
      <c r="H7240" s="10" t="n">
        <f aca="false">F7240*G7240</f>
        <v>3360</v>
      </c>
      <c r="I7240" s="6" t="s">
        <v>5173</v>
      </c>
    </row>
    <row r="7241" customFormat="false" ht="15" hidden="false" customHeight="false" outlineLevel="0" collapsed="false">
      <c r="A7241" s="6" t="s">
        <v>12465</v>
      </c>
      <c r="B7241" s="6" t="s">
        <v>973</v>
      </c>
      <c r="C7241" s="26" t="n">
        <v>46238</v>
      </c>
      <c r="D7241" s="6" t="s">
        <v>5687</v>
      </c>
      <c r="E7241" s="6" t="s">
        <v>20</v>
      </c>
      <c r="F7241" s="6" t="n">
        <v>1</v>
      </c>
      <c r="G7241" s="10" t="n">
        <v>1835</v>
      </c>
      <c r="H7241" s="10" t="n">
        <f aca="false">F7241*G7241</f>
        <v>1835</v>
      </c>
      <c r="I7241" s="6" t="s">
        <v>5148</v>
      </c>
    </row>
    <row r="7242" customFormat="false" ht="15" hidden="false" customHeight="false" outlineLevel="0" collapsed="false">
      <c r="A7242" s="6" t="s">
        <v>12466</v>
      </c>
      <c r="B7242" s="6" t="s">
        <v>503</v>
      </c>
      <c r="C7242" s="26" t="n">
        <v>46238</v>
      </c>
      <c r="D7242" s="6" t="s">
        <v>5269</v>
      </c>
      <c r="E7242" s="6" t="s">
        <v>22</v>
      </c>
      <c r="F7242" s="6" t="n">
        <v>3</v>
      </c>
      <c r="G7242" s="10" t="n">
        <v>1271</v>
      </c>
      <c r="H7242" s="10" t="n">
        <f aca="false">F7242*G7242</f>
        <v>3813</v>
      </c>
      <c r="I7242" s="6" t="s">
        <v>5122</v>
      </c>
    </row>
    <row r="7243" customFormat="false" ht="15" hidden="false" customHeight="false" outlineLevel="0" collapsed="false">
      <c r="A7243" s="6" t="s">
        <v>12467</v>
      </c>
      <c r="B7243" s="6" t="s">
        <v>4867</v>
      </c>
      <c r="C7243" s="26" t="n">
        <v>46238</v>
      </c>
      <c r="D7243" s="6" t="s">
        <v>5588</v>
      </c>
      <c r="E7243" s="6" t="s">
        <v>21</v>
      </c>
      <c r="F7243" s="6" t="n">
        <v>1</v>
      </c>
      <c r="G7243" s="10" t="n">
        <v>11794</v>
      </c>
      <c r="H7243" s="10" t="n">
        <f aca="false">F7243*G7243</f>
        <v>11794</v>
      </c>
      <c r="I7243" s="6" t="s">
        <v>5122</v>
      </c>
    </row>
    <row r="7244" customFormat="false" ht="15" hidden="false" customHeight="false" outlineLevel="0" collapsed="false">
      <c r="A7244" s="6" t="s">
        <v>12468</v>
      </c>
      <c r="B7244" s="6" t="s">
        <v>1489</v>
      </c>
      <c r="C7244" s="26" t="n">
        <v>46238</v>
      </c>
      <c r="D7244" s="6" t="s">
        <v>5129</v>
      </c>
      <c r="E7244" s="6" t="s">
        <v>21</v>
      </c>
      <c r="F7244" s="6" t="n">
        <v>1</v>
      </c>
      <c r="G7244" s="10" t="n">
        <v>559</v>
      </c>
      <c r="H7244" s="10" t="n">
        <f aca="false">F7244*G7244</f>
        <v>559</v>
      </c>
      <c r="I7244" s="6" t="s">
        <v>5148</v>
      </c>
    </row>
    <row r="7245" customFormat="false" ht="15" hidden="false" customHeight="false" outlineLevel="0" collapsed="false">
      <c r="A7245" s="6" t="s">
        <v>12469</v>
      </c>
      <c r="B7245" s="6" t="s">
        <v>3933</v>
      </c>
      <c r="C7245" s="26" t="n">
        <v>46238</v>
      </c>
      <c r="D7245" s="6" t="s">
        <v>5165</v>
      </c>
      <c r="E7245" s="6" t="s">
        <v>22</v>
      </c>
      <c r="F7245" s="6" t="n">
        <v>1</v>
      </c>
      <c r="G7245" s="10" t="n">
        <v>977</v>
      </c>
      <c r="H7245" s="10" t="n">
        <f aca="false">F7245*G7245</f>
        <v>977</v>
      </c>
      <c r="I7245" s="6" t="s">
        <v>5122</v>
      </c>
    </row>
    <row r="7246" customFormat="false" ht="15" hidden="false" customHeight="false" outlineLevel="0" collapsed="false">
      <c r="A7246" s="6" t="s">
        <v>12470</v>
      </c>
      <c r="B7246" s="6" t="s">
        <v>3713</v>
      </c>
      <c r="C7246" s="26" t="n">
        <v>46238</v>
      </c>
      <c r="D7246" s="6" t="s">
        <v>5127</v>
      </c>
      <c r="E7246" s="6" t="s">
        <v>21</v>
      </c>
      <c r="F7246" s="6" t="n">
        <v>1</v>
      </c>
      <c r="G7246" s="10" t="n">
        <v>839</v>
      </c>
      <c r="H7246" s="10" t="n">
        <f aca="false">F7246*G7246</f>
        <v>839</v>
      </c>
      <c r="I7246" s="6" t="s">
        <v>5122</v>
      </c>
    </row>
    <row r="7247" customFormat="false" ht="15" hidden="false" customHeight="false" outlineLevel="0" collapsed="false">
      <c r="A7247" s="6" t="s">
        <v>12471</v>
      </c>
      <c r="B7247" s="6" t="s">
        <v>3501</v>
      </c>
      <c r="C7247" s="26" t="n">
        <v>46238</v>
      </c>
      <c r="D7247" s="6" t="s">
        <v>5150</v>
      </c>
      <c r="E7247" s="6" t="s">
        <v>24</v>
      </c>
      <c r="F7247" s="6" t="n">
        <v>2</v>
      </c>
      <c r="G7247" s="10" t="n">
        <v>458</v>
      </c>
      <c r="H7247" s="10" t="n">
        <f aca="false">F7247*G7247</f>
        <v>916</v>
      </c>
      <c r="I7247" s="6" t="s">
        <v>5133</v>
      </c>
    </row>
    <row r="7248" customFormat="false" ht="15" hidden="false" customHeight="false" outlineLevel="0" collapsed="false">
      <c r="A7248" s="6" t="s">
        <v>12472</v>
      </c>
      <c r="B7248" s="6" t="s">
        <v>2911</v>
      </c>
      <c r="C7248" s="26" t="n">
        <v>46238</v>
      </c>
      <c r="D7248" s="6" t="s">
        <v>5145</v>
      </c>
      <c r="E7248" s="6" t="s">
        <v>21</v>
      </c>
      <c r="F7248" s="6" t="n">
        <v>1</v>
      </c>
      <c r="G7248" s="10" t="n">
        <v>1277</v>
      </c>
      <c r="H7248" s="10" t="n">
        <f aca="false">F7248*G7248</f>
        <v>1277</v>
      </c>
      <c r="I7248" s="6" t="s">
        <v>5122</v>
      </c>
    </row>
    <row r="7249" customFormat="false" ht="15" hidden="false" customHeight="false" outlineLevel="0" collapsed="false">
      <c r="A7249" s="6" t="s">
        <v>12473</v>
      </c>
      <c r="B7249" s="6" t="s">
        <v>3199</v>
      </c>
      <c r="C7249" s="26" t="n">
        <v>46238</v>
      </c>
      <c r="D7249" s="6" t="s">
        <v>5522</v>
      </c>
      <c r="E7249" s="6" t="s">
        <v>21</v>
      </c>
      <c r="F7249" s="6" t="n">
        <v>1</v>
      </c>
      <c r="G7249" s="10" t="n">
        <v>12138</v>
      </c>
      <c r="H7249" s="10" t="n">
        <f aca="false">F7249*G7249</f>
        <v>12138</v>
      </c>
      <c r="I7249" s="6" t="s">
        <v>5148</v>
      </c>
    </row>
    <row r="7250" customFormat="false" ht="15" hidden="false" customHeight="false" outlineLevel="0" collapsed="false">
      <c r="A7250" s="6" t="s">
        <v>12474</v>
      </c>
      <c r="B7250" s="6" t="s">
        <v>1443</v>
      </c>
      <c r="C7250" s="26" t="n">
        <v>46238</v>
      </c>
      <c r="D7250" s="6" t="s">
        <v>5488</v>
      </c>
      <c r="E7250" s="6" t="s">
        <v>24</v>
      </c>
      <c r="F7250" s="6" t="n">
        <v>3</v>
      </c>
      <c r="G7250" s="10" t="n">
        <v>866</v>
      </c>
      <c r="H7250" s="10" t="n">
        <f aca="false">F7250*G7250</f>
        <v>2598</v>
      </c>
      <c r="I7250" s="6" t="s">
        <v>5173</v>
      </c>
    </row>
    <row r="7251" customFormat="false" ht="15" hidden="false" customHeight="false" outlineLevel="0" collapsed="false">
      <c r="A7251" s="6" t="s">
        <v>12475</v>
      </c>
      <c r="B7251" s="6" t="s">
        <v>5073</v>
      </c>
      <c r="C7251" s="26" t="n">
        <v>46238</v>
      </c>
      <c r="D7251" s="6" t="s">
        <v>5345</v>
      </c>
      <c r="E7251" s="6" t="s">
        <v>23</v>
      </c>
      <c r="F7251" s="6" t="n">
        <v>4</v>
      </c>
      <c r="G7251" s="10" t="n">
        <v>436</v>
      </c>
      <c r="H7251" s="10" t="n">
        <f aca="false">F7251*G7251</f>
        <v>1744</v>
      </c>
      <c r="I7251" s="6" t="s">
        <v>5130</v>
      </c>
    </row>
    <row r="7252" customFormat="false" ht="15" hidden="false" customHeight="false" outlineLevel="0" collapsed="false">
      <c r="A7252" s="6" t="s">
        <v>12476</v>
      </c>
      <c r="B7252" s="6" t="s">
        <v>4781</v>
      </c>
      <c r="C7252" s="26" t="n">
        <v>46238</v>
      </c>
      <c r="D7252" s="6" t="s">
        <v>5460</v>
      </c>
      <c r="E7252" s="6" t="s">
        <v>24</v>
      </c>
      <c r="F7252" s="6" t="n">
        <v>2</v>
      </c>
      <c r="G7252" s="10" t="n">
        <v>555</v>
      </c>
      <c r="H7252" s="10" t="n">
        <f aca="false">F7252*G7252</f>
        <v>1110</v>
      </c>
      <c r="I7252" s="6" t="s">
        <v>5148</v>
      </c>
    </row>
    <row r="7253" customFormat="false" ht="15" hidden="false" customHeight="false" outlineLevel="0" collapsed="false">
      <c r="A7253" s="6" t="s">
        <v>12477</v>
      </c>
      <c r="B7253" s="6" t="s">
        <v>3455</v>
      </c>
      <c r="C7253" s="26" t="n">
        <v>46238</v>
      </c>
      <c r="D7253" s="6" t="s">
        <v>5313</v>
      </c>
      <c r="E7253" s="6" t="s">
        <v>22</v>
      </c>
      <c r="F7253" s="6" t="n">
        <v>3</v>
      </c>
      <c r="G7253" s="10" t="n">
        <v>1672</v>
      </c>
      <c r="H7253" s="10" t="n">
        <f aca="false">F7253*G7253</f>
        <v>5016</v>
      </c>
      <c r="I7253" s="6" t="s">
        <v>5122</v>
      </c>
    </row>
    <row r="7254" customFormat="false" ht="15" hidden="false" customHeight="false" outlineLevel="0" collapsed="false">
      <c r="A7254" s="6" t="s">
        <v>12478</v>
      </c>
      <c r="B7254" s="6" t="s">
        <v>2683</v>
      </c>
      <c r="C7254" s="26" t="n">
        <v>46238</v>
      </c>
      <c r="D7254" s="6" t="s">
        <v>5237</v>
      </c>
      <c r="E7254" s="6" t="s">
        <v>24</v>
      </c>
      <c r="F7254" s="6" t="n">
        <v>1</v>
      </c>
      <c r="G7254" s="10" t="n">
        <v>1833</v>
      </c>
      <c r="H7254" s="10" t="n">
        <f aca="false">F7254*G7254</f>
        <v>1833</v>
      </c>
      <c r="I7254" s="6" t="s">
        <v>5122</v>
      </c>
    </row>
    <row r="7255" customFormat="false" ht="15" hidden="false" customHeight="false" outlineLevel="0" collapsed="false">
      <c r="A7255" s="6" t="s">
        <v>12479</v>
      </c>
      <c r="B7255" s="6" t="s">
        <v>4055</v>
      </c>
      <c r="C7255" s="26" t="n">
        <v>46238</v>
      </c>
      <c r="D7255" s="6" t="s">
        <v>5683</v>
      </c>
      <c r="E7255" s="6" t="s">
        <v>22</v>
      </c>
      <c r="F7255" s="6" t="n">
        <v>1</v>
      </c>
      <c r="G7255" s="10" t="n">
        <v>1584</v>
      </c>
      <c r="H7255" s="10" t="n">
        <f aca="false">F7255*G7255</f>
        <v>1584</v>
      </c>
      <c r="I7255" s="6" t="s">
        <v>5148</v>
      </c>
    </row>
    <row r="7256" customFormat="false" ht="15" hidden="false" customHeight="false" outlineLevel="0" collapsed="false">
      <c r="A7256" s="6" t="s">
        <v>12480</v>
      </c>
      <c r="B7256" s="6" t="s">
        <v>4593</v>
      </c>
      <c r="C7256" s="26" t="n">
        <v>46238</v>
      </c>
      <c r="D7256" s="6" t="s">
        <v>5137</v>
      </c>
      <c r="E7256" s="6" t="s">
        <v>21</v>
      </c>
      <c r="F7256" s="6" t="n">
        <v>1</v>
      </c>
      <c r="G7256" s="10" t="n">
        <v>1768</v>
      </c>
      <c r="H7256" s="10" t="n">
        <f aca="false">F7256*G7256</f>
        <v>1768</v>
      </c>
      <c r="I7256" s="6" t="s">
        <v>5122</v>
      </c>
    </row>
    <row r="7257" customFormat="false" ht="15" hidden="false" customHeight="false" outlineLevel="0" collapsed="false">
      <c r="A7257" s="6" t="s">
        <v>12481</v>
      </c>
      <c r="B7257" s="6" t="s">
        <v>269</v>
      </c>
      <c r="C7257" s="26" t="n">
        <v>46238</v>
      </c>
      <c r="D7257" s="6" t="s">
        <v>5150</v>
      </c>
      <c r="E7257" s="6" t="s">
        <v>24</v>
      </c>
      <c r="F7257" s="6" t="n">
        <v>2</v>
      </c>
      <c r="G7257" s="10" t="n">
        <v>508</v>
      </c>
      <c r="H7257" s="10" t="n">
        <f aca="false">F7257*G7257</f>
        <v>1016</v>
      </c>
      <c r="I7257" s="6" t="s">
        <v>5125</v>
      </c>
    </row>
    <row r="7258" customFormat="false" ht="15" hidden="false" customHeight="false" outlineLevel="0" collapsed="false">
      <c r="A7258" s="6" t="s">
        <v>12482</v>
      </c>
      <c r="B7258" s="6" t="s">
        <v>1343</v>
      </c>
      <c r="C7258" s="26" t="n">
        <v>46238</v>
      </c>
      <c r="D7258" s="6" t="s">
        <v>5588</v>
      </c>
      <c r="E7258" s="6" t="s">
        <v>21</v>
      </c>
      <c r="F7258" s="6" t="n">
        <v>1</v>
      </c>
      <c r="G7258" s="10" t="n">
        <v>10615</v>
      </c>
      <c r="H7258" s="10" t="n">
        <f aca="false">F7258*G7258</f>
        <v>10615</v>
      </c>
      <c r="I7258" s="6" t="s">
        <v>5122</v>
      </c>
    </row>
    <row r="7259" customFormat="false" ht="15" hidden="false" customHeight="false" outlineLevel="0" collapsed="false">
      <c r="A7259" s="6" t="s">
        <v>12483</v>
      </c>
      <c r="B7259" s="6" t="s">
        <v>2357</v>
      </c>
      <c r="C7259" s="26" t="n">
        <v>46238</v>
      </c>
      <c r="D7259" s="6" t="s">
        <v>5163</v>
      </c>
      <c r="E7259" s="6" t="s">
        <v>23</v>
      </c>
      <c r="F7259" s="6" t="n">
        <v>2</v>
      </c>
      <c r="G7259" s="10" t="n">
        <v>783</v>
      </c>
      <c r="H7259" s="10" t="n">
        <f aca="false">F7259*G7259</f>
        <v>1566</v>
      </c>
      <c r="I7259" s="6" t="s">
        <v>5122</v>
      </c>
    </row>
    <row r="7260" customFormat="false" ht="15" hidden="false" customHeight="false" outlineLevel="0" collapsed="false">
      <c r="A7260" s="6" t="s">
        <v>12484</v>
      </c>
      <c r="B7260" s="6" t="s">
        <v>1589</v>
      </c>
      <c r="C7260" s="26" t="n">
        <v>46239</v>
      </c>
      <c r="D7260" s="6" t="s">
        <v>5137</v>
      </c>
      <c r="E7260" s="6" t="s">
        <v>21</v>
      </c>
      <c r="F7260" s="6" t="n">
        <v>1</v>
      </c>
      <c r="G7260" s="10" t="n">
        <v>1680</v>
      </c>
      <c r="H7260" s="10" t="n">
        <f aca="false">F7260*G7260</f>
        <v>1680</v>
      </c>
      <c r="I7260" s="6" t="s">
        <v>5122</v>
      </c>
    </row>
    <row r="7261" customFormat="false" ht="15" hidden="false" customHeight="false" outlineLevel="0" collapsed="false">
      <c r="A7261" s="6" t="s">
        <v>12485</v>
      </c>
      <c r="B7261" s="6" t="s">
        <v>1257</v>
      </c>
      <c r="C7261" s="26" t="n">
        <v>46239</v>
      </c>
      <c r="D7261" s="6" t="s">
        <v>5165</v>
      </c>
      <c r="E7261" s="6" t="s">
        <v>22</v>
      </c>
      <c r="F7261" s="6" t="n">
        <v>2</v>
      </c>
      <c r="G7261" s="10" t="n">
        <v>880</v>
      </c>
      <c r="H7261" s="10" t="n">
        <f aca="false">F7261*G7261</f>
        <v>1760</v>
      </c>
      <c r="I7261" s="6" t="s">
        <v>5122</v>
      </c>
    </row>
    <row r="7262" customFormat="false" ht="15" hidden="false" customHeight="false" outlineLevel="0" collapsed="false">
      <c r="A7262" s="6" t="s">
        <v>12486</v>
      </c>
      <c r="B7262" s="6" t="s">
        <v>4891</v>
      </c>
      <c r="C7262" s="26" t="n">
        <v>46239</v>
      </c>
      <c r="D7262" s="6" t="s">
        <v>5137</v>
      </c>
      <c r="E7262" s="6" t="s">
        <v>21</v>
      </c>
      <c r="F7262" s="6" t="n">
        <v>1</v>
      </c>
      <c r="G7262" s="10" t="n">
        <v>1591</v>
      </c>
      <c r="H7262" s="10" t="n">
        <f aca="false">F7262*G7262</f>
        <v>1591</v>
      </c>
      <c r="I7262" s="6" t="s">
        <v>5125</v>
      </c>
    </row>
    <row r="7263" customFormat="false" ht="15" hidden="false" customHeight="false" outlineLevel="0" collapsed="false">
      <c r="A7263" s="6" t="s">
        <v>12487</v>
      </c>
      <c r="B7263" s="6" t="s">
        <v>362</v>
      </c>
      <c r="C7263" s="26" t="n">
        <v>46239</v>
      </c>
      <c r="D7263" s="6" t="s">
        <v>6114</v>
      </c>
      <c r="E7263" s="6" t="s">
        <v>20</v>
      </c>
      <c r="F7263" s="6" t="n">
        <v>1</v>
      </c>
      <c r="G7263" s="10" t="n">
        <v>13256</v>
      </c>
      <c r="H7263" s="10" t="n">
        <f aca="false">F7263*G7263</f>
        <v>13256</v>
      </c>
      <c r="I7263" s="6" t="s">
        <v>5122</v>
      </c>
    </row>
    <row r="7264" customFormat="false" ht="15" hidden="false" customHeight="false" outlineLevel="0" collapsed="false">
      <c r="A7264" s="6" t="s">
        <v>12488</v>
      </c>
      <c r="B7264" s="6" t="s">
        <v>4109</v>
      </c>
      <c r="C7264" s="26" t="n">
        <v>46239</v>
      </c>
      <c r="D7264" s="6" t="s">
        <v>5167</v>
      </c>
      <c r="E7264" s="6" t="s">
        <v>22</v>
      </c>
      <c r="F7264" s="6" t="n">
        <v>2</v>
      </c>
      <c r="G7264" s="10" t="n">
        <v>703</v>
      </c>
      <c r="H7264" s="10" t="n">
        <f aca="false">F7264*G7264</f>
        <v>1406</v>
      </c>
      <c r="I7264" s="6" t="s">
        <v>5122</v>
      </c>
    </row>
    <row r="7265" customFormat="false" ht="15" hidden="false" customHeight="false" outlineLevel="0" collapsed="false">
      <c r="A7265" s="6" t="s">
        <v>12489</v>
      </c>
      <c r="B7265" s="6" t="s">
        <v>1349</v>
      </c>
      <c r="C7265" s="26" t="n">
        <v>46239</v>
      </c>
      <c r="D7265" s="6" t="s">
        <v>5163</v>
      </c>
      <c r="E7265" s="6" t="s">
        <v>23</v>
      </c>
      <c r="F7265" s="6" t="n">
        <v>3</v>
      </c>
      <c r="G7265" s="10" t="n">
        <v>783</v>
      </c>
      <c r="H7265" s="10" t="n">
        <f aca="false">F7265*G7265</f>
        <v>2349</v>
      </c>
      <c r="I7265" s="6" t="s">
        <v>5122</v>
      </c>
    </row>
    <row r="7266" customFormat="false" ht="15" hidden="false" customHeight="false" outlineLevel="0" collapsed="false">
      <c r="A7266" s="6" t="s">
        <v>12490</v>
      </c>
      <c r="B7266" s="6" t="s">
        <v>281</v>
      </c>
      <c r="C7266" s="26" t="n">
        <v>46239</v>
      </c>
      <c r="D7266" s="6" t="s">
        <v>5202</v>
      </c>
      <c r="E7266" s="6" t="s">
        <v>23</v>
      </c>
      <c r="F7266" s="6" t="n">
        <v>4</v>
      </c>
      <c r="G7266" s="10" t="n">
        <v>245</v>
      </c>
      <c r="H7266" s="10" t="n">
        <f aca="false">F7266*G7266</f>
        <v>980</v>
      </c>
      <c r="I7266" s="6" t="s">
        <v>5125</v>
      </c>
    </row>
    <row r="7267" customFormat="false" ht="15" hidden="false" customHeight="false" outlineLevel="0" collapsed="false">
      <c r="A7267" s="6" t="s">
        <v>12491</v>
      </c>
      <c r="B7267" s="6" t="s">
        <v>1067</v>
      </c>
      <c r="C7267" s="26" t="n">
        <v>46239</v>
      </c>
      <c r="D7267" s="6" t="s">
        <v>5182</v>
      </c>
      <c r="E7267" s="6" t="s">
        <v>23</v>
      </c>
      <c r="F7267" s="6" t="n">
        <v>2</v>
      </c>
      <c r="G7267" s="10" t="n">
        <v>331</v>
      </c>
      <c r="H7267" s="10" t="n">
        <f aca="false">F7267*G7267</f>
        <v>662</v>
      </c>
      <c r="I7267" s="6" t="s">
        <v>5125</v>
      </c>
    </row>
    <row r="7268" customFormat="false" ht="15" hidden="false" customHeight="false" outlineLevel="0" collapsed="false">
      <c r="A7268" s="6" t="s">
        <v>12492</v>
      </c>
      <c r="B7268" s="6" t="s">
        <v>1695</v>
      </c>
      <c r="C7268" s="26" t="n">
        <v>46239</v>
      </c>
      <c r="D7268" s="6" t="s">
        <v>5214</v>
      </c>
      <c r="E7268" s="6" t="s">
        <v>20</v>
      </c>
      <c r="F7268" s="6" t="n">
        <v>2</v>
      </c>
      <c r="G7268" s="10" t="n">
        <v>2039</v>
      </c>
      <c r="H7268" s="10" t="n">
        <f aca="false">F7268*G7268</f>
        <v>4078</v>
      </c>
      <c r="I7268" s="6" t="s">
        <v>5148</v>
      </c>
    </row>
    <row r="7269" customFormat="false" ht="15" hidden="false" customHeight="false" outlineLevel="0" collapsed="false">
      <c r="A7269" s="6" t="s">
        <v>12493</v>
      </c>
      <c r="B7269" s="6" t="s">
        <v>4011</v>
      </c>
      <c r="C7269" s="26" t="n">
        <v>46239</v>
      </c>
      <c r="D7269" s="6" t="s">
        <v>5121</v>
      </c>
      <c r="E7269" s="6" t="s">
        <v>22</v>
      </c>
      <c r="F7269" s="6" t="n">
        <v>3</v>
      </c>
      <c r="G7269" s="10" t="n">
        <v>977</v>
      </c>
      <c r="H7269" s="10" t="n">
        <f aca="false">F7269*G7269</f>
        <v>2931</v>
      </c>
      <c r="I7269" s="6" t="s">
        <v>5122</v>
      </c>
    </row>
    <row r="7270" customFormat="false" ht="15" hidden="false" customHeight="false" outlineLevel="0" collapsed="false">
      <c r="A7270" s="6" t="s">
        <v>12494</v>
      </c>
      <c r="B7270" s="6" t="s">
        <v>4909</v>
      </c>
      <c r="C7270" s="26" t="n">
        <v>46239</v>
      </c>
      <c r="D7270" s="6" t="s">
        <v>5139</v>
      </c>
      <c r="E7270" s="6" t="s">
        <v>23</v>
      </c>
      <c r="F7270" s="6" t="n">
        <v>2</v>
      </c>
      <c r="G7270" s="10" t="n">
        <v>251</v>
      </c>
      <c r="H7270" s="10" t="n">
        <f aca="false">F7270*G7270</f>
        <v>502</v>
      </c>
      <c r="I7270" s="6" t="s">
        <v>5122</v>
      </c>
    </row>
    <row r="7271" customFormat="false" ht="15" hidden="false" customHeight="false" outlineLevel="0" collapsed="false">
      <c r="A7271" s="6" t="s">
        <v>12495</v>
      </c>
      <c r="B7271" s="6" t="s">
        <v>1471</v>
      </c>
      <c r="C7271" s="26" t="n">
        <v>46239</v>
      </c>
      <c r="D7271" s="6" t="s">
        <v>5269</v>
      </c>
      <c r="E7271" s="6" t="s">
        <v>22</v>
      </c>
      <c r="F7271" s="6" t="n">
        <v>1</v>
      </c>
      <c r="G7271" s="10" t="n">
        <v>1271</v>
      </c>
      <c r="H7271" s="10" t="n">
        <f aca="false">F7271*G7271</f>
        <v>1271</v>
      </c>
      <c r="I7271" s="6" t="s">
        <v>5125</v>
      </c>
    </row>
    <row r="7272" customFormat="false" ht="15" hidden="false" customHeight="false" outlineLevel="0" collapsed="false">
      <c r="A7272" s="6" t="s">
        <v>12496</v>
      </c>
      <c r="B7272" s="6" t="s">
        <v>917</v>
      </c>
      <c r="C7272" s="26" t="n">
        <v>46239</v>
      </c>
      <c r="D7272" s="6" t="s">
        <v>5242</v>
      </c>
      <c r="E7272" s="6" t="s">
        <v>23</v>
      </c>
      <c r="F7272" s="6" t="n">
        <v>5</v>
      </c>
      <c r="G7272" s="10" t="n">
        <v>372</v>
      </c>
      <c r="H7272" s="10" t="n">
        <f aca="false">F7272*G7272</f>
        <v>1860</v>
      </c>
      <c r="I7272" s="6" t="s">
        <v>5148</v>
      </c>
    </row>
    <row r="7273" customFormat="false" ht="15" hidden="false" customHeight="false" outlineLevel="0" collapsed="false">
      <c r="A7273" s="6" t="s">
        <v>12497</v>
      </c>
      <c r="B7273" s="6" t="s">
        <v>1011</v>
      </c>
      <c r="C7273" s="26" t="n">
        <v>46239</v>
      </c>
      <c r="D7273" s="6" t="s">
        <v>5171</v>
      </c>
      <c r="E7273" s="6" t="s">
        <v>23</v>
      </c>
      <c r="F7273" s="6" t="n">
        <v>2</v>
      </c>
      <c r="G7273" s="10" t="n">
        <v>734</v>
      </c>
      <c r="H7273" s="10" t="n">
        <f aca="false">F7273*G7273</f>
        <v>1468</v>
      </c>
      <c r="I7273" s="6" t="s">
        <v>5122</v>
      </c>
    </row>
    <row r="7274" customFormat="false" ht="15" hidden="false" customHeight="false" outlineLevel="0" collapsed="false">
      <c r="A7274" s="6" t="s">
        <v>12498</v>
      </c>
      <c r="B7274" s="6" t="s">
        <v>4305</v>
      </c>
      <c r="C7274" s="26" t="n">
        <v>46239</v>
      </c>
      <c r="D7274" s="6" t="s">
        <v>5357</v>
      </c>
      <c r="E7274" s="6" t="s">
        <v>23</v>
      </c>
      <c r="F7274" s="6" t="n">
        <v>2</v>
      </c>
      <c r="G7274" s="10" t="n">
        <v>534</v>
      </c>
      <c r="H7274" s="10" t="n">
        <f aca="false">F7274*G7274</f>
        <v>1068</v>
      </c>
      <c r="I7274" s="6" t="s">
        <v>5173</v>
      </c>
    </row>
    <row r="7275" customFormat="false" ht="15" hidden="false" customHeight="false" outlineLevel="0" collapsed="false">
      <c r="A7275" s="6" t="s">
        <v>12499</v>
      </c>
      <c r="B7275" s="6" t="s">
        <v>1713</v>
      </c>
      <c r="C7275" s="26" t="n">
        <v>46239</v>
      </c>
      <c r="D7275" s="6" t="s">
        <v>5292</v>
      </c>
      <c r="E7275" s="6" t="s">
        <v>21</v>
      </c>
      <c r="F7275" s="6" t="n">
        <v>3</v>
      </c>
      <c r="G7275" s="10" t="n">
        <v>6536</v>
      </c>
      <c r="H7275" s="10" t="n">
        <f aca="false">F7275*G7275</f>
        <v>19608</v>
      </c>
      <c r="I7275" s="6" t="s">
        <v>5130</v>
      </c>
    </row>
    <row r="7276" customFormat="false" ht="15" hidden="false" customHeight="false" outlineLevel="0" collapsed="false">
      <c r="A7276" s="6" t="s">
        <v>12500</v>
      </c>
      <c r="B7276" s="6" t="s">
        <v>1293</v>
      </c>
      <c r="C7276" s="26" t="n">
        <v>46239</v>
      </c>
      <c r="D7276" s="6" t="s">
        <v>5137</v>
      </c>
      <c r="E7276" s="6" t="s">
        <v>21</v>
      </c>
      <c r="F7276" s="6" t="n">
        <v>1</v>
      </c>
      <c r="G7276" s="10" t="n">
        <v>1768</v>
      </c>
      <c r="H7276" s="10" t="n">
        <f aca="false">F7276*G7276</f>
        <v>1768</v>
      </c>
      <c r="I7276" s="6" t="s">
        <v>5122</v>
      </c>
    </row>
    <row r="7277" customFormat="false" ht="15" hidden="false" customHeight="false" outlineLevel="0" collapsed="false">
      <c r="A7277" s="6" t="s">
        <v>12501</v>
      </c>
      <c r="B7277" s="6" t="s">
        <v>3217</v>
      </c>
      <c r="C7277" s="26" t="n">
        <v>46239</v>
      </c>
      <c r="D7277" s="6" t="s">
        <v>5207</v>
      </c>
      <c r="E7277" s="6" t="s">
        <v>20</v>
      </c>
      <c r="F7277" s="6" t="n">
        <v>1</v>
      </c>
      <c r="G7277" s="10" t="n">
        <v>1257</v>
      </c>
      <c r="H7277" s="10" t="n">
        <f aca="false">F7277*G7277</f>
        <v>1257</v>
      </c>
      <c r="I7277" s="6" t="s">
        <v>5122</v>
      </c>
    </row>
    <row r="7278" customFormat="false" ht="15" hidden="false" customHeight="false" outlineLevel="0" collapsed="false">
      <c r="A7278" s="6" t="s">
        <v>12502</v>
      </c>
      <c r="B7278" s="6" t="s">
        <v>1487</v>
      </c>
      <c r="C7278" s="26" t="n">
        <v>46239</v>
      </c>
      <c r="D7278" s="6" t="s">
        <v>5216</v>
      </c>
      <c r="E7278" s="6" t="s">
        <v>23</v>
      </c>
      <c r="F7278" s="6" t="n">
        <v>1</v>
      </c>
      <c r="G7278" s="10" t="n">
        <v>558</v>
      </c>
      <c r="H7278" s="10" t="n">
        <f aca="false">F7278*G7278</f>
        <v>558</v>
      </c>
      <c r="I7278" s="6" t="s">
        <v>5130</v>
      </c>
    </row>
    <row r="7279" customFormat="false" ht="15" hidden="false" customHeight="false" outlineLevel="0" collapsed="false">
      <c r="A7279" s="6" t="s">
        <v>12503</v>
      </c>
      <c r="B7279" s="6" t="s">
        <v>2345</v>
      </c>
      <c r="C7279" s="26" t="n">
        <v>46239</v>
      </c>
      <c r="D7279" s="6" t="s">
        <v>5353</v>
      </c>
      <c r="E7279" s="6" t="s">
        <v>24</v>
      </c>
      <c r="F7279" s="6" t="n">
        <v>2</v>
      </c>
      <c r="G7279" s="10" t="n">
        <v>1548</v>
      </c>
      <c r="H7279" s="10" t="n">
        <f aca="false">F7279*G7279</f>
        <v>3096</v>
      </c>
      <c r="I7279" s="6" t="s">
        <v>5148</v>
      </c>
    </row>
    <row r="7280" customFormat="false" ht="15" hidden="false" customHeight="false" outlineLevel="0" collapsed="false">
      <c r="A7280" s="6" t="s">
        <v>12504</v>
      </c>
      <c r="B7280" s="6" t="s">
        <v>4553</v>
      </c>
      <c r="C7280" s="26" t="n">
        <v>46239</v>
      </c>
      <c r="D7280" s="6" t="s">
        <v>5259</v>
      </c>
      <c r="E7280" s="6" t="s">
        <v>22</v>
      </c>
      <c r="F7280" s="6" t="n">
        <v>2</v>
      </c>
      <c r="G7280" s="10" t="n">
        <v>1564</v>
      </c>
      <c r="H7280" s="10" t="n">
        <f aca="false">F7280*G7280</f>
        <v>3128</v>
      </c>
      <c r="I7280" s="6" t="s">
        <v>5125</v>
      </c>
    </row>
    <row r="7281" customFormat="false" ht="15" hidden="false" customHeight="false" outlineLevel="0" collapsed="false">
      <c r="A7281" s="6" t="s">
        <v>12505</v>
      </c>
      <c r="B7281" s="6" t="s">
        <v>2875</v>
      </c>
      <c r="C7281" s="26" t="n">
        <v>46239</v>
      </c>
      <c r="D7281" s="6" t="s">
        <v>5121</v>
      </c>
      <c r="E7281" s="6" t="s">
        <v>22</v>
      </c>
      <c r="F7281" s="6" t="n">
        <v>1</v>
      </c>
      <c r="G7281" s="10" t="n">
        <v>880</v>
      </c>
      <c r="H7281" s="10" t="n">
        <f aca="false">F7281*G7281</f>
        <v>880</v>
      </c>
      <c r="I7281" s="6" t="s">
        <v>5130</v>
      </c>
    </row>
    <row r="7282" customFormat="false" ht="15" hidden="false" customHeight="false" outlineLevel="0" collapsed="false">
      <c r="A7282" s="6" t="s">
        <v>12506</v>
      </c>
      <c r="B7282" s="6" t="s">
        <v>993</v>
      </c>
      <c r="C7282" s="26" t="n">
        <v>46239</v>
      </c>
      <c r="D7282" s="6" t="s">
        <v>5305</v>
      </c>
      <c r="E7282" s="6" t="s">
        <v>20</v>
      </c>
      <c r="F7282" s="6" t="n">
        <v>1</v>
      </c>
      <c r="G7282" s="10" t="n">
        <v>1630</v>
      </c>
      <c r="H7282" s="10" t="n">
        <f aca="false">F7282*G7282</f>
        <v>1630</v>
      </c>
      <c r="I7282" s="6" t="s">
        <v>5173</v>
      </c>
    </row>
    <row r="7283" customFormat="false" ht="15" hidden="false" customHeight="false" outlineLevel="0" collapsed="false">
      <c r="A7283" s="6" t="s">
        <v>12507</v>
      </c>
      <c r="B7283" s="6" t="s">
        <v>3489</v>
      </c>
      <c r="C7283" s="26" t="n">
        <v>46239</v>
      </c>
      <c r="D7283" s="6" t="s">
        <v>5466</v>
      </c>
      <c r="E7283" s="6" t="s">
        <v>21</v>
      </c>
      <c r="F7283" s="6" t="n">
        <v>1</v>
      </c>
      <c r="G7283" s="10" t="n">
        <v>1768</v>
      </c>
      <c r="H7283" s="10" t="n">
        <f aca="false">F7283*G7283</f>
        <v>1768</v>
      </c>
      <c r="I7283" s="6" t="s">
        <v>5130</v>
      </c>
    </row>
    <row r="7284" customFormat="false" ht="15" hidden="false" customHeight="false" outlineLevel="0" collapsed="false">
      <c r="A7284" s="6" t="s">
        <v>12508</v>
      </c>
      <c r="B7284" s="6" t="s">
        <v>4867</v>
      </c>
      <c r="C7284" s="26" t="n">
        <v>46239</v>
      </c>
      <c r="D7284" s="6" t="s">
        <v>5167</v>
      </c>
      <c r="E7284" s="6" t="s">
        <v>22</v>
      </c>
      <c r="F7284" s="6" t="n">
        <v>1</v>
      </c>
      <c r="G7284" s="10" t="n">
        <v>782</v>
      </c>
      <c r="H7284" s="10" t="n">
        <f aca="false">F7284*G7284</f>
        <v>782</v>
      </c>
      <c r="I7284" s="6" t="s">
        <v>5173</v>
      </c>
    </row>
    <row r="7285" customFormat="false" ht="15" hidden="false" customHeight="false" outlineLevel="0" collapsed="false">
      <c r="A7285" s="6" t="s">
        <v>12509</v>
      </c>
      <c r="B7285" s="6" t="s">
        <v>3733</v>
      </c>
      <c r="C7285" s="26" t="n">
        <v>46239</v>
      </c>
      <c r="D7285" s="6" t="s">
        <v>5190</v>
      </c>
      <c r="E7285" s="6" t="s">
        <v>24</v>
      </c>
      <c r="F7285" s="6" t="n">
        <v>1</v>
      </c>
      <c r="G7285" s="10" t="n">
        <v>549</v>
      </c>
      <c r="H7285" s="10" t="n">
        <f aca="false">F7285*G7285</f>
        <v>549</v>
      </c>
      <c r="I7285" s="6" t="s">
        <v>5122</v>
      </c>
    </row>
    <row r="7286" customFormat="false" ht="15" hidden="false" customHeight="false" outlineLevel="0" collapsed="false">
      <c r="A7286" s="6" t="s">
        <v>12510</v>
      </c>
      <c r="B7286" s="6" t="s">
        <v>2807</v>
      </c>
      <c r="C7286" s="26" t="n">
        <v>46239</v>
      </c>
      <c r="D7286" s="6" t="s">
        <v>5171</v>
      </c>
      <c r="E7286" s="6" t="s">
        <v>23</v>
      </c>
      <c r="F7286" s="6" t="n">
        <v>2</v>
      </c>
      <c r="G7286" s="10" t="n">
        <v>734</v>
      </c>
      <c r="H7286" s="10" t="n">
        <f aca="false">F7286*G7286</f>
        <v>1468</v>
      </c>
      <c r="I7286" s="6" t="s">
        <v>5122</v>
      </c>
    </row>
    <row r="7287" customFormat="false" ht="15" hidden="false" customHeight="false" outlineLevel="0" collapsed="false">
      <c r="A7287" s="6" t="s">
        <v>12511</v>
      </c>
      <c r="B7287" s="6" t="s">
        <v>1917</v>
      </c>
      <c r="C7287" s="26" t="n">
        <v>46239</v>
      </c>
      <c r="D7287" s="6" t="s">
        <v>5165</v>
      </c>
      <c r="E7287" s="6" t="s">
        <v>22</v>
      </c>
      <c r="F7287" s="6" t="n">
        <v>1</v>
      </c>
      <c r="G7287" s="10" t="n">
        <v>928</v>
      </c>
      <c r="H7287" s="10" t="n">
        <f aca="false">F7287*G7287</f>
        <v>928</v>
      </c>
      <c r="I7287" s="6" t="s">
        <v>5148</v>
      </c>
    </row>
    <row r="7288" customFormat="false" ht="15" hidden="false" customHeight="false" outlineLevel="0" collapsed="false">
      <c r="A7288" s="6" t="s">
        <v>12512</v>
      </c>
      <c r="B7288" s="6" t="s">
        <v>4209</v>
      </c>
      <c r="C7288" s="26" t="n">
        <v>46239</v>
      </c>
      <c r="D7288" s="6" t="s">
        <v>5863</v>
      </c>
      <c r="E7288" s="6" t="s">
        <v>20</v>
      </c>
      <c r="F7288" s="6" t="n">
        <v>1</v>
      </c>
      <c r="G7288" s="10" t="n">
        <v>20395</v>
      </c>
      <c r="H7288" s="10" t="n">
        <f aca="false">F7288*G7288</f>
        <v>20395</v>
      </c>
      <c r="I7288" s="6" t="s">
        <v>5148</v>
      </c>
    </row>
    <row r="7289" customFormat="false" ht="15" hidden="false" customHeight="false" outlineLevel="0" collapsed="false">
      <c r="A7289" s="6" t="s">
        <v>12513</v>
      </c>
      <c r="B7289" s="6" t="s">
        <v>699</v>
      </c>
      <c r="C7289" s="26" t="n">
        <v>46239</v>
      </c>
      <c r="D7289" s="6" t="s">
        <v>5326</v>
      </c>
      <c r="E7289" s="6" t="s">
        <v>22</v>
      </c>
      <c r="F7289" s="6" t="n">
        <v>1</v>
      </c>
      <c r="G7289" s="10" t="n">
        <v>1393</v>
      </c>
      <c r="H7289" s="10" t="n">
        <f aca="false">F7289*G7289</f>
        <v>1393</v>
      </c>
      <c r="I7289" s="6" t="s">
        <v>5122</v>
      </c>
    </row>
    <row r="7290" customFormat="false" ht="15" hidden="false" customHeight="false" outlineLevel="0" collapsed="false">
      <c r="A7290" s="6" t="s">
        <v>12514</v>
      </c>
      <c r="B7290" s="6" t="s">
        <v>4131</v>
      </c>
      <c r="C7290" s="26" t="n">
        <v>46239</v>
      </c>
      <c r="D7290" s="6" t="s">
        <v>5357</v>
      </c>
      <c r="E7290" s="6" t="s">
        <v>23</v>
      </c>
      <c r="F7290" s="6" t="n">
        <v>4</v>
      </c>
      <c r="G7290" s="10" t="n">
        <v>481</v>
      </c>
      <c r="H7290" s="10" t="n">
        <f aca="false">F7290*G7290</f>
        <v>1924</v>
      </c>
      <c r="I7290" s="6" t="s">
        <v>5122</v>
      </c>
    </row>
    <row r="7291" customFormat="false" ht="15" hidden="false" customHeight="false" outlineLevel="0" collapsed="false">
      <c r="A7291" s="6" t="s">
        <v>12515</v>
      </c>
      <c r="B7291" s="6" t="s">
        <v>2877</v>
      </c>
      <c r="C7291" s="26" t="n">
        <v>46239</v>
      </c>
      <c r="D7291" s="6" t="s">
        <v>5150</v>
      </c>
      <c r="E7291" s="6" t="s">
        <v>24</v>
      </c>
      <c r="F7291" s="6" t="n">
        <v>2</v>
      </c>
      <c r="G7291" s="10" t="n">
        <v>508</v>
      </c>
      <c r="H7291" s="10" t="n">
        <f aca="false">F7291*G7291</f>
        <v>1016</v>
      </c>
      <c r="I7291" s="6" t="s">
        <v>5122</v>
      </c>
    </row>
    <row r="7292" customFormat="false" ht="15" hidden="false" customHeight="false" outlineLevel="0" collapsed="false">
      <c r="A7292" s="6" t="s">
        <v>12516</v>
      </c>
      <c r="B7292" s="6" t="s">
        <v>3941</v>
      </c>
      <c r="C7292" s="26" t="n">
        <v>46239</v>
      </c>
      <c r="D7292" s="6" t="s">
        <v>5423</v>
      </c>
      <c r="E7292" s="6" t="s">
        <v>21</v>
      </c>
      <c r="F7292" s="6" t="n">
        <v>1</v>
      </c>
      <c r="G7292" s="10" t="n">
        <v>3243</v>
      </c>
      <c r="H7292" s="10" t="n">
        <f aca="false">F7292*G7292</f>
        <v>3243</v>
      </c>
      <c r="I7292" s="6" t="s">
        <v>5148</v>
      </c>
    </row>
    <row r="7293" customFormat="false" ht="15" hidden="false" customHeight="false" outlineLevel="0" collapsed="false">
      <c r="A7293" s="6" t="s">
        <v>12517</v>
      </c>
      <c r="B7293" s="6" t="s">
        <v>2319</v>
      </c>
      <c r="C7293" s="26" t="n">
        <v>46239</v>
      </c>
      <c r="D7293" s="6" t="s">
        <v>5121</v>
      </c>
      <c r="E7293" s="6" t="s">
        <v>22</v>
      </c>
      <c r="F7293" s="6" t="n">
        <v>1</v>
      </c>
      <c r="G7293" s="10" t="n">
        <v>928</v>
      </c>
      <c r="H7293" s="10" t="n">
        <f aca="false">F7293*G7293</f>
        <v>928</v>
      </c>
      <c r="I7293" s="6" t="s">
        <v>5133</v>
      </c>
    </row>
    <row r="7294" customFormat="false" ht="15" hidden="false" customHeight="false" outlineLevel="0" collapsed="false">
      <c r="A7294" s="6" t="s">
        <v>12518</v>
      </c>
      <c r="B7294" s="6" t="s">
        <v>4173</v>
      </c>
      <c r="C7294" s="26" t="n">
        <v>46239</v>
      </c>
      <c r="D7294" s="6" t="s">
        <v>5218</v>
      </c>
      <c r="E7294" s="6" t="s">
        <v>23</v>
      </c>
      <c r="F7294" s="6" t="n">
        <v>3</v>
      </c>
      <c r="G7294" s="10" t="n">
        <v>165</v>
      </c>
      <c r="H7294" s="10" t="n">
        <f aca="false">F7294*G7294</f>
        <v>495</v>
      </c>
      <c r="I7294" s="6" t="s">
        <v>5148</v>
      </c>
    </row>
    <row r="7295" customFormat="false" ht="15" hidden="false" customHeight="false" outlineLevel="0" collapsed="false">
      <c r="A7295" s="6" t="s">
        <v>12519</v>
      </c>
      <c r="B7295" s="6" t="s">
        <v>1115</v>
      </c>
      <c r="C7295" s="26" t="n">
        <v>46239</v>
      </c>
      <c r="D7295" s="6" t="s">
        <v>5135</v>
      </c>
      <c r="E7295" s="6" t="s">
        <v>23</v>
      </c>
      <c r="F7295" s="6" t="n">
        <v>2</v>
      </c>
      <c r="G7295" s="10" t="n">
        <v>397</v>
      </c>
      <c r="H7295" s="10" t="n">
        <f aca="false">F7295*G7295</f>
        <v>794</v>
      </c>
      <c r="I7295" s="6" t="s">
        <v>5122</v>
      </c>
    </row>
    <row r="7296" customFormat="false" ht="15" hidden="false" customHeight="false" outlineLevel="0" collapsed="false">
      <c r="A7296" s="6" t="s">
        <v>12520</v>
      </c>
      <c r="B7296" s="6" t="s">
        <v>4037</v>
      </c>
      <c r="C7296" s="26" t="n">
        <v>46239</v>
      </c>
      <c r="D7296" s="6" t="s">
        <v>5158</v>
      </c>
      <c r="E7296" s="6" t="s">
        <v>24</v>
      </c>
      <c r="F7296" s="6" t="n">
        <v>2</v>
      </c>
      <c r="G7296" s="10" t="n">
        <v>411</v>
      </c>
      <c r="H7296" s="10" t="n">
        <f aca="false">F7296*G7296</f>
        <v>822</v>
      </c>
      <c r="I7296" s="6" t="s">
        <v>5148</v>
      </c>
    </row>
    <row r="7297" customFormat="false" ht="15" hidden="false" customHeight="false" outlineLevel="0" collapsed="false">
      <c r="A7297" s="6" t="s">
        <v>12521</v>
      </c>
      <c r="B7297" s="6" t="s">
        <v>3487</v>
      </c>
      <c r="C7297" s="26" t="n">
        <v>46239</v>
      </c>
      <c r="D7297" s="6" t="s">
        <v>5216</v>
      </c>
      <c r="E7297" s="6" t="s">
        <v>23</v>
      </c>
      <c r="F7297" s="6" t="n">
        <v>2</v>
      </c>
      <c r="G7297" s="10" t="n">
        <v>528</v>
      </c>
      <c r="H7297" s="10" t="n">
        <f aca="false">F7297*G7297</f>
        <v>1056</v>
      </c>
      <c r="I7297" s="6" t="s">
        <v>5148</v>
      </c>
    </row>
    <row r="7298" customFormat="false" ht="15" hidden="false" customHeight="false" outlineLevel="0" collapsed="false">
      <c r="A7298" s="6" t="s">
        <v>12522</v>
      </c>
      <c r="B7298" s="6" t="s">
        <v>2043</v>
      </c>
      <c r="C7298" s="26" t="n">
        <v>46239</v>
      </c>
      <c r="D7298" s="6" t="s">
        <v>5167</v>
      </c>
      <c r="E7298" s="6" t="s">
        <v>22</v>
      </c>
      <c r="F7298" s="6" t="n">
        <v>2</v>
      </c>
      <c r="G7298" s="10" t="n">
        <v>782</v>
      </c>
      <c r="H7298" s="10" t="n">
        <f aca="false">F7298*G7298</f>
        <v>1564</v>
      </c>
      <c r="I7298" s="6" t="s">
        <v>5125</v>
      </c>
    </row>
    <row r="7299" customFormat="false" ht="15" hidden="false" customHeight="false" outlineLevel="0" collapsed="false">
      <c r="A7299" s="6" t="s">
        <v>12523</v>
      </c>
      <c r="B7299" s="6" t="s">
        <v>2673</v>
      </c>
      <c r="C7299" s="26" t="n">
        <v>46239</v>
      </c>
      <c r="D7299" s="6" t="s">
        <v>5180</v>
      </c>
      <c r="E7299" s="6" t="s">
        <v>24</v>
      </c>
      <c r="F7299" s="6" t="n">
        <v>3</v>
      </c>
      <c r="G7299" s="10" t="n">
        <v>1987</v>
      </c>
      <c r="H7299" s="10" t="n">
        <f aca="false">F7299*G7299</f>
        <v>5961</v>
      </c>
      <c r="I7299" s="6" t="s">
        <v>5130</v>
      </c>
    </row>
    <row r="7300" customFormat="false" ht="15" hidden="false" customHeight="false" outlineLevel="0" collapsed="false">
      <c r="A7300" s="6" t="s">
        <v>12524</v>
      </c>
      <c r="B7300" s="6" t="s">
        <v>1993</v>
      </c>
      <c r="C7300" s="26" t="n">
        <v>46240</v>
      </c>
      <c r="D7300" s="6" t="s">
        <v>5167</v>
      </c>
      <c r="E7300" s="6" t="s">
        <v>22</v>
      </c>
      <c r="F7300" s="6" t="n">
        <v>1</v>
      </c>
      <c r="G7300" s="10" t="n">
        <v>781</v>
      </c>
      <c r="H7300" s="10" t="n">
        <f aca="false">F7300*G7300</f>
        <v>781</v>
      </c>
      <c r="I7300" s="6" t="s">
        <v>5133</v>
      </c>
    </row>
    <row r="7301" customFormat="false" ht="15" hidden="false" customHeight="false" outlineLevel="0" collapsed="false">
      <c r="A7301" s="6" t="s">
        <v>12525</v>
      </c>
      <c r="B7301" s="6" t="s">
        <v>577</v>
      </c>
      <c r="C7301" s="26" t="n">
        <v>46240</v>
      </c>
      <c r="D7301" s="6" t="s">
        <v>5345</v>
      </c>
      <c r="E7301" s="6" t="s">
        <v>23</v>
      </c>
      <c r="F7301" s="6" t="n">
        <v>3</v>
      </c>
      <c r="G7301" s="10" t="n">
        <v>392</v>
      </c>
      <c r="H7301" s="10" t="n">
        <f aca="false">F7301*G7301</f>
        <v>1176</v>
      </c>
      <c r="I7301" s="6" t="s">
        <v>5122</v>
      </c>
    </row>
    <row r="7302" customFormat="false" ht="15" hidden="false" customHeight="false" outlineLevel="0" collapsed="false">
      <c r="A7302" s="6" t="s">
        <v>12526</v>
      </c>
      <c r="B7302" s="6" t="s">
        <v>3481</v>
      </c>
      <c r="C7302" s="26" t="n">
        <v>46240</v>
      </c>
      <c r="D7302" s="6" t="s">
        <v>5220</v>
      </c>
      <c r="E7302" s="6" t="s">
        <v>24</v>
      </c>
      <c r="F7302" s="6" t="n">
        <v>1</v>
      </c>
      <c r="G7302" s="10" t="n">
        <v>1121</v>
      </c>
      <c r="H7302" s="10" t="n">
        <f aca="false">F7302*G7302</f>
        <v>1121</v>
      </c>
      <c r="I7302" s="6" t="s">
        <v>5148</v>
      </c>
    </row>
    <row r="7303" customFormat="false" ht="15" hidden="false" customHeight="false" outlineLevel="0" collapsed="false">
      <c r="A7303" s="6" t="s">
        <v>12527</v>
      </c>
      <c r="B7303" s="6" t="s">
        <v>1727</v>
      </c>
      <c r="C7303" s="26" t="n">
        <v>46240</v>
      </c>
      <c r="D7303" s="6" t="s">
        <v>5154</v>
      </c>
      <c r="E7303" s="6" t="s">
        <v>21</v>
      </c>
      <c r="F7303" s="6" t="n">
        <v>1</v>
      </c>
      <c r="G7303" s="10" t="n">
        <v>785</v>
      </c>
      <c r="H7303" s="10" t="n">
        <f aca="false">F7303*G7303</f>
        <v>785</v>
      </c>
      <c r="I7303" s="6" t="s">
        <v>5133</v>
      </c>
    </row>
    <row r="7304" customFormat="false" ht="15" hidden="false" customHeight="false" outlineLevel="0" collapsed="false">
      <c r="A7304" s="6" t="s">
        <v>12528</v>
      </c>
      <c r="B7304" s="6" t="s">
        <v>5073</v>
      </c>
      <c r="C7304" s="26" t="n">
        <v>46240</v>
      </c>
      <c r="D7304" s="6" t="s">
        <v>5837</v>
      </c>
      <c r="E7304" s="6" t="s">
        <v>21</v>
      </c>
      <c r="F7304" s="6" t="n">
        <v>1</v>
      </c>
      <c r="G7304" s="10" t="n">
        <v>2948</v>
      </c>
      <c r="H7304" s="10" t="n">
        <f aca="false">F7304*G7304</f>
        <v>2948</v>
      </c>
      <c r="I7304" s="6" t="s">
        <v>5148</v>
      </c>
    </row>
    <row r="7305" customFormat="false" ht="15" hidden="false" customHeight="false" outlineLevel="0" collapsed="false">
      <c r="A7305" s="6" t="s">
        <v>12529</v>
      </c>
      <c r="B7305" s="6" t="s">
        <v>3627</v>
      </c>
      <c r="C7305" s="26" t="n">
        <v>46240</v>
      </c>
      <c r="D7305" s="6" t="s">
        <v>5171</v>
      </c>
      <c r="E7305" s="6" t="s">
        <v>23</v>
      </c>
      <c r="F7305" s="6" t="n">
        <v>4</v>
      </c>
      <c r="G7305" s="10" t="n">
        <v>661</v>
      </c>
      <c r="H7305" s="10" t="n">
        <f aca="false">F7305*G7305</f>
        <v>2644</v>
      </c>
      <c r="I7305" s="6" t="s">
        <v>5148</v>
      </c>
    </row>
    <row r="7306" customFormat="false" ht="15" hidden="false" customHeight="false" outlineLevel="0" collapsed="false">
      <c r="A7306" s="6" t="s">
        <v>12530</v>
      </c>
      <c r="B7306" s="6" t="s">
        <v>4501</v>
      </c>
      <c r="C7306" s="26" t="n">
        <v>46240</v>
      </c>
      <c r="D7306" s="6" t="s">
        <v>5190</v>
      </c>
      <c r="E7306" s="6" t="s">
        <v>24</v>
      </c>
      <c r="F7306" s="6" t="n">
        <v>3</v>
      </c>
      <c r="G7306" s="10" t="n">
        <v>610</v>
      </c>
      <c r="H7306" s="10" t="n">
        <f aca="false">F7306*G7306</f>
        <v>1830</v>
      </c>
      <c r="I7306" s="6" t="s">
        <v>5148</v>
      </c>
    </row>
    <row r="7307" customFormat="false" ht="15" hidden="false" customHeight="false" outlineLevel="0" collapsed="false">
      <c r="A7307" s="6" t="s">
        <v>12531</v>
      </c>
      <c r="B7307" s="6" t="s">
        <v>4101</v>
      </c>
      <c r="C7307" s="26" t="n">
        <v>46240</v>
      </c>
      <c r="D7307" s="6" t="s">
        <v>5165</v>
      </c>
      <c r="E7307" s="6" t="s">
        <v>22</v>
      </c>
      <c r="F7307" s="6" t="n">
        <v>1</v>
      </c>
      <c r="G7307" s="10" t="n">
        <v>977</v>
      </c>
      <c r="H7307" s="10" t="n">
        <f aca="false">F7307*G7307</f>
        <v>977</v>
      </c>
      <c r="I7307" s="6" t="s">
        <v>5148</v>
      </c>
    </row>
    <row r="7308" customFormat="false" ht="15" hidden="false" customHeight="false" outlineLevel="0" collapsed="false">
      <c r="A7308" s="6" t="s">
        <v>12532</v>
      </c>
      <c r="B7308" s="6" t="s">
        <v>1527</v>
      </c>
      <c r="C7308" s="26" t="n">
        <v>46240</v>
      </c>
      <c r="D7308" s="6" t="s">
        <v>5163</v>
      </c>
      <c r="E7308" s="6" t="s">
        <v>23</v>
      </c>
      <c r="F7308" s="6" t="n">
        <v>5</v>
      </c>
      <c r="G7308" s="10" t="n">
        <v>783</v>
      </c>
      <c r="H7308" s="10" t="n">
        <f aca="false">F7308*G7308</f>
        <v>3915</v>
      </c>
      <c r="I7308" s="6" t="s">
        <v>5130</v>
      </c>
    </row>
    <row r="7309" customFormat="false" ht="15" hidden="false" customHeight="false" outlineLevel="0" collapsed="false">
      <c r="A7309" s="6" t="s">
        <v>12533</v>
      </c>
      <c r="B7309" s="6" t="s">
        <v>1499</v>
      </c>
      <c r="C7309" s="26" t="n">
        <v>46240</v>
      </c>
      <c r="D7309" s="6" t="s">
        <v>5165</v>
      </c>
      <c r="E7309" s="6" t="s">
        <v>22</v>
      </c>
      <c r="F7309" s="6" t="n">
        <v>2</v>
      </c>
      <c r="G7309" s="10" t="n">
        <v>977</v>
      </c>
      <c r="H7309" s="10" t="n">
        <f aca="false">F7309*G7309</f>
        <v>1954</v>
      </c>
      <c r="I7309" s="6" t="s">
        <v>5122</v>
      </c>
    </row>
    <row r="7310" customFormat="false" ht="15" hidden="false" customHeight="false" outlineLevel="0" collapsed="false">
      <c r="A7310" s="6" t="s">
        <v>12534</v>
      </c>
      <c r="B7310" s="6" t="s">
        <v>4959</v>
      </c>
      <c r="C7310" s="26" t="n">
        <v>46240</v>
      </c>
      <c r="D7310" s="6" t="s">
        <v>5129</v>
      </c>
      <c r="E7310" s="6" t="s">
        <v>21</v>
      </c>
      <c r="F7310" s="6" t="n">
        <v>1</v>
      </c>
      <c r="G7310" s="10" t="n">
        <v>589</v>
      </c>
      <c r="H7310" s="10" t="n">
        <f aca="false">F7310*G7310</f>
        <v>589</v>
      </c>
      <c r="I7310" s="6" t="s">
        <v>5122</v>
      </c>
    </row>
    <row r="7311" customFormat="false" ht="15" hidden="false" customHeight="false" outlineLevel="0" collapsed="false">
      <c r="A7311" s="6" t="s">
        <v>12535</v>
      </c>
      <c r="B7311" s="6" t="s">
        <v>4581</v>
      </c>
      <c r="C7311" s="26" t="n">
        <v>46240</v>
      </c>
      <c r="D7311" s="6" t="s">
        <v>5143</v>
      </c>
      <c r="E7311" s="6" t="s">
        <v>21</v>
      </c>
      <c r="F7311" s="6" t="n">
        <v>1</v>
      </c>
      <c r="G7311" s="10" t="n">
        <v>1179</v>
      </c>
      <c r="H7311" s="10" t="n">
        <f aca="false">F7311*G7311</f>
        <v>1179</v>
      </c>
      <c r="I7311" s="6" t="s">
        <v>5122</v>
      </c>
    </row>
    <row r="7312" customFormat="false" ht="15" hidden="false" customHeight="false" outlineLevel="0" collapsed="false">
      <c r="A7312" s="6" t="s">
        <v>12536</v>
      </c>
      <c r="B7312" s="6" t="s">
        <v>2713</v>
      </c>
      <c r="C7312" s="26" t="n">
        <v>46240</v>
      </c>
      <c r="D7312" s="6" t="s">
        <v>5180</v>
      </c>
      <c r="E7312" s="6" t="s">
        <v>24</v>
      </c>
      <c r="F7312" s="6" t="n">
        <v>2</v>
      </c>
      <c r="G7312" s="10" t="n">
        <v>1888</v>
      </c>
      <c r="H7312" s="10" t="n">
        <f aca="false">F7312*G7312</f>
        <v>3776</v>
      </c>
      <c r="I7312" s="6" t="s">
        <v>5122</v>
      </c>
    </row>
    <row r="7313" customFormat="false" ht="15" hidden="false" customHeight="false" outlineLevel="0" collapsed="false">
      <c r="A7313" s="6" t="s">
        <v>12537</v>
      </c>
      <c r="B7313" s="6" t="s">
        <v>1831</v>
      </c>
      <c r="C7313" s="26" t="n">
        <v>46240</v>
      </c>
      <c r="D7313" s="6" t="s">
        <v>5185</v>
      </c>
      <c r="E7313" s="6" t="s">
        <v>24</v>
      </c>
      <c r="F7313" s="6" t="n">
        <v>1</v>
      </c>
      <c r="G7313" s="10" t="n">
        <v>2033</v>
      </c>
      <c r="H7313" s="10" t="n">
        <f aca="false">F7313*G7313</f>
        <v>2033</v>
      </c>
      <c r="I7313" s="6" t="s">
        <v>5148</v>
      </c>
    </row>
    <row r="7314" customFormat="false" ht="15" hidden="false" customHeight="false" outlineLevel="0" collapsed="false">
      <c r="A7314" s="6" t="s">
        <v>12538</v>
      </c>
      <c r="B7314" s="6" t="s">
        <v>5031</v>
      </c>
      <c r="C7314" s="26" t="n">
        <v>46240</v>
      </c>
      <c r="D7314" s="6" t="s">
        <v>5207</v>
      </c>
      <c r="E7314" s="6" t="s">
        <v>20</v>
      </c>
      <c r="F7314" s="6" t="n">
        <v>1</v>
      </c>
      <c r="G7314" s="10" t="n">
        <v>1192</v>
      </c>
      <c r="H7314" s="10" t="n">
        <f aca="false">F7314*G7314</f>
        <v>1192</v>
      </c>
      <c r="I7314" s="6" t="s">
        <v>5122</v>
      </c>
    </row>
    <row r="7315" customFormat="false" ht="15" hidden="false" customHeight="false" outlineLevel="0" collapsed="false">
      <c r="A7315" s="6" t="s">
        <v>12539</v>
      </c>
      <c r="B7315" s="6" t="s">
        <v>4489</v>
      </c>
      <c r="C7315" s="26" t="n">
        <v>46240</v>
      </c>
      <c r="D7315" s="6" t="s">
        <v>5807</v>
      </c>
      <c r="E7315" s="6" t="s">
        <v>20</v>
      </c>
      <c r="F7315" s="6" t="n">
        <v>1</v>
      </c>
      <c r="G7315" s="10" t="n">
        <v>13765</v>
      </c>
      <c r="H7315" s="10" t="n">
        <f aca="false">F7315*G7315</f>
        <v>13765</v>
      </c>
      <c r="I7315" s="6" t="s">
        <v>5148</v>
      </c>
    </row>
    <row r="7316" customFormat="false" ht="15" hidden="false" customHeight="false" outlineLevel="0" collapsed="false">
      <c r="A7316" s="6" t="s">
        <v>12540</v>
      </c>
      <c r="B7316" s="6" t="s">
        <v>2651</v>
      </c>
      <c r="C7316" s="26" t="n">
        <v>46240</v>
      </c>
      <c r="D7316" s="6" t="s">
        <v>5171</v>
      </c>
      <c r="E7316" s="6" t="s">
        <v>23</v>
      </c>
      <c r="F7316" s="6" t="n">
        <v>2</v>
      </c>
      <c r="G7316" s="10" t="n">
        <v>734</v>
      </c>
      <c r="H7316" s="10" t="n">
        <f aca="false">F7316*G7316</f>
        <v>1468</v>
      </c>
      <c r="I7316" s="6" t="s">
        <v>5148</v>
      </c>
    </row>
    <row r="7317" customFormat="false" ht="15" hidden="false" customHeight="false" outlineLevel="0" collapsed="false">
      <c r="A7317" s="6" t="s">
        <v>12541</v>
      </c>
      <c r="B7317" s="6" t="s">
        <v>2221</v>
      </c>
      <c r="C7317" s="26" t="n">
        <v>46240</v>
      </c>
      <c r="D7317" s="6" t="s">
        <v>5281</v>
      </c>
      <c r="E7317" s="6" t="s">
        <v>24</v>
      </c>
      <c r="F7317" s="6" t="n">
        <v>1</v>
      </c>
      <c r="G7317" s="10" t="n">
        <v>814</v>
      </c>
      <c r="H7317" s="10" t="n">
        <f aca="false">F7317*G7317</f>
        <v>814</v>
      </c>
      <c r="I7317" s="6" t="s">
        <v>5122</v>
      </c>
    </row>
    <row r="7318" customFormat="false" ht="15" hidden="false" customHeight="false" outlineLevel="0" collapsed="false">
      <c r="A7318" s="6" t="s">
        <v>12542</v>
      </c>
      <c r="B7318" s="6" t="s">
        <v>2427</v>
      </c>
      <c r="C7318" s="26" t="n">
        <v>46240</v>
      </c>
      <c r="D7318" s="6" t="s">
        <v>5863</v>
      </c>
      <c r="E7318" s="6" t="s">
        <v>20</v>
      </c>
      <c r="F7318" s="6" t="n">
        <v>1</v>
      </c>
      <c r="G7318" s="10" t="n">
        <v>20395</v>
      </c>
      <c r="H7318" s="10" t="n">
        <f aca="false">F7318*G7318</f>
        <v>20395</v>
      </c>
      <c r="I7318" s="6" t="s">
        <v>5125</v>
      </c>
    </row>
    <row r="7319" customFormat="false" ht="15" hidden="false" customHeight="false" outlineLevel="0" collapsed="false">
      <c r="A7319" s="6" t="s">
        <v>12543</v>
      </c>
      <c r="B7319" s="6" t="s">
        <v>1811</v>
      </c>
      <c r="C7319" s="26" t="n">
        <v>46240</v>
      </c>
      <c r="D7319" s="6" t="s">
        <v>5163</v>
      </c>
      <c r="E7319" s="6" t="s">
        <v>23</v>
      </c>
      <c r="F7319" s="6" t="n">
        <v>3</v>
      </c>
      <c r="G7319" s="10" t="n">
        <v>783</v>
      </c>
      <c r="H7319" s="10" t="n">
        <f aca="false">F7319*G7319</f>
        <v>2349</v>
      </c>
      <c r="I7319" s="6" t="s">
        <v>5122</v>
      </c>
    </row>
    <row r="7320" customFormat="false" ht="15" hidden="false" customHeight="false" outlineLevel="0" collapsed="false">
      <c r="A7320" s="6" t="s">
        <v>12544</v>
      </c>
      <c r="B7320" s="6" t="s">
        <v>372</v>
      </c>
      <c r="C7320" s="26" t="n">
        <v>46240</v>
      </c>
      <c r="D7320" s="6" t="s">
        <v>5152</v>
      </c>
      <c r="E7320" s="6" t="s">
        <v>22</v>
      </c>
      <c r="F7320" s="6" t="n">
        <v>1</v>
      </c>
      <c r="G7320" s="10" t="n">
        <v>1760</v>
      </c>
      <c r="H7320" s="10" t="n">
        <f aca="false">F7320*G7320</f>
        <v>1760</v>
      </c>
      <c r="I7320" s="6" t="s">
        <v>5122</v>
      </c>
    </row>
    <row r="7321" customFormat="false" ht="15" hidden="false" customHeight="false" outlineLevel="0" collapsed="false">
      <c r="A7321" s="6" t="s">
        <v>12545</v>
      </c>
      <c r="B7321" s="6" t="s">
        <v>5027</v>
      </c>
      <c r="C7321" s="26" t="n">
        <v>46240</v>
      </c>
      <c r="D7321" s="6" t="s">
        <v>5456</v>
      </c>
      <c r="E7321" s="6" t="s">
        <v>24</v>
      </c>
      <c r="F7321" s="6" t="n">
        <v>1</v>
      </c>
      <c r="G7321" s="10" t="n">
        <v>866</v>
      </c>
      <c r="H7321" s="10" t="n">
        <f aca="false">F7321*G7321</f>
        <v>866</v>
      </c>
      <c r="I7321" s="6" t="s">
        <v>5122</v>
      </c>
    </row>
    <row r="7322" customFormat="false" ht="15" hidden="false" customHeight="false" outlineLevel="0" collapsed="false">
      <c r="A7322" s="6" t="s">
        <v>12546</v>
      </c>
      <c r="B7322" s="6" t="s">
        <v>4555</v>
      </c>
      <c r="C7322" s="26" t="n">
        <v>46240</v>
      </c>
      <c r="D7322" s="6" t="s">
        <v>5273</v>
      </c>
      <c r="E7322" s="6" t="s">
        <v>23</v>
      </c>
      <c r="F7322" s="6" t="n">
        <v>3</v>
      </c>
      <c r="G7322" s="10" t="n">
        <v>216</v>
      </c>
      <c r="H7322" s="10" t="n">
        <f aca="false">F7322*G7322</f>
        <v>648</v>
      </c>
      <c r="I7322" s="6" t="s">
        <v>5122</v>
      </c>
    </row>
    <row r="7323" customFormat="false" ht="15" hidden="false" customHeight="false" outlineLevel="0" collapsed="false">
      <c r="A7323" s="6" t="s">
        <v>12547</v>
      </c>
      <c r="B7323" s="6" t="s">
        <v>5005</v>
      </c>
      <c r="C7323" s="26" t="n">
        <v>46240</v>
      </c>
      <c r="D7323" s="6" t="s">
        <v>5169</v>
      </c>
      <c r="E7323" s="6" t="s">
        <v>20</v>
      </c>
      <c r="F7323" s="6" t="n">
        <v>1</v>
      </c>
      <c r="G7323" s="10" t="n">
        <v>4843</v>
      </c>
      <c r="H7323" s="10" t="n">
        <f aca="false">F7323*G7323</f>
        <v>4843</v>
      </c>
      <c r="I7323" s="6" t="s">
        <v>5122</v>
      </c>
    </row>
    <row r="7324" customFormat="false" ht="15" hidden="false" customHeight="false" outlineLevel="0" collapsed="false">
      <c r="A7324" s="6" t="s">
        <v>12548</v>
      </c>
      <c r="B7324" s="6" t="s">
        <v>2431</v>
      </c>
      <c r="C7324" s="26" t="n">
        <v>46240</v>
      </c>
      <c r="D7324" s="6" t="s">
        <v>5167</v>
      </c>
      <c r="E7324" s="6" t="s">
        <v>22</v>
      </c>
      <c r="F7324" s="6" t="n">
        <v>2</v>
      </c>
      <c r="G7324" s="10" t="n">
        <v>703</v>
      </c>
      <c r="H7324" s="10" t="n">
        <f aca="false">F7324*G7324</f>
        <v>1406</v>
      </c>
      <c r="I7324" s="6" t="s">
        <v>5122</v>
      </c>
    </row>
    <row r="7325" customFormat="false" ht="15" hidden="false" customHeight="false" outlineLevel="0" collapsed="false">
      <c r="A7325" s="6" t="s">
        <v>12549</v>
      </c>
      <c r="B7325" s="6" t="s">
        <v>1135</v>
      </c>
      <c r="C7325" s="26" t="n">
        <v>46240</v>
      </c>
      <c r="D7325" s="6" t="s">
        <v>5135</v>
      </c>
      <c r="E7325" s="6" t="s">
        <v>23</v>
      </c>
      <c r="F7325" s="6" t="n">
        <v>3</v>
      </c>
      <c r="G7325" s="10" t="n">
        <v>441</v>
      </c>
      <c r="H7325" s="10" t="n">
        <f aca="false">F7325*G7325</f>
        <v>1323</v>
      </c>
      <c r="I7325" s="6" t="s">
        <v>5148</v>
      </c>
    </row>
    <row r="7326" customFormat="false" ht="15" hidden="false" customHeight="false" outlineLevel="0" collapsed="false">
      <c r="A7326" s="6" t="s">
        <v>12550</v>
      </c>
      <c r="B7326" s="6" t="s">
        <v>803</v>
      </c>
      <c r="C7326" s="26" t="n">
        <v>46240</v>
      </c>
      <c r="D7326" s="6" t="s">
        <v>5139</v>
      </c>
      <c r="E7326" s="6" t="s">
        <v>23</v>
      </c>
      <c r="F7326" s="6" t="n">
        <v>2</v>
      </c>
      <c r="G7326" s="10" t="n">
        <v>251</v>
      </c>
      <c r="H7326" s="10" t="n">
        <f aca="false">F7326*G7326</f>
        <v>502</v>
      </c>
      <c r="I7326" s="6" t="s">
        <v>5122</v>
      </c>
    </row>
    <row r="7327" customFormat="false" ht="15" hidden="false" customHeight="false" outlineLevel="0" collapsed="false">
      <c r="A7327" s="6" t="s">
        <v>12551</v>
      </c>
      <c r="B7327" s="6" t="s">
        <v>2109</v>
      </c>
      <c r="C7327" s="26" t="n">
        <v>46240</v>
      </c>
      <c r="D7327" s="6" t="s">
        <v>5216</v>
      </c>
      <c r="E7327" s="6" t="s">
        <v>23</v>
      </c>
      <c r="F7327" s="6" t="n">
        <v>3</v>
      </c>
      <c r="G7327" s="10" t="n">
        <v>587</v>
      </c>
      <c r="H7327" s="10" t="n">
        <f aca="false">F7327*G7327</f>
        <v>1761</v>
      </c>
      <c r="I7327" s="6" t="s">
        <v>5133</v>
      </c>
    </row>
    <row r="7328" customFormat="false" ht="15" hidden="false" customHeight="false" outlineLevel="0" collapsed="false">
      <c r="A7328" s="6" t="s">
        <v>12552</v>
      </c>
      <c r="B7328" s="6" t="s">
        <v>3043</v>
      </c>
      <c r="C7328" s="26" t="n">
        <v>46240</v>
      </c>
      <c r="D7328" s="6" t="s">
        <v>5163</v>
      </c>
      <c r="E7328" s="6" t="s">
        <v>23</v>
      </c>
      <c r="F7328" s="6" t="n">
        <v>3</v>
      </c>
      <c r="G7328" s="10" t="n">
        <v>783</v>
      </c>
      <c r="H7328" s="10" t="n">
        <f aca="false">F7328*G7328</f>
        <v>2349</v>
      </c>
      <c r="I7328" s="6" t="s">
        <v>5122</v>
      </c>
    </row>
    <row r="7329" customFormat="false" ht="15" hidden="false" customHeight="false" outlineLevel="0" collapsed="false">
      <c r="A7329" s="6" t="s">
        <v>12553</v>
      </c>
      <c r="B7329" s="6" t="s">
        <v>1263</v>
      </c>
      <c r="C7329" s="26" t="n">
        <v>46240</v>
      </c>
      <c r="D7329" s="6" t="s">
        <v>5220</v>
      </c>
      <c r="E7329" s="6" t="s">
        <v>24</v>
      </c>
      <c r="F7329" s="6" t="n">
        <v>1</v>
      </c>
      <c r="G7329" s="10" t="n">
        <v>1008</v>
      </c>
      <c r="H7329" s="10" t="n">
        <f aca="false">F7329*G7329</f>
        <v>1008</v>
      </c>
      <c r="I7329" s="6" t="s">
        <v>5133</v>
      </c>
    </row>
    <row r="7330" customFormat="false" ht="15" hidden="false" customHeight="false" outlineLevel="0" collapsed="false">
      <c r="A7330" s="6" t="s">
        <v>12554</v>
      </c>
      <c r="B7330" s="6" t="s">
        <v>4859</v>
      </c>
      <c r="C7330" s="26" t="n">
        <v>46240</v>
      </c>
      <c r="D7330" s="6" t="s">
        <v>5167</v>
      </c>
      <c r="E7330" s="6" t="s">
        <v>22</v>
      </c>
      <c r="F7330" s="6" t="n">
        <v>2</v>
      </c>
      <c r="G7330" s="10" t="n">
        <v>782</v>
      </c>
      <c r="H7330" s="10" t="n">
        <f aca="false">F7330*G7330</f>
        <v>1564</v>
      </c>
      <c r="I7330" s="6" t="s">
        <v>5148</v>
      </c>
    </row>
    <row r="7331" customFormat="false" ht="15" hidden="false" customHeight="false" outlineLevel="0" collapsed="false">
      <c r="A7331" s="6" t="s">
        <v>12555</v>
      </c>
      <c r="B7331" s="6" t="s">
        <v>3409</v>
      </c>
      <c r="C7331" s="26" t="n">
        <v>46240</v>
      </c>
      <c r="D7331" s="6" t="s">
        <v>5242</v>
      </c>
      <c r="E7331" s="6" t="s">
        <v>23</v>
      </c>
      <c r="F7331" s="6" t="n">
        <v>3</v>
      </c>
      <c r="G7331" s="10" t="n">
        <v>354</v>
      </c>
      <c r="H7331" s="10" t="n">
        <f aca="false">F7331*G7331</f>
        <v>1062</v>
      </c>
      <c r="I7331" s="6" t="s">
        <v>5148</v>
      </c>
    </row>
    <row r="7332" customFormat="false" ht="15" hidden="false" customHeight="false" outlineLevel="0" collapsed="false">
      <c r="A7332" s="6" t="s">
        <v>12556</v>
      </c>
      <c r="B7332" s="6" t="s">
        <v>1279</v>
      </c>
      <c r="C7332" s="26" t="n">
        <v>46240</v>
      </c>
      <c r="D7332" s="6" t="s">
        <v>5121</v>
      </c>
      <c r="E7332" s="6" t="s">
        <v>22</v>
      </c>
      <c r="F7332" s="6" t="n">
        <v>1</v>
      </c>
      <c r="G7332" s="10" t="n">
        <v>928</v>
      </c>
      <c r="H7332" s="10" t="n">
        <f aca="false">F7332*G7332</f>
        <v>928</v>
      </c>
      <c r="I7332" s="6" t="s">
        <v>5122</v>
      </c>
    </row>
    <row r="7333" customFormat="false" ht="15" hidden="false" customHeight="false" outlineLevel="0" collapsed="false">
      <c r="A7333" s="6" t="s">
        <v>12557</v>
      </c>
      <c r="B7333" s="6" t="s">
        <v>1859</v>
      </c>
      <c r="C7333" s="26" t="n">
        <v>46240</v>
      </c>
      <c r="D7333" s="6" t="s">
        <v>5154</v>
      </c>
      <c r="E7333" s="6" t="s">
        <v>21</v>
      </c>
      <c r="F7333" s="6" t="n">
        <v>1</v>
      </c>
      <c r="G7333" s="10" t="n">
        <v>785</v>
      </c>
      <c r="H7333" s="10" t="n">
        <f aca="false">F7333*G7333</f>
        <v>785</v>
      </c>
      <c r="I7333" s="6" t="s">
        <v>5148</v>
      </c>
    </row>
    <row r="7334" customFormat="false" ht="15" hidden="false" customHeight="false" outlineLevel="0" collapsed="false">
      <c r="A7334" s="6" t="s">
        <v>12558</v>
      </c>
      <c r="B7334" s="6" t="s">
        <v>4933</v>
      </c>
      <c r="C7334" s="26" t="n">
        <v>46241</v>
      </c>
      <c r="D7334" s="6" t="s">
        <v>5316</v>
      </c>
      <c r="E7334" s="6" t="s">
        <v>23</v>
      </c>
      <c r="F7334" s="6" t="n">
        <v>3</v>
      </c>
      <c r="G7334" s="10" t="n">
        <v>260</v>
      </c>
      <c r="H7334" s="10" t="n">
        <f aca="false">F7334*G7334</f>
        <v>780</v>
      </c>
      <c r="I7334" s="6" t="s">
        <v>5148</v>
      </c>
    </row>
    <row r="7335" customFormat="false" ht="15" hidden="false" customHeight="false" outlineLevel="0" collapsed="false">
      <c r="A7335" s="6" t="s">
        <v>12559</v>
      </c>
      <c r="B7335" s="6" t="s">
        <v>1009</v>
      </c>
      <c r="C7335" s="26" t="n">
        <v>46241</v>
      </c>
      <c r="D7335" s="6" t="s">
        <v>6101</v>
      </c>
      <c r="E7335" s="6" t="s">
        <v>20</v>
      </c>
      <c r="F7335" s="6" t="n">
        <v>1</v>
      </c>
      <c r="G7335" s="10" t="n">
        <v>22434</v>
      </c>
      <c r="H7335" s="10" t="n">
        <f aca="false">F7335*G7335</f>
        <v>22434</v>
      </c>
      <c r="I7335" s="6" t="s">
        <v>5130</v>
      </c>
    </row>
    <row r="7336" customFormat="false" ht="15" hidden="false" customHeight="false" outlineLevel="0" collapsed="false">
      <c r="A7336" s="6" t="s">
        <v>12560</v>
      </c>
      <c r="B7336" s="6" t="s">
        <v>1477</v>
      </c>
      <c r="C7336" s="26" t="n">
        <v>46241</v>
      </c>
      <c r="D7336" s="6" t="s">
        <v>5259</v>
      </c>
      <c r="E7336" s="6" t="s">
        <v>22</v>
      </c>
      <c r="F7336" s="6" t="n">
        <v>1</v>
      </c>
      <c r="G7336" s="10" t="n">
        <v>1564</v>
      </c>
      <c r="H7336" s="10" t="n">
        <f aca="false">F7336*G7336</f>
        <v>1564</v>
      </c>
      <c r="I7336" s="6" t="s">
        <v>5122</v>
      </c>
    </row>
    <row r="7337" customFormat="false" ht="15" hidden="false" customHeight="false" outlineLevel="0" collapsed="false">
      <c r="A7337" s="6" t="s">
        <v>12561</v>
      </c>
      <c r="B7337" s="6" t="s">
        <v>3445</v>
      </c>
      <c r="C7337" s="26" t="n">
        <v>46241</v>
      </c>
      <c r="D7337" s="6" t="s">
        <v>5158</v>
      </c>
      <c r="E7337" s="6" t="s">
        <v>24</v>
      </c>
      <c r="F7337" s="6" t="n">
        <v>2</v>
      </c>
      <c r="G7337" s="10" t="n">
        <v>433</v>
      </c>
      <c r="H7337" s="10" t="n">
        <f aca="false">F7337*G7337</f>
        <v>866</v>
      </c>
      <c r="I7337" s="6" t="s">
        <v>5122</v>
      </c>
    </row>
    <row r="7338" customFormat="false" ht="15" hidden="false" customHeight="false" outlineLevel="0" collapsed="false">
      <c r="A7338" s="6" t="s">
        <v>12562</v>
      </c>
      <c r="B7338" s="6" t="s">
        <v>2773</v>
      </c>
      <c r="C7338" s="26" t="n">
        <v>46241</v>
      </c>
      <c r="D7338" s="6" t="s">
        <v>5298</v>
      </c>
      <c r="E7338" s="6" t="s">
        <v>23</v>
      </c>
      <c r="F7338" s="6" t="n">
        <v>2</v>
      </c>
      <c r="G7338" s="10" t="n">
        <v>264</v>
      </c>
      <c r="H7338" s="10" t="n">
        <f aca="false">F7338*G7338</f>
        <v>528</v>
      </c>
      <c r="I7338" s="6" t="s">
        <v>5148</v>
      </c>
    </row>
    <row r="7339" customFormat="false" ht="15" hidden="false" customHeight="false" outlineLevel="0" collapsed="false">
      <c r="A7339" s="6" t="s">
        <v>12563</v>
      </c>
      <c r="B7339" s="6" t="s">
        <v>3063</v>
      </c>
      <c r="C7339" s="26" t="n">
        <v>46241</v>
      </c>
      <c r="D7339" s="6" t="s">
        <v>5326</v>
      </c>
      <c r="E7339" s="6" t="s">
        <v>22</v>
      </c>
      <c r="F7339" s="6" t="n">
        <v>1</v>
      </c>
      <c r="G7339" s="10" t="n">
        <v>1466</v>
      </c>
      <c r="H7339" s="10" t="n">
        <f aca="false">F7339*G7339</f>
        <v>1466</v>
      </c>
      <c r="I7339" s="6" t="s">
        <v>5122</v>
      </c>
    </row>
    <row r="7340" customFormat="false" ht="15" hidden="false" customHeight="false" outlineLevel="0" collapsed="false">
      <c r="A7340" s="6" t="s">
        <v>12564</v>
      </c>
      <c r="B7340" s="6" t="s">
        <v>2469</v>
      </c>
      <c r="C7340" s="26" t="n">
        <v>46241</v>
      </c>
      <c r="D7340" s="6" t="s">
        <v>5235</v>
      </c>
      <c r="E7340" s="6" t="s">
        <v>21</v>
      </c>
      <c r="F7340" s="6" t="n">
        <v>1</v>
      </c>
      <c r="G7340" s="10" t="n">
        <v>1671</v>
      </c>
      <c r="H7340" s="10" t="n">
        <f aca="false">F7340*G7340</f>
        <v>1671</v>
      </c>
      <c r="I7340" s="6" t="s">
        <v>5122</v>
      </c>
    </row>
    <row r="7341" customFormat="false" ht="15" hidden="false" customHeight="false" outlineLevel="0" collapsed="false">
      <c r="A7341" s="6" t="s">
        <v>12565</v>
      </c>
      <c r="B7341" s="6" t="s">
        <v>3985</v>
      </c>
      <c r="C7341" s="26" t="n">
        <v>46241</v>
      </c>
      <c r="D7341" s="6" t="s">
        <v>5121</v>
      </c>
      <c r="E7341" s="6" t="s">
        <v>22</v>
      </c>
      <c r="F7341" s="6" t="n">
        <v>1</v>
      </c>
      <c r="G7341" s="10" t="n">
        <v>880</v>
      </c>
      <c r="H7341" s="10" t="n">
        <f aca="false">F7341*G7341</f>
        <v>880</v>
      </c>
      <c r="I7341" s="6" t="s">
        <v>5148</v>
      </c>
    </row>
    <row r="7342" customFormat="false" ht="15" hidden="false" customHeight="false" outlineLevel="0" collapsed="false">
      <c r="A7342" s="6" t="s">
        <v>12566</v>
      </c>
      <c r="B7342" s="6" t="s">
        <v>2141</v>
      </c>
      <c r="C7342" s="26" t="n">
        <v>46241</v>
      </c>
      <c r="D7342" s="6" t="s">
        <v>5202</v>
      </c>
      <c r="E7342" s="6" t="s">
        <v>23</v>
      </c>
      <c r="F7342" s="6" t="n">
        <v>3</v>
      </c>
      <c r="G7342" s="10" t="n">
        <v>245</v>
      </c>
      <c r="H7342" s="10" t="n">
        <f aca="false">F7342*G7342</f>
        <v>735</v>
      </c>
      <c r="I7342" s="6" t="s">
        <v>5173</v>
      </c>
    </row>
    <row r="7343" customFormat="false" ht="15" hidden="false" customHeight="false" outlineLevel="0" collapsed="false">
      <c r="A7343" s="6" t="s">
        <v>12567</v>
      </c>
      <c r="B7343" s="6" t="s">
        <v>1143</v>
      </c>
      <c r="C7343" s="26" t="n">
        <v>46241</v>
      </c>
      <c r="D7343" s="6" t="s">
        <v>5216</v>
      </c>
      <c r="E7343" s="6" t="s">
        <v>23</v>
      </c>
      <c r="F7343" s="6" t="n">
        <v>2</v>
      </c>
      <c r="G7343" s="10" t="n">
        <v>587</v>
      </c>
      <c r="H7343" s="10" t="n">
        <f aca="false">F7343*G7343</f>
        <v>1174</v>
      </c>
      <c r="I7343" s="6" t="s">
        <v>5122</v>
      </c>
    </row>
    <row r="7344" customFormat="false" ht="15" hidden="false" customHeight="false" outlineLevel="0" collapsed="false">
      <c r="A7344" s="6" t="s">
        <v>12568</v>
      </c>
      <c r="B7344" s="6" t="s">
        <v>3271</v>
      </c>
      <c r="C7344" s="26" t="n">
        <v>46241</v>
      </c>
      <c r="D7344" s="6" t="s">
        <v>5143</v>
      </c>
      <c r="E7344" s="6" t="s">
        <v>21</v>
      </c>
      <c r="F7344" s="6" t="n">
        <v>1</v>
      </c>
      <c r="G7344" s="10" t="n">
        <v>1120</v>
      </c>
      <c r="H7344" s="10" t="n">
        <f aca="false">F7344*G7344</f>
        <v>1120</v>
      </c>
      <c r="I7344" s="6" t="s">
        <v>5133</v>
      </c>
    </row>
    <row r="7345" customFormat="false" ht="15" hidden="false" customHeight="false" outlineLevel="0" collapsed="false">
      <c r="A7345" s="6" t="s">
        <v>12569</v>
      </c>
      <c r="B7345" s="6" t="s">
        <v>2797</v>
      </c>
      <c r="C7345" s="26" t="n">
        <v>46241</v>
      </c>
      <c r="D7345" s="6" t="s">
        <v>5245</v>
      </c>
      <c r="E7345" s="6" t="s">
        <v>21</v>
      </c>
      <c r="F7345" s="6" t="n">
        <v>1</v>
      </c>
      <c r="G7345" s="10" t="n">
        <v>2456</v>
      </c>
      <c r="H7345" s="10" t="n">
        <f aca="false">F7345*G7345</f>
        <v>2456</v>
      </c>
      <c r="I7345" s="6" t="s">
        <v>5173</v>
      </c>
    </row>
    <row r="7346" customFormat="false" ht="15" hidden="false" customHeight="false" outlineLevel="0" collapsed="false">
      <c r="A7346" s="6" t="s">
        <v>12570</v>
      </c>
      <c r="B7346" s="6" t="s">
        <v>4143</v>
      </c>
      <c r="C7346" s="26" t="n">
        <v>46241</v>
      </c>
      <c r="D7346" s="6" t="s">
        <v>5135</v>
      </c>
      <c r="E7346" s="6" t="s">
        <v>23</v>
      </c>
      <c r="F7346" s="6" t="n">
        <v>1</v>
      </c>
      <c r="G7346" s="10" t="n">
        <v>441</v>
      </c>
      <c r="H7346" s="10" t="n">
        <f aca="false">F7346*G7346</f>
        <v>441</v>
      </c>
      <c r="I7346" s="6" t="s">
        <v>5125</v>
      </c>
    </row>
    <row r="7347" customFormat="false" ht="15" hidden="false" customHeight="false" outlineLevel="0" collapsed="false">
      <c r="A7347" s="6" t="s">
        <v>12571</v>
      </c>
      <c r="B7347" s="6" t="s">
        <v>154</v>
      </c>
      <c r="C7347" s="26" t="n">
        <v>46241</v>
      </c>
      <c r="D7347" s="6" t="s">
        <v>5127</v>
      </c>
      <c r="E7347" s="6" t="s">
        <v>21</v>
      </c>
      <c r="F7347" s="6" t="n">
        <v>1</v>
      </c>
      <c r="G7347" s="10" t="n">
        <v>884</v>
      </c>
      <c r="H7347" s="10" t="n">
        <f aca="false">F7347*G7347</f>
        <v>884</v>
      </c>
      <c r="I7347" s="6" t="s">
        <v>5133</v>
      </c>
    </row>
    <row r="7348" customFormat="false" ht="15" hidden="false" customHeight="false" outlineLevel="0" collapsed="false">
      <c r="A7348" s="6" t="s">
        <v>12572</v>
      </c>
      <c r="B7348" s="6" t="s">
        <v>1011</v>
      </c>
      <c r="C7348" s="26" t="n">
        <v>46241</v>
      </c>
      <c r="D7348" s="6" t="s">
        <v>5357</v>
      </c>
      <c r="E7348" s="6" t="s">
        <v>23</v>
      </c>
      <c r="F7348" s="6" t="n">
        <v>2</v>
      </c>
      <c r="G7348" s="10" t="n">
        <v>507</v>
      </c>
      <c r="H7348" s="10" t="n">
        <f aca="false">F7348*G7348</f>
        <v>1014</v>
      </c>
      <c r="I7348" s="6" t="s">
        <v>5148</v>
      </c>
    </row>
    <row r="7349" customFormat="false" ht="15" hidden="false" customHeight="false" outlineLevel="0" collapsed="false">
      <c r="A7349" s="6" t="s">
        <v>12573</v>
      </c>
      <c r="B7349" s="6" t="s">
        <v>1571</v>
      </c>
      <c r="C7349" s="26" t="n">
        <v>46241</v>
      </c>
      <c r="D7349" s="6" t="s">
        <v>5167</v>
      </c>
      <c r="E7349" s="6" t="s">
        <v>22</v>
      </c>
      <c r="F7349" s="6" t="n">
        <v>2</v>
      </c>
      <c r="G7349" s="10" t="n">
        <v>743</v>
      </c>
      <c r="H7349" s="10" t="n">
        <f aca="false">F7349*G7349</f>
        <v>1486</v>
      </c>
      <c r="I7349" s="6" t="s">
        <v>5148</v>
      </c>
    </row>
    <row r="7350" customFormat="false" ht="15" hidden="false" customHeight="false" outlineLevel="0" collapsed="false">
      <c r="A7350" s="6" t="s">
        <v>12574</v>
      </c>
      <c r="B7350" s="6" t="s">
        <v>3579</v>
      </c>
      <c r="C7350" s="26" t="n">
        <v>46241</v>
      </c>
      <c r="D7350" s="6" t="s">
        <v>5261</v>
      </c>
      <c r="E7350" s="6" t="s">
        <v>23</v>
      </c>
      <c r="F7350" s="6" t="n">
        <v>3</v>
      </c>
      <c r="G7350" s="10" t="n">
        <v>158</v>
      </c>
      <c r="H7350" s="10" t="n">
        <f aca="false">F7350*G7350</f>
        <v>474</v>
      </c>
      <c r="I7350" s="6" t="s">
        <v>5125</v>
      </c>
    </row>
    <row r="7351" customFormat="false" ht="15" hidden="false" customHeight="false" outlineLevel="0" collapsed="false">
      <c r="A7351" s="6" t="s">
        <v>12575</v>
      </c>
      <c r="B7351" s="6" t="s">
        <v>5099</v>
      </c>
      <c r="C7351" s="26" t="n">
        <v>46241</v>
      </c>
      <c r="D7351" s="6" t="s">
        <v>5143</v>
      </c>
      <c r="E7351" s="6" t="s">
        <v>21</v>
      </c>
      <c r="F7351" s="6" t="n">
        <v>2</v>
      </c>
      <c r="G7351" s="10" t="n">
        <v>1179</v>
      </c>
      <c r="H7351" s="10" t="n">
        <f aca="false">F7351*G7351</f>
        <v>2358</v>
      </c>
      <c r="I7351" s="6" t="s">
        <v>5122</v>
      </c>
    </row>
    <row r="7352" customFormat="false" ht="15" hidden="false" customHeight="false" outlineLevel="0" collapsed="false">
      <c r="A7352" s="6" t="s">
        <v>12576</v>
      </c>
      <c r="B7352" s="6" t="s">
        <v>2361</v>
      </c>
      <c r="C7352" s="26" t="n">
        <v>46241</v>
      </c>
      <c r="D7352" s="6" t="s">
        <v>5226</v>
      </c>
      <c r="E7352" s="6" t="s">
        <v>24</v>
      </c>
      <c r="F7352" s="6" t="n">
        <v>2</v>
      </c>
      <c r="G7352" s="10" t="n">
        <v>457</v>
      </c>
      <c r="H7352" s="10" t="n">
        <f aca="false">F7352*G7352</f>
        <v>914</v>
      </c>
      <c r="I7352" s="6" t="s">
        <v>5125</v>
      </c>
    </row>
    <row r="7353" customFormat="false" ht="15" hidden="false" customHeight="false" outlineLevel="0" collapsed="false">
      <c r="A7353" s="6" t="s">
        <v>12577</v>
      </c>
      <c r="B7353" s="6" t="s">
        <v>3067</v>
      </c>
      <c r="C7353" s="26" t="n">
        <v>46241</v>
      </c>
      <c r="D7353" s="6" t="s">
        <v>5273</v>
      </c>
      <c r="E7353" s="6" t="s">
        <v>23</v>
      </c>
      <c r="F7353" s="6" t="n">
        <v>2</v>
      </c>
      <c r="G7353" s="10" t="n">
        <v>216</v>
      </c>
      <c r="H7353" s="10" t="n">
        <f aca="false">F7353*G7353</f>
        <v>432</v>
      </c>
      <c r="I7353" s="6" t="s">
        <v>5122</v>
      </c>
    </row>
    <row r="7354" customFormat="false" ht="15" hidden="false" customHeight="false" outlineLevel="0" collapsed="false">
      <c r="A7354" s="6" t="s">
        <v>12578</v>
      </c>
      <c r="B7354" s="6" t="s">
        <v>4587</v>
      </c>
      <c r="C7354" s="26" t="n">
        <v>46241</v>
      </c>
      <c r="D7354" s="6" t="s">
        <v>5171</v>
      </c>
      <c r="E7354" s="6" t="s">
        <v>23</v>
      </c>
      <c r="F7354" s="6" t="n">
        <v>3</v>
      </c>
      <c r="G7354" s="10" t="n">
        <v>661</v>
      </c>
      <c r="H7354" s="10" t="n">
        <f aca="false">F7354*G7354</f>
        <v>1983</v>
      </c>
      <c r="I7354" s="6" t="s">
        <v>5148</v>
      </c>
    </row>
    <row r="7355" customFormat="false" ht="15" hidden="false" customHeight="false" outlineLevel="0" collapsed="false">
      <c r="A7355" s="6" t="s">
        <v>12579</v>
      </c>
      <c r="B7355" s="6" t="s">
        <v>1137</v>
      </c>
      <c r="C7355" s="26" t="n">
        <v>46241</v>
      </c>
      <c r="D7355" s="6" t="s">
        <v>5135</v>
      </c>
      <c r="E7355" s="6" t="s">
        <v>23</v>
      </c>
      <c r="F7355" s="6" t="n">
        <v>2</v>
      </c>
      <c r="G7355" s="10" t="n">
        <v>441</v>
      </c>
      <c r="H7355" s="10" t="n">
        <f aca="false">F7355*G7355</f>
        <v>882</v>
      </c>
      <c r="I7355" s="6" t="s">
        <v>5122</v>
      </c>
    </row>
    <row r="7356" customFormat="false" ht="15" hidden="false" customHeight="false" outlineLevel="0" collapsed="false">
      <c r="A7356" s="6" t="s">
        <v>12580</v>
      </c>
      <c r="B7356" s="6" t="s">
        <v>3659</v>
      </c>
      <c r="C7356" s="26" t="n">
        <v>46241</v>
      </c>
      <c r="D7356" s="6" t="s">
        <v>5175</v>
      </c>
      <c r="E7356" s="6" t="s">
        <v>24</v>
      </c>
      <c r="F7356" s="6" t="n">
        <v>1</v>
      </c>
      <c r="G7356" s="10" t="n">
        <v>549</v>
      </c>
      <c r="H7356" s="10" t="n">
        <f aca="false">F7356*G7356</f>
        <v>549</v>
      </c>
      <c r="I7356" s="6" t="s">
        <v>5125</v>
      </c>
    </row>
    <row r="7357" customFormat="false" ht="15" hidden="false" customHeight="false" outlineLevel="0" collapsed="false">
      <c r="A7357" s="6" t="s">
        <v>12581</v>
      </c>
      <c r="B7357" s="6" t="s">
        <v>4119</v>
      </c>
      <c r="C7357" s="26" t="n">
        <v>46241</v>
      </c>
      <c r="D7357" s="6" t="s">
        <v>6101</v>
      </c>
      <c r="E7357" s="6" t="s">
        <v>20</v>
      </c>
      <c r="F7357" s="6" t="n">
        <v>1</v>
      </c>
      <c r="G7357" s="10" t="n">
        <v>20191</v>
      </c>
      <c r="H7357" s="10" t="n">
        <f aca="false">F7357*G7357</f>
        <v>20191</v>
      </c>
      <c r="I7357" s="6" t="s">
        <v>5130</v>
      </c>
    </row>
    <row r="7358" customFormat="false" ht="15" hidden="false" customHeight="false" outlineLevel="0" collapsed="false">
      <c r="A7358" s="6" t="s">
        <v>12582</v>
      </c>
      <c r="B7358" s="6" t="s">
        <v>2041</v>
      </c>
      <c r="C7358" s="26" t="n">
        <v>46241</v>
      </c>
      <c r="D7358" s="6" t="s">
        <v>5154</v>
      </c>
      <c r="E7358" s="6" t="s">
        <v>21</v>
      </c>
      <c r="F7358" s="6" t="n">
        <v>1</v>
      </c>
      <c r="G7358" s="10" t="n">
        <v>785</v>
      </c>
      <c r="H7358" s="10" t="n">
        <f aca="false">F7358*G7358</f>
        <v>785</v>
      </c>
      <c r="I7358" s="6" t="s">
        <v>5148</v>
      </c>
    </row>
    <row r="7359" customFormat="false" ht="15" hidden="false" customHeight="false" outlineLevel="0" collapsed="false">
      <c r="A7359" s="6" t="s">
        <v>12583</v>
      </c>
      <c r="B7359" s="6" t="s">
        <v>1041</v>
      </c>
      <c r="C7359" s="26" t="n">
        <v>46241</v>
      </c>
      <c r="D7359" s="6" t="s">
        <v>5269</v>
      </c>
      <c r="E7359" s="6" t="s">
        <v>22</v>
      </c>
      <c r="F7359" s="6" t="n">
        <v>4</v>
      </c>
      <c r="G7359" s="10" t="n">
        <v>1144</v>
      </c>
      <c r="H7359" s="10" t="n">
        <f aca="false">F7359*G7359</f>
        <v>4576</v>
      </c>
      <c r="I7359" s="6" t="s">
        <v>5122</v>
      </c>
    </row>
    <row r="7360" customFormat="false" ht="15" hidden="false" customHeight="false" outlineLevel="0" collapsed="false">
      <c r="A7360" s="6" t="s">
        <v>12584</v>
      </c>
      <c r="B7360" s="6" t="s">
        <v>248</v>
      </c>
      <c r="C7360" s="26" t="n">
        <v>46241</v>
      </c>
      <c r="D7360" s="6" t="s">
        <v>5167</v>
      </c>
      <c r="E7360" s="6" t="s">
        <v>22</v>
      </c>
      <c r="F7360" s="6" t="n">
        <v>1</v>
      </c>
      <c r="G7360" s="10" t="n">
        <v>782</v>
      </c>
      <c r="H7360" s="10" t="n">
        <f aca="false">F7360*G7360</f>
        <v>782</v>
      </c>
      <c r="I7360" s="6" t="s">
        <v>5125</v>
      </c>
    </row>
    <row r="7361" customFormat="false" ht="15" hidden="false" customHeight="false" outlineLevel="0" collapsed="false">
      <c r="A7361" s="6" t="s">
        <v>12585</v>
      </c>
      <c r="B7361" s="6" t="s">
        <v>3035</v>
      </c>
      <c r="C7361" s="26" t="n">
        <v>46241</v>
      </c>
      <c r="D7361" s="6" t="s">
        <v>5259</v>
      </c>
      <c r="E7361" s="6" t="s">
        <v>22</v>
      </c>
      <c r="F7361" s="6" t="n">
        <v>1</v>
      </c>
      <c r="G7361" s="10" t="n">
        <v>1564</v>
      </c>
      <c r="H7361" s="10" t="n">
        <f aca="false">F7361*G7361</f>
        <v>1564</v>
      </c>
      <c r="I7361" s="6" t="s">
        <v>5130</v>
      </c>
    </row>
    <row r="7362" customFormat="false" ht="15" hidden="false" customHeight="false" outlineLevel="0" collapsed="false">
      <c r="A7362" s="6" t="s">
        <v>12586</v>
      </c>
      <c r="B7362" s="6" t="s">
        <v>3173</v>
      </c>
      <c r="C7362" s="26" t="n">
        <v>46241</v>
      </c>
      <c r="D7362" s="6" t="s">
        <v>5147</v>
      </c>
      <c r="E7362" s="6" t="s">
        <v>24</v>
      </c>
      <c r="F7362" s="6" t="n">
        <v>2</v>
      </c>
      <c r="G7362" s="10" t="n">
        <v>661</v>
      </c>
      <c r="H7362" s="10" t="n">
        <f aca="false">F7362*G7362</f>
        <v>1322</v>
      </c>
      <c r="I7362" s="6" t="s">
        <v>5122</v>
      </c>
    </row>
    <row r="7363" customFormat="false" ht="15" hidden="false" customHeight="false" outlineLevel="0" collapsed="false">
      <c r="A7363" s="6" t="s">
        <v>12587</v>
      </c>
      <c r="B7363" s="6" t="s">
        <v>3943</v>
      </c>
      <c r="C7363" s="26" t="n">
        <v>46241</v>
      </c>
      <c r="D7363" s="6" t="s">
        <v>5139</v>
      </c>
      <c r="E7363" s="6" t="s">
        <v>23</v>
      </c>
      <c r="F7363" s="6" t="n">
        <v>2</v>
      </c>
      <c r="G7363" s="10" t="n">
        <v>279</v>
      </c>
      <c r="H7363" s="10" t="n">
        <f aca="false">F7363*G7363</f>
        <v>558</v>
      </c>
      <c r="I7363" s="6" t="s">
        <v>5122</v>
      </c>
    </row>
    <row r="7364" customFormat="false" ht="15" hidden="false" customHeight="false" outlineLevel="0" collapsed="false">
      <c r="A7364" s="6" t="s">
        <v>12588</v>
      </c>
      <c r="B7364" s="6" t="s">
        <v>1299</v>
      </c>
      <c r="C7364" s="26" t="n">
        <v>46241</v>
      </c>
      <c r="D7364" s="6" t="s">
        <v>5129</v>
      </c>
      <c r="E7364" s="6" t="s">
        <v>21</v>
      </c>
      <c r="F7364" s="6" t="n">
        <v>1</v>
      </c>
      <c r="G7364" s="10" t="n">
        <v>589</v>
      </c>
      <c r="H7364" s="10" t="n">
        <f aca="false">F7364*G7364</f>
        <v>589</v>
      </c>
      <c r="I7364" s="6" t="s">
        <v>5130</v>
      </c>
    </row>
    <row r="7365" customFormat="false" ht="15" hidden="false" customHeight="false" outlineLevel="0" collapsed="false">
      <c r="A7365" s="6" t="s">
        <v>12589</v>
      </c>
      <c r="B7365" s="6" t="s">
        <v>4165</v>
      </c>
      <c r="C7365" s="26" t="n">
        <v>46241</v>
      </c>
      <c r="D7365" s="6" t="s">
        <v>5837</v>
      </c>
      <c r="E7365" s="6" t="s">
        <v>21</v>
      </c>
      <c r="F7365" s="6" t="n">
        <v>1</v>
      </c>
      <c r="G7365" s="10" t="n">
        <v>2800</v>
      </c>
      <c r="H7365" s="10" t="n">
        <f aca="false">F7365*G7365</f>
        <v>2800</v>
      </c>
      <c r="I7365" s="6" t="s">
        <v>5130</v>
      </c>
    </row>
    <row r="7366" customFormat="false" ht="15" hidden="false" customHeight="false" outlineLevel="0" collapsed="false">
      <c r="A7366" s="6" t="s">
        <v>12590</v>
      </c>
      <c r="B7366" s="6" t="s">
        <v>2963</v>
      </c>
      <c r="C7366" s="26" t="n">
        <v>46242</v>
      </c>
      <c r="D7366" s="6" t="s">
        <v>5326</v>
      </c>
      <c r="E7366" s="6" t="s">
        <v>22</v>
      </c>
      <c r="F7366" s="6" t="n">
        <v>1</v>
      </c>
      <c r="G7366" s="10" t="n">
        <v>1466</v>
      </c>
      <c r="H7366" s="10" t="n">
        <f aca="false">F7366*G7366</f>
        <v>1466</v>
      </c>
      <c r="I7366" s="6" t="s">
        <v>5122</v>
      </c>
    </row>
    <row r="7367" customFormat="false" ht="15" hidden="false" customHeight="false" outlineLevel="0" collapsed="false">
      <c r="A7367" s="6" t="s">
        <v>12591</v>
      </c>
      <c r="B7367" s="6" t="s">
        <v>1355</v>
      </c>
      <c r="C7367" s="26" t="n">
        <v>46242</v>
      </c>
      <c r="D7367" s="6" t="s">
        <v>5458</v>
      </c>
      <c r="E7367" s="6" t="s">
        <v>24</v>
      </c>
      <c r="F7367" s="6" t="n">
        <v>2</v>
      </c>
      <c r="G7367" s="10" t="n">
        <v>559</v>
      </c>
      <c r="H7367" s="10" t="n">
        <f aca="false">F7367*G7367</f>
        <v>1118</v>
      </c>
      <c r="I7367" s="6" t="s">
        <v>5122</v>
      </c>
    </row>
    <row r="7368" customFormat="false" ht="15" hidden="false" customHeight="false" outlineLevel="0" collapsed="false">
      <c r="A7368" s="6" t="s">
        <v>12592</v>
      </c>
      <c r="B7368" s="6" t="s">
        <v>3187</v>
      </c>
      <c r="C7368" s="26" t="n">
        <v>46242</v>
      </c>
      <c r="D7368" s="6" t="s">
        <v>5167</v>
      </c>
      <c r="E7368" s="6" t="s">
        <v>22</v>
      </c>
      <c r="F7368" s="6" t="n">
        <v>1</v>
      </c>
      <c r="G7368" s="10" t="n">
        <v>782</v>
      </c>
      <c r="H7368" s="10" t="n">
        <f aca="false">F7368*G7368</f>
        <v>782</v>
      </c>
      <c r="I7368" s="6" t="s">
        <v>5130</v>
      </c>
    </row>
    <row r="7369" customFormat="false" ht="15" hidden="false" customHeight="false" outlineLevel="0" collapsed="false">
      <c r="A7369" s="6" t="s">
        <v>12593</v>
      </c>
      <c r="B7369" s="6" t="s">
        <v>4725</v>
      </c>
      <c r="C7369" s="26" t="n">
        <v>46242</v>
      </c>
      <c r="D7369" s="6" t="s">
        <v>6101</v>
      </c>
      <c r="E7369" s="6" t="s">
        <v>20</v>
      </c>
      <c r="F7369" s="6" t="n">
        <v>1</v>
      </c>
      <c r="G7369" s="10" t="n">
        <v>22434</v>
      </c>
      <c r="H7369" s="10" t="n">
        <f aca="false">F7369*G7369</f>
        <v>22434</v>
      </c>
      <c r="I7369" s="6" t="s">
        <v>5122</v>
      </c>
    </row>
    <row r="7370" customFormat="false" ht="15" hidden="false" customHeight="false" outlineLevel="0" collapsed="false">
      <c r="A7370" s="6" t="s">
        <v>12594</v>
      </c>
      <c r="B7370" s="6" t="s">
        <v>485</v>
      </c>
      <c r="C7370" s="26" t="n">
        <v>46242</v>
      </c>
      <c r="D7370" s="6" t="s">
        <v>5163</v>
      </c>
      <c r="E7370" s="6" t="s">
        <v>23</v>
      </c>
      <c r="F7370" s="6" t="n">
        <v>4</v>
      </c>
      <c r="G7370" s="10" t="n">
        <v>783</v>
      </c>
      <c r="H7370" s="10" t="n">
        <f aca="false">F7370*G7370</f>
        <v>3132</v>
      </c>
      <c r="I7370" s="6" t="s">
        <v>5148</v>
      </c>
    </row>
    <row r="7371" customFormat="false" ht="15" hidden="false" customHeight="false" outlineLevel="0" collapsed="false">
      <c r="A7371" s="6" t="s">
        <v>12595</v>
      </c>
      <c r="B7371" s="6" t="s">
        <v>287</v>
      </c>
      <c r="C7371" s="26" t="n">
        <v>46242</v>
      </c>
      <c r="D7371" s="6" t="s">
        <v>5121</v>
      </c>
      <c r="E7371" s="6" t="s">
        <v>22</v>
      </c>
      <c r="F7371" s="6" t="n">
        <v>2</v>
      </c>
      <c r="G7371" s="10" t="n">
        <v>880</v>
      </c>
      <c r="H7371" s="10" t="n">
        <f aca="false">F7371*G7371</f>
        <v>1760</v>
      </c>
      <c r="I7371" s="6" t="s">
        <v>5125</v>
      </c>
    </row>
    <row r="7372" customFormat="false" ht="15" hidden="false" customHeight="false" outlineLevel="0" collapsed="false">
      <c r="A7372" s="6" t="s">
        <v>12596</v>
      </c>
      <c r="B7372" s="6" t="s">
        <v>523</v>
      </c>
      <c r="C7372" s="26" t="n">
        <v>46242</v>
      </c>
      <c r="D7372" s="6" t="s">
        <v>5121</v>
      </c>
      <c r="E7372" s="6" t="s">
        <v>22</v>
      </c>
      <c r="F7372" s="6" t="n">
        <v>3</v>
      </c>
      <c r="G7372" s="10" t="n">
        <v>928</v>
      </c>
      <c r="H7372" s="10" t="n">
        <f aca="false">F7372*G7372</f>
        <v>2784</v>
      </c>
      <c r="I7372" s="6" t="s">
        <v>5122</v>
      </c>
    </row>
    <row r="7373" customFormat="false" ht="15" hidden="false" customHeight="false" outlineLevel="0" collapsed="false">
      <c r="A7373" s="6" t="s">
        <v>12597</v>
      </c>
      <c r="B7373" s="6" t="s">
        <v>2175</v>
      </c>
      <c r="C7373" s="26" t="n">
        <v>46242</v>
      </c>
      <c r="D7373" s="6" t="s">
        <v>5410</v>
      </c>
      <c r="E7373" s="6" t="s">
        <v>20</v>
      </c>
      <c r="F7373" s="6" t="n">
        <v>1</v>
      </c>
      <c r="G7373" s="10" t="n">
        <v>2548</v>
      </c>
      <c r="H7373" s="10" t="n">
        <f aca="false">F7373*G7373</f>
        <v>2548</v>
      </c>
      <c r="I7373" s="6" t="s">
        <v>5125</v>
      </c>
    </row>
    <row r="7374" customFormat="false" ht="15" hidden="false" customHeight="false" outlineLevel="0" collapsed="false">
      <c r="A7374" s="6" t="s">
        <v>12598</v>
      </c>
      <c r="B7374" s="6" t="s">
        <v>3845</v>
      </c>
      <c r="C7374" s="26" t="n">
        <v>46242</v>
      </c>
      <c r="D7374" s="6" t="s">
        <v>5135</v>
      </c>
      <c r="E7374" s="6" t="s">
        <v>23</v>
      </c>
      <c r="F7374" s="6" t="n">
        <v>3</v>
      </c>
      <c r="G7374" s="10" t="n">
        <v>397</v>
      </c>
      <c r="H7374" s="10" t="n">
        <f aca="false">F7374*G7374</f>
        <v>1191</v>
      </c>
      <c r="I7374" s="6" t="s">
        <v>5130</v>
      </c>
    </row>
    <row r="7375" customFormat="false" ht="15" hidden="false" customHeight="false" outlineLevel="0" collapsed="false">
      <c r="A7375" s="6" t="s">
        <v>12599</v>
      </c>
      <c r="B7375" s="6" t="s">
        <v>4377</v>
      </c>
      <c r="C7375" s="26" t="n">
        <v>46242</v>
      </c>
      <c r="D7375" s="6" t="s">
        <v>5182</v>
      </c>
      <c r="E7375" s="6" t="s">
        <v>23</v>
      </c>
      <c r="F7375" s="6" t="n">
        <v>1</v>
      </c>
      <c r="G7375" s="10" t="n">
        <v>331</v>
      </c>
      <c r="H7375" s="10" t="n">
        <f aca="false">F7375*G7375</f>
        <v>331</v>
      </c>
      <c r="I7375" s="6" t="s">
        <v>5122</v>
      </c>
    </row>
    <row r="7376" customFormat="false" ht="15" hidden="false" customHeight="false" outlineLevel="0" collapsed="false">
      <c r="A7376" s="6" t="s">
        <v>12600</v>
      </c>
      <c r="B7376" s="6" t="s">
        <v>673</v>
      </c>
      <c r="C7376" s="26" t="n">
        <v>46242</v>
      </c>
      <c r="D7376" s="6" t="s">
        <v>5129</v>
      </c>
      <c r="E7376" s="6" t="s">
        <v>21</v>
      </c>
      <c r="F7376" s="6" t="n">
        <v>3</v>
      </c>
      <c r="G7376" s="10" t="n">
        <v>589</v>
      </c>
      <c r="H7376" s="10" t="n">
        <f aca="false">F7376*G7376</f>
        <v>1767</v>
      </c>
      <c r="I7376" s="6" t="s">
        <v>5122</v>
      </c>
    </row>
    <row r="7377" customFormat="false" ht="15" hidden="false" customHeight="false" outlineLevel="0" collapsed="false">
      <c r="A7377" s="6" t="s">
        <v>12601</v>
      </c>
      <c r="B7377" s="6" t="s">
        <v>1499</v>
      </c>
      <c r="C7377" s="26" t="n">
        <v>46242</v>
      </c>
      <c r="D7377" s="6" t="s">
        <v>5160</v>
      </c>
      <c r="E7377" s="6" t="s">
        <v>21</v>
      </c>
      <c r="F7377" s="6" t="n">
        <v>1</v>
      </c>
      <c r="G7377" s="10" t="n">
        <v>2751</v>
      </c>
      <c r="H7377" s="10" t="n">
        <f aca="false">F7377*G7377</f>
        <v>2751</v>
      </c>
      <c r="I7377" s="6" t="s">
        <v>5122</v>
      </c>
    </row>
    <row r="7378" customFormat="false" ht="15" hidden="false" customHeight="false" outlineLevel="0" collapsed="false">
      <c r="A7378" s="6" t="s">
        <v>12602</v>
      </c>
      <c r="B7378" s="6" t="s">
        <v>3799</v>
      </c>
      <c r="C7378" s="26" t="n">
        <v>46242</v>
      </c>
      <c r="D7378" s="6" t="s">
        <v>5345</v>
      </c>
      <c r="E7378" s="6" t="s">
        <v>23</v>
      </c>
      <c r="F7378" s="6" t="n">
        <v>5</v>
      </c>
      <c r="G7378" s="10" t="n">
        <v>436</v>
      </c>
      <c r="H7378" s="10" t="n">
        <f aca="false">F7378*G7378</f>
        <v>2180</v>
      </c>
      <c r="I7378" s="6" t="s">
        <v>5173</v>
      </c>
    </row>
    <row r="7379" customFormat="false" ht="15" hidden="false" customHeight="false" outlineLevel="0" collapsed="false">
      <c r="A7379" s="6" t="s">
        <v>12603</v>
      </c>
      <c r="B7379" s="6" t="s">
        <v>252</v>
      </c>
      <c r="C7379" s="26" t="n">
        <v>46242</v>
      </c>
      <c r="D7379" s="6" t="s">
        <v>5194</v>
      </c>
      <c r="E7379" s="6" t="s">
        <v>22</v>
      </c>
      <c r="F7379" s="6" t="n">
        <v>2</v>
      </c>
      <c r="G7379" s="10" t="n">
        <v>2151</v>
      </c>
      <c r="H7379" s="10" t="n">
        <f aca="false">F7379*G7379</f>
        <v>4302</v>
      </c>
      <c r="I7379" s="6" t="s">
        <v>5125</v>
      </c>
    </row>
    <row r="7380" customFormat="false" ht="15" hidden="false" customHeight="false" outlineLevel="0" collapsed="false">
      <c r="A7380" s="6" t="s">
        <v>12604</v>
      </c>
      <c r="B7380" s="6" t="s">
        <v>4419</v>
      </c>
      <c r="C7380" s="26" t="n">
        <v>46242</v>
      </c>
      <c r="D7380" s="6" t="s">
        <v>5357</v>
      </c>
      <c r="E7380" s="6" t="s">
        <v>23</v>
      </c>
      <c r="F7380" s="6" t="n">
        <v>2</v>
      </c>
      <c r="G7380" s="10" t="n">
        <v>534</v>
      </c>
      <c r="H7380" s="10" t="n">
        <f aca="false">F7380*G7380</f>
        <v>1068</v>
      </c>
      <c r="I7380" s="6" t="s">
        <v>5173</v>
      </c>
    </row>
    <row r="7381" customFormat="false" ht="15" hidden="false" customHeight="false" outlineLevel="0" collapsed="false">
      <c r="A7381" s="6" t="s">
        <v>12605</v>
      </c>
      <c r="B7381" s="6" t="s">
        <v>4241</v>
      </c>
      <c r="C7381" s="26" t="n">
        <v>46242</v>
      </c>
      <c r="D7381" s="6" t="s">
        <v>5305</v>
      </c>
      <c r="E7381" s="6" t="s">
        <v>20</v>
      </c>
      <c r="F7381" s="6" t="n">
        <v>1</v>
      </c>
      <c r="G7381" s="10" t="n">
        <v>1631</v>
      </c>
      <c r="H7381" s="10" t="n">
        <f aca="false">F7381*G7381</f>
        <v>1631</v>
      </c>
      <c r="I7381" s="6" t="s">
        <v>5148</v>
      </c>
    </row>
    <row r="7382" customFormat="false" ht="15" hidden="false" customHeight="false" outlineLevel="0" collapsed="false">
      <c r="A7382" s="6" t="s">
        <v>12606</v>
      </c>
      <c r="B7382" s="6" t="s">
        <v>262</v>
      </c>
      <c r="C7382" s="26" t="n">
        <v>46242</v>
      </c>
      <c r="D7382" s="6" t="s">
        <v>5345</v>
      </c>
      <c r="E7382" s="6" t="s">
        <v>23</v>
      </c>
      <c r="F7382" s="6" t="n">
        <v>2</v>
      </c>
      <c r="G7382" s="10" t="n">
        <v>436</v>
      </c>
      <c r="H7382" s="10" t="n">
        <f aca="false">F7382*G7382</f>
        <v>872</v>
      </c>
      <c r="I7382" s="6" t="s">
        <v>5122</v>
      </c>
    </row>
    <row r="7383" customFormat="false" ht="15" hidden="false" customHeight="false" outlineLevel="0" collapsed="false">
      <c r="A7383" s="6" t="s">
        <v>12607</v>
      </c>
      <c r="B7383" s="6" t="s">
        <v>3715</v>
      </c>
      <c r="C7383" s="26" t="n">
        <v>46242</v>
      </c>
      <c r="D7383" s="6" t="s">
        <v>5456</v>
      </c>
      <c r="E7383" s="6" t="s">
        <v>24</v>
      </c>
      <c r="F7383" s="6" t="n">
        <v>1</v>
      </c>
      <c r="G7383" s="10" t="n">
        <v>866</v>
      </c>
      <c r="H7383" s="10" t="n">
        <f aca="false">F7383*G7383</f>
        <v>866</v>
      </c>
      <c r="I7383" s="6" t="s">
        <v>5122</v>
      </c>
    </row>
    <row r="7384" customFormat="false" ht="15" hidden="false" customHeight="false" outlineLevel="0" collapsed="false">
      <c r="A7384" s="6" t="s">
        <v>12608</v>
      </c>
      <c r="B7384" s="6" t="s">
        <v>3001</v>
      </c>
      <c r="C7384" s="26" t="n">
        <v>46242</v>
      </c>
      <c r="D7384" s="6" t="s">
        <v>5121</v>
      </c>
      <c r="E7384" s="6" t="s">
        <v>22</v>
      </c>
      <c r="F7384" s="6" t="n">
        <v>1</v>
      </c>
      <c r="G7384" s="10" t="n">
        <v>977</v>
      </c>
      <c r="H7384" s="10" t="n">
        <f aca="false">F7384*G7384</f>
        <v>977</v>
      </c>
      <c r="I7384" s="6" t="s">
        <v>5122</v>
      </c>
    </row>
    <row r="7385" customFormat="false" ht="15" hidden="false" customHeight="false" outlineLevel="0" collapsed="false">
      <c r="A7385" s="6" t="s">
        <v>12609</v>
      </c>
      <c r="B7385" s="6" t="s">
        <v>2773</v>
      </c>
      <c r="C7385" s="26" t="n">
        <v>46242</v>
      </c>
      <c r="D7385" s="6" t="s">
        <v>5163</v>
      </c>
      <c r="E7385" s="6" t="s">
        <v>23</v>
      </c>
      <c r="F7385" s="6" t="n">
        <v>1</v>
      </c>
      <c r="G7385" s="10" t="n">
        <v>705</v>
      </c>
      <c r="H7385" s="10" t="n">
        <f aca="false">F7385*G7385</f>
        <v>705</v>
      </c>
      <c r="I7385" s="6" t="s">
        <v>5125</v>
      </c>
    </row>
    <row r="7386" customFormat="false" ht="15" hidden="false" customHeight="false" outlineLevel="0" collapsed="false">
      <c r="A7386" s="6" t="s">
        <v>12610</v>
      </c>
      <c r="B7386" s="6" t="s">
        <v>3745</v>
      </c>
      <c r="C7386" s="26" t="n">
        <v>46242</v>
      </c>
      <c r="D7386" s="6" t="s">
        <v>5837</v>
      </c>
      <c r="E7386" s="6" t="s">
        <v>21</v>
      </c>
      <c r="F7386" s="6" t="n">
        <v>1</v>
      </c>
      <c r="G7386" s="10" t="n">
        <v>2948</v>
      </c>
      <c r="H7386" s="10" t="n">
        <f aca="false">F7386*G7386</f>
        <v>2948</v>
      </c>
      <c r="I7386" s="6" t="s">
        <v>5148</v>
      </c>
    </row>
    <row r="7387" customFormat="false" ht="15" hidden="false" customHeight="false" outlineLevel="0" collapsed="false">
      <c r="A7387" s="6" t="s">
        <v>12611</v>
      </c>
      <c r="B7387" s="6" t="s">
        <v>2809</v>
      </c>
      <c r="C7387" s="26" t="n">
        <v>46242</v>
      </c>
      <c r="D7387" s="6" t="s">
        <v>5232</v>
      </c>
      <c r="E7387" s="6" t="s">
        <v>23</v>
      </c>
      <c r="F7387" s="6" t="n">
        <v>4</v>
      </c>
      <c r="G7387" s="10" t="n">
        <v>195</v>
      </c>
      <c r="H7387" s="10" t="n">
        <f aca="false">F7387*G7387</f>
        <v>780</v>
      </c>
      <c r="I7387" s="6" t="s">
        <v>5122</v>
      </c>
    </row>
    <row r="7388" customFormat="false" ht="15" hidden="false" customHeight="false" outlineLevel="0" collapsed="false">
      <c r="A7388" s="6" t="s">
        <v>12612</v>
      </c>
      <c r="B7388" s="6" t="s">
        <v>2377</v>
      </c>
      <c r="C7388" s="26" t="n">
        <v>46242</v>
      </c>
      <c r="D7388" s="6" t="s">
        <v>5154</v>
      </c>
      <c r="E7388" s="6" t="s">
        <v>21</v>
      </c>
      <c r="F7388" s="6" t="n">
        <v>1</v>
      </c>
      <c r="G7388" s="10" t="n">
        <v>785</v>
      </c>
      <c r="H7388" s="10" t="n">
        <f aca="false">F7388*G7388</f>
        <v>785</v>
      </c>
      <c r="I7388" s="6" t="s">
        <v>5122</v>
      </c>
    </row>
    <row r="7389" customFormat="false" ht="15" hidden="false" customHeight="false" outlineLevel="0" collapsed="false">
      <c r="A7389" s="6" t="s">
        <v>12613</v>
      </c>
      <c r="B7389" s="6" t="s">
        <v>374</v>
      </c>
      <c r="C7389" s="26" t="n">
        <v>46242</v>
      </c>
      <c r="D7389" s="6" t="s">
        <v>5127</v>
      </c>
      <c r="E7389" s="6" t="s">
        <v>21</v>
      </c>
      <c r="F7389" s="6" t="n">
        <v>1</v>
      </c>
      <c r="G7389" s="10" t="n">
        <v>795</v>
      </c>
      <c r="H7389" s="10" t="n">
        <f aca="false">F7389*G7389</f>
        <v>795</v>
      </c>
      <c r="I7389" s="6" t="s">
        <v>5148</v>
      </c>
    </row>
    <row r="7390" customFormat="false" ht="15" hidden="false" customHeight="false" outlineLevel="0" collapsed="false">
      <c r="A7390" s="6" t="s">
        <v>12614</v>
      </c>
      <c r="B7390" s="6" t="s">
        <v>3927</v>
      </c>
      <c r="C7390" s="26" t="n">
        <v>46242</v>
      </c>
      <c r="D7390" s="6" t="s">
        <v>5171</v>
      </c>
      <c r="E7390" s="6" t="s">
        <v>23</v>
      </c>
      <c r="F7390" s="6" t="n">
        <v>4</v>
      </c>
      <c r="G7390" s="10" t="n">
        <v>661</v>
      </c>
      <c r="H7390" s="10" t="n">
        <f aca="false">F7390*G7390</f>
        <v>2644</v>
      </c>
      <c r="I7390" s="6" t="s">
        <v>5125</v>
      </c>
    </row>
    <row r="7391" customFormat="false" ht="15" hidden="false" customHeight="false" outlineLevel="0" collapsed="false">
      <c r="A7391" s="6" t="s">
        <v>12615</v>
      </c>
      <c r="B7391" s="6" t="s">
        <v>4827</v>
      </c>
      <c r="C7391" s="26" t="n">
        <v>46242</v>
      </c>
      <c r="D7391" s="6" t="s">
        <v>5139</v>
      </c>
      <c r="E7391" s="6" t="s">
        <v>23</v>
      </c>
      <c r="F7391" s="6" t="n">
        <v>5</v>
      </c>
      <c r="G7391" s="10" t="n">
        <v>251</v>
      </c>
      <c r="H7391" s="10" t="n">
        <f aca="false">F7391*G7391</f>
        <v>1255</v>
      </c>
      <c r="I7391" s="6" t="s">
        <v>5122</v>
      </c>
    </row>
    <row r="7392" customFormat="false" ht="15" hidden="false" customHeight="false" outlineLevel="0" collapsed="false">
      <c r="A7392" s="6" t="s">
        <v>12616</v>
      </c>
      <c r="B7392" s="6" t="s">
        <v>3441</v>
      </c>
      <c r="C7392" s="26" t="n">
        <v>46242</v>
      </c>
      <c r="D7392" s="6" t="s">
        <v>5318</v>
      </c>
      <c r="E7392" s="6" t="s">
        <v>20</v>
      </c>
      <c r="F7392" s="6" t="n">
        <v>1</v>
      </c>
      <c r="G7392" s="10" t="n">
        <v>1528</v>
      </c>
      <c r="H7392" s="10" t="n">
        <f aca="false">F7392*G7392</f>
        <v>1528</v>
      </c>
      <c r="I7392" s="6" t="s">
        <v>5130</v>
      </c>
    </row>
    <row r="7393" customFormat="false" ht="15" hidden="false" customHeight="false" outlineLevel="0" collapsed="false">
      <c r="A7393" s="6" t="s">
        <v>12617</v>
      </c>
      <c r="B7393" s="6" t="s">
        <v>1819</v>
      </c>
      <c r="C7393" s="26" t="n">
        <v>46242</v>
      </c>
      <c r="D7393" s="6" t="s">
        <v>5167</v>
      </c>
      <c r="E7393" s="6" t="s">
        <v>22</v>
      </c>
      <c r="F7393" s="6" t="n">
        <v>1</v>
      </c>
      <c r="G7393" s="10" t="n">
        <v>782</v>
      </c>
      <c r="H7393" s="10" t="n">
        <f aca="false">F7393*G7393</f>
        <v>782</v>
      </c>
      <c r="I7393" s="6" t="s">
        <v>5130</v>
      </c>
    </row>
    <row r="7394" customFormat="false" ht="15" hidden="false" customHeight="false" outlineLevel="0" collapsed="false">
      <c r="A7394" s="6" t="s">
        <v>12618</v>
      </c>
      <c r="B7394" s="6" t="s">
        <v>2469</v>
      </c>
      <c r="C7394" s="26" t="n">
        <v>46242</v>
      </c>
      <c r="D7394" s="6" t="s">
        <v>5269</v>
      </c>
      <c r="E7394" s="6" t="s">
        <v>22</v>
      </c>
      <c r="F7394" s="6" t="n">
        <v>2</v>
      </c>
      <c r="G7394" s="10" t="n">
        <v>1271</v>
      </c>
      <c r="H7394" s="10" t="n">
        <f aca="false">F7394*G7394</f>
        <v>2542</v>
      </c>
      <c r="I7394" s="6" t="s">
        <v>5122</v>
      </c>
    </row>
    <row r="7395" customFormat="false" ht="15" hidden="false" customHeight="false" outlineLevel="0" collapsed="false">
      <c r="A7395" s="6" t="s">
        <v>12619</v>
      </c>
      <c r="B7395" s="6" t="s">
        <v>3067</v>
      </c>
      <c r="C7395" s="26" t="n">
        <v>46242</v>
      </c>
      <c r="D7395" s="6" t="s">
        <v>5171</v>
      </c>
      <c r="E7395" s="6" t="s">
        <v>23</v>
      </c>
      <c r="F7395" s="6" t="n">
        <v>2</v>
      </c>
      <c r="G7395" s="10" t="n">
        <v>734</v>
      </c>
      <c r="H7395" s="10" t="n">
        <f aca="false">F7395*G7395</f>
        <v>1468</v>
      </c>
      <c r="I7395" s="6" t="s">
        <v>5122</v>
      </c>
    </row>
    <row r="7396" customFormat="false" ht="15" hidden="false" customHeight="false" outlineLevel="0" collapsed="false">
      <c r="A7396" s="6" t="s">
        <v>12620</v>
      </c>
      <c r="B7396" s="6" t="s">
        <v>4697</v>
      </c>
      <c r="C7396" s="26" t="n">
        <v>46242</v>
      </c>
      <c r="D7396" s="6" t="s">
        <v>5837</v>
      </c>
      <c r="E7396" s="6" t="s">
        <v>21</v>
      </c>
      <c r="F7396" s="6" t="n">
        <v>3</v>
      </c>
      <c r="G7396" s="10" t="n">
        <v>2800</v>
      </c>
      <c r="H7396" s="10" t="n">
        <f aca="false">F7396*G7396</f>
        <v>8400</v>
      </c>
      <c r="I7396" s="6" t="s">
        <v>5148</v>
      </c>
    </row>
    <row r="7397" customFormat="false" ht="15" hidden="false" customHeight="false" outlineLevel="0" collapsed="false">
      <c r="A7397" s="6" t="s">
        <v>12621</v>
      </c>
      <c r="B7397" s="6" t="s">
        <v>4173</v>
      </c>
      <c r="C7397" s="26" t="n">
        <v>46242</v>
      </c>
      <c r="D7397" s="6" t="s">
        <v>5863</v>
      </c>
      <c r="E7397" s="6" t="s">
        <v>20</v>
      </c>
      <c r="F7397" s="6" t="n">
        <v>1</v>
      </c>
      <c r="G7397" s="10" t="n">
        <v>20394</v>
      </c>
      <c r="H7397" s="10" t="n">
        <f aca="false">F7397*G7397</f>
        <v>20394</v>
      </c>
      <c r="I7397" s="6" t="s">
        <v>5122</v>
      </c>
    </row>
    <row r="7398" customFormat="false" ht="15" hidden="false" customHeight="false" outlineLevel="0" collapsed="false">
      <c r="A7398" s="6" t="s">
        <v>12622</v>
      </c>
      <c r="B7398" s="6" t="s">
        <v>3515</v>
      </c>
      <c r="C7398" s="26" t="n">
        <v>46242</v>
      </c>
      <c r="D7398" s="6" t="s">
        <v>5226</v>
      </c>
      <c r="E7398" s="6" t="s">
        <v>24</v>
      </c>
      <c r="F7398" s="6" t="n">
        <v>2</v>
      </c>
      <c r="G7398" s="10" t="n">
        <v>412</v>
      </c>
      <c r="H7398" s="10" t="n">
        <f aca="false">F7398*G7398</f>
        <v>824</v>
      </c>
      <c r="I7398" s="6" t="s">
        <v>5122</v>
      </c>
    </row>
    <row r="7399" customFormat="false" ht="15" hidden="false" customHeight="false" outlineLevel="0" collapsed="false">
      <c r="A7399" s="6" t="s">
        <v>12623</v>
      </c>
      <c r="B7399" s="6" t="s">
        <v>2131</v>
      </c>
      <c r="C7399" s="26" t="n">
        <v>46242</v>
      </c>
      <c r="D7399" s="6" t="s">
        <v>5167</v>
      </c>
      <c r="E7399" s="6" t="s">
        <v>22</v>
      </c>
      <c r="F7399" s="6" t="n">
        <v>2</v>
      </c>
      <c r="G7399" s="10" t="n">
        <v>782</v>
      </c>
      <c r="H7399" s="10" t="n">
        <f aca="false">F7399*G7399</f>
        <v>1564</v>
      </c>
      <c r="I7399" s="6" t="s">
        <v>5125</v>
      </c>
    </row>
    <row r="7400" customFormat="false" ht="15" hidden="false" customHeight="false" outlineLevel="0" collapsed="false">
      <c r="A7400" s="6" t="s">
        <v>12624</v>
      </c>
      <c r="B7400" s="6" t="s">
        <v>4145</v>
      </c>
      <c r="C7400" s="26" t="n">
        <v>46242</v>
      </c>
      <c r="D7400" s="6" t="s">
        <v>5232</v>
      </c>
      <c r="E7400" s="6" t="s">
        <v>23</v>
      </c>
      <c r="F7400" s="6" t="n">
        <v>5</v>
      </c>
      <c r="G7400" s="10" t="n">
        <v>206</v>
      </c>
      <c r="H7400" s="10" t="n">
        <f aca="false">F7400*G7400</f>
        <v>1030</v>
      </c>
      <c r="I7400" s="6" t="s">
        <v>5122</v>
      </c>
    </row>
    <row r="7401" customFormat="false" ht="15" hidden="false" customHeight="false" outlineLevel="0" collapsed="false">
      <c r="A7401" s="6" t="s">
        <v>12625</v>
      </c>
      <c r="B7401" s="6" t="s">
        <v>231</v>
      </c>
      <c r="C7401" s="26" t="n">
        <v>46242</v>
      </c>
      <c r="D7401" s="6" t="s">
        <v>5188</v>
      </c>
      <c r="E7401" s="6" t="s">
        <v>24</v>
      </c>
      <c r="F7401" s="6" t="n">
        <v>1</v>
      </c>
      <c r="G7401" s="10" t="n">
        <v>916</v>
      </c>
      <c r="H7401" s="10" t="n">
        <f aca="false">F7401*G7401</f>
        <v>916</v>
      </c>
      <c r="I7401" s="6" t="s">
        <v>5148</v>
      </c>
    </row>
    <row r="7402" customFormat="false" ht="15" hidden="false" customHeight="false" outlineLevel="0" collapsed="false">
      <c r="A7402" s="6" t="s">
        <v>12626</v>
      </c>
      <c r="B7402" s="6" t="s">
        <v>4935</v>
      </c>
      <c r="C7402" s="26" t="n">
        <v>46242</v>
      </c>
      <c r="D7402" s="6" t="s">
        <v>5165</v>
      </c>
      <c r="E7402" s="6" t="s">
        <v>22</v>
      </c>
      <c r="F7402" s="6" t="n">
        <v>1</v>
      </c>
      <c r="G7402" s="10" t="n">
        <v>977</v>
      </c>
      <c r="H7402" s="10" t="n">
        <f aca="false">F7402*G7402</f>
        <v>977</v>
      </c>
      <c r="I7402" s="6" t="s">
        <v>5122</v>
      </c>
    </row>
    <row r="7403" customFormat="false" ht="15" hidden="false" customHeight="false" outlineLevel="0" collapsed="false">
      <c r="A7403" s="6" t="s">
        <v>12627</v>
      </c>
      <c r="B7403" s="6" t="s">
        <v>4629</v>
      </c>
      <c r="C7403" s="26" t="n">
        <v>46242</v>
      </c>
      <c r="D7403" s="6" t="s">
        <v>6114</v>
      </c>
      <c r="E7403" s="6" t="s">
        <v>20</v>
      </c>
      <c r="F7403" s="6" t="n">
        <v>1</v>
      </c>
      <c r="G7403" s="10" t="n">
        <v>13256</v>
      </c>
      <c r="H7403" s="10" t="n">
        <f aca="false">F7403*G7403</f>
        <v>13256</v>
      </c>
      <c r="I7403" s="6" t="s">
        <v>5148</v>
      </c>
    </row>
    <row r="7404" customFormat="false" ht="15" hidden="false" customHeight="false" outlineLevel="0" collapsed="false">
      <c r="A7404" s="6" t="s">
        <v>12628</v>
      </c>
      <c r="B7404" s="6" t="s">
        <v>396</v>
      </c>
      <c r="C7404" s="26" t="n">
        <v>46242</v>
      </c>
      <c r="D7404" s="6" t="s">
        <v>5197</v>
      </c>
      <c r="E7404" s="6" t="s">
        <v>21</v>
      </c>
      <c r="F7404" s="6" t="n">
        <v>1</v>
      </c>
      <c r="G7404" s="10" t="n">
        <v>1080</v>
      </c>
      <c r="H7404" s="10" t="n">
        <f aca="false">F7404*G7404</f>
        <v>1080</v>
      </c>
      <c r="I7404" s="6" t="s">
        <v>5122</v>
      </c>
    </row>
    <row r="7405" customFormat="false" ht="15" hidden="false" customHeight="false" outlineLevel="0" collapsed="false">
      <c r="A7405" s="6" t="s">
        <v>12629</v>
      </c>
      <c r="B7405" s="6" t="s">
        <v>4483</v>
      </c>
      <c r="C7405" s="26" t="n">
        <v>46242</v>
      </c>
      <c r="D7405" s="6" t="s">
        <v>5171</v>
      </c>
      <c r="E7405" s="6" t="s">
        <v>23</v>
      </c>
      <c r="F7405" s="6" t="n">
        <v>1</v>
      </c>
      <c r="G7405" s="10" t="n">
        <v>697</v>
      </c>
      <c r="H7405" s="10" t="n">
        <f aca="false">F7405*G7405</f>
        <v>697</v>
      </c>
      <c r="I7405" s="6" t="s">
        <v>5130</v>
      </c>
    </row>
    <row r="7406" customFormat="false" ht="15" hidden="false" customHeight="false" outlineLevel="0" collapsed="false">
      <c r="A7406" s="6" t="s">
        <v>12630</v>
      </c>
      <c r="B7406" s="6" t="s">
        <v>2409</v>
      </c>
      <c r="C7406" s="26" t="n">
        <v>46242</v>
      </c>
      <c r="D7406" s="6" t="s">
        <v>5171</v>
      </c>
      <c r="E7406" s="6" t="s">
        <v>23</v>
      </c>
      <c r="F7406" s="6" t="n">
        <v>2</v>
      </c>
      <c r="G7406" s="10" t="n">
        <v>734</v>
      </c>
      <c r="H7406" s="10" t="n">
        <f aca="false">F7406*G7406</f>
        <v>1468</v>
      </c>
      <c r="I7406" s="6" t="s">
        <v>5122</v>
      </c>
    </row>
    <row r="7407" customFormat="false" ht="15" hidden="false" customHeight="false" outlineLevel="0" collapsed="false">
      <c r="A7407" s="6" t="s">
        <v>12631</v>
      </c>
      <c r="B7407" s="6" t="s">
        <v>1409</v>
      </c>
      <c r="C7407" s="26" t="n">
        <v>46242</v>
      </c>
      <c r="D7407" s="6" t="s">
        <v>5143</v>
      </c>
      <c r="E7407" s="6" t="s">
        <v>21</v>
      </c>
      <c r="F7407" s="6" t="n">
        <v>1</v>
      </c>
      <c r="G7407" s="10" t="n">
        <v>1061</v>
      </c>
      <c r="H7407" s="10" t="n">
        <f aca="false">F7407*G7407</f>
        <v>1061</v>
      </c>
      <c r="I7407" s="6" t="s">
        <v>5148</v>
      </c>
    </row>
    <row r="7408" customFormat="false" ht="15" hidden="false" customHeight="false" outlineLevel="0" collapsed="false">
      <c r="A7408" s="6" t="s">
        <v>12632</v>
      </c>
      <c r="B7408" s="6" t="s">
        <v>837</v>
      </c>
      <c r="C7408" s="26" t="n">
        <v>46242</v>
      </c>
      <c r="D7408" s="6" t="s">
        <v>5458</v>
      </c>
      <c r="E7408" s="6" t="s">
        <v>24</v>
      </c>
      <c r="F7408" s="6" t="n">
        <v>2</v>
      </c>
      <c r="G7408" s="10" t="n">
        <v>503</v>
      </c>
      <c r="H7408" s="10" t="n">
        <f aca="false">F7408*G7408</f>
        <v>1006</v>
      </c>
      <c r="I7408" s="6" t="s">
        <v>5125</v>
      </c>
    </row>
    <row r="7409" customFormat="false" ht="15" hidden="false" customHeight="false" outlineLevel="0" collapsed="false">
      <c r="A7409" s="6" t="s">
        <v>12633</v>
      </c>
      <c r="B7409" s="6" t="s">
        <v>138</v>
      </c>
      <c r="C7409" s="26" t="n">
        <v>46242</v>
      </c>
      <c r="D7409" s="6" t="s">
        <v>5145</v>
      </c>
      <c r="E7409" s="6" t="s">
        <v>21</v>
      </c>
      <c r="F7409" s="6" t="n">
        <v>1</v>
      </c>
      <c r="G7409" s="10" t="n">
        <v>1149</v>
      </c>
      <c r="H7409" s="10" t="n">
        <f aca="false">F7409*G7409</f>
        <v>1149</v>
      </c>
      <c r="I7409" s="6" t="s">
        <v>5148</v>
      </c>
    </row>
    <row r="7410" customFormat="false" ht="15" hidden="false" customHeight="false" outlineLevel="0" collapsed="false">
      <c r="A7410" s="6" t="s">
        <v>12634</v>
      </c>
      <c r="B7410" s="6" t="s">
        <v>4333</v>
      </c>
      <c r="C7410" s="26" t="n">
        <v>46242</v>
      </c>
      <c r="D7410" s="6" t="s">
        <v>5281</v>
      </c>
      <c r="E7410" s="6" t="s">
        <v>24</v>
      </c>
      <c r="F7410" s="6" t="n">
        <v>1</v>
      </c>
      <c r="G7410" s="10" t="n">
        <v>733</v>
      </c>
      <c r="H7410" s="10" t="n">
        <f aca="false">F7410*G7410</f>
        <v>733</v>
      </c>
      <c r="I7410" s="6" t="s">
        <v>5148</v>
      </c>
    </row>
    <row r="7411" customFormat="false" ht="15" hidden="false" customHeight="false" outlineLevel="0" collapsed="false">
      <c r="A7411" s="6" t="s">
        <v>12635</v>
      </c>
      <c r="B7411" s="6" t="s">
        <v>2367</v>
      </c>
      <c r="C7411" s="26" t="n">
        <v>46242</v>
      </c>
      <c r="D7411" s="6" t="s">
        <v>5129</v>
      </c>
      <c r="E7411" s="6" t="s">
        <v>21</v>
      </c>
      <c r="F7411" s="6" t="n">
        <v>3</v>
      </c>
      <c r="G7411" s="10" t="n">
        <v>589</v>
      </c>
      <c r="H7411" s="10" t="n">
        <f aca="false">F7411*G7411</f>
        <v>1767</v>
      </c>
      <c r="I7411" s="6" t="s">
        <v>5130</v>
      </c>
    </row>
    <row r="7412" customFormat="false" ht="15" hidden="false" customHeight="false" outlineLevel="0" collapsed="false">
      <c r="A7412" s="6" t="s">
        <v>12636</v>
      </c>
      <c r="B7412" s="6" t="s">
        <v>905</v>
      </c>
      <c r="C7412" s="26" t="n">
        <v>46242</v>
      </c>
      <c r="D7412" s="6" t="s">
        <v>5145</v>
      </c>
      <c r="E7412" s="6" t="s">
        <v>21</v>
      </c>
      <c r="F7412" s="6" t="n">
        <v>3</v>
      </c>
      <c r="G7412" s="10" t="n">
        <v>1213</v>
      </c>
      <c r="H7412" s="10" t="n">
        <f aca="false">F7412*G7412</f>
        <v>3639</v>
      </c>
      <c r="I7412" s="6" t="s">
        <v>5148</v>
      </c>
    </row>
    <row r="7413" customFormat="false" ht="15" hidden="false" customHeight="false" outlineLevel="0" collapsed="false">
      <c r="A7413" s="6" t="s">
        <v>12637</v>
      </c>
      <c r="B7413" s="6" t="s">
        <v>1405</v>
      </c>
      <c r="C7413" s="26" t="n">
        <v>46242</v>
      </c>
      <c r="D7413" s="6" t="s">
        <v>5167</v>
      </c>
      <c r="E7413" s="6" t="s">
        <v>22</v>
      </c>
      <c r="F7413" s="6" t="n">
        <v>2</v>
      </c>
      <c r="G7413" s="10" t="n">
        <v>782</v>
      </c>
      <c r="H7413" s="10" t="n">
        <f aca="false">F7413*G7413</f>
        <v>1564</v>
      </c>
      <c r="I7413" s="6" t="s">
        <v>5122</v>
      </c>
    </row>
    <row r="7414" customFormat="false" ht="15" hidden="false" customHeight="false" outlineLevel="0" collapsed="false">
      <c r="A7414" s="6" t="s">
        <v>12638</v>
      </c>
      <c r="B7414" s="6" t="s">
        <v>991</v>
      </c>
      <c r="C7414" s="26" t="n">
        <v>46242</v>
      </c>
      <c r="D7414" s="6" t="s">
        <v>5691</v>
      </c>
      <c r="E7414" s="6" t="s">
        <v>21</v>
      </c>
      <c r="F7414" s="6" t="n">
        <v>1</v>
      </c>
      <c r="G7414" s="10" t="n">
        <v>5307</v>
      </c>
      <c r="H7414" s="10" t="n">
        <f aca="false">F7414*G7414</f>
        <v>5307</v>
      </c>
      <c r="I7414" s="6" t="s">
        <v>5122</v>
      </c>
    </row>
    <row r="7415" customFormat="false" ht="15" hidden="false" customHeight="false" outlineLevel="0" collapsed="false">
      <c r="A7415" s="6" t="s">
        <v>12639</v>
      </c>
      <c r="B7415" s="6" t="s">
        <v>4587</v>
      </c>
      <c r="C7415" s="26" t="n">
        <v>46242</v>
      </c>
      <c r="D7415" s="6" t="s">
        <v>5237</v>
      </c>
      <c r="E7415" s="6" t="s">
        <v>24</v>
      </c>
      <c r="F7415" s="6" t="n">
        <v>1</v>
      </c>
      <c r="G7415" s="10" t="n">
        <v>1834</v>
      </c>
      <c r="H7415" s="10" t="n">
        <f aca="false">F7415*G7415</f>
        <v>1834</v>
      </c>
      <c r="I7415" s="6" t="s">
        <v>5125</v>
      </c>
    </row>
    <row r="7416" customFormat="false" ht="15" hidden="false" customHeight="false" outlineLevel="0" collapsed="false">
      <c r="A7416" s="6" t="s">
        <v>12640</v>
      </c>
      <c r="B7416" s="6" t="s">
        <v>3567</v>
      </c>
      <c r="C7416" s="26" t="n">
        <v>46242</v>
      </c>
      <c r="D7416" s="6" t="s">
        <v>5326</v>
      </c>
      <c r="E7416" s="6" t="s">
        <v>22</v>
      </c>
      <c r="F7416" s="6" t="n">
        <v>1</v>
      </c>
      <c r="G7416" s="10" t="n">
        <v>1466</v>
      </c>
      <c r="H7416" s="10" t="n">
        <f aca="false">F7416*G7416</f>
        <v>1466</v>
      </c>
      <c r="I7416" s="6" t="s">
        <v>5122</v>
      </c>
    </row>
    <row r="7417" customFormat="false" ht="15" hidden="false" customHeight="false" outlineLevel="0" collapsed="false">
      <c r="A7417" s="6" t="s">
        <v>12641</v>
      </c>
      <c r="B7417" s="6" t="s">
        <v>3211</v>
      </c>
      <c r="C7417" s="26" t="n">
        <v>46242</v>
      </c>
      <c r="D7417" s="6" t="s">
        <v>5561</v>
      </c>
      <c r="E7417" s="6" t="s">
        <v>20</v>
      </c>
      <c r="F7417" s="6" t="n">
        <v>1</v>
      </c>
      <c r="G7417" s="10" t="n">
        <v>3364</v>
      </c>
      <c r="H7417" s="10" t="n">
        <f aca="false">F7417*G7417</f>
        <v>3364</v>
      </c>
      <c r="I7417" s="6" t="s">
        <v>5122</v>
      </c>
    </row>
    <row r="7418" customFormat="false" ht="15" hidden="false" customHeight="false" outlineLevel="0" collapsed="false">
      <c r="A7418" s="6" t="s">
        <v>12642</v>
      </c>
      <c r="B7418" s="6" t="s">
        <v>1093</v>
      </c>
      <c r="C7418" s="26" t="n">
        <v>46242</v>
      </c>
      <c r="D7418" s="6" t="s">
        <v>5242</v>
      </c>
      <c r="E7418" s="6" t="s">
        <v>23</v>
      </c>
      <c r="F7418" s="6" t="n">
        <v>2</v>
      </c>
      <c r="G7418" s="10" t="n">
        <v>372</v>
      </c>
      <c r="H7418" s="10" t="n">
        <f aca="false">F7418*G7418</f>
        <v>744</v>
      </c>
      <c r="I7418" s="6" t="s">
        <v>5122</v>
      </c>
    </row>
    <row r="7419" customFormat="false" ht="15" hidden="false" customHeight="false" outlineLevel="0" collapsed="false">
      <c r="A7419" s="6" t="s">
        <v>12643</v>
      </c>
      <c r="B7419" s="6" t="s">
        <v>2909</v>
      </c>
      <c r="C7419" s="26" t="n">
        <v>46242</v>
      </c>
      <c r="D7419" s="6" t="s">
        <v>5216</v>
      </c>
      <c r="E7419" s="6" t="s">
        <v>23</v>
      </c>
      <c r="F7419" s="6" t="n">
        <v>3</v>
      </c>
      <c r="G7419" s="10" t="n">
        <v>587</v>
      </c>
      <c r="H7419" s="10" t="n">
        <f aca="false">F7419*G7419</f>
        <v>1761</v>
      </c>
      <c r="I7419" s="6" t="s">
        <v>5122</v>
      </c>
    </row>
    <row r="7420" customFormat="false" ht="15" hidden="false" customHeight="false" outlineLevel="0" collapsed="false">
      <c r="A7420" s="6" t="s">
        <v>12644</v>
      </c>
      <c r="B7420" s="6" t="s">
        <v>4617</v>
      </c>
      <c r="C7420" s="26" t="n">
        <v>46242</v>
      </c>
      <c r="D7420" s="6" t="s">
        <v>5214</v>
      </c>
      <c r="E7420" s="6" t="s">
        <v>20</v>
      </c>
      <c r="F7420" s="6" t="n">
        <v>1</v>
      </c>
      <c r="G7420" s="10" t="n">
        <v>1937</v>
      </c>
      <c r="H7420" s="10" t="n">
        <f aca="false">F7420*G7420</f>
        <v>1937</v>
      </c>
      <c r="I7420" s="6" t="s">
        <v>5125</v>
      </c>
    </row>
    <row r="7421" customFormat="false" ht="15" hidden="false" customHeight="false" outlineLevel="0" collapsed="false">
      <c r="A7421" s="6" t="s">
        <v>12645</v>
      </c>
      <c r="B7421" s="6" t="s">
        <v>1841</v>
      </c>
      <c r="C7421" s="26" t="n">
        <v>46242</v>
      </c>
      <c r="D7421" s="6" t="s">
        <v>5316</v>
      </c>
      <c r="E7421" s="6" t="s">
        <v>23</v>
      </c>
      <c r="F7421" s="6" t="n">
        <v>3</v>
      </c>
      <c r="G7421" s="10" t="n">
        <v>260</v>
      </c>
      <c r="H7421" s="10" t="n">
        <f aca="false">F7421*G7421</f>
        <v>780</v>
      </c>
      <c r="I7421" s="6" t="s">
        <v>5130</v>
      </c>
    </row>
    <row r="7422" customFormat="false" ht="15" hidden="false" customHeight="false" outlineLevel="0" collapsed="false">
      <c r="A7422" s="6" t="s">
        <v>12646</v>
      </c>
      <c r="B7422" s="6" t="s">
        <v>3873</v>
      </c>
      <c r="C7422" s="26" t="n">
        <v>46242</v>
      </c>
      <c r="D7422" s="6" t="s">
        <v>5167</v>
      </c>
      <c r="E7422" s="6" t="s">
        <v>22</v>
      </c>
      <c r="F7422" s="6" t="n">
        <v>1</v>
      </c>
      <c r="G7422" s="10" t="n">
        <v>703</v>
      </c>
      <c r="H7422" s="10" t="n">
        <f aca="false">F7422*G7422</f>
        <v>703</v>
      </c>
      <c r="I7422" s="6" t="s">
        <v>5122</v>
      </c>
    </row>
    <row r="7423" customFormat="false" ht="15" hidden="false" customHeight="false" outlineLevel="0" collapsed="false">
      <c r="A7423" s="6" t="s">
        <v>12647</v>
      </c>
      <c r="B7423" s="6" t="s">
        <v>1803</v>
      </c>
      <c r="C7423" s="26" t="n">
        <v>46242</v>
      </c>
      <c r="D7423" s="6" t="s">
        <v>5132</v>
      </c>
      <c r="E7423" s="6" t="s">
        <v>23</v>
      </c>
      <c r="F7423" s="6" t="n">
        <v>3</v>
      </c>
      <c r="G7423" s="10" t="n">
        <v>342</v>
      </c>
      <c r="H7423" s="10" t="n">
        <f aca="false">F7423*G7423</f>
        <v>1026</v>
      </c>
      <c r="I7423" s="6" t="s">
        <v>5130</v>
      </c>
    </row>
    <row r="7424" customFormat="false" ht="15" hidden="false" customHeight="false" outlineLevel="0" collapsed="false">
      <c r="A7424" s="6" t="s">
        <v>12648</v>
      </c>
      <c r="B7424" s="6" t="s">
        <v>4165</v>
      </c>
      <c r="C7424" s="26" t="n">
        <v>46242</v>
      </c>
      <c r="D7424" s="6" t="s">
        <v>5188</v>
      </c>
      <c r="E7424" s="6" t="s">
        <v>24</v>
      </c>
      <c r="F7424" s="6" t="n">
        <v>1</v>
      </c>
      <c r="G7424" s="10" t="n">
        <v>1018</v>
      </c>
      <c r="H7424" s="10" t="n">
        <f aca="false">F7424*G7424</f>
        <v>1018</v>
      </c>
      <c r="I7424" s="6" t="s">
        <v>5173</v>
      </c>
    </row>
    <row r="7425" customFormat="false" ht="15" hidden="false" customHeight="false" outlineLevel="0" collapsed="false">
      <c r="A7425" s="6" t="s">
        <v>12649</v>
      </c>
      <c r="B7425" s="6" t="s">
        <v>3399</v>
      </c>
      <c r="C7425" s="26" t="n">
        <v>46242</v>
      </c>
      <c r="D7425" s="6" t="s">
        <v>5167</v>
      </c>
      <c r="E7425" s="6" t="s">
        <v>22</v>
      </c>
      <c r="F7425" s="6" t="n">
        <v>2</v>
      </c>
      <c r="G7425" s="10" t="n">
        <v>703</v>
      </c>
      <c r="H7425" s="10" t="n">
        <f aca="false">F7425*G7425</f>
        <v>1406</v>
      </c>
      <c r="I7425" s="6" t="s">
        <v>5148</v>
      </c>
    </row>
    <row r="7426" customFormat="false" ht="15" hidden="false" customHeight="false" outlineLevel="0" collapsed="false">
      <c r="A7426" s="6" t="s">
        <v>12650</v>
      </c>
      <c r="B7426" s="6" t="s">
        <v>1725</v>
      </c>
      <c r="C7426" s="26" t="n">
        <v>46242</v>
      </c>
      <c r="D7426" s="6" t="s">
        <v>5242</v>
      </c>
      <c r="E7426" s="6" t="s">
        <v>23</v>
      </c>
      <c r="F7426" s="6" t="n">
        <v>1</v>
      </c>
      <c r="G7426" s="10" t="n">
        <v>354</v>
      </c>
      <c r="H7426" s="10" t="n">
        <f aca="false">F7426*G7426</f>
        <v>354</v>
      </c>
      <c r="I7426" s="6" t="s">
        <v>5122</v>
      </c>
    </row>
    <row r="7427" customFormat="false" ht="15" hidden="false" customHeight="false" outlineLevel="0" collapsed="false">
      <c r="A7427" s="6" t="s">
        <v>12651</v>
      </c>
      <c r="B7427" s="6" t="s">
        <v>2887</v>
      </c>
      <c r="C7427" s="26" t="n">
        <v>46243</v>
      </c>
      <c r="D7427" s="6" t="s">
        <v>5273</v>
      </c>
      <c r="E7427" s="6" t="s">
        <v>23</v>
      </c>
      <c r="F7427" s="6" t="n">
        <v>2</v>
      </c>
      <c r="G7427" s="10" t="n">
        <v>240</v>
      </c>
      <c r="H7427" s="10" t="n">
        <f aca="false">F7427*G7427</f>
        <v>480</v>
      </c>
      <c r="I7427" s="6" t="s">
        <v>5148</v>
      </c>
    </row>
    <row r="7428" customFormat="false" ht="15" hidden="false" customHeight="false" outlineLevel="0" collapsed="false">
      <c r="A7428" s="6" t="s">
        <v>12652</v>
      </c>
      <c r="B7428" s="6" t="s">
        <v>3153</v>
      </c>
      <c r="C7428" s="26" t="n">
        <v>46243</v>
      </c>
      <c r="D7428" s="6" t="s">
        <v>5313</v>
      </c>
      <c r="E7428" s="6" t="s">
        <v>22</v>
      </c>
      <c r="F7428" s="6" t="n">
        <v>2</v>
      </c>
      <c r="G7428" s="10" t="n">
        <v>1760</v>
      </c>
      <c r="H7428" s="10" t="n">
        <f aca="false">F7428*G7428</f>
        <v>3520</v>
      </c>
      <c r="I7428" s="6" t="s">
        <v>5122</v>
      </c>
    </row>
    <row r="7429" customFormat="false" ht="15" hidden="false" customHeight="false" outlineLevel="0" collapsed="false">
      <c r="A7429" s="6" t="s">
        <v>12653</v>
      </c>
      <c r="B7429" s="6" t="s">
        <v>2597</v>
      </c>
      <c r="C7429" s="26" t="n">
        <v>46243</v>
      </c>
      <c r="D7429" s="6" t="s">
        <v>5171</v>
      </c>
      <c r="E7429" s="6" t="s">
        <v>23</v>
      </c>
      <c r="F7429" s="6" t="n">
        <v>3</v>
      </c>
      <c r="G7429" s="10" t="n">
        <v>661</v>
      </c>
      <c r="H7429" s="10" t="n">
        <f aca="false">F7429*G7429</f>
        <v>1983</v>
      </c>
      <c r="I7429" s="6" t="s">
        <v>5148</v>
      </c>
    </row>
    <row r="7430" customFormat="false" ht="15" hidden="false" customHeight="false" outlineLevel="0" collapsed="false">
      <c r="A7430" s="6" t="s">
        <v>12654</v>
      </c>
      <c r="B7430" s="6" t="s">
        <v>1705</v>
      </c>
      <c r="C7430" s="26" t="n">
        <v>46243</v>
      </c>
      <c r="D7430" s="6" t="s">
        <v>5188</v>
      </c>
      <c r="E7430" s="6" t="s">
        <v>24</v>
      </c>
      <c r="F7430" s="6" t="n">
        <v>3</v>
      </c>
      <c r="G7430" s="10" t="n">
        <v>1018</v>
      </c>
      <c r="H7430" s="10" t="n">
        <f aca="false">F7430*G7430</f>
        <v>3054</v>
      </c>
      <c r="I7430" s="6" t="s">
        <v>5122</v>
      </c>
    </row>
    <row r="7431" customFormat="false" ht="15" hidden="false" customHeight="false" outlineLevel="0" collapsed="false">
      <c r="A7431" s="6" t="s">
        <v>12655</v>
      </c>
      <c r="B7431" s="6" t="s">
        <v>4787</v>
      </c>
      <c r="C7431" s="26" t="n">
        <v>46243</v>
      </c>
      <c r="D7431" s="6" t="s">
        <v>5141</v>
      </c>
      <c r="E7431" s="6" t="s">
        <v>20</v>
      </c>
      <c r="F7431" s="6" t="n">
        <v>1</v>
      </c>
      <c r="G7431" s="10" t="n">
        <v>1835</v>
      </c>
      <c r="H7431" s="10" t="n">
        <f aca="false">F7431*G7431</f>
        <v>1835</v>
      </c>
      <c r="I7431" s="6" t="s">
        <v>5125</v>
      </c>
    </row>
    <row r="7432" customFormat="false" ht="15" hidden="false" customHeight="false" outlineLevel="0" collapsed="false">
      <c r="A7432" s="6" t="s">
        <v>12656</v>
      </c>
      <c r="B7432" s="6" t="s">
        <v>2155</v>
      </c>
      <c r="C7432" s="26" t="n">
        <v>46243</v>
      </c>
      <c r="D7432" s="6" t="s">
        <v>5121</v>
      </c>
      <c r="E7432" s="6" t="s">
        <v>22</v>
      </c>
      <c r="F7432" s="6" t="n">
        <v>2</v>
      </c>
      <c r="G7432" s="10" t="n">
        <v>977</v>
      </c>
      <c r="H7432" s="10" t="n">
        <f aca="false">F7432*G7432</f>
        <v>1954</v>
      </c>
      <c r="I7432" s="6" t="s">
        <v>5130</v>
      </c>
    </row>
    <row r="7433" customFormat="false" ht="15" hidden="false" customHeight="false" outlineLevel="0" collapsed="false">
      <c r="A7433" s="6" t="s">
        <v>12657</v>
      </c>
      <c r="B7433" s="6" t="s">
        <v>4939</v>
      </c>
      <c r="C7433" s="26" t="n">
        <v>46243</v>
      </c>
      <c r="D7433" s="6" t="s">
        <v>5167</v>
      </c>
      <c r="E7433" s="6" t="s">
        <v>22</v>
      </c>
      <c r="F7433" s="6" t="n">
        <v>3</v>
      </c>
      <c r="G7433" s="10" t="n">
        <v>782</v>
      </c>
      <c r="H7433" s="10" t="n">
        <f aca="false">F7433*G7433</f>
        <v>2346</v>
      </c>
      <c r="I7433" s="6" t="s">
        <v>5125</v>
      </c>
    </row>
    <row r="7434" customFormat="false" ht="15" hidden="false" customHeight="false" outlineLevel="0" collapsed="false">
      <c r="A7434" s="6" t="s">
        <v>12658</v>
      </c>
      <c r="B7434" s="6" t="s">
        <v>1495</v>
      </c>
      <c r="C7434" s="26" t="n">
        <v>46243</v>
      </c>
      <c r="D7434" s="6" t="s">
        <v>5305</v>
      </c>
      <c r="E7434" s="6" t="s">
        <v>20</v>
      </c>
      <c r="F7434" s="6" t="n">
        <v>2</v>
      </c>
      <c r="G7434" s="10" t="n">
        <v>1631</v>
      </c>
      <c r="H7434" s="10" t="n">
        <f aca="false">F7434*G7434</f>
        <v>3262</v>
      </c>
      <c r="I7434" s="6" t="s">
        <v>5125</v>
      </c>
    </row>
    <row r="7435" customFormat="false" ht="15" hidden="false" customHeight="false" outlineLevel="0" collapsed="false">
      <c r="A7435" s="6" t="s">
        <v>12659</v>
      </c>
      <c r="B7435" s="6" t="s">
        <v>997</v>
      </c>
      <c r="C7435" s="26" t="n">
        <v>46243</v>
      </c>
      <c r="D7435" s="6" t="s">
        <v>5214</v>
      </c>
      <c r="E7435" s="6" t="s">
        <v>20</v>
      </c>
      <c r="F7435" s="6" t="n">
        <v>1</v>
      </c>
      <c r="G7435" s="10" t="n">
        <v>2039</v>
      </c>
      <c r="H7435" s="10" t="n">
        <f aca="false">F7435*G7435</f>
        <v>2039</v>
      </c>
      <c r="I7435" s="6" t="s">
        <v>5122</v>
      </c>
    </row>
    <row r="7436" customFormat="false" ht="15" hidden="false" customHeight="false" outlineLevel="0" collapsed="false">
      <c r="A7436" s="6" t="s">
        <v>12660</v>
      </c>
      <c r="B7436" s="6" t="s">
        <v>2669</v>
      </c>
      <c r="C7436" s="26" t="n">
        <v>46243</v>
      </c>
      <c r="D7436" s="6" t="s">
        <v>5163</v>
      </c>
      <c r="E7436" s="6" t="s">
        <v>23</v>
      </c>
      <c r="F7436" s="6" t="n">
        <v>3</v>
      </c>
      <c r="G7436" s="10" t="n">
        <v>783</v>
      </c>
      <c r="H7436" s="10" t="n">
        <f aca="false">F7436*G7436</f>
        <v>2349</v>
      </c>
      <c r="I7436" s="6" t="s">
        <v>5122</v>
      </c>
    </row>
    <row r="7437" customFormat="false" ht="15" hidden="false" customHeight="false" outlineLevel="0" collapsed="false">
      <c r="A7437" s="6" t="s">
        <v>12661</v>
      </c>
      <c r="B7437" s="6" t="s">
        <v>202</v>
      </c>
      <c r="C7437" s="26" t="n">
        <v>46243</v>
      </c>
      <c r="D7437" s="6" t="s">
        <v>5683</v>
      </c>
      <c r="E7437" s="6" t="s">
        <v>22</v>
      </c>
      <c r="F7437" s="6" t="n">
        <v>2</v>
      </c>
      <c r="G7437" s="10" t="n">
        <v>1760</v>
      </c>
      <c r="H7437" s="10" t="n">
        <f aca="false">F7437*G7437</f>
        <v>3520</v>
      </c>
      <c r="I7437" s="6" t="s">
        <v>5148</v>
      </c>
    </row>
    <row r="7438" customFormat="false" ht="15" hidden="false" customHeight="false" outlineLevel="0" collapsed="false">
      <c r="A7438" s="6" t="s">
        <v>12662</v>
      </c>
      <c r="B7438" s="6" t="s">
        <v>2969</v>
      </c>
      <c r="C7438" s="26" t="n">
        <v>46243</v>
      </c>
      <c r="D7438" s="6" t="s">
        <v>5132</v>
      </c>
      <c r="E7438" s="6" t="s">
        <v>23</v>
      </c>
      <c r="F7438" s="6" t="n">
        <v>4</v>
      </c>
      <c r="G7438" s="10" t="n">
        <v>342</v>
      </c>
      <c r="H7438" s="10" t="n">
        <f aca="false">F7438*G7438</f>
        <v>1368</v>
      </c>
      <c r="I7438" s="6" t="s">
        <v>5130</v>
      </c>
    </row>
    <row r="7439" customFormat="false" ht="15" hidden="false" customHeight="false" outlineLevel="0" collapsed="false">
      <c r="A7439" s="6" t="s">
        <v>12663</v>
      </c>
      <c r="B7439" s="6" t="s">
        <v>4759</v>
      </c>
      <c r="C7439" s="26" t="n">
        <v>46243</v>
      </c>
      <c r="D7439" s="6" t="s">
        <v>5245</v>
      </c>
      <c r="E7439" s="6" t="s">
        <v>21</v>
      </c>
      <c r="F7439" s="6" t="n">
        <v>1</v>
      </c>
      <c r="G7439" s="10" t="n">
        <v>2456</v>
      </c>
      <c r="H7439" s="10" t="n">
        <f aca="false">F7439*G7439</f>
        <v>2456</v>
      </c>
      <c r="I7439" s="6" t="s">
        <v>5148</v>
      </c>
    </row>
    <row r="7440" customFormat="false" ht="15" hidden="false" customHeight="false" outlineLevel="0" collapsed="false">
      <c r="A7440" s="6" t="s">
        <v>12664</v>
      </c>
      <c r="B7440" s="6" t="s">
        <v>1263</v>
      </c>
      <c r="C7440" s="26" t="n">
        <v>46243</v>
      </c>
      <c r="D7440" s="6" t="s">
        <v>5326</v>
      </c>
      <c r="E7440" s="6" t="s">
        <v>22</v>
      </c>
      <c r="F7440" s="6" t="n">
        <v>2</v>
      </c>
      <c r="G7440" s="10" t="n">
        <v>1466</v>
      </c>
      <c r="H7440" s="10" t="n">
        <f aca="false">F7440*G7440</f>
        <v>2932</v>
      </c>
      <c r="I7440" s="6" t="s">
        <v>5122</v>
      </c>
    </row>
    <row r="7441" customFormat="false" ht="15" hidden="false" customHeight="false" outlineLevel="0" collapsed="false">
      <c r="A7441" s="6" t="s">
        <v>12665</v>
      </c>
      <c r="B7441" s="6" t="s">
        <v>2315</v>
      </c>
      <c r="C7441" s="26" t="n">
        <v>46243</v>
      </c>
      <c r="D7441" s="6" t="s">
        <v>5121</v>
      </c>
      <c r="E7441" s="6" t="s">
        <v>22</v>
      </c>
      <c r="F7441" s="6" t="n">
        <v>1</v>
      </c>
      <c r="G7441" s="10" t="n">
        <v>977</v>
      </c>
      <c r="H7441" s="10" t="n">
        <f aca="false">F7441*G7441</f>
        <v>977</v>
      </c>
      <c r="I7441" s="6" t="s">
        <v>5122</v>
      </c>
    </row>
    <row r="7442" customFormat="false" ht="15" hidden="false" customHeight="false" outlineLevel="0" collapsed="false">
      <c r="A7442" s="6" t="s">
        <v>12666</v>
      </c>
      <c r="B7442" s="6" t="s">
        <v>3051</v>
      </c>
      <c r="C7442" s="26" t="n">
        <v>46243</v>
      </c>
      <c r="D7442" s="6" t="s">
        <v>5216</v>
      </c>
      <c r="E7442" s="6" t="s">
        <v>23</v>
      </c>
      <c r="F7442" s="6" t="n">
        <v>1</v>
      </c>
      <c r="G7442" s="10" t="n">
        <v>558</v>
      </c>
      <c r="H7442" s="10" t="n">
        <f aca="false">F7442*G7442</f>
        <v>558</v>
      </c>
      <c r="I7442" s="6" t="s">
        <v>5130</v>
      </c>
    </row>
    <row r="7443" customFormat="false" ht="15" hidden="false" customHeight="false" outlineLevel="0" collapsed="false">
      <c r="A7443" s="6" t="s">
        <v>12667</v>
      </c>
      <c r="B7443" s="6" t="s">
        <v>517</v>
      </c>
      <c r="C7443" s="26" t="n">
        <v>46243</v>
      </c>
      <c r="D7443" s="6" t="s">
        <v>5807</v>
      </c>
      <c r="E7443" s="6" t="s">
        <v>20</v>
      </c>
      <c r="F7443" s="6" t="n">
        <v>2</v>
      </c>
      <c r="G7443" s="10" t="n">
        <v>14531</v>
      </c>
      <c r="H7443" s="10" t="n">
        <f aca="false">F7443*G7443</f>
        <v>29062</v>
      </c>
      <c r="I7443" s="6" t="s">
        <v>5122</v>
      </c>
    </row>
    <row r="7444" customFormat="false" ht="15" hidden="false" customHeight="false" outlineLevel="0" collapsed="false">
      <c r="A7444" s="6" t="s">
        <v>12668</v>
      </c>
      <c r="B7444" s="6" t="s">
        <v>1123</v>
      </c>
      <c r="C7444" s="26" t="n">
        <v>46243</v>
      </c>
      <c r="D7444" s="6" t="s">
        <v>5226</v>
      </c>
      <c r="E7444" s="6" t="s">
        <v>24</v>
      </c>
      <c r="F7444" s="6" t="n">
        <v>2</v>
      </c>
      <c r="G7444" s="10" t="n">
        <v>435</v>
      </c>
      <c r="H7444" s="10" t="n">
        <f aca="false">F7444*G7444</f>
        <v>870</v>
      </c>
      <c r="I7444" s="6" t="s">
        <v>5122</v>
      </c>
    </row>
    <row r="7445" customFormat="false" ht="15" hidden="false" customHeight="false" outlineLevel="0" collapsed="false">
      <c r="A7445" s="6" t="s">
        <v>12669</v>
      </c>
      <c r="B7445" s="6" t="s">
        <v>1269</v>
      </c>
      <c r="C7445" s="26" t="n">
        <v>46243</v>
      </c>
      <c r="D7445" s="6" t="s">
        <v>5259</v>
      </c>
      <c r="E7445" s="6" t="s">
        <v>22</v>
      </c>
      <c r="F7445" s="6" t="n">
        <v>3</v>
      </c>
      <c r="G7445" s="10" t="n">
        <v>1564</v>
      </c>
      <c r="H7445" s="10" t="n">
        <f aca="false">F7445*G7445</f>
        <v>4692</v>
      </c>
      <c r="I7445" s="6" t="s">
        <v>5122</v>
      </c>
    </row>
    <row r="7446" customFormat="false" ht="15" hidden="false" customHeight="false" outlineLevel="0" collapsed="false">
      <c r="A7446" s="6" t="s">
        <v>12670</v>
      </c>
      <c r="B7446" s="6" t="s">
        <v>1635</v>
      </c>
      <c r="C7446" s="26" t="n">
        <v>46243</v>
      </c>
      <c r="D7446" s="6" t="s">
        <v>5345</v>
      </c>
      <c r="E7446" s="6" t="s">
        <v>23</v>
      </c>
      <c r="F7446" s="6" t="n">
        <v>4</v>
      </c>
      <c r="G7446" s="10" t="n">
        <v>436</v>
      </c>
      <c r="H7446" s="10" t="n">
        <f aca="false">F7446*G7446</f>
        <v>1744</v>
      </c>
      <c r="I7446" s="6" t="s">
        <v>5122</v>
      </c>
    </row>
    <row r="7447" customFormat="false" ht="15" hidden="false" customHeight="false" outlineLevel="0" collapsed="false">
      <c r="A7447" s="6" t="s">
        <v>12671</v>
      </c>
      <c r="B7447" s="6" t="s">
        <v>449</v>
      </c>
      <c r="C7447" s="26" t="n">
        <v>46243</v>
      </c>
      <c r="D7447" s="6" t="s">
        <v>5281</v>
      </c>
      <c r="E7447" s="6" t="s">
        <v>24</v>
      </c>
      <c r="F7447" s="6" t="n">
        <v>2</v>
      </c>
      <c r="G7447" s="10" t="n">
        <v>814</v>
      </c>
      <c r="H7447" s="10" t="n">
        <f aca="false">F7447*G7447</f>
        <v>1628</v>
      </c>
      <c r="I7447" s="6" t="s">
        <v>5173</v>
      </c>
    </row>
    <row r="7448" customFormat="false" ht="15" hidden="false" customHeight="false" outlineLevel="0" collapsed="false">
      <c r="A7448" s="6" t="s">
        <v>12672</v>
      </c>
      <c r="B7448" s="6" t="s">
        <v>184</v>
      </c>
      <c r="C7448" s="26" t="n">
        <v>46243</v>
      </c>
      <c r="D7448" s="6" t="s">
        <v>5163</v>
      </c>
      <c r="E7448" s="6" t="s">
        <v>23</v>
      </c>
      <c r="F7448" s="6" t="n">
        <v>4</v>
      </c>
      <c r="G7448" s="10" t="n">
        <v>783</v>
      </c>
      <c r="H7448" s="10" t="n">
        <f aca="false">F7448*G7448</f>
        <v>3132</v>
      </c>
      <c r="I7448" s="6" t="s">
        <v>5122</v>
      </c>
    </row>
    <row r="7449" customFormat="false" ht="15" hidden="false" customHeight="false" outlineLevel="0" collapsed="false">
      <c r="A7449" s="6" t="s">
        <v>12673</v>
      </c>
      <c r="B7449" s="6" t="s">
        <v>4207</v>
      </c>
      <c r="C7449" s="26" t="n">
        <v>46243</v>
      </c>
      <c r="D7449" s="6" t="s">
        <v>5121</v>
      </c>
      <c r="E7449" s="6" t="s">
        <v>22</v>
      </c>
      <c r="F7449" s="6" t="n">
        <v>1</v>
      </c>
      <c r="G7449" s="10" t="n">
        <v>977</v>
      </c>
      <c r="H7449" s="10" t="n">
        <f aca="false">F7449*G7449</f>
        <v>977</v>
      </c>
      <c r="I7449" s="6" t="s">
        <v>5122</v>
      </c>
    </row>
    <row r="7450" customFormat="false" ht="15" hidden="false" customHeight="false" outlineLevel="0" collapsed="false">
      <c r="A7450" s="6" t="s">
        <v>12674</v>
      </c>
      <c r="B7450" s="6" t="s">
        <v>1963</v>
      </c>
      <c r="C7450" s="26" t="n">
        <v>46243</v>
      </c>
      <c r="D7450" s="6" t="s">
        <v>5561</v>
      </c>
      <c r="E7450" s="6" t="s">
        <v>20</v>
      </c>
      <c r="F7450" s="6" t="n">
        <v>1</v>
      </c>
      <c r="G7450" s="10" t="n">
        <v>3196</v>
      </c>
      <c r="H7450" s="10" t="n">
        <f aca="false">F7450*G7450</f>
        <v>3196</v>
      </c>
      <c r="I7450" s="6" t="s">
        <v>5125</v>
      </c>
    </row>
    <row r="7451" customFormat="false" ht="15" hidden="false" customHeight="false" outlineLevel="0" collapsed="false">
      <c r="A7451" s="6" t="s">
        <v>12675</v>
      </c>
      <c r="B7451" s="6" t="s">
        <v>196</v>
      </c>
      <c r="C7451" s="26" t="n">
        <v>46243</v>
      </c>
      <c r="D7451" s="6" t="s">
        <v>5357</v>
      </c>
      <c r="E7451" s="6" t="s">
        <v>23</v>
      </c>
      <c r="F7451" s="6" t="n">
        <v>2</v>
      </c>
      <c r="G7451" s="10" t="n">
        <v>507</v>
      </c>
      <c r="H7451" s="10" t="n">
        <f aca="false">F7451*G7451</f>
        <v>1014</v>
      </c>
      <c r="I7451" s="6" t="s">
        <v>5130</v>
      </c>
    </row>
    <row r="7452" customFormat="false" ht="15" hidden="false" customHeight="false" outlineLevel="0" collapsed="false">
      <c r="A7452" s="6" t="s">
        <v>12676</v>
      </c>
      <c r="B7452" s="6" t="s">
        <v>4583</v>
      </c>
      <c r="C7452" s="26" t="n">
        <v>46243</v>
      </c>
      <c r="D7452" s="6" t="s">
        <v>5488</v>
      </c>
      <c r="E7452" s="6" t="s">
        <v>24</v>
      </c>
      <c r="F7452" s="6" t="n">
        <v>1</v>
      </c>
      <c r="G7452" s="10" t="n">
        <v>779</v>
      </c>
      <c r="H7452" s="10" t="n">
        <f aca="false">F7452*G7452</f>
        <v>779</v>
      </c>
      <c r="I7452" s="6" t="s">
        <v>5130</v>
      </c>
    </row>
    <row r="7453" customFormat="false" ht="15" hidden="false" customHeight="false" outlineLevel="0" collapsed="false">
      <c r="A7453" s="6" t="s">
        <v>12677</v>
      </c>
      <c r="B7453" s="6" t="s">
        <v>4617</v>
      </c>
      <c r="C7453" s="26" t="n">
        <v>46243</v>
      </c>
      <c r="D7453" s="6" t="s">
        <v>5163</v>
      </c>
      <c r="E7453" s="6" t="s">
        <v>23</v>
      </c>
      <c r="F7453" s="6" t="n">
        <v>4</v>
      </c>
      <c r="G7453" s="10" t="n">
        <v>783</v>
      </c>
      <c r="H7453" s="10" t="n">
        <f aca="false">F7453*G7453</f>
        <v>3132</v>
      </c>
      <c r="I7453" s="6" t="s">
        <v>5148</v>
      </c>
    </row>
    <row r="7454" customFormat="false" ht="15" hidden="false" customHeight="false" outlineLevel="0" collapsed="false">
      <c r="A7454" s="6" t="s">
        <v>12678</v>
      </c>
      <c r="B7454" s="6" t="s">
        <v>4253</v>
      </c>
      <c r="C7454" s="26" t="n">
        <v>46243</v>
      </c>
      <c r="D7454" s="6" t="s">
        <v>5466</v>
      </c>
      <c r="E7454" s="6" t="s">
        <v>21</v>
      </c>
      <c r="F7454" s="6" t="n">
        <v>2</v>
      </c>
      <c r="G7454" s="10" t="n">
        <v>1965</v>
      </c>
      <c r="H7454" s="10" t="n">
        <f aca="false">F7454*G7454</f>
        <v>3930</v>
      </c>
      <c r="I7454" s="6" t="s">
        <v>5122</v>
      </c>
    </row>
    <row r="7455" customFormat="false" ht="15" hidden="false" customHeight="false" outlineLevel="0" collapsed="false">
      <c r="A7455" s="6" t="s">
        <v>12679</v>
      </c>
      <c r="B7455" s="6" t="s">
        <v>4017</v>
      </c>
      <c r="C7455" s="26" t="n">
        <v>46243</v>
      </c>
      <c r="D7455" s="6" t="s">
        <v>5139</v>
      </c>
      <c r="E7455" s="6" t="s">
        <v>23</v>
      </c>
      <c r="F7455" s="6" t="n">
        <v>2</v>
      </c>
      <c r="G7455" s="10" t="n">
        <v>265</v>
      </c>
      <c r="H7455" s="10" t="n">
        <f aca="false">F7455*G7455</f>
        <v>530</v>
      </c>
      <c r="I7455" s="6" t="s">
        <v>5122</v>
      </c>
    </row>
    <row r="7456" customFormat="false" ht="15" hidden="false" customHeight="false" outlineLevel="0" collapsed="false">
      <c r="A7456" s="6" t="s">
        <v>12680</v>
      </c>
      <c r="B7456" s="6" t="s">
        <v>3509</v>
      </c>
      <c r="C7456" s="26" t="n">
        <v>46243</v>
      </c>
      <c r="D7456" s="6" t="s">
        <v>5165</v>
      </c>
      <c r="E7456" s="6" t="s">
        <v>22</v>
      </c>
      <c r="F7456" s="6" t="n">
        <v>1</v>
      </c>
      <c r="G7456" s="10" t="n">
        <v>880</v>
      </c>
      <c r="H7456" s="10" t="n">
        <f aca="false">F7456*G7456</f>
        <v>880</v>
      </c>
      <c r="I7456" s="6" t="s">
        <v>5122</v>
      </c>
    </row>
    <row r="7457" customFormat="false" ht="15" hidden="false" customHeight="false" outlineLevel="0" collapsed="false">
      <c r="A7457" s="6" t="s">
        <v>12681</v>
      </c>
      <c r="B7457" s="6" t="s">
        <v>3827</v>
      </c>
      <c r="C7457" s="26" t="n">
        <v>46243</v>
      </c>
      <c r="D7457" s="6" t="s">
        <v>5185</v>
      </c>
      <c r="E7457" s="6" t="s">
        <v>24</v>
      </c>
      <c r="F7457" s="6" t="n">
        <v>1</v>
      </c>
      <c r="G7457" s="10" t="n">
        <v>2140</v>
      </c>
      <c r="H7457" s="10" t="n">
        <f aca="false">F7457*G7457</f>
        <v>2140</v>
      </c>
      <c r="I7457" s="6" t="s">
        <v>5130</v>
      </c>
    </row>
    <row r="7458" customFormat="false" ht="15" hidden="false" customHeight="false" outlineLevel="0" collapsed="false">
      <c r="A7458" s="6" t="s">
        <v>12682</v>
      </c>
      <c r="B7458" s="6" t="s">
        <v>941</v>
      </c>
      <c r="C7458" s="26" t="n">
        <v>46243</v>
      </c>
      <c r="D7458" s="6" t="s">
        <v>6101</v>
      </c>
      <c r="E7458" s="6" t="s">
        <v>20</v>
      </c>
      <c r="F7458" s="6" t="n">
        <v>1</v>
      </c>
      <c r="G7458" s="10" t="n">
        <v>22434</v>
      </c>
      <c r="H7458" s="10" t="n">
        <f aca="false">F7458*G7458</f>
        <v>22434</v>
      </c>
      <c r="I7458" s="6" t="s">
        <v>5133</v>
      </c>
    </row>
    <row r="7459" customFormat="false" ht="15" hidden="false" customHeight="false" outlineLevel="0" collapsed="false">
      <c r="A7459" s="6" t="s">
        <v>12683</v>
      </c>
      <c r="B7459" s="6" t="s">
        <v>3637</v>
      </c>
      <c r="C7459" s="26" t="n">
        <v>46243</v>
      </c>
      <c r="D7459" s="6" t="s">
        <v>5127</v>
      </c>
      <c r="E7459" s="6" t="s">
        <v>21</v>
      </c>
      <c r="F7459" s="6" t="n">
        <v>1</v>
      </c>
      <c r="G7459" s="10" t="n">
        <v>885</v>
      </c>
      <c r="H7459" s="10" t="n">
        <f aca="false">F7459*G7459</f>
        <v>885</v>
      </c>
      <c r="I7459" s="6" t="s">
        <v>5122</v>
      </c>
    </row>
    <row r="7460" customFormat="false" ht="15" hidden="false" customHeight="false" outlineLevel="0" collapsed="false">
      <c r="A7460" s="6" t="s">
        <v>12684</v>
      </c>
      <c r="B7460" s="6" t="s">
        <v>4419</v>
      </c>
      <c r="C7460" s="26" t="n">
        <v>46243</v>
      </c>
      <c r="D7460" s="6" t="s">
        <v>5129</v>
      </c>
      <c r="E7460" s="6" t="s">
        <v>21</v>
      </c>
      <c r="F7460" s="6" t="n">
        <v>2</v>
      </c>
      <c r="G7460" s="10" t="n">
        <v>589</v>
      </c>
      <c r="H7460" s="10" t="n">
        <f aca="false">F7460*G7460</f>
        <v>1178</v>
      </c>
      <c r="I7460" s="6" t="s">
        <v>5173</v>
      </c>
    </row>
    <row r="7461" customFormat="false" ht="15" hidden="false" customHeight="false" outlineLevel="0" collapsed="false">
      <c r="A7461" s="6" t="s">
        <v>12685</v>
      </c>
      <c r="B7461" s="6" t="s">
        <v>2171</v>
      </c>
      <c r="C7461" s="26" t="n">
        <v>46243</v>
      </c>
      <c r="D7461" s="6" t="s">
        <v>5171</v>
      </c>
      <c r="E7461" s="6" t="s">
        <v>23</v>
      </c>
      <c r="F7461" s="6" t="n">
        <v>1</v>
      </c>
      <c r="G7461" s="10" t="n">
        <v>660</v>
      </c>
      <c r="H7461" s="10" t="n">
        <f aca="false">F7461*G7461</f>
        <v>660</v>
      </c>
      <c r="I7461" s="6" t="s">
        <v>5122</v>
      </c>
    </row>
    <row r="7462" customFormat="false" ht="15" hidden="false" customHeight="false" outlineLevel="0" collapsed="false">
      <c r="A7462" s="6" t="s">
        <v>12686</v>
      </c>
      <c r="B7462" s="6" t="s">
        <v>1143</v>
      </c>
      <c r="C7462" s="26" t="n">
        <v>46243</v>
      </c>
      <c r="D7462" s="6" t="s">
        <v>5357</v>
      </c>
      <c r="E7462" s="6" t="s">
        <v>23</v>
      </c>
      <c r="F7462" s="6" t="n">
        <v>3</v>
      </c>
      <c r="G7462" s="10" t="n">
        <v>534</v>
      </c>
      <c r="H7462" s="10" t="n">
        <f aca="false">F7462*G7462</f>
        <v>1602</v>
      </c>
      <c r="I7462" s="6" t="s">
        <v>5130</v>
      </c>
    </row>
    <row r="7463" customFormat="false" ht="15" hidden="false" customHeight="false" outlineLevel="0" collapsed="false">
      <c r="A7463" s="6" t="s">
        <v>12687</v>
      </c>
      <c r="B7463" s="6" t="s">
        <v>4777</v>
      </c>
      <c r="C7463" s="26" t="n">
        <v>46243</v>
      </c>
      <c r="D7463" s="6" t="s">
        <v>5171</v>
      </c>
      <c r="E7463" s="6" t="s">
        <v>23</v>
      </c>
      <c r="F7463" s="6" t="n">
        <v>3</v>
      </c>
      <c r="G7463" s="10" t="n">
        <v>734</v>
      </c>
      <c r="H7463" s="10" t="n">
        <f aca="false">F7463*G7463</f>
        <v>2202</v>
      </c>
      <c r="I7463" s="6" t="s">
        <v>5125</v>
      </c>
    </row>
    <row r="7464" customFormat="false" ht="15" hidden="false" customHeight="false" outlineLevel="0" collapsed="false">
      <c r="A7464" s="6" t="s">
        <v>12688</v>
      </c>
      <c r="B7464" s="6" t="s">
        <v>1577</v>
      </c>
      <c r="C7464" s="26" t="n">
        <v>46243</v>
      </c>
      <c r="D7464" s="6" t="s">
        <v>5259</v>
      </c>
      <c r="E7464" s="6" t="s">
        <v>22</v>
      </c>
      <c r="F7464" s="6" t="n">
        <v>2</v>
      </c>
      <c r="G7464" s="10" t="n">
        <v>1486</v>
      </c>
      <c r="H7464" s="10" t="n">
        <f aca="false">F7464*G7464</f>
        <v>2972</v>
      </c>
      <c r="I7464" s="6" t="s">
        <v>5122</v>
      </c>
    </row>
    <row r="7465" customFormat="false" ht="15" hidden="false" customHeight="false" outlineLevel="0" collapsed="false">
      <c r="A7465" s="6" t="s">
        <v>12689</v>
      </c>
      <c r="B7465" s="6" t="s">
        <v>2581</v>
      </c>
      <c r="C7465" s="26" t="n">
        <v>46243</v>
      </c>
      <c r="D7465" s="6" t="s">
        <v>5305</v>
      </c>
      <c r="E7465" s="6" t="s">
        <v>20</v>
      </c>
      <c r="F7465" s="6" t="n">
        <v>1</v>
      </c>
      <c r="G7465" s="10" t="n">
        <v>1631</v>
      </c>
      <c r="H7465" s="10" t="n">
        <f aca="false">F7465*G7465</f>
        <v>1631</v>
      </c>
      <c r="I7465" s="6" t="s">
        <v>5148</v>
      </c>
    </row>
    <row r="7466" customFormat="false" ht="15" hidden="false" customHeight="false" outlineLevel="0" collapsed="false">
      <c r="A7466" s="6" t="s">
        <v>12690</v>
      </c>
      <c r="B7466" s="6" t="s">
        <v>2057</v>
      </c>
      <c r="C7466" s="26" t="n">
        <v>46243</v>
      </c>
      <c r="D7466" s="6" t="s">
        <v>5214</v>
      </c>
      <c r="E7466" s="6" t="s">
        <v>20</v>
      </c>
      <c r="F7466" s="6" t="n">
        <v>1</v>
      </c>
      <c r="G7466" s="10" t="n">
        <v>1835</v>
      </c>
      <c r="H7466" s="10" t="n">
        <f aca="false">F7466*G7466</f>
        <v>1835</v>
      </c>
      <c r="I7466" s="6" t="s">
        <v>5122</v>
      </c>
    </row>
    <row r="7467" customFormat="false" ht="15" hidden="false" customHeight="false" outlineLevel="0" collapsed="false">
      <c r="A7467" s="6" t="s">
        <v>12691</v>
      </c>
      <c r="B7467" s="6" t="s">
        <v>613</v>
      </c>
      <c r="C7467" s="26" t="n">
        <v>46244</v>
      </c>
      <c r="D7467" s="6" t="s">
        <v>5202</v>
      </c>
      <c r="E7467" s="6" t="s">
        <v>23</v>
      </c>
      <c r="F7467" s="6" t="n">
        <v>5</v>
      </c>
      <c r="G7467" s="10" t="n">
        <v>245</v>
      </c>
      <c r="H7467" s="10" t="n">
        <f aca="false">F7467*G7467</f>
        <v>1225</v>
      </c>
      <c r="I7467" s="6" t="s">
        <v>5130</v>
      </c>
    </row>
    <row r="7468" customFormat="false" ht="15" hidden="false" customHeight="false" outlineLevel="0" collapsed="false">
      <c r="A7468" s="6" t="s">
        <v>12692</v>
      </c>
      <c r="B7468" s="6" t="s">
        <v>2807</v>
      </c>
      <c r="C7468" s="26" t="n">
        <v>46244</v>
      </c>
      <c r="D7468" s="6" t="s">
        <v>5185</v>
      </c>
      <c r="E7468" s="6" t="s">
        <v>24</v>
      </c>
      <c r="F7468" s="6" t="n">
        <v>1</v>
      </c>
      <c r="G7468" s="10" t="n">
        <v>2033</v>
      </c>
      <c r="H7468" s="10" t="n">
        <f aca="false">F7468*G7468</f>
        <v>2033</v>
      </c>
      <c r="I7468" s="6" t="s">
        <v>5148</v>
      </c>
    </row>
    <row r="7469" customFormat="false" ht="15" hidden="false" customHeight="false" outlineLevel="0" collapsed="false">
      <c r="A7469" s="6" t="s">
        <v>12693</v>
      </c>
      <c r="B7469" s="6" t="s">
        <v>2017</v>
      </c>
      <c r="C7469" s="26" t="n">
        <v>46244</v>
      </c>
      <c r="D7469" s="6" t="s">
        <v>5156</v>
      </c>
      <c r="E7469" s="6" t="s">
        <v>21</v>
      </c>
      <c r="F7469" s="6" t="n">
        <v>1</v>
      </c>
      <c r="G7469" s="10" t="n">
        <v>2161</v>
      </c>
      <c r="H7469" s="10" t="n">
        <f aca="false">F7469*G7469</f>
        <v>2161</v>
      </c>
      <c r="I7469" s="6" t="s">
        <v>5122</v>
      </c>
    </row>
    <row r="7470" customFormat="false" ht="15" hidden="false" customHeight="false" outlineLevel="0" collapsed="false">
      <c r="A7470" s="6" t="s">
        <v>12694</v>
      </c>
      <c r="B7470" s="6" t="s">
        <v>4855</v>
      </c>
      <c r="C7470" s="26" t="n">
        <v>46244</v>
      </c>
      <c r="D7470" s="6" t="s">
        <v>5257</v>
      </c>
      <c r="E7470" s="6" t="s">
        <v>22</v>
      </c>
      <c r="F7470" s="6" t="n">
        <v>1</v>
      </c>
      <c r="G7470" s="10" t="n">
        <v>2249</v>
      </c>
      <c r="H7470" s="10" t="n">
        <f aca="false">F7470*G7470</f>
        <v>2249</v>
      </c>
      <c r="I7470" s="6" t="s">
        <v>5122</v>
      </c>
    </row>
    <row r="7471" customFormat="false" ht="15" hidden="false" customHeight="false" outlineLevel="0" collapsed="false">
      <c r="A7471" s="6" t="s">
        <v>12695</v>
      </c>
      <c r="B7471" s="6" t="s">
        <v>977</v>
      </c>
      <c r="C7471" s="26" t="n">
        <v>46244</v>
      </c>
      <c r="D7471" s="6" t="s">
        <v>5121</v>
      </c>
      <c r="E7471" s="6" t="s">
        <v>22</v>
      </c>
      <c r="F7471" s="6" t="n">
        <v>1</v>
      </c>
      <c r="G7471" s="10" t="n">
        <v>977</v>
      </c>
      <c r="H7471" s="10" t="n">
        <f aca="false">F7471*G7471</f>
        <v>977</v>
      </c>
      <c r="I7471" s="6" t="s">
        <v>5122</v>
      </c>
    </row>
    <row r="7472" customFormat="false" ht="15" hidden="false" customHeight="false" outlineLevel="0" collapsed="false">
      <c r="A7472" s="6" t="s">
        <v>12696</v>
      </c>
      <c r="B7472" s="6" t="s">
        <v>3445</v>
      </c>
      <c r="C7472" s="26" t="n">
        <v>46244</v>
      </c>
      <c r="D7472" s="6" t="s">
        <v>5132</v>
      </c>
      <c r="E7472" s="6" t="s">
        <v>23</v>
      </c>
      <c r="F7472" s="6" t="n">
        <v>1</v>
      </c>
      <c r="G7472" s="10" t="n">
        <v>325</v>
      </c>
      <c r="H7472" s="10" t="n">
        <f aca="false">F7472*G7472</f>
        <v>325</v>
      </c>
      <c r="I7472" s="6" t="s">
        <v>5148</v>
      </c>
    </row>
    <row r="7473" customFormat="false" ht="15" hidden="false" customHeight="false" outlineLevel="0" collapsed="false">
      <c r="A7473" s="6" t="s">
        <v>12697</v>
      </c>
      <c r="B7473" s="6" t="s">
        <v>1865</v>
      </c>
      <c r="C7473" s="26" t="n">
        <v>46244</v>
      </c>
      <c r="D7473" s="6" t="s">
        <v>5305</v>
      </c>
      <c r="E7473" s="6" t="s">
        <v>20</v>
      </c>
      <c r="F7473" s="6" t="n">
        <v>1</v>
      </c>
      <c r="G7473" s="10" t="n">
        <v>1631</v>
      </c>
      <c r="H7473" s="10" t="n">
        <f aca="false">F7473*G7473</f>
        <v>1631</v>
      </c>
      <c r="I7473" s="6" t="s">
        <v>5122</v>
      </c>
    </row>
    <row r="7474" customFormat="false" ht="15" hidden="false" customHeight="false" outlineLevel="0" collapsed="false">
      <c r="A7474" s="6" t="s">
        <v>12698</v>
      </c>
      <c r="B7474" s="6" t="s">
        <v>4091</v>
      </c>
      <c r="C7474" s="26" t="n">
        <v>46244</v>
      </c>
      <c r="D7474" s="6" t="s">
        <v>5357</v>
      </c>
      <c r="E7474" s="6" t="s">
        <v>23</v>
      </c>
      <c r="F7474" s="6" t="n">
        <v>2</v>
      </c>
      <c r="G7474" s="10" t="n">
        <v>481</v>
      </c>
      <c r="H7474" s="10" t="n">
        <f aca="false">F7474*G7474</f>
        <v>962</v>
      </c>
      <c r="I7474" s="6" t="s">
        <v>5125</v>
      </c>
    </row>
    <row r="7475" customFormat="false" ht="15" hidden="false" customHeight="false" outlineLevel="0" collapsed="false">
      <c r="A7475" s="6" t="s">
        <v>12699</v>
      </c>
      <c r="B7475" s="6" t="s">
        <v>3743</v>
      </c>
      <c r="C7475" s="26" t="n">
        <v>46244</v>
      </c>
      <c r="D7475" s="6" t="s">
        <v>5132</v>
      </c>
      <c r="E7475" s="6" t="s">
        <v>23</v>
      </c>
      <c r="F7475" s="6" t="n">
        <v>3</v>
      </c>
      <c r="G7475" s="10" t="n">
        <v>342</v>
      </c>
      <c r="H7475" s="10" t="n">
        <f aca="false">F7475*G7475</f>
        <v>1026</v>
      </c>
      <c r="I7475" s="6" t="s">
        <v>5122</v>
      </c>
    </row>
    <row r="7476" customFormat="false" ht="15" hidden="false" customHeight="false" outlineLevel="0" collapsed="false">
      <c r="A7476" s="6" t="s">
        <v>12700</v>
      </c>
      <c r="B7476" s="6" t="s">
        <v>3827</v>
      </c>
      <c r="C7476" s="26" t="n">
        <v>46244</v>
      </c>
      <c r="D7476" s="6" t="s">
        <v>5127</v>
      </c>
      <c r="E7476" s="6" t="s">
        <v>21</v>
      </c>
      <c r="F7476" s="6" t="n">
        <v>1</v>
      </c>
      <c r="G7476" s="10" t="n">
        <v>884</v>
      </c>
      <c r="H7476" s="10" t="n">
        <f aca="false">F7476*G7476</f>
        <v>884</v>
      </c>
      <c r="I7476" s="6" t="s">
        <v>5173</v>
      </c>
    </row>
    <row r="7477" customFormat="false" ht="15" hidden="false" customHeight="false" outlineLevel="0" collapsed="false">
      <c r="A7477" s="6" t="s">
        <v>12701</v>
      </c>
      <c r="B7477" s="6" t="s">
        <v>973</v>
      </c>
      <c r="C7477" s="26" t="n">
        <v>46244</v>
      </c>
      <c r="D7477" s="6" t="s">
        <v>5165</v>
      </c>
      <c r="E7477" s="6" t="s">
        <v>22</v>
      </c>
      <c r="F7477" s="6" t="n">
        <v>1</v>
      </c>
      <c r="G7477" s="10" t="n">
        <v>977</v>
      </c>
      <c r="H7477" s="10" t="n">
        <f aca="false">F7477*G7477</f>
        <v>977</v>
      </c>
      <c r="I7477" s="6" t="s">
        <v>5130</v>
      </c>
    </row>
    <row r="7478" customFormat="false" ht="15" hidden="false" customHeight="false" outlineLevel="0" collapsed="false">
      <c r="A7478" s="6" t="s">
        <v>12702</v>
      </c>
      <c r="B7478" s="6" t="s">
        <v>717</v>
      </c>
      <c r="C7478" s="26" t="n">
        <v>46244</v>
      </c>
      <c r="D7478" s="6" t="s">
        <v>5281</v>
      </c>
      <c r="E7478" s="6" t="s">
        <v>24</v>
      </c>
      <c r="F7478" s="6" t="n">
        <v>1</v>
      </c>
      <c r="G7478" s="10" t="n">
        <v>814</v>
      </c>
      <c r="H7478" s="10" t="n">
        <f aca="false">F7478*G7478</f>
        <v>814</v>
      </c>
      <c r="I7478" s="6" t="s">
        <v>5122</v>
      </c>
    </row>
    <row r="7479" customFormat="false" ht="15" hidden="false" customHeight="false" outlineLevel="0" collapsed="false">
      <c r="A7479" s="6" t="s">
        <v>12703</v>
      </c>
      <c r="B7479" s="6" t="s">
        <v>2851</v>
      </c>
      <c r="C7479" s="26" t="n">
        <v>46244</v>
      </c>
      <c r="D7479" s="6" t="s">
        <v>5163</v>
      </c>
      <c r="E7479" s="6" t="s">
        <v>23</v>
      </c>
      <c r="F7479" s="6" t="n">
        <v>2</v>
      </c>
      <c r="G7479" s="10" t="n">
        <v>783</v>
      </c>
      <c r="H7479" s="10" t="n">
        <f aca="false">F7479*G7479</f>
        <v>1566</v>
      </c>
      <c r="I7479" s="6" t="s">
        <v>5125</v>
      </c>
    </row>
    <row r="7480" customFormat="false" ht="15" hidden="false" customHeight="false" outlineLevel="0" collapsed="false">
      <c r="A7480" s="6" t="s">
        <v>12704</v>
      </c>
      <c r="B7480" s="6" t="s">
        <v>2057</v>
      </c>
      <c r="C7480" s="26" t="n">
        <v>46244</v>
      </c>
      <c r="D7480" s="6" t="s">
        <v>5240</v>
      </c>
      <c r="E7480" s="6" t="s">
        <v>20</v>
      </c>
      <c r="F7480" s="6" t="n">
        <v>1</v>
      </c>
      <c r="G7480" s="10" t="n">
        <v>5098</v>
      </c>
      <c r="H7480" s="10" t="n">
        <f aca="false">F7480*G7480</f>
        <v>5098</v>
      </c>
      <c r="I7480" s="6" t="s">
        <v>5130</v>
      </c>
    </row>
    <row r="7481" customFormat="false" ht="15" hidden="false" customHeight="false" outlineLevel="0" collapsed="false">
      <c r="A7481" s="6" t="s">
        <v>12705</v>
      </c>
      <c r="B7481" s="6" t="s">
        <v>2577</v>
      </c>
      <c r="C7481" s="26" t="n">
        <v>46244</v>
      </c>
      <c r="D7481" s="6" t="s">
        <v>5167</v>
      </c>
      <c r="E7481" s="6" t="s">
        <v>22</v>
      </c>
      <c r="F7481" s="6" t="n">
        <v>1</v>
      </c>
      <c r="G7481" s="10" t="n">
        <v>782</v>
      </c>
      <c r="H7481" s="10" t="n">
        <f aca="false">F7481*G7481</f>
        <v>782</v>
      </c>
      <c r="I7481" s="6" t="s">
        <v>5125</v>
      </c>
    </row>
    <row r="7482" customFormat="false" ht="15" hidden="false" customHeight="false" outlineLevel="0" collapsed="false">
      <c r="A7482" s="6" t="s">
        <v>12706</v>
      </c>
      <c r="B7482" s="6" t="s">
        <v>1495</v>
      </c>
      <c r="C7482" s="26" t="n">
        <v>46244</v>
      </c>
      <c r="D7482" s="6" t="s">
        <v>5143</v>
      </c>
      <c r="E7482" s="6" t="s">
        <v>21</v>
      </c>
      <c r="F7482" s="6" t="n">
        <v>1</v>
      </c>
      <c r="G7482" s="10" t="n">
        <v>1061</v>
      </c>
      <c r="H7482" s="10" t="n">
        <f aca="false">F7482*G7482</f>
        <v>1061</v>
      </c>
      <c r="I7482" s="6" t="s">
        <v>5122</v>
      </c>
    </row>
    <row r="7483" customFormat="false" ht="15" hidden="false" customHeight="false" outlineLevel="0" collapsed="false">
      <c r="A7483" s="6" t="s">
        <v>12707</v>
      </c>
      <c r="B7483" s="6" t="s">
        <v>2863</v>
      </c>
      <c r="C7483" s="26" t="n">
        <v>46244</v>
      </c>
      <c r="D7483" s="6" t="s">
        <v>5167</v>
      </c>
      <c r="E7483" s="6" t="s">
        <v>22</v>
      </c>
      <c r="F7483" s="6" t="n">
        <v>4</v>
      </c>
      <c r="G7483" s="10" t="n">
        <v>782</v>
      </c>
      <c r="H7483" s="10" t="n">
        <f aca="false">F7483*G7483</f>
        <v>3128</v>
      </c>
      <c r="I7483" s="6" t="s">
        <v>5125</v>
      </c>
    </row>
    <row r="7484" customFormat="false" ht="15" hidden="false" customHeight="false" outlineLevel="0" collapsed="false">
      <c r="A7484" s="6" t="s">
        <v>12708</v>
      </c>
      <c r="B7484" s="6" t="s">
        <v>4925</v>
      </c>
      <c r="C7484" s="26" t="n">
        <v>46244</v>
      </c>
      <c r="D7484" s="6" t="s">
        <v>5837</v>
      </c>
      <c r="E7484" s="6" t="s">
        <v>21</v>
      </c>
      <c r="F7484" s="6" t="n">
        <v>1</v>
      </c>
      <c r="G7484" s="10" t="n">
        <v>2948</v>
      </c>
      <c r="H7484" s="10" t="n">
        <f aca="false">F7484*G7484</f>
        <v>2948</v>
      </c>
      <c r="I7484" s="6" t="s">
        <v>5148</v>
      </c>
    </row>
    <row r="7485" customFormat="false" ht="15" hidden="false" customHeight="false" outlineLevel="0" collapsed="false">
      <c r="A7485" s="6" t="s">
        <v>12709</v>
      </c>
      <c r="B7485" s="6" t="s">
        <v>2701</v>
      </c>
      <c r="C7485" s="26" t="n">
        <v>46244</v>
      </c>
      <c r="D7485" s="6" t="s">
        <v>5242</v>
      </c>
      <c r="E7485" s="6" t="s">
        <v>23</v>
      </c>
      <c r="F7485" s="6" t="n">
        <v>2</v>
      </c>
      <c r="G7485" s="10" t="n">
        <v>354</v>
      </c>
      <c r="H7485" s="10" t="n">
        <f aca="false">F7485*G7485</f>
        <v>708</v>
      </c>
      <c r="I7485" s="6" t="s">
        <v>5122</v>
      </c>
    </row>
    <row r="7486" customFormat="false" ht="15" hidden="false" customHeight="false" outlineLevel="0" collapsed="false">
      <c r="A7486" s="6" t="s">
        <v>12710</v>
      </c>
      <c r="B7486" s="6" t="s">
        <v>4259</v>
      </c>
      <c r="C7486" s="26" t="n">
        <v>46244</v>
      </c>
      <c r="D7486" s="6" t="s">
        <v>5163</v>
      </c>
      <c r="E7486" s="6" t="s">
        <v>23</v>
      </c>
      <c r="F7486" s="6" t="n">
        <v>2</v>
      </c>
      <c r="G7486" s="10" t="n">
        <v>783</v>
      </c>
      <c r="H7486" s="10" t="n">
        <f aca="false">F7486*G7486</f>
        <v>1566</v>
      </c>
      <c r="I7486" s="6" t="s">
        <v>5148</v>
      </c>
    </row>
    <row r="7487" customFormat="false" ht="15" hidden="false" customHeight="false" outlineLevel="0" collapsed="false">
      <c r="A7487" s="6" t="s">
        <v>12711</v>
      </c>
      <c r="B7487" s="6" t="s">
        <v>225</v>
      </c>
      <c r="C7487" s="26" t="n">
        <v>46244</v>
      </c>
      <c r="D7487" s="6" t="s">
        <v>5192</v>
      </c>
      <c r="E7487" s="6" t="s">
        <v>20</v>
      </c>
      <c r="F7487" s="6" t="n">
        <v>1</v>
      </c>
      <c r="G7487" s="10" t="n">
        <v>4078</v>
      </c>
      <c r="H7487" s="10" t="n">
        <f aca="false">F7487*G7487</f>
        <v>4078</v>
      </c>
      <c r="I7487" s="6" t="s">
        <v>5125</v>
      </c>
    </row>
    <row r="7488" customFormat="false" ht="15" hidden="false" customHeight="false" outlineLevel="0" collapsed="false">
      <c r="A7488" s="6" t="s">
        <v>12712</v>
      </c>
      <c r="B7488" s="6" t="s">
        <v>4409</v>
      </c>
      <c r="C7488" s="26" t="n">
        <v>46244</v>
      </c>
      <c r="D7488" s="6" t="s">
        <v>5292</v>
      </c>
      <c r="E7488" s="6" t="s">
        <v>21</v>
      </c>
      <c r="F7488" s="6" t="n">
        <v>1</v>
      </c>
      <c r="G7488" s="10" t="n">
        <v>6192</v>
      </c>
      <c r="H7488" s="10" t="n">
        <f aca="false">F7488*G7488</f>
        <v>6192</v>
      </c>
      <c r="I7488" s="6" t="s">
        <v>5122</v>
      </c>
    </row>
    <row r="7489" customFormat="false" ht="15" hidden="false" customHeight="false" outlineLevel="0" collapsed="false">
      <c r="A7489" s="6" t="s">
        <v>12713</v>
      </c>
      <c r="B7489" s="6" t="s">
        <v>2751</v>
      </c>
      <c r="C7489" s="26" t="n">
        <v>46244</v>
      </c>
      <c r="D7489" s="6" t="s">
        <v>5171</v>
      </c>
      <c r="E7489" s="6" t="s">
        <v>23</v>
      </c>
      <c r="F7489" s="6" t="n">
        <v>4</v>
      </c>
      <c r="G7489" s="10" t="n">
        <v>661</v>
      </c>
      <c r="H7489" s="10" t="n">
        <f aca="false">F7489*G7489</f>
        <v>2644</v>
      </c>
      <c r="I7489" s="6" t="s">
        <v>5133</v>
      </c>
    </row>
    <row r="7490" customFormat="false" ht="15" hidden="false" customHeight="false" outlineLevel="0" collapsed="false">
      <c r="A7490" s="6" t="s">
        <v>12714</v>
      </c>
      <c r="B7490" s="6" t="s">
        <v>1015</v>
      </c>
      <c r="C7490" s="26" t="n">
        <v>46244</v>
      </c>
      <c r="D7490" s="6" t="s">
        <v>5357</v>
      </c>
      <c r="E7490" s="6" t="s">
        <v>23</v>
      </c>
      <c r="F7490" s="6" t="n">
        <v>2</v>
      </c>
      <c r="G7490" s="10" t="n">
        <v>481</v>
      </c>
      <c r="H7490" s="10" t="n">
        <f aca="false">F7490*G7490</f>
        <v>962</v>
      </c>
      <c r="I7490" s="6" t="s">
        <v>5133</v>
      </c>
    </row>
    <row r="7491" customFormat="false" ht="15" hidden="false" customHeight="false" outlineLevel="0" collapsed="false">
      <c r="A7491" s="6" t="s">
        <v>12715</v>
      </c>
      <c r="B7491" s="6" t="s">
        <v>2673</v>
      </c>
      <c r="C7491" s="26" t="n">
        <v>46244</v>
      </c>
      <c r="D7491" s="6" t="s">
        <v>5137</v>
      </c>
      <c r="E7491" s="6" t="s">
        <v>21</v>
      </c>
      <c r="F7491" s="6" t="n">
        <v>1</v>
      </c>
      <c r="G7491" s="10" t="n">
        <v>1680</v>
      </c>
      <c r="H7491" s="10" t="n">
        <f aca="false">F7491*G7491</f>
        <v>1680</v>
      </c>
      <c r="I7491" s="6" t="s">
        <v>5122</v>
      </c>
    </row>
    <row r="7492" customFormat="false" ht="15" hidden="false" customHeight="false" outlineLevel="0" collapsed="false">
      <c r="A7492" s="6" t="s">
        <v>12716</v>
      </c>
      <c r="B7492" s="6" t="s">
        <v>4979</v>
      </c>
      <c r="C7492" s="26" t="n">
        <v>46244</v>
      </c>
      <c r="D7492" s="6" t="s">
        <v>5167</v>
      </c>
      <c r="E7492" s="6" t="s">
        <v>22</v>
      </c>
      <c r="F7492" s="6" t="n">
        <v>2</v>
      </c>
      <c r="G7492" s="10" t="n">
        <v>782</v>
      </c>
      <c r="H7492" s="10" t="n">
        <f aca="false">F7492*G7492</f>
        <v>1564</v>
      </c>
      <c r="I7492" s="6" t="s">
        <v>5122</v>
      </c>
    </row>
    <row r="7493" customFormat="false" ht="15" hidden="false" customHeight="false" outlineLevel="0" collapsed="false">
      <c r="A7493" s="6" t="s">
        <v>12717</v>
      </c>
      <c r="B7493" s="6" t="s">
        <v>3789</v>
      </c>
      <c r="C7493" s="26" t="n">
        <v>46244</v>
      </c>
      <c r="D7493" s="6" t="s">
        <v>5171</v>
      </c>
      <c r="E7493" s="6" t="s">
        <v>23</v>
      </c>
      <c r="F7493" s="6" t="n">
        <v>4</v>
      </c>
      <c r="G7493" s="10" t="n">
        <v>697</v>
      </c>
      <c r="H7493" s="10" t="n">
        <f aca="false">F7493*G7493</f>
        <v>2788</v>
      </c>
      <c r="I7493" s="6" t="s">
        <v>5122</v>
      </c>
    </row>
    <row r="7494" customFormat="false" ht="15" hidden="false" customHeight="false" outlineLevel="0" collapsed="false">
      <c r="A7494" s="6" t="s">
        <v>12718</v>
      </c>
      <c r="B7494" s="6" t="s">
        <v>3257</v>
      </c>
      <c r="C7494" s="26" t="n">
        <v>46244</v>
      </c>
      <c r="D7494" s="6" t="s">
        <v>5538</v>
      </c>
      <c r="E7494" s="6" t="s">
        <v>21</v>
      </c>
      <c r="F7494" s="6" t="n">
        <v>1</v>
      </c>
      <c r="G7494" s="10" t="n">
        <v>5405</v>
      </c>
      <c r="H7494" s="10" t="n">
        <f aca="false">F7494*G7494</f>
        <v>5405</v>
      </c>
      <c r="I7494" s="6" t="s">
        <v>5133</v>
      </c>
    </row>
    <row r="7495" customFormat="false" ht="15" hidden="false" customHeight="false" outlineLevel="0" collapsed="false">
      <c r="A7495" s="6" t="s">
        <v>12719</v>
      </c>
      <c r="B7495" s="6" t="s">
        <v>1005</v>
      </c>
      <c r="C7495" s="26" t="n">
        <v>46244</v>
      </c>
      <c r="D7495" s="6" t="s">
        <v>5154</v>
      </c>
      <c r="E7495" s="6" t="s">
        <v>21</v>
      </c>
      <c r="F7495" s="6" t="n">
        <v>1</v>
      </c>
      <c r="G7495" s="10" t="n">
        <v>785</v>
      </c>
      <c r="H7495" s="10" t="n">
        <f aca="false">F7495*G7495</f>
        <v>785</v>
      </c>
      <c r="I7495" s="6" t="s">
        <v>5122</v>
      </c>
    </row>
    <row r="7496" customFormat="false" ht="15" hidden="false" customHeight="false" outlineLevel="0" collapsed="false">
      <c r="A7496" s="6" t="s">
        <v>12720</v>
      </c>
      <c r="B7496" s="6" t="s">
        <v>3887</v>
      </c>
      <c r="C7496" s="26" t="n">
        <v>46244</v>
      </c>
      <c r="D7496" s="6" t="s">
        <v>5163</v>
      </c>
      <c r="E7496" s="6" t="s">
        <v>23</v>
      </c>
      <c r="F7496" s="6" t="n">
        <v>2</v>
      </c>
      <c r="G7496" s="10" t="n">
        <v>705</v>
      </c>
      <c r="H7496" s="10" t="n">
        <f aca="false">F7496*G7496</f>
        <v>1410</v>
      </c>
      <c r="I7496" s="6" t="s">
        <v>5148</v>
      </c>
    </row>
    <row r="7497" customFormat="false" ht="15" hidden="false" customHeight="false" outlineLevel="0" collapsed="false">
      <c r="A7497" s="6" t="s">
        <v>12721</v>
      </c>
      <c r="B7497" s="6" t="s">
        <v>150</v>
      </c>
      <c r="C7497" s="26" t="n">
        <v>46244</v>
      </c>
      <c r="D7497" s="6" t="s">
        <v>5197</v>
      </c>
      <c r="E7497" s="6" t="s">
        <v>21</v>
      </c>
      <c r="F7497" s="6" t="n">
        <v>1</v>
      </c>
      <c r="G7497" s="10" t="n">
        <v>1026</v>
      </c>
      <c r="H7497" s="10" t="n">
        <f aca="false">F7497*G7497</f>
        <v>1026</v>
      </c>
      <c r="I7497" s="6" t="s">
        <v>5173</v>
      </c>
    </row>
    <row r="7498" customFormat="false" ht="15" hidden="false" customHeight="false" outlineLevel="0" collapsed="false">
      <c r="A7498" s="6" t="s">
        <v>12722</v>
      </c>
      <c r="B7498" s="6" t="s">
        <v>4711</v>
      </c>
      <c r="C7498" s="26" t="n">
        <v>46244</v>
      </c>
      <c r="D7498" s="6" t="s">
        <v>5200</v>
      </c>
      <c r="E7498" s="6" t="s">
        <v>24</v>
      </c>
      <c r="F7498" s="6" t="n">
        <v>1</v>
      </c>
      <c r="G7498" s="10" t="n">
        <v>725</v>
      </c>
      <c r="H7498" s="10" t="n">
        <f aca="false">F7498*G7498</f>
        <v>725</v>
      </c>
      <c r="I7498" s="6" t="s">
        <v>5148</v>
      </c>
    </row>
    <row r="7499" customFormat="false" ht="15" hidden="false" customHeight="false" outlineLevel="0" collapsed="false">
      <c r="A7499" s="6" t="s">
        <v>12723</v>
      </c>
      <c r="B7499" s="6" t="s">
        <v>4739</v>
      </c>
      <c r="C7499" s="26" t="n">
        <v>46244</v>
      </c>
      <c r="D7499" s="6" t="s">
        <v>5353</v>
      </c>
      <c r="E7499" s="6" t="s">
        <v>24</v>
      </c>
      <c r="F7499" s="6" t="n">
        <v>2</v>
      </c>
      <c r="G7499" s="10" t="n">
        <v>1629</v>
      </c>
      <c r="H7499" s="10" t="n">
        <f aca="false">F7499*G7499</f>
        <v>3258</v>
      </c>
      <c r="I7499" s="6" t="s">
        <v>5148</v>
      </c>
    </row>
    <row r="7500" customFormat="false" ht="15" hidden="false" customHeight="false" outlineLevel="0" collapsed="false">
      <c r="A7500" s="6" t="s">
        <v>12724</v>
      </c>
      <c r="B7500" s="6" t="s">
        <v>2503</v>
      </c>
      <c r="C7500" s="26" t="n">
        <v>46244</v>
      </c>
      <c r="D7500" s="6" t="s">
        <v>5538</v>
      </c>
      <c r="E7500" s="6" t="s">
        <v>21</v>
      </c>
      <c r="F7500" s="6" t="n">
        <v>1</v>
      </c>
      <c r="G7500" s="10" t="n">
        <v>5405</v>
      </c>
      <c r="H7500" s="10" t="n">
        <f aca="false">F7500*G7500</f>
        <v>5405</v>
      </c>
      <c r="I7500" s="6" t="s">
        <v>5130</v>
      </c>
    </row>
    <row r="7501" customFormat="false" ht="15" hidden="false" customHeight="false" outlineLevel="0" collapsed="false">
      <c r="A7501" s="6" t="s">
        <v>12725</v>
      </c>
      <c r="B7501" s="6" t="s">
        <v>2481</v>
      </c>
      <c r="C7501" s="26" t="n">
        <v>46244</v>
      </c>
      <c r="D7501" s="6" t="s">
        <v>5121</v>
      </c>
      <c r="E7501" s="6" t="s">
        <v>22</v>
      </c>
      <c r="F7501" s="6" t="n">
        <v>4</v>
      </c>
      <c r="G7501" s="10" t="n">
        <v>928</v>
      </c>
      <c r="H7501" s="10" t="n">
        <f aca="false">F7501*G7501</f>
        <v>3712</v>
      </c>
      <c r="I7501" s="6" t="s">
        <v>5122</v>
      </c>
    </row>
    <row r="7502" customFormat="false" ht="15" hidden="false" customHeight="false" outlineLevel="0" collapsed="false">
      <c r="A7502" s="6" t="s">
        <v>12726</v>
      </c>
      <c r="B7502" s="6" t="s">
        <v>2131</v>
      </c>
      <c r="C7502" s="26" t="n">
        <v>46244</v>
      </c>
      <c r="D7502" s="6" t="s">
        <v>5163</v>
      </c>
      <c r="E7502" s="6" t="s">
        <v>23</v>
      </c>
      <c r="F7502" s="6" t="n">
        <v>3</v>
      </c>
      <c r="G7502" s="10" t="n">
        <v>783</v>
      </c>
      <c r="H7502" s="10" t="n">
        <f aca="false">F7502*G7502</f>
        <v>2349</v>
      </c>
      <c r="I7502" s="6" t="s">
        <v>5133</v>
      </c>
    </row>
    <row r="7503" customFormat="false" ht="15" hidden="false" customHeight="false" outlineLevel="0" collapsed="false">
      <c r="A7503" s="6" t="s">
        <v>12727</v>
      </c>
      <c r="B7503" s="6" t="s">
        <v>819</v>
      </c>
      <c r="C7503" s="26" t="n">
        <v>46244</v>
      </c>
      <c r="D7503" s="6" t="s">
        <v>5200</v>
      </c>
      <c r="E7503" s="6" t="s">
        <v>24</v>
      </c>
      <c r="F7503" s="6" t="n">
        <v>1</v>
      </c>
      <c r="G7503" s="10" t="n">
        <v>763</v>
      </c>
      <c r="H7503" s="10" t="n">
        <f aca="false">F7503*G7503</f>
        <v>763</v>
      </c>
      <c r="I7503" s="6" t="s">
        <v>5148</v>
      </c>
    </row>
    <row r="7504" customFormat="false" ht="15" hidden="false" customHeight="false" outlineLevel="0" collapsed="false">
      <c r="A7504" s="6" t="s">
        <v>12728</v>
      </c>
      <c r="B7504" s="6" t="s">
        <v>4849</v>
      </c>
      <c r="C7504" s="26" t="n">
        <v>46244</v>
      </c>
      <c r="D7504" s="6" t="s">
        <v>5357</v>
      </c>
      <c r="E7504" s="6" t="s">
        <v>23</v>
      </c>
      <c r="F7504" s="6" t="n">
        <v>5</v>
      </c>
      <c r="G7504" s="10" t="n">
        <v>507</v>
      </c>
      <c r="H7504" s="10" t="n">
        <f aca="false">F7504*G7504</f>
        <v>2535</v>
      </c>
      <c r="I7504" s="6" t="s">
        <v>5122</v>
      </c>
    </row>
    <row r="7505" customFormat="false" ht="15" hidden="false" customHeight="false" outlineLevel="0" collapsed="false">
      <c r="A7505" s="6" t="s">
        <v>12729</v>
      </c>
      <c r="B7505" s="6" t="s">
        <v>2543</v>
      </c>
      <c r="C7505" s="26" t="n">
        <v>46244</v>
      </c>
      <c r="D7505" s="6" t="s">
        <v>5175</v>
      </c>
      <c r="E7505" s="6" t="s">
        <v>24</v>
      </c>
      <c r="F7505" s="6" t="n">
        <v>1</v>
      </c>
      <c r="G7505" s="10" t="n">
        <v>580</v>
      </c>
      <c r="H7505" s="10" t="n">
        <f aca="false">F7505*G7505</f>
        <v>580</v>
      </c>
      <c r="I7505" s="6" t="s">
        <v>5122</v>
      </c>
    </row>
    <row r="7506" customFormat="false" ht="15" hidden="false" customHeight="false" outlineLevel="0" collapsed="false">
      <c r="A7506" s="6" t="s">
        <v>12730</v>
      </c>
      <c r="B7506" s="6" t="s">
        <v>1147</v>
      </c>
      <c r="C7506" s="26" t="n">
        <v>46244</v>
      </c>
      <c r="D7506" s="6" t="s">
        <v>5167</v>
      </c>
      <c r="E7506" s="6" t="s">
        <v>22</v>
      </c>
      <c r="F7506" s="6" t="n">
        <v>2</v>
      </c>
      <c r="G7506" s="10" t="n">
        <v>743</v>
      </c>
      <c r="H7506" s="10" t="n">
        <f aca="false">F7506*G7506</f>
        <v>1486</v>
      </c>
      <c r="I7506" s="6" t="s">
        <v>5130</v>
      </c>
    </row>
    <row r="7507" customFormat="false" ht="15" hidden="false" customHeight="false" outlineLevel="0" collapsed="false">
      <c r="A7507" s="6" t="s">
        <v>12731</v>
      </c>
      <c r="B7507" s="6" t="s">
        <v>4523</v>
      </c>
      <c r="C7507" s="26" t="n">
        <v>46244</v>
      </c>
      <c r="D7507" s="6" t="s">
        <v>5129</v>
      </c>
      <c r="E7507" s="6" t="s">
        <v>21</v>
      </c>
      <c r="F7507" s="6" t="n">
        <v>1</v>
      </c>
      <c r="G7507" s="10" t="n">
        <v>589</v>
      </c>
      <c r="H7507" s="10" t="n">
        <f aca="false">F7507*G7507</f>
        <v>589</v>
      </c>
      <c r="I7507" s="6" t="s">
        <v>5122</v>
      </c>
    </row>
    <row r="7508" customFormat="false" ht="15" hidden="false" customHeight="false" outlineLevel="0" collapsed="false">
      <c r="A7508" s="6" t="s">
        <v>12732</v>
      </c>
      <c r="B7508" s="6" t="s">
        <v>1123</v>
      </c>
      <c r="C7508" s="26" t="n">
        <v>46244</v>
      </c>
      <c r="D7508" s="6" t="s">
        <v>5167</v>
      </c>
      <c r="E7508" s="6" t="s">
        <v>22</v>
      </c>
      <c r="F7508" s="6" t="n">
        <v>2</v>
      </c>
      <c r="G7508" s="10" t="n">
        <v>782</v>
      </c>
      <c r="H7508" s="10" t="n">
        <f aca="false">F7508*G7508</f>
        <v>1564</v>
      </c>
      <c r="I7508" s="6" t="s">
        <v>5122</v>
      </c>
    </row>
    <row r="7509" customFormat="false" ht="15" hidden="false" customHeight="false" outlineLevel="0" collapsed="false">
      <c r="A7509" s="6" t="s">
        <v>12733</v>
      </c>
      <c r="B7509" s="6" t="s">
        <v>3627</v>
      </c>
      <c r="C7509" s="26" t="n">
        <v>46244</v>
      </c>
      <c r="D7509" s="6" t="s">
        <v>5143</v>
      </c>
      <c r="E7509" s="6" t="s">
        <v>21</v>
      </c>
      <c r="F7509" s="6" t="n">
        <v>1</v>
      </c>
      <c r="G7509" s="10" t="n">
        <v>1179</v>
      </c>
      <c r="H7509" s="10" t="n">
        <f aca="false">F7509*G7509</f>
        <v>1179</v>
      </c>
      <c r="I7509" s="6" t="s">
        <v>5148</v>
      </c>
    </row>
    <row r="7510" customFormat="false" ht="15" hidden="false" customHeight="false" outlineLevel="0" collapsed="false">
      <c r="A7510" s="6" t="s">
        <v>12734</v>
      </c>
      <c r="B7510" s="6" t="s">
        <v>5015</v>
      </c>
      <c r="C7510" s="26" t="n">
        <v>46244</v>
      </c>
      <c r="D7510" s="6" t="s">
        <v>5456</v>
      </c>
      <c r="E7510" s="6" t="s">
        <v>24</v>
      </c>
      <c r="F7510" s="6" t="n">
        <v>2</v>
      </c>
      <c r="G7510" s="10" t="n">
        <v>912</v>
      </c>
      <c r="H7510" s="10" t="n">
        <f aca="false">F7510*G7510</f>
        <v>1824</v>
      </c>
      <c r="I7510" s="6" t="s">
        <v>5122</v>
      </c>
    </row>
    <row r="7511" customFormat="false" ht="15" hidden="false" customHeight="false" outlineLevel="0" collapsed="false">
      <c r="A7511" s="6" t="s">
        <v>12735</v>
      </c>
      <c r="B7511" s="6" t="s">
        <v>669</v>
      </c>
      <c r="C7511" s="26" t="n">
        <v>46244</v>
      </c>
      <c r="D7511" s="6" t="s">
        <v>5145</v>
      </c>
      <c r="E7511" s="6" t="s">
        <v>21</v>
      </c>
      <c r="F7511" s="6" t="n">
        <v>3</v>
      </c>
      <c r="G7511" s="10" t="n">
        <v>1277</v>
      </c>
      <c r="H7511" s="10" t="n">
        <f aca="false">F7511*G7511</f>
        <v>3831</v>
      </c>
      <c r="I7511" s="6" t="s">
        <v>5122</v>
      </c>
    </row>
    <row r="7512" customFormat="false" ht="15" hidden="false" customHeight="false" outlineLevel="0" collapsed="false">
      <c r="A7512" s="6" t="s">
        <v>12736</v>
      </c>
      <c r="B7512" s="6" t="s">
        <v>1419</v>
      </c>
      <c r="C7512" s="26" t="n">
        <v>46244</v>
      </c>
      <c r="D7512" s="6" t="s">
        <v>5185</v>
      </c>
      <c r="E7512" s="6" t="s">
        <v>24</v>
      </c>
      <c r="F7512" s="6" t="n">
        <v>2</v>
      </c>
      <c r="G7512" s="10" t="n">
        <v>2140</v>
      </c>
      <c r="H7512" s="10" t="n">
        <f aca="false">F7512*G7512</f>
        <v>4280</v>
      </c>
      <c r="I7512" s="6" t="s">
        <v>5122</v>
      </c>
    </row>
    <row r="7513" customFormat="false" ht="15" hidden="false" customHeight="false" outlineLevel="0" collapsed="false">
      <c r="A7513" s="6" t="s">
        <v>12737</v>
      </c>
      <c r="B7513" s="6" t="s">
        <v>697</v>
      </c>
      <c r="C7513" s="26" t="n">
        <v>46244</v>
      </c>
      <c r="D7513" s="6" t="s">
        <v>5466</v>
      </c>
      <c r="E7513" s="6" t="s">
        <v>21</v>
      </c>
      <c r="F7513" s="6" t="n">
        <v>2</v>
      </c>
      <c r="G7513" s="10" t="n">
        <v>1965</v>
      </c>
      <c r="H7513" s="10" t="n">
        <f aca="false">F7513*G7513</f>
        <v>3930</v>
      </c>
      <c r="I7513" s="6" t="s">
        <v>5122</v>
      </c>
    </row>
    <row r="7514" customFormat="false" ht="15" hidden="false" customHeight="false" outlineLevel="0" collapsed="false">
      <c r="A7514" s="6" t="s">
        <v>12738</v>
      </c>
      <c r="B7514" s="6" t="s">
        <v>3197</v>
      </c>
      <c r="C7514" s="26" t="n">
        <v>46244</v>
      </c>
      <c r="D7514" s="6" t="s">
        <v>5185</v>
      </c>
      <c r="E7514" s="6" t="s">
        <v>24</v>
      </c>
      <c r="F7514" s="6" t="n">
        <v>4</v>
      </c>
      <c r="G7514" s="10" t="n">
        <v>2033</v>
      </c>
      <c r="H7514" s="10" t="n">
        <f aca="false">F7514*G7514</f>
        <v>8132</v>
      </c>
      <c r="I7514" s="6" t="s">
        <v>5130</v>
      </c>
    </row>
    <row r="7515" customFormat="false" ht="15" hidden="false" customHeight="false" outlineLevel="0" collapsed="false">
      <c r="A7515" s="6" t="s">
        <v>12739</v>
      </c>
      <c r="B7515" s="6" t="s">
        <v>352</v>
      </c>
      <c r="C7515" s="26" t="n">
        <v>46244</v>
      </c>
      <c r="D7515" s="6" t="s">
        <v>5345</v>
      </c>
      <c r="E7515" s="6" t="s">
        <v>23</v>
      </c>
      <c r="F7515" s="6" t="n">
        <v>1</v>
      </c>
      <c r="G7515" s="10" t="n">
        <v>436</v>
      </c>
      <c r="H7515" s="10" t="n">
        <f aca="false">F7515*G7515</f>
        <v>436</v>
      </c>
      <c r="I7515" s="6" t="s">
        <v>5148</v>
      </c>
    </row>
    <row r="7516" customFormat="false" ht="15" hidden="false" customHeight="false" outlineLevel="0" collapsed="false">
      <c r="A7516" s="6" t="s">
        <v>12740</v>
      </c>
      <c r="B7516" s="6" t="s">
        <v>4305</v>
      </c>
      <c r="C7516" s="26" t="n">
        <v>46244</v>
      </c>
      <c r="D7516" s="6" t="s">
        <v>5121</v>
      </c>
      <c r="E7516" s="6" t="s">
        <v>22</v>
      </c>
      <c r="F7516" s="6" t="n">
        <v>1</v>
      </c>
      <c r="G7516" s="10" t="n">
        <v>928</v>
      </c>
      <c r="H7516" s="10" t="n">
        <f aca="false">F7516*G7516</f>
        <v>928</v>
      </c>
      <c r="I7516" s="6" t="s">
        <v>5130</v>
      </c>
    </row>
    <row r="7517" customFormat="false" ht="15" hidden="false" customHeight="false" outlineLevel="0" collapsed="false">
      <c r="A7517" s="6" t="s">
        <v>12741</v>
      </c>
      <c r="B7517" s="6" t="s">
        <v>3141</v>
      </c>
      <c r="C7517" s="26" t="n">
        <v>46244</v>
      </c>
      <c r="D7517" s="6" t="s">
        <v>5127</v>
      </c>
      <c r="E7517" s="6" t="s">
        <v>21</v>
      </c>
      <c r="F7517" s="6" t="n">
        <v>1</v>
      </c>
      <c r="G7517" s="10" t="n">
        <v>795</v>
      </c>
      <c r="H7517" s="10" t="n">
        <f aca="false">F7517*G7517</f>
        <v>795</v>
      </c>
      <c r="I7517" s="6" t="s">
        <v>5122</v>
      </c>
    </row>
    <row r="7518" customFormat="false" ht="15" hidden="false" customHeight="false" outlineLevel="0" collapsed="false">
      <c r="A7518" s="6" t="s">
        <v>12742</v>
      </c>
      <c r="B7518" s="6" t="s">
        <v>2169</v>
      </c>
      <c r="C7518" s="26" t="n">
        <v>46244</v>
      </c>
      <c r="D7518" s="6" t="s">
        <v>5339</v>
      </c>
      <c r="E7518" s="6" t="s">
        <v>24</v>
      </c>
      <c r="F7518" s="6" t="n">
        <v>1</v>
      </c>
      <c r="G7518" s="10" t="n">
        <v>509</v>
      </c>
      <c r="H7518" s="10" t="n">
        <f aca="false">F7518*G7518</f>
        <v>509</v>
      </c>
      <c r="I7518" s="6" t="s">
        <v>5125</v>
      </c>
    </row>
    <row r="7519" customFormat="false" ht="15" hidden="false" customHeight="false" outlineLevel="0" collapsed="false">
      <c r="A7519" s="6" t="s">
        <v>12743</v>
      </c>
      <c r="B7519" s="6" t="s">
        <v>2843</v>
      </c>
      <c r="C7519" s="26" t="n">
        <v>46244</v>
      </c>
      <c r="D7519" s="6" t="s">
        <v>5135</v>
      </c>
      <c r="E7519" s="6" t="s">
        <v>23</v>
      </c>
      <c r="F7519" s="6" t="n">
        <v>3</v>
      </c>
      <c r="G7519" s="10" t="n">
        <v>397</v>
      </c>
      <c r="H7519" s="10" t="n">
        <f aca="false">F7519*G7519</f>
        <v>1191</v>
      </c>
      <c r="I7519" s="6" t="s">
        <v>5148</v>
      </c>
    </row>
    <row r="7520" customFormat="false" ht="15" hidden="false" customHeight="false" outlineLevel="0" collapsed="false">
      <c r="A7520" s="6" t="s">
        <v>12744</v>
      </c>
      <c r="B7520" s="6" t="s">
        <v>2069</v>
      </c>
      <c r="C7520" s="26" t="n">
        <v>46244</v>
      </c>
      <c r="D7520" s="6" t="s">
        <v>5318</v>
      </c>
      <c r="E7520" s="6" t="s">
        <v>20</v>
      </c>
      <c r="F7520" s="6" t="n">
        <v>1</v>
      </c>
      <c r="G7520" s="10" t="n">
        <v>1529</v>
      </c>
      <c r="H7520" s="10" t="n">
        <f aca="false">F7520*G7520</f>
        <v>1529</v>
      </c>
      <c r="I7520" s="6" t="s">
        <v>5122</v>
      </c>
    </row>
    <row r="7521" customFormat="false" ht="15" hidden="false" customHeight="false" outlineLevel="0" collapsed="false">
      <c r="A7521" s="6" t="s">
        <v>12745</v>
      </c>
      <c r="B7521" s="6" t="s">
        <v>356</v>
      </c>
      <c r="C7521" s="26" t="n">
        <v>46244</v>
      </c>
      <c r="D7521" s="6" t="s">
        <v>5687</v>
      </c>
      <c r="E7521" s="6" t="s">
        <v>20</v>
      </c>
      <c r="F7521" s="6" t="n">
        <v>3</v>
      </c>
      <c r="G7521" s="10" t="n">
        <v>1937</v>
      </c>
      <c r="H7521" s="10" t="n">
        <f aca="false">F7521*G7521</f>
        <v>5811</v>
      </c>
      <c r="I7521" s="6" t="s">
        <v>5122</v>
      </c>
    </row>
    <row r="7522" customFormat="false" ht="15" hidden="false" customHeight="false" outlineLevel="0" collapsed="false">
      <c r="A7522" s="6" t="s">
        <v>12746</v>
      </c>
      <c r="B7522" s="6" t="s">
        <v>475</v>
      </c>
      <c r="C7522" s="26" t="n">
        <v>46244</v>
      </c>
      <c r="D7522" s="6" t="s">
        <v>5269</v>
      </c>
      <c r="E7522" s="6" t="s">
        <v>22</v>
      </c>
      <c r="F7522" s="6" t="n">
        <v>1</v>
      </c>
      <c r="G7522" s="10" t="n">
        <v>1207</v>
      </c>
      <c r="H7522" s="10" t="n">
        <f aca="false">F7522*G7522</f>
        <v>1207</v>
      </c>
      <c r="I7522" s="6" t="s">
        <v>5148</v>
      </c>
    </row>
    <row r="7523" customFormat="false" ht="15" hidden="false" customHeight="false" outlineLevel="0" collapsed="false">
      <c r="A7523" s="6" t="s">
        <v>12747</v>
      </c>
      <c r="B7523" s="6" t="s">
        <v>4005</v>
      </c>
      <c r="C7523" s="26" t="n">
        <v>46244</v>
      </c>
      <c r="D7523" s="6" t="s">
        <v>5216</v>
      </c>
      <c r="E7523" s="6" t="s">
        <v>23</v>
      </c>
      <c r="F7523" s="6" t="n">
        <v>2</v>
      </c>
      <c r="G7523" s="10" t="n">
        <v>587</v>
      </c>
      <c r="H7523" s="10" t="n">
        <f aca="false">F7523*G7523</f>
        <v>1174</v>
      </c>
      <c r="I7523" s="6" t="s">
        <v>5148</v>
      </c>
    </row>
    <row r="7524" customFormat="false" ht="15" hidden="false" customHeight="false" outlineLevel="0" collapsed="false">
      <c r="A7524" s="6" t="s">
        <v>12748</v>
      </c>
      <c r="B7524" s="6" t="s">
        <v>2563</v>
      </c>
      <c r="C7524" s="26" t="n">
        <v>46244</v>
      </c>
      <c r="D7524" s="6" t="s">
        <v>5192</v>
      </c>
      <c r="E7524" s="6" t="s">
        <v>20</v>
      </c>
      <c r="F7524" s="6" t="n">
        <v>1</v>
      </c>
      <c r="G7524" s="10" t="n">
        <v>3670</v>
      </c>
      <c r="H7524" s="10" t="n">
        <f aca="false">F7524*G7524</f>
        <v>3670</v>
      </c>
      <c r="I7524" s="6" t="s">
        <v>5122</v>
      </c>
    </row>
    <row r="7525" customFormat="false" ht="15" hidden="false" customHeight="false" outlineLevel="0" collapsed="false">
      <c r="A7525" s="6" t="s">
        <v>12749</v>
      </c>
      <c r="B7525" s="6" t="s">
        <v>4273</v>
      </c>
      <c r="C7525" s="26" t="n">
        <v>46244</v>
      </c>
      <c r="D7525" s="6" t="s">
        <v>5129</v>
      </c>
      <c r="E7525" s="6" t="s">
        <v>21</v>
      </c>
      <c r="F7525" s="6" t="n">
        <v>1</v>
      </c>
      <c r="G7525" s="10" t="n">
        <v>589</v>
      </c>
      <c r="H7525" s="10" t="n">
        <f aca="false">F7525*G7525</f>
        <v>589</v>
      </c>
      <c r="I7525" s="6" t="s">
        <v>5122</v>
      </c>
    </row>
    <row r="7526" customFormat="false" ht="15" hidden="false" customHeight="false" outlineLevel="0" collapsed="false">
      <c r="A7526" s="6" t="s">
        <v>12750</v>
      </c>
      <c r="B7526" s="6" t="s">
        <v>755</v>
      </c>
      <c r="C7526" s="26" t="n">
        <v>46244</v>
      </c>
      <c r="D7526" s="6" t="s">
        <v>5185</v>
      </c>
      <c r="E7526" s="6" t="s">
        <v>24</v>
      </c>
      <c r="F7526" s="6" t="n">
        <v>1</v>
      </c>
      <c r="G7526" s="10" t="n">
        <v>2140</v>
      </c>
      <c r="H7526" s="10" t="n">
        <f aca="false">F7526*G7526</f>
        <v>2140</v>
      </c>
      <c r="I7526" s="6" t="s">
        <v>5122</v>
      </c>
    </row>
    <row r="7527" customFormat="false" ht="15" hidden="false" customHeight="false" outlineLevel="0" collapsed="false">
      <c r="A7527" s="6" t="s">
        <v>12751</v>
      </c>
      <c r="B7527" s="6" t="s">
        <v>4217</v>
      </c>
      <c r="C7527" s="26" t="n">
        <v>46244</v>
      </c>
      <c r="D7527" s="6" t="s">
        <v>5216</v>
      </c>
      <c r="E7527" s="6" t="s">
        <v>23</v>
      </c>
      <c r="F7527" s="6" t="n">
        <v>4</v>
      </c>
      <c r="G7527" s="10" t="n">
        <v>587</v>
      </c>
      <c r="H7527" s="10" t="n">
        <f aca="false">F7527*G7527</f>
        <v>2348</v>
      </c>
      <c r="I7527" s="6" t="s">
        <v>5125</v>
      </c>
    </row>
    <row r="7528" customFormat="false" ht="15" hidden="false" customHeight="false" outlineLevel="0" collapsed="false">
      <c r="A7528" s="6" t="s">
        <v>12752</v>
      </c>
      <c r="B7528" s="6" t="s">
        <v>2857</v>
      </c>
      <c r="C7528" s="26" t="n">
        <v>46244</v>
      </c>
      <c r="D7528" s="6" t="s">
        <v>5281</v>
      </c>
      <c r="E7528" s="6" t="s">
        <v>24</v>
      </c>
      <c r="F7528" s="6" t="n">
        <v>2</v>
      </c>
      <c r="G7528" s="10" t="n">
        <v>773</v>
      </c>
      <c r="H7528" s="10" t="n">
        <f aca="false">F7528*G7528</f>
        <v>1546</v>
      </c>
      <c r="I7528" s="6" t="s">
        <v>5130</v>
      </c>
    </row>
    <row r="7529" customFormat="false" ht="15" hidden="false" customHeight="false" outlineLevel="0" collapsed="false">
      <c r="A7529" s="6" t="s">
        <v>12753</v>
      </c>
      <c r="B7529" s="6" t="s">
        <v>1061</v>
      </c>
      <c r="C7529" s="26" t="n">
        <v>46244</v>
      </c>
      <c r="D7529" s="6" t="s">
        <v>5182</v>
      </c>
      <c r="E7529" s="6" t="s">
        <v>23</v>
      </c>
      <c r="F7529" s="6" t="n">
        <v>1</v>
      </c>
      <c r="G7529" s="10" t="n">
        <v>331</v>
      </c>
      <c r="H7529" s="10" t="n">
        <f aca="false">F7529*G7529</f>
        <v>331</v>
      </c>
      <c r="I7529" s="6" t="s">
        <v>5122</v>
      </c>
    </row>
    <row r="7530" customFormat="false" ht="15" hidden="false" customHeight="false" outlineLevel="0" collapsed="false">
      <c r="A7530" s="6" t="s">
        <v>12754</v>
      </c>
      <c r="B7530" s="6" t="s">
        <v>2869</v>
      </c>
      <c r="C7530" s="26" t="n">
        <v>46245</v>
      </c>
      <c r="D7530" s="6" t="s">
        <v>5167</v>
      </c>
      <c r="E7530" s="6" t="s">
        <v>22</v>
      </c>
      <c r="F7530" s="6" t="n">
        <v>1</v>
      </c>
      <c r="G7530" s="10" t="n">
        <v>782</v>
      </c>
      <c r="H7530" s="10" t="n">
        <f aca="false">F7530*G7530</f>
        <v>782</v>
      </c>
      <c r="I7530" s="6" t="s">
        <v>5125</v>
      </c>
    </row>
    <row r="7531" customFormat="false" ht="15" hidden="false" customHeight="false" outlineLevel="0" collapsed="false">
      <c r="A7531" s="6" t="s">
        <v>12755</v>
      </c>
      <c r="B7531" s="6" t="s">
        <v>1295</v>
      </c>
      <c r="C7531" s="26" t="n">
        <v>46245</v>
      </c>
      <c r="D7531" s="6" t="s">
        <v>5345</v>
      </c>
      <c r="E7531" s="6" t="s">
        <v>23</v>
      </c>
      <c r="F7531" s="6" t="n">
        <v>2</v>
      </c>
      <c r="G7531" s="10" t="n">
        <v>436</v>
      </c>
      <c r="H7531" s="10" t="n">
        <f aca="false">F7531*G7531</f>
        <v>872</v>
      </c>
      <c r="I7531" s="6" t="s">
        <v>5148</v>
      </c>
    </row>
    <row r="7532" customFormat="false" ht="15" hidden="false" customHeight="false" outlineLevel="0" collapsed="false">
      <c r="A7532" s="6" t="s">
        <v>12756</v>
      </c>
      <c r="B7532" s="6" t="s">
        <v>4267</v>
      </c>
      <c r="C7532" s="26" t="n">
        <v>46245</v>
      </c>
      <c r="D7532" s="6" t="s">
        <v>5218</v>
      </c>
      <c r="E7532" s="6" t="s">
        <v>23</v>
      </c>
      <c r="F7532" s="6" t="n">
        <v>3</v>
      </c>
      <c r="G7532" s="10" t="n">
        <v>165</v>
      </c>
      <c r="H7532" s="10" t="n">
        <f aca="false">F7532*G7532</f>
        <v>495</v>
      </c>
      <c r="I7532" s="6" t="s">
        <v>5122</v>
      </c>
    </row>
    <row r="7533" customFormat="false" ht="15" hidden="false" customHeight="false" outlineLevel="0" collapsed="false">
      <c r="A7533" s="6" t="s">
        <v>12757</v>
      </c>
      <c r="B7533" s="6" t="s">
        <v>3627</v>
      </c>
      <c r="C7533" s="26" t="n">
        <v>46245</v>
      </c>
      <c r="D7533" s="6" t="s">
        <v>5216</v>
      </c>
      <c r="E7533" s="6" t="s">
        <v>23</v>
      </c>
      <c r="F7533" s="6" t="n">
        <v>3</v>
      </c>
      <c r="G7533" s="10" t="n">
        <v>587</v>
      </c>
      <c r="H7533" s="10" t="n">
        <f aca="false">F7533*G7533</f>
        <v>1761</v>
      </c>
      <c r="I7533" s="6" t="s">
        <v>5148</v>
      </c>
    </row>
    <row r="7534" customFormat="false" ht="15" hidden="false" customHeight="false" outlineLevel="0" collapsed="false">
      <c r="A7534" s="6" t="s">
        <v>12758</v>
      </c>
      <c r="B7534" s="6" t="s">
        <v>388</v>
      </c>
      <c r="C7534" s="26" t="n">
        <v>46245</v>
      </c>
      <c r="D7534" s="6" t="s">
        <v>5281</v>
      </c>
      <c r="E7534" s="6" t="s">
        <v>24</v>
      </c>
      <c r="F7534" s="6" t="n">
        <v>1</v>
      </c>
      <c r="G7534" s="10" t="n">
        <v>773</v>
      </c>
      <c r="H7534" s="10" t="n">
        <f aca="false">F7534*G7534</f>
        <v>773</v>
      </c>
      <c r="I7534" s="6" t="s">
        <v>5133</v>
      </c>
    </row>
    <row r="7535" customFormat="false" ht="15" hidden="false" customHeight="false" outlineLevel="0" collapsed="false">
      <c r="A7535" s="6" t="s">
        <v>12759</v>
      </c>
      <c r="B7535" s="6" t="s">
        <v>1673</v>
      </c>
      <c r="C7535" s="26" t="n">
        <v>46245</v>
      </c>
      <c r="D7535" s="6" t="s">
        <v>5353</v>
      </c>
      <c r="E7535" s="6" t="s">
        <v>24</v>
      </c>
      <c r="F7535" s="6" t="n">
        <v>1</v>
      </c>
      <c r="G7535" s="10" t="n">
        <v>1629</v>
      </c>
      <c r="H7535" s="10" t="n">
        <f aca="false">F7535*G7535</f>
        <v>1629</v>
      </c>
      <c r="I7535" s="6" t="s">
        <v>5130</v>
      </c>
    </row>
    <row r="7536" customFormat="false" ht="15" hidden="false" customHeight="false" outlineLevel="0" collapsed="false">
      <c r="A7536" s="6" t="s">
        <v>12760</v>
      </c>
      <c r="B7536" s="6" t="s">
        <v>4321</v>
      </c>
      <c r="C7536" s="26" t="n">
        <v>46245</v>
      </c>
      <c r="D7536" s="6" t="s">
        <v>5129</v>
      </c>
      <c r="E7536" s="6" t="s">
        <v>21</v>
      </c>
      <c r="F7536" s="6" t="n">
        <v>1</v>
      </c>
      <c r="G7536" s="10" t="n">
        <v>589</v>
      </c>
      <c r="H7536" s="10" t="n">
        <f aca="false">F7536*G7536</f>
        <v>589</v>
      </c>
      <c r="I7536" s="6" t="s">
        <v>5148</v>
      </c>
    </row>
    <row r="7537" customFormat="false" ht="15" hidden="false" customHeight="false" outlineLevel="0" collapsed="false">
      <c r="A7537" s="6" t="s">
        <v>12761</v>
      </c>
      <c r="B7537" s="6" t="s">
        <v>4227</v>
      </c>
      <c r="C7537" s="26" t="n">
        <v>46245</v>
      </c>
      <c r="D7537" s="6" t="s">
        <v>5488</v>
      </c>
      <c r="E7537" s="6" t="s">
        <v>24</v>
      </c>
      <c r="F7537" s="6" t="n">
        <v>1</v>
      </c>
      <c r="G7537" s="10" t="n">
        <v>866</v>
      </c>
      <c r="H7537" s="10" t="n">
        <f aca="false">F7537*G7537</f>
        <v>866</v>
      </c>
      <c r="I7537" s="6" t="s">
        <v>5122</v>
      </c>
    </row>
    <row r="7538" customFormat="false" ht="15" hidden="false" customHeight="false" outlineLevel="0" collapsed="false">
      <c r="A7538" s="6" t="s">
        <v>12762</v>
      </c>
      <c r="B7538" s="6" t="s">
        <v>1257</v>
      </c>
      <c r="C7538" s="26" t="n">
        <v>46245</v>
      </c>
      <c r="D7538" s="6" t="s">
        <v>5482</v>
      </c>
      <c r="E7538" s="6" t="s">
        <v>23</v>
      </c>
      <c r="F7538" s="6" t="n">
        <v>5</v>
      </c>
      <c r="G7538" s="10" t="n">
        <v>256</v>
      </c>
      <c r="H7538" s="10" t="n">
        <f aca="false">F7538*G7538</f>
        <v>1280</v>
      </c>
      <c r="I7538" s="6" t="s">
        <v>5133</v>
      </c>
    </row>
    <row r="7539" customFormat="false" ht="15" hidden="false" customHeight="false" outlineLevel="0" collapsed="false">
      <c r="A7539" s="6" t="s">
        <v>12763</v>
      </c>
      <c r="B7539" s="6" t="s">
        <v>1259</v>
      </c>
      <c r="C7539" s="26" t="n">
        <v>46245</v>
      </c>
      <c r="D7539" s="6" t="s">
        <v>5488</v>
      </c>
      <c r="E7539" s="6" t="s">
        <v>24</v>
      </c>
      <c r="F7539" s="6" t="n">
        <v>2</v>
      </c>
      <c r="G7539" s="10" t="n">
        <v>866</v>
      </c>
      <c r="H7539" s="10" t="n">
        <f aca="false">F7539*G7539</f>
        <v>1732</v>
      </c>
      <c r="I7539" s="6" t="s">
        <v>5125</v>
      </c>
    </row>
    <row r="7540" customFormat="false" ht="15" hidden="false" customHeight="false" outlineLevel="0" collapsed="false">
      <c r="A7540" s="6" t="s">
        <v>12764</v>
      </c>
      <c r="B7540" s="6" t="s">
        <v>2559</v>
      </c>
      <c r="C7540" s="26" t="n">
        <v>46245</v>
      </c>
      <c r="D7540" s="6" t="s">
        <v>5269</v>
      </c>
      <c r="E7540" s="6" t="s">
        <v>22</v>
      </c>
      <c r="F7540" s="6" t="n">
        <v>1</v>
      </c>
      <c r="G7540" s="10" t="n">
        <v>1207</v>
      </c>
      <c r="H7540" s="10" t="n">
        <f aca="false">F7540*G7540</f>
        <v>1207</v>
      </c>
      <c r="I7540" s="6" t="s">
        <v>5130</v>
      </c>
    </row>
    <row r="7541" customFormat="false" ht="15" hidden="false" customHeight="false" outlineLevel="0" collapsed="false">
      <c r="A7541" s="6" t="s">
        <v>12765</v>
      </c>
      <c r="B7541" s="6" t="s">
        <v>717</v>
      </c>
      <c r="C7541" s="26" t="n">
        <v>46245</v>
      </c>
      <c r="D7541" s="6" t="s">
        <v>5121</v>
      </c>
      <c r="E7541" s="6" t="s">
        <v>22</v>
      </c>
      <c r="F7541" s="6" t="n">
        <v>2</v>
      </c>
      <c r="G7541" s="10" t="n">
        <v>977</v>
      </c>
      <c r="H7541" s="10" t="n">
        <f aca="false">F7541*G7541</f>
        <v>1954</v>
      </c>
      <c r="I7541" s="6" t="s">
        <v>5122</v>
      </c>
    </row>
    <row r="7542" customFormat="false" ht="15" hidden="false" customHeight="false" outlineLevel="0" collapsed="false">
      <c r="A7542" s="6" t="s">
        <v>12766</v>
      </c>
      <c r="B7542" s="6" t="s">
        <v>1379</v>
      </c>
      <c r="C7542" s="26" t="n">
        <v>46245</v>
      </c>
      <c r="D7542" s="6" t="s">
        <v>5171</v>
      </c>
      <c r="E7542" s="6" t="s">
        <v>23</v>
      </c>
      <c r="F7542" s="6" t="n">
        <v>3</v>
      </c>
      <c r="G7542" s="10" t="n">
        <v>697</v>
      </c>
      <c r="H7542" s="10" t="n">
        <f aca="false">F7542*G7542</f>
        <v>2091</v>
      </c>
      <c r="I7542" s="6" t="s">
        <v>5130</v>
      </c>
    </row>
    <row r="7543" customFormat="false" ht="15" hidden="false" customHeight="false" outlineLevel="0" collapsed="false">
      <c r="A7543" s="6" t="s">
        <v>12767</v>
      </c>
      <c r="B7543" s="6" t="s">
        <v>3471</v>
      </c>
      <c r="C7543" s="26" t="n">
        <v>46245</v>
      </c>
      <c r="D7543" s="6" t="s">
        <v>5165</v>
      </c>
      <c r="E7543" s="6" t="s">
        <v>22</v>
      </c>
      <c r="F7543" s="6" t="n">
        <v>2</v>
      </c>
      <c r="G7543" s="10" t="n">
        <v>880</v>
      </c>
      <c r="H7543" s="10" t="n">
        <f aca="false">F7543*G7543</f>
        <v>1760</v>
      </c>
      <c r="I7543" s="6" t="s">
        <v>5122</v>
      </c>
    </row>
    <row r="7544" customFormat="false" ht="15" hidden="false" customHeight="false" outlineLevel="0" collapsed="false">
      <c r="A7544" s="6" t="s">
        <v>12768</v>
      </c>
      <c r="B7544" s="6" t="s">
        <v>4377</v>
      </c>
      <c r="C7544" s="26" t="n">
        <v>46245</v>
      </c>
      <c r="D7544" s="6" t="s">
        <v>5129</v>
      </c>
      <c r="E7544" s="6" t="s">
        <v>21</v>
      </c>
      <c r="F7544" s="6" t="n">
        <v>2</v>
      </c>
      <c r="G7544" s="10" t="n">
        <v>589</v>
      </c>
      <c r="H7544" s="10" t="n">
        <f aca="false">F7544*G7544</f>
        <v>1178</v>
      </c>
      <c r="I7544" s="6" t="s">
        <v>5122</v>
      </c>
    </row>
    <row r="7545" customFormat="false" ht="15" hidden="false" customHeight="false" outlineLevel="0" collapsed="false">
      <c r="A7545" s="6" t="s">
        <v>12769</v>
      </c>
      <c r="B7545" s="6" t="s">
        <v>4841</v>
      </c>
      <c r="C7545" s="26" t="n">
        <v>46245</v>
      </c>
      <c r="D7545" s="6" t="s">
        <v>5207</v>
      </c>
      <c r="E7545" s="6" t="s">
        <v>20</v>
      </c>
      <c r="F7545" s="6" t="n">
        <v>1</v>
      </c>
      <c r="G7545" s="10" t="n">
        <v>1325</v>
      </c>
      <c r="H7545" s="10" t="n">
        <f aca="false">F7545*G7545</f>
        <v>1325</v>
      </c>
      <c r="I7545" s="6" t="s">
        <v>5122</v>
      </c>
    </row>
    <row r="7546" customFormat="false" ht="15" hidden="false" customHeight="false" outlineLevel="0" collapsed="false">
      <c r="A7546" s="6" t="s">
        <v>12770</v>
      </c>
      <c r="B7546" s="6" t="s">
        <v>3485</v>
      </c>
      <c r="C7546" s="26" t="n">
        <v>46245</v>
      </c>
      <c r="D7546" s="6" t="s">
        <v>5121</v>
      </c>
      <c r="E7546" s="6" t="s">
        <v>22</v>
      </c>
      <c r="F7546" s="6" t="n">
        <v>1</v>
      </c>
      <c r="G7546" s="10" t="n">
        <v>880</v>
      </c>
      <c r="H7546" s="10" t="n">
        <f aca="false">F7546*G7546</f>
        <v>880</v>
      </c>
      <c r="I7546" s="6" t="s">
        <v>5148</v>
      </c>
    </row>
    <row r="7547" customFormat="false" ht="15" hidden="false" customHeight="false" outlineLevel="0" collapsed="false">
      <c r="A7547" s="6" t="s">
        <v>12771</v>
      </c>
      <c r="B7547" s="6" t="s">
        <v>829</v>
      </c>
      <c r="C7547" s="26" t="n">
        <v>46245</v>
      </c>
      <c r="D7547" s="6" t="s">
        <v>5197</v>
      </c>
      <c r="E7547" s="6" t="s">
        <v>21</v>
      </c>
      <c r="F7547" s="6" t="n">
        <v>1</v>
      </c>
      <c r="G7547" s="10" t="n">
        <v>1080</v>
      </c>
      <c r="H7547" s="10" t="n">
        <f aca="false">F7547*G7547</f>
        <v>1080</v>
      </c>
      <c r="I7547" s="6" t="s">
        <v>5122</v>
      </c>
    </row>
    <row r="7548" customFormat="false" ht="15" hidden="false" customHeight="false" outlineLevel="0" collapsed="false">
      <c r="A7548" s="6" t="s">
        <v>12772</v>
      </c>
      <c r="B7548" s="6" t="s">
        <v>4657</v>
      </c>
      <c r="C7548" s="26" t="n">
        <v>46245</v>
      </c>
      <c r="D7548" s="6" t="s">
        <v>6101</v>
      </c>
      <c r="E7548" s="6" t="s">
        <v>20</v>
      </c>
      <c r="F7548" s="6" t="n">
        <v>1</v>
      </c>
      <c r="G7548" s="10" t="n">
        <v>22433</v>
      </c>
      <c r="H7548" s="10" t="n">
        <f aca="false">F7548*G7548</f>
        <v>22433</v>
      </c>
      <c r="I7548" s="6" t="s">
        <v>5130</v>
      </c>
    </row>
    <row r="7549" customFormat="false" ht="15" hidden="false" customHeight="false" outlineLevel="0" collapsed="false">
      <c r="A7549" s="6" t="s">
        <v>12773</v>
      </c>
      <c r="B7549" s="6" t="s">
        <v>963</v>
      </c>
      <c r="C7549" s="26" t="n">
        <v>46245</v>
      </c>
      <c r="D7549" s="6" t="s">
        <v>5298</v>
      </c>
      <c r="E7549" s="6" t="s">
        <v>23</v>
      </c>
      <c r="F7549" s="6" t="n">
        <v>1</v>
      </c>
      <c r="G7549" s="10" t="n">
        <v>264</v>
      </c>
      <c r="H7549" s="10" t="n">
        <f aca="false">F7549*G7549</f>
        <v>264</v>
      </c>
      <c r="I7549" s="6" t="s">
        <v>5122</v>
      </c>
    </row>
    <row r="7550" customFormat="false" ht="15" hidden="false" customHeight="false" outlineLevel="0" collapsed="false">
      <c r="A7550" s="6" t="s">
        <v>12774</v>
      </c>
      <c r="B7550" s="6" t="s">
        <v>901</v>
      </c>
      <c r="C7550" s="26" t="n">
        <v>46245</v>
      </c>
      <c r="D7550" s="6" t="s">
        <v>5207</v>
      </c>
      <c r="E7550" s="6" t="s">
        <v>20</v>
      </c>
      <c r="F7550" s="6" t="n">
        <v>1</v>
      </c>
      <c r="G7550" s="10" t="n">
        <v>1325</v>
      </c>
      <c r="H7550" s="10" t="n">
        <f aca="false">F7550*G7550</f>
        <v>1325</v>
      </c>
      <c r="I7550" s="6" t="s">
        <v>5122</v>
      </c>
    </row>
    <row r="7551" customFormat="false" ht="15" hidden="false" customHeight="false" outlineLevel="0" collapsed="false">
      <c r="A7551" s="6" t="s">
        <v>12775</v>
      </c>
      <c r="B7551" s="6" t="s">
        <v>1713</v>
      </c>
      <c r="C7551" s="26" t="n">
        <v>46245</v>
      </c>
      <c r="D7551" s="6" t="s">
        <v>5216</v>
      </c>
      <c r="E7551" s="6" t="s">
        <v>23</v>
      </c>
      <c r="F7551" s="6" t="n">
        <v>2</v>
      </c>
      <c r="G7551" s="10" t="n">
        <v>587</v>
      </c>
      <c r="H7551" s="10" t="n">
        <f aca="false">F7551*G7551</f>
        <v>1174</v>
      </c>
      <c r="I7551" s="6" t="s">
        <v>5122</v>
      </c>
    </row>
    <row r="7552" customFormat="false" ht="15" hidden="false" customHeight="false" outlineLevel="0" collapsed="false">
      <c r="A7552" s="6" t="s">
        <v>12776</v>
      </c>
      <c r="B7552" s="6" t="s">
        <v>2459</v>
      </c>
      <c r="C7552" s="26" t="n">
        <v>46245</v>
      </c>
      <c r="D7552" s="6" t="s">
        <v>5318</v>
      </c>
      <c r="E7552" s="6" t="s">
        <v>20</v>
      </c>
      <c r="F7552" s="6" t="n">
        <v>1</v>
      </c>
      <c r="G7552" s="10" t="n">
        <v>1376</v>
      </c>
      <c r="H7552" s="10" t="n">
        <f aca="false">F7552*G7552</f>
        <v>1376</v>
      </c>
      <c r="I7552" s="6" t="s">
        <v>5130</v>
      </c>
    </row>
    <row r="7553" customFormat="false" ht="15" hidden="false" customHeight="false" outlineLevel="0" collapsed="false">
      <c r="A7553" s="6" t="s">
        <v>12777</v>
      </c>
      <c r="B7553" s="6" t="s">
        <v>1001</v>
      </c>
      <c r="C7553" s="26" t="n">
        <v>46245</v>
      </c>
      <c r="D7553" s="6" t="s">
        <v>5145</v>
      </c>
      <c r="E7553" s="6" t="s">
        <v>21</v>
      </c>
      <c r="F7553" s="6" t="n">
        <v>1</v>
      </c>
      <c r="G7553" s="10" t="n">
        <v>1213</v>
      </c>
      <c r="H7553" s="10" t="n">
        <f aca="false">F7553*G7553</f>
        <v>1213</v>
      </c>
      <c r="I7553" s="6" t="s">
        <v>5122</v>
      </c>
    </row>
    <row r="7554" customFormat="false" ht="15" hidden="false" customHeight="false" outlineLevel="0" collapsed="false">
      <c r="A7554" s="6" t="s">
        <v>12778</v>
      </c>
      <c r="B7554" s="6" t="s">
        <v>3891</v>
      </c>
      <c r="C7554" s="26" t="n">
        <v>46245</v>
      </c>
      <c r="D7554" s="6" t="s">
        <v>5237</v>
      </c>
      <c r="E7554" s="6" t="s">
        <v>24</v>
      </c>
      <c r="F7554" s="6" t="n">
        <v>1</v>
      </c>
      <c r="G7554" s="10" t="n">
        <v>1833</v>
      </c>
      <c r="H7554" s="10" t="n">
        <f aca="false">F7554*G7554</f>
        <v>1833</v>
      </c>
      <c r="I7554" s="6" t="s">
        <v>5125</v>
      </c>
    </row>
    <row r="7555" customFormat="false" ht="15" hidden="false" customHeight="false" outlineLevel="0" collapsed="false">
      <c r="A7555" s="6" t="s">
        <v>12779</v>
      </c>
      <c r="B7555" s="6" t="s">
        <v>3841</v>
      </c>
      <c r="C7555" s="26" t="n">
        <v>46245</v>
      </c>
      <c r="D7555" s="6" t="s">
        <v>5158</v>
      </c>
      <c r="E7555" s="6" t="s">
        <v>24</v>
      </c>
      <c r="F7555" s="6" t="n">
        <v>1</v>
      </c>
      <c r="G7555" s="10" t="n">
        <v>433</v>
      </c>
      <c r="H7555" s="10" t="n">
        <f aca="false">F7555*G7555</f>
        <v>433</v>
      </c>
      <c r="I7555" s="6" t="s">
        <v>5148</v>
      </c>
    </row>
    <row r="7556" customFormat="false" ht="15" hidden="false" customHeight="false" outlineLevel="0" collapsed="false">
      <c r="A7556" s="6" t="s">
        <v>12780</v>
      </c>
      <c r="B7556" s="6" t="s">
        <v>2365</v>
      </c>
      <c r="C7556" s="26" t="n">
        <v>46245</v>
      </c>
      <c r="D7556" s="6" t="s">
        <v>5135</v>
      </c>
      <c r="E7556" s="6" t="s">
        <v>23</v>
      </c>
      <c r="F7556" s="6" t="n">
        <v>5</v>
      </c>
      <c r="G7556" s="10" t="n">
        <v>441</v>
      </c>
      <c r="H7556" s="10" t="n">
        <f aca="false">F7556*G7556</f>
        <v>2205</v>
      </c>
      <c r="I7556" s="6" t="s">
        <v>5122</v>
      </c>
    </row>
    <row r="7557" customFormat="false" ht="15" hidden="false" customHeight="false" outlineLevel="0" collapsed="false">
      <c r="A7557" s="6" t="s">
        <v>12781</v>
      </c>
      <c r="B7557" s="6" t="s">
        <v>256</v>
      </c>
      <c r="C7557" s="26" t="n">
        <v>46245</v>
      </c>
      <c r="D7557" s="6" t="s">
        <v>5163</v>
      </c>
      <c r="E7557" s="6" t="s">
        <v>23</v>
      </c>
      <c r="F7557" s="6" t="n">
        <v>2</v>
      </c>
      <c r="G7557" s="10" t="n">
        <v>744</v>
      </c>
      <c r="H7557" s="10" t="n">
        <f aca="false">F7557*G7557</f>
        <v>1488</v>
      </c>
      <c r="I7557" s="6" t="s">
        <v>5173</v>
      </c>
    </row>
    <row r="7558" customFormat="false" ht="15" hidden="false" customHeight="false" outlineLevel="0" collapsed="false">
      <c r="A7558" s="6" t="s">
        <v>12782</v>
      </c>
      <c r="B7558" s="6" t="s">
        <v>2739</v>
      </c>
      <c r="C7558" s="26" t="n">
        <v>46245</v>
      </c>
      <c r="D7558" s="6" t="s">
        <v>5466</v>
      </c>
      <c r="E7558" s="6" t="s">
        <v>21</v>
      </c>
      <c r="F7558" s="6" t="n">
        <v>3</v>
      </c>
      <c r="G7558" s="10" t="n">
        <v>1965</v>
      </c>
      <c r="H7558" s="10" t="n">
        <f aca="false">F7558*G7558</f>
        <v>5895</v>
      </c>
      <c r="I7558" s="6" t="s">
        <v>5148</v>
      </c>
    </row>
    <row r="7559" customFormat="false" ht="15" hidden="false" customHeight="false" outlineLevel="0" collapsed="false">
      <c r="A7559" s="6" t="s">
        <v>12783</v>
      </c>
      <c r="B7559" s="6" t="s">
        <v>3437</v>
      </c>
      <c r="C7559" s="26" t="n">
        <v>46245</v>
      </c>
      <c r="D7559" s="6" t="s">
        <v>5167</v>
      </c>
      <c r="E7559" s="6" t="s">
        <v>22</v>
      </c>
      <c r="F7559" s="6" t="n">
        <v>1</v>
      </c>
      <c r="G7559" s="10" t="n">
        <v>782</v>
      </c>
      <c r="H7559" s="10" t="n">
        <f aca="false">F7559*G7559</f>
        <v>782</v>
      </c>
      <c r="I7559" s="6" t="s">
        <v>5133</v>
      </c>
    </row>
    <row r="7560" customFormat="false" ht="15" hidden="false" customHeight="false" outlineLevel="0" collapsed="false">
      <c r="A7560" s="6" t="s">
        <v>12784</v>
      </c>
      <c r="B7560" s="6" t="s">
        <v>2999</v>
      </c>
      <c r="C7560" s="26" t="n">
        <v>46245</v>
      </c>
      <c r="D7560" s="6" t="s">
        <v>5353</v>
      </c>
      <c r="E7560" s="6" t="s">
        <v>24</v>
      </c>
      <c r="F7560" s="6" t="n">
        <v>1</v>
      </c>
      <c r="G7560" s="10" t="n">
        <v>1548</v>
      </c>
      <c r="H7560" s="10" t="n">
        <f aca="false">F7560*G7560</f>
        <v>1548</v>
      </c>
      <c r="I7560" s="6" t="s">
        <v>5122</v>
      </c>
    </row>
    <row r="7561" customFormat="false" ht="15" hidden="false" customHeight="false" outlineLevel="0" collapsed="false">
      <c r="A7561" s="6" t="s">
        <v>12785</v>
      </c>
      <c r="B7561" s="6" t="s">
        <v>4213</v>
      </c>
      <c r="C7561" s="26" t="n">
        <v>46245</v>
      </c>
      <c r="D7561" s="6" t="s">
        <v>5207</v>
      </c>
      <c r="E7561" s="6" t="s">
        <v>20</v>
      </c>
      <c r="F7561" s="6" t="n">
        <v>1</v>
      </c>
      <c r="G7561" s="10" t="n">
        <v>1325</v>
      </c>
      <c r="H7561" s="10" t="n">
        <f aca="false">F7561*G7561</f>
        <v>1325</v>
      </c>
      <c r="I7561" s="6" t="s">
        <v>5148</v>
      </c>
    </row>
    <row r="7562" customFormat="false" ht="15" hidden="false" customHeight="false" outlineLevel="0" collapsed="false">
      <c r="A7562" s="6" t="s">
        <v>12786</v>
      </c>
      <c r="B7562" s="6" t="s">
        <v>447</v>
      </c>
      <c r="C7562" s="26" t="n">
        <v>46245</v>
      </c>
      <c r="D7562" s="6" t="s">
        <v>5127</v>
      </c>
      <c r="E7562" s="6" t="s">
        <v>21</v>
      </c>
      <c r="F7562" s="6" t="n">
        <v>1</v>
      </c>
      <c r="G7562" s="10" t="n">
        <v>884</v>
      </c>
      <c r="H7562" s="10" t="n">
        <f aca="false">F7562*G7562</f>
        <v>884</v>
      </c>
      <c r="I7562" s="6" t="s">
        <v>5122</v>
      </c>
    </row>
    <row r="7563" customFormat="false" ht="15" hidden="false" customHeight="false" outlineLevel="0" collapsed="false">
      <c r="A7563" s="6" t="s">
        <v>12787</v>
      </c>
      <c r="B7563" s="6" t="s">
        <v>4769</v>
      </c>
      <c r="C7563" s="26" t="n">
        <v>46245</v>
      </c>
      <c r="D7563" s="6" t="s">
        <v>5167</v>
      </c>
      <c r="E7563" s="6" t="s">
        <v>22</v>
      </c>
      <c r="F7563" s="6" t="n">
        <v>1</v>
      </c>
      <c r="G7563" s="10" t="n">
        <v>743</v>
      </c>
      <c r="H7563" s="10" t="n">
        <f aca="false">F7563*G7563</f>
        <v>743</v>
      </c>
      <c r="I7563" s="6" t="s">
        <v>5125</v>
      </c>
    </row>
    <row r="7564" customFormat="false" ht="15" hidden="false" customHeight="false" outlineLevel="0" collapsed="false">
      <c r="A7564" s="6" t="s">
        <v>12788</v>
      </c>
      <c r="B7564" s="6" t="s">
        <v>1267</v>
      </c>
      <c r="C7564" s="26" t="n">
        <v>46245</v>
      </c>
      <c r="D7564" s="6" t="s">
        <v>5214</v>
      </c>
      <c r="E7564" s="6" t="s">
        <v>20</v>
      </c>
      <c r="F7564" s="6" t="n">
        <v>1</v>
      </c>
      <c r="G7564" s="10" t="n">
        <v>1937</v>
      </c>
      <c r="H7564" s="10" t="n">
        <f aca="false">F7564*G7564</f>
        <v>1937</v>
      </c>
      <c r="I7564" s="6" t="s">
        <v>5125</v>
      </c>
    </row>
    <row r="7565" customFormat="false" ht="15" hidden="false" customHeight="false" outlineLevel="0" collapsed="false">
      <c r="A7565" s="6" t="s">
        <v>12789</v>
      </c>
      <c r="B7565" s="6" t="s">
        <v>360</v>
      </c>
      <c r="C7565" s="26" t="n">
        <v>46245</v>
      </c>
      <c r="D7565" s="6" t="s">
        <v>5235</v>
      </c>
      <c r="E7565" s="6" t="s">
        <v>21</v>
      </c>
      <c r="F7565" s="6" t="n">
        <v>1</v>
      </c>
      <c r="G7565" s="10" t="n">
        <v>1586</v>
      </c>
      <c r="H7565" s="10" t="n">
        <f aca="false">F7565*G7565</f>
        <v>1586</v>
      </c>
      <c r="I7565" s="6" t="s">
        <v>5173</v>
      </c>
    </row>
    <row r="7566" customFormat="false" ht="15" hidden="false" customHeight="false" outlineLevel="0" collapsed="false">
      <c r="A7566" s="6" t="s">
        <v>12790</v>
      </c>
      <c r="B7566" s="6" t="s">
        <v>3117</v>
      </c>
      <c r="C7566" s="26" t="n">
        <v>46245</v>
      </c>
      <c r="D7566" s="6" t="s">
        <v>5145</v>
      </c>
      <c r="E7566" s="6" t="s">
        <v>21</v>
      </c>
      <c r="F7566" s="6" t="n">
        <v>2</v>
      </c>
      <c r="G7566" s="10" t="n">
        <v>1213</v>
      </c>
      <c r="H7566" s="10" t="n">
        <f aca="false">F7566*G7566</f>
        <v>2426</v>
      </c>
      <c r="I7566" s="6" t="s">
        <v>5130</v>
      </c>
    </row>
    <row r="7567" customFormat="false" ht="15" hidden="false" customHeight="false" outlineLevel="0" collapsed="false">
      <c r="A7567" s="6" t="s">
        <v>12791</v>
      </c>
      <c r="B7567" s="6" t="s">
        <v>3197</v>
      </c>
      <c r="C7567" s="26" t="n">
        <v>46245</v>
      </c>
      <c r="D7567" s="6" t="s">
        <v>5127</v>
      </c>
      <c r="E7567" s="6" t="s">
        <v>21</v>
      </c>
      <c r="F7567" s="6" t="n">
        <v>1</v>
      </c>
      <c r="G7567" s="10" t="n">
        <v>884</v>
      </c>
      <c r="H7567" s="10" t="n">
        <f aca="false">F7567*G7567</f>
        <v>884</v>
      </c>
      <c r="I7567" s="6" t="s">
        <v>5122</v>
      </c>
    </row>
    <row r="7568" customFormat="false" ht="15" hidden="false" customHeight="false" outlineLevel="0" collapsed="false">
      <c r="A7568" s="6" t="s">
        <v>12792</v>
      </c>
      <c r="B7568" s="6" t="s">
        <v>5079</v>
      </c>
      <c r="C7568" s="26" t="n">
        <v>46245</v>
      </c>
      <c r="D7568" s="6" t="s">
        <v>5235</v>
      </c>
      <c r="E7568" s="6" t="s">
        <v>21</v>
      </c>
      <c r="F7568" s="6" t="n">
        <v>1</v>
      </c>
      <c r="G7568" s="10" t="n">
        <v>1670</v>
      </c>
      <c r="H7568" s="10" t="n">
        <f aca="false">F7568*G7568</f>
        <v>1670</v>
      </c>
      <c r="I7568" s="6" t="s">
        <v>5148</v>
      </c>
    </row>
    <row r="7569" customFormat="false" ht="15" hidden="false" customHeight="false" outlineLevel="0" collapsed="false">
      <c r="A7569" s="6" t="s">
        <v>12793</v>
      </c>
      <c r="B7569" s="6" t="s">
        <v>3655</v>
      </c>
      <c r="C7569" s="26" t="n">
        <v>46245</v>
      </c>
      <c r="D7569" s="6" t="s">
        <v>5357</v>
      </c>
      <c r="E7569" s="6" t="s">
        <v>23</v>
      </c>
      <c r="F7569" s="6" t="n">
        <v>3</v>
      </c>
      <c r="G7569" s="10" t="n">
        <v>534</v>
      </c>
      <c r="H7569" s="10" t="n">
        <f aca="false">F7569*G7569</f>
        <v>1602</v>
      </c>
      <c r="I7569" s="6" t="s">
        <v>5125</v>
      </c>
    </row>
    <row r="7570" customFormat="false" ht="15" hidden="false" customHeight="false" outlineLevel="0" collapsed="false">
      <c r="A7570" s="6" t="s">
        <v>12794</v>
      </c>
      <c r="B7570" s="6" t="s">
        <v>3035</v>
      </c>
      <c r="C7570" s="26" t="n">
        <v>46245</v>
      </c>
      <c r="D7570" s="6" t="s">
        <v>5163</v>
      </c>
      <c r="E7570" s="6" t="s">
        <v>23</v>
      </c>
      <c r="F7570" s="6" t="n">
        <v>3</v>
      </c>
      <c r="G7570" s="10" t="n">
        <v>705</v>
      </c>
      <c r="H7570" s="10" t="n">
        <f aca="false">F7570*G7570</f>
        <v>2115</v>
      </c>
      <c r="I7570" s="6" t="s">
        <v>5122</v>
      </c>
    </row>
    <row r="7571" customFormat="false" ht="15" hidden="false" customHeight="false" outlineLevel="0" collapsed="false">
      <c r="A7571" s="6" t="s">
        <v>12795</v>
      </c>
      <c r="B7571" s="6" t="s">
        <v>3721</v>
      </c>
      <c r="C7571" s="26" t="n">
        <v>46245</v>
      </c>
      <c r="D7571" s="6" t="s">
        <v>5190</v>
      </c>
      <c r="E7571" s="6" t="s">
        <v>24</v>
      </c>
      <c r="F7571" s="6" t="n">
        <v>2</v>
      </c>
      <c r="G7571" s="10" t="n">
        <v>610</v>
      </c>
      <c r="H7571" s="10" t="n">
        <f aca="false">F7571*G7571</f>
        <v>1220</v>
      </c>
      <c r="I7571" s="6" t="s">
        <v>5125</v>
      </c>
    </row>
    <row r="7572" customFormat="false" ht="15" hidden="false" customHeight="false" outlineLevel="0" collapsed="false">
      <c r="A7572" s="6" t="s">
        <v>12796</v>
      </c>
      <c r="B7572" s="6" t="s">
        <v>3583</v>
      </c>
      <c r="C7572" s="26" t="n">
        <v>46245</v>
      </c>
      <c r="D7572" s="6" t="s">
        <v>5171</v>
      </c>
      <c r="E7572" s="6" t="s">
        <v>23</v>
      </c>
      <c r="F7572" s="6" t="n">
        <v>5</v>
      </c>
      <c r="G7572" s="10" t="n">
        <v>734</v>
      </c>
      <c r="H7572" s="10" t="n">
        <f aca="false">F7572*G7572</f>
        <v>3670</v>
      </c>
      <c r="I7572" s="6" t="s">
        <v>5148</v>
      </c>
    </row>
    <row r="7573" customFormat="false" ht="15" hidden="false" customHeight="false" outlineLevel="0" collapsed="false">
      <c r="A7573" s="6" t="s">
        <v>12797</v>
      </c>
      <c r="B7573" s="6" t="s">
        <v>4021</v>
      </c>
      <c r="C7573" s="26" t="n">
        <v>46245</v>
      </c>
      <c r="D7573" s="6" t="s">
        <v>5163</v>
      </c>
      <c r="E7573" s="6" t="s">
        <v>23</v>
      </c>
      <c r="F7573" s="6" t="n">
        <v>3</v>
      </c>
      <c r="G7573" s="10" t="n">
        <v>783</v>
      </c>
      <c r="H7573" s="10" t="n">
        <f aca="false">F7573*G7573</f>
        <v>2349</v>
      </c>
      <c r="I7573" s="6" t="s">
        <v>5133</v>
      </c>
    </row>
    <row r="7574" customFormat="false" ht="15" hidden="false" customHeight="false" outlineLevel="0" collapsed="false">
      <c r="A7574" s="6" t="s">
        <v>12798</v>
      </c>
      <c r="B7574" s="6" t="s">
        <v>4455</v>
      </c>
      <c r="C7574" s="26" t="n">
        <v>46245</v>
      </c>
      <c r="D7574" s="6" t="s">
        <v>5207</v>
      </c>
      <c r="E7574" s="6" t="s">
        <v>20</v>
      </c>
      <c r="F7574" s="6" t="n">
        <v>1</v>
      </c>
      <c r="G7574" s="10" t="n">
        <v>1192</v>
      </c>
      <c r="H7574" s="10" t="n">
        <f aca="false">F7574*G7574</f>
        <v>1192</v>
      </c>
      <c r="I7574" s="6" t="s">
        <v>5122</v>
      </c>
    </row>
    <row r="7575" customFormat="false" ht="15" hidden="false" customHeight="false" outlineLevel="0" collapsed="false">
      <c r="A7575" s="6" t="s">
        <v>12799</v>
      </c>
      <c r="B7575" s="6" t="s">
        <v>2109</v>
      </c>
      <c r="C7575" s="26" t="n">
        <v>46245</v>
      </c>
      <c r="D7575" s="6" t="s">
        <v>5192</v>
      </c>
      <c r="E7575" s="6" t="s">
        <v>20</v>
      </c>
      <c r="F7575" s="6" t="n">
        <v>2</v>
      </c>
      <c r="G7575" s="10" t="n">
        <v>4078</v>
      </c>
      <c r="H7575" s="10" t="n">
        <f aca="false">F7575*G7575</f>
        <v>8156</v>
      </c>
      <c r="I7575" s="6" t="s">
        <v>5148</v>
      </c>
    </row>
    <row r="7576" customFormat="false" ht="15" hidden="false" customHeight="false" outlineLevel="0" collapsed="false">
      <c r="A7576" s="6" t="s">
        <v>12800</v>
      </c>
      <c r="B7576" s="6" t="s">
        <v>2691</v>
      </c>
      <c r="C7576" s="26" t="n">
        <v>46245</v>
      </c>
      <c r="D7576" s="6" t="s">
        <v>5281</v>
      </c>
      <c r="E7576" s="6" t="s">
        <v>24</v>
      </c>
      <c r="F7576" s="6" t="n">
        <v>2</v>
      </c>
      <c r="G7576" s="10" t="n">
        <v>733</v>
      </c>
      <c r="H7576" s="10" t="n">
        <f aca="false">F7576*G7576</f>
        <v>1466</v>
      </c>
      <c r="I7576" s="6" t="s">
        <v>5122</v>
      </c>
    </row>
    <row r="7577" customFormat="false" ht="15" hidden="false" customHeight="false" outlineLevel="0" collapsed="false">
      <c r="A7577" s="6" t="s">
        <v>12801</v>
      </c>
      <c r="B7577" s="6" t="s">
        <v>3827</v>
      </c>
      <c r="C7577" s="26" t="n">
        <v>46245</v>
      </c>
      <c r="D7577" s="6" t="s">
        <v>5163</v>
      </c>
      <c r="E7577" s="6" t="s">
        <v>23</v>
      </c>
      <c r="F7577" s="6" t="n">
        <v>4</v>
      </c>
      <c r="G7577" s="10" t="n">
        <v>705</v>
      </c>
      <c r="H7577" s="10" t="n">
        <f aca="false">F7577*G7577</f>
        <v>2820</v>
      </c>
      <c r="I7577" s="6" t="s">
        <v>5130</v>
      </c>
    </row>
    <row r="7578" customFormat="false" ht="15" hidden="false" customHeight="false" outlineLevel="0" collapsed="false">
      <c r="A7578" s="6" t="s">
        <v>12802</v>
      </c>
      <c r="B7578" s="6" t="s">
        <v>4391</v>
      </c>
      <c r="C7578" s="26" t="n">
        <v>46245</v>
      </c>
      <c r="D7578" s="6" t="s">
        <v>5242</v>
      </c>
      <c r="E7578" s="6" t="s">
        <v>23</v>
      </c>
      <c r="F7578" s="6" t="n">
        <v>2</v>
      </c>
      <c r="G7578" s="10" t="n">
        <v>372</v>
      </c>
      <c r="H7578" s="10" t="n">
        <f aca="false">F7578*G7578</f>
        <v>744</v>
      </c>
      <c r="I7578" s="6" t="s">
        <v>5148</v>
      </c>
    </row>
    <row r="7579" customFormat="false" ht="15" hidden="false" customHeight="false" outlineLevel="0" collapsed="false">
      <c r="A7579" s="6" t="s">
        <v>12803</v>
      </c>
      <c r="B7579" s="6" t="s">
        <v>3449</v>
      </c>
      <c r="C7579" s="26" t="n">
        <v>46246</v>
      </c>
      <c r="D7579" s="6" t="s">
        <v>5121</v>
      </c>
      <c r="E7579" s="6" t="s">
        <v>22</v>
      </c>
      <c r="F7579" s="6" t="n">
        <v>1</v>
      </c>
      <c r="G7579" s="10" t="n">
        <v>928</v>
      </c>
      <c r="H7579" s="10" t="n">
        <f aca="false">F7579*G7579</f>
        <v>928</v>
      </c>
      <c r="I7579" s="6" t="s">
        <v>5133</v>
      </c>
    </row>
    <row r="7580" customFormat="false" ht="15" hidden="false" customHeight="false" outlineLevel="0" collapsed="false">
      <c r="A7580" s="6" t="s">
        <v>12804</v>
      </c>
      <c r="B7580" s="6" t="s">
        <v>4291</v>
      </c>
      <c r="C7580" s="26" t="n">
        <v>46246</v>
      </c>
      <c r="D7580" s="6" t="s">
        <v>5169</v>
      </c>
      <c r="E7580" s="6" t="s">
        <v>20</v>
      </c>
      <c r="F7580" s="6" t="n">
        <v>1</v>
      </c>
      <c r="G7580" s="10" t="n">
        <v>5098</v>
      </c>
      <c r="H7580" s="10" t="n">
        <f aca="false">F7580*G7580</f>
        <v>5098</v>
      </c>
      <c r="I7580" s="6" t="s">
        <v>5125</v>
      </c>
    </row>
    <row r="7581" customFormat="false" ht="15" hidden="false" customHeight="false" outlineLevel="0" collapsed="false">
      <c r="A7581" s="6" t="s">
        <v>12805</v>
      </c>
      <c r="B7581" s="6" t="s">
        <v>2115</v>
      </c>
      <c r="C7581" s="26" t="n">
        <v>46246</v>
      </c>
      <c r="D7581" s="6" t="s">
        <v>5188</v>
      </c>
      <c r="E7581" s="6" t="s">
        <v>24</v>
      </c>
      <c r="F7581" s="6" t="n">
        <v>3</v>
      </c>
      <c r="G7581" s="10" t="n">
        <v>916</v>
      </c>
      <c r="H7581" s="10" t="n">
        <f aca="false">F7581*G7581</f>
        <v>2748</v>
      </c>
      <c r="I7581" s="6" t="s">
        <v>5122</v>
      </c>
    </row>
    <row r="7582" customFormat="false" ht="15" hidden="false" customHeight="false" outlineLevel="0" collapsed="false">
      <c r="A7582" s="6" t="s">
        <v>12806</v>
      </c>
      <c r="B7582" s="6" t="s">
        <v>969</v>
      </c>
      <c r="C7582" s="26" t="n">
        <v>46246</v>
      </c>
      <c r="D7582" s="6" t="s">
        <v>5127</v>
      </c>
      <c r="E7582" s="6" t="s">
        <v>21</v>
      </c>
      <c r="F7582" s="6" t="n">
        <v>1</v>
      </c>
      <c r="G7582" s="10" t="n">
        <v>884</v>
      </c>
      <c r="H7582" s="10" t="n">
        <f aca="false">F7582*G7582</f>
        <v>884</v>
      </c>
      <c r="I7582" s="6" t="s">
        <v>5122</v>
      </c>
    </row>
    <row r="7583" customFormat="false" ht="15" hidden="false" customHeight="false" outlineLevel="0" collapsed="false">
      <c r="A7583" s="6" t="s">
        <v>12807</v>
      </c>
      <c r="B7583" s="6" t="s">
        <v>2427</v>
      </c>
      <c r="C7583" s="26" t="n">
        <v>46246</v>
      </c>
      <c r="D7583" s="6" t="s">
        <v>5165</v>
      </c>
      <c r="E7583" s="6" t="s">
        <v>22</v>
      </c>
      <c r="F7583" s="6" t="n">
        <v>1</v>
      </c>
      <c r="G7583" s="10" t="n">
        <v>977</v>
      </c>
      <c r="H7583" s="10" t="n">
        <f aca="false">F7583*G7583</f>
        <v>977</v>
      </c>
      <c r="I7583" s="6" t="s">
        <v>5130</v>
      </c>
    </row>
    <row r="7584" customFormat="false" ht="15" hidden="false" customHeight="false" outlineLevel="0" collapsed="false">
      <c r="A7584" s="6" t="s">
        <v>12808</v>
      </c>
      <c r="B7584" s="6" t="s">
        <v>891</v>
      </c>
      <c r="C7584" s="26" t="n">
        <v>46246</v>
      </c>
      <c r="D7584" s="6" t="s">
        <v>5129</v>
      </c>
      <c r="E7584" s="6" t="s">
        <v>21</v>
      </c>
      <c r="F7584" s="6" t="n">
        <v>1</v>
      </c>
      <c r="G7584" s="10" t="n">
        <v>589</v>
      </c>
      <c r="H7584" s="10" t="n">
        <f aca="false">F7584*G7584</f>
        <v>589</v>
      </c>
      <c r="I7584" s="6" t="s">
        <v>5122</v>
      </c>
    </row>
    <row r="7585" customFormat="false" ht="15" hidden="false" customHeight="false" outlineLevel="0" collapsed="false">
      <c r="A7585" s="6" t="s">
        <v>12809</v>
      </c>
      <c r="B7585" s="6" t="s">
        <v>3763</v>
      </c>
      <c r="C7585" s="26" t="n">
        <v>46246</v>
      </c>
      <c r="D7585" s="6" t="s">
        <v>5423</v>
      </c>
      <c r="E7585" s="6" t="s">
        <v>21</v>
      </c>
      <c r="F7585" s="6" t="n">
        <v>2</v>
      </c>
      <c r="G7585" s="10" t="n">
        <v>3243</v>
      </c>
      <c r="H7585" s="10" t="n">
        <f aca="false">F7585*G7585</f>
        <v>6486</v>
      </c>
      <c r="I7585" s="6" t="s">
        <v>5125</v>
      </c>
    </row>
    <row r="7586" customFormat="false" ht="15" hidden="false" customHeight="false" outlineLevel="0" collapsed="false">
      <c r="A7586" s="6" t="s">
        <v>12810</v>
      </c>
      <c r="B7586" s="6" t="s">
        <v>3929</v>
      </c>
      <c r="C7586" s="26" t="n">
        <v>46246</v>
      </c>
      <c r="D7586" s="6" t="s">
        <v>5863</v>
      </c>
      <c r="E7586" s="6" t="s">
        <v>20</v>
      </c>
      <c r="F7586" s="6" t="n">
        <v>1</v>
      </c>
      <c r="G7586" s="10" t="n">
        <v>20395</v>
      </c>
      <c r="H7586" s="10" t="n">
        <f aca="false">F7586*G7586</f>
        <v>20395</v>
      </c>
      <c r="I7586" s="6" t="s">
        <v>5173</v>
      </c>
    </row>
    <row r="7587" customFormat="false" ht="15" hidden="false" customHeight="false" outlineLevel="0" collapsed="false">
      <c r="A7587" s="6" t="s">
        <v>12811</v>
      </c>
      <c r="B7587" s="6" t="s">
        <v>4675</v>
      </c>
      <c r="C7587" s="26" t="n">
        <v>46246</v>
      </c>
      <c r="D7587" s="6" t="s">
        <v>5185</v>
      </c>
      <c r="E7587" s="6" t="s">
        <v>24</v>
      </c>
      <c r="F7587" s="6" t="n">
        <v>3</v>
      </c>
      <c r="G7587" s="10" t="n">
        <v>2140</v>
      </c>
      <c r="H7587" s="10" t="n">
        <f aca="false">F7587*G7587</f>
        <v>6420</v>
      </c>
      <c r="I7587" s="6" t="s">
        <v>5173</v>
      </c>
    </row>
    <row r="7588" customFormat="false" ht="15" hidden="false" customHeight="false" outlineLevel="0" collapsed="false">
      <c r="A7588" s="6" t="s">
        <v>12812</v>
      </c>
      <c r="B7588" s="6" t="s">
        <v>721</v>
      </c>
      <c r="C7588" s="26" t="n">
        <v>46246</v>
      </c>
      <c r="D7588" s="6" t="s">
        <v>5237</v>
      </c>
      <c r="E7588" s="6" t="s">
        <v>24</v>
      </c>
      <c r="F7588" s="6" t="n">
        <v>1</v>
      </c>
      <c r="G7588" s="10" t="n">
        <v>1833</v>
      </c>
      <c r="H7588" s="10" t="n">
        <f aca="false">F7588*G7588</f>
        <v>1833</v>
      </c>
      <c r="I7588" s="6" t="s">
        <v>5148</v>
      </c>
    </row>
    <row r="7589" customFormat="false" ht="15" hidden="false" customHeight="false" outlineLevel="0" collapsed="false">
      <c r="A7589" s="6" t="s">
        <v>12813</v>
      </c>
      <c r="B7589" s="6" t="s">
        <v>1669</v>
      </c>
      <c r="C7589" s="26" t="n">
        <v>46246</v>
      </c>
      <c r="D7589" s="6" t="s">
        <v>5165</v>
      </c>
      <c r="E7589" s="6" t="s">
        <v>22</v>
      </c>
      <c r="F7589" s="6" t="n">
        <v>3</v>
      </c>
      <c r="G7589" s="10" t="n">
        <v>928</v>
      </c>
      <c r="H7589" s="10" t="n">
        <f aca="false">F7589*G7589</f>
        <v>2784</v>
      </c>
      <c r="I7589" s="6" t="s">
        <v>5133</v>
      </c>
    </row>
    <row r="7590" customFormat="false" ht="15" hidden="false" customHeight="false" outlineLevel="0" collapsed="false">
      <c r="A7590" s="6" t="s">
        <v>12814</v>
      </c>
      <c r="B7590" s="6" t="s">
        <v>4519</v>
      </c>
      <c r="C7590" s="26" t="n">
        <v>46246</v>
      </c>
      <c r="D7590" s="6" t="s">
        <v>5837</v>
      </c>
      <c r="E7590" s="6" t="s">
        <v>21</v>
      </c>
      <c r="F7590" s="6" t="n">
        <v>1</v>
      </c>
      <c r="G7590" s="10" t="n">
        <v>2948</v>
      </c>
      <c r="H7590" s="10" t="n">
        <f aca="false">F7590*G7590</f>
        <v>2948</v>
      </c>
      <c r="I7590" s="6" t="s">
        <v>5122</v>
      </c>
    </row>
    <row r="7591" customFormat="false" ht="15" hidden="false" customHeight="false" outlineLevel="0" collapsed="false">
      <c r="A7591" s="6" t="s">
        <v>12815</v>
      </c>
      <c r="B7591" s="6" t="s">
        <v>4647</v>
      </c>
      <c r="C7591" s="26" t="n">
        <v>46246</v>
      </c>
      <c r="D7591" s="6" t="s">
        <v>5214</v>
      </c>
      <c r="E7591" s="6" t="s">
        <v>20</v>
      </c>
      <c r="F7591" s="6" t="n">
        <v>2</v>
      </c>
      <c r="G7591" s="10" t="n">
        <v>2039</v>
      </c>
      <c r="H7591" s="10" t="n">
        <f aca="false">F7591*G7591</f>
        <v>4078</v>
      </c>
      <c r="I7591" s="6" t="s">
        <v>5130</v>
      </c>
    </row>
    <row r="7592" customFormat="false" ht="15" hidden="false" customHeight="false" outlineLevel="0" collapsed="false">
      <c r="A7592" s="6" t="s">
        <v>12816</v>
      </c>
      <c r="B7592" s="6" t="s">
        <v>3413</v>
      </c>
      <c r="C7592" s="26" t="n">
        <v>46246</v>
      </c>
      <c r="D7592" s="6" t="s">
        <v>5190</v>
      </c>
      <c r="E7592" s="6" t="s">
        <v>24</v>
      </c>
      <c r="F7592" s="6" t="n">
        <v>1</v>
      </c>
      <c r="G7592" s="10" t="n">
        <v>611</v>
      </c>
      <c r="H7592" s="10" t="n">
        <f aca="false">F7592*G7592</f>
        <v>611</v>
      </c>
      <c r="I7592" s="6" t="s">
        <v>5122</v>
      </c>
    </row>
    <row r="7593" customFormat="false" ht="15" hidden="false" customHeight="false" outlineLevel="0" collapsed="false">
      <c r="A7593" s="6" t="s">
        <v>12817</v>
      </c>
      <c r="B7593" s="6" t="s">
        <v>4461</v>
      </c>
      <c r="C7593" s="26" t="n">
        <v>46246</v>
      </c>
      <c r="D7593" s="6" t="s">
        <v>5171</v>
      </c>
      <c r="E7593" s="6" t="s">
        <v>23</v>
      </c>
      <c r="F7593" s="6" t="n">
        <v>3</v>
      </c>
      <c r="G7593" s="10" t="n">
        <v>734</v>
      </c>
      <c r="H7593" s="10" t="n">
        <f aca="false">F7593*G7593</f>
        <v>2202</v>
      </c>
      <c r="I7593" s="6" t="s">
        <v>5125</v>
      </c>
    </row>
    <row r="7594" customFormat="false" ht="15" hidden="false" customHeight="false" outlineLevel="0" collapsed="false">
      <c r="A7594" s="6" t="s">
        <v>12818</v>
      </c>
      <c r="B7594" s="6" t="s">
        <v>525</v>
      </c>
      <c r="C7594" s="26" t="n">
        <v>46246</v>
      </c>
      <c r="D7594" s="6" t="s">
        <v>5683</v>
      </c>
      <c r="E7594" s="6" t="s">
        <v>22</v>
      </c>
      <c r="F7594" s="6" t="n">
        <v>2</v>
      </c>
      <c r="G7594" s="10" t="n">
        <v>1760</v>
      </c>
      <c r="H7594" s="10" t="n">
        <f aca="false">F7594*G7594</f>
        <v>3520</v>
      </c>
      <c r="I7594" s="6" t="s">
        <v>5122</v>
      </c>
    </row>
    <row r="7595" customFormat="false" ht="15" hidden="false" customHeight="false" outlineLevel="0" collapsed="false">
      <c r="A7595" s="6" t="s">
        <v>12819</v>
      </c>
      <c r="B7595" s="6" t="s">
        <v>541</v>
      </c>
      <c r="C7595" s="26" t="n">
        <v>46246</v>
      </c>
      <c r="D7595" s="6" t="s">
        <v>5185</v>
      </c>
      <c r="E7595" s="6" t="s">
        <v>24</v>
      </c>
      <c r="F7595" s="6" t="n">
        <v>2</v>
      </c>
      <c r="G7595" s="10" t="n">
        <v>2140</v>
      </c>
      <c r="H7595" s="10" t="n">
        <f aca="false">F7595*G7595</f>
        <v>4280</v>
      </c>
      <c r="I7595" s="6" t="s">
        <v>5122</v>
      </c>
    </row>
    <row r="7596" customFormat="false" ht="15" hidden="false" customHeight="false" outlineLevel="0" collapsed="false">
      <c r="A7596" s="6" t="s">
        <v>12820</v>
      </c>
      <c r="B7596" s="6" t="s">
        <v>4683</v>
      </c>
      <c r="C7596" s="26" t="n">
        <v>46246</v>
      </c>
      <c r="D7596" s="6" t="s">
        <v>5121</v>
      </c>
      <c r="E7596" s="6" t="s">
        <v>22</v>
      </c>
      <c r="F7596" s="6" t="n">
        <v>3</v>
      </c>
      <c r="G7596" s="10" t="n">
        <v>977</v>
      </c>
      <c r="H7596" s="10" t="n">
        <f aca="false">F7596*G7596</f>
        <v>2931</v>
      </c>
      <c r="I7596" s="6" t="s">
        <v>5122</v>
      </c>
    </row>
    <row r="7597" customFormat="false" ht="15" hidden="false" customHeight="false" outlineLevel="0" collapsed="false">
      <c r="A7597" s="6" t="s">
        <v>12821</v>
      </c>
      <c r="B7597" s="6" t="s">
        <v>1855</v>
      </c>
      <c r="C7597" s="26" t="n">
        <v>46246</v>
      </c>
      <c r="D7597" s="6" t="s">
        <v>5124</v>
      </c>
      <c r="E7597" s="6" t="s">
        <v>21</v>
      </c>
      <c r="F7597" s="6" t="n">
        <v>1</v>
      </c>
      <c r="G7597" s="10" t="n">
        <v>3439</v>
      </c>
      <c r="H7597" s="10" t="n">
        <f aca="false">F7597*G7597</f>
        <v>3439</v>
      </c>
      <c r="I7597" s="6" t="s">
        <v>5122</v>
      </c>
    </row>
    <row r="7598" customFormat="false" ht="15" hidden="false" customHeight="false" outlineLevel="0" collapsed="false">
      <c r="A7598" s="6" t="s">
        <v>12822</v>
      </c>
      <c r="B7598" s="6" t="s">
        <v>2405</v>
      </c>
      <c r="C7598" s="26" t="n">
        <v>46246</v>
      </c>
      <c r="D7598" s="6" t="s">
        <v>5906</v>
      </c>
      <c r="E7598" s="6" t="s">
        <v>20</v>
      </c>
      <c r="F7598" s="6" t="n">
        <v>2</v>
      </c>
      <c r="G7598" s="10" t="n">
        <v>56087</v>
      </c>
      <c r="H7598" s="10" t="n">
        <f aca="false">F7598*G7598</f>
        <v>112174</v>
      </c>
      <c r="I7598" s="6" t="s">
        <v>5122</v>
      </c>
    </row>
    <row r="7599" customFormat="false" ht="15" hidden="false" customHeight="false" outlineLevel="0" collapsed="false">
      <c r="A7599" s="6" t="s">
        <v>12823</v>
      </c>
      <c r="B7599" s="6" t="s">
        <v>2849</v>
      </c>
      <c r="C7599" s="26" t="n">
        <v>46246</v>
      </c>
      <c r="D7599" s="6" t="s">
        <v>5269</v>
      </c>
      <c r="E7599" s="6" t="s">
        <v>22</v>
      </c>
      <c r="F7599" s="6" t="n">
        <v>4</v>
      </c>
      <c r="G7599" s="10" t="n">
        <v>1271</v>
      </c>
      <c r="H7599" s="10" t="n">
        <f aca="false">F7599*G7599</f>
        <v>5084</v>
      </c>
      <c r="I7599" s="6" t="s">
        <v>5122</v>
      </c>
    </row>
    <row r="7600" customFormat="false" ht="15" hidden="false" customHeight="false" outlineLevel="0" collapsed="false">
      <c r="A7600" s="6" t="s">
        <v>12824</v>
      </c>
      <c r="B7600" s="6" t="s">
        <v>3117</v>
      </c>
      <c r="C7600" s="26" t="n">
        <v>46246</v>
      </c>
      <c r="D7600" s="6" t="s">
        <v>5154</v>
      </c>
      <c r="E7600" s="6" t="s">
        <v>21</v>
      </c>
      <c r="F7600" s="6" t="n">
        <v>1</v>
      </c>
      <c r="G7600" s="10" t="n">
        <v>707</v>
      </c>
      <c r="H7600" s="10" t="n">
        <f aca="false">F7600*G7600</f>
        <v>707</v>
      </c>
      <c r="I7600" s="6" t="s">
        <v>5130</v>
      </c>
    </row>
    <row r="7601" customFormat="false" ht="15" hidden="false" customHeight="false" outlineLevel="0" collapsed="false">
      <c r="A7601" s="6" t="s">
        <v>12825</v>
      </c>
      <c r="B7601" s="6" t="s">
        <v>3749</v>
      </c>
      <c r="C7601" s="26" t="n">
        <v>46246</v>
      </c>
      <c r="D7601" s="6" t="s">
        <v>5456</v>
      </c>
      <c r="E7601" s="6" t="s">
        <v>24</v>
      </c>
      <c r="F7601" s="6" t="n">
        <v>2</v>
      </c>
      <c r="G7601" s="10" t="n">
        <v>821</v>
      </c>
      <c r="H7601" s="10" t="n">
        <f aca="false">F7601*G7601</f>
        <v>1642</v>
      </c>
      <c r="I7601" s="6" t="s">
        <v>5122</v>
      </c>
    </row>
    <row r="7602" customFormat="false" ht="15" hidden="false" customHeight="false" outlineLevel="0" collapsed="false">
      <c r="A7602" s="6" t="s">
        <v>12826</v>
      </c>
      <c r="B7602" s="6" t="s">
        <v>154</v>
      </c>
      <c r="C7602" s="26" t="n">
        <v>46246</v>
      </c>
      <c r="D7602" s="6" t="s">
        <v>5188</v>
      </c>
      <c r="E7602" s="6" t="s">
        <v>24</v>
      </c>
      <c r="F7602" s="6" t="n">
        <v>1</v>
      </c>
      <c r="G7602" s="10" t="n">
        <v>917</v>
      </c>
      <c r="H7602" s="10" t="n">
        <f aca="false">F7602*G7602</f>
        <v>917</v>
      </c>
      <c r="I7602" s="6" t="s">
        <v>5130</v>
      </c>
    </row>
    <row r="7603" customFormat="false" ht="15" hidden="false" customHeight="false" outlineLevel="0" collapsed="false">
      <c r="A7603" s="6" t="s">
        <v>12827</v>
      </c>
      <c r="B7603" s="6" t="s">
        <v>2607</v>
      </c>
      <c r="C7603" s="26" t="n">
        <v>46246</v>
      </c>
      <c r="D7603" s="6" t="s">
        <v>5687</v>
      </c>
      <c r="E7603" s="6" t="s">
        <v>20</v>
      </c>
      <c r="F7603" s="6" t="n">
        <v>1</v>
      </c>
      <c r="G7603" s="10" t="n">
        <v>2039</v>
      </c>
      <c r="H7603" s="10" t="n">
        <f aca="false">F7603*G7603</f>
        <v>2039</v>
      </c>
      <c r="I7603" s="6" t="s">
        <v>5130</v>
      </c>
    </row>
    <row r="7604" customFormat="false" ht="15" hidden="false" customHeight="false" outlineLevel="0" collapsed="false">
      <c r="A7604" s="6" t="s">
        <v>12828</v>
      </c>
      <c r="B7604" s="6" t="s">
        <v>4175</v>
      </c>
      <c r="C7604" s="26" t="n">
        <v>46246</v>
      </c>
      <c r="D7604" s="6" t="s">
        <v>5171</v>
      </c>
      <c r="E7604" s="6" t="s">
        <v>23</v>
      </c>
      <c r="F7604" s="6" t="n">
        <v>2</v>
      </c>
      <c r="G7604" s="10" t="n">
        <v>734</v>
      </c>
      <c r="H7604" s="10" t="n">
        <f aca="false">F7604*G7604</f>
        <v>1468</v>
      </c>
      <c r="I7604" s="6" t="s">
        <v>5125</v>
      </c>
    </row>
    <row r="7605" customFormat="false" ht="15" hidden="false" customHeight="false" outlineLevel="0" collapsed="false">
      <c r="A7605" s="6" t="s">
        <v>12829</v>
      </c>
      <c r="B7605" s="6" t="s">
        <v>5055</v>
      </c>
      <c r="C7605" s="26" t="n">
        <v>46246</v>
      </c>
      <c r="D7605" s="6" t="s">
        <v>5167</v>
      </c>
      <c r="E7605" s="6" t="s">
        <v>22</v>
      </c>
      <c r="F7605" s="6" t="n">
        <v>1</v>
      </c>
      <c r="G7605" s="10" t="n">
        <v>782</v>
      </c>
      <c r="H7605" s="10" t="n">
        <f aca="false">F7605*G7605</f>
        <v>782</v>
      </c>
      <c r="I7605" s="6" t="s">
        <v>5122</v>
      </c>
    </row>
    <row r="7606" customFormat="false" ht="15" hidden="false" customHeight="false" outlineLevel="0" collapsed="false">
      <c r="A7606" s="6" t="s">
        <v>12830</v>
      </c>
      <c r="B7606" s="6" t="s">
        <v>2683</v>
      </c>
      <c r="C7606" s="26" t="n">
        <v>46246</v>
      </c>
      <c r="D7606" s="6" t="s">
        <v>6114</v>
      </c>
      <c r="E7606" s="6" t="s">
        <v>20</v>
      </c>
      <c r="F7606" s="6" t="n">
        <v>1</v>
      </c>
      <c r="G7606" s="10" t="n">
        <v>13256</v>
      </c>
      <c r="H7606" s="10" t="n">
        <f aca="false">F7606*G7606</f>
        <v>13256</v>
      </c>
      <c r="I7606" s="6" t="s">
        <v>5122</v>
      </c>
    </row>
    <row r="7607" customFormat="false" ht="15" hidden="false" customHeight="false" outlineLevel="0" collapsed="false">
      <c r="A7607" s="6" t="s">
        <v>12831</v>
      </c>
      <c r="B7607" s="6" t="s">
        <v>1167</v>
      </c>
      <c r="C7607" s="26" t="n">
        <v>46246</v>
      </c>
      <c r="D7607" s="6" t="s">
        <v>5171</v>
      </c>
      <c r="E7607" s="6" t="s">
        <v>23</v>
      </c>
      <c r="F7607" s="6" t="n">
        <v>3</v>
      </c>
      <c r="G7607" s="10" t="n">
        <v>734</v>
      </c>
      <c r="H7607" s="10" t="n">
        <f aca="false">F7607*G7607</f>
        <v>2202</v>
      </c>
      <c r="I7607" s="6" t="s">
        <v>5130</v>
      </c>
    </row>
    <row r="7608" customFormat="false" ht="15" hidden="false" customHeight="false" outlineLevel="0" collapsed="false">
      <c r="A7608" s="6" t="s">
        <v>12832</v>
      </c>
      <c r="B7608" s="6" t="s">
        <v>297</v>
      </c>
      <c r="C7608" s="26" t="n">
        <v>46246</v>
      </c>
      <c r="D7608" s="6" t="s">
        <v>5466</v>
      </c>
      <c r="E7608" s="6" t="s">
        <v>21</v>
      </c>
      <c r="F7608" s="6" t="n">
        <v>2</v>
      </c>
      <c r="G7608" s="10" t="n">
        <v>1768</v>
      </c>
      <c r="H7608" s="10" t="n">
        <f aca="false">F7608*G7608</f>
        <v>3536</v>
      </c>
      <c r="I7608" s="6" t="s">
        <v>5125</v>
      </c>
    </row>
    <row r="7609" customFormat="false" ht="15" hidden="false" customHeight="false" outlineLevel="0" collapsed="false">
      <c r="A7609" s="6" t="s">
        <v>12833</v>
      </c>
      <c r="B7609" s="6" t="s">
        <v>1113</v>
      </c>
      <c r="C7609" s="26" t="n">
        <v>46246</v>
      </c>
      <c r="D7609" s="6" t="s">
        <v>5269</v>
      </c>
      <c r="E7609" s="6" t="s">
        <v>22</v>
      </c>
      <c r="F7609" s="6" t="n">
        <v>3</v>
      </c>
      <c r="G7609" s="10" t="n">
        <v>1271</v>
      </c>
      <c r="H7609" s="10" t="n">
        <f aca="false">F7609*G7609</f>
        <v>3813</v>
      </c>
      <c r="I7609" s="6" t="s">
        <v>5122</v>
      </c>
    </row>
    <row r="7610" customFormat="false" ht="15" hidden="false" customHeight="false" outlineLevel="0" collapsed="false">
      <c r="A7610" s="6" t="s">
        <v>12834</v>
      </c>
      <c r="B7610" s="6" t="s">
        <v>2437</v>
      </c>
      <c r="C7610" s="26" t="n">
        <v>46246</v>
      </c>
      <c r="D7610" s="6" t="s">
        <v>5313</v>
      </c>
      <c r="E7610" s="6" t="s">
        <v>22</v>
      </c>
      <c r="F7610" s="6" t="n">
        <v>2</v>
      </c>
      <c r="G7610" s="10" t="n">
        <v>1760</v>
      </c>
      <c r="H7610" s="10" t="n">
        <f aca="false">F7610*G7610</f>
        <v>3520</v>
      </c>
      <c r="I7610" s="6" t="s">
        <v>5122</v>
      </c>
    </row>
    <row r="7611" customFormat="false" ht="15" hidden="false" customHeight="false" outlineLevel="0" collapsed="false">
      <c r="A7611" s="6" t="s">
        <v>12835</v>
      </c>
      <c r="B7611" s="6" t="s">
        <v>5099</v>
      </c>
      <c r="C7611" s="26" t="n">
        <v>46246</v>
      </c>
      <c r="D7611" s="6" t="s">
        <v>5353</v>
      </c>
      <c r="E7611" s="6" t="s">
        <v>24</v>
      </c>
      <c r="F7611" s="6" t="n">
        <v>1</v>
      </c>
      <c r="G7611" s="10" t="n">
        <v>1466</v>
      </c>
      <c r="H7611" s="10" t="n">
        <f aca="false">F7611*G7611</f>
        <v>1466</v>
      </c>
      <c r="I7611" s="6" t="s">
        <v>5122</v>
      </c>
    </row>
    <row r="7612" customFormat="false" ht="15" hidden="false" customHeight="false" outlineLevel="0" collapsed="false">
      <c r="A7612" s="6" t="s">
        <v>12836</v>
      </c>
      <c r="B7612" s="6" t="s">
        <v>370</v>
      </c>
      <c r="C7612" s="26" t="n">
        <v>46246</v>
      </c>
      <c r="D7612" s="6" t="s">
        <v>5180</v>
      </c>
      <c r="E7612" s="6" t="s">
        <v>24</v>
      </c>
      <c r="F7612" s="6" t="n">
        <v>1</v>
      </c>
      <c r="G7612" s="10" t="n">
        <v>1987</v>
      </c>
      <c r="H7612" s="10" t="n">
        <f aca="false">F7612*G7612</f>
        <v>1987</v>
      </c>
      <c r="I7612" s="6" t="s">
        <v>5122</v>
      </c>
    </row>
    <row r="7613" customFormat="false" ht="15" hidden="false" customHeight="false" outlineLevel="0" collapsed="false">
      <c r="A7613" s="6" t="s">
        <v>12837</v>
      </c>
      <c r="B7613" s="6" t="s">
        <v>3887</v>
      </c>
      <c r="C7613" s="26" t="n">
        <v>46246</v>
      </c>
      <c r="D7613" s="6" t="s">
        <v>5318</v>
      </c>
      <c r="E7613" s="6" t="s">
        <v>20</v>
      </c>
      <c r="F7613" s="6" t="n">
        <v>1</v>
      </c>
      <c r="G7613" s="10" t="n">
        <v>1529</v>
      </c>
      <c r="H7613" s="10" t="n">
        <f aca="false">F7613*G7613</f>
        <v>1529</v>
      </c>
      <c r="I7613" s="6" t="s">
        <v>5125</v>
      </c>
    </row>
    <row r="7614" customFormat="false" ht="15" hidden="false" customHeight="false" outlineLevel="0" collapsed="false">
      <c r="A7614" s="6" t="s">
        <v>12838</v>
      </c>
      <c r="B7614" s="6" t="s">
        <v>3211</v>
      </c>
      <c r="C7614" s="26" t="n">
        <v>46246</v>
      </c>
      <c r="D7614" s="6" t="s">
        <v>5345</v>
      </c>
      <c r="E7614" s="6" t="s">
        <v>23</v>
      </c>
      <c r="F7614" s="6" t="n">
        <v>5</v>
      </c>
      <c r="G7614" s="10" t="n">
        <v>414</v>
      </c>
      <c r="H7614" s="10" t="n">
        <f aca="false">F7614*G7614</f>
        <v>2070</v>
      </c>
      <c r="I7614" s="6" t="s">
        <v>5148</v>
      </c>
    </row>
    <row r="7615" customFormat="false" ht="15" hidden="false" customHeight="false" outlineLevel="0" collapsed="false">
      <c r="A7615" s="6" t="s">
        <v>12839</v>
      </c>
      <c r="B7615" s="6" t="s">
        <v>2481</v>
      </c>
      <c r="C7615" s="26" t="n">
        <v>46246</v>
      </c>
      <c r="D7615" s="6" t="s">
        <v>5345</v>
      </c>
      <c r="E7615" s="6" t="s">
        <v>23</v>
      </c>
      <c r="F7615" s="6" t="n">
        <v>3</v>
      </c>
      <c r="G7615" s="10" t="n">
        <v>414</v>
      </c>
      <c r="H7615" s="10" t="n">
        <f aca="false">F7615*G7615</f>
        <v>1242</v>
      </c>
      <c r="I7615" s="6" t="s">
        <v>5148</v>
      </c>
    </row>
    <row r="7616" customFormat="false" ht="15" hidden="false" customHeight="false" outlineLevel="0" collapsed="false">
      <c r="A7616" s="6" t="s">
        <v>12840</v>
      </c>
      <c r="B7616" s="6" t="s">
        <v>3799</v>
      </c>
      <c r="C7616" s="26" t="n">
        <v>46246</v>
      </c>
      <c r="D7616" s="6" t="s">
        <v>5141</v>
      </c>
      <c r="E7616" s="6" t="s">
        <v>20</v>
      </c>
      <c r="F7616" s="6" t="n">
        <v>1</v>
      </c>
      <c r="G7616" s="10" t="n">
        <v>1835</v>
      </c>
      <c r="H7616" s="10" t="n">
        <f aca="false">F7616*G7616</f>
        <v>1835</v>
      </c>
      <c r="I7616" s="6" t="s">
        <v>5148</v>
      </c>
    </row>
    <row r="7617" customFormat="false" ht="15" hidden="false" customHeight="false" outlineLevel="0" collapsed="false">
      <c r="A7617" s="6" t="s">
        <v>12841</v>
      </c>
      <c r="B7617" s="6" t="s">
        <v>4419</v>
      </c>
      <c r="C7617" s="26" t="n">
        <v>46246</v>
      </c>
      <c r="D7617" s="6" t="s">
        <v>5167</v>
      </c>
      <c r="E7617" s="6" t="s">
        <v>22</v>
      </c>
      <c r="F7617" s="6" t="n">
        <v>2</v>
      </c>
      <c r="G7617" s="10" t="n">
        <v>782</v>
      </c>
      <c r="H7617" s="10" t="n">
        <f aca="false">F7617*G7617</f>
        <v>1564</v>
      </c>
      <c r="I7617" s="6" t="s">
        <v>5130</v>
      </c>
    </row>
    <row r="7618" customFormat="false" ht="15" hidden="false" customHeight="false" outlineLevel="0" collapsed="false">
      <c r="A7618" s="6" t="s">
        <v>12842</v>
      </c>
      <c r="B7618" s="6" t="s">
        <v>1269</v>
      </c>
      <c r="C7618" s="26" t="n">
        <v>46246</v>
      </c>
      <c r="D7618" s="6" t="s">
        <v>5292</v>
      </c>
      <c r="E7618" s="6" t="s">
        <v>21</v>
      </c>
      <c r="F7618" s="6" t="n">
        <v>2</v>
      </c>
      <c r="G7618" s="10" t="n">
        <v>6880</v>
      </c>
      <c r="H7618" s="10" t="n">
        <f aca="false">F7618*G7618</f>
        <v>13760</v>
      </c>
      <c r="I7618" s="6" t="s">
        <v>5133</v>
      </c>
    </row>
    <row r="7619" customFormat="false" ht="15" hidden="false" customHeight="false" outlineLevel="0" collapsed="false">
      <c r="A7619" s="6" t="s">
        <v>12843</v>
      </c>
      <c r="B7619" s="6" t="s">
        <v>2319</v>
      </c>
      <c r="C7619" s="26" t="n">
        <v>46246</v>
      </c>
      <c r="D7619" s="6" t="s">
        <v>5121</v>
      </c>
      <c r="E7619" s="6" t="s">
        <v>22</v>
      </c>
      <c r="F7619" s="6" t="n">
        <v>1</v>
      </c>
      <c r="G7619" s="10" t="n">
        <v>880</v>
      </c>
      <c r="H7619" s="10" t="n">
        <f aca="false">F7619*G7619</f>
        <v>880</v>
      </c>
      <c r="I7619" s="6" t="s">
        <v>5122</v>
      </c>
    </row>
    <row r="7620" customFormat="false" ht="15" hidden="false" customHeight="false" outlineLevel="0" collapsed="false">
      <c r="A7620" s="6" t="s">
        <v>12844</v>
      </c>
      <c r="B7620" s="6" t="s">
        <v>1403</v>
      </c>
      <c r="C7620" s="26" t="n">
        <v>46246</v>
      </c>
      <c r="D7620" s="6" t="s">
        <v>5273</v>
      </c>
      <c r="E7620" s="6" t="s">
        <v>23</v>
      </c>
      <c r="F7620" s="6" t="n">
        <v>3</v>
      </c>
      <c r="G7620" s="10" t="n">
        <v>240</v>
      </c>
      <c r="H7620" s="10" t="n">
        <f aca="false">F7620*G7620</f>
        <v>720</v>
      </c>
      <c r="I7620" s="6" t="s">
        <v>5130</v>
      </c>
    </row>
    <row r="7621" customFormat="false" ht="15" hidden="false" customHeight="false" outlineLevel="0" collapsed="false">
      <c r="A7621" s="6" t="s">
        <v>12845</v>
      </c>
      <c r="B7621" s="6" t="s">
        <v>2957</v>
      </c>
      <c r="C7621" s="26" t="n">
        <v>46246</v>
      </c>
      <c r="D7621" s="6" t="s">
        <v>5683</v>
      </c>
      <c r="E7621" s="6" t="s">
        <v>22</v>
      </c>
      <c r="F7621" s="6" t="n">
        <v>2</v>
      </c>
      <c r="G7621" s="10" t="n">
        <v>1760</v>
      </c>
      <c r="H7621" s="10" t="n">
        <f aca="false">F7621*G7621</f>
        <v>3520</v>
      </c>
      <c r="I7621" s="6" t="s">
        <v>5125</v>
      </c>
    </row>
    <row r="7622" customFormat="false" ht="15" hidden="false" customHeight="false" outlineLevel="0" collapsed="false">
      <c r="A7622" s="6" t="s">
        <v>12846</v>
      </c>
      <c r="B7622" s="6" t="s">
        <v>1665</v>
      </c>
      <c r="C7622" s="26" t="n">
        <v>46246</v>
      </c>
      <c r="D7622" s="6" t="s">
        <v>5641</v>
      </c>
      <c r="E7622" s="6" t="s">
        <v>22</v>
      </c>
      <c r="F7622" s="6" t="n">
        <v>2</v>
      </c>
      <c r="G7622" s="10" t="n">
        <v>2024</v>
      </c>
      <c r="H7622" s="10" t="n">
        <f aca="false">F7622*G7622</f>
        <v>4048</v>
      </c>
      <c r="I7622" s="6" t="s">
        <v>5130</v>
      </c>
    </row>
    <row r="7623" customFormat="false" ht="15" hidden="false" customHeight="false" outlineLevel="0" collapsed="false">
      <c r="A7623" s="6" t="s">
        <v>12847</v>
      </c>
      <c r="B7623" s="6" t="s">
        <v>4571</v>
      </c>
      <c r="C7623" s="26" t="n">
        <v>46246</v>
      </c>
      <c r="D7623" s="6" t="s">
        <v>5121</v>
      </c>
      <c r="E7623" s="6" t="s">
        <v>22</v>
      </c>
      <c r="F7623" s="6" t="n">
        <v>3</v>
      </c>
      <c r="G7623" s="10" t="n">
        <v>977</v>
      </c>
      <c r="H7623" s="10" t="n">
        <f aca="false">F7623*G7623</f>
        <v>2931</v>
      </c>
      <c r="I7623" s="6" t="s">
        <v>5122</v>
      </c>
    </row>
    <row r="7624" customFormat="false" ht="15" hidden="false" customHeight="false" outlineLevel="0" collapsed="false">
      <c r="A7624" s="6" t="s">
        <v>12848</v>
      </c>
      <c r="B7624" s="6" t="s">
        <v>2829</v>
      </c>
      <c r="C7624" s="26" t="n">
        <v>46246</v>
      </c>
      <c r="D7624" s="6" t="s">
        <v>5163</v>
      </c>
      <c r="E7624" s="6" t="s">
        <v>23</v>
      </c>
      <c r="F7624" s="6" t="n">
        <v>2</v>
      </c>
      <c r="G7624" s="10" t="n">
        <v>783</v>
      </c>
      <c r="H7624" s="10" t="n">
        <f aca="false">F7624*G7624</f>
        <v>1566</v>
      </c>
      <c r="I7624" s="6" t="s">
        <v>5148</v>
      </c>
    </row>
    <row r="7625" customFormat="false" ht="15" hidden="false" customHeight="false" outlineLevel="0" collapsed="false">
      <c r="A7625" s="6" t="s">
        <v>12849</v>
      </c>
      <c r="B7625" s="6" t="s">
        <v>3875</v>
      </c>
      <c r="C7625" s="26" t="n">
        <v>46246</v>
      </c>
      <c r="D7625" s="6" t="s">
        <v>5135</v>
      </c>
      <c r="E7625" s="6" t="s">
        <v>23</v>
      </c>
      <c r="F7625" s="6" t="n">
        <v>3</v>
      </c>
      <c r="G7625" s="10" t="n">
        <v>419</v>
      </c>
      <c r="H7625" s="10" t="n">
        <f aca="false">F7625*G7625</f>
        <v>1257</v>
      </c>
      <c r="I7625" s="6" t="s">
        <v>5122</v>
      </c>
    </row>
    <row r="7626" customFormat="false" ht="15" hidden="false" customHeight="false" outlineLevel="0" collapsed="false">
      <c r="A7626" s="6" t="s">
        <v>12850</v>
      </c>
      <c r="B7626" s="6" t="s">
        <v>4215</v>
      </c>
      <c r="C7626" s="26" t="n">
        <v>46246</v>
      </c>
      <c r="D7626" s="6" t="s">
        <v>5383</v>
      </c>
      <c r="E7626" s="6" t="s">
        <v>20</v>
      </c>
      <c r="F7626" s="6" t="n">
        <v>1</v>
      </c>
      <c r="G7626" s="10" t="n">
        <v>1065</v>
      </c>
      <c r="H7626" s="10" t="n">
        <f aca="false">F7626*G7626</f>
        <v>1065</v>
      </c>
      <c r="I7626" s="6" t="s">
        <v>5122</v>
      </c>
    </row>
    <row r="7627" customFormat="false" ht="15" hidden="false" customHeight="false" outlineLevel="0" collapsed="false">
      <c r="A7627" s="6" t="s">
        <v>12851</v>
      </c>
      <c r="B7627" s="6" t="s">
        <v>4505</v>
      </c>
      <c r="C7627" s="26" t="n">
        <v>46246</v>
      </c>
      <c r="D7627" s="6" t="s">
        <v>5129</v>
      </c>
      <c r="E7627" s="6" t="s">
        <v>21</v>
      </c>
      <c r="F7627" s="6" t="n">
        <v>1</v>
      </c>
      <c r="G7627" s="10" t="n">
        <v>589</v>
      </c>
      <c r="H7627" s="10" t="n">
        <f aca="false">F7627*G7627</f>
        <v>589</v>
      </c>
      <c r="I7627" s="6" t="s">
        <v>5125</v>
      </c>
    </row>
    <row r="7628" customFormat="false" ht="15" hidden="false" customHeight="false" outlineLevel="0" collapsed="false">
      <c r="A7628" s="6" t="s">
        <v>12852</v>
      </c>
      <c r="B7628" s="6" t="s">
        <v>1011</v>
      </c>
      <c r="C7628" s="26" t="n">
        <v>46246</v>
      </c>
      <c r="D7628" s="6" t="s">
        <v>5145</v>
      </c>
      <c r="E7628" s="6" t="s">
        <v>21</v>
      </c>
      <c r="F7628" s="6" t="n">
        <v>1</v>
      </c>
      <c r="G7628" s="10" t="n">
        <v>1149</v>
      </c>
      <c r="H7628" s="10" t="n">
        <f aca="false">F7628*G7628</f>
        <v>1149</v>
      </c>
      <c r="I7628" s="6" t="s">
        <v>5122</v>
      </c>
    </row>
    <row r="7629" customFormat="false" ht="15" hidden="false" customHeight="false" outlineLevel="0" collapsed="false">
      <c r="A7629" s="6" t="s">
        <v>12853</v>
      </c>
      <c r="B7629" s="6" t="s">
        <v>4783</v>
      </c>
      <c r="C7629" s="26" t="n">
        <v>46246</v>
      </c>
      <c r="D7629" s="6" t="s">
        <v>5488</v>
      </c>
      <c r="E7629" s="6" t="s">
        <v>24</v>
      </c>
      <c r="F7629" s="6" t="n">
        <v>1</v>
      </c>
      <c r="G7629" s="10" t="n">
        <v>779</v>
      </c>
      <c r="H7629" s="10" t="n">
        <f aca="false">F7629*G7629</f>
        <v>779</v>
      </c>
      <c r="I7629" s="6" t="s">
        <v>5133</v>
      </c>
    </row>
    <row r="7630" customFormat="false" ht="15" hidden="false" customHeight="false" outlineLevel="0" collapsed="false">
      <c r="A7630" s="6" t="s">
        <v>12854</v>
      </c>
      <c r="B7630" s="6" t="s">
        <v>1473</v>
      </c>
      <c r="C7630" s="26" t="n">
        <v>46246</v>
      </c>
      <c r="D7630" s="6" t="s">
        <v>5316</v>
      </c>
      <c r="E7630" s="6" t="s">
        <v>23</v>
      </c>
      <c r="F7630" s="6" t="n">
        <v>2</v>
      </c>
      <c r="G7630" s="10" t="n">
        <v>260</v>
      </c>
      <c r="H7630" s="10" t="n">
        <f aca="false">F7630*G7630</f>
        <v>520</v>
      </c>
      <c r="I7630" s="6" t="s">
        <v>5122</v>
      </c>
    </row>
    <row r="7631" customFormat="false" ht="15" hidden="false" customHeight="false" outlineLevel="0" collapsed="false">
      <c r="A7631" s="6" t="s">
        <v>12855</v>
      </c>
      <c r="B7631" s="6" t="s">
        <v>1805</v>
      </c>
      <c r="C7631" s="26" t="n">
        <v>46246</v>
      </c>
      <c r="D7631" s="6" t="s">
        <v>5197</v>
      </c>
      <c r="E7631" s="6" t="s">
        <v>21</v>
      </c>
      <c r="F7631" s="6" t="n">
        <v>2</v>
      </c>
      <c r="G7631" s="10" t="n">
        <v>1026</v>
      </c>
      <c r="H7631" s="10" t="n">
        <f aca="false">F7631*G7631</f>
        <v>2052</v>
      </c>
      <c r="I7631" s="6" t="s">
        <v>5148</v>
      </c>
    </row>
    <row r="7632" customFormat="false" ht="15" hidden="false" customHeight="false" outlineLevel="0" collapsed="false">
      <c r="A7632" s="6" t="s">
        <v>12856</v>
      </c>
      <c r="B7632" s="6" t="s">
        <v>3745</v>
      </c>
      <c r="C7632" s="26" t="n">
        <v>46246</v>
      </c>
      <c r="D7632" s="6" t="s">
        <v>5207</v>
      </c>
      <c r="E7632" s="6" t="s">
        <v>20</v>
      </c>
      <c r="F7632" s="6" t="n">
        <v>2</v>
      </c>
      <c r="G7632" s="10" t="n">
        <v>1192</v>
      </c>
      <c r="H7632" s="10" t="n">
        <f aca="false">F7632*G7632</f>
        <v>2384</v>
      </c>
      <c r="I7632" s="6" t="s">
        <v>5122</v>
      </c>
    </row>
    <row r="7633" customFormat="false" ht="15" hidden="false" customHeight="false" outlineLevel="0" collapsed="false">
      <c r="A7633" s="6" t="s">
        <v>12857</v>
      </c>
      <c r="B7633" s="6" t="s">
        <v>1443</v>
      </c>
      <c r="C7633" s="26" t="n">
        <v>46246</v>
      </c>
      <c r="D7633" s="6" t="s">
        <v>5121</v>
      </c>
      <c r="E7633" s="6" t="s">
        <v>22</v>
      </c>
      <c r="F7633" s="6" t="n">
        <v>1</v>
      </c>
      <c r="G7633" s="10" t="n">
        <v>928</v>
      </c>
      <c r="H7633" s="10" t="n">
        <f aca="false">F7633*G7633</f>
        <v>928</v>
      </c>
      <c r="I7633" s="6" t="s">
        <v>5122</v>
      </c>
    </row>
    <row r="7634" customFormat="false" ht="15" hidden="false" customHeight="false" outlineLevel="0" collapsed="false">
      <c r="A7634" s="6" t="s">
        <v>12858</v>
      </c>
      <c r="B7634" s="6" t="s">
        <v>3777</v>
      </c>
      <c r="C7634" s="26" t="n">
        <v>46246</v>
      </c>
      <c r="D7634" s="6" t="s">
        <v>5137</v>
      </c>
      <c r="E7634" s="6" t="s">
        <v>21</v>
      </c>
      <c r="F7634" s="6" t="n">
        <v>1</v>
      </c>
      <c r="G7634" s="10" t="n">
        <v>1591</v>
      </c>
      <c r="H7634" s="10" t="n">
        <f aca="false">F7634*G7634</f>
        <v>1591</v>
      </c>
      <c r="I7634" s="6" t="s">
        <v>5122</v>
      </c>
    </row>
    <row r="7635" customFormat="false" ht="15" hidden="false" customHeight="false" outlineLevel="0" collapsed="false">
      <c r="A7635" s="6" t="s">
        <v>12859</v>
      </c>
      <c r="B7635" s="6" t="s">
        <v>174</v>
      </c>
      <c r="C7635" s="26" t="n">
        <v>46246</v>
      </c>
      <c r="D7635" s="6" t="s">
        <v>5167</v>
      </c>
      <c r="E7635" s="6" t="s">
        <v>22</v>
      </c>
      <c r="F7635" s="6" t="n">
        <v>1</v>
      </c>
      <c r="G7635" s="10" t="n">
        <v>781</v>
      </c>
      <c r="H7635" s="10" t="n">
        <f aca="false">F7635*G7635</f>
        <v>781</v>
      </c>
      <c r="I7635" s="6" t="s">
        <v>5122</v>
      </c>
    </row>
    <row r="7636" customFormat="false" ht="15" hidden="false" customHeight="false" outlineLevel="0" collapsed="false">
      <c r="A7636" s="6" t="s">
        <v>12860</v>
      </c>
      <c r="B7636" s="6" t="s">
        <v>4265</v>
      </c>
      <c r="C7636" s="26" t="n">
        <v>46247</v>
      </c>
      <c r="D7636" s="6" t="s">
        <v>5281</v>
      </c>
      <c r="E7636" s="6" t="s">
        <v>24</v>
      </c>
      <c r="F7636" s="6" t="n">
        <v>2</v>
      </c>
      <c r="G7636" s="10" t="n">
        <v>814</v>
      </c>
      <c r="H7636" s="10" t="n">
        <f aca="false">F7636*G7636</f>
        <v>1628</v>
      </c>
      <c r="I7636" s="6" t="s">
        <v>5125</v>
      </c>
    </row>
    <row r="7637" customFormat="false" ht="15" hidden="false" customHeight="false" outlineLevel="0" collapsed="false">
      <c r="A7637" s="6" t="s">
        <v>12861</v>
      </c>
      <c r="B7637" s="6" t="s">
        <v>803</v>
      </c>
      <c r="C7637" s="26" t="n">
        <v>46247</v>
      </c>
      <c r="D7637" s="6" t="s">
        <v>5154</v>
      </c>
      <c r="E7637" s="6" t="s">
        <v>21</v>
      </c>
      <c r="F7637" s="6" t="n">
        <v>1</v>
      </c>
      <c r="G7637" s="10" t="n">
        <v>785</v>
      </c>
      <c r="H7637" s="10" t="n">
        <f aca="false">F7637*G7637</f>
        <v>785</v>
      </c>
      <c r="I7637" s="6" t="s">
        <v>5125</v>
      </c>
    </row>
    <row r="7638" customFormat="false" ht="15" hidden="false" customHeight="false" outlineLevel="0" collapsed="false">
      <c r="A7638" s="6" t="s">
        <v>12862</v>
      </c>
      <c r="B7638" s="6" t="s">
        <v>128</v>
      </c>
      <c r="C7638" s="26" t="n">
        <v>46247</v>
      </c>
      <c r="D7638" s="6" t="s">
        <v>5318</v>
      </c>
      <c r="E7638" s="6" t="s">
        <v>20</v>
      </c>
      <c r="F7638" s="6" t="n">
        <v>2</v>
      </c>
      <c r="G7638" s="10" t="n">
        <v>1376</v>
      </c>
      <c r="H7638" s="10" t="n">
        <f aca="false">F7638*G7638</f>
        <v>2752</v>
      </c>
      <c r="I7638" s="6" t="s">
        <v>5133</v>
      </c>
    </row>
    <row r="7639" customFormat="false" ht="15" hidden="false" customHeight="false" outlineLevel="0" collapsed="false">
      <c r="A7639" s="6" t="s">
        <v>12863</v>
      </c>
      <c r="B7639" s="6" t="s">
        <v>2985</v>
      </c>
      <c r="C7639" s="26" t="n">
        <v>46247</v>
      </c>
      <c r="D7639" s="6" t="s">
        <v>5165</v>
      </c>
      <c r="E7639" s="6" t="s">
        <v>22</v>
      </c>
      <c r="F7639" s="6" t="n">
        <v>1</v>
      </c>
      <c r="G7639" s="10" t="n">
        <v>928</v>
      </c>
      <c r="H7639" s="10" t="n">
        <f aca="false">F7639*G7639</f>
        <v>928</v>
      </c>
      <c r="I7639" s="6" t="s">
        <v>5125</v>
      </c>
    </row>
    <row r="7640" customFormat="false" ht="15" hidden="false" customHeight="false" outlineLevel="0" collapsed="false">
      <c r="A7640" s="6" t="s">
        <v>12864</v>
      </c>
      <c r="B7640" s="6" t="s">
        <v>4373</v>
      </c>
      <c r="C7640" s="26" t="n">
        <v>46247</v>
      </c>
      <c r="D7640" s="6" t="s">
        <v>5305</v>
      </c>
      <c r="E7640" s="6" t="s">
        <v>20</v>
      </c>
      <c r="F7640" s="6" t="n">
        <v>1</v>
      </c>
      <c r="G7640" s="10" t="n">
        <v>1631</v>
      </c>
      <c r="H7640" s="10" t="n">
        <f aca="false">F7640*G7640</f>
        <v>1631</v>
      </c>
      <c r="I7640" s="6" t="s">
        <v>5125</v>
      </c>
    </row>
    <row r="7641" customFormat="false" ht="15" hidden="false" customHeight="false" outlineLevel="0" collapsed="false">
      <c r="A7641" s="6" t="s">
        <v>12865</v>
      </c>
      <c r="B7641" s="6" t="s">
        <v>1269</v>
      </c>
      <c r="C7641" s="26" t="n">
        <v>46247</v>
      </c>
      <c r="D7641" s="6" t="s">
        <v>5152</v>
      </c>
      <c r="E7641" s="6" t="s">
        <v>22</v>
      </c>
      <c r="F7641" s="6" t="n">
        <v>1</v>
      </c>
      <c r="G7641" s="10" t="n">
        <v>1760</v>
      </c>
      <c r="H7641" s="10" t="n">
        <f aca="false">F7641*G7641</f>
        <v>1760</v>
      </c>
      <c r="I7641" s="6" t="s">
        <v>5122</v>
      </c>
    </row>
    <row r="7642" customFormat="false" ht="15" hidden="false" customHeight="false" outlineLevel="0" collapsed="false">
      <c r="A7642" s="6" t="s">
        <v>12866</v>
      </c>
      <c r="B7642" s="6" t="s">
        <v>1481</v>
      </c>
      <c r="C7642" s="26" t="n">
        <v>46247</v>
      </c>
      <c r="D7642" s="6" t="s">
        <v>5410</v>
      </c>
      <c r="E7642" s="6" t="s">
        <v>20</v>
      </c>
      <c r="F7642" s="6" t="n">
        <v>1</v>
      </c>
      <c r="G7642" s="10" t="n">
        <v>2294</v>
      </c>
      <c r="H7642" s="10" t="n">
        <f aca="false">F7642*G7642</f>
        <v>2294</v>
      </c>
      <c r="I7642" s="6" t="s">
        <v>5122</v>
      </c>
    </row>
    <row r="7643" customFormat="false" ht="15" hidden="false" customHeight="false" outlineLevel="0" collapsed="false">
      <c r="A7643" s="6" t="s">
        <v>12867</v>
      </c>
      <c r="B7643" s="6" t="s">
        <v>2851</v>
      </c>
      <c r="C7643" s="26" t="n">
        <v>46247</v>
      </c>
      <c r="D7643" s="6" t="s">
        <v>5269</v>
      </c>
      <c r="E7643" s="6" t="s">
        <v>22</v>
      </c>
      <c r="F7643" s="6" t="n">
        <v>1</v>
      </c>
      <c r="G7643" s="10" t="n">
        <v>1271</v>
      </c>
      <c r="H7643" s="10" t="n">
        <f aca="false">F7643*G7643</f>
        <v>1271</v>
      </c>
      <c r="I7643" s="6" t="s">
        <v>5122</v>
      </c>
    </row>
    <row r="7644" customFormat="false" ht="15" hidden="false" customHeight="false" outlineLevel="0" collapsed="false">
      <c r="A7644" s="6" t="s">
        <v>12868</v>
      </c>
      <c r="B7644" s="6" t="s">
        <v>4397</v>
      </c>
      <c r="C7644" s="26" t="n">
        <v>46247</v>
      </c>
      <c r="D7644" s="6" t="s">
        <v>5207</v>
      </c>
      <c r="E7644" s="6" t="s">
        <v>20</v>
      </c>
      <c r="F7644" s="6" t="n">
        <v>1</v>
      </c>
      <c r="G7644" s="10" t="n">
        <v>1325</v>
      </c>
      <c r="H7644" s="10" t="n">
        <f aca="false">F7644*G7644</f>
        <v>1325</v>
      </c>
      <c r="I7644" s="6" t="s">
        <v>5122</v>
      </c>
    </row>
    <row r="7645" customFormat="false" ht="15" hidden="false" customHeight="false" outlineLevel="0" collapsed="false">
      <c r="A7645" s="6" t="s">
        <v>12869</v>
      </c>
      <c r="B7645" s="6" t="s">
        <v>4465</v>
      </c>
      <c r="C7645" s="26" t="n">
        <v>46247</v>
      </c>
      <c r="D7645" s="6" t="s">
        <v>5127</v>
      </c>
      <c r="E7645" s="6" t="s">
        <v>21</v>
      </c>
      <c r="F7645" s="6" t="n">
        <v>3</v>
      </c>
      <c r="G7645" s="10" t="n">
        <v>795</v>
      </c>
      <c r="H7645" s="10" t="n">
        <f aca="false">F7645*G7645</f>
        <v>2385</v>
      </c>
      <c r="I7645" s="6" t="s">
        <v>5125</v>
      </c>
    </row>
    <row r="7646" customFormat="false" ht="15" hidden="false" customHeight="false" outlineLevel="0" collapsed="false">
      <c r="A7646" s="6" t="s">
        <v>12870</v>
      </c>
      <c r="B7646" s="6" t="s">
        <v>4747</v>
      </c>
      <c r="C7646" s="26" t="n">
        <v>46247</v>
      </c>
      <c r="D7646" s="6" t="s">
        <v>5163</v>
      </c>
      <c r="E7646" s="6" t="s">
        <v>23</v>
      </c>
      <c r="F7646" s="6" t="n">
        <v>5</v>
      </c>
      <c r="G7646" s="10" t="n">
        <v>744</v>
      </c>
      <c r="H7646" s="10" t="n">
        <f aca="false">F7646*G7646</f>
        <v>3720</v>
      </c>
      <c r="I7646" s="6" t="s">
        <v>5148</v>
      </c>
    </row>
    <row r="7647" customFormat="false" ht="15" hidden="false" customHeight="false" outlineLevel="0" collapsed="false">
      <c r="A7647" s="6" t="s">
        <v>12871</v>
      </c>
      <c r="B7647" s="6" t="s">
        <v>1715</v>
      </c>
      <c r="C7647" s="26" t="n">
        <v>46247</v>
      </c>
      <c r="D7647" s="6" t="s">
        <v>5197</v>
      </c>
      <c r="E7647" s="6" t="s">
        <v>21</v>
      </c>
      <c r="F7647" s="6" t="n">
        <v>1</v>
      </c>
      <c r="G7647" s="10" t="n">
        <v>972</v>
      </c>
      <c r="H7647" s="10" t="n">
        <f aca="false">F7647*G7647</f>
        <v>972</v>
      </c>
      <c r="I7647" s="6" t="s">
        <v>5122</v>
      </c>
    </row>
    <row r="7648" customFormat="false" ht="15" hidden="false" customHeight="false" outlineLevel="0" collapsed="false">
      <c r="A7648" s="6" t="s">
        <v>12872</v>
      </c>
      <c r="B7648" s="6" t="s">
        <v>4021</v>
      </c>
      <c r="C7648" s="26" t="n">
        <v>46247</v>
      </c>
      <c r="D7648" s="6" t="s">
        <v>5863</v>
      </c>
      <c r="E7648" s="6" t="s">
        <v>20</v>
      </c>
      <c r="F7648" s="6" t="n">
        <v>1</v>
      </c>
      <c r="G7648" s="10" t="n">
        <v>18355</v>
      </c>
      <c r="H7648" s="10" t="n">
        <f aca="false">F7648*G7648</f>
        <v>18355</v>
      </c>
      <c r="I7648" s="6" t="s">
        <v>5122</v>
      </c>
    </row>
    <row r="7649" customFormat="false" ht="15" hidden="false" customHeight="false" outlineLevel="0" collapsed="false">
      <c r="A7649" s="6" t="s">
        <v>12873</v>
      </c>
      <c r="B7649" s="6" t="s">
        <v>3407</v>
      </c>
      <c r="C7649" s="26" t="n">
        <v>46247</v>
      </c>
      <c r="D7649" s="6" t="s">
        <v>5216</v>
      </c>
      <c r="E7649" s="6" t="s">
        <v>23</v>
      </c>
      <c r="F7649" s="6" t="n">
        <v>3</v>
      </c>
      <c r="G7649" s="10" t="n">
        <v>587</v>
      </c>
      <c r="H7649" s="10" t="n">
        <f aca="false">F7649*G7649</f>
        <v>1761</v>
      </c>
      <c r="I7649" s="6" t="s">
        <v>5148</v>
      </c>
    </row>
    <row r="7650" customFormat="false" ht="15" hidden="false" customHeight="false" outlineLevel="0" collapsed="false">
      <c r="A7650" s="6" t="s">
        <v>12874</v>
      </c>
      <c r="B7650" s="6" t="s">
        <v>2223</v>
      </c>
      <c r="C7650" s="26" t="n">
        <v>46247</v>
      </c>
      <c r="D7650" s="6" t="s">
        <v>5167</v>
      </c>
      <c r="E7650" s="6" t="s">
        <v>22</v>
      </c>
      <c r="F7650" s="6" t="n">
        <v>2</v>
      </c>
      <c r="G7650" s="10" t="n">
        <v>782</v>
      </c>
      <c r="H7650" s="10" t="n">
        <f aca="false">F7650*G7650</f>
        <v>1564</v>
      </c>
      <c r="I7650" s="6" t="s">
        <v>5122</v>
      </c>
    </row>
    <row r="7651" customFormat="false" ht="15" hidden="false" customHeight="false" outlineLevel="0" collapsed="false">
      <c r="A7651" s="6" t="s">
        <v>12875</v>
      </c>
      <c r="B7651" s="6" t="s">
        <v>3317</v>
      </c>
      <c r="C7651" s="26" t="n">
        <v>46247</v>
      </c>
      <c r="D7651" s="6" t="s">
        <v>5224</v>
      </c>
      <c r="E7651" s="6" t="s">
        <v>23</v>
      </c>
      <c r="F7651" s="6" t="n">
        <v>4</v>
      </c>
      <c r="G7651" s="10" t="n">
        <v>195</v>
      </c>
      <c r="H7651" s="10" t="n">
        <f aca="false">F7651*G7651</f>
        <v>780</v>
      </c>
      <c r="I7651" s="6" t="s">
        <v>5122</v>
      </c>
    </row>
    <row r="7652" customFormat="false" ht="15" hidden="false" customHeight="false" outlineLevel="0" collapsed="false">
      <c r="A7652" s="6" t="s">
        <v>12876</v>
      </c>
      <c r="B7652" s="6" t="s">
        <v>1589</v>
      </c>
      <c r="C7652" s="26" t="n">
        <v>46247</v>
      </c>
      <c r="D7652" s="6" t="s">
        <v>5147</v>
      </c>
      <c r="E7652" s="6" t="s">
        <v>24</v>
      </c>
      <c r="F7652" s="6" t="n">
        <v>2</v>
      </c>
      <c r="G7652" s="10" t="n">
        <v>628</v>
      </c>
      <c r="H7652" s="10" t="n">
        <f aca="false">F7652*G7652</f>
        <v>1256</v>
      </c>
      <c r="I7652" s="6" t="s">
        <v>5122</v>
      </c>
    </row>
    <row r="7653" customFormat="false" ht="15" hidden="false" customHeight="false" outlineLevel="0" collapsed="false">
      <c r="A7653" s="6" t="s">
        <v>12877</v>
      </c>
      <c r="B7653" s="6" t="s">
        <v>1423</v>
      </c>
      <c r="C7653" s="26" t="n">
        <v>46247</v>
      </c>
      <c r="D7653" s="6" t="s">
        <v>5182</v>
      </c>
      <c r="E7653" s="6" t="s">
        <v>23</v>
      </c>
      <c r="F7653" s="6" t="n">
        <v>4</v>
      </c>
      <c r="G7653" s="10" t="n">
        <v>367</v>
      </c>
      <c r="H7653" s="10" t="n">
        <f aca="false">F7653*G7653</f>
        <v>1468</v>
      </c>
      <c r="I7653" s="6" t="s">
        <v>5125</v>
      </c>
    </row>
    <row r="7654" customFormat="false" ht="15" hidden="false" customHeight="false" outlineLevel="0" collapsed="false">
      <c r="A7654" s="6" t="s">
        <v>12878</v>
      </c>
      <c r="B7654" s="6" t="s">
        <v>673</v>
      </c>
      <c r="C7654" s="26" t="n">
        <v>46247</v>
      </c>
      <c r="D7654" s="6" t="s">
        <v>5214</v>
      </c>
      <c r="E7654" s="6" t="s">
        <v>20</v>
      </c>
      <c r="F7654" s="6" t="n">
        <v>1</v>
      </c>
      <c r="G7654" s="10" t="n">
        <v>2039</v>
      </c>
      <c r="H7654" s="10" t="n">
        <f aca="false">F7654*G7654</f>
        <v>2039</v>
      </c>
      <c r="I7654" s="6" t="s">
        <v>5130</v>
      </c>
    </row>
    <row r="7655" customFormat="false" ht="15" hidden="false" customHeight="false" outlineLevel="0" collapsed="false">
      <c r="A7655" s="6" t="s">
        <v>12879</v>
      </c>
      <c r="B7655" s="6" t="s">
        <v>3211</v>
      </c>
      <c r="C7655" s="26" t="n">
        <v>46247</v>
      </c>
      <c r="D7655" s="6" t="s">
        <v>5456</v>
      </c>
      <c r="E7655" s="6" t="s">
        <v>24</v>
      </c>
      <c r="F7655" s="6" t="n">
        <v>1</v>
      </c>
      <c r="G7655" s="10" t="n">
        <v>912</v>
      </c>
      <c r="H7655" s="10" t="n">
        <f aca="false">F7655*G7655</f>
        <v>912</v>
      </c>
      <c r="I7655" s="6" t="s">
        <v>5122</v>
      </c>
    </row>
    <row r="7656" customFormat="false" ht="15" hidden="false" customHeight="false" outlineLevel="0" collapsed="false">
      <c r="A7656" s="6" t="s">
        <v>12880</v>
      </c>
      <c r="B7656" s="6" t="s">
        <v>901</v>
      </c>
      <c r="C7656" s="26" t="n">
        <v>46247</v>
      </c>
      <c r="D7656" s="6" t="s">
        <v>5237</v>
      </c>
      <c r="E7656" s="6" t="s">
        <v>24</v>
      </c>
      <c r="F7656" s="6" t="n">
        <v>4</v>
      </c>
      <c r="G7656" s="10" t="n">
        <v>1833</v>
      </c>
      <c r="H7656" s="10" t="n">
        <f aca="false">F7656*G7656</f>
        <v>7332</v>
      </c>
      <c r="I7656" s="6" t="s">
        <v>5122</v>
      </c>
    </row>
    <row r="7657" customFormat="false" ht="15" hidden="false" customHeight="false" outlineLevel="0" collapsed="false">
      <c r="A7657" s="6" t="s">
        <v>12881</v>
      </c>
      <c r="B7657" s="6" t="s">
        <v>1097</v>
      </c>
      <c r="C7657" s="26" t="n">
        <v>46247</v>
      </c>
      <c r="D7657" s="6" t="s">
        <v>5303</v>
      </c>
      <c r="E7657" s="6" t="s">
        <v>22</v>
      </c>
      <c r="F7657" s="6" t="n">
        <v>2</v>
      </c>
      <c r="G7657" s="10" t="n">
        <v>2322</v>
      </c>
      <c r="H7657" s="10" t="n">
        <f aca="false">F7657*G7657</f>
        <v>4644</v>
      </c>
      <c r="I7657" s="6" t="s">
        <v>5122</v>
      </c>
    </row>
    <row r="7658" customFormat="false" ht="15" hidden="false" customHeight="false" outlineLevel="0" collapsed="false">
      <c r="A7658" s="6" t="s">
        <v>12882</v>
      </c>
      <c r="B7658" s="6" t="s">
        <v>791</v>
      </c>
      <c r="C7658" s="26" t="n">
        <v>46247</v>
      </c>
      <c r="D7658" s="6" t="s">
        <v>5171</v>
      </c>
      <c r="E7658" s="6" t="s">
        <v>23</v>
      </c>
      <c r="F7658" s="6" t="n">
        <v>3</v>
      </c>
      <c r="G7658" s="10" t="n">
        <v>661</v>
      </c>
      <c r="H7658" s="10" t="n">
        <f aca="false">F7658*G7658</f>
        <v>1983</v>
      </c>
      <c r="I7658" s="6" t="s">
        <v>5122</v>
      </c>
    </row>
    <row r="7659" customFormat="false" ht="15" hidden="false" customHeight="false" outlineLevel="0" collapsed="false">
      <c r="A7659" s="6" t="s">
        <v>12883</v>
      </c>
      <c r="B7659" s="6" t="s">
        <v>262</v>
      </c>
      <c r="C7659" s="26" t="n">
        <v>46247</v>
      </c>
      <c r="D7659" s="6" t="s">
        <v>5165</v>
      </c>
      <c r="E7659" s="6" t="s">
        <v>22</v>
      </c>
      <c r="F7659" s="6" t="n">
        <v>2</v>
      </c>
      <c r="G7659" s="10" t="n">
        <v>880</v>
      </c>
      <c r="H7659" s="10" t="n">
        <f aca="false">F7659*G7659</f>
        <v>1760</v>
      </c>
      <c r="I7659" s="6" t="s">
        <v>5133</v>
      </c>
    </row>
    <row r="7660" customFormat="false" ht="15" hidden="false" customHeight="false" outlineLevel="0" collapsed="false">
      <c r="A7660" s="6" t="s">
        <v>12884</v>
      </c>
      <c r="B7660" s="6" t="s">
        <v>765</v>
      </c>
      <c r="C7660" s="26" t="n">
        <v>46247</v>
      </c>
      <c r="D7660" s="6" t="s">
        <v>5129</v>
      </c>
      <c r="E7660" s="6" t="s">
        <v>21</v>
      </c>
      <c r="F7660" s="6" t="n">
        <v>1</v>
      </c>
      <c r="G7660" s="10" t="n">
        <v>530</v>
      </c>
      <c r="H7660" s="10" t="n">
        <f aca="false">F7660*G7660</f>
        <v>530</v>
      </c>
      <c r="I7660" s="6" t="s">
        <v>5122</v>
      </c>
    </row>
    <row r="7661" customFormat="false" ht="15" hidden="false" customHeight="false" outlineLevel="0" collapsed="false">
      <c r="A7661" s="6" t="s">
        <v>12885</v>
      </c>
      <c r="B7661" s="6" t="s">
        <v>2175</v>
      </c>
      <c r="C7661" s="26" t="n">
        <v>46247</v>
      </c>
      <c r="D7661" s="6" t="s">
        <v>5121</v>
      </c>
      <c r="E7661" s="6" t="s">
        <v>22</v>
      </c>
      <c r="F7661" s="6" t="n">
        <v>2</v>
      </c>
      <c r="G7661" s="10" t="n">
        <v>977</v>
      </c>
      <c r="H7661" s="10" t="n">
        <f aca="false">F7661*G7661</f>
        <v>1954</v>
      </c>
      <c r="I7661" s="6" t="s">
        <v>5148</v>
      </c>
    </row>
    <row r="7662" customFormat="false" ht="15" hidden="false" customHeight="false" outlineLevel="0" collapsed="false">
      <c r="A7662" s="6" t="s">
        <v>12886</v>
      </c>
      <c r="B7662" s="6" t="s">
        <v>4683</v>
      </c>
      <c r="C7662" s="26" t="n">
        <v>46247</v>
      </c>
      <c r="D7662" s="6" t="s">
        <v>5410</v>
      </c>
      <c r="E7662" s="6" t="s">
        <v>20</v>
      </c>
      <c r="F7662" s="6" t="n">
        <v>1</v>
      </c>
      <c r="G7662" s="10" t="n">
        <v>2420</v>
      </c>
      <c r="H7662" s="10" t="n">
        <f aca="false">F7662*G7662</f>
        <v>2420</v>
      </c>
      <c r="I7662" s="6" t="s">
        <v>5122</v>
      </c>
    </row>
    <row r="7663" customFormat="false" ht="15" hidden="false" customHeight="false" outlineLevel="0" collapsed="false">
      <c r="A7663" s="6" t="s">
        <v>12887</v>
      </c>
      <c r="B7663" s="6" t="s">
        <v>3121</v>
      </c>
      <c r="C7663" s="26" t="n">
        <v>46247</v>
      </c>
      <c r="D7663" s="6" t="s">
        <v>5345</v>
      </c>
      <c r="E7663" s="6" t="s">
        <v>23</v>
      </c>
      <c r="F7663" s="6" t="n">
        <v>5</v>
      </c>
      <c r="G7663" s="10" t="n">
        <v>392</v>
      </c>
      <c r="H7663" s="10" t="n">
        <f aca="false">F7663*G7663</f>
        <v>1960</v>
      </c>
      <c r="I7663" s="6" t="s">
        <v>5122</v>
      </c>
    </row>
    <row r="7664" customFormat="false" ht="15" hidden="false" customHeight="false" outlineLevel="0" collapsed="false">
      <c r="A7664" s="6" t="s">
        <v>12888</v>
      </c>
      <c r="B7664" s="6" t="s">
        <v>2911</v>
      </c>
      <c r="C7664" s="26" t="n">
        <v>46247</v>
      </c>
      <c r="D7664" s="6" t="s">
        <v>5163</v>
      </c>
      <c r="E7664" s="6" t="s">
        <v>23</v>
      </c>
      <c r="F7664" s="6" t="n">
        <v>2</v>
      </c>
      <c r="G7664" s="10" t="n">
        <v>705</v>
      </c>
      <c r="H7664" s="10" t="n">
        <f aca="false">F7664*G7664</f>
        <v>1410</v>
      </c>
      <c r="I7664" s="6" t="s">
        <v>5125</v>
      </c>
    </row>
    <row r="7665" customFormat="false" ht="15" hidden="false" customHeight="false" outlineLevel="0" collapsed="false">
      <c r="A7665" s="6" t="s">
        <v>12889</v>
      </c>
      <c r="B7665" s="6" t="s">
        <v>1419</v>
      </c>
      <c r="C7665" s="26" t="n">
        <v>46247</v>
      </c>
      <c r="D7665" s="6" t="s">
        <v>5687</v>
      </c>
      <c r="E7665" s="6" t="s">
        <v>20</v>
      </c>
      <c r="F7665" s="6" t="n">
        <v>1</v>
      </c>
      <c r="G7665" s="10" t="n">
        <v>2039</v>
      </c>
      <c r="H7665" s="10" t="n">
        <f aca="false">F7665*G7665</f>
        <v>2039</v>
      </c>
      <c r="I7665" s="6" t="s">
        <v>5122</v>
      </c>
    </row>
    <row r="7666" customFormat="false" ht="15" hidden="false" customHeight="false" outlineLevel="0" collapsed="false">
      <c r="A7666" s="6" t="s">
        <v>12890</v>
      </c>
      <c r="B7666" s="6" t="s">
        <v>4481</v>
      </c>
      <c r="C7666" s="26" t="n">
        <v>46247</v>
      </c>
      <c r="D7666" s="6" t="s">
        <v>5135</v>
      </c>
      <c r="E7666" s="6" t="s">
        <v>23</v>
      </c>
      <c r="F7666" s="6" t="n">
        <v>5</v>
      </c>
      <c r="G7666" s="10" t="n">
        <v>441</v>
      </c>
      <c r="H7666" s="10" t="n">
        <f aca="false">F7666*G7666</f>
        <v>2205</v>
      </c>
      <c r="I7666" s="6" t="s">
        <v>5122</v>
      </c>
    </row>
    <row r="7667" customFormat="false" ht="15" hidden="false" customHeight="false" outlineLevel="0" collapsed="false">
      <c r="A7667" s="6" t="s">
        <v>12891</v>
      </c>
      <c r="B7667" s="6" t="s">
        <v>2285</v>
      </c>
      <c r="C7667" s="26" t="n">
        <v>46247</v>
      </c>
      <c r="D7667" s="6" t="s">
        <v>5154</v>
      </c>
      <c r="E7667" s="6" t="s">
        <v>21</v>
      </c>
      <c r="F7667" s="6" t="n">
        <v>2</v>
      </c>
      <c r="G7667" s="10" t="n">
        <v>785</v>
      </c>
      <c r="H7667" s="10" t="n">
        <f aca="false">F7667*G7667</f>
        <v>1570</v>
      </c>
      <c r="I7667" s="6" t="s">
        <v>5130</v>
      </c>
    </row>
    <row r="7668" customFormat="false" ht="15" hidden="false" customHeight="false" outlineLevel="0" collapsed="false">
      <c r="A7668" s="6" t="s">
        <v>12892</v>
      </c>
      <c r="B7668" s="6" t="s">
        <v>2219</v>
      </c>
      <c r="C7668" s="26" t="n">
        <v>46247</v>
      </c>
      <c r="D7668" s="6" t="s">
        <v>5326</v>
      </c>
      <c r="E7668" s="6" t="s">
        <v>22</v>
      </c>
      <c r="F7668" s="6" t="n">
        <v>1</v>
      </c>
      <c r="G7668" s="10" t="n">
        <v>1465</v>
      </c>
      <c r="H7668" s="10" t="n">
        <f aca="false">F7668*G7668</f>
        <v>1465</v>
      </c>
      <c r="I7668" s="6" t="s">
        <v>5130</v>
      </c>
    </row>
    <row r="7669" customFormat="false" ht="15" hidden="false" customHeight="false" outlineLevel="0" collapsed="false">
      <c r="A7669" s="6" t="s">
        <v>12893</v>
      </c>
      <c r="B7669" s="6" t="s">
        <v>2445</v>
      </c>
      <c r="C7669" s="26" t="n">
        <v>46247</v>
      </c>
      <c r="D7669" s="6" t="s">
        <v>5423</v>
      </c>
      <c r="E7669" s="6" t="s">
        <v>21</v>
      </c>
      <c r="F7669" s="6" t="n">
        <v>1</v>
      </c>
      <c r="G7669" s="10" t="n">
        <v>3243</v>
      </c>
      <c r="H7669" s="10" t="n">
        <f aca="false">F7669*G7669</f>
        <v>3243</v>
      </c>
      <c r="I7669" s="6" t="s">
        <v>5125</v>
      </c>
    </row>
    <row r="7670" customFormat="false" ht="15" hidden="false" customHeight="false" outlineLevel="0" collapsed="false">
      <c r="A7670" s="6" t="s">
        <v>12894</v>
      </c>
      <c r="B7670" s="6" t="s">
        <v>1655</v>
      </c>
      <c r="C7670" s="26" t="n">
        <v>46247</v>
      </c>
      <c r="D7670" s="6" t="s">
        <v>5163</v>
      </c>
      <c r="E7670" s="6" t="s">
        <v>23</v>
      </c>
      <c r="F7670" s="6" t="n">
        <v>1</v>
      </c>
      <c r="G7670" s="10" t="n">
        <v>783</v>
      </c>
      <c r="H7670" s="10" t="n">
        <f aca="false">F7670*G7670</f>
        <v>783</v>
      </c>
      <c r="I7670" s="6" t="s">
        <v>5173</v>
      </c>
    </row>
    <row r="7671" customFormat="false" ht="15" hidden="false" customHeight="false" outlineLevel="0" collapsed="false">
      <c r="A7671" s="6" t="s">
        <v>12895</v>
      </c>
      <c r="B7671" s="6" t="s">
        <v>2699</v>
      </c>
      <c r="C7671" s="26" t="n">
        <v>46247</v>
      </c>
      <c r="D7671" s="6" t="s">
        <v>5281</v>
      </c>
      <c r="E7671" s="6" t="s">
        <v>24</v>
      </c>
      <c r="F7671" s="6" t="n">
        <v>3</v>
      </c>
      <c r="G7671" s="10" t="n">
        <v>814</v>
      </c>
      <c r="H7671" s="10" t="n">
        <f aca="false">F7671*G7671</f>
        <v>2442</v>
      </c>
      <c r="I7671" s="6" t="s">
        <v>5122</v>
      </c>
    </row>
    <row r="7672" customFormat="false" ht="15" hidden="false" customHeight="false" outlineLevel="0" collapsed="false">
      <c r="A7672" s="6" t="s">
        <v>12896</v>
      </c>
      <c r="B7672" s="6" t="s">
        <v>4027</v>
      </c>
      <c r="C7672" s="26" t="n">
        <v>46247</v>
      </c>
      <c r="D7672" s="6" t="s">
        <v>5216</v>
      </c>
      <c r="E7672" s="6" t="s">
        <v>23</v>
      </c>
      <c r="F7672" s="6" t="n">
        <v>3</v>
      </c>
      <c r="G7672" s="10" t="n">
        <v>587</v>
      </c>
      <c r="H7672" s="10" t="n">
        <f aca="false">F7672*G7672</f>
        <v>1761</v>
      </c>
      <c r="I7672" s="6" t="s">
        <v>5122</v>
      </c>
    </row>
    <row r="7673" customFormat="false" ht="15" hidden="false" customHeight="false" outlineLevel="0" collapsed="false">
      <c r="A7673" s="6" t="s">
        <v>12897</v>
      </c>
      <c r="B7673" s="6" t="s">
        <v>3299</v>
      </c>
      <c r="C7673" s="26" t="n">
        <v>46247</v>
      </c>
      <c r="D7673" s="6" t="s">
        <v>5218</v>
      </c>
      <c r="E7673" s="6" t="s">
        <v>23</v>
      </c>
      <c r="F7673" s="6" t="n">
        <v>2</v>
      </c>
      <c r="G7673" s="10" t="n">
        <v>165</v>
      </c>
      <c r="H7673" s="10" t="n">
        <f aca="false">F7673*G7673</f>
        <v>330</v>
      </c>
      <c r="I7673" s="6" t="s">
        <v>5148</v>
      </c>
    </row>
    <row r="7674" customFormat="false" ht="15" hidden="false" customHeight="false" outlineLevel="0" collapsed="false">
      <c r="A7674" s="6" t="s">
        <v>12898</v>
      </c>
      <c r="B7674" s="6" t="s">
        <v>4787</v>
      </c>
      <c r="C7674" s="26" t="n">
        <v>46247</v>
      </c>
      <c r="D7674" s="6" t="s">
        <v>5139</v>
      </c>
      <c r="E7674" s="6" t="s">
        <v>23</v>
      </c>
      <c r="F7674" s="6" t="n">
        <v>1</v>
      </c>
      <c r="G7674" s="10" t="n">
        <v>279</v>
      </c>
      <c r="H7674" s="10" t="n">
        <f aca="false">F7674*G7674</f>
        <v>279</v>
      </c>
      <c r="I7674" s="6" t="s">
        <v>5122</v>
      </c>
    </row>
    <row r="7675" customFormat="false" ht="15" hidden="false" customHeight="false" outlineLevel="0" collapsed="false">
      <c r="A7675" s="6" t="s">
        <v>12899</v>
      </c>
      <c r="B7675" s="6" t="s">
        <v>4961</v>
      </c>
      <c r="C7675" s="26" t="n">
        <v>46247</v>
      </c>
      <c r="D7675" s="6" t="s">
        <v>5259</v>
      </c>
      <c r="E7675" s="6" t="s">
        <v>22</v>
      </c>
      <c r="F7675" s="6" t="n">
        <v>2</v>
      </c>
      <c r="G7675" s="10" t="n">
        <v>1408</v>
      </c>
      <c r="H7675" s="10" t="n">
        <f aca="false">F7675*G7675</f>
        <v>2816</v>
      </c>
      <c r="I7675" s="6" t="s">
        <v>5133</v>
      </c>
    </row>
    <row r="7676" customFormat="false" ht="15" hidden="false" customHeight="false" outlineLevel="0" collapsed="false">
      <c r="A7676" s="6" t="s">
        <v>12900</v>
      </c>
      <c r="B7676" s="6" t="s">
        <v>3509</v>
      </c>
      <c r="C7676" s="26" t="n">
        <v>46247</v>
      </c>
      <c r="D7676" s="6" t="s">
        <v>5171</v>
      </c>
      <c r="E7676" s="6" t="s">
        <v>23</v>
      </c>
      <c r="F7676" s="6" t="n">
        <v>5</v>
      </c>
      <c r="G7676" s="10" t="n">
        <v>697</v>
      </c>
      <c r="H7676" s="10" t="n">
        <f aca="false">F7676*G7676</f>
        <v>3485</v>
      </c>
      <c r="I7676" s="6" t="s">
        <v>5125</v>
      </c>
    </row>
    <row r="7677" customFormat="false" ht="15" hidden="false" customHeight="false" outlineLevel="0" collapsed="false">
      <c r="A7677" s="6" t="s">
        <v>12901</v>
      </c>
      <c r="B7677" s="6" t="s">
        <v>3539</v>
      </c>
      <c r="C7677" s="26" t="n">
        <v>46247</v>
      </c>
      <c r="D7677" s="6" t="s">
        <v>5143</v>
      </c>
      <c r="E7677" s="6" t="s">
        <v>21</v>
      </c>
      <c r="F7677" s="6" t="n">
        <v>1</v>
      </c>
      <c r="G7677" s="10" t="n">
        <v>1179</v>
      </c>
      <c r="H7677" s="10" t="n">
        <f aca="false">F7677*G7677</f>
        <v>1179</v>
      </c>
      <c r="I7677" s="6" t="s">
        <v>5122</v>
      </c>
    </row>
    <row r="7678" customFormat="false" ht="15" hidden="false" customHeight="false" outlineLevel="0" collapsed="false">
      <c r="A7678" s="6" t="s">
        <v>12902</v>
      </c>
      <c r="B7678" s="6" t="s">
        <v>362</v>
      </c>
      <c r="C7678" s="26" t="n">
        <v>46247</v>
      </c>
      <c r="D7678" s="6" t="s">
        <v>5482</v>
      </c>
      <c r="E7678" s="6" t="s">
        <v>23</v>
      </c>
      <c r="F7678" s="6" t="n">
        <v>3</v>
      </c>
      <c r="G7678" s="10" t="n">
        <v>269</v>
      </c>
      <c r="H7678" s="10" t="n">
        <f aca="false">F7678*G7678</f>
        <v>807</v>
      </c>
      <c r="I7678" s="6" t="s">
        <v>5125</v>
      </c>
    </row>
    <row r="7679" customFormat="false" ht="15" hidden="false" customHeight="false" outlineLevel="0" collapsed="false">
      <c r="A7679" s="6" t="s">
        <v>12903</v>
      </c>
      <c r="B7679" s="6" t="s">
        <v>2939</v>
      </c>
      <c r="C7679" s="26" t="n">
        <v>46247</v>
      </c>
      <c r="D7679" s="6" t="s">
        <v>5410</v>
      </c>
      <c r="E7679" s="6" t="s">
        <v>20</v>
      </c>
      <c r="F7679" s="6" t="n">
        <v>1</v>
      </c>
      <c r="G7679" s="10" t="n">
        <v>2548</v>
      </c>
      <c r="H7679" s="10" t="n">
        <f aca="false">F7679*G7679</f>
        <v>2548</v>
      </c>
      <c r="I7679" s="6" t="s">
        <v>5148</v>
      </c>
    </row>
    <row r="7680" customFormat="false" ht="15" hidden="false" customHeight="false" outlineLevel="0" collapsed="false">
      <c r="A7680" s="6" t="s">
        <v>12904</v>
      </c>
      <c r="B7680" s="6" t="s">
        <v>4909</v>
      </c>
      <c r="C7680" s="26" t="n">
        <v>46247</v>
      </c>
      <c r="D7680" s="6" t="s">
        <v>5171</v>
      </c>
      <c r="E7680" s="6" t="s">
        <v>23</v>
      </c>
      <c r="F7680" s="6" t="n">
        <v>2</v>
      </c>
      <c r="G7680" s="10" t="n">
        <v>734</v>
      </c>
      <c r="H7680" s="10" t="n">
        <f aca="false">F7680*G7680</f>
        <v>1468</v>
      </c>
      <c r="I7680" s="6" t="s">
        <v>5122</v>
      </c>
    </row>
    <row r="7681" customFormat="false" ht="15" hidden="false" customHeight="false" outlineLevel="0" collapsed="false">
      <c r="A7681" s="6" t="s">
        <v>12905</v>
      </c>
      <c r="B7681" s="6" t="s">
        <v>3793</v>
      </c>
      <c r="C7681" s="26" t="n">
        <v>46247</v>
      </c>
      <c r="D7681" s="6" t="s">
        <v>5458</v>
      </c>
      <c r="E7681" s="6" t="s">
        <v>24</v>
      </c>
      <c r="F7681" s="6" t="n">
        <v>3</v>
      </c>
      <c r="G7681" s="10" t="n">
        <v>503</v>
      </c>
      <c r="H7681" s="10" t="n">
        <f aca="false">F7681*G7681</f>
        <v>1509</v>
      </c>
      <c r="I7681" s="6" t="s">
        <v>5148</v>
      </c>
    </row>
    <row r="7682" customFormat="false" ht="15" hidden="false" customHeight="false" outlineLevel="0" collapsed="false">
      <c r="A7682" s="6" t="s">
        <v>12906</v>
      </c>
      <c r="B7682" s="6" t="s">
        <v>4759</v>
      </c>
      <c r="C7682" s="26" t="n">
        <v>46247</v>
      </c>
      <c r="D7682" s="6" t="s">
        <v>5207</v>
      </c>
      <c r="E7682" s="6" t="s">
        <v>20</v>
      </c>
      <c r="F7682" s="6" t="n">
        <v>1</v>
      </c>
      <c r="G7682" s="10" t="n">
        <v>1325</v>
      </c>
      <c r="H7682" s="10" t="n">
        <f aca="false">F7682*G7682</f>
        <v>1325</v>
      </c>
      <c r="I7682" s="6" t="s">
        <v>5148</v>
      </c>
    </row>
    <row r="7683" customFormat="false" ht="15" hidden="false" customHeight="false" outlineLevel="0" collapsed="false">
      <c r="A7683" s="6" t="s">
        <v>12907</v>
      </c>
      <c r="B7683" s="6" t="s">
        <v>4495</v>
      </c>
      <c r="C7683" s="26" t="n">
        <v>46247</v>
      </c>
      <c r="D7683" s="6" t="s">
        <v>6101</v>
      </c>
      <c r="E7683" s="6" t="s">
        <v>20</v>
      </c>
      <c r="F7683" s="6" t="n">
        <v>1</v>
      </c>
      <c r="G7683" s="10" t="n">
        <v>21313</v>
      </c>
      <c r="H7683" s="10" t="n">
        <f aca="false">F7683*G7683</f>
        <v>21313</v>
      </c>
      <c r="I7683" s="6" t="s">
        <v>5122</v>
      </c>
    </row>
    <row r="7684" customFormat="false" ht="15" hidden="false" customHeight="false" outlineLevel="0" collapsed="false">
      <c r="A7684" s="6" t="s">
        <v>12908</v>
      </c>
      <c r="B7684" s="6" t="s">
        <v>4109</v>
      </c>
      <c r="C7684" s="26" t="n">
        <v>46248</v>
      </c>
      <c r="D7684" s="6" t="s">
        <v>5807</v>
      </c>
      <c r="E7684" s="6" t="s">
        <v>20</v>
      </c>
      <c r="F7684" s="6" t="n">
        <v>1</v>
      </c>
      <c r="G7684" s="10" t="n">
        <v>14531</v>
      </c>
      <c r="H7684" s="10" t="n">
        <f aca="false">F7684*G7684</f>
        <v>14531</v>
      </c>
      <c r="I7684" s="6" t="s">
        <v>5148</v>
      </c>
    </row>
    <row r="7685" customFormat="false" ht="15" hidden="false" customHeight="false" outlineLevel="0" collapsed="false">
      <c r="A7685" s="6" t="s">
        <v>12909</v>
      </c>
      <c r="B7685" s="6" t="s">
        <v>1669</v>
      </c>
      <c r="C7685" s="26" t="n">
        <v>46248</v>
      </c>
      <c r="D7685" s="6" t="s">
        <v>5242</v>
      </c>
      <c r="E7685" s="6" t="s">
        <v>23</v>
      </c>
      <c r="F7685" s="6" t="n">
        <v>2</v>
      </c>
      <c r="G7685" s="10" t="n">
        <v>354</v>
      </c>
      <c r="H7685" s="10" t="n">
        <f aca="false">F7685*G7685</f>
        <v>708</v>
      </c>
      <c r="I7685" s="6" t="s">
        <v>5122</v>
      </c>
    </row>
    <row r="7686" customFormat="false" ht="15" hidden="false" customHeight="false" outlineLevel="0" collapsed="false">
      <c r="A7686" s="6" t="s">
        <v>12910</v>
      </c>
      <c r="B7686" s="6" t="s">
        <v>1905</v>
      </c>
      <c r="C7686" s="26" t="n">
        <v>46248</v>
      </c>
      <c r="D7686" s="6" t="s">
        <v>5188</v>
      </c>
      <c r="E7686" s="6" t="s">
        <v>24</v>
      </c>
      <c r="F7686" s="6" t="n">
        <v>4</v>
      </c>
      <c r="G7686" s="10" t="n">
        <v>1018</v>
      </c>
      <c r="H7686" s="10" t="n">
        <f aca="false">F7686*G7686</f>
        <v>4072</v>
      </c>
      <c r="I7686" s="6" t="s">
        <v>5122</v>
      </c>
    </row>
    <row r="7687" customFormat="false" ht="15" hidden="false" customHeight="false" outlineLevel="0" collapsed="false">
      <c r="A7687" s="6" t="s">
        <v>12911</v>
      </c>
      <c r="B7687" s="6" t="s">
        <v>997</v>
      </c>
      <c r="C7687" s="26" t="n">
        <v>46248</v>
      </c>
      <c r="D7687" s="6" t="s">
        <v>5137</v>
      </c>
      <c r="E7687" s="6" t="s">
        <v>21</v>
      </c>
      <c r="F7687" s="6" t="n">
        <v>1</v>
      </c>
      <c r="G7687" s="10" t="n">
        <v>1768</v>
      </c>
      <c r="H7687" s="10" t="n">
        <f aca="false">F7687*G7687</f>
        <v>1768</v>
      </c>
      <c r="I7687" s="6" t="s">
        <v>5122</v>
      </c>
    </row>
    <row r="7688" customFormat="false" ht="15" hidden="false" customHeight="false" outlineLevel="0" collapsed="false">
      <c r="A7688" s="6" t="s">
        <v>12912</v>
      </c>
      <c r="B7688" s="6" t="s">
        <v>2653</v>
      </c>
      <c r="C7688" s="26" t="n">
        <v>46248</v>
      </c>
      <c r="D7688" s="6" t="s">
        <v>5216</v>
      </c>
      <c r="E7688" s="6" t="s">
        <v>23</v>
      </c>
      <c r="F7688" s="6" t="n">
        <v>3</v>
      </c>
      <c r="G7688" s="10" t="n">
        <v>587</v>
      </c>
      <c r="H7688" s="10" t="n">
        <f aca="false">F7688*G7688</f>
        <v>1761</v>
      </c>
      <c r="I7688" s="6" t="s">
        <v>5122</v>
      </c>
    </row>
    <row r="7689" customFormat="false" ht="15" hidden="false" customHeight="false" outlineLevel="0" collapsed="false">
      <c r="A7689" s="6" t="s">
        <v>12913</v>
      </c>
      <c r="B7689" s="6" t="s">
        <v>1805</v>
      </c>
      <c r="C7689" s="26" t="n">
        <v>46248</v>
      </c>
      <c r="D7689" s="6" t="s">
        <v>5339</v>
      </c>
      <c r="E7689" s="6" t="s">
        <v>24</v>
      </c>
      <c r="F7689" s="6" t="n">
        <v>2</v>
      </c>
      <c r="G7689" s="10" t="n">
        <v>483</v>
      </c>
      <c r="H7689" s="10" t="n">
        <f aca="false">F7689*G7689</f>
        <v>966</v>
      </c>
      <c r="I7689" s="6" t="s">
        <v>5125</v>
      </c>
    </row>
    <row r="7690" customFormat="false" ht="15" hidden="false" customHeight="false" outlineLevel="0" collapsed="false">
      <c r="A7690" s="6" t="s">
        <v>12914</v>
      </c>
      <c r="B7690" s="6" t="s">
        <v>5099</v>
      </c>
      <c r="C7690" s="26" t="n">
        <v>46248</v>
      </c>
      <c r="D7690" s="6" t="s">
        <v>5152</v>
      </c>
      <c r="E7690" s="6" t="s">
        <v>22</v>
      </c>
      <c r="F7690" s="6" t="n">
        <v>1</v>
      </c>
      <c r="G7690" s="10" t="n">
        <v>1760</v>
      </c>
      <c r="H7690" s="10" t="n">
        <f aca="false">F7690*G7690</f>
        <v>1760</v>
      </c>
      <c r="I7690" s="6" t="s">
        <v>5148</v>
      </c>
    </row>
    <row r="7691" customFormat="false" ht="15" hidden="false" customHeight="false" outlineLevel="0" collapsed="false">
      <c r="A7691" s="6" t="s">
        <v>12915</v>
      </c>
      <c r="B7691" s="6" t="s">
        <v>1079</v>
      </c>
      <c r="C7691" s="26" t="n">
        <v>46248</v>
      </c>
      <c r="D7691" s="6" t="s">
        <v>5137</v>
      </c>
      <c r="E7691" s="6" t="s">
        <v>21</v>
      </c>
      <c r="F7691" s="6" t="n">
        <v>1</v>
      </c>
      <c r="G7691" s="10" t="n">
        <v>1768</v>
      </c>
      <c r="H7691" s="10" t="n">
        <f aca="false">F7691*G7691</f>
        <v>1768</v>
      </c>
      <c r="I7691" s="6" t="s">
        <v>5130</v>
      </c>
    </row>
    <row r="7692" customFormat="false" ht="15" hidden="false" customHeight="false" outlineLevel="0" collapsed="false">
      <c r="A7692" s="6" t="s">
        <v>12916</v>
      </c>
      <c r="B7692" s="6" t="s">
        <v>447</v>
      </c>
      <c r="C7692" s="26" t="n">
        <v>46248</v>
      </c>
      <c r="D7692" s="6" t="s">
        <v>5160</v>
      </c>
      <c r="E7692" s="6" t="s">
        <v>21</v>
      </c>
      <c r="F7692" s="6" t="n">
        <v>2</v>
      </c>
      <c r="G7692" s="10" t="n">
        <v>2751</v>
      </c>
      <c r="H7692" s="10" t="n">
        <f aca="false">F7692*G7692</f>
        <v>5502</v>
      </c>
      <c r="I7692" s="6" t="s">
        <v>5122</v>
      </c>
    </row>
    <row r="7693" customFormat="false" ht="15" hidden="false" customHeight="false" outlineLevel="0" collapsed="false">
      <c r="A7693" s="6" t="s">
        <v>12917</v>
      </c>
      <c r="B7693" s="6" t="s">
        <v>2311</v>
      </c>
      <c r="C7693" s="26" t="n">
        <v>46248</v>
      </c>
      <c r="D7693" s="6" t="s">
        <v>5232</v>
      </c>
      <c r="E7693" s="6" t="s">
        <v>23</v>
      </c>
      <c r="F7693" s="6" t="n">
        <v>3</v>
      </c>
      <c r="G7693" s="10" t="n">
        <v>206</v>
      </c>
      <c r="H7693" s="10" t="n">
        <f aca="false">F7693*G7693</f>
        <v>618</v>
      </c>
      <c r="I7693" s="6" t="s">
        <v>5130</v>
      </c>
    </row>
    <row r="7694" customFormat="false" ht="15" hidden="false" customHeight="false" outlineLevel="0" collapsed="false">
      <c r="A7694" s="6" t="s">
        <v>12918</v>
      </c>
      <c r="B7694" s="6" t="s">
        <v>2485</v>
      </c>
      <c r="C7694" s="26" t="n">
        <v>46248</v>
      </c>
      <c r="D7694" s="6" t="s">
        <v>5207</v>
      </c>
      <c r="E7694" s="6" t="s">
        <v>20</v>
      </c>
      <c r="F7694" s="6" t="n">
        <v>1</v>
      </c>
      <c r="G7694" s="10" t="n">
        <v>1192</v>
      </c>
      <c r="H7694" s="10" t="n">
        <f aca="false">F7694*G7694</f>
        <v>1192</v>
      </c>
      <c r="I7694" s="6" t="s">
        <v>5125</v>
      </c>
    </row>
    <row r="7695" customFormat="false" ht="15" hidden="false" customHeight="false" outlineLevel="0" collapsed="false">
      <c r="A7695" s="6" t="s">
        <v>12919</v>
      </c>
      <c r="B7695" s="6" t="s">
        <v>3239</v>
      </c>
      <c r="C7695" s="26" t="n">
        <v>46248</v>
      </c>
      <c r="D7695" s="6" t="s">
        <v>5216</v>
      </c>
      <c r="E7695" s="6" t="s">
        <v>23</v>
      </c>
      <c r="F7695" s="6" t="n">
        <v>1</v>
      </c>
      <c r="G7695" s="10" t="n">
        <v>587</v>
      </c>
      <c r="H7695" s="10" t="n">
        <f aca="false">F7695*G7695</f>
        <v>587</v>
      </c>
      <c r="I7695" s="6" t="s">
        <v>5148</v>
      </c>
    </row>
    <row r="7696" customFormat="false" ht="15" hidden="false" customHeight="false" outlineLevel="0" collapsed="false">
      <c r="A7696" s="6" t="s">
        <v>12920</v>
      </c>
      <c r="B7696" s="6" t="s">
        <v>4521</v>
      </c>
      <c r="C7696" s="26" t="n">
        <v>46248</v>
      </c>
      <c r="D7696" s="6" t="s">
        <v>5863</v>
      </c>
      <c r="E7696" s="6" t="s">
        <v>20</v>
      </c>
      <c r="F7696" s="6" t="n">
        <v>1</v>
      </c>
      <c r="G7696" s="10" t="n">
        <v>19375</v>
      </c>
      <c r="H7696" s="10" t="n">
        <f aca="false">F7696*G7696</f>
        <v>19375</v>
      </c>
      <c r="I7696" s="6" t="s">
        <v>5122</v>
      </c>
    </row>
    <row r="7697" customFormat="false" ht="15" hidden="false" customHeight="false" outlineLevel="0" collapsed="false">
      <c r="A7697" s="6" t="s">
        <v>12921</v>
      </c>
      <c r="B7697" s="6" t="s">
        <v>368</v>
      </c>
      <c r="C7697" s="26" t="n">
        <v>46248</v>
      </c>
      <c r="D7697" s="6" t="s">
        <v>5259</v>
      </c>
      <c r="E7697" s="6" t="s">
        <v>22</v>
      </c>
      <c r="F7697" s="6" t="n">
        <v>1</v>
      </c>
      <c r="G7697" s="10" t="n">
        <v>1407</v>
      </c>
      <c r="H7697" s="10" t="n">
        <f aca="false">F7697*G7697</f>
        <v>1407</v>
      </c>
      <c r="I7697" s="6" t="s">
        <v>5130</v>
      </c>
    </row>
    <row r="7698" customFormat="false" ht="15" hidden="false" customHeight="false" outlineLevel="0" collapsed="false">
      <c r="A7698" s="6" t="s">
        <v>12922</v>
      </c>
      <c r="B7698" s="6" t="s">
        <v>3753</v>
      </c>
      <c r="C7698" s="26" t="n">
        <v>46248</v>
      </c>
      <c r="D7698" s="6" t="s">
        <v>5237</v>
      </c>
      <c r="E7698" s="6" t="s">
        <v>24</v>
      </c>
      <c r="F7698" s="6" t="n">
        <v>2</v>
      </c>
      <c r="G7698" s="10" t="n">
        <v>1833</v>
      </c>
      <c r="H7698" s="10" t="n">
        <f aca="false">F7698*G7698</f>
        <v>3666</v>
      </c>
      <c r="I7698" s="6" t="s">
        <v>5130</v>
      </c>
    </row>
    <row r="7699" customFormat="false" ht="15" hidden="false" customHeight="false" outlineLevel="0" collapsed="false">
      <c r="A7699" s="6" t="s">
        <v>12923</v>
      </c>
      <c r="B7699" s="6" t="s">
        <v>4637</v>
      </c>
      <c r="C7699" s="26" t="n">
        <v>46248</v>
      </c>
      <c r="D7699" s="6" t="s">
        <v>5132</v>
      </c>
      <c r="E7699" s="6" t="s">
        <v>23</v>
      </c>
      <c r="F7699" s="6" t="n">
        <v>4</v>
      </c>
      <c r="G7699" s="10" t="n">
        <v>342</v>
      </c>
      <c r="H7699" s="10" t="n">
        <f aca="false">F7699*G7699</f>
        <v>1368</v>
      </c>
      <c r="I7699" s="6" t="s">
        <v>5122</v>
      </c>
    </row>
    <row r="7700" customFormat="false" ht="15" hidden="false" customHeight="false" outlineLevel="0" collapsed="false">
      <c r="A7700" s="6" t="s">
        <v>12924</v>
      </c>
      <c r="B7700" s="6" t="s">
        <v>3073</v>
      </c>
      <c r="C7700" s="26" t="n">
        <v>46248</v>
      </c>
      <c r="D7700" s="6" t="s">
        <v>5345</v>
      </c>
      <c r="E7700" s="6" t="s">
        <v>23</v>
      </c>
      <c r="F7700" s="6" t="n">
        <v>1</v>
      </c>
      <c r="G7700" s="10" t="n">
        <v>436</v>
      </c>
      <c r="H7700" s="10" t="n">
        <f aca="false">F7700*G7700</f>
        <v>436</v>
      </c>
      <c r="I7700" s="6" t="s">
        <v>5122</v>
      </c>
    </row>
    <row r="7701" customFormat="false" ht="15" hidden="false" customHeight="false" outlineLevel="0" collapsed="false">
      <c r="A7701" s="6" t="s">
        <v>12925</v>
      </c>
      <c r="B7701" s="6" t="s">
        <v>3479</v>
      </c>
      <c r="C7701" s="26" t="n">
        <v>46248</v>
      </c>
      <c r="D7701" s="6" t="s">
        <v>5749</v>
      </c>
      <c r="E7701" s="6" t="s">
        <v>20</v>
      </c>
      <c r="F7701" s="6" t="n">
        <v>1</v>
      </c>
      <c r="G7701" s="10" t="n">
        <v>732</v>
      </c>
      <c r="H7701" s="10" t="n">
        <f aca="false">F7701*G7701</f>
        <v>732</v>
      </c>
      <c r="I7701" s="6" t="s">
        <v>5173</v>
      </c>
    </row>
    <row r="7702" customFormat="false" ht="15" hidden="false" customHeight="false" outlineLevel="0" collapsed="false">
      <c r="A7702" s="6" t="s">
        <v>12926</v>
      </c>
      <c r="B7702" s="6" t="s">
        <v>2003</v>
      </c>
      <c r="C7702" s="26" t="n">
        <v>46248</v>
      </c>
      <c r="D7702" s="6" t="s">
        <v>5137</v>
      </c>
      <c r="E7702" s="6" t="s">
        <v>21</v>
      </c>
      <c r="F7702" s="6" t="n">
        <v>1</v>
      </c>
      <c r="G7702" s="10" t="n">
        <v>1591</v>
      </c>
      <c r="H7702" s="10" t="n">
        <f aca="false">F7702*G7702</f>
        <v>1591</v>
      </c>
      <c r="I7702" s="6" t="s">
        <v>5122</v>
      </c>
    </row>
    <row r="7703" customFormat="false" ht="15" hidden="false" customHeight="false" outlineLevel="0" collapsed="false">
      <c r="A7703" s="6" t="s">
        <v>12927</v>
      </c>
      <c r="B7703" s="6" t="s">
        <v>3647</v>
      </c>
      <c r="C7703" s="26" t="n">
        <v>46248</v>
      </c>
      <c r="D7703" s="6" t="s">
        <v>5127</v>
      </c>
      <c r="E7703" s="6" t="s">
        <v>21</v>
      </c>
      <c r="F7703" s="6" t="n">
        <v>1</v>
      </c>
      <c r="G7703" s="10" t="n">
        <v>884</v>
      </c>
      <c r="H7703" s="10" t="n">
        <f aca="false">F7703*G7703</f>
        <v>884</v>
      </c>
      <c r="I7703" s="6" t="s">
        <v>5148</v>
      </c>
    </row>
    <row r="7704" customFormat="false" ht="15" hidden="false" customHeight="false" outlineLevel="0" collapsed="false">
      <c r="A7704" s="6" t="s">
        <v>12928</v>
      </c>
      <c r="B7704" s="6" t="s">
        <v>4663</v>
      </c>
      <c r="C7704" s="26" t="n">
        <v>46248</v>
      </c>
      <c r="D7704" s="6" t="s">
        <v>5216</v>
      </c>
      <c r="E7704" s="6" t="s">
        <v>23</v>
      </c>
      <c r="F7704" s="6" t="n">
        <v>5</v>
      </c>
      <c r="G7704" s="10" t="n">
        <v>587</v>
      </c>
      <c r="H7704" s="10" t="n">
        <f aca="false">F7704*G7704</f>
        <v>2935</v>
      </c>
      <c r="I7704" s="6" t="s">
        <v>5130</v>
      </c>
    </row>
    <row r="7705" customFormat="false" ht="15" hidden="false" customHeight="false" outlineLevel="0" collapsed="false">
      <c r="A7705" s="6" t="s">
        <v>12929</v>
      </c>
      <c r="B7705" s="6" t="s">
        <v>3189</v>
      </c>
      <c r="C7705" s="26" t="n">
        <v>46248</v>
      </c>
      <c r="D7705" s="6" t="s">
        <v>5163</v>
      </c>
      <c r="E7705" s="6" t="s">
        <v>23</v>
      </c>
      <c r="F7705" s="6" t="n">
        <v>2</v>
      </c>
      <c r="G7705" s="10" t="n">
        <v>744</v>
      </c>
      <c r="H7705" s="10" t="n">
        <f aca="false">F7705*G7705</f>
        <v>1488</v>
      </c>
      <c r="I7705" s="6" t="s">
        <v>5122</v>
      </c>
    </row>
    <row r="7706" customFormat="false" ht="15" hidden="false" customHeight="false" outlineLevel="0" collapsed="false">
      <c r="A7706" s="6" t="s">
        <v>12930</v>
      </c>
      <c r="B7706" s="6" t="s">
        <v>2811</v>
      </c>
      <c r="C7706" s="26" t="n">
        <v>46248</v>
      </c>
      <c r="D7706" s="6" t="s">
        <v>5641</v>
      </c>
      <c r="E7706" s="6" t="s">
        <v>22</v>
      </c>
      <c r="F7706" s="6" t="n">
        <v>1</v>
      </c>
      <c r="G7706" s="10" t="n">
        <v>2249</v>
      </c>
      <c r="H7706" s="10" t="n">
        <f aca="false">F7706*G7706</f>
        <v>2249</v>
      </c>
      <c r="I7706" s="6" t="s">
        <v>5148</v>
      </c>
    </row>
    <row r="7707" customFormat="false" ht="15" hidden="false" customHeight="false" outlineLevel="0" collapsed="false">
      <c r="A7707" s="6" t="s">
        <v>12931</v>
      </c>
      <c r="B7707" s="6" t="s">
        <v>2365</v>
      </c>
      <c r="C7707" s="26" t="n">
        <v>46248</v>
      </c>
      <c r="D7707" s="6" t="s">
        <v>5235</v>
      </c>
      <c r="E7707" s="6" t="s">
        <v>21</v>
      </c>
      <c r="F7707" s="6" t="n">
        <v>1</v>
      </c>
      <c r="G7707" s="10" t="n">
        <v>1503</v>
      </c>
      <c r="H7707" s="10" t="n">
        <f aca="false">F7707*G7707</f>
        <v>1503</v>
      </c>
      <c r="I7707" s="6" t="s">
        <v>5148</v>
      </c>
    </row>
    <row r="7708" customFormat="false" ht="15" hidden="false" customHeight="false" outlineLevel="0" collapsed="false">
      <c r="A7708" s="6" t="s">
        <v>12932</v>
      </c>
      <c r="B7708" s="6" t="s">
        <v>691</v>
      </c>
      <c r="C7708" s="26" t="n">
        <v>46248</v>
      </c>
      <c r="D7708" s="6" t="s">
        <v>5220</v>
      </c>
      <c r="E7708" s="6" t="s">
        <v>24</v>
      </c>
      <c r="F7708" s="6" t="n">
        <v>1</v>
      </c>
      <c r="G7708" s="10" t="n">
        <v>1008</v>
      </c>
      <c r="H7708" s="10" t="n">
        <f aca="false">F7708*G7708</f>
        <v>1008</v>
      </c>
      <c r="I7708" s="6" t="s">
        <v>5148</v>
      </c>
    </row>
    <row r="7709" customFormat="false" ht="15" hidden="false" customHeight="false" outlineLevel="0" collapsed="false">
      <c r="A7709" s="6" t="s">
        <v>12933</v>
      </c>
      <c r="B7709" s="6" t="s">
        <v>3991</v>
      </c>
      <c r="C7709" s="26" t="n">
        <v>46248</v>
      </c>
      <c r="D7709" s="6" t="s">
        <v>5127</v>
      </c>
      <c r="E7709" s="6" t="s">
        <v>21</v>
      </c>
      <c r="F7709" s="6" t="n">
        <v>1</v>
      </c>
      <c r="G7709" s="10" t="n">
        <v>884</v>
      </c>
      <c r="H7709" s="10" t="n">
        <f aca="false">F7709*G7709</f>
        <v>884</v>
      </c>
      <c r="I7709" s="6" t="s">
        <v>5122</v>
      </c>
    </row>
    <row r="7710" customFormat="false" ht="15" hidden="false" customHeight="false" outlineLevel="0" collapsed="false">
      <c r="A7710" s="6" t="s">
        <v>12934</v>
      </c>
      <c r="B7710" s="6" t="s">
        <v>1189</v>
      </c>
      <c r="C7710" s="26" t="n">
        <v>46248</v>
      </c>
      <c r="D7710" s="6" t="s">
        <v>5185</v>
      </c>
      <c r="E7710" s="6" t="s">
        <v>24</v>
      </c>
      <c r="F7710" s="6" t="n">
        <v>1</v>
      </c>
      <c r="G7710" s="10" t="n">
        <v>2140</v>
      </c>
      <c r="H7710" s="10" t="n">
        <f aca="false">F7710*G7710</f>
        <v>2140</v>
      </c>
      <c r="I7710" s="6" t="s">
        <v>5148</v>
      </c>
    </row>
    <row r="7711" customFormat="false" ht="15" hidden="false" customHeight="false" outlineLevel="0" collapsed="false">
      <c r="A7711" s="6" t="s">
        <v>12935</v>
      </c>
      <c r="B7711" s="6" t="s">
        <v>1571</v>
      </c>
      <c r="C7711" s="26" t="n">
        <v>46248</v>
      </c>
      <c r="D7711" s="6" t="s">
        <v>5167</v>
      </c>
      <c r="E7711" s="6" t="s">
        <v>22</v>
      </c>
      <c r="F7711" s="6" t="n">
        <v>1</v>
      </c>
      <c r="G7711" s="10" t="n">
        <v>703</v>
      </c>
      <c r="H7711" s="10" t="n">
        <f aca="false">F7711*G7711</f>
        <v>703</v>
      </c>
      <c r="I7711" s="6" t="s">
        <v>5122</v>
      </c>
    </row>
    <row r="7712" customFormat="false" ht="15" hidden="false" customHeight="false" outlineLevel="0" collapsed="false">
      <c r="A7712" s="6" t="s">
        <v>12936</v>
      </c>
      <c r="B7712" s="6" t="s">
        <v>3257</v>
      </c>
      <c r="C7712" s="26" t="n">
        <v>46248</v>
      </c>
      <c r="D7712" s="6" t="s">
        <v>5165</v>
      </c>
      <c r="E7712" s="6" t="s">
        <v>22</v>
      </c>
      <c r="F7712" s="6" t="n">
        <v>1</v>
      </c>
      <c r="G7712" s="10" t="n">
        <v>977</v>
      </c>
      <c r="H7712" s="10" t="n">
        <f aca="false">F7712*G7712</f>
        <v>977</v>
      </c>
      <c r="I7712" s="6" t="s">
        <v>5122</v>
      </c>
    </row>
    <row r="7713" customFormat="false" ht="15" hidden="false" customHeight="false" outlineLevel="0" collapsed="false">
      <c r="A7713" s="6" t="s">
        <v>12937</v>
      </c>
      <c r="B7713" s="6" t="s">
        <v>2469</v>
      </c>
      <c r="C7713" s="26" t="n">
        <v>46248</v>
      </c>
      <c r="D7713" s="6" t="s">
        <v>5326</v>
      </c>
      <c r="E7713" s="6" t="s">
        <v>22</v>
      </c>
      <c r="F7713" s="6" t="n">
        <v>1</v>
      </c>
      <c r="G7713" s="10" t="n">
        <v>1465</v>
      </c>
      <c r="H7713" s="10" t="n">
        <f aca="false">F7713*G7713</f>
        <v>1465</v>
      </c>
      <c r="I7713" s="6" t="s">
        <v>5130</v>
      </c>
    </row>
    <row r="7714" customFormat="false" ht="15" hidden="false" customHeight="false" outlineLevel="0" collapsed="false">
      <c r="A7714" s="6" t="s">
        <v>12938</v>
      </c>
      <c r="B7714" s="6" t="s">
        <v>3741</v>
      </c>
      <c r="C7714" s="26" t="n">
        <v>46248</v>
      </c>
      <c r="D7714" s="6" t="s">
        <v>5240</v>
      </c>
      <c r="E7714" s="6" t="s">
        <v>20</v>
      </c>
      <c r="F7714" s="6" t="n">
        <v>1</v>
      </c>
      <c r="G7714" s="10" t="n">
        <v>4587</v>
      </c>
      <c r="H7714" s="10" t="n">
        <f aca="false">F7714*G7714</f>
        <v>4587</v>
      </c>
      <c r="I7714" s="6" t="s">
        <v>5130</v>
      </c>
    </row>
    <row r="7715" customFormat="false" ht="15" hidden="false" customHeight="false" outlineLevel="0" collapsed="false">
      <c r="A7715" s="6" t="s">
        <v>12939</v>
      </c>
      <c r="B7715" s="6" t="s">
        <v>5089</v>
      </c>
      <c r="C7715" s="26" t="n">
        <v>46248</v>
      </c>
      <c r="D7715" s="6" t="s">
        <v>5232</v>
      </c>
      <c r="E7715" s="6" t="s">
        <v>23</v>
      </c>
      <c r="F7715" s="6" t="n">
        <v>5</v>
      </c>
      <c r="G7715" s="10" t="n">
        <v>185</v>
      </c>
      <c r="H7715" s="10" t="n">
        <f aca="false">F7715*G7715</f>
        <v>925</v>
      </c>
      <c r="I7715" s="6" t="s">
        <v>5130</v>
      </c>
    </row>
    <row r="7716" customFormat="false" ht="15" hidden="false" customHeight="false" outlineLevel="0" collapsed="false">
      <c r="A7716" s="6" t="s">
        <v>12940</v>
      </c>
      <c r="B7716" s="6" t="s">
        <v>326</v>
      </c>
      <c r="C7716" s="26" t="n">
        <v>46248</v>
      </c>
      <c r="D7716" s="6" t="s">
        <v>5242</v>
      </c>
      <c r="E7716" s="6" t="s">
        <v>23</v>
      </c>
      <c r="F7716" s="6" t="n">
        <v>3</v>
      </c>
      <c r="G7716" s="10" t="n">
        <v>372</v>
      </c>
      <c r="H7716" s="10" t="n">
        <f aca="false">F7716*G7716</f>
        <v>1116</v>
      </c>
      <c r="I7716" s="6" t="s">
        <v>5148</v>
      </c>
    </row>
    <row r="7717" customFormat="false" ht="15" hidden="false" customHeight="false" outlineLevel="0" collapsed="false">
      <c r="A7717" s="6" t="s">
        <v>12941</v>
      </c>
      <c r="B7717" s="6" t="s">
        <v>4273</v>
      </c>
      <c r="C7717" s="26" t="n">
        <v>46248</v>
      </c>
      <c r="D7717" s="6" t="s">
        <v>5156</v>
      </c>
      <c r="E7717" s="6" t="s">
        <v>21</v>
      </c>
      <c r="F7717" s="6" t="n">
        <v>1</v>
      </c>
      <c r="G7717" s="10" t="n">
        <v>1945</v>
      </c>
      <c r="H7717" s="10" t="n">
        <f aca="false">F7717*G7717</f>
        <v>1945</v>
      </c>
      <c r="I7717" s="6" t="s">
        <v>5130</v>
      </c>
    </row>
    <row r="7718" customFormat="false" ht="15" hidden="false" customHeight="false" outlineLevel="0" collapsed="false">
      <c r="A7718" s="6" t="s">
        <v>12942</v>
      </c>
      <c r="B7718" s="6" t="s">
        <v>703</v>
      </c>
      <c r="C7718" s="26" t="n">
        <v>46248</v>
      </c>
      <c r="D7718" s="6" t="s">
        <v>5269</v>
      </c>
      <c r="E7718" s="6" t="s">
        <v>22</v>
      </c>
      <c r="F7718" s="6" t="n">
        <v>1</v>
      </c>
      <c r="G7718" s="10" t="n">
        <v>1144</v>
      </c>
      <c r="H7718" s="10" t="n">
        <f aca="false">F7718*G7718</f>
        <v>1144</v>
      </c>
      <c r="I7718" s="6" t="s">
        <v>5173</v>
      </c>
    </row>
    <row r="7719" customFormat="false" ht="15" hidden="false" customHeight="false" outlineLevel="0" collapsed="false">
      <c r="A7719" s="6" t="s">
        <v>12943</v>
      </c>
      <c r="B7719" s="6" t="s">
        <v>4419</v>
      </c>
      <c r="C7719" s="26" t="n">
        <v>46248</v>
      </c>
      <c r="D7719" s="6" t="s">
        <v>5220</v>
      </c>
      <c r="E7719" s="6" t="s">
        <v>24</v>
      </c>
      <c r="F7719" s="6" t="n">
        <v>1</v>
      </c>
      <c r="G7719" s="10" t="n">
        <v>1120</v>
      </c>
      <c r="H7719" s="10" t="n">
        <f aca="false">F7719*G7719</f>
        <v>1120</v>
      </c>
      <c r="I7719" s="6" t="s">
        <v>5133</v>
      </c>
    </row>
    <row r="7720" customFormat="false" ht="15" hidden="false" customHeight="false" outlineLevel="0" collapsed="false">
      <c r="A7720" s="6" t="s">
        <v>12944</v>
      </c>
      <c r="B7720" s="6" t="s">
        <v>3413</v>
      </c>
      <c r="C7720" s="26" t="n">
        <v>46248</v>
      </c>
      <c r="D7720" s="6" t="s">
        <v>5147</v>
      </c>
      <c r="E7720" s="6" t="s">
        <v>24</v>
      </c>
      <c r="F7720" s="6" t="n">
        <v>1</v>
      </c>
      <c r="G7720" s="10" t="n">
        <v>628</v>
      </c>
      <c r="H7720" s="10" t="n">
        <f aca="false">F7720*G7720</f>
        <v>628</v>
      </c>
      <c r="I7720" s="6" t="s">
        <v>5122</v>
      </c>
    </row>
    <row r="7721" customFormat="false" ht="15" hidden="false" customHeight="false" outlineLevel="0" collapsed="false">
      <c r="A7721" s="6" t="s">
        <v>12945</v>
      </c>
      <c r="B7721" s="6" t="s">
        <v>4243</v>
      </c>
      <c r="C7721" s="26" t="n">
        <v>46248</v>
      </c>
      <c r="D7721" s="6" t="s">
        <v>5121</v>
      </c>
      <c r="E7721" s="6" t="s">
        <v>22</v>
      </c>
      <c r="F7721" s="6" t="n">
        <v>1</v>
      </c>
      <c r="G7721" s="10" t="n">
        <v>928</v>
      </c>
      <c r="H7721" s="10" t="n">
        <f aca="false">F7721*G7721</f>
        <v>928</v>
      </c>
      <c r="I7721" s="6" t="s">
        <v>5122</v>
      </c>
    </row>
    <row r="7722" customFormat="false" ht="15" hidden="false" customHeight="false" outlineLevel="0" collapsed="false">
      <c r="A7722" s="6" t="s">
        <v>12946</v>
      </c>
      <c r="B7722" s="6" t="s">
        <v>4727</v>
      </c>
      <c r="C7722" s="26" t="n">
        <v>46248</v>
      </c>
      <c r="D7722" s="6" t="s">
        <v>5242</v>
      </c>
      <c r="E7722" s="6" t="s">
        <v>23</v>
      </c>
      <c r="F7722" s="6" t="n">
        <v>4</v>
      </c>
      <c r="G7722" s="10" t="n">
        <v>335</v>
      </c>
      <c r="H7722" s="10" t="n">
        <f aca="false">F7722*G7722</f>
        <v>1340</v>
      </c>
      <c r="I7722" s="6" t="s">
        <v>5130</v>
      </c>
    </row>
    <row r="7723" customFormat="false" ht="15" hidden="false" customHeight="false" outlineLevel="0" collapsed="false">
      <c r="A7723" s="6" t="s">
        <v>12947</v>
      </c>
      <c r="B7723" s="6" t="s">
        <v>4409</v>
      </c>
      <c r="C7723" s="26" t="n">
        <v>46248</v>
      </c>
      <c r="D7723" s="6" t="s">
        <v>5167</v>
      </c>
      <c r="E7723" s="6" t="s">
        <v>22</v>
      </c>
      <c r="F7723" s="6" t="n">
        <v>2</v>
      </c>
      <c r="G7723" s="10" t="n">
        <v>782</v>
      </c>
      <c r="H7723" s="10" t="n">
        <f aca="false">F7723*G7723</f>
        <v>1564</v>
      </c>
      <c r="I7723" s="6" t="s">
        <v>5122</v>
      </c>
    </row>
    <row r="7724" customFormat="false" ht="15" hidden="false" customHeight="false" outlineLevel="0" collapsed="false">
      <c r="A7724" s="6" t="s">
        <v>12948</v>
      </c>
      <c r="B7724" s="6" t="s">
        <v>4771</v>
      </c>
      <c r="C7724" s="26" t="n">
        <v>46248</v>
      </c>
      <c r="D7724" s="6" t="s">
        <v>5207</v>
      </c>
      <c r="E7724" s="6" t="s">
        <v>20</v>
      </c>
      <c r="F7724" s="6" t="n">
        <v>1</v>
      </c>
      <c r="G7724" s="10" t="n">
        <v>1192</v>
      </c>
      <c r="H7724" s="10" t="n">
        <f aca="false">F7724*G7724</f>
        <v>1192</v>
      </c>
      <c r="I7724" s="6" t="s">
        <v>5130</v>
      </c>
    </row>
    <row r="7725" customFormat="false" ht="15" hidden="false" customHeight="false" outlineLevel="0" collapsed="false">
      <c r="A7725" s="6" t="s">
        <v>12949</v>
      </c>
      <c r="B7725" s="6" t="s">
        <v>3617</v>
      </c>
      <c r="C7725" s="26" t="n">
        <v>46248</v>
      </c>
      <c r="D7725" s="6" t="s">
        <v>5145</v>
      </c>
      <c r="E7725" s="6" t="s">
        <v>21</v>
      </c>
      <c r="F7725" s="6" t="n">
        <v>2</v>
      </c>
      <c r="G7725" s="10" t="n">
        <v>1277</v>
      </c>
      <c r="H7725" s="10" t="n">
        <f aca="false">F7725*G7725</f>
        <v>2554</v>
      </c>
      <c r="I7725" s="6" t="s">
        <v>5122</v>
      </c>
    </row>
    <row r="7726" customFormat="false" ht="15" hidden="false" customHeight="false" outlineLevel="0" collapsed="false">
      <c r="A7726" s="6" t="s">
        <v>12950</v>
      </c>
      <c r="B7726" s="6" t="s">
        <v>551</v>
      </c>
      <c r="C7726" s="26" t="n">
        <v>46248</v>
      </c>
      <c r="D7726" s="6" t="s">
        <v>5167</v>
      </c>
      <c r="E7726" s="6" t="s">
        <v>22</v>
      </c>
      <c r="F7726" s="6" t="n">
        <v>1</v>
      </c>
      <c r="G7726" s="10" t="n">
        <v>782</v>
      </c>
      <c r="H7726" s="10" t="n">
        <f aca="false">F7726*G7726</f>
        <v>782</v>
      </c>
      <c r="I7726" s="6" t="s">
        <v>5148</v>
      </c>
    </row>
    <row r="7727" customFormat="false" ht="15" hidden="false" customHeight="false" outlineLevel="0" collapsed="false">
      <c r="A7727" s="6" t="s">
        <v>12951</v>
      </c>
      <c r="B7727" s="6" t="s">
        <v>2737</v>
      </c>
      <c r="C7727" s="26" t="n">
        <v>46248</v>
      </c>
      <c r="D7727" s="6" t="s">
        <v>5683</v>
      </c>
      <c r="E7727" s="6" t="s">
        <v>22</v>
      </c>
      <c r="F7727" s="6" t="n">
        <v>3</v>
      </c>
      <c r="G7727" s="10" t="n">
        <v>1760</v>
      </c>
      <c r="H7727" s="10" t="n">
        <f aca="false">F7727*G7727</f>
        <v>5280</v>
      </c>
      <c r="I7727" s="6" t="s">
        <v>5148</v>
      </c>
    </row>
    <row r="7728" customFormat="false" ht="15" hidden="false" customHeight="false" outlineLevel="0" collapsed="false">
      <c r="A7728" s="6" t="s">
        <v>12952</v>
      </c>
      <c r="B7728" s="6" t="s">
        <v>229</v>
      </c>
      <c r="C7728" s="26" t="n">
        <v>46248</v>
      </c>
      <c r="D7728" s="6" t="s">
        <v>5456</v>
      </c>
      <c r="E7728" s="6" t="s">
        <v>24</v>
      </c>
      <c r="F7728" s="6" t="n">
        <v>1</v>
      </c>
      <c r="G7728" s="10" t="n">
        <v>913</v>
      </c>
      <c r="H7728" s="10" t="n">
        <f aca="false">F7728*G7728</f>
        <v>913</v>
      </c>
      <c r="I7728" s="6" t="s">
        <v>5122</v>
      </c>
    </row>
    <row r="7729" customFormat="false" ht="15" hidden="false" customHeight="false" outlineLevel="0" collapsed="false">
      <c r="A7729" s="6" t="s">
        <v>12953</v>
      </c>
      <c r="B7729" s="6" t="s">
        <v>2123</v>
      </c>
      <c r="C7729" s="26" t="n">
        <v>46248</v>
      </c>
      <c r="D7729" s="6" t="s">
        <v>5316</v>
      </c>
      <c r="E7729" s="6" t="s">
        <v>23</v>
      </c>
      <c r="F7729" s="6" t="n">
        <v>4</v>
      </c>
      <c r="G7729" s="10" t="n">
        <v>260</v>
      </c>
      <c r="H7729" s="10" t="n">
        <f aca="false">F7729*G7729</f>
        <v>1040</v>
      </c>
      <c r="I7729" s="6" t="s">
        <v>5130</v>
      </c>
    </row>
    <row r="7730" customFormat="false" ht="15" hidden="false" customHeight="false" outlineLevel="0" collapsed="false">
      <c r="A7730" s="6" t="s">
        <v>12954</v>
      </c>
      <c r="B7730" s="6" t="s">
        <v>3195</v>
      </c>
      <c r="C7730" s="26" t="n">
        <v>46248</v>
      </c>
      <c r="D7730" s="6" t="s">
        <v>5165</v>
      </c>
      <c r="E7730" s="6" t="s">
        <v>22</v>
      </c>
      <c r="F7730" s="6" t="n">
        <v>1</v>
      </c>
      <c r="G7730" s="10" t="n">
        <v>928</v>
      </c>
      <c r="H7730" s="10" t="n">
        <f aca="false">F7730*G7730</f>
        <v>928</v>
      </c>
      <c r="I7730" s="6" t="s">
        <v>5148</v>
      </c>
    </row>
    <row r="7731" customFormat="false" ht="15" hidden="false" customHeight="false" outlineLevel="0" collapsed="false">
      <c r="A7731" s="6" t="s">
        <v>12955</v>
      </c>
      <c r="B7731" s="6" t="s">
        <v>3141</v>
      </c>
      <c r="C7731" s="26" t="n">
        <v>46248</v>
      </c>
      <c r="D7731" s="6" t="s">
        <v>5235</v>
      </c>
      <c r="E7731" s="6" t="s">
        <v>21</v>
      </c>
      <c r="F7731" s="6" t="n">
        <v>1</v>
      </c>
      <c r="G7731" s="10" t="n">
        <v>1670</v>
      </c>
      <c r="H7731" s="10" t="n">
        <f aca="false">F7731*G7731</f>
        <v>1670</v>
      </c>
      <c r="I7731" s="6" t="s">
        <v>5122</v>
      </c>
    </row>
    <row r="7732" customFormat="false" ht="15" hidden="false" customHeight="false" outlineLevel="0" collapsed="false">
      <c r="A7732" s="6" t="s">
        <v>12956</v>
      </c>
      <c r="B7732" s="6" t="s">
        <v>665</v>
      </c>
      <c r="C7732" s="26" t="n">
        <v>46248</v>
      </c>
      <c r="D7732" s="6" t="s">
        <v>5165</v>
      </c>
      <c r="E7732" s="6" t="s">
        <v>22</v>
      </c>
      <c r="F7732" s="6" t="n">
        <v>1</v>
      </c>
      <c r="G7732" s="10" t="n">
        <v>977</v>
      </c>
      <c r="H7732" s="10" t="n">
        <f aca="false">F7732*G7732</f>
        <v>977</v>
      </c>
      <c r="I7732" s="6" t="s">
        <v>5122</v>
      </c>
    </row>
    <row r="7733" customFormat="false" ht="15" hidden="false" customHeight="false" outlineLevel="0" collapsed="false">
      <c r="A7733" s="6" t="s">
        <v>12957</v>
      </c>
      <c r="B7733" s="6" t="s">
        <v>3627</v>
      </c>
      <c r="C7733" s="26" t="n">
        <v>46249</v>
      </c>
      <c r="D7733" s="6" t="s">
        <v>5237</v>
      </c>
      <c r="E7733" s="6" t="s">
        <v>24</v>
      </c>
      <c r="F7733" s="6" t="n">
        <v>2</v>
      </c>
      <c r="G7733" s="10" t="n">
        <v>1833</v>
      </c>
      <c r="H7733" s="10" t="n">
        <f aca="false">F7733*G7733</f>
        <v>3666</v>
      </c>
      <c r="I7733" s="6" t="s">
        <v>5148</v>
      </c>
    </row>
    <row r="7734" customFormat="false" ht="15" hidden="false" customHeight="false" outlineLevel="0" collapsed="false">
      <c r="A7734" s="6" t="s">
        <v>12958</v>
      </c>
      <c r="B7734" s="6" t="s">
        <v>4019</v>
      </c>
      <c r="C7734" s="26" t="n">
        <v>46249</v>
      </c>
      <c r="D7734" s="6" t="s">
        <v>5214</v>
      </c>
      <c r="E7734" s="6" t="s">
        <v>20</v>
      </c>
      <c r="F7734" s="6" t="n">
        <v>1</v>
      </c>
      <c r="G7734" s="10" t="n">
        <v>1835</v>
      </c>
      <c r="H7734" s="10" t="n">
        <f aca="false">F7734*G7734</f>
        <v>1835</v>
      </c>
      <c r="I7734" s="6" t="s">
        <v>5133</v>
      </c>
    </row>
    <row r="7735" customFormat="false" ht="15" hidden="false" customHeight="false" outlineLevel="0" collapsed="false">
      <c r="A7735" s="6" t="s">
        <v>12959</v>
      </c>
      <c r="B7735" s="6" t="s">
        <v>669</v>
      </c>
      <c r="C7735" s="26" t="n">
        <v>46249</v>
      </c>
      <c r="D7735" s="6" t="s">
        <v>5145</v>
      </c>
      <c r="E7735" s="6" t="s">
        <v>21</v>
      </c>
      <c r="F7735" s="6" t="n">
        <v>3</v>
      </c>
      <c r="G7735" s="10" t="n">
        <v>1149</v>
      </c>
      <c r="H7735" s="10" t="n">
        <f aca="false">F7735*G7735</f>
        <v>3447</v>
      </c>
      <c r="I7735" s="6" t="s">
        <v>5148</v>
      </c>
    </row>
    <row r="7736" customFormat="false" ht="15" hidden="false" customHeight="false" outlineLevel="0" collapsed="false">
      <c r="A7736" s="6" t="s">
        <v>12960</v>
      </c>
      <c r="B7736" s="6" t="s">
        <v>1875</v>
      </c>
      <c r="C7736" s="26" t="n">
        <v>46249</v>
      </c>
      <c r="D7736" s="6" t="s">
        <v>5163</v>
      </c>
      <c r="E7736" s="6" t="s">
        <v>23</v>
      </c>
      <c r="F7736" s="6" t="n">
        <v>5</v>
      </c>
      <c r="G7736" s="10" t="n">
        <v>744</v>
      </c>
      <c r="H7736" s="10" t="n">
        <f aca="false">F7736*G7736</f>
        <v>3720</v>
      </c>
      <c r="I7736" s="6" t="s">
        <v>5173</v>
      </c>
    </row>
    <row r="7737" customFormat="false" ht="15" hidden="false" customHeight="false" outlineLevel="0" collapsed="false">
      <c r="A7737" s="6" t="s">
        <v>12961</v>
      </c>
      <c r="B7737" s="6" t="s">
        <v>2169</v>
      </c>
      <c r="C7737" s="26" t="n">
        <v>46249</v>
      </c>
      <c r="D7737" s="6" t="s">
        <v>5129</v>
      </c>
      <c r="E7737" s="6" t="s">
        <v>21</v>
      </c>
      <c r="F7737" s="6" t="n">
        <v>2</v>
      </c>
      <c r="G7737" s="10" t="n">
        <v>559</v>
      </c>
      <c r="H7737" s="10" t="n">
        <f aca="false">F7737*G7737</f>
        <v>1118</v>
      </c>
      <c r="I7737" s="6" t="s">
        <v>5122</v>
      </c>
    </row>
    <row r="7738" customFormat="false" ht="15" hidden="false" customHeight="false" outlineLevel="0" collapsed="false">
      <c r="A7738" s="6" t="s">
        <v>12962</v>
      </c>
      <c r="B7738" s="6" t="s">
        <v>3017</v>
      </c>
      <c r="C7738" s="26" t="n">
        <v>46249</v>
      </c>
      <c r="D7738" s="6" t="s">
        <v>5171</v>
      </c>
      <c r="E7738" s="6" t="s">
        <v>23</v>
      </c>
      <c r="F7738" s="6" t="n">
        <v>3</v>
      </c>
      <c r="G7738" s="10" t="n">
        <v>661</v>
      </c>
      <c r="H7738" s="10" t="n">
        <f aca="false">F7738*G7738</f>
        <v>1983</v>
      </c>
      <c r="I7738" s="6" t="s">
        <v>5148</v>
      </c>
    </row>
    <row r="7739" customFormat="false" ht="15" hidden="false" customHeight="false" outlineLevel="0" collapsed="false">
      <c r="A7739" s="6" t="s">
        <v>12963</v>
      </c>
      <c r="B7739" s="6" t="s">
        <v>196</v>
      </c>
      <c r="C7739" s="26" t="n">
        <v>46249</v>
      </c>
      <c r="D7739" s="6" t="s">
        <v>5167</v>
      </c>
      <c r="E7739" s="6" t="s">
        <v>22</v>
      </c>
      <c r="F7739" s="6" t="n">
        <v>1</v>
      </c>
      <c r="G7739" s="10" t="n">
        <v>703</v>
      </c>
      <c r="H7739" s="10" t="n">
        <f aca="false">F7739*G7739</f>
        <v>703</v>
      </c>
      <c r="I7739" s="6" t="s">
        <v>5122</v>
      </c>
    </row>
    <row r="7740" customFormat="false" ht="15" hidden="false" customHeight="false" outlineLevel="0" collapsed="false">
      <c r="A7740" s="6" t="s">
        <v>12964</v>
      </c>
      <c r="B7740" s="6" t="s">
        <v>3749</v>
      </c>
      <c r="C7740" s="26" t="n">
        <v>46249</v>
      </c>
      <c r="D7740" s="6" t="s">
        <v>5143</v>
      </c>
      <c r="E7740" s="6" t="s">
        <v>21</v>
      </c>
      <c r="F7740" s="6" t="n">
        <v>2</v>
      </c>
      <c r="G7740" s="10" t="n">
        <v>1179</v>
      </c>
      <c r="H7740" s="10" t="n">
        <f aca="false">F7740*G7740</f>
        <v>2358</v>
      </c>
      <c r="I7740" s="6" t="s">
        <v>5130</v>
      </c>
    </row>
    <row r="7741" customFormat="false" ht="15" hidden="false" customHeight="false" outlineLevel="0" collapsed="false">
      <c r="A7741" s="6" t="s">
        <v>12965</v>
      </c>
      <c r="B7741" s="6" t="s">
        <v>2939</v>
      </c>
      <c r="C7741" s="26" t="n">
        <v>46249</v>
      </c>
      <c r="D7741" s="6" t="s">
        <v>5154</v>
      </c>
      <c r="E7741" s="6" t="s">
        <v>21</v>
      </c>
      <c r="F7741" s="6" t="n">
        <v>2</v>
      </c>
      <c r="G7741" s="10" t="n">
        <v>785</v>
      </c>
      <c r="H7741" s="10" t="n">
        <f aca="false">F7741*G7741</f>
        <v>1570</v>
      </c>
      <c r="I7741" s="6" t="s">
        <v>5130</v>
      </c>
    </row>
    <row r="7742" customFormat="false" ht="15" hidden="false" customHeight="false" outlineLevel="0" collapsed="false">
      <c r="A7742" s="6" t="s">
        <v>12966</v>
      </c>
      <c r="B7742" s="6" t="s">
        <v>1579</v>
      </c>
      <c r="C7742" s="26" t="n">
        <v>46249</v>
      </c>
      <c r="D7742" s="6" t="s">
        <v>6149</v>
      </c>
      <c r="E7742" s="6" t="s">
        <v>20</v>
      </c>
      <c r="F7742" s="6" t="n">
        <v>1</v>
      </c>
      <c r="G7742" s="10" t="n">
        <v>28553</v>
      </c>
      <c r="H7742" s="10" t="n">
        <f aca="false">F7742*G7742</f>
        <v>28553</v>
      </c>
      <c r="I7742" s="6" t="s">
        <v>5148</v>
      </c>
    </row>
    <row r="7743" customFormat="false" ht="15" hidden="false" customHeight="false" outlineLevel="0" collapsed="false">
      <c r="A7743" s="6" t="s">
        <v>12967</v>
      </c>
      <c r="B7743" s="6" t="s">
        <v>4687</v>
      </c>
      <c r="C7743" s="26" t="n">
        <v>46249</v>
      </c>
      <c r="D7743" s="6" t="s">
        <v>6114</v>
      </c>
      <c r="E7743" s="6" t="s">
        <v>20</v>
      </c>
      <c r="F7743" s="6" t="n">
        <v>1</v>
      </c>
      <c r="G7743" s="10" t="n">
        <v>11931</v>
      </c>
      <c r="H7743" s="10" t="n">
        <f aca="false">F7743*G7743</f>
        <v>11931</v>
      </c>
      <c r="I7743" s="6" t="s">
        <v>5148</v>
      </c>
    </row>
    <row r="7744" customFormat="false" ht="15" hidden="false" customHeight="false" outlineLevel="0" collapsed="false">
      <c r="A7744" s="6" t="s">
        <v>12968</v>
      </c>
      <c r="B7744" s="6" t="s">
        <v>1955</v>
      </c>
      <c r="C7744" s="26" t="n">
        <v>46249</v>
      </c>
      <c r="D7744" s="6" t="s">
        <v>5169</v>
      </c>
      <c r="E7744" s="6" t="s">
        <v>20</v>
      </c>
      <c r="F7744" s="6" t="n">
        <v>1</v>
      </c>
      <c r="G7744" s="10" t="n">
        <v>5098</v>
      </c>
      <c r="H7744" s="10" t="n">
        <f aca="false">F7744*G7744</f>
        <v>5098</v>
      </c>
      <c r="I7744" s="6" t="s">
        <v>5125</v>
      </c>
    </row>
    <row r="7745" customFormat="false" ht="15" hidden="false" customHeight="false" outlineLevel="0" collapsed="false">
      <c r="A7745" s="6" t="s">
        <v>12969</v>
      </c>
      <c r="B7745" s="6" t="s">
        <v>1139</v>
      </c>
      <c r="C7745" s="26" t="n">
        <v>46249</v>
      </c>
      <c r="D7745" s="6" t="s">
        <v>5259</v>
      </c>
      <c r="E7745" s="6" t="s">
        <v>22</v>
      </c>
      <c r="F7745" s="6" t="n">
        <v>1</v>
      </c>
      <c r="G7745" s="10" t="n">
        <v>1486</v>
      </c>
      <c r="H7745" s="10" t="n">
        <f aca="false">F7745*G7745</f>
        <v>1486</v>
      </c>
      <c r="I7745" s="6" t="s">
        <v>5122</v>
      </c>
    </row>
    <row r="7746" customFormat="false" ht="15" hidden="false" customHeight="false" outlineLevel="0" collapsed="false">
      <c r="A7746" s="6" t="s">
        <v>12970</v>
      </c>
      <c r="B7746" s="6" t="s">
        <v>1279</v>
      </c>
      <c r="C7746" s="26" t="n">
        <v>46249</v>
      </c>
      <c r="D7746" s="6" t="s">
        <v>5121</v>
      </c>
      <c r="E7746" s="6" t="s">
        <v>22</v>
      </c>
      <c r="F7746" s="6" t="n">
        <v>1</v>
      </c>
      <c r="G7746" s="10" t="n">
        <v>977</v>
      </c>
      <c r="H7746" s="10" t="n">
        <f aca="false">F7746*G7746</f>
        <v>977</v>
      </c>
      <c r="I7746" s="6" t="s">
        <v>5173</v>
      </c>
    </row>
    <row r="7747" customFormat="false" ht="15" hidden="false" customHeight="false" outlineLevel="0" collapsed="false">
      <c r="A7747" s="6" t="s">
        <v>12971</v>
      </c>
      <c r="B7747" s="6" t="s">
        <v>2869</v>
      </c>
      <c r="C7747" s="26" t="n">
        <v>46249</v>
      </c>
      <c r="D7747" s="6" t="s">
        <v>5165</v>
      </c>
      <c r="E7747" s="6" t="s">
        <v>22</v>
      </c>
      <c r="F7747" s="6" t="n">
        <v>2</v>
      </c>
      <c r="G7747" s="10" t="n">
        <v>977</v>
      </c>
      <c r="H7747" s="10" t="n">
        <f aca="false">F7747*G7747</f>
        <v>1954</v>
      </c>
      <c r="I7747" s="6" t="s">
        <v>5122</v>
      </c>
    </row>
    <row r="7748" customFormat="false" ht="15" hidden="false" customHeight="false" outlineLevel="0" collapsed="false">
      <c r="A7748" s="6" t="s">
        <v>12972</v>
      </c>
      <c r="B7748" s="6" t="s">
        <v>3941</v>
      </c>
      <c r="C7748" s="26" t="n">
        <v>46249</v>
      </c>
      <c r="D7748" s="6" t="s">
        <v>5190</v>
      </c>
      <c r="E7748" s="6" t="s">
        <v>24</v>
      </c>
      <c r="F7748" s="6" t="n">
        <v>2</v>
      </c>
      <c r="G7748" s="10" t="n">
        <v>610</v>
      </c>
      <c r="H7748" s="10" t="n">
        <f aca="false">F7748*G7748</f>
        <v>1220</v>
      </c>
      <c r="I7748" s="6" t="s">
        <v>5122</v>
      </c>
    </row>
    <row r="7749" customFormat="false" ht="15" hidden="false" customHeight="false" outlineLevel="0" collapsed="false">
      <c r="A7749" s="6" t="s">
        <v>12973</v>
      </c>
      <c r="B7749" s="6" t="s">
        <v>1633</v>
      </c>
      <c r="C7749" s="26" t="n">
        <v>46249</v>
      </c>
      <c r="D7749" s="6" t="s">
        <v>5165</v>
      </c>
      <c r="E7749" s="6" t="s">
        <v>22</v>
      </c>
      <c r="F7749" s="6" t="n">
        <v>1</v>
      </c>
      <c r="G7749" s="10" t="n">
        <v>928</v>
      </c>
      <c r="H7749" s="10" t="n">
        <f aca="false">F7749*G7749</f>
        <v>928</v>
      </c>
      <c r="I7749" s="6" t="s">
        <v>5122</v>
      </c>
    </row>
    <row r="7750" customFormat="false" ht="15" hidden="false" customHeight="false" outlineLevel="0" collapsed="false">
      <c r="A7750" s="6" t="s">
        <v>12974</v>
      </c>
      <c r="B7750" s="6" t="s">
        <v>2595</v>
      </c>
      <c r="C7750" s="26" t="n">
        <v>46249</v>
      </c>
      <c r="D7750" s="6" t="s">
        <v>5165</v>
      </c>
      <c r="E7750" s="6" t="s">
        <v>22</v>
      </c>
      <c r="F7750" s="6" t="n">
        <v>1</v>
      </c>
      <c r="G7750" s="10" t="n">
        <v>977</v>
      </c>
      <c r="H7750" s="10" t="n">
        <f aca="false">F7750*G7750</f>
        <v>977</v>
      </c>
      <c r="I7750" s="6" t="s">
        <v>5130</v>
      </c>
    </row>
    <row r="7751" customFormat="false" ht="15" hidden="false" customHeight="false" outlineLevel="0" collapsed="false">
      <c r="A7751" s="6" t="s">
        <v>12975</v>
      </c>
      <c r="B7751" s="6" t="s">
        <v>2105</v>
      </c>
      <c r="C7751" s="26" t="n">
        <v>46249</v>
      </c>
      <c r="D7751" s="6" t="s">
        <v>5165</v>
      </c>
      <c r="E7751" s="6" t="s">
        <v>22</v>
      </c>
      <c r="F7751" s="6" t="n">
        <v>3</v>
      </c>
      <c r="G7751" s="10" t="n">
        <v>977</v>
      </c>
      <c r="H7751" s="10" t="n">
        <f aca="false">F7751*G7751</f>
        <v>2931</v>
      </c>
      <c r="I7751" s="6" t="s">
        <v>5148</v>
      </c>
    </row>
    <row r="7752" customFormat="false" ht="15" hidden="false" customHeight="false" outlineLevel="0" collapsed="false">
      <c r="A7752" s="6" t="s">
        <v>12976</v>
      </c>
      <c r="B7752" s="6" t="s">
        <v>4793</v>
      </c>
      <c r="C7752" s="26" t="n">
        <v>46249</v>
      </c>
      <c r="D7752" s="6" t="s">
        <v>5167</v>
      </c>
      <c r="E7752" s="6" t="s">
        <v>22</v>
      </c>
      <c r="F7752" s="6" t="n">
        <v>1</v>
      </c>
      <c r="G7752" s="10" t="n">
        <v>703</v>
      </c>
      <c r="H7752" s="10" t="n">
        <f aca="false">F7752*G7752</f>
        <v>703</v>
      </c>
      <c r="I7752" s="6" t="s">
        <v>5133</v>
      </c>
    </row>
    <row r="7753" customFormat="false" ht="15" hidden="false" customHeight="false" outlineLevel="0" collapsed="false">
      <c r="A7753" s="6" t="s">
        <v>12977</v>
      </c>
      <c r="B7753" s="6" t="s">
        <v>3689</v>
      </c>
      <c r="C7753" s="26" t="n">
        <v>46249</v>
      </c>
      <c r="D7753" s="6" t="s">
        <v>5139</v>
      </c>
      <c r="E7753" s="6" t="s">
        <v>23</v>
      </c>
      <c r="F7753" s="6" t="n">
        <v>3</v>
      </c>
      <c r="G7753" s="10" t="n">
        <v>279</v>
      </c>
      <c r="H7753" s="10" t="n">
        <f aca="false">F7753*G7753</f>
        <v>837</v>
      </c>
      <c r="I7753" s="6" t="s">
        <v>5122</v>
      </c>
    </row>
    <row r="7754" customFormat="false" ht="15" hidden="false" customHeight="false" outlineLevel="0" collapsed="false">
      <c r="A7754" s="6" t="s">
        <v>12978</v>
      </c>
      <c r="B7754" s="6" t="s">
        <v>3387</v>
      </c>
      <c r="C7754" s="26" t="n">
        <v>46249</v>
      </c>
      <c r="D7754" s="6" t="s">
        <v>5121</v>
      </c>
      <c r="E7754" s="6" t="s">
        <v>22</v>
      </c>
      <c r="F7754" s="6" t="n">
        <v>1</v>
      </c>
      <c r="G7754" s="10" t="n">
        <v>977</v>
      </c>
      <c r="H7754" s="10" t="n">
        <f aca="false">F7754*G7754</f>
        <v>977</v>
      </c>
      <c r="I7754" s="6" t="s">
        <v>5122</v>
      </c>
    </row>
    <row r="7755" customFormat="false" ht="15" hidden="false" customHeight="false" outlineLevel="0" collapsed="false">
      <c r="A7755" s="6" t="s">
        <v>12979</v>
      </c>
      <c r="B7755" s="6" t="s">
        <v>2317</v>
      </c>
      <c r="C7755" s="26" t="n">
        <v>46249</v>
      </c>
      <c r="D7755" s="6" t="s">
        <v>5165</v>
      </c>
      <c r="E7755" s="6" t="s">
        <v>22</v>
      </c>
      <c r="F7755" s="6" t="n">
        <v>2</v>
      </c>
      <c r="G7755" s="10" t="n">
        <v>880</v>
      </c>
      <c r="H7755" s="10" t="n">
        <f aca="false">F7755*G7755</f>
        <v>1760</v>
      </c>
      <c r="I7755" s="6" t="s">
        <v>5122</v>
      </c>
    </row>
    <row r="7756" customFormat="false" ht="15" hidden="false" customHeight="false" outlineLevel="0" collapsed="false">
      <c r="A7756" s="6" t="s">
        <v>12980</v>
      </c>
      <c r="B7756" s="6" t="s">
        <v>973</v>
      </c>
      <c r="C7756" s="26" t="n">
        <v>46249</v>
      </c>
      <c r="D7756" s="6" t="s">
        <v>5167</v>
      </c>
      <c r="E7756" s="6" t="s">
        <v>22</v>
      </c>
      <c r="F7756" s="6" t="n">
        <v>1</v>
      </c>
      <c r="G7756" s="10" t="n">
        <v>782</v>
      </c>
      <c r="H7756" s="10" t="n">
        <f aca="false">F7756*G7756</f>
        <v>782</v>
      </c>
      <c r="I7756" s="6" t="s">
        <v>5125</v>
      </c>
    </row>
    <row r="7757" customFormat="false" ht="15" hidden="false" customHeight="false" outlineLevel="0" collapsed="false">
      <c r="A7757" s="6" t="s">
        <v>12981</v>
      </c>
      <c r="B7757" s="6" t="s">
        <v>3875</v>
      </c>
      <c r="C7757" s="26" t="n">
        <v>46249</v>
      </c>
      <c r="D7757" s="6" t="s">
        <v>5488</v>
      </c>
      <c r="E7757" s="6" t="s">
        <v>24</v>
      </c>
      <c r="F7757" s="6" t="n">
        <v>1</v>
      </c>
      <c r="G7757" s="10" t="n">
        <v>824</v>
      </c>
      <c r="H7757" s="10" t="n">
        <f aca="false">F7757*G7757</f>
        <v>824</v>
      </c>
      <c r="I7757" s="6" t="s">
        <v>5148</v>
      </c>
    </row>
    <row r="7758" customFormat="false" ht="15" hidden="false" customHeight="false" outlineLevel="0" collapsed="false">
      <c r="A7758" s="6" t="s">
        <v>12982</v>
      </c>
      <c r="B7758" s="6" t="s">
        <v>1211</v>
      </c>
      <c r="C7758" s="26" t="n">
        <v>46249</v>
      </c>
      <c r="D7758" s="6" t="s">
        <v>5185</v>
      </c>
      <c r="E7758" s="6" t="s">
        <v>24</v>
      </c>
      <c r="F7758" s="6" t="n">
        <v>2</v>
      </c>
      <c r="G7758" s="10" t="n">
        <v>2140</v>
      </c>
      <c r="H7758" s="10" t="n">
        <f aca="false">F7758*G7758</f>
        <v>4280</v>
      </c>
      <c r="I7758" s="6" t="s">
        <v>5173</v>
      </c>
    </row>
    <row r="7759" customFormat="false" ht="15" hidden="false" customHeight="false" outlineLevel="0" collapsed="false">
      <c r="A7759" s="6" t="s">
        <v>12983</v>
      </c>
      <c r="B7759" s="6" t="s">
        <v>3169</v>
      </c>
      <c r="C7759" s="26" t="n">
        <v>46249</v>
      </c>
      <c r="D7759" s="6" t="s">
        <v>5216</v>
      </c>
      <c r="E7759" s="6" t="s">
        <v>23</v>
      </c>
      <c r="F7759" s="6" t="n">
        <v>2</v>
      </c>
      <c r="G7759" s="10" t="n">
        <v>587</v>
      </c>
      <c r="H7759" s="10" t="n">
        <f aca="false">F7759*G7759</f>
        <v>1174</v>
      </c>
      <c r="I7759" s="6" t="s">
        <v>5130</v>
      </c>
    </row>
    <row r="7760" customFormat="false" ht="15" hidden="false" customHeight="false" outlineLevel="0" collapsed="false">
      <c r="A7760" s="6" t="s">
        <v>12984</v>
      </c>
      <c r="B7760" s="6" t="s">
        <v>4377</v>
      </c>
      <c r="C7760" s="26" t="n">
        <v>46249</v>
      </c>
      <c r="D7760" s="6" t="s">
        <v>5687</v>
      </c>
      <c r="E7760" s="6" t="s">
        <v>20</v>
      </c>
      <c r="F7760" s="6" t="n">
        <v>1</v>
      </c>
      <c r="G7760" s="10" t="n">
        <v>2039</v>
      </c>
      <c r="H7760" s="10" t="n">
        <f aca="false">F7760*G7760</f>
        <v>2039</v>
      </c>
      <c r="I7760" s="6" t="s">
        <v>5122</v>
      </c>
    </row>
    <row r="7761" customFormat="false" ht="15" hidden="false" customHeight="false" outlineLevel="0" collapsed="false">
      <c r="A7761" s="6" t="s">
        <v>12985</v>
      </c>
      <c r="B7761" s="6" t="s">
        <v>1043</v>
      </c>
      <c r="C7761" s="26" t="n">
        <v>46249</v>
      </c>
      <c r="D7761" s="6" t="s">
        <v>5683</v>
      </c>
      <c r="E7761" s="6" t="s">
        <v>22</v>
      </c>
      <c r="F7761" s="6" t="n">
        <v>1</v>
      </c>
      <c r="G7761" s="10" t="n">
        <v>1760</v>
      </c>
      <c r="H7761" s="10" t="n">
        <f aca="false">F7761*G7761</f>
        <v>1760</v>
      </c>
      <c r="I7761" s="6" t="s">
        <v>5130</v>
      </c>
    </row>
    <row r="7762" customFormat="false" ht="15" hidden="false" customHeight="false" outlineLevel="0" collapsed="false">
      <c r="A7762" s="6" t="s">
        <v>12986</v>
      </c>
      <c r="B7762" s="6" t="s">
        <v>805</v>
      </c>
      <c r="C7762" s="26" t="n">
        <v>46249</v>
      </c>
      <c r="D7762" s="6" t="s">
        <v>5522</v>
      </c>
      <c r="E7762" s="6" t="s">
        <v>21</v>
      </c>
      <c r="F7762" s="6" t="n">
        <v>1</v>
      </c>
      <c r="G7762" s="10" t="n">
        <v>12777</v>
      </c>
      <c r="H7762" s="10" t="n">
        <f aca="false">F7762*G7762</f>
        <v>12777</v>
      </c>
      <c r="I7762" s="6" t="s">
        <v>5122</v>
      </c>
    </row>
    <row r="7763" customFormat="false" ht="15" hidden="false" customHeight="false" outlineLevel="0" collapsed="false">
      <c r="A7763" s="6" t="s">
        <v>12987</v>
      </c>
      <c r="B7763" s="6" t="s">
        <v>2881</v>
      </c>
      <c r="C7763" s="26" t="n">
        <v>46249</v>
      </c>
      <c r="D7763" s="6" t="s">
        <v>5167</v>
      </c>
      <c r="E7763" s="6" t="s">
        <v>22</v>
      </c>
      <c r="F7763" s="6" t="n">
        <v>2</v>
      </c>
      <c r="G7763" s="10" t="n">
        <v>743</v>
      </c>
      <c r="H7763" s="10" t="n">
        <f aca="false">F7763*G7763</f>
        <v>1486</v>
      </c>
      <c r="I7763" s="6" t="s">
        <v>5122</v>
      </c>
    </row>
    <row r="7764" customFormat="false" ht="15" hidden="false" customHeight="false" outlineLevel="0" collapsed="false">
      <c r="A7764" s="6" t="s">
        <v>12988</v>
      </c>
      <c r="B7764" s="6" t="s">
        <v>3451</v>
      </c>
      <c r="C7764" s="26" t="n">
        <v>46249</v>
      </c>
      <c r="D7764" s="6" t="s">
        <v>5190</v>
      </c>
      <c r="E7764" s="6" t="s">
        <v>24</v>
      </c>
      <c r="F7764" s="6" t="n">
        <v>1</v>
      </c>
      <c r="G7764" s="10" t="n">
        <v>610</v>
      </c>
      <c r="H7764" s="10" t="n">
        <f aca="false">F7764*G7764</f>
        <v>610</v>
      </c>
      <c r="I7764" s="6" t="s">
        <v>5122</v>
      </c>
    </row>
    <row r="7765" customFormat="false" ht="15" hidden="false" customHeight="false" outlineLevel="0" collapsed="false">
      <c r="A7765" s="6" t="s">
        <v>12989</v>
      </c>
      <c r="B7765" s="6" t="s">
        <v>819</v>
      </c>
      <c r="C7765" s="26" t="n">
        <v>46249</v>
      </c>
      <c r="D7765" s="6" t="s">
        <v>5167</v>
      </c>
      <c r="E7765" s="6" t="s">
        <v>22</v>
      </c>
      <c r="F7765" s="6" t="n">
        <v>2</v>
      </c>
      <c r="G7765" s="10" t="n">
        <v>782</v>
      </c>
      <c r="H7765" s="10" t="n">
        <f aca="false">F7765*G7765</f>
        <v>1564</v>
      </c>
      <c r="I7765" s="6" t="s">
        <v>5173</v>
      </c>
    </row>
    <row r="7766" customFormat="false" ht="15" hidden="false" customHeight="false" outlineLevel="0" collapsed="false">
      <c r="A7766" s="6" t="s">
        <v>12990</v>
      </c>
      <c r="B7766" s="6" t="s">
        <v>4787</v>
      </c>
      <c r="C7766" s="26" t="n">
        <v>46249</v>
      </c>
      <c r="D7766" s="6" t="s">
        <v>5160</v>
      </c>
      <c r="E7766" s="6" t="s">
        <v>21</v>
      </c>
      <c r="F7766" s="6" t="n">
        <v>1</v>
      </c>
      <c r="G7766" s="10" t="n">
        <v>2476</v>
      </c>
      <c r="H7766" s="10" t="n">
        <f aca="false">F7766*G7766</f>
        <v>2476</v>
      </c>
      <c r="I7766" s="6" t="s">
        <v>5148</v>
      </c>
    </row>
    <row r="7767" customFormat="false" ht="15" hidden="false" customHeight="false" outlineLevel="0" collapsed="false">
      <c r="A7767" s="6" t="s">
        <v>12991</v>
      </c>
      <c r="B7767" s="6" t="s">
        <v>725</v>
      </c>
      <c r="C7767" s="26" t="n">
        <v>46249</v>
      </c>
      <c r="D7767" s="6" t="s">
        <v>5163</v>
      </c>
      <c r="E7767" s="6" t="s">
        <v>23</v>
      </c>
      <c r="F7767" s="6" t="n">
        <v>4</v>
      </c>
      <c r="G7767" s="10" t="n">
        <v>783</v>
      </c>
      <c r="H7767" s="10" t="n">
        <f aca="false">F7767*G7767</f>
        <v>3132</v>
      </c>
      <c r="I7767" s="6" t="s">
        <v>5133</v>
      </c>
    </row>
    <row r="7768" customFormat="false" ht="15" hidden="false" customHeight="false" outlineLevel="0" collapsed="false">
      <c r="A7768" s="6" t="s">
        <v>12992</v>
      </c>
      <c r="B7768" s="6" t="s">
        <v>5035</v>
      </c>
      <c r="C7768" s="26" t="n">
        <v>46249</v>
      </c>
      <c r="D7768" s="6" t="s">
        <v>5145</v>
      </c>
      <c r="E7768" s="6" t="s">
        <v>21</v>
      </c>
      <c r="F7768" s="6" t="n">
        <v>1</v>
      </c>
      <c r="G7768" s="10" t="n">
        <v>1277</v>
      </c>
      <c r="H7768" s="10" t="n">
        <f aca="false">F7768*G7768</f>
        <v>1277</v>
      </c>
      <c r="I7768" s="6" t="s">
        <v>5130</v>
      </c>
    </row>
    <row r="7769" customFormat="false" ht="15" hidden="false" customHeight="false" outlineLevel="0" collapsed="false">
      <c r="A7769" s="6" t="s">
        <v>12993</v>
      </c>
      <c r="B7769" s="6" t="s">
        <v>3195</v>
      </c>
      <c r="C7769" s="26" t="n">
        <v>46249</v>
      </c>
      <c r="D7769" s="6" t="s">
        <v>5410</v>
      </c>
      <c r="E7769" s="6" t="s">
        <v>20</v>
      </c>
      <c r="F7769" s="6" t="n">
        <v>1</v>
      </c>
      <c r="G7769" s="10" t="n">
        <v>2548</v>
      </c>
      <c r="H7769" s="10" t="n">
        <f aca="false">F7769*G7769</f>
        <v>2548</v>
      </c>
      <c r="I7769" s="6" t="s">
        <v>5133</v>
      </c>
    </row>
    <row r="7770" customFormat="false" ht="15" hidden="false" customHeight="false" outlineLevel="0" collapsed="false">
      <c r="A7770" s="6" t="s">
        <v>12994</v>
      </c>
      <c r="B7770" s="6" t="s">
        <v>1137</v>
      </c>
      <c r="C7770" s="26" t="n">
        <v>46249</v>
      </c>
      <c r="D7770" s="6" t="s">
        <v>5242</v>
      </c>
      <c r="E7770" s="6" t="s">
        <v>23</v>
      </c>
      <c r="F7770" s="6" t="n">
        <v>5</v>
      </c>
      <c r="G7770" s="10" t="n">
        <v>372</v>
      </c>
      <c r="H7770" s="10" t="n">
        <f aca="false">F7770*G7770</f>
        <v>1860</v>
      </c>
      <c r="I7770" s="6" t="s">
        <v>5130</v>
      </c>
    </row>
    <row r="7771" customFormat="false" ht="15" hidden="false" customHeight="false" outlineLevel="0" collapsed="false">
      <c r="A7771" s="6" t="s">
        <v>12995</v>
      </c>
      <c r="B7771" s="6" t="s">
        <v>396</v>
      </c>
      <c r="C7771" s="26" t="n">
        <v>46249</v>
      </c>
      <c r="D7771" s="6" t="s">
        <v>5135</v>
      </c>
      <c r="E7771" s="6" t="s">
        <v>23</v>
      </c>
      <c r="F7771" s="6" t="n">
        <v>4</v>
      </c>
      <c r="G7771" s="10" t="n">
        <v>419</v>
      </c>
      <c r="H7771" s="10" t="n">
        <f aca="false">F7771*G7771</f>
        <v>1676</v>
      </c>
      <c r="I7771" s="6" t="s">
        <v>5130</v>
      </c>
    </row>
    <row r="7772" customFormat="false" ht="15" hidden="false" customHeight="false" outlineLevel="0" collapsed="false">
      <c r="A7772" s="6" t="s">
        <v>12996</v>
      </c>
      <c r="B7772" s="6" t="s">
        <v>3539</v>
      </c>
      <c r="C7772" s="26" t="n">
        <v>46249</v>
      </c>
      <c r="D7772" s="6" t="s">
        <v>5167</v>
      </c>
      <c r="E7772" s="6" t="s">
        <v>22</v>
      </c>
      <c r="F7772" s="6" t="n">
        <v>1</v>
      </c>
      <c r="G7772" s="10" t="n">
        <v>782</v>
      </c>
      <c r="H7772" s="10" t="n">
        <f aca="false">F7772*G7772</f>
        <v>782</v>
      </c>
      <c r="I7772" s="6" t="s">
        <v>5122</v>
      </c>
    </row>
    <row r="7773" customFormat="false" ht="15" hidden="false" customHeight="false" outlineLevel="0" collapsed="false">
      <c r="A7773" s="6" t="s">
        <v>12997</v>
      </c>
      <c r="B7773" s="6" t="s">
        <v>1523</v>
      </c>
      <c r="C7773" s="26" t="n">
        <v>46249</v>
      </c>
      <c r="D7773" s="6" t="s">
        <v>5165</v>
      </c>
      <c r="E7773" s="6" t="s">
        <v>22</v>
      </c>
      <c r="F7773" s="6" t="n">
        <v>3</v>
      </c>
      <c r="G7773" s="10" t="n">
        <v>977</v>
      </c>
      <c r="H7773" s="10" t="n">
        <f aca="false">F7773*G7773</f>
        <v>2931</v>
      </c>
      <c r="I7773" s="6" t="s">
        <v>5130</v>
      </c>
    </row>
    <row r="7774" customFormat="false" ht="15" hidden="false" customHeight="false" outlineLevel="0" collapsed="false">
      <c r="A7774" s="6" t="s">
        <v>12998</v>
      </c>
      <c r="B7774" s="6" t="s">
        <v>559</v>
      </c>
      <c r="C7774" s="26" t="n">
        <v>46249</v>
      </c>
      <c r="D7774" s="6" t="s">
        <v>5218</v>
      </c>
      <c r="E7774" s="6" t="s">
        <v>23</v>
      </c>
      <c r="F7774" s="6" t="n">
        <v>3</v>
      </c>
      <c r="G7774" s="10" t="n">
        <v>165</v>
      </c>
      <c r="H7774" s="10" t="n">
        <f aca="false">F7774*G7774</f>
        <v>495</v>
      </c>
      <c r="I7774" s="6" t="s">
        <v>5125</v>
      </c>
    </row>
    <row r="7775" customFormat="false" ht="15" hidden="false" customHeight="false" outlineLevel="0" collapsed="false">
      <c r="A7775" s="6" t="s">
        <v>12999</v>
      </c>
      <c r="B7775" s="6" t="s">
        <v>265</v>
      </c>
      <c r="C7775" s="26" t="n">
        <v>46249</v>
      </c>
      <c r="D7775" s="6" t="s">
        <v>5163</v>
      </c>
      <c r="E7775" s="6" t="s">
        <v>23</v>
      </c>
      <c r="F7775" s="6" t="n">
        <v>2</v>
      </c>
      <c r="G7775" s="10" t="n">
        <v>783</v>
      </c>
      <c r="H7775" s="10" t="n">
        <f aca="false">F7775*G7775</f>
        <v>1566</v>
      </c>
      <c r="I7775" s="6" t="s">
        <v>5122</v>
      </c>
    </row>
    <row r="7776" customFormat="false" ht="15" hidden="false" customHeight="false" outlineLevel="0" collapsed="false">
      <c r="A7776" s="6" t="s">
        <v>13000</v>
      </c>
      <c r="B7776" s="6" t="s">
        <v>1335</v>
      </c>
      <c r="C7776" s="26" t="n">
        <v>46249</v>
      </c>
      <c r="D7776" s="6" t="s">
        <v>5188</v>
      </c>
      <c r="E7776" s="6" t="s">
        <v>24</v>
      </c>
      <c r="F7776" s="6" t="n">
        <v>2</v>
      </c>
      <c r="G7776" s="10" t="n">
        <v>1018</v>
      </c>
      <c r="H7776" s="10" t="n">
        <f aca="false">F7776*G7776</f>
        <v>2036</v>
      </c>
      <c r="I7776" s="6" t="s">
        <v>5122</v>
      </c>
    </row>
    <row r="7777" customFormat="false" ht="15" hidden="false" customHeight="false" outlineLevel="0" collapsed="false">
      <c r="A7777" s="6" t="s">
        <v>13001</v>
      </c>
      <c r="B7777" s="6" t="s">
        <v>5073</v>
      </c>
      <c r="C7777" s="26" t="n">
        <v>46249</v>
      </c>
      <c r="D7777" s="6" t="s">
        <v>5163</v>
      </c>
      <c r="E7777" s="6" t="s">
        <v>23</v>
      </c>
      <c r="F7777" s="6" t="n">
        <v>2</v>
      </c>
      <c r="G7777" s="10" t="n">
        <v>783</v>
      </c>
      <c r="H7777" s="10" t="n">
        <f aca="false">F7777*G7777</f>
        <v>1566</v>
      </c>
      <c r="I7777" s="6" t="s">
        <v>5122</v>
      </c>
    </row>
    <row r="7778" customFormat="false" ht="15" hidden="false" customHeight="false" outlineLevel="0" collapsed="false">
      <c r="A7778" s="6" t="s">
        <v>13002</v>
      </c>
      <c r="B7778" s="6" t="s">
        <v>1963</v>
      </c>
      <c r="C7778" s="26" t="n">
        <v>46249</v>
      </c>
      <c r="D7778" s="6" t="s">
        <v>5163</v>
      </c>
      <c r="E7778" s="6" t="s">
        <v>23</v>
      </c>
      <c r="F7778" s="6" t="n">
        <v>1</v>
      </c>
      <c r="G7778" s="10" t="n">
        <v>783</v>
      </c>
      <c r="H7778" s="10" t="n">
        <f aca="false">F7778*G7778</f>
        <v>783</v>
      </c>
      <c r="I7778" s="6" t="s">
        <v>5122</v>
      </c>
    </row>
    <row r="7779" customFormat="false" ht="15" hidden="false" customHeight="false" outlineLevel="0" collapsed="false">
      <c r="A7779" s="6" t="s">
        <v>13003</v>
      </c>
      <c r="B7779" s="6" t="s">
        <v>563</v>
      </c>
      <c r="C7779" s="26" t="n">
        <v>46249</v>
      </c>
      <c r="D7779" s="6" t="s">
        <v>5235</v>
      </c>
      <c r="E7779" s="6" t="s">
        <v>21</v>
      </c>
      <c r="F7779" s="6" t="n">
        <v>1</v>
      </c>
      <c r="G7779" s="10" t="n">
        <v>1503</v>
      </c>
      <c r="H7779" s="10" t="n">
        <f aca="false">F7779*G7779</f>
        <v>1503</v>
      </c>
      <c r="I7779" s="6" t="s">
        <v>5122</v>
      </c>
    </row>
    <row r="7780" customFormat="false" ht="15" hidden="false" customHeight="false" outlineLevel="0" collapsed="false">
      <c r="A7780" s="6" t="s">
        <v>13004</v>
      </c>
      <c r="B7780" s="6" t="s">
        <v>801</v>
      </c>
      <c r="C7780" s="26" t="n">
        <v>46249</v>
      </c>
      <c r="D7780" s="6" t="s">
        <v>5165</v>
      </c>
      <c r="E7780" s="6" t="s">
        <v>22</v>
      </c>
      <c r="F7780" s="6" t="n">
        <v>1</v>
      </c>
      <c r="G7780" s="10" t="n">
        <v>977</v>
      </c>
      <c r="H7780" s="10" t="n">
        <f aca="false">F7780*G7780</f>
        <v>977</v>
      </c>
      <c r="I7780" s="6" t="s">
        <v>5173</v>
      </c>
    </row>
    <row r="7781" customFormat="false" ht="15" hidden="false" customHeight="false" outlineLevel="0" collapsed="false">
      <c r="A7781" s="6" t="s">
        <v>13005</v>
      </c>
      <c r="B7781" s="6" t="s">
        <v>1121</v>
      </c>
      <c r="C7781" s="26" t="n">
        <v>46249</v>
      </c>
      <c r="D7781" s="6" t="s">
        <v>5561</v>
      </c>
      <c r="E7781" s="6" t="s">
        <v>20</v>
      </c>
      <c r="F7781" s="6" t="n">
        <v>1</v>
      </c>
      <c r="G7781" s="10" t="n">
        <v>3364</v>
      </c>
      <c r="H7781" s="10" t="n">
        <f aca="false">F7781*G7781</f>
        <v>3364</v>
      </c>
      <c r="I7781" s="6" t="s">
        <v>5130</v>
      </c>
    </row>
    <row r="7782" customFormat="false" ht="15" hidden="false" customHeight="false" outlineLevel="0" collapsed="false">
      <c r="A7782" s="6" t="s">
        <v>13006</v>
      </c>
      <c r="B7782" s="6" t="s">
        <v>227</v>
      </c>
      <c r="C7782" s="26" t="n">
        <v>46249</v>
      </c>
      <c r="D7782" s="6" t="s">
        <v>5167</v>
      </c>
      <c r="E7782" s="6" t="s">
        <v>22</v>
      </c>
      <c r="F7782" s="6" t="n">
        <v>2</v>
      </c>
      <c r="G7782" s="10" t="n">
        <v>782</v>
      </c>
      <c r="H7782" s="10" t="n">
        <f aca="false">F7782*G7782</f>
        <v>1564</v>
      </c>
      <c r="I7782" s="6" t="s">
        <v>5125</v>
      </c>
    </row>
    <row r="7783" customFormat="false" ht="15" hidden="false" customHeight="false" outlineLevel="0" collapsed="false">
      <c r="A7783" s="6" t="s">
        <v>13007</v>
      </c>
      <c r="B7783" s="6" t="s">
        <v>2109</v>
      </c>
      <c r="C7783" s="26" t="n">
        <v>46249</v>
      </c>
      <c r="D7783" s="6" t="s">
        <v>5641</v>
      </c>
      <c r="E7783" s="6" t="s">
        <v>22</v>
      </c>
      <c r="F7783" s="6" t="n">
        <v>3</v>
      </c>
      <c r="G7783" s="10" t="n">
        <v>2024</v>
      </c>
      <c r="H7783" s="10" t="n">
        <f aca="false">F7783*G7783</f>
        <v>6072</v>
      </c>
      <c r="I7783" s="6" t="s">
        <v>5122</v>
      </c>
    </row>
    <row r="7784" customFormat="false" ht="15" hidden="false" customHeight="false" outlineLevel="0" collapsed="false">
      <c r="A7784" s="6" t="s">
        <v>13008</v>
      </c>
      <c r="B7784" s="6" t="s">
        <v>1463</v>
      </c>
      <c r="C7784" s="26" t="n">
        <v>46249</v>
      </c>
      <c r="D7784" s="6" t="s">
        <v>5357</v>
      </c>
      <c r="E7784" s="6" t="s">
        <v>23</v>
      </c>
      <c r="F7784" s="6" t="n">
        <v>2</v>
      </c>
      <c r="G7784" s="10" t="n">
        <v>534</v>
      </c>
      <c r="H7784" s="10" t="n">
        <f aca="false">F7784*G7784</f>
        <v>1068</v>
      </c>
      <c r="I7784" s="6" t="s">
        <v>5130</v>
      </c>
    </row>
    <row r="7785" customFormat="false" ht="15" hidden="false" customHeight="false" outlineLevel="0" collapsed="false">
      <c r="A7785" s="6" t="s">
        <v>13009</v>
      </c>
      <c r="B7785" s="6" t="s">
        <v>3869</v>
      </c>
      <c r="C7785" s="26" t="n">
        <v>46249</v>
      </c>
      <c r="D7785" s="6" t="s">
        <v>5124</v>
      </c>
      <c r="E7785" s="6" t="s">
        <v>21</v>
      </c>
      <c r="F7785" s="6" t="n">
        <v>1</v>
      </c>
      <c r="G7785" s="10" t="n">
        <v>3439</v>
      </c>
      <c r="H7785" s="10" t="n">
        <f aca="false">F7785*G7785</f>
        <v>3439</v>
      </c>
      <c r="I7785" s="6" t="s">
        <v>5133</v>
      </c>
    </row>
    <row r="7786" customFormat="false" ht="15" hidden="false" customHeight="false" outlineLevel="0" collapsed="false">
      <c r="A7786" s="6" t="s">
        <v>13010</v>
      </c>
      <c r="B7786" s="6" t="s">
        <v>3835</v>
      </c>
      <c r="C7786" s="26" t="n">
        <v>46249</v>
      </c>
      <c r="D7786" s="6" t="s">
        <v>5167</v>
      </c>
      <c r="E7786" s="6" t="s">
        <v>22</v>
      </c>
      <c r="F7786" s="6" t="n">
        <v>3</v>
      </c>
      <c r="G7786" s="10" t="n">
        <v>703</v>
      </c>
      <c r="H7786" s="10" t="n">
        <f aca="false">F7786*G7786</f>
        <v>2109</v>
      </c>
      <c r="I7786" s="6" t="s">
        <v>5122</v>
      </c>
    </row>
    <row r="7787" customFormat="false" ht="15" hidden="false" customHeight="false" outlineLevel="0" collapsed="false">
      <c r="A7787" s="6" t="s">
        <v>13011</v>
      </c>
      <c r="B7787" s="6" t="s">
        <v>2865</v>
      </c>
      <c r="C7787" s="26" t="n">
        <v>46249</v>
      </c>
      <c r="D7787" s="6" t="s">
        <v>5182</v>
      </c>
      <c r="E7787" s="6" t="s">
        <v>23</v>
      </c>
      <c r="F7787" s="6" t="n">
        <v>2</v>
      </c>
      <c r="G7787" s="10" t="n">
        <v>349</v>
      </c>
      <c r="H7787" s="10" t="n">
        <f aca="false">F7787*G7787</f>
        <v>698</v>
      </c>
      <c r="I7787" s="6" t="s">
        <v>5148</v>
      </c>
    </row>
    <row r="7788" customFormat="false" ht="15" hidden="false" customHeight="false" outlineLevel="0" collapsed="false">
      <c r="A7788" s="6" t="s">
        <v>13012</v>
      </c>
      <c r="B7788" s="6" t="s">
        <v>174</v>
      </c>
      <c r="C7788" s="26" t="n">
        <v>46249</v>
      </c>
      <c r="D7788" s="6" t="s">
        <v>5152</v>
      </c>
      <c r="E7788" s="6" t="s">
        <v>22</v>
      </c>
      <c r="F7788" s="6" t="n">
        <v>3</v>
      </c>
      <c r="G7788" s="10" t="n">
        <v>1584</v>
      </c>
      <c r="H7788" s="10" t="n">
        <f aca="false">F7788*G7788</f>
        <v>4752</v>
      </c>
      <c r="I7788" s="6" t="s">
        <v>5122</v>
      </c>
    </row>
    <row r="7789" customFormat="false" ht="15" hidden="false" customHeight="false" outlineLevel="0" collapsed="false">
      <c r="A7789" s="6" t="s">
        <v>13013</v>
      </c>
      <c r="B7789" s="6" t="s">
        <v>4207</v>
      </c>
      <c r="C7789" s="26" t="n">
        <v>46249</v>
      </c>
      <c r="D7789" s="6" t="s">
        <v>5160</v>
      </c>
      <c r="E7789" s="6" t="s">
        <v>21</v>
      </c>
      <c r="F7789" s="6" t="n">
        <v>2</v>
      </c>
      <c r="G7789" s="10" t="n">
        <v>2751</v>
      </c>
      <c r="H7789" s="10" t="n">
        <f aca="false">F7789*G7789</f>
        <v>5502</v>
      </c>
      <c r="I7789" s="6" t="s">
        <v>5122</v>
      </c>
    </row>
    <row r="7790" customFormat="false" ht="15" hidden="false" customHeight="false" outlineLevel="0" collapsed="false">
      <c r="A7790" s="6" t="s">
        <v>13014</v>
      </c>
      <c r="B7790" s="6" t="s">
        <v>5027</v>
      </c>
      <c r="C7790" s="26" t="n">
        <v>46249</v>
      </c>
      <c r="D7790" s="6" t="s">
        <v>5121</v>
      </c>
      <c r="E7790" s="6" t="s">
        <v>22</v>
      </c>
      <c r="F7790" s="6" t="n">
        <v>1</v>
      </c>
      <c r="G7790" s="10" t="n">
        <v>976</v>
      </c>
      <c r="H7790" s="10" t="n">
        <f aca="false">F7790*G7790</f>
        <v>976</v>
      </c>
      <c r="I7790" s="6" t="s">
        <v>5122</v>
      </c>
    </row>
    <row r="7791" customFormat="false" ht="15" hidden="false" customHeight="false" outlineLevel="0" collapsed="false">
      <c r="A7791" s="6" t="s">
        <v>13015</v>
      </c>
      <c r="B7791" s="6" t="s">
        <v>931</v>
      </c>
      <c r="C7791" s="26" t="n">
        <v>46250</v>
      </c>
      <c r="D7791" s="6" t="s">
        <v>5357</v>
      </c>
      <c r="E7791" s="6" t="s">
        <v>23</v>
      </c>
      <c r="F7791" s="6" t="n">
        <v>4</v>
      </c>
      <c r="G7791" s="10" t="n">
        <v>481</v>
      </c>
      <c r="H7791" s="10" t="n">
        <f aca="false">F7791*G7791</f>
        <v>1924</v>
      </c>
      <c r="I7791" s="6" t="s">
        <v>5130</v>
      </c>
    </row>
    <row r="7792" customFormat="false" ht="15" hidden="false" customHeight="false" outlineLevel="0" collapsed="false">
      <c r="A7792" s="6" t="s">
        <v>13016</v>
      </c>
      <c r="B7792" s="6" t="s">
        <v>4415</v>
      </c>
      <c r="C7792" s="26" t="n">
        <v>46250</v>
      </c>
      <c r="D7792" s="6" t="s">
        <v>5156</v>
      </c>
      <c r="E7792" s="6" t="s">
        <v>21</v>
      </c>
      <c r="F7792" s="6" t="n">
        <v>2</v>
      </c>
      <c r="G7792" s="10" t="n">
        <v>1945</v>
      </c>
      <c r="H7792" s="10" t="n">
        <f aca="false">F7792*G7792</f>
        <v>3890</v>
      </c>
      <c r="I7792" s="6" t="s">
        <v>5148</v>
      </c>
    </row>
    <row r="7793" customFormat="false" ht="15" hidden="false" customHeight="false" outlineLevel="0" collapsed="false">
      <c r="A7793" s="6" t="s">
        <v>13017</v>
      </c>
      <c r="B7793" s="6" t="s">
        <v>1641</v>
      </c>
      <c r="C7793" s="26" t="n">
        <v>46250</v>
      </c>
      <c r="D7793" s="6" t="s">
        <v>5232</v>
      </c>
      <c r="E7793" s="6" t="s">
        <v>23</v>
      </c>
      <c r="F7793" s="6" t="n">
        <v>3</v>
      </c>
      <c r="G7793" s="10" t="n">
        <v>195</v>
      </c>
      <c r="H7793" s="10" t="n">
        <f aca="false">F7793*G7793</f>
        <v>585</v>
      </c>
      <c r="I7793" s="6" t="s">
        <v>5130</v>
      </c>
    </row>
    <row r="7794" customFormat="false" ht="15" hidden="false" customHeight="false" outlineLevel="0" collapsed="false">
      <c r="A7794" s="6" t="s">
        <v>13018</v>
      </c>
      <c r="B7794" s="6" t="s">
        <v>1503</v>
      </c>
      <c r="C7794" s="26" t="n">
        <v>46250</v>
      </c>
      <c r="D7794" s="6" t="s">
        <v>5129</v>
      </c>
      <c r="E7794" s="6" t="s">
        <v>21</v>
      </c>
      <c r="F7794" s="6" t="n">
        <v>1</v>
      </c>
      <c r="G7794" s="10" t="n">
        <v>589</v>
      </c>
      <c r="H7794" s="10" t="n">
        <f aca="false">F7794*G7794</f>
        <v>589</v>
      </c>
      <c r="I7794" s="6" t="s">
        <v>5148</v>
      </c>
    </row>
    <row r="7795" customFormat="false" ht="15" hidden="false" customHeight="false" outlineLevel="0" collapsed="false">
      <c r="A7795" s="6" t="s">
        <v>13019</v>
      </c>
      <c r="B7795" s="6" t="s">
        <v>3579</v>
      </c>
      <c r="C7795" s="26" t="n">
        <v>46250</v>
      </c>
      <c r="D7795" s="6" t="s">
        <v>5165</v>
      </c>
      <c r="E7795" s="6" t="s">
        <v>22</v>
      </c>
      <c r="F7795" s="6" t="n">
        <v>1</v>
      </c>
      <c r="G7795" s="10" t="n">
        <v>977</v>
      </c>
      <c r="H7795" s="10" t="n">
        <f aca="false">F7795*G7795</f>
        <v>977</v>
      </c>
      <c r="I7795" s="6" t="s">
        <v>5130</v>
      </c>
    </row>
    <row r="7796" customFormat="false" ht="15" hidden="false" customHeight="false" outlineLevel="0" collapsed="false">
      <c r="A7796" s="6" t="s">
        <v>13020</v>
      </c>
      <c r="B7796" s="6" t="s">
        <v>1785</v>
      </c>
      <c r="C7796" s="26" t="n">
        <v>46250</v>
      </c>
      <c r="D7796" s="6" t="s">
        <v>5171</v>
      </c>
      <c r="E7796" s="6" t="s">
        <v>23</v>
      </c>
      <c r="F7796" s="6" t="n">
        <v>2</v>
      </c>
      <c r="G7796" s="10" t="n">
        <v>734</v>
      </c>
      <c r="H7796" s="10" t="n">
        <f aca="false">F7796*G7796</f>
        <v>1468</v>
      </c>
      <c r="I7796" s="6" t="s">
        <v>5122</v>
      </c>
    </row>
    <row r="7797" customFormat="false" ht="15" hidden="false" customHeight="false" outlineLevel="0" collapsed="false">
      <c r="A7797" s="6" t="s">
        <v>13021</v>
      </c>
      <c r="B7797" s="6" t="s">
        <v>3861</v>
      </c>
      <c r="C7797" s="26" t="n">
        <v>46250</v>
      </c>
      <c r="D7797" s="6" t="s">
        <v>5171</v>
      </c>
      <c r="E7797" s="6" t="s">
        <v>23</v>
      </c>
      <c r="F7797" s="6" t="n">
        <v>2</v>
      </c>
      <c r="G7797" s="10" t="n">
        <v>734</v>
      </c>
      <c r="H7797" s="10" t="n">
        <f aca="false">F7797*G7797</f>
        <v>1468</v>
      </c>
      <c r="I7797" s="6" t="s">
        <v>5130</v>
      </c>
    </row>
    <row r="7798" customFormat="false" ht="15" hidden="false" customHeight="false" outlineLevel="0" collapsed="false">
      <c r="A7798" s="6" t="s">
        <v>13022</v>
      </c>
      <c r="B7798" s="6" t="s">
        <v>3163</v>
      </c>
      <c r="C7798" s="26" t="n">
        <v>46250</v>
      </c>
      <c r="D7798" s="6" t="s">
        <v>5466</v>
      </c>
      <c r="E7798" s="6" t="s">
        <v>21</v>
      </c>
      <c r="F7798" s="6" t="n">
        <v>1</v>
      </c>
      <c r="G7798" s="10" t="n">
        <v>1965</v>
      </c>
      <c r="H7798" s="10" t="n">
        <f aca="false">F7798*G7798</f>
        <v>1965</v>
      </c>
      <c r="I7798" s="6" t="s">
        <v>5148</v>
      </c>
    </row>
    <row r="7799" customFormat="false" ht="15" hidden="false" customHeight="false" outlineLevel="0" collapsed="false">
      <c r="A7799" s="6" t="s">
        <v>13023</v>
      </c>
      <c r="B7799" s="6" t="s">
        <v>2365</v>
      </c>
      <c r="C7799" s="26" t="n">
        <v>46250</v>
      </c>
      <c r="D7799" s="6" t="s">
        <v>5224</v>
      </c>
      <c r="E7799" s="6" t="s">
        <v>23</v>
      </c>
      <c r="F7799" s="6" t="n">
        <v>2</v>
      </c>
      <c r="G7799" s="10" t="n">
        <v>195</v>
      </c>
      <c r="H7799" s="10" t="n">
        <f aca="false">F7799*G7799</f>
        <v>390</v>
      </c>
      <c r="I7799" s="6" t="s">
        <v>5148</v>
      </c>
    </row>
    <row r="7800" customFormat="false" ht="15" hidden="false" customHeight="false" outlineLevel="0" collapsed="false">
      <c r="A7800" s="6" t="s">
        <v>13024</v>
      </c>
      <c r="B7800" s="6" t="s">
        <v>3705</v>
      </c>
      <c r="C7800" s="26" t="n">
        <v>46250</v>
      </c>
      <c r="D7800" s="6" t="s">
        <v>5200</v>
      </c>
      <c r="E7800" s="6" t="s">
        <v>24</v>
      </c>
      <c r="F7800" s="6" t="n">
        <v>1</v>
      </c>
      <c r="G7800" s="10" t="n">
        <v>763</v>
      </c>
      <c r="H7800" s="10" t="n">
        <f aca="false">F7800*G7800</f>
        <v>763</v>
      </c>
      <c r="I7800" s="6" t="s">
        <v>5125</v>
      </c>
    </row>
    <row r="7801" customFormat="false" ht="15" hidden="false" customHeight="false" outlineLevel="0" collapsed="false">
      <c r="A7801" s="6" t="s">
        <v>13025</v>
      </c>
      <c r="B7801" s="6" t="s">
        <v>4803</v>
      </c>
      <c r="C7801" s="26" t="n">
        <v>46250</v>
      </c>
      <c r="D7801" s="6" t="s">
        <v>5226</v>
      </c>
      <c r="E7801" s="6" t="s">
        <v>24</v>
      </c>
      <c r="F7801" s="6" t="n">
        <v>1</v>
      </c>
      <c r="G7801" s="10" t="n">
        <v>457</v>
      </c>
      <c r="H7801" s="10" t="n">
        <f aca="false">F7801*G7801</f>
        <v>457</v>
      </c>
      <c r="I7801" s="6" t="s">
        <v>5130</v>
      </c>
    </row>
    <row r="7802" customFormat="false" ht="15" hidden="false" customHeight="false" outlineLevel="0" collapsed="false">
      <c r="A7802" s="6" t="s">
        <v>13026</v>
      </c>
      <c r="B7802" s="6" t="s">
        <v>2509</v>
      </c>
      <c r="C7802" s="26" t="n">
        <v>46250</v>
      </c>
      <c r="D7802" s="6" t="s">
        <v>5749</v>
      </c>
      <c r="E7802" s="6" t="s">
        <v>20</v>
      </c>
      <c r="F7802" s="6" t="n">
        <v>1</v>
      </c>
      <c r="G7802" s="10" t="n">
        <v>815</v>
      </c>
      <c r="H7802" s="10" t="n">
        <f aca="false">F7802*G7802</f>
        <v>815</v>
      </c>
      <c r="I7802" s="6" t="s">
        <v>5148</v>
      </c>
    </row>
    <row r="7803" customFormat="false" ht="15" hidden="false" customHeight="false" outlineLevel="0" collapsed="false">
      <c r="A7803" s="6" t="s">
        <v>13027</v>
      </c>
      <c r="B7803" s="6" t="s">
        <v>1419</v>
      </c>
      <c r="C7803" s="26" t="n">
        <v>46250</v>
      </c>
      <c r="D7803" s="6" t="s">
        <v>5163</v>
      </c>
      <c r="E7803" s="6" t="s">
        <v>23</v>
      </c>
      <c r="F7803" s="6" t="n">
        <v>3</v>
      </c>
      <c r="G7803" s="10" t="n">
        <v>783</v>
      </c>
      <c r="H7803" s="10" t="n">
        <f aca="false">F7803*G7803</f>
        <v>2349</v>
      </c>
      <c r="I7803" s="6" t="s">
        <v>5125</v>
      </c>
    </row>
    <row r="7804" customFormat="false" ht="15" hidden="false" customHeight="false" outlineLevel="0" collapsed="false">
      <c r="A7804" s="6" t="s">
        <v>13028</v>
      </c>
      <c r="B7804" s="6" t="s">
        <v>3481</v>
      </c>
      <c r="C7804" s="26" t="n">
        <v>46250</v>
      </c>
      <c r="D7804" s="6" t="s">
        <v>5121</v>
      </c>
      <c r="E7804" s="6" t="s">
        <v>22</v>
      </c>
      <c r="F7804" s="6" t="n">
        <v>1</v>
      </c>
      <c r="G7804" s="10" t="n">
        <v>977</v>
      </c>
      <c r="H7804" s="10" t="n">
        <f aca="false">F7804*G7804</f>
        <v>977</v>
      </c>
      <c r="I7804" s="6" t="s">
        <v>5133</v>
      </c>
    </row>
    <row r="7805" customFormat="false" ht="15" hidden="false" customHeight="false" outlineLevel="0" collapsed="false">
      <c r="A7805" s="6" t="s">
        <v>13029</v>
      </c>
      <c r="B7805" s="6" t="s">
        <v>3275</v>
      </c>
      <c r="C7805" s="26" t="n">
        <v>46250</v>
      </c>
      <c r="D7805" s="6" t="s">
        <v>5124</v>
      </c>
      <c r="E7805" s="6" t="s">
        <v>21</v>
      </c>
      <c r="F7805" s="6" t="n">
        <v>1</v>
      </c>
      <c r="G7805" s="10" t="n">
        <v>3439</v>
      </c>
      <c r="H7805" s="10" t="n">
        <f aca="false">F7805*G7805</f>
        <v>3439</v>
      </c>
      <c r="I7805" s="6" t="s">
        <v>5130</v>
      </c>
    </row>
    <row r="7806" customFormat="false" ht="15" hidden="false" customHeight="false" outlineLevel="0" collapsed="false">
      <c r="A7806" s="6" t="s">
        <v>13030</v>
      </c>
      <c r="B7806" s="6" t="s">
        <v>3131</v>
      </c>
      <c r="C7806" s="26" t="n">
        <v>46250</v>
      </c>
      <c r="D7806" s="6" t="s">
        <v>5139</v>
      </c>
      <c r="E7806" s="6" t="s">
        <v>23</v>
      </c>
      <c r="F7806" s="6" t="n">
        <v>3</v>
      </c>
      <c r="G7806" s="10" t="n">
        <v>279</v>
      </c>
      <c r="H7806" s="10" t="n">
        <f aca="false">F7806*G7806</f>
        <v>837</v>
      </c>
      <c r="I7806" s="6" t="s">
        <v>5122</v>
      </c>
    </row>
    <row r="7807" customFormat="false" ht="15" hidden="false" customHeight="false" outlineLevel="0" collapsed="false">
      <c r="A7807" s="6" t="s">
        <v>13031</v>
      </c>
      <c r="B7807" s="6" t="s">
        <v>4227</v>
      </c>
      <c r="C7807" s="26" t="n">
        <v>46250</v>
      </c>
      <c r="D7807" s="6" t="s">
        <v>5316</v>
      </c>
      <c r="E7807" s="6" t="s">
        <v>23</v>
      </c>
      <c r="F7807" s="6" t="n">
        <v>1</v>
      </c>
      <c r="G7807" s="10" t="n">
        <v>260</v>
      </c>
      <c r="H7807" s="10" t="n">
        <f aca="false">F7807*G7807</f>
        <v>260</v>
      </c>
      <c r="I7807" s="6" t="s">
        <v>5148</v>
      </c>
    </row>
    <row r="7808" customFormat="false" ht="15" hidden="false" customHeight="false" outlineLevel="0" collapsed="false">
      <c r="A7808" s="6" t="s">
        <v>13032</v>
      </c>
      <c r="B7808" s="6" t="s">
        <v>4245</v>
      </c>
      <c r="C7808" s="26" t="n">
        <v>46250</v>
      </c>
      <c r="D7808" s="6" t="s">
        <v>5163</v>
      </c>
      <c r="E7808" s="6" t="s">
        <v>23</v>
      </c>
      <c r="F7808" s="6" t="n">
        <v>3</v>
      </c>
      <c r="G7808" s="10" t="n">
        <v>783</v>
      </c>
      <c r="H7808" s="10" t="n">
        <f aca="false">F7808*G7808</f>
        <v>2349</v>
      </c>
      <c r="I7808" s="6" t="s">
        <v>5148</v>
      </c>
    </row>
    <row r="7809" customFormat="false" ht="15" hidden="false" customHeight="false" outlineLevel="0" collapsed="false">
      <c r="A7809" s="6" t="s">
        <v>13033</v>
      </c>
      <c r="B7809" s="6" t="s">
        <v>2099</v>
      </c>
      <c r="C7809" s="26" t="n">
        <v>46250</v>
      </c>
      <c r="D7809" s="6" t="s">
        <v>5269</v>
      </c>
      <c r="E7809" s="6" t="s">
        <v>22</v>
      </c>
      <c r="F7809" s="6" t="n">
        <v>1</v>
      </c>
      <c r="G7809" s="10" t="n">
        <v>1271</v>
      </c>
      <c r="H7809" s="10" t="n">
        <f aca="false">F7809*G7809</f>
        <v>1271</v>
      </c>
      <c r="I7809" s="6" t="s">
        <v>5148</v>
      </c>
    </row>
    <row r="7810" customFormat="false" ht="15" hidden="false" customHeight="false" outlineLevel="0" collapsed="false">
      <c r="A7810" s="6" t="s">
        <v>13034</v>
      </c>
      <c r="B7810" s="6" t="s">
        <v>4839</v>
      </c>
      <c r="C7810" s="26" t="n">
        <v>46250</v>
      </c>
      <c r="D7810" s="6" t="s">
        <v>5259</v>
      </c>
      <c r="E7810" s="6" t="s">
        <v>22</v>
      </c>
      <c r="F7810" s="6" t="n">
        <v>1</v>
      </c>
      <c r="G7810" s="10" t="n">
        <v>1564</v>
      </c>
      <c r="H7810" s="10" t="n">
        <f aca="false">F7810*G7810</f>
        <v>1564</v>
      </c>
      <c r="I7810" s="6" t="s">
        <v>5130</v>
      </c>
    </row>
    <row r="7811" customFormat="false" ht="15" hidden="false" customHeight="false" outlineLevel="0" collapsed="false">
      <c r="A7811" s="6" t="s">
        <v>13035</v>
      </c>
      <c r="B7811" s="6" t="s">
        <v>1663</v>
      </c>
      <c r="C7811" s="26" t="n">
        <v>46250</v>
      </c>
      <c r="D7811" s="6" t="s">
        <v>5345</v>
      </c>
      <c r="E7811" s="6" t="s">
        <v>23</v>
      </c>
      <c r="F7811" s="6" t="n">
        <v>1</v>
      </c>
      <c r="G7811" s="10" t="n">
        <v>435</v>
      </c>
      <c r="H7811" s="10" t="n">
        <f aca="false">F7811*G7811</f>
        <v>435</v>
      </c>
      <c r="I7811" s="6" t="s">
        <v>5125</v>
      </c>
    </row>
    <row r="7812" customFormat="false" ht="15" hidden="false" customHeight="false" outlineLevel="0" collapsed="false">
      <c r="A7812" s="6" t="s">
        <v>13036</v>
      </c>
      <c r="B7812" s="6" t="s">
        <v>4429</v>
      </c>
      <c r="C7812" s="26" t="n">
        <v>46250</v>
      </c>
      <c r="D7812" s="6" t="s">
        <v>5216</v>
      </c>
      <c r="E7812" s="6" t="s">
        <v>23</v>
      </c>
      <c r="F7812" s="6" t="n">
        <v>2</v>
      </c>
      <c r="G7812" s="10" t="n">
        <v>587</v>
      </c>
      <c r="H7812" s="10" t="n">
        <f aca="false">F7812*G7812</f>
        <v>1174</v>
      </c>
      <c r="I7812" s="6" t="s">
        <v>5133</v>
      </c>
    </row>
    <row r="7813" customFormat="false" ht="15" hidden="false" customHeight="false" outlineLevel="0" collapsed="false">
      <c r="A7813" s="6" t="s">
        <v>13037</v>
      </c>
      <c r="B7813" s="6" t="s">
        <v>2575</v>
      </c>
      <c r="C7813" s="26" t="n">
        <v>46250</v>
      </c>
      <c r="D7813" s="6" t="s">
        <v>5180</v>
      </c>
      <c r="E7813" s="6" t="s">
        <v>24</v>
      </c>
      <c r="F7813" s="6" t="n">
        <v>2</v>
      </c>
      <c r="G7813" s="10" t="n">
        <v>1788</v>
      </c>
      <c r="H7813" s="10" t="n">
        <f aca="false">F7813*G7813</f>
        <v>3576</v>
      </c>
      <c r="I7813" s="6" t="s">
        <v>5122</v>
      </c>
    </row>
    <row r="7814" customFormat="false" ht="15" hidden="false" customHeight="false" outlineLevel="0" collapsed="false">
      <c r="A7814" s="6" t="s">
        <v>13038</v>
      </c>
      <c r="B7814" s="6" t="s">
        <v>4911</v>
      </c>
      <c r="C7814" s="26" t="n">
        <v>46250</v>
      </c>
      <c r="D7814" s="6" t="s">
        <v>5245</v>
      </c>
      <c r="E7814" s="6" t="s">
        <v>21</v>
      </c>
      <c r="F7814" s="6" t="n">
        <v>1</v>
      </c>
      <c r="G7814" s="10" t="n">
        <v>2334</v>
      </c>
      <c r="H7814" s="10" t="n">
        <f aca="false">F7814*G7814</f>
        <v>2334</v>
      </c>
      <c r="I7814" s="6" t="s">
        <v>5122</v>
      </c>
    </row>
    <row r="7815" customFormat="false" ht="15" hidden="false" customHeight="false" outlineLevel="0" collapsed="false">
      <c r="A7815" s="6" t="s">
        <v>13039</v>
      </c>
      <c r="B7815" s="6" t="s">
        <v>1577</v>
      </c>
      <c r="C7815" s="26" t="n">
        <v>46250</v>
      </c>
      <c r="D7815" s="6" t="s">
        <v>5129</v>
      </c>
      <c r="E7815" s="6" t="s">
        <v>21</v>
      </c>
      <c r="F7815" s="6" t="n">
        <v>1</v>
      </c>
      <c r="G7815" s="10" t="n">
        <v>559</v>
      </c>
      <c r="H7815" s="10" t="n">
        <f aca="false">F7815*G7815</f>
        <v>559</v>
      </c>
      <c r="I7815" s="6" t="s">
        <v>5122</v>
      </c>
    </row>
    <row r="7816" customFormat="false" ht="15" hidden="false" customHeight="false" outlineLevel="0" collapsed="false">
      <c r="A7816" s="6" t="s">
        <v>13040</v>
      </c>
      <c r="B7816" s="6" t="s">
        <v>3143</v>
      </c>
      <c r="C7816" s="26" t="n">
        <v>46250</v>
      </c>
      <c r="D7816" s="6" t="s">
        <v>5156</v>
      </c>
      <c r="E7816" s="6" t="s">
        <v>21</v>
      </c>
      <c r="F7816" s="6" t="n">
        <v>1</v>
      </c>
      <c r="G7816" s="10" t="n">
        <v>2053</v>
      </c>
      <c r="H7816" s="10" t="n">
        <f aca="false">F7816*G7816</f>
        <v>2053</v>
      </c>
      <c r="I7816" s="6" t="s">
        <v>5130</v>
      </c>
    </row>
    <row r="7817" customFormat="false" ht="15" hidden="false" customHeight="false" outlineLevel="0" collapsed="false">
      <c r="A7817" s="6" t="s">
        <v>13041</v>
      </c>
      <c r="B7817" s="6" t="s">
        <v>765</v>
      </c>
      <c r="C7817" s="26" t="n">
        <v>46250</v>
      </c>
      <c r="D7817" s="6" t="s">
        <v>5145</v>
      </c>
      <c r="E7817" s="6" t="s">
        <v>21</v>
      </c>
      <c r="F7817" s="6" t="n">
        <v>2</v>
      </c>
      <c r="G7817" s="10" t="n">
        <v>1277</v>
      </c>
      <c r="H7817" s="10" t="n">
        <f aca="false">F7817*G7817</f>
        <v>2554</v>
      </c>
      <c r="I7817" s="6" t="s">
        <v>5122</v>
      </c>
    </row>
    <row r="7818" customFormat="false" ht="15" hidden="false" customHeight="false" outlineLevel="0" collapsed="false">
      <c r="A7818" s="6" t="s">
        <v>13042</v>
      </c>
      <c r="B7818" s="6" t="s">
        <v>4615</v>
      </c>
      <c r="C7818" s="26" t="n">
        <v>46250</v>
      </c>
      <c r="D7818" s="6" t="s">
        <v>5185</v>
      </c>
      <c r="E7818" s="6" t="s">
        <v>24</v>
      </c>
      <c r="F7818" s="6" t="n">
        <v>1</v>
      </c>
      <c r="G7818" s="10" t="n">
        <v>2140</v>
      </c>
      <c r="H7818" s="10" t="n">
        <f aca="false">F7818*G7818</f>
        <v>2140</v>
      </c>
      <c r="I7818" s="6" t="s">
        <v>5148</v>
      </c>
    </row>
    <row r="7819" customFormat="false" ht="15" hidden="false" customHeight="false" outlineLevel="0" collapsed="false">
      <c r="A7819" s="6" t="s">
        <v>13043</v>
      </c>
      <c r="B7819" s="6" t="s">
        <v>1257</v>
      </c>
      <c r="C7819" s="26" t="n">
        <v>46250</v>
      </c>
      <c r="D7819" s="6" t="s">
        <v>5156</v>
      </c>
      <c r="E7819" s="6" t="s">
        <v>21</v>
      </c>
      <c r="F7819" s="6" t="n">
        <v>2</v>
      </c>
      <c r="G7819" s="10" t="n">
        <v>2161</v>
      </c>
      <c r="H7819" s="10" t="n">
        <f aca="false">F7819*G7819</f>
        <v>4322</v>
      </c>
      <c r="I7819" s="6" t="s">
        <v>5130</v>
      </c>
    </row>
    <row r="7820" customFormat="false" ht="15" hidden="false" customHeight="false" outlineLevel="0" collapsed="false">
      <c r="A7820" s="6" t="s">
        <v>13044</v>
      </c>
      <c r="B7820" s="6" t="s">
        <v>332</v>
      </c>
      <c r="C7820" s="26" t="n">
        <v>46250</v>
      </c>
      <c r="D7820" s="6" t="s">
        <v>5305</v>
      </c>
      <c r="E7820" s="6" t="s">
        <v>20</v>
      </c>
      <c r="F7820" s="6" t="n">
        <v>1</v>
      </c>
      <c r="G7820" s="10" t="n">
        <v>1549</v>
      </c>
      <c r="H7820" s="10" t="n">
        <f aca="false">F7820*G7820</f>
        <v>1549</v>
      </c>
      <c r="I7820" s="6" t="s">
        <v>5148</v>
      </c>
    </row>
    <row r="7821" customFormat="false" ht="15" hidden="false" customHeight="false" outlineLevel="0" collapsed="false">
      <c r="A7821" s="6" t="s">
        <v>13045</v>
      </c>
      <c r="B7821" s="6" t="s">
        <v>2381</v>
      </c>
      <c r="C7821" s="26" t="n">
        <v>46250</v>
      </c>
      <c r="D7821" s="6" t="s">
        <v>5232</v>
      </c>
      <c r="E7821" s="6" t="s">
        <v>23</v>
      </c>
      <c r="F7821" s="6" t="n">
        <v>5</v>
      </c>
      <c r="G7821" s="10" t="n">
        <v>195</v>
      </c>
      <c r="H7821" s="10" t="n">
        <f aca="false">F7821*G7821</f>
        <v>975</v>
      </c>
      <c r="I7821" s="6" t="s">
        <v>5130</v>
      </c>
    </row>
    <row r="7822" customFormat="false" ht="15" hidden="false" customHeight="false" outlineLevel="0" collapsed="false">
      <c r="A7822" s="6" t="s">
        <v>13046</v>
      </c>
      <c r="B7822" s="6" t="s">
        <v>1919</v>
      </c>
      <c r="C7822" s="26" t="n">
        <v>46250</v>
      </c>
      <c r="D7822" s="6" t="s">
        <v>5171</v>
      </c>
      <c r="E7822" s="6" t="s">
        <v>23</v>
      </c>
      <c r="F7822" s="6" t="n">
        <v>2</v>
      </c>
      <c r="G7822" s="10" t="n">
        <v>697</v>
      </c>
      <c r="H7822" s="10" t="n">
        <f aca="false">F7822*G7822</f>
        <v>1394</v>
      </c>
      <c r="I7822" s="6" t="s">
        <v>5122</v>
      </c>
    </row>
    <row r="7823" customFormat="false" ht="15" hidden="false" customHeight="false" outlineLevel="0" collapsed="false">
      <c r="A7823" s="6" t="s">
        <v>13047</v>
      </c>
      <c r="B7823" s="6" t="s">
        <v>1753</v>
      </c>
      <c r="C7823" s="26" t="n">
        <v>46250</v>
      </c>
      <c r="D7823" s="6" t="s">
        <v>5316</v>
      </c>
      <c r="E7823" s="6" t="s">
        <v>23</v>
      </c>
      <c r="F7823" s="6" t="n">
        <v>1</v>
      </c>
      <c r="G7823" s="10" t="n">
        <v>247</v>
      </c>
      <c r="H7823" s="10" t="n">
        <f aca="false">F7823*G7823</f>
        <v>247</v>
      </c>
      <c r="I7823" s="6" t="s">
        <v>5130</v>
      </c>
    </row>
    <row r="7824" customFormat="false" ht="15" hidden="false" customHeight="false" outlineLevel="0" collapsed="false">
      <c r="A7824" s="6" t="s">
        <v>13048</v>
      </c>
      <c r="B7824" s="6" t="s">
        <v>2499</v>
      </c>
      <c r="C7824" s="26" t="n">
        <v>46250</v>
      </c>
      <c r="D7824" s="6" t="s">
        <v>5488</v>
      </c>
      <c r="E7824" s="6" t="s">
        <v>24</v>
      </c>
      <c r="F7824" s="6" t="n">
        <v>1</v>
      </c>
      <c r="G7824" s="10" t="n">
        <v>867</v>
      </c>
      <c r="H7824" s="10" t="n">
        <f aca="false">F7824*G7824</f>
        <v>867</v>
      </c>
      <c r="I7824" s="6" t="s">
        <v>5125</v>
      </c>
    </row>
    <row r="7825" customFormat="false" ht="15" hidden="false" customHeight="false" outlineLevel="0" collapsed="false">
      <c r="A7825" s="6" t="s">
        <v>13049</v>
      </c>
      <c r="B7825" s="6" t="s">
        <v>3087</v>
      </c>
      <c r="C7825" s="26" t="n">
        <v>46250</v>
      </c>
      <c r="D7825" s="6" t="s">
        <v>5171</v>
      </c>
      <c r="E7825" s="6" t="s">
        <v>23</v>
      </c>
      <c r="F7825" s="6" t="n">
        <v>4</v>
      </c>
      <c r="G7825" s="10" t="n">
        <v>734</v>
      </c>
      <c r="H7825" s="10" t="n">
        <f aca="false">F7825*G7825</f>
        <v>2936</v>
      </c>
      <c r="I7825" s="6" t="s">
        <v>5148</v>
      </c>
    </row>
    <row r="7826" customFormat="false" ht="15" hidden="false" customHeight="false" outlineLevel="0" collapsed="false">
      <c r="A7826" s="6" t="s">
        <v>13050</v>
      </c>
      <c r="B7826" s="6" t="s">
        <v>2921</v>
      </c>
      <c r="C7826" s="26" t="n">
        <v>46250</v>
      </c>
      <c r="D7826" s="6" t="s">
        <v>5345</v>
      </c>
      <c r="E7826" s="6" t="s">
        <v>23</v>
      </c>
      <c r="F7826" s="6" t="n">
        <v>3</v>
      </c>
      <c r="G7826" s="10" t="n">
        <v>436</v>
      </c>
      <c r="H7826" s="10" t="n">
        <f aca="false">F7826*G7826</f>
        <v>1308</v>
      </c>
      <c r="I7826" s="6" t="s">
        <v>5130</v>
      </c>
    </row>
    <row r="7827" customFormat="false" ht="15" hidden="false" customHeight="false" outlineLevel="0" collapsed="false">
      <c r="A7827" s="6" t="s">
        <v>13051</v>
      </c>
      <c r="B7827" s="6" t="s">
        <v>2995</v>
      </c>
      <c r="C7827" s="26" t="n">
        <v>46250</v>
      </c>
      <c r="D7827" s="6" t="s">
        <v>5171</v>
      </c>
      <c r="E7827" s="6" t="s">
        <v>23</v>
      </c>
      <c r="F7827" s="6" t="n">
        <v>1</v>
      </c>
      <c r="G7827" s="10" t="n">
        <v>734</v>
      </c>
      <c r="H7827" s="10" t="n">
        <f aca="false">F7827*G7827</f>
        <v>734</v>
      </c>
      <c r="I7827" s="6" t="s">
        <v>5148</v>
      </c>
    </row>
    <row r="7828" customFormat="false" ht="15" hidden="false" customHeight="false" outlineLevel="0" collapsed="false">
      <c r="A7828" s="6" t="s">
        <v>13052</v>
      </c>
      <c r="B7828" s="6" t="s">
        <v>2269</v>
      </c>
      <c r="C7828" s="26" t="n">
        <v>46250</v>
      </c>
      <c r="D7828" s="6" t="s">
        <v>5163</v>
      </c>
      <c r="E7828" s="6" t="s">
        <v>23</v>
      </c>
      <c r="F7828" s="6" t="n">
        <v>5</v>
      </c>
      <c r="G7828" s="10" t="n">
        <v>783</v>
      </c>
      <c r="H7828" s="10" t="n">
        <f aca="false">F7828*G7828</f>
        <v>3915</v>
      </c>
      <c r="I7828" s="6" t="s">
        <v>5122</v>
      </c>
    </row>
    <row r="7829" customFormat="false" ht="15" hidden="false" customHeight="false" outlineLevel="0" collapsed="false">
      <c r="A7829" s="6" t="s">
        <v>13053</v>
      </c>
      <c r="B7829" s="6" t="s">
        <v>1037</v>
      </c>
      <c r="C7829" s="26" t="n">
        <v>46250</v>
      </c>
      <c r="D7829" s="6" t="s">
        <v>5423</v>
      </c>
      <c r="E7829" s="6" t="s">
        <v>21</v>
      </c>
      <c r="F7829" s="6" t="n">
        <v>2</v>
      </c>
      <c r="G7829" s="10" t="n">
        <v>3081</v>
      </c>
      <c r="H7829" s="10" t="n">
        <f aca="false">F7829*G7829</f>
        <v>6162</v>
      </c>
      <c r="I7829" s="6" t="s">
        <v>5173</v>
      </c>
    </row>
    <row r="7830" customFormat="false" ht="15" hidden="false" customHeight="false" outlineLevel="0" collapsed="false">
      <c r="A7830" s="6" t="s">
        <v>13054</v>
      </c>
      <c r="B7830" s="6" t="s">
        <v>2019</v>
      </c>
      <c r="C7830" s="26" t="n">
        <v>46250</v>
      </c>
      <c r="D7830" s="6" t="s">
        <v>5165</v>
      </c>
      <c r="E7830" s="6" t="s">
        <v>22</v>
      </c>
      <c r="F7830" s="6" t="n">
        <v>2</v>
      </c>
      <c r="G7830" s="10" t="n">
        <v>977</v>
      </c>
      <c r="H7830" s="10" t="n">
        <f aca="false">F7830*G7830</f>
        <v>1954</v>
      </c>
      <c r="I7830" s="6" t="s">
        <v>5130</v>
      </c>
    </row>
    <row r="7831" customFormat="false" ht="15" hidden="false" customHeight="false" outlineLevel="0" collapsed="false">
      <c r="A7831" s="6" t="s">
        <v>13055</v>
      </c>
      <c r="B7831" s="6" t="s">
        <v>4771</v>
      </c>
      <c r="C7831" s="26" t="n">
        <v>46250</v>
      </c>
      <c r="D7831" s="6" t="s">
        <v>5313</v>
      </c>
      <c r="E7831" s="6" t="s">
        <v>22</v>
      </c>
      <c r="F7831" s="6" t="n">
        <v>1</v>
      </c>
      <c r="G7831" s="10" t="n">
        <v>1672</v>
      </c>
      <c r="H7831" s="10" t="n">
        <f aca="false">F7831*G7831</f>
        <v>1672</v>
      </c>
      <c r="I7831" s="6" t="s">
        <v>5122</v>
      </c>
    </row>
    <row r="7832" customFormat="false" ht="15" hidden="false" customHeight="false" outlineLevel="0" collapsed="false">
      <c r="A7832" s="6" t="s">
        <v>13056</v>
      </c>
      <c r="B7832" s="6" t="s">
        <v>3121</v>
      </c>
      <c r="C7832" s="26" t="n">
        <v>46250</v>
      </c>
      <c r="D7832" s="6" t="s">
        <v>5156</v>
      </c>
      <c r="E7832" s="6" t="s">
        <v>21</v>
      </c>
      <c r="F7832" s="6" t="n">
        <v>2</v>
      </c>
      <c r="G7832" s="10" t="n">
        <v>2053</v>
      </c>
      <c r="H7832" s="10" t="n">
        <f aca="false">F7832*G7832</f>
        <v>4106</v>
      </c>
      <c r="I7832" s="6" t="s">
        <v>5130</v>
      </c>
    </row>
    <row r="7833" customFormat="false" ht="15" hidden="false" customHeight="false" outlineLevel="0" collapsed="false">
      <c r="A7833" s="6" t="s">
        <v>13057</v>
      </c>
      <c r="B7833" s="6" t="s">
        <v>2555</v>
      </c>
      <c r="C7833" s="26" t="n">
        <v>46250</v>
      </c>
      <c r="D7833" s="6" t="s">
        <v>5156</v>
      </c>
      <c r="E7833" s="6" t="s">
        <v>21</v>
      </c>
      <c r="F7833" s="6" t="n">
        <v>2</v>
      </c>
      <c r="G7833" s="10" t="n">
        <v>2161</v>
      </c>
      <c r="H7833" s="10" t="n">
        <f aca="false">F7833*G7833</f>
        <v>4322</v>
      </c>
      <c r="I7833" s="6" t="s">
        <v>5148</v>
      </c>
    </row>
    <row r="7834" customFormat="false" ht="15" hidden="false" customHeight="false" outlineLevel="0" collapsed="false">
      <c r="A7834" s="6" t="s">
        <v>13058</v>
      </c>
      <c r="B7834" s="6" t="s">
        <v>4777</v>
      </c>
      <c r="C7834" s="26" t="n">
        <v>46250</v>
      </c>
      <c r="D7834" s="6" t="s">
        <v>5171</v>
      </c>
      <c r="E7834" s="6" t="s">
        <v>23</v>
      </c>
      <c r="F7834" s="6" t="n">
        <v>4</v>
      </c>
      <c r="G7834" s="10" t="n">
        <v>734</v>
      </c>
      <c r="H7834" s="10" t="n">
        <f aca="false">F7834*G7834</f>
        <v>2936</v>
      </c>
      <c r="I7834" s="6" t="s">
        <v>5148</v>
      </c>
    </row>
    <row r="7835" customFormat="false" ht="15" hidden="false" customHeight="false" outlineLevel="0" collapsed="false">
      <c r="A7835" s="6" t="s">
        <v>13059</v>
      </c>
      <c r="B7835" s="6" t="s">
        <v>2939</v>
      </c>
      <c r="C7835" s="26" t="n">
        <v>46250</v>
      </c>
      <c r="D7835" s="6" t="s">
        <v>5165</v>
      </c>
      <c r="E7835" s="6" t="s">
        <v>22</v>
      </c>
      <c r="F7835" s="6" t="n">
        <v>1</v>
      </c>
      <c r="G7835" s="10" t="n">
        <v>880</v>
      </c>
      <c r="H7835" s="10" t="n">
        <f aca="false">F7835*G7835</f>
        <v>880</v>
      </c>
      <c r="I7835" s="6" t="s">
        <v>5122</v>
      </c>
    </row>
    <row r="7836" customFormat="false" ht="15" hidden="false" customHeight="false" outlineLevel="0" collapsed="false">
      <c r="A7836" s="6" t="s">
        <v>13060</v>
      </c>
      <c r="B7836" s="6" t="s">
        <v>3169</v>
      </c>
      <c r="C7836" s="26" t="n">
        <v>46250</v>
      </c>
      <c r="D7836" s="6" t="s">
        <v>5410</v>
      </c>
      <c r="E7836" s="6" t="s">
        <v>20</v>
      </c>
      <c r="F7836" s="6" t="n">
        <v>1</v>
      </c>
      <c r="G7836" s="10" t="n">
        <v>2548</v>
      </c>
      <c r="H7836" s="10" t="n">
        <f aca="false">F7836*G7836</f>
        <v>2548</v>
      </c>
      <c r="I7836" s="6" t="s">
        <v>5125</v>
      </c>
    </row>
    <row r="7837" customFormat="false" ht="15" hidden="false" customHeight="false" outlineLevel="0" collapsed="false">
      <c r="A7837" s="6" t="s">
        <v>13061</v>
      </c>
      <c r="B7837" s="6" t="s">
        <v>3031</v>
      </c>
      <c r="C7837" s="26" t="n">
        <v>46250</v>
      </c>
      <c r="D7837" s="6" t="s">
        <v>5121</v>
      </c>
      <c r="E7837" s="6" t="s">
        <v>22</v>
      </c>
      <c r="F7837" s="6" t="n">
        <v>1</v>
      </c>
      <c r="G7837" s="10" t="n">
        <v>879</v>
      </c>
      <c r="H7837" s="10" t="n">
        <f aca="false">F7837*G7837</f>
        <v>879</v>
      </c>
      <c r="I7837" s="6" t="s">
        <v>5148</v>
      </c>
    </row>
    <row r="7838" customFormat="false" ht="15" hidden="false" customHeight="false" outlineLevel="0" collapsed="false">
      <c r="A7838" s="6" t="s">
        <v>13062</v>
      </c>
      <c r="B7838" s="6" t="s">
        <v>4249</v>
      </c>
      <c r="C7838" s="26" t="n">
        <v>46250</v>
      </c>
      <c r="D7838" s="6" t="s">
        <v>5357</v>
      </c>
      <c r="E7838" s="6" t="s">
        <v>23</v>
      </c>
      <c r="F7838" s="6" t="n">
        <v>2</v>
      </c>
      <c r="G7838" s="10" t="n">
        <v>481</v>
      </c>
      <c r="H7838" s="10" t="n">
        <f aca="false">F7838*G7838</f>
        <v>962</v>
      </c>
      <c r="I7838" s="6" t="s">
        <v>5133</v>
      </c>
    </row>
    <row r="7839" customFormat="false" ht="15" hidden="false" customHeight="false" outlineLevel="0" collapsed="false">
      <c r="A7839" s="6" t="s">
        <v>13063</v>
      </c>
      <c r="B7839" s="6" t="s">
        <v>3041</v>
      </c>
      <c r="C7839" s="26" t="n">
        <v>46250</v>
      </c>
      <c r="D7839" s="6" t="s">
        <v>5121</v>
      </c>
      <c r="E7839" s="6" t="s">
        <v>22</v>
      </c>
      <c r="F7839" s="6" t="n">
        <v>2</v>
      </c>
      <c r="G7839" s="10" t="n">
        <v>977</v>
      </c>
      <c r="H7839" s="10" t="n">
        <f aca="false">F7839*G7839</f>
        <v>1954</v>
      </c>
      <c r="I7839" s="6" t="s">
        <v>5122</v>
      </c>
    </row>
    <row r="7840" customFormat="false" ht="15" hidden="false" customHeight="false" outlineLevel="0" collapsed="false">
      <c r="A7840" s="6" t="s">
        <v>13064</v>
      </c>
      <c r="B7840" s="6" t="s">
        <v>1299</v>
      </c>
      <c r="C7840" s="26" t="n">
        <v>46250</v>
      </c>
      <c r="D7840" s="6" t="s">
        <v>5143</v>
      </c>
      <c r="E7840" s="6" t="s">
        <v>21</v>
      </c>
      <c r="F7840" s="6" t="n">
        <v>1</v>
      </c>
      <c r="G7840" s="10" t="n">
        <v>1120</v>
      </c>
      <c r="H7840" s="10" t="n">
        <f aca="false">F7840*G7840</f>
        <v>1120</v>
      </c>
      <c r="I7840" s="6" t="s">
        <v>5122</v>
      </c>
    </row>
    <row r="7841" customFormat="false" ht="15" hidden="false" customHeight="false" outlineLevel="0" collapsed="false">
      <c r="A7841" s="6" t="s">
        <v>13065</v>
      </c>
      <c r="B7841" s="6" t="s">
        <v>4747</v>
      </c>
      <c r="C7841" s="26" t="n">
        <v>46250</v>
      </c>
      <c r="D7841" s="6" t="s">
        <v>5339</v>
      </c>
      <c r="E7841" s="6" t="s">
        <v>24</v>
      </c>
      <c r="F7841" s="6" t="n">
        <v>1</v>
      </c>
      <c r="G7841" s="10" t="n">
        <v>458</v>
      </c>
      <c r="H7841" s="10" t="n">
        <f aca="false">F7841*G7841</f>
        <v>458</v>
      </c>
      <c r="I7841" s="6" t="s">
        <v>5122</v>
      </c>
    </row>
    <row r="7842" customFormat="false" ht="15" hidden="false" customHeight="false" outlineLevel="0" collapsed="false">
      <c r="A7842" s="6" t="s">
        <v>13066</v>
      </c>
      <c r="B7842" s="6" t="s">
        <v>1369</v>
      </c>
      <c r="C7842" s="26" t="n">
        <v>46250</v>
      </c>
      <c r="D7842" s="6" t="s">
        <v>5245</v>
      </c>
      <c r="E7842" s="6" t="s">
        <v>21</v>
      </c>
      <c r="F7842" s="6" t="n">
        <v>1</v>
      </c>
      <c r="G7842" s="10" t="n">
        <v>2456</v>
      </c>
      <c r="H7842" s="10" t="n">
        <f aca="false">F7842*G7842</f>
        <v>2456</v>
      </c>
      <c r="I7842" s="6" t="s">
        <v>5125</v>
      </c>
    </row>
    <row r="7843" customFormat="false" ht="15" hidden="false" customHeight="false" outlineLevel="0" collapsed="false">
      <c r="A7843" s="6" t="s">
        <v>13067</v>
      </c>
      <c r="B7843" s="6" t="s">
        <v>2829</v>
      </c>
      <c r="C7843" s="26" t="n">
        <v>46250</v>
      </c>
      <c r="D7843" s="6" t="s">
        <v>5156</v>
      </c>
      <c r="E7843" s="6" t="s">
        <v>21</v>
      </c>
      <c r="F7843" s="6" t="n">
        <v>1</v>
      </c>
      <c r="G7843" s="10" t="n">
        <v>2161</v>
      </c>
      <c r="H7843" s="10" t="n">
        <f aca="false">F7843*G7843</f>
        <v>2161</v>
      </c>
      <c r="I7843" s="6" t="s">
        <v>5122</v>
      </c>
    </row>
    <row r="7844" customFormat="false" ht="15" hidden="false" customHeight="false" outlineLevel="0" collapsed="false">
      <c r="A7844" s="6" t="s">
        <v>13068</v>
      </c>
      <c r="B7844" s="6" t="s">
        <v>2439</v>
      </c>
      <c r="C7844" s="26" t="n">
        <v>46250</v>
      </c>
      <c r="D7844" s="6" t="s">
        <v>5466</v>
      </c>
      <c r="E7844" s="6" t="s">
        <v>21</v>
      </c>
      <c r="F7844" s="6" t="n">
        <v>1</v>
      </c>
      <c r="G7844" s="10" t="n">
        <v>1768</v>
      </c>
      <c r="H7844" s="10" t="n">
        <f aca="false">F7844*G7844</f>
        <v>1768</v>
      </c>
      <c r="I7844" s="6" t="s">
        <v>5122</v>
      </c>
    </row>
    <row r="7845" customFormat="false" ht="15" hidden="false" customHeight="false" outlineLevel="0" collapsed="false">
      <c r="A7845" s="6" t="s">
        <v>13069</v>
      </c>
      <c r="B7845" s="6" t="s">
        <v>1823</v>
      </c>
      <c r="C7845" s="26" t="n">
        <v>46250</v>
      </c>
      <c r="D7845" s="6" t="s">
        <v>5242</v>
      </c>
      <c r="E7845" s="6" t="s">
        <v>23</v>
      </c>
      <c r="F7845" s="6" t="n">
        <v>2</v>
      </c>
      <c r="G7845" s="10" t="n">
        <v>372</v>
      </c>
      <c r="H7845" s="10" t="n">
        <f aca="false">F7845*G7845</f>
        <v>744</v>
      </c>
      <c r="I7845" s="6" t="s">
        <v>5122</v>
      </c>
    </row>
    <row r="7846" customFormat="false" ht="15" hidden="false" customHeight="false" outlineLevel="0" collapsed="false">
      <c r="A7846" s="6" t="s">
        <v>13070</v>
      </c>
      <c r="B7846" s="6" t="s">
        <v>1433</v>
      </c>
      <c r="C7846" s="26" t="n">
        <v>46251</v>
      </c>
      <c r="D7846" s="6" t="s">
        <v>5154</v>
      </c>
      <c r="E7846" s="6" t="s">
        <v>21</v>
      </c>
      <c r="F7846" s="6" t="n">
        <v>2</v>
      </c>
      <c r="G7846" s="10" t="n">
        <v>785</v>
      </c>
      <c r="H7846" s="10" t="n">
        <f aca="false">F7846*G7846</f>
        <v>1570</v>
      </c>
      <c r="I7846" s="6" t="s">
        <v>5122</v>
      </c>
    </row>
    <row r="7847" customFormat="false" ht="15" hidden="false" customHeight="false" outlineLevel="0" collapsed="false">
      <c r="A7847" s="6" t="s">
        <v>13071</v>
      </c>
      <c r="B7847" s="6" t="s">
        <v>4879</v>
      </c>
      <c r="C7847" s="26" t="n">
        <v>46251</v>
      </c>
      <c r="D7847" s="6" t="s">
        <v>5171</v>
      </c>
      <c r="E7847" s="6" t="s">
        <v>23</v>
      </c>
      <c r="F7847" s="6" t="n">
        <v>2</v>
      </c>
      <c r="G7847" s="10" t="n">
        <v>661</v>
      </c>
      <c r="H7847" s="10" t="n">
        <f aca="false">F7847*G7847</f>
        <v>1322</v>
      </c>
      <c r="I7847" s="6" t="s">
        <v>5122</v>
      </c>
    </row>
    <row r="7848" customFormat="false" ht="15" hidden="false" customHeight="false" outlineLevel="0" collapsed="false">
      <c r="A7848" s="6" t="s">
        <v>13072</v>
      </c>
      <c r="B7848" s="6" t="s">
        <v>1875</v>
      </c>
      <c r="C7848" s="26" t="n">
        <v>46251</v>
      </c>
      <c r="D7848" s="6" t="s">
        <v>5180</v>
      </c>
      <c r="E7848" s="6" t="s">
        <v>24</v>
      </c>
      <c r="F7848" s="6" t="n">
        <v>1</v>
      </c>
      <c r="G7848" s="10" t="n">
        <v>1987</v>
      </c>
      <c r="H7848" s="10" t="n">
        <f aca="false">F7848*G7848</f>
        <v>1987</v>
      </c>
      <c r="I7848" s="6" t="s">
        <v>5125</v>
      </c>
    </row>
    <row r="7849" customFormat="false" ht="15" hidden="false" customHeight="false" outlineLevel="0" collapsed="false">
      <c r="A7849" s="6" t="s">
        <v>13073</v>
      </c>
      <c r="B7849" s="6" t="s">
        <v>2363</v>
      </c>
      <c r="C7849" s="26" t="n">
        <v>46251</v>
      </c>
      <c r="D7849" s="6" t="s">
        <v>5169</v>
      </c>
      <c r="E7849" s="6" t="s">
        <v>20</v>
      </c>
      <c r="F7849" s="6" t="n">
        <v>1</v>
      </c>
      <c r="G7849" s="10" t="n">
        <v>5098</v>
      </c>
      <c r="H7849" s="10" t="n">
        <f aca="false">F7849*G7849</f>
        <v>5098</v>
      </c>
      <c r="I7849" s="6" t="s">
        <v>5130</v>
      </c>
    </row>
    <row r="7850" customFormat="false" ht="15" hidden="false" customHeight="false" outlineLevel="0" collapsed="false">
      <c r="A7850" s="6" t="s">
        <v>13074</v>
      </c>
      <c r="B7850" s="6" t="s">
        <v>4235</v>
      </c>
      <c r="C7850" s="26" t="n">
        <v>46251</v>
      </c>
      <c r="D7850" s="6" t="s">
        <v>5167</v>
      </c>
      <c r="E7850" s="6" t="s">
        <v>22</v>
      </c>
      <c r="F7850" s="6" t="n">
        <v>2</v>
      </c>
      <c r="G7850" s="10" t="n">
        <v>782</v>
      </c>
      <c r="H7850" s="10" t="n">
        <f aca="false">F7850*G7850</f>
        <v>1564</v>
      </c>
      <c r="I7850" s="6" t="s">
        <v>5148</v>
      </c>
    </row>
    <row r="7851" customFormat="false" ht="15" hidden="false" customHeight="false" outlineLevel="0" collapsed="false">
      <c r="A7851" s="6" t="s">
        <v>13075</v>
      </c>
      <c r="B7851" s="6" t="s">
        <v>400</v>
      </c>
      <c r="C7851" s="26" t="n">
        <v>46251</v>
      </c>
      <c r="D7851" s="6" t="s">
        <v>5163</v>
      </c>
      <c r="E7851" s="6" t="s">
        <v>23</v>
      </c>
      <c r="F7851" s="6" t="n">
        <v>3</v>
      </c>
      <c r="G7851" s="10" t="n">
        <v>744</v>
      </c>
      <c r="H7851" s="10" t="n">
        <f aca="false">F7851*G7851</f>
        <v>2232</v>
      </c>
      <c r="I7851" s="6" t="s">
        <v>5122</v>
      </c>
    </row>
    <row r="7852" customFormat="false" ht="15" hidden="false" customHeight="false" outlineLevel="0" collapsed="false">
      <c r="A7852" s="6" t="s">
        <v>13076</v>
      </c>
      <c r="B7852" s="6" t="s">
        <v>3017</v>
      </c>
      <c r="C7852" s="26" t="n">
        <v>46251</v>
      </c>
      <c r="D7852" s="6" t="s">
        <v>5305</v>
      </c>
      <c r="E7852" s="6" t="s">
        <v>20</v>
      </c>
      <c r="F7852" s="6" t="n">
        <v>1</v>
      </c>
      <c r="G7852" s="10" t="n">
        <v>1631</v>
      </c>
      <c r="H7852" s="10" t="n">
        <f aca="false">F7852*G7852</f>
        <v>1631</v>
      </c>
      <c r="I7852" s="6" t="s">
        <v>5122</v>
      </c>
    </row>
    <row r="7853" customFormat="false" ht="15" hidden="false" customHeight="false" outlineLevel="0" collapsed="false">
      <c r="A7853" s="6" t="s">
        <v>13077</v>
      </c>
      <c r="B7853" s="6" t="s">
        <v>1121</v>
      </c>
      <c r="C7853" s="26" t="n">
        <v>46251</v>
      </c>
      <c r="D7853" s="6" t="s">
        <v>5145</v>
      </c>
      <c r="E7853" s="6" t="s">
        <v>21</v>
      </c>
      <c r="F7853" s="6" t="n">
        <v>1</v>
      </c>
      <c r="G7853" s="10" t="n">
        <v>1277</v>
      </c>
      <c r="H7853" s="10" t="n">
        <f aca="false">F7853*G7853</f>
        <v>1277</v>
      </c>
      <c r="I7853" s="6" t="s">
        <v>5125</v>
      </c>
    </row>
    <row r="7854" customFormat="false" ht="15" hidden="false" customHeight="false" outlineLevel="0" collapsed="false">
      <c r="A7854" s="6" t="s">
        <v>13078</v>
      </c>
      <c r="B7854" s="6" t="s">
        <v>3713</v>
      </c>
      <c r="C7854" s="26" t="n">
        <v>46251</v>
      </c>
      <c r="D7854" s="6" t="s">
        <v>5235</v>
      </c>
      <c r="E7854" s="6" t="s">
        <v>21</v>
      </c>
      <c r="F7854" s="6" t="n">
        <v>1</v>
      </c>
      <c r="G7854" s="10" t="n">
        <v>1586</v>
      </c>
      <c r="H7854" s="10" t="n">
        <f aca="false">F7854*G7854</f>
        <v>1586</v>
      </c>
      <c r="I7854" s="6" t="s">
        <v>5148</v>
      </c>
    </row>
    <row r="7855" customFormat="false" ht="15" hidden="false" customHeight="false" outlineLevel="0" collapsed="false">
      <c r="A7855" s="6" t="s">
        <v>13079</v>
      </c>
      <c r="B7855" s="6" t="s">
        <v>4703</v>
      </c>
      <c r="C7855" s="26" t="n">
        <v>46251</v>
      </c>
      <c r="D7855" s="6" t="s">
        <v>5167</v>
      </c>
      <c r="E7855" s="6" t="s">
        <v>22</v>
      </c>
      <c r="F7855" s="6" t="n">
        <v>2</v>
      </c>
      <c r="G7855" s="10" t="n">
        <v>782</v>
      </c>
      <c r="H7855" s="10" t="n">
        <f aca="false">F7855*G7855</f>
        <v>1564</v>
      </c>
      <c r="I7855" s="6" t="s">
        <v>5148</v>
      </c>
    </row>
    <row r="7856" customFormat="false" ht="15" hidden="false" customHeight="false" outlineLevel="0" collapsed="false">
      <c r="A7856" s="6" t="s">
        <v>13080</v>
      </c>
      <c r="B7856" s="6" t="s">
        <v>3273</v>
      </c>
      <c r="C7856" s="26" t="n">
        <v>46251</v>
      </c>
      <c r="D7856" s="6" t="s">
        <v>5207</v>
      </c>
      <c r="E7856" s="6" t="s">
        <v>20</v>
      </c>
      <c r="F7856" s="6" t="n">
        <v>2</v>
      </c>
      <c r="G7856" s="10" t="n">
        <v>1325</v>
      </c>
      <c r="H7856" s="10" t="n">
        <f aca="false">F7856*G7856</f>
        <v>2650</v>
      </c>
      <c r="I7856" s="6" t="s">
        <v>5173</v>
      </c>
    </row>
    <row r="7857" customFormat="false" ht="15" hidden="false" customHeight="false" outlineLevel="0" collapsed="false">
      <c r="A7857" s="6" t="s">
        <v>13081</v>
      </c>
      <c r="B7857" s="6" t="s">
        <v>3249</v>
      </c>
      <c r="C7857" s="26" t="n">
        <v>46251</v>
      </c>
      <c r="D7857" s="6" t="s">
        <v>5171</v>
      </c>
      <c r="E7857" s="6" t="s">
        <v>23</v>
      </c>
      <c r="F7857" s="6" t="n">
        <v>1</v>
      </c>
      <c r="G7857" s="10" t="n">
        <v>734</v>
      </c>
      <c r="H7857" s="10" t="n">
        <f aca="false">F7857*G7857</f>
        <v>734</v>
      </c>
      <c r="I7857" s="6" t="s">
        <v>5122</v>
      </c>
    </row>
    <row r="7858" customFormat="false" ht="15" hidden="false" customHeight="false" outlineLevel="0" collapsed="false">
      <c r="A7858" s="6" t="s">
        <v>13082</v>
      </c>
      <c r="B7858" s="6" t="s">
        <v>2529</v>
      </c>
      <c r="C7858" s="26" t="n">
        <v>46251</v>
      </c>
      <c r="D7858" s="6" t="s">
        <v>5749</v>
      </c>
      <c r="E7858" s="6" t="s">
        <v>20</v>
      </c>
      <c r="F7858" s="6" t="n">
        <v>1</v>
      </c>
      <c r="G7858" s="10" t="n">
        <v>774</v>
      </c>
      <c r="H7858" s="10" t="n">
        <f aca="false">F7858*G7858</f>
        <v>774</v>
      </c>
      <c r="I7858" s="6" t="s">
        <v>5148</v>
      </c>
    </row>
    <row r="7859" customFormat="false" ht="15" hidden="false" customHeight="false" outlineLevel="0" collapsed="false">
      <c r="A7859" s="6" t="s">
        <v>13083</v>
      </c>
      <c r="B7859" s="6" t="s">
        <v>1243</v>
      </c>
      <c r="C7859" s="26" t="n">
        <v>46251</v>
      </c>
      <c r="D7859" s="6" t="s">
        <v>5129</v>
      </c>
      <c r="E7859" s="6" t="s">
        <v>21</v>
      </c>
      <c r="F7859" s="6" t="n">
        <v>1</v>
      </c>
      <c r="G7859" s="10" t="n">
        <v>589</v>
      </c>
      <c r="H7859" s="10" t="n">
        <f aca="false">F7859*G7859</f>
        <v>589</v>
      </c>
      <c r="I7859" s="6" t="s">
        <v>5130</v>
      </c>
    </row>
    <row r="7860" customFormat="false" ht="15" hidden="false" customHeight="false" outlineLevel="0" collapsed="false">
      <c r="A7860" s="6" t="s">
        <v>13084</v>
      </c>
      <c r="B7860" s="6" t="s">
        <v>3943</v>
      </c>
      <c r="C7860" s="26" t="n">
        <v>46251</v>
      </c>
      <c r="D7860" s="6" t="s">
        <v>5216</v>
      </c>
      <c r="E7860" s="6" t="s">
        <v>23</v>
      </c>
      <c r="F7860" s="6" t="n">
        <v>1</v>
      </c>
      <c r="G7860" s="10" t="n">
        <v>587</v>
      </c>
      <c r="H7860" s="10" t="n">
        <f aca="false">F7860*G7860</f>
        <v>587</v>
      </c>
      <c r="I7860" s="6" t="s">
        <v>5122</v>
      </c>
    </row>
    <row r="7861" customFormat="false" ht="15" hidden="false" customHeight="false" outlineLevel="0" collapsed="false">
      <c r="A7861" s="6" t="s">
        <v>13085</v>
      </c>
      <c r="B7861" s="6" t="s">
        <v>659</v>
      </c>
      <c r="C7861" s="26" t="n">
        <v>46251</v>
      </c>
      <c r="D7861" s="6" t="s">
        <v>5269</v>
      </c>
      <c r="E7861" s="6" t="s">
        <v>22</v>
      </c>
      <c r="F7861" s="6" t="n">
        <v>2</v>
      </c>
      <c r="G7861" s="10" t="n">
        <v>1207</v>
      </c>
      <c r="H7861" s="10" t="n">
        <f aca="false">F7861*G7861</f>
        <v>2414</v>
      </c>
      <c r="I7861" s="6" t="s">
        <v>5130</v>
      </c>
    </row>
    <row r="7862" customFormat="false" ht="15" hidden="false" customHeight="false" outlineLevel="0" collapsed="false">
      <c r="A7862" s="6" t="s">
        <v>13086</v>
      </c>
      <c r="B7862" s="6" t="s">
        <v>451</v>
      </c>
      <c r="C7862" s="26" t="n">
        <v>46251</v>
      </c>
      <c r="D7862" s="6" t="s">
        <v>5163</v>
      </c>
      <c r="E7862" s="6" t="s">
        <v>23</v>
      </c>
      <c r="F7862" s="6" t="n">
        <v>2</v>
      </c>
      <c r="G7862" s="10" t="n">
        <v>783</v>
      </c>
      <c r="H7862" s="10" t="n">
        <f aca="false">F7862*G7862</f>
        <v>1566</v>
      </c>
      <c r="I7862" s="6" t="s">
        <v>5122</v>
      </c>
    </row>
    <row r="7863" customFormat="false" ht="15" hidden="false" customHeight="false" outlineLevel="0" collapsed="false">
      <c r="A7863" s="6" t="s">
        <v>13087</v>
      </c>
      <c r="B7863" s="6" t="s">
        <v>4787</v>
      </c>
      <c r="C7863" s="26" t="n">
        <v>46251</v>
      </c>
      <c r="D7863" s="6" t="s">
        <v>5316</v>
      </c>
      <c r="E7863" s="6" t="s">
        <v>23</v>
      </c>
      <c r="F7863" s="6" t="n">
        <v>2</v>
      </c>
      <c r="G7863" s="10" t="n">
        <v>260</v>
      </c>
      <c r="H7863" s="10" t="n">
        <f aca="false">F7863*G7863</f>
        <v>520</v>
      </c>
      <c r="I7863" s="6" t="s">
        <v>5148</v>
      </c>
    </row>
    <row r="7864" customFormat="false" ht="15" hidden="false" customHeight="false" outlineLevel="0" collapsed="false">
      <c r="A7864" s="6" t="s">
        <v>13088</v>
      </c>
      <c r="B7864" s="6" t="s">
        <v>2077</v>
      </c>
      <c r="C7864" s="26" t="n">
        <v>46251</v>
      </c>
      <c r="D7864" s="6" t="s">
        <v>5171</v>
      </c>
      <c r="E7864" s="6" t="s">
        <v>23</v>
      </c>
      <c r="F7864" s="6" t="n">
        <v>3</v>
      </c>
      <c r="G7864" s="10" t="n">
        <v>734</v>
      </c>
      <c r="H7864" s="10" t="n">
        <f aca="false">F7864*G7864</f>
        <v>2202</v>
      </c>
      <c r="I7864" s="6" t="s">
        <v>5173</v>
      </c>
    </row>
    <row r="7865" customFormat="false" ht="15" hidden="false" customHeight="false" outlineLevel="0" collapsed="false">
      <c r="A7865" s="6" t="s">
        <v>13089</v>
      </c>
      <c r="B7865" s="6" t="s">
        <v>2065</v>
      </c>
      <c r="C7865" s="26" t="n">
        <v>46251</v>
      </c>
      <c r="D7865" s="6" t="s">
        <v>5482</v>
      </c>
      <c r="E7865" s="6" t="s">
        <v>23</v>
      </c>
      <c r="F7865" s="6" t="n">
        <v>5</v>
      </c>
      <c r="G7865" s="10" t="n">
        <v>269</v>
      </c>
      <c r="H7865" s="10" t="n">
        <f aca="false">F7865*G7865</f>
        <v>1345</v>
      </c>
      <c r="I7865" s="6" t="s">
        <v>5130</v>
      </c>
    </row>
    <row r="7866" customFormat="false" ht="15" hidden="false" customHeight="false" outlineLevel="0" collapsed="false">
      <c r="A7866" s="6" t="s">
        <v>13090</v>
      </c>
      <c r="B7866" s="6" t="s">
        <v>368</v>
      </c>
      <c r="C7866" s="26" t="n">
        <v>46251</v>
      </c>
      <c r="D7866" s="6" t="s">
        <v>5190</v>
      </c>
      <c r="E7866" s="6" t="s">
        <v>24</v>
      </c>
      <c r="F7866" s="6" t="n">
        <v>3</v>
      </c>
      <c r="G7866" s="10" t="n">
        <v>610</v>
      </c>
      <c r="H7866" s="10" t="n">
        <f aca="false">F7866*G7866</f>
        <v>1830</v>
      </c>
      <c r="I7866" s="6" t="s">
        <v>5125</v>
      </c>
    </row>
    <row r="7867" customFormat="false" ht="15" hidden="false" customHeight="false" outlineLevel="0" collapsed="false">
      <c r="A7867" s="6" t="s">
        <v>13091</v>
      </c>
      <c r="B7867" s="6" t="s">
        <v>2431</v>
      </c>
      <c r="C7867" s="26" t="n">
        <v>46251</v>
      </c>
      <c r="D7867" s="6" t="s">
        <v>5182</v>
      </c>
      <c r="E7867" s="6" t="s">
        <v>23</v>
      </c>
      <c r="F7867" s="6" t="n">
        <v>4</v>
      </c>
      <c r="G7867" s="10" t="n">
        <v>367</v>
      </c>
      <c r="H7867" s="10" t="n">
        <f aca="false">F7867*G7867</f>
        <v>1468</v>
      </c>
      <c r="I7867" s="6" t="s">
        <v>5122</v>
      </c>
    </row>
    <row r="7868" customFormat="false" ht="15" hidden="false" customHeight="false" outlineLevel="0" collapsed="false">
      <c r="A7868" s="6" t="s">
        <v>13092</v>
      </c>
      <c r="B7868" s="6" t="s">
        <v>747</v>
      </c>
      <c r="C7868" s="26" t="n">
        <v>46251</v>
      </c>
      <c r="D7868" s="6" t="s">
        <v>5141</v>
      </c>
      <c r="E7868" s="6" t="s">
        <v>20</v>
      </c>
      <c r="F7868" s="6" t="n">
        <v>1</v>
      </c>
      <c r="G7868" s="10" t="n">
        <v>1743</v>
      </c>
      <c r="H7868" s="10" t="n">
        <f aca="false">F7868*G7868</f>
        <v>1743</v>
      </c>
      <c r="I7868" s="6" t="s">
        <v>5148</v>
      </c>
    </row>
    <row r="7869" customFormat="false" ht="15" hidden="false" customHeight="false" outlineLevel="0" collapsed="false">
      <c r="A7869" s="6" t="s">
        <v>13093</v>
      </c>
      <c r="B7869" s="6" t="s">
        <v>611</v>
      </c>
      <c r="C7869" s="26" t="n">
        <v>46251</v>
      </c>
      <c r="D7869" s="6" t="s">
        <v>5165</v>
      </c>
      <c r="E7869" s="6" t="s">
        <v>22</v>
      </c>
      <c r="F7869" s="6" t="n">
        <v>1</v>
      </c>
      <c r="G7869" s="10" t="n">
        <v>977</v>
      </c>
      <c r="H7869" s="10" t="n">
        <f aca="false">F7869*G7869</f>
        <v>977</v>
      </c>
      <c r="I7869" s="6" t="s">
        <v>5122</v>
      </c>
    </row>
    <row r="7870" customFormat="false" ht="15" hidden="false" customHeight="false" outlineLevel="0" collapsed="false">
      <c r="A7870" s="6" t="s">
        <v>13094</v>
      </c>
      <c r="B7870" s="6" t="s">
        <v>5003</v>
      </c>
      <c r="C7870" s="26" t="n">
        <v>46251</v>
      </c>
      <c r="D7870" s="6" t="s">
        <v>5235</v>
      </c>
      <c r="E7870" s="6" t="s">
        <v>21</v>
      </c>
      <c r="F7870" s="6" t="n">
        <v>1</v>
      </c>
      <c r="G7870" s="10" t="n">
        <v>1670</v>
      </c>
      <c r="H7870" s="10" t="n">
        <f aca="false">F7870*G7870</f>
        <v>1670</v>
      </c>
      <c r="I7870" s="6" t="s">
        <v>5173</v>
      </c>
    </row>
    <row r="7871" customFormat="false" ht="15" hidden="false" customHeight="false" outlineLevel="0" collapsed="false">
      <c r="A7871" s="6" t="s">
        <v>13095</v>
      </c>
      <c r="B7871" s="6" t="s">
        <v>3535</v>
      </c>
      <c r="C7871" s="26" t="n">
        <v>46251</v>
      </c>
      <c r="D7871" s="6" t="s">
        <v>5197</v>
      </c>
      <c r="E7871" s="6" t="s">
        <v>21</v>
      </c>
      <c r="F7871" s="6" t="n">
        <v>2</v>
      </c>
      <c r="G7871" s="10" t="n">
        <v>1026</v>
      </c>
      <c r="H7871" s="10" t="n">
        <f aca="false">F7871*G7871</f>
        <v>2052</v>
      </c>
      <c r="I7871" s="6" t="s">
        <v>5130</v>
      </c>
    </row>
    <row r="7872" customFormat="false" ht="15" hidden="false" customHeight="false" outlineLevel="0" collapsed="false">
      <c r="A7872" s="6" t="s">
        <v>13096</v>
      </c>
      <c r="B7872" s="6" t="s">
        <v>3539</v>
      </c>
      <c r="C7872" s="26" t="n">
        <v>46251</v>
      </c>
      <c r="D7872" s="6" t="s">
        <v>5281</v>
      </c>
      <c r="E7872" s="6" t="s">
        <v>24</v>
      </c>
      <c r="F7872" s="6" t="n">
        <v>2</v>
      </c>
      <c r="G7872" s="10" t="n">
        <v>814</v>
      </c>
      <c r="H7872" s="10" t="n">
        <f aca="false">F7872*G7872</f>
        <v>1628</v>
      </c>
      <c r="I7872" s="6" t="s">
        <v>5148</v>
      </c>
    </row>
    <row r="7873" customFormat="false" ht="15" hidden="false" customHeight="false" outlineLevel="0" collapsed="false">
      <c r="A7873" s="6" t="s">
        <v>13097</v>
      </c>
      <c r="B7873" s="6" t="s">
        <v>4573</v>
      </c>
      <c r="C7873" s="26" t="n">
        <v>46251</v>
      </c>
      <c r="D7873" s="6" t="s">
        <v>5167</v>
      </c>
      <c r="E7873" s="6" t="s">
        <v>22</v>
      </c>
      <c r="F7873" s="6" t="n">
        <v>3</v>
      </c>
      <c r="G7873" s="10" t="n">
        <v>782</v>
      </c>
      <c r="H7873" s="10" t="n">
        <f aca="false">F7873*G7873</f>
        <v>2346</v>
      </c>
      <c r="I7873" s="6" t="s">
        <v>5133</v>
      </c>
    </row>
    <row r="7874" customFormat="false" ht="15" hidden="false" customHeight="false" outlineLevel="0" collapsed="false">
      <c r="A7874" s="6" t="s">
        <v>13098</v>
      </c>
      <c r="B7874" s="6" t="s">
        <v>4249</v>
      </c>
      <c r="C7874" s="26" t="n">
        <v>46251</v>
      </c>
      <c r="D7874" s="6" t="s">
        <v>5357</v>
      </c>
      <c r="E7874" s="6" t="s">
        <v>23</v>
      </c>
      <c r="F7874" s="6" t="n">
        <v>1</v>
      </c>
      <c r="G7874" s="10" t="n">
        <v>534</v>
      </c>
      <c r="H7874" s="10" t="n">
        <f aca="false">F7874*G7874</f>
        <v>534</v>
      </c>
      <c r="I7874" s="6" t="s">
        <v>5130</v>
      </c>
    </row>
    <row r="7875" customFormat="false" ht="15" hidden="false" customHeight="false" outlineLevel="0" collapsed="false">
      <c r="A7875" s="6" t="s">
        <v>13099</v>
      </c>
      <c r="B7875" s="6" t="s">
        <v>5097</v>
      </c>
      <c r="C7875" s="26" t="n">
        <v>46251</v>
      </c>
      <c r="D7875" s="6" t="s">
        <v>5127</v>
      </c>
      <c r="E7875" s="6" t="s">
        <v>21</v>
      </c>
      <c r="F7875" s="6" t="n">
        <v>1</v>
      </c>
      <c r="G7875" s="10" t="n">
        <v>795</v>
      </c>
      <c r="H7875" s="10" t="n">
        <f aca="false">F7875*G7875</f>
        <v>795</v>
      </c>
      <c r="I7875" s="6" t="s">
        <v>5148</v>
      </c>
    </row>
    <row r="7876" customFormat="false" ht="15" hidden="false" customHeight="false" outlineLevel="0" collapsed="false">
      <c r="A7876" s="6" t="s">
        <v>13100</v>
      </c>
      <c r="B7876" s="6" t="s">
        <v>1081</v>
      </c>
      <c r="C7876" s="26" t="n">
        <v>46251</v>
      </c>
      <c r="D7876" s="6" t="s">
        <v>5190</v>
      </c>
      <c r="E7876" s="6" t="s">
        <v>24</v>
      </c>
      <c r="F7876" s="6" t="n">
        <v>1</v>
      </c>
      <c r="G7876" s="10" t="n">
        <v>610</v>
      </c>
      <c r="H7876" s="10" t="n">
        <f aca="false">F7876*G7876</f>
        <v>610</v>
      </c>
      <c r="I7876" s="6" t="s">
        <v>5122</v>
      </c>
    </row>
    <row r="7877" customFormat="false" ht="15" hidden="false" customHeight="false" outlineLevel="0" collapsed="false">
      <c r="A7877" s="6" t="s">
        <v>13101</v>
      </c>
      <c r="B7877" s="6" t="s">
        <v>4527</v>
      </c>
      <c r="C7877" s="26" t="n">
        <v>46251</v>
      </c>
      <c r="D7877" s="6" t="s">
        <v>5214</v>
      </c>
      <c r="E7877" s="6" t="s">
        <v>20</v>
      </c>
      <c r="F7877" s="6" t="n">
        <v>1</v>
      </c>
      <c r="G7877" s="10" t="n">
        <v>2039</v>
      </c>
      <c r="H7877" s="10" t="n">
        <f aca="false">F7877*G7877</f>
        <v>2039</v>
      </c>
      <c r="I7877" s="6" t="s">
        <v>5122</v>
      </c>
    </row>
    <row r="7878" customFormat="false" ht="15" hidden="false" customHeight="false" outlineLevel="0" collapsed="false">
      <c r="A7878" s="6" t="s">
        <v>13102</v>
      </c>
      <c r="B7878" s="6" t="s">
        <v>2861</v>
      </c>
      <c r="C7878" s="26" t="n">
        <v>46251</v>
      </c>
      <c r="D7878" s="6" t="s">
        <v>5171</v>
      </c>
      <c r="E7878" s="6" t="s">
        <v>23</v>
      </c>
      <c r="F7878" s="6" t="n">
        <v>3</v>
      </c>
      <c r="G7878" s="10" t="n">
        <v>661</v>
      </c>
      <c r="H7878" s="10" t="n">
        <f aca="false">F7878*G7878</f>
        <v>1983</v>
      </c>
      <c r="I7878" s="6" t="s">
        <v>5122</v>
      </c>
    </row>
    <row r="7879" customFormat="false" ht="15" hidden="false" customHeight="false" outlineLevel="0" collapsed="false">
      <c r="A7879" s="6" t="s">
        <v>13103</v>
      </c>
      <c r="B7879" s="6" t="s">
        <v>2183</v>
      </c>
      <c r="C7879" s="26" t="n">
        <v>46251</v>
      </c>
      <c r="D7879" s="6" t="s">
        <v>5207</v>
      </c>
      <c r="E7879" s="6" t="s">
        <v>20</v>
      </c>
      <c r="F7879" s="6" t="n">
        <v>1</v>
      </c>
      <c r="G7879" s="10" t="n">
        <v>1325</v>
      </c>
      <c r="H7879" s="10" t="n">
        <f aca="false">F7879*G7879</f>
        <v>1325</v>
      </c>
      <c r="I7879" s="6" t="s">
        <v>5122</v>
      </c>
    </row>
    <row r="7880" customFormat="false" ht="15" hidden="false" customHeight="false" outlineLevel="0" collapsed="false">
      <c r="A7880" s="6" t="s">
        <v>13104</v>
      </c>
      <c r="B7880" s="6" t="s">
        <v>2807</v>
      </c>
      <c r="C7880" s="26" t="n">
        <v>46251</v>
      </c>
      <c r="D7880" s="6" t="s">
        <v>5167</v>
      </c>
      <c r="E7880" s="6" t="s">
        <v>22</v>
      </c>
      <c r="F7880" s="6" t="n">
        <v>2</v>
      </c>
      <c r="G7880" s="10" t="n">
        <v>782</v>
      </c>
      <c r="H7880" s="10" t="n">
        <f aca="false">F7880*G7880</f>
        <v>1564</v>
      </c>
      <c r="I7880" s="6" t="s">
        <v>5133</v>
      </c>
    </row>
    <row r="7881" customFormat="false" ht="15" hidden="false" customHeight="false" outlineLevel="0" collapsed="false">
      <c r="A7881" s="6" t="s">
        <v>13105</v>
      </c>
      <c r="B7881" s="6" t="s">
        <v>1155</v>
      </c>
      <c r="C7881" s="26" t="n">
        <v>46251</v>
      </c>
      <c r="D7881" s="6" t="s">
        <v>5216</v>
      </c>
      <c r="E7881" s="6" t="s">
        <v>23</v>
      </c>
      <c r="F7881" s="6" t="n">
        <v>4</v>
      </c>
      <c r="G7881" s="10" t="n">
        <v>587</v>
      </c>
      <c r="H7881" s="10" t="n">
        <f aca="false">F7881*G7881</f>
        <v>2348</v>
      </c>
      <c r="I7881" s="6" t="s">
        <v>5148</v>
      </c>
    </row>
    <row r="7882" customFormat="false" ht="15" hidden="false" customHeight="false" outlineLevel="0" collapsed="false">
      <c r="A7882" s="6" t="s">
        <v>13106</v>
      </c>
      <c r="B7882" s="6" t="s">
        <v>192</v>
      </c>
      <c r="C7882" s="26" t="n">
        <v>46251</v>
      </c>
      <c r="D7882" s="6" t="s">
        <v>5121</v>
      </c>
      <c r="E7882" s="6" t="s">
        <v>22</v>
      </c>
      <c r="F7882" s="6" t="n">
        <v>4</v>
      </c>
      <c r="G7882" s="10" t="n">
        <v>977</v>
      </c>
      <c r="H7882" s="10" t="n">
        <f aca="false">F7882*G7882</f>
        <v>3908</v>
      </c>
      <c r="I7882" s="6" t="s">
        <v>5148</v>
      </c>
    </row>
    <row r="7883" customFormat="false" ht="15" hidden="false" customHeight="false" outlineLevel="0" collapsed="false">
      <c r="A7883" s="6" t="s">
        <v>13107</v>
      </c>
      <c r="B7883" s="6" t="s">
        <v>4761</v>
      </c>
      <c r="C7883" s="26" t="n">
        <v>46251</v>
      </c>
      <c r="D7883" s="6" t="s">
        <v>5269</v>
      </c>
      <c r="E7883" s="6" t="s">
        <v>22</v>
      </c>
      <c r="F7883" s="6" t="n">
        <v>2</v>
      </c>
      <c r="G7883" s="10" t="n">
        <v>1271</v>
      </c>
      <c r="H7883" s="10" t="n">
        <f aca="false">F7883*G7883</f>
        <v>2542</v>
      </c>
      <c r="I7883" s="6" t="s">
        <v>5148</v>
      </c>
    </row>
    <row r="7884" customFormat="false" ht="15" hidden="false" customHeight="false" outlineLevel="0" collapsed="false">
      <c r="A7884" s="6" t="s">
        <v>13108</v>
      </c>
      <c r="B7884" s="6" t="s">
        <v>451</v>
      </c>
      <c r="C7884" s="26" t="n">
        <v>46252</v>
      </c>
      <c r="D7884" s="6" t="s">
        <v>5163</v>
      </c>
      <c r="E7884" s="6" t="s">
        <v>23</v>
      </c>
      <c r="F7884" s="6" t="n">
        <v>1</v>
      </c>
      <c r="G7884" s="10" t="n">
        <v>743</v>
      </c>
      <c r="H7884" s="10" t="n">
        <f aca="false">F7884*G7884</f>
        <v>743</v>
      </c>
      <c r="I7884" s="6" t="s">
        <v>5122</v>
      </c>
    </row>
    <row r="7885" customFormat="false" ht="15" hidden="false" customHeight="false" outlineLevel="0" collapsed="false">
      <c r="A7885" s="6" t="s">
        <v>13109</v>
      </c>
      <c r="B7885" s="6" t="s">
        <v>2257</v>
      </c>
      <c r="C7885" s="26" t="n">
        <v>46252</v>
      </c>
      <c r="D7885" s="6" t="s">
        <v>7185</v>
      </c>
      <c r="E7885" s="6" t="s">
        <v>22</v>
      </c>
      <c r="F7885" s="6" t="n">
        <v>2</v>
      </c>
      <c r="G7885" s="10" t="n">
        <v>2734</v>
      </c>
      <c r="H7885" s="10" t="n">
        <f aca="false">F7885*G7885</f>
        <v>5468</v>
      </c>
      <c r="I7885" s="6" t="s">
        <v>5122</v>
      </c>
    </row>
    <row r="7886" customFormat="false" ht="15" hidden="false" customHeight="false" outlineLevel="0" collapsed="false">
      <c r="A7886" s="6" t="s">
        <v>13110</v>
      </c>
      <c r="B7886" s="6" t="s">
        <v>3675</v>
      </c>
      <c r="C7886" s="26" t="n">
        <v>46252</v>
      </c>
      <c r="D7886" s="6" t="s">
        <v>5326</v>
      </c>
      <c r="E7886" s="6" t="s">
        <v>22</v>
      </c>
      <c r="F7886" s="6" t="n">
        <v>1</v>
      </c>
      <c r="G7886" s="10" t="n">
        <v>1466</v>
      </c>
      <c r="H7886" s="10" t="n">
        <f aca="false">F7886*G7886</f>
        <v>1466</v>
      </c>
      <c r="I7886" s="6" t="s">
        <v>5125</v>
      </c>
    </row>
    <row r="7887" customFormat="false" ht="15" hidden="false" customHeight="false" outlineLevel="0" collapsed="false">
      <c r="A7887" s="6" t="s">
        <v>13111</v>
      </c>
      <c r="B7887" s="6" t="s">
        <v>1171</v>
      </c>
      <c r="C7887" s="26" t="n">
        <v>46252</v>
      </c>
      <c r="D7887" s="6" t="s">
        <v>5561</v>
      </c>
      <c r="E7887" s="6" t="s">
        <v>20</v>
      </c>
      <c r="F7887" s="6" t="n">
        <v>1</v>
      </c>
      <c r="G7887" s="10" t="n">
        <v>3363</v>
      </c>
      <c r="H7887" s="10" t="n">
        <f aca="false">F7887*G7887</f>
        <v>3363</v>
      </c>
      <c r="I7887" s="6" t="s">
        <v>5122</v>
      </c>
    </row>
    <row r="7888" customFormat="false" ht="15" hidden="false" customHeight="false" outlineLevel="0" collapsed="false">
      <c r="A7888" s="6" t="s">
        <v>13112</v>
      </c>
      <c r="B7888" s="6" t="s">
        <v>655</v>
      </c>
      <c r="C7888" s="26" t="n">
        <v>46252</v>
      </c>
      <c r="D7888" s="6" t="s">
        <v>5290</v>
      </c>
      <c r="E7888" s="6" t="s">
        <v>23</v>
      </c>
      <c r="F7888" s="6" t="n">
        <v>1</v>
      </c>
      <c r="G7888" s="10" t="n">
        <v>118</v>
      </c>
      <c r="H7888" s="10" t="n">
        <f aca="false">F7888*G7888</f>
        <v>118</v>
      </c>
      <c r="I7888" s="6" t="s">
        <v>5133</v>
      </c>
    </row>
    <row r="7889" customFormat="false" ht="15" hidden="false" customHeight="false" outlineLevel="0" collapsed="false">
      <c r="A7889" s="6" t="s">
        <v>13113</v>
      </c>
      <c r="B7889" s="6" t="s">
        <v>4795</v>
      </c>
      <c r="C7889" s="26" t="n">
        <v>46252</v>
      </c>
      <c r="D7889" s="6" t="s">
        <v>5357</v>
      </c>
      <c r="E7889" s="6" t="s">
        <v>23</v>
      </c>
      <c r="F7889" s="6" t="n">
        <v>3</v>
      </c>
      <c r="G7889" s="10" t="n">
        <v>481</v>
      </c>
      <c r="H7889" s="10" t="n">
        <f aca="false">F7889*G7889</f>
        <v>1443</v>
      </c>
      <c r="I7889" s="6" t="s">
        <v>5125</v>
      </c>
    </row>
    <row r="7890" customFormat="false" ht="15" hidden="false" customHeight="false" outlineLevel="0" collapsed="false">
      <c r="A7890" s="6" t="s">
        <v>13114</v>
      </c>
      <c r="B7890" s="6" t="s">
        <v>2925</v>
      </c>
      <c r="C7890" s="26" t="n">
        <v>46252</v>
      </c>
      <c r="D7890" s="6" t="s">
        <v>5235</v>
      </c>
      <c r="E7890" s="6" t="s">
        <v>21</v>
      </c>
      <c r="F7890" s="6" t="n">
        <v>2</v>
      </c>
      <c r="G7890" s="10" t="n">
        <v>1670</v>
      </c>
      <c r="H7890" s="10" t="n">
        <f aca="false">F7890*G7890</f>
        <v>3340</v>
      </c>
      <c r="I7890" s="6" t="s">
        <v>5148</v>
      </c>
    </row>
    <row r="7891" customFormat="false" ht="15" hidden="false" customHeight="false" outlineLevel="0" collapsed="false">
      <c r="A7891" s="6" t="s">
        <v>13115</v>
      </c>
      <c r="B7891" s="6" t="s">
        <v>2959</v>
      </c>
      <c r="C7891" s="26" t="n">
        <v>46252</v>
      </c>
      <c r="D7891" s="6" t="s">
        <v>5135</v>
      </c>
      <c r="E7891" s="6" t="s">
        <v>23</v>
      </c>
      <c r="F7891" s="6" t="n">
        <v>3</v>
      </c>
      <c r="G7891" s="10" t="n">
        <v>441</v>
      </c>
      <c r="H7891" s="10" t="n">
        <f aca="false">F7891*G7891</f>
        <v>1323</v>
      </c>
      <c r="I7891" s="6" t="s">
        <v>5122</v>
      </c>
    </row>
    <row r="7892" customFormat="false" ht="15" hidden="false" customHeight="false" outlineLevel="0" collapsed="false">
      <c r="A7892" s="6" t="s">
        <v>13116</v>
      </c>
      <c r="B7892" s="6" t="s">
        <v>4537</v>
      </c>
      <c r="C7892" s="26" t="n">
        <v>46252</v>
      </c>
      <c r="D7892" s="6" t="s">
        <v>5339</v>
      </c>
      <c r="E7892" s="6" t="s">
        <v>24</v>
      </c>
      <c r="F7892" s="6" t="n">
        <v>1</v>
      </c>
      <c r="G7892" s="10" t="n">
        <v>508</v>
      </c>
      <c r="H7892" s="10" t="n">
        <f aca="false">F7892*G7892</f>
        <v>508</v>
      </c>
      <c r="I7892" s="6" t="s">
        <v>5130</v>
      </c>
    </row>
    <row r="7893" customFormat="false" ht="15" hidden="false" customHeight="false" outlineLevel="0" collapsed="false">
      <c r="A7893" s="6" t="s">
        <v>13117</v>
      </c>
      <c r="B7893" s="6" t="s">
        <v>4179</v>
      </c>
      <c r="C7893" s="26" t="n">
        <v>46252</v>
      </c>
      <c r="D7893" s="6" t="s">
        <v>5121</v>
      </c>
      <c r="E7893" s="6" t="s">
        <v>22</v>
      </c>
      <c r="F7893" s="6" t="n">
        <v>2</v>
      </c>
      <c r="G7893" s="10" t="n">
        <v>928</v>
      </c>
      <c r="H7893" s="10" t="n">
        <f aca="false">F7893*G7893</f>
        <v>1856</v>
      </c>
      <c r="I7893" s="6" t="s">
        <v>5122</v>
      </c>
    </row>
    <row r="7894" customFormat="false" ht="15" hidden="false" customHeight="false" outlineLevel="0" collapsed="false">
      <c r="A7894" s="6" t="s">
        <v>13118</v>
      </c>
      <c r="B7894" s="6" t="s">
        <v>4557</v>
      </c>
      <c r="C7894" s="26" t="n">
        <v>46252</v>
      </c>
      <c r="D7894" s="6" t="s">
        <v>5121</v>
      </c>
      <c r="E7894" s="6" t="s">
        <v>22</v>
      </c>
      <c r="F7894" s="6" t="n">
        <v>2</v>
      </c>
      <c r="G7894" s="10" t="n">
        <v>977</v>
      </c>
      <c r="H7894" s="10" t="n">
        <f aca="false">F7894*G7894</f>
        <v>1954</v>
      </c>
      <c r="I7894" s="6" t="s">
        <v>5130</v>
      </c>
    </row>
    <row r="7895" customFormat="false" ht="15" hidden="false" customHeight="false" outlineLevel="0" collapsed="false">
      <c r="A7895" s="6" t="s">
        <v>13119</v>
      </c>
      <c r="B7895" s="6" t="s">
        <v>380</v>
      </c>
      <c r="C7895" s="26" t="n">
        <v>46252</v>
      </c>
      <c r="D7895" s="6" t="s">
        <v>5124</v>
      </c>
      <c r="E7895" s="6" t="s">
        <v>21</v>
      </c>
      <c r="F7895" s="6" t="n">
        <v>1</v>
      </c>
      <c r="G7895" s="10" t="n">
        <v>3439</v>
      </c>
      <c r="H7895" s="10" t="n">
        <f aca="false">F7895*G7895</f>
        <v>3439</v>
      </c>
      <c r="I7895" s="6" t="s">
        <v>5173</v>
      </c>
    </row>
    <row r="7896" customFormat="false" ht="15" hidden="false" customHeight="false" outlineLevel="0" collapsed="false">
      <c r="A7896" s="6" t="s">
        <v>13120</v>
      </c>
      <c r="B7896" s="6" t="s">
        <v>1781</v>
      </c>
      <c r="C7896" s="26" t="n">
        <v>46252</v>
      </c>
      <c r="D7896" s="6" t="s">
        <v>5152</v>
      </c>
      <c r="E7896" s="6" t="s">
        <v>22</v>
      </c>
      <c r="F7896" s="6" t="n">
        <v>3</v>
      </c>
      <c r="G7896" s="10" t="n">
        <v>1760</v>
      </c>
      <c r="H7896" s="10" t="n">
        <f aca="false">F7896*G7896</f>
        <v>5280</v>
      </c>
      <c r="I7896" s="6" t="s">
        <v>5173</v>
      </c>
    </row>
    <row r="7897" customFormat="false" ht="15" hidden="false" customHeight="false" outlineLevel="0" collapsed="false">
      <c r="A7897" s="6" t="s">
        <v>13121</v>
      </c>
      <c r="B7897" s="6" t="s">
        <v>3537</v>
      </c>
      <c r="C7897" s="26" t="n">
        <v>46252</v>
      </c>
      <c r="D7897" s="6" t="s">
        <v>5235</v>
      </c>
      <c r="E7897" s="6" t="s">
        <v>21</v>
      </c>
      <c r="F7897" s="6" t="n">
        <v>1</v>
      </c>
      <c r="G7897" s="10" t="n">
        <v>1503</v>
      </c>
      <c r="H7897" s="10" t="n">
        <f aca="false">F7897*G7897</f>
        <v>1503</v>
      </c>
      <c r="I7897" s="6" t="s">
        <v>5122</v>
      </c>
    </row>
    <row r="7898" customFormat="false" ht="15" hidden="false" customHeight="false" outlineLevel="0" collapsed="false">
      <c r="A7898" s="6" t="s">
        <v>13122</v>
      </c>
      <c r="B7898" s="6" t="s">
        <v>2229</v>
      </c>
      <c r="C7898" s="26" t="n">
        <v>46252</v>
      </c>
      <c r="D7898" s="6" t="s">
        <v>5313</v>
      </c>
      <c r="E7898" s="6" t="s">
        <v>22</v>
      </c>
      <c r="F7898" s="6" t="n">
        <v>1</v>
      </c>
      <c r="G7898" s="10" t="n">
        <v>1672</v>
      </c>
      <c r="H7898" s="10" t="n">
        <f aca="false">F7898*G7898</f>
        <v>1672</v>
      </c>
      <c r="I7898" s="6" t="s">
        <v>5122</v>
      </c>
    </row>
    <row r="7899" customFormat="false" ht="15" hidden="false" customHeight="false" outlineLevel="0" collapsed="false">
      <c r="A7899" s="6" t="s">
        <v>13123</v>
      </c>
      <c r="B7899" s="6" t="s">
        <v>4859</v>
      </c>
      <c r="C7899" s="26" t="n">
        <v>46252</v>
      </c>
      <c r="D7899" s="6" t="s">
        <v>5147</v>
      </c>
      <c r="E7899" s="6" t="s">
        <v>24</v>
      </c>
      <c r="F7899" s="6" t="n">
        <v>3</v>
      </c>
      <c r="G7899" s="10" t="n">
        <v>661</v>
      </c>
      <c r="H7899" s="10" t="n">
        <f aca="false">F7899*G7899</f>
        <v>1983</v>
      </c>
      <c r="I7899" s="6" t="s">
        <v>5122</v>
      </c>
    </row>
    <row r="7900" customFormat="false" ht="15" hidden="false" customHeight="false" outlineLevel="0" collapsed="false">
      <c r="A7900" s="6" t="s">
        <v>13124</v>
      </c>
      <c r="B7900" s="6" t="s">
        <v>4245</v>
      </c>
      <c r="C7900" s="26" t="n">
        <v>46252</v>
      </c>
      <c r="D7900" s="6" t="s">
        <v>5423</v>
      </c>
      <c r="E7900" s="6" t="s">
        <v>21</v>
      </c>
      <c r="F7900" s="6" t="n">
        <v>1</v>
      </c>
      <c r="G7900" s="10" t="n">
        <v>3243</v>
      </c>
      <c r="H7900" s="10" t="n">
        <f aca="false">F7900*G7900</f>
        <v>3243</v>
      </c>
      <c r="I7900" s="6" t="s">
        <v>5122</v>
      </c>
    </row>
    <row r="7901" customFormat="false" ht="15" hidden="false" customHeight="false" outlineLevel="0" collapsed="false">
      <c r="A7901" s="6" t="s">
        <v>13125</v>
      </c>
      <c r="B7901" s="6" t="s">
        <v>3063</v>
      </c>
      <c r="C7901" s="26" t="n">
        <v>46252</v>
      </c>
      <c r="D7901" s="6" t="s">
        <v>5165</v>
      </c>
      <c r="E7901" s="6" t="s">
        <v>22</v>
      </c>
      <c r="F7901" s="6" t="n">
        <v>2</v>
      </c>
      <c r="G7901" s="10" t="n">
        <v>928</v>
      </c>
      <c r="H7901" s="10" t="n">
        <f aca="false">F7901*G7901</f>
        <v>1856</v>
      </c>
      <c r="I7901" s="6" t="s">
        <v>5130</v>
      </c>
    </row>
    <row r="7902" customFormat="false" ht="15" hidden="false" customHeight="false" outlineLevel="0" collapsed="false">
      <c r="A7902" s="6" t="s">
        <v>13126</v>
      </c>
      <c r="B7902" s="6" t="s">
        <v>4961</v>
      </c>
      <c r="C7902" s="26" t="n">
        <v>46252</v>
      </c>
      <c r="D7902" s="6" t="s">
        <v>5837</v>
      </c>
      <c r="E7902" s="6" t="s">
        <v>21</v>
      </c>
      <c r="F7902" s="6" t="n">
        <v>1</v>
      </c>
      <c r="G7902" s="10" t="n">
        <v>2948</v>
      </c>
      <c r="H7902" s="10" t="n">
        <f aca="false">F7902*G7902</f>
        <v>2948</v>
      </c>
      <c r="I7902" s="6" t="s">
        <v>5122</v>
      </c>
    </row>
    <row r="7903" customFormat="false" ht="15" hidden="false" customHeight="false" outlineLevel="0" collapsed="false">
      <c r="A7903" s="6" t="s">
        <v>13127</v>
      </c>
      <c r="B7903" s="6" t="s">
        <v>3231</v>
      </c>
      <c r="C7903" s="26" t="n">
        <v>46252</v>
      </c>
      <c r="D7903" s="6" t="s">
        <v>5121</v>
      </c>
      <c r="E7903" s="6" t="s">
        <v>22</v>
      </c>
      <c r="F7903" s="6" t="n">
        <v>1</v>
      </c>
      <c r="G7903" s="10" t="n">
        <v>976</v>
      </c>
      <c r="H7903" s="10" t="n">
        <f aca="false">F7903*G7903</f>
        <v>976</v>
      </c>
      <c r="I7903" s="6" t="s">
        <v>5122</v>
      </c>
    </row>
    <row r="7904" customFormat="false" ht="15" hidden="false" customHeight="false" outlineLevel="0" collapsed="false">
      <c r="A7904" s="6" t="s">
        <v>13128</v>
      </c>
      <c r="B7904" s="6" t="s">
        <v>635</v>
      </c>
      <c r="C7904" s="26" t="n">
        <v>46252</v>
      </c>
      <c r="D7904" s="6" t="s">
        <v>5175</v>
      </c>
      <c r="E7904" s="6" t="s">
        <v>24</v>
      </c>
      <c r="F7904" s="6" t="n">
        <v>1</v>
      </c>
      <c r="G7904" s="10" t="n">
        <v>610</v>
      </c>
      <c r="H7904" s="10" t="n">
        <f aca="false">F7904*G7904</f>
        <v>610</v>
      </c>
      <c r="I7904" s="6" t="s">
        <v>5133</v>
      </c>
    </row>
    <row r="7905" customFormat="false" ht="15" hidden="false" customHeight="false" outlineLevel="0" collapsed="false">
      <c r="A7905" s="6" t="s">
        <v>13129</v>
      </c>
      <c r="B7905" s="6" t="s">
        <v>3747</v>
      </c>
      <c r="C7905" s="26" t="n">
        <v>46252</v>
      </c>
      <c r="D7905" s="6" t="s">
        <v>5169</v>
      </c>
      <c r="E7905" s="6" t="s">
        <v>20</v>
      </c>
      <c r="F7905" s="6" t="n">
        <v>1</v>
      </c>
      <c r="G7905" s="10" t="n">
        <v>5097</v>
      </c>
      <c r="H7905" s="10" t="n">
        <f aca="false">F7905*G7905</f>
        <v>5097</v>
      </c>
      <c r="I7905" s="6" t="s">
        <v>5122</v>
      </c>
    </row>
    <row r="7906" customFormat="false" ht="15" hidden="false" customHeight="false" outlineLevel="0" collapsed="false">
      <c r="A7906" s="6" t="s">
        <v>13130</v>
      </c>
      <c r="B7906" s="6" t="s">
        <v>3837</v>
      </c>
      <c r="C7906" s="26" t="n">
        <v>46252</v>
      </c>
      <c r="D7906" s="6" t="s">
        <v>5167</v>
      </c>
      <c r="E7906" s="6" t="s">
        <v>22</v>
      </c>
      <c r="F7906" s="6" t="n">
        <v>3</v>
      </c>
      <c r="G7906" s="10" t="n">
        <v>782</v>
      </c>
      <c r="H7906" s="10" t="n">
        <f aca="false">F7906*G7906</f>
        <v>2346</v>
      </c>
      <c r="I7906" s="6" t="s">
        <v>5122</v>
      </c>
    </row>
    <row r="7907" customFormat="false" ht="15" hidden="false" customHeight="false" outlineLevel="0" collapsed="false">
      <c r="A7907" s="6" t="s">
        <v>13131</v>
      </c>
      <c r="B7907" s="6" t="s">
        <v>637</v>
      </c>
      <c r="C7907" s="26" t="n">
        <v>46252</v>
      </c>
      <c r="D7907" s="6" t="s">
        <v>5171</v>
      </c>
      <c r="E7907" s="6" t="s">
        <v>23</v>
      </c>
      <c r="F7907" s="6" t="n">
        <v>1</v>
      </c>
      <c r="G7907" s="10" t="n">
        <v>734</v>
      </c>
      <c r="H7907" s="10" t="n">
        <f aca="false">F7907*G7907</f>
        <v>734</v>
      </c>
      <c r="I7907" s="6" t="s">
        <v>5122</v>
      </c>
    </row>
    <row r="7908" customFormat="false" ht="15" hidden="false" customHeight="false" outlineLevel="0" collapsed="false">
      <c r="A7908" s="6" t="s">
        <v>13132</v>
      </c>
      <c r="B7908" s="6" t="s">
        <v>1279</v>
      </c>
      <c r="C7908" s="26" t="n">
        <v>46252</v>
      </c>
      <c r="D7908" s="6" t="s">
        <v>5339</v>
      </c>
      <c r="E7908" s="6" t="s">
        <v>24</v>
      </c>
      <c r="F7908" s="6" t="n">
        <v>2</v>
      </c>
      <c r="G7908" s="10" t="n">
        <v>483</v>
      </c>
      <c r="H7908" s="10" t="n">
        <f aca="false">F7908*G7908</f>
        <v>966</v>
      </c>
      <c r="I7908" s="6" t="s">
        <v>5122</v>
      </c>
    </row>
    <row r="7909" customFormat="false" ht="15" hidden="false" customHeight="false" outlineLevel="0" collapsed="false">
      <c r="A7909" s="6" t="s">
        <v>13133</v>
      </c>
      <c r="B7909" s="6" t="s">
        <v>1789</v>
      </c>
      <c r="C7909" s="26" t="n">
        <v>46252</v>
      </c>
      <c r="D7909" s="6" t="s">
        <v>5154</v>
      </c>
      <c r="E7909" s="6" t="s">
        <v>21</v>
      </c>
      <c r="F7909" s="6" t="n">
        <v>1</v>
      </c>
      <c r="G7909" s="10" t="n">
        <v>785</v>
      </c>
      <c r="H7909" s="10" t="n">
        <f aca="false">F7909*G7909</f>
        <v>785</v>
      </c>
      <c r="I7909" s="6" t="s">
        <v>5125</v>
      </c>
    </row>
    <row r="7910" customFormat="false" ht="15" hidden="false" customHeight="false" outlineLevel="0" collapsed="false">
      <c r="A7910" s="6" t="s">
        <v>13134</v>
      </c>
      <c r="B7910" s="6" t="s">
        <v>3987</v>
      </c>
      <c r="C7910" s="26" t="n">
        <v>46252</v>
      </c>
      <c r="D7910" s="6" t="s">
        <v>5171</v>
      </c>
      <c r="E7910" s="6" t="s">
        <v>23</v>
      </c>
      <c r="F7910" s="6" t="n">
        <v>2</v>
      </c>
      <c r="G7910" s="10" t="n">
        <v>661</v>
      </c>
      <c r="H7910" s="10" t="n">
        <f aca="false">F7910*G7910</f>
        <v>1322</v>
      </c>
      <c r="I7910" s="6" t="s">
        <v>5125</v>
      </c>
    </row>
    <row r="7911" customFormat="false" ht="15" hidden="false" customHeight="false" outlineLevel="0" collapsed="false">
      <c r="A7911" s="6" t="s">
        <v>13135</v>
      </c>
      <c r="B7911" s="6" t="s">
        <v>3247</v>
      </c>
      <c r="C7911" s="26" t="n">
        <v>46252</v>
      </c>
      <c r="D7911" s="6" t="s">
        <v>5154</v>
      </c>
      <c r="E7911" s="6" t="s">
        <v>21</v>
      </c>
      <c r="F7911" s="6" t="n">
        <v>1</v>
      </c>
      <c r="G7911" s="10" t="n">
        <v>746</v>
      </c>
      <c r="H7911" s="10" t="n">
        <f aca="false">F7911*G7911</f>
        <v>746</v>
      </c>
      <c r="I7911" s="6" t="s">
        <v>5148</v>
      </c>
    </row>
    <row r="7912" customFormat="false" ht="15" hidden="false" customHeight="false" outlineLevel="0" collapsed="false">
      <c r="A7912" s="6" t="s">
        <v>13136</v>
      </c>
      <c r="B7912" s="6" t="s">
        <v>569</v>
      </c>
      <c r="C7912" s="26" t="n">
        <v>46252</v>
      </c>
      <c r="D7912" s="6" t="s">
        <v>5147</v>
      </c>
      <c r="E7912" s="6" t="s">
        <v>24</v>
      </c>
      <c r="F7912" s="6" t="n">
        <v>1</v>
      </c>
      <c r="G7912" s="10" t="n">
        <v>596</v>
      </c>
      <c r="H7912" s="10" t="n">
        <f aca="false">F7912*G7912</f>
        <v>596</v>
      </c>
      <c r="I7912" s="6" t="s">
        <v>5173</v>
      </c>
    </row>
    <row r="7913" customFormat="false" ht="15" hidden="false" customHeight="false" outlineLevel="0" collapsed="false">
      <c r="A7913" s="6" t="s">
        <v>13137</v>
      </c>
      <c r="B7913" s="6" t="s">
        <v>1865</v>
      </c>
      <c r="C7913" s="26" t="n">
        <v>46252</v>
      </c>
      <c r="D7913" s="6" t="s">
        <v>5383</v>
      </c>
      <c r="E7913" s="6" t="s">
        <v>20</v>
      </c>
      <c r="F7913" s="6" t="n">
        <v>1</v>
      </c>
      <c r="G7913" s="10" t="n">
        <v>1120</v>
      </c>
      <c r="H7913" s="10" t="n">
        <f aca="false">F7913*G7913</f>
        <v>1120</v>
      </c>
      <c r="I7913" s="6" t="s">
        <v>5122</v>
      </c>
    </row>
    <row r="7914" customFormat="false" ht="15" hidden="false" customHeight="false" outlineLevel="0" collapsed="false">
      <c r="A7914" s="6" t="s">
        <v>13138</v>
      </c>
      <c r="B7914" s="6" t="s">
        <v>4017</v>
      </c>
      <c r="C7914" s="26" t="n">
        <v>46252</v>
      </c>
      <c r="D7914" s="6" t="s">
        <v>5482</v>
      </c>
      <c r="E7914" s="6" t="s">
        <v>23</v>
      </c>
      <c r="F7914" s="6" t="n">
        <v>3</v>
      </c>
      <c r="G7914" s="10" t="n">
        <v>256</v>
      </c>
      <c r="H7914" s="10" t="n">
        <f aca="false">F7914*G7914</f>
        <v>768</v>
      </c>
      <c r="I7914" s="6" t="s">
        <v>5148</v>
      </c>
    </row>
    <row r="7915" customFormat="false" ht="15" hidden="false" customHeight="false" outlineLevel="0" collapsed="false">
      <c r="A7915" s="6" t="s">
        <v>13139</v>
      </c>
      <c r="B7915" s="6" t="s">
        <v>599</v>
      </c>
      <c r="C7915" s="26" t="n">
        <v>46252</v>
      </c>
      <c r="D7915" s="6" t="s">
        <v>5216</v>
      </c>
      <c r="E7915" s="6" t="s">
        <v>23</v>
      </c>
      <c r="F7915" s="6" t="n">
        <v>4</v>
      </c>
      <c r="G7915" s="10" t="n">
        <v>528</v>
      </c>
      <c r="H7915" s="10" t="n">
        <f aca="false">F7915*G7915</f>
        <v>2112</v>
      </c>
      <c r="I7915" s="6" t="s">
        <v>5148</v>
      </c>
    </row>
    <row r="7916" customFormat="false" ht="15" hidden="false" customHeight="false" outlineLevel="0" collapsed="false">
      <c r="A7916" s="6" t="s">
        <v>13140</v>
      </c>
      <c r="B7916" s="6" t="s">
        <v>833</v>
      </c>
      <c r="C7916" s="26" t="n">
        <v>46252</v>
      </c>
      <c r="D7916" s="6" t="s">
        <v>5216</v>
      </c>
      <c r="E7916" s="6" t="s">
        <v>23</v>
      </c>
      <c r="F7916" s="6" t="n">
        <v>3</v>
      </c>
      <c r="G7916" s="10" t="n">
        <v>558</v>
      </c>
      <c r="H7916" s="10" t="n">
        <f aca="false">F7916*G7916</f>
        <v>1674</v>
      </c>
      <c r="I7916" s="6" t="s">
        <v>5148</v>
      </c>
    </row>
    <row r="7917" customFormat="false" ht="15" hidden="false" customHeight="false" outlineLevel="0" collapsed="false">
      <c r="A7917" s="6" t="s">
        <v>13141</v>
      </c>
      <c r="B7917" s="6" t="s">
        <v>3985</v>
      </c>
      <c r="C7917" s="26" t="n">
        <v>46252</v>
      </c>
      <c r="D7917" s="6" t="s">
        <v>5357</v>
      </c>
      <c r="E7917" s="6" t="s">
        <v>23</v>
      </c>
      <c r="F7917" s="6" t="n">
        <v>2</v>
      </c>
      <c r="G7917" s="10" t="n">
        <v>481</v>
      </c>
      <c r="H7917" s="10" t="n">
        <f aca="false">F7917*G7917</f>
        <v>962</v>
      </c>
      <c r="I7917" s="6" t="s">
        <v>5122</v>
      </c>
    </row>
    <row r="7918" customFormat="false" ht="15" hidden="false" customHeight="false" outlineLevel="0" collapsed="false">
      <c r="A7918" s="6" t="s">
        <v>13142</v>
      </c>
      <c r="B7918" s="6" t="s">
        <v>4727</v>
      </c>
      <c r="C7918" s="26" t="n">
        <v>46252</v>
      </c>
      <c r="D7918" s="6" t="s">
        <v>5143</v>
      </c>
      <c r="E7918" s="6" t="s">
        <v>21</v>
      </c>
      <c r="F7918" s="6" t="n">
        <v>1</v>
      </c>
      <c r="G7918" s="10" t="n">
        <v>1179</v>
      </c>
      <c r="H7918" s="10" t="n">
        <f aca="false">F7918*G7918</f>
        <v>1179</v>
      </c>
      <c r="I7918" s="6" t="s">
        <v>5122</v>
      </c>
    </row>
    <row r="7919" customFormat="false" ht="15" hidden="false" customHeight="false" outlineLevel="0" collapsed="false">
      <c r="A7919" s="6" t="s">
        <v>13143</v>
      </c>
      <c r="B7919" s="6" t="s">
        <v>4297</v>
      </c>
      <c r="C7919" s="26" t="n">
        <v>46252</v>
      </c>
      <c r="D7919" s="6" t="s">
        <v>5237</v>
      </c>
      <c r="E7919" s="6" t="s">
        <v>24</v>
      </c>
      <c r="F7919" s="6" t="n">
        <v>2</v>
      </c>
      <c r="G7919" s="10" t="n">
        <v>1833</v>
      </c>
      <c r="H7919" s="10" t="n">
        <f aca="false">F7919*G7919</f>
        <v>3666</v>
      </c>
      <c r="I7919" s="6" t="s">
        <v>5122</v>
      </c>
    </row>
    <row r="7920" customFormat="false" ht="15" hidden="false" customHeight="false" outlineLevel="0" collapsed="false">
      <c r="A7920" s="6" t="s">
        <v>13144</v>
      </c>
      <c r="B7920" s="6" t="s">
        <v>4037</v>
      </c>
      <c r="C7920" s="26" t="n">
        <v>46252</v>
      </c>
      <c r="D7920" s="6" t="s">
        <v>5160</v>
      </c>
      <c r="E7920" s="6" t="s">
        <v>21</v>
      </c>
      <c r="F7920" s="6" t="n">
        <v>2</v>
      </c>
      <c r="G7920" s="10" t="n">
        <v>2476</v>
      </c>
      <c r="H7920" s="10" t="n">
        <f aca="false">F7920*G7920</f>
        <v>4952</v>
      </c>
      <c r="I7920" s="6" t="s">
        <v>5130</v>
      </c>
    </row>
    <row r="7921" customFormat="false" ht="15" hidden="false" customHeight="false" outlineLevel="0" collapsed="false">
      <c r="A7921" s="6" t="s">
        <v>13145</v>
      </c>
      <c r="B7921" s="6" t="s">
        <v>695</v>
      </c>
      <c r="C7921" s="26" t="n">
        <v>46252</v>
      </c>
      <c r="D7921" s="6" t="s">
        <v>5163</v>
      </c>
      <c r="E7921" s="6" t="s">
        <v>23</v>
      </c>
      <c r="F7921" s="6" t="n">
        <v>3</v>
      </c>
      <c r="G7921" s="10" t="n">
        <v>744</v>
      </c>
      <c r="H7921" s="10" t="n">
        <f aca="false">F7921*G7921</f>
        <v>2232</v>
      </c>
      <c r="I7921" s="6" t="s">
        <v>5122</v>
      </c>
    </row>
    <row r="7922" customFormat="false" ht="15" hidden="false" customHeight="false" outlineLevel="0" collapsed="false">
      <c r="A7922" s="6" t="s">
        <v>13146</v>
      </c>
      <c r="B7922" s="6" t="s">
        <v>184</v>
      </c>
      <c r="C7922" s="26" t="n">
        <v>46252</v>
      </c>
      <c r="D7922" s="6" t="s">
        <v>5121</v>
      </c>
      <c r="E7922" s="6" t="s">
        <v>22</v>
      </c>
      <c r="F7922" s="6" t="n">
        <v>1</v>
      </c>
      <c r="G7922" s="10" t="n">
        <v>977</v>
      </c>
      <c r="H7922" s="10" t="n">
        <f aca="false">F7922*G7922</f>
        <v>977</v>
      </c>
      <c r="I7922" s="6" t="s">
        <v>5122</v>
      </c>
    </row>
    <row r="7923" customFormat="false" ht="15" hidden="false" customHeight="false" outlineLevel="0" collapsed="false">
      <c r="A7923" s="6" t="s">
        <v>13147</v>
      </c>
      <c r="B7923" s="6" t="s">
        <v>297</v>
      </c>
      <c r="C7923" s="26" t="n">
        <v>46252</v>
      </c>
      <c r="D7923" s="6" t="s">
        <v>5167</v>
      </c>
      <c r="E7923" s="6" t="s">
        <v>22</v>
      </c>
      <c r="F7923" s="6" t="n">
        <v>2</v>
      </c>
      <c r="G7923" s="10" t="n">
        <v>703</v>
      </c>
      <c r="H7923" s="10" t="n">
        <f aca="false">F7923*G7923</f>
        <v>1406</v>
      </c>
      <c r="I7923" s="6" t="s">
        <v>5122</v>
      </c>
    </row>
    <row r="7924" customFormat="false" ht="15" hidden="false" customHeight="false" outlineLevel="0" collapsed="false">
      <c r="A7924" s="6" t="s">
        <v>13148</v>
      </c>
      <c r="B7924" s="6" t="s">
        <v>3101</v>
      </c>
      <c r="C7924" s="26" t="n">
        <v>46252</v>
      </c>
      <c r="D7924" s="6" t="s">
        <v>5200</v>
      </c>
      <c r="E7924" s="6" t="s">
        <v>24</v>
      </c>
      <c r="F7924" s="6" t="n">
        <v>1</v>
      </c>
      <c r="G7924" s="10" t="n">
        <v>763</v>
      </c>
      <c r="H7924" s="10" t="n">
        <f aca="false">F7924*G7924</f>
        <v>763</v>
      </c>
      <c r="I7924" s="6" t="s">
        <v>5133</v>
      </c>
    </row>
    <row r="7925" customFormat="false" ht="15" hidden="false" customHeight="false" outlineLevel="0" collapsed="false">
      <c r="A7925" s="6" t="s">
        <v>13149</v>
      </c>
      <c r="B7925" s="6" t="s">
        <v>4987</v>
      </c>
      <c r="C7925" s="26" t="n">
        <v>46252</v>
      </c>
      <c r="D7925" s="6" t="s">
        <v>5197</v>
      </c>
      <c r="E7925" s="6" t="s">
        <v>21</v>
      </c>
      <c r="F7925" s="6" t="n">
        <v>1</v>
      </c>
      <c r="G7925" s="10" t="n">
        <v>972</v>
      </c>
      <c r="H7925" s="10" t="n">
        <f aca="false">F7925*G7925</f>
        <v>972</v>
      </c>
      <c r="I7925" s="6" t="s">
        <v>5122</v>
      </c>
    </row>
    <row r="7926" customFormat="false" ht="15" hidden="false" customHeight="false" outlineLevel="0" collapsed="false">
      <c r="A7926" s="6" t="s">
        <v>13150</v>
      </c>
      <c r="B7926" s="6" t="s">
        <v>3801</v>
      </c>
      <c r="C7926" s="26" t="n">
        <v>46252</v>
      </c>
      <c r="D7926" s="6" t="s">
        <v>5807</v>
      </c>
      <c r="E7926" s="6" t="s">
        <v>20</v>
      </c>
      <c r="F7926" s="6" t="n">
        <v>1</v>
      </c>
      <c r="G7926" s="10" t="n">
        <v>15296</v>
      </c>
      <c r="H7926" s="10" t="n">
        <f aca="false">F7926*G7926</f>
        <v>15296</v>
      </c>
      <c r="I7926" s="6" t="s">
        <v>5122</v>
      </c>
    </row>
    <row r="7927" customFormat="false" ht="15" hidden="false" customHeight="false" outlineLevel="0" collapsed="false">
      <c r="A7927" s="6" t="s">
        <v>13151</v>
      </c>
      <c r="B7927" s="6" t="s">
        <v>2149</v>
      </c>
      <c r="C7927" s="26" t="n">
        <v>46252</v>
      </c>
      <c r="D7927" s="6" t="s">
        <v>5194</v>
      </c>
      <c r="E7927" s="6" t="s">
        <v>22</v>
      </c>
      <c r="F7927" s="6" t="n">
        <v>1</v>
      </c>
      <c r="G7927" s="10" t="n">
        <v>2151</v>
      </c>
      <c r="H7927" s="10" t="n">
        <f aca="false">F7927*G7927</f>
        <v>2151</v>
      </c>
      <c r="I7927" s="6" t="s">
        <v>5122</v>
      </c>
    </row>
    <row r="7928" customFormat="false" ht="15" hidden="false" customHeight="false" outlineLevel="0" collapsed="false">
      <c r="A7928" s="6" t="s">
        <v>13152</v>
      </c>
      <c r="B7928" s="6" t="s">
        <v>2641</v>
      </c>
      <c r="C7928" s="26" t="n">
        <v>46252</v>
      </c>
      <c r="D7928" s="6" t="s">
        <v>5163</v>
      </c>
      <c r="E7928" s="6" t="s">
        <v>23</v>
      </c>
      <c r="F7928" s="6" t="n">
        <v>2</v>
      </c>
      <c r="G7928" s="10" t="n">
        <v>744</v>
      </c>
      <c r="H7928" s="10" t="n">
        <f aca="false">F7928*G7928</f>
        <v>1488</v>
      </c>
      <c r="I7928" s="6" t="s">
        <v>5122</v>
      </c>
    </row>
    <row r="7929" customFormat="false" ht="15" hidden="false" customHeight="false" outlineLevel="0" collapsed="false">
      <c r="A7929" s="6" t="s">
        <v>13153</v>
      </c>
      <c r="B7929" s="6" t="s">
        <v>4033</v>
      </c>
      <c r="C7929" s="26" t="n">
        <v>46252</v>
      </c>
      <c r="D7929" s="6" t="s">
        <v>5167</v>
      </c>
      <c r="E7929" s="6" t="s">
        <v>22</v>
      </c>
      <c r="F7929" s="6" t="n">
        <v>1</v>
      </c>
      <c r="G7929" s="10" t="n">
        <v>743</v>
      </c>
      <c r="H7929" s="10" t="n">
        <f aca="false">F7929*G7929</f>
        <v>743</v>
      </c>
      <c r="I7929" s="6" t="s">
        <v>5122</v>
      </c>
    </row>
    <row r="7930" customFormat="false" ht="15" hidden="false" customHeight="false" outlineLevel="0" collapsed="false">
      <c r="A7930" s="6" t="s">
        <v>13154</v>
      </c>
      <c r="B7930" s="6" t="s">
        <v>2097</v>
      </c>
      <c r="C7930" s="26" t="n">
        <v>46252</v>
      </c>
      <c r="D7930" s="6" t="s">
        <v>5150</v>
      </c>
      <c r="E7930" s="6" t="s">
        <v>24</v>
      </c>
      <c r="F7930" s="6" t="n">
        <v>1</v>
      </c>
      <c r="G7930" s="10" t="n">
        <v>508</v>
      </c>
      <c r="H7930" s="10" t="n">
        <f aca="false">F7930*G7930</f>
        <v>508</v>
      </c>
      <c r="I7930" s="6" t="s">
        <v>5130</v>
      </c>
    </row>
    <row r="7931" customFormat="false" ht="15" hidden="false" customHeight="false" outlineLevel="0" collapsed="false">
      <c r="A7931" s="6" t="s">
        <v>13155</v>
      </c>
      <c r="B7931" s="6" t="s">
        <v>3177</v>
      </c>
      <c r="C7931" s="26" t="n">
        <v>46252</v>
      </c>
      <c r="D7931" s="6" t="s">
        <v>5588</v>
      </c>
      <c r="E7931" s="6" t="s">
        <v>21</v>
      </c>
      <c r="F7931" s="6" t="n">
        <v>1</v>
      </c>
      <c r="G7931" s="10" t="n">
        <v>10615</v>
      </c>
      <c r="H7931" s="10" t="n">
        <f aca="false">F7931*G7931</f>
        <v>10615</v>
      </c>
      <c r="I7931" s="6" t="s">
        <v>5122</v>
      </c>
    </row>
    <row r="7932" customFormat="false" ht="15" hidden="false" customHeight="false" outlineLevel="0" collapsed="false">
      <c r="A7932" s="6" t="s">
        <v>13156</v>
      </c>
      <c r="B7932" s="6" t="s">
        <v>2051</v>
      </c>
      <c r="C7932" s="26" t="n">
        <v>46253</v>
      </c>
      <c r="D7932" s="6" t="s">
        <v>5423</v>
      </c>
      <c r="E7932" s="6" t="s">
        <v>21</v>
      </c>
      <c r="F7932" s="6" t="n">
        <v>1</v>
      </c>
      <c r="G7932" s="10" t="n">
        <v>3243</v>
      </c>
      <c r="H7932" s="10" t="n">
        <f aca="false">F7932*G7932</f>
        <v>3243</v>
      </c>
      <c r="I7932" s="6" t="s">
        <v>5130</v>
      </c>
    </row>
    <row r="7933" customFormat="false" ht="15" hidden="false" customHeight="false" outlineLevel="0" collapsed="false">
      <c r="A7933" s="6" t="s">
        <v>13157</v>
      </c>
      <c r="B7933" s="6" t="s">
        <v>3471</v>
      </c>
      <c r="C7933" s="26" t="n">
        <v>46253</v>
      </c>
      <c r="D7933" s="6" t="s">
        <v>5197</v>
      </c>
      <c r="E7933" s="6" t="s">
        <v>21</v>
      </c>
      <c r="F7933" s="6" t="n">
        <v>1</v>
      </c>
      <c r="G7933" s="10" t="n">
        <v>1027</v>
      </c>
      <c r="H7933" s="10" t="n">
        <f aca="false">F7933*G7933</f>
        <v>1027</v>
      </c>
      <c r="I7933" s="6" t="s">
        <v>5122</v>
      </c>
    </row>
    <row r="7934" customFormat="false" ht="15" hidden="false" customHeight="false" outlineLevel="0" collapsed="false">
      <c r="A7934" s="6" t="s">
        <v>13158</v>
      </c>
      <c r="B7934" s="6" t="s">
        <v>659</v>
      </c>
      <c r="C7934" s="26" t="n">
        <v>46253</v>
      </c>
      <c r="D7934" s="6" t="s">
        <v>5127</v>
      </c>
      <c r="E7934" s="6" t="s">
        <v>21</v>
      </c>
      <c r="F7934" s="6" t="n">
        <v>1</v>
      </c>
      <c r="G7934" s="10" t="n">
        <v>839</v>
      </c>
      <c r="H7934" s="10" t="n">
        <f aca="false">F7934*G7934</f>
        <v>839</v>
      </c>
      <c r="I7934" s="6" t="s">
        <v>5148</v>
      </c>
    </row>
    <row r="7935" customFormat="false" ht="15" hidden="false" customHeight="false" outlineLevel="0" collapsed="false">
      <c r="A7935" s="6" t="s">
        <v>13159</v>
      </c>
      <c r="B7935" s="6" t="s">
        <v>4747</v>
      </c>
      <c r="C7935" s="26" t="n">
        <v>46253</v>
      </c>
      <c r="D7935" s="6" t="s">
        <v>5216</v>
      </c>
      <c r="E7935" s="6" t="s">
        <v>23</v>
      </c>
      <c r="F7935" s="6" t="n">
        <v>2</v>
      </c>
      <c r="G7935" s="10" t="n">
        <v>587</v>
      </c>
      <c r="H7935" s="10" t="n">
        <f aca="false">F7935*G7935</f>
        <v>1174</v>
      </c>
      <c r="I7935" s="6" t="s">
        <v>5122</v>
      </c>
    </row>
    <row r="7936" customFormat="false" ht="15" hidden="false" customHeight="false" outlineLevel="0" collapsed="false">
      <c r="A7936" s="6" t="s">
        <v>13160</v>
      </c>
      <c r="B7936" s="6" t="s">
        <v>1811</v>
      </c>
      <c r="C7936" s="26" t="n">
        <v>46253</v>
      </c>
      <c r="D7936" s="6" t="s">
        <v>5216</v>
      </c>
      <c r="E7936" s="6" t="s">
        <v>23</v>
      </c>
      <c r="F7936" s="6" t="n">
        <v>1</v>
      </c>
      <c r="G7936" s="10" t="n">
        <v>587</v>
      </c>
      <c r="H7936" s="10" t="n">
        <f aca="false">F7936*G7936</f>
        <v>587</v>
      </c>
      <c r="I7936" s="6" t="s">
        <v>5122</v>
      </c>
    </row>
    <row r="7937" customFormat="false" ht="15" hidden="false" customHeight="false" outlineLevel="0" collapsed="false">
      <c r="A7937" s="6" t="s">
        <v>13161</v>
      </c>
      <c r="B7937" s="6" t="s">
        <v>1399</v>
      </c>
      <c r="C7937" s="26" t="n">
        <v>46253</v>
      </c>
      <c r="D7937" s="6" t="s">
        <v>5167</v>
      </c>
      <c r="E7937" s="6" t="s">
        <v>22</v>
      </c>
      <c r="F7937" s="6" t="n">
        <v>2</v>
      </c>
      <c r="G7937" s="10" t="n">
        <v>703</v>
      </c>
      <c r="H7937" s="10" t="n">
        <f aca="false">F7937*G7937</f>
        <v>1406</v>
      </c>
      <c r="I7937" s="6" t="s">
        <v>5148</v>
      </c>
    </row>
    <row r="7938" customFormat="false" ht="15" hidden="false" customHeight="false" outlineLevel="0" collapsed="false">
      <c r="A7938" s="6" t="s">
        <v>13162</v>
      </c>
      <c r="B7938" s="6" t="s">
        <v>1157</v>
      </c>
      <c r="C7938" s="26" t="n">
        <v>46253</v>
      </c>
      <c r="D7938" s="6" t="s">
        <v>5137</v>
      </c>
      <c r="E7938" s="6" t="s">
        <v>21</v>
      </c>
      <c r="F7938" s="6" t="n">
        <v>2</v>
      </c>
      <c r="G7938" s="10" t="n">
        <v>1591</v>
      </c>
      <c r="H7938" s="10" t="n">
        <f aca="false">F7938*G7938</f>
        <v>3182</v>
      </c>
      <c r="I7938" s="6" t="s">
        <v>5122</v>
      </c>
    </row>
    <row r="7939" customFormat="false" ht="15" hidden="false" customHeight="false" outlineLevel="0" collapsed="false">
      <c r="A7939" s="6" t="s">
        <v>13163</v>
      </c>
      <c r="B7939" s="6" t="s">
        <v>4197</v>
      </c>
      <c r="C7939" s="26" t="n">
        <v>46253</v>
      </c>
      <c r="D7939" s="6" t="s">
        <v>5423</v>
      </c>
      <c r="E7939" s="6" t="s">
        <v>21</v>
      </c>
      <c r="F7939" s="6" t="n">
        <v>1</v>
      </c>
      <c r="G7939" s="10" t="n">
        <v>3243</v>
      </c>
      <c r="H7939" s="10" t="n">
        <f aca="false">F7939*G7939</f>
        <v>3243</v>
      </c>
      <c r="I7939" s="6" t="s">
        <v>5122</v>
      </c>
    </row>
    <row r="7940" customFormat="false" ht="15" hidden="false" customHeight="false" outlineLevel="0" collapsed="false">
      <c r="A7940" s="6" t="s">
        <v>13164</v>
      </c>
      <c r="B7940" s="6" t="s">
        <v>1027</v>
      </c>
      <c r="C7940" s="26" t="n">
        <v>46253</v>
      </c>
      <c r="D7940" s="6" t="s">
        <v>5216</v>
      </c>
      <c r="E7940" s="6" t="s">
        <v>23</v>
      </c>
      <c r="F7940" s="6" t="n">
        <v>2</v>
      </c>
      <c r="G7940" s="10" t="n">
        <v>587</v>
      </c>
      <c r="H7940" s="10" t="n">
        <f aca="false">F7940*G7940</f>
        <v>1174</v>
      </c>
      <c r="I7940" s="6" t="s">
        <v>5148</v>
      </c>
    </row>
    <row r="7941" customFormat="false" ht="15" hidden="false" customHeight="false" outlineLevel="0" collapsed="false">
      <c r="A7941" s="6" t="s">
        <v>13165</v>
      </c>
      <c r="B7941" s="6" t="s">
        <v>4707</v>
      </c>
      <c r="C7941" s="26" t="n">
        <v>46253</v>
      </c>
      <c r="D7941" s="6" t="s">
        <v>5165</v>
      </c>
      <c r="E7941" s="6" t="s">
        <v>22</v>
      </c>
      <c r="F7941" s="6" t="n">
        <v>1</v>
      </c>
      <c r="G7941" s="10" t="n">
        <v>977</v>
      </c>
      <c r="H7941" s="10" t="n">
        <f aca="false">F7941*G7941</f>
        <v>977</v>
      </c>
      <c r="I7941" s="6" t="s">
        <v>5122</v>
      </c>
    </row>
    <row r="7942" customFormat="false" ht="15" hidden="false" customHeight="false" outlineLevel="0" collapsed="false">
      <c r="A7942" s="6" t="s">
        <v>13166</v>
      </c>
      <c r="B7942" s="6" t="s">
        <v>3603</v>
      </c>
      <c r="C7942" s="26" t="n">
        <v>46253</v>
      </c>
      <c r="D7942" s="6" t="s">
        <v>5171</v>
      </c>
      <c r="E7942" s="6" t="s">
        <v>23</v>
      </c>
      <c r="F7942" s="6" t="n">
        <v>3</v>
      </c>
      <c r="G7942" s="10" t="n">
        <v>734</v>
      </c>
      <c r="H7942" s="10" t="n">
        <f aca="false">F7942*G7942</f>
        <v>2202</v>
      </c>
      <c r="I7942" s="6" t="s">
        <v>5130</v>
      </c>
    </row>
    <row r="7943" customFormat="false" ht="15" hidden="false" customHeight="false" outlineLevel="0" collapsed="false">
      <c r="A7943" s="6" t="s">
        <v>13167</v>
      </c>
      <c r="B7943" s="6" t="s">
        <v>3433</v>
      </c>
      <c r="C7943" s="26" t="n">
        <v>46253</v>
      </c>
      <c r="D7943" s="6" t="s">
        <v>5121</v>
      </c>
      <c r="E7943" s="6" t="s">
        <v>22</v>
      </c>
      <c r="F7943" s="6" t="n">
        <v>3</v>
      </c>
      <c r="G7943" s="10" t="n">
        <v>977</v>
      </c>
      <c r="H7943" s="10" t="n">
        <f aca="false">F7943*G7943</f>
        <v>2931</v>
      </c>
      <c r="I7943" s="6" t="s">
        <v>5122</v>
      </c>
    </row>
    <row r="7944" customFormat="false" ht="15" hidden="false" customHeight="false" outlineLevel="0" collapsed="false">
      <c r="A7944" s="6" t="s">
        <v>13168</v>
      </c>
      <c r="B7944" s="6" t="s">
        <v>3927</v>
      </c>
      <c r="C7944" s="26" t="n">
        <v>46253</v>
      </c>
      <c r="D7944" s="6" t="s">
        <v>6109</v>
      </c>
      <c r="E7944" s="6" t="s">
        <v>20</v>
      </c>
      <c r="F7944" s="6" t="n">
        <v>1</v>
      </c>
      <c r="G7944" s="10" t="n">
        <v>43850</v>
      </c>
      <c r="H7944" s="10" t="n">
        <f aca="false">F7944*G7944</f>
        <v>43850</v>
      </c>
      <c r="I7944" s="6" t="s">
        <v>5130</v>
      </c>
    </row>
    <row r="7945" customFormat="false" ht="15" hidden="false" customHeight="false" outlineLevel="0" collapsed="false">
      <c r="A7945" s="6" t="s">
        <v>13169</v>
      </c>
      <c r="B7945" s="6" t="s">
        <v>2243</v>
      </c>
      <c r="C7945" s="26" t="n">
        <v>46253</v>
      </c>
      <c r="D7945" s="6" t="s">
        <v>5121</v>
      </c>
      <c r="E7945" s="6" t="s">
        <v>22</v>
      </c>
      <c r="F7945" s="6" t="n">
        <v>1</v>
      </c>
      <c r="G7945" s="10" t="n">
        <v>977</v>
      </c>
      <c r="H7945" s="10" t="n">
        <f aca="false">F7945*G7945</f>
        <v>977</v>
      </c>
      <c r="I7945" s="6" t="s">
        <v>5125</v>
      </c>
    </row>
    <row r="7946" customFormat="false" ht="15" hidden="false" customHeight="false" outlineLevel="0" collapsed="false">
      <c r="A7946" s="6" t="s">
        <v>13170</v>
      </c>
      <c r="B7946" s="6" t="s">
        <v>2935</v>
      </c>
      <c r="C7946" s="26" t="n">
        <v>46253</v>
      </c>
      <c r="D7946" s="6" t="s">
        <v>5281</v>
      </c>
      <c r="E7946" s="6" t="s">
        <v>24</v>
      </c>
      <c r="F7946" s="6" t="n">
        <v>1</v>
      </c>
      <c r="G7946" s="10" t="n">
        <v>815</v>
      </c>
      <c r="H7946" s="10" t="n">
        <f aca="false">F7946*G7946</f>
        <v>815</v>
      </c>
      <c r="I7946" s="6" t="s">
        <v>5130</v>
      </c>
    </row>
    <row r="7947" customFormat="false" ht="15" hidden="false" customHeight="false" outlineLevel="0" collapsed="false">
      <c r="A7947" s="6" t="s">
        <v>13171</v>
      </c>
      <c r="B7947" s="6" t="s">
        <v>2035</v>
      </c>
      <c r="C7947" s="26" t="n">
        <v>46253</v>
      </c>
      <c r="D7947" s="6" t="s">
        <v>5345</v>
      </c>
      <c r="E7947" s="6" t="s">
        <v>23</v>
      </c>
      <c r="F7947" s="6" t="n">
        <v>4</v>
      </c>
      <c r="G7947" s="10" t="n">
        <v>436</v>
      </c>
      <c r="H7947" s="10" t="n">
        <f aca="false">F7947*G7947</f>
        <v>1744</v>
      </c>
      <c r="I7947" s="6" t="s">
        <v>5125</v>
      </c>
    </row>
    <row r="7948" customFormat="false" ht="15" hidden="false" customHeight="false" outlineLevel="0" collapsed="false">
      <c r="A7948" s="6" t="s">
        <v>13172</v>
      </c>
      <c r="B7948" s="6" t="s">
        <v>691</v>
      </c>
      <c r="C7948" s="26" t="n">
        <v>46253</v>
      </c>
      <c r="D7948" s="6" t="s">
        <v>5163</v>
      </c>
      <c r="E7948" s="6" t="s">
        <v>23</v>
      </c>
      <c r="F7948" s="6" t="n">
        <v>3</v>
      </c>
      <c r="G7948" s="10" t="n">
        <v>705</v>
      </c>
      <c r="H7948" s="10" t="n">
        <f aca="false">F7948*G7948</f>
        <v>2115</v>
      </c>
      <c r="I7948" s="6" t="s">
        <v>5148</v>
      </c>
    </row>
    <row r="7949" customFormat="false" ht="15" hidden="false" customHeight="false" outlineLevel="0" collapsed="false">
      <c r="A7949" s="6" t="s">
        <v>13173</v>
      </c>
      <c r="B7949" s="6" t="s">
        <v>4909</v>
      </c>
      <c r="C7949" s="26" t="n">
        <v>46253</v>
      </c>
      <c r="D7949" s="6" t="s">
        <v>5357</v>
      </c>
      <c r="E7949" s="6" t="s">
        <v>23</v>
      </c>
      <c r="F7949" s="6" t="n">
        <v>2</v>
      </c>
      <c r="G7949" s="10" t="n">
        <v>534</v>
      </c>
      <c r="H7949" s="10" t="n">
        <f aca="false">F7949*G7949</f>
        <v>1068</v>
      </c>
      <c r="I7949" s="6" t="s">
        <v>5122</v>
      </c>
    </row>
    <row r="7950" customFormat="false" ht="15" hidden="false" customHeight="false" outlineLevel="0" collapsed="false">
      <c r="A7950" s="6" t="s">
        <v>13174</v>
      </c>
      <c r="B7950" s="6" t="s">
        <v>3009</v>
      </c>
      <c r="C7950" s="26" t="n">
        <v>46253</v>
      </c>
      <c r="D7950" s="6" t="s">
        <v>5345</v>
      </c>
      <c r="E7950" s="6" t="s">
        <v>23</v>
      </c>
      <c r="F7950" s="6" t="n">
        <v>4</v>
      </c>
      <c r="G7950" s="10" t="n">
        <v>436</v>
      </c>
      <c r="H7950" s="10" t="n">
        <f aca="false">F7950*G7950</f>
        <v>1744</v>
      </c>
      <c r="I7950" s="6" t="s">
        <v>5125</v>
      </c>
    </row>
    <row r="7951" customFormat="false" ht="15" hidden="false" customHeight="false" outlineLevel="0" collapsed="false">
      <c r="A7951" s="6" t="s">
        <v>13175</v>
      </c>
      <c r="B7951" s="6" t="s">
        <v>3385</v>
      </c>
      <c r="C7951" s="26" t="n">
        <v>46253</v>
      </c>
      <c r="D7951" s="6" t="s">
        <v>5185</v>
      </c>
      <c r="E7951" s="6" t="s">
        <v>24</v>
      </c>
      <c r="F7951" s="6" t="n">
        <v>3</v>
      </c>
      <c r="G7951" s="10" t="n">
        <v>2140</v>
      </c>
      <c r="H7951" s="10" t="n">
        <f aca="false">F7951*G7951</f>
        <v>6420</v>
      </c>
      <c r="I7951" s="6" t="s">
        <v>5173</v>
      </c>
    </row>
    <row r="7952" customFormat="false" ht="15" hidden="false" customHeight="false" outlineLevel="0" collapsed="false">
      <c r="A7952" s="6" t="s">
        <v>13176</v>
      </c>
      <c r="B7952" s="6" t="s">
        <v>4185</v>
      </c>
      <c r="C7952" s="26" t="n">
        <v>46253</v>
      </c>
      <c r="D7952" s="6" t="s">
        <v>5167</v>
      </c>
      <c r="E7952" s="6" t="s">
        <v>22</v>
      </c>
      <c r="F7952" s="6" t="n">
        <v>3</v>
      </c>
      <c r="G7952" s="10" t="n">
        <v>703</v>
      </c>
      <c r="H7952" s="10" t="n">
        <f aca="false">F7952*G7952</f>
        <v>2109</v>
      </c>
      <c r="I7952" s="6" t="s">
        <v>5122</v>
      </c>
    </row>
    <row r="7953" customFormat="false" ht="15" hidden="false" customHeight="false" outlineLevel="0" collapsed="false">
      <c r="A7953" s="6" t="s">
        <v>13177</v>
      </c>
      <c r="B7953" s="6" t="s">
        <v>2483</v>
      </c>
      <c r="C7953" s="26" t="n">
        <v>46253</v>
      </c>
      <c r="D7953" s="6" t="s">
        <v>5163</v>
      </c>
      <c r="E7953" s="6" t="s">
        <v>23</v>
      </c>
      <c r="F7953" s="6" t="n">
        <v>2</v>
      </c>
      <c r="G7953" s="10" t="n">
        <v>783</v>
      </c>
      <c r="H7953" s="10" t="n">
        <f aca="false">F7953*G7953</f>
        <v>1566</v>
      </c>
      <c r="I7953" s="6" t="s">
        <v>5148</v>
      </c>
    </row>
    <row r="7954" customFormat="false" ht="15" hidden="false" customHeight="false" outlineLevel="0" collapsed="false">
      <c r="A7954" s="6" t="s">
        <v>13178</v>
      </c>
      <c r="B7954" s="6" t="s">
        <v>374</v>
      </c>
      <c r="C7954" s="26" t="n">
        <v>46253</v>
      </c>
      <c r="D7954" s="6" t="s">
        <v>5167</v>
      </c>
      <c r="E7954" s="6" t="s">
        <v>22</v>
      </c>
      <c r="F7954" s="6" t="n">
        <v>1</v>
      </c>
      <c r="G7954" s="10" t="n">
        <v>781</v>
      </c>
      <c r="H7954" s="10" t="n">
        <f aca="false">F7954*G7954</f>
        <v>781</v>
      </c>
      <c r="I7954" s="6" t="s">
        <v>5122</v>
      </c>
    </row>
    <row r="7955" customFormat="false" ht="15" hidden="false" customHeight="false" outlineLevel="0" collapsed="false">
      <c r="A7955" s="6" t="s">
        <v>13179</v>
      </c>
      <c r="B7955" s="6" t="s">
        <v>1729</v>
      </c>
      <c r="C7955" s="26" t="n">
        <v>46253</v>
      </c>
      <c r="D7955" s="6" t="s">
        <v>5180</v>
      </c>
      <c r="E7955" s="6" t="s">
        <v>24</v>
      </c>
      <c r="F7955" s="6" t="n">
        <v>1</v>
      </c>
      <c r="G7955" s="10" t="n">
        <v>1987</v>
      </c>
      <c r="H7955" s="10" t="n">
        <f aca="false">F7955*G7955</f>
        <v>1987</v>
      </c>
      <c r="I7955" s="6" t="s">
        <v>5148</v>
      </c>
    </row>
    <row r="7956" customFormat="false" ht="15" hidden="false" customHeight="false" outlineLevel="0" collapsed="false">
      <c r="A7956" s="6" t="s">
        <v>13180</v>
      </c>
      <c r="B7956" s="6" t="s">
        <v>1673</v>
      </c>
      <c r="C7956" s="26" t="n">
        <v>46253</v>
      </c>
      <c r="D7956" s="6" t="s">
        <v>5749</v>
      </c>
      <c r="E7956" s="6" t="s">
        <v>20</v>
      </c>
      <c r="F7956" s="6" t="n">
        <v>1</v>
      </c>
      <c r="G7956" s="10" t="n">
        <v>815</v>
      </c>
      <c r="H7956" s="10" t="n">
        <f aca="false">F7956*G7956</f>
        <v>815</v>
      </c>
      <c r="I7956" s="6" t="s">
        <v>5148</v>
      </c>
    </row>
    <row r="7957" customFormat="false" ht="15" hidden="false" customHeight="false" outlineLevel="0" collapsed="false">
      <c r="A7957" s="6" t="s">
        <v>13181</v>
      </c>
      <c r="B7957" s="6" t="s">
        <v>2799</v>
      </c>
      <c r="C7957" s="26" t="n">
        <v>46253</v>
      </c>
      <c r="D7957" s="6" t="s">
        <v>5216</v>
      </c>
      <c r="E7957" s="6" t="s">
        <v>23</v>
      </c>
      <c r="F7957" s="6" t="n">
        <v>2</v>
      </c>
      <c r="G7957" s="10" t="n">
        <v>528</v>
      </c>
      <c r="H7957" s="10" t="n">
        <f aca="false">F7957*G7957</f>
        <v>1056</v>
      </c>
      <c r="I7957" s="6" t="s">
        <v>5130</v>
      </c>
    </row>
    <row r="7958" customFormat="false" ht="15" hidden="false" customHeight="false" outlineLevel="0" collapsed="false">
      <c r="A7958" s="6" t="s">
        <v>13182</v>
      </c>
      <c r="B7958" s="6" t="s">
        <v>1011</v>
      </c>
      <c r="C7958" s="26" t="n">
        <v>46253</v>
      </c>
      <c r="D7958" s="6" t="s">
        <v>5185</v>
      </c>
      <c r="E7958" s="6" t="s">
        <v>24</v>
      </c>
      <c r="F7958" s="6" t="n">
        <v>1</v>
      </c>
      <c r="G7958" s="10" t="n">
        <v>2141</v>
      </c>
      <c r="H7958" s="10" t="n">
        <f aca="false">F7958*G7958</f>
        <v>2141</v>
      </c>
      <c r="I7958" s="6" t="s">
        <v>5122</v>
      </c>
    </row>
    <row r="7959" customFormat="false" ht="15" hidden="false" customHeight="false" outlineLevel="0" collapsed="false">
      <c r="A7959" s="6" t="s">
        <v>13183</v>
      </c>
      <c r="B7959" s="6" t="s">
        <v>4761</v>
      </c>
      <c r="C7959" s="26" t="n">
        <v>46253</v>
      </c>
      <c r="D7959" s="6" t="s">
        <v>5326</v>
      </c>
      <c r="E7959" s="6" t="s">
        <v>22</v>
      </c>
      <c r="F7959" s="6" t="n">
        <v>2</v>
      </c>
      <c r="G7959" s="10" t="n">
        <v>1466</v>
      </c>
      <c r="H7959" s="10" t="n">
        <f aca="false">F7959*G7959</f>
        <v>2932</v>
      </c>
      <c r="I7959" s="6" t="s">
        <v>5130</v>
      </c>
    </row>
    <row r="7960" customFormat="false" ht="15" hidden="false" customHeight="false" outlineLevel="0" collapsed="false">
      <c r="A7960" s="6" t="s">
        <v>13184</v>
      </c>
      <c r="B7960" s="6" t="s">
        <v>4471</v>
      </c>
      <c r="C7960" s="26" t="n">
        <v>46253</v>
      </c>
      <c r="D7960" s="6" t="s">
        <v>5216</v>
      </c>
      <c r="E7960" s="6" t="s">
        <v>23</v>
      </c>
      <c r="F7960" s="6" t="n">
        <v>1</v>
      </c>
      <c r="G7960" s="10" t="n">
        <v>528</v>
      </c>
      <c r="H7960" s="10" t="n">
        <f aca="false">F7960*G7960</f>
        <v>528</v>
      </c>
      <c r="I7960" s="6" t="s">
        <v>5122</v>
      </c>
    </row>
    <row r="7961" customFormat="false" ht="15" hidden="false" customHeight="false" outlineLevel="0" collapsed="false">
      <c r="A7961" s="6" t="s">
        <v>13185</v>
      </c>
      <c r="B7961" s="6" t="s">
        <v>487</v>
      </c>
      <c r="C7961" s="26" t="n">
        <v>46253</v>
      </c>
      <c r="D7961" s="6" t="s">
        <v>5357</v>
      </c>
      <c r="E7961" s="6" t="s">
        <v>23</v>
      </c>
      <c r="F7961" s="6" t="n">
        <v>3</v>
      </c>
      <c r="G7961" s="10" t="n">
        <v>507</v>
      </c>
      <c r="H7961" s="10" t="n">
        <f aca="false">F7961*G7961</f>
        <v>1521</v>
      </c>
      <c r="I7961" s="6" t="s">
        <v>5122</v>
      </c>
    </row>
    <row r="7962" customFormat="false" ht="15" hidden="false" customHeight="false" outlineLevel="0" collapsed="false">
      <c r="A7962" s="6" t="s">
        <v>13186</v>
      </c>
      <c r="B7962" s="6" t="s">
        <v>340</v>
      </c>
      <c r="C7962" s="26" t="n">
        <v>46253</v>
      </c>
      <c r="D7962" s="6" t="s">
        <v>5237</v>
      </c>
      <c r="E7962" s="6" t="s">
        <v>24</v>
      </c>
      <c r="F7962" s="6" t="n">
        <v>2</v>
      </c>
      <c r="G7962" s="10" t="n">
        <v>1650</v>
      </c>
      <c r="H7962" s="10" t="n">
        <f aca="false">F7962*G7962</f>
        <v>3300</v>
      </c>
      <c r="I7962" s="6" t="s">
        <v>5133</v>
      </c>
    </row>
    <row r="7963" customFormat="false" ht="15" hidden="false" customHeight="false" outlineLevel="0" collapsed="false">
      <c r="A7963" s="6" t="s">
        <v>13187</v>
      </c>
      <c r="B7963" s="6" t="s">
        <v>1373</v>
      </c>
      <c r="C7963" s="26" t="n">
        <v>46253</v>
      </c>
      <c r="D7963" s="6" t="s">
        <v>5139</v>
      </c>
      <c r="E7963" s="6" t="s">
        <v>23</v>
      </c>
      <c r="F7963" s="6" t="n">
        <v>4</v>
      </c>
      <c r="G7963" s="10" t="n">
        <v>279</v>
      </c>
      <c r="H7963" s="10" t="n">
        <f aca="false">F7963*G7963</f>
        <v>1116</v>
      </c>
      <c r="I7963" s="6" t="s">
        <v>5122</v>
      </c>
    </row>
    <row r="7964" customFormat="false" ht="15" hidden="false" customHeight="false" outlineLevel="0" collapsed="false">
      <c r="A7964" s="6" t="s">
        <v>13188</v>
      </c>
      <c r="B7964" s="6" t="s">
        <v>1015</v>
      </c>
      <c r="C7964" s="26" t="n">
        <v>46253</v>
      </c>
      <c r="D7964" s="6" t="s">
        <v>5237</v>
      </c>
      <c r="E7964" s="6" t="s">
        <v>24</v>
      </c>
      <c r="F7964" s="6" t="n">
        <v>1</v>
      </c>
      <c r="G7964" s="10" t="n">
        <v>1833</v>
      </c>
      <c r="H7964" s="10" t="n">
        <f aca="false">F7964*G7964</f>
        <v>1833</v>
      </c>
      <c r="I7964" s="6" t="s">
        <v>5122</v>
      </c>
    </row>
    <row r="7965" customFormat="false" ht="15" hidden="false" customHeight="false" outlineLevel="0" collapsed="false">
      <c r="A7965" s="6" t="s">
        <v>13189</v>
      </c>
      <c r="B7965" s="6" t="s">
        <v>3571</v>
      </c>
      <c r="C7965" s="26" t="n">
        <v>46253</v>
      </c>
      <c r="D7965" s="6" t="s">
        <v>5180</v>
      </c>
      <c r="E7965" s="6" t="s">
        <v>24</v>
      </c>
      <c r="F7965" s="6" t="n">
        <v>1</v>
      </c>
      <c r="G7965" s="10" t="n">
        <v>1987</v>
      </c>
      <c r="H7965" s="10" t="n">
        <f aca="false">F7965*G7965</f>
        <v>1987</v>
      </c>
      <c r="I7965" s="6" t="s">
        <v>5173</v>
      </c>
    </row>
    <row r="7966" customFormat="false" ht="15" hidden="false" customHeight="false" outlineLevel="0" collapsed="false">
      <c r="A7966" s="6" t="s">
        <v>13190</v>
      </c>
      <c r="B7966" s="6" t="s">
        <v>3749</v>
      </c>
      <c r="C7966" s="26" t="n">
        <v>46253</v>
      </c>
      <c r="D7966" s="6" t="s">
        <v>5121</v>
      </c>
      <c r="E7966" s="6" t="s">
        <v>22</v>
      </c>
      <c r="F7966" s="6" t="n">
        <v>1</v>
      </c>
      <c r="G7966" s="10" t="n">
        <v>928</v>
      </c>
      <c r="H7966" s="10" t="n">
        <f aca="false">F7966*G7966</f>
        <v>928</v>
      </c>
      <c r="I7966" s="6" t="s">
        <v>5122</v>
      </c>
    </row>
    <row r="7967" customFormat="false" ht="15" hidden="false" customHeight="false" outlineLevel="0" collapsed="false">
      <c r="A7967" s="6" t="s">
        <v>13191</v>
      </c>
      <c r="B7967" s="6" t="s">
        <v>4239</v>
      </c>
      <c r="C7967" s="26" t="n">
        <v>46253</v>
      </c>
      <c r="D7967" s="6" t="s">
        <v>5121</v>
      </c>
      <c r="E7967" s="6" t="s">
        <v>22</v>
      </c>
      <c r="F7967" s="6" t="n">
        <v>1</v>
      </c>
      <c r="G7967" s="10" t="n">
        <v>977</v>
      </c>
      <c r="H7967" s="10" t="n">
        <f aca="false">F7967*G7967</f>
        <v>977</v>
      </c>
      <c r="I7967" s="6" t="s">
        <v>5133</v>
      </c>
    </row>
    <row r="7968" customFormat="false" ht="15" hidden="false" customHeight="false" outlineLevel="0" collapsed="false">
      <c r="A7968" s="6" t="s">
        <v>13192</v>
      </c>
      <c r="B7968" s="6" t="s">
        <v>3231</v>
      </c>
      <c r="C7968" s="26" t="n">
        <v>46253</v>
      </c>
      <c r="D7968" s="6" t="s">
        <v>5180</v>
      </c>
      <c r="E7968" s="6" t="s">
        <v>24</v>
      </c>
      <c r="F7968" s="6" t="n">
        <v>1</v>
      </c>
      <c r="G7968" s="10" t="n">
        <v>1789</v>
      </c>
      <c r="H7968" s="10" t="n">
        <f aca="false">F7968*G7968</f>
        <v>1789</v>
      </c>
      <c r="I7968" s="6" t="s">
        <v>5125</v>
      </c>
    </row>
    <row r="7969" customFormat="false" ht="15" hidden="false" customHeight="false" outlineLevel="0" collapsed="false">
      <c r="A7969" s="6" t="s">
        <v>13193</v>
      </c>
      <c r="B7969" s="6" t="s">
        <v>4771</v>
      </c>
      <c r="C7969" s="26" t="n">
        <v>46253</v>
      </c>
      <c r="D7969" s="6" t="s">
        <v>5147</v>
      </c>
      <c r="E7969" s="6" t="s">
        <v>24</v>
      </c>
      <c r="F7969" s="6" t="n">
        <v>1</v>
      </c>
      <c r="G7969" s="10" t="n">
        <v>661</v>
      </c>
      <c r="H7969" s="10" t="n">
        <f aca="false">F7969*G7969</f>
        <v>661</v>
      </c>
      <c r="I7969" s="6" t="s">
        <v>5125</v>
      </c>
    </row>
    <row r="7970" customFormat="false" ht="15" hidden="false" customHeight="false" outlineLevel="0" collapsed="false">
      <c r="A7970" s="6" t="s">
        <v>13194</v>
      </c>
      <c r="B7970" s="6" t="s">
        <v>5063</v>
      </c>
      <c r="C7970" s="26" t="n">
        <v>46253</v>
      </c>
      <c r="D7970" s="6" t="s">
        <v>5165</v>
      </c>
      <c r="E7970" s="6" t="s">
        <v>22</v>
      </c>
      <c r="F7970" s="6" t="n">
        <v>3</v>
      </c>
      <c r="G7970" s="10" t="n">
        <v>977</v>
      </c>
      <c r="H7970" s="10" t="n">
        <f aca="false">F7970*G7970</f>
        <v>2931</v>
      </c>
      <c r="I7970" s="6" t="s">
        <v>5122</v>
      </c>
    </row>
    <row r="7971" customFormat="false" ht="15" hidden="false" customHeight="false" outlineLevel="0" collapsed="false">
      <c r="A7971" s="6" t="s">
        <v>13195</v>
      </c>
      <c r="B7971" s="6" t="s">
        <v>4891</v>
      </c>
      <c r="C7971" s="26" t="n">
        <v>46253</v>
      </c>
      <c r="D7971" s="6" t="s">
        <v>5167</v>
      </c>
      <c r="E7971" s="6" t="s">
        <v>22</v>
      </c>
      <c r="F7971" s="6" t="n">
        <v>2</v>
      </c>
      <c r="G7971" s="10" t="n">
        <v>782</v>
      </c>
      <c r="H7971" s="10" t="n">
        <f aca="false">F7971*G7971</f>
        <v>1564</v>
      </c>
      <c r="I7971" s="6" t="s">
        <v>5133</v>
      </c>
    </row>
    <row r="7972" customFormat="false" ht="15" hidden="false" customHeight="false" outlineLevel="0" collapsed="false">
      <c r="A7972" s="6" t="s">
        <v>13196</v>
      </c>
      <c r="B7972" s="6" t="s">
        <v>4019</v>
      </c>
      <c r="C7972" s="26" t="n">
        <v>46253</v>
      </c>
      <c r="D7972" s="6" t="s">
        <v>5165</v>
      </c>
      <c r="E7972" s="6" t="s">
        <v>22</v>
      </c>
      <c r="F7972" s="6" t="n">
        <v>2</v>
      </c>
      <c r="G7972" s="10" t="n">
        <v>880</v>
      </c>
      <c r="H7972" s="10" t="n">
        <f aca="false">F7972*G7972</f>
        <v>1760</v>
      </c>
      <c r="I7972" s="6" t="s">
        <v>5125</v>
      </c>
    </row>
    <row r="7973" customFormat="false" ht="15" hidden="false" customHeight="false" outlineLevel="0" collapsed="false">
      <c r="A7973" s="6" t="s">
        <v>13197</v>
      </c>
      <c r="B7973" s="6" t="s">
        <v>3115</v>
      </c>
      <c r="C7973" s="26" t="n">
        <v>46253</v>
      </c>
      <c r="D7973" s="6" t="s">
        <v>5214</v>
      </c>
      <c r="E7973" s="6" t="s">
        <v>20</v>
      </c>
      <c r="F7973" s="6" t="n">
        <v>1</v>
      </c>
      <c r="G7973" s="10" t="n">
        <v>1937</v>
      </c>
      <c r="H7973" s="10" t="n">
        <f aca="false">F7973*G7973</f>
        <v>1937</v>
      </c>
      <c r="I7973" s="6" t="s">
        <v>5148</v>
      </c>
    </row>
    <row r="7974" customFormat="false" ht="15" hidden="false" customHeight="false" outlineLevel="0" collapsed="false">
      <c r="A7974" s="6" t="s">
        <v>13198</v>
      </c>
      <c r="B7974" s="6" t="s">
        <v>4173</v>
      </c>
      <c r="C7974" s="26" t="n">
        <v>46253</v>
      </c>
      <c r="D7974" s="6" t="s">
        <v>5143</v>
      </c>
      <c r="E7974" s="6" t="s">
        <v>21</v>
      </c>
      <c r="F7974" s="6" t="n">
        <v>1</v>
      </c>
      <c r="G7974" s="10" t="n">
        <v>1179</v>
      </c>
      <c r="H7974" s="10" t="n">
        <f aca="false">F7974*G7974</f>
        <v>1179</v>
      </c>
      <c r="I7974" s="6" t="s">
        <v>5173</v>
      </c>
    </row>
    <row r="7975" customFormat="false" ht="15" hidden="false" customHeight="false" outlineLevel="0" collapsed="false">
      <c r="A7975" s="6" t="s">
        <v>13199</v>
      </c>
      <c r="B7975" s="6" t="s">
        <v>4337</v>
      </c>
      <c r="C7975" s="26" t="n">
        <v>46254</v>
      </c>
      <c r="D7975" s="6" t="s">
        <v>5135</v>
      </c>
      <c r="E7975" s="6" t="s">
        <v>23</v>
      </c>
      <c r="F7975" s="6" t="n">
        <v>3</v>
      </c>
      <c r="G7975" s="10" t="n">
        <v>397</v>
      </c>
      <c r="H7975" s="10" t="n">
        <f aca="false">F7975*G7975</f>
        <v>1191</v>
      </c>
      <c r="I7975" s="6" t="s">
        <v>5122</v>
      </c>
    </row>
    <row r="7976" customFormat="false" ht="15" hidden="false" customHeight="false" outlineLevel="0" collapsed="false">
      <c r="A7976" s="6" t="s">
        <v>13200</v>
      </c>
      <c r="B7976" s="6" t="s">
        <v>445</v>
      </c>
      <c r="C7976" s="26" t="n">
        <v>46254</v>
      </c>
      <c r="D7976" s="6" t="s">
        <v>5190</v>
      </c>
      <c r="E7976" s="6" t="s">
        <v>24</v>
      </c>
      <c r="F7976" s="6" t="n">
        <v>1</v>
      </c>
      <c r="G7976" s="10" t="n">
        <v>580</v>
      </c>
      <c r="H7976" s="10" t="n">
        <f aca="false">F7976*G7976</f>
        <v>580</v>
      </c>
      <c r="I7976" s="6" t="s">
        <v>5148</v>
      </c>
    </row>
    <row r="7977" customFormat="false" ht="15" hidden="false" customHeight="false" outlineLevel="0" collapsed="false">
      <c r="A7977" s="6" t="s">
        <v>13201</v>
      </c>
      <c r="B7977" s="6" t="s">
        <v>3273</v>
      </c>
      <c r="C7977" s="26" t="n">
        <v>46254</v>
      </c>
      <c r="D7977" s="6" t="s">
        <v>5398</v>
      </c>
      <c r="E7977" s="6" t="s">
        <v>24</v>
      </c>
      <c r="F7977" s="6" t="n">
        <v>1</v>
      </c>
      <c r="G7977" s="10" t="n">
        <v>580</v>
      </c>
      <c r="H7977" s="10" t="n">
        <f aca="false">F7977*G7977</f>
        <v>580</v>
      </c>
      <c r="I7977" s="6" t="s">
        <v>5125</v>
      </c>
    </row>
    <row r="7978" customFormat="false" ht="15" hidden="false" customHeight="false" outlineLevel="0" collapsed="false">
      <c r="A7978" s="6" t="s">
        <v>13202</v>
      </c>
      <c r="B7978" s="6" t="s">
        <v>4477</v>
      </c>
      <c r="C7978" s="26" t="n">
        <v>46254</v>
      </c>
      <c r="D7978" s="6" t="s">
        <v>5197</v>
      </c>
      <c r="E7978" s="6" t="s">
        <v>21</v>
      </c>
      <c r="F7978" s="6" t="n">
        <v>1</v>
      </c>
      <c r="G7978" s="10" t="n">
        <v>1080</v>
      </c>
      <c r="H7978" s="10" t="n">
        <f aca="false">F7978*G7978</f>
        <v>1080</v>
      </c>
      <c r="I7978" s="6" t="s">
        <v>5125</v>
      </c>
    </row>
    <row r="7979" customFormat="false" ht="15" hidden="false" customHeight="false" outlineLevel="0" collapsed="false">
      <c r="A7979" s="6" t="s">
        <v>13203</v>
      </c>
      <c r="B7979" s="6" t="s">
        <v>3603</v>
      </c>
      <c r="C7979" s="26" t="n">
        <v>46254</v>
      </c>
      <c r="D7979" s="6" t="s">
        <v>5154</v>
      </c>
      <c r="E7979" s="6" t="s">
        <v>21</v>
      </c>
      <c r="F7979" s="6" t="n">
        <v>1</v>
      </c>
      <c r="G7979" s="10" t="n">
        <v>785</v>
      </c>
      <c r="H7979" s="10" t="n">
        <f aca="false">F7979*G7979</f>
        <v>785</v>
      </c>
      <c r="I7979" s="6" t="s">
        <v>5122</v>
      </c>
    </row>
    <row r="7980" customFormat="false" ht="15" hidden="false" customHeight="false" outlineLevel="0" collapsed="false">
      <c r="A7980" s="6" t="s">
        <v>13204</v>
      </c>
      <c r="B7980" s="6" t="s">
        <v>2093</v>
      </c>
      <c r="C7980" s="26" t="n">
        <v>46254</v>
      </c>
      <c r="D7980" s="6" t="s">
        <v>5182</v>
      </c>
      <c r="E7980" s="6" t="s">
        <v>23</v>
      </c>
      <c r="F7980" s="6" t="n">
        <v>3</v>
      </c>
      <c r="G7980" s="10" t="n">
        <v>349</v>
      </c>
      <c r="H7980" s="10" t="n">
        <f aca="false">F7980*G7980</f>
        <v>1047</v>
      </c>
      <c r="I7980" s="6" t="s">
        <v>5133</v>
      </c>
    </row>
    <row r="7981" customFormat="false" ht="15" hidden="false" customHeight="false" outlineLevel="0" collapsed="false">
      <c r="A7981" s="6" t="s">
        <v>13205</v>
      </c>
      <c r="B7981" s="6" t="s">
        <v>689</v>
      </c>
      <c r="C7981" s="26" t="n">
        <v>46254</v>
      </c>
      <c r="D7981" s="6" t="s">
        <v>5357</v>
      </c>
      <c r="E7981" s="6" t="s">
        <v>23</v>
      </c>
      <c r="F7981" s="6" t="n">
        <v>1</v>
      </c>
      <c r="G7981" s="10" t="n">
        <v>507</v>
      </c>
      <c r="H7981" s="10" t="n">
        <f aca="false">F7981*G7981</f>
        <v>507</v>
      </c>
      <c r="I7981" s="6" t="s">
        <v>5130</v>
      </c>
    </row>
    <row r="7982" customFormat="false" ht="15" hidden="false" customHeight="false" outlineLevel="0" collapsed="false">
      <c r="A7982" s="6" t="s">
        <v>13206</v>
      </c>
      <c r="B7982" s="6" t="s">
        <v>4357</v>
      </c>
      <c r="C7982" s="26" t="n">
        <v>46254</v>
      </c>
      <c r="D7982" s="6" t="s">
        <v>5357</v>
      </c>
      <c r="E7982" s="6" t="s">
        <v>23</v>
      </c>
      <c r="F7982" s="6" t="n">
        <v>5</v>
      </c>
      <c r="G7982" s="10" t="n">
        <v>507</v>
      </c>
      <c r="H7982" s="10" t="n">
        <f aca="false">F7982*G7982</f>
        <v>2535</v>
      </c>
      <c r="I7982" s="6" t="s">
        <v>5122</v>
      </c>
    </row>
    <row r="7983" customFormat="false" ht="15" hidden="false" customHeight="false" outlineLevel="0" collapsed="false">
      <c r="A7983" s="6" t="s">
        <v>13207</v>
      </c>
      <c r="B7983" s="6" t="s">
        <v>4581</v>
      </c>
      <c r="C7983" s="26" t="n">
        <v>46254</v>
      </c>
      <c r="D7983" s="6" t="s">
        <v>5318</v>
      </c>
      <c r="E7983" s="6" t="s">
        <v>20</v>
      </c>
      <c r="F7983" s="6" t="n">
        <v>1</v>
      </c>
      <c r="G7983" s="10" t="n">
        <v>1528</v>
      </c>
      <c r="H7983" s="10" t="n">
        <f aca="false">F7983*G7983</f>
        <v>1528</v>
      </c>
      <c r="I7983" s="6" t="s">
        <v>5122</v>
      </c>
    </row>
    <row r="7984" customFormat="false" ht="15" hidden="false" customHeight="false" outlineLevel="0" collapsed="false">
      <c r="A7984" s="6" t="s">
        <v>13208</v>
      </c>
      <c r="B7984" s="6" t="s">
        <v>1563</v>
      </c>
      <c r="C7984" s="26" t="n">
        <v>46254</v>
      </c>
      <c r="D7984" s="6" t="s">
        <v>5163</v>
      </c>
      <c r="E7984" s="6" t="s">
        <v>23</v>
      </c>
      <c r="F7984" s="6" t="n">
        <v>5</v>
      </c>
      <c r="G7984" s="10" t="n">
        <v>783</v>
      </c>
      <c r="H7984" s="10" t="n">
        <f aca="false">F7984*G7984</f>
        <v>3915</v>
      </c>
      <c r="I7984" s="6" t="s">
        <v>5130</v>
      </c>
    </row>
    <row r="7985" customFormat="false" ht="15" hidden="false" customHeight="false" outlineLevel="0" collapsed="false">
      <c r="A7985" s="6" t="s">
        <v>13209</v>
      </c>
      <c r="B7985" s="6" t="s">
        <v>1461</v>
      </c>
      <c r="C7985" s="26" t="n">
        <v>46254</v>
      </c>
      <c r="D7985" s="6" t="s">
        <v>5207</v>
      </c>
      <c r="E7985" s="6" t="s">
        <v>20</v>
      </c>
      <c r="F7985" s="6" t="n">
        <v>1</v>
      </c>
      <c r="G7985" s="10" t="n">
        <v>1325</v>
      </c>
      <c r="H7985" s="10" t="n">
        <f aca="false">F7985*G7985</f>
        <v>1325</v>
      </c>
      <c r="I7985" s="6" t="s">
        <v>5130</v>
      </c>
    </row>
    <row r="7986" customFormat="false" ht="15" hidden="false" customHeight="false" outlineLevel="0" collapsed="false">
      <c r="A7986" s="6" t="s">
        <v>13210</v>
      </c>
      <c r="B7986" s="6" t="s">
        <v>2765</v>
      </c>
      <c r="C7986" s="26" t="n">
        <v>46254</v>
      </c>
      <c r="D7986" s="6" t="s">
        <v>5145</v>
      </c>
      <c r="E7986" s="6" t="s">
        <v>21</v>
      </c>
      <c r="F7986" s="6" t="n">
        <v>1</v>
      </c>
      <c r="G7986" s="10" t="n">
        <v>1278</v>
      </c>
      <c r="H7986" s="10" t="n">
        <f aca="false">F7986*G7986</f>
        <v>1278</v>
      </c>
      <c r="I7986" s="6" t="s">
        <v>5130</v>
      </c>
    </row>
    <row r="7987" customFormat="false" ht="15" hidden="false" customHeight="false" outlineLevel="0" collapsed="false">
      <c r="A7987" s="6" t="s">
        <v>13211</v>
      </c>
      <c r="B7987" s="6" t="s">
        <v>242</v>
      </c>
      <c r="C7987" s="26" t="n">
        <v>46254</v>
      </c>
      <c r="D7987" s="6" t="s">
        <v>5235</v>
      </c>
      <c r="E7987" s="6" t="s">
        <v>21</v>
      </c>
      <c r="F7987" s="6" t="n">
        <v>1</v>
      </c>
      <c r="G7987" s="10" t="n">
        <v>1670</v>
      </c>
      <c r="H7987" s="10" t="n">
        <f aca="false">F7987*G7987</f>
        <v>1670</v>
      </c>
      <c r="I7987" s="6" t="s">
        <v>5125</v>
      </c>
    </row>
    <row r="7988" customFormat="false" ht="15" hidden="false" customHeight="false" outlineLevel="0" collapsed="false">
      <c r="A7988" s="6" t="s">
        <v>13212</v>
      </c>
      <c r="B7988" s="6" t="s">
        <v>4393</v>
      </c>
      <c r="C7988" s="26" t="n">
        <v>46254</v>
      </c>
      <c r="D7988" s="6" t="s">
        <v>5169</v>
      </c>
      <c r="E7988" s="6" t="s">
        <v>20</v>
      </c>
      <c r="F7988" s="6" t="n">
        <v>1</v>
      </c>
      <c r="G7988" s="10" t="n">
        <v>5098</v>
      </c>
      <c r="H7988" s="10" t="n">
        <f aca="false">F7988*G7988</f>
        <v>5098</v>
      </c>
      <c r="I7988" s="6" t="s">
        <v>5125</v>
      </c>
    </row>
    <row r="7989" customFormat="false" ht="15" hidden="false" customHeight="false" outlineLevel="0" collapsed="false">
      <c r="A7989" s="6" t="s">
        <v>13213</v>
      </c>
      <c r="B7989" s="6" t="s">
        <v>4157</v>
      </c>
      <c r="C7989" s="26" t="n">
        <v>46254</v>
      </c>
      <c r="D7989" s="6" t="s">
        <v>5169</v>
      </c>
      <c r="E7989" s="6" t="s">
        <v>20</v>
      </c>
      <c r="F7989" s="6" t="n">
        <v>1</v>
      </c>
      <c r="G7989" s="10" t="n">
        <v>5097</v>
      </c>
      <c r="H7989" s="10" t="n">
        <f aca="false">F7989*G7989</f>
        <v>5097</v>
      </c>
      <c r="I7989" s="6" t="s">
        <v>5148</v>
      </c>
    </row>
    <row r="7990" customFormat="false" ht="15" hidden="false" customHeight="false" outlineLevel="0" collapsed="false">
      <c r="A7990" s="6" t="s">
        <v>13214</v>
      </c>
      <c r="B7990" s="6" t="s">
        <v>4147</v>
      </c>
      <c r="C7990" s="26" t="n">
        <v>46254</v>
      </c>
      <c r="D7990" s="6" t="s">
        <v>5240</v>
      </c>
      <c r="E7990" s="6" t="s">
        <v>20</v>
      </c>
      <c r="F7990" s="6" t="n">
        <v>1</v>
      </c>
      <c r="G7990" s="10" t="n">
        <v>4843</v>
      </c>
      <c r="H7990" s="10" t="n">
        <f aca="false">F7990*G7990</f>
        <v>4843</v>
      </c>
      <c r="I7990" s="6" t="s">
        <v>5148</v>
      </c>
    </row>
    <row r="7991" customFormat="false" ht="15" hidden="false" customHeight="false" outlineLevel="0" collapsed="false">
      <c r="A7991" s="6" t="s">
        <v>13215</v>
      </c>
      <c r="B7991" s="6" t="s">
        <v>3753</v>
      </c>
      <c r="C7991" s="26" t="n">
        <v>46254</v>
      </c>
      <c r="D7991" s="6" t="s">
        <v>5357</v>
      </c>
      <c r="E7991" s="6" t="s">
        <v>23</v>
      </c>
      <c r="F7991" s="6" t="n">
        <v>3</v>
      </c>
      <c r="G7991" s="10" t="n">
        <v>534</v>
      </c>
      <c r="H7991" s="10" t="n">
        <f aca="false">F7991*G7991</f>
        <v>1602</v>
      </c>
      <c r="I7991" s="6" t="s">
        <v>5122</v>
      </c>
    </row>
    <row r="7992" customFormat="false" ht="15" hidden="false" customHeight="false" outlineLevel="0" collapsed="false">
      <c r="A7992" s="6" t="s">
        <v>13216</v>
      </c>
      <c r="B7992" s="6" t="s">
        <v>4259</v>
      </c>
      <c r="C7992" s="26" t="n">
        <v>46254</v>
      </c>
      <c r="D7992" s="6" t="s">
        <v>5232</v>
      </c>
      <c r="E7992" s="6" t="s">
        <v>23</v>
      </c>
      <c r="F7992" s="6" t="n">
        <v>3</v>
      </c>
      <c r="G7992" s="10" t="n">
        <v>206</v>
      </c>
      <c r="H7992" s="10" t="n">
        <f aca="false">F7992*G7992</f>
        <v>618</v>
      </c>
      <c r="I7992" s="6" t="s">
        <v>5148</v>
      </c>
    </row>
    <row r="7993" customFormat="false" ht="15" hidden="false" customHeight="false" outlineLevel="0" collapsed="false">
      <c r="A7993" s="6" t="s">
        <v>13217</v>
      </c>
      <c r="B7993" s="6" t="s">
        <v>1015</v>
      </c>
      <c r="C7993" s="26" t="n">
        <v>46254</v>
      </c>
      <c r="D7993" s="6" t="s">
        <v>5158</v>
      </c>
      <c r="E7993" s="6" t="s">
        <v>24</v>
      </c>
      <c r="F7993" s="6" t="n">
        <v>2</v>
      </c>
      <c r="G7993" s="10" t="n">
        <v>390</v>
      </c>
      <c r="H7993" s="10" t="n">
        <f aca="false">F7993*G7993</f>
        <v>780</v>
      </c>
      <c r="I7993" s="6" t="s">
        <v>5148</v>
      </c>
    </row>
    <row r="7994" customFormat="false" ht="15" hidden="false" customHeight="false" outlineLevel="0" collapsed="false">
      <c r="A7994" s="6" t="s">
        <v>13218</v>
      </c>
      <c r="B7994" s="6" t="s">
        <v>3399</v>
      </c>
      <c r="C7994" s="26" t="n">
        <v>46254</v>
      </c>
      <c r="D7994" s="6" t="s">
        <v>5175</v>
      </c>
      <c r="E7994" s="6" t="s">
        <v>24</v>
      </c>
      <c r="F7994" s="6" t="n">
        <v>2</v>
      </c>
      <c r="G7994" s="10" t="n">
        <v>549</v>
      </c>
      <c r="H7994" s="10" t="n">
        <f aca="false">F7994*G7994</f>
        <v>1098</v>
      </c>
      <c r="I7994" s="6" t="s">
        <v>5173</v>
      </c>
    </row>
    <row r="7995" customFormat="false" ht="15" hidden="false" customHeight="false" outlineLevel="0" collapsed="false">
      <c r="A7995" s="6" t="s">
        <v>13219</v>
      </c>
      <c r="B7995" s="6" t="s">
        <v>1867</v>
      </c>
      <c r="C7995" s="26" t="n">
        <v>46254</v>
      </c>
      <c r="D7995" s="6" t="s">
        <v>5398</v>
      </c>
      <c r="E7995" s="6" t="s">
        <v>24</v>
      </c>
      <c r="F7995" s="6" t="n">
        <v>1</v>
      </c>
      <c r="G7995" s="10" t="n">
        <v>580</v>
      </c>
      <c r="H7995" s="10" t="n">
        <f aca="false">F7995*G7995</f>
        <v>580</v>
      </c>
      <c r="I7995" s="6" t="s">
        <v>5122</v>
      </c>
    </row>
    <row r="7996" customFormat="false" ht="15" hidden="false" customHeight="false" outlineLevel="0" collapsed="false">
      <c r="A7996" s="6" t="s">
        <v>13220</v>
      </c>
      <c r="B7996" s="6" t="s">
        <v>1163</v>
      </c>
      <c r="C7996" s="26" t="n">
        <v>46254</v>
      </c>
      <c r="D7996" s="6" t="s">
        <v>5121</v>
      </c>
      <c r="E7996" s="6" t="s">
        <v>22</v>
      </c>
      <c r="F7996" s="6" t="n">
        <v>4</v>
      </c>
      <c r="G7996" s="10" t="n">
        <v>977</v>
      </c>
      <c r="H7996" s="10" t="n">
        <f aca="false">F7996*G7996</f>
        <v>3908</v>
      </c>
      <c r="I7996" s="6" t="s">
        <v>5130</v>
      </c>
    </row>
    <row r="7997" customFormat="false" ht="15" hidden="false" customHeight="false" outlineLevel="0" collapsed="false">
      <c r="A7997" s="6" t="s">
        <v>13221</v>
      </c>
      <c r="B7997" s="6" t="s">
        <v>2609</v>
      </c>
      <c r="C7997" s="26" t="n">
        <v>46254</v>
      </c>
      <c r="D7997" s="6" t="s">
        <v>5410</v>
      </c>
      <c r="E7997" s="6" t="s">
        <v>20</v>
      </c>
      <c r="F7997" s="6" t="n">
        <v>1</v>
      </c>
      <c r="G7997" s="10" t="n">
        <v>2548</v>
      </c>
      <c r="H7997" s="10" t="n">
        <f aca="false">F7997*G7997</f>
        <v>2548</v>
      </c>
      <c r="I7997" s="6" t="s">
        <v>5148</v>
      </c>
    </row>
    <row r="7998" customFormat="false" ht="15" hidden="false" customHeight="false" outlineLevel="0" collapsed="false">
      <c r="A7998" s="6" t="s">
        <v>13222</v>
      </c>
      <c r="B7998" s="6" t="s">
        <v>1443</v>
      </c>
      <c r="C7998" s="26" t="n">
        <v>46254</v>
      </c>
      <c r="D7998" s="6" t="s">
        <v>5683</v>
      </c>
      <c r="E7998" s="6" t="s">
        <v>22</v>
      </c>
      <c r="F7998" s="6" t="n">
        <v>1</v>
      </c>
      <c r="G7998" s="10" t="n">
        <v>1760</v>
      </c>
      <c r="H7998" s="10" t="n">
        <f aca="false">F7998*G7998</f>
        <v>1760</v>
      </c>
      <c r="I7998" s="6" t="s">
        <v>5122</v>
      </c>
    </row>
    <row r="7999" customFormat="false" ht="15" hidden="false" customHeight="false" outlineLevel="0" collapsed="false">
      <c r="A7999" s="6" t="s">
        <v>13223</v>
      </c>
      <c r="B7999" s="6" t="s">
        <v>761</v>
      </c>
      <c r="C7999" s="26" t="n">
        <v>46254</v>
      </c>
      <c r="D7999" s="6" t="s">
        <v>5163</v>
      </c>
      <c r="E7999" s="6" t="s">
        <v>23</v>
      </c>
      <c r="F7999" s="6" t="n">
        <v>3</v>
      </c>
      <c r="G7999" s="10" t="n">
        <v>783</v>
      </c>
      <c r="H7999" s="10" t="n">
        <f aca="false">F7999*G7999</f>
        <v>2349</v>
      </c>
      <c r="I7999" s="6" t="s">
        <v>5125</v>
      </c>
    </row>
    <row r="8000" customFormat="false" ht="15" hidden="false" customHeight="false" outlineLevel="0" collapsed="false">
      <c r="A8000" s="6" t="s">
        <v>13224</v>
      </c>
      <c r="B8000" s="6" t="s">
        <v>4495</v>
      </c>
      <c r="C8000" s="26" t="n">
        <v>46254</v>
      </c>
      <c r="D8000" s="6" t="s">
        <v>5124</v>
      </c>
      <c r="E8000" s="6" t="s">
        <v>21</v>
      </c>
      <c r="F8000" s="6" t="n">
        <v>1</v>
      </c>
      <c r="G8000" s="10" t="n">
        <v>3439</v>
      </c>
      <c r="H8000" s="10" t="n">
        <f aca="false">F8000*G8000</f>
        <v>3439</v>
      </c>
      <c r="I8000" s="6" t="s">
        <v>5122</v>
      </c>
    </row>
    <row r="8001" customFormat="false" ht="15" hidden="false" customHeight="false" outlineLevel="0" collapsed="false">
      <c r="A8001" s="6" t="s">
        <v>13225</v>
      </c>
      <c r="B8001" s="6" t="s">
        <v>4369</v>
      </c>
      <c r="C8001" s="26" t="n">
        <v>46254</v>
      </c>
      <c r="D8001" s="6" t="s">
        <v>5281</v>
      </c>
      <c r="E8001" s="6" t="s">
        <v>24</v>
      </c>
      <c r="F8001" s="6" t="n">
        <v>2</v>
      </c>
      <c r="G8001" s="10" t="n">
        <v>814</v>
      </c>
      <c r="H8001" s="10" t="n">
        <f aca="false">F8001*G8001</f>
        <v>1628</v>
      </c>
      <c r="I8001" s="6" t="s">
        <v>5122</v>
      </c>
    </row>
    <row r="8002" customFormat="false" ht="15" hidden="false" customHeight="false" outlineLevel="0" collapsed="false">
      <c r="A8002" s="6" t="s">
        <v>13226</v>
      </c>
      <c r="B8002" s="6" t="s">
        <v>4605</v>
      </c>
      <c r="C8002" s="26" t="n">
        <v>46254</v>
      </c>
      <c r="D8002" s="6" t="s">
        <v>5163</v>
      </c>
      <c r="E8002" s="6" t="s">
        <v>23</v>
      </c>
      <c r="F8002" s="6" t="n">
        <v>4</v>
      </c>
      <c r="G8002" s="10" t="n">
        <v>744</v>
      </c>
      <c r="H8002" s="10" t="n">
        <f aca="false">F8002*G8002</f>
        <v>2976</v>
      </c>
      <c r="I8002" s="6" t="s">
        <v>5122</v>
      </c>
    </row>
    <row r="8003" customFormat="false" ht="15" hidden="false" customHeight="false" outlineLevel="0" collapsed="false">
      <c r="A8003" s="6" t="s">
        <v>13227</v>
      </c>
      <c r="B8003" s="6" t="s">
        <v>1487</v>
      </c>
      <c r="C8003" s="26" t="n">
        <v>46254</v>
      </c>
      <c r="D8003" s="6" t="s">
        <v>5216</v>
      </c>
      <c r="E8003" s="6" t="s">
        <v>23</v>
      </c>
      <c r="F8003" s="6" t="n">
        <v>1</v>
      </c>
      <c r="G8003" s="10" t="n">
        <v>587</v>
      </c>
      <c r="H8003" s="10" t="n">
        <f aca="false">F8003*G8003</f>
        <v>587</v>
      </c>
      <c r="I8003" s="6" t="s">
        <v>5130</v>
      </c>
    </row>
    <row r="8004" customFormat="false" ht="15" hidden="false" customHeight="false" outlineLevel="0" collapsed="false">
      <c r="A8004" s="6" t="s">
        <v>13228</v>
      </c>
      <c r="B8004" s="6" t="s">
        <v>2797</v>
      </c>
      <c r="C8004" s="26" t="n">
        <v>46254</v>
      </c>
      <c r="D8004" s="6" t="s">
        <v>5357</v>
      </c>
      <c r="E8004" s="6" t="s">
        <v>23</v>
      </c>
      <c r="F8004" s="6" t="n">
        <v>5</v>
      </c>
      <c r="G8004" s="10" t="n">
        <v>534</v>
      </c>
      <c r="H8004" s="10" t="n">
        <f aca="false">F8004*G8004</f>
        <v>2670</v>
      </c>
      <c r="I8004" s="6" t="s">
        <v>5133</v>
      </c>
    </row>
    <row r="8005" customFormat="false" ht="15" hidden="false" customHeight="false" outlineLevel="0" collapsed="false">
      <c r="A8005" s="6" t="s">
        <v>13229</v>
      </c>
      <c r="B8005" s="6" t="s">
        <v>2669</v>
      </c>
      <c r="C8005" s="26" t="n">
        <v>46254</v>
      </c>
      <c r="D8005" s="6" t="s">
        <v>5180</v>
      </c>
      <c r="E8005" s="6" t="s">
        <v>24</v>
      </c>
      <c r="F8005" s="6" t="n">
        <v>3</v>
      </c>
      <c r="G8005" s="10" t="n">
        <v>1888</v>
      </c>
      <c r="H8005" s="10" t="n">
        <f aca="false">F8005*G8005</f>
        <v>5664</v>
      </c>
      <c r="I8005" s="6" t="s">
        <v>5148</v>
      </c>
    </row>
    <row r="8006" customFormat="false" ht="15" hidden="false" customHeight="false" outlineLevel="0" collapsed="false">
      <c r="A8006" s="6" t="s">
        <v>13230</v>
      </c>
      <c r="B8006" s="6" t="s">
        <v>5007</v>
      </c>
      <c r="C8006" s="26" t="n">
        <v>46254</v>
      </c>
      <c r="D8006" s="6" t="s">
        <v>5121</v>
      </c>
      <c r="E8006" s="6" t="s">
        <v>22</v>
      </c>
      <c r="F8006" s="6" t="n">
        <v>1</v>
      </c>
      <c r="G8006" s="10" t="n">
        <v>928</v>
      </c>
      <c r="H8006" s="10" t="n">
        <f aca="false">F8006*G8006</f>
        <v>928</v>
      </c>
      <c r="I8006" s="6" t="s">
        <v>5130</v>
      </c>
    </row>
    <row r="8007" customFormat="false" ht="15" hidden="false" customHeight="false" outlineLevel="0" collapsed="false">
      <c r="A8007" s="6" t="s">
        <v>13231</v>
      </c>
      <c r="B8007" s="6" t="s">
        <v>3069</v>
      </c>
      <c r="C8007" s="26" t="n">
        <v>46254</v>
      </c>
      <c r="D8007" s="6" t="s">
        <v>5182</v>
      </c>
      <c r="E8007" s="6" t="s">
        <v>23</v>
      </c>
      <c r="F8007" s="6" t="n">
        <v>1</v>
      </c>
      <c r="G8007" s="10" t="n">
        <v>331</v>
      </c>
      <c r="H8007" s="10" t="n">
        <f aca="false">F8007*G8007</f>
        <v>331</v>
      </c>
      <c r="I8007" s="6" t="s">
        <v>5148</v>
      </c>
    </row>
    <row r="8008" customFormat="false" ht="15" hidden="false" customHeight="false" outlineLevel="0" collapsed="false">
      <c r="A8008" s="6" t="s">
        <v>13232</v>
      </c>
      <c r="B8008" s="6" t="s">
        <v>629</v>
      </c>
      <c r="C8008" s="26" t="n">
        <v>46254</v>
      </c>
      <c r="D8008" s="6" t="s">
        <v>5339</v>
      </c>
      <c r="E8008" s="6" t="s">
        <v>24</v>
      </c>
      <c r="F8008" s="6" t="n">
        <v>2</v>
      </c>
      <c r="G8008" s="10" t="n">
        <v>508</v>
      </c>
      <c r="H8008" s="10" t="n">
        <f aca="false">F8008*G8008</f>
        <v>1016</v>
      </c>
      <c r="I8008" s="6" t="s">
        <v>5122</v>
      </c>
    </row>
    <row r="8009" customFormat="false" ht="15" hidden="false" customHeight="false" outlineLevel="0" collapsed="false">
      <c r="A8009" s="6" t="s">
        <v>13233</v>
      </c>
      <c r="B8009" s="6" t="s">
        <v>2943</v>
      </c>
      <c r="C8009" s="26" t="n">
        <v>46254</v>
      </c>
      <c r="D8009" s="6" t="s">
        <v>5132</v>
      </c>
      <c r="E8009" s="6" t="s">
        <v>23</v>
      </c>
      <c r="F8009" s="6" t="n">
        <v>3</v>
      </c>
      <c r="G8009" s="10" t="n">
        <v>325</v>
      </c>
      <c r="H8009" s="10" t="n">
        <f aca="false">F8009*G8009</f>
        <v>975</v>
      </c>
      <c r="I8009" s="6" t="s">
        <v>5133</v>
      </c>
    </row>
    <row r="8010" customFormat="false" ht="15" hidden="false" customHeight="false" outlineLevel="0" collapsed="false">
      <c r="A8010" s="6" t="s">
        <v>13234</v>
      </c>
      <c r="B8010" s="6" t="s">
        <v>156</v>
      </c>
      <c r="C8010" s="26" t="n">
        <v>46254</v>
      </c>
      <c r="D8010" s="6" t="s">
        <v>5192</v>
      </c>
      <c r="E8010" s="6" t="s">
        <v>20</v>
      </c>
      <c r="F8010" s="6" t="n">
        <v>2</v>
      </c>
      <c r="G8010" s="10" t="n">
        <v>3670</v>
      </c>
      <c r="H8010" s="10" t="n">
        <f aca="false">F8010*G8010</f>
        <v>7340</v>
      </c>
      <c r="I8010" s="6" t="s">
        <v>5130</v>
      </c>
    </row>
    <row r="8011" customFormat="false" ht="15" hidden="false" customHeight="false" outlineLevel="0" collapsed="false">
      <c r="A8011" s="6" t="s">
        <v>13235</v>
      </c>
      <c r="B8011" s="6" t="s">
        <v>1309</v>
      </c>
      <c r="C8011" s="26" t="n">
        <v>46254</v>
      </c>
      <c r="D8011" s="6" t="s">
        <v>5237</v>
      </c>
      <c r="E8011" s="6" t="s">
        <v>24</v>
      </c>
      <c r="F8011" s="6" t="n">
        <v>3</v>
      </c>
      <c r="G8011" s="10" t="n">
        <v>1650</v>
      </c>
      <c r="H8011" s="10" t="n">
        <f aca="false">F8011*G8011</f>
        <v>4950</v>
      </c>
      <c r="I8011" s="6" t="s">
        <v>5122</v>
      </c>
    </row>
    <row r="8012" customFormat="false" ht="15" hidden="false" customHeight="false" outlineLevel="0" collapsed="false">
      <c r="A8012" s="6" t="s">
        <v>13236</v>
      </c>
      <c r="B8012" s="6" t="s">
        <v>4119</v>
      </c>
      <c r="C8012" s="26" t="n">
        <v>46254</v>
      </c>
      <c r="D8012" s="6" t="s">
        <v>5154</v>
      </c>
      <c r="E8012" s="6" t="s">
        <v>21</v>
      </c>
      <c r="F8012" s="6" t="n">
        <v>1</v>
      </c>
      <c r="G8012" s="10" t="n">
        <v>785</v>
      </c>
      <c r="H8012" s="10" t="n">
        <f aca="false">F8012*G8012</f>
        <v>785</v>
      </c>
      <c r="I8012" s="6" t="s">
        <v>5122</v>
      </c>
    </row>
    <row r="8013" customFormat="false" ht="15" hidden="false" customHeight="false" outlineLevel="0" collapsed="false">
      <c r="A8013" s="6" t="s">
        <v>13237</v>
      </c>
      <c r="B8013" s="6" t="s">
        <v>4363</v>
      </c>
      <c r="C8013" s="26" t="n">
        <v>46254</v>
      </c>
      <c r="D8013" s="6" t="s">
        <v>5185</v>
      </c>
      <c r="E8013" s="6" t="s">
        <v>24</v>
      </c>
      <c r="F8013" s="6" t="n">
        <v>2</v>
      </c>
      <c r="G8013" s="10" t="n">
        <v>2140</v>
      </c>
      <c r="H8013" s="10" t="n">
        <f aca="false">F8013*G8013</f>
        <v>4280</v>
      </c>
      <c r="I8013" s="6" t="s">
        <v>5148</v>
      </c>
    </row>
    <row r="8014" customFormat="false" ht="15" hidden="false" customHeight="false" outlineLevel="0" collapsed="false">
      <c r="A8014" s="6" t="s">
        <v>13238</v>
      </c>
      <c r="B8014" s="6" t="s">
        <v>3793</v>
      </c>
      <c r="C8014" s="26" t="n">
        <v>46255</v>
      </c>
      <c r="D8014" s="6" t="s">
        <v>5182</v>
      </c>
      <c r="E8014" s="6" t="s">
        <v>23</v>
      </c>
      <c r="F8014" s="6" t="n">
        <v>4</v>
      </c>
      <c r="G8014" s="10" t="n">
        <v>367</v>
      </c>
      <c r="H8014" s="10" t="n">
        <f aca="false">F8014*G8014</f>
        <v>1468</v>
      </c>
      <c r="I8014" s="6" t="s">
        <v>5122</v>
      </c>
    </row>
    <row r="8015" customFormat="false" ht="15" hidden="false" customHeight="false" outlineLevel="0" collapsed="false">
      <c r="A8015" s="6" t="s">
        <v>13239</v>
      </c>
      <c r="B8015" s="6" t="s">
        <v>5073</v>
      </c>
      <c r="C8015" s="26" t="n">
        <v>46255</v>
      </c>
      <c r="D8015" s="6" t="s">
        <v>5259</v>
      </c>
      <c r="E8015" s="6" t="s">
        <v>22</v>
      </c>
      <c r="F8015" s="6" t="n">
        <v>1</v>
      </c>
      <c r="G8015" s="10" t="n">
        <v>1564</v>
      </c>
      <c r="H8015" s="10" t="n">
        <f aca="false">F8015*G8015</f>
        <v>1564</v>
      </c>
      <c r="I8015" s="6" t="s">
        <v>5122</v>
      </c>
    </row>
    <row r="8016" customFormat="false" ht="15" hidden="false" customHeight="false" outlineLevel="0" collapsed="false">
      <c r="A8016" s="6" t="s">
        <v>13240</v>
      </c>
      <c r="B8016" s="6" t="s">
        <v>4601</v>
      </c>
      <c r="C8016" s="26" t="n">
        <v>46255</v>
      </c>
      <c r="D8016" s="6" t="s">
        <v>5207</v>
      </c>
      <c r="E8016" s="6" t="s">
        <v>20</v>
      </c>
      <c r="F8016" s="6" t="n">
        <v>1</v>
      </c>
      <c r="G8016" s="10" t="n">
        <v>1325</v>
      </c>
      <c r="H8016" s="10" t="n">
        <f aca="false">F8016*G8016</f>
        <v>1325</v>
      </c>
      <c r="I8016" s="6" t="s">
        <v>5148</v>
      </c>
    </row>
    <row r="8017" customFormat="false" ht="15" hidden="false" customHeight="false" outlineLevel="0" collapsed="false">
      <c r="A8017" s="6" t="s">
        <v>13241</v>
      </c>
      <c r="B8017" s="6" t="s">
        <v>3703</v>
      </c>
      <c r="C8017" s="26" t="n">
        <v>46255</v>
      </c>
      <c r="D8017" s="6" t="s">
        <v>5458</v>
      </c>
      <c r="E8017" s="6" t="s">
        <v>24</v>
      </c>
      <c r="F8017" s="6" t="n">
        <v>2</v>
      </c>
      <c r="G8017" s="10" t="n">
        <v>559</v>
      </c>
      <c r="H8017" s="10" t="n">
        <f aca="false">F8017*G8017</f>
        <v>1118</v>
      </c>
      <c r="I8017" s="6" t="s">
        <v>5148</v>
      </c>
    </row>
    <row r="8018" customFormat="false" ht="15" hidden="false" customHeight="false" outlineLevel="0" collapsed="false">
      <c r="A8018" s="6" t="s">
        <v>13242</v>
      </c>
      <c r="B8018" s="6" t="s">
        <v>1279</v>
      </c>
      <c r="C8018" s="26" t="n">
        <v>46255</v>
      </c>
      <c r="D8018" s="6" t="s">
        <v>5522</v>
      </c>
      <c r="E8018" s="6" t="s">
        <v>21</v>
      </c>
      <c r="F8018" s="6" t="n">
        <v>3</v>
      </c>
      <c r="G8018" s="10" t="n">
        <v>12777</v>
      </c>
      <c r="H8018" s="10" t="n">
        <f aca="false">F8018*G8018</f>
        <v>38331</v>
      </c>
      <c r="I8018" s="6" t="s">
        <v>5130</v>
      </c>
    </row>
    <row r="8019" customFormat="false" ht="15" hidden="false" customHeight="false" outlineLevel="0" collapsed="false">
      <c r="A8019" s="6" t="s">
        <v>13243</v>
      </c>
      <c r="B8019" s="6" t="s">
        <v>5061</v>
      </c>
      <c r="C8019" s="26" t="n">
        <v>46255</v>
      </c>
      <c r="D8019" s="6" t="s">
        <v>5235</v>
      </c>
      <c r="E8019" s="6" t="s">
        <v>21</v>
      </c>
      <c r="F8019" s="6" t="n">
        <v>1</v>
      </c>
      <c r="G8019" s="10" t="n">
        <v>1503</v>
      </c>
      <c r="H8019" s="10" t="n">
        <f aca="false">F8019*G8019</f>
        <v>1503</v>
      </c>
      <c r="I8019" s="6" t="s">
        <v>5125</v>
      </c>
    </row>
    <row r="8020" customFormat="false" ht="15" hidden="false" customHeight="false" outlineLevel="0" collapsed="false">
      <c r="A8020" s="6" t="s">
        <v>13244</v>
      </c>
      <c r="B8020" s="6" t="s">
        <v>1113</v>
      </c>
      <c r="C8020" s="26" t="n">
        <v>46255</v>
      </c>
      <c r="D8020" s="6" t="s">
        <v>5129</v>
      </c>
      <c r="E8020" s="6" t="s">
        <v>21</v>
      </c>
      <c r="F8020" s="6" t="n">
        <v>1</v>
      </c>
      <c r="G8020" s="10" t="n">
        <v>559</v>
      </c>
      <c r="H8020" s="10" t="n">
        <f aca="false">F8020*G8020</f>
        <v>559</v>
      </c>
      <c r="I8020" s="6" t="s">
        <v>5122</v>
      </c>
    </row>
    <row r="8021" customFormat="false" ht="15" hidden="false" customHeight="false" outlineLevel="0" collapsed="false">
      <c r="A8021" s="6" t="s">
        <v>13245</v>
      </c>
      <c r="B8021" s="6" t="s">
        <v>4863</v>
      </c>
      <c r="C8021" s="26" t="n">
        <v>46255</v>
      </c>
      <c r="D8021" s="6" t="s">
        <v>5345</v>
      </c>
      <c r="E8021" s="6" t="s">
        <v>23</v>
      </c>
      <c r="F8021" s="6" t="n">
        <v>4</v>
      </c>
      <c r="G8021" s="10" t="n">
        <v>436</v>
      </c>
      <c r="H8021" s="10" t="n">
        <f aca="false">F8021*G8021</f>
        <v>1744</v>
      </c>
      <c r="I8021" s="6" t="s">
        <v>5122</v>
      </c>
    </row>
    <row r="8022" customFormat="false" ht="15" hidden="false" customHeight="false" outlineLevel="0" collapsed="false">
      <c r="A8022" s="6" t="s">
        <v>13246</v>
      </c>
      <c r="B8022" s="6" t="s">
        <v>4683</v>
      </c>
      <c r="C8022" s="26" t="n">
        <v>46255</v>
      </c>
      <c r="D8022" s="6" t="s">
        <v>5202</v>
      </c>
      <c r="E8022" s="6" t="s">
        <v>23</v>
      </c>
      <c r="F8022" s="6" t="n">
        <v>5</v>
      </c>
      <c r="G8022" s="10" t="n">
        <v>245</v>
      </c>
      <c r="H8022" s="10" t="n">
        <f aca="false">F8022*G8022</f>
        <v>1225</v>
      </c>
      <c r="I8022" s="6" t="s">
        <v>5125</v>
      </c>
    </row>
    <row r="8023" customFormat="false" ht="15" hidden="false" customHeight="false" outlineLevel="0" collapsed="false">
      <c r="A8023" s="6" t="s">
        <v>13247</v>
      </c>
      <c r="B8023" s="6" t="s">
        <v>997</v>
      </c>
      <c r="C8023" s="26" t="n">
        <v>46255</v>
      </c>
      <c r="D8023" s="6" t="s">
        <v>5156</v>
      </c>
      <c r="E8023" s="6" t="s">
        <v>21</v>
      </c>
      <c r="F8023" s="6" t="n">
        <v>1</v>
      </c>
      <c r="G8023" s="10" t="n">
        <v>2161</v>
      </c>
      <c r="H8023" s="10" t="n">
        <f aca="false">F8023*G8023</f>
        <v>2161</v>
      </c>
      <c r="I8023" s="6" t="s">
        <v>5130</v>
      </c>
    </row>
    <row r="8024" customFormat="false" ht="15" hidden="false" customHeight="false" outlineLevel="0" collapsed="false">
      <c r="A8024" s="6" t="s">
        <v>13248</v>
      </c>
      <c r="B8024" s="6" t="s">
        <v>2735</v>
      </c>
      <c r="C8024" s="26" t="n">
        <v>46255</v>
      </c>
      <c r="D8024" s="6" t="s">
        <v>5357</v>
      </c>
      <c r="E8024" s="6" t="s">
        <v>23</v>
      </c>
      <c r="F8024" s="6" t="n">
        <v>3</v>
      </c>
      <c r="G8024" s="10" t="n">
        <v>534</v>
      </c>
      <c r="H8024" s="10" t="n">
        <f aca="false">F8024*G8024</f>
        <v>1602</v>
      </c>
      <c r="I8024" s="6" t="s">
        <v>5133</v>
      </c>
    </row>
    <row r="8025" customFormat="false" ht="15" hidden="false" customHeight="false" outlineLevel="0" collapsed="false">
      <c r="A8025" s="6" t="s">
        <v>13249</v>
      </c>
      <c r="B8025" s="6" t="s">
        <v>3957</v>
      </c>
      <c r="C8025" s="26" t="n">
        <v>46255</v>
      </c>
      <c r="D8025" s="6" t="s">
        <v>5207</v>
      </c>
      <c r="E8025" s="6" t="s">
        <v>20</v>
      </c>
      <c r="F8025" s="6" t="n">
        <v>3</v>
      </c>
      <c r="G8025" s="10" t="n">
        <v>1325</v>
      </c>
      <c r="H8025" s="10" t="n">
        <f aca="false">F8025*G8025</f>
        <v>3975</v>
      </c>
      <c r="I8025" s="6" t="s">
        <v>5148</v>
      </c>
    </row>
    <row r="8026" customFormat="false" ht="15" hidden="false" customHeight="false" outlineLevel="0" collapsed="false">
      <c r="A8026" s="6" t="s">
        <v>13250</v>
      </c>
      <c r="B8026" s="6" t="s">
        <v>2133</v>
      </c>
      <c r="C8026" s="26" t="n">
        <v>46255</v>
      </c>
      <c r="D8026" s="6" t="s">
        <v>5561</v>
      </c>
      <c r="E8026" s="6" t="s">
        <v>20</v>
      </c>
      <c r="F8026" s="6" t="n">
        <v>1</v>
      </c>
      <c r="G8026" s="10" t="n">
        <v>3364</v>
      </c>
      <c r="H8026" s="10" t="n">
        <f aca="false">F8026*G8026</f>
        <v>3364</v>
      </c>
      <c r="I8026" s="6" t="s">
        <v>5122</v>
      </c>
    </row>
    <row r="8027" customFormat="false" ht="15" hidden="false" customHeight="false" outlineLevel="0" collapsed="false">
      <c r="A8027" s="6" t="s">
        <v>13251</v>
      </c>
      <c r="B8027" s="6" t="s">
        <v>3649</v>
      </c>
      <c r="C8027" s="26" t="n">
        <v>46255</v>
      </c>
      <c r="D8027" s="6" t="s">
        <v>5216</v>
      </c>
      <c r="E8027" s="6" t="s">
        <v>23</v>
      </c>
      <c r="F8027" s="6" t="n">
        <v>3</v>
      </c>
      <c r="G8027" s="10" t="n">
        <v>587</v>
      </c>
      <c r="H8027" s="10" t="n">
        <f aca="false">F8027*G8027</f>
        <v>1761</v>
      </c>
      <c r="I8027" s="6" t="s">
        <v>5133</v>
      </c>
    </row>
    <row r="8028" customFormat="false" ht="15" hidden="false" customHeight="false" outlineLevel="0" collapsed="false">
      <c r="A8028" s="6" t="s">
        <v>13252</v>
      </c>
      <c r="B8028" s="6" t="s">
        <v>4509</v>
      </c>
      <c r="C8028" s="26" t="n">
        <v>46255</v>
      </c>
      <c r="D8028" s="6" t="s">
        <v>5235</v>
      </c>
      <c r="E8028" s="6" t="s">
        <v>21</v>
      </c>
      <c r="F8028" s="6" t="n">
        <v>1</v>
      </c>
      <c r="G8028" s="10" t="n">
        <v>1503</v>
      </c>
      <c r="H8028" s="10" t="n">
        <f aca="false">F8028*G8028</f>
        <v>1503</v>
      </c>
      <c r="I8028" s="6" t="s">
        <v>5148</v>
      </c>
    </row>
    <row r="8029" customFormat="false" ht="15" hidden="false" customHeight="false" outlineLevel="0" collapsed="false">
      <c r="A8029" s="6" t="s">
        <v>13253</v>
      </c>
      <c r="B8029" s="6" t="s">
        <v>761</v>
      </c>
      <c r="C8029" s="26" t="n">
        <v>46255</v>
      </c>
      <c r="D8029" s="6" t="s">
        <v>5141</v>
      </c>
      <c r="E8029" s="6" t="s">
        <v>20</v>
      </c>
      <c r="F8029" s="6" t="n">
        <v>1</v>
      </c>
      <c r="G8029" s="10" t="n">
        <v>1835</v>
      </c>
      <c r="H8029" s="10" t="n">
        <f aca="false">F8029*G8029</f>
        <v>1835</v>
      </c>
      <c r="I8029" s="6" t="s">
        <v>5148</v>
      </c>
    </row>
    <row r="8030" customFormat="false" ht="15" hidden="false" customHeight="false" outlineLevel="0" collapsed="false">
      <c r="A8030" s="6" t="s">
        <v>13254</v>
      </c>
      <c r="B8030" s="6" t="s">
        <v>3451</v>
      </c>
      <c r="C8030" s="26" t="n">
        <v>46255</v>
      </c>
      <c r="D8030" s="6" t="s">
        <v>5167</v>
      </c>
      <c r="E8030" s="6" t="s">
        <v>22</v>
      </c>
      <c r="F8030" s="6" t="n">
        <v>1</v>
      </c>
      <c r="G8030" s="10" t="n">
        <v>703</v>
      </c>
      <c r="H8030" s="10" t="n">
        <f aca="false">F8030*G8030</f>
        <v>703</v>
      </c>
      <c r="I8030" s="6" t="s">
        <v>5173</v>
      </c>
    </row>
    <row r="8031" customFormat="false" ht="15" hidden="false" customHeight="false" outlineLevel="0" collapsed="false">
      <c r="A8031" s="6" t="s">
        <v>13255</v>
      </c>
      <c r="B8031" s="6" t="s">
        <v>3715</v>
      </c>
      <c r="C8031" s="26" t="n">
        <v>46255</v>
      </c>
      <c r="D8031" s="6" t="s">
        <v>5156</v>
      </c>
      <c r="E8031" s="6" t="s">
        <v>21</v>
      </c>
      <c r="F8031" s="6" t="n">
        <v>1</v>
      </c>
      <c r="G8031" s="10" t="n">
        <v>2161</v>
      </c>
      <c r="H8031" s="10" t="n">
        <f aca="false">F8031*G8031</f>
        <v>2161</v>
      </c>
      <c r="I8031" s="6" t="s">
        <v>5122</v>
      </c>
    </row>
    <row r="8032" customFormat="false" ht="15" hidden="false" customHeight="false" outlineLevel="0" collapsed="false">
      <c r="A8032" s="6" t="s">
        <v>13256</v>
      </c>
      <c r="B8032" s="6" t="s">
        <v>4519</v>
      </c>
      <c r="C8032" s="26" t="n">
        <v>46255</v>
      </c>
      <c r="D8032" s="6" t="s">
        <v>5165</v>
      </c>
      <c r="E8032" s="6" t="s">
        <v>22</v>
      </c>
      <c r="F8032" s="6" t="n">
        <v>1</v>
      </c>
      <c r="G8032" s="10" t="n">
        <v>977</v>
      </c>
      <c r="H8032" s="10" t="n">
        <f aca="false">F8032*G8032</f>
        <v>977</v>
      </c>
      <c r="I8032" s="6" t="s">
        <v>5122</v>
      </c>
    </row>
    <row r="8033" customFormat="false" ht="15" hidden="false" customHeight="false" outlineLevel="0" collapsed="false">
      <c r="A8033" s="6" t="s">
        <v>13257</v>
      </c>
      <c r="B8033" s="6" t="s">
        <v>819</v>
      </c>
      <c r="C8033" s="26" t="n">
        <v>46255</v>
      </c>
      <c r="D8033" s="6" t="s">
        <v>5259</v>
      </c>
      <c r="E8033" s="6" t="s">
        <v>22</v>
      </c>
      <c r="F8033" s="6" t="n">
        <v>1</v>
      </c>
      <c r="G8033" s="10" t="n">
        <v>1563</v>
      </c>
      <c r="H8033" s="10" t="n">
        <f aca="false">F8033*G8033</f>
        <v>1563</v>
      </c>
      <c r="I8033" s="6" t="s">
        <v>5130</v>
      </c>
    </row>
    <row r="8034" customFormat="false" ht="15" hidden="false" customHeight="false" outlineLevel="0" collapsed="false">
      <c r="A8034" s="6" t="s">
        <v>13258</v>
      </c>
      <c r="B8034" s="6" t="s">
        <v>1725</v>
      </c>
      <c r="C8034" s="26" t="n">
        <v>46255</v>
      </c>
      <c r="D8034" s="6" t="s">
        <v>5121</v>
      </c>
      <c r="E8034" s="6" t="s">
        <v>22</v>
      </c>
      <c r="F8034" s="6" t="n">
        <v>2</v>
      </c>
      <c r="G8034" s="10" t="n">
        <v>977</v>
      </c>
      <c r="H8034" s="10" t="n">
        <f aca="false">F8034*G8034</f>
        <v>1954</v>
      </c>
      <c r="I8034" s="6" t="s">
        <v>5125</v>
      </c>
    </row>
    <row r="8035" customFormat="false" ht="15" hidden="false" customHeight="false" outlineLevel="0" collapsed="false">
      <c r="A8035" s="6" t="s">
        <v>13259</v>
      </c>
      <c r="B8035" s="6" t="s">
        <v>853</v>
      </c>
      <c r="C8035" s="26" t="n">
        <v>46255</v>
      </c>
      <c r="D8035" s="6" t="s">
        <v>7185</v>
      </c>
      <c r="E8035" s="6" t="s">
        <v>22</v>
      </c>
      <c r="F8035" s="6" t="n">
        <v>1</v>
      </c>
      <c r="G8035" s="10" t="n">
        <v>2733</v>
      </c>
      <c r="H8035" s="10" t="n">
        <f aca="false">F8035*G8035</f>
        <v>2733</v>
      </c>
      <c r="I8035" s="6" t="s">
        <v>5125</v>
      </c>
    </row>
    <row r="8036" customFormat="false" ht="15" hidden="false" customHeight="false" outlineLevel="0" collapsed="false">
      <c r="A8036" s="6" t="s">
        <v>13260</v>
      </c>
      <c r="B8036" s="6" t="s">
        <v>1017</v>
      </c>
      <c r="C8036" s="26" t="n">
        <v>46255</v>
      </c>
      <c r="D8036" s="6" t="s">
        <v>5357</v>
      </c>
      <c r="E8036" s="6" t="s">
        <v>23</v>
      </c>
      <c r="F8036" s="6" t="n">
        <v>1</v>
      </c>
      <c r="G8036" s="10" t="n">
        <v>534</v>
      </c>
      <c r="H8036" s="10" t="n">
        <f aca="false">F8036*G8036</f>
        <v>534</v>
      </c>
      <c r="I8036" s="6" t="s">
        <v>5130</v>
      </c>
    </row>
    <row r="8037" customFormat="false" ht="15" hidden="false" customHeight="false" outlineLevel="0" collapsed="false">
      <c r="A8037" s="6" t="s">
        <v>13261</v>
      </c>
      <c r="B8037" s="6" t="s">
        <v>2575</v>
      </c>
      <c r="C8037" s="26" t="n">
        <v>46255</v>
      </c>
      <c r="D8037" s="6" t="s">
        <v>5298</v>
      </c>
      <c r="E8037" s="6" t="s">
        <v>23</v>
      </c>
      <c r="F8037" s="6" t="n">
        <v>4</v>
      </c>
      <c r="G8037" s="10" t="n">
        <v>278</v>
      </c>
      <c r="H8037" s="10" t="n">
        <f aca="false">F8037*G8037</f>
        <v>1112</v>
      </c>
      <c r="I8037" s="6" t="s">
        <v>5130</v>
      </c>
    </row>
    <row r="8038" customFormat="false" ht="15" hidden="false" customHeight="false" outlineLevel="0" collapsed="false">
      <c r="A8038" s="6" t="s">
        <v>13262</v>
      </c>
      <c r="B8038" s="6" t="s">
        <v>923</v>
      </c>
      <c r="C8038" s="26" t="n">
        <v>46255</v>
      </c>
      <c r="D8038" s="6" t="s">
        <v>5460</v>
      </c>
      <c r="E8038" s="6" t="s">
        <v>24</v>
      </c>
      <c r="F8038" s="6" t="n">
        <v>2</v>
      </c>
      <c r="G8038" s="10" t="n">
        <v>500</v>
      </c>
      <c r="H8038" s="10" t="n">
        <f aca="false">F8038*G8038</f>
        <v>1000</v>
      </c>
      <c r="I8038" s="6" t="s">
        <v>5130</v>
      </c>
    </row>
    <row r="8039" customFormat="false" ht="15" hidden="false" customHeight="false" outlineLevel="0" collapsed="false">
      <c r="A8039" s="6" t="s">
        <v>13263</v>
      </c>
      <c r="B8039" s="6" t="s">
        <v>4109</v>
      </c>
      <c r="C8039" s="26" t="n">
        <v>46255</v>
      </c>
      <c r="D8039" s="6" t="s">
        <v>5691</v>
      </c>
      <c r="E8039" s="6" t="s">
        <v>21</v>
      </c>
      <c r="F8039" s="6" t="n">
        <v>1</v>
      </c>
      <c r="G8039" s="10" t="n">
        <v>5602</v>
      </c>
      <c r="H8039" s="10" t="n">
        <f aca="false">F8039*G8039</f>
        <v>5602</v>
      </c>
      <c r="I8039" s="6" t="s">
        <v>5122</v>
      </c>
    </row>
    <row r="8040" customFormat="false" ht="15" hidden="false" customHeight="false" outlineLevel="0" collapsed="false">
      <c r="A8040" s="6" t="s">
        <v>13264</v>
      </c>
      <c r="B8040" s="6" t="s">
        <v>4181</v>
      </c>
      <c r="C8040" s="26" t="n">
        <v>46255</v>
      </c>
      <c r="D8040" s="6" t="s">
        <v>5200</v>
      </c>
      <c r="E8040" s="6" t="s">
        <v>24</v>
      </c>
      <c r="F8040" s="6" t="n">
        <v>3</v>
      </c>
      <c r="G8040" s="10" t="n">
        <v>687</v>
      </c>
      <c r="H8040" s="10" t="n">
        <f aca="false">F8040*G8040</f>
        <v>2061</v>
      </c>
      <c r="I8040" s="6" t="s">
        <v>5148</v>
      </c>
    </row>
    <row r="8041" customFormat="false" ht="15" hidden="false" customHeight="false" outlineLevel="0" collapsed="false">
      <c r="A8041" s="6" t="s">
        <v>13265</v>
      </c>
      <c r="B8041" s="6" t="s">
        <v>1407</v>
      </c>
      <c r="C8041" s="26" t="n">
        <v>46255</v>
      </c>
      <c r="D8041" s="6" t="s">
        <v>5197</v>
      </c>
      <c r="E8041" s="6" t="s">
        <v>21</v>
      </c>
      <c r="F8041" s="6" t="n">
        <v>2</v>
      </c>
      <c r="G8041" s="10" t="n">
        <v>1080</v>
      </c>
      <c r="H8041" s="10" t="n">
        <f aca="false">F8041*G8041</f>
        <v>2160</v>
      </c>
      <c r="I8041" s="6" t="s">
        <v>5133</v>
      </c>
    </row>
    <row r="8042" customFormat="false" ht="15" hidden="false" customHeight="false" outlineLevel="0" collapsed="false">
      <c r="A8042" s="6" t="s">
        <v>13266</v>
      </c>
      <c r="B8042" s="6" t="s">
        <v>4481</v>
      </c>
      <c r="C8042" s="26" t="n">
        <v>46255</v>
      </c>
      <c r="D8042" s="6" t="s">
        <v>5318</v>
      </c>
      <c r="E8042" s="6" t="s">
        <v>20</v>
      </c>
      <c r="F8042" s="6" t="n">
        <v>1</v>
      </c>
      <c r="G8042" s="10" t="n">
        <v>1529</v>
      </c>
      <c r="H8042" s="10" t="n">
        <f aca="false">F8042*G8042</f>
        <v>1529</v>
      </c>
      <c r="I8042" s="6" t="s">
        <v>5130</v>
      </c>
    </row>
    <row r="8043" customFormat="false" ht="15" hidden="false" customHeight="false" outlineLevel="0" collapsed="false">
      <c r="A8043" s="6" t="s">
        <v>13267</v>
      </c>
      <c r="B8043" s="6" t="s">
        <v>513</v>
      </c>
      <c r="C8043" s="26" t="n">
        <v>46255</v>
      </c>
      <c r="D8043" s="6" t="s">
        <v>5137</v>
      </c>
      <c r="E8043" s="6" t="s">
        <v>21</v>
      </c>
      <c r="F8043" s="6" t="n">
        <v>1</v>
      </c>
      <c r="G8043" s="10" t="n">
        <v>1768</v>
      </c>
      <c r="H8043" s="10" t="n">
        <f aca="false">F8043*G8043</f>
        <v>1768</v>
      </c>
      <c r="I8043" s="6" t="s">
        <v>5130</v>
      </c>
    </row>
    <row r="8044" customFormat="false" ht="15" hidden="false" customHeight="false" outlineLevel="0" collapsed="false">
      <c r="A8044" s="6" t="s">
        <v>13268</v>
      </c>
      <c r="B8044" s="6" t="s">
        <v>2739</v>
      </c>
      <c r="C8044" s="26" t="n">
        <v>46255</v>
      </c>
      <c r="D8044" s="6" t="s">
        <v>5165</v>
      </c>
      <c r="E8044" s="6" t="s">
        <v>22</v>
      </c>
      <c r="F8044" s="6" t="n">
        <v>2</v>
      </c>
      <c r="G8044" s="10" t="n">
        <v>880</v>
      </c>
      <c r="H8044" s="10" t="n">
        <f aca="false">F8044*G8044</f>
        <v>1760</v>
      </c>
      <c r="I8044" s="6" t="s">
        <v>5122</v>
      </c>
    </row>
    <row r="8045" customFormat="false" ht="15" hidden="false" customHeight="false" outlineLevel="0" collapsed="false">
      <c r="A8045" s="6" t="s">
        <v>13269</v>
      </c>
      <c r="B8045" s="6" t="s">
        <v>2183</v>
      </c>
      <c r="C8045" s="26" t="n">
        <v>46255</v>
      </c>
      <c r="D8045" s="6" t="s">
        <v>5165</v>
      </c>
      <c r="E8045" s="6" t="s">
        <v>22</v>
      </c>
      <c r="F8045" s="6" t="n">
        <v>3</v>
      </c>
      <c r="G8045" s="10" t="n">
        <v>928</v>
      </c>
      <c r="H8045" s="10" t="n">
        <f aca="false">F8045*G8045</f>
        <v>2784</v>
      </c>
      <c r="I8045" s="6" t="s">
        <v>5122</v>
      </c>
    </row>
    <row r="8046" customFormat="false" ht="15" hidden="false" customHeight="false" outlineLevel="0" collapsed="false">
      <c r="A8046" s="6" t="s">
        <v>13270</v>
      </c>
      <c r="B8046" s="6" t="s">
        <v>1255</v>
      </c>
      <c r="C8046" s="26" t="n">
        <v>46255</v>
      </c>
      <c r="D8046" s="6" t="s">
        <v>5121</v>
      </c>
      <c r="E8046" s="6" t="s">
        <v>22</v>
      </c>
      <c r="F8046" s="6" t="n">
        <v>2</v>
      </c>
      <c r="G8046" s="10" t="n">
        <v>977</v>
      </c>
      <c r="H8046" s="10" t="n">
        <f aca="false">F8046*G8046</f>
        <v>1954</v>
      </c>
      <c r="I8046" s="6" t="s">
        <v>5122</v>
      </c>
    </row>
    <row r="8047" customFormat="false" ht="15" hidden="false" customHeight="false" outlineLevel="0" collapsed="false">
      <c r="A8047" s="6" t="s">
        <v>13271</v>
      </c>
      <c r="B8047" s="6" t="s">
        <v>4737</v>
      </c>
      <c r="C8047" s="26" t="n">
        <v>46255</v>
      </c>
      <c r="D8047" s="6" t="s">
        <v>5167</v>
      </c>
      <c r="E8047" s="6" t="s">
        <v>22</v>
      </c>
      <c r="F8047" s="6" t="n">
        <v>2</v>
      </c>
      <c r="G8047" s="10" t="n">
        <v>743</v>
      </c>
      <c r="H8047" s="10" t="n">
        <f aca="false">F8047*G8047</f>
        <v>1486</v>
      </c>
      <c r="I8047" s="6" t="s">
        <v>5122</v>
      </c>
    </row>
    <row r="8048" customFormat="false" ht="15" hidden="false" customHeight="false" outlineLevel="0" collapsed="false">
      <c r="A8048" s="6" t="s">
        <v>13272</v>
      </c>
      <c r="B8048" s="6" t="s">
        <v>2089</v>
      </c>
      <c r="C8048" s="26" t="n">
        <v>46255</v>
      </c>
      <c r="D8048" s="6" t="s">
        <v>5683</v>
      </c>
      <c r="E8048" s="6" t="s">
        <v>22</v>
      </c>
      <c r="F8048" s="6" t="n">
        <v>1</v>
      </c>
      <c r="G8048" s="10" t="n">
        <v>1760</v>
      </c>
      <c r="H8048" s="10" t="n">
        <f aca="false">F8048*G8048</f>
        <v>1760</v>
      </c>
      <c r="I8048" s="6" t="s">
        <v>5122</v>
      </c>
    </row>
    <row r="8049" customFormat="false" ht="15" hidden="false" customHeight="false" outlineLevel="0" collapsed="false">
      <c r="A8049" s="6" t="s">
        <v>13273</v>
      </c>
      <c r="B8049" s="6" t="s">
        <v>3977</v>
      </c>
      <c r="C8049" s="26" t="n">
        <v>46255</v>
      </c>
      <c r="D8049" s="6" t="s">
        <v>5158</v>
      </c>
      <c r="E8049" s="6" t="s">
        <v>24</v>
      </c>
      <c r="F8049" s="6" t="n">
        <v>2</v>
      </c>
      <c r="G8049" s="10" t="n">
        <v>411</v>
      </c>
      <c r="H8049" s="10" t="n">
        <f aca="false">F8049*G8049</f>
        <v>822</v>
      </c>
      <c r="I8049" s="6" t="s">
        <v>5122</v>
      </c>
    </row>
    <row r="8050" customFormat="false" ht="15" hidden="false" customHeight="false" outlineLevel="0" collapsed="false">
      <c r="A8050" s="6" t="s">
        <v>13274</v>
      </c>
      <c r="B8050" s="6" t="s">
        <v>1067</v>
      </c>
      <c r="C8050" s="26" t="n">
        <v>46255</v>
      </c>
      <c r="D8050" s="6" t="s">
        <v>5259</v>
      </c>
      <c r="E8050" s="6" t="s">
        <v>22</v>
      </c>
      <c r="F8050" s="6" t="n">
        <v>2</v>
      </c>
      <c r="G8050" s="10" t="n">
        <v>1564</v>
      </c>
      <c r="H8050" s="10" t="n">
        <f aca="false">F8050*G8050</f>
        <v>3128</v>
      </c>
      <c r="I8050" s="6" t="s">
        <v>5122</v>
      </c>
    </row>
    <row r="8051" customFormat="false" ht="15" hidden="false" customHeight="false" outlineLevel="0" collapsed="false">
      <c r="A8051" s="6" t="s">
        <v>13275</v>
      </c>
      <c r="B8051" s="6" t="s">
        <v>563</v>
      </c>
      <c r="C8051" s="26" t="n">
        <v>46255</v>
      </c>
      <c r="D8051" s="6" t="s">
        <v>5163</v>
      </c>
      <c r="E8051" s="6" t="s">
        <v>23</v>
      </c>
      <c r="F8051" s="6" t="n">
        <v>4</v>
      </c>
      <c r="G8051" s="10" t="n">
        <v>783</v>
      </c>
      <c r="H8051" s="10" t="n">
        <f aca="false">F8051*G8051</f>
        <v>3132</v>
      </c>
      <c r="I8051" s="6" t="s">
        <v>5148</v>
      </c>
    </row>
    <row r="8052" customFormat="false" ht="15" hidden="false" customHeight="false" outlineLevel="0" collapsed="false">
      <c r="A8052" s="6" t="s">
        <v>13276</v>
      </c>
      <c r="B8052" s="6" t="s">
        <v>4399</v>
      </c>
      <c r="C8052" s="26" t="n">
        <v>46255</v>
      </c>
      <c r="D8052" s="6" t="s">
        <v>5216</v>
      </c>
      <c r="E8052" s="6" t="s">
        <v>23</v>
      </c>
      <c r="F8052" s="6" t="n">
        <v>2</v>
      </c>
      <c r="G8052" s="10" t="n">
        <v>587</v>
      </c>
      <c r="H8052" s="10" t="n">
        <f aca="false">F8052*G8052</f>
        <v>1174</v>
      </c>
      <c r="I8052" s="6" t="s">
        <v>5122</v>
      </c>
    </row>
    <row r="8053" customFormat="false" ht="15" hidden="false" customHeight="false" outlineLevel="0" collapsed="false">
      <c r="A8053" s="6" t="s">
        <v>13277</v>
      </c>
      <c r="B8053" s="6" t="s">
        <v>1083</v>
      </c>
      <c r="C8053" s="26" t="n">
        <v>46255</v>
      </c>
      <c r="D8053" s="6" t="s">
        <v>5165</v>
      </c>
      <c r="E8053" s="6" t="s">
        <v>22</v>
      </c>
      <c r="F8053" s="6" t="n">
        <v>1</v>
      </c>
      <c r="G8053" s="10" t="n">
        <v>927</v>
      </c>
      <c r="H8053" s="10" t="n">
        <f aca="false">F8053*G8053</f>
        <v>927</v>
      </c>
      <c r="I8053" s="6" t="s">
        <v>5122</v>
      </c>
    </row>
    <row r="8054" customFormat="false" ht="15" hidden="false" customHeight="false" outlineLevel="0" collapsed="false">
      <c r="A8054" s="6" t="s">
        <v>13278</v>
      </c>
      <c r="B8054" s="6" t="s">
        <v>1965</v>
      </c>
      <c r="C8054" s="26" t="n">
        <v>46255</v>
      </c>
      <c r="D8054" s="6" t="s">
        <v>5163</v>
      </c>
      <c r="E8054" s="6" t="s">
        <v>23</v>
      </c>
      <c r="F8054" s="6" t="n">
        <v>2</v>
      </c>
      <c r="G8054" s="10" t="n">
        <v>705</v>
      </c>
      <c r="H8054" s="10" t="n">
        <f aca="false">F8054*G8054</f>
        <v>1410</v>
      </c>
      <c r="I8054" s="6" t="s">
        <v>5130</v>
      </c>
    </row>
    <row r="8055" customFormat="false" ht="15" hidden="false" customHeight="false" outlineLevel="0" collapsed="false">
      <c r="A8055" s="6" t="s">
        <v>13279</v>
      </c>
      <c r="B8055" s="6" t="s">
        <v>641</v>
      </c>
      <c r="C8055" s="26" t="n">
        <v>46256</v>
      </c>
      <c r="D8055" s="6" t="s">
        <v>5410</v>
      </c>
      <c r="E8055" s="6" t="s">
        <v>20</v>
      </c>
      <c r="F8055" s="6" t="n">
        <v>1</v>
      </c>
      <c r="G8055" s="10" t="n">
        <v>2420</v>
      </c>
      <c r="H8055" s="10" t="n">
        <f aca="false">F8055*G8055</f>
        <v>2420</v>
      </c>
      <c r="I8055" s="6" t="s">
        <v>5122</v>
      </c>
    </row>
    <row r="8056" customFormat="false" ht="15" hidden="false" customHeight="false" outlineLevel="0" collapsed="false">
      <c r="A8056" s="6" t="s">
        <v>13280</v>
      </c>
      <c r="B8056" s="6" t="s">
        <v>1041</v>
      </c>
      <c r="C8056" s="26" t="n">
        <v>46256</v>
      </c>
      <c r="D8056" s="6" t="s">
        <v>5456</v>
      </c>
      <c r="E8056" s="6" t="s">
        <v>24</v>
      </c>
      <c r="F8056" s="6" t="n">
        <v>1</v>
      </c>
      <c r="G8056" s="10" t="n">
        <v>912</v>
      </c>
      <c r="H8056" s="10" t="n">
        <f aca="false">F8056*G8056</f>
        <v>912</v>
      </c>
      <c r="I8056" s="6" t="s">
        <v>5122</v>
      </c>
    </row>
    <row r="8057" customFormat="false" ht="15" hidden="false" customHeight="false" outlineLevel="0" collapsed="false">
      <c r="A8057" s="6" t="s">
        <v>13281</v>
      </c>
      <c r="B8057" s="6" t="s">
        <v>4877</v>
      </c>
      <c r="C8057" s="26" t="n">
        <v>46256</v>
      </c>
      <c r="D8057" s="6" t="s">
        <v>5143</v>
      </c>
      <c r="E8057" s="6" t="s">
        <v>21</v>
      </c>
      <c r="F8057" s="6" t="n">
        <v>3</v>
      </c>
      <c r="G8057" s="10" t="n">
        <v>1061</v>
      </c>
      <c r="H8057" s="10" t="n">
        <f aca="false">F8057*G8057</f>
        <v>3183</v>
      </c>
      <c r="I8057" s="6" t="s">
        <v>5125</v>
      </c>
    </row>
    <row r="8058" customFormat="false" ht="15" hidden="false" customHeight="false" outlineLevel="0" collapsed="false">
      <c r="A8058" s="6" t="s">
        <v>13282</v>
      </c>
      <c r="B8058" s="6" t="s">
        <v>1577</v>
      </c>
      <c r="C8058" s="26" t="n">
        <v>46256</v>
      </c>
      <c r="D8058" s="6" t="s">
        <v>5163</v>
      </c>
      <c r="E8058" s="6" t="s">
        <v>23</v>
      </c>
      <c r="F8058" s="6" t="n">
        <v>2</v>
      </c>
      <c r="G8058" s="10" t="n">
        <v>783</v>
      </c>
      <c r="H8058" s="10" t="n">
        <f aca="false">F8058*G8058</f>
        <v>1566</v>
      </c>
      <c r="I8058" s="6" t="s">
        <v>5125</v>
      </c>
    </row>
    <row r="8059" customFormat="false" ht="15" hidden="false" customHeight="false" outlineLevel="0" collapsed="false">
      <c r="A8059" s="6" t="s">
        <v>13283</v>
      </c>
      <c r="B8059" s="6" t="s">
        <v>2743</v>
      </c>
      <c r="C8059" s="26" t="n">
        <v>46256</v>
      </c>
      <c r="D8059" s="6" t="s">
        <v>5145</v>
      </c>
      <c r="E8059" s="6" t="s">
        <v>21</v>
      </c>
      <c r="F8059" s="6" t="n">
        <v>1</v>
      </c>
      <c r="G8059" s="10" t="n">
        <v>1277</v>
      </c>
      <c r="H8059" s="10" t="n">
        <f aca="false">F8059*G8059</f>
        <v>1277</v>
      </c>
      <c r="I8059" s="6" t="s">
        <v>5125</v>
      </c>
    </row>
    <row r="8060" customFormat="false" ht="15" hidden="false" customHeight="false" outlineLevel="0" collapsed="false">
      <c r="A8060" s="6" t="s">
        <v>13284</v>
      </c>
      <c r="B8060" s="6" t="s">
        <v>370</v>
      </c>
      <c r="C8060" s="26" t="n">
        <v>46256</v>
      </c>
      <c r="D8060" s="6" t="s">
        <v>5398</v>
      </c>
      <c r="E8060" s="6" t="s">
        <v>24</v>
      </c>
      <c r="F8060" s="6" t="n">
        <v>1</v>
      </c>
      <c r="G8060" s="10" t="n">
        <v>611</v>
      </c>
      <c r="H8060" s="10" t="n">
        <f aca="false">F8060*G8060</f>
        <v>611</v>
      </c>
      <c r="I8060" s="6" t="s">
        <v>5125</v>
      </c>
    </row>
    <row r="8061" customFormat="false" ht="15" hidden="false" customHeight="false" outlineLevel="0" collapsed="false">
      <c r="A8061" s="6" t="s">
        <v>13285</v>
      </c>
      <c r="B8061" s="6" t="s">
        <v>1029</v>
      </c>
      <c r="C8061" s="26" t="n">
        <v>46256</v>
      </c>
      <c r="D8061" s="6" t="s">
        <v>5158</v>
      </c>
      <c r="E8061" s="6" t="s">
        <v>24</v>
      </c>
      <c r="F8061" s="6" t="n">
        <v>3</v>
      </c>
      <c r="G8061" s="10" t="n">
        <v>390</v>
      </c>
      <c r="H8061" s="10" t="n">
        <f aca="false">F8061*G8061</f>
        <v>1170</v>
      </c>
      <c r="I8061" s="6" t="s">
        <v>5122</v>
      </c>
    </row>
    <row r="8062" customFormat="false" ht="15" hidden="false" customHeight="false" outlineLevel="0" collapsed="false">
      <c r="A8062" s="6" t="s">
        <v>13286</v>
      </c>
      <c r="B8062" s="6" t="s">
        <v>2951</v>
      </c>
      <c r="C8062" s="26" t="n">
        <v>46256</v>
      </c>
      <c r="D8062" s="6" t="s">
        <v>5129</v>
      </c>
      <c r="E8062" s="6" t="s">
        <v>21</v>
      </c>
      <c r="F8062" s="6" t="n">
        <v>1</v>
      </c>
      <c r="G8062" s="10" t="n">
        <v>530</v>
      </c>
      <c r="H8062" s="10" t="n">
        <f aca="false">F8062*G8062</f>
        <v>530</v>
      </c>
      <c r="I8062" s="6" t="s">
        <v>5122</v>
      </c>
    </row>
    <row r="8063" customFormat="false" ht="15" hidden="false" customHeight="false" outlineLevel="0" collapsed="false">
      <c r="A8063" s="6" t="s">
        <v>13287</v>
      </c>
      <c r="B8063" s="6" t="s">
        <v>2819</v>
      </c>
      <c r="C8063" s="26" t="n">
        <v>46256</v>
      </c>
      <c r="D8063" s="6" t="s">
        <v>5460</v>
      </c>
      <c r="E8063" s="6" t="s">
        <v>24</v>
      </c>
      <c r="F8063" s="6" t="n">
        <v>1</v>
      </c>
      <c r="G8063" s="10" t="n">
        <v>555</v>
      </c>
      <c r="H8063" s="10" t="n">
        <f aca="false">F8063*G8063</f>
        <v>555</v>
      </c>
      <c r="I8063" s="6" t="s">
        <v>5130</v>
      </c>
    </row>
    <row r="8064" customFormat="false" ht="15" hidden="false" customHeight="false" outlineLevel="0" collapsed="false">
      <c r="A8064" s="6" t="s">
        <v>13288</v>
      </c>
      <c r="B8064" s="6" t="s">
        <v>3957</v>
      </c>
      <c r="C8064" s="26" t="n">
        <v>46256</v>
      </c>
      <c r="D8064" s="6" t="s">
        <v>5124</v>
      </c>
      <c r="E8064" s="6" t="s">
        <v>21</v>
      </c>
      <c r="F8064" s="6" t="n">
        <v>1</v>
      </c>
      <c r="G8064" s="10" t="n">
        <v>3439</v>
      </c>
      <c r="H8064" s="10" t="n">
        <f aca="false">F8064*G8064</f>
        <v>3439</v>
      </c>
      <c r="I8064" s="6" t="s">
        <v>5125</v>
      </c>
    </row>
    <row r="8065" customFormat="false" ht="15" hidden="false" customHeight="false" outlineLevel="0" collapsed="false">
      <c r="A8065" s="6" t="s">
        <v>13289</v>
      </c>
      <c r="B8065" s="6" t="s">
        <v>194</v>
      </c>
      <c r="C8065" s="26" t="n">
        <v>46256</v>
      </c>
      <c r="D8065" s="6" t="s">
        <v>5185</v>
      </c>
      <c r="E8065" s="6" t="s">
        <v>24</v>
      </c>
      <c r="F8065" s="6" t="n">
        <v>1</v>
      </c>
      <c r="G8065" s="10" t="n">
        <v>2141</v>
      </c>
      <c r="H8065" s="10" t="n">
        <f aca="false">F8065*G8065</f>
        <v>2141</v>
      </c>
      <c r="I8065" s="6" t="s">
        <v>5130</v>
      </c>
    </row>
    <row r="8066" customFormat="false" ht="15" hidden="false" customHeight="false" outlineLevel="0" collapsed="false">
      <c r="A8066" s="6" t="s">
        <v>13290</v>
      </c>
      <c r="B8066" s="6" t="s">
        <v>3375</v>
      </c>
      <c r="C8066" s="26" t="n">
        <v>46256</v>
      </c>
      <c r="D8066" s="6" t="s">
        <v>5316</v>
      </c>
      <c r="E8066" s="6" t="s">
        <v>23</v>
      </c>
      <c r="F8066" s="6" t="n">
        <v>4</v>
      </c>
      <c r="G8066" s="10" t="n">
        <v>260</v>
      </c>
      <c r="H8066" s="10" t="n">
        <f aca="false">F8066*G8066</f>
        <v>1040</v>
      </c>
      <c r="I8066" s="6" t="s">
        <v>5122</v>
      </c>
    </row>
    <row r="8067" customFormat="false" ht="15" hidden="false" customHeight="false" outlineLevel="0" collapsed="false">
      <c r="A8067" s="6" t="s">
        <v>13291</v>
      </c>
      <c r="B8067" s="6" t="s">
        <v>2421</v>
      </c>
      <c r="C8067" s="26" t="n">
        <v>46256</v>
      </c>
      <c r="D8067" s="6" t="s">
        <v>5192</v>
      </c>
      <c r="E8067" s="6" t="s">
        <v>20</v>
      </c>
      <c r="F8067" s="6" t="n">
        <v>1</v>
      </c>
      <c r="G8067" s="10" t="n">
        <v>4078</v>
      </c>
      <c r="H8067" s="10" t="n">
        <f aca="false">F8067*G8067</f>
        <v>4078</v>
      </c>
      <c r="I8067" s="6" t="s">
        <v>5122</v>
      </c>
    </row>
    <row r="8068" customFormat="false" ht="15" hidden="false" customHeight="false" outlineLevel="0" collapsed="false">
      <c r="A8068" s="6" t="s">
        <v>13292</v>
      </c>
      <c r="B8068" s="6" t="s">
        <v>2469</v>
      </c>
      <c r="C8068" s="26" t="n">
        <v>46256</v>
      </c>
      <c r="D8068" s="6" t="s">
        <v>5121</v>
      </c>
      <c r="E8068" s="6" t="s">
        <v>22</v>
      </c>
      <c r="F8068" s="6" t="n">
        <v>1</v>
      </c>
      <c r="G8068" s="10" t="n">
        <v>880</v>
      </c>
      <c r="H8068" s="10" t="n">
        <f aca="false">F8068*G8068</f>
        <v>880</v>
      </c>
      <c r="I8068" s="6" t="s">
        <v>5130</v>
      </c>
    </row>
    <row r="8069" customFormat="false" ht="15" hidden="false" customHeight="false" outlineLevel="0" collapsed="false">
      <c r="A8069" s="6" t="s">
        <v>13293</v>
      </c>
      <c r="B8069" s="6" t="s">
        <v>1725</v>
      </c>
      <c r="C8069" s="26" t="n">
        <v>46256</v>
      </c>
      <c r="D8069" s="6" t="s">
        <v>5169</v>
      </c>
      <c r="E8069" s="6" t="s">
        <v>20</v>
      </c>
      <c r="F8069" s="6" t="n">
        <v>1</v>
      </c>
      <c r="G8069" s="10" t="n">
        <v>5098</v>
      </c>
      <c r="H8069" s="10" t="n">
        <f aca="false">F8069*G8069</f>
        <v>5098</v>
      </c>
      <c r="I8069" s="6" t="s">
        <v>5122</v>
      </c>
    </row>
    <row r="8070" customFormat="false" ht="15" hidden="false" customHeight="false" outlineLevel="0" collapsed="false">
      <c r="A8070" s="6" t="s">
        <v>13294</v>
      </c>
      <c r="B8070" s="6" t="s">
        <v>973</v>
      </c>
      <c r="C8070" s="26" t="n">
        <v>46256</v>
      </c>
      <c r="D8070" s="6" t="s">
        <v>5281</v>
      </c>
      <c r="E8070" s="6" t="s">
        <v>24</v>
      </c>
      <c r="F8070" s="6" t="n">
        <v>3</v>
      </c>
      <c r="G8070" s="10" t="n">
        <v>773</v>
      </c>
      <c r="H8070" s="10" t="n">
        <f aca="false">F8070*G8070</f>
        <v>2319</v>
      </c>
      <c r="I8070" s="6" t="s">
        <v>5122</v>
      </c>
    </row>
    <row r="8071" customFormat="false" ht="15" hidden="false" customHeight="false" outlineLevel="0" collapsed="false">
      <c r="A8071" s="6" t="s">
        <v>13295</v>
      </c>
      <c r="B8071" s="6" t="s">
        <v>138</v>
      </c>
      <c r="C8071" s="26" t="n">
        <v>46256</v>
      </c>
      <c r="D8071" s="6" t="s">
        <v>5154</v>
      </c>
      <c r="E8071" s="6" t="s">
        <v>21</v>
      </c>
      <c r="F8071" s="6" t="n">
        <v>1</v>
      </c>
      <c r="G8071" s="10" t="n">
        <v>746</v>
      </c>
      <c r="H8071" s="10" t="n">
        <f aca="false">F8071*G8071</f>
        <v>746</v>
      </c>
      <c r="I8071" s="6" t="s">
        <v>5122</v>
      </c>
    </row>
    <row r="8072" customFormat="false" ht="15" hidden="false" customHeight="false" outlineLevel="0" collapsed="false">
      <c r="A8072" s="6" t="s">
        <v>13296</v>
      </c>
      <c r="B8072" s="6" t="s">
        <v>2483</v>
      </c>
      <c r="C8072" s="26" t="n">
        <v>46256</v>
      </c>
      <c r="D8072" s="6" t="s">
        <v>5216</v>
      </c>
      <c r="E8072" s="6" t="s">
        <v>23</v>
      </c>
      <c r="F8072" s="6" t="n">
        <v>1</v>
      </c>
      <c r="G8072" s="10" t="n">
        <v>558</v>
      </c>
      <c r="H8072" s="10" t="n">
        <f aca="false">F8072*G8072</f>
        <v>558</v>
      </c>
      <c r="I8072" s="6" t="s">
        <v>5148</v>
      </c>
    </row>
    <row r="8073" customFormat="false" ht="15" hidden="false" customHeight="false" outlineLevel="0" collapsed="false">
      <c r="A8073" s="6" t="s">
        <v>13297</v>
      </c>
      <c r="B8073" s="6" t="s">
        <v>3943</v>
      </c>
      <c r="C8073" s="26" t="n">
        <v>46256</v>
      </c>
      <c r="D8073" s="6" t="s">
        <v>5197</v>
      </c>
      <c r="E8073" s="6" t="s">
        <v>21</v>
      </c>
      <c r="F8073" s="6" t="n">
        <v>1</v>
      </c>
      <c r="G8073" s="10" t="n">
        <v>1080</v>
      </c>
      <c r="H8073" s="10" t="n">
        <f aca="false">F8073*G8073</f>
        <v>1080</v>
      </c>
      <c r="I8073" s="6" t="s">
        <v>5148</v>
      </c>
    </row>
    <row r="8074" customFormat="false" ht="15" hidden="false" customHeight="false" outlineLevel="0" collapsed="false">
      <c r="A8074" s="6" t="s">
        <v>13298</v>
      </c>
      <c r="B8074" s="6" t="s">
        <v>4565</v>
      </c>
      <c r="C8074" s="26" t="n">
        <v>46256</v>
      </c>
      <c r="D8074" s="6" t="s">
        <v>5687</v>
      </c>
      <c r="E8074" s="6" t="s">
        <v>20</v>
      </c>
      <c r="F8074" s="6" t="n">
        <v>1</v>
      </c>
      <c r="G8074" s="10" t="n">
        <v>2039</v>
      </c>
      <c r="H8074" s="10" t="n">
        <f aca="false">F8074*G8074</f>
        <v>2039</v>
      </c>
      <c r="I8074" s="6" t="s">
        <v>5130</v>
      </c>
    </row>
    <row r="8075" customFormat="false" ht="15" hidden="false" customHeight="false" outlineLevel="0" collapsed="false">
      <c r="A8075" s="6" t="s">
        <v>13299</v>
      </c>
      <c r="B8075" s="6" t="s">
        <v>4429</v>
      </c>
      <c r="C8075" s="26" t="n">
        <v>46256</v>
      </c>
      <c r="D8075" s="6" t="s">
        <v>5141</v>
      </c>
      <c r="E8075" s="6" t="s">
        <v>20</v>
      </c>
      <c r="F8075" s="6" t="n">
        <v>1</v>
      </c>
      <c r="G8075" s="10" t="n">
        <v>1835</v>
      </c>
      <c r="H8075" s="10" t="n">
        <f aca="false">F8075*G8075</f>
        <v>1835</v>
      </c>
      <c r="I8075" s="6" t="s">
        <v>5133</v>
      </c>
    </row>
    <row r="8076" customFormat="false" ht="15" hidden="false" customHeight="false" outlineLevel="0" collapsed="false">
      <c r="A8076" s="6" t="s">
        <v>13300</v>
      </c>
      <c r="B8076" s="6" t="s">
        <v>4599</v>
      </c>
      <c r="C8076" s="26" t="n">
        <v>46256</v>
      </c>
      <c r="D8076" s="6" t="s">
        <v>5163</v>
      </c>
      <c r="E8076" s="6" t="s">
        <v>23</v>
      </c>
      <c r="F8076" s="6" t="n">
        <v>2</v>
      </c>
      <c r="G8076" s="10" t="n">
        <v>705</v>
      </c>
      <c r="H8076" s="10" t="n">
        <f aca="false">F8076*G8076</f>
        <v>1410</v>
      </c>
      <c r="I8076" s="6" t="s">
        <v>5122</v>
      </c>
    </row>
    <row r="8077" customFormat="false" ht="15" hidden="false" customHeight="false" outlineLevel="0" collapsed="false">
      <c r="A8077" s="6" t="s">
        <v>13301</v>
      </c>
      <c r="B8077" s="6" t="s">
        <v>2397</v>
      </c>
      <c r="C8077" s="26" t="n">
        <v>46256</v>
      </c>
      <c r="D8077" s="6" t="s">
        <v>5313</v>
      </c>
      <c r="E8077" s="6" t="s">
        <v>22</v>
      </c>
      <c r="F8077" s="6" t="n">
        <v>1</v>
      </c>
      <c r="G8077" s="10" t="n">
        <v>1760</v>
      </c>
      <c r="H8077" s="10" t="n">
        <f aca="false">F8077*G8077</f>
        <v>1760</v>
      </c>
      <c r="I8077" s="6" t="s">
        <v>5173</v>
      </c>
    </row>
    <row r="8078" customFormat="false" ht="15" hidden="false" customHeight="false" outlineLevel="0" collapsed="false">
      <c r="A8078" s="6" t="s">
        <v>13302</v>
      </c>
      <c r="B8078" s="6" t="s">
        <v>1717</v>
      </c>
      <c r="C8078" s="26" t="n">
        <v>46256</v>
      </c>
      <c r="D8078" s="6" t="s">
        <v>5124</v>
      </c>
      <c r="E8078" s="6" t="s">
        <v>21</v>
      </c>
      <c r="F8078" s="6" t="n">
        <v>1</v>
      </c>
      <c r="G8078" s="10" t="n">
        <v>3439</v>
      </c>
      <c r="H8078" s="10" t="n">
        <f aca="false">F8078*G8078</f>
        <v>3439</v>
      </c>
      <c r="I8078" s="6" t="s">
        <v>5130</v>
      </c>
    </row>
    <row r="8079" customFormat="false" ht="15" hidden="false" customHeight="false" outlineLevel="0" collapsed="false">
      <c r="A8079" s="6" t="s">
        <v>13303</v>
      </c>
      <c r="B8079" s="6" t="s">
        <v>4553</v>
      </c>
      <c r="C8079" s="26" t="n">
        <v>46256</v>
      </c>
      <c r="D8079" s="6" t="s">
        <v>5298</v>
      </c>
      <c r="E8079" s="6" t="s">
        <v>23</v>
      </c>
      <c r="F8079" s="6" t="n">
        <v>3</v>
      </c>
      <c r="G8079" s="10" t="n">
        <v>264</v>
      </c>
      <c r="H8079" s="10" t="n">
        <f aca="false">F8079*G8079</f>
        <v>792</v>
      </c>
      <c r="I8079" s="6" t="s">
        <v>5148</v>
      </c>
    </row>
    <row r="8080" customFormat="false" ht="15" hidden="false" customHeight="false" outlineLevel="0" collapsed="false">
      <c r="A8080" s="6" t="s">
        <v>13304</v>
      </c>
      <c r="B8080" s="6" t="s">
        <v>3177</v>
      </c>
      <c r="C8080" s="26" t="n">
        <v>46256</v>
      </c>
      <c r="D8080" s="6" t="s">
        <v>5145</v>
      </c>
      <c r="E8080" s="6" t="s">
        <v>21</v>
      </c>
      <c r="F8080" s="6" t="n">
        <v>1</v>
      </c>
      <c r="G8080" s="10" t="n">
        <v>1277</v>
      </c>
      <c r="H8080" s="10" t="n">
        <f aca="false">F8080*G8080</f>
        <v>1277</v>
      </c>
      <c r="I8080" s="6" t="s">
        <v>5125</v>
      </c>
    </row>
    <row r="8081" customFormat="false" ht="15" hidden="false" customHeight="false" outlineLevel="0" collapsed="false">
      <c r="A8081" s="6" t="s">
        <v>13305</v>
      </c>
      <c r="B8081" s="6" t="s">
        <v>543</v>
      </c>
      <c r="C8081" s="26" t="n">
        <v>46256</v>
      </c>
      <c r="D8081" s="6" t="s">
        <v>5353</v>
      </c>
      <c r="E8081" s="6" t="s">
        <v>24</v>
      </c>
      <c r="F8081" s="6" t="n">
        <v>1</v>
      </c>
      <c r="G8081" s="10" t="n">
        <v>1467</v>
      </c>
      <c r="H8081" s="10" t="n">
        <f aca="false">F8081*G8081</f>
        <v>1467</v>
      </c>
      <c r="I8081" s="6" t="s">
        <v>5133</v>
      </c>
    </row>
    <row r="8082" customFormat="false" ht="15" hidden="false" customHeight="false" outlineLevel="0" collapsed="false">
      <c r="A8082" s="6" t="s">
        <v>13306</v>
      </c>
      <c r="B8082" s="6" t="s">
        <v>2009</v>
      </c>
      <c r="C8082" s="26" t="n">
        <v>46256</v>
      </c>
      <c r="D8082" s="6" t="s">
        <v>5305</v>
      </c>
      <c r="E8082" s="6" t="s">
        <v>20</v>
      </c>
      <c r="F8082" s="6" t="n">
        <v>1</v>
      </c>
      <c r="G8082" s="10" t="n">
        <v>1631</v>
      </c>
      <c r="H8082" s="10" t="n">
        <f aca="false">F8082*G8082</f>
        <v>1631</v>
      </c>
      <c r="I8082" s="6" t="s">
        <v>5133</v>
      </c>
    </row>
    <row r="8083" customFormat="false" ht="15" hidden="false" customHeight="false" outlineLevel="0" collapsed="false">
      <c r="A8083" s="6" t="s">
        <v>13307</v>
      </c>
      <c r="B8083" s="6" t="s">
        <v>4259</v>
      </c>
      <c r="C8083" s="26" t="n">
        <v>46256</v>
      </c>
      <c r="D8083" s="6" t="s">
        <v>5165</v>
      </c>
      <c r="E8083" s="6" t="s">
        <v>22</v>
      </c>
      <c r="F8083" s="6" t="n">
        <v>1</v>
      </c>
      <c r="G8083" s="10" t="n">
        <v>880</v>
      </c>
      <c r="H8083" s="10" t="n">
        <f aca="false">F8083*G8083</f>
        <v>880</v>
      </c>
      <c r="I8083" s="6" t="s">
        <v>5122</v>
      </c>
    </row>
    <row r="8084" customFormat="false" ht="15" hidden="false" customHeight="false" outlineLevel="0" collapsed="false">
      <c r="A8084" s="6" t="s">
        <v>13308</v>
      </c>
      <c r="B8084" s="6" t="s">
        <v>1641</v>
      </c>
      <c r="C8084" s="26" t="n">
        <v>46256</v>
      </c>
      <c r="D8084" s="6" t="s">
        <v>5290</v>
      </c>
      <c r="E8084" s="6" t="s">
        <v>23</v>
      </c>
      <c r="F8084" s="6" t="n">
        <v>4</v>
      </c>
      <c r="G8084" s="10" t="n">
        <v>106</v>
      </c>
      <c r="H8084" s="10" t="n">
        <f aca="false">F8084*G8084</f>
        <v>424</v>
      </c>
      <c r="I8084" s="6" t="s">
        <v>5133</v>
      </c>
    </row>
    <row r="8085" customFormat="false" ht="15" hidden="false" customHeight="false" outlineLevel="0" collapsed="false">
      <c r="A8085" s="6" t="s">
        <v>13309</v>
      </c>
      <c r="B8085" s="6" t="s">
        <v>378</v>
      </c>
      <c r="C8085" s="26" t="n">
        <v>46256</v>
      </c>
      <c r="D8085" s="6" t="s">
        <v>5165</v>
      </c>
      <c r="E8085" s="6" t="s">
        <v>22</v>
      </c>
      <c r="F8085" s="6" t="n">
        <v>2</v>
      </c>
      <c r="G8085" s="10" t="n">
        <v>977</v>
      </c>
      <c r="H8085" s="10" t="n">
        <f aca="false">F8085*G8085</f>
        <v>1954</v>
      </c>
      <c r="I8085" s="6" t="s">
        <v>5125</v>
      </c>
    </row>
    <row r="8086" customFormat="false" ht="15" hidden="false" customHeight="false" outlineLevel="0" collapsed="false">
      <c r="A8086" s="6" t="s">
        <v>13310</v>
      </c>
      <c r="B8086" s="6" t="s">
        <v>3393</v>
      </c>
      <c r="C8086" s="26" t="n">
        <v>46256</v>
      </c>
      <c r="D8086" s="6" t="s">
        <v>5171</v>
      </c>
      <c r="E8086" s="6" t="s">
        <v>23</v>
      </c>
      <c r="F8086" s="6" t="n">
        <v>5</v>
      </c>
      <c r="G8086" s="10" t="n">
        <v>734</v>
      </c>
      <c r="H8086" s="10" t="n">
        <f aca="false">F8086*G8086</f>
        <v>3670</v>
      </c>
      <c r="I8086" s="6" t="s">
        <v>5148</v>
      </c>
    </row>
    <row r="8087" customFormat="false" ht="15" hidden="false" customHeight="false" outlineLevel="0" collapsed="false">
      <c r="A8087" s="6" t="s">
        <v>13311</v>
      </c>
      <c r="B8087" s="6" t="s">
        <v>4689</v>
      </c>
      <c r="C8087" s="26" t="n">
        <v>46256</v>
      </c>
      <c r="D8087" s="6" t="s">
        <v>5121</v>
      </c>
      <c r="E8087" s="6" t="s">
        <v>22</v>
      </c>
      <c r="F8087" s="6" t="n">
        <v>3</v>
      </c>
      <c r="G8087" s="10" t="n">
        <v>928</v>
      </c>
      <c r="H8087" s="10" t="n">
        <f aca="false">F8087*G8087</f>
        <v>2784</v>
      </c>
      <c r="I8087" s="6" t="s">
        <v>5122</v>
      </c>
    </row>
    <row r="8088" customFormat="false" ht="15" hidden="false" customHeight="false" outlineLevel="0" collapsed="false">
      <c r="A8088" s="6" t="s">
        <v>13312</v>
      </c>
      <c r="B8088" s="6" t="s">
        <v>4683</v>
      </c>
      <c r="C8088" s="26" t="n">
        <v>46256</v>
      </c>
      <c r="D8088" s="6" t="s">
        <v>5167</v>
      </c>
      <c r="E8088" s="6" t="s">
        <v>22</v>
      </c>
      <c r="F8088" s="6" t="n">
        <v>1</v>
      </c>
      <c r="G8088" s="10" t="n">
        <v>743</v>
      </c>
      <c r="H8088" s="10" t="n">
        <f aca="false">F8088*G8088</f>
        <v>743</v>
      </c>
      <c r="I8088" s="6" t="s">
        <v>5122</v>
      </c>
    </row>
    <row r="8089" customFormat="false" ht="15" hidden="false" customHeight="false" outlineLevel="0" collapsed="false">
      <c r="A8089" s="6" t="s">
        <v>13313</v>
      </c>
      <c r="B8089" s="6" t="s">
        <v>2195</v>
      </c>
      <c r="C8089" s="26" t="n">
        <v>46256</v>
      </c>
      <c r="D8089" s="6" t="s">
        <v>5167</v>
      </c>
      <c r="E8089" s="6" t="s">
        <v>22</v>
      </c>
      <c r="F8089" s="6" t="n">
        <v>1</v>
      </c>
      <c r="G8089" s="10" t="n">
        <v>782</v>
      </c>
      <c r="H8089" s="10" t="n">
        <f aca="false">F8089*G8089</f>
        <v>782</v>
      </c>
      <c r="I8089" s="6" t="s">
        <v>5122</v>
      </c>
    </row>
    <row r="8090" customFormat="false" ht="15" hidden="false" customHeight="false" outlineLevel="0" collapsed="false">
      <c r="A8090" s="6" t="s">
        <v>13314</v>
      </c>
      <c r="B8090" s="6" t="s">
        <v>4739</v>
      </c>
      <c r="C8090" s="26" t="n">
        <v>46256</v>
      </c>
      <c r="D8090" s="6" t="s">
        <v>5345</v>
      </c>
      <c r="E8090" s="6" t="s">
        <v>23</v>
      </c>
      <c r="F8090" s="6" t="n">
        <v>2</v>
      </c>
      <c r="G8090" s="10" t="n">
        <v>436</v>
      </c>
      <c r="H8090" s="10" t="n">
        <f aca="false">F8090*G8090</f>
        <v>872</v>
      </c>
      <c r="I8090" s="6" t="s">
        <v>5122</v>
      </c>
    </row>
    <row r="8091" customFormat="false" ht="15" hidden="false" customHeight="false" outlineLevel="0" collapsed="false">
      <c r="A8091" s="6" t="s">
        <v>13315</v>
      </c>
      <c r="B8091" s="6" t="s">
        <v>2537</v>
      </c>
      <c r="C8091" s="26" t="n">
        <v>46256</v>
      </c>
      <c r="D8091" s="6" t="s">
        <v>5353</v>
      </c>
      <c r="E8091" s="6" t="s">
        <v>24</v>
      </c>
      <c r="F8091" s="6" t="n">
        <v>2</v>
      </c>
      <c r="G8091" s="10" t="n">
        <v>1629</v>
      </c>
      <c r="H8091" s="10" t="n">
        <f aca="false">F8091*G8091</f>
        <v>3258</v>
      </c>
      <c r="I8091" s="6" t="s">
        <v>5125</v>
      </c>
    </row>
    <row r="8092" customFormat="false" ht="15" hidden="false" customHeight="false" outlineLevel="0" collapsed="false">
      <c r="A8092" s="6" t="s">
        <v>13316</v>
      </c>
      <c r="B8092" s="6" t="s">
        <v>4325</v>
      </c>
      <c r="C8092" s="26" t="n">
        <v>46256</v>
      </c>
      <c r="D8092" s="6" t="s">
        <v>5410</v>
      </c>
      <c r="E8092" s="6" t="s">
        <v>20</v>
      </c>
      <c r="F8092" s="6" t="n">
        <v>2</v>
      </c>
      <c r="G8092" s="10" t="n">
        <v>2548</v>
      </c>
      <c r="H8092" s="10" t="n">
        <f aca="false">F8092*G8092</f>
        <v>5096</v>
      </c>
      <c r="I8092" s="6" t="s">
        <v>5130</v>
      </c>
    </row>
    <row r="8093" customFormat="false" ht="15" hidden="false" customHeight="false" outlineLevel="0" collapsed="false">
      <c r="A8093" s="6" t="s">
        <v>13317</v>
      </c>
      <c r="B8093" s="6" t="s">
        <v>418</v>
      </c>
      <c r="C8093" s="26" t="n">
        <v>46256</v>
      </c>
      <c r="D8093" s="6" t="s">
        <v>5165</v>
      </c>
      <c r="E8093" s="6" t="s">
        <v>22</v>
      </c>
      <c r="F8093" s="6" t="n">
        <v>3</v>
      </c>
      <c r="G8093" s="10" t="n">
        <v>977</v>
      </c>
      <c r="H8093" s="10" t="n">
        <f aca="false">F8093*G8093</f>
        <v>2931</v>
      </c>
      <c r="I8093" s="6" t="s">
        <v>5148</v>
      </c>
    </row>
    <row r="8094" customFormat="false" ht="15" hidden="false" customHeight="false" outlineLevel="0" collapsed="false">
      <c r="A8094" s="6" t="s">
        <v>13318</v>
      </c>
      <c r="B8094" s="6" t="s">
        <v>3887</v>
      </c>
      <c r="C8094" s="26" t="n">
        <v>46256</v>
      </c>
      <c r="D8094" s="6" t="s">
        <v>5180</v>
      </c>
      <c r="E8094" s="6" t="s">
        <v>24</v>
      </c>
      <c r="F8094" s="6" t="n">
        <v>2</v>
      </c>
      <c r="G8094" s="10" t="n">
        <v>1987</v>
      </c>
      <c r="H8094" s="10" t="n">
        <f aca="false">F8094*G8094</f>
        <v>3974</v>
      </c>
      <c r="I8094" s="6" t="s">
        <v>5130</v>
      </c>
    </row>
    <row r="8095" customFormat="false" ht="15" hidden="false" customHeight="false" outlineLevel="0" collapsed="false">
      <c r="A8095" s="6" t="s">
        <v>13319</v>
      </c>
      <c r="B8095" s="6" t="s">
        <v>1171</v>
      </c>
      <c r="C8095" s="26" t="n">
        <v>46256</v>
      </c>
      <c r="D8095" s="6" t="s">
        <v>5160</v>
      </c>
      <c r="E8095" s="6" t="s">
        <v>21</v>
      </c>
      <c r="F8095" s="6" t="n">
        <v>1</v>
      </c>
      <c r="G8095" s="10" t="n">
        <v>2751</v>
      </c>
      <c r="H8095" s="10" t="n">
        <f aca="false">F8095*G8095</f>
        <v>2751</v>
      </c>
      <c r="I8095" s="6" t="s">
        <v>5130</v>
      </c>
    </row>
    <row r="8096" customFormat="false" ht="15" hidden="false" customHeight="false" outlineLevel="0" collapsed="false">
      <c r="A8096" s="6" t="s">
        <v>13320</v>
      </c>
      <c r="B8096" s="6" t="s">
        <v>533</v>
      </c>
      <c r="C8096" s="26" t="n">
        <v>46256</v>
      </c>
      <c r="D8096" s="6" t="s">
        <v>5171</v>
      </c>
      <c r="E8096" s="6" t="s">
        <v>23</v>
      </c>
      <c r="F8096" s="6" t="n">
        <v>5</v>
      </c>
      <c r="G8096" s="10" t="n">
        <v>697</v>
      </c>
      <c r="H8096" s="10" t="n">
        <f aca="false">F8096*G8096</f>
        <v>3485</v>
      </c>
      <c r="I8096" s="6" t="s">
        <v>5130</v>
      </c>
    </row>
    <row r="8097" customFormat="false" ht="15" hidden="false" customHeight="false" outlineLevel="0" collapsed="false">
      <c r="A8097" s="6" t="s">
        <v>13321</v>
      </c>
      <c r="B8097" s="6" t="s">
        <v>3207</v>
      </c>
      <c r="C8097" s="26" t="n">
        <v>46256</v>
      </c>
      <c r="D8097" s="6" t="s">
        <v>5226</v>
      </c>
      <c r="E8097" s="6" t="s">
        <v>24</v>
      </c>
      <c r="F8097" s="6" t="n">
        <v>1</v>
      </c>
      <c r="G8097" s="10" t="n">
        <v>457</v>
      </c>
      <c r="H8097" s="10" t="n">
        <f aca="false">F8097*G8097</f>
        <v>457</v>
      </c>
      <c r="I8097" s="6" t="s">
        <v>5130</v>
      </c>
    </row>
    <row r="8098" customFormat="false" ht="15" hidden="false" customHeight="false" outlineLevel="0" collapsed="false">
      <c r="A8098" s="6" t="s">
        <v>13322</v>
      </c>
      <c r="B8098" s="6" t="s">
        <v>1471</v>
      </c>
      <c r="C8098" s="26" t="n">
        <v>46257</v>
      </c>
      <c r="D8098" s="6" t="s">
        <v>5190</v>
      </c>
      <c r="E8098" s="6" t="s">
        <v>24</v>
      </c>
      <c r="F8098" s="6" t="n">
        <v>1</v>
      </c>
      <c r="G8098" s="10" t="n">
        <v>580</v>
      </c>
      <c r="H8098" s="10" t="n">
        <f aca="false">F8098*G8098</f>
        <v>580</v>
      </c>
      <c r="I8098" s="6" t="s">
        <v>5122</v>
      </c>
    </row>
    <row r="8099" customFormat="false" ht="15" hidden="false" customHeight="false" outlineLevel="0" collapsed="false">
      <c r="A8099" s="6" t="s">
        <v>13323</v>
      </c>
      <c r="B8099" s="6" t="s">
        <v>431</v>
      </c>
      <c r="C8099" s="26" t="n">
        <v>46257</v>
      </c>
      <c r="D8099" s="6" t="s">
        <v>5188</v>
      </c>
      <c r="E8099" s="6" t="s">
        <v>24</v>
      </c>
      <c r="F8099" s="6" t="n">
        <v>2</v>
      </c>
      <c r="G8099" s="10" t="n">
        <v>1018</v>
      </c>
      <c r="H8099" s="10" t="n">
        <f aca="false">F8099*G8099</f>
        <v>2036</v>
      </c>
      <c r="I8099" s="6" t="s">
        <v>5122</v>
      </c>
    </row>
    <row r="8100" customFormat="false" ht="15" hidden="false" customHeight="false" outlineLevel="0" collapsed="false">
      <c r="A8100" s="6" t="s">
        <v>13324</v>
      </c>
      <c r="B8100" s="6" t="s">
        <v>2155</v>
      </c>
      <c r="C8100" s="26" t="n">
        <v>46257</v>
      </c>
      <c r="D8100" s="6" t="s">
        <v>5482</v>
      </c>
      <c r="E8100" s="6" t="s">
        <v>23</v>
      </c>
      <c r="F8100" s="6" t="n">
        <v>3</v>
      </c>
      <c r="G8100" s="10" t="n">
        <v>269</v>
      </c>
      <c r="H8100" s="10" t="n">
        <f aca="false">F8100*G8100</f>
        <v>807</v>
      </c>
      <c r="I8100" s="6" t="s">
        <v>5122</v>
      </c>
    </row>
    <row r="8101" customFormat="false" ht="15" hidden="false" customHeight="false" outlineLevel="0" collapsed="false">
      <c r="A8101" s="6" t="s">
        <v>13325</v>
      </c>
      <c r="B8101" s="6" t="s">
        <v>4221</v>
      </c>
      <c r="C8101" s="26" t="n">
        <v>46257</v>
      </c>
      <c r="D8101" s="6" t="s">
        <v>5145</v>
      </c>
      <c r="E8101" s="6" t="s">
        <v>21</v>
      </c>
      <c r="F8101" s="6" t="n">
        <v>1</v>
      </c>
      <c r="G8101" s="10" t="n">
        <v>1277</v>
      </c>
      <c r="H8101" s="10" t="n">
        <f aca="false">F8101*G8101</f>
        <v>1277</v>
      </c>
      <c r="I8101" s="6" t="s">
        <v>5130</v>
      </c>
    </row>
    <row r="8102" customFormat="false" ht="15" hidden="false" customHeight="false" outlineLevel="0" collapsed="false">
      <c r="A8102" s="6" t="s">
        <v>13326</v>
      </c>
      <c r="B8102" s="6" t="s">
        <v>4055</v>
      </c>
      <c r="C8102" s="26" t="n">
        <v>46257</v>
      </c>
      <c r="D8102" s="6" t="s">
        <v>5216</v>
      </c>
      <c r="E8102" s="6" t="s">
        <v>23</v>
      </c>
      <c r="F8102" s="6" t="n">
        <v>2</v>
      </c>
      <c r="G8102" s="10" t="n">
        <v>528</v>
      </c>
      <c r="H8102" s="10" t="n">
        <f aca="false">F8102*G8102</f>
        <v>1056</v>
      </c>
      <c r="I8102" s="6" t="s">
        <v>5148</v>
      </c>
    </row>
    <row r="8103" customFormat="false" ht="15" hidden="false" customHeight="false" outlineLevel="0" collapsed="false">
      <c r="A8103" s="6" t="s">
        <v>13327</v>
      </c>
      <c r="B8103" s="6" t="s">
        <v>4285</v>
      </c>
      <c r="C8103" s="26" t="n">
        <v>46257</v>
      </c>
      <c r="D8103" s="6" t="s">
        <v>5188</v>
      </c>
      <c r="E8103" s="6" t="s">
        <v>24</v>
      </c>
      <c r="F8103" s="6" t="n">
        <v>1</v>
      </c>
      <c r="G8103" s="10" t="n">
        <v>967</v>
      </c>
      <c r="H8103" s="10" t="n">
        <f aca="false">F8103*G8103</f>
        <v>967</v>
      </c>
      <c r="I8103" s="6" t="s">
        <v>5122</v>
      </c>
    </row>
    <row r="8104" customFormat="false" ht="15" hidden="false" customHeight="false" outlineLevel="0" collapsed="false">
      <c r="A8104" s="6" t="s">
        <v>13328</v>
      </c>
      <c r="B8104" s="6" t="s">
        <v>1777</v>
      </c>
      <c r="C8104" s="26" t="n">
        <v>46257</v>
      </c>
      <c r="D8104" s="6" t="s">
        <v>5588</v>
      </c>
      <c r="E8104" s="6" t="s">
        <v>21</v>
      </c>
      <c r="F8104" s="6" t="n">
        <v>1</v>
      </c>
      <c r="G8104" s="10" t="n">
        <v>11204</v>
      </c>
      <c r="H8104" s="10" t="n">
        <f aca="false">F8104*G8104</f>
        <v>11204</v>
      </c>
      <c r="I8104" s="6" t="s">
        <v>5122</v>
      </c>
    </row>
    <row r="8105" customFormat="false" ht="15" hidden="false" customHeight="false" outlineLevel="0" collapsed="false">
      <c r="A8105" s="6" t="s">
        <v>13329</v>
      </c>
      <c r="B8105" s="6" t="s">
        <v>2869</v>
      </c>
      <c r="C8105" s="26" t="n">
        <v>46257</v>
      </c>
      <c r="D8105" s="6" t="s">
        <v>5807</v>
      </c>
      <c r="E8105" s="6" t="s">
        <v>20</v>
      </c>
      <c r="F8105" s="6" t="n">
        <v>1</v>
      </c>
      <c r="G8105" s="10" t="n">
        <v>15296</v>
      </c>
      <c r="H8105" s="10" t="n">
        <f aca="false">F8105*G8105</f>
        <v>15296</v>
      </c>
      <c r="I8105" s="6" t="s">
        <v>5148</v>
      </c>
    </row>
    <row r="8106" customFormat="false" ht="15" hidden="false" customHeight="false" outlineLevel="0" collapsed="false">
      <c r="A8106" s="6" t="s">
        <v>13330</v>
      </c>
      <c r="B8106" s="6" t="s">
        <v>317</v>
      </c>
      <c r="C8106" s="26" t="n">
        <v>46257</v>
      </c>
      <c r="D8106" s="6" t="s">
        <v>5182</v>
      </c>
      <c r="E8106" s="6" t="s">
        <v>23</v>
      </c>
      <c r="F8106" s="6" t="n">
        <v>1</v>
      </c>
      <c r="G8106" s="10" t="n">
        <v>367</v>
      </c>
      <c r="H8106" s="10" t="n">
        <f aca="false">F8106*G8106</f>
        <v>367</v>
      </c>
      <c r="I8106" s="6" t="s">
        <v>5122</v>
      </c>
    </row>
    <row r="8107" customFormat="false" ht="15" hidden="false" customHeight="false" outlineLevel="0" collapsed="false">
      <c r="A8107" s="6" t="s">
        <v>13331</v>
      </c>
      <c r="B8107" s="6" t="s">
        <v>1765</v>
      </c>
      <c r="C8107" s="26" t="n">
        <v>46257</v>
      </c>
      <c r="D8107" s="6" t="s">
        <v>5339</v>
      </c>
      <c r="E8107" s="6" t="s">
        <v>24</v>
      </c>
      <c r="F8107" s="6" t="n">
        <v>1</v>
      </c>
      <c r="G8107" s="10" t="n">
        <v>508</v>
      </c>
      <c r="H8107" s="10" t="n">
        <f aca="false">F8107*G8107</f>
        <v>508</v>
      </c>
      <c r="I8107" s="6" t="s">
        <v>5148</v>
      </c>
    </row>
    <row r="8108" customFormat="false" ht="15" hidden="false" customHeight="false" outlineLevel="0" collapsed="false">
      <c r="A8108" s="6" t="s">
        <v>13332</v>
      </c>
      <c r="B8108" s="6" t="s">
        <v>3321</v>
      </c>
      <c r="C8108" s="26" t="n">
        <v>46257</v>
      </c>
      <c r="D8108" s="6" t="s">
        <v>5163</v>
      </c>
      <c r="E8108" s="6" t="s">
        <v>23</v>
      </c>
      <c r="F8108" s="6" t="n">
        <v>2</v>
      </c>
      <c r="G8108" s="10" t="n">
        <v>783</v>
      </c>
      <c r="H8108" s="10" t="n">
        <f aca="false">F8108*G8108</f>
        <v>1566</v>
      </c>
      <c r="I8108" s="6" t="s">
        <v>5148</v>
      </c>
    </row>
    <row r="8109" customFormat="false" ht="15" hidden="false" customHeight="false" outlineLevel="0" collapsed="false">
      <c r="A8109" s="6" t="s">
        <v>13333</v>
      </c>
      <c r="B8109" s="6" t="s">
        <v>4535</v>
      </c>
      <c r="C8109" s="26" t="n">
        <v>46257</v>
      </c>
      <c r="D8109" s="6" t="s">
        <v>5466</v>
      </c>
      <c r="E8109" s="6" t="s">
        <v>21</v>
      </c>
      <c r="F8109" s="6" t="n">
        <v>2</v>
      </c>
      <c r="G8109" s="10" t="n">
        <v>1965</v>
      </c>
      <c r="H8109" s="10" t="n">
        <f aca="false">F8109*G8109</f>
        <v>3930</v>
      </c>
      <c r="I8109" s="6" t="s">
        <v>5130</v>
      </c>
    </row>
    <row r="8110" customFormat="false" ht="15" hidden="false" customHeight="false" outlineLevel="0" collapsed="false">
      <c r="A8110" s="6" t="s">
        <v>13334</v>
      </c>
      <c r="B8110" s="6" t="s">
        <v>3199</v>
      </c>
      <c r="C8110" s="26" t="n">
        <v>46257</v>
      </c>
      <c r="D8110" s="6" t="s">
        <v>5687</v>
      </c>
      <c r="E8110" s="6" t="s">
        <v>20</v>
      </c>
      <c r="F8110" s="6" t="n">
        <v>1</v>
      </c>
      <c r="G8110" s="10" t="n">
        <v>2039</v>
      </c>
      <c r="H8110" s="10" t="n">
        <f aca="false">F8110*G8110</f>
        <v>2039</v>
      </c>
      <c r="I8110" s="6" t="s">
        <v>5122</v>
      </c>
    </row>
    <row r="8111" customFormat="false" ht="15" hidden="false" customHeight="false" outlineLevel="0" collapsed="false">
      <c r="A8111" s="6" t="s">
        <v>13335</v>
      </c>
      <c r="B8111" s="6" t="s">
        <v>3047</v>
      </c>
      <c r="C8111" s="26" t="n">
        <v>46257</v>
      </c>
      <c r="D8111" s="6" t="s">
        <v>5269</v>
      </c>
      <c r="E8111" s="6" t="s">
        <v>22</v>
      </c>
      <c r="F8111" s="6" t="n">
        <v>2</v>
      </c>
      <c r="G8111" s="10" t="n">
        <v>1271</v>
      </c>
      <c r="H8111" s="10" t="n">
        <f aca="false">F8111*G8111</f>
        <v>2542</v>
      </c>
      <c r="I8111" s="6" t="s">
        <v>5122</v>
      </c>
    </row>
    <row r="8112" customFormat="false" ht="15" hidden="false" customHeight="false" outlineLevel="0" collapsed="false">
      <c r="A8112" s="6" t="s">
        <v>13336</v>
      </c>
      <c r="B8112" s="6" t="s">
        <v>873</v>
      </c>
      <c r="C8112" s="26" t="n">
        <v>46257</v>
      </c>
      <c r="D8112" s="6" t="s">
        <v>5456</v>
      </c>
      <c r="E8112" s="6" t="s">
        <v>24</v>
      </c>
      <c r="F8112" s="6" t="n">
        <v>2</v>
      </c>
      <c r="G8112" s="10" t="n">
        <v>912</v>
      </c>
      <c r="H8112" s="10" t="n">
        <f aca="false">F8112*G8112</f>
        <v>1824</v>
      </c>
      <c r="I8112" s="6" t="s">
        <v>5125</v>
      </c>
    </row>
    <row r="8113" customFormat="false" ht="15" hidden="false" customHeight="false" outlineLevel="0" collapsed="false">
      <c r="A8113" s="6" t="s">
        <v>13337</v>
      </c>
      <c r="B8113" s="6" t="s">
        <v>1069</v>
      </c>
      <c r="C8113" s="26" t="n">
        <v>46257</v>
      </c>
      <c r="D8113" s="6" t="s">
        <v>5456</v>
      </c>
      <c r="E8113" s="6" t="s">
        <v>24</v>
      </c>
      <c r="F8113" s="6" t="n">
        <v>1</v>
      </c>
      <c r="G8113" s="10" t="n">
        <v>866</v>
      </c>
      <c r="H8113" s="10" t="n">
        <f aca="false">F8113*G8113</f>
        <v>866</v>
      </c>
      <c r="I8113" s="6" t="s">
        <v>5130</v>
      </c>
    </row>
    <row r="8114" customFormat="false" ht="15" hidden="false" customHeight="false" outlineLevel="0" collapsed="false">
      <c r="A8114" s="6" t="s">
        <v>13338</v>
      </c>
      <c r="B8114" s="6" t="s">
        <v>3765</v>
      </c>
      <c r="C8114" s="26" t="n">
        <v>46257</v>
      </c>
      <c r="D8114" s="6" t="s">
        <v>5127</v>
      </c>
      <c r="E8114" s="6" t="s">
        <v>21</v>
      </c>
      <c r="F8114" s="6" t="n">
        <v>2</v>
      </c>
      <c r="G8114" s="10" t="n">
        <v>884</v>
      </c>
      <c r="H8114" s="10" t="n">
        <f aca="false">F8114*G8114</f>
        <v>1768</v>
      </c>
      <c r="I8114" s="6" t="s">
        <v>5130</v>
      </c>
    </row>
    <row r="8115" customFormat="false" ht="15" hidden="false" customHeight="false" outlineLevel="0" collapsed="false">
      <c r="A8115" s="6" t="s">
        <v>13339</v>
      </c>
      <c r="B8115" s="6" t="s">
        <v>527</v>
      </c>
      <c r="C8115" s="26" t="n">
        <v>46257</v>
      </c>
      <c r="D8115" s="6" t="s">
        <v>5171</v>
      </c>
      <c r="E8115" s="6" t="s">
        <v>23</v>
      </c>
      <c r="F8115" s="6" t="n">
        <v>3</v>
      </c>
      <c r="G8115" s="10" t="n">
        <v>661</v>
      </c>
      <c r="H8115" s="10" t="n">
        <f aca="false">F8115*G8115</f>
        <v>1983</v>
      </c>
      <c r="I8115" s="6" t="s">
        <v>5130</v>
      </c>
    </row>
    <row r="8116" customFormat="false" ht="15" hidden="false" customHeight="false" outlineLevel="0" collapsed="false">
      <c r="A8116" s="6" t="s">
        <v>13340</v>
      </c>
      <c r="B8116" s="6" t="s">
        <v>4371</v>
      </c>
      <c r="C8116" s="26" t="n">
        <v>46257</v>
      </c>
      <c r="D8116" s="6" t="s">
        <v>5171</v>
      </c>
      <c r="E8116" s="6" t="s">
        <v>23</v>
      </c>
      <c r="F8116" s="6" t="n">
        <v>5</v>
      </c>
      <c r="G8116" s="10" t="n">
        <v>734</v>
      </c>
      <c r="H8116" s="10" t="n">
        <f aca="false">F8116*G8116</f>
        <v>3670</v>
      </c>
      <c r="I8116" s="6" t="s">
        <v>5122</v>
      </c>
    </row>
    <row r="8117" customFormat="false" ht="15" hidden="false" customHeight="false" outlineLevel="0" collapsed="false">
      <c r="A8117" s="6" t="s">
        <v>13341</v>
      </c>
      <c r="B8117" s="6" t="s">
        <v>4907</v>
      </c>
      <c r="C8117" s="26" t="n">
        <v>46257</v>
      </c>
      <c r="D8117" s="6" t="s">
        <v>5269</v>
      </c>
      <c r="E8117" s="6" t="s">
        <v>22</v>
      </c>
      <c r="F8117" s="6" t="n">
        <v>1</v>
      </c>
      <c r="G8117" s="10" t="n">
        <v>1143</v>
      </c>
      <c r="H8117" s="10" t="n">
        <f aca="false">F8117*G8117</f>
        <v>1143</v>
      </c>
      <c r="I8117" s="6" t="s">
        <v>5148</v>
      </c>
    </row>
    <row r="8118" customFormat="false" ht="15" hidden="false" customHeight="false" outlineLevel="0" collapsed="false">
      <c r="A8118" s="6" t="s">
        <v>13342</v>
      </c>
      <c r="B8118" s="6" t="s">
        <v>3157</v>
      </c>
      <c r="C8118" s="26" t="n">
        <v>46257</v>
      </c>
      <c r="D8118" s="6" t="s">
        <v>5154</v>
      </c>
      <c r="E8118" s="6" t="s">
        <v>21</v>
      </c>
      <c r="F8118" s="6" t="n">
        <v>1</v>
      </c>
      <c r="G8118" s="10" t="n">
        <v>785</v>
      </c>
      <c r="H8118" s="10" t="n">
        <f aca="false">F8118*G8118</f>
        <v>785</v>
      </c>
      <c r="I8118" s="6" t="s">
        <v>5122</v>
      </c>
    </row>
    <row r="8119" customFormat="false" ht="15" hidden="false" customHeight="false" outlineLevel="0" collapsed="false">
      <c r="A8119" s="6" t="s">
        <v>13343</v>
      </c>
      <c r="B8119" s="6" t="s">
        <v>1189</v>
      </c>
      <c r="C8119" s="26" t="n">
        <v>46257</v>
      </c>
      <c r="D8119" s="6" t="s">
        <v>5353</v>
      </c>
      <c r="E8119" s="6" t="s">
        <v>24</v>
      </c>
      <c r="F8119" s="6" t="n">
        <v>1</v>
      </c>
      <c r="G8119" s="10" t="n">
        <v>1629</v>
      </c>
      <c r="H8119" s="10" t="n">
        <f aca="false">F8119*G8119</f>
        <v>1629</v>
      </c>
      <c r="I8119" s="6" t="s">
        <v>5125</v>
      </c>
    </row>
    <row r="8120" customFormat="false" ht="15" hidden="false" customHeight="false" outlineLevel="0" collapsed="false">
      <c r="A8120" s="6" t="s">
        <v>13344</v>
      </c>
      <c r="B8120" s="6" t="s">
        <v>1419</v>
      </c>
      <c r="C8120" s="26" t="n">
        <v>46257</v>
      </c>
      <c r="D8120" s="6" t="s">
        <v>5167</v>
      </c>
      <c r="E8120" s="6" t="s">
        <v>22</v>
      </c>
      <c r="F8120" s="6" t="n">
        <v>2</v>
      </c>
      <c r="G8120" s="10" t="n">
        <v>743</v>
      </c>
      <c r="H8120" s="10" t="n">
        <f aca="false">F8120*G8120</f>
        <v>1486</v>
      </c>
      <c r="I8120" s="6" t="s">
        <v>5125</v>
      </c>
    </row>
    <row r="8121" customFormat="false" ht="15" hidden="false" customHeight="false" outlineLevel="0" collapsed="false">
      <c r="A8121" s="6" t="s">
        <v>13345</v>
      </c>
      <c r="B8121" s="6" t="s">
        <v>467</v>
      </c>
      <c r="C8121" s="26" t="n">
        <v>46257</v>
      </c>
      <c r="D8121" s="6" t="s">
        <v>5150</v>
      </c>
      <c r="E8121" s="6" t="s">
        <v>24</v>
      </c>
      <c r="F8121" s="6" t="n">
        <v>1</v>
      </c>
      <c r="G8121" s="10" t="n">
        <v>508</v>
      </c>
      <c r="H8121" s="10" t="n">
        <f aca="false">F8121*G8121</f>
        <v>508</v>
      </c>
      <c r="I8121" s="6" t="s">
        <v>5125</v>
      </c>
    </row>
    <row r="8122" customFormat="false" ht="15" hidden="false" customHeight="false" outlineLevel="0" collapsed="false">
      <c r="A8122" s="6" t="s">
        <v>13346</v>
      </c>
      <c r="B8122" s="6" t="s">
        <v>2773</v>
      </c>
      <c r="C8122" s="26" t="n">
        <v>46257</v>
      </c>
      <c r="D8122" s="6" t="s">
        <v>5460</v>
      </c>
      <c r="E8122" s="6" t="s">
        <v>24</v>
      </c>
      <c r="F8122" s="6" t="n">
        <v>1</v>
      </c>
      <c r="G8122" s="10" t="n">
        <v>500</v>
      </c>
      <c r="H8122" s="10" t="n">
        <f aca="false">F8122*G8122</f>
        <v>500</v>
      </c>
      <c r="I8122" s="6" t="s">
        <v>5122</v>
      </c>
    </row>
    <row r="8123" customFormat="false" ht="15" hidden="false" customHeight="false" outlineLevel="0" collapsed="false">
      <c r="A8123" s="6" t="s">
        <v>13347</v>
      </c>
      <c r="B8123" s="6" t="s">
        <v>897</v>
      </c>
      <c r="C8123" s="26" t="n">
        <v>46257</v>
      </c>
      <c r="D8123" s="6" t="s">
        <v>5129</v>
      </c>
      <c r="E8123" s="6" t="s">
        <v>21</v>
      </c>
      <c r="F8123" s="6" t="n">
        <v>1</v>
      </c>
      <c r="G8123" s="10" t="n">
        <v>589</v>
      </c>
      <c r="H8123" s="10" t="n">
        <f aca="false">F8123*G8123</f>
        <v>589</v>
      </c>
      <c r="I8123" s="6" t="s">
        <v>5148</v>
      </c>
    </row>
    <row r="8124" customFormat="false" ht="15" hidden="false" customHeight="false" outlineLevel="0" collapsed="false">
      <c r="A8124" s="6" t="s">
        <v>13348</v>
      </c>
      <c r="B8124" s="6" t="s">
        <v>1061</v>
      </c>
      <c r="C8124" s="26" t="n">
        <v>46257</v>
      </c>
      <c r="D8124" s="6" t="s">
        <v>6109</v>
      </c>
      <c r="E8124" s="6" t="s">
        <v>20</v>
      </c>
      <c r="F8124" s="6" t="n">
        <v>1</v>
      </c>
      <c r="G8124" s="10" t="n">
        <v>41657</v>
      </c>
      <c r="H8124" s="10" t="n">
        <f aca="false">F8124*G8124</f>
        <v>41657</v>
      </c>
      <c r="I8124" s="6" t="s">
        <v>5133</v>
      </c>
    </row>
    <row r="8125" customFormat="false" ht="15" hidden="false" customHeight="false" outlineLevel="0" collapsed="false">
      <c r="A8125" s="6" t="s">
        <v>13349</v>
      </c>
      <c r="B8125" s="6" t="s">
        <v>4043</v>
      </c>
      <c r="C8125" s="26" t="n">
        <v>46257</v>
      </c>
      <c r="D8125" s="6" t="s">
        <v>5242</v>
      </c>
      <c r="E8125" s="6" t="s">
        <v>23</v>
      </c>
      <c r="F8125" s="6" t="n">
        <v>3</v>
      </c>
      <c r="G8125" s="10" t="n">
        <v>372</v>
      </c>
      <c r="H8125" s="10" t="n">
        <f aca="false">F8125*G8125</f>
        <v>1116</v>
      </c>
      <c r="I8125" s="6" t="s">
        <v>5125</v>
      </c>
    </row>
    <row r="8126" customFormat="false" ht="15" hidden="false" customHeight="false" outlineLevel="0" collapsed="false">
      <c r="A8126" s="6" t="s">
        <v>13350</v>
      </c>
      <c r="B8126" s="6" t="s">
        <v>2905</v>
      </c>
      <c r="C8126" s="26" t="n">
        <v>46257</v>
      </c>
      <c r="D8126" s="6" t="s">
        <v>5163</v>
      </c>
      <c r="E8126" s="6" t="s">
        <v>23</v>
      </c>
      <c r="F8126" s="6" t="n">
        <v>2</v>
      </c>
      <c r="G8126" s="10" t="n">
        <v>705</v>
      </c>
      <c r="H8126" s="10" t="n">
        <f aca="false">F8126*G8126</f>
        <v>1410</v>
      </c>
      <c r="I8126" s="6" t="s">
        <v>5130</v>
      </c>
    </row>
    <row r="8127" customFormat="false" ht="15" hidden="false" customHeight="false" outlineLevel="0" collapsed="false">
      <c r="A8127" s="6" t="s">
        <v>13351</v>
      </c>
      <c r="B8127" s="6" t="s">
        <v>4783</v>
      </c>
      <c r="C8127" s="26" t="n">
        <v>46257</v>
      </c>
      <c r="D8127" s="6" t="s">
        <v>5165</v>
      </c>
      <c r="E8127" s="6" t="s">
        <v>22</v>
      </c>
      <c r="F8127" s="6" t="n">
        <v>1</v>
      </c>
      <c r="G8127" s="10" t="n">
        <v>879</v>
      </c>
      <c r="H8127" s="10" t="n">
        <f aca="false">F8127*G8127</f>
        <v>879</v>
      </c>
      <c r="I8127" s="6" t="s">
        <v>5125</v>
      </c>
    </row>
    <row r="8128" customFormat="false" ht="15" hidden="false" customHeight="false" outlineLevel="0" collapsed="false">
      <c r="A8128" s="6" t="s">
        <v>13352</v>
      </c>
      <c r="B8128" s="6" t="s">
        <v>3665</v>
      </c>
      <c r="C8128" s="26" t="n">
        <v>46257</v>
      </c>
      <c r="D8128" s="6" t="s">
        <v>5240</v>
      </c>
      <c r="E8128" s="6" t="s">
        <v>20</v>
      </c>
      <c r="F8128" s="6" t="n">
        <v>1</v>
      </c>
      <c r="G8128" s="10" t="n">
        <v>4843</v>
      </c>
      <c r="H8128" s="10" t="n">
        <f aca="false">F8128*G8128</f>
        <v>4843</v>
      </c>
      <c r="I8128" s="6" t="s">
        <v>5130</v>
      </c>
    </row>
    <row r="8129" customFormat="false" ht="15" hidden="false" customHeight="false" outlineLevel="0" collapsed="false">
      <c r="A8129" s="6" t="s">
        <v>13353</v>
      </c>
      <c r="B8129" s="6" t="s">
        <v>3891</v>
      </c>
      <c r="C8129" s="26" t="n">
        <v>46257</v>
      </c>
      <c r="D8129" s="6" t="s">
        <v>5156</v>
      </c>
      <c r="E8129" s="6" t="s">
        <v>21</v>
      </c>
      <c r="F8129" s="6" t="n">
        <v>1</v>
      </c>
      <c r="G8129" s="10" t="n">
        <v>2053</v>
      </c>
      <c r="H8129" s="10" t="n">
        <f aca="false">F8129*G8129</f>
        <v>2053</v>
      </c>
      <c r="I8129" s="6" t="s">
        <v>5130</v>
      </c>
    </row>
    <row r="8130" customFormat="false" ht="15" hidden="false" customHeight="false" outlineLevel="0" collapsed="false">
      <c r="A8130" s="6" t="s">
        <v>13354</v>
      </c>
      <c r="B8130" s="6" t="s">
        <v>2861</v>
      </c>
      <c r="C8130" s="26" t="n">
        <v>46257</v>
      </c>
      <c r="D8130" s="6" t="s">
        <v>5318</v>
      </c>
      <c r="E8130" s="6" t="s">
        <v>20</v>
      </c>
      <c r="F8130" s="6" t="n">
        <v>1</v>
      </c>
      <c r="G8130" s="10" t="n">
        <v>1529</v>
      </c>
      <c r="H8130" s="10" t="n">
        <f aca="false">F8130*G8130</f>
        <v>1529</v>
      </c>
      <c r="I8130" s="6" t="s">
        <v>5122</v>
      </c>
    </row>
    <row r="8131" customFormat="false" ht="15" hidden="false" customHeight="false" outlineLevel="0" collapsed="false">
      <c r="A8131" s="6" t="s">
        <v>13355</v>
      </c>
      <c r="B8131" s="6" t="s">
        <v>297</v>
      </c>
      <c r="C8131" s="26" t="n">
        <v>46257</v>
      </c>
      <c r="D8131" s="6" t="s">
        <v>5245</v>
      </c>
      <c r="E8131" s="6" t="s">
        <v>21</v>
      </c>
      <c r="F8131" s="6" t="n">
        <v>1</v>
      </c>
      <c r="G8131" s="10" t="n">
        <v>2456</v>
      </c>
      <c r="H8131" s="10" t="n">
        <f aca="false">F8131*G8131</f>
        <v>2456</v>
      </c>
      <c r="I8131" s="6" t="s">
        <v>5130</v>
      </c>
    </row>
    <row r="8132" customFormat="false" ht="15" hidden="false" customHeight="false" outlineLevel="0" collapsed="false">
      <c r="A8132" s="6" t="s">
        <v>13356</v>
      </c>
      <c r="B8132" s="6" t="s">
        <v>4305</v>
      </c>
      <c r="C8132" s="26" t="n">
        <v>46257</v>
      </c>
      <c r="D8132" s="6" t="s">
        <v>5383</v>
      </c>
      <c r="E8132" s="6" t="s">
        <v>20</v>
      </c>
      <c r="F8132" s="6" t="n">
        <v>1</v>
      </c>
      <c r="G8132" s="10" t="n">
        <v>1121</v>
      </c>
      <c r="H8132" s="10" t="n">
        <f aca="false">F8132*G8132</f>
        <v>1121</v>
      </c>
      <c r="I8132" s="6" t="s">
        <v>5122</v>
      </c>
    </row>
    <row r="8133" customFormat="false" ht="15" hidden="false" customHeight="false" outlineLevel="0" collapsed="false">
      <c r="A8133" s="6" t="s">
        <v>13357</v>
      </c>
      <c r="B8133" s="6" t="s">
        <v>4675</v>
      </c>
      <c r="C8133" s="26" t="n">
        <v>46257</v>
      </c>
      <c r="D8133" s="6" t="s">
        <v>5214</v>
      </c>
      <c r="E8133" s="6" t="s">
        <v>20</v>
      </c>
      <c r="F8133" s="6" t="n">
        <v>1</v>
      </c>
      <c r="G8133" s="10" t="n">
        <v>2039</v>
      </c>
      <c r="H8133" s="10" t="n">
        <f aca="false">F8133*G8133</f>
        <v>2039</v>
      </c>
      <c r="I8133" s="6" t="s">
        <v>5122</v>
      </c>
    </row>
    <row r="8134" customFormat="false" ht="15" hidden="false" customHeight="false" outlineLevel="0" collapsed="false">
      <c r="A8134" s="6" t="s">
        <v>13358</v>
      </c>
      <c r="B8134" s="6" t="s">
        <v>1575</v>
      </c>
      <c r="C8134" s="26" t="n">
        <v>46257</v>
      </c>
      <c r="D8134" s="6" t="s">
        <v>5202</v>
      </c>
      <c r="E8134" s="6" t="s">
        <v>23</v>
      </c>
      <c r="F8134" s="6" t="n">
        <v>2</v>
      </c>
      <c r="G8134" s="10" t="n">
        <v>245</v>
      </c>
      <c r="H8134" s="10" t="n">
        <f aca="false">F8134*G8134</f>
        <v>490</v>
      </c>
      <c r="I8134" s="6" t="s">
        <v>5122</v>
      </c>
    </row>
    <row r="8135" customFormat="false" ht="15" hidden="false" customHeight="false" outlineLevel="0" collapsed="false">
      <c r="A8135" s="6" t="s">
        <v>13359</v>
      </c>
      <c r="B8135" s="6" t="s">
        <v>3655</v>
      </c>
      <c r="C8135" s="26" t="n">
        <v>46257</v>
      </c>
      <c r="D8135" s="6" t="s">
        <v>5154</v>
      </c>
      <c r="E8135" s="6" t="s">
        <v>21</v>
      </c>
      <c r="F8135" s="6" t="n">
        <v>1</v>
      </c>
      <c r="G8135" s="10" t="n">
        <v>785</v>
      </c>
      <c r="H8135" s="10" t="n">
        <f aca="false">F8135*G8135</f>
        <v>785</v>
      </c>
      <c r="I8135" s="6" t="s">
        <v>5125</v>
      </c>
    </row>
    <row r="8136" customFormat="false" ht="15" hidden="false" customHeight="false" outlineLevel="0" collapsed="false">
      <c r="A8136" s="6" t="s">
        <v>13360</v>
      </c>
      <c r="B8136" s="6" t="s">
        <v>3437</v>
      </c>
      <c r="C8136" s="26" t="n">
        <v>46257</v>
      </c>
      <c r="D8136" s="6" t="s">
        <v>5167</v>
      </c>
      <c r="E8136" s="6" t="s">
        <v>22</v>
      </c>
      <c r="F8136" s="6" t="n">
        <v>1</v>
      </c>
      <c r="G8136" s="10" t="n">
        <v>782</v>
      </c>
      <c r="H8136" s="10" t="n">
        <f aca="false">F8136*G8136</f>
        <v>782</v>
      </c>
      <c r="I8136" s="6" t="s">
        <v>5125</v>
      </c>
    </row>
    <row r="8137" customFormat="false" ht="15" hidden="false" customHeight="false" outlineLevel="0" collapsed="false">
      <c r="A8137" s="6" t="s">
        <v>13361</v>
      </c>
      <c r="B8137" s="6" t="s">
        <v>4217</v>
      </c>
      <c r="C8137" s="26" t="n">
        <v>46257</v>
      </c>
      <c r="D8137" s="6" t="s">
        <v>5165</v>
      </c>
      <c r="E8137" s="6" t="s">
        <v>22</v>
      </c>
      <c r="F8137" s="6" t="n">
        <v>1</v>
      </c>
      <c r="G8137" s="10" t="n">
        <v>879</v>
      </c>
      <c r="H8137" s="10" t="n">
        <f aca="false">F8137*G8137</f>
        <v>879</v>
      </c>
      <c r="I8137" s="6" t="s">
        <v>5122</v>
      </c>
    </row>
    <row r="8138" customFormat="false" ht="15" hidden="false" customHeight="false" outlineLevel="0" collapsed="false">
      <c r="A8138" s="6" t="s">
        <v>13362</v>
      </c>
      <c r="B8138" s="6" t="s">
        <v>3087</v>
      </c>
      <c r="C8138" s="26" t="n">
        <v>46257</v>
      </c>
      <c r="D8138" s="6" t="s">
        <v>5313</v>
      </c>
      <c r="E8138" s="6" t="s">
        <v>22</v>
      </c>
      <c r="F8138" s="6" t="n">
        <v>1</v>
      </c>
      <c r="G8138" s="10" t="n">
        <v>1760</v>
      </c>
      <c r="H8138" s="10" t="n">
        <f aca="false">F8138*G8138</f>
        <v>1760</v>
      </c>
      <c r="I8138" s="6" t="s">
        <v>5173</v>
      </c>
    </row>
    <row r="8139" customFormat="false" ht="15" hidden="false" customHeight="false" outlineLevel="0" collapsed="false">
      <c r="A8139" s="6" t="s">
        <v>13363</v>
      </c>
      <c r="B8139" s="6" t="s">
        <v>138</v>
      </c>
      <c r="C8139" s="26" t="n">
        <v>46257</v>
      </c>
      <c r="D8139" s="6" t="s">
        <v>5197</v>
      </c>
      <c r="E8139" s="6" t="s">
        <v>21</v>
      </c>
      <c r="F8139" s="6" t="n">
        <v>2</v>
      </c>
      <c r="G8139" s="10" t="n">
        <v>972</v>
      </c>
      <c r="H8139" s="10" t="n">
        <f aca="false">F8139*G8139</f>
        <v>1944</v>
      </c>
      <c r="I8139" s="6" t="s">
        <v>5130</v>
      </c>
    </row>
    <row r="8140" customFormat="false" ht="15" hidden="false" customHeight="false" outlineLevel="0" collapsed="false">
      <c r="A8140" s="6" t="s">
        <v>13364</v>
      </c>
      <c r="B8140" s="6" t="s">
        <v>4469</v>
      </c>
      <c r="C8140" s="26" t="n">
        <v>46257</v>
      </c>
      <c r="D8140" s="6" t="s">
        <v>5220</v>
      </c>
      <c r="E8140" s="6" t="s">
        <v>24</v>
      </c>
      <c r="F8140" s="6" t="n">
        <v>1</v>
      </c>
      <c r="G8140" s="10" t="n">
        <v>1064</v>
      </c>
      <c r="H8140" s="10" t="n">
        <f aca="false">F8140*G8140</f>
        <v>1064</v>
      </c>
      <c r="I8140" s="6" t="s">
        <v>5122</v>
      </c>
    </row>
    <row r="8141" customFormat="false" ht="15" hidden="false" customHeight="false" outlineLevel="0" collapsed="false">
      <c r="A8141" s="6" t="s">
        <v>13365</v>
      </c>
      <c r="B8141" s="6" t="s">
        <v>4745</v>
      </c>
      <c r="C8141" s="26" t="n">
        <v>46257</v>
      </c>
      <c r="D8141" s="6" t="s">
        <v>5150</v>
      </c>
      <c r="E8141" s="6" t="s">
        <v>24</v>
      </c>
      <c r="F8141" s="6" t="n">
        <v>3</v>
      </c>
      <c r="G8141" s="10" t="n">
        <v>458</v>
      </c>
      <c r="H8141" s="10" t="n">
        <f aca="false">F8141*G8141</f>
        <v>1374</v>
      </c>
      <c r="I8141" s="6" t="s">
        <v>5173</v>
      </c>
    </row>
    <row r="8142" customFormat="false" ht="15" hidden="false" customHeight="false" outlineLevel="0" collapsed="false">
      <c r="A8142" s="6" t="s">
        <v>13366</v>
      </c>
      <c r="B8142" s="6" t="s">
        <v>541</v>
      </c>
      <c r="C8142" s="26" t="n">
        <v>46257</v>
      </c>
      <c r="D8142" s="6" t="s">
        <v>5683</v>
      </c>
      <c r="E8142" s="6" t="s">
        <v>22</v>
      </c>
      <c r="F8142" s="6" t="n">
        <v>3</v>
      </c>
      <c r="G8142" s="10" t="n">
        <v>1760</v>
      </c>
      <c r="H8142" s="10" t="n">
        <f aca="false">F8142*G8142</f>
        <v>5280</v>
      </c>
      <c r="I8142" s="6" t="s">
        <v>5122</v>
      </c>
    </row>
    <row r="8143" customFormat="false" ht="15" hidden="false" customHeight="false" outlineLevel="0" collapsed="false">
      <c r="A8143" s="6" t="s">
        <v>13367</v>
      </c>
      <c r="B8143" s="6" t="s">
        <v>3957</v>
      </c>
      <c r="C8143" s="26" t="n">
        <v>46257</v>
      </c>
      <c r="D8143" s="6" t="s">
        <v>5121</v>
      </c>
      <c r="E8143" s="6" t="s">
        <v>22</v>
      </c>
      <c r="F8143" s="6" t="n">
        <v>2</v>
      </c>
      <c r="G8143" s="10" t="n">
        <v>977</v>
      </c>
      <c r="H8143" s="10" t="n">
        <f aca="false">F8143*G8143</f>
        <v>1954</v>
      </c>
      <c r="I8143" s="6" t="s">
        <v>5125</v>
      </c>
    </row>
    <row r="8144" customFormat="false" ht="15" hidden="false" customHeight="false" outlineLevel="0" collapsed="false">
      <c r="A8144" s="6" t="s">
        <v>13368</v>
      </c>
      <c r="B8144" s="6" t="s">
        <v>1863</v>
      </c>
      <c r="C8144" s="26" t="n">
        <v>46257</v>
      </c>
      <c r="D8144" s="6" t="s">
        <v>5165</v>
      </c>
      <c r="E8144" s="6" t="s">
        <v>22</v>
      </c>
      <c r="F8144" s="6" t="n">
        <v>2</v>
      </c>
      <c r="G8144" s="10" t="n">
        <v>977</v>
      </c>
      <c r="H8144" s="10" t="n">
        <f aca="false">F8144*G8144</f>
        <v>1954</v>
      </c>
      <c r="I8144" s="6" t="s">
        <v>5122</v>
      </c>
    </row>
    <row r="8145" customFormat="false" ht="15" hidden="false" customHeight="false" outlineLevel="0" collapsed="false">
      <c r="A8145" s="6" t="s">
        <v>13369</v>
      </c>
      <c r="B8145" s="6" t="s">
        <v>3485</v>
      </c>
      <c r="C8145" s="26" t="n">
        <v>46257</v>
      </c>
      <c r="D8145" s="6" t="s">
        <v>5298</v>
      </c>
      <c r="E8145" s="6" t="s">
        <v>23</v>
      </c>
      <c r="F8145" s="6" t="n">
        <v>2</v>
      </c>
      <c r="G8145" s="10" t="n">
        <v>264</v>
      </c>
      <c r="H8145" s="10" t="n">
        <f aca="false">F8145*G8145</f>
        <v>528</v>
      </c>
      <c r="I8145" s="6" t="s">
        <v>5148</v>
      </c>
    </row>
    <row r="8146" customFormat="false" ht="15" hidden="false" customHeight="false" outlineLevel="0" collapsed="false">
      <c r="A8146" s="6" t="s">
        <v>13370</v>
      </c>
      <c r="B8146" s="6" t="s">
        <v>4971</v>
      </c>
      <c r="C8146" s="26" t="n">
        <v>46257</v>
      </c>
      <c r="D8146" s="6" t="s">
        <v>5171</v>
      </c>
      <c r="E8146" s="6" t="s">
        <v>23</v>
      </c>
      <c r="F8146" s="6" t="n">
        <v>2</v>
      </c>
      <c r="G8146" s="10" t="n">
        <v>734</v>
      </c>
      <c r="H8146" s="10" t="n">
        <f aca="false">F8146*G8146</f>
        <v>1468</v>
      </c>
      <c r="I8146" s="6" t="s">
        <v>5122</v>
      </c>
    </row>
    <row r="8147" customFormat="false" ht="15" hidden="false" customHeight="false" outlineLevel="0" collapsed="false">
      <c r="A8147" s="6" t="s">
        <v>13371</v>
      </c>
      <c r="B8147" s="6" t="s">
        <v>1737</v>
      </c>
      <c r="C8147" s="26" t="n">
        <v>46257</v>
      </c>
      <c r="D8147" s="6" t="s">
        <v>5237</v>
      </c>
      <c r="E8147" s="6" t="s">
        <v>24</v>
      </c>
      <c r="F8147" s="6" t="n">
        <v>1</v>
      </c>
      <c r="G8147" s="10" t="n">
        <v>1741</v>
      </c>
      <c r="H8147" s="10" t="n">
        <f aca="false">F8147*G8147</f>
        <v>1741</v>
      </c>
      <c r="I8147" s="6" t="s">
        <v>5133</v>
      </c>
    </row>
    <row r="8148" customFormat="false" ht="15" hidden="false" customHeight="false" outlineLevel="0" collapsed="false">
      <c r="A8148" s="6" t="s">
        <v>13372</v>
      </c>
      <c r="B8148" s="6" t="s">
        <v>1903</v>
      </c>
      <c r="C8148" s="26" t="n">
        <v>46257</v>
      </c>
      <c r="D8148" s="6" t="s">
        <v>5143</v>
      </c>
      <c r="E8148" s="6" t="s">
        <v>21</v>
      </c>
      <c r="F8148" s="6" t="n">
        <v>2</v>
      </c>
      <c r="G8148" s="10" t="n">
        <v>1179</v>
      </c>
      <c r="H8148" s="10" t="n">
        <f aca="false">F8148*G8148</f>
        <v>2358</v>
      </c>
      <c r="I8148" s="6" t="s">
        <v>5122</v>
      </c>
    </row>
    <row r="8149" customFormat="false" ht="15" hidden="false" customHeight="false" outlineLevel="0" collapsed="false">
      <c r="A8149" s="6" t="s">
        <v>13373</v>
      </c>
      <c r="B8149" s="6" t="s">
        <v>156</v>
      </c>
      <c r="C8149" s="26" t="n">
        <v>46257</v>
      </c>
      <c r="D8149" s="6" t="s">
        <v>5121</v>
      </c>
      <c r="E8149" s="6" t="s">
        <v>22</v>
      </c>
      <c r="F8149" s="6" t="n">
        <v>3</v>
      </c>
      <c r="G8149" s="10" t="n">
        <v>977</v>
      </c>
      <c r="H8149" s="10" t="n">
        <f aca="false">F8149*G8149</f>
        <v>2931</v>
      </c>
      <c r="I8149" s="6" t="s">
        <v>5122</v>
      </c>
    </row>
    <row r="8150" customFormat="false" ht="15" hidden="false" customHeight="false" outlineLevel="0" collapsed="false">
      <c r="A8150" s="6" t="s">
        <v>13374</v>
      </c>
      <c r="B8150" s="6" t="s">
        <v>2021</v>
      </c>
      <c r="C8150" s="26" t="n">
        <v>46257</v>
      </c>
      <c r="D8150" s="6" t="s">
        <v>5237</v>
      </c>
      <c r="E8150" s="6" t="s">
        <v>24</v>
      </c>
      <c r="F8150" s="6" t="n">
        <v>1</v>
      </c>
      <c r="G8150" s="10" t="n">
        <v>1741</v>
      </c>
      <c r="H8150" s="10" t="n">
        <f aca="false">F8150*G8150</f>
        <v>1741</v>
      </c>
      <c r="I8150" s="6" t="s">
        <v>5148</v>
      </c>
    </row>
    <row r="8151" customFormat="false" ht="15" hidden="false" customHeight="false" outlineLevel="0" collapsed="false">
      <c r="A8151" s="6" t="s">
        <v>13375</v>
      </c>
      <c r="B8151" s="6" t="s">
        <v>2863</v>
      </c>
      <c r="C8151" s="26" t="n">
        <v>46257</v>
      </c>
      <c r="D8151" s="6" t="s">
        <v>5143</v>
      </c>
      <c r="E8151" s="6" t="s">
        <v>21</v>
      </c>
      <c r="F8151" s="6" t="n">
        <v>1</v>
      </c>
      <c r="G8151" s="10" t="n">
        <v>1061</v>
      </c>
      <c r="H8151" s="10" t="n">
        <f aca="false">F8151*G8151</f>
        <v>1061</v>
      </c>
      <c r="I8151" s="6" t="s">
        <v>5148</v>
      </c>
    </row>
    <row r="8152" customFormat="false" ht="15" hidden="false" customHeight="false" outlineLevel="0" collapsed="false">
      <c r="A8152" s="6" t="s">
        <v>13376</v>
      </c>
      <c r="B8152" s="6" t="s">
        <v>170</v>
      </c>
      <c r="C8152" s="26" t="n">
        <v>46257</v>
      </c>
      <c r="D8152" s="6" t="s">
        <v>5202</v>
      </c>
      <c r="E8152" s="6" t="s">
        <v>23</v>
      </c>
      <c r="F8152" s="6" t="n">
        <v>2</v>
      </c>
      <c r="G8152" s="10" t="n">
        <v>245</v>
      </c>
      <c r="H8152" s="10" t="n">
        <f aca="false">F8152*G8152</f>
        <v>490</v>
      </c>
      <c r="I8152" s="6" t="s">
        <v>5148</v>
      </c>
    </row>
    <row r="8153" customFormat="false" ht="15" hidden="false" customHeight="false" outlineLevel="0" collapsed="false">
      <c r="A8153" s="6" t="s">
        <v>13377</v>
      </c>
      <c r="B8153" s="6" t="s">
        <v>4093</v>
      </c>
      <c r="C8153" s="26" t="n">
        <v>46257</v>
      </c>
      <c r="D8153" s="6" t="s">
        <v>5807</v>
      </c>
      <c r="E8153" s="6" t="s">
        <v>20</v>
      </c>
      <c r="F8153" s="6" t="n">
        <v>1</v>
      </c>
      <c r="G8153" s="10" t="n">
        <v>15296</v>
      </c>
      <c r="H8153" s="10" t="n">
        <f aca="false">F8153*G8153</f>
        <v>15296</v>
      </c>
      <c r="I8153" s="6" t="s">
        <v>5130</v>
      </c>
    </row>
    <row r="8154" customFormat="false" ht="15" hidden="false" customHeight="false" outlineLevel="0" collapsed="false">
      <c r="A8154" s="6" t="s">
        <v>13378</v>
      </c>
      <c r="B8154" s="6" t="s">
        <v>1923</v>
      </c>
      <c r="C8154" s="26" t="n">
        <v>46257</v>
      </c>
      <c r="D8154" s="6" t="s">
        <v>5188</v>
      </c>
      <c r="E8154" s="6" t="s">
        <v>24</v>
      </c>
      <c r="F8154" s="6" t="n">
        <v>2</v>
      </c>
      <c r="G8154" s="10" t="n">
        <v>1018</v>
      </c>
      <c r="H8154" s="10" t="n">
        <f aca="false">F8154*G8154</f>
        <v>2036</v>
      </c>
      <c r="I8154" s="6" t="s">
        <v>5148</v>
      </c>
    </row>
    <row r="8155" customFormat="false" ht="15" hidden="false" customHeight="false" outlineLevel="0" collapsed="false">
      <c r="A8155" s="6" t="s">
        <v>13379</v>
      </c>
      <c r="B8155" s="6" t="s">
        <v>1665</v>
      </c>
      <c r="C8155" s="26" t="n">
        <v>46257</v>
      </c>
      <c r="D8155" s="6" t="s">
        <v>5482</v>
      </c>
      <c r="E8155" s="6" t="s">
        <v>23</v>
      </c>
      <c r="F8155" s="6" t="n">
        <v>3</v>
      </c>
      <c r="G8155" s="10" t="n">
        <v>256</v>
      </c>
      <c r="H8155" s="10" t="n">
        <f aca="false">F8155*G8155</f>
        <v>768</v>
      </c>
      <c r="I8155" s="6" t="s">
        <v>5130</v>
      </c>
    </row>
    <row r="8156" customFormat="false" ht="15" hidden="false" customHeight="false" outlineLevel="0" collapsed="false">
      <c r="A8156" s="6" t="s">
        <v>13380</v>
      </c>
      <c r="B8156" s="6" t="s">
        <v>1955</v>
      </c>
      <c r="C8156" s="26" t="n">
        <v>46257</v>
      </c>
      <c r="D8156" s="6" t="s">
        <v>5154</v>
      </c>
      <c r="E8156" s="6" t="s">
        <v>21</v>
      </c>
      <c r="F8156" s="6" t="n">
        <v>1</v>
      </c>
      <c r="G8156" s="10" t="n">
        <v>707</v>
      </c>
      <c r="H8156" s="10" t="n">
        <f aca="false">F8156*G8156</f>
        <v>707</v>
      </c>
      <c r="I8156" s="6" t="s">
        <v>5148</v>
      </c>
    </row>
    <row r="8157" customFormat="false" ht="15" hidden="false" customHeight="false" outlineLevel="0" collapsed="false">
      <c r="A8157" s="6" t="s">
        <v>13381</v>
      </c>
      <c r="B8157" s="6" t="s">
        <v>875</v>
      </c>
      <c r="C8157" s="26" t="n">
        <v>46257</v>
      </c>
      <c r="D8157" s="6" t="s">
        <v>5167</v>
      </c>
      <c r="E8157" s="6" t="s">
        <v>22</v>
      </c>
      <c r="F8157" s="6" t="n">
        <v>1</v>
      </c>
      <c r="G8157" s="10" t="n">
        <v>782</v>
      </c>
      <c r="H8157" s="10" t="n">
        <f aca="false">F8157*G8157</f>
        <v>782</v>
      </c>
      <c r="I8157" s="6" t="s">
        <v>5133</v>
      </c>
    </row>
    <row r="8158" customFormat="false" ht="15" hidden="false" customHeight="false" outlineLevel="0" collapsed="false">
      <c r="A8158" s="6" t="s">
        <v>13382</v>
      </c>
      <c r="B8158" s="6" t="s">
        <v>4241</v>
      </c>
      <c r="C8158" s="26" t="n">
        <v>46257</v>
      </c>
      <c r="D8158" s="6" t="s">
        <v>5156</v>
      </c>
      <c r="E8158" s="6" t="s">
        <v>21</v>
      </c>
      <c r="F8158" s="6" t="n">
        <v>1</v>
      </c>
      <c r="G8158" s="10" t="n">
        <v>2161</v>
      </c>
      <c r="H8158" s="10" t="n">
        <f aca="false">F8158*G8158</f>
        <v>2161</v>
      </c>
      <c r="I8158" s="6" t="s">
        <v>5122</v>
      </c>
    </row>
    <row r="8159" customFormat="false" ht="15" hidden="false" customHeight="false" outlineLevel="0" collapsed="false">
      <c r="A8159" s="6" t="s">
        <v>13383</v>
      </c>
      <c r="B8159" s="6" t="s">
        <v>4775</v>
      </c>
      <c r="C8159" s="26" t="n">
        <v>46258</v>
      </c>
      <c r="D8159" s="6" t="s">
        <v>5171</v>
      </c>
      <c r="E8159" s="6" t="s">
        <v>23</v>
      </c>
      <c r="F8159" s="6" t="n">
        <v>2</v>
      </c>
      <c r="G8159" s="10" t="n">
        <v>697</v>
      </c>
      <c r="H8159" s="10" t="n">
        <f aca="false">F8159*G8159</f>
        <v>1394</v>
      </c>
      <c r="I8159" s="6" t="s">
        <v>5125</v>
      </c>
    </row>
    <row r="8160" customFormat="false" ht="15" hidden="false" customHeight="false" outlineLevel="0" collapsed="false">
      <c r="A8160" s="6" t="s">
        <v>13384</v>
      </c>
      <c r="B8160" s="6" t="s">
        <v>170</v>
      </c>
      <c r="C8160" s="26" t="n">
        <v>46258</v>
      </c>
      <c r="D8160" s="6" t="s">
        <v>5121</v>
      </c>
      <c r="E8160" s="6" t="s">
        <v>22</v>
      </c>
      <c r="F8160" s="6" t="n">
        <v>2</v>
      </c>
      <c r="G8160" s="10" t="n">
        <v>977</v>
      </c>
      <c r="H8160" s="10" t="n">
        <f aca="false">F8160*G8160</f>
        <v>1954</v>
      </c>
      <c r="I8160" s="6" t="s">
        <v>5122</v>
      </c>
    </row>
    <row r="8161" customFormat="false" ht="15" hidden="false" customHeight="false" outlineLevel="0" collapsed="false">
      <c r="A8161" s="6" t="s">
        <v>13385</v>
      </c>
      <c r="B8161" s="6" t="s">
        <v>1495</v>
      </c>
      <c r="C8161" s="26" t="n">
        <v>46258</v>
      </c>
      <c r="D8161" s="6" t="s">
        <v>5169</v>
      </c>
      <c r="E8161" s="6" t="s">
        <v>20</v>
      </c>
      <c r="F8161" s="6" t="n">
        <v>2</v>
      </c>
      <c r="G8161" s="10" t="n">
        <v>5098</v>
      </c>
      <c r="H8161" s="10" t="n">
        <f aca="false">F8161*G8161</f>
        <v>10196</v>
      </c>
      <c r="I8161" s="6" t="s">
        <v>5122</v>
      </c>
    </row>
    <row r="8162" customFormat="false" ht="15" hidden="false" customHeight="false" outlineLevel="0" collapsed="false">
      <c r="A8162" s="6" t="s">
        <v>13386</v>
      </c>
      <c r="B8162" s="6" t="s">
        <v>3181</v>
      </c>
      <c r="C8162" s="26" t="n">
        <v>46258</v>
      </c>
      <c r="D8162" s="6" t="s">
        <v>5167</v>
      </c>
      <c r="E8162" s="6" t="s">
        <v>22</v>
      </c>
      <c r="F8162" s="6" t="n">
        <v>1</v>
      </c>
      <c r="G8162" s="10" t="n">
        <v>743</v>
      </c>
      <c r="H8162" s="10" t="n">
        <f aca="false">F8162*G8162</f>
        <v>743</v>
      </c>
      <c r="I8162" s="6" t="s">
        <v>5122</v>
      </c>
    </row>
    <row r="8163" customFormat="false" ht="15" hidden="false" customHeight="false" outlineLevel="0" collapsed="false">
      <c r="A8163" s="6" t="s">
        <v>13387</v>
      </c>
      <c r="B8163" s="6" t="s">
        <v>148</v>
      </c>
      <c r="C8163" s="26" t="n">
        <v>46258</v>
      </c>
      <c r="D8163" s="6" t="s">
        <v>5165</v>
      </c>
      <c r="E8163" s="6" t="s">
        <v>22</v>
      </c>
      <c r="F8163" s="6" t="n">
        <v>3</v>
      </c>
      <c r="G8163" s="10" t="n">
        <v>977</v>
      </c>
      <c r="H8163" s="10" t="n">
        <f aca="false">F8163*G8163</f>
        <v>2931</v>
      </c>
      <c r="I8163" s="6" t="s">
        <v>5122</v>
      </c>
    </row>
    <row r="8164" customFormat="false" ht="15" hidden="false" customHeight="false" outlineLevel="0" collapsed="false">
      <c r="A8164" s="6" t="s">
        <v>13388</v>
      </c>
      <c r="B8164" s="6" t="s">
        <v>4747</v>
      </c>
      <c r="C8164" s="26" t="n">
        <v>46258</v>
      </c>
      <c r="D8164" s="6" t="s">
        <v>5171</v>
      </c>
      <c r="E8164" s="6" t="s">
        <v>23</v>
      </c>
      <c r="F8164" s="6" t="n">
        <v>3</v>
      </c>
      <c r="G8164" s="10" t="n">
        <v>734</v>
      </c>
      <c r="H8164" s="10" t="n">
        <f aca="false">F8164*G8164</f>
        <v>2202</v>
      </c>
      <c r="I8164" s="6" t="s">
        <v>5148</v>
      </c>
    </row>
    <row r="8165" customFormat="false" ht="15" hidden="false" customHeight="false" outlineLevel="0" collapsed="false">
      <c r="A8165" s="6" t="s">
        <v>13389</v>
      </c>
      <c r="B8165" s="6" t="s">
        <v>4679</v>
      </c>
      <c r="C8165" s="26" t="n">
        <v>46258</v>
      </c>
      <c r="D8165" s="6" t="s">
        <v>5232</v>
      </c>
      <c r="E8165" s="6" t="s">
        <v>23</v>
      </c>
      <c r="F8165" s="6" t="n">
        <v>2</v>
      </c>
      <c r="G8165" s="10" t="n">
        <v>185</v>
      </c>
      <c r="H8165" s="10" t="n">
        <f aca="false">F8165*G8165</f>
        <v>370</v>
      </c>
      <c r="I8165" s="6" t="s">
        <v>5148</v>
      </c>
    </row>
    <row r="8166" customFormat="false" ht="15" hidden="false" customHeight="false" outlineLevel="0" collapsed="false">
      <c r="A8166" s="6" t="s">
        <v>13390</v>
      </c>
      <c r="B8166" s="6" t="s">
        <v>3433</v>
      </c>
      <c r="C8166" s="26" t="n">
        <v>46258</v>
      </c>
      <c r="D8166" s="6" t="s">
        <v>5522</v>
      </c>
      <c r="E8166" s="6" t="s">
        <v>21</v>
      </c>
      <c r="F8166" s="6" t="n">
        <v>1</v>
      </c>
      <c r="G8166" s="10" t="n">
        <v>11499</v>
      </c>
      <c r="H8166" s="10" t="n">
        <f aca="false">F8166*G8166</f>
        <v>11499</v>
      </c>
      <c r="I8166" s="6" t="s">
        <v>5125</v>
      </c>
    </row>
    <row r="8167" customFormat="false" ht="15" hidden="false" customHeight="false" outlineLevel="0" collapsed="false">
      <c r="A8167" s="6" t="s">
        <v>13391</v>
      </c>
      <c r="B8167" s="6" t="s">
        <v>953</v>
      </c>
      <c r="C8167" s="26" t="n">
        <v>46258</v>
      </c>
      <c r="D8167" s="6" t="s">
        <v>5121</v>
      </c>
      <c r="E8167" s="6" t="s">
        <v>22</v>
      </c>
      <c r="F8167" s="6" t="n">
        <v>1</v>
      </c>
      <c r="G8167" s="10" t="n">
        <v>977</v>
      </c>
      <c r="H8167" s="10" t="n">
        <f aca="false">F8167*G8167</f>
        <v>977</v>
      </c>
      <c r="I8167" s="6" t="s">
        <v>5133</v>
      </c>
    </row>
    <row r="8168" customFormat="false" ht="15" hidden="false" customHeight="false" outlineLevel="0" collapsed="false">
      <c r="A8168" s="6" t="s">
        <v>13392</v>
      </c>
      <c r="B8168" s="6" t="s">
        <v>4371</v>
      </c>
      <c r="C8168" s="26" t="n">
        <v>46258</v>
      </c>
      <c r="D8168" s="6" t="s">
        <v>5357</v>
      </c>
      <c r="E8168" s="6" t="s">
        <v>23</v>
      </c>
      <c r="F8168" s="6" t="n">
        <v>4</v>
      </c>
      <c r="G8168" s="10" t="n">
        <v>534</v>
      </c>
      <c r="H8168" s="10" t="n">
        <f aca="false">F8168*G8168</f>
        <v>2136</v>
      </c>
      <c r="I8168" s="6" t="s">
        <v>5148</v>
      </c>
    </row>
    <row r="8169" customFormat="false" ht="15" hidden="false" customHeight="false" outlineLevel="0" collapsed="false">
      <c r="A8169" s="6" t="s">
        <v>13393</v>
      </c>
      <c r="B8169" s="6" t="s">
        <v>431</v>
      </c>
      <c r="C8169" s="26" t="n">
        <v>46258</v>
      </c>
      <c r="D8169" s="6" t="s">
        <v>5216</v>
      </c>
      <c r="E8169" s="6" t="s">
        <v>23</v>
      </c>
      <c r="F8169" s="6" t="n">
        <v>1</v>
      </c>
      <c r="G8169" s="10" t="n">
        <v>587</v>
      </c>
      <c r="H8169" s="10" t="n">
        <f aca="false">F8169*G8169</f>
        <v>587</v>
      </c>
      <c r="I8169" s="6" t="s">
        <v>5122</v>
      </c>
    </row>
    <row r="8170" customFormat="false" ht="15" hidden="false" customHeight="false" outlineLevel="0" collapsed="false">
      <c r="A8170" s="6" t="s">
        <v>13394</v>
      </c>
      <c r="B8170" s="6" t="s">
        <v>2345</v>
      </c>
      <c r="C8170" s="26" t="n">
        <v>46258</v>
      </c>
      <c r="D8170" s="6" t="s">
        <v>5160</v>
      </c>
      <c r="E8170" s="6" t="s">
        <v>21</v>
      </c>
      <c r="F8170" s="6" t="n">
        <v>2</v>
      </c>
      <c r="G8170" s="10" t="n">
        <v>2614</v>
      </c>
      <c r="H8170" s="10" t="n">
        <f aca="false">F8170*G8170</f>
        <v>5228</v>
      </c>
      <c r="I8170" s="6" t="s">
        <v>5148</v>
      </c>
    </row>
    <row r="8171" customFormat="false" ht="15" hidden="false" customHeight="false" outlineLevel="0" collapsed="false">
      <c r="A8171" s="6" t="s">
        <v>13395</v>
      </c>
      <c r="B8171" s="6" t="s">
        <v>4675</v>
      </c>
      <c r="C8171" s="26" t="n">
        <v>46258</v>
      </c>
      <c r="D8171" s="6" t="s">
        <v>5165</v>
      </c>
      <c r="E8171" s="6" t="s">
        <v>22</v>
      </c>
      <c r="F8171" s="6" t="n">
        <v>3</v>
      </c>
      <c r="G8171" s="10" t="n">
        <v>880</v>
      </c>
      <c r="H8171" s="10" t="n">
        <f aca="false">F8171*G8171</f>
        <v>2640</v>
      </c>
      <c r="I8171" s="6" t="s">
        <v>5122</v>
      </c>
    </row>
    <row r="8172" customFormat="false" ht="15" hidden="false" customHeight="false" outlineLevel="0" collapsed="false">
      <c r="A8172" s="6" t="s">
        <v>13396</v>
      </c>
      <c r="B8172" s="6" t="s">
        <v>398</v>
      </c>
      <c r="C8172" s="26" t="n">
        <v>46258</v>
      </c>
      <c r="D8172" s="6" t="s">
        <v>5339</v>
      </c>
      <c r="E8172" s="6" t="s">
        <v>24</v>
      </c>
      <c r="F8172" s="6" t="n">
        <v>2</v>
      </c>
      <c r="G8172" s="10" t="n">
        <v>508</v>
      </c>
      <c r="H8172" s="10" t="n">
        <f aca="false">F8172*G8172</f>
        <v>1016</v>
      </c>
      <c r="I8172" s="6" t="s">
        <v>5173</v>
      </c>
    </row>
    <row r="8173" customFormat="false" ht="15" hidden="false" customHeight="false" outlineLevel="0" collapsed="false">
      <c r="A8173" s="6" t="s">
        <v>13397</v>
      </c>
      <c r="B8173" s="6" t="s">
        <v>1783</v>
      </c>
      <c r="C8173" s="26" t="n">
        <v>46258</v>
      </c>
      <c r="D8173" s="6" t="s">
        <v>5190</v>
      </c>
      <c r="E8173" s="6" t="s">
        <v>24</v>
      </c>
      <c r="F8173" s="6" t="n">
        <v>4</v>
      </c>
      <c r="G8173" s="10" t="n">
        <v>580</v>
      </c>
      <c r="H8173" s="10" t="n">
        <f aca="false">F8173*G8173</f>
        <v>2320</v>
      </c>
      <c r="I8173" s="6" t="s">
        <v>5122</v>
      </c>
    </row>
    <row r="8174" customFormat="false" ht="15" hidden="false" customHeight="false" outlineLevel="0" collapsed="false">
      <c r="A8174" s="6" t="s">
        <v>13398</v>
      </c>
      <c r="B8174" s="6" t="s">
        <v>3767</v>
      </c>
      <c r="C8174" s="26" t="n">
        <v>46258</v>
      </c>
      <c r="D8174" s="6" t="s">
        <v>5154</v>
      </c>
      <c r="E8174" s="6" t="s">
        <v>21</v>
      </c>
      <c r="F8174" s="6" t="n">
        <v>1</v>
      </c>
      <c r="G8174" s="10" t="n">
        <v>707</v>
      </c>
      <c r="H8174" s="10" t="n">
        <f aca="false">F8174*G8174</f>
        <v>707</v>
      </c>
      <c r="I8174" s="6" t="s">
        <v>5125</v>
      </c>
    </row>
    <row r="8175" customFormat="false" ht="15" hidden="false" customHeight="false" outlineLevel="0" collapsed="false">
      <c r="A8175" s="6" t="s">
        <v>13399</v>
      </c>
      <c r="B8175" s="6" t="s">
        <v>3307</v>
      </c>
      <c r="C8175" s="26" t="n">
        <v>46258</v>
      </c>
      <c r="D8175" s="6" t="s">
        <v>5357</v>
      </c>
      <c r="E8175" s="6" t="s">
        <v>23</v>
      </c>
      <c r="F8175" s="6" t="n">
        <v>3</v>
      </c>
      <c r="G8175" s="10" t="n">
        <v>534</v>
      </c>
      <c r="H8175" s="10" t="n">
        <f aca="false">F8175*G8175</f>
        <v>1602</v>
      </c>
      <c r="I8175" s="6" t="s">
        <v>5148</v>
      </c>
    </row>
    <row r="8176" customFormat="false" ht="15" hidden="false" customHeight="false" outlineLevel="0" collapsed="false">
      <c r="A8176" s="6" t="s">
        <v>13400</v>
      </c>
      <c r="B8176" s="6" t="s">
        <v>2269</v>
      </c>
      <c r="C8176" s="26" t="n">
        <v>46258</v>
      </c>
      <c r="D8176" s="6" t="s">
        <v>5167</v>
      </c>
      <c r="E8176" s="6" t="s">
        <v>22</v>
      </c>
      <c r="F8176" s="6" t="n">
        <v>2</v>
      </c>
      <c r="G8176" s="10" t="n">
        <v>703</v>
      </c>
      <c r="H8176" s="10" t="n">
        <f aca="false">F8176*G8176</f>
        <v>1406</v>
      </c>
      <c r="I8176" s="6" t="s">
        <v>5148</v>
      </c>
    </row>
    <row r="8177" customFormat="false" ht="15" hidden="false" customHeight="false" outlineLevel="0" collapsed="false">
      <c r="A8177" s="6" t="s">
        <v>13401</v>
      </c>
      <c r="B8177" s="6" t="s">
        <v>1729</v>
      </c>
      <c r="C8177" s="26" t="n">
        <v>46258</v>
      </c>
      <c r="D8177" s="6" t="s">
        <v>5326</v>
      </c>
      <c r="E8177" s="6" t="s">
        <v>22</v>
      </c>
      <c r="F8177" s="6" t="n">
        <v>3</v>
      </c>
      <c r="G8177" s="10" t="n">
        <v>1466</v>
      </c>
      <c r="H8177" s="10" t="n">
        <f aca="false">F8177*G8177</f>
        <v>4398</v>
      </c>
      <c r="I8177" s="6" t="s">
        <v>5122</v>
      </c>
    </row>
    <row r="8178" customFormat="false" ht="15" hidden="false" customHeight="false" outlineLevel="0" collapsed="false">
      <c r="A8178" s="6" t="s">
        <v>13402</v>
      </c>
      <c r="B8178" s="6" t="s">
        <v>1725</v>
      </c>
      <c r="C8178" s="26" t="n">
        <v>46258</v>
      </c>
      <c r="D8178" s="6" t="s">
        <v>5220</v>
      </c>
      <c r="E8178" s="6" t="s">
        <v>24</v>
      </c>
      <c r="F8178" s="6" t="n">
        <v>1</v>
      </c>
      <c r="G8178" s="10" t="n">
        <v>1120</v>
      </c>
      <c r="H8178" s="10" t="n">
        <f aca="false">F8178*G8178</f>
        <v>1120</v>
      </c>
      <c r="I8178" s="6" t="s">
        <v>5122</v>
      </c>
    </row>
    <row r="8179" customFormat="false" ht="15" hidden="false" customHeight="false" outlineLevel="0" collapsed="false">
      <c r="A8179" s="6" t="s">
        <v>13403</v>
      </c>
      <c r="B8179" s="6" t="s">
        <v>1097</v>
      </c>
      <c r="C8179" s="26" t="n">
        <v>46258</v>
      </c>
      <c r="D8179" s="6" t="s">
        <v>5163</v>
      </c>
      <c r="E8179" s="6" t="s">
        <v>23</v>
      </c>
      <c r="F8179" s="6" t="n">
        <v>3</v>
      </c>
      <c r="G8179" s="10" t="n">
        <v>744</v>
      </c>
      <c r="H8179" s="10" t="n">
        <f aca="false">F8179*G8179</f>
        <v>2232</v>
      </c>
      <c r="I8179" s="6" t="s">
        <v>5122</v>
      </c>
    </row>
    <row r="8180" customFormat="false" ht="15" hidden="false" customHeight="false" outlineLevel="0" collapsed="false">
      <c r="A8180" s="6" t="s">
        <v>13404</v>
      </c>
      <c r="B8180" s="6" t="s">
        <v>2141</v>
      </c>
      <c r="C8180" s="26" t="n">
        <v>46258</v>
      </c>
      <c r="D8180" s="6" t="s">
        <v>5137</v>
      </c>
      <c r="E8180" s="6" t="s">
        <v>21</v>
      </c>
      <c r="F8180" s="6" t="n">
        <v>1</v>
      </c>
      <c r="G8180" s="10" t="n">
        <v>1591</v>
      </c>
      <c r="H8180" s="10" t="n">
        <f aca="false">F8180*G8180</f>
        <v>1591</v>
      </c>
      <c r="I8180" s="6" t="s">
        <v>5173</v>
      </c>
    </row>
    <row r="8181" customFormat="false" ht="15" hidden="false" customHeight="false" outlineLevel="0" collapsed="false">
      <c r="A8181" s="6" t="s">
        <v>13405</v>
      </c>
      <c r="B8181" s="6" t="s">
        <v>3673</v>
      </c>
      <c r="C8181" s="26" t="n">
        <v>46258</v>
      </c>
      <c r="D8181" s="6" t="s">
        <v>5456</v>
      </c>
      <c r="E8181" s="6" t="s">
        <v>24</v>
      </c>
      <c r="F8181" s="6" t="n">
        <v>1</v>
      </c>
      <c r="G8181" s="10" t="n">
        <v>912</v>
      </c>
      <c r="H8181" s="10" t="n">
        <f aca="false">F8181*G8181</f>
        <v>912</v>
      </c>
      <c r="I8181" s="6" t="s">
        <v>5122</v>
      </c>
    </row>
    <row r="8182" customFormat="false" ht="15" hidden="false" customHeight="false" outlineLevel="0" collapsed="false">
      <c r="A8182" s="6" t="s">
        <v>13406</v>
      </c>
      <c r="B8182" s="6" t="s">
        <v>5097</v>
      </c>
      <c r="C8182" s="26" t="n">
        <v>46258</v>
      </c>
      <c r="D8182" s="6" t="s">
        <v>5143</v>
      </c>
      <c r="E8182" s="6" t="s">
        <v>21</v>
      </c>
      <c r="F8182" s="6" t="n">
        <v>1</v>
      </c>
      <c r="G8182" s="10" t="n">
        <v>1179</v>
      </c>
      <c r="H8182" s="10" t="n">
        <f aca="false">F8182*G8182</f>
        <v>1179</v>
      </c>
      <c r="I8182" s="6" t="s">
        <v>5148</v>
      </c>
    </row>
    <row r="8183" customFormat="false" ht="15" hidden="false" customHeight="false" outlineLevel="0" collapsed="false">
      <c r="A8183" s="6" t="s">
        <v>13407</v>
      </c>
      <c r="B8183" s="6" t="s">
        <v>2801</v>
      </c>
      <c r="C8183" s="26" t="n">
        <v>46258</v>
      </c>
      <c r="D8183" s="6" t="s">
        <v>5124</v>
      </c>
      <c r="E8183" s="6" t="s">
        <v>21</v>
      </c>
      <c r="F8183" s="6" t="n">
        <v>1</v>
      </c>
      <c r="G8183" s="10" t="n">
        <v>3439</v>
      </c>
      <c r="H8183" s="10" t="n">
        <f aca="false">F8183*G8183</f>
        <v>3439</v>
      </c>
      <c r="I8183" s="6" t="s">
        <v>5133</v>
      </c>
    </row>
    <row r="8184" customFormat="false" ht="15" hidden="false" customHeight="false" outlineLevel="0" collapsed="false">
      <c r="A8184" s="6" t="s">
        <v>13408</v>
      </c>
      <c r="B8184" s="6" t="s">
        <v>2199</v>
      </c>
      <c r="C8184" s="26" t="n">
        <v>46258</v>
      </c>
      <c r="D8184" s="6" t="s">
        <v>5641</v>
      </c>
      <c r="E8184" s="6" t="s">
        <v>22</v>
      </c>
      <c r="F8184" s="6" t="n">
        <v>1</v>
      </c>
      <c r="G8184" s="10" t="n">
        <v>2136</v>
      </c>
      <c r="H8184" s="10" t="n">
        <f aca="false">F8184*G8184</f>
        <v>2136</v>
      </c>
      <c r="I8184" s="6" t="s">
        <v>5130</v>
      </c>
    </row>
    <row r="8185" customFormat="false" ht="15" hidden="false" customHeight="false" outlineLevel="0" collapsed="false">
      <c r="A8185" s="6" t="s">
        <v>13409</v>
      </c>
      <c r="B8185" s="6" t="s">
        <v>457</v>
      </c>
      <c r="C8185" s="26" t="n">
        <v>46258</v>
      </c>
      <c r="D8185" s="6" t="s">
        <v>5132</v>
      </c>
      <c r="E8185" s="6" t="s">
        <v>23</v>
      </c>
      <c r="F8185" s="6" t="n">
        <v>5</v>
      </c>
      <c r="G8185" s="10" t="n">
        <v>342</v>
      </c>
      <c r="H8185" s="10" t="n">
        <f aca="false">F8185*G8185</f>
        <v>1710</v>
      </c>
      <c r="I8185" s="6" t="s">
        <v>5125</v>
      </c>
    </row>
    <row r="8186" customFormat="false" ht="15" hidden="false" customHeight="false" outlineLevel="0" collapsed="false">
      <c r="A8186" s="6" t="s">
        <v>13410</v>
      </c>
      <c r="B8186" s="6" t="s">
        <v>1517</v>
      </c>
      <c r="C8186" s="26" t="n">
        <v>46258</v>
      </c>
      <c r="D8186" s="6" t="s">
        <v>5121</v>
      </c>
      <c r="E8186" s="6" t="s">
        <v>22</v>
      </c>
      <c r="F8186" s="6" t="n">
        <v>2</v>
      </c>
      <c r="G8186" s="10" t="n">
        <v>880</v>
      </c>
      <c r="H8186" s="10" t="n">
        <f aca="false">F8186*G8186</f>
        <v>1760</v>
      </c>
      <c r="I8186" s="6" t="s">
        <v>5122</v>
      </c>
    </row>
    <row r="8187" customFormat="false" ht="15" hidden="false" customHeight="false" outlineLevel="0" collapsed="false">
      <c r="A8187" s="6" t="s">
        <v>13411</v>
      </c>
      <c r="B8187" s="6" t="s">
        <v>4465</v>
      </c>
      <c r="C8187" s="26" t="n">
        <v>46258</v>
      </c>
      <c r="D8187" s="6" t="s">
        <v>5316</v>
      </c>
      <c r="E8187" s="6" t="s">
        <v>23</v>
      </c>
      <c r="F8187" s="6" t="n">
        <v>4</v>
      </c>
      <c r="G8187" s="10" t="n">
        <v>234</v>
      </c>
      <c r="H8187" s="10" t="n">
        <f aca="false">F8187*G8187</f>
        <v>936</v>
      </c>
      <c r="I8187" s="6" t="s">
        <v>5130</v>
      </c>
    </row>
    <row r="8188" customFormat="false" ht="15" hidden="false" customHeight="false" outlineLevel="0" collapsed="false">
      <c r="A8188" s="6" t="s">
        <v>13412</v>
      </c>
      <c r="B8188" s="6" t="s">
        <v>3871</v>
      </c>
      <c r="C8188" s="26" t="n">
        <v>46258</v>
      </c>
      <c r="D8188" s="6" t="s">
        <v>5182</v>
      </c>
      <c r="E8188" s="6" t="s">
        <v>23</v>
      </c>
      <c r="F8188" s="6" t="n">
        <v>3</v>
      </c>
      <c r="G8188" s="10" t="n">
        <v>367</v>
      </c>
      <c r="H8188" s="10" t="n">
        <f aca="false">F8188*G8188</f>
        <v>1101</v>
      </c>
      <c r="I8188" s="6" t="s">
        <v>5133</v>
      </c>
    </row>
    <row r="8189" customFormat="false" ht="15" hidden="false" customHeight="false" outlineLevel="0" collapsed="false">
      <c r="A8189" s="6" t="s">
        <v>13413</v>
      </c>
      <c r="B8189" s="6" t="s">
        <v>2291</v>
      </c>
      <c r="C8189" s="26" t="n">
        <v>46258</v>
      </c>
      <c r="D8189" s="6" t="s">
        <v>5135</v>
      </c>
      <c r="E8189" s="6" t="s">
        <v>23</v>
      </c>
      <c r="F8189" s="6" t="n">
        <v>2</v>
      </c>
      <c r="G8189" s="10" t="n">
        <v>441</v>
      </c>
      <c r="H8189" s="10" t="n">
        <f aca="false">F8189*G8189</f>
        <v>882</v>
      </c>
      <c r="I8189" s="6" t="s">
        <v>5122</v>
      </c>
    </row>
    <row r="8190" customFormat="false" ht="15" hidden="false" customHeight="false" outlineLevel="0" collapsed="false">
      <c r="A8190" s="6" t="s">
        <v>13414</v>
      </c>
      <c r="B8190" s="6" t="s">
        <v>1901</v>
      </c>
      <c r="C8190" s="26" t="n">
        <v>46258</v>
      </c>
      <c r="D8190" s="6" t="s">
        <v>5145</v>
      </c>
      <c r="E8190" s="6" t="s">
        <v>21</v>
      </c>
      <c r="F8190" s="6" t="n">
        <v>1</v>
      </c>
      <c r="G8190" s="10" t="n">
        <v>1277</v>
      </c>
      <c r="H8190" s="10" t="n">
        <f aca="false">F8190*G8190</f>
        <v>1277</v>
      </c>
      <c r="I8190" s="6" t="s">
        <v>5122</v>
      </c>
    </row>
    <row r="8191" customFormat="false" ht="15" hidden="false" customHeight="false" outlineLevel="0" collapsed="false">
      <c r="A8191" s="6" t="s">
        <v>13415</v>
      </c>
      <c r="B8191" s="6" t="s">
        <v>1865</v>
      </c>
      <c r="C8191" s="26" t="n">
        <v>46258</v>
      </c>
      <c r="D8191" s="6" t="s">
        <v>5167</v>
      </c>
      <c r="E8191" s="6" t="s">
        <v>22</v>
      </c>
      <c r="F8191" s="6" t="n">
        <v>2</v>
      </c>
      <c r="G8191" s="10" t="n">
        <v>743</v>
      </c>
      <c r="H8191" s="10" t="n">
        <f aca="false">F8191*G8191</f>
        <v>1486</v>
      </c>
      <c r="I8191" s="6" t="s">
        <v>5122</v>
      </c>
    </row>
    <row r="8192" customFormat="false" ht="15" hidden="false" customHeight="false" outlineLevel="0" collapsed="false">
      <c r="A8192" s="6" t="s">
        <v>13416</v>
      </c>
      <c r="B8192" s="6" t="s">
        <v>2173</v>
      </c>
      <c r="C8192" s="26" t="n">
        <v>46258</v>
      </c>
      <c r="D8192" s="6" t="s">
        <v>5353</v>
      </c>
      <c r="E8192" s="6" t="s">
        <v>24</v>
      </c>
      <c r="F8192" s="6" t="n">
        <v>2</v>
      </c>
      <c r="G8192" s="10" t="n">
        <v>1629</v>
      </c>
      <c r="H8192" s="10" t="n">
        <f aca="false">F8192*G8192</f>
        <v>3258</v>
      </c>
      <c r="I8192" s="6" t="s">
        <v>5122</v>
      </c>
    </row>
    <row r="8193" customFormat="false" ht="15" hidden="false" customHeight="false" outlineLevel="0" collapsed="false">
      <c r="A8193" s="6" t="s">
        <v>13417</v>
      </c>
      <c r="B8193" s="6" t="s">
        <v>567</v>
      </c>
      <c r="C8193" s="26" t="n">
        <v>46258</v>
      </c>
      <c r="D8193" s="6" t="s">
        <v>5641</v>
      </c>
      <c r="E8193" s="6" t="s">
        <v>22</v>
      </c>
      <c r="F8193" s="6" t="n">
        <v>1</v>
      </c>
      <c r="G8193" s="10" t="n">
        <v>2024</v>
      </c>
      <c r="H8193" s="10" t="n">
        <f aca="false">F8193*G8193</f>
        <v>2024</v>
      </c>
      <c r="I8193" s="6" t="s">
        <v>5122</v>
      </c>
    </row>
    <row r="8194" customFormat="false" ht="15" hidden="false" customHeight="false" outlineLevel="0" collapsed="false">
      <c r="A8194" s="6" t="s">
        <v>13418</v>
      </c>
      <c r="B8194" s="6" t="s">
        <v>3417</v>
      </c>
      <c r="C8194" s="26" t="n">
        <v>46258</v>
      </c>
      <c r="D8194" s="6" t="s">
        <v>5458</v>
      </c>
      <c r="E8194" s="6" t="s">
        <v>24</v>
      </c>
      <c r="F8194" s="6" t="n">
        <v>3</v>
      </c>
      <c r="G8194" s="10" t="n">
        <v>531</v>
      </c>
      <c r="H8194" s="10" t="n">
        <f aca="false">F8194*G8194</f>
        <v>1593</v>
      </c>
      <c r="I8194" s="6" t="s">
        <v>5148</v>
      </c>
    </row>
    <row r="8195" customFormat="false" ht="15" hidden="false" customHeight="false" outlineLevel="0" collapsed="false">
      <c r="A8195" s="6" t="s">
        <v>13419</v>
      </c>
      <c r="B8195" s="6" t="s">
        <v>1597</v>
      </c>
      <c r="C8195" s="26" t="n">
        <v>46258</v>
      </c>
      <c r="D8195" s="6" t="s">
        <v>5357</v>
      </c>
      <c r="E8195" s="6" t="s">
        <v>23</v>
      </c>
      <c r="F8195" s="6" t="n">
        <v>4</v>
      </c>
      <c r="G8195" s="10" t="n">
        <v>481</v>
      </c>
      <c r="H8195" s="10" t="n">
        <f aca="false">F8195*G8195</f>
        <v>1924</v>
      </c>
      <c r="I8195" s="6" t="s">
        <v>5173</v>
      </c>
    </row>
    <row r="8196" customFormat="false" ht="15" hidden="false" customHeight="false" outlineLevel="0" collapsed="false">
      <c r="A8196" s="6" t="s">
        <v>13420</v>
      </c>
      <c r="B8196" s="6" t="s">
        <v>4783</v>
      </c>
      <c r="C8196" s="26" t="n">
        <v>46258</v>
      </c>
      <c r="D8196" s="6" t="s">
        <v>5482</v>
      </c>
      <c r="E8196" s="6" t="s">
        <v>23</v>
      </c>
      <c r="F8196" s="6" t="n">
        <v>3</v>
      </c>
      <c r="G8196" s="10" t="n">
        <v>256</v>
      </c>
      <c r="H8196" s="10" t="n">
        <f aca="false">F8196*G8196</f>
        <v>768</v>
      </c>
      <c r="I8196" s="6" t="s">
        <v>5122</v>
      </c>
    </row>
    <row r="8197" customFormat="false" ht="15" hidden="false" customHeight="false" outlineLevel="0" collapsed="false">
      <c r="A8197" s="6" t="s">
        <v>13421</v>
      </c>
      <c r="B8197" s="6" t="s">
        <v>2769</v>
      </c>
      <c r="C8197" s="26" t="n">
        <v>46258</v>
      </c>
      <c r="D8197" s="6" t="s">
        <v>5141</v>
      </c>
      <c r="E8197" s="6" t="s">
        <v>20</v>
      </c>
      <c r="F8197" s="6" t="n">
        <v>1</v>
      </c>
      <c r="G8197" s="10" t="n">
        <v>1835</v>
      </c>
      <c r="H8197" s="10" t="n">
        <f aca="false">F8197*G8197</f>
        <v>1835</v>
      </c>
      <c r="I8197" s="6" t="s">
        <v>5125</v>
      </c>
    </row>
    <row r="8198" customFormat="false" ht="15" hidden="false" customHeight="false" outlineLevel="0" collapsed="false">
      <c r="A8198" s="6" t="s">
        <v>13422</v>
      </c>
      <c r="B8198" s="6" t="s">
        <v>1761</v>
      </c>
      <c r="C8198" s="26" t="n">
        <v>46258</v>
      </c>
      <c r="D8198" s="6" t="s">
        <v>5749</v>
      </c>
      <c r="E8198" s="6" t="s">
        <v>20</v>
      </c>
      <c r="F8198" s="6" t="n">
        <v>1</v>
      </c>
      <c r="G8198" s="10" t="n">
        <v>733</v>
      </c>
      <c r="H8198" s="10" t="n">
        <f aca="false">F8198*G8198</f>
        <v>733</v>
      </c>
      <c r="I8198" s="6" t="s">
        <v>5148</v>
      </c>
    </row>
    <row r="8199" customFormat="false" ht="15" hidden="false" customHeight="false" outlineLevel="0" collapsed="false">
      <c r="A8199" s="6" t="s">
        <v>13423</v>
      </c>
      <c r="B8199" s="6" t="s">
        <v>3377</v>
      </c>
      <c r="C8199" s="26" t="n">
        <v>46258</v>
      </c>
      <c r="D8199" s="6" t="s">
        <v>5154</v>
      </c>
      <c r="E8199" s="6" t="s">
        <v>21</v>
      </c>
      <c r="F8199" s="6" t="n">
        <v>2</v>
      </c>
      <c r="G8199" s="10" t="n">
        <v>707</v>
      </c>
      <c r="H8199" s="10" t="n">
        <f aca="false">F8199*G8199</f>
        <v>1414</v>
      </c>
      <c r="I8199" s="6" t="s">
        <v>5122</v>
      </c>
    </row>
    <row r="8200" customFormat="false" ht="15" hidden="false" customHeight="false" outlineLevel="0" collapsed="false">
      <c r="A8200" s="6" t="s">
        <v>13424</v>
      </c>
      <c r="B8200" s="6" t="s">
        <v>5073</v>
      </c>
      <c r="C8200" s="26" t="n">
        <v>46258</v>
      </c>
      <c r="D8200" s="6" t="s">
        <v>5169</v>
      </c>
      <c r="E8200" s="6" t="s">
        <v>20</v>
      </c>
      <c r="F8200" s="6" t="n">
        <v>2</v>
      </c>
      <c r="G8200" s="10" t="n">
        <v>4588</v>
      </c>
      <c r="H8200" s="10" t="n">
        <f aca="false">F8200*G8200</f>
        <v>9176</v>
      </c>
      <c r="I8200" s="6" t="s">
        <v>5122</v>
      </c>
    </row>
    <row r="8201" customFormat="false" ht="15" hidden="false" customHeight="false" outlineLevel="0" collapsed="false">
      <c r="A8201" s="6" t="s">
        <v>13425</v>
      </c>
      <c r="B8201" s="6" t="s">
        <v>3793</v>
      </c>
      <c r="C8201" s="26" t="n">
        <v>46258</v>
      </c>
      <c r="D8201" s="6" t="s">
        <v>5200</v>
      </c>
      <c r="E8201" s="6" t="s">
        <v>24</v>
      </c>
      <c r="F8201" s="6" t="n">
        <v>1</v>
      </c>
      <c r="G8201" s="10" t="n">
        <v>764</v>
      </c>
      <c r="H8201" s="10" t="n">
        <f aca="false">F8201*G8201</f>
        <v>764</v>
      </c>
      <c r="I8201" s="6" t="s">
        <v>5130</v>
      </c>
    </row>
    <row r="8202" customFormat="false" ht="15" hidden="false" customHeight="false" outlineLevel="0" collapsed="false">
      <c r="A8202" s="6" t="s">
        <v>13426</v>
      </c>
      <c r="B8202" s="6" t="s">
        <v>1481</v>
      </c>
      <c r="C8202" s="26" t="n">
        <v>46258</v>
      </c>
      <c r="D8202" s="6" t="s">
        <v>5171</v>
      </c>
      <c r="E8202" s="6" t="s">
        <v>23</v>
      </c>
      <c r="F8202" s="6" t="n">
        <v>1</v>
      </c>
      <c r="G8202" s="10" t="n">
        <v>734</v>
      </c>
      <c r="H8202" s="10" t="n">
        <f aca="false">F8202*G8202</f>
        <v>734</v>
      </c>
      <c r="I8202" s="6" t="s">
        <v>5133</v>
      </c>
    </row>
    <row r="8203" customFormat="false" ht="15" hidden="false" customHeight="false" outlineLevel="0" collapsed="false">
      <c r="A8203" s="6" t="s">
        <v>13427</v>
      </c>
      <c r="B8203" s="6" t="s">
        <v>366</v>
      </c>
      <c r="C8203" s="26" t="n">
        <v>46258</v>
      </c>
      <c r="D8203" s="6" t="s">
        <v>5482</v>
      </c>
      <c r="E8203" s="6" t="s">
        <v>23</v>
      </c>
      <c r="F8203" s="6" t="n">
        <v>3</v>
      </c>
      <c r="G8203" s="10" t="n">
        <v>269</v>
      </c>
      <c r="H8203" s="10" t="n">
        <f aca="false">F8203*G8203</f>
        <v>807</v>
      </c>
      <c r="I8203" s="6" t="s">
        <v>5133</v>
      </c>
    </row>
    <row r="8204" customFormat="false" ht="15" hidden="false" customHeight="false" outlineLevel="0" collapsed="false">
      <c r="A8204" s="6" t="s">
        <v>13428</v>
      </c>
      <c r="B8204" s="6" t="s">
        <v>3595</v>
      </c>
      <c r="C8204" s="26" t="n">
        <v>46258</v>
      </c>
      <c r="D8204" s="6" t="s">
        <v>5167</v>
      </c>
      <c r="E8204" s="6" t="s">
        <v>22</v>
      </c>
      <c r="F8204" s="6" t="n">
        <v>1</v>
      </c>
      <c r="G8204" s="10" t="n">
        <v>782</v>
      </c>
      <c r="H8204" s="10" t="n">
        <f aca="false">F8204*G8204</f>
        <v>782</v>
      </c>
      <c r="I8204" s="6" t="s">
        <v>5148</v>
      </c>
    </row>
    <row r="8205" customFormat="false" ht="15" hidden="false" customHeight="false" outlineLevel="0" collapsed="false">
      <c r="A8205" s="6" t="s">
        <v>13429</v>
      </c>
      <c r="B8205" s="6" t="s">
        <v>4537</v>
      </c>
      <c r="C8205" s="26" t="n">
        <v>46258</v>
      </c>
      <c r="D8205" s="6" t="s">
        <v>5171</v>
      </c>
      <c r="E8205" s="6" t="s">
        <v>23</v>
      </c>
      <c r="F8205" s="6" t="n">
        <v>4</v>
      </c>
      <c r="G8205" s="10" t="n">
        <v>734</v>
      </c>
      <c r="H8205" s="10" t="n">
        <f aca="false">F8205*G8205</f>
        <v>2936</v>
      </c>
      <c r="I8205" s="6" t="s">
        <v>5148</v>
      </c>
    </row>
    <row r="8206" customFormat="false" ht="15" hidden="false" customHeight="false" outlineLevel="0" collapsed="false">
      <c r="A8206" s="6" t="s">
        <v>13430</v>
      </c>
      <c r="B8206" s="6" t="s">
        <v>336</v>
      </c>
      <c r="C8206" s="26" t="n">
        <v>46258</v>
      </c>
      <c r="D8206" s="6" t="s">
        <v>5127</v>
      </c>
      <c r="E8206" s="6" t="s">
        <v>21</v>
      </c>
      <c r="F8206" s="6" t="n">
        <v>1</v>
      </c>
      <c r="G8206" s="10" t="n">
        <v>884</v>
      </c>
      <c r="H8206" s="10" t="n">
        <f aca="false">F8206*G8206</f>
        <v>884</v>
      </c>
      <c r="I8206" s="6" t="s">
        <v>5122</v>
      </c>
    </row>
    <row r="8207" customFormat="false" ht="15" hidden="false" customHeight="false" outlineLevel="0" collapsed="false">
      <c r="A8207" s="6" t="s">
        <v>13431</v>
      </c>
      <c r="B8207" s="6" t="s">
        <v>1351</v>
      </c>
      <c r="C8207" s="26" t="n">
        <v>46258</v>
      </c>
      <c r="D8207" s="6" t="s">
        <v>5121</v>
      </c>
      <c r="E8207" s="6" t="s">
        <v>22</v>
      </c>
      <c r="F8207" s="6" t="n">
        <v>3</v>
      </c>
      <c r="G8207" s="10" t="n">
        <v>880</v>
      </c>
      <c r="H8207" s="10" t="n">
        <f aca="false">F8207*G8207</f>
        <v>2640</v>
      </c>
      <c r="I8207" s="6" t="s">
        <v>5130</v>
      </c>
    </row>
    <row r="8208" customFormat="false" ht="15" hidden="false" customHeight="false" outlineLevel="0" collapsed="false">
      <c r="A8208" s="6" t="s">
        <v>13432</v>
      </c>
      <c r="B8208" s="6" t="s">
        <v>2093</v>
      </c>
      <c r="C8208" s="26" t="n">
        <v>46258</v>
      </c>
      <c r="D8208" s="6" t="s">
        <v>5141</v>
      </c>
      <c r="E8208" s="6" t="s">
        <v>20</v>
      </c>
      <c r="F8208" s="6" t="n">
        <v>1</v>
      </c>
      <c r="G8208" s="10" t="n">
        <v>1835</v>
      </c>
      <c r="H8208" s="10" t="n">
        <f aca="false">F8208*G8208</f>
        <v>1835</v>
      </c>
      <c r="I8208" s="6" t="s">
        <v>5125</v>
      </c>
    </row>
    <row r="8209" customFormat="false" ht="15" hidden="false" customHeight="false" outlineLevel="0" collapsed="false">
      <c r="A8209" s="6" t="s">
        <v>13433</v>
      </c>
      <c r="B8209" s="6" t="s">
        <v>3711</v>
      </c>
      <c r="C8209" s="26" t="n">
        <v>46258</v>
      </c>
      <c r="D8209" s="6" t="s">
        <v>5220</v>
      </c>
      <c r="E8209" s="6" t="s">
        <v>24</v>
      </c>
      <c r="F8209" s="6" t="n">
        <v>1</v>
      </c>
      <c r="G8209" s="10" t="n">
        <v>1120</v>
      </c>
      <c r="H8209" s="10" t="n">
        <f aca="false">F8209*G8209</f>
        <v>1120</v>
      </c>
      <c r="I8209" s="6" t="s">
        <v>5122</v>
      </c>
    </row>
    <row r="8210" customFormat="false" ht="15" hidden="false" customHeight="false" outlineLevel="0" collapsed="false">
      <c r="A8210" s="6" t="s">
        <v>13434</v>
      </c>
      <c r="B8210" s="6" t="s">
        <v>3221</v>
      </c>
      <c r="C8210" s="26" t="n">
        <v>46258</v>
      </c>
      <c r="D8210" s="6" t="s">
        <v>5167</v>
      </c>
      <c r="E8210" s="6" t="s">
        <v>22</v>
      </c>
      <c r="F8210" s="6" t="n">
        <v>1</v>
      </c>
      <c r="G8210" s="10" t="n">
        <v>782</v>
      </c>
      <c r="H8210" s="10" t="n">
        <f aca="false">F8210*G8210</f>
        <v>782</v>
      </c>
      <c r="I8210" s="6" t="s">
        <v>5148</v>
      </c>
    </row>
    <row r="8211" customFormat="false" ht="15" hidden="false" customHeight="false" outlineLevel="0" collapsed="false">
      <c r="A8211" s="6" t="s">
        <v>13435</v>
      </c>
      <c r="B8211" s="6" t="s">
        <v>1993</v>
      </c>
      <c r="C8211" s="26" t="n">
        <v>46258</v>
      </c>
      <c r="D8211" s="6" t="s">
        <v>5143</v>
      </c>
      <c r="E8211" s="6" t="s">
        <v>21</v>
      </c>
      <c r="F8211" s="6" t="n">
        <v>1</v>
      </c>
      <c r="G8211" s="10" t="n">
        <v>1179</v>
      </c>
      <c r="H8211" s="10" t="n">
        <f aca="false">F8211*G8211</f>
        <v>1179</v>
      </c>
      <c r="I8211" s="6" t="s">
        <v>5122</v>
      </c>
    </row>
    <row r="8212" customFormat="false" ht="15" hidden="false" customHeight="false" outlineLevel="0" collapsed="false">
      <c r="A8212" s="6" t="s">
        <v>13436</v>
      </c>
      <c r="B8212" s="6" t="s">
        <v>1505</v>
      </c>
      <c r="C8212" s="26" t="n">
        <v>46258</v>
      </c>
      <c r="D8212" s="6" t="s">
        <v>5807</v>
      </c>
      <c r="E8212" s="6" t="s">
        <v>20</v>
      </c>
      <c r="F8212" s="6" t="n">
        <v>1</v>
      </c>
      <c r="G8212" s="10" t="n">
        <v>15296</v>
      </c>
      <c r="H8212" s="10" t="n">
        <f aca="false">F8212*G8212</f>
        <v>15296</v>
      </c>
      <c r="I8212" s="6" t="s">
        <v>5122</v>
      </c>
    </row>
    <row r="8213" customFormat="false" ht="15" hidden="false" customHeight="false" outlineLevel="0" collapsed="false">
      <c r="A8213" s="6" t="s">
        <v>13437</v>
      </c>
      <c r="B8213" s="6" t="s">
        <v>3311</v>
      </c>
      <c r="C8213" s="26" t="n">
        <v>46259</v>
      </c>
      <c r="D8213" s="6" t="s">
        <v>5180</v>
      </c>
      <c r="E8213" s="6" t="s">
        <v>24</v>
      </c>
      <c r="F8213" s="6" t="n">
        <v>1</v>
      </c>
      <c r="G8213" s="10" t="n">
        <v>1987</v>
      </c>
      <c r="H8213" s="10" t="n">
        <f aca="false">F8213*G8213</f>
        <v>1987</v>
      </c>
      <c r="I8213" s="6" t="s">
        <v>5122</v>
      </c>
    </row>
    <row r="8214" customFormat="false" ht="15" hidden="false" customHeight="false" outlineLevel="0" collapsed="false">
      <c r="A8214" s="6" t="s">
        <v>13438</v>
      </c>
      <c r="B8214" s="6" t="s">
        <v>891</v>
      </c>
      <c r="C8214" s="26" t="n">
        <v>46259</v>
      </c>
      <c r="D8214" s="6" t="s">
        <v>5423</v>
      </c>
      <c r="E8214" s="6" t="s">
        <v>21</v>
      </c>
      <c r="F8214" s="6" t="n">
        <v>1</v>
      </c>
      <c r="G8214" s="10" t="n">
        <v>2918</v>
      </c>
      <c r="H8214" s="10" t="n">
        <f aca="false">F8214*G8214</f>
        <v>2918</v>
      </c>
      <c r="I8214" s="6" t="s">
        <v>5122</v>
      </c>
    </row>
    <row r="8215" customFormat="false" ht="15" hidden="false" customHeight="false" outlineLevel="0" collapsed="false">
      <c r="A8215" s="6" t="s">
        <v>13439</v>
      </c>
      <c r="B8215" s="6" t="s">
        <v>4779</v>
      </c>
      <c r="C8215" s="26" t="n">
        <v>46259</v>
      </c>
      <c r="D8215" s="6" t="s">
        <v>7185</v>
      </c>
      <c r="E8215" s="6" t="s">
        <v>22</v>
      </c>
      <c r="F8215" s="6" t="n">
        <v>2</v>
      </c>
      <c r="G8215" s="10" t="n">
        <v>2734</v>
      </c>
      <c r="H8215" s="10" t="n">
        <f aca="false">F8215*G8215</f>
        <v>5468</v>
      </c>
      <c r="I8215" s="6" t="s">
        <v>5125</v>
      </c>
    </row>
    <row r="8216" customFormat="false" ht="15" hidden="false" customHeight="false" outlineLevel="0" collapsed="false">
      <c r="A8216" s="6" t="s">
        <v>13440</v>
      </c>
      <c r="B8216" s="6" t="s">
        <v>260</v>
      </c>
      <c r="C8216" s="26" t="n">
        <v>46259</v>
      </c>
      <c r="D8216" s="6" t="s">
        <v>5466</v>
      </c>
      <c r="E8216" s="6" t="s">
        <v>21</v>
      </c>
      <c r="F8216" s="6" t="n">
        <v>1</v>
      </c>
      <c r="G8216" s="10" t="n">
        <v>1965</v>
      </c>
      <c r="H8216" s="10" t="n">
        <f aca="false">F8216*G8216</f>
        <v>1965</v>
      </c>
      <c r="I8216" s="6" t="s">
        <v>5133</v>
      </c>
    </row>
    <row r="8217" customFormat="false" ht="15" hidden="false" customHeight="false" outlineLevel="0" collapsed="false">
      <c r="A8217" s="6" t="s">
        <v>13441</v>
      </c>
      <c r="B8217" s="6" t="s">
        <v>3143</v>
      </c>
      <c r="C8217" s="26" t="n">
        <v>46259</v>
      </c>
      <c r="D8217" s="6" t="s">
        <v>5214</v>
      </c>
      <c r="E8217" s="6" t="s">
        <v>20</v>
      </c>
      <c r="F8217" s="6" t="n">
        <v>1</v>
      </c>
      <c r="G8217" s="10" t="n">
        <v>2039</v>
      </c>
      <c r="H8217" s="10" t="n">
        <f aca="false">F8217*G8217</f>
        <v>2039</v>
      </c>
      <c r="I8217" s="6" t="s">
        <v>5122</v>
      </c>
    </row>
    <row r="8218" customFormat="false" ht="15" hidden="false" customHeight="false" outlineLevel="0" collapsed="false">
      <c r="A8218" s="6" t="s">
        <v>13442</v>
      </c>
      <c r="B8218" s="6" t="s">
        <v>1089</v>
      </c>
      <c r="C8218" s="26" t="n">
        <v>46259</v>
      </c>
      <c r="D8218" s="6" t="s">
        <v>5167</v>
      </c>
      <c r="E8218" s="6" t="s">
        <v>22</v>
      </c>
      <c r="F8218" s="6" t="n">
        <v>1</v>
      </c>
      <c r="G8218" s="10" t="n">
        <v>743</v>
      </c>
      <c r="H8218" s="10" t="n">
        <f aca="false">F8218*G8218</f>
        <v>743</v>
      </c>
      <c r="I8218" s="6" t="s">
        <v>5125</v>
      </c>
    </row>
    <row r="8219" customFormat="false" ht="15" hidden="false" customHeight="false" outlineLevel="0" collapsed="false">
      <c r="A8219" s="6" t="s">
        <v>13443</v>
      </c>
      <c r="B8219" s="6" t="s">
        <v>2005</v>
      </c>
      <c r="C8219" s="26" t="n">
        <v>46259</v>
      </c>
      <c r="D8219" s="6" t="s">
        <v>5127</v>
      </c>
      <c r="E8219" s="6" t="s">
        <v>21</v>
      </c>
      <c r="F8219" s="6" t="n">
        <v>2</v>
      </c>
      <c r="G8219" s="10" t="n">
        <v>884</v>
      </c>
      <c r="H8219" s="10" t="n">
        <f aca="false">F8219*G8219</f>
        <v>1768</v>
      </c>
      <c r="I8219" s="6" t="s">
        <v>5148</v>
      </c>
    </row>
    <row r="8220" customFormat="false" ht="15" hidden="false" customHeight="false" outlineLevel="0" collapsed="false">
      <c r="A8220" s="6" t="s">
        <v>13444</v>
      </c>
      <c r="B8220" s="6" t="s">
        <v>130</v>
      </c>
      <c r="C8220" s="26" t="n">
        <v>46259</v>
      </c>
      <c r="D8220" s="6" t="s">
        <v>5197</v>
      </c>
      <c r="E8220" s="6" t="s">
        <v>21</v>
      </c>
      <c r="F8220" s="6" t="n">
        <v>2</v>
      </c>
      <c r="G8220" s="10" t="n">
        <v>972</v>
      </c>
      <c r="H8220" s="10" t="n">
        <f aca="false">F8220*G8220</f>
        <v>1944</v>
      </c>
      <c r="I8220" s="6" t="s">
        <v>5122</v>
      </c>
    </row>
    <row r="8221" customFormat="false" ht="15" hidden="false" customHeight="false" outlineLevel="0" collapsed="false">
      <c r="A8221" s="6" t="s">
        <v>13445</v>
      </c>
      <c r="B8221" s="6" t="s">
        <v>4011</v>
      </c>
      <c r="C8221" s="26" t="n">
        <v>46259</v>
      </c>
      <c r="D8221" s="6" t="s">
        <v>5357</v>
      </c>
      <c r="E8221" s="6" t="s">
        <v>23</v>
      </c>
      <c r="F8221" s="6" t="n">
        <v>4</v>
      </c>
      <c r="G8221" s="10" t="n">
        <v>534</v>
      </c>
      <c r="H8221" s="10" t="n">
        <f aca="false">F8221*G8221</f>
        <v>2136</v>
      </c>
      <c r="I8221" s="6" t="s">
        <v>5125</v>
      </c>
    </row>
    <row r="8222" customFormat="false" ht="15" hidden="false" customHeight="false" outlineLevel="0" collapsed="false">
      <c r="A8222" s="6" t="s">
        <v>13446</v>
      </c>
      <c r="B8222" s="6" t="s">
        <v>723</v>
      </c>
      <c r="C8222" s="26" t="n">
        <v>46259</v>
      </c>
      <c r="D8222" s="6" t="s">
        <v>5423</v>
      </c>
      <c r="E8222" s="6" t="s">
        <v>21</v>
      </c>
      <c r="F8222" s="6" t="n">
        <v>2</v>
      </c>
      <c r="G8222" s="10" t="n">
        <v>3243</v>
      </c>
      <c r="H8222" s="10" t="n">
        <f aca="false">F8222*G8222</f>
        <v>6486</v>
      </c>
      <c r="I8222" s="6" t="s">
        <v>5122</v>
      </c>
    </row>
    <row r="8223" customFormat="false" ht="15" hidden="false" customHeight="false" outlineLevel="0" collapsed="false">
      <c r="A8223" s="6" t="s">
        <v>13447</v>
      </c>
      <c r="B8223" s="6" t="s">
        <v>1441</v>
      </c>
      <c r="C8223" s="26" t="n">
        <v>46259</v>
      </c>
      <c r="D8223" s="6" t="s">
        <v>5171</v>
      </c>
      <c r="E8223" s="6" t="s">
        <v>23</v>
      </c>
      <c r="F8223" s="6" t="n">
        <v>3</v>
      </c>
      <c r="G8223" s="10" t="n">
        <v>734</v>
      </c>
      <c r="H8223" s="10" t="n">
        <f aca="false">F8223*G8223</f>
        <v>2202</v>
      </c>
      <c r="I8223" s="6" t="s">
        <v>5122</v>
      </c>
    </row>
    <row r="8224" customFormat="false" ht="15" hidden="false" customHeight="false" outlineLevel="0" collapsed="false">
      <c r="A8224" s="6" t="s">
        <v>13448</v>
      </c>
      <c r="B8224" s="6" t="s">
        <v>673</v>
      </c>
      <c r="C8224" s="26" t="n">
        <v>46259</v>
      </c>
      <c r="D8224" s="6" t="s">
        <v>5326</v>
      </c>
      <c r="E8224" s="6" t="s">
        <v>22</v>
      </c>
      <c r="F8224" s="6" t="n">
        <v>2</v>
      </c>
      <c r="G8224" s="10" t="n">
        <v>1466</v>
      </c>
      <c r="H8224" s="10" t="n">
        <f aca="false">F8224*G8224</f>
        <v>2932</v>
      </c>
      <c r="I8224" s="6" t="s">
        <v>5130</v>
      </c>
    </row>
    <row r="8225" customFormat="false" ht="15" hidden="false" customHeight="false" outlineLevel="0" collapsed="false">
      <c r="A8225" s="6" t="s">
        <v>13449</v>
      </c>
      <c r="B8225" s="6" t="s">
        <v>3571</v>
      </c>
      <c r="C8225" s="26" t="n">
        <v>46259</v>
      </c>
      <c r="D8225" s="6" t="s">
        <v>5167</v>
      </c>
      <c r="E8225" s="6" t="s">
        <v>22</v>
      </c>
      <c r="F8225" s="6" t="n">
        <v>1</v>
      </c>
      <c r="G8225" s="10" t="n">
        <v>703</v>
      </c>
      <c r="H8225" s="10" t="n">
        <f aca="false">F8225*G8225</f>
        <v>703</v>
      </c>
      <c r="I8225" s="6" t="s">
        <v>5148</v>
      </c>
    </row>
    <row r="8226" customFormat="false" ht="15" hidden="false" customHeight="false" outlineLevel="0" collapsed="false">
      <c r="A8226" s="6" t="s">
        <v>13450</v>
      </c>
      <c r="B8226" s="6" t="s">
        <v>1695</v>
      </c>
      <c r="C8226" s="26" t="n">
        <v>46259</v>
      </c>
      <c r="D8226" s="6" t="s">
        <v>5316</v>
      </c>
      <c r="E8226" s="6" t="s">
        <v>23</v>
      </c>
      <c r="F8226" s="6" t="n">
        <v>2</v>
      </c>
      <c r="G8226" s="10" t="n">
        <v>260</v>
      </c>
      <c r="H8226" s="10" t="n">
        <f aca="false">F8226*G8226</f>
        <v>520</v>
      </c>
      <c r="I8226" s="6" t="s">
        <v>5122</v>
      </c>
    </row>
    <row r="8227" customFormat="false" ht="15" hidden="false" customHeight="false" outlineLevel="0" collapsed="false">
      <c r="A8227" s="6" t="s">
        <v>13451</v>
      </c>
      <c r="B8227" s="6" t="s">
        <v>1071</v>
      </c>
      <c r="C8227" s="26" t="n">
        <v>46259</v>
      </c>
      <c r="D8227" s="6" t="s">
        <v>5145</v>
      </c>
      <c r="E8227" s="6" t="s">
        <v>21</v>
      </c>
      <c r="F8227" s="6" t="n">
        <v>1</v>
      </c>
      <c r="G8227" s="10" t="n">
        <v>1277</v>
      </c>
      <c r="H8227" s="10" t="n">
        <f aca="false">F8227*G8227</f>
        <v>1277</v>
      </c>
      <c r="I8227" s="6" t="s">
        <v>5122</v>
      </c>
    </row>
    <row r="8228" customFormat="false" ht="15" hidden="false" customHeight="false" outlineLevel="0" collapsed="false">
      <c r="A8228" s="6" t="s">
        <v>13452</v>
      </c>
      <c r="B8228" s="6" t="s">
        <v>2323</v>
      </c>
      <c r="C8228" s="26" t="n">
        <v>46259</v>
      </c>
      <c r="D8228" s="6" t="s">
        <v>5398</v>
      </c>
      <c r="E8228" s="6" t="s">
        <v>24</v>
      </c>
      <c r="F8228" s="6" t="n">
        <v>1</v>
      </c>
      <c r="G8228" s="10" t="n">
        <v>611</v>
      </c>
      <c r="H8228" s="10" t="n">
        <f aca="false">F8228*G8228</f>
        <v>611</v>
      </c>
      <c r="I8228" s="6" t="s">
        <v>5122</v>
      </c>
    </row>
    <row r="8229" customFormat="false" ht="15" hidden="false" customHeight="false" outlineLevel="0" collapsed="false">
      <c r="A8229" s="6" t="s">
        <v>13453</v>
      </c>
      <c r="B8229" s="6" t="s">
        <v>3315</v>
      </c>
      <c r="C8229" s="26" t="n">
        <v>46259</v>
      </c>
      <c r="D8229" s="6" t="s">
        <v>5154</v>
      </c>
      <c r="E8229" s="6" t="s">
        <v>21</v>
      </c>
      <c r="F8229" s="6" t="n">
        <v>1</v>
      </c>
      <c r="G8229" s="10" t="n">
        <v>746</v>
      </c>
      <c r="H8229" s="10" t="n">
        <f aca="false">F8229*G8229</f>
        <v>746</v>
      </c>
      <c r="I8229" s="6" t="s">
        <v>5122</v>
      </c>
    </row>
    <row r="8230" customFormat="false" ht="15" hidden="false" customHeight="false" outlineLevel="0" collapsed="false">
      <c r="A8230" s="6" t="s">
        <v>13454</v>
      </c>
      <c r="B8230" s="6" t="s">
        <v>4113</v>
      </c>
      <c r="C8230" s="26" t="n">
        <v>46259</v>
      </c>
      <c r="D8230" s="6" t="s">
        <v>5163</v>
      </c>
      <c r="E8230" s="6" t="s">
        <v>23</v>
      </c>
      <c r="F8230" s="6" t="n">
        <v>2</v>
      </c>
      <c r="G8230" s="10" t="n">
        <v>783</v>
      </c>
      <c r="H8230" s="10" t="n">
        <f aca="false">F8230*G8230</f>
        <v>1566</v>
      </c>
      <c r="I8230" s="6" t="s">
        <v>5122</v>
      </c>
    </row>
    <row r="8231" customFormat="false" ht="15" hidden="false" customHeight="false" outlineLevel="0" collapsed="false">
      <c r="A8231" s="6" t="s">
        <v>13455</v>
      </c>
      <c r="B8231" s="6" t="s">
        <v>2981</v>
      </c>
      <c r="C8231" s="26" t="n">
        <v>46259</v>
      </c>
      <c r="D8231" s="6" t="s">
        <v>5235</v>
      </c>
      <c r="E8231" s="6" t="s">
        <v>21</v>
      </c>
      <c r="F8231" s="6" t="n">
        <v>1</v>
      </c>
      <c r="G8231" s="10" t="n">
        <v>1670</v>
      </c>
      <c r="H8231" s="10" t="n">
        <f aca="false">F8231*G8231</f>
        <v>1670</v>
      </c>
      <c r="I8231" s="6" t="s">
        <v>5122</v>
      </c>
    </row>
    <row r="8232" customFormat="false" ht="15" hidden="false" customHeight="false" outlineLevel="0" collapsed="false">
      <c r="A8232" s="6" t="s">
        <v>13456</v>
      </c>
      <c r="B8232" s="6" t="s">
        <v>521</v>
      </c>
      <c r="C8232" s="26" t="n">
        <v>46259</v>
      </c>
      <c r="D8232" s="6" t="s">
        <v>5242</v>
      </c>
      <c r="E8232" s="6" t="s">
        <v>23</v>
      </c>
      <c r="F8232" s="6" t="n">
        <v>3</v>
      </c>
      <c r="G8232" s="10" t="n">
        <v>354</v>
      </c>
      <c r="H8232" s="10" t="n">
        <f aca="false">F8232*G8232</f>
        <v>1062</v>
      </c>
      <c r="I8232" s="6" t="s">
        <v>5122</v>
      </c>
    </row>
    <row r="8233" customFormat="false" ht="15" hidden="false" customHeight="false" outlineLevel="0" collapsed="false">
      <c r="A8233" s="6" t="s">
        <v>13457</v>
      </c>
      <c r="B8233" s="6" t="s">
        <v>170</v>
      </c>
      <c r="C8233" s="26" t="n">
        <v>46259</v>
      </c>
      <c r="D8233" s="6" t="s">
        <v>5807</v>
      </c>
      <c r="E8233" s="6" t="s">
        <v>20</v>
      </c>
      <c r="F8233" s="6" t="n">
        <v>1</v>
      </c>
      <c r="G8233" s="10" t="n">
        <v>15296</v>
      </c>
      <c r="H8233" s="10" t="n">
        <f aca="false">F8233*G8233</f>
        <v>15296</v>
      </c>
      <c r="I8233" s="6" t="s">
        <v>5122</v>
      </c>
    </row>
    <row r="8234" customFormat="false" ht="15" hidden="false" customHeight="false" outlineLevel="0" collapsed="false">
      <c r="A8234" s="6" t="s">
        <v>13458</v>
      </c>
      <c r="B8234" s="6" t="s">
        <v>2027</v>
      </c>
      <c r="C8234" s="26" t="n">
        <v>46259</v>
      </c>
      <c r="D8234" s="6" t="s">
        <v>6114</v>
      </c>
      <c r="E8234" s="6" t="s">
        <v>20</v>
      </c>
      <c r="F8234" s="6" t="n">
        <v>1</v>
      </c>
      <c r="G8234" s="10" t="n">
        <v>13256</v>
      </c>
      <c r="H8234" s="10" t="n">
        <f aca="false">F8234*G8234</f>
        <v>13256</v>
      </c>
      <c r="I8234" s="6" t="s">
        <v>5122</v>
      </c>
    </row>
    <row r="8235" customFormat="false" ht="15" hidden="false" customHeight="false" outlineLevel="0" collapsed="false">
      <c r="A8235" s="6" t="s">
        <v>13459</v>
      </c>
      <c r="B8235" s="6" t="s">
        <v>1527</v>
      </c>
      <c r="C8235" s="26" t="n">
        <v>46259</v>
      </c>
      <c r="D8235" s="6" t="s">
        <v>5167</v>
      </c>
      <c r="E8235" s="6" t="s">
        <v>22</v>
      </c>
      <c r="F8235" s="6" t="n">
        <v>1</v>
      </c>
      <c r="G8235" s="10" t="n">
        <v>742</v>
      </c>
      <c r="H8235" s="10" t="n">
        <f aca="false">F8235*G8235</f>
        <v>742</v>
      </c>
      <c r="I8235" s="6" t="s">
        <v>5148</v>
      </c>
    </row>
    <row r="8236" customFormat="false" ht="15" hidden="false" customHeight="false" outlineLevel="0" collapsed="false">
      <c r="A8236" s="6" t="s">
        <v>13460</v>
      </c>
      <c r="B8236" s="6" t="s">
        <v>947</v>
      </c>
      <c r="C8236" s="26" t="n">
        <v>46259</v>
      </c>
      <c r="D8236" s="6" t="s">
        <v>5242</v>
      </c>
      <c r="E8236" s="6" t="s">
        <v>23</v>
      </c>
      <c r="F8236" s="6" t="n">
        <v>2</v>
      </c>
      <c r="G8236" s="10" t="n">
        <v>372</v>
      </c>
      <c r="H8236" s="10" t="n">
        <f aca="false">F8236*G8236</f>
        <v>744</v>
      </c>
      <c r="I8236" s="6" t="s">
        <v>5122</v>
      </c>
    </row>
    <row r="8237" customFormat="false" ht="15" hidden="false" customHeight="false" outlineLevel="0" collapsed="false">
      <c r="A8237" s="6" t="s">
        <v>13461</v>
      </c>
      <c r="B8237" s="6" t="s">
        <v>2335</v>
      </c>
      <c r="C8237" s="26" t="n">
        <v>46259</v>
      </c>
      <c r="D8237" s="6" t="s">
        <v>5192</v>
      </c>
      <c r="E8237" s="6" t="s">
        <v>20</v>
      </c>
      <c r="F8237" s="6" t="n">
        <v>1</v>
      </c>
      <c r="G8237" s="10" t="n">
        <v>4077</v>
      </c>
      <c r="H8237" s="10" t="n">
        <f aca="false">F8237*G8237</f>
        <v>4077</v>
      </c>
      <c r="I8237" s="6" t="s">
        <v>5125</v>
      </c>
    </row>
    <row r="8238" customFormat="false" ht="15" hidden="false" customHeight="false" outlineLevel="0" collapsed="false">
      <c r="A8238" s="6" t="s">
        <v>13462</v>
      </c>
      <c r="B8238" s="6" t="s">
        <v>396</v>
      </c>
      <c r="C8238" s="26" t="n">
        <v>46259</v>
      </c>
      <c r="D8238" s="6" t="s">
        <v>5154</v>
      </c>
      <c r="E8238" s="6" t="s">
        <v>21</v>
      </c>
      <c r="F8238" s="6" t="n">
        <v>1</v>
      </c>
      <c r="G8238" s="10" t="n">
        <v>785</v>
      </c>
      <c r="H8238" s="10" t="n">
        <f aca="false">F8238*G8238</f>
        <v>785</v>
      </c>
      <c r="I8238" s="6" t="s">
        <v>5173</v>
      </c>
    </row>
    <row r="8239" customFormat="false" ht="15" hidden="false" customHeight="false" outlineLevel="0" collapsed="false">
      <c r="A8239" s="6" t="s">
        <v>13463</v>
      </c>
      <c r="B8239" s="6" t="s">
        <v>4783</v>
      </c>
      <c r="C8239" s="26" t="n">
        <v>46259</v>
      </c>
      <c r="D8239" s="6" t="s">
        <v>5460</v>
      </c>
      <c r="E8239" s="6" t="s">
        <v>24</v>
      </c>
      <c r="F8239" s="6" t="n">
        <v>1</v>
      </c>
      <c r="G8239" s="10" t="n">
        <v>500</v>
      </c>
      <c r="H8239" s="10" t="n">
        <f aca="false">F8239*G8239</f>
        <v>500</v>
      </c>
      <c r="I8239" s="6" t="s">
        <v>5122</v>
      </c>
    </row>
    <row r="8240" customFormat="false" ht="15" hidden="false" customHeight="false" outlineLevel="0" collapsed="false">
      <c r="A8240" s="6" t="s">
        <v>13464</v>
      </c>
      <c r="B8240" s="6" t="s">
        <v>4593</v>
      </c>
      <c r="C8240" s="26" t="n">
        <v>46259</v>
      </c>
      <c r="D8240" s="6" t="s">
        <v>5152</v>
      </c>
      <c r="E8240" s="6" t="s">
        <v>22</v>
      </c>
      <c r="F8240" s="6" t="n">
        <v>3</v>
      </c>
      <c r="G8240" s="10" t="n">
        <v>1760</v>
      </c>
      <c r="H8240" s="10" t="n">
        <f aca="false">F8240*G8240</f>
        <v>5280</v>
      </c>
      <c r="I8240" s="6" t="s">
        <v>5122</v>
      </c>
    </row>
    <row r="8241" customFormat="false" ht="15" hidden="false" customHeight="false" outlineLevel="0" collapsed="false">
      <c r="A8241" s="6" t="s">
        <v>13465</v>
      </c>
      <c r="B8241" s="6" t="s">
        <v>3301</v>
      </c>
      <c r="C8241" s="26" t="n">
        <v>46259</v>
      </c>
      <c r="D8241" s="6" t="s">
        <v>5456</v>
      </c>
      <c r="E8241" s="6" t="s">
        <v>24</v>
      </c>
      <c r="F8241" s="6" t="n">
        <v>2</v>
      </c>
      <c r="G8241" s="10" t="n">
        <v>912</v>
      </c>
      <c r="H8241" s="10" t="n">
        <f aca="false">F8241*G8241</f>
        <v>1824</v>
      </c>
      <c r="I8241" s="6" t="s">
        <v>5122</v>
      </c>
    </row>
    <row r="8242" customFormat="false" ht="15" hidden="false" customHeight="false" outlineLevel="0" collapsed="false">
      <c r="A8242" s="6" t="s">
        <v>13466</v>
      </c>
      <c r="B8242" s="6" t="s">
        <v>3081</v>
      </c>
      <c r="C8242" s="26" t="n">
        <v>46259</v>
      </c>
      <c r="D8242" s="6" t="s">
        <v>5220</v>
      </c>
      <c r="E8242" s="6" t="s">
        <v>24</v>
      </c>
      <c r="F8242" s="6" t="n">
        <v>4</v>
      </c>
      <c r="G8242" s="10" t="n">
        <v>1008</v>
      </c>
      <c r="H8242" s="10" t="n">
        <f aca="false">F8242*G8242</f>
        <v>4032</v>
      </c>
      <c r="I8242" s="6" t="s">
        <v>5122</v>
      </c>
    </row>
    <row r="8243" customFormat="false" ht="15" hidden="false" customHeight="false" outlineLevel="0" collapsed="false">
      <c r="A8243" s="6" t="s">
        <v>13467</v>
      </c>
      <c r="B8243" s="6" t="s">
        <v>2627</v>
      </c>
      <c r="C8243" s="26" t="n">
        <v>46259</v>
      </c>
      <c r="D8243" s="6" t="s">
        <v>5482</v>
      </c>
      <c r="E8243" s="6" t="s">
        <v>23</v>
      </c>
      <c r="F8243" s="6" t="n">
        <v>3</v>
      </c>
      <c r="G8243" s="10" t="n">
        <v>243</v>
      </c>
      <c r="H8243" s="10" t="n">
        <f aca="false">F8243*G8243</f>
        <v>729</v>
      </c>
      <c r="I8243" s="6" t="s">
        <v>5148</v>
      </c>
    </row>
    <row r="8244" customFormat="false" ht="15" hidden="false" customHeight="false" outlineLevel="0" collapsed="false">
      <c r="A8244" s="6" t="s">
        <v>13468</v>
      </c>
      <c r="B8244" s="6" t="s">
        <v>4695</v>
      </c>
      <c r="C8244" s="26" t="n">
        <v>46259</v>
      </c>
      <c r="D8244" s="6" t="s">
        <v>5259</v>
      </c>
      <c r="E8244" s="6" t="s">
        <v>22</v>
      </c>
      <c r="F8244" s="6" t="n">
        <v>2</v>
      </c>
      <c r="G8244" s="10" t="n">
        <v>1564</v>
      </c>
      <c r="H8244" s="10" t="n">
        <f aca="false">F8244*G8244</f>
        <v>3128</v>
      </c>
      <c r="I8244" s="6" t="s">
        <v>5148</v>
      </c>
    </row>
    <row r="8245" customFormat="false" ht="15" hidden="false" customHeight="false" outlineLevel="0" collapsed="false">
      <c r="A8245" s="6" t="s">
        <v>13469</v>
      </c>
      <c r="B8245" s="6" t="s">
        <v>1325</v>
      </c>
      <c r="C8245" s="26" t="n">
        <v>46259</v>
      </c>
      <c r="D8245" s="6" t="s">
        <v>5410</v>
      </c>
      <c r="E8245" s="6" t="s">
        <v>20</v>
      </c>
      <c r="F8245" s="6" t="n">
        <v>1</v>
      </c>
      <c r="G8245" s="10" t="n">
        <v>2548</v>
      </c>
      <c r="H8245" s="10" t="n">
        <f aca="false">F8245*G8245</f>
        <v>2548</v>
      </c>
      <c r="I8245" s="6" t="s">
        <v>5125</v>
      </c>
    </row>
    <row r="8246" customFormat="false" ht="15" hidden="false" customHeight="false" outlineLevel="0" collapsed="false">
      <c r="A8246" s="6" t="s">
        <v>13470</v>
      </c>
      <c r="B8246" s="6" t="s">
        <v>1839</v>
      </c>
      <c r="C8246" s="26" t="n">
        <v>46259</v>
      </c>
      <c r="D8246" s="6" t="s">
        <v>5281</v>
      </c>
      <c r="E8246" s="6" t="s">
        <v>24</v>
      </c>
      <c r="F8246" s="6" t="n">
        <v>1</v>
      </c>
      <c r="G8246" s="10" t="n">
        <v>814</v>
      </c>
      <c r="H8246" s="10" t="n">
        <f aca="false">F8246*G8246</f>
        <v>814</v>
      </c>
      <c r="I8246" s="6" t="s">
        <v>5148</v>
      </c>
    </row>
    <row r="8247" customFormat="false" ht="15" hidden="false" customHeight="false" outlineLevel="0" collapsed="false">
      <c r="A8247" s="6" t="s">
        <v>13471</v>
      </c>
      <c r="B8247" s="6" t="s">
        <v>3765</v>
      </c>
      <c r="C8247" s="26" t="n">
        <v>46259</v>
      </c>
      <c r="D8247" s="6" t="s">
        <v>5171</v>
      </c>
      <c r="E8247" s="6" t="s">
        <v>23</v>
      </c>
      <c r="F8247" s="6" t="n">
        <v>2</v>
      </c>
      <c r="G8247" s="10" t="n">
        <v>734</v>
      </c>
      <c r="H8247" s="10" t="n">
        <f aca="false">F8247*G8247</f>
        <v>1468</v>
      </c>
      <c r="I8247" s="6" t="s">
        <v>5173</v>
      </c>
    </row>
    <row r="8248" customFormat="false" ht="15" hidden="false" customHeight="false" outlineLevel="0" collapsed="false">
      <c r="A8248" s="6" t="s">
        <v>13472</v>
      </c>
      <c r="B8248" s="6" t="s">
        <v>3459</v>
      </c>
      <c r="C8248" s="26" t="n">
        <v>46259</v>
      </c>
      <c r="D8248" s="6" t="s">
        <v>5242</v>
      </c>
      <c r="E8248" s="6" t="s">
        <v>23</v>
      </c>
      <c r="F8248" s="6" t="n">
        <v>4</v>
      </c>
      <c r="G8248" s="10" t="n">
        <v>372</v>
      </c>
      <c r="H8248" s="10" t="n">
        <f aca="false">F8248*G8248</f>
        <v>1488</v>
      </c>
      <c r="I8248" s="6" t="s">
        <v>5148</v>
      </c>
    </row>
    <row r="8249" customFormat="false" ht="15" hidden="false" customHeight="false" outlineLevel="0" collapsed="false">
      <c r="A8249" s="6" t="s">
        <v>13473</v>
      </c>
      <c r="B8249" s="6" t="s">
        <v>5099</v>
      </c>
      <c r="C8249" s="26" t="n">
        <v>46259</v>
      </c>
      <c r="D8249" s="6" t="s">
        <v>5150</v>
      </c>
      <c r="E8249" s="6" t="s">
        <v>24</v>
      </c>
      <c r="F8249" s="6" t="n">
        <v>3</v>
      </c>
      <c r="G8249" s="10" t="n">
        <v>483</v>
      </c>
      <c r="H8249" s="10" t="n">
        <f aca="false">F8249*G8249</f>
        <v>1449</v>
      </c>
      <c r="I8249" s="6" t="s">
        <v>5122</v>
      </c>
    </row>
    <row r="8250" customFormat="false" ht="15" hidden="false" customHeight="false" outlineLevel="0" collapsed="false">
      <c r="A8250" s="6" t="s">
        <v>13474</v>
      </c>
      <c r="B8250" s="6" t="s">
        <v>989</v>
      </c>
      <c r="C8250" s="26" t="n">
        <v>46259</v>
      </c>
      <c r="D8250" s="6" t="s">
        <v>5167</v>
      </c>
      <c r="E8250" s="6" t="s">
        <v>22</v>
      </c>
      <c r="F8250" s="6" t="n">
        <v>1</v>
      </c>
      <c r="G8250" s="10" t="n">
        <v>742</v>
      </c>
      <c r="H8250" s="10" t="n">
        <f aca="false">F8250*G8250</f>
        <v>742</v>
      </c>
      <c r="I8250" s="6" t="s">
        <v>5122</v>
      </c>
    </row>
    <row r="8251" customFormat="false" ht="15" hidden="false" customHeight="false" outlineLevel="0" collapsed="false">
      <c r="A8251" s="6" t="s">
        <v>13475</v>
      </c>
      <c r="B8251" s="6" t="s">
        <v>3799</v>
      </c>
      <c r="C8251" s="26" t="n">
        <v>46259</v>
      </c>
      <c r="D8251" s="6" t="s">
        <v>5190</v>
      </c>
      <c r="E8251" s="6" t="s">
        <v>24</v>
      </c>
      <c r="F8251" s="6" t="n">
        <v>1</v>
      </c>
      <c r="G8251" s="10" t="n">
        <v>580</v>
      </c>
      <c r="H8251" s="10" t="n">
        <f aca="false">F8251*G8251</f>
        <v>580</v>
      </c>
      <c r="I8251" s="6" t="s">
        <v>5122</v>
      </c>
    </row>
    <row r="8252" customFormat="false" ht="15" hidden="false" customHeight="false" outlineLevel="0" collapsed="false">
      <c r="A8252" s="6" t="s">
        <v>13476</v>
      </c>
      <c r="B8252" s="6" t="s">
        <v>4183</v>
      </c>
      <c r="C8252" s="26" t="n">
        <v>46260</v>
      </c>
      <c r="D8252" s="6" t="s">
        <v>5135</v>
      </c>
      <c r="E8252" s="6" t="s">
        <v>23</v>
      </c>
      <c r="F8252" s="6" t="n">
        <v>3</v>
      </c>
      <c r="G8252" s="10" t="n">
        <v>419</v>
      </c>
      <c r="H8252" s="10" t="n">
        <f aca="false">F8252*G8252</f>
        <v>1257</v>
      </c>
      <c r="I8252" s="6" t="s">
        <v>5133</v>
      </c>
    </row>
    <row r="8253" customFormat="false" ht="15" hidden="false" customHeight="false" outlineLevel="0" collapsed="false">
      <c r="A8253" s="6" t="s">
        <v>13477</v>
      </c>
      <c r="B8253" s="6" t="s">
        <v>1049</v>
      </c>
      <c r="C8253" s="26" t="n">
        <v>46260</v>
      </c>
      <c r="D8253" s="6" t="s">
        <v>5132</v>
      </c>
      <c r="E8253" s="6" t="s">
        <v>23</v>
      </c>
      <c r="F8253" s="6" t="n">
        <v>4</v>
      </c>
      <c r="G8253" s="10" t="n">
        <v>308</v>
      </c>
      <c r="H8253" s="10" t="n">
        <f aca="false">F8253*G8253</f>
        <v>1232</v>
      </c>
      <c r="I8253" s="6" t="s">
        <v>5122</v>
      </c>
    </row>
    <row r="8254" customFormat="false" ht="15" hidden="false" customHeight="false" outlineLevel="0" collapsed="false">
      <c r="A8254" s="6" t="s">
        <v>13478</v>
      </c>
      <c r="B8254" s="6" t="s">
        <v>1917</v>
      </c>
      <c r="C8254" s="26" t="n">
        <v>46260</v>
      </c>
      <c r="D8254" s="6" t="s">
        <v>5683</v>
      </c>
      <c r="E8254" s="6" t="s">
        <v>22</v>
      </c>
      <c r="F8254" s="6" t="n">
        <v>2</v>
      </c>
      <c r="G8254" s="10" t="n">
        <v>1760</v>
      </c>
      <c r="H8254" s="10" t="n">
        <f aca="false">F8254*G8254</f>
        <v>3520</v>
      </c>
      <c r="I8254" s="6" t="s">
        <v>5122</v>
      </c>
    </row>
    <row r="8255" customFormat="false" ht="15" hidden="false" customHeight="false" outlineLevel="0" collapsed="false">
      <c r="A8255" s="6" t="s">
        <v>13479</v>
      </c>
      <c r="B8255" s="6" t="s">
        <v>2401</v>
      </c>
      <c r="C8255" s="26" t="n">
        <v>46260</v>
      </c>
      <c r="D8255" s="6" t="s">
        <v>5561</v>
      </c>
      <c r="E8255" s="6" t="s">
        <v>20</v>
      </c>
      <c r="F8255" s="6" t="n">
        <v>2</v>
      </c>
      <c r="G8255" s="10" t="n">
        <v>3196</v>
      </c>
      <c r="H8255" s="10" t="n">
        <f aca="false">F8255*G8255</f>
        <v>6392</v>
      </c>
      <c r="I8255" s="6" t="s">
        <v>5122</v>
      </c>
    </row>
    <row r="8256" customFormat="false" ht="15" hidden="false" customHeight="false" outlineLevel="0" collapsed="false">
      <c r="A8256" s="6" t="s">
        <v>13480</v>
      </c>
      <c r="B8256" s="6" t="s">
        <v>3291</v>
      </c>
      <c r="C8256" s="26" t="n">
        <v>46260</v>
      </c>
      <c r="D8256" s="6" t="s">
        <v>5216</v>
      </c>
      <c r="E8256" s="6" t="s">
        <v>23</v>
      </c>
      <c r="F8256" s="6" t="n">
        <v>3</v>
      </c>
      <c r="G8256" s="10" t="n">
        <v>587</v>
      </c>
      <c r="H8256" s="10" t="n">
        <f aca="false">F8256*G8256</f>
        <v>1761</v>
      </c>
      <c r="I8256" s="6" t="s">
        <v>5148</v>
      </c>
    </row>
    <row r="8257" customFormat="false" ht="15" hidden="false" customHeight="false" outlineLevel="0" collapsed="false">
      <c r="A8257" s="6" t="s">
        <v>13481</v>
      </c>
      <c r="B8257" s="6" t="s">
        <v>1649</v>
      </c>
      <c r="C8257" s="26" t="n">
        <v>46260</v>
      </c>
      <c r="D8257" s="6" t="s">
        <v>5167</v>
      </c>
      <c r="E8257" s="6" t="s">
        <v>22</v>
      </c>
      <c r="F8257" s="6" t="n">
        <v>2</v>
      </c>
      <c r="G8257" s="10" t="n">
        <v>782</v>
      </c>
      <c r="H8257" s="10" t="n">
        <f aca="false">F8257*G8257</f>
        <v>1564</v>
      </c>
      <c r="I8257" s="6" t="s">
        <v>5148</v>
      </c>
    </row>
    <row r="8258" customFormat="false" ht="15" hidden="false" customHeight="false" outlineLevel="0" collapsed="false">
      <c r="A8258" s="6" t="s">
        <v>13482</v>
      </c>
      <c r="B8258" s="6" t="s">
        <v>3273</v>
      </c>
      <c r="C8258" s="26" t="n">
        <v>46260</v>
      </c>
      <c r="D8258" s="6" t="s">
        <v>5807</v>
      </c>
      <c r="E8258" s="6" t="s">
        <v>20</v>
      </c>
      <c r="F8258" s="6" t="n">
        <v>1</v>
      </c>
      <c r="G8258" s="10" t="n">
        <v>15296</v>
      </c>
      <c r="H8258" s="10" t="n">
        <f aca="false">F8258*G8258</f>
        <v>15296</v>
      </c>
      <c r="I8258" s="6" t="s">
        <v>5130</v>
      </c>
    </row>
    <row r="8259" customFormat="false" ht="15" hidden="false" customHeight="false" outlineLevel="0" collapsed="false">
      <c r="A8259" s="6" t="s">
        <v>13483</v>
      </c>
      <c r="B8259" s="6" t="s">
        <v>2761</v>
      </c>
      <c r="C8259" s="26" t="n">
        <v>46260</v>
      </c>
      <c r="D8259" s="6" t="s">
        <v>5167</v>
      </c>
      <c r="E8259" s="6" t="s">
        <v>22</v>
      </c>
      <c r="F8259" s="6" t="n">
        <v>1</v>
      </c>
      <c r="G8259" s="10" t="n">
        <v>703</v>
      </c>
      <c r="H8259" s="10" t="n">
        <f aca="false">F8259*G8259</f>
        <v>703</v>
      </c>
      <c r="I8259" s="6" t="s">
        <v>5122</v>
      </c>
    </row>
    <row r="8260" customFormat="false" ht="15" hidden="false" customHeight="false" outlineLevel="0" collapsed="false">
      <c r="A8260" s="6" t="s">
        <v>13484</v>
      </c>
      <c r="B8260" s="6" t="s">
        <v>433</v>
      </c>
      <c r="C8260" s="26" t="n">
        <v>46260</v>
      </c>
      <c r="D8260" s="6" t="s">
        <v>5169</v>
      </c>
      <c r="E8260" s="6" t="s">
        <v>20</v>
      </c>
      <c r="F8260" s="6" t="n">
        <v>1</v>
      </c>
      <c r="G8260" s="10" t="n">
        <v>4843</v>
      </c>
      <c r="H8260" s="10" t="n">
        <f aca="false">F8260*G8260</f>
        <v>4843</v>
      </c>
      <c r="I8260" s="6" t="s">
        <v>5122</v>
      </c>
    </row>
    <row r="8261" customFormat="false" ht="15" hidden="false" customHeight="false" outlineLevel="0" collapsed="false">
      <c r="A8261" s="6" t="s">
        <v>13485</v>
      </c>
      <c r="B8261" s="6" t="s">
        <v>4973</v>
      </c>
      <c r="C8261" s="26" t="n">
        <v>46260</v>
      </c>
      <c r="D8261" s="6" t="s">
        <v>5163</v>
      </c>
      <c r="E8261" s="6" t="s">
        <v>23</v>
      </c>
      <c r="F8261" s="6" t="n">
        <v>4</v>
      </c>
      <c r="G8261" s="10" t="n">
        <v>783</v>
      </c>
      <c r="H8261" s="10" t="n">
        <f aca="false">F8261*G8261</f>
        <v>3132</v>
      </c>
      <c r="I8261" s="6" t="s">
        <v>5122</v>
      </c>
    </row>
    <row r="8262" customFormat="false" ht="15" hidden="false" customHeight="false" outlineLevel="0" collapsed="false">
      <c r="A8262" s="6" t="s">
        <v>13486</v>
      </c>
      <c r="B8262" s="6" t="s">
        <v>4281</v>
      </c>
      <c r="C8262" s="26" t="n">
        <v>46260</v>
      </c>
      <c r="D8262" s="6" t="s">
        <v>6114</v>
      </c>
      <c r="E8262" s="6" t="s">
        <v>20</v>
      </c>
      <c r="F8262" s="6" t="n">
        <v>1</v>
      </c>
      <c r="G8262" s="10" t="n">
        <v>13256</v>
      </c>
      <c r="H8262" s="10" t="n">
        <f aca="false">F8262*G8262</f>
        <v>13256</v>
      </c>
      <c r="I8262" s="6" t="s">
        <v>5122</v>
      </c>
    </row>
    <row r="8263" customFormat="false" ht="15" hidden="false" customHeight="false" outlineLevel="0" collapsed="false">
      <c r="A8263" s="6" t="s">
        <v>13487</v>
      </c>
      <c r="B8263" s="6" t="s">
        <v>1189</v>
      </c>
      <c r="C8263" s="26" t="n">
        <v>46260</v>
      </c>
      <c r="D8263" s="6" t="s">
        <v>5137</v>
      </c>
      <c r="E8263" s="6" t="s">
        <v>21</v>
      </c>
      <c r="F8263" s="6" t="n">
        <v>1</v>
      </c>
      <c r="G8263" s="10" t="n">
        <v>1768</v>
      </c>
      <c r="H8263" s="10" t="n">
        <f aca="false">F8263*G8263</f>
        <v>1768</v>
      </c>
      <c r="I8263" s="6" t="s">
        <v>5148</v>
      </c>
    </row>
    <row r="8264" customFormat="false" ht="15" hidden="false" customHeight="false" outlineLevel="0" collapsed="false">
      <c r="A8264" s="6" t="s">
        <v>13488</v>
      </c>
      <c r="B8264" s="6" t="s">
        <v>493</v>
      </c>
      <c r="C8264" s="26" t="n">
        <v>46260</v>
      </c>
      <c r="D8264" s="6" t="s">
        <v>5167</v>
      </c>
      <c r="E8264" s="6" t="s">
        <v>22</v>
      </c>
      <c r="F8264" s="6" t="n">
        <v>1</v>
      </c>
      <c r="G8264" s="10" t="n">
        <v>782</v>
      </c>
      <c r="H8264" s="10" t="n">
        <f aca="false">F8264*G8264</f>
        <v>782</v>
      </c>
      <c r="I8264" s="6" t="s">
        <v>5130</v>
      </c>
    </row>
    <row r="8265" customFormat="false" ht="15" hidden="false" customHeight="false" outlineLevel="0" collapsed="false">
      <c r="A8265" s="6" t="s">
        <v>13489</v>
      </c>
      <c r="B8265" s="6" t="s">
        <v>4353</v>
      </c>
      <c r="C8265" s="26" t="n">
        <v>46260</v>
      </c>
      <c r="D8265" s="6" t="s">
        <v>5135</v>
      </c>
      <c r="E8265" s="6" t="s">
        <v>23</v>
      </c>
      <c r="F8265" s="6" t="n">
        <v>2</v>
      </c>
      <c r="G8265" s="10" t="n">
        <v>441</v>
      </c>
      <c r="H8265" s="10" t="n">
        <f aca="false">F8265*G8265</f>
        <v>882</v>
      </c>
      <c r="I8265" s="6" t="s">
        <v>5148</v>
      </c>
    </row>
    <row r="8266" customFormat="false" ht="15" hidden="false" customHeight="false" outlineLevel="0" collapsed="false">
      <c r="A8266" s="6" t="s">
        <v>13490</v>
      </c>
      <c r="B8266" s="6" t="s">
        <v>1799</v>
      </c>
      <c r="C8266" s="26" t="n">
        <v>46260</v>
      </c>
      <c r="D8266" s="6" t="s">
        <v>5171</v>
      </c>
      <c r="E8266" s="6" t="s">
        <v>23</v>
      </c>
      <c r="F8266" s="6" t="n">
        <v>3</v>
      </c>
      <c r="G8266" s="10" t="n">
        <v>661</v>
      </c>
      <c r="H8266" s="10" t="n">
        <f aca="false">F8266*G8266</f>
        <v>1983</v>
      </c>
      <c r="I8266" s="6" t="s">
        <v>5122</v>
      </c>
    </row>
    <row r="8267" customFormat="false" ht="15" hidden="false" customHeight="false" outlineLevel="0" collapsed="false">
      <c r="A8267" s="6" t="s">
        <v>13491</v>
      </c>
      <c r="B8267" s="6" t="s">
        <v>475</v>
      </c>
      <c r="C8267" s="26" t="n">
        <v>46260</v>
      </c>
      <c r="D8267" s="6" t="s">
        <v>5145</v>
      </c>
      <c r="E8267" s="6" t="s">
        <v>21</v>
      </c>
      <c r="F8267" s="6" t="n">
        <v>1</v>
      </c>
      <c r="G8267" s="10" t="n">
        <v>1149</v>
      </c>
      <c r="H8267" s="10" t="n">
        <f aca="false">F8267*G8267</f>
        <v>1149</v>
      </c>
      <c r="I8267" s="6" t="s">
        <v>5130</v>
      </c>
    </row>
    <row r="8268" customFormat="false" ht="15" hidden="false" customHeight="false" outlineLevel="0" collapsed="false">
      <c r="A8268" s="6" t="s">
        <v>13492</v>
      </c>
      <c r="B8268" s="6" t="s">
        <v>1507</v>
      </c>
      <c r="C8268" s="26" t="n">
        <v>46260</v>
      </c>
      <c r="D8268" s="6" t="s">
        <v>5242</v>
      </c>
      <c r="E8268" s="6" t="s">
        <v>23</v>
      </c>
      <c r="F8268" s="6" t="n">
        <v>5</v>
      </c>
      <c r="G8268" s="10" t="n">
        <v>335</v>
      </c>
      <c r="H8268" s="10" t="n">
        <f aca="false">F8268*G8268</f>
        <v>1675</v>
      </c>
      <c r="I8268" s="6" t="s">
        <v>5125</v>
      </c>
    </row>
    <row r="8269" customFormat="false" ht="15" hidden="false" customHeight="false" outlineLevel="0" collapsed="false">
      <c r="A8269" s="6" t="s">
        <v>13493</v>
      </c>
      <c r="B8269" s="6" t="s">
        <v>1873</v>
      </c>
      <c r="C8269" s="26" t="n">
        <v>46260</v>
      </c>
      <c r="D8269" s="6" t="s">
        <v>5218</v>
      </c>
      <c r="E8269" s="6" t="s">
        <v>23</v>
      </c>
      <c r="F8269" s="6" t="n">
        <v>5</v>
      </c>
      <c r="G8269" s="10" t="n">
        <v>165</v>
      </c>
      <c r="H8269" s="10" t="n">
        <f aca="false">F8269*G8269</f>
        <v>825</v>
      </c>
      <c r="I8269" s="6" t="s">
        <v>5122</v>
      </c>
    </row>
    <row r="8270" customFormat="false" ht="15" hidden="false" customHeight="false" outlineLevel="0" collapsed="false">
      <c r="A8270" s="6" t="s">
        <v>13494</v>
      </c>
      <c r="B8270" s="6" t="s">
        <v>1767</v>
      </c>
      <c r="C8270" s="26" t="n">
        <v>46260</v>
      </c>
      <c r="D8270" s="6" t="s">
        <v>5171</v>
      </c>
      <c r="E8270" s="6" t="s">
        <v>23</v>
      </c>
      <c r="F8270" s="6" t="n">
        <v>1</v>
      </c>
      <c r="G8270" s="10" t="n">
        <v>660</v>
      </c>
      <c r="H8270" s="10" t="n">
        <f aca="false">F8270*G8270</f>
        <v>660</v>
      </c>
      <c r="I8270" s="6" t="s">
        <v>5130</v>
      </c>
    </row>
    <row r="8271" customFormat="false" ht="15" hidden="false" customHeight="false" outlineLevel="0" collapsed="false">
      <c r="A8271" s="6" t="s">
        <v>13495</v>
      </c>
      <c r="B8271" s="6" t="s">
        <v>3057</v>
      </c>
      <c r="C8271" s="26" t="n">
        <v>46260</v>
      </c>
      <c r="D8271" s="6" t="s">
        <v>5129</v>
      </c>
      <c r="E8271" s="6" t="s">
        <v>21</v>
      </c>
      <c r="F8271" s="6" t="n">
        <v>1</v>
      </c>
      <c r="G8271" s="10" t="n">
        <v>559</v>
      </c>
      <c r="H8271" s="10" t="n">
        <f aca="false">F8271*G8271</f>
        <v>559</v>
      </c>
      <c r="I8271" s="6" t="s">
        <v>5122</v>
      </c>
    </row>
    <row r="8272" customFormat="false" ht="15" hidden="false" customHeight="false" outlineLevel="0" collapsed="false">
      <c r="A8272" s="6" t="s">
        <v>13496</v>
      </c>
      <c r="B8272" s="6" t="s">
        <v>4209</v>
      </c>
      <c r="C8272" s="26" t="n">
        <v>46260</v>
      </c>
      <c r="D8272" s="6" t="s">
        <v>5127</v>
      </c>
      <c r="E8272" s="6" t="s">
        <v>21</v>
      </c>
      <c r="F8272" s="6" t="n">
        <v>2</v>
      </c>
      <c r="G8272" s="10" t="n">
        <v>795</v>
      </c>
      <c r="H8272" s="10" t="n">
        <f aca="false">F8272*G8272</f>
        <v>1590</v>
      </c>
      <c r="I8272" s="6" t="s">
        <v>5122</v>
      </c>
    </row>
    <row r="8273" customFormat="false" ht="15" hidden="false" customHeight="false" outlineLevel="0" collapsed="false">
      <c r="A8273" s="6" t="s">
        <v>13497</v>
      </c>
      <c r="B8273" s="6" t="s">
        <v>1017</v>
      </c>
      <c r="C8273" s="26" t="n">
        <v>46260</v>
      </c>
      <c r="D8273" s="6" t="s">
        <v>5163</v>
      </c>
      <c r="E8273" s="6" t="s">
        <v>23</v>
      </c>
      <c r="F8273" s="6" t="n">
        <v>5</v>
      </c>
      <c r="G8273" s="10" t="n">
        <v>783</v>
      </c>
      <c r="H8273" s="10" t="n">
        <f aca="false">F8273*G8273</f>
        <v>3915</v>
      </c>
      <c r="I8273" s="6" t="s">
        <v>5122</v>
      </c>
    </row>
    <row r="8274" customFormat="false" ht="15" hidden="false" customHeight="false" outlineLevel="0" collapsed="false">
      <c r="A8274" s="6" t="s">
        <v>13498</v>
      </c>
      <c r="B8274" s="6" t="s">
        <v>1477</v>
      </c>
      <c r="C8274" s="26" t="n">
        <v>46260</v>
      </c>
      <c r="D8274" s="6" t="s">
        <v>5202</v>
      </c>
      <c r="E8274" s="6" t="s">
        <v>23</v>
      </c>
      <c r="F8274" s="6" t="n">
        <v>2</v>
      </c>
      <c r="G8274" s="10" t="n">
        <v>220</v>
      </c>
      <c r="H8274" s="10" t="n">
        <f aca="false">F8274*G8274</f>
        <v>440</v>
      </c>
      <c r="I8274" s="6" t="s">
        <v>5148</v>
      </c>
    </row>
    <row r="8275" customFormat="false" ht="15" hidden="false" customHeight="false" outlineLevel="0" collapsed="false">
      <c r="A8275" s="6" t="s">
        <v>13499</v>
      </c>
      <c r="B8275" s="6" t="s">
        <v>3459</v>
      </c>
      <c r="C8275" s="26" t="n">
        <v>46260</v>
      </c>
      <c r="D8275" s="6" t="s">
        <v>5121</v>
      </c>
      <c r="E8275" s="6" t="s">
        <v>22</v>
      </c>
      <c r="F8275" s="6" t="n">
        <v>3</v>
      </c>
      <c r="G8275" s="10" t="n">
        <v>880</v>
      </c>
      <c r="H8275" s="10" t="n">
        <f aca="false">F8275*G8275</f>
        <v>2640</v>
      </c>
      <c r="I8275" s="6" t="s">
        <v>5133</v>
      </c>
    </row>
    <row r="8276" customFormat="false" ht="15" hidden="false" customHeight="false" outlineLevel="0" collapsed="false">
      <c r="A8276" s="6" t="s">
        <v>13500</v>
      </c>
      <c r="B8276" s="6" t="s">
        <v>1031</v>
      </c>
      <c r="C8276" s="26" t="n">
        <v>46260</v>
      </c>
      <c r="D8276" s="6" t="s">
        <v>5156</v>
      </c>
      <c r="E8276" s="6" t="s">
        <v>21</v>
      </c>
      <c r="F8276" s="6" t="n">
        <v>1</v>
      </c>
      <c r="G8276" s="10" t="n">
        <v>2053</v>
      </c>
      <c r="H8276" s="10" t="n">
        <f aca="false">F8276*G8276</f>
        <v>2053</v>
      </c>
      <c r="I8276" s="6" t="s">
        <v>5122</v>
      </c>
    </row>
    <row r="8277" customFormat="false" ht="15" hidden="false" customHeight="false" outlineLevel="0" collapsed="false">
      <c r="A8277" s="6" t="s">
        <v>13501</v>
      </c>
      <c r="B8277" s="6" t="s">
        <v>2483</v>
      </c>
      <c r="C8277" s="26" t="n">
        <v>46260</v>
      </c>
      <c r="D8277" s="6" t="s">
        <v>5150</v>
      </c>
      <c r="E8277" s="6" t="s">
        <v>24</v>
      </c>
      <c r="F8277" s="6" t="n">
        <v>2</v>
      </c>
      <c r="G8277" s="10" t="n">
        <v>508</v>
      </c>
      <c r="H8277" s="10" t="n">
        <f aca="false">F8277*G8277</f>
        <v>1016</v>
      </c>
      <c r="I8277" s="6" t="s">
        <v>5125</v>
      </c>
    </row>
    <row r="8278" customFormat="false" ht="15" hidden="false" customHeight="false" outlineLevel="0" collapsed="false">
      <c r="A8278" s="6" t="s">
        <v>13502</v>
      </c>
      <c r="B8278" s="6" t="s">
        <v>2991</v>
      </c>
      <c r="C8278" s="26" t="n">
        <v>46260</v>
      </c>
      <c r="D8278" s="6" t="s">
        <v>5292</v>
      </c>
      <c r="E8278" s="6" t="s">
        <v>21</v>
      </c>
      <c r="F8278" s="6" t="n">
        <v>1</v>
      </c>
      <c r="G8278" s="10" t="n">
        <v>6880</v>
      </c>
      <c r="H8278" s="10" t="n">
        <f aca="false">F8278*G8278</f>
        <v>6880</v>
      </c>
      <c r="I8278" s="6" t="s">
        <v>5125</v>
      </c>
    </row>
    <row r="8279" customFormat="false" ht="15" hidden="false" customHeight="false" outlineLevel="0" collapsed="false">
      <c r="A8279" s="6" t="s">
        <v>13503</v>
      </c>
      <c r="B8279" s="6" t="s">
        <v>4771</v>
      </c>
      <c r="C8279" s="26" t="n">
        <v>46260</v>
      </c>
      <c r="D8279" s="6" t="s">
        <v>5135</v>
      </c>
      <c r="E8279" s="6" t="s">
        <v>23</v>
      </c>
      <c r="F8279" s="6" t="n">
        <v>2</v>
      </c>
      <c r="G8279" s="10" t="n">
        <v>397</v>
      </c>
      <c r="H8279" s="10" t="n">
        <f aca="false">F8279*G8279</f>
        <v>794</v>
      </c>
      <c r="I8279" s="6" t="s">
        <v>5122</v>
      </c>
    </row>
    <row r="8280" customFormat="false" ht="15" hidden="false" customHeight="false" outlineLevel="0" collapsed="false">
      <c r="A8280" s="6" t="s">
        <v>13504</v>
      </c>
      <c r="B8280" s="6" t="s">
        <v>3801</v>
      </c>
      <c r="C8280" s="26" t="n">
        <v>46260</v>
      </c>
      <c r="D8280" s="6" t="s">
        <v>5197</v>
      </c>
      <c r="E8280" s="6" t="s">
        <v>21</v>
      </c>
      <c r="F8280" s="6" t="n">
        <v>1</v>
      </c>
      <c r="G8280" s="10" t="n">
        <v>1026</v>
      </c>
      <c r="H8280" s="10" t="n">
        <f aca="false">F8280*G8280</f>
        <v>1026</v>
      </c>
      <c r="I8280" s="6" t="s">
        <v>5148</v>
      </c>
    </row>
    <row r="8281" customFormat="false" ht="15" hidden="false" customHeight="false" outlineLevel="0" collapsed="false">
      <c r="A8281" s="6" t="s">
        <v>13505</v>
      </c>
      <c r="B8281" s="6" t="s">
        <v>2393</v>
      </c>
      <c r="C8281" s="26" t="n">
        <v>46260</v>
      </c>
      <c r="D8281" s="6" t="s">
        <v>5188</v>
      </c>
      <c r="E8281" s="6" t="s">
        <v>24</v>
      </c>
      <c r="F8281" s="6" t="n">
        <v>2</v>
      </c>
      <c r="G8281" s="10" t="n">
        <v>1018</v>
      </c>
      <c r="H8281" s="10" t="n">
        <f aca="false">F8281*G8281</f>
        <v>2036</v>
      </c>
      <c r="I8281" s="6" t="s">
        <v>5148</v>
      </c>
    </row>
    <row r="8282" customFormat="false" ht="15" hidden="false" customHeight="false" outlineLevel="0" collapsed="false">
      <c r="A8282" s="6" t="s">
        <v>13506</v>
      </c>
      <c r="B8282" s="6" t="s">
        <v>431</v>
      </c>
      <c r="C8282" s="26" t="n">
        <v>46260</v>
      </c>
      <c r="D8282" s="6" t="s">
        <v>5398</v>
      </c>
      <c r="E8282" s="6" t="s">
        <v>24</v>
      </c>
      <c r="F8282" s="6" t="n">
        <v>2</v>
      </c>
      <c r="G8282" s="10" t="n">
        <v>610</v>
      </c>
      <c r="H8282" s="10" t="n">
        <f aca="false">F8282*G8282</f>
        <v>1220</v>
      </c>
      <c r="I8282" s="6" t="s">
        <v>5130</v>
      </c>
    </row>
    <row r="8283" customFormat="false" ht="15" hidden="false" customHeight="false" outlineLevel="0" collapsed="false">
      <c r="A8283" s="6" t="s">
        <v>13507</v>
      </c>
      <c r="B8283" s="6" t="s">
        <v>5043</v>
      </c>
      <c r="C8283" s="26" t="n">
        <v>46260</v>
      </c>
      <c r="D8283" s="6" t="s">
        <v>5339</v>
      </c>
      <c r="E8283" s="6" t="s">
        <v>24</v>
      </c>
      <c r="F8283" s="6" t="n">
        <v>2</v>
      </c>
      <c r="G8283" s="10" t="n">
        <v>458</v>
      </c>
      <c r="H8283" s="10" t="n">
        <f aca="false">F8283*G8283</f>
        <v>916</v>
      </c>
      <c r="I8283" s="6" t="s">
        <v>5122</v>
      </c>
    </row>
    <row r="8284" customFormat="false" ht="15" hidden="false" customHeight="false" outlineLevel="0" collapsed="false">
      <c r="A8284" s="6" t="s">
        <v>13508</v>
      </c>
      <c r="B8284" s="6" t="s">
        <v>3829</v>
      </c>
      <c r="C8284" s="26" t="n">
        <v>46260</v>
      </c>
      <c r="D8284" s="6" t="s">
        <v>5121</v>
      </c>
      <c r="E8284" s="6" t="s">
        <v>22</v>
      </c>
      <c r="F8284" s="6" t="n">
        <v>4</v>
      </c>
      <c r="G8284" s="10" t="n">
        <v>977</v>
      </c>
      <c r="H8284" s="10" t="n">
        <f aca="false">F8284*G8284</f>
        <v>3908</v>
      </c>
      <c r="I8284" s="6" t="s">
        <v>5125</v>
      </c>
    </row>
    <row r="8285" customFormat="false" ht="15" hidden="false" customHeight="false" outlineLevel="0" collapsed="false">
      <c r="A8285" s="6" t="s">
        <v>13509</v>
      </c>
      <c r="B8285" s="6" t="s">
        <v>3359</v>
      </c>
      <c r="C8285" s="26" t="n">
        <v>46260</v>
      </c>
      <c r="D8285" s="6" t="s">
        <v>5158</v>
      </c>
      <c r="E8285" s="6" t="s">
        <v>24</v>
      </c>
      <c r="F8285" s="6" t="n">
        <v>1</v>
      </c>
      <c r="G8285" s="10" t="n">
        <v>390</v>
      </c>
      <c r="H8285" s="10" t="n">
        <f aca="false">F8285*G8285</f>
        <v>390</v>
      </c>
      <c r="I8285" s="6" t="s">
        <v>5122</v>
      </c>
    </row>
    <row r="8286" customFormat="false" ht="15" hidden="false" customHeight="false" outlineLevel="0" collapsed="false">
      <c r="A8286" s="6" t="s">
        <v>13510</v>
      </c>
      <c r="B8286" s="6" t="s">
        <v>1829</v>
      </c>
      <c r="C8286" s="26" t="n">
        <v>46261</v>
      </c>
      <c r="D8286" s="6" t="s">
        <v>5357</v>
      </c>
      <c r="E8286" s="6" t="s">
        <v>23</v>
      </c>
      <c r="F8286" s="6" t="n">
        <v>1</v>
      </c>
      <c r="G8286" s="10" t="n">
        <v>481</v>
      </c>
      <c r="H8286" s="10" t="n">
        <f aca="false">F8286*G8286</f>
        <v>481</v>
      </c>
      <c r="I8286" s="6" t="s">
        <v>5122</v>
      </c>
    </row>
    <row r="8287" customFormat="false" ht="15" hidden="false" customHeight="false" outlineLevel="0" collapsed="false">
      <c r="A8287" s="6" t="s">
        <v>13511</v>
      </c>
      <c r="B8287" s="6" t="s">
        <v>5025</v>
      </c>
      <c r="C8287" s="26" t="n">
        <v>46261</v>
      </c>
      <c r="D8287" s="6" t="s">
        <v>5410</v>
      </c>
      <c r="E8287" s="6" t="s">
        <v>20</v>
      </c>
      <c r="F8287" s="6" t="n">
        <v>1</v>
      </c>
      <c r="G8287" s="10" t="n">
        <v>2548</v>
      </c>
      <c r="H8287" s="10" t="n">
        <f aca="false">F8287*G8287</f>
        <v>2548</v>
      </c>
      <c r="I8287" s="6" t="s">
        <v>5122</v>
      </c>
    </row>
    <row r="8288" customFormat="false" ht="15" hidden="false" customHeight="false" outlineLevel="0" collapsed="false">
      <c r="A8288" s="6" t="s">
        <v>13512</v>
      </c>
      <c r="B8288" s="6" t="s">
        <v>1843</v>
      </c>
      <c r="C8288" s="26" t="n">
        <v>46261</v>
      </c>
      <c r="D8288" s="6" t="s">
        <v>5357</v>
      </c>
      <c r="E8288" s="6" t="s">
        <v>23</v>
      </c>
      <c r="F8288" s="6" t="n">
        <v>1</v>
      </c>
      <c r="G8288" s="10" t="n">
        <v>506</v>
      </c>
      <c r="H8288" s="10" t="n">
        <f aca="false">F8288*G8288</f>
        <v>506</v>
      </c>
      <c r="I8288" s="6" t="s">
        <v>5148</v>
      </c>
    </row>
    <row r="8289" customFormat="false" ht="15" hidden="false" customHeight="false" outlineLevel="0" collapsed="false">
      <c r="A8289" s="6" t="s">
        <v>13513</v>
      </c>
      <c r="B8289" s="6" t="s">
        <v>184</v>
      </c>
      <c r="C8289" s="26" t="n">
        <v>46261</v>
      </c>
      <c r="D8289" s="6" t="s">
        <v>5167</v>
      </c>
      <c r="E8289" s="6" t="s">
        <v>22</v>
      </c>
      <c r="F8289" s="6" t="n">
        <v>1</v>
      </c>
      <c r="G8289" s="10" t="n">
        <v>782</v>
      </c>
      <c r="H8289" s="10" t="n">
        <f aca="false">F8289*G8289</f>
        <v>782</v>
      </c>
      <c r="I8289" s="6" t="s">
        <v>5122</v>
      </c>
    </row>
    <row r="8290" customFormat="false" ht="15" hidden="false" customHeight="false" outlineLevel="0" collapsed="false">
      <c r="A8290" s="6" t="s">
        <v>13514</v>
      </c>
      <c r="B8290" s="6" t="s">
        <v>4235</v>
      </c>
      <c r="C8290" s="26" t="n">
        <v>46261</v>
      </c>
      <c r="D8290" s="6" t="s">
        <v>5167</v>
      </c>
      <c r="E8290" s="6" t="s">
        <v>22</v>
      </c>
      <c r="F8290" s="6" t="n">
        <v>1</v>
      </c>
      <c r="G8290" s="10" t="n">
        <v>782</v>
      </c>
      <c r="H8290" s="10" t="n">
        <f aca="false">F8290*G8290</f>
        <v>782</v>
      </c>
      <c r="I8290" s="6" t="s">
        <v>5122</v>
      </c>
    </row>
    <row r="8291" customFormat="false" ht="15" hidden="false" customHeight="false" outlineLevel="0" collapsed="false">
      <c r="A8291" s="6" t="s">
        <v>13515</v>
      </c>
      <c r="B8291" s="6" t="s">
        <v>3799</v>
      </c>
      <c r="C8291" s="26" t="n">
        <v>46261</v>
      </c>
      <c r="D8291" s="6" t="s">
        <v>5257</v>
      </c>
      <c r="E8291" s="6" t="s">
        <v>22</v>
      </c>
      <c r="F8291" s="6" t="n">
        <v>2</v>
      </c>
      <c r="G8291" s="10" t="n">
        <v>2024</v>
      </c>
      <c r="H8291" s="10" t="n">
        <f aca="false">F8291*G8291</f>
        <v>4048</v>
      </c>
      <c r="I8291" s="6" t="s">
        <v>5122</v>
      </c>
    </row>
    <row r="8292" customFormat="false" ht="15" hidden="false" customHeight="false" outlineLevel="0" collapsed="false">
      <c r="A8292" s="6" t="s">
        <v>13516</v>
      </c>
      <c r="B8292" s="6" t="s">
        <v>2045</v>
      </c>
      <c r="C8292" s="26" t="n">
        <v>46261</v>
      </c>
      <c r="D8292" s="6" t="s">
        <v>5121</v>
      </c>
      <c r="E8292" s="6" t="s">
        <v>22</v>
      </c>
      <c r="F8292" s="6" t="n">
        <v>1</v>
      </c>
      <c r="G8292" s="10" t="n">
        <v>977</v>
      </c>
      <c r="H8292" s="10" t="n">
        <f aca="false">F8292*G8292</f>
        <v>977</v>
      </c>
      <c r="I8292" s="6" t="s">
        <v>5122</v>
      </c>
    </row>
    <row r="8293" customFormat="false" ht="15" hidden="false" customHeight="false" outlineLevel="0" collapsed="false">
      <c r="A8293" s="6" t="s">
        <v>13517</v>
      </c>
      <c r="B8293" s="6" t="s">
        <v>1987</v>
      </c>
      <c r="C8293" s="26" t="n">
        <v>46261</v>
      </c>
      <c r="D8293" s="6" t="s">
        <v>5214</v>
      </c>
      <c r="E8293" s="6" t="s">
        <v>20</v>
      </c>
      <c r="F8293" s="6" t="n">
        <v>1</v>
      </c>
      <c r="G8293" s="10" t="n">
        <v>2038</v>
      </c>
      <c r="H8293" s="10" t="n">
        <f aca="false">F8293*G8293</f>
        <v>2038</v>
      </c>
      <c r="I8293" s="6" t="s">
        <v>5122</v>
      </c>
    </row>
    <row r="8294" customFormat="false" ht="15" hidden="false" customHeight="false" outlineLevel="0" collapsed="false">
      <c r="A8294" s="6" t="s">
        <v>13518</v>
      </c>
      <c r="B8294" s="6" t="s">
        <v>3675</v>
      </c>
      <c r="C8294" s="26" t="n">
        <v>46261</v>
      </c>
      <c r="D8294" s="6" t="s">
        <v>5185</v>
      </c>
      <c r="E8294" s="6" t="s">
        <v>24</v>
      </c>
      <c r="F8294" s="6" t="n">
        <v>1</v>
      </c>
      <c r="G8294" s="10" t="n">
        <v>2140</v>
      </c>
      <c r="H8294" s="10" t="n">
        <f aca="false">F8294*G8294</f>
        <v>2140</v>
      </c>
      <c r="I8294" s="6" t="s">
        <v>5122</v>
      </c>
    </row>
    <row r="8295" customFormat="false" ht="15" hidden="false" customHeight="false" outlineLevel="0" collapsed="false">
      <c r="A8295" s="6" t="s">
        <v>13519</v>
      </c>
      <c r="B8295" s="6" t="s">
        <v>366</v>
      </c>
      <c r="C8295" s="26" t="n">
        <v>46261</v>
      </c>
      <c r="D8295" s="6" t="s">
        <v>5143</v>
      </c>
      <c r="E8295" s="6" t="s">
        <v>21</v>
      </c>
      <c r="F8295" s="6" t="n">
        <v>1</v>
      </c>
      <c r="G8295" s="10" t="n">
        <v>1120</v>
      </c>
      <c r="H8295" s="10" t="n">
        <f aca="false">F8295*G8295</f>
        <v>1120</v>
      </c>
      <c r="I8295" s="6" t="s">
        <v>5130</v>
      </c>
    </row>
    <row r="8296" customFormat="false" ht="15" hidden="false" customHeight="false" outlineLevel="0" collapsed="false">
      <c r="A8296" s="6" t="s">
        <v>13520</v>
      </c>
      <c r="B8296" s="6" t="s">
        <v>1325</v>
      </c>
      <c r="C8296" s="26" t="n">
        <v>46261</v>
      </c>
      <c r="D8296" s="6" t="s">
        <v>5145</v>
      </c>
      <c r="E8296" s="6" t="s">
        <v>21</v>
      </c>
      <c r="F8296" s="6" t="n">
        <v>1</v>
      </c>
      <c r="G8296" s="10" t="n">
        <v>1277</v>
      </c>
      <c r="H8296" s="10" t="n">
        <f aca="false">F8296*G8296</f>
        <v>1277</v>
      </c>
      <c r="I8296" s="6" t="s">
        <v>5125</v>
      </c>
    </row>
    <row r="8297" customFormat="false" ht="15" hidden="false" customHeight="false" outlineLevel="0" collapsed="false">
      <c r="A8297" s="6" t="s">
        <v>13521</v>
      </c>
      <c r="B8297" s="6" t="s">
        <v>3041</v>
      </c>
      <c r="C8297" s="26" t="n">
        <v>46261</v>
      </c>
      <c r="D8297" s="6" t="s">
        <v>5167</v>
      </c>
      <c r="E8297" s="6" t="s">
        <v>22</v>
      </c>
      <c r="F8297" s="6" t="n">
        <v>3</v>
      </c>
      <c r="G8297" s="10" t="n">
        <v>782</v>
      </c>
      <c r="H8297" s="10" t="n">
        <f aca="false">F8297*G8297</f>
        <v>2346</v>
      </c>
      <c r="I8297" s="6" t="s">
        <v>5130</v>
      </c>
    </row>
    <row r="8298" customFormat="false" ht="15" hidden="false" customHeight="false" outlineLevel="0" collapsed="false">
      <c r="A8298" s="6" t="s">
        <v>13522</v>
      </c>
      <c r="B8298" s="6" t="s">
        <v>1299</v>
      </c>
      <c r="C8298" s="26" t="n">
        <v>46261</v>
      </c>
      <c r="D8298" s="6" t="s">
        <v>5807</v>
      </c>
      <c r="E8298" s="6" t="s">
        <v>20</v>
      </c>
      <c r="F8298" s="6" t="n">
        <v>1</v>
      </c>
      <c r="G8298" s="10" t="n">
        <v>13766</v>
      </c>
      <c r="H8298" s="10" t="n">
        <f aca="false">F8298*G8298</f>
        <v>13766</v>
      </c>
      <c r="I8298" s="6" t="s">
        <v>5122</v>
      </c>
    </row>
    <row r="8299" customFormat="false" ht="15" hidden="false" customHeight="false" outlineLevel="0" collapsed="false">
      <c r="A8299" s="6" t="s">
        <v>13523</v>
      </c>
      <c r="B8299" s="6" t="s">
        <v>2443</v>
      </c>
      <c r="C8299" s="26" t="n">
        <v>46261</v>
      </c>
      <c r="D8299" s="6" t="s">
        <v>5132</v>
      </c>
      <c r="E8299" s="6" t="s">
        <v>23</v>
      </c>
      <c r="F8299" s="6" t="n">
        <v>4</v>
      </c>
      <c r="G8299" s="10" t="n">
        <v>308</v>
      </c>
      <c r="H8299" s="10" t="n">
        <f aca="false">F8299*G8299</f>
        <v>1232</v>
      </c>
      <c r="I8299" s="6" t="s">
        <v>5122</v>
      </c>
    </row>
    <row r="8300" customFormat="false" ht="15" hidden="false" customHeight="false" outlineLevel="0" collapsed="false">
      <c r="A8300" s="6" t="s">
        <v>13524</v>
      </c>
      <c r="B8300" s="6" t="s">
        <v>2041</v>
      </c>
      <c r="C8300" s="26" t="n">
        <v>46261</v>
      </c>
      <c r="D8300" s="6" t="s">
        <v>5683</v>
      </c>
      <c r="E8300" s="6" t="s">
        <v>22</v>
      </c>
      <c r="F8300" s="6" t="n">
        <v>1</v>
      </c>
      <c r="G8300" s="10" t="n">
        <v>1760</v>
      </c>
      <c r="H8300" s="10" t="n">
        <f aca="false">F8300*G8300</f>
        <v>1760</v>
      </c>
      <c r="I8300" s="6" t="s">
        <v>5148</v>
      </c>
    </row>
    <row r="8301" customFormat="false" ht="15" hidden="false" customHeight="false" outlineLevel="0" collapsed="false">
      <c r="A8301" s="6" t="s">
        <v>13525</v>
      </c>
      <c r="B8301" s="6" t="s">
        <v>4997</v>
      </c>
      <c r="C8301" s="26" t="n">
        <v>46261</v>
      </c>
      <c r="D8301" s="6" t="s">
        <v>5339</v>
      </c>
      <c r="E8301" s="6" t="s">
        <v>24</v>
      </c>
      <c r="F8301" s="6" t="n">
        <v>3</v>
      </c>
      <c r="G8301" s="10" t="n">
        <v>508</v>
      </c>
      <c r="H8301" s="10" t="n">
        <f aca="false">F8301*G8301</f>
        <v>1524</v>
      </c>
      <c r="I8301" s="6" t="s">
        <v>5133</v>
      </c>
    </row>
    <row r="8302" customFormat="false" ht="15" hidden="false" customHeight="false" outlineLevel="0" collapsed="false">
      <c r="A8302" s="6" t="s">
        <v>13526</v>
      </c>
      <c r="B8302" s="6" t="s">
        <v>3561</v>
      </c>
      <c r="C8302" s="26" t="n">
        <v>46261</v>
      </c>
      <c r="D8302" s="6" t="s">
        <v>5383</v>
      </c>
      <c r="E8302" s="6" t="s">
        <v>20</v>
      </c>
      <c r="F8302" s="6" t="n">
        <v>1</v>
      </c>
      <c r="G8302" s="10" t="n">
        <v>1065</v>
      </c>
      <c r="H8302" s="10" t="n">
        <f aca="false">F8302*G8302</f>
        <v>1065</v>
      </c>
      <c r="I8302" s="6" t="s">
        <v>5130</v>
      </c>
    </row>
    <row r="8303" customFormat="false" ht="15" hidden="false" customHeight="false" outlineLevel="0" collapsed="false">
      <c r="A8303" s="6" t="s">
        <v>13527</v>
      </c>
      <c r="B8303" s="6" t="s">
        <v>4313</v>
      </c>
      <c r="C8303" s="26" t="n">
        <v>46261</v>
      </c>
      <c r="D8303" s="6" t="s">
        <v>5143</v>
      </c>
      <c r="E8303" s="6" t="s">
        <v>21</v>
      </c>
      <c r="F8303" s="6" t="n">
        <v>1</v>
      </c>
      <c r="G8303" s="10" t="n">
        <v>1120</v>
      </c>
      <c r="H8303" s="10" t="n">
        <f aca="false">F8303*G8303</f>
        <v>1120</v>
      </c>
      <c r="I8303" s="6" t="s">
        <v>5148</v>
      </c>
    </row>
    <row r="8304" customFormat="false" ht="15" hidden="false" customHeight="false" outlineLevel="0" collapsed="false">
      <c r="A8304" s="6" t="s">
        <v>13528</v>
      </c>
      <c r="B8304" s="6" t="s">
        <v>1673</v>
      </c>
      <c r="C8304" s="26" t="n">
        <v>46261</v>
      </c>
      <c r="D8304" s="6" t="s">
        <v>5127</v>
      </c>
      <c r="E8304" s="6" t="s">
        <v>21</v>
      </c>
      <c r="F8304" s="6" t="n">
        <v>1</v>
      </c>
      <c r="G8304" s="10" t="n">
        <v>795</v>
      </c>
      <c r="H8304" s="10" t="n">
        <f aca="false">F8304*G8304</f>
        <v>795</v>
      </c>
      <c r="I8304" s="6" t="s">
        <v>5122</v>
      </c>
    </row>
    <row r="8305" customFormat="false" ht="15" hidden="false" customHeight="false" outlineLevel="0" collapsed="false">
      <c r="A8305" s="6" t="s">
        <v>13529</v>
      </c>
      <c r="B8305" s="6" t="s">
        <v>3277</v>
      </c>
      <c r="C8305" s="26" t="n">
        <v>46261</v>
      </c>
      <c r="D8305" s="6" t="s">
        <v>5160</v>
      </c>
      <c r="E8305" s="6" t="s">
        <v>21</v>
      </c>
      <c r="F8305" s="6" t="n">
        <v>1</v>
      </c>
      <c r="G8305" s="10" t="n">
        <v>2476</v>
      </c>
      <c r="H8305" s="10" t="n">
        <f aca="false">F8305*G8305</f>
        <v>2476</v>
      </c>
      <c r="I8305" s="6" t="s">
        <v>5133</v>
      </c>
    </row>
    <row r="8306" customFormat="false" ht="15" hidden="false" customHeight="false" outlineLevel="0" collapsed="false">
      <c r="A8306" s="6" t="s">
        <v>13530</v>
      </c>
      <c r="B8306" s="6" t="s">
        <v>789</v>
      </c>
      <c r="C8306" s="26" t="n">
        <v>46261</v>
      </c>
      <c r="D8306" s="6" t="s">
        <v>5281</v>
      </c>
      <c r="E8306" s="6" t="s">
        <v>24</v>
      </c>
      <c r="F8306" s="6" t="n">
        <v>1</v>
      </c>
      <c r="G8306" s="10" t="n">
        <v>774</v>
      </c>
      <c r="H8306" s="10" t="n">
        <f aca="false">F8306*G8306</f>
        <v>774</v>
      </c>
      <c r="I8306" s="6" t="s">
        <v>5122</v>
      </c>
    </row>
    <row r="8307" customFormat="false" ht="15" hidden="false" customHeight="false" outlineLevel="0" collapsed="false">
      <c r="A8307" s="6" t="s">
        <v>13531</v>
      </c>
      <c r="B8307" s="6" t="s">
        <v>4471</v>
      </c>
      <c r="C8307" s="26" t="n">
        <v>46261</v>
      </c>
      <c r="D8307" s="6" t="s">
        <v>5220</v>
      </c>
      <c r="E8307" s="6" t="s">
        <v>24</v>
      </c>
      <c r="F8307" s="6" t="n">
        <v>1</v>
      </c>
      <c r="G8307" s="10" t="n">
        <v>1120</v>
      </c>
      <c r="H8307" s="10" t="n">
        <f aca="false">F8307*G8307</f>
        <v>1120</v>
      </c>
      <c r="I8307" s="6" t="s">
        <v>5122</v>
      </c>
    </row>
    <row r="8308" customFormat="false" ht="15" hidden="false" customHeight="false" outlineLevel="0" collapsed="false">
      <c r="A8308" s="6" t="s">
        <v>13532</v>
      </c>
      <c r="B8308" s="6" t="s">
        <v>192</v>
      </c>
      <c r="C8308" s="26" t="n">
        <v>46261</v>
      </c>
      <c r="D8308" s="6" t="s">
        <v>5456</v>
      </c>
      <c r="E8308" s="6" t="s">
        <v>24</v>
      </c>
      <c r="F8308" s="6" t="n">
        <v>3</v>
      </c>
      <c r="G8308" s="10" t="n">
        <v>912</v>
      </c>
      <c r="H8308" s="10" t="n">
        <f aca="false">F8308*G8308</f>
        <v>2736</v>
      </c>
      <c r="I8308" s="6" t="s">
        <v>5130</v>
      </c>
    </row>
    <row r="8309" customFormat="false" ht="15" hidden="false" customHeight="false" outlineLevel="0" collapsed="false">
      <c r="A8309" s="6" t="s">
        <v>13533</v>
      </c>
      <c r="B8309" s="6" t="s">
        <v>549</v>
      </c>
      <c r="C8309" s="26" t="n">
        <v>46261</v>
      </c>
      <c r="D8309" s="6" t="s">
        <v>5691</v>
      </c>
      <c r="E8309" s="6" t="s">
        <v>21</v>
      </c>
      <c r="F8309" s="6" t="n">
        <v>1</v>
      </c>
      <c r="G8309" s="10" t="n">
        <v>5897</v>
      </c>
      <c r="H8309" s="10" t="n">
        <f aca="false">F8309*G8309</f>
        <v>5897</v>
      </c>
      <c r="I8309" s="6" t="s">
        <v>5125</v>
      </c>
    </row>
    <row r="8310" customFormat="false" ht="15" hidden="false" customHeight="false" outlineLevel="0" collapsed="false">
      <c r="A8310" s="6" t="s">
        <v>13534</v>
      </c>
      <c r="B8310" s="6" t="s">
        <v>565</v>
      </c>
      <c r="C8310" s="26" t="n">
        <v>46261</v>
      </c>
      <c r="D8310" s="6" t="s">
        <v>5150</v>
      </c>
      <c r="E8310" s="6" t="s">
        <v>24</v>
      </c>
      <c r="F8310" s="6" t="n">
        <v>1</v>
      </c>
      <c r="G8310" s="10" t="n">
        <v>508</v>
      </c>
      <c r="H8310" s="10" t="n">
        <f aca="false">F8310*G8310</f>
        <v>508</v>
      </c>
      <c r="I8310" s="6" t="s">
        <v>5173</v>
      </c>
    </row>
    <row r="8311" customFormat="false" ht="15" hidden="false" customHeight="false" outlineLevel="0" collapsed="false">
      <c r="A8311" s="6" t="s">
        <v>13535</v>
      </c>
      <c r="B8311" s="6" t="s">
        <v>1511</v>
      </c>
      <c r="C8311" s="26" t="n">
        <v>46261</v>
      </c>
      <c r="D8311" s="6" t="s">
        <v>5207</v>
      </c>
      <c r="E8311" s="6" t="s">
        <v>20</v>
      </c>
      <c r="F8311" s="6" t="n">
        <v>1</v>
      </c>
      <c r="G8311" s="10" t="n">
        <v>1325</v>
      </c>
      <c r="H8311" s="10" t="n">
        <f aca="false">F8311*G8311</f>
        <v>1325</v>
      </c>
      <c r="I8311" s="6" t="s">
        <v>5122</v>
      </c>
    </row>
    <row r="8312" customFormat="false" ht="15" hidden="false" customHeight="false" outlineLevel="0" collapsed="false">
      <c r="A8312" s="6" t="s">
        <v>13536</v>
      </c>
      <c r="B8312" s="6" t="s">
        <v>1481</v>
      </c>
      <c r="C8312" s="26" t="n">
        <v>46262</v>
      </c>
      <c r="D8312" s="6" t="s">
        <v>5185</v>
      </c>
      <c r="E8312" s="6" t="s">
        <v>24</v>
      </c>
      <c r="F8312" s="6" t="n">
        <v>3</v>
      </c>
      <c r="G8312" s="10" t="n">
        <v>2033</v>
      </c>
      <c r="H8312" s="10" t="n">
        <f aca="false">F8312*G8312</f>
        <v>6099</v>
      </c>
      <c r="I8312" s="6" t="s">
        <v>5173</v>
      </c>
    </row>
    <row r="8313" customFormat="false" ht="15" hidden="false" customHeight="false" outlineLevel="0" collapsed="false">
      <c r="A8313" s="6" t="s">
        <v>13537</v>
      </c>
      <c r="B8313" s="6" t="s">
        <v>4907</v>
      </c>
      <c r="C8313" s="26" t="n">
        <v>46262</v>
      </c>
      <c r="D8313" s="6" t="s">
        <v>5171</v>
      </c>
      <c r="E8313" s="6" t="s">
        <v>23</v>
      </c>
      <c r="F8313" s="6" t="n">
        <v>3</v>
      </c>
      <c r="G8313" s="10" t="n">
        <v>661</v>
      </c>
      <c r="H8313" s="10" t="n">
        <f aca="false">F8313*G8313</f>
        <v>1983</v>
      </c>
      <c r="I8313" s="6" t="s">
        <v>5122</v>
      </c>
    </row>
    <row r="8314" customFormat="false" ht="15" hidden="false" customHeight="false" outlineLevel="0" collapsed="false">
      <c r="A8314" s="6" t="s">
        <v>13538</v>
      </c>
      <c r="B8314" s="6" t="s">
        <v>3529</v>
      </c>
      <c r="C8314" s="26" t="n">
        <v>46262</v>
      </c>
      <c r="D8314" s="6" t="s">
        <v>5466</v>
      </c>
      <c r="E8314" s="6" t="s">
        <v>21</v>
      </c>
      <c r="F8314" s="6" t="n">
        <v>1</v>
      </c>
      <c r="G8314" s="10" t="n">
        <v>1965</v>
      </c>
      <c r="H8314" s="10" t="n">
        <f aca="false">F8314*G8314</f>
        <v>1965</v>
      </c>
      <c r="I8314" s="6" t="s">
        <v>5122</v>
      </c>
    </row>
    <row r="8315" customFormat="false" ht="15" hidden="false" customHeight="false" outlineLevel="0" collapsed="false">
      <c r="A8315" s="6" t="s">
        <v>13539</v>
      </c>
      <c r="B8315" s="6" t="s">
        <v>5027</v>
      </c>
      <c r="C8315" s="26" t="n">
        <v>46262</v>
      </c>
      <c r="D8315" s="6" t="s">
        <v>5163</v>
      </c>
      <c r="E8315" s="6" t="s">
        <v>23</v>
      </c>
      <c r="F8315" s="6" t="n">
        <v>3</v>
      </c>
      <c r="G8315" s="10" t="n">
        <v>783</v>
      </c>
      <c r="H8315" s="10" t="n">
        <f aca="false">F8315*G8315</f>
        <v>2349</v>
      </c>
      <c r="I8315" s="6" t="s">
        <v>5122</v>
      </c>
    </row>
    <row r="8316" customFormat="false" ht="15" hidden="false" customHeight="false" outlineLevel="0" collapsed="false">
      <c r="A8316" s="6" t="s">
        <v>13540</v>
      </c>
      <c r="B8316" s="6" t="s">
        <v>3837</v>
      </c>
      <c r="C8316" s="26" t="n">
        <v>46262</v>
      </c>
      <c r="D8316" s="6" t="s">
        <v>5357</v>
      </c>
      <c r="E8316" s="6" t="s">
        <v>23</v>
      </c>
      <c r="F8316" s="6" t="n">
        <v>2</v>
      </c>
      <c r="G8316" s="10" t="n">
        <v>481</v>
      </c>
      <c r="H8316" s="10" t="n">
        <f aca="false">F8316*G8316</f>
        <v>962</v>
      </c>
      <c r="I8316" s="6" t="s">
        <v>5122</v>
      </c>
    </row>
    <row r="8317" customFormat="false" ht="15" hidden="false" customHeight="false" outlineLevel="0" collapsed="false">
      <c r="A8317" s="6" t="s">
        <v>13541</v>
      </c>
      <c r="B8317" s="6" t="s">
        <v>4147</v>
      </c>
      <c r="C8317" s="26" t="n">
        <v>46262</v>
      </c>
      <c r="D8317" s="6" t="s">
        <v>5167</v>
      </c>
      <c r="E8317" s="6" t="s">
        <v>22</v>
      </c>
      <c r="F8317" s="6" t="n">
        <v>1</v>
      </c>
      <c r="G8317" s="10" t="n">
        <v>782</v>
      </c>
      <c r="H8317" s="10" t="n">
        <f aca="false">F8317*G8317</f>
        <v>782</v>
      </c>
      <c r="I8317" s="6" t="s">
        <v>5148</v>
      </c>
    </row>
    <row r="8318" customFormat="false" ht="15" hidden="false" customHeight="false" outlineLevel="0" collapsed="false">
      <c r="A8318" s="6" t="s">
        <v>13542</v>
      </c>
      <c r="B8318" s="6" t="s">
        <v>733</v>
      </c>
      <c r="C8318" s="26" t="n">
        <v>46262</v>
      </c>
      <c r="D8318" s="6" t="s">
        <v>5167</v>
      </c>
      <c r="E8318" s="6" t="s">
        <v>22</v>
      </c>
      <c r="F8318" s="6" t="n">
        <v>2</v>
      </c>
      <c r="G8318" s="10" t="n">
        <v>703</v>
      </c>
      <c r="H8318" s="10" t="n">
        <f aca="false">F8318*G8318</f>
        <v>1406</v>
      </c>
      <c r="I8318" s="6" t="s">
        <v>5130</v>
      </c>
    </row>
    <row r="8319" customFormat="false" ht="15" hidden="false" customHeight="false" outlineLevel="0" collapsed="false">
      <c r="A8319" s="6" t="s">
        <v>13543</v>
      </c>
      <c r="B8319" s="6" t="s">
        <v>3521</v>
      </c>
      <c r="C8319" s="26" t="n">
        <v>46262</v>
      </c>
      <c r="D8319" s="6" t="s">
        <v>5185</v>
      </c>
      <c r="E8319" s="6" t="s">
        <v>24</v>
      </c>
      <c r="F8319" s="6" t="n">
        <v>2</v>
      </c>
      <c r="G8319" s="10" t="n">
        <v>2140</v>
      </c>
      <c r="H8319" s="10" t="n">
        <f aca="false">F8319*G8319</f>
        <v>4280</v>
      </c>
      <c r="I8319" s="6" t="s">
        <v>5122</v>
      </c>
    </row>
    <row r="8320" customFormat="false" ht="15" hidden="false" customHeight="false" outlineLevel="0" collapsed="false">
      <c r="A8320" s="6" t="s">
        <v>13544</v>
      </c>
      <c r="B8320" s="6" t="s">
        <v>154</v>
      </c>
      <c r="C8320" s="26" t="n">
        <v>46262</v>
      </c>
      <c r="D8320" s="6" t="s">
        <v>5167</v>
      </c>
      <c r="E8320" s="6" t="s">
        <v>22</v>
      </c>
      <c r="F8320" s="6" t="n">
        <v>2</v>
      </c>
      <c r="G8320" s="10" t="n">
        <v>782</v>
      </c>
      <c r="H8320" s="10" t="n">
        <f aca="false">F8320*G8320</f>
        <v>1564</v>
      </c>
      <c r="I8320" s="6" t="s">
        <v>5148</v>
      </c>
    </row>
    <row r="8321" customFormat="false" ht="15" hidden="false" customHeight="false" outlineLevel="0" collapsed="false">
      <c r="A8321" s="6" t="s">
        <v>13545</v>
      </c>
      <c r="B8321" s="6" t="s">
        <v>2105</v>
      </c>
      <c r="C8321" s="26" t="n">
        <v>46262</v>
      </c>
      <c r="D8321" s="6" t="s">
        <v>5167</v>
      </c>
      <c r="E8321" s="6" t="s">
        <v>22</v>
      </c>
      <c r="F8321" s="6" t="n">
        <v>2</v>
      </c>
      <c r="G8321" s="10" t="n">
        <v>703</v>
      </c>
      <c r="H8321" s="10" t="n">
        <f aca="false">F8321*G8321</f>
        <v>1406</v>
      </c>
      <c r="I8321" s="6" t="s">
        <v>5130</v>
      </c>
    </row>
    <row r="8322" customFormat="false" ht="15" hidden="false" customHeight="false" outlineLevel="0" collapsed="false">
      <c r="A8322" s="6" t="s">
        <v>13546</v>
      </c>
      <c r="B8322" s="6" t="s">
        <v>4521</v>
      </c>
      <c r="C8322" s="26" t="n">
        <v>46262</v>
      </c>
      <c r="D8322" s="6" t="s">
        <v>5687</v>
      </c>
      <c r="E8322" s="6" t="s">
        <v>20</v>
      </c>
      <c r="F8322" s="6" t="n">
        <v>1</v>
      </c>
      <c r="G8322" s="10" t="n">
        <v>2038</v>
      </c>
      <c r="H8322" s="10" t="n">
        <f aca="false">F8322*G8322</f>
        <v>2038</v>
      </c>
      <c r="I8322" s="6" t="s">
        <v>5148</v>
      </c>
    </row>
    <row r="8323" customFormat="false" ht="15" hidden="false" customHeight="false" outlineLevel="0" collapsed="false">
      <c r="A8323" s="6" t="s">
        <v>13547</v>
      </c>
      <c r="B8323" s="6" t="s">
        <v>3309</v>
      </c>
      <c r="C8323" s="26" t="n">
        <v>46262</v>
      </c>
      <c r="D8323" s="6" t="s">
        <v>5398</v>
      </c>
      <c r="E8323" s="6" t="s">
        <v>24</v>
      </c>
      <c r="F8323" s="6" t="n">
        <v>2</v>
      </c>
      <c r="G8323" s="10" t="n">
        <v>610</v>
      </c>
      <c r="H8323" s="10" t="n">
        <f aca="false">F8323*G8323</f>
        <v>1220</v>
      </c>
      <c r="I8323" s="6" t="s">
        <v>5148</v>
      </c>
    </row>
    <row r="8324" customFormat="false" ht="15" hidden="false" customHeight="false" outlineLevel="0" collapsed="false">
      <c r="A8324" s="6" t="s">
        <v>13548</v>
      </c>
      <c r="B8324" s="6" t="s">
        <v>1587</v>
      </c>
      <c r="C8324" s="26" t="n">
        <v>46262</v>
      </c>
      <c r="D8324" s="6" t="s">
        <v>5129</v>
      </c>
      <c r="E8324" s="6" t="s">
        <v>21</v>
      </c>
      <c r="F8324" s="6" t="n">
        <v>1</v>
      </c>
      <c r="G8324" s="10" t="n">
        <v>589</v>
      </c>
      <c r="H8324" s="10" t="n">
        <f aca="false">F8324*G8324</f>
        <v>589</v>
      </c>
      <c r="I8324" s="6" t="s">
        <v>5122</v>
      </c>
    </row>
    <row r="8325" customFormat="false" ht="15" hidden="false" customHeight="false" outlineLevel="0" collapsed="false">
      <c r="A8325" s="6" t="s">
        <v>13549</v>
      </c>
      <c r="B8325" s="6" t="s">
        <v>3655</v>
      </c>
      <c r="C8325" s="26" t="n">
        <v>46262</v>
      </c>
      <c r="D8325" s="6" t="s">
        <v>5167</v>
      </c>
      <c r="E8325" s="6" t="s">
        <v>22</v>
      </c>
      <c r="F8325" s="6" t="n">
        <v>2</v>
      </c>
      <c r="G8325" s="10" t="n">
        <v>782</v>
      </c>
      <c r="H8325" s="10" t="n">
        <f aca="false">F8325*G8325</f>
        <v>1564</v>
      </c>
      <c r="I8325" s="6" t="s">
        <v>5122</v>
      </c>
    </row>
    <row r="8326" customFormat="false" ht="15" hidden="false" customHeight="false" outlineLevel="0" collapsed="false">
      <c r="A8326" s="6" t="s">
        <v>13550</v>
      </c>
      <c r="B8326" s="6" t="s">
        <v>4373</v>
      </c>
      <c r="C8326" s="26" t="n">
        <v>46262</v>
      </c>
      <c r="D8326" s="6" t="s">
        <v>5202</v>
      </c>
      <c r="E8326" s="6" t="s">
        <v>23</v>
      </c>
      <c r="F8326" s="6" t="n">
        <v>3</v>
      </c>
      <c r="G8326" s="10" t="n">
        <v>245</v>
      </c>
      <c r="H8326" s="10" t="n">
        <f aca="false">F8326*G8326</f>
        <v>735</v>
      </c>
      <c r="I8326" s="6" t="s">
        <v>5122</v>
      </c>
    </row>
    <row r="8327" customFormat="false" ht="15" hidden="false" customHeight="false" outlineLevel="0" collapsed="false">
      <c r="A8327" s="6" t="s">
        <v>13551</v>
      </c>
      <c r="B8327" s="6" t="s">
        <v>1217</v>
      </c>
      <c r="C8327" s="26" t="n">
        <v>46262</v>
      </c>
      <c r="D8327" s="6" t="s">
        <v>5423</v>
      </c>
      <c r="E8327" s="6" t="s">
        <v>21</v>
      </c>
      <c r="F8327" s="6" t="n">
        <v>2</v>
      </c>
      <c r="G8327" s="10" t="n">
        <v>3081</v>
      </c>
      <c r="H8327" s="10" t="n">
        <f aca="false">F8327*G8327</f>
        <v>6162</v>
      </c>
      <c r="I8327" s="6" t="s">
        <v>5122</v>
      </c>
    </row>
    <row r="8328" customFormat="false" ht="15" hidden="false" customHeight="false" outlineLevel="0" collapsed="false">
      <c r="A8328" s="6" t="s">
        <v>13552</v>
      </c>
      <c r="B8328" s="6" t="s">
        <v>2119</v>
      </c>
      <c r="C8328" s="26" t="n">
        <v>46262</v>
      </c>
      <c r="D8328" s="6" t="s">
        <v>5121</v>
      </c>
      <c r="E8328" s="6" t="s">
        <v>22</v>
      </c>
      <c r="F8328" s="6" t="n">
        <v>4</v>
      </c>
      <c r="G8328" s="10" t="n">
        <v>977</v>
      </c>
      <c r="H8328" s="10" t="n">
        <f aca="false">F8328*G8328</f>
        <v>3908</v>
      </c>
      <c r="I8328" s="6" t="s">
        <v>5122</v>
      </c>
    </row>
    <row r="8329" customFormat="false" ht="15" hidden="false" customHeight="false" outlineLevel="0" collapsed="false">
      <c r="A8329" s="6" t="s">
        <v>13553</v>
      </c>
      <c r="B8329" s="6" t="s">
        <v>569</v>
      </c>
      <c r="C8329" s="26" t="n">
        <v>46262</v>
      </c>
      <c r="D8329" s="6" t="s">
        <v>5154</v>
      </c>
      <c r="E8329" s="6" t="s">
        <v>21</v>
      </c>
      <c r="F8329" s="6" t="n">
        <v>1</v>
      </c>
      <c r="G8329" s="10" t="n">
        <v>746</v>
      </c>
      <c r="H8329" s="10" t="n">
        <f aca="false">F8329*G8329</f>
        <v>746</v>
      </c>
      <c r="I8329" s="6" t="s">
        <v>5130</v>
      </c>
    </row>
    <row r="8330" customFormat="false" ht="15" hidden="false" customHeight="false" outlineLevel="0" collapsed="false">
      <c r="A8330" s="6" t="s">
        <v>13554</v>
      </c>
      <c r="B8330" s="6" t="s">
        <v>368</v>
      </c>
      <c r="C8330" s="26" t="n">
        <v>46262</v>
      </c>
      <c r="D8330" s="6" t="s">
        <v>5410</v>
      </c>
      <c r="E8330" s="6" t="s">
        <v>20</v>
      </c>
      <c r="F8330" s="6" t="n">
        <v>1</v>
      </c>
      <c r="G8330" s="10" t="n">
        <v>2421</v>
      </c>
      <c r="H8330" s="10" t="n">
        <f aca="false">F8330*G8330</f>
        <v>2421</v>
      </c>
      <c r="I8330" s="6" t="s">
        <v>5148</v>
      </c>
    </row>
    <row r="8331" customFormat="false" ht="15" hidden="false" customHeight="false" outlineLevel="0" collapsed="false">
      <c r="A8331" s="6" t="s">
        <v>13555</v>
      </c>
      <c r="B8331" s="6" t="s">
        <v>3811</v>
      </c>
      <c r="C8331" s="26" t="n">
        <v>46262</v>
      </c>
      <c r="D8331" s="6" t="s">
        <v>6114</v>
      </c>
      <c r="E8331" s="6" t="s">
        <v>20</v>
      </c>
      <c r="F8331" s="6" t="n">
        <v>1</v>
      </c>
      <c r="G8331" s="10" t="n">
        <v>13255</v>
      </c>
      <c r="H8331" s="10" t="n">
        <f aca="false">F8331*G8331</f>
        <v>13255</v>
      </c>
      <c r="I8331" s="6" t="s">
        <v>5148</v>
      </c>
    </row>
    <row r="8332" customFormat="false" ht="15" hidden="false" customHeight="false" outlineLevel="0" collapsed="false">
      <c r="A8332" s="6" t="s">
        <v>13556</v>
      </c>
      <c r="B8332" s="6" t="s">
        <v>1419</v>
      </c>
      <c r="C8332" s="26" t="n">
        <v>46262</v>
      </c>
      <c r="D8332" s="6" t="s">
        <v>5145</v>
      </c>
      <c r="E8332" s="6" t="s">
        <v>21</v>
      </c>
      <c r="F8332" s="6" t="n">
        <v>1</v>
      </c>
      <c r="G8332" s="10" t="n">
        <v>1277</v>
      </c>
      <c r="H8332" s="10" t="n">
        <f aca="false">F8332*G8332</f>
        <v>1277</v>
      </c>
      <c r="I8332" s="6" t="s">
        <v>5122</v>
      </c>
    </row>
    <row r="8333" customFormat="false" ht="15" hidden="false" customHeight="false" outlineLevel="0" collapsed="false">
      <c r="A8333" s="6" t="s">
        <v>13557</v>
      </c>
      <c r="B8333" s="6" t="s">
        <v>111</v>
      </c>
      <c r="C8333" s="26" t="n">
        <v>46262</v>
      </c>
      <c r="D8333" s="6" t="s">
        <v>5167</v>
      </c>
      <c r="E8333" s="6" t="s">
        <v>22</v>
      </c>
      <c r="F8333" s="6" t="n">
        <v>4</v>
      </c>
      <c r="G8333" s="10" t="n">
        <v>782</v>
      </c>
      <c r="H8333" s="10" t="n">
        <f aca="false">F8333*G8333</f>
        <v>3128</v>
      </c>
      <c r="I8333" s="6" t="s">
        <v>5130</v>
      </c>
    </row>
    <row r="8334" customFormat="false" ht="15" hidden="false" customHeight="false" outlineLevel="0" collapsed="false">
      <c r="A8334" s="6" t="s">
        <v>13558</v>
      </c>
      <c r="B8334" s="6" t="s">
        <v>879</v>
      </c>
      <c r="C8334" s="26" t="n">
        <v>46262</v>
      </c>
      <c r="D8334" s="6" t="s">
        <v>5163</v>
      </c>
      <c r="E8334" s="6" t="s">
        <v>23</v>
      </c>
      <c r="F8334" s="6" t="n">
        <v>2</v>
      </c>
      <c r="G8334" s="10" t="n">
        <v>783</v>
      </c>
      <c r="H8334" s="10" t="n">
        <f aca="false">F8334*G8334</f>
        <v>1566</v>
      </c>
      <c r="I8334" s="6" t="s">
        <v>5148</v>
      </c>
    </row>
    <row r="8335" customFormat="false" ht="15" hidden="false" customHeight="false" outlineLevel="0" collapsed="false">
      <c r="A8335" s="6" t="s">
        <v>13559</v>
      </c>
      <c r="B8335" s="6" t="s">
        <v>941</v>
      </c>
      <c r="C8335" s="26" t="n">
        <v>46262</v>
      </c>
      <c r="D8335" s="6" t="s">
        <v>5398</v>
      </c>
      <c r="E8335" s="6" t="s">
        <v>24</v>
      </c>
      <c r="F8335" s="6" t="n">
        <v>3</v>
      </c>
      <c r="G8335" s="10" t="n">
        <v>580</v>
      </c>
      <c r="H8335" s="10" t="n">
        <f aca="false">F8335*G8335</f>
        <v>1740</v>
      </c>
      <c r="I8335" s="6" t="s">
        <v>5125</v>
      </c>
    </row>
    <row r="8336" customFormat="false" ht="15" hidden="false" customHeight="false" outlineLevel="0" collapsed="false">
      <c r="A8336" s="6" t="s">
        <v>13560</v>
      </c>
      <c r="B8336" s="6" t="s">
        <v>533</v>
      </c>
      <c r="C8336" s="26" t="n">
        <v>46263</v>
      </c>
      <c r="D8336" s="6" t="s">
        <v>5180</v>
      </c>
      <c r="E8336" s="6" t="s">
        <v>24</v>
      </c>
      <c r="F8336" s="6" t="n">
        <v>2</v>
      </c>
      <c r="G8336" s="10" t="n">
        <v>1888</v>
      </c>
      <c r="H8336" s="10" t="n">
        <f aca="false">F8336*G8336</f>
        <v>3776</v>
      </c>
      <c r="I8336" s="6" t="s">
        <v>5122</v>
      </c>
    </row>
    <row r="8337" customFormat="false" ht="15" hidden="false" customHeight="false" outlineLevel="0" collapsed="false">
      <c r="A8337" s="6" t="s">
        <v>13561</v>
      </c>
      <c r="B8337" s="6" t="s">
        <v>2959</v>
      </c>
      <c r="C8337" s="26" t="n">
        <v>46263</v>
      </c>
      <c r="D8337" s="6" t="s">
        <v>5456</v>
      </c>
      <c r="E8337" s="6" t="s">
        <v>24</v>
      </c>
      <c r="F8337" s="6" t="n">
        <v>1</v>
      </c>
      <c r="G8337" s="10" t="n">
        <v>912</v>
      </c>
      <c r="H8337" s="10" t="n">
        <f aca="false">F8337*G8337</f>
        <v>912</v>
      </c>
      <c r="I8337" s="6" t="s">
        <v>5122</v>
      </c>
    </row>
    <row r="8338" customFormat="false" ht="15" hidden="false" customHeight="false" outlineLevel="0" collapsed="false">
      <c r="A8338" s="6" t="s">
        <v>13562</v>
      </c>
      <c r="B8338" s="6" t="s">
        <v>3847</v>
      </c>
      <c r="C8338" s="26" t="n">
        <v>46263</v>
      </c>
      <c r="D8338" s="6" t="s">
        <v>5167</v>
      </c>
      <c r="E8338" s="6" t="s">
        <v>22</v>
      </c>
      <c r="F8338" s="6" t="n">
        <v>1</v>
      </c>
      <c r="G8338" s="10" t="n">
        <v>743</v>
      </c>
      <c r="H8338" s="10" t="n">
        <f aca="false">F8338*G8338</f>
        <v>743</v>
      </c>
      <c r="I8338" s="6" t="s">
        <v>5122</v>
      </c>
    </row>
    <row r="8339" customFormat="false" ht="15" hidden="false" customHeight="false" outlineLevel="0" collapsed="false">
      <c r="A8339" s="6" t="s">
        <v>13563</v>
      </c>
      <c r="B8339" s="6" t="s">
        <v>953</v>
      </c>
      <c r="C8339" s="26" t="n">
        <v>46263</v>
      </c>
      <c r="D8339" s="6" t="s">
        <v>5167</v>
      </c>
      <c r="E8339" s="6" t="s">
        <v>22</v>
      </c>
      <c r="F8339" s="6" t="n">
        <v>1</v>
      </c>
      <c r="G8339" s="10" t="n">
        <v>782</v>
      </c>
      <c r="H8339" s="10" t="n">
        <f aca="false">F8339*G8339</f>
        <v>782</v>
      </c>
      <c r="I8339" s="6" t="s">
        <v>5122</v>
      </c>
    </row>
    <row r="8340" customFormat="false" ht="15" hidden="false" customHeight="false" outlineLevel="0" collapsed="false">
      <c r="A8340" s="6" t="s">
        <v>13564</v>
      </c>
      <c r="B8340" s="6" t="s">
        <v>3669</v>
      </c>
      <c r="C8340" s="26" t="n">
        <v>46263</v>
      </c>
      <c r="D8340" s="6" t="s">
        <v>5121</v>
      </c>
      <c r="E8340" s="6" t="s">
        <v>22</v>
      </c>
      <c r="F8340" s="6" t="n">
        <v>1</v>
      </c>
      <c r="G8340" s="10" t="n">
        <v>977</v>
      </c>
      <c r="H8340" s="10" t="n">
        <f aca="false">F8340*G8340</f>
        <v>977</v>
      </c>
      <c r="I8340" s="6" t="s">
        <v>5130</v>
      </c>
    </row>
    <row r="8341" customFormat="false" ht="15" hidden="false" customHeight="false" outlineLevel="0" collapsed="false">
      <c r="A8341" s="6" t="s">
        <v>13565</v>
      </c>
      <c r="B8341" s="6" t="s">
        <v>1803</v>
      </c>
      <c r="C8341" s="26" t="n">
        <v>46263</v>
      </c>
      <c r="D8341" s="6" t="s">
        <v>5167</v>
      </c>
      <c r="E8341" s="6" t="s">
        <v>22</v>
      </c>
      <c r="F8341" s="6" t="n">
        <v>2</v>
      </c>
      <c r="G8341" s="10" t="n">
        <v>703</v>
      </c>
      <c r="H8341" s="10" t="n">
        <f aca="false">F8341*G8341</f>
        <v>1406</v>
      </c>
      <c r="I8341" s="6" t="s">
        <v>5148</v>
      </c>
    </row>
    <row r="8342" customFormat="false" ht="15" hidden="false" customHeight="false" outlineLevel="0" collapsed="false">
      <c r="A8342" s="6" t="s">
        <v>13566</v>
      </c>
      <c r="B8342" s="6" t="s">
        <v>3153</v>
      </c>
      <c r="C8342" s="26" t="n">
        <v>46263</v>
      </c>
      <c r="D8342" s="6" t="s">
        <v>5124</v>
      </c>
      <c r="E8342" s="6" t="s">
        <v>21</v>
      </c>
      <c r="F8342" s="6" t="n">
        <v>1</v>
      </c>
      <c r="G8342" s="10" t="n">
        <v>3439</v>
      </c>
      <c r="H8342" s="10" t="n">
        <f aca="false">F8342*G8342</f>
        <v>3439</v>
      </c>
      <c r="I8342" s="6" t="s">
        <v>5122</v>
      </c>
    </row>
    <row r="8343" customFormat="false" ht="15" hidden="false" customHeight="false" outlineLevel="0" collapsed="false">
      <c r="A8343" s="6" t="s">
        <v>13567</v>
      </c>
      <c r="B8343" s="6" t="s">
        <v>801</v>
      </c>
      <c r="C8343" s="26" t="n">
        <v>46263</v>
      </c>
      <c r="D8343" s="6" t="s">
        <v>5165</v>
      </c>
      <c r="E8343" s="6" t="s">
        <v>22</v>
      </c>
      <c r="F8343" s="6" t="n">
        <v>1</v>
      </c>
      <c r="G8343" s="10" t="n">
        <v>880</v>
      </c>
      <c r="H8343" s="10" t="n">
        <f aca="false">F8343*G8343</f>
        <v>880</v>
      </c>
      <c r="I8343" s="6" t="s">
        <v>5173</v>
      </c>
    </row>
    <row r="8344" customFormat="false" ht="15" hidden="false" customHeight="false" outlineLevel="0" collapsed="false">
      <c r="A8344" s="6" t="s">
        <v>13568</v>
      </c>
      <c r="B8344" s="6" t="s">
        <v>1741</v>
      </c>
      <c r="C8344" s="26" t="n">
        <v>46263</v>
      </c>
      <c r="D8344" s="6" t="s">
        <v>5171</v>
      </c>
      <c r="E8344" s="6" t="s">
        <v>23</v>
      </c>
      <c r="F8344" s="6" t="n">
        <v>1</v>
      </c>
      <c r="G8344" s="10" t="n">
        <v>733</v>
      </c>
      <c r="H8344" s="10" t="n">
        <f aca="false">F8344*G8344</f>
        <v>733</v>
      </c>
      <c r="I8344" s="6" t="s">
        <v>5125</v>
      </c>
    </row>
    <row r="8345" customFormat="false" ht="15" hidden="false" customHeight="false" outlineLevel="0" collapsed="false">
      <c r="A8345" s="6" t="s">
        <v>13569</v>
      </c>
      <c r="B8345" s="6" t="s">
        <v>4621</v>
      </c>
      <c r="C8345" s="26" t="n">
        <v>46263</v>
      </c>
      <c r="D8345" s="6" t="s">
        <v>5156</v>
      </c>
      <c r="E8345" s="6" t="s">
        <v>21</v>
      </c>
      <c r="F8345" s="6" t="n">
        <v>2</v>
      </c>
      <c r="G8345" s="10" t="n">
        <v>2161</v>
      </c>
      <c r="H8345" s="10" t="n">
        <f aca="false">F8345*G8345</f>
        <v>4322</v>
      </c>
      <c r="I8345" s="6" t="s">
        <v>5122</v>
      </c>
    </row>
    <row r="8346" customFormat="false" ht="15" hidden="false" customHeight="false" outlineLevel="0" collapsed="false">
      <c r="A8346" s="6" t="s">
        <v>13570</v>
      </c>
      <c r="B8346" s="6" t="s">
        <v>1813</v>
      </c>
      <c r="C8346" s="26" t="n">
        <v>46263</v>
      </c>
      <c r="D8346" s="6" t="s">
        <v>5298</v>
      </c>
      <c r="E8346" s="6" t="s">
        <v>23</v>
      </c>
      <c r="F8346" s="6" t="n">
        <v>3</v>
      </c>
      <c r="G8346" s="10" t="n">
        <v>293</v>
      </c>
      <c r="H8346" s="10" t="n">
        <f aca="false">F8346*G8346</f>
        <v>879</v>
      </c>
      <c r="I8346" s="6" t="s">
        <v>5148</v>
      </c>
    </row>
    <row r="8347" customFormat="false" ht="15" hidden="false" customHeight="false" outlineLevel="0" collapsed="false">
      <c r="A8347" s="6" t="s">
        <v>13571</v>
      </c>
      <c r="B8347" s="6" t="s">
        <v>2485</v>
      </c>
      <c r="C8347" s="26" t="n">
        <v>46263</v>
      </c>
      <c r="D8347" s="6" t="s">
        <v>5259</v>
      </c>
      <c r="E8347" s="6" t="s">
        <v>22</v>
      </c>
      <c r="F8347" s="6" t="n">
        <v>1</v>
      </c>
      <c r="G8347" s="10" t="n">
        <v>1564</v>
      </c>
      <c r="H8347" s="10" t="n">
        <f aca="false">F8347*G8347</f>
        <v>1564</v>
      </c>
      <c r="I8347" s="6" t="s">
        <v>5133</v>
      </c>
    </row>
    <row r="8348" customFormat="false" ht="15" hidden="false" customHeight="false" outlineLevel="0" collapsed="false">
      <c r="A8348" s="6" t="s">
        <v>13572</v>
      </c>
      <c r="B8348" s="6" t="s">
        <v>2869</v>
      </c>
      <c r="C8348" s="26" t="n">
        <v>46263</v>
      </c>
      <c r="D8348" s="6" t="s">
        <v>5158</v>
      </c>
      <c r="E8348" s="6" t="s">
        <v>24</v>
      </c>
      <c r="F8348" s="6" t="n">
        <v>3</v>
      </c>
      <c r="G8348" s="10" t="n">
        <v>433</v>
      </c>
      <c r="H8348" s="10" t="n">
        <f aca="false">F8348*G8348</f>
        <v>1299</v>
      </c>
      <c r="I8348" s="6" t="s">
        <v>5130</v>
      </c>
    </row>
    <row r="8349" customFormat="false" ht="15" hidden="false" customHeight="false" outlineLevel="0" collapsed="false">
      <c r="A8349" s="6" t="s">
        <v>13573</v>
      </c>
      <c r="B8349" s="6" t="s">
        <v>358</v>
      </c>
      <c r="C8349" s="26" t="n">
        <v>46263</v>
      </c>
      <c r="D8349" s="6" t="s">
        <v>5261</v>
      </c>
      <c r="E8349" s="6" t="s">
        <v>23</v>
      </c>
      <c r="F8349" s="6" t="n">
        <v>2</v>
      </c>
      <c r="G8349" s="10" t="n">
        <v>175</v>
      </c>
      <c r="H8349" s="10" t="n">
        <f aca="false">F8349*G8349</f>
        <v>350</v>
      </c>
      <c r="I8349" s="6" t="s">
        <v>5130</v>
      </c>
    </row>
    <row r="8350" customFormat="false" ht="15" hidden="false" customHeight="false" outlineLevel="0" collapsed="false">
      <c r="A8350" s="6" t="s">
        <v>13574</v>
      </c>
      <c r="B8350" s="6" t="s">
        <v>1843</v>
      </c>
      <c r="C8350" s="26" t="n">
        <v>46263</v>
      </c>
      <c r="D8350" s="6" t="s">
        <v>5165</v>
      </c>
      <c r="E8350" s="6" t="s">
        <v>22</v>
      </c>
      <c r="F8350" s="6" t="n">
        <v>1</v>
      </c>
      <c r="G8350" s="10" t="n">
        <v>976</v>
      </c>
      <c r="H8350" s="10" t="n">
        <f aca="false">F8350*G8350</f>
        <v>976</v>
      </c>
      <c r="I8350" s="6" t="s">
        <v>5122</v>
      </c>
    </row>
    <row r="8351" customFormat="false" ht="15" hidden="false" customHeight="false" outlineLevel="0" collapsed="false">
      <c r="A8351" s="6" t="s">
        <v>13575</v>
      </c>
      <c r="B8351" s="6" t="s">
        <v>1279</v>
      </c>
      <c r="C8351" s="26" t="n">
        <v>46263</v>
      </c>
      <c r="D8351" s="6" t="s">
        <v>5197</v>
      </c>
      <c r="E8351" s="6" t="s">
        <v>21</v>
      </c>
      <c r="F8351" s="6" t="n">
        <v>1</v>
      </c>
      <c r="G8351" s="10" t="n">
        <v>1080</v>
      </c>
      <c r="H8351" s="10" t="n">
        <f aca="false">F8351*G8351</f>
        <v>1080</v>
      </c>
      <c r="I8351" s="6" t="s">
        <v>5130</v>
      </c>
    </row>
    <row r="8352" customFormat="false" ht="15" hidden="false" customHeight="false" outlineLevel="0" collapsed="false">
      <c r="A8352" s="6" t="s">
        <v>13576</v>
      </c>
      <c r="B8352" s="6" t="s">
        <v>4669</v>
      </c>
      <c r="C8352" s="26" t="n">
        <v>46263</v>
      </c>
      <c r="D8352" s="6" t="s">
        <v>5259</v>
      </c>
      <c r="E8352" s="6" t="s">
        <v>22</v>
      </c>
      <c r="F8352" s="6" t="n">
        <v>1</v>
      </c>
      <c r="G8352" s="10" t="n">
        <v>1564</v>
      </c>
      <c r="H8352" s="10" t="n">
        <f aca="false">F8352*G8352</f>
        <v>1564</v>
      </c>
      <c r="I8352" s="6" t="s">
        <v>5122</v>
      </c>
    </row>
    <row r="8353" customFormat="false" ht="15" hidden="false" customHeight="false" outlineLevel="0" collapsed="false">
      <c r="A8353" s="6" t="s">
        <v>13577</v>
      </c>
      <c r="B8353" s="6" t="s">
        <v>513</v>
      </c>
      <c r="C8353" s="26" t="n">
        <v>46263</v>
      </c>
      <c r="D8353" s="6" t="s">
        <v>5165</v>
      </c>
      <c r="E8353" s="6" t="s">
        <v>22</v>
      </c>
      <c r="F8353" s="6" t="n">
        <v>1</v>
      </c>
      <c r="G8353" s="10" t="n">
        <v>977</v>
      </c>
      <c r="H8353" s="10" t="n">
        <f aca="false">F8353*G8353</f>
        <v>977</v>
      </c>
      <c r="I8353" s="6" t="s">
        <v>5148</v>
      </c>
    </row>
    <row r="8354" customFormat="false" ht="15" hidden="false" customHeight="false" outlineLevel="0" collapsed="false">
      <c r="A8354" s="6" t="s">
        <v>13578</v>
      </c>
      <c r="B8354" s="6" t="s">
        <v>569</v>
      </c>
      <c r="C8354" s="26" t="n">
        <v>46263</v>
      </c>
      <c r="D8354" s="6" t="s">
        <v>5124</v>
      </c>
      <c r="E8354" s="6" t="s">
        <v>21</v>
      </c>
      <c r="F8354" s="6" t="n">
        <v>2</v>
      </c>
      <c r="G8354" s="10" t="n">
        <v>3095</v>
      </c>
      <c r="H8354" s="10" t="n">
        <f aca="false">F8354*G8354</f>
        <v>6190</v>
      </c>
      <c r="I8354" s="6" t="s">
        <v>5148</v>
      </c>
    </row>
    <row r="8355" customFormat="false" ht="15" hidden="false" customHeight="false" outlineLevel="0" collapsed="false">
      <c r="A8355" s="6" t="s">
        <v>13579</v>
      </c>
      <c r="B8355" s="6" t="s">
        <v>2911</v>
      </c>
      <c r="C8355" s="26" t="n">
        <v>46263</v>
      </c>
      <c r="D8355" s="6" t="s">
        <v>5192</v>
      </c>
      <c r="E8355" s="6" t="s">
        <v>20</v>
      </c>
      <c r="F8355" s="6" t="n">
        <v>1</v>
      </c>
      <c r="G8355" s="10" t="n">
        <v>3874</v>
      </c>
      <c r="H8355" s="10" t="n">
        <f aca="false">F8355*G8355</f>
        <v>3874</v>
      </c>
      <c r="I8355" s="6" t="s">
        <v>5122</v>
      </c>
    </row>
    <row r="8356" customFormat="false" ht="15" hidden="false" customHeight="false" outlineLevel="0" collapsed="false">
      <c r="A8356" s="6" t="s">
        <v>13580</v>
      </c>
      <c r="B8356" s="6" t="s">
        <v>3197</v>
      </c>
      <c r="C8356" s="26" t="n">
        <v>46263</v>
      </c>
      <c r="D8356" s="6" t="s">
        <v>5171</v>
      </c>
      <c r="E8356" s="6" t="s">
        <v>23</v>
      </c>
      <c r="F8356" s="6" t="n">
        <v>2</v>
      </c>
      <c r="G8356" s="10" t="n">
        <v>734</v>
      </c>
      <c r="H8356" s="10" t="n">
        <f aca="false">F8356*G8356</f>
        <v>1468</v>
      </c>
      <c r="I8356" s="6" t="s">
        <v>5122</v>
      </c>
    </row>
    <row r="8357" customFormat="false" ht="15" hidden="false" customHeight="false" outlineLevel="0" collapsed="false">
      <c r="A8357" s="6" t="s">
        <v>13581</v>
      </c>
      <c r="B8357" s="6" t="s">
        <v>4601</v>
      </c>
      <c r="C8357" s="26" t="n">
        <v>46263</v>
      </c>
      <c r="D8357" s="6" t="s">
        <v>5121</v>
      </c>
      <c r="E8357" s="6" t="s">
        <v>22</v>
      </c>
      <c r="F8357" s="6" t="n">
        <v>2</v>
      </c>
      <c r="G8357" s="10" t="n">
        <v>977</v>
      </c>
      <c r="H8357" s="10" t="n">
        <f aca="false">F8357*G8357</f>
        <v>1954</v>
      </c>
      <c r="I8357" s="6" t="s">
        <v>5148</v>
      </c>
    </row>
    <row r="8358" customFormat="false" ht="15" hidden="false" customHeight="false" outlineLevel="0" collapsed="false">
      <c r="A8358" s="6" t="s">
        <v>13582</v>
      </c>
      <c r="B8358" s="6" t="s">
        <v>2465</v>
      </c>
      <c r="C8358" s="26" t="n">
        <v>46263</v>
      </c>
      <c r="D8358" s="6" t="s">
        <v>5488</v>
      </c>
      <c r="E8358" s="6" t="s">
        <v>24</v>
      </c>
      <c r="F8358" s="6" t="n">
        <v>2</v>
      </c>
      <c r="G8358" s="10" t="n">
        <v>779</v>
      </c>
      <c r="H8358" s="10" t="n">
        <f aca="false">F8358*G8358</f>
        <v>1558</v>
      </c>
      <c r="I8358" s="6" t="s">
        <v>5122</v>
      </c>
    </row>
    <row r="8359" customFormat="false" ht="15" hidden="false" customHeight="false" outlineLevel="0" collapsed="false">
      <c r="A8359" s="6" t="s">
        <v>13583</v>
      </c>
      <c r="B8359" s="6" t="s">
        <v>4307</v>
      </c>
      <c r="C8359" s="26" t="n">
        <v>46263</v>
      </c>
      <c r="D8359" s="6" t="s">
        <v>5214</v>
      </c>
      <c r="E8359" s="6" t="s">
        <v>20</v>
      </c>
      <c r="F8359" s="6" t="n">
        <v>1</v>
      </c>
      <c r="G8359" s="10" t="n">
        <v>2039</v>
      </c>
      <c r="H8359" s="10" t="n">
        <f aca="false">F8359*G8359</f>
        <v>2039</v>
      </c>
      <c r="I8359" s="6" t="s">
        <v>5148</v>
      </c>
    </row>
    <row r="8360" customFormat="false" ht="15" hidden="false" customHeight="false" outlineLevel="0" collapsed="false">
      <c r="A8360" s="6" t="s">
        <v>13584</v>
      </c>
      <c r="B8360" s="6" t="s">
        <v>1465</v>
      </c>
      <c r="C8360" s="26" t="n">
        <v>46263</v>
      </c>
      <c r="D8360" s="6" t="s">
        <v>5326</v>
      </c>
      <c r="E8360" s="6" t="s">
        <v>22</v>
      </c>
      <c r="F8360" s="6" t="n">
        <v>1</v>
      </c>
      <c r="G8360" s="10" t="n">
        <v>1466</v>
      </c>
      <c r="H8360" s="10" t="n">
        <f aca="false">F8360*G8360</f>
        <v>1466</v>
      </c>
      <c r="I8360" s="6" t="s">
        <v>5125</v>
      </c>
    </row>
    <row r="8361" customFormat="false" ht="15" hidden="false" customHeight="false" outlineLevel="0" collapsed="false">
      <c r="A8361" s="6" t="s">
        <v>13585</v>
      </c>
      <c r="B8361" s="6" t="s">
        <v>457</v>
      </c>
      <c r="C8361" s="26" t="n">
        <v>46263</v>
      </c>
      <c r="D8361" s="6" t="s">
        <v>5167</v>
      </c>
      <c r="E8361" s="6" t="s">
        <v>22</v>
      </c>
      <c r="F8361" s="6" t="n">
        <v>1</v>
      </c>
      <c r="G8361" s="10" t="n">
        <v>742</v>
      </c>
      <c r="H8361" s="10" t="n">
        <f aca="false">F8361*G8361</f>
        <v>742</v>
      </c>
      <c r="I8361" s="6" t="s">
        <v>5125</v>
      </c>
    </row>
    <row r="8362" customFormat="false" ht="15" hidden="false" customHeight="false" outlineLevel="0" collapsed="false">
      <c r="A8362" s="6" t="s">
        <v>13586</v>
      </c>
      <c r="B8362" s="6" t="s">
        <v>3947</v>
      </c>
      <c r="C8362" s="26" t="n">
        <v>46263</v>
      </c>
      <c r="D8362" s="6" t="s">
        <v>5200</v>
      </c>
      <c r="E8362" s="6" t="s">
        <v>24</v>
      </c>
      <c r="F8362" s="6" t="n">
        <v>1</v>
      </c>
      <c r="G8362" s="10" t="n">
        <v>763</v>
      </c>
      <c r="H8362" s="10" t="n">
        <f aca="false">F8362*G8362</f>
        <v>763</v>
      </c>
      <c r="I8362" s="6" t="s">
        <v>5148</v>
      </c>
    </row>
    <row r="8363" customFormat="false" ht="15" hidden="false" customHeight="false" outlineLevel="0" collapsed="false">
      <c r="A8363" s="6" t="s">
        <v>13587</v>
      </c>
      <c r="B8363" s="6" t="s">
        <v>2571</v>
      </c>
      <c r="C8363" s="26" t="n">
        <v>46263</v>
      </c>
      <c r="D8363" s="6" t="s">
        <v>5216</v>
      </c>
      <c r="E8363" s="6" t="s">
        <v>23</v>
      </c>
      <c r="F8363" s="6" t="n">
        <v>5</v>
      </c>
      <c r="G8363" s="10" t="n">
        <v>558</v>
      </c>
      <c r="H8363" s="10" t="n">
        <f aca="false">F8363*G8363</f>
        <v>2790</v>
      </c>
      <c r="I8363" s="6" t="s">
        <v>5122</v>
      </c>
    </row>
    <row r="8364" customFormat="false" ht="15" hidden="false" customHeight="false" outlineLevel="0" collapsed="false">
      <c r="A8364" s="6" t="s">
        <v>13588</v>
      </c>
      <c r="B8364" s="6" t="s">
        <v>1355</v>
      </c>
      <c r="C8364" s="26" t="n">
        <v>46264</v>
      </c>
      <c r="D8364" s="6" t="s">
        <v>5163</v>
      </c>
      <c r="E8364" s="6" t="s">
        <v>23</v>
      </c>
      <c r="F8364" s="6" t="n">
        <v>3</v>
      </c>
      <c r="G8364" s="10" t="n">
        <v>783</v>
      </c>
      <c r="H8364" s="10" t="n">
        <f aca="false">F8364*G8364</f>
        <v>2349</v>
      </c>
      <c r="I8364" s="6" t="s">
        <v>5130</v>
      </c>
    </row>
    <row r="8365" customFormat="false" ht="15" hidden="false" customHeight="false" outlineLevel="0" collapsed="false">
      <c r="A8365" s="6" t="s">
        <v>13589</v>
      </c>
      <c r="B8365" s="6" t="s">
        <v>3495</v>
      </c>
      <c r="C8365" s="26" t="n">
        <v>46264</v>
      </c>
      <c r="D8365" s="6" t="s">
        <v>5202</v>
      </c>
      <c r="E8365" s="6" t="s">
        <v>23</v>
      </c>
      <c r="F8365" s="6" t="n">
        <v>2</v>
      </c>
      <c r="G8365" s="10" t="n">
        <v>220</v>
      </c>
      <c r="H8365" s="10" t="n">
        <f aca="false">F8365*G8365</f>
        <v>440</v>
      </c>
      <c r="I8365" s="6" t="s">
        <v>5122</v>
      </c>
    </row>
    <row r="8366" customFormat="false" ht="15" hidden="false" customHeight="false" outlineLevel="0" collapsed="false">
      <c r="A8366" s="6" t="s">
        <v>13590</v>
      </c>
      <c r="B8366" s="6" t="s">
        <v>2739</v>
      </c>
      <c r="C8366" s="26" t="n">
        <v>46264</v>
      </c>
      <c r="D8366" s="6" t="s">
        <v>5169</v>
      </c>
      <c r="E8366" s="6" t="s">
        <v>20</v>
      </c>
      <c r="F8366" s="6" t="n">
        <v>2</v>
      </c>
      <c r="G8366" s="10" t="n">
        <v>5098</v>
      </c>
      <c r="H8366" s="10" t="n">
        <f aca="false">F8366*G8366</f>
        <v>10196</v>
      </c>
      <c r="I8366" s="6" t="s">
        <v>5130</v>
      </c>
    </row>
    <row r="8367" customFormat="false" ht="15" hidden="false" customHeight="false" outlineLevel="0" collapsed="false">
      <c r="A8367" s="6" t="s">
        <v>13591</v>
      </c>
      <c r="B8367" s="6" t="s">
        <v>4131</v>
      </c>
      <c r="C8367" s="26" t="n">
        <v>46264</v>
      </c>
      <c r="D8367" s="6" t="s">
        <v>5202</v>
      </c>
      <c r="E8367" s="6" t="s">
        <v>23</v>
      </c>
      <c r="F8367" s="6" t="n">
        <v>5</v>
      </c>
      <c r="G8367" s="10" t="n">
        <v>245</v>
      </c>
      <c r="H8367" s="10" t="n">
        <f aca="false">F8367*G8367</f>
        <v>1225</v>
      </c>
      <c r="I8367" s="6" t="s">
        <v>5122</v>
      </c>
    </row>
    <row r="8368" customFormat="false" ht="15" hidden="false" customHeight="false" outlineLevel="0" collapsed="false">
      <c r="A8368" s="6" t="s">
        <v>13592</v>
      </c>
      <c r="B8368" s="6" t="s">
        <v>3995</v>
      </c>
      <c r="C8368" s="26" t="n">
        <v>46264</v>
      </c>
      <c r="D8368" s="6" t="s">
        <v>5175</v>
      </c>
      <c r="E8368" s="6" t="s">
        <v>24</v>
      </c>
      <c r="F8368" s="6" t="n">
        <v>3</v>
      </c>
      <c r="G8368" s="10" t="n">
        <v>610</v>
      </c>
      <c r="H8368" s="10" t="n">
        <f aca="false">F8368*G8368</f>
        <v>1830</v>
      </c>
      <c r="I8368" s="6" t="s">
        <v>5122</v>
      </c>
    </row>
    <row r="8369" customFormat="false" ht="15" hidden="false" customHeight="false" outlineLevel="0" collapsed="false">
      <c r="A8369" s="6" t="s">
        <v>13593</v>
      </c>
      <c r="B8369" s="6" t="s">
        <v>2457</v>
      </c>
      <c r="C8369" s="26" t="n">
        <v>46264</v>
      </c>
      <c r="D8369" s="6" t="s">
        <v>5167</v>
      </c>
      <c r="E8369" s="6" t="s">
        <v>22</v>
      </c>
      <c r="F8369" s="6" t="n">
        <v>2</v>
      </c>
      <c r="G8369" s="10" t="n">
        <v>782</v>
      </c>
      <c r="H8369" s="10" t="n">
        <f aca="false">F8369*G8369</f>
        <v>1564</v>
      </c>
      <c r="I8369" s="6" t="s">
        <v>5125</v>
      </c>
    </row>
    <row r="8370" customFormat="false" ht="15" hidden="false" customHeight="false" outlineLevel="0" collapsed="false">
      <c r="A8370" s="6" t="s">
        <v>13594</v>
      </c>
      <c r="B8370" s="6" t="s">
        <v>2027</v>
      </c>
      <c r="C8370" s="26" t="n">
        <v>46264</v>
      </c>
      <c r="D8370" s="6" t="s">
        <v>5145</v>
      </c>
      <c r="E8370" s="6" t="s">
        <v>21</v>
      </c>
      <c r="F8370" s="6" t="n">
        <v>3</v>
      </c>
      <c r="G8370" s="10" t="n">
        <v>1277</v>
      </c>
      <c r="H8370" s="10" t="n">
        <f aca="false">F8370*G8370</f>
        <v>3831</v>
      </c>
      <c r="I8370" s="6" t="s">
        <v>5125</v>
      </c>
    </row>
    <row r="8371" customFormat="false" ht="15" hidden="false" customHeight="false" outlineLevel="0" collapsed="false">
      <c r="A8371" s="6" t="s">
        <v>13595</v>
      </c>
      <c r="B8371" s="6" t="s">
        <v>4215</v>
      </c>
      <c r="C8371" s="26" t="n">
        <v>46264</v>
      </c>
      <c r="D8371" s="6" t="s">
        <v>5281</v>
      </c>
      <c r="E8371" s="6" t="s">
        <v>24</v>
      </c>
      <c r="F8371" s="6" t="n">
        <v>1</v>
      </c>
      <c r="G8371" s="10" t="n">
        <v>814</v>
      </c>
      <c r="H8371" s="10" t="n">
        <f aca="false">F8371*G8371</f>
        <v>814</v>
      </c>
      <c r="I8371" s="6" t="s">
        <v>5173</v>
      </c>
    </row>
    <row r="8372" customFormat="false" ht="15" hidden="false" customHeight="false" outlineLevel="0" collapsed="false">
      <c r="A8372" s="6" t="s">
        <v>13596</v>
      </c>
      <c r="B8372" s="6" t="s">
        <v>971</v>
      </c>
      <c r="C8372" s="26" t="n">
        <v>46264</v>
      </c>
      <c r="D8372" s="6" t="s">
        <v>5538</v>
      </c>
      <c r="E8372" s="6" t="s">
        <v>21</v>
      </c>
      <c r="F8372" s="6" t="n">
        <v>1</v>
      </c>
      <c r="G8372" s="10" t="n">
        <v>5405</v>
      </c>
      <c r="H8372" s="10" t="n">
        <f aca="false">F8372*G8372</f>
        <v>5405</v>
      </c>
      <c r="I8372" s="6" t="s">
        <v>5122</v>
      </c>
    </row>
    <row r="8373" customFormat="false" ht="15" hidden="false" customHeight="false" outlineLevel="0" collapsed="false">
      <c r="A8373" s="6" t="s">
        <v>13597</v>
      </c>
      <c r="B8373" s="6" t="s">
        <v>4273</v>
      </c>
      <c r="C8373" s="26" t="n">
        <v>46264</v>
      </c>
      <c r="D8373" s="6" t="s">
        <v>5163</v>
      </c>
      <c r="E8373" s="6" t="s">
        <v>23</v>
      </c>
      <c r="F8373" s="6" t="n">
        <v>2</v>
      </c>
      <c r="G8373" s="10" t="n">
        <v>744</v>
      </c>
      <c r="H8373" s="10" t="n">
        <f aca="false">F8373*G8373</f>
        <v>1488</v>
      </c>
      <c r="I8373" s="6" t="s">
        <v>5125</v>
      </c>
    </row>
    <row r="8374" customFormat="false" ht="15" hidden="false" customHeight="false" outlineLevel="0" collapsed="false">
      <c r="A8374" s="6" t="s">
        <v>13598</v>
      </c>
      <c r="B8374" s="6" t="s">
        <v>3647</v>
      </c>
      <c r="C8374" s="26" t="n">
        <v>46264</v>
      </c>
      <c r="D8374" s="6" t="s">
        <v>9706</v>
      </c>
      <c r="E8374" s="6" t="s">
        <v>22</v>
      </c>
      <c r="F8374" s="6" t="n">
        <v>1</v>
      </c>
      <c r="G8374" s="10" t="n">
        <v>3716</v>
      </c>
      <c r="H8374" s="10" t="n">
        <f aca="false">F8374*G8374</f>
        <v>3716</v>
      </c>
      <c r="I8374" s="6" t="s">
        <v>5122</v>
      </c>
    </row>
    <row r="8375" customFormat="false" ht="15" hidden="false" customHeight="false" outlineLevel="0" collapsed="false">
      <c r="A8375" s="6" t="s">
        <v>13599</v>
      </c>
      <c r="B8375" s="6" t="s">
        <v>1663</v>
      </c>
      <c r="C8375" s="26" t="n">
        <v>46264</v>
      </c>
      <c r="D8375" s="6" t="s">
        <v>5135</v>
      </c>
      <c r="E8375" s="6" t="s">
        <v>23</v>
      </c>
      <c r="F8375" s="6" t="n">
        <v>3</v>
      </c>
      <c r="G8375" s="10" t="n">
        <v>441</v>
      </c>
      <c r="H8375" s="10" t="n">
        <f aca="false">F8375*G8375</f>
        <v>1323</v>
      </c>
      <c r="I8375" s="6" t="s">
        <v>5122</v>
      </c>
    </row>
    <row r="8376" customFormat="false" ht="15" hidden="false" customHeight="false" outlineLevel="0" collapsed="false">
      <c r="A8376" s="6" t="s">
        <v>13600</v>
      </c>
      <c r="B8376" s="6" t="s">
        <v>4527</v>
      </c>
      <c r="C8376" s="26" t="n">
        <v>46264</v>
      </c>
      <c r="D8376" s="6" t="s">
        <v>5488</v>
      </c>
      <c r="E8376" s="6" t="s">
        <v>24</v>
      </c>
      <c r="F8376" s="6" t="n">
        <v>4</v>
      </c>
      <c r="G8376" s="10" t="n">
        <v>823</v>
      </c>
      <c r="H8376" s="10" t="n">
        <f aca="false">F8376*G8376</f>
        <v>3292</v>
      </c>
      <c r="I8376" s="6" t="s">
        <v>5125</v>
      </c>
    </row>
    <row r="8377" customFormat="false" ht="15" hidden="false" customHeight="false" outlineLevel="0" collapsed="false">
      <c r="A8377" s="6" t="s">
        <v>13601</v>
      </c>
      <c r="B8377" s="6" t="s">
        <v>433</v>
      </c>
      <c r="C8377" s="26" t="n">
        <v>46264</v>
      </c>
      <c r="D8377" s="6" t="s">
        <v>5357</v>
      </c>
      <c r="E8377" s="6" t="s">
        <v>23</v>
      </c>
      <c r="F8377" s="6" t="n">
        <v>1</v>
      </c>
      <c r="G8377" s="10" t="n">
        <v>507</v>
      </c>
      <c r="H8377" s="10" t="n">
        <f aca="false">F8377*G8377</f>
        <v>507</v>
      </c>
      <c r="I8377" s="6" t="s">
        <v>5148</v>
      </c>
    </row>
    <row r="8378" customFormat="false" ht="15" hidden="false" customHeight="false" outlineLevel="0" collapsed="false">
      <c r="A8378" s="6" t="s">
        <v>13602</v>
      </c>
      <c r="B8378" s="6" t="s">
        <v>1447</v>
      </c>
      <c r="C8378" s="26" t="n">
        <v>46264</v>
      </c>
      <c r="D8378" s="6" t="s">
        <v>5180</v>
      </c>
      <c r="E8378" s="6" t="s">
        <v>24</v>
      </c>
      <c r="F8378" s="6" t="n">
        <v>1</v>
      </c>
      <c r="G8378" s="10" t="n">
        <v>1788</v>
      </c>
      <c r="H8378" s="10" t="n">
        <f aca="false">F8378*G8378</f>
        <v>1788</v>
      </c>
      <c r="I8378" s="6" t="s">
        <v>5122</v>
      </c>
    </row>
    <row r="8379" customFormat="false" ht="15" hidden="false" customHeight="false" outlineLevel="0" collapsed="false">
      <c r="A8379" s="6" t="s">
        <v>13603</v>
      </c>
      <c r="B8379" s="6" t="s">
        <v>317</v>
      </c>
      <c r="C8379" s="26" t="n">
        <v>46264</v>
      </c>
      <c r="D8379" s="6" t="s">
        <v>5398</v>
      </c>
      <c r="E8379" s="6" t="s">
        <v>24</v>
      </c>
      <c r="F8379" s="6" t="n">
        <v>1</v>
      </c>
      <c r="G8379" s="10" t="n">
        <v>580</v>
      </c>
      <c r="H8379" s="10" t="n">
        <f aca="false">F8379*G8379</f>
        <v>580</v>
      </c>
      <c r="I8379" s="6" t="s">
        <v>5148</v>
      </c>
    </row>
    <row r="8380" customFormat="false" ht="15" hidden="false" customHeight="false" outlineLevel="0" collapsed="false">
      <c r="A8380" s="6" t="s">
        <v>13604</v>
      </c>
      <c r="B8380" s="6" t="s">
        <v>723</v>
      </c>
      <c r="C8380" s="26" t="n">
        <v>46264</v>
      </c>
      <c r="D8380" s="6" t="s">
        <v>5214</v>
      </c>
      <c r="E8380" s="6" t="s">
        <v>20</v>
      </c>
      <c r="F8380" s="6" t="n">
        <v>1</v>
      </c>
      <c r="G8380" s="10" t="n">
        <v>2039</v>
      </c>
      <c r="H8380" s="10" t="n">
        <f aca="false">F8380*G8380</f>
        <v>2039</v>
      </c>
      <c r="I8380" s="6" t="s">
        <v>5130</v>
      </c>
    </row>
    <row r="8381" customFormat="false" ht="15" hidden="false" customHeight="false" outlineLevel="0" collapsed="false">
      <c r="A8381" s="6" t="s">
        <v>13605</v>
      </c>
      <c r="B8381" s="6" t="s">
        <v>1415</v>
      </c>
      <c r="C8381" s="26" t="n">
        <v>46264</v>
      </c>
      <c r="D8381" s="6" t="s">
        <v>5298</v>
      </c>
      <c r="E8381" s="6" t="s">
        <v>23</v>
      </c>
      <c r="F8381" s="6" t="n">
        <v>1</v>
      </c>
      <c r="G8381" s="10" t="n">
        <v>293</v>
      </c>
      <c r="H8381" s="10" t="n">
        <f aca="false">F8381*G8381</f>
        <v>293</v>
      </c>
      <c r="I8381" s="6" t="s">
        <v>5148</v>
      </c>
    </row>
    <row r="8382" customFormat="false" ht="15" hidden="false" customHeight="false" outlineLevel="0" collapsed="false">
      <c r="A8382" s="6" t="s">
        <v>13606</v>
      </c>
      <c r="B8382" s="6" t="s">
        <v>4075</v>
      </c>
      <c r="C8382" s="26" t="n">
        <v>46264</v>
      </c>
      <c r="D8382" s="6" t="s">
        <v>5167</v>
      </c>
      <c r="E8382" s="6" t="s">
        <v>22</v>
      </c>
      <c r="F8382" s="6" t="n">
        <v>1</v>
      </c>
      <c r="G8382" s="10" t="n">
        <v>703</v>
      </c>
      <c r="H8382" s="10" t="n">
        <f aca="false">F8382*G8382</f>
        <v>703</v>
      </c>
      <c r="I8382" s="6" t="s">
        <v>5125</v>
      </c>
    </row>
    <row r="8383" customFormat="false" ht="15" hidden="false" customHeight="false" outlineLevel="0" collapsed="false">
      <c r="A8383" s="6" t="s">
        <v>13607</v>
      </c>
      <c r="B8383" s="6" t="s">
        <v>260</v>
      </c>
      <c r="C8383" s="26" t="n">
        <v>46264</v>
      </c>
      <c r="D8383" s="6" t="s">
        <v>5357</v>
      </c>
      <c r="E8383" s="6" t="s">
        <v>23</v>
      </c>
      <c r="F8383" s="6" t="n">
        <v>1</v>
      </c>
      <c r="G8383" s="10" t="n">
        <v>534</v>
      </c>
      <c r="H8383" s="10" t="n">
        <f aca="false">F8383*G8383</f>
        <v>534</v>
      </c>
      <c r="I8383" s="6" t="s">
        <v>5125</v>
      </c>
    </row>
    <row r="8384" customFormat="false" ht="15" hidden="false" customHeight="false" outlineLevel="0" collapsed="false">
      <c r="A8384" s="6" t="s">
        <v>13608</v>
      </c>
      <c r="B8384" s="6" t="s">
        <v>2799</v>
      </c>
      <c r="C8384" s="26" t="n">
        <v>46264</v>
      </c>
      <c r="D8384" s="6" t="s">
        <v>5163</v>
      </c>
      <c r="E8384" s="6" t="s">
        <v>23</v>
      </c>
      <c r="F8384" s="6" t="n">
        <v>5</v>
      </c>
      <c r="G8384" s="10" t="n">
        <v>744</v>
      </c>
      <c r="H8384" s="10" t="n">
        <f aca="false">F8384*G8384</f>
        <v>3720</v>
      </c>
      <c r="I8384" s="6" t="s">
        <v>5122</v>
      </c>
    </row>
    <row r="8385" customFormat="false" ht="15" hidden="false" customHeight="false" outlineLevel="0" collapsed="false">
      <c r="A8385" s="6" t="s">
        <v>13609</v>
      </c>
      <c r="B8385" s="6" t="s">
        <v>3851</v>
      </c>
      <c r="C8385" s="26" t="n">
        <v>46264</v>
      </c>
      <c r="D8385" s="6" t="s">
        <v>5127</v>
      </c>
      <c r="E8385" s="6" t="s">
        <v>21</v>
      </c>
      <c r="F8385" s="6" t="n">
        <v>2</v>
      </c>
      <c r="G8385" s="10" t="n">
        <v>884</v>
      </c>
      <c r="H8385" s="10" t="n">
        <f aca="false">F8385*G8385</f>
        <v>1768</v>
      </c>
      <c r="I8385" s="6" t="s">
        <v>5148</v>
      </c>
    </row>
    <row r="8386" customFormat="false" ht="15" hidden="false" customHeight="false" outlineLevel="0" collapsed="false">
      <c r="A8386" s="6" t="s">
        <v>13610</v>
      </c>
      <c r="B8386" s="6" t="s">
        <v>4659</v>
      </c>
      <c r="C8386" s="26" t="n">
        <v>46264</v>
      </c>
      <c r="D8386" s="6" t="s">
        <v>5687</v>
      </c>
      <c r="E8386" s="6" t="s">
        <v>20</v>
      </c>
      <c r="F8386" s="6" t="n">
        <v>1</v>
      </c>
      <c r="G8386" s="10" t="n">
        <v>1835</v>
      </c>
      <c r="H8386" s="10" t="n">
        <f aca="false">F8386*G8386</f>
        <v>1835</v>
      </c>
      <c r="I8386" s="6" t="s">
        <v>5122</v>
      </c>
    </row>
    <row r="8387" customFormat="false" ht="15" hidden="false" customHeight="false" outlineLevel="0" collapsed="false">
      <c r="A8387" s="6" t="s">
        <v>13611</v>
      </c>
      <c r="B8387" s="6" t="s">
        <v>1673</v>
      </c>
      <c r="C8387" s="26" t="n">
        <v>46264</v>
      </c>
      <c r="D8387" s="6" t="s">
        <v>5167</v>
      </c>
      <c r="E8387" s="6" t="s">
        <v>22</v>
      </c>
      <c r="F8387" s="6" t="n">
        <v>1</v>
      </c>
      <c r="G8387" s="10" t="n">
        <v>782</v>
      </c>
      <c r="H8387" s="10" t="n">
        <f aca="false">F8387*G8387</f>
        <v>782</v>
      </c>
      <c r="I8387" s="6" t="s">
        <v>5122</v>
      </c>
    </row>
    <row r="8388" customFormat="false" ht="15" hidden="false" customHeight="false" outlineLevel="0" collapsed="false">
      <c r="A8388" s="6" t="s">
        <v>13612</v>
      </c>
      <c r="B8388" s="6" t="s">
        <v>3693</v>
      </c>
      <c r="C8388" s="26" t="n">
        <v>46264</v>
      </c>
      <c r="D8388" s="6" t="s">
        <v>5216</v>
      </c>
      <c r="E8388" s="6" t="s">
        <v>23</v>
      </c>
      <c r="F8388" s="6" t="n">
        <v>4</v>
      </c>
      <c r="G8388" s="10" t="n">
        <v>528</v>
      </c>
      <c r="H8388" s="10" t="n">
        <f aca="false">F8388*G8388</f>
        <v>2112</v>
      </c>
      <c r="I8388" s="6" t="s">
        <v>5133</v>
      </c>
    </row>
    <row r="8389" customFormat="false" ht="15" hidden="false" customHeight="false" outlineLevel="0" collapsed="false">
      <c r="A8389" s="6" t="s">
        <v>13613</v>
      </c>
      <c r="B8389" s="6" t="s">
        <v>3997</v>
      </c>
      <c r="C8389" s="26" t="n">
        <v>46264</v>
      </c>
      <c r="D8389" s="6" t="s">
        <v>5185</v>
      </c>
      <c r="E8389" s="6" t="s">
        <v>24</v>
      </c>
      <c r="F8389" s="6" t="n">
        <v>3</v>
      </c>
      <c r="G8389" s="10" t="n">
        <v>2140</v>
      </c>
      <c r="H8389" s="10" t="n">
        <f aca="false">F8389*G8389</f>
        <v>6420</v>
      </c>
      <c r="I8389" s="6" t="s">
        <v>5122</v>
      </c>
    </row>
    <row r="8390" customFormat="false" ht="15" hidden="false" customHeight="false" outlineLevel="0" collapsed="false">
      <c r="A8390" s="6" t="s">
        <v>13614</v>
      </c>
      <c r="B8390" s="6" t="s">
        <v>2423</v>
      </c>
      <c r="C8390" s="26" t="n">
        <v>46264</v>
      </c>
      <c r="D8390" s="6" t="s">
        <v>5165</v>
      </c>
      <c r="E8390" s="6" t="s">
        <v>22</v>
      </c>
      <c r="F8390" s="6" t="n">
        <v>1</v>
      </c>
      <c r="G8390" s="10" t="n">
        <v>977</v>
      </c>
      <c r="H8390" s="10" t="n">
        <f aca="false">F8390*G8390</f>
        <v>977</v>
      </c>
      <c r="I8390" s="6" t="s">
        <v>5122</v>
      </c>
    </row>
    <row r="8391" customFormat="false" ht="15" hidden="false" customHeight="false" outlineLevel="0" collapsed="false">
      <c r="A8391" s="6" t="s">
        <v>13615</v>
      </c>
      <c r="B8391" s="6" t="s">
        <v>3675</v>
      </c>
      <c r="C8391" s="26" t="n">
        <v>46264</v>
      </c>
      <c r="D8391" s="6" t="s">
        <v>5121</v>
      </c>
      <c r="E8391" s="6" t="s">
        <v>22</v>
      </c>
      <c r="F8391" s="6" t="n">
        <v>1</v>
      </c>
      <c r="G8391" s="10" t="n">
        <v>928</v>
      </c>
      <c r="H8391" s="10" t="n">
        <f aca="false">F8391*G8391</f>
        <v>928</v>
      </c>
      <c r="I8391" s="6" t="s">
        <v>5122</v>
      </c>
    </row>
    <row r="8392" customFormat="false" ht="15" hidden="false" customHeight="false" outlineLevel="0" collapsed="false">
      <c r="A8392" s="6" t="s">
        <v>13616</v>
      </c>
      <c r="B8392" s="6" t="s">
        <v>4891</v>
      </c>
      <c r="C8392" s="26" t="n">
        <v>46264</v>
      </c>
      <c r="D8392" s="6" t="s">
        <v>5143</v>
      </c>
      <c r="E8392" s="6" t="s">
        <v>21</v>
      </c>
      <c r="F8392" s="6" t="n">
        <v>1</v>
      </c>
      <c r="G8392" s="10" t="n">
        <v>1179</v>
      </c>
      <c r="H8392" s="10" t="n">
        <f aca="false">F8392*G8392</f>
        <v>1179</v>
      </c>
      <c r="I8392" s="6" t="s">
        <v>5133</v>
      </c>
    </row>
    <row r="8393" customFormat="false" ht="15" hidden="false" customHeight="false" outlineLevel="0" collapsed="false">
      <c r="A8393" s="6" t="s">
        <v>13617</v>
      </c>
      <c r="B8393" s="6" t="s">
        <v>4555</v>
      </c>
      <c r="C8393" s="26" t="n">
        <v>46264</v>
      </c>
      <c r="D8393" s="6" t="s">
        <v>5318</v>
      </c>
      <c r="E8393" s="6" t="s">
        <v>20</v>
      </c>
      <c r="F8393" s="6" t="n">
        <v>2</v>
      </c>
      <c r="G8393" s="10" t="n">
        <v>1529</v>
      </c>
      <c r="H8393" s="10" t="n">
        <f aca="false">F8393*G8393</f>
        <v>3058</v>
      </c>
      <c r="I8393" s="6" t="s">
        <v>5122</v>
      </c>
    </row>
    <row r="8394" customFormat="false" ht="15" hidden="false" customHeight="false" outlineLevel="0" collapsed="false">
      <c r="A8394" s="6" t="s">
        <v>13618</v>
      </c>
      <c r="B8394" s="6" t="s">
        <v>1041</v>
      </c>
      <c r="C8394" s="26" t="n">
        <v>46264</v>
      </c>
      <c r="D8394" s="6" t="s">
        <v>5127</v>
      </c>
      <c r="E8394" s="6" t="s">
        <v>21</v>
      </c>
      <c r="F8394" s="6" t="n">
        <v>1</v>
      </c>
      <c r="G8394" s="10" t="n">
        <v>884</v>
      </c>
      <c r="H8394" s="10" t="n">
        <f aca="false">F8394*G8394</f>
        <v>884</v>
      </c>
      <c r="I8394" s="6" t="s">
        <v>5130</v>
      </c>
    </row>
    <row r="8395" customFormat="false" ht="15" hidden="false" customHeight="false" outlineLevel="0" collapsed="false">
      <c r="A8395" s="6" t="s">
        <v>13619</v>
      </c>
      <c r="B8395" s="6" t="s">
        <v>451</v>
      </c>
      <c r="C8395" s="26" t="n">
        <v>46264</v>
      </c>
      <c r="D8395" s="6" t="s">
        <v>5165</v>
      </c>
      <c r="E8395" s="6" t="s">
        <v>22</v>
      </c>
      <c r="F8395" s="6" t="n">
        <v>1</v>
      </c>
      <c r="G8395" s="10" t="n">
        <v>977</v>
      </c>
      <c r="H8395" s="10" t="n">
        <f aca="false">F8395*G8395</f>
        <v>977</v>
      </c>
      <c r="I8395" s="6" t="s">
        <v>5122</v>
      </c>
    </row>
    <row r="8396" customFormat="false" ht="15" hidden="false" customHeight="false" outlineLevel="0" collapsed="false">
      <c r="A8396" s="6" t="s">
        <v>13620</v>
      </c>
      <c r="B8396" s="6" t="s">
        <v>643</v>
      </c>
      <c r="C8396" s="26" t="n">
        <v>46264</v>
      </c>
      <c r="D8396" s="6" t="s">
        <v>5202</v>
      </c>
      <c r="E8396" s="6" t="s">
        <v>23</v>
      </c>
      <c r="F8396" s="6" t="n">
        <v>4</v>
      </c>
      <c r="G8396" s="10" t="n">
        <v>245</v>
      </c>
      <c r="H8396" s="10" t="n">
        <f aca="false">F8396*G8396</f>
        <v>980</v>
      </c>
      <c r="I8396" s="6" t="s">
        <v>5122</v>
      </c>
    </row>
    <row r="8397" customFormat="false" ht="15" hidden="false" customHeight="false" outlineLevel="0" collapsed="false">
      <c r="A8397" s="6" t="s">
        <v>13621</v>
      </c>
      <c r="B8397" s="6" t="s">
        <v>4779</v>
      </c>
      <c r="C8397" s="26" t="n">
        <v>46265</v>
      </c>
      <c r="D8397" s="6" t="s">
        <v>5171</v>
      </c>
      <c r="E8397" s="6" t="s">
        <v>23</v>
      </c>
      <c r="F8397" s="6" t="n">
        <v>3</v>
      </c>
      <c r="G8397" s="10" t="n">
        <v>734</v>
      </c>
      <c r="H8397" s="10" t="n">
        <f aca="false">F8397*G8397</f>
        <v>2202</v>
      </c>
      <c r="I8397" s="6" t="s">
        <v>5122</v>
      </c>
    </row>
    <row r="8398" customFormat="false" ht="15" hidden="false" customHeight="false" outlineLevel="0" collapsed="false">
      <c r="A8398" s="6" t="s">
        <v>13622</v>
      </c>
      <c r="B8398" s="6" t="s">
        <v>1467</v>
      </c>
      <c r="C8398" s="26" t="n">
        <v>46265</v>
      </c>
      <c r="D8398" s="6" t="s">
        <v>5182</v>
      </c>
      <c r="E8398" s="6" t="s">
        <v>23</v>
      </c>
      <c r="F8398" s="6" t="n">
        <v>3</v>
      </c>
      <c r="G8398" s="10" t="n">
        <v>367</v>
      </c>
      <c r="H8398" s="10" t="n">
        <f aca="false">F8398*G8398</f>
        <v>1101</v>
      </c>
      <c r="I8398" s="6" t="s">
        <v>5130</v>
      </c>
    </row>
    <row r="8399" customFormat="false" ht="15" hidden="false" customHeight="false" outlineLevel="0" collapsed="false">
      <c r="A8399" s="6" t="s">
        <v>13623</v>
      </c>
      <c r="B8399" s="6" t="s">
        <v>1527</v>
      </c>
      <c r="C8399" s="26" t="n">
        <v>46265</v>
      </c>
      <c r="D8399" s="6" t="s">
        <v>5156</v>
      </c>
      <c r="E8399" s="6" t="s">
        <v>21</v>
      </c>
      <c r="F8399" s="6" t="n">
        <v>1</v>
      </c>
      <c r="G8399" s="10" t="n">
        <v>2161</v>
      </c>
      <c r="H8399" s="10" t="n">
        <f aca="false">F8399*G8399</f>
        <v>2161</v>
      </c>
      <c r="I8399" s="6" t="s">
        <v>5122</v>
      </c>
    </row>
    <row r="8400" customFormat="false" ht="15" hidden="false" customHeight="false" outlineLevel="0" collapsed="false">
      <c r="A8400" s="6" t="s">
        <v>13624</v>
      </c>
      <c r="B8400" s="6" t="s">
        <v>3233</v>
      </c>
      <c r="C8400" s="26" t="n">
        <v>46265</v>
      </c>
      <c r="D8400" s="6" t="s">
        <v>5749</v>
      </c>
      <c r="E8400" s="6" t="s">
        <v>20</v>
      </c>
      <c r="F8400" s="6" t="n">
        <v>1</v>
      </c>
      <c r="G8400" s="10" t="n">
        <v>774</v>
      </c>
      <c r="H8400" s="10" t="n">
        <f aca="false">F8400*G8400</f>
        <v>774</v>
      </c>
      <c r="I8400" s="6" t="s">
        <v>5148</v>
      </c>
    </row>
    <row r="8401" customFormat="false" ht="15" hidden="false" customHeight="false" outlineLevel="0" collapsed="false">
      <c r="A8401" s="6" t="s">
        <v>13625</v>
      </c>
      <c r="B8401" s="6" t="s">
        <v>3199</v>
      </c>
      <c r="C8401" s="26" t="n">
        <v>46265</v>
      </c>
      <c r="D8401" s="6" t="s">
        <v>5687</v>
      </c>
      <c r="E8401" s="6" t="s">
        <v>20</v>
      </c>
      <c r="F8401" s="6" t="n">
        <v>1</v>
      </c>
      <c r="G8401" s="10" t="n">
        <v>2039</v>
      </c>
      <c r="H8401" s="10" t="n">
        <f aca="false">F8401*G8401</f>
        <v>2039</v>
      </c>
      <c r="I8401" s="6" t="s">
        <v>5122</v>
      </c>
    </row>
    <row r="8402" customFormat="false" ht="15" hidden="false" customHeight="false" outlineLevel="0" collapsed="false">
      <c r="A8402" s="6" t="s">
        <v>13626</v>
      </c>
      <c r="B8402" s="6" t="s">
        <v>3927</v>
      </c>
      <c r="C8402" s="26" t="n">
        <v>46265</v>
      </c>
      <c r="D8402" s="6" t="s">
        <v>5357</v>
      </c>
      <c r="E8402" s="6" t="s">
        <v>23</v>
      </c>
      <c r="F8402" s="6" t="n">
        <v>1</v>
      </c>
      <c r="G8402" s="10" t="n">
        <v>481</v>
      </c>
      <c r="H8402" s="10" t="n">
        <f aca="false">F8402*G8402</f>
        <v>481</v>
      </c>
      <c r="I8402" s="6" t="s">
        <v>5148</v>
      </c>
    </row>
    <row r="8403" customFormat="false" ht="15" hidden="false" customHeight="false" outlineLevel="0" collapsed="false">
      <c r="A8403" s="6" t="s">
        <v>13627</v>
      </c>
      <c r="B8403" s="6" t="s">
        <v>1905</v>
      </c>
      <c r="C8403" s="26" t="n">
        <v>46265</v>
      </c>
      <c r="D8403" s="6" t="s">
        <v>5141</v>
      </c>
      <c r="E8403" s="6" t="s">
        <v>20</v>
      </c>
      <c r="F8403" s="6" t="n">
        <v>1</v>
      </c>
      <c r="G8403" s="10" t="n">
        <v>1835</v>
      </c>
      <c r="H8403" s="10" t="n">
        <f aca="false">F8403*G8403</f>
        <v>1835</v>
      </c>
      <c r="I8403" s="6" t="s">
        <v>5130</v>
      </c>
    </row>
    <row r="8404" customFormat="false" ht="15" hidden="false" customHeight="false" outlineLevel="0" collapsed="false">
      <c r="A8404" s="6" t="s">
        <v>13628</v>
      </c>
      <c r="B8404" s="6" t="s">
        <v>3095</v>
      </c>
      <c r="C8404" s="26" t="n">
        <v>46265</v>
      </c>
      <c r="D8404" s="6" t="s">
        <v>5259</v>
      </c>
      <c r="E8404" s="6" t="s">
        <v>22</v>
      </c>
      <c r="F8404" s="6" t="n">
        <v>4</v>
      </c>
      <c r="G8404" s="10" t="n">
        <v>1564</v>
      </c>
      <c r="H8404" s="10" t="n">
        <f aca="false">F8404*G8404</f>
        <v>6256</v>
      </c>
      <c r="I8404" s="6" t="s">
        <v>5122</v>
      </c>
    </row>
    <row r="8405" customFormat="false" ht="15" hidden="false" customHeight="false" outlineLevel="0" collapsed="false">
      <c r="A8405" s="6" t="s">
        <v>13629</v>
      </c>
      <c r="B8405" s="6" t="s">
        <v>541</v>
      </c>
      <c r="C8405" s="26" t="n">
        <v>46265</v>
      </c>
      <c r="D8405" s="6" t="s">
        <v>5273</v>
      </c>
      <c r="E8405" s="6" t="s">
        <v>23</v>
      </c>
      <c r="F8405" s="6" t="n">
        <v>5</v>
      </c>
      <c r="G8405" s="10" t="n">
        <v>240</v>
      </c>
      <c r="H8405" s="10" t="n">
        <f aca="false">F8405*G8405</f>
        <v>1200</v>
      </c>
      <c r="I8405" s="6" t="s">
        <v>5148</v>
      </c>
    </row>
    <row r="8406" customFormat="false" ht="15" hidden="false" customHeight="false" outlineLevel="0" collapsed="false">
      <c r="A8406" s="6" t="s">
        <v>13630</v>
      </c>
      <c r="B8406" s="6" t="s">
        <v>3389</v>
      </c>
      <c r="C8406" s="26" t="n">
        <v>46265</v>
      </c>
      <c r="D8406" s="6" t="s">
        <v>5163</v>
      </c>
      <c r="E8406" s="6" t="s">
        <v>23</v>
      </c>
      <c r="F8406" s="6" t="n">
        <v>5</v>
      </c>
      <c r="G8406" s="10" t="n">
        <v>783</v>
      </c>
      <c r="H8406" s="10" t="n">
        <f aca="false">F8406*G8406</f>
        <v>3915</v>
      </c>
      <c r="I8406" s="6" t="s">
        <v>5130</v>
      </c>
    </row>
    <row r="8407" customFormat="false" ht="15" hidden="false" customHeight="false" outlineLevel="0" collapsed="false">
      <c r="A8407" s="6" t="s">
        <v>13631</v>
      </c>
      <c r="B8407" s="6" t="s">
        <v>4927</v>
      </c>
      <c r="C8407" s="26" t="n">
        <v>46265</v>
      </c>
      <c r="D8407" s="6" t="s">
        <v>5353</v>
      </c>
      <c r="E8407" s="6" t="s">
        <v>24</v>
      </c>
      <c r="F8407" s="6" t="n">
        <v>2</v>
      </c>
      <c r="G8407" s="10" t="n">
        <v>1466</v>
      </c>
      <c r="H8407" s="10" t="n">
        <f aca="false">F8407*G8407</f>
        <v>2932</v>
      </c>
      <c r="I8407" s="6" t="s">
        <v>5148</v>
      </c>
    </row>
    <row r="8408" customFormat="false" ht="15" hidden="false" customHeight="false" outlineLevel="0" collapsed="false">
      <c r="A8408" s="6" t="s">
        <v>13632</v>
      </c>
      <c r="B8408" s="6" t="s">
        <v>2235</v>
      </c>
      <c r="C8408" s="26" t="n">
        <v>46265</v>
      </c>
      <c r="D8408" s="6" t="s">
        <v>5194</v>
      </c>
      <c r="E8408" s="6" t="s">
        <v>22</v>
      </c>
      <c r="F8408" s="6" t="n">
        <v>3</v>
      </c>
      <c r="G8408" s="10" t="n">
        <v>2151</v>
      </c>
      <c r="H8408" s="10" t="n">
        <f aca="false">F8408*G8408</f>
        <v>6453</v>
      </c>
      <c r="I8408" s="6" t="s">
        <v>5130</v>
      </c>
    </row>
    <row r="8409" customFormat="false" ht="15" hidden="false" customHeight="false" outlineLevel="0" collapsed="false">
      <c r="A8409" s="6" t="s">
        <v>13633</v>
      </c>
      <c r="B8409" s="6" t="s">
        <v>2683</v>
      </c>
      <c r="C8409" s="26" t="n">
        <v>46265</v>
      </c>
      <c r="D8409" s="6" t="s">
        <v>5175</v>
      </c>
      <c r="E8409" s="6" t="s">
        <v>24</v>
      </c>
      <c r="F8409" s="6" t="n">
        <v>1</v>
      </c>
      <c r="G8409" s="10" t="n">
        <v>610</v>
      </c>
      <c r="H8409" s="10" t="n">
        <f aca="false">F8409*G8409</f>
        <v>610</v>
      </c>
      <c r="I8409" s="6" t="s">
        <v>5130</v>
      </c>
    </row>
    <row r="8410" customFormat="false" ht="15" hidden="false" customHeight="false" outlineLevel="0" collapsed="false">
      <c r="A8410" s="6" t="s">
        <v>13634</v>
      </c>
      <c r="B8410" s="6" t="s">
        <v>4745</v>
      </c>
      <c r="C8410" s="26" t="n">
        <v>46265</v>
      </c>
      <c r="D8410" s="6" t="s">
        <v>5163</v>
      </c>
      <c r="E8410" s="6" t="s">
        <v>23</v>
      </c>
      <c r="F8410" s="6" t="n">
        <v>2</v>
      </c>
      <c r="G8410" s="10" t="n">
        <v>744</v>
      </c>
      <c r="H8410" s="10" t="n">
        <f aca="false">F8410*G8410</f>
        <v>1488</v>
      </c>
      <c r="I8410" s="6" t="s">
        <v>5130</v>
      </c>
    </row>
    <row r="8411" customFormat="false" ht="15" hidden="false" customHeight="false" outlineLevel="0" collapsed="false">
      <c r="A8411" s="6" t="s">
        <v>13635</v>
      </c>
      <c r="B8411" s="6" t="s">
        <v>3175</v>
      </c>
      <c r="C8411" s="26" t="n">
        <v>46265</v>
      </c>
      <c r="D8411" s="6" t="s">
        <v>5214</v>
      </c>
      <c r="E8411" s="6" t="s">
        <v>20</v>
      </c>
      <c r="F8411" s="6" t="n">
        <v>1</v>
      </c>
      <c r="G8411" s="10" t="n">
        <v>2039</v>
      </c>
      <c r="H8411" s="10" t="n">
        <f aca="false">F8411*G8411</f>
        <v>2039</v>
      </c>
      <c r="I8411" s="6" t="s">
        <v>5122</v>
      </c>
    </row>
    <row r="8412" customFormat="false" ht="15" hidden="false" customHeight="false" outlineLevel="0" collapsed="false">
      <c r="A8412" s="6" t="s">
        <v>13636</v>
      </c>
      <c r="B8412" s="6" t="s">
        <v>4033</v>
      </c>
      <c r="C8412" s="26" t="n">
        <v>46265</v>
      </c>
      <c r="D8412" s="6" t="s">
        <v>5192</v>
      </c>
      <c r="E8412" s="6" t="s">
        <v>20</v>
      </c>
      <c r="F8412" s="6" t="n">
        <v>1</v>
      </c>
      <c r="G8412" s="10" t="n">
        <v>4078</v>
      </c>
      <c r="H8412" s="10" t="n">
        <f aca="false">F8412*G8412</f>
        <v>4078</v>
      </c>
      <c r="I8412" s="6" t="s">
        <v>5148</v>
      </c>
    </row>
    <row r="8413" customFormat="false" ht="15" hidden="false" customHeight="false" outlineLevel="0" collapsed="false">
      <c r="A8413" s="6" t="s">
        <v>13637</v>
      </c>
      <c r="B8413" s="6" t="s">
        <v>1803</v>
      </c>
      <c r="C8413" s="26" t="n">
        <v>46265</v>
      </c>
      <c r="D8413" s="6" t="s">
        <v>5175</v>
      </c>
      <c r="E8413" s="6" t="s">
        <v>24</v>
      </c>
      <c r="F8413" s="6" t="n">
        <v>1</v>
      </c>
      <c r="G8413" s="10" t="n">
        <v>610</v>
      </c>
      <c r="H8413" s="10" t="n">
        <f aca="false">F8413*G8413</f>
        <v>610</v>
      </c>
      <c r="I8413" s="6" t="s">
        <v>5122</v>
      </c>
    </row>
    <row r="8414" customFormat="false" ht="15" hidden="false" customHeight="false" outlineLevel="0" collapsed="false">
      <c r="A8414" s="6" t="s">
        <v>13638</v>
      </c>
      <c r="B8414" s="6" t="s">
        <v>2061</v>
      </c>
      <c r="C8414" s="26" t="n">
        <v>46265</v>
      </c>
      <c r="D8414" s="6" t="s">
        <v>5357</v>
      </c>
      <c r="E8414" s="6" t="s">
        <v>23</v>
      </c>
      <c r="F8414" s="6" t="n">
        <v>3</v>
      </c>
      <c r="G8414" s="10" t="n">
        <v>534</v>
      </c>
      <c r="H8414" s="10" t="n">
        <f aca="false">F8414*G8414</f>
        <v>1602</v>
      </c>
      <c r="I8414" s="6" t="s">
        <v>5148</v>
      </c>
    </row>
    <row r="8415" customFormat="false" ht="15" hidden="false" customHeight="false" outlineLevel="0" collapsed="false">
      <c r="A8415" s="6" t="s">
        <v>13639</v>
      </c>
      <c r="B8415" s="6" t="s">
        <v>4259</v>
      </c>
      <c r="C8415" s="26" t="n">
        <v>46265</v>
      </c>
      <c r="D8415" s="6" t="s">
        <v>5165</v>
      </c>
      <c r="E8415" s="6" t="s">
        <v>22</v>
      </c>
      <c r="F8415" s="6" t="n">
        <v>2</v>
      </c>
      <c r="G8415" s="10" t="n">
        <v>977</v>
      </c>
      <c r="H8415" s="10" t="n">
        <f aca="false">F8415*G8415</f>
        <v>1954</v>
      </c>
      <c r="I8415" s="6" t="s">
        <v>5122</v>
      </c>
    </row>
    <row r="8416" customFormat="false" ht="15" hidden="false" customHeight="false" outlineLevel="0" collapsed="false">
      <c r="A8416" s="6" t="s">
        <v>13640</v>
      </c>
      <c r="B8416" s="6" t="s">
        <v>4889</v>
      </c>
      <c r="C8416" s="26" t="n">
        <v>46265</v>
      </c>
      <c r="D8416" s="6" t="s">
        <v>5154</v>
      </c>
      <c r="E8416" s="6" t="s">
        <v>21</v>
      </c>
      <c r="F8416" s="6" t="n">
        <v>1</v>
      </c>
      <c r="G8416" s="10" t="n">
        <v>707</v>
      </c>
      <c r="H8416" s="10" t="n">
        <f aca="false">F8416*G8416</f>
        <v>707</v>
      </c>
      <c r="I8416" s="6" t="s">
        <v>5125</v>
      </c>
    </row>
    <row r="8417" customFormat="false" ht="15" hidden="false" customHeight="false" outlineLevel="0" collapsed="false">
      <c r="A8417" s="6" t="s">
        <v>13641</v>
      </c>
      <c r="B8417" s="6" t="s">
        <v>1577</v>
      </c>
      <c r="C8417" s="26" t="n">
        <v>46265</v>
      </c>
      <c r="D8417" s="6" t="s">
        <v>5235</v>
      </c>
      <c r="E8417" s="6" t="s">
        <v>21</v>
      </c>
      <c r="F8417" s="6" t="n">
        <v>1</v>
      </c>
      <c r="G8417" s="10" t="n">
        <v>1670</v>
      </c>
      <c r="H8417" s="10" t="n">
        <f aca="false">F8417*G8417</f>
        <v>1670</v>
      </c>
      <c r="I8417" s="6" t="s">
        <v>5148</v>
      </c>
    </row>
    <row r="8418" customFormat="false" ht="15" hidden="false" customHeight="false" outlineLevel="0" collapsed="false">
      <c r="A8418" s="6" t="s">
        <v>13642</v>
      </c>
      <c r="B8418" s="6" t="s">
        <v>2151</v>
      </c>
      <c r="C8418" s="26" t="n">
        <v>46265</v>
      </c>
      <c r="D8418" s="6" t="s">
        <v>5522</v>
      </c>
      <c r="E8418" s="6" t="s">
        <v>21</v>
      </c>
      <c r="F8418" s="6" t="n">
        <v>1</v>
      </c>
      <c r="G8418" s="10" t="n">
        <v>12138</v>
      </c>
      <c r="H8418" s="10" t="n">
        <f aca="false">F8418*G8418</f>
        <v>12138</v>
      </c>
      <c r="I8418" s="6" t="s">
        <v>5122</v>
      </c>
    </row>
    <row r="8419" customFormat="false" ht="15" hidden="false" customHeight="false" outlineLevel="0" collapsed="false">
      <c r="A8419" s="6" t="s">
        <v>13643</v>
      </c>
      <c r="B8419" s="6" t="s">
        <v>3745</v>
      </c>
      <c r="C8419" s="26" t="n">
        <v>46265</v>
      </c>
      <c r="D8419" s="6" t="s">
        <v>5182</v>
      </c>
      <c r="E8419" s="6" t="s">
        <v>23</v>
      </c>
      <c r="F8419" s="6" t="n">
        <v>2</v>
      </c>
      <c r="G8419" s="10" t="n">
        <v>367</v>
      </c>
      <c r="H8419" s="10" t="n">
        <f aca="false">F8419*G8419</f>
        <v>734</v>
      </c>
      <c r="I8419" s="6" t="s">
        <v>5130</v>
      </c>
    </row>
    <row r="8420" customFormat="false" ht="15" hidden="false" customHeight="false" outlineLevel="0" collapsed="false">
      <c r="A8420" s="6" t="s">
        <v>13644</v>
      </c>
      <c r="B8420" s="6" t="s">
        <v>4305</v>
      </c>
      <c r="C8420" s="26" t="n">
        <v>46265</v>
      </c>
      <c r="D8420" s="6" t="s">
        <v>5488</v>
      </c>
      <c r="E8420" s="6" t="s">
        <v>24</v>
      </c>
      <c r="F8420" s="6" t="n">
        <v>1</v>
      </c>
      <c r="G8420" s="10" t="n">
        <v>779</v>
      </c>
      <c r="H8420" s="10" t="n">
        <f aca="false">F8420*G8420</f>
        <v>779</v>
      </c>
      <c r="I8420" s="6" t="s">
        <v>5173</v>
      </c>
    </row>
    <row r="8421" customFormat="false" ht="15" hidden="false" customHeight="false" outlineLevel="0" collapsed="false">
      <c r="A8421" s="6" t="s">
        <v>13645</v>
      </c>
      <c r="B8421" s="6" t="s">
        <v>3977</v>
      </c>
      <c r="C8421" s="26" t="n">
        <v>46265</v>
      </c>
      <c r="D8421" s="6" t="s">
        <v>5218</v>
      </c>
      <c r="E8421" s="6" t="s">
        <v>23</v>
      </c>
      <c r="F8421" s="6" t="n">
        <v>3</v>
      </c>
      <c r="G8421" s="10" t="n">
        <v>165</v>
      </c>
      <c r="H8421" s="10" t="n">
        <f aca="false">F8421*G8421</f>
        <v>495</v>
      </c>
      <c r="I8421" s="6" t="s">
        <v>5122</v>
      </c>
    </row>
  </sheetData>
  <autoFilter ref="A1:I84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15"/>
  </cols>
  <sheetData>
    <row r="1" customFormat="false" ht="30" hidden="false" customHeight="true" outlineLevel="0" collapsed="false">
      <c r="A1" s="25" t="s">
        <v>5115</v>
      </c>
      <c r="B1" s="25" t="s">
        <v>13646</v>
      </c>
      <c r="C1" s="25" t="s">
        <v>13</v>
      </c>
      <c r="D1" s="25" t="s">
        <v>13647</v>
      </c>
      <c r="E1" s="25" t="s">
        <v>13648</v>
      </c>
      <c r="F1" s="25" t="s">
        <v>13649</v>
      </c>
    </row>
    <row r="2" customFormat="false" ht="15" hidden="false" customHeight="false" outlineLevel="0" collapsed="false">
      <c r="A2" s="6" t="s">
        <v>5318</v>
      </c>
      <c r="B2" s="6" t="s">
        <v>13650</v>
      </c>
      <c r="C2" s="6" t="s">
        <v>20</v>
      </c>
      <c r="D2" s="6" t="s">
        <v>13651</v>
      </c>
      <c r="E2" s="6" t="s">
        <v>13652</v>
      </c>
      <c r="F2" s="10" t="n">
        <v>1499</v>
      </c>
    </row>
    <row r="3" customFormat="false" ht="15" hidden="false" customHeight="false" outlineLevel="0" collapsed="false">
      <c r="A3" s="6" t="s">
        <v>5169</v>
      </c>
      <c r="B3" s="6" t="s">
        <v>13653</v>
      </c>
      <c r="C3" s="6" t="s">
        <v>20</v>
      </c>
      <c r="D3" s="6" t="s">
        <v>13651</v>
      </c>
      <c r="E3" s="6" t="s">
        <v>13654</v>
      </c>
      <c r="F3" s="10" t="n">
        <v>4999</v>
      </c>
    </row>
    <row r="4" customFormat="false" ht="15" hidden="false" customHeight="false" outlineLevel="0" collapsed="false">
      <c r="A4" s="6" t="s">
        <v>5192</v>
      </c>
      <c r="B4" s="6" t="s">
        <v>13655</v>
      </c>
      <c r="C4" s="6" t="s">
        <v>20</v>
      </c>
      <c r="D4" s="6" t="s">
        <v>13651</v>
      </c>
      <c r="E4" s="6" t="s">
        <v>13656</v>
      </c>
      <c r="F4" s="10" t="n">
        <v>3999</v>
      </c>
    </row>
    <row r="5" customFormat="false" ht="15" hidden="false" customHeight="false" outlineLevel="0" collapsed="false">
      <c r="A5" s="6" t="s">
        <v>5410</v>
      </c>
      <c r="B5" s="6" t="s">
        <v>13657</v>
      </c>
      <c r="C5" s="6" t="s">
        <v>20</v>
      </c>
      <c r="D5" s="6" t="s">
        <v>13658</v>
      </c>
      <c r="E5" s="6" t="s">
        <v>13659</v>
      </c>
      <c r="F5" s="10" t="n">
        <v>2499</v>
      </c>
    </row>
    <row r="6" customFormat="false" ht="15" hidden="false" customHeight="false" outlineLevel="0" collapsed="false">
      <c r="A6" s="6" t="s">
        <v>5214</v>
      </c>
      <c r="B6" s="6" t="s">
        <v>13660</v>
      </c>
      <c r="C6" s="6" t="s">
        <v>20</v>
      </c>
      <c r="D6" s="6" t="s">
        <v>13658</v>
      </c>
      <c r="E6" s="6" t="s">
        <v>13661</v>
      </c>
      <c r="F6" s="10" t="n">
        <v>1999</v>
      </c>
    </row>
    <row r="7" customFormat="false" ht="15" hidden="false" customHeight="false" outlineLevel="0" collapsed="false">
      <c r="A7" s="6" t="s">
        <v>5141</v>
      </c>
      <c r="B7" s="6" t="s">
        <v>13662</v>
      </c>
      <c r="C7" s="6" t="s">
        <v>20</v>
      </c>
      <c r="D7" s="6" t="s">
        <v>13651</v>
      </c>
      <c r="E7" s="6" t="s">
        <v>13663</v>
      </c>
      <c r="F7" s="10" t="n">
        <v>1799</v>
      </c>
    </row>
    <row r="8" customFormat="false" ht="15" hidden="false" customHeight="false" outlineLevel="0" collapsed="false">
      <c r="A8" s="6" t="s">
        <v>5687</v>
      </c>
      <c r="B8" s="6" t="s">
        <v>13664</v>
      </c>
      <c r="C8" s="6" t="s">
        <v>20</v>
      </c>
      <c r="D8" s="6" t="s">
        <v>13665</v>
      </c>
      <c r="E8" s="6" t="s">
        <v>13666</v>
      </c>
      <c r="F8" s="10" t="n">
        <v>1999</v>
      </c>
    </row>
    <row r="9" customFormat="false" ht="15" hidden="false" customHeight="false" outlineLevel="0" collapsed="false">
      <c r="A9" s="6" t="s">
        <v>5561</v>
      </c>
      <c r="B9" s="6" t="s">
        <v>13667</v>
      </c>
      <c r="C9" s="6" t="s">
        <v>20</v>
      </c>
      <c r="D9" s="6" t="s">
        <v>13665</v>
      </c>
      <c r="E9" s="6" t="s">
        <v>13668</v>
      </c>
      <c r="F9" s="10" t="n">
        <v>3299</v>
      </c>
    </row>
    <row r="10" customFormat="false" ht="15" hidden="false" customHeight="false" outlineLevel="0" collapsed="false">
      <c r="A10" s="6" t="s">
        <v>5207</v>
      </c>
      <c r="B10" s="6" t="s">
        <v>13669</v>
      </c>
      <c r="C10" s="6" t="s">
        <v>20</v>
      </c>
      <c r="D10" s="6" t="s">
        <v>13665</v>
      </c>
      <c r="E10" s="6" t="s">
        <v>13670</v>
      </c>
      <c r="F10" s="10" t="n">
        <v>1299</v>
      </c>
    </row>
    <row r="11" customFormat="false" ht="15" hidden="false" customHeight="false" outlineLevel="0" collapsed="false">
      <c r="A11" s="6" t="s">
        <v>5383</v>
      </c>
      <c r="B11" s="6" t="s">
        <v>13671</v>
      </c>
      <c r="C11" s="6" t="s">
        <v>20</v>
      </c>
      <c r="D11" s="6" t="s">
        <v>13672</v>
      </c>
      <c r="E11" s="6" t="s">
        <v>13673</v>
      </c>
      <c r="F11" s="10" t="n">
        <v>1099</v>
      </c>
    </row>
    <row r="12" customFormat="false" ht="15" hidden="false" customHeight="false" outlineLevel="0" collapsed="false">
      <c r="A12" s="6" t="s">
        <v>5305</v>
      </c>
      <c r="B12" s="6" t="s">
        <v>13674</v>
      </c>
      <c r="C12" s="6" t="s">
        <v>20</v>
      </c>
      <c r="D12" s="6" t="s">
        <v>13672</v>
      </c>
      <c r="E12" s="6" t="s">
        <v>13675</v>
      </c>
      <c r="F12" s="10" t="n">
        <v>1599</v>
      </c>
    </row>
    <row r="13" customFormat="false" ht="15" hidden="false" customHeight="false" outlineLevel="0" collapsed="false">
      <c r="A13" s="6" t="s">
        <v>5749</v>
      </c>
      <c r="B13" s="6" t="s">
        <v>13676</v>
      </c>
      <c r="C13" s="6" t="s">
        <v>20</v>
      </c>
      <c r="D13" s="6" t="s">
        <v>13672</v>
      </c>
      <c r="E13" s="6" t="s">
        <v>13677</v>
      </c>
      <c r="F13" s="10" t="n">
        <v>799</v>
      </c>
    </row>
    <row r="14" customFormat="false" ht="15" hidden="false" customHeight="false" outlineLevel="0" collapsed="false">
      <c r="A14" s="6" t="s">
        <v>6114</v>
      </c>
      <c r="B14" s="6" t="s">
        <v>13678</v>
      </c>
      <c r="C14" s="6" t="s">
        <v>20</v>
      </c>
      <c r="D14" s="6" t="s">
        <v>13679</v>
      </c>
      <c r="E14" s="6" t="s">
        <v>13680</v>
      </c>
      <c r="F14" s="10" t="n">
        <v>12999</v>
      </c>
    </row>
    <row r="15" customFormat="false" ht="15" hidden="false" customHeight="false" outlineLevel="0" collapsed="false">
      <c r="A15" s="6" t="s">
        <v>5807</v>
      </c>
      <c r="B15" s="6" t="s">
        <v>13681</v>
      </c>
      <c r="C15" s="6" t="s">
        <v>20</v>
      </c>
      <c r="D15" s="6" t="s">
        <v>13679</v>
      </c>
      <c r="E15" s="6" t="s">
        <v>13663</v>
      </c>
      <c r="F15" s="10" t="n">
        <v>14999</v>
      </c>
    </row>
    <row r="16" customFormat="false" ht="15" hidden="false" customHeight="false" outlineLevel="0" collapsed="false">
      <c r="A16" s="6" t="s">
        <v>5863</v>
      </c>
      <c r="B16" s="6" t="s">
        <v>13682</v>
      </c>
      <c r="C16" s="6" t="s">
        <v>20</v>
      </c>
      <c r="D16" s="6" t="s">
        <v>13679</v>
      </c>
      <c r="E16" s="6" t="s">
        <v>13670</v>
      </c>
      <c r="F16" s="10" t="n">
        <v>19999</v>
      </c>
    </row>
    <row r="17" customFormat="false" ht="15" hidden="false" customHeight="false" outlineLevel="0" collapsed="false">
      <c r="A17" s="6" t="s">
        <v>6101</v>
      </c>
      <c r="B17" s="6" t="s">
        <v>13683</v>
      </c>
      <c r="C17" s="6" t="s">
        <v>20</v>
      </c>
      <c r="D17" s="6" t="s">
        <v>13679</v>
      </c>
      <c r="E17" s="6" t="s">
        <v>13684</v>
      </c>
      <c r="F17" s="10" t="n">
        <v>21999</v>
      </c>
    </row>
    <row r="18" customFormat="false" ht="15" hidden="false" customHeight="false" outlineLevel="0" collapsed="false">
      <c r="A18" s="6" t="s">
        <v>6109</v>
      </c>
      <c r="B18" s="6" t="s">
        <v>13685</v>
      </c>
      <c r="C18" s="6" t="s">
        <v>20</v>
      </c>
      <c r="D18" s="6" t="s">
        <v>13686</v>
      </c>
      <c r="E18" s="6" t="s">
        <v>13687</v>
      </c>
      <c r="F18" s="10" t="n">
        <v>42999</v>
      </c>
    </row>
    <row r="19" customFormat="false" ht="15" hidden="false" customHeight="false" outlineLevel="0" collapsed="false">
      <c r="A19" s="6" t="s">
        <v>5906</v>
      </c>
      <c r="B19" s="6" t="s">
        <v>13688</v>
      </c>
      <c r="C19" s="6" t="s">
        <v>20</v>
      </c>
      <c r="D19" s="6" t="s">
        <v>13686</v>
      </c>
      <c r="E19" s="6" t="s">
        <v>13675</v>
      </c>
      <c r="F19" s="10" t="n">
        <v>54999</v>
      </c>
    </row>
    <row r="20" customFormat="false" ht="15" hidden="false" customHeight="false" outlineLevel="0" collapsed="false">
      <c r="A20" s="6" t="s">
        <v>5240</v>
      </c>
      <c r="B20" s="6" t="s">
        <v>13689</v>
      </c>
      <c r="C20" s="6" t="s">
        <v>20</v>
      </c>
      <c r="D20" s="6" t="s">
        <v>13690</v>
      </c>
      <c r="E20" s="6" t="s">
        <v>13691</v>
      </c>
      <c r="F20" s="10" t="n">
        <v>4999</v>
      </c>
    </row>
    <row r="21" customFormat="false" ht="15" hidden="false" customHeight="false" outlineLevel="0" collapsed="false">
      <c r="A21" s="6" t="s">
        <v>6149</v>
      </c>
      <c r="B21" s="6" t="s">
        <v>13692</v>
      </c>
      <c r="C21" s="6" t="s">
        <v>20</v>
      </c>
      <c r="D21" s="6" t="s">
        <v>13693</v>
      </c>
      <c r="E21" s="6" t="s">
        <v>13694</v>
      </c>
      <c r="F21" s="10" t="n">
        <v>27999</v>
      </c>
    </row>
    <row r="22" customFormat="false" ht="15" hidden="false" customHeight="false" outlineLevel="0" collapsed="false">
      <c r="A22" s="6" t="s">
        <v>5160</v>
      </c>
      <c r="B22" s="6" t="s">
        <v>13695</v>
      </c>
      <c r="C22" s="6" t="s">
        <v>21</v>
      </c>
      <c r="D22" s="6" t="s">
        <v>13696</v>
      </c>
      <c r="E22" s="6" t="s">
        <v>13697</v>
      </c>
      <c r="F22" s="10" t="n">
        <v>2799</v>
      </c>
    </row>
    <row r="23" customFormat="false" ht="15" hidden="false" customHeight="false" outlineLevel="0" collapsed="false">
      <c r="A23" s="6" t="s">
        <v>5466</v>
      </c>
      <c r="B23" s="6" t="s">
        <v>13698</v>
      </c>
      <c r="C23" s="6" t="s">
        <v>21</v>
      </c>
      <c r="D23" s="6" t="s">
        <v>13699</v>
      </c>
      <c r="E23" s="6" t="s">
        <v>13700</v>
      </c>
      <c r="F23" s="10" t="n">
        <v>1999</v>
      </c>
    </row>
    <row r="24" customFormat="false" ht="15" hidden="false" customHeight="false" outlineLevel="0" collapsed="false">
      <c r="A24" s="6" t="s">
        <v>5127</v>
      </c>
      <c r="B24" s="6" t="s">
        <v>13701</v>
      </c>
      <c r="C24" s="6" t="s">
        <v>21</v>
      </c>
      <c r="D24" s="6" t="s">
        <v>13702</v>
      </c>
      <c r="E24" s="6" t="s">
        <v>13703</v>
      </c>
      <c r="F24" s="10" t="n">
        <v>899</v>
      </c>
    </row>
    <row r="25" customFormat="false" ht="15" hidden="false" customHeight="false" outlineLevel="0" collapsed="false">
      <c r="A25" s="6" t="s">
        <v>5197</v>
      </c>
      <c r="B25" s="6" t="s">
        <v>13704</v>
      </c>
      <c r="C25" s="6" t="s">
        <v>21</v>
      </c>
      <c r="D25" s="6" t="s">
        <v>13702</v>
      </c>
      <c r="E25" s="6" t="s">
        <v>13705</v>
      </c>
      <c r="F25" s="10" t="n">
        <v>1099</v>
      </c>
    </row>
    <row r="26" customFormat="false" ht="15" hidden="false" customHeight="false" outlineLevel="0" collapsed="false">
      <c r="A26" s="6" t="s">
        <v>5156</v>
      </c>
      <c r="B26" s="6" t="s">
        <v>13706</v>
      </c>
      <c r="C26" s="6" t="s">
        <v>21</v>
      </c>
      <c r="D26" s="6" t="s">
        <v>13707</v>
      </c>
      <c r="E26" s="6" t="s">
        <v>13708</v>
      </c>
      <c r="F26" s="10" t="n">
        <v>2199</v>
      </c>
    </row>
    <row r="27" customFormat="false" ht="15" hidden="false" customHeight="false" outlineLevel="0" collapsed="false">
      <c r="A27" s="6" t="s">
        <v>5423</v>
      </c>
      <c r="B27" s="6" t="s">
        <v>13709</v>
      </c>
      <c r="C27" s="6" t="s">
        <v>21</v>
      </c>
      <c r="D27" s="6" t="s">
        <v>13707</v>
      </c>
      <c r="E27" s="6" t="s">
        <v>13710</v>
      </c>
      <c r="F27" s="10" t="n">
        <v>3299</v>
      </c>
    </row>
    <row r="28" customFormat="false" ht="15" hidden="false" customHeight="false" outlineLevel="0" collapsed="false">
      <c r="A28" s="6" t="s">
        <v>5129</v>
      </c>
      <c r="B28" s="6" t="s">
        <v>13711</v>
      </c>
      <c r="C28" s="6" t="s">
        <v>21</v>
      </c>
      <c r="D28" s="6" t="s">
        <v>13712</v>
      </c>
      <c r="E28" s="6" t="s">
        <v>13713</v>
      </c>
      <c r="F28" s="10" t="n">
        <v>599</v>
      </c>
    </row>
    <row r="29" customFormat="false" ht="15" hidden="false" customHeight="false" outlineLevel="0" collapsed="false">
      <c r="A29" s="6" t="s">
        <v>5588</v>
      </c>
      <c r="B29" s="6" t="s">
        <v>13714</v>
      </c>
      <c r="C29" s="6" t="s">
        <v>21</v>
      </c>
      <c r="D29" s="6" t="s">
        <v>13715</v>
      </c>
      <c r="E29" s="6" t="s">
        <v>13716</v>
      </c>
      <c r="F29" s="10" t="n">
        <v>11999</v>
      </c>
    </row>
    <row r="30" customFormat="false" ht="15" hidden="false" customHeight="false" outlineLevel="0" collapsed="false">
      <c r="A30" s="6" t="s">
        <v>5145</v>
      </c>
      <c r="B30" s="6" t="s">
        <v>13717</v>
      </c>
      <c r="C30" s="6" t="s">
        <v>21</v>
      </c>
      <c r="D30" s="6" t="s">
        <v>13715</v>
      </c>
      <c r="E30" s="6" t="s">
        <v>13718</v>
      </c>
      <c r="F30" s="10" t="n">
        <v>1299</v>
      </c>
    </row>
    <row r="31" customFormat="false" ht="15" hidden="false" customHeight="false" outlineLevel="0" collapsed="false">
      <c r="A31" s="6" t="s">
        <v>5137</v>
      </c>
      <c r="B31" s="6" t="s">
        <v>13719</v>
      </c>
      <c r="C31" s="6" t="s">
        <v>21</v>
      </c>
      <c r="D31" s="6" t="s">
        <v>13715</v>
      </c>
      <c r="E31" s="6" t="s">
        <v>13720</v>
      </c>
      <c r="F31" s="10" t="n">
        <v>1799</v>
      </c>
    </row>
    <row r="32" customFormat="false" ht="15" hidden="false" customHeight="false" outlineLevel="0" collapsed="false">
      <c r="A32" s="6" t="s">
        <v>5235</v>
      </c>
      <c r="B32" s="6" t="s">
        <v>13721</v>
      </c>
      <c r="C32" s="6" t="s">
        <v>21</v>
      </c>
      <c r="D32" s="6" t="s">
        <v>13722</v>
      </c>
      <c r="E32" s="6" t="s">
        <v>13723</v>
      </c>
      <c r="F32" s="10" t="n">
        <v>1699</v>
      </c>
    </row>
    <row r="33" customFormat="false" ht="15" hidden="false" customHeight="false" outlineLevel="0" collapsed="false">
      <c r="A33" s="6" t="s">
        <v>5245</v>
      </c>
      <c r="B33" s="6" t="s">
        <v>13724</v>
      </c>
      <c r="C33" s="6" t="s">
        <v>21</v>
      </c>
      <c r="D33" s="6" t="s">
        <v>13725</v>
      </c>
      <c r="E33" s="6" t="s">
        <v>13726</v>
      </c>
      <c r="F33" s="10" t="n">
        <v>2499</v>
      </c>
    </row>
    <row r="34" customFormat="false" ht="15" hidden="false" customHeight="false" outlineLevel="0" collapsed="false">
      <c r="A34" s="6" t="s">
        <v>5292</v>
      </c>
      <c r="B34" s="6" t="s">
        <v>13727</v>
      </c>
      <c r="C34" s="6" t="s">
        <v>21</v>
      </c>
      <c r="D34" s="6" t="s">
        <v>13725</v>
      </c>
      <c r="E34" s="6" t="s">
        <v>13728</v>
      </c>
      <c r="F34" s="10" t="n">
        <v>6999</v>
      </c>
    </row>
    <row r="35" customFormat="false" ht="15" hidden="false" customHeight="false" outlineLevel="0" collapsed="false">
      <c r="A35" s="6" t="s">
        <v>5538</v>
      </c>
      <c r="B35" s="6" t="s">
        <v>13729</v>
      </c>
      <c r="C35" s="6" t="s">
        <v>21</v>
      </c>
      <c r="D35" s="6" t="s">
        <v>13730</v>
      </c>
      <c r="E35" s="6" t="s">
        <v>13731</v>
      </c>
      <c r="F35" s="10" t="n">
        <v>5499</v>
      </c>
    </row>
    <row r="36" customFormat="false" ht="15" hidden="false" customHeight="false" outlineLevel="0" collapsed="false">
      <c r="A36" s="6" t="s">
        <v>5837</v>
      </c>
      <c r="B36" s="6" t="s">
        <v>13732</v>
      </c>
      <c r="C36" s="6" t="s">
        <v>21</v>
      </c>
      <c r="D36" s="6" t="s">
        <v>13733</v>
      </c>
      <c r="E36" s="6" t="s">
        <v>13734</v>
      </c>
      <c r="F36" s="10" t="n">
        <v>2999</v>
      </c>
    </row>
    <row r="37" customFormat="false" ht="15" hidden="false" customHeight="false" outlineLevel="0" collapsed="false">
      <c r="A37" s="6" t="s">
        <v>5154</v>
      </c>
      <c r="B37" s="6" t="s">
        <v>13735</v>
      </c>
      <c r="C37" s="6" t="s">
        <v>21</v>
      </c>
      <c r="D37" s="6" t="s">
        <v>13736</v>
      </c>
      <c r="E37" s="6" t="s">
        <v>13737</v>
      </c>
      <c r="F37" s="10" t="n">
        <v>799</v>
      </c>
    </row>
    <row r="38" customFormat="false" ht="15" hidden="false" customHeight="false" outlineLevel="0" collapsed="false">
      <c r="A38" s="6" t="s">
        <v>5522</v>
      </c>
      <c r="B38" s="6" t="s">
        <v>13738</v>
      </c>
      <c r="C38" s="6" t="s">
        <v>21</v>
      </c>
      <c r="D38" s="6" t="s">
        <v>13707</v>
      </c>
      <c r="E38" s="6" t="s">
        <v>13739</v>
      </c>
      <c r="F38" s="10" t="n">
        <v>12999</v>
      </c>
    </row>
    <row r="39" customFormat="false" ht="15" hidden="false" customHeight="false" outlineLevel="0" collapsed="false">
      <c r="A39" s="6" t="s">
        <v>5143</v>
      </c>
      <c r="B39" s="6" t="s">
        <v>13740</v>
      </c>
      <c r="C39" s="6" t="s">
        <v>21</v>
      </c>
      <c r="D39" s="6" t="s">
        <v>13707</v>
      </c>
      <c r="E39" s="6" t="s">
        <v>13741</v>
      </c>
      <c r="F39" s="10" t="n">
        <v>1199</v>
      </c>
    </row>
    <row r="40" customFormat="false" ht="15" hidden="false" customHeight="false" outlineLevel="0" collapsed="false">
      <c r="A40" s="6" t="s">
        <v>5124</v>
      </c>
      <c r="B40" s="6" t="s">
        <v>13742</v>
      </c>
      <c r="C40" s="6" t="s">
        <v>21</v>
      </c>
      <c r="D40" s="6" t="s">
        <v>13696</v>
      </c>
      <c r="E40" s="6" t="s">
        <v>13743</v>
      </c>
      <c r="F40" s="10" t="n">
        <v>3499</v>
      </c>
    </row>
    <row r="41" customFormat="false" ht="15" hidden="false" customHeight="false" outlineLevel="0" collapsed="false">
      <c r="A41" s="6" t="s">
        <v>5691</v>
      </c>
      <c r="B41" s="6" t="s">
        <v>13744</v>
      </c>
      <c r="C41" s="6" t="s">
        <v>21</v>
      </c>
      <c r="D41" s="6" t="s">
        <v>13696</v>
      </c>
      <c r="E41" s="6" t="s">
        <v>13745</v>
      </c>
      <c r="F41" s="10" t="n">
        <v>5999</v>
      </c>
    </row>
    <row r="42" customFormat="false" ht="15" hidden="false" customHeight="false" outlineLevel="0" collapsed="false">
      <c r="A42" s="6" t="s">
        <v>5194</v>
      </c>
      <c r="B42" s="6" t="s">
        <v>13746</v>
      </c>
      <c r="C42" s="6" t="s">
        <v>22</v>
      </c>
      <c r="D42" s="6" t="s">
        <v>13747</v>
      </c>
      <c r="E42" s="6" t="s">
        <v>13748</v>
      </c>
      <c r="F42" s="10" t="n">
        <v>2199</v>
      </c>
    </row>
    <row r="43" customFormat="false" ht="15" hidden="false" customHeight="false" outlineLevel="0" collapsed="false">
      <c r="A43" s="6" t="s">
        <v>5326</v>
      </c>
      <c r="B43" s="6" t="s">
        <v>13749</v>
      </c>
      <c r="C43" s="6" t="s">
        <v>22</v>
      </c>
      <c r="D43" s="6" t="s">
        <v>13747</v>
      </c>
      <c r="E43" s="6" t="s">
        <v>13750</v>
      </c>
      <c r="F43" s="10" t="n">
        <v>1499</v>
      </c>
    </row>
    <row r="44" customFormat="false" ht="15" hidden="false" customHeight="false" outlineLevel="0" collapsed="false">
      <c r="A44" s="6" t="s">
        <v>5313</v>
      </c>
      <c r="B44" s="6" t="s">
        <v>13751</v>
      </c>
      <c r="C44" s="6" t="s">
        <v>22</v>
      </c>
      <c r="D44" s="6" t="s">
        <v>13747</v>
      </c>
      <c r="E44" s="6" t="s">
        <v>13752</v>
      </c>
      <c r="F44" s="10" t="n">
        <v>1799</v>
      </c>
    </row>
    <row r="45" customFormat="false" ht="15" hidden="false" customHeight="false" outlineLevel="0" collapsed="false">
      <c r="A45" s="6" t="s">
        <v>5165</v>
      </c>
      <c r="B45" s="6" t="s">
        <v>13753</v>
      </c>
      <c r="C45" s="6" t="s">
        <v>22</v>
      </c>
      <c r="D45" s="6" t="s">
        <v>13754</v>
      </c>
      <c r="E45" s="6" t="s">
        <v>13755</v>
      </c>
      <c r="F45" s="10" t="n">
        <v>999</v>
      </c>
    </row>
    <row r="46" customFormat="false" ht="15" hidden="false" customHeight="false" outlineLevel="0" collapsed="false">
      <c r="A46" s="6" t="s">
        <v>5257</v>
      </c>
      <c r="B46" s="6" t="s">
        <v>13756</v>
      </c>
      <c r="C46" s="6" t="s">
        <v>22</v>
      </c>
      <c r="D46" s="6" t="s">
        <v>13754</v>
      </c>
      <c r="E46" s="6" t="s">
        <v>13757</v>
      </c>
      <c r="F46" s="10" t="n">
        <v>2299</v>
      </c>
    </row>
    <row r="47" customFormat="false" ht="15" hidden="false" customHeight="false" outlineLevel="0" collapsed="false">
      <c r="A47" s="6" t="s">
        <v>5683</v>
      </c>
      <c r="B47" s="6" t="s">
        <v>13758</v>
      </c>
      <c r="C47" s="6" t="s">
        <v>22</v>
      </c>
      <c r="D47" s="6" t="s">
        <v>13759</v>
      </c>
      <c r="E47" s="6" t="s">
        <v>13760</v>
      </c>
      <c r="F47" s="10" t="n">
        <v>1799</v>
      </c>
    </row>
    <row r="48" customFormat="false" ht="15" hidden="false" customHeight="false" outlineLevel="0" collapsed="false">
      <c r="A48" s="6" t="s">
        <v>5707</v>
      </c>
      <c r="B48" s="6" t="s">
        <v>13761</v>
      </c>
      <c r="C48" s="6" t="s">
        <v>22</v>
      </c>
      <c r="D48" s="6" t="s">
        <v>13759</v>
      </c>
      <c r="E48" s="6" t="s">
        <v>13762</v>
      </c>
      <c r="F48" s="10" t="n">
        <v>2499</v>
      </c>
    </row>
    <row r="49" customFormat="false" ht="15" hidden="false" customHeight="false" outlineLevel="0" collapsed="false">
      <c r="A49" s="6" t="s">
        <v>6046</v>
      </c>
      <c r="B49" s="6" t="s">
        <v>13763</v>
      </c>
      <c r="C49" s="6" t="s">
        <v>22</v>
      </c>
      <c r="D49" s="6" t="s">
        <v>13759</v>
      </c>
      <c r="E49" s="6" t="s">
        <v>13764</v>
      </c>
      <c r="F49" s="10" t="n">
        <v>4499</v>
      </c>
    </row>
    <row r="50" customFormat="false" ht="15" hidden="false" customHeight="false" outlineLevel="0" collapsed="false">
      <c r="A50" s="6" t="s">
        <v>5259</v>
      </c>
      <c r="B50" s="6" t="s">
        <v>13765</v>
      </c>
      <c r="C50" s="6" t="s">
        <v>22</v>
      </c>
      <c r="D50" s="6" t="s">
        <v>13766</v>
      </c>
      <c r="E50" s="6" t="s">
        <v>13767</v>
      </c>
      <c r="F50" s="10" t="n">
        <v>1599</v>
      </c>
    </row>
    <row r="51" customFormat="false" ht="15" hidden="false" customHeight="false" outlineLevel="0" collapsed="false">
      <c r="A51" s="6" t="s">
        <v>5277</v>
      </c>
      <c r="B51" s="6" t="s">
        <v>13768</v>
      </c>
      <c r="C51" s="6" t="s">
        <v>22</v>
      </c>
      <c r="D51" s="6" t="s">
        <v>13766</v>
      </c>
      <c r="E51" s="6" t="s">
        <v>13769</v>
      </c>
      <c r="F51" s="10" t="n">
        <v>2799</v>
      </c>
    </row>
    <row r="52" customFormat="false" ht="15" hidden="false" customHeight="false" outlineLevel="0" collapsed="false">
      <c r="A52" s="6" t="s">
        <v>5121</v>
      </c>
      <c r="B52" s="6" t="s">
        <v>13770</v>
      </c>
      <c r="C52" s="6" t="s">
        <v>22</v>
      </c>
      <c r="D52" s="6" t="s">
        <v>13766</v>
      </c>
      <c r="E52" s="6" t="s">
        <v>13771</v>
      </c>
      <c r="F52" s="10" t="n">
        <v>999</v>
      </c>
    </row>
    <row r="53" customFormat="false" ht="15" hidden="false" customHeight="false" outlineLevel="0" collapsed="false">
      <c r="A53" s="6" t="s">
        <v>5762</v>
      </c>
      <c r="B53" s="6" t="s">
        <v>13772</v>
      </c>
      <c r="C53" s="6" t="s">
        <v>22</v>
      </c>
      <c r="D53" s="6" t="s">
        <v>13766</v>
      </c>
      <c r="E53" s="6" t="s">
        <v>13773</v>
      </c>
      <c r="F53" s="10" t="n">
        <v>3499</v>
      </c>
    </row>
    <row r="54" customFormat="false" ht="15" hidden="false" customHeight="false" outlineLevel="0" collapsed="false">
      <c r="A54" s="6" t="s">
        <v>9706</v>
      </c>
      <c r="B54" s="6" t="s">
        <v>13774</v>
      </c>
      <c r="C54" s="6" t="s">
        <v>22</v>
      </c>
      <c r="D54" s="6" t="s">
        <v>13775</v>
      </c>
      <c r="E54" s="6" t="s">
        <v>13776</v>
      </c>
      <c r="F54" s="10" t="n">
        <v>3999</v>
      </c>
    </row>
    <row r="55" customFormat="false" ht="15" hidden="false" customHeight="false" outlineLevel="0" collapsed="false">
      <c r="A55" s="6" t="s">
        <v>5269</v>
      </c>
      <c r="B55" s="6" t="s">
        <v>13777</v>
      </c>
      <c r="C55" s="6" t="s">
        <v>22</v>
      </c>
      <c r="D55" s="6" t="s">
        <v>13775</v>
      </c>
      <c r="E55" s="6" t="s">
        <v>13778</v>
      </c>
      <c r="F55" s="10" t="n">
        <v>1299</v>
      </c>
    </row>
    <row r="56" customFormat="false" ht="15" hidden="false" customHeight="false" outlineLevel="0" collapsed="false">
      <c r="A56" s="6" t="s">
        <v>5152</v>
      </c>
      <c r="B56" s="6" t="s">
        <v>13779</v>
      </c>
      <c r="C56" s="6" t="s">
        <v>22</v>
      </c>
      <c r="D56" s="6" t="s">
        <v>13780</v>
      </c>
      <c r="E56" s="6" t="s">
        <v>13781</v>
      </c>
      <c r="F56" s="10" t="n">
        <v>1799</v>
      </c>
    </row>
    <row r="57" customFormat="false" ht="15" hidden="false" customHeight="false" outlineLevel="0" collapsed="false">
      <c r="A57" s="6" t="s">
        <v>5303</v>
      </c>
      <c r="B57" s="6" t="s">
        <v>13782</v>
      </c>
      <c r="C57" s="6" t="s">
        <v>22</v>
      </c>
      <c r="D57" s="6" t="s">
        <v>13780</v>
      </c>
      <c r="E57" s="6" t="s">
        <v>13783</v>
      </c>
      <c r="F57" s="10" t="n">
        <v>2499</v>
      </c>
    </row>
    <row r="58" customFormat="false" ht="15" hidden="false" customHeight="false" outlineLevel="0" collapsed="false">
      <c r="A58" s="6" t="s">
        <v>5167</v>
      </c>
      <c r="B58" s="6" t="s">
        <v>13784</v>
      </c>
      <c r="C58" s="6" t="s">
        <v>22</v>
      </c>
      <c r="D58" s="6" t="s">
        <v>13785</v>
      </c>
      <c r="E58" s="6" t="s">
        <v>13786</v>
      </c>
      <c r="F58" s="10" t="n">
        <v>799</v>
      </c>
    </row>
    <row r="59" customFormat="false" ht="15" hidden="false" customHeight="false" outlineLevel="0" collapsed="false">
      <c r="A59" s="6" t="s">
        <v>5641</v>
      </c>
      <c r="B59" s="6" t="s">
        <v>13787</v>
      </c>
      <c r="C59" s="6" t="s">
        <v>22</v>
      </c>
      <c r="D59" s="6" t="s">
        <v>13747</v>
      </c>
      <c r="E59" s="6" t="s">
        <v>13788</v>
      </c>
      <c r="F59" s="10" t="n">
        <v>2299</v>
      </c>
    </row>
    <row r="60" customFormat="false" ht="15" hidden="false" customHeight="false" outlineLevel="0" collapsed="false">
      <c r="A60" s="6" t="s">
        <v>6557</v>
      </c>
      <c r="B60" s="6" t="s">
        <v>13789</v>
      </c>
      <c r="C60" s="6" t="s">
        <v>22</v>
      </c>
      <c r="D60" s="6" t="s">
        <v>13747</v>
      </c>
      <c r="E60" s="6" t="s">
        <v>13790</v>
      </c>
      <c r="F60" s="10" t="n">
        <v>5999</v>
      </c>
    </row>
    <row r="61" customFormat="false" ht="15" hidden="false" customHeight="false" outlineLevel="0" collapsed="false">
      <c r="A61" s="6" t="s">
        <v>7185</v>
      </c>
      <c r="B61" s="6" t="s">
        <v>13791</v>
      </c>
      <c r="C61" s="6" t="s">
        <v>22</v>
      </c>
      <c r="D61" s="6" t="s">
        <v>13759</v>
      </c>
      <c r="E61" s="6" t="s">
        <v>13792</v>
      </c>
      <c r="F61" s="10" t="n">
        <v>2795</v>
      </c>
    </row>
    <row r="62" customFormat="false" ht="15" hidden="false" customHeight="false" outlineLevel="0" collapsed="false">
      <c r="A62" s="6" t="s">
        <v>5482</v>
      </c>
      <c r="B62" s="6" t="s">
        <v>13793</v>
      </c>
      <c r="C62" s="6" t="s">
        <v>23</v>
      </c>
      <c r="D62" s="6" t="s">
        <v>13794</v>
      </c>
      <c r="E62" s="6" t="s">
        <v>13795</v>
      </c>
      <c r="F62" s="10" t="n">
        <v>275</v>
      </c>
    </row>
    <row r="63" customFormat="false" ht="15" hidden="false" customHeight="false" outlineLevel="0" collapsed="false">
      <c r="A63" s="6" t="s">
        <v>5163</v>
      </c>
      <c r="B63" s="6" t="s">
        <v>13796</v>
      </c>
      <c r="C63" s="6" t="s">
        <v>23</v>
      </c>
      <c r="D63" s="6" t="s">
        <v>13794</v>
      </c>
      <c r="E63" s="6" t="s">
        <v>13797</v>
      </c>
      <c r="F63" s="10" t="n">
        <v>799</v>
      </c>
    </row>
    <row r="64" customFormat="false" ht="15" hidden="false" customHeight="false" outlineLevel="0" collapsed="false">
      <c r="A64" s="6" t="s">
        <v>5298</v>
      </c>
      <c r="B64" s="6" t="s">
        <v>13798</v>
      </c>
      <c r="C64" s="6" t="s">
        <v>23</v>
      </c>
      <c r="D64" s="6" t="s">
        <v>13799</v>
      </c>
      <c r="E64" s="6" t="s">
        <v>13800</v>
      </c>
      <c r="F64" s="10" t="n">
        <v>299</v>
      </c>
    </row>
    <row r="65" customFormat="false" ht="15" hidden="false" customHeight="false" outlineLevel="0" collapsed="false">
      <c r="A65" s="6" t="s">
        <v>5216</v>
      </c>
      <c r="B65" s="6" t="s">
        <v>13801</v>
      </c>
      <c r="C65" s="6" t="s">
        <v>23</v>
      </c>
      <c r="D65" s="6" t="s">
        <v>13799</v>
      </c>
      <c r="E65" s="6" t="s">
        <v>13802</v>
      </c>
      <c r="F65" s="10" t="n">
        <v>599</v>
      </c>
    </row>
    <row r="66" customFormat="false" ht="15" hidden="false" customHeight="false" outlineLevel="0" collapsed="false">
      <c r="A66" s="6" t="s">
        <v>5139</v>
      </c>
      <c r="B66" s="6" t="s">
        <v>13803</v>
      </c>
      <c r="C66" s="6" t="s">
        <v>23</v>
      </c>
      <c r="D66" s="6" t="s">
        <v>13804</v>
      </c>
      <c r="E66" s="6" t="s">
        <v>13805</v>
      </c>
      <c r="F66" s="10" t="n">
        <v>285</v>
      </c>
    </row>
    <row r="67" customFormat="false" ht="15" hidden="false" customHeight="false" outlineLevel="0" collapsed="false">
      <c r="A67" s="6" t="s">
        <v>5171</v>
      </c>
      <c r="B67" s="6" t="s">
        <v>13806</v>
      </c>
      <c r="C67" s="6" t="s">
        <v>23</v>
      </c>
      <c r="D67" s="6" t="s">
        <v>13794</v>
      </c>
      <c r="E67" s="6" t="s">
        <v>13807</v>
      </c>
      <c r="F67" s="10" t="n">
        <v>749</v>
      </c>
    </row>
    <row r="68" customFormat="false" ht="15" hidden="false" customHeight="false" outlineLevel="0" collapsed="false">
      <c r="A68" s="6" t="s">
        <v>5261</v>
      </c>
      <c r="B68" s="6" t="s">
        <v>13808</v>
      </c>
      <c r="C68" s="6" t="s">
        <v>23</v>
      </c>
      <c r="D68" s="6" t="s">
        <v>13794</v>
      </c>
      <c r="E68" s="6" t="s">
        <v>13809</v>
      </c>
      <c r="F68" s="10" t="n">
        <v>179</v>
      </c>
    </row>
    <row r="69" customFormat="false" ht="15" hidden="false" customHeight="false" outlineLevel="0" collapsed="false">
      <c r="A69" s="6" t="s">
        <v>5232</v>
      </c>
      <c r="B69" s="6" t="s">
        <v>13810</v>
      </c>
      <c r="C69" s="6" t="s">
        <v>23</v>
      </c>
      <c r="D69" s="6" t="s">
        <v>13794</v>
      </c>
      <c r="E69" s="6" t="s">
        <v>13811</v>
      </c>
      <c r="F69" s="10" t="n">
        <v>210</v>
      </c>
    </row>
    <row r="70" customFormat="false" ht="15" hidden="false" customHeight="false" outlineLevel="0" collapsed="false">
      <c r="A70" s="6" t="s">
        <v>5218</v>
      </c>
      <c r="B70" s="6" t="s">
        <v>13812</v>
      </c>
      <c r="C70" s="6" t="s">
        <v>23</v>
      </c>
      <c r="D70" s="6" t="s">
        <v>13813</v>
      </c>
      <c r="E70" s="6" t="s">
        <v>13814</v>
      </c>
      <c r="F70" s="10" t="n">
        <v>168</v>
      </c>
    </row>
    <row r="71" customFormat="false" ht="15" hidden="false" customHeight="false" outlineLevel="0" collapsed="false">
      <c r="A71" s="6" t="s">
        <v>5290</v>
      </c>
      <c r="B71" s="6" t="s">
        <v>13815</v>
      </c>
      <c r="C71" s="6" t="s">
        <v>23</v>
      </c>
      <c r="D71" s="6" t="s">
        <v>13816</v>
      </c>
      <c r="E71" s="6" t="s">
        <v>13817</v>
      </c>
      <c r="F71" s="10" t="n">
        <v>120</v>
      </c>
    </row>
    <row r="72" customFormat="false" ht="15" hidden="false" customHeight="false" outlineLevel="0" collapsed="false">
      <c r="A72" s="6" t="s">
        <v>5202</v>
      </c>
      <c r="B72" s="6" t="s">
        <v>13818</v>
      </c>
      <c r="C72" s="6" t="s">
        <v>23</v>
      </c>
      <c r="D72" s="6" t="s">
        <v>13816</v>
      </c>
      <c r="E72" s="6" t="s">
        <v>13819</v>
      </c>
      <c r="F72" s="10" t="n">
        <v>250</v>
      </c>
    </row>
    <row r="73" customFormat="false" ht="15" hidden="false" customHeight="false" outlineLevel="0" collapsed="false">
      <c r="A73" s="6" t="s">
        <v>5182</v>
      </c>
      <c r="B73" s="6" t="s">
        <v>13820</v>
      </c>
      <c r="C73" s="6" t="s">
        <v>23</v>
      </c>
      <c r="D73" s="6" t="s">
        <v>13821</v>
      </c>
      <c r="E73" s="6" t="s">
        <v>13822</v>
      </c>
      <c r="F73" s="10" t="n">
        <v>375</v>
      </c>
    </row>
    <row r="74" customFormat="false" ht="15" hidden="false" customHeight="false" outlineLevel="0" collapsed="false">
      <c r="A74" s="6" t="s">
        <v>5316</v>
      </c>
      <c r="B74" s="6" t="s">
        <v>13823</v>
      </c>
      <c r="C74" s="6" t="s">
        <v>23</v>
      </c>
      <c r="D74" s="6" t="s">
        <v>13824</v>
      </c>
      <c r="E74" s="6" t="s">
        <v>13825</v>
      </c>
      <c r="F74" s="10" t="n">
        <v>265</v>
      </c>
    </row>
    <row r="75" customFormat="false" ht="15" hidden="false" customHeight="false" outlineLevel="0" collapsed="false">
      <c r="A75" s="6" t="s">
        <v>5357</v>
      </c>
      <c r="B75" s="6" t="s">
        <v>13826</v>
      </c>
      <c r="C75" s="6" t="s">
        <v>23</v>
      </c>
      <c r="D75" s="6" t="s">
        <v>13799</v>
      </c>
      <c r="E75" s="6" t="s">
        <v>13827</v>
      </c>
      <c r="F75" s="10" t="n">
        <v>545</v>
      </c>
    </row>
    <row r="76" customFormat="false" ht="15" hidden="false" customHeight="false" outlineLevel="0" collapsed="false">
      <c r="A76" s="6" t="s">
        <v>5345</v>
      </c>
      <c r="B76" s="6" t="s">
        <v>13828</v>
      </c>
      <c r="C76" s="6" t="s">
        <v>23</v>
      </c>
      <c r="D76" s="6" t="s">
        <v>13799</v>
      </c>
      <c r="E76" s="6" t="s">
        <v>13819</v>
      </c>
      <c r="F76" s="10" t="n">
        <v>445</v>
      </c>
    </row>
    <row r="77" customFormat="false" ht="15" hidden="false" customHeight="false" outlineLevel="0" collapsed="false">
      <c r="A77" s="6" t="s">
        <v>5273</v>
      </c>
      <c r="B77" s="6" t="s">
        <v>13829</v>
      </c>
      <c r="C77" s="6" t="s">
        <v>23</v>
      </c>
      <c r="D77" s="6" t="s">
        <v>13824</v>
      </c>
      <c r="E77" s="6" t="s">
        <v>13830</v>
      </c>
      <c r="F77" s="10" t="n">
        <v>245</v>
      </c>
    </row>
    <row r="78" customFormat="false" ht="15" hidden="false" customHeight="false" outlineLevel="0" collapsed="false">
      <c r="A78" s="6" t="s">
        <v>5132</v>
      </c>
      <c r="B78" s="6" t="s">
        <v>13831</v>
      </c>
      <c r="C78" s="6" t="s">
        <v>23</v>
      </c>
      <c r="D78" s="6" t="s">
        <v>13832</v>
      </c>
      <c r="E78" s="6" t="s">
        <v>13833</v>
      </c>
      <c r="F78" s="10" t="n">
        <v>349</v>
      </c>
    </row>
    <row r="79" customFormat="false" ht="15" hidden="false" customHeight="false" outlineLevel="0" collapsed="false">
      <c r="A79" s="6" t="s">
        <v>5242</v>
      </c>
      <c r="B79" s="6" t="s">
        <v>13834</v>
      </c>
      <c r="C79" s="6" t="s">
        <v>23</v>
      </c>
      <c r="D79" s="6" t="s">
        <v>13799</v>
      </c>
      <c r="E79" s="6" t="s">
        <v>13835</v>
      </c>
      <c r="F79" s="10" t="n">
        <v>380</v>
      </c>
    </row>
    <row r="80" customFormat="false" ht="15" hidden="false" customHeight="false" outlineLevel="0" collapsed="false">
      <c r="A80" s="6" t="s">
        <v>5135</v>
      </c>
      <c r="B80" s="6" t="s">
        <v>13836</v>
      </c>
      <c r="C80" s="6" t="s">
        <v>23</v>
      </c>
      <c r="D80" s="6" t="s">
        <v>13816</v>
      </c>
      <c r="E80" s="6" t="s">
        <v>13837</v>
      </c>
      <c r="F80" s="10" t="n">
        <v>450</v>
      </c>
    </row>
    <row r="81" customFormat="false" ht="15" hidden="false" customHeight="false" outlineLevel="0" collapsed="false">
      <c r="A81" s="6" t="s">
        <v>5224</v>
      </c>
      <c r="B81" s="6" t="s">
        <v>13838</v>
      </c>
      <c r="C81" s="6" t="s">
        <v>23</v>
      </c>
      <c r="D81" s="6" t="s">
        <v>13816</v>
      </c>
      <c r="E81" s="6" t="s">
        <v>13839</v>
      </c>
      <c r="F81" s="10" t="n">
        <v>199</v>
      </c>
    </row>
    <row r="82" customFormat="false" ht="15" hidden="false" customHeight="false" outlineLevel="0" collapsed="false">
      <c r="A82" s="6" t="s">
        <v>5488</v>
      </c>
      <c r="B82" s="6" t="s">
        <v>13840</v>
      </c>
      <c r="C82" s="6" t="s">
        <v>24</v>
      </c>
      <c r="D82" s="6" t="s">
        <v>13841</v>
      </c>
      <c r="E82" s="6" t="s">
        <v>13842</v>
      </c>
      <c r="F82" s="10" t="n">
        <v>850</v>
      </c>
    </row>
    <row r="83" customFormat="false" ht="15" hidden="false" customHeight="false" outlineLevel="0" collapsed="false">
      <c r="A83" s="6" t="s">
        <v>5150</v>
      </c>
      <c r="B83" s="6" t="s">
        <v>13843</v>
      </c>
      <c r="C83" s="6" t="s">
        <v>24</v>
      </c>
      <c r="D83" s="6" t="s">
        <v>13841</v>
      </c>
      <c r="E83" s="6" t="s">
        <v>13844</v>
      </c>
      <c r="F83" s="10" t="n">
        <v>499</v>
      </c>
    </row>
    <row r="84" customFormat="false" ht="15" hidden="false" customHeight="false" outlineLevel="0" collapsed="false">
      <c r="A84" s="6" t="s">
        <v>5281</v>
      </c>
      <c r="B84" s="6" t="s">
        <v>13845</v>
      </c>
      <c r="C84" s="6" t="s">
        <v>24</v>
      </c>
      <c r="D84" s="6" t="s">
        <v>13841</v>
      </c>
      <c r="E84" s="6" t="s">
        <v>13846</v>
      </c>
      <c r="F84" s="10" t="n">
        <v>799</v>
      </c>
    </row>
    <row r="85" customFormat="false" ht="15" hidden="false" customHeight="false" outlineLevel="0" collapsed="false">
      <c r="A85" s="6" t="s">
        <v>5398</v>
      </c>
      <c r="B85" s="6" t="s">
        <v>13847</v>
      </c>
      <c r="C85" s="6" t="s">
        <v>24</v>
      </c>
      <c r="D85" s="6" t="s">
        <v>13848</v>
      </c>
      <c r="E85" s="6" t="s">
        <v>13849</v>
      </c>
      <c r="F85" s="10" t="n">
        <v>599</v>
      </c>
    </row>
    <row r="86" customFormat="false" ht="15" hidden="false" customHeight="false" outlineLevel="0" collapsed="false">
      <c r="A86" s="6" t="s">
        <v>5175</v>
      </c>
      <c r="B86" s="6" t="s">
        <v>13850</v>
      </c>
      <c r="C86" s="6" t="s">
        <v>24</v>
      </c>
      <c r="D86" s="6" t="s">
        <v>13848</v>
      </c>
      <c r="E86" s="6" t="s">
        <v>13851</v>
      </c>
      <c r="F86" s="10" t="n">
        <v>599</v>
      </c>
    </row>
    <row r="87" customFormat="false" ht="15" hidden="false" customHeight="false" outlineLevel="0" collapsed="false">
      <c r="A87" s="6" t="s">
        <v>5220</v>
      </c>
      <c r="B87" s="6" t="s">
        <v>13852</v>
      </c>
      <c r="C87" s="6" t="s">
        <v>24</v>
      </c>
      <c r="D87" s="6" t="s">
        <v>13848</v>
      </c>
      <c r="E87" s="6" t="s">
        <v>13853</v>
      </c>
      <c r="F87" s="10" t="n">
        <v>1099</v>
      </c>
    </row>
    <row r="88" customFormat="false" ht="15" hidden="false" customHeight="false" outlineLevel="0" collapsed="false">
      <c r="A88" s="6" t="s">
        <v>5147</v>
      </c>
      <c r="B88" s="6" t="s">
        <v>13854</v>
      </c>
      <c r="C88" s="6" t="s">
        <v>24</v>
      </c>
      <c r="D88" s="6" t="s">
        <v>13855</v>
      </c>
      <c r="E88" s="6" t="s">
        <v>13856</v>
      </c>
      <c r="F88" s="10" t="n">
        <v>649</v>
      </c>
    </row>
    <row r="89" customFormat="false" ht="15" hidden="false" customHeight="false" outlineLevel="0" collapsed="false">
      <c r="A89" s="6" t="s">
        <v>5460</v>
      </c>
      <c r="B89" s="6" t="s">
        <v>13857</v>
      </c>
      <c r="C89" s="6" t="s">
        <v>24</v>
      </c>
      <c r="D89" s="6" t="s">
        <v>13855</v>
      </c>
      <c r="E89" s="6" t="s">
        <v>13858</v>
      </c>
      <c r="F89" s="10" t="n">
        <v>545</v>
      </c>
    </row>
    <row r="90" customFormat="false" ht="15" hidden="false" customHeight="false" outlineLevel="0" collapsed="false">
      <c r="A90" s="6" t="s">
        <v>5190</v>
      </c>
      <c r="B90" s="6" t="s">
        <v>13859</v>
      </c>
      <c r="C90" s="6" t="s">
        <v>24</v>
      </c>
      <c r="D90" s="6" t="s">
        <v>13855</v>
      </c>
      <c r="E90" s="6" t="s">
        <v>13860</v>
      </c>
      <c r="F90" s="10" t="n">
        <v>599</v>
      </c>
    </row>
    <row r="91" customFormat="false" ht="15" hidden="false" customHeight="false" outlineLevel="0" collapsed="false">
      <c r="A91" s="6" t="s">
        <v>5339</v>
      </c>
      <c r="B91" s="6" t="s">
        <v>13861</v>
      </c>
      <c r="C91" s="6" t="s">
        <v>24</v>
      </c>
      <c r="D91" s="6" t="s">
        <v>13855</v>
      </c>
      <c r="E91" s="6" t="s">
        <v>13862</v>
      </c>
      <c r="F91" s="10" t="n">
        <v>499</v>
      </c>
    </row>
    <row r="92" customFormat="false" ht="15" hidden="false" customHeight="false" outlineLevel="0" collapsed="false">
      <c r="A92" s="6" t="s">
        <v>5456</v>
      </c>
      <c r="B92" s="6" t="s">
        <v>13863</v>
      </c>
      <c r="C92" s="6" t="s">
        <v>24</v>
      </c>
      <c r="D92" s="6" t="s">
        <v>13848</v>
      </c>
      <c r="E92" s="6" t="s">
        <v>13864</v>
      </c>
      <c r="F92" s="10" t="n">
        <v>895</v>
      </c>
    </row>
    <row r="93" customFormat="false" ht="15" hidden="false" customHeight="false" outlineLevel="0" collapsed="false">
      <c r="A93" s="6" t="s">
        <v>5180</v>
      </c>
      <c r="B93" s="6" t="s">
        <v>13865</v>
      </c>
      <c r="C93" s="6" t="s">
        <v>24</v>
      </c>
      <c r="D93" s="6" t="s">
        <v>13866</v>
      </c>
      <c r="E93" s="6" t="s">
        <v>13867</v>
      </c>
      <c r="F93" s="10" t="n">
        <v>1950</v>
      </c>
    </row>
    <row r="94" customFormat="false" ht="15" hidden="false" customHeight="false" outlineLevel="0" collapsed="false">
      <c r="A94" s="6" t="s">
        <v>5237</v>
      </c>
      <c r="B94" s="6" t="s">
        <v>13868</v>
      </c>
      <c r="C94" s="6" t="s">
        <v>24</v>
      </c>
      <c r="D94" s="6" t="s">
        <v>13869</v>
      </c>
      <c r="E94" s="6" t="s">
        <v>13713</v>
      </c>
      <c r="F94" s="10" t="n">
        <v>1799</v>
      </c>
    </row>
    <row r="95" customFormat="false" ht="15" hidden="false" customHeight="false" outlineLevel="0" collapsed="false">
      <c r="A95" s="6" t="s">
        <v>5353</v>
      </c>
      <c r="B95" s="6" t="s">
        <v>13870</v>
      </c>
      <c r="C95" s="6" t="s">
        <v>24</v>
      </c>
      <c r="D95" s="6" t="s">
        <v>13869</v>
      </c>
      <c r="E95" s="6" t="s">
        <v>13713</v>
      </c>
      <c r="F95" s="10" t="n">
        <v>1599</v>
      </c>
    </row>
    <row r="96" customFormat="false" ht="15" hidden="false" customHeight="false" outlineLevel="0" collapsed="false">
      <c r="A96" s="6" t="s">
        <v>5226</v>
      </c>
      <c r="B96" s="6" t="s">
        <v>13871</v>
      </c>
      <c r="C96" s="6" t="s">
        <v>24</v>
      </c>
      <c r="D96" s="6" t="s">
        <v>13866</v>
      </c>
      <c r="E96" s="6" t="s">
        <v>13872</v>
      </c>
      <c r="F96" s="10" t="n">
        <v>449</v>
      </c>
    </row>
    <row r="97" customFormat="false" ht="15" hidden="false" customHeight="false" outlineLevel="0" collapsed="false">
      <c r="A97" s="6" t="s">
        <v>5200</v>
      </c>
      <c r="B97" s="6" t="s">
        <v>13873</v>
      </c>
      <c r="C97" s="6" t="s">
        <v>24</v>
      </c>
      <c r="D97" s="6" t="s">
        <v>13848</v>
      </c>
      <c r="E97" s="6" t="s">
        <v>13874</v>
      </c>
      <c r="F97" s="10" t="n">
        <v>749</v>
      </c>
    </row>
    <row r="98" customFormat="false" ht="15" hidden="false" customHeight="false" outlineLevel="0" collapsed="false">
      <c r="A98" s="6" t="s">
        <v>5458</v>
      </c>
      <c r="B98" s="6" t="s">
        <v>13875</v>
      </c>
      <c r="C98" s="6" t="s">
        <v>24</v>
      </c>
      <c r="D98" s="6" t="s">
        <v>13876</v>
      </c>
      <c r="E98" s="6" t="s">
        <v>13877</v>
      </c>
      <c r="F98" s="10" t="n">
        <v>549</v>
      </c>
    </row>
    <row r="99" customFormat="false" ht="15" hidden="false" customHeight="false" outlineLevel="0" collapsed="false">
      <c r="A99" s="6" t="s">
        <v>5188</v>
      </c>
      <c r="B99" s="6" t="s">
        <v>13878</v>
      </c>
      <c r="C99" s="6" t="s">
        <v>24</v>
      </c>
      <c r="D99" s="6" t="s">
        <v>13876</v>
      </c>
      <c r="E99" s="6" t="s">
        <v>13879</v>
      </c>
      <c r="F99" s="10" t="n">
        <v>999</v>
      </c>
    </row>
    <row r="100" customFormat="false" ht="15" hidden="false" customHeight="false" outlineLevel="0" collapsed="false">
      <c r="A100" s="6" t="s">
        <v>5185</v>
      </c>
      <c r="B100" s="6" t="s">
        <v>13880</v>
      </c>
      <c r="C100" s="6" t="s">
        <v>24</v>
      </c>
      <c r="D100" s="6" t="s">
        <v>13848</v>
      </c>
      <c r="E100" s="6" t="s">
        <v>13881</v>
      </c>
      <c r="F100" s="10" t="n">
        <v>2100</v>
      </c>
    </row>
    <row r="101" customFormat="false" ht="15" hidden="false" customHeight="false" outlineLevel="0" collapsed="false">
      <c r="A101" s="6" t="s">
        <v>5158</v>
      </c>
      <c r="B101" s="6" t="s">
        <v>13882</v>
      </c>
      <c r="C101" s="6" t="s">
        <v>24</v>
      </c>
      <c r="D101" s="6" t="s">
        <v>13848</v>
      </c>
      <c r="E101" s="6" t="s">
        <v>13883</v>
      </c>
      <c r="F101" s="10" t="n">
        <v>425</v>
      </c>
    </row>
  </sheetData>
  <autoFilter ref="A1:F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2026-09-29T23:51:10Z</dcterms:created>
  <dc:creator>openpyxl</dc:creator>
  <dc:description/>
  <dc:language>en-US</dc:language>
  <cp:lastModifiedBy/>
  <dcterms:modified xsi:type="dcterms:W3CDTF">2026-09-29T23:51:13Z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